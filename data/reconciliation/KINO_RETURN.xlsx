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49\adm$\MASTER BARANG NEW\KINO NON FOOD\"/>
    </mc:Choice>
  </mc:AlternateContent>
  <xr:revisionPtr revIDLastSave="0" documentId="13_ncr:1_{3C9B0D7A-CA61-499E-BFC5-97FDD2E1AE54}" xr6:coauthVersionLast="45" xr6:coauthVersionMax="47" xr10:uidLastSave="{00000000-0000-0000-0000-000000000000}"/>
  <bookViews>
    <workbookView xWindow="-120" yWindow="-120" windowWidth="29040" windowHeight="15990" firstSheet="2" activeTab="6" xr2:uid="{BF519ECE-2DA5-4DA0-9181-8645A13B27C8}"/>
  </bookViews>
  <sheets>
    <sheet name="PRICE LIST Motasa" sheetId="33" r:id="rId1"/>
    <sheet name="FORM DASAR KLP" sheetId="20" r:id="rId2"/>
    <sheet name="Cara Buat" sheetId="5" r:id="rId3"/>
    <sheet name="PIVOT MAPPING (2)" sheetId="19" state="hidden" r:id="rId4"/>
    <sheet name="Pvt Map 1" sheetId="24" r:id="rId5"/>
    <sheet name="Table Pvt 1" sheetId="26" r:id="rId6"/>
    <sheet name="Form Fix" sheetId="27" r:id="rId7"/>
    <sheet name="Query Map.BrgDoubleDms" sheetId="30" r:id="rId8"/>
    <sheet name="Fix Mapping" sheetId="38" r:id="rId9"/>
    <sheet name="Form To Win" sheetId="32" r:id="rId10"/>
    <sheet name="Table43 (2)" sheetId="35" r:id="rId11"/>
    <sheet name="LIST PCPL" sheetId="14" r:id="rId12"/>
  </sheets>
  <externalReferences>
    <externalReference r:id="rId13"/>
  </externalReferences>
  <definedNames>
    <definedName name="_xlnm._FilterDatabase" localSheetId="1" hidden="1">'FORM DASAR KLP'!$A$3:$G$1082</definedName>
    <definedName name="_xlnm._FilterDatabase" localSheetId="0" hidden="1">'PRICE LIST Motasa'!$A$3:$G$8</definedName>
    <definedName name="_xlnm._FilterDatabase" localSheetId="5" hidden="1">'Table Pvt 1'!$A$1:$E$622</definedName>
    <definedName name="_xlnm._FilterDatabase" hidden="1">#REF!</definedName>
    <definedName name="Consol">"Error"</definedName>
    <definedName name="ExternalData_1" localSheetId="9" hidden="1">'Form To Win'!$A$1:$AB$604</definedName>
    <definedName name="ExternalData_1" localSheetId="7" hidden="1">'Query Map.BrgDoubleDms'!$A$1:$B$604</definedName>
    <definedName name="ExternalData_1" localSheetId="10" hidden="1">'Table43 (2)'!$A$1:$AF$608</definedName>
  </definedNames>
  <calcPr calcId="18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9" i="27" l="1"/>
  <c r="J79" i="27"/>
  <c r="K79" i="27"/>
  <c r="L79" i="27"/>
  <c r="A79" i="27" s="1"/>
  <c r="N79" i="27"/>
  <c r="O79" i="27" s="1"/>
  <c r="AK79" i="27"/>
  <c r="AL79" i="27" s="1"/>
  <c r="AN79" i="27" s="1"/>
  <c r="AP79" i="27"/>
  <c r="AR79" i="27" s="1"/>
  <c r="AQ79" i="27"/>
  <c r="AS79" i="27"/>
  <c r="AT79" i="27" s="1"/>
  <c r="AY79" i="27"/>
  <c r="AZ79" i="27"/>
  <c r="BB79" i="27"/>
  <c r="BC79" i="27"/>
  <c r="BF79" i="27"/>
  <c r="BG79" i="27"/>
  <c r="BH79" i="27"/>
  <c r="BI79" i="27"/>
  <c r="BK79" i="27"/>
  <c r="I77" i="27"/>
  <c r="BF77" i="27" s="1"/>
  <c r="J77" i="27"/>
  <c r="K77" i="27"/>
  <c r="L77" i="27"/>
  <c r="A77" i="27" s="1"/>
  <c r="N77" i="27"/>
  <c r="O77" i="27" s="1"/>
  <c r="AK77" i="27"/>
  <c r="AL77" i="27" s="1"/>
  <c r="AN77" i="27" s="1"/>
  <c r="AP77" i="27"/>
  <c r="AR77" i="27" s="1"/>
  <c r="AQ77" i="27"/>
  <c r="AS77" i="27"/>
  <c r="AT77" i="27" s="1"/>
  <c r="AY77" i="27"/>
  <c r="AZ77" i="27"/>
  <c r="BB77" i="27"/>
  <c r="BC77" i="27"/>
  <c r="I76" i="27"/>
  <c r="BG76" i="27" s="1"/>
  <c r="I78" i="27"/>
  <c r="BF78" i="27" s="1"/>
  <c r="J76" i="27"/>
  <c r="J78" i="27"/>
  <c r="K76" i="27"/>
  <c r="K78" i="27"/>
  <c r="L76" i="27"/>
  <c r="A76" i="27" s="1"/>
  <c r="L78" i="27"/>
  <c r="A78" i="27" s="1"/>
  <c r="N76" i="27"/>
  <c r="O76" i="27" s="1"/>
  <c r="N78" i="27"/>
  <c r="O78" i="27" s="1"/>
  <c r="AK76" i="27"/>
  <c r="AL76" i="27" s="1"/>
  <c r="AN76" i="27" s="1"/>
  <c r="AK78" i="27"/>
  <c r="AM78" i="27" s="1"/>
  <c r="AP76" i="27"/>
  <c r="AR76" i="27" s="1"/>
  <c r="AP78" i="27"/>
  <c r="AR78" i="27" s="1"/>
  <c r="AQ76" i="27"/>
  <c r="AQ78" i="27"/>
  <c r="AS76" i="27"/>
  <c r="AU76" i="27" s="1"/>
  <c r="AV76" i="27" s="1"/>
  <c r="AS78" i="27"/>
  <c r="AT78" i="27" s="1"/>
  <c r="AY76" i="27"/>
  <c r="AY78" i="27"/>
  <c r="AZ76" i="27"/>
  <c r="AZ78" i="27"/>
  <c r="BB76" i="27"/>
  <c r="BB78" i="27"/>
  <c r="BC76" i="27"/>
  <c r="BC78" i="27"/>
  <c r="I80" i="27"/>
  <c r="BI80" i="27" s="1"/>
  <c r="J80" i="27"/>
  <c r="K80" i="27"/>
  <c r="L80" i="27"/>
  <c r="A80" i="27" s="1"/>
  <c r="N80" i="27"/>
  <c r="O80" i="27" s="1"/>
  <c r="AK80" i="27"/>
  <c r="AL80" i="27" s="1"/>
  <c r="AN80" i="27" s="1"/>
  <c r="AP80" i="27"/>
  <c r="AR80" i="27" s="1"/>
  <c r="AQ80" i="27"/>
  <c r="AS80" i="27"/>
  <c r="AT80" i="27" s="1"/>
  <c r="AY80" i="27"/>
  <c r="AZ80" i="27"/>
  <c r="BB80" i="27"/>
  <c r="BC80" i="27"/>
  <c r="I61" i="27"/>
  <c r="BH61" i="27" s="1"/>
  <c r="J61" i="27"/>
  <c r="K61" i="27"/>
  <c r="L61" i="27"/>
  <c r="A61" i="27" s="1"/>
  <c r="N61" i="27"/>
  <c r="O61" i="27" s="1"/>
  <c r="AK61" i="27"/>
  <c r="AL61" i="27" s="1"/>
  <c r="AN61" i="27" s="1"/>
  <c r="AP61" i="27"/>
  <c r="AR61" i="27" s="1"/>
  <c r="AQ61" i="27"/>
  <c r="AS61" i="27"/>
  <c r="AT61" i="27" s="1"/>
  <c r="AY61" i="27"/>
  <c r="AZ61" i="27"/>
  <c r="BB61" i="27"/>
  <c r="BC61" i="27"/>
  <c r="I60" i="27"/>
  <c r="BI60" i="27" s="1"/>
  <c r="J60" i="27"/>
  <c r="K60" i="27"/>
  <c r="L60" i="27"/>
  <c r="A60" i="27" s="1"/>
  <c r="N60" i="27"/>
  <c r="O60" i="27" s="1"/>
  <c r="AK60" i="27"/>
  <c r="AL60" i="27" s="1"/>
  <c r="AN60" i="27" s="1"/>
  <c r="AP60" i="27"/>
  <c r="AR60" i="27" s="1"/>
  <c r="AQ60" i="27"/>
  <c r="AS60" i="27"/>
  <c r="AU60" i="27" s="1"/>
  <c r="AV60" i="27" s="1"/>
  <c r="AY60" i="27"/>
  <c r="AZ60" i="27"/>
  <c r="BB60" i="27"/>
  <c r="BC60" i="27"/>
  <c r="BI77" i="27" l="1"/>
  <c r="BH77" i="27"/>
  <c r="AM79" i="27"/>
  <c r="BG77" i="27"/>
  <c r="BK77" i="27"/>
  <c r="BA79" i="27"/>
  <c r="AU79" i="27"/>
  <c r="AV79" i="27" s="1"/>
  <c r="M79" i="27"/>
  <c r="BF76" i="27"/>
  <c r="BH76" i="27"/>
  <c r="BI76" i="27"/>
  <c r="AM77" i="27"/>
  <c r="BA77" i="27"/>
  <c r="AU77" i="27"/>
  <c r="AV77" i="27" s="1"/>
  <c r="M77" i="27"/>
  <c r="BF80" i="27"/>
  <c r="BA76" i="27"/>
  <c r="BK80" i="27"/>
  <c r="BK76" i="27"/>
  <c r="BG78" i="27"/>
  <c r="BH80" i="27"/>
  <c r="BI78" i="27"/>
  <c r="BA78" i="27"/>
  <c r="AT76" i="27"/>
  <c r="AM76" i="27"/>
  <c r="BK61" i="27"/>
  <c r="AL78" i="27"/>
  <c r="AN78" i="27" s="1"/>
  <c r="BG80" i="27"/>
  <c r="AU78" i="27"/>
  <c r="AV78" i="27" s="1"/>
  <c r="M78" i="27"/>
  <c r="BI61" i="27"/>
  <c r="M76" i="27"/>
  <c r="BG61" i="27"/>
  <c r="BK78" i="27"/>
  <c r="BH78" i="27"/>
  <c r="BF61" i="27"/>
  <c r="BH60" i="27"/>
  <c r="BG60" i="27"/>
  <c r="AM80" i="27"/>
  <c r="BA80" i="27"/>
  <c r="AU80" i="27"/>
  <c r="AV80" i="27" s="1"/>
  <c r="M80" i="27"/>
  <c r="BK60" i="27"/>
  <c r="BF60" i="27"/>
  <c r="AT60" i="27"/>
  <c r="AM61" i="27"/>
  <c r="BA61" i="27"/>
  <c r="AU61" i="27"/>
  <c r="AV61" i="27" s="1"/>
  <c r="M61" i="27"/>
  <c r="AM60" i="27"/>
  <c r="BA60" i="27"/>
  <c r="M60" i="27"/>
  <c r="I597" i="27"/>
  <c r="BH597" i="27" s="1"/>
  <c r="J597" i="27"/>
  <c r="K597" i="27"/>
  <c r="L597" i="27"/>
  <c r="AK597" i="27"/>
  <c r="AM597" i="27" s="1"/>
  <c r="AQ597" i="27"/>
  <c r="AS597" i="27"/>
  <c r="AU597" i="27" s="1"/>
  <c r="AY597" i="27"/>
  <c r="AZ597" i="27"/>
  <c r="BB597" i="27"/>
  <c r="BC597" i="27"/>
  <c r="A597" i="27" l="1"/>
  <c r="N597" i="27"/>
  <c r="O597" i="27" s="1"/>
  <c r="M597" i="27"/>
  <c r="BA597" i="27"/>
  <c r="BG597" i="27"/>
  <c r="AV597" i="27"/>
  <c r="AL597" i="27"/>
  <c r="AN597" i="27" s="1"/>
  <c r="BK597" i="27"/>
  <c r="BF597" i="27"/>
  <c r="AT597" i="27"/>
  <c r="AP597" i="27"/>
  <c r="AR597" i="27" s="1"/>
  <c r="BI597" i="27"/>
  <c r="I444" i="27" l="1"/>
  <c r="BH444" i="27" s="1"/>
  <c r="J444" i="27"/>
  <c r="K444" i="27"/>
  <c r="L444" i="27"/>
  <c r="AK444" i="27"/>
  <c r="AM444" i="27" s="1"/>
  <c r="AQ444" i="27"/>
  <c r="AS444" i="27"/>
  <c r="AU444" i="27" s="1"/>
  <c r="AZ444" i="27"/>
  <c r="BB444" i="27"/>
  <c r="BC444" i="27"/>
  <c r="A444" i="27" l="1"/>
  <c r="N444" i="27"/>
  <c r="O444" i="27" s="1"/>
  <c r="BG444" i="27"/>
  <c r="BA444" i="27"/>
  <c r="M444" i="27"/>
  <c r="AV444" i="27"/>
  <c r="AL444" i="27"/>
  <c r="AN444" i="27" s="1"/>
  <c r="BK444" i="27"/>
  <c r="BF444" i="27"/>
  <c r="AT444" i="27"/>
  <c r="AP444" i="27"/>
  <c r="AR444" i="27" s="1"/>
  <c r="BI444" i="27"/>
  <c r="I179" i="27" l="1"/>
  <c r="BH179" i="27" s="1"/>
  <c r="K179" i="27"/>
  <c r="L179" i="27"/>
  <c r="AK179" i="27"/>
  <c r="AM179" i="27" s="1"/>
  <c r="AQ179" i="27"/>
  <c r="AS179" i="27"/>
  <c r="AU179" i="27" s="1"/>
  <c r="AY179" i="27"/>
  <c r="AZ179" i="27"/>
  <c r="BB179" i="27"/>
  <c r="BC179" i="27"/>
  <c r="A179" i="27" l="1"/>
  <c r="N179" i="27"/>
  <c r="O179" i="27" s="1"/>
  <c r="BG179" i="27"/>
  <c r="M179" i="27"/>
  <c r="BA179" i="27"/>
  <c r="AV179" i="27"/>
  <c r="AL179" i="27"/>
  <c r="AN179" i="27" s="1"/>
  <c r="BK179" i="27"/>
  <c r="BF179" i="27"/>
  <c r="AT179" i="27"/>
  <c r="AP179" i="27"/>
  <c r="AR179" i="27" s="1"/>
  <c r="BI179" i="27"/>
  <c r="L133" i="27"/>
  <c r="K133" i="27"/>
  <c r="AP133" i="27"/>
  <c r="AR133" i="27" s="1"/>
  <c r="I133" i="27"/>
  <c r="BG133" i="27" s="1"/>
  <c r="J133" i="27"/>
  <c r="AK133" i="27"/>
  <c r="AQ133" i="27"/>
  <c r="AS133" i="27"/>
  <c r="AU133" i="27" s="1"/>
  <c r="AY133" i="27"/>
  <c r="AZ133" i="27"/>
  <c r="BB133" i="27"/>
  <c r="BC133" i="27"/>
  <c r="M133" i="27" l="1"/>
  <c r="N133" i="27"/>
  <c r="O133" i="27" s="1"/>
  <c r="BK133" i="27"/>
  <c r="BI133" i="27"/>
  <c r="BF133" i="27"/>
  <c r="BH133" i="27"/>
  <c r="AV133" i="27"/>
  <c r="AL133" i="27"/>
  <c r="AN133" i="27" s="1"/>
  <c r="AM133" i="27"/>
  <c r="A133" i="27"/>
  <c r="BA133" i="27"/>
  <c r="AT133" i="27"/>
  <c r="H597" i="30" l="1"/>
  <c r="H595" i="30"/>
  <c r="H399" i="30"/>
  <c r="H355" i="30"/>
  <c r="H298" i="30"/>
  <c r="H213" i="30"/>
  <c r="H264" i="30"/>
  <c r="H590" i="30"/>
  <c r="H542" i="30"/>
  <c r="H510" i="30"/>
  <c r="H370" i="30"/>
  <c r="H290" i="30"/>
  <c r="H261" i="30"/>
  <c r="H203" i="30"/>
  <c r="H147" i="30"/>
  <c r="H208" i="30"/>
  <c r="H369" i="30"/>
  <c r="H345" i="30"/>
  <c r="H259" i="30"/>
  <c r="H202" i="30"/>
  <c r="H371" i="30"/>
  <c r="H91" i="30"/>
  <c r="H314" i="30"/>
  <c r="H258" i="30"/>
  <c r="H229" i="30"/>
  <c r="H201" i="30"/>
  <c r="H145" i="30"/>
  <c r="H88" i="30"/>
  <c r="H603" i="30"/>
  <c r="H571" i="30"/>
  <c r="H555" i="30"/>
  <c r="H367" i="30"/>
  <c r="H341" i="30"/>
  <c r="H313" i="30"/>
  <c r="H283" i="30"/>
  <c r="H257" i="30"/>
  <c r="H227" i="30"/>
  <c r="H170" i="30"/>
  <c r="H114" i="30"/>
  <c r="H554" i="30"/>
  <c r="H538" i="30"/>
  <c r="H312" i="30"/>
  <c r="H282" i="30"/>
  <c r="H256" i="30"/>
  <c r="H226" i="30"/>
  <c r="H197" i="30"/>
  <c r="H169" i="30"/>
  <c r="H113" i="30"/>
  <c r="H56" i="30"/>
  <c r="H255" i="30"/>
  <c r="H239" i="30"/>
  <c r="H223" i="30"/>
  <c r="H207" i="30"/>
  <c r="H191" i="30"/>
  <c r="H175" i="30"/>
  <c r="H143" i="30"/>
  <c r="H111" i="30"/>
  <c r="H95" i="30"/>
  <c r="H414" i="30"/>
  <c r="H382" i="30"/>
  <c r="H366" i="30"/>
  <c r="H350" i="30"/>
  <c r="H334" i="30"/>
  <c r="H270" i="30"/>
  <c r="H254" i="30"/>
  <c r="H238" i="30"/>
  <c r="H222" i="30"/>
  <c r="H142" i="30"/>
  <c r="H126" i="30"/>
  <c r="H110" i="30"/>
  <c r="H94" i="30"/>
  <c r="H78" i="30"/>
  <c r="H30" i="30"/>
  <c r="H14" i="30"/>
  <c r="H333" i="30"/>
  <c r="H285" i="30"/>
  <c r="H237" i="30"/>
  <c r="H221" i="30"/>
  <c r="H205" i="30"/>
  <c r="H189" i="30"/>
  <c r="H173" i="30"/>
  <c r="H109" i="30"/>
  <c r="H332" i="30"/>
  <c r="H316" i="30"/>
  <c r="H300" i="30"/>
  <c r="H284" i="30"/>
  <c r="H268" i="30"/>
  <c r="H204" i="30"/>
  <c r="H156" i="30"/>
  <c r="H92" i="30"/>
  <c r="H60" i="30"/>
  <c r="H28" i="30"/>
  <c r="H12" i="30"/>
  <c r="H391" i="30"/>
  <c r="H359" i="30"/>
  <c r="H343" i="30"/>
  <c r="H327" i="30"/>
  <c r="H311" i="30"/>
  <c r="H279" i="30"/>
  <c r="H215" i="30"/>
  <c r="H199" i="30"/>
  <c r="H183" i="30"/>
  <c r="H167" i="30"/>
  <c r="H135" i="30"/>
  <c r="H119" i="30"/>
  <c r="H103" i="30"/>
  <c r="H87" i="30"/>
  <c r="H71" i="30"/>
  <c r="H55" i="30"/>
  <c r="H23" i="30"/>
  <c r="H406" i="30"/>
  <c r="H390" i="30"/>
  <c r="H374" i="30"/>
  <c r="H358" i="30"/>
  <c r="H342" i="30"/>
  <c r="H326" i="30"/>
  <c r="H310" i="30"/>
  <c r="H294" i="30"/>
  <c r="H278" i="30"/>
  <c r="H262" i="30"/>
  <c r="H246" i="30"/>
  <c r="H230" i="30"/>
  <c r="H214" i="30"/>
  <c r="H198" i="30"/>
  <c r="H182" i="30"/>
  <c r="H150" i="30"/>
  <c r="H134" i="30"/>
  <c r="H118" i="30"/>
  <c r="H102" i="30"/>
  <c r="H86" i="30"/>
  <c r="H70" i="30"/>
  <c r="H54" i="30"/>
  <c r="H38" i="30"/>
  <c r="H22" i="30"/>
  <c r="H6" i="30"/>
  <c r="H404" i="30"/>
  <c r="H388" i="30"/>
  <c r="H372" i="30"/>
  <c r="H308" i="30"/>
  <c r="H292" i="30"/>
  <c r="H276" i="30"/>
  <c r="H260" i="30"/>
  <c r="H244" i="30"/>
  <c r="H228" i="30"/>
  <c r="H148" i="30"/>
  <c r="H132" i="30"/>
  <c r="H116" i="30"/>
  <c r="H84" i="30"/>
  <c r="H52" i="30"/>
  <c r="H36" i="30"/>
  <c r="H20" i="30"/>
  <c r="H600" i="30"/>
  <c r="H3" i="30"/>
  <c r="H4" i="30"/>
  <c r="H5" i="30"/>
  <c r="H7" i="30"/>
  <c r="H8" i="30"/>
  <c r="H9" i="30"/>
  <c r="H10" i="30"/>
  <c r="H11" i="30"/>
  <c r="H13" i="30"/>
  <c r="H15" i="30"/>
  <c r="H16" i="30"/>
  <c r="H17" i="30"/>
  <c r="H18" i="30"/>
  <c r="H19" i="30"/>
  <c r="H21" i="30"/>
  <c r="H24" i="30"/>
  <c r="H25" i="30"/>
  <c r="H26" i="30"/>
  <c r="H27" i="30"/>
  <c r="H29" i="30"/>
  <c r="H31" i="30"/>
  <c r="H32" i="30"/>
  <c r="H33" i="30"/>
  <c r="H34" i="30"/>
  <c r="H35" i="30"/>
  <c r="H37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3" i="30"/>
  <c r="H57" i="30"/>
  <c r="H58" i="30"/>
  <c r="H59" i="30"/>
  <c r="H61" i="30"/>
  <c r="H62" i="30"/>
  <c r="H63" i="30"/>
  <c r="H64" i="30"/>
  <c r="H65" i="30"/>
  <c r="H66" i="30"/>
  <c r="H67" i="30"/>
  <c r="H68" i="30"/>
  <c r="H69" i="30"/>
  <c r="H72" i="30"/>
  <c r="H73" i="30"/>
  <c r="H74" i="30"/>
  <c r="H75" i="30"/>
  <c r="H76" i="30"/>
  <c r="H77" i="30"/>
  <c r="H79" i="30"/>
  <c r="H80" i="30"/>
  <c r="H81" i="30"/>
  <c r="H82" i="30"/>
  <c r="H83" i="30"/>
  <c r="H85" i="30"/>
  <c r="H89" i="30"/>
  <c r="H90" i="30"/>
  <c r="H93" i="30"/>
  <c r="H96" i="30"/>
  <c r="H97" i="30"/>
  <c r="H98" i="30"/>
  <c r="H99" i="30"/>
  <c r="H100" i="30"/>
  <c r="H101" i="30"/>
  <c r="H104" i="30"/>
  <c r="H105" i="30"/>
  <c r="H106" i="30"/>
  <c r="H107" i="30"/>
  <c r="H108" i="30"/>
  <c r="H112" i="30"/>
  <c r="H115" i="30"/>
  <c r="H117" i="30"/>
  <c r="H120" i="30"/>
  <c r="H121" i="30"/>
  <c r="H122" i="30"/>
  <c r="H123" i="30"/>
  <c r="H124" i="30"/>
  <c r="H125" i="30"/>
  <c r="H127" i="30"/>
  <c r="H128" i="30"/>
  <c r="H129" i="30"/>
  <c r="H130" i="30"/>
  <c r="H131" i="30"/>
  <c r="H133" i="30"/>
  <c r="H136" i="30"/>
  <c r="H137" i="30"/>
  <c r="H138" i="30"/>
  <c r="H139" i="30"/>
  <c r="H140" i="30"/>
  <c r="H141" i="30"/>
  <c r="H144" i="30"/>
  <c r="H146" i="30"/>
  <c r="H149" i="30"/>
  <c r="H151" i="30"/>
  <c r="H152" i="30"/>
  <c r="H153" i="30"/>
  <c r="H154" i="30"/>
  <c r="H155" i="30"/>
  <c r="H157" i="30"/>
  <c r="H158" i="30"/>
  <c r="H159" i="30"/>
  <c r="H160" i="30"/>
  <c r="H161" i="30"/>
  <c r="H162" i="30"/>
  <c r="H163" i="30"/>
  <c r="H164" i="30"/>
  <c r="H165" i="30"/>
  <c r="H166" i="30"/>
  <c r="H168" i="30"/>
  <c r="H171" i="30"/>
  <c r="H172" i="30"/>
  <c r="H174" i="30"/>
  <c r="H176" i="30"/>
  <c r="H177" i="30"/>
  <c r="H178" i="30"/>
  <c r="H179" i="30"/>
  <c r="H180" i="30"/>
  <c r="H181" i="30"/>
  <c r="H184" i="30"/>
  <c r="H185" i="30"/>
  <c r="H186" i="30"/>
  <c r="H187" i="30"/>
  <c r="H188" i="30"/>
  <c r="H190" i="30"/>
  <c r="H192" i="30"/>
  <c r="H193" i="30"/>
  <c r="H194" i="30"/>
  <c r="H195" i="30"/>
  <c r="H196" i="30"/>
  <c r="H200" i="30"/>
  <c r="H206" i="30"/>
  <c r="H209" i="30"/>
  <c r="H210" i="30"/>
  <c r="H211" i="30"/>
  <c r="H212" i="30"/>
  <c r="H216" i="30"/>
  <c r="H217" i="30"/>
  <c r="H218" i="30"/>
  <c r="H219" i="30"/>
  <c r="H220" i="30"/>
  <c r="H224" i="30"/>
  <c r="H225" i="30"/>
  <c r="H231" i="30"/>
  <c r="H232" i="30"/>
  <c r="H233" i="30"/>
  <c r="H234" i="30"/>
  <c r="H235" i="30"/>
  <c r="H236" i="30"/>
  <c r="H240" i="30"/>
  <c r="H241" i="30"/>
  <c r="H242" i="30"/>
  <c r="H243" i="30"/>
  <c r="H245" i="30"/>
  <c r="H247" i="30"/>
  <c r="H248" i="30"/>
  <c r="H249" i="30"/>
  <c r="H250" i="30"/>
  <c r="H251" i="30"/>
  <c r="H252" i="30"/>
  <c r="H253" i="30"/>
  <c r="H263" i="30"/>
  <c r="H265" i="30"/>
  <c r="H266" i="30"/>
  <c r="H267" i="30"/>
  <c r="H269" i="30"/>
  <c r="H271" i="30"/>
  <c r="H272" i="30"/>
  <c r="H273" i="30"/>
  <c r="H274" i="30"/>
  <c r="H275" i="30"/>
  <c r="H277" i="30"/>
  <c r="H280" i="30"/>
  <c r="H281" i="30"/>
  <c r="H286" i="30"/>
  <c r="H287" i="30"/>
  <c r="H288" i="30"/>
  <c r="H289" i="30"/>
  <c r="H291" i="30"/>
  <c r="H293" i="30"/>
  <c r="H295" i="30"/>
  <c r="H296" i="30"/>
  <c r="H297" i="30"/>
  <c r="H299" i="30"/>
  <c r="H301" i="30"/>
  <c r="H302" i="30"/>
  <c r="H303" i="30"/>
  <c r="H304" i="30"/>
  <c r="H305" i="30"/>
  <c r="H306" i="30"/>
  <c r="H307" i="30"/>
  <c r="H309" i="30"/>
  <c r="H315" i="30"/>
  <c r="H317" i="30"/>
  <c r="H318" i="30"/>
  <c r="H319" i="30"/>
  <c r="H320" i="30"/>
  <c r="H321" i="30"/>
  <c r="H322" i="30"/>
  <c r="H323" i="30"/>
  <c r="H324" i="30"/>
  <c r="H325" i="30"/>
  <c r="H328" i="30"/>
  <c r="H329" i="30"/>
  <c r="H330" i="30"/>
  <c r="H331" i="30"/>
  <c r="H335" i="30"/>
  <c r="H336" i="30"/>
  <c r="H337" i="30"/>
  <c r="H338" i="30"/>
  <c r="H339" i="30"/>
  <c r="H340" i="30"/>
  <c r="H344" i="30"/>
  <c r="H346" i="30"/>
  <c r="H347" i="30"/>
  <c r="H348" i="30"/>
  <c r="H349" i="30"/>
  <c r="H351" i="30"/>
  <c r="H352" i="30"/>
  <c r="H353" i="30"/>
  <c r="H354" i="30"/>
  <c r="H356" i="30"/>
  <c r="H357" i="30"/>
  <c r="H360" i="30"/>
  <c r="H361" i="30"/>
  <c r="H362" i="30"/>
  <c r="H363" i="30"/>
  <c r="H364" i="30"/>
  <c r="H365" i="30"/>
  <c r="H368" i="30"/>
  <c r="H373" i="30"/>
  <c r="H375" i="30"/>
  <c r="H376" i="30"/>
  <c r="H377" i="30"/>
  <c r="H378" i="30"/>
  <c r="H379" i="30"/>
  <c r="H380" i="30"/>
  <c r="H381" i="30"/>
  <c r="H383" i="30"/>
  <c r="H384" i="30"/>
  <c r="H385" i="30"/>
  <c r="H386" i="30"/>
  <c r="H387" i="30"/>
  <c r="H389" i="30"/>
  <c r="H392" i="30"/>
  <c r="H393" i="30"/>
  <c r="H394" i="30"/>
  <c r="H395" i="30"/>
  <c r="H396" i="30"/>
  <c r="H397" i="30"/>
  <c r="H398" i="30"/>
  <c r="H400" i="30"/>
  <c r="H401" i="30"/>
  <c r="H402" i="30"/>
  <c r="H403" i="30"/>
  <c r="H405" i="30"/>
  <c r="H407" i="30"/>
  <c r="H408" i="30"/>
  <c r="H409" i="30"/>
  <c r="H410" i="30"/>
  <c r="H411" i="30"/>
  <c r="H412" i="30"/>
  <c r="H413" i="30"/>
  <c r="H415" i="30"/>
  <c r="H416" i="30"/>
  <c r="H417" i="30"/>
  <c r="H418" i="30"/>
  <c r="H419" i="30"/>
  <c r="H420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H433" i="30"/>
  <c r="H434" i="30"/>
  <c r="H435" i="30"/>
  <c r="H436" i="30"/>
  <c r="H437" i="30"/>
  <c r="H438" i="30"/>
  <c r="H439" i="30"/>
  <c r="H440" i="30"/>
  <c r="H441" i="30"/>
  <c r="H442" i="30"/>
  <c r="H443" i="30"/>
  <c r="H444" i="30"/>
  <c r="H445" i="30"/>
  <c r="H446" i="30"/>
  <c r="H447" i="30"/>
  <c r="H448" i="30"/>
  <c r="H449" i="30"/>
  <c r="H450" i="30"/>
  <c r="H451" i="30"/>
  <c r="H452" i="30"/>
  <c r="H453" i="30"/>
  <c r="H454" i="30"/>
  <c r="H455" i="30"/>
  <c r="H456" i="30"/>
  <c r="H457" i="30"/>
  <c r="H458" i="30"/>
  <c r="H459" i="30"/>
  <c r="H460" i="30"/>
  <c r="H461" i="30"/>
  <c r="H462" i="30"/>
  <c r="H463" i="30"/>
  <c r="H464" i="30"/>
  <c r="H465" i="30"/>
  <c r="H466" i="30"/>
  <c r="H467" i="30"/>
  <c r="H468" i="30"/>
  <c r="H469" i="30"/>
  <c r="H470" i="30"/>
  <c r="H471" i="30"/>
  <c r="H472" i="30"/>
  <c r="H473" i="30"/>
  <c r="H474" i="30"/>
  <c r="H475" i="30"/>
  <c r="H476" i="30"/>
  <c r="H477" i="30"/>
  <c r="H478" i="30"/>
  <c r="H479" i="30"/>
  <c r="H480" i="30"/>
  <c r="H481" i="30"/>
  <c r="H482" i="30"/>
  <c r="H483" i="30"/>
  <c r="H484" i="30"/>
  <c r="H485" i="30"/>
  <c r="H486" i="30"/>
  <c r="H487" i="30"/>
  <c r="H488" i="30"/>
  <c r="H489" i="30"/>
  <c r="H490" i="30"/>
  <c r="H491" i="30"/>
  <c r="H492" i="30"/>
  <c r="H493" i="30"/>
  <c r="H494" i="30"/>
  <c r="H495" i="30"/>
  <c r="H496" i="30"/>
  <c r="H497" i="30"/>
  <c r="H498" i="30"/>
  <c r="H499" i="30"/>
  <c r="H500" i="30"/>
  <c r="H501" i="30"/>
  <c r="H502" i="30"/>
  <c r="H503" i="30"/>
  <c r="H504" i="30"/>
  <c r="H505" i="30"/>
  <c r="H506" i="30"/>
  <c r="H507" i="30"/>
  <c r="H508" i="30"/>
  <c r="H509" i="30"/>
  <c r="H511" i="30"/>
  <c r="H512" i="30"/>
  <c r="H513" i="30"/>
  <c r="H514" i="30"/>
  <c r="H515" i="30"/>
  <c r="H516" i="30"/>
  <c r="H517" i="30"/>
  <c r="H518" i="30"/>
  <c r="H519" i="30"/>
  <c r="H520" i="30"/>
  <c r="H521" i="30"/>
  <c r="H522" i="30"/>
  <c r="H523" i="30"/>
  <c r="H524" i="30"/>
  <c r="H525" i="30"/>
  <c r="H526" i="30"/>
  <c r="H527" i="30"/>
  <c r="H528" i="30"/>
  <c r="H529" i="30"/>
  <c r="H530" i="30"/>
  <c r="H531" i="30"/>
  <c r="H532" i="30"/>
  <c r="H533" i="30"/>
  <c r="H534" i="30"/>
  <c r="H535" i="30"/>
  <c r="H536" i="30"/>
  <c r="H537" i="30"/>
  <c r="H539" i="30"/>
  <c r="H540" i="30"/>
  <c r="H541" i="30"/>
  <c r="H543" i="30"/>
  <c r="H544" i="30"/>
  <c r="H545" i="30"/>
  <c r="H546" i="30"/>
  <c r="H547" i="30"/>
  <c r="H548" i="30"/>
  <c r="H549" i="30"/>
  <c r="H550" i="30"/>
  <c r="H551" i="30"/>
  <c r="H552" i="30"/>
  <c r="H553" i="30"/>
  <c r="H556" i="30"/>
  <c r="H557" i="30"/>
  <c r="H558" i="30"/>
  <c r="H559" i="30"/>
  <c r="H560" i="30"/>
  <c r="H561" i="30"/>
  <c r="H562" i="30"/>
  <c r="H563" i="30"/>
  <c r="H564" i="30"/>
  <c r="H565" i="30"/>
  <c r="H566" i="30"/>
  <c r="H567" i="30"/>
  <c r="H568" i="30"/>
  <c r="H569" i="30"/>
  <c r="H570" i="30"/>
  <c r="H572" i="30"/>
  <c r="H573" i="30"/>
  <c r="H574" i="30"/>
  <c r="H575" i="30"/>
  <c r="H576" i="30"/>
  <c r="H577" i="30"/>
  <c r="H578" i="30"/>
  <c r="H579" i="30"/>
  <c r="H580" i="30"/>
  <c r="H581" i="30"/>
  <c r="H582" i="30"/>
  <c r="H583" i="30"/>
  <c r="H584" i="30"/>
  <c r="H585" i="30"/>
  <c r="H586" i="30"/>
  <c r="H587" i="30"/>
  <c r="H588" i="30"/>
  <c r="H589" i="30"/>
  <c r="H591" i="30"/>
  <c r="H592" i="30"/>
  <c r="H593" i="30"/>
  <c r="H594" i="30"/>
  <c r="H596" i="30"/>
  <c r="H598" i="30"/>
  <c r="H599" i="30"/>
  <c r="H601" i="30"/>
  <c r="H602" i="30"/>
  <c r="H604" i="30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  <c r="I75" i="30"/>
  <c r="I76" i="30"/>
  <c r="I77" i="30"/>
  <c r="I78" i="30"/>
  <c r="I79" i="30"/>
  <c r="I80" i="30"/>
  <c r="I81" i="30"/>
  <c r="I82" i="30"/>
  <c r="I83" i="30"/>
  <c r="I84" i="30"/>
  <c r="I85" i="30"/>
  <c r="I86" i="30"/>
  <c r="I87" i="30"/>
  <c r="I88" i="30"/>
  <c r="I89" i="30"/>
  <c r="I90" i="30"/>
  <c r="I91" i="30"/>
  <c r="I92" i="30"/>
  <c r="I93" i="30"/>
  <c r="I94" i="30"/>
  <c r="I95" i="30"/>
  <c r="I96" i="30"/>
  <c r="I97" i="30"/>
  <c r="I98" i="30"/>
  <c r="I99" i="30"/>
  <c r="I100" i="30"/>
  <c r="I101" i="30"/>
  <c r="I102" i="30"/>
  <c r="I103" i="30"/>
  <c r="I104" i="30"/>
  <c r="I105" i="30"/>
  <c r="I106" i="30"/>
  <c r="I107" i="30"/>
  <c r="I108" i="30"/>
  <c r="I109" i="30"/>
  <c r="I110" i="30"/>
  <c r="I111" i="30"/>
  <c r="I112" i="30"/>
  <c r="I113" i="30"/>
  <c r="I114" i="30"/>
  <c r="I115" i="30"/>
  <c r="I116" i="30"/>
  <c r="I117" i="30"/>
  <c r="I118" i="30"/>
  <c r="I119" i="30"/>
  <c r="I120" i="30"/>
  <c r="I121" i="30"/>
  <c r="I122" i="30"/>
  <c r="I123" i="30"/>
  <c r="I124" i="30"/>
  <c r="I125" i="30"/>
  <c r="I126" i="30"/>
  <c r="I127" i="30"/>
  <c r="I128" i="30"/>
  <c r="I129" i="30"/>
  <c r="I130" i="30"/>
  <c r="I131" i="30"/>
  <c r="I132" i="30"/>
  <c r="I133" i="30"/>
  <c r="I134" i="30"/>
  <c r="I135" i="30"/>
  <c r="I136" i="30"/>
  <c r="I137" i="30"/>
  <c r="I138" i="30"/>
  <c r="I139" i="30"/>
  <c r="I140" i="30"/>
  <c r="I141" i="30"/>
  <c r="I142" i="30"/>
  <c r="I143" i="30"/>
  <c r="I144" i="30"/>
  <c r="I145" i="30"/>
  <c r="I146" i="30"/>
  <c r="I147" i="30"/>
  <c r="I148" i="30"/>
  <c r="I149" i="30"/>
  <c r="I150" i="30"/>
  <c r="I151" i="30"/>
  <c r="I152" i="30"/>
  <c r="I153" i="30"/>
  <c r="I154" i="30"/>
  <c r="I155" i="30"/>
  <c r="I156" i="30"/>
  <c r="I157" i="30"/>
  <c r="I158" i="30"/>
  <c r="I159" i="30"/>
  <c r="I160" i="30"/>
  <c r="I161" i="30"/>
  <c r="I162" i="30"/>
  <c r="I163" i="30"/>
  <c r="I164" i="30"/>
  <c r="I165" i="30"/>
  <c r="I166" i="30"/>
  <c r="I167" i="30"/>
  <c r="I168" i="30"/>
  <c r="I169" i="30"/>
  <c r="I170" i="30"/>
  <c r="I171" i="30"/>
  <c r="I172" i="30"/>
  <c r="I173" i="30"/>
  <c r="I174" i="30"/>
  <c r="I175" i="30"/>
  <c r="I176" i="30"/>
  <c r="I177" i="30"/>
  <c r="I178" i="30"/>
  <c r="I179" i="30"/>
  <c r="I180" i="30"/>
  <c r="I181" i="30"/>
  <c r="I182" i="30"/>
  <c r="I183" i="30"/>
  <c r="I184" i="30"/>
  <c r="I185" i="30"/>
  <c r="I186" i="30"/>
  <c r="I187" i="30"/>
  <c r="I188" i="30"/>
  <c r="I189" i="30"/>
  <c r="I190" i="30"/>
  <c r="I191" i="30"/>
  <c r="I192" i="30"/>
  <c r="I193" i="30"/>
  <c r="I194" i="30"/>
  <c r="I195" i="30"/>
  <c r="I196" i="30"/>
  <c r="I197" i="30"/>
  <c r="I198" i="30"/>
  <c r="I199" i="30"/>
  <c r="I200" i="30"/>
  <c r="I201" i="30"/>
  <c r="I202" i="30"/>
  <c r="I203" i="30"/>
  <c r="I204" i="30"/>
  <c r="I205" i="30"/>
  <c r="I206" i="30"/>
  <c r="I207" i="30"/>
  <c r="I208" i="30"/>
  <c r="I209" i="30"/>
  <c r="I210" i="30"/>
  <c r="I211" i="30"/>
  <c r="I212" i="30"/>
  <c r="I213" i="30"/>
  <c r="I214" i="30"/>
  <c r="I215" i="30"/>
  <c r="I216" i="30"/>
  <c r="I217" i="30"/>
  <c r="I218" i="30"/>
  <c r="I219" i="30"/>
  <c r="I220" i="30"/>
  <c r="I221" i="30"/>
  <c r="I222" i="30"/>
  <c r="I223" i="30"/>
  <c r="I224" i="30"/>
  <c r="I225" i="30"/>
  <c r="I226" i="30"/>
  <c r="I227" i="30"/>
  <c r="I228" i="30"/>
  <c r="I229" i="30"/>
  <c r="I230" i="30"/>
  <c r="I231" i="30"/>
  <c r="I232" i="30"/>
  <c r="I233" i="30"/>
  <c r="I234" i="30"/>
  <c r="I235" i="30"/>
  <c r="I236" i="30"/>
  <c r="I237" i="30"/>
  <c r="I238" i="30"/>
  <c r="I239" i="30"/>
  <c r="I240" i="30"/>
  <c r="I241" i="30"/>
  <c r="I242" i="30"/>
  <c r="I243" i="30"/>
  <c r="I244" i="30"/>
  <c r="I245" i="30"/>
  <c r="I246" i="30"/>
  <c r="I247" i="30"/>
  <c r="I248" i="30"/>
  <c r="I249" i="30"/>
  <c r="I250" i="30"/>
  <c r="I251" i="30"/>
  <c r="I252" i="30"/>
  <c r="I253" i="30"/>
  <c r="I254" i="30"/>
  <c r="I255" i="30"/>
  <c r="I256" i="30"/>
  <c r="I257" i="30"/>
  <c r="I258" i="30"/>
  <c r="I259" i="30"/>
  <c r="I260" i="30"/>
  <c r="I261" i="30"/>
  <c r="I262" i="30"/>
  <c r="I263" i="30"/>
  <c r="I264" i="30"/>
  <c r="I265" i="30"/>
  <c r="I266" i="30"/>
  <c r="I267" i="30"/>
  <c r="I268" i="30"/>
  <c r="I269" i="30"/>
  <c r="I270" i="30"/>
  <c r="I271" i="30"/>
  <c r="I272" i="30"/>
  <c r="I273" i="30"/>
  <c r="I274" i="30"/>
  <c r="I275" i="30"/>
  <c r="I276" i="30"/>
  <c r="I277" i="30"/>
  <c r="I278" i="30"/>
  <c r="I279" i="30"/>
  <c r="I280" i="30"/>
  <c r="I281" i="30"/>
  <c r="I282" i="30"/>
  <c r="I283" i="30"/>
  <c r="I284" i="30"/>
  <c r="I285" i="30"/>
  <c r="I286" i="30"/>
  <c r="I287" i="30"/>
  <c r="I288" i="30"/>
  <c r="I289" i="30"/>
  <c r="I290" i="30"/>
  <c r="I291" i="30"/>
  <c r="I292" i="30"/>
  <c r="I293" i="30"/>
  <c r="I294" i="30"/>
  <c r="I295" i="30"/>
  <c r="I296" i="30"/>
  <c r="I297" i="30"/>
  <c r="I298" i="30"/>
  <c r="I299" i="30"/>
  <c r="I300" i="30"/>
  <c r="I301" i="30"/>
  <c r="I302" i="30"/>
  <c r="I303" i="30"/>
  <c r="I304" i="30"/>
  <c r="I305" i="30"/>
  <c r="I306" i="30"/>
  <c r="I307" i="30"/>
  <c r="I308" i="30"/>
  <c r="I309" i="30"/>
  <c r="I310" i="30"/>
  <c r="I311" i="30"/>
  <c r="I312" i="30"/>
  <c r="I313" i="30"/>
  <c r="I314" i="30"/>
  <c r="I315" i="30"/>
  <c r="I316" i="30"/>
  <c r="I317" i="30"/>
  <c r="I318" i="30"/>
  <c r="I319" i="30"/>
  <c r="I320" i="30"/>
  <c r="I321" i="30"/>
  <c r="I322" i="30"/>
  <c r="I323" i="30"/>
  <c r="I324" i="30"/>
  <c r="I325" i="30"/>
  <c r="I326" i="30"/>
  <c r="I327" i="30"/>
  <c r="I328" i="30"/>
  <c r="I329" i="30"/>
  <c r="I330" i="30"/>
  <c r="I331" i="30"/>
  <c r="I332" i="30"/>
  <c r="I333" i="30"/>
  <c r="I334" i="30"/>
  <c r="I335" i="30"/>
  <c r="I336" i="30"/>
  <c r="I337" i="30"/>
  <c r="I338" i="30"/>
  <c r="I339" i="30"/>
  <c r="I340" i="30"/>
  <c r="I341" i="30"/>
  <c r="I342" i="30"/>
  <c r="I343" i="30"/>
  <c r="I344" i="30"/>
  <c r="I345" i="30"/>
  <c r="I346" i="30"/>
  <c r="I347" i="30"/>
  <c r="I348" i="30"/>
  <c r="I349" i="30"/>
  <c r="I350" i="30"/>
  <c r="I351" i="30"/>
  <c r="I352" i="30"/>
  <c r="I353" i="30"/>
  <c r="I354" i="30"/>
  <c r="I355" i="30"/>
  <c r="I356" i="30"/>
  <c r="I357" i="30"/>
  <c r="I358" i="30"/>
  <c r="I359" i="30"/>
  <c r="I360" i="30"/>
  <c r="I361" i="30"/>
  <c r="I362" i="30"/>
  <c r="I363" i="30"/>
  <c r="I364" i="30"/>
  <c r="I365" i="30"/>
  <c r="I366" i="30"/>
  <c r="I367" i="30"/>
  <c r="I368" i="30"/>
  <c r="I369" i="30"/>
  <c r="I370" i="30"/>
  <c r="I371" i="30"/>
  <c r="I372" i="30"/>
  <c r="I373" i="30"/>
  <c r="I374" i="30"/>
  <c r="I375" i="30"/>
  <c r="I376" i="30"/>
  <c r="I377" i="30"/>
  <c r="I378" i="30"/>
  <c r="I379" i="30"/>
  <c r="I380" i="30"/>
  <c r="I381" i="30"/>
  <c r="I382" i="30"/>
  <c r="I383" i="30"/>
  <c r="I384" i="30"/>
  <c r="I385" i="30"/>
  <c r="I386" i="30"/>
  <c r="I387" i="30"/>
  <c r="I388" i="30"/>
  <c r="I389" i="30"/>
  <c r="I390" i="30"/>
  <c r="I391" i="30"/>
  <c r="I392" i="30"/>
  <c r="I393" i="30"/>
  <c r="I394" i="30"/>
  <c r="I395" i="30"/>
  <c r="I396" i="30"/>
  <c r="I397" i="30"/>
  <c r="I398" i="30"/>
  <c r="I399" i="30"/>
  <c r="I400" i="30"/>
  <c r="I401" i="30"/>
  <c r="I402" i="30"/>
  <c r="I403" i="30"/>
  <c r="I404" i="30"/>
  <c r="I405" i="30"/>
  <c r="I406" i="30"/>
  <c r="I407" i="30"/>
  <c r="I408" i="30"/>
  <c r="I409" i="30"/>
  <c r="I410" i="30"/>
  <c r="I411" i="30"/>
  <c r="I412" i="30"/>
  <c r="I413" i="30"/>
  <c r="I414" i="30"/>
  <c r="I415" i="30"/>
  <c r="I416" i="30"/>
  <c r="I417" i="30"/>
  <c r="I418" i="30"/>
  <c r="I419" i="30"/>
  <c r="I420" i="30"/>
  <c r="I421" i="30"/>
  <c r="I422" i="30"/>
  <c r="I423" i="30"/>
  <c r="I424" i="30"/>
  <c r="I425" i="30"/>
  <c r="I426" i="30"/>
  <c r="I427" i="30"/>
  <c r="I428" i="30"/>
  <c r="I429" i="30"/>
  <c r="I430" i="30"/>
  <c r="I431" i="30"/>
  <c r="I432" i="30"/>
  <c r="I433" i="30"/>
  <c r="I434" i="30"/>
  <c r="I435" i="30"/>
  <c r="I436" i="30"/>
  <c r="I437" i="30"/>
  <c r="I438" i="30"/>
  <c r="I439" i="30"/>
  <c r="I440" i="30"/>
  <c r="I441" i="30"/>
  <c r="I442" i="30"/>
  <c r="I443" i="30"/>
  <c r="I444" i="30"/>
  <c r="I445" i="30"/>
  <c r="I446" i="30"/>
  <c r="I447" i="30"/>
  <c r="I448" i="30"/>
  <c r="I449" i="30"/>
  <c r="I450" i="30"/>
  <c r="I451" i="30"/>
  <c r="I452" i="30"/>
  <c r="I453" i="30"/>
  <c r="I454" i="30"/>
  <c r="I455" i="30"/>
  <c r="I456" i="30"/>
  <c r="I457" i="30"/>
  <c r="I458" i="30"/>
  <c r="I459" i="30"/>
  <c r="I460" i="30"/>
  <c r="I461" i="30"/>
  <c r="I462" i="30"/>
  <c r="I463" i="30"/>
  <c r="I464" i="30"/>
  <c r="I465" i="30"/>
  <c r="I466" i="30"/>
  <c r="I467" i="30"/>
  <c r="I468" i="30"/>
  <c r="I469" i="30"/>
  <c r="I470" i="30"/>
  <c r="I471" i="30"/>
  <c r="I472" i="30"/>
  <c r="I473" i="30"/>
  <c r="I474" i="30"/>
  <c r="I475" i="30"/>
  <c r="I476" i="30"/>
  <c r="I477" i="30"/>
  <c r="I478" i="30"/>
  <c r="I479" i="30"/>
  <c r="I480" i="30"/>
  <c r="I481" i="30"/>
  <c r="I482" i="30"/>
  <c r="I483" i="30"/>
  <c r="I484" i="30"/>
  <c r="I485" i="30"/>
  <c r="I486" i="30"/>
  <c r="I487" i="30"/>
  <c r="I488" i="30"/>
  <c r="I489" i="30"/>
  <c r="I490" i="30"/>
  <c r="I491" i="30"/>
  <c r="I492" i="30"/>
  <c r="I493" i="30"/>
  <c r="I494" i="30"/>
  <c r="I495" i="30"/>
  <c r="I496" i="30"/>
  <c r="I497" i="30"/>
  <c r="I498" i="30"/>
  <c r="I499" i="30"/>
  <c r="I500" i="30"/>
  <c r="I501" i="30"/>
  <c r="I502" i="30"/>
  <c r="I503" i="30"/>
  <c r="I504" i="30"/>
  <c r="I505" i="30"/>
  <c r="I506" i="30"/>
  <c r="I507" i="30"/>
  <c r="I508" i="30"/>
  <c r="I509" i="30"/>
  <c r="I510" i="30"/>
  <c r="I511" i="30"/>
  <c r="I512" i="30"/>
  <c r="I513" i="30"/>
  <c r="I514" i="30"/>
  <c r="I515" i="30"/>
  <c r="I516" i="30"/>
  <c r="I517" i="30"/>
  <c r="I518" i="30"/>
  <c r="I519" i="30"/>
  <c r="I520" i="30"/>
  <c r="I521" i="30"/>
  <c r="I522" i="30"/>
  <c r="I523" i="30"/>
  <c r="I524" i="30"/>
  <c r="I525" i="30"/>
  <c r="I526" i="30"/>
  <c r="I527" i="30"/>
  <c r="I528" i="30"/>
  <c r="I529" i="30"/>
  <c r="I530" i="30"/>
  <c r="I531" i="30"/>
  <c r="I532" i="30"/>
  <c r="I533" i="30"/>
  <c r="I534" i="30"/>
  <c r="I535" i="30"/>
  <c r="I536" i="30"/>
  <c r="I537" i="30"/>
  <c r="I538" i="30"/>
  <c r="I539" i="30"/>
  <c r="I540" i="30"/>
  <c r="I541" i="30"/>
  <c r="I542" i="30"/>
  <c r="I543" i="30"/>
  <c r="I544" i="30"/>
  <c r="I545" i="30"/>
  <c r="I546" i="30"/>
  <c r="I547" i="30"/>
  <c r="I548" i="30"/>
  <c r="I549" i="30"/>
  <c r="I550" i="30"/>
  <c r="I551" i="30"/>
  <c r="I552" i="30"/>
  <c r="I553" i="30"/>
  <c r="I554" i="30"/>
  <c r="I555" i="30"/>
  <c r="I556" i="30"/>
  <c r="I557" i="30"/>
  <c r="I558" i="30"/>
  <c r="I559" i="30"/>
  <c r="I560" i="30"/>
  <c r="I561" i="30"/>
  <c r="I562" i="30"/>
  <c r="I563" i="30"/>
  <c r="I564" i="30"/>
  <c r="I565" i="30"/>
  <c r="I566" i="30"/>
  <c r="I567" i="30"/>
  <c r="I568" i="30"/>
  <c r="I569" i="30"/>
  <c r="I570" i="30"/>
  <c r="I571" i="30"/>
  <c r="I572" i="30"/>
  <c r="I573" i="30"/>
  <c r="I574" i="30"/>
  <c r="I575" i="30"/>
  <c r="I576" i="30"/>
  <c r="I577" i="30"/>
  <c r="I578" i="30"/>
  <c r="I579" i="30"/>
  <c r="I580" i="30"/>
  <c r="I581" i="30"/>
  <c r="I582" i="30"/>
  <c r="I583" i="30"/>
  <c r="I584" i="30"/>
  <c r="I585" i="30"/>
  <c r="I586" i="30"/>
  <c r="I587" i="30"/>
  <c r="I588" i="30"/>
  <c r="I589" i="30"/>
  <c r="I590" i="30"/>
  <c r="I591" i="30"/>
  <c r="I592" i="30"/>
  <c r="I593" i="30"/>
  <c r="I594" i="30"/>
  <c r="I595" i="30"/>
  <c r="I596" i="30"/>
  <c r="I597" i="30"/>
  <c r="I598" i="30"/>
  <c r="I599" i="30"/>
  <c r="I600" i="30"/>
  <c r="I601" i="30"/>
  <c r="I602" i="30"/>
  <c r="I603" i="30"/>
  <c r="I604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0" i="30"/>
  <c r="J71" i="30"/>
  <c r="J72" i="30"/>
  <c r="J73" i="30"/>
  <c r="J74" i="30"/>
  <c r="J75" i="30"/>
  <c r="J76" i="30"/>
  <c r="J77" i="30"/>
  <c r="J78" i="30"/>
  <c r="J79" i="30"/>
  <c r="J80" i="30"/>
  <c r="J81" i="30"/>
  <c r="J82" i="30"/>
  <c r="J83" i="30"/>
  <c r="J84" i="30"/>
  <c r="J85" i="30"/>
  <c r="J86" i="30"/>
  <c r="J87" i="30"/>
  <c r="J88" i="30"/>
  <c r="J89" i="30"/>
  <c r="J90" i="30"/>
  <c r="J91" i="30"/>
  <c r="J92" i="30"/>
  <c r="J93" i="30"/>
  <c r="J94" i="30"/>
  <c r="J95" i="30"/>
  <c r="J96" i="30"/>
  <c r="J97" i="30"/>
  <c r="J98" i="30"/>
  <c r="J99" i="30"/>
  <c r="J100" i="30"/>
  <c r="J101" i="30"/>
  <c r="J102" i="30"/>
  <c r="J103" i="30"/>
  <c r="J104" i="30"/>
  <c r="J105" i="30"/>
  <c r="J106" i="30"/>
  <c r="J107" i="30"/>
  <c r="J108" i="30"/>
  <c r="J109" i="30"/>
  <c r="J110" i="30"/>
  <c r="J111" i="30"/>
  <c r="J112" i="30"/>
  <c r="J113" i="30"/>
  <c r="J114" i="30"/>
  <c r="J115" i="30"/>
  <c r="J116" i="30"/>
  <c r="J117" i="30"/>
  <c r="J118" i="30"/>
  <c r="J119" i="30"/>
  <c r="J120" i="30"/>
  <c r="J121" i="30"/>
  <c r="J122" i="30"/>
  <c r="J123" i="30"/>
  <c r="J124" i="30"/>
  <c r="J125" i="30"/>
  <c r="J126" i="30"/>
  <c r="J127" i="30"/>
  <c r="J128" i="30"/>
  <c r="J129" i="30"/>
  <c r="J130" i="30"/>
  <c r="J131" i="30"/>
  <c r="J132" i="30"/>
  <c r="J133" i="30"/>
  <c r="J134" i="30"/>
  <c r="J135" i="30"/>
  <c r="J136" i="30"/>
  <c r="J137" i="30"/>
  <c r="J138" i="30"/>
  <c r="J139" i="30"/>
  <c r="J140" i="30"/>
  <c r="J141" i="30"/>
  <c r="J142" i="30"/>
  <c r="J143" i="30"/>
  <c r="J144" i="30"/>
  <c r="J145" i="30"/>
  <c r="J146" i="30"/>
  <c r="J147" i="30"/>
  <c r="J148" i="30"/>
  <c r="J149" i="30"/>
  <c r="J150" i="30"/>
  <c r="J151" i="30"/>
  <c r="J152" i="30"/>
  <c r="J153" i="30"/>
  <c r="J154" i="30"/>
  <c r="J155" i="30"/>
  <c r="J156" i="30"/>
  <c r="J157" i="30"/>
  <c r="J158" i="30"/>
  <c r="J159" i="30"/>
  <c r="J160" i="30"/>
  <c r="J161" i="30"/>
  <c r="J162" i="30"/>
  <c r="J163" i="30"/>
  <c r="J164" i="30"/>
  <c r="J165" i="30"/>
  <c r="J166" i="30"/>
  <c r="J167" i="30"/>
  <c r="J168" i="30"/>
  <c r="J169" i="30"/>
  <c r="J170" i="30"/>
  <c r="J171" i="30"/>
  <c r="J172" i="30"/>
  <c r="J173" i="30"/>
  <c r="J174" i="30"/>
  <c r="J175" i="30"/>
  <c r="J176" i="30"/>
  <c r="J177" i="30"/>
  <c r="J178" i="30"/>
  <c r="J179" i="30"/>
  <c r="J180" i="30"/>
  <c r="J181" i="30"/>
  <c r="J182" i="30"/>
  <c r="J183" i="30"/>
  <c r="J184" i="30"/>
  <c r="J185" i="30"/>
  <c r="J186" i="30"/>
  <c r="J187" i="30"/>
  <c r="J188" i="30"/>
  <c r="J189" i="30"/>
  <c r="J190" i="30"/>
  <c r="J191" i="30"/>
  <c r="J192" i="30"/>
  <c r="J193" i="30"/>
  <c r="J194" i="30"/>
  <c r="J195" i="30"/>
  <c r="J196" i="30"/>
  <c r="J197" i="30"/>
  <c r="J198" i="30"/>
  <c r="J199" i="30"/>
  <c r="J200" i="30"/>
  <c r="J201" i="30"/>
  <c r="J202" i="30"/>
  <c r="J203" i="30"/>
  <c r="J204" i="30"/>
  <c r="J205" i="30"/>
  <c r="J206" i="30"/>
  <c r="J207" i="30"/>
  <c r="J208" i="30"/>
  <c r="J209" i="30"/>
  <c r="J210" i="30"/>
  <c r="J211" i="30"/>
  <c r="J212" i="30"/>
  <c r="J213" i="30"/>
  <c r="J214" i="30"/>
  <c r="J215" i="30"/>
  <c r="J216" i="30"/>
  <c r="J217" i="30"/>
  <c r="J218" i="30"/>
  <c r="J219" i="30"/>
  <c r="J220" i="30"/>
  <c r="J221" i="30"/>
  <c r="J222" i="30"/>
  <c r="J223" i="30"/>
  <c r="J224" i="30"/>
  <c r="J225" i="30"/>
  <c r="J226" i="30"/>
  <c r="J227" i="30"/>
  <c r="J228" i="30"/>
  <c r="J229" i="30"/>
  <c r="J230" i="30"/>
  <c r="J231" i="30"/>
  <c r="J232" i="30"/>
  <c r="J233" i="30"/>
  <c r="J234" i="30"/>
  <c r="J235" i="30"/>
  <c r="J236" i="30"/>
  <c r="J237" i="30"/>
  <c r="J238" i="30"/>
  <c r="J239" i="30"/>
  <c r="J240" i="30"/>
  <c r="J241" i="30"/>
  <c r="J242" i="30"/>
  <c r="J243" i="30"/>
  <c r="J244" i="30"/>
  <c r="J245" i="30"/>
  <c r="J246" i="30"/>
  <c r="J247" i="30"/>
  <c r="J248" i="30"/>
  <c r="J249" i="30"/>
  <c r="J250" i="30"/>
  <c r="J251" i="30"/>
  <c r="J252" i="30"/>
  <c r="J253" i="30"/>
  <c r="J254" i="30"/>
  <c r="J255" i="30"/>
  <c r="J256" i="30"/>
  <c r="J257" i="30"/>
  <c r="J258" i="30"/>
  <c r="J259" i="30"/>
  <c r="J260" i="30"/>
  <c r="J261" i="30"/>
  <c r="J262" i="30"/>
  <c r="J263" i="30"/>
  <c r="J264" i="30"/>
  <c r="J265" i="30"/>
  <c r="J266" i="30"/>
  <c r="J267" i="30"/>
  <c r="J268" i="30"/>
  <c r="J269" i="30"/>
  <c r="J270" i="30"/>
  <c r="J271" i="30"/>
  <c r="J272" i="30"/>
  <c r="J273" i="30"/>
  <c r="J274" i="30"/>
  <c r="J275" i="30"/>
  <c r="J276" i="30"/>
  <c r="J277" i="30"/>
  <c r="J278" i="30"/>
  <c r="J279" i="30"/>
  <c r="J280" i="30"/>
  <c r="J281" i="30"/>
  <c r="J282" i="30"/>
  <c r="J283" i="30"/>
  <c r="J284" i="30"/>
  <c r="J285" i="30"/>
  <c r="J286" i="30"/>
  <c r="J287" i="30"/>
  <c r="J288" i="30"/>
  <c r="J289" i="30"/>
  <c r="J290" i="30"/>
  <c r="J291" i="30"/>
  <c r="J292" i="30"/>
  <c r="J293" i="30"/>
  <c r="J294" i="30"/>
  <c r="J295" i="30"/>
  <c r="J296" i="30"/>
  <c r="J297" i="30"/>
  <c r="J298" i="30"/>
  <c r="J299" i="30"/>
  <c r="J300" i="30"/>
  <c r="J301" i="30"/>
  <c r="J302" i="30"/>
  <c r="J303" i="30"/>
  <c r="J304" i="30"/>
  <c r="J305" i="30"/>
  <c r="J306" i="30"/>
  <c r="J307" i="30"/>
  <c r="J308" i="30"/>
  <c r="J309" i="30"/>
  <c r="J310" i="30"/>
  <c r="J311" i="30"/>
  <c r="J312" i="30"/>
  <c r="J313" i="30"/>
  <c r="J314" i="30"/>
  <c r="J315" i="30"/>
  <c r="J316" i="30"/>
  <c r="J317" i="30"/>
  <c r="J318" i="30"/>
  <c r="J319" i="30"/>
  <c r="J320" i="30"/>
  <c r="J321" i="30"/>
  <c r="J322" i="30"/>
  <c r="J323" i="30"/>
  <c r="J324" i="30"/>
  <c r="J325" i="30"/>
  <c r="J326" i="30"/>
  <c r="J327" i="30"/>
  <c r="J328" i="30"/>
  <c r="J329" i="30"/>
  <c r="J330" i="30"/>
  <c r="J331" i="30"/>
  <c r="J332" i="30"/>
  <c r="J333" i="30"/>
  <c r="J334" i="30"/>
  <c r="J335" i="30"/>
  <c r="J336" i="30"/>
  <c r="J337" i="30"/>
  <c r="J338" i="30"/>
  <c r="J339" i="30"/>
  <c r="J340" i="30"/>
  <c r="J341" i="30"/>
  <c r="J342" i="30"/>
  <c r="J343" i="30"/>
  <c r="J344" i="30"/>
  <c r="J345" i="30"/>
  <c r="J346" i="30"/>
  <c r="J347" i="30"/>
  <c r="J348" i="30"/>
  <c r="J349" i="30"/>
  <c r="J350" i="30"/>
  <c r="J351" i="30"/>
  <c r="J352" i="30"/>
  <c r="J353" i="30"/>
  <c r="J354" i="30"/>
  <c r="J355" i="30"/>
  <c r="J356" i="30"/>
  <c r="J357" i="30"/>
  <c r="J358" i="30"/>
  <c r="J359" i="30"/>
  <c r="J360" i="30"/>
  <c r="J361" i="30"/>
  <c r="J362" i="30"/>
  <c r="J363" i="30"/>
  <c r="J364" i="30"/>
  <c r="J365" i="30"/>
  <c r="J366" i="30"/>
  <c r="J367" i="30"/>
  <c r="J368" i="30"/>
  <c r="J369" i="30"/>
  <c r="J370" i="30"/>
  <c r="J371" i="30"/>
  <c r="J372" i="30"/>
  <c r="J373" i="30"/>
  <c r="J374" i="30"/>
  <c r="J375" i="30"/>
  <c r="J376" i="30"/>
  <c r="J377" i="30"/>
  <c r="J378" i="30"/>
  <c r="J379" i="30"/>
  <c r="J380" i="30"/>
  <c r="J381" i="30"/>
  <c r="J382" i="30"/>
  <c r="J383" i="30"/>
  <c r="J384" i="30"/>
  <c r="J385" i="30"/>
  <c r="J386" i="30"/>
  <c r="J387" i="30"/>
  <c r="J388" i="30"/>
  <c r="J389" i="30"/>
  <c r="J390" i="30"/>
  <c r="J391" i="30"/>
  <c r="J392" i="30"/>
  <c r="J393" i="30"/>
  <c r="J394" i="30"/>
  <c r="J395" i="30"/>
  <c r="J396" i="30"/>
  <c r="J397" i="30"/>
  <c r="J398" i="30"/>
  <c r="J399" i="30"/>
  <c r="J400" i="30"/>
  <c r="J401" i="30"/>
  <c r="J402" i="30"/>
  <c r="J403" i="30"/>
  <c r="J404" i="30"/>
  <c r="J405" i="30"/>
  <c r="J406" i="30"/>
  <c r="J407" i="30"/>
  <c r="J408" i="30"/>
  <c r="J409" i="30"/>
  <c r="J410" i="30"/>
  <c r="J411" i="30"/>
  <c r="J412" i="30"/>
  <c r="J413" i="30"/>
  <c r="J414" i="30"/>
  <c r="J415" i="30"/>
  <c r="J416" i="30"/>
  <c r="J417" i="30"/>
  <c r="J418" i="30"/>
  <c r="J419" i="30"/>
  <c r="J420" i="30"/>
  <c r="J421" i="30"/>
  <c r="J422" i="30"/>
  <c r="J423" i="30"/>
  <c r="J424" i="30"/>
  <c r="J425" i="30"/>
  <c r="J426" i="30"/>
  <c r="J427" i="30"/>
  <c r="J428" i="30"/>
  <c r="J429" i="30"/>
  <c r="J430" i="30"/>
  <c r="J431" i="30"/>
  <c r="J432" i="30"/>
  <c r="J433" i="30"/>
  <c r="J434" i="30"/>
  <c r="J435" i="30"/>
  <c r="J436" i="30"/>
  <c r="J437" i="30"/>
  <c r="J438" i="30"/>
  <c r="J439" i="30"/>
  <c r="J440" i="30"/>
  <c r="J441" i="30"/>
  <c r="J442" i="30"/>
  <c r="J443" i="30"/>
  <c r="J444" i="30"/>
  <c r="J445" i="30"/>
  <c r="J446" i="30"/>
  <c r="J447" i="30"/>
  <c r="J448" i="30"/>
  <c r="J449" i="30"/>
  <c r="J450" i="30"/>
  <c r="J451" i="30"/>
  <c r="J452" i="30"/>
  <c r="J453" i="30"/>
  <c r="J454" i="30"/>
  <c r="J455" i="30"/>
  <c r="J456" i="30"/>
  <c r="J457" i="30"/>
  <c r="J458" i="30"/>
  <c r="J459" i="30"/>
  <c r="J460" i="30"/>
  <c r="J461" i="30"/>
  <c r="J462" i="30"/>
  <c r="J463" i="30"/>
  <c r="J464" i="30"/>
  <c r="J465" i="30"/>
  <c r="J466" i="30"/>
  <c r="J467" i="30"/>
  <c r="J468" i="30"/>
  <c r="J469" i="30"/>
  <c r="J470" i="30"/>
  <c r="J471" i="30"/>
  <c r="J472" i="30"/>
  <c r="J473" i="30"/>
  <c r="J474" i="30"/>
  <c r="J475" i="30"/>
  <c r="J476" i="30"/>
  <c r="J477" i="30"/>
  <c r="J478" i="30"/>
  <c r="J479" i="30"/>
  <c r="J480" i="30"/>
  <c r="J481" i="30"/>
  <c r="J482" i="30"/>
  <c r="J483" i="30"/>
  <c r="J484" i="30"/>
  <c r="J485" i="30"/>
  <c r="J486" i="30"/>
  <c r="J487" i="30"/>
  <c r="J488" i="30"/>
  <c r="J489" i="30"/>
  <c r="J490" i="30"/>
  <c r="J491" i="30"/>
  <c r="J492" i="30"/>
  <c r="J493" i="30"/>
  <c r="J494" i="30"/>
  <c r="J495" i="30"/>
  <c r="J496" i="30"/>
  <c r="J497" i="30"/>
  <c r="J498" i="30"/>
  <c r="J499" i="30"/>
  <c r="J500" i="30"/>
  <c r="J501" i="30"/>
  <c r="J502" i="30"/>
  <c r="J503" i="30"/>
  <c r="J504" i="30"/>
  <c r="J505" i="30"/>
  <c r="J506" i="30"/>
  <c r="J507" i="30"/>
  <c r="J508" i="30"/>
  <c r="J509" i="30"/>
  <c r="J510" i="30"/>
  <c r="J511" i="30"/>
  <c r="J512" i="30"/>
  <c r="J513" i="30"/>
  <c r="J514" i="30"/>
  <c r="J515" i="30"/>
  <c r="J516" i="30"/>
  <c r="J517" i="30"/>
  <c r="J518" i="30"/>
  <c r="J519" i="30"/>
  <c r="J520" i="30"/>
  <c r="J521" i="30"/>
  <c r="J522" i="30"/>
  <c r="J523" i="30"/>
  <c r="J524" i="30"/>
  <c r="J525" i="30"/>
  <c r="J526" i="30"/>
  <c r="J527" i="30"/>
  <c r="J528" i="30"/>
  <c r="J529" i="30"/>
  <c r="J530" i="30"/>
  <c r="J531" i="30"/>
  <c r="J532" i="30"/>
  <c r="J533" i="30"/>
  <c r="J534" i="30"/>
  <c r="J535" i="30"/>
  <c r="J536" i="30"/>
  <c r="J537" i="30"/>
  <c r="J538" i="30"/>
  <c r="J539" i="30"/>
  <c r="J540" i="30"/>
  <c r="J541" i="30"/>
  <c r="J542" i="30"/>
  <c r="J543" i="30"/>
  <c r="J544" i="30"/>
  <c r="J545" i="30"/>
  <c r="J546" i="30"/>
  <c r="J547" i="30"/>
  <c r="J548" i="30"/>
  <c r="J549" i="30"/>
  <c r="J550" i="30"/>
  <c r="J551" i="30"/>
  <c r="J552" i="30"/>
  <c r="J553" i="30"/>
  <c r="J554" i="30"/>
  <c r="J555" i="30"/>
  <c r="J556" i="30"/>
  <c r="J557" i="30"/>
  <c r="J558" i="30"/>
  <c r="J559" i="30"/>
  <c r="J560" i="30"/>
  <c r="J561" i="30"/>
  <c r="J562" i="30"/>
  <c r="J563" i="30"/>
  <c r="J564" i="30"/>
  <c r="J565" i="30"/>
  <c r="J566" i="30"/>
  <c r="J567" i="30"/>
  <c r="J568" i="30"/>
  <c r="J569" i="30"/>
  <c r="J570" i="30"/>
  <c r="J571" i="30"/>
  <c r="J572" i="30"/>
  <c r="J573" i="30"/>
  <c r="J574" i="30"/>
  <c r="J575" i="30"/>
  <c r="J576" i="30"/>
  <c r="J577" i="30"/>
  <c r="J578" i="30"/>
  <c r="J579" i="30"/>
  <c r="J580" i="30"/>
  <c r="J581" i="30"/>
  <c r="J582" i="30"/>
  <c r="J583" i="30"/>
  <c r="J584" i="30"/>
  <c r="J585" i="30"/>
  <c r="J586" i="30"/>
  <c r="J587" i="30"/>
  <c r="J588" i="30"/>
  <c r="J589" i="30"/>
  <c r="J590" i="30"/>
  <c r="J591" i="30"/>
  <c r="J592" i="30"/>
  <c r="J593" i="30"/>
  <c r="J594" i="30"/>
  <c r="J595" i="30"/>
  <c r="J596" i="30"/>
  <c r="J597" i="30"/>
  <c r="J598" i="30"/>
  <c r="J599" i="30"/>
  <c r="J600" i="30"/>
  <c r="J601" i="30"/>
  <c r="J602" i="30"/>
  <c r="J603" i="30"/>
  <c r="J604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K79" i="30"/>
  <c r="K80" i="30"/>
  <c r="K81" i="30"/>
  <c r="K82" i="30"/>
  <c r="K83" i="30"/>
  <c r="K84" i="30"/>
  <c r="K85" i="30"/>
  <c r="K86" i="30"/>
  <c r="K87" i="30"/>
  <c r="K88" i="30"/>
  <c r="K89" i="30"/>
  <c r="K90" i="30"/>
  <c r="K91" i="30"/>
  <c r="K92" i="30"/>
  <c r="K93" i="30"/>
  <c r="K94" i="30"/>
  <c r="K95" i="30"/>
  <c r="K96" i="30"/>
  <c r="K97" i="30"/>
  <c r="K98" i="30"/>
  <c r="K99" i="30"/>
  <c r="K100" i="30"/>
  <c r="K101" i="30"/>
  <c r="K102" i="30"/>
  <c r="K103" i="30"/>
  <c r="K104" i="30"/>
  <c r="K105" i="30"/>
  <c r="K106" i="30"/>
  <c r="K107" i="30"/>
  <c r="K108" i="30"/>
  <c r="K109" i="30"/>
  <c r="K110" i="30"/>
  <c r="K111" i="30"/>
  <c r="K112" i="30"/>
  <c r="K113" i="30"/>
  <c r="K114" i="30"/>
  <c r="K115" i="30"/>
  <c r="K116" i="30"/>
  <c r="K117" i="30"/>
  <c r="K118" i="30"/>
  <c r="K119" i="30"/>
  <c r="K120" i="30"/>
  <c r="K121" i="30"/>
  <c r="K122" i="30"/>
  <c r="K123" i="30"/>
  <c r="K124" i="30"/>
  <c r="K125" i="30"/>
  <c r="K126" i="30"/>
  <c r="K127" i="30"/>
  <c r="K128" i="30"/>
  <c r="K129" i="30"/>
  <c r="K130" i="30"/>
  <c r="K131" i="30"/>
  <c r="K132" i="30"/>
  <c r="K133" i="30"/>
  <c r="K134" i="30"/>
  <c r="K135" i="30"/>
  <c r="K136" i="30"/>
  <c r="K137" i="30"/>
  <c r="K138" i="30"/>
  <c r="K139" i="30"/>
  <c r="K140" i="30"/>
  <c r="K141" i="30"/>
  <c r="K142" i="30"/>
  <c r="K143" i="30"/>
  <c r="K144" i="30"/>
  <c r="K145" i="30"/>
  <c r="K146" i="30"/>
  <c r="K147" i="30"/>
  <c r="K148" i="30"/>
  <c r="K149" i="30"/>
  <c r="K150" i="30"/>
  <c r="K151" i="30"/>
  <c r="K152" i="30"/>
  <c r="K153" i="30"/>
  <c r="K154" i="30"/>
  <c r="K155" i="30"/>
  <c r="K156" i="30"/>
  <c r="K157" i="30"/>
  <c r="K158" i="30"/>
  <c r="K159" i="30"/>
  <c r="K160" i="30"/>
  <c r="K161" i="30"/>
  <c r="K162" i="30"/>
  <c r="K163" i="30"/>
  <c r="K164" i="30"/>
  <c r="K165" i="30"/>
  <c r="K166" i="30"/>
  <c r="K167" i="30"/>
  <c r="K168" i="30"/>
  <c r="K169" i="30"/>
  <c r="K170" i="30"/>
  <c r="K171" i="30"/>
  <c r="K172" i="30"/>
  <c r="K173" i="30"/>
  <c r="K174" i="30"/>
  <c r="K175" i="30"/>
  <c r="K176" i="30"/>
  <c r="K177" i="30"/>
  <c r="K178" i="30"/>
  <c r="K179" i="30"/>
  <c r="K180" i="30"/>
  <c r="K181" i="30"/>
  <c r="K182" i="30"/>
  <c r="K183" i="30"/>
  <c r="K184" i="30"/>
  <c r="K185" i="30"/>
  <c r="K186" i="30"/>
  <c r="K187" i="30"/>
  <c r="K188" i="30"/>
  <c r="K189" i="30"/>
  <c r="K190" i="30"/>
  <c r="K191" i="30"/>
  <c r="K192" i="30"/>
  <c r="K193" i="30"/>
  <c r="K194" i="30"/>
  <c r="K195" i="30"/>
  <c r="K196" i="30"/>
  <c r="K197" i="30"/>
  <c r="K198" i="30"/>
  <c r="K199" i="30"/>
  <c r="K200" i="30"/>
  <c r="K201" i="30"/>
  <c r="K202" i="30"/>
  <c r="K203" i="30"/>
  <c r="K204" i="30"/>
  <c r="K205" i="30"/>
  <c r="K206" i="30"/>
  <c r="K207" i="30"/>
  <c r="K208" i="30"/>
  <c r="K209" i="30"/>
  <c r="K210" i="30"/>
  <c r="K211" i="30"/>
  <c r="K212" i="30"/>
  <c r="K213" i="30"/>
  <c r="K214" i="30"/>
  <c r="K215" i="30"/>
  <c r="K216" i="30"/>
  <c r="K217" i="30"/>
  <c r="K218" i="30"/>
  <c r="K219" i="30"/>
  <c r="K220" i="30"/>
  <c r="K221" i="30"/>
  <c r="K222" i="30"/>
  <c r="K223" i="30"/>
  <c r="K224" i="30"/>
  <c r="K225" i="30"/>
  <c r="K226" i="30"/>
  <c r="K227" i="30"/>
  <c r="K228" i="30"/>
  <c r="K229" i="30"/>
  <c r="K230" i="30"/>
  <c r="K231" i="30"/>
  <c r="K232" i="30"/>
  <c r="K233" i="30"/>
  <c r="K234" i="30"/>
  <c r="K235" i="30"/>
  <c r="K236" i="30"/>
  <c r="K237" i="30"/>
  <c r="K238" i="30"/>
  <c r="K239" i="30"/>
  <c r="K240" i="30"/>
  <c r="K241" i="30"/>
  <c r="K242" i="30"/>
  <c r="K243" i="30"/>
  <c r="K244" i="30"/>
  <c r="K245" i="30"/>
  <c r="K246" i="30"/>
  <c r="K247" i="30"/>
  <c r="K248" i="30"/>
  <c r="K249" i="30"/>
  <c r="K250" i="30"/>
  <c r="K251" i="30"/>
  <c r="K252" i="30"/>
  <c r="K253" i="30"/>
  <c r="K254" i="30"/>
  <c r="K255" i="30"/>
  <c r="K256" i="30"/>
  <c r="K257" i="30"/>
  <c r="K258" i="30"/>
  <c r="K259" i="30"/>
  <c r="K260" i="30"/>
  <c r="K261" i="30"/>
  <c r="K262" i="30"/>
  <c r="K263" i="30"/>
  <c r="K264" i="30"/>
  <c r="K265" i="30"/>
  <c r="K266" i="30"/>
  <c r="K267" i="30"/>
  <c r="K268" i="30"/>
  <c r="K269" i="30"/>
  <c r="K270" i="30"/>
  <c r="K271" i="30"/>
  <c r="K272" i="30"/>
  <c r="K273" i="30"/>
  <c r="K274" i="30"/>
  <c r="K275" i="30"/>
  <c r="K276" i="30"/>
  <c r="K277" i="30"/>
  <c r="K278" i="30"/>
  <c r="K279" i="30"/>
  <c r="K280" i="30"/>
  <c r="K281" i="30"/>
  <c r="K282" i="30"/>
  <c r="K283" i="30"/>
  <c r="K284" i="30"/>
  <c r="K285" i="30"/>
  <c r="K286" i="30"/>
  <c r="K287" i="30"/>
  <c r="K288" i="30"/>
  <c r="K289" i="30"/>
  <c r="K290" i="30"/>
  <c r="K291" i="30"/>
  <c r="K292" i="30"/>
  <c r="K293" i="30"/>
  <c r="K294" i="30"/>
  <c r="K295" i="30"/>
  <c r="K296" i="30"/>
  <c r="K297" i="30"/>
  <c r="K298" i="30"/>
  <c r="K299" i="30"/>
  <c r="K300" i="30"/>
  <c r="K301" i="30"/>
  <c r="K302" i="30"/>
  <c r="K303" i="30"/>
  <c r="K304" i="30"/>
  <c r="K305" i="30"/>
  <c r="K306" i="30"/>
  <c r="K307" i="30"/>
  <c r="K308" i="30"/>
  <c r="K309" i="30"/>
  <c r="K310" i="30"/>
  <c r="K311" i="30"/>
  <c r="K312" i="30"/>
  <c r="K313" i="30"/>
  <c r="K314" i="30"/>
  <c r="K315" i="30"/>
  <c r="K316" i="30"/>
  <c r="K317" i="30"/>
  <c r="K318" i="30"/>
  <c r="K319" i="30"/>
  <c r="K320" i="30"/>
  <c r="K321" i="30"/>
  <c r="K322" i="30"/>
  <c r="K323" i="30"/>
  <c r="K324" i="30"/>
  <c r="K325" i="30"/>
  <c r="K326" i="30"/>
  <c r="K327" i="30"/>
  <c r="K328" i="30"/>
  <c r="K329" i="30"/>
  <c r="K330" i="30"/>
  <c r="K331" i="30"/>
  <c r="K332" i="30"/>
  <c r="K333" i="30"/>
  <c r="K334" i="30"/>
  <c r="K335" i="30"/>
  <c r="K336" i="30"/>
  <c r="K337" i="30"/>
  <c r="K338" i="30"/>
  <c r="K339" i="30"/>
  <c r="K340" i="30"/>
  <c r="K341" i="30"/>
  <c r="K342" i="30"/>
  <c r="K343" i="30"/>
  <c r="K344" i="30"/>
  <c r="K345" i="30"/>
  <c r="K346" i="30"/>
  <c r="K347" i="30"/>
  <c r="K348" i="30"/>
  <c r="K349" i="30"/>
  <c r="K350" i="30"/>
  <c r="K351" i="30"/>
  <c r="K352" i="30"/>
  <c r="K353" i="30"/>
  <c r="K354" i="30"/>
  <c r="K355" i="30"/>
  <c r="K356" i="30"/>
  <c r="K357" i="30"/>
  <c r="K358" i="30"/>
  <c r="K359" i="30"/>
  <c r="K360" i="30"/>
  <c r="K361" i="30"/>
  <c r="K362" i="30"/>
  <c r="K363" i="30"/>
  <c r="K364" i="30"/>
  <c r="K365" i="30"/>
  <c r="K366" i="30"/>
  <c r="K367" i="30"/>
  <c r="K368" i="30"/>
  <c r="K369" i="30"/>
  <c r="K370" i="30"/>
  <c r="K371" i="30"/>
  <c r="K372" i="30"/>
  <c r="K373" i="30"/>
  <c r="K374" i="30"/>
  <c r="K375" i="30"/>
  <c r="K376" i="30"/>
  <c r="K377" i="30"/>
  <c r="K378" i="30"/>
  <c r="K379" i="30"/>
  <c r="K380" i="30"/>
  <c r="K381" i="30"/>
  <c r="K382" i="30"/>
  <c r="K383" i="30"/>
  <c r="K384" i="30"/>
  <c r="K385" i="30"/>
  <c r="K386" i="30"/>
  <c r="K387" i="30"/>
  <c r="K388" i="30"/>
  <c r="K389" i="30"/>
  <c r="K390" i="30"/>
  <c r="K391" i="30"/>
  <c r="K392" i="30"/>
  <c r="K393" i="30"/>
  <c r="K394" i="30"/>
  <c r="K395" i="30"/>
  <c r="K396" i="30"/>
  <c r="K397" i="30"/>
  <c r="K398" i="30"/>
  <c r="K399" i="30"/>
  <c r="K400" i="30"/>
  <c r="K401" i="30"/>
  <c r="K402" i="30"/>
  <c r="K403" i="30"/>
  <c r="K404" i="30"/>
  <c r="K405" i="30"/>
  <c r="K406" i="30"/>
  <c r="K407" i="30"/>
  <c r="K408" i="30"/>
  <c r="K409" i="30"/>
  <c r="K410" i="30"/>
  <c r="K411" i="30"/>
  <c r="K412" i="30"/>
  <c r="K413" i="30"/>
  <c r="K414" i="30"/>
  <c r="K415" i="30"/>
  <c r="K416" i="30"/>
  <c r="K417" i="30"/>
  <c r="K418" i="30"/>
  <c r="K419" i="30"/>
  <c r="K420" i="30"/>
  <c r="K421" i="30"/>
  <c r="K422" i="30"/>
  <c r="K423" i="30"/>
  <c r="K424" i="30"/>
  <c r="K425" i="30"/>
  <c r="K426" i="30"/>
  <c r="K427" i="30"/>
  <c r="K428" i="30"/>
  <c r="K429" i="30"/>
  <c r="K430" i="30"/>
  <c r="K431" i="30"/>
  <c r="K432" i="30"/>
  <c r="K433" i="30"/>
  <c r="K434" i="30"/>
  <c r="K435" i="30"/>
  <c r="K436" i="30"/>
  <c r="K437" i="30"/>
  <c r="K438" i="30"/>
  <c r="K439" i="30"/>
  <c r="K440" i="30"/>
  <c r="K441" i="30"/>
  <c r="K442" i="30"/>
  <c r="K443" i="30"/>
  <c r="K444" i="30"/>
  <c r="K445" i="30"/>
  <c r="K446" i="30"/>
  <c r="K447" i="30"/>
  <c r="K448" i="30"/>
  <c r="K449" i="30"/>
  <c r="K450" i="30"/>
  <c r="K451" i="30"/>
  <c r="K452" i="30"/>
  <c r="K453" i="30"/>
  <c r="K454" i="30"/>
  <c r="K455" i="30"/>
  <c r="K456" i="30"/>
  <c r="K457" i="30"/>
  <c r="K458" i="30"/>
  <c r="K459" i="30"/>
  <c r="K460" i="30"/>
  <c r="K461" i="30"/>
  <c r="K462" i="30"/>
  <c r="K463" i="30"/>
  <c r="K464" i="30"/>
  <c r="K465" i="30"/>
  <c r="K466" i="30"/>
  <c r="K467" i="30"/>
  <c r="K468" i="30"/>
  <c r="K469" i="30"/>
  <c r="K470" i="30"/>
  <c r="K471" i="30"/>
  <c r="K472" i="30"/>
  <c r="K473" i="30"/>
  <c r="K474" i="30"/>
  <c r="K475" i="30"/>
  <c r="K476" i="30"/>
  <c r="K477" i="30"/>
  <c r="K478" i="30"/>
  <c r="K479" i="30"/>
  <c r="K480" i="30"/>
  <c r="K481" i="30"/>
  <c r="K482" i="30"/>
  <c r="K483" i="30"/>
  <c r="K484" i="30"/>
  <c r="K485" i="30"/>
  <c r="K486" i="30"/>
  <c r="K487" i="30"/>
  <c r="K488" i="30"/>
  <c r="K489" i="30"/>
  <c r="K490" i="30"/>
  <c r="K491" i="30"/>
  <c r="K492" i="30"/>
  <c r="K493" i="30"/>
  <c r="K494" i="30"/>
  <c r="K495" i="30"/>
  <c r="K496" i="30"/>
  <c r="K497" i="30"/>
  <c r="K498" i="30"/>
  <c r="K499" i="30"/>
  <c r="K500" i="30"/>
  <c r="K501" i="30"/>
  <c r="K502" i="30"/>
  <c r="K503" i="30"/>
  <c r="K504" i="30"/>
  <c r="K505" i="30"/>
  <c r="K506" i="30"/>
  <c r="K507" i="30"/>
  <c r="K508" i="30"/>
  <c r="K509" i="30"/>
  <c r="K510" i="30"/>
  <c r="K511" i="30"/>
  <c r="K512" i="30"/>
  <c r="K513" i="30"/>
  <c r="K514" i="30"/>
  <c r="K515" i="30"/>
  <c r="K516" i="30"/>
  <c r="K517" i="30"/>
  <c r="K518" i="30"/>
  <c r="K519" i="30"/>
  <c r="K520" i="30"/>
  <c r="K521" i="30"/>
  <c r="K522" i="30"/>
  <c r="K523" i="30"/>
  <c r="K524" i="30"/>
  <c r="K525" i="30"/>
  <c r="K526" i="30"/>
  <c r="K527" i="30"/>
  <c r="K528" i="30"/>
  <c r="K529" i="30"/>
  <c r="K530" i="30"/>
  <c r="K531" i="30"/>
  <c r="K532" i="30"/>
  <c r="K533" i="30"/>
  <c r="K534" i="30"/>
  <c r="K535" i="30"/>
  <c r="K536" i="30"/>
  <c r="K537" i="30"/>
  <c r="K538" i="30"/>
  <c r="K539" i="30"/>
  <c r="K540" i="30"/>
  <c r="K541" i="30"/>
  <c r="K542" i="30"/>
  <c r="K543" i="30"/>
  <c r="K544" i="30"/>
  <c r="K545" i="30"/>
  <c r="K546" i="30"/>
  <c r="K547" i="30"/>
  <c r="K548" i="30"/>
  <c r="K549" i="30"/>
  <c r="K550" i="30"/>
  <c r="K551" i="30"/>
  <c r="K552" i="30"/>
  <c r="K553" i="30"/>
  <c r="K554" i="30"/>
  <c r="K555" i="30"/>
  <c r="K556" i="30"/>
  <c r="K557" i="30"/>
  <c r="K558" i="30"/>
  <c r="K559" i="30"/>
  <c r="K560" i="30"/>
  <c r="K561" i="30"/>
  <c r="K562" i="30"/>
  <c r="K563" i="30"/>
  <c r="K564" i="30"/>
  <c r="K565" i="30"/>
  <c r="K566" i="30"/>
  <c r="K567" i="30"/>
  <c r="K568" i="30"/>
  <c r="K569" i="30"/>
  <c r="K570" i="30"/>
  <c r="K571" i="30"/>
  <c r="K572" i="30"/>
  <c r="K573" i="30"/>
  <c r="K574" i="30"/>
  <c r="K575" i="30"/>
  <c r="K576" i="30"/>
  <c r="K577" i="30"/>
  <c r="K578" i="30"/>
  <c r="K579" i="30"/>
  <c r="K580" i="30"/>
  <c r="K581" i="30"/>
  <c r="K582" i="30"/>
  <c r="K583" i="30"/>
  <c r="K584" i="30"/>
  <c r="K585" i="30"/>
  <c r="K586" i="30"/>
  <c r="K587" i="30"/>
  <c r="K588" i="30"/>
  <c r="K589" i="30"/>
  <c r="K590" i="30"/>
  <c r="K591" i="30"/>
  <c r="K592" i="30"/>
  <c r="K593" i="30"/>
  <c r="K594" i="30"/>
  <c r="K595" i="30"/>
  <c r="K596" i="30"/>
  <c r="K597" i="30"/>
  <c r="K598" i="30"/>
  <c r="K599" i="30"/>
  <c r="K600" i="30"/>
  <c r="K601" i="30"/>
  <c r="K602" i="30"/>
  <c r="K603" i="30"/>
  <c r="K604" i="30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L79" i="30"/>
  <c r="L80" i="30"/>
  <c r="L81" i="30"/>
  <c r="L82" i="30"/>
  <c r="L83" i="30"/>
  <c r="L84" i="30"/>
  <c r="L85" i="30"/>
  <c r="L86" i="30"/>
  <c r="L87" i="30"/>
  <c r="L88" i="30"/>
  <c r="L89" i="30"/>
  <c r="L90" i="30"/>
  <c r="L91" i="30"/>
  <c r="L92" i="30"/>
  <c r="L93" i="30"/>
  <c r="L94" i="30"/>
  <c r="L95" i="30"/>
  <c r="L96" i="30"/>
  <c r="L97" i="30"/>
  <c r="L98" i="30"/>
  <c r="L99" i="30"/>
  <c r="L100" i="30"/>
  <c r="L101" i="30"/>
  <c r="L102" i="30"/>
  <c r="L103" i="30"/>
  <c r="L104" i="30"/>
  <c r="L105" i="30"/>
  <c r="L106" i="30"/>
  <c r="L107" i="30"/>
  <c r="L108" i="30"/>
  <c r="L109" i="30"/>
  <c r="L110" i="30"/>
  <c r="L111" i="30"/>
  <c r="L112" i="30"/>
  <c r="L113" i="30"/>
  <c r="L114" i="30"/>
  <c r="L115" i="30"/>
  <c r="L116" i="30"/>
  <c r="L117" i="30"/>
  <c r="L118" i="30"/>
  <c r="L119" i="30"/>
  <c r="L120" i="30"/>
  <c r="L121" i="30"/>
  <c r="L122" i="30"/>
  <c r="L123" i="30"/>
  <c r="L124" i="30"/>
  <c r="L125" i="30"/>
  <c r="L126" i="30"/>
  <c r="L127" i="30"/>
  <c r="L128" i="30"/>
  <c r="L129" i="30"/>
  <c r="L130" i="30"/>
  <c r="L131" i="30"/>
  <c r="L132" i="30"/>
  <c r="L133" i="30"/>
  <c r="L134" i="30"/>
  <c r="L135" i="30"/>
  <c r="L136" i="30"/>
  <c r="L137" i="30"/>
  <c r="L138" i="30"/>
  <c r="L139" i="30"/>
  <c r="L140" i="30"/>
  <c r="L141" i="30"/>
  <c r="L142" i="30"/>
  <c r="L143" i="30"/>
  <c r="L144" i="30"/>
  <c r="L145" i="30"/>
  <c r="L146" i="30"/>
  <c r="L147" i="30"/>
  <c r="L148" i="30"/>
  <c r="L149" i="30"/>
  <c r="L150" i="30"/>
  <c r="L151" i="30"/>
  <c r="L152" i="30"/>
  <c r="L153" i="30"/>
  <c r="L154" i="30"/>
  <c r="L155" i="30"/>
  <c r="L156" i="30"/>
  <c r="L157" i="30"/>
  <c r="L158" i="30"/>
  <c r="L159" i="30"/>
  <c r="L160" i="30"/>
  <c r="L161" i="30"/>
  <c r="L162" i="30"/>
  <c r="L163" i="30"/>
  <c r="L164" i="30"/>
  <c r="L165" i="30"/>
  <c r="L166" i="30"/>
  <c r="L167" i="30"/>
  <c r="L168" i="30"/>
  <c r="L169" i="30"/>
  <c r="L170" i="30"/>
  <c r="L171" i="30"/>
  <c r="L172" i="30"/>
  <c r="L173" i="30"/>
  <c r="L174" i="30"/>
  <c r="L175" i="30"/>
  <c r="L176" i="30"/>
  <c r="L177" i="30"/>
  <c r="L178" i="30"/>
  <c r="L179" i="30"/>
  <c r="L180" i="30"/>
  <c r="L181" i="30"/>
  <c r="L182" i="30"/>
  <c r="L183" i="30"/>
  <c r="L184" i="30"/>
  <c r="L185" i="30"/>
  <c r="L186" i="30"/>
  <c r="L187" i="30"/>
  <c r="L188" i="30"/>
  <c r="L189" i="30"/>
  <c r="L190" i="30"/>
  <c r="L191" i="30"/>
  <c r="L192" i="30"/>
  <c r="L193" i="30"/>
  <c r="L194" i="30"/>
  <c r="L195" i="30"/>
  <c r="L196" i="30"/>
  <c r="L197" i="30"/>
  <c r="L198" i="30"/>
  <c r="L199" i="30"/>
  <c r="L200" i="30"/>
  <c r="L201" i="30"/>
  <c r="L202" i="30"/>
  <c r="L203" i="30"/>
  <c r="L204" i="30"/>
  <c r="L205" i="30"/>
  <c r="L206" i="30"/>
  <c r="L207" i="30"/>
  <c r="L208" i="30"/>
  <c r="L209" i="30"/>
  <c r="L210" i="30"/>
  <c r="L211" i="30"/>
  <c r="L212" i="30"/>
  <c r="L213" i="30"/>
  <c r="L214" i="30"/>
  <c r="L215" i="30"/>
  <c r="L216" i="30"/>
  <c r="L217" i="30"/>
  <c r="L218" i="30"/>
  <c r="L219" i="30"/>
  <c r="L220" i="30"/>
  <c r="L221" i="30"/>
  <c r="L222" i="30"/>
  <c r="L223" i="30"/>
  <c r="L224" i="30"/>
  <c r="L225" i="30"/>
  <c r="L226" i="30"/>
  <c r="L227" i="30"/>
  <c r="L228" i="30"/>
  <c r="L229" i="30"/>
  <c r="L230" i="30"/>
  <c r="L231" i="30"/>
  <c r="L232" i="30"/>
  <c r="L233" i="30"/>
  <c r="L234" i="30"/>
  <c r="L235" i="30"/>
  <c r="L236" i="30"/>
  <c r="L237" i="30"/>
  <c r="L238" i="30"/>
  <c r="L239" i="30"/>
  <c r="L240" i="30"/>
  <c r="L241" i="30"/>
  <c r="L242" i="30"/>
  <c r="L243" i="30"/>
  <c r="L244" i="30"/>
  <c r="L245" i="30"/>
  <c r="L246" i="30"/>
  <c r="L247" i="30"/>
  <c r="L248" i="30"/>
  <c r="L249" i="30"/>
  <c r="L250" i="30"/>
  <c r="L251" i="30"/>
  <c r="L252" i="30"/>
  <c r="L253" i="30"/>
  <c r="L254" i="30"/>
  <c r="L255" i="30"/>
  <c r="L256" i="30"/>
  <c r="L257" i="30"/>
  <c r="L258" i="30"/>
  <c r="L259" i="30"/>
  <c r="L260" i="30"/>
  <c r="L261" i="30"/>
  <c r="L262" i="30"/>
  <c r="L263" i="30"/>
  <c r="L264" i="30"/>
  <c r="L265" i="30"/>
  <c r="L266" i="30"/>
  <c r="L267" i="30"/>
  <c r="L268" i="30"/>
  <c r="L269" i="30"/>
  <c r="L270" i="30"/>
  <c r="L271" i="30"/>
  <c r="L272" i="30"/>
  <c r="L273" i="30"/>
  <c r="L274" i="30"/>
  <c r="L275" i="30"/>
  <c r="L276" i="30"/>
  <c r="L277" i="30"/>
  <c r="L278" i="30"/>
  <c r="L279" i="30"/>
  <c r="L280" i="30"/>
  <c r="L281" i="30"/>
  <c r="L282" i="30"/>
  <c r="L283" i="30"/>
  <c r="L284" i="30"/>
  <c r="L285" i="30"/>
  <c r="L286" i="30"/>
  <c r="L287" i="30"/>
  <c r="L288" i="30"/>
  <c r="L289" i="30"/>
  <c r="L290" i="30"/>
  <c r="L291" i="30"/>
  <c r="L292" i="30"/>
  <c r="L293" i="30"/>
  <c r="L294" i="30"/>
  <c r="L295" i="30"/>
  <c r="L296" i="30"/>
  <c r="L297" i="30"/>
  <c r="L298" i="30"/>
  <c r="L299" i="30"/>
  <c r="L300" i="30"/>
  <c r="L301" i="30"/>
  <c r="L302" i="30"/>
  <c r="L303" i="30"/>
  <c r="L304" i="30"/>
  <c r="L305" i="30"/>
  <c r="L306" i="30"/>
  <c r="L307" i="30"/>
  <c r="L308" i="30"/>
  <c r="L309" i="30"/>
  <c r="L310" i="30"/>
  <c r="L311" i="30"/>
  <c r="L312" i="30"/>
  <c r="L313" i="30"/>
  <c r="L314" i="30"/>
  <c r="L315" i="30"/>
  <c r="L316" i="30"/>
  <c r="L317" i="30"/>
  <c r="L318" i="30"/>
  <c r="L319" i="30"/>
  <c r="L320" i="30"/>
  <c r="L321" i="30"/>
  <c r="L322" i="30"/>
  <c r="L323" i="30"/>
  <c r="L324" i="30"/>
  <c r="L325" i="30"/>
  <c r="L326" i="30"/>
  <c r="L327" i="30"/>
  <c r="L328" i="30"/>
  <c r="L329" i="30"/>
  <c r="L330" i="30"/>
  <c r="L331" i="30"/>
  <c r="L332" i="30"/>
  <c r="L333" i="30"/>
  <c r="L334" i="30"/>
  <c r="L335" i="30"/>
  <c r="L336" i="30"/>
  <c r="L337" i="30"/>
  <c r="L338" i="30"/>
  <c r="L339" i="30"/>
  <c r="L340" i="30"/>
  <c r="L341" i="30"/>
  <c r="L342" i="30"/>
  <c r="L343" i="30"/>
  <c r="L344" i="30"/>
  <c r="L345" i="30"/>
  <c r="L346" i="30"/>
  <c r="L347" i="30"/>
  <c r="L348" i="30"/>
  <c r="L349" i="30"/>
  <c r="L350" i="30"/>
  <c r="L351" i="30"/>
  <c r="L352" i="30"/>
  <c r="L353" i="30"/>
  <c r="L354" i="30"/>
  <c r="L355" i="30"/>
  <c r="L356" i="30"/>
  <c r="L357" i="30"/>
  <c r="L358" i="30"/>
  <c r="L359" i="30"/>
  <c r="L360" i="30"/>
  <c r="L361" i="30"/>
  <c r="L362" i="30"/>
  <c r="L363" i="30"/>
  <c r="L364" i="30"/>
  <c r="L365" i="30"/>
  <c r="L366" i="30"/>
  <c r="L367" i="30"/>
  <c r="L368" i="30"/>
  <c r="L369" i="30"/>
  <c r="L370" i="30"/>
  <c r="L371" i="30"/>
  <c r="L372" i="30"/>
  <c r="L373" i="30"/>
  <c r="L374" i="30"/>
  <c r="L375" i="30"/>
  <c r="L376" i="30"/>
  <c r="L377" i="30"/>
  <c r="L378" i="30"/>
  <c r="L379" i="30"/>
  <c r="L380" i="30"/>
  <c r="L381" i="30"/>
  <c r="L382" i="30"/>
  <c r="L383" i="30"/>
  <c r="L384" i="30"/>
  <c r="L385" i="30"/>
  <c r="L386" i="30"/>
  <c r="L387" i="30"/>
  <c r="L388" i="30"/>
  <c r="L389" i="30"/>
  <c r="L390" i="30"/>
  <c r="L391" i="30"/>
  <c r="L392" i="30"/>
  <c r="L393" i="30"/>
  <c r="L394" i="30"/>
  <c r="L395" i="30"/>
  <c r="L396" i="30"/>
  <c r="L397" i="30"/>
  <c r="L398" i="30"/>
  <c r="L399" i="30"/>
  <c r="L400" i="30"/>
  <c r="L401" i="30"/>
  <c r="L402" i="30"/>
  <c r="L403" i="30"/>
  <c r="L404" i="30"/>
  <c r="L405" i="30"/>
  <c r="L406" i="30"/>
  <c r="L407" i="30"/>
  <c r="L408" i="30"/>
  <c r="L409" i="30"/>
  <c r="L410" i="30"/>
  <c r="L411" i="30"/>
  <c r="L412" i="30"/>
  <c r="L413" i="30"/>
  <c r="L414" i="30"/>
  <c r="L415" i="30"/>
  <c r="L416" i="30"/>
  <c r="L417" i="30"/>
  <c r="L418" i="30"/>
  <c r="L419" i="30"/>
  <c r="L420" i="30"/>
  <c r="L421" i="30"/>
  <c r="L422" i="30"/>
  <c r="L423" i="30"/>
  <c r="L424" i="30"/>
  <c r="L425" i="30"/>
  <c r="L426" i="30"/>
  <c r="L427" i="30"/>
  <c r="L428" i="30"/>
  <c r="L429" i="30"/>
  <c r="L430" i="30"/>
  <c r="L431" i="30"/>
  <c r="L432" i="30"/>
  <c r="L433" i="30"/>
  <c r="L434" i="30"/>
  <c r="L435" i="30"/>
  <c r="L436" i="30"/>
  <c r="L437" i="30"/>
  <c r="L438" i="30"/>
  <c r="L439" i="30"/>
  <c r="L440" i="30"/>
  <c r="L441" i="30"/>
  <c r="L442" i="30"/>
  <c r="L443" i="30"/>
  <c r="L444" i="30"/>
  <c r="L445" i="30"/>
  <c r="L446" i="30"/>
  <c r="L447" i="30"/>
  <c r="L448" i="30"/>
  <c r="L449" i="30"/>
  <c r="L450" i="30"/>
  <c r="L451" i="30"/>
  <c r="L452" i="30"/>
  <c r="L453" i="30"/>
  <c r="L454" i="30"/>
  <c r="L455" i="30"/>
  <c r="L456" i="30"/>
  <c r="L457" i="30"/>
  <c r="L458" i="30"/>
  <c r="L459" i="30"/>
  <c r="L460" i="30"/>
  <c r="L461" i="30"/>
  <c r="L462" i="30"/>
  <c r="L463" i="30"/>
  <c r="L464" i="30"/>
  <c r="L465" i="30"/>
  <c r="L466" i="30"/>
  <c r="L467" i="30"/>
  <c r="L468" i="30"/>
  <c r="L469" i="30"/>
  <c r="L470" i="30"/>
  <c r="L471" i="30"/>
  <c r="L472" i="30"/>
  <c r="L473" i="30"/>
  <c r="L474" i="30"/>
  <c r="L475" i="30"/>
  <c r="L476" i="30"/>
  <c r="L477" i="30"/>
  <c r="L478" i="30"/>
  <c r="L479" i="30"/>
  <c r="L480" i="30"/>
  <c r="L481" i="30"/>
  <c r="L482" i="30"/>
  <c r="L483" i="30"/>
  <c r="L484" i="30"/>
  <c r="L485" i="30"/>
  <c r="L486" i="30"/>
  <c r="L487" i="30"/>
  <c r="L488" i="30"/>
  <c r="L489" i="30"/>
  <c r="L490" i="30"/>
  <c r="L491" i="30"/>
  <c r="L492" i="30"/>
  <c r="L493" i="30"/>
  <c r="L494" i="30"/>
  <c r="L495" i="30"/>
  <c r="L496" i="30"/>
  <c r="L497" i="30"/>
  <c r="L498" i="30"/>
  <c r="L499" i="30"/>
  <c r="L500" i="30"/>
  <c r="L501" i="30"/>
  <c r="L502" i="30"/>
  <c r="L503" i="30"/>
  <c r="L504" i="30"/>
  <c r="L505" i="30"/>
  <c r="L506" i="30"/>
  <c r="L507" i="30"/>
  <c r="L508" i="30"/>
  <c r="L509" i="30"/>
  <c r="L510" i="30"/>
  <c r="L511" i="30"/>
  <c r="L512" i="30"/>
  <c r="L513" i="30"/>
  <c r="L514" i="30"/>
  <c r="L515" i="30"/>
  <c r="L516" i="30"/>
  <c r="L517" i="30"/>
  <c r="L518" i="30"/>
  <c r="L519" i="30"/>
  <c r="L520" i="30"/>
  <c r="L521" i="30"/>
  <c r="L522" i="30"/>
  <c r="L523" i="30"/>
  <c r="L524" i="30"/>
  <c r="L525" i="30"/>
  <c r="L526" i="30"/>
  <c r="L527" i="30"/>
  <c r="L528" i="30"/>
  <c r="L529" i="30"/>
  <c r="L530" i="30"/>
  <c r="L531" i="30"/>
  <c r="L532" i="30"/>
  <c r="L533" i="30"/>
  <c r="L534" i="30"/>
  <c r="L535" i="30"/>
  <c r="L536" i="30"/>
  <c r="L537" i="30"/>
  <c r="L538" i="30"/>
  <c r="L539" i="30"/>
  <c r="L540" i="30"/>
  <c r="L541" i="30"/>
  <c r="L542" i="30"/>
  <c r="L543" i="30"/>
  <c r="L544" i="30"/>
  <c r="L545" i="30"/>
  <c r="L546" i="30"/>
  <c r="L547" i="30"/>
  <c r="L548" i="30"/>
  <c r="L549" i="30"/>
  <c r="L550" i="30"/>
  <c r="L551" i="30"/>
  <c r="L552" i="30"/>
  <c r="L553" i="30"/>
  <c r="L554" i="30"/>
  <c r="L555" i="30"/>
  <c r="L556" i="30"/>
  <c r="L557" i="30"/>
  <c r="L558" i="30"/>
  <c r="L559" i="30"/>
  <c r="L560" i="30"/>
  <c r="L561" i="30"/>
  <c r="L562" i="30"/>
  <c r="L563" i="30"/>
  <c r="L564" i="30"/>
  <c r="L565" i="30"/>
  <c r="L566" i="30"/>
  <c r="L567" i="30"/>
  <c r="L568" i="30"/>
  <c r="L569" i="30"/>
  <c r="L570" i="30"/>
  <c r="L571" i="30"/>
  <c r="L572" i="30"/>
  <c r="L573" i="30"/>
  <c r="L574" i="30"/>
  <c r="L575" i="30"/>
  <c r="L576" i="30"/>
  <c r="L577" i="30"/>
  <c r="L578" i="30"/>
  <c r="L579" i="30"/>
  <c r="L580" i="30"/>
  <c r="L581" i="30"/>
  <c r="L582" i="30"/>
  <c r="L583" i="30"/>
  <c r="L584" i="30"/>
  <c r="L585" i="30"/>
  <c r="L586" i="30"/>
  <c r="L587" i="30"/>
  <c r="L588" i="30"/>
  <c r="L589" i="30"/>
  <c r="L590" i="30"/>
  <c r="L591" i="30"/>
  <c r="L592" i="30"/>
  <c r="L593" i="30"/>
  <c r="L594" i="30"/>
  <c r="L595" i="30"/>
  <c r="L596" i="30"/>
  <c r="L597" i="30"/>
  <c r="L598" i="30"/>
  <c r="L599" i="30"/>
  <c r="L600" i="30"/>
  <c r="L601" i="30"/>
  <c r="L602" i="30"/>
  <c r="L603" i="30"/>
  <c r="L604" i="30"/>
  <c r="H2" i="30"/>
  <c r="I2" i="30"/>
  <c r="J2" i="30"/>
  <c r="K2" i="30"/>
  <c r="L2" i="30"/>
  <c r="D168" i="38"/>
  <c r="D169" i="38"/>
  <c r="F168" i="38"/>
  <c r="F169" i="38"/>
  <c r="G168" i="38"/>
  <c r="G169" i="38"/>
  <c r="H168" i="38"/>
  <c r="H169" i="38"/>
  <c r="I168" i="38"/>
  <c r="I169" i="38"/>
  <c r="J168" i="38"/>
  <c r="J169" i="38"/>
  <c r="K168" i="38"/>
  <c r="K169" i="38"/>
  <c r="L168" i="38"/>
  <c r="L169" i="38"/>
  <c r="M168" i="38"/>
  <c r="M169" i="38"/>
  <c r="N168" i="38"/>
  <c r="N169" i="38"/>
  <c r="O168" i="38"/>
  <c r="O169" i="38"/>
  <c r="P168" i="38"/>
  <c r="P169" i="38"/>
  <c r="Q168" i="38"/>
  <c r="Q169" i="38"/>
  <c r="M12" i="30" l="1"/>
  <c r="M38" i="30"/>
  <c r="M560" i="30"/>
  <c r="M218" i="30"/>
  <c r="M23" i="30"/>
  <c r="M57" i="30"/>
  <c r="M41" i="30"/>
  <c r="M25" i="30"/>
  <c r="M9" i="30"/>
  <c r="M469" i="30"/>
  <c r="M389" i="30"/>
  <c r="M39" i="30"/>
  <c r="M7" i="30"/>
  <c r="M489" i="30"/>
  <c r="M393" i="30"/>
  <c r="M51" i="30"/>
  <c r="M19" i="30"/>
  <c r="M589" i="30"/>
  <c r="M394" i="30"/>
  <c r="M40" i="30"/>
  <c r="M24" i="30"/>
  <c r="M8" i="30"/>
  <c r="M325" i="30"/>
  <c r="M172" i="30"/>
  <c r="M108" i="30"/>
  <c r="M92" i="30"/>
  <c r="M594" i="30"/>
  <c r="M424" i="30"/>
  <c r="M329" i="30"/>
  <c r="M234" i="30"/>
  <c r="M176" i="30"/>
  <c r="M128" i="30"/>
  <c r="M112" i="30"/>
  <c r="M96" i="30"/>
  <c r="M69" i="30"/>
  <c r="M22" i="30"/>
  <c r="M6" i="30"/>
  <c r="M592" i="30"/>
  <c r="M486" i="30"/>
  <c r="M470" i="30"/>
  <c r="M390" i="30"/>
  <c r="M375" i="30"/>
  <c r="M359" i="30"/>
  <c r="M343" i="30"/>
  <c r="M311" i="30"/>
  <c r="M295" i="30"/>
  <c r="M263" i="30"/>
  <c r="M247" i="30"/>
  <c r="M232" i="30"/>
  <c r="M190" i="30"/>
  <c r="M174" i="30"/>
  <c r="M142" i="30"/>
  <c r="M126" i="30"/>
  <c r="M110" i="30"/>
  <c r="M80" i="30"/>
  <c r="M456" i="30"/>
  <c r="M265" i="30"/>
  <c r="M439" i="30"/>
  <c r="M296" i="30"/>
  <c r="M175" i="30"/>
  <c r="M68" i="30"/>
  <c r="M488" i="30"/>
  <c r="M281" i="30"/>
  <c r="M547" i="30"/>
  <c r="M407" i="30"/>
  <c r="M248" i="30"/>
  <c r="M163" i="30"/>
  <c r="M81" i="30"/>
  <c r="M548" i="30"/>
  <c r="M408" i="30"/>
  <c r="M593" i="30"/>
  <c r="M471" i="30"/>
  <c r="M233" i="30"/>
  <c r="M191" i="30"/>
  <c r="M127" i="30"/>
  <c r="M344" i="30"/>
  <c r="M472" i="30"/>
  <c r="M345" i="30"/>
  <c r="M518" i="30"/>
  <c r="M312" i="30"/>
  <c r="M154" i="30"/>
  <c r="M578" i="30"/>
  <c r="M519" i="30"/>
  <c r="M440" i="30"/>
  <c r="M361" i="30"/>
  <c r="M297" i="30"/>
  <c r="M192" i="30"/>
  <c r="M534" i="30"/>
  <c r="M423" i="30"/>
  <c r="M328" i="30"/>
  <c r="M264" i="30"/>
  <c r="M219" i="30"/>
  <c r="M111" i="30"/>
  <c r="M169" i="30"/>
  <c r="M535" i="30"/>
  <c r="M392" i="30"/>
  <c r="M220" i="30"/>
  <c r="M487" i="30"/>
  <c r="M391" i="30"/>
  <c r="M280" i="30"/>
  <c r="M143" i="30"/>
  <c r="M562" i="30"/>
  <c r="M313" i="30"/>
  <c r="M561" i="30"/>
  <c r="M360" i="30"/>
  <c r="M540" i="30"/>
  <c r="M158" i="30"/>
  <c r="M420" i="30"/>
  <c r="M559" i="30"/>
  <c r="M485" i="30"/>
  <c r="M342" i="30"/>
  <c r="M294" i="30"/>
  <c r="M246" i="30"/>
  <c r="M204" i="30"/>
  <c r="M153" i="30"/>
  <c r="M93" i="30"/>
  <c r="M309" i="30"/>
  <c r="M261" i="30"/>
  <c r="M245" i="30"/>
  <c r="M216" i="30"/>
  <c r="M188" i="30"/>
  <c r="M140" i="30"/>
  <c r="M78" i="30"/>
  <c r="M66" i="30"/>
  <c r="M242" i="30"/>
  <c r="M421" i="30"/>
  <c r="M109" i="30"/>
  <c r="M574" i="30"/>
  <c r="M436" i="30"/>
  <c r="M591" i="30"/>
  <c r="M546" i="30"/>
  <c r="M405" i="30"/>
  <c r="M278" i="30"/>
  <c r="M231" i="30"/>
  <c r="M189" i="30"/>
  <c r="M125" i="30"/>
  <c r="M67" i="30"/>
  <c r="M452" i="30"/>
  <c r="M373" i="30"/>
  <c r="M293" i="30"/>
  <c r="M35" i="30"/>
  <c r="M141" i="30"/>
  <c r="M341" i="30"/>
  <c r="M532" i="30"/>
  <c r="M437" i="30"/>
  <c r="M262" i="30"/>
  <c r="M217" i="30"/>
  <c r="M173" i="30"/>
  <c r="M388" i="30"/>
  <c r="M358" i="30"/>
  <c r="M310" i="30"/>
  <c r="M61" i="30"/>
  <c r="M500" i="30"/>
  <c r="M516" i="30"/>
  <c r="M374" i="30"/>
  <c r="M79" i="30"/>
  <c r="M34" i="30"/>
  <c r="M18" i="30"/>
  <c r="M258" i="30"/>
  <c r="M201" i="30"/>
  <c r="M160" i="30"/>
  <c r="M63" i="30"/>
  <c r="M48" i="30"/>
  <c r="M151" i="30"/>
  <c r="M105" i="30"/>
  <c r="M47" i="30"/>
  <c r="M569" i="30"/>
  <c r="M542" i="30"/>
  <c r="M526" i="30"/>
  <c r="M510" i="30"/>
  <c r="M463" i="30"/>
  <c r="M213" i="30"/>
  <c r="M137" i="30"/>
  <c r="M89" i="30"/>
  <c r="M541" i="30"/>
  <c r="M287" i="30"/>
  <c r="M366" i="30"/>
  <c r="M286" i="30"/>
  <c r="M117" i="30"/>
  <c r="M334" i="30"/>
  <c r="M595" i="30"/>
  <c r="M579" i="30"/>
  <c r="M563" i="30"/>
  <c r="M536" i="30"/>
  <c r="M520" i="30"/>
  <c r="M504" i="30"/>
  <c r="M473" i="30"/>
  <c r="M457" i="30"/>
  <c r="M441" i="30"/>
  <c r="M409" i="30"/>
  <c r="M378" i="30"/>
  <c r="M362" i="30"/>
  <c r="M346" i="30"/>
  <c r="M330" i="30"/>
  <c r="M314" i="30"/>
  <c r="M282" i="30"/>
  <c r="M266" i="30"/>
  <c r="M583" i="30"/>
  <c r="M82" i="30"/>
  <c r="M508" i="30"/>
  <c r="M55" i="30"/>
  <c r="M382" i="30"/>
  <c r="M517" i="30"/>
  <c r="M501" i="30"/>
  <c r="M438" i="30"/>
  <c r="M422" i="30"/>
  <c r="M36" i="30"/>
  <c r="M590" i="30"/>
  <c r="M52" i="30"/>
  <c r="M20" i="30"/>
  <c r="M4" i="30"/>
  <c r="M558" i="30"/>
  <c r="M32" i="30"/>
  <c r="M46" i="30"/>
  <c r="M30" i="30"/>
  <c r="M14" i="30"/>
  <c r="M568" i="30"/>
  <c r="M553" i="30"/>
  <c r="M525" i="30"/>
  <c r="M509" i="30"/>
  <c r="M493" i="30"/>
  <c r="M478" i="30"/>
  <c r="M462" i="30"/>
  <c r="M446" i="30"/>
  <c r="M430" i="30"/>
  <c r="M414" i="30"/>
  <c r="M398" i="30"/>
  <c r="M383" i="30"/>
  <c r="M367" i="30"/>
  <c r="M351" i="30"/>
  <c r="M335" i="30"/>
  <c r="M319" i="30"/>
  <c r="M303" i="30"/>
  <c r="M271" i="30"/>
  <c r="M255" i="30"/>
  <c r="M239" i="30"/>
  <c r="M226" i="30"/>
  <c r="M210" i="30"/>
  <c r="M198" i="30"/>
  <c r="M182" i="30"/>
  <c r="M134" i="30"/>
  <c r="M118" i="30"/>
  <c r="M102" i="30"/>
  <c r="M86" i="30"/>
  <c r="M73" i="30"/>
  <c r="M15" i="30"/>
  <c r="M44" i="30"/>
  <c r="M28" i="30"/>
  <c r="M598" i="30"/>
  <c r="M582" i="30"/>
  <c r="M566" i="30"/>
  <c r="M539" i="30"/>
  <c r="M523" i="30"/>
  <c r="M507" i="30"/>
  <c r="M491" i="30"/>
  <c r="M476" i="30"/>
  <c r="M460" i="30"/>
  <c r="M444" i="30"/>
  <c r="M428" i="30"/>
  <c r="M412" i="30"/>
  <c r="M396" i="30"/>
  <c r="M381" i="30"/>
  <c r="M365" i="30"/>
  <c r="M349" i="30"/>
  <c r="M333" i="30"/>
  <c r="M317" i="30"/>
  <c r="M301" i="30"/>
  <c r="M285" i="30"/>
  <c r="M269" i="30"/>
  <c r="M253" i="30"/>
  <c r="M237" i="30"/>
  <c r="M224" i="30"/>
  <c r="M208" i="30"/>
  <c r="M196" i="30"/>
  <c r="M180" i="30"/>
  <c r="M148" i="30"/>
  <c r="M132" i="30"/>
  <c r="M116" i="30"/>
  <c r="M100" i="30"/>
  <c r="M84" i="30"/>
  <c r="M567" i="30"/>
  <c r="M524" i="30"/>
  <c r="M492" i="30"/>
  <c r="M461" i="30"/>
  <c r="M445" i="30"/>
  <c r="M413" i="30"/>
  <c r="M397" i="30"/>
  <c r="M318" i="30"/>
  <c r="M270" i="30"/>
  <c r="M238" i="30"/>
  <c r="M225" i="30"/>
  <c r="M197" i="30"/>
  <c r="M166" i="30"/>
  <c r="M133" i="30"/>
  <c r="M58" i="30"/>
  <c r="M42" i="30"/>
  <c r="M10" i="30"/>
  <c r="M596" i="30"/>
  <c r="M564" i="30"/>
  <c r="M537" i="30"/>
  <c r="M521" i="30"/>
  <c r="M505" i="30"/>
  <c r="M490" i="30"/>
  <c r="M474" i="30"/>
  <c r="M458" i="30"/>
  <c r="M442" i="30"/>
  <c r="M410" i="30"/>
  <c r="M379" i="30"/>
  <c r="M363" i="30"/>
  <c r="M347" i="30"/>
  <c r="M331" i="30"/>
  <c r="M315" i="30"/>
  <c r="M299" i="30"/>
  <c r="M283" i="30"/>
  <c r="M267" i="30"/>
  <c r="M251" i="30"/>
  <c r="M236" i="30"/>
  <c r="M222" i="30"/>
  <c r="M194" i="30"/>
  <c r="M178" i="30"/>
  <c r="M156" i="30"/>
  <c r="M146" i="30"/>
  <c r="M130" i="30"/>
  <c r="M114" i="30"/>
  <c r="M98" i="30"/>
  <c r="M83" i="30"/>
  <c r="M70" i="30"/>
  <c r="M597" i="30"/>
  <c r="M581" i="30"/>
  <c r="M533" i="30"/>
  <c r="M406" i="30"/>
  <c r="M279" i="30"/>
  <c r="M56" i="30"/>
  <c r="M453" i="30"/>
  <c r="M326" i="30"/>
  <c r="M162" i="30"/>
  <c r="M575" i="30"/>
  <c r="M54" i="30"/>
  <c r="M576" i="30"/>
  <c r="M454" i="30"/>
  <c r="M327" i="30"/>
  <c r="M94" i="30"/>
  <c r="M531" i="30"/>
  <c r="M515" i="30"/>
  <c r="M499" i="30"/>
  <c r="M484" i="30"/>
  <c r="M468" i="30"/>
  <c r="M404" i="30"/>
  <c r="M357" i="30"/>
  <c r="M277" i="30"/>
  <c r="M124" i="30"/>
  <c r="M572" i="30"/>
  <c r="M556" i="30"/>
  <c r="M529" i="30"/>
  <c r="M513" i="30"/>
  <c r="M497" i="30"/>
  <c r="M482" i="30"/>
  <c r="M466" i="30"/>
  <c r="M450" i="30"/>
  <c r="M434" i="30"/>
  <c r="M418" i="30"/>
  <c r="M402" i="30"/>
  <c r="M386" i="30"/>
  <c r="M371" i="30"/>
  <c r="M355" i="30"/>
  <c r="M339" i="30"/>
  <c r="M323" i="30"/>
  <c r="M307" i="30"/>
  <c r="M291" i="30"/>
  <c r="M275" i="30"/>
  <c r="M259" i="30"/>
  <c r="M243" i="30"/>
  <c r="M229" i="30"/>
  <c r="M214" i="30"/>
  <c r="M202" i="30"/>
  <c r="M186" i="30"/>
  <c r="M170" i="30"/>
  <c r="M138" i="30"/>
  <c r="M122" i="30"/>
  <c r="M106" i="30"/>
  <c r="M90" i="30"/>
  <c r="M76" i="30"/>
  <c r="M64" i="30"/>
  <c r="M3" i="30"/>
  <c r="M573" i="30"/>
  <c r="M557" i="30"/>
  <c r="M545" i="30"/>
  <c r="M530" i="30"/>
  <c r="M514" i="30"/>
  <c r="M498" i="30"/>
  <c r="M483" i="30"/>
  <c r="M467" i="30"/>
  <c r="M451" i="30"/>
  <c r="M435" i="30"/>
  <c r="M419" i="30"/>
  <c r="M403" i="30"/>
  <c r="M387" i="30"/>
  <c r="M372" i="30"/>
  <c r="M356" i="30"/>
  <c r="M340" i="30"/>
  <c r="M603" i="30"/>
  <c r="M587" i="30"/>
  <c r="M185" i="30"/>
  <c r="M121" i="30"/>
  <c r="M75" i="30"/>
  <c r="M377" i="30"/>
  <c r="M550" i="30"/>
  <c r="M426" i="30"/>
  <c r="M552" i="30"/>
  <c r="M302" i="30"/>
  <c r="M577" i="30"/>
  <c r="M455" i="30"/>
  <c r="M72" i="30"/>
  <c r="M503" i="30"/>
  <c r="M249" i="30"/>
  <c r="M144" i="30"/>
  <c r="M26" i="30"/>
  <c r="M298" i="30"/>
  <c r="M250" i="30"/>
  <c r="M13" i="30"/>
  <c r="M429" i="30"/>
  <c r="M350" i="30"/>
  <c r="M254" i="30"/>
  <c r="M181" i="30"/>
  <c r="M85" i="30"/>
  <c r="M502" i="30"/>
  <c r="M376" i="30"/>
  <c r="M205" i="30"/>
  <c r="M95" i="30"/>
  <c r="M549" i="30"/>
  <c r="M425" i="30"/>
  <c r="M599" i="30"/>
  <c r="M477" i="30"/>
  <c r="M209" i="30"/>
  <c r="M149" i="30"/>
  <c r="M101" i="30"/>
  <c r="M31" i="30"/>
  <c r="M88" i="30"/>
  <c r="M200" i="30"/>
  <c r="M120" i="30"/>
  <c r="M50" i="30"/>
  <c r="M212" i="30"/>
  <c r="M74" i="30"/>
  <c r="M228" i="30"/>
  <c r="M184" i="30"/>
  <c r="M136" i="30"/>
  <c r="M241" i="30"/>
  <c r="M168" i="30"/>
  <c r="M104" i="30"/>
  <c r="M447" i="30"/>
  <c r="M415" i="30"/>
  <c r="M399" i="30"/>
  <c r="M384" i="30"/>
  <c r="M368" i="30"/>
  <c r="M352" i="30"/>
  <c r="M336" i="30"/>
  <c r="M320" i="30"/>
  <c r="M304" i="30"/>
  <c r="M288" i="30"/>
  <c r="M272" i="30"/>
  <c r="M256" i="30"/>
  <c r="M584" i="30"/>
  <c r="M494" i="30"/>
  <c r="M479" i="30"/>
  <c r="M431" i="30"/>
  <c r="M600" i="30"/>
  <c r="M324" i="30"/>
  <c r="M308" i="30"/>
  <c r="M292" i="30"/>
  <c r="M276" i="30"/>
  <c r="M260" i="30"/>
  <c r="M244" i="30"/>
  <c r="M230" i="30"/>
  <c r="M215" i="30"/>
  <c r="M203" i="30"/>
  <c r="M187" i="30"/>
  <c r="M171" i="30"/>
  <c r="M161" i="30"/>
  <c r="M152" i="30"/>
  <c r="M139" i="30"/>
  <c r="M123" i="30"/>
  <c r="M107" i="30"/>
  <c r="M91" i="30"/>
  <c r="M77" i="30"/>
  <c r="M65" i="30"/>
  <c r="M53" i="30"/>
  <c r="M37" i="30"/>
  <c r="M21" i="30"/>
  <c r="M5" i="30"/>
  <c r="M570" i="30"/>
  <c r="M554" i="30"/>
  <c r="M543" i="30"/>
  <c r="M527" i="30"/>
  <c r="M511" i="30"/>
  <c r="M495" i="30"/>
  <c r="M480" i="30"/>
  <c r="M464" i="30"/>
  <c r="M448" i="30"/>
  <c r="M432" i="30"/>
  <c r="M416" i="30"/>
  <c r="M400" i="30"/>
  <c r="M369" i="30"/>
  <c r="M353" i="30"/>
  <c r="M337" i="30"/>
  <c r="M321" i="30"/>
  <c r="M305" i="30"/>
  <c r="M289" i="30"/>
  <c r="M273" i="30"/>
  <c r="M257" i="30"/>
  <c r="M604" i="30"/>
  <c r="M588" i="30"/>
  <c r="M601" i="30"/>
  <c r="M585" i="30"/>
  <c r="M571" i="30"/>
  <c r="M555" i="30"/>
  <c r="M544" i="30"/>
  <c r="M528" i="30"/>
  <c r="M512" i="30"/>
  <c r="M496" i="30"/>
  <c r="M481" i="30"/>
  <c r="M465" i="30"/>
  <c r="M449" i="30"/>
  <c r="M433" i="30"/>
  <c r="M417" i="30"/>
  <c r="M401" i="30"/>
  <c r="M385" i="30"/>
  <c r="M370" i="30"/>
  <c r="M354" i="30"/>
  <c r="M338" i="30"/>
  <c r="M322" i="30"/>
  <c r="M306" i="30"/>
  <c r="M290" i="30"/>
  <c r="M274" i="30"/>
  <c r="M16" i="30"/>
  <c r="M602" i="30"/>
  <c r="M586" i="30"/>
  <c r="M240" i="30"/>
  <c r="M227" i="30"/>
  <c r="M211" i="30"/>
  <c r="M199" i="30"/>
  <c r="M183" i="30"/>
  <c r="M167" i="30"/>
  <c r="M159" i="30"/>
  <c r="M150" i="30"/>
  <c r="M135" i="30"/>
  <c r="M119" i="30"/>
  <c r="M103" i="30"/>
  <c r="M87" i="30"/>
  <c r="M62" i="30"/>
  <c r="M49" i="30"/>
  <c r="M33" i="30"/>
  <c r="M17" i="30"/>
  <c r="M235" i="30"/>
  <c r="M221" i="30"/>
  <c r="M206" i="30"/>
  <c r="M193" i="30"/>
  <c r="M177" i="30"/>
  <c r="M164" i="30"/>
  <c r="M155" i="30"/>
  <c r="M145" i="30"/>
  <c r="M129" i="30"/>
  <c r="M113" i="30"/>
  <c r="M97" i="30"/>
  <c r="M59" i="30"/>
  <c r="M43" i="30"/>
  <c r="M27" i="30"/>
  <c r="M11" i="30"/>
  <c r="M565" i="30"/>
  <c r="M551" i="30"/>
  <c r="M538" i="30"/>
  <c r="M522" i="30"/>
  <c r="M506" i="30"/>
  <c r="M475" i="30"/>
  <c r="M459" i="30"/>
  <c r="M443" i="30"/>
  <c r="M427" i="30"/>
  <c r="M411" i="30"/>
  <c r="M395" i="30"/>
  <c r="M380" i="30"/>
  <c r="M364" i="30"/>
  <c r="M348" i="30"/>
  <c r="M332" i="30"/>
  <c r="M316" i="30"/>
  <c r="M300" i="30"/>
  <c r="M284" i="30"/>
  <c r="M268" i="30"/>
  <c r="M252" i="30"/>
  <c r="M223" i="30"/>
  <c r="M207" i="30"/>
  <c r="M195" i="30"/>
  <c r="M179" i="30"/>
  <c r="M165" i="30"/>
  <c r="M157" i="30"/>
  <c r="M147" i="30"/>
  <c r="M131" i="30"/>
  <c r="M115" i="30"/>
  <c r="M99" i="30"/>
  <c r="M71" i="30"/>
  <c r="M60" i="30"/>
  <c r="M45" i="30"/>
  <c r="M29" i="30"/>
  <c r="M580" i="30"/>
  <c r="M2" i="30"/>
  <c r="D584" i="38"/>
  <c r="F584" i="38"/>
  <c r="G584" i="38"/>
  <c r="H584" i="38"/>
  <c r="I584" i="38"/>
  <c r="J584" i="38"/>
  <c r="K584" i="38"/>
  <c r="L584" i="38"/>
  <c r="M584" i="38"/>
  <c r="N584" i="38"/>
  <c r="O584" i="38"/>
  <c r="P584" i="38"/>
  <c r="Q584" i="38"/>
  <c r="Q2" i="38" l="1"/>
  <c r="Q3" i="38"/>
  <c r="Q4" i="38"/>
  <c r="Q5" i="38"/>
  <c r="Q6" i="38"/>
  <c r="Q7" i="38"/>
  <c r="Q8" i="38"/>
  <c r="Q9" i="38"/>
  <c r="Q10" i="38"/>
  <c r="Q11" i="38"/>
  <c r="Q12" i="38"/>
  <c r="Q13" i="38"/>
  <c r="Q14" i="38"/>
  <c r="Q15" i="38"/>
  <c r="Q16" i="38"/>
  <c r="Q17" i="38"/>
  <c r="Q18" i="38"/>
  <c r="Q19" i="38"/>
  <c r="Q20" i="38"/>
  <c r="Q21" i="38"/>
  <c r="Q22" i="38"/>
  <c r="Q23" i="38"/>
  <c r="Q24" i="38"/>
  <c r="Q25" i="38"/>
  <c r="Q26" i="38"/>
  <c r="Q27" i="38"/>
  <c r="Q28" i="38"/>
  <c r="Q29" i="38"/>
  <c r="Q30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79" i="38"/>
  <c r="Q80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5" i="38"/>
  <c r="Q106" i="38"/>
  <c r="Q107" i="38"/>
  <c r="Q108" i="38"/>
  <c r="Q109" i="38"/>
  <c r="Q110" i="38"/>
  <c r="Q111" i="38"/>
  <c r="Q112" i="38"/>
  <c r="Q113" i="38"/>
  <c r="Q114" i="38"/>
  <c r="Q115" i="38"/>
  <c r="Q116" i="38"/>
  <c r="Q117" i="38"/>
  <c r="Q118" i="38"/>
  <c r="Q119" i="38"/>
  <c r="Q120" i="38"/>
  <c r="Q121" i="38"/>
  <c r="Q122" i="38"/>
  <c r="Q123" i="38"/>
  <c r="Q124" i="38"/>
  <c r="Q125" i="38"/>
  <c r="Q126" i="38"/>
  <c r="Q127" i="38"/>
  <c r="Q128" i="38"/>
  <c r="Q129" i="38"/>
  <c r="Q130" i="38"/>
  <c r="Q131" i="38"/>
  <c r="Q132" i="38"/>
  <c r="Q133" i="38"/>
  <c r="Q134" i="38"/>
  <c r="Q135" i="38"/>
  <c r="Q136" i="38"/>
  <c r="Q137" i="38"/>
  <c r="Q138" i="38"/>
  <c r="Q139" i="38"/>
  <c r="Q140" i="38"/>
  <c r="Q141" i="38"/>
  <c r="Q142" i="38"/>
  <c r="Q143" i="38"/>
  <c r="Q144" i="38"/>
  <c r="Q145" i="38"/>
  <c r="Q146" i="38"/>
  <c r="Q147" i="38"/>
  <c r="Q148" i="38"/>
  <c r="Q149" i="38"/>
  <c r="Q150" i="38"/>
  <c r="Q151" i="38"/>
  <c r="Q152" i="38"/>
  <c r="Q153" i="38"/>
  <c r="Q154" i="38"/>
  <c r="Q155" i="38"/>
  <c r="Q156" i="38"/>
  <c r="Q157" i="38"/>
  <c r="Q158" i="38"/>
  <c r="Q159" i="38"/>
  <c r="Q160" i="38"/>
  <c r="Q161" i="38"/>
  <c r="Q162" i="38"/>
  <c r="Q163" i="38"/>
  <c r="Q164" i="38"/>
  <c r="Q165" i="38"/>
  <c r="Q166" i="38"/>
  <c r="Q167" i="38"/>
  <c r="Q170" i="38"/>
  <c r="Q171" i="38"/>
  <c r="Q172" i="38"/>
  <c r="Q173" i="38"/>
  <c r="Q174" i="38"/>
  <c r="Q175" i="38"/>
  <c r="Q176" i="38"/>
  <c r="Q177" i="38"/>
  <c r="Q178" i="38"/>
  <c r="Q179" i="38"/>
  <c r="Q180" i="38"/>
  <c r="Q181" i="38"/>
  <c r="Q182" i="38"/>
  <c r="Q183" i="38"/>
  <c r="Q184" i="38"/>
  <c r="Q185" i="38"/>
  <c r="Q186" i="38"/>
  <c r="Q187" i="38"/>
  <c r="Q188" i="38"/>
  <c r="Q189" i="38"/>
  <c r="Q190" i="38"/>
  <c r="Q191" i="38"/>
  <c r="Q192" i="38"/>
  <c r="Q193" i="38"/>
  <c r="Q194" i="38"/>
  <c r="Q195" i="38"/>
  <c r="Q196" i="38"/>
  <c r="Q197" i="38"/>
  <c r="Q198" i="38"/>
  <c r="Q199" i="38"/>
  <c r="Q200" i="38"/>
  <c r="Q201" i="38"/>
  <c r="Q202" i="38"/>
  <c r="Q203" i="38"/>
  <c r="Q204" i="38"/>
  <c r="Q205" i="38"/>
  <c r="Q206" i="38"/>
  <c r="Q207" i="38"/>
  <c r="Q208" i="38"/>
  <c r="Q209" i="38"/>
  <c r="Q210" i="38"/>
  <c r="Q211" i="38"/>
  <c r="Q212" i="38"/>
  <c r="Q213" i="38"/>
  <c r="Q214" i="38"/>
  <c r="Q215" i="38"/>
  <c r="Q216" i="38"/>
  <c r="Q217" i="38"/>
  <c r="Q218" i="38"/>
  <c r="Q219" i="38"/>
  <c r="Q220" i="38"/>
  <c r="Q221" i="38"/>
  <c r="Q222" i="38"/>
  <c r="Q223" i="38"/>
  <c r="Q224" i="38"/>
  <c r="Q225" i="38"/>
  <c r="Q226" i="38"/>
  <c r="Q227" i="38"/>
  <c r="Q228" i="38"/>
  <c r="Q229" i="38"/>
  <c r="Q230" i="38"/>
  <c r="Q231" i="38"/>
  <c r="Q232" i="38"/>
  <c r="Q233" i="38"/>
  <c r="Q234" i="38"/>
  <c r="Q235" i="38"/>
  <c r="Q236" i="38"/>
  <c r="Q237" i="38"/>
  <c r="Q238" i="38"/>
  <c r="Q239" i="38"/>
  <c r="Q240" i="38"/>
  <c r="Q241" i="38"/>
  <c r="Q242" i="38"/>
  <c r="Q243" i="38"/>
  <c r="Q244" i="38"/>
  <c r="Q245" i="38"/>
  <c r="Q246" i="38"/>
  <c r="Q247" i="38"/>
  <c r="Q248" i="38"/>
  <c r="Q249" i="38"/>
  <c r="Q250" i="38"/>
  <c r="Q251" i="38"/>
  <c r="Q252" i="38"/>
  <c r="Q253" i="38"/>
  <c r="Q254" i="38"/>
  <c r="Q255" i="38"/>
  <c r="Q256" i="38"/>
  <c r="Q257" i="38"/>
  <c r="Q258" i="38"/>
  <c r="Q259" i="38"/>
  <c r="Q260" i="38"/>
  <c r="Q261" i="38"/>
  <c r="Q262" i="38"/>
  <c r="Q263" i="38"/>
  <c r="Q264" i="38"/>
  <c r="Q265" i="38"/>
  <c r="Q266" i="38"/>
  <c r="Q267" i="38"/>
  <c r="Q268" i="38"/>
  <c r="Q269" i="38"/>
  <c r="Q270" i="38"/>
  <c r="Q271" i="38"/>
  <c r="Q272" i="38"/>
  <c r="Q273" i="38"/>
  <c r="Q274" i="38"/>
  <c r="Q275" i="38"/>
  <c r="Q276" i="38"/>
  <c r="Q277" i="38"/>
  <c r="Q278" i="38"/>
  <c r="Q279" i="38"/>
  <c r="Q280" i="38"/>
  <c r="Q281" i="38"/>
  <c r="Q282" i="38"/>
  <c r="Q283" i="38"/>
  <c r="Q284" i="38"/>
  <c r="Q285" i="38"/>
  <c r="Q286" i="38"/>
  <c r="Q287" i="38"/>
  <c r="Q288" i="38"/>
  <c r="Q289" i="38"/>
  <c r="Q290" i="38"/>
  <c r="Q291" i="38"/>
  <c r="Q292" i="38"/>
  <c r="Q293" i="38"/>
  <c r="Q294" i="38"/>
  <c r="Q295" i="38"/>
  <c r="Q296" i="38"/>
  <c r="Q297" i="38"/>
  <c r="Q298" i="38"/>
  <c r="Q299" i="38"/>
  <c r="Q300" i="38"/>
  <c r="Q301" i="38"/>
  <c r="Q302" i="38"/>
  <c r="Q303" i="38"/>
  <c r="Q304" i="38"/>
  <c r="Q305" i="38"/>
  <c r="Q306" i="38"/>
  <c r="Q307" i="38"/>
  <c r="Q308" i="38"/>
  <c r="Q309" i="38"/>
  <c r="Q310" i="38"/>
  <c r="Q311" i="38"/>
  <c r="Q312" i="38"/>
  <c r="Q313" i="38"/>
  <c r="Q314" i="38"/>
  <c r="Q315" i="38"/>
  <c r="Q316" i="38"/>
  <c r="Q317" i="38"/>
  <c r="Q318" i="38"/>
  <c r="Q319" i="38"/>
  <c r="Q320" i="38"/>
  <c r="Q321" i="38"/>
  <c r="Q322" i="38"/>
  <c r="Q323" i="38"/>
  <c r="Q324" i="38"/>
  <c r="Q325" i="38"/>
  <c r="Q326" i="38"/>
  <c r="Q327" i="38"/>
  <c r="Q328" i="38"/>
  <c r="Q329" i="38"/>
  <c r="Q330" i="38"/>
  <c r="Q331" i="38"/>
  <c r="Q332" i="38"/>
  <c r="Q333" i="38"/>
  <c r="Q334" i="38"/>
  <c r="Q335" i="38"/>
  <c r="Q336" i="38"/>
  <c r="Q337" i="38"/>
  <c r="Q338" i="38"/>
  <c r="Q339" i="38"/>
  <c r="Q340" i="38"/>
  <c r="Q341" i="38"/>
  <c r="Q342" i="38"/>
  <c r="Q343" i="38"/>
  <c r="Q344" i="38"/>
  <c r="Q345" i="38"/>
  <c r="Q346" i="38"/>
  <c r="Q347" i="38"/>
  <c r="Q348" i="38"/>
  <c r="Q349" i="38"/>
  <c r="Q350" i="38"/>
  <c r="Q351" i="38"/>
  <c r="Q352" i="38"/>
  <c r="Q353" i="38"/>
  <c r="Q354" i="38"/>
  <c r="Q355" i="38"/>
  <c r="Q356" i="38"/>
  <c r="Q357" i="38"/>
  <c r="Q358" i="38"/>
  <c r="Q359" i="38"/>
  <c r="Q360" i="38"/>
  <c r="Q361" i="38"/>
  <c r="Q362" i="38"/>
  <c r="Q363" i="38"/>
  <c r="Q364" i="38"/>
  <c r="Q365" i="38"/>
  <c r="Q366" i="38"/>
  <c r="Q367" i="38"/>
  <c r="Q368" i="38"/>
  <c r="Q369" i="38"/>
  <c r="Q370" i="38"/>
  <c r="Q371" i="38"/>
  <c r="Q372" i="38"/>
  <c r="Q373" i="38"/>
  <c r="Q374" i="38"/>
  <c r="Q375" i="38"/>
  <c r="Q376" i="38"/>
  <c r="Q377" i="38"/>
  <c r="Q378" i="38"/>
  <c r="Q379" i="38"/>
  <c r="Q380" i="38"/>
  <c r="Q381" i="38"/>
  <c r="Q382" i="38"/>
  <c r="Q383" i="38"/>
  <c r="Q384" i="38"/>
  <c r="Q385" i="38"/>
  <c r="Q386" i="38"/>
  <c r="Q387" i="38"/>
  <c r="Q388" i="38"/>
  <c r="Q389" i="38"/>
  <c r="Q390" i="38"/>
  <c r="Q391" i="38"/>
  <c r="Q392" i="38"/>
  <c r="Q393" i="38"/>
  <c r="Q394" i="38"/>
  <c r="Q395" i="38"/>
  <c r="Q396" i="38"/>
  <c r="Q397" i="38"/>
  <c r="Q398" i="38"/>
  <c r="Q399" i="38"/>
  <c r="Q400" i="38"/>
  <c r="Q401" i="38"/>
  <c r="Q402" i="38"/>
  <c r="Q403" i="38"/>
  <c r="Q404" i="38"/>
  <c r="Q405" i="38"/>
  <c r="Q406" i="38"/>
  <c r="Q407" i="38"/>
  <c r="Q408" i="38"/>
  <c r="Q409" i="38"/>
  <c r="Q410" i="38"/>
  <c r="Q411" i="38"/>
  <c r="Q412" i="38"/>
  <c r="Q413" i="38"/>
  <c r="Q414" i="38"/>
  <c r="Q415" i="38"/>
  <c r="Q416" i="38"/>
  <c r="Q417" i="38"/>
  <c r="Q418" i="38"/>
  <c r="Q419" i="38"/>
  <c r="Q420" i="38"/>
  <c r="Q421" i="38"/>
  <c r="Q422" i="38"/>
  <c r="Q423" i="38"/>
  <c r="Q424" i="38"/>
  <c r="Q425" i="38"/>
  <c r="Q426" i="38"/>
  <c r="Q427" i="38"/>
  <c r="Q428" i="38"/>
  <c r="Q429" i="38"/>
  <c r="Q430" i="38"/>
  <c r="Q431" i="38"/>
  <c r="Q432" i="38"/>
  <c r="Q433" i="38"/>
  <c r="Q434" i="38"/>
  <c r="Q435" i="38"/>
  <c r="Q436" i="38"/>
  <c r="Q437" i="38"/>
  <c r="Q438" i="38"/>
  <c r="Q439" i="38"/>
  <c r="Q440" i="38"/>
  <c r="Q441" i="38"/>
  <c r="Q442" i="38"/>
  <c r="Q443" i="38"/>
  <c r="Q444" i="38"/>
  <c r="Q445" i="38"/>
  <c r="Q446" i="38"/>
  <c r="Q447" i="38"/>
  <c r="Q448" i="38"/>
  <c r="Q449" i="38"/>
  <c r="Q450" i="38"/>
  <c r="Q451" i="38"/>
  <c r="Q452" i="38"/>
  <c r="Q453" i="38"/>
  <c r="Q454" i="38"/>
  <c r="Q455" i="38"/>
  <c r="Q456" i="38"/>
  <c r="Q457" i="38"/>
  <c r="Q458" i="38"/>
  <c r="Q459" i="38"/>
  <c r="Q460" i="38"/>
  <c r="Q461" i="38"/>
  <c r="Q462" i="38"/>
  <c r="Q463" i="38"/>
  <c r="Q464" i="38"/>
  <c r="Q465" i="38"/>
  <c r="Q466" i="38"/>
  <c r="Q467" i="38"/>
  <c r="Q468" i="38"/>
  <c r="Q469" i="38"/>
  <c r="Q470" i="38"/>
  <c r="Q471" i="38"/>
  <c r="Q472" i="38"/>
  <c r="Q473" i="38"/>
  <c r="Q474" i="38"/>
  <c r="Q475" i="38"/>
  <c r="Q476" i="38"/>
  <c r="Q477" i="38"/>
  <c r="Q478" i="38"/>
  <c r="Q479" i="38"/>
  <c r="Q480" i="38"/>
  <c r="Q481" i="38"/>
  <c r="Q482" i="38"/>
  <c r="Q483" i="38"/>
  <c r="Q484" i="38"/>
  <c r="Q485" i="38"/>
  <c r="Q486" i="38"/>
  <c r="Q487" i="38"/>
  <c r="Q488" i="38"/>
  <c r="Q489" i="38"/>
  <c r="Q490" i="38"/>
  <c r="Q491" i="38"/>
  <c r="Q492" i="38"/>
  <c r="Q493" i="38"/>
  <c r="Q494" i="38"/>
  <c r="Q495" i="38"/>
  <c r="Q496" i="38"/>
  <c r="Q497" i="38"/>
  <c r="Q498" i="38"/>
  <c r="Q499" i="38"/>
  <c r="Q500" i="38"/>
  <c r="Q501" i="38"/>
  <c r="Q502" i="38"/>
  <c r="Q503" i="38"/>
  <c r="Q504" i="38"/>
  <c r="Q505" i="38"/>
  <c r="Q506" i="38"/>
  <c r="Q507" i="38"/>
  <c r="Q508" i="38"/>
  <c r="Q509" i="38"/>
  <c r="Q510" i="38"/>
  <c r="Q511" i="38"/>
  <c r="Q512" i="38"/>
  <c r="Q513" i="38"/>
  <c r="Q514" i="38"/>
  <c r="Q515" i="38"/>
  <c r="Q516" i="38"/>
  <c r="Q517" i="38"/>
  <c r="Q518" i="38"/>
  <c r="Q519" i="38"/>
  <c r="Q520" i="38"/>
  <c r="Q521" i="38"/>
  <c r="Q522" i="38"/>
  <c r="Q523" i="38"/>
  <c r="Q524" i="38"/>
  <c r="Q525" i="38"/>
  <c r="Q526" i="38"/>
  <c r="Q527" i="38"/>
  <c r="Q528" i="38"/>
  <c r="Q529" i="38"/>
  <c r="Q530" i="38"/>
  <c r="Q531" i="38"/>
  <c r="Q532" i="38"/>
  <c r="Q533" i="38"/>
  <c r="Q534" i="38"/>
  <c r="Q535" i="38"/>
  <c r="Q536" i="38"/>
  <c r="Q537" i="38"/>
  <c r="Q538" i="38"/>
  <c r="Q539" i="38"/>
  <c r="Q540" i="38"/>
  <c r="Q541" i="38"/>
  <c r="Q542" i="38"/>
  <c r="Q543" i="38"/>
  <c r="Q544" i="38"/>
  <c r="Q545" i="38"/>
  <c r="Q546" i="38"/>
  <c r="Q547" i="38"/>
  <c r="Q548" i="38"/>
  <c r="Q549" i="38"/>
  <c r="Q550" i="38"/>
  <c r="Q551" i="38"/>
  <c r="Q552" i="38"/>
  <c r="Q553" i="38"/>
  <c r="Q554" i="38"/>
  <c r="Q555" i="38"/>
  <c r="Q556" i="38"/>
  <c r="Q557" i="38"/>
  <c r="Q558" i="38"/>
  <c r="Q559" i="38"/>
  <c r="Q560" i="38"/>
  <c r="Q561" i="38"/>
  <c r="Q562" i="38"/>
  <c r="Q563" i="38"/>
  <c r="Q564" i="38"/>
  <c r="Q565" i="38"/>
  <c r="Q566" i="38"/>
  <c r="Q567" i="38"/>
  <c r="Q568" i="38"/>
  <c r="Q569" i="38"/>
  <c r="Q570" i="38"/>
  <c r="Q571" i="38"/>
  <c r="Q572" i="38"/>
  <c r="Q573" i="38"/>
  <c r="Q574" i="38"/>
  <c r="Q575" i="38"/>
  <c r="Q576" i="38"/>
  <c r="Q577" i="38"/>
  <c r="Q578" i="38"/>
  <c r="Q579" i="38"/>
  <c r="Q580" i="38"/>
  <c r="Q581" i="38"/>
  <c r="Q582" i="38"/>
  <c r="Q583" i="38"/>
  <c r="Q585" i="38"/>
  <c r="Q586" i="38"/>
  <c r="Q587" i="38"/>
  <c r="Q588" i="38"/>
  <c r="Q589" i="38"/>
  <c r="Q590" i="38"/>
  <c r="Q591" i="38"/>
  <c r="Q592" i="38"/>
  <c r="Q593" i="38"/>
  <c r="Q594" i="38"/>
  <c r="Q595" i="38"/>
  <c r="Q596" i="38"/>
  <c r="Q597" i="38"/>
  <c r="Q598" i="38"/>
  <c r="Q599" i="38"/>
  <c r="Q600" i="38"/>
  <c r="Q601" i="38"/>
  <c r="Q602" i="38"/>
  <c r="Q603" i="38"/>
  <c r="Q604" i="38"/>
  <c r="Q605" i="38"/>
  <c r="Q606" i="38"/>
  <c r="Q607" i="38"/>
  <c r="P2" i="38"/>
  <c r="P3" i="38"/>
  <c r="P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P18" i="38"/>
  <c r="P19" i="38"/>
  <c r="P20" i="38"/>
  <c r="P21" i="38"/>
  <c r="P22" i="38"/>
  <c r="P23" i="38"/>
  <c r="P24" i="38"/>
  <c r="P25" i="38"/>
  <c r="P26" i="38"/>
  <c r="P27" i="38"/>
  <c r="P28" i="38"/>
  <c r="P29" i="38"/>
  <c r="P30" i="38"/>
  <c r="P31" i="38"/>
  <c r="P32" i="38"/>
  <c r="P33" i="38"/>
  <c r="P34" i="38"/>
  <c r="P35" i="38"/>
  <c r="P36" i="38"/>
  <c r="P37" i="38"/>
  <c r="P38" i="38"/>
  <c r="P39" i="38"/>
  <c r="P40" i="38"/>
  <c r="P41" i="38"/>
  <c r="P42" i="38"/>
  <c r="P43" i="38"/>
  <c r="P44" i="38"/>
  <c r="P45" i="38"/>
  <c r="P46" i="38"/>
  <c r="P47" i="38"/>
  <c r="P48" i="38"/>
  <c r="P49" i="38"/>
  <c r="P50" i="38"/>
  <c r="P51" i="38"/>
  <c r="P52" i="38"/>
  <c r="P53" i="38"/>
  <c r="P54" i="38"/>
  <c r="P55" i="38"/>
  <c r="P56" i="38"/>
  <c r="P57" i="38"/>
  <c r="P58" i="38"/>
  <c r="P59" i="38"/>
  <c r="P60" i="38"/>
  <c r="P61" i="38"/>
  <c r="P62" i="38"/>
  <c r="P63" i="38"/>
  <c r="P64" i="38"/>
  <c r="P65" i="38"/>
  <c r="P66" i="38"/>
  <c r="P67" i="38"/>
  <c r="P68" i="38"/>
  <c r="P69" i="38"/>
  <c r="P70" i="38"/>
  <c r="P71" i="38"/>
  <c r="P72" i="38"/>
  <c r="P73" i="38"/>
  <c r="P74" i="38"/>
  <c r="P75" i="38"/>
  <c r="P76" i="38"/>
  <c r="P77" i="38"/>
  <c r="P78" i="38"/>
  <c r="P79" i="38"/>
  <c r="P80" i="38"/>
  <c r="P81" i="38"/>
  <c r="P82" i="38"/>
  <c r="P83" i="38"/>
  <c r="P84" i="38"/>
  <c r="P85" i="38"/>
  <c r="P86" i="38"/>
  <c r="P87" i="38"/>
  <c r="P88" i="38"/>
  <c r="P89" i="38"/>
  <c r="P90" i="38"/>
  <c r="P91" i="38"/>
  <c r="P92" i="38"/>
  <c r="P93" i="38"/>
  <c r="P94" i="38"/>
  <c r="P95" i="38"/>
  <c r="P96" i="38"/>
  <c r="P97" i="38"/>
  <c r="P98" i="38"/>
  <c r="P99" i="38"/>
  <c r="P100" i="38"/>
  <c r="P101" i="38"/>
  <c r="P102" i="38"/>
  <c r="P103" i="38"/>
  <c r="P104" i="38"/>
  <c r="P105" i="38"/>
  <c r="P106" i="38"/>
  <c r="P107" i="38"/>
  <c r="P108" i="38"/>
  <c r="P109" i="38"/>
  <c r="P110" i="38"/>
  <c r="P111" i="38"/>
  <c r="P112" i="38"/>
  <c r="P113" i="38"/>
  <c r="P114" i="38"/>
  <c r="P115" i="38"/>
  <c r="P116" i="38"/>
  <c r="P117" i="38"/>
  <c r="P118" i="38"/>
  <c r="P119" i="38"/>
  <c r="P120" i="38"/>
  <c r="P121" i="38"/>
  <c r="P122" i="38"/>
  <c r="P123" i="38"/>
  <c r="P124" i="38"/>
  <c r="P125" i="38"/>
  <c r="P126" i="38"/>
  <c r="P127" i="38"/>
  <c r="P128" i="38"/>
  <c r="P129" i="38"/>
  <c r="P130" i="38"/>
  <c r="P131" i="38"/>
  <c r="P132" i="38"/>
  <c r="P133" i="38"/>
  <c r="P134" i="38"/>
  <c r="P135" i="38"/>
  <c r="P136" i="38"/>
  <c r="P137" i="38"/>
  <c r="P138" i="38"/>
  <c r="P139" i="38"/>
  <c r="P140" i="38"/>
  <c r="P141" i="38"/>
  <c r="P142" i="38"/>
  <c r="P143" i="38"/>
  <c r="P144" i="38"/>
  <c r="P145" i="38"/>
  <c r="P146" i="38"/>
  <c r="P147" i="38"/>
  <c r="P148" i="38"/>
  <c r="P149" i="38"/>
  <c r="P150" i="38"/>
  <c r="P151" i="38"/>
  <c r="P152" i="38"/>
  <c r="P153" i="38"/>
  <c r="P154" i="38"/>
  <c r="P155" i="38"/>
  <c r="P156" i="38"/>
  <c r="P157" i="38"/>
  <c r="P158" i="38"/>
  <c r="P159" i="38"/>
  <c r="P160" i="38"/>
  <c r="P161" i="38"/>
  <c r="P162" i="38"/>
  <c r="P163" i="38"/>
  <c r="P164" i="38"/>
  <c r="P165" i="38"/>
  <c r="P166" i="38"/>
  <c r="P167" i="38"/>
  <c r="P170" i="38"/>
  <c r="P171" i="38"/>
  <c r="P172" i="38"/>
  <c r="P173" i="38"/>
  <c r="P174" i="38"/>
  <c r="P175" i="38"/>
  <c r="P176" i="38"/>
  <c r="P177" i="38"/>
  <c r="P178" i="38"/>
  <c r="P179" i="38"/>
  <c r="P180" i="38"/>
  <c r="P181" i="38"/>
  <c r="P182" i="38"/>
  <c r="P183" i="38"/>
  <c r="P184" i="38"/>
  <c r="P185" i="38"/>
  <c r="P186" i="38"/>
  <c r="P187" i="38"/>
  <c r="P188" i="38"/>
  <c r="P189" i="38"/>
  <c r="P190" i="38"/>
  <c r="P191" i="38"/>
  <c r="P192" i="38"/>
  <c r="P193" i="38"/>
  <c r="P194" i="38"/>
  <c r="P195" i="38"/>
  <c r="P196" i="38"/>
  <c r="P197" i="38"/>
  <c r="P198" i="38"/>
  <c r="P199" i="38"/>
  <c r="P200" i="38"/>
  <c r="P201" i="38"/>
  <c r="P202" i="38"/>
  <c r="P203" i="38"/>
  <c r="P204" i="38"/>
  <c r="P205" i="38"/>
  <c r="P206" i="38"/>
  <c r="P207" i="38"/>
  <c r="P208" i="38"/>
  <c r="P209" i="38"/>
  <c r="P210" i="38"/>
  <c r="P211" i="38"/>
  <c r="P212" i="38"/>
  <c r="P213" i="38"/>
  <c r="P214" i="38"/>
  <c r="P215" i="38"/>
  <c r="P216" i="38"/>
  <c r="P217" i="38"/>
  <c r="P218" i="38"/>
  <c r="P219" i="38"/>
  <c r="P220" i="38"/>
  <c r="P221" i="38"/>
  <c r="P222" i="38"/>
  <c r="P223" i="38"/>
  <c r="P224" i="38"/>
  <c r="P225" i="38"/>
  <c r="P226" i="38"/>
  <c r="P227" i="38"/>
  <c r="P228" i="38"/>
  <c r="P229" i="38"/>
  <c r="P230" i="38"/>
  <c r="P231" i="38"/>
  <c r="P232" i="38"/>
  <c r="P233" i="38"/>
  <c r="P234" i="38"/>
  <c r="P235" i="38"/>
  <c r="P236" i="38"/>
  <c r="P237" i="38"/>
  <c r="P238" i="38"/>
  <c r="P239" i="38"/>
  <c r="P240" i="38"/>
  <c r="P241" i="38"/>
  <c r="P242" i="38"/>
  <c r="P243" i="38"/>
  <c r="P244" i="38"/>
  <c r="P245" i="38"/>
  <c r="P246" i="38"/>
  <c r="P247" i="38"/>
  <c r="P248" i="38"/>
  <c r="P249" i="38"/>
  <c r="P250" i="38"/>
  <c r="P251" i="38"/>
  <c r="P252" i="38"/>
  <c r="P253" i="38"/>
  <c r="P254" i="38"/>
  <c r="P255" i="38"/>
  <c r="P256" i="38"/>
  <c r="P257" i="38"/>
  <c r="P258" i="38"/>
  <c r="P259" i="38"/>
  <c r="P260" i="38"/>
  <c r="P261" i="38"/>
  <c r="P262" i="38"/>
  <c r="P263" i="38"/>
  <c r="P264" i="38"/>
  <c r="P265" i="38"/>
  <c r="P266" i="38"/>
  <c r="P267" i="38"/>
  <c r="P268" i="38"/>
  <c r="P269" i="38"/>
  <c r="P270" i="38"/>
  <c r="P271" i="38"/>
  <c r="P272" i="38"/>
  <c r="P273" i="38"/>
  <c r="P274" i="38"/>
  <c r="P275" i="38"/>
  <c r="P276" i="38"/>
  <c r="P277" i="38"/>
  <c r="P278" i="38"/>
  <c r="P279" i="38"/>
  <c r="P280" i="38"/>
  <c r="P281" i="38"/>
  <c r="P282" i="38"/>
  <c r="P283" i="38"/>
  <c r="P284" i="38"/>
  <c r="P285" i="38"/>
  <c r="P286" i="38"/>
  <c r="P287" i="38"/>
  <c r="P288" i="38"/>
  <c r="P289" i="38"/>
  <c r="P290" i="38"/>
  <c r="P291" i="38"/>
  <c r="P292" i="38"/>
  <c r="P293" i="38"/>
  <c r="P294" i="38"/>
  <c r="P295" i="38"/>
  <c r="P296" i="38"/>
  <c r="P297" i="38"/>
  <c r="P298" i="38"/>
  <c r="P299" i="38"/>
  <c r="P300" i="38"/>
  <c r="P301" i="38"/>
  <c r="P302" i="38"/>
  <c r="P303" i="38"/>
  <c r="P304" i="38"/>
  <c r="P305" i="38"/>
  <c r="P306" i="38"/>
  <c r="P307" i="38"/>
  <c r="P308" i="38"/>
  <c r="P309" i="38"/>
  <c r="P310" i="38"/>
  <c r="P311" i="38"/>
  <c r="P312" i="38"/>
  <c r="P313" i="38"/>
  <c r="P314" i="38"/>
  <c r="P315" i="38"/>
  <c r="P316" i="38"/>
  <c r="P317" i="38"/>
  <c r="P318" i="38"/>
  <c r="P319" i="38"/>
  <c r="P320" i="38"/>
  <c r="P321" i="38"/>
  <c r="P322" i="38"/>
  <c r="P323" i="38"/>
  <c r="P324" i="38"/>
  <c r="P325" i="38"/>
  <c r="P326" i="38"/>
  <c r="P327" i="38"/>
  <c r="P328" i="38"/>
  <c r="P329" i="38"/>
  <c r="P330" i="38"/>
  <c r="P331" i="38"/>
  <c r="P332" i="38"/>
  <c r="P333" i="38"/>
  <c r="P334" i="38"/>
  <c r="P335" i="38"/>
  <c r="P336" i="38"/>
  <c r="P337" i="38"/>
  <c r="P338" i="38"/>
  <c r="P339" i="38"/>
  <c r="P340" i="38"/>
  <c r="P341" i="38"/>
  <c r="P342" i="38"/>
  <c r="P343" i="38"/>
  <c r="P344" i="38"/>
  <c r="P345" i="38"/>
  <c r="P346" i="38"/>
  <c r="P347" i="38"/>
  <c r="P348" i="38"/>
  <c r="P349" i="38"/>
  <c r="P350" i="38"/>
  <c r="P351" i="38"/>
  <c r="P352" i="38"/>
  <c r="P353" i="38"/>
  <c r="P354" i="38"/>
  <c r="P355" i="38"/>
  <c r="P356" i="38"/>
  <c r="P357" i="38"/>
  <c r="P358" i="38"/>
  <c r="P359" i="38"/>
  <c r="P360" i="38"/>
  <c r="P361" i="38"/>
  <c r="P362" i="38"/>
  <c r="P363" i="38"/>
  <c r="P364" i="38"/>
  <c r="P365" i="38"/>
  <c r="P366" i="38"/>
  <c r="P367" i="38"/>
  <c r="P368" i="38"/>
  <c r="P369" i="38"/>
  <c r="P370" i="38"/>
  <c r="P371" i="38"/>
  <c r="P372" i="38"/>
  <c r="P373" i="38"/>
  <c r="P374" i="38"/>
  <c r="P375" i="38"/>
  <c r="P376" i="38"/>
  <c r="P377" i="38"/>
  <c r="P378" i="38"/>
  <c r="P379" i="38"/>
  <c r="P380" i="38"/>
  <c r="P381" i="38"/>
  <c r="P382" i="38"/>
  <c r="P383" i="38"/>
  <c r="P384" i="38"/>
  <c r="P385" i="38"/>
  <c r="P386" i="38"/>
  <c r="P387" i="38"/>
  <c r="P388" i="38"/>
  <c r="P389" i="38"/>
  <c r="P390" i="38"/>
  <c r="P391" i="38"/>
  <c r="P392" i="38"/>
  <c r="P393" i="38"/>
  <c r="P394" i="38"/>
  <c r="P395" i="38"/>
  <c r="P396" i="38"/>
  <c r="P397" i="38"/>
  <c r="P398" i="38"/>
  <c r="P399" i="38"/>
  <c r="P400" i="38"/>
  <c r="P401" i="38"/>
  <c r="P402" i="38"/>
  <c r="P403" i="38"/>
  <c r="P404" i="38"/>
  <c r="P405" i="38"/>
  <c r="P406" i="38"/>
  <c r="P407" i="38"/>
  <c r="P408" i="38"/>
  <c r="P409" i="38"/>
  <c r="P410" i="38"/>
  <c r="P411" i="38"/>
  <c r="P412" i="38"/>
  <c r="P413" i="38"/>
  <c r="P414" i="38"/>
  <c r="P415" i="38"/>
  <c r="P416" i="38"/>
  <c r="P417" i="38"/>
  <c r="P418" i="38"/>
  <c r="P419" i="38"/>
  <c r="P420" i="38"/>
  <c r="P421" i="38"/>
  <c r="P422" i="38"/>
  <c r="P423" i="38"/>
  <c r="P424" i="38"/>
  <c r="P425" i="38"/>
  <c r="P426" i="38"/>
  <c r="P427" i="38"/>
  <c r="P428" i="38"/>
  <c r="P429" i="38"/>
  <c r="P430" i="38"/>
  <c r="P431" i="38"/>
  <c r="P432" i="38"/>
  <c r="P433" i="38"/>
  <c r="P434" i="38"/>
  <c r="P435" i="38"/>
  <c r="P436" i="38"/>
  <c r="P437" i="38"/>
  <c r="P438" i="38"/>
  <c r="P439" i="38"/>
  <c r="P440" i="38"/>
  <c r="P441" i="38"/>
  <c r="P442" i="38"/>
  <c r="P443" i="38"/>
  <c r="P444" i="38"/>
  <c r="P445" i="38"/>
  <c r="P446" i="38"/>
  <c r="P447" i="38"/>
  <c r="P448" i="38"/>
  <c r="P449" i="38"/>
  <c r="P450" i="38"/>
  <c r="P451" i="38"/>
  <c r="P452" i="38"/>
  <c r="P453" i="38"/>
  <c r="P454" i="38"/>
  <c r="P455" i="38"/>
  <c r="P456" i="38"/>
  <c r="P457" i="38"/>
  <c r="P458" i="38"/>
  <c r="P459" i="38"/>
  <c r="P460" i="38"/>
  <c r="P461" i="38"/>
  <c r="P462" i="38"/>
  <c r="P463" i="38"/>
  <c r="P464" i="38"/>
  <c r="P465" i="38"/>
  <c r="P466" i="38"/>
  <c r="P467" i="38"/>
  <c r="P468" i="38"/>
  <c r="P469" i="38"/>
  <c r="P470" i="38"/>
  <c r="P471" i="38"/>
  <c r="P472" i="38"/>
  <c r="P473" i="38"/>
  <c r="P474" i="38"/>
  <c r="P475" i="38"/>
  <c r="P476" i="38"/>
  <c r="P477" i="38"/>
  <c r="P478" i="38"/>
  <c r="P479" i="38"/>
  <c r="P480" i="38"/>
  <c r="P481" i="38"/>
  <c r="P482" i="38"/>
  <c r="P483" i="38"/>
  <c r="P484" i="38"/>
  <c r="P485" i="38"/>
  <c r="P486" i="38"/>
  <c r="P487" i="38"/>
  <c r="P488" i="38"/>
  <c r="P489" i="38"/>
  <c r="P490" i="38"/>
  <c r="P491" i="38"/>
  <c r="P492" i="38"/>
  <c r="P493" i="38"/>
  <c r="P494" i="38"/>
  <c r="P495" i="38"/>
  <c r="P496" i="38"/>
  <c r="P497" i="38"/>
  <c r="P498" i="38"/>
  <c r="P499" i="38"/>
  <c r="P500" i="38"/>
  <c r="P501" i="38"/>
  <c r="P502" i="38"/>
  <c r="P503" i="38"/>
  <c r="P504" i="38"/>
  <c r="P505" i="38"/>
  <c r="P506" i="38"/>
  <c r="P507" i="38"/>
  <c r="P508" i="38"/>
  <c r="P509" i="38"/>
  <c r="P510" i="38"/>
  <c r="P511" i="38"/>
  <c r="P512" i="38"/>
  <c r="P513" i="38"/>
  <c r="P514" i="38"/>
  <c r="P515" i="38"/>
  <c r="P516" i="38"/>
  <c r="P517" i="38"/>
  <c r="P518" i="38"/>
  <c r="P519" i="38"/>
  <c r="P520" i="38"/>
  <c r="P521" i="38"/>
  <c r="P522" i="38"/>
  <c r="P523" i="38"/>
  <c r="P524" i="38"/>
  <c r="P525" i="38"/>
  <c r="P526" i="38"/>
  <c r="P527" i="38"/>
  <c r="P528" i="38"/>
  <c r="P529" i="38"/>
  <c r="P530" i="38"/>
  <c r="P531" i="38"/>
  <c r="P532" i="38"/>
  <c r="P533" i="38"/>
  <c r="P534" i="38"/>
  <c r="P535" i="38"/>
  <c r="P536" i="38"/>
  <c r="P537" i="38"/>
  <c r="P538" i="38"/>
  <c r="P539" i="38"/>
  <c r="P540" i="38"/>
  <c r="P541" i="38"/>
  <c r="P542" i="38"/>
  <c r="P543" i="38"/>
  <c r="P544" i="38"/>
  <c r="P545" i="38"/>
  <c r="P546" i="38"/>
  <c r="P547" i="38"/>
  <c r="P548" i="38"/>
  <c r="P549" i="38"/>
  <c r="P550" i="38"/>
  <c r="P551" i="38"/>
  <c r="P552" i="38"/>
  <c r="P553" i="38"/>
  <c r="P554" i="38"/>
  <c r="P555" i="38"/>
  <c r="P556" i="38"/>
  <c r="P557" i="38"/>
  <c r="P558" i="38"/>
  <c r="P559" i="38"/>
  <c r="P560" i="38"/>
  <c r="P561" i="38"/>
  <c r="P562" i="38"/>
  <c r="P563" i="38"/>
  <c r="P564" i="38"/>
  <c r="P565" i="38"/>
  <c r="P566" i="38"/>
  <c r="P567" i="38"/>
  <c r="P568" i="38"/>
  <c r="P569" i="38"/>
  <c r="P570" i="38"/>
  <c r="P571" i="38"/>
  <c r="P572" i="38"/>
  <c r="P573" i="38"/>
  <c r="P574" i="38"/>
  <c r="P575" i="38"/>
  <c r="P576" i="38"/>
  <c r="P577" i="38"/>
  <c r="P578" i="38"/>
  <c r="P579" i="38"/>
  <c r="P580" i="38"/>
  <c r="P581" i="38"/>
  <c r="P582" i="38"/>
  <c r="P583" i="38"/>
  <c r="P585" i="38"/>
  <c r="P586" i="38"/>
  <c r="P587" i="38"/>
  <c r="P588" i="38"/>
  <c r="P589" i="38"/>
  <c r="P590" i="38"/>
  <c r="P591" i="38"/>
  <c r="P592" i="38"/>
  <c r="P593" i="38"/>
  <c r="P594" i="38"/>
  <c r="P595" i="38"/>
  <c r="P596" i="38"/>
  <c r="P597" i="38"/>
  <c r="P598" i="38"/>
  <c r="P599" i="38"/>
  <c r="P600" i="38"/>
  <c r="P601" i="38"/>
  <c r="P602" i="38"/>
  <c r="P603" i="38"/>
  <c r="P604" i="38"/>
  <c r="P605" i="38"/>
  <c r="P606" i="38"/>
  <c r="P607" i="38"/>
  <c r="O2" i="38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110" i="38"/>
  <c r="O111" i="38"/>
  <c r="O112" i="38"/>
  <c r="O113" i="38"/>
  <c r="O114" i="38"/>
  <c r="O115" i="38"/>
  <c r="O116" i="38"/>
  <c r="O117" i="38"/>
  <c r="O118" i="38"/>
  <c r="O119" i="38"/>
  <c r="O120" i="38"/>
  <c r="O121" i="38"/>
  <c r="O122" i="38"/>
  <c r="O123" i="38"/>
  <c r="O124" i="38"/>
  <c r="O125" i="38"/>
  <c r="O126" i="38"/>
  <c r="O127" i="38"/>
  <c r="O128" i="38"/>
  <c r="O129" i="38"/>
  <c r="O130" i="38"/>
  <c r="O131" i="38"/>
  <c r="O132" i="38"/>
  <c r="O133" i="38"/>
  <c r="O134" i="38"/>
  <c r="O135" i="38"/>
  <c r="O136" i="38"/>
  <c r="O137" i="38"/>
  <c r="O138" i="38"/>
  <c r="O139" i="38"/>
  <c r="O140" i="38"/>
  <c r="O141" i="38"/>
  <c r="O142" i="38"/>
  <c r="O143" i="38"/>
  <c r="O144" i="38"/>
  <c r="O145" i="38"/>
  <c r="O146" i="38"/>
  <c r="O147" i="38"/>
  <c r="O148" i="38"/>
  <c r="O149" i="38"/>
  <c r="O150" i="38"/>
  <c r="O151" i="38"/>
  <c r="O152" i="38"/>
  <c r="O153" i="38"/>
  <c r="O154" i="38"/>
  <c r="O155" i="38"/>
  <c r="O156" i="38"/>
  <c r="O157" i="38"/>
  <c r="O158" i="38"/>
  <c r="O159" i="38"/>
  <c r="O160" i="38"/>
  <c r="O161" i="38"/>
  <c r="O162" i="38"/>
  <c r="O163" i="38"/>
  <c r="O164" i="38"/>
  <c r="O165" i="38"/>
  <c r="O166" i="38"/>
  <c r="O167" i="38"/>
  <c r="O170" i="38"/>
  <c r="O171" i="38"/>
  <c r="O172" i="38"/>
  <c r="O173" i="38"/>
  <c r="O174" i="38"/>
  <c r="O175" i="38"/>
  <c r="O176" i="38"/>
  <c r="O177" i="38"/>
  <c r="O178" i="38"/>
  <c r="O179" i="38"/>
  <c r="O180" i="38"/>
  <c r="O181" i="38"/>
  <c r="O182" i="38"/>
  <c r="O183" i="38"/>
  <c r="O184" i="38"/>
  <c r="O185" i="38"/>
  <c r="O186" i="38"/>
  <c r="O187" i="38"/>
  <c r="O188" i="38"/>
  <c r="O189" i="38"/>
  <c r="O190" i="38"/>
  <c r="O191" i="38"/>
  <c r="O192" i="38"/>
  <c r="O193" i="38"/>
  <c r="O194" i="38"/>
  <c r="O195" i="38"/>
  <c r="O196" i="38"/>
  <c r="O197" i="38"/>
  <c r="O198" i="38"/>
  <c r="O199" i="38"/>
  <c r="O200" i="38"/>
  <c r="O201" i="38"/>
  <c r="O202" i="38"/>
  <c r="O203" i="38"/>
  <c r="O204" i="38"/>
  <c r="O205" i="38"/>
  <c r="O206" i="38"/>
  <c r="O207" i="38"/>
  <c r="O208" i="38"/>
  <c r="O209" i="38"/>
  <c r="O210" i="38"/>
  <c r="O211" i="38"/>
  <c r="O212" i="38"/>
  <c r="O213" i="38"/>
  <c r="O214" i="38"/>
  <c r="O215" i="38"/>
  <c r="O216" i="38"/>
  <c r="O217" i="38"/>
  <c r="O218" i="38"/>
  <c r="O219" i="38"/>
  <c r="O220" i="38"/>
  <c r="O221" i="38"/>
  <c r="O222" i="38"/>
  <c r="O223" i="38"/>
  <c r="O224" i="38"/>
  <c r="O225" i="38"/>
  <c r="O226" i="38"/>
  <c r="O227" i="38"/>
  <c r="O228" i="38"/>
  <c r="O229" i="38"/>
  <c r="O230" i="38"/>
  <c r="O231" i="38"/>
  <c r="O232" i="38"/>
  <c r="O233" i="38"/>
  <c r="O234" i="38"/>
  <c r="O235" i="38"/>
  <c r="O236" i="38"/>
  <c r="O237" i="38"/>
  <c r="O238" i="38"/>
  <c r="O239" i="38"/>
  <c r="O240" i="38"/>
  <c r="O241" i="38"/>
  <c r="O242" i="38"/>
  <c r="O243" i="38"/>
  <c r="O244" i="38"/>
  <c r="O245" i="38"/>
  <c r="O246" i="38"/>
  <c r="O247" i="38"/>
  <c r="O248" i="38"/>
  <c r="O249" i="38"/>
  <c r="O250" i="38"/>
  <c r="O251" i="38"/>
  <c r="O252" i="38"/>
  <c r="O253" i="38"/>
  <c r="O254" i="38"/>
  <c r="O255" i="38"/>
  <c r="O256" i="38"/>
  <c r="O257" i="38"/>
  <c r="O258" i="38"/>
  <c r="O259" i="38"/>
  <c r="O260" i="38"/>
  <c r="O261" i="38"/>
  <c r="O262" i="38"/>
  <c r="O263" i="38"/>
  <c r="O264" i="38"/>
  <c r="O265" i="38"/>
  <c r="O266" i="38"/>
  <c r="O267" i="38"/>
  <c r="O268" i="38"/>
  <c r="O269" i="38"/>
  <c r="O270" i="38"/>
  <c r="O271" i="38"/>
  <c r="O272" i="38"/>
  <c r="O273" i="38"/>
  <c r="O274" i="38"/>
  <c r="O275" i="38"/>
  <c r="O276" i="38"/>
  <c r="O277" i="38"/>
  <c r="O278" i="38"/>
  <c r="O279" i="38"/>
  <c r="O280" i="38"/>
  <c r="O281" i="38"/>
  <c r="O282" i="38"/>
  <c r="O283" i="38"/>
  <c r="O284" i="38"/>
  <c r="O285" i="38"/>
  <c r="O286" i="38"/>
  <c r="O287" i="38"/>
  <c r="O288" i="38"/>
  <c r="O289" i="38"/>
  <c r="O290" i="38"/>
  <c r="O291" i="38"/>
  <c r="O292" i="38"/>
  <c r="O293" i="38"/>
  <c r="O294" i="38"/>
  <c r="O295" i="38"/>
  <c r="O296" i="38"/>
  <c r="O297" i="38"/>
  <c r="O298" i="38"/>
  <c r="O299" i="38"/>
  <c r="O300" i="38"/>
  <c r="O301" i="38"/>
  <c r="O302" i="38"/>
  <c r="O303" i="38"/>
  <c r="O304" i="38"/>
  <c r="O305" i="38"/>
  <c r="O306" i="38"/>
  <c r="O307" i="38"/>
  <c r="O308" i="38"/>
  <c r="O309" i="38"/>
  <c r="O310" i="38"/>
  <c r="O311" i="38"/>
  <c r="O312" i="38"/>
  <c r="O313" i="38"/>
  <c r="O314" i="38"/>
  <c r="O315" i="38"/>
  <c r="O316" i="38"/>
  <c r="O317" i="38"/>
  <c r="O318" i="38"/>
  <c r="O319" i="38"/>
  <c r="O320" i="38"/>
  <c r="O321" i="38"/>
  <c r="O322" i="38"/>
  <c r="O323" i="38"/>
  <c r="O324" i="38"/>
  <c r="O325" i="38"/>
  <c r="O326" i="38"/>
  <c r="O327" i="38"/>
  <c r="O328" i="38"/>
  <c r="O329" i="38"/>
  <c r="O330" i="38"/>
  <c r="O331" i="38"/>
  <c r="O332" i="38"/>
  <c r="O333" i="38"/>
  <c r="O334" i="38"/>
  <c r="O335" i="38"/>
  <c r="O336" i="38"/>
  <c r="O337" i="38"/>
  <c r="O338" i="38"/>
  <c r="O339" i="38"/>
  <c r="O340" i="38"/>
  <c r="O341" i="38"/>
  <c r="O342" i="38"/>
  <c r="O343" i="38"/>
  <c r="O344" i="38"/>
  <c r="O345" i="38"/>
  <c r="O346" i="38"/>
  <c r="O347" i="38"/>
  <c r="O348" i="38"/>
  <c r="O349" i="38"/>
  <c r="O350" i="38"/>
  <c r="O351" i="38"/>
  <c r="O352" i="38"/>
  <c r="O353" i="38"/>
  <c r="O354" i="38"/>
  <c r="O355" i="38"/>
  <c r="O356" i="38"/>
  <c r="O357" i="38"/>
  <c r="O358" i="38"/>
  <c r="O359" i="38"/>
  <c r="O360" i="38"/>
  <c r="O361" i="38"/>
  <c r="O362" i="38"/>
  <c r="O363" i="38"/>
  <c r="O364" i="38"/>
  <c r="O365" i="38"/>
  <c r="O366" i="38"/>
  <c r="O367" i="38"/>
  <c r="O368" i="38"/>
  <c r="O369" i="38"/>
  <c r="O370" i="38"/>
  <c r="O371" i="38"/>
  <c r="O372" i="38"/>
  <c r="O373" i="38"/>
  <c r="O374" i="38"/>
  <c r="O375" i="38"/>
  <c r="O376" i="38"/>
  <c r="O377" i="38"/>
  <c r="O378" i="38"/>
  <c r="O379" i="38"/>
  <c r="O380" i="38"/>
  <c r="O381" i="38"/>
  <c r="O382" i="38"/>
  <c r="O383" i="38"/>
  <c r="O384" i="38"/>
  <c r="O385" i="38"/>
  <c r="O386" i="38"/>
  <c r="O387" i="38"/>
  <c r="O388" i="38"/>
  <c r="O389" i="38"/>
  <c r="O390" i="38"/>
  <c r="O391" i="38"/>
  <c r="O392" i="38"/>
  <c r="O393" i="38"/>
  <c r="O394" i="38"/>
  <c r="O395" i="38"/>
  <c r="O396" i="38"/>
  <c r="O397" i="38"/>
  <c r="O398" i="38"/>
  <c r="O399" i="38"/>
  <c r="O400" i="38"/>
  <c r="O401" i="38"/>
  <c r="O402" i="38"/>
  <c r="O403" i="38"/>
  <c r="O404" i="38"/>
  <c r="O405" i="38"/>
  <c r="O406" i="38"/>
  <c r="O407" i="38"/>
  <c r="O408" i="38"/>
  <c r="O409" i="38"/>
  <c r="O410" i="38"/>
  <c r="O411" i="38"/>
  <c r="O412" i="38"/>
  <c r="O413" i="38"/>
  <c r="O414" i="38"/>
  <c r="O415" i="38"/>
  <c r="O416" i="38"/>
  <c r="O417" i="38"/>
  <c r="O418" i="38"/>
  <c r="O419" i="38"/>
  <c r="O420" i="38"/>
  <c r="O421" i="38"/>
  <c r="O422" i="38"/>
  <c r="O423" i="38"/>
  <c r="O424" i="38"/>
  <c r="O425" i="38"/>
  <c r="O426" i="38"/>
  <c r="O427" i="38"/>
  <c r="O428" i="38"/>
  <c r="O429" i="38"/>
  <c r="O430" i="38"/>
  <c r="O431" i="38"/>
  <c r="O432" i="38"/>
  <c r="O433" i="38"/>
  <c r="O434" i="38"/>
  <c r="O435" i="38"/>
  <c r="O436" i="38"/>
  <c r="O437" i="38"/>
  <c r="O438" i="38"/>
  <c r="O439" i="38"/>
  <c r="O440" i="38"/>
  <c r="O441" i="38"/>
  <c r="O442" i="38"/>
  <c r="O443" i="38"/>
  <c r="O444" i="38"/>
  <c r="O445" i="38"/>
  <c r="O446" i="38"/>
  <c r="O447" i="38"/>
  <c r="O448" i="38"/>
  <c r="O449" i="38"/>
  <c r="O450" i="38"/>
  <c r="O451" i="38"/>
  <c r="O452" i="38"/>
  <c r="O453" i="38"/>
  <c r="O454" i="38"/>
  <c r="O455" i="38"/>
  <c r="O456" i="38"/>
  <c r="O457" i="38"/>
  <c r="O458" i="38"/>
  <c r="O459" i="38"/>
  <c r="O460" i="38"/>
  <c r="O461" i="38"/>
  <c r="O462" i="38"/>
  <c r="O463" i="38"/>
  <c r="O464" i="38"/>
  <c r="O465" i="38"/>
  <c r="O466" i="38"/>
  <c r="O467" i="38"/>
  <c r="O468" i="38"/>
  <c r="O469" i="38"/>
  <c r="O470" i="38"/>
  <c r="O471" i="38"/>
  <c r="O472" i="38"/>
  <c r="O473" i="38"/>
  <c r="O474" i="38"/>
  <c r="O475" i="38"/>
  <c r="O476" i="38"/>
  <c r="O477" i="38"/>
  <c r="O478" i="38"/>
  <c r="O479" i="38"/>
  <c r="O480" i="38"/>
  <c r="O481" i="38"/>
  <c r="O482" i="38"/>
  <c r="O483" i="38"/>
  <c r="O484" i="38"/>
  <c r="O485" i="38"/>
  <c r="O486" i="38"/>
  <c r="O487" i="38"/>
  <c r="O488" i="38"/>
  <c r="O489" i="38"/>
  <c r="O490" i="38"/>
  <c r="O491" i="38"/>
  <c r="O492" i="38"/>
  <c r="O493" i="38"/>
  <c r="O494" i="38"/>
  <c r="O495" i="38"/>
  <c r="O496" i="38"/>
  <c r="O497" i="38"/>
  <c r="O498" i="38"/>
  <c r="O499" i="38"/>
  <c r="O500" i="38"/>
  <c r="O501" i="38"/>
  <c r="O502" i="38"/>
  <c r="O503" i="38"/>
  <c r="O504" i="38"/>
  <c r="O505" i="38"/>
  <c r="O506" i="38"/>
  <c r="O507" i="38"/>
  <c r="O508" i="38"/>
  <c r="O509" i="38"/>
  <c r="O510" i="38"/>
  <c r="O511" i="38"/>
  <c r="O512" i="38"/>
  <c r="O513" i="38"/>
  <c r="O514" i="38"/>
  <c r="O515" i="38"/>
  <c r="O516" i="38"/>
  <c r="O517" i="38"/>
  <c r="O518" i="38"/>
  <c r="O519" i="38"/>
  <c r="O520" i="38"/>
  <c r="O521" i="38"/>
  <c r="O522" i="38"/>
  <c r="O523" i="38"/>
  <c r="O524" i="38"/>
  <c r="O525" i="38"/>
  <c r="O526" i="38"/>
  <c r="O527" i="38"/>
  <c r="O528" i="38"/>
  <c r="O529" i="38"/>
  <c r="O530" i="38"/>
  <c r="O531" i="38"/>
  <c r="O532" i="38"/>
  <c r="O533" i="38"/>
  <c r="O534" i="38"/>
  <c r="O535" i="38"/>
  <c r="O536" i="38"/>
  <c r="O537" i="38"/>
  <c r="O538" i="38"/>
  <c r="O539" i="38"/>
  <c r="O540" i="38"/>
  <c r="O541" i="38"/>
  <c r="O542" i="38"/>
  <c r="O543" i="38"/>
  <c r="O544" i="38"/>
  <c r="O545" i="38"/>
  <c r="O546" i="38"/>
  <c r="O547" i="38"/>
  <c r="O548" i="38"/>
  <c r="O549" i="38"/>
  <c r="O550" i="38"/>
  <c r="O551" i="38"/>
  <c r="O552" i="38"/>
  <c r="O553" i="38"/>
  <c r="O554" i="38"/>
  <c r="O555" i="38"/>
  <c r="O556" i="38"/>
  <c r="O557" i="38"/>
  <c r="O558" i="38"/>
  <c r="O559" i="38"/>
  <c r="O560" i="38"/>
  <c r="O561" i="38"/>
  <c r="O562" i="38"/>
  <c r="O563" i="38"/>
  <c r="O564" i="38"/>
  <c r="O565" i="38"/>
  <c r="O566" i="38"/>
  <c r="O567" i="38"/>
  <c r="O568" i="38"/>
  <c r="O569" i="38"/>
  <c r="O570" i="38"/>
  <c r="O571" i="38"/>
  <c r="O572" i="38"/>
  <c r="O573" i="38"/>
  <c r="O574" i="38"/>
  <c r="O575" i="38"/>
  <c r="O576" i="38"/>
  <c r="O577" i="38"/>
  <c r="O578" i="38"/>
  <c r="O579" i="38"/>
  <c r="O580" i="38"/>
  <c r="O581" i="38"/>
  <c r="O582" i="38"/>
  <c r="O583" i="38"/>
  <c r="O585" i="38"/>
  <c r="O586" i="38"/>
  <c r="O587" i="38"/>
  <c r="O588" i="38"/>
  <c r="O589" i="38"/>
  <c r="O590" i="38"/>
  <c r="O591" i="38"/>
  <c r="O592" i="38"/>
  <c r="O593" i="38"/>
  <c r="O594" i="38"/>
  <c r="O595" i="38"/>
  <c r="O596" i="38"/>
  <c r="O597" i="38"/>
  <c r="O598" i="38"/>
  <c r="O599" i="38"/>
  <c r="O600" i="38"/>
  <c r="O601" i="38"/>
  <c r="O602" i="38"/>
  <c r="O603" i="38"/>
  <c r="O604" i="38"/>
  <c r="O605" i="38"/>
  <c r="O606" i="38"/>
  <c r="O607" i="38"/>
  <c r="N2" i="38"/>
  <c r="N3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N20" i="38"/>
  <c r="N21" i="38"/>
  <c r="N22" i="38"/>
  <c r="N23" i="38"/>
  <c r="N24" i="38"/>
  <c r="N25" i="38"/>
  <c r="N26" i="38"/>
  <c r="N27" i="38"/>
  <c r="N28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3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81" i="38"/>
  <c r="N82" i="38"/>
  <c r="N83" i="38"/>
  <c r="N84" i="38"/>
  <c r="N85" i="38"/>
  <c r="N86" i="38"/>
  <c r="N87" i="38"/>
  <c r="N88" i="38"/>
  <c r="N89" i="38"/>
  <c r="N90" i="38"/>
  <c r="N91" i="38"/>
  <c r="N92" i="38"/>
  <c r="N93" i="38"/>
  <c r="N94" i="38"/>
  <c r="N95" i="38"/>
  <c r="N96" i="38"/>
  <c r="N97" i="38"/>
  <c r="N98" i="38"/>
  <c r="N99" i="38"/>
  <c r="N100" i="38"/>
  <c r="N101" i="38"/>
  <c r="N102" i="38"/>
  <c r="N103" i="38"/>
  <c r="N104" i="38"/>
  <c r="N105" i="38"/>
  <c r="N106" i="38"/>
  <c r="N107" i="38"/>
  <c r="N108" i="38"/>
  <c r="N109" i="38"/>
  <c r="N110" i="38"/>
  <c r="N111" i="38"/>
  <c r="N112" i="38"/>
  <c r="N113" i="38"/>
  <c r="N114" i="38"/>
  <c r="N115" i="38"/>
  <c r="N116" i="38"/>
  <c r="N117" i="38"/>
  <c r="N118" i="38"/>
  <c r="N119" i="38"/>
  <c r="N120" i="38"/>
  <c r="N121" i="38"/>
  <c r="N122" i="38"/>
  <c r="N123" i="38"/>
  <c r="N124" i="38"/>
  <c r="N125" i="38"/>
  <c r="N126" i="38"/>
  <c r="N127" i="38"/>
  <c r="N128" i="38"/>
  <c r="N129" i="38"/>
  <c r="N130" i="38"/>
  <c r="N131" i="38"/>
  <c r="N132" i="38"/>
  <c r="N133" i="38"/>
  <c r="N134" i="38"/>
  <c r="N135" i="38"/>
  <c r="N136" i="38"/>
  <c r="N137" i="38"/>
  <c r="N138" i="38"/>
  <c r="N139" i="38"/>
  <c r="N140" i="38"/>
  <c r="N141" i="38"/>
  <c r="N142" i="38"/>
  <c r="N143" i="38"/>
  <c r="N144" i="38"/>
  <c r="N145" i="38"/>
  <c r="N146" i="38"/>
  <c r="N147" i="38"/>
  <c r="N148" i="38"/>
  <c r="N149" i="38"/>
  <c r="N150" i="38"/>
  <c r="N151" i="38"/>
  <c r="N152" i="38"/>
  <c r="N153" i="38"/>
  <c r="N154" i="38"/>
  <c r="N155" i="38"/>
  <c r="N156" i="38"/>
  <c r="N157" i="38"/>
  <c r="N158" i="38"/>
  <c r="N159" i="38"/>
  <c r="N160" i="38"/>
  <c r="N161" i="38"/>
  <c r="N162" i="38"/>
  <c r="N163" i="38"/>
  <c r="N164" i="38"/>
  <c r="N165" i="38"/>
  <c r="N166" i="38"/>
  <c r="N167" i="38"/>
  <c r="N170" i="38"/>
  <c r="N171" i="38"/>
  <c r="N172" i="38"/>
  <c r="N173" i="38"/>
  <c r="N174" i="38"/>
  <c r="N175" i="38"/>
  <c r="N176" i="38"/>
  <c r="N177" i="38"/>
  <c r="N178" i="38"/>
  <c r="N179" i="38"/>
  <c r="N180" i="38"/>
  <c r="N181" i="38"/>
  <c r="N182" i="38"/>
  <c r="N183" i="38"/>
  <c r="N184" i="38"/>
  <c r="N185" i="38"/>
  <c r="N186" i="38"/>
  <c r="N187" i="38"/>
  <c r="N188" i="38"/>
  <c r="N189" i="38"/>
  <c r="N190" i="38"/>
  <c r="N191" i="38"/>
  <c r="N192" i="38"/>
  <c r="N193" i="38"/>
  <c r="N194" i="38"/>
  <c r="N195" i="38"/>
  <c r="N196" i="38"/>
  <c r="N197" i="38"/>
  <c r="N198" i="38"/>
  <c r="N199" i="38"/>
  <c r="N200" i="38"/>
  <c r="N201" i="38"/>
  <c r="N202" i="38"/>
  <c r="N203" i="38"/>
  <c r="N204" i="38"/>
  <c r="N205" i="38"/>
  <c r="N206" i="38"/>
  <c r="N207" i="38"/>
  <c r="N208" i="38"/>
  <c r="N209" i="38"/>
  <c r="N210" i="38"/>
  <c r="N211" i="38"/>
  <c r="N212" i="38"/>
  <c r="N213" i="38"/>
  <c r="N214" i="38"/>
  <c r="N215" i="38"/>
  <c r="N216" i="38"/>
  <c r="N217" i="38"/>
  <c r="N218" i="38"/>
  <c r="N219" i="38"/>
  <c r="N220" i="38"/>
  <c r="N221" i="38"/>
  <c r="N222" i="38"/>
  <c r="N223" i="38"/>
  <c r="N224" i="38"/>
  <c r="N225" i="38"/>
  <c r="N226" i="38"/>
  <c r="N227" i="38"/>
  <c r="N228" i="38"/>
  <c r="N229" i="38"/>
  <c r="N230" i="38"/>
  <c r="N231" i="38"/>
  <c r="N232" i="38"/>
  <c r="N233" i="38"/>
  <c r="N234" i="38"/>
  <c r="N235" i="38"/>
  <c r="N236" i="38"/>
  <c r="N237" i="38"/>
  <c r="N238" i="38"/>
  <c r="N239" i="38"/>
  <c r="N240" i="38"/>
  <c r="N241" i="38"/>
  <c r="N242" i="38"/>
  <c r="N243" i="38"/>
  <c r="N244" i="38"/>
  <c r="N245" i="38"/>
  <c r="N246" i="38"/>
  <c r="N247" i="38"/>
  <c r="N248" i="38"/>
  <c r="N249" i="38"/>
  <c r="N250" i="38"/>
  <c r="N251" i="38"/>
  <c r="N252" i="38"/>
  <c r="N253" i="38"/>
  <c r="N254" i="38"/>
  <c r="N255" i="38"/>
  <c r="N256" i="38"/>
  <c r="N257" i="38"/>
  <c r="N258" i="38"/>
  <c r="N259" i="38"/>
  <c r="N260" i="38"/>
  <c r="N261" i="38"/>
  <c r="N262" i="38"/>
  <c r="N263" i="38"/>
  <c r="N264" i="38"/>
  <c r="N265" i="38"/>
  <c r="N266" i="38"/>
  <c r="N267" i="38"/>
  <c r="N268" i="38"/>
  <c r="N269" i="38"/>
  <c r="N270" i="38"/>
  <c r="N271" i="38"/>
  <c r="N272" i="38"/>
  <c r="N273" i="38"/>
  <c r="N274" i="38"/>
  <c r="N275" i="38"/>
  <c r="N276" i="38"/>
  <c r="N277" i="38"/>
  <c r="N278" i="38"/>
  <c r="N279" i="38"/>
  <c r="N280" i="38"/>
  <c r="N281" i="38"/>
  <c r="N282" i="38"/>
  <c r="N283" i="38"/>
  <c r="N284" i="38"/>
  <c r="N285" i="38"/>
  <c r="N286" i="38"/>
  <c r="N287" i="38"/>
  <c r="N288" i="38"/>
  <c r="N289" i="38"/>
  <c r="N290" i="38"/>
  <c r="N291" i="38"/>
  <c r="N292" i="38"/>
  <c r="N293" i="38"/>
  <c r="N294" i="38"/>
  <c r="N295" i="38"/>
  <c r="N296" i="38"/>
  <c r="N297" i="38"/>
  <c r="N298" i="38"/>
  <c r="N299" i="38"/>
  <c r="N300" i="38"/>
  <c r="N301" i="38"/>
  <c r="N302" i="38"/>
  <c r="N303" i="38"/>
  <c r="N304" i="38"/>
  <c r="N305" i="38"/>
  <c r="N306" i="38"/>
  <c r="N307" i="38"/>
  <c r="N308" i="38"/>
  <c r="N309" i="38"/>
  <c r="N310" i="38"/>
  <c r="N311" i="38"/>
  <c r="N312" i="38"/>
  <c r="N313" i="38"/>
  <c r="N314" i="38"/>
  <c r="N315" i="38"/>
  <c r="N316" i="38"/>
  <c r="N317" i="38"/>
  <c r="N318" i="38"/>
  <c r="N319" i="38"/>
  <c r="N320" i="38"/>
  <c r="N321" i="38"/>
  <c r="N322" i="38"/>
  <c r="N323" i="38"/>
  <c r="N324" i="38"/>
  <c r="N325" i="38"/>
  <c r="N326" i="38"/>
  <c r="N327" i="38"/>
  <c r="N328" i="38"/>
  <c r="N329" i="38"/>
  <c r="N330" i="38"/>
  <c r="N331" i="38"/>
  <c r="N332" i="38"/>
  <c r="N333" i="38"/>
  <c r="N334" i="38"/>
  <c r="N335" i="38"/>
  <c r="N336" i="38"/>
  <c r="N337" i="38"/>
  <c r="N338" i="38"/>
  <c r="N339" i="38"/>
  <c r="N340" i="38"/>
  <c r="N341" i="38"/>
  <c r="N342" i="38"/>
  <c r="N343" i="38"/>
  <c r="N344" i="38"/>
  <c r="N345" i="38"/>
  <c r="N346" i="38"/>
  <c r="N347" i="38"/>
  <c r="N348" i="38"/>
  <c r="N349" i="38"/>
  <c r="N350" i="38"/>
  <c r="N351" i="38"/>
  <c r="N352" i="38"/>
  <c r="N353" i="38"/>
  <c r="N354" i="38"/>
  <c r="N355" i="38"/>
  <c r="N356" i="38"/>
  <c r="N357" i="38"/>
  <c r="N358" i="38"/>
  <c r="N359" i="38"/>
  <c r="N360" i="38"/>
  <c r="N361" i="38"/>
  <c r="N362" i="38"/>
  <c r="N363" i="38"/>
  <c r="N364" i="38"/>
  <c r="N365" i="38"/>
  <c r="N366" i="38"/>
  <c r="N367" i="38"/>
  <c r="N368" i="38"/>
  <c r="N369" i="38"/>
  <c r="N370" i="38"/>
  <c r="N371" i="38"/>
  <c r="N372" i="38"/>
  <c r="N373" i="38"/>
  <c r="N374" i="38"/>
  <c r="N375" i="38"/>
  <c r="N376" i="38"/>
  <c r="N377" i="38"/>
  <c r="N378" i="38"/>
  <c r="N379" i="38"/>
  <c r="N380" i="38"/>
  <c r="N381" i="38"/>
  <c r="N382" i="38"/>
  <c r="N383" i="38"/>
  <c r="N384" i="38"/>
  <c r="N385" i="38"/>
  <c r="N386" i="38"/>
  <c r="N387" i="38"/>
  <c r="N388" i="38"/>
  <c r="N389" i="38"/>
  <c r="N390" i="38"/>
  <c r="N391" i="38"/>
  <c r="N392" i="38"/>
  <c r="N393" i="38"/>
  <c r="N394" i="38"/>
  <c r="N395" i="38"/>
  <c r="N396" i="38"/>
  <c r="N397" i="38"/>
  <c r="N398" i="38"/>
  <c r="N399" i="38"/>
  <c r="N400" i="38"/>
  <c r="N401" i="38"/>
  <c r="N402" i="38"/>
  <c r="N403" i="38"/>
  <c r="N404" i="38"/>
  <c r="N405" i="38"/>
  <c r="N406" i="38"/>
  <c r="N407" i="38"/>
  <c r="N408" i="38"/>
  <c r="N409" i="38"/>
  <c r="N410" i="38"/>
  <c r="N411" i="38"/>
  <c r="N412" i="38"/>
  <c r="N413" i="38"/>
  <c r="N414" i="38"/>
  <c r="N415" i="38"/>
  <c r="N416" i="38"/>
  <c r="N417" i="38"/>
  <c r="N418" i="38"/>
  <c r="N419" i="38"/>
  <c r="N420" i="38"/>
  <c r="N421" i="38"/>
  <c r="N422" i="38"/>
  <c r="N423" i="38"/>
  <c r="N424" i="38"/>
  <c r="N425" i="38"/>
  <c r="N426" i="38"/>
  <c r="N427" i="38"/>
  <c r="N428" i="38"/>
  <c r="N429" i="38"/>
  <c r="N430" i="38"/>
  <c r="N431" i="38"/>
  <c r="N432" i="38"/>
  <c r="N433" i="38"/>
  <c r="N434" i="38"/>
  <c r="N435" i="38"/>
  <c r="N436" i="38"/>
  <c r="N437" i="38"/>
  <c r="N438" i="38"/>
  <c r="N439" i="38"/>
  <c r="N440" i="38"/>
  <c r="N441" i="38"/>
  <c r="N442" i="38"/>
  <c r="N443" i="38"/>
  <c r="N444" i="38"/>
  <c r="N445" i="38"/>
  <c r="N446" i="38"/>
  <c r="N447" i="38"/>
  <c r="N448" i="38"/>
  <c r="N449" i="38"/>
  <c r="N450" i="38"/>
  <c r="N451" i="38"/>
  <c r="N452" i="38"/>
  <c r="N453" i="38"/>
  <c r="N454" i="38"/>
  <c r="N455" i="38"/>
  <c r="N456" i="38"/>
  <c r="N457" i="38"/>
  <c r="N458" i="38"/>
  <c r="N459" i="38"/>
  <c r="N460" i="38"/>
  <c r="N461" i="38"/>
  <c r="N462" i="38"/>
  <c r="N463" i="38"/>
  <c r="N464" i="38"/>
  <c r="N465" i="38"/>
  <c r="N466" i="38"/>
  <c r="N467" i="38"/>
  <c r="N468" i="38"/>
  <c r="N469" i="38"/>
  <c r="N470" i="38"/>
  <c r="N471" i="38"/>
  <c r="N472" i="38"/>
  <c r="N473" i="38"/>
  <c r="N474" i="38"/>
  <c r="N475" i="38"/>
  <c r="N476" i="38"/>
  <c r="N477" i="38"/>
  <c r="N478" i="38"/>
  <c r="N479" i="38"/>
  <c r="N480" i="38"/>
  <c r="N481" i="38"/>
  <c r="N482" i="38"/>
  <c r="N483" i="38"/>
  <c r="N484" i="38"/>
  <c r="N485" i="38"/>
  <c r="N486" i="38"/>
  <c r="N487" i="38"/>
  <c r="N488" i="38"/>
  <c r="N489" i="38"/>
  <c r="N490" i="38"/>
  <c r="N491" i="38"/>
  <c r="N492" i="38"/>
  <c r="N493" i="38"/>
  <c r="N494" i="38"/>
  <c r="N495" i="38"/>
  <c r="N496" i="38"/>
  <c r="N497" i="38"/>
  <c r="N498" i="38"/>
  <c r="N499" i="38"/>
  <c r="N500" i="38"/>
  <c r="N501" i="38"/>
  <c r="N502" i="38"/>
  <c r="N503" i="38"/>
  <c r="N504" i="38"/>
  <c r="N505" i="38"/>
  <c r="N506" i="38"/>
  <c r="N507" i="38"/>
  <c r="N508" i="38"/>
  <c r="N509" i="38"/>
  <c r="N510" i="38"/>
  <c r="N511" i="38"/>
  <c r="N512" i="38"/>
  <c r="N513" i="38"/>
  <c r="N514" i="38"/>
  <c r="N515" i="38"/>
  <c r="N516" i="38"/>
  <c r="N517" i="38"/>
  <c r="N518" i="38"/>
  <c r="N519" i="38"/>
  <c r="N520" i="38"/>
  <c r="N521" i="38"/>
  <c r="N522" i="38"/>
  <c r="N523" i="38"/>
  <c r="N524" i="38"/>
  <c r="N525" i="38"/>
  <c r="N526" i="38"/>
  <c r="N527" i="38"/>
  <c r="N528" i="38"/>
  <c r="N529" i="38"/>
  <c r="N530" i="38"/>
  <c r="N531" i="38"/>
  <c r="N532" i="38"/>
  <c r="N533" i="38"/>
  <c r="N534" i="38"/>
  <c r="N535" i="38"/>
  <c r="N536" i="38"/>
  <c r="N537" i="38"/>
  <c r="N538" i="38"/>
  <c r="N539" i="38"/>
  <c r="N540" i="38"/>
  <c r="N541" i="38"/>
  <c r="N542" i="38"/>
  <c r="N543" i="38"/>
  <c r="N544" i="38"/>
  <c r="N545" i="38"/>
  <c r="N546" i="38"/>
  <c r="N547" i="38"/>
  <c r="N548" i="38"/>
  <c r="N549" i="38"/>
  <c r="N550" i="38"/>
  <c r="N551" i="38"/>
  <c r="N552" i="38"/>
  <c r="N553" i="38"/>
  <c r="N554" i="38"/>
  <c r="N555" i="38"/>
  <c r="N556" i="38"/>
  <c r="N557" i="38"/>
  <c r="N558" i="38"/>
  <c r="N559" i="38"/>
  <c r="N560" i="38"/>
  <c r="N561" i="38"/>
  <c r="N562" i="38"/>
  <c r="N563" i="38"/>
  <c r="N564" i="38"/>
  <c r="N565" i="38"/>
  <c r="N566" i="38"/>
  <c r="N567" i="38"/>
  <c r="N568" i="38"/>
  <c r="N569" i="38"/>
  <c r="N570" i="38"/>
  <c r="N571" i="38"/>
  <c r="N572" i="38"/>
  <c r="N573" i="38"/>
  <c r="N574" i="38"/>
  <c r="N575" i="38"/>
  <c r="N576" i="38"/>
  <c r="N577" i="38"/>
  <c r="N578" i="38"/>
  <c r="N579" i="38"/>
  <c r="N580" i="38"/>
  <c r="N581" i="38"/>
  <c r="N582" i="38"/>
  <c r="N583" i="38"/>
  <c r="N585" i="38"/>
  <c r="N586" i="38"/>
  <c r="N587" i="38"/>
  <c r="N588" i="38"/>
  <c r="N589" i="38"/>
  <c r="N590" i="38"/>
  <c r="N591" i="38"/>
  <c r="N592" i="38"/>
  <c r="N593" i="38"/>
  <c r="N594" i="38"/>
  <c r="N595" i="38"/>
  <c r="N596" i="38"/>
  <c r="N597" i="38"/>
  <c r="N598" i="38"/>
  <c r="N599" i="38"/>
  <c r="N600" i="38"/>
  <c r="N601" i="38"/>
  <c r="N602" i="38"/>
  <c r="N603" i="38"/>
  <c r="N604" i="38"/>
  <c r="N605" i="38"/>
  <c r="N606" i="38"/>
  <c r="N607" i="38"/>
  <c r="M2" i="38"/>
  <c r="M3" i="38"/>
  <c r="M4" i="38"/>
  <c r="M5" i="38"/>
  <c r="M6" i="38"/>
  <c r="M7" i="38"/>
  <c r="M8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M48" i="38"/>
  <c r="M49" i="38"/>
  <c r="M50" i="38"/>
  <c r="M51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M147" i="38"/>
  <c r="M148" i="38"/>
  <c r="M149" i="38"/>
  <c r="M150" i="38"/>
  <c r="M151" i="38"/>
  <c r="M152" i="38"/>
  <c r="M153" i="38"/>
  <c r="M154" i="38"/>
  <c r="M155" i="38"/>
  <c r="M156" i="38"/>
  <c r="M157" i="38"/>
  <c r="M158" i="38"/>
  <c r="M159" i="38"/>
  <c r="M160" i="38"/>
  <c r="M161" i="38"/>
  <c r="M162" i="38"/>
  <c r="M163" i="38"/>
  <c r="M164" i="38"/>
  <c r="M165" i="38"/>
  <c r="M166" i="38"/>
  <c r="M167" i="38"/>
  <c r="M170" i="38"/>
  <c r="M171" i="38"/>
  <c r="M172" i="38"/>
  <c r="M173" i="38"/>
  <c r="M174" i="38"/>
  <c r="M175" i="38"/>
  <c r="M176" i="38"/>
  <c r="M177" i="38"/>
  <c r="M178" i="38"/>
  <c r="M179" i="38"/>
  <c r="M180" i="38"/>
  <c r="M181" i="38"/>
  <c r="M182" i="38"/>
  <c r="M183" i="38"/>
  <c r="M184" i="38"/>
  <c r="M185" i="38"/>
  <c r="M186" i="38"/>
  <c r="M187" i="38"/>
  <c r="M188" i="38"/>
  <c r="M189" i="38"/>
  <c r="M190" i="38"/>
  <c r="M191" i="38"/>
  <c r="M192" i="38"/>
  <c r="M193" i="38"/>
  <c r="M194" i="38"/>
  <c r="M195" i="38"/>
  <c r="M196" i="38"/>
  <c r="M197" i="38"/>
  <c r="M198" i="38"/>
  <c r="M199" i="38"/>
  <c r="M200" i="38"/>
  <c r="M201" i="38"/>
  <c r="M202" i="38"/>
  <c r="M203" i="38"/>
  <c r="M204" i="38"/>
  <c r="M205" i="38"/>
  <c r="M206" i="38"/>
  <c r="M207" i="38"/>
  <c r="M208" i="38"/>
  <c r="M209" i="38"/>
  <c r="M210" i="38"/>
  <c r="M211" i="38"/>
  <c r="M212" i="38"/>
  <c r="M213" i="38"/>
  <c r="M214" i="38"/>
  <c r="M215" i="38"/>
  <c r="M216" i="38"/>
  <c r="M217" i="38"/>
  <c r="M218" i="38"/>
  <c r="M219" i="38"/>
  <c r="M220" i="38"/>
  <c r="M221" i="38"/>
  <c r="M222" i="38"/>
  <c r="M223" i="38"/>
  <c r="M224" i="38"/>
  <c r="M225" i="38"/>
  <c r="M226" i="38"/>
  <c r="M227" i="38"/>
  <c r="M228" i="38"/>
  <c r="M229" i="38"/>
  <c r="M230" i="38"/>
  <c r="M231" i="38"/>
  <c r="M232" i="38"/>
  <c r="M233" i="38"/>
  <c r="M234" i="38"/>
  <c r="M235" i="38"/>
  <c r="M236" i="38"/>
  <c r="M237" i="38"/>
  <c r="M238" i="38"/>
  <c r="M239" i="38"/>
  <c r="M240" i="38"/>
  <c r="M241" i="38"/>
  <c r="M242" i="38"/>
  <c r="M243" i="38"/>
  <c r="M244" i="38"/>
  <c r="M245" i="38"/>
  <c r="M246" i="38"/>
  <c r="M247" i="38"/>
  <c r="M248" i="38"/>
  <c r="M249" i="38"/>
  <c r="M250" i="38"/>
  <c r="M251" i="38"/>
  <c r="M252" i="38"/>
  <c r="M253" i="38"/>
  <c r="M254" i="38"/>
  <c r="M255" i="38"/>
  <c r="M256" i="38"/>
  <c r="M257" i="38"/>
  <c r="M258" i="38"/>
  <c r="M259" i="38"/>
  <c r="M260" i="38"/>
  <c r="M261" i="38"/>
  <c r="M262" i="38"/>
  <c r="M263" i="38"/>
  <c r="M264" i="38"/>
  <c r="M265" i="38"/>
  <c r="M266" i="38"/>
  <c r="M267" i="38"/>
  <c r="M268" i="38"/>
  <c r="M269" i="38"/>
  <c r="M270" i="38"/>
  <c r="M271" i="38"/>
  <c r="M272" i="38"/>
  <c r="M273" i="38"/>
  <c r="M274" i="38"/>
  <c r="M275" i="38"/>
  <c r="M276" i="38"/>
  <c r="M277" i="38"/>
  <c r="M278" i="38"/>
  <c r="M279" i="38"/>
  <c r="M280" i="38"/>
  <c r="M281" i="38"/>
  <c r="M282" i="38"/>
  <c r="M283" i="38"/>
  <c r="M284" i="38"/>
  <c r="M285" i="38"/>
  <c r="M286" i="38"/>
  <c r="M287" i="38"/>
  <c r="M288" i="38"/>
  <c r="M289" i="38"/>
  <c r="M290" i="38"/>
  <c r="M291" i="38"/>
  <c r="M292" i="38"/>
  <c r="M293" i="38"/>
  <c r="M294" i="38"/>
  <c r="M295" i="38"/>
  <c r="M296" i="38"/>
  <c r="M297" i="38"/>
  <c r="M298" i="38"/>
  <c r="M299" i="38"/>
  <c r="M300" i="38"/>
  <c r="M301" i="38"/>
  <c r="M302" i="38"/>
  <c r="M303" i="38"/>
  <c r="M304" i="38"/>
  <c r="M305" i="38"/>
  <c r="M306" i="38"/>
  <c r="M307" i="38"/>
  <c r="M308" i="38"/>
  <c r="M309" i="38"/>
  <c r="M310" i="38"/>
  <c r="M311" i="38"/>
  <c r="M312" i="38"/>
  <c r="M313" i="38"/>
  <c r="M314" i="38"/>
  <c r="M315" i="38"/>
  <c r="M316" i="38"/>
  <c r="M317" i="38"/>
  <c r="M318" i="38"/>
  <c r="M319" i="38"/>
  <c r="M320" i="38"/>
  <c r="M321" i="38"/>
  <c r="M322" i="38"/>
  <c r="M323" i="38"/>
  <c r="M324" i="38"/>
  <c r="M325" i="38"/>
  <c r="M326" i="38"/>
  <c r="M327" i="38"/>
  <c r="M328" i="38"/>
  <c r="M329" i="38"/>
  <c r="M330" i="38"/>
  <c r="M331" i="38"/>
  <c r="M332" i="38"/>
  <c r="M333" i="38"/>
  <c r="M334" i="38"/>
  <c r="M335" i="38"/>
  <c r="M336" i="38"/>
  <c r="M337" i="38"/>
  <c r="M338" i="38"/>
  <c r="M339" i="38"/>
  <c r="M340" i="38"/>
  <c r="M341" i="38"/>
  <c r="M342" i="38"/>
  <c r="M343" i="38"/>
  <c r="M344" i="38"/>
  <c r="M345" i="38"/>
  <c r="M346" i="38"/>
  <c r="M347" i="38"/>
  <c r="M348" i="38"/>
  <c r="M349" i="38"/>
  <c r="M350" i="38"/>
  <c r="M351" i="38"/>
  <c r="M352" i="38"/>
  <c r="M353" i="38"/>
  <c r="M354" i="38"/>
  <c r="M355" i="38"/>
  <c r="M356" i="38"/>
  <c r="M357" i="38"/>
  <c r="M358" i="38"/>
  <c r="M359" i="38"/>
  <c r="M360" i="38"/>
  <c r="M361" i="38"/>
  <c r="M362" i="38"/>
  <c r="M363" i="38"/>
  <c r="M364" i="38"/>
  <c r="M365" i="38"/>
  <c r="M366" i="38"/>
  <c r="M367" i="38"/>
  <c r="M368" i="38"/>
  <c r="M369" i="38"/>
  <c r="M370" i="38"/>
  <c r="M371" i="38"/>
  <c r="M372" i="38"/>
  <c r="M373" i="38"/>
  <c r="M374" i="38"/>
  <c r="M375" i="38"/>
  <c r="M376" i="38"/>
  <c r="M377" i="38"/>
  <c r="M378" i="38"/>
  <c r="M379" i="38"/>
  <c r="M380" i="38"/>
  <c r="M381" i="38"/>
  <c r="M382" i="38"/>
  <c r="M383" i="38"/>
  <c r="M384" i="38"/>
  <c r="M385" i="38"/>
  <c r="M386" i="38"/>
  <c r="M387" i="38"/>
  <c r="M388" i="38"/>
  <c r="M389" i="38"/>
  <c r="M390" i="38"/>
  <c r="M391" i="38"/>
  <c r="M392" i="38"/>
  <c r="M393" i="38"/>
  <c r="M394" i="38"/>
  <c r="M395" i="38"/>
  <c r="M396" i="38"/>
  <c r="M397" i="38"/>
  <c r="M398" i="38"/>
  <c r="M399" i="38"/>
  <c r="M400" i="38"/>
  <c r="M401" i="38"/>
  <c r="M402" i="38"/>
  <c r="M403" i="38"/>
  <c r="M404" i="38"/>
  <c r="M405" i="38"/>
  <c r="M406" i="38"/>
  <c r="M407" i="38"/>
  <c r="M408" i="38"/>
  <c r="M409" i="38"/>
  <c r="M410" i="38"/>
  <c r="M411" i="38"/>
  <c r="M412" i="38"/>
  <c r="M413" i="38"/>
  <c r="M414" i="38"/>
  <c r="M415" i="38"/>
  <c r="M416" i="38"/>
  <c r="M417" i="38"/>
  <c r="M418" i="38"/>
  <c r="M419" i="38"/>
  <c r="M420" i="38"/>
  <c r="M421" i="38"/>
  <c r="M422" i="38"/>
  <c r="M423" i="38"/>
  <c r="M424" i="38"/>
  <c r="M425" i="38"/>
  <c r="M426" i="38"/>
  <c r="M427" i="38"/>
  <c r="M428" i="38"/>
  <c r="M429" i="38"/>
  <c r="M430" i="38"/>
  <c r="M431" i="38"/>
  <c r="M432" i="38"/>
  <c r="M433" i="38"/>
  <c r="M434" i="38"/>
  <c r="M435" i="38"/>
  <c r="M436" i="38"/>
  <c r="M437" i="38"/>
  <c r="M438" i="38"/>
  <c r="M439" i="38"/>
  <c r="M440" i="38"/>
  <c r="M441" i="38"/>
  <c r="M442" i="38"/>
  <c r="M443" i="38"/>
  <c r="M444" i="38"/>
  <c r="M445" i="38"/>
  <c r="M446" i="38"/>
  <c r="M447" i="38"/>
  <c r="M448" i="38"/>
  <c r="M449" i="38"/>
  <c r="M450" i="38"/>
  <c r="M451" i="38"/>
  <c r="M452" i="38"/>
  <c r="M453" i="38"/>
  <c r="M454" i="38"/>
  <c r="M455" i="38"/>
  <c r="M456" i="38"/>
  <c r="M457" i="38"/>
  <c r="M458" i="38"/>
  <c r="M459" i="38"/>
  <c r="M460" i="38"/>
  <c r="M461" i="38"/>
  <c r="M462" i="38"/>
  <c r="M463" i="38"/>
  <c r="M464" i="38"/>
  <c r="M465" i="38"/>
  <c r="M466" i="38"/>
  <c r="M467" i="38"/>
  <c r="M468" i="38"/>
  <c r="M469" i="38"/>
  <c r="M470" i="38"/>
  <c r="M471" i="38"/>
  <c r="M472" i="38"/>
  <c r="M473" i="38"/>
  <c r="M474" i="38"/>
  <c r="M475" i="38"/>
  <c r="M476" i="38"/>
  <c r="M477" i="38"/>
  <c r="M478" i="38"/>
  <c r="M479" i="38"/>
  <c r="M480" i="38"/>
  <c r="M481" i="38"/>
  <c r="M482" i="38"/>
  <c r="M483" i="38"/>
  <c r="M484" i="38"/>
  <c r="M485" i="38"/>
  <c r="M486" i="38"/>
  <c r="M487" i="38"/>
  <c r="M488" i="38"/>
  <c r="M489" i="38"/>
  <c r="M490" i="38"/>
  <c r="M491" i="38"/>
  <c r="M492" i="38"/>
  <c r="M493" i="38"/>
  <c r="M494" i="38"/>
  <c r="M495" i="38"/>
  <c r="M496" i="38"/>
  <c r="M497" i="38"/>
  <c r="M498" i="38"/>
  <c r="M499" i="38"/>
  <c r="M500" i="38"/>
  <c r="M501" i="38"/>
  <c r="M502" i="38"/>
  <c r="M503" i="38"/>
  <c r="M504" i="38"/>
  <c r="M505" i="38"/>
  <c r="M506" i="38"/>
  <c r="M507" i="38"/>
  <c r="M508" i="38"/>
  <c r="M509" i="38"/>
  <c r="M510" i="38"/>
  <c r="M511" i="38"/>
  <c r="M512" i="38"/>
  <c r="M513" i="38"/>
  <c r="M514" i="38"/>
  <c r="M515" i="38"/>
  <c r="M516" i="38"/>
  <c r="M517" i="38"/>
  <c r="M518" i="38"/>
  <c r="M519" i="38"/>
  <c r="M520" i="38"/>
  <c r="M521" i="38"/>
  <c r="M522" i="38"/>
  <c r="M523" i="38"/>
  <c r="M524" i="38"/>
  <c r="M525" i="38"/>
  <c r="M526" i="38"/>
  <c r="M527" i="38"/>
  <c r="M528" i="38"/>
  <c r="M529" i="38"/>
  <c r="M530" i="38"/>
  <c r="M531" i="38"/>
  <c r="M532" i="38"/>
  <c r="M533" i="38"/>
  <c r="M534" i="38"/>
  <c r="M535" i="38"/>
  <c r="M536" i="38"/>
  <c r="M537" i="38"/>
  <c r="M538" i="38"/>
  <c r="M539" i="38"/>
  <c r="M540" i="38"/>
  <c r="M541" i="38"/>
  <c r="M542" i="38"/>
  <c r="M543" i="38"/>
  <c r="M544" i="38"/>
  <c r="M545" i="38"/>
  <c r="M546" i="38"/>
  <c r="M547" i="38"/>
  <c r="M548" i="38"/>
  <c r="M549" i="38"/>
  <c r="M550" i="38"/>
  <c r="M551" i="38"/>
  <c r="M552" i="38"/>
  <c r="M553" i="38"/>
  <c r="M554" i="38"/>
  <c r="M555" i="38"/>
  <c r="M556" i="38"/>
  <c r="M557" i="38"/>
  <c r="M558" i="38"/>
  <c r="M559" i="38"/>
  <c r="M560" i="38"/>
  <c r="M561" i="38"/>
  <c r="M562" i="38"/>
  <c r="M563" i="38"/>
  <c r="M564" i="38"/>
  <c r="M565" i="38"/>
  <c r="M566" i="38"/>
  <c r="M567" i="38"/>
  <c r="M568" i="38"/>
  <c r="M569" i="38"/>
  <c r="M570" i="38"/>
  <c r="M571" i="38"/>
  <c r="M572" i="38"/>
  <c r="M573" i="38"/>
  <c r="M574" i="38"/>
  <c r="M575" i="38"/>
  <c r="M576" i="38"/>
  <c r="M577" i="38"/>
  <c r="M578" i="38"/>
  <c r="M579" i="38"/>
  <c r="M580" i="38"/>
  <c r="M581" i="38"/>
  <c r="M582" i="38"/>
  <c r="M583" i="38"/>
  <c r="M585" i="38"/>
  <c r="M586" i="38"/>
  <c r="M587" i="38"/>
  <c r="M588" i="38"/>
  <c r="M589" i="38"/>
  <c r="M590" i="38"/>
  <c r="M591" i="38"/>
  <c r="M592" i="38"/>
  <c r="M593" i="38"/>
  <c r="M594" i="38"/>
  <c r="M595" i="38"/>
  <c r="M596" i="38"/>
  <c r="M597" i="38"/>
  <c r="M598" i="38"/>
  <c r="M599" i="38"/>
  <c r="M600" i="38"/>
  <c r="M601" i="38"/>
  <c r="M602" i="38"/>
  <c r="M603" i="38"/>
  <c r="M604" i="38"/>
  <c r="M605" i="38"/>
  <c r="M606" i="38"/>
  <c r="M607" i="38"/>
  <c r="L2" i="38"/>
  <c r="L3" i="38"/>
  <c r="L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56" i="38"/>
  <c r="L57" i="38"/>
  <c r="L58" i="38"/>
  <c r="L59" i="38"/>
  <c r="L60" i="38"/>
  <c r="L61" i="38"/>
  <c r="L62" i="38"/>
  <c r="L63" i="38"/>
  <c r="L64" i="38"/>
  <c r="L65" i="38"/>
  <c r="L66" i="38"/>
  <c r="L67" i="38"/>
  <c r="L68" i="38"/>
  <c r="L69" i="38"/>
  <c r="L70" i="38"/>
  <c r="L71" i="38"/>
  <c r="L72" i="38"/>
  <c r="L73" i="38"/>
  <c r="L74" i="38"/>
  <c r="L75" i="38"/>
  <c r="L76" i="38"/>
  <c r="L77" i="38"/>
  <c r="L78" i="38"/>
  <c r="L79" i="38"/>
  <c r="L80" i="38"/>
  <c r="L81" i="38"/>
  <c r="L82" i="38"/>
  <c r="L83" i="38"/>
  <c r="L84" i="38"/>
  <c r="L85" i="38"/>
  <c r="L86" i="38"/>
  <c r="L87" i="38"/>
  <c r="L88" i="38"/>
  <c r="L89" i="38"/>
  <c r="L90" i="38"/>
  <c r="L91" i="38"/>
  <c r="L92" i="38"/>
  <c r="L93" i="38"/>
  <c r="L94" i="38"/>
  <c r="L95" i="38"/>
  <c r="L96" i="38"/>
  <c r="L97" i="38"/>
  <c r="L98" i="38"/>
  <c r="L99" i="38"/>
  <c r="L100" i="38"/>
  <c r="L101" i="38"/>
  <c r="L102" i="38"/>
  <c r="L103" i="38"/>
  <c r="L104" i="38"/>
  <c r="L105" i="38"/>
  <c r="L106" i="38"/>
  <c r="L107" i="38"/>
  <c r="L108" i="38"/>
  <c r="L109" i="38"/>
  <c r="L110" i="38"/>
  <c r="L111" i="38"/>
  <c r="L112" i="38"/>
  <c r="L113" i="38"/>
  <c r="L114" i="38"/>
  <c r="L115" i="38"/>
  <c r="L116" i="38"/>
  <c r="L117" i="38"/>
  <c r="L118" i="38"/>
  <c r="L119" i="38"/>
  <c r="L120" i="38"/>
  <c r="L121" i="38"/>
  <c r="L122" i="38"/>
  <c r="L123" i="38"/>
  <c r="L124" i="38"/>
  <c r="L125" i="38"/>
  <c r="L126" i="38"/>
  <c r="L127" i="38"/>
  <c r="L128" i="38"/>
  <c r="L129" i="38"/>
  <c r="L130" i="38"/>
  <c r="L131" i="38"/>
  <c r="L132" i="38"/>
  <c r="L133" i="38"/>
  <c r="L134" i="38"/>
  <c r="L135" i="38"/>
  <c r="L136" i="38"/>
  <c r="L137" i="38"/>
  <c r="L138" i="38"/>
  <c r="L139" i="38"/>
  <c r="L140" i="38"/>
  <c r="L141" i="38"/>
  <c r="L142" i="38"/>
  <c r="L143" i="38"/>
  <c r="L144" i="38"/>
  <c r="L145" i="38"/>
  <c r="L146" i="38"/>
  <c r="L147" i="38"/>
  <c r="L148" i="38"/>
  <c r="L149" i="38"/>
  <c r="L150" i="38"/>
  <c r="L151" i="38"/>
  <c r="L152" i="38"/>
  <c r="L153" i="38"/>
  <c r="L154" i="38"/>
  <c r="L155" i="38"/>
  <c r="L156" i="38"/>
  <c r="L157" i="38"/>
  <c r="L158" i="38"/>
  <c r="L159" i="38"/>
  <c r="L160" i="38"/>
  <c r="L161" i="38"/>
  <c r="L162" i="38"/>
  <c r="L163" i="38"/>
  <c r="L164" i="38"/>
  <c r="L165" i="38"/>
  <c r="L166" i="38"/>
  <c r="L167" i="38"/>
  <c r="L170" i="38"/>
  <c r="L171" i="38"/>
  <c r="L172" i="38"/>
  <c r="L173" i="38"/>
  <c r="L174" i="38"/>
  <c r="L175" i="38"/>
  <c r="L176" i="38"/>
  <c r="L177" i="38"/>
  <c r="L178" i="38"/>
  <c r="L179" i="38"/>
  <c r="L180" i="38"/>
  <c r="L181" i="38"/>
  <c r="L182" i="38"/>
  <c r="L183" i="38"/>
  <c r="L184" i="38"/>
  <c r="L185" i="38"/>
  <c r="L186" i="38"/>
  <c r="L187" i="38"/>
  <c r="L188" i="38"/>
  <c r="L189" i="38"/>
  <c r="L190" i="38"/>
  <c r="L191" i="38"/>
  <c r="L192" i="38"/>
  <c r="L193" i="38"/>
  <c r="L194" i="38"/>
  <c r="L195" i="38"/>
  <c r="L196" i="38"/>
  <c r="L197" i="38"/>
  <c r="L198" i="38"/>
  <c r="L199" i="38"/>
  <c r="L200" i="38"/>
  <c r="L201" i="38"/>
  <c r="L202" i="38"/>
  <c r="L203" i="38"/>
  <c r="L204" i="38"/>
  <c r="L205" i="38"/>
  <c r="L206" i="38"/>
  <c r="L207" i="38"/>
  <c r="L208" i="38"/>
  <c r="L209" i="38"/>
  <c r="L210" i="38"/>
  <c r="L211" i="38"/>
  <c r="L212" i="38"/>
  <c r="L213" i="38"/>
  <c r="L214" i="38"/>
  <c r="L215" i="38"/>
  <c r="L216" i="38"/>
  <c r="L217" i="38"/>
  <c r="L218" i="38"/>
  <c r="L219" i="38"/>
  <c r="L220" i="38"/>
  <c r="L221" i="38"/>
  <c r="L222" i="38"/>
  <c r="L223" i="38"/>
  <c r="L224" i="38"/>
  <c r="L225" i="38"/>
  <c r="L226" i="38"/>
  <c r="L227" i="38"/>
  <c r="L228" i="38"/>
  <c r="L229" i="38"/>
  <c r="L230" i="38"/>
  <c r="L231" i="38"/>
  <c r="L232" i="38"/>
  <c r="L233" i="38"/>
  <c r="L234" i="38"/>
  <c r="L235" i="38"/>
  <c r="L236" i="38"/>
  <c r="L237" i="38"/>
  <c r="L238" i="38"/>
  <c r="L239" i="38"/>
  <c r="L240" i="38"/>
  <c r="L241" i="38"/>
  <c r="L242" i="38"/>
  <c r="L243" i="38"/>
  <c r="L244" i="38"/>
  <c r="L245" i="38"/>
  <c r="L246" i="38"/>
  <c r="L247" i="38"/>
  <c r="L248" i="38"/>
  <c r="L249" i="38"/>
  <c r="L250" i="38"/>
  <c r="L251" i="38"/>
  <c r="L252" i="38"/>
  <c r="L253" i="38"/>
  <c r="L254" i="38"/>
  <c r="L255" i="38"/>
  <c r="L256" i="38"/>
  <c r="L257" i="38"/>
  <c r="L258" i="38"/>
  <c r="L259" i="38"/>
  <c r="L260" i="38"/>
  <c r="L261" i="38"/>
  <c r="L262" i="38"/>
  <c r="L263" i="38"/>
  <c r="L264" i="38"/>
  <c r="L265" i="38"/>
  <c r="L266" i="38"/>
  <c r="L267" i="38"/>
  <c r="L268" i="38"/>
  <c r="L269" i="38"/>
  <c r="L270" i="38"/>
  <c r="L271" i="38"/>
  <c r="L272" i="38"/>
  <c r="L273" i="38"/>
  <c r="L274" i="38"/>
  <c r="L275" i="38"/>
  <c r="L276" i="38"/>
  <c r="L277" i="38"/>
  <c r="L278" i="38"/>
  <c r="L279" i="38"/>
  <c r="L280" i="38"/>
  <c r="L281" i="38"/>
  <c r="L282" i="38"/>
  <c r="L283" i="38"/>
  <c r="L284" i="38"/>
  <c r="L285" i="38"/>
  <c r="L286" i="38"/>
  <c r="L287" i="38"/>
  <c r="L288" i="38"/>
  <c r="L289" i="38"/>
  <c r="L290" i="38"/>
  <c r="L291" i="38"/>
  <c r="L292" i="38"/>
  <c r="L293" i="38"/>
  <c r="L294" i="38"/>
  <c r="L295" i="38"/>
  <c r="L296" i="38"/>
  <c r="L297" i="38"/>
  <c r="L298" i="38"/>
  <c r="L299" i="38"/>
  <c r="L300" i="38"/>
  <c r="L301" i="38"/>
  <c r="L302" i="38"/>
  <c r="L303" i="38"/>
  <c r="L304" i="38"/>
  <c r="L305" i="38"/>
  <c r="L306" i="38"/>
  <c r="L307" i="38"/>
  <c r="L308" i="38"/>
  <c r="L309" i="38"/>
  <c r="L310" i="38"/>
  <c r="L311" i="38"/>
  <c r="L312" i="38"/>
  <c r="L313" i="38"/>
  <c r="L314" i="38"/>
  <c r="L315" i="38"/>
  <c r="L316" i="38"/>
  <c r="L317" i="38"/>
  <c r="L318" i="38"/>
  <c r="L319" i="38"/>
  <c r="L320" i="38"/>
  <c r="L321" i="38"/>
  <c r="L322" i="38"/>
  <c r="L323" i="38"/>
  <c r="L324" i="38"/>
  <c r="L325" i="38"/>
  <c r="L326" i="38"/>
  <c r="L327" i="38"/>
  <c r="L328" i="38"/>
  <c r="L329" i="38"/>
  <c r="L330" i="38"/>
  <c r="L331" i="38"/>
  <c r="L332" i="38"/>
  <c r="L333" i="38"/>
  <c r="L334" i="38"/>
  <c r="L335" i="38"/>
  <c r="L336" i="38"/>
  <c r="L337" i="38"/>
  <c r="L338" i="38"/>
  <c r="L339" i="38"/>
  <c r="L340" i="38"/>
  <c r="L341" i="38"/>
  <c r="L342" i="38"/>
  <c r="L343" i="38"/>
  <c r="L344" i="38"/>
  <c r="L345" i="38"/>
  <c r="L346" i="38"/>
  <c r="L347" i="38"/>
  <c r="L348" i="38"/>
  <c r="L349" i="38"/>
  <c r="L350" i="38"/>
  <c r="L351" i="38"/>
  <c r="L352" i="38"/>
  <c r="L353" i="38"/>
  <c r="L354" i="38"/>
  <c r="L355" i="38"/>
  <c r="L356" i="38"/>
  <c r="L357" i="38"/>
  <c r="L358" i="38"/>
  <c r="L359" i="38"/>
  <c r="L360" i="38"/>
  <c r="L361" i="38"/>
  <c r="L362" i="38"/>
  <c r="L363" i="38"/>
  <c r="L364" i="38"/>
  <c r="L365" i="38"/>
  <c r="L366" i="38"/>
  <c r="L367" i="38"/>
  <c r="L368" i="38"/>
  <c r="L369" i="38"/>
  <c r="L370" i="38"/>
  <c r="L371" i="38"/>
  <c r="L372" i="38"/>
  <c r="L373" i="38"/>
  <c r="L374" i="38"/>
  <c r="L375" i="38"/>
  <c r="L376" i="38"/>
  <c r="L377" i="38"/>
  <c r="L378" i="38"/>
  <c r="L379" i="38"/>
  <c r="L380" i="38"/>
  <c r="L381" i="38"/>
  <c r="L382" i="38"/>
  <c r="L383" i="38"/>
  <c r="L384" i="38"/>
  <c r="L385" i="38"/>
  <c r="L386" i="38"/>
  <c r="L387" i="38"/>
  <c r="L388" i="38"/>
  <c r="L389" i="38"/>
  <c r="L390" i="38"/>
  <c r="L391" i="38"/>
  <c r="L392" i="38"/>
  <c r="L393" i="38"/>
  <c r="L394" i="38"/>
  <c r="L395" i="38"/>
  <c r="L396" i="38"/>
  <c r="L397" i="38"/>
  <c r="L398" i="38"/>
  <c r="L399" i="38"/>
  <c r="L400" i="38"/>
  <c r="L401" i="38"/>
  <c r="L402" i="38"/>
  <c r="L403" i="38"/>
  <c r="L404" i="38"/>
  <c r="L405" i="38"/>
  <c r="L406" i="38"/>
  <c r="L407" i="38"/>
  <c r="L408" i="38"/>
  <c r="L409" i="38"/>
  <c r="L410" i="38"/>
  <c r="L411" i="38"/>
  <c r="L412" i="38"/>
  <c r="L413" i="38"/>
  <c r="L414" i="38"/>
  <c r="L415" i="38"/>
  <c r="L416" i="38"/>
  <c r="L417" i="38"/>
  <c r="L418" i="38"/>
  <c r="L419" i="38"/>
  <c r="L420" i="38"/>
  <c r="L421" i="38"/>
  <c r="L422" i="38"/>
  <c r="L423" i="38"/>
  <c r="L424" i="38"/>
  <c r="L425" i="38"/>
  <c r="L426" i="38"/>
  <c r="L427" i="38"/>
  <c r="L428" i="38"/>
  <c r="L429" i="38"/>
  <c r="L430" i="38"/>
  <c r="L431" i="38"/>
  <c r="L432" i="38"/>
  <c r="L433" i="38"/>
  <c r="L434" i="38"/>
  <c r="L435" i="38"/>
  <c r="L436" i="38"/>
  <c r="L437" i="38"/>
  <c r="L438" i="38"/>
  <c r="L439" i="38"/>
  <c r="L440" i="38"/>
  <c r="L441" i="38"/>
  <c r="L442" i="38"/>
  <c r="L443" i="38"/>
  <c r="L444" i="38"/>
  <c r="L445" i="38"/>
  <c r="L446" i="38"/>
  <c r="L447" i="38"/>
  <c r="L448" i="38"/>
  <c r="L449" i="38"/>
  <c r="L450" i="38"/>
  <c r="L451" i="38"/>
  <c r="L452" i="38"/>
  <c r="L453" i="38"/>
  <c r="L454" i="38"/>
  <c r="L455" i="38"/>
  <c r="L456" i="38"/>
  <c r="L457" i="38"/>
  <c r="L458" i="38"/>
  <c r="L459" i="38"/>
  <c r="L460" i="38"/>
  <c r="L461" i="38"/>
  <c r="L462" i="38"/>
  <c r="L463" i="38"/>
  <c r="L464" i="38"/>
  <c r="L465" i="38"/>
  <c r="L466" i="38"/>
  <c r="L467" i="38"/>
  <c r="L468" i="38"/>
  <c r="L469" i="38"/>
  <c r="L470" i="38"/>
  <c r="L471" i="38"/>
  <c r="L472" i="38"/>
  <c r="L473" i="38"/>
  <c r="L474" i="38"/>
  <c r="L475" i="38"/>
  <c r="L476" i="38"/>
  <c r="L477" i="38"/>
  <c r="L478" i="38"/>
  <c r="L479" i="38"/>
  <c r="L480" i="38"/>
  <c r="L481" i="38"/>
  <c r="L482" i="38"/>
  <c r="L483" i="38"/>
  <c r="L484" i="38"/>
  <c r="L485" i="38"/>
  <c r="L486" i="38"/>
  <c r="L487" i="38"/>
  <c r="L488" i="38"/>
  <c r="L489" i="38"/>
  <c r="L490" i="38"/>
  <c r="L491" i="38"/>
  <c r="L492" i="38"/>
  <c r="L493" i="38"/>
  <c r="L494" i="38"/>
  <c r="L495" i="38"/>
  <c r="L496" i="38"/>
  <c r="L497" i="38"/>
  <c r="L498" i="38"/>
  <c r="L499" i="38"/>
  <c r="L500" i="38"/>
  <c r="L501" i="38"/>
  <c r="L502" i="38"/>
  <c r="L503" i="38"/>
  <c r="L504" i="38"/>
  <c r="L505" i="38"/>
  <c r="L506" i="38"/>
  <c r="L507" i="38"/>
  <c r="L508" i="38"/>
  <c r="L509" i="38"/>
  <c r="L510" i="38"/>
  <c r="L511" i="38"/>
  <c r="L512" i="38"/>
  <c r="L513" i="38"/>
  <c r="L514" i="38"/>
  <c r="L515" i="38"/>
  <c r="L516" i="38"/>
  <c r="L517" i="38"/>
  <c r="L518" i="38"/>
  <c r="L519" i="38"/>
  <c r="L520" i="38"/>
  <c r="L521" i="38"/>
  <c r="L522" i="38"/>
  <c r="L523" i="38"/>
  <c r="L524" i="38"/>
  <c r="L525" i="38"/>
  <c r="L526" i="38"/>
  <c r="L527" i="38"/>
  <c r="L528" i="38"/>
  <c r="L529" i="38"/>
  <c r="L530" i="38"/>
  <c r="L531" i="38"/>
  <c r="L532" i="38"/>
  <c r="L533" i="38"/>
  <c r="L534" i="38"/>
  <c r="L535" i="38"/>
  <c r="L536" i="38"/>
  <c r="L537" i="38"/>
  <c r="L538" i="38"/>
  <c r="L539" i="38"/>
  <c r="L540" i="38"/>
  <c r="L541" i="38"/>
  <c r="L542" i="38"/>
  <c r="L543" i="38"/>
  <c r="L544" i="38"/>
  <c r="L545" i="38"/>
  <c r="L546" i="38"/>
  <c r="L547" i="38"/>
  <c r="L548" i="38"/>
  <c r="L549" i="38"/>
  <c r="L550" i="38"/>
  <c r="L551" i="38"/>
  <c r="L552" i="38"/>
  <c r="L553" i="38"/>
  <c r="L554" i="38"/>
  <c r="L555" i="38"/>
  <c r="L556" i="38"/>
  <c r="L557" i="38"/>
  <c r="L558" i="38"/>
  <c r="L559" i="38"/>
  <c r="L560" i="38"/>
  <c r="L561" i="38"/>
  <c r="L562" i="38"/>
  <c r="L563" i="38"/>
  <c r="L564" i="38"/>
  <c r="L565" i="38"/>
  <c r="L566" i="38"/>
  <c r="L567" i="38"/>
  <c r="L568" i="38"/>
  <c r="L569" i="38"/>
  <c r="L570" i="38"/>
  <c r="L571" i="38"/>
  <c r="L572" i="38"/>
  <c r="L573" i="38"/>
  <c r="L574" i="38"/>
  <c r="L575" i="38"/>
  <c r="L576" i="38"/>
  <c r="L577" i="38"/>
  <c r="L578" i="38"/>
  <c r="L579" i="38"/>
  <c r="L580" i="38"/>
  <c r="L581" i="38"/>
  <c r="L582" i="38"/>
  <c r="L583" i="38"/>
  <c r="L585" i="38"/>
  <c r="L586" i="38"/>
  <c r="L587" i="38"/>
  <c r="L588" i="38"/>
  <c r="L589" i="38"/>
  <c r="L590" i="38"/>
  <c r="L591" i="38"/>
  <c r="L592" i="38"/>
  <c r="L593" i="38"/>
  <c r="L594" i="38"/>
  <c r="L595" i="38"/>
  <c r="L596" i="38"/>
  <c r="L597" i="38"/>
  <c r="L598" i="38"/>
  <c r="L599" i="38"/>
  <c r="L600" i="38"/>
  <c r="L601" i="38"/>
  <c r="L602" i="38"/>
  <c r="L603" i="38"/>
  <c r="L604" i="38"/>
  <c r="L605" i="38"/>
  <c r="L606" i="38"/>
  <c r="L607" i="38"/>
  <c r="K2" i="38"/>
  <c r="K3" i="38"/>
  <c r="K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K48" i="38"/>
  <c r="K49" i="38"/>
  <c r="K50" i="38"/>
  <c r="K51" i="38"/>
  <c r="K52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K70" i="38"/>
  <c r="K71" i="38"/>
  <c r="K72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K120" i="38"/>
  <c r="K121" i="38"/>
  <c r="K122" i="38"/>
  <c r="K123" i="38"/>
  <c r="K124" i="38"/>
  <c r="K125" i="38"/>
  <c r="K126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6" i="38"/>
  <c r="K147" i="38"/>
  <c r="K148" i="38"/>
  <c r="K149" i="38"/>
  <c r="K150" i="38"/>
  <c r="K151" i="38"/>
  <c r="K152" i="38"/>
  <c r="K153" i="38"/>
  <c r="K154" i="38"/>
  <c r="K155" i="38"/>
  <c r="K156" i="38"/>
  <c r="K157" i="38"/>
  <c r="K158" i="38"/>
  <c r="K159" i="38"/>
  <c r="K160" i="38"/>
  <c r="K161" i="38"/>
  <c r="K162" i="38"/>
  <c r="K163" i="38"/>
  <c r="K164" i="38"/>
  <c r="K165" i="38"/>
  <c r="K166" i="38"/>
  <c r="K167" i="38"/>
  <c r="K170" i="38"/>
  <c r="K171" i="38"/>
  <c r="K172" i="38"/>
  <c r="K173" i="38"/>
  <c r="K174" i="38"/>
  <c r="K175" i="38"/>
  <c r="K176" i="38"/>
  <c r="K177" i="38"/>
  <c r="K178" i="38"/>
  <c r="K179" i="38"/>
  <c r="K180" i="38"/>
  <c r="K181" i="38"/>
  <c r="K182" i="38"/>
  <c r="K183" i="38"/>
  <c r="K184" i="38"/>
  <c r="K185" i="38"/>
  <c r="K186" i="38"/>
  <c r="K187" i="38"/>
  <c r="K188" i="38"/>
  <c r="K189" i="38"/>
  <c r="K190" i="38"/>
  <c r="K191" i="38"/>
  <c r="K192" i="38"/>
  <c r="K193" i="38"/>
  <c r="K194" i="38"/>
  <c r="K195" i="38"/>
  <c r="K196" i="38"/>
  <c r="K197" i="38"/>
  <c r="K198" i="38"/>
  <c r="K199" i="38"/>
  <c r="K200" i="38"/>
  <c r="K201" i="38"/>
  <c r="K202" i="38"/>
  <c r="K203" i="38"/>
  <c r="K204" i="38"/>
  <c r="K205" i="38"/>
  <c r="K206" i="38"/>
  <c r="K207" i="38"/>
  <c r="K208" i="38"/>
  <c r="K209" i="38"/>
  <c r="K210" i="38"/>
  <c r="K211" i="38"/>
  <c r="K212" i="38"/>
  <c r="K213" i="38"/>
  <c r="K214" i="38"/>
  <c r="K215" i="38"/>
  <c r="K216" i="38"/>
  <c r="K217" i="38"/>
  <c r="K218" i="38"/>
  <c r="K219" i="38"/>
  <c r="K220" i="38"/>
  <c r="K221" i="38"/>
  <c r="K222" i="38"/>
  <c r="K223" i="38"/>
  <c r="K224" i="38"/>
  <c r="K225" i="38"/>
  <c r="K226" i="38"/>
  <c r="K227" i="38"/>
  <c r="K228" i="38"/>
  <c r="K229" i="38"/>
  <c r="K230" i="38"/>
  <c r="K231" i="38"/>
  <c r="K232" i="38"/>
  <c r="K233" i="38"/>
  <c r="K234" i="38"/>
  <c r="K235" i="38"/>
  <c r="K236" i="38"/>
  <c r="K237" i="38"/>
  <c r="K238" i="38"/>
  <c r="K239" i="38"/>
  <c r="K240" i="38"/>
  <c r="K241" i="38"/>
  <c r="K242" i="38"/>
  <c r="K243" i="38"/>
  <c r="K244" i="38"/>
  <c r="K245" i="38"/>
  <c r="K246" i="38"/>
  <c r="K247" i="38"/>
  <c r="K248" i="38"/>
  <c r="K249" i="38"/>
  <c r="K250" i="38"/>
  <c r="K251" i="38"/>
  <c r="K252" i="38"/>
  <c r="K253" i="38"/>
  <c r="K254" i="38"/>
  <c r="K255" i="38"/>
  <c r="K256" i="38"/>
  <c r="K257" i="38"/>
  <c r="K258" i="38"/>
  <c r="K259" i="38"/>
  <c r="K260" i="38"/>
  <c r="K261" i="38"/>
  <c r="K262" i="38"/>
  <c r="K263" i="38"/>
  <c r="K264" i="38"/>
  <c r="K265" i="38"/>
  <c r="K266" i="38"/>
  <c r="K267" i="38"/>
  <c r="K268" i="38"/>
  <c r="K269" i="38"/>
  <c r="K270" i="38"/>
  <c r="K271" i="38"/>
  <c r="K272" i="38"/>
  <c r="K273" i="38"/>
  <c r="K274" i="38"/>
  <c r="K275" i="38"/>
  <c r="K276" i="38"/>
  <c r="K277" i="38"/>
  <c r="K278" i="38"/>
  <c r="K279" i="38"/>
  <c r="K280" i="38"/>
  <c r="K281" i="38"/>
  <c r="K282" i="38"/>
  <c r="K283" i="38"/>
  <c r="K284" i="38"/>
  <c r="K285" i="38"/>
  <c r="K286" i="38"/>
  <c r="K287" i="38"/>
  <c r="K288" i="38"/>
  <c r="K289" i="38"/>
  <c r="K290" i="38"/>
  <c r="K291" i="38"/>
  <c r="K292" i="38"/>
  <c r="K293" i="38"/>
  <c r="K294" i="38"/>
  <c r="K295" i="38"/>
  <c r="K296" i="38"/>
  <c r="K297" i="38"/>
  <c r="K298" i="38"/>
  <c r="K299" i="38"/>
  <c r="K300" i="38"/>
  <c r="K301" i="38"/>
  <c r="K302" i="38"/>
  <c r="K303" i="38"/>
  <c r="K304" i="38"/>
  <c r="K305" i="38"/>
  <c r="K306" i="38"/>
  <c r="K307" i="38"/>
  <c r="K308" i="38"/>
  <c r="K309" i="38"/>
  <c r="K310" i="38"/>
  <c r="K311" i="38"/>
  <c r="K312" i="38"/>
  <c r="K313" i="38"/>
  <c r="K314" i="38"/>
  <c r="K315" i="38"/>
  <c r="K316" i="38"/>
  <c r="K317" i="38"/>
  <c r="K318" i="38"/>
  <c r="K319" i="38"/>
  <c r="K320" i="38"/>
  <c r="K321" i="38"/>
  <c r="K322" i="38"/>
  <c r="K323" i="38"/>
  <c r="K324" i="38"/>
  <c r="K325" i="38"/>
  <c r="K326" i="38"/>
  <c r="K327" i="38"/>
  <c r="K328" i="38"/>
  <c r="K329" i="38"/>
  <c r="K330" i="38"/>
  <c r="K331" i="38"/>
  <c r="K332" i="38"/>
  <c r="K333" i="38"/>
  <c r="K334" i="38"/>
  <c r="K335" i="38"/>
  <c r="K336" i="38"/>
  <c r="K337" i="38"/>
  <c r="K338" i="38"/>
  <c r="K339" i="38"/>
  <c r="K340" i="38"/>
  <c r="K341" i="38"/>
  <c r="K342" i="38"/>
  <c r="K343" i="38"/>
  <c r="K344" i="38"/>
  <c r="K345" i="38"/>
  <c r="K346" i="38"/>
  <c r="K347" i="38"/>
  <c r="K348" i="38"/>
  <c r="K349" i="38"/>
  <c r="K350" i="38"/>
  <c r="K351" i="38"/>
  <c r="K352" i="38"/>
  <c r="K353" i="38"/>
  <c r="K354" i="38"/>
  <c r="K355" i="38"/>
  <c r="K356" i="38"/>
  <c r="K357" i="38"/>
  <c r="K358" i="38"/>
  <c r="K359" i="38"/>
  <c r="K360" i="38"/>
  <c r="K361" i="38"/>
  <c r="K362" i="38"/>
  <c r="K363" i="38"/>
  <c r="K364" i="38"/>
  <c r="K365" i="38"/>
  <c r="K366" i="38"/>
  <c r="K367" i="38"/>
  <c r="K368" i="38"/>
  <c r="K369" i="38"/>
  <c r="K370" i="38"/>
  <c r="K371" i="38"/>
  <c r="K372" i="38"/>
  <c r="K373" i="38"/>
  <c r="K374" i="38"/>
  <c r="K375" i="38"/>
  <c r="K376" i="38"/>
  <c r="K377" i="38"/>
  <c r="K378" i="38"/>
  <c r="K379" i="38"/>
  <c r="K380" i="38"/>
  <c r="K381" i="38"/>
  <c r="K382" i="38"/>
  <c r="K383" i="38"/>
  <c r="K384" i="38"/>
  <c r="K385" i="38"/>
  <c r="K386" i="38"/>
  <c r="K387" i="38"/>
  <c r="K388" i="38"/>
  <c r="K389" i="38"/>
  <c r="K390" i="38"/>
  <c r="K391" i="38"/>
  <c r="K392" i="38"/>
  <c r="K393" i="38"/>
  <c r="K394" i="38"/>
  <c r="K395" i="38"/>
  <c r="K396" i="38"/>
  <c r="K397" i="38"/>
  <c r="K398" i="38"/>
  <c r="K399" i="38"/>
  <c r="K400" i="38"/>
  <c r="K401" i="38"/>
  <c r="K402" i="38"/>
  <c r="K403" i="38"/>
  <c r="K404" i="38"/>
  <c r="K405" i="38"/>
  <c r="K406" i="38"/>
  <c r="K407" i="38"/>
  <c r="K408" i="38"/>
  <c r="K409" i="38"/>
  <c r="K410" i="38"/>
  <c r="K411" i="38"/>
  <c r="K412" i="38"/>
  <c r="K413" i="38"/>
  <c r="K414" i="38"/>
  <c r="K415" i="38"/>
  <c r="K416" i="38"/>
  <c r="K417" i="38"/>
  <c r="K418" i="38"/>
  <c r="K419" i="38"/>
  <c r="K420" i="38"/>
  <c r="K421" i="38"/>
  <c r="K422" i="38"/>
  <c r="K423" i="38"/>
  <c r="K424" i="38"/>
  <c r="K425" i="38"/>
  <c r="K426" i="38"/>
  <c r="K427" i="38"/>
  <c r="K428" i="38"/>
  <c r="K429" i="38"/>
  <c r="K430" i="38"/>
  <c r="K431" i="38"/>
  <c r="K432" i="38"/>
  <c r="K433" i="38"/>
  <c r="K434" i="38"/>
  <c r="K435" i="38"/>
  <c r="K436" i="38"/>
  <c r="K437" i="38"/>
  <c r="K438" i="38"/>
  <c r="K439" i="38"/>
  <c r="K440" i="38"/>
  <c r="K441" i="38"/>
  <c r="K442" i="38"/>
  <c r="K443" i="38"/>
  <c r="K444" i="38"/>
  <c r="K445" i="38"/>
  <c r="K446" i="38"/>
  <c r="K447" i="38"/>
  <c r="K448" i="38"/>
  <c r="K449" i="38"/>
  <c r="K450" i="38"/>
  <c r="K451" i="38"/>
  <c r="K452" i="38"/>
  <c r="K453" i="38"/>
  <c r="K454" i="38"/>
  <c r="K455" i="38"/>
  <c r="K456" i="38"/>
  <c r="K457" i="38"/>
  <c r="K458" i="38"/>
  <c r="K459" i="38"/>
  <c r="K460" i="38"/>
  <c r="K461" i="38"/>
  <c r="K462" i="38"/>
  <c r="K463" i="38"/>
  <c r="K464" i="38"/>
  <c r="K465" i="38"/>
  <c r="K466" i="38"/>
  <c r="K467" i="38"/>
  <c r="K468" i="38"/>
  <c r="K469" i="38"/>
  <c r="K470" i="38"/>
  <c r="K471" i="38"/>
  <c r="K472" i="38"/>
  <c r="K473" i="38"/>
  <c r="K474" i="38"/>
  <c r="K475" i="38"/>
  <c r="K476" i="38"/>
  <c r="K477" i="38"/>
  <c r="K478" i="38"/>
  <c r="K479" i="38"/>
  <c r="K480" i="38"/>
  <c r="K481" i="38"/>
  <c r="K482" i="38"/>
  <c r="K483" i="38"/>
  <c r="K484" i="38"/>
  <c r="K485" i="38"/>
  <c r="K486" i="38"/>
  <c r="K487" i="38"/>
  <c r="K488" i="38"/>
  <c r="K489" i="38"/>
  <c r="K490" i="38"/>
  <c r="K491" i="38"/>
  <c r="K492" i="38"/>
  <c r="K493" i="38"/>
  <c r="K494" i="38"/>
  <c r="K495" i="38"/>
  <c r="K496" i="38"/>
  <c r="K497" i="38"/>
  <c r="K498" i="38"/>
  <c r="K499" i="38"/>
  <c r="K500" i="38"/>
  <c r="K501" i="38"/>
  <c r="K502" i="38"/>
  <c r="K503" i="38"/>
  <c r="K504" i="38"/>
  <c r="K505" i="38"/>
  <c r="K506" i="38"/>
  <c r="K507" i="38"/>
  <c r="K508" i="38"/>
  <c r="K509" i="38"/>
  <c r="K510" i="38"/>
  <c r="K511" i="38"/>
  <c r="K512" i="38"/>
  <c r="K513" i="38"/>
  <c r="K514" i="38"/>
  <c r="K515" i="38"/>
  <c r="K516" i="38"/>
  <c r="K517" i="38"/>
  <c r="K518" i="38"/>
  <c r="K519" i="38"/>
  <c r="K520" i="38"/>
  <c r="K521" i="38"/>
  <c r="K522" i="38"/>
  <c r="K523" i="38"/>
  <c r="K524" i="38"/>
  <c r="K525" i="38"/>
  <c r="K526" i="38"/>
  <c r="K527" i="38"/>
  <c r="K528" i="38"/>
  <c r="K529" i="38"/>
  <c r="K530" i="38"/>
  <c r="K531" i="38"/>
  <c r="K532" i="38"/>
  <c r="K533" i="38"/>
  <c r="K534" i="38"/>
  <c r="K535" i="38"/>
  <c r="K536" i="38"/>
  <c r="K537" i="38"/>
  <c r="K538" i="38"/>
  <c r="K539" i="38"/>
  <c r="K540" i="38"/>
  <c r="K541" i="38"/>
  <c r="K542" i="38"/>
  <c r="K543" i="38"/>
  <c r="K544" i="38"/>
  <c r="K545" i="38"/>
  <c r="K546" i="38"/>
  <c r="K547" i="38"/>
  <c r="K548" i="38"/>
  <c r="K549" i="38"/>
  <c r="K550" i="38"/>
  <c r="K551" i="38"/>
  <c r="K552" i="38"/>
  <c r="K553" i="38"/>
  <c r="K554" i="38"/>
  <c r="K555" i="38"/>
  <c r="K556" i="38"/>
  <c r="K557" i="38"/>
  <c r="K558" i="38"/>
  <c r="K559" i="38"/>
  <c r="K560" i="38"/>
  <c r="K561" i="38"/>
  <c r="K562" i="38"/>
  <c r="K563" i="38"/>
  <c r="K564" i="38"/>
  <c r="K565" i="38"/>
  <c r="K566" i="38"/>
  <c r="K567" i="38"/>
  <c r="K568" i="38"/>
  <c r="K569" i="38"/>
  <c r="K570" i="38"/>
  <c r="K571" i="38"/>
  <c r="K572" i="38"/>
  <c r="K573" i="38"/>
  <c r="K574" i="38"/>
  <c r="K575" i="38"/>
  <c r="K576" i="38"/>
  <c r="K577" i="38"/>
  <c r="K578" i="38"/>
  <c r="K579" i="38"/>
  <c r="K580" i="38"/>
  <c r="K581" i="38"/>
  <c r="K582" i="38"/>
  <c r="K583" i="38"/>
  <c r="K585" i="38"/>
  <c r="K586" i="38"/>
  <c r="K587" i="38"/>
  <c r="K588" i="38"/>
  <c r="K589" i="38"/>
  <c r="K590" i="38"/>
  <c r="K591" i="38"/>
  <c r="K592" i="38"/>
  <c r="K593" i="38"/>
  <c r="K594" i="38"/>
  <c r="K595" i="38"/>
  <c r="K596" i="38"/>
  <c r="K597" i="38"/>
  <c r="K598" i="38"/>
  <c r="K599" i="38"/>
  <c r="K600" i="38"/>
  <c r="K601" i="38"/>
  <c r="K602" i="38"/>
  <c r="K603" i="38"/>
  <c r="K604" i="38"/>
  <c r="K605" i="38"/>
  <c r="K606" i="38"/>
  <c r="K607" i="38"/>
  <c r="J2" i="38"/>
  <c r="J3" i="38"/>
  <c r="J4" i="38"/>
  <c r="J5" i="38"/>
  <c r="J6" i="38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33" i="38"/>
  <c r="J34" i="38"/>
  <c r="J35" i="38"/>
  <c r="J36" i="38"/>
  <c r="J37" i="38"/>
  <c r="J38" i="38"/>
  <c r="J39" i="38"/>
  <c r="J40" i="38"/>
  <c r="J41" i="38"/>
  <c r="J42" i="38"/>
  <c r="J43" i="38"/>
  <c r="J44" i="38"/>
  <c r="J45" i="38"/>
  <c r="J46" i="38"/>
  <c r="J47" i="38"/>
  <c r="J48" i="38"/>
  <c r="J49" i="38"/>
  <c r="J50" i="38"/>
  <c r="J51" i="38"/>
  <c r="J52" i="38"/>
  <c r="J53" i="38"/>
  <c r="J54" i="38"/>
  <c r="J55" i="38"/>
  <c r="J56" i="38"/>
  <c r="J57" i="38"/>
  <c r="J58" i="38"/>
  <c r="J59" i="38"/>
  <c r="J60" i="38"/>
  <c r="J61" i="38"/>
  <c r="J62" i="38"/>
  <c r="J63" i="38"/>
  <c r="J64" i="38"/>
  <c r="J65" i="38"/>
  <c r="J66" i="38"/>
  <c r="J67" i="38"/>
  <c r="J68" i="38"/>
  <c r="J69" i="38"/>
  <c r="J70" i="38"/>
  <c r="J71" i="38"/>
  <c r="J72" i="38"/>
  <c r="J73" i="38"/>
  <c r="J74" i="38"/>
  <c r="J75" i="38"/>
  <c r="J76" i="38"/>
  <c r="J77" i="38"/>
  <c r="J78" i="38"/>
  <c r="J79" i="38"/>
  <c r="J80" i="38"/>
  <c r="J81" i="38"/>
  <c r="J82" i="38"/>
  <c r="J83" i="38"/>
  <c r="J84" i="38"/>
  <c r="J85" i="38"/>
  <c r="J86" i="38"/>
  <c r="J87" i="38"/>
  <c r="J88" i="38"/>
  <c r="J89" i="38"/>
  <c r="J90" i="38"/>
  <c r="J91" i="38"/>
  <c r="J92" i="38"/>
  <c r="J93" i="38"/>
  <c r="J94" i="38"/>
  <c r="J95" i="38"/>
  <c r="J96" i="38"/>
  <c r="J97" i="38"/>
  <c r="J98" i="38"/>
  <c r="J99" i="38"/>
  <c r="J100" i="38"/>
  <c r="J101" i="38"/>
  <c r="J102" i="38"/>
  <c r="J103" i="38"/>
  <c r="J104" i="38"/>
  <c r="J105" i="38"/>
  <c r="J106" i="38"/>
  <c r="J107" i="38"/>
  <c r="J108" i="38"/>
  <c r="J109" i="38"/>
  <c r="J110" i="38"/>
  <c r="J111" i="38"/>
  <c r="J112" i="38"/>
  <c r="J113" i="38"/>
  <c r="J114" i="38"/>
  <c r="J115" i="38"/>
  <c r="J116" i="38"/>
  <c r="J117" i="38"/>
  <c r="J118" i="38"/>
  <c r="J119" i="38"/>
  <c r="J120" i="38"/>
  <c r="J121" i="38"/>
  <c r="J122" i="38"/>
  <c r="J123" i="38"/>
  <c r="J124" i="38"/>
  <c r="J125" i="38"/>
  <c r="J126" i="38"/>
  <c r="J127" i="38"/>
  <c r="J128" i="38"/>
  <c r="J129" i="38"/>
  <c r="J130" i="38"/>
  <c r="J131" i="38"/>
  <c r="J132" i="38"/>
  <c r="J133" i="38"/>
  <c r="J134" i="38"/>
  <c r="J135" i="38"/>
  <c r="J136" i="38"/>
  <c r="J137" i="38"/>
  <c r="J138" i="38"/>
  <c r="J139" i="38"/>
  <c r="J140" i="38"/>
  <c r="J141" i="38"/>
  <c r="J142" i="38"/>
  <c r="J143" i="38"/>
  <c r="J144" i="38"/>
  <c r="J145" i="38"/>
  <c r="J146" i="38"/>
  <c r="J147" i="38"/>
  <c r="J148" i="38"/>
  <c r="J149" i="38"/>
  <c r="J150" i="38"/>
  <c r="J151" i="38"/>
  <c r="J152" i="38"/>
  <c r="J153" i="38"/>
  <c r="J154" i="38"/>
  <c r="J155" i="38"/>
  <c r="J156" i="38"/>
  <c r="J157" i="38"/>
  <c r="J158" i="38"/>
  <c r="J159" i="38"/>
  <c r="J160" i="38"/>
  <c r="J161" i="38"/>
  <c r="J162" i="38"/>
  <c r="J163" i="38"/>
  <c r="J164" i="38"/>
  <c r="J165" i="38"/>
  <c r="J166" i="38"/>
  <c r="J167" i="38"/>
  <c r="J170" i="38"/>
  <c r="J171" i="38"/>
  <c r="J172" i="38"/>
  <c r="J173" i="38"/>
  <c r="J174" i="38"/>
  <c r="J175" i="38"/>
  <c r="J176" i="38"/>
  <c r="J177" i="38"/>
  <c r="J178" i="38"/>
  <c r="J179" i="38"/>
  <c r="J180" i="38"/>
  <c r="J181" i="38"/>
  <c r="J182" i="38"/>
  <c r="J183" i="38"/>
  <c r="J184" i="38"/>
  <c r="J185" i="38"/>
  <c r="J186" i="38"/>
  <c r="J187" i="38"/>
  <c r="J188" i="38"/>
  <c r="J189" i="38"/>
  <c r="J190" i="38"/>
  <c r="J191" i="38"/>
  <c r="J192" i="38"/>
  <c r="J193" i="38"/>
  <c r="J194" i="38"/>
  <c r="J195" i="38"/>
  <c r="J196" i="38"/>
  <c r="J197" i="38"/>
  <c r="J198" i="38"/>
  <c r="J199" i="38"/>
  <c r="J200" i="38"/>
  <c r="J201" i="38"/>
  <c r="J202" i="38"/>
  <c r="J203" i="38"/>
  <c r="J204" i="38"/>
  <c r="J205" i="38"/>
  <c r="J206" i="38"/>
  <c r="J207" i="38"/>
  <c r="J208" i="38"/>
  <c r="J209" i="38"/>
  <c r="J210" i="38"/>
  <c r="J211" i="38"/>
  <c r="J212" i="38"/>
  <c r="J213" i="38"/>
  <c r="J214" i="38"/>
  <c r="J215" i="38"/>
  <c r="J216" i="38"/>
  <c r="J217" i="38"/>
  <c r="J218" i="38"/>
  <c r="J219" i="38"/>
  <c r="J220" i="38"/>
  <c r="J221" i="38"/>
  <c r="J222" i="38"/>
  <c r="J223" i="38"/>
  <c r="J224" i="38"/>
  <c r="J225" i="38"/>
  <c r="J226" i="38"/>
  <c r="J227" i="38"/>
  <c r="J228" i="38"/>
  <c r="J229" i="38"/>
  <c r="J230" i="38"/>
  <c r="J231" i="38"/>
  <c r="J232" i="38"/>
  <c r="J233" i="38"/>
  <c r="J234" i="38"/>
  <c r="J235" i="38"/>
  <c r="J236" i="38"/>
  <c r="J237" i="38"/>
  <c r="J238" i="38"/>
  <c r="J239" i="38"/>
  <c r="J240" i="38"/>
  <c r="J241" i="38"/>
  <c r="J242" i="38"/>
  <c r="J243" i="38"/>
  <c r="J244" i="38"/>
  <c r="J245" i="38"/>
  <c r="J246" i="38"/>
  <c r="J247" i="38"/>
  <c r="J248" i="38"/>
  <c r="J249" i="38"/>
  <c r="J250" i="38"/>
  <c r="J251" i="38"/>
  <c r="J252" i="38"/>
  <c r="J253" i="38"/>
  <c r="J254" i="38"/>
  <c r="J255" i="38"/>
  <c r="J256" i="38"/>
  <c r="J257" i="38"/>
  <c r="J258" i="38"/>
  <c r="J259" i="38"/>
  <c r="J260" i="38"/>
  <c r="J261" i="38"/>
  <c r="J262" i="38"/>
  <c r="J263" i="38"/>
  <c r="J264" i="38"/>
  <c r="J265" i="38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81" i="38"/>
  <c r="J282" i="38"/>
  <c r="J283" i="38"/>
  <c r="J284" i="38"/>
  <c r="J285" i="38"/>
  <c r="J286" i="38"/>
  <c r="J287" i="38"/>
  <c r="J288" i="38"/>
  <c r="J289" i="38"/>
  <c r="J290" i="38"/>
  <c r="J291" i="38"/>
  <c r="J292" i="38"/>
  <c r="J293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1" i="38"/>
  <c r="J312" i="38"/>
  <c r="J313" i="38"/>
  <c r="J314" i="38"/>
  <c r="J315" i="38"/>
  <c r="J316" i="38"/>
  <c r="J317" i="38"/>
  <c r="J318" i="38"/>
  <c r="J319" i="38"/>
  <c r="J320" i="38"/>
  <c r="J321" i="38"/>
  <c r="J322" i="38"/>
  <c r="J323" i="38"/>
  <c r="J324" i="38"/>
  <c r="J325" i="38"/>
  <c r="J326" i="38"/>
  <c r="J327" i="38"/>
  <c r="J328" i="38"/>
  <c r="J329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49" i="38"/>
  <c r="J350" i="38"/>
  <c r="J351" i="38"/>
  <c r="J352" i="38"/>
  <c r="J353" i="38"/>
  <c r="J354" i="38"/>
  <c r="J355" i="38"/>
  <c r="J356" i="38"/>
  <c r="J357" i="38"/>
  <c r="J358" i="38"/>
  <c r="J359" i="38"/>
  <c r="J360" i="38"/>
  <c r="J361" i="38"/>
  <c r="J362" i="38"/>
  <c r="J363" i="38"/>
  <c r="J364" i="38"/>
  <c r="J365" i="38"/>
  <c r="J366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5" i="38"/>
  <c r="J386" i="38"/>
  <c r="J387" i="38"/>
  <c r="J388" i="38"/>
  <c r="J389" i="38"/>
  <c r="J390" i="38"/>
  <c r="J391" i="38"/>
  <c r="J392" i="38"/>
  <c r="J393" i="38"/>
  <c r="J394" i="38"/>
  <c r="J395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09" i="38"/>
  <c r="J410" i="38"/>
  <c r="J411" i="38"/>
  <c r="J412" i="38"/>
  <c r="J413" i="38"/>
  <c r="J414" i="38"/>
  <c r="J415" i="38"/>
  <c r="J416" i="38"/>
  <c r="J417" i="38"/>
  <c r="J418" i="38"/>
  <c r="J419" i="38"/>
  <c r="J420" i="38"/>
  <c r="J421" i="38"/>
  <c r="J422" i="38"/>
  <c r="J423" i="38"/>
  <c r="J424" i="38"/>
  <c r="J425" i="38"/>
  <c r="J426" i="38"/>
  <c r="J427" i="38"/>
  <c r="J428" i="38"/>
  <c r="J429" i="38"/>
  <c r="J430" i="38"/>
  <c r="J431" i="38"/>
  <c r="J432" i="38"/>
  <c r="J433" i="38"/>
  <c r="J434" i="38"/>
  <c r="J435" i="38"/>
  <c r="J436" i="38"/>
  <c r="J437" i="38"/>
  <c r="J438" i="38"/>
  <c r="J439" i="38"/>
  <c r="J440" i="38"/>
  <c r="J441" i="38"/>
  <c r="J442" i="38"/>
  <c r="J443" i="38"/>
  <c r="J444" i="38"/>
  <c r="J445" i="38"/>
  <c r="J446" i="38"/>
  <c r="J447" i="38"/>
  <c r="J448" i="38"/>
  <c r="J449" i="38"/>
  <c r="J450" i="38"/>
  <c r="J451" i="38"/>
  <c r="J452" i="38"/>
  <c r="J453" i="38"/>
  <c r="J454" i="38"/>
  <c r="J455" i="38"/>
  <c r="J456" i="38"/>
  <c r="J457" i="38"/>
  <c r="J458" i="38"/>
  <c r="J459" i="38"/>
  <c r="J460" i="38"/>
  <c r="J461" i="38"/>
  <c r="J462" i="38"/>
  <c r="J463" i="38"/>
  <c r="J464" i="38"/>
  <c r="J465" i="38"/>
  <c r="J466" i="38"/>
  <c r="J467" i="38"/>
  <c r="J468" i="38"/>
  <c r="J469" i="38"/>
  <c r="J470" i="38"/>
  <c r="J471" i="38"/>
  <c r="J472" i="38"/>
  <c r="J473" i="38"/>
  <c r="J474" i="38"/>
  <c r="J475" i="38"/>
  <c r="J476" i="38"/>
  <c r="J477" i="38"/>
  <c r="J478" i="38"/>
  <c r="J479" i="38"/>
  <c r="J480" i="38"/>
  <c r="J481" i="38"/>
  <c r="J482" i="38"/>
  <c r="J483" i="38"/>
  <c r="J484" i="38"/>
  <c r="J485" i="38"/>
  <c r="J486" i="38"/>
  <c r="J487" i="38"/>
  <c r="J488" i="38"/>
  <c r="J489" i="38"/>
  <c r="J490" i="38"/>
  <c r="J491" i="38"/>
  <c r="J492" i="38"/>
  <c r="J493" i="38"/>
  <c r="J494" i="38"/>
  <c r="J495" i="38"/>
  <c r="J496" i="38"/>
  <c r="J497" i="38"/>
  <c r="J498" i="38"/>
  <c r="J499" i="38"/>
  <c r="J500" i="38"/>
  <c r="J501" i="38"/>
  <c r="J502" i="38"/>
  <c r="J503" i="38"/>
  <c r="J504" i="38"/>
  <c r="J505" i="38"/>
  <c r="J506" i="38"/>
  <c r="J507" i="38"/>
  <c r="J508" i="38"/>
  <c r="J509" i="38"/>
  <c r="J510" i="38"/>
  <c r="J511" i="38"/>
  <c r="J512" i="38"/>
  <c r="J513" i="38"/>
  <c r="J514" i="38"/>
  <c r="J515" i="38"/>
  <c r="J516" i="38"/>
  <c r="J517" i="38"/>
  <c r="J518" i="38"/>
  <c r="J519" i="38"/>
  <c r="J520" i="38"/>
  <c r="J521" i="38"/>
  <c r="J522" i="38"/>
  <c r="J523" i="38"/>
  <c r="J524" i="38"/>
  <c r="J525" i="38"/>
  <c r="J526" i="38"/>
  <c r="J527" i="38"/>
  <c r="J528" i="38"/>
  <c r="J529" i="38"/>
  <c r="J530" i="38"/>
  <c r="J531" i="38"/>
  <c r="J532" i="38"/>
  <c r="J533" i="38"/>
  <c r="J534" i="38"/>
  <c r="J535" i="38"/>
  <c r="J536" i="38"/>
  <c r="J537" i="38"/>
  <c r="J538" i="38"/>
  <c r="J539" i="38"/>
  <c r="J540" i="38"/>
  <c r="J541" i="38"/>
  <c r="J542" i="38"/>
  <c r="J543" i="38"/>
  <c r="J544" i="38"/>
  <c r="J545" i="38"/>
  <c r="J546" i="38"/>
  <c r="J547" i="38"/>
  <c r="J548" i="38"/>
  <c r="J549" i="38"/>
  <c r="J550" i="38"/>
  <c r="J551" i="38"/>
  <c r="J552" i="38"/>
  <c r="J553" i="38"/>
  <c r="J554" i="38"/>
  <c r="J555" i="38"/>
  <c r="J556" i="38"/>
  <c r="J557" i="38"/>
  <c r="J558" i="38"/>
  <c r="J559" i="38"/>
  <c r="J560" i="38"/>
  <c r="J561" i="38"/>
  <c r="J562" i="38"/>
  <c r="J563" i="38"/>
  <c r="J564" i="38"/>
  <c r="J565" i="38"/>
  <c r="J566" i="38"/>
  <c r="J567" i="38"/>
  <c r="J568" i="38"/>
  <c r="J569" i="38"/>
  <c r="J570" i="38"/>
  <c r="J571" i="38"/>
  <c r="J572" i="38"/>
  <c r="J573" i="38"/>
  <c r="J574" i="38"/>
  <c r="J575" i="38"/>
  <c r="J576" i="38"/>
  <c r="J577" i="38"/>
  <c r="J578" i="38"/>
  <c r="J579" i="38"/>
  <c r="J580" i="38"/>
  <c r="J581" i="38"/>
  <c r="J582" i="38"/>
  <c r="J583" i="38"/>
  <c r="J585" i="38"/>
  <c r="J586" i="38"/>
  <c r="J587" i="38"/>
  <c r="J588" i="38"/>
  <c r="J589" i="38"/>
  <c r="J590" i="38"/>
  <c r="J591" i="38"/>
  <c r="J592" i="38"/>
  <c r="J593" i="38"/>
  <c r="J594" i="38"/>
  <c r="J595" i="38"/>
  <c r="J596" i="38"/>
  <c r="J597" i="38"/>
  <c r="J598" i="38"/>
  <c r="J599" i="38"/>
  <c r="J600" i="38"/>
  <c r="J601" i="38"/>
  <c r="J602" i="38"/>
  <c r="J603" i="38"/>
  <c r="J604" i="38"/>
  <c r="J605" i="38"/>
  <c r="J606" i="38"/>
  <c r="J607" i="38"/>
  <c r="I2" i="38"/>
  <c r="I3" i="38"/>
  <c r="I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I150" i="38"/>
  <c r="I151" i="38"/>
  <c r="I152" i="38"/>
  <c r="I153" i="38"/>
  <c r="I154" i="38"/>
  <c r="I155" i="38"/>
  <c r="I156" i="38"/>
  <c r="I157" i="38"/>
  <c r="I158" i="38"/>
  <c r="I159" i="38"/>
  <c r="I160" i="38"/>
  <c r="I161" i="38"/>
  <c r="I162" i="38"/>
  <c r="I163" i="38"/>
  <c r="I164" i="38"/>
  <c r="I165" i="38"/>
  <c r="I166" i="38"/>
  <c r="I167" i="38"/>
  <c r="I170" i="38"/>
  <c r="I171" i="38"/>
  <c r="I172" i="38"/>
  <c r="I173" i="38"/>
  <c r="I174" i="38"/>
  <c r="I175" i="38"/>
  <c r="I176" i="38"/>
  <c r="I177" i="38"/>
  <c r="I178" i="38"/>
  <c r="I179" i="38"/>
  <c r="I180" i="38"/>
  <c r="I181" i="38"/>
  <c r="I182" i="38"/>
  <c r="I183" i="38"/>
  <c r="I184" i="38"/>
  <c r="I185" i="38"/>
  <c r="I186" i="38"/>
  <c r="I187" i="38"/>
  <c r="I188" i="38"/>
  <c r="I189" i="38"/>
  <c r="I190" i="38"/>
  <c r="I191" i="38"/>
  <c r="I192" i="38"/>
  <c r="I193" i="38"/>
  <c r="I194" i="38"/>
  <c r="I195" i="38"/>
  <c r="I196" i="38"/>
  <c r="I197" i="38"/>
  <c r="I198" i="38"/>
  <c r="I199" i="38"/>
  <c r="I200" i="38"/>
  <c r="I201" i="38"/>
  <c r="I202" i="38"/>
  <c r="I203" i="38"/>
  <c r="I204" i="38"/>
  <c r="I205" i="38"/>
  <c r="I206" i="38"/>
  <c r="I207" i="38"/>
  <c r="I208" i="38"/>
  <c r="I209" i="38"/>
  <c r="I210" i="38"/>
  <c r="I211" i="38"/>
  <c r="I212" i="38"/>
  <c r="I213" i="38"/>
  <c r="I214" i="38"/>
  <c r="I215" i="38"/>
  <c r="I216" i="38"/>
  <c r="I217" i="38"/>
  <c r="I218" i="38"/>
  <c r="I219" i="38"/>
  <c r="I220" i="38"/>
  <c r="I221" i="38"/>
  <c r="I222" i="38"/>
  <c r="I223" i="38"/>
  <c r="I224" i="38"/>
  <c r="I225" i="38"/>
  <c r="I226" i="38"/>
  <c r="I227" i="38"/>
  <c r="I228" i="38"/>
  <c r="I229" i="38"/>
  <c r="I230" i="38"/>
  <c r="I231" i="38"/>
  <c r="I232" i="38"/>
  <c r="I233" i="38"/>
  <c r="I234" i="38"/>
  <c r="I235" i="38"/>
  <c r="I236" i="38"/>
  <c r="I237" i="38"/>
  <c r="I238" i="38"/>
  <c r="I239" i="38"/>
  <c r="I240" i="38"/>
  <c r="I241" i="38"/>
  <c r="I242" i="38"/>
  <c r="I243" i="38"/>
  <c r="I244" i="38"/>
  <c r="I245" i="38"/>
  <c r="I246" i="38"/>
  <c r="I247" i="38"/>
  <c r="I248" i="38"/>
  <c r="I249" i="38"/>
  <c r="I250" i="38"/>
  <c r="I251" i="38"/>
  <c r="I252" i="38"/>
  <c r="I253" i="38"/>
  <c r="I254" i="38"/>
  <c r="I255" i="38"/>
  <c r="I256" i="38"/>
  <c r="I257" i="38"/>
  <c r="I258" i="38"/>
  <c r="I259" i="38"/>
  <c r="I260" i="38"/>
  <c r="I261" i="38"/>
  <c r="I262" i="38"/>
  <c r="I263" i="38"/>
  <c r="I264" i="38"/>
  <c r="I265" i="38"/>
  <c r="I266" i="38"/>
  <c r="I267" i="38"/>
  <c r="I268" i="38"/>
  <c r="I269" i="38"/>
  <c r="I270" i="38"/>
  <c r="I271" i="38"/>
  <c r="I272" i="38"/>
  <c r="I273" i="38"/>
  <c r="I274" i="38"/>
  <c r="I275" i="38"/>
  <c r="I276" i="38"/>
  <c r="I277" i="38"/>
  <c r="I278" i="38"/>
  <c r="I279" i="38"/>
  <c r="I280" i="38"/>
  <c r="I281" i="38"/>
  <c r="I282" i="38"/>
  <c r="I283" i="38"/>
  <c r="I284" i="38"/>
  <c r="I285" i="38"/>
  <c r="I286" i="38"/>
  <c r="I287" i="38"/>
  <c r="I288" i="38"/>
  <c r="I289" i="38"/>
  <c r="I290" i="38"/>
  <c r="I291" i="38"/>
  <c r="I292" i="38"/>
  <c r="I293" i="38"/>
  <c r="I294" i="38"/>
  <c r="I295" i="38"/>
  <c r="I296" i="38"/>
  <c r="I297" i="38"/>
  <c r="I298" i="38"/>
  <c r="I299" i="38"/>
  <c r="I300" i="38"/>
  <c r="I301" i="38"/>
  <c r="I302" i="38"/>
  <c r="I303" i="38"/>
  <c r="I304" i="38"/>
  <c r="I305" i="38"/>
  <c r="I306" i="38"/>
  <c r="I307" i="38"/>
  <c r="I308" i="38"/>
  <c r="I309" i="38"/>
  <c r="I310" i="38"/>
  <c r="I311" i="38"/>
  <c r="I312" i="38"/>
  <c r="I313" i="38"/>
  <c r="I314" i="38"/>
  <c r="I315" i="38"/>
  <c r="I316" i="38"/>
  <c r="I317" i="38"/>
  <c r="I318" i="38"/>
  <c r="I319" i="38"/>
  <c r="I320" i="38"/>
  <c r="I321" i="38"/>
  <c r="I322" i="38"/>
  <c r="I323" i="38"/>
  <c r="I324" i="38"/>
  <c r="I325" i="38"/>
  <c r="I326" i="38"/>
  <c r="I327" i="38"/>
  <c r="I328" i="38"/>
  <c r="I329" i="38"/>
  <c r="I330" i="38"/>
  <c r="I331" i="38"/>
  <c r="I332" i="38"/>
  <c r="I333" i="38"/>
  <c r="I334" i="38"/>
  <c r="I335" i="38"/>
  <c r="I336" i="38"/>
  <c r="I337" i="38"/>
  <c r="I338" i="38"/>
  <c r="I339" i="38"/>
  <c r="I340" i="38"/>
  <c r="I341" i="38"/>
  <c r="I342" i="38"/>
  <c r="I343" i="38"/>
  <c r="I344" i="38"/>
  <c r="I345" i="38"/>
  <c r="I346" i="38"/>
  <c r="I347" i="38"/>
  <c r="I348" i="38"/>
  <c r="I349" i="38"/>
  <c r="I350" i="38"/>
  <c r="I351" i="38"/>
  <c r="I352" i="38"/>
  <c r="I353" i="38"/>
  <c r="I354" i="38"/>
  <c r="I355" i="38"/>
  <c r="I356" i="38"/>
  <c r="I357" i="38"/>
  <c r="I358" i="38"/>
  <c r="I359" i="38"/>
  <c r="I360" i="38"/>
  <c r="I361" i="38"/>
  <c r="I362" i="38"/>
  <c r="I363" i="38"/>
  <c r="I364" i="38"/>
  <c r="I365" i="38"/>
  <c r="I366" i="38"/>
  <c r="I367" i="38"/>
  <c r="I368" i="38"/>
  <c r="I369" i="38"/>
  <c r="I370" i="38"/>
  <c r="I371" i="38"/>
  <c r="I372" i="38"/>
  <c r="I373" i="38"/>
  <c r="I374" i="38"/>
  <c r="I375" i="38"/>
  <c r="I376" i="38"/>
  <c r="I377" i="38"/>
  <c r="I378" i="38"/>
  <c r="I379" i="38"/>
  <c r="I380" i="38"/>
  <c r="I381" i="38"/>
  <c r="I382" i="38"/>
  <c r="I383" i="38"/>
  <c r="I384" i="38"/>
  <c r="I385" i="38"/>
  <c r="I386" i="38"/>
  <c r="I387" i="38"/>
  <c r="I388" i="38"/>
  <c r="I389" i="38"/>
  <c r="I390" i="38"/>
  <c r="I391" i="38"/>
  <c r="I392" i="38"/>
  <c r="I393" i="38"/>
  <c r="I394" i="38"/>
  <c r="I395" i="38"/>
  <c r="I396" i="38"/>
  <c r="I397" i="38"/>
  <c r="I398" i="38"/>
  <c r="I399" i="38"/>
  <c r="I400" i="38"/>
  <c r="I401" i="38"/>
  <c r="I402" i="38"/>
  <c r="I403" i="38"/>
  <c r="I404" i="38"/>
  <c r="I405" i="38"/>
  <c r="I406" i="38"/>
  <c r="I407" i="38"/>
  <c r="I408" i="38"/>
  <c r="I409" i="38"/>
  <c r="I410" i="38"/>
  <c r="I411" i="38"/>
  <c r="I412" i="38"/>
  <c r="I413" i="38"/>
  <c r="I414" i="38"/>
  <c r="I415" i="38"/>
  <c r="I416" i="38"/>
  <c r="I417" i="38"/>
  <c r="I418" i="38"/>
  <c r="I419" i="38"/>
  <c r="I420" i="38"/>
  <c r="I421" i="38"/>
  <c r="I422" i="38"/>
  <c r="I423" i="38"/>
  <c r="I424" i="38"/>
  <c r="I425" i="38"/>
  <c r="I426" i="38"/>
  <c r="I427" i="38"/>
  <c r="I428" i="38"/>
  <c r="I429" i="38"/>
  <c r="I430" i="38"/>
  <c r="I431" i="38"/>
  <c r="I432" i="38"/>
  <c r="I433" i="38"/>
  <c r="I434" i="38"/>
  <c r="I435" i="38"/>
  <c r="I436" i="38"/>
  <c r="I437" i="38"/>
  <c r="I438" i="38"/>
  <c r="I439" i="38"/>
  <c r="I440" i="38"/>
  <c r="I441" i="38"/>
  <c r="I442" i="38"/>
  <c r="I443" i="38"/>
  <c r="I444" i="38"/>
  <c r="I445" i="38"/>
  <c r="I446" i="38"/>
  <c r="I447" i="38"/>
  <c r="I448" i="38"/>
  <c r="I449" i="38"/>
  <c r="I450" i="38"/>
  <c r="I451" i="38"/>
  <c r="I452" i="38"/>
  <c r="I453" i="38"/>
  <c r="I454" i="38"/>
  <c r="I455" i="38"/>
  <c r="I456" i="38"/>
  <c r="I457" i="38"/>
  <c r="I458" i="38"/>
  <c r="I459" i="38"/>
  <c r="I460" i="38"/>
  <c r="I461" i="38"/>
  <c r="I462" i="38"/>
  <c r="I463" i="38"/>
  <c r="I464" i="38"/>
  <c r="I465" i="38"/>
  <c r="I466" i="38"/>
  <c r="I467" i="38"/>
  <c r="I468" i="38"/>
  <c r="I469" i="38"/>
  <c r="I470" i="38"/>
  <c r="I471" i="38"/>
  <c r="I472" i="38"/>
  <c r="I473" i="38"/>
  <c r="I474" i="38"/>
  <c r="I475" i="38"/>
  <c r="I476" i="38"/>
  <c r="I477" i="38"/>
  <c r="I478" i="38"/>
  <c r="I479" i="38"/>
  <c r="I480" i="38"/>
  <c r="I481" i="38"/>
  <c r="I482" i="38"/>
  <c r="I483" i="38"/>
  <c r="I484" i="38"/>
  <c r="I485" i="38"/>
  <c r="I486" i="38"/>
  <c r="I487" i="38"/>
  <c r="I488" i="38"/>
  <c r="I489" i="38"/>
  <c r="I490" i="38"/>
  <c r="I491" i="38"/>
  <c r="I492" i="38"/>
  <c r="I493" i="38"/>
  <c r="I494" i="38"/>
  <c r="I495" i="38"/>
  <c r="I496" i="38"/>
  <c r="I497" i="38"/>
  <c r="I498" i="38"/>
  <c r="I499" i="38"/>
  <c r="I500" i="38"/>
  <c r="I501" i="38"/>
  <c r="I502" i="38"/>
  <c r="I503" i="38"/>
  <c r="I504" i="38"/>
  <c r="I505" i="38"/>
  <c r="I506" i="38"/>
  <c r="I507" i="38"/>
  <c r="I508" i="38"/>
  <c r="I509" i="38"/>
  <c r="I510" i="38"/>
  <c r="I511" i="38"/>
  <c r="I512" i="38"/>
  <c r="I513" i="38"/>
  <c r="I514" i="38"/>
  <c r="I515" i="38"/>
  <c r="I516" i="38"/>
  <c r="I517" i="38"/>
  <c r="I518" i="38"/>
  <c r="I519" i="38"/>
  <c r="I520" i="38"/>
  <c r="I521" i="38"/>
  <c r="I522" i="38"/>
  <c r="I523" i="38"/>
  <c r="I524" i="38"/>
  <c r="I525" i="38"/>
  <c r="I526" i="38"/>
  <c r="I527" i="38"/>
  <c r="I528" i="38"/>
  <c r="I529" i="38"/>
  <c r="I530" i="38"/>
  <c r="I531" i="38"/>
  <c r="I532" i="38"/>
  <c r="I533" i="38"/>
  <c r="I534" i="38"/>
  <c r="I535" i="38"/>
  <c r="I536" i="38"/>
  <c r="I537" i="38"/>
  <c r="I538" i="38"/>
  <c r="I539" i="38"/>
  <c r="I540" i="38"/>
  <c r="I541" i="38"/>
  <c r="I542" i="38"/>
  <c r="I543" i="38"/>
  <c r="I544" i="38"/>
  <c r="I545" i="38"/>
  <c r="I546" i="38"/>
  <c r="I547" i="38"/>
  <c r="I548" i="38"/>
  <c r="I549" i="38"/>
  <c r="I550" i="38"/>
  <c r="I551" i="38"/>
  <c r="I552" i="38"/>
  <c r="I553" i="38"/>
  <c r="I554" i="38"/>
  <c r="I555" i="38"/>
  <c r="I556" i="38"/>
  <c r="I557" i="38"/>
  <c r="I558" i="38"/>
  <c r="I559" i="38"/>
  <c r="I560" i="38"/>
  <c r="I561" i="38"/>
  <c r="I562" i="38"/>
  <c r="I563" i="38"/>
  <c r="I564" i="38"/>
  <c r="I565" i="38"/>
  <c r="I566" i="38"/>
  <c r="I567" i="38"/>
  <c r="I568" i="38"/>
  <c r="I569" i="38"/>
  <c r="I570" i="38"/>
  <c r="I571" i="38"/>
  <c r="I572" i="38"/>
  <c r="I573" i="38"/>
  <c r="I574" i="38"/>
  <c r="I575" i="38"/>
  <c r="I576" i="38"/>
  <c r="I577" i="38"/>
  <c r="I578" i="38"/>
  <c r="I579" i="38"/>
  <c r="I580" i="38"/>
  <c r="I581" i="38"/>
  <c r="I582" i="38"/>
  <c r="I583" i="38"/>
  <c r="I585" i="38"/>
  <c r="I586" i="38"/>
  <c r="I587" i="38"/>
  <c r="I588" i="38"/>
  <c r="I589" i="38"/>
  <c r="I590" i="38"/>
  <c r="I591" i="38"/>
  <c r="I592" i="38"/>
  <c r="I593" i="38"/>
  <c r="I594" i="38"/>
  <c r="I595" i="38"/>
  <c r="I596" i="38"/>
  <c r="I597" i="38"/>
  <c r="I598" i="38"/>
  <c r="I599" i="38"/>
  <c r="I600" i="38"/>
  <c r="I601" i="38"/>
  <c r="I602" i="38"/>
  <c r="I603" i="38"/>
  <c r="I604" i="38"/>
  <c r="I605" i="38"/>
  <c r="I606" i="38"/>
  <c r="I607" i="38"/>
  <c r="H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38" i="38"/>
  <c r="H39" i="38"/>
  <c r="H40" i="38"/>
  <c r="H41" i="38"/>
  <c r="H42" i="38"/>
  <c r="H43" i="38"/>
  <c r="H44" i="38"/>
  <c r="H45" i="38"/>
  <c r="H46" i="38"/>
  <c r="H47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72" i="38"/>
  <c r="H73" i="38"/>
  <c r="H74" i="38"/>
  <c r="H75" i="38"/>
  <c r="H76" i="38"/>
  <c r="H77" i="38"/>
  <c r="H78" i="38"/>
  <c r="H79" i="38"/>
  <c r="H80" i="38"/>
  <c r="H81" i="38"/>
  <c r="H82" i="38"/>
  <c r="H83" i="38"/>
  <c r="H84" i="38"/>
  <c r="H85" i="38"/>
  <c r="H86" i="38"/>
  <c r="H87" i="38"/>
  <c r="H88" i="38"/>
  <c r="H89" i="38"/>
  <c r="H90" i="38"/>
  <c r="H91" i="38"/>
  <c r="H92" i="38"/>
  <c r="H93" i="38"/>
  <c r="H94" i="38"/>
  <c r="H95" i="38"/>
  <c r="H96" i="38"/>
  <c r="H97" i="38"/>
  <c r="H98" i="38"/>
  <c r="H99" i="38"/>
  <c r="H100" i="38"/>
  <c r="H101" i="38"/>
  <c r="H102" i="38"/>
  <c r="H103" i="38"/>
  <c r="H104" i="38"/>
  <c r="H105" i="38"/>
  <c r="H106" i="38"/>
  <c r="H107" i="38"/>
  <c r="H108" i="38"/>
  <c r="H109" i="38"/>
  <c r="H110" i="38"/>
  <c r="H111" i="38"/>
  <c r="H112" i="38"/>
  <c r="H113" i="38"/>
  <c r="H114" i="38"/>
  <c r="H115" i="38"/>
  <c r="H116" i="38"/>
  <c r="H117" i="38"/>
  <c r="H118" i="38"/>
  <c r="H119" i="38"/>
  <c r="H120" i="38"/>
  <c r="H121" i="38"/>
  <c r="H122" i="38"/>
  <c r="H123" i="38"/>
  <c r="H124" i="38"/>
  <c r="H125" i="38"/>
  <c r="H126" i="38"/>
  <c r="H127" i="38"/>
  <c r="H128" i="38"/>
  <c r="H129" i="38"/>
  <c r="H130" i="38"/>
  <c r="H131" i="38"/>
  <c r="H132" i="38"/>
  <c r="H133" i="38"/>
  <c r="H134" i="38"/>
  <c r="H135" i="38"/>
  <c r="H136" i="38"/>
  <c r="H137" i="38"/>
  <c r="H138" i="38"/>
  <c r="H139" i="38"/>
  <c r="H140" i="38"/>
  <c r="H141" i="38"/>
  <c r="H142" i="38"/>
  <c r="H143" i="38"/>
  <c r="H144" i="38"/>
  <c r="H145" i="38"/>
  <c r="H146" i="38"/>
  <c r="H147" i="38"/>
  <c r="H148" i="38"/>
  <c r="H149" i="38"/>
  <c r="H150" i="38"/>
  <c r="H151" i="38"/>
  <c r="H152" i="38"/>
  <c r="H153" i="38"/>
  <c r="H154" i="38"/>
  <c r="H155" i="38"/>
  <c r="H156" i="38"/>
  <c r="H157" i="38"/>
  <c r="H158" i="38"/>
  <c r="H159" i="38"/>
  <c r="H160" i="38"/>
  <c r="H161" i="38"/>
  <c r="H162" i="38"/>
  <c r="H163" i="38"/>
  <c r="H164" i="38"/>
  <c r="H165" i="38"/>
  <c r="H166" i="38"/>
  <c r="H167" i="38"/>
  <c r="H170" i="38"/>
  <c r="H171" i="38"/>
  <c r="H172" i="38"/>
  <c r="H173" i="38"/>
  <c r="H174" i="38"/>
  <c r="H175" i="38"/>
  <c r="H176" i="38"/>
  <c r="H177" i="38"/>
  <c r="H178" i="38"/>
  <c r="H179" i="38"/>
  <c r="H180" i="38"/>
  <c r="H181" i="38"/>
  <c r="H182" i="38"/>
  <c r="H183" i="38"/>
  <c r="H184" i="38"/>
  <c r="H185" i="38"/>
  <c r="H186" i="38"/>
  <c r="H187" i="38"/>
  <c r="H188" i="38"/>
  <c r="H189" i="38"/>
  <c r="H190" i="38"/>
  <c r="H191" i="38"/>
  <c r="H192" i="38"/>
  <c r="H193" i="38"/>
  <c r="H194" i="38"/>
  <c r="H195" i="38"/>
  <c r="H196" i="38"/>
  <c r="H197" i="38"/>
  <c r="H198" i="38"/>
  <c r="H199" i="38"/>
  <c r="H200" i="38"/>
  <c r="H201" i="38"/>
  <c r="H202" i="38"/>
  <c r="H203" i="38"/>
  <c r="H204" i="38"/>
  <c r="H205" i="38"/>
  <c r="H206" i="38"/>
  <c r="H207" i="38"/>
  <c r="H208" i="38"/>
  <c r="H209" i="38"/>
  <c r="H210" i="38"/>
  <c r="H211" i="38"/>
  <c r="H212" i="38"/>
  <c r="H213" i="38"/>
  <c r="H214" i="38"/>
  <c r="H215" i="38"/>
  <c r="H216" i="38"/>
  <c r="H217" i="38"/>
  <c r="H218" i="38"/>
  <c r="H219" i="38"/>
  <c r="H220" i="38"/>
  <c r="H221" i="38"/>
  <c r="H222" i="38"/>
  <c r="H223" i="38"/>
  <c r="H224" i="38"/>
  <c r="H225" i="38"/>
  <c r="H226" i="38"/>
  <c r="H227" i="38"/>
  <c r="H228" i="38"/>
  <c r="H229" i="38"/>
  <c r="H230" i="38"/>
  <c r="H231" i="38"/>
  <c r="H232" i="38"/>
  <c r="H233" i="38"/>
  <c r="H234" i="38"/>
  <c r="H235" i="38"/>
  <c r="H236" i="38"/>
  <c r="H237" i="38"/>
  <c r="H238" i="38"/>
  <c r="H239" i="38"/>
  <c r="H240" i="38"/>
  <c r="H241" i="38"/>
  <c r="H242" i="38"/>
  <c r="H243" i="38"/>
  <c r="H244" i="38"/>
  <c r="H245" i="38"/>
  <c r="H246" i="38"/>
  <c r="H247" i="38"/>
  <c r="H248" i="38"/>
  <c r="H249" i="38"/>
  <c r="H250" i="38"/>
  <c r="H251" i="38"/>
  <c r="H252" i="38"/>
  <c r="H253" i="38"/>
  <c r="H254" i="38"/>
  <c r="H255" i="38"/>
  <c r="H256" i="38"/>
  <c r="H257" i="38"/>
  <c r="H258" i="38"/>
  <c r="H259" i="38"/>
  <c r="H260" i="38"/>
  <c r="H261" i="38"/>
  <c r="H262" i="38"/>
  <c r="H263" i="38"/>
  <c r="H264" i="38"/>
  <c r="H265" i="38"/>
  <c r="H266" i="38"/>
  <c r="H267" i="38"/>
  <c r="H268" i="38"/>
  <c r="H269" i="38"/>
  <c r="H270" i="38"/>
  <c r="H271" i="38"/>
  <c r="H272" i="38"/>
  <c r="H273" i="38"/>
  <c r="H274" i="38"/>
  <c r="H275" i="38"/>
  <c r="H276" i="38"/>
  <c r="H277" i="38"/>
  <c r="H278" i="38"/>
  <c r="H279" i="38"/>
  <c r="H280" i="38"/>
  <c r="H281" i="38"/>
  <c r="H282" i="38"/>
  <c r="H283" i="38"/>
  <c r="H284" i="38"/>
  <c r="H285" i="38"/>
  <c r="H286" i="38"/>
  <c r="H287" i="38"/>
  <c r="H288" i="38"/>
  <c r="H289" i="38"/>
  <c r="H290" i="38"/>
  <c r="H291" i="38"/>
  <c r="H292" i="38"/>
  <c r="H293" i="38"/>
  <c r="H294" i="38"/>
  <c r="H295" i="38"/>
  <c r="H296" i="38"/>
  <c r="H297" i="38"/>
  <c r="H298" i="38"/>
  <c r="H299" i="38"/>
  <c r="H300" i="38"/>
  <c r="H301" i="38"/>
  <c r="H302" i="38"/>
  <c r="H303" i="38"/>
  <c r="H304" i="38"/>
  <c r="H305" i="38"/>
  <c r="H306" i="38"/>
  <c r="H307" i="38"/>
  <c r="H308" i="38"/>
  <c r="H309" i="38"/>
  <c r="H310" i="38"/>
  <c r="H311" i="38"/>
  <c r="H312" i="38"/>
  <c r="H313" i="38"/>
  <c r="H314" i="38"/>
  <c r="H315" i="38"/>
  <c r="H316" i="38"/>
  <c r="H317" i="38"/>
  <c r="H318" i="38"/>
  <c r="H319" i="38"/>
  <c r="H320" i="38"/>
  <c r="H321" i="38"/>
  <c r="H322" i="38"/>
  <c r="H323" i="38"/>
  <c r="H324" i="38"/>
  <c r="H325" i="38"/>
  <c r="H326" i="38"/>
  <c r="H327" i="38"/>
  <c r="H328" i="38"/>
  <c r="H329" i="38"/>
  <c r="H330" i="38"/>
  <c r="H331" i="38"/>
  <c r="H332" i="38"/>
  <c r="H333" i="38"/>
  <c r="H334" i="38"/>
  <c r="H335" i="38"/>
  <c r="H336" i="38"/>
  <c r="H337" i="38"/>
  <c r="H338" i="38"/>
  <c r="H339" i="38"/>
  <c r="H340" i="38"/>
  <c r="H341" i="38"/>
  <c r="H342" i="38"/>
  <c r="H343" i="38"/>
  <c r="H344" i="38"/>
  <c r="H345" i="38"/>
  <c r="H346" i="38"/>
  <c r="H347" i="38"/>
  <c r="H348" i="38"/>
  <c r="H349" i="38"/>
  <c r="H350" i="38"/>
  <c r="H351" i="38"/>
  <c r="H352" i="38"/>
  <c r="H353" i="38"/>
  <c r="H354" i="38"/>
  <c r="H355" i="38"/>
  <c r="H356" i="38"/>
  <c r="H357" i="38"/>
  <c r="H358" i="38"/>
  <c r="H359" i="38"/>
  <c r="H360" i="38"/>
  <c r="H361" i="38"/>
  <c r="H362" i="38"/>
  <c r="H363" i="38"/>
  <c r="H364" i="38"/>
  <c r="H365" i="38"/>
  <c r="H366" i="38"/>
  <c r="H367" i="38"/>
  <c r="H368" i="38"/>
  <c r="H369" i="38"/>
  <c r="H370" i="38"/>
  <c r="H371" i="38"/>
  <c r="H372" i="38"/>
  <c r="H373" i="38"/>
  <c r="H374" i="38"/>
  <c r="H375" i="38"/>
  <c r="H376" i="38"/>
  <c r="H377" i="38"/>
  <c r="H378" i="38"/>
  <c r="H379" i="38"/>
  <c r="H380" i="38"/>
  <c r="H381" i="38"/>
  <c r="H382" i="38"/>
  <c r="H383" i="38"/>
  <c r="H384" i="38"/>
  <c r="H385" i="38"/>
  <c r="H386" i="38"/>
  <c r="H387" i="38"/>
  <c r="H388" i="38"/>
  <c r="H389" i="38"/>
  <c r="H390" i="38"/>
  <c r="H391" i="38"/>
  <c r="H392" i="38"/>
  <c r="H393" i="38"/>
  <c r="H394" i="38"/>
  <c r="H395" i="38"/>
  <c r="H396" i="38"/>
  <c r="H397" i="38"/>
  <c r="H398" i="38"/>
  <c r="H399" i="38"/>
  <c r="H400" i="38"/>
  <c r="H401" i="38"/>
  <c r="H402" i="38"/>
  <c r="H403" i="38"/>
  <c r="H404" i="38"/>
  <c r="H405" i="38"/>
  <c r="H406" i="38"/>
  <c r="H407" i="38"/>
  <c r="H408" i="38"/>
  <c r="H409" i="38"/>
  <c r="H410" i="38"/>
  <c r="H411" i="38"/>
  <c r="H412" i="38"/>
  <c r="H413" i="38"/>
  <c r="H414" i="38"/>
  <c r="H415" i="38"/>
  <c r="H416" i="38"/>
  <c r="H417" i="38"/>
  <c r="H418" i="38"/>
  <c r="H419" i="38"/>
  <c r="H420" i="38"/>
  <c r="H421" i="38"/>
  <c r="H422" i="38"/>
  <c r="H423" i="38"/>
  <c r="H424" i="38"/>
  <c r="H425" i="38"/>
  <c r="H426" i="38"/>
  <c r="H427" i="38"/>
  <c r="H428" i="38"/>
  <c r="H429" i="38"/>
  <c r="H430" i="38"/>
  <c r="H431" i="38"/>
  <c r="H432" i="38"/>
  <c r="H433" i="38"/>
  <c r="H434" i="38"/>
  <c r="H435" i="38"/>
  <c r="H436" i="38"/>
  <c r="H437" i="38"/>
  <c r="H438" i="38"/>
  <c r="H439" i="38"/>
  <c r="H440" i="38"/>
  <c r="H441" i="38"/>
  <c r="H442" i="38"/>
  <c r="H443" i="38"/>
  <c r="H444" i="38"/>
  <c r="H445" i="38"/>
  <c r="H446" i="38"/>
  <c r="H447" i="38"/>
  <c r="H448" i="38"/>
  <c r="H449" i="38"/>
  <c r="H450" i="38"/>
  <c r="H451" i="38"/>
  <c r="H452" i="38"/>
  <c r="H453" i="38"/>
  <c r="H454" i="38"/>
  <c r="H455" i="38"/>
  <c r="H456" i="38"/>
  <c r="H457" i="38"/>
  <c r="H458" i="38"/>
  <c r="H459" i="38"/>
  <c r="H460" i="38"/>
  <c r="H461" i="38"/>
  <c r="H462" i="38"/>
  <c r="H463" i="38"/>
  <c r="H464" i="38"/>
  <c r="H465" i="38"/>
  <c r="H466" i="38"/>
  <c r="H467" i="38"/>
  <c r="H468" i="38"/>
  <c r="H469" i="38"/>
  <c r="H470" i="38"/>
  <c r="H471" i="38"/>
  <c r="H472" i="38"/>
  <c r="H473" i="38"/>
  <c r="H474" i="38"/>
  <c r="H475" i="38"/>
  <c r="H476" i="38"/>
  <c r="H477" i="38"/>
  <c r="H478" i="38"/>
  <c r="H479" i="38"/>
  <c r="H480" i="38"/>
  <c r="H481" i="38"/>
  <c r="H482" i="38"/>
  <c r="H483" i="38"/>
  <c r="H484" i="38"/>
  <c r="H485" i="38"/>
  <c r="H486" i="38"/>
  <c r="H487" i="38"/>
  <c r="H488" i="38"/>
  <c r="H489" i="38"/>
  <c r="H490" i="38"/>
  <c r="H491" i="38"/>
  <c r="H492" i="38"/>
  <c r="H493" i="38"/>
  <c r="H494" i="38"/>
  <c r="H495" i="38"/>
  <c r="H496" i="38"/>
  <c r="H497" i="38"/>
  <c r="H498" i="38"/>
  <c r="H499" i="38"/>
  <c r="H500" i="38"/>
  <c r="H501" i="38"/>
  <c r="H502" i="38"/>
  <c r="H503" i="38"/>
  <c r="H504" i="38"/>
  <c r="H505" i="38"/>
  <c r="H506" i="38"/>
  <c r="H507" i="38"/>
  <c r="H508" i="38"/>
  <c r="H509" i="38"/>
  <c r="H510" i="38"/>
  <c r="H511" i="38"/>
  <c r="H512" i="38"/>
  <c r="H513" i="38"/>
  <c r="H514" i="38"/>
  <c r="H515" i="38"/>
  <c r="H516" i="38"/>
  <c r="H517" i="38"/>
  <c r="H518" i="38"/>
  <c r="H519" i="38"/>
  <c r="H520" i="38"/>
  <c r="H521" i="38"/>
  <c r="H522" i="38"/>
  <c r="H523" i="38"/>
  <c r="H524" i="38"/>
  <c r="H525" i="38"/>
  <c r="H526" i="38"/>
  <c r="H527" i="38"/>
  <c r="H528" i="38"/>
  <c r="H529" i="38"/>
  <c r="H530" i="38"/>
  <c r="H531" i="38"/>
  <c r="H532" i="38"/>
  <c r="H533" i="38"/>
  <c r="H534" i="38"/>
  <c r="H535" i="38"/>
  <c r="H536" i="38"/>
  <c r="H537" i="38"/>
  <c r="H538" i="38"/>
  <c r="H539" i="38"/>
  <c r="H540" i="38"/>
  <c r="H541" i="38"/>
  <c r="H542" i="38"/>
  <c r="H543" i="38"/>
  <c r="H544" i="38"/>
  <c r="H545" i="38"/>
  <c r="H546" i="38"/>
  <c r="H547" i="38"/>
  <c r="H548" i="38"/>
  <c r="H549" i="38"/>
  <c r="H550" i="38"/>
  <c r="H551" i="38"/>
  <c r="H552" i="38"/>
  <c r="H553" i="38"/>
  <c r="H554" i="38"/>
  <c r="H555" i="38"/>
  <c r="H556" i="38"/>
  <c r="H557" i="38"/>
  <c r="H558" i="38"/>
  <c r="H559" i="38"/>
  <c r="H560" i="38"/>
  <c r="H561" i="38"/>
  <c r="H562" i="38"/>
  <c r="H563" i="38"/>
  <c r="H564" i="38"/>
  <c r="H565" i="38"/>
  <c r="H566" i="38"/>
  <c r="H567" i="38"/>
  <c r="H568" i="38"/>
  <c r="H569" i="38"/>
  <c r="H570" i="38"/>
  <c r="H571" i="38"/>
  <c r="H572" i="38"/>
  <c r="H573" i="38"/>
  <c r="H574" i="38"/>
  <c r="H575" i="38"/>
  <c r="H576" i="38"/>
  <c r="H577" i="38"/>
  <c r="H578" i="38"/>
  <c r="H579" i="38"/>
  <c r="H580" i="38"/>
  <c r="H581" i="38"/>
  <c r="H582" i="38"/>
  <c r="H583" i="38"/>
  <c r="H585" i="38"/>
  <c r="H586" i="38"/>
  <c r="H587" i="38"/>
  <c r="H588" i="38"/>
  <c r="H589" i="38"/>
  <c r="H590" i="38"/>
  <c r="H591" i="38"/>
  <c r="H592" i="38"/>
  <c r="H593" i="38"/>
  <c r="H594" i="38"/>
  <c r="H595" i="38"/>
  <c r="H596" i="38"/>
  <c r="H597" i="38"/>
  <c r="H598" i="38"/>
  <c r="H599" i="38"/>
  <c r="H600" i="38"/>
  <c r="H601" i="38"/>
  <c r="H602" i="38"/>
  <c r="H603" i="38"/>
  <c r="H604" i="38"/>
  <c r="H605" i="38"/>
  <c r="H606" i="38"/>
  <c r="H607" i="38"/>
  <c r="G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G10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70" i="38"/>
  <c r="G171" i="38"/>
  <c r="G172" i="38"/>
  <c r="G173" i="38"/>
  <c r="G174" i="38"/>
  <c r="G175" i="38"/>
  <c r="G176" i="38"/>
  <c r="G177" i="38"/>
  <c r="G178" i="38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G201" i="38"/>
  <c r="G202" i="38"/>
  <c r="G203" i="38"/>
  <c r="G204" i="38"/>
  <c r="G205" i="38"/>
  <c r="G206" i="38"/>
  <c r="G207" i="38"/>
  <c r="G208" i="38"/>
  <c r="G209" i="38"/>
  <c r="G210" i="38"/>
  <c r="G211" i="38"/>
  <c r="G212" i="38"/>
  <c r="G213" i="38"/>
  <c r="G214" i="38"/>
  <c r="G215" i="38"/>
  <c r="G216" i="38"/>
  <c r="G217" i="38"/>
  <c r="G218" i="38"/>
  <c r="G219" i="38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431" i="38"/>
  <c r="G432" i="38"/>
  <c r="G433" i="38"/>
  <c r="G434" i="38"/>
  <c r="G435" i="38"/>
  <c r="G436" i="38"/>
  <c r="G437" i="38"/>
  <c r="G438" i="38"/>
  <c r="G439" i="38"/>
  <c r="G440" i="38"/>
  <c r="G441" i="38"/>
  <c r="G442" i="38"/>
  <c r="G443" i="38"/>
  <c r="G444" i="38"/>
  <c r="G445" i="38"/>
  <c r="G446" i="38"/>
  <c r="G447" i="38"/>
  <c r="G448" i="38"/>
  <c r="G449" i="38"/>
  <c r="G450" i="38"/>
  <c r="G451" i="38"/>
  <c r="G452" i="38"/>
  <c r="G453" i="38"/>
  <c r="G454" i="38"/>
  <c r="G455" i="38"/>
  <c r="G456" i="38"/>
  <c r="G457" i="38"/>
  <c r="G458" i="38"/>
  <c r="G459" i="38"/>
  <c r="G460" i="38"/>
  <c r="G461" i="38"/>
  <c r="G462" i="38"/>
  <c r="G463" i="38"/>
  <c r="G464" i="38"/>
  <c r="G465" i="38"/>
  <c r="G466" i="38"/>
  <c r="G467" i="38"/>
  <c r="G468" i="38"/>
  <c r="G469" i="38"/>
  <c r="G470" i="38"/>
  <c r="G471" i="38"/>
  <c r="G472" i="38"/>
  <c r="G473" i="38"/>
  <c r="G474" i="38"/>
  <c r="G475" i="38"/>
  <c r="G476" i="38"/>
  <c r="G477" i="38"/>
  <c r="G478" i="38"/>
  <c r="G479" i="38"/>
  <c r="G480" i="38"/>
  <c r="G481" i="38"/>
  <c r="G482" i="38"/>
  <c r="G483" i="38"/>
  <c r="G484" i="38"/>
  <c r="G485" i="38"/>
  <c r="G486" i="38"/>
  <c r="G487" i="38"/>
  <c r="G488" i="38"/>
  <c r="G489" i="38"/>
  <c r="G490" i="38"/>
  <c r="G491" i="38"/>
  <c r="G492" i="38"/>
  <c r="G493" i="38"/>
  <c r="G494" i="38"/>
  <c r="G495" i="38"/>
  <c r="G496" i="38"/>
  <c r="G497" i="38"/>
  <c r="G498" i="38"/>
  <c r="G499" i="38"/>
  <c r="G500" i="38"/>
  <c r="G501" i="38"/>
  <c r="G502" i="38"/>
  <c r="G503" i="38"/>
  <c r="G504" i="38"/>
  <c r="G505" i="38"/>
  <c r="G506" i="38"/>
  <c r="G507" i="38"/>
  <c r="G508" i="38"/>
  <c r="G509" i="38"/>
  <c r="G510" i="38"/>
  <c r="G511" i="38"/>
  <c r="G512" i="38"/>
  <c r="G513" i="38"/>
  <c r="G514" i="38"/>
  <c r="G515" i="38"/>
  <c r="G516" i="38"/>
  <c r="G517" i="38"/>
  <c r="G518" i="38"/>
  <c r="G519" i="38"/>
  <c r="G520" i="38"/>
  <c r="G521" i="38"/>
  <c r="G522" i="38"/>
  <c r="G523" i="38"/>
  <c r="G524" i="38"/>
  <c r="G525" i="38"/>
  <c r="G526" i="38"/>
  <c r="G527" i="38"/>
  <c r="G528" i="38"/>
  <c r="G529" i="38"/>
  <c r="G530" i="38"/>
  <c r="G531" i="38"/>
  <c r="G532" i="38"/>
  <c r="G533" i="38"/>
  <c r="G534" i="38"/>
  <c r="G535" i="38"/>
  <c r="G536" i="38"/>
  <c r="G537" i="38"/>
  <c r="G538" i="38"/>
  <c r="G539" i="38"/>
  <c r="G540" i="38"/>
  <c r="G541" i="38"/>
  <c r="G542" i="38"/>
  <c r="G543" i="38"/>
  <c r="G544" i="38"/>
  <c r="G545" i="38"/>
  <c r="G546" i="38"/>
  <c r="G547" i="38"/>
  <c r="G548" i="38"/>
  <c r="G549" i="38"/>
  <c r="G550" i="38"/>
  <c r="G551" i="38"/>
  <c r="G552" i="38"/>
  <c r="G553" i="38"/>
  <c r="G554" i="38"/>
  <c r="G555" i="38"/>
  <c r="G556" i="38"/>
  <c r="G557" i="38"/>
  <c r="G558" i="38"/>
  <c r="G559" i="38"/>
  <c r="G560" i="38"/>
  <c r="G561" i="38"/>
  <c r="G562" i="38"/>
  <c r="G563" i="38"/>
  <c r="G564" i="38"/>
  <c r="G565" i="38"/>
  <c r="G566" i="38"/>
  <c r="G567" i="38"/>
  <c r="G568" i="38"/>
  <c r="G569" i="38"/>
  <c r="G570" i="38"/>
  <c r="G571" i="38"/>
  <c r="G572" i="38"/>
  <c r="G573" i="38"/>
  <c r="G574" i="38"/>
  <c r="G575" i="38"/>
  <c r="G576" i="38"/>
  <c r="G577" i="38"/>
  <c r="G578" i="38"/>
  <c r="G579" i="38"/>
  <c r="G580" i="38"/>
  <c r="G581" i="38"/>
  <c r="G582" i="38"/>
  <c r="G583" i="38"/>
  <c r="G585" i="38"/>
  <c r="G586" i="38"/>
  <c r="G587" i="38"/>
  <c r="G588" i="38"/>
  <c r="G589" i="38"/>
  <c r="G590" i="38"/>
  <c r="G591" i="38"/>
  <c r="G592" i="38"/>
  <c r="G593" i="38"/>
  <c r="G594" i="38"/>
  <c r="G595" i="38"/>
  <c r="G596" i="38"/>
  <c r="G597" i="38"/>
  <c r="G598" i="38"/>
  <c r="G599" i="38"/>
  <c r="G600" i="38"/>
  <c r="G601" i="38"/>
  <c r="G602" i="38"/>
  <c r="G603" i="38"/>
  <c r="G604" i="38"/>
  <c r="G605" i="38"/>
  <c r="G606" i="38"/>
  <c r="G607" i="38"/>
  <c r="F2" i="38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1" i="38"/>
  <c r="F92" i="38"/>
  <c r="F93" i="38"/>
  <c r="F94" i="38"/>
  <c r="F95" i="38"/>
  <c r="F96" i="38"/>
  <c r="F97" i="38"/>
  <c r="F98" i="38"/>
  <c r="F99" i="38"/>
  <c r="F100" i="38"/>
  <c r="F101" i="38"/>
  <c r="F102" i="38"/>
  <c r="F103" i="38"/>
  <c r="F104" i="38"/>
  <c r="F105" i="38"/>
  <c r="F106" i="38"/>
  <c r="F107" i="38"/>
  <c r="F108" i="38"/>
  <c r="F109" i="38"/>
  <c r="F110" i="38"/>
  <c r="F111" i="38"/>
  <c r="F112" i="38"/>
  <c r="F113" i="38"/>
  <c r="F114" i="38"/>
  <c r="F115" i="38"/>
  <c r="F116" i="38"/>
  <c r="F117" i="38"/>
  <c r="F118" i="38"/>
  <c r="F119" i="38"/>
  <c r="F120" i="38"/>
  <c r="F121" i="38"/>
  <c r="F122" i="38"/>
  <c r="F123" i="38"/>
  <c r="F124" i="38"/>
  <c r="F125" i="38"/>
  <c r="F126" i="38"/>
  <c r="F127" i="38"/>
  <c r="F12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4" i="38"/>
  <c r="F155" i="38"/>
  <c r="F156" i="38"/>
  <c r="F157" i="38"/>
  <c r="F158" i="38"/>
  <c r="F159" i="38"/>
  <c r="F160" i="38"/>
  <c r="F161" i="38"/>
  <c r="F162" i="38"/>
  <c r="F163" i="38"/>
  <c r="F164" i="38"/>
  <c r="F165" i="38"/>
  <c r="F166" i="38"/>
  <c r="F167" i="38"/>
  <c r="F170" i="38"/>
  <c r="F171" i="38"/>
  <c r="F172" i="38"/>
  <c r="F173" i="38"/>
  <c r="F174" i="38"/>
  <c r="F175" i="38"/>
  <c r="F176" i="38"/>
  <c r="F177" i="38"/>
  <c r="F178" i="38"/>
  <c r="F179" i="38"/>
  <c r="F180" i="38"/>
  <c r="F181" i="38"/>
  <c r="F182" i="38"/>
  <c r="F183" i="38"/>
  <c r="F184" i="38"/>
  <c r="F185" i="38"/>
  <c r="F186" i="38"/>
  <c r="F187" i="38"/>
  <c r="F18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210" i="38"/>
  <c r="F211" i="38"/>
  <c r="F212" i="38"/>
  <c r="F213" i="38"/>
  <c r="F214" i="38"/>
  <c r="F215" i="38"/>
  <c r="F216" i="38"/>
  <c r="F217" i="38"/>
  <c r="F218" i="38"/>
  <c r="F219" i="38"/>
  <c r="F220" i="38"/>
  <c r="F221" i="38"/>
  <c r="F222" i="38"/>
  <c r="F223" i="38"/>
  <c r="F224" i="38"/>
  <c r="F225" i="38"/>
  <c r="F226" i="38"/>
  <c r="F227" i="38"/>
  <c r="F228" i="38"/>
  <c r="F229" i="38"/>
  <c r="F230" i="38"/>
  <c r="F231" i="38"/>
  <c r="F232" i="38"/>
  <c r="F233" i="38"/>
  <c r="F234" i="38"/>
  <c r="F235" i="38"/>
  <c r="F236" i="38"/>
  <c r="F237" i="38"/>
  <c r="F238" i="38"/>
  <c r="F239" i="38"/>
  <c r="F240" i="38"/>
  <c r="F241" i="38"/>
  <c r="F242" i="38"/>
  <c r="F243" i="38"/>
  <c r="F244" i="38"/>
  <c r="F245" i="38"/>
  <c r="F246" i="38"/>
  <c r="F247" i="38"/>
  <c r="F248" i="38"/>
  <c r="F249" i="38"/>
  <c r="F250" i="38"/>
  <c r="F251" i="38"/>
  <c r="F252" i="38"/>
  <c r="F253" i="38"/>
  <c r="F254" i="38"/>
  <c r="F255" i="38"/>
  <c r="F256" i="38"/>
  <c r="F257" i="38"/>
  <c r="F258" i="38"/>
  <c r="F259" i="38"/>
  <c r="F260" i="38"/>
  <c r="F261" i="38"/>
  <c r="F262" i="38"/>
  <c r="F263" i="38"/>
  <c r="F264" i="38"/>
  <c r="F265" i="38"/>
  <c r="F266" i="38"/>
  <c r="F267" i="38"/>
  <c r="F268" i="38"/>
  <c r="F269" i="38"/>
  <c r="F270" i="38"/>
  <c r="F271" i="38"/>
  <c r="F272" i="38"/>
  <c r="F273" i="38"/>
  <c r="F274" i="38"/>
  <c r="F275" i="38"/>
  <c r="F276" i="38"/>
  <c r="F277" i="38"/>
  <c r="F278" i="38"/>
  <c r="F279" i="38"/>
  <c r="F280" i="38"/>
  <c r="F281" i="38"/>
  <c r="F282" i="38"/>
  <c r="F283" i="38"/>
  <c r="F284" i="38"/>
  <c r="F285" i="38"/>
  <c r="F286" i="38"/>
  <c r="F287" i="38"/>
  <c r="F288" i="38"/>
  <c r="F289" i="38"/>
  <c r="F290" i="38"/>
  <c r="F291" i="38"/>
  <c r="F292" i="38"/>
  <c r="F293" i="38"/>
  <c r="F294" i="38"/>
  <c r="F295" i="38"/>
  <c r="F296" i="38"/>
  <c r="F297" i="38"/>
  <c r="F298" i="38"/>
  <c r="F299" i="38"/>
  <c r="F300" i="38"/>
  <c r="F301" i="38"/>
  <c r="F302" i="38"/>
  <c r="F303" i="38"/>
  <c r="F304" i="38"/>
  <c r="F305" i="38"/>
  <c r="F306" i="38"/>
  <c r="F307" i="38"/>
  <c r="F308" i="38"/>
  <c r="F309" i="38"/>
  <c r="F310" i="38"/>
  <c r="F311" i="38"/>
  <c r="F312" i="38"/>
  <c r="F313" i="38"/>
  <c r="F314" i="38"/>
  <c r="F315" i="38"/>
  <c r="F316" i="38"/>
  <c r="F317" i="38"/>
  <c r="F318" i="38"/>
  <c r="F319" i="38"/>
  <c r="F320" i="38"/>
  <c r="F321" i="38"/>
  <c r="F322" i="38"/>
  <c r="F323" i="38"/>
  <c r="F324" i="38"/>
  <c r="F325" i="38"/>
  <c r="F326" i="38"/>
  <c r="F327" i="38"/>
  <c r="F328" i="38"/>
  <c r="F329" i="38"/>
  <c r="F330" i="38"/>
  <c r="F331" i="38"/>
  <c r="F332" i="38"/>
  <c r="F333" i="38"/>
  <c r="F334" i="38"/>
  <c r="F335" i="38"/>
  <c r="F336" i="38"/>
  <c r="F337" i="38"/>
  <c r="F338" i="38"/>
  <c r="F339" i="38"/>
  <c r="F340" i="38"/>
  <c r="F341" i="38"/>
  <c r="F342" i="38"/>
  <c r="F343" i="38"/>
  <c r="F344" i="38"/>
  <c r="F345" i="38"/>
  <c r="F346" i="38"/>
  <c r="F347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60" i="38"/>
  <c r="F361" i="38"/>
  <c r="F362" i="38"/>
  <c r="F363" i="38"/>
  <c r="F364" i="38"/>
  <c r="F365" i="38"/>
  <c r="F366" i="38"/>
  <c r="F367" i="38"/>
  <c r="F368" i="38"/>
  <c r="F369" i="38"/>
  <c r="F370" i="38"/>
  <c r="F371" i="38"/>
  <c r="F372" i="38"/>
  <c r="F373" i="38"/>
  <c r="F374" i="38"/>
  <c r="F375" i="38"/>
  <c r="F376" i="38"/>
  <c r="F377" i="38"/>
  <c r="F378" i="38"/>
  <c r="F379" i="38"/>
  <c r="F380" i="38"/>
  <c r="F381" i="38"/>
  <c r="F382" i="38"/>
  <c r="F383" i="38"/>
  <c r="F384" i="38"/>
  <c r="F385" i="38"/>
  <c r="F386" i="38"/>
  <c r="F387" i="38"/>
  <c r="F388" i="38"/>
  <c r="F389" i="38"/>
  <c r="F390" i="38"/>
  <c r="F391" i="38"/>
  <c r="F392" i="38"/>
  <c r="F393" i="38"/>
  <c r="F394" i="38"/>
  <c r="F395" i="38"/>
  <c r="F396" i="38"/>
  <c r="F397" i="38"/>
  <c r="F398" i="38"/>
  <c r="F399" i="38"/>
  <c r="F400" i="38"/>
  <c r="F401" i="38"/>
  <c r="F402" i="38"/>
  <c r="F403" i="38"/>
  <c r="F404" i="38"/>
  <c r="F405" i="38"/>
  <c r="F406" i="38"/>
  <c r="F407" i="38"/>
  <c r="F408" i="38"/>
  <c r="F409" i="38"/>
  <c r="F410" i="38"/>
  <c r="F411" i="38"/>
  <c r="F412" i="38"/>
  <c r="F413" i="38"/>
  <c r="F414" i="38"/>
  <c r="F415" i="38"/>
  <c r="F416" i="38"/>
  <c r="F417" i="38"/>
  <c r="F418" i="38"/>
  <c r="F419" i="38"/>
  <c r="F420" i="38"/>
  <c r="F421" i="38"/>
  <c r="F422" i="38"/>
  <c r="F423" i="38"/>
  <c r="F424" i="38"/>
  <c r="F425" i="38"/>
  <c r="F426" i="38"/>
  <c r="F427" i="38"/>
  <c r="F428" i="38"/>
  <c r="F429" i="38"/>
  <c r="F430" i="38"/>
  <c r="F431" i="38"/>
  <c r="F432" i="38"/>
  <c r="F433" i="38"/>
  <c r="F434" i="38"/>
  <c r="F435" i="38"/>
  <c r="F436" i="38"/>
  <c r="F437" i="38"/>
  <c r="F438" i="38"/>
  <c r="F439" i="38"/>
  <c r="F440" i="38"/>
  <c r="F441" i="38"/>
  <c r="F442" i="38"/>
  <c r="F443" i="38"/>
  <c r="F444" i="38"/>
  <c r="F445" i="38"/>
  <c r="F446" i="38"/>
  <c r="F447" i="38"/>
  <c r="F448" i="38"/>
  <c r="F449" i="38"/>
  <c r="F450" i="38"/>
  <c r="F451" i="38"/>
  <c r="F452" i="38"/>
  <c r="F453" i="38"/>
  <c r="F454" i="38"/>
  <c r="F455" i="38"/>
  <c r="F456" i="38"/>
  <c r="F457" i="38"/>
  <c r="F458" i="38"/>
  <c r="F459" i="38"/>
  <c r="F460" i="38"/>
  <c r="F461" i="38"/>
  <c r="F462" i="38"/>
  <c r="F463" i="38"/>
  <c r="F464" i="38"/>
  <c r="F465" i="38"/>
  <c r="F466" i="38"/>
  <c r="F467" i="38"/>
  <c r="F468" i="38"/>
  <c r="F469" i="38"/>
  <c r="F470" i="38"/>
  <c r="F471" i="38"/>
  <c r="F472" i="38"/>
  <c r="F473" i="38"/>
  <c r="F474" i="38"/>
  <c r="F475" i="38"/>
  <c r="F476" i="38"/>
  <c r="F477" i="38"/>
  <c r="F478" i="38"/>
  <c r="F479" i="38"/>
  <c r="F480" i="38"/>
  <c r="F481" i="38"/>
  <c r="F482" i="38"/>
  <c r="F483" i="38"/>
  <c r="F484" i="38"/>
  <c r="F485" i="38"/>
  <c r="F486" i="38"/>
  <c r="F487" i="38"/>
  <c r="F488" i="38"/>
  <c r="F489" i="38"/>
  <c r="F490" i="38"/>
  <c r="F491" i="38"/>
  <c r="F492" i="38"/>
  <c r="F493" i="38"/>
  <c r="F494" i="38"/>
  <c r="F495" i="38"/>
  <c r="F496" i="38"/>
  <c r="F497" i="38"/>
  <c r="F498" i="38"/>
  <c r="F499" i="38"/>
  <c r="F500" i="38"/>
  <c r="F501" i="38"/>
  <c r="F502" i="38"/>
  <c r="F503" i="38"/>
  <c r="F504" i="38"/>
  <c r="F505" i="38"/>
  <c r="F506" i="38"/>
  <c r="F507" i="38"/>
  <c r="F508" i="38"/>
  <c r="F509" i="38"/>
  <c r="F510" i="38"/>
  <c r="F511" i="38"/>
  <c r="F512" i="38"/>
  <c r="F513" i="38"/>
  <c r="F514" i="38"/>
  <c r="F515" i="38"/>
  <c r="F516" i="38"/>
  <c r="F517" i="38"/>
  <c r="F518" i="38"/>
  <c r="F519" i="38"/>
  <c r="F520" i="38"/>
  <c r="F521" i="38"/>
  <c r="F522" i="38"/>
  <c r="F523" i="38"/>
  <c r="F524" i="38"/>
  <c r="F525" i="38"/>
  <c r="F526" i="38"/>
  <c r="F527" i="38"/>
  <c r="F528" i="38"/>
  <c r="F529" i="38"/>
  <c r="F530" i="38"/>
  <c r="F531" i="38"/>
  <c r="F532" i="38"/>
  <c r="F533" i="38"/>
  <c r="F534" i="38"/>
  <c r="F535" i="38"/>
  <c r="F536" i="38"/>
  <c r="F537" i="38"/>
  <c r="F538" i="38"/>
  <c r="F539" i="38"/>
  <c r="F540" i="38"/>
  <c r="F541" i="38"/>
  <c r="F542" i="38"/>
  <c r="F543" i="38"/>
  <c r="F544" i="38"/>
  <c r="F545" i="38"/>
  <c r="F546" i="38"/>
  <c r="F547" i="38"/>
  <c r="F548" i="38"/>
  <c r="F549" i="38"/>
  <c r="F550" i="38"/>
  <c r="F551" i="38"/>
  <c r="F552" i="38"/>
  <c r="F553" i="38"/>
  <c r="F554" i="38"/>
  <c r="F555" i="38"/>
  <c r="F556" i="38"/>
  <c r="F557" i="38"/>
  <c r="F558" i="38"/>
  <c r="F559" i="38"/>
  <c r="F560" i="38"/>
  <c r="F561" i="38"/>
  <c r="F562" i="38"/>
  <c r="F563" i="38"/>
  <c r="F564" i="38"/>
  <c r="F565" i="38"/>
  <c r="F566" i="38"/>
  <c r="F567" i="38"/>
  <c r="F568" i="38"/>
  <c r="F569" i="38"/>
  <c r="F570" i="38"/>
  <c r="F571" i="38"/>
  <c r="F572" i="38"/>
  <c r="F573" i="38"/>
  <c r="F574" i="38"/>
  <c r="F575" i="38"/>
  <c r="F576" i="38"/>
  <c r="F577" i="38"/>
  <c r="F578" i="38"/>
  <c r="F579" i="38"/>
  <c r="F580" i="38"/>
  <c r="F581" i="38"/>
  <c r="F582" i="38"/>
  <c r="F583" i="38"/>
  <c r="F585" i="38"/>
  <c r="F586" i="38"/>
  <c r="F587" i="38"/>
  <c r="F588" i="38"/>
  <c r="F589" i="38"/>
  <c r="F590" i="38"/>
  <c r="F591" i="38"/>
  <c r="F592" i="38"/>
  <c r="F593" i="38"/>
  <c r="F594" i="38"/>
  <c r="F595" i="38"/>
  <c r="F596" i="38"/>
  <c r="F597" i="38"/>
  <c r="F598" i="38"/>
  <c r="F599" i="38"/>
  <c r="F600" i="38"/>
  <c r="F601" i="38"/>
  <c r="F602" i="38"/>
  <c r="F603" i="38"/>
  <c r="F604" i="38"/>
  <c r="F605" i="38"/>
  <c r="F606" i="38"/>
  <c r="F607" i="38"/>
  <c r="D2" i="38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109" i="38"/>
  <c r="D110" i="38"/>
  <c r="D111" i="38"/>
  <c r="D112" i="38"/>
  <c r="D113" i="38"/>
  <c r="D114" i="38"/>
  <c r="D115" i="38"/>
  <c r="D116" i="38"/>
  <c r="D117" i="38"/>
  <c r="D118" i="38"/>
  <c r="D119" i="38"/>
  <c r="D120" i="38"/>
  <c r="D121" i="38"/>
  <c r="D122" i="38"/>
  <c r="D123" i="38"/>
  <c r="D124" i="38"/>
  <c r="D125" i="38"/>
  <c r="D126" i="38"/>
  <c r="D127" i="38"/>
  <c r="D128" i="38"/>
  <c r="D129" i="38"/>
  <c r="D130" i="38"/>
  <c r="D131" i="38"/>
  <c r="D132" i="38"/>
  <c r="D133" i="38"/>
  <c r="D134" i="38"/>
  <c r="D135" i="38"/>
  <c r="D136" i="38"/>
  <c r="D137" i="38"/>
  <c r="D138" i="38"/>
  <c r="D139" i="38"/>
  <c r="D140" i="38"/>
  <c r="D141" i="38"/>
  <c r="D142" i="38"/>
  <c r="D143" i="38"/>
  <c r="D144" i="38"/>
  <c r="D145" i="38"/>
  <c r="D146" i="38"/>
  <c r="D147" i="38"/>
  <c r="D148" i="38"/>
  <c r="D149" i="38"/>
  <c r="D150" i="38"/>
  <c r="D151" i="38"/>
  <c r="D152" i="38"/>
  <c r="D153" i="38"/>
  <c r="D154" i="38"/>
  <c r="D155" i="38"/>
  <c r="D156" i="38"/>
  <c r="D157" i="38"/>
  <c r="D158" i="38"/>
  <c r="D159" i="38"/>
  <c r="D160" i="38"/>
  <c r="D161" i="38"/>
  <c r="D162" i="38"/>
  <c r="D163" i="38"/>
  <c r="D164" i="38"/>
  <c r="D165" i="38"/>
  <c r="D166" i="38"/>
  <c r="D167" i="38"/>
  <c r="D170" i="38"/>
  <c r="D171" i="38"/>
  <c r="D172" i="38"/>
  <c r="D173" i="38"/>
  <c r="D174" i="38"/>
  <c r="D175" i="38"/>
  <c r="D176" i="38"/>
  <c r="D177" i="38"/>
  <c r="D178" i="38"/>
  <c r="D179" i="38"/>
  <c r="D180" i="38"/>
  <c r="D181" i="38"/>
  <c r="D182" i="38"/>
  <c r="D183" i="38"/>
  <c r="D184" i="38"/>
  <c r="D185" i="38"/>
  <c r="D186" i="38"/>
  <c r="D187" i="38"/>
  <c r="D188" i="38"/>
  <c r="D189" i="38"/>
  <c r="D190" i="38"/>
  <c r="D191" i="38"/>
  <c r="D192" i="38"/>
  <c r="D193" i="38"/>
  <c r="D194" i="38"/>
  <c r="D195" i="38"/>
  <c r="D196" i="38"/>
  <c r="D197" i="38"/>
  <c r="D198" i="38"/>
  <c r="D199" i="38"/>
  <c r="D200" i="38"/>
  <c r="D201" i="38"/>
  <c r="D202" i="38"/>
  <c r="D203" i="38"/>
  <c r="D204" i="38"/>
  <c r="D205" i="38"/>
  <c r="D206" i="38"/>
  <c r="D207" i="38"/>
  <c r="D208" i="38"/>
  <c r="D209" i="38"/>
  <c r="D210" i="38"/>
  <c r="D211" i="38"/>
  <c r="D212" i="38"/>
  <c r="D213" i="38"/>
  <c r="D214" i="38"/>
  <c r="D215" i="38"/>
  <c r="D216" i="38"/>
  <c r="D217" i="38"/>
  <c r="D218" i="38"/>
  <c r="D219" i="38"/>
  <c r="D220" i="38"/>
  <c r="D221" i="38"/>
  <c r="D222" i="38"/>
  <c r="D223" i="38"/>
  <c r="D224" i="38"/>
  <c r="D225" i="38"/>
  <c r="D226" i="38"/>
  <c r="D227" i="38"/>
  <c r="D228" i="38"/>
  <c r="D229" i="38"/>
  <c r="D230" i="38"/>
  <c r="D231" i="38"/>
  <c r="D232" i="38"/>
  <c r="D233" i="38"/>
  <c r="D234" i="38"/>
  <c r="D235" i="38"/>
  <c r="D236" i="38"/>
  <c r="D237" i="38"/>
  <c r="D238" i="38"/>
  <c r="D239" i="38"/>
  <c r="D240" i="38"/>
  <c r="D241" i="38"/>
  <c r="D242" i="38"/>
  <c r="D243" i="38"/>
  <c r="D244" i="38"/>
  <c r="D245" i="38"/>
  <c r="D246" i="38"/>
  <c r="D247" i="38"/>
  <c r="D248" i="38"/>
  <c r="D249" i="38"/>
  <c r="D250" i="38"/>
  <c r="D251" i="38"/>
  <c r="D252" i="38"/>
  <c r="D253" i="38"/>
  <c r="D254" i="38"/>
  <c r="D255" i="38"/>
  <c r="D256" i="38"/>
  <c r="D257" i="38"/>
  <c r="D258" i="38"/>
  <c r="D259" i="38"/>
  <c r="D260" i="38"/>
  <c r="D261" i="38"/>
  <c r="D262" i="38"/>
  <c r="D263" i="38"/>
  <c r="D264" i="38"/>
  <c r="D265" i="38"/>
  <c r="D266" i="38"/>
  <c r="D267" i="38"/>
  <c r="D268" i="38"/>
  <c r="D269" i="38"/>
  <c r="D270" i="38"/>
  <c r="D271" i="38"/>
  <c r="D272" i="38"/>
  <c r="D273" i="38"/>
  <c r="D274" i="38"/>
  <c r="D275" i="38"/>
  <c r="D276" i="38"/>
  <c r="D277" i="38"/>
  <c r="D278" i="38"/>
  <c r="D279" i="38"/>
  <c r="D280" i="38"/>
  <c r="D281" i="38"/>
  <c r="D282" i="38"/>
  <c r="D283" i="38"/>
  <c r="D284" i="38"/>
  <c r="D285" i="38"/>
  <c r="D286" i="38"/>
  <c r="D287" i="38"/>
  <c r="D288" i="38"/>
  <c r="D289" i="38"/>
  <c r="D290" i="38"/>
  <c r="D291" i="38"/>
  <c r="D292" i="38"/>
  <c r="D293" i="38"/>
  <c r="D294" i="38"/>
  <c r="D295" i="38"/>
  <c r="D296" i="38"/>
  <c r="D297" i="38"/>
  <c r="D298" i="38"/>
  <c r="D299" i="38"/>
  <c r="D300" i="38"/>
  <c r="D301" i="38"/>
  <c r="D302" i="38"/>
  <c r="D303" i="38"/>
  <c r="D304" i="38"/>
  <c r="D305" i="38"/>
  <c r="D306" i="38"/>
  <c r="D307" i="38"/>
  <c r="D308" i="38"/>
  <c r="D309" i="38"/>
  <c r="D310" i="38"/>
  <c r="D311" i="38"/>
  <c r="D312" i="38"/>
  <c r="D313" i="38"/>
  <c r="D314" i="38"/>
  <c r="D315" i="38"/>
  <c r="D316" i="38"/>
  <c r="D317" i="38"/>
  <c r="D318" i="38"/>
  <c r="D319" i="38"/>
  <c r="D320" i="38"/>
  <c r="D321" i="38"/>
  <c r="D322" i="38"/>
  <c r="D323" i="38"/>
  <c r="D324" i="38"/>
  <c r="D325" i="38"/>
  <c r="D326" i="38"/>
  <c r="D327" i="38"/>
  <c r="D328" i="38"/>
  <c r="D329" i="38"/>
  <c r="D330" i="38"/>
  <c r="D331" i="38"/>
  <c r="D332" i="38"/>
  <c r="D333" i="38"/>
  <c r="D334" i="38"/>
  <c r="D335" i="38"/>
  <c r="D336" i="38"/>
  <c r="D337" i="38"/>
  <c r="D338" i="38"/>
  <c r="D339" i="38"/>
  <c r="D340" i="38"/>
  <c r="D341" i="38"/>
  <c r="D342" i="38"/>
  <c r="D343" i="38"/>
  <c r="D344" i="38"/>
  <c r="D345" i="38"/>
  <c r="D346" i="38"/>
  <c r="D347" i="38"/>
  <c r="D348" i="38"/>
  <c r="D349" i="38"/>
  <c r="D350" i="38"/>
  <c r="D351" i="38"/>
  <c r="D352" i="38"/>
  <c r="D353" i="38"/>
  <c r="D354" i="38"/>
  <c r="D355" i="38"/>
  <c r="D356" i="38"/>
  <c r="D357" i="38"/>
  <c r="D358" i="38"/>
  <c r="D359" i="38"/>
  <c r="D360" i="38"/>
  <c r="D361" i="38"/>
  <c r="D362" i="38"/>
  <c r="D363" i="38"/>
  <c r="D364" i="38"/>
  <c r="D365" i="38"/>
  <c r="D366" i="38"/>
  <c r="D367" i="38"/>
  <c r="D368" i="38"/>
  <c r="D369" i="38"/>
  <c r="D370" i="38"/>
  <c r="D371" i="38"/>
  <c r="D372" i="38"/>
  <c r="D373" i="38"/>
  <c r="D374" i="38"/>
  <c r="D375" i="38"/>
  <c r="D376" i="38"/>
  <c r="D377" i="38"/>
  <c r="D378" i="38"/>
  <c r="D379" i="38"/>
  <c r="D380" i="38"/>
  <c r="D381" i="38"/>
  <c r="D382" i="38"/>
  <c r="D383" i="38"/>
  <c r="D384" i="38"/>
  <c r="D385" i="38"/>
  <c r="D386" i="38"/>
  <c r="D387" i="38"/>
  <c r="D388" i="38"/>
  <c r="D389" i="38"/>
  <c r="D390" i="38"/>
  <c r="D391" i="38"/>
  <c r="D392" i="38"/>
  <c r="D393" i="38"/>
  <c r="D394" i="38"/>
  <c r="D395" i="38"/>
  <c r="D396" i="38"/>
  <c r="D397" i="38"/>
  <c r="D398" i="38"/>
  <c r="D399" i="38"/>
  <c r="D400" i="38"/>
  <c r="D401" i="38"/>
  <c r="D402" i="38"/>
  <c r="D403" i="38"/>
  <c r="D404" i="38"/>
  <c r="D405" i="38"/>
  <c r="D406" i="38"/>
  <c r="D407" i="38"/>
  <c r="D408" i="38"/>
  <c r="D409" i="38"/>
  <c r="D410" i="38"/>
  <c r="D411" i="38"/>
  <c r="D412" i="38"/>
  <c r="D413" i="38"/>
  <c r="D414" i="38"/>
  <c r="D415" i="38"/>
  <c r="D416" i="38"/>
  <c r="D417" i="38"/>
  <c r="D418" i="38"/>
  <c r="D419" i="38"/>
  <c r="D420" i="38"/>
  <c r="D421" i="38"/>
  <c r="D422" i="38"/>
  <c r="D423" i="38"/>
  <c r="D424" i="38"/>
  <c r="D425" i="38"/>
  <c r="D426" i="38"/>
  <c r="D427" i="38"/>
  <c r="D428" i="38"/>
  <c r="D429" i="38"/>
  <c r="D430" i="38"/>
  <c r="D431" i="38"/>
  <c r="D432" i="38"/>
  <c r="D433" i="38"/>
  <c r="D434" i="38"/>
  <c r="D435" i="38"/>
  <c r="D436" i="38"/>
  <c r="D437" i="38"/>
  <c r="D438" i="38"/>
  <c r="D439" i="38"/>
  <c r="D440" i="38"/>
  <c r="D441" i="38"/>
  <c r="D442" i="38"/>
  <c r="D443" i="38"/>
  <c r="D444" i="38"/>
  <c r="D445" i="38"/>
  <c r="D446" i="38"/>
  <c r="D447" i="38"/>
  <c r="D448" i="38"/>
  <c r="D449" i="38"/>
  <c r="D450" i="38"/>
  <c r="D451" i="38"/>
  <c r="D452" i="38"/>
  <c r="D453" i="38"/>
  <c r="D454" i="38"/>
  <c r="D455" i="38"/>
  <c r="D456" i="38"/>
  <c r="D457" i="38"/>
  <c r="D458" i="38"/>
  <c r="D459" i="38"/>
  <c r="D460" i="38"/>
  <c r="D461" i="38"/>
  <c r="D462" i="38"/>
  <c r="D463" i="38"/>
  <c r="D464" i="38"/>
  <c r="D465" i="38"/>
  <c r="D466" i="38"/>
  <c r="D467" i="38"/>
  <c r="D468" i="38"/>
  <c r="D469" i="38"/>
  <c r="D470" i="38"/>
  <c r="D471" i="38"/>
  <c r="D472" i="38"/>
  <c r="D473" i="38"/>
  <c r="D474" i="38"/>
  <c r="D475" i="38"/>
  <c r="D476" i="38"/>
  <c r="D477" i="38"/>
  <c r="D478" i="38"/>
  <c r="D479" i="38"/>
  <c r="D480" i="38"/>
  <c r="D481" i="38"/>
  <c r="D482" i="38"/>
  <c r="D483" i="38"/>
  <c r="D484" i="38"/>
  <c r="D485" i="38"/>
  <c r="D486" i="38"/>
  <c r="D487" i="38"/>
  <c r="D488" i="38"/>
  <c r="D489" i="38"/>
  <c r="D490" i="38"/>
  <c r="D491" i="38"/>
  <c r="D492" i="38"/>
  <c r="D493" i="38"/>
  <c r="D494" i="38"/>
  <c r="D495" i="38"/>
  <c r="D496" i="38"/>
  <c r="D497" i="38"/>
  <c r="D498" i="38"/>
  <c r="D499" i="38"/>
  <c r="D500" i="38"/>
  <c r="D501" i="38"/>
  <c r="D502" i="38"/>
  <c r="D503" i="38"/>
  <c r="D504" i="38"/>
  <c r="D505" i="38"/>
  <c r="D506" i="38"/>
  <c r="D507" i="38"/>
  <c r="D508" i="38"/>
  <c r="D509" i="38"/>
  <c r="D510" i="38"/>
  <c r="D511" i="38"/>
  <c r="D512" i="38"/>
  <c r="D513" i="38"/>
  <c r="D514" i="38"/>
  <c r="D515" i="38"/>
  <c r="D516" i="38"/>
  <c r="D517" i="38"/>
  <c r="D518" i="38"/>
  <c r="D519" i="38"/>
  <c r="D520" i="38"/>
  <c r="D521" i="38"/>
  <c r="D522" i="38"/>
  <c r="D523" i="38"/>
  <c r="D524" i="38"/>
  <c r="D525" i="38"/>
  <c r="D526" i="38"/>
  <c r="D527" i="38"/>
  <c r="D528" i="38"/>
  <c r="D529" i="38"/>
  <c r="D530" i="38"/>
  <c r="D531" i="38"/>
  <c r="D532" i="38"/>
  <c r="D533" i="38"/>
  <c r="D534" i="38"/>
  <c r="D535" i="38"/>
  <c r="D536" i="38"/>
  <c r="D537" i="38"/>
  <c r="D538" i="38"/>
  <c r="D539" i="38"/>
  <c r="D540" i="38"/>
  <c r="D541" i="38"/>
  <c r="D542" i="38"/>
  <c r="D543" i="38"/>
  <c r="D544" i="38"/>
  <c r="D545" i="38"/>
  <c r="D546" i="38"/>
  <c r="D547" i="38"/>
  <c r="D548" i="38"/>
  <c r="D549" i="38"/>
  <c r="D550" i="38"/>
  <c r="D551" i="38"/>
  <c r="D552" i="38"/>
  <c r="D553" i="38"/>
  <c r="D554" i="38"/>
  <c r="D555" i="38"/>
  <c r="D556" i="38"/>
  <c r="D557" i="38"/>
  <c r="D558" i="38"/>
  <c r="D559" i="38"/>
  <c r="D560" i="38"/>
  <c r="D561" i="38"/>
  <c r="D562" i="38"/>
  <c r="D563" i="38"/>
  <c r="D564" i="38"/>
  <c r="D565" i="38"/>
  <c r="D566" i="38"/>
  <c r="D567" i="38"/>
  <c r="D568" i="38"/>
  <c r="D569" i="38"/>
  <c r="D570" i="38"/>
  <c r="D571" i="38"/>
  <c r="D572" i="38"/>
  <c r="D573" i="38"/>
  <c r="D574" i="38"/>
  <c r="D575" i="38"/>
  <c r="D576" i="38"/>
  <c r="D577" i="38"/>
  <c r="D578" i="38"/>
  <c r="D579" i="38"/>
  <c r="D580" i="38"/>
  <c r="D581" i="38"/>
  <c r="D582" i="38"/>
  <c r="D583" i="38"/>
  <c r="D585" i="38"/>
  <c r="D586" i="38"/>
  <c r="D587" i="38"/>
  <c r="D588" i="38"/>
  <c r="D589" i="38"/>
  <c r="D590" i="38"/>
  <c r="D591" i="38"/>
  <c r="D592" i="38"/>
  <c r="D593" i="38"/>
  <c r="D594" i="38"/>
  <c r="D595" i="38"/>
  <c r="D596" i="38"/>
  <c r="D597" i="38"/>
  <c r="D598" i="38"/>
  <c r="D599" i="38"/>
  <c r="D600" i="38"/>
  <c r="D601" i="38"/>
  <c r="D602" i="38"/>
  <c r="D603" i="38"/>
  <c r="D604" i="38"/>
  <c r="D605" i="38"/>
  <c r="D606" i="38"/>
  <c r="D607" i="38"/>
  <c r="I8" i="27" l="1"/>
  <c r="I9" i="27"/>
  <c r="BG9" i="27" s="1"/>
  <c r="I10" i="27"/>
  <c r="BK10" i="27" s="1"/>
  <c r="I11" i="27"/>
  <c r="BG11" i="27" s="1"/>
  <c r="I12" i="27"/>
  <c r="BF12" i="27" s="1"/>
  <c r="I13" i="27"/>
  <c r="BG13" i="27" s="1"/>
  <c r="I14" i="27"/>
  <c r="BK14" i="27" s="1"/>
  <c r="I15" i="27"/>
  <c r="BK15" i="27" s="1"/>
  <c r="I16" i="27"/>
  <c r="BG16" i="27" s="1"/>
  <c r="I17" i="27"/>
  <c r="I18" i="27"/>
  <c r="I19" i="27"/>
  <c r="BK19" i="27" s="1"/>
  <c r="I20" i="27"/>
  <c r="I21" i="27"/>
  <c r="BK21" i="27" s="1"/>
  <c r="I22" i="27"/>
  <c r="I23" i="27"/>
  <c r="I24" i="27"/>
  <c r="I25" i="27"/>
  <c r="BG25" i="27" s="1"/>
  <c r="I26" i="27"/>
  <c r="BK26" i="27" s="1"/>
  <c r="I27" i="27"/>
  <c r="BK27" i="27" s="1"/>
  <c r="I28" i="27"/>
  <c r="BH28" i="27" s="1"/>
  <c r="I29" i="27"/>
  <c r="BH29" i="27" s="1"/>
  <c r="I30" i="27"/>
  <c r="BK30" i="27" s="1"/>
  <c r="I31" i="27"/>
  <c r="I32" i="27"/>
  <c r="BH32" i="27" s="1"/>
  <c r="I33" i="27"/>
  <c r="I34" i="27"/>
  <c r="BK34" i="27" s="1"/>
  <c r="I35" i="27"/>
  <c r="I36" i="27"/>
  <c r="BK36" i="27" s="1"/>
  <c r="I37" i="27"/>
  <c r="BK37" i="27" s="1"/>
  <c r="I38" i="27"/>
  <c r="I39" i="27"/>
  <c r="I40" i="27"/>
  <c r="I41" i="27"/>
  <c r="BG41" i="27" s="1"/>
  <c r="I42" i="27"/>
  <c r="BK42" i="27" s="1"/>
  <c r="I43" i="27"/>
  <c r="I44" i="27"/>
  <c r="BG44" i="27" s="1"/>
  <c r="I45" i="27"/>
  <c r="BG45" i="27" s="1"/>
  <c r="I46" i="27"/>
  <c r="I47" i="27"/>
  <c r="BH47" i="27" s="1"/>
  <c r="I48" i="27"/>
  <c r="BK48" i="27" s="1"/>
  <c r="I49" i="27"/>
  <c r="BF49" i="27" s="1"/>
  <c r="I50" i="27"/>
  <c r="BG50" i="27" s="1"/>
  <c r="I51" i="27"/>
  <c r="BH51" i="27" s="1"/>
  <c r="I52" i="27"/>
  <c r="BG52" i="27" s="1"/>
  <c r="I53" i="27"/>
  <c r="I54" i="27"/>
  <c r="I55" i="27"/>
  <c r="BI55" i="27" s="1"/>
  <c r="I56" i="27"/>
  <c r="I57" i="27"/>
  <c r="BG57" i="27" s="1"/>
  <c r="I58" i="27"/>
  <c r="BK58" i="27" s="1"/>
  <c r="I59" i="27"/>
  <c r="I62" i="27"/>
  <c r="BH62" i="27" s="1"/>
  <c r="I63" i="27"/>
  <c r="BI63" i="27" s="1"/>
  <c r="I64" i="27"/>
  <c r="BH64" i="27" s="1"/>
  <c r="I65" i="27"/>
  <c r="I66" i="27"/>
  <c r="BG66" i="27" s="1"/>
  <c r="I67" i="27"/>
  <c r="BH67" i="27" s="1"/>
  <c r="I68" i="27"/>
  <c r="I69" i="27"/>
  <c r="I70" i="27"/>
  <c r="BK70" i="27" s="1"/>
  <c r="I71" i="27"/>
  <c r="BK71" i="27" s="1"/>
  <c r="I72" i="27"/>
  <c r="I73" i="27"/>
  <c r="I74" i="27"/>
  <c r="I75" i="27"/>
  <c r="BF75" i="27" s="1"/>
  <c r="I81" i="27"/>
  <c r="I82" i="27"/>
  <c r="I83" i="27"/>
  <c r="BF83" i="27" s="1"/>
  <c r="I84" i="27"/>
  <c r="BG84" i="27" s="1"/>
  <c r="I85" i="27"/>
  <c r="BG85" i="27" s="1"/>
  <c r="I86" i="27"/>
  <c r="I87" i="27"/>
  <c r="BF87" i="27" s="1"/>
  <c r="I88" i="27"/>
  <c r="I89" i="27"/>
  <c r="BI89" i="27" s="1"/>
  <c r="I90" i="27"/>
  <c r="I91" i="27"/>
  <c r="BG91" i="27" s="1"/>
  <c r="I92" i="27"/>
  <c r="I93" i="27"/>
  <c r="I94" i="27"/>
  <c r="I95" i="27"/>
  <c r="I96" i="27"/>
  <c r="BG96" i="27" s="1"/>
  <c r="I97" i="27"/>
  <c r="BH97" i="27" s="1"/>
  <c r="I98" i="27"/>
  <c r="I99" i="27"/>
  <c r="BH99" i="27" s="1"/>
  <c r="I100" i="27"/>
  <c r="BH100" i="27" s="1"/>
  <c r="I101" i="27"/>
  <c r="I102" i="27"/>
  <c r="BG102" i="27" s="1"/>
  <c r="I103" i="27"/>
  <c r="BF103" i="27" s="1"/>
  <c r="I104" i="27"/>
  <c r="I105" i="27"/>
  <c r="BK105" i="27" s="1"/>
  <c r="I106" i="27"/>
  <c r="BK106" i="27" s="1"/>
  <c r="I107" i="27"/>
  <c r="I108" i="27"/>
  <c r="BK108" i="27" s="1"/>
  <c r="I109" i="27"/>
  <c r="I110" i="27"/>
  <c r="I111" i="27"/>
  <c r="I112" i="27"/>
  <c r="BF112" i="27" s="1"/>
  <c r="I113" i="27"/>
  <c r="BF113" i="27" s="1"/>
  <c r="I114" i="27"/>
  <c r="I115" i="27"/>
  <c r="BG115" i="27" s="1"/>
  <c r="I116" i="27"/>
  <c r="BG116" i="27" s="1"/>
  <c r="I117" i="27"/>
  <c r="BF117" i="27" s="1"/>
  <c r="I118" i="27"/>
  <c r="BH118" i="27" s="1"/>
  <c r="I119" i="27"/>
  <c r="BK119" i="27" s="1"/>
  <c r="I120" i="27"/>
  <c r="BH120" i="27" s="1"/>
  <c r="I121" i="27"/>
  <c r="BH121" i="27" s="1"/>
  <c r="I122" i="27"/>
  <c r="BG122" i="27" s="1"/>
  <c r="I123" i="27"/>
  <c r="BH123" i="27" s="1"/>
  <c r="I124" i="27"/>
  <c r="I125" i="27"/>
  <c r="I126" i="27"/>
  <c r="I127" i="27"/>
  <c r="I128" i="27"/>
  <c r="I129" i="27"/>
  <c r="BH129" i="27" s="1"/>
  <c r="I130" i="27"/>
  <c r="I131" i="27"/>
  <c r="BH131" i="27" s="1"/>
  <c r="I132" i="27"/>
  <c r="BF132" i="27" s="1"/>
  <c r="I134" i="27"/>
  <c r="BK134" i="27" s="1"/>
  <c r="I135" i="27"/>
  <c r="BI135" i="27" s="1"/>
  <c r="I136" i="27"/>
  <c r="BG136" i="27" s="1"/>
  <c r="I137" i="27"/>
  <c r="BI137" i="27" s="1"/>
  <c r="I138" i="27"/>
  <c r="I139" i="27"/>
  <c r="BI139" i="27" s="1"/>
  <c r="I140" i="27"/>
  <c r="BG140" i="27" s="1"/>
  <c r="I141" i="27"/>
  <c r="BH141" i="27" s="1"/>
  <c r="I142" i="27"/>
  <c r="I143" i="27"/>
  <c r="I144" i="27"/>
  <c r="I145" i="27"/>
  <c r="BG145" i="27" s="1"/>
  <c r="I146" i="27"/>
  <c r="I147" i="27"/>
  <c r="I148" i="27"/>
  <c r="BK148" i="27" s="1"/>
  <c r="I149" i="27"/>
  <c r="BH149" i="27" s="1"/>
  <c r="I150" i="27"/>
  <c r="BK150" i="27" s="1"/>
  <c r="I151" i="27"/>
  <c r="BG151" i="27" s="1"/>
  <c r="I152" i="27"/>
  <c r="BF152" i="27" s="1"/>
  <c r="I153" i="27"/>
  <c r="BK153" i="27" s="1"/>
  <c r="I154" i="27"/>
  <c r="BI154" i="27" s="1"/>
  <c r="I155" i="27"/>
  <c r="BG155" i="27" s="1"/>
  <c r="I156" i="27"/>
  <c r="BF156" i="27" s="1"/>
  <c r="I157" i="27"/>
  <c r="BI157" i="27" s="1"/>
  <c r="I158" i="27"/>
  <c r="I159" i="27"/>
  <c r="BI159" i="27" s="1"/>
  <c r="I160" i="27"/>
  <c r="I161" i="27"/>
  <c r="BF161" i="27" s="1"/>
  <c r="I162" i="27"/>
  <c r="I163" i="27"/>
  <c r="BF163" i="27" s="1"/>
  <c r="I164" i="27"/>
  <c r="BH164" i="27" s="1"/>
  <c r="I165" i="27"/>
  <c r="BF165" i="27" s="1"/>
  <c r="I166" i="27"/>
  <c r="BK166" i="27" s="1"/>
  <c r="I167" i="27"/>
  <c r="I168" i="27"/>
  <c r="BI168" i="27" s="1"/>
  <c r="I169" i="27"/>
  <c r="I170" i="27"/>
  <c r="BK170" i="27" s="1"/>
  <c r="I171" i="27"/>
  <c r="BK171" i="27" s="1"/>
  <c r="I172" i="27"/>
  <c r="BK172" i="27" s="1"/>
  <c r="I173" i="27"/>
  <c r="BH173" i="27" s="1"/>
  <c r="I174" i="27"/>
  <c r="I175" i="27"/>
  <c r="BI175" i="27" s="1"/>
  <c r="I176" i="27"/>
  <c r="I177" i="27"/>
  <c r="BH177" i="27" s="1"/>
  <c r="I178" i="27"/>
  <c r="BK178" i="27" s="1"/>
  <c r="I180" i="27"/>
  <c r="I181" i="27"/>
  <c r="BG181" i="27" s="1"/>
  <c r="I182" i="27"/>
  <c r="BH182" i="27" s="1"/>
  <c r="I183" i="27"/>
  <c r="I184" i="27"/>
  <c r="BH184" i="27" s="1"/>
  <c r="I185" i="27"/>
  <c r="BK185" i="27" s="1"/>
  <c r="I186" i="27"/>
  <c r="I187" i="27"/>
  <c r="I188" i="27"/>
  <c r="I189" i="27"/>
  <c r="BG189" i="27" s="1"/>
  <c r="I190" i="27"/>
  <c r="BF190" i="27" s="1"/>
  <c r="I191" i="27"/>
  <c r="I192" i="27"/>
  <c r="I193" i="27"/>
  <c r="I194" i="27"/>
  <c r="BG194" i="27" s="1"/>
  <c r="I195" i="27"/>
  <c r="BF195" i="27" s="1"/>
  <c r="I196" i="27"/>
  <c r="BK196" i="27" s="1"/>
  <c r="I197" i="27"/>
  <c r="BH197" i="27" s="1"/>
  <c r="I198" i="27"/>
  <c r="BF198" i="27" s="1"/>
  <c r="I199" i="27"/>
  <c r="I200" i="27"/>
  <c r="I201" i="27"/>
  <c r="BG201" i="27" s="1"/>
  <c r="I202" i="27"/>
  <c r="BI202" i="27" s="1"/>
  <c r="I203" i="27"/>
  <c r="BI203" i="27" s="1"/>
  <c r="I204" i="27"/>
  <c r="I205" i="27"/>
  <c r="I206" i="27"/>
  <c r="I207" i="27"/>
  <c r="I208" i="27"/>
  <c r="I209" i="27"/>
  <c r="I210" i="27"/>
  <c r="BG210" i="27" s="1"/>
  <c r="I211" i="27"/>
  <c r="BK211" i="27" s="1"/>
  <c r="I212" i="27"/>
  <c r="BF212" i="27" s="1"/>
  <c r="I213" i="27"/>
  <c r="BG213" i="27" s="1"/>
  <c r="I214" i="27"/>
  <c r="BH214" i="27" s="1"/>
  <c r="I215" i="27"/>
  <c r="BG215" i="27" s="1"/>
  <c r="I216" i="27"/>
  <c r="I217" i="27"/>
  <c r="BH217" i="27" s="1"/>
  <c r="I218" i="27"/>
  <c r="I219" i="27"/>
  <c r="BI219" i="27" s="1"/>
  <c r="I220" i="27"/>
  <c r="I221" i="27"/>
  <c r="I222" i="27"/>
  <c r="BI222" i="27" s="1"/>
  <c r="I223" i="27"/>
  <c r="I224" i="27"/>
  <c r="I225" i="27"/>
  <c r="I226" i="27"/>
  <c r="BI226" i="27" s="1"/>
  <c r="I227" i="27"/>
  <c r="I228" i="27"/>
  <c r="BH228" i="27" s="1"/>
  <c r="I229" i="27"/>
  <c r="BH229" i="27" s="1"/>
  <c r="I230" i="27"/>
  <c r="BF230" i="27" s="1"/>
  <c r="I231" i="27"/>
  <c r="I232" i="27"/>
  <c r="BF232" i="27" s="1"/>
  <c r="I233" i="27"/>
  <c r="BH233" i="27" s="1"/>
  <c r="I234" i="27"/>
  <c r="I235" i="27"/>
  <c r="BI235" i="27" s="1"/>
  <c r="I236" i="27"/>
  <c r="BF236" i="27" s="1"/>
  <c r="I237" i="27"/>
  <c r="I238" i="27"/>
  <c r="I239" i="27"/>
  <c r="I240" i="27"/>
  <c r="I241" i="27"/>
  <c r="I242" i="27"/>
  <c r="BF242" i="27" s="1"/>
  <c r="I243" i="27"/>
  <c r="I244" i="27"/>
  <c r="I245" i="27"/>
  <c r="BG245" i="27" s="1"/>
  <c r="I246" i="27"/>
  <c r="BK246" i="27" s="1"/>
  <c r="I247" i="27"/>
  <c r="BF247" i="27" s="1"/>
  <c r="I248" i="27"/>
  <c r="BI248" i="27" s="1"/>
  <c r="I249" i="27"/>
  <c r="BI249" i="27" s="1"/>
  <c r="I250" i="27"/>
  <c r="I251" i="27"/>
  <c r="BF251" i="27" s="1"/>
  <c r="I252" i="27"/>
  <c r="I253" i="27"/>
  <c r="I254" i="27"/>
  <c r="I255" i="27"/>
  <c r="I256" i="27"/>
  <c r="I257" i="27"/>
  <c r="I258" i="27"/>
  <c r="BH258" i="27" s="1"/>
  <c r="I259" i="27"/>
  <c r="BI259" i="27" s="1"/>
  <c r="I260" i="27"/>
  <c r="BK260" i="27" s="1"/>
  <c r="I261" i="27"/>
  <c r="BF261" i="27" s="1"/>
  <c r="I262" i="27"/>
  <c r="BI262" i="27" s="1"/>
  <c r="I263" i="27"/>
  <c r="BK263" i="27" s="1"/>
  <c r="I264" i="27"/>
  <c r="I265" i="27"/>
  <c r="I266" i="27"/>
  <c r="BI266" i="27" s="1"/>
  <c r="I267" i="27"/>
  <c r="BK267" i="27" s="1"/>
  <c r="I268" i="27"/>
  <c r="I269" i="27"/>
  <c r="BI269" i="27" s="1"/>
  <c r="I270" i="27"/>
  <c r="BK270" i="27" s="1"/>
  <c r="I271" i="27"/>
  <c r="I272" i="27"/>
  <c r="I273" i="27"/>
  <c r="I274" i="27"/>
  <c r="BK274" i="27" s="1"/>
  <c r="I275" i="27"/>
  <c r="BK275" i="27" s="1"/>
  <c r="I276" i="27"/>
  <c r="I277" i="27"/>
  <c r="BH277" i="27" s="1"/>
  <c r="I278" i="27"/>
  <c r="BK278" i="27" s="1"/>
  <c r="I279" i="27"/>
  <c r="BK279" i="27" s="1"/>
  <c r="I280" i="27"/>
  <c r="BK280" i="27" s="1"/>
  <c r="I281" i="27"/>
  <c r="BH281" i="27" s="1"/>
  <c r="I282" i="27"/>
  <c r="BH282" i="27" s="1"/>
  <c r="I283" i="27"/>
  <c r="BI283" i="27" s="1"/>
  <c r="I284" i="27"/>
  <c r="BK284" i="27" s="1"/>
  <c r="I285" i="27"/>
  <c r="BF285" i="27" s="1"/>
  <c r="I286" i="27"/>
  <c r="BI286" i="27" s="1"/>
  <c r="I287" i="27"/>
  <c r="I288" i="27"/>
  <c r="I289" i="27"/>
  <c r="I290" i="27"/>
  <c r="BF290" i="27" s="1"/>
  <c r="I291" i="27"/>
  <c r="BH291" i="27" s="1"/>
  <c r="I292" i="27"/>
  <c r="I293" i="27"/>
  <c r="BF293" i="27" s="1"/>
  <c r="I294" i="27"/>
  <c r="BI294" i="27" s="1"/>
  <c r="I295" i="27"/>
  <c r="BK295" i="27" s="1"/>
  <c r="I296" i="27"/>
  <c r="BG296" i="27" s="1"/>
  <c r="I297" i="27"/>
  <c r="BG297" i="27" s="1"/>
  <c r="I298" i="27"/>
  <c r="I299" i="27"/>
  <c r="I300" i="27"/>
  <c r="BG300" i="27" s="1"/>
  <c r="I301" i="27"/>
  <c r="BI301" i="27" s="1"/>
  <c r="I302" i="27"/>
  <c r="I303" i="27"/>
  <c r="I304" i="27"/>
  <c r="BI304" i="27" s="1"/>
  <c r="I305" i="27"/>
  <c r="I306" i="27"/>
  <c r="BG306" i="27" s="1"/>
  <c r="I307" i="27"/>
  <c r="BK307" i="27" s="1"/>
  <c r="I308" i="27"/>
  <c r="I309" i="27"/>
  <c r="BK309" i="27" s="1"/>
  <c r="I310" i="27"/>
  <c r="BG310" i="27" s="1"/>
  <c r="I311" i="27"/>
  <c r="I312" i="27"/>
  <c r="BH312" i="27" s="1"/>
  <c r="I313" i="27"/>
  <c r="BK313" i="27" s="1"/>
  <c r="I314" i="27"/>
  <c r="BH314" i="27" s="1"/>
  <c r="I315" i="27"/>
  <c r="BK315" i="27" s="1"/>
  <c r="I316" i="27"/>
  <c r="BH316" i="27" s="1"/>
  <c r="I317" i="27"/>
  <c r="BF317" i="27" s="1"/>
  <c r="I318" i="27"/>
  <c r="BG318" i="27" s="1"/>
  <c r="I319" i="27"/>
  <c r="I320" i="27"/>
  <c r="I321" i="27"/>
  <c r="I322" i="27"/>
  <c r="BK322" i="27" s="1"/>
  <c r="I323" i="27"/>
  <c r="BK323" i="27" s="1"/>
  <c r="I324" i="27"/>
  <c r="I325" i="27"/>
  <c r="BI325" i="27" s="1"/>
  <c r="I326" i="27"/>
  <c r="BH326" i="27" s="1"/>
  <c r="I327" i="27"/>
  <c r="BH327" i="27" s="1"/>
  <c r="I328" i="27"/>
  <c r="BG328" i="27" s="1"/>
  <c r="I329" i="27"/>
  <c r="BG329" i="27" s="1"/>
  <c r="I330" i="27"/>
  <c r="BG330" i="27" s="1"/>
  <c r="I331" i="27"/>
  <c r="BK331" i="27" s="1"/>
  <c r="I332" i="27"/>
  <c r="I333" i="27"/>
  <c r="I334" i="27"/>
  <c r="BK334" i="27" s="1"/>
  <c r="I335" i="27"/>
  <c r="I336" i="27"/>
  <c r="BI336" i="27" s="1"/>
  <c r="I337" i="27"/>
  <c r="I338" i="27"/>
  <c r="BF338" i="27" s="1"/>
  <c r="I339" i="27"/>
  <c r="I340" i="27"/>
  <c r="BI340" i="27" s="1"/>
  <c r="I341" i="27"/>
  <c r="BH341" i="27" s="1"/>
  <c r="I342" i="27"/>
  <c r="BG342" i="27" s="1"/>
  <c r="I343" i="27"/>
  <c r="BG343" i="27" s="1"/>
  <c r="I344" i="27"/>
  <c r="I345" i="27"/>
  <c r="I346" i="27"/>
  <c r="BF346" i="27" s="1"/>
  <c r="I347" i="27"/>
  <c r="BH347" i="27" s="1"/>
  <c r="I348" i="27"/>
  <c r="I349" i="27"/>
  <c r="I350" i="27"/>
  <c r="BG350" i="27" s="1"/>
  <c r="I351" i="27"/>
  <c r="I352" i="27"/>
  <c r="I353" i="27"/>
  <c r="I354" i="27"/>
  <c r="BH354" i="27" s="1"/>
  <c r="I355" i="27"/>
  <c r="BG355" i="27" s="1"/>
  <c r="I356" i="27"/>
  <c r="BH356" i="27" s="1"/>
  <c r="I357" i="27"/>
  <c r="BI357" i="27" s="1"/>
  <c r="I358" i="27"/>
  <c r="BH358" i="27" s="1"/>
  <c r="I359" i="27"/>
  <c r="I360" i="27"/>
  <c r="I361" i="27"/>
  <c r="BF361" i="27" s="1"/>
  <c r="I362" i="27"/>
  <c r="I363" i="27"/>
  <c r="I364" i="27"/>
  <c r="I365" i="27"/>
  <c r="I366" i="27"/>
  <c r="BH366" i="27" s="1"/>
  <c r="I367" i="27"/>
  <c r="I368" i="27"/>
  <c r="I369" i="27"/>
  <c r="I370" i="27"/>
  <c r="BF370" i="27" s="1"/>
  <c r="I371" i="27"/>
  <c r="BK371" i="27" s="1"/>
  <c r="I372" i="27"/>
  <c r="I373" i="27"/>
  <c r="BH373" i="27" s="1"/>
  <c r="I374" i="27"/>
  <c r="BG374" i="27" s="1"/>
  <c r="I375" i="27"/>
  <c r="BF375" i="27" s="1"/>
  <c r="I376" i="27"/>
  <c r="BH376" i="27" s="1"/>
  <c r="I377" i="27"/>
  <c r="BG377" i="27" s="1"/>
  <c r="I378" i="27"/>
  <c r="BK378" i="27" s="1"/>
  <c r="I379" i="27"/>
  <c r="BK379" i="27" s="1"/>
  <c r="I380" i="27"/>
  <c r="BH380" i="27" s="1"/>
  <c r="I381" i="27"/>
  <c r="BG381" i="27" s="1"/>
  <c r="I382" i="27"/>
  <c r="BI382" i="27" s="1"/>
  <c r="I383" i="27"/>
  <c r="I384" i="27"/>
  <c r="I385" i="27"/>
  <c r="I386" i="27"/>
  <c r="BG386" i="27" s="1"/>
  <c r="I387" i="27"/>
  <c r="BK387" i="27" s="1"/>
  <c r="I388" i="27"/>
  <c r="BF388" i="27" s="1"/>
  <c r="I389" i="27"/>
  <c r="BI389" i="27" s="1"/>
  <c r="I390" i="27"/>
  <c r="BK390" i="27" s="1"/>
  <c r="I391" i="27"/>
  <c r="BK391" i="27" s="1"/>
  <c r="I392" i="27"/>
  <c r="BK392" i="27" s="1"/>
  <c r="I393" i="27"/>
  <c r="BG393" i="27" s="1"/>
  <c r="I394" i="27"/>
  <c r="BG394" i="27" s="1"/>
  <c r="I395" i="27"/>
  <c r="BK395" i="27" s="1"/>
  <c r="I396" i="27"/>
  <c r="BK396" i="27" s="1"/>
  <c r="I397" i="27"/>
  <c r="BF397" i="27" s="1"/>
  <c r="I398" i="27"/>
  <c r="BK398" i="27" s="1"/>
  <c r="I399" i="27"/>
  <c r="I400" i="27"/>
  <c r="I401" i="27"/>
  <c r="I402" i="27"/>
  <c r="BI402" i="27" s="1"/>
  <c r="I403" i="27"/>
  <c r="BK403" i="27" s="1"/>
  <c r="I404" i="27"/>
  <c r="BI404" i="27" s="1"/>
  <c r="I405" i="27"/>
  <c r="BH405" i="27" s="1"/>
  <c r="I406" i="27"/>
  <c r="BG406" i="27" s="1"/>
  <c r="I407" i="27"/>
  <c r="BK407" i="27" s="1"/>
  <c r="I408" i="27"/>
  <c r="I409" i="27"/>
  <c r="BK409" i="27" s="1"/>
  <c r="I410" i="27"/>
  <c r="I411" i="27"/>
  <c r="I412" i="27"/>
  <c r="I413" i="27"/>
  <c r="BF413" i="27" s="1"/>
  <c r="I414" i="27"/>
  <c r="BG414" i="27" s="1"/>
  <c r="I415" i="27"/>
  <c r="I416" i="27"/>
  <c r="I417" i="27"/>
  <c r="I418" i="27"/>
  <c r="BF418" i="27" s="1"/>
  <c r="I419" i="27"/>
  <c r="BH419" i="27" s="1"/>
  <c r="I420" i="27"/>
  <c r="BG420" i="27" s="1"/>
  <c r="I421" i="27"/>
  <c r="BI421" i="27" s="1"/>
  <c r="I422" i="27"/>
  <c r="BH422" i="27" s="1"/>
  <c r="I423" i="27"/>
  <c r="BK423" i="27" s="1"/>
  <c r="I424" i="27"/>
  <c r="BI424" i="27" s="1"/>
  <c r="I425" i="27"/>
  <c r="BI425" i="27" s="1"/>
  <c r="I426" i="27"/>
  <c r="BG426" i="27" s="1"/>
  <c r="I427" i="27"/>
  <c r="I428" i="27"/>
  <c r="BI428" i="27" s="1"/>
  <c r="I429" i="27"/>
  <c r="BH429" i="27" s="1"/>
  <c r="I430" i="27"/>
  <c r="BF430" i="27" s="1"/>
  <c r="I431" i="27"/>
  <c r="I432" i="27"/>
  <c r="BI432" i="27" s="1"/>
  <c r="I433" i="27"/>
  <c r="I434" i="27"/>
  <c r="BH434" i="27" s="1"/>
  <c r="I435" i="27"/>
  <c r="I436" i="27"/>
  <c r="I437" i="27"/>
  <c r="BH437" i="27" s="1"/>
  <c r="I438" i="27"/>
  <c r="BF438" i="27" s="1"/>
  <c r="I439" i="27"/>
  <c r="I440" i="27"/>
  <c r="BH440" i="27" s="1"/>
  <c r="I441" i="27"/>
  <c r="BF441" i="27" s="1"/>
  <c r="I442" i="27"/>
  <c r="I443" i="27"/>
  <c r="BI443" i="27" s="1"/>
  <c r="I445" i="27"/>
  <c r="I446" i="27"/>
  <c r="I447" i="27"/>
  <c r="BG447" i="27" s="1"/>
  <c r="I448" i="27"/>
  <c r="I449" i="27"/>
  <c r="I450" i="27"/>
  <c r="I451" i="27"/>
  <c r="BI451" i="27" s="1"/>
  <c r="I452" i="27"/>
  <c r="BG452" i="27" s="1"/>
  <c r="I453" i="27"/>
  <c r="I454" i="27"/>
  <c r="BI454" i="27" s="1"/>
  <c r="I455" i="27"/>
  <c r="BG455" i="27" s="1"/>
  <c r="I456" i="27"/>
  <c r="BH456" i="27" s="1"/>
  <c r="I457" i="27"/>
  <c r="BG457" i="27" s="1"/>
  <c r="I458" i="27"/>
  <c r="BG458" i="27" s="1"/>
  <c r="I459" i="27"/>
  <c r="BG459" i="27" s="1"/>
  <c r="I460" i="27"/>
  <c r="BK460" i="27" s="1"/>
  <c r="I461" i="27"/>
  <c r="I462" i="27"/>
  <c r="BG462" i="27" s="1"/>
  <c r="I463" i="27"/>
  <c r="BF463" i="27" s="1"/>
  <c r="I464" i="27"/>
  <c r="BH464" i="27" s="1"/>
  <c r="I465" i="27"/>
  <c r="I466" i="27"/>
  <c r="I467" i="27"/>
  <c r="BI467" i="27" s="1"/>
  <c r="I468" i="27"/>
  <c r="BI468" i="27" s="1"/>
  <c r="I469" i="27"/>
  <c r="BF469" i="27" s="1"/>
  <c r="I470" i="27"/>
  <c r="BH470" i="27" s="1"/>
  <c r="I471" i="27"/>
  <c r="BF471" i="27" s="1"/>
  <c r="I472" i="27"/>
  <c r="I473" i="27"/>
  <c r="I474" i="27"/>
  <c r="BF474" i="27" s="1"/>
  <c r="I475" i="27"/>
  <c r="BI475" i="27" s="1"/>
  <c r="I476" i="27"/>
  <c r="BH476" i="27" s="1"/>
  <c r="I477" i="27"/>
  <c r="BH477" i="27" s="1"/>
  <c r="I478" i="27"/>
  <c r="BH478" i="27" s="1"/>
  <c r="I479" i="27"/>
  <c r="BG479" i="27" s="1"/>
  <c r="I480" i="27"/>
  <c r="BH480" i="27" s="1"/>
  <c r="I481" i="27"/>
  <c r="I482" i="27"/>
  <c r="I483" i="27"/>
  <c r="BG483" i="27" s="1"/>
  <c r="I484" i="27"/>
  <c r="BG484" i="27" s="1"/>
  <c r="I485" i="27"/>
  <c r="BK485" i="27" s="1"/>
  <c r="I486" i="27"/>
  <c r="BI486" i="27" s="1"/>
  <c r="I487" i="27"/>
  <c r="BH487" i="27" s="1"/>
  <c r="I488" i="27"/>
  <c r="I489" i="27"/>
  <c r="BI489" i="27" s="1"/>
  <c r="I490" i="27"/>
  <c r="BH490" i="27" s="1"/>
  <c r="I491" i="27"/>
  <c r="BI491" i="27" s="1"/>
  <c r="I492" i="27"/>
  <c r="BG492" i="27" s="1"/>
  <c r="I493" i="27"/>
  <c r="BF493" i="27" s="1"/>
  <c r="I494" i="27"/>
  <c r="BK494" i="27" s="1"/>
  <c r="I495" i="27"/>
  <c r="I496" i="27"/>
  <c r="I497" i="27"/>
  <c r="I498" i="27"/>
  <c r="I499" i="27"/>
  <c r="BK499" i="27" s="1"/>
  <c r="I500" i="27"/>
  <c r="BK500" i="27" s="1"/>
  <c r="I501" i="27"/>
  <c r="BH501" i="27" s="1"/>
  <c r="I502" i="27"/>
  <c r="BK502" i="27" s="1"/>
  <c r="I503" i="27"/>
  <c r="BK503" i="27" s="1"/>
  <c r="I504" i="27"/>
  <c r="BF504" i="27" s="1"/>
  <c r="I505" i="27"/>
  <c r="BG505" i="27" s="1"/>
  <c r="I506" i="27"/>
  <c r="BI506" i="27" s="1"/>
  <c r="I507" i="27"/>
  <c r="I508" i="27"/>
  <c r="BI508" i="27" s="1"/>
  <c r="I509" i="27"/>
  <c r="BG509" i="27" s="1"/>
  <c r="I510" i="27"/>
  <c r="BF510" i="27" s="1"/>
  <c r="I511" i="27"/>
  <c r="BG511" i="27" s="1"/>
  <c r="I512" i="27"/>
  <c r="I513" i="27"/>
  <c r="BI513" i="27" s="1"/>
  <c r="I514" i="27"/>
  <c r="I515" i="27"/>
  <c r="BF515" i="27" s="1"/>
  <c r="I516" i="27"/>
  <c r="BH516" i="27" s="1"/>
  <c r="I517" i="27"/>
  <c r="I518" i="27"/>
  <c r="BH518" i="27" s="1"/>
  <c r="I519" i="27"/>
  <c r="BG519" i="27" s="1"/>
  <c r="I520" i="27"/>
  <c r="BK520" i="27" s="1"/>
  <c r="I521" i="27"/>
  <c r="I522" i="27"/>
  <c r="BG522" i="27" s="1"/>
  <c r="I523" i="27"/>
  <c r="BG523" i="27" s="1"/>
  <c r="I524" i="27"/>
  <c r="I525" i="27"/>
  <c r="I526" i="27"/>
  <c r="BH526" i="27" s="1"/>
  <c r="I527" i="27"/>
  <c r="BG527" i="27" s="1"/>
  <c r="I528" i="27"/>
  <c r="I529" i="27"/>
  <c r="I530" i="27"/>
  <c r="I531" i="27"/>
  <c r="BG531" i="27" s="1"/>
  <c r="I532" i="27"/>
  <c r="BH532" i="27" s="1"/>
  <c r="I533" i="27"/>
  <c r="I534" i="27"/>
  <c r="BK534" i="27" s="1"/>
  <c r="I535" i="27"/>
  <c r="BK535" i="27" s="1"/>
  <c r="I536" i="27"/>
  <c r="BK536" i="27" s="1"/>
  <c r="I537" i="27"/>
  <c r="BF537" i="27" s="1"/>
  <c r="I538" i="27"/>
  <c r="I539" i="27"/>
  <c r="BF539" i="27" s="1"/>
  <c r="I540" i="27"/>
  <c r="I541" i="27"/>
  <c r="I542" i="27"/>
  <c r="I543" i="27"/>
  <c r="BG543" i="27" s="1"/>
  <c r="I544" i="27"/>
  <c r="I545" i="27"/>
  <c r="BK545" i="27" s="1"/>
  <c r="I546" i="27"/>
  <c r="I547" i="27"/>
  <c r="BK547" i="27" s="1"/>
  <c r="I548" i="27"/>
  <c r="BK548" i="27" s="1"/>
  <c r="I549" i="27"/>
  <c r="I550" i="27"/>
  <c r="BI550" i="27" s="1"/>
  <c r="I551" i="27"/>
  <c r="BF551" i="27" s="1"/>
  <c r="I552" i="27"/>
  <c r="BK552" i="27" s="1"/>
  <c r="I553" i="27"/>
  <c r="I554" i="27"/>
  <c r="BH554" i="27" s="1"/>
  <c r="I555" i="27"/>
  <c r="I556" i="27"/>
  <c r="I557" i="27"/>
  <c r="I558" i="27"/>
  <c r="I559" i="27"/>
  <c r="I560" i="27"/>
  <c r="I561" i="27"/>
  <c r="I562" i="27"/>
  <c r="I563" i="27"/>
  <c r="BG563" i="27" s="1"/>
  <c r="I564" i="27"/>
  <c r="BH564" i="27" s="1"/>
  <c r="I565" i="27"/>
  <c r="I566" i="27"/>
  <c r="BF566" i="27" s="1"/>
  <c r="I567" i="27"/>
  <c r="BH567" i="27" s="1"/>
  <c r="I568" i="27"/>
  <c r="BI568" i="27" s="1"/>
  <c r="I569" i="27"/>
  <c r="I570" i="27"/>
  <c r="BH570" i="27" s="1"/>
  <c r="I571" i="27"/>
  <c r="I572" i="27"/>
  <c r="BI572" i="27" s="1"/>
  <c r="I573" i="27"/>
  <c r="BG573" i="27" s="1"/>
  <c r="I574" i="27"/>
  <c r="BK574" i="27" s="1"/>
  <c r="I575" i="27"/>
  <c r="BH575" i="27" s="1"/>
  <c r="I576" i="27"/>
  <c r="I577" i="27"/>
  <c r="I578" i="27"/>
  <c r="I579" i="27"/>
  <c r="BI579" i="27" s="1"/>
  <c r="I580" i="27"/>
  <c r="BI580" i="27" s="1"/>
  <c r="I581" i="27"/>
  <c r="I582" i="27"/>
  <c r="BG582" i="27" s="1"/>
  <c r="I583" i="27"/>
  <c r="BI583" i="27" s="1"/>
  <c r="I584" i="27"/>
  <c r="BI584" i="27" s="1"/>
  <c r="I585" i="27"/>
  <c r="BH585" i="27" s="1"/>
  <c r="I586" i="27"/>
  <c r="BH586" i="27" s="1"/>
  <c r="I587" i="27"/>
  <c r="BG587" i="27" s="1"/>
  <c r="I588" i="27"/>
  <c r="I589" i="27"/>
  <c r="BH589" i="27" s="1"/>
  <c r="I590" i="27"/>
  <c r="BF590" i="27" s="1"/>
  <c r="I591" i="27"/>
  <c r="BI591" i="27" s="1"/>
  <c r="I592" i="27"/>
  <c r="I593" i="27"/>
  <c r="I594" i="27"/>
  <c r="I595" i="27"/>
  <c r="BK595" i="27" s="1"/>
  <c r="I596" i="27"/>
  <c r="BI596" i="27" s="1"/>
  <c r="I598" i="27"/>
  <c r="BK598" i="27" s="1"/>
  <c r="I599" i="27"/>
  <c r="BF599" i="27" s="1"/>
  <c r="I600" i="27"/>
  <c r="BG600" i="27" s="1"/>
  <c r="I601" i="27"/>
  <c r="BH601" i="27" s="1"/>
  <c r="I602" i="27"/>
  <c r="I603" i="27"/>
  <c r="BG603" i="27" s="1"/>
  <c r="I604" i="27"/>
  <c r="I605" i="27"/>
  <c r="I606" i="27"/>
  <c r="I607" i="27"/>
  <c r="BH607" i="27" s="1"/>
  <c r="I608" i="27"/>
  <c r="I609" i="27"/>
  <c r="I610" i="27"/>
  <c r="BI610" i="27" s="1"/>
  <c r="I611" i="27"/>
  <c r="BF611" i="27" s="1"/>
  <c r="I612" i="27"/>
  <c r="I613" i="27"/>
  <c r="I614" i="27"/>
  <c r="BG614" i="27" s="1"/>
  <c r="I615" i="27"/>
  <c r="BI615" i="27" s="1"/>
  <c r="I616" i="27"/>
  <c r="I617" i="27"/>
  <c r="BK617" i="27" s="1"/>
  <c r="I618" i="27"/>
  <c r="BH618" i="27" s="1"/>
  <c r="I619" i="27"/>
  <c r="I620" i="27"/>
  <c r="I621" i="27"/>
  <c r="BK621" i="27" s="1"/>
  <c r="I622" i="27"/>
  <c r="BK622" i="27" s="1"/>
  <c r="I623" i="27"/>
  <c r="BI623" i="27" s="1"/>
  <c r="I624" i="27"/>
  <c r="I625" i="27"/>
  <c r="I626" i="27"/>
  <c r="BK626" i="27" s="1"/>
  <c r="I627" i="27"/>
  <c r="BH627" i="27" s="1"/>
  <c r="I628" i="27"/>
  <c r="BI628" i="27" s="1"/>
  <c r="I629" i="27"/>
  <c r="I630" i="27"/>
  <c r="BF630" i="27" s="1"/>
  <c r="I631" i="27"/>
  <c r="BG631" i="27" s="1"/>
  <c r="I632" i="27"/>
  <c r="BF632" i="27" s="1"/>
  <c r="I633" i="27"/>
  <c r="I634" i="27"/>
  <c r="BK634" i="27" s="1"/>
  <c r="I635" i="27"/>
  <c r="I636" i="27"/>
  <c r="I637" i="27"/>
  <c r="BF637" i="27" s="1"/>
  <c r="I638" i="27"/>
  <c r="BH638" i="27" s="1"/>
  <c r="I639" i="27"/>
  <c r="I640" i="27"/>
  <c r="I641" i="27"/>
  <c r="BH641" i="27" s="1"/>
  <c r="I642" i="27"/>
  <c r="BK642" i="27" s="1"/>
  <c r="I643" i="27"/>
  <c r="I644" i="27"/>
  <c r="BK644" i="27" s="1"/>
  <c r="I645" i="27"/>
  <c r="BG645" i="27" s="1"/>
  <c r="I646" i="27"/>
  <c r="BK646" i="27" s="1"/>
  <c r="I647" i="27"/>
  <c r="BK647" i="27" s="1"/>
  <c r="I648" i="27"/>
  <c r="I649" i="27"/>
  <c r="BG649" i="27" s="1"/>
  <c r="I650" i="27"/>
  <c r="BG650" i="27" s="1"/>
  <c r="I651" i="27"/>
  <c r="BH651" i="27" s="1"/>
  <c r="I652" i="27"/>
  <c r="BH652" i="27" s="1"/>
  <c r="I653" i="27"/>
  <c r="BI653" i="27" s="1"/>
  <c r="I654" i="27"/>
  <c r="I655" i="27"/>
  <c r="I656" i="27"/>
  <c r="BH656" i="27" s="1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7" i="27"/>
  <c r="J128" i="27"/>
  <c r="J129" i="27"/>
  <c r="J130" i="27"/>
  <c r="J131" i="27"/>
  <c r="J132" i="27"/>
  <c r="J134" i="27"/>
  <c r="J135" i="27"/>
  <c r="J136" i="27"/>
  <c r="J137" i="27"/>
  <c r="J138" i="27"/>
  <c r="J139" i="27"/>
  <c r="J140" i="27"/>
  <c r="J141" i="27"/>
  <c r="J142" i="27"/>
  <c r="J143" i="27"/>
  <c r="J144" i="27"/>
  <c r="J145" i="27"/>
  <c r="J146" i="27"/>
  <c r="J147" i="27"/>
  <c r="J148" i="27"/>
  <c r="J149" i="27"/>
  <c r="J150" i="27"/>
  <c r="J151" i="27"/>
  <c r="J152" i="27"/>
  <c r="J153" i="27"/>
  <c r="J154" i="27"/>
  <c r="J155" i="27"/>
  <c r="J156" i="27"/>
  <c r="J157" i="27"/>
  <c r="J158" i="27"/>
  <c r="J159" i="27"/>
  <c r="J160" i="27"/>
  <c r="J161" i="27"/>
  <c r="J162" i="27"/>
  <c r="J163" i="27"/>
  <c r="J164" i="27"/>
  <c r="J165" i="27"/>
  <c r="J166" i="27"/>
  <c r="J167" i="27"/>
  <c r="J168" i="27"/>
  <c r="J169" i="27"/>
  <c r="J170" i="27"/>
  <c r="J171" i="27"/>
  <c r="J172" i="27"/>
  <c r="J173" i="27"/>
  <c r="J174" i="27"/>
  <c r="J175" i="27"/>
  <c r="J176" i="27"/>
  <c r="J177" i="27"/>
  <c r="J178" i="27"/>
  <c r="J180" i="27"/>
  <c r="J181" i="27"/>
  <c r="J182" i="27"/>
  <c r="J183" i="27"/>
  <c r="J184" i="27"/>
  <c r="J185" i="27"/>
  <c r="J186" i="27"/>
  <c r="J187" i="27"/>
  <c r="J188" i="27"/>
  <c r="J189" i="27"/>
  <c r="J190" i="27"/>
  <c r="J191" i="27"/>
  <c r="J192" i="27"/>
  <c r="J193" i="27"/>
  <c r="J194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7" i="27"/>
  <c r="J208" i="27"/>
  <c r="J209" i="27"/>
  <c r="J210" i="27"/>
  <c r="J211" i="27"/>
  <c r="J212" i="27"/>
  <c r="J213" i="27"/>
  <c r="J214" i="27"/>
  <c r="J215" i="27"/>
  <c r="J216" i="27"/>
  <c r="J217" i="27"/>
  <c r="J218" i="27"/>
  <c r="J219" i="27"/>
  <c r="J220" i="27"/>
  <c r="J221" i="27"/>
  <c r="J222" i="27"/>
  <c r="J223" i="27"/>
  <c r="J224" i="27"/>
  <c r="J225" i="27"/>
  <c r="J226" i="27"/>
  <c r="J227" i="27"/>
  <c r="J228" i="27"/>
  <c r="J229" i="27"/>
  <c r="J230" i="27"/>
  <c r="J231" i="27"/>
  <c r="J232" i="27"/>
  <c r="J233" i="27"/>
  <c r="J234" i="27"/>
  <c r="J235" i="27"/>
  <c r="J236" i="27"/>
  <c r="J237" i="27"/>
  <c r="J238" i="27"/>
  <c r="J239" i="27"/>
  <c r="J240" i="27"/>
  <c r="J241" i="27"/>
  <c r="J242" i="27"/>
  <c r="J243" i="27"/>
  <c r="J244" i="27"/>
  <c r="J245" i="27"/>
  <c r="J246" i="27"/>
  <c r="J247" i="27"/>
  <c r="J248" i="27"/>
  <c r="J249" i="27"/>
  <c r="J250" i="27"/>
  <c r="J251" i="27"/>
  <c r="J252" i="27"/>
  <c r="J253" i="27"/>
  <c r="J254" i="27"/>
  <c r="J255" i="27"/>
  <c r="J256" i="27"/>
  <c r="J257" i="27"/>
  <c r="J258" i="27"/>
  <c r="J259" i="27"/>
  <c r="J260" i="27"/>
  <c r="J261" i="27"/>
  <c r="J262" i="27"/>
  <c r="J263" i="27"/>
  <c r="J264" i="27"/>
  <c r="J265" i="27"/>
  <c r="J266" i="27"/>
  <c r="J267" i="27"/>
  <c r="J268" i="27"/>
  <c r="J269" i="27"/>
  <c r="J270" i="27"/>
  <c r="J271" i="27"/>
  <c r="J272" i="27"/>
  <c r="J273" i="27"/>
  <c r="J274" i="27"/>
  <c r="J275" i="27"/>
  <c r="J276" i="27"/>
  <c r="J277" i="27"/>
  <c r="J278" i="27"/>
  <c r="J279" i="27"/>
  <c r="J280" i="27"/>
  <c r="J281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295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5" i="27"/>
  <c r="J316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3" i="27"/>
  <c r="J334" i="27"/>
  <c r="J335" i="27"/>
  <c r="J336" i="27"/>
  <c r="J337" i="27"/>
  <c r="J338" i="27"/>
  <c r="J339" i="27"/>
  <c r="J340" i="27"/>
  <c r="J341" i="27"/>
  <c r="J342" i="27"/>
  <c r="J343" i="27"/>
  <c r="J344" i="27"/>
  <c r="J345" i="27"/>
  <c r="J346" i="27"/>
  <c r="J347" i="27"/>
  <c r="J348" i="27"/>
  <c r="J349" i="27"/>
  <c r="J350" i="27"/>
  <c r="J351" i="27"/>
  <c r="J352" i="27"/>
  <c r="J353" i="27"/>
  <c r="J354" i="27"/>
  <c r="J355" i="27"/>
  <c r="J356" i="27"/>
  <c r="J357" i="27"/>
  <c r="J358" i="27"/>
  <c r="J359" i="27"/>
  <c r="J360" i="27"/>
  <c r="J361" i="27"/>
  <c r="J362" i="27"/>
  <c r="J363" i="27"/>
  <c r="J364" i="27"/>
  <c r="J365" i="27"/>
  <c r="J366" i="27"/>
  <c r="J367" i="27"/>
  <c r="J368" i="27"/>
  <c r="J369" i="27"/>
  <c r="J370" i="27"/>
  <c r="J371" i="27"/>
  <c r="J372" i="27"/>
  <c r="J373" i="27"/>
  <c r="J374" i="27"/>
  <c r="J375" i="27"/>
  <c r="J376" i="27"/>
  <c r="J377" i="27"/>
  <c r="J378" i="27"/>
  <c r="J379" i="27"/>
  <c r="J380" i="27"/>
  <c r="J381" i="27"/>
  <c r="J382" i="27"/>
  <c r="J383" i="27"/>
  <c r="J384" i="27"/>
  <c r="J385" i="27"/>
  <c r="J386" i="27"/>
  <c r="J387" i="27"/>
  <c r="J388" i="27"/>
  <c r="J389" i="27"/>
  <c r="J390" i="27"/>
  <c r="J391" i="27"/>
  <c r="J392" i="27"/>
  <c r="J393" i="27"/>
  <c r="J394" i="27"/>
  <c r="J395" i="27"/>
  <c r="J396" i="27"/>
  <c r="J397" i="27"/>
  <c r="J398" i="27"/>
  <c r="J399" i="27"/>
  <c r="J400" i="27"/>
  <c r="J401" i="27"/>
  <c r="J402" i="27"/>
  <c r="J403" i="27"/>
  <c r="J404" i="27"/>
  <c r="J405" i="27"/>
  <c r="J406" i="27"/>
  <c r="J407" i="27"/>
  <c r="J408" i="27"/>
  <c r="J409" i="27"/>
  <c r="J410" i="27"/>
  <c r="J411" i="27"/>
  <c r="J412" i="27"/>
  <c r="J413" i="27"/>
  <c r="J414" i="27"/>
  <c r="J415" i="27"/>
  <c r="J416" i="27"/>
  <c r="J417" i="27"/>
  <c r="J418" i="27"/>
  <c r="J419" i="27"/>
  <c r="J420" i="27"/>
  <c r="J421" i="27"/>
  <c r="J422" i="27"/>
  <c r="J423" i="27"/>
  <c r="J424" i="27"/>
  <c r="J425" i="27"/>
  <c r="J426" i="27"/>
  <c r="J427" i="27"/>
  <c r="J428" i="27"/>
  <c r="J429" i="27"/>
  <c r="J430" i="27"/>
  <c r="J431" i="27"/>
  <c r="J432" i="27"/>
  <c r="J433" i="27"/>
  <c r="J434" i="27"/>
  <c r="J435" i="27"/>
  <c r="J436" i="27"/>
  <c r="J437" i="27"/>
  <c r="J438" i="27"/>
  <c r="J439" i="27"/>
  <c r="J440" i="27"/>
  <c r="J441" i="27"/>
  <c r="J442" i="27"/>
  <c r="J443" i="27"/>
  <c r="J445" i="27"/>
  <c r="J446" i="27"/>
  <c r="J447" i="27"/>
  <c r="J448" i="27"/>
  <c r="J449" i="27"/>
  <c r="J450" i="27"/>
  <c r="J451" i="27"/>
  <c r="J452" i="27"/>
  <c r="J453" i="27"/>
  <c r="J454" i="27"/>
  <c r="J455" i="27"/>
  <c r="J456" i="27"/>
  <c r="J457" i="27"/>
  <c r="J458" i="27"/>
  <c r="J459" i="27"/>
  <c r="J460" i="27"/>
  <c r="J461" i="27"/>
  <c r="J462" i="27"/>
  <c r="J463" i="27"/>
  <c r="J464" i="27"/>
  <c r="J465" i="27"/>
  <c r="J466" i="27"/>
  <c r="J467" i="27"/>
  <c r="J468" i="27"/>
  <c r="J469" i="27"/>
  <c r="J470" i="27"/>
  <c r="J471" i="27"/>
  <c r="J472" i="27"/>
  <c r="J473" i="27"/>
  <c r="J474" i="27"/>
  <c r="J475" i="27"/>
  <c r="J476" i="27"/>
  <c r="J477" i="27"/>
  <c r="J478" i="27"/>
  <c r="J479" i="27"/>
  <c r="J480" i="27"/>
  <c r="J481" i="27"/>
  <c r="J482" i="27"/>
  <c r="J483" i="27"/>
  <c r="J484" i="27"/>
  <c r="J485" i="27"/>
  <c r="J486" i="27"/>
  <c r="J487" i="27"/>
  <c r="J488" i="27"/>
  <c r="J489" i="27"/>
  <c r="J490" i="27"/>
  <c r="J491" i="27"/>
  <c r="J492" i="27"/>
  <c r="J493" i="27"/>
  <c r="J494" i="27"/>
  <c r="J495" i="27"/>
  <c r="J496" i="27"/>
  <c r="J497" i="27"/>
  <c r="J498" i="27"/>
  <c r="J499" i="27"/>
  <c r="J500" i="27"/>
  <c r="J501" i="27"/>
  <c r="J502" i="27"/>
  <c r="J503" i="27"/>
  <c r="J504" i="27"/>
  <c r="J505" i="27"/>
  <c r="J506" i="27"/>
  <c r="J507" i="27"/>
  <c r="J508" i="27"/>
  <c r="J509" i="27"/>
  <c r="J510" i="27"/>
  <c r="J511" i="27"/>
  <c r="J512" i="27"/>
  <c r="J513" i="27"/>
  <c r="J514" i="27"/>
  <c r="J515" i="27"/>
  <c r="J516" i="27"/>
  <c r="J517" i="27"/>
  <c r="J518" i="27"/>
  <c r="J519" i="27"/>
  <c r="J520" i="27"/>
  <c r="J521" i="27"/>
  <c r="J522" i="27"/>
  <c r="J523" i="27"/>
  <c r="J524" i="27"/>
  <c r="J525" i="27"/>
  <c r="J526" i="27"/>
  <c r="J527" i="27"/>
  <c r="J528" i="27"/>
  <c r="J529" i="27"/>
  <c r="J530" i="27"/>
  <c r="J531" i="27"/>
  <c r="J532" i="27"/>
  <c r="J533" i="27"/>
  <c r="J534" i="27"/>
  <c r="J535" i="27"/>
  <c r="J536" i="27"/>
  <c r="J537" i="27"/>
  <c r="J538" i="27"/>
  <c r="J539" i="27"/>
  <c r="J540" i="27"/>
  <c r="J541" i="27"/>
  <c r="J542" i="27"/>
  <c r="J543" i="27"/>
  <c r="J544" i="27"/>
  <c r="J545" i="27"/>
  <c r="J546" i="27"/>
  <c r="J547" i="27"/>
  <c r="J548" i="27"/>
  <c r="J549" i="27"/>
  <c r="J550" i="27"/>
  <c r="J551" i="27"/>
  <c r="J552" i="27"/>
  <c r="J553" i="27"/>
  <c r="J554" i="27"/>
  <c r="J555" i="27"/>
  <c r="J556" i="27"/>
  <c r="J557" i="27"/>
  <c r="J558" i="27"/>
  <c r="J559" i="27"/>
  <c r="J560" i="27"/>
  <c r="J561" i="27"/>
  <c r="J562" i="27"/>
  <c r="J563" i="27"/>
  <c r="J564" i="27"/>
  <c r="J565" i="27"/>
  <c r="J566" i="27"/>
  <c r="J567" i="27"/>
  <c r="J568" i="27"/>
  <c r="J569" i="27"/>
  <c r="J570" i="27"/>
  <c r="J571" i="27"/>
  <c r="J572" i="27"/>
  <c r="J573" i="27"/>
  <c r="J574" i="27"/>
  <c r="J575" i="27"/>
  <c r="J576" i="27"/>
  <c r="J577" i="27"/>
  <c r="J578" i="27"/>
  <c r="J579" i="27"/>
  <c r="J580" i="27"/>
  <c r="J581" i="27"/>
  <c r="J582" i="27"/>
  <c r="J583" i="27"/>
  <c r="J584" i="27"/>
  <c r="J585" i="27"/>
  <c r="J586" i="27"/>
  <c r="J587" i="27"/>
  <c r="J588" i="27"/>
  <c r="J589" i="27"/>
  <c r="J590" i="27"/>
  <c r="J591" i="27"/>
  <c r="J592" i="27"/>
  <c r="J593" i="27"/>
  <c r="J594" i="27"/>
  <c r="J595" i="27"/>
  <c r="J596" i="27"/>
  <c r="J598" i="27"/>
  <c r="J599" i="27"/>
  <c r="J600" i="27"/>
  <c r="J601" i="27"/>
  <c r="J602" i="27"/>
  <c r="J603" i="27"/>
  <c r="J604" i="27"/>
  <c r="J605" i="27"/>
  <c r="J606" i="27"/>
  <c r="J607" i="27"/>
  <c r="J608" i="27"/>
  <c r="J609" i="27"/>
  <c r="J610" i="27"/>
  <c r="J611" i="27"/>
  <c r="J612" i="27"/>
  <c r="J613" i="27"/>
  <c r="J614" i="27"/>
  <c r="J615" i="27"/>
  <c r="J616" i="27"/>
  <c r="J617" i="27"/>
  <c r="J618" i="27"/>
  <c r="J619" i="27"/>
  <c r="J620" i="27"/>
  <c r="J621" i="27"/>
  <c r="J622" i="27"/>
  <c r="J623" i="27"/>
  <c r="J624" i="27"/>
  <c r="J625" i="27"/>
  <c r="J626" i="27"/>
  <c r="J627" i="27"/>
  <c r="J628" i="27"/>
  <c r="J629" i="27"/>
  <c r="J630" i="27"/>
  <c r="J631" i="27"/>
  <c r="J632" i="27"/>
  <c r="J633" i="27"/>
  <c r="J634" i="27"/>
  <c r="J635" i="27"/>
  <c r="J636" i="27"/>
  <c r="J637" i="27"/>
  <c r="J638" i="27"/>
  <c r="J639" i="27"/>
  <c r="J640" i="27"/>
  <c r="J641" i="27"/>
  <c r="J642" i="27"/>
  <c r="J643" i="27"/>
  <c r="J644" i="27"/>
  <c r="J645" i="27"/>
  <c r="J646" i="27"/>
  <c r="J647" i="27"/>
  <c r="J648" i="27"/>
  <c r="J649" i="27"/>
  <c r="J650" i="27"/>
  <c r="J651" i="27"/>
  <c r="J652" i="27"/>
  <c r="J653" i="27"/>
  <c r="J654" i="27"/>
  <c r="J655" i="27"/>
  <c r="J656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2" i="27"/>
  <c r="K63" i="27"/>
  <c r="K64" i="27"/>
  <c r="K65" i="27"/>
  <c r="K66" i="27"/>
  <c r="K67" i="27"/>
  <c r="K68" i="27"/>
  <c r="K69" i="27"/>
  <c r="K70" i="27"/>
  <c r="K71" i="27"/>
  <c r="K72" i="27"/>
  <c r="K73" i="27"/>
  <c r="K74" i="27"/>
  <c r="K75" i="27"/>
  <c r="K81" i="27"/>
  <c r="K82" i="27"/>
  <c r="K8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4" i="27"/>
  <c r="K135" i="27"/>
  <c r="K136" i="27"/>
  <c r="K137" i="27"/>
  <c r="K138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51" i="27"/>
  <c r="K152" i="27"/>
  <c r="K153" i="27"/>
  <c r="K154" i="27"/>
  <c r="K155" i="27"/>
  <c r="K156" i="27"/>
  <c r="K157" i="27"/>
  <c r="K158" i="27"/>
  <c r="K159" i="27"/>
  <c r="K160" i="27"/>
  <c r="K161" i="27"/>
  <c r="K162" i="27"/>
  <c r="K163" i="27"/>
  <c r="K164" i="27"/>
  <c r="K165" i="27"/>
  <c r="K166" i="27"/>
  <c r="K167" i="27"/>
  <c r="K168" i="27"/>
  <c r="K169" i="27"/>
  <c r="K170" i="27"/>
  <c r="K171" i="27"/>
  <c r="K172" i="27"/>
  <c r="K173" i="27"/>
  <c r="K174" i="27"/>
  <c r="K175" i="27"/>
  <c r="K176" i="27"/>
  <c r="K177" i="27"/>
  <c r="K178" i="27"/>
  <c r="K180" i="27"/>
  <c r="K181" i="27"/>
  <c r="K182" i="27"/>
  <c r="K183" i="27"/>
  <c r="K184" i="27"/>
  <c r="K185" i="27"/>
  <c r="K186" i="27"/>
  <c r="K187" i="27"/>
  <c r="K188" i="27"/>
  <c r="K189" i="27"/>
  <c r="K190" i="27"/>
  <c r="K191" i="27"/>
  <c r="K192" i="27"/>
  <c r="K193" i="27"/>
  <c r="K194" i="27"/>
  <c r="K195" i="27"/>
  <c r="K196" i="27"/>
  <c r="K197" i="27"/>
  <c r="K198" i="27"/>
  <c r="K199" i="27"/>
  <c r="K200" i="27"/>
  <c r="K201" i="27"/>
  <c r="K202" i="27"/>
  <c r="K203" i="27"/>
  <c r="K204" i="27"/>
  <c r="K205" i="27"/>
  <c r="K206" i="27"/>
  <c r="K207" i="27"/>
  <c r="K208" i="27"/>
  <c r="K209" i="27"/>
  <c r="K210" i="27"/>
  <c r="K211" i="27"/>
  <c r="K212" i="27"/>
  <c r="K213" i="27"/>
  <c r="K214" i="27"/>
  <c r="K215" i="27"/>
  <c r="K216" i="27"/>
  <c r="K217" i="27"/>
  <c r="K218" i="27"/>
  <c r="K219" i="27"/>
  <c r="K220" i="27"/>
  <c r="K221" i="27"/>
  <c r="K222" i="27"/>
  <c r="K223" i="27"/>
  <c r="K224" i="27"/>
  <c r="K225" i="27"/>
  <c r="K226" i="27"/>
  <c r="K227" i="27"/>
  <c r="K228" i="27"/>
  <c r="K229" i="27"/>
  <c r="K230" i="27"/>
  <c r="K231" i="27"/>
  <c r="K232" i="27"/>
  <c r="K233" i="27"/>
  <c r="K234" i="27"/>
  <c r="K235" i="27"/>
  <c r="K236" i="27"/>
  <c r="K237" i="27"/>
  <c r="K238" i="27"/>
  <c r="K239" i="27"/>
  <c r="K240" i="27"/>
  <c r="K241" i="27"/>
  <c r="K242" i="27"/>
  <c r="K243" i="27"/>
  <c r="K244" i="27"/>
  <c r="K245" i="27"/>
  <c r="K246" i="27"/>
  <c r="K247" i="27"/>
  <c r="K248" i="27"/>
  <c r="K249" i="27"/>
  <c r="K250" i="27"/>
  <c r="K251" i="27"/>
  <c r="K252" i="27"/>
  <c r="K253" i="27"/>
  <c r="K254" i="27"/>
  <c r="K255" i="27"/>
  <c r="K256" i="27"/>
  <c r="K257" i="27"/>
  <c r="K258" i="27"/>
  <c r="K259" i="27"/>
  <c r="K260" i="27"/>
  <c r="K261" i="27"/>
  <c r="K262" i="27"/>
  <c r="K263" i="27"/>
  <c r="K264" i="27"/>
  <c r="K265" i="27"/>
  <c r="K266" i="27"/>
  <c r="K267" i="27"/>
  <c r="K268" i="27"/>
  <c r="K269" i="27"/>
  <c r="K270" i="27"/>
  <c r="K271" i="27"/>
  <c r="K272" i="27"/>
  <c r="K273" i="27"/>
  <c r="K274" i="27"/>
  <c r="K275" i="27"/>
  <c r="K276" i="27"/>
  <c r="K277" i="27"/>
  <c r="K278" i="27"/>
  <c r="K279" i="27"/>
  <c r="K280" i="27"/>
  <c r="K281" i="27"/>
  <c r="K282" i="27"/>
  <c r="K283" i="27"/>
  <c r="K284" i="27"/>
  <c r="K285" i="27"/>
  <c r="K286" i="27"/>
  <c r="K287" i="27"/>
  <c r="K288" i="27"/>
  <c r="K289" i="27"/>
  <c r="K290" i="27"/>
  <c r="K291" i="27"/>
  <c r="K292" i="27"/>
  <c r="K293" i="27"/>
  <c r="K294" i="27"/>
  <c r="K295" i="27"/>
  <c r="K296" i="27"/>
  <c r="K297" i="27"/>
  <c r="K298" i="27"/>
  <c r="K299" i="27"/>
  <c r="K300" i="27"/>
  <c r="K301" i="27"/>
  <c r="K302" i="27"/>
  <c r="K303" i="27"/>
  <c r="K304" i="27"/>
  <c r="K305" i="27"/>
  <c r="K306" i="27"/>
  <c r="K307" i="27"/>
  <c r="K308" i="27"/>
  <c r="K309" i="27"/>
  <c r="K310" i="27"/>
  <c r="K311" i="27"/>
  <c r="K312" i="27"/>
  <c r="K313" i="27"/>
  <c r="K314" i="27"/>
  <c r="K315" i="27"/>
  <c r="K316" i="27"/>
  <c r="K317" i="27"/>
  <c r="K318" i="27"/>
  <c r="K319" i="27"/>
  <c r="K320" i="27"/>
  <c r="K321" i="27"/>
  <c r="K322" i="27"/>
  <c r="K323" i="27"/>
  <c r="K324" i="27"/>
  <c r="K325" i="27"/>
  <c r="K326" i="27"/>
  <c r="K327" i="27"/>
  <c r="K328" i="27"/>
  <c r="K329" i="27"/>
  <c r="K330" i="27"/>
  <c r="K331" i="27"/>
  <c r="K332" i="27"/>
  <c r="K333" i="27"/>
  <c r="K334" i="27"/>
  <c r="K335" i="27"/>
  <c r="K336" i="27"/>
  <c r="K337" i="27"/>
  <c r="K338" i="27"/>
  <c r="K339" i="27"/>
  <c r="K340" i="27"/>
  <c r="K341" i="27"/>
  <c r="K342" i="27"/>
  <c r="K343" i="27"/>
  <c r="K344" i="27"/>
  <c r="K345" i="27"/>
  <c r="K346" i="27"/>
  <c r="K347" i="27"/>
  <c r="K348" i="27"/>
  <c r="K349" i="27"/>
  <c r="K350" i="27"/>
  <c r="K351" i="27"/>
  <c r="K352" i="27"/>
  <c r="K353" i="27"/>
  <c r="K354" i="27"/>
  <c r="K355" i="27"/>
  <c r="K356" i="27"/>
  <c r="K357" i="27"/>
  <c r="K358" i="27"/>
  <c r="K359" i="27"/>
  <c r="K360" i="27"/>
  <c r="K361" i="27"/>
  <c r="K362" i="27"/>
  <c r="K363" i="27"/>
  <c r="K364" i="27"/>
  <c r="K365" i="27"/>
  <c r="K366" i="27"/>
  <c r="K367" i="27"/>
  <c r="K368" i="27"/>
  <c r="K369" i="27"/>
  <c r="K370" i="27"/>
  <c r="K371" i="27"/>
  <c r="K372" i="27"/>
  <c r="K373" i="27"/>
  <c r="K374" i="27"/>
  <c r="K375" i="27"/>
  <c r="K376" i="27"/>
  <c r="K377" i="27"/>
  <c r="K378" i="27"/>
  <c r="K379" i="27"/>
  <c r="K380" i="27"/>
  <c r="K381" i="27"/>
  <c r="K382" i="27"/>
  <c r="K383" i="27"/>
  <c r="K384" i="27"/>
  <c r="K385" i="27"/>
  <c r="K386" i="27"/>
  <c r="K387" i="27"/>
  <c r="K388" i="27"/>
  <c r="K389" i="27"/>
  <c r="K390" i="27"/>
  <c r="K391" i="27"/>
  <c r="K392" i="27"/>
  <c r="K393" i="27"/>
  <c r="K394" i="27"/>
  <c r="K395" i="27"/>
  <c r="K396" i="27"/>
  <c r="K397" i="27"/>
  <c r="K398" i="27"/>
  <c r="K399" i="27"/>
  <c r="K400" i="27"/>
  <c r="K401" i="27"/>
  <c r="K402" i="27"/>
  <c r="K403" i="27"/>
  <c r="K404" i="27"/>
  <c r="K405" i="27"/>
  <c r="K406" i="27"/>
  <c r="K407" i="27"/>
  <c r="K408" i="27"/>
  <c r="K409" i="27"/>
  <c r="K410" i="27"/>
  <c r="K411" i="27"/>
  <c r="K412" i="27"/>
  <c r="K413" i="27"/>
  <c r="K414" i="27"/>
  <c r="K415" i="27"/>
  <c r="K416" i="27"/>
  <c r="K417" i="27"/>
  <c r="K418" i="27"/>
  <c r="K419" i="27"/>
  <c r="K420" i="27"/>
  <c r="K421" i="27"/>
  <c r="K422" i="27"/>
  <c r="K423" i="27"/>
  <c r="K424" i="27"/>
  <c r="K425" i="27"/>
  <c r="K426" i="27"/>
  <c r="K427" i="27"/>
  <c r="K428" i="27"/>
  <c r="K429" i="27"/>
  <c r="K430" i="27"/>
  <c r="K431" i="27"/>
  <c r="K432" i="27"/>
  <c r="K433" i="27"/>
  <c r="K434" i="27"/>
  <c r="K435" i="27"/>
  <c r="K436" i="27"/>
  <c r="K437" i="27"/>
  <c r="K438" i="27"/>
  <c r="K439" i="27"/>
  <c r="K440" i="27"/>
  <c r="K441" i="27"/>
  <c r="K442" i="27"/>
  <c r="K443" i="27"/>
  <c r="K445" i="27"/>
  <c r="K446" i="27"/>
  <c r="K447" i="27"/>
  <c r="K448" i="27"/>
  <c r="K449" i="27"/>
  <c r="K450" i="27"/>
  <c r="K451" i="27"/>
  <c r="K452" i="27"/>
  <c r="K453" i="27"/>
  <c r="K454" i="27"/>
  <c r="K455" i="27"/>
  <c r="K456" i="27"/>
  <c r="K457" i="27"/>
  <c r="K458" i="27"/>
  <c r="K459" i="27"/>
  <c r="K460" i="27"/>
  <c r="K461" i="27"/>
  <c r="K462" i="27"/>
  <c r="K463" i="27"/>
  <c r="K464" i="27"/>
  <c r="K465" i="27"/>
  <c r="K466" i="27"/>
  <c r="K467" i="27"/>
  <c r="K468" i="27"/>
  <c r="K469" i="27"/>
  <c r="K470" i="27"/>
  <c r="K471" i="27"/>
  <c r="K472" i="27"/>
  <c r="K473" i="27"/>
  <c r="K474" i="27"/>
  <c r="K475" i="27"/>
  <c r="K476" i="27"/>
  <c r="K477" i="27"/>
  <c r="K478" i="27"/>
  <c r="K479" i="27"/>
  <c r="K480" i="27"/>
  <c r="K481" i="27"/>
  <c r="K482" i="27"/>
  <c r="K483" i="27"/>
  <c r="K484" i="27"/>
  <c r="K485" i="27"/>
  <c r="K486" i="27"/>
  <c r="K487" i="27"/>
  <c r="K488" i="27"/>
  <c r="K489" i="27"/>
  <c r="K490" i="27"/>
  <c r="K491" i="27"/>
  <c r="K492" i="27"/>
  <c r="K493" i="27"/>
  <c r="K494" i="27"/>
  <c r="K495" i="27"/>
  <c r="K496" i="27"/>
  <c r="K497" i="27"/>
  <c r="K498" i="27"/>
  <c r="K499" i="27"/>
  <c r="K500" i="27"/>
  <c r="K501" i="27"/>
  <c r="K502" i="27"/>
  <c r="K503" i="27"/>
  <c r="K504" i="27"/>
  <c r="K505" i="27"/>
  <c r="K506" i="27"/>
  <c r="K507" i="27"/>
  <c r="K508" i="27"/>
  <c r="K509" i="27"/>
  <c r="K510" i="27"/>
  <c r="K511" i="27"/>
  <c r="K512" i="27"/>
  <c r="K513" i="27"/>
  <c r="K514" i="27"/>
  <c r="K515" i="27"/>
  <c r="K516" i="27"/>
  <c r="K517" i="27"/>
  <c r="K518" i="27"/>
  <c r="K519" i="27"/>
  <c r="K520" i="27"/>
  <c r="K521" i="27"/>
  <c r="K522" i="27"/>
  <c r="K523" i="27"/>
  <c r="K524" i="27"/>
  <c r="K525" i="27"/>
  <c r="K526" i="27"/>
  <c r="K527" i="27"/>
  <c r="K528" i="27"/>
  <c r="K529" i="27"/>
  <c r="K530" i="27"/>
  <c r="K531" i="27"/>
  <c r="K532" i="27"/>
  <c r="K533" i="27"/>
  <c r="K534" i="27"/>
  <c r="K535" i="27"/>
  <c r="K536" i="27"/>
  <c r="K537" i="27"/>
  <c r="K538" i="27"/>
  <c r="K539" i="27"/>
  <c r="K540" i="27"/>
  <c r="K541" i="27"/>
  <c r="K542" i="27"/>
  <c r="K543" i="27"/>
  <c r="K544" i="27"/>
  <c r="K545" i="27"/>
  <c r="K546" i="27"/>
  <c r="K547" i="27"/>
  <c r="K548" i="27"/>
  <c r="K549" i="27"/>
  <c r="K550" i="27"/>
  <c r="K551" i="27"/>
  <c r="K552" i="27"/>
  <c r="K553" i="27"/>
  <c r="K554" i="27"/>
  <c r="K555" i="27"/>
  <c r="K556" i="27"/>
  <c r="K557" i="27"/>
  <c r="K558" i="27"/>
  <c r="K559" i="27"/>
  <c r="K560" i="27"/>
  <c r="K561" i="27"/>
  <c r="K562" i="27"/>
  <c r="K563" i="27"/>
  <c r="K564" i="27"/>
  <c r="K565" i="27"/>
  <c r="K566" i="27"/>
  <c r="K567" i="27"/>
  <c r="K568" i="27"/>
  <c r="K569" i="27"/>
  <c r="K570" i="27"/>
  <c r="K571" i="27"/>
  <c r="K572" i="27"/>
  <c r="K573" i="27"/>
  <c r="K574" i="27"/>
  <c r="K575" i="27"/>
  <c r="K576" i="27"/>
  <c r="K577" i="27"/>
  <c r="K578" i="27"/>
  <c r="K579" i="27"/>
  <c r="K580" i="27"/>
  <c r="K581" i="27"/>
  <c r="K582" i="27"/>
  <c r="K583" i="27"/>
  <c r="K584" i="27"/>
  <c r="K585" i="27"/>
  <c r="K586" i="27"/>
  <c r="K587" i="27"/>
  <c r="K588" i="27"/>
  <c r="K589" i="27"/>
  <c r="K590" i="27"/>
  <c r="K591" i="27"/>
  <c r="K592" i="27"/>
  <c r="K593" i="27"/>
  <c r="K594" i="27"/>
  <c r="K595" i="27"/>
  <c r="K596" i="27"/>
  <c r="K598" i="27"/>
  <c r="K599" i="27"/>
  <c r="K600" i="27"/>
  <c r="K601" i="27"/>
  <c r="K602" i="27"/>
  <c r="K603" i="27"/>
  <c r="K604" i="27"/>
  <c r="K605" i="27"/>
  <c r="K606" i="27"/>
  <c r="K607" i="27"/>
  <c r="K608" i="27"/>
  <c r="K609" i="27"/>
  <c r="K610" i="27"/>
  <c r="K611" i="27"/>
  <c r="K612" i="27"/>
  <c r="K613" i="27"/>
  <c r="K614" i="27"/>
  <c r="K615" i="27"/>
  <c r="K616" i="27"/>
  <c r="K617" i="27"/>
  <c r="K618" i="27"/>
  <c r="K619" i="27"/>
  <c r="K620" i="27"/>
  <c r="K621" i="27"/>
  <c r="K622" i="27"/>
  <c r="K623" i="27"/>
  <c r="K624" i="27"/>
  <c r="K625" i="27"/>
  <c r="K626" i="27"/>
  <c r="K627" i="27"/>
  <c r="K628" i="27"/>
  <c r="K629" i="27"/>
  <c r="K630" i="27"/>
  <c r="K631" i="27"/>
  <c r="K632" i="27"/>
  <c r="K633" i="27"/>
  <c r="K634" i="27"/>
  <c r="K635" i="27"/>
  <c r="K636" i="27"/>
  <c r="K637" i="27"/>
  <c r="K638" i="27"/>
  <c r="K639" i="27"/>
  <c r="K640" i="27"/>
  <c r="K641" i="27"/>
  <c r="K642" i="27"/>
  <c r="K643" i="27"/>
  <c r="K644" i="27"/>
  <c r="K645" i="27"/>
  <c r="K646" i="27"/>
  <c r="K647" i="27"/>
  <c r="K648" i="27"/>
  <c r="K649" i="27"/>
  <c r="K650" i="27"/>
  <c r="K651" i="27"/>
  <c r="K652" i="27"/>
  <c r="K653" i="27"/>
  <c r="K654" i="27"/>
  <c r="K655" i="27"/>
  <c r="K656" i="27"/>
  <c r="L8" i="27"/>
  <c r="L9" i="27"/>
  <c r="L10" i="27"/>
  <c r="L11" i="27"/>
  <c r="M11" i="27" s="1"/>
  <c r="L12" i="27"/>
  <c r="M12" i="27" s="1"/>
  <c r="L13" i="27"/>
  <c r="M13" i="27" s="1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N50" i="27" s="1"/>
  <c r="O50" i="27" s="1"/>
  <c r="L51" i="27"/>
  <c r="L52" i="27"/>
  <c r="L53" i="27"/>
  <c r="L54" i="27"/>
  <c r="L55" i="27"/>
  <c r="L56" i="27"/>
  <c r="L57" i="27"/>
  <c r="L58" i="27"/>
  <c r="L59" i="27"/>
  <c r="L62" i="27"/>
  <c r="L63" i="27"/>
  <c r="L64" i="27"/>
  <c r="L65" i="27"/>
  <c r="L66" i="27"/>
  <c r="L67" i="27"/>
  <c r="L68" i="27"/>
  <c r="L69" i="27"/>
  <c r="L70" i="27"/>
  <c r="L71" i="27"/>
  <c r="L72" i="27"/>
  <c r="L73" i="27"/>
  <c r="L74" i="27"/>
  <c r="L75" i="27"/>
  <c r="L81" i="27"/>
  <c r="L82" i="27"/>
  <c r="L83" i="27"/>
  <c r="L84" i="27"/>
  <c r="L85" i="27"/>
  <c r="L86" i="27"/>
  <c r="L87" i="27"/>
  <c r="L88" i="27"/>
  <c r="L89" i="27"/>
  <c r="L90" i="27"/>
  <c r="L91" i="27"/>
  <c r="L92" i="27"/>
  <c r="L93" i="27"/>
  <c r="L94" i="27"/>
  <c r="L95" i="27"/>
  <c r="L96" i="27"/>
  <c r="L97" i="27"/>
  <c r="L98" i="27"/>
  <c r="L99" i="27"/>
  <c r="L100" i="27"/>
  <c r="L101" i="27"/>
  <c r="L102" i="27"/>
  <c r="L103" i="27"/>
  <c r="L104" i="27"/>
  <c r="L105" i="27"/>
  <c r="L106" i="27"/>
  <c r="L107" i="27"/>
  <c r="L108" i="27"/>
  <c r="L109" i="27"/>
  <c r="L110" i="27"/>
  <c r="L111" i="27"/>
  <c r="L112" i="27"/>
  <c r="L113" i="27"/>
  <c r="L114" i="27"/>
  <c r="L115" i="27"/>
  <c r="L116" i="27"/>
  <c r="L117" i="27"/>
  <c r="L118" i="27"/>
  <c r="L119" i="27"/>
  <c r="L120" i="27"/>
  <c r="L121" i="27"/>
  <c r="L122" i="27"/>
  <c r="L123" i="27"/>
  <c r="L124" i="27"/>
  <c r="L125" i="27"/>
  <c r="L126" i="27"/>
  <c r="L127" i="27"/>
  <c r="L128" i="27"/>
  <c r="L129" i="27"/>
  <c r="L130" i="27"/>
  <c r="L131" i="27"/>
  <c r="L132" i="27"/>
  <c r="L134" i="27"/>
  <c r="L135" i="27"/>
  <c r="L136" i="27"/>
  <c r="L137" i="27"/>
  <c r="L138" i="27"/>
  <c r="L139" i="27"/>
  <c r="L140" i="27"/>
  <c r="L141" i="27"/>
  <c r="L142" i="27"/>
  <c r="L143" i="27"/>
  <c r="L144" i="27"/>
  <c r="L145" i="27"/>
  <c r="L146" i="27"/>
  <c r="N146" i="27" s="1"/>
  <c r="O146" i="27" s="1"/>
  <c r="L147" i="27"/>
  <c r="L148" i="27"/>
  <c r="L149" i="27"/>
  <c r="L150" i="27"/>
  <c r="L151" i="27"/>
  <c r="L152" i="27"/>
  <c r="L153" i="27"/>
  <c r="L154" i="27"/>
  <c r="L155" i="27"/>
  <c r="L156" i="27"/>
  <c r="L157" i="27"/>
  <c r="L158" i="27"/>
  <c r="L159" i="27"/>
  <c r="L160" i="27"/>
  <c r="L161" i="27"/>
  <c r="L162" i="27"/>
  <c r="L163" i="27"/>
  <c r="L164" i="27"/>
  <c r="L165" i="27"/>
  <c r="L166" i="27"/>
  <c r="L167" i="27"/>
  <c r="L168" i="27"/>
  <c r="L169" i="27"/>
  <c r="L170" i="27"/>
  <c r="N170" i="27" s="1"/>
  <c r="O170" i="27" s="1"/>
  <c r="L171" i="27"/>
  <c r="L172" i="27"/>
  <c r="L173" i="27"/>
  <c r="L174" i="27"/>
  <c r="L175" i="27"/>
  <c r="L176" i="27"/>
  <c r="L177" i="27"/>
  <c r="L178" i="27"/>
  <c r="L180" i="27"/>
  <c r="L181" i="27"/>
  <c r="L182" i="27"/>
  <c r="L183" i="27"/>
  <c r="L184" i="27"/>
  <c r="L185" i="27"/>
  <c r="L186" i="27"/>
  <c r="L187" i="27"/>
  <c r="L188" i="27"/>
  <c r="L189" i="27"/>
  <c r="L190" i="27"/>
  <c r="L191" i="27"/>
  <c r="L192" i="27"/>
  <c r="L193" i="27"/>
  <c r="L194" i="27"/>
  <c r="L195" i="27"/>
  <c r="L196" i="27"/>
  <c r="L197" i="27"/>
  <c r="L198" i="27"/>
  <c r="L199" i="27"/>
  <c r="L200" i="27"/>
  <c r="L201" i="27"/>
  <c r="L202" i="27"/>
  <c r="L203" i="27"/>
  <c r="N203" i="27" s="1"/>
  <c r="O203" i="27" s="1"/>
  <c r="L204" i="27"/>
  <c r="L205" i="27"/>
  <c r="L206" i="27"/>
  <c r="L207" i="27"/>
  <c r="L208" i="27"/>
  <c r="L209" i="27"/>
  <c r="L210" i="27"/>
  <c r="L211" i="27"/>
  <c r="L212" i="27"/>
  <c r="L213" i="27"/>
  <c r="L214" i="27"/>
  <c r="L215" i="27"/>
  <c r="L216" i="27"/>
  <c r="L217" i="27"/>
  <c r="L218" i="27"/>
  <c r="L219" i="27"/>
  <c r="L220" i="27"/>
  <c r="L221" i="27"/>
  <c r="L222" i="27"/>
  <c r="L223" i="27"/>
  <c r="L224" i="27"/>
  <c r="L225" i="27"/>
  <c r="L226" i="27"/>
  <c r="L227" i="27"/>
  <c r="L228" i="27"/>
  <c r="L229" i="27"/>
  <c r="N229" i="27" s="1"/>
  <c r="O229" i="27" s="1"/>
  <c r="L230" i="27"/>
  <c r="L231" i="27"/>
  <c r="L232" i="27"/>
  <c r="L233" i="27"/>
  <c r="BA233" i="27" s="1"/>
  <c r="L234" i="27"/>
  <c r="L235" i="27"/>
  <c r="L236" i="27"/>
  <c r="L237" i="27"/>
  <c r="L238" i="27"/>
  <c r="L239" i="27"/>
  <c r="L240" i="27"/>
  <c r="L241" i="27"/>
  <c r="L242" i="27"/>
  <c r="L243" i="27"/>
  <c r="L244" i="27"/>
  <c r="L245" i="27"/>
  <c r="L246" i="27"/>
  <c r="L247" i="27"/>
  <c r="L248" i="27"/>
  <c r="L249" i="27"/>
  <c r="L250" i="27"/>
  <c r="L251" i="27"/>
  <c r="N251" i="27" s="1"/>
  <c r="O251" i="27" s="1"/>
  <c r="L252" i="27"/>
  <c r="L253" i="27"/>
  <c r="L254" i="27"/>
  <c r="L255" i="27"/>
  <c r="L256" i="27"/>
  <c r="L257" i="27"/>
  <c r="L258" i="27"/>
  <c r="L259" i="27"/>
  <c r="L260" i="27"/>
  <c r="L261" i="27"/>
  <c r="L262" i="27"/>
  <c r="L263" i="27"/>
  <c r="L264" i="27"/>
  <c r="L265" i="27"/>
  <c r="L266" i="27"/>
  <c r="L267" i="27"/>
  <c r="L268" i="27"/>
  <c r="L269" i="27"/>
  <c r="L270" i="27"/>
  <c r="L271" i="27"/>
  <c r="L272" i="27"/>
  <c r="L273" i="27"/>
  <c r="L274" i="27"/>
  <c r="L275" i="27"/>
  <c r="L276" i="27"/>
  <c r="L277" i="27"/>
  <c r="L278" i="27"/>
  <c r="L279" i="27"/>
  <c r="L280" i="27"/>
  <c r="L281" i="27"/>
  <c r="L282" i="27"/>
  <c r="L283" i="27"/>
  <c r="N283" i="27" s="1"/>
  <c r="O283" i="27" s="1"/>
  <c r="L284" i="27"/>
  <c r="L285" i="27"/>
  <c r="L286" i="27"/>
  <c r="L287" i="27"/>
  <c r="L288" i="27"/>
  <c r="L289" i="27"/>
  <c r="L290" i="27"/>
  <c r="L291" i="27"/>
  <c r="L292" i="27"/>
  <c r="L293" i="27"/>
  <c r="L294" i="27"/>
  <c r="L295" i="27"/>
  <c r="L296" i="27"/>
  <c r="L297" i="27"/>
  <c r="L298" i="27"/>
  <c r="L299" i="27"/>
  <c r="L300" i="27"/>
  <c r="L301" i="27"/>
  <c r="L302" i="27"/>
  <c r="L303" i="27"/>
  <c r="L304" i="27"/>
  <c r="L305" i="27"/>
  <c r="L306" i="27"/>
  <c r="L307" i="27"/>
  <c r="L308" i="27"/>
  <c r="L309" i="27"/>
  <c r="L310" i="27"/>
  <c r="L311" i="27"/>
  <c r="L312" i="27"/>
  <c r="L313" i="27"/>
  <c r="L314" i="27"/>
  <c r="L315" i="27"/>
  <c r="N315" i="27" s="1"/>
  <c r="O315" i="27" s="1"/>
  <c r="L316" i="27"/>
  <c r="L317" i="27"/>
  <c r="L318" i="27"/>
  <c r="L319" i="27"/>
  <c r="L320" i="27"/>
  <c r="L321" i="27"/>
  <c r="L322" i="27"/>
  <c r="L323" i="27"/>
  <c r="L324" i="27"/>
  <c r="L325" i="27"/>
  <c r="L326" i="27"/>
  <c r="L327" i="27"/>
  <c r="L328" i="27"/>
  <c r="L329" i="27"/>
  <c r="L330" i="27"/>
  <c r="L331" i="27"/>
  <c r="L332" i="27"/>
  <c r="L333" i="27"/>
  <c r="L334" i="27"/>
  <c r="L335" i="27"/>
  <c r="L336" i="27"/>
  <c r="L337" i="27"/>
  <c r="L338" i="27"/>
  <c r="L339" i="27"/>
  <c r="N339" i="27" s="1"/>
  <c r="O339" i="27" s="1"/>
  <c r="L340" i="27"/>
  <c r="L341" i="27"/>
  <c r="L342" i="27"/>
  <c r="L343" i="27"/>
  <c r="L344" i="27"/>
  <c r="L345" i="27"/>
  <c r="L346" i="27"/>
  <c r="N346" i="27" s="1"/>
  <c r="O346" i="27" s="1"/>
  <c r="L347" i="27"/>
  <c r="L348" i="27"/>
  <c r="L349" i="27"/>
  <c r="L350" i="27"/>
  <c r="L351" i="27"/>
  <c r="L352" i="27"/>
  <c r="L353" i="27"/>
  <c r="L354" i="27"/>
  <c r="L355" i="27"/>
  <c r="L356" i="27"/>
  <c r="L357" i="27"/>
  <c r="L358" i="27"/>
  <c r="L359" i="27"/>
  <c r="L360" i="27"/>
  <c r="L361" i="27"/>
  <c r="BA361" i="27" s="1"/>
  <c r="L362" i="27"/>
  <c r="L363" i="27"/>
  <c r="N363" i="27" s="1"/>
  <c r="O363" i="27" s="1"/>
  <c r="L364" i="27"/>
  <c r="L365" i="27"/>
  <c r="L366" i="27"/>
  <c r="L367" i="27"/>
  <c r="L368" i="27"/>
  <c r="L369" i="27"/>
  <c r="L370" i="27"/>
  <c r="L371" i="27"/>
  <c r="N371" i="27" s="1"/>
  <c r="O371" i="27" s="1"/>
  <c r="L372" i="27"/>
  <c r="L373" i="27"/>
  <c r="L374" i="27"/>
  <c r="L375" i="27"/>
  <c r="L376" i="27"/>
  <c r="L377" i="27"/>
  <c r="L378" i="27"/>
  <c r="L379" i="27"/>
  <c r="N379" i="27" s="1"/>
  <c r="O379" i="27" s="1"/>
  <c r="L380" i="27"/>
  <c r="L381" i="27"/>
  <c r="L382" i="27"/>
  <c r="L383" i="27"/>
  <c r="L384" i="27"/>
  <c r="L385" i="27"/>
  <c r="L386" i="27"/>
  <c r="L387" i="27"/>
  <c r="L388" i="27"/>
  <c r="L389" i="27"/>
  <c r="L390" i="27"/>
  <c r="L391" i="27"/>
  <c r="L392" i="27"/>
  <c r="L393" i="27"/>
  <c r="L394" i="27"/>
  <c r="L395" i="27"/>
  <c r="N395" i="27" s="1"/>
  <c r="O395" i="27" s="1"/>
  <c r="L396" i="27"/>
  <c r="L397" i="27"/>
  <c r="L398" i="27"/>
  <c r="L399" i="27"/>
  <c r="N399" i="27" s="1"/>
  <c r="O399" i="27" s="1"/>
  <c r="L400" i="27"/>
  <c r="L401" i="27"/>
  <c r="L402" i="27"/>
  <c r="L403" i="27"/>
  <c r="L404" i="27"/>
  <c r="L405" i="27"/>
  <c r="L406" i="27"/>
  <c r="L407" i="27"/>
  <c r="L408" i="27"/>
  <c r="L409" i="27"/>
  <c r="L410" i="27"/>
  <c r="L411" i="27"/>
  <c r="N411" i="27" s="1"/>
  <c r="O411" i="27" s="1"/>
  <c r="L412" i="27"/>
  <c r="L413" i="27"/>
  <c r="L414" i="27"/>
  <c r="L415" i="27"/>
  <c r="L416" i="27"/>
  <c r="L417" i="27"/>
  <c r="L418" i="27"/>
  <c r="L419" i="27"/>
  <c r="N419" i="27" s="1"/>
  <c r="O419" i="27" s="1"/>
  <c r="L420" i="27"/>
  <c r="L421" i="27"/>
  <c r="L422" i="27"/>
  <c r="L423" i="27"/>
  <c r="L424" i="27"/>
  <c r="L425" i="27"/>
  <c r="L426" i="27"/>
  <c r="L427" i="27"/>
  <c r="L428" i="27"/>
  <c r="L429" i="27"/>
  <c r="L430" i="27"/>
  <c r="L431" i="27"/>
  <c r="L432" i="27"/>
  <c r="L433" i="27"/>
  <c r="L434" i="27"/>
  <c r="L435" i="27"/>
  <c r="N435" i="27" s="1"/>
  <c r="O435" i="27" s="1"/>
  <c r="L436" i="27"/>
  <c r="L437" i="27"/>
  <c r="L438" i="27"/>
  <c r="L439" i="27"/>
  <c r="L440" i="27"/>
  <c r="L441" i="27"/>
  <c r="L442" i="27"/>
  <c r="L443" i="27"/>
  <c r="N443" i="27" s="1"/>
  <c r="O443" i="27" s="1"/>
  <c r="L445" i="27"/>
  <c r="L446" i="27"/>
  <c r="L447" i="27"/>
  <c r="L448" i="27"/>
  <c r="L449" i="27"/>
  <c r="L450" i="27"/>
  <c r="L451" i="27"/>
  <c r="L452" i="27"/>
  <c r="N452" i="27" s="1"/>
  <c r="O452" i="27" s="1"/>
  <c r="L453" i="27"/>
  <c r="L454" i="27"/>
  <c r="L455" i="27"/>
  <c r="L456" i="27"/>
  <c r="L457" i="27"/>
  <c r="L458" i="27"/>
  <c r="L459" i="27"/>
  <c r="N459" i="27" s="1"/>
  <c r="O459" i="27" s="1"/>
  <c r="L460" i="27"/>
  <c r="N460" i="27" s="1"/>
  <c r="O460" i="27" s="1"/>
  <c r="L461" i="27"/>
  <c r="L462" i="27"/>
  <c r="L463" i="27"/>
  <c r="L464" i="27"/>
  <c r="L465" i="27"/>
  <c r="L466" i="27"/>
  <c r="L467" i="27"/>
  <c r="L468" i="27"/>
  <c r="L469" i="27"/>
  <c r="L470" i="27"/>
  <c r="L471" i="27"/>
  <c r="L472" i="27"/>
  <c r="L473" i="27"/>
  <c r="L474" i="27"/>
  <c r="L475" i="27"/>
  <c r="L476" i="27"/>
  <c r="N476" i="27" s="1"/>
  <c r="O476" i="27" s="1"/>
  <c r="L477" i="27"/>
  <c r="L478" i="27"/>
  <c r="L479" i="27"/>
  <c r="L480" i="27"/>
  <c r="L481" i="27"/>
  <c r="L482" i="27"/>
  <c r="L483" i="27"/>
  <c r="L484" i="27"/>
  <c r="N484" i="27" s="1"/>
  <c r="O484" i="27" s="1"/>
  <c r="L485" i="27"/>
  <c r="L486" i="27"/>
  <c r="L487" i="27"/>
  <c r="L488" i="27"/>
  <c r="L489" i="27"/>
  <c r="L490" i="27"/>
  <c r="L491" i="27"/>
  <c r="L492" i="27"/>
  <c r="N492" i="27" s="1"/>
  <c r="O492" i="27" s="1"/>
  <c r="L493" i="27"/>
  <c r="L494" i="27"/>
  <c r="L495" i="27"/>
  <c r="L496" i="27"/>
  <c r="L497" i="27"/>
  <c r="L498" i="27"/>
  <c r="L499" i="27"/>
  <c r="L500" i="27"/>
  <c r="N500" i="27" s="1"/>
  <c r="O500" i="27" s="1"/>
  <c r="L501" i="27"/>
  <c r="L502" i="27"/>
  <c r="L503" i="27"/>
  <c r="L504" i="27"/>
  <c r="L505" i="27"/>
  <c r="L506" i="27"/>
  <c r="L507" i="27"/>
  <c r="L508" i="27"/>
  <c r="N508" i="27" s="1"/>
  <c r="O508" i="27" s="1"/>
  <c r="L509" i="27"/>
  <c r="L510" i="27"/>
  <c r="L511" i="27"/>
  <c r="L512" i="27"/>
  <c r="L513" i="27"/>
  <c r="L514" i="27"/>
  <c r="L515" i="27"/>
  <c r="L516" i="27"/>
  <c r="N516" i="27" s="1"/>
  <c r="O516" i="27" s="1"/>
  <c r="L517" i="27"/>
  <c r="L518" i="27"/>
  <c r="L519" i="27"/>
  <c r="L520" i="27"/>
  <c r="L521" i="27"/>
  <c r="L522" i="27"/>
  <c r="L523" i="27"/>
  <c r="L524" i="27"/>
  <c r="N524" i="27" s="1"/>
  <c r="O524" i="27" s="1"/>
  <c r="L525" i="27"/>
  <c r="L526" i="27"/>
  <c r="L527" i="27"/>
  <c r="L528" i="27"/>
  <c r="L529" i="27"/>
  <c r="L530" i="27"/>
  <c r="L531" i="27"/>
  <c r="L532" i="27"/>
  <c r="N532" i="27" s="1"/>
  <c r="O532" i="27" s="1"/>
  <c r="L533" i="27"/>
  <c r="L534" i="27"/>
  <c r="L535" i="27"/>
  <c r="L536" i="27"/>
  <c r="L537" i="27"/>
  <c r="L538" i="27"/>
  <c r="L539" i="27"/>
  <c r="L540" i="27"/>
  <c r="N540" i="27" s="1"/>
  <c r="O540" i="27" s="1"/>
  <c r="L541" i="27"/>
  <c r="L542" i="27"/>
  <c r="L543" i="27"/>
  <c r="L544" i="27"/>
  <c r="N544" i="27" s="1"/>
  <c r="O544" i="27" s="1"/>
  <c r="L545" i="27"/>
  <c r="L546" i="27"/>
  <c r="L547" i="27"/>
  <c r="L548" i="27"/>
  <c r="L549" i="27"/>
  <c r="L550" i="27"/>
  <c r="L551" i="27"/>
  <c r="L552" i="27"/>
  <c r="L553" i="27"/>
  <c r="L554" i="27"/>
  <c r="L555" i="27"/>
  <c r="L556" i="27"/>
  <c r="L557" i="27"/>
  <c r="L558" i="27"/>
  <c r="L559" i="27"/>
  <c r="L560" i="27"/>
  <c r="L561" i="27"/>
  <c r="L562" i="27"/>
  <c r="L563" i="27"/>
  <c r="L564" i="27"/>
  <c r="N564" i="27" s="1"/>
  <c r="O564" i="27" s="1"/>
  <c r="L565" i="27"/>
  <c r="L566" i="27"/>
  <c r="L567" i="27"/>
  <c r="L568" i="27"/>
  <c r="L569" i="27"/>
  <c r="L570" i="27"/>
  <c r="L571" i="27"/>
  <c r="L572" i="27"/>
  <c r="L573" i="27"/>
  <c r="L574" i="27"/>
  <c r="L575" i="27"/>
  <c r="L576" i="27"/>
  <c r="N576" i="27" s="1"/>
  <c r="O576" i="27" s="1"/>
  <c r="L577" i="27"/>
  <c r="L578" i="27"/>
  <c r="L579" i="27"/>
  <c r="L580" i="27"/>
  <c r="L581" i="27"/>
  <c r="L582" i="27"/>
  <c r="L583" i="27"/>
  <c r="L584" i="27"/>
  <c r="L585" i="27"/>
  <c r="L586" i="27"/>
  <c r="L587" i="27"/>
  <c r="N587" i="27" s="1"/>
  <c r="O587" i="27" s="1"/>
  <c r="L588" i="27"/>
  <c r="L589" i="27"/>
  <c r="L590" i="27"/>
  <c r="L591" i="27"/>
  <c r="L592" i="27"/>
  <c r="N592" i="27" s="1"/>
  <c r="O592" i="27" s="1"/>
  <c r="L593" i="27"/>
  <c r="L594" i="27"/>
  <c r="L595" i="27"/>
  <c r="L596" i="27"/>
  <c r="N596" i="27" s="1"/>
  <c r="O596" i="27" s="1"/>
  <c r="L598" i="27"/>
  <c r="L599" i="27"/>
  <c r="L600" i="27"/>
  <c r="L601" i="27"/>
  <c r="L602" i="27"/>
  <c r="L603" i="27"/>
  <c r="L604" i="27"/>
  <c r="L605" i="27"/>
  <c r="L606" i="27"/>
  <c r="L607" i="27"/>
  <c r="L608" i="27"/>
  <c r="L609" i="27"/>
  <c r="L610" i="27"/>
  <c r="L611" i="27"/>
  <c r="L612" i="27"/>
  <c r="N612" i="27" s="1"/>
  <c r="O612" i="27" s="1"/>
  <c r="L613" i="27"/>
  <c r="L614" i="27"/>
  <c r="L615" i="27"/>
  <c r="L616" i="27"/>
  <c r="L617" i="27"/>
  <c r="L618" i="27"/>
  <c r="L619" i="27"/>
  <c r="L620" i="27"/>
  <c r="N620" i="27" s="1"/>
  <c r="O620" i="27" s="1"/>
  <c r="L621" i="27"/>
  <c r="L622" i="27"/>
  <c r="L623" i="27"/>
  <c r="L624" i="27"/>
  <c r="L625" i="27"/>
  <c r="L626" i="27"/>
  <c r="L627" i="27"/>
  <c r="L628" i="27"/>
  <c r="N628" i="27" s="1"/>
  <c r="O628" i="27" s="1"/>
  <c r="L629" i="27"/>
  <c r="L630" i="27"/>
  <c r="L631" i="27"/>
  <c r="L632" i="27"/>
  <c r="L633" i="27"/>
  <c r="L634" i="27"/>
  <c r="L635" i="27"/>
  <c r="N635" i="27" s="1"/>
  <c r="O635" i="27" s="1"/>
  <c r="L636" i="27"/>
  <c r="L637" i="27"/>
  <c r="L638" i="27"/>
  <c r="L639" i="27"/>
  <c r="N639" i="27" s="1"/>
  <c r="O639" i="27" s="1"/>
  <c r="L640" i="27"/>
  <c r="L641" i="27"/>
  <c r="L642" i="27"/>
  <c r="L643" i="27"/>
  <c r="L644" i="27"/>
  <c r="L645" i="27"/>
  <c r="L646" i="27"/>
  <c r="L647" i="27"/>
  <c r="L648" i="27"/>
  <c r="L649" i="27"/>
  <c r="L650" i="27"/>
  <c r="L651" i="27"/>
  <c r="L652" i="27"/>
  <c r="L653" i="27"/>
  <c r="L654" i="27"/>
  <c r="N654" i="27" s="1"/>
  <c r="O654" i="27" s="1"/>
  <c r="L655" i="27"/>
  <c r="BA655" i="27" s="1"/>
  <c r="L656" i="27"/>
  <c r="N10" i="27"/>
  <c r="O10" i="27" s="1"/>
  <c r="N13" i="27"/>
  <c r="O13" i="27" s="1"/>
  <c r="N18" i="27"/>
  <c r="O18" i="27" s="1"/>
  <c r="N22" i="27"/>
  <c r="O22" i="27" s="1"/>
  <c r="N26" i="27"/>
  <c r="O26" i="27" s="1"/>
  <c r="N34" i="27"/>
  <c r="O34" i="27" s="1"/>
  <c r="N38" i="27"/>
  <c r="O38" i="27" s="1"/>
  <c r="N42" i="27"/>
  <c r="O42" i="27" s="1"/>
  <c r="N45" i="27"/>
  <c r="O45" i="27" s="1"/>
  <c r="N54" i="27"/>
  <c r="O54" i="27" s="1"/>
  <c r="N58" i="27"/>
  <c r="O58" i="27" s="1"/>
  <c r="N67" i="27"/>
  <c r="O67" i="27" s="1"/>
  <c r="N72" i="27"/>
  <c r="O72" i="27" s="1"/>
  <c r="N81" i="27"/>
  <c r="O81" i="27" s="1"/>
  <c r="N89" i="27"/>
  <c r="O89" i="27" s="1"/>
  <c r="N93" i="27"/>
  <c r="O93" i="27" s="1"/>
  <c r="N97" i="27"/>
  <c r="O97" i="27" s="1"/>
  <c r="N105" i="27"/>
  <c r="O105" i="27" s="1"/>
  <c r="N109" i="27"/>
  <c r="O109" i="27" s="1"/>
  <c r="N113" i="27"/>
  <c r="O113" i="27" s="1"/>
  <c r="N120" i="27"/>
  <c r="O120" i="27" s="1"/>
  <c r="N121" i="27"/>
  <c r="O121" i="27" s="1"/>
  <c r="N129" i="27"/>
  <c r="O129" i="27" s="1"/>
  <c r="N142" i="27"/>
  <c r="O142" i="27" s="1"/>
  <c r="N154" i="27"/>
  <c r="O154" i="27" s="1"/>
  <c r="N158" i="27"/>
  <c r="O158" i="27" s="1"/>
  <c r="N162" i="27"/>
  <c r="O162" i="27" s="1"/>
  <c r="N174" i="27"/>
  <c r="O174" i="27" s="1"/>
  <c r="N178" i="27"/>
  <c r="O178" i="27" s="1"/>
  <c r="N187" i="27"/>
  <c r="O187" i="27" s="1"/>
  <c r="N191" i="27"/>
  <c r="O191" i="27" s="1"/>
  <c r="N195" i="27"/>
  <c r="O195" i="27" s="1"/>
  <c r="N207" i="27"/>
  <c r="O207" i="27" s="1"/>
  <c r="N211" i="27"/>
  <c r="O211" i="27" s="1"/>
  <c r="N219" i="27"/>
  <c r="O219" i="27" s="1"/>
  <c r="N223" i="27"/>
  <c r="O223" i="27" s="1"/>
  <c r="N227" i="27"/>
  <c r="O227" i="27" s="1"/>
  <c r="N235" i="27"/>
  <c r="O235" i="27" s="1"/>
  <c r="N239" i="27"/>
  <c r="O239" i="27" s="1"/>
  <c r="N243" i="27"/>
  <c r="O243" i="27" s="1"/>
  <c r="N255" i="27"/>
  <c r="O255" i="27" s="1"/>
  <c r="N266" i="27"/>
  <c r="O266" i="27" s="1"/>
  <c r="N271" i="27"/>
  <c r="O271" i="27" s="1"/>
  <c r="N275" i="27"/>
  <c r="O275" i="27" s="1"/>
  <c r="N287" i="27"/>
  <c r="O287" i="27" s="1"/>
  <c r="N291" i="27"/>
  <c r="O291" i="27" s="1"/>
  <c r="N298" i="27"/>
  <c r="O298" i="27" s="1"/>
  <c r="N299" i="27"/>
  <c r="O299" i="27" s="1"/>
  <c r="N303" i="27"/>
  <c r="O303" i="27" s="1"/>
  <c r="N307" i="27"/>
  <c r="O307" i="27" s="1"/>
  <c r="N323" i="27"/>
  <c r="O323" i="27" s="1"/>
  <c r="N335" i="27"/>
  <c r="O335" i="27" s="1"/>
  <c r="N347" i="27"/>
  <c r="O347" i="27" s="1"/>
  <c r="N351" i="27"/>
  <c r="O351" i="27" s="1"/>
  <c r="N355" i="27"/>
  <c r="O355" i="27" s="1"/>
  <c r="N367" i="27"/>
  <c r="O367" i="27" s="1"/>
  <c r="N383" i="27"/>
  <c r="O383" i="27" s="1"/>
  <c r="N387" i="27"/>
  <c r="O387" i="27" s="1"/>
  <c r="N394" i="27"/>
  <c r="O394" i="27" s="1"/>
  <c r="N403" i="27"/>
  <c r="O403" i="27" s="1"/>
  <c r="N415" i="27"/>
  <c r="O415" i="27" s="1"/>
  <c r="N427" i="27"/>
  <c r="O427" i="27" s="1"/>
  <c r="N448" i="27"/>
  <c r="O448" i="27" s="1"/>
  <c r="N464" i="27"/>
  <c r="O464" i="27" s="1"/>
  <c r="N468" i="27"/>
  <c r="O468" i="27" s="1"/>
  <c r="N480" i="27"/>
  <c r="O480" i="27" s="1"/>
  <c r="N496" i="27"/>
  <c r="O496" i="27" s="1"/>
  <c r="N512" i="27"/>
  <c r="O512" i="27" s="1"/>
  <c r="N528" i="27"/>
  <c r="O528" i="27" s="1"/>
  <c r="N548" i="27"/>
  <c r="O548" i="27" s="1"/>
  <c r="N556" i="27"/>
  <c r="O556" i="27" s="1"/>
  <c r="N560" i="27"/>
  <c r="O560" i="27" s="1"/>
  <c r="N580" i="27"/>
  <c r="O580" i="27" s="1"/>
  <c r="N608" i="27"/>
  <c r="O608" i="27" s="1"/>
  <c r="N643" i="27"/>
  <c r="O643" i="27" s="1"/>
  <c r="AK8" i="27"/>
  <c r="AL8" i="27" s="1"/>
  <c r="AN8" i="27" s="1"/>
  <c r="AK9" i="27"/>
  <c r="AL9" i="27" s="1"/>
  <c r="AN9" i="27" s="1"/>
  <c r="AK10" i="27"/>
  <c r="AL10" i="27" s="1"/>
  <c r="AN10" i="27" s="1"/>
  <c r="AK11" i="27"/>
  <c r="AL11" i="27" s="1"/>
  <c r="AN11" i="27" s="1"/>
  <c r="AK12" i="27"/>
  <c r="AL12" i="27" s="1"/>
  <c r="AN12" i="27" s="1"/>
  <c r="AK13" i="27"/>
  <c r="AK14" i="27"/>
  <c r="AL14" i="27" s="1"/>
  <c r="AN14" i="27" s="1"/>
  <c r="AK15" i="27"/>
  <c r="AK16" i="27"/>
  <c r="AL16" i="27" s="1"/>
  <c r="AN16" i="27" s="1"/>
  <c r="AK17" i="27"/>
  <c r="AL17" i="27" s="1"/>
  <c r="AN17" i="27" s="1"/>
  <c r="AK18" i="27"/>
  <c r="AK19" i="27"/>
  <c r="AL19" i="27" s="1"/>
  <c r="AN19" i="27" s="1"/>
  <c r="AK20" i="27"/>
  <c r="AL20" i="27" s="1"/>
  <c r="AN20" i="27" s="1"/>
  <c r="AK21" i="27"/>
  <c r="AL21" i="27" s="1"/>
  <c r="AN21" i="27" s="1"/>
  <c r="AK22" i="27"/>
  <c r="AK23" i="27"/>
  <c r="AK24" i="27"/>
  <c r="AL24" i="27" s="1"/>
  <c r="AN24" i="27" s="1"/>
  <c r="AK25" i="27"/>
  <c r="AK26" i="27"/>
  <c r="AL26" i="27" s="1"/>
  <c r="AN26" i="27" s="1"/>
  <c r="AK27" i="27"/>
  <c r="AL27" i="27" s="1"/>
  <c r="AN27" i="27" s="1"/>
  <c r="AK28" i="27"/>
  <c r="AM28" i="27" s="1"/>
  <c r="AK29" i="27"/>
  <c r="AK30" i="27"/>
  <c r="AL30" i="27" s="1"/>
  <c r="AN30" i="27" s="1"/>
  <c r="AK31" i="27"/>
  <c r="AL31" i="27" s="1"/>
  <c r="AN31" i="27" s="1"/>
  <c r="AK32" i="27"/>
  <c r="AL32" i="27" s="1"/>
  <c r="AN32" i="27" s="1"/>
  <c r="AK33" i="27"/>
  <c r="AK34" i="27"/>
  <c r="AL34" i="27" s="1"/>
  <c r="AN34" i="27" s="1"/>
  <c r="AK35" i="27"/>
  <c r="AL35" i="27" s="1"/>
  <c r="AN35" i="27" s="1"/>
  <c r="AK36" i="27"/>
  <c r="AM36" i="27" s="1"/>
  <c r="AK37" i="27"/>
  <c r="AM37" i="27" s="1"/>
  <c r="AK38" i="27"/>
  <c r="AK39" i="27"/>
  <c r="AK40" i="27"/>
  <c r="AM40" i="27" s="1"/>
  <c r="AK41" i="27"/>
  <c r="AM41" i="27" s="1"/>
  <c r="AK42" i="27"/>
  <c r="AK43" i="27"/>
  <c r="AL43" i="27" s="1"/>
  <c r="AN43" i="27" s="1"/>
  <c r="AK44" i="27"/>
  <c r="AM44" i="27" s="1"/>
  <c r="AK45" i="27"/>
  <c r="AK46" i="27"/>
  <c r="AL46" i="27" s="1"/>
  <c r="AN46" i="27" s="1"/>
  <c r="AK47" i="27"/>
  <c r="AK48" i="27"/>
  <c r="AL48" i="27" s="1"/>
  <c r="AN48" i="27" s="1"/>
  <c r="AK49" i="27"/>
  <c r="AL49" i="27" s="1"/>
  <c r="AN49" i="27" s="1"/>
  <c r="AK50" i="27"/>
  <c r="AL50" i="27" s="1"/>
  <c r="AN50" i="27" s="1"/>
  <c r="AK51" i="27"/>
  <c r="AL51" i="27" s="1"/>
  <c r="AN51" i="27" s="1"/>
  <c r="AK52" i="27"/>
  <c r="AL52" i="27" s="1"/>
  <c r="AN52" i="27" s="1"/>
  <c r="AK53" i="27"/>
  <c r="AM53" i="27" s="1"/>
  <c r="AK54" i="27"/>
  <c r="AL54" i="27" s="1"/>
  <c r="AN54" i="27" s="1"/>
  <c r="AK55" i="27"/>
  <c r="AK56" i="27"/>
  <c r="AM56" i="27" s="1"/>
  <c r="AK57" i="27"/>
  <c r="AK58" i="27"/>
  <c r="AL58" i="27" s="1"/>
  <c r="AN58" i="27" s="1"/>
  <c r="AK59" i="27"/>
  <c r="AL59" i="27" s="1"/>
  <c r="AN59" i="27" s="1"/>
  <c r="AK62" i="27"/>
  <c r="AM62" i="27" s="1"/>
  <c r="AK63" i="27"/>
  <c r="AK64" i="27"/>
  <c r="AL64" i="27" s="1"/>
  <c r="AN64" i="27" s="1"/>
  <c r="AK65" i="27"/>
  <c r="AL65" i="27" s="1"/>
  <c r="AN65" i="27" s="1"/>
  <c r="AK66" i="27"/>
  <c r="AL66" i="27" s="1"/>
  <c r="AN66" i="27" s="1"/>
  <c r="AK67" i="27"/>
  <c r="AM67" i="27" s="1"/>
  <c r="AK68" i="27"/>
  <c r="AL68" i="27" s="1"/>
  <c r="AN68" i="27" s="1"/>
  <c r="AK69" i="27"/>
  <c r="AL69" i="27" s="1"/>
  <c r="AN69" i="27" s="1"/>
  <c r="AK70" i="27"/>
  <c r="AL70" i="27" s="1"/>
  <c r="AN70" i="27" s="1"/>
  <c r="AK71" i="27"/>
  <c r="AL71" i="27" s="1"/>
  <c r="AN71" i="27" s="1"/>
  <c r="AK72" i="27"/>
  <c r="AK73" i="27"/>
  <c r="AK74" i="27"/>
  <c r="AL74" i="27" s="1"/>
  <c r="AN74" i="27" s="1"/>
  <c r="AK75" i="27"/>
  <c r="AM75" i="27" s="1"/>
  <c r="AK81" i="27"/>
  <c r="AK82" i="27"/>
  <c r="AL82" i="27" s="1"/>
  <c r="AN82" i="27" s="1"/>
  <c r="AK83" i="27"/>
  <c r="AL83" i="27" s="1"/>
  <c r="AN83" i="27" s="1"/>
  <c r="AK84" i="27"/>
  <c r="AM84" i="27" s="1"/>
  <c r="AK85" i="27"/>
  <c r="AL85" i="27" s="1"/>
  <c r="AN85" i="27" s="1"/>
  <c r="AK86" i="27"/>
  <c r="AL86" i="27" s="1"/>
  <c r="AN86" i="27" s="1"/>
  <c r="AK87" i="27"/>
  <c r="AL87" i="27" s="1"/>
  <c r="AN87" i="27" s="1"/>
  <c r="AK88" i="27"/>
  <c r="AL88" i="27" s="1"/>
  <c r="AN88" i="27" s="1"/>
  <c r="AK89" i="27"/>
  <c r="AL89" i="27" s="1"/>
  <c r="AN89" i="27" s="1"/>
  <c r="AK90" i="27"/>
  <c r="AL90" i="27" s="1"/>
  <c r="AN90" i="27" s="1"/>
  <c r="AK91" i="27"/>
  <c r="AL91" i="27" s="1"/>
  <c r="AN91" i="27" s="1"/>
  <c r="AK92" i="27"/>
  <c r="AM92" i="27" s="1"/>
  <c r="AK93" i="27"/>
  <c r="AK94" i="27"/>
  <c r="AK95" i="27"/>
  <c r="AL95" i="27" s="1"/>
  <c r="AN95" i="27" s="1"/>
  <c r="AK96" i="27"/>
  <c r="AK97" i="27"/>
  <c r="AK98" i="27"/>
  <c r="AL98" i="27" s="1"/>
  <c r="AN98" i="27" s="1"/>
  <c r="AK99" i="27"/>
  <c r="AL99" i="27" s="1"/>
  <c r="AN99" i="27" s="1"/>
  <c r="AK100" i="27"/>
  <c r="AK101" i="27"/>
  <c r="AL101" i="27" s="1"/>
  <c r="AN101" i="27" s="1"/>
  <c r="AK102" i="27"/>
  <c r="AK103" i="27"/>
  <c r="AL103" i="27" s="1"/>
  <c r="AN103" i="27" s="1"/>
  <c r="AK104" i="27"/>
  <c r="AM104" i="27" s="1"/>
  <c r="AK105" i="27"/>
  <c r="AL105" i="27" s="1"/>
  <c r="AN105" i="27" s="1"/>
  <c r="AK106" i="27"/>
  <c r="AL106" i="27" s="1"/>
  <c r="AN106" i="27" s="1"/>
  <c r="AK107" i="27"/>
  <c r="AL107" i="27" s="1"/>
  <c r="AN107" i="27" s="1"/>
  <c r="AK108" i="27"/>
  <c r="AM108" i="27" s="1"/>
  <c r="AK109" i="27"/>
  <c r="AL109" i="27" s="1"/>
  <c r="AN109" i="27" s="1"/>
  <c r="AK110" i="27"/>
  <c r="AK111" i="27"/>
  <c r="AL111" i="27" s="1"/>
  <c r="AN111" i="27" s="1"/>
  <c r="AK112" i="27"/>
  <c r="AL112" i="27" s="1"/>
  <c r="AN112" i="27" s="1"/>
  <c r="AK113" i="27"/>
  <c r="AL113" i="27" s="1"/>
  <c r="AN113" i="27" s="1"/>
  <c r="AK114" i="27"/>
  <c r="AL114" i="27" s="1"/>
  <c r="AN114" i="27" s="1"/>
  <c r="AK115" i="27"/>
  <c r="AL115" i="27" s="1"/>
  <c r="AN115" i="27" s="1"/>
  <c r="AK116" i="27"/>
  <c r="AK117" i="27"/>
  <c r="AK118" i="27"/>
  <c r="AK119" i="27"/>
  <c r="AL119" i="27" s="1"/>
  <c r="AN119" i="27" s="1"/>
  <c r="AK120" i="27"/>
  <c r="AL120" i="27" s="1"/>
  <c r="AN120" i="27" s="1"/>
  <c r="AK121" i="27"/>
  <c r="AL121" i="27" s="1"/>
  <c r="AN121" i="27" s="1"/>
  <c r="AK122" i="27"/>
  <c r="AM122" i="27" s="1"/>
  <c r="AK123" i="27"/>
  <c r="AL123" i="27" s="1"/>
  <c r="AN123" i="27" s="1"/>
  <c r="AK124" i="27"/>
  <c r="AK125" i="27"/>
  <c r="AK126" i="27"/>
  <c r="AM126" i="27" s="1"/>
  <c r="AK127" i="27"/>
  <c r="AL127" i="27" s="1"/>
  <c r="AN127" i="27" s="1"/>
  <c r="AK128" i="27"/>
  <c r="AM128" i="27" s="1"/>
  <c r="AK129" i="27"/>
  <c r="AK130" i="27"/>
  <c r="AK131" i="27"/>
  <c r="AL131" i="27" s="1"/>
  <c r="AN131" i="27" s="1"/>
  <c r="AK132" i="27"/>
  <c r="AL132" i="27" s="1"/>
  <c r="AN132" i="27" s="1"/>
  <c r="AK134" i="27"/>
  <c r="AL134" i="27" s="1"/>
  <c r="AN134" i="27" s="1"/>
  <c r="AK135" i="27"/>
  <c r="AK136" i="27"/>
  <c r="AL136" i="27" s="1"/>
  <c r="AN136" i="27" s="1"/>
  <c r="AK137" i="27"/>
  <c r="AL137" i="27" s="1"/>
  <c r="AN137" i="27" s="1"/>
  <c r="AK138" i="27"/>
  <c r="AL138" i="27" s="1"/>
  <c r="AN138" i="27" s="1"/>
  <c r="AK139" i="27"/>
  <c r="AK140" i="27"/>
  <c r="AL140" i="27" s="1"/>
  <c r="AN140" i="27" s="1"/>
  <c r="AK141" i="27"/>
  <c r="AM141" i="27" s="1"/>
  <c r="AK142" i="27"/>
  <c r="AK143" i="27"/>
  <c r="AK144" i="27"/>
  <c r="AL144" i="27" s="1"/>
  <c r="AN144" i="27" s="1"/>
  <c r="AK145" i="27"/>
  <c r="AK146" i="27"/>
  <c r="AK147" i="27"/>
  <c r="AL147" i="27" s="1"/>
  <c r="AN147" i="27" s="1"/>
  <c r="AK148" i="27"/>
  <c r="AL148" i="27" s="1"/>
  <c r="AN148" i="27" s="1"/>
  <c r="AK149" i="27"/>
  <c r="AK150" i="27"/>
  <c r="AL150" i="27" s="1"/>
  <c r="AN150" i="27" s="1"/>
  <c r="AK151" i="27"/>
  <c r="AK152" i="27"/>
  <c r="AL152" i="27" s="1"/>
  <c r="AN152" i="27" s="1"/>
  <c r="AK153" i="27"/>
  <c r="AL153" i="27" s="1"/>
  <c r="AN153" i="27" s="1"/>
  <c r="AK154" i="27"/>
  <c r="AL154" i="27" s="1"/>
  <c r="AN154" i="27" s="1"/>
  <c r="AK155" i="27"/>
  <c r="AM155" i="27" s="1"/>
  <c r="AK156" i="27"/>
  <c r="AL156" i="27" s="1"/>
  <c r="AN156" i="27" s="1"/>
  <c r="AK157" i="27"/>
  <c r="AM157" i="27" s="1"/>
  <c r="AK158" i="27"/>
  <c r="AK159" i="27"/>
  <c r="AK160" i="27"/>
  <c r="AM160" i="27" s="1"/>
  <c r="AK161" i="27"/>
  <c r="AL161" i="27" s="1"/>
  <c r="AN161" i="27" s="1"/>
  <c r="AK162" i="27"/>
  <c r="AL162" i="27" s="1"/>
  <c r="AN162" i="27" s="1"/>
  <c r="AK163" i="27"/>
  <c r="AL163" i="27" s="1"/>
  <c r="AN163" i="27" s="1"/>
  <c r="AK164" i="27"/>
  <c r="AL164" i="27" s="1"/>
  <c r="AN164" i="27" s="1"/>
  <c r="AK165" i="27"/>
  <c r="AL165" i="27" s="1"/>
  <c r="AN165" i="27" s="1"/>
  <c r="AK166" i="27"/>
  <c r="AL166" i="27" s="1"/>
  <c r="AN166" i="27" s="1"/>
  <c r="AK167" i="27"/>
  <c r="AL167" i="27" s="1"/>
  <c r="AN167" i="27" s="1"/>
  <c r="AK168" i="27"/>
  <c r="AL168" i="27" s="1"/>
  <c r="AN168" i="27" s="1"/>
  <c r="AK169" i="27"/>
  <c r="AL169" i="27" s="1"/>
  <c r="AN169" i="27" s="1"/>
  <c r="AK170" i="27"/>
  <c r="AK171" i="27"/>
  <c r="AL171" i="27" s="1"/>
  <c r="AN171" i="27" s="1"/>
  <c r="AK172" i="27"/>
  <c r="AM172" i="27" s="1"/>
  <c r="AK173" i="27"/>
  <c r="AL173" i="27" s="1"/>
  <c r="AN173" i="27" s="1"/>
  <c r="AK174" i="27"/>
  <c r="AK175" i="27"/>
  <c r="AK176" i="27"/>
  <c r="AL176" i="27" s="1"/>
  <c r="AN176" i="27" s="1"/>
  <c r="AK177" i="27"/>
  <c r="AK178" i="27"/>
  <c r="AL178" i="27" s="1"/>
  <c r="AN178" i="27" s="1"/>
  <c r="AK180" i="27"/>
  <c r="AL180" i="27" s="1"/>
  <c r="AN180" i="27" s="1"/>
  <c r="AK181" i="27"/>
  <c r="AL181" i="27" s="1"/>
  <c r="AN181" i="27" s="1"/>
  <c r="AK182" i="27"/>
  <c r="AK183" i="27"/>
  <c r="AL183" i="27" s="1"/>
  <c r="AN183" i="27" s="1"/>
  <c r="AK184" i="27"/>
  <c r="AM184" i="27" s="1"/>
  <c r="AK185" i="27"/>
  <c r="AL185" i="27" s="1"/>
  <c r="AN185" i="27" s="1"/>
  <c r="AK186" i="27"/>
  <c r="AM186" i="27" s="1"/>
  <c r="AK187" i="27"/>
  <c r="AK188" i="27"/>
  <c r="AM188" i="27" s="1"/>
  <c r="AK189" i="27"/>
  <c r="AL189" i="27" s="1"/>
  <c r="AN189" i="27" s="1"/>
  <c r="AK190" i="27"/>
  <c r="AL190" i="27" s="1"/>
  <c r="AN190" i="27" s="1"/>
  <c r="AK191" i="27"/>
  <c r="AK192" i="27"/>
  <c r="AK193" i="27"/>
  <c r="AL193" i="27" s="1"/>
  <c r="AN193" i="27" s="1"/>
  <c r="AK194" i="27"/>
  <c r="AK195" i="27"/>
  <c r="AK196" i="27"/>
  <c r="AL196" i="27" s="1"/>
  <c r="AN196" i="27" s="1"/>
  <c r="AK197" i="27"/>
  <c r="AM197" i="27" s="1"/>
  <c r="AK198" i="27"/>
  <c r="AL198" i="27" s="1"/>
  <c r="AN198" i="27" s="1"/>
  <c r="AK199" i="27"/>
  <c r="AL199" i="27" s="1"/>
  <c r="AN199" i="27" s="1"/>
  <c r="AK200" i="27"/>
  <c r="AK201" i="27"/>
  <c r="AL201" i="27" s="1"/>
  <c r="AN201" i="27" s="1"/>
  <c r="AK202" i="27"/>
  <c r="AM202" i="27" s="1"/>
  <c r="AK203" i="27"/>
  <c r="AL203" i="27" s="1"/>
  <c r="AN203" i="27" s="1"/>
  <c r="AK204" i="27"/>
  <c r="AM204" i="27" s="1"/>
  <c r="AK205" i="27"/>
  <c r="AL205" i="27" s="1"/>
  <c r="AN205" i="27" s="1"/>
  <c r="AK206" i="27"/>
  <c r="AL206" i="27" s="1"/>
  <c r="AN206" i="27" s="1"/>
  <c r="AK207" i="27"/>
  <c r="AK208" i="27"/>
  <c r="AK209" i="27"/>
  <c r="AL209" i="27" s="1"/>
  <c r="AN209" i="27" s="1"/>
  <c r="AK210" i="27"/>
  <c r="AL210" i="27" s="1"/>
  <c r="AN210" i="27" s="1"/>
  <c r="AK211" i="27"/>
  <c r="AK212" i="27"/>
  <c r="AL212" i="27" s="1"/>
  <c r="AN212" i="27" s="1"/>
  <c r="AK213" i="27"/>
  <c r="AL213" i="27" s="1"/>
  <c r="AN213" i="27" s="1"/>
  <c r="AK214" i="27"/>
  <c r="AK215" i="27"/>
  <c r="AL215" i="27" s="1"/>
  <c r="AN215" i="27" s="1"/>
  <c r="AK216" i="27"/>
  <c r="AK217" i="27"/>
  <c r="AL217" i="27" s="1"/>
  <c r="AN217" i="27" s="1"/>
  <c r="AK218" i="27"/>
  <c r="AK219" i="27"/>
  <c r="AL219" i="27" s="1"/>
  <c r="AN219" i="27" s="1"/>
  <c r="AK220" i="27"/>
  <c r="AM220" i="27" s="1"/>
  <c r="AK221" i="27"/>
  <c r="AL221" i="27" s="1"/>
  <c r="AN221" i="27" s="1"/>
  <c r="AK222" i="27"/>
  <c r="AM222" i="27" s="1"/>
  <c r="AK223" i="27"/>
  <c r="AK224" i="27"/>
  <c r="AK225" i="27"/>
  <c r="AL225" i="27" s="1"/>
  <c r="AN225" i="27" s="1"/>
  <c r="AK226" i="27"/>
  <c r="AK227" i="27"/>
  <c r="AK228" i="27"/>
  <c r="AL228" i="27" s="1"/>
  <c r="AN228" i="27" s="1"/>
  <c r="AK229" i="27"/>
  <c r="AL229" i="27" s="1"/>
  <c r="AN229" i="27" s="1"/>
  <c r="AK230" i="27"/>
  <c r="AK231" i="27"/>
  <c r="AK232" i="27"/>
  <c r="AK233" i="27"/>
  <c r="AL233" i="27" s="1"/>
  <c r="AN233" i="27" s="1"/>
  <c r="AK234" i="27"/>
  <c r="AL234" i="27" s="1"/>
  <c r="AN234" i="27" s="1"/>
  <c r="AK235" i="27"/>
  <c r="AL235" i="27" s="1"/>
  <c r="AN235" i="27" s="1"/>
  <c r="AK236" i="27"/>
  <c r="AM236" i="27" s="1"/>
  <c r="AK237" i="27"/>
  <c r="AM237" i="27" s="1"/>
  <c r="AK238" i="27"/>
  <c r="AM238" i="27" s="1"/>
  <c r="AK239" i="27"/>
  <c r="AK240" i="27"/>
  <c r="AK241" i="27"/>
  <c r="AL241" i="27" s="1"/>
  <c r="AN241" i="27" s="1"/>
  <c r="AK242" i="27"/>
  <c r="AK243" i="27"/>
  <c r="AK244" i="27"/>
  <c r="AL244" i="27" s="1"/>
  <c r="AN244" i="27" s="1"/>
  <c r="AK245" i="27"/>
  <c r="AL245" i="27" s="1"/>
  <c r="AN245" i="27" s="1"/>
  <c r="AK246" i="27"/>
  <c r="AK247" i="27"/>
  <c r="AK248" i="27"/>
  <c r="AK249" i="27"/>
  <c r="AL249" i="27" s="1"/>
  <c r="AN249" i="27" s="1"/>
  <c r="AK250" i="27"/>
  <c r="AL250" i="27" s="1"/>
  <c r="AN250" i="27" s="1"/>
  <c r="AK251" i="27"/>
  <c r="AK252" i="27"/>
  <c r="AL252" i="27" s="1"/>
  <c r="AN252" i="27" s="1"/>
  <c r="AK253" i="27"/>
  <c r="AL253" i="27" s="1"/>
  <c r="AN253" i="27" s="1"/>
  <c r="AK254" i="27"/>
  <c r="AM254" i="27" s="1"/>
  <c r="AK255" i="27"/>
  <c r="AL255" i="27" s="1"/>
  <c r="AN255" i="27" s="1"/>
  <c r="AK256" i="27"/>
  <c r="AL256" i="27" s="1"/>
  <c r="AN256" i="27" s="1"/>
  <c r="AK257" i="27"/>
  <c r="AM257" i="27" s="1"/>
  <c r="AK258" i="27"/>
  <c r="AK259" i="27"/>
  <c r="AL259" i="27" s="1"/>
  <c r="AN259" i="27" s="1"/>
  <c r="AK260" i="27"/>
  <c r="AL260" i="27" s="1"/>
  <c r="AN260" i="27" s="1"/>
  <c r="AK261" i="27"/>
  <c r="AL261" i="27" s="1"/>
  <c r="AN261" i="27" s="1"/>
  <c r="AK262" i="27"/>
  <c r="AK263" i="27"/>
  <c r="AL263" i="27" s="1"/>
  <c r="AN263" i="27" s="1"/>
  <c r="AK264" i="27"/>
  <c r="AK265" i="27"/>
  <c r="AL265" i="27" s="1"/>
  <c r="AN265" i="27" s="1"/>
  <c r="AK266" i="27"/>
  <c r="AM266" i="27" s="1"/>
  <c r="AK267" i="27"/>
  <c r="AL267" i="27" s="1"/>
  <c r="AN267" i="27" s="1"/>
  <c r="AK268" i="27"/>
  <c r="AM268" i="27" s="1"/>
  <c r="AK269" i="27"/>
  <c r="AL269" i="27" s="1"/>
  <c r="AN269" i="27" s="1"/>
  <c r="AK270" i="27"/>
  <c r="AL270" i="27" s="1"/>
  <c r="AN270" i="27" s="1"/>
  <c r="AK271" i="27"/>
  <c r="AK272" i="27"/>
  <c r="AK273" i="27"/>
  <c r="AM273" i="27" s="1"/>
  <c r="AK274" i="27"/>
  <c r="AL274" i="27" s="1"/>
  <c r="AN274" i="27" s="1"/>
  <c r="AK275" i="27"/>
  <c r="AL275" i="27" s="1"/>
  <c r="AN275" i="27" s="1"/>
  <c r="AK276" i="27"/>
  <c r="AL276" i="27" s="1"/>
  <c r="AN276" i="27" s="1"/>
  <c r="AK277" i="27"/>
  <c r="AL277" i="27" s="1"/>
  <c r="AN277" i="27" s="1"/>
  <c r="AK278" i="27"/>
  <c r="AK279" i="27"/>
  <c r="AK280" i="27"/>
  <c r="AK281" i="27"/>
  <c r="AL281" i="27" s="1"/>
  <c r="AN281" i="27" s="1"/>
  <c r="AK282" i="27"/>
  <c r="AL282" i="27" s="1"/>
  <c r="AN282" i="27" s="1"/>
  <c r="AK283" i="27"/>
  <c r="AL283" i="27" s="1"/>
  <c r="AN283" i="27" s="1"/>
  <c r="AK284" i="27"/>
  <c r="AL284" i="27" s="1"/>
  <c r="AN284" i="27" s="1"/>
  <c r="AK285" i="27"/>
  <c r="AL285" i="27" s="1"/>
  <c r="AN285" i="27" s="1"/>
  <c r="AK286" i="27"/>
  <c r="AL286" i="27" s="1"/>
  <c r="AN286" i="27" s="1"/>
  <c r="AK287" i="27"/>
  <c r="AK288" i="27"/>
  <c r="AK289" i="27"/>
  <c r="AM289" i="27" s="1"/>
  <c r="AK290" i="27"/>
  <c r="AK291" i="27"/>
  <c r="AL291" i="27" s="1"/>
  <c r="AN291" i="27" s="1"/>
  <c r="AK292" i="27"/>
  <c r="AL292" i="27" s="1"/>
  <c r="AN292" i="27" s="1"/>
  <c r="AK293" i="27"/>
  <c r="AM293" i="27" s="1"/>
  <c r="AK294" i="27"/>
  <c r="AK295" i="27"/>
  <c r="AL295" i="27" s="1"/>
  <c r="AN295" i="27" s="1"/>
  <c r="AK296" i="27"/>
  <c r="AK297" i="27"/>
  <c r="AL297" i="27" s="1"/>
  <c r="AN297" i="27" s="1"/>
  <c r="AK298" i="27"/>
  <c r="AM298" i="27" s="1"/>
  <c r="AK299" i="27"/>
  <c r="AL299" i="27" s="1"/>
  <c r="AN299" i="27" s="1"/>
  <c r="AK300" i="27"/>
  <c r="AL300" i="27" s="1"/>
  <c r="AN300" i="27" s="1"/>
  <c r="AK301" i="27"/>
  <c r="AL301" i="27" s="1"/>
  <c r="AN301" i="27" s="1"/>
  <c r="AK302" i="27"/>
  <c r="AL302" i="27" s="1"/>
  <c r="AN302" i="27" s="1"/>
  <c r="AK303" i="27"/>
  <c r="AL303" i="27" s="1"/>
  <c r="AN303" i="27" s="1"/>
  <c r="AK304" i="27"/>
  <c r="AL304" i="27" s="1"/>
  <c r="AN304" i="27" s="1"/>
  <c r="AK305" i="27"/>
  <c r="AL305" i="27" s="1"/>
  <c r="AN305" i="27" s="1"/>
  <c r="AK306" i="27"/>
  <c r="AM306" i="27" s="1"/>
  <c r="AK307" i="27"/>
  <c r="AL307" i="27" s="1"/>
  <c r="AN307" i="27" s="1"/>
  <c r="AK308" i="27"/>
  <c r="AL308" i="27" s="1"/>
  <c r="AN308" i="27" s="1"/>
  <c r="AK309" i="27"/>
  <c r="AM309" i="27" s="1"/>
  <c r="AK310" i="27"/>
  <c r="AK311" i="27"/>
  <c r="AL311" i="27" s="1"/>
  <c r="AN311" i="27" s="1"/>
  <c r="AK312" i="27"/>
  <c r="AK313" i="27"/>
  <c r="AL313" i="27" s="1"/>
  <c r="AN313" i="27" s="1"/>
  <c r="AK314" i="27"/>
  <c r="AL314" i="27" s="1"/>
  <c r="AN314" i="27" s="1"/>
  <c r="AK315" i="27"/>
  <c r="AK316" i="27"/>
  <c r="AL316" i="27" s="1"/>
  <c r="AN316" i="27" s="1"/>
  <c r="AK317" i="27"/>
  <c r="AL317" i="27" s="1"/>
  <c r="AN317" i="27" s="1"/>
  <c r="AK318" i="27"/>
  <c r="AM318" i="27" s="1"/>
  <c r="AK319" i="27"/>
  <c r="AK320" i="27"/>
  <c r="AK321" i="27"/>
  <c r="AM321" i="27" s="1"/>
  <c r="AK322" i="27"/>
  <c r="AK323" i="27"/>
  <c r="AL323" i="27" s="1"/>
  <c r="AN323" i="27" s="1"/>
  <c r="AK324" i="27"/>
  <c r="AL324" i="27" s="1"/>
  <c r="AN324" i="27" s="1"/>
  <c r="AK325" i="27"/>
  <c r="AM325" i="27" s="1"/>
  <c r="AK326" i="27"/>
  <c r="AK327" i="27"/>
  <c r="AL327" i="27" s="1"/>
  <c r="AN327" i="27" s="1"/>
  <c r="AK328" i="27"/>
  <c r="AK329" i="27"/>
  <c r="AL329" i="27" s="1"/>
  <c r="AN329" i="27" s="1"/>
  <c r="AK330" i="27"/>
  <c r="AM330" i="27" s="1"/>
  <c r="AK331" i="27"/>
  <c r="AL331" i="27" s="1"/>
  <c r="AN331" i="27" s="1"/>
  <c r="AK332" i="27"/>
  <c r="AL332" i="27" s="1"/>
  <c r="AN332" i="27" s="1"/>
  <c r="AK333" i="27"/>
  <c r="AL333" i="27" s="1"/>
  <c r="AN333" i="27" s="1"/>
  <c r="AK334" i="27"/>
  <c r="AL334" i="27" s="1"/>
  <c r="AN334" i="27" s="1"/>
  <c r="AK335" i="27"/>
  <c r="AK336" i="27"/>
  <c r="AK337" i="27"/>
  <c r="AM337" i="27" s="1"/>
  <c r="AK338" i="27"/>
  <c r="AK339" i="27"/>
  <c r="AL339" i="27" s="1"/>
  <c r="AN339" i="27" s="1"/>
  <c r="AK340" i="27"/>
  <c r="AL340" i="27" s="1"/>
  <c r="AN340" i="27" s="1"/>
  <c r="AK341" i="27"/>
  <c r="AL341" i="27" s="1"/>
  <c r="AN341" i="27" s="1"/>
  <c r="AK342" i="27"/>
  <c r="AK343" i="27"/>
  <c r="AL343" i="27" s="1"/>
  <c r="AN343" i="27" s="1"/>
  <c r="AK344" i="27"/>
  <c r="AK345" i="27"/>
  <c r="AL345" i="27" s="1"/>
  <c r="AN345" i="27" s="1"/>
  <c r="AK346" i="27"/>
  <c r="AM346" i="27" s="1"/>
  <c r="AK347" i="27"/>
  <c r="AL347" i="27" s="1"/>
  <c r="AN347" i="27" s="1"/>
  <c r="AK348" i="27"/>
  <c r="AL348" i="27" s="1"/>
  <c r="AN348" i="27" s="1"/>
  <c r="AK349" i="27"/>
  <c r="AL349" i="27" s="1"/>
  <c r="AN349" i="27" s="1"/>
  <c r="AK350" i="27"/>
  <c r="AL350" i="27" s="1"/>
  <c r="AN350" i="27" s="1"/>
  <c r="AK351" i="27"/>
  <c r="AL351" i="27" s="1"/>
  <c r="AN351" i="27" s="1"/>
  <c r="AK352" i="27"/>
  <c r="AL352" i="27" s="1"/>
  <c r="AN352" i="27" s="1"/>
  <c r="AK353" i="27"/>
  <c r="AL353" i="27" s="1"/>
  <c r="AN353" i="27" s="1"/>
  <c r="AK354" i="27"/>
  <c r="AM354" i="27" s="1"/>
  <c r="AK355" i="27"/>
  <c r="AK356" i="27"/>
  <c r="AL356" i="27" s="1"/>
  <c r="AN356" i="27" s="1"/>
  <c r="AK357" i="27"/>
  <c r="AL357" i="27" s="1"/>
  <c r="AN357" i="27" s="1"/>
  <c r="AK358" i="27"/>
  <c r="AK359" i="27"/>
  <c r="AL359" i="27" s="1"/>
  <c r="AN359" i="27" s="1"/>
  <c r="AK360" i="27"/>
  <c r="AK361" i="27"/>
  <c r="AL361" i="27" s="1"/>
  <c r="AN361" i="27" s="1"/>
  <c r="AK362" i="27"/>
  <c r="AM362" i="27" s="1"/>
  <c r="AK363" i="27"/>
  <c r="AL363" i="27" s="1"/>
  <c r="AN363" i="27" s="1"/>
  <c r="AK364" i="27"/>
  <c r="AL364" i="27" s="1"/>
  <c r="AN364" i="27" s="1"/>
  <c r="AK365" i="27"/>
  <c r="AL365" i="27" s="1"/>
  <c r="AN365" i="27" s="1"/>
  <c r="AK366" i="27"/>
  <c r="AM366" i="27" s="1"/>
  <c r="AK367" i="27"/>
  <c r="AK368" i="27"/>
  <c r="AK369" i="27"/>
  <c r="AL369" i="27" s="1"/>
  <c r="AN369" i="27" s="1"/>
  <c r="AK370" i="27"/>
  <c r="AK371" i="27"/>
  <c r="AK372" i="27"/>
  <c r="AL372" i="27" s="1"/>
  <c r="AN372" i="27" s="1"/>
  <c r="AK373" i="27"/>
  <c r="AL373" i="27" s="1"/>
  <c r="AN373" i="27" s="1"/>
  <c r="AK374" i="27"/>
  <c r="AK375" i="27"/>
  <c r="AL375" i="27" s="1"/>
  <c r="AN375" i="27" s="1"/>
  <c r="AK376" i="27"/>
  <c r="AK377" i="27"/>
  <c r="AL377" i="27" s="1"/>
  <c r="AN377" i="27" s="1"/>
  <c r="AK378" i="27"/>
  <c r="AM378" i="27" s="1"/>
  <c r="AK379" i="27"/>
  <c r="AL379" i="27" s="1"/>
  <c r="AN379" i="27" s="1"/>
  <c r="AK380" i="27"/>
  <c r="AL380" i="27" s="1"/>
  <c r="AN380" i="27" s="1"/>
  <c r="AK381" i="27"/>
  <c r="AL381" i="27" s="1"/>
  <c r="AN381" i="27" s="1"/>
  <c r="AK382" i="27"/>
  <c r="AL382" i="27" s="1"/>
  <c r="AN382" i="27" s="1"/>
  <c r="AK383" i="27"/>
  <c r="AK384" i="27"/>
  <c r="AK385" i="27"/>
  <c r="AL385" i="27" s="1"/>
  <c r="AN385" i="27" s="1"/>
  <c r="AK386" i="27"/>
  <c r="AK387" i="27"/>
  <c r="AL387" i="27" s="1"/>
  <c r="AN387" i="27" s="1"/>
  <c r="AK388" i="27"/>
  <c r="AL388" i="27" s="1"/>
  <c r="AN388" i="27" s="1"/>
  <c r="AK389" i="27"/>
  <c r="AM389" i="27" s="1"/>
  <c r="AK390" i="27"/>
  <c r="AK391" i="27"/>
  <c r="AL391" i="27" s="1"/>
  <c r="AN391" i="27" s="1"/>
  <c r="AK392" i="27"/>
  <c r="AK393" i="27"/>
  <c r="AL393" i="27" s="1"/>
  <c r="AN393" i="27" s="1"/>
  <c r="AK394" i="27"/>
  <c r="AL394" i="27" s="1"/>
  <c r="AN394" i="27" s="1"/>
  <c r="AK395" i="27"/>
  <c r="AL395" i="27" s="1"/>
  <c r="AN395" i="27" s="1"/>
  <c r="AK396" i="27"/>
  <c r="AM396" i="27" s="1"/>
  <c r="AK397" i="27"/>
  <c r="AL397" i="27" s="1"/>
  <c r="AN397" i="27" s="1"/>
  <c r="AK398" i="27"/>
  <c r="AL398" i="27" s="1"/>
  <c r="AN398" i="27" s="1"/>
  <c r="AK399" i="27"/>
  <c r="AK400" i="27"/>
  <c r="AK401" i="27"/>
  <c r="AL401" i="27" s="1"/>
  <c r="AN401" i="27" s="1"/>
  <c r="AK402" i="27"/>
  <c r="AL402" i="27" s="1"/>
  <c r="AN402" i="27" s="1"/>
  <c r="AK403" i="27"/>
  <c r="AK404" i="27"/>
  <c r="AL404" i="27" s="1"/>
  <c r="AN404" i="27" s="1"/>
  <c r="AK405" i="27"/>
  <c r="AL405" i="27" s="1"/>
  <c r="AN405" i="27" s="1"/>
  <c r="AK406" i="27"/>
  <c r="AK407" i="27"/>
  <c r="AL407" i="27" s="1"/>
  <c r="AN407" i="27" s="1"/>
  <c r="AK408" i="27"/>
  <c r="AL408" i="27" s="1"/>
  <c r="AN408" i="27" s="1"/>
  <c r="AK409" i="27"/>
  <c r="AL409" i="27" s="1"/>
  <c r="AN409" i="27" s="1"/>
  <c r="AK410" i="27"/>
  <c r="AL410" i="27" s="1"/>
  <c r="AN410" i="27" s="1"/>
  <c r="AK411" i="27"/>
  <c r="AL411" i="27" s="1"/>
  <c r="AN411" i="27" s="1"/>
  <c r="AK412" i="27"/>
  <c r="AL412" i="27" s="1"/>
  <c r="AN412" i="27" s="1"/>
  <c r="AK413" i="27"/>
  <c r="AL413" i="27" s="1"/>
  <c r="AN413" i="27" s="1"/>
  <c r="AK414" i="27"/>
  <c r="AL414" i="27" s="1"/>
  <c r="AN414" i="27" s="1"/>
  <c r="AK415" i="27"/>
  <c r="AK416" i="27"/>
  <c r="AK417" i="27"/>
  <c r="AM417" i="27" s="1"/>
  <c r="AK418" i="27"/>
  <c r="AK419" i="27"/>
  <c r="AL419" i="27" s="1"/>
  <c r="AN419" i="27" s="1"/>
  <c r="AK420" i="27"/>
  <c r="AL420" i="27" s="1"/>
  <c r="AN420" i="27" s="1"/>
  <c r="AK421" i="27"/>
  <c r="AM421" i="27" s="1"/>
  <c r="AK422" i="27"/>
  <c r="AM422" i="27" s="1"/>
  <c r="AK423" i="27"/>
  <c r="AL423" i="27" s="1"/>
  <c r="AN423" i="27" s="1"/>
  <c r="AK424" i="27"/>
  <c r="AL424" i="27" s="1"/>
  <c r="AN424" i="27" s="1"/>
  <c r="AK425" i="27"/>
  <c r="AL425" i="27" s="1"/>
  <c r="AN425" i="27" s="1"/>
  <c r="AK426" i="27"/>
  <c r="AK427" i="27"/>
  <c r="AL427" i="27" s="1"/>
  <c r="AN427" i="27" s="1"/>
  <c r="AK428" i="27"/>
  <c r="AL428" i="27" s="1"/>
  <c r="AN428" i="27" s="1"/>
  <c r="AK429" i="27"/>
  <c r="AM429" i="27" s="1"/>
  <c r="AK430" i="27"/>
  <c r="AL430" i="27" s="1"/>
  <c r="AN430" i="27" s="1"/>
  <c r="AK431" i="27"/>
  <c r="AL431" i="27" s="1"/>
  <c r="AN431" i="27" s="1"/>
  <c r="AK432" i="27"/>
  <c r="AL432" i="27" s="1"/>
  <c r="AN432" i="27" s="1"/>
  <c r="AK433" i="27"/>
  <c r="AL433" i="27" s="1"/>
  <c r="AN433" i="27" s="1"/>
  <c r="AK434" i="27"/>
  <c r="AL434" i="27" s="1"/>
  <c r="AN434" i="27" s="1"/>
  <c r="AK435" i="27"/>
  <c r="AL435" i="27" s="1"/>
  <c r="AN435" i="27" s="1"/>
  <c r="AK436" i="27"/>
  <c r="AL436" i="27" s="1"/>
  <c r="AN436" i="27" s="1"/>
  <c r="AK437" i="27"/>
  <c r="AM437" i="27" s="1"/>
  <c r="AK438" i="27"/>
  <c r="AL438" i="27" s="1"/>
  <c r="AN438" i="27" s="1"/>
  <c r="AK439" i="27"/>
  <c r="AL439" i="27" s="1"/>
  <c r="AN439" i="27" s="1"/>
  <c r="AK440" i="27"/>
  <c r="AL440" i="27" s="1"/>
  <c r="AN440" i="27" s="1"/>
  <c r="AK441" i="27"/>
  <c r="AL441" i="27" s="1"/>
  <c r="AN441" i="27" s="1"/>
  <c r="AK442" i="27"/>
  <c r="AL442" i="27" s="1"/>
  <c r="AN442" i="27" s="1"/>
  <c r="AK443" i="27"/>
  <c r="AL443" i="27" s="1"/>
  <c r="AN443" i="27" s="1"/>
  <c r="AK445" i="27"/>
  <c r="AL445" i="27" s="1"/>
  <c r="AN445" i="27" s="1"/>
  <c r="AK446" i="27"/>
  <c r="AL446" i="27" s="1"/>
  <c r="AN446" i="27" s="1"/>
  <c r="AK447" i="27"/>
  <c r="AL447" i="27" s="1"/>
  <c r="AN447" i="27" s="1"/>
  <c r="AK448" i="27"/>
  <c r="AK449" i="27"/>
  <c r="AL449" i="27" s="1"/>
  <c r="AN449" i="27" s="1"/>
  <c r="AK450" i="27"/>
  <c r="AM450" i="27" s="1"/>
  <c r="AK451" i="27"/>
  <c r="AK452" i="27"/>
  <c r="AL452" i="27" s="1"/>
  <c r="AN452" i="27" s="1"/>
  <c r="AK453" i="27"/>
  <c r="AL453" i="27" s="1"/>
  <c r="AN453" i="27" s="1"/>
  <c r="AK454" i="27"/>
  <c r="AM454" i="27" s="1"/>
  <c r="AK455" i="27"/>
  <c r="AK456" i="27"/>
  <c r="AL456" i="27" s="1"/>
  <c r="AN456" i="27" s="1"/>
  <c r="AK457" i="27"/>
  <c r="AK458" i="27"/>
  <c r="AL458" i="27" s="1"/>
  <c r="AN458" i="27" s="1"/>
  <c r="AK459" i="27"/>
  <c r="AM459" i="27" s="1"/>
  <c r="AK460" i="27"/>
  <c r="AL460" i="27" s="1"/>
  <c r="AN460" i="27" s="1"/>
  <c r="AK461" i="27"/>
  <c r="AL461" i="27" s="1"/>
  <c r="AN461" i="27" s="1"/>
  <c r="AK462" i="27"/>
  <c r="AL462" i="27" s="1"/>
  <c r="AN462" i="27" s="1"/>
  <c r="AK463" i="27"/>
  <c r="AL463" i="27" s="1"/>
  <c r="AN463" i="27" s="1"/>
  <c r="AK464" i="27"/>
  <c r="AK465" i="27"/>
  <c r="AL465" i="27" s="1"/>
  <c r="AN465" i="27" s="1"/>
  <c r="AK466" i="27"/>
  <c r="AM466" i="27" s="1"/>
  <c r="AK467" i="27"/>
  <c r="AK468" i="27"/>
  <c r="AL468" i="27" s="1"/>
  <c r="AN468" i="27" s="1"/>
  <c r="AK469" i="27"/>
  <c r="AL469" i="27" s="1"/>
  <c r="AN469" i="27" s="1"/>
  <c r="AK470" i="27"/>
  <c r="AL470" i="27" s="1"/>
  <c r="AN470" i="27" s="1"/>
  <c r="AK471" i="27"/>
  <c r="AK472" i="27"/>
  <c r="AL472" i="27" s="1"/>
  <c r="AN472" i="27" s="1"/>
  <c r="AK473" i="27"/>
  <c r="AM473" i="27" s="1"/>
  <c r="AK474" i="27"/>
  <c r="AL474" i="27" s="1"/>
  <c r="AN474" i="27" s="1"/>
  <c r="AK475" i="27"/>
  <c r="AL475" i="27" s="1"/>
  <c r="AN475" i="27" s="1"/>
  <c r="AK476" i="27"/>
  <c r="AL476" i="27" s="1"/>
  <c r="AN476" i="27" s="1"/>
  <c r="AK477" i="27"/>
  <c r="AL477" i="27" s="1"/>
  <c r="AN477" i="27" s="1"/>
  <c r="AK478" i="27"/>
  <c r="AL478" i="27" s="1"/>
  <c r="AN478" i="27" s="1"/>
  <c r="AK479" i="27"/>
  <c r="AL479" i="27" s="1"/>
  <c r="AN479" i="27" s="1"/>
  <c r="AK480" i="27"/>
  <c r="AL480" i="27" s="1"/>
  <c r="AN480" i="27" s="1"/>
  <c r="AK481" i="27"/>
  <c r="AL481" i="27" s="1"/>
  <c r="AN481" i="27" s="1"/>
  <c r="AK482" i="27"/>
  <c r="AM482" i="27" s="1"/>
  <c r="AK483" i="27"/>
  <c r="AL483" i="27" s="1"/>
  <c r="AN483" i="27" s="1"/>
  <c r="AK484" i="27"/>
  <c r="AL484" i="27" s="1"/>
  <c r="AN484" i="27" s="1"/>
  <c r="AK485" i="27"/>
  <c r="AL485" i="27" s="1"/>
  <c r="AN485" i="27" s="1"/>
  <c r="AK486" i="27"/>
  <c r="AM486" i="27" s="1"/>
  <c r="AK487" i="27"/>
  <c r="AL487" i="27" s="1"/>
  <c r="AN487" i="27" s="1"/>
  <c r="AK488" i="27"/>
  <c r="AL488" i="27" s="1"/>
  <c r="AN488" i="27" s="1"/>
  <c r="AK489" i="27"/>
  <c r="AM489" i="27" s="1"/>
  <c r="AK490" i="27"/>
  <c r="AL490" i="27" s="1"/>
  <c r="AN490" i="27" s="1"/>
  <c r="AK491" i="27"/>
  <c r="AL491" i="27" s="1"/>
  <c r="AN491" i="27" s="1"/>
  <c r="AK492" i="27"/>
  <c r="AK493" i="27"/>
  <c r="AL493" i="27" s="1"/>
  <c r="AN493" i="27" s="1"/>
  <c r="AK494" i="27"/>
  <c r="AM494" i="27" s="1"/>
  <c r="AK495" i="27"/>
  <c r="AL495" i="27" s="1"/>
  <c r="AN495" i="27" s="1"/>
  <c r="AK496" i="27"/>
  <c r="AK497" i="27"/>
  <c r="AK498" i="27"/>
  <c r="AL498" i="27" s="1"/>
  <c r="AN498" i="27" s="1"/>
  <c r="AK499" i="27"/>
  <c r="AK500" i="27"/>
  <c r="AK501" i="27"/>
  <c r="AL501" i="27" s="1"/>
  <c r="AN501" i="27" s="1"/>
  <c r="AK502" i="27"/>
  <c r="AM502" i="27" s="1"/>
  <c r="AK503" i="27"/>
  <c r="AL503" i="27" s="1"/>
  <c r="AN503" i="27" s="1"/>
  <c r="AK504" i="27"/>
  <c r="AL504" i="27" s="1"/>
  <c r="AN504" i="27" s="1"/>
  <c r="AK505" i="27"/>
  <c r="AL505" i="27" s="1"/>
  <c r="AN505" i="27" s="1"/>
  <c r="AK506" i="27"/>
  <c r="AL506" i="27" s="1"/>
  <c r="AN506" i="27" s="1"/>
  <c r="AK507" i="27"/>
  <c r="AM507" i="27" s="1"/>
  <c r="AK508" i="27"/>
  <c r="AL508" i="27" s="1"/>
  <c r="AN508" i="27" s="1"/>
  <c r="AK509" i="27"/>
  <c r="AK510" i="27"/>
  <c r="AL510" i="27" s="1"/>
  <c r="AN510" i="27" s="1"/>
  <c r="AK511" i="27"/>
  <c r="AK512" i="27"/>
  <c r="AM512" i="27" s="1"/>
  <c r="AK513" i="27"/>
  <c r="AK514" i="27"/>
  <c r="AL514" i="27" s="1"/>
  <c r="AN514" i="27" s="1"/>
  <c r="AK515" i="27"/>
  <c r="AL515" i="27" s="1"/>
  <c r="AN515" i="27" s="1"/>
  <c r="AK516" i="27"/>
  <c r="AK517" i="27"/>
  <c r="AL517" i="27" s="1"/>
  <c r="AN517" i="27" s="1"/>
  <c r="AK518" i="27"/>
  <c r="AL518" i="27" s="1"/>
  <c r="AN518" i="27" s="1"/>
  <c r="AK519" i="27"/>
  <c r="AK520" i="27"/>
  <c r="AM520" i="27" s="1"/>
  <c r="AK521" i="27"/>
  <c r="AM521" i="27" s="1"/>
  <c r="AK522" i="27"/>
  <c r="AL522" i="27" s="1"/>
  <c r="AN522" i="27" s="1"/>
  <c r="AK523" i="27"/>
  <c r="AL523" i="27" s="1"/>
  <c r="AN523" i="27" s="1"/>
  <c r="AK524" i="27"/>
  <c r="AM524" i="27" s="1"/>
  <c r="AK525" i="27"/>
  <c r="AM525" i="27" s="1"/>
  <c r="AK526" i="27"/>
  <c r="AL526" i="27" s="1"/>
  <c r="AN526" i="27" s="1"/>
  <c r="AK527" i="27"/>
  <c r="AK528" i="27"/>
  <c r="AM528" i="27" s="1"/>
  <c r="AK529" i="27"/>
  <c r="AM529" i="27" s="1"/>
  <c r="AK530" i="27"/>
  <c r="AL530" i="27" s="1"/>
  <c r="AN530" i="27" s="1"/>
  <c r="AK531" i="27"/>
  <c r="AK532" i="27"/>
  <c r="AM532" i="27" s="1"/>
  <c r="AK533" i="27"/>
  <c r="AL533" i="27" s="1"/>
  <c r="AN533" i="27" s="1"/>
  <c r="AK534" i="27"/>
  <c r="AL534" i="27" s="1"/>
  <c r="AN534" i="27" s="1"/>
  <c r="AK535" i="27"/>
  <c r="AK536" i="27"/>
  <c r="AM536" i="27" s="1"/>
  <c r="AK537" i="27"/>
  <c r="AK538" i="27"/>
  <c r="AL538" i="27" s="1"/>
  <c r="AN538" i="27" s="1"/>
  <c r="AK539" i="27"/>
  <c r="AL539" i="27" s="1"/>
  <c r="AN539" i="27" s="1"/>
  <c r="AK540" i="27"/>
  <c r="AM540" i="27" s="1"/>
  <c r="AK541" i="27"/>
  <c r="AL541" i="27" s="1"/>
  <c r="AN541" i="27" s="1"/>
  <c r="AK542" i="27"/>
  <c r="AL542" i="27" s="1"/>
  <c r="AN542" i="27" s="1"/>
  <c r="AK543" i="27"/>
  <c r="AM543" i="27" s="1"/>
  <c r="AK544" i="27"/>
  <c r="AM544" i="27" s="1"/>
  <c r="AK545" i="27"/>
  <c r="AM545" i="27" s="1"/>
  <c r="AK546" i="27"/>
  <c r="AL546" i="27" s="1"/>
  <c r="AN546" i="27" s="1"/>
  <c r="AK547" i="27"/>
  <c r="AK548" i="27"/>
  <c r="AK549" i="27"/>
  <c r="AL549" i="27" s="1"/>
  <c r="AN549" i="27" s="1"/>
  <c r="AK550" i="27"/>
  <c r="AL550" i="27" s="1"/>
  <c r="AN550" i="27" s="1"/>
  <c r="AK551" i="27"/>
  <c r="AK552" i="27"/>
  <c r="AM552" i="27" s="1"/>
  <c r="AK553" i="27"/>
  <c r="AL553" i="27" s="1"/>
  <c r="AN553" i="27" s="1"/>
  <c r="AK554" i="27"/>
  <c r="AL554" i="27" s="1"/>
  <c r="AN554" i="27" s="1"/>
  <c r="AK555" i="27"/>
  <c r="AK556" i="27"/>
  <c r="AM556" i="27" s="1"/>
  <c r="AK557" i="27"/>
  <c r="AL557" i="27" s="1"/>
  <c r="AN557" i="27" s="1"/>
  <c r="AK558" i="27"/>
  <c r="AL558" i="27" s="1"/>
  <c r="AN558" i="27" s="1"/>
  <c r="AK559" i="27"/>
  <c r="AL559" i="27" s="1"/>
  <c r="AN559" i="27" s="1"/>
  <c r="AK560" i="27"/>
  <c r="AK561" i="27"/>
  <c r="AM561" i="27" s="1"/>
  <c r="AK562" i="27"/>
  <c r="AL562" i="27" s="1"/>
  <c r="AN562" i="27" s="1"/>
  <c r="AK563" i="27"/>
  <c r="AK564" i="27"/>
  <c r="AM564" i="27" s="1"/>
  <c r="AK565" i="27"/>
  <c r="AL565" i="27" s="1"/>
  <c r="AN565" i="27" s="1"/>
  <c r="AK566" i="27"/>
  <c r="AL566" i="27" s="1"/>
  <c r="AN566" i="27" s="1"/>
  <c r="AK567" i="27"/>
  <c r="AM567" i="27" s="1"/>
  <c r="AK568" i="27"/>
  <c r="AM568" i="27" s="1"/>
  <c r="AK569" i="27"/>
  <c r="AK570" i="27"/>
  <c r="AL570" i="27" s="1"/>
  <c r="AN570" i="27" s="1"/>
  <c r="AK571" i="27"/>
  <c r="AL571" i="27" s="1"/>
  <c r="AN571" i="27" s="1"/>
  <c r="AK572" i="27"/>
  <c r="AM572" i="27" s="1"/>
  <c r="AK573" i="27"/>
  <c r="AM573" i="27" s="1"/>
  <c r="AK574" i="27"/>
  <c r="AL574" i="27" s="1"/>
  <c r="AN574" i="27" s="1"/>
  <c r="AK575" i="27"/>
  <c r="AM575" i="27" s="1"/>
  <c r="AK576" i="27"/>
  <c r="AK577" i="27"/>
  <c r="AK578" i="27"/>
  <c r="AL578" i="27" s="1"/>
  <c r="AN578" i="27" s="1"/>
  <c r="AK579" i="27"/>
  <c r="AK580" i="27"/>
  <c r="AM580" i="27" s="1"/>
  <c r="AK581" i="27"/>
  <c r="AL581" i="27" s="1"/>
  <c r="AN581" i="27" s="1"/>
  <c r="AK582" i="27"/>
  <c r="AL582" i="27" s="1"/>
  <c r="AN582" i="27" s="1"/>
  <c r="AK583" i="27"/>
  <c r="AK584" i="27"/>
  <c r="AM584" i="27" s="1"/>
  <c r="AK585" i="27"/>
  <c r="AK586" i="27"/>
  <c r="AL586" i="27" s="1"/>
  <c r="AN586" i="27" s="1"/>
  <c r="AK587" i="27"/>
  <c r="AL587" i="27" s="1"/>
  <c r="AN587" i="27" s="1"/>
  <c r="AK588" i="27"/>
  <c r="AM588" i="27" s="1"/>
  <c r="AK589" i="27"/>
  <c r="AM589" i="27" s="1"/>
  <c r="AK590" i="27"/>
  <c r="AL590" i="27" s="1"/>
  <c r="AN590" i="27" s="1"/>
  <c r="AK591" i="27"/>
  <c r="AL591" i="27" s="1"/>
  <c r="AN591" i="27" s="1"/>
  <c r="AK592" i="27"/>
  <c r="AK593" i="27"/>
  <c r="AM593" i="27" s="1"/>
  <c r="AK594" i="27"/>
  <c r="AL594" i="27" s="1"/>
  <c r="AN594" i="27" s="1"/>
  <c r="AK595" i="27"/>
  <c r="AM595" i="27" s="1"/>
  <c r="AK596" i="27"/>
  <c r="AM596" i="27" s="1"/>
  <c r="AK598" i="27"/>
  <c r="AL598" i="27" s="1"/>
  <c r="AN598" i="27" s="1"/>
  <c r="AK599" i="27"/>
  <c r="AL599" i="27" s="1"/>
  <c r="AN599" i="27" s="1"/>
  <c r="AK600" i="27"/>
  <c r="AK601" i="27"/>
  <c r="AM601" i="27" s="1"/>
  <c r="AK602" i="27"/>
  <c r="AK603" i="27"/>
  <c r="AL603" i="27" s="1"/>
  <c r="AN603" i="27" s="1"/>
  <c r="AK604" i="27"/>
  <c r="AM604" i="27" s="1"/>
  <c r="AK605" i="27"/>
  <c r="AL605" i="27" s="1"/>
  <c r="AN605" i="27" s="1"/>
  <c r="AK606" i="27"/>
  <c r="AL606" i="27" s="1"/>
  <c r="AN606" i="27" s="1"/>
  <c r="AK607" i="27"/>
  <c r="AL607" i="27" s="1"/>
  <c r="AN607" i="27" s="1"/>
  <c r="AK608" i="27"/>
  <c r="AM608" i="27" s="1"/>
  <c r="AK609" i="27"/>
  <c r="AM609" i="27" s="1"/>
  <c r="AK610" i="27"/>
  <c r="AL610" i="27" s="1"/>
  <c r="AN610" i="27" s="1"/>
  <c r="AK611" i="27"/>
  <c r="AK612" i="27"/>
  <c r="AK613" i="27"/>
  <c r="AL613" i="27" s="1"/>
  <c r="AN613" i="27" s="1"/>
  <c r="AK614" i="27"/>
  <c r="AL614" i="27" s="1"/>
  <c r="AN614" i="27" s="1"/>
  <c r="AK615" i="27"/>
  <c r="AK616" i="27"/>
  <c r="AK617" i="27"/>
  <c r="AL617" i="27" s="1"/>
  <c r="AN617" i="27" s="1"/>
  <c r="AK618" i="27"/>
  <c r="AL618" i="27" s="1"/>
  <c r="AN618" i="27" s="1"/>
  <c r="AK619" i="27"/>
  <c r="AK620" i="27"/>
  <c r="AM620" i="27" s="1"/>
  <c r="AK621" i="27"/>
  <c r="AL621" i="27" s="1"/>
  <c r="AN621" i="27" s="1"/>
  <c r="AK622" i="27"/>
  <c r="AL622" i="27" s="1"/>
  <c r="AN622" i="27" s="1"/>
  <c r="AK623" i="27"/>
  <c r="AL623" i="27" s="1"/>
  <c r="AN623" i="27" s="1"/>
  <c r="AK624" i="27"/>
  <c r="AM624" i="27" s="1"/>
  <c r="AK625" i="27"/>
  <c r="AM625" i="27" s="1"/>
  <c r="AK626" i="27"/>
  <c r="AL626" i="27" s="1"/>
  <c r="AN626" i="27" s="1"/>
  <c r="AK627" i="27"/>
  <c r="AK628" i="27"/>
  <c r="AM628" i="27" s="1"/>
  <c r="AK629" i="27"/>
  <c r="AL629" i="27" s="1"/>
  <c r="AN629" i="27" s="1"/>
  <c r="AK630" i="27"/>
  <c r="AL630" i="27" s="1"/>
  <c r="AN630" i="27" s="1"/>
  <c r="AK631" i="27"/>
  <c r="AL631" i="27" s="1"/>
  <c r="AN631" i="27" s="1"/>
  <c r="AK632" i="27"/>
  <c r="AM632" i="27" s="1"/>
  <c r="AK633" i="27"/>
  <c r="AK634" i="27"/>
  <c r="AL634" i="27" s="1"/>
  <c r="AN634" i="27" s="1"/>
  <c r="AK635" i="27"/>
  <c r="AK636" i="27"/>
  <c r="AK637" i="27"/>
  <c r="AL637" i="27" s="1"/>
  <c r="AN637" i="27" s="1"/>
  <c r="AK638" i="27"/>
  <c r="AM638" i="27" s="1"/>
  <c r="AK639" i="27"/>
  <c r="AM639" i="27" s="1"/>
  <c r="AK640" i="27"/>
  <c r="AM640" i="27" s="1"/>
  <c r="AK641" i="27"/>
  <c r="AL641" i="27" s="1"/>
  <c r="AN641" i="27" s="1"/>
  <c r="AK642" i="27"/>
  <c r="AK643" i="27"/>
  <c r="AM643" i="27" s="1"/>
  <c r="AK644" i="27"/>
  <c r="AL644" i="27" s="1"/>
  <c r="AN644" i="27" s="1"/>
  <c r="AK645" i="27"/>
  <c r="AL645" i="27" s="1"/>
  <c r="AN645" i="27" s="1"/>
  <c r="AK646" i="27"/>
  <c r="AK647" i="27"/>
  <c r="AM647" i="27" s="1"/>
  <c r="AK648" i="27"/>
  <c r="AK649" i="27"/>
  <c r="AL649" i="27" s="1"/>
  <c r="AN649" i="27" s="1"/>
  <c r="AK650" i="27"/>
  <c r="AM650" i="27" s="1"/>
  <c r="AK651" i="27"/>
  <c r="AM651" i="27" s="1"/>
  <c r="AK652" i="27"/>
  <c r="AL652" i="27" s="1"/>
  <c r="AN652" i="27" s="1"/>
  <c r="AK653" i="27"/>
  <c r="AL653" i="27" s="1"/>
  <c r="AN653" i="27" s="1"/>
  <c r="AK654" i="27"/>
  <c r="AM654" i="27" s="1"/>
  <c r="AK655" i="27"/>
  <c r="AM655" i="27" s="1"/>
  <c r="AK656" i="27"/>
  <c r="AL656" i="27" s="1"/>
  <c r="AN656" i="27" s="1"/>
  <c r="AP8" i="27"/>
  <c r="AR8" i="27" s="1"/>
  <c r="AP9" i="27"/>
  <c r="AR9" i="27" s="1"/>
  <c r="AP10" i="27"/>
  <c r="AR10" i="27" s="1"/>
  <c r="AP11" i="27"/>
  <c r="AR11" i="27" s="1"/>
  <c r="AP12" i="27"/>
  <c r="AR12" i="27" s="1"/>
  <c r="AP13" i="27"/>
  <c r="AR13" i="27" s="1"/>
  <c r="AP14" i="27"/>
  <c r="AR14" i="27" s="1"/>
  <c r="AP15" i="27"/>
  <c r="AR15" i="27" s="1"/>
  <c r="AP16" i="27"/>
  <c r="AR16" i="27" s="1"/>
  <c r="AP17" i="27"/>
  <c r="AR17" i="27" s="1"/>
  <c r="AP18" i="27"/>
  <c r="AR18" i="27" s="1"/>
  <c r="AP19" i="27"/>
  <c r="AR19" i="27" s="1"/>
  <c r="AP20" i="27"/>
  <c r="AR20" i="27" s="1"/>
  <c r="AP21" i="27"/>
  <c r="AR21" i="27" s="1"/>
  <c r="AP22" i="27"/>
  <c r="AR22" i="27" s="1"/>
  <c r="AP23" i="27"/>
  <c r="AR23" i="27" s="1"/>
  <c r="AP24" i="27"/>
  <c r="AR24" i="27" s="1"/>
  <c r="AP25" i="27"/>
  <c r="AR25" i="27" s="1"/>
  <c r="AP26" i="27"/>
  <c r="AR26" i="27" s="1"/>
  <c r="AP27" i="27"/>
  <c r="AR27" i="27" s="1"/>
  <c r="AP28" i="27"/>
  <c r="AR28" i="27" s="1"/>
  <c r="AP29" i="27"/>
  <c r="AR29" i="27" s="1"/>
  <c r="AP30" i="27"/>
  <c r="AR30" i="27" s="1"/>
  <c r="AP31" i="27"/>
  <c r="AR31" i="27" s="1"/>
  <c r="AP32" i="27"/>
  <c r="AR32" i="27" s="1"/>
  <c r="AP33" i="27"/>
  <c r="AR33" i="27" s="1"/>
  <c r="AP34" i="27"/>
  <c r="AR34" i="27" s="1"/>
  <c r="AP35" i="27"/>
  <c r="AR35" i="27" s="1"/>
  <c r="AP36" i="27"/>
  <c r="AR36" i="27" s="1"/>
  <c r="AP37" i="27"/>
  <c r="AR37" i="27" s="1"/>
  <c r="AP38" i="27"/>
  <c r="AR38" i="27" s="1"/>
  <c r="AP39" i="27"/>
  <c r="AR39" i="27" s="1"/>
  <c r="AP40" i="27"/>
  <c r="AR40" i="27" s="1"/>
  <c r="AP41" i="27"/>
  <c r="AR41" i="27" s="1"/>
  <c r="AP42" i="27"/>
  <c r="AR42" i="27" s="1"/>
  <c r="AP43" i="27"/>
  <c r="AR43" i="27" s="1"/>
  <c r="AP44" i="27"/>
  <c r="AR44" i="27" s="1"/>
  <c r="AP45" i="27"/>
  <c r="AR45" i="27" s="1"/>
  <c r="AP46" i="27"/>
  <c r="AR46" i="27" s="1"/>
  <c r="AP47" i="27"/>
  <c r="AR47" i="27" s="1"/>
  <c r="AP48" i="27"/>
  <c r="AR48" i="27" s="1"/>
  <c r="AP49" i="27"/>
  <c r="AR49" i="27" s="1"/>
  <c r="AP50" i="27"/>
  <c r="AR50" i="27" s="1"/>
  <c r="AP51" i="27"/>
  <c r="AR51" i="27" s="1"/>
  <c r="AP52" i="27"/>
  <c r="AR52" i="27" s="1"/>
  <c r="AP53" i="27"/>
  <c r="AR53" i="27" s="1"/>
  <c r="AP54" i="27"/>
  <c r="AR54" i="27" s="1"/>
  <c r="AP55" i="27"/>
  <c r="AR55" i="27" s="1"/>
  <c r="AP56" i="27"/>
  <c r="AR56" i="27" s="1"/>
  <c r="AP57" i="27"/>
  <c r="AR57" i="27" s="1"/>
  <c r="AP58" i="27"/>
  <c r="AR58" i="27" s="1"/>
  <c r="AP59" i="27"/>
  <c r="AR59" i="27" s="1"/>
  <c r="AP62" i="27"/>
  <c r="AR62" i="27" s="1"/>
  <c r="AP63" i="27"/>
  <c r="AR63" i="27" s="1"/>
  <c r="AP64" i="27"/>
  <c r="AR64" i="27" s="1"/>
  <c r="AP65" i="27"/>
  <c r="AR65" i="27" s="1"/>
  <c r="AP66" i="27"/>
  <c r="AR66" i="27" s="1"/>
  <c r="AP67" i="27"/>
  <c r="AR67" i="27" s="1"/>
  <c r="AP68" i="27"/>
  <c r="AR68" i="27" s="1"/>
  <c r="AP69" i="27"/>
  <c r="AR69" i="27" s="1"/>
  <c r="AP70" i="27"/>
  <c r="AR70" i="27" s="1"/>
  <c r="AP71" i="27"/>
  <c r="AR71" i="27" s="1"/>
  <c r="AP72" i="27"/>
  <c r="AR72" i="27" s="1"/>
  <c r="AP73" i="27"/>
  <c r="AR73" i="27" s="1"/>
  <c r="AP74" i="27"/>
  <c r="AR74" i="27" s="1"/>
  <c r="AP75" i="27"/>
  <c r="AR75" i="27" s="1"/>
  <c r="AP81" i="27"/>
  <c r="AR81" i="27" s="1"/>
  <c r="AP82" i="27"/>
  <c r="AR82" i="27" s="1"/>
  <c r="AP83" i="27"/>
  <c r="AR83" i="27" s="1"/>
  <c r="AP84" i="27"/>
  <c r="AR84" i="27" s="1"/>
  <c r="AP85" i="27"/>
  <c r="AR85" i="27" s="1"/>
  <c r="AP86" i="27"/>
  <c r="AR86" i="27" s="1"/>
  <c r="AP87" i="27"/>
  <c r="AR87" i="27" s="1"/>
  <c r="AP88" i="27"/>
  <c r="AR88" i="27" s="1"/>
  <c r="AP89" i="27"/>
  <c r="AR89" i="27" s="1"/>
  <c r="AP90" i="27"/>
  <c r="AR90" i="27" s="1"/>
  <c r="AP91" i="27"/>
  <c r="AR91" i="27" s="1"/>
  <c r="AP92" i="27"/>
  <c r="AR92" i="27" s="1"/>
  <c r="AP93" i="27"/>
  <c r="AR93" i="27" s="1"/>
  <c r="AP94" i="27"/>
  <c r="AR94" i="27" s="1"/>
  <c r="AP95" i="27"/>
  <c r="AR95" i="27" s="1"/>
  <c r="AP96" i="27"/>
  <c r="AR96" i="27" s="1"/>
  <c r="AP97" i="27"/>
  <c r="AR97" i="27" s="1"/>
  <c r="AP98" i="27"/>
  <c r="AR98" i="27" s="1"/>
  <c r="AP99" i="27"/>
  <c r="AR99" i="27" s="1"/>
  <c r="AP100" i="27"/>
  <c r="AR100" i="27" s="1"/>
  <c r="AP101" i="27"/>
  <c r="AR101" i="27" s="1"/>
  <c r="AP102" i="27"/>
  <c r="AR102" i="27" s="1"/>
  <c r="AP103" i="27"/>
  <c r="AR103" i="27" s="1"/>
  <c r="AP104" i="27"/>
  <c r="AR104" i="27" s="1"/>
  <c r="AP105" i="27"/>
  <c r="AR105" i="27" s="1"/>
  <c r="AP106" i="27"/>
  <c r="AR106" i="27" s="1"/>
  <c r="AP107" i="27"/>
  <c r="AR107" i="27" s="1"/>
  <c r="AP108" i="27"/>
  <c r="AR108" i="27" s="1"/>
  <c r="AP109" i="27"/>
  <c r="AR109" i="27" s="1"/>
  <c r="AP110" i="27"/>
  <c r="AR110" i="27" s="1"/>
  <c r="AP111" i="27"/>
  <c r="AR111" i="27" s="1"/>
  <c r="AP112" i="27"/>
  <c r="AR112" i="27" s="1"/>
  <c r="AP113" i="27"/>
  <c r="AR113" i="27" s="1"/>
  <c r="AP114" i="27"/>
  <c r="AR114" i="27" s="1"/>
  <c r="AP115" i="27"/>
  <c r="AR115" i="27" s="1"/>
  <c r="AP116" i="27"/>
  <c r="AR116" i="27" s="1"/>
  <c r="AP117" i="27"/>
  <c r="AR117" i="27" s="1"/>
  <c r="AP118" i="27"/>
  <c r="AR118" i="27" s="1"/>
  <c r="AP119" i="27"/>
  <c r="AR119" i="27" s="1"/>
  <c r="AP120" i="27"/>
  <c r="AR120" i="27" s="1"/>
  <c r="AP121" i="27"/>
  <c r="AR121" i="27" s="1"/>
  <c r="AP122" i="27"/>
  <c r="AR122" i="27" s="1"/>
  <c r="AP123" i="27"/>
  <c r="AR123" i="27" s="1"/>
  <c r="AP124" i="27"/>
  <c r="AR124" i="27" s="1"/>
  <c r="AP125" i="27"/>
  <c r="AR125" i="27" s="1"/>
  <c r="AP126" i="27"/>
  <c r="AR126" i="27" s="1"/>
  <c r="AP127" i="27"/>
  <c r="AR127" i="27" s="1"/>
  <c r="AP128" i="27"/>
  <c r="AR128" i="27" s="1"/>
  <c r="AP129" i="27"/>
  <c r="AR129" i="27" s="1"/>
  <c r="AP130" i="27"/>
  <c r="AR130" i="27" s="1"/>
  <c r="AP131" i="27"/>
  <c r="AR131" i="27" s="1"/>
  <c r="AP132" i="27"/>
  <c r="AR132" i="27" s="1"/>
  <c r="AP134" i="27"/>
  <c r="AR134" i="27" s="1"/>
  <c r="AP135" i="27"/>
  <c r="AR135" i="27" s="1"/>
  <c r="AP136" i="27"/>
  <c r="AR136" i="27" s="1"/>
  <c r="AP137" i="27"/>
  <c r="AR137" i="27" s="1"/>
  <c r="AP138" i="27"/>
  <c r="AR138" i="27" s="1"/>
  <c r="AP139" i="27"/>
  <c r="AR139" i="27" s="1"/>
  <c r="AP140" i="27"/>
  <c r="AR140" i="27" s="1"/>
  <c r="AP141" i="27"/>
  <c r="AR141" i="27" s="1"/>
  <c r="AP142" i="27"/>
  <c r="AR142" i="27" s="1"/>
  <c r="AP143" i="27"/>
  <c r="AR143" i="27" s="1"/>
  <c r="AP144" i="27"/>
  <c r="AR144" i="27" s="1"/>
  <c r="AP145" i="27"/>
  <c r="AR145" i="27" s="1"/>
  <c r="AP146" i="27"/>
  <c r="AR146" i="27" s="1"/>
  <c r="AP147" i="27"/>
  <c r="AR147" i="27" s="1"/>
  <c r="AP148" i="27"/>
  <c r="AR148" i="27" s="1"/>
  <c r="AP149" i="27"/>
  <c r="AR149" i="27" s="1"/>
  <c r="AP150" i="27"/>
  <c r="AR150" i="27" s="1"/>
  <c r="AP151" i="27"/>
  <c r="AR151" i="27" s="1"/>
  <c r="AP152" i="27"/>
  <c r="AR152" i="27" s="1"/>
  <c r="AP153" i="27"/>
  <c r="AR153" i="27" s="1"/>
  <c r="AP154" i="27"/>
  <c r="AR154" i="27" s="1"/>
  <c r="AP155" i="27"/>
  <c r="AR155" i="27" s="1"/>
  <c r="AP156" i="27"/>
  <c r="AR156" i="27" s="1"/>
  <c r="AP157" i="27"/>
  <c r="AR157" i="27" s="1"/>
  <c r="AP158" i="27"/>
  <c r="AR158" i="27" s="1"/>
  <c r="AP159" i="27"/>
  <c r="AR159" i="27" s="1"/>
  <c r="AP160" i="27"/>
  <c r="AR160" i="27" s="1"/>
  <c r="AP161" i="27"/>
  <c r="AR161" i="27" s="1"/>
  <c r="AP162" i="27"/>
  <c r="AR162" i="27" s="1"/>
  <c r="AP163" i="27"/>
  <c r="AR163" i="27" s="1"/>
  <c r="AP164" i="27"/>
  <c r="AR164" i="27" s="1"/>
  <c r="AP165" i="27"/>
  <c r="AR165" i="27" s="1"/>
  <c r="AP166" i="27"/>
  <c r="AR166" i="27" s="1"/>
  <c r="AP167" i="27"/>
  <c r="AR167" i="27" s="1"/>
  <c r="AP168" i="27"/>
  <c r="AR168" i="27" s="1"/>
  <c r="AP169" i="27"/>
  <c r="AR169" i="27" s="1"/>
  <c r="AP170" i="27"/>
  <c r="AR170" i="27" s="1"/>
  <c r="AP171" i="27"/>
  <c r="AR171" i="27" s="1"/>
  <c r="AP172" i="27"/>
  <c r="AR172" i="27" s="1"/>
  <c r="AP173" i="27"/>
  <c r="AR173" i="27" s="1"/>
  <c r="AP174" i="27"/>
  <c r="AR174" i="27" s="1"/>
  <c r="AP175" i="27"/>
  <c r="AR175" i="27" s="1"/>
  <c r="AP176" i="27"/>
  <c r="AR176" i="27" s="1"/>
  <c r="AP177" i="27"/>
  <c r="AR177" i="27" s="1"/>
  <c r="AP178" i="27"/>
  <c r="AR178" i="27" s="1"/>
  <c r="AP180" i="27"/>
  <c r="AR180" i="27" s="1"/>
  <c r="AP181" i="27"/>
  <c r="AR181" i="27" s="1"/>
  <c r="AP182" i="27"/>
  <c r="AR182" i="27" s="1"/>
  <c r="AP183" i="27"/>
  <c r="AR183" i="27" s="1"/>
  <c r="AP184" i="27"/>
  <c r="AR184" i="27" s="1"/>
  <c r="AP185" i="27"/>
  <c r="AR185" i="27" s="1"/>
  <c r="AP186" i="27"/>
  <c r="AR186" i="27" s="1"/>
  <c r="AP187" i="27"/>
  <c r="AR187" i="27" s="1"/>
  <c r="AP188" i="27"/>
  <c r="AR188" i="27" s="1"/>
  <c r="AP189" i="27"/>
  <c r="AR189" i="27" s="1"/>
  <c r="AP190" i="27"/>
  <c r="AR190" i="27" s="1"/>
  <c r="AP191" i="27"/>
  <c r="AR191" i="27" s="1"/>
  <c r="AP192" i="27"/>
  <c r="AR192" i="27" s="1"/>
  <c r="AP193" i="27"/>
  <c r="AR193" i="27" s="1"/>
  <c r="AP194" i="27"/>
  <c r="AR194" i="27" s="1"/>
  <c r="AP195" i="27"/>
  <c r="AR195" i="27" s="1"/>
  <c r="AP196" i="27"/>
  <c r="AR196" i="27" s="1"/>
  <c r="AP197" i="27"/>
  <c r="AR197" i="27" s="1"/>
  <c r="AP198" i="27"/>
  <c r="AR198" i="27" s="1"/>
  <c r="AP199" i="27"/>
  <c r="AR199" i="27" s="1"/>
  <c r="AP200" i="27"/>
  <c r="AR200" i="27" s="1"/>
  <c r="AP201" i="27"/>
  <c r="AR201" i="27" s="1"/>
  <c r="AP202" i="27"/>
  <c r="AR202" i="27" s="1"/>
  <c r="AP203" i="27"/>
  <c r="AR203" i="27" s="1"/>
  <c r="AP204" i="27"/>
  <c r="AR204" i="27" s="1"/>
  <c r="AP205" i="27"/>
  <c r="AR205" i="27" s="1"/>
  <c r="AP206" i="27"/>
  <c r="AR206" i="27" s="1"/>
  <c r="AP207" i="27"/>
  <c r="AR207" i="27" s="1"/>
  <c r="AP208" i="27"/>
  <c r="AR208" i="27" s="1"/>
  <c r="AP209" i="27"/>
  <c r="AR209" i="27" s="1"/>
  <c r="AP210" i="27"/>
  <c r="AR210" i="27" s="1"/>
  <c r="AP211" i="27"/>
  <c r="AR211" i="27" s="1"/>
  <c r="AP212" i="27"/>
  <c r="AR212" i="27" s="1"/>
  <c r="AP213" i="27"/>
  <c r="AR213" i="27" s="1"/>
  <c r="AP214" i="27"/>
  <c r="AR214" i="27" s="1"/>
  <c r="AP215" i="27"/>
  <c r="AR215" i="27" s="1"/>
  <c r="AP216" i="27"/>
  <c r="AR216" i="27" s="1"/>
  <c r="AP217" i="27"/>
  <c r="AR217" i="27" s="1"/>
  <c r="AP218" i="27"/>
  <c r="AR218" i="27" s="1"/>
  <c r="AP219" i="27"/>
  <c r="AR219" i="27" s="1"/>
  <c r="AP220" i="27"/>
  <c r="AR220" i="27" s="1"/>
  <c r="AP221" i="27"/>
  <c r="AR221" i="27" s="1"/>
  <c r="AP222" i="27"/>
  <c r="AR222" i="27" s="1"/>
  <c r="AP223" i="27"/>
  <c r="AR223" i="27" s="1"/>
  <c r="AP224" i="27"/>
  <c r="AR224" i="27" s="1"/>
  <c r="AP225" i="27"/>
  <c r="AR225" i="27" s="1"/>
  <c r="AP226" i="27"/>
  <c r="AR226" i="27" s="1"/>
  <c r="AP227" i="27"/>
  <c r="AR227" i="27" s="1"/>
  <c r="AP228" i="27"/>
  <c r="AR228" i="27" s="1"/>
  <c r="AP229" i="27"/>
  <c r="AR229" i="27" s="1"/>
  <c r="AP230" i="27"/>
  <c r="AR230" i="27" s="1"/>
  <c r="AP231" i="27"/>
  <c r="AR231" i="27" s="1"/>
  <c r="AP232" i="27"/>
  <c r="AR232" i="27" s="1"/>
  <c r="AP233" i="27"/>
  <c r="AR233" i="27" s="1"/>
  <c r="AP234" i="27"/>
  <c r="AR234" i="27" s="1"/>
  <c r="AP235" i="27"/>
  <c r="AR235" i="27" s="1"/>
  <c r="AP236" i="27"/>
  <c r="AR236" i="27" s="1"/>
  <c r="AP237" i="27"/>
  <c r="AR237" i="27" s="1"/>
  <c r="AP238" i="27"/>
  <c r="AR238" i="27" s="1"/>
  <c r="AP239" i="27"/>
  <c r="AR239" i="27" s="1"/>
  <c r="AP240" i="27"/>
  <c r="AR240" i="27" s="1"/>
  <c r="AP241" i="27"/>
  <c r="AR241" i="27" s="1"/>
  <c r="AP242" i="27"/>
  <c r="AR242" i="27" s="1"/>
  <c r="AP243" i="27"/>
  <c r="AR243" i="27" s="1"/>
  <c r="AP244" i="27"/>
  <c r="AR244" i="27" s="1"/>
  <c r="AP245" i="27"/>
  <c r="AR245" i="27" s="1"/>
  <c r="AP246" i="27"/>
  <c r="AR246" i="27" s="1"/>
  <c r="AP247" i="27"/>
  <c r="AR247" i="27" s="1"/>
  <c r="AP248" i="27"/>
  <c r="AR248" i="27" s="1"/>
  <c r="AP249" i="27"/>
  <c r="AR249" i="27" s="1"/>
  <c r="AP250" i="27"/>
  <c r="AR250" i="27" s="1"/>
  <c r="AP251" i="27"/>
  <c r="AR251" i="27" s="1"/>
  <c r="AP252" i="27"/>
  <c r="AR252" i="27" s="1"/>
  <c r="AP253" i="27"/>
  <c r="AR253" i="27" s="1"/>
  <c r="AP254" i="27"/>
  <c r="AR254" i="27" s="1"/>
  <c r="AP255" i="27"/>
  <c r="AR255" i="27" s="1"/>
  <c r="AP256" i="27"/>
  <c r="AR256" i="27" s="1"/>
  <c r="AP257" i="27"/>
  <c r="AR257" i="27" s="1"/>
  <c r="AP258" i="27"/>
  <c r="AR258" i="27" s="1"/>
  <c r="AP259" i="27"/>
  <c r="AR259" i="27" s="1"/>
  <c r="AP260" i="27"/>
  <c r="AR260" i="27" s="1"/>
  <c r="AP261" i="27"/>
  <c r="AR261" i="27" s="1"/>
  <c r="AP262" i="27"/>
  <c r="AR262" i="27" s="1"/>
  <c r="AP263" i="27"/>
  <c r="AR263" i="27" s="1"/>
  <c r="AP264" i="27"/>
  <c r="AR264" i="27" s="1"/>
  <c r="AP265" i="27"/>
  <c r="AR265" i="27" s="1"/>
  <c r="AP266" i="27"/>
  <c r="AR266" i="27" s="1"/>
  <c r="AP267" i="27"/>
  <c r="AR267" i="27" s="1"/>
  <c r="AP268" i="27"/>
  <c r="AR268" i="27" s="1"/>
  <c r="AP269" i="27"/>
  <c r="AR269" i="27" s="1"/>
  <c r="AP270" i="27"/>
  <c r="AR270" i="27" s="1"/>
  <c r="AP271" i="27"/>
  <c r="AR271" i="27" s="1"/>
  <c r="AP272" i="27"/>
  <c r="AR272" i="27" s="1"/>
  <c r="AP273" i="27"/>
  <c r="AR273" i="27" s="1"/>
  <c r="AP274" i="27"/>
  <c r="AR274" i="27" s="1"/>
  <c r="AP275" i="27"/>
  <c r="AR275" i="27" s="1"/>
  <c r="AP276" i="27"/>
  <c r="AR276" i="27" s="1"/>
  <c r="AP277" i="27"/>
  <c r="AR277" i="27" s="1"/>
  <c r="AP278" i="27"/>
  <c r="AR278" i="27" s="1"/>
  <c r="AP279" i="27"/>
  <c r="AR279" i="27" s="1"/>
  <c r="AP280" i="27"/>
  <c r="AR280" i="27" s="1"/>
  <c r="AP281" i="27"/>
  <c r="AR281" i="27" s="1"/>
  <c r="AP282" i="27"/>
  <c r="AR282" i="27" s="1"/>
  <c r="AP283" i="27"/>
  <c r="AR283" i="27" s="1"/>
  <c r="AP284" i="27"/>
  <c r="AR284" i="27" s="1"/>
  <c r="AP285" i="27"/>
  <c r="AR285" i="27" s="1"/>
  <c r="AP286" i="27"/>
  <c r="AR286" i="27" s="1"/>
  <c r="AP287" i="27"/>
  <c r="AR287" i="27" s="1"/>
  <c r="AP288" i="27"/>
  <c r="AR288" i="27" s="1"/>
  <c r="AP289" i="27"/>
  <c r="AR289" i="27" s="1"/>
  <c r="AP290" i="27"/>
  <c r="AR290" i="27" s="1"/>
  <c r="AP291" i="27"/>
  <c r="AR291" i="27" s="1"/>
  <c r="AP292" i="27"/>
  <c r="AR292" i="27" s="1"/>
  <c r="AP293" i="27"/>
  <c r="AR293" i="27" s="1"/>
  <c r="AP294" i="27"/>
  <c r="AR294" i="27" s="1"/>
  <c r="AP295" i="27"/>
  <c r="AR295" i="27" s="1"/>
  <c r="AP296" i="27"/>
  <c r="AR296" i="27" s="1"/>
  <c r="AP297" i="27"/>
  <c r="AR297" i="27" s="1"/>
  <c r="AP298" i="27"/>
  <c r="AR298" i="27" s="1"/>
  <c r="AP299" i="27"/>
  <c r="AR299" i="27" s="1"/>
  <c r="AP300" i="27"/>
  <c r="AR300" i="27" s="1"/>
  <c r="AP301" i="27"/>
  <c r="AR301" i="27" s="1"/>
  <c r="AP302" i="27"/>
  <c r="AR302" i="27" s="1"/>
  <c r="AP303" i="27"/>
  <c r="AR303" i="27" s="1"/>
  <c r="AP304" i="27"/>
  <c r="AR304" i="27" s="1"/>
  <c r="AP305" i="27"/>
  <c r="AR305" i="27" s="1"/>
  <c r="AP306" i="27"/>
  <c r="AR306" i="27" s="1"/>
  <c r="AP307" i="27"/>
  <c r="AR307" i="27" s="1"/>
  <c r="AP308" i="27"/>
  <c r="AR308" i="27" s="1"/>
  <c r="AP309" i="27"/>
  <c r="AR309" i="27" s="1"/>
  <c r="AP310" i="27"/>
  <c r="AR310" i="27" s="1"/>
  <c r="AP311" i="27"/>
  <c r="AR311" i="27" s="1"/>
  <c r="AP312" i="27"/>
  <c r="AR312" i="27" s="1"/>
  <c r="AP313" i="27"/>
  <c r="AR313" i="27" s="1"/>
  <c r="AP314" i="27"/>
  <c r="AR314" i="27" s="1"/>
  <c r="AP315" i="27"/>
  <c r="AR315" i="27" s="1"/>
  <c r="AP316" i="27"/>
  <c r="AR316" i="27" s="1"/>
  <c r="AP317" i="27"/>
  <c r="AR317" i="27" s="1"/>
  <c r="AP318" i="27"/>
  <c r="AR318" i="27" s="1"/>
  <c r="AP319" i="27"/>
  <c r="AR319" i="27" s="1"/>
  <c r="AP320" i="27"/>
  <c r="AR320" i="27" s="1"/>
  <c r="AP321" i="27"/>
  <c r="AR321" i="27" s="1"/>
  <c r="AP322" i="27"/>
  <c r="AR322" i="27" s="1"/>
  <c r="AP323" i="27"/>
  <c r="AR323" i="27" s="1"/>
  <c r="AP324" i="27"/>
  <c r="AR324" i="27" s="1"/>
  <c r="AP325" i="27"/>
  <c r="AR325" i="27" s="1"/>
  <c r="AP326" i="27"/>
  <c r="AR326" i="27" s="1"/>
  <c r="AP327" i="27"/>
  <c r="AR327" i="27" s="1"/>
  <c r="AP328" i="27"/>
  <c r="AR328" i="27" s="1"/>
  <c r="AP329" i="27"/>
  <c r="AR329" i="27" s="1"/>
  <c r="AP330" i="27"/>
  <c r="AR330" i="27" s="1"/>
  <c r="AP331" i="27"/>
  <c r="AR331" i="27" s="1"/>
  <c r="AP332" i="27"/>
  <c r="AR332" i="27" s="1"/>
  <c r="AP333" i="27"/>
  <c r="AR333" i="27" s="1"/>
  <c r="AP334" i="27"/>
  <c r="AR334" i="27" s="1"/>
  <c r="AP335" i="27"/>
  <c r="AR335" i="27" s="1"/>
  <c r="AP336" i="27"/>
  <c r="AR336" i="27" s="1"/>
  <c r="AP337" i="27"/>
  <c r="AR337" i="27" s="1"/>
  <c r="AP338" i="27"/>
  <c r="AR338" i="27" s="1"/>
  <c r="AP339" i="27"/>
  <c r="AR339" i="27" s="1"/>
  <c r="AP340" i="27"/>
  <c r="AR340" i="27" s="1"/>
  <c r="AP341" i="27"/>
  <c r="AR341" i="27" s="1"/>
  <c r="AP342" i="27"/>
  <c r="AR342" i="27" s="1"/>
  <c r="AP343" i="27"/>
  <c r="AR343" i="27" s="1"/>
  <c r="AP344" i="27"/>
  <c r="AR344" i="27" s="1"/>
  <c r="AP345" i="27"/>
  <c r="AR345" i="27" s="1"/>
  <c r="AP346" i="27"/>
  <c r="AR346" i="27" s="1"/>
  <c r="AP347" i="27"/>
  <c r="AR347" i="27" s="1"/>
  <c r="AP348" i="27"/>
  <c r="AR348" i="27" s="1"/>
  <c r="AP349" i="27"/>
  <c r="AR349" i="27" s="1"/>
  <c r="AP350" i="27"/>
  <c r="AR350" i="27" s="1"/>
  <c r="AP351" i="27"/>
  <c r="AR351" i="27" s="1"/>
  <c r="AP352" i="27"/>
  <c r="AR352" i="27" s="1"/>
  <c r="AP353" i="27"/>
  <c r="AR353" i="27" s="1"/>
  <c r="AP354" i="27"/>
  <c r="AR354" i="27" s="1"/>
  <c r="AP355" i="27"/>
  <c r="AR355" i="27" s="1"/>
  <c r="AP356" i="27"/>
  <c r="AR356" i="27" s="1"/>
  <c r="AP357" i="27"/>
  <c r="AR357" i="27" s="1"/>
  <c r="AP358" i="27"/>
  <c r="AR358" i="27" s="1"/>
  <c r="AP359" i="27"/>
  <c r="AR359" i="27" s="1"/>
  <c r="AP360" i="27"/>
  <c r="AR360" i="27" s="1"/>
  <c r="AP361" i="27"/>
  <c r="AR361" i="27" s="1"/>
  <c r="AP362" i="27"/>
  <c r="AR362" i="27" s="1"/>
  <c r="AP363" i="27"/>
  <c r="AR363" i="27" s="1"/>
  <c r="AP364" i="27"/>
  <c r="AR364" i="27" s="1"/>
  <c r="AP365" i="27"/>
  <c r="AR365" i="27" s="1"/>
  <c r="AP366" i="27"/>
  <c r="AR366" i="27" s="1"/>
  <c r="AP367" i="27"/>
  <c r="AR367" i="27" s="1"/>
  <c r="AP368" i="27"/>
  <c r="AR368" i="27" s="1"/>
  <c r="AP369" i="27"/>
  <c r="AR369" i="27" s="1"/>
  <c r="AP370" i="27"/>
  <c r="AR370" i="27" s="1"/>
  <c r="AP371" i="27"/>
  <c r="AR371" i="27" s="1"/>
  <c r="AP372" i="27"/>
  <c r="AR372" i="27" s="1"/>
  <c r="AP373" i="27"/>
  <c r="AR373" i="27" s="1"/>
  <c r="AP374" i="27"/>
  <c r="AR374" i="27" s="1"/>
  <c r="AP375" i="27"/>
  <c r="AR375" i="27" s="1"/>
  <c r="AP376" i="27"/>
  <c r="AR376" i="27" s="1"/>
  <c r="AP377" i="27"/>
  <c r="AR377" i="27" s="1"/>
  <c r="AP378" i="27"/>
  <c r="AR378" i="27" s="1"/>
  <c r="AP379" i="27"/>
  <c r="AR379" i="27" s="1"/>
  <c r="AP380" i="27"/>
  <c r="AR380" i="27" s="1"/>
  <c r="AP381" i="27"/>
  <c r="AR381" i="27" s="1"/>
  <c r="AP382" i="27"/>
  <c r="AR382" i="27" s="1"/>
  <c r="AP383" i="27"/>
  <c r="AR383" i="27" s="1"/>
  <c r="AP384" i="27"/>
  <c r="AR384" i="27" s="1"/>
  <c r="AP385" i="27"/>
  <c r="AR385" i="27" s="1"/>
  <c r="AP386" i="27"/>
  <c r="AR386" i="27" s="1"/>
  <c r="AP387" i="27"/>
  <c r="AR387" i="27" s="1"/>
  <c r="AP388" i="27"/>
  <c r="AR388" i="27" s="1"/>
  <c r="AP389" i="27"/>
  <c r="AR389" i="27" s="1"/>
  <c r="AP390" i="27"/>
  <c r="AR390" i="27" s="1"/>
  <c r="AP391" i="27"/>
  <c r="AR391" i="27" s="1"/>
  <c r="AP392" i="27"/>
  <c r="AR392" i="27" s="1"/>
  <c r="AP393" i="27"/>
  <c r="AR393" i="27" s="1"/>
  <c r="AP394" i="27"/>
  <c r="AR394" i="27" s="1"/>
  <c r="AP395" i="27"/>
  <c r="AR395" i="27" s="1"/>
  <c r="AP396" i="27"/>
  <c r="AR396" i="27" s="1"/>
  <c r="AP397" i="27"/>
  <c r="AR397" i="27" s="1"/>
  <c r="AP398" i="27"/>
  <c r="AR398" i="27" s="1"/>
  <c r="AP399" i="27"/>
  <c r="AR399" i="27" s="1"/>
  <c r="AP400" i="27"/>
  <c r="AR400" i="27" s="1"/>
  <c r="AP401" i="27"/>
  <c r="AR401" i="27" s="1"/>
  <c r="AP402" i="27"/>
  <c r="AR402" i="27" s="1"/>
  <c r="AP403" i="27"/>
  <c r="AR403" i="27" s="1"/>
  <c r="AP404" i="27"/>
  <c r="AR404" i="27" s="1"/>
  <c r="AP405" i="27"/>
  <c r="AR405" i="27" s="1"/>
  <c r="AP406" i="27"/>
  <c r="AR406" i="27" s="1"/>
  <c r="AP407" i="27"/>
  <c r="AR407" i="27" s="1"/>
  <c r="AP408" i="27"/>
  <c r="AR408" i="27" s="1"/>
  <c r="AP409" i="27"/>
  <c r="AR409" i="27" s="1"/>
  <c r="AP410" i="27"/>
  <c r="AR410" i="27" s="1"/>
  <c r="AP411" i="27"/>
  <c r="AR411" i="27" s="1"/>
  <c r="AP412" i="27"/>
  <c r="AR412" i="27" s="1"/>
  <c r="AP413" i="27"/>
  <c r="AR413" i="27" s="1"/>
  <c r="AP414" i="27"/>
  <c r="AR414" i="27" s="1"/>
  <c r="AP415" i="27"/>
  <c r="AR415" i="27" s="1"/>
  <c r="AP416" i="27"/>
  <c r="AR416" i="27" s="1"/>
  <c r="AP417" i="27"/>
  <c r="AR417" i="27" s="1"/>
  <c r="AP418" i="27"/>
  <c r="AR418" i="27" s="1"/>
  <c r="AP419" i="27"/>
  <c r="AR419" i="27" s="1"/>
  <c r="AP420" i="27"/>
  <c r="AR420" i="27" s="1"/>
  <c r="AP421" i="27"/>
  <c r="AR421" i="27" s="1"/>
  <c r="AP422" i="27"/>
  <c r="AR422" i="27" s="1"/>
  <c r="AP423" i="27"/>
  <c r="AR423" i="27" s="1"/>
  <c r="AP424" i="27"/>
  <c r="AR424" i="27" s="1"/>
  <c r="AP425" i="27"/>
  <c r="AR425" i="27" s="1"/>
  <c r="AP426" i="27"/>
  <c r="AR426" i="27" s="1"/>
  <c r="AP427" i="27"/>
  <c r="AR427" i="27" s="1"/>
  <c r="AP428" i="27"/>
  <c r="AR428" i="27" s="1"/>
  <c r="AP429" i="27"/>
  <c r="AR429" i="27" s="1"/>
  <c r="AP430" i="27"/>
  <c r="AR430" i="27" s="1"/>
  <c r="AP431" i="27"/>
  <c r="AR431" i="27" s="1"/>
  <c r="AP432" i="27"/>
  <c r="AR432" i="27" s="1"/>
  <c r="AP433" i="27"/>
  <c r="AR433" i="27" s="1"/>
  <c r="AP434" i="27"/>
  <c r="AR434" i="27" s="1"/>
  <c r="AP435" i="27"/>
  <c r="AR435" i="27" s="1"/>
  <c r="AP436" i="27"/>
  <c r="AR436" i="27" s="1"/>
  <c r="AP437" i="27"/>
  <c r="AR437" i="27" s="1"/>
  <c r="AP438" i="27"/>
  <c r="AR438" i="27" s="1"/>
  <c r="AP439" i="27"/>
  <c r="AR439" i="27" s="1"/>
  <c r="AP440" i="27"/>
  <c r="AR440" i="27" s="1"/>
  <c r="AP441" i="27"/>
  <c r="AR441" i="27" s="1"/>
  <c r="AP442" i="27"/>
  <c r="AR442" i="27" s="1"/>
  <c r="AP443" i="27"/>
  <c r="AR443" i="27" s="1"/>
  <c r="AP445" i="27"/>
  <c r="AR445" i="27" s="1"/>
  <c r="AP446" i="27"/>
  <c r="AR446" i="27" s="1"/>
  <c r="AP447" i="27"/>
  <c r="AR447" i="27" s="1"/>
  <c r="AP448" i="27"/>
  <c r="AR448" i="27" s="1"/>
  <c r="AP449" i="27"/>
  <c r="AR449" i="27" s="1"/>
  <c r="AP450" i="27"/>
  <c r="AR450" i="27" s="1"/>
  <c r="AP451" i="27"/>
  <c r="AR451" i="27" s="1"/>
  <c r="AP452" i="27"/>
  <c r="AR452" i="27" s="1"/>
  <c r="AP453" i="27"/>
  <c r="AR453" i="27" s="1"/>
  <c r="AP454" i="27"/>
  <c r="AR454" i="27" s="1"/>
  <c r="AP455" i="27"/>
  <c r="AR455" i="27" s="1"/>
  <c r="AP456" i="27"/>
  <c r="AR456" i="27" s="1"/>
  <c r="AP457" i="27"/>
  <c r="AR457" i="27" s="1"/>
  <c r="AP458" i="27"/>
  <c r="AR458" i="27" s="1"/>
  <c r="AP459" i="27"/>
  <c r="AR459" i="27" s="1"/>
  <c r="AP460" i="27"/>
  <c r="AR460" i="27" s="1"/>
  <c r="AP461" i="27"/>
  <c r="AR461" i="27" s="1"/>
  <c r="AP462" i="27"/>
  <c r="AR462" i="27" s="1"/>
  <c r="AP463" i="27"/>
  <c r="AR463" i="27" s="1"/>
  <c r="AP464" i="27"/>
  <c r="AR464" i="27" s="1"/>
  <c r="AP465" i="27"/>
  <c r="AR465" i="27" s="1"/>
  <c r="AP466" i="27"/>
  <c r="AR466" i="27" s="1"/>
  <c r="AP467" i="27"/>
  <c r="AR467" i="27" s="1"/>
  <c r="AP468" i="27"/>
  <c r="AR468" i="27" s="1"/>
  <c r="AP469" i="27"/>
  <c r="AR469" i="27" s="1"/>
  <c r="AP470" i="27"/>
  <c r="AR470" i="27" s="1"/>
  <c r="AP471" i="27"/>
  <c r="AR471" i="27" s="1"/>
  <c r="AP472" i="27"/>
  <c r="AR472" i="27" s="1"/>
  <c r="AP473" i="27"/>
  <c r="AR473" i="27" s="1"/>
  <c r="AP474" i="27"/>
  <c r="AR474" i="27" s="1"/>
  <c r="AP475" i="27"/>
  <c r="AR475" i="27" s="1"/>
  <c r="AP476" i="27"/>
  <c r="AR476" i="27" s="1"/>
  <c r="AP477" i="27"/>
  <c r="AR477" i="27" s="1"/>
  <c r="AP478" i="27"/>
  <c r="AR478" i="27" s="1"/>
  <c r="AP479" i="27"/>
  <c r="AR479" i="27" s="1"/>
  <c r="AP480" i="27"/>
  <c r="AR480" i="27" s="1"/>
  <c r="AP481" i="27"/>
  <c r="AR481" i="27" s="1"/>
  <c r="AP482" i="27"/>
  <c r="AR482" i="27" s="1"/>
  <c r="AP483" i="27"/>
  <c r="AR483" i="27" s="1"/>
  <c r="AP484" i="27"/>
  <c r="AR484" i="27" s="1"/>
  <c r="AP485" i="27"/>
  <c r="AR485" i="27" s="1"/>
  <c r="AP486" i="27"/>
  <c r="AR486" i="27" s="1"/>
  <c r="AP487" i="27"/>
  <c r="AR487" i="27" s="1"/>
  <c r="AP488" i="27"/>
  <c r="AR488" i="27" s="1"/>
  <c r="AP489" i="27"/>
  <c r="AR489" i="27" s="1"/>
  <c r="AP490" i="27"/>
  <c r="AR490" i="27" s="1"/>
  <c r="AP491" i="27"/>
  <c r="AR491" i="27" s="1"/>
  <c r="AP492" i="27"/>
  <c r="AR492" i="27" s="1"/>
  <c r="AP493" i="27"/>
  <c r="AR493" i="27" s="1"/>
  <c r="AP494" i="27"/>
  <c r="AR494" i="27" s="1"/>
  <c r="AP495" i="27"/>
  <c r="AR495" i="27" s="1"/>
  <c r="AP496" i="27"/>
  <c r="AR496" i="27" s="1"/>
  <c r="AP497" i="27"/>
  <c r="AR497" i="27" s="1"/>
  <c r="AP498" i="27"/>
  <c r="AR498" i="27" s="1"/>
  <c r="AP499" i="27"/>
  <c r="AR499" i="27" s="1"/>
  <c r="AP500" i="27"/>
  <c r="AR500" i="27" s="1"/>
  <c r="AP501" i="27"/>
  <c r="AR501" i="27" s="1"/>
  <c r="AP502" i="27"/>
  <c r="AR502" i="27" s="1"/>
  <c r="AP503" i="27"/>
  <c r="AR503" i="27" s="1"/>
  <c r="AP504" i="27"/>
  <c r="AR504" i="27" s="1"/>
  <c r="AP505" i="27"/>
  <c r="AR505" i="27" s="1"/>
  <c r="AP506" i="27"/>
  <c r="AR506" i="27" s="1"/>
  <c r="AP507" i="27"/>
  <c r="AR507" i="27" s="1"/>
  <c r="AP508" i="27"/>
  <c r="AR508" i="27" s="1"/>
  <c r="AP509" i="27"/>
  <c r="AR509" i="27" s="1"/>
  <c r="AP510" i="27"/>
  <c r="AR510" i="27" s="1"/>
  <c r="AP511" i="27"/>
  <c r="AR511" i="27" s="1"/>
  <c r="AP512" i="27"/>
  <c r="AR512" i="27" s="1"/>
  <c r="AP513" i="27"/>
  <c r="AR513" i="27" s="1"/>
  <c r="AP514" i="27"/>
  <c r="AR514" i="27" s="1"/>
  <c r="AP515" i="27"/>
  <c r="AR515" i="27" s="1"/>
  <c r="AP516" i="27"/>
  <c r="AR516" i="27" s="1"/>
  <c r="AP517" i="27"/>
  <c r="AR517" i="27" s="1"/>
  <c r="AP518" i="27"/>
  <c r="AR518" i="27" s="1"/>
  <c r="AP519" i="27"/>
  <c r="AR519" i="27" s="1"/>
  <c r="AP520" i="27"/>
  <c r="AR520" i="27" s="1"/>
  <c r="AP521" i="27"/>
  <c r="AR521" i="27" s="1"/>
  <c r="AP522" i="27"/>
  <c r="AR522" i="27" s="1"/>
  <c r="AP523" i="27"/>
  <c r="AR523" i="27" s="1"/>
  <c r="AP524" i="27"/>
  <c r="AR524" i="27" s="1"/>
  <c r="AP525" i="27"/>
  <c r="AR525" i="27" s="1"/>
  <c r="AP526" i="27"/>
  <c r="AR526" i="27" s="1"/>
  <c r="AP527" i="27"/>
  <c r="AR527" i="27" s="1"/>
  <c r="AP528" i="27"/>
  <c r="AR528" i="27" s="1"/>
  <c r="AP529" i="27"/>
  <c r="AR529" i="27" s="1"/>
  <c r="AP530" i="27"/>
  <c r="AR530" i="27" s="1"/>
  <c r="AP531" i="27"/>
  <c r="AR531" i="27" s="1"/>
  <c r="AP532" i="27"/>
  <c r="AR532" i="27" s="1"/>
  <c r="AP533" i="27"/>
  <c r="AR533" i="27" s="1"/>
  <c r="AP534" i="27"/>
  <c r="AR534" i="27" s="1"/>
  <c r="AP535" i="27"/>
  <c r="AR535" i="27" s="1"/>
  <c r="AP536" i="27"/>
  <c r="AR536" i="27" s="1"/>
  <c r="AP537" i="27"/>
  <c r="AR537" i="27" s="1"/>
  <c r="AP538" i="27"/>
  <c r="AR538" i="27" s="1"/>
  <c r="AP539" i="27"/>
  <c r="AR539" i="27" s="1"/>
  <c r="AP540" i="27"/>
  <c r="AR540" i="27" s="1"/>
  <c r="AP541" i="27"/>
  <c r="AR541" i="27" s="1"/>
  <c r="AP542" i="27"/>
  <c r="AR542" i="27" s="1"/>
  <c r="AP543" i="27"/>
  <c r="AR543" i="27" s="1"/>
  <c r="AP544" i="27"/>
  <c r="AR544" i="27" s="1"/>
  <c r="AP545" i="27"/>
  <c r="AR545" i="27" s="1"/>
  <c r="AP546" i="27"/>
  <c r="AR546" i="27" s="1"/>
  <c r="AP547" i="27"/>
  <c r="AR547" i="27" s="1"/>
  <c r="AP548" i="27"/>
  <c r="AR548" i="27" s="1"/>
  <c r="AP549" i="27"/>
  <c r="AR549" i="27" s="1"/>
  <c r="AP550" i="27"/>
  <c r="AR550" i="27" s="1"/>
  <c r="AP551" i="27"/>
  <c r="AR551" i="27" s="1"/>
  <c r="AP552" i="27"/>
  <c r="AR552" i="27" s="1"/>
  <c r="AP553" i="27"/>
  <c r="AR553" i="27" s="1"/>
  <c r="AP554" i="27"/>
  <c r="AR554" i="27" s="1"/>
  <c r="AP555" i="27"/>
  <c r="AR555" i="27" s="1"/>
  <c r="AP556" i="27"/>
  <c r="AR556" i="27" s="1"/>
  <c r="AP557" i="27"/>
  <c r="AR557" i="27" s="1"/>
  <c r="AP558" i="27"/>
  <c r="AR558" i="27" s="1"/>
  <c r="AP559" i="27"/>
  <c r="AR559" i="27" s="1"/>
  <c r="AP560" i="27"/>
  <c r="AR560" i="27" s="1"/>
  <c r="AP561" i="27"/>
  <c r="AR561" i="27" s="1"/>
  <c r="AP562" i="27"/>
  <c r="AR562" i="27" s="1"/>
  <c r="AP563" i="27"/>
  <c r="AR563" i="27" s="1"/>
  <c r="AP564" i="27"/>
  <c r="AR564" i="27" s="1"/>
  <c r="AP565" i="27"/>
  <c r="AR565" i="27" s="1"/>
  <c r="AP566" i="27"/>
  <c r="AR566" i="27" s="1"/>
  <c r="AP567" i="27"/>
  <c r="AR567" i="27" s="1"/>
  <c r="AP568" i="27"/>
  <c r="AR568" i="27" s="1"/>
  <c r="AP569" i="27"/>
  <c r="AR569" i="27" s="1"/>
  <c r="AP570" i="27"/>
  <c r="AR570" i="27" s="1"/>
  <c r="AP571" i="27"/>
  <c r="AR571" i="27" s="1"/>
  <c r="AP572" i="27"/>
  <c r="AR572" i="27" s="1"/>
  <c r="AP573" i="27"/>
  <c r="AR573" i="27" s="1"/>
  <c r="AP574" i="27"/>
  <c r="AR574" i="27" s="1"/>
  <c r="AP575" i="27"/>
  <c r="AR575" i="27" s="1"/>
  <c r="AP576" i="27"/>
  <c r="AR576" i="27" s="1"/>
  <c r="AP577" i="27"/>
  <c r="AR577" i="27" s="1"/>
  <c r="AP578" i="27"/>
  <c r="AR578" i="27" s="1"/>
  <c r="AP579" i="27"/>
  <c r="AR579" i="27" s="1"/>
  <c r="AP580" i="27"/>
  <c r="AR580" i="27" s="1"/>
  <c r="AP581" i="27"/>
  <c r="AR581" i="27" s="1"/>
  <c r="AP582" i="27"/>
  <c r="AR582" i="27" s="1"/>
  <c r="AP583" i="27"/>
  <c r="AR583" i="27" s="1"/>
  <c r="AP584" i="27"/>
  <c r="AR584" i="27" s="1"/>
  <c r="AP585" i="27"/>
  <c r="AR585" i="27" s="1"/>
  <c r="AP586" i="27"/>
  <c r="AR586" i="27" s="1"/>
  <c r="AP587" i="27"/>
  <c r="AR587" i="27" s="1"/>
  <c r="AP588" i="27"/>
  <c r="AR588" i="27" s="1"/>
  <c r="AP589" i="27"/>
  <c r="AR589" i="27" s="1"/>
  <c r="AP590" i="27"/>
  <c r="AR590" i="27" s="1"/>
  <c r="AP591" i="27"/>
  <c r="AR591" i="27" s="1"/>
  <c r="AP592" i="27"/>
  <c r="AR592" i="27" s="1"/>
  <c r="AP593" i="27"/>
  <c r="AR593" i="27" s="1"/>
  <c r="AP594" i="27"/>
  <c r="AR594" i="27" s="1"/>
  <c r="AP595" i="27"/>
  <c r="AR595" i="27" s="1"/>
  <c r="AP596" i="27"/>
  <c r="AR596" i="27" s="1"/>
  <c r="AP598" i="27"/>
  <c r="AR598" i="27" s="1"/>
  <c r="AP599" i="27"/>
  <c r="AR599" i="27" s="1"/>
  <c r="AP600" i="27"/>
  <c r="AR600" i="27" s="1"/>
  <c r="AP601" i="27"/>
  <c r="AR601" i="27" s="1"/>
  <c r="AP602" i="27"/>
  <c r="AR602" i="27" s="1"/>
  <c r="AP603" i="27"/>
  <c r="AR603" i="27" s="1"/>
  <c r="AP604" i="27"/>
  <c r="AR604" i="27" s="1"/>
  <c r="AP605" i="27"/>
  <c r="AR605" i="27" s="1"/>
  <c r="AP606" i="27"/>
  <c r="AR606" i="27" s="1"/>
  <c r="AP607" i="27"/>
  <c r="AR607" i="27" s="1"/>
  <c r="AP608" i="27"/>
  <c r="AR608" i="27" s="1"/>
  <c r="AP609" i="27"/>
  <c r="AR609" i="27" s="1"/>
  <c r="AP610" i="27"/>
  <c r="AR610" i="27" s="1"/>
  <c r="AP611" i="27"/>
  <c r="AR611" i="27" s="1"/>
  <c r="AP612" i="27"/>
  <c r="AR612" i="27" s="1"/>
  <c r="AP613" i="27"/>
  <c r="AR613" i="27" s="1"/>
  <c r="AP614" i="27"/>
  <c r="AR614" i="27" s="1"/>
  <c r="AP615" i="27"/>
  <c r="AR615" i="27" s="1"/>
  <c r="AP616" i="27"/>
  <c r="AR616" i="27" s="1"/>
  <c r="AP617" i="27"/>
  <c r="AR617" i="27" s="1"/>
  <c r="AP618" i="27"/>
  <c r="AR618" i="27" s="1"/>
  <c r="AP619" i="27"/>
  <c r="AR619" i="27" s="1"/>
  <c r="AP620" i="27"/>
  <c r="AR620" i="27" s="1"/>
  <c r="AP621" i="27"/>
  <c r="AR621" i="27" s="1"/>
  <c r="AP622" i="27"/>
  <c r="AR622" i="27" s="1"/>
  <c r="AP623" i="27"/>
  <c r="AR623" i="27" s="1"/>
  <c r="AP624" i="27"/>
  <c r="AR624" i="27" s="1"/>
  <c r="AP625" i="27"/>
  <c r="AR625" i="27" s="1"/>
  <c r="AP626" i="27"/>
  <c r="AR626" i="27" s="1"/>
  <c r="AP627" i="27"/>
  <c r="AR627" i="27" s="1"/>
  <c r="AP628" i="27"/>
  <c r="AR628" i="27" s="1"/>
  <c r="AP629" i="27"/>
  <c r="AR629" i="27" s="1"/>
  <c r="AP630" i="27"/>
  <c r="AR630" i="27" s="1"/>
  <c r="AP631" i="27"/>
  <c r="AR631" i="27" s="1"/>
  <c r="AP632" i="27"/>
  <c r="AR632" i="27" s="1"/>
  <c r="AP633" i="27"/>
  <c r="AR633" i="27" s="1"/>
  <c r="AP634" i="27"/>
  <c r="AR634" i="27" s="1"/>
  <c r="AP635" i="27"/>
  <c r="AR635" i="27" s="1"/>
  <c r="AP636" i="27"/>
  <c r="AR636" i="27" s="1"/>
  <c r="AP637" i="27"/>
  <c r="AR637" i="27" s="1"/>
  <c r="AP638" i="27"/>
  <c r="AR638" i="27" s="1"/>
  <c r="AP639" i="27"/>
  <c r="AR639" i="27" s="1"/>
  <c r="AP640" i="27"/>
  <c r="AR640" i="27" s="1"/>
  <c r="AP641" i="27"/>
  <c r="AR641" i="27" s="1"/>
  <c r="AP642" i="27"/>
  <c r="AR642" i="27" s="1"/>
  <c r="AP643" i="27"/>
  <c r="AR643" i="27" s="1"/>
  <c r="AP644" i="27"/>
  <c r="AR644" i="27" s="1"/>
  <c r="AP645" i="27"/>
  <c r="AR645" i="27" s="1"/>
  <c r="AP646" i="27"/>
  <c r="AR646" i="27" s="1"/>
  <c r="AP647" i="27"/>
  <c r="AR647" i="27" s="1"/>
  <c r="AP648" i="27"/>
  <c r="AR648" i="27" s="1"/>
  <c r="AP649" i="27"/>
  <c r="AR649" i="27" s="1"/>
  <c r="AP650" i="27"/>
  <c r="AR650" i="27" s="1"/>
  <c r="AP651" i="27"/>
  <c r="AR651" i="27" s="1"/>
  <c r="AP652" i="27"/>
  <c r="AR652" i="27" s="1"/>
  <c r="AP653" i="27"/>
  <c r="AR653" i="27" s="1"/>
  <c r="AP654" i="27"/>
  <c r="AR654" i="27" s="1"/>
  <c r="AP655" i="27"/>
  <c r="AR655" i="27" s="1"/>
  <c r="AP656" i="27"/>
  <c r="AR656" i="27" s="1"/>
  <c r="AQ8" i="27"/>
  <c r="AQ9" i="27"/>
  <c r="AQ10" i="27"/>
  <c r="AQ11" i="27"/>
  <c r="AQ12" i="27"/>
  <c r="AQ13" i="27"/>
  <c r="AQ14" i="27"/>
  <c r="AQ15" i="27"/>
  <c r="AQ16" i="27"/>
  <c r="AQ17" i="27"/>
  <c r="AQ18" i="27"/>
  <c r="AQ19" i="27"/>
  <c r="AQ20" i="27"/>
  <c r="AQ21" i="27"/>
  <c r="AQ22" i="27"/>
  <c r="AQ23" i="27"/>
  <c r="AQ24" i="27"/>
  <c r="AQ25" i="27"/>
  <c r="AQ26" i="27"/>
  <c r="AQ27" i="27"/>
  <c r="AQ28" i="27"/>
  <c r="AQ29" i="27"/>
  <c r="AQ30" i="27"/>
  <c r="AQ31" i="27"/>
  <c r="AQ32" i="27"/>
  <c r="AQ33" i="27"/>
  <c r="AQ34" i="27"/>
  <c r="AQ35" i="27"/>
  <c r="AQ36" i="27"/>
  <c r="AQ37" i="27"/>
  <c r="AQ38" i="27"/>
  <c r="AQ39" i="27"/>
  <c r="AQ40" i="27"/>
  <c r="AQ41" i="27"/>
  <c r="AQ42" i="27"/>
  <c r="AQ43" i="27"/>
  <c r="AQ44" i="27"/>
  <c r="AQ45" i="27"/>
  <c r="AQ46" i="27"/>
  <c r="AQ47" i="27"/>
  <c r="AQ48" i="27"/>
  <c r="AQ49" i="27"/>
  <c r="AQ50" i="27"/>
  <c r="AQ51" i="27"/>
  <c r="AQ52" i="27"/>
  <c r="AQ53" i="27"/>
  <c r="AQ54" i="27"/>
  <c r="AQ55" i="27"/>
  <c r="AQ56" i="27"/>
  <c r="AQ57" i="27"/>
  <c r="AQ58" i="27"/>
  <c r="AQ59" i="27"/>
  <c r="AQ62" i="27"/>
  <c r="AQ63" i="27"/>
  <c r="AQ64" i="27"/>
  <c r="AQ65" i="27"/>
  <c r="AQ66" i="27"/>
  <c r="AQ67" i="27"/>
  <c r="AQ68" i="27"/>
  <c r="AQ69" i="27"/>
  <c r="AQ70" i="27"/>
  <c r="AQ71" i="27"/>
  <c r="AQ72" i="27"/>
  <c r="AQ73" i="27"/>
  <c r="AQ74" i="27"/>
  <c r="AQ75" i="27"/>
  <c r="AQ81" i="27"/>
  <c r="AQ82" i="27"/>
  <c r="AQ83" i="27"/>
  <c r="AQ84" i="27"/>
  <c r="AQ85" i="27"/>
  <c r="AQ86" i="27"/>
  <c r="AQ87" i="27"/>
  <c r="AQ88" i="27"/>
  <c r="AQ89" i="27"/>
  <c r="AQ90" i="27"/>
  <c r="AQ91" i="27"/>
  <c r="AQ92" i="27"/>
  <c r="AQ93" i="27"/>
  <c r="AQ94" i="27"/>
  <c r="AQ95" i="27"/>
  <c r="AQ96" i="27"/>
  <c r="AQ97" i="27"/>
  <c r="AQ98" i="27"/>
  <c r="AQ99" i="27"/>
  <c r="AQ100" i="27"/>
  <c r="AQ101" i="27"/>
  <c r="AQ102" i="27"/>
  <c r="AQ103" i="27"/>
  <c r="AQ104" i="27"/>
  <c r="AQ105" i="27"/>
  <c r="AQ106" i="27"/>
  <c r="AQ107" i="27"/>
  <c r="AQ108" i="27"/>
  <c r="AQ109" i="27"/>
  <c r="AQ110" i="27"/>
  <c r="AQ111" i="27"/>
  <c r="AQ112" i="27"/>
  <c r="AQ113" i="27"/>
  <c r="AQ114" i="27"/>
  <c r="AQ115" i="27"/>
  <c r="AQ116" i="27"/>
  <c r="AQ117" i="27"/>
  <c r="AQ118" i="27"/>
  <c r="AQ119" i="27"/>
  <c r="AQ120" i="27"/>
  <c r="AQ121" i="27"/>
  <c r="AQ122" i="27"/>
  <c r="AQ123" i="27"/>
  <c r="AQ124" i="27"/>
  <c r="AQ125" i="27"/>
  <c r="AQ126" i="27"/>
  <c r="AQ127" i="27"/>
  <c r="AQ128" i="27"/>
  <c r="AQ129" i="27"/>
  <c r="AQ130" i="27"/>
  <c r="AQ131" i="27"/>
  <c r="AQ132" i="27"/>
  <c r="AQ134" i="27"/>
  <c r="AQ135" i="27"/>
  <c r="AQ136" i="27"/>
  <c r="AQ137" i="27"/>
  <c r="AQ138" i="27"/>
  <c r="AQ139" i="27"/>
  <c r="AQ140" i="27"/>
  <c r="AQ141" i="27"/>
  <c r="AQ142" i="27"/>
  <c r="AQ143" i="27"/>
  <c r="AQ144" i="27"/>
  <c r="AQ145" i="27"/>
  <c r="AQ146" i="27"/>
  <c r="AQ147" i="27"/>
  <c r="AQ148" i="27"/>
  <c r="AQ149" i="27"/>
  <c r="AQ150" i="27"/>
  <c r="AQ151" i="27"/>
  <c r="AQ152" i="27"/>
  <c r="AQ153" i="27"/>
  <c r="AQ154" i="27"/>
  <c r="AQ155" i="27"/>
  <c r="AQ156" i="27"/>
  <c r="AQ157" i="27"/>
  <c r="AQ158" i="27"/>
  <c r="AQ159" i="27"/>
  <c r="AQ160" i="27"/>
  <c r="AQ161" i="27"/>
  <c r="AQ162" i="27"/>
  <c r="AQ163" i="27"/>
  <c r="AQ164" i="27"/>
  <c r="AQ165" i="27"/>
  <c r="AQ166" i="27"/>
  <c r="AQ167" i="27"/>
  <c r="AQ168" i="27"/>
  <c r="AQ169" i="27"/>
  <c r="AQ170" i="27"/>
  <c r="AQ171" i="27"/>
  <c r="AQ172" i="27"/>
  <c r="AQ173" i="27"/>
  <c r="AQ174" i="27"/>
  <c r="AQ175" i="27"/>
  <c r="AQ176" i="27"/>
  <c r="AQ177" i="27"/>
  <c r="AQ178" i="27"/>
  <c r="AQ180" i="27"/>
  <c r="AQ181" i="27"/>
  <c r="AQ182" i="27"/>
  <c r="AQ183" i="27"/>
  <c r="AQ184" i="27"/>
  <c r="AQ185" i="27"/>
  <c r="AQ186" i="27"/>
  <c r="AQ187" i="27"/>
  <c r="AQ188" i="27"/>
  <c r="AQ189" i="27"/>
  <c r="AQ190" i="27"/>
  <c r="AQ191" i="27"/>
  <c r="AQ192" i="27"/>
  <c r="AQ193" i="27"/>
  <c r="AQ194" i="27"/>
  <c r="AQ195" i="27"/>
  <c r="AQ196" i="27"/>
  <c r="AQ197" i="27"/>
  <c r="AQ198" i="27"/>
  <c r="AQ199" i="27"/>
  <c r="AQ200" i="27"/>
  <c r="AQ201" i="27"/>
  <c r="AQ202" i="27"/>
  <c r="AQ203" i="27"/>
  <c r="AQ204" i="27"/>
  <c r="AQ205" i="27"/>
  <c r="AQ206" i="27"/>
  <c r="AQ207" i="27"/>
  <c r="AQ208" i="27"/>
  <c r="AQ209" i="27"/>
  <c r="AQ210" i="27"/>
  <c r="AQ211" i="27"/>
  <c r="AQ212" i="27"/>
  <c r="AQ213" i="27"/>
  <c r="AQ214" i="27"/>
  <c r="AQ215" i="27"/>
  <c r="AQ216" i="27"/>
  <c r="AQ217" i="27"/>
  <c r="AQ218" i="27"/>
  <c r="AQ219" i="27"/>
  <c r="AQ220" i="27"/>
  <c r="AQ221" i="27"/>
  <c r="AQ222" i="27"/>
  <c r="AQ223" i="27"/>
  <c r="AQ224" i="27"/>
  <c r="AQ225" i="27"/>
  <c r="AQ226" i="27"/>
  <c r="AQ227" i="27"/>
  <c r="AQ228" i="27"/>
  <c r="AQ229" i="27"/>
  <c r="AQ230" i="27"/>
  <c r="AQ231" i="27"/>
  <c r="AQ232" i="27"/>
  <c r="AQ233" i="27"/>
  <c r="AQ234" i="27"/>
  <c r="AQ235" i="27"/>
  <c r="AQ236" i="27"/>
  <c r="AQ237" i="27"/>
  <c r="AQ238" i="27"/>
  <c r="AQ239" i="27"/>
  <c r="AQ240" i="27"/>
  <c r="AQ241" i="27"/>
  <c r="AQ242" i="27"/>
  <c r="AQ243" i="27"/>
  <c r="AQ244" i="27"/>
  <c r="AQ245" i="27"/>
  <c r="AQ246" i="27"/>
  <c r="AQ247" i="27"/>
  <c r="AQ248" i="27"/>
  <c r="AQ249" i="27"/>
  <c r="AQ250" i="27"/>
  <c r="AQ251" i="27"/>
  <c r="AQ252" i="27"/>
  <c r="AQ253" i="27"/>
  <c r="AQ254" i="27"/>
  <c r="AQ255" i="27"/>
  <c r="AQ256" i="27"/>
  <c r="AQ257" i="27"/>
  <c r="AQ258" i="27"/>
  <c r="AQ259" i="27"/>
  <c r="AQ260" i="27"/>
  <c r="AQ261" i="27"/>
  <c r="AQ262" i="27"/>
  <c r="AQ263" i="27"/>
  <c r="AQ264" i="27"/>
  <c r="AQ265" i="27"/>
  <c r="AQ266" i="27"/>
  <c r="AQ267" i="27"/>
  <c r="AQ268" i="27"/>
  <c r="AQ269" i="27"/>
  <c r="AQ270" i="27"/>
  <c r="AQ271" i="27"/>
  <c r="AQ272" i="27"/>
  <c r="AQ273" i="27"/>
  <c r="AQ274" i="27"/>
  <c r="AQ275" i="27"/>
  <c r="AQ276" i="27"/>
  <c r="AQ277" i="27"/>
  <c r="AQ278" i="27"/>
  <c r="AQ279" i="27"/>
  <c r="AQ280" i="27"/>
  <c r="AQ281" i="27"/>
  <c r="AQ282" i="27"/>
  <c r="AQ283" i="27"/>
  <c r="AQ284" i="27"/>
  <c r="AQ285" i="27"/>
  <c r="AQ286" i="27"/>
  <c r="AQ287" i="27"/>
  <c r="AQ288" i="27"/>
  <c r="AQ289" i="27"/>
  <c r="AQ290" i="27"/>
  <c r="AQ291" i="27"/>
  <c r="AQ292" i="27"/>
  <c r="AQ293" i="27"/>
  <c r="AQ294" i="27"/>
  <c r="AQ295" i="27"/>
  <c r="AQ296" i="27"/>
  <c r="AQ297" i="27"/>
  <c r="AQ298" i="27"/>
  <c r="AQ299" i="27"/>
  <c r="AQ300" i="27"/>
  <c r="AQ301" i="27"/>
  <c r="AQ302" i="27"/>
  <c r="AQ303" i="27"/>
  <c r="AQ304" i="27"/>
  <c r="AQ305" i="27"/>
  <c r="AQ306" i="27"/>
  <c r="AQ307" i="27"/>
  <c r="AQ308" i="27"/>
  <c r="AQ309" i="27"/>
  <c r="AQ310" i="27"/>
  <c r="AQ311" i="27"/>
  <c r="AQ312" i="27"/>
  <c r="AQ313" i="27"/>
  <c r="AQ314" i="27"/>
  <c r="AQ315" i="27"/>
  <c r="AQ316" i="27"/>
  <c r="AQ317" i="27"/>
  <c r="AQ318" i="27"/>
  <c r="AQ319" i="27"/>
  <c r="AQ320" i="27"/>
  <c r="AQ321" i="27"/>
  <c r="AQ322" i="27"/>
  <c r="AQ323" i="27"/>
  <c r="AQ324" i="27"/>
  <c r="AQ325" i="27"/>
  <c r="AQ326" i="27"/>
  <c r="AQ327" i="27"/>
  <c r="AQ328" i="27"/>
  <c r="AQ329" i="27"/>
  <c r="AQ330" i="27"/>
  <c r="AQ331" i="27"/>
  <c r="AQ332" i="27"/>
  <c r="AQ333" i="27"/>
  <c r="AQ334" i="27"/>
  <c r="AQ335" i="27"/>
  <c r="AQ336" i="27"/>
  <c r="AQ337" i="27"/>
  <c r="AQ338" i="27"/>
  <c r="AQ339" i="27"/>
  <c r="AQ340" i="27"/>
  <c r="AQ341" i="27"/>
  <c r="AQ342" i="27"/>
  <c r="AQ343" i="27"/>
  <c r="AQ344" i="27"/>
  <c r="AQ345" i="27"/>
  <c r="AQ346" i="27"/>
  <c r="AQ347" i="27"/>
  <c r="AQ348" i="27"/>
  <c r="AQ349" i="27"/>
  <c r="AQ350" i="27"/>
  <c r="AQ351" i="27"/>
  <c r="AQ352" i="27"/>
  <c r="AQ353" i="27"/>
  <c r="AQ354" i="27"/>
  <c r="AQ355" i="27"/>
  <c r="AQ356" i="27"/>
  <c r="AQ357" i="27"/>
  <c r="AQ358" i="27"/>
  <c r="AQ359" i="27"/>
  <c r="AQ360" i="27"/>
  <c r="AQ361" i="27"/>
  <c r="AQ362" i="27"/>
  <c r="AQ363" i="27"/>
  <c r="AQ364" i="27"/>
  <c r="AQ365" i="27"/>
  <c r="AQ366" i="27"/>
  <c r="AQ367" i="27"/>
  <c r="AQ368" i="27"/>
  <c r="AQ369" i="27"/>
  <c r="AQ370" i="27"/>
  <c r="AQ371" i="27"/>
  <c r="AQ372" i="27"/>
  <c r="AQ373" i="27"/>
  <c r="AQ374" i="27"/>
  <c r="AQ375" i="27"/>
  <c r="AQ376" i="27"/>
  <c r="AQ377" i="27"/>
  <c r="AQ378" i="27"/>
  <c r="AQ379" i="27"/>
  <c r="AQ380" i="27"/>
  <c r="AQ381" i="27"/>
  <c r="AQ382" i="27"/>
  <c r="AQ383" i="27"/>
  <c r="AQ384" i="27"/>
  <c r="AQ385" i="27"/>
  <c r="AQ386" i="27"/>
  <c r="AQ387" i="27"/>
  <c r="AQ388" i="27"/>
  <c r="AQ389" i="27"/>
  <c r="AQ390" i="27"/>
  <c r="AQ391" i="27"/>
  <c r="AQ392" i="27"/>
  <c r="AQ393" i="27"/>
  <c r="AQ394" i="27"/>
  <c r="AQ395" i="27"/>
  <c r="AQ396" i="27"/>
  <c r="AQ397" i="27"/>
  <c r="AQ398" i="27"/>
  <c r="AQ399" i="27"/>
  <c r="AQ400" i="27"/>
  <c r="AQ401" i="27"/>
  <c r="AQ402" i="27"/>
  <c r="AQ403" i="27"/>
  <c r="AQ404" i="27"/>
  <c r="AQ405" i="27"/>
  <c r="AQ406" i="27"/>
  <c r="AQ407" i="27"/>
  <c r="AQ408" i="27"/>
  <c r="AQ409" i="27"/>
  <c r="AQ410" i="27"/>
  <c r="AQ411" i="27"/>
  <c r="AQ412" i="27"/>
  <c r="AQ413" i="27"/>
  <c r="AQ414" i="27"/>
  <c r="AQ415" i="27"/>
  <c r="AQ416" i="27"/>
  <c r="AQ417" i="27"/>
  <c r="AQ418" i="27"/>
  <c r="AQ419" i="27"/>
  <c r="AQ420" i="27"/>
  <c r="AQ421" i="27"/>
  <c r="AQ422" i="27"/>
  <c r="AQ423" i="27"/>
  <c r="AQ424" i="27"/>
  <c r="AQ425" i="27"/>
  <c r="AQ426" i="27"/>
  <c r="AQ427" i="27"/>
  <c r="AQ428" i="27"/>
  <c r="AQ429" i="27"/>
  <c r="AQ430" i="27"/>
  <c r="AQ431" i="27"/>
  <c r="AQ432" i="27"/>
  <c r="AQ433" i="27"/>
  <c r="AQ434" i="27"/>
  <c r="AQ435" i="27"/>
  <c r="AQ436" i="27"/>
  <c r="AQ437" i="27"/>
  <c r="AQ438" i="27"/>
  <c r="AQ439" i="27"/>
  <c r="AQ440" i="27"/>
  <c r="AQ441" i="27"/>
  <c r="AQ442" i="27"/>
  <c r="AQ443" i="27"/>
  <c r="AQ445" i="27"/>
  <c r="AQ446" i="27"/>
  <c r="AQ447" i="27"/>
  <c r="AQ448" i="27"/>
  <c r="AQ449" i="27"/>
  <c r="AQ450" i="27"/>
  <c r="AQ451" i="27"/>
  <c r="AQ452" i="27"/>
  <c r="AQ453" i="27"/>
  <c r="AQ454" i="27"/>
  <c r="AQ455" i="27"/>
  <c r="AQ456" i="27"/>
  <c r="AQ457" i="27"/>
  <c r="AQ458" i="27"/>
  <c r="AQ459" i="27"/>
  <c r="AQ460" i="27"/>
  <c r="AQ461" i="27"/>
  <c r="AQ462" i="27"/>
  <c r="AQ463" i="27"/>
  <c r="AQ464" i="27"/>
  <c r="AQ465" i="27"/>
  <c r="AQ466" i="27"/>
  <c r="AQ467" i="27"/>
  <c r="AQ468" i="27"/>
  <c r="AQ469" i="27"/>
  <c r="AQ470" i="27"/>
  <c r="AQ471" i="27"/>
  <c r="AQ472" i="27"/>
  <c r="AQ473" i="27"/>
  <c r="AQ474" i="27"/>
  <c r="AQ475" i="27"/>
  <c r="AQ476" i="27"/>
  <c r="AQ477" i="27"/>
  <c r="AQ478" i="27"/>
  <c r="AQ479" i="27"/>
  <c r="AQ480" i="27"/>
  <c r="AQ481" i="27"/>
  <c r="AQ482" i="27"/>
  <c r="AQ483" i="27"/>
  <c r="AQ484" i="27"/>
  <c r="AQ485" i="27"/>
  <c r="AQ486" i="27"/>
  <c r="AQ487" i="27"/>
  <c r="AQ488" i="27"/>
  <c r="AQ489" i="27"/>
  <c r="AQ490" i="27"/>
  <c r="AQ491" i="27"/>
  <c r="AQ492" i="27"/>
  <c r="AQ493" i="27"/>
  <c r="AQ494" i="27"/>
  <c r="AQ495" i="27"/>
  <c r="AQ496" i="27"/>
  <c r="AQ497" i="27"/>
  <c r="AQ498" i="27"/>
  <c r="AQ499" i="27"/>
  <c r="AQ500" i="27"/>
  <c r="AQ501" i="27"/>
  <c r="AQ502" i="27"/>
  <c r="AQ503" i="27"/>
  <c r="AQ504" i="27"/>
  <c r="AQ505" i="27"/>
  <c r="AQ506" i="27"/>
  <c r="AQ507" i="27"/>
  <c r="AQ508" i="27"/>
  <c r="AQ509" i="27"/>
  <c r="AQ510" i="27"/>
  <c r="AQ511" i="27"/>
  <c r="AQ512" i="27"/>
  <c r="AQ513" i="27"/>
  <c r="AQ514" i="27"/>
  <c r="AQ515" i="27"/>
  <c r="AQ516" i="27"/>
  <c r="AQ517" i="27"/>
  <c r="AQ518" i="27"/>
  <c r="AQ519" i="27"/>
  <c r="AQ520" i="27"/>
  <c r="AQ521" i="27"/>
  <c r="AQ522" i="27"/>
  <c r="AQ523" i="27"/>
  <c r="AQ524" i="27"/>
  <c r="AQ525" i="27"/>
  <c r="AQ526" i="27"/>
  <c r="AQ527" i="27"/>
  <c r="AQ528" i="27"/>
  <c r="AQ529" i="27"/>
  <c r="AQ530" i="27"/>
  <c r="AQ531" i="27"/>
  <c r="AQ532" i="27"/>
  <c r="AQ533" i="27"/>
  <c r="AQ534" i="27"/>
  <c r="AQ535" i="27"/>
  <c r="AQ536" i="27"/>
  <c r="AQ537" i="27"/>
  <c r="AQ538" i="27"/>
  <c r="AQ539" i="27"/>
  <c r="AQ540" i="27"/>
  <c r="AQ541" i="27"/>
  <c r="AQ542" i="27"/>
  <c r="AQ543" i="27"/>
  <c r="AQ544" i="27"/>
  <c r="AQ545" i="27"/>
  <c r="AQ546" i="27"/>
  <c r="AQ547" i="27"/>
  <c r="AQ548" i="27"/>
  <c r="AQ549" i="27"/>
  <c r="AQ550" i="27"/>
  <c r="AQ551" i="27"/>
  <c r="AQ552" i="27"/>
  <c r="AQ553" i="27"/>
  <c r="AQ554" i="27"/>
  <c r="AQ555" i="27"/>
  <c r="AQ556" i="27"/>
  <c r="AQ557" i="27"/>
  <c r="AQ558" i="27"/>
  <c r="AQ559" i="27"/>
  <c r="AQ560" i="27"/>
  <c r="AQ561" i="27"/>
  <c r="AQ562" i="27"/>
  <c r="AQ563" i="27"/>
  <c r="AQ564" i="27"/>
  <c r="AQ565" i="27"/>
  <c r="AQ566" i="27"/>
  <c r="AQ567" i="27"/>
  <c r="AQ568" i="27"/>
  <c r="AQ569" i="27"/>
  <c r="AQ570" i="27"/>
  <c r="AQ571" i="27"/>
  <c r="AQ572" i="27"/>
  <c r="AQ573" i="27"/>
  <c r="AQ574" i="27"/>
  <c r="AQ575" i="27"/>
  <c r="AQ576" i="27"/>
  <c r="AQ577" i="27"/>
  <c r="AQ578" i="27"/>
  <c r="AQ579" i="27"/>
  <c r="AQ580" i="27"/>
  <c r="AQ581" i="27"/>
  <c r="AQ582" i="27"/>
  <c r="AQ583" i="27"/>
  <c r="AQ584" i="27"/>
  <c r="AQ585" i="27"/>
  <c r="AQ586" i="27"/>
  <c r="AQ587" i="27"/>
  <c r="AQ588" i="27"/>
  <c r="AQ589" i="27"/>
  <c r="AQ590" i="27"/>
  <c r="AQ591" i="27"/>
  <c r="AQ592" i="27"/>
  <c r="AQ593" i="27"/>
  <c r="AQ594" i="27"/>
  <c r="AQ595" i="27"/>
  <c r="AQ596" i="27"/>
  <c r="AQ598" i="27"/>
  <c r="AQ599" i="27"/>
  <c r="AQ600" i="27"/>
  <c r="AQ601" i="27"/>
  <c r="AQ602" i="27"/>
  <c r="AQ603" i="27"/>
  <c r="AQ604" i="27"/>
  <c r="AQ605" i="27"/>
  <c r="AQ606" i="27"/>
  <c r="AQ607" i="27"/>
  <c r="AQ608" i="27"/>
  <c r="AQ609" i="27"/>
  <c r="AQ610" i="27"/>
  <c r="AQ611" i="27"/>
  <c r="AQ612" i="27"/>
  <c r="AQ613" i="27"/>
  <c r="AQ614" i="27"/>
  <c r="AQ615" i="27"/>
  <c r="AQ616" i="27"/>
  <c r="AQ617" i="27"/>
  <c r="AQ618" i="27"/>
  <c r="AQ619" i="27"/>
  <c r="AQ620" i="27"/>
  <c r="AQ621" i="27"/>
  <c r="AQ622" i="27"/>
  <c r="AQ623" i="27"/>
  <c r="AQ624" i="27"/>
  <c r="AQ625" i="27"/>
  <c r="AQ626" i="27"/>
  <c r="AQ627" i="27"/>
  <c r="AQ628" i="27"/>
  <c r="AQ629" i="27"/>
  <c r="AQ630" i="27"/>
  <c r="AQ631" i="27"/>
  <c r="AQ632" i="27"/>
  <c r="AQ633" i="27"/>
  <c r="AQ634" i="27"/>
  <c r="AQ635" i="27"/>
  <c r="AQ636" i="27"/>
  <c r="AQ637" i="27"/>
  <c r="AQ638" i="27"/>
  <c r="AQ639" i="27"/>
  <c r="AQ640" i="27"/>
  <c r="AQ641" i="27"/>
  <c r="AQ642" i="27"/>
  <c r="AQ643" i="27"/>
  <c r="AQ644" i="27"/>
  <c r="AQ645" i="27"/>
  <c r="AQ646" i="27"/>
  <c r="AQ647" i="27"/>
  <c r="AQ648" i="27"/>
  <c r="AQ649" i="27"/>
  <c r="AQ650" i="27"/>
  <c r="AQ651" i="27"/>
  <c r="AQ652" i="27"/>
  <c r="AQ653" i="27"/>
  <c r="AQ654" i="27"/>
  <c r="AQ655" i="27"/>
  <c r="AQ656" i="27"/>
  <c r="AS8" i="27"/>
  <c r="AS9" i="27"/>
  <c r="AU9" i="27" s="1"/>
  <c r="AV9" i="27" s="1"/>
  <c r="AS10" i="27"/>
  <c r="AT10" i="27" s="1"/>
  <c r="AS11" i="27"/>
  <c r="AS12" i="27"/>
  <c r="AT12" i="27" s="1"/>
  <c r="AS13" i="27"/>
  <c r="AU13" i="27" s="1"/>
  <c r="AV13" i="27" s="1"/>
  <c r="AS14" i="27"/>
  <c r="AT14" i="27" s="1"/>
  <c r="AS15" i="27"/>
  <c r="AU15" i="27" s="1"/>
  <c r="AV15" i="27" s="1"/>
  <c r="AS16" i="27"/>
  <c r="AT16" i="27" s="1"/>
  <c r="AS17" i="27"/>
  <c r="AU17" i="27" s="1"/>
  <c r="AV17" i="27" s="1"/>
  <c r="AS18" i="27"/>
  <c r="AS19" i="27"/>
  <c r="AT19" i="27" s="1"/>
  <c r="AS20" i="27"/>
  <c r="AT20" i="27" s="1"/>
  <c r="AS21" i="27"/>
  <c r="AU21" i="27" s="1"/>
  <c r="AV21" i="27" s="1"/>
  <c r="AS22" i="27"/>
  <c r="AT22" i="27" s="1"/>
  <c r="AS23" i="27"/>
  <c r="AT23" i="27" s="1"/>
  <c r="AS24" i="27"/>
  <c r="AS25" i="27"/>
  <c r="AS26" i="27"/>
  <c r="AT26" i="27" s="1"/>
  <c r="AS27" i="27"/>
  <c r="AT27" i="27" s="1"/>
  <c r="AS28" i="27"/>
  <c r="AT28" i="27" s="1"/>
  <c r="AS29" i="27"/>
  <c r="AU29" i="27" s="1"/>
  <c r="AV29" i="27" s="1"/>
  <c r="AS30" i="27"/>
  <c r="AT30" i="27" s="1"/>
  <c r="AS31" i="27"/>
  <c r="AU31" i="27" s="1"/>
  <c r="AV31" i="27" s="1"/>
  <c r="AS32" i="27"/>
  <c r="AT32" i="27" s="1"/>
  <c r="AS33" i="27"/>
  <c r="AU33" i="27" s="1"/>
  <c r="AV33" i="27" s="1"/>
  <c r="AS34" i="27"/>
  <c r="AU34" i="27" s="1"/>
  <c r="AV34" i="27" s="1"/>
  <c r="AS35" i="27"/>
  <c r="AT35" i="27" s="1"/>
  <c r="AS36" i="27"/>
  <c r="AT36" i="27" s="1"/>
  <c r="AS37" i="27"/>
  <c r="AU37" i="27" s="1"/>
  <c r="AV37" i="27" s="1"/>
  <c r="AS38" i="27"/>
  <c r="AT38" i="27" s="1"/>
  <c r="AS39" i="27"/>
  <c r="AT39" i="27" s="1"/>
  <c r="AS40" i="27"/>
  <c r="AS41" i="27"/>
  <c r="AU41" i="27" s="1"/>
  <c r="AV41" i="27" s="1"/>
  <c r="AS42" i="27"/>
  <c r="AS43" i="27"/>
  <c r="AS44" i="27"/>
  <c r="AT44" i="27" s="1"/>
  <c r="AS45" i="27"/>
  <c r="AS46" i="27"/>
  <c r="AS47" i="27"/>
  <c r="AU47" i="27" s="1"/>
  <c r="AV47" i="27" s="1"/>
  <c r="AS48" i="27"/>
  <c r="AT48" i="27" s="1"/>
  <c r="AS49" i="27"/>
  <c r="AT49" i="27" s="1"/>
  <c r="AS50" i="27"/>
  <c r="AS51" i="27"/>
  <c r="AT51" i="27" s="1"/>
  <c r="AS52" i="27"/>
  <c r="AT52" i="27" s="1"/>
  <c r="AS53" i="27"/>
  <c r="AU53" i="27" s="1"/>
  <c r="AV53" i="27" s="1"/>
  <c r="AS54" i="27"/>
  <c r="AT54" i="27" s="1"/>
  <c r="AS55" i="27"/>
  <c r="AT55" i="27" s="1"/>
  <c r="AS56" i="27"/>
  <c r="AS57" i="27"/>
  <c r="AU57" i="27" s="1"/>
  <c r="AV57" i="27" s="1"/>
  <c r="AS58" i="27"/>
  <c r="AT58" i="27" s="1"/>
  <c r="AS59" i="27"/>
  <c r="AT59" i="27" s="1"/>
  <c r="AS62" i="27"/>
  <c r="AT62" i="27" s="1"/>
  <c r="AS63" i="27"/>
  <c r="AU63" i="27" s="1"/>
  <c r="AV63" i="27" s="1"/>
  <c r="AS64" i="27"/>
  <c r="AS65" i="27"/>
  <c r="AU65" i="27" s="1"/>
  <c r="AV65" i="27" s="1"/>
  <c r="AS66" i="27"/>
  <c r="AT66" i="27" s="1"/>
  <c r="AS67" i="27"/>
  <c r="AT67" i="27" s="1"/>
  <c r="AS68" i="27"/>
  <c r="AU68" i="27" s="1"/>
  <c r="AV68" i="27" s="1"/>
  <c r="AS69" i="27"/>
  <c r="AT69" i="27" s="1"/>
  <c r="AS70" i="27"/>
  <c r="AT70" i="27" s="1"/>
  <c r="AS71" i="27"/>
  <c r="AT71" i="27" s="1"/>
  <c r="AS72" i="27"/>
  <c r="AT72" i="27" s="1"/>
  <c r="AS73" i="27"/>
  <c r="AU73" i="27" s="1"/>
  <c r="AV73" i="27" s="1"/>
  <c r="AS74" i="27"/>
  <c r="AS75" i="27"/>
  <c r="AU75" i="27" s="1"/>
  <c r="AV75" i="27" s="1"/>
  <c r="AS81" i="27"/>
  <c r="AT81" i="27" s="1"/>
  <c r="AS82" i="27"/>
  <c r="AU82" i="27" s="1"/>
  <c r="AV82" i="27" s="1"/>
  <c r="AS83" i="27"/>
  <c r="AT83" i="27" s="1"/>
  <c r="AS84" i="27"/>
  <c r="AS85" i="27"/>
  <c r="AS86" i="27"/>
  <c r="AU86" i="27" s="1"/>
  <c r="AV86" i="27" s="1"/>
  <c r="AS87" i="27"/>
  <c r="AT87" i="27" s="1"/>
  <c r="AS88" i="27"/>
  <c r="AT88" i="27" s="1"/>
  <c r="AS89" i="27"/>
  <c r="AU89" i="27" s="1"/>
  <c r="AV89" i="27" s="1"/>
  <c r="AS90" i="27"/>
  <c r="AT90" i="27" s="1"/>
  <c r="AS91" i="27"/>
  <c r="AT91" i="27" s="1"/>
  <c r="AS92" i="27"/>
  <c r="AT92" i="27" s="1"/>
  <c r="AS93" i="27"/>
  <c r="AT93" i="27" s="1"/>
  <c r="AS94" i="27"/>
  <c r="AT94" i="27" s="1"/>
  <c r="AS95" i="27"/>
  <c r="AS96" i="27"/>
  <c r="AU96" i="27" s="1"/>
  <c r="AV96" i="27" s="1"/>
  <c r="AS97" i="27"/>
  <c r="AS98" i="27"/>
  <c r="AT98" i="27" s="1"/>
  <c r="AS99" i="27"/>
  <c r="AT99" i="27" s="1"/>
  <c r="AS100" i="27"/>
  <c r="AU100" i="27" s="1"/>
  <c r="AV100" i="27" s="1"/>
  <c r="AS101" i="27"/>
  <c r="AS102" i="27"/>
  <c r="AS103" i="27"/>
  <c r="AT103" i="27" s="1"/>
  <c r="AS104" i="27"/>
  <c r="AU104" i="27" s="1"/>
  <c r="AV104" i="27" s="1"/>
  <c r="AS105" i="27"/>
  <c r="AU105" i="27" s="1"/>
  <c r="AV105" i="27" s="1"/>
  <c r="AS106" i="27"/>
  <c r="AT106" i="27" s="1"/>
  <c r="AS107" i="27"/>
  <c r="AT107" i="27" s="1"/>
  <c r="AS108" i="27"/>
  <c r="AT108" i="27" s="1"/>
  <c r="AS109" i="27"/>
  <c r="AT109" i="27" s="1"/>
  <c r="AS110" i="27"/>
  <c r="AT110" i="27" s="1"/>
  <c r="AS111" i="27"/>
  <c r="AS112" i="27"/>
  <c r="AU112" i="27" s="1"/>
  <c r="AV112" i="27" s="1"/>
  <c r="AS113" i="27"/>
  <c r="AT113" i="27" s="1"/>
  <c r="AS114" i="27"/>
  <c r="AS115" i="27"/>
  <c r="AT115" i="27" s="1"/>
  <c r="AS116" i="27"/>
  <c r="AU116" i="27" s="1"/>
  <c r="AV116" i="27" s="1"/>
  <c r="AS117" i="27"/>
  <c r="AS118" i="27"/>
  <c r="AU118" i="27" s="1"/>
  <c r="AV118" i="27" s="1"/>
  <c r="AS119" i="27"/>
  <c r="AT119" i="27" s="1"/>
  <c r="AS120" i="27"/>
  <c r="AT120" i="27" s="1"/>
  <c r="AS121" i="27"/>
  <c r="AU121" i="27" s="1"/>
  <c r="AV121" i="27" s="1"/>
  <c r="AS122" i="27"/>
  <c r="AT122" i="27" s="1"/>
  <c r="AS123" i="27"/>
  <c r="AT123" i="27" s="1"/>
  <c r="AS124" i="27"/>
  <c r="AU124" i="27" s="1"/>
  <c r="AV124" i="27" s="1"/>
  <c r="AS125" i="27"/>
  <c r="AT125" i="27" s="1"/>
  <c r="AS126" i="27"/>
  <c r="AT126" i="27" s="1"/>
  <c r="AS127" i="27"/>
  <c r="AT127" i="27" s="1"/>
  <c r="AS128" i="27"/>
  <c r="AU128" i="27" s="1"/>
  <c r="AV128" i="27" s="1"/>
  <c r="AS129" i="27"/>
  <c r="AT129" i="27" s="1"/>
  <c r="AS130" i="27"/>
  <c r="AT130" i="27" s="1"/>
  <c r="AS131" i="27"/>
  <c r="AU131" i="27" s="1"/>
  <c r="AV131" i="27" s="1"/>
  <c r="AS132" i="27"/>
  <c r="AS134" i="27"/>
  <c r="AS135" i="27"/>
  <c r="AS136" i="27"/>
  <c r="AU136" i="27" s="1"/>
  <c r="AV136" i="27" s="1"/>
  <c r="AS137" i="27"/>
  <c r="AU137" i="27" s="1"/>
  <c r="AV137" i="27" s="1"/>
  <c r="AS138" i="27"/>
  <c r="AS139" i="27"/>
  <c r="AU139" i="27" s="1"/>
  <c r="AV139" i="27" s="1"/>
  <c r="AS140" i="27"/>
  <c r="AT140" i="27" s="1"/>
  <c r="AS141" i="27"/>
  <c r="AU141" i="27" s="1"/>
  <c r="AV141" i="27" s="1"/>
  <c r="AS142" i="27"/>
  <c r="AT142" i="27" s="1"/>
  <c r="AS143" i="27"/>
  <c r="AT143" i="27" s="1"/>
  <c r="AS144" i="27"/>
  <c r="AS145" i="27"/>
  <c r="AS146" i="27"/>
  <c r="AT146" i="27" s="1"/>
  <c r="AS147" i="27"/>
  <c r="AU147" i="27" s="1"/>
  <c r="AV147" i="27" s="1"/>
  <c r="AS148" i="27"/>
  <c r="AU148" i="27" s="1"/>
  <c r="AV148" i="27" s="1"/>
  <c r="AS149" i="27"/>
  <c r="AS150" i="27"/>
  <c r="AS151" i="27"/>
  <c r="AU151" i="27" s="1"/>
  <c r="AV151" i="27" s="1"/>
  <c r="AS152" i="27"/>
  <c r="AU152" i="27" s="1"/>
  <c r="AV152" i="27" s="1"/>
  <c r="AS153" i="27"/>
  <c r="AT153" i="27" s="1"/>
  <c r="AS154" i="27"/>
  <c r="AS155" i="27"/>
  <c r="AT155" i="27" s="1"/>
  <c r="AS156" i="27"/>
  <c r="AT156" i="27" s="1"/>
  <c r="AS157" i="27"/>
  <c r="AT157" i="27" s="1"/>
  <c r="AS158" i="27"/>
  <c r="AT158" i="27" s="1"/>
  <c r="AS159" i="27"/>
  <c r="AT159" i="27" s="1"/>
  <c r="AS160" i="27"/>
  <c r="AS161" i="27"/>
  <c r="AU161" i="27" s="1"/>
  <c r="AV161" i="27" s="1"/>
  <c r="AS162" i="27"/>
  <c r="AT162" i="27" s="1"/>
  <c r="AS163" i="27"/>
  <c r="AT163" i="27" s="1"/>
  <c r="AS164" i="27"/>
  <c r="AS165" i="27"/>
  <c r="AS166" i="27"/>
  <c r="AS167" i="27"/>
  <c r="AS168" i="27"/>
  <c r="AT168" i="27" s="1"/>
  <c r="AS169" i="27"/>
  <c r="AT169" i="27" s="1"/>
  <c r="AS170" i="27"/>
  <c r="AS171" i="27"/>
  <c r="AT171" i="27" s="1"/>
  <c r="AS172" i="27"/>
  <c r="AU172" i="27" s="1"/>
  <c r="AV172" i="27" s="1"/>
  <c r="AS173" i="27"/>
  <c r="AT173" i="27" s="1"/>
  <c r="AS174" i="27"/>
  <c r="AT174" i="27" s="1"/>
  <c r="AS175" i="27"/>
  <c r="AU175" i="27" s="1"/>
  <c r="AV175" i="27" s="1"/>
  <c r="AS176" i="27"/>
  <c r="AS177" i="27"/>
  <c r="AS178" i="27"/>
  <c r="AT178" i="27" s="1"/>
  <c r="AS180" i="27"/>
  <c r="AU180" i="27" s="1"/>
  <c r="AV180" i="27" s="1"/>
  <c r="AS181" i="27"/>
  <c r="AU181" i="27" s="1"/>
  <c r="AV181" i="27" s="1"/>
  <c r="AS182" i="27"/>
  <c r="AU182" i="27" s="1"/>
  <c r="AV182" i="27" s="1"/>
  <c r="AS183" i="27"/>
  <c r="AS184" i="27"/>
  <c r="AU184" i="27" s="1"/>
  <c r="AV184" i="27" s="1"/>
  <c r="AS185" i="27"/>
  <c r="AT185" i="27" s="1"/>
  <c r="AS186" i="27"/>
  <c r="AT186" i="27" s="1"/>
  <c r="AS187" i="27"/>
  <c r="AS188" i="27"/>
  <c r="AT188" i="27" s="1"/>
  <c r="AS189" i="27"/>
  <c r="AT189" i="27" s="1"/>
  <c r="AS190" i="27"/>
  <c r="AU190" i="27" s="1"/>
  <c r="AV190" i="27" s="1"/>
  <c r="AS191" i="27"/>
  <c r="AT191" i="27" s="1"/>
  <c r="AS192" i="27"/>
  <c r="AU192" i="27" s="1"/>
  <c r="AV192" i="27" s="1"/>
  <c r="AS193" i="27"/>
  <c r="AS194" i="27"/>
  <c r="AU194" i="27" s="1"/>
  <c r="AV194" i="27" s="1"/>
  <c r="AS195" i="27"/>
  <c r="AT195" i="27" s="1"/>
  <c r="AS196" i="27"/>
  <c r="AT196" i="27" s="1"/>
  <c r="AS197" i="27"/>
  <c r="AS198" i="27"/>
  <c r="AU198" i="27" s="1"/>
  <c r="AV198" i="27" s="1"/>
  <c r="AS199" i="27"/>
  <c r="AT199" i="27" s="1"/>
  <c r="AS200" i="27"/>
  <c r="AS201" i="27"/>
  <c r="AU201" i="27" s="1"/>
  <c r="AV201" i="27" s="1"/>
  <c r="AS202" i="27"/>
  <c r="AU202" i="27" s="1"/>
  <c r="AV202" i="27" s="1"/>
  <c r="AS203" i="27"/>
  <c r="AS204" i="27"/>
  <c r="AT204" i="27" s="1"/>
  <c r="AS205" i="27"/>
  <c r="AT205" i="27" s="1"/>
  <c r="AS206" i="27"/>
  <c r="AT206" i="27" s="1"/>
  <c r="AS207" i="27"/>
  <c r="AT207" i="27" s="1"/>
  <c r="AS208" i="27"/>
  <c r="AT208" i="27" s="1"/>
  <c r="AS209" i="27"/>
  <c r="AS210" i="27"/>
  <c r="AS211" i="27"/>
  <c r="AT211" i="27" s="1"/>
  <c r="AS212" i="27"/>
  <c r="AS213" i="27"/>
  <c r="AS214" i="27"/>
  <c r="AS215" i="27"/>
  <c r="AT215" i="27" s="1"/>
  <c r="AS216" i="27"/>
  <c r="AU216" i="27" s="1"/>
  <c r="AV216" i="27" s="1"/>
  <c r="AS217" i="27"/>
  <c r="AS218" i="27"/>
  <c r="AT218" i="27" s="1"/>
  <c r="AS219" i="27"/>
  <c r="AS220" i="27"/>
  <c r="AU220" i="27" s="1"/>
  <c r="AV220" i="27" s="1"/>
  <c r="AS221" i="27"/>
  <c r="AT221" i="27" s="1"/>
  <c r="AS222" i="27"/>
  <c r="AT222" i="27" s="1"/>
  <c r="AS223" i="27"/>
  <c r="AT223" i="27" s="1"/>
  <c r="AS224" i="27"/>
  <c r="AT224" i="27" s="1"/>
  <c r="AS225" i="27"/>
  <c r="AS226" i="27"/>
  <c r="AU226" i="27" s="1"/>
  <c r="AV226" i="27" s="1"/>
  <c r="AS227" i="27"/>
  <c r="AT227" i="27" s="1"/>
  <c r="AS228" i="27"/>
  <c r="AU228" i="27" s="1"/>
  <c r="AV228" i="27" s="1"/>
  <c r="AS229" i="27"/>
  <c r="AT229" i="27" s="1"/>
  <c r="AS230" i="27"/>
  <c r="AU230" i="27" s="1"/>
  <c r="AV230" i="27" s="1"/>
  <c r="AS231" i="27"/>
  <c r="AT231" i="27" s="1"/>
  <c r="AS232" i="27"/>
  <c r="AS233" i="27"/>
  <c r="AT233" i="27" s="1"/>
  <c r="AS234" i="27"/>
  <c r="AT234" i="27" s="1"/>
  <c r="AS235" i="27"/>
  <c r="AS236" i="27"/>
  <c r="AT236" i="27" s="1"/>
  <c r="AS237" i="27"/>
  <c r="AT237" i="27" s="1"/>
  <c r="AS238" i="27"/>
  <c r="AT238" i="27" s="1"/>
  <c r="AS239" i="27"/>
  <c r="AT239" i="27" s="1"/>
  <c r="AS240" i="27"/>
  <c r="AT240" i="27" s="1"/>
  <c r="AS241" i="27"/>
  <c r="AS242" i="27"/>
  <c r="AS243" i="27"/>
  <c r="AT243" i="27" s="1"/>
  <c r="AS244" i="27"/>
  <c r="AS245" i="27"/>
  <c r="AS246" i="27"/>
  <c r="AU246" i="27" s="1"/>
  <c r="AV246" i="27" s="1"/>
  <c r="AS247" i="27"/>
  <c r="AT247" i="27" s="1"/>
  <c r="AS248" i="27"/>
  <c r="AU248" i="27" s="1"/>
  <c r="AV248" i="27" s="1"/>
  <c r="AS249" i="27"/>
  <c r="AU249" i="27" s="1"/>
  <c r="AV249" i="27" s="1"/>
  <c r="AS250" i="27"/>
  <c r="AT250" i="27" s="1"/>
  <c r="AS251" i="27"/>
  <c r="AS252" i="27"/>
  <c r="AU252" i="27" s="1"/>
  <c r="AV252" i="27" s="1"/>
  <c r="AS253" i="27"/>
  <c r="AT253" i="27" s="1"/>
  <c r="AS254" i="27"/>
  <c r="AT254" i="27" s="1"/>
  <c r="AS255" i="27"/>
  <c r="AT255" i="27" s="1"/>
  <c r="AS256" i="27"/>
  <c r="AU256" i="27" s="1"/>
  <c r="AV256" i="27" s="1"/>
  <c r="AS257" i="27"/>
  <c r="AS258" i="27"/>
  <c r="AU258" i="27" s="1"/>
  <c r="AV258" i="27" s="1"/>
  <c r="AS259" i="27"/>
  <c r="AT259" i="27" s="1"/>
  <c r="AS260" i="27"/>
  <c r="AT260" i="27" s="1"/>
  <c r="AS261" i="27"/>
  <c r="AU261" i="27" s="1"/>
  <c r="AV261" i="27" s="1"/>
  <c r="AS262" i="27"/>
  <c r="AU262" i="27" s="1"/>
  <c r="AV262" i="27" s="1"/>
  <c r="AS263" i="27"/>
  <c r="AT263" i="27" s="1"/>
  <c r="AS264" i="27"/>
  <c r="AS265" i="27"/>
  <c r="AU265" i="27" s="1"/>
  <c r="AV265" i="27" s="1"/>
  <c r="AS266" i="27"/>
  <c r="AT266" i="27" s="1"/>
  <c r="AS267" i="27"/>
  <c r="AS268" i="27"/>
  <c r="AU268" i="27" s="1"/>
  <c r="AV268" i="27" s="1"/>
  <c r="AS269" i="27"/>
  <c r="AT269" i="27" s="1"/>
  <c r="AS270" i="27"/>
  <c r="AU270" i="27" s="1"/>
  <c r="AV270" i="27" s="1"/>
  <c r="AS271" i="27"/>
  <c r="AT271" i="27" s="1"/>
  <c r="AS272" i="27"/>
  <c r="AT272" i="27" s="1"/>
  <c r="AS273" i="27"/>
  <c r="AS274" i="27"/>
  <c r="AS275" i="27"/>
  <c r="AS276" i="27"/>
  <c r="AS277" i="27"/>
  <c r="AT277" i="27" s="1"/>
  <c r="AS278" i="27"/>
  <c r="AS279" i="27"/>
  <c r="AT279" i="27" s="1"/>
  <c r="AS280" i="27"/>
  <c r="AU280" i="27" s="1"/>
  <c r="AV280" i="27" s="1"/>
  <c r="AS281" i="27"/>
  <c r="AU281" i="27" s="1"/>
  <c r="AV281" i="27" s="1"/>
  <c r="AS282" i="27"/>
  <c r="AT282" i="27" s="1"/>
  <c r="AS283" i="27"/>
  <c r="AS284" i="27"/>
  <c r="AU284" i="27" s="1"/>
  <c r="AV284" i="27" s="1"/>
  <c r="AS285" i="27"/>
  <c r="AT285" i="27" s="1"/>
  <c r="AS286" i="27"/>
  <c r="AU286" i="27" s="1"/>
  <c r="AV286" i="27" s="1"/>
  <c r="AS287" i="27"/>
  <c r="AT287" i="27" s="1"/>
  <c r="AS288" i="27"/>
  <c r="AT288" i="27" s="1"/>
  <c r="AS289" i="27"/>
  <c r="AS290" i="27"/>
  <c r="AU290" i="27" s="1"/>
  <c r="AV290" i="27" s="1"/>
  <c r="AS291" i="27"/>
  <c r="AT291" i="27" s="1"/>
  <c r="AS292" i="27"/>
  <c r="AS293" i="27"/>
  <c r="AS294" i="27"/>
  <c r="AU294" i="27" s="1"/>
  <c r="AV294" i="27" s="1"/>
  <c r="AS295" i="27"/>
  <c r="AT295" i="27" s="1"/>
  <c r="AS296" i="27"/>
  <c r="AS297" i="27"/>
  <c r="AT297" i="27" s="1"/>
  <c r="AS298" i="27"/>
  <c r="AU298" i="27" s="1"/>
  <c r="AV298" i="27" s="1"/>
  <c r="AS299" i="27"/>
  <c r="AT299" i="27" s="1"/>
  <c r="AS300" i="27"/>
  <c r="AT300" i="27" s="1"/>
  <c r="AS301" i="27"/>
  <c r="AT301" i="27" s="1"/>
  <c r="AS302" i="27"/>
  <c r="AT302" i="27" s="1"/>
  <c r="AS303" i="27"/>
  <c r="AT303" i="27" s="1"/>
  <c r="AS304" i="27"/>
  <c r="AT304" i="27" s="1"/>
  <c r="AS305" i="27"/>
  <c r="AU305" i="27" s="1"/>
  <c r="AV305" i="27" s="1"/>
  <c r="AS306" i="27"/>
  <c r="AU306" i="27" s="1"/>
  <c r="AV306" i="27" s="1"/>
  <c r="AS307" i="27"/>
  <c r="AT307" i="27" s="1"/>
  <c r="AS308" i="27"/>
  <c r="AU308" i="27" s="1"/>
  <c r="AV308" i="27" s="1"/>
  <c r="AS309" i="27"/>
  <c r="AS310" i="27"/>
  <c r="AU310" i="27" s="1"/>
  <c r="AV310" i="27" s="1"/>
  <c r="AS311" i="27"/>
  <c r="AS312" i="27"/>
  <c r="AU312" i="27" s="1"/>
  <c r="AV312" i="27" s="1"/>
  <c r="AS313" i="27"/>
  <c r="AU313" i="27" s="1"/>
  <c r="AV313" i="27" s="1"/>
  <c r="AS314" i="27"/>
  <c r="AU314" i="27" s="1"/>
  <c r="AV314" i="27" s="1"/>
  <c r="AS315" i="27"/>
  <c r="AT315" i="27" s="1"/>
  <c r="AS316" i="27"/>
  <c r="AT316" i="27" s="1"/>
  <c r="AS317" i="27"/>
  <c r="AT317" i="27" s="1"/>
  <c r="AS318" i="27"/>
  <c r="AT318" i="27" s="1"/>
  <c r="AS319" i="27"/>
  <c r="AT319" i="27" s="1"/>
  <c r="AS320" i="27"/>
  <c r="AT320" i="27" s="1"/>
  <c r="AS321" i="27"/>
  <c r="AS322" i="27"/>
  <c r="AT322" i="27" s="1"/>
  <c r="AS323" i="27"/>
  <c r="AT323" i="27" s="1"/>
  <c r="AS324" i="27"/>
  <c r="AS325" i="27"/>
  <c r="AT325" i="27" s="1"/>
  <c r="AS326" i="27"/>
  <c r="AT326" i="27" s="1"/>
  <c r="AS327" i="27"/>
  <c r="AT327" i="27" s="1"/>
  <c r="AS328" i="27"/>
  <c r="AU328" i="27" s="1"/>
  <c r="AV328" i="27" s="1"/>
  <c r="AS329" i="27"/>
  <c r="AT329" i="27" s="1"/>
  <c r="AS330" i="27"/>
  <c r="AU330" i="27" s="1"/>
  <c r="AV330" i="27" s="1"/>
  <c r="AS331" i="27"/>
  <c r="AT331" i="27" s="1"/>
  <c r="AS332" i="27"/>
  <c r="AT332" i="27" s="1"/>
  <c r="AS333" i="27"/>
  <c r="AU333" i="27" s="1"/>
  <c r="AV333" i="27" s="1"/>
  <c r="AS334" i="27"/>
  <c r="AU334" i="27" s="1"/>
  <c r="AV334" i="27" s="1"/>
  <c r="AS335" i="27"/>
  <c r="AT335" i="27" s="1"/>
  <c r="AS336" i="27"/>
  <c r="AT336" i="27" s="1"/>
  <c r="AS337" i="27"/>
  <c r="AS338" i="27"/>
  <c r="AT338" i="27" s="1"/>
  <c r="AS339" i="27"/>
  <c r="AT339" i="27" s="1"/>
  <c r="AS340" i="27"/>
  <c r="AU340" i="27" s="1"/>
  <c r="AV340" i="27" s="1"/>
  <c r="AS341" i="27"/>
  <c r="AT341" i="27" s="1"/>
  <c r="AS342" i="27"/>
  <c r="AT342" i="27" s="1"/>
  <c r="AS343" i="27"/>
  <c r="AS344" i="27"/>
  <c r="AU344" i="27" s="1"/>
  <c r="AV344" i="27" s="1"/>
  <c r="AS345" i="27"/>
  <c r="AU345" i="27" s="1"/>
  <c r="AV345" i="27" s="1"/>
  <c r="AS346" i="27"/>
  <c r="AU346" i="27" s="1"/>
  <c r="AV346" i="27" s="1"/>
  <c r="AS347" i="27"/>
  <c r="AT347" i="27" s="1"/>
  <c r="AS348" i="27"/>
  <c r="AT348" i="27" s="1"/>
  <c r="AS349" i="27"/>
  <c r="AU349" i="27" s="1"/>
  <c r="AV349" i="27" s="1"/>
  <c r="AS350" i="27"/>
  <c r="AU350" i="27" s="1"/>
  <c r="AV350" i="27" s="1"/>
  <c r="AS351" i="27"/>
  <c r="AT351" i="27" s="1"/>
  <c r="AS352" i="27"/>
  <c r="AT352" i="27" s="1"/>
  <c r="AS353" i="27"/>
  <c r="AS354" i="27"/>
  <c r="AT354" i="27" s="1"/>
  <c r="AS355" i="27"/>
  <c r="AT355" i="27" s="1"/>
  <c r="AS356" i="27"/>
  <c r="AU356" i="27" s="1"/>
  <c r="AV356" i="27" s="1"/>
  <c r="AS357" i="27"/>
  <c r="AT357" i="27" s="1"/>
  <c r="AS358" i="27"/>
  <c r="AS359" i="27"/>
  <c r="AT359" i="27" s="1"/>
  <c r="AS360" i="27"/>
  <c r="AT360" i="27" s="1"/>
  <c r="AS361" i="27"/>
  <c r="AT361" i="27" s="1"/>
  <c r="AS362" i="27"/>
  <c r="AU362" i="27" s="1"/>
  <c r="AV362" i="27" s="1"/>
  <c r="AS363" i="27"/>
  <c r="AT363" i="27" s="1"/>
  <c r="AS364" i="27"/>
  <c r="AT364" i="27" s="1"/>
  <c r="AS365" i="27"/>
  <c r="AT365" i="27" s="1"/>
  <c r="AS366" i="27"/>
  <c r="AT366" i="27" s="1"/>
  <c r="AS367" i="27"/>
  <c r="AT367" i="27" s="1"/>
  <c r="AS368" i="27"/>
  <c r="AT368" i="27" s="1"/>
  <c r="AS369" i="27"/>
  <c r="AS370" i="27"/>
  <c r="AT370" i="27" s="1"/>
  <c r="AS371" i="27"/>
  <c r="AT371" i="27" s="1"/>
  <c r="AS372" i="27"/>
  <c r="AT372" i="27" s="1"/>
  <c r="AS373" i="27"/>
  <c r="AU373" i="27" s="1"/>
  <c r="AV373" i="27" s="1"/>
  <c r="AS374" i="27"/>
  <c r="AT374" i="27" s="1"/>
  <c r="AS375" i="27"/>
  <c r="AS376" i="27"/>
  <c r="AU376" i="27" s="1"/>
  <c r="AV376" i="27" s="1"/>
  <c r="AS377" i="27"/>
  <c r="AS378" i="27"/>
  <c r="AT378" i="27" s="1"/>
  <c r="AS379" i="27"/>
  <c r="AT379" i="27" s="1"/>
  <c r="AS380" i="27"/>
  <c r="AT380" i="27" s="1"/>
  <c r="AS381" i="27"/>
  <c r="AT381" i="27" s="1"/>
  <c r="AS382" i="27"/>
  <c r="AU382" i="27" s="1"/>
  <c r="AV382" i="27" s="1"/>
  <c r="AS383" i="27"/>
  <c r="AT383" i="27" s="1"/>
  <c r="AS384" i="27"/>
  <c r="AU384" i="27" s="1"/>
  <c r="AV384" i="27" s="1"/>
  <c r="AS385" i="27"/>
  <c r="AU385" i="27" s="1"/>
  <c r="AV385" i="27" s="1"/>
  <c r="AS386" i="27"/>
  <c r="AT386" i="27" s="1"/>
  <c r="AS387" i="27"/>
  <c r="AT387" i="27" s="1"/>
  <c r="AS388" i="27"/>
  <c r="AS389" i="27"/>
  <c r="AS390" i="27"/>
  <c r="AS391" i="27"/>
  <c r="AT391" i="27" s="1"/>
  <c r="AS392" i="27"/>
  <c r="AU392" i="27" s="1"/>
  <c r="AV392" i="27" s="1"/>
  <c r="AS393" i="27"/>
  <c r="AU393" i="27" s="1"/>
  <c r="AV393" i="27" s="1"/>
  <c r="AS394" i="27"/>
  <c r="AU394" i="27" s="1"/>
  <c r="AV394" i="27" s="1"/>
  <c r="AS395" i="27"/>
  <c r="AT395" i="27" s="1"/>
  <c r="AS396" i="27"/>
  <c r="AT396" i="27" s="1"/>
  <c r="AS397" i="27"/>
  <c r="AU397" i="27" s="1"/>
  <c r="AV397" i="27" s="1"/>
  <c r="AS398" i="27"/>
  <c r="AU398" i="27" s="1"/>
  <c r="AV398" i="27" s="1"/>
  <c r="AS399" i="27"/>
  <c r="AT399" i="27" s="1"/>
  <c r="AS400" i="27"/>
  <c r="AT400" i="27" s="1"/>
  <c r="AS401" i="27"/>
  <c r="AT401" i="27" s="1"/>
  <c r="AS402" i="27"/>
  <c r="AT402" i="27" s="1"/>
  <c r="AS403" i="27"/>
  <c r="AT403" i="27" s="1"/>
  <c r="AS404" i="27"/>
  <c r="AT404" i="27" s="1"/>
  <c r="AS405" i="27"/>
  <c r="AS406" i="27"/>
  <c r="AS407" i="27"/>
  <c r="AS408" i="27"/>
  <c r="AU408" i="27" s="1"/>
  <c r="AV408" i="27" s="1"/>
  <c r="AS409" i="27"/>
  <c r="AS410" i="27"/>
  <c r="AU410" i="27" s="1"/>
  <c r="AV410" i="27" s="1"/>
  <c r="AS411" i="27"/>
  <c r="AT411" i="27" s="1"/>
  <c r="AS412" i="27"/>
  <c r="AU412" i="27" s="1"/>
  <c r="AV412" i="27" s="1"/>
  <c r="AS413" i="27"/>
  <c r="AT413" i="27" s="1"/>
  <c r="AS414" i="27"/>
  <c r="AU414" i="27" s="1"/>
  <c r="AV414" i="27" s="1"/>
  <c r="AS415" i="27"/>
  <c r="AT415" i="27" s="1"/>
  <c r="AS416" i="27"/>
  <c r="AT416" i="27" s="1"/>
  <c r="AS417" i="27"/>
  <c r="AS418" i="27"/>
  <c r="AT418" i="27" s="1"/>
  <c r="AS419" i="27"/>
  <c r="AT419" i="27" s="1"/>
  <c r="AS420" i="27"/>
  <c r="AT420" i="27" s="1"/>
  <c r="AS421" i="27"/>
  <c r="AS422" i="27"/>
  <c r="AT422" i="27" s="1"/>
  <c r="AS423" i="27"/>
  <c r="AT423" i="27" s="1"/>
  <c r="AS424" i="27"/>
  <c r="AT424" i="27" s="1"/>
  <c r="AS425" i="27"/>
  <c r="AT425" i="27" s="1"/>
  <c r="AS426" i="27"/>
  <c r="AU426" i="27" s="1"/>
  <c r="AV426" i="27" s="1"/>
  <c r="AS427" i="27"/>
  <c r="AT427" i="27" s="1"/>
  <c r="AS428" i="27"/>
  <c r="AT428" i="27" s="1"/>
  <c r="AS429" i="27"/>
  <c r="AU429" i="27" s="1"/>
  <c r="AV429" i="27" s="1"/>
  <c r="AS430" i="27"/>
  <c r="AT430" i="27" s="1"/>
  <c r="AS431" i="27"/>
  <c r="AT431" i="27" s="1"/>
  <c r="AS432" i="27"/>
  <c r="AU432" i="27" s="1"/>
  <c r="AV432" i="27" s="1"/>
  <c r="AS433" i="27"/>
  <c r="AU433" i="27" s="1"/>
  <c r="AV433" i="27" s="1"/>
  <c r="AS434" i="27"/>
  <c r="AU434" i="27" s="1"/>
  <c r="AV434" i="27" s="1"/>
  <c r="AS435" i="27"/>
  <c r="AT435" i="27" s="1"/>
  <c r="AS436" i="27"/>
  <c r="AS437" i="27"/>
  <c r="AT437" i="27" s="1"/>
  <c r="AS438" i="27"/>
  <c r="AS439" i="27"/>
  <c r="AS440" i="27"/>
  <c r="AU440" i="27" s="1"/>
  <c r="AV440" i="27" s="1"/>
  <c r="AS441" i="27"/>
  <c r="AT441" i="27" s="1"/>
  <c r="AS442" i="27"/>
  <c r="AT442" i="27" s="1"/>
  <c r="AS443" i="27"/>
  <c r="AT443" i="27" s="1"/>
  <c r="AS445" i="27"/>
  <c r="AT445" i="27" s="1"/>
  <c r="AS446" i="27"/>
  <c r="AT446" i="27" s="1"/>
  <c r="AS447" i="27"/>
  <c r="AT447" i="27" s="1"/>
  <c r="AS448" i="27"/>
  <c r="AT448" i="27" s="1"/>
  <c r="AS449" i="27"/>
  <c r="AT449" i="27" s="1"/>
  <c r="AS450" i="27"/>
  <c r="AT450" i="27" s="1"/>
  <c r="AS451" i="27"/>
  <c r="AT451" i="27" s="1"/>
  <c r="AS452" i="27"/>
  <c r="AT452" i="27" s="1"/>
  <c r="AS453" i="27"/>
  <c r="AS454" i="27"/>
  <c r="AS455" i="27"/>
  <c r="AT455" i="27" s="1"/>
  <c r="AS456" i="27"/>
  <c r="AT456" i="27" s="1"/>
  <c r="AS457" i="27"/>
  <c r="AU457" i="27" s="1"/>
  <c r="AV457" i="27" s="1"/>
  <c r="AS458" i="27"/>
  <c r="AS459" i="27"/>
  <c r="AU459" i="27" s="1"/>
  <c r="AV459" i="27" s="1"/>
  <c r="AS460" i="27"/>
  <c r="AT460" i="27" s="1"/>
  <c r="AS461" i="27"/>
  <c r="AT461" i="27" s="1"/>
  <c r="AS462" i="27"/>
  <c r="AT462" i="27" s="1"/>
  <c r="AS463" i="27"/>
  <c r="AU463" i="27" s="1"/>
  <c r="AV463" i="27" s="1"/>
  <c r="AS464" i="27"/>
  <c r="AT464" i="27" s="1"/>
  <c r="AS465" i="27"/>
  <c r="AT465" i="27" s="1"/>
  <c r="AS466" i="27"/>
  <c r="AS467" i="27"/>
  <c r="AT467" i="27" s="1"/>
  <c r="AS468" i="27"/>
  <c r="AT468" i="27" s="1"/>
  <c r="AS469" i="27"/>
  <c r="AU469" i="27" s="1"/>
  <c r="AV469" i="27" s="1"/>
  <c r="AS470" i="27"/>
  <c r="AS471" i="27"/>
  <c r="AT471" i="27" s="1"/>
  <c r="AS472" i="27"/>
  <c r="AS473" i="27"/>
  <c r="AU473" i="27" s="1"/>
  <c r="AV473" i="27" s="1"/>
  <c r="AS474" i="27"/>
  <c r="AU474" i="27" s="1"/>
  <c r="AV474" i="27" s="1"/>
  <c r="AS475" i="27"/>
  <c r="AU475" i="27" s="1"/>
  <c r="AV475" i="27" s="1"/>
  <c r="AS476" i="27"/>
  <c r="AT476" i="27" s="1"/>
  <c r="AS477" i="27"/>
  <c r="AU477" i="27" s="1"/>
  <c r="AV477" i="27" s="1"/>
  <c r="AS478" i="27"/>
  <c r="AU478" i="27" s="1"/>
  <c r="AV478" i="27" s="1"/>
  <c r="AS479" i="27"/>
  <c r="AS480" i="27"/>
  <c r="AT480" i="27" s="1"/>
  <c r="AS481" i="27"/>
  <c r="AT481" i="27" s="1"/>
  <c r="AS482" i="27"/>
  <c r="AS483" i="27"/>
  <c r="AU483" i="27" s="1"/>
  <c r="AV483" i="27" s="1"/>
  <c r="AS484" i="27"/>
  <c r="AT484" i="27" s="1"/>
  <c r="AS485" i="27"/>
  <c r="AS486" i="27"/>
  <c r="AT486" i="27" s="1"/>
  <c r="AS487" i="27"/>
  <c r="AS488" i="27"/>
  <c r="AT488" i="27" s="1"/>
  <c r="AS489" i="27"/>
  <c r="AT489" i="27" s="1"/>
  <c r="AS490" i="27"/>
  <c r="AT490" i="27" s="1"/>
  <c r="AS491" i="27"/>
  <c r="AU491" i="27" s="1"/>
  <c r="AV491" i="27" s="1"/>
  <c r="AS492" i="27"/>
  <c r="AT492" i="27" s="1"/>
  <c r="AS493" i="27"/>
  <c r="AT493" i="27" s="1"/>
  <c r="AS494" i="27"/>
  <c r="AT494" i="27" s="1"/>
  <c r="AS495" i="27"/>
  <c r="AS496" i="27"/>
  <c r="AT496" i="27" s="1"/>
  <c r="AS497" i="27"/>
  <c r="AT497" i="27" s="1"/>
  <c r="AS498" i="27"/>
  <c r="AS499" i="27"/>
  <c r="AT499" i="27" s="1"/>
  <c r="AS500" i="27"/>
  <c r="AT500" i="27" s="1"/>
  <c r="AS501" i="27"/>
  <c r="AT501" i="27" s="1"/>
  <c r="AS502" i="27"/>
  <c r="AT502" i="27" s="1"/>
  <c r="AS503" i="27"/>
  <c r="AS504" i="27"/>
  <c r="AS505" i="27"/>
  <c r="AU505" i="27" s="1"/>
  <c r="AV505" i="27" s="1"/>
  <c r="AS506" i="27"/>
  <c r="AU506" i="27" s="1"/>
  <c r="AV506" i="27" s="1"/>
  <c r="AS507" i="27"/>
  <c r="AU507" i="27" s="1"/>
  <c r="AV507" i="27" s="1"/>
  <c r="AS508" i="27"/>
  <c r="AT508" i="27" s="1"/>
  <c r="AS509" i="27"/>
  <c r="AT509" i="27" s="1"/>
  <c r="AS510" i="27"/>
  <c r="AT510" i="27" s="1"/>
  <c r="AS511" i="27"/>
  <c r="AS512" i="27"/>
  <c r="AT512" i="27" s="1"/>
  <c r="AS513" i="27"/>
  <c r="AT513" i="27" s="1"/>
  <c r="AS514" i="27"/>
  <c r="AS515" i="27"/>
  <c r="AT515" i="27" s="1"/>
  <c r="AS516" i="27"/>
  <c r="AT516" i="27" s="1"/>
  <c r="AS517" i="27"/>
  <c r="AS518" i="27"/>
  <c r="AT518" i="27" s="1"/>
  <c r="AS519" i="27"/>
  <c r="AS520" i="27"/>
  <c r="AT520" i="27" s="1"/>
  <c r="AS521" i="27"/>
  <c r="AU521" i="27" s="1"/>
  <c r="AV521" i="27" s="1"/>
  <c r="AS522" i="27"/>
  <c r="AT522" i="27" s="1"/>
  <c r="AS523" i="27"/>
  <c r="AT523" i="27" s="1"/>
  <c r="AS524" i="27"/>
  <c r="AT524" i="27" s="1"/>
  <c r="AS525" i="27"/>
  <c r="AT525" i="27" s="1"/>
  <c r="AS526" i="27"/>
  <c r="AU526" i="27" s="1"/>
  <c r="AV526" i="27" s="1"/>
  <c r="AS527" i="27"/>
  <c r="AS528" i="27"/>
  <c r="AT528" i="27" s="1"/>
  <c r="AS529" i="27"/>
  <c r="AT529" i="27" s="1"/>
  <c r="AS530" i="27"/>
  <c r="AS531" i="27"/>
  <c r="AT531" i="27" s="1"/>
  <c r="AS532" i="27"/>
  <c r="AT532" i="27" s="1"/>
  <c r="AS533" i="27"/>
  <c r="AT533" i="27" s="1"/>
  <c r="AS534" i="27"/>
  <c r="AT534" i="27" s="1"/>
  <c r="AS535" i="27"/>
  <c r="AS536" i="27"/>
  <c r="AS537" i="27"/>
  <c r="AU537" i="27" s="1"/>
  <c r="AV537" i="27" s="1"/>
  <c r="AS538" i="27"/>
  <c r="AU538" i="27" s="1"/>
  <c r="AV538" i="27" s="1"/>
  <c r="AS539" i="27"/>
  <c r="AU539" i="27" s="1"/>
  <c r="AV539" i="27" s="1"/>
  <c r="AS540" i="27"/>
  <c r="AT540" i="27" s="1"/>
  <c r="AS541" i="27"/>
  <c r="AT541" i="27" s="1"/>
  <c r="AS542" i="27"/>
  <c r="AT542" i="27" s="1"/>
  <c r="AS543" i="27"/>
  <c r="AU543" i="27" s="1"/>
  <c r="AV543" i="27" s="1"/>
  <c r="AS544" i="27"/>
  <c r="AT544" i="27" s="1"/>
  <c r="AS545" i="27"/>
  <c r="AT545" i="27" s="1"/>
  <c r="AS546" i="27"/>
  <c r="AU546" i="27" s="1"/>
  <c r="AV546" i="27" s="1"/>
  <c r="AS547" i="27"/>
  <c r="AT547" i="27" s="1"/>
  <c r="AS548" i="27"/>
  <c r="AT548" i="27" s="1"/>
  <c r="AS549" i="27"/>
  <c r="AT549" i="27" s="1"/>
  <c r="AS550" i="27"/>
  <c r="AS551" i="27"/>
  <c r="AU551" i="27" s="1"/>
  <c r="AV551" i="27" s="1"/>
  <c r="AS552" i="27"/>
  <c r="AT552" i="27" s="1"/>
  <c r="AS553" i="27"/>
  <c r="AT553" i="27" s="1"/>
  <c r="AS554" i="27"/>
  <c r="AS555" i="27"/>
  <c r="AT555" i="27" s="1"/>
  <c r="AS556" i="27"/>
  <c r="AT556" i="27" s="1"/>
  <c r="AS557" i="27"/>
  <c r="AT557" i="27" s="1"/>
  <c r="AS558" i="27"/>
  <c r="AU558" i="27" s="1"/>
  <c r="AV558" i="27" s="1"/>
  <c r="AS559" i="27"/>
  <c r="AS560" i="27"/>
  <c r="AT560" i="27" s="1"/>
  <c r="AS561" i="27"/>
  <c r="AU561" i="27" s="1"/>
  <c r="AV561" i="27" s="1"/>
  <c r="AS562" i="27"/>
  <c r="AU562" i="27" s="1"/>
  <c r="AV562" i="27" s="1"/>
  <c r="AS563" i="27"/>
  <c r="AT563" i="27" s="1"/>
  <c r="AS564" i="27"/>
  <c r="AT564" i="27" s="1"/>
  <c r="AS565" i="27"/>
  <c r="AS566" i="27"/>
  <c r="AS567" i="27"/>
  <c r="AS568" i="27"/>
  <c r="AT568" i="27" s="1"/>
  <c r="AS569" i="27"/>
  <c r="AU569" i="27" s="1"/>
  <c r="AV569" i="27" s="1"/>
  <c r="AS570" i="27"/>
  <c r="AT570" i="27" s="1"/>
  <c r="AS571" i="27"/>
  <c r="AU571" i="27" s="1"/>
  <c r="AV571" i="27" s="1"/>
  <c r="AS572" i="27"/>
  <c r="AT572" i="27" s="1"/>
  <c r="AS573" i="27"/>
  <c r="AT573" i="27" s="1"/>
  <c r="AS574" i="27"/>
  <c r="AT574" i="27" s="1"/>
  <c r="AS575" i="27"/>
  <c r="AS576" i="27"/>
  <c r="AT576" i="27" s="1"/>
  <c r="AS577" i="27"/>
  <c r="AT577" i="27" s="1"/>
  <c r="AS578" i="27"/>
  <c r="AT578" i="27" s="1"/>
  <c r="AS579" i="27"/>
  <c r="AT579" i="27" s="1"/>
  <c r="AS580" i="27"/>
  <c r="AT580" i="27" s="1"/>
  <c r="AS581" i="27"/>
  <c r="AT581" i="27" s="1"/>
  <c r="AS582" i="27"/>
  <c r="AS583" i="27"/>
  <c r="AT583" i="27" s="1"/>
  <c r="AS584" i="27"/>
  <c r="AT584" i="27" s="1"/>
  <c r="AS585" i="27"/>
  <c r="AU585" i="27" s="1"/>
  <c r="AV585" i="27" s="1"/>
  <c r="AS586" i="27"/>
  <c r="AU586" i="27" s="1"/>
  <c r="AV586" i="27" s="1"/>
  <c r="AS587" i="27"/>
  <c r="AU587" i="27" s="1"/>
  <c r="AV587" i="27" s="1"/>
  <c r="AS588" i="27"/>
  <c r="AT588" i="27" s="1"/>
  <c r="AS589" i="27"/>
  <c r="AT589" i="27" s="1"/>
  <c r="AS590" i="27"/>
  <c r="AT590" i="27" s="1"/>
  <c r="AS591" i="27"/>
  <c r="AS592" i="27"/>
  <c r="AT592" i="27" s="1"/>
  <c r="AS593" i="27"/>
  <c r="AT593" i="27" s="1"/>
  <c r="AS594" i="27"/>
  <c r="AU594" i="27" s="1"/>
  <c r="AV594" i="27" s="1"/>
  <c r="AS595" i="27"/>
  <c r="AT595" i="27" s="1"/>
  <c r="AS596" i="27"/>
  <c r="AT596" i="27" s="1"/>
  <c r="AS598" i="27"/>
  <c r="AS599" i="27"/>
  <c r="AS600" i="27"/>
  <c r="AT600" i="27" s="1"/>
  <c r="AS601" i="27"/>
  <c r="AS602" i="27"/>
  <c r="AU602" i="27" s="1"/>
  <c r="AV602" i="27" s="1"/>
  <c r="AS603" i="27"/>
  <c r="AU603" i="27" s="1"/>
  <c r="AV603" i="27" s="1"/>
  <c r="AS604" i="27"/>
  <c r="AT604" i="27" s="1"/>
  <c r="AS605" i="27"/>
  <c r="AT605" i="27" s="1"/>
  <c r="AS606" i="27"/>
  <c r="AU606" i="27" s="1"/>
  <c r="AV606" i="27" s="1"/>
  <c r="AS607" i="27"/>
  <c r="AU607" i="27" s="1"/>
  <c r="AV607" i="27" s="1"/>
  <c r="AS608" i="27"/>
  <c r="AT608" i="27" s="1"/>
  <c r="AS609" i="27"/>
  <c r="AT609" i="27" s="1"/>
  <c r="AS610" i="27"/>
  <c r="AS611" i="27"/>
  <c r="AS612" i="27"/>
  <c r="AT612" i="27" s="1"/>
  <c r="AS613" i="27"/>
  <c r="AS614" i="27"/>
  <c r="AS615" i="27"/>
  <c r="AS616" i="27"/>
  <c r="AS617" i="27"/>
  <c r="AT617" i="27" s="1"/>
  <c r="AS618" i="27"/>
  <c r="AT618" i="27" s="1"/>
  <c r="AS619" i="27"/>
  <c r="AU619" i="27" s="1"/>
  <c r="AV619" i="27" s="1"/>
  <c r="AS620" i="27"/>
  <c r="AT620" i="27" s="1"/>
  <c r="AS621" i="27"/>
  <c r="AT621" i="27" s="1"/>
  <c r="AS622" i="27"/>
  <c r="AT622" i="27" s="1"/>
  <c r="AS623" i="27"/>
  <c r="AS624" i="27"/>
  <c r="AT624" i="27" s="1"/>
  <c r="AS625" i="27"/>
  <c r="AT625" i="27" s="1"/>
  <c r="AS626" i="27"/>
  <c r="AS627" i="27"/>
  <c r="AT627" i="27" s="1"/>
  <c r="AS628" i="27"/>
  <c r="AT628" i="27" s="1"/>
  <c r="AS629" i="27"/>
  <c r="AU629" i="27" s="1"/>
  <c r="AV629" i="27" s="1"/>
  <c r="AS630" i="27"/>
  <c r="AU630" i="27" s="1"/>
  <c r="AV630" i="27" s="1"/>
  <c r="AS631" i="27"/>
  <c r="AU631" i="27" s="1"/>
  <c r="AV631" i="27" s="1"/>
  <c r="AS632" i="27"/>
  <c r="AT632" i="27" s="1"/>
  <c r="AS633" i="27"/>
  <c r="AU633" i="27" s="1"/>
  <c r="AV633" i="27" s="1"/>
  <c r="AS634" i="27"/>
  <c r="AS635" i="27"/>
  <c r="AT635" i="27" s="1"/>
  <c r="AS636" i="27"/>
  <c r="AT636" i="27" s="1"/>
  <c r="AS637" i="27"/>
  <c r="AT637" i="27" s="1"/>
  <c r="AS638" i="27"/>
  <c r="AT638" i="27" s="1"/>
  <c r="AS639" i="27"/>
  <c r="AT639" i="27" s="1"/>
  <c r="AS640" i="27"/>
  <c r="AT640" i="27" s="1"/>
  <c r="AS641" i="27"/>
  <c r="AU641" i="27" s="1"/>
  <c r="AV641" i="27" s="1"/>
  <c r="AS642" i="27"/>
  <c r="AT642" i="27" s="1"/>
  <c r="AS643" i="27"/>
  <c r="AT643" i="27" s="1"/>
  <c r="AS644" i="27"/>
  <c r="AS645" i="27"/>
  <c r="AS646" i="27"/>
  <c r="AS647" i="27"/>
  <c r="AS648" i="27"/>
  <c r="AU648" i="27" s="1"/>
  <c r="AV648" i="27" s="1"/>
  <c r="AS649" i="27"/>
  <c r="AU649" i="27" s="1"/>
  <c r="AV649" i="27" s="1"/>
  <c r="AS650" i="27"/>
  <c r="AT650" i="27" s="1"/>
  <c r="AS651" i="27"/>
  <c r="AU651" i="27" s="1"/>
  <c r="AV651" i="27" s="1"/>
  <c r="AS652" i="27"/>
  <c r="AU652" i="27" s="1"/>
  <c r="AV652" i="27" s="1"/>
  <c r="AS653" i="27"/>
  <c r="AU653" i="27" s="1"/>
  <c r="AV653" i="27" s="1"/>
  <c r="AS654" i="27"/>
  <c r="AT654" i="27" s="1"/>
  <c r="AS655" i="27"/>
  <c r="AT655" i="27" s="1"/>
  <c r="AS656" i="27"/>
  <c r="AY8" i="27"/>
  <c r="AY9" i="27"/>
  <c r="AY10" i="27"/>
  <c r="AY11" i="27"/>
  <c r="AY12" i="27"/>
  <c r="AY13" i="27"/>
  <c r="AY14" i="27"/>
  <c r="AY15" i="27"/>
  <c r="AY16" i="27"/>
  <c r="AY17" i="27"/>
  <c r="AY18" i="27"/>
  <c r="AY19" i="27"/>
  <c r="AY20" i="27"/>
  <c r="AY21" i="27"/>
  <c r="AY22" i="27"/>
  <c r="AY23" i="27"/>
  <c r="AY24" i="27"/>
  <c r="AY25" i="27"/>
  <c r="AY26" i="27"/>
  <c r="AY27" i="27"/>
  <c r="AY28" i="27"/>
  <c r="AY29" i="27"/>
  <c r="AY30" i="27"/>
  <c r="AY31" i="27"/>
  <c r="AY32" i="27"/>
  <c r="AY33" i="27"/>
  <c r="AY34" i="27"/>
  <c r="AY35" i="27"/>
  <c r="AY36" i="27"/>
  <c r="AY37" i="27"/>
  <c r="AY38" i="27"/>
  <c r="AY39" i="27"/>
  <c r="AY40" i="27"/>
  <c r="AY41" i="27"/>
  <c r="AY42" i="27"/>
  <c r="AY43" i="27"/>
  <c r="AY44" i="27"/>
  <c r="AY45" i="27"/>
  <c r="AY46" i="27"/>
  <c r="AY47" i="27"/>
  <c r="AY48" i="27"/>
  <c r="AY49" i="27"/>
  <c r="AY50" i="27"/>
  <c r="AY51" i="27"/>
  <c r="AY52" i="27"/>
  <c r="AY53" i="27"/>
  <c r="AY54" i="27"/>
  <c r="AY55" i="27"/>
  <c r="AY56" i="27"/>
  <c r="AY57" i="27"/>
  <c r="AY58" i="27"/>
  <c r="AY59" i="27"/>
  <c r="AY62" i="27"/>
  <c r="AY63" i="27"/>
  <c r="AY64" i="27"/>
  <c r="AY65" i="27"/>
  <c r="AY66" i="27"/>
  <c r="AY67" i="27"/>
  <c r="AY68" i="27"/>
  <c r="AY69" i="27"/>
  <c r="AY70" i="27"/>
  <c r="AY71" i="27"/>
  <c r="AY72" i="27"/>
  <c r="AY73" i="27"/>
  <c r="AY74" i="27"/>
  <c r="AY75" i="27"/>
  <c r="AY81" i="27"/>
  <c r="AY82" i="27"/>
  <c r="AY83" i="27"/>
  <c r="AY84" i="27"/>
  <c r="AY85" i="27"/>
  <c r="AY86" i="27"/>
  <c r="AY87" i="27"/>
  <c r="AY88" i="27"/>
  <c r="AY89" i="27"/>
  <c r="AY90" i="27"/>
  <c r="AY91" i="27"/>
  <c r="AY92" i="27"/>
  <c r="AY93" i="27"/>
  <c r="AY94" i="27"/>
  <c r="AY95" i="27"/>
  <c r="AY96" i="27"/>
  <c r="AY97" i="27"/>
  <c r="AY98" i="27"/>
  <c r="AY99" i="27"/>
  <c r="AY100" i="27"/>
  <c r="AY101" i="27"/>
  <c r="AY102" i="27"/>
  <c r="AY103" i="27"/>
  <c r="AY104" i="27"/>
  <c r="AY105" i="27"/>
  <c r="AY106" i="27"/>
  <c r="AY107" i="27"/>
  <c r="AY108" i="27"/>
  <c r="AY109" i="27"/>
  <c r="AY110" i="27"/>
  <c r="AY111" i="27"/>
  <c r="AY112" i="27"/>
  <c r="AY113" i="27"/>
  <c r="AY114" i="27"/>
  <c r="AY115" i="27"/>
  <c r="AY116" i="27"/>
  <c r="AY117" i="27"/>
  <c r="AY118" i="27"/>
  <c r="AY119" i="27"/>
  <c r="AY120" i="27"/>
  <c r="AY121" i="27"/>
  <c r="AY122" i="27"/>
  <c r="AY123" i="27"/>
  <c r="AY124" i="27"/>
  <c r="AY125" i="27"/>
  <c r="AY126" i="27"/>
  <c r="AY127" i="27"/>
  <c r="AY128" i="27"/>
  <c r="AY129" i="27"/>
  <c r="AY130" i="27"/>
  <c r="AY131" i="27"/>
  <c r="AY132" i="27"/>
  <c r="AY134" i="27"/>
  <c r="AY135" i="27"/>
  <c r="AY136" i="27"/>
  <c r="AY137" i="27"/>
  <c r="AY138" i="27"/>
  <c r="AY139" i="27"/>
  <c r="AY140" i="27"/>
  <c r="AY141" i="27"/>
  <c r="AY142" i="27"/>
  <c r="AY143" i="27"/>
  <c r="AY144" i="27"/>
  <c r="AY145" i="27"/>
  <c r="AY146" i="27"/>
  <c r="AY147" i="27"/>
  <c r="AY148" i="27"/>
  <c r="AY149" i="27"/>
  <c r="AY150" i="27"/>
  <c r="AY151" i="27"/>
  <c r="AY152" i="27"/>
  <c r="AY153" i="27"/>
  <c r="AY154" i="27"/>
  <c r="AY155" i="27"/>
  <c r="AY156" i="27"/>
  <c r="AY157" i="27"/>
  <c r="AY158" i="27"/>
  <c r="AY159" i="27"/>
  <c r="AY160" i="27"/>
  <c r="AY161" i="27"/>
  <c r="AY162" i="27"/>
  <c r="AY163" i="27"/>
  <c r="AY164" i="27"/>
  <c r="AY165" i="27"/>
  <c r="AY166" i="27"/>
  <c r="AY167" i="27"/>
  <c r="AY168" i="27"/>
  <c r="AY169" i="27"/>
  <c r="AY170" i="27"/>
  <c r="AY171" i="27"/>
  <c r="AY172" i="27"/>
  <c r="AY173" i="27"/>
  <c r="AY174" i="27"/>
  <c r="AY175" i="27"/>
  <c r="AY176" i="27"/>
  <c r="AY177" i="27"/>
  <c r="AY178" i="27"/>
  <c r="AY180" i="27"/>
  <c r="AY181" i="27"/>
  <c r="AY182" i="27"/>
  <c r="AY183" i="27"/>
  <c r="AY184" i="27"/>
  <c r="AY185" i="27"/>
  <c r="AY186" i="27"/>
  <c r="AY187" i="27"/>
  <c r="AY188" i="27"/>
  <c r="AY189" i="27"/>
  <c r="AY190" i="27"/>
  <c r="AY191" i="27"/>
  <c r="AY192" i="27"/>
  <c r="AY193" i="27"/>
  <c r="AY194" i="27"/>
  <c r="AY195" i="27"/>
  <c r="AY196" i="27"/>
  <c r="AY197" i="27"/>
  <c r="AY198" i="27"/>
  <c r="AY199" i="27"/>
  <c r="AY200" i="27"/>
  <c r="AY201" i="27"/>
  <c r="AY202" i="27"/>
  <c r="AY203" i="27"/>
  <c r="AY204" i="27"/>
  <c r="AY205" i="27"/>
  <c r="AY206" i="27"/>
  <c r="AY207" i="27"/>
  <c r="AY208" i="27"/>
  <c r="AY209" i="27"/>
  <c r="AY210" i="27"/>
  <c r="AY211" i="27"/>
  <c r="AY212" i="27"/>
  <c r="AY213" i="27"/>
  <c r="AY214" i="27"/>
  <c r="AY215" i="27"/>
  <c r="AY216" i="27"/>
  <c r="AY217" i="27"/>
  <c r="AY218" i="27"/>
  <c r="AY219" i="27"/>
  <c r="AY220" i="27"/>
  <c r="AY221" i="27"/>
  <c r="AY222" i="27"/>
  <c r="AY223" i="27"/>
  <c r="AY224" i="27"/>
  <c r="AY225" i="27"/>
  <c r="AY226" i="27"/>
  <c r="AY227" i="27"/>
  <c r="AY228" i="27"/>
  <c r="AY229" i="27"/>
  <c r="AY230" i="27"/>
  <c r="AY231" i="27"/>
  <c r="AY232" i="27"/>
  <c r="AY233" i="27"/>
  <c r="AY234" i="27"/>
  <c r="AY235" i="27"/>
  <c r="AY236" i="27"/>
  <c r="AY237" i="27"/>
  <c r="AY238" i="27"/>
  <c r="AY239" i="27"/>
  <c r="AY240" i="27"/>
  <c r="AY241" i="27"/>
  <c r="AY242" i="27"/>
  <c r="AY243" i="27"/>
  <c r="AY244" i="27"/>
  <c r="AY245" i="27"/>
  <c r="AY246" i="27"/>
  <c r="AY247" i="27"/>
  <c r="AY248" i="27"/>
  <c r="AY249" i="27"/>
  <c r="AY250" i="27"/>
  <c r="AY251" i="27"/>
  <c r="AY252" i="27"/>
  <c r="AY253" i="27"/>
  <c r="AY254" i="27"/>
  <c r="AY255" i="27"/>
  <c r="AY256" i="27"/>
  <c r="AY257" i="27"/>
  <c r="AY258" i="27"/>
  <c r="AY259" i="27"/>
  <c r="AY260" i="27"/>
  <c r="AY261" i="27"/>
  <c r="AY262" i="27"/>
  <c r="AY263" i="27"/>
  <c r="AY264" i="27"/>
  <c r="AY265" i="27"/>
  <c r="AY266" i="27"/>
  <c r="AY267" i="27"/>
  <c r="AY268" i="27"/>
  <c r="AY269" i="27"/>
  <c r="AY270" i="27"/>
  <c r="AY271" i="27"/>
  <c r="AY272" i="27"/>
  <c r="AY273" i="27"/>
  <c r="AY274" i="27"/>
  <c r="AY275" i="27"/>
  <c r="AY276" i="27"/>
  <c r="AY277" i="27"/>
  <c r="AY278" i="27"/>
  <c r="AY279" i="27"/>
  <c r="AY280" i="27"/>
  <c r="AY281" i="27"/>
  <c r="AY282" i="27"/>
  <c r="AY283" i="27"/>
  <c r="AY284" i="27"/>
  <c r="AY285" i="27"/>
  <c r="AY286" i="27"/>
  <c r="AY287" i="27"/>
  <c r="AY288" i="27"/>
  <c r="AY289" i="27"/>
  <c r="AY290" i="27"/>
  <c r="AY291" i="27"/>
  <c r="AY292" i="27"/>
  <c r="AY293" i="27"/>
  <c r="AY294" i="27"/>
  <c r="AY295" i="27"/>
  <c r="AY296" i="27"/>
  <c r="AY297" i="27"/>
  <c r="AY298" i="27"/>
  <c r="AY299" i="27"/>
  <c r="AY300" i="27"/>
  <c r="AY301" i="27"/>
  <c r="AY302" i="27"/>
  <c r="AY303" i="27"/>
  <c r="AY304" i="27"/>
  <c r="AY305" i="27"/>
  <c r="AY306" i="27"/>
  <c r="AY307" i="27"/>
  <c r="AY308" i="27"/>
  <c r="AY309" i="27"/>
  <c r="AY310" i="27"/>
  <c r="AY311" i="27"/>
  <c r="AY312" i="27"/>
  <c r="AY313" i="27"/>
  <c r="AY314" i="27"/>
  <c r="AY315" i="27"/>
  <c r="AY316" i="27"/>
  <c r="AY317" i="27"/>
  <c r="AY318" i="27"/>
  <c r="AY319" i="27"/>
  <c r="AY320" i="27"/>
  <c r="AY321" i="27"/>
  <c r="AY322" i="27"/>
  <c r="AY323" i="27"/>
  <c r="AY324" i="27"/>
  <c r="AY325" i="27"/>
  <c r="AY326" i="27"/>
  <c r="AY327" i="27"/>
  <c r="AY328" i="27"/>
  <c r="AY329" i="27"/>
  <c r="AY330" i="27"/>
  <c r="AY331" i="27"/>
  <c r="AY332" i="27"/>
  <c r="AY333" i="27"/>
  <c r="AY334" i="27"/>
  <c r="AY335" i="27"/>
  <c r="AY336" i="27"/>
  <c r="AY337" i="27"/>
  <c r="AY338" i="27"/>
  <c r="AY339" i="27"/>
  <c r="AY340" i="27"/>
  <c r="AY341" i="27"/>
  <c r="AY342" i="27"/>
  <c r="AY343" i="27"/>
  <c r="AY344" i="27"/>
  <c r="AY345" i="27"/>
  <c r="AY346" i="27"/>
  <c r="AY347" i="27"/>
  <c r="AY348" i="27"/>
  <c r="AY349" i="27"/>
  <c r="AY350" i="27"/>
  <c r="AY351" i="27"/>
  <c r="AY352" i="27"/>
  <c r="AY353" i="27"/>
  <c r="AY354" i="27"/>
  <c r="AY355" i="27"/>
  <c r="AY356" i="27"/>
  <c r="AY357" i="27"/>
  <c r="AY358" i="27"/>
  <c r="AY359" i="27"/>
  <c r="AY360" i="27"/>
  <c r="AY361" i="27"/>
  <c r="AY362" i="27"/>
  <c r="AY363" i="27"/>
  <c r="AY364" i="27"/>
  <c r="AY365" i="27"/>
  <c r="AY366" i="27"/>
  <c r="AY367" i="27"/>
  <c r="AY368" i="27"/>
  <c r="AY369" i="27"/>
  <c r="AY370" i="27"/>
  <c r="AY371" i="27"/>
  <c r="AY372" i="27"/>
  <c r="AY373" i="27"/>
  <c r="AY374" i="27"/>
  <c r="AY375" i="27"/>
  <c r="AY376" i="27"/>
  <c r="AY377" i="27"/>
  <c r="AY378" i="27"/>
  <c r="AY379" i="27"/>
  <c r="AY380" i="27"/>
  <c r="AY381" i="27"/>
  <c r="AY382" i="27"/>
  <c r="AY383" i="27"/>
  <c r="AY384" i="27"/>
  <c r="AY385" i="27"/>
  <c r="AY386" i="27"/>
  <c r="AY387" i="27"/>
  <c r="AY388" i="27"/>
  <c r="AY389" i="27"/>
  <c r="AY390" i="27"/>
  <c r="AY391" i="27"/>
  <c r="AY392" i="27"/>
  <c r="AY393" i="27"/>
  <c r="AY394" i="27"/>
  <c r="AY395" i="27"/>
  <c r="AY396" i="27"/>
  <c r="AY397" i="27"/>
  <c r="AY398" i="27"/>
  <c r="AY399" i="27"/>
  <c r="AY400" i="27"/>
  <c r="AY401" i="27"/>
  <c r="AY402" i="27"/>
  <c r="AY403" i="27"/>
  <c r="AY404" i="27"/>
  <c r="AY405" i="27"/>
  <c r="AY406" i="27"/>
  <c r="AY407" i="27"/>
  <c r="AY408" i="27"/>
  <c r="AY409" i="27"/>
  <c r="AY410" i="27"/>
  <c r="AY411" i="27"/>
  <c r="AY412" i="27"/>
  <c r="AY413" i="27"/>
  <c r="AY414" i="27"/>
  <c r="AY415" i="27"/>
  <c r="AY416" i="27"/>
  <c r="AY417" i="27"/>
  <c r="AY418" i="27"/>
  <c r="AY419" i="27"/>
  <c r="AY420" i="27"/>
  <c r="AY421" i="27"/>
  <c r="AY422" i="27"/>
  <c r="AY423" i="27"/>
  <c r="AY424" i="27"/>
  <c r="AY425" i="27"/>
  <c r="AY426" i="27"/>
  <c r="AY427" i="27"/>
  <c r="AY428" i="27"/>
  <c r="AY429" i="27"/>
  <c r="AY430" i="27"/>
  <c r="AY431" i="27"/>
  <c r="AY432" i="27"/>
  <c r="AY433" i="27"/>
  <c r="AY434" i="27"/>
  <c r="AY435" i="27"/>
  <c r="AY436" i="27"/>
  <c r="AY437" i="27"/>
  <c r="AY438" i="27"/>
  <c r="AY439" i="27"/>
  <c r="AY440" i="27"/>
  <c r="AY441" i="27"/>
  <c r="AY442" i="27"/>
  <c r="AY443" i="27"/>
  <c r="AY445" i="27"/>
  <c r="AY446" i="27"/>
  <c r="AY447" i="27"/>
  <c r="AY448" i="27"/>
  <c r="AY449" i="27"/>
  <c r="AY450" i="27"/>
  <c r="AY451" i="27"/>
  <c r="AY452" i="27"/>
  <c r="AY453" i="27"/>
  <c r="AY454" i="27"/>
  <c r="AY455" i="27"/>
  <c r="AY456" i="27"/>
  <c r="AY457" i="27"/>
  <c r="AY458" i="27"/>
  <c r="AY459" i="27"/>
  <c r="AY460" i="27"/>
  <c r="AY461" i="27"/>
  <c r="AY462" i="27"/>
  <c r="AY463" i="27"/>
  <c r="AY464" i="27"/>
  <c r="AY465" i="27"/>
  <c r="AY466" i="27"/>
  <c r="AY467" i="27"/>
  <c r="AY468" i="27"/>
  <c r="AY469" i="27"/>
  <c r="AY470" i="27"/>
  <c r="AY471" i="27"/>
  <c r="AY472" i="27"/>
  <c r="AY473" i="27"/>
  <c r="AY474" i="27"/>
  <c r="AY475" i="27"/>
  <c r="AY476" i="27"/>
  <c r="AY477" i="27"/>
  <c r="AY478" i="27"/>
  <c r="AY479" i="27"/>
  <c r="AY480" i="27"/>
  <c r="AY481" i="27"/>
  <c r="AY482" i="27"/>
  <c r="AY483" i="27"/>
  <c r="AY484" i="27"/>
  <c r="AY485" i="27"/>
  <c r="AY486" i="27"/>
  <c r="AY487" i="27"/>
  <c r="AY488" i="27"/>
  <c r="AY489" i="27"/>
  <c r="AY490" i="27"/>
  <c r="AY491" i="27"/>
  <c r="AY492" i="27"/>
  <c r="AY493" i="27"/>
  <c r="AY494" i="27"/>
  <c r="AY495" i="27"/>
  <c r="AY496" i="27"/>
  <c r="AY497" i="27"/>
  <c r="AY498" i="27"/>
  <c r="AY499" i="27"/>
  <c r="AY500" i="27"/>
  <c r="AY501" i="27"/>
  <c r="AY502" i="27"/>
  <c r="AY503" i="27"/>
  <c r="AY504" i="27"/>
  <c r="AY505" i="27"/>
  <c r="AY506" i="27"/>
  <c r="AY507" i="27"/>
  <c r="AY508" i="27"/>
  <c r="AY509" i="27"/>
  <c r="AY510" i="27"/>
  <c r="AY511" i="27"/>
  <c r="AY512" i="27"/>
  <c r="AY513" i="27"/>
  <c r="AY514" i="27"/>
  <c r="AY515" i="27"/>
  <c r="AY516" i="27"/>
  <c r="AY517" i="27"/>
  <c r="AY518" i="27"/>
  <c r="AY519" i="27"/>
  <c r="AY520" i="27"/>
  <c r="AY521" i="27"/>
  <c r="AY522" i="27"/>
  <c r="AY523" i="27"/>
  <c r="AY524" i="27"/>
  <c r="AY525" i="27"/>
  <c r="AY526" i="27"/>
  <c r="AY527" i="27"/>
  <c r="AY528" i="27"/>
  <c r="AY529" i="27"/>
  <c r="AY530" i="27"/>
  <c r="AY531" i="27"/>
  <c r="AY532" i="27"/>
  <c r="AY533" i="27"/>
  <c r="AY534" i="27"/>
  <c r="AY535" i="27"/>
  <c r="AY536" i="27"/>
  <c r="AY537" i="27"/>
  <c r="AY538" i="27"/>
  <c r="AY539" i="27"/>
  <c r="AY540" i="27"/>
  <c r="AY541" i="27"/>
  <c r="AY542" i="27"/>
  <c r="AY543" i="27"/>
  <c r="AY544" i="27"/>
  <c r="AY545" i="27"/>
  <c r="AY546" i="27"/>
  <c r="AY547" i="27"/>
  <c r="AY548" i="27"/>
  <c r="AY549" i="27"/>
  <c r="AY550" i="27"/>
  <c r="AY551" i="27"/>
  <c r="AY552" i="27"/>
  <c r="AY553" i="27"/>
  <c r="AY554" i="27"/>
  <c r="AY555" i="27"/>
  <c r="AY556" i="27"/>
  <c r="AY557" i="27"/>
  <c r="AY558" i="27"/>
  <c r="AY559" i="27"/>
  <c r="AY560" i="27"/>
  <c r="AY561" i="27"/>
  <c r="AY562" i="27"/>
  <c r="AY563" i="27"/>
  <c r="AY564" i="27"/>
  <c r="AY565" i="27"/>
  <c r="AY566" i="27"/>
  <c r="AY567" i="27"/>
  <c r="AY568" i="27"/>
  <c r="AY569" i="27"/>
  <c r="AY570" i="27"/>
  <c r="AY571" i="27"/>
  <c r="AY572" i="27"/>
  <c r="AY573" i="27"/>
  <c r="AY574" i="27"/>
  <c r="AY575" i="27"/>
  <c r="AY576" i="27"/>
  <c r="AY577" i="27"/>
  <c r="AY578" i="27"/>
  <c r="AY579" i="27"/>
  <c r="AY580" i="27"/>
  <c r="AY581" i="27"/>
  <c r="AY582" i="27"/>
  <c r="AY583" i="27"/>
  <c r="AY584" i="27"/>
  <c r="AY585" i="27"/>
  <c r="AY586" i="27"/>
  <c r="AY587" i="27"/>
  <c r="AY588" i="27"/>
  <c r="AY589" i="27"/>
  <c r="AY590" i="27"/>
  <c r="AY591" i="27"/>
  <c r="AY592" i="27"/>
  <c r="AY593" i="27"/>
  <c r="AY594" i="27"/>
  <c r="AY595" i="27"/>
  <c r="AY596" i="27"/>
  <c r="AY598" i="27"/>
  <c r="AY599" i="27"/>
  <c r="AY600" i="27"/>
  <c r="AY601" i="27"/>
  <c r="AY602" i="27"/>
  <c r="AY603" i="27"/>
  <c r="AY604" i="27"/>
  <c r="AY605" i="27"/>
  <c r="AY606" i="27"/>
  <c r="AY607" i="27"/>
  <c r="AY608" i="27"/>
  <c r="AY609" i="27"/>
  <c r="AY610" i="27"/>
  <c r="AY611" i="27"/>
  <c r="AY612" i="27"/>
  <c r="AY613" i="27"/>
  <c r="AY614" i="27"/>
  <c r="AY615" i="27"/>
  <c r="AY616" i="27"/>
  <c r="AY617" i="27"/>
  <c r="AY618" i="27"/>
  <c r="AY619" i="27"/>
  <c r="AY620" i="27"/>
  <c r="AY621" i="27"/>
  <c r="AY622" i="27"/>
  <c r="AY623" i="27"/>
  <c r="AY624" i="27"/>
  <c r="AY625" i="27"/>
  <c r="AY626" i="27"/>
  <c r="AY627" i="27"/>
  <c r="AY628" i="27"/>
  <c r="AY629" i="27"/>
  <c r="AY630" i="27"/>
  <c r="AY631" i="27"/>
  <c r="AY632" i="27"/>
  <c r="AY633" i="27"/>
  <c r="AY634" i="27"/>
  <c r="AY635" i="27"/>
  <c r="AY636" i="27"/>
  <c r="AY637" i="27"/>
  <c r="AY638" i="27"/>
  <c r="AY639" i="27"/>
  <c r="AY640" i="27"/>
  <c r="AY641" i="27"/>
  <c r="AY642" i="27"/>
  <c r="AY643" i="27"/>
  <c r="AY644" i="27"/>
  <c r="AY645" i="27"/>
  <c r="AY646" i="27"/>
  <c r="AY647" i="27"/>
  <c r="AY648" i="27"/>
  <c r="AY649" i="27"/>
  <c r="AY650" i="27"/>
  <c r="AY651" i="27"/>
  <c r="AY652" i="27"/>
  <c r="AY653" i="27"/>
  <c r="AY654" i="27"/>
  <c r="AY655" i="27"/>
  <c r="AY656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09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5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321" i="27"/>
  <c r="AZ322" i="27"/>
  <c r="AZ323" i="27"/>
  <c r="AZ324" i="27"/>
  <c r="AZ325" i="27"/>
  <c r="AZ326" i="27"/>
  <c r="AZ327" i="27"/>
  <c r="AZ328" i="27"/>
  <c r="AZ329" i="27"/>
  <c r="AZ330" i="27"/>
  <c r="AZ331" i="27"/>
  <c r="AZ332" i="27"/>
  <c r="AZ333" i="27"/>
  <c r="AZ334" i="27"/>
  <c r="AZ335" i="27"/>
  <c r="AZ336" i="27"/>
  <c r="AZ337" i="27"/>
  <c r="AZ338" i="27"/>
  <c r="AZ339" i="27"/>
  <c r="AZ340" i="27"/>
  <c r="AZ341" i="27"/>
  <c r="AZ342" i="27"/>
  <c r="AZ343" i="27"/>
  <c r="AZ344" i="27"/>
  <c r="AZ345" i="27"/>
  <c r="AZ346" i="27"/>
  <c r="AZ347" i="27"/>
  <c r="AZ348" i="27"/>
  <c r="AZ349" i="27"/>
  <c r="AZ350" i="27"/>
  <c r="AZ351" i="27"/>
  <c r="AZ352" i="27"/>
  <c r="AZ353" i="27"/>
  <c r="AZ354" i="27"/>
  <c r="AZ355" i="27"/>
  <c r="AZ356" i="27"/>
  <c r="AZ357" i="27"/>
  <c r="AZ358" i="27"/>
  <c r="AZ359" i="27"/>
  <c r="AZ360" i="27"/>
  <c r="AZ361" i="27"/>
  <c r="AZ362" i="27"/>
  <c r="AZ363" i="27"/>
  <c r="AZ364" i="27"/>
  <c r="AZ365" i="27"/>
  <c r="AZ366" i="27"/>
  <c r="AZ367" i="27"/>
  <c r="AZ368" i="27"/>
  <c r="AZ369" i="27"/>
  <c r="AZ370" i="27"/>
  <c r="AZ371" i="27"/>
  <c r="AZ372" i="27"/>
  <c r="AZ373" i="27"/>
  <c r="AZ374" i="27"/>
  <c r="AZ375" i="27"/>
  <c r="AZ376" i="27"/>
  <c r="AZ377" i="27"/>
  <c r="AZ378" i="27"/>
  <c r="AZ379" i="27"/>
  <c r="AZ380" i="27"/>
  <c r="AZ381" i="27"/>
  <c r="AZ382" i="27"/>
  <c r="AZ383" i="27"/>
  <c r="AZ384" i="27"/>
  <c r="AZ385" i="27"/>
  <c r="AZ386" i="27"/>
  <c r="AZ387" i="27"/>
  <c r="AZ388" i="27"/>
  <c r="AZ389" i="27"/>
  <c r="AZ390" i="27"/>
  <c r="AZ391" i="27"/>
  <c r="AZ392" i="27"/>
  <c r="AZ393" i="27"/>
  <c r="AZ394" i="27"/>
  <c r="AZ395" i="27"/>
  <c r="AZ396" i="27"/>
  <c r="AZ397" i="27"/>
  <c r="AZ398" i="27"/>
  <c r="AZ399" i="27"/>
  <c r="AZ400" i="27"/>
  <c r="AZ401" i="27"/>
  <c r="AZ402" i="27"/>
  <c r="AZ403" i="27"/>
  <c r="AZ404" i="27"/>
  <c r="AZ405" i="27"/>
  <c r="AZ406" i="27"/>
  <c r="AZ407" i="27"/>
  <c r="AZ408" i="27"/>
  <c r="AZ409" i="27"/>
  <c r="AZ410" i="27"/>
  <c r="AZ411" i="27"/>
  <c r="AZ412" i="27"/>
  <c r="AZ413" i="27"/>
  <c r="AZ414" i="27"/>
  <c r="AZ415" i="27"/>
  <c r="AZ416" i="27"/>
  <c r="AZ417" i="27"/>
  <c r="AZ418" i="27"/>
  <c r="AZ419" i="27"/>
  <c r="AZ420" i="27"/>
  <c r="AZ421" i="27"/>
  <c r="AZ422" i="27"/>
  <c r="AZ423" i="27"/>
  <c r="AZ424" i="27"/>
  <c r="AZ425" i="27"/>
  <c r="AZ426" i="27"/>
  <c r="AZ427" i="27"/>
  <c r="AZ428" i="27"/>
  <c r="AZ429" i="27"/>
  <c r="AZ430" i="27"/>
  <c r="AZ431" i="27"/>
  <c r="AZ432" i="27"/>
  <c r="AZ433" i="27"/>
  <c r="AZ434" i="27"/>
  <c r="AZ435" i="27"/>
  <c r="AZ436" i="27"/>
  <c r="AZ437" i="27"/>
  <c r="AZ438" i="27"/>
  <c r="AZ439" i="27"/>
  <c r="AZ440" i="27"/>
  <c r="AZ441" i="27"/>
  <c r="AZ442" i="27"/>
  <c r="AZ443" i="27"/>
  <c r="AZ445" i="27"/>
  <c r="AZ446" i="27"/>
  <c r="AZ447" i="27"/>
  <c r="AZ448" i="27"/>
  <c r="AZ449" i="27"/>
  <c r="AZ450" i="27"/>
  <c r="AZ451" i="27"/>
  <c r="AZ452" i="27"/>
  <c r="AZ453" i="27"/>
  <c r="AZ454" i="27"/>
  <c r="AZ455" i="27"/>
  <c r="AZ456" i="27"/>
  <c r="AZ457" i="27"/>
  <c r="AZ458" i="27"/>
  <c r="AZ459" i="27"/>
  <c r="AZ460" i="27"/>
  <c r="AZ461" i="27"/>
  <c r="AZ462" i="27"/>
  <c r="AZ463" i="27"/>
  <c r="AZ464" i="27"/>
  <c r="AZ465" i="27"/>
  <c r="AZ466" i="27"/>
  <c r="AZ467" i="27"/>
  <c r="AZ468" i="27"/>
  <c r="AZ469" i="27"/>
  <c r="AZ470" i="27"/>
  <c r="AZ471" i="27"/>
  <c r="AZ472" i="27"/>
  <c r="AZ473" i="27"/>
  <c r="AZ474" i="27"/>
  <c r="AZ475" i="27"/>
  <c r="AZ476" i="27"/>
  <c r="AZ477" i="27"/>
  <c r="AZ478" i="27"/>
  <c r="AZ479" i="27"/>
  <c r="AZ480" i="27"/>
  <c r="AZ481" i="27"/>
  <c r="AZ482" i="27"/>
  <c r="AZ483" i="27"/>
  <c r="AZ484" i="27"/>
  <c r="AZ485" i="27"/>
  <c r="AZ486" i="27"/>
  <c r="AZ487" i="27"/>
  <c r="AZ488" i="27"/>
  <c r="AZ489" i="27"/>
  <c r="AZ490" i="27"/>
  <c r="AZ491" i="27"/>
  <c r="AZ492" i="27"/>
  <c r="AZ493" i="27"/>
  <c r="AZ494" i="27"/>
  <c r="AZ495" i="27"/>
  <c r="AZ496" i="27"/>
  <c r="AZ497" i="27"/>
  <c r="AZ498" i="27"/>
  <c r="AZ499" i="27"/>
  <c r="AZ500" i="27"/>
  <c r="AZ501" i="27"/>
  <c r="AZ502" i="27"/>
  <c r="AZ503" i="27"/>
  <c r="AZ504" i="27"/>
  <c r="AZ505" i="27"/>
  <c r="AZ506" i="27"/>
  <c r="AZ507" i="27"/>
  <c r="AZ508" i="27"/>
  <c r="AZ509" i="27"/>
  <c r="AZ510" i="27"/>
  <c r="AZ511" i="27"/>
  <c r="AZ512" i="27"/>
  <c r="AZ513" i="27"/>
  <c r="AZ514" i="27"/>
  <c r="AZ515" i="27"/>
  <c r="AZ516" i="27"/>
  <c r="AZ517" i="27"/>
  <c r="AZ518" i="27"/>
  <c r="AZ519" i="27"/>
  <c r="AZ520" i="27"/>
  <c r="AZ521" i="27"/>
  <c r="AZ522" i="27"/>
  <c r="AZ523" i="27"/>
  <c r="AZ524" i="27"/>
  <c r="AZ525" i="27"/>
  <c r="AZ526" i="27"/>
  <c r="AZ527" i="27"/>
  <c r="AZ528" i="27"/>
  <c r="AZ529" i="27"/>
  <c r="AZ530" i="27"/>
  <c r="AZ531" i="27"/>
  <c r="AZ532" i="27"/>
  <c r="AZ533" i="27"/>
  <c r="AZ534" i="27"/>
  <c r="AZ535" i="27"/>
  <c r="AZ536" i="27"/>
  <c r="AZ537" i="27"/>
  <c r="AZ538" i="27"/>
  <c r="AZ539" i="27"/>
  <c r="AZ540" i="27"/>
  <c r="AZ541" i="27"/>
  <c r="AZ542" i="27"/>
  <c r="AZ543" i="27"/>
  <c r="AZ544" i="27"/>
  <c r="AZ545" i="27"/>
  <c r="AZ546" i="27"/>
  <c r="AZ547" i="27"/>
  <c r="AZ548" i="27"/>
  <c r="AZ549" i="27"/>
  <c r="AZ550" i="27"/>
  <c r="AZ551" i="27"/>
  <c r="AZ552" i="27"/>
  <c r="AZ553" i="27"/>
  <c r="AZ554" i="27"/>
  <c r="AZ555" i="27"/>
  <c r="AZ556" i="27"/>
  <c r="AZ557" i="27"/>
  <c r="AZ558" i="27"/>
  <c r="AZ559" i="27"/>
  <c r="AZ560" i="27"/>
  <c r="AZ561" i="27"/>
  <c r="AZ562" i="27"/>
  <c r="AZ563" i="27"/>
  <c r="AZ564" i="27"/>
  <c r="AZ565" i="27"/>
  <c r="AZ566" i="27"/>
  <c r="AZ567" i="27"/>
  <c r="AZ568" i="27"/>
  <c r="AZ569" i="27"/>
  <c r="AZ570" i="27"/>
  <c r="AZ571" i="27"/>
  <c r="AZ572" i="27"/>
  <c r="AZ573" i="27"/>
  <c r="AZ574" i="27"/>
  <c r="AZ575" i="27"/>
  <c r="AZ576" i="27"/>
  <c r="AZ577" i="27"/>
  <c r="AZ578" i="27"/>
  <c r="AZ579" i="27"/>
  <c r="AZ580" i="27"/>
  <c r="AZ581" i="27"/>
  <c r="AZ582" i="27"/>
  <c r="AZ583" i="27"/>
  <c r="AZ584" i="27"/>
  <c r="AZ585" i="27"/>
  <c r="AZ586" i="27"/>
  <c r="AZ587" i="27"/>
  <c r="AZ588" i="27"/>
  <c r="AZ589" i="27"/>
  <c r="AZ590" i="27"/>
  <c r="AZ591" i="27"/>
  <c r="AZ592" i="27"/>
  <c r="AZ593" i="27"/>
  <c r="AZ594" i="27"/>
  <c r="AZ595" i="27"/>
  <c r="AZ596" i="27"/>
  <c r="AZ598" i="27"/>
  <c r="AZ599" i="27"/>
  <c r="AZ600" i="27"/>
  <c r="AZ601" i="27"/>
  <c r="AZ602" i="27"/>
  <c r="AZ603" i="27"/>
  <c r="AZ604" i="27"/>
  <c r="AZ605" i="27"/>
  <c r="AZ606" i="27"/>
  <c r="AZ607" i="27"/>
  <c r="AZ608" i="27"/>
  <c r="AZ609" i="27"/>
  <c r="AZ610" i="27"/>
  <c r="AZ611" i="27"/>
  <c r="AZ612" i="27"/>
  <c r="AZ613" i="27"/>
  <c r="AZ614" i="27"/>
  <c r="AZ615" i="27"/>
  <c r="AZ616" i="27"/>
  <c r="AZ617" i="27"/>
  <c r="AZ618" i="27"/>
  <c r="AZ619" i="27"/>
  <c r="AZ620" i="27"/>
  <c r="AZ621" i="27"/>
  <c r="AZ622" i="27"/>
  <c r="AZ623" i="27"/>
  <c r="AZ624" i="27"/>
  <c r="AZ625" i="27"/>
  <c r="AZ626" i="27"/>
  <c r="AZ627" i="27"/>
  <c r="AZ628" i="27"/>
  <c r="AZ629" i="27"/>
  <c r="AZ630" i="27"/>
  <c r="AZ631" i="27"/>
  <c r="AZ632" i="27"/>
  <c r="AZ633" i="27"/>
  <c r="AZ634" i="27"/>
  <c r="AZ635" i="27"/>
  <c r="AZ636" i="27"/>
  <c r="AZ637" i="27"/>
  <c r="AZ638" i="27"/>
  <c r="AZ639" i="27"/>
  <c r="AZ640" i="27"/>
  <c r="AZ641" i="27"/>
  <c r="AZ642" i="27"/>
  <c r="AZ643" i="27"/>
  <c r="AZ644" i="27"/>
  <c r="AZ645" i="27"/>
  <c r="AZ646" i="27"/>
  <c r="AZ647" i="27"/>
  <c r="AZ648" i="27"/>
  <c r="AZ649" i="27"/>
  <c r="AZ650" i="27"/>
  <c r="AZ651" i="27"/>
  <c r="AZ652" i="27"/>
  <c r="AZ653" i="27"/>
  <c r="AZ654" i="27"/>
  <c r="AZ655" i="27"/>
  <c r="AZ656" i="27"/>
  <c r="BB8" i="27"/>
  <c r="BB9" i="27"/>
  <c r="BB10" i="27"/>
  <c r="BB11" i="27"/>
  <c r="BB12" i="27"/>
  <c r="BB13" i="27"/>
  <c r="BB14" i="27"/>
  <c r="BB15" i="27"/>
  <c r="BB16" i="27"/>
  <c r="BB17" i="27"/>
  <c r="BB18" i="27"/>
  <c r="BB19" i="27"/>
  <c r="BB20" i="27"/>
  <c r="BB21" i="27"/>
  <c r="BB22" i="27"/>
  <c r="BB23" i="27"/>
  <c r="BB24" i="27"/>
  <c r="BB25" i="27"/>
  <c r="BB26" i="27"/>
  <c r="BB27" i="27"/>
  <c r="BB28" i="27"/>
  <c r="BB29" i="27"/>
  <c r="BB30" i="27"/>
  <c r="BB31" i="27"/>
  <c r="BB32" i="27"/>
  <c r="BB33" i="27"/>
  <c r="BB34" i="27"/>
  <c r="BB35" i="27"/>
  <c r="BB36" i="27"/>
  <c r="BB37" i="27"/>
  <c r="BB38" i="27"/>
  <c r="BB39" i="27"/>
  <c r="BB40" i="27"/>
  <c r="BB41" i="27"/>
  <c r="BB42" i="27"/>
  <c r="BB43" i="27"/>
  <c r="BB44" i="27"/>
  <c r="BB45" i="27"/>
  <c r="BB46" i="27"/>
  <c r="BB47" i="27"/>
  <c r="BB48" i="27"/>
  <c r="BB49" i="27"/>
  <c r="BB50" i="27"/>
  <c r="BB51" i="27"/>
  <c r="BB52" i="27"/>
  <c r="BB53" i="27"/>
  <c r="BB54" i="27"/>
  <c r="BB55" i="27"/>
  <c r="BB56" i="27"/>
  <c r="BB57" i="27"/>
  <c r="BB58" i="27"/>
  <c r="BB59" i="27"/>
  <c r="BB62" i="27"/>
  <c r="BB63" i="27"/>
  <c r="BB64" i="27"/>
  <c r="BB65" i="27"/>
  <c r="BB66" i="27"/>
  <c r="BB67" i="27"/>
  <c r="BB68" i="27"/>
  <c r="BB69" i="27"/>
  <c r="BB70" i="27"/>
  <c r="BB71" i="27"/>
  <c r="BB72" i="27"/>
  <c r="BB73" i="27"/>
  <c r="BB74" i="27"/>
  <c r="BB75" i="27"/>
  <c r="BB81" i="27"/>
  <c r="BB82" i="27"/>
  <c r="BB83" i="27"/>
  <c r="BB84" i="27"/>
  <c r="BB85" i="27"/>
  <c r="BB86" i="27"/>
  <c r="BB87" i="27"/>
  <c r="BB88" i="27"/>
  <c r="BB89" i="27"/>
  <c r="BB90" i="27"/>
  <c r="BB91" i="27"/>
  <c r="BB92" i="27"/>
  <c r="BB93" i="27"/>
  <c r="BB94" i="27"/>
  <c r="BB95" i="27"/>
  <c r="BB96" i="27"/>
  <c r="BB97" i="27"/>
  <c r="BB98" i="27"/>
  <c r="BB99" i="27"/>
  <c r="BB100" i="27"/>
  <c r="BB101" i="27"/>
  <c r="BB102" i="27"/>
  <c r="BB103" i="27"/>
  <c r="BB104" i="27"/>
  <c r="BB105" i="27"/>
  <c r="BB106" i="27"/>
  <c r="BB107" i="27"/>
  <c r="BB108" i="27"/>
  <c r="BB109" i="27"/>
  <c r="BB110" i="27"/>
  <c r="BB111" i="27"/>
  <c r="BB112" i="27"/>
  <c r="BB113" i="27"/>
  <c r="BB114" i="27"/>
  <c r="BB115" i="27"/>
  <c r="BB116" i="27"/>
  <c r="BB117" i="27"/>
  <c r="BB118" i="27"/>
  <c r="BB119" i="27"/>
  <c r="BB120" i="27"/>
  <c r="BB121" i="27"/>
  <c r="BB122" i="27"/>
  <c r="BB123" i="27"/>
  <c r="BB124" i="27"/>
  <c r="BB125" i="27"/>
  <c r="BB126" i="27"/>
  <c r="BB127" i="27"/>
  <c r="BB128" i="27"/>
  <c r="BB129" i="27"/>
  <c r="BB130" i="27"/>
  <c r="BB131" i="27"/>
  <c r="BB132" i="27"/>
  <c r="BB134" i="27"/>
  <c r="BB135" i="27"/>
  <c r="BB136" i="27"/>
  <c r="BB137" i="27"/>
  <c r="BB138" i="27"/>
  <c r="BB139" i="27"/>
  <c r="BB140" i="27"/>
  <c r="BB141" i="27"/>
  <c r="BB142" i="27"/>
  <c r="BB143" i="27"/>
  <c r="BB144" i="27"/>
  <c r="BB145" i="27"/>
  <c r="BB146" i="27"/>
  <c r="BB147" i="27"/>
  <c r="BB148" i="27"/>
  <c r="BB149" i="27"/>
  <c r="BB150" i="27"/>
  <c r="BB151" i="27"/>
  <c r="BB152" i="27"/>
  <c r="BB153" i="27"/>
  <c r="BB154" i="27"/>
  <c r="BB155" i="27"/>
  <c r="BB156" i="27"/>
  <c r="BB157" i="27"/>
  <c r="BB158" i="27"/>
  <c r="BB159" i="27"/>
  <c r="BB160" i="27"/>
  <c r="BB161" i="27"/>
  <c r="BB162" i="27"/>
  <c r="BB163" i="27"/>
  <c r="BB164" i="27"/>
  <c r="BB165" i="27"/>
  <c r="BB166" i="27"/>
  <c r="BB167" i="27"/>
  <c r="BB168" i="27"/>
  <c r="BB169" i="27"/>
  <c r="BB170" i="27"/>
  <c r="BB171" i="27"/>
  <c r="BB172" i="27"/>
  <c r="BB173" i="27"/>
  <c r="BB174" i="27"/>
  <c r="BB175" i="27"/>
  <c r="BB176" i="27"/>
  <c r="BB177" i="27"/>
  <c r="BB178" i="27"/>
  <c r="BB180" i="27"/>
  <c r="BB181" i="27"/>
  <c r="BB182" i="27"/>
  <c r="BB183" i="27"/>
  <c r="BB184" i="27"/>
  <c r="BB185" i="27"/>
  <c r="BB186" i="27"/>
  <c r="BB187" i="27"/>
  <c r="BB188" i="27"/>
  <c r="BB189" i="27"/>
  <c r="BB190" i="27"/>
  <c r="BB191" i="27"/>
  <c r="BB192" i="27"/>
  <c r="BB193" i="27"/>
  <c r="BB194" i="27"/>
  <c r="BB195" i="27"/>
  <c r="BB196" i="27"/>
  <c r="BB197" i="27"/>
  <c r="BB198" i="27"/>
  <c r="BB199" i="27"/>
  <c r="BB200" i="27"/>
  <c r="BB201" i="27"/>
  <c r="BB202" i="27"/>
  <c r="BB203" i="27"/>
  <c r="BB204" i="27"/>
  <c r="BB205" i="27"/>
  <c r="BB206" i="27"/>
  <c r="BB207" i="27"/>
  <c r="BB208" i="27"/>
  <c r="BB209" i="27"/>
  <c r="BB210" i="27"/>
  <c r="BB211" i="27"/>
  <c r="BB212" i="27"/>
  <c r="BB213" i="27"/>
  <c r="BB214" i="27"/>
  <c r="BB215" i="27"/>
  <c r="BB216" i="27"/>
  <c r="BB217" i="27"/>
  <c r="BB218" i="27"/>
  <c r="BB219" i="27"/>
  <c r="BB220" i="27"/>
  <c r="BB221" i="27"/>
  <c r="BB222" i="27"/>
  <c r="BB223" i="27"/>
  <c r="BB224" i="27"/>
  <c r="BB225" i="27"/>
  <c r="BB226" i="27"/>
  <c r="BB227" i="27"/>
  <c r="BB228" i="27"/>
  <c r="BB229" i="27"/>
  <c r="BB230" i="27"/>
  <c r="BB231" i="27"/>
  <c r="BB232" i="27"/>
  <c r="BB233" i="27"/>
  <c r="BB234" i="27"/>
  <c r="BB235" i="27"/>
  <c r="BB236" i="27"/>
  <c r="BB237" i="27"/>
  <c r="BB238" i="27"/>
  <c r="BB239" i="27"/>
  <c r="BB240" i="27"/>
  <c r="BB241" i="27"/>
  <c r="BB242" i="27"/>
  <c r="BB243" i="27"/>
  <c r="BB244" i="27"/>
  <c r="BB245" i="27"/>
  <c r="BB246" i="27"/>
  <c r="BB247" i="27"/>
  <c r="BB248" i="27"/>
  <c r="BB249" i="27"/>
  <c r="BB250" i="27"/>
  <c r="BB251" i="27"/>
  <c r="BB252" i="27"/>
  <c r="BB253" i="27"/>
  <c r="BB254" i="27"/>
  <c r="BB255" i="27"/>
  <c r="BB256" i="27"/>
  <c r="BB257" i="27"/>
  <c r="BB258" i="27"/>
  <c r="BB259" i="27"/>
  <c r="BB260" i="27"/>
  <c r="BB261" i="27"/>
  <c r="BB262" i="27"/>
  <c r="BB263" i="27"/>
  <c r="BB264" i="27"/>
  <c r="BB265" i="27"/>
  <c r="BB266" i="27"/>
  <c r="BB267" i="27"/>
  <c r="BB268" i="27"/>
  <c r="BB269" i="27"/>
  <c r="BB270" i="27"/>
  <c r="BB271" i="27"/>
  <c r="BB272" i="27"/>
  <c r="BB273" i="27"/>
  <c r="BB274" i="27"/>
  <c r="BB275" i="27"/>
  <c r="BB276" i="27"/>
  <c r="BB277" i="27"/>
  <c r="BB278" i="27"/>
  <c r="BB279" i="27"/>
  <c r="BB280" i="27"/>
  <c r="BB281" i="27"/>
  <c r="BB282" i="27"/>
  <c r="BB283" i="27"/>
  <c r="BB284" i="27"/>
  <c r="BB285" i="27"/>
  <c r="BB286" i="27"/>
  <c r="BB287" i="27"/>
  <c r="BB288" i="27"/>
  <c r="BB289" i="27"/>
  <c r="BB290" i="27"/>
  <c r="BB291" i="27"/>
  <c r="BB292" i="27"/>
  <c r="BB293" i="27"/>
  <c r="BB294" i="27"/>
  <c r="BB295" i="27"/>
  <c r="BB296" i="27"/>
  <c r="BB297" i="27"/>
  <c r="BB298" i="27"/>
  <c r="BB299" i="27"/>
  <c r="BB300" i="27"/>
  <c r="BB301" i="27"/>
  <c r="BB302" i="27"/>
  <c r="BB303" i="27"/>
  <c r="BB304" i="27"/>
  <c r="BB305" i="27"/>
  <c r="BB306" i="27"/>
  <c r="BB307" i="27"/>
  <c r="BB308" i="27"/>
  <c r="BB309" i="27"/>
  <c r="BB310" i="27"/>
  <c r="BB311" i="27"/>
  <c r="BB312" i="27"/>
  <c r="BB313" i="27"/>
  <c r="BB314" i="27"/>
  <c r="BB315" i="27"/>
  <c r="BB316" i="27"/>
  <c r="BB317" i="27"/>
  <c r="BB318" i="27"/>
  <c r="BB319" i="27"/>
  <c r="BB320" i="27"/>
  <c r="BB321" i="27"/>
  <c r="BB322" i="27"/>
  <c r="BB323" i="27"/>
  <c r="BB324" i="27"/>
  <c r="BB325" i="27"/>
  <c r="BB326" i="27"/>
  <c r="BB327" i="27"/>
  <c r="BB328" i="27"/>
  <c r="BB329" i="27"/>
  <c r="BB330" i="27"/>
  <c r="BB331" i="27"/>
  <c r="BB332" i="27"/>
  <c r="BB333" i="27"/>
  <c r="BB334" i="27"/>
  <c r="BB335" i="27"/>
  <c r="BB336" i="27"/>
  <c r="BB337" i="27"/>
  <c r="BB338" i="27"/>
  <c r="BB339" i="27"/>
  <c r="BB340" i="27"/>
  <c r="BB341" i="27"/>
  <c r="BB342" i="27"/>
  <c r="BB343" i="27"/>
  <c r="BB344" i="27"/>
  <c r="BB345" i="27"/>
  <c r="BB346" i="27"/>
  <c r="BB347" i="27"/>
  <c r="BB348" i="27"/>
  <c r="BB349" i="27"/>
  <c r="BB350" i="27"/>
  <c r="BB351" i="27"/>
  <c r="BB352" i="27"/>
  <c r="BB353" i="27"/>
  <c r="BB354" i="27"/>
  <c r="BB355" i="27"/>
  <c r="BB356" i="27"/>
  <c r="BB357" i="27"/>
  <c r="BB358" i="27"/>
  <c r="BB359" i="27"/>
  <c r="BB360" i="27"/>
  <c r="BB361" i="27"/>
  <c r="BB362" i="27"/>
  <c r="BB363" i="27"/>
  <c r="BB364" i="27"/>
  <c r="BB365" i="27"/>
  <c r="BB366" i="27"/>
  <c r="BB367" i="27"/>
  <c r="BB368" i="27"/>
  <c r="BB369" i="27"/>
  <c r="BB370" i="27"/>
  <c r="BB371" i="27"/>
  <c r="BB372" i="27"/>
  <c r="BB373" i="27"/>
  <c r="BB374" i="27"/>
  <c r="BB375" i="27"/>
  <c r="BB376" i="27"/>
  <c r="BB377" i="27"/>
  <c r="BB378" i="27"/>
  <c r="BB379" i="27"/>
  <c r="BB380" i="27"/>
  <c r="BB381" i="27"/>
  <c r="BB382" i="27"/>
  <c r="BB383" i="27"/>
  <c r="BB384" i="27"/>
  <c r="BB385" i="27"/>
  <c r="BB386" i="27"/>
  <c r="BB387" i="27"/>
  <c r="BB388" i="27"/>
  <c r="BB389" i="27"/>
  <c r="BB390" i="27"/>
  <c r="BB391" i="27"/>
  <c r="BB392" i="27"/>
  <c r="BB393" i="27"/>
  <c r="BB394" i="27"/>
  <c r="BB395" i="27"/>
  <c r="BB396" i="27"/>
  <c r="BB397" i="27"/>
  <c r="BB398" i="27"/>
  <c r="BB399" i="27"/>
  <c r="BB400" i="27"/>
  <c r="BB401" i="27"/>
  <c r="BB402" i="27"/>
  <c r="BB403" i="27"/>
  <c r="BB404" i="27"/>
  <c r="BB405" i="27"/>
  <c r="BB406" i="27"/>
  <c r="BB407" i="27"/>
  <c r="BB408" i="27"/>
  <c r="BB409" i="27"/>
  <c r="BB410" i="27"/>
  <c r="BB411" i="27"/>
  <c r="BB412" i="27"/>
  <c r="BB413" i="27"/>
  <c r="BB414" i="27"/>
  <c r="BB415" i="27"/>
  <c r="BB416" i="27"/>
  <c r="BB417" i="27"/>
  <c r="BB418" i="27"/>
  <c r="BB419" i="27"/>
  <c r="BB420" i="27"/>
  <c r="BB421" i="27"/>
  <c r="BB422" i="27"/>
  <c r="BB423" i="27"/>
  <c r="BB424" i="27"/>
  <c r="BB425" i="27"/>
  <c r="BB426" i="27"/>
  <c r="BB427" i="27"/>
  <c r="BB428" i="27"/>
  <c r="BB429" i="27"/>
  <c r="BB430" i="27"/>
  <c r="BB431" i="27"/>
  <c r="BB432" i="27"/>
  <c r="BB433" i="27"/>
  <c r="BB434" i="27"/>
  <c r="BB435" i="27"/>
  <c r="BB436" i="27"/>
  <c r="BB437" i="27"/>
  <c r="BB438" i="27"/>
  <c r="BB439" i="27"/>
  <c r="BB440" i="27"/>
  <c r="BB441" i="27"/>
  <c r="BB442" i="27"/>
  <c r="BB443" i="27"/>
  <c r="BB445" i="27"/>
  <c r="BB446" i="27"/>
  <c r="BB447" i="27"/>
  <c r="BB448" i="27"/>
  <c r="BB449" i="27"/>
  <c r="BB450" i="27"/>
  <c r="BB451" i="27"/>
  <c r="BB452" i="27"/>
  <c r="BB453" i="27"/>
  <c r="BB454" i="27"/>
  <c r="BB455" i="27"/>
  <c r="BB456" i="27"/>
  <c r="BB457" i="27"/>
  <c r="BB458" i="27"/>
  <c r="BB459" i="27"/>
  <c r="BB460" i="27"/>
  <c r="BB461" i="27"/>
  <c r="BB462" i="27"/>
  <c r="BB463" i="27"/>
  <c r="BB464" i="27"/>
  <c r="BB465" i="27"/>
  <c r="BB466" i="27"/>
  <c r="BB467" i="27"/>
  <c r="BB468" i="27"/>
  <c r="BB469" i="27"/>
  <c r="BB470" i="27"/>
  <c r="BB471" i="27"/>
  <c r="BB472" i="27"/>
  <c r="BB473" i="27"/>
  <c r="BB474" i="27"/>
  <c r="BB475" i="27"/>
  <c r="BB476" i="27"/>
  <c r="BB477" i="27"/>
  <c r="BB478" i="27"/>
  <c r="BB479" i="27"/>
  <c r="BB480" i="27"/>
  <c r="BB481" i="27"/>
  <c r="BB482" i="27"/>
  <c r="BB483" i="27"/>
  <c r="BB484" i="27"/>
  <c r="BB485" i="27"/>
  <c r="BB486" i="27"/>
  <c r="BB487" i="27"/>
  <c r="BB488" i="27"/>
  <c r="BB489" i="27"/>
  <c r="BB490" i="27"/>
  <c r="BB491" i="27"/>
  <c r="BB492" i="27"/>
  <c r="BB493" i="27"/>
  <c r="BB494" i="27"/>
  <c r="BB495" i="27"/>
  <c r="BB496" i="27"/>
  <c r="BB497" i="27"/>
  <c r="BB498" i="27"/>
  <c r="BB499" i="27"/>
  <c r="BB500" i="27"/>
  <c r="BB501" i="27"/>
  <c r="BB502" i="27"/>
  <c r="BB503" i="27"/>
  <c r="BB504" i="27"/>
  <c r="BB505" i="27"/>
  <c r="BB506" i="27"/>
  <c r="BB507" i="27"/>
  <c r="BB508" i="27"/>
  <c r="BB509" i="27"/>
  <c r="BB510" i="27"/>
  <c r="BB511" i="27"/>
  <c r="BB512" i="27"/>
  <c r="BB513" i="27"/>
  <c r="BB514" i="27"/>
  <c r="BB515" i="27"/>
  <c r="BB516" i="27"/>
  <c r="BB517" i="27"/>
  <c r="BB518" i="27"/>
  <c r="BB519" i="27"/>
  <c r="BB520" i="27"/>
  <c r="BB521" i="27"/>
  <c r="BB522" i="27"/>
  <c r="BB523" i="27"/>
  <c r="BB524" i="27"/>
  <c r="BB525" i="27"/>
  <c r="BB526" i="27"/>
  <c r="BB527" i="27"/>
  <c r="BB528" i="27"/>
  <c r="BB529" i="27"/>
  <c r="BB530" i="27"/>
  <c r="BB531" i="27"/>
  <c r="BB532" i="27"/>
  <c r="BB533" i="27"/>
  <c r="BB534" i="27"/>
  <c r="BB535" i="27"/>
  <c r="BB536" i="27"/>
  <c r="BB537" i="27"/>
  <c r="BB538" i="27"/>
  <c r="BB539" i="27"/>
  <c r="BB540" i="27"/>
  <c r="BB541" i="27"/>
  <c r="BB542" i="27"/>
  <c r="BB543" i="27"/>
  <c r="BB544" i="27"/>
  <c r="BB545" i="27"/>
  <c r="BB546" i="27"/>
  <c r="BB547" i="27"/>
  <c r="BB548" i="27"/>
  <c r="BB549" i="27"/>
  <c r="BB550" i="27"/>
  <c r="BB551" i="27"/>
  <c r="BB552" i="27"/>
  <c r="BB553" i="27"/>
  <c r="BB554" i="27"/>
  <c r="BB555" i="27"/>
  <c r="BB556" i="27"/>
  <c r="BB557" i="27"/>
  <c r="BB558" i="27"/>
  <c r="BB559" i="27"/>
  <c r="BB560" i="27"/>
  <c r="BB561" i="27"/>
  <c r="BB562" i="27"/>
  <c r="BB563" i="27"/>
  <c r="BB564" i="27"/>
  <c r="BB565" i="27"/>
  <c r="BB566" i="27"/>
  <c r="BB567" i="27"/>
  <c r="BB568" i="27"/>
  <c r="BB569" i="27"/>
  <c r="BB570" i="27"/>
  <c r="BB571" i="27"/>
  <c r="BB572" i="27"/>
  <c r="BB573" i="27"/>
  <c r="BB574" i="27"/>
  <c r="BB575" i="27"/>
  <c r="BB576" i="27"/>
  <c r="BB577" i="27"/>
  <c r="BB578" i="27"/>
  <c r="BB579" i="27"/>
  <c r="BB580" i="27"/>
  <c r="BB581" i="27"/>
  <c r="BB582" i="27"/>
  <c r="BB583" i="27"/>
  <c r="BB584" i="27"/>
  <c r="BB585" i="27"/>
  <c r="BB586" i="27"/>
  <c r="BB587" i="27"/>
  <c r="BB588" i="27"/>
  <c r="BB589" i="27"/>
  <c r="BB590" i="27"/>
  <c r="BB591" i="27"/>
  <c r="BB592" i="27"/>
  <c r="BB593" i="27"/>
  <c r="BB594" i="27"/>
  <c r="BB595" i="27"/>
  <c r="BB596" i="27"/>
  <c r="BB598" i="27"/>
  <c r="BB599" i="27"/>
  <c r="BB600" i="27"/>
  <c r="BB601" i="27"/>
  <c r="BB602" i="27"/>
  <c r="BB603" i="27"/>
  <c r="BB604" i="27"/>
  <c r="BB605" i="27"/>
  <c r="BB606" i="27"/>
  <c r="BB607" i="27"/>
  <c r="BB608" i="27"/>
  <c r="BB609" i="27"/>
  <c r="BB610" i="27"/>
  <c r="BB611" i="27"/>
  <c r="BB612" i="27"/>
  <c r="BB613" i="27"/>
  <c r="BB614" i="27"/>
  <c r="BB615" i="27"/>
  <c r="BB616" i="27"/>
  <c r="BB617" i="27"/>
  <c r="BB618" i="27"/>
  <c r="BB619" i="27"/>
  <c r="BB620" i="27"/>
  <c r="BB621" i="27"/>
  <c r="BB622" i="27"/>
  <c r="BB623" i="27"/>
  <c r="BB624" i="27"/>
  <c r="BB625" i="27"/>
  <c r="BB626" i="27"/>
  <c r="BB627" i="27"/>
  <c r="BB628" i="27"/>
  <c r="BB629" i="27"/>
  <c r="BB630" i="27"/>
  <c r="BB631" i="27"/>
  <c r="BB632" i="27"/>
  <c r="BB633" i="27"/>
  <c r="BB634" i="27"/>
  <c r="BB635" i="27"/>
  <c r="BB636" i="27"/>
  <c r="BB637" i="27"/>
  <c r="BB638" i="27"/>
  <c r="BB639" i="27"/>
  <c r="BB640" i="27"/>
  <c r="BB641" i="27"/>
  <c r="BB642" i="27"/>
  <c r="BB643" i="27"/>
  <c r="BB644" i="27"/>
  <c r="BB645" i="27"/>
  <c r="BB646" i="27"/>
  <c r="BB647" i="27"/>
  <c r="BB648" i="27"/>
  <c r="BB649" i="27"/>
  <c r="BB650" i="27"/>
  <c r="BB651" i="27"/>
  <c r="BB652" i="27"/>
  <c r="BB653" i="27"/>
  <c r="BB654" i="27"/>
  <c r="BB655" i="27"/>
  <c r="BB656" i="27"/>
  <c r="BC8" i="27"/>
  <c r="BC9" i="27"/>
  <c r="BC10" i="27"/>
  <c r="BC11" i="27"/>
  <c r="BC12" i="27"/>
  <c r="BC13" i="27"/>
  <c r="BC14" i="27"/>
  <c r="BC15" i="27"/>
  <c r="BC16" i="27"/>
  <c r="BC17" i="27"/>
  <c r="BC18" i="27"/>
  <c r="BC19" i="27"/>
  <c r="BC20" i="27"/>
  <c r="BC21" i="27"/>
  <c r="BC22" i="27"/>
  <c r="BC23" i="27"/>
  <c r="BC24" i="27"/>
  <c r="BC25" i="27"/>
  <c r="BC26" i="27"/>
  <c r="BC27" i="27"/>
  <c r="BC28" i="27"/>
  <c r="BC29" i="27"/>
  <c r="BC30" i="27"/>
  <c r="BC31" i="27"/>
  <c r="BC32" i="27"/>
  <c r="BC33" i="27"/>
  <c r="BC34" i="27"/>
  <c r="BC35" i="27"/>
  <c r="BC36" i="27"/>
  <c r="BC37" i="27"/>
  <c r="BC38" i="27"/>
  <c r="BC39" i="27"/>
  <c r="BC40" i="27"/>
  <c r="BC41" i="27"/>
  <c r="BC42" i="27"/>
  <c r="BC43" i="27"/>
  <c r="BC44" i="27"/>
  <c r="BC45" i="27"/>
  <c r="BC46" i="27"/>
  <c r="BC47" i="27"/>
  <c r="BC48" i="27"/>
  <c r="BC49" i="27"/>
  <c r="BC50" i="27"/>
  <c r="BC51" i="27"/>
  <c r="BC52" i="27"/>
  <c r="BC53" i="27"/>
  <c r="BC54" i="27"/>
  <c r="BC55" i="27"/>
  <c r="BC56" i="27"/>
  <c r="BC57" i="27"/>
  <c r="BC58" i="27"/>
  <c r="BC59" i="27"/>
  <c r="BC62" i="27"/>
  <c r="BC63" i="27"/>
  <c r="BC64" i="27"/>
  <c r="BC65" i="27"/>
  <c r="BC66" i="27"/>
  <c r="BC67" i="27"/>
  <c r="BC68" i="27"/>
  <c r="BC69" i="27"/>
  <c r="BC70" i="27"/>
  <c r="BC71" i="27"/>
  <c r="BC72" i="27"/>
  <c r="BC73" i="27"/>
  <c r="BC74" i="27"/>
  <c r="BC75" i="27"/>
  <c r="BC81" i="27"/>
  <c r="BC82" i="27"/>
  <c r="BC83" i="27"/>
  <c r="BC84" i="27"/>
  <c r="BC85" i="27"/>
  <c r="BC86" i="27"/>
  <c r="BC87" i="27"/>
  <c r="BC88" i="27"/>
  <c r="BC89" i="27"/>
  <c r="BC90" i="27"/>
  <c r="BC91" i="27"/>
  <c r="BC92" i="27"/>
  <c r="BC93" i="27"/>
  <c r="BC94" i="27"/>
  <c r="BC95" i="27"/>
  <c r="BC96" i="27"/>
  <c r="BC97" i="27"/>
  <c r="BC98" i="27"/>
  <c r="BC99" i="27"/>
  <c r="BC100" i="27"/>
  <c r="BC101" i="27"/>
  <c r="BC102" i="27"/>
  <c r="BC103" i="27"/>
  <c r="BC104" i="27"/>
  <c r="BC105" i="27"/>
  <c r="BC106" i="27"/>
  <c r="BC107" i="27"/>
  <c r="BC108" i="27"/>
  <c r="BC109" i="27"/>
  <c r="BC110" i="27"/>
  <c r="BC111" i="27"/>
  <c r="BC112" i="27"/>
  <c r="BC113" i="27"/>
  <c r="BC114" i="27"/>
  <c r="BC115" i="27"/>
  <c r="BC116" i="27"/>
  <c r="BC117" i="27"/>
  <c r="BC118" i="27"/>
  <c r="BC119" i="27"/>
  <c r="BC120" i="27"/>
  <c r="BC121" i="27"/>
  <c r="BC122" i="27"/>
  <c r="BC123" i="27"/>
  <c r="BC124" i="27"/>
  <c r="BC125" i="27"/>
  <c r="BC126" i="27"/>
  <c r="BC127" i="27"/>
  <c r="BC128" i="27"/>
  <c r="BC129" i="27"/>
  <c r="BC130" i="27"/>
  <c r="BC131" i="27"/>
  <c r="BC132" i="27"/>
  <c r="BC134" i="27"/>
  <c r="BC135" i="27"/>
  <c r="BC136" i="27"/>
  <c r="BC137" i="27"/>
  <c r="BC138" i="27"/>
  <c r="BC139" i="27"/>
  <c r="BC140" i="27"/>
  <c r="BC141" i="27"/>
  <c r="BC142" i="27"/>
  <c r="BC143" i="27"/>
  <c r="BC144" i="27"/>
  <c r="BC145" i="27"/>
  <c r="BC146" i="27"/>
  <c r="BC147" i="27"/>
  <c r="BC148" i="27"/>
  <c r="BC149" i="27"/>
  <c r="BC150" i="27"/>
  <c r="BC151" i="27"/>
  <c r="BC152" i="27"/>
  <c r="BC153" i="27"/>
  <c r="BC154" i="27"/>
  <c r="BC155" i="27"/>
  <c r="BC156" i="27"/>
  <c r="BC157" i="27"/>
  <c r="BC158" i="27"/>
  <c r="BC159" i="27"/>
  <c r="BC160" i="27"/>
  <c r="BC161" i="27"/>
  <c r="BC162" i="27"/>
  <c r="BC163" i="27"/>
  <c r="BC164" i="27"/>
  <c r="BC165" i="27"/>
  <c r="BC166" i="27"/>
  <c r="BC167" i="27"/>
  <c r="BC168" i="27"/>
  <c r="BC169" i="27"/>
  <c r="BC170" i="27"/>
  <c r="BC171" i="27"/>
  <c r="BC172" i="27"/>
  <c r="BC173" i="27"/>
  <c r="BC174" i="27"/>
  <c r="BC175" i="27"/>
  <c r="BC176" i="27"/>
  <c r="BC177" i="27"/>
  <c r="BC178" i="27"/>
  <c r="BC180" i="27"/>
  <c r="BC181" i="27"/>
  <c r="BC182" i="27"/>
  <c r="BC183" i="27"/>
  <c r="BC184" i="27"/>
  <c r="BC185" i="27"/>
  <c r="BC186" i="27"/>
  <c r="BC187" i="27"/>
  <c r="BC188" i="27"/>
  <c r="BC189" i="27"/>
  <c r="BC190" i="27"/>
  <c r="BC191" i="27"/>
  <c r="BC192" i="27"/>
  <c r="BC193" i="27"/>
  <c r="BC194" i="27"/>
  <c r="BC195" i="27"/>
  <c r="BC196" i="27"/>
  <c r="BC197" i="27"/>
  <c r="BC198" i="27"/>
  <c r="BC199" i="27"/>
  <c r="BC200" i="27"/>
  <c r="BC201" i="27"/>
  <c r="BC202" i="27"/>
  <c r="BC203" i="27"/>
  <c r="BC204" i="27"/>
  <c r="BC205" i="27"/>
  <c r="BC206" i="27"/>
  <c r="BC207" i="27"/>
  <c r="BC208" i="27"/>
  <c r="BC209" i="27"/>
  <c r="BC210" i="27"/>
  <c r="BC211" i="27"/>
  <c r="BC212" i="27"/>
  <c r="BC213" i="27"/>
  <c r="BC214" i="27"/>
  <c r="BC215" i="27"/>
  <c r="BC216" i="27"/>
  <c r="BC217" i="27"/>
  <c r="BC218" i="27"/>
  <c r="BC219" i="27"/>
  <c r="BC220" i="27"/>
  <c r="BC221" i="27"/>
  <c r="BC222" i="27"/>
  <c r="BC223" i="27"/>
  <c r="BC224" i="27"/>
  <c r="BC225" i="27"/>
  <c r="BC226" i="27"/>
  <c r="BC227" i="27"/>
  <c r="BC228" i="27"/>
  <c r="BC229" i="27"/>
  <c r="BC230" i="27"/>
  <c r="BC231" i="27"/>
  <c r="BC232" i="27"/>
  <c r="BC233" i="27"/>
  <c r="BC234" i="27"/>
  <c r="BC235" i="27"/>
  <c r="BC236" i="27"/>
  <c r="BC237" i="27"/>
  <c r="BC238" i="27"/>
  <c r="BC239" i="27"/>
  <c r="BC240" i="27"/>
  <c r="BC241" i="27"/>
  <c r="BC242" i="27"/>
  <c r="BC243" i="27"/>
  <c r="BC244" i="27"/>
  <c r="BC245" i="27"/>
  <c r="BC246" i="27"/>
  <c r="BC247" i="27"/>
  <c r="BC248" i="27"/>
  <c r="BC249" i="27"/>
  <c r="BC250" i="27"/>
  <c r="BC251" i="27"/>
  <c r="BC252" i="27"/>
  <c r="BC253" i="27"/>
  <c r="BC254" i="27"/>
  <c r="BC255" i="27"/>
  <c r="BC256" i="27"/>
  <c r="BC257" i="27"/>
  <c r="BC258" i="27"/>
  <c r="BC259" i="27"/>
  <c r="BC260" i="27"/>
  <c r="BC261" i="27"/>
  <c r="BC262" i="27"/>
  <c r="BC263" i="27"/>
  <c r="BC264" i="27"/>
  <c r="BC265" i="27"/>
  <c r="BC266" i="27"/>
  <c r="BC267" i="27"/>
  <c r="BC268" i="27"/>
  <c r="BC269" i="27"/>
  <c r="BC270" i="27"/>
  <c r="BC271" i="27"/>
  <c r="BC272" i="27"/>
  <c r="BC273" i="27"/>
  <c r="BC274" i="27"/>
  <c r="BC275" i="27"/>
  <c r="BC276" i="27"/>
  <c r="BC277" i="27"/>
  <c r="BC278" i="27"/>
  <c r="BC279" i="27"/>
  <c r="BC280" i="27"/>
  <c r="BC281" i="27"/>
  <c r="BC282" i="27"/>
  <c r="BC283" i="27"/>
  <c r="BC284" i="27"/>
  <c r="BC285" i="27"/>
  <c r="BC286" i="27"/>
  <c r="BC287" i="27"/>
  <c r="BC288" i="27"/>
  <c r="BC289" i="27"/>
  <c r="BC290" i="27"/>
  <c r="BC291" i="27"/>
  <c r="BC292" i="27"/>
  <c r="BC293" i="27"/>
  <c r="BC294" i="27"/>
  <c r="BC295" i="27"/>
  <c r="BC296" i="27"/>
  <c r="BC297" i="27"/>
  <c r="BC298" i="27"/>
  <c r="BC299" i="27"/>
  <c r="BC300" i="27"/>
  <c r="BC301" i="27"/>
  <c r="BC302" i="27"/>
  <c r="BC303" i="27"/>
  <c r="BC304" i="27"/>
  <c r="BC305" i="27"/>
  <c r="BC306" i="27"/>
  <c r="BC307" i="27"/>
  <c r="BC308" i="27"/>
  <c r="BC309" i="27"/>
  <c r="BC310" i="27"/>
  <c r="BC311" i="27"/>
  <c r="BC312" i="27"/>
  <c r="BC313" i="27"/>
  <c r="BC314" i="27"/>
  <c r="BC315" i="27"/>
  <c r="BC316" i="27"/>
  <c r="BC317" i="27"/>
  <c r="BC318" i="27"/>
  <c r="BC319" i="27"/>
  <c r="BC320" i="27"/>
  <c r="BC321" i="27"/>
  <c r="BC322" i="27"/>
  <c r="BC323" i="27"/>
  <c r="BC324" i="27"/>
  <c r="BC325" i="27"/>
  <c r="BC326" i="27"/>
  <c r="BC327" i="27"/>
  <c r="BC328" i="27"/>
  <c r="BC329" i="27"/>
  <c r="BC330" i="27"/>
  <c r="BC331" i="27"/>
  <c r="BC332" i="27"/>
  <c r="BC333" i="27"/>
  <c r="BC334" i="27"/>
  <c r="BC335" i="27"/>
  <c r="BC336" i="27"/>
  <c r="BC337" i="27"/>
  <c r="BC338" i="27"/>
  <c r="BC339" i="27"/>
  <c r="BC340" i="27"/>
  <c r="BC341" i="27"/>
  <c r="BC342" i="27"/>
  <c r="BC343" i="27"/>
  <c r="BC344" i="27"/>
  <c r="BC345" i="27"/>
  <c r="BC346" i="27"/>
  <c r="BC347" i="27"/>
  <c r="BC348" i="27"/>
  <c r="BC349" i="27"/>
  <c r="BC350" i="27"/>
  <c r="BC351" i="27"/>
  <c r="BC352" i="27"/>
  <c r="BC353" i="27"/>
  <c r="BC354" i="27"/>
  <c r="BC355" i="27"/>
  <c r="BC356" i="27"/>
  <c r="BC357" i="27"/>
  <c r="BC358" i="27"/>
  <c r="BC359" i="27"/>
  <c r="BC360" i="27"/>
  <c r="BC361" i="27"/>
  <c r="BC362" i="27"/>
  <c r="BC363" i="27"/>
  <c r="BC364" i="27"/>
  <c r="BC365" i="27"/>
  <c r="BC366" i="27"/>
  <c r="BC367" i="27"/>
  <c r="BC368" i="27"/>
  <c r="BC369" i="27"/>
  <c r="BC370" i="27"/>
  <c r="BC371" i="27"/>
  <c r="BC372" i="27"/>
  <c r="BC373" i="27"/>
  <c r="BC374" i="27"/>
  <c r="BC375" i="27"/>
  <c r="BC376" i="27"/>
  <c r="BC377" i="27"/>
  <c r="BC378" i="27"/>
  <c r="BC379" i="27"/>
  <c r="BC380" i="27"/>
  <c r="BC381" i="27"/>
  <c r="BC382" i="27"/>
  <c r="BC383" i="27"/>
  <c r="BC384" i="27"/>
  <c r="BC385" i="27"/>
  <c r="BC386" i="27"/>
  <c r="BC387" i="27"/>
  <c r="BC388" i="27"/>
  <c r="BC389" i="27"/>
  <c r="BC390" i="27"/>
  <c r="BC391" i="27"/>
  <c r="BC392" i="27"/>
  <c r="BC393" i="27"/>
  <c r="BC394" i="27"/>
  <c r="BC395" i="27"/>
  <c r="BC396" i="27"/>
  <c r="BC397" i="27"/>
  <c r="BC398" i="27"/>
  <c r="BC399" i="27"/>
  <c r="BC400" i="27"/>
  <c r="BC401" i="27"/>
  <c r="BC402" i="27"/>
  <c r="BC403" i="27"/>
  <c r="BC404" i="27"/>
  <c r="BC405" i="27"/>
  <c r="BC406" i="27"/>
  <c r="BC407" i="27"/>
  <c r="BC408" i="27"/>
  <c r="BC409" i="27"/>
  <c r="BC410" i="27"/>
  <c r="BC411" i="27"/>
  <c r="BC412" i="27"/>
  <c r="BC413" i="27"/>
  <c r="BC414" i="27"/>
  <c r="BC415" i="27"/>
  <c r="BC416" i="27"/>
  <c r="BC417" i="27"/>
  <c r="BC418" i="27"/>
  <c r="BC419" i="27"/>
  <c r="BC420" i="27"/>
  <c r="BC421" i="27"/>
  <c r="BC422" i="27"/>
  <c r="BC423" i="27"/>
  <c r="BC424" i="27"/>
  <c r="BC425" i="27"/>
  <c r="BC426" i="27"/>
  <c r="BC427" i="27"/>
  <c r="BC428" i="27"/>
  <c r="BC429" i="27"/>
  <c r="BC430" i="27"/>
  <c r="BC431" i="27"/>
  <c r="BC432" i="27"/>
  <c r="BC433" i="27"/>
  <c r="BC434" i="27"/>
  <c r="BC435" i="27"/>
  <c r="BC436" i="27"/>
  <c r="BC437" i="27"/>
  <c r="BC438" i="27"/>
  <c r="BC439" i="27"/>
  <c r="BC440" i="27"/>
  <c r="BC441" i="27"/>
  <c r="BC442" i="27"/>
  <c r="BC443" i="27"/>
  <c r="BC445" i="27"/>
  <c r="BC446" i="27"/>
  <c r="BC447" i="27"/>
  <c r="BC448" i="27"/>
  <c r="BC449" i="27"/>
  <c r="BC450" i="27"/>
  <c r="BC451" i="27"/>
  <c r="BC452" i="27"/>
  <c r="BC453" i="27"/>
  <c r="BC454" i="27"/>
  <c r="BC455" i="27"/>
  <c r="BC456" i="27"/>
  <c r="BC457" i="27"/>
  <c r="BC458" i="27"/>
  <c r="BC459" i="27"/>
  <c r="BC460" i="27"/>
  <c r="BC461" i="27"/>
  <c r="BC462" i="27"/>
  <c r="BC463" i="27"/>
  <c r="BC464" i="27"/>
  <c r="BC465" i="27"/>
  <c r="BC466" i="27"/>
  <c r="BC467" i="27"/>
  <c r="BC468" i="27"/>
  <c r="BC469" i="27"/>
  <c r="BC470" i="27"/>
  <c r="BC471" i="27"/>
  <c r="BC472" i="27"/>
  <c r="BC473" i="27"/>
  <c r="BC474" i="27"/>
  <c r="BC475" i="27"/>
  <c r="BC476" i="27"/>
  <c r="BC477" i="27"/>
  <c r="BC478" i="27"/>
  <c r="BC479" i="27"/>
  <c r="BC480" i="27"/>
  <c r="BC481" i="27"/>
  <c r="BC482" i="27"/>
  <c r="BC483" i="27"/>
  <c r="BC484" i="27"/>
  <c r="BC485" i="27"/>
  <c r="BC486" i="27"/>
  <c r="BC487" i="27"/>
  <c r="BC488" i="27"/>
  <c r="BC489" i="27"/>
  <c r="BC490" i="27"/>
  <c r="BC491" i="27"/>
  <c r="BC492" i="27"/>
  <c r="BC493" i="27"/>
  <c r="BC494" i="27"/>
  <c r="BC495" i="27"/>
  <c r="BC496" i="27"/>
  <c r="BC497" i="27"/>
  <c r="BC498" i="27"/>
  <c r="BC499" i="27"/>
  <c r="BC500" i="27"/>
  <c r="BC501" i="27"/>
  <c r="BC502" i="27"/>
  <c r="BC503" i="27"/>
  <c r="BC504" i="27"/>
  <c r="BC505" i="27"/>
  <c r="BC506" i="27"/>
  <c r="BC507" i="27"/>
  <c r="BC508" i="27"/>
  <c r="BC509" i="27"/>
  <c r="BC510" i="27"/>
  <c r="BC511" i="27"/>
  <c r="BC512" i="27"/>
  <c r="BC513" i="27"/>
  <c r="BC514" i="27"/>
  <c r="BC515" i="27"/>
  <c r="BC516" i="27"/>
  <c r="BC517" i="27"/>
  <c r="BC518" i="27"/>
  <c r="BC519" i="27"/>
  <c r="BC520" i="27"/>
  <c r="BC521" i="27"/>
  <c r="BC522" i="27"/>
  <c r="BC523" i="27"/>
  <c r="BC524" i="27"/>
  <c r="BC525" i="27"/>
  <c r="BC526" i="27"/>
  <c r="BC527" i="27"/>
  <c r="BC528" i="27"/>
  <c r="BC529" i="27"/>
  <c r="BC530" i="27"/>
  <c r="BC531" i="27"/>
  <c r="BC532" i="27"/>
  <c r="BC533" i="27"/>
  <c r="BC534" i="27"/>
  <c r="BC535" i="27"/>
  <c r="BC536" i="27"/>
  <c r="BC537" i="27"/>
  <c r="BC538" i="27"/>
  <c r="BC539" i="27"/>
  <c r="BC540" i="27"/>
  <c r="BC541" i="27"/>
  <c r="BC542" i="27"/>
  <c r="BC543" i="27"/>
  <c r="BC544" i="27"/>
  <c r="BC545" i="27"/>
  <c r="BC546" i="27"/>
  <c r="BC547" i="27"/>
  <c r="BC548" i="27"/>
  <c r="BC549" i="27"/>
  <c r="BC550" i="27"/>
  <c r="BC551" i="27"/>
  <c r="BC552" i="27"/>
  <c r="BC553" i="27"/>
  <c r="BC554" i="27"/>
  <c r="BC555" i="27"/>
  <c r="BC556" i="27"/>
  <c r="BC557" i="27"/>
  <c r="BC558" i="27"/>
  <c r="BC559" i="27"/>
  <c r="BC560" i="27"/>
  <c r="BC561" i="27"/>
  <c r="BC562" i="27"/>
  <c r="BC563" i="27"/>
  <c r="BC564" i="27"/>
  <c r="BC565" i="27"/>
  <c r="BC566" i="27"/>
  <c r="BC567" i="27"/>
  <c r="BC568" i="27"/>
  <c r="BC569" i="27"/>
  <c r="BC570" i="27"/>
  <c r="BC571" i="27"/>
  <c r="BC572" i="27"/>
  <c r="BC573" i="27"/>
  <c r="BC574" i="27"/>
  <c r="BC575" i="27"/>
  <c r="BC576" i="27"/>
  <c r="BC577" i="27"/>
  <c r="BC578" i="27"/>
  <c r="BC579" i="27"/>
  <c r="BC580" i="27"/>
  <c r="BC581" i="27"/>
  <c r="BC582" i="27"/>
  <c r="BC583" i="27"/>
  <c r="BC584" i="27"/>
  <c r="BC585" i="27"/>
  <c r="BC586" i="27"/>
  <c r="BC587" i="27"/>
  <c r="BC588" i="27"/>
  <c r="BC589" i="27"/>
  <c r="BC590" i="27"/>
  <c r="BC591" i="27"/>
  <c r="BC592" i="27"/>
  <c r="BC593" i="27"/>
  <c r="BC594" i="27"/>
  <c r="BC595" i="27"/>
  <c r="BC596" i="27"/>
  <c r="BC598" i="27"/>
  <c r="BC599" i="27"/>
  <c r="BC600" i="27"/>
  <c r="BC601" i="27"/>
  <c r="BC602" i="27"/>
  <c r="BC603" i="27"/>
  <c r="BC604" i="27"/>
  <c r="BC605" i="27"/>
  <c r="BC606" i="27"/>
  <c r="BC607" i="27"/>
  <c r="BC608" i="27"/>
  <c r="BC609" i="27"/>
  <c r="BC610" i="27"/>
  <c r="BC611" i="27"/>
  <c r="BC612" i="27"/>
  <c r="BC613" i="27"/>
  <c r="BC614" i="27"/>
  <c r="BC615" i="27"/>
  <c r="BC616" i="27"/>
  <c r="BC617" i="27"/>
  <c r="BC618" i="27"/>
  <c r="BC619" i="27"/>
  <c r="BC620" i="27"/>
  <c r="BC621" i="27"/>
  <c r="BC622" i="27"/>
  <c r="BC623" i="27"/>
  <c r="BC624" i="27"/>
  <c r="BC625" i="27"/>
  <c r="BC626" i="27"/>
  <c r="BC627" i="27"/>
  <c r="BC628" i="27"/>
  <c r="BC629" i="27"/>
  <c r="BC630" i="27"/>
  <c r="BC631" i="27"/>
  <c r="BC632" i="27"/>
  <c r="BC633" i="27"/>
  <c r="BC634" i="27"/>
  <c r="BC635" i="27"/>
  <c r="BC636" i="27"/>
  <c r="BC637" i="27"/>
  <c r="BC638" i="27"/>
  <c r="BC639" i="27"/>
  <c r="BC640" i="27"/>
  <c r="BC641" i="27"/>
  <c r="BC642" i="27"/>
  <c r="BC643" i="27"/>
  <c r="BC644" i="27"/>
  <c r="BC645" i="27"/>
  <c r="BC646" i="27"/>
  <c r="BC647" i="27"/>
  <c r="BC648" i="27"/>
  <c r="BC649" i="27"/>
  <c r="BC650" i="27"/>
  <c r="BC651" i="27"/>
  <c r="BC652" i="27"/>
  <c r="BC653" i="27"/>
  <c r="BC654" i="27"/>
  <c r="BC655" i="27"/>
  <c r="BC656" i="27"/>
  <c r="BF8" i="27"/>
  <c r="BF24" i="27"/>
  <c r="BF40" i="27"/>
  <c r="BF41" i="27"/>
  <c r="BF48" i="27"/>
  <c r="BF56" i="27"/>
  <c r="BF66" i="27"/>
  <c r="BF74" i="27"/>
  <c r="BF95" i="27"/>
  <c r="BF111" i="27"/>
  <c r="BF119" i="27"/>
  <c r="BF120" i="27"/>
  <c r="BF127" i="27"/>
  <c r="BF128" i="27"/>
  <c r="BF136" i="27"/>
  <c r="BF144" i="27"/>
  <c r="BF160" i="27"/>
  <c r="BF176" i="27"/>
  <c r="BF177" i="27"/>
  <c r="BF185" i="27"/>
  <c r="BF193" i="27"/>
  <c r="BF197" i="27"/>
  <c r="BF201" i="27"/>
  <c r="BF202" i="27"/>
  <c r="BF209" i="27"/>
  <c r="BF217" i="27"/>
  <c r="BF225" i="27"/>
  <c r="BF241" i="27"/>
  <c r="BF257" i="27"/>
  <c r="BF258" i="27"/>
  <c r="BF265" i="27"/>
  <c r="BF273" i="27"/>
  <c r="BF281" i="27"/>
  <c r="BF289" i="27"/>
  <c r="BF305" i="27"/>
  <c r="BF306" i="27"/>
  <c r="BF321" i="27"/>
  <c r="BF329" i="27"/>
  <c r="BF330" i="27"/>
  <c r="BF337" i="27"/>
  <c r="BF345" i="27"/>
  <c r="BF353" i="27"/>
  <c r="BF369" i="27"/>
  <c r="BF385" i="27"/>
  <c r="BF386" i="27"/>
  <c r="BF393" i="27"/>
  <c r="BF394" i="27"/>
  <c r="BF401" i="27"/>
  <c r="BF406" i="27"/>
  <c r="BF409" i="27"/>
  <c r="BF410" i="27"/>
  <c r="BF417" i="27"/>
  <c r="BF433" i="27"/>
  <c r="BF434" i="27"/>
  <c r="BF450" i="27"/>
  <c r="BF458" i="27"/>
  <c r="BF466" i="27"/>
  <c r="BF467" i="27"/>
  <c r="BF482" i="27"/>
  <c r="BF483" i="27"/>
  <c r="BF498" i="27"/>
  <c r="BF503" i="27"/>
  <c r="BF506" i="27"/>
  <c r="BF507" i="27"/>
  <c r="BF514" i="27"/>
  <c r="BF522" i="27"/>
  <c r="BF530" i="27"/>
  <c r="BF531" i="27"/>
  <c r="BF538" i="27"/>
  <c r="BF546" i="27"/>
  <c r="BF562" i="27"/>
  <c r="BF563" i="27"/>
  <c r="BF578" i="27"/>
  <c r="BF579" i="27"/>
  <c r="BF586" i="27"/>
  <c r="BF587" i="27"/>
  <c r="BF594" i="27"/>
  <c r="BF603" i="27"/>
  <c r="BF649" i="27"/>
  <c r="BG8" i="27"/>
  <c r="BG20" i="27"/>
  <c r="BG24" i="27"/>
  <c r="BG32" i="27"/>
  <c r="BG40" i="27"/>
  <c r="BG48" i="27"/>
  <c r="BG56" i="27"/>
  <c r="BG74" i="27"/>
  <c r="BG75" i="27"/>
  <c r="BG95" i="27"/>
  <c r="BG103" i="27"/>
  <c r="BG104" i="27"/>
  <c r="BG111" i="27"/>
  <c r="BG112" i="27"/>
  <c r="BG119" i="27"/>
  <c r="BG127" i="27"/>
  <c r="BG128" i="27"/>
  <c r="BG144" i="27"/>
  <c r="BG149" i="27"/>
  <c r="BG152" i="27"/>
  <c r="BG160" i="27"/>
  <c r="BG161" i="27"/>
  <c r="BG168" i="27"/>
  <c r="BG169" i="27"/>
  <c r="BG176" i="27"/>
  <c r="BG177" i="27"/>
  <c r="BG193" i="27"/>
  <c r="BG209" i="27"/>
  <c r="BG217" i="27"/>
  <c r="BG225" i="27"/>
  <c r="BG233" i="27"/>
  <c r="BG241" i="27"/>
  <c r="BG257" i="27"/>
  <c r="BG258" i="27"/>
  <c r="BG265" i="27"/>
  <c r="BG266" i="27"/>
  <c r="BG273" i="27"/>
  <c r="BG278" i="27"/>
  <c r="BG281" i="27"/>
  <c r="BG282" i="27"/>
  <c r="BG285" i="27"/>
  <c r="BG289" i="27"/>
  <c r="BG305" i="27"/>
  <c r="BG321" i="27"/>
  <c r="BG337" i="27"/>
  <c r="BG345" i="27"/>
  <c r="BG353" i="27"/>
  <c r="BG354" i="27"/>
  <c r="BG361" i="27"/>
  <c r="BG369" i="27"/>
  <c r="BG385" i="27"/>
  <c r="BG401" i="27"/>
  <c r="BG402" i="27"/>
  <c r="BG409" i="27"/>
  <c r="BG410" i="27"/>
  <c r="BG417" i="27"/>
  <c r="BG425" i="27"/>
  <c r="BG433" i="27"/>
  <c r="BG434" i="27"/>
  <c r="BG450" i="27"/>
  <c r="BG451" i="27"/>
  <c r="BG466" i="27"/>
  <c r="BG474" i="27"/>
  <c r="BG475" i="27"/>
  <c r="BG482" i="27"/>
  <c r="BG490" i="27"/>
  <c r="BG491" i="27"/>
  <c r="BG498" i="27"/>
  <c r="BG514" i="27"/>
  <c r="BG530" i="27"/>
  <c r="BG535" i="27"/>
  <c r="BG538" i="27"/>
  <c r="BG546" i="27"/>
  <c r="BG554" i="27"/>
  <c r="BG555" i="27"/>
  <c r="BG562" i="27"/>
  <c r="BG578" i="27"/>
  <c r="BG579" i="27"/>
  <c r="BG594" i="27"/>
  <c r="BG627" i="27"/>
  <c r="BH8" i="27"/>
  <c r="BH16" i="27"/>
  <c r="BH24" i="27"/>
  <c r="BH40" i="27"/>
  <c r="BH41" i="27"/>
  <c r="BH48" i="27"/>
  <c r="BH56" i="27"/>
  <c r="BH66" i="27"/>
  <c r="BH74" i="27"/>
  <c r="BH75" i="27"/>
  <c r="BH87" i="27"/>
  <c r="BH95" i="27"/>
  <c r="BH96" i="27"/>
  <c r="BH111" i="27"/>
  <c r="BH116" i="27"/>
  <c r="BH119" i="27"/>
  <c r="BH127" i="27"/>
  <c r="BH128" i="27"/>
  <c r="BH136" i="27"/>
  <c r="BH144" i="27"/>
  <c r="BH145" i="27"/>
  <c r="BH160" i="27"/>
  <c r="BH176" i="27"/>
  <c r="BH185" i="27"/>
  <c r="BH186" i="27"/>
  <c r="BH193" i="27"/>
  <c r="BH201" i="27"/>
  <c r="BH209" i="27"/>
  <c r="BH210" i="27"/>
  <c r="BH225" i="27"/>
  <c r="BH226" i="27"/>
  <c r="BH241" i="27"/>
  <c r="BH246" i="27"/>
  <c r="BH249" i="27"/>
  <c r="BH250" i="27"/>
  <c r="BH257" i="27"/>
  <c r="BH265" i="27"/>
  <c r="BH266" i="27"/>
  <c r="BH273" i="27"/>
  <c r="BH274" i="27"/>
  <c r="BH289" i="27"/>
  <c r="BH305" i="27"/>
  <c r="BH313" i="27"/>
  <c r="BH321" i="27"/>
  <c r="BH322" i="27"/>
  <c r="BH329" i="27"/>
  <c r="BH337" i="27"/>
  <c r="BH345" i="27"/>
  <c r="BH353" i="27"/>
  <c r="BH369" i="27"/>
  <c r="BH378" i="27"/>
  <c r="BH381" i="27"/>
  <c r="BH385" i="27"/>
  <c r="BH393" i="27"/>
  <c r="BH394" i="27"/>
  <c r="BH401" i="27"/>
  <c r="BH402" i="27"/>
  <c r="BH409" i="27"/>
  <c r="BH417" i="27"/>
  <c r="BH433" i="27"/>
  <c r="BH450" i="27"/>
  <c r="BH451" i="27"/>
  <c r="BH458" i="27"/>
  <c r="BH463" i="27"/>
  <c r="BH466" i="27"/>
  <c r="BH474" i="27"/>
  <c r="BH475" i="27"/>
  <c r="BH482" i="27"/>
  <c r="BH483" i="27"/>
  <c r="BH498" i="27"/>
  <c r="BH499" i="27"/>
  <c r="BH514" i="27"/>
  <c r="BH522" i="27"/>
  <c r="BH530" i="27"/>
  <c r="BH538" i="27"/>
  <c r="BH546" i="27"/>
  <c r="BH547" i="27"/>
  <c r="BH562" i="27"/>
  <c r="BH578" i="27"/>
  <c r="BH587" i="27"/>
  <c r="BH594" i="27"/>
  <c r="BH595" i="27"/>
  <c r="BH599" i="27"/>
  <c r="BH600" i="27"/>
  <c r="BH649" i="27"/>
  <c r="BI8" i="27"/>
  <c r="BI9" i="27"/>
  <c r="BI24" i="27"/>
  <c r="BI32" i="27"/>
  <c r="BI40" i="27"/>
  <c r="BI41" i="27"/>
  <c r="BI48" i="27"/>
  <c r="BI56" i="27"/>
  <c r="BI74" i="27"/>
  <c r="BI75" i="27"/>
  <c r="BI87" i="27"/>
  <c r="BI88" i="27"/>
  <c r="BI95" i="27"/>
  <c r="BI96" i="27"/>
  <c r="BI100" i="27"/>
  <c r="BI103" i="27"/>
  <c r="BI111" i="27"/>
  <c r="BI127" i="27"/>
  <c r="BI128" i="27"/>
  <c r="BI144" i="27"/>
  <c r="BI145" i="27"/>
  <c r="BI152" i="27"/>
  <c r="BI153" i="27"/>
  <c r="BI160" i="27"/>
  <c r="BI176" i="27"/>
  <c r="BI177" i="27"/>
  <c r="BI193" i="27"/>
  <c r="BI194" i="27"/>
  <c r="BI201" i="27"/>
  <c r="BI209" i="27"/>
  <c r="BI217" i="27"/>
  <c r="BI218" i="27"/>
  <c r="BI225" i="27"/>
  <c r="BI241" i="27"/>
  <c r="BI257" i="27"/>
  <c r="BI265" i="27"/>
  <c r="BI273" i="27"/>
  <c r="BI274" i="27"/>
  <c r="BI281" i="27"/>
  <c r="BI289" i="27"/>
  <c r="BI305" i="27"/>
  <c r="BI321" i="27"/>
  <c r="BI322" i="27"/>
  <c r="BI329" i="27"/>
  <c r="BI330" i="27"/>
  <c r="BI337" i="27"/>
  <c r="BI345" i="27"/>
  <c r="BI346" i="27"/>
  <c r="BI349" i="27"/>
  <c r="BI353" i="27"/>
  <c r="BI354" i="27"/>
  <c r="BI369" i="27"/>
  <c r="BI370" i="27"/>
  <c r="BI374" i="27"/>
  <c r="BI385" i="27"/>
  <c r="BI393" i="27"/>
  <c r="BI401" i="27"/>
  <c r="BI409" i="27"/>
  <c r="BI410" i="27"/>
  <c r="BI417" i="27"/>
  <c r="BI433" i="27"/>
  <c r="BI450" i="27"/>
  <c r="BI459" i="27"/>
  <c r="BI466" i="27"/>
  <c r="BI474" i="27"/>
  <c r="BI482" i="27"/>
  <c r="BI483" i="27"/>
  <c r="BI490" i="27"/>
  <c r="BI498" i="27"/>
  <c r="BI499" i="27"/>
  <c r="BI514" i="27"/>
  <c r="BI522" i="27"/>
  <c r="BI523" i="27"/>
  <c r="BI526" i="27"/>
  <c r="BI527" i="27"/>
  <c r="BI530" i="27"/>
  <c r="BI531" i="27"/>
  <c r="BI538" i="27"/>
  <c r="BI546" i="27"/>
  <c r="BI547" i="27"/>
  <c r="BI562" i="27"/>
  <c r="BI578" i="27"/>
  <c r="BI586" i="27"/>
  <c r="BI594" i="27"/>
  <c r="BI603" i="27"/>
  <c r="BI604" i="27"/>
  <c r="BI627" i="27"/>
  <c r="BI645" i="27"/>
  <c r="BI649" i="27"/>
  <c r="BI656" i="27"/>
  <c r="BK8" i="27"/>
  <c r="BK9" i="27"/>
  <c r="BK17" i="27"/>
  <c r="BK24" i="27"/>
  <c r="BK32" i="27"/>
  <c r="BK40" i="27"/>
  <c r="BK41" i="27"/>
  <c r="BK44" i="27"/>
  <c r="BK56" i="27"/>
  <c r="BK74" i="27"/>
  <c r="BK75" i="27"/>
  <c r="BK83" i="27"/>
  <c r="BK87" i="27"/>
  <c r="BK88" i="27"/>
  <c r="BK95" i="27"/>
  <c r="BK96" i="27"/>
  <c r="BK103" i="27"/>
  <c r="BK104" i="27"/>
  <c r="BK111" i="27"/>
  <c r="BK127" i="27"/>
  <c r="BK128" i="27"/>
  <c r="BK144" i="27"/>
  <c r="BK145" i="27"/>
  <c r="BK152" i="27"/>
  <c r="BK160" i="27"/>
  <c r="BK168" i="27"/>
  <c r="BK169" i="27"/>
  <c r="BK176" i="27"/>
  <c r="BK177" i="27"/>
  <c r="BK193" i="27"/>
  <c r="BK194" i="27"/>
  <c r="BK198" i="27"/>
  <c r="BK209" i="27"/>
  <c r="BK217" i="27"/>
  <c r="BK225" i="27"/>
  <c r="BK226" i="27"/>
  <c r="BK241" i="27"/>
  <c r="BK242" i="27"/>
  <c r="BK257" i="27"/>
  <c r="BK265" i="27"/>
  <c r="BK266" i="27"/>
  <c r="BK269" i="27"/>
  <c r="BK273" i="27"/>
  <c r="BK277" i="27"/>
  <c r="BK281" i="27"/>
  <c r="BK289" i="27"/>
  <c r="BK290" i="27"/>
  <c r="BK305" i="27"/>
  <c r="BK321" i="27"/>
  <c r="BK326" i="27"/>
  <c r="BK329" i="27"/>
  <c r="BK330" i="27"/>
  <c r="BK337" i="27"/>
  <c r="BK345" i="27"/>
  <c r="BK353" i="27"/>
  <c r="BK369" i="27"/>
  <c r="BK370" i="27"/>
  <c r="BK377" i="27"/>
  <c r="BK385" i="27"/>
  <c r="BK393" i="27"/>
  <c r="BK401" i="27"/>
  <c r="BK417" i="27"/>
  <c r="BK418" i="27"/>
  <c r="BK433" i="27"/>
  <c r="BK441" i="27"/>
  <c r="BK442" i="27"/>
  <c r="BK450" i="27"/>
  <c r="BK451" i="27"/>
  <c r="BK458" i="27"/>
  <c r="BK466" i="27"/>
  <c r="BK467" i="27"/>
  <c r="BK482" i="27"/>
  <c r="BK498" i="27"/>
  <c r="BK514" i="27"/>
  <c r="BK515" i="27"/>
  <c r="BK522" i="27"/>
  <c r="BK523" i="27"/>
  <c r="BK527" i="27"/>
  <c r="BK530" i="27"/>
  <c r="BK538" i="27"/>
  <c r="BK539" i="27"/>
  <c r="BK546" i="27"/>
  <c r="BK562" i="27"/>
  <c r="BK578" i="27"/>
  <c r="BK586" i="27"/>
  <c r="BK594" i="27"/>
  <c r="BK603" i="27"/>
  <c r="BK637" i="27"/>
  <c r="BK649" i="27"/>
  <c r="BK610" i="27" l="1"/>
  <c r="BG618" i="27"/>
  <c r="BF646" i="27"/>
  <c r="BG634" i="27"/>
  <c r="BI641" i="27"/>
  <c r="BG656" i="27"/>
  <c r="BG21" i="27"/>
  <c r="BK656" i="27"/>
  <c r="BF656" i="27"/>
  <c r="BH190" i="27"/>
  <c r="BG173" i="27"/>
  <c r="BK641" i="27"/>
  <c r="BG641" i="27"/>
  <c r="BF641" i="27"/>
  <c r="BG626" i="27"/>
  <c r="BG610" i="27"/>
  <c r="BH626" i="27"/>
  <c r="BH610" i="27"/>
  <c r="BF626" i="27"/>
  <c r="BF610" i="27"/>
  <c r="BI626" i="27"/>
  <c r="A542" i="27"/>
  <c r="N542" i="27"/>
  <c r="O542" i="27" s="1"/>
  <c r="A413" i="27"/>
  <c r="N413" i="27"/>
  <c r="O413" i="27" s="1"/>
  <c r="A301" i="27"/>
  <c r="N301" i="27"/>
  <c r="O301" i="27" s="1"/>
  <c r="A172" i="27"/>
  <c r="N172" i="27"/>
  <c r="O172" i="27" s="1"/>
  <c r="A36" i="27"/>
  <c r="N36" i="27"/>
  <c r="O36" i="27" s="1"/>
  <c r="A651" i="27"/>
  <c r="N651" i="27"/>
  <c r="O651" i="27" s="1"/>
  <c r="A636" i="27"/>
  <c r="N636" i="27"/>
  <c r="O636" i="27" s="1"/>
  <c r="A621" i="27"/>
  <c r="N621" i="27"/>
  <c r="O621" i="27" s="1"/>
  <c r="A605" i="27"/>
  <c r="N605" i="27"/>
  <c r="O605" i="27" s="1"/>
  <c r="A589" i="27"/>
  <c r="N589" i="27"/>
  <c r="O589" i="27" s="1"/>
  <c r="A573" i="27"/>
  <c r="N573" i="27"/>
  <c r="O573" i="27" s="1"/>
  <c r="A557" i="27"/>
  <c r="N557" i="27"/>
  <c r="O557" i="27" s="1"/>
  <c r="A541" i="27"/>
  <c r="N541" i="27"/>
  <c r="O541" i="27" s="1"/>
  <c r="A525" i="27"/>
  <c r="N525" i="27"/>
  <c r="O525" i="27" s="1"/>
  <c r="A509" i="27"/>
  <c r="N509" i="27"/>
  <c r="O509" i="27" s="1"/>
  <c r="A493" i="27"/>
  <c r="N493" i="27"/>
  <c r="O493" i="27" s="1"/>
  <c r="A477" i="27"/>
  <c r="N477" i="27"/>
  <c r="O477" i="27" s="1"/>
  <c r="A461" i="27"/>
  <c r="N461" i="27"/>
  <c r="O461" i="27" s="1"/>
  <c r="A445" i="27"/>
  <c r="N445" i="27"/>
  <c r="O445" i="27" s="1"/>
  <c r="A428" i="27"/>
  <c r="N428" i="27"/>
  <c r="O428" i="27" s="1"/>
  <c r="A412" i="27"/>
  <c r="N412" i="27"/>
  <c r="O412" i="27" s="1"/>
  <c r="A396" i="27"/>
  <c r="N396" i="27"/>
  <c r="O396" i="27" s="1"/>
  <c r="A380" i="27"/>
  <c r="N380" i="27"/>
  <c r="O380" i="27" s="1"/>
  <c r="A364" i="27"/>
  <c r="N364" i="27"/>
  <c r="O364" i="27" s="1"/>
  <c r="A348" i="27"/>
  <c r="N348" i="27"/>
  <c r="O348" i="27" s="1"/>
  <c r="A332" i="27"/>
  <c r="N332" i="27"/>
  <c r="O332" i="27" s="1"/>
  <c r="A316" i="27"/>
  <c r="N316" i="27"/>
  <c r="O316" i="27" s="1"/>
  <c r="A300" i="27"/>
  <c r="N300" i="27"/>
  <c r="O300" i="27" s="1"/>
  <c r="A284" i="27"/>
  <c r="N284" i="27"/>
  <c r="O284" i="27" s="1"/>
  <c r="A268" i="27"/>
  <c r="N268" i="27"/>
  <c r="O268" i="27" s="1"/>
  <c r="A252" i="27"/>
  <c r="N252" i="27"/>
  <c r="O252" i="27" s="1"/>
  <c r="A236" i="27"/>
  <c r="N236" i="27"/>
  <c r="O236" i="27" s="1"/>
  <c r="A220" i="27"/>
  <c r="N220" i="27"/>
  <c r="O220" i="27" s="1"/>
  <c r="A204" i="27"/>
  <c r="N204" i="27"/>
  <c r="O204" i="27" s="1"/>
  <c r="A188" i="27"/>
  <c r="N188" i="27"/>
  <c r="O188" i="27" s="1"/>
  <c r="A171" i="27"/>
  <c r="N171" i="27"/>
  <c r="O171" i="27" s="1"/>
  <c r="A155" i="27"/>
  <c r="N155" i="27"/>
  <c r="O155" i="27" s="1"/>
  <c r="A139" i="27"/>
  <c r="N139" i="27"/>
  <c r="O139" i="27" s="1"/>
  <c r="A122" i="27"/>
  <c r="N122" i="27"/>
  <c r="O122" i="27" s="1"/>
  <c r="A106" i="27"/>
  <c r="N106" i="27"/>
  <c r="O106" i="27" s="1"/>
  <c r="A90" i="27"/>
  <c r="N90" i="27"/>
  <c r="O90" i="27" s="1"/>
  <c r="A69" i="27"/>
  <c r="N69" i="27"/>
  <c r="O69" i="27" s="1"/>
  <c r="A51" i="27"/>
  <c r="N51" i="27"/>
  <c r="O51" i="27" s="1"/>
  <c r="A35" i="27"/>
  <c r="N35" i="27"/>
  <c r="O35" i="27" s="1"/>
  <c r="A19" i="27"/>
  <c r="N19" i="27"/>
  <c r="O19" i="27" s="1"/>
  <c r="A558" i="27"/>
  <c r="N558" i="27"/>
  <c r="O558" i="27" s="1"/>
  <c r="A446" i="27"/>
  <c r="N446" i="27"/>
  <c r="O446" i="27" s="1"/>
  <c r="A317" i="27"/>
  <c r="N317" i="27"/>
  <c r="O317" i="27" s="1"/>
  <c r="A189" i="27"/>
  <c r="N189" i="27"/>
  <c r="O189" i="27" s="1"/>
  <c r="A52" i="27"/>
  <c r="N52" i="27"/>
  <c r="O52" i="27" s="1"/>
  <c r="A604" i="27"/>
  <c r="N604" i="27"/>
  <c r="O604" i="27" s="1"/>
  <c r="A588" i="27"/>
  <c r="N588" i="27"/>
  <c r="O588" i="27" s="1"/>
  <c r="A572" i="27"/>
  <c r="N572" i="27"/>
  <c r="O572" i="27" s="1"/>
  <c r="A331" i="27"/>
  <c r="N331" i="27"/>
  <c r="O331" i="27" s="1"/>
  <c r="A267" i="27"/>
  <c r="N267" i="27"/>
  <c r="O267" i="27" s="1"/>
  <c r="A138" i="27"/>
  <c r="N138" i="27"/>
  <c r="O138" i="27" s="1"/>
  <c r="A68" i="27"/>
  <c r="N68" i="27"/>
  <c r="O68" i="27" s="1"/>
  <c r="A650" i="27"/>
  <c r="N650" i="27"/>
  <c r="O650" i="27" s="1"/>
  <c r="A619" i="27"/>
  <c r="N619" i="27"/>
  <c r="O619" i="27" s="1"/>
  <c r="A603" i="27"/>
  <c r="N603" i="27"/>
  <c r="O603" i="27" s="1"/>
  <c r="A571" i="27"/>
  <c r="N571" i="27"/>
  <c r="O571" i="27" s="1"/>
  <c r="A555" i="27"/>
  <c r="N555" i="27"/>
  <c r="O555" i="27" s="1"/>
  <c r="A539" i="27"/>
  <c r="N539" i="27"/>
  <c r="O539" i="27" s="1"/>
  <c r="A523" i="27"/>
  <c r="N523" i="27"/>
  <c r="O523" i="27" s="1"/>
  <c r="A507" i="27"/>
  <c r="N507" i="27"/>
  <c r="O507" i="27" s="1"/>
  <c r="A491" i="27"/>
  <c r="N491" i="27"/>
  <c r="O491" i="27" s="1"/>
  <c r="A475" i="27"/>
  <c r="N475" i="27"/>
  <c r="O475" i="27" s="1"/>
  <c r="A442" i="27"/>
  <c r="N442" i="27"/>
  <c r="O442" i="27" s="1"/>
  <c r="A426" i="27"/>
  <c r="N426" i="27"/>
  <c r="O426" i="27" s="1"/>
  <c r="A410" i="27"/>
  <c r="N410" i="27"/>
  <c r="O410" i="27" s="1"/>
  <c r="A378" i="27"/>
  <c r="N378" i="27"/>
  <c r="O378" i="27" s="1"/>
  <c r="A362" i="27"/>
  <c r="N362" i="27"/>
  <c r="O362" i="27" s="1"/>
  <c r="A330" i="27"/>
  <c r="N330" i="27"/>
  <c r="O330" i="27" s="1"/>
  <c r="A314" i="27"/>
  <c r="N314" i="27"/>
  <c r="O314" i="27" s="1"/>
  <c r="A282" i="27"/>
  <c r="N282" i="27"/>
  <c r="O282" i="27" s="1"/>
  <c r="A250" i="27"/>
  <c r="N250" i="27"/>
  <c r="O250" i="27" s="1"/>
  <c r="A234" i="27"/>
  <c r="N234" i="27"/>
  <c r="O234" i="27" s="1"/>
  <c r="A218" i="27"/>
  <c r="N218" i="27"/>
  <c r="O218" i="27" s="1"/>
  <c r="A202" i="27"/>
  <c r="N202" i="27"/>
  <c r="O202" i="27" s="1"/>
  <c r="A186" i="27"/>
  <c r="N186" i="27"/>
  <c r="O186" i="27" s="1"/>
  <c r="A169" i="27"/>
  <c r="N169" i="27"/>
  <c r="O169" i="27" s="1"/>
  <c r="A153" i="27"/>
  <c r="N153" i="27"/>
  <c r="O153" i="27" s="1"/>
  <c r="A137" i="27"/>
  <c r="N137" i="27"/>
  <c r="O137" i="27" s="1"/>
  <c r="A104" i="27"/>
  <c r="N104" i="27"/>
  <c r="O104" i="27" s="1"/>
  <c r="A88" i="27"/>
  <c r="N88" i="27"/>
  <c r="O88" i="27" s="1"/>
  <c r="A49" i="27"/>
  <c r="N49" i="27"/>
  <c r="O49" i="27" s="1"/>
  <c r="A33" i="27"/>
  <c r="N33" i="27"/>
  <c r="O33" i="27" s="1"/>
  <c r="A17" i="27"/>
  <c r="N17" i="27"/>
  <c r="O17" i="27" s="1"/>
  <c r="A649" i="27"/>
  <c r="N649" i="27"/>
  <c r="O649" i="27" s="1"/>
  <c r="A634" i="27"/>
  <c r="N634" i="27"/>
  <c r="O634" i="27" s="1"/>
  <c r="M618" i="27"/>
  <c r="N618" i="27"/>
  <c r="O618" i="27" s="1"/>
  <c r="A586" i="27"/>
  <c r="N586" i="27"/>
  <c r="O586" i="27" s="1"/>
  <c r="A570" i="27"/>
  <c r="N570" i="27"/>
  <c r="O570" i="27" s="1"/>
  <c r="A554" i="27"/>
  <c r="N554" i="27"/>
  <c r="O554" i="27" s="1"/>
  <c r="A538" i="27"/>
  <c r="N538" i="27"/>
  <c r="O538" i="27" s="1"/>
  <c r="A522" i="27"/>
  <c r="N522" i="27"/>
  <c r="O522" i="27" s="1"/>
  <c r="A506" i="27"/>
  <c r="N506" i="27"/>
  <c r="O506" i="27" s="1"/>
  <c r="A490" i="27"/>
  <c r="N490" i="27"/>
  <c r="O490" i="27" s="1"/>
  <c r="A474" i="27"/>
  <c r="N474" i="27"/>
  <c r="O474" i="27" s="1"/>
  <c r="A458" i="27"/>
  <c r="N458" i="27"/>
  <c r="O458" i="27" s="1"/>
  <c r="A441" i="27"/>
  <c r="N441" i="27"/>
  <c r="O441" i="27" s="1"/>
  <c r="A425" i="27"/>
  <c r="N425" i="27"/>
  <c r="O425" i="27" s="1"/>
  <c r="A409" i="27"/>
  <c r="N409" i="27"/>
  <c r="O409" i="27" s="1"/>
  <c r="A393" i="27"/>
  <c r="N393" i="27"/>
  <c r="O393" i="27" s="1"/>
  <c r="A377" i="27"/>
  <c r="N377" i="27"/>
  <c r="O377" i="27" s="1"/>
  <c r="A361" i="27"/>
  <c r="N361" i="27"/>
  <c r="O361" i="27" s="1"/>
  <c r="A345" i="27"/>
  <c r="N345" i="27"/>
  <c r="O345" i="27" s="1"/>
  <c r="A329" i="27"/>
  <c r="N329" i="27"/>
  <c r="O329" i="27" s="1"/>
  <c r="A313" i="27"/>
  <c r="N313" i="27"/>
  <c r="O313" i="27" s="1"/>
  <c r="A297" i="27"/>
  <c r="N297" i="27"/>
  <c r="O297" i="27" s="1"/>
  <c r="A281" i="27"/>
  <c r="N281" i="27"/>
  <c r="O281" i="27" s="1"/>
  <c r="A265" i="27"/>
  <c r="N265" i="27"/>
  <c r="O265" i="27" s="1"/>
  <c r="A249" i="27"/>
  <c r="N249" i="27"/>
  <c r="O249" i="27" s="1"/>
  <c r="A233" i="27"/>
  <c r="N233" i="27"/>
  <c r="O233" i="27" s="1"/>
  <c r="A217" i="27"/>
  <c r="N217" i="27"/>
  <c r="O217" i="27" s="1"/>
  <c r="A201" i="27"/>
  <c r="N201" i="27"/>
  <c r="O201" i="27" s="1"/>
  <c r="A185" i="27"/>
  <c r="N185" i="27"/>
  <c r="O185" i="27" s="1"/>
  <c r="A168" i="27"/>
  <c r="N168" i="27"/>
  <c r="O168" i="27" s="1"/>
  <c r="A152" i="27"/>
  <c r="N152" i="27"/>
  <c r="O152" i="27" s="1"/>
  <c r="A136" i="27"/>
  <c r="N136" i="27"/>
  <c r="O136" i="27" s="1"/>
  <c r="A119" i="27"/>
  <c r="N119" i="27"/>
  <c r="O119" i="27" s="1"/>
  <c r="A103" i="27"/>
  <c r="N103" i="27"/>
  <c r="O103" i="27" s="1"/>
  <c r="A87" i="27"/>
  <c r="N87" i="27"/>
  <c r="O87" i="27" s="1"/>
  <c r="A66" i="27"/>
  <c r="N66" i="27"/>
  <c r="O66" i="27" s="1"/>
  <c r="A48" i="27"/>
  <c r="N48" i="27"/>
  <c r="O48" i="27" s="1"/>
  <c r="A32" i="27"/>
  <c r="N32" i="27"/>
  <c r="O32" i="27" s="1"/>
  <c r="A16" i="27"/>
  <c r="N16" i="27"/>
  <c r="O16" i="27" s="1"/>
  <c r="A648" i="27"/>
  <c r="N648" i="27"/>
  <c r="O648" i="27" s="1"/>
  <c r="A633" i="27"/>
  <c r="N633" i="27"/>
  <c r="O633" i="27" s="1"/>
  <c r="A617" i="27"/>
  <c r="N617" i="27"/>
  <c r="O617" i="27" s="1"/>
  <c r="A602" i="27"/>
  <c r="N602" i="27"/>
  <c r="O602" i="27" s="1"/>
  <c r="A585" i="27"/>
  <c r="N585" i="27"/>
  <c r="O585" i="27" s="1"/>
  <c r="A569" i="27"/>
  <c r="N569" i="27"/>
  <c r="O569" i="27" s="1"/>
  <c r="A553" i="27"/>
  <c r="N553" i="27"/>
  <c r="O553" i="27" s="1"/>
  <c r="A537" i="27"/>
  <c r="N537" i="27"/>
  <c r="O537" i="27" s="1"/>
  <c r="A521" i="27"/>
  <c r="N521" i="27"/>
  <c r="O521" i="27" s="1"/>
  <c r="A505" i="27"/>
  <c r="N505" i="27"/>
  <c r="O505" i="27" s="1"/>
  <c r="A489" i="27"/>
  <c r="N489" i="27"/>
  <c r="O489" i="27" s="1"/>
  <c r="A473" i="27"/>
  <c r="N473" i="27"/>
  <c r="O473" i="27" s="1"/>
  <c r="A457" i="27"/>
  <c r="N457" i="27"/>
  <c r="O457" i="27" s="1"/>
  <c r="A440" i="27"/>
  <c r="N440" i="27"/>
  <c r="O440" i="27" s="1"/>
  <c r="A424" i="27"/>
  <c r="N424" i="27"/>
  <c r="O424" i="27" s="1"/>
  <c r="A408" i="27"/>
  <c r="N408" i="27"/>
  <c r="O408" i="27" s="1"/>
  <c r="A392" i="27"/>
  <c r="N392" i="27"/>
  <c r="O392" i="27" s="1"/>
  <c r="A376" i="27"/>
  <c r="N376" i="27"/>
  <c r="O376" i="27" s="1"/>
  <c r="A360" i="27"/>
  <c r="N360" i="27"/>
  <c r="O360" i="27" s="1"/>
  <c r="A344" i="27"/>
  <c r="N344" i="27"/>
  <c r="O344" i="27" s="1"/>
  <c r="A328" i="27"/>
  <c r="N328" i="27"/>
  <c r="O328" i="27" s="1"/>
  <c r="A312" i="27"/>
  <c r="N312" i="27"/>
  <c r="O312" i="27" s="1"/>
  <c r="A296" i="27"/>
  <c r="N296" i="27"/>
  <c r="O296" i="27" s="1"/>
  <c r="A280" i="27"/>
  <c r="N280" i="27"/>
  <c r="O280" i="27" s="1"/>
  <c r="A264" i="27"/>
  <c r="N264" i="27"/>
  <c r="O264" i="27" s="1"/>
  <c r="A248" i="27"/>
  <c r="N248" i="27"/>
  <c r="O248" i="27" s="1"/>
  <c r="A232" i="27"/>
  <c r="N232" i="27"/>
  <c r="O232" i="27" s="1"/>
  <c r="A216" i="27"/>
  <c r="N216" i="27"/>
  <c r="O216" i="27" s="1"/>
  <c r="A200" i="27"/>
  <c r="N200" i="27"/>
  <c r="O200" i="27" s="1"/>
  <c r="A184" i="27"/>
  <c r="N184" i="27"/>
  <c r="O184" i="27" s="1"/>
  <c r="A167" i="27"/>
  <c r="N167" i="27"/>
  <c r="O167" i="27" s="1"/>
  <c r="A151" i="27"/>
  <c r="N151" i="27"/>
  <c r="O151" i="27" s="1"/>
  <c r="A135" i="27"/>
  <c r="N135" i="27"/>
  <c r="O135" i="27" s="1"/>
  <c r="A118" i="27"/>
  <c r="N118" i="27"/>
  <c r="O118" i="27" s="1"/>
  <c r="A102" i="27"/>
  <c r="N102" i="27"/>
  <c r="O102" i="27" s="1"/>
  <c r="A86" i="27"/>
  <c r="N86" i="27"/>
  <c r="O86" i="27" s="1"/>
  <c r="A65" i="27"/>
  <c r="N65" i="27"/>
  <c r="O65" i="27" s="1"/>
  <c r="A47" i="27"/>
  <c r="N47" i="27"/>
  <c r="O47" i="27" s="1"/>
  <c r="A31" i="27"/>
  <c r="N31" i="27"/>
  <c r="O31" i="27" s="1"/>
  <c r="A15" i="27"/>
  <c r="N15" i="27"/>
  <c r="O15" i="27" s="1"/>
  <c r="A647" i="27"/>
  <c r="N647" i="27"/>
  <c r="O647" i="27" s="1"/>
  <c r="A632" i="27"/>
  <c r="N632" i="27"/>
  <c r="O632" i="27" s="1"/>
  <c r="A616" i="27"/>
  <c r="N616" i="27"/>
  <c r="O616" i="27" s="1"/>
  <c r="A601" i="27"/>
  <c r="N601" i="27"/>
  <c r="O601" i="27" s="1"/>
  <c r="A584" i="27"/>
  <c r="N584" i="27"/>
  <c r="O584" i="27" s="1"/>
  <c r="A568" i="27"/>
  <c r="N568" i="27"/>
  <c r="O568" i="27" s="1"/>
  <c r="A552" i="27"/>
  <c r="N552" i="27"/>
  <c r="O552" i="27" s="1"/>
  <c r="A536" i="27"/>
  <c r="N536" i="27"/>
  <c r="O536" i="27" s="1"/>
  <c r="A520" i="27"/>
  <c r="N520" i="27"/>
  <c r="O520" i="27" s="1"/>
  <c r="A504" i="27"/>
  <c r="N504" i="27"/>
  <c r="O504" i="27" s="1"/>
  <c r="A488" i="27"/>
  <c r="N488" i="27"/>
  <c r="O488" i="27" s="1"/>
  <c r="A472" i="27"/>
  <c r="N472" i="27"/>
  <c r="O472" i="27" s="1"/>
  <c r="A456" i="27"/>
  <c r="N456" i="27"/>
  <c r="O456" i="27" s="1"/>
  <c r="A439" i="27"/>
  <c r="N439" i="27"/>
  <c r="O439" i="27" s="1"/>
  <c r="A423" i="27"/>
  <c r="N423" i="27"/>
  <c r="O423" i="27" s="1"/>
  <c r="A407" i="27"/>
  <c r="N407" i="27"/>
  <c r="O407" i="27" s="1"/>
  <c r="A391" i="27"/>
  <c r="N391" i="27"/>
  <c r="O391" i="27" s="1"/>
  <c r="A375" i="27"/>
  <c r="N375" i="27"/>
  <c r="O375" i="27" s="1"/>
  <c r="A359" i="27"/>
  <c r="N359" i="27"/>
  <c r="O359" i="27" s="1"/>
  <c r="A343" i="27"/>
  <c r="N343" i="27"/>
  <c r="O343" i="27" s="1"/>
  <c r="A327" i="27"/>
  <c r="N327" i="27"/>
  <c r="O327" i="27" s="1"/>
  <c r="A311" i="27"/>
  <c r="N311" i="27"/>
  <c r="O311" i="27" s="1"/>
  <c r="A295" i="27"/>
  <c r="N295" i="27"/>
  <c r="O295" i="27" s="1"/>
  <c r="A279" i="27"/>
  <c r="N279" i="27"/>
  <c r="O279" i="27" s="1"/>
  <c r="A263" i="27"/>
  <c r="N263" i="27"/>
  <c r="O263" i="27" s="1"/>
  <c r="A247" i="27"/>
  <c r="N247" i="27"/>
  <c r="O247" i="27" s="1"/>
  <c r="A231" i="27"/>
  <c r="N231" i="27"/>
  <c r="O231" i="27" s="1"/>
  <c r="A215" i="27"/>
  <c r="N215" i="27"/>
  <c r="O215" i="27" s="1"/>
  <c r="A199" i="27"/>
  <c r="N199" i="27"/>
  <c r="O199" i="27" s="1"/>
  <c r="A183" i="27"/>
  <c r="N183" i="27"/>
  <c r="O183" i="27" s="1"/>
  <c r="A166" i="27"/>
  <c r="N166" i="27"/>
  <c r="O166" i="27" s="1"/>
  <c r="A150" i="27"/>
  <c r="N150" i="27"/>
  <c r="O150" i="27" s="1"/>
  <c r="A134" i="27"/>
  <c r="N134" i="27"/>
  <c r="O134" i="27" s="1"/>
  <c r="A117" i="27"/>
  <c r="N117" i="27"/>
  <c r="O117" i="27" s="1"/>
  <c r="A101" i="27"/>
  <c r="N101" i="27"/>
  <c r="O101" i="27" s="1"/>
  <c r="A85" i="27"/>
  <c r="N85" i="27"/>
  <c r="O85" i="27" s="1"/>
  <c r="A64" i="27"/>
  <c r="N64" i="27"/>
  <c r="O64" i="27" s="1"/>
  <c r="A46" i="27"/>
  <c r="N46" i="27"/>
  <c r="O46" i="27" s="1"/>
  <c r="A30" i="27"/>
  <c r="N30" i="27"/>
  <c r="O30" i="27" s="1"/>
  <c r="A14" i="27"/>
  <c r="N14" i="27"/>
  <c r="O14" i="27" s="1"/>
  <c r="A606" i="27"/>
  <c r="N606" i="27"/>
  <c r="O606" i="27" s="1"/>
  <c r="A462" i="27"/>
  <c r="N462" i="27"/>
  <c r="O462" i="27" s="1"/>
  <c r="A333" i="27"/>
  <c r="N333" i="27"/>
  <c r="O333" i="27" s="1"/>
  <c r="A205" i="27"/>
  <c r="N205" i="27"/>
  <c r="O205" i="27" s="1"/>
  <c r="A70" i="27"/>
  <c r="N70" i="27"/>
  <c r="O70" i="27" s="1"/>
  <c r="A646" i="27"/>
  <c r="N646" i="27"/>
  <c r="O646" i="27" s="1"/>
  <c r="A631" i="27"/>
  <c r="N631" i="27"/>
  <c r="O631" i="27" s="1"/>
  <c r="A615" i="27"/>
  <c r="N615" i="27"/>
  <c r="O615" i="27" s="1"/>
  <c r="A600" i="27"/>
  <c r="N600" i="27"/>
  <c r="O600" i="27" s="1"/>
  <c r="A583" i="27"/>
  <c r="N583" i="27"/>
  <c r="O583" i="27" s="1"/>
  <c r="A567" i="27"/>
  <c r="N567" i="27"/>
  <c r="O567" i="27" s="1"/>
  <c r="A551" i="27"/>
  <c r="N551" i="27"/>
  <c r="O551" i="27" s="1"/>
  <c r="A535" i="27"/>
  <c r="N535" i="27"/>
  <c r="O535" i="27" s="1"/>
  <c r="A519" i="27"/>
  <c r="N519" i="27"/>
  <c r="O519" i="27" s="1"/>
  <c r="A503" i="27"/>
  <c r="N503" i="27"/>
  <c r="O503" i="27" s="1"/>
  <c r="A487" i="27"/>
  <c r="N487" i="27"/>
  <c r="O487" i="27" s="1"/>
  <c r="A471" i="27"/>
  <c r="N471" i="27"/>
  <c r="O471" i="27" s="1"/>
  <c r="A455" i="27"/>
  <c r="N455" i="27"/>
  <c r="O455" i="27" s="1"/>
  <c r="A438" i="27"/>
  <c r="N438" i="27"/>
  <c r="O438" i="27" s="1"/>
  <c r="A422" i="27"/>
  <c r="N422" i="27"/>
  <c r="O422" i="27" s="1"/>
  <c r="A406" i="27"/>
  <c r="N406" i="27"/>
  <c r="O406" i="27" s="1"/>
  <c r="A390" i="27"/>
  <c r="N390" i="27"/>
  <c r="O390" i="27" s="1"/>
  <c r="A374" i="27"/>
  <c r="N374" i="27"/>
  <c r="O374" i="27" s="1"/>
  <c r="A358" i="27"/>
  <c r="N358" i="27"/>
  <c r="O358" i="27" s="1"/>
  <c r="A342" i="27"/>
  <c r="N342" i="27"/>
  <c r="O342" i="27" s="1"/>
  <c r="A326" i="27"/>
  <c r="N326" i="27"/>
  <c r="O326" i="27" s="1"/>
  <c r="A310" i="27"/>
  <c r="N310" i="27"/>
  <c r="O310" i="27" s="1"/>
  <c r="A294" i="27"/>
  <c r="N294" i="27"/>
  <c r="O294" i="27" s="1"/>
  <c r="A278" i="27"/>
  <c r="N278" i="27"/>
  <c r="O278" i="27" s="1"/>
  <c r="A262" i="27"/>
  <c r="N262" i="27"/>
  <c r="O262" i="27" s="1"/>
  <c r="A246" i="27"/>
  <c r="N246" i="27"/>
  <c r="O246" i="27" s="1"/>
  <c r="A230" i="27"/>
  <c r="N230" i="27"/>
  <c r="O230" i="27" s="1"/>
  <c r="A214" i="27"/>
  <c r="N214" i="27"/>
  <c r="O214" i="27" s="1"/>
  <c r="A198" i="27"/>
  <c r="N198" i="27"/>
  <c r="O198" i="27" s="1"/>
  <c r="A182" i="27"/>
  <c r="N182" i="27"/>
  <c r="O182" i="27" s="1"/>
  <c r="A165" i="27"/>
  <c r="N165" i="27"/>
  <c r="O165" i="27" s="1"/>
  <c r="A149" i="27"/>
  <c r="N149" i="27"/>
  <c r="O149" i="27" s="1"/>
  <c r="A132" i="27"/>
  <c r="N132" i="27"/>
  <c r="O132" i="27" s="1"/>
  <c r="A116" i="27"/>
  <c r="N116" i="27"/>
  <c r="O116" i="27" s="1"/>
  <c r="A100" i="27"/>
  <c r="N100" i="27"/>
  <c r="O100" i="27" s="1"/>
  <c r="A84" i="27"/>
  <c r="N84" i="27"/>
  <c r="O84" i="27" s="1"/>
  <c r="A63" i="27"/>
  <c r="N63" i="27"/>
  <c r="O63" i="27" s="1"/>
  <c r="A29" i="27"/>
  <c r="N29" i="27"/>
  <c r="O29" i="27" s="1"/>
  <c r="A590" i="27"/>
  <c r="N590" i="27"/>
  <c r="O590" i="27" s="1"/>
  <c r="A429" i="27"/>
  <c r="N429" i="27"/>
  <c r="O429" i="27" s="1"/>
  <c r="A285" i="27"/>
  <c r="N285" i="27"/>
  <c r="O285" i="27" s="1"/>
  <c r="A156" i="27"/>
  <c r="N156" i="27"/>
  <c r="O156" i="27" s="1"/>
  <c r="A20" i="27"/>
  <c r="N20" i="27"/>
  <c r="O20" i="27" s="1"/>
  <c r="A645" i="27"/>
  <c r="N645" i="27"/>
  <c r="O645" i="27" s="1"/>
  <c r="A630" i="27"/>
  <c r="N630" i="27"/>
  <c r="O630" i="27" s="1"/>
  <c r="A614" i="27"/>
  <c r="N614" i="27"/>
  <c r="O614" i="27" s="1"/>
  <c r="A599" i="27"/>
  <c r="N599" i="27"/>
  <c r="O599" i="27" s="1"/>
  <c r="A582" i="27"/>
  <c r="N582" i="27"/>
  <c r="O582" i="27" s="1"/>
  <c r="A566" i="27"/>
  <c r="N566" i="27"/>
  <c r="O566" i="27" s="1"/>
  <c r="A550" i="27"/>
  <c r="N550" i="27"/>
  <c r="O550" i="27" s="1"/>
  <c r="A534" i="27"/>
  <c r="N534" i="27"/>
  <c r="O534" i="27" s="1"/>
  <c r="A518" i="27"/>
  <c r="N518" i="27"/>
  <c r="O518" i="27" s="1"/>
  <c r="A502" i="27"/>
  <c r="N502" i="27"/>
  <c r="O502" i="27" s="1"/>
  <c r="A486" i="27"/>
  <c r="N486" i="27"/>
  <c r="O486" i="27" s="1"/>
  <c r="A470" i="27"/>
  <c r="N470" i="27"/>
  <c r="O470" i="27" s="1"/>
  <c r="A454" i="27"/>
  <c r="N454" i="27"/>
  <c r="O454" i="27" s="1"/>
  <c r="A437" i="27"/>
  <c r="N437" i="27"/>
  <c r="O437" i="27" s="1"/>
  <c r="A421" i="27"/>
  <c r="N421" i="27"/>
  <c r="O421" i="27" s="1"/>
  <c r="A405" i="27"/>
  <c r="N405" i="27"/>
  <c r="O405" i="27" s="1"/>
  <c r="A389" i="27"/>
  <c r="N389" i="27"/>
  <c r="O389" i="27" s="1"/>
  <c r="A373" i="27"/>
  <c r="N373" i="27"/>
  <c r="O373" i="27" s="1"/>
  <c r="A357" i="27"/>
  <c r="N357" i="27"/>
  <c r="O357" i="27" s="1"/>
  <c r="A341" i="27"/>
  <c r="N341" i="27"/>
  <c r="O341" i="27" s="1"/>
  <c r="A325" i="27"/>
  <c r="N325" i="27"/>
  <c r="O325" i="27" s="1"/>
  <c r="A309" i="27"/>
  <c r="N309" i="27"/>
  <c r="O309" i="27" s="1"/>
  <c r="A293" i="27"/>
  <c r="N293" i="27"/>
  <c r="O293" i="27" s="1"/>
  <c r="A277" i="27"/>
  <c r="N277" i="27"/>
  <c r="O277" i="27" s="1"/>
  <c r="A261" i="27"/>
  <c r="N261" i="27"/>
  <c r="O261" i="27" s="1"/>
  <c r="A245" i="27"/>
  <c r="N245" i="27"/>
  <c r="O245" i="27" s="1"/>
  <c r="A213" i="27"/>
  <c r="N213" i="27"/>
  <c r="O213" i="27" s="1"/>
  <c r="A197" i="27"/>
  <c r="N197" i="27"/>
  <c r="O197" i="27" s="1"/>
  <c r="A181" i="27"/>
  <c r="N181" i="27"/>
  <c r="O181" i="27" s="1"/>
  <c r="A164" i="27"/>
  <c r="N164" i="27"/>
  <c r="O164" i="27" s="1"/>
  <c r="A148" i="27"/>
  <c r="N148" i="27"/>
  <c r="O148" i="27" s="1"/>
  <c r="A131" i="27"/>
  <c r="N131" i="27"/>
  <c r="O131" i="27" s="1"/>
  <c r="A115" i="27"/>
  <c r="N115" i="27"/>
  <c r="O115" i="27" s="1"/>
  <c r="A99" i="27"/>
  <c r="N99" i="27"/>
  <c r="O99" i="27" s="1"/>
  <c r="A83" i="27"/>
  <c r="N83" i="27"/>
  <c r="O83" i="27" s="1"/>
  <c r="A62" i="27"/>
  <c r="N62" i="27"/>
  <c r="O62" i="27" s="1"/>
  <c r="A44" i="27"/>
  <c r="N44" i="27"/>
  <c r="O44" i="27" s="1"/>
  <c r="A28" i="27"/>
  <c r="N28" i="27"/>
  <c r="O28" i="27" s="1"/>
  <c r="A12" i="27"/>
  <c r="N12" i="27"/>
  <c r="O12" i="27" s="1"/>
  <c r="A574" i="27"/>
  <c r="N574" i="27"/>
  <c r="O574" i="27" s="1"/>
  <c r="A478" i="27"/>
  <c r="N478" i="27"/>
  <c r="O478" i="27" s="1"/>
  <c r="A365" i="27"/>
  <c r="N365" i="27"/>
  <c r="O365" i="27" s="1"/>
  <c r="A237" i="27"/>
  <c r="N237" i="27"/>
  <c r="O237" i="27" s="1"/>
  <c r="A107" i="27"/>
  <c r="N107" i="27"/>
  <c r="O107" i="27" s="1"/>
  <c r="A644" i="27"/>
  <c r="N644" i="27"/>
  <c r="O644" i="27" s="1"/>
  <c r="A629" i="27"/>
  <c r="N629" i="27"/>
  <c r="O629" i="27" s="1"/>
  <c r="A613" i="27"/>
  <c r="N613" i="27"/>
  <c r="O613" i="27" s="1"/>
  <c r="A598" i="27"/>
  <c r="N598" i="27"/>
  <c r="O598" i="27" s="1"/>
  <c r="A581" i="27"/>
  <c r="N581" i="27"/>
  <c r="O581" i="27" s="1"/>
  <c r="A565" i="27"/>
  <c r="N565" i="27"/>
  <c r="O565" i="27" s="1"/>
  <c r="A549" i="27"/>
  <c r="N549" i="27"/>
  <c r="O549" i="27" s="1"/>
  <c r="A533" i="27"/>
  <c r="N533" i="27"/>
  <c r="O533" i="27" s="1"/>
  <c r="A517" i="27"/>
  <c r="N517" i="27"/>
  <c r="O517" i="27" s="1"/>
  <c r="A501" i="27"/>
  <c r="N501" i="27"/>
  <c r="O501" i="27" s="1"/>
  <c r="A485" i="27"/>
  <c r="N485" i="27"/>
  <c r="O485" i="27" s="1"/>
  <c r="A469" i="27"/>
  <c r="N469" i="27"/>
  <c r="O469" i="27" s="1"/>
  <c r="A453" i="27"/>
  <c r="N453" i="27"/>
  <c r="O453" i="27" s="1"/>
  <c r="A436" i="27"/>
  <c r="N436" i="27"/>
  <c r="O436" i="27" s="1"/>
  <c r="A420" i="27"/>
  <c r="N420" i="27"/>
  <c r="O420" i="27" s="1"/>
  <c r="A404" i="27"/>
  <c r="N404" i="27"/>
  <c r="O404" i="27" s="1"/>
  <c r="A388" i="27"/>
  <c r="N388" i="27"/>
  <c r="O388" i="27" s="1"/>
  <c r="A372" i="27"/>
  <c r="N372" i="27"/>
  <c r="O372" i="27" s="1"/>
  <c r="A356" i="27"/>
  <c r="N356" i="27"/>
  <c r="O356" i="27" s="1"/>
  <c r="A340" i="27"/>
  <c r="N340" i="27"/>
  <c r="O340" i="27" s="1"/>
  <c r="A324" i="27"/>
  <c r="N324" i="27"/>
  <c r="O324" i="27" s="1"/>
  <c r="A308" i="27"/>
  <c r="N308" i="27"/>
  <c r="O308" i="27" s="1"/>
  <c r="A292" i="27"/>
  <c r="N292" i="27"/>
  <c r="O292" i="27" s="1"/>
  <c r="A276" i="27"/>
  <c r="N276" i="27"/>
  <c r="O276" i="27" s="1"/>
  <c r="A260" i="27"/>
  <c r="N260" i="27"/>
  <c r="O260" i="27" s="1"/>
  <c r="A244" i="27"/>
  <c r="N244" i="27"/>
  <c r="O244" i="27" s="1"/>
  <c r="A228" i="27"/>
  <c r="N228" i="27"/>
  <c r="O228" i="27" s="1"/>
  <c r="A212" i="27"/>
  <c r="N212" i="27"/>
  <c r="O212" i="27" s="1"/>
  <c r="A196" i="27"/>
  <c r="N196" i="27"/>
  <c r="O196" i="27" s="1"/>
  <c r="A180" i="27"/>
  <c r="N180" i="27"/>
  <c r="O180" i="27" s="1"/>
  <c r="A163" i="27"/>
  <c r="N163" i="27"/>
  <c r="O163" i="27" s="1"/>
  <c r="A147" i="27"/>
  <c r="N147" i="27"/>
  <c r="O147" i="27" s="1"/>
  <c r="A130" i="27"/>
  <c r="N130" i="27"/>
  <c r="O130" i="27" s="1"/>
  <c r="A114" i="27"/>
  <c r="N114" i="27"/>
  <c r="O114" i="27" s="1"/>
  <c r="A98" i="27"/>
  <c r="N98" i="27"/>
  <c r="O98" i="27" s="1"/>
  <c r="A82" i="27"/>
  <c r="N82" i="27"/>
  <c r="O82" i="27" s="1"/>
  <c r="A59" i="27"/>
  <c r="N59" i="27"/>
  <c r="O59" i="27" s="1"/>
  <c r="A43" i="27"/>
  <c r="N43" i="27"/>
  <c r="O43" i="27" s="1"/>
  <c r="A27" i="27"/>
  <c r="N27" i="27"/>
  <c r="O27" i="27" s="1"/>
  <c r="A11" i="27"/>
  <c r="N11" i="27"/>
  <c r="O11" i="27" s="1"/>
  <c r="A652" i="27"/>
  <c r="N652" i="27"/>
  <c r="O652" i="27" s="1"/>
  <c r="A526" i="27"/>
  <c r="N526" i="27"/>
  <c r="O526" i="27" s="1"/>
  <c r="A397" i="27"/>
  <c r="N397" i="27"/>
  <c r="O397" i="27" s="1"/>
  <c r="A269" i="27"/>
  <c r="N269" i="27"/>
  <c r="O269" i="27" s="1"/>
  <c r="A140" i="27"/>
  <c r="N140" i="27"/>
  <c r="O140" i="27" s="1"/>
  <c r="A259" i="27"/>
  <c r="N259" i="27"/>
  <c r="O259" i="27" s="1"/>
  <c r="BA642" i="27"/>
  <c r="N642" i="27"/>
  <c r="O642" i="27" s="1"/>
  <c r="BA627" i="27"/>
  <c r="N627" i="27"/>
  <c r="O627" i="27" s="1"/>
  <c r="A611" i="27"/>
  <c r="N611" i="27"/>
  <c r="O611" i="27" s="1"/>
  <c r="BA595" i="27"/>
  <c r="N595" i="27"/>
  <c r="O595" i="27" s="1"/>
  <c r="BA579" i="27"/>
  <c r="N579" i="27"/>
  <c r="O579" i="27" s="1"/>
  <c r="BA563" i="27"/>
  <c r="N563" i="27"/>
  <c r="O563" i="27" s="1"/>
  <c r="A547" i="27"/>
  <c r="N547" i="27"/>
  <c r="O547" i="27" s="1"/>
  <c r="BA531" i="27"/>
  <c r="N531" i="27"/>
  <c r="O531" i="27" s="1"/>
  <c r="BA515" i="27"/>
  <c r="N515" i="27"/>
  <c r="O515" i="27" s="1"/>
  <c r="BA499" i="27"/>
  <c r="N499" i="27"/>
  <c r="O499" i="27" s="1"/>
  <c r="A483" i="27"/>
  <c r="N483" i="27"/>
  <c r="O483" i="27" s="1"/>
  <c r="BA467" i="27"/>
  <c r="N467" i="27"/>
  <c r="O467" i="27" s="1"/>
  <c r="BA451" i="27"/>
  <c r="N451" i="27"/>
  <c r="O451" i="27" s="1"/>
  <c r="BA434" i="27"/>
  <c r="N434" i="27"/>
  <c r="O434" i="27" s="1"/>
  <c r="A418" i="27"/>
  <c r="N418" i="27"/>
  <c r="O418" i="27" s="1"/>
  <c r="BA402" i="27"/>
  <c r="N402" i="27"/>
  <c r="O402" i="27" s="1"/>
  <c r="BA386" i="27"/>
  <c r="N386" i="27"/>
  <c r="O386" i="27" s="1"/>
  <c r="BA370" i="27"/>
  <c r="N370" i="27"/>
  <c r="O370" i="27" s="1"/>
  <c r="A354" i="27"/>
  <c r="N354" i="27"/>
  <c r="O354" i="27" s="1"/>
  <c r="BA338" i="27"/>
  <c r="N338" i="27"/>
  <c r="O338" i="27" s="1"/>
  <c r="BA322" i="27"/>
  <c r="N322" i="27"/>
  <c r="O322" i="27" s="1"/>
  <c r="BA306" i="27"/>
  <c r="N306" i="27"/>
  <c r="O306" i="27" s="1"/>
  <c r="A290" i="27"/>
  <c r="N290" i="27"/>
  <c r="O290" i="27" s="1"/>
  <c r="BA274" i="27"/>
  <c r="N274" i="27"/>
  <c r="O274" i="27" s="1"/>
  <c r="BA258" i="27"/>
  <c r="N258" i="27"/>
  <c r="O258" i="27" s="1"/>
  <c r="BA242" i="27"/>
  <c r="N242" i="27"/>
  <c r="O242" i="27" s="1"/>
  <c r="A226" i="27"/>
  <c r="N226" i="27"/>
  <c r="O226" i="27" s="1"/>
  <c r="BA210" i="27"/>
  <c r="N210" i="27"/>
  <c r="O210" i="27" s="1"/>
  <c r="BA194" i="27"/>
  <c r="N194" i="27"/>
  <c r="O194" i="27" s="1"/>
  <c r="BA177" i="27"/>
  <c r="N177" i="27"/>
  <c r="O177" i="27" s="1"/>
  <c r="A161" i="27"/>
  <c r="N161" i="27"/>
  <c r="O161" i="27" s="1"/>
  <c r="BA145" i="27"/>
  <c r="N145" i="27"/>
  <c r="O145" i="27" s="1"/>
  <c r="BA128" i="27"/>
  <c r="N128" i="27"/>
  <c r="O128" i="27" s="1"/>
  <c r="BA112" i="27"/>
  <c r="N112" i="27"/>
  <c r="O112" i="27" s="1"/>
  <c r="A96" i="27"/>
  <c r="N96" i="27"/>
  <c r="O96" i="27" s="1"/>
  <c r="BA75" i="27"/>
  <c r="N75" i="27"/>
  <c r="O75" i="27" s="1"/>
  <c r="BA57" i="27"/>
  <c r="N57" i="27"/>
  <c r="O57" i="27" s="1"/>
  <c r="BA41" i="27"/>
  <c r="N41" i="27"/>
  <c r="O41" i="27" s="1"/>
  <c r="A25" i="27"/>
  <c r="N25" i="27"/>
  <c r="O25" i="27" s="1"/>
  <c r="BA9" i="27"/>
  <c r="N9" i="27"/>
  <c r="O9" i="27" s="1"/>
  <c r="BA656" i="27"/>
  <c r="N656" i="27"/>
  <c r="O656" i="27" s="1"/>
  <c r="BA641" i="27"/>
  <c r="N641" i="27"/>
  <c r="O641" i="27" s="1"/>
  <c r="BA626" i="27"/>
  <c r="N626" i="27"/>
  <c r="O626" i="27" s="1"/>
  <c r="BA610" i="27"/>
  <c r="N610" i="27"/>
  <c r="O610" i="27" s="1"/>
  <c r="BA594" i="27"/>
  <c r="N594" i="27"/>
  <c r="O594" i="27" s="1"/>
  <c r="BA578" i="27"/>
  <c r="N578" i="27"/>
  <c r="O578" i="27" s="1"/>
  <c r="BA562" i="27"/>
  <c r="N562" i="27"/>
  <c r="O562" i="27" s="1"/>
  <c r="BA546" i="27"/>
  <c r="N546" i="27"/>
  <c r="O546" i="27" s="1"/>
  <c r="BA530" i="27"/>
  <c r="N530" i="27"/>
  <c r="O530" i="27" s="1"/>
  <c r="BA514" i="27"/>
  <c r="N514" i="27"/>
  <c r="O514" i="27" s="1"/>
  <c r="BA498" i="27"/>
  <c r="N498" i="27"/>
  <c r="O498" i="27" s="1"/>
  <c r="BA482" i="27"/>
  <c r="N482" i="27"/>
  <c r="O482" i="27" s="1"/>
  <c r="BA466" i="27"/>
  <c r="N466" i="27"/>
  <c r="O466" i="27" s="1"/>
  <c r="BA450" i="27"/>
  <c r="N450" i="27"/>
  <c r="O450" i="27" s="1"/>
  <c r="BA433" i="27"/>
  <c r="N433" i="27"/>
  <c r="O433" i="27" s="1"/>
  <c r="BA417" i="27"/>
  <c r="N417" i="27"/>
  <c r="O417" i="27" s="1"/>
  <c r="BA401" i="27"/>
  <c r="N401" i="27"/>
  <c r="O401" i="27" s="1"/>
  <c r="BA385" i="27"/>
  <c r="N385" i="27"/>
  <c r="O385" i="27" s="1"/>
  <c r="BA369" i="27"/>
  <c r="N369" i="27"/>
  <c r="O369" i="27" s="1"/>
  <c r="BA353" i="27"/>
  <c r="N353" i="27"/>
  <c r="O353" i="27" s="1"/>
  <c r="BA337" i="27"/>
  <c r="N337" i="27"/>
  <c r="O337" i="27" s="1"/>
  <c r="BA321" i="27"/>
  <c r="N321" i="27"/>
  <c r="O321" i="27" s="1"/>
  <c r="BA305" i="27"/>
  <c r="N305" i="27"/>
  <c r="O305" i="27" s="1"/>
  <c r="BA289" i="27"/>
  <c r="N289" i="27"/>
  <c r="O289" i="27" s="1"/>
  <c r="BA273" i="27"/>
  <c r="N273" i="27"/>
  <c r="O273" i="27" s="1"/>
  <c r="BA257" i="27"/>
  <c r="N257" i="27"/>
  <c r="O257" i="27" s="1"/>
  <c r="A241" i="27"/>
  <c r="N241" i="27"/>
  <c r="O241" i="27" s="1"/>
  <c r="A225" i="27"/>
  <c r="N225" i="27"/>
  <c r="O225" i="27" s="1"/>
  <c r="A209" i="27"/>
  <c r="N209" i="27"/>
  <c r="O209" i="27" s="1"/>
  <c r="A193" i="27"/>
  <c r="N193" i="27"/>
  <c r="O193" i="27" s="1"/>
  <c r="A176" i="27"/>
  <c r="N176" i="27"/>
  <c r="O176" i="27" s="1"/>
  <c r="A160" i="27"/>
  <c r="N160" i="27"/>
  <c r="O160" i="27" s="1"/>
  <c r="A144" i="27"/>
  <c r="N144" i="27"/>
  <c r="O144" i="27" s="1"/>
  <c r="A127" i="27"/>
  <c r="N127" i="27"/>
  <c r="O127" i="27" s="1"/>
  <c r="A111" i="27"/>
  <c r="N111" i="27"/>
  <c r="O111" i="27" s="1"/>
  <c r="A95" i="27"/>
  <c r="N95" i="27"/>
  <c r="O95" i="27" s="1"/>
  <c r="A74" i="27"/>
  <c r="N74" i="27"/>
  <c r="O74" i="27" s="1"/>
  <c r="A56" i="27"/>
  <c r="N56" i="27"/>
  <c r="O56" i="27" s="1"/>
  <c r="A40" i="27"/>
  <c r="N40" i="27"/>
  <c r="O40" i="27" s="1"/>
  <c r="A24" i="27"/>
  <c r="N24" i="27"/>
  <c r="O24" i="27" s="1"/>
  <c r="A8" i="27"/>
  <c r="N8" i="27"/>
  <c r="O8" i="27" s="1"/>
  <c r="M655" i="27"/>
  <c r="N655" i="27"/>
  <c r="O655" i="27" s="1"/>
  <c r="A640" i="27"/>
  <c r="N640" i="27"/>
  <c r="O640" i="27" s="1"/>
  <c r="A625" i="27"/>
  <c r="N625" i="27"/>
  <c r="O625" i="27" s="1"/>
  <c r="M609" i="27"/>
  <c r="N609" i="27"/>
  <c r="O609" i="27" s="1"/>
  <c r="M593" i="27"/>
  <c r="N593" i="27"/>
  <c r="O593" i="27" s="1"/>
  <c r="A577" i="27"/>
  <c r="N577" i="27"/>
  <c r="O577" i="27" s="1"/>
  <c r="A561" i="27"/>
  <c r="N561" i="27"/>
  <c r="O561" i="27" s="1"/>
  <c r="M545" i="27"/>
  <c r="N545" i="27"/>
  <c r="O545" i="27" s="1"/>
  <c r="M529" i="27"/>
  <c r="N529" i="27"/>
  <c r="O529" i="27" s="1"/>
  <c r="A513" i="27"/>
  <c r="N513" i="27"/>
  <c r="O513" i="27" s="1"/>
  <c r="A497" i="27"/>
  <c r="N497" i="27"/>
  <c r="O497" i="27" s="1"/>
  <c r="M481" i="27"/>
  <c r="N481" i="27"/>
  <c r="O481" i="27" s="1"/>
  <c r="M465" i="27"/>
  <c r="N465" i="27"/>
  <c r="O465" i="27" s="1"/>
  <c r="A449" i="27"/>
  <c r="N449" i="27"/>
  <c r="O449" i="27" s="1"/>
  <c r="A432" i="27"/>
  <c r="N432" i="27"/>
  <c r="O432" i="27" s="1"/>
  <c r="M416" i="27"/>
  <c r="N416" i="27"/>
  <c r="O416" i="27" s="1"/>
  <c r="A400" i="27"/>
  <c r="N400" i="27"/>
  <c r="O400" i="27" s="1"/>
  <c r="A384" i="27"/>
  <c r="N384" i="27"/>
  <c r="O384" i="27" s="1"/>
  <c r="A368" i="27"/>
  <c r="N368" i="27"/>
  <c r="O368" i="27" s="1"/>
  <c r="M352" i="27"/>
  <c r="N352" i="27"/>
  <c r="O352" i="27" s="1"/>
  <c r="A336" i="27"/>
  <c r="N336" i="27"/>
  <c r="O336" i="27" s="1"/>
  <c r="A320" i="27"/>
  <c r="N320" i="27"/>
  <c r="O320" i="27" s="1"/>
  <c r="A304" i="27"/>
  <c r="N304" i="27"/>
  <c r="O304" i="27" s="1"/>
  <c r="M288" i="27"/>
  <c r="N288" i="27"/>
  <c r="O288" i="27" s="1"/>
  <c r="A272" i="27"/>
  <c r="N272" i="27"/>
  <c r="O272" i="27" s="1"/>
  <c r="A256" i="27"/>
  <c r="N256" i="27"/>
  <c r="O256" i="27" s="1"/>
  <c r="A240" i="27"/>
  <c r="N240" i="27"/>
  <c r="O240" i="27" s="1"/>
  <c r="M224" i="27"/>
  <c r="N224" i="27"/>
  <c r="O224" i="27" s="1"/>
  <c r="A208" i="27"/>
  <c r="N208" i="27"/>
  <c r="O208" i="27" s="1"/>
  <c r="A192" i="27"/>
  <c r="N192" i="27"/>
  <c r="O192" i="27" s="1"/>
  <c r="A175" i="27"/>
  <c r="N175" i="27"/>
  <c r="O175" i="27" s="1"/>
  <c r="A159" i="27"/>
  <c r="N159" i="27"/>
  <c r="O159" i="27" s="1"/>
  <c r="A143" i="27"/>
  <c r="N143" i="27"/>
  <c r="O143" i="27" s="1"/>
  <c r="A126" i="27"/>
  <c r="N126" i="27"/>
  <c r="O126" i="27" s="1"/>
  <c r="A110" i="27"/>
  <c r="N110" i="27"/>
  <c r="O110" i="27" s="1"/>
  <c r="A94" i="27"/>
  <c r="N94" i="27"/>
  <c r="O94" i="27" s="1"/>
  <c r="A73" i="27"/>
  <c r="N73" i="27"/>
  <c r="O73" i="27" s="1"/>
  <c r="A55" i="27"/>
  <c r="N55" i="27"/>
  <c r="O55" i="27" s="1"/>
  <c r="A39" i="27"/>
  <c r="N39" i="27"/>
  <c r="O39" i="27" s="1"/>
  <c r="A23" i="27"/>
  <c r="N23" i="27"/>
  <c r="O23" i="27" s="1"/>
  <c r="A622" i="27"/>
  <c r="N622" i="27"/>
  <c r="O622" i="27" s="1"/>
  <c r="A510" i="27"/>
  <c r="N510" i="27"/>
  <c r="O510" i="27" s="1"/>
  <c r="A381" i="27"/>
  <c r="N381" i="27"/>
  <c r="O381" i="27" s="1"/>
  <c r="A253" i="27"/>
  <c r="N253" i="27"/>
  <c r="O253" i="27" s="1"/>
  <c r="A123" i="27"/>
  <c r="N123" i="27"/>
  <c r="O123" i="27" s="1"/>
  <c r="M624" i="27"/>
  <c r="N624" i="27"/>
  <c r="O624" i="27" s="1"/>
  <c r="A431" i="27"/>
  <c r="N431" i="27"/>
  <c r="O431" i="27" s="1"/>
  <c r="A319" i="27"/>
  <c r="N319" i="27"/>
  <c r="O319" i="27" s="1"/>
  <c r="A125" i="27"/>
  <c r="N125" i="27"/>
  <c r="O125" i="27" s="1"/>
  <c r="A637" i="27"/>
  <c r="N637" i="27"/>
  <c r="O637" i="27" s="1"/>
  <c r="A494" i="27"/>
  <c r="N494" i="27"/>
  <c r="O494" i="27" s="1"/>
  <c r="A349" i="27"/>
  <c r="N349" i="27"/>
  <c r="O349" i="27" s="1"/>
  <c r="A221" i="27"/>
  <c r="N221" i="27"/>
  <c r="O221" i="27" s="1"/>
  <c r="A91" i="27"/>
  <c r="N91" i="27"/>
  <c r="O91" i="27" s="1"/>
  <c r="A653" i="27"/>
  <c r="N653" i="27"/>
  <c r="O653" i="27" s="1"/>
  <c r="A638" i="27"/>
  <c r="N638" i="27"/>
  <c r="O638" i="27" s="1"/>
  <c r="A623" i="27"/>
  <c r="N623" i="27"/>
  <c r="O623" i="27" s="1"/>
  <c r="A607" i="27"/>
  <c r="N607" i="27"/>
  <c r="O607" i="27" s="1"/>
  <c r="A591" i="27"/>
  <c r="N591" i="27"/>
  <c r="O591" i="27" s="1"/>
  <c r="A575" i="27"/>
  <c r="N575" i="27"/>
  <c r="O575" i="27" s="1"/>
  <c r="A559" i="27"/>
  <c r="N559" i="27"/>
  <c r="O559" i="27" s="1"/>
  <c r="A543" i="27"/>
  <c r="N543" i="27"/>
  <c r="O543" i="27" s="1"/>
  <c r="A527" i="27"/>
  <c r="N527" i="27"/>
  <c r="O527" i="27" s="1"/>
  <c r="A511" i="27"/>
  <c r="N511" i="27"/>
  <c r="O511" i="27" s="1"/>
  <c r="A495" i="27"/>
  <c r="N495" i="27"/>
  <c r="O495" i="27" s="1"/>
  <c r="A479" i="27"/>
  <c r="N479" i="27"/>
  <c r="O479" i="27" s="1"/>
  <c r="A463" i="27"/>
  <c r="N463" i="27"/>
  <c r="O463" i="27" s="1"/>
  <c r="A447" i="27"/>
  <c r="N447" i="27"/>
  <c r="O447" i="27" s="1"/>
  <c r="A430" i="27"/>
  <c r="N430" i="27"/>
  <c r="O430" i="27" s="1"/>
  <c r="A414" i="27"/>
  <c r="N414" i="27"/>
  <c r="O414" i="27" s="1"/>
  <c r="A398" i="27"/>
  <c r="N398" i="27"/>
  <c r="O398" i="27" s="1"/>
  <c r="A382" i="27"/>
  <c r="N382" i="27"/>
  <c r="O382" i="27" s="1"/>
  <c r="A366" i="27"/>
  <c r="N366" i="27"/>
  <c r="O366" i="27" s="1"/>
  <c r="A350" i="27"/>
  <c r="N350" i="27"/>
  <c r="O350" i="27" s="1"/>
  <c r="A334" i="27"/>
  <c r="N334" i="27"/>
  <c r="O334" i="27" s="1"/>
  <c r="A318" i="27"/>
  <c r="N318" i="27"/>
  <c r="O318" i="27" s="1"/>
  <c r="A302" i="27"/>
  <c r="N302" i="27"/>
  <c r="O302" i="27" s="1"/>
  <c r="A286" i="27"/>
  <c r="N286" i="27"/>
  <c r="O286" i="27" s="1"/>
  <c r="A270" i="27"/>
  <c r="N270" i="27"/>
  <c r="O270" i="27" s="1"/>
  <c r="A254" i="27"/>
  <c r="N254" i="27"/>
  <c r="O254" i="27" s="1"/>
  <c r="A238" i="27"/>
  <c r="N238" i="27"/>
  <c r="O238" i="27" s="1"/>
  <c r="A222" i="27"/>
  <c r="N222" i="27"/>
  <c r="O222" i="27" s="1"/>
  <c r="A206" i="27"/>
  <c r="N206" i="27"/>
  <c r="O206" i="27" s="1"/>
  <c r="A190" i="27"/>
  <c r="N190" i="27"/>
  <c r="O190" i="27" s="1"/>
  <c r="A173" i="27"/>
  <c r="N173" i="27"/>
  <c r="O173" i="27" s="1"/>
  <c r="A157" i="27"/>
  <c r="N157" i="27"/>
  <c r="O157" i="27" s="1"/>
  <c r="A141" i="27"/>
  <c r="N141" i="27"/>
  <c r="O141" i="27" s="1"/>
  <c r="A124" i="27"/>
  <c r="N124" i="27"/>
  <c r="O124" i="27" s="1"/>
  <c r="A108" i="27"/>
  <c r="N108" i="27"/>
  <c r="O108" i="27" s="1"/>
  <c r="A92" i="27"/>
  <c r="N92" i="27"/>
  <c r="O92" i="27" s="1"/>
  <c r="A71" i="27"/>
  <c r="N71" i="27"/>
  <c r="O71" i="27" s="1"/>
  <c r="A53" i="27"/>
  <c r="N53" i="27"/>
  <c r="O53" i="27" s="1"/>
  <c r="A37" i="27"/>
  <c r="N37" i="27"/>
  <c r="O37" i="27" s="1"/>
  <c r="A21" i="27"/>
  <c r="N21" i="27"/>
  <c r="O21" i="27" s="1"/>
  <c r="AT469" i="27"/>
  <c r="BK341" i="27"/>
  <c r="BI99" i="27"/>
  <c r="BG470" i="27"/>
  <c r="BI181" i="27"/>
  <c r="BF470" i="27"/>
  <c r="BF389" i="27"/>
  <c r="BK213" i="27"/>
  <c r="BI164" i="27"/>
  <c r="BI261" i="27"/>
  <c r="BF357" i="27"/>
  <c r="BH645" i="27"/>
  <c r="BF437" i="27"/>
  <c r="BI148" i="27"/>
  <c r="BK630" i="27"/>
  <c r="BK373" i="27"/>
  <c r="BG518" i="27"/>
  <c r="BI213" i="27"/>
  <c r="BI28" i="27"/>
  <c r="BF405" i="27"/>
  <c r="BF181" i="27"/>
  <c r="BK291" i="27"/>
  <c r="BI58" i="27"/>
  <c r="BI97" i="27"/>
  <c r="BI500" i="27"/>
  <c r="BA33" i="27"/>
  <c r="BK195" i="27"/>
  <c r="BK97" i="27"/>
  <c r="A229" i="27"/>
  <c r="BA229" i="27"/>
  <c r="BG559" i="27"/>
  <c r="BI559" i="27"/>
  <c r="BF495" i="27"/>
  <c r="BI495" i="27"/>
  <c r="BH495" i="27"/>
  <c r="BK302" i="27"/>
  <c r="BF302" i="27"/>
  <c r="BI254" i="27"/>
  <c r="BG254" i="27"/>
  <c r="BK238" i="27"/>
  <c r="BH238" i="27"/>
  <c r="BG238" i="27"/>
  <c r="BK206" i="27"/>
  <c r="BG206" i="27"/>
  <c r="BI124" i="27"/>
  <c r="BG124" i="27"/>
  <c r="BI92" i="27"/>
  <c r="BH92" i="27"/>
  <c r="BF92" i="27"/>
  <c r="BI53" i="27"/>
  <c r="BG53" i="27"/>
  <c r="BF21" i="27"/>
  <c r="BH21" i="27"/>
  <c r="BI558" i="27"/>
  <c r="BF558" i="27"/>
  <c r="BF349" i="27"/>
  <c r="BK349" i="27"/>
  <c r="BG221" i="27"/>
  <c r="BI221" i="27"/>
  <c r="BH107" i="27"/>
  <c r="BF107" i="27"/>
  <c r="BH620" i="27"/>
  <c r="BK620" i="27"/>
  <c r="BK556" i="27"/>
  <c r="BH556" i="27"/>
  <c r="BI427" i="27"/>
  <c r="BK427" i="27"/>
  <c r="BH619" i="27"/>
  <c r="BF619" i="27"/>
  <c r="BI619" i="27"/>
  <c r="BK619" i="27"/>
  <c r="BH555" i="27"/>
  <c r="BF555" i="27"/>
  <c r="BI555" i="27"/>
  <c r="BK555" i="27"/>
  <c r="BF218" i="27"/>
  <c r="BH218" i="27"/>
  <c r="BH33" i="27"/>
  <c r="BF33" i="27"/>
  <c r="BK317" i="27"/>
  <c r="BF286" i="27"/>
  <c r="BI397" i="27"/>
  <c r="BK590" i="27"/>
  <c r="BK221" i="27"/>
  <c r="BI394" i="27"/>
  <c r="BH539" i="27"/>
  <c r="BH330" i="27"/>
  <c r="BH137" i="27"/>
  <c r="BG539" i="27"/>
  <c r="BF653" i="27"/>
  <c r="BF462" i="27"/>
  <c r="BK587" i="27"/>
  <c r="BK218" i="27"/>
  <c r="BI574" i="27"/>
  <c r="BI33" i="27"/>
  <c r="BH49" i="27"/>
  <c r="BG156" i="27"/>
  <c r="BF650" i="27"/>
  <c r="BF459" i="27"/>
  <c r="BG606" i="27"/>
  <c r="BF606" i="27"/>
  <c r="BI606" i="27"/>
  <c r="BF542" i="27"/>
  <c r="BK542" i="27"/>
  <c r="BH253" i="27"/>
  <c r="BI253" i="27"/>
  <c r="BG478" i="27"/>
  <c r="BF540" i="27"/>
  <c r="BK540" i="27"/>
  <c r="BK492" i="27"/>
  <c r="BI492" i="27"/>
  <c r="BK68" i="27"/>
  <c r="BI68" i="27"/>
  <c r="BK397" i="27"/>
  <c r="BH491" i="27"/>
  <c r="BK491" i="27"/>
  <c r="BF491" i="27"/>
  <c r="BG442" i="27"/>
  <c r="BF442" i="27"/>
  <c r="BI442" i="27"/>
  <c r="BH442" i="27"/>
  <c r="BG378" i="27"/>
  <c r="BI378" i="27"/>
  <c r="BF378" i="27"/>
  <c r="BK234" i="27"/>
  <c r="BH234" i="27"/>
  <c r="BF234" i="27"/>
  <c r="BI234" i="27"/>
  <c r="BI169" i="27"/>
  <c r="BH169" i="27"/>
  <c r="BF169" i="27"/>
  <c r="BI67" i="27"/>
  <c r="BG67" i="27"/>
  <c r="BK67" i="27"/>
  <c r="BI587" i="27"/>
  <c r="BH459" i="27"/>
  <c r="BF71" i="27"/>
  <c r="BF67" i="27"/>
  <c r="BG234" i="27"/>
  <c r="BK282" i="27"/>
  <c r="BG429" i="27"/>
  <c r="BG33" i="27"/>
  <c r="BF523" i="27"/>
  <c r="BH365" i="27"/>
  <c r="BF365" i="27"/>
  <c r="BI237" i="27"/>
  <c r="BG237" i="27"/>
  <c r="BF237" i="27"/>
  <c r="BH205" i="27"/>
  <c r="BG205" i="27"/>
  <c r="BG172" i="27"/>
  <c r="BH172" i="27"/>
  <c r="BI172" i="27"/>
  <c r="BG107" i="27"/>
  <c r="BG558" i="27"/>
  <c r="BK411" i="27"/>
  <c r="BF411" i="27"/>
  <c r="BK363" i="27"/>
  <c r="BH363" i="27"/>
  <c r="BG571" i="27"/>
  <c r="BI571" i="27"/>
  <c r="BH571" i="27"/>
  <c r="BF571" i="27"/>
  <c r="BK571" i="27"/>
  <c r="BI507" i="27"/>
  <c r="BK507" i="27"/>
  <c r="BG507" i="27"/>
  <c r="BH507" i="27"/>
  <c r="BF362" i="27"/>
  <c r="BK362" i="27"/>
  <c r="BI362" i="27"/>
  <c r="BH362" i="27"/>
  <c r="BI314" i="27"/>
  <c r="BG314" i="27"/>
  <c r="BK314" i="27"/>
  <c r="BF314" i="27"/>
  <c r="BK202" i="27"/>
  <c r="BG202" i="27"/>
  <c r="BF153" i="27"/>
  <c r="BH153" i="27"/>
  <c r="BG137" i="27"/>
  <c r="BK137" i="27"/>
  <c r="BI104" i="27"/>
  <c r="BH104" i="27"/>
  <c r="BF104" i="27"/>
  <c r="BH88" i="27"/>
  <c r="BF88" i="27"/>
  <c r="BG88" i="27"/>
  <c r="BG49" i="27"/>
  <c r="BI49" i="27"/>
  <c r="BK49" i="27"/>
  <c r="BH650" i="27"/>
  <c r="BI282" i="27"/>
  <c r="BG346" i="27"/>
  <c r="BK459" i="27"/>
  <c r="BI650" i="27"/>
  <c r="BH523" i="27"/>
  <c r="BG619" i="27"/>
  <c r="BK575" i="27"/>
  <c r="BK650" i="27"/>
  <c r="BK203" i="27"/>
  <c r="BK33" i="27"/>
  <c r="BI539" i="27"/>
  <c r="BI21" i="27"/>
  <c r="BH603" i="27"/>
  <c r="BH206" i="27"/>
  <c r="BG222" i="27"/>
  <c r="BF137" i="27"/>
  <c r="BI652" i="27"/>
  <c r="BG652" i="27"/>
  <c r="BK446" i="27"/>
  <c r="BI446" i="27"/>
  <c r="BH333" i="27"/>
  <c r="BG333" i="27"/>
  <c r="BK123" i="27"/>
  <c r="BI123" i="27"/>
  <c r="BF20" i="27"/>
  <c r="BH20" i="27"/>
  <c r="BH604" i="27"/>
  <c r="BK604" i="27"/>
  <c r="BF475" i="27"/>
  <c r="BK475" i="27"/>
  <c r="BI426" i="27"/>
  <c r="BK426" i="27"/>
  <c r="BF426" i="27"/>
  <c r="BH426" i="27"/>
  <c r="BH410" i="27"/>
  <c r="BK410" i="27"/>
  <c r="BH346" i="27"/>
  <c r="BK346" i="27"/>
  <c r="BF298" i="27"/>
  <c r="BI298" i="27"/>
  <c r="BG298" i="27"/>
  <c r="BK298" i="27"/>
  <c r="BH298" i="27"/>
  <c r="BG250" i="27"/>
  <c r="BK250" i="27"/>
  <c r="BF250" i="27"/>
  <c r="BI250" i="27"/>
  <c r="BI186" i="27"/>
  <c r="BK186" i="27"/>
  <c r="BG186" i="27"/>
  <c r="BG120" i="27"/>
  <c r="BK120" i="27"/>
  <c r="BI120" i="27"/>
  <c r="BH17" i="27"/>
  <c r="BI17" i="27"/>
  <c r="BG17" i="27"/>
  <c r="BF17" i="27"/>
  <c r="BK394" i="27"/>
  <c r="BG362" i="27"/>
  <c r="BF186" i="27"/>
  <c r="BF282" i="27"/>
  <c r="BG153" i="27"/>
  <c r="BF266" i="27"/>
  <c r="BH202" i="27"/>
  <c r="BG218" i="27"/>
  <c r="BH377" i="27"/>
  <c r="BI377" i="27"/>
  <c r="BI16" i="27"/>
  <c r="BF313" i="27"/>
  <c r="BK16" i="27"/>
  <c r="BI458" i="27"/>
  <c r="BI136" i="27"/>
  <c r="BF570" i="27"/>
  <c r="BK506" i="27"/>
  <c r="BK201" i="27"/>
  <c r="BI570" i="27"/>
  <c r="BK249" i="27"/>
  <c r="BG586" i="27"/>
  <c r="BH168" i="27"/>
  <c r="BK554" i="27"/>
  <c r="BK490" i="27"/>
  <c r="BK361" i="27"/>
  <c r="BK66" i="27"/>
  <c r="BI441" i="27"/>
  <c r="BI66" i="27"/>
  <c r="BH631" i="27"/>
  <c r="BH361" i="27"/>
  <c r="BG313" i="27"/>
  <c r="BG249" i="27"/>
  <c r="BF168" i="27"/>
  <c r="BK570" i="27"/>
  <c r="BI634" i="27"/>
  <c r="BH297" i="27"/>
  <c r="BF634" i="27"/>
  <c r="BH634" i="27"/>
  <c r="BH103" i="27"/>
  <c r="BF490" i="27"/>
  <c r="BI618" i="27"/>
  <c r="BG185" i="27"/>
  <c r="BF618" i="27"/>
  <c r="BF16" i="27"/>
  <c r="BG87" i="27"/>
  <c r="BI185" i="27"/>
  <c r="BF249" i="27"/>
  <c r="BH441" i="27"/>
  <c r="BK136" i="27"/>
  <c r="BI313" i="27"/>
  <c r="BF377" i="27"/>
  <c r="BI554" i="27"/>
  <c r="BI233" i="27"/>
  <c r="BG506" i="27"/>
  <c r="BF554" i="27"/>
  <c r="BF425" i="27"/>
  <c r="BF233" i="27"/>
  <c r="BK233" i="27"/>
  <c r="BI361" i="27"/>
  <c r="BI297" i="27"/>
  <c r="BH152" i="27"/>
  <c r="BG570" i="27"/>
  <c r="BG502" i="27"/>
  <c r="BG441" i="27"/>
  <c r="BF297" i="27"/>
  <c r="BH506" i="27"/>
  <c r="BF32" i="27"/>
  <c r="BK425" i="27"/>
  <c r="BH294" i="27"/>
  <c r="BG390" i="27"/>
  <c r="BK618" i="27"/>
  <c r="BK297" i="27"/>
  <c r="BI119" i="27"/>
  <c r="BH425" i="27"/>
  <c r="BK474" i="27"/>
  <c r="BK229" i="27"/>
  <c r="BI358" i="27"/>
  <c r="BA625" i="27"/>
  <c r="BA396" i="27"/>
  <c r="BK484" i="27"/>
  <c r="BK121" i="27"/>
  <c r="BI419" i="27"/>
  <c r="BI291" i="27"/>
  <c r="BK596" i="27"/>
  <c r="BK532" i="27"/>
  <c r="BK419" i="27"/>
  <c r="BK355" i="27"/>
  <c r="BK283" i="27"/>
  <c r="BK154" i="27"/>
  <c r="BI556" i="27"/>
  <c r="BI452" i="27"/>
  <c r="BI379" i="27"/>
  <c r="BI371" i="27"/>
  <c r="BI331" i="27"/>
  <c r="BI267" i="27"/>
  <c r="BI105" i="27"/>
  <c r="BI64" i="27"/>
  <c r="BH267" i="27"/>
  <c r="BF203" i="27"/>
  <c r="BK568" i="27"/>
  <c r="BI403" i="27"/>
  <c r="BK251" i="27"/>
  <c r="BK572" i="27"/>
  <c r="BK564" i="27"/>
  <c r="BK508" i="27"/>
  <c r="BK452" i="27"/>
  <c r="BK129" i="27"/>
  <c r="BI548" i="27"/>
  <c r="BI211" i="27"/>
  <c r="BI34" i="27"/>
  <c r="BG548" i="27"/>
  <c r="BF643" i="27"/>
  <c r="BH643" i="27"/>
  <c r="BK643" i="27"/>
  <c r="BG635" i="27"/>
  <c r="BI635" i="27"/>
  <c r="BK635" i="27"/>
  <c r="BK628" i="27"/>
  <c r="BG628" i="27"/>
  <c r="BH612" i="27"/>
  <c r="BI612" i="27"/>
  <c r="BK612" i="27"/>
  <c r="BF604" i="27"/>
  <c r="BG604" i="27"/>
  <c r="BH596" i="27"/>
  <c r="BG596" i="27"/>
  <c r="BF596" i="27"/>
  <c r="BI588" i="27"/>
  <c r="BH588" i="27"/>
  <c r="BK588" i="27"/>
  <c r="BF580" i="27"/>
  <c r="BG580" i="27"/>
  <c r="BH580" i="27"/>
  <c r="BK580" i="27"/>
  <c r="BH572" i="27"/>
  <c r="BF572" i="27"/>
  <c r="BG572" i="27"/>
  <c r="BG540" i="27"/>
  <c r="BH540" i="27"/>
  <c r="BI540" i="27"/>
  <c r="BG524" i="27"/>
  <c r="BI524" i="27"/>
  <c r="BK524" i="27"/>
  <c r="BG516" i="27"/>
  <c r="BK516" i="27"/>
  <c r="BF488" i="27"/>
  <c r="BG488" i="27"/>
  <c r="BI484" i="27"/>
  <c r="BF484" i="27"/>
  <c r="BH484" i="27"/>
  <c r="BF476" i="27"/>
  <c r="BI476" i="27"/>
  <c r="BG476" i="27"/>
  <c r="BK476" i="27"/>
  <c r="BF468" i="27"/>
  <c r="BK468" i="27"/>
  <c r="BG468" i="27"/>
  <c r="BH468" i="27"/>
  <c r="BG443" i="27"/>
  <c r="BF443" i="27"/>
  <c r="BH443" i="27"/>
  <c r="BK443" i="27"/>
  <c r="BH439" i="27"/>
  <c r="BK439" i="27"/>
  <c r="BG435" i="27"/>
  <c r="BF435" i="27"/>
  <c r="BH435" i="27"/>
  <c r="BI435" i="27"/>
  <c r="BK435" i="27"/>
  <c r="BH395" i="27"/>
  <c r="BI395" i="27"/>
  <c r="BH387" i="27"/>
  <c r="BI387" i="27"/>
  <c r="BF363" i="27"/>
  <c r="BI363" i="27"/>
  <c r="BG363" i="27"/>
  <c r="BH355" i="27"/>
  <c r="BF355" i="27"/>
  <c r="BI355" i="27"/>
  <c r="BI347" i="27"/>
  <c r="BK347" i="27"/>
  <c r="BI339" i="27"/>
  <c r="BH339" i="27"/>
  <c r="BK339" i="27"/>
  <c r="BF323" i="27"/>
  <c r="BG323" i="27"/>
  <c r="BH323" i="27"/>
  <c r="BI323" i="27"/>
  <c r="BG315" i="27"/>
  <c r="BH315" i="27"/>
  <c r="BI315" i="27"/>
  <c r="BF315" i="27"/>
  <c r="BH311" i="27"/>
  <c r="BK311" i="27"/>
  <c r="BH299" i="27"/>
  <c r="BI299" i="27"/>
  <c r="BK299" i="27"/>
  <c r="BI275" i="27"/>
  <c r="BF275" i="27"/>
  <c r="BK259" i="27"/>
  <c r="BH259" i="27"/>
  <c r="BI243" i="27"/>
  <c r="BK243" i="27"/>
  <c r="BH235" i="27"/>
  <c r="BK235" i="27"/>
  <c r="BF231" i="27"/>
  <c r="BG231" i="27"/>
  <c r="BK227" i="27"/>
  <c r="BH227" i="27"/>
  <c r="BK219" i="27"/>
  <c r="BG219" i="27"/>
  <c r="BG195" i="27"/>
  <c r="BI195" i="27"/>
  <c r="BH195" i="27"/>
  <c r="BG187" i="27"/>
  <c r="BH187" i="27"/>
  <c r="BK187" i="27"/>
  <c r="BI183" i="27"/>
  <c r="BK183" i="27"/>
  <c r="BK162" i="27"/>
  <c r="BF162" i="27"/>
  <c r="BH162" i="27"/>
  <c r="BI146" i="27"/>
  <c r="BK146" i="27"/>
  <c r="BF138" i="27"/>
  <c r="BI138" i="27"/>
  <c r="BK138" i="27"/>
  <c r="BG138" i="27"/>
  <c r="BH138" i="27"/>
  <c r="BG113" i="27"/>
  <c r="BH113" i="27"/>
  <c r="BI113" i="27"/>
  <c r="BK113" i="27"/>
  <c r="BF89" i="27"/>
  <c r="BH89" i="27"/>
  <c r="BG89" i="27"/>
  <c r="BK89" i="27"/>
  <c r="BF81" i="27"/>
  <c r="BK81" i="27"/>
  <c r="BH81" i="27"/>
  <c r="BF50" i="27"/>
  <c r="BH50" i="27"/>
  <c r="BI50" i="27"/>
  <c r="BK50" i="27"/>
  <c r="BI46" i="27"/>
  <c r="BK46" i="27"/>
  <c r="BI18" i="27"/>
  <c r="BH18" i="27"/>
  <c r="BA603" i="27"/>
  <c r="BA574" i="27"/>
  <c r="BA437" i="27"/>
  <c r="BA297" i="27"/>
  <c r="BA103" i="27"/>
  <c r="BA425" i="27"/>
  <c r="BA293" i="27"/>
  <c r="A346" i="27"/>
  <c r="BA346" i="27"/>
  <c r="A266" i="27"/>
  <c r="BA266" i="27"/>
  <c r="A587" i="27"/>
  <c r="BA587" i="27"/>
  <c r="A67" i="27"/>
  <c r="BA67" i="27"/>
  <c r="BG643" i="27"/>
  <c r="BI643" i="27"/>
  <c r="BF635" i="27"/>
  <c r="BH635" i="27"/>
  <c r="BF628" i="27"/>
  <c r="BH628" i="27"/>
  <c r="BG620" i="27"/>
  <c r="BI620" i="27"/>
  <c r="BF620" i="27"/>
  <c r="BF616" i="27"/>
  <c r="BG616" i="27"/>
  <c r="BF612" i="27"/>
  <c r="BG612" i="27"/>
  <c r="BF588" i="27"/>
  <c r="BG588" i="27"/>
  <c r="BG564" i="27"/>
  <c r="BI564" i="27"/>
  <c r="BF564" i="27"/>
  <c r="BG556" i="27"/>
  <c r="BF556" i="27"/>
  <c r="BF548" i="27"/>
  <c r="BH548" i="27"/>
  <c r="BG532" i="27"/>
  <c r="BI532" i="27"/>
  <c r="BF532" i="27"/>
  <c r="BF524" i="27"/>
  <c r="BH524" i="27"/>
  <c r="BF516" i="27"/>
  <c r="BI516" i="27"/>
  <c r="BG508" i="27"/>
  <c r="BH508" i="27"/>
  <c r="BF508" i="27"/>
  <c r="BG500" i="27"/>
  <c r="BH500" i="27"/>
  <c r="BF500" i="27"/>
  <c r="BF492" i="27"/>
  <c r="BH492" i="27"/>
  <c r="BG472" i="27"/>
  <c r="BH472" i="27"/>
  <c r="BH460" i="27"/>
  <c r="BG460" i="27"/>
  <c r="BI460" i="27"/>
  <c r="BF460" i="27"/>
  <c r="BF452" i="27"/>
  <c r="BH452" i="27"/>
  <c r="BG427" i="27"/>
  <c r="BH427" i="27"/>
  <c r="BF427" i="27"/>
  <c r="BF419" i="27"/>
  <c r="BG419" i="27"/>
  <c r="BH411" i="27"/>
  <c r="BI411" i="27"/>
  <c r="BG411" i="27"/>
  <c r="BG403" i="27"/>
  <c r="BF403" i="27"/>
  <c r="BH403" i="27"/>
  <c r="BG395" i="27"/>
  <c r="BF395" i="27"/>
  <c r="BG387" i="27"/>
  <c r="BF387" i="27"/>
  <c r="BF379" i="27"/>
  <c r="BH379" i="27"/>
  <c r="BG379" i="27"/>
  <c r="BG371" i="27"/>
  <c r="BF371" i="27"/>
  <c r="BH371" i="27"/>
  <c r="BF359" i="27"/>
  <c r="BG359" i="27"/>
  <c r="BF347" i="27"/>
  <c r="BG347" i="27"/>
  <c r="BG339" i="27"/>
  <c r="BF339" i="27"/>
  <c r="BG331" i="27"/>
  <c r="BH331" i="27"/>
  <c r="BF331" i="27"/>
  <c r="BH307" i="27"/>
  <c r="BG307" i="27"/>
  <c r="BI307" i="27"/>
  <c r="BF307" i="27"/>
  <c r="BF299" i="27"/>
  <c r="BG299" i="27"/>
  <c r="BF291" i="27"/>
  <c r="BG291" i="27"/>
  <c r="BH283" i="27"/>
  <c r="BF283" i="27"/>
  <c r="BG283" i="27"/>
  <c r="BG275" i="27"/>
  <c r="BH275" i="27"/>
  <c r="BF267" i="27"/>
  <c r="BG267" i="27"/>
  <c r="BG259" i="27"/>
  <c r="BF259" i="27"/>
  <c r="BG251" i="27"/>
  <c r="BH251" i="27"/>
  <c r="BI251" i="27"/>
  <c r="BG243" i="27"/>
  <c r="BH243" i="27"/>
  <c r="BF243" i="27"/>
  <c r="BF235" i="27"/>
  <c r="BG235" i="27"/>
  <c r="BF227" i="27"/>
  <c r="BG227" i="27"/>
  <c r="BI227" i="27"/>
  <c r="BH219" i="27"/>
  <c r="BF219" i="27"/>
  <c r="BF211" i="27"/>
  <c r="BH211" i="27"/>
  <c r="BG211" i="27"/>
  <c r="BH203" i="27"/>
  <c r="BG203" i="27"/>
  <c r="BH199" i="27"/>
  <c r="BI199" i="27"/>
  <c r="BF187" i="27"/>
  <c r="BI187" i="27"/>
  <c r="BF178" i="27"/>
  <c r="BH178" i="27"/>
  <c r="BI178" i="27"/>
  <c r="BG178" i="27"/>
  <c r="BF170" i="27"/>
  <c r="BH170" i="27"/>
  <c r="BI170" i="27"/>
  <c r="BG170" i="27"/>
  <c r="BG162" i="27"/>
  <c r="BI162" i="27"/>
  <c r="BF154" i="27"/>
  <c r="BG154" i="27"/>
  <c r="BH154" i="27"/>
  <c r="BG146" i="27"/>
  <c r="BF146" i="27"/>
  <c r="BH146" i="27"/>
  <c r="BF129" i="27"/>
  <c r="BI129" i="27"/>
  <c r="BG129" i="27"/>
  <c r="BF121" i="27"/>
  <c r="BI121" i="27"/>
  <c r="BG121" i="27"/>
  <c r="BG105" i="27"/>
  <c r="BH105" i="27"/>
  <c r="BF105" i="27"/>
  <c r="BF101" i="27"/>
  <c r="BG101" i="27"/>
  <c r="BF97" i="27"/>
  <c r="BG97" i="27"/>
  <c r="BI81" i="27"/>
  <c r="BG81" i="27"/>
  <c r="BG68" i="27"/>
  <c r="BH68" i="27"/>
  <c r="BF68" i="27"/>
  <c r="BF58" i="27"/>
  <c r="BG58" i="27"/>
  <c r="BH58" i="27"/>
  <c r="BH42" i="27"/>
  <c r="BI42" i="27"/>
  <c r="BF42" i="27"/>
  <c r="BG42" i="27"/>
  <c r="BF34" i="27"/>
  <c r="BG34" i="27"/>
  <c r="BH34" i="27"/>
  <c r="BK18" i="27"/>
  <c r="BF18" i="27"/>
  <c r="BG18" i="27"/>
  <c r="BF10" i="27"/>
  <c r="BG10" i="27"/>
  <c r="BH10" i="27"/>
  <c r="BI10" i="27"/>
  <c r="A459" i="27"/>
  <c r="BA459" i="27"/>
  <c r="A394" i="27"/>
  <c r="BA394" i="27"/>
  <c r="A298" i="27"/>
  <c r="BA298" i="27"/>
  <c r="A120" i="27"/>
  <c r="BA120" i="27"/>
  <c r="BA169" i="27"/>
  <c r="BA554" i="27"/>
  <c r="BA644" i="27"/>
  <c r="BA640" i="27"/>
  <c r="M218" i="27"/>
  <c r="M491" i="27"/>
  <c r="BA599" i="27"/>
  <c r="BA502" i="27"/>
  <c r="BA649" i="27"/>
  <c r="BA490" i="27"/>
  <c r="BA341" i="27"/>
  <c r="BA168" i="27"/>
  <c r="BA48" i="27"/>
  <c r="M32" i="27"/>
  <c r="M119" i="27"/>
  <c r="AM225" i="27"/>
  <c r="AM46" i="27"/>
  <c r="AL325" i="27"/>
  <c r="AN325" i="27" s="1"/>
  <c r="AM16" i="27"/>
  <c r="AM95" i="27"/>
  <c r="AL62" i="27"/>
  <c r="AN62" i="27" s="1"/>
  <c r="AM150" i="27"/>
  <c r="AU378" i="27"/>
  <c r="AV378" i="27" s="1"/>
  <c r="AU59" i="27"/>
  <c r="AV59" i="27" s="1"/>
  <c r="AM154" i="27"/>
  <c r="BA650" i="27"/>
  <c r="BA619" i="27"/>
  <c r="BA555" i="27"/>
  <c r="BA507" i="27"/>
  <c r="BA475" i="27"/>
  <c r="BA426" i="27"/>
  <c r="BA314" i="27"/>
  <c r="BA282" i="27"/>
  <c r="BA186" i="27"/>
  <c r="BA137" i="27"/>
  <c r="BA88" i="27"/>
  <c r="AM341" i="27"/>
  <c r="AM245" i="27"/>
  <c r="AM99" i="27"/>
  <c r="AL502" i="27"/>
  <c r="AN502" i="27" s="1"/>
  <c r="AL197" i="27"/>
  <c r="AN197" i="27" s="1"/>
  <c r="M234" i="27"/>
  <c r="M120" i="27"/>
  <c r="BA539" i="27"/>
  <c r="BA491" i="27"/>
  <c r="BA442" i="27"/>
  <c r="BA410" i="27"/>
  <c r="BA378" i="27"/>
  <c r="BA250" i="27"/>
  <c r="BA218" i="27"/>
  <c r="BA104" i="27"/>
  <c r="BA17" i="27"/>
  <c r="AM405" i="27"/>
  <c r="AM261" i="27"/>
  <c r="AM127" i="27"/>
  <c r="AM87" i="27"/>
  <c r="AM12" i="27"/>
  <c r="AL309" i="27"/>
  <c r="AN309" i="27" s="1"/>
  <c r="AL56" i="27"/>
  <c r="AN56" i="27" s="1"/>
  <c r="M426" i="27"/>
  <c r="M202" i="27"/>
  <c r="M104" i="27"/>
  <c r="BA571" i="27"/>
  <c r="BA523" i="27"/>
  <c r="BA362" i="27"/>
  <c r="BA330" i="27"/>
  <c r="BA234" i="27"/>
  <c r="BA202" i="27"/>
  <c r="BA153" i="27"/>
  <c r="BA49" i="27"/>
  <c r="AM357" i="27"/>
  <c r="AM249" i="27"/>
  <c r="AM164" i="27"/>
  <c r="AM119" i="27"/>
  <c r="AM83" i="27"/>
  <c r="AM8" i="27"/>
  <c r="AL257" i="27"/>
  <c r="AN257" i="27" s="1"/>
  <c r="M250" i="27"/>
  <c r="M137" i="27"/>
  <c r="M67" i="27"/>
  <c r="AM373" i="27"/>
  <c r="AM295" i="27"/>
  <c r="AL486" i="27"/>
  <c r="AN486" i="27" s="1"/>
  <c r="AM351" i="27"/>
  <c r="AL389" i="27"/>
  <c r="AN389" i="27" s="1"/>
  <c r="AT433" i="27"/>
  <c r="AT641" i="27"/>
  <c r="BK599" i="27"/>
  <c r="BK566" i="27"/>
  <c r="BK463" i="27"/>
  <c r="BK430" i="27"/>
  <c r="BK173" i="27"/>
  <c r="BK141" i="27"/>
  <c r="BI582" i="27"/>
  <c r="BI518" i="27"/>
  <c r="BI414" i="27"/>
  <c r="BH534" i="27"/>
  <c r="BH398" i="27"/>
  <c r="BH261" i="27"/>
  <c r="BG575" i="27"/>
  <c r="BG309" i="27"/>
  <c r="BG277" i="27"/>
  <c r="BG148" i="27"/>
  <c r="BG83" i="27"/>
  <c r="BF591" i="27"/>
  <c r="BF559" i="27"/>
  <c r="BF527" i="27"/>
  <c r="BF325" i="27"/>
  <c r="BF222" i="27"/>
  <c r="BF115" i="27"/>
  <c r="BA518" i="27"/>
  <c r="BA405" i="27"/>
  <c r="BK495" i="27"/>
  <c r="BI614" i="27"/>
  <c r="BI447" i="27"/>
  <c r="BI350" i="27"/>
  <c r="BI318" i="27"/>
  <c r="BI12" i="27"/>
  <c r="BH566" i="27"/>
  <c r="BH430" i="27"/>
  <c r="BH325" i="27"/>
  <c r="BH293" i="27"/>
  <c r="BH157" i="27"/>
  <c r="BH124" i="27"/>
  <c r="BH53" i="27"/>
  <c r="BG638" i="27"/>
  <c r="BG607" i="27"/>
  <c r="BG437" i="27"/>
  <c r="BG405" i="27"/>
  <c r="BG373" i="27"/>
  <c r="BG341" i="27"/>
  <c r="BF623" i="27"/>
  <c r="BF254" i="27"/>
  <c r="BF148" i="27"/>
  <c r="BF37" i="27"/>
  <c r="BA651" i="27"/>
  <c r="BA181" i="27"/>
  <c r="BA62" i="27"/>
  <c r="AM353" i="27"/>
  <c r="AL337" i="27"/>
  <c r="AN337" i="27" s="1"/>
  <c r="BK591" i="27"/>
  <c r="BK559" i="27"/>
  <c r="BK357" i="27"/>
  <c r="BK325" i="27"/>
  <c r="BK293" i="27"/>
  <c r="BK261" i="27"/>
  <c r="BK197" i="27"/>
  <c r="BK99" i="27"/>
  <c r="BK62" i="27"/>
  <c r="BK28" i="27"/>
  <c r="BI575" i="27"/>
  <c r="BI543" i="27"/>
  <c r="BI511" i="27"/>
  <c r="BI479" i="27"/>
  <c r="BI277" i="27"/>
  <c r="BI245" i="27"/>
  <c r="BI115" i="27"/>
  <c r="BI83" i="27"/>
  <c r="BI44" i="27"/>
  <c r="BH630" i="27"/>
  <c r="BH527" i="27"/>
  <c r="BH357" i="27"/>
  <c r="BH254" i="27"/>
  <c r="BH222" i="27"/>
  <c r="BG302" i="27"/>
  <c r="BG270" i="27"/>
  <c r="BG141" i="27"/>
  <c r="BG108" i="27"/>
  <c r="BF486" i="27"/>
  <c r="BF421" i="27"/>
  <c r="BF318" i="27"/>
  <c r="BF108" i="27"/>
  <c r="BA51" i="27"/>
  <c r="BK454" i="27"/>
  <c r="BK421" i="27"/>
  <c r="BK389" i="27"/>
  <c r="BK131" i="27"/>
  <c r="BI607" i="27"/>
  <c r="BI405" i="27"/>
  <c r="BI373" i="27"/>
  <c r="BH559" i="27"/>
  <c r="BH389" i="27"/>
  <c r="BH286" i="27"/>
  <c r="BH12" i="27"/>
  <c r="BG566" i="27"/>
  <c r="BG534" i="27"/>
  <c r="BG366" i="27"/>
  <c r="BG334" i="27"/>
  <c r="BG71" i="27"/>
  <c r="BF582" i="27"/>
  <c r="BF518" i="27"/>
  <c r="BF454" i="27"/>
  <c r="BF213" i="27"/>
  <c r="BF141" i="27"/>
  <c r="BA645" i="27"/>
  <c r="BA389" i="27"/>
  <c r="BA277" i="27"/>
  <c r="BA164" i="27"/>
  <c r="AL289" i="27"/>
  <c r="AN289" i="27" s="1"/>
  <c r="BK623" i="27"/>
  <c r="BK486" i="27"/>
  <c r="BK164" i="27"/>
  <c r="BI638" i="27"/>
  <c r="BI309" i="27"/>
  <c r="BI206" i="27"/>
  <c r="BH421" i="27"/>
  <c r="BH318" i="27"/>
  <c r="BH148" i="27"/>
  <c r="BH44" i="27"/>
  <c r="BG630" i="27"/>
  <c r="BG599" i="27"/>
  <c r="BG495" i="27"/>
  <c r="BG463" i="27"/>
  <c r="BG430" i="27"/>
  <c r="BG398" i="27"/>
  <c r="BF614" i="27"/>
  <c r="BF550" i="27"/>
  <c r="BF350" i="27"/>
  <c r="BF245" i="27"/>
  <c r="BF28" i="27"/>
  <c r="BA582" i="27"/>
  <c r="BA486" i="27"/>
  <c r="BK518" i="27"/>
  <c r="BK350" i="27"/>
  <c r="BK318" i="27"/>
  <c r="BK254" i="27"/>
  <c r="BK222" i="27"/>
  <c r="BK53" i="27"/>
  <c r="BI437" i="27"/>
  <c r="BI341" i="27"/>
  <c r="BI238" i="27"/>
  <c r="BI173" i="27"/>
  <c r="BI141" i="27"/>
  <c r="BI108" i="27"/>
  <c r="BH653" i="27"/>
  <c r="BH623" i="27"/>
  <c r="BH591" i="27"/>
  <c r="BH486" i="27"/>
  <c r="BH454" i="27"/>
  <c r="BH350" i="27"/>
  <c r="BH181" i="27"/>
  <c r="BH83" i="27"/>
  <c r="BG164" i="27"/>
  <c r="BG28" i="27"/>
  <c r="BF414" i="27"/>
  <c r="BF382" i="27"/>
  <c r="BF277" i="27"/>
  <c r="BF173" i="27"/>
  <c r="BF62" i="27"/>
  <c r="BA373" i="27"/>
  <c r="BA261" i="27"/>
  <c r="BA148" i="27"/>
  <c r="BA44" i="27"/>
  <c r="BK550" i="27"/>
  <c r="BK382" i="27"/>
  <c r="BK286" i="27"/>
  <c r="BK190" i="27"/>
  <c r="BK92" i="27"/>
  <c r="BI534" i="27"/>
  <c r="BI502" i="27"/>
  <c r="BI470" i="27"/>
  <c r="BI398" i="27"/>
  <c r="BI270" i="27"/>
  <c r="BI71" i="27"/>
  <c r="BI37" i="27"/>
  <c r="BH382" i="27"/>
  <c r="BH213" i="27"/>
  <c r="BH115" i="27"/>
  <c r="BG293" i="27"/>
  <c r="BG261" i="27"/>
  <c r="BG197" i="27"/>
  <c r="BG131" i="27"/>
  <c r="BF645" i="27"/>
  <c r="BF511" i="27"/>
  <c r="BF479" i="27"/>
  <c r="BF447" i="27"/>
  <c r="BF309" i="27"/>
  <c r="BF206" i="27"/>
  <c r="BA470" i="27"/>
  <c r="AT414" i="27"/>
  <c r="AL160" i="27"/>
  <c r="AN160" i="27" s="1"/>
  <c r="BK582" i="27"/>
  <c r="BK479" i="27"/>
  <c r="BK447" i="27"/>
  <c r="BK414" i="27"/>
  <c r="BK157" i="27"/>
  <c r="BK124" i="27"/>
  <c r="BI566" i="27"/>
  <c r="BI366" i="27"/>
  <c r="BI302" i="27"/>
  <c r="BH550" i="27"/>
  <c r="BH414" i="27"/>
  <c r="BH245" i="27"/>
  <c r="BG591" i="27"/>
  <c r="BG229" i="27"/>
  <c r="BG62" i="27"/>
  <c r="BF607" i="27"/>
  <c r="BF575" i="27"/>
  <c r="BF543" i="27"/>
  <c r="BF238" i="27"/>
  <c r="BF131" i="27"/>
  <c r="BF99" i="27"/>
  <c r="BA636" i="27"/>
  <c r="BA566" i="27"/>
  <c r="BA245" i="27"/>
  <c r="BA131" i="27"/>
  <c r="BA28" i="27"/>
  <c r="AM24" i="27"/>
  <c r="M197" i="27"/>
  <c r="BK653" i="27"/>
  <c r="BK614" i="27"/>
  <c r="BK12" i="27"/>
  <c r="BI630" i="27"/>
  <c r="BI599" i="27"/>
  <c r="BI430" i="27"/>
  <c r="BI334" i="27"/>
  <c r="BH309" i="27"/>
  <c r="BH37" i="27"/>
  <c r="BG653" i="27"/>
  <c r="BG623" i="27"/>
  <c r="BG454" i="27"/>
  <c r="BG357" i="27"/>
  <c r="BG325" i="27"/>
  <c r="BG99" i="27"/>
  <c r="BF341" i="27"/>
  <c r="BF270" i="27"/>
  <c r="BF53" i="27"/>
  <c r="BA557" i="27"/>
  <c r="BA454" i="27"/>
  <c r="BA357" i="27"/>
  <c r="BG37" i="27"/>
  <c r="BK645" i="27"/>
  <c r="BK543" i="27"/>
  <c r="BK511" i="27"/>
  <c r="BK245" i="27"/>
  <c r="BI463" i="27"/>
  <c r="BI229" i="27"/>
  <c r="BI197" i="27"/>
  <c r="BI131" i="27"/>
  <c r="BH614" i="27"/>
  <c r="BH582" i="27"/>
  <c r="BH511" i="27"/>
  <c r="BH479" i="27"/>
  <c r="BH447" i="27"/>
  <c r="BH108" i="27"/>
  <c r="BH71" i="27"/>
  <c r="BG486" i="27"/>
  <c r="BG421" i="27"/>
  <c r="BG389" i="27"/>
  <c r="BG286" i="27"/>
  <c r="BG190" i="27"/>
  <c r="BG157" i="27"/>
  <c r="BF638" i="27"/>
  <c r="BF373" i="27"/>
  <c r="BF164" i="27"/>
  <c r="BA630" i="27"/>
  <c r="BA115" i="27"/>
  <c r="BA12" i="27"/>
  <c r="BK607" i="27"/>
  <c r="BK470" i="27"/>
  <c r="BK405" i="27"/>
  <c r="BK181" i="27"/>
  <c r="BK115" i="27"/>
  <c r="BI293" i="27"/>
  <c r="BI62" i="27"/>
  <c r="BH543" i="27"/>
  <c r="BH302" i="27"/>
  <c r="BH270" i="27"/>
  <c r="BG550" i="27"/>
  <c r="BG92" i="27"/>
  <c r="BF534" i="27"/>
  <c r="BF502" i="27"/>
  <c r="BF334" i="27"/>
  <c r="BF124" i="27"/>
  <c r="BA550" i="27"/>
  <c r="AM193" i="27"/>
  <c r="M115" i="27"/>
  <c r="BK638" i="27"/>
  <c r="BK437" i="27"/>
  <c r="BH334" i="27"/>
  <c r="BG382" i="27"/>
  <c r="BG12" i="27"/>
  <c r="BF366" i="27"/>
  <c r="BF229" i="27"/>
  <c r="BF157" i="27"/>
  <c r="BF44" i="27"/>
  <c r="BA621" i="27"/>
  <c r="BA325" i="27"/>
  <c r="BA213" i="27"/>
  <c r="BA99" i="27"/>
  <c r="BI190" i="27"/>
  <c r="BH502" i="27"/>
  <c r="BF398" i="27"/>
  <c r="BA534" i="27"/>
  <c r="BA421" i="27"/>
  <c r="BK366" i="27"/>
  <c r="BA614" i="27"/>
  <c r="BA309" i="27"/>
  <c r="BA197" i="27"/>
  <c r="BA83" i="27"/>
  <c r="AL417" i="27"/>
  <c r="AN417" i="27" s="1"/>
  <c r="M44" i="27"/>
  <c r="AU303" i="27"/>
  <c r="AV303" i="27" s="1"/>
  <c r="AT190" i="27"/>
  <c r="AM153" i="27"/>
  <c r="AL202" i="27"/>
  <c r="AN202" i="27" s="1"/>
  <c r="M518" i="27"/>
  <c r="AU302" i="27"/>
  <c r="AV302" i="27" s="1"/>
  <c r="AT124" i="27"/>
  <c r="AU420" i="27"/>
  <c r="AV420" i="27" s="1"/>
  <c r="AU98" i="27"/>
  <c r="AV98" i="27" s="1"/>
  <c r="AM282" i="27"/>
  <c r="BK102" i="27"/>
  <c r="BG284" i="27"/>
  <c r="BG280" i="27"/>
  <c r="AU401" i="27"/>
  <c r="AV401" i="27" s="1"/>
  <c r="AU127" i="27"/>
  <c r="AV127" i="27" s="1"/>
  <c r="AT594" i="27"/>
  <c r="AM169" i="27"/>
  <c r="AM17" i="27"/>
  <c r="AL378" i="27"/>
  <c r="AN378" i="27" s="1"/>
  <c r="AT562" i="27"/>
  <c r="AT385" i="27"/>
  <c r="AM523" i="27"/>
  <c r="AL459" i="27"/>
  <c r="AN459" i="27" s="1"/>
  <c r="AL266" i="27"/>
  <c r="AN266" i="27" s="1"/>
  <c r="BF644" i="27"/>
  <c r="AU578" i="27"/>
  <c r="AV578" i="27" s="1"/>
  <c r="AT305" i="27"/>
  <c r="AM410" i="27"/>
  <c r="AM250" i="27"/>
  <c r="AM120" i="27"/>
  <c r="AM88" i="27"/>
  <c r="AL507" i="27"/>
  <c r="AN507" i="27" s="1"/>
  <c r="AL104" i="27"/>
  <c r="AN104" i="27" s="1"/>
  <c r="BF509" i="27"/>
  <c r="BF505" i="27"/>
  <c r="BF420" i="27"/>
  <c r="AM587" i="27"/>
  <c r="AM314" i="27"/>
  <c r="AM165" i="27"/>
  <c r="AM49" i="27"/>
  <c r="AL362" i="27"/>
  <c r="AN362" i="27" s="1"/>
  <c r="AL298" i="27"/>
  <c r="AN298" i="27" s="1"/>
  <c r="BI598" i="27"/>
  <c r="AU379" i="27"/>
  <c r="AV379" i="27" s="1"/>
  <c r="AU299" i="27"/>
  <c r="AV299" i="27" s="1"/>
  <c r="AM571" i="27"/>
  <c r="AM475" i="27"/>
  <c r="AM394" i="27"/>
  <c r="AM137" i="27"/>
  <c r="AL650" i="27"/>
  <c r="AN650" i="27" s="1"/>
  <c r="AL186" i="27"/>
  <c r="AN186" i="27" s="1"/>
  <c r="AL67" i="27"/>
  <c r="AN67" i="27" s="1"/>
  <c r="BF489" i="27"/>
  <c r="AU460" i="27"/>
  <c r="AV460" i="27" s="1"/>
  <c r="AM641" i="27"/>
  <c r="AM539" i="27"/>
  <c r="AM442" i="27"/>
  <c r="AM234" i="27"/>
  <c r="BG487" i="27"/>
  <c r="BF583" i="27"/>
  <c r="BK471" i="27"/>
  <c r="BK358" i="27"/>
  <c r="BK132" i="27"/>
  <c r="BI551" i="27"/>
  <c r="BI406" i="27"/>
  <c r="BI230" i="27"/>
  <c r="BG567" i="27"/>
  <c r="BG422" i="27"/>
  <c r="BF519" i="27"/>
  <c r="BA397" i="27"/>
  <c r="AU501" i="27"/>
  <c r="AV501" i="27" s="1"/>
  <c r="AU158" i="27"/>
  <c r="AV158" i="27" s="1"/>
  <c r="AT228" i="27"/>
  <c r="AM375" i="27"/>
  <c r="AM161" i="27"/>
  <c r="BK214" i="27"/>
  <c r="BI198" i="27"/>
  <c r="BI116" i="27"/>
  <c r="BH646" i="27"/>
  <c r="BH615" i="27"/>
  <c r="BH262" i="27"/>
  <c r="BH230" i="27"/>
  <c r="BH84" i="27"/>
  <c r="BG358" i="27"/>
  <c r="BG246" i="27"/>
  <c r="BG132" i="27"/>
  <c r="BF374" i="27"/>
  <c r="BF29" i="27"/>
  <c r="BA606" i="27"/>
  <c r="BA542" i="27"/>
  <c r="BA462" i="27"/>
  <c r="BA156" i="27"/>
  <c r="BA70" i="27"/>
  <c r="AU447" i="27"/>
  <c r="AV447" i="27" s="1"/>
  <c r="AU99" i="27"/>
  <c r="AV99" i="27" s="1"/>
  <c r="AT147" i="27"/>
  <c r="AM603" i="27"/>
  <c r="AM361" i="27"/>
  <c r="BA317" i="27"/>
  <c r="BF342" i="27"/>
  <c r="BI487" i="27"/>
  <c r="BI342" i="27"/>
  <c r="BH438" i="27"/>
  <c r="BH406" i="27"/>
  <c r="BG326" i="27"/>
  <c r="BG214" i="27"/>
  <c r="BF600" i="27"/>
  <c r="BF487" i="27"/>
  <c r="BF278" i="27"/>
  <c r="BA381" i="27"/>
  <c r="BA301" i="27"/>
  <c r="AU404" i="27"/>
  <c r="AV404" i="27" s="1"/>
  <c r="AU71" i="27"/>
  <c r="AV71" i="27" s="1"/>
  <c r="AT82" i="27"/>
  <c r="AM34" i="27"/>
  <c r="M221" i="27"/>
  <c r="BF63" i="27"/>
  <c r="BK294" i="27"/>
  <c r="BK100" i="27"/>
  <c r="BI519" i="27"/>
  <c r="BF310" i="27"/>
  <c r="BK583" i="27"/>
  <c r="BK406" i="27"/>
  <c r="BK551" i="27"/>
  <c r="BI13" i="27"/>
  <c r="BH198" i="27"/>
  <c r="BH45" i="27"/>
  <c r="BG646" i="27"/>
  <c r="BG471" i="27"/>
  <c r="BG182" i="27"/>
  <c r="BA526" i="27"/>
  <c r="BA446" i="27"/>
  <c r="BA221" i="27"/>
  <c r="BA140" i="27"/>
  <c r="AT41" i="27"/>
  <c r="BF100" i="27"/>
  <c r="BA237" i="27"/>
  <c r="BK615" i="27"/>
  <c r="BI84" i="27"/>
  <c r="BF631" i="27"/>
  <c r="BI631" i="27"/>
  <c r="BK182" i="27"/>
  <c r="BK63" i="27"/>
  <c r="BI455" i="27"/>
  <c r="BI165" i="27"/>
  <c r="BI45" i="27"/>
  <c r="BH583" i="27"/>
  <c r="BH551" i="27"/>
  <c r="BF567" i="27"/>
  <c r="BF246" i="27"/>
  <c r="BK519" i="27"/>
  <c r="BI600" i="27"/>
  <c r="BI310" i="27"/>
  <c r="BI278" i="27"/>
  <c r="BH519" i="27"/>
  <c r="BH374" i="27"/>
  <c r="BH342" i="27"/>
  <c r="BH165" i="27"/>
  <c r="BH13" i="27"/>
  <c r="BG438" i="27"/>
  <c r="BG294" i="27"/>
  <c r="BG100" i="27"/>
  <c r="BF214" i="27"/>
  <c r="BF182" i="27"/>
  <c r="BA52" i="27"/>
  <c r="AU54" i="27"/>
  <c r="AV54" i="27" s="1"/>
  <c r="BK438" i="27"/>
  <c r="BK487" i="27"/>
  <c r="BK262" i="27"/>
  <c r="BH132" i="27"/>
  <c r="BG615" i="27"/>
  <c r="BG29" i="27"/>
  <c r="AM331" i="27"/>
  <c r="BH471" i="27"/>
  <c r="BK374" i="27"/>
  <c r="BA590" i="27"/>
  <c r="BI246" i="27"/>
  <c r="BF422" i="27"/>
  <c r="BF116" i="27"/>
  <c r="BA510" i="27"/>
  <c r="BA429" i="27"/>
  <c r="BA285" i="27"/>
  <c r="BA205" i="27"/>
  <c r="BA123" i="27"/>
  <c r="AU372" i="27"/>
  <c r="AV372" i="27" s="1"/>
  <c r="AM505" i="27"/>
  <c r="AM329" i="27"/>
  <c r="AM219" i="27"/>
  <c r="AM113" i="27"/>
  <c r="M365" i="27"/>
  <c r="BG503" i="27"/>
  <c r="BK149" i="27"/>
  <c r="BK29" i="27"/>
  <c r="BG583" i="27"/>
  <c r="BG63" i="27"/>
  <c r="BF535" i="27"/>
  <c r="BF455" i="27"/>
  <c r="BF149" i="27"/>
  <c r="BA365" i="27"/>
  <c r="BK230" i="27"/>
  <c r="BI567" i="27"/>
  <c r="BI422" i="27"/>
  <c r="BI132" i="27"/>
  <c r="BK631" i="27"/>
  <c r="BK455" i="27"/>
  <c r="BK342" i="27"/>
  <c r="BK116" i="27"/>
  <c r="BI535" i="27"/>
  <c r="BI390" i="27"/>
  <c r="BI214" i="27"/>
  <c r="BH310" i="27"/>
  <c r="BH278" i="27"/>
  <c r="BG551" i="27"/>
  <c r="BG262" i="27"/>
  <c r="BF390" i="27"/>
  <c r="BF84" i="27"/>
  <c r="BF45" i="27"/>
  <c r="BF13" i="27"/>
  <c r="AU366" i="27"/>
  <c r="AV366" i="27" s="1"/>
  <c r="AM203" i="27"/>
  <c r="AM101" i="27"/>
  <c r="AL41" i="27"/>
  <c r="AN41" i="27" s="1"/>
  <c r="BK600" i="27"/>
  <c r="BK422" i="27"/>
  <c r="BK310" i="27"/>
  <c r="BI503" i="27"/>
  <c r="BI182" i="27"/>
  <c r="BH455" i="27"/>
  <c r="BH63" i="27"/>
  <c r="BF615" i="27"/>
  <c r="BF358" i="27"/>
  <c r="BF326" i="27"/>
  <c r="BA494" i="27"/>
  <c r="BA349" i="27"/>
  <c r="BA269" i="27"/>
  <c r="BA189" i="27"/>
  <c r="BA107" i="27"/>
  <c r="BA36" i="27"/>
  <c r="BK84" i="27"/>
  <c r="BI646" i="27"/>
  <c r="BG230" i="27"/>
  <c r="BF294" i="27"/>
  <c r="BA413" i="27"/>
  <c r="BK567" i="27"/>
  <c r="BI471" i="27"/>
  <c r="BI326" i="27"/>
  <c r="BI149" i="27"/>
  <c r="BH390" i="27"/>
  <c r="BG198" i="27"/>
  <c r="BA558" i="27"/>
  <c r="AU635" i="27"/>
  <c r="AV635" i="27" s="1"/>
  <c r="AU277" i="27"/>
  <c r="AV277" i="27" s="1"/>
  <c r="AM395" i="27"/>
  <c r="AM283" i="27"/>
  <c r="AL632" i="27"/>
  <c r="AN632" i="27" s="1"/>
  <c r="AL346" i="27"/>
  <c r="AN346" i="27" s="1"/>
  <c r="AL184" i="27"/>
  <c r="AN184" i="27" s="1"/>
  <c r="BF262" i="27"/>
  <c r="BK45" i="27"/>
  <c r="BK13" i="27"/>
  <c r="BI438" i="27"/>
  <c r="BI29" i="27"/>
  <c r="BH535" i="27"/>
  <c r="BH503" i="27"/>
  <c r="BG165" i="27"/>
  <c r="BA622" i="27"/>
  <c r="BA333" i="27"/>
  <c r="BA253" i="27"/>
  <c r="BA172" i="27"/>
  <c r="BA20" i="27"/>
  <c r="AU592" i="27"/>
  <c r="AV592" i="27" s="1"/>
  <c r="AU260" i="27"/>
  <c r="AV260" i="27" s="1"/>
  <c r="AT308" i="27"/>
  <c r="AL620" i="27"/>
  <c r="AN620" i="27" s="1"/>
  <c r="BK165" i="27"/>
  <c r="BA478" i="27"/>
  <c r="BA91" i="27"/>
  <c r="AU163" i="27"/>
  <c r="AV163" i="27" s="1"/>
  <c r="AM393" i="27"/>
  <c r="AM277" i="27"/>
  <c r="AM68" i="27"/>
  <c r="AL330" i="27"/>
  <c r="AN330" i="27" s="1"/>
  <c r="M36" i="27"/>
  <c r="BH622" i="27"/>
  <c r="BH574" i="27"/>
  <c r="BH349" i="27"/>
  <c r="BH301" i="27"/>
  <c r="BG526" i="27"/>
  <c r="BG301" i="27"/>
  <c r="BF333" i="27"/>
  <c r="BF205" i="27"/>
  <c r="BF70" i="27"/>
  <c r="AU461" i="27"/>
  <c r="AV461" i="27" s="1"/>
  <c r="AU106" i="27"/>
  <c r="AV106" i="27" s="1"/>
  <c r="AT139" i="27"/>
  <c r="AM653" i="27"/>
  <c r="AM430" i="27"/>
  <c r="AL92" i="27"/>
  <c r="AN92" i="27" s="1"/>
  <c r="BI36" i="27"/>
  <c r="AT412" i="27"/>
  <c r="BI622" i="27"/>
  <c r="BA538" i="27"/>
  <c r="BA474" i="27"/>
  <c r="BA409" i="27"/>
  <c r="BA32" i="27"/>
  <c r="AM398" i="27"/>
  <c r="M325" i="27"/>
  <c r="BK365" i="27"/>
  <c r="BH397" i="27"/>
  <c r="BG349" i="27"/>
  <c r="BK563" i="27"/>
  <c r="BK338" i="27"/>
  <c r="BG547" i="27"/>
  <c r="BF354" i="27"/>
  <c r="BF96" i="27"/>
  <c r="BK189" i="27"/>
  <c r="BH542" i="27"/>
  <c r="BH446" i="27"/>
  <c r="BH194" i="27"/>
  <c r="BG370" i="27"/>
  <c r="BG70" i="27"/>
  <c r="BF301" i="27"/>
  <c r="BF172" i="27"/>
  <c r="BF36" i="27"/>
  <c r="BF9" i="27"/>
  <c r="AU238" i="27"/>
  <c r="AV238" i="27" s="1"/>
  <c r="AT373" i="27"/>
  <c r="AT37" i="27"/>
  <c r="AL293" i="27"/>
  <c r="AN293" i="27" s="1"/>
  <c r="AL53" i="27"/>
  <c r="AN53" i="27" s="1"/>
  <c r="M265" i="27"/>
  <c r="M103" i="27"/>
  <c r="BF652" i="27"/>
  <c r="BK91" i="27"/>
  <c r="BI91" i="27"/>
  <c r="BH642" i="27"/>
  <c r="BH221" i="27"/>
  <c r="BH36" i="27"/>
  <c r="BG499" i="27"/>
  <c r="BG397" i="27"/>
  <c r="BG322" i="27"/>
  <c r="BF526" i="27"/>
  <c r="BK510" i="27"/>
  <c r="BK112" i="27"/>
  <c r="BI595" i="27"/>
  <c r="BH590" i="27"/>
  <c r="BH317" i="27"/>
  <c r="BH269" i="27"/>
  <c r="BH57" i="27"/>
  <c r="BG226" i="27"/>
  <c r="BF627" i="27"/>
  <c r="BK434" i="27"/>
  <c r="BK386" i="27"/>
  <c r="BK285" i="27"/>
  <c r="BK237" i="27"/>
  <c r="BI642" i="27"/>
  <c r="BI542" i="27"/>
  <c r="BI365" i="27"/>
  <c r="BI290" i="27"/>
  <c r="BI189" i="27"/>
  <c r="BI57" i="27"/>
  <c r="BH515" i="27"/>
  <c r="BH418" i="27"/>
  <c r="BH242" i="27"/>
  <c r="BH140" i="27"/>
  <c r="BG595" i="27"/>
  <c r="BG446" i="27"/>
  <c r="BG274" i="27"/>
  <c r="BG123" i="27"/>
  <c r="BF574" i="27"/>
  <c r="BF478" i="27"/>
  <c r="BF402" i="27"/>
  <c r="BF274" i="27"/>
  <c r="BF145" i="27"/>
  <c r="BA345" i="27"/>
  <c r="BA281" i="27"/>
  <c r="BA217" i="27"/>
  <c r="BA152" i="27"/>
  <c r="BA87" i="27"/>
  <c r="AU236" i="27"/>
  <c r="AV236" i="27" s="1"/>
  <c r="AT334" i="27"/>
  <c r="AM586" i="27"/>
  <c r="AM313" i="27"/>
  <c r="AM229" i="27"/>
  <c r="AM148" i="27"/>
  <c r="AL454" i="27"/>
  <c r="AN454" i="27" s="1"/>
  <c r="AL157" i="27"/>
  <c r="AN157" i="27" s="1"/>
  <c r="M87" i="27"/>
  <c r="BI494" i="27"/>
  <c r="BF429" i="27"/>
  <c r="BK611" i="27"/>
  <c r="BI161" i="27"/>
  <c r="BF547" i="27"/>
  <c r="BF499" i="27"/>
  <c r="BF451" i="27"/>
  <c r="BF221" i="27"/>
  <c r="BF91" i="27"/>
  <c r="BA634" i="27"/>
  <c r="BA586" i="27"/>
  <c r="AU206" i="27"/>
  <c r="AV206" i="27" s="1"/>
  <c r="AU44" i="27"/>
  <c r="AV44" i="27" s="1"/>
  <c r="AL437" i="27"/>
  <c r="AN437" i="27" s="1"/>
  <c r="AL44" i="27"/>
  <c r="AN44" i="27" s="1"/>
  <c r="M249" i="27"/>
  <c r="BH91" i="27"/>
  <c r="BK57" i="27"/>
  <c r="BI418" i="27"/>
  <c r="BK558" i="27"/>
  <c r="BK333" i="27"/>
  <c r="BK161" i="27"/>
  <c r="BI515" i="27"/>
  <c r="BH467" i="27"/>
  <c r="BG642" i="27"/>
  <c r="BG542" i="27"/>
  <c r="BG494" i="27"/>
  <c r="BG418" i="27"/>
  <c r="BG317" i="27"/>
  <c r="BK606" i="27"/>
  <c r="BK531" i="27"/>
  <c r="BK107" i="27"/>
  <c r="BK52" i="27"/>
  <c r="BI590" i="27"/>
  <c r="BI462" i="27"/>
  <c r="BI413" i="27"/>
  <c r="BI338" i="27"/>
  <c r="BI210" i="27"/>
  <c r="BH611" i="27"/>
  <c r="BH563" i="27"/>
  <c r="BH338" i="27"/>
  <c r="BH290" i="27"/>
  <c r="BH189" i="27"/>
  <c r="BH52" i="27"/>
  <c r="BG515" i="27"/>
  <c r="BG365" i="27"/>
  <c r="BF622" i="27"/>
  <c r="BF322" i="27"/>
  <c r="BF194" i="27"/>
  <c r="BF57" i="27"/>
  <c r="BA522" i="27"/>
  <c r="BA458" i="27"/>
  <c r="BA16" i="27"/>
  <c r="AU205" i="27"/>
  <c r="AV205" i="27" s="1"/>
  <c r="AU27" i="27"/>
  <c r="AV27" i="27" s="1"/>
  <c r="AM570" i="27"/>
  <c r="AM131" i="27"/>
  <c r="AL421" i="27"/>
  <c r="AN421" i="27" s="1"/>
  <c r="AL141" i="27"/>
  <c r="AN141" i="27" s="1"/>
  <c r="M66" i="27"/>
  <c r="BG253" i="27"/>
  <c r="BK140" i="27"/>
  <c r="BI140" i="27"/>
  <c r="BH494" i="27"/>
  <c r="BH370" i="27"/>
  <c r="BH9" i="27"/>
  <c r="BF226" i="27"/>
  <c r="BK652" i="27"/>
  <c r="BK210" i="27"/>
  <c r="BI112" i="27"/>
  <c r="BH637" i="27"/>
  <c r="BH112" i="27"/>
  <c r="BK627" i="27"/>
  <c r="BK579" i="27"/>
  <c r="BK429" i="27"/>
  <c r="BK381" i="27"/>
  <c r="BK306" i="27"/>
  <c r="BK258" i="27"/>
  <c r="BK25" i="27"/>
  <c r="BI637" i="27"/>
  <c r="BI563" i="27"/>
  <c r="BI434" i="27"/>
  <c r="BI386" i="27"/>
  <c r="BI285" i="27"/>
  <c r="BI52" i="27"/>
  <c r="BI25" i="27"/>
  <c r="BH510" i="27"/>
  <c r="BH413" i="27"/>
  <c r="BH237" i="27"/>
  <c r="BH161" i="27"/>
  <c r="BG590" i="27"/>
  <c r="BG467" i="27"/>
  <c r="BG269" i="27"/>
  <c r="BG36" i="27"/>
  <c r="BF595" i="27"/>
  <c r="BF269" i="27"/>
  <c r="BF140" i="27"/>
  <c r="AU380" i="27"/>
  <c r="AV380" i="27" s="1"/>
  <c r="AU196" i="27"/>
  <c r="AV196" i="27" s="1"/>
  <c r="AU19" i="27"/>
  <c r="AV19" i="27" s="1"/>
  <c r="AT286" i="27"/>
  <c r="AM379" i="27"/>
  <c r="AM213" i="27"/>
  <c r="AM50" i="27"/>
  <c r="AL638" i="27"/>
  <c r="AN638" i="27" s="1"/>
  <c r="AL37" i="27"/>
  <c r="AN37" i="27" s="1"/>
  <c r="M62" i="27"/>
  <c r="BF381" i="27"/>
  <c r="BF253" i="27"/>
  <c r="BF123" i="27"/>
  <c r="BK462" i="27"/>
  <c r="BI242" i="27"/>
  <c r="BG622" i="27"/>
  <c r="BI317" i="27"/>
  <c r="BK483" i="27"/>
  <c r="BK478" i="27"/>
  <c r="BK402" i="27"/>
  <c r="BK354" i="27"/>
  <c r="BK205" i="27"/>
  <c r="BK156" i="27"/>
  <c r="BI611" i="27"/>
  <c r="BI510" i="27"/>
  <c r="BI258" i="27"/>
  <c r="BI156" i="27"/>
  <c r="BI107" i="27"/>
  <c r="BH386" i="27"/>
  <c r="BH25" i="27"/>
  <c r="BG637" i="27"/>
  <c r="BG413" i="27"/>
  <c r="BG338" i="27"/>
  <c r="BG290" i="27"/>
  <c r="BG242" i="27"/>
  <c r="BF494" i="27"/>
  <c r="BF446" i="27"/>
  <c r="BA393" i="27"/>
  <c r="BA329" i="27"/>
  <c r="BA265" i="27"/>
  <c r="BA201" i="27"/>
  <c r="BA136" i="27"/>
  <c r="BA66" i="27"/>
  <c r="AU636" i="27"/>
  <c r="AV636" i="27" s="1"/>
  <c r="AU12" i="27"/>
  <c r="AV12" i="27" s="1"/>
  <c r="AT284" i="27"/>
  <c r="AL28" i="27"/>
  <c r="AN28" i="27" s="1"/>
  <c r="M48" i="27"/>
  <c r="BG574" i="27"/>
  <c r="BI205" i="27"/>
  <c r="BH606" i="27"/>
  <c r="BH558" i="27"/>
  <c r="BG510" i="27"/>
  <c r="BF642" i="27"/>
  <c r="BF189" i="27"/>
  <c r="BF52" i="27"/>
  <c r="BF25" i="27"/>
  <c r="BA570" i="27"/>
  <c r="AU188" i="27"/>
  <c r="AV188" i="27" s="1"/>
  <c r="AL254" i="27"/>
  <c r="AN254" i="27" s="1"/>
  <c r="M213" i="27"/>
  <c r="BK413" i="27"/>
  <c r="BK526" i="27"/>
  <c r="BI333" i="27"/>
  <c r="BH462" i="27"/>
  <c r="BH285" i="27"/>
  <c r="BK301" i="27"/>
  <c r="BK253" i="27"/>
  <c r="BK20" i="27"/>
  <c r="BI429" i="27"/>
  <c r="BI381" i="27"/>
  <c r="BI306" i="27"/>
  <c r="BI20" i="27"/>
  <c r="BH531" i="27"/>
  <c r="BH156" i="27"/>
  <c r="BG611" i="27"/>
  <c r="BA506" i="27"/>
  <c r="BA441" i="27"/>
  <c r="AT220" i="27"/>
  <c r="AM115" i="27"/>
  <c r="BI70" i="27"/>
  <c r="BH579" i="27"/>
  <c r="BH306" i="27"/>
  <c r="BH70" i="27"/>
  <c r="BF210" i="27"/>
  <c r="BA618" i="27"/>
  <c r="BA377" i="27"/>
  <c r="BA313" i="27"/>
  <c r="BA249" i="27"/>
  <c r="BA185" i="27"/>
  <c r="BA119" i="27"/>
  <c r="AU541" i="27"/>
  <c r="AV541" i="27" s="1"/>
  <c r="AU332" i="27"/>
  <c r="AV332" i="27" s="1"/>
  <c r="AU157" i="27"/>
  <c r="AV157" i="27" s="1"/>
  <c r="AT180" i="27"/>
  <c r="AM460" i="27"/>
  <c r="AM267" i="27"/>
  <c r="AM181" i="27"/>
  <c r="AM105" i="27"/>
  <c r="AM31" i="27"/>
  <c r="AL540" i="27"/>
  <c r="AN540" i="27" s="1"/>
  <c r="M181" i="27"/>
  <c r="M28" i="27"/>
  <c r="AL108" i="27"/>
  <c r="AN108" i="27" s="1"/>
  <c r="BI478" i="27"/>
  <c r="AU533" i="27"/>
  <c r="AV533" i="27" s="1"/>
  <c r="AU325" i="27"/>
  <c r="AV325" i="27" s="1"/>
  <c r="AU130" i="27"/>
  <c r="AV130" i="27" s="1"/>
  <c r="AT477" i="27"/>
  <c r="AT148" i="27"/>
  <c r="AM447" i="27"/>
  <c r="AM352" i="27"/>
  <c r="M148" i="27"/>
  <c r="M16" i="27"/>
  <c r="AU611" i="27"/>
  <c r="AV611" i="27" s="1"/>
  <c r="AT611" i="27"/>
  <c r="AT591" i="27"/>
  <c r="AU591" i="27"/>
  <c r="AV591" i="27" s="1"/>
  <c r="AU559" i="27"/>
  <c r="AV559" i="27" s="1"/>
  <c r="AT559" i="27"/>
  <c r="A592" i="27"/>
  <c r="BA592" i="27"/>
  <c r="A560" i="27"/>
  <c r="BA560" i="27"/>
  <c r="A548" i="27"/>
  <c r="BA548" i="27"/>
  <c r="A540" i="27"/>
  <c r="BA540" i="27"/>
  <c r="A480" i="27"/>
  <c r="BA480" i="27"/>
  <c r="A468" i="27"/>
  <c r="BA468" i="27"/>
  <c r="A460" i="27"/>
  <c r="BA460" i="27"/>
  <c r="A415" i="27"/>
  <c r="BA415" i="27"/>
  <c r="A395" i="27"/>
  <c r="BA395" i="27"/>
  <c r="A335" i="27"/>
  <c r="BA335" i="27"/>
  <c r="A299" i="27"/>
  <c r="BA299" i="27"/>
  <c r="A287" i="27"/>
  <c r="BA287" i="27"/>
  <c r="A223" i="27"/>
  <c r="BA223" i="27"/>
  <c r="A203" i="27"/>
  <c r="BA203" i="27"/>
  <c r="A191" i="27"/>
  <c r="BA191" i="27"/>
  <c r="A178" i="27"/>
  <c r="BA178" i="27"/>
  <c r="A170" i="27"/>
  <c r="BA170" i="27"/>
  <c r="A158" i="27"/>
  <c r="BA158" i="27"/>
  <c r="A146" i="27"/>
  <c r="BA146" i="27"/>
  <c r="A142" i="27"/>
  <c r="BA142" i="27"/>
  <c r="A105" i="27"/>
  <c r="BA105" i="27"/>
  <c r="A89" i="27"/>
  <c r="BA89" i="27"/>
  <c r="A54" i="27"/>
  <c r="BA54" i="27"/>
  <c r="A42" i="27"/>
  <c r="BA42" i="27"/>
  <c r="A22" i="27"/>
  <c r="BA22" i="27"/>
  <c r="A10" i="27"/>
  <c r="BA10" i="27"/>
  <c r="BF648" i="27"/>
  <c r="BG648" i="27"/>
  <c r="BI648" i="27"/>
  <c r="BK648" i="27"/>
  <c r="BF629" i="27"/>
  <c r="BK629" i="27"/>
  <c r="BG629" i="27"/>
  <c r="BI629" i="27"/>
  <c r="BF617" i="27"/>
  <c r="BH617" i="27"/>
  <c r="BF602" i="27"/>
  <c r="BH602" i="27"/>
  <c r="BG602" i="27"/>
  <c r="BK602" i="27"/>
  <c r="BI602" i="27"/>
  <c r="BH581" i="27"/>
  <c r="BG581" i="27"/>
  <c r="BF581" i="27"/>
  <c r="BI581" i="27"/>
  <c r="BK581" i="27"/>
  <c r="BF565" i="27"/>
  <c r="BG565" i="27"/>
  <c r="BK565" i="27"/>
  <c r="BI565" i="27"/>
  <c r="BI549" i="27"/>
  <c r="BF549" i="27"/>
  <c r="BH549" i="27"/>
  <c r="BF533" i="27"/>
  <c r="BH533" i="27"/>
  <c r="BG533" i="27"/>
  <c r="BK533" i="27"/>
  <c r="BF485" i="27"/>
  <c r="BI485" i="27"/>
  <c r="BG485" i="27"/>
  <c r="BH485" i="27"/>
  <c r="BG473" i="27"/>
  <c r="BK473" i="27"/>
  <c r="BF473" i="27"/>
  <c r="BI473" i="27"/>
  <c r="BF461" i="27"/>
  <c r="BH461" i="27"/>
  <c r="BK461" i="27"/>
  <c r="BI461" i="27"/>
  <c r="BI445" i="27"/>
  <c r="BF445" i="27"/>
  <c r="BG445" i="27"/>
  <c r="BF436" i="27"/>
  <c r="BH436" i="27"/>
  <c r="BI436" i="27"/>
  <c r="BK428" i="27"/>
  <c r="BG428" i="27"/>
  <c r="BF428" i="27"/>
  <c r="BH428" i="27"/>
  <c r="BG424" i="27"/>
  <c r="BK424" i="27"/>
  <c r="BF424" i="27"/>
  <c r="BH424" i="27"/>
  <c r="BK412" i="27"/>
  <c r="BF412" i="27"/>
  <c r="BG412" i="27"/>
  <c r="BH412" i="27"/>
  <c r="BI412" i="27"/>
  <c r="BF372" i="27"/>
  <c r="BH372" i="27"/>
  <c r="BG372" i="27"/>
  <c r="BI372" i="27"/>
  <c r="BF344" i="27"/>
  <c r="BG344" i="27"/>
  <c r="BK344" i="27"/>
  <c r="BH344" i="27"/>
  <c r="BI344" i="27"/>
  <c r="BF332" i="27"/>
  <c r="BH332" i="27"/>
  <c r="BI332" i="27"/>
  <c r="BG324" i="27"/>
  <c r="BK324" i="27"/>
  <c r="BH324" i="27"/>
  <c r="BF324" i="27"/>
  <c r="BI324" i="27"/>
  <c r="BG316" i="27"/>
  <c r="BF316" i="27"/>
  <c r="BI316" i="27"/>
  <c r="BK316" i="27"/>
  <c r="BF308" i="27"/>
  <c r="BH308" i="27"/>
  <c r="BG308" i="27"/>
  <c r="BI308" i="27"/>
  <c r="BK308" i="27"/>
  <c r="BF296" i="27"/>
  <c r="BK296" i="27"/>
  <c r="BH296" i="27"/>
  <c r="BI296" i="27"/>
  <c r="BH280" i="27"/>
  <c r="BI280" i="27"/>
  <c r="BF264" i="27"/>
  <c r="BH264" i="27"/>
  <c r="BI264" i="27"/>
  <c r="BG264" i="27"/>
  <c r="BK264" i="27"/>
  <c r="BG252" i="27"/>
  <c r="BK252" i="27"/>
  <c r="BF228" i="27"/>
  <c r="BK228" i="27"/>
  <c r="BG228" i="27"/>
  <c r="BG216" i="27"/>
  <c r="BH216" i="27"/>
  <c r="BI216" i="27"/>
  <c r="BF216" i="27"/>
  <c r="BF196" i="27"/>
  <c r="BI196" i="27"/>
  <c r="BH196" i="27"/>
  <c r="BG196" i="27"/>
  <c r="BG147" i="27"/>
  <c r="BI147" i="27"/>
  <c r="BF147" i="27"/>
  <c r="BH147" i="27"/>
  <c r="BF135" i="27"/>
  <c r="BG135" i="27"/>
  <c r="BH135" i="27"/>
  <c r="BK135" i="27"/>
  <c r="BI130" i="27"/>
  <c r="BG130" i="27"/>
  <c r="BH130" i="27"/>
  <c r="BK130" i="27"/>
  <c r="BF114" i="27"/>
  <c r="BG114" i="27"/>
  <c r="BH114" i="27"/>
  <c r="BK114" i="27"/>
  <c r="BK98" i="27"/>
  <c r="BF98" i="27"/>
  <c r="BI98" i="27"/>
  <c r="BG82" i="27"/>
  <c r="BF82" i="27"/>
  <c r="BI82" i="27"/>
  <c r="BH82" i="27"/>
  <c r="BF35" i="27"/>
  <c r="BI35" i="27"/>
  <c r="BG35" i="27"/>
  <c r="BH35" i="27"/>
  <c r="BK35" i="27"/>
  <c r="BK372" i="27"/>
  <c r="BK82" i="27"/>
  <c r="BI252" i="27"/>
  <c r="BI114" i="27"/>
  <c r="BH565" i="27"/>
  <c r="BH19" i="27"/>
  <c r="BG260" i="27"/>
  <c r="BF252" i="27"/>
  <c r="BF248" i="27"/>
  <c r="BA267" i="27"/>
  <c r="BA259" i="27"/>
  <c r="BA68" i="27"/>
  <c r="AT575" i="27"/>
  <c r="AU575" i="27"/>
  <c r="AV575" i="27" s="1"/>
  <c r="AU511" i="27"/>
  <c r="AV511" i="27" s="1"/>
  <c r="AT511" i="27"/>
  <c r="AT503" i="27"/>
  <c r="AU503" i="27"/>
  <c r="AV503" i="27" s="1"/>
  <c r="AU479" i="27"/>
  <c r="AV479" i="27" s="1"/>
  <c r="AT479" i="27"/>
  <c r="M639" i="27"/>
  <c r="BA639" i="27"/>
  <c r="A528" i="27"/>
  <c r="BA528" i="27"/>
  <c r="A516" i="27"/>
  <c r="BA516" i="27"/>
  <c r="A508" i="27"/>
  <c r="BA508" i="27"/>
  <c r="A496" i="27"/>
  <c r="BA496" i="27"/>
  <c r="A476" i="27"/>
  <c r="BA476" i="27"/>
  <c r="A464" i="27"/>
  <c r="BA464" i="27"/>
  <c r="A448" i="27"/>
  <c r="BA448" i="27"/>
  <c r="A435" i="27"/>
  <c r="BA435" i="27"/>
  <c r="A427" i="27"/>
  <c r="BA427" i="27"/>
  <c r="A399" i="27"/>
  <c r="BA399" i="27"/>
  <c r="A379" i="27"/>
  <c r="BA379" i="27"/>
  <c r="A367" i="27"/>
  <c r="BA367" i="27"/>
  <c r="A347" i="27"/>
  <c r="BA347" i="27"/>
  <c r="A315" i="27"/>
  <c r="BA315" i="27"/>
  <c r="A303" i="27"/>
  <c r="BA303" i="27"/>
  <c r="A283" i="27"/>
  <c r="BA283" i="27"/>
  <c r="A271" i="27"/>
  <c r="BA271" i="27"/>
  <c r="A251" i="27"/>
  <c r="BA251" i="27"/>
  <c r="A239" i="27"/>
  <c r="BA239" i="27"/>
  <c r="A227" i="27"/>
  <c r="BA227" i="27"/>
  <c r="A219" i="27"/>
  <c r="BA219" i="27"/>
  <c r="A207" i="27"/>
  <c r="BA207" i="27"/>
  <c r="A174" i="27"/>
  <c r="BA174" i="27"/>
  <c r="A154" i="27"/>
  <c r="BA154" i="27"/>
  <c r="A121" i="27"/>
  <c r="BA121" i="27"/>
  <c r="A109" i="27"/>
  <c r="BA109" i="27"/>
  <c r="A93" i="27"/>
  <c r="BA93" i="27"/>
  <c r="A81" i="27"/>
  <c r="BA81" i="27"/>
  <c r="A72" i="27"/>
  <c r="BA72" i="27"/>
  <c r="A50" i="27"/>
  <c r="BA50" i="27"/>
  <c r="A38" i="27"/>
  <c r="BA38" i="27"/>
  <c r="A18" i="27"/>
  <c r="BA18" i="27"/>
  <c r="BH644" i="27"/>
  <c r="BG644" i="27"/>
  <c r="BI644" i="27"/>
  <c r="BG633" i="27"/>
  <c r="BI633" i="27"/>
  <c r="BK633" i="27"/>
  <c r="BF633" i="27"/>
  <c r="BH633" i="27"/>
  <c r="BF621" i="27"/>
  <c r="BH621" i="27"/>
  <c r="BF598" i="27"/>
  <c r="BH598" i="27"/>
  <c r="BG598" i="27"/>
  <c r="BF585" i="27"/>
  <c r="BG585" i="27"/>
  <c r="BI585" i="27"/>
  <c r="BK585" i="27"/>
  <c r="BF569" i="27"/>
  <c r="BI569" i="27"/>
  <c r="BK569" i="27"/>
  <c r="BH569" i="27"/>
  <c r="BF557" i="27"/>
  <c r="BH557" i="27"/>
  <c r="BK557" i="27"/>
  <c r="BG557" i="27"/>
  <c r="BF553" i="27"/>
  <c r="BH553" i="27"/>
  <c r="BG553" i="27"/>
  <c r="BK553" i="27"/>
  <c r="BH541" i="27"/>
  <c r="BK541" i="27"/>
  <c r="BG541" i="27"/>
  <c r="BI541" i="27"/>
  <c r="BH517" i="27"/>
  <c r="BK517" i="27"/>
  <c r="BF517" i="27"/>
  <c r="BG517" i="27"/>
  <c r="BI517" i="27"/>
  <c r="BI505" i="27"/>
  <c r="BH505" i="27"/>
  <c r="BK493" i="27"/>
  <c r="BH493" i="27"/>
  <c r="BG493" i="27"/>
  <c r="BG469" i="27"/>
  <c r="BK469" i="27"/>
  <c r="BF453" i="27"/>
  <c r="BG453" i="27"/>
  <c r="BH453" i="27"/>
  <c r="BK453" i="27"/>
  <c r="BI453" i="27"/>
  <c r="BG404" i="27"/>
  <c r="BK404" i="27"/>
  <c r="BF404" i="27"/>
  <c r="BH404" i="27"/>
  <c r="BF392" i="27"/>
  <c r="BH392" i="27"/>
  <c r="BG392" i="27"/>
  <c r="BI392" i="27"/>
  <c r="BG380" i="27"/>
  <c r="BI380" i="27"/>
  <c r="BF380" i="27"/>
  <c r="BK380" i="27"/>
  <c r="BG360" i="27"/>
  <c r="BK360" i="27"/>
  <c r="BF360" i="27"/>
  <c r="BH360" i="27"/>
  <c r="BG292" i="27"/>
  <c r="BK292" i="27"/>
  <c r="BF292" i="27"/>
  <c r="BF276" i="27"/>
  <c r="BG276" i="27"/>
  <c r="BK276" i="27"/>
  <c r="BH276" i="27"/>
  <c r="BI276" i="27"/>
  <c r="BF268" i="27"/>
  <c r="BH268" i="27"/>
  <c r="BI268" i="27"/>
  <c r="BG268" i="27"/>
  <c r="BK268" i="27"/>
  <c r="BF244" i="27"/>
  <c r="BG244" i="27"/>
  <c r="BH244" i="27"/>
  <c r="BI244" i="27"/>
  <c r="BK244" i="27"/>
  <c r="BK232" i="27"/>
  <c r="BG232" i="27"/>
  <c r="BH232" i="27"/>
  <c r="BI232" i="27"/>
  <c r="BG220" i="27"/>
  <c r="BH220" i="27"/>
  <c r="BI220" i="27"/>
  <c r="BF220" i="27"/>
  <c r="BF200" i="27"/>
  <c r="BG200" i="27"/>
  <c r="BH200" i="27"/>
  <c r="BI200" i="27"/>
  <c r="BK200" i="27"/>
  <c r="BG188" i="27"/>
  <c r="BK188" i="27"/>
  <c r="BF188" i="27"/>
  <c r="BI188" i="27"/>
  <c r="BF180" i="27"/>
  <c r="BG180" i="27"/>
  <c r="BH180" i="27"/>
  <c r="BK180" i="27"/>
  <c r="BG167" i="27"/>
  <c r="BI167" i="27"/>
  <c r="BF167" i="27"/>
  <c r="BH167" i="27"/>
  <c r="BK163" i="27"/>
  <c r="BG163" i="27"/>
  <c r="BI163" i="27"/>
  <c r="BI155" i="27"/>
  <c r="BF155" i="27"/>
  <c r="BH155" i="27"/>
  <c r="BK155" i="27"/>
  <c r="BK118" i="27"/>
  <c r="BF118" i="27"/>
  <c r="BI118" i="27"/>
  <c r="BF106" i="27"/>
  <c r="BI106" i="27"/>
  <c r="BH106" i="27"/>
  <c r="BG86" i="27"/>
  <c r="BF86" i="27"/>
  <c r="BI86" i="27"/>
  <c r="BH86" i="27"/>
  <c r="BK86" i="27"/>
  <c r="BF69" i="27"/>
  <c r="BH69" i="27"/>
  <c r="BK69" i="27"/>
  <c r="BG69" i="27"/>
  <c r="BG59" i="27"/>
  <c r="BH59" i="27"/>
  <c r="BF59" i="27"/>
  <c r="BK59" i="27"/>
  <c r="BF51" i="27"/>
  <c r="BK51" i="27"/>
  <c r="BI51" i="27"/>
  <c r="BG51" i="27"/>
  <c r="BF43" i="27"/>
  <c r="BH43" i="27"/>
  <c r="BK43" i="27"/>
  <c r="BI43" i="27"/>
  <c r="BF31" i="27"/>
  <c r="BI31" i="27"/>
  <c r="BG31" i="27"/>
  <c r="BH31" i="27"/>
  <c r="BK31" i="27"/>
  <c r="BF15" i="27"/>
  <c r="BI15" i="27"/>
  <c r="BG15" i="27"/>
  <c r="BK549" i="27"/>
  <c r="BK167" i="27"/>
  <c r="BI493" i="27"/>
  <c r="BH648" i="27"/>
  <c r="BH473" i="27"/>
  <c r="BH469" i="27"/>
  <c r="BH292" i="27"/>
  <c r="BH122" i="27"/>
  <c r="BH15" i="27"/>
  <c r="BG569" i="27"/>
  <c r="BG461" i="27"/>
  <c r="BG43" i="27"/>
  <c r="BK445" i="27"/>
  <c r="BK440" i="27"/>
  <c r="BK436" i="27"/>
  <c r="BK147" i="27"/>
  <c r="BI557" i="27"/>
  <c r="BI553" i="27"/>
  <c r="BI469" i="27"/>
  <c r="BI228" i="27"/>
  <c r="BI180" i="27"/>
  <c r="BH629" i="27"/>
  <c r="BH445" i="27"/>
  <c r="BH188" i="27"/>
  <c r="BH98" i="27"/>
  <c r="BG549" i="27"/>
  <c r="BG436" i="27"/>
  <c r="BG332" i="27"/>
  <c r="BG118" i="27"/>
  <c r="BG106" i="27"/>
  <c r="BG98" i="27"/>
  <c r="BF541" i="27"/>
  <c r="BF130" i="27"/>
  <c r="AU623" i="27"/>
  <c r="AV623" i="27" s="1"/>
  <c r="AT623" i="27"/>
  <c r="AT527" i="27"/>
  <c r="AU527" i="27"/>
  <c r="AV527" i="27" s="1"/>
  <c r="AU495" i="27"/>
  <c r="AV495" i="27" s="1"/>
  <c r="AT495" i="27"/>
  <c r="M654" i="27"/>
  <c r="BA654" i="27"/>
  <c r="A643" i="27"/>
  <c r="BA643" i="27"/>
  <c r="A635" i="27"/>
  <c r="BA635" i="27"/>
  <c r="A620" i="27"/>
  <c r="BA620" i="27"/>
  <c r="A608" i="27"/>
  <c r="BA608" i="27"/>
  <c r="A576" i="27"/>
  <c r="BA576" i="27"/>
  <c r="A556" i="27"/>
  <c r="BA556" i="27"/>
  <c r="A544" i="27"/>
  <c r="BA544" i="27"/>
  <c r="A524" i="27"/>
  <c r="BA524" i="27"/>
  <c r="A512" i="27"/>
  <c r="BA512" i="27"/>
  <c r="A492" i="27"/>
  <c r="BA492" i="27"/>
  <c r="A443" i="27"/>
  <c r="BA443" i="27"/>
  <c r="A411" i="27"/>
  <c r="BA411" i="27"/>
  <c r="A383" i="27"/>
  <c r="BA383" i="27"/>
  <c r="A363" i="27"/>
  <c r="BA363" i="27"/>
  <c r="A351" i="27"/>
  <c r="BA351" i="27"/>
  <c r="A339" i="27"/>
  <c r="BA339" i="27"/>
  <c r="A255" i="27"/>
  <c r="BA255" i="27"/>
  <c r="A235" i="27"/>
  <c r="BA235" i="27"/>
  <c r="A187" i="27"/>
  <c r="BA187" i="27"/>
  <c r="A34" i="27"/>
  <c r="BA34" i="27"/>
  <c r="BF651" i="27"/>
  <c r="BK651" i="27"/>
  <c r="BG651" i="27"/>
  <c r="BI651" i="27"/>
  <c r="BG636" i="27"/>
  <c r="BI636" i="27"/>
  <c r="BK636" i="27"/>
  <c r="BF636" i="27"/>
  <c r="BH636" i="27"/>
  <c r="BI613" i="27"/>
  <c r="BK613" i="27"/>
  <c r="BF613" i="27"/>
  <c r="BH613" i="27"/>
  <c r="BF605" i="27"/>
  <c r="BH605" i="27"/>
  <c r="BK605" i="27"/>
  <c r="BG605" i="27"/>
  <c r="BI605" i="27"/>
  <c r="BF589" i="27"/>
  <c r="BG589" i="27"/>
  <c r="BI589" i="27"/>
  <c r="BK589" i="27"/>
  <c r="BF573" i="27"/>
  <c r="BI573" i="27"/>
  <c r="BK573" i="27"/>
  <c r="BH573" i="27"/>
  <c r="BH537" i="27"/>
  <c r="BG537" i="27"/>
  <c r="BK537" i="27"/>
  <c r="BI537" i="27"/>
  <c r="BF525" i="27"/>
  <c r="BG525" i="27"/>
  <c r="BK525" i="27"/>
  <c r="BI525" i="27"/>
  <c r="BF521" i="27"/>
  <c r="BG521" i="27"/>
  <c r="BK521" i="27"/>
  <c r="BI521" i="27"/>
  <c r="BI509" i="27"/>
  <c r="BH509" i="27"/>
  <c r="BF501" i="27"/>
  <c r="BG501" i="27"/>
  <c r="BK501" i="27"/>
  <c r="BI501" i="27"/>
  <c r="BH489" i="27"/>
  <c r="BG489" i="27"/>
  <c r="BK489" i="27"/>
  <c r="BG477" i="27"/>
  <c r="BK477" i="27"/>
  <c r="BF477" i="27"/>
  <c r="BI477" i="27"/>
  <c r="BF457" i="27"/>
  <c r="BH457" i="27"/>
  <c r="BK457" i="27"/>
  <c r="BI457" i="27"/>
  <c r="BI440" i="27"/>
  <c r="BF440" i="27"/>
  <c r="BG440" i="27"/>
  <c r="BI420" i="27"/>
  <c r="BK420" i="27"/>
  <c r="BK408" i="27"/>
  <c r="BF408" i="27"/>
  <c r="BG408" i="27"/>
  <c r="BH408" i="27"/>
  <c r="BI408" i="27"/>
  <c r="BF396" i="27"/>
  <c r="BH396" i="27"/>
  <c r="BG396" i="27"/>
  <c r="BI396" i="27"/>
  <c r="BK388" i="27"/>
  <c r="BH388" i="27"/>
  <c r="BG388" i="27"/>
  <c r="BI388" i="27"/>
  <c r="BG376" i="27"/>
  <c r="BI376" i="27"/>
  <c r="BF376" i="27"/>
  <c r="BK376" i="27"/>
  <c r="BG364" i="27"/>
  <c r="BF364" i="27"/>
  <c r="BK364" i="27"/>
  <c r="BH364" i="27"/>
  <c r="BG356" i="27"/>
  <c r="BI356" i="27"/>
  <c r="BF356" i="27"/>
  <c r="BK356" i="27"/>
  <c r="BF348" i="27"/>
  <c r="BG348" i="27"/>
  <c r="BK348" i="27"/>
  <c r="BH348" i="27"/>
  <c r="BI348" i="27"/>
  <c r="BK340" i="27"/>
  <c r="BF340" i="27"/>
  <c r="BG340" i="27"/>
  <c r="BH340" i="27"/>
  <c r="BF328" i="27"/>
  <c r="BH328" i="27"/>
  <c r="BI328" i="27"/>
  <c r="BG312" i="27"/>
  <c r="BF312" i="27"/>
  <c r="BI312" i="27"/>
  <c r="BK312" i="27"/>
  <c r="BF300" i="27"/>
  <c r="BK300" i="27"/>
  <c r="BH300" i="27"/>
  <c r="BI300" i="27"/>
  <c r="BH284" i="27"/>
  <c r="BI284" i="27"/>
  <c r="BF260" i="27"/>
  <c r="BH260" i="27"/>
  <c r="BI260" i="27"/>
  <c r="BG248" i="27"/>
  <c r="BK248" i="27"/>
  <c r="BK236" i="27"/>
  <c r="BG236" i="27"/>
  <c r="BH236" i="27"/>
  <c r="BI236" i="27"/>
  <c r="BK212" i="27"/>
  <c r="BG212" i="27"/>
  <c r="BH212" i="27"/>
  <c r="BI212" i="27"/>
  <c r="BF204" i="27"/>
  <c r="BG204" i="27"/>
  <c r="BH204" i="27"/>
  <c r="BI204" i="27"/>
  <c r="BK204" i="27"/>
  <c r="BG184" i="27"/>
  <c r="BK184" i="27"/>
  <c r="BF184" i="27"/>
  <c r="BI184" i="27"/>
  <c r="BG171" i="27"/>
  <c r="BI171" i="27"/>
  <c r="BF171" i="27"/>
  <c r="BH171" i="27"/>
  <c r="BI151" i="27"/>
  <c r="BF151" i="27"/>
  <c r="BH151" i="27"/>
  <c r="BK151" i="27"/>
  <c r="BF139" i="27"/>
  <c r="BG139" i="27"/>
  <c r="BH139" i="27"/>
  <c r="BK139" i="27"/>
  <c r="BK122" i="27"/>
  <c r="BF122" i="27"/>
  <c r="BI122" i="27"/>
  <c r="BF102" i="27"/>
  <c r="BI102" i="27"/>
  <c r="BH102" i="27"/>
  <c r="BG90" i="27"/>
  <c r="BF90" i="27"/>
  <c r="BI90" i="27"/>
  <c r="BH90" i="27"/>
  <c r="BK90" i="27"/>
  <c r="BF65" i="27"/>
  <c r="BH65" i="27"/>
  <c r="BK65" i="27"/>
  <c r="BG65" i="27"/>
  <c r="BF47" i="27"/>
  <c r="BK47" i="27"/>
  <c r="BI47" i="27"/>
  <c r="BG47" i="27"/>
  <c r="BF19" i="27"/>
  <c r="BI19" i="27"/>
  <c r="BG19" i="27"/>
  <c r="BF11" i="27"/>
  <c r="BH11" i="27"/>
  <c r="BK11" i="27"/>
  <c r="BI11" i="27"/>
  <c r="BK509" i="27"/>
  <c r="BK505" i="27"/>
  <c r="BK332" i="27"/>
  <c r="BK328" i="27"/>
  <c r="BK220" i="27"/>
  <c r="BK216" i="27"/>
  <c r="BI621" i="27"/>
  <c r="BI617" i="27"/>
  <c r="BI533" i="27"/>
  <c r="BI364" i="27"/>
  <c r="BI360" i="27"/>
  <c r="BI292" i="27"/>
  <c r="BI69" i="27"/>
  <c r="BI65" i="27"/>
  <c r="BI59" i="27"/>
  <c r="BH525" i="27"/>
  <c r="BH521" i="27"/>
  <c r="BH420" i="27"/>
  <c r="BH252" i="27"/>
  <c r="BH248" i="27"/>
  <c r="BH163" i="27"/>
  <c r="BG621" i="27"/>
  <c r="BG617" i="27"/>
  <c r="BG613" i="27"/>
  <c r="BF284" i="27"/>
  <c r="BF280" i="27"/>
  <c r="BA624" i="27"/>
  <c r="BA431" i="27"/>
  <c r="BA331" i="27"/>
  <c r="BA319" i="27"/>
  <c r="BA138" i="27"/>
  <c r="BA125" i="27"/>
  <c r="AT656" i="27"/>
  <c r="AU656" i="27"/>
  <c r="AV656" i="27" s="1"/>
  <c r="AU645" i="27"/>
  <c r="AV645" i="27" s="1"/>
  <c r="AT645" i="27"/>
  <c r="AT634" i="27"/>
  <c r="AU634" i="27"/>
  <c r="AV634" i="27" s="1"/>
  <c r="AU614" i="27"/>
  <c r="AV614" i="27" s="1"/>
  <c r="AT614" i="27"/>
  <c r="AT599" i="27"/>
  <c r="AU599" i="27"/>
  <c r="AV599" i="27" s="1"/>
  <c r="AT582" i="27"/>
  <c r="AU582" i="27"/>
  <c r="AV582" i="27" s="1"/>
  <c r="AU566" i="27"/>
  <c r="AV566" i="27" s="1"/>
  <c r="AT566" i="27"/>
  <c r="AU554" i="27"/>
  <c r="AV554" i="27" s="1"/>
  <c r="AT554" i="27"/>
  <c r="AT550" i="27"/>
  <c r="AU550" i="27"/>
  <c r="AV550" i="27" s="1"/>
  <c r="AT530" i="27"/>
  <c r="AU530" i="27"/>
  <c r="AV530" i="27" s="1"/>
  <c r="AT470" i="27"/>
  <c r="AU470" i="27"/>
  <c r="AV470" i="27" s="1"/>
  <c r="AT458" i="27"/>
  <c r="AU458" i="27"/>
  <c r="AV458" i="27" s="1"/>
  <c r="AT454" i="27"/>
  <c r="AU454" i="27"/>
  <c r="AV454" i="27" s="1"/>
  <c r="AT421" i="27"/>
  <c r="AU421" i="27"/>
  <c r="AV421" i="27" s="1"/>
  <c r="AT409" i="27"/>
  <c r="AU409" i="27"/>
  <c r="AV409" i="27" s="1"/>
  <c r="AT405" i="27"/>
  <c r="AU405" i="27"/>
  <c r="AV405" i="27" s="1"/>
  <c r="AT389" i="27"/>
  <c r="AU389" i="27"/>
  <c r="AV389" i="27" s="1"/>
  <c r="AT377" i="27"/>
  <c r="AU377" i="27"/>
  <c r="AV377" i="27" s="1"/>
  <c r="AU353" i="27"/>
  <c r="AV353" i="27" s="1"/>
  <c r="AT353" i="27"/>
  <c r="AT321" i="27"/>
  <c r="AU321" i="27"/>
  <c r="AV321" i="27" s="1"/>
  <c r="AU309" i="27"/>
  <c r="AV309" i="27" s="1"/>
  <c r="AT309" i="27"/>
  <c r="AT293" i="27"/>
  <c r="AU293" i="27"/>
  <c r="AV293" i="27" s="1"/>
  <c r="AT289" i="27"/>
  <c r="AU289" i="27"/>
  <c r="AV289" i="27" s="1"/>
  <c r="AT245" i="27"/>
  <c r="AU245" i="27"/>
  <c r="AV245" i="27" s="1"/>
  <c r="AT225" i="27"/>
  <c r="AU225" i="27"/>
  <c r="AV225" i="27" s="1"/>
  <c r="AU217" i="27"/>
  <c r="AV217" i="27" s="1"/>
  <c r="AT217" i="27"/>
  <c r="AU213" i="27"/>
  <c r="AV213" i="27" s="1"/>
  <c r="AT213" i="27"/>
  <c r="AT197" i="27"/>
  <c r="AU197" i="27"/>
  <c r="AV197" i="27" s="1"/>
  <c r="AU164" i="27"/>
  <c r="AV164" i="27" s="1"/>
  <c r="AT164" i="27"/>
  <c r="AT160" i="27"/>
  <c r="AU160" i="27"/>
  <c r="AV160" i="27" s="1"/>
  <c r="AT95" i="27"/>
  <c r="AU95" i="27"/>
  <c r="AV95" i="27" s="1"/>
  <c r="AT56" i="27"/>
  <c r="AU56" i="27"/>
  <c r="AV56" i="27" s="1"/>
  <c r="AT24" i="27"/>
  <c r="AU24" i="27"/>
  <c r="AV24" i="27" s="1"/>
  <c r="AL636" i="27"/>
  <c r="AN636" i="27" s="1"/>
  <c r="AM636" i="27"/>
  <c r="AL602" i="27"/>
  <c r="AN602" i="27" s="1"/>
  <c r="AM602" i="27"/>
  <c r="AL569" i="27"/>
  <c r="AN569" i="27" s="1"/>
  <c r="AM569" i="27"/>
  <c r="AM537" i="27"/>
  <c r="AL537" i="27"/>
  <c r="AN537" i="27" s="1"/>
  <c r="AL509" i="27"/>
  <c r="AN509" i="27" s="1"/>
  <c r="AM509" i="27"/>
  <c r="AM457" i="27"/>
  <c r="AL457" i="27"/>
  <c r="AN457" i="27" s="1"/>
  <c r="AL400" i="27"/>
  <c r="AN400" i="27" s="1"/>
  <c r="AM400" i="27"/>
  <c r="AL392" i="27"/>
  <c r="AN392" i="27" s="1"/>
  <c r="AM392" i="27"/>
  <c r="AL376" i="27"/>
  <c r="AN376" i="27" s="1"/>
  <c r="AM376" i="27"/>
  <c r="AL360" i="27"/>
  <c r="AN360" i="27" s="1"/>
  <c r="AM360" i="27"/>
  <c r="AL344" i="27"/>
  <c r="AN344" i="27" s="1"/>
  <c r="AM344" i="27"/>
  <c r="AL328" i="27"/>
  <c r="AN328" i="27" s="1"/>
  <c r="AM328" i="27"/>
  <c r="AL312" i="27"/>
  <c r="AN312" i="27" s="1"/>
  <c r="AM312" i="27"/>
  <c r="AL296" i="27"/>
  <c r="AN296" i="27" s="1"/>
  <c r="AM296" i="27"/>
  <c r="AL280" i="27"/>
  <c r="AN280" i="27" s="1"/>
  <c r="AM280" i="27"/>
  <c r="AL264" i="27"/>
  <c r="AN264" i="27" s="1"/>
  <c r="AM264" i="27"/>
  <c r="AM248" i="27"/>
  <c r="AL248" i="27"/>
  <c r="AN248" i="27" s="1"/>
  <c r="AM232" i="27"/>
  <c r="AL232" i="27"/>
  <c r="AN232" i="27" s="1"/>
  <c r="AL216" i="27"/>
  <c r="AN216" i="27" s="1"/>
  <c r="AM216" i="27"/>
  <c r="AL200" i="27"/>
  <c r="AN200" i="27" s="1"/>
  <c r="AM200" i="27"/>
  <c r="AL151" i="27"/>
  <c r="AN151" i="27" s="1"/>
  <c r="AM151" i="27"/>
  <c r="AM139" i="27"/>
  <c r="AL139" i="27"/>
  <c r="AN139" i="27" s="1"/>
  <c r="AL135" i="27"/>
  <c r="AN135" i="27" s="1"/>
  <c r="AM135" i="27"/>
  <c r="AL130" i="27"/>
  <c r="AN130" i="27" s="1"/>
  <c r="AM130" i="27"/>
  <c r="AL118" i="27"/>
  <c r="AN118" i="27" s="1"/>
  <c r="AM118" i="27"/>
  <c r="AL102" i="27"/>
  <c r="AN102" i="27" s="1"/>
  <c r="AM102" i="27"/>
  <c r="AM94" i="27"/>
  <c r="AL94" i="27"/>
  <c r="AN94" i="27" s="1"/>
  <c r="AL47" i="27"/>
  <c r="AN47" i="27" s="1"/>
  <c r="AM47" i="27"/>
  <c r="AL15" i="27"/>
  <c r="AN15" i="27" s="1"/>
  <c r="AM15" i="27"/>
  <c r="AU450" i="27"/>
  <c r="AV450" i="27" s="1"/>
  <c r="AU341" i="27"/>
  <c r="AV341" i="27" s="1"/>
  <c r="AT630" i="27"/>
  <c r="AM167" i="27"/>
  <c r="AU534" i="27"/>
  <c r="AV534" i="27" s="1"/>
  <c r="AU103" i="27"/>
  <c r="AV103" i="27" s="1"/>
  <c r="AT546" i="27"/>
  <c r="AT333" i="27"/>
  <c r="AM408" i="27"/>
  <c r="AM256" i="27"/>
  <c r="AM86" i="27"/>
  <c r="AM65" i="27"/>
  <c r="AU584" i="27"/>
  <c r="AV584" i="27" s="1"/>
  <c r="AU335" i="27"/>
  <c r="AV335" i="27" s="1"/>
  <c r="AU254" i="27"/>
  <c r="AV254" i="27" s="1"/>
  <c r="AU231" i="27"/>
  <c r="AV231" i="27" s="1"/>
  <c r="AU142" i="27"/>
  <c r="AV142" i="27" s="1"/>
  <c r="AU108" i="27"/>
  <c r="AV108" i="27" s="1"/>
  <c r="AT141" i="27"/>
  <c r="AT68" i="27"/>
  <c r="AT21" i="27"/>
  <c r="AM515" i="27"/>
  <c r="AM491" i="27"/>
  <c r="AM635" i="27"/>
  <c r="AL635" i="27"/>
  <c r="AN635" i="27" s="1"/>
  <c r="AL492" i="27"/>
  <c r="AN492" i="27" s="1"/>
  <c r="AM492" i="27"/>
  <c r="AL355" i="27"/>
  <c r="AN355" i="27" s="1"/>
  <c r="AM355" i="27"/>
  <c r="AL315" i="27"/>
  <c r="AN315" i="27" s="1"/>
  <c r="AM315" i="27"/>
  <c r="AL279" i="27"/>
  <c r="AN279" i="27" s="1"/>
  <c r="AM279" i="27"/>
  <c r="AL251" i="27"/>
  <c r="AN251" i="27" s="1"/>
  <c r="AM251" i="27"/>
  <c r="AL247" i="27"/>
  <c r="AN247" i="27" s="1"/>
  <c r="AM247" i="27"/>
  <c r="AL231" i="27"/>
  <c r="AN231" i="27" s="1"/>
  <c r="AM231" i="27"/>
  <c r="AL187" i="27"/>
  <c r="AN187" i="27" s="1"/>
  <c r="AM187" i="27"/>
  <c r="AL170" i="27"/>
  <c r="AN170" i="27" s="1"/>
  <c r="AM170" i="27"/>
  <c r="AL117" i="27"/>
  <c r="AN117" i="27" s="1"/>
  <c r="AM117" i="27"/>
  <c r="AL18" i="27"/>
  <c r="AN18" i="27" s="1"/>
  <c r="AM18" i="27"/>
  <c r="AT434" i="27"/>
  <c r="AT398" i="27"/>
  <c r="AT350" i="27"/>
  <c r="AT53" i="27"/>
  <c r="AL619" i="27"/>
  <c r="AN619" i="27" s="1"/>
  <c r="AM619" i="27"/>
  <c r="AL555" i="27"/>
  <c r="AN555" i="27" s="1"/>
  <c r="AM555" i="27"/>
  <c r="AM527" i="27"/>
  <c r="AL527" i="27"/>
  <c r="AN527" i="27" s="1"/>
  <c r="AL511" i="27"/>
  <c r="AN511" i="27" s="1"/>
  <c r="AM511" i="27"/>
  <c r="AL426" i="27"/>
  <c r="AN426" i="27" s="1"/>
  <c r="AM426" i="27"/>
  <c r="AL218" i="27"/>
  <c r="AN218" i="27" s="1"/>
  <c r="AM218" i="27"/>
  <c r="AL124" i="27"/>
  <c r="AN124" i="27" s="1"/>
  <c r="AM124" i="27"/>
  <c r="AL33" i="27"/>
  <c r="AN33" i="27" s="1"/>
  <c r="AM33" i="27"/>
  <c r="M362" i="27"/>
  <c r="M153" i="27"/>
  <c r="M49" i="27"/>
  <c r="BI472" i="27"/>
  <c r="AU234" i="27"/>
  <c r="AV234" i="27" s="1"/>
  <c r="AL36" i="27"/>
  <c r="AN36" i="27" s="1"/>
  <c r="BK456" i="27"/>
  <c r="BK199" i="27"/>
  <c r="BK64" i="27"/>
  <c r="BI215" i="27"/>
  <c r="BI85" i="27"/>
  <c r="BG375" i="27"/>
  <c r="BG117" i="27"/>
  <c r="BA638" i="27"/>
  <c r="AU624" i="27"/>
  <c r="AV624" i="27" s="1"/>
  <c r="AU496" i="27"/>
  <c r="AV496" i="27" s="1"/>
  <c r="AU331" i="27"/>
  <c r="AV331" i="27" s="1"/>
  <c r="AU233" i="27"/>
  <c r="AV233" i="27" s="1"/>
  <c r="AU186" i="27"/>
  <c r="AV186" i="27" s="1"/>
  <c r="AT475" i="27"/>
  <c r="AT346" i="27"/>
  <c r="AT281" i="27"/>
  <c r="AT137" i="27"/>
  <c r="AT34" i="27"/>
  <c r="AM562" i="27"/>
  <c r="AM428" i="27"/>
  <c r="AM385" i="27"/>
  <c r="AM350" i="27"/>
  <c r="AM275" i="27"/>
  <c r="AM210" i="27"/>
  <c r="AM176" i="27"/>
  <c r="AM112" i="27"/>
  <c r="AL188" i="27"/>
  <c r="AN188" i="27" s="1"/>
  <c r="M346" i="27"/>
  <c r="M33" i="27"/>
  <c r="BF391" i="27"/>
  <c r="BG632" i="27"/>
  <c r="BG504" i="27"/>
  <c r="BG247" i="27"/>
  <c r="BI616" i="27"/>
  <c r="BI488" i="27"/>
  <c r="BI359" i="27"/>
  <c r="BH632" i="27"/>
  <c r="BH504" i="27"/>
  <c r="BH359" i="27"/>
  <c r="BH231" i="27"/>
  <c r="BH101" i="27"/>
  <c r="BF536" i="27"/>
  <c r="BF407" i="27"/>
  <c r="BF279" i="27"/>
  <c r="BF150" i="27"/>
  <c r="BA637" i="27"/>
  <c r="AU576" i="27"/>
  <c r="AV576" i="27" s="1"/>
  <c r="AU528" i="27"/>
  <c r="AV528" i="27" s="1"/>
  <c r="AU448" i="27"/>
  <c r="AV448" i="27" s="1"/>
  <c r="AU367" i="27"/>
  <c r="AV367" i="27" s="1"/>
  <c r="AU329" i="27"/>
  <c r="AV329" i="27" s="1"/>
  <c r="AU185" i="27"/>
  <c r="AV185" i="27" s="1"/>
  <c r="AU51" i="27"/>
  <c r="AV51" i="27" s="1"/>
  <c r="AT607" i="27"/>
  <c r="AT543" i="27"/>
  <c r="AT474" i="27"/>
  <c r="AT345" i="27"/>
  <c r="AT270" i="27"/>
  <c r="AT201" i="27"/>
  <c r="AT136" i="27"/>
  <c r="AT33" i="27"/>
  <c r="AM623" i="27"/>
  <c r="AM559" i="27"/>
  <c r="AM495" i="27"/>
  <c r="AM427" i="27"/>
  <c r="AM382" i="27"/>
  <c r="AM349" i="27"/>
  <c r="AM304" i="27"/>
  <c r="AM274" i="27"/>
  <c r="AM209" i="27"/>
  <c r="AM173" i="27"/>
  <c r="AM111" i="27"/>
  <c r="AM74" i="27"/>
  <c r="AM9" i="27"/>
  <c r="AL595" i="27"/>
  <c r="AN595" i="27" s="1"/>
  <c r="M205" i="27"/>
  <c r="M107" i="27"/>
  <c r="BH616" i="27"/>
  <c r="BK584" i="27"/>
  <c r="BG647" i="27"/>
  <c r="BG520" i="27"/>
  <c r="BG391" i="27"/>
  <c r="BG134" i="27"/>
  <c r="BG14" i="27"/>
  <c r="AU621" i="27"/>
  <c r="AV621" i="27" s="1"/>
  <c r="AU493" i="27"/>
  <c r="AV493" i="27" s="1"/>
  <c r="AU174" i="27"/>
  <c r="AV174" i="27" s="1"/>
  <c r="AU93" i="27"/>
  <c r="AV93" i="27" s="1"/>
  <c r="AU48" i="27"/>
  <c r="AV48" i="27" s="1"/>
  <c r="AT603" i="27"/>
  <c r="AT268" i="27"/>
  <c r="AM622" i="27"/>
  <c r="AM303" i="27"/>
  <c r="AM270" i="27"/>
  <c r="AM206" i="27"/>
  <c r="AM171" i="27"/>
  <c r="AM109" i="27"/>
  <c r="AM71" i="27"/>
  <c r="AL589" i="27"/>
  <c r="AN589" i="27" s="1"/>
  <c r="AL396" i="27"/>
  <c r="AN396" i="27" s="1"/>
  <c r="AL318" i="27"/>
  <c r="AN318" i="27" s="1"/>
  <c r="AL238" i="27"/>
  <c r="AN238" i="27" s="1"/>
  <c r="AL128" i="27"/>
  <c r="AN128" i="27" s="1"/>
  <c r="AL75" i="27"/>
  <c r="AN75" i="27" s="1"/>
  <c r="M320" i="27"/>
  <c r="BI601" i="27"/>
  <c r="BI343" i="27"/>
  <c r="BH488" i="27"/>
  <c r="BH375" i="27"/>
  <c r="BF552" i="27"/>
  <c r="BF423" i="27"/>
  <c r="BF295" i="27"/>
  <c r="BF166" i="27"/>
  <c r="BF30" i="27"/>
  <c r="AU618" i="27"/>
  <c r="AV618" i="27" s="1"/>
  <c r="AU573" i="27"/>
  <c r="AV573" i="27" s="1"/>
  <c r="AU525" i="27"/>
  <c r="AV525" i="27" s="1"/>
  <c r="AU490" i="27"/>
  <c r="AV490" i="27" s="1"/>
  <c r="AU445" i="27"/>
  <c r="AV445" i="27" s="1"/>
  <c r="AU399" i="27"/>
  <c r="AV399" i="27" s="1"/>
  <c r="AU364" i="27"/>
  <c r="AV364" i="27" s="1"/>
  <c r="AU222" i="27"/>
  <c r="AV222" i="27" s="1"/>
  <c r="AU173" i="27"/>
  <c r="AV173" i="27" s="1"/>
  <c r="AU92" i="27"/>
  <c r="AV92" i="27" s="1"/>
  <c r="AT538" i="27"/>
  <c r="AT463" i="27"/>
  <c r="AT394" i="27"/>
  <c r="AT265" i="27"/>
  <c r="AM546" i="27"/>
  <c r="AM414" i="27"/>
  <c r="AM302" i="27"/>
  <c r="AM205" i="27"/>
  <c r="AM69" i="27"/>
  <c r="AL236" i="27"/>
  <c r="AN236" i="27" s="1"/>
  <c r="M652" i="27"/>
  <c r="M317" i="27"/>
  <c r="M20" i="27"/>
  <c r="BH85" i="27"/>
  <c r="BK327" i="27"/>
  <c r="BI632" i="27"/>
  <c r="BI375" i="27"/>
  <c r="BH647" i="27"/>
  <c r="BH247" i="27"/>
  <c r="BH117" i="27"/>
  <c r="BK616" i="27"/>
  <c r="BK488" i="27"/>
  <c r="BK359" i="27"/>
  <c r="BK231" i="27"/>
  <c r="BK101" i="27"/>
  <c r="BI247" i="27"/>
  <c r="BI117" i="27"/>
  <c r="BG536" i="27"/>
  <c r="BG407" i="27"/>
  <c r="BG279" i="27"/>
  <c r="BG150" i="27"/>
  <c r="BA653" i="27"/>
  <c r="AU570" i="27"/>
  <c r="AV570" i="27" s="1"/>
  <c r="AU524" i="27"/>
  <c r="AV524" i="27" s="1"/>
  <c r="AU486" i="27"/>
  <c r="AV486" i="27" s="1"/>
  <c r="AU443" i="27"/>
  <c r="AV443" i="27" s="1"/>
  <c r="AU361" i="27"/>
  <c r="AV361" i="27" s="1"/>
  <c r="AU319" i="27"/>
  <c r="AV319" i="27" s="1"/>
  <c r="AU171" i="27"/>
  <c r="AV171" i="27" s="1"/>
  <c r="AU90" i="27"/>
  <c r="AV90" i="27" s="1"/>
  <c r="AT393" i="27"/>
  <c r="AT261" i="27"/>
  <c r="AT17" i="27"/>
  <c r="AM607" i="27"/>
  <c r="AM483" i="27"/>
  <c r="AM411" i="27"/>
  <c r="AM377" i="27"/>
  <c r="AM301" i="27"/>
  <c r="AM136" i="27"/>
  <c r="AM106" i="27"/>
  <c r="AM35" i="27"/>
  <c r="AL575" i="27"/>
  <c r="AN575" i="27" s="1"/>
  <c r="AL172" i="27"/>
  <c r="AN172" i="27" s="1"/>
  <c r="M640" i="27"/>
  <c r="M301" i="27"/>
  <c r="M189" i="27"/>
  <c r="M91" i="27"/>
  <c r="M17" i="27"/>
  <c r="BF263" i="27"/>
  <c r="BF134" i="27"/>
  <c r="BK472" i="27"/>
  <c r="BK215" i="27"/>
  <c r="BI101" i="27"/>
  <c r="BI647" i="27"/>
  <c r="BI520" i="27"/>
  <c r="BI391" i="27"/>
  <c r="BH536" i="27"/>
  <c r="BH391" i="27"/>
  <c r="BH263" i="27"/>
  <c r="BH134" i="27"/>
  <c r="BH14" i="27"/>
  <c r="BF568" i="27"/>
  <c r="BF439" i="27"/>
  <c r="BF311" i="27"/>
  <c r="BF183" i="27"/>
  <c r="BF46" i="27"/>
  <c r="BA652" i="27"/>
  <c r="AU605" i="27"/>
  <c r="AV605" i="27" s="1"/>
  <c r="AU560" i="27"/>
  <c r="AV560" i="27" s="1"/>
  <c r="AU523" i="27"/>
  <c r="AV523" i="27" s="1"/>
  <c r="AU441" i="27"/>
  <c r="AV441" i="27" s="1"/>
  <c r="AU396" i="27"/>
  <c r="AV396" i="27" s="1"/>
  <c r="AU357" i="27"/>
  <c r="AV357" i="27" s="1"/>
  <c r="AU318" i="27"/>
  <c r="AV318" i="27" s="1"/>
  <c r="AU269" i="27"/>
  <c r="AV269" i="27" s="1"/>
  <c r="AU218" i="27"/>
  <c r="AV218" i="27" s="1"/>
  <c r="AU169" i="27"/>
  <c r="AV169" i="27" s="1"/>
  <c r="AU125" i="27"/>
  <c r="AV125" i="27" s="1"/>
  <c r="AU88" i="27"/>
  <c r="AV88" i="27" s="1"/>
  <c r="AU35" i="27"/>
  <c r="AV35" i="27" s="1"/>
  <c r="AT105" i="27"/>
  <c r="AM606" i="27"/>
  <c r="AM538" i="27"/>
  <c r="AM479" i="27"/>
  <c r="AM265" i="27"/>
  <c r="AM168" i="27"/>
  <c r="AL573" i="27"/>
  <c r="AN573" i="27" s="1"/>
  <c r="AL473" i="27"/>
  <c r="AN473" i="27" s="1"/>
  <c r="AL122" i="27"/>
  <c r="AN122" i="27" s="1"/>
  <c r="M625" i="27"/>
  <c r="M285" i="27"/>
  <c r="M88" i="27"/>
  <c r="BG263" i="27"/>
  <c r="BI504" i="27"/>
  <c r="BH520" i="27"/>
  <c r="BK632" i="27"/>
  <c r="BK504" i="27"/>
  <c r="BK375" i="27"/>
  <c r="BK247" i="27"/>
  <c r="BK117" i="27"/>
  <c r="BI263" i="27"/>
  <c r="BI134" i="27"/>
  <c r="BI14" i="27"/>
  <c r="BG552" i="27"/>
  <c r="BG423" i="27"/>
  <c r="BG295" i="27"/>
  <c r="BG166" i="27"/>
  <c r="BG30" i="27"/>
  <c r="AU522" i="27"/>
  <c r="AV522" i="27" s="1"/>
  <c r="AU431" i="27"/>
  <c r="AV431" i="27" s="1"/>
  <c r="AU395" i="27"/>
  <c r="AV395" i="27" s="1"/>
  <c r="AU316" i="27"/>
  <c r="AV316" i="27" s="1"/>
  <c r="AU168" i="27"/>
  <c r="AV168" i="27" s="1"/>
  <c r="AU87" i="27"/>
  <c r="AV87" i="27" s="1"/>
  <c r="AT653" i="27"/>
  <c r="AT586" i="27"/>
  <c r="AT314" i="27"/>
  <c r="AT252" i="27"/>
  <c r="AT104" i="27"/>
  <c r="AM477" i="27"/>
  <c r="AM334" i="27"/>
  <c r="AM297" i="27"/>
  <c r="AM233" i="27"/>
  <c r="AM201" i="27"/>
  <c r="AM66" i="27"/>
  <c r="AL572" i="27"/>
  <c r="AN572" i="27" s="1"/>
  <c r="AL366" i="27"/>
  <c r="AN366" i="27" s="1"/>
  <c r="M603" i="27"/>
  <c r="M269" i="27"/>
  <c r="M172" i="27"/>
  <c r="BH343" i="27"/>
  <c r="BH215" i="27"/>
  <c r="BF647" i="27"/>
  <c r="BF520" i="27"/>
  <c r="BK601" i="27"/>
  <c r="BK343" i="27"/>
  <c r="BK85" i="27"/>
  <c r="BI231" i="27"/>
  <c r="BI536" i="27"/>
  <c r="BI407" i="27"/>
  <c r="BH552" i="27"/>
  <c r="BH407" i="27"/>
  <c r="BH279" i="27"/>
  <c r="BH150" i="27"/>
  <c r="BF584" i="27"/>
  <c r="BF456" i="27"/>
  <c r="BF327" i="27"/>
  <c r="BF199" i="27"/>
  <c r="BF64" i="27"/>
  <c r="AU557" i="27"/>
  <c r="AV557" i="27" s="1"/>
  <c r="AU518" i="27"/>
  <c r="AV518" i="27" s="1"/>
  <c r="AU430" i="27"/>
  <c r="AV430" i="27" s="1"/>
  <c r="AU348" i="27"/>
  <c r="AV348" i="27" s="1"/>
  <c r="AU315" i="27"/>
  <c r="AV315" i="27" s="1"/>
  <c r="AU207" i="27"/>
  <c r="AV207" i="27" s="1"/>
  <c r="AU122" i="27"/>
  <c r="AV122" i="27" s="1"/>
  <c r="AU83" i="27"/>
  <c r="AV83" i="27" s="1"/>
  <c r="AU32" i="27"/>
  <c r="AV32" i="27" s="1"/>
  <c r="AT651" i="27"/>
  <c r="AT382" i="27"/>
  <c r="AT313" i="27"/>
  <c r="AT249" i="27"/>
  <c r="AM530" i="27"/>
  <c r="AM32" i="27"/>
  <c r="AL222" i="27"/>
  <c r="AN222" i="27" s="1"/>
  <c r="M523" i="27"/>
  <c r="M266" i="27"/>
  <c r="M169" i="27"/>
  <c r="M70" i="27"/>
  <c r="BF14" i="27"/>
  <c r="BI279" i="27"/>
  <c r="BI150" i="27"/>
  <c r="BG568" i="27"/>
  <c r="BG439" i="27"/>
  <c r="BG311" i="27"/>
  <c r="BG183" i="27"/>
  <c r="BG46" i="27"/>
  <c r="AU556" i="27"/>
  <c r="AV556" i="27" s="1"/>
  <c r="AU512" i="27"/>
  <c r="AV512" i="27" s="1"/>
  <c r="AU428" i="27"/>
  <c r="AV428" i="27" s="1"/>
  <c r="AU347" i="27"/>
  <c r="AV347" i="27" s="1"/>
  <c r="AU120" i="27"/>
  <c r="AV120" i="27" s="1"/>
  <c r="AU72" i="27"/>
  <c r="AV72" i="27" s="1"/>
  <c r="AT649" i="27"/>
  <c r="AT89" i="27"/>
  <c r="AM463" i="27"/>
  <c r="AL220" i="27"/>
  <c r="AN220" i="27" s="1"/>
  <c r="M156" i="27"/>
  <c r="BI552" i="27"/>
  <c r="BH166" i="27"/>
  <c r="BF601" i="27"/>
  <c r="BF472" i="27"/>
  <c r="BF343" i="27"/>
  <c r="BF215" i="27"/>
  <c r="BF85" i="27"/>
  <c r="AU427" i="27"/>
  <c r="AV427" i="27" s="1"/>
  <c r="AU119" i="27"/>
  <c r="AV119" i="27" s="1"/>
  <c r="AT571" i="27"/>
  <c r="AT507" i="27"/>
  <c r="AM526" i="27"/>
  <c r="AM461" i="27"/>
  <c r="M494" i="27"/>
  <c r="M253" i="27"/>
  <c r="BI423" i="27"/>
  <c r="BH423" i="27"/>
  <c r="BH295" i="27"/>
  <c r="BH30" i="27"/>
  <c r="BI295" i="27"/>
  <c r="BI166" i="27"/>
  <c r="BI30" i="27"/>
  <c r="BG584" i="27"/>
  <c r="BG456" i="27"/>
  <c r="BG327" i="27"/>
  <c r="BG199" i="27"/>
  <c r="BG64" i="27"/>
  <c r="BA623" i="27"/>
  <c r="AU509" i="27"/>
  <c r="AV509" i="27" s="1"/>
  <c r="AU464" i="27"/>
  <c r="AV464" i="27" s="1"/>
  <c r="AU425" i="27"/>
  <c r="AV425" i="27" s="1"/>
  <c r="AU383" i="27"/>
  <c r="AV383" i="27" s="1"/>
  <c r="AU204" i="27"/>
  <c r="AV204" i="27" s="1"/>
  <c r="AU109" i="27"/>
  <c r="AV109" i="27" s="1"/>
  <c r="AU69" i="27"/>
  <c r="AV69" i="27" s="1"/>
  <c r="AU22" i="27"/>
  <c r="AV22" i="27" s="1"/>
  <c r="AT506" i="27"/>
  <c r="AM397" i="27"/>
  <c r="AM286" i="27"/>
  <c r="AM255" i="27"/>
  <c r="AM190" i="27"/>
  <c r="AM54" i="27"/>
  <c r="AL543" i="27"/>
  <c r="AN543" i="27" s="1"/>
  <c r="AL354" i="27"/>
  <c r="AN354" i="27" s="1"/>
  <c r="AL268" i="27"/>
  <c r="AN268" i="27" s="1"/>
  <c r="AL155" i="27"/>
  <c r="AN155" i="27" s="1"/>
  <c r="BH568" i="27"/>
  <c r="BI439" i="27"/>
  <c r="BI311" i="27"/>
  <c r="BH584" i="27"/>
  <c r="BH183" i="27"/>
  <c r="BH46" i="27"/>
  <c r="AU638" i="27"/>
  <c r="AV638" i="27" s="1"/>
  <c r="AU589" i="27"/>
  <c r="AV589" i="27" s="1"/>
  <c r="AU508" i="27"/>
  <c r="AV508" i="27" s="1"/>
  <c r="AU342" i="27"/>
  <c r="AV342" i="27" s="1"/>
  <c r="AU300" i="27"/>
  <c r="AV300" i="27" s="1"/>
  <c r="AU155" i="27"/>
  <c r="AV155" i="27" s="1"/>
  <c r="AU67" i="27"/>
  <c r="AV67" i="27" s="1"/>
  <c r="AT152" i="27"/>
  <c r="AM522" i="27"/>
  <c r="AM156" i="27"/>
  <c r="AM21" i="27"/>
  <c r="M462" i="27"/>
  <c r="M140" i="27"/>
  <c r="M52" i="27"/>
  <c r="BG601" i="27"/>
  <c r="AU588" i="27"/>
  <c r="AV588" i="27" s="1"/>
  <c r="AU153" i="27"/>
  <c r="AV153" i="27" s="1"/>
  <c r="AU66" i="27"/>
  <c r="AV66" i="27" s="1"/>
  <c r="AT426" i="27"/>
  <c r="AT362" i="27"/>
  <c r="AT298" i="27"/>
  <c r="AM253" i="27"/>
  <c r="AM91" i="27"/>
  <c r="AM52" i="27"/>
  <c r="AL204" i="27"/>
  <c r="AN204" i="27" s="1"/>
  <c r="M237" i="27"/>
  <c r="BI456" i="27"/>
  <c r="BI327" i="27"/>
  <c r="AU297" i="27"/>
  <c r="AV297" i="27" s="1"/>
  <c r="AU16" i="27"/>
  <c r="AV16" i="27" s="1"/>
  <c r="AM445" i="27"/>
  <c r="M413" i="27"/>
  <c r="M123" i="27"/>
  <c r="BF384" i="27"/>
  <c r="BG384" i="27"/>
  <c r="BH384" i="27"/>
  <c r="BK384" i="27"/>
  <c r="A13" i="27"/>
  <c r="BA13" i="27"/>
  <c r="BF654" i="27"/>
  <c r="BG654" i="27"/>
  <c r="BI654" i="27"/>
  <c r="BK654" i="27"/>
  <c r="BH654" i="27"/>
  <c r="BF639" i="27"/>
  <c r="BG639" i="27"/>
  <c r="BI639" i="27"/>
  <c r="BK639" i="27"/>
  <c r="BH639" i="27"/>
  <c r="BF624" i="27"/>
  <c r="BG624" i="27"/>
  <c r="BI624" i="27"/>
  <c r="BK624" i="27"/>
  <c r="BH624" i="27"/>
  <c r="BF608" i="27"/>
  <c r="BG608" i="27"/>
  <c r="BI608" i="27"/>
  <c r="BK608" i="27"/>
  <c r="BH608" i="27"/>
  <c r="BF592" i="27"/>
  <c r="BG592" i="27"/>
  <c r="BI592" i="27"/>
  <c r="BK592" i="27"/>
  <c r="BH592" i="27"/>
  <c r="BF576" i="27"/>
  <c r="BG576" i="27"/>
  <c r="BI576" i="27"/>
  <c r="BK576" i="27"/>
  <c r="BF560" i="27"/>
  <c r="BG560" i="27"/>
  <c r="BI560" i="27"/>
  <c r="BK560" i="27"/>
  <c r="BF544" i="27"/>
  <c r="BG544" i="27"/>
  <c r="BI544" i="27"/>
  <c r="BK544" i="27"/>
  <c r="BH544" i="27"/>
  <c r="BF528" i="27"/>
  <c r="BG528" i="27"/>
  <c r="BI528" i="27"/>
  <c r="BK528" i="27"/>
  <c r="BF512" i="27"/>
  <c r="BG512" i="27"/>
  <c r="BI512" i="27"/>
  <c r="BK512" i="27"/>
  <c r="BF496" i="27"/>
  <c r="BG496" i="27"/>
  <c r="BI496" i="27"/>
  <c r="BH496" i="27"/>
  <c r="BK496" i="27"/>
  <c r="BF480" i="27"/>
  <c r="BG480" i="27"/>
  <c r="BI480" i="27"/>
  <c r="BK480" i="27"/>
  <c r="BF464" i="27"/>
  <c r="BG464" i="27"/>
  <c r="BI464" i="27"/>
  <c r="BK464" i="27"/>
  <c r="BF448" i="27"/>
  <c r="BG448" i="27"/>
  <c r="BH448" i="27"/>
  <c r="BI448" i="27"/>
  <c r="BK448" i="27"/>
  <c r="BF431" i="27"/>
  <c r="BG431" i="27"/>
  <c r="BH431" i="27"/>
  <c r="BI431" i="27"/>
  <c r="BK431" i="27"/>
  <c r="BF399" i="27"/>
  <c r="BH399" i="27"/>
  <c r="BG399" i="27"/>
  <c r="BI399" i="27"/>
  <c r="BK399" i="27"/>
  <c r="BF383" i="27"/>
  <c r="BG383" i="27"/>
  <c r="BH383" i="27"/>
  <c r="BI383" i="27"/>
  <c r="BK383" i="27"/>
  <c r="BF367" i="27"/>
  <c r="BG367" i="27"/>
  <c r="BH367" i="27"/>
  <c r="BI367" i="27"/>
  <c r="BK367" i="27"/>
  <c r="BF351" i="27"/>
  <c r="BH351" i="27"/>
  <c r="BG351" i="27"/>
  <c r="BI351" i="27"/>
  <c r="BK351" i="27"/>
  <c r="BF335" i="27"/>
  <c r="BH335" i="27"/>
  <c r="BG335" i="27"/>
  <c r="BI335" i="27"/>
  <c r="BK335" i="27"/>
  <c r="BF303" i="27"/>
  <c r="BH303" i="27"/>
  <c r="BG303" i="27"/>
  <c r="BI303" i="27"/>
  <c r="BK303" i="27"/>
  <c r="BF287" i="27"/>
  <c r="BG287" i="27"/>
  <c r="BH287" i="27"/>
  <c r="BI287" i="27"/>
  <c r="BK287" i="27"/>
  <c r="BF271" i="27"/>
  <c r="BH271" i="27"/>
  <c r="BG271" i="27"/>
  <c r="BI271" i="27"/>
  <c r="BK271" i="27"/>
  <c r="BF255" i="27"/>
  <c r="BG255" i="27"/>
  <c r="BH255" i="27"/>
  <c r="BI255" i="27"/>
  <c r="BK255" i="27"/>
  <c r="BF239" i="27"/>
  <c r="BH239" i="27"/>
  <c r="BG239" i="27"/>
  <c r="BI239" i="27"/>
  <c r="BK239" i="27"/>
  <c r="BF223" i="27"/>
  <c r="BH223" i="27"/>
  <c r="BG223" i="27"/>
  <c r="BI223" i="27"/>
  <c r="BK223" i="27"/>
  <c r="BF207" i="27"/>
  <c r="BG207" i="27"/>
  <c r="BH207" i="27"/>
  <c r="BI207" i="27"/>
  <c r="BK207" i="27"/>
  <c r="BF191" i="27"/>
  <c r="BH191" i="27"/>
  <c r="BG191" i="27"/>
  <c r="BI191" i="27"/>
  <c r="BK191" i="27"/>
  <c r="BF174" i="27"/>
  <c r="BH174" i="27"/>
  <c r="BG174" i="27"/>
  <c r="BI174" i="27"/>
  <c r="BK174" i="27"/>
  <c r="BF158" i="27"/>
  <c r="BG158" i="27"/>
  <c r="BH158" i="27"/>
  <c r="BI158" i="27"/>
  <c r="BK158" i="27"/>
  <c r="BF142" i="27"/>
  <c r="BH142" i="27"/>
  <c r="BG142" i="27"/>
  <c r="BI142" i="27"/>
  <c r="BK142" i="27"/>
  <c r="BF125" i="27"/>
  <c r="BH125" i="27"/>
  <c r="BG125" i="27"/>
  <c r="BI125" i="27"/>
  <c r="BK125" i="27"/>
  <c r="BF109" i="27"/>
  <c r="BG109" i="27"/>
  <c r="BH109" i="27"/>
  <c r="BI109" i="27"/>
  <c r="BK109" i="27"/>
  <c r="BF593" i="27"/>
  <c r="BG593" i="27"/>
  <c r="BH593" i="27"/>
  <c r="BI593" i="27"/>
  <c r="BG497" i="27"/>
  <c r="BF497" i="27"/>
  <c r="BH497" i="27"/>
  <c r="BK497" i="27"/>
  <c r="BI497" i="27"/>
  <c r="BF288" i="27"/>
  <c r="BG288" i="27"/>
  <c r="BH288" i="27"/>
  <c r="BI288" i="27"/>
  <c r="BK288" i="27"/>
  <c r="BF94" i="27"/>
  <c r="BG94" i="27"/>
  <c r="BH94" i="27"/>
  <c r="BI94" i="27"/>
  <c r="BK94" i="27"/>
  <c r="BF319" i="27"/>
  <c r="BG319" i="27"/>
  <c r="BH319" i="27"/>
  <c r="BI319" i="27"/>
  <c r="BK319" i="27"/>
  <c r="BG655" i="27"/>
  <c r="BF655" i="27"/>
  <c r="BH655" i="27"/>
  <c r="BI655" i="27"/>
  <c r="BG561" i="27"/>
  <c r="BF561" i="27"/>
  <c r="BH561" i="27"/>
  <c r="BI561" i="27"/>
  <c r="BF513" i="27"/>
  <c r="BG513" i="27"/>
  <c r="BH513" i="27"/>
  <c r="BK513" i="27"/>
  <c r="BF449" i="27"/>
  <c r="BG449" i="27"/>
  <c r="BH449" i="27"/>
  <c r="BK449" i="27"/>
  <c r="BI449" i="27"/>
  <c r="BF400" i="27"/>
  <c r="BG400" i="27"/>
  <c r="BH400" i="27"/>
  <c r="BK400" i="27"/>
  <c r="BI400" i="27"/>
  <c r="BF368" i="27"/>
  <c r="BG368" i="27"/>
  <c r="BH368" i="27"/>
  <c r="BK368" i="27"/>
  <c r="BF336" i="27"/>
  <c r="BG336" i="27"/>
  <c r="BH336" i="27"/>
  <c r="BK336" i="27"/>
  <c r="BF304" i="27"/>
  <c r="BG304" i="27"/>
  <c r="BH304" i="27"/>
  <c r="BK304" i="27"/>
  <c r="BF272" i="27"/>
  <c r="BG272" i="27"/>
  <c r="BH272" i="27"/>
  <c r="BI272" i="27"/>
  <c r="BK272" i="27"/>
  <c r="BF256" i="27"/>
  <c r="BG256" i="27"/>
  <c r="BH256" i="27"/>
  <c r="BK256" i="27"/>
  <c r="BF240" i="27"/>
  <c r="BG240" i="27"/>
  <c r="BH240" i="27"/>
  <c r="BK240" i="27"/>
  <c r="BI240" i="27"/>
  <c r="BF224" i="27"/>
  <c r="BG224" i="27"/>
  <c r="BH224" i="27"/>
  <c r="BK224" i="27"/>
  <c r="BF208" i="27"/>
  <c r="BG208" i="27"/>
  <c r="BH208" i="27"/>
  <c r="BK208" i="27"/>
  <c r="BI208" i="27"/>
  <c r="BF192" i="27"/>
  <c r="BG192" i="27"/>
  <c r="BH192" i="27"/>
  <c r="BK192" i="27"/>
  <c r="BI192" i="27"/>
  <c r="BF175" i="27"/>
  <c r="BG175" i="27"/>
  <c r="BH175" i="27"/>
  <c r="BK175" i="27"/>
  <c r="BF159" i="27"/>
  <c r="BG159" i="27"/>
  <c r="BH159" i="27"/>
  <c r="BK159" i="27"/>
  <c r="BF143" i="27"/>
  <c r="BG143" i="27"/>
  <c r="BH143" i="27"/>
  <c r="BK143" i="27"/>
  <c r="BI143" i="27"/>
  <c r="BF126" i="27"/>
  <c r="BG126" i="27"/>
  <c r="BH126" i="27"/>
  <c r="BK126" i="27"/>
  <c r="BG23" i="27"/>
  <c r="BH23" i="27"/>
  <c r="BF23" i="27"/>
  <c r="BI23" i="27"/>
  <c r="BK23" i="27"/>
  <c r="BF22" i="27"/>
  <c r="BG22" i="27"/>
  <c r="BH22" i="27"/>
  <c r="BK22" i="27"/>
  <c r="BI22" i="27"/>
  <c r="BI368" i="27"/>
  <c r="BH528" i="27"/>
  <c r="BF73" i="27"/>
  <c r="BG73" i="27"/>
  <c r="BH73" i="27"/>
  <c r="BK73" i="27"/>
  <c r="BF415" i="27"/>
  <c r="BH415" i="27"/>
  <c r="BG415" i="27"/>
  <c r="BI415" i="27"/>
  <c r="BK415" i="27"/>
  <c r="BF640" i="27"/>
  <c r="BG640" i="27"/>
  <c r="BH640" i="27"/>
  <c r="BI640" i="27"/>
  <c r="BG577" i="27"/>
  <c r="BF577" i="27"/>
  <c r="BH577" i="27"/>
  <c r="BI577" i="27"/>
  <c r="BG529" i="27"/>
  <c r="BF529" i="27"/>
  <c r="BH529" i="27"/>
  <c r="BI529" i="27"/>
  <c r="BF465" i="27"/>
  <c r="BG465" i="27"/>
  <c r="BH465" i="27"/>
  <c r="BK465" i="27"/>
  <c r="BI465" i="27"/>
  <c r="BG352" i="27"/>
  <c r="BF352" i="27"/>
  <c r="BH352" i="27"/>
  <c r="BI352" i="27"/>
  <c r="BK352" i="27"/>
  <c r="BF39" i="27"/>
  <c r="BG39" i="27"/>
  <c r="BH39" i="27"/>
  <c r="BK39" i="27"/>
  <c r="BF93" i="27"/>
  <c r="BH93" i="27"/>
  <c r="BG93" i="27"/>
  <c r="BI93" i="27"/>
  <c r="BK93" i="27"/>
  <c r="BG625" i="27"/>
  <c r="BF625" i="27"/>
  <c r="BH625" i="27"/>
  <c r="BI625" i="27"/>
  <c r="BK561" i="27"/>
  <c r="BI224" i="27"/>
  <c r="BH560" i="27"/>
  <c r="BF416" i="27"/>
  <c r="BG416" i="27"/>
  <c r="BH416" i="27"/>
  <c r="BK416" i="27"/>
  <c r="BI39" i="27"/>
  <c r="BH576" i="27"/>
  <c r="BF72" i="27"/>
  <c r="BH72" i="27"/>
  <c r="BG72" i="27"/>
  <c r="BI72" i="27"/>
  <c r="BK72" i="27"/>
  <c r="BH512" i="27"/>
  <c r="BK529" i="27"/>
  <c r="BI384" i="27"/>
  <c r="BK577" i="27"/>
  <c r="BI416" i="27"/>
  <c r="BK593" i="27"/>
  <c r="BG609" i="27"/>
  <c r="BF609" i="27"/>
  <c r="BH609" i="27"/>
  <c r="BI609" i="27"/>
  <c r="BF545" i="27"/>
  <c r="BG545" i="27"/>
  <c r="BH545" i="27"/>
  <c r="BI545" i="27"/>
  <c r="BF432" i="27"/>
  <c r="BG432" i="27"/>
  <c r="BH432" i="27"/>
  <c r="BK432" i="27"/>
  <c r="BF320" i="27"/>
  <c r="BG320" i="27"/>
  <c r="BH320" i="27"/>
  <c r="BK320" i="27"/>
  <c r="BI256" i="27"/>
  <c r="BI73" i="27"/>
  <c r="BI320" i="27"/>
  <c r="A45" i="27"/>
  <c r="BA45" i="27"/>
  <c r="BF38" i="27"/>
  <c r="BH38" i="27"/>
  <c r="BG38" i="27"/>
  <c r="BI38" i="27"/>
  <c r="BK38" i="27"/>
  <c r="BK609" i="27"/>
  <c r="BK625" i="27"/>
  <c r="BF481" i="27"/>
  <c r="BG481" i="27"/>
  <c r="BH481" i="27"/>
  <c r="BK481" i="27"/>
  <c r="BF54" i="27"/>
  <c r="BG54" i="27"/>
  <c r="BH54" i="27"/>
  <c r="BI54" i="27"/>
  <c r="BK54" i="27"/>
  <c r="BK640" i="27"/>
  <c r="BF110" i="27"/>
  <c r="BG110" i="27"/>
  <c r="BH110" i="27"/>
  <c r="BK110" i="27"/>
  <c r="BI110" i="27"/>
  <c r="BF55" i="27"/>
  <c r="BG55" i="27"/>
  <c r="BH55" i="27"/>
  <c r="BK55" i="27"/>
  <c r="BK655" i="27"/>
  <c r="BI481" i="27"/>
  <c r="BI126" i="27"/>
  <c r="AU455" i="27"/>
  <c r="AV455" i="27" s="1"/>
  <c r="AT647" i="27"/>
  <c r="AU647" i="27"/>
  <c r="AV647" i="27" s="1"/>
  <c r="AT616" i="27"/>
  <c r="AU616" i="27"/>
  <c r="AV616" i="27" s="1"/>
  <c r="AT601" i="27"/>
  <c r="AU601" i="27"/>
  <c r="AV601" i="27" s="1"/>
  <c r="AT536" i="27"/>
  <c r="AU536" i="27"/>
  <c r="AV536" i="27" s="1"/>
  <c r="AT504" i="27"/>
  <c r="AU504" i="27"/>
  <c r="AV504" i="27" s="1"/>
  <c r="AT472" i="27"/>
  <c r="AU472" i="27"/>
  <c r="AV472" i="27" s="1"/>
  <c r="AT439" i="27"/>
  <c r="AU439" i="27"/>
  <c r="AV439" i="27" s="1"/>
  <c r="AT407" i="27"/>
  <c r="AU407" i="27"/>
  <c r="AV407" i="27" s="1"/>
  <c r="AT375" i="27"/>
  <c r="AU375" i="27"/>
  <c r="AV375" i="27" s="1"/>
  <c r="AT343" i="27"/>
  <c r="AU343" i="27"/>
  <c r="AV343" i="27" s="1"/>
  <c r="AT311" i="27"/>
  <c r="AU311" i="27"/>
  <c r="AV311" i="27" s="1"/>
  <c r="AT183" i="27"/>
  <c r="AU183" i="27"/>
  <c r="AV183" i="27" s="1"/>
  <c r="AT166" i="27"/>
  <c r="AU166" i="27"/>
  <c r="AV166" i="27" s="1"/>
  <c r="AT150" i="27"/>
  <c r="AU150" i="27"/>
  <c r="AV150" i="27" s="1"/>
  <c r="AT134" i="27"/>
  <c r="AU134" i="27"/>
  <c r="AV134" i="27" s="1"/>
  <c r="AT117" i="27"/>
  <c r="AU117" i="27"/>
  <c r="AV117" i="27" s="1"/>
  <c r="AT101" i="27"/>
  <c r="AU101" i="27"/>
  <c r="AV101" i="27" s="1"/>
  <c r="AT85" i="27"/>
  <c r="AU85" i="27"/>
  <c r="AV85" i="27" s="1"/>
  <c r="AT64" i="27"/>
  <c r="AU64" i="27"/>
  <c r="AV64" i="27" s="1"/>
  <c r="AT46" i="27"/>
  <c r="AU46" i="27"/>
  <c r="AV46" i="27" s="1"/>
  <c r="AM402" i="27"/>
  <c r="AT646" i="27"/>
  <c r="AU646" i="27"/>
  <c r="AV646" i="27" s="1"/>
  <c r="AU615" i="27"/>
  <c r="AV615" i="27" s="1"/>
  <c r="AT615" i="27"/>
  <c r="AT567" i="27"/>
  <c r="AU567" i="27"/>
  <c r="AV567" i="27" s="1"/>
  <c r="AT535" i="27"/>
  <c r="AU535" i="27"/>
  <c r="AV535" i="27" s="1"/>
  <c r="AT519" i="27"/>
  <c r="AU519" i="27"/>
  <c r="AV519" i="27" s="1"/>
  <c r="AT487" i="27"/>
  <c r="AU487" i="27"/>
  <c r="AV487" i="27" s="1"/>
  <c r="AT438" i="27"/>
  <c r="AU438" i="27"/>
  <c r="AV438" i="27" s="1"/>
  <c r="AT406" i="27"/>
  <c r="AU406" i="27"/>
  <c r="AV406" i="27" s="1"/>
  <c r="AT390" i="27"/>
  <c r="AU390" i="27"/>
  <c r="AV390" i="27" s="1"/>
  <c r="AT358" i="27"/>
  <c r="AU358" i="27"/>
  <c r="AV358" i="27" s="1"/>
  <c r="AU165" i="27"/>
  <c r="AV165" i="27" s="1"/>
  <c r="AT165" i="27"/>
  <c r="A628" i="27"/>
  <c r="BA628" i="27"/>
  <c r="A612" i="27"/>
  <c r="BA612" i="27"/>
  <c r="A596" i="27"/>
  <c r="BA596" i="27"/>
  <c r="A580" i="27"/>
  <c r="BA580" i="27"/>
  <c r="A564" i="27"/>
  <c r="BA564" i="27"/>
  <c r="A532" i="27"/>
  <c r="BA532" i="27"/>
  <c r="A500" i="27"/>
  <c r="BA500" i="27"/>
  <c r="A484" i="27"/>
  <c r="BA484" i="27"/>
  <c r="A452" i="27"/>
  <c r="BA452" i="27"/>
  <c r="A419" i="27"/>
  <c r="BA419" i="27"/>
  <c r="A403" i="27"/>
  <c r="BA403" i="27"/>
  <c r="A387" i="27"/>
  <c r="BA387" i="27"/>
  <c r="A371" i="27"/>
  <c r="BA371" i="27"/>
  <c r="A355" i="27"/>
  <c r="BA355" i="27"/>
  <c r="A323" i="27"/>
  <c r="BA323" i="27"/>
  <c r="A307" i="27"/>
  <c r="BA307" i="27"/>
  <c r="A291" i="27"/>
  <c r="BA291" i="27"/>
  <c r="A275" i="27"/>
  <c r="BA275" i="27"/>
  <c r="A243" i="27"/>
  <c r="BA243" i="27"/>
  <c r="A211" i="27"/>
  <c r="BA211" i="27"/>
  <c r="A195" i="27"/>
  <c r="BA195" i="27"/>
  <c r="A162" i="27"/>
  <c r="BA162" i="27"/>
  <c r="A129" i="27"/>
  <c r="BA129" i="27"/>
  <c r="A113" i="27"/>
  <c r="BA113" i="27"/>
  <c r="A97" i="27"/>
  <c r="BA97" i="27"/>
  <c r="A58" i="27"/>
  <c r="BA58" i="27"/>
  <c r="A26" i="27"/>
  <c r="BA26" i="27"/>
  <c r="AU600" i="27"/>
  <c r="AV600" i="27" s="1"/>
  <c r="AU374" i="27"/>
  <c r="AV374" i="27" s="1"/>
  <c r="AT631" i="27"/>
  <c r="AT644" i="27"/>
  <c r="AU644" i="27"/>
  <c r="AV644" i="27" s="1"/>
  <c r="AU613" i="27"/>
  <c r="AV613" i="27" s="1"/>
  <c r="AT613" i="27"/>
  <c r="AU598" i="27"/>
  <c r="AV598" i="27" s="1"/>
  <c r="AT598" i="27"/>
  <c r="AT565" i="27"/>
  <c r="AU565" i="27"/>
  <c r="AV565" i="27" s="1"/>
  <c r="AT517" i="27"/>
  <c r="AU517" i="27"/>
  <c r="AV517" i="27" s="1"/>
  <c r="AU485" i="27"/>
  <c r="AV485" i="27" s="1"/>
  <c r="AT485" i="27"/>
  <c r="AT453" i="27"/>
  <c r="AU453" i="27"/>
  <c r="AV453" i="27" s="1"/>
  <c r="AT436" i="27"/>
  <c r="AU436" i="27"/>
  <c r="AV436" i="27" s="1"/>
  <c r="AT388" i="27"/>
  <c r="AU388" i="27"/>
  <c r="AV388" i="27" s="1"/>
  <c r="AT324" i="27"/>
  <c r="AU324" i="27"/>
  <c r="AV324" i="27" s="1"/>
  <c r="AT292" i="27"/>
  <c r="AU292" i="27"/>
  <c r="AV292" i="27" s="1"/>
  <c r="AT276" i="27"/>
  <c r="AU276" i="27"/>
  <c r="AV276" i="27" s="1"/>
  <c r="AT244" i="27"/>
  <c r="AU244" i="27"/>
  <c r="AV244" i="27" s="1"/>
  <c r="AT212" i="27"/>
  <c r="AU212" i="27"/>
  <c r="AV212" i="27" s="1"/>
  <c r="AT114" i="27"/>
  <c r="AU114" i="27"/>
  <c r="AV114" i="27" s="1"/>
  <c r="AT43" i="27"/>
  <c r="AU43" i="27"/>
  <c r="AV43" i="27" s="1"/>
  <c r="AT11" i="27"/>
  <c r="AU11" i="27"/>
  <c r="AV11" i="27" s="1"/>
  <c r="AL654" i="27"/>
  <c r="AN654" i="27" s="1"/>
  <c r="AL306" i="27"/>
  <c r="AN306" i="27" s="1"/>
  <c r="AT310" i="27"/>
  <c r="AT182" i="27"/>
  <c r="AT275" i="27"/>
  <c r="AU275" i="27"/>
  <c r="AV275" i="27" s="1"/>
  <c r="AT97" i="27"/>
  <c r="AU97" i="27"/>
  <c r="AV97" i="27" s="1"/>
  <c r="AT42" i="27"/>
  <c r="AU42" i="27"/>
  <c r="AV42" i="27" s="1"/>
  <c r="AT629" i="27"/>
  <c r="AM434" i="27"/>
  <c r="AU326" i="27"/>
  <c r="AV326" i="27" s="1"/>
  <c r="AT626" i="27"/>
  <c r="AU626" i="27"/>
  <c r="AV626" i="27" s="1"/>
  <c r="AU610" i="27"/>
  <c r="AV610" i="27" s="1"/>
  <c r="AT610" i="27"/>
  <c r="AU514" i="27"/>
  <c r="AV514" i="27" s="1"/>
  <c r="AT514" i="27"/>
  <c r="AT498" i="27"/>
  <c r="AU498" i="27"/>
  <c r="AV498" i="27" s="1"/>
  <c r="AU482" i="27"/>
  <c r="AV482" i="27" s="1"/>
  <c r="AT482" i="27"/>
  <c r="AU466" i="27"/>
  <c r="AV466" i="27" s="1"/>
  <c r="AT466" i="27"/>
  <c r="AT417" i="27"/>
  <c r="AU417" i="27"/>
  <c r="AV417" i="27" s="1"/>
  <c r="AT369" i="27"/>
  <c r="AU369" i="27"/>
  <c r="AV369" i="27" s="1"/>
  <c r="AU337" i="27"/>
  <c r="AV337" i="27" s="1"/>
  <c r="AT337" i="27"/>
  <c r="AT273" i="27"/>
  <c r="AU273" i="27"/>
  <c r="AV273" i="27" s="1"/>
  <c r="AT257" i="27"/>
  <c r="AU257" i="27"/>
  <c r="AV257" i="27" s="1"/>
  <c r="AT241" i="27"/>
  <c r="AU241" i="27"/>
  <c r="AV241" i="27" s="1"/>
  <c r="AT209" i="27"/>
  <c r="AU209" i="27"/>
  <c r="AV209" i="27" s="1"/>
  <c r="AT193" i="27"/>
  <c r="AU193" i="27"/>
  <c r="AV193" i="27" s="1"/>
  <c r="AU176" i="27"/>
  <c r="AV176" i="27" s="1"/>
  <c r="AT176" i="27"/>
  <c r="AU144" i="27"/>
  <c r="AV144" i="27" s="1"/>
  <c r="AT144" i="27"/>
  <c r="AT111" i="27"/>
  <c r="AU111" i="27"/>
  <c r="AV111" i="27" s="1"/>
  <c r="AT74" i="27"/>
  <c r="AU74" i="27"/>
  <c r="AV74" i="27" s="1"/>
  <c r="AT40" i="27"/>
  <c r="AU40" i="27"/>
  <c r="AV40" i="27" s="1"/>
  <c r="AT8" i="27"/>
  <c r="AU8" i="27"/>
  <c r="AV8" i="27" s="1"/>
  <c r="AM431" i="27"/>
  <c r="AT551" i="27"/>
  <c r="AT230" i="27"/>
  <c r="AL544" i="27"/>
  <c r="AN544" i="27" s="1"/>
  <c r="AT356" i="27"/>
  <c r="AM612" i="27"/>
  <c r="AL612" i="27"/>
  <c r="AN612" i="27" s="1"/>
  <c r="AM548" i="27"/>
  <c r="AL548" i="27"/>
  <c r="AN548" i="27" s="1"/>
  <c r="AM516" i="27"/>
  <c r="AL516" i="27"/>
  <c r="AN516" i="27" s="1"/>
  <c r="AL500" i="27"/>
  <c r="AN500" i="27" s="1"/>
  <c r="AM500" i="27"/>
  <c r="AL403" i="27"/>
  <c r="AN403" i="27" s="1"/>
  <c r="AM403" i="27"/>
  <c r="AL371" i="27"/>
  <c r="AN371" i="27" s="1"/>
  <c r="AM371" i="27"/>
  <c r="AL243" i="27"/>
  <c r="AN243" i="27" s="1"/>
  <c r="AM243" i="27"/>
  <c r="AL227" i="27"/>
  <c r="AN227" i="27" s="1"/>
  <c r="AM227" i="27"/>
  <c r="AL211" i="27"/>
  <c r="AN211" i="27" s="1"/>
  <c r="AM211" i="27"/>
  <c r="AL195" i="27"/>
  <c r="AN195" i="27" s="1"/>
  <c r="AM195" i="27"/>
  <c r="AL146" i="27"/>
  <c r="AN146" i="27" s="1"/>
  <c r="AM146" i="27"/>
  <c r="AL129" i="27"/>
  <c r="AN129" i="27" s="1"/>
  <c r="AM129" i="27"/>
  <c r="AL97" i="27"/>
  <c r="AN97" i="27" s="1"/>
  <c r="AM97" i="27"/>
  <c r="AL81" i="27"/>
  <c r="AN81" i="27" s="1"/>
  <c r="AM81" i="27"/>
  <c r="AL42" i="27"/>
  <c r="AN42" i="27" s="1"/>
  <c r="AM42" i="27"/>
  <c r="AU471" i="27"/>
  <c r="AV471" i="27" s="1"/>
  <c r="AM642" i="27"/>
  <c r="AL642" i="27"/>
  <c r="AN642" i="27" s="1"/>
  <c r="AM627" i="27"/>
  <c r="AL627" i="27"/>
  <c r="AN627" i="27" s="1"/>
  <c r="AL611" i="27"/>
  <c r="AN611" i="27" s="1"/>
  <c r="AM611" i="27"/>
  <c r="AM579" i="27"/>
  <c r="AL579" i="27"/>
  <c r="AN579" i="27" s="1"/>
  <c r="AL563" i="27"/>
  <c r="AN563" i="27" s="1"/>
  <c r="AM563" i="27"/>
  <c r="AL547" i="27"/>
  <c r="AN547" i="27" s="1"/>
  <c r="AM547" i="27"/>
  <c r="AM531" i="27"/>
  <c r="AL531" i="27"/>
  <c r="AN531" i="27" s="1"/>
  <c r="AL499" i="27"/>
  <c r="AN499" i="27" s="1"/>
  <c r="AM499" i="27"/>
  <c r="AL467" i="27"/>
  <c r="AN467" i="27" s="1"/>
  <c r="AM467" i="27"/>
  <c r="AM451" i="27"/>
  <c r="AL451" i="27"/>
  <c r="AN451" i="27" s="1"/>
  <c r="AM418" i="27"/>
  <c r="AL418" i="27"/>
  <c r="AN418" i="27" s="1"/>
  <c r="AL386" i="27"/>
  <c r="AN386" i="27" s="1"/>
  <c r="AM386" i="27"/>
  <c r="AL370" i="27"/>
  <c r="AN370" i="27" s="1"/>
  <c r="AM370" i="27"/>
  <c r="AM338" i="27"/>
  <c r="AL338" i="27"/>
  <c r="AN338" i="27" s="1"/>
  <c r="AL322" i="27"/>
  <c r="AN322" i="27" s="1"/>
  <c r="AM322" i="27"/>
  <c r="AM290" i="27"/>
  <c r="AL290" i="27"/>
  <c r="AN290" i="27" s="1"/>
  <c r="AL258" i="27"/>
  <c r="AN258" i="27" s="1"/>
  <c r="AM258" i="27"/>
  <c r="AM242" i="27"/>
  <c r="AL242" i="27"/>
  <c r="AN242" i="27" s="1"/>
  <c r="AL226" i="27"/>
  <c r="AN226" i="27" s="1"/>
  <c r="AM226" i="27"/>
  <c r="AM194" i="27"/>
  <c r="AL194" i="27"/>
  <c r="AN194" i="27" s="1"/>
  <c r="AL177" i="27"/>
  <c r="AN177" i="27" s="1"/>
  <c r="AM177" i="27"/>
  <c r="AM145" i="27"/>
  <c r="AL145" i="27"/>
  <c r="AN145" i="27" s="1"/>
  <c r="AL96" i="27"/>
  <c r="AN96" i="27" s="1"/>
  <c r="AM96" i="27"/>
  <c r="AL57" i="27"/>
  <c r="AN57" i="27" s="1"/>
  <c r="AM57" i="27"/>
  <c r="AL25" i="27"/>
  <c r="AN25" i="27" s="1"/>
  <c r="AM25" i="27"/>
  <c r="AU549" i="27"/>
  <c r="AV549" i="27" s="1"/>
  <c r="AM480" i="27"/>
  <c r="AU583" i="27"/>
  <c r="AV583" i="27" s="1"/>
  <c r="AM513" i="27"/>
  <c r="AL513" i="27"/>
  <c r="AN513" i="27" s="1"/>
  <c r="AL497" i="27"/>
  <c r="AN497" i="27" s="1"/>
  <c r="AM497" i="27"/>
  <c r="AL416" i="27"/>
  <c r="AN416" i="27" s="1"/>
  <c r="AM416" i="27"/>
  <c r="AL384" i="27"/>
  <c r="AN384" i="27" s="1"/>
  <c r="AM384" i="27"/>
  <c r="AL368" i="27"/>
  <c r="AN368" i="27" s="1"/>
  <c r="AM368" i="27"/>
  <c r="AL336" i="27"/>
  <c r="AN336" i="27" s="1"/>
  <c r="AM336" i="27"/>
  <c r="AL320" i="27"/>
  <c r="AN320" i="27" s="1"/>
  <c r="AM320" i="27"/>
  <c r="AM288" i="27"/>
  <c r="AL288" i="27"/>
  <c r="AN288" i="27" s="1"/>
  <c r="AL272" i="27"/>
  <c r="AN272" i="27" s="1"/>
  <c r="AM272" i="27"/>
  <c r="AM224" i="27"/>
  <c r="AL224" i="27"/>
  <c r="AN224" i="27" s="1"/>
  <c r="AM192" i="27"/>
  <c r="AL192" i="27"/>
  <c r="AN192" i="27" s="1"/>
  <c r="AM159" i="27"/>
  <c r="AL159" i="27"/>
  <c r="AN159" i="27" s="1"/>
  <c r="AM55" i="27"/>
  <c r="AL55" i="27"/>
  <c r="AN55" i="27" s="1"/>
  <c r="AM23" i="27"/>
  <c r="AL23" i="27"/>
  <c r="AN23" i="27" s="1"/>
  <c r="AM592" i="27"/>
  <c r="AL592" i="27"/>
  <c r="AN592" i="27" s="1"/>
  <c r="AM560" i="27"/>
  <c r="AL560" i="27"/>
  <c r="AN560" i="27" s="1"/>
  <c r="AL496" i="27"/>
  <c r="AN496" i="27" s="1"/>
  <c r="AM496" i="27"/>
  <c r="AL464" i="27"/>
  <c r="AN464" i="27" s="1"/>
  <c r="AM464" i="27"/>
  <c r="AL448" i="27"/>
  <c r="AN448" i="27" s="1"/>
  <c r="AM448" i="27"/>
  <c r="AL415" i="27"/>
  <c r="AN415" i="27" s="1"/>
  <c r="AM415" i="27"/>
  <c r="AL399" i="27"/>
  <c r="AN399" i="27" s="1"/>
  <c r="AM399" i="27"/>
  <c r="AL383" i="27"/>
  <c r="AN383" i="27" s="1"/>
  <c r="AM383" i="27"/>
  <c r="AL367" i="27"/>
  <c r="AN367" i="27" s="1"/>
  <c r="AM367" i="27"/>
  <c r="AL335" i="27"/>
  <c r="AN335" i="27" s="1"/>
  <c r="AM335" i="27"/>
  <c r="AL319" i="27"/>
  <c r="AN319" i="27" s="1"/>
  <c r="AM319" i="27"/>
  <c r="AL287" i="27"/>
  <c r="AN287" i="27" s="1"/>
  <c r="AM287" i="27"/>
  <c r="AL271" i="27"/>
  <c r="AN271" i="27" s="1"/>
  <c r="AM271" i="27"/>
  <c r="AL239" i="27"/>
  <c r="AN239" i="27" s="1"/>
  <c r="AM239" i="27"/>
  <c r="AL223" i="27"/>
  <c r="AN223" i="27" s="1"/>
  <c r="AM223" i="27"/>
  <c r="AL207" i="27"/>
  <c r="AN207" i="27" s="1"/>
  <c r="AM207" i="27"/>
  <c r="AL191" i="27"/>
  <c r="AN191" i="27" s="1"/>
  <c r="AM191" i="27"/>
  <c r="AL174" i="27"/>
  <c r="AN174" i="27" s="1"/>
  <c r="AM174" i="27"/>
  <c r="AL158" i="27"/>
  <c r="AN158" i="27" s="1"/>
  <c r="AM158" i="27"/>
  <c r="AL142" i="27"/>
  <c r="AN142" i="27" s="1"/>
  <c r="AM142" i="27"/>
  <c r="AL125" i="27"/>
  <c r="AN125" i="27" s="1"/>
  <c r="AM125" i="27"/>
  <c r="AL93" i="27"/>
  <c r="AN93" i="27" s="1"/>
  <c r="AM93" i="27"/>
  <c r="AL72" i="27"/>
  <c r="AN72" i="27" s="1"/>
  <c r="AM72" i="27"/>
  <c r="AL38" i="27"/>
  <c r="AN38" i="27" s="1"/>
  <c r="AM38" i="27"/>
  <c r="AL22" i="27"/>
  <c r="AN22" i="27" s="1"/>
  <c r="AM22" i="27"/>
  <c r="AU581" i="27"/>
  <c r="AV581" i="27" s="1"/>
  <c r="AU422" i="27"/>
  <c r="AV422" i="27" s="1"/>
  <c r="AT340" i="27"/>
  <c r="AL596" i="27"/>
  <c r="AN596" i="27" s="1"/>
  <c r="AU604" i="27"/>
  <c r="AV604" i="27" s="1"/>
  <c r="AU555" i="27"/>
  <c r="AV555" i="27" s="1"/>
  <c r="AU476" i="27"/>
  <c r="AV476" i="27" s="1"/>
  <c r="AU266" i="27"/>
  <c r="AV266" i="27" s="1"/>
  <c r="AT432" i="27"/>
  <c r="AT392" i="27"/>
  <c r="AT587" i="27"/>
  <c r="AT459" i="27"/>
  <c r="AT344" i="27"/>
  <c r="AM510" i="27"/>
  <c r="AM107" i="27"/>
  <c r="AT585" i="27"/>
  <c r="AL237" i="27"/>
  <c r="AN237" i="27" s="1"/>
  <c r="AU650" i="27"/>
  <c r="AV650" i="27" s="1"/>
  <c r="AU572" i="27"/>
  <c r="AV572" i="27" s="1"/>
  <c r="AU442" i="27"/>
  <c r="AV442" i="27" s="1"/>
  <c r="AU250" i="27"/>
  <c r="AV250" i="27" s="1"/>
  <c r="AU49" i="27"/>
  <c r="AV49" i="27" s="1"/>
  <c r="AT376" i="27"/>
  <c r="AM269" i="27"/>
  <c r="AU620" i="27"/>
  <c r="AV620" i="27" s="1"/>
  <c r="AU492" i="27"/>
  <c r="AV492" i="27" s="1"/>
  <c r="AU363" i="27"/>
  <c r="AV363" i="27" s="1"/>
  <c r="AU282" i="27"/>
  <c r="AV282" i="27" s="1"/>
  <c r="AT619" i="27"/>
  <c r="AT539" i="27"/>
  <c r="AT491" i="27"/>
  <c r="AM591" i="27"/>
  <c r="AM542" i="27"/>
  <c r="AM317" i="27"/>
  <c r="AU540" i="27"/>
  <c r="AV540" i="27" s="1"/>
  <c r="AU411" i="27"/>
  <c r="AV411" i="27" s="1"/>
  <c r="AT410" i="27"/>
  <c r="AT330" i="27"/>
  <c r="AT248" i="27"/>
  <c r="AT121" i="27"/>
  <c r="AM413" i="27"/>
  <c r="AM221" i="27"/>
  <c r="AM123" i="27"/>
  <c r="AT537" i="27"/>
  <c r="AT202" i="27"/>
  <c r="AM365" i="27"/>
  <c r="AM70" i="27"/>
  <c r="AM20" i="27"/>
  <c r="BA629" i="27"/>
  <c r="AT118" i="27"/>
  <c r="AT280" i="27"/>
  <c r="AM285" i="27"/>
  <c r="AT440" i="27"/>
  <c r="AM381" i="27"/>
  <c r="AM333" i="27"/>
  <c r="AM189" i="27"/>
  <c r="AM140" i="27"/>
  <c r="AL494" i="27"/>
  <c r="AN494" i="27" s="1"/>
  <c r="BI26" i="27"/>
  <c r="BI27" i="27"/>
  <c r="BH27" i="27"/>
  <c r="BH26" i="27"/>
  <c r="BG27" i="27"/>
  <c r="BG26" i="27"/>
  <c r="BF27" i="27"/>
  <c r="BF26" i="27"/>
  <c r="M637" i="27"/>
  <c r="BA176" i="27"/>
  <c r="M653" i="27"/>
  <c r="M634" i="27"/>
  <c r="M630" i="27"/>
  <c r="M629" i="27"/>
  <c r="BA583" i="27"/>
  <c r="BA551" i="27"/>
  <c r="BA519" i="27"/>
  <c r="BA487" i="27"/>
  <c r="BA455" i="27"/>
  <c r="BA615" i="27"/>
  <c r="BA422" i="27"/>
  <c r="M438" i="27"/>
  <c r="BA631" i="27"/>
  <c r="BA390" i="27"/>
  <c r="BA358" i="27"/>
  <c r="BA326" i="27"/>
  <c r="BA294" i="27"/>
  <c r="BA262" i="27"/>
  <c r="BA230" i="27"/>
  <c r="BA198" i="27"/>
  <c r="BA165" i="27"/>
  <c r="BA132" i="27"/>
  <c r="BA100" i="27"/>
  <c r="BA63" i="27"/>
  <c r="BA646" i="27"/>
  <c r="M651" i="27"/>
  <c r="M132" i="27"/>
  <c r="BA30" i="27"/>
  <c r="BA567" i="27"/>
  <c r="BA29" i="27"/>
  <c r="BA600" i="27"/>
  <c r="BA535" i="27"/>
  <c r="BA503" i="27"/>
  <c r="BA471" i="27"/>
  <c r="BA438" i="27"/>
  <c r="BA406" i="27"/>
  <c r="BA374" i="27"/>
  <c r="BA342" i="27"/>
  <c r="BA310" i="27"/>
  <c r="BA278" i="27"/>
  <c r="BA246" i="27"/>
  <c r="BA214" i="27"/>
  <c r="BA182" i="27"/>
  <c r="BA149" i="27"/>
  <c r="BA116" i="27"/>
  <c r="BA84" i="27"/>
  <c r="M278" i="27"/>
  <c r="M636" i="27"/>
  <c r="M63" i="27"/>
  <c r="BA183" i="27"/>
  <c r="M198" i="27"/>
  <c r="M390" i="27"/>
  <c r="BA85" i="27"/>
  <c r="M631" i="27"/>
  <c r="M262" i="27"/>
  <c r="M116" i="27"/>
  <c r="M182" i="27"/>
  <c r="M358" i="27"/>
  <c r="M45" i="27"/>
  <c r="BA632" i="27"/>
  <c r="BA647" i="27"/>
  <c r="M342" i="27"/>
  <c r="M246" i="27"/>
  <c r="BA391" i="27"/>
  <c r="M600" i="27"/>
  <c r="M326" i="27"/>
  <c r="M165" i="27"/>
  <c r="M100" i="27"/>
  <c r="M230" i="27"/>
  <c r="M29" i="27"/>
  <c r="M149" i="27"/>
  <c r="BA536" i="27"/>
  <c r="M310" i="27"/>
  <c r="M84" i="27"/>
  <c r="M471" i="27"/>
  <c r="M214" i="27"/>
  <c r="M623" i="27"/>
  <c r="M605" i="27"/>
  <c r="M535" i="27"/>
  <c r="M638" i="27"/>
  <c r="AU146" i="27"/>
  <c r="AV146" i="27" s="1"/>
  <c r="AM407" i="27"/>
  <c r="AM388" i="27"/>
  <c r="AM260" i="27"/>
  <c r="AM27" i="27"/>
  <c r="AU639" i="27"/>
  <c r="AV639" i="27" s="1"/>
  <c r="AU291" i="27"/>
  <c r="AV291" i="27" s="1"/>
  <c r="AU243" i="27"/>
  <c r="AV243" i="27" s="1"/>
  <c r="AU195" i="27"/>
  <c r="AV195" i="27" s="1"/>
  <c r="AU94" i="27"/>
  <c r="AV94" i="27" s="1"/>
  <c r="AU38" i="27"/>
  <c r="AV38" i="27" s="1"/>
  <c r="AU14" i="27"/>
  <c r="AV14" i="27" s="1"/>
  <c r="AT569" i="27"/>
  <c r="AT181" i="27"/>
  <c r="AM387" i="27"/>
  <c r="AM369" i="27"/>
  <c r="AM259" i="27"/>
  <c r="AM241" i="27"/>
  <c r="AM185" i="27"/>
  <c r="AM166" i="27"/>
  <c r="AM89" i="27"/>
  <c r="AM26" i="27"/>
  <c r="AL40" i="27"/>
  <c r="AN40" i="27" s="1"/>
  <c r="AU548" i="27"/>
  <c r="AV548" i="27" s="1"/>
  <c r="AU484" i="27"/>
  <c r="AV484" i="27" s="1"/>
  <c r="AU419" i="27"/>
  <c r="AV419" i="27" s="1"/>
  <c r="AU355" i="27"/>
  <c r="AV355" i="27" s="1"/>
  <c r="AM404" i="27"/>
  <c r="AM276" i="27"/>
  <c r="AM147" i="27"/>
  <c r="AM43" i="27"/>
  <c r="AU568" i="27"/>
  <c r="AV568" i="27" s="1"/>
  <c r="AU288" i="27"/>
  <c r="AV288" i="27" s="1"/>
  <c r="AU239" i="27"/>
  <c r="AV239" i="27" s="1"/>
  <c r="AU215" i="27"/>
  <c r="AV215" i="27" s="1"/>
  <c r="AU191" i="27"/>
  <c r="AV191" i="27" s="1"/>
  <c r="AU115" i="27"/>
  <c r="AV115" i="27" s="1"/>
  <c r="AU62" i="27"/>
  <c r="AV62" i="27" s="1"/>
  <c r="AM183" i="27"/>
  <c r="AM64" i="27"/>
  <c r="AL536" i="27"/>
  <c r="AN536" i="27" s="1"/>
  <c r="AU544" i="27"/>
  <c r="AV544" i="27" s="1"/>
  <c r="AU502" i="27"/>
  <c r="AV502" i="27" s="1"/>
  <c r="AU480" i="27"/>
  <c r="AV480" i="27" s="1"/>
  <c r="AU437" i="27"/>
  <c r="AV437" i="27" s="1"/>
  <c r="AU415" i="27"/>
  <c r="AV415" i="27" s="1"/>
  <c r="AU351" i="27"/>
  <c r="AV351" i="27" s="1"/>
  <c r="AU287" i="27"/>
  <c r="AV287" i="27" s="1"/>
  <c r="AU263" i="27"/>
  <c r="AV263" i="27" s="1"/>
  <c r="AU140" i="27"/>
  <c r="AV140" i="27" s="1"/>
  <c r="AU10" i="27"/>
  <c r="AV10" i="27" s="1"/>
  <c r="AT561" i="27"/>
  <c r="AT384" i="27"/>
  <c r="AT175" i="27"/>
  <c r="AM634" i="27"/>
  <c r="AM517" i="27"/>
  <c r="AM488" i="27"/>
  <c r="AM347" i="27"/>
  <c r="AM311" i="27"/>
  <c r="AM292" i="27"/>
  <c r="AM199" i="27"/>
  <c r="AM163" i="27"/>
  <c r="AL568" i="27"/>
  <c r="AN568" i="27" s="1"/>
  <c r="AL532" i="27"/>
  <c r="AN532" i="27" s="1"/>
  <c r="AL273" i="27"/>
  <c r="AN273" i="27" s="1"/>
  <c r="M648" i="27"/>
  <c r="M622" i="27"/>
  <c r="AU162" i="27"/>
  <c r="AV162" i="27" s="1"/>
  <c r="AU113" i="27"/>
  <c r="AV113" i="27" s="1"/>
  <c r="AU58" i="27"/>
  <c r="AV58" i="27" s="1"/>
  <c r="AM631" i="27"/>
  <c r="AM594" i="27"/>
  <c r="AM554" i="27"/>
  <c r="AM487" i="27"/>
  <c r="AM456" i="27"/>
  <c r="AM423" i="27"/>
  <c r="AM401" i="27"/>
  <c r="AM291" i="27"/>
  <c r="AM217" i="27"/>
  <c r="AM198" i="27"/>
  <c r="AM180" i="27"/>
  <c r="AM162" i="27"/>
  <c r="AM144" i="27"/>
  <c r="AM85" i="27"/>
  <c r="AM59" i="27"/>
  <c r="AL647" i="27"/>
  <c r="AN647" i="27" s="1"/>
  <c r="AL604" i="27"/>
  <c r="AN604" i="27" s="1"/>
  <c r="AL564" i="27"/>
  <c r="AN564" i="27" s="1"/>
  <c r="AL482" i="27"/>
  <c r="AN482" i="27" s="1"/>
  <c r="AL321" i="27"/>
  <c r="AN321" i="27" s="1"/>
  <c r="M646" i="27"/>
  <c r="M621" i="27"/>
  <c r="AU654" i="27"/>
  <c r="AV654" i="27" s="1"/>
  <c r="AU520" i="27"/>
  <c r="AV520" i="27" s="1"/>
  <c r="AU500" i="27"/>
  <c r="AV500" i="27" s="1"/>
  <c r="AU456" i="27"/>
  <c r="AV456" i="27" s="1"/>
  <c r="AU435" i="27"/>
  <c r="AV435" i="27" s="1"/>
  <c r="AU391" i="27"/>
  <c r="AV391" i="27" s="1"/>
  <c r="AU371" i="27"/>
  <c r="AV371" i="27" s="1"/>
  <c r="AU327" i="27"/>
  <c r="AV327" i="27" s="1"/>
  <c r="AU307" i="27"/>
  <c r="AV307" i="27" s="1"/>
  <c r="AU211" i="27"/>
  <c r="AV211" i="27" s="1"/>
  <c r="AU30" i="27"/>
  <c r="AV30" i="27" s="1"/>
  <c r="AT652" i="27"/>
  <c r="AT558" i="27"/>
  <c r="AT172" i="27"/>
  <c r="AM549" i="27"/>
  <c r="AM514" i="27"/>
  <c r="AM484" i="27"/>
  <c r="AM452" i="27"/>
  <c r="AM419" i="27"/>
  <c r="AM363" i="27"/>
  <c r="AM345" i="27"/>
  <c r="AM327" i="27"/>
  <c r="AM308" i="27"/>
  <c r="AM235" i="27"/>
  <c r="AM178" i="27"/>
  <c r="AM121" i="27"/>
  <c r="AM103" i="27"/>
  <c r="AM58" i="27"/>
  <c r="AL643" i="27"/>
  <c r="AN643" i="27" s="1"/>
  <c r="M645" i="27"/>
  <c r="M619" i="27"/>
  <c r="BA648" i="27"/>
  <c r="BA633" i="27"/>
  <c r="AU632" i="27"/>
  <c r="AV632" i="27" s="1"/>
  <c r="AU608" i="27"/>
  <c r="AV608" i="27" s="1"/>
  <c r="AU259" i="27"/>
  <c r="AV259" i="27" s="1"/>
  <c r="AU159" i="27"/>
  <c r="AV159" i="27" s="1"/>
  <c r="AU28" i="27"/>
  <c r="AV28" i="27" s="1"/>
  <c r="AT131" i="27"/>
  <c r="AM626" i="27"/>
  <c r="AM307" i="27"/>
  <c r="AM215" i="27"/>
  <c r="AM196" i="27"/>
  <c r="AM82" i="27"/>
  <c r="AL601" i="27"/>
  <c r="AN601" i="27" s="1"/>
  <c r="AL524" i="27"/>
  <c r="AN524" i="27" s="1"/>
  <c r="M644" i="27"/>
  <c r="AM343" i="27"/>
  <c r="AM324" i="27"/>
  <c r="AU279" i="27"/>
  <c r="AV279" i="27" s="1"/>
  <c r="AU255" i="27"/>
  <c r="AV255" i="27" s="1"/>
  <c r="AU229" i="27"/>
  <c r="AV229" i="27" s="1"/>
  <c r="AU26" i="27"/>
  <c r="AV26" i="27" s="1"/>
  <c r="AT73" i="27"/>
  <c r="AM581" i="27"/>
  <c r="AM323" i="27"/>
  <c r="AM305" i="27"/>
  <c r="AM212" i="27"/>
  <c r="AM138" i="27"/>
  <c r="AL556" i="27"/>
  <c r="AN556" i="27" s="1"/>
  <c r="AL520" i="27"/>
  <c r="AN520" i="27" s="1"/>
  <c r="AL466" i="27"/>
  <c r="AN466" i="27" s="1"/>
  <c r="AU516" i="27"/>
  <c r="AV516" i="27" s="1"/>
  <c r="AU452" i="27"/>
  <c r="AV452" i="27" s="1"/>
  <c r="AU387" i="27"/>
  <c r="AV387" i="27" s="1"/>
  <c r="AU323" i="27"/>
  <c r="AV323" i="27" s="1"/>
  <c r="AU81" i="27"/>
  <c r="AV81" i="27" s="1"/>
  <c r="AM359" i="27"/>
  <c r="AM340" i="27"/>
  <c r="AM98" i="27"/>
  <c r="AU227" i="27"/>
  <c r="AV227" i="27" s="1"/>
  <c r="AU178" i="27"/>
  <c r="AV178" i="27" s="1"/>
  <c r="AU129" i="27"/>
  <c r="AV129" i="27" s="1"/>
  <c r="AU23" i="27"/>
  <c r="AV23" i="27" s="1"/>
  <c r="AM656" i="27"/>
  <c r="AM618" i="27"/>
  <c r="AM578" i="27"/>
  <c r="AM506" i="27"/>
  <c r="AM476" i="27"/>
  <c r="AM443" i="27"/>
  <c r="AM339" i="27"/>
  <c r="AM14" i="27"/>
  <c r="AL552" i="27"/>
  <c r="AN552" i="27" s="1"/>
  <c r="AM613" i="27"/>
  <c r="AM356" i="27"/>
  <c r="AM228" i="27"/>
  <c r="AM114" i="27"/>
  <c r="AU224" i="27"/>
  <c r="AV224" i="27" s="1"/>
  <c r="AT606" i="27"/>
  <c r="AM472" i="27"/>
  <c r="AM439" i="27"/>
  <c r="AM134" i="27"/>
  <c r="AM11" i="27"/>
  <c r="AL628" i="27"/>
  <c r="AN628" i="27" s="1"/>
  <c r="AL584" i="27"/>
  <c r="AN584" i="27" s="1"/>
  <c r="AU552" i="27"/>
  <c r="AV552" i="27" s="1"/>
  <c r="AU532" i="27"/>
  <c r="AV532" i="27" s="1"/>
  <c r="AU488" i="27"/>
  <c r="AV488" i="27" s="1"/>
  <c r="AU468" i="27"/>
  <c r="AV468" i="27" s="1"/>
  <c r="AU423" i="27"/>
  <c r="AV423" i="27" s="1"/>
  <c r="AU403" i="27"/>
  <c r="AV403" i="27" s="1"/>
  <c r="AU359" i="27"/>
  <c r="AV359" i="27" s="1"/>
  <c r="AU339" i="27"/>
  <c r="AV339" i="27" s="1"/>
  <c r="AU295" i="27"/>
  <c r="AV295" i="27" s="1"/>
  <c r="AU271" i="27"/>
  <c r="AV271" i="27" s="1"/>
  <c r="AU247" i="27"/>
  <c r="AV247" i="27" s="1"/>
  <c r="AU223" i="27"/>
  <c r="AV223" i="27" s="1"/>
  <c r="AU199" i="27"/>
  <c r="AV199" i="27" s="1"/>
  <c r="AU70" i="27"/>
  <c r="AV70" i="27" s="1"/>
  <c r="AT256" i="27"/>
  <c r="AM649" i="27"/>
  <c r="AM610" i="27"/>
  <c r="AM468" i="27"/>
  <c r="AM435" i="27"/>
  <c r="AM409" i="27"/>
  <c r="AM391" i="27"/>
  <c r="AM372" i="27"/>
  <c r="AM299" i="27"/>
  <c r="AM281" i="27"/>
  <c r="AM263" i="27"/>
  <c r="AM244" i="27"/>
  <c r="AM152" i="27"/>
  <c r="AM48" i="27"/>
  <c r="AM30" i="27"/>
  <c r="AM10" i="27"/>
  <c r="AL580" i="27"/>
  <c r="AN580" i="27" s="1"/>
  <c r="AL450" i="27"/>
  <c r="AN450" i="27" s="1"/>
  <c r="M633" i="27"/>
  <c r="BA216" i="27"/>
  <c r="BA360" i="27"/>
  <c r="BA47" i="27"/>
  <c r="BA135" i="27"/>
  <c r="BA521" i="27"/>
  <c r="BA408" i="27"/>
  <c r="BA328" i="27"/>
  <c r="BA102" i="27"/>
  <c r="M296" i="27"/>
  <c r="M167" i="27"/>
  <c r="M15" i="27"/>
  <c r="BA184" i="27"/>
  <c r="BA15" i="27"/>
  <c r="M376" i="27"/>
  <c r="BA602" i="27"/>
  <c r="BA489" i="27"/>
  <c r="BA296" i="27"/>
  <c r="M216" i="27"/>
  <c r="BA569" i="27"/>
  <c r="BA65" i="27"/>
  <c r="M392" i="27"/>
  <c r="BA457" i="27"/>
  <c r="BA264" i="27"/>
  <c r="M360" i="27"/>
  <c r="M151" i="27"/>
  <c r="M102" i="27"/>
  <c r="M47" i="27"/>
  <c r="BA537" i="27"/>
  <c r="BA232" i="27"/>
  <c r="BA424" i="27"/>
  <c r="BA344" i="27"/>
  <c r="BA118" i="27"/>
  <c r="BA31" i="27"/>
  <c r="M200" i="27"/>
  <c r="BA200" i="27"/>
  <c r="M473" i="27"/>
  <c r="M328" i="27"/>
  <c r="BA505" i="27"/>
  <c r="BA312" i="27"/>
  <c r="BA86" i="27"/>
  <c r="M135" i="27"/>
  <c r="M86" i="27"/>
  <c r="BA617" i="27"/>
  <c r="M248" i="27"/>
  <c r="M31" i="27"/>
  <c r="BA376" i="27"/>
  <c r="BA151" i="27"/>
  <c r="BA585" i="27"/>
  <c r="BA473" i="27"/>
  <c r="BA392" i="27"/>
  <c r="BA280" i="27"/>
  <c r="M440" i="27"/>
  <c r="M184" i="27"/>
  <c r="BA167" i="27"/>
  <c r="BA553" i="27"/>
  <c r="BA440" i="27"/>
  <c r="BA248" i="27"/>
  <c r="M312" i="27"/>
  <c r="M232" i="27"/>
  <c r="M118" i="27"/>
  <c r="M65" i="27"/>
  <c r="BA412" i="27"/>
  <c r="M236" i="27"/>
  <c r="BA461" i="27"/>
  <c r="BA364" i="27"/>
  <c r="BA236" i="27"/>
  <c r="M284" i="27"/>
  <c r="M90" i="27"/>
  <c r="BA589" i="27"/>
  <c r="BA509" i="27"/>
  <c r="BA284" i="27"/>
  <c r="BA106" i="27"/>
  <c r="M332" i="27"/>
  <c r="M268" i="27"/>
  <c r="M171" i="27"/>
  <c r="M122" i="27"/>
  <c r="BA332" i="27"/>
  <c r="BA204" i="27"/>
  <c r="BA155" i="27"/>
  <c r="M43" i="27"/>
  <c r="BA428" i="27"/>
  <c r="M82" i="27"/>
  <c r="BA605" i="27"/>
  <c r="BA477" i="27"/>
  <c r="BA404" i="27"/>
  <c r="BA380" i="27"/>
  <c r="BA252" i="27"/>
  <c r="M35" i="27"/>
  <c r="BA69" i="27"/>
  <c r="M260" i="27"/>
  <c r="M69" i="27"/>
  <c r="BA525" i="27"/>
  <c r="BA300" i="27"/>
  <c r="BA122" i="27"/>
  <c r="BA19" i="27"/>
  <c r="M155" i="27"/>
  <c r="M316" i="27"/>
  <c r="M252" i="27"/>
  <c r="BA573" i="27"/>
  <c r="BA445" i="27"/>
  <c r="BA348" i="27"/>
  <c r="BA220" i="27"/>
  <c r="BA171" i="27"/>
  <c r="M106" i="27"/>
  <c r="BA598" i="27"/>
  <c r="BA493" i="27"/>
  <c r="BA268" i="27"/>
  <c r="BA90" i="27"/>
  <c r="BA541" i="27"/>
  <c r="BA35" i="27"/>
  <c r="M300" i="27"/>
  <c r="M19" i="27"/>
  <c r="BA316" i="27"/>
  <c r="BA188" i="27"/>
  <c r="BA139" i="27"/>
  <c r="BA59" i="27"/>
  <c r="M188" i="27"/>
  <c r="M139" i="27"/>
  <c r="M51" i="27"/>
  <c r="M445" i="27"/>
  <c r="M551" i="27"/>
  <c r="M412" i="27"/>
  <c r="M541" i="27"/>
  <c r="M408" i="27"/>
  <c r="M396" i="27"/>
  <c r="M525" i="27"/>
  <c r="M364" i="27"/>
  <c r="BA25" i="27"/>
  <c r="BA43" i="27"/>
  <c r="M436" i="27"/>
  <c r="M196" i="27"/>
  <c r="BA453" i="27"/>
  <c r="BA388" i="27"/>
  <c r="BA324" i="27"/>
  <c r="BA260" i="27"/>
  <c r="BA196" i="27"/>
  <c r="M507" i="27"/>
  <c r="M228" i="27"/>
  <c r="BA581" i="27"/>
  <c r="BA517" i="27"/>
  <c r="BA114" i="27"/>
  <c r="M420" i="27"/>
  <c r="M308" i="27"/>
  <c r="M264" i="27"/>
  <c r="M152" i="27"/>
  <c r="BA533" i="27"/>
  <c r="BA469" i="27"/>
  <c r="BA130" i="27"/>
  <c r="M493" i="27"/>
  <c r="M348" i="27"/>
  <c r="M220" i="27"/>
  <c r="M186" i="27"/>
  <c r="BA340" i="27"/>
  <c r="BA276" i="27"/>
  <c r="BA212" i="27"/>
  <c r="M485" i="27"/>
  <c r="M410" i="27"/>
  <c r="M344" i="27"/>
  <c r="M297" i="27"/>
  <c r="M217" i="27"/>
  <c r="M114" i="27"/>
  <c r="BA549" i="27"/>
  <c r="M147" i="27"/>
  <c r="BA485" i="27"/>
  <c r="BA147" i="27"/>
  <c r="M340" i="27"/>
  <c r="M292" i="27"/>
  <c r="M180" i="27"/>
  <c r="BA547" i="27"/>
  <c r="BA420" i="27"/>
  <c r="BA82" i="27"/>
  <c r="M469" i="27"/>
  <c r="BA613" i="27"/>
  <c r="BA483" i="27"/>
  <c r="BA356" i="27"/>
  <c r="BA292" i="27"/>
  <c r="BA228" i="27"/>
  <c r="BA11" i="27"/>
  <c r="M602" i="27"/>
  <c r="M212" i="27"/>
  <c r="BA565" i="27"/>
  <c r="BA418" i="27"/>
  <c r="M461" i="27"/>
  <c r="M388" i="27"/>
  <c r="M281" i="27"/>
  <c r="M136" i="27"/>
  <c r="BA611" i="27"/>
  <c r="BA501" i="27"/>
  <c r="BA436" i="27"/>
  <c r="BA354" i="27"/>
  <c r="BA290" i="27"/>
  <c r="BA226" i="27"/>
  <c r="BA163" i="27"/>
  <c r="BA98" i="27"/>
  <c r="M459" i="27"/>
  <c r="M378" i="27"/>
  <c r="M280" i="27"/>
  <c r="M244" i="27"/>
  <c r="M204" i="27"/>
  <c r="M168" i="27"/>
  <c r="M324" i="27"/>
  <c r="M98" i="27"/>
  <c r="M59" i="27"/>
  <c r="M27" i="27"/>
  <c r="BA372" i="27"/>
  <c r="BA308" i="27"/>
  <c r="BA244" i="27"/>
  <c r="BA161" i="27"/>
  <c r="BA96" i="27"/>
  <c r="BA27" i="27"/>
  <c r="M442" i="27"/>
  <c r="M372" i="27"/>
  <c r="M276" i="27"/>
  <c r="M130" i="27"/>
  <c r="M96" i="27"/>
  <c r="BA180" i="27"/>
  <c r="M163" i="27"/>
  <c r="M517" i="27"/>
  <c r="M453" i="27"/>
  <c r="M406" i="27"/>
  <c r="M356" i="27"/>
  <c r="M613" i="27"/>
  <c r="M509" i="27"/>
  <c r="M446" i="27"/>
  <c r="M397" i="27"/>
  <c r="BA588" i="27"/>
  <c r="M501" i="27"/>
  <c r="BA604" i="27"/>
  <c r="M581" i="27"/>
  <c r="M437" i="27"/>
  <c r="M380" i="27"/>
  <c r="M333" i="27"/>
  <c r="M294" i="27"/>
  <c r="M549" i="27"/>
  <c r="M478" i="27"/>
  <c r="M429" i="27"/>
  <c r="M542" i="27"/>
  <c r="M428" i="27"/>
  <c r="M374" i="27"/>
  <c r="BA572" i="27"/>
  <c r="M519" i="27"/>
  <c r="M455" i="27"/>
  <c r="BA568" i="27"/>
  <c r="BA215" i="27"/>
  <c r="BA488" i="27"/>
  <c r="BA311" i="27"/>
  <c r="BA134" i="27"/>
  <c r="M83" i="27"/>
  <c r="BA584" i="27"/>
  <c r="BA231" i="27"/>
  <c r="BA407" i="27"/>
  <c r="BA46" i="27"/>
  <c r="M590" i="27"/>
  <c r="M447" i="27"/>
  <c r="M582" i="27"/>
  <c r="M502" i="27"/>
  <c r="M405" i="27"/>
  <c r="M245" i="27"/>
  <c r="BA327" i="27"/>
  <c r="BA150" i="27"/>
  <c r="BA601" i="27"/>
  <c r="BA247" i="27"/>
  <c r="BA108" i="27"/>
  <c r="M357" i="27"/>
  <c r="BA520" i="27"/>
  <c r="BA423" i="27"/>
  <c r="BA64" i="27"/>
  <c r="M558" i="27"/>
  <c r="BA343" i="27"/>
  <c r="BA166" i="27"/>
  <c r="M309" i="27"/>
  <c r="BA504" i="27"/>
  <c r="BA616" i="27"/>
  <c r="BA439" i="27"/>
  <c r="BA263" i="27"/>
  <c r="M164" i="27"/>
  <c r="M131" i="27"/>
  <c r="M99" i="27"/>
  <c r="BA359" i="27"/>
  <c r="BA456" i="27"/>
  <c r="BA279" i="27"/>
  <c r="M53" i="27"/>
  <c r="BA101" i="27"/>
  <c r="M526" i="27"/>
  <c r="M261" i="27"/>
  <c r="BA552" i="27"/>
  <c r="BA199" i="27"/>
  <c r="BA511" i="27"/>
  <c r="BA375" i="27"/>
  <c r="BA14" i="27"/>
  <c r="BA472" i="27"/>
  <c r="BA295" i="27"/>
  <c r="BA117" i="27"/>
  <c r="M373" i="27"/>
  <c r="M293" i="27"/>
  <c r="BA559" i="27"/>
  <c r="BA157" i="27"/>
  <c r="BA21" i="27"/>
  <c r="M589" i="27"/>
  <c r="M474" i="27"/>
  <c r="BA414" i="27"/>
  <c r="BA430" i="27"/>
  <c r="BA302" i="27"/>
  <c r="M393" i="27"/>
  <c r="M222" i="27"/>
  <c r="M71" i="27"/>
  <c r="BA575" i="27"/>
  <c r="BA447" i="27"/>
  <c r="BA173" i="27"/>
  <c r="BA37" i="27"/>
  <c r="M286" i="27"/>
  <c r="M190" i="27"/>
  <c r="BA318" i="27"/>
  <c r="BA190" i="27"/>
  <c r="M575" i="27"/>
  <c r="M157" i="27"/>
  <c r="M37" i="27"/>
  <c r="BA591" i="27"/>
  <c r="BA463" i="27"/>
  <c r="BA53" i="27"/>
  <c r="M574" i="27"/>
  <c r="M318" i="27"/>
  <c r="BA334" i="27"/>
  <c r="BA206" i="27"/>
  <c r="M573" i="27"/>
  <c r="M511" i="27"/>
  <c r="M382" i="27"/>
  <c r="M350" i="27"/>
  <c r="M124" i="27"/>
  <c r="BA607" i="27"/>
  <c r="BA479" i="27"/>
  <c r="BA71" i="27"/>
  <c r="M571" i="27"/>
  <c r="M510" i="27"/>
  <c r="M381" i="27"/>
  <c r="M349" i="27"/>
  <c r="BA350" i="27"/>
  <c r="BA222" i="27"/>
  <c r="M559" i="27"/>
  <c r="M458" i="27"/>
  <c r="M414" i="27"/>
  <c r="BA495" i="27"/>
  <c r="BA92" i="27"/>
  <c r="M92" i="27"/>
  <c r="BA366" i="27"/>
  <c r="BA238" i="27"/>
  <c r="M606" i="27"/>
  <c r="M377" i="27"/>
  <c r="M270" i="27"/>
  <c r="BA382" i="27"/>
  <c r="BA254" i="27"/>
  <c r="M543" i="27"/>
  <c r="M409" i="27"/>
  <c r="M206" i="27"/>
  <c r="BA527" i="27"/>
  <c r="BA124" i="27"/>
  <c r="M334" i="27"/>
  <c r="M141" i="27"/>
  <c r="M21" i="27"/>
  <c r="M173" i="27"/>
  <c r="BA398" i="27"/>
  <c r="BA270" i="27"/>
  <c r="M238" i="27"/>
  <c r="BA543" i="27"/>
  <c r="BA141" i="27"/>
  <c r="M441" i="27"/>
  <c r="M108" i="27"/>
  <c r="BA286" i="27"/>
  <c r="BA193" i="27"/>
  <c r="BA209" i="27"/>
  <c r="M614" i="27"/>
  <c r="M537" i="27"/>
  <c r="M506" i="27"/>
  <c r="M470" i="27"/>
  <c r="M345" i="27"/>
  <c r="M233" i="27"/>
  <c r="BA225" i="27"/>
  <c r="BA241" i="27"/>
  <c r="M607" i="27"/>
  <c r="M570" i="27"/>
  <c r="M534" i="27"/>
  <c r="M463" i="27"/>
  <c r="M398" i="27"/>
  <c r="M314" i="27"/>
  <c r="M201" i="27"/>
  <c r="M569" i="27"/>
  <c r="M527" i="27"/>
  <c r="M495" i="27"/>
  <c r="M430" i="27"/>
  <c r="M366" i="27"/>
  <c r="M341" i="27"/>
  <c r="M313" i="27"/>
  <c r="M254" i="27"/>
  <c r="M229" i="27"/>
  <c r="BA8" i="27"/>
  <c r="M561" i="27"/>
  <c r="M282" i="27"/>
  <c r="M110" i="27"/>
  <c r="BA24" i="27"/>
  <c r="BA56" i="27"/>
  <c r="M555" i="27"/>
  <c r="M522" i="27"/>
  <c r="M490" i="27"/>
  <c r="M425" i="27"/>
  <c r="M361" i="27"/>
  <c r="BA40" i="27"/>
  <c r="BA74" i="27"/>
  <c r="M554" i="27"/>
  <c r="M521" i="27"/>
  <c r="M489" i="27"/>
  <c r="M454" i="27"/>
  <c r="M421" i="27"/>
  <c r="M389" i="27"/>
  <c r="M330" i="27"/>
  <c r="M302" i="27"/>
  <c r="M277" i="27"/>
  <c r="BA95" i="27"/>
  <c r="M591" i="27"/>
  <c r="M553" i="27"/>
  <c r="M486" i="27"/>
  <c r="M329" i="27"/>
  <c r="BA111" i="27"/>
  <c r="BA127" i="27"/>
  <c r="M550" i="27"/>
  <c r="M479" i="27"/>
  <c r="M298" i="27"/>
  <c r="M185" i="27"/>
  <c r="BA144" i="27"/>
  <c r="BA160" i="27"/>
  <c r="M175" i="27"/>
  <c r="M384" i="27"/>
  <c r="M39" i="27"/>
  <c r="M304" i="27"/>
  <c r="M94" i="27"/>
  <c r="M513" i="27"/>
  <c r="M432" i="27"/>
  <c r="M143" i="27"/>
  <c r="M599" i="27"/>
  <c r="M567" i="27"/>
  <c r="M539" i="27"/>
  <c r="M487" i="27"/>
  <c r="M272" i="27"/>
  <c r="M598" i="27"/>
  <c r="M566" i="27"/>
  <c r="M538" i="27"/>
  <c r="M457" i="27"/>
  <c r="M404" i="27"/>
  <c r="M192" i="27"/>
  <c r="M565" i="27"/>
  <c r="M400" i="27"/>
  <c r="M55" i="27"/>
  <c r="M240" i="27"/>
  <c r="M617" i="27"/>
  <c r="M585" i="27"/>
  <c r="M533" i="27"/>
  <c r="M505" i="27"/>
  <c r="M477" i="27"/>
  <c r="M449" i="27"/>
  <c r="M424" i="27"/>
  <c r="M159" i="27"/>
  <c r="M615" i="27"/>
  <c r="M583" i="27"/>
  <c r="M557" i="27"/>
  <c r="M503" i="27"/>
  <c r="M475" i="27"/>
  <c r="M422" i="27"/>
  <c r="M394" i="27"/>
  <c r="M368" i="27"/>
  <c r="M23" i="27"/>
  <c r="M208" i="27"/>
  <c r="M73" i="27"/>
  <c r="M577" i="27"/>
  <c r="M497" i="27"/>
  <c r="M336" i="27"/>
  <c r="M126" i="27"/>
  <c r="BA609" i="27"/>
  <c r="BA593" i="27"/>
  <c r="BA577" i="27"/>
  <c r="BA561" i="27"/>
  <c r="BA545" i="27"/>
  <c r="BA529" i="27"/>
  <c r="BA513" i="27"/>
  <c r="BA497" i="27"/>
  <c r="BA481" i="27"/>
  <c r="BA465" i="27"/>
  <c r="BA449" i="27"/>
  <c r="BA432" i="27"/>
  <c r="BA416" i="27"/>
  <c r="BA400" i="27"/>
  <c r="BA384" i="27"/>
  <c r="BA368" i="27"/>
  <c r="BA352" i="27"/>
  <c r="BA336" i="27"/>
  <c r="BA320" i="27"/>
  <c r="BA304" i="27"/>
  <c r="BA288" i="27"/>
  <c r="BA272" i="27"/>
  <c r="BA256" i="27"/>
  <c r="BA240" i="27"/>
  <c r="BA224" i="27"/>
  <c r="BA208" i="27"/>
  <c r="BA192" i="27"/>
  <c r="BA175" i="27"/>
  <c r="BA159" i="27"/>
  <c r="BA143" i="27"/>
  <c r="BA126" i="27"/>
  <c r="BA110" i="27"/>
  <c r="BA94" i="27"/>
  <c r="BA73" i="27"/>
  <c r="BA55" i="27"/>
  <c r="BA39" i="27"/>
  <c r="BA23" i="27"/>
  <c r="M256" i="27"/>
  <c r="AU274" i="27"/>
  <c r="AV274" i="27" s="1"/>
  <c r="AT274" i="27"/>
  <c r="AT242" i="27"/>
  <c r="AU242" i="27"/>
  <c r="AV242" i="27" s="1"/>
  <c r="AU210" i="27"/>
  <c r="AV210" i="27" s="1"/>
  <c r="AT210" i="27"/>
  <c r="AT177" i="27"/>
  <c r="AU177" i="27"/>
  <c r="AV177" i="27" s="1"/>
  <c r="AU145" i="27"/>
  <c r="AV145" i="27" s="1"/>
  <c r="AT145" i="27"/>
  <c r="AT25" i="27"/>
  <c r="AU25" i="27"/>
  <c r="AV25" i="27" s="1"/>
  <c r="AT633" i="27"/>
  <c r="AT483" i="27"/>
  <c r="AT457" i="27"/>
  <c r="AT408" i="27"/>
  <c r="AT198" i="27"/>
  <c r="AT116" i="27"/>
  <c r="AT75" i="27"/>
  <c r="AU612" i="27"/>
  <c r="AV612" i="27" s="1"/>
  <c r="AT306" i="27"/>
  <c r="AT112" i="27"/>
  <c r="AU642" i="27"/>
  <c r="AV642" i="27" s="1"/>
  <c r="AU627" i="27"/>
  <c r="AV627" i="27" s="1"/>
  <c r="AU595" i="27"/>
  <c r="AV595" i="27" s="1"/>
  <c r="AU579" i="27"/>
  <c r="AV579" i="27" s="1"/>
  <c r="AU563" i="27"/>
  <c r="AV563" i="27" s="1"/>
  <c r="AU547" i="27"/>
  <c r="AV547" i="27" s="1"/>
  <c r="AU531" i="27"/>
  <c r="AV531" i="27" s="1"/>
  <c r="AU515" i="27"/>
  <c r="AV515" i="27" s="1"/>
  <c r="AU499" i="27"/>
  <c r="AV499" i="27" s="1"/>
  <c r="AU467" i="27"/>
  <c r="AV467" i="27" s="1"/>
  <c r="AU451" i="27"/>
  <c r="AV451" i="27" s="1"/>
  <c r="AU418" i="27"/>
  <c r="AV418" i="27" s="1"/>
  <c r="AU402" i="27"/>
  <c r="AV402" i="27" s="1"/>
  <c r="AU386" i="27"/>
  <c r="AV386" i="27" s="1"/>
  <c r="AU370" i="27"/>
  <c r="AV370" i="27" s="1"/>
  <c r="AU354" i="27"/>
  <c r="AV354" i="27" s="1"/>
  <c r="AU338" i="27"/>
  <c r="AV338" i="27" s="1"/>
  <c r="AU322" i="27"/>
  <c r="AV322" i="27" s="1"/>
  <c r="AU304" i="27"/>
  <c r="AV304" i="27" s="1"/>
  <c r="AU285" i="27"/>
  <c r="AV285" i="27" s="1"/>
  <c r="AU221" i="27"/>
  <c r="AV221" i="27" s="1"/>
  <c r="AU156" i="27"/>
  <c r="AV156" i="27" s="1"/>
  <c r="AU91" i="27"/>
  <c r="AV91" i="27" s="1"/>
  <c r="AU20" i="27"/>
  <c r="AV20" i="27" s="1"/>
  <c r="AT505" i="27"/>
  <c r="AT328" i="27"/>
  <c r="AL567" i="27"/>
  <c r="AN567" i="27" s="1"/>
  <c r="AL84" i="27"/>
  <c r="AN84" i="27" s="1"/>
  <c r="AU240" i="27"/>
  <c r="AV240" i="27" s="1"/>
  <c r="AU110" i="27"/>
  <c r="AV110" i="27" s="1"/>
  <c r="AU39" i="27"/>
  <c r="AV39" i="27" s="1"/>
  <c r="AT526" i="27"/>
  <c r="AT478" i="27"/>
  <c r="AT429" i="27"/>
  <c r="AT194" i="27"/>
  <c r="AT31" i="27"/>
  <c r="AU655" i="27"/>
  <c r="AV655" i="27" s="1"/>
  <c r="AU640" i="27"/>
  <c r="AV640" i="27" s="1"/>
  <c r="AU625" i="27"/>
  <c r="AV625" i="27" s="1"/>
  <c r="AU609" i="27"/>
  <c r="AV609" i="27" s="1"/>
  <c r="AU593" i="27"/>
  <c r="AV593" i="27" s="1"/>
  <c r="AU577" i="27"/>
  <c r="AV577" i="27" s="1"/>
  <c r="AU545" i="27"/>
  <c r="AV545" i="27" s="1"/>
  <c r="AU529" i="27"/>
  <c r="AV529" i="27" s="1"/>
  <c r="AU513" i="27"/>
  <c r="AV513" i="27" s="1"/>
  <c r="AU497" i="27"/>
  <c r="AV497" i="27" s="1"/>
  <c r="AU481" i="27"/>
  <c r="AV481" i="27" s="1"/>
  <c r="AU465" i="27"/>
  <c r="AV465" i="27" s="1"/>
  <c r="AU449" i="27"/>
  <c r="AV449" i="27" s="1"/>
  <c r="AU416" i="27"/>
  <c r="AV416" i="27" s="1"/>
  <c r="AU400" i="27"/>
  <c r="AV400" i="27" s="1"/>
  <c r="AU368" i="27"/>
  <c r="AV368" i="27" s="1"/>
  <c r="AU352" i="27"/>
  <c r="AV352" i="27" s="1"/>
  <c r="AU336" i="27"/>
  <c r="AV336" i="27" s="1"/>
  <c r="AU320" i="27"/>
  <c r="AV320" i="27" s="1"/>
  <c r="AU301" i="27"/>
  <c r="AV301" i="27" s="1"/>
  <c r="AT648" i="27"/>
  <c r="AT602" i="27"/>
  <c r="AT397" i="27"/>
  <c r="AT349" i="27"/>
  <c r="AT246" i="27"/>
  <c r="AT192" i="27"/>
  <c r="AT65" i="27"/>
  <c r="AT29" i="27"/>
  <c r="AL422" i="27"/>
  <c r="AN422" i="27" s="1"/>
  <c r="AU596" i="27"/>
  <c r="AV596" i="27" s="1"/>
  <c r="AU237" i="27"/>
  <c r="AV237" i="27" s="1"/>
  <c r="AU107" i="27"/>
  <c r="AV107" i="27" s="1"/>
  <c r="AU36" i="27"/>
  <c r="AV36" i="27" s="1"/>
  <c r="AT283" i="27"/>
  <c r="AU283" i="27"/>
  <c r="AV283" i="27" s="1"/>
  <c r="AT267" i="27"/>
  <c r="AU267" i="27"/>
  <c r="AV267" i="27" s="1"/>
  <c r="AT251" i="27"/>
  <c r="AU251" i="27"/>
  <c r="AV251" i="27" s="1"/>
  <c r="AT235" i="27"/>
  <c r="AU235" i="27"/>
  <c r="AV235" i="27" s="1"/>
  <c r="AT219" i="27"/>
  <c r="AU219" i="27"/>
  <c r="AV219" i="27" s="1"/>
  <c r="AT203" i="27"/>
  <c r="AU203" i="27"/>
  <c r="AV203" i="27" s="1"/>
  <c r="AT187" i="27"/>
  <c r="AU187" i="27"/>
  <c r="AV187" i="27" s="1"/>
  <c r="AT170" i="27"/>
  <c r="AU170" i="27"/>
  <c r="AV170" i="27" s="1"/>
  <c r="AT154" i="27"/>
  <c r="AU154" i="27"/>
  <c r="AV154" i="27" s="1"/>
  <c r="AT138" i="27"/>
  <c r="AU138" i="27"/>
  <c r="AV138" i="27" s="1"/>
  <c r="AU50" i="27"/>
  <c r="AV50" i="27" s="1"/>
  <c r="AT50" i="27"/>
  <c r="AT18" i="27"/>
  <c r="AU18" i="27"/>
  <c r="AV18" i="27" s="1"/>
  <c r="AU637" i="27"/>
  <c r="AV637" i="27" s="1"/>
  <c r="AU622" i="27"/>
  <c r="AV622" i="27" s="1"/>
  <c r="AU590" i="27"/>
  <c r="AV590" i="27" s="1"/>
  <c r="AU574" i="27"/>
  <c r="AV574" i="27" s="1"/>
  <c r="AU542" i="27"/>
  <c r="AV542" i="27" s="1"/>
  <c r="AU510" i="27"/>
  <c r="AV510" i="27" s="1"/>
  <c r="AU494" i="27"/>
  <c r="AV494" i="27" s="1"/>
  <c r="AU462" i="27"/>
  <c r="AV462" i="27" s="1"/>
  <c r="AU446" i="27"/>
  <c r="AV446" i="27" s="1"/>
  <c r="AU413" i="27"/>
  <c r="AV413" i="27" s="1"/>
  <c r="AU381" i="27"/>
  <c r="AV381" i="27" s="1"/>
  <c r="AU365" i="27"/>
  <c r="AV365" i="27" s="1"/>
  <c r="AU317" i="27"/>
  <c r="AV317" i="27" s="1"/>
  <c r="AU126" i="27"/>
  <c r="AV126" i="27" s="1"/>
  <c r="AU55" i="27"/>
  <c r="AV55" i="27" s="1"/>
  <c r="AT521" i="27"/>
  <c r="AT473" i="27"/>
  <c r="AT216" i="27"/>
  <c r="AT161" i="27"/>
  <c r="AT100" i="27"/>
  <c r="AT63" i="27"/>
  <c r="AM503" i="27"/>
  <c r="AU628" i="27"/>
  <c r="AV628" i="27" s="1"/>
  <c r="AT294" i="27"/>
  <c r="AT128" i="27"/>
  <c r="AT96" i="27"/>
  <c r="AT57" i="27"/>
  <c r="AT296" i="27"/>
  <c r="AU296" i="27"/>
  <c r="AV296" i="27" s="1"/>
  <c r="AT264" i="27"/>
  <c r="AU264" i="27"/>
  <c r="AV264" i="27" s="1"/>
  <c r="AT232" i="27"/>
  <c r="AU232" i="27"/>
  <c r="AV232" i="27" s="1"/>
  <c r="AT200" i="27"/>
  <c r="AU200" i="27"/>
  <c r="AV200" i="27" s="1"/>
  <c r="AT167" i="27"/>
  <c r="AU167" i="27"/>
  <c r="AV167" i="27" s="1"/>
  <c r="AT135" i="27"/>
  <c r="AU135" i="27"/>
  <c r="AV135" i="27" s="1"/>
  <c r="AT102" i="27"/>
  <c r="AU102" i="27"/>
  <c r="AV102" i="27" s="1"/>
  <c r="AM438" i="27"/>
  <c r="AU564" i="27"/>
  <c r="AV564" i="27" s="1"/>
  <c r="AU253" i="27"/>
  <c r="AV253" i="27" s="1"/>
  <c r="AU189" i="27"/>
  <c r="AV189" i="27" s="1"/>
  <c r="AU123" i="27"/>
  <c r="AV123" i="27" s="1"/>
  <c r="AU52" i="27"/>
  <c r="AV52" i="27" s="1"/>
  <c r="AT262" i="27"/>
  <c r="AT184" i="27"/>
  <c r="AT15" i="27"/>
  <c r="AM132" i="27"/>
  <c r="AU272" i="27"/>
  <c r="AV272" i="27" s="1"/>
  <c r="AU208" i="27"/>
  <c r="AV208" i="27" s="1"/>
  <c r="AU143" i="27"/>
  <c r="AV143" i="27" s="1"/>
  <c r="AT290" i="27"/>
  <c r="AT278" i="27"/>
  <c r="AU278" i="27"/>
  <c r="AV278" i="27" s="1"/>
  <c r="AT214" i="27"/>
  <c r="AU214" i="27"/>
  <c r="AV214" i="27" s="1"/>
  <c r="AT149" i="27"/>
  <c r="AU149" i="27"/>
  <c r="AV149" i="27" s="1"/>
  <c r="AT132" i="27"/>
  <c r="AU132" i="27"/>
  <c r="AV132" i="27" s="1"/>
  <c r="AT84" i="27"/>
  <c r="AU84" i="27"/>
  <c r="AV84" i="27" s="1"/>
  <c r="AT45" i="27"/>
  <c r="AU45" i="27"/>
  <c r="AV45" i="27" s="1"/>
  <c r="AU617" i="27"/>
  <c r="AV617" i="27" s="1"/>
  <c r="AU553" i="27"/>
  <c r="AV553" i="27" s="1"/>
  <c r="AU489" i="27"/>
  <c r="AV489" i="27" s="1"/>
  <c r="AU424" i="27"/>
  <c r="AV424" i="27" s="1"/>
  <c r="AU360" i="27"/>
  <c r="AV360" i="27" s="1"/>
  <c r="AT47" i="27"/>
  <c r="AT13" i="27"/>
  <c r="AM648" i="27"/>
  <c r="AL648" i="27"/>
  <c r="AN648" i="27" s="1"/>
  <c r="AL633" i="27"/>
  <c r="AN633" i="27" s="1"/>
  <c r="AM633" i="27"/>
  <c r="AM585" i="27"/>
  <c r="AL585" i="27"/>
  <c r="AN585" i="27" s="1"/>
  <c r="AU643" i="27"/>
  <c r="AV643" i="27" s="1"/>
  <c r="AU580" i="27"/>
  <c r="AV580" i="27" s="1"/>
  <c r="AT226" i="27"/>
  <c r="AT312" i="27"/>
  <c r="AT258" i="27"/>
  <c r="AT151" i="27"/>
  <c r="AT86" i="27"/>
  <c r="AT9" i="27"/>
  <c r="AL646" i="27"/>
  <c r="AN646" i="27" s="1"/>
  <c r="AM646" i="27"/>
  <c r="AL615" i="27"/>
  <c r="AN615" i="27" s="1"/>
  <c r="AM615" i="27"/>
  <c r="AM600" i="27"/>
  <c r="AL600" i="27"/>
  <c r="AN600" i="27" s="1"/>
  <c r="AL583" i="27"/>
  <c r="AN583" i="27" s="1"/>
  <c r="AM583" i="27"/>
  <c r="AL551" i="27"/>
  <c r="AN551" i="27" s="1"/>
  <c r="AM551" i="27"/>
  <c r="AL535" i="27"/>
  <c r="AN535" i="27" s="1"/>
  <c r="AM535" i="27"/>
  <c r="AM519" i="27"/>
  <c r="AL519" i="27"/>
  <c r="AN519" i="27" s="1"/>
  <c r="AL471" i="27"/>
  <c r="AN471" i="27" s="1"/>
  <c r="AM471" i="27"/>
  <c r="AL455" i="27"/>
  <c r="AN455" i="27" s="1"/>
  <c r="AM455" i="27"/>
  <c r="AL406" i="27"/>
  <c r="AN406" i="27" s="1"/>
  <c r="AM406" i="27"/>
  <c r="AL390" i="27"/>
  <c r="AN390" i="27" s="1"/>
  <c r="AM390" i="27"/>
  <c r="AL374" i="27"/>
  <c r="AN374" i="27" s="1"/>
  <c r="AM374" i="27"/>
  <c r="AL358" i="27"/>
  <c r="AN358" i="27" s="1"/>
  <c r="AM358" i="27"/>
  <c r="AL342" i="27"/>
  <c r="AN342" i="27" s="1"/>
  <c r="AM342" i="27"/>
  <c r="AM326" i="27"/>
  <c r="AL326" i="27"/>
  <c r="AN326" i="27" s="1"/>
  <c r="AL310" i="27"/>
  <c r="AN310" i="27" s="1"/>
  <c r="AM310" i="27"/>
  <c r="AL294" i="27"/>
  <c r="AN294" i="27" s="1"/>
  <c r="AM294" i="27"/>
  <c r="AL278" i="27"/>
  <c r="AN278" i="27" s="1"/>
  <c r="AM278" i="27"/>
  <c r="AL262" i="27"/>
  <c r="AN262" i="27" s="1"/>
  <c r="AM262" i="27"/>
  <c r="AM246" i="27"/>
  <c r="AL246" i="27"/>
  <c r="AN246" i="27" s="1"/>
  <c r="AL230" i="27"/>
  <c r="AN230" i="27" s="1"/>
  <c r="AM230" i="27"/>
  <c r="AL214" i="27"/>
  <c r="AN214" i="27" s="1"/>
  <c r="AM214" i="27"/>
  <c r="AL182" i="27"/>
  <c r="AN182" i="27" s="1"/>
  <c r="AM182" i="27"/>
  <c r="AL149" i="27"/>
  <c r="AN149" i="27" s="1"/>
  <c r="AM149" i="27"/>
  <c r="AL116" i="27"/>
  <c r="AN116" i="27" s="1"/>
  <c r="AM116" i="27"/>
  <c r="AL100" i="27"/>
  <c r="AN100" i="27" s="1"/>
  <c r="AM100" i="27"/>
  <c r="AL63" i="27"/>
  <c r="AN63" i="27" s="1"/>
  <c r="AM63" i="27"/>
  <c r="AM45" i="27"/>
  <c r="AL45" i="27"/>
  <c r="AN45" i="27" s="1"/>
  <c r="AM29" i="27"/>
  <c r="AL29" i="27"/>
  <c r="AN29" i="27" s="1"/>
  <c r="AM13" i="27"/>
  <c r="AL13" i="27"/>
  <c r="AN13" i="27" s="1"/>
  <c r="AM605" i="27"/>
  <c r="AM574" i="27"/>
  <c r="AM412" i="27"/>
  <c r="AM380" i="27"/>
  <c r="AM364" i="27"/>
  <c r="AM348" i="27"/>
  <c r="AM332" i="27"/>
  <c r="AM316" i="27"/>
  <c r="AM300" i="27"/>
  <c r="AM284" i="27"/>
  <c r="AM252" i="27"/>
  <c r="AL512" i="27"/>
  <c r="AN512" i="27" s="1"/>
  <c r="AM616" i="27"/>
  <c r="AL616" i="27"/>
  <c r="AN616" i="27" s="1"/>
  <c r="M547" i="27"/>
  <c r="M25" i="27"/>
  <c r="AM541" i="27"/>
  <c r="AM432" i="27"/>
  <c r="AM19" i="27"/>
  <c r="AM481" i="27"/>
  <c r="AM51" i="27"/>
  <c r="AL651" i="27"/>
  <c r="AN651" i="27" s="1"/>
  <c r="AL625" i="27"/>
  <c r="AN625" i="27" s="1"/>
  <c r="AM652" i="27"/>
  <c r="AM90" i="27"/>
  <c r="AL624" i="27"/>
  <c r="AN624" i="27" s="1"/>
  <c r="AL561" i="27"/>
  <c r="AN561" i="27" s="1"/>
  <c r="AL528" i="27"/>
  <c r="AN528" i="27" s="1"/>
  <c r="M354" i="27"/>
  <c r="M226" i="27"/>
  <c r="AM577" i="27"/>
  <c r="AL577" i="27"/>
  <c r="AN577" i="27" s="1"/>
  <c r="AL240" i="27"/>
  <c r="AN240" i="27" s="1"/>
  <c r="AM240" i="27"/>
  <c r="AL208" i="27"/>
  <c r="AN208" i="27" s="1"/>
  <c r="AM208" i="27"/>
  <c r="AL175" i="27"/>
  <c r="AN175" i="27" s="1"/>
  <c r="AM175" i="27"/>
  <c r="AL143" i="27"/>
  <c r="AN143" i="27" s="1"/>
  <c r="AM143" i="27"/>
  <c r="AL110" i="27"/>
  <c r="AN110" i="27" s="1"/>
  <c r="AM110" i="27"/>
  <c r="AL73" i="27"/>
  <c r="AN73" i="27" s="1"/>
  <c r="AM73" i="27"/>
  <c r="AL39" i="27"/>
  <c r="AN39" i="27" s="1"/>
  <c r="AM39" i="27"/>
  <c r="M483" i="27"/>
  <c r="AM590" i="27"/>
  <c r="AM449" i="27"/>
  <c r="AL525" i="27"/>
  <c r="AN525" i="27" s="1"/>
  <c r="AM576" i="27"/>
  <c r="AL576" i="27"/>
  <c r="AN576" i="27" s="1"/>
  <c r="AM558" i="27"/>
  <c r="AM644" i="27"/>
  <c r="M611" i="27"/>
  <c r="AL640" i="27"/>
  <c r="AN640" i="27" s="1"/>
  <c r="A642" i="27"/>
  <c r="M642" i="27"/>
  <c r="A627" i="27"/>
  <c r="M627" i="27"/>
  <c r="M595" i="27"/>
  <c r="A595" i="27"/>
  <c r="A579" i="27"/>
  <c r="M579" i="27"/>
  <c r="A563" i="27"/>
  <c r="M563" i="27"/>
  <c r="M531" i="27"/>
  <c r="A531" i="27"/>
  <c r="A515" i="27"/>
  <c r="M515" i="27"/>
  <c r="A499" i="27"/>
  <c r="M499" i="27"/>
  <c r="M467" i="27"/>
  <c r="A467" i="27"/>
  <c r="A451" i="27"/>
  <c r="M451" i="27"/>
  <c r="A434" i="27"/>
  <c r="M434" i="27"/>
  <c r="M402" i="27"/>
  <c r="A402" i="27"/>
  <c r="A386" i="27"/>
  <c r="M386" i="27"/>
  <c r="A370" i="27"/>
  <c r="M370" i="27"/>
  <c r="M338" i="27"/>
  <c r="A338" i="27"/>
  <c r="A322" i="27"/>
  <c r="M322" i="27"/>
  <c r="A306" i="27"/>
  <c r="M306" i="27"/>
  <c r="M274" i="27"/>
  <c r="A274" i="27"/>
  <c r="A258" i="27"/>
  <c r="M258" i="27"/>
  <c r="A242" i="27"/>
  <c r="M242" i="27"/>
  <c r="M210" i="27"/>
  <c r="A210" i="27"/>
  <c r="A194" i="27"/>
  <c r="M194" i="27"/>
  <c r="A177" i="27"/>
  <c r="M177" i="27"/>
  <c r="M145" i="27"/>
  <c r="A145" i="27"/>
  <c r="A128" i="27"/>
  <c r="M128" i="27"/>
  <c r="A112" i="27"/>
  <c r="M112" i="27"/>
  <c r="M75" i="27"/>
  <c r="A75" i="27"/>
  <c r="A57" i="27"/>
  <c r="M57" i="27"/>
  <c r="A41" i="27"/>
  <c r="M41" i="27"/>
  <c r="M9" i="27"/>
  <c r="A9" i="27"/>
  <c r="AM493" i="27"/>
  <c r="AL639" i="27"/>
  <c r="AN639" i="27" s="1"/>
  <c r="AL608" i="27"/>
  <c r="AN608" i="27" s="1"/>
  <c r="AL126" i="27"/>
  <c r="AN126" i="27" s="1"/>
  <c r="A656" i="27"/>
  <c r="M656" i="27"/>
  <c r="A641" i="27"/>
  <c r="M641" i="27"/>
  <c r="A626" i="27"/>
  <c r="M626" i="27"/>
  <c r="A610" i="27"/>
  <c r="M610" i="27"/>
  <c r="A594" i="27"/>
  <c r="M594" i="27"/>
  <c r="A578" i="27"/>
  <c r="M578" i="27"/>
  <c r="A562" i="27"/>
  <c r="M562" i="27"/>
  <c r="A546" i="27"/>
  <c r="M546" i="27"/>
  <c r="A530" i="27"/>
  <c r="M530" i="27"/>
  <c r="A514" i="27"/>
  <c r="M514" i="27"/>
  <c r="A498" i="27"/>
  <c r="M498" i="27"/>
  <c r="A482" i="27"/>
  <c r="M482" i="27"/>
  <c r="A466" i="27"/>
  <c r="M466" i="27"/>
  <c r="A450" i="27"/>
  <c r="M450" i="27"/>
  <c r="A433" i="27"/>
  <c r="M433" i="27"/>
  <c r="A417" i="27"/>
  <c r="M417" i="27"/>
  <c r="A401" i="27"/>
  <c r="M401" i="27"/>
  <c r="A385" i="27"/>
  <c r="M385" i="27"/>
  <c r="A369" i="27"/>
  <c r="M369" i="27"/>
  <c r="A353" i="27"/>
  <c r="M353" i="27"/>
  <c r="A337" i="27"/>
  <c r="M337" i="27"/>
  <c r="A321" i="27"/>
  <c r="M321" i="27"/>
  <c r="A305" i="27"/>
  <c r="M305" i="27"/>
  <c r="A289" i="27"/>
  <c r="M289" i="27"/>
  <c r="A273" i="27"/>
  <c r="M273" i="27"/>
  <c r="A257" i="27"/>
  <c r="M257" i="27"/>
  <c r="AM637" i="27"/>
  <c r="AM465" i="27"/>
  <c r="M418" i="27"/>
  <c r="M290" i="27"/>
  <c r="M161" i="27"/>
  <c r="M209" i="27"/>
  <c r="M144" i="27"/>
  <c r="M74" i="27"/>
  <c r="M8" i="27"/>
  <c r="A655" i="27"/>
  <c r="A609" i="27"/>
  <c r="A593" i="27"/>
  <c r="A545" i="27"/>
  <c r="A529" i="27"/>
  <c r="A481" i="27"/>
  <c r="A465" i="27"/>
  <c r="A416" i="27"/>
  <c r="A352" i="27"/>
  <c r="A288" i="27"/>
  <c r="A224" i="27"/>
  <c r="A654" i="27"/>
  <c r="A639" i="27"/>
  <c r="A624" i="27"/>
  <c r="M225" i="27"/>
  <c r="M160" i="27"/>
  <c r="M95" i="27"/>
  <c r="M24" i="27"/>
  <c r="M650" i="27"/>
  <c r="M587" i="27"/>
  <c r="M649" i="27"/>
  <c r="M586" i="27"/>
  <c r="AL521" i="27"/>
  <c r="AN521" i="27" s="1"/>
  <c r="AL489" i="27"/>
  <c r="AN489" i="27" s="1"/>
  <c r="A618" i="27"/>
  <c r="M241" i="27"/>
  <c r="M176" i="27"/>
  <c r="M111" i="27"/>
  <c r="M40" i="27"/>
  <c r="M193" i="27"/>
  <c r="M127" i="27"/>
  <c r="M56" i="27"/>
  <c r="AL588" i="27"/>
  <c r="AN588" i="27" s="1"/>
  <c r="AL429" i="27"/>
  <c r="AN429" i="27" s="1"/>
  <c r="AM621" i="27"/>
  <c r="AM557" i="27"/>
  <c r="AM440" i="27"/>
  <c r="AM424" i="27"/>
  <c r="AL609" i="27"/>
  <c r="AN609" i="27" s="1"/>
  <c r="AL545" i="27"/>
  <c r="AN545" i="27" s="1"/>
  <c r="AM629" i="27"/>
  <c r="AM617" i="27"/>
  <c r="AM598" i="27"/>
  <c r="AM565" i="27"/>
  <c r="AM553" i="27"/>
  <c r="AM533" i="27"/>
  <c r="AM501" i="27"/>
  <c r="AM485" i="27"/>
  <c r="AM469" i="27"/>
  <c r="AM453" i="27"/>
  <c r="AM436" i="27"/>
  <c r="AM420" i="27"/>
  <c r="AL655" i="27"/>
  <c r="AN655" i="27" s="1"/>
  <c r="AL593" i="27"/>
  <c r="AN593" i="27" s="1"/>
  <c r="AL529" i="27"/>
  <c r="AN529" i="27" s="1"/>
  <c r="AM645" i="27"/>
  <c r="AM630" i="27"/>
  <c r="AM614" i="27"/>
  <c r="AM599" i="27"/>
  <c r="AM582" i="27"/>
  <c r="AM566" i="27"/>
  <c r="AM550" i="27"/>
  <c r="AM534" i="27"/>
  <c r="AM518" i="27"/>
  <c r="AM498" i="27"/>
  <c r="AM490" i="27"/>
  <c r="AM478" i="27"/>
  <c r="AM474" i="27"/>
  <c r="AM470" i="27"/>
  <c r="AM462" i="27"/>
  <c r="AM458" i="27"/>
  <c r="AM446" i="27"/>
  <c r="AM441" i="27"/>
  <c r="AM433" i="27"/>
  <c r="AM425" i="27"/>
  <c r="AM508" i="27"/>
  <c r="AM504" i="27"/>
  <c r="M647" i="27"/>
  <c r="M643" i="27"/>
  <c r="M635" i="27"/>
  <c r="M632" i="27"/>
  <c r="M628" i="27"/>
  <c r="M620" i="27"/>
  <c r="M616" i="27"/>
  <c r="M612" i="27"/>
  <c r="M608" i="27"/>
  <c r="M604" i="27"/>
  <c r="M601" i="27"/>
  <c r="M596" i="27"/>
  <c r="M592" i="27"/>
  <c r="M588" i="27"/>
  <c r="M584" i="27"/>
  <c r="M580" i="27"/>
  <c r="M576" i="27"/>
  <c r="M572" i="27"/>
  <c r="M568" i="27"/>
  <c r="M564" i="27"/>
  <c r="M560" i="27"/>
  <c r="M556" i="27"/>
  <c r="M552" i="27"/>
  <c r="M548" i="27"/>
  <c r="M544" i="27"/>
  <c r="M540" i="27"/>
  <c r="M536" i="27"/>
  <c r="M532" i="27"/>
  <c r="M528" i="27"/>
  <c r="M524" i="27"/>
  <c r="M520" i="27"/>
  <c r="M516" i="27"/>
  <c r="M512" i="27"/>
  <c r="M508" i="27"/>
  <c r="M504" i="27"/>
  <c r="M500" i="27"/>
  <c r="M496" i="27"/>
  <c r="M492" i="27"/>
  <c r="M488" i="27"/>
  <c r="M484" i="27"/>
  <c r="M480" i="27"/>
  <c r="M476" i="27"/>
  <c r="M472" i="27"/>
  <c r="M468" i="27"/>
  <c r="M464" i="27"/>
  <c r="M460" i="27"/>
  <c r="M456" i="27"/>
  <c r="M452" i="27"/>
  <c r="M448" i="27"/>
  <c r="M443" i="27"/>
  <c r="M439" i="27"/>
  <c r="M435" i="27"/>
  <c r="M431" i="27"/>
  <c r="M427" i="27"/>
  <c r="M423" i="27"/>
  <c r="M419" i="27"/>
  <c r="M415" i="27"/>
  <c r="M411" i="27"/>
  <c r="M407" i="27"/>
  <c r="M403" i="27"/>
  <c r="M399" i="27"/>
  <c r="M395" i="27"/>
  <c r="M391" i="27"/>
  <c r="M387" i="27"/>
  <c r="M383" i="27"/>
  <c r="M379" i="27"/>
  <c r="M375" i="27"/>
  <c r="M371" i="27"/>
  <c r="M367" i="27"/>
  <c r="M363" i="27"/>
  <c r="M359" i="27"/>
  <c r="M355" i="27"/>
  <c r="M351" i="27"/>
  <c r="M347" i="27"/>
  <c r="M343" i="27"/>
  <c r="M339" i="27"/>
  <c r="M335" i="27"/>
  <c r="M331" i="27"/>
  <c r="M327" i="27"/>
  <c r="M323" i="27"/>
  <c r="M319" i="27"/>
  <c r="M315" i="27"/>
  <c r="M311" i="27"/>
  <c r="M307" i="27"/>
  <c r="M303" i="27"/>
  <c r="M299" i="27"/>
  <c r="M295" i="27"/>
  <c r="M291" i="27"/>
  <c r="M287" i="27"/>
  <c r="M283" i="27"/>
  <c r="M279" i="27"/>
  <c r="M275" i="27"/>
  <c r="M271" i="27"/>
  <c r="M267" i="27"/>
  <c r="M263" i="27"/>
  <c r="M259" i="27"/>
  <c r="M255" i="27"/>
  <c r="M251" i="27"/>
  <c r="M247" i="27"/>
  <c r="M243" i="27"/>
  <c r="M239" i="27"/>
  <c r="M235" i="27"/>
  <c r="M231" i="27"/>
  <c r="M227" i="27"/>
  <c r="M223" i="27"/>
  <c r="M219" i="27"/>
  <c r="M215" i="27"/>
  <c r="M211" i="27"/>
  <c r="M207" i="27"/>
  <c r="M203" i="27"/>
  <c r="M199" i="27"/>
  <c r="M195" i="27"/>
  <c r="M191" i="27"/>
  <c r="M187" i="27"/>
  <c r="M183" i="27"/>
  <c r="M178" i="27"/>
  <c r="M174" i="27"/>
  <c r="M170" i="27"/>
  <c r="M166" i="27"/>
  <c r="M162" i="27"/>
  <c r="M158" i="27"/>
  <c r="M154" i="27"/>
  <c r="M150" i="27"/>
  <c r="M146" i="27"/>
  <c r="M142" i="27"/>
  <c r="M138" i="27"/>
  <c r="M134" i="27"/>
  <c r="M129" i="27"/>
  <c r="M125" i="27"/>
  <c r="M121" i="27"/>
  <c r="M117" i="27"/>
  <c r="M113" i="27"/>
  <c r="M109" i="27"/>
  <c r="M105" i="27"/>
  <c r="M101" i="27"/>
  <c r="M97" i="27"/>
  <c r="M93" i="27"/>
  <c r="M89" i="27"/>
  <c r="M85" i="27"/>
  <c r="M81" i="27"/>
  <c r="M72" i="27"/>
  <c r="M68" i="27"/>
  <c r="M64" i="27"/>
  <c r="M58" i="27"/>
  <c r="M54" i="27"/>
  <c r="M50" i="27"/>
  <c r="M46" i="27"/>
  <c r="M42" i="27"/>
  <c r="M38" i="27"/>
  <c r="M34" i="27"/>
  <c r="M30" i="27"/>
  <c r="M26" i="27"/>
  <c r="M22" i="27"/>
  <c r="M18" i="27"/>
  <c r="M14" i="27"/>
  <c r="M10" i="27"/>
  <c r="AS6" i="27" l="1"/>
  <c r="AS7" i="27"/>
  <c r="AK6" i="27"/>
  <c r="AK7" i="27"/>
  <c r="J6" i="27"/>
  <c r="J7" i="27"/>
  <c r="BB6" i="27" l="1"/>
  <c r="BB7" i="27"/>
  <c r="BC6" i="27" l="1"/>
  <c r="BC7" i="27"/>
  <c r="I7" i="27" l="1"/>
  <c r="BF7" i="27" s="1"/>
  <c r="K7" i="27"/>
  <c r="L7" i="27"/>
  <c r="AL7" i="27"/>
  <c r="AN7" i="27" s="1"/>
  <c r="AM7" i="27"/>
  <c r="AP7" i="27"/>
  <c r="AR7" i="27" s="1"/>
  <c r="AQ7" i="27"/>
  <c r="AT7" i="27"/>
  <c r="AU7" i="27"/>
  <c r="AV7" i="27" s="1"/>
  <c r="AY7" i="27"/>
  <c r="AZ7" i="27"/>
  <c r="A7" i="27" l="1"/>
  <c r="N7" i="27"/>
  <c r="O7" i="27" s="1"/>
  <c r="BA7" i="27"/>
  <c r="BH7" i="27"/>
  <c r="BI7" i="27"/>
  <c r="BK7" i="27"/>
  <c r="BG7" i="27"/>
  <c r="M7" i="27"/>
  <c r="I6" i="27" l="1"/>
  <c r="K6" i="27" l="1"/>
  <c r="L6" i="27"/>
  <c r="N6" i="27" s="1"/>
  <c r="O6" i="27" s="1"/>
  <c r="AL6" i="27"/>
  <c r="AN6" i="27" s="1"/>
  <c r="AP6" i="27"/>
  <c r="AR6" i="27" s="1"/>
  <c r="AQ6" i="27"/>
  <c r="AT6" i="27"/>
  <c r="AU6" i="27"/>
  <c r="AV6" i="27" s="1"/>
  <c r="AY6" i="27"/>
  <c r="AZ6" i="27"/>
  <c r="BF6" i="27"/>
  <c r="BG6" i="27"/>
  <c r="BH6" i="27"/>
  <c r="BI6" i="27"/>
  <c r="BK6" i="27"/>
  <c r="A6" i="27" l="1"/>
  <c r="AM6" i="27"/>
  <c r="BA6" i="27"/>
  <c r="M6" i="27"/>
  <c r="I4" i="33" l="1"/>
  <c r="J4" i="33" s="1"/>
  <c r="I5" i="33"/>
  <c r="J5" i="33" s="1"/>
  <c r="I6" i="33"/>
  <c r="J6" i="33" s="1"/>
  <c r="I7" i="33"/>
  <c r="J7" i="33" s="1"/>
  <c r="I8" i="33"/>
  <c r="J8" i="33" s="1"/>
  <c r="I9" i="33"/>
  <c r="J9" i="33" s="1"/>
  <c r="I10" i="33"/>
  <c r="J10" i="33" s="1"/>
  <c r="I11" i="33"/>
  <c r="J11" i="33" s="1"/>
  <c r="I12" i="33"/>
  <c r="J12" i="33" s="1"/>
  <c r="I13" i="33"/>
  <c r="J13" i="33" s="1"/>
  <c r="I14" i="33"/>
  <c r="J14" i="33" s="1"/>
  <c r="L5" i="20" l="1"/>
  <c r="L6" i="20"/>
  <c r="L7" i="20"/>
  <c r="L8" i="20"/>
  <c r="L9" i="20"/>
  <c r="L10" i="20"/>
  <c r="L11" i="20"/>
  <c r="L12" i="20"/>
  <c r="L13" i="20"/>
  <c r="L14" i="20"/>
  <c r="L4" i="20"/>
  <c r="G4" i="33" l="1"/>
  <c r="G5" i="33"/>
  <c r="G6" i="33"/>
  <c r="G7" i="33"/>
  <c r="G8" i="33"/>
  <c r="G9" i="33"/>
  <c r="G10" i="33"/>
  <c r="G11" i="33"/>
  <c r="G12" i="33"/>
  <c r="G13" i="33"/>
  <c r="G14" i="33"/>
  <c r="G1082" i="20" l="1"/>
  <c r="G1081" i="20"/>
  <c r="G1080" i="20"/>
  <c r="G1079" i="20"/>
  <c r="G1078" i="20"/>
  <c r="G1077" i="20"/>
  <c r="G1076" i="20"/>
  <c r="G1075" i="20"/>
  <c r="G1074" i="20"/>
  <c r="G1073" i="20"/>
  <c r="G1072" i="20"/>
  <c r="G1071" i="20"/>
  <c r="G1070" i="20"/>
  <c r="G1069" i="20"/>
  <c r="G1068" i="20"/>
  <c r="G1067" i="20"/>
  <c r="G1066" i="20"/>
  <c r="G1065" i="20"/>
  <c r="G1064" i="20"/>
  <c r="G1063" i="20"/>
  <c r="G1062" i="20"/>
  <c r="G1061" i="20"/>
  <c r="G1060" i="20"/>
  <c r="G1059" i="20"/>
  <c r="G1058" i="20"/>
  <c r="G1057" i="20"/>
  <c r="G1056" i="20"/>
  <c r="G1055" i="20"/>
  <c r="G1054" i="20"/>
  <c r="G1053" i="20"/>
  <c r="G1052" i="20"/>
  <c r="G1051" i="20"/>
  <c r="G1050" i="20"/>
  <c r="G1049" i="20"/>
  <c r="G1048" i="20"/>
  <c r="G1047" i="20"/>
  <c r="G1046" i="20"/>
  <c r="G1045" i="20"/>
  <c r="G1044" i="20"/>
  <c r="G1043" i="20"/>
  <c r="G1042" i="20"/>
  <c r="G1041" i="20"/>
  <c r="G1040" i="20"/>
  <c r="G1039" i="20"/>
  <c r="G1038" i="20"/>
  <c r="G1037" i="20"/>
  <c r="G1036" i="20"/>
  <c r="G1035" i="20"/>
  <c r="G1034" i="20"/>
  <c r="G1033" i="20"/>
  <c r="G1032" i="20"/>
  <c r="G1031" i="20"/>
  <c r="G1030" i="20"/>
  <c r="G1029" i="20"/>
  <c r="G1028" i="20"/>
  <c r="G1027" i="20"/>
  <c r="G1026" i="20"/>
  <c r="G1025" i="20"/>
  <c r="G1024" i="20"/>
  <c r="G1023" i="20"/>
  <c r="G1022" i="20"/>
  <c r="G1021" i="20"/>
  <c r="G1020" i="20"/>
  <c r="G1019" i="20"/>
  <c r="G1018" i="20"/>
  <c r="G1017" i="20"/>
  <c r="G1016" i="20"/>
  <c r="G1015" i="20"/>
  <c r="G1014" i="20"/>
  <c r="G1013" i="20"/>
  <c r="G1012" i="20"/>
  <c r="G1011" i="20"/>
  <c r="G1010" i="20"/>
  <c r="G1009" i="20"/>
  <c r="G1008" i="20"/>
  <c r="G1007" i="20"/>
  <c r="G1006" i="20"/>
  <c r="G1005" i="20"/>
  <c r="G1004" i="20"/>
  <c r="G1003" i="20"/>
  <c r="G1002" i="20"/>
  <c r="G1001" i="20"/>
  <c r="G1000" i="20"/>
  <c r="G999" i="20"/>
  <c r="G998" i="20"/>
  <c r="G997" i="20"/>
  <c r="G996" i="20"/>
  <c r="G995" i="20"/>
  <c r="G994" i="20"/>
  <c r="G993" i="20"/>
  <c r="G992" i="20"/>
  <c r="G991" i="20"/>
  <c r="G990" i="20"/>
  <c r="G989" i="20"/>
  <c r="G988" i="20"/>
  <c r="G987" i="20"/>
  <c r="G986" i="20"/>
  <c r="G985" i="20"/>
  <c r="G984" i="20"/>
  <c r="G983" i="20"/>
  <c r="G982" i="20"/>
  <c r="G981" i="20"/>
  <c r="G980" i="20"/>
  <c r="G979" i="20"/>
  <c r="G978" i="20"/>
  <c r="G977" i="20"/>
  <c r="G976" i="20"/>
  <c r="G975" i="20"/>
  <c r="G974" i="20"/>
  <c r="G973" i="20"/>
  <c r="G972" i="20"/>
  <c r="G971" i="20"/>
  <c r="G970" i="20"/>
  <c r="G969" i="20"/>
  <c r="G968" i="20"/>
  <c r="G967" i="20"/>
  <c r="G966" i="20"/>
  <c r="G965" i="20"/>
  <c r="G964" i="20"/>
  <c r="G963" i="20"/>
  <c r="G962" i="20"/>
  <c r="G961" i="20"/>
  <c r="G960" i="20"/>
  <c r="G959" i="20"/>
  <c r="G958" i="20"/>
  <c r="G957" i="20"/>
  <c r="G956" i="20"/>
  <c r="G955" i="20"/>
  <c r="G954" i="20"/>
  <c r="G953" i="20"/>
  <c r="G952" i="20"/>
  <c r="G951" i="20"/>
  <c r="G950" i="20"/>
  <c r="G949" i="20"/>
  <c r="G948" i="20"/>
  <c r="G947" i="20"/>
  <c r="G946" i="20"/>
  <c r="G945" i="20"/>
  <c r="G944" i="20"/>
  <c r="G943" i="20"/>
  <c r="G942" i="20"/>
  <c r="G941" i="20"/>
  <c r="G940" i="20"/>
  <c r="G939" i="20"/>
  <c r="G938" i="20"/>
  <c r="G937" i="20"/>
  <c r="G936" i="20"/>
  <c r="G935" i="20"/>
  <c r="G934" i="20"/>
  <c r="G933" i="20"/>
  <c r="G932" i="20"/>
  <c r="G931" i="20"/>
  <c r="G930" i="20"/>
  <c r="G929" i="20"/>
  <c r="G928" i="20"/>
  <c r="G927" i="20"/>
  <c r="G926" i="20"/>
  <c r="G925" i="20"/>
  <c r="G924" i="20"/>
  <c r="G923" i="20"/>
  <c r="G922" i="20"/>
  <c r="G921" i="20"/>
  <c r="G920" i="20"/>
  <c r="G919" i="20"/>
  <c r="G918" i="20"/>
  <c r="G917" i="20"/>
  <c r="G916" i="20"/>
  <c r="G915" i="20"/>
  <c r="G914" i="20"/>
  <c r="G913" i="20"/>
  <c r="G912" i="20"/>
  <c r="G911" i="20"/>
  <c r="G910" i="20"/>
  <c r="G909" i="20"/>
  <c r="G908" i="20"/>
  <c r="G907" i="20"/>
  <c r="G906" i="20"/>
  <c r="G905" i="20"/>
  <c r="G904" i="20"/>
  <c r="G903" i="20"/>
  <c r="G902" i="20"/>
  <c r="G901" i="20"/>
  <c r="G900" i="20"/>
  <c r="G899" i="20"/>
  <c r="G898" i="20"/>
  <c r="G897" i="20"/>
  <c r="G896" i="20"/>
  <c r="G895" i="20"/>
  <c r="G894" i="20"/>
  <c r="G893" i="20"/>
  <c r="G892" i="20"/>
  <c r="G891" i="20"/>
  <c r="G890" i="20"/>
  <c r="G889" i="20"/>
  <c r="G888" i="20"/>
  <c r="G887" i="20"/>
  <c r="G886" i="20"/>
  <c r="G885" i="20"/>
  <c r="G884" i="20"/>
  <c r="G883" i="20"/>
  <c r="G882" i="20"/>
  <c r="G881" i="20"/>
  <c r="G880" i="20"/>
  <c r="G879" i="20"/>
  <c r="G878" i="20"/>
  <c r="G877" i="20"/>
  <c r="G876" i="20"/>
  <c r="G875" i="20"/>
  <c r="G874" i="20"/>
  <c r="G873" i="20"/>
  <c r="G872" i="20"/>
  <c r="G871" i="20"/>
  <c r="G870" i="20"/>
  <c r="G869" i="20"/>
  <c r="G868" i="20"/>
  <c r="G867" i="20"/>
  <c r="G866" i="20"/>
  <c r="G865" i="20"/>
  <c r="G864" i="20"/>
  <c r="G863" i="20"/>
  <c r="G862" i="20"/>
  <c r="G861" i="20"/>
  <c r="G860" i="20"/>
  <c r="G859" i="20"/>
  <c r="G858" i="20"/>
  <c r="G857" i="20"/>
  <c r="G856" i="20"/>
  <c r="G855" i="20"/>
  <c r="G854" i="20"/>
  <c r="G853" i="20"/>
  <c r="G852" i="20"/>
  <c r="G851" i="20"/>
  <c r="G850" i="20"/>
  <c r="G849" i="20"/>
  <c r="G848" i="20"/>
  <c r="G847" i="20"/>
  <c r="G846" i="20"/>
  <c r="G845" i="20"/>
  <c r="G844" i="20"/>
  <c r="G843" i="20"/>
  <c r="G842" i="20"/>
  <c r="G841" i="20"/>
  <c r="G840" i="20"/>
  <c r="G839" i="20"/>
  <c r="G838" i="20"/>
  <c r="G837" i="20"/>
  <c r="G836" i="20"/>
  <c r="G835" i="20"/>
  <c r="G834" i="20"/>
  <c r="G833" i="20"/>
  <c r="G832" i="20"/>
  <c r="G831" i="20"/>
  <c r="G830" i="20"/>
  <c r="G829" i="20"/>
  <c r="G828" i="20"/>
  <c r="G827" i="20"/>
  <c r="G826" i="20"/>
  <c r="G825" i="20"/>
  <c r="G824" i="20"/>
  <c r="G823" i="20"/>
  <c r="G822" i="20"/>
  <c r="G821" i="20"/>
  <c r="G820" i="20"/>
  <c r="G819" i="20"/>
  <c r="G818" i="20"/>
  <c r="G817" i="20"/>
  <c r="G816" i="20"/>
  <c r="G815" i="20"/>
  <c r="G814" i="20"/>
  <c r="G813" i="20"/>
  <c r="G812" i="20"/>
  <c r="G811" i="20"/>
  <c r="G810" i="20"/>
  <c r="G809" i="20"/>
  <c r="G808" i="20"/>
  <c r="G807" i="20"/>
  <c r="G806" i="20"/>
  <c r="G805" i="20"/>
  <c r="G804" i="20"/>
  <c r="G803" i="20"/>
  <c r="G802" i="20"/>
  <c r="G801" i="20"/>
  <c r="G800" i="20"/>
  <c r="G799" i="20"/>
  <c r="G798" i="20"/>
  <c r="G797" i="20"/>
  <c r="G796" i="20"/>
  <c r="G795" i="20"/>
  <c r="G794" i="20"/>
  <c r="G793" i="20"/>
  <c r="G792" i="20"/>
  <c r="G791" i="20"/>
  <c r="G790" i="20"/>
  <c r="G789" i="20"/>
  <c r="G788" i="20"/>
  <c r="G787" i="20"/>
  <c r="G786" i="20"/>
  <c r="G785" i="20"/>
  <c r="G784" i="20"/>
  <c r="G783" i="20"/>
  <c r="G782" i="20"/>
  <c r="G781" i="20"/>
  <c r="G780" i="20"/>
  <c r="G779" i="20"/>
  <c r="G778" i="20"/>
  <c r="G777" i="20"/>
  <c r="G776" i="20"/>
  <c r="G775" i="20"/>
  <c r="G774" i="20"/>
  <c r="G773" i="20"/>
  <c r="G772" i="20"/>
  <c r="G771" i="20"/>
  <c r="G770" i="20"/>
  <c r="G769" i="20"/>
  <c r="G768" i="20"/>
  <c r="G767" i="20"/>
  <c r="G766" i="20"/>
  <c r="G765" i="20"/>
  <c r="G764" i="20"/>
  <c r="G763" i="20"/>
  <c r="G762" i="20"/>
  <c r="G761" i="20"/>
  <c r="G760" i="20"/>
  <c r="G759" i="20"/>
  <c r="G758" i="20"/>
  <c r="G757" i="20"/>
  <c r="G756" i="20"/>
  <c r="G755" i="20"/>
  <c r="G754" i="20"/>
  <c r="G753" i="20"/>
  <c r="G752" i="20"/>
  <c r="G751" i="20"/>
  <c r="G750" i="20"/>
  <c r="G749" i="20"/>
  <c r="G748" i="20"/>
  <c r="G747" i="20"/>
  <c r="G746" i="20"/>
  <c r="G745" i="20"/>
  <c r="G744" i="20"/>
  <c r="G743" i="20"/>
  <c r="G742" i="20"/>
  <c r="G741" i="20"/>
  <c r="G740" i="20"/>
  <c r="G739" i="20"/>
  <c r="G738" i="20"/>
  <c r="G737" i="20"/>
  <c r="G736" i="20"/>
  <c r="G735" i="20"/>
  <c r="G734" i="20"/>
  <c r="G733" i="20"/>
  <c r="G732" i="20"/>
  <c r="G731" i="20"/>
  <c r="G730" i="20"/>
  <c r="G729" i="20"/>
  <c r="G728" i="20"/>
  <c r="G727" i="20"/>
  <c r="G726" i="20"/>
  <c r="G725" i="20"/>
  <c r="G724" i="20"/>
  <c r="G723" i="20"/>
  <c r="G722" i="20"/>
  <c r="G721" i="20"/>
  <c r="G720" i="20"/>
  <c r="G719" i="20"/>
  <c r="G718" i="20"/>
  <c r="G717" i="20"/>
  <c r="G716" i="20"/>
  <c r="G715" i="20"/>
  <c r="G714" i="20"/>
  <c r="G713" i="20"/>
  <c r="G712" i="20"/>
  <c r="G711" i="20"/>
  <c r="G710" i="20"/>
  <c r="G709" i="20"/>
  <c r="G708" i="20"/>
  <c r="G707" i="20"/>
  <c r="G706" i="20"/>
  <c r="G705" i="20"/>
  <c r="G704" i="20"/>
  <c r="G703" i="20"/>
  <c r="G702" i="20"/>
  <c r="G701" i="20"/>
  <c r="G700" i="20"/>
  <c r="G699" i="20"/>
  <c r="G698" i="20"/>
  <c r="G697" i="20"/>
  <c r="G696" i="20"/>
  <c r="G695" i="20"/>
  <c r="G694" i="20"/>
  <c r="G693" i="20"/>
  <c r="G692" i="20"/>
  <c r="G691" i="20"/>
  <c r="G690" i="20"/>
  <c r="G689" i="20"/>
  <c r="G688" i="20"/>
  <c r="G687" i="20"/>
  <c r="G686" i="20"/>
  <c r="G685" i="20"/>
  <c r="G684" i="20"/>
  <c r="G683" i="20"/>
  <c r="G682" i="20"/>
  <c r="G681" i="20"/>
  <c r="G680" i="20"/>
  <c r="G679" i="20"/>
  <c r="G678" i="20"/>
  <c r="G677" i="20"/>
  <c r="G676" i="20"/>
  <c r="G675" i="20"/>
  <c r="G674" i="20"/>
  <c r="G673" i="20"/>
  <c r="G672" i="20"/>
  <c r="G671" i="20"/>
  <c r="G670" i="20"/>
  <c r="G669" i="20"/>
  <c r="G668" i="20"/>
  <c r="G667" i="20"/>
  <c r="G666" i="20"/>
  <c r="G665" i="20"/>
  <c r="G664" i="20"/>
  <c r="G663" i="20"/>
  <c r="G662" i="20"/>
  <c r="G661" i="20"/>
  <c r="G660" i="20"/>
  <c r="G659" i="20"/>
  <c r="G658" i="20"/>
  <c r="G657" i="20"/>
  <c r="G656" i="20"/>
  <c r="G655" i="20"/>
  <c r="G654" i="20"/>
  <c r="G653" i="20"/>
  <c r="G652" i="20"/>
  <c r="G651" i="20"/>
  <c r="G650" i="20"/>
  <c r="G649" i="20"/>
  <c r="G648" i="20"/>
  <c r="G647" i="20"/>
  <c r="G646" i="20"/>
  <c r="G645" i="20"/>
  <c r="G644" i="20"/>
  <c r="G643" i="20"/>
  <c r="G642" i="20"/>
  <c r="G641" i="20"/>
  <c r="G640" i="20"/>
  <c r="G639" i="20"/>
  <c r="G638" i="20"/>
  <c r="G637" i="20"/>
  <c r="G636" i="20"/>
  <c r="G635" i="20"/>
  <c r="G634" i="20"/>
  <c r="G633" i="20"/>
  <c r="G632" i="20"/>
  <c r="G631" i="20"/>
  <c r="G630" i="20"/>
  <c r="G629" i="20"/>
  <c r="G628" i="20"/>
  <c r="G627" i="20"/>
  <c r="G626" i="20"/>
  <c r="G625" i="20"/>
  <c r="G624" i="20"/>
  <c r="G623" i="20"/>
  <c r="G622" i="20"/>
  <c r="G621" i="20"/>
  <c r="G620" i="20"/>
  <c r="G619" i="20"/>
  <c r="G618" i="20"/>
  <c r="G617" i="20"/>
  <c r="G616" i="20"/>
  <c r="G615" i="20"/>
  <c r="G614" i="20"/>
  <c r="G613" i="20"/>
  <c r="G612" i="20"/>
  <c r="G611" i="20"/>
  <c r="G610" i="20"/>
  <c r="G609" i="20"/>
  <c r="G608" i="20"/>
  <c r="G607" i="20"/>
  <c r="G606" i="20"/>
  <c r="G605" i="20"/>
  <c r="G604" i="20"/>
  <c r="G603" i="20"/>
  <c r="G602" i="20"/>
  <c r="G601" i="20"/>
  <c r="G600" i="20"/>
  <c r="G599" i="20"/>
  <c r="G598" i="20"/>
  <c r="G597" i="20"/>
  <c r="G596" i="20"/>
  <c r="G595" i="20"/>
  <c r="G594" i="20"/>
  <c r="G593" i="20"/>
  <c r="G592" i="20"/>
  <c r="G591" i="20"/>
  <c r="G590" i="20"/>
  <c r="G589" i="20"/>
  <c r="G588" i="20"/>
  <c r="G587" i="20"/>
  <c r="G586" i="20"/>
  <c r="G585" i="20"/>
  <c r="G584" i="20"/>
  <c r="G583" i="20"/>
  <c r="G582" i="20"/>
  <c r="G581" i="20"/>
  <c r="G580" i="20"/>
  <c r="G579" i="20"/>
  <c r="G578" i="20"/>
  <c r="G577" i="20"/>
  <c r="G576" i="20"/>
  <c r="G575" i="20"/>
  <c r="G574" i="20"/>
  <c r="G573" i="20"/>
  <c r="G572" i="20"/>
  <c r="G571" i="20"/>
  <c r="G570" i="20"/>
  <c r="G569" i="20"/>
  <c r="G568" i="20"/>
  <c r="G567" i="20"/>
  <c r="G566" i="20"/>
  <c r="G565" i="20"/>
  <c r="G564" i="20"/>
  <c r="G563" i="20"/>
  <c r="G562" i="20"/>
  <c r="G561" i="20"/>
  <c r="G560" i="20"/>
  <c r="G559" i="20"/>
  <c r="G558" i="20"/>
  <c r="G557" i="20"/>
  <c r="G556" i="20"/>
  <c r="G555" i="20"/>
  <c r="G554" i="20"/>
  <c r="G553" i="20"/>
  <c r="G552" i="20"/>
  <c r="G551" i="20"/>
  <c r="G550" i="20"/>
  <c r="G549" i="20"/>
  <c r="G548" i="20"/>
  <c r="G547" i="20"/>
  <c r="G546" i="20"/>
  <c r="G545" i="20"/>
  <c r="G544" i="20"/>
  <c r="G543" i="20"/>
  <c r="G542" i="20"/>
  <c r="G541" i="20"/>
  <c r="G540" i="20"/>
  <c r="G539" i="20"/>
  <c r="G538" i="20"/>
  <c r="G537" i="20"/>
  <c r="G536" i="20"/>
  <c r="G535" i="20"/>
  <c r="G534" i="20"/>
  <c r="G533" i="20"/>
  <c r="G532" i="20"/>
  <c r="G531" i="20"/>
  <c r="G530" i="20"/>
  <c r="G529" i="20"/>
  <c r="G528" i="20"/>
  <c r="G527" i="20"/>
  <c r="G526" i="20"/>
  <c r="G525" i="20"/>
  <c r="G524" i="20"/>
  <c r="G523" i="20"/>
  <c r="G522" i="20"/>
  <c r="G521" i="20"/>
  <c r="G520" i="20"/>
  <c r="G519" i="20"/>
  <c r="G518" i="20"/>
  <c r="G517" i="20"/>
  <c r="G516" i="20"/>
  <c r="G515" i="20"/>
  <c r="G514" i="20"/>
  <c r="G513" i="20"/>
  <c r="G512" i="20"/>
  <c r="G511" i="20"/>
  <c r="G510" i="20"/>
  <c r="G509" i="20"/>
  <c r="G508" i="20"/>
  <c r="G507" i="20"/>
  <c r="G506" i="20"/>
  <c r="G505" i="20"/>
  <c r="G504" i="20"/>
  <c r="G503" i="20"/>
  <c r="G502" i="20"/>
  <c r="G501" i="20"/>
  <c r="G500" i="20"/>
  <c r="G499" i="20"/>
  <c r="G498" i="20"/>
  <c r="G497" i="20"/>
  <c r="G496" i="20"/>
  <c r="G495" i="20"/>
  <c r="G494" i="20"/>
  <c r="G493" i="20"/>
  <c r="G492" i="20"/>
  <c r="G491" i="20"/>
  <c r="G490" i="20"/>
  <c r="G489" i="20"/>
  <c r="G488" i="20"/>
  <c r="G487" i="20"/>
  <c r="G486" i="20"/>
  <c r="G485" i="20"/>
  <c r="G484" i="20"/>
  <c r="G483" i="20"/>
  <c r="G482" i="20"/>
  <c r="G481" i="20"/>
  <c r="G480" i="20"/>
  <c r="G479" i="20"/>
  <c r="G478" i="20"/>
  <c r="G477" i="20"/>
  <c r="G476" i="20"/>
  <c r="G475" i="20"/>
  <c r="G474" i="20"/>
  <c r="G473" i="20"/>
  <c r="G472" i="20"/>
  <c r="G471" i="20"/>
  <c r="G470" i="20"/>
  <c r="G469" i="20"/>
  <c r="G468" i="20"/>
  <c r="G467" i="20"/>
  <c r="G466" i="20"/>
  <c r="G465" i="20"/>
  <c r="G464" i="20"/>
  <c r="G463" i="20"/>
  <c r="G462" i="20"/>
  <c r="G461" i="20"/>
  <c r="G460" i="20"/>
  <c r="G459" i="20"/>
  <c r="G458" i="20"/>
  <c r="G457" i="20"/>
  <c r="G456" i="20"/>
  <c r="G455" i="20"/>
  <c r="G454" i="20"/>
  <c r="G453" i="20"/>
  <c r="G452" i="20"/>
  <c r="G451" i="20"/>
  <c r="G450" i="20"/>
  <c r="G449" i="20"/>
  <c r="G448" i="20"/>
  <c r="G447" i="20"/>
  <c r="G446" i="20"/>
  <c r="G445" i="20"/>
  <c r="G444" i="20"/>
  <c r="G443" i="20"/>
  <c r="G442" i="20"/>
  <c r="G441" i="20"/>
  <c r="G440" i="20"/>
  <c r="G439" i="20"/>
  <c r="G438" i="20"/>
  <c r="G437" i="20"/>
  <c r="G436" i="20"/>
  <c r="G435" i="20"/>
  <c r="G434" i="20"/>
  <c r="G433" i="20"/>
  <c r="G432" i="20"/>
  <c r="G431" i="20"/>
  <c r="G430" i="20"/>
  <c r="G429" i="20"/>
  <c r="G428" i="20"/>
  <c r="G427" i="20"/>
  <c r="G426" i="20"/>
  <c r="G425" i="20"/>
  <c r="G424" i="20"/>
  <c r="G423" i="20"/>
  <c r="G422" i="20"/>
  <c r="G421" i="20"/>
  <c r="G420" i="20"/>
  <c r="G419" i="20"/>
  <c r="G418" i="20"/>
  <c r="G417" i="20"/>
  <c r="G416" i="20"/>
  <c r="G415" i="20"/>
  <c r="G414" i="20"/>
  <c r="G413" i="20"/>
  <c r="G412" i="20"/>
  <c r="G411" i="20"/>
  <c r="G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O2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838CA-5754-4A22-B3B4-7B54433E722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6F247135-BABB-47DF-B605-A1A071454990}" keepAlive="1" name="Query - Pvt Map 1" description="Connection to the 'Pvt Map 1' query in the workbook." type="5" refreshedVersion="0" background="1">
    <dbPr connection="Provider=Microsoft.Mashup.OleDb.1;Data Source=$Workbook$;Location=&quot;Pvt Map 1&quot;;Extended Properties=&quot;&quot;" command="SELECT * FROM [Pvt Map 1]"/>
  </connection>
  <connection id="3" xr16:uid="{9BADE066-2D2D-46D8-A821-AFFF4C2C221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B1A872A-F02D-403C-AA47-E16333F26B44}" keepAlive="1" name="Query - Table43" description="Connection to the 'Table43' query in the workbook." type="5" refreshedVersion="6" background="1" saveData="1">
    <dbPr connection="Provider=Microsoft.Mashup.OleDb.1;Data Source=$Workbook$;Location=Table43;Extended Properties=&quot;&quot;" command="SELECT * FROM [Table43]"/>
  </connection>
  <connection id="5" xr16:uid="{7A10A8CB-0CD4-455F-AF05-E3AC7F4887E3}" keepAlive="1" name="Query - Table43 (2)" description="Connection to the 'Table43 (2)' query in the workbook." type="5" refreshedVersion="6" background="1" saveData="1">
    <dbPr connection="Provider=Microsoft.Mashup.OleDb.1;Data Source=$Workbook$;Location=Table43 (2);Extended Properties=&quot;&quot;" command="SELECT * FROM [Table43 (2)]"/>
  </connection>
  <connection id="6" xr16:uid="{E4F70726-7A32-44A5-843A-8E6CA8D10DB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6B6EA40D-464B-4CEE-AED8-032E6ADA9B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<sst xmlns="http://schemas.openxmlformats.org/spreadsheetml/2006/main" count="37732" uniqueCount="4120">
  <si>
    <t>01</t>
  </si>
  <si>
    <t>Kode Pcpl</t>
  </si>
  <si>
    <t>SATUAN</t>
  </si>
  <si>
    <t>KODE PRODUK PRINSIPAL</t>
  </si>
  <si>
    <t>NAMA ITEM</t>
  </si>
  <si>
    <t>ISI/CTN</t>
  </si>
  <si>
    <t>HARGA INCLUDE PPN 11% IN CTN</t>
  </si>
  <si>
    <t>HARGA/PCS</t>
  </si>
  <si>
    <t>Nama Barang Principle</t>
  </si>
  <si>
    <t>Klp Brg Pcpl</t>
  </si>
  <si>
    <t>Sortir Daftar Produk Principle sesuai Nama lalu sortir lagi by  kelompok</t>
  </si>
  <si>
    <t>Copy dan Paste kan ke Sheet Form Master (sesuaikan kolom nya)</t>
  </si>
  <si>
    <t>NO</t>
  </si>
  <si>
    <t>SATUAN Fix Win</t>
  </si>
  <si>
    <t xml:space="preserve">Nama Pcpl                   </t>
  </si>
  <si>
    <t>kode  2 Digit                (hrf+No)</t>
  </si>
  <si>
    <t>Nama            KLP</t>
  </si>
  <si>
    <t>kode  2 Digit                (Nomor)</t>
  </si>
  <si>
    <t>Nama            Sub KLP</t>
  </si>
  <si>
    <t>kode  1 Digit                (Nomor)</t>
  </si>
  <si>
    <t>Nama            Aroma/             Rasa</t>
  </si>
  <si>
    <t>kode  4 Digit                (Nomor)</t>
  </si>
  <si>
    <t>Nama Win</t>
  </si>
  <si>
    <t>LEN 15</t>
  </si>
  <si>
    <t>LEN 50</t>
  </si>
  <si>
    <t>Kolom Principle</t>
  </si>
  <si>
    <t>Nama            Promo</t>
  </si>
  <si>
    <t>ABC</t>
  </si>
  <si>
    <t>kode  2 Digit                (Nomor)2</t>
  </si>
  <si>
    <t>kode  1 Digit                (Nomor)4</t>
  </si>
  <si>
    <t>Kode BARANG Win2</t>
  </si>
  <si>
    <t>PASTE NAMA DAN CODE PRINCIPLE                                                                                                                                                                                               (Buat Format seperti ini dan Ambil dari Daftar Harga Principle)</t>
  </si>
  <si>
    <t>UPDATE TGL</t>
  </si>
  <si>
    <t>ISI SESUAIKAN ANTARA DMS vs WIN</t>
  </si>
  <si>
    <t>HASIL CODE KELOMPOK, CODE BARANG &amp; NAMA BARANG WIN</t>
  </si>
  <si>
    <t>G1</t>
  </si>
  <si>
    <t>GDI</t>
  </si>
  <si>
    <t>Nama Kelompok Win</t>
  </si>
  <si>
    <t>Daftar Harga</t>
  </si>
  <si>
    <t>Harga Beli</t>
  </si>
  <si>
    <t>Harga Beli Krt
(- PPN)</t>
  </si>
  <si>
    <t>Harga Beli Pcs
(-PPN)</t>
  </si>
  <si>
    <t>Harga Beli Pcs
(+PPN)</t>
  </si>
  <si>
    <t>Harga Beli Krt
(+PPN)</t>
  </si>
  <si>
    <t>Harga Jual GT</t>
  </si>
  <si>
    <t>Update Per</t>
  </si>
  <si>
    <t>SM</t>
  </si>
  <si>
    <t>GOLONGAN</t>
  </si>
  <si>
    <t>PRINCIPAL</t>
  </si>
  <si>
    <t>RAMLI</t>
  </si>
  <si>
    <t>HENDRIK</t>
  </si>
  <si>
    <t>GODREJ DISTRIBUSI INDONESIA, PT</t>
  </si>
  <si>
    <t>SOFTEX INDONESIA, PT</t>
  </si>
  <si>
    <t>SUN PAPER SOURCE, PT</t>
  </si>
  <si>
    <t>SUDIRMAN</t>
  </si>
  <si>
    <t>ABC PRESIDENT INDONESIA, PT</t>
  </si>
  <si>
    <t>ENI</t>
  </si>
  <si>
    <t>FORISA NUSAPERSADA, PT</t>
  </si>
  <si>
    <t>GONDOWANGI TRADISIONAL KOSMETIK, PT</t>
  </si>
  <si>
    <t>PURATOS, PT</t>
  </si>
  <si>
    <t>MUSTIKA RATUBUANA INTERNATIONAL</t>
  </si>
  <si>
    <t>JEMS</t>
  </si>
  <si>
    <t>PZ CUSSONS INDONESIA, PT</t>
  </si>
  <si>
    <t>RECKITT BENCKISER, PT</t>
  </si>
  <si>
    <t>BUDI</t>
  </si>
  <si>
    <t>ENERGIZER INDONESIA, PT</t>
  </si>
  <si>
    <t>SAHAR</t>
  </si>
  <si>
    <t>KINO INDONESIA. TBK, PT</t>
  </si>
  <si>
    <t>L'OREAL INDONESIA, PT</t>
  </si>
  <si>
    <t>RATNA</t>
  </si>
  <si>
    <t>DOLPHIN, PT</t>
  </si>
  <si>
    <t>INMAS SURYA MAKMUR, PT</t>
  </si>
  <si>
    <t>URC INDONESIA, PT</t>
  </si>
  <si>
    <t>ADNA SENTRAL NIAGA, PT</t>
  </si>
  <si>
    <t>EASTON KALERIS INDONESIA, PT</t>
  </si>
  <si>
    <t>UNIVERSAL INDOFOOD PRODUCT, PT</t>
  </si>
  <si>
    <t>ADE DAN ARIEF</t>
  </si>
  <si>
    <t>HEINZ ABC INDONESIA, PT</t>
  </si>
  <si>
    <t>S1</t>
  </si>
  <si>
    <t>SFTX</t>
  </si>
  <si>
    <t>MTS</t>
  </si>
  <si>
    <t>M1</t>
  </si>
  <si>
    <t>ABCPI</t>
  </si>
  <si>
    <t>A1</t>
  </si>
  <si>
    <t>FRS</t>
  </si>
  <si>
    <t>F1</t>
  </si>
  <si>
    <t>GDW</t>
  </si>
  <si>
    <t>G2</t>
  </si>
  <si>
    <t>PRT</t>
  </si>
  <si>
    <t>P1</t>
  </si>
  <si>
    <t>MRT</t>
  </si>
  <si>
    <t>M2</t>
  </si>
  <si>
    <t>CS</t>
  </si>
  <si>
    <t>C1</t>
  </si>
  <si>
    <t>RBI</t>
  </si>
  <si>
    <t>R1</t>
  </si>
  <si>
    <t>E1</t>
  </si>
  <si>
    <t>KNF</t>
  </si>
  <si>
    <t>K1</t>
  </si>
  <si>
    <t>LOI</t>
  </si>
  <si>
    <t>L1</t>
  </si>
  <si>
    <t>DLP</t>
  </si>
  <si>
    <t>D1</t>
  </si>
  <si>
    <t>INMAS</t>
  </si>
  <si>
    <t>I1</t>
  </si>
  <si>
    <t>URC</t>
  </si>
  <si>
    <t>U1</t>
  </si>
  <si>
    <t>A2</t>
  </si>
  <si>
    <t>ASN</t>
  </si>
  <si>
    <t>EST</t>
  </si>
  <si>
    <t>E2</t>
  </si>
  <si>
    <t>UNIBIS</t>
  </si>
  <si>
    <t>U2</t>
  </si>
  <si>
    <t>A3</t>
  </si>
  <si>
    <t>MACROSENTRA NIAGABOGA, PT</t>
  </si>
  <si>
    <t>MMY</t>
  </si>
  <si>
    <t>M3</t>
  </si>
  <si>
    <t>NO.</t>
  </si>
  <si>
    <t>Efektif
Pembuatan</t>
  </si>
  <si>
    <t>Efektif Naik Harga</t>
  </si>
  <si>
    <t>Mata Uang</t>
  </si>
  <si>
    <t>Approval</t>
  </si>
  <si>
    <t>Status
Pembuatan</t>
  </si>
  <si>
    <t>Status
Harga</t>
  </si>
  <si>
    <t>Kode PCPL To Win</t>
  </si>
  <si>
    <t>SAT BSR</t>
  </si>
  <si>
    <t>GD</t>
  </si>
  <si>
    <t>Sama</t>
  </si>
  <si>
    <t>Kode PRK</t>
  </si>
  <si>
    <t>Kode PRK SJ</t>
  </si>
  <si>
    <t>Kode Job</t>
  </si>
  <si>
    <t>To Win, diisi oleh Admin</t>
  </si>
  <si>
    <t>Harga Jual Pcs GT
(-PPN)</t>
  </si>
  <si>
    <t>Harga Jual Krt GT
(- PPN)</t>
  </si>
  <si>
    <t>Harga Jual Pcs GT
(+PPN</t>
  </si>
  <si>
    <t>Harga Jual Krt GT
(+PPN)</t>
  </si>
  <si>
    <t>Harga Jual Pcs MT
(-PPN)</t>
  </si>
  <si>
    <t>Harga Jual Krt MT
(- PPN)</t>
  </si>
  <si>
    <t>Harga Jual Pcs MT
(+PPN)</t>
  </si>
  <si>
    <t>Harga Jual Krt MT
(+PPN)</t>
  </si>
  <si>
    <t>IDR</t>
  </si>
  <si>
    <t>KRT</t>
  </si>
  <si>
    <t>GD01</t>
  </si>
  <si>
    <t>Kode
Golongan</t>
  </si>
  <si>
    <t>No. Urut
Item Sama</t>
  </si>
  <si>
    <t>KELOMPOK PRODUK
By Principle</t>
  </si>
  <si>
    <t>kode  1 Digit                (Nomor)3</t>
  </si>
  <si>
    <t>Nama            Sub KLP2</t>
  </si>
  <si>
    <t>kode  1 Digit                (Nomor)5</t>
  </si>
  <si>
    <t>SACHET</t>
  </si>
  <si>
    <t>KELOMPOK PRODUK</t>
  </si>
  <si>
    <t>A1070001025010</t>
  </si>
  <si>
    <t>A1100002042510</t>
  </si>
  <si>
    <t>A1100002015510</t>
  </si>
  <si>
    <t>A1122002001810</t>
  </si>
  <si>
    <t>A1122005001810</t>
  </si>
  <si>
    <t>A1122003001810</t>
  </si>
  <si>
    <t>A1122004001810</t>
  </si>
  <si>
    <t>A1100003030010</t>
  </si>
  <si>
    <t>A1011001062010</t>
  </si>
  <si>
    <t>A1011001052010</t>
  </si>
  <si>
    <t>A1011002052010</t>
  </si>
  <si>
    <t>A1011003065010</t>
  </si>
  <si>
    <t>A1011004065010</t>
  </si>
  <si>
    <t>A1011005013510</t>
  </si>
  <si>
    <t>A1011006013520</t>
  </si>
  <si>
    <t>A1011005027510</t>
  </si>
  <si>
    <t>A1011006007510</t>
  </si>
  <si>
    <t>A1011000006210</t>
  </si>
  <si>
    <t>A1011000006211</t>
  </si>
  <si>
    <t>A1011000008010</t>
  </si>
  <si>
    <t>A1011000030010</t>
  </si>
  <si>
    <t>A1011000025010</t>
  </si>
  <si>
    <t>A1011000068510</t>
  </si>
  <si>
    <t>A1011000052010</t>
  </si>
  <si>
    <t>A1011000052012</t>
  </si>
  <si>
    <t>A1011000068512</t>
  </si>
  <si>
    <t>A1011000060010</t>
  </si>
  <si>
    <t>A1011000092510</t>
  </si>
  <si>
    <t>A1011000082510</t>
  </si>
  <si>
    <t>A1011000600010</t>
  </si>
  <si>
    <t>A1011000102510</t>
  </si>
  <si>
    <t>A1011000013510</t>
  </si>
  <si>
    <t>A1011000027520</t>
  </si>
  <si>
    <t>A1011000062010</t>
  </si>
  <si>
    <t>A1011000060020</t>
  </si>
  <si>
    <t>A1012000013310</t>
  </si>
  <si>
    <t>A1012000600010</t>
  </si>
  <si>
    <t>A1012000062010</t>
  </si>
  <si>
    <t>A1011007002510</t>
  </si>
  <si>
    <t>A1011007001510</t>
  </si>
  <si>
    <t>A1011007001541</t>
  </si>
  <si>
    <t>A1011007002741</t>
  </si>
  <si>
    <t>A1020001019510</t>
  </si>
  <si>
    <t>A1020002042010</t>
  </si>
  <si>
    <t>A1020002013510</t>
  </si>
  <si>
    <t>A1020003019510</t>
  </si>
  <si>
    <t>A1020002019510</t>
  </si>
  <si>
    <t>A1020004019510</t>
  </si>
  <si>
    <t>A1030001000310</t>
  </si>
  <si>
    <t>A1041001009010</t>
  </si>
  <si>
    <t>A1041002009010</t>
  </si>
  <si>
    <t>A1041003009010</t>
  </si>
  <si>
    <t>A1041004009010</t>
  </si>
  <si>
    <t>A1042001009010</t>
  </si>
  <si>
    <t>A1042004009010</t>
  </si>
  <si>
    <t>A1041005009010</t>
  </si>
  <si>
    <t>A1050000025010</t>
  </si>
  <si>
    <t>A1050000020010</t>
  </si>
  <si>
    <t>A1050000025011</t>
  </si>
  <si>
    <t>A1050000025020</t>
  </si>
  <si>
    <t>A1061001020010</t>
  </si>
  <si>
    <t>A1061002020010</t>
  </si>
  <si>
    <t>A1061000020010</t>
  </si>
  <si>
    <t>A1070001100010</t>
  </si>
  <si>
    <t>A1070002100010</t>
  </si>
  <si>
    <t>A1070002025010</t>
  </si>
  <si>
    <t>A1070003100010</t>
  </si>
  <si>
    <t>A1070003025010</t>
  </si>
  <si>
    <t>A1070004025010</t>
  </si>
  <si>
    <t>A1070005025010</t>
  </si>
  <si>
    <t>A1070006025010</t>
  </si>
  <si>
    <t>A1080001025010</t>
  </si>
  <si>
    <t>A1091001046010</t>
  </si>
  <si>
    <t>A1091002046010</t>
  </si>
  <si>
    <t>A1092001045010</t>
  </si>
  <si>
    <t>A1092002045010</t>
  </si>
  <si>
    <t>A1092003045010</t>
  </si>
  <si>
    <t>A1092004045010</t>
  </si>
  <si>
    <t>A1092005045010</t>
  </si>
  <si>
    <t>A1092006045010</t>
  </si>
  <si>
    <t>A1100001015510</t>
  </si>
  <si>
    <t>A1100001015511</t>
  </si>
  <si>
    <t>A1100001042510</t>
  </si>
  <si>
    <t>A1100004015510</t>
  </si>
  <si>
    <t>A1100004042510</t>
  </si>
  <si>
    <t>A1100005015510</t>
  </si>
  <si>
    <t>A1100005040010</t>
  </si>
  <si>
    <t>A1100005015511</t>
  </si>
  <si>
    <t>A1111001032510</t>
  </si>
  <si>
    <t>A1111001012510</t>
  </si>
  <si>
    <t>A1110000000810</t>
  </si>
  <si>
    <t>A1113000100010</t>
  </si>
  <si>
    <t>A1110000570010</t>
  </si>
  <si>
    <t>A1110000013510</t>
  </si>
  <si>
    <t>A1110000027510</t>
  </si>
  <si>
    <t>A1110000033510</t>
  </si>
  <si>
    <t>A1121000000710</t>
  </si>
  <si>
    <t>A1121000058010</t>
  </si>
  <si>
    <t>A1122001001810</t>
  </si>
  <si>
    <t>A1122001001811</t>
  </si>
  <si>
    <t>A1122001018010</t>
  </si>
  <si>
    <t>A1122001018011</t>
  </si>
  <si>
    <t>A1122001007010</t>
  </si>
  <si>
    <t>A1122001018020</t>
  </si>
  <si>
    <t>A1122002001811</t>
  </si>
  <si>
    <t>A1122003001811</t>
  </si>
  <si>
    <t>A1122004001811</t>
  </si>
  <si>
    <t>A1122005001811</t>
  </si>
  <si>
    <t>A1123000007510</t>
  </si>
  <si>
    <t>A1123000038010</t>
  </si>
  <si>
    <t>A1123000100010</t>
  </si>
  <si>
    <t>A1123000069010</t>
  </si>
  <si>
    <t>A1123000000810</t>
  </si>
  <si>
    <t>A1123000001510</t>
  </si>
  <si>
    <t>A1123000013510</t>
  </si>
  <si>
    <t>A1123000013010</t>
  </si>
  <si>
    <t>A1123000013011</t>
  </si>
  <si>
    <t>A1123000027010</t>
  </si>
  <si>
    <t>A1123000033510</t>
  </si>
  <si>
    <t>A1123000060010</t>
  </si>
  <si>
    <t>A1123000500010</t>
  </si>
  <si>
    <t>A1123000102410</t>
  </si>
  <si>
    <t>A1124000007510</t>
  </si>
  <si>
    <t>A1124000038010</t>
  </si>
  <si>
    <t>A1124000095010</t>
  </si>
  <si>
    <t>A1124000000810</t>
  </si>
  <si>
    <t>A1124000001510</t>
  </si>
  <si>
    <t>A1124000013510</t>
  </si>
  <si>
    <t>A1124000013010</t>
  </si>
  <si>
    <t>A1124000013011</t>
  </si>
  <si>
    <t>A1124000027010</t>
  </si>
  <si>
    <t>A1124000033510</t>
  </si>
  <si>
    <t>A1125000007510</t>
  </si>
  <si>
    <t>A1125000013510</t>
  </si>
  <si>
    <t>A1126000013510</t>
  </si>
  <si>
    <t>A1126000033510</t>
  </si>
  <si>
    <t>A1127000013510</t>
  </si>
  <si>
    <t>A1127000033510</t>
  </si>
  <si>
    <t>A1120001013510</t>
  </si>
  <si>
    <t>A1120001027510</t>
  </si>
  <si>
    <t>A1128001012510</t>
  </si>
  <si>
    <t>A1128002012510</t>
  </si>
  <si>
    <t>A1128003012510</t>
  </si>
  <si>
    <t>A1129001013510</t>
  </si>
  <si>
    <t>A1129002013510</t>
  </si>
  <si>
    <t>Sum of No. Urut
Item Sama</t>
  </si>
  <si>
    <t>Kode Barang Win</t>
  </si>
  <si>
    <t>Kode PCPL yang sama</t>
  </si>
  <si>
    <t>PCPL KODE 1</t>
  </si>
  <si>
    <t>PCPL KODE 2</t>
  </si>
  <si>
    <t>PCPL KODE 3</t>
  </si>
  <si>
    <t>PCPL KODE 4</t>
  </si>
  <si>
    <t>PCPL KODE 5</t>
  </si>
  <si>
    <t>QTY 1</t>
  </si>
  <si>
    <t>QTY 2</t>
  </si>
  <si>
    <t>QTY 3</t>
  </si>
  <si>
    <t>QTY 4</t>
  </si>
  <si>
    <t>QTY 5</t>
  </si>
  <si>
    <t>TOTAL QTY</t>
  </si>
  <si>
    <t>Sheet kuning adalah rumus, jangan diganggu</t>
  </si>
  <si>
    <t>CONCATENATE MAPPING</t>
  </si>
  <si>
    <t>Buat satu folder master barang, master kelompok, price list, mapping produk win to pcpl dan mapping produk pcpl to win</t>
  </si>
  <si>
    <t>Master barang, master kelompok, price list, mapping produk win to pcpl  dan mapping produk pcpl to win berdiri sendiri dalam satu book</t>
  </si>
  <si>
    <t>MOTASA</t>
  </si>
  <si>
    <t>MOTASA INDONESIA, PT</t>
  </si>
  <si>
    <t>M4</t>
  </si>
  <si>
    <t>Nama            Gramasi atau Jumlah Pack per CTN</t>
  </si>
  <si>
    <t>KET TAMBAHAN2</t>
  </si>
  <si>
    <t>Gunakan ini apabila item tersebut sachet</t>
  </si>
  <si>
    <t>CHAROEN POKPHAND INDONESIA, PT</t>
  </si>
  <si>
    <t>CPI</t>
  </si>
  <si>
    <t>C2</t>
  </si>
  <si>
    <t>kode  1 Digit                (Nomor)32</t>
  </si>
  <si>
    <t>Kode Kelompok Win</t>
  </si>
  <si>
    <t>Kode Jenis Produk</t>
  </si>
  <si>
    <t>Baru</t>
  </si>
  <si>
    <t>LADAKU</t>
  </si>
  <si>
    <t>1106FG-LDK33</t>
  </si>
  <si>
    <t>LADAKU SACHET</t>
  </si>
  <si>
    <t>DESAKU SPICES</t>
  </si>
  <si>
    <t>1106FG-DSK07</t>
  </si>
  <si>
    <t>DESAKU KETUMBAR BUBUK</t>
  </si>
  <si>
    <t>1106FG-DKU02</t>
  </si>
  <si>
    <t>DESAKU KUNYIT BUBUK</t>
  </si>
  <si>
    <t>1106FG-DCB02</t>
  </si>
  <si>
    <t>DESAKU CABE BUBUK</t>
  </si>
  <si>
    <t>1106FG-DBP01</t>
  </si>
  <si>
    <t>DESAKU BAWANG PUTIH</t>
  </si>
  <si>
    <t>1106FG-DMR01</t>
  </si>
  <si>
    <t>DESAKU MARINASI</t>
  </si>
  <si>
    <t>DESAKU SEASONING</t>
  </si>
  <si>
    <t>1106FG-DBL01</t>
  </si>
  <si>
    <t>DESAKU BALADO</t>
  </si>
  <si>
    <t>1106FG-DKR01</t>
  </si>
  <si>
    <t>DESAKU KARI NUSANTARA</t>
  </si>
  <si>
    <t>1106FG-DSG02</t>
  </si>
  <si>
    <t>DESAKU SAMBAL GORENG</t>
  </si>
  <si>
    <t>1106FG-DGL01</t>
  </si>
  <si>
    <t>DESAKU GULAI PADANG</t>
  </si>
  <si>
    <t>1106FG-DSO01</t>
  </si>
  <si>
    <t>DESAKU OPOR</t>
  </si>
  <si>
    <t>Column1</t>
  </si>
  <si>
    <t>Column2</t>
  </si>
  <si>
    <t>Column3</t>
  </si>
  <si>
    <t>ALEX</t>
  </si>
  <si>
    <t>PCH</t>
  </si>
  <si>
    <t>BTL</t>
  </si>
  <si>
    <t>JRG</t>
  </si>
  <si>
    <t>KLG</t>
  </si>
  <si>
    <t>PACK</t>
  </si>
  <si>
    <t>Harga Jual Motorist</t>
  </si>
  <si>
    <t>FG11247.468.0000.B</t>
  </si>
  <si>
    <t>FG11247.468.0000.H</t>
  </si>
  <si>
    <t>FG11247.467.0000.B</t>
  </si>
  <si>
    <t>FG11247.467.0000.H</t>
  </si>
  <si>
    <t>FG11247.467.0002.B</t>
  </si>
  <si>
    <t>FG11247.469.0000.B</t>
  </si>
  <si>
    <t>FG11247.469.0000.H</t>
  </si>
  <si>
    <t>FG11247.469.0002.B</t>
  </si>
  <si>
    <t>FG11246.641.0065.P</t>
  </si>
  <si>
    <t>FG11246.641.0653.P</t>
  </si>
  <si>
    <t>FG11246.641.0654.P</t>
  </si>
  <si>
    <t>FG11246.641.0150.P</t>
  </si>
  <si>
    <t>FG11246.641.1501.P</t>
  </si>
  <si>
    <t>FG11246.641.1502.P</t>
  </si>
  <si>
    <t>FG11246.641.1503.P</t>
  </si>
  <si>
    <t>FG11246.722.0065.P</t>
  </si>
  <si>
    <t>FG11246.722.0652.P</t>
  </si>
  <si>
    <t>FG11246.722.0150.P</t>
  </si>
  <si>
    <t>FG11246.722.1502.P</t>
  </si>
  <si>
    <t>FG11246.218.0065.P</t>
  </si>
  <si>
    <t>FG11246.218.0652.P</t>
  </si>
  <si>
    <t>FG11246.218.0653.P</t>
  </si>
  <si>
    <t>FG11246.218.0150.P</t>
  </si>
  <si>
    <t>FG11246.218.1502.P</t>
  </si>
  <si>
    <t>FG11246.218.1503.P</t>
  </si>
  <si>
    <t>FG11322.005.4002.K</t>
  </si>
  <si>
    <t>FG11322.005.5002.C</t>
  </si>
  <si>
    <t>FG11322.005.5003.C</t>
  </si>
  <si>
    <t>FG11322.005.04L2.G</t>
  </si>
  <si>
    <t>FG11322.111.4002.K</t>
  </si>
  <si>
    <t>FG11322.111.5002.C</t>
  </si>
  <si>
    <t>FG11322.111.5003.C</t>
  </si>
  <si>
    <t>FG11322.111.04L2.G</t>
  </si>
  <si>
    <t>FG11322.184.4002.K</t>
  </si>
  <si>
    <t>FG11322.184.5002.C</t>
  </si>
  <si>
    <t>FG11322.184.5003.C</t>
  </si>
  <si>
    <t>FG11322.184.04L2.G</t>
  </si>
  <si>
    <t>FG11384.305.0250.K</t>
  </si>
  <si>
    <t>FG11384.305.0250.C</t>
  </si>
  <si>
    <t>FG11384.305.2502.C</t>
  </si>
  <si>
    <t>FG11399.449.3202.C</t>
  </si>
  <si>
    <t>FG11384.306.0250.K</t>
  </si>
  <si>
    <t>FG11384.306.0250.C</t>
  </si>
  <si>
    <t>FG11384.306.2502.C</t>
  </si>
  <si>
    <t>FG11384.307.0250.K</t>
  </si>
  <si>
    <t>FG11384.307.0250.C</t>
  </si>
  <si>
    <t>FG11384.307.2502.C</t>
  </si>
  <si>
    <t>FG11384.306.2502.K</t>
  </si>
  <si>
    <t>FG11384.306.2503.C</t>
  </si>
  <si>
    <t>FG11384.306.2504.C</t>
  </si>
  <si>
    <t>FG11319.502.0250.K</t>
  </si>
  <si>
    <t>FG11319.502.0300.C</t>
  </si>
  <si>
    <t>FG11302.146.0020.O</t>
  </si>
  <si>
    <t>FG11302.146.0450.K</t>
  </si>
  <si>
    <t>FG11302.146.4502.K</t>
  </si>
  <si>
    <t>FG11302.146.0500.C</t>
  </si>
  <si>
    <t>FG11302.146.0900.K</t>
  </si>
  <si>
    <t>FG11302.146.1200.C</t>
  </si>
  <si>
    <t>FG11302.146.004L.G</t>
  </si>
  <si>
    <t>FG11304.146.0702.K</t>
  </si>
  <si>
    <t>FG11304.146.0703.K</t>
  </si>
  <si>
    <t>FG11304.146.1502.C</t>
  </si>
  <si>
    <t>FG11304.146.1503.C</t>
  </si>
  <si>
    <t>FG11304.146.4502.K</t>
  </si>
  <si>
    <t>FG11304.146.4504.J</t>
  </si>
  <si>
    <t>FG11304.146.4503.K</t>
  </si>
  <si>
    <t>FG11304.146.5002.C</t>
  </si>
  <si>
    <t>FG11304.146.9002.K</t>
  </si>
  <si>
    <t>FG11304.146.9003.J</t>
  </si>
  <si>
    <t>FG11302.178.0000.A</t>
  </si>
  <si>
    <t>FG11333.502.0120.C</t>
  </si>
  <si>
    <t>FG11333.502.0250.C</t>
  </si>
  <si>
    <t>FG11302.178.0000.J</t>
  </si>
  <si>
    <t>FG11388.502.0080.P</t>
  </si>
  <si>
    <t>FG1130D.146.0030.C</t>
  </si>
  <si>
    <t>FG1130D.146.0070.C</t>
  </si>
  <si>
    <t>FG11365.113.0100.P</t>
  </si>
  <si>
    <t>FG15427.146.0050.C</t>
  </si>
  <si>
    <t>FG15427.146.0100.C</t>
  </si>
  <si>
    <t>FG15427.146.0500.C</t>
  </si>
  <si>
    <t>FG15427.146.004L.G</t>
  </si>
  <si>
    <t>FG15427.146.045L.G</t>
  </si>
  <si>
    <t>FG15427.146.0018.C</t>
  </si>
  <si>
    <t>FG15427.146.0182.C</t>
  </si>
  <si>
    <t>FG15427.146.0602.C</t>
  </si>
  <si>
    <t>FG15427.146.1002.C</t>
  </si>
  <si>
    <t>FG15427.146.1005.C</t>
  </si>
  <si>
    <t>FG15427.146.005L.G</t>
  </si>
  <si>
    <t>FG15451.165.0001.O</t>
  </si>
  <si>
    <t>FG10447.095.001N.H</t>
  </si>
  <si>
    <t>FG1040V.790.0100.C</t>
  </si>
  <si>
    <t>FG10447.135.001N.H</t>
  </si>
  <si>
    <t>FG1040V.791.0100.C</t>
  </si>
  <si>
    <t>FG10447.172.001N.H</t>
  </si>
  <si>
    <t>FG10447.174.001N.H</t>
  </si>
  <si>
    <t>FG10447.240.001N.H</t>
  </si>
  <si>
    <t>FG10447.451.0001.H</t>
  </si>
  <si>
    <t>FG10447.452.0001.H</t>
  </si>
  <si>
    <t>FG10447.453.0001.H</t>
  </si>
  <si>
    <t>FG10447.095.0014.B</t>
  </si>
  <si>
    <t>FG10447.172.0014.B</t>
  </si>
  <si>
    <t>FG10447.490.0001.B</t>
  </si>
  <si>
    <t>FG10447.490.0030.C</t>
  </si>
  <si>
    <t>FG10447.491.0001.B</t>
  </si>
  <si>
    <t>FG10447.491.0030.C</t>
  </si>
  <si>
    <t>FG10447.209.008P.D</t>
  </si>
  <si>
    <t>FG10447.209.0034.C</t>
  </si>
  <si>
    <t>FG10447.095.0015.B</t>
  </si>
  <si>
    <t>FG10456.450.0045.C</t>
  </si>
  <si>
    <t>FG10447.135.0012.B</t>
  </si>
  <si>
    <t>FG10447.172.0015.B</t>
  </si>
  <si>
    <t>FG10447.174.0012.B</t>
  </si>
  <si>
    <t>FG10447.240.0012.B</t>
  </si>
  <si>
    <t>FG10447.451.0012.B</t>
  </si>
  <si>
    <t>FG10447.452.0012.B</t>
  </si>
  <si>
    <t>FG10447.453.0012.B</t>
  </si>
  <si>
    <t>FG10479.020.0050.C</t>
  </si>
  <si>
    <t>FG10479.020.0200.C</t>
  </si>
  <si>
    <t>FG10479.020.2001.C</t>
  </si>
  <si>
    <t>FG10479.645.0050.C</t>
  </si>
  <si>
    <t>FG10479.645.0200.C</t>
  </si>
  <si>
    <t>FG10479.645.2001.C</t>
  </si>
  <si>
    <t>FG10479.646.0050.C</t>
  </si>
  <si>
    <t>FG10479.646.0200.C</t>
  </si>
  <si>
    <t>FG10479.647.0050.C</t>
  </si>
  <si>
    <t>FG10479.647.0200.C</t>
  </si>
  <si>
    <t>FG10479.647.2001.C</t>
  </si>
  <si>
    <t>FG10448.451.0018.O</t>
  </si>
  <si>
    <t>FG10448.451.0120.P</t>
  </si>
  <si>
    <t>FG10448.452.0018.O</t>
  </si>
  <si>
    <t>FG10448.452.0120.P</t>
  </si>
  <si>
    <t>FG10448.453.0018.O</t>
  </si>
  <si>
    <t>FG10448.453.0120.P</t>
  </si>
  <si>
    <t>FG10448.095.0012.O</t>
  </si>
  <si>
    <t>FG10448.095.0020.O</t>
  </si>
  <si>
    <t>FG10448.095.0202.O</t>
  </si>
  <si>
    <t>FG10448.095.0203.O</t>
  </si>
  <si>
    <t>FG10448.135.0020.O</t>
  </si>
  <si>
    <t>FG10448.135.0202.O</t>
  </si>
  <si>
    <t>FG10448.135.0203.O</t>
  </si>
  <si>
    <t>FG10448.174.0020.O</t>
  </si>
  <si>
    <t>FG10448.174.0202.O</t>
  </si>
  <si>
    <t>FG10448.174.0203.O</t>
  </si>
  <si>
    <t>FG10448.318.0020.O</t>
  </si>
  <si>
    <t>FG10448.318.0202.O</t>
  </si>
  <si>
    <t>FG10448.318.0203.O</t>
  </si>
  <si>
    <t>FG10456.450.0110.C</t>
  </si>
  <si>
    <t>FG14939.658.0000.D</t>
  </si>
  <si>
    <t>FG14939.659.0000.D</t>
  </si>
  <si>
    <t>FG14939.660.0000.D</t>
  </si>
  <si>
    <t>FG14939.661.0000.D</t>
  </si>
  <si>
    <t>FG14939.662.0000.D</t>
  </si>
  <si>
    <t>FG14939.663.0000.D</t>
  </si>
  <si>
    <t>FG14939.664.0000.D</t>
  </si>
  <si>
    <t>FG14939.665.0000.D</t>
  </si>
  <si>
    <t>FG14939.666.0000.D</t>
  </si>
  <si>
    <t>FG14939.667.0000.D</t>
  </si>
  <si>
    <t>FG14939.669.0000.D</t>
  </si>
  <si>
    <t>FG14939.670.0000.D</t>
  </si>
  <si>
    <t>FG14939.671.0000.D</t>
  </si>
  <si>
    <t>FG14939.672.0000.D</t>
  </si>
  <si>
    <t>FG14939.673.0000.D</t>
  </si>
  <si>
    <t>FG14939.674.0000.D</t>
  </si>
  <si>
    <t>FG14939.675.0000.D</t>
  </si>
  <si>
    <t>FG14939.676.0000.D</t>
  </si>
  <si>
    <t>FG14939.677.0000.D</t>
  </si>
  <si>
    <t>FG14939.705.0000.D</t>
  </si>
  <si>
    <t>FG14939.706.0000.D</t>
  </si>
  <si>
    <t>FG14939.703.0000.D</t>
  </si>
  <si>
    <t>FG14939.704.0000.D</t>
  </si>
  <si>
    <t>FG1110V.784.0050.C</t>
  </si>
  <si>
    <t>FG1110W.784.0100.H</t>
  </si>
  <si>
    <t>FG11108.784.0100.C</t>
  </si>
  <si>
    <t>FG11129.784.0105.C</t>
  </si>
  <si>
    <t>FG11128.784.0125.C</t>
  </si>
  <si>
    <t>FG11160.784.0150.C</t>
  </si>
  <si>
    <t>FG11123.784.0500.C</t>
  </si>
  <si>
    <t>FG1110V.785.0050.C</t>
  </si>
  <si>
    <t>FG1110W.785.0100.H</t>
  </si>
  <si>
    <t>FG11108.785.0100.C</t>
  </si>
  <si>
    <t>FG11129.785.0105.C</t>
  </si>
  <si>
    <t>FG11128.785.0125.C</t>
  </si>
  <si>
    <t>FG11160.785.0150.C</t>
  </si>
  <si>
    <t>FG11123.785.0500.C</t>
  </si>
  <si>
    <t>FG1110W.786.0100.H</t>
  </si>
  <si>
    <t>FG11129.786.0105.C</t>
  </si>
  <si>
    <t>FG11128.786.0125.C</t>
  </si>
  <si>
    <t>FG11131.784.0180.C</t>
  </si>
  <si>
    <t>FG11123.786.0500.C</t>
  </si>
  <si>
    <t>FG11129.787.0105.C</t>
  </si>
  <si>
    <t>FG11131.785.0180.C</t>
  </si>
  <si>
    <t>FG11136.022.0025.D</t>
  </si>
  <si>
    <t>FG11136.033.0025.D</t>
  </si>
  <si>
    <t>FG11136.037.0025.D</t>
  </si>
  <si>
    <t>FG11136.043.0025.D</t>
  </si>
  <si>
    <t>FG11136.044.0025.D</t>
  </si>
  <si>
    <t>FG11136.050.0025.D</t>
  </si>
  <si>
    <t>FG11136.052.0025.D</t>
  </si>
  <si>
    <t>FG11136.086.0025.D</t>
  </si>
  <si>
    <t>FG11136.101.0025.D</t>
  </si>
  <si>
    <t>FG11136.117.0025.D</t>
  </si>
  <si>
    <t>FG11136.130.0025.D</t>
  </si>
  <si>
    <t>FG11136.140.0025.D</t>
  </si>
  <si>
    <t>FG11136.154.0025.D</t>
  </si>
  <si>
    <t>FG11136.219.0025.D</t>
  </si>
  <si>
    <t>FG11136.713.0025.D</t>
  </si>
  <si>
    <t>FG11136.714.0025.D</t>
  </si>
  <si>
    <t>FG11155.009.0030.O</t>
  </si>
  <si>
    <t>FG11155.261.0030.O</t>
  </si>
  <si>
    <t>FG11155.678.0030.O</t>
  </si>
  <si>
    <t>FG11155.679.0030.O</t>
  </si>
  <si>
    <t>FG11192.019.0010.D</t>
  </si>
  <si>
    <t>FG11041.507.0602.C</t>
  </si>
  <si>
    <t>FG11041.507.0903.C</t>
  </si>
  <si>
    <t>FG11041.507.0200.C</t>
  </si>
  <si>
    <t>FG11041.509.0602.C</t>
  </si>
  <si>
    <t>FG11041.508.0902.C</t>
  </si>
  <si>
    <t>FG11041.508.0200.C</t>
  </si>
  <si>
    <t>FG11041.509.0902.C</t>
  </si>
  <si>
    <t>FG11041.509.0200.C</t>
  </si>
  <si>
    <t>FG11041.510.0902.C</t>
  </si>
  <si>
    <t>FG11041.510.0200.C</t>
  </si>
  <si>
    <t>FG11026.116.0502.C</t>
  </si>
  <si>
    <t>FG11026.116.0902.C</t>
  </si>
  <si>
    <t>FG11026.116.2002.C</t>
  </si>
  <si>
    <t>FG11026.218.0050.C</t>
  </si>
  <si>
    <t>FG11026.218.0090.C</t>
  </si>
  <si>
    <t>FG11026.218.0200.C</t>
  </si>
  <si>
    <t>FG11081.511.0602.C</t>
  </si>
  <si>
    <t>FG11081.511.0902.C</t>
  </si>
  <si>
    <t>FG11081.511.0200.C</t>
  </si>
  <si>
    <t>FG11081.512.0602.C</t>
  </si>
  <si>
    <t>FG11081.512.0902.C</t>
  </si>
  <si>
    <t>FG11081.512.0200.C</t>
  </si>
  <si>
    <t>FG11091.165.1002.C</t>
  </si>
  <si>
    <t>FG11091.165.1003.C</t>
  </si>
  <si>
    <t>FG11091.442.0100.C</t>
  </si>
  <si>
    <t>FG11097.218.0050.C</t>
  </si>
  <si>
    <t>FG11097.218.0090.C</t>
  </si>
  <si>
    <t>FG11097.218.0200.C</t>
  </si>
  <si>
    <t>FG11098.002.0050.C</t>
  </si>
  <si>
    <t>FG11098.002.0125.C</t>
  </si>
  <si>
    <t>FG11098.116.0050.C</t>
  </si>
  <si>
    <t>FG11098.116.0125.C</t>
  </si>
  <si>
    <t>FG11098.118.0050.C</t>
  </si>
  <si>
    <t>FG11098.118.0125.C</t>
  </si>
  <si>
    <t>FG11098.443.0050.C</t>
  </si>
  <si>
    <t>FG11098.443.0125.C</t>
  </si>
  <si>
    <t>FG11098.112.0125.C</t>
  </si>
  <si>
    <t>FG11098.119.0125.C</t>
  </si>
  <si>
    <t>FG10828.040.0752.C</t>
  </si>
  <si>
    <t>FG10828.040.1502.C</t>
  </si>
  <si>
    <t>FG10828.059.0075.C</t>
  </si>
  <si>
    <t>FG10828.059.0150.C</t>
  </si>
  <si>
    <t>FG10828.075.0752.C</t>
  </si>
  <si>
    <t>FG10828.075.1502.C</t>
  </si>
  <si>
    <t>FG10828.139.0752.C</t>
  </si>
  <si>
    <t>FG10828.139.1502.C</t>
  </si>
  <si>
    <t>FG10828.149.0752.C</t>
  </si>
  <si>
    <t>FG10828.149.1502.C</t>
  </si>
  <si>
    <t>FG10828.181.0752.C</t>
  </si>
  <si>
    <t>FG10828.181.1502.C</t>
  </si>
  <si>
    <t>FG10828.182.0752.C</t>
  </si>
  <si>
    <t>FG10828.182.1502.C</t>
  </si>
  <si>
    <t>FG10829.006.0502.C</t>
  </si>
  <si>
    <t>FG10829.006.1002.C</t>
  </si>
  <si>
    <t>FG10829.016.0502.C</t>
  </si>
  <si>
    <t>FG10829.016.1002.C</t>
  </si>
  <si>
    <t>FG10829.060.0502.C</t>
  </si>
  <si>
    <t>FG10829.060.1002.C</t>
  </si>
  <si>
    <t>FG10829.093.0502.C</t>
  </si>
  <si>
    <t>FG10829.093.1002.C</t>
  </si>
  <si>
    <t>FG10829.164.0502.C</t>
  </si>
  <si>
    <t>FG10829.164.1002.C</t>
  </si>
  <si>
    <t>FG10729.010.0100.C</t>
  </si>
  <si>
    <t>FG10729.179.1003.C</t>
  </si>
  <si>
    <t>FG10729.188.0100.C</t>
  </si>
  <si>
    <t>FG10729.230.0100.C</t>
  </si>
  <si>
    <t>FG10729.444.0100.C</t>
  </si>
  <si>
    <t>FG10729.445.0100.C</t>
  </si>
  <si>
    <t>FG10729.637.0100.C</t>
  </si>
  <si>
    <t>FG10729.638.0100.C</t>
  </si>
  <si>
    <t>FG10732.444.1752.C</t>
  </si>
  <si>
    <t>FG10732.445.1752.C</t>
  </si>
  <si>
    <t>FG10731.010.0150.C</t>
  </si>
  <si>
    <t>FG10731.179.1503.C</t>
  </si>
  <si>
    <t>FG10731.188.0150.C</t>
  </si>
  <si>
    <t>FG10731.230.1502.C</t>
  </si>
  <si>
    <t>FG10731.444.0150.C</t>
  </si>
  <si>
    <t>FG10731.445.0150.C</t>
  </si>
  <si>
    <t>FG10731.637.0150.C</t>
  </si>
  <si>
    <t>FG10731.638.0150.C</t>
  </si>
  <si>
    <t>FG10746.010.0502.P</t>
  </si>
  <si>
    <t>FG10746.179.0504.P</t>
  </si>
  <si>
    <t>FG10746.188.0502.P</t>
  </si>
  <si>
    <t>FG10746.230.0502.P</t>
  </si>
  <si>
    <t>FG10746.230.0503.P</t>
  </si>
  <si>
    <t>FG10746.445.0050.P</t>
  </si>
  <si>
    <t>FG10746.445.0502.P</t>
  </si>
  <si>
    <t>FG10746.444.0050.J</t>
  </si>
  <si>
    <t>FG10746.444.0502.J</t>
  </si>
  <si>
    <t>FG10746.445.0502.J</t>
  </si>
  <si>
    <t>FG10746.445.0503.J</t>
  </si>
  <si>
    <t>FG10744.010.0075.H</t>
  </si>
  <si>
    <t>FG10744.179.0753.H</t>
  </si>
  <si>
    <t>FG10744.188.0075.H</t>
  </si>
  <si>
    <t>FG10627.683.0018.C</t>
  </si>
  <si>
    <t>FG10627.056.0503.C</t>
  </si>
  <si>
    <t>FG10627.056.0504.C</t>
  </si>
  <si>
    <t>FG10627.056.0505.C</t>
  </si>
  <si>
    <t>FG10627.683.0050.C</t>
  </si>
  <si>
    <t>FG10686.516.0100.C</t>
  </si>
  <si>
    <t>FG10627.120.0503.C</t>
  </si>
  <si>
    <t>FG10627.120.0504.C</t>
  </si>
  <si>
    <t>FG10627.120.0505.C</t>
  </si>
  <si>
    <t>FG10627.120.0506.C</t>
  </si>
  <si>
    <t>FG10627.147.0503.C</t>
  </si>
  <si>
    <t>FG10627.147.0504.C</t>
  </si>
  <si>
    <t>FG10627.147.0505.C</t>
  </si>
  <si>
    <t>FG10627.201.0503.C</t>
  </si>
  <si>
    <t>FG10627.201.0504.C</t>
  </si>
  <si>
    <t>FG10627.201.0505.C</t>
  </si>
  <si>
    <t>FG10627.201.0506.C</t>
  </si>
  <si>
    <t>FG10629.056.0060.C</t>
  </si>
  <si>
    <t>FG10629.056.0100.C</t>
  </si>
  <si>
    <t>FG10629.120.0060.C</t>
  </si>
  <si>
    <t>FG10629.120.0100.C</t>
  </si>
  <si>
    <t>FG10629.122.0060.C</t>
  </si>
  <si>
    <t>FG10629.122.0100.C</t>
  </si>
  <si>
    <t>FG10629.683.0009.C</t>
  </si>
  <si>
    <t>FG10637.122.0150.C</t>
  </si>
  <si>
    <t>FG10637.147.1502.C</t>
  </si>
  <si>
    <t>FG10631.120.0102.O</t>
  </si>
  <si>
    <t>FG10631.120.0010.O</t>
  </si>
  <si>
    <t>FG10631.120.0104.O</t>
  </si>
  <si>
    <t>FG10631.120.0045.C</t>
  </si>
  <si>
    <t>FG10631.120.1002.C</t>
  </si>
  <si>
    <t>FG10631.120.2002.C</t>
  </si>
  <si>
    <t>FG10631.122.0010.O</t>
  </si>
  <si>
    <t>FG10631.122.0104.O</t>
  </si>
  <si>
    <t>FG10631.122.0102.O</t>
  </si>
  <si>
    <t>FG10631.122.0045.C</t>
  </si>
  <si>
    <t>FG10631.122.1002.C</t>
  </si>
  <si>
    <t>FG10631.122.2002.C</t>
  </si>
  <si>
    <t>FG10631.694.0102.O</t>
  </si>
  <si>
    <t>FG10631.694.0010.O</t>
  </si>
  <si>
    <t>FG10631.694.0104.O</t>
  </si>
  <si>
    <t>FG10631.056.0045.C</t>
  </si>
  <si>
    <t>FG10631.056.1002.C</t>
  </si>
  <si>
    <t>FG10631.056.2002.C</t>
  </si>
  <si>
    <t>FG10632.021.2502.C</t>
  </si>
  <si>
    <t>FG10632.137.2502.C</t>
  </si>
  <si>
    <t>FG10632.144.2502.C</t>
  </si>
  <si>
    <t>FG10619.120.0200.K</t>
  </si>
  <si>
    <t>FG10619.120.0200.C</t>
  </si>
  <si>
    <t>FG10619.147.0200.K</t>
  </si>
  <si>
    <t>FG10619.147.0200.C</t>
  </si>
  <si>
    <t>FG10623.623.0280.C</t>
  </si>
  <si>
    <t>FG10623.624.0280.K</t>
  </si>
  <si>
    <t>FG10623.624.0280.C</t>
  </si>
  <si>
    <t>FG10623.120.0200.K</t>
  </si>
  <si>
    <t>FG10623.120.0250.C</t>
  </si>
  <si>
    <t>FG10623.623.0010.O</t>
  </si>
  <si>
    <t>FG10647.501.0100.C</t>
  </si>
  <si>
    <t>FG10629.007.0125.C</t>
  </si>
  <si>
    <t>FG10630.007.0125.C</t>
  </si>
  <si>
    <t>FG10629.034.0125.C</t>
  </si>
  <si>
    <t>FG10630.034.0125.C</t>
  </si>
  <si>
    <t>FG10629.175.0125.C</t>
  </si>
  <si>
    <t>FG10630.175.0125.C</t>
  </si>
  <si>
    <t>FG10629.492.0125.C</t>
  </si>
  <si>
    <t>FG10630.492.0125.C</t>
  </si>
  <si>
    <t>FG10630.709.0125.C</t>
  </si>
  <si>
    <t>FG10630.710.0125.C</t>
  </si>
  <si>
    <t>FG10628.007.0603.C</t>
  </si>
  <si>
    <t>FG10628.007.1253.C</t>
  </si>
  <si>
    <t>FG10628.034.0602.C</t>
  </si>
  <si>
    <t>FG10628.034.1252.C</t>
  </si>
  <si>
    <t>FG10628.175.0602.C</t>
  </si>
  <si>
    <t>FG10628.175.1252.C</t>
  </si>
  <si>
    <t>FG10628.492.0602.C</t>
  </si>
  <si>
    <t>FG10628.492.1252.C</t>
  </si>
  <si>
    <t>FG10628.709.0060.C</t>
  </si>
  <si>
    <t>FG10628.709.0125.C</t>
  </si>
  <si>
    <t>FG10628.710.0060.C</t>
  </si>
  <si>
    <t>FG10628.710.0125.C</t>
  </si>
  <si>
    <t>FG10628.012.0602.C</t>
  </si>
  <si>
    <t>FG10628.012.1252.C</t>
  </si>
  <si>
    <t>FG10629.515.0125.C</t>
  </si>
  <si>
    <t>FG10666.259.0050.C</t>
  </si>
  <si>
    <t>FG10631.007.2003.C</t>
  </si>
  <si>
    <t>FG10631.710.0200.C</t>
  </si>
  <si>
    <t>FG10631.438.0500.C</t>
  </si>
  <si>
    <t>FG10631.447.0500.C</t>
  </si>
  <si>
    <t>FG10631.447.0500.K</t>
  </si>
  <si>
    <t>FG10631.175.0100.C</t>
  </si>
  <si>
    <t>FG10631.175.1002.C</t>
  </si>
  <si>
    <t>FG10631.175.0200.C</t>
  </si>
  <si>
    <t>FG10631.709.0200.C</t>
  </si>
  <si>
    <t>FG10631.448.0500.C</t>
  </si>
  <si>
    <t>FG10631.448.0500.K</t>
  </si>
  <si>
    <t>FG10631.517.0200.C</t>
  </si>
  <si>
    <t>FG10631.517.2002.C</t>
  </si>
  <si>
    <t>FG10631.492.2001.C</t>
  </si>
  <si>
    <t>FG10631.492.2002.C</t>
  </si>
  <si>
    <t>FG10631.034.1002.C</t>
  </si>
  <si>
    <t>FG10631.034.1003.C</t>
  </si>
  <si>
    <t>FG10631.034.2003.C</t>
  </si>
  <si>
    <t>FG10631.440.0500.C</t>
  </si>
  <si>
    <t>FG10631.439.0500.C</t>
  </si>
  <si>
    <t>FG10667.009.0100.C</t>
  </si>
  <si>
    <t>FG10667.009.0200.C</t>
  </si>
  <si>
    <t>FG10667.261.0100.C</t>
  </si>
  <si>
    <t>FG10667.261.0200.C</t>
  </si>
  <si>
    <t>FG10623.519.0280.C</t>
  </si>
  <si>
    <t>FG10632.034.0250.C</t>
  </si>
  <si>
    <t>FG10632.034.2502.C</t>
  </si>
  <si>
    <t>FG10632.175.0250.C</t>
  </si>
  <si>
    <t>FG10632.492.0250.C</t>
  </si>
  <si>
    <t>FG10632.492.2502.C</t>
  </si>
  <si>
    <t>FG10632.499.0250.C</t>
  </si>
  <si>
    <t>FG10632.500.0250.C</t>
  </si>
  <si>
    <t>FG10632.710.0250.C</t>
  </si>
  <si>
    <t>FG10632.518.0250.C</t>
  </si>
  <si>
    <t>FG10637.034.0150.C</t>
  </si>
  <si>
    <t>FG10637.520.0150.C</t>
  </si>
  <si>
    <t>FG10637.175.0150.C</t>
  </si>
  <si>
    <t>FG10229.020.0060.C</t>
  </si>
  <si>
    <t>FG10229.184.0602.C</t>
  </si>
  <si>
    <t>FG10229.020.0125.C</t>
  </si>
  <si>
    <t>FG10229.184.1002.C</t>
  </si>
  <si>
    <t>FG10229.028.0060.C</t>
  </si>
  <si>
    <t>FG10229.206.0602.C</t>
  </si>
  <si>
    <t>FG10229.028.0125.C</t>
  </si>
  <si>
    <t>FG10229.206.1002.C</t>
  </si>
  <si>
    <t>FG10229.029.0060.C</t>
  </si>
  <si>
    <t>FG10229.108.0602.C</t>
  </si>
  <si>
    <t>FG10229.029.0125.C</t>
  </si>
  <si>
    <t>FG10229.108.1002.C</t>
  </si>
  <si>
    <t>FG10229.161.0602.C</t>
  </si>
  <si>
    <t>FG10229.733.0060.C</t>
  </si>
  <si>
    <t>FG10229.161.1002.C</t>
  </si>
  <si>
    <t>FG10229.733.0125.C</t>
  </si>
  <si>
    <t>FG10229.747.0100.C</t>
  </si>
  <si>
    <t>FG10229.692.0125.C</t>
  </si>
  <si>
    <t>FG10229.695.0125.C</t>
  </si>
  <si>
    <t>FG10229.708.0125.C</t>
  </si>
  <si>
    <t>FG10270.266.0125.C</t>
  </si>
  <si>
    <t>FG10229.196.1253.C</t>
  </si>
  <si>
    <t>FG10229.207.1253.C</t>
  </si>
  <si>
    <t>FG10231.020.0100.C</t>
  </si>
  <si>
    <t>FG10231.020.0200.C</t>
  </si>
  <si>
    <t>FG10231.028.0100.C</t>
  </si>
  <si>
    <t>FG10231.028.0200.C</t>
  </si>
  <si>
    <t>FG10231.029.0100.C</t>
  </si>
  <si>
    <t>FG10231.029.0200.C</t>
  </si>
  <si>
    <t>FG10231.269.0200.C</t>
  </si>
  <si>
    <t>FG10269.263.1802.C</t>
  </si>
  <si>
    <t>FG10231.269.0010.O</t>
  </si>
  <si>
    <t>FG10231.269.0102.O</t>
  </si>
  <si>
    <t>FG10231.695.0010.O</t>
  </si>
  <si>
    <t>FG10231.695.0102.O</t>
  </si>
  <si>
    <t>FG10231.696.0010.O</t>
  </si>
  <si>
    <t>FG10231.696.0102.O</t>
  </si>
  <si>
    <t>FG10231.692.0200.C</t>
  </si>
  <si>
    <t>FG10231.695.0200.C</t>
  </si>
  <si>
    <t>FG10231.708.0200.C</t>
  </si>
  <si>
    <t>FG10233.269.0250.C</t>
  </si>
  <si>
    <t>FG10272.273.0250.K</t>
  </si>
  <si>
    <t>FG10223.747.0250.C</t>
  </si>
  <si>
    <t>FG10223.695.0280.C</t>
  </si>
  <si>
    <t>FG10223.747.0200.K</t>
  </si>
  <si>
    <t>FG10223.708.0280.C</t>
  </si>
  <si>
    <t>FG10246.269.0502.P</t>
  </si>
  <si>
    <t>FG10246.637.0050.P</t>
  </si>
  <si>
    <t>FG10746.637.0050.P</t>
  </si>
  <si>
    <t>FG10246.638.0050.P</t>
  </si>
  <si>
    <t>FG10746.638.0050.P</t>
  </si>
  <si>
    <t>FG10246.020.0502.P</t>
  </si>
  <si>
    <t>FG10246.733.0050.P</t>
  </si>
  <si>
    <t>FG10246.695.0050.P</t>
  </si>
  <si>
    <t>FG10246.708.0050.P</t>
  </si>
  <si>
    <t>FG10246.747.0045.P</t>
  </si>
  <si>
    <t>FG10246.269.0502.J</t>
  </si>
  <si>
    <t>FG10246.747.0045.J</t>
  </si>
  <si>
    <t>FG10237.020.0602.C</t>
  </si>
  <si>
    <t>FG10237.020.1502.C</t>
  </si>
  <si>
    <t>FG10237.028.0602.C</t>
  </si>
  <si>
    <t>FG10237.028.1502.C</t>
  </si>
  <si>
    <t>FG10237.029.0602.C</t>
  </si>
  <si>
    <t>FG10237.029.1502.C</t>
  </si>
  <si>
    <t>FG10237.269.1502.C</t>
  </si>
  <si>
    <t>FG10237.634.0150.C</t>
  </si>
  <si>
    <t>FG10247.493.0100.C</t>
  </si>
  <si>
    <t>FG10286.494.0100.C</t>
  </si>
  <si>
    <t>FG10913.061.0BIG.D</t>
  </si>
  <si>
    <t>FG10911.070.0003.B</t>
  </si>
  <si>
    <t>FG10911.070.0003.H</t>
  </si>
  <si>
    <t>FG10952.879.0010.O</t>
  </si>
  <si>
    <t>FG10952.879.0101.O</t>
  </si>
  <si>
    <t>FG10952.009.0152.O</t>
  </si>
  <si>
    <t>FG10952.483.0015.O</t>
  </si>
  <si>
    <t>FG10995.014.0015.O</t>
  </si>
  <si>
    <t>FG1090S.218.0030.C</t>
  </si>
  <si>
    <t>FG10952.879.0050.P</t>
  </si>
  <si>
    <t>FG10915.218.0603.C</t>
  </si>
  <si>
    <t>FG10915.870.0060.C</t>
  </si>
  <si>
    <t>FG10974.218.0060.C</t>
  </si>
  <si>
    <t>FG10952.014.0752.P</t>
  </si>
  <si>
    <t>FG10952.014.0753.P</t>
  </si>
  <si>
    <t>FG10915.218.1003.C</t>
  </si>
  <si>
    <t>FG10915.870.0100.C</t>
  </si>
  <si>
    <t>FG10964.014.0010.H</t>
  </si>
  <si>
    <t>FG10972.274.0100.C</t>
  </si>
  <si>
    <t>FG10974.218.0100.C</t>
  </si>
  <si>
    <t>FG10976.218.0100.C</t>
  </si>
  <si>
    <t>FG10976.753.0100.C</t>
  </si>
  <si>
    <t>FG10915.218.2003.C</t>
  </si>
  <si>
    <t>FG10915.870.0200.C</t>
  </si>
  <si>
    <t>FG10976.218.0200.C</t>
  </si>
  <si>
    <t>FG10913.061.0SML.D</t>
  </si>
  <si>
    <t>FG10911.071.0003.B</t>
  </si>
  <si>
    <t>FG10911.071.0003.H</t>
  </si>
  <si>
    <t>FG10952.878.0010.O</t>
  </si>
  <si>
    <t>FG10952.014.0152.O</t>
  </si>
  <si>
    <t>FG10952.484.0015.O</t>
  </si>
  <si>
    <t>FG10995.433.0015.O</t>
  </si>
  <si>
    <t>FG1090S.525.0030.C</t>
  </si>
  <si>
    <t>FG10915.111.0603.C</t>
  </si>
  <si>
    <t>FG10974.513.0060.C</t>
  </si>
  <si>
    <t>FG10952.111.0075.P</t>
  </si>
  <si>
    <t>FG10915.111.1003.C</t>
  </si>
  <si>
    <t>FG10964.253.0010.H</t>
  </si>
  <si>
    <t>FG10974.513.0100.C</t>
  </si>
  <si>
    <t>FG10976.513.0100.C</t>
  </si>
  <si>
    <t>FG10976.754.0100.C</t>
  </si>
  <si>
    <t>FG10915.111.2003.C</t>
  </si>
  <si>
    <t>FG10976.513.0200.C</t>
  </si>
  <si>
    <t>FG10952.046.0152.O</t>
  </si>
  <si>
    <t>FG10952.883.0015.O</t>
  </si>
  <si>
    <t>FG10995.434.0015.O</t>
  </si>
  <si>
    <t>FG1090S.719.0030.C</t>
  </si>
  <si>
    <t>FG10915.003.0603.C</t>
  </si>
  <si>
    <t>FG10915.003.1003.C</t>
  </si>
  <si>
    <t>FG10964.254.0010.H</t>
  </si>
  <si>
    <t>FG10915.003.2003.C</t>
  </si>
  <si>
    <t>FG10952.111.0152.O</t>
  </si>
  <si>
    <t>FG10952.882.0015.O</t>
  </si>
  <si>
    <t>FG10915.064.0603.C</t>
  </si>
  <si>
    <t>FG10915.064.1003.C</t>
  </si>
  <si>
    <t>FG10964.255.0010.H</t>
  </si>
  <si>
    <t>FG10915.064.2003.C</t>
  </si>
  <si>
    <t>FG10952.202.0152.O</t>
  </si>
  <si>
    <t>FG10952.884.0015.O</t>
  </si>
  <si>
    <t>FG10915.138.0603.C</t>
  </si>
  <si>
    <t>FG10915.138.1003.C</t>
  </si>
  <si>
    <t>FG10964.256.0010.H</t>
  </si>
  <si>
    <t>FG10915.138.2003.C</t>
  </si>
  <si>
    <t>FG10915.148.0602.C</t>
  </si>
  <si>
    <t>FG10915.148.1002.C</t>
  </si>
  <si>
    <t>FG10964.257.0010.H</t>
  </si>
  <si>
    <t>FG10915.148.2002.C</t>
  </si>
  <si>
    <t>FG10508.057.050R.C</t>
  </si>
  <si>
    <t>FG10508.057.100R.C</t>
  </si>
  <si>
    <t>FG10508.079.050R.C</t>
  </si>
  <si>
    <t>FG10508.079.100R.C</t>
  </si>
  <si>
    <t>FG10508.126.050R.C</t>
  </si>
  <si>
    <t>FG10508.126.100R.C</t>
  </si>
  <si>
    <t>FG10508.166.050R.C</t>
  </si>
  <si>
    <t>FG10508.166.100R.C</t>
  </si>
  <si>
    <t>FG10508.168.050R.C</t>
  </si>
  <si>
    <t>FG10508.168.100R.C</t>
  </si>
  <si>
    <t>FG10508.187.050R.C</t>
  </si>
  <si>
    <t>FG10508.187.100R.C</t>
  </si>
  <si>
    <t>FG10508.200.050R.C</t>
  </si>
  <si>
    <t>FG10508.200.100R.C</t>
  </si>
  <si>
    <t>FG10508.204.050R.C</t>
  </si>
  <si>
    <t>FG10508.204.100R.C</t>
  </si>
  <si>
    <t>FG10508.216.050R.C</t>
  </si>
  <si>
    <t>FG10508.216.100R.C</t>
  </si>
  <si>
    <t>FG10562.330.0125.C</t>
  </si>
  <si>
    <t>FG10562.330.1252.C</t>
  </si>
  <si>
    <t>FG10562.331.0125.C</t>
  </si>
  <si>
    <t>FG10562.331.1252.C</t>
  </si>
  <si>
    <t>FG10562.332.0125.C</t>
  </si>
  <si>
    <t>FG10562.332.1252.C</t>
  </si>
  <si>
    <t>FG10562.333.0125.C</t>
  </si>
  <si>
    <t>FG10562.333.1252.C</t>
  </si>
  <si>
    <t>FG10562.334.0125.C</t>
  </si>
  <si>
    <t>FG10562.334.1252.C</t>
  </si>
  <si>
    <t>FG10529.032.0065.C</t>
  </si>
  <si>
    <t>FG10529.032.1052.C</t>
  </si>
  <si>
    <t>FG10529.088.0065.C</t>
  </si>
  <si>
    <t>FG10529.088.1052.C</t>
  </si>
  <si>
    <t>FG10529.171.0652.C</t>
  </si>
  <si>
    <t>FG10529.171.1052.C</t>
  </si>
  <si>
    <t>FG10529.214.0652.C</t>
  </si>
  <si>
    <t>FG10529.214.1052.C</t>
  </si>
  <si>
    <t>FG10528.326.0070.C</t>
  </si>
  <si>
    <t>FG10528.326.0125.C</t>
  </si>
  <si>
    <t>FG10528.327.0070.C</t>
  </si>
  <si>
    <t>FG10528.327.0125.C</t>
  </si>
  <si>
    <t>FG10528.328.0070.C</t>
  </si>
  <si>
    <t>FG10528.328.0125.C</t>
  </si>
  <si>
    <t>FG10528.329.0070.C</t>
  </si>
  <si>
    <t>FG10528.329.0125.C</t>
  </si>
  <si>
    <t>FG10529.485.0110.C</t>
  </si>
  <si>
    <t>FG10529.486.0110.C</t>
  </si>
  <si>
    <t>FG10529.487.0110.C</t>
  </si>
  <si>
    <t>FG10529.488.0110.C</t>
  </si>
  <si>
    <t>FG10529.750.0110.C</t>
  </si>
  <si>
    <t>FG10529.751.0110.C</t>
  </si>
  <si>
    <t>FG10529.752.0110.C</t>
  </si>
  <si>
    <t>FG1050E.697.0100.C</t>
  </si>
  <si>
    <t>FG1050E.698.0100.C</t>
  </si>
  <si>
    <t>FG10508.699.0100.C</t>
  </si>
  <si>
    <t>FG10508.700.0100.C</t>
  </si>
  <si>
    <t>FG10101.470.0060.C</t>
  </si>
  <si>
    <t>FG10101.470.0150.C</t>
  </si>
  <si>
    <t>FG10101.335.0602.C</t>
  </si>
  <si>
    <t>FG10101.335.1502.C</t>
  </si>
  <si>
    <t>FG10101.471.0060.C</t>
  </si>
  <si>
    <t>FG10101.471.0150.C</t>
  </si>
  <si>
    <t>FG10101.495.0060.C</t>
  </si>
  <si>
    <t>FG10101.495.0150.C</t>
  </si>
  <si>
    <t>FG10101.496.0060.C</t>
  </si>
  <si>
    <t>FG10101.496.0150.C</t>
  </si>
  <si>
    <t>FG10101.497.0150.C</t>
  </si>
  <si>
    <t>FG10101.498.0150.C</t>
  </si>
  <si>
    <t>FG1610R.776.0100.P</t>
  </si>
  <si>
    <t>FG1610R.777.0100.P</t>
  </si>
  <si>
    <t>FG1610R.778.0100.P</t>
  </si>
  <si>
    <t>FG1610R.779.0100.P</t>
  </si>
  <si>
    <t>FG1610R.780.0100.P</t>
  </si>
  <si>
    <t>FG1610R.781.0100.P</t>
  </si>
  <si>
    <t>FG1610R.782.0100.P</t>
  </si>
  <si>
    <t>FG16146.837.0100.P</t>
  </si>
  <si>
    <t>FG14383.648.0030.C</t>
  </si>
  <si>
    <t>FG14383.649.0030.C</t>
  </si>
  <si>
    <t>FG14383.651.0030.C</t>
  </si>
  <si>
    <t>FG14383.652.0030.C</t>
  </si>
  <si>
    <t>FG14383.648.R030.C</t>
  </si>
  <si>
    <t>FG14383.649.R030.C</t>
  </si>
  <si>
    <t>FG14383.651.R030.C</t>
  </si>
  <si>
    <t>FG14383.652.R030.C</t>
  </si>
  <si>
    <t>FG14383.650.R030.C</t>
  </si>
  <si>
    <t>FG14383.653.R030.C</t>
  </si>
  <si>
    <t>FG14383.654.R030.C</t>
  </si>
  <si>
    <t>FG14383.655.0050.C</t>
  </si>
  <si>
    <t>FG14383.655.0502.C</t>
  </si>
  <si>
    <t>FG14383.656.0050.C</t>
  </si>
  <si>
    <t>FG14383.656.0502.C</t>
  </si>
  <si>
    <t>FG14383.657.0050.C</t>
  </si>
  <si>
    <t>FG14383.657.0502.C</t>
  </si>
  <si>
    <t>FG14383.655.R050.C</t>
  </si>
  <si>
    <t>FG14383.656.R050.C</t>
  </si>
  <si>
    <t>FG14383.657.R050.C</t>
  </si>
  <si>
    <t>JAR</t>
  </si>
  <si>
    <t>MINIBLR</t>
  </si>
  <si>
    <t>TUBE</t>
  </si>
  <si>
    <t>SCH</t>
  </si>
  <si>
    <t>BOX</t>
  </si>
  <si>
    <t>BLR</t>
  </si>
  <si>
    <t>0120</t>
  </si>
  <si>
    <t>60ML</t>
  </si>
  <si>
    <t>AMP</t>
  </si>
  <si>
    <t>FG11236.019.0102.D</t>
  </si>
  <si>
    <t>FG11236.022.0254.D</t>
  </si>
  <si>
    <t>FG11236.033.0254.D</t>
  </si>
  <si>
    <t>FG11236.043.0254.D</t>
  </si>
  <si>
    <t>FG11236.086.0254.D</t>
  </si>
  <si>
    <t>FG11236.130.0254.D</t>
  </si>
  <si>
    <t>FG11236.140.0254.D</t>
  </si>
  <si>
    <t>FG11236.180.0025.D</t>
  </si>
  <si>
    <t>FG11236.189.0025.D</t>
  </si>
  <si>
    <t>FG11236.713.0025.D</t>
  </si>
  <si>
    <t>FG11236.714.0025.D</t>
  </si>
  <si>
    <t>FG11236.899.0025.D</t>
  </si>
  <si>
    <t>FG11247.900.0006.B</t>
  </si>
  <si>
    <t>K1010001006010</t>
  </si>
  <si>
    <t>KNF ABSOLUTE CHAMOMILE 60ML X 36 BTL</t>
  </si>
  <si>
    <t>K1010001015010</t>
  </si>
  <si>
    <t>KNF ABSOLUTE CHAMOMILE 150ML X 36 BTL</t>
  </si>
  <si>
    <t>K1010002006010</t>
  </si>
  <si>
    <t>KNF ABSOLUTE ETERNITY 60ML X 36 BTL</t>
  </si>
  <si>
    <t>K1010002015010</t>
  </si>
  <si>
    <t>KNF ABSOLUTE ETERNITY 150ML X 36 BTL</t>
  </si>
  <si>
    <t>K1010003006010</t>
  </si>
  <si>
    <t>KNF ABSOLUTE INTIMACY 60ML X 36 BTL</t>
  </si>
  <si>
    <t>K1010003015010</t>
  </si>
  <si>
    <t>KNF ABSOLUTE INTIMACY 150ML X 36 BTL</t>
  </si>
  <si>
    <t>K1020001006010</t>
  </si>
  <si>
    <t>KNF ABSOLUTE HYPO NATURALLY SOOTHING 60ML X 36 BTL</t>
  </si>
  <si>
    <t>K1020001015010</t>
  </si>
  <si>
    <t>KNF ABSOLUTE HYPO NATURALLY SOOTHING 150ML X 36 BTL</t>
  </si>
  <si>
    <t>K1020002006010</t>
  </si>
  <si>
    <t>KNF ABSOLUTE HYPO YOUTH REVITALIZE 60ML X 36 BTL</t>
  </si>
  <si>
    <t>K1020002015010</t>
  </si>
  <si>
    <t>KNF ABSOLUTE HYPO YOUTH REVITALIZE 150ML X 36 BTL</t>
  </si>
  <si>
    <t>K1021001015010</t>
  </si>
  <si>
    <t>KNF ABSOLUTE HYPO FOAMY N. SOOTHING 150ML X 36 BTL</t>
  </si>
  <si>
    <t>K1021002015020</t>
  </si>
  <si>
    <t>KNF ABSOLUTE HYPO FOAMY YREVITALIZE 150ML X 36 BTL</t>
  </si>
  <si>
    <t>K1030001000010</t>
  </si>
  <si>
    <t>KNF ABSTRACT EYELASH F01 VIBRANT X 100 BOX</t>
  </si>
  <si>
    <t>K1030002000010</t>
  </si>
  <si>
    <t>KNF ABSTRACT EYELASH F02 EXOTIC X 100 BOX</t>
  </si>
  <si>
    <t>K1030003000010</t>
  </si>
  <si>
    <t>KNF ABSTRACT EYELASH F03 PREPPY X 100 BOX</t>
  </si>
  <si>
    <t>K1030004000010</t>
  </si>
  <si>
    <t>KNF ABSTRACT EYELASH F04 ELEGANT X 100 BOX</t>
  </si>
  <si>
    <t>K1030005000010</t>
  </si>
  <si>
    <t>KNF ABSTRACT EYELASH F05 BOHEMIAN X 100 BOX</t>
  </si>
  <si>
    <t>K1030006000010</t>
  </si>
  <si>
    <t>KNF ABSTRACT EYELASH 06 CASUAL X 100 BOX</t>
  </si>
  <si>
    <t>K1030007000010</t>
  </si>
  <si>
    <t>KNF ABSTRACT EYELASH F07 EDGY X 100 BOX</t>
  </si>
  <si>
    <t>K1030008000010</t>
  </si>
  <si>
    <t>KNF ABSTRACT EYELASH N01 ZINNIA X 100 BOX</t>
  </si>
  <si>
    <t>K1030009000010</t>
  </si>
  <si>
    <t>KNF ABSTRACT EYELASH N02 FENNEL X 100 BOX</t>
  </si>
  <si>
    <t>K1030010000010</t>
  </si>
  <si>
    <t>KNF ABSTRACT EYELASH N03 ANEMONE X 100 BOX</t>
  </si>
  <si>
    <t>K1030011000010</t>
  </si>
  <si>
    <t>KNF ABSTRACT EYELASH N04 IRIS X 100 BOX</t>
  </si>
  <si>
    <t>K1030012000010</t>
  </si>
  <si>
    <t>KNF ABSTRACT EYELASH N05 ASTER X 100 BOX</t>
  </si>
  <si>
    <t>K1030013000010</t>
  </si>
  <si>
    <t>KNF ABSTRACT EYELASH N06 SNOWDROP X 100 BOX</t>
  </si>
  <si>
    <t>K1030014000010</t>
  </si>
  <si>
    <t>KNF ABSTRACT EYELASH N07 AZALEA X 100 BOX</t>
  </si>
  <si>
    <t>K1030015000010</t>
  </si>
  <si>
    <t>KNF ABSTRACT EYELASH N08 CALLA X 100 BOX</t>
  </si>
  <si>
    <t>K1030016000010</t>
  </si>
  <si>
    <t>KNF ABSTRACT EYELASH N09 MALVA X 100 BOX</t>
  </si>
  <si>
    <t>K1030017000010</t>
  </si>
  <si>
    <t>KNF ABSTRACT EYELASH N10 FREESIA X 100 BOX</t>
  </si>
  <si>
    <t>K1030018000010</t>
  </si>
  <si>
    <t>KNF ABSTRACT EYELASH P01 RADIANT GLOW X 100 BOX</t>
  </si>
  <si>
    <t>K1030019000010</t>
  </si>
  <si>
    <t>KNF ABSTRACT EYELASH P02 ELECTRI FEEL X 100 BOX</t>
  </si>
  <si>
    <t>K1030020000010</t>
  </si>
  <si>
    <t>KNF ABSTRACT EYELASH P03 RMNTC GLAM X 100 BOX</t>
  </si>
  <si>
    <t>K1030021000010</t>
  </si>
  <si>
    <t>KNF ABSTRACT EYELASH P04 SMOKY MOOD X 100 BOX</t>
  </si>
  <si>
    <t>K1030022000010</t>
  </si>
  <si>
    <t>KNF ABSTRACT EYELASH U02 PEONY X 100 BOX</t>
  </si>
  <si>
    <t>K1030023000010</t>
  </si>
  <si>
    <t>KNF ABSTRACT EYELASH U03 DAISY X 100 BOX</t>
  </si>
  <si>
    <t>K1041001025010</t>
  </si>
  <si>
    <t>KNF B&amp;B HAIR BODY WASH RIKO 250ML X 24 BTL</t>
  </si>
  <si>
    <t>K1041001028010</t>
  </si>
  <si>
    <t>KNF B&amp;B HAIR BODY WASH SMOOTH PINKIE 280ML X 24 BTL</t>
  </si>
  <si>
    <t>KNF B&amp;B HAIR BODY WASH RIKO 200ML X 24 PCH</t>
  </si>
  <si>
    <t>K1041002028010</t>
  </si>
  <si>
    <t>KNF B&amp;B HAIR BODY WASH CLEAN RAINBOW 280ML X 24 BTL</t>
  </si>
  <si>
    <t>K1042001010010</t>
  </si>
  <si>
    <t>KNF B&amp;B HAIR LOTION THICK &amp; SHINE 100ML X 24 BTL</t>
  </si>
  <si>
    <t>K1043001010010</t>
  </si>
  <si>
    <t>KNF B&amp;B HAIR VITAMIN NATURAL SILKY 100ML X 24 BTL</t>
  </si>
  <si>
    <t>K1044001025010</t>
  </si>
  <si>
    <t>KNF B&amp;B LIQUID SOAP PARTY BARBIE 250ML X 36 BTL</t>
  </si>
  <si>
    <t>KNF B&amp;B LIQUID SOAP PARTY 250ML X 24 PCH</t>
  </si>
  <si>
    <t>K1045001006010</t>
  </si>
  <si>
    <t>KNF B&amp;B POWDER BLOSSOM 60GR X 36 BTL</t>
  </si>
  <si>
    <t>K1045001015010</t>
  </si>
  <si>
    <t>KNF B&amp;B POWDER BLOSSOM 150GR X 36 BTL</t>
  </si>
  <si>
    <t>K1045002006010</t>
  </si>
  <si>
    <t>KNF B&amp;B POWDER BUBBLES 60GR X 36 BTL</t>
  </si>
  <si>
    <t>K1045002015010</t>
  </si>
  <si>
    <t>KNF B&amp;B POWDER BUBBLES 150GR X 36 BTL</t>
  </si>
  <si>
    <t>K1045003006010</t>
  </si>
  <si>
    <t>KNF B&amp;B POWDER BUTTERCUP 60GR X 36 BTL</t>
  </si>
  <si>
    <t>K1045003015010</t>
  </si>
  <si>
    <t>KNF B&amp;B POWDER BUTTERCUP 150GR X 36 BTL</t>
  </si>
  <si>
    <t>K1045004015010</t>
  </si>
  <si>
    <t>KNF B&amp;B POWDER BARBIE 150GR X 36 BTL</t>
  </si>
  <si>
    <t>K1045005015010</t>
  </si>
  <si>
    <t>KNF B&amp;B POWDER NATURAL MILD 150GR X 36 BTL</t>
  </si>
  <si>
    <t>KNF B&amp;B SHAMPOO STRAWBERRY BLOSSOM 100ML X 36 BTL</t>
  </si>
  <si>
    <t>KNF B&amp;B SHAMPOO STRAWBERRY BLOSSOM 200ML X 36 BTL</t>
  </si>
  <si>
    <t>KNF B&amp;B SHAMPOO ORANGE BUBBLES 100ML X 36 BTL</t>
  </si>
  <si>
    <t>KNF B&amp;B SHAMPOO ORANGE BUBBLES 200ML X 36 BTL</t>
  </si>
  <si>
    <t>KNF B&amp;B SHAMPOO KIWI BUTTERCUP 100ML X 36 BTL</t>
  </si>
  <si>
    <t>KNF B&amp;B SHAMPOO KIWI BUTTERCUP 200ML X 36 BTL</t>
  </si>
  <si>
    <t>KNF B&amp;B SHAMPOO LEAF BARBIE 200ML X 36 BTL</t>
  </si>
  <si>
    <t>K1046005001010</t>
  </si>
  <si>
    <t>K1046006001010</t>
  </si>
  <si>
    <t>K1046007001010</t>
  </si>
  <si>
    <t>KNF B&amp;B SHAMPOO JUSTICE LEAGUE 200ML X 36 BTL</t>
  </si>
  <si>
    <t>KNF B&amp;B SHAMPOO SWEET FLO PINKIE 200ML X 36 BTL</t>
  </si>
  <si>
    <t>KNF B&amp;B SHAMPOO FRUITYFUN RAINBOW 200ML X 36 BTL</t>
  </si>
  <si>
    <t>K1047001006010</t>
  </si>
  <si>
    <t>KNF B&amp;B SPRAY COLOGNE BLOSSOM 60ML X 36 BTL</t>
  </si>
  <si>
    <t>K1047001012510</t>
  </si>
  <si>
    <t>KNF B&amp;B SPRAY COLOGNE BLOSSOM 125ML X 36 BTL</t>
  </si>
  <si>
    <t>K1047002006010</t>
  </si>
  <si>
    <t>KNF B&amp;B SPRAY COLOGNE BUBBLES 60ML X 36 BTL</t>
  </si>
  <si>
    <t>K1047002012510</t>
  </si>
  <si>
    <t>KNF B&amp;B SPRAY COLOGNE BUBBLES 125ML X 36 BTL</t>
  </si>
  <si>
    <t>K1047003006010</t>
  </si>
  <si>
    <t>KNF B&amp;B SPRAY COLOGNE BUTTERCUP 60ML X 36 BTL</t>
  </si>
  <si>
    <t>K1047003012510</t>
  </si>
  <si>
    <t>KNF B&amp;B SPRAY COLOGNE BUTTERCUP 125ML X 36 BTL</t>
  </si>
  <si>
    <t>K1047004006010</t>
  </si>
  <si>
    <t>KNF B&amp;B SPRAY COLOGNE POWEPUFF GIRLS 60ML X 36 BTL</t>
  </si>
  <si>
    <t>K1047004012510</t>
  </si>
  <si>
    <t>KNF B&amp;B SPRAY COLOGNE POWEPUFF GIRLS 125ML X 36 BTL</t>
  </si>
  <si>
    <t>K1047009010010</t>
  </si>
  <si>
    <t>KNF B&amp;B SPRAY COLOGNE RIKO 100ML X 36 BTL</t>
  </si>
  <si>
    <t>K1047010012510</t>
  </si>
  <si>
    <t>KNF B&amp;B SPRAY COLOGNE JUSTICE LEAGUE 125ML X 36 BTL</t>
  </si>
  <si>
    <t>K1047011012510</t>
  </si>
  <si>
    <t>KNF B&amp;B SPRAY COLOGNE SWEET PINKIE 125ML X 36 BTL</t>
  </si>
  <si>
    <t>K1047012012510</t>
  </si>
  <si>
    <t>KNF B&amp;B SPRAY COLOGNE FRESH RAINBOW 125ML X 36 BTL</t>
  </si>
  <si>
    <t>K1047013012510</t>
  </si>
  <si>
    <t>KNF B&amp;B SPRAY COLOGNE BARBIE FASHION 125ML X 36 BTL</t>
  </si>
  <si>
    <t>K1047014012510</t>
  </si>
  <si>
    <t>KNF B&amp;B SPRAY COLOGNE TAZMANIAN 125ML X 36 BTL</t>
  </si>
  <si>
    <t>K1047015012510</t>
  </si>
  <si>
    <t>KNF B&amp;B SPRAY COLOGNE TWEETY 125ML X 36 BTL</t>
  </si>
  <si>
    <t>KNF B&amp;B TOOTH PASTE BARBIE 50GR X 48 TUBE</t>
  </si>
  <si>
    <t>KNF B&amp;B TOOTH PASTE BUMBLEBEE 50GR X 48 TUBE</t>
  </si>
  <si>
    <t>KNF B&amp;B TOOTH PASTE OPT PRIME 50GR X 48 TUBE</t>
  </si>
  <si>
    <t>KNF B&amp;B TOOTH PASTE POWERPUFF GIRL 50GR X 48 TUBE</t>
  </si>
  <si>
    <t>KNF B&amp;B TOOTH PASTE PINKIE PIE 50GR X 48 TUBE</t>
  </si>
  <si>
    <t>KNF B&amp;B TOOTH PASTE RAINBOW DASH 50GR X 48 TUBE</t>
  </si>
  <si>
    <t>K1048008004510</t>
  </si>
  <si>
    <t>KNF B&amp;B TOOTH PASTE RIKO 45GR X 48 PACK</t>
  </si>
  <si>
    <t>K1049001005010</t>
  </si>
  <si>
    <t>KNF B&amp;B T.PASTE&amp;T.BRUSH BARBIE 50GR X 24 PACK</t>
  </si>
  <si>
    <t>K1049002004510</t>
  </si>
  <si>
    <t>KNF B&amp;B T.PASTE&amp;T.BRUSH RIKO 45GR X 24 PACK</t>
  </si>
  <si>
    <t>K1051001010010</t>
  </si>
  <si>
    <t>KNF CLICK T.PASTE FRESH BREATH 100GR X 24 TUBE</t>
  </si>
  <si>
    <t>K1051002010010</t>
  </si>
  <si>
    <t>KNF CLICK T.PASTE CAVITY PROTECT 100GR X 24 TUBE</t>
  </si>
  <si>
    <t>K1051003010010</t>
  </si>
  <si>
    <t>KNF CLICK T.PASTE SENSITIVE PROTECT 100GR X 24 TUBE</t>
  </si>
  <si>
    <t>K1051004010010</t>
  </si>
  <si>
    <t>KNF CLICK T.PASTE ALL OUT PROTECT 100GR X 24 TUBE</t>
  </si>
  <si>
    <t>K1051005010010</t>
  </si>
  <si>
    <t>KNF CLICK T.PASTE GUM HEALTH PROTECT 100GR X 24 TUBE</t>
  </si>
  <si>
    <t>K1051006010010</t>
  </si>
  <si>
    <t>KNF CLICK T.PASTE STRONG ENAMEL 100GR X 24 TUBE</t>
  </si>
  <si>
    <t>K1051007010010</t>
  </si>
  <si>
    <t>KNF CLICK T.PASTE BACTERIAL FIGHTER 100GR X 24 TUBE</t>
  </si>
  <si>
    <t>K1051008010010</t>
  </si>
  <si>
    <t>KNF CLICK T.PASTE ALL OUT CITRUS 100GR X 24 TUBE</t>
  </si>
  <si>
    <t>K1060001011010</t>
  </si>
  <si>
    <t>KNF ELLIPS CONDITIONER MILKSHAKE 110ML X 24 BTL</t>
  </si>
  <si>
    <t>K1070001005020</t>
  </si>
  <si>
    <t>KNF ELLIPS DRY SHAMPOO BLOSSOM 50ML X 24 KLG</t>
  </si>
  <si>
    <t>K1070001020020</t>
  </si>
  <si>
    <t>KNF ELLIPS DRY SHAMPOO BLOSSOM 200ML X 24 KLG</t>
  </si>
  <si>
    <t>K1070002005020</t>
  </si>
  <si>
    <t>KNF ELLIPS DRY SHAMPOO BREEZE 50ML X 24 KLG</t>
  </si>
  <si>
    <t>K1070002020020</t>
  </si>
  <si>
    <t>KNF ELLIPS DRY SHAMPOO BREEZE 200ML X 24 KLG</t>
  </si>
  <si>
    <t>K1070003005020</t>
  </si>
  <si>
    <t>KNF ELLIPS DRY SHAMPOO EXOTIC 50ML X 24 KLG</t>
  </si>
  <si>
    <t>K1070003020020</t>
  </si>
  <si>
    <t>KNF ELLIPS DRY SHAMPOO EXOTIC 200ML X 24 KLG</t>
  </si>
  <si>
    <t>K1070004005020</t>
  </si>
  <si>
    <t>KNF ELLIPS DRY SHAMPOO FRUITY 50ML X 24 KLG</t>
  </si>
  <si>
    <t>K1070004020010</t>
  </si>
  <si>
    <t>KNF ELLIPS DRY SHAMPOO FRUITY 200ML X 12 BTL</t>
  </si>
  <si>
    <t>K1070004020020</t>
  </si>
  <si>
    <t>KNF ELLIPS DRY SHAMPOO FRUITY 200ML X 24 KLG</t>
  </si>
  <si>
    <t>K1081001001810</t>
  </si>
  <si>
    <t>KNF ELLIPS H.MASK KERATIN HAIR REPAIR 18G X 72 SCH</t>
  </si>
  <si>
    <t>K1081001012020</t>
  </si>
  <si>
    <t>KNF ELLIPS H.MASK KERATIN HAIR REPAIR 120G X 36 TUBE</t>
  </si>
  <si>
    <t>K1081002001810</t>
  </si>
  <si>
    <t>KNF ELLIPS H.MASK KERATIN SILKY BLACK 18G X 72 SCH</t>
  </si>
  <si>
    <t>K1081002012020</t>
  </si>
  <si>
    <t>KNF ELLIPS H.MASK KERATIN SILKY BLACK 120G X 36 TUBE</t>
  </si>
  <si>
    <t>K1081003001810</t>
  </si>
  <si>
    <t>KNF ELLIPS H.MASK KERATIN SMOOTH&amp;SLKY 18G X 72 SCH</t>
  </si>
  <si>
    <t>K1081003012020</t>
  </si>
  <si>
    <t>KNF ELLIPS H.MASK KERATIN SMOOTH&amp;SLKY 120G X 36 TUBE</t>
  </si>
  <si>
    <t>K1082001001210</t>
  </si>
  <si>
    <t>KNF ELLIPS H.MASK MOROCCAN H.TREATMENT 12G X 144 SCH</t>
  </si>
  <si>
    <t>K1082001002010</t>
  </si>
  <si>
    <t>KNF ELLIPS H.MASK MOROCCAN H.TREATMENT 20G X 72 SCH</t>
  </si>
  <si>
    <t>K1082002002010</t>
  </si>
  <si>
    <t>KNF ELLIPS H.MASK MOROCCAN NUTRICOLOR 20G X 72 SCH</t>
  </si>
  <si>
    <t>K1082003002010</t>
  </si>
  <si>
    <t>KNF ELLIPS H.MASK MOROCCAN SMOOTH&amp;SHINY 20G X 72 SCH</t>
  </si>
  <si>
    <t>K1082004002010</t>
  </si>
  <si>
    <t>KNF ELLIPS H.MASK MOROCCAN VOL.MIRACLE 20G X 72 SCH</t>
  </si>
  <si>
    <t>K1090001010010</t>
  </si>
  <si>
    <t>KNF ELLIPS HAIR MIST FRESH&amp;SMOOTH 100ML X 18 BTL</t>
  </si>
  <si>
    <t>K1090002010010</t>
  </si>
  <si>
    <t>KNF ELLIPS HAIR MIST SWEET&amp;SILKY 100ML X 18 BTL</t>
  </si>
  <si>
    <t>K1100001000110</t>
  </si>
  <si>
    <t>KNF ELLIPS H.VIT HAIR TREATMENT 1ML X 72 BLR</t>
  </si>
  <si>
    <t>K1100001000140</t>
  </si>
  <si>
    <t>KNF ELLIPS H.VIT HAIR TREATMENT 1ML X 12 JAR</t>
  </si>
  <si>
    <t>K1100002000110</t>
  </si>
  <si>
    <t>KNF ELLIPS H.VIT HAIR VITALITY 1ML X 72 BLR</t>
  </si>
  <si>
    <t>K1100002000140</t>
  </si>
  <si>
    <t>KNF ELLIPS H.VIT HAIR VITALITY 1ML X 12 JAR</t>
  </si>
  <si>
    <t>K1100003004520</t>
  </si>
  <si>
    <t>KNF ELLIPS H.VIT MILKSHAKE 45ML X 36 BTL</t>
  </si>
  <si>
    <t>K1100004000110</t>
  </si>
  <si>
    <t>KNF ELLIPS H.VIT NUTRI COLOR 1ML X 72 BLR</t>
  </si>
  <si>
    <t>K1100004000140</t>
  </si>
  <si>
    <t>KNF ELLIPS H.VIT NUTRI COLOR 1ML X 12 JAR</t>
  </si>
  <si>
    <t>K1100005000110</t>
  </si>
  <si>
    <t>KNF ELLIPS H.VIT PRWTN R.HITAM 1ML X 48 BLR</t>
  </si>
  <si>
    <t>K1100006000110</t>
  </si>
  <si>
    <t>KNF ELLIPS H.VIT PRWTN R.RUSAK 1ML X 48 BLR</t>
  </si>
  <si>
    <t>K1100007000110</t>
  </si>
  <si>
    <t>KNF ELLIPS H.VIT SHINY BLACK 1ML X 72 BLR</t>
  </si>
  <si>
    <t>K1100007000140</t>
  </si>
  <si>
    <t>KNF ELLIPS H.VIT SHINY BLACK 1ML X 12 JAR</t>
  </si>
  <si>
    <t>K1100008000110</t>
  </si>
  <si>
    <t>KNF ELLIPS H.VIT SMOOTH &amp; SHINY 1ML X 72 BLR</t>
  </si>
  <si>
    <t>K1100008000140</t>
  </si>
  <si>
    <t>KNF ELLIPS H.VIT SMOOTH &amp; SHINY 1ML X 12 JAR</t>
  </si>
  <si>
    <t>K1100009000831</t>
  </si>
  <si>
    <t>KNF ELLIPS H.VIT ULTRA TREATMENT 8ML X 24 BOX 2+1</t>
  </si>
  <si>
    <t>K1100009003420</t>
  </si>
  <si>
    <t>KNF ELLIPS H.VIT ULTRA TREATMENT 34ML X 20 BTL</t>
  </si>
  <si>
    <t>K1101011000110</t>
  </si>
  <si>
    <t>KNF ELLIPS H.VIT BALI NOURISH&amp;PROTECT 1ML X 72 BLR</t>
  </si>
  <si>
    <t>K1101011003020</t>
  </si>
  <si>
    <t>KNF ELLIPS H.VIT BALI NOURISH&amp;PROTECT 30ML X 36 BTL</t>
  </si>
  <si>
    <t>K1101012000110</t>
  </si>
  <si>
    <t>KNF ELLIPS H.VIT BALI NOURISH&amp;SOFTEN 1ML X 72 BLR</t>
  </si>
  <si>
    <t>K1101012003020</t>
  </si>
  <si>
    <t>KNF ELLIPS H.VIT BALI NOURISH&amp;SOFTEN 30ML X 36 BTL</t>
  </si>
  <si>
    <t>K1102006000110</t>
  </si>
  <si>
    <t>KNF ELLIPS H.VIT KERATIN HAIR REPAIR 1ML X 72 BLR</t>
  </si>
  <si>
    <t>K1102006000120</t>
  </si>
  <si>
    <t>KNF ELLIPS H.VIT KERATIN HAIR REPAIR 1ML X 12 JAR</t>
  </si>
  <si>
    <t>K1102007000110</t>
  </si>
  <si>
    <t>K1102007000120</t>
  </si>
  <si>
    <t>K1102008000110</t>
  </si>
  <si>
    <t>K1102008000120</t>
  </si>
  <si>
    <t>K1111001005010</t>
  </si>
  <si>
    <t>KNF ESKULIN COLOGNE GEL DREAM DAY 50ML X 36 BTL</t>
  </si>
  <si>
    <t>K1111001010010</t>
  </si>
  <si>
    <t>KNF ESKULIN COLOGNE GEL DREAM DAY 100ML X 36 BTL</t>
  </si>
  <si>
    <t>K1111002005010</t>
  </si>
  <si>
    <t>KNF ESKULIN COLOGNE GEL MONDAY 50ML X 36 BTL</t>
  </si>
  <si>
    <t>K1111002010010</t>
  </si>
  <si>
    <t>KNF ESKULIN COLOGNE GEL MONDAY 100ML X 36 BTL</t>
  </si>
  <si>
    <t>K1111003005010</t>
  </si>
  <si>
    <t>KNF ESKULIN COLOGNE GEL TUESDAY 50ML X 36 BTL</t>
  </si>
  <si>
    <t>K1111003010010</t>
  </si>
  <si>
    <t>KNF ESKULIN COLOGNE GEL TUESDAY 100ML X 36 BTL</t>
  </si>
  <si>
    <t>K1111004005010</t>
  </si>
  <si>
    <t>KNF ESKULIN COLOGNE GEL WEDNESDAY 50ML X 36 BTL</t>
  </si>
  <si>
    <t>K1111004010010</t>
  </si>
  <si>
    <t>KNF ESKULIN COLOGNE GEL WEDNESDAY 100ML X 36 BTL</t>
  </si>
  <si>
    <t>K1111005005010</t>
  </si>
  <si>
    <t>KNF ESKULIN COLOGNE GEL THURSDAY 50ML X 36 BTL</t>
  </si>
  <si>
    <t>K1111005010010</t>
  </si>
  <si>
    <t>KNF ESKULIN COLOGNE GEL THURSDAY 100ML X 36 BTL</t>
  </si>
  <si>
    <t>K1111006005010</t>
  </si>
  <si>
    <t>KNF ESKULIN COLOGNE GEL FRIDAY 50ML X 36 BTL</t>
  </si>
  <si>
    <t>K1111006010010</t>
  </si>
  <si>
    <t>KNF ESKULIN COLOGNE GEL FRIDAY 100ML X 36 BTL</t>
  </si>
  <si>
    <t>K1111007005010</t>
  </si>
  <si>
    <t>KNF ESKULIN COLOGNE GEL SATURDAY 50ML X 36 BTL</t>
  </si>
  <si>
    <t>K1111007010010</t>
  </si>
  <si>
    <t>KNF ESKULIN COLOGNE GEL SATURDAY 100ML X 36 BTL</t>
  </si>
  <si>
    <t>K1111008005010</t>
  </si>
  <si>
    <t>KNF ESKULIN COLOGNE GEL SUNDAY 50ML X 36 BTL</t>
  </si>
  <si>
    <t>K1111008010010</t>
  </si>
  <si>
    <t>KNF ESKULIN COLOGNE GEL SUNDAY 100ML X 36 BTL</t>
  </si>
  <si>
    <t>K1111009005010</t>
  </si>
  <si>
    <t>KNF ESKULIN COLOGNE GEL ROMANTIC 50ML X 36 BTL</t>
  </si>
  <si>
    <t>K1111009010010</t>
  </si>
  <si>
    <t>KNF ESKULIN COLOGNE GEL ROMANTIC 100ML X 36 BTL</t>
  </si>
  <si>
    <t>K1112001010010</t>
  </si>
  <si>
    <t>KNF ESKULIN EDP BLUSHING 100ML X 24 BTL</t>
  </si>
  <si>
    <t>K1112002010010</t>
  </si>
  <si>
    <t>KNF ESKULIN EDP ENCHANTING 100ML X 24 BTL</t>
  </si>
  <si>
    <t>K1113001007010</t>
  </si>
  <si>
    <t>KNF ESKULIN SPLASH FIRST SIGHT 70ML X 36 BTL</t>
  </si>
  <si>
    <t>K1113001012510</t>
  </si>
  <si>
    <t>KNF ESKULIN SPLASH FIRST SIGHT 125ML X 36 BTL</t>
  </si>
  <si>
    <t>K1113002007010</t>
  </si>
  <si>
    <t>KNF ESKULIN SPLASH FIRST LOVE 70ML X 36 BTL</t>
  </si>
  <si>
    <t>K1113002012510</t>
  </si>
  <si>
    <t>KNF ESKULIN SPLASH FIRST LOVE 125ML X 36 BTL</t>
  </si>
  <si>
    <t>K1113003007010</t>
  </si>
  <si>
    <t>KNF ESKULIN SPLASH FIRST DATE 70ML X 36 BTL</t>
  </si>
  <si>
    <t>K1113003012510</t>
  </si>
  <si>
    <t>KNF ESKULIN SPLASH FIRST DATE 125ML X 36 BTL</t>
  </si>
  <si>
    <t>K1113004007010</t>
  </si>
  <si>
    <t>KNF ESKULIN SPLASH FIRST KISS 70ML X 36 BTL</t>
  </si>
  <si>
    <t>K1113004012510</t>
  </si>
  <si>
    <t>KNF ESKULIN SPLASH FIRST KISS 125ML X 36 BTL</t>
  </si>
  <si>
    <t>K1114001006510</t>
  </si>
  <si>
    <t>KNF ESKULIN SPRAY CHEER THE WORLD 65ML X 36 BTL</t>
  </si>
  <si>
    <t>K1114001010510</t>
  </si>
  <si>
    <t>KNF ESKULIN SPRAY CHEER THE WORLD 105ML X 36 BTL</t>
  </si>
  <si>
    <t>K1114002006510</t>
  </si>
  <si>
    <t>KNF ESKULIN SPRAY GOOD NIGHT KISS 65ML X 36 BTL</t>
  </si>
  <si>
    <t>K1114002010510</t>
  </si>
  <si>
    <t>KNF ESKULIN SPRAY GOOD NIGHT KISS 105ML X 36 BTL</t>
  </si>
  <si>
    <t>K1114003006510</t>
  </si>
  <si>
    <t>KNF ESKULIN SPRAY SHAKE YOUR BODY 65ML X 36 BTL</t>
  </si>
  <si>
    <t>K1114003010510</t>
  </si>
  <si>
    <t>KNF ESKULIN SPRAY SHAKE YOUR BODY 105ML X 36 BTL</t>
  </si>
  <si>
    <t>K1114004006510</t>
  </si>
  <si>
    <t>KNF ESKULIN SPRAY WAKE UP GIRL 65ML X 36 BTL</t>
  </si>
  <si>
    <t>K1114004010510</t>
  </si>
  <si>
    <t>KNF ESKULIN SPRAY WAKE UP GIRL 105ML X 36 BTL</t>
  </si>
  <si>
    <t>K1121001012510</t>
  </si>
  <si>
    <t>KNF ESKULIN HIJAB B.MIST P BLOSSOM 125ML X 36 BTL</t>
  </si>
  <si>
    <t>K1121002012510</t>
  </si>
  <si>
    <t>KNF ESKULIN HIJAB B.MIST BLUE TEMPT. 125ML X 36 BTL</t>
  </si>
  <si>
    <t>K1121003012510</t>
  </si>
  <si>
    <t>KNF ESKULIN HIJAB B.MIST D PURPLE 125ML X 36 BTL</t>
  </si>
  <si>
    <t>K1121004012510</t>
  </si>
  <si>
    <t>KNF ESKULIN HIJAB B.MIST S YELLOW 125ML X 36 BTL</t>
  </si>
  <si>
    <t>K1121005012510</t>
  </si>
  <si>
    <t>KNF ESKULIN HIJAB B.MIST G FANTASY 125ML X 36 BTL</t>
  </si>
  <si>
    <t>K1122001010010</t>
  </si>
  <si>
    <t>KNF ESKULIN HIJAB C.GEL FRESH DAY 100ML X 36 BTL</t>
  </si>
  <si>
    <t>K1122002010010</t>
  </si>
  <si>
    <t>KNF ESKULIN HIJAB C.GEL PERFECT DAY 100ML X 36 BTL</t>
  </si>
  <si>
    <t>K1131001011010</t>
  </si>
  <si>
    <t>KNF ESKULIN JAPAN SPRAY SUNSHINE KISS 110ML X 36 BTL</t>
  </si>
  <si>
    <t>K1131002011010</t>
  </si>
  <si>
    <t>KNF ESKULIN JAPAN SPRAY SPRING MELODY 110ML X 36 BTL</t>
  </si>
  <si>
    <t>K1131003011010</t>
  </si>
  <si>
    <t>KNF ESKULIN JAPAN SPRAY CHERFUL SWING 110ML X 36 BTL</t>
  </si>
  <si>
    <t>K1131004011010</t>
  </si>
  <si>
    <t>KNF ESKULIN JAPAN SPRAY MNIGHT DREAM 110ML X 36 BTL</t>
  </si>
  <si>
    <t>KNF SLEEK TRAVEL WASH LIME 100ML X 36 TUBE</t>
  </si>
  <si>
    <t>K1141001011010</t>
  </si>
  <si>
    <t>KNF ESKULIN KOREAN SPRAY SPRING SEOUL 110ML X 36 BTL</t>
  </si>
  <si>
    <t>K1141002011010</t>
  </si>
  <si>
    <t>KNF ESKULIN KOREAN SPRAY AUTUMN BUSAN 110ML X 36 BTL</t>
  </si>
  <si>
    <t>K1141003011010</t>
  </si>
  <si>
    <t>KNF ESKULIN KOREAN SPRAY WINTER JEJU 110ML X 36 BTL</t>
  </si>
  <si>
    <t>K1151001005010</t>
  </si>
  <si>
    <t>KNF ESKULIN KIDS COLOGNE GEL H.THOUGHT 50ML X 36 BTL</t>
  </si>
  <si>
    <t>K1152001020010</t>
  </si>
  <si>
    <t>KNF ESKULIN KIDS F.BODY WASH MICKEY 200ML X 24 PCH</t>
  </si>
  <si>
    <t>K1152001020020</t>
  </si>
  <si>
    <t>KNF ESKULIN KIDS F.BODY WASH MICKEY 200ML X 24 BTL</t>
  </si>
  <si>
    <t>K1152002020010</t>
  </si>
  <si>
    <t>KNF ESKULIN KIDS F.BODY WASH POOH 200ML X 24 PCH</t>
  </si>
  <si>
    <t>K1152002020020</t>
  </si>
  <si>
    <t>KNF ESKULIN KIDS F.BODY WASH POOH 200ML X 24 BTL</t>
  </si>
  <si>
    <t>K1153001005010</t>
  </si>
  <si>
    <t>KNF ESKULIN KIDS H.SANITIZER DONALD 50ML X 36 BTL</t>
  </si>
  <si>
    <t>K1153002005010</t>
  </si>
  <si>
    <t>KNF ESKULIN KIDS H.SANITIZER MICKEY 50ML X 36 BTL</t>
  </si>
  <si>
    <t>K1153003005010</t>
  </si>
  <si>
    <t>KNF ESKULIN KIDS H.SANITIZER POOH 50ML X 36 BTL</t>
  </si>
  <si>
    <t>K1153004005010</t>
  </si>
  <si>
    <t>KNF ESKULIN KIDS H.SANITIZER TIGGER 50ML X 36 BTL</t>
  </si>
  <si>
    <t>K1153005001810</t>
  </si>
  <si>
    <t>KNF ESKULIN KIDS H.SANITIZER TSUMTSUM 18ML X 72 BTL</t>
  </si>
  <si>
    <t>K1153005005020</t>
  </si>
  <si>
    <t>KNF ESKULIN KIDS H.SANITIZER TSUMTSUM 50ML X 36 BTL</t>
  </si>
  <si>
    <t>K1154001015010</t>
  </si>
  <si>
    <t>KNF ESKULIN KIDS POWDER CINDERELLA 150GR X 36 BTL</t>
  </si>
  <si>
    <t>K1154002015010</t>
  </si>
  <si>
    <t>KNF ESKULIN KIDS POWDER MINNIE 150GR X 36 BTL</t>
  </si>
  <si>
    <t>K1154003015010</t>
  </si>
  <si>
    <t>KNF ESKULIN KIDS POWDER POOH 150GR X 36 BTL</t>
  </si>
  <si>
    <t>K1154004015010</t>
  </si>
  <si>
    <t>KNF ESKULIN KIDS POWDER PURE &amp; MILD 150GR X 36 BTL</t>
  </si>
  <si>
    <t>K1154005015010</t>
  </si>
  <si>
    <t>KNF ESKULIN KIDS POWDER SNOW WHITE 150GR X 36 BTL</t>
  </si>
  <si>
    <t>KNF ESKULIN KIDS SHAMPOO ANNA 200ML X 36 BTL</t>
  </si>
  <si>
    <t>KNF ESKULIN KIDS SHAMPOO ARIEL 100ML X 36 BTL</t>
  </si>
  <si>
    <t>KNF ESKULIN KIDS SHAMPOO ARIEL 500ML X 12 BTL</t>
  </si>
  <si>
    <t>KNF ESKULIN KIDS SHAMPOO AVOCADO 100ML X 36 BTL</t>
  </si>
  <si>
    <t>KNF ESKULIN KIDS SHAMPOO AVOCADO 200ML X 36 BTL</t>
  </si>
  <si>
    <t>KNF ESKULIN KIDS SHAMPOO BELLE 500ML X 12 BTL</t>
  </si>
  <si>
    <t>KNF ESKULIN KIDS SHAMPOO CINDERELLA 100ML X 36 BTL</t>
  </si>
  <si>
    <t>KNF ESKULIN KIDS SHAMPOO CINDERELLA 200ML X 36 BTL</t>
  </si>
  <si>
    <t>KNF ESKULIN KIDS SHAMPOO CINDERELLA 500ML X 12 BTL</t>
  </si>
  <si>
    <t>KNF ESKULIN KIDS SHAMPOO DONALD 45ML X 72 BTL</t>
  </si>
  <si>
    <t>KNF ESKULIN KIDS SHAMPOO DONALD 100ML X 36 BTL</t>
  </si>
  <si>
    <t>KNF ESKULIN KIDS SHAMPOO DONALD 200ML X 36 BTL</t>
  </si>
  <si>
    <t>KNF ESKULIN KIDS SHAMPOO ELSA 200ML X 36 BTL</t>
  </si>
  <si>
    <t>K1155008001010</t>
  </si>
  <si>
    <t>KNF ESKULIN KIDS SHAMPOO FROZEN 10ML X 24 AMP</t>
  </si>
  <si>
    <t>KNF ESKULIN KIDS SHAMPOO FROZEN 10ML X 120 SCH</t>
  </si>
  <si>
    <t>K1155009001010</t>
  </si>
  <si>
    <t>KNF ESKULIN KIDS SHAMPOO MICKEY 10ML X 24 AMP</t>
  </si>
  <si>
    <t>KNF ESKULIN KIDS SHAMPOO MICKEY 10ML X 120 SCH</t>
  </si>
  <si>
    <t>KNF ESKULIN KIDS SHAMPOO MICKEY 45ML X 72 BTL</t>
  </si>
  <si>
    <t>KNF ESKULIN KIDS SHAMPOO MICKEY 100ML X 36 BTL</t>
  </si>
  <si>
    <t>KNF ESKULIN KIDS SHAMPOO MICKEY 200ML X 36 BTL</t>
  </si>
  <si>
    <t>KNF ESKULIN KIDS SHAMPOO MICKEY 500ML X 12 BTL</t>
  </si>
  <si>
    <t>K1155009050030</t>
  </si>
  <si>
    <t>KNF ESKULIN KIDS SHAMPOO MICKEY 500ML X 12 PCH</t>
  </si>
  <si>
    <t>K1155010001010</t>
  </si>
  <si>
    <t>KNF ESKULIN KIDS SHAMPOO MINNIE 10ML X 120 SCH</t>
  </si>
  <si>
    <t>KNF ESKULIN KIDS SHAMPOO MINNIE 45ML X 72 BTL</t>
  </si>
  <si>
    <t>KNF ESKULIN KIDS SHAMPOO MINNIE 100ML X 36 BTL</t>
  </si>
  <si>
    <t>KNF ESKULIN KIDS SHAMPOO MINNIE 200ML X 36 BTL</t>
  </si>
  <si>
    <t>KNF ESKULIN KIDS SHAMPOO MINNIE 500ML X 12 BTL</t>
  </si>
  <si>
    <t>K1155010050030</t>
  </si>
  <si>
    <t>KNF ESKULIN KIDS SHAMPOO MINNIE 500ML X 12 PCH</t>
  </si>
  <si>
    <t>KNF ESKULIN KIDS SHAMPOO NAT.SOFIA 200ML X 36 BTL</t>
  </si>
  <si>
    <t>KNF ESKULIN KIDS SHAMPOO R JELLY 100ML X 36 BTL</t>
  </si>
  <si>
    <t>KNF ESKULIN KIDS SHAMPOO R JELLY 200ML X 36 BTL</t>
  </si>
  <si>
    <t>KNF ESKULIN KIDS SHAMPOO RAPUNZEL 200ML X 36 BTL</t>
  </si>
  <si>
    <t>KNF ESKULIN KIDS SHAMPOO S.WHITE 100ML X 36 BTL</t>
  </si>
  <si>
    <t>KNF ESKULIN KIDS SHAMPOO S.WHITE 200ML X 36 BTL</t>
  </si>
  <si>
    <t>K1156001025010</t>
  </si>
  <si>
    <t>KNF ESKULIN KIDS SHOWER GEL BLUE 250ML X 24 BTL</t>
  </si>
  <si>
    <t>K1156002025010</t>
  </si>
  <si>
    <t>KNF ESKULIN KIDS SHOWER GEL ORANGE 250ML X 24 BTL</t>
  </si>
  <si>
    <t>K1156003025010</t>
  </si>
  <si>
    <t>KNF ESKULIN KIDS SHOWER GEL PINK 250ML X 24 BTL</t>
  </si>
  <si>
    <t>K1156004025010</t>
  </si>
  <si>
    <t>KNF ESKULIN KIDS SHOWER GEL RAPUNZEL 250ML X 36 BTL</t>
  </si>
  <si>
    <t>K1156005025010</t>
  </si>
  <si>
    <t>KNF ESKULIN KIDS SHOWER GEL F CHEER 250ML X 36 BTL</t>
  </si>
  <si>
    <t>K1156006025010</t>
  </si>
  <si>
    <t>KNF ESKULIN KIDS SHOWER GEL ELSA 250ML X 36 BTL</t>
  </si>
  <si>
    <t>K1156007025010</t>
  </si>
  <si>
    <t>KNF ESKULIN KIDS SHOWER GEL PROTECT 250ML X 36 BTL</t>
  </si>
  <si>
    <t>K1157001006010</t>
  </si>
  <si>
    <t>KNF ESKULIN KIDS SPLASH ANNA 60ML X 36 BTL</t>
  </si>
  <si>
    <t>K1157001012510</t>
  </si>
  <si>
    <t>KNF ESKULIN KIDS SPLASH ANNA 125ML X 36 BTL</t>
  </si>
  <si>
    <t>K1157002006010</t>
  </si>
  <si>
    <t>KNF ESKULIN KIDS SPLASH ARIEL 60ML X 36 BTL</t>
  </si>
  <si>
    <t>K1157002012510</t>
  </si>
  <si>
    <t>KNF ESKULIN KIDS SPLASH ARIEL 125ML X 36 BTL</t>
  </si>
  <si>
    <t>K1157003006010</t>
  </si>
  <si>
    <t>KNF ESKULIN KIDS SPLASH BELLE 60ML X 36 BTL</t>
  </si>
  <si>
    <t>K1157003012510</t>
  </si>
  <si>
    <t>KNF ESKULIN KIDS SPLASH BELLE 125ML X 36 BTL</t>
  </si>
  <si>
    <t>K1157004006010</t>
  </si>
  <si>
    <t>KNF ESKULIN KIDS SPLASH CINDERELLA 60ML X 36 BTL</t>
  </si>
  <si>
    <t>K1157004012510</t>
  </si>
  <si>
    <t>KNF ESKULIN KIDS SPLASH CINDERELLA 125ML X 36 BTL</t>
  </si>
  <si>
    <t>K1157005006010</t>
  </si>
  <si>
    <t>KNF ESKULIN KIDS SPLASH ELSA 60ML X 36 BTL</t>
  </si>
  <si>
    <t>K1157005012510</t>
  </si>
  <si>
    <t>KNF ESKULIN KIDS SPLASH ELSA 125ML X 36 BTL</t>
  </si>
  <si>
    <t>K1157006006010</t>
  </si>
  <si>
    <t>KNF ESKULIN KIDS SPLASH RAPUNZEL 60ML X 36 BTL</t>
  </si>
  <si>
    <t>K1157006012510</t>
  </si>
  <si>
    <t>KNF ESKULIN KIDS SPLASH RAPUNZEL 125ML X 36 BTL</t>
  </si>
  <si>
    <t>K1157007006010</t>
  </si>
  <si>
    <t>KNF ESKULIN KIDS SPLASH S.WHITE 60ML X 36 BTL</t>
  </si>
  <si>
    <t>K1157007012510</t>
  </si>
  <si>
    <t>KNF ESKULIN KIDS SPLASH S.WHITE 125ML X 36 BTL</t>
  </si>
  <si>
    <t>K1158001012510</t>
  </si>
  <si>
    <t>KNF ESKULIN KIDS SPRAY ANNA 125ML X 36 BTL</t>
  </si>
  <si>
    <t>K1158002012510</t>
  </si>
  <si>
    <t>KNF ESKULIN KIDS SPRAY ARIEL 125ML X 36 BTL</t>
  </si>
  <si>
    <t>K1158003012510</t>
  </si>
  <si>
    <t>KNF ESKULIN KIDS SPRAY BEAUTY FRESH 125ML X 36 BTL</t>
  </si>
  <si>
    <t>K1158004012510</t>
  </si>
  <si>
    <t>KNF ESKULIN KIDS SPRAY CINDERELLA 125ML X 36 BTL</t>
  </si>
  <si>
    <t>K1158005006010</t>
  </si>
  <si>
    <t>KNF ESKULIN KIDS SPRAY DONALD 60ML X 36 BTL</t>
  </si>
  <si>
    <t>K1158005010010</t>
  </si>
  <si>
    <t>KNF ESKULIN KIDS SPRAY DONALD 100ML X 36 BTL</t>
  </si>
  <si>
    <t>K1158006012510</t>
  </si>
  <si>
    <t>KNF ESKULIN KIDS SPRAY ELSA 125ML X 36 BTL</t>
  </si>
  <si>
    <t>K1158007006010</t>
  </si>
  <si>
    <t>KNF ESKULIN KIDS SPRAY MICKEY 60ML X 36 BTL</t>
  </si>
  <si>
    <t>K1158007010010</t>
  </si>
  <si>
    <t>KNF ESKULIN KIDS SPRAY MICKEY 100ML X 36 BTL</t>
  </si>
  <si>
    <t>K1158008006010</t>
  </si>
  <si>
    <t>KNF ESKULIN KIDS SPRAY MINNIE 60ML X 36 BTL</t>
  </si>
  <si>
    <t>K1158008010010</t>
  </si>
  <si>
    <t>KNF ESKULIN KIDS SPRAY MINNIE 100ML X 36 BTL</t>
  </si>
  <si>
    <t>K1158009012510</t>
  </si>
  <si>
    <t>KNF ESKULIN KIDS SPRAY RAPUNZEL 125ML X 36 BTL</t>
  </si>
  <si>
    <t>K1158010012510</t>
  </si>
  <si>
    <t>KNF ESKULIN KIDS SPRAY S.WHITE 125ML X 36 BTL</t>
  </si>
  <si>
    <t>K1158011000910</t>
  </si>
  <si>
    <t>KNF ESKULIN KIDS SPRAY TSUMTSUM 9ML X 72 BTL</t>
  </si>
  <si>
    <t>KNF ESKULIN KIDS H. B.WASH CLN&amp;SMOOTH 10ML X 160 SCH</t>
  </si>
  <si>
    <t>K1161001028010</t>
  </si>
  <si>
    <t>KNF ESKULIN KIDS H. B.WASH CLN&amp;SMOOTH 280ML X 24 BTL</t>
  </si>
  <si>
    <t>KNF ESKULIN KIDS H. B.WASH MICKEY 200ML X 24 PCH</t>
  </si>
  <si>
    <t>KNF ESKULIN KIDS H. B.WASH MICKEY 250ML X 24 BTL</t>
  </si>
  <si>
    <t>K1161003028010</t>
  </si>
  <si>
    <t>KNF ESKULIN KIDS H. B.WASH N.SMOOTH 280ML X 24 BTL</t>
  </si>
  <si>
    <t>K1161004028010</t>
  </si>
  <si>
    <t>KNF ESKULIN KIDS H. B.WASH SOFT&amp;PROT. 280ML X 24 PCH</t>
  </si>
  <si>
    <t>K1161004028020</t>
  </si>
  <si>
    <t>KNF ESKULIN KIDS H. B.WASH SOFT&amp;PROT. 280ML X 24 BTL</t>
  </si>
  <si>
    <t>KNF ESKULIN KIDS H. LOT GENTLE CARE 100ML X 24 BTL</t>
  </si>
  <si>
    <t>K1163001010010</t>
  </si>
  <si>
    <t>KNF ESKULIN KIDS H. VIT. N.SMOOTH 100ML X 24 BTL</t>
  </si>
  <si>
    <t>K1170001003010</t>
  </si>
  <si>
    <t>KNF EVERGREEN AD SET CH.BLOSSOM 30ML X 24 BTL</t>
  </si>
  <si>
    <t>K1170002003010</t>
  </si>
  <si>
    <t>KNF EVERGREEN AD SET INS.NATURE 30ML X 24 BTL</t>
  </si>
  <si>
    <t>K1170003003010</t>
  </si>
  <si>
    <t>KNF EVERGREEN AD SET REF.CITRUS 30ML X 24 BTL</t>
  </si>
  <si>
    <t>K1170004003010</t>
  </si>
  <si>
    <t>KNF EVERGREEN AD SET SER.DREAM 30ML X 24 BTL</t>
  </si>
  <si>
    <t>K1180001003010</t>
  </si>
  <si>
    <t>KNF EVERGREEN AD REFF CH.BLOSSOM 30ML X 36 BTL</t>
  </si>
  <si>
    <t>K1180002003010</t>
  </si>
  <si>
    <t>KNF EVERGREEN AD REFF INS.NATURE 30ML X 36 BTL</t>
  </si>
  <si>
    <t>K1180003003010</t>
  </si>
  <si>
    <t>KNF EVERGREEN AD REFF REF.CITRUS 30ML X 36 BTL</t>
  </si>
  <si>
    <t>K1180004003010</t>
  </si>
  <si>
    <t>KNF EVERGREEN AD REFF SER.DREAM 30ML X 36 BTL</t>
  </si>
  <si>
    <t>K1180005003010</t>
  </si>
  <si>
    <t>KNF EVERGREEN AD REFF OC.BREEZE 30ML X 36 BTL</t>
  </si>
  <si>
    <t>K1180006003010</t>
  </si>
  <si>
    <t>KNF EVERGREEN AD REFF S.SUNSHINE 30ML X 36 BTL</t>
  </si>
  <si>
    <t>K1180007003010</t>
  </si>
  <si>
    <t>KNF EVERGREEN AD REFF SW.ROMANCE 30ML X 36 BTL</t>
  </si>
  <si>
    <t>K1190001005010</t>
  </si>
  <si>
    <t>KNF EVERGREEN AS SET BALANCING 50ML X 12 BTL</t>
  </si>
  <si>
    <t>K1190001005011</t>
  </si>
  <si>
    <t>KNF EVERGREEN AS SET BALANCING 50ML X 12 BTL +REF</t>
  </si>
  <si>
    <t>K1190002005010</t>
  </si>
  <si>
    <t>KNF EVERGREEN AS SET ENERGIZING 50ML X 12 BTL</t>
  </si>
  <si>
    <t>K1190002005011</t>
  </si>
  <si>
    <t>KNF EVERGREEN AS SET ENERGIZING 50ML X 12 BTL +REF</t>
  </si>
  <si>
    <t>K1190003005010</t>
  </si>
  <si>
    <t>KNF EVERGREEN AS SET RELIEVING 50ML X 12 BTL</t>
  </si>
  <si>
    <t>K1190003005011</t>
  </si>
  <si>
    <t>KNF EVERGREEN AS SET RELIEVING 50ML X 12 BTL +REF</t>
  </si>
  <si>
    <t>K1200001005010</t>
  </si>
  <si>
    <t>KNF EVERGREEN AS REFF BALANCING 50ML X 24 BTL</t>
  </si>
  <si>
    <t>K1200002005010</t>
  </si>
  <si>
    <t>KNF EVERGREEN AS REFF ENERGIZING 50ML X 24 BTL</t>
  </si>
  <si>
    <t>K1200003005010</t>
  </si>
  <si>
    <t>KNF EVERGREEN AS REFF RELIEVING 50ML X 24 BTL</t>
  </si>
  <si>
    <t>K1210001005010</t>
  </si>
  <si>
    <t>KNF INSTANCE GEL HAND SANITIZER 50ML X 36 BTL</t>
  </si>
  <si>
    <t>K1210001010010</t>
  </si>
  <si>
    <t>KNF INSTANCE GEL HAND SANITIZER 100ML X 36 BTL</t>
  </si>
  <si>
    <t>K1210001050010</t>
  </si>
  <si>
    <t>KNF INSTANCE GEL HAND SANITIZER 500ML X 12 BTL</t>
  </si>
  <si>
    <t>K1210001100420</t>
  </si>
  <si>
    <t>KNF INSTANCE GEL HAND SANITIZER 4L X 4 JRG</t>
  </si>
  <si>
    <t>K1220001001810</t>
  </si>
  <si>
    <t>KNF INSTANCE LIQ HAND SANITIZER 18ML X 72 BTL</t>
  </si>
  <si>
    <t>K1220001006010</t>
  </si>
  <si>
    <t>KNF INSTANCE LIQ HAND SANITIZER 60ML X 36 BTL</t>
  </si>
  <si>
    <t>K1220001010010</t>
  </si>
  <si>
    <t>KNF INSTANCE LIQ HAND SANITIZER 100ML X 24 BTL</t>
  </si>
  <si>
    <t>K1220001100420</t>
  </si>
  <si>
    <t>KNF INSTANCE LIQ HAND SANITIZER 4L X 4 JRG</t>
  </si>
  <si>
    <t>K1230001000010</t>
  </si>
  <si>
    <t>KNF INSTANCE WIPES ANTISEPTIC X 60 BOX</t>
  </si>
  <si>
    <t>K1241001007510</t>
  </si>
  <si>
    <t>KNF MASTER SPLASH COLOGNE COOL 75ML X 36 BTL</t>
  </si>
  <si>
    <t>K1241001015010</t>
  </si>
  <si>
    <t>KNF MASTER SPLASH COLOGNE COOL 150ML X 36 BTL</t>
  </si>
  <si>
    <t>K1241002007510</t>
  </si>
  <si>
    <t>KNF MASTER SPLASH COLOGNE DYNAMIC 75ML X 36 BTL</t>
  </si>
  <si>
    <t>K1241002015010</t>
  </si>
  <si>
    <t>KNF MASTER SPLASH COLOGNE DYNAMIC 150ML X 36 BTL</t>
  </si>
  <si>
    <t>K1241003007510</t>
  </si>
  <si>
    <t>KNF MASTER SPLASH COLOGNE FREEDOM 75ML X 36 BTL</t>
  </si>
  <si>
    <t>K1241003015010</t>
  </si>
  <si>
    <t>KNF MASTER SPLASH COLOGNE FREEDOM 150ML X 36 BTL</t>
  </si>
  <si>
    <t>K1241004007510</t>
  </si>
  <si>
    <t>KNF MASTER SPLASH COLOGNE PASSION 75ML X 36 BTL</t>
  </si>
  <si>
    <t>K1241004015010</t>
  </si>
  <si>
    <t>KNF MASTER SPLASH COLOGNE PASSION 150ML X 36 BTL</t>
  </si>
  <si>
    <t>K1241005007510</t>
  </si>
  <si>
    <t>KNF MASTER SPLASH COLOGNE POWER 75ML X 36 BTL</t>
  </si>
  <si>
    <t>K1241005015010</t>
  </si>
  <si>
    <t>KNF MASTER SPLASH COLOGNE POWER 150ML X 36 BTL</t>
  </si>
  <si>
    <t>K1241006007510</t>
  </si>
  <si>
    <t>KNF MASTER SPLASH COLOGNE SPIRIT 75ML X 36 BTL</t>
  </si>
  <si>
    <t>K1241006015010</t>
  </si>
  <si>
    <t>KNF MASTER SPLASH COLOGNE SPIRIT 150ML X 36 BTL</t>
  </si>
  <si>
    <t>K1241007007510</t>
  </si>
  <si>
    <t>KNF MASTER SPLASH COLOGNE SPORTY 75ML X 36 BTL</t>
  </si>
  <si>
    <t>K1241007015010</t>
  </si>
  <si>
    <t>KNF MASTER SPLASH COLOGNE SPORTY 150ML X 36 BTL</t>
  </si>
  <si>
    <t>K1242001005010</t>
  </si>
  <si>
    <t>KNF MASTER SPRAY COLOGNE AQUA BLUE 50ML X 36 BTL</t>
  </si>
  <si>
    <t>K1242001010010</t>
  </si>
  <si>
    <t>KNF MASTER SPRAY COLOGNE AQUA BLUE 100ML X 36 BTL</t>
  </si>
  <si>
    <t>K1242002005010</t>
  </si>
  <si>
    <t>KNF MASTER SPRAY COLOGNE BLACK MUSK 50ML X 36 BTL</t>
  </si>
  <si>
    <t>K1242002010010</t>
  </si>
  <si>
    <t>KNF MASTER SPRAY COLOGNE BLACK MUSK 100ML X 36 BTL</t>
  </si>
  <si>
    <t>K1242003005010</t>
  </si>
  <si>
    <t>KNF MASTER SPRAY COLOGNE E.AMBER 50ML X 36 BTL</t>
  </si>
  <si>
    <t>K1242003010010</t>
  </si>
  <si>
    <t>KNF MASTER SPRAY COLOGNE E.AMBER 100ML X 36 BTL</t>
  </si>
  <si>
    <t>K1242004005010</t>
  </si>
  <si>
    <t>KNF MASTER SPRAY COLOGNE GREEN FOUGERE 50ML X 36 BTL</t>
  </si>
  <si>
    <t>K1242004010010</t>
  </si>
  <si>
    <t>KNF MASTER SPRAY COLOGNE G.FOUGERE 100ML X 36 BTL</t>
  </si>
  <si>
    <t>K1242005005010</t>
  </si>
  <si>
    <t>KNF MASTER SPRAY COLOGNE RED WOOD 50ML X 36 BTL</t>
  </si>
  <si>
    <t>K1242005010010</t>
  </si>
  <si>
    <t>KNF MASTER SPRAY COLOGNE RED WOOD 100ML X 36 BTL</t>
  </si>
  <si>
    <t>K1251001015010</t>
  </si>
  <si>
    <t>KNF MASTER KIDS SHAMPOO BATMAN 150ML X 36 BTL</t>
  </si>
  <si>
    <t>K1251002015010</t>
  </si>
  <si>
    <t>KNF MASTER KIDS SHAMPOO BEN-10 150ML X 36 BTL</t>
  </si>
  <si>
    <t>K1251003015010</t>
  </si>
  <si>
    <t>KNF MASTER KIDS SHAMPOO BUMBLEBEE 150ML X 36 BTL</t>
  </si>
  <si>
    <t>K1251004015010</t>
  </si>
  <si>
    <t>KNF MASTER KIDS SHAMPOO CAPT. AMERICA 150ML X 36 BTL</t>
  </si>
  <si>
    <t>K1251005015010</t>
  </si>
  <si>
    <t>KNF MASTER KIDS SHAMPOO IRON MAN 150ML X 36 BTL</t>
  </si>
  <si>
    <t>K1251006015010</t>
  </si>
  <si>
    <t>KNF MASTER KIDS SHAMPOO OPTIMUS PRIME 150ML X 36 BTL</t>
  </si>
  <si>
    <t>K1251007015010</t>
  </si>
  <si>
    <t>KNF MASTER KIDS SHAMPOO SPIDERMAN 150ML X 36 BTL</t>
  </si>
  <si>
    <t>K1251008015010</t>
  </si>
  <si>
    <t>KNF MASTER KIDS SHAMPOO SUPERMAN 150ML X 36 BTL</t>
  </si>
  <si>
    <t>K1252001017510</t>
  </si>
  <si>
    <t>KNF MASTER KIDS SHOWER GEL C- AMERICA 175ML X 36 BTL</t>
  </si>
  <si>
    <t>K1252002017510</t>
  </si>
  <si>
    <t>KNF MASTER KIDS SHOWER GEL IRON MAN 175ML X 36 BTL</t>
  </si>
  <si>
    <t>K1253001010010</t>
  </si>
  <si>
    <t>KNF MASTER KIDS SPRAY COL. BATMAN 100ML X 36 BTL</t>
  </si>
  <si>
    <t>K1253002010010</t>
  </si>
  <si>
    <t>KNF MASTER KIDS SPRAY COL. BEN-10 100ML X 36 BTL</t>
  </si>
  <si>
    <t>K1253003010010</t>
  </si>
  <si>
    <t>KNF MASTER KIDS SPRAY COL. BUMBLEBEE 100ML X 36 BTL</t>
  </si>
  <si>
    <t>K1253004010010</t>
  </si>
  <si>
    <t>KNF MASTER KIDS SPRAY COL. C.AMERICA 100ML X 36 BTL</t>
  </si>
  <si>
    <t>K1253005010010</t>
  </si>
  <si>
    <t>KNF MASTER KIDS SPRAY COL. IRON MAN 100ML X 36 BTL</t>
  </si>
  <si>
    <t>K1253006010010</t>
  </si>
  <si>
    <t>KNF MASTER KIDS SPRAY COL. OPT-PRIME 100ML X 36 BTL</t>
  </si>
  <si>
    <t>K1253007010010</t>
  </si>
  <si>
    <t>KNF MASTER KIDS SPRAY COL. SPIDERMAN 100ML X 36 BTL</t>
  </si>
  <si>
    <t>K1253008010010</t>
  </si>
  <si>
    <t>KNF MASTER KIDS SPRAY COL. SUPERMAN 100ML X 36 BTL</t>
  </si>
  <si>
    <t>K1254001007510</t>
  </si>
  <si>
    <t>KNF MASTER KIDS STYLISH GEL BATMAN 75GR X 48 JAR</t>
  </si>
  <si>
    <t>K1254002007510</t>
  </si>
  <si>
    <t>KNF MASTER KIDS STYLISH GEL SPIDERMAN 75GR X 48 JAR</t>
  </si>
  <si>
    <t>K1254003007510</t>
  </si>
  <si>
    <t>KNF MASTER KIDS STYLISH GEL SUPERMAN 75GR X 48 JAR</t>
  </si>
  <si>
    <t>K1255001005010</t>
  </si>
  <si>
    <t>KNF MASTER KIDS TOOTH PASTE BATMAN 50GR X 48 TUBE</t>
  </si>
  <si>
    <t>K1255002005010</t>
  </si>
  <si>
    <t>KNF MASTER KIDS TOOTH PASTE BEN-10 50GR X 48 TUBE</t>
  </si>
  <si>
    <t>K1255003005010</t>
  </si>
  <si>
    <t>KNF MASTER KIDS TOOTH PASTE IRON MAN 50GR X 48 TUBE</t>
  </si>
  <si>
    <t>K1255004005010</t>
  </si>
  <si>
    <t>KNF MASTER KIDS TOOTH PASTE SPIDERMAN 50GR X 48 TUBE</t>
  </si>
  <si>
    <t>K1255005005010</t>
  </si>
  <si>
    <t>KNF MASTER KIDS TOOTH PASTE SUPERMAN 50GR X 48 TUBE</t>
  </si>
  <si>
    <t>K1256001005010</t>
  </si>
  <si>
    <t>KNF MASTER KIDS T.P&amp;T.BRUSH C.AMERICA 50GR X 24 PACK</t>
  </si>
  <si>
    <t>K1256002005010</t>
  </si>
  <si>
    <t>KNF MASTER KIDS T.P&amp;T.BRUSH IRON MAN 50GR X 24 PACK</t>
  </si>
  <si>
    <t>K1260001010010</t>
  </si>
  <si>
    <t>KNF OVALE OLIVE OIL 100ML X 24 BTL</t>
  </si>
  <si>
    <t>K1270001001010</t>
  </si>
  <si>
    <t>KNF OVALE CLAY MASK ACNE PRONE 10GR X 144 SCH</t>
  </si>
  <si>
    <t>K1270002001510</t>
  </si>
  <si>
    <t>KNF OVALE CLAY MASK DEEP HYDRA 15GR X 144 SCH</t>
  </si>
  <si>
    <t>K1270003001510</t>
  </si>
  <si>
    <t>KNF OVALE CLAY MASK HEALTHY GLOW 15GR X 144 SCH</t>
  </si>
  <si>
    <t>K1270004001510</t>
  </si>
  <si>
    <t>KNF OVALE CLAY MASK OIL CONTROL 15GR X 144 SCH</t>
  </si>
  <si>
    <t>K1270005001010</t>
  </si>
  <si>
    <t>KNF OVALE CLAY MASK PURIFYING 10GR X 144 SCH</t>
  </si>
  <si>
    <t>KNF OVALE CLAY MASK PURIFYING 50GR X 24 TUBE</t>
  </si>
  <si>
    <t>K1280001006010</t>
  </si>
  <si>
    <t>KNF OVALE CLEANSING GEL ACNE CARE 60ML X 36 BTL</t>
  </si>
  <si>
    <t>K1280001010010</t>
  </si>
  <si>
    <t>KNF OVALE CLEANSING GEL ACNE CARE 100ML X 36 BTL</t>
  </si>
  <si>
    <t>K1280002006010</t>
  </si>
  <si>
    <t>KNF OVALE CLEANSING GEL WHITENING 60ML X 36 BTL</t>
  </si>
  <si>
    <t>K1280002010010</t>
  </si>
  <si>
    <t>KNF OVALE CLEANSING GEL WHITENING 100ML X 36 BTL</t>
  </si>
  <si>
    <t>K1290001000310</t>
  </si>
  <si>
    <t>KNF OVALE ESST VIT FACE LIGHT 0,3ML X 48 BLR</t>
  </si>
  <si>
    <t>K1290001000320</t>
  </si>
  <si>
    <t>KNF OVALE ESST VIT FACE LIGHT 0,3ML X 24 JAR</t>
  </si>
  <si>
    <t>K1290002000310</t>
  </si>
  <si>
    <t>KNF OVALE ESST VIT FACE REJUVE 0,3ML X 48 BLR</t>
  </si>
  <si>
    <t>K1290002000320</t>
  </si>
  <si>
    <t>KNF OVALE ESST VIT FACE REJUVE 0,3ML X 24 JAR</t>
  </si>
  <si>
    <t>K1300001001510</t>
  </si>
  <si>
    <t>KNF OVALE FACE MASK BENGKOANG 15GR X 144 SCH</t>
  </si>
  <si>
    <t>KNF OVALE FACE MASK BENGKOANG 75GR X 24 TUBE</t>
  </si>
  <si>
    <t>K1300002001510</t>
  </si>
  <si>
    <t>KNF OVALE FACE MASK CUCUMBER 15GR X 144 SCH</t>
  </si>
  <si>
    <t>K1300003001510</t>
  </si>
  <si>
    <t>KNF OVALE FACE MASK LEMON 15GR X 144 SCH</t>
  </si>
  <si>
    <t>KNF OVALE FACE MASK LEMON 75GR X 24 TUBE</t>
  </si>
  <si>
    <t>K1300004001510</t>
  </si>
  <si>
    <t>KNF OVALE FACE MASK TOMATO 15GR X 144 SCH</t>
  </si>
  <si>
    <t>K1301001001510</t>
  </si>
  <si>
    <t>KNF OVALE FACE MASK BEDAK D. MUTIARA 15GR X 72 SCH</t>
  </si>
  <si>
    <t>K1301002001510</t>
  </si>
  <si>
    <t>KNF OVALE FACE MASK BEDAK D. TEH HIJAU 15GR X 72 SCH</t>
  </si>
  <si>
    <t>K1302001001510</t>
  </si>
  <si>
    <t>KNF OVALE FACE MASK POWDER AVOCADO 15GR X 144 SCH</t>
  </si>
  <si>
    <t>K1302002001510</t>
  </si>
  <si>
    <t>KNF OVALE FACE MASK POWDER BENGKOANG 15GR X 144 SCH</t>
  </si>
  <si>
    <t>K1302003001510</t>
  </si>
  <si>
    <t>KNF OVALE FACE MASK POWDER BLACK TEA 15GR X 144 SCH</t>
  </si>
  <si>
    <t>K1302004001510</t>
  </si>
  <si>
    <t>KNF OVALE FACE MASK POWDER PEARL 15GR X 144 SCH</t>
  </si>
  <si>
    <t>K1310001000010</t>
  </si>
  <si>
    <t>KNF OVALE FACE PAPER EXTRA BIG X 144 BOX</t>
  </si>
  <si>
    <t>K1310002000010</t>
  </si>
  <si>
    <t>KNF OVALE FACE PAPER EXTRA SMALL X 288 BOX</t>
  </si>
  <si>
    <t>K1320001003010</t>
  </si>
  <si>
    <t>KNF OVALE FACE SERUM ANTI AGING 30ML X 24 BTL</t>
  </si>
  <si>
    <t>K1320002003010</t>
  </si>
  <si>
    <t>KNF OVALE FACE SERUM MOISTURIZING 30ML X 24 BTL</t>
  </si>
  <si>
    <t>K1320003003010</t>
  </si>
  <si>
    <t>KNF OVALE FACE SERUM WHITENING 30ML X 24 BTL</t>
  </si>
  <si>
    <t>K1330001006010</t>
  </si>
  <si>
    <t>KNF OVALE FACIAL LOTION ANTI ACNE 60ML X 36 BTL</t>
  </si>
  <si>
    <t>K1330001010010</t>
  </si>
  <si>
    <t>KNF OVALE FACIAL LOTION ANTI ACNE 100ML X 36 BTL</t>
  </si>
  <si>
    <t>K1330001020010</t>
  </si>
  <si>
    <t>KNF OVALE FACIAL LOTION ANTI ACNE 200ML X 36 BTL</t>
  </si>
  <si>
    <t>K1330002006010</t>
  </si>
  <si>
    <t>KNF OVALE FACIAL LOTION EXTRA MILD 60ML X 36 BTL</t>
  </si>
  <si>
    <t>K1330002010010</t>
  </si>
  <si>
    <t>KNF OVALE FACIAL LOTION EXTRA MILD 100ML X 36 BTL</t>
  </si>
  <si>
    <t>K1330002020010</t>
  </si>
  <si>
    <t>KNF OVALE FACIAL LOTION EXTRA MILD 200ML X 36 BTL</t>
  </si>
  <si>
    <t>K1330003006010</t>
  </si>
  <si>
    <t>KNF OVALE FACIAL LOTION LEMON 60ML X 36 BTL</t>
  </si>
  <si>
    <t>K1330003010010</t>
  </si>
  <si>
    <t>KNF OVALE FACIAL LOTION LEMON 100ML X 36 BTL</t>
  </si>
  <si>
    <t>K1330003020010</t>
  </si>
  <si>
    <t>KNF OVALE FACIAL LOTION LEMON 200ML X 36 BTL</t>
  </si>
  <si>
    <t>K1330004006010</t>
  </si>
  <si>
    <t>KNF OVALE FACIAL LOTION LUMI YAMBEAN 60ML X 36 BTL</t>
  </si>
  <si>
    <t>K1330004010010</t>
  </si>
  <si>
    <t>KNF OVALE FACIAL LOTION LUMI YAMBEAN 100ML X 36 BTL</t>
  </si>
  <si>
    <t>K1330004020010</t>
  </si>
  <si>
    <t>KNF OVALE FACIAL LOTION LUMI YAMBEAN 200ML X 36 BTL</t>
  </si>
  <si>
    <t>K1330005006010</t>
  </si>
  <si>
    <t>KNF OVALE FACIAL LOTION PAPAYA 60ML X 36 BTL</t>
  </si>
  <si>
    <t>K1330005010010</t>
  </si>
  <si>
    <t>KNF OVALE FACIAL LOTION PAPAYA 100ML X 36 BTL</t>
  </si>
  <si>
    <t>K1330005020010</t>
  </si>
  <si>
    <t>KNF OVALE FACIAL LOTION PAPAYA 200ML X 36 BTL</t>
  </si>
  <si>
    <t>K1330006006010</t>
  </si>
  <si>
    <t>KNF OVALE FACIAL LOTION PORE MIN 60ML X 36 BTL</t>
  </si>
  <si>
    <t>K1330006010010</t>
  </si>
  <si>
    <t>KNF OVALE FACIAL LOTION PORE MIN 100ML X 36 BTL</t>
  </si>
  <si>
    <t>K1330006020010</t>
  </si>
  <si>
    <t>KNF OVALE FACIAL LOTION PORE MIN 200ML X 36 BTL</t>
  </si>
  <si>
    <t>K1340001010010</t>
  </si>
  <si>
    <t>KNF OVALE LULUR BALI BENGKOANG 100GR X 24 JAR</t>
  </si>
  <si>
    <t>K1340002010010</t>
  </si>
  <si>
    <t>KNF OVALE LULUR BALI BOREH 100GR X 24 JAR</t>
  </si>
  <si>
    <t>K1340003010010</t>
  </si>
  <si>
    <t>KNF OVALE LULUR BALI CHOCOLATE 100GR X 24 JAR</t>
  </si>
  <si>
    <t>K1340004010010</t>
  </si>
  <si>
    <t>KNF OVALE LULUR BALI COFFEE 100GR X 24 JAR</t>
  </si>
  <si>
    <t>K1340005010010</t>
  </si>
  <si>
    <t>KNF OVALE LULUR BALI HONEY COCONUT 100GR X 24 JAR</t>
  </si>
  <si>
    <t>K1340006010010</t>
  </si>
  <si>
    <t>KNF OVALE LULUR BALI MILK 100GR X 24 JAR</t>
  </si>
  <si>
    <t>K1350001010010</t>
  </si>
  <si>
    <t>KNF OVALE MICELLAR WATER BRIGHTENING 100ML X 36 BTL</t>
  </si>
  <si>
    <t>K1350001020010</t>
  </si>
  <si>
    <t>KNF OVALE MICELLAR WATER BRIGHTENING 200ML X 36 BTL</t>
  </si>
  <si>
    <t>K1350002010010</t>
  </si>
  <si>
    <t>KNF OVALE MICELLAR WATER ACNE SKIN 100ML X 36 BTL</t>
  </si>
  <si>
    <t>K1350002020010</t>
  </si>
  <si>
    <t>KNF OVALE MICELLAR WATER ACNE SKIN 200ML X 36 BTL</t>
  </si>
  <si>
    <t>K1351001010010</t>
  </si>
  <si>
    <t>KNF OVALE MICELLAR WATER H2O BRIGHT 100ML X 36 BTL</t>
  </si>
  <si>
    <t>K1351002010010</t>
  </si>
  <si>
    <t>KNF OVALE MICELLAR WATER H2O ACNE.C 100ML X 36 BTL</t>
  </si>
  <si>
    <t>K1360001010010</t>
  </si>
  <si>
    <t>KNF RESIK V GODOKAN SIRIH 100ML X 36 BTL</t>
  </si>
  <si>
    <t>K1361000010010</t>
  </si>
  <si>
    <t>KNF RESIK V GODOKAN RAMUAN MADURA 100ML X 36 BTL</t>
  </si>
  <si>
    <t>K1370000005010</t>
  </si>
  <si>
    <t>KNF RESIK V MANJAKANI 50ML X 72 BTL</t>
  </si>
  <si>
    <t>K1370000009010</t>
  </si>
  <si>
    <t>KNF RESIK V MANJAKANI 90ML X 36 BTL</t>
  </si>
  <si>
    <t>K1370000020010</t>
  </si>
  <si>
    <t>KNF RESIK V MANJAKANI 200ML X 36 BTL</t>
  </si>
  <si>
    <t>K1370001005010</t>
  </si>
  <si>
    <t>KNF RESIK V MANJAKANI WHITENING 50ML X 72 BTL</t>
  </si>
  <si>
    <t>K1370001009010</t>
  </si>
  <si>
    <t>KNF RESIK V MANJAKANI WHITENING 90ML X 36 BTL</t>
  </si>
  <si>
    <t>K1370001020010</t>
  </si>
  <si>
    <t>KNF RESIK V MANJAKANI WHITENING 200ML X 36 BTL</t>
  </si>
  <si>
    <t>K1380001006010</t>
  </si>
  <si>
    <t>KNF RESIK V PKW SIRIH ANGGREK 60ML X 72 BTL</t>
  </si>
  <si>
    <t>K1380001009010</t>
  </si>
  <si>
    <t>KNF RESIK V PKW SIRIH ANGGREK 90ML X 36 BTL</t>
  </si>
  <si>
    <t>K1380001020010</t>
  </si>
  <si>
    <t>KNF RESIK V PKW SIRIH ANGGREK 200ML X 36 BTL</t>
  </si>
  <si>
    <t>K1380002009010</t>
  </si>
  <si>
    <t>KNF RESIK V PKW SIRIH KENANGA 90ML X 36 BTL</t>
  </si>
  <si>
    <t>K1380002020010</t>
  </si>
  <si>
    <t>KNF RESIK V PKW SIRIH KENANGA 200ML X 36 BTL</t>
  </si>
  <si>
    <t>K1380003006010</t>
  </si>
  <si>
    <t>KNF RESIK V PKW SIRIH MAWAR 60ML X 72 BTL</t>
  </si>
  <si>
    <t>K1380003009010</t>
  </si>
  <si>
    <t>KNF RESIK V PKW SIRIH MAWAR 90ML X 36 BTL</t>
  </si>
  <si>
    <t>K1380003020010</t>
  </si>
  <si>
    <t>KNF RESIK V PKW SIRIH MAWAR 200ML X 36 BTL</t>
  </si>
  <si>
    <t>K1380004009010</t>
  </si>
  <si>
    <t>KNF RESIK V PKW SIRIH WANGI 90ML X 36 BTL</t>
  </si>
  <si>
    <t>K1380004020010</t>
  </si>
  <si>
    <t>KNF RESIK V PKW SIRIH WANGI 200ML X 36 BTL</t>
  </si>
  <si>
    <t>K1381001006010</t>
  </si>
  <si>
    <t>KNF RESIK V PKW SPA AKAR WANGI 60ML X 72 BTL</t>
  </si>
  <si>
    <t>K1381001009010</t>
  </si>
  <si>
    <t>KNF RESIK V PKW SPA AKAR WANGI 90ML X 36 BTL</t>
  </si>
  <si>
    <t>K1381001020010</t>
  </si>
  <si>
    <t>KNF RESIK V PKW SPA AKAR WANGI 200ML X 36 BTL</t>
  </si>
  <si>
    <t>K1381002006010</t>
  </si>
  <si>
    <t>KNF RESIK V PKW SPA FRANGIPANI 60ML X 72 BTL</t>
  </si>
  <si>
    <t>K1381002009010</t>
  </si>
  <si>
    <t>KNF RESIK V PKW SPA FRANGIPANI 90ML X 36 BTL</t>
  </si>
  <si>
    <t>K1381002020010</t>
  </si>
  <si>
    <t>KNF RESIK V PKW SPA FRANGIPANI 200ML X 36 BTL</t>
  </si>
  <si>
    <t>K1390001005010</t>
  </si>
  <si>
    <t>KNF RESIK V RAMUAN MADURA WHITENING 50ML X 72 BTL</t>
  </si>
  <si>
    <t>K1390001009010</t>
  </si>
  <si>
    <t>KNF RESIK V RAMUAN MADURA WHITENING 90ML X 36 BTL</t>
  </si>
  <si>
    <t>K1390001020010</t>
  </si>
  <si>
    <t>KNF RESIK V RAMUAN MADURA WHITENING 200ML X 36 BTL</t>
  </si>
  <si>
    <t>K1400001005010</t>
  </si>
  <si>
    <t>KNF RESIK V SKW ANGGREK 50ML X 72 BTL</t>
  </si>
  <si>
    <t>K1400001012510</t>
  </si>
  <si>
    <t>KNF RESIK V SKW ANGGREK 125ML X 36 BTL</t>
  </si>
  <si>
    <t>K1400002012510</t>
  </si>
  <si>
    <t>KNF RESIK V SKW LILY 125ML X 36 BTL</t>
  </si>
  <si>
    <t>K1400003005010</t>
  </si>
  <si>
    <t>KNF RESIK V SKW MANJAKANI 50ML X 72 BTL</t>
  </si>
  <si>
    <t>K1400003012510</t>
  </si>
  <si>
    <t>KNF RESIK V SKW MANJAKANI 125ML X 36 BTL</t>
  </si>
  <si>
    <t>K1400004005010</t>
  </si>
  <si>
    <t>KNF RESIK V SKW MAWAR 50ML X 72 BTL</t>
  </si>
  <si>
    <t>K1400004012510</t>
  </si>
  <si>
    <t>KNF RESIK V SKW MAWAR 125ML X 36 BTL</t>
  </si>
  <si>
    <t>K1400005012510</t>
  </si>
  <si>
    <t>KNF RESIK V SKW MELATI 125ML X 36 BTL</t>
  </si>
  <si>
    <t>K1400006005010</t>
  </si>
  <si>
    <t>KNF RESIK V SKW SIRIH WANGI 50ML X 72 BTL</t>
  </si>
  <si>
    <t>K1400006012510</t>
  </si>
  <si>
    <t>KNF RESIK V SKW SIRIH WANGI 125ML X 36 BTL</t>
  </si>
  <si>
    <t>K1410001003010</t>
  </si>
  <si>
    <t>KNF SAMANTHA CREAMBATH ALOE VERA 30GR X 72 SCH</t>
  </si>
  <si>
    <t>K1410002003010</t>
  </si>
  <si>
    <t>KNF SAMANTHA CREAMBATH AVOCADO 30GR X 72 SCH</t>
  </si>
  <si>
    <t>K1410004003010</t>
  </si>
  <si>
    <t>KNF SAMANTHA CREAMBATH GINSENG 30GR X 72 SCH</t>
  </si>
  <si>
    <t>K1410005003010</t>
  </si>
  <si>
    <t>KNF SAMANTHA CREAMBATH ROYAL JELLY 30GR X 72 SCH</t>
  </si>
  <si>
    <t>K1420001001010</t>
  </si>
  <si>
    <t>KNF SAMANTHA HC BLEACHING 10GR X 72 BOX</t>
  </si>
  <si>
    <t>K1420002002510</t>
  </si>
  <si>
    <t>KNF SAMANTHA HC BLUE BLACK 25GR X 72 BOX</t>
  </si>
  <si>
    <t>K1420003002510</t>
  </si>
  <si>
    <t>KNF SAMANTHA HC CHOCOLATE BROWN 25GR X 72 BOX</t>
  </si>
  <si>
    <t>K1420004002510</t>
  </si>
  <si>
    <t>KNF SAMANTHA HC COFFEE PURPLE 25GR X 72 BOX</t>
  </si>
  <si>
    <t>K1420005002510</t>
  </si>
  <si>
    <t>KNF SAMANTHA HC COP GOLD BLONDE 25GR X 72 BOX</t>
  </si>
  <si>
    <t>K1420006002510</t>
  </si>
  <si>
    <t>KNF SAMANTHA HC COPPER HAZEL 25GR X 72 BOX</t>
  </si>
  <si>
    <t>K1420007002510</t>
  </si>
  <si>
    <t>KNF SAMANTHA HC DARK BLUE 25GR X 72 BOX</t>
  </si>
  <si>
    <t>K1420008002510</t>
  </si>
  <si>
    <t>KNF SAMANTHA HC DARK MHGN BROWN 25GR X 72 BOX</t>
  </si>
  <si>
    <t>K1420009002510</t>
  </si>
  <si>
    <t>KNF SAMANTHA HC GOLDEN 25GR X 72 BOX</t>
  </si>
  <si>
    <t>K1420010002510</t>
  </si>
  <si>
    <t>KNF SAMANTHA HC IRISE RED 25GR X 72 BOX</t>
  </si>
  <si>
    <t>K1420011002510</t>
  </si>
  <si>
    <t>KNF SAMANTHA HC M.POLI RED 25GR X 72 BOX</t>
  </si>
  <si>
    <t>K1420012002510</t>
  </si>
  <si>
    <t>KNF SAMANTHA HC N.BLACK 25GR X 72 BOX</t>
  </si>
  <si>
    <t>K1420013002510</t>
  </si>
  <si>
    <t>KNF SAMANTHA HC PASSION RED 25GR X 72 BOX</t>
  </si>
  <si>
    <t>K1420014002510</t>
  </si>
  <si>
    <t>KNF SAMANTHA HC PURPLE RED 25GR X 72 BOX</t>
  </si>
  <si>
    <t>K1420015002510</t>
  </si>
  <si>
    <t>KNF SAMANTHA HC WILD BERRY 25GR X 72 BOX</t>
  </si>
  <si>
    <t>K1420016002510</t>
  </si>
  <si>
    <t>KNF SAMANTHA HC ASH GREY 25GR X 72 BOX</t>
  </si>
  <si>
    <t>K1420017002510</t>
  </si>
  <si>
    <t>KNF SAMANTHA HC GREEN TOSCA 25GR X 72 BOX</t>
  </si>
  <si>
    <t>K1431001010010</t>
  </si>
  <si>
    <t>KNF SAMANTHA POP B.SCRUB BIKIN BAPER 100GR X 24 JAR</t>
  </si>
  <si>
    <t>K1431002010010</t>
  </si>
  <si>
    <t>KNF SAMANTHA POP B.SCRUB JANJI MANIS 100GR X 24 JAR</t>
  </si>
  <si>
    <t>K1431003010010</t>
  </si>
  <si>
    <t>KNF SAMANTHA POP B.SCRUB SENYUM DOI 100GR X 24 JAR</t>
  </si>
  <si>
    <t>K1432001010020</t>
  </si>
  <si>
    <t>KNF SAMANTHA POP C.GEL BIKIN BAPER 100ML X 36 BTL</t>
  </si>
  <si>
    <t>K1432002010020</t>
  </si>
  <si>
    <t>KNF SAMANTHA POP C.GEL JANJI MANIS 100ML X 36 BTL</t>
  </si>
  <si>
    <t>K1433001015010</t>
  </si>
  <si>
    <t>KNF SAMANTHA POP HBL BIKIN BAPER 150ML X 36 BTL</t>
  </si>
  <si>
    <t>K1433002015010</t>
  </si>
  <si>
    <t>KNF SAMANTHA POP HBL JANJI MANIS 150ML X 36 BTL</t>
  </si>
  <si>
    <t>K1434001006510</t>
  </si>
  <si>
    <t>KNF SAMANTHA POP HAIR MIST BIKIN BAPER 65ML X 36 BTL</t>
  </si>
  <si>
    <t>KNF SAMANTHA POP S.GEL BIKIN BAPER 500ML X 12 BTL</t>
  </si>
  <si>
    <t>K1434002006510</t>
  </si>
  <si>
    <t>KNF SAMANTHA POP HAIR MIST JANJI MANIS 65ML X 36 BTL</t>
  </si>
  <si>
    <t>KNF SAMANTHA POP S.GEL JANJI MANIS 500ML X 12 BTL</t>
  </si>
  <si>
    <t>KNF SAMANTHA POP S.GEL SENYUM DOI 500ML X 12 BTL</t>
  </si>
  <si>
    <t>K1435001012510</t>
  </si>
  <si>
    <t>KNF SAMANTHA POP SPLASH BIKIN BAPER 125ML X 36 BTL</t>
  </si>
  <si>
    <t>K1435002012510</t>
  </si>
  <si>
    <t>KNF SAMANTHA POP SPLASH JANJI MANIS 125ML X 36 BTL</t>
  </si>
  <si>
    <t>K1435003012510</t>
  </si>
  <si>
    <t>KNF SAMANTHA POP SPLASH SENYUM DOI 125ML X 36 BTL</t>
  </si>
  <si>
    <t>K1436001010510</t>
  </si>
  <si>
    <t>KNF SAMANTHA POP SPRAY BIKIN BAPER 105ML X 36 BTL</t>
  </si>
  <si>
    <t>K1436002010510</t>
  </si>
  <si>
    <t>KNF SAMANTHA POP SPRAY JANJI MANIS 105ML X 36 BTL</t>
  </si>
  <si>
    <t>K1436003010510</t>
  </si>
  <si>
    <t>KNF SAMANTHA POP SPRAY SENYUM DOI 105ML X 36 BTL</t>
  </si>
  <si>
    <t>K1436004010510</t>
  </si>
  <si>
    <t>KNF SAMANTHA POP SPRAY INGAT GEBETAN 105ML X 36 BTL</t>
  </si>
  <si>
    <t>K1437002018010</t>
  </si>
  <si>
    <t>KNF SAMANTHA POP SHAMPO JANJI MANIS 180ML X 36 BTL</t>
  </si>
  <si>
    <t>K1437003018010</t>
  </si>
  <si>
    <t>KNF SAMANTHA POP SHAMPO BIKIN BAPER 180ML X 36 BTL</t>
  </si>
  <si>
    <t>K1440001003010</t>
  </si>
  <si>
    <t>KNF SASHA CREAMBATH AVOCADO 30GR X 72 BOX</t>
  </si>
  <si>
    <t>K1440002003010</t>
  </si>
  <si>
    <t>KNF SASHA CREAMBATH ROYAL JELLY 30GR X 72 BOX</t>
  </si>
  <si>
    <t>K1450001002510</t>
  </si>
  <si>
    <t>KNF SASHA HAIR COLORANT ASH GREY 25GR X 72 BOX</t>
  </si>
  <si>
    <t>K1450002001010</t>
  </si>
  <si>
    <t>KNF SASHA HAIR COLORANT BLEACHING 10GR X 72 BOX</t>
  </si>
  <si>
    <t>K1450003002510</t>
  </si>
  <si>
    <t>KNF SASHA HAIR COLORANT BLUE BLACK 25GR X 72 BOX</t>
  </si>
  <si>
    <t>K1450004002510</t>
  </si>
  <si>
    <t>KNF SASHA HAIR COLORANT CHOCO BROWN 25GR X 72 BOX</t>
  </si>
  <si>
    <t>K1450005002510</t>
  </si>
  <si>
    <t>KNF SASHA HAIR COLORANT DUSTY PHINE 25GR X 72 BOX</t>
  </si>
  <si>
    <t>K1450006002510</t>
  </si>
  <si>
    <t>KNF SASHA HAIR COLORANT GOLDEN 25GR X 72 BOX</t>
  </si>
  <si>
    <t>K1450007002510</t>
  </si>
  <si>
    <t>KNF SASHA HAIR COLORANT GOLDEN BLONDE 25GR X 72 BOX</t>
  </si>
  <si>
    <t>K1450008002510</t>
  </si>
  <si>
    <t>KNF SASHA HAIR COLORANT GREEN TOSCA 25GR X 72 BOX</t>
  </si>
  <si>
    <t>K1450009002510</t>
  </si>
  <si>
    <t>KNF SASHA HAIR COLORANT NATURAL BLACK 25GR X 72 BOX</t>
  </si>
  <si>
    <t>K1450010002510</t>
  </si>
  <si>
    <t>KNF SASHA HAIR COLORANT PASSION RED 25GR X 72 BOX</t>
  </si>
  <si>
    <t>K1450011002510</t>
  </si>
  <si>
    <t>KNF SASHA HAIR COLORANT SKY BLUE 25GR X 72 BOX</t>
  </si>
  <si>
    <t>K1450012002510</t>
  </si>
  <si>
    <t>KNF SASHA HAIR COLORANT SMOKEY LILAC 25GR X 72 BOX</t>
  </si>
  <si>
    <t>K1460001000110</t>
  </si>
  <si>
    <t>K1460001000120</t>
  </si>
  <si>
    <t>KNF SASHA HAIR VITAMIN BLACK SHINE 1ML X 24 JAR</t>
  </si>
  <si>
    <t>K1460002000110</t>
  </si>
  <si>
    <t>KNF SASHA HAIR VITAMIN COLOR GLOW 1ML X 72 BLR</t>
  </si>
  <si>
    <t>K1460003000110</t>
  </si>
  <si>
    <t>KNF SASHA HAIR VITAMIN DAMAGE CARE 1ML X 72 BLR</t>
  </si>
  <si>
    <t>K1460003000120</t>
  </si>
  <si>
    <t>KNF SASHA HAIR VITAMIN DAMAGE CARE 1ML X 24 JAR</t>
  </si>
  <si>
    <t>K1460003000130</t>
  </si>
  <si>
    <t>K1460004000110</t>
  </si>
  <si>
    <t>K1460004000120</t>
  </si>
  <si>
    <t>KNF SASHA HAIR VITAMIN SILKY SHINE 1ML X 24 JAR</t>
  </si>
  <si>
    <t>K1460004000130</t>
  </si>
  <si>
    <t>K1470001006510</t>
  </si>
  <si>
    <t>KNF SASHA PASTA ANTIBACTERIAL 65GR X 48 TUBE</t>
  </si>
  <si>
    <t>K1470001006511</t>
  </si>
  <si>
    <t>KNF SASHA PASTA ANTIBACTERIAL 65GR X 48 TUBE BND</t>
  </si>
  <si>
    <t>K1470001015010</t>
  </si>
  <si>
    <t>KNF SASHA PASTA ANTIBACTERIAL 150GR X 36 TUBE</t>
  </si>
  <si>
    <t>K1470001015011</t>
  </si>
  <si>
    <t>KNF SASHA PASTA ANTIBACTERIAL 150GR X 36 TUBE BND</t>
  </si>
  <si>
    <t>K1470002006510</t>
  </si>
  <si>
    <t>KNF SASHA PASTA GIGI BERLUBANG 65GR X 48 TUBE</t>
  </si>
  <si>
    <t>K1470002006511</t>
  </si>
  <si>
    <t>KNF SASHA PASTA GIGI BERLUBANG 65GR X 48 TUBE BND</t>
  </si>
  <si>
    <t>K1470002015010</t>
  </si>
  <si>
    <t>KNF SASHA PASTA GIGI BERLUBANG 150GR X 36 TUBE</t>
  </si>
  <si>
    <t>K1470002015011</t>
  </si>
  <si>
    <t>KNF SASHA PASTA GIGI BERLUBANG 150GR X 36 TUBE BND</t>
  </si>
  <si>
    <t>K1470003006510</t>
  </si>
  <si>
    <t>KNF SASHA PASTA WHITENING 65GR X 48 TUBE</t>
  </si>
  <si>
    <t>K1470003006511</t>
  </si>
  <si>
    <t>KNF SASHA PASTA WHITENING 65GR X 48 TUBE BND</t>
  </si>
  <si>
    <t>K1470003015010</t>
  </si>
  <si>
    <t>KNF SASHA PASTA WHITENING 150GR X 36 TUBE</t>
  </si>
  <si>
    <t>K1470003015011</t>
  </si>
  <si>
    <t>KNF SASHA PASTA WHITENING 150GR X 36 TUBE BND</t>
  </si>
  <si>
    <t>K1480001040030</t>
  </si>
  <si>
    <t>KNF SLEEK HAND WASH APPLE 400ML X 12 PCH</t>
  </si>
  <si>
    <t>K1480001050010</t>
  </si>
  <si>
    <t>KNF SLEEK HAND WASH APPLE 500ML X 12 BTL</t>
  </si>
  <si>
    <t>K1480001100420</t>
  </si>
  <si>
    <t>KNF SLEEK HAND WASH APPLE 4L X 4 JRG</t>
  </si>
  <si>
    <t>K1480002040030</t>
  </si>
  <si>
    <t>KNF SLEEK HAND WASH LEMON 400ML X 12 PCH</t>
  </si>
  <si>
    <t>K1480002050010</t>
  </si>
  <si>
    <t>KNF SLEEK HAND WASH LEMON 500ML X 12 BTL</t>
  </si>
  <si>
    <t>K1480002100420</t>
  </si>
  <si>
    <t>KNF SLEEK HAND WASH LEMON 4L X 4 JRG</t>
  </si>
  <si>
    <t>K1480003040030</t>
  </si>
  <si>
    <t>KNF SLEEK HAND WASH STRAWBERRY 400ML X 12 PCH</t>
  </si>
  <si>
    <t>K1480003050010</t>
  </si>
  <si>
    <t>KNF SLEEK HAND WASH STRAWBERRY 500ML X 12 BTL</t>
  </si>
  <si>
    <t>K1480003100420</t>
  </si>
  <si>
    <t>KNF SLEEK HAND WASH STRAWBERRY 4L X 4 JRG</t>
  </si>
  <si>
    <t>K1490001025010</t>
  </si>
  <si>
    <t>KNF SLEEK FOAMY H W CARING 250ML X 24 BTL</t>
  </si>
  <si>
    <t>K1490001025011</t>
  </si>
  <si>
    <t>KNF SLEEK FOAMY H W CARING 250ML X 24 BTL BND</t>
  </si>
  <si>
    <t>K1490001025020</t>
  </si>
  <si>
    <t>KNF SLEEK FOAMY H W CARING 250ML X 24 PCH</t>
  </si>
  <si>
    <t>K1490002032010</t>
  </si>
  <si>
    <t>KNF SLEEK FOAMY H W FRUITS&amp;VEGETABLE 320ML X 12 BTL</t>
  </si>
  <si>
    <t>K1490003025010</t>
  </si>
  <si>
    <t>KNF SLEEK FOAMY H W REFRESH 250ML X 24 BTL</t>
  </si>
  <si>
    <t>K1490003025011</t>
  </si>
  <si>
    <t>KNF SLEEK FOAMY H W REFRESH 250ML X 24 BTL BND</t>
  </si>
  <si>
    <t>K1490003025020</t>
  </si>
  <si>
    <t>KNF SLEEK FOAMY H W REFRESH 250ML X 24 PCH</t>
  </si>
  <si>
    <t>K1490004025010</t>
  </si>
  <si>
    <t>KNF SLEEK FOAMY H W RELIEVING 250ML X 24 BTL</t>
  </si>
  <si>
    <t>K1490004025011</t>
  </si>
  <si>
    <t>KNF SLEEK FOAMY H W RELIEVING 250ML X 24 BTL BND</t>
  </si>
  <si>
    <t>K1490004025020</t>
  </si>
  <si>
    <t>KNF SLEEK FOAMY H W RELIEVING 250ML X 24 PCH</t>
  </si>
  <si>
    <t>K1490005025010</t>
  </si>
  <si>
    <t>KNF SLEEK FOAMY H W SOOTHING 250ML X 24 BTL</t>
  </si>
  <si>
    <t>K1490005025011</t>
  </si>
  <si>
    <t>KNF SLEEK FOAMY H W SOOTHING 250ML X 24 BTL BND</t>
  </si>
  <si>
    <t>K1490005025020</t>
  </si>
  <si>
    <t>KNF SLEEK FOAMY H W SOOTHING 250ML X 24 PCH</t>
  </si>
  <si>
    <t>K1500000000010</t>
  </si>
  <si>
    <t>KNF SLEEK BABY SPECIAL X 6 PACK</t>
  </si>
  <si>
    <t>K1501000003010</t>
  </si>
  <si>
    <t>KNF SLEEK BABY BABY TELON OIL 30ML X 96 BTL</t>
  </si>
  <si>
    <t>K1501000007010</t>
  </si>
  <si>
    <t>KNF SLEEK BABY BABY TELON OIL 70ML X 48 BTL</t>
  </si>
  <si>
    <t>K1502000007020</t>
  </si>
  <si>
    <t>KNF SLEEK BABY BN CLEANSER 70ML X 36 PCH</t>
  </si>
  <si>
    <t>K1502000015010</t>
  </si>
  <si>
    <t>KNF SLEEK BABY BN CLEANSER 150ML X 36 BTL</t>
  </si>
  <si>
    <t>K1502000015012</t>
  </si>
  <si>
    <t>KNF SLEEK BABY BN CLEANSER 150ML X 36 BTL EXT 20%</t>
  </si>
  <si>
    <t>K1502000045020</t>
  </si>
  <si>
    <t>KNF SLEEK BABY BN CLEANSER 450ML X 12 PCH</t>
  </si>
  <si>
    <t>K1502000045021</t>
  </si>
  <si>
    <t>KNF SLEEK BABY BN CLEANSER 450ML X 12 PCH BND</t>
  </si>
  <si>
    <t>K1502000045022</t>
  </si>
  <si>
    <t>KNF SLEEK BABY BN CLEANSER 450ML X 12 PCH EXT 20%</t>
  </si>
  <si>
    <t>K1502000050010</t>
  </si>
  <si>
    <t>KNF SLEEK BABY BN CLEANSER 500ML X 12 BTL</t>
  </si>
  <si>
    <t>K1502000090020</t>
  </si>
  <si>
    <t>KNF SLEEK BABY BN CLEANSER 900ML X 12 PCH</t>
  </si>
  <si>
    <t>K1502000090021</t>
  </si>
  <si>
    <t>KNF SLEEK BABY BN CLEANSER 900ML X 12 PCH BND</t>
  </si>
  <si>
    <t>K1503000008010</t>
  </si>
  <si>
    <t>KNF SLEEK BABY DIAPER CREAM 80ML X 36 TUBE</t>
  </si>
  <si>
    <t>K1504000000010</t>
  </si>
  <si>
    <t>KNF SLEEK BABY GIFT X 6 PACK</t>
  </si>
  <si>
    <t>K1505001025020</t>
  </si>
  <si>
    <t>KNF SLEEK BABY HAIR&amp;BODY FOAMY WASH 250ML X 24 PCH</t>
  </si>
  <si>
    <t>K1505001030010</t>
  </si>
  <si>
    <t>KNF SLEEK BABY HAIR&amp;BODY FOAMY WASH 300ML X 24 BTL</t>
  </si>
  <si>
    <t>K1505002012010</t>
  </si>
  <si>
    <t>KNF SLEEK BABY HAIR&amp;BODY LIQ.WASH 120ML X 36 BTL</t>
  </si>
  <si>
    <t>K1505002025010</t>
  </si>
  <si>
    <t>KNF SLEEK BABY HAIR&amp;BODY LIQ.WASH 250ML X 36 BTL</t>
  </si>
  <si>
    <t>K1506000002040</t>
  </si>
  <si>
    <t>KNF SLEEK BABY LAUNDRY DETERGENT 20ML X 120 SCH</t>
  </si>
  <si>
    <t>K1506000045030</t>
  </si>
  <si>
    <t>KNF SLEEK BABY LAUNDRY DETERGENT 450ML X 12 PCH</t>
  </si>
  <si>
    <t>K1506000045031</t>
  </si>
  <si>
    <t>KNF SLEEK BABY LAUNDRY DETERGENT 450ML X 12 PCH +20%</t>
  </si>
  <si>
    <t>K1506000050010</t>
  </si>
  <si>
    <t>KNF SLEEK BABY LAUNDRY DETERGENT 500ML X 12 BTL</t>
  </si>
  <si>
    <t>K1506000090030</t>
  </si>
  <si>
    <t>KNF SLEEK BABY LAUNDRY DETERGENT 900ML X 12 PCH</t>
  </si>
  <si>
    <t>K1506000100420</t>
  </si>
  <si>
    <t>KNF SLEEK BABY LAUNDRY DETERGENT 4L X 4 JRG</t>
  </si>
  <si>
    <t>K1506000120010</t>
  </si>
  <si>
    <t>KNF SLEEK BABY LAUNDRY DETERGENT 1200ML X 6 BTL</t>
  </si>
  <si>
    <t xml:space="preserve">ABSOLUTE  </t>
  </si>
  <si>
    <t>K1010</t>
  </si>
  <si>
    <t xml:space="preserve">OVALE FACE MASK BEDAK D. </t>
  </si>
  <si>
    <t>K1301</t>
  </si>
  <si>
    <t xml:space="preserve">OVALE FACE MASK POWDER </t>
  </si>
  <si>
    <t>K1302</t>
  </si>
  <si>
    <t xml:space="preserve">OVALE FACE MASK  </t>
  </si>
  <si>
    <t>K1300</t>
  </si>
  <si>
    <t xml:space="preserve">OVALE FACE PAPER  </t>
  </si>
  <si>
    <t>K1310</t>
  </si>
  <si>
    <t xml:space="preserve">OVALE FACE SERUM  </t>
  </si>
  <si>
    <t>K1320</t>
  </si>
  <si>
    <t xml:space="preserve">OVALE FACIAL LOTION  </t>
  </si>
  <si>
    <t>K1330</t>
  </si>
  <si>
    <t xml:space="preserve">OVALE CLAY MASK  </t>
  </si>
  <si>
    <t>K1270</t>
  </si>
  <si>
    <t xml:space="preserve">OVALE CLEANSING GEL  </t>
  </si>
  <si>
    <t>K1280</t>
  </si>
  <si>
    <t xml:space="preserve">OVALE ESST VIT  </t>
  </si>
  <si>
    <t>K1290</t>
  </si>
  <si>
    <t xml:space="preserve">OVALE MICELLAR WATER  </t>
  </si>
  <si>
    <t>K1350</t>
  </si>
  <si>
    <t xml:space="preserve">OVALE MICELLAR WATER H2O </t>
  </si>
  <si>
    <t>K1351</t>
  </si>
  <si>
    <t xml:space="preserve">RESIK V GODOKAN  </t>
  </si>
  <si>
    <t>K1360</t>
  </si>
  <si>
    <t xml:space="preserve">RESIK V GODOKAN RAMUAN MADURA </t>
  </si>
  <si>
    <t>K1361</t>
  </si>
  <si>
    <t xml:space="preserve">RESIK V MANJAKANI  </t>
  </si>
  <si>
    <t>K1370</t>
  </si>
  <si>
    <t xml:space="preserve">RESIK V PKW  </t>
  </si>
  <si>
    <t>K1380</t>
  </si>
  <si>
    <t xml:space="preserve">OVALE LULUR BALI  </t>
  </si>
  <si>
    <t>K1340</t>
  </si>
  <si>
    <t xml:space="preserve">OVALE  </t>
  </si>
  <si>
    <t>K1260</t>
  </si>
  <si>
    <t xml:space="preserve">MASTER KIDS T.P&amp;T.BRUSH </t>
  </si>
  <si>
    <t>K1256</t>
  </si>
  <si>
    <t xml:space="preserve">INSTANCE LIQ  </t>
  </si>
  <si>
    <t>K1220</t>
  </si>
  <si>
    <t xml:space="preserve">INSTANCE WIPES  </t>
  </si>
  <si>
    <t>K1230</t>
  </si>
  <si>
    <t xml:space="preserve">MASTER SPLASH COLOGNE </t>
  </si>
  <si>
    <t>K1241</t>
  </si>
  <si>
    <t xml:space="preserve">INSTANCE GEL  </t>
  </si>
  <si>
    <t>K1210</t>
  </si>
  <si>
    <t xml:space="preserve">EVERGREEN AD REFF  </t>
  </si>
  <si>
    <t>K1180</t>
  </si>
  <si>
    <t xml:space="preserve">EVERGREEN AS SET  </t>
  </si>
  <si>
    <t>K1190</t>
  </si>
  <si>
    <t xml:space="preserve">EVERGREEN AS REFF  </t>
  </si>
  <si>
    <t>K1200</t>
  </si>
  <si>
    <t xml:space="preserve">MASTER SPRAY COLOGNE </t>
  </si>
  <si>
    <t>K1242</t>
  </si>
  <si>
    <t xml:space="preserve">MASTER KIDS SPRAY COL. </t>
  </si>
  <si>
    <t>K1253</t>
  </si>
  <si>
    <t xml:space="preserve">MASTER KIDS STYLISH GEL </t>
  </si>
  <si>
    <t>K1254</t>
  </si>
  <si>
    <t xml:space="preserve">MASTER KIDS TOOTH PASTE </t>
  </si>
  <si>
    <t>K1255</t>
  </si>
  <si>
    <t xml:space="preserve">MASTER KIDS SHOWER GEL </t>
  </si>
  <si>
    <t>K1252</t>
  </si>
  <si>
    <t xml:space="preserve">MASTER KIDS SHAMPOO </t>
  </si>
  <si>
    <t>K1251</t>
  </si>
  <si>
    <t xml:space="preserve">SASHA PASTA  </t>
  </si>
  <si>
    <t>K1470</t>
  </si>
  <si>
    <t xml:space="preserve">SLEEK HAND WASH  </t>
  </si>
  <si>
    <t>K1480</t>
  </si>
  <si>
    <t xml:space="preserve">SASHA HAIR COLORANT  </t>
  </si>
  <si>
    <t>K1450</t>
  </si>
  <si>
    <t xml:space="preserve">SASHA HAIR VITAMIN  </t>
  </si>
  <si>
    <t>K1460</t>
  </si>
  <si>
    <t xml:space="preserve">SLEEK FOAMY H W  </t>
  </si>
  <si>
    <t>K1490</t>
  </si>
  <si>
    <t xml:space="preserve">SLEEK BABY BN CLEANSER </t>
  </si>
  <si>
    <t>K1502</t>
  </si>
  <si>
    <t xml:space="preserve">SLEEK BABY DIAPER CREAM </t>
  </si>
  <si>
    <t>K1503</t>
  </si>
  <si>
    <t xml:space="preserve">SLEEK BABY GIFT </t>
  </si>
  <si>
    <t>K1504</t>
  </si>
  <si>
    <t xml:space="preserve">SLEEK BABY HAIR&amp;BODY </t>
  </si>
  <si>
    <t>K1505</t>
  </si>
  <si>
    <t xml:space="preserve">SLEEK BABY LAUNDRY DETERGENT </t>
  </si>
  <si>
    <t>K1506</t>
  </si>
  <si>
    <t xml:space="preserve">SLEEK BABY SPECIAL </t>
  </si>
  <si>
    <t>K1500</t>
  </si>
  <si>
    <t xml:space="preserve">SLEEK BABY BABY TELON OIL  </t>
  </si>
  <si>
    <t>K1501</t>
  </si>
  <si>
    <t xml:space="preserve">RESIK V SKW  </t>
  </si>
  <si>
    <t>K1400</t>
  </si>
  <si>
    <t xml:space="preserve">SAMANTHA CREAMBATH  </t>
  </si>
  <si>
    <t>K1410</t>
  </si>
  <si>
    <t xml:space="preserve">SAMANTHA HC  </t>
  </si>
  <si>
    <t>K1420</t>
  </si>
  <si>
    <t xml:space="preserve">RESIK V PKW SPA </t>
  </si>
  <si>
    <t>K1381</t>
  </si>
  <si>
    <t xml:space="preserve">RESIK V RAMUAN MADURA  </t>
  </si>
  <si>
    <t>K1390</t>
  </si>
  <si>
    <t xml:space="preserve">SAMANTHA POP SPLASH </t>
  </si>
  <si>
    <t>K1435</t>
  </si>
  <si>
    <t xml:space="preserve">SAMANTHA POP SPRAY </t>
  </si>
  <si>
    <t>K1436</t>
  </si>
  <si>
    <t xml:space="preserve">SAMANTHA POP SHAMPO </t>
  </si>
  <si>
    <t>K1437</t>
  </si>
  <si>
    <t xml:space="preserve">SASHA CREAMBATH  </t>
  </si>
  <si>
    <t>K1440</t>
  </si>
  <si>
    <t xml:space="preserve">SAMANTHA POP S.GEL </t>
  </si>
  <si>
    <t>K1434</t>
  </si>
  <si>
    <t xml:space="preserve">SAMANTHA POP B.SCRUB </t>
  </si>
  <si>
    <t>K1431</t>
  </si>
  <si>
    <t xml:space="preserve">SAMANTHA POP C.GEL </t>
  </si>
  <si>
    <t>K1432</t>
  </si>
  <si>
    <t xml:space="preserve">SAMANTHA POP HBL </t>
  </si>
  <si>
    <t>K1433</t>
  </si>
  <si>
    <t xml:space="preserve">SAMANTHA POP HAIR MIST </t>
  </si>
  <si>
    <t xml:space="preserve">CLICK T.PASTE </t>
  </si>
  <si>
    <t>K1051</t>
  </si>
  <si>
    <t xml:space="preserve">ELLIPS CONDITIONER  </t>
  </si>
  <si>
    <t>K1060</t>
  </si>
  <si>
    <t xml:space="preserve">ELLIPS DRY SHAMPOO  </t>
  </si>
  <si>
    <t>K1070</t>
  </si>
  <si>
    <t xml:space="preserve">ELLIPS H.MASK KERATIN </t>
  </si>
  <si>
    <t>K1081</t>
  </si>
  <si>
    <t xml:space="preserve">B&amp;B SPRAY COLOGNE </t>
  </si>
  <si>
    <t>K1047</t>
  </si>
  <si>
    <t xml:space="preserve">B&amp;B TOOTH PASTE </t>
  </si>
  <si>
    <t>K1048</t>
  </si>
  <si>
    <t xml:space="preserve">B&amp;B T.PASTE&amp;T.BRUSH </t>
  </si>
  <si>
    <t>K1049</t>
  </si>
  <si>
    <t xml:space="preserve">ELLIPS H.VIT  </t>
  </si>
  <si>
    <t>K1100</t>
  </si>
  <si>
    <t xml:space="preserve">ELLIPS H.VIT BALI </t>
  </si>
  <si>
    <t>K1101</t>
  </si>
  <si>
    <t xml:space="preserve">ELLIPS H.VIT KERATIN </t>
  </si>
  <si>
    <t>K1102</t>
  </si>
  <si>
    <t xml:space="preserve">ESKULIN COLOGNE GEL </t>
  </si>
  <si>
    <t>K1111</t>
  </si>
  <si>
    <t xml:space="preserve">ELLIPS H.MASK MOROCCAN </t>
  </si>
  <si>
    <t>K1082</t>
  </si>
  <si>
    <t xml:space="preserve">ELLIPS HAIR MIST  </t>
  </si>
  <si>
    <t>K1090</t>
  </si>
  <si>
    <t xml:space="preserve">ABSTRACT EYELASH  </t>
  </si>
  <si>
    <t>K1030</t>
  </si>
  <si>
    <t xml:space="preserve">ABSOLUTE HYPO  </t>
  </si>
  <si>
    <t>K1020</t>
  </si>
  <si>
    <t xml:space="preserve">ABSOLUTE HYPO FOAMY </t>
  </si>
  <si>
    <t>K1021</t>
  </si>
  <si>
    <t xml:space="preserve">B&amp;B HAIR BODY WASH </t>
  </si>
  <si>
    <t>K1041</t>
  </si>
  <si>
    <t xml:space="preserve">B&amp;B SHAMPOO </t>
  </si>
  <si>
    <t>K1046</t>
  </si>
  <si>
    <t xml:space="preserve">B&amp;B HAIR LOTION </t>
  </si>
  <si>
    <t>K1042</t>
  </si>
  <si>
    <t xml:space="preserve">B&amp;B HAIR VITAMIN </t>
  </si>
  <si>
    <t>K1043</t>
  </si>
  <si>
    <t xml:space="preserve">B&amp;B LIQUID SOAP </t>
  </si>
  <si>
    <t>K1044</t>
  </si>
  <si>
    <t xml:space="preserve">B&amp;B POWDER </t>
  </si>
  <si>
    <t>K1045</t>
  </si>
  <si>
    <t xml:space="preserve">ESKULIN KIDS SHAMPOO </t>
  </si>
  <si>
    <t>K1155</t>
  </si>
  <si>
    <t xml:space="preserve">ESKULIN KIDS SHOWER GEL </t>
  </si>
  <si>
    <t>K1156</t>
  </si>
  <si>
    <t xml:space="preserve">ESKULIN KIDS SPLASH </t>
  </si>
  <si>
    <t>K1157</t>
  </si>
  <si>
    <t xml:space="preserve">ESKULIN KIDS SPRAY </t>
  </si>
  <si>
    <t>K1158</t>
  </si>
  <si>
    <t xml:space="preserve">ESKULIN KIDS H. B.WASH </t>
  </si>
  <si>
    <t>K1161</t>
  </si>
  <si>
    <t xml:space="preserve">ESKULIN KIDS H. LOT </t>
  </si>
  <si>
    <t>K1162</t>
  </si>
  <si>
    <t xml:space="preserve">ESKULIN KIDS H. VIT. </t>
  </si>
  <si>
    <t>K1163</t>
  </si>
  <si>
    <t xml:space="preserve">EVERGREEN AD SET  </t>
  </si>
  <si>
    <t>K1170</t>
  </si>
  <si>
    <t xml:space="preserve">ESKULIN SPLASH </t>
  </si>
  <si>
    <t>K1113</t>
  </si>
  <si>
    <t xml:space="preserve">ESKULIN SPRAY </t>
  </si>
  <si>
    <t>K1114</t>
  </si>
  <si>
    <t xml:space="preserve">ESKULIN HIJAB B.MIST </t>
  </si>
  <si>
    <t>K1121</t>
  </si>
  <si>
    <t xml:space="preserve">ESKULIN EDP </t>
  </si>
  <si>
    <t>K1112</t>
  </si>
  <si>
    <t xml:space="preserve">ESKULIN HIJAB C.GEL </t>
  </si>
  <si>
    <t>K1122</t>
  </si>
  <si>
    <t xml:space="preserve">ESKULIN KIDS H.SANITIZER </t>
  </si>
  <si>
    <t>K1153</t>
  </si>
  <si>
    <t xml:space="preserve">ESKULIN KIDS POWDER </t>
  </si>
  <si>
    <t>K1154</t>
  </si>
  <si>
    <t xml:space="preserve">ESKULIN JAPAN SPRAY </t>
  </si>
  <si>
    <t>K1131</t>
  </si>
  <si>
    <t xml:space="preserve">SLEEK TRAVEL WASH  </t>
  </si>
  <si>
    <t xml:space="preserve">ESKULIN KOREAN SPRAY </t>
  </si>
  <si>
    <t>K1141</t>
  </si>
  <si>
    <t xml:space="preserve">ESKULIN KIDS COLOGNE GEL </t>
  </si>
  <si>
    <t>K1151</t>
  </si>
  <si>
    <t xml:space="preserve">ESKULIN KIDS F.BODY WASH </t>
  </si>
  <si>
    <t>K1152</t>
  </si>
  <si>
    <t>K1041002020020</t>
  </si>
  <si>
    <t>K1044002025020</t>
  </si>
  <si>
    <t>K1046001010020</t>
  </si>
  <si>
    <t>K1046001020020</t>
  </si>
  <si>
    <t>K1046002010020</t>
  </si>
  <si>
    <t>K1046002020020</t>
  </si>
  <si>
    <t>K1046003010020</t>
  </si>
  <si>
    <t>K1046003020020</t>
  </si>
  <si>
    <t>K1046004020020</t>
  </si>
  <si>
    <t>K1046007020020</t>
  </si>
  <si>
    <t>K1046008020020</t>
  </si>
  <si>
    <t>K1046009020020</t>
  </si>
  <si>
    <t>K1048002005020</t>
  </si>
  <si>
    <t>K1048003005020</t>
  </si>
  <si>
    <t>K1048004005020</t>
  </si>
  <si>
    <t>K1048005005020</t>
  </si>
  <si>
    <t>K1048006005020</t>
  </si>
  <si>
    <t>K1048007005020</t>
  </si>
  <si>
    <t>K1155001020020</t>
  </si>
  <si>
    <t>K1155002010020</t>
  </si>
  <si>
    <t>K1155002050020</t>
  </si>
  <si>
    <t>K1155003010020</t>
  </si>
  <si>
    <t>K1155003020020</t>
  </si>
  <si>
    <t>K1155004050020</t>
  </si>
  <si>
    <t>K1155005010020</t>
  </si>
  <si>
    <t>K1155005020020</t>
  </si>
  <si>
    <t>K1155005050020</t>
  </si>
  <si>
    <t>K1155006004520</t>
  </si>
  <si>
    <t>K1155006010020</t>
  </si>
  <si>
    <t>K1155006020020</t>
  </si>
  <si>
    <t>K1155007020020</t>
  </si>
  <si>
    <t>K1155008001040</t>
  </si>
  <si>
    <t>K1155009001040</t>
  </si>
  <si>
    <t>K1155009004520</t>
  </si>
  <si>
    <t>K1155009010020</t>
  </si>
  <si>
    <t>K1155009020020</t>
  </si>
  <si>
    <t>K1155009050020</t>
  </si>
  <si>
    <t>K1155010001040</t>
  </si>
  <si>
    <t>K1155010004520</t>
  </si>
  <si>
    <t>K1155010010020</t>
  </si>
  <si>
    <t>K1155010020020</t>
  </si>
  <si>
    <t>K1155010050020</t>
  </si>
  <si>
    <t>K1155011020020</t>
  </si>
  <si>
    <t>K1155012010020</t>
  </si>
  <si>
    <t>K1155012020020</t>
  </si>
  <si>
    <t>K1155013020020</t>
  </si>
  <si>
    <t>K1155014010020</t>
  </si>
  <si>
    <t>K1155014020020</t>
  </si>
  <si>
    <t>K1161001000130</t>
  </si>
  <si>
    <t>K1161002020020</t>
  </si>
  <si>
    <t>K1161002025010</t>
  </si>
  <si>
    <t>K1162001010010</t>
  </si>
  <si>
    <t>K1270005005020</t>
  </si>
  <si>
    <t>K1300001007520</t>
  </si>
  <si>
    <t>K1300003007520</t>
  </si>
  <si>
    <t>K1510001010010</t>
  </si>
  <si>
    <t>K1070001020010</t>
  </si>
  <si>
    <t>K1156008025010</t>
  </si>
  <si>
    <t>K1156009025010</t>
  </si>
  <si>
    <t>K1156010025010</t>
  </si>
  <si>
    <t>KNF B&amp;B SHAMPOO BARBIE 10ML X 24 AMP</t>
  </si>
  <si>
    <t>KNF B&amp;B SHAMPOO PINKIE PIE 10ML X 24 AMP</t>
  </si>
  <si>
    <t>KNF B&amp;B SHAMPOO JUSTICE LEAGUE 10ML X 24 AMP</t>
  </si>
  <si>
    <t>KNF ELLIPS DRY SHAMPOO BLOSSOM 200ML X 12 BTL</t>
  </si>
  <si>
    <t>KNF ESKULIN KIDS SHAMPOO MINNIE 10ML X 24 AMP</t>
  </si>
  <si>
    <t>KNF ESKULIN KIDS SHOWER GEL CINDERELA 250ML X 36 BTL</t>
  </si>
  <si>
    <t>KNF ESKULIN KIDS SHOWER GEL S.WHITE 250ML X 36 BTL</t>
  </si>
  <si>
    <t>KNF ESKULIN KIDS SHOWER GEL F.FRESH 250ML X 36 BTL</t>
  </si>
  <si>
    <t>KNF SASHA HAIR VITAMIN BLACK SHINE 1ML X 72 BLR</t>
  </si>
  <si>
    <t>KNF SASHA HAIR VITAMIN DAMAGE CARE 1ML X 48 MINIBLR</t>
  </si>
  <si>
    <t>KNF SASHA HAIR VITAMIN SILKY SHINE 1ML X 72 BLR</t>
  </si>
  <si>
    <t>KNF SASHA HAIR VITAMIN SILKY SHINE 1ML X 48 MINIBLR</t>
  </si>
  <si>
    <t>K1510</t>
  </si>
  <si>
    <t>K1070002020010</t>
  </si>
  <si>
    <t>KNF ELLIPS DRY SHAMPOO BREEZE 200ML X 12 BTL</t>
  </si>
  <si>
    <t>FG11255.261.0030.O</t>
  </si>
  <si>
    <t>FG11255.009.0030.O</t>
  </si>
  <si>
    <t>BAG</t>
  </si>
  <si>
    <t>FG11247.467.0100.A</t>
  </si>
  <si>
    <t>K1460003000140</t>
  </si>
  <si>
    <t>FG11247.900.0100.A</t>
  </si>
  <si>
    <t>FG10952.883.0075.P</t>
  </si>
  <si>
    <t>FG10631.175.2002.C</t>
  </si>
  <si>
    <t>K1270003007520</t>
  </si>
  <si>
    <t>K1460002000140</t>
  </si>
  <si>
    <t>KNF OVALE CLAY MASK HEALTHY GLOW 75GR X 24 TUBE</t>
  </si>
  <si>
    <t>KNF SASHA HAIR VITAMIN COLOR GLOW 1ML X 12 BAG</t>
  </si>
  <si>
    <t>KNF SASHA HAIR VITAMIN DAMAGE CARE 1ML X 12 BAG</t>
  </si>
  <si>
    <t>S-KNF</t>
  </si>
  <si>
    <t>43KNF</t>
  </si>
  <si>
    <t>SPV6</t>
  </si>
  <si>
    <t>(blank)</t>
  </si>
  <si>
    <t>K1155002020020</t>
  </si>
  <si>
    <t>K1438001050010</t>
  </si>
  <si>
    <t>K1438002050010</t>
  </si>
  <si>
    <t>K1438003050010</t>
  </si>
  <si>
    <t>KNF ELLIPS H.VIT KERATIN SMOOTH&amp;SILKY 1ML X 72 BLR</t>
  </si>
  <si>
    <t>KNF ELLIPS H.VIT KERATIN SMOOTH&amp;SILKY 1ML X 12 JAR</t>
  </si>
  <si>
    <t>KNF ELLIPS H.VIT KERATIN SILKY BLACK 1ML X 72 BLR</t>
  </si>
  <si>
    <t>KNF ELLIPS H.VIT KERATIN SILKY BLACK 1ML X 12 JAR</t>
  </si>
  <si>
    <t>KNF ESKULIN KIDS SHAMPOO ARIEL 200ML X 36 BTL</t>
  </si>
  <si>
    <t>K1438</t>
  </si>
  <si>
    <t>CUSSONS</t>
  </si>
  <si>
    <t>Nama Jenis Kemasan</t>
  </si>
  <si>
    <t>Nama Golongan</t>
  </si>
  <si>
    <t>kode  1 Digit
(Nomor)</t>
  </si>
  <si>
    <t>KET. GOLONGAN</t>
  </si>
  <si>
    <t>GRAM</t>
  </si>
  <si>
    <t>150ML</t>
  </si>
  <si>
    <t>S-CSN</t>
  </si>
  <si>
    <t>12CSN</t>
  </si>
  <si>
    <t>0108</t>
  </si>
  <si>
    <t>Lama</t>
  </si>
  <si>
    <t>ISI</t>
  </si>
  <si>
    <t>FG11246.641.0655.P</t>
  </si>
  <si>
    <t>FG11304.177.0150.C</t>
  </si>
  <si>
    <t>02</t>
  </si>
  <si>
    <t>03</t>
  </si>
  <si>
    <t>04</t>
  </si>
  <si>
    <t>05</t>
  </si>
  <si>
    <t>06</t>
  </si>
  <si>
    <t>07</t>
  </si>
  <si>
    <t>08</t>
  </si>
  <si>
    <t>09</t>
  </si>
  <si>
    <t>00</t>
  </si>
  <si>
    <t>0060</t>
  </si>
  <si>
    <t>0150</t>
  </si>
  <si>
    <t>0000</t>
  </si>
  <si>
    <t>0250</t>
  </si>
  <si>
    <t>0280</t>
  </si>
  <si>
    <t>0200</t>
  </si>
  <si>
    <t>0100</t>
  </si>
  <si>
    <t>0010</t>
  </si>
  <si>
    <t>0125</t>
  </si>
  <si>
    <t>0050</t>
  </si>
  <si>
    <t>0045</t>
  </si>
  <si>
    <t>0110</t>
  </si>
  <si>
    <t>0018</t>
  </si>
  <si>
    <t>0012</t>
  </si>
  <si>
    <t>0020</t>
  </si>
  <si>
    <t>0001</t>
  </si>
  <si>
    <t>0008</t>
  </si>
  <si>
    <t>0034</t>
  </si>
  <si>
    <t>0030</t>
  </si>
  <si>
    <t>0070</t>
  </si>
  <si>
    <t>0065</t>
  </si>
  <si>
    <t>0105</t>
  </si>
  <si>
    <t>0500</t>
  </si>
  <si>
    <t>0009</t>
  </si>
  <si>
    <t>0075</t>
  </si>
  <si>
    <t>0175</t>
  </si>
  <si>
    <t>0015</t>
  </si>
  <si>
    <t>0003</t>
  </si>
  <si>
    <t>0090</t>
  </si>
  <si>
    <t>0025</t>
  </si>
  <si>
    <t>0180</t>
  </si>
  <si>
    <t>0450</t>
  </si>
  <si>
    <t>0900</t>
  </si>
  <si>
    <t>0080</t>
  </si>
  <si>
    <t>0300</t>
  </si>
  <si>
    <t>0320</t>
  </si>
  <si>
    <t>0400</t>
  </si>
  <si>
    <t>ABSOLUTE</t>
  </si>
  <si>
    <t>CHAMOMILE</t>
  </si>
  <si>
    <t>ETERNITY</t>
  </si>
  <si>
    <t>INTIMACY</t>
  </si>
  <si>
    <t>FOAMY</t>
  </si>
  <si>
    <t>YREVITALIZE</t>
  </si>
  <si>
    <t>B&amp;B</t>
  </si>
  <si>
    <t>RIKO</t>
  </si>
  <si>
    <t>ABSOLUTE HYPO</t>
  </si>
  <si>
    <t>NATURALLY SOOTHING</t>
  </si>
  <si>
    <t>YOUTH REVITALIZE</t>
  </si>
  <si>
    <t>ABSTRACT EYELASH</t>
  </si>
  <si>
    <t>F01 VIBRANT</t>
  </si>
  <si>
    <t>F02 EXOTIC</t>
  </si>
  <si>
    <t>F03 PREPPY</t>
  </si>
  <si>
    <t>F04 ELEGANT</t>
  </si>
  <si>
    <t>F05 BOHEMIAN</t>
  </si>
  <si>
    <t>F07 EDGY</t>
  </si>
  <si>
    <t>N01 ZINNIA</t>
  </si>
  <si>
    <t>N02 FENNEL</t>
  </si>
  <si>
    <t>N03 ANEMONE</t>
  </si>
  <si>
    <t>N04 IRIS</t>
  </si>
  <si>
    <t>N05 ASTER</t>
  </si>
  <si>
    <t>N06 SNOWDROP</t>
  </si>
  <si>
    <t>N07 AZALEA</t>
  </si>
  <si>
    <t>N08 CALLA</t>
  </si>
  <si>
    <t>N09 MALVA</t>
  </si>
  <si>
    <t>N10 FREESIA</t>
  </si>
  <si>
    <t>U02 PEONY</t>
  </si>
  <si>
    <t>U03 DAISY</t>
  </si>
  <si>
    <t>HAIR BODY WASH</t>
  </si>
  <si>
    <t>SMOOTH PINKIE</t>
  </si>
  <si>
    <t>CLEAN RAINBOW</t>
  </si>
  <si>
    <t>NAMA PRINCIPLE</t>
  </si>
  <si>
    <t>KODE BARANG</t>
  </si>
  <si>
    <t>NAMA BARANG</t>
  </si>
  <si>
    <t>NAMA KELOMPOK</t>
  </si>
  <si>
    <t>PT. KINO INDONESIA, TBK</t>
  </si>
  <si>
    <t>SAMANTHA POP S.GEL</t>
  </si>
  <si>
    <t>K1507000075010</t>
  </si>
  <si>
    <t>D103056</t>
  </si>
  <si>
    <t>D103053</t>
  </si>
  <si>
    <t>D103033</t>
  </si>
  <si>
    <t>D103055</t>
  </si>
  <si>
    <t>D103040</t>
  </si>
  <si>
    <t>D103054</t>
  </si>
  <si>
    <t>D103025</t>
  </si>
  <si>
    <t>D103023</t>
  </si>
  <si>
    <t>D103024</t>
  </si>
  <si>
    <t>D103030</t>
  </si>
  <si>
    <t>D103031</t>
  </si>
  <si>
    <t>D103026</t>
  </si>
  <si>
    <t>D103049</t>
  </si>
  <si>
    <t>D103043</t>
  </si>
  <si>
    <t>D103042</t>
  </si>
  <si>
    <t>D106045</t>
  </si>
  <si>
    <t>D106046</t>
  </si>
  <si>
    <t>D106047</t>
  </si>
  <si>
    <t>D106048</t>
  </si>
  <si>
    <t>D106049</t>
  </si>
  <si>
    <t>D106050</t>
  </si>
  <si>
    <t>D106051</t>
  </si>
  <si>
    <t>D107116</t>
  </si>
  <si>
    <t>D107085</t>
  </si>
  <si>
    <t>D107084</t>
  </si>
  <si>
    <t>D107087</t>
  </si>
  <si>
    <t>D107086</t>
  </si>
  <si>
    <t>D107095</t>
  </si>
  <si>
    <t>D107097</t>
  </si>
  <si>
    <t>D107100</t>
  </si>
  <si>
    <t>D107109</t>
  </si>
  <si>
    <t>D107111</t>
  </si>
  <si>
    <t>D107112</t>
  </si>
  <si>
    <t>D107115</t>
  </si>
  <si>
    <t>D107114</t>
  </si>
  <si>
    <t>D107007</t>
  </si>
  <si>
    <t>D107120</t>
  </si>
  <si>
    <t>D107036</t>
  </si>
  <si>
    <t>D107008</t>
  </si>
  <si>
    <t>D107011</t>
  </si>
  <si>
    <t>D107016</t>
  </si>
  <si>
    <t>D107025</t>
  </si>
  <si>
    <t>D107026</t>
  </si>
  <si>
    <t>D107030</t>
  </si>
  <si>
    <t>D107033</t>
  </si>
  <si>
    <t>D107034</t>
  </si>
  <si>
    <t>D107035</t>
  </si>
  <si>
    <t>D107037</t>
  </si>
  <si>
    <t>D107038</t>
  </si>
  <si>
    <t>D107080</t>
  </si>
  <si>
    <t>D107081</t>
  </si>
  <si>
    <t>D107082</t>
  </si>
  <si>
    <t>D107083</t>
  </si>
  <si>
    <t>D107053</t>
  </si>
  <si>
    <t>D107107</t>
  </si>
  <si>
    <t>D201002</t>
  </si>
  <si>
    <t>D201004</t>
  </si>
  <si>
    <t>D201007</t>
  </si>
  <si>
    <t>D201009</t>
  </si>
  <si>
    <t>D201005</t>
  </si>
  <si>
    <t>D201010</t>
  </si>
  <si>
    <t>D201011</t>
  </si>
  <si>
    <t>D201001</t>
  </si>
  <si>
    <t>D201003</t>
  </si>
  <si>
    <t>D201006</t>
  </si>
  <si>
    <t>D201008</t>
  </si>
  <si>
    <t>D201014</t>
  </si>
  <si>
    <t>D201017</t>
  </si>
  <si>
    <t>D201020</t>
  </si>
  <si>
    <t>D201012</t>
  </si>
  <si>
    <t>D201013</t>
  </si>
  <si>
    <t>D201015</t>
  </si>
  <si>
    <t>D201016</t>
  </si>
  <si>
    <t>D201018</t>
  </si>
  <si>
    <t>D201019</t>
  </si>
  <si>
    <t>D109026</t>
  </si>
  <si>
    <t>D109030</t>
  </si>
  <si>
    <t>D115033</t>
  </si>
  <si>
    <t>D115034</t>
  </si>
  <si>
    <t>D115035</t>
  </si>
  <si>
    <t>D115036</t>
  </si>
  <si>
    <t>D115031</t>
  </si>
  <si>
    <t>D115032</t>
  </si>
  <si>
    <t>D203021</t>
  </si>
  <si>
    <t>D203022</t>
  </si>
  <si>
    <t>D204022</t>
  </si>
  <si>
    <t>D204012</t>
  </si>
  <si>
    <t>D204017</t>
  </si>
  <si>
    <t>D204020</t>
  </si>
  <si>
    <t>D204013</t>
  </si>
  <si>
    <t>K1450013002510</t>
  </si>
  <si>
    <t>K1450014002510</t>
  </si>
  <si>
    <t>K1450015002510</t>
  </si>
  <si>
    <t>K1450016002510</t>
  </si>
  <si>
    <t>K1164001004510</t>
  </si>
  <si>
    <t>FG10686.304.0100.C</t>
  </si>
  <si>
    <t>ESK KIDS HAIR LOT SPR PRIN 100ML BTL</t>
  </si>
  <si>
    <t>16</t>
  </si>
  <si>
    <t>1</t>
  </si>
  <si>
    <t>K1162102010010</t>
  </si>
  <si>
    <t>K1044002025010</t>
  </si>
  <si>
    <t>K1046001020010</t>
  </si>
  <si>
    <t>K1155009001020</t>
  </si>
  <si>
    <t>K1155010001020</t>
  </si>
  <si>
    <t>K1041002028020</t>
  </si>
  <si>
    <t>K1045001015020</t>
  </si>
  <si>
    <t>K1046006001020</t>
  </si>
  <si>
    <t>K1046007001020</t>
  </si>
  <si>
    <t>K1047001006020</t>
  </si>
  <si>
    <t>K1047001012520</t>
  </si>
  <si>
    <t>K1047002012520</t>
  </si>
  <si>
    <t>K1047003006020</t>
  </si>
  <si>
    <t>K1049001005020</t>
  </si>
  <si>
    <t>K1049002004520</t>
  </si>
  <si>
    <t>K1051001010020</t>
  </si>
  <si>
    <t>K1051002010020</t>
  </si>
  <si>
    <t>K1051003010020</t>
  </si>
  <si>
    <t>K1051004010020</t>
  </si>
  <si>
    <t>K1070001005010</t>
  </si>
  <si>
    <t>K1070002005010</t>
  </si>
  <si>
    <t>K1070003005010</t>
  </si>
  <si>
    <t>K1070003020010</t>
  </si>
  <si>
    <t>K1070004005010</t>
  </si>
  <si>
    <t>K1081002001820</t>
  </si>
  <si>
    <t>K1081002012010</t>
  </si>
  <si>
    <t>K1081003001820</t>
  </si>
  <si>
    <t>K1082001001220</t>
  </si>
  <si>
    <t>K1082001002020</t>
  </si>
  <si>
    <t>K1082002002020</t>
  </si>
  <si>
    <t>K1082003002020</t>
  </si>
  <si>
    <t>K1100002000120</t>
  </si>
  <si>
    <t>K1100003004510</t>
  </si>
  <si>
    <t>K1100008000130</t>
  </si>
  <si>
    <t>K1100009000821</t>
  </si>
  <si>
    <t>K1100009003410</t>
  </si>
  <si>
    <t>K1101011000120</t>
  </si>
  <si>
    <t>K1101011003010</t>
  </si>
  <si>
    <t>K1101012000120</t>
  </si>
  <si>
    <t>K1101012003010</t>
  </si>
  <si>
    <t>K1131002011020</t>
  </si>
  <si>
    <t>K1131004011020</t>
  </si>
  <si>
    <t>K1153002005020</t>
  </si>
  <si>
    <t>K1153003005020</t>
  </si>
  <si>
    <t>K1153004005020</t>
  </si>
  <si>
    <t>K1153005001820</t>
  </si>
  <si>
    <t>K1154001015020</t>
  </si>
  <si>
    <t>K1154002015020</t>
  </si>
  <si>
    <t>K1154004015040</t>
  </si>
  <si>
    <t>K1156002025040</t>
  </si>
  <si>
    <t>K1156002025020</t>
  </si>
  <si>
    <t>K1156003025020</t>
  </si>
  <si>
    <t>K1156004025020</t>
  </si>
  <si>
    <t>K1156005025020</t>
  </si>
  <si>
    <t>K1156006025030</t>
  </si>
  <si>
    <t>K1156006025020</t>
  </si>
  <si>
    <t>K1156007025020</t>
  </si>
  <si>
    <t>K1157001006020</t>
  </si>
  <si>
    <t>K1157001012520</t>
  </si>
  <si>
    <t>K1157002006020</t>
  </si>
  <si>
    <t>K1157002012520</t>
  </si>
  <si>
    <t>K1180002003030</t>
  </si>
  <si>
    <t>K1180004003020</t>
  </si>
  <si>
    <t>K1180007003020</t>
  </si>
  <si>
    <t>K1210001100410</t>
  </si>
  <si>
    <t>K1220001100410</t>
  </si>
  <si>
    <t>K1241005007520</t>
  </si>
  <si>
    <t>K1241007007520</t>
  </si>
  <si>
    <t>K1300003001520</t>
  </si>
  <si>
    <t>K1302003001520</t>
  </si>
  <si>
    <t>K1310001000020</t>
  </si>
  <si>
    <t>K1320001003020</t>
  </si>
  <si>
    <t>K1330001006020</t>
  </si>
  <si>
    <t>K1432001010010</t>
  </si>
  <si>
    <t>K1432002010010</t>
  </si>
  <si>
    <t>K1436001010520</t>
  </si>
  <si>
    <t>K1436002010520</t>
  </si>
  <si>
    <t>K1470001015020</t>
  </si>
  <si>
    <t>K1470001015041</t>
  </si>
  <si>
    <t>K1470002006520</t>
  </si>
  <si>
    <t>K1470002006531</t>
  </si>
  <si>
    <t>K1470002015040</t>
  </si>
  <si>
    <t>K1470003006520</t>
  </si>
  <si>
    <t>K1470003006531</t>
  </si>
  <si>
    <t>K1480001040010</t>
  </si>
  <si>
    <t>K1480001100410</t>
  </si>
  <si>
    <t>K1480002040010</t>
  </si>
  <si>
    <t>K1480002100410</t>
  </si>
  <si>
    <t>K1480003040010</t>
  </si>
  <si>
    <t>K1490002032020</t>
  </si>
  <si>
    <t>K1501000003040</t>
  </si>
  <si>
    <t>K1501000007030</t>
  </si>
  <si>
    <t>K1502000007030</t>
  </si>
  <si>
    <t>K1502000007010</t>
  </si>
  <si>
    <t>K1502000015030</t>
  </si>
  <si>
    <t>K1502000015020</t>
  </si>
  <si>
    <t>K1502000045010</t>
  </si>
  <si>
    <t>K1502000045011</t>
  </si>
  <si>
    <t>K1502000090010</t>
  </si>
  <si>
    <t>K1502000090011</t>
  </si>
  <si>
    <t>K1503000008020</t>
  </si>
  <si>
    <t>K1505001025010</t>
  </si>
  <si>
    <t>K1505001030020</t>
  </si>
  <si>
    <t>K1506000002020</t>
  </si>
  <si>
    <t>K1506000045011</t>
  </si>
  <si>
    <t>K1506000050020</t>
  </si>
  <si>
    <t>K1506000100410</t>
  </si>
  <si>
    <t>K1506000120020</t>
  </si>
  <si>
    <t>K1041002020030</t>
  </si>
  <si>
    <t>K104600201000</t>
  </si>
  <si>
    <t>K104600202000</t>
  </si>
  <si>
    <t>K104600301000</t>
  </si>
  <si>
    <t>K104600302000</t>
  </si>
  <si>
    <t>K104600402000</t>
  </si>
  <si>
    <t>K104600702000</t>
  </si>
  <si>
    <t>K104600802000</t>
  </si>
  <si>
    <t>K104600902000</t>
  </si>
  <si>
    <t>K104800200500</t>
  </si>
  <si>
    <t>K104800300500</t>
  </si>
  <si>
    <t>K104800400500</t>
  </si>
  <si>
    <t>K104800500500</t>
  </si>
  <si>
    <t>K104800600500</t>
  </si>
  <si>
    <t>K104800700500</t>
  </si>
  <si>
    <t>K115500102000</t>
  </si>
  <si>
    <t>K115500201000</t>
  </si>
  <si>
    <t>K115500205000</t>
  </si>
  <si>
    <t>K115500301000</t>
  </si>
  <si>
    <t>K115500302000</t>
  </si>
  <si>
    <t>K115500405000</t>
  </si>
  <si>
    <t>K115500501000</t>
  </si>
  <si>
    <t>K115500502000</t>
  </si>
  <si>
    <t>K115500505000</t>
  </si>
  <si>
    <t>K115500600450</t>
  </si>
  <si>
    <t>K115500601000</t>
  </si>
  <si>
    <t>K115500602000</t>
  </si>
  <si>
    <t>K115500702000</t>
  </si>
  <si>
    <t>K115500800100</t>
  </si>
  <si>
    <t>K115500900100</t>
  </si>
  <si>
    <t>K115500900450</t>
  </si>
  <si>
    <t>K115500901000</t>
  </si>
  <si>
    <t>K115500902000</t>
  </si>
  <si>
    <t>K115500905000</t>
  </si>
  <si>
    <t>K115501000100</t>
  </si>
  <si>
    <t>K115501000450</t>
  </si>
  <si>
    <t>K115501001000</t>
  </si>
  <si>
    <t>K115501002000</t>
  </si>
  <si>
    <t>K115501005000</t>
  </si>
  <si>
    <t>K115501102000</t>
  </si>
  <si>
    <t>K115501201000</t>
  </si>
  <si>
    <t>K115501202000</t>
  </si>
  <si>
    <t>K115501302000</t>
  </si>
  <si>
    <t>K115501401000</t>
  </si>
  <si>
    <t>K115501402000</t>
  </si>
  <si>
    <t>K116100100010</t>
  </si>
  <si>
    <t>K116100202000</t>
  </si>
  <si>
    <t>K116100202500</t>
  </si>
  <si>
    <t>K116200101000</t>
  </si>
  <si>
    <t>K127000500500</t>
  </si>
  <si>
    <t>K130000100750</t>
  </si>
  <si>
    <t>K130000300750</t>
  </si>
  <si>
    <t>K151000101000</t>
  </si>
  <si>
    <t>K107000102000</t>
  </si>
  <si>
    <t>K115600802500</t>
  </si>
  <si>
    <t>K115600902500</t>
  </si>
  <si>
    <t>K115601002500</t>
  </si>
  <si>
    <t>K107000202000</t>
  </si>
  <si>
    <t>K146000300010</t>
  </si>
  <si>
    <t>K127000300750</t>
  </si>
  <si>
    <t>K146000200010</t>
  </si>
  <si>
    <t>K115500202000</t>
  </si>
  <si>
    <t>K143800105000</t>
  </si>
  <si>
    <t>K143800205000</t>
  </si>
  <si>
    <t>K143800305000</t>
  </si>
  <si>
    <t>KNF ABSOLUTE HYPO FOAMY N.SOOTHING 150ML X 36 BTL</t>
  </si>
  <si>
    <t>KNF ABSTRACT EYELASH F06 CASUAL X 100 BOX</t>
  </si>
  <si>
    <t>KNF ABSTRACT EYELASH P01 RADIANT X 100 BOX</t>
  </si>
  <si>
    <t>KNF ABSTRACT EYELASH P02 ELECTRI X 100 BOX</t>
  </si>
  <si>
    <t>KNF ABSTRACT EYELASH P03 RMNTC X 100 BOX</t>
  </si>
  <si>
    <t>KNF ABSTRACT EYELASH P04 SMOKY X 100 BOX</t>
  </si>
  <si>
    <t>KNF B&amp;B HAIR BODY WASH RIKO X 24</t>
  </si>
  <si>
    <t>KNF B&amp;B HAIR BODY WASH SMOOTH PINKIE X 24</t>
  </si>
  <si>
    <t>KNF B&amp;B HAIR BODY WASH CLEAN RAINBOW X 24</t>
  </si>
  <si>
    <t>KNF B&amp;B HAIR LOTION THICK&amp;SHINE X 24</t>
  </si>
  <si>
    <t>KNF B&amp;B X 24</t>
  </si>
  <si>
    <t>KNF B&amp;B X 36</t>
  </si>
  <si>
    <t>KNF B&amp;B X 120</t>
  </si>
  <si>
    <t>KNF B&amp;B X 48</t>
  </si>
  <si>
    <t>KNF B&amp;B X 12</t>
  </si>
  <si>
    <t>KNF B&amp;B X 72</t>
  </si>
  <si>
    <t>KNF X 72</t>
  </si>
  <si>
    <t>KNF X 36</t>
  </si>
  <si>
    <t>KNF X 144</t>
  </si>
  <si>
    <t>KNF X 18</t>
  </si>
  <si>
    <t>KNF X 12</t>
  </si>
  <si>
    <t>KNF X 48</t>
  </si>
  <si>
    <t>KNF X 24</t>
  </si>
  <si>
    <t>KNF X 20</t>
  </si>
  <si>
    <t>KNF X 120</t>
  </si>
  <si>
    <t>KNF X 4</t>
  </si>
  <si>
    <t>KNF X 60</t>
  </si>
  <si>
    <t>KNF X 288</t>
  </si>
  <si>
    <t>KNF X 0</t>
  </si>
  <si>
    <t>KNF X 6</t>
  </si>
  <si>
    <t>KNF X 96</t>
  </si>
  <si>
    <t>0 X 0</t>
  </si>
  <si>
    <t>KNF X 160</t>
  </si>
  <si>
    <t>ABS CHAMOMILE 60ML BTL-1501</t>
  </si>
  <si>
    <t>ABS CHAMOMILE 150ML BTL-1501</t>
  </si>
  <si>
    <t>ABS ETERNITY 60ML BTL -1501</t>
  </si>
  <si>
    <t>ABS ETERNITY 150ML BTL -1501</t>
  </si>
  <si>
    <t>ABS INTIMACY 60ML BTL -1501</t>
  </si>
  <si>
    <t>ABS INTIMACY 150ML BTL -1501</t>
  </si>
  <si>
    <t>ABS HYPO N. SOOTHING 60ML BTL -1604</t>
  </si>
  <si>
    <t>ABS HYPO N. SOOTHING 150ML BTL -1604</t>
  </si>
  <si>
    <t>ABS HYPO Y. REVITALIZE 60ML BTL -1604</t>
  </si>
  <si>
    <t>ABS HYPO Y. REVITALIZE 150ML BTL -1604</t>
  </si>
  <si>
    <t>ABS HYPO FOAMY N.SOOTHING 150ML BTL-1604</t>
  </si>
  <si>
    <t>ABSOLUTE HYPO FOAMY</t>
  </si>
  <si>
    <t>ABS HYPO FOAMY Y.REVITALIZED 150ML -1604</t>
  </si>
  <si>
    <t>ABSTRACT EYELASH F0I VIBRANT BOX -1712</t>
  </si>
  <si>
    <t>ABSTRACT EYELASH F02 EXOTIC BOX -1712</t>
  </si>
  <si>
    <t>ABSTRACT EYELASH F03 PREPPY BOX -1712</t>
  </si>
  <si>
    <t>ABSTRACT EYELASH F04 ELEGANT BOX -1712</t>
  </si>
  <si>
    <t>ABSTRACT EYELASH F05 BOHEMIAN BOX -1712</t>
  </si>
  <si>
    <t>ABSTRACT EYELASH F06 CASUAL BOX -1712</t>
  </si>
  <si>
    <t>ABSTRACT EYELASH F07 EDGY BOX -1712</t>
  </si>
  <si>
    <t>ABSTRACT EYELASH N01 ZINNIA BOX -1712</t>
  </si>
  <si>
    <t>ABSTRACT EYELASH N02 FENNEL BOX -1712</t>
  </si>
  <si>
    <t>ABSTRACT EYELASH N03 ANEMONE BOX -1712</t>
  </si>
  <si>
    <t>ABSTRACT EYELASH N04 IRIS BOX -1712</t>
  </si>
  <si>
    <t>ABSTRACT EYELASH N05 ASTER BOX -1712</t>
  </si>
  <si>
    <t>ABSTRACT EYELASH N06 SNOWDROP BOX -1712</t>
  </si>
  <si>
    <t>ABSTRACT EYELASH N07 AZALEA BOX -1712</t>
  </si>
  <si>
    <t>ABSTRACT EYELASH N08 CALLA BOX -1712</t>
  </si>
  <si>
    <t>ABSTRACT EYELASH N09 MALVA BOX -1712</t>
  </si>
  <si>
    <t>ABSTRACT EYELASH N10 FREESIA BOX -1712</t>
  </si>
  <si>
    <t>ABSTRACT EYELASH P0I RADIANT GLOW -1712</t>
  </si>
  <si>
    <t>ABSTRACT EYELASH P02 ELECTRIC FEEL-1712</t>
  </si>
  <si>
    <t>ABSTRACT EYELASH P03 RMNTC GLAM BOX-1906</t>
  </si>
  <si>
    <t>ABSTRACT EYELASH P04 SMOKY MOOD BOX-1906</t>
  </si>
  <si>
    <t>ABSTRACT EYELASH U02 PEONY BOX-1906</t>
  </si>
  <si>
    <t>ABSTRACT EYELASH U03 DAISY BOX-1906</t>
  </si>
  <si>
    <t>B&amp;B HBW RIKO 250ML BTL</t>
  </si>
  <si>
    <t>0</t>
  </si>
  <si>
    <t>B&amp;B HAIR BODY WASH</t>
  </si>
  <si>
    <t>B&amp;B HBW SMOOTH PINKIE 280ML BTL-1907</t>
  </si>
  <si>
    <t>B&amp;B HBW CLEAN RAINBOW 280ML BTL-1907</t>
  </si>
  <si>
    <t>B&amp;B HAIR LOTION THICK&amp;SHINE 100ML -1601</t>
  </si>
  <si>
    <t>B&amp;B HAIR LOTION</t>
  </si>
  <si>
    <t>B&amp;B HAIR VIT NATURAL SILKY 100ML -1601</t>
  </si>
  <si>
    <t>D B&amp;B LIQ SOAP PARTY BARBIE 250ML BTL-1909</t>
  </si>
  <si>
    <t>B&amp;B PWD BLOSSOM 60G BTL-1310</t>
  </si>
  <si>
    <t>B&amp;B PWD BLOSSOM 150G BTL -2</t>
  </si>
  <si>
    <t>B&amp;B PWD BUBBLES 60G BTL-1310</t>
  </si>
  <si>
    <t>B&amp;B PWD BUBBLES 150G BTL-1310</t>
  </si>
  <si>
    <t>B&amp;B PWD BUTTERCUP 60G BTL-1310</t>
  </si>
  <si>
    <t>B&amp;B PWD BUTTERCUP 150G BTL-1310</t>
  </si>
  <si>
    <t>B&amp;B PWD BARBIE 150G BTL -1509</t>
  </si>
  <si>
    <t>B&amp;B PWD MLP NATURAL MILD 150G BTL -1703</t>
  </si>
  <si>
    <t>B&amp;B SHM BARBIE 10ML SCH -1905</t>
  </si>
  <si>
    <t>B&amp;B SHM PINKIE PIE 10ML SCH -1905</t>
  </si>
  <si>
    <t>B&amp;B SHM JUSTICE LEAGUE 10ML SCH -1905</t>
  </si>
  <si>
    <t>B&amp;B SPR COL STRAWBERRY 60ML BTL-1310</t>
  </si>
  <si>
    <t>B&amp;B SPR COL STRAWBERRY 100ML BTL-1310</t>
  </si>
  <si>
    <t>B&amp;B SPR COL BLOSSOM 125ML BTL - 2106</t>
  </si>
  <si>
    <t>B&amp;B SPR COL TUTTI FRUITY 60ML BTL-1310</t>
  </si>
  <si>
    <t>B&amp;B SPR COL TUTTI FRUITY 100ML BTL-1310</t>
  </si>
  <si>
    <t>B&amp;B SPR COL KIWI MELON 60ML BTL-1310</t>
  </si>
  <si>
    <t>B&amp;B SPR COL BUTTERCUP 60ML BTL - 2107</t>
  </si>
  <si>
    <t>B&amp;B SPR COL KIWI MELON 100ML BTL-1310</t>
  </si>
  <si>
    <t>B&amp;B SPR COL RASBERRY 60ML BTL-1310</t>
  </si>
  <si>
    <t>B&amp;B SPR COL RASBERRY 100ML BTL-1310</t>
  </si>
  <si>
    <t>B&amp;B SPR COL RIKO 100ML BTL</t>
  </si>
  <si>
    <t>B&amp;B SPR COL JUSTICE LEAGUE 125ML BTL1902</t>
  </si>
  <si>
    <t>B&amp;B SPR COL SWEET PINKIE 125ML BTL-1907</t>
  </si>
  <si>
    <t>B&amp;B SPR COL FRESH RAINBOW 125ML BTL-1907</t>
  </si>
  <si>
    <t>B&amp;B SPR COL BARBIE FASHIONISTA 125 ML BT</t>
  </si>
  <si>
    <t>B&amp;B SPR COL TAZMANIAN 125ML BTL -1902</t>
  </si>
  <si>
    <t>B&amp;B SPR COL TWEETY 125ML BTL -1902</t>
  </si>
  <si>
    <t>B&amp;B T.PASTE RIKO 45G TUBE</t>
  </si>
  <si>
    <t>B&amp;B PACK TP &amp; T.BRUSH BARBIE 50G - 2101</t>
  </si>
  <si>
    <t>B&amp;B TP &amp; T.BRUSH RIKO 45G</t>
  </si>
  <si>
    <t>CLICK TP WHITE+FRESH BREATH 100G TB</t>
  </si>
  <si>
    <t>CLICK TP WHITE+CAVITY PROTEC 100G TB</t>
  </si>
  <si>
    <t>CLICK TP WHITE+SENSITIVE PROTEC 100G TB</t>
  </si>
  <si>
    <t>CLICK TP WHITE+ALL OUT PROTEC 100G TB</t>
  </si>
  <si>
    <t>CLICK TP WHITE+GUM HEALTH PROTEC 100G TB</t>
  </si>
  <si>
    <t>CLICK TP WHITE+ STRONG ENAMEL 100G TB</t>
  </si>
  <si>
    <t>CLICK TP WHITE+BACTERIAL FIGHTER 100G TB</t>
  </si>
  <si>
    <t>CLICK TP WHITE+ALL OUT CITRUS 100G TB</t>
  </si>
  <si>
    <t>ELLIPS CONDT MILKSHAKE 110ML BTL -1403</t>
  </si>
  <si>
    <t>ELLIPS DRY SHM BLOSSOM 50ML BTL -1705</t>
  </si>
  <si>
    <t>ELLIPS DRY SHM BLOSSOM 200ML BTL -1705</t>
  </si>
  <si>
    <t>ELLIPS DRY SHM BREEZE 50ML BTL -1705</t>
  </si>
  <si>
    <t>ELLIPS DRY SHM BREEZE 200ML BTL -1705</t>
  </si>
  <si>
    <t>ELLIPS DRY SHM EXOTIC 50ML BTL -1705</t>
  </si>
  <si>
    <t>ELLIPS DRY SHM EXOTIC 200ML BTL -1705</t>
  </si>
  <si>
    <t>ELLIPS DRY SHM FRUITY  50ML BTL -1705</t>
  </si>
  <si>
    <t>ELLIPS DRY SHM FRUITY  200ML BTL -ISI 12</t>
  </si>
  <si>
    <t>ELLIPS HM KERATIN HAIR REPAIR 18G SCH</t>
  </si>
  <si>
    <t>ELLIPS HM KERATIN HAIR REPAIR 120G TUBE</t>
  </si>
  <si>
    <t>ELLIPS HM KERATIN SILKY BLACK 18G SCH</t>
  </si>
  <si>
    <t>ELLIPS HM KERATIN SILKY BLACK 120G TUBE</t>
  </si>
  <si>
    <t>ELLIPS HM KERATIN SMOOTH&amp;SILKY 18G SCH</t>
  </si>
  <si>
    <t/>
  </si>
  <si>
    <t>ELLIPS HM KERATIN SMOOTH&amp;SILKY 120G TUBE</t>
  </si>
  <si>
    <t>ELLIPS HM MOR H.TREATMENT 12G SCH - HGR</t>
  </si>
  <si>
    <t>ELLIPS HAIR MASK HAIR TREATMENT 20 GR SC</t>
  </si>
  <si>
    <t>ELLIPS HM MOROCCAN H.TREATMENT 20G SCH</t>
  </si>
  <si>
    <t>ELLIPS HAIR MASK NUTRICOLOR 20 GR SCH</t>
  </si>
  <si>
    <t>ELLIPS HM MOROCCAN NUTRICOLOR 20G SCH</t>
  </si>
  <si>
    <t>ELLIPS HAIR MASK SMOOTH &amp; SHINY 20 GR SC</t>
  </si>
  <si>
    <t>ELLIPS HM MOROCCAN SMOOTH&amp;SHINY 20G SCH</t>
  </si>
  <si>
    <t>ELLIPS HAIR MASK VOLUME MIRACLE 20 GR SC</t>
  </si>
  <si>
    <t>ELLIPS HAIR MIST FRESH&amp;SMOOTH 100ML BTL</t>
  </si>
  <si>
    <t>ELLIPS HAIR MIST SWEET&amp;SILKY 100ML BTL</t>
  </si>
  <si>
    <t>ELLIPS HV HAIR TREATMENT 1ML BLR NEW-1</t>
  </si>
  <si>
    <t>ELLIPS VR HAIR TREATMENT 1 ML JAR NEW</t>
  </si>
  <si>
    <t>ELLIPS HV HAIR VITALITY 1ML BLR NEW -1</t>
  </si>
  <si>
    <t>ELLIPS VR HAIR VITALITY 1 ML JAR NEW</t>
  </si>
  <si>
    <t>ELLIPS 5IN1 HV MILKSHAKE 45ML BTL</t>
  </si>
  <si>
    <t>ELLIPS HV NUTRICOLOR 1ML BLR NEW - 1</t>
  </si>
  <si>
    <t>ELLIPS VR NUTRICOLOR 1 ML JAR NEW</t>
  </si>
  <si>
    <t>ELLIPS VR PRWTN R.HITAM 1ML MINIBLR-1908</t>
  </si>
  <si>
    <t>ELLIPS VR PRWTN R.RUSAK 1ML MINIBLR-1908</t>
  </si>
  <si>
    <t>ELLIPS HV SHINY BLACK 1ML BLR NEW -1</t>
  </si>
  <si>
    <t>ELLIPS VR SHINY BLACK 1 ML JAR NEW</t>
  </si>
  <si>
    <t>ELLIPS HV SMOOTH&amp;SHINY 1ML BLR NEW -1</t>
  </si>
  <si>
    <t>ELLIPS VR SMOOTH &amp; SHINY 1 ML JAR NEW</t>
  </si>
  <si>
    <t>ELLIPS VR UT PROMO 2+1 BOX</t>
  </si>
  <si>
    <t>ELLIPS VR UT 34 ML BTL</t>
  </si>
  <si>
    <t>ELLIPS VR BALI NOURISH&amp;PROTECT BLR-1602</t>
  </si>
  <si>
    <t>ELLIPS VR BALI NOURISH&amp;PROTECT 30ML-1602</t>
  </si>
  <si>
    <t>ELLIPS VR BALI NOURISH&amp;SOFTENING BLR1602</t>
  </si>
  <si>
    <t>ELLIPS VR BALI NOURISH&amp;SOFTEN 30ML-1602</t>
  </si>
  <si>
    <t>ELLIPS HV KERATIN H.REPAIR 1ML BLR -1</t>
  </si>
  <si>
    <t>ELLIPS VR KERATIN H.REPAIR 1ML JAR -1403</t>
  </si>
  <si>
    <t>ELLIPS HV KERATIN S&amp;SILKY 1ML BLR -1</t>
  </si>
  <si>
    <t>ELLIPS VR KERATIN S&amp;SILKY 1ML JAR -1403</t>
  </si>
  <si>
    <t>ELLIPS HV KERATIN S.BLACK 1ML BLR -1</t>
  </si>
  <si>
    <t>ELLIPS VR KERATIN S.BLACK 1ML JAR -1403</t>
  </si>
  <si>
    <t>ECG DAY DREAM 50 ML BTL RELAUNCH</t>
  </si>
  <si>
    <t>ECG DAY DREAM 100 ML BTL RELAUNCH</t>
  </si>
  <si>
    <t>ECG DAY MONDAY 50 ML BTL RELAUNCH</t>
  </si>
  <si>
    <t>ECG DAY MONDAY 100 ML BTL RELAUNCH</t>
  </si>
  <si>
    <t>ECG DAY TUESDAY 50 ML BTL RELAUNCH</t>
  </si>
  <si>
    <t>ECG DAY TUESDAY 100 ML BTL RELAUNCH</t>
  </si>
  <si>
    <t>ECG DAY WEDNESDAY 50 ML BTL RELAUNCH</t>
  </si>
  <si>
    <t>ECG DAY WEDNESDAY 100 ML BTL RELAUNCH</t>
  </si>
  <si>
    <t>ECG DAY THURSDAY 50 ML BTL RELAUNCH</t>
  </si>
  <si>
    <t>ECG DAY THURSDAY 100 ML BTL RELAUNCH</t>
  </si>
  <si>
    <t>ECG DAY FRIDAY 50 ML BTL RELAUNCH</t>
  </si>
  <si>
    <t>ECG DAY FRIDAY 100 ML BTL RELAUNCH</t>
  </si>
  <si>
    <t>ECG DAY SATURDAY 50 ML BTL RELAUNCH</t>
  </si>
  <si>
    <t>ECG DAY SATURDAY 100 ML BTL RELAUNCH</t>
  </si>
  <si>
    <t>ECG DAY SUNDAY 50 ML BTL RELAUNCH</t>
  </si>
  <si>
    <t>ECG DAY SUNDAY 100 ML BTL RELAUNCH</t>
  </si>
  <si>
    <t>ECG DAY ROMANTIC 50 ML BTL RELAUNCH</t>
  </si>
  <si>
    <t>ECG DAY ROMANTIC 100 ML BTL RELAUNCH</t>
  </si>
  <si>
    <t>ESK EDP BLUSHING 100ML BTL -1907</t>
  </si>
  <si>
    <t>ESK EDP ENCHANTING 100ML BTL -1907</t>
  </si>
  <si>
    <t>ESK SPL COL FIRST SIGHT 70 ML BTL</t>
  </si>
  <si>
    <t>ESK SPL COL FIRST SIGHT 125 ML BTL</t>
  </si>
  <si>
    <t>ESK SPL COL FIRST LOVE 70 ML BTL</t>
  </si>
  <si>
    <t>ESK SPL COL FIRST LOVE 125 ML BTL</t>
  </si>
  <si>
    <t>ESK SPL COL FIRST DATE 70 ML BTL</t>
  </si>
  <si>
    <t>ESK SPL COL FIRST DATE 125 ML BTL</t>
  </si>
  <si>
    <t>ESK SPL COL FIRST KISS 70 ML BTL</t>
  </si>
  <si>
    <t>ESK SPL COL FIRST KISS 125 ML BTL</t>
  </si>
  <si>
    <t>ESK SPR COL CHEER THE WORLD 65 ML BTL</t>
  </si>
  <si>
    <t>ESK SPR COL CHEER THE WORLD 105ML NEW</t>
  </si>
  <si>
    <t>ESK SPR COL GOOD NIGHT KISS 65 ML BTL</t>
  </si>
  <si>
    <t>ESK SPR COL GOOD NIGHT KISS 105ML NEW</t>
  </si>
  <si>
    <t>ESK SPR COL SHAKE YOUR BODY 65ML NEW</t>
  </si>
  <si>
    <t>ESK SPR COL SHAKE YOUR BODY 105ML NEW</t>
  </si>
  <si>
    <t>ESK SPR COL WAKE UP GIRL 65ML NEW</t>
  </si>
  <si>
    <t>ESK SPR COL WAKE UP GIRL 105ML NEW</t>
  </si>
  <si>
    <t>ESK BODY MIST PINK BLOSSOM 125 ML BTL</t>
  </si>
  <si>
    <t>ESK BODY MIST BLUE TEMPTATION 125 ML BTL</t>
  </si>
  <si>
    <t>ESK BODY MIST DAZZLING PURPLE 125 ML BTL</t>
  </si>
  <si>
    <t>ESK BODY MIST SPARKLING YELLOW 125 ML BT</t>
  </si>
  <si>
    <t>ESK BODY MIST GREEN FANTASY 125 ML BTL</t>
  </si>
  <si>
    <t>ESK HJB CG FRESH DAY 100ML BTL-1908</t>
  </si>
  <si>
    <t>ESK HJB CG PERFECT DAY 100ML BTL- 1908</t>
  </si>
  <si>
    <t>ESK SPR JAPAN LOVE SUNSHINE KISS 110ML</t>
  </si>
  <si>
    <t>ESK SPR JAPAN LOVE SPRING MELODY 110ML</t>
  </si>
  <si>
    <t>ESK SPR JAPAN LOVE CHEERFUL SWING 110ML</t>
  </si>
  <si>
    <t>ESK SPR JAPAN LOVE MIDNIGHT DREAM 110ML</t>
  </si>
  <si>
    <t>ESK KOREAN SPR COL SPRING SEOUL 110ML</t>
  </si>
  <si>
    <t>ESK KOREAN SPR COL AUTUMN BUSAN 110ML</t>
  </si>
  <si>
    <t>ESK KOREAN SPR COL WINTER JEJU 110ML</t>
  </si>
  <si>
    <t>ESK CG FAIRIES HAPPY THOUGHT 50 ML BTL</t>
  </si>
  <si>
    <t>ESK DISNEY FBW MICKEY 200 ML BTL</t>
  </si>
  <si>
    <t>ESK DISNEY FBW POOH 200 ML BTL</t>
  </si>
  <si>
    <t>ESK DISNEY FBW POOH 200 ML POUCH</t>
  </si>
  <si>
    <t>ESK DISNEY HS DONALD 50ML BTL -1810</t>
  </si>
  <si>
    <t>ESK DISNEY HS MICKEY 50ML BTL -1810</t>
  </si>
  <si>
    <t>ESK KIDS HS GEL MICKEY 50ML BTL ECG-2003</t>
  </si>
  <si>
    <t>ESK DISNEY HS POOH 50ML BTL -1810</t>
  </si>
  <si>
    <t>ESK DISNEY HS TIGGER 50ML BTL -1810</t>
  </si>
  <si>
    <t>ESK KIDS HS TSUMTSUM 18ML BTL -1810</t>
  </si>
  <si>
    <t>ESK KIDS HS TSUMTSUM 50ML BTL -2003</t>
  </si>
  <si>
    <t>ESK PRINCESS PWD CINDERELLA 150G -1511</t>
  </si>
  <si>
    <t>ESK DISNEY PWD MINNIE 150G BTL -1608</t>
  </si>
  <si>
    <t>ESK DISNEY PWD POOH 150G BTL -1608</t>
  </si>
  <si>
    <t>ESK PWD PURE &amp; MILD 150G BTL -1608</t>
  </si>
  <si>
    <t>ESK PRINCESS PWD S.WHITE 150G BTL -1511</t>
  </si>
  <si>
    <t>ESK DISNEY SHM FROZEN 10ML SCH PACK-1907</t>
  </si>
  <si>
    <t>ESK DISNEY SHM MICKEY 10ML SCH PACK-1907</t>
  </si>
  <si>
    <t>ESK KIDS SHM MICKEY 500ML PCH -1402</t>
  </si>
  <si>
    <t>ESK DISNEY SHM MINNIE 10ML SCH -1905</t>
  </si>
  <si>
    <t>ESK KIDS SHM MINNIE 500ML PCH -1402</t>
  </si>
  <si>
    <t>ESK DISNEY SHW GEL BLUE 250ML BTL -2</t>
  </si>
  <si>
    <t>ESK PRINCESS SHW GEL CINDERELLA 250ML BT</t>
  </si>
  <si>
    <t>ESK KIDS SHW GEL CINDERELLA 250MLBTL-2</t>
  </si>
  <si>
    <t>ESK DISNEY SHW GEL ORANGE 250ML BTL -2</t>
  </si>
  <si>
    <t>ESK PRINCESS SHW GEL S.WHITE 250ML BTL</t>
  </si>
  <si>
    <t>ESK DISNEY SHW GEL PINK 250ML BTL -2</t>
  </si>
  <si>
    <t>ESK PRINCESS SHW GEL RAPUNZEL 250ML BTL</t>
  </si>
  <si>
    <t>ESK KIDS SHW GEL RAPUNZEL 250ML BTL-2104</t>
  </si>
  <si>
    <t>ESK KIDS SHW GEL FLORAL CHEER 250ML BTL</t>
  </si>
  <si>
    <t>ESK KIDS SPL COL ANNA 60ML BTL -2020</t>
  </si>
  <si>
    <t>ESK KIDS SPL COL ANNA 125ML BTL -2020</t>
  </si>
  <si>
    <t>ESK KIDS SPL COL ARIEL 60ML BTL -2101</t>
  </si>
  <si>
    <t>ESK KIDS SPL COL ARIEL 125ML BTL -2101</t>
  </si>
  <si>
    <t>ESK KIDS SPL COL BELLE 60ML BTL -2101</t>
  </si>
  <si>
    <t>ESK KIDS SPL COL BELLE 125ML BTL -2101</t>
  </si>
  <si>
    <t>ESK KIDS SPL COL CINDERELLA 60ML BTL2101</t>
  </si>
  <si>
    <t>ESK KIDS SPL COL CINDERELLA 125MLBTL2101</t>
  </si>
  <si>
    <t>ESK KIDS SPL COL ELSA 60ML BTL -2020</t>
  </si>
  <si>
    <t>ESK KIDS SPL COL ELSA 125ML BTL -2020</t>
  </si>
  <si>
    <t>ESK KIDS SPL COL RAPUNZEL 60ML BTL -2101</t>
  </si>
  <si>
    <t xml:space="preserve">ESK KIDS SPL COL RAPUNZEL 125ML BTL </t>
  </si>
  <si>
    <t>ESK KIDS SPL COL S-WHITE 60ML BTL -2011</t>
  </si>
  <si>
    <t>ESK KIDS SPL COL S.WHITE 125ML BTL -2101</t>
  </si>
  <si>
    <t>ESK KIDS MIST COL ANNA 125ML BTL -2020</t>
  </si>
  <si>
    <t>ESK KIDS SPR COL ARIEL 125ML BTL -2102</t>
  </si>
  <si>
    <t>ESK SPR COL BEAUTY FRESH 125ML BTL -1607</t>
  </si>
  <si>
    <t>ESK KIDS SPR COL CINDERELLA 125MLBTL2102</t>
  </si>
  <si>
    <t>ESK KIDS SPR COL DONALD 60ML BTL -2011</t>
  </si>
  <si>
    <t>ESK KIDS SPR COL DONALD 100ML BTL -2011</t>
  </si>
  <si>
    <t>ESK KIDS MIST COL ELSA 125ML BTL -2020</t>
  </si>
  <si>
    <t>ESK KIDS SPR COL MICKEY 60ML BTL -2011</t>
  </si>
  <si>
    <t>ESK KIDS SPR COL MICKEY 100ML BTL -2011</t>
  </si>
  <si>
    <t>ESK KIDS SPR COL MINNIE 60ML BTL -2011</t>
  </si>
  <si>
    <t>ESK KIDS SPR COL MINNIE 100 ML BTL - 2011</t>
  </si>
  <si>
    <t>ESK KIDS SPR COL RAPUNZEL 125ML BTL-2102</t>
  </si>
  <si>
    <t>ESK KIDS SPR COL S.WHITE 125ML BTL -2102</t>
  </si>
  <si>
    <t>ESK KIDS SPR COL TSUMTSUM 9ML BTL -1810</t>
  </si>
  <si>
    <t>ESK HAIR BW CLEAN&amp;SMOOTH 280ML BTL-1609</t>
  </si>
  <si>
    <t>ESK HAIR BW NATURAL SMOOTH 280ML -1608</t>
  </si>
  <si>
    <t>ESK HAIR BW SOFT&amp;PROTECT 280ML BTL-1609</t>
  </si>
  <si>
    <t>ESK KIDS HV NOURISHING SMOOTH 100ML BTL</t>
  </si>
  <si>
    <t>EVERGREEN AD SET CH.BLOSSOM 30ML BT-1706</t>
  </si>
  <si>
    <t>EVERGREEN AD SET INS.NATURE 30ML BT-1706</t>
  </si>
  <si>
    <t>EVERGREEN AD SET REF.CITRUS 30ML BT-1706</t>
  </si>
  <si>
    <t>EVERGREEN AD SET SER.DREAM 30ML BT -1706</t>
  </si>
  <si>
    <t>EVERGREEN AD REFF CH.BLOSSOM 30ML BT1706</t>
  </si>
  <si>
    <t>EVERGREEN AD REFF INS.NATURE 30ML BT1706</t>
  </si>
  <si>
    <t>EVERGREEN AD REFF REF.CITRUS 30ML BT1706</t>
  </si>
  <si>
    <t>EVERGREEN AD REFF SER.DREAM 30ML BT-1706</t>
  </si>
  <si>
    <t>EVERGREEN AD REFF OC.BREEZE 30ML BT-1706</t>
  </si>
  <si>
    <t>EVERGREEN AD REFF S.SUNSHINE 30ML BT1706</t>
  </si>
  <si>
    <t>EVERGREEN AD REFF SW.ROMANCE 30ML BT1706</t>
  </si>
  <si>
    <t>EVERGREEN AS SET BALANCING 50ML BTL-1706</t>
  </si>
  <si>
    <t xml:space="preserve">EVERGREEN AS SET BALANCING 50ML +REF </t>
  </si>
  <si>
    <t>EVERGREEN AS SET ENERGIZING 50ML BT-1706</t>
  </si>
  <si>
    <t xml:space="preserve">EVERGREEN AS SET ENERGIZING 50ML +REF </t>
  </si>
  <si>
    <t>EVERGREEN AS SET RELIEVING 50ML BTL-1706</t>
  </si>
  <si>
    <t xml:space="preserve">EVERGREEN AS SET RELIEVING 50ML +REF </t>
  </si>
  <si>
    <t>EVERGREEN AS REFF BALANCING 50ML BT-1706</t>
  </si>
  <si>
    <t>EVERGREEN AS REFF ENERGIZING 50ML BT1706</t>
  </si>
  <si>
    <t>EVERGREEN AS REFF RELIEVING 50ML BT-1706</t>
  </si>
  <si>
    <t>INSTANCE HS GEL 50ML BTL -2003</t>
  </si>
  <si>
    <t>INSTANCE HS GEL 100ML BTL ECG-2003</t>
  </si>
  <si>
    <t>INSTANCE HS GEL 500ML BTL HW-2004</t>
  </si>
  <si>
    <t>INSTANCE HS GEL 4LTR GLN - NB</t>
  </si>
  <si>
    <t>INSTANCE HS SPR 18ML BTL -2004</t>
  </si>
  <si>
    <t>INSTANCE HS SPR 60ML BTL -2004</t>
  </si>
  <si>
    <t>INSTANCE HS SPR 100ML BTL -2003</t>
  </si>
  <si>
    <t>INSTANCE HS LIQ 4LTR GLN -2004</t>
  </si>
  <si>
    <t>INSTANCE ANTISEPTIC WIPES SCH -2011</t>
  </si>
  <si>
    <t>MASTER SPL COL COOL 75ML BTL - NEW</t>
  </si>
  <si>
    <t>MASTER SPL COL COOL 150ML BTL - NEW</t>
  </si>
  <si>
    <t>MASTER SPL COL DYNAMIC 75 ML BTL</t>
  </si>
  <si>
    <t>MASTER SPL COL DYNAMIC 150 ML BTL</t>
  </si>
  <si>
    <t>MASTER SPL COL FREEDOM 75ML BTL - NEW</t>
  </si>
  <si>
    <t>MASTER SPL COL FREEDOM 150ML BTL - NEW</t>
  </si>
  <si>
    <t>MASTER SPL COL PASSION 75ML BTL - NEW</t>
  </si>
  <si>
    <t>MASTER SPL COL PASSION 150ML BTL - NEW</t>
  </si>
  <si>
    <t>MASTER SPL COL POWER 75ML BTL - NEW</t>
  </si>
  <si>
    <t>MASTER SPL COL POWER 150ML BTL - NEW</t>
  </si>
  <si>
    <t>MASTER SPL COL SPIRIT 75ML BTL - NEW</t>
  </si>
  <si>
    <t>MASTER SPL COL SPIRIT 150ML BTL - NEW</t>
  </si>
  <si>
    <t>MASTER SPL COL SPORTY 75ML BTL - NEW</t>
  </si>
  <si>
    <t>MASTER SPL COL SPORTY 150ML BTL - NEW</t>
  </si>
  <si>
    <t>MASTER SPR COL AQUA BLUE 50 ML BTL NEW</t>
  </si>
  <si>
    <t>MASTER SPR COL AQUA BLUE 100 ML BTL-NEW</t>
  </si>
  <si>
    <t>MASTER SPR COL BLACK MUSK 50ML BTL-NEW</t>
  </si>
  <si>
    <t>MASTER SPR COL BLACK MUSK 100 ML BTL NEW</t>
  </si>
  <si>
    <t>MASTER SPR COL E.AMBER 50 ML BTL NEW</t>
  </si>
  <si>
    <t>MASTER SPR COL E.AMBER 100ML BTL NEW</t>
  </si>
  <si>
    <t>MASTER SPR COL G-FOUGERE-50ML-BTL-NEW</t>
  </si>
  <si>
    <t>MASTER SPR COL GREEN FOUGERE 100 ML BTL NEW</t>
  </si>
  <si>
    <t>MASTER SPR COL RED WOOD 50 ML BTL NEW</t>
  </si>
  <si>
    <t>MASTER SPR COL RED WOOD 100ML BTL NEW</t>
  </si>
  <si>
    <t>M-KIDS SHM BATMAN 120ML+30ML BTL</t>
  </si>
  <si>
    <t>M-KIDS SHM BEN-10 120ML+30ML BTL</t>
  </si>
  <si>
    <t>M-KIDS SHM BUMBLEBEE 120ML+30ML BTL</t>
  </si>
  <si>
    <t>M-KIDS SHM C- AMERICA 120ML+30ML BTL</t>
  </si>
  <si>
    <t>M-KIDS SHM IRON MAN 120ML+30ML BTL</t>
  </si>
  <si>
    <t>M-KIDS SHM OPTIMUS PRIME 120ML+30ML BTL</t>
  </si>
  <si>
    <t>M-KIDS SHM SPIDERMAN 120ML+30ML BTL -3</t>
  </si>
  <si>
    <t>M-KIDS SHM SUPERMAN 120ML+30ML BTL</t>
  </si>
  <si>
    <t>M-KIDS SHW GEL C- AMERICA 140ML+35ML BTL</t>
  </si>
  <si>
    <t>M.KIDS SHW GEL IRON MAN 140ML+35ML BTL</t>
  </si>
  <si>
    <t>M-KIDS SPR COL BATMAN 80ML+20ML BTL</t>
  </si>
  <si>
    <t>M-KIDS SPR COL BEN-10 80ML+20ML BOTOL</t>
  </si>
  <si>
    <t>M-KIDS SPR COL BUMBLEBEE 80ML+20MLL BTL</t>
  </si>
  <si>
    <t>M-KIDS SPR COL C- AMERICA 80ML+20ML BTL</t>
  </si>
  <si>
    <t>M-KIDS SPR COL IRON MAN 80ML+20ML BTL</t>
  </si>
  <si>
    <t>M-KIDS SPR COL OPT-PRIME 80ML+20ML BTL</t>
  </si>
  <si>
    <t>M-KIDS SPR COL SPIDERMAN 80ML+20ML BTL-3</t>
  </si>
  <si>
    <t>M-KIDS SPR COL SUPERMAN 80ML+20ML BTL</t>
  </si>
  <si>
    <t>M-KIDS STYL GEL BATMAN 60G + 15G JAR</t>
  </si>
  <si>
    <t>M-KIDS STY GEL SPIDERMAN 60G + 15G JAR</t>
  </si>
  <si>
    <t>M-KIDS STYL GEL SUPERMAN 60G + 15G JAR</t>
  </si>
  <si>
    <t>M.KIDS T.PASTE BATMAN 40G + 10G TUBE</t>
  </si>
  <si>
    <t>M.KIDS T.PASTE BEN-10 50G TUBE -1509</t>
  </si>
  <si>
    <t>M.KIDS T.PASTE IRON MAN 40G + 10G TUBE</t>
  </si>
  <si>
    <t>M.KIDS T.PASTE SPIDERMAN 40G + 10G TUBE</t>
  </si>
  <si>
    <t>M.KIDS T.PASTE SUPERMAN 40G + 10G TUBE</t>
  </si>
  <si>
    <t>D M.KIDS PACK TP &amp; T.BRUSH C. AMERICA-1412</t>
  </si>
  <si>
    <t>M.KIDS PACK TP &amp; T.BRUSH IRON MAN</t>
  </si>
  <si>
    <t>OVALE OLIVE OIL 100 ML BOTOL</t>
  </si>
  <si>
    <t>OVALE REAL CLAY MASK ACNE PRONE 10G SCH</t>
  </si>
  <si>
    <t>OVALE REAL CLAY MASK DEEP HYDRA 15G SCH</t>
  </si>
  <si>
    <t>OVALE REAL CLAY MASK H.GLOW 15G SCH</t>
  </si>
  <si>
    <t>OVALE REAL CLAY MASK OIL CONTROL 15G SCH</t>
  </si>
  <si>
    <t>OVALE REAL CLAY PERF. PURIFYING 10G SCH</t>
  </si>
  <si>
    <t>OVALE CLEANSING GEL ACNE CARE 60ML BTL</t>
  </si>
  <si>
    <t>OVALE CLEANSING GEL ACNE CARE 100ML BTL</t>
  </si>
  <si>
    <t>OVALE CLEANSING GEL WHITENING 60ML BTL</t>
  </si>
  <si>
    <t>OVALE CLEANSING GEL WHITENING 100ML BTL</t>
  </si>
  <si>
    <t>OVALE ESST VIT FACE LIGHT 0,3 ML BLR</t>
  </si>
  <si>
    <t>OVALE ESST VIT FACE REJUVE 0,3 ML BLR</t>
  </si>
  <si>
    <t>OVALE ESST VIT FACE REJUVE 0,3 ML JAR</t>
  </si>
  <si>
    <t>OVALE FAC MASK BENGKOANG 15G SCH -1408</t>
  </si>
  <si>
    <t>OVALE FAC MASK CUCUMBER 15G SCH -1408</t>
  </si>
  <si>
    <t>OVALE FAC MASK LEMON 15G SCH -1408</t>
  </si>
  <si>
    <t>OVALE FAC MASK TOMATO 15G SCH -1408</t>
  </si>
  <si>
    <t>OVALE FM BEDAK DINGIN MUTIARA 15G-1505</t>
  </si>
  <si>
    <t>OVALE FM BEDAK DINGIN TEH HIJAU 15G-1505</t>
  </si>
  <si>
    <t>OVALE FAC MASK AVOCADO 15G SCH -1408</t>
  </si>
  <si>
    <t>OVALE FAC MASK PWD BENGKOANG 15G SCH</t>
  </si>
  <si>
    <t>OVALE FAC MASK PWD BLACK TEA 15G SCH</t>
  </si>
  <si>
    <t>OVALE FAC MASK PWD PEARL 15G SCH</t>
  </si>
  <si>
    <t>OVALE FACE PAPER EXT BIG BOX</t>
  </si>
  <si>
    <t>OVALE FACE PAPER EXTRA SMALL BOX</t>
  </si>
  <si>
    <t>OVALE FACE SERUM ANTI AGING 30ML BTL</t>
  </si>
  <si>
    <t>OVALE FACE SERUM MOISTURIZING 30ML BTL</t>
  </si>
  <si>
    <t>OVALE FACE SERUM WHITENING 30ML BTL</t>
  </si>
  <si>
    <t>OVALE FAC LOT ANTI ACNE 60 ML BTL-3</t>
  </si>
  <si>
    <t>OVALE FAC LOT ANTI ACNE 100ML BTL -3</t>
  </si>
  <si>
    <t>OVALE FAC LOT ANTI ACNE 200ML BTL -3</t>
  </si>
  <si>
    <t>OVALE FAC LOT EXT MILD 60ML BTL -3</t>
  </si>
  <si>
    <t>OVALE FAC LOT EXT MILD 100ML BTL -3</t>
  </si>
  <si>
    <t>OVALE FAC LOT EXT MILD 200ML BTL -3</t>
  </si>
  <si>
    <t>OVALE FAC LOT LEMON 60ML BTL -3</t>
  </si>
  <si>
    <t>OVALE FAC LOT LEMON 100 ML BTL-3</t>
  </si>
  <si>
    <t>OVALE FAC LOT LEMON 200ML BTL -3</t>
  </si>
  <si>
    <t>OVALE FAC LOT WHITENING 60ML BTL -3</t>
  </si>
  <si>
    <t>OVALE FAC LOT WHITENING 100ML BTL -3</t>
  </si>
  <si>
    <t>OVALE FAC LOT WHITENING 200ML BTL -3</t>
  </si>
  <si>
    <t>OVALE FAC LOT PAPAYA 60ML BTL -3</t>
  </si>
  <si>
    <t>OVALE FAC LOT PAPAYA 100 ML BTL-3</t>
  </si>
  <si>
    <t>OVALE FAC LOT PAPAYA 200ML BTL -3</t>
  </si>
  <si>
    <t>OVALE FAC LOT PORE MIN 60ML BTL -2</t>
  </si>
  <si>
    <t>OVALE FAC LOT PORE MIN 100ML BTL -2</t>
  </si>
  <si>
    <t>OVALE FAC LOT PORE MIN 200ML BTL -2</t>
  </si>
  <si>
    <t>OVALE LULUR BALI BENGKOANG 100 GR JAR</t>
  </si>
  <si>
    <t>OVALE LULUR BALI BOREH 100 GR JAR</t>
  </si>
  <si>
    <t>OVALE LULUR BALI CHOCOLATE 100 GR JAR</t>
  </si>
  <si>
    <t>OVALE LULUR BALI COFFE 100 GR JAR</t>
  </si>
  <si>
    <t>OVALE LULUR BALI HONEY C. 100 GR JAR</t>
  </si>
  <si>
    <t>OVALE LULUR BALI MILK 100 GR JAR</t>
  </si>
  <si>
    <t>OVALE MICELLAR WATER BRIGHTENING 100ML</t>
  </si>
  <si>
    <t>OVALE MICELLAR WATER BRIGHTENING 200ML</t>
  </si>
  <si>
    <t>OVALE MICELLAR WATER ACNE SKIN 100ML BTL</t>
  </si>
  <si>
    <t>OVALE MICELLAR WATER ACNE SKIN 200ML BTL</t>
  </si>
  <si>
    <t>OVALE NAT H2O MICELLAR WTR.BRIGHT 100ML</t>
  </si>
  <si>
    <t>OVALE NAT H2O MICELLAR WTR ACNE.C 100ML</t>
  </si>
  <si>
    <t>RESIK V GODOKAN SIRIH 100ML SOAPFREE BTL</t>
  </si>
  <si>
    <t>RESIK V GODOKAN R. MADURA 100ML BTL</t>
  </si>
  <si>
    <t>RESIK V MJK 50ML BTL -2</t>
  </si>
  <si>
    <t>RESIK V MJK 90ML BTL -2</t>
  </si>
  <si>
    <t>RESIK V MJK 200ML BTL -2</t>
  </si>
  <si>
    <t>RESIK V MJK WHITENING 50ML BTL -1603</t>
  </si>
  <si>
    <t>RESIK V MJK WHITENING 90ML BTL -1603</t>
  </si>
  <si>
    <t>RESIK V MJK WHITENING 200ML BTL -1603</t>
  </si>
  <si>
    <t>RESIK V PKW SIRIH ANGGREK 60ML-1808</t>
  </si>
  <si>
    <t>RESIK V PKW SIRIH ANGGREK 90 ML</t>
  </si>
  <si>
    <t>RESIK V PKW SIRIH ANGGREK 200 ML</t>
  </si>
  <si>
    <t>RESIK V PKW SIRIH KENANGA 90 ML</t>
  </si>
  <si>
    <t>RESIK V PKW SIRIH KENANGA 200 ML</t>
  </si>
  <si>
    <t>RESIK V PKW SIRIH MAWAR 60ML-1808</t>
  </si>
  <si>
    <t>RESIK V PKW SIRIH MAWAR 90 ML</t>
  </si>
  <si>
    <t>RESIK V PKW SIRIH MAWAR 200 ML</t>
  </si>
  <si>
    <t>RESIK V PKW SIRIH WANGI 90 ML</t>
  </si>
  <si>
    <t>RESIK V PKW SIRIH WANGI 200 ML</t>
  </si>
  <si>
    <t>RESIK V SPA PKW S.AKAR WANGI 60ML-1808</t>
  </si>
  <si>
    <t>RESIK V SPA PKW S.AKAR WANGI 90ML-1808</t>
  </si>
  <si>
    <t>RESIK V SPA PKW AKAR WANGI200 ML</t>
  </si>
  <si>
    <t>RESIK V SPA PKW S.FRANGIPANI 60ML-1808</t>
  </si>
  <si>
    <t>RESIK V SPA PKW S.FRANGIPANI 90ML-1808</t>
  </si>
  <si>
    <t>RESIK V SPA PKW FRANGIPANI 200ML</t>
  </si>
  <si>
    <t>RESIK V RAMUAN MADURA W 50ML BTL</t>
  </si>
  <si>
    <t>RESIK V RAMUAN MADURA W 90ML BTL</t>
  </si>
  <si>
    <t>RESIK V RAMUAN MADURA W 200ML BTL</t>
  </si>
  <si>
    <t>RESIK V SKW ANGGREK 50ML BTL -1404</t>
  </si>
  <si>
    <t>RESIK V SKW ANGGREK 125ML BTL -1404</t>
  </si>
  <si>
    <t>RESIK V SKW LILY 125ML BTL -1404</t>
  </si>
  <si>
    <t>RESIK V SKW MJK 50ML BTL -1404</t>
  </si>
  <si>
    <t>RESIK V SKW MJK 125ML BTL -1404</t>
  </si>
  <si>
    <t>RESIK V SKW MAWAR 50ML BTL -1404</t>
  </si>
  <si>
    <t>RESIK V SKW MAWAR 125ML BTL -1404</t>
  </si>
  <si>
    <t>RESIK V SKW MELATI 125ML BTL -1404</t>
  </si>
  <si>
    <t>RESIK V SKW SIRIH WANGI 50ML BTL -1404</t>
  </si>
  <si>
    <t>RESIK V SKW SIRIH WANGI 125ML BTL -1404</t>
  </si>
  <si>
    <t>SAMANTHA CREAMBATH ALOE VERA 30G SCH1803</t>
  </si>
  <si>
    <t>SAMANTHA CREAMBATH AVOCADO 30G SCH -1803</t>
  </si>
  <si>
    <t>SAMANTHA CREAMBATH GINSENG 30G SCH -1803</t>
  </si>
  <si>
    <t>SAMANTHA CREAMBATH RYL JELLY 30G SCH1803</t>
  </si>
  <si>
    <t>SAMANTHA HAIR BLEACHING 10G BOX -1605</t>
  </si>
  <si>
    <t>SAMANTHA HC BLUE BLACK 25G BOX -1605</t>
  </si>
  <si>
    <t>SAMANTHA HC CHOCOLATE BROWN 25G BOX-1605</t>
  </si>
  <si>
    <t>SAMANTHA HC COFFEE PURPLE 25G BOX -1605</t>
  </si>
  <si>
    <t>SAMANTHA HC COP GOLD BLONDE 25G BOX-1605</t>
  </si>
  <si>
    <t>SAMANTHA HC COPPER HAZEL 25G BOX -1605</t>
  </si>
  <si>
    <t>SAMANTHA HC DARK BLUE 25G BOX -1605</t>
  </si>
  <si>
    <t>SAMANTHA HC DARK MHGN BROWN 25G BOX-1605</t>
  </si>
  <si>
    <t>SAMANTHA HC GOLDEN 25G BOX -1605</t>
  </si>
  <si>
    <t>SAMANTHA HC IRISE RED 25G BOX -1605</t>
  </si>
  <si>
    <t>SAMANTHA HC M.POLI RED 25G BOX -1605</t>
  </si>
  <si>
    <t>SAMANTHA HC N.BLACK 25G BOX -1605</t>
  </si>
  <si>
    <t>SAMANTHA HC PASSION RED 25G BOX -1605</t>
  </si>
  <si>
    <t>SAMANTHA HC PURPLE RED 25G BOX -1605</t>
  </si>
  <si>
    <t>SAMANTHA HC WILD BERRY 25G BOX -1605</t>
  </si>
  <si>
    <t>SAMANTHA HC ASH GREY 25G BOX -1909</t>
  </si>
  <si>
    <t>SAMANTHA HC GREEN TOSCA 25G BOX -1909</t>
  </si>
  <si>
    <t>SAMANTHA POP B.SCRUB BIKINBAPER 100G JAR</t>
  </si>
  <si>
    <t>SAMANTHA POP B.SCRUB JANJIMANIS 100G JAR</t>
  </si>
  <si>
    <t>SAMANTHA POP B.SCRUB SENYUM DOI 100G JAR</t>
  </si>
  <si>
    <t>SAMANTHA POP CG BIKIN BAPER 100ML</t>
  </si>
  <si>
    <t>SAMANTHA POP CG JANJI MANIS 100ML</t>
  </si>
  <si>
    <t>SAMANTHA POP HBL BIKIN BAPER 150ML BTL</t>
  </si>
  <si>
    <t>SAMANTHA POP HBL JANJI MANIS 150ML BTL</t>
  </si>
  <si>
    <t>SAMANTHA POP 2IN1 H.MIST BIKIN BAPER 65</t>
  </si>
  <si>
    <t>SAMANTHA POP 2IN1 H.MIST JANJI MANIS 65</t>
  </si>
  <si>
    <t>SAMANTHA POP SPL COL BIKIN BAPER 125ML</t>
  </si>
  <si>
    <t>SAMANTHA POP SPL COL JANJI MANIS 125ML</t>
  </si>
  <si>
    <t>SAMANTHA POP SPL COL SENYUM DOI 125ML</t>
  </si>
  <si>
    <t>SAMANTHA POP SPR COL BIKIN BAPER 105ML</t>
  </si>
  <si>
    <t>SAMANTHA POP SPR COL JANJI MANIS 105ML</t>
  </si>
  <si>
    <t>SAMANTHA POP SPR COL SENYUM DOI 105ML</t>
  </si>
  <si>
    <t>SAMANTHA POP SPR COL INGAT GEBETAN 105ML</t>
  </si>
  <si>
    <t>SAMANTHA POP 2IN1 SHM JANJI MANIS 180ML</t>
  </si>
  <si>
    <t>SAMANTHA POP 2IN1 SHM BIKIN BAPER 180ML</t>
  </si>
  <si>
    <t>SASHA VR VOO BLACK SHINE BLR -1503</t>
  </si>
  <si>
    <t>SASHA VR VOO DAMAGE CARE BLR -1503</t>
  </si>
  <si>
    <t>SASHA VR VOO SILKY SHINE BLR -1503</t>
  </si>
  <si>
    <t>SASHA TP ANTIBACTERIAL 65G TUBE -1705</t>
  </si>
  <si>
    <t>SASHA TP ANTIBACTERIAL 65G TUBE BANDED</t>
  </si>
  <si>
    <t>SASHA TP ANTIBACTERIAL 150G TUBE -1705</t>
  </si>
  <si>
    <t>SASHA TP ANTIBACTERIAL 150G TUBE - NEW</t>
  </si>
  <si>
    <t>SASHA TP ANTIBACTERIAL 150G TUBE BANDED</t>
  </si>
  <si>
    <t>SASHA TP ANTIBACTERIAL 150G TB FREE PGB</t>
  </si>
  <si>
    <t>SASHA TP PGB 65G TUBE</t>
  </si>
  <si>
    <t>SASHA TP PGB 65G TUBE FREE PGB</t>
  </si>
  <si>
    <t>SASHA TP PGB 150G TUBE</t>
  </si>
  <si>
    <t>SASHA TP PGB 150G TUBE FREE PGB</t>
  </si>
  <si>
    <t>SASHA TP WHITENING 65G TUBE -1708</t>
  </si>
  <si>
    <t>SASHA TP WHITENING 65G TUBE BANDED</t>
  </si>
  <si>
    <t>SASHA TP WHITENING 65G TUBE FREE PGB</t>
  </si>
  <si>
    <t>SASHA TP WHITENING 150G TUBE -1708</t>
  </si>
  <si>
    <t>SASHA TP WHITENING 150G TUBE BANDED</t>
  </si>
  <si>
    <t>SLEEK HW APPLE 400ML PCH -1401</t>
  </si>
  <si>
    <t>SLEEK HW APPLE 500ML BTL HRI</t>
  </si>
  <si>
    <t>SLEEK HW APPLE 4LTR GLN -2005</t>
  </si>
  <si>
    <t>SLEEK HW LEMON 400ML PCH -1401</t>
  </si>
  <si>
    <t>SLEEK HW LEMON 500ML BTL HRI</t>
  </si>
  <si>
    <t>SLEEK HW LEMON 4LTR GLN -2005</t>
  </si>
  <si>
    <t>SLEEK HW STRAWBERRY 400ML PCH -1401</t>
  </si>
  <si>
    <t>SLEEK HW STRAWBERRY 500ML BTL HRI</t>
  </si>
  <si>
    <t>SLEEK HW STRAWBERRY 4LTR GLN -2005</t>
  </si>
  <si>
    <t>SLEEK FOAMY HW CARING 250ML BTL -1811</t>
  </si>
  <si>
    <t>SLEEK FHW CARING 250 BTL+70 PCH BANDED</t>
  </si>
  <si>
    <t>SLEEK FOAMY HW CARING 250 ML PCH</t>
  </si>
  <si>
    <t>SLEEK PHC CLEANSER F.VEGETABLES 320ML</t>
  </si>
  <si>
    <t>SLEEK FOAMY HW REFRESHING 250ML BTL-1811</t>
  </si>
  <si>
    <t>SLEEK FHW REFRESH 250 BTL+70 PCH BANDED</t>
  </si>
  <si>
    <t>SLEEK FOAMY HW RELIEVING 250ML BTL</t>
  </si>
  <si>
    <t>SLEEK FHW RELIEVING 250 BT+70 PCH BANDED</t>
  </si>
  <si>
    <t>SLEEK FOAMY HW RELIEVING 250ML PCH</t>
  </si>
  <si>
    <t>SLEEK FOAMY HW SOOTHING 250ML BTL -1811</t>
  </si>
  <si>
    <t>SLEEK FHW SOOTHING 250 BTL+70 PCH BANDED</t>
  </si>
  <si>
    <t>SLEEK FOAMY HW SOOTHING 250 ML PCH</t>
  </si>
  <si>
    <t>SLEEK B SPECIAL PACKAGE 1</t>
  </si>
  <si>
    <t>SLEEK BABY TELON OIL 30ML BTL -1906</t>
  </si>
  <si>
    <t>SLEEK BABY TELON OIL 70ML BTL -1906</t>
  </si>
  <si>
    <t>SLEEK BABY BN CLEANSER 70ML PCH -1412</t>
  </si>
  <si>
    <t>SLEEK BABY BN CLEANSER 70ML PCH + HGR</t>
  </si>
  <si>
    <t>SLEEK BABY BN CLEANSER 150ML BTL -1412</t>
  </si>
  <si>
    <t>SLEEK BABY BN CLEANSER 150ML BTL EXT 20%</t>
  </si>
  <si>
    <t>SLEEK BABY BN CLEANSER 450ML PCH -1412</t>
  </si>
  <si>
    <t>SLEEK BABY BN CLEANSER 450+TELON 30 PACK</t>
  </si>
  <si>
    <t>SLEEK BABY BN CLEANSER 450ML PCH EXT 20%</t>
  </si>
  <si>
    <t>SLEEK BABY BN CLEANSER 500ML BTL -1412</t>
  </si>
  <si>
    <t>SLEEK BABY BN CLEANSER 900ML PCH -1412</t>
  </si>
  <si>
    <t>SLEEK BABY BN CLEANSER 900+TELON 70 PACK</t>
  </si>
  <si>
    <t>SLEEK BABY DIAPERS CREAM 80ML TUBE</t>
  </si>
  <si>
    <t>SLEEK BABY GIFT SET</t>
  </si>
  <si>
    <t>SLEEK BABY 2 IN 1 H&amp;B FOAMY.W 250ML PCH</t>
  </si>
  <si>
    <t>SLEEK BABY 2 IN 1 H&amp;B FOAMY.W 300ML BTL</t>
  </si>
  <si>
    <t>SLEEK BABY 2 IN 1 H &amp; B LIQUID.W 120ML</t>
  </si>
  <si>
    <t>SLEEK BABY 2 IN 1 H &amp; B LIQUID.W 250ML</t>
  </si>
  <si>
    <t>SLEEK BLD 20ML SCH</t>
  </si>
  <si>
    <t>SLEEK BLD450 MLPCH</t>
  </si>
  <si>
    <t>SLEEK BLD 450ML PCH EXT 20%</t>
  </si>
  <si>
    <t>SLEEK BLD500 MLBTL</t>
  </si>
  <si>
    <t>SLEEK BLD 900 ML PCH -1810</t>
  </si>
  <si>
    <t>SLEEK BLD 4 LTR GLN -1901</t>
  </si>
  <si>
    <t>SLEEK BLD 1200 ML BTL</t>
  </si>
  <si>
    <t>B&amp;B HBW RIKO 200ML PCH</t>
  </si>
  <si>
    <t>B&amp;B BARBIE LIQUID SOAP PARTY 250 ML PCH</t>
  </si>
  <si>
    <t>B&amp;B SHM STRAWBERY BLOSSOM 100ML BTL-1909</t>
  </si>
  <si>
    <t>B&amp;B SHM STRAWBERY BLOSSOM 200ML BTL-1909</t>
  </si>
  <si>
    <t>B&amp;B SHM ORANGE BUBBLES 100ML BTL -1909</t>
  </si>
  <si>
    <t>B&amp;B SHM ORANGE BUBBLES 200ML BTL -1909</t>
  </si>
  <si>
    <t>B&amp;B SHM KIWI BUTTERCUP 100ML BTL -1909</t>
  </si>
  <si>
    <t>B&amp;B SHM KIWI BUTTERCUP 200ML BTL -1909</t>
  </si>
  <si>
    <t>B&amp;B BARBIE SHM OLIVE LEAF 180ML BTL-1403</t>
  </si>
  <si>
    <t>B&amp;B SHM JUSTICE LEAGUE 200ML BTL -1902</t>
  </si>
  <si>
    <t>B&amp;B SHM SWEET FLO PINKIE 200ML BTL-1907</t>
  </si>
  <si>
    <t>B&amp;B SHM FRUITYFUN RAINBOW 200ML BTL-1907</t>
  </si>
  <si>
    <t>B&amp;B T.PASTE BARBIE 50G TUBE -1509</t>
  </si>
  <si>
    <t>M.KIDS T.PASTE BUMBLEBEE 50G TUBE -1812</t>
  </si>
  <si>
    <t>M.KIDS T.PASTE OPT.PRIME 50G TUBE -1812</t>
  </si>
  <si>
    <t>B&amp;B T.PASTE BLOSSOM 50G TUBE-1312</t>
  </si>
  <si>
    <t>B&amp;B TP MLP PINKIE PIE 50G TUBE - 2108</t>
  </si>
  <si>
    <t>B&amp;B TP MLP RAINBOW DASH 50G TUBE - 2110</t>
  </si>
  <si>
    <t>ESK KIDS SHM SOFT ANNA 200ML BTL-1912</t>
  </si>
  <si>
    <t>ESK PRINCESS SHM ARIEL 500ML BTL</t>
  </si>
  <si>
    <t>ESK FAIRIES SHM AVOCADO 100 ML BTL</t>
  </si>
  <si>
    <t>ESK FAIRIES SHM AVOCADO 200 ML BTL</t>
  </si>
  <si>
    <t>ESK PRINCESS SHM BELLE 500ML BTL</t>
  </si>
  <si>
    <t>ESK KIDS SHM CINDERELLA 100ML BTL -2102</t>
  </si>
  <si>
    <t>ESK KIDS SHM CINDERELLA 200ML BTL -2102</t>
  </si>
  <si>
    <t>ESK PRINCESS SHM CINDERELLA 500ML BTL</t>
  </si>
  <si>
    <t>ESK DISNEY SHM DONALD 45 ML RCG</t>
  </si>
  <si>
    <t>ESK KIDS SHM DONALD 100ML BTL -2012</t>
  </si>
  <si>
    <t>ESK KIDS SHM DONALD 200ML BTL -2012</t>
  </si>
  <si>
    <t>ESK KIDS SHM SMOOTH ELSA 200ML BT-1912</t>
  </si>
  <si>
    <t>ESK DISNEY SHM FROZEN 10ML SCH -1905</t>
  </si>
  <si>
    <t>ESK DISNEY SHM MICKEY 10ML SCH -1905</t>
  </si>
  <si>
    <t>ESK DISNEY SHM MICKEY 45 ML RCG</t>
  </si>
  <si>
    <t>ESK KIDS SHM MICKEY 100ML BTL-2012</t>
  </si>
  <si>
    <t>ESK KIDS SHM MICKEY 200ML BTL -2012</t>
  </si>
  <si>
    <t>ESK KIDS SHM MICKEY 500ML BTL -1402</t>
  </si>
  <si>
    <t>ESK DISNEY SHM MINNIE 10ML SCH -2002</t>
  </si>
  <si>
    <t>ESK DISNEY SHM MINNIE 45 ML RCG</t>
  </si>
  <si>
    <t>ESK KIDS SHM MINNIE 100ML BTL -2012</t>
  </si>
  <si>
    <t>ESK KIDS SHM MINNIE 200ML BTL -2012</t>
  </si>
  <si>
    <t>ESK KIDS SHM MINNIE 500ML BTL -1402</t>
  </si>
  <si>
    <t>ESK SHM HEALTHY NATURAL 200ML BTL -1608</t>
  </si>
  <si>
    <t>ESK FAIRIES SHM ROYAL JELLY 100 ML BTL</t>
  </si>
  <si>
    <t>ESK FAIRIES SHM ROYAL JELLY 200 ML BTL</t>
  </si>
  <si>
    <t>ESK KIDS SHM RAPUNZEL 200 ML-2401</t>
  </si>
  <si>
    <t>ESK KIDS SHM S.WHITE 100ML BTL -2102</t>
  </si>
  <si>
    <t>ESK PRINCESS SHM S.WHITE 200ML BTL -1511</t>
  </si>
  <si>
    <t>ESK KIDS HBW CLEAN&amp;SMOOTH 10ML SCH-2003</t>
  </si>
  <si>
    <t>ESK KIDS HBW MICKEY N FRIEND 200ML PCH</t>
  </si>
  <si>
    <t>ESK KIDS HBW MICKEY N FRIEND 250ML BTL</t>
  </si>
  <si>
    <t>ESK HAIR LOT GENTLE CARE 100ML BTL -1607</t>
  </si>
  <si>
    <t>OVALE REAL CLAY PERF. PURIFYING 50G TUBE</t>
  </si>
  <si>
    <t>OVALE FAC MASK BENGKOANG 75G TUBE -1408</t>
  </si>
  <si>
    <t>OVALE FAC MASK LEMON 75 GR TUBE-1408</t>
  </si>
  <si>
    <t>SLEEK TRAVEL WASH LIME 100 ML TUBE</t>
  </si>
  <si>
    <t>ELLIPS DRY SHM BLOSSOM 200ML BTL -ISI 12</t>
  </si>
  <si>
    <t>ESK KIDS SHW GEL FRUITY FRESH 250ML BTL</t>
  </si>
  <si>
    <t>ESK KIDS SHW GEL ELSA 250ML BTL -2020</t>
  </si>
  <si>
    <t>ESK SHW GEL MILD PROTECTION 250ML -1608</t>
  </si>
  <si>
    <t>ELLIPS DRY SHM BREEZE 200ML BTL -ISI 12</t>
  </si>
  <si>
    <t>SASHA VR VOO DAMAGE CARE 100 BAG -1503</t>
  </si>
  <si>
    <t>ESK KIDS SHM ARIEL 200ML BTL -2102</t>
  </si>
  <si>
    <t>SAMANTHA POP SHW GEL BIKIN BAPER 500ML</t>
  </si>
  <si>
    <t>SAMANTHA POP SHW GEL JANJI MANIS 500ML</t>
  </si>
  <si>
    <t>SAMANTHA POP SHW GEL SENYUM DOI 500ML</t>
  </si>
  <si>
    <t>K1507000043010</t>
  </si>
  <si>
    <t>KNF SLEEK BABY SOFTENER 430ML X 12 PCH</t>
  </si>
  <si>
    <t>SLEEK BABY SOFTENER</t>
  </si>
  <si>
    <t>K1112003003010</t>
  </si>
  <si>
    <t>K1112004003010</t>
  </si>
  <si>
    <t>KNF ESKULIN EDP ENCHANTED PETALS 30ML BTL</t>
  </si>
  <si>
    <t>KNF ESKULIN EDP TWILIGHT AMOUR 30ML BTL</t>
  </si>
  <si>
    <t>K1102106000120</t>
  </si>
  <si>
    <t>K1330003006010B</t>
  </si>
  <si>
    <t>KNF ABSOLUTE HYPO NATURALLY SOOTHING 150ML X 36 BT</t>
  </si>
  <si>
    <t>KNF B&amp;B HAIR BODY WASH SMOOTH PINKIE 280ML X 24 BT</t>
  </si>
  <si>
    <t>KNF B&amp;B HAIR BODY WASH CLEAN RAINBOW 280ML X 24 BT</t>
  </si>
  <si>
    <t>KNF B&amp;B SPRAY COLOGNE POWEPUFF GIRLS 125ML X 36 BT</t>
  </si>
  <si>
    <t>KNF B&amp;B SPRAY COLOGNE JUSTICE LEAGUE 125ML X 36 BT</t>
  </si>
  <si>
    <t>KNF B&amp;B SPRAY COLOGNE BARBIE FASHION 125ML X 36 BT</t>
  </si>
  <si>
    <t>KNF CLICK T.PASTE SENSITIVE PROTECT 100GR X 24 TUB</t>
  </si>
  <si>
    <t>KNF CLICK T.PASTE GUM HEALTH PROTECT 100GR X 24 TU</t>
  </si>
  <si>
    <t>KNF CLICK T.PASTE BACTERIAL FIGHTER 100GR X 24 TUB</t>
  </si>
  <si>
    <t>KNF ELLIPS H.MASK KERATIN HAIR REPAIR 120G X 36 TU</t>
  </si>
  <si>
    <t>KNF ELLIPS H.MASK KERATIN SILKY BLACK 120G X 36 TU</t>
  </si>
  <si>
    <t>KNF ELLIPS H.MASK KERATIN SMOOTH&amp;SLKY 120G X 36 TU</t>
  </si>
  <si>
    <t>KNF ELLIPS H.MASK MOROCCAN H.TREATMENT 12G X 144 S</t>
  </si>
  <si>
    <t>KNF ELLIPS H.MASK MOROCCAN H.TREATMENT 20G X 72 SC</t>
  </si>
  <si>
    <t>KNF ELLIPS H.MASK MOROCCAN SMOOTH&amp;SHINY 20G X 72 S</t>
  </si>
  <si>
    <t>KNF ELLIPS H.MASK MOROCCAN VOL.MIRACLE 20G X 72 SC</t>
  </si>
  <si>
    <t>KNF ELLIPS H.VIT BALI NOURISH&amp;PROTECT 30ML X 36 BT</t>
  </si>
  <si>
    <t>KNF ELLIPS HVIT KERATIN 15C HAIR REPAIR 1MLX24 JAR</t>
  </si>
  <si>
    <t>KNF ESKULIN COLOGNE ROMANTIC PURPLE 50ML X 36 BTL</t>
  </si>
  <si>
    <t>KNF ESKULIN COLOGNE ROMANTIC PURPLE 100ML X 36 BTL</t>
  </si>
  <si>
    <t>KNF ESKULIN COLOGNE DREAMY BLUE 50ML X 36 BTL</t>
  </si>
  <si>
    <t>KNF ESKULIN COLOGNE DREAMY BLUE 100ML X 36 BTL</t>
  </si>
  <si>
    <t>KNF ESKULIN COLOGNE ADORABEL PINK 50ML X 36 BTL</t>
  </si>
  <si>
    <t>KNF ESKULIN COLOGNE AMUSING VANILLA 50ML X 36 BTL</t>
  </si>
  <si>
    <t>KNF ESKULIN COLOGNE CONFIDENT PEACH 50ML X 36 BTL</t>
  </si>
  <si>
    <t>KNF ESKULIN COLOGNE CONFIDENT PEACH 100ML X 36 BTL</t>
  </si>
  <si>
    <t>KNF ESKULIN COLOGNE GLAMOROUS RED 50ML X 36 BTL</t>
  </si>
  <si>
    <t>KNF ESKULIN COLOGNE GLAMOROUS RED 100ML X 36 BTL</t>
  </si>
  <si>
    <t>KNF ESKULIN COLOGNE GLEENFUL YELLOW 50ML X 36 BTL</t>
  </si>
  <si>
    <t>KNF ESKULIN COLOGNE GLEEFUL YELLOW 100ML X 36 BTL</t>
  </si>
  <si>
    <t>KNF ESKULIN COLOGNE ENCHANTING WHITE 50ML X 36 BTL</t>
  </si>
  <si>
    <t>KNF ESKULIN HIJAB B.MIST BLUE TEMPT. 125ML X 36 BT</t>
  </si>
  <si>
    <t>KNF ESKULIN JAPAN SPRAY SUNSHINE KISS 110ML X 36 B</t>
  </si>
  <si>
    <t>KNF ESKULIN KOREAN SPRAY SPRING SEOUL 110ML X 36 B</t>
  </si>
  <si>
    <t>KNF ESKULIN KOREAN SPRAY AUTUMN BUSAN 110ML X 36 B</t>
  </si>
  <si>
    <t>KNF ESKULIN KOREAN SPRAY WINTER JEJU 110ML X 36 BT</t>
  </si>
  <si>
    <t>KNF ESKULIN KIDS COLOGNE GEL H.THOUGHT 50ML X 36 B</t>
  </si>
  <si>
    <t>KNF ESKULIN KIDS H.SANITIZER TSUMTSUM 18ML X 72 BT</t>
  </si>
  <si>
    <t>KNF ESKULIN KIDS H.SANITIZER TSUMTSUM 50ML X 36 BT</t>
  </si>
  <si>
    <t>KNF ESKULIN KIDS SHOWER GEL CINDERELA 250ML X 36 B</t>
  </si>
  <si>
    <t>KNF ESKULIN KIDS SHOWER GEL RAPUNZEL 250ML X 36 BT</t>
  </si>
  <si>
    <t>KNF ESKULIN KIDS H. B.WASH CLN&amp;SMOOTH 10ML X 160 S</t>
  </si>
  <si>
    <t>KNF ESKULIN KIDS H. B.WASH CLN&amp;SMOOTH 280ML X 24 B</t>
  </si>
  <si>
    <t>KNF ESKULIN KIDS H. B.WASH SOFT&amp;PROT. 280ML X 24 B</t>
  </si>
  <si>
    <t>KNF ESKULIN KIDS H. B.WASH SOFT&amp;PROT. 280ML X 24 P</t>
  </si>
  <si>
    <t>KNF ESKULIN KIDS H. LOT SPRAY PRINC 100ML X 24 BTL</t>
  </si>
  <si>
    <t>KNF ESKULIN KIDS SUNSCREEN STITCH 45GR X 24 BTL</t>
  </si>
  <si>
    <t>KNF MASTER SPRAY COLOGNE GREEN FOUGERE 50ML X 36 B</t>
  </si>
  <si>
    <t>KNF MASTER KIDS SHAMPOO CAPT. AMERICA 150ML X 36 B</t>
  </si>
  <si>
    <t>KNF MASTER KIDS SHAMPOO OPTIMUS PRIME 150ML X 36 B</t>
  </si>
  <si>
    <t>KNF MASTER KIDS SHOWER GEL C- AMERICA 175ML X 36 B</t>
  </si>
  <si>
    <t>KNF MASTER KIDS SPRAY COL. BUMBLEBEE 100ML X 36 BT</t>
  </si>
  <si>
    <t>KNF MASTER KIDS SPRAY COL. C.AMERICA 100ML X 36 BT</t>
  </si>
  <si>
    <t>KNF MASTER KIDS SPRAY COL. OPT-PRIME 100ML X 36 BT</t>
  </si>
  <si>
    <t>KNF MASTER KIDS SPRAY COL. SPIDERMAN 100ML X 36 BT</t>
  </si>
  <si>
    <t>KNF MASTER KIDS STYLISH GEL SPIDERMAN 75GR X 48 JA</t>
  </si>
  <si>
    <t>KNF MASTER KIDS TOOTH PASTE IRON MAN 50GR X 48 TUB</t>
  </si>
  <si>
    <t>KNF MASTER KIDS TOOTH PASTE SPIDERMAN 50GR X 48 TU</t>
  </si>
  <si>
    <t>KNF MASTER KIDS TOOTH PASTE SUPERMAN 50GR X 48 TUB</t>
  </si>
  <si>
    <t>KNF MASTER KIDS T.P&amp;T.BRUSH C.AMERICA 50GR X 24 PA</t>
  </si>
  <si>
    <t>KNF MASTER KIDS T.P&amp;T.BRUSH IRON MAN 50GR X 24 PAC</t>
  </si>
  <si>
    <t>KNF OVALE FACE MASK BEDAK D. TEH HIJAU 15GR X 72 S</t>
  </si>
  <si>
    <t>KNF OVALE FACE MASK POWDER BENGKOANG 15GR X 144 SC</t>
  </si>
  <si>
    <t>KNF OVALE FACE MASK POWDER BLACK TEA 15GR X 144 SC</t>
  </si>
  <si>
    <t>B&gt; KNF OVALE FACIAL LOTION LEMON 60ML X 36 BTL</t>
  </si>
  <si>
    <t>KNF OVALE FACIAL LOTION LUMI YAMBEAN 100ML X 36 BT</t>
  </si>
  <si>
    <t>KNF OVALE FACIAL LOTION LUMI YAMBEAN 200ML X 36 BT</t>
  </si>
  <si>
    <t>KNF OVALE MICELLAR WATER BRIGHTENING 100ML X 36 BT</t>
  </si>
  <si>
    <t>KNF OVALE MICELLAR WATER BRIGHTENING 200ML X 36 BT</t>
  </si>
  <si>
    <t>KNF SAMANTHA POP B.SCRUB BIKIN BAPER 100GR X 24 JA</t>
  </si>
  <si>
    <t>KNF SAMANTHA POP B.SCRUB JANJI MANIS 100GR X 24 JA</t>
  </si>
  <si>
    <t>KNF SAMANTHA POP HAIR MIST BIKIN BAPER 65ML X 36 B</t>
  </si>
  <si>
    <t>KNF SAMANTHA POP HAIR MIST JANJI MANIS 65ML X 36 B</t>
  </si>
  <si>
    <t>KNF SAMANTHA POP SPRAY INGAT GEBETAN 105ML X 36 BT</t>
  </si>
  <si>
    <t>KNF SASHA HAIR COLORANT GOLDEN BLONDE 25GR X 72 BO</t>
  </si>
  <si>
    <t>KNF SASHA HAIR COLORANT NATURAL BLACK 25GR X 72 BO</t>
  </si>
  <si>
    <t>KNF SASHA HAIR COLORANT COPPER HAZEL 25GR X 72 BOX</t>
  </si>
  <si>
    <t>KNF SASHA HAIR COLORANT DARK BLUE 25GR X 72 BOX</t>
  </si>
  <si>
    <t>KNF SASHA HAIR COLORANT DARK BROWN 25GR X 72 BOX</t>
  </si>
  <si>
    <t>KNF SASHA HAIR COLORANT BURGUNDY 25GR X 72 BOX</t>
  </si>
  <si>
    <t>KNF SASHA HAIR VITAMIN DAMAGE CARE 1ML X 48 MINIBL</t>
  </si>
  <si>
    <t>KNF SASHA HAIR VITAMIN SILKY SHINE 1ML X 48 MINIBL</t>
  </si>
  <si>
    <t>KNF SLEEK FOAMY H W FRUITS&amp;VEGETABLE 320ML X 12 BT</t>
  </si>
  <si>
    <t>KNF SLEEK BABY LAUNDRY DETERGENT 450ML X 12 PCH +2</t>
  </si>
  <si>
    <t>KNF SLEEK BABY SOFTENER 750ML X 12 PCH</t>
  </si>
  <si>
    <t>D113023</t>
  </si>
  <si>
    <t>11</t>
  </si>
  <si>
    <t>ESK</t>
  </si>
  <si>
    <t>EDP</t>
  </si>
  <si>
    <t>AURORA BLUSH</t>
  </si>
  <si>
    <t>SUMMER RHAPSODY</t>
  </si>
  <si>
    <t>30ML</t>
  </si>
  <si>
    <t>35</t>
  </si>
  <si>
    <t>H2O</t>
  </si>
  <si>
    <t>300ML</t>
  </si>
  <si>
    <t>SLEEK BABY</t>
  </si>
  <si>
    <t>BN CLEANSER</t>
  </si>
  <si>
    <t>N. SOOTHING</t>
  </si>
  <si>
    <t>2</t>
  </si>
  <si>
    <t>06 CASUAL</t>
  </si>
  <si>
    <t>10</t>
  </si>
  <si>
    <t>12</t>
  </si>
  <si>
    <t>13</t>
  </si>
  <si>
    <t>14</t>
  </si>
  <si>
    <t>15</t>
  </si>
  <si>
    <t>17</t>
  </si>
  <si>
    <t>P01 RADIANT GLOW</t>
  </si>
  <si>
    <t>18</t>
  </si>
  <si>
    <t>P02 ELECTRI FEEL</t>
  </si>
  <si>
    <t>19</t>
  </si>
  <si>
    <t>P03 RMNTC GLAM</t>
  </si>
  <si>
    <t>20</t>
  </si>
  <si>
    <t>P04 SMOKY MOOD</t>
  </si>
  <si>
    <t>21</t>
  </si>
  <si>
    <t>22</t>
  </si>
  <si>
    <t>23</t>
  </si>
  <si>
    <t>250ML</t>
  </si>
  <si>
    <t>280ML</t>
  </si>
  <si>
    <t>200ML</t>
  </si>
  <si>
    <t>ALL IN</t>
  </si>
  <si>
    <t>CUDDLE</t>
  </si>
  <si>
    <t>WONDER</t>
  </si>
  <si>
    <t>HAIR LOTION THICK &amp;</t>
  </si>
  <si>
    <t>SHINE</t>
  </si>
  <si>
    <t>100ML</t>
  </si>
  <si>
    <t>HAIR VITAMIN NATURAL</t>
  </si>
  <si>
    <t>3</t>
  </si>
  <si>
    <t>SILKY</t>
  </si>
  <si>
    <t>LIQUID SOAP</t>
  </si>
  <si>
    <t>4</t>
  </si>
  <si>
    <t>PARTY BARBIE</t>
  </si>
  <si>
    <t>PARTY</t>
  </si>
  <si>
    <t>POWDER</t>
  </si>
  <si>
    <t>5</t>
  </si>
  <si>
    <t>BLOSSOM</t>
  </si>
  <si>
    <t>60GR</t>
  </si>
  <si>
    <t>150GR</t>
  </si>
  <si>
    <t>BUBBLES</t>
  </si>
  <si>
    <t>BUTTERCUP</t>
  </si>
  <si>
    <t>BARBIE</t>
  </si>
  <si>
    <t>NATURAL MILD</t>
  </si>
  <si>
    <t>GIGGLY SOFT</t>
  </si>
  <si>
    <t>SHAMPOO</t>
  </si>
  <si>
    <t>6</t>
  </si>
  <si>
    <t>STRAWBERRY BLOSSOM</t>
  </si>
  <si>
    <t>ORANGE BUBBLES</t>
  </si>
  <si>
    <t>KIWI BUTTERCUP</t>
  </si>
  <si>
    <t>LEAF BARBIE</t>
  </si>
  <si>
    <t>10ML</t>
  </si>
  <si>
    <t>PINKIE PIE</t>
  </si>
  <si>
    <t>JUSTICE LEAGUE</t>
  </si>
  <si>
    <t>SWEET FLO PINKIE</t>
  </si>
  <si>
    <t>FRUITYFUN RAINBOW</t>
  </si>
  <si>
    <t>CUDDLY SHINE</t>
  </si>
  <si>
    <t>SPRAY COLOGNE</t>
  </si>
  <si>
    <t>7</t>
  </si>
  <si>
    <t>125ML</t>
  </si>
  <si>
    <t>POWEPUFF GIRLS</t>
  </si>
  <si>
    <t>SWEET PINKIE</t>
  </si>
  <si>
    <t>FRESH RAINBOW</t>
  </si>
  <si>
    <t>BARBIE FASHION</t>
  </si>
  <si>
    <t>TAZMANIAN</t>
  </si>
  <si>
    <t>TWEETY</t>
  </si>
  <si>
    <t>CUDDLE BREEZE</t>
  </si>
  <si>
    <t>GIGGLY BREEZE</t>
  </si>
  <si>
    <t>WONDER BREEZE</t>
  </si>
  <si>
    <t>TOOTH PASTE</t>
  </si>
  <si>
    <t>8</t>
  </si>
  <si>
    <t>50GR</t>
  </si>
  <si>
    <t>BUMBLEBEE</t>
  </si>
  <si>
    <t>OPT PRIME</t>
  </si>
  <si>
    <t>POWERPUFF GIRL</t>
  </si>
  <si>
    <t>RAINBOW DASH</t>
  </si>
  <si>
    <t>45GR</t>
  </si>
  <si>
    <t>T.PASTE&amp;T.BRUSH</t>
  </si>
  <si>
    <t>9</t>
  </si>
  <si>
    <t>CLICK T.PASTE</t>
  </si>
  <si>
    <t>FRESH BREATH</t>
  </si>
  <si>
    <t>100GR</t>
  </si>
  <si>
    <t>CAVITY PROTECT</t>
  </si>
  <si>
    <t>SENSITIVE PROTECT</t>
  </si>
  <si>
    <t>ALL OUT PROTECT</t>
  </si>
  <si>
    <t>GUM HEALTH PROTECT</t>
  </si>
  <si>
    <t>STRONG ENAMEL</t>
  </si>
  <si>
    <t>BACTERIAL FIGHTER</t>
  </si>
  <si>
    <t>ALL OUT CITRUS</t>
  </si>
  <si>
    <t>ELLIPS CONDITIONER</t>
  </si>
  <si>
    <t>MILKSHAKE</t>
  </si>
  <si>
    <t>110ML</t>
  </si>
  <si>
    <t>ELLIPS DRY SHAMPOO</t>
  </si>
  <si>
    <t>50ML</t>
  </si>
  <si>
    <t>BREEZE</t>
  </si>
  <si>
    <t>EXOTIC</t>
  </si>
  <si>
    <t>FRUITY</t>
  </si>
  <si>
    <t>ELLIPS</t>
  </si>
  <si>
    <t>HAIR MASK VIT. H.TREATMENT</t>
  </si>
  <si>
    <t>200G</t>
  </si>
  <si>
    <t>HAIR MASK VIT. NUTRI COLOR</t>
  </si>
  <si>
    <t>H.MASK KERATIN</t>
  </si>
  <si>
    <t>HAIR REPAIR</t>
  </si>
  <si>
    <t>18G</t>
  </si>
  <si>
    <t>120G</t>
  </si>
  <si>
    <t>SILKY BLACK</t>
  </si>
  <si>
    <t>SMOOTH&amp;SLKY</t>
  </si>
  <si>
    <t>H.MASK MOROCCAN</t>
  </si>
  <si>
    <t>H.TREATMENT</t>
  </si>
  <si>
    <t>12G</t>
  </si>
  <si>
    <t>20G</t>
  </si>
  <si>
    <t>NUTRICOLOR</t>
  </si>
  <si>
    <t>SMOOTH&amp;SHINY</t>
  </si>
  <si>
    <t>VOL.MIRACLE</t>
  </si>
  <si>
    <t>ELLIPS HAIR MIST</t>
  </si>
  <si>
    <t>SWEET&amp;SILKY</t>
  </si>
  <si>
    <t>MIST ME UP</t>
  </si>
  <si>
    <t>H.VIT HAIR TREATMENT</t>
  </si>
  <si>
    <t>1ML</t>
  </si>
  <si>
    <t>H.VIT HAIR VITALITY</t>
  </si>
  <si>
    <t>H.VIT MILKSHAKE</t>
  </si>
  <si>
    <t>45ML</t>
  </si>
  <si>
    <t>H.VIT NUTRI COLOR</t>
  </si>
  <si>
    <t>H.VIT PRWTN R.HITAM</t>
  </si>
  <si>
    <t>H.VIT PRWTN R.RUSAK</t>
  </si>
  <si>
    <t>H.VIT SHINY BLACK</t>
  </si>
  <si>
    <t>H.VIT SMOOTH &amp; SHINY</t>
  </si>
  <si>
    <t>H.VIT ULTRA TREATMENT</t>
  </si>
  <si>
    <t>8ML</t>
  </si>
  <si>
    <t>34ML</t>
  </si>
  <si>
    <t>H.VIT BALI</t>
  </si>
  <si>
    <t>NOURISH&amp;PROTECT</t>
  </si>
  <si>
    <t>NOURISH&amp;SOFTEN</t>
  </si>
  <si>
    <t>H.VIT KERATIN HAIR REPAIR</t>
  </si>
  <si>
    <t>H.VIT KERATIN SMOOTH&amp;SILKY</t>
  </si>
  <si>
    <t>H.VIT KERATIN SILKY BLACK</t>
  </si>
  <si>
    <t>HVIT KERATIN 15C HAIR</t>
  </si>
  <si>
    <t>REPAIR</t>
  </si>
  <si>
    <t>HAIR SERUM ULTRA</t>
  </si>
  <si>
    <t>TREATMENT</t>
  </si>
  <si>
    <t>48ML</t>
  </si>
  <si>
    <t>0048</t>
  </si>
  <si>
    <t>ESKULIN</t>
  </si>
  <si>
    <t>COLOGNE</t>
  </si>
  <si>
    <t>ROMANTIC PURPLE</t>
  </si>
  <si>
    <t>DREAMY BLUE</t>
  </si>
  <si>
    <t>GEL MONDAY</t>
  </si>
  <si>
    <t>ADORABEL PINK</t>
  </si>
  <si>
    <t>GEL TUESDAY</t>
  </si>
  <si>
    <t>GEL WEDNESDAY</t>
  </si>
  <si>
    <t>AMUSING VANILLA</t>
  </si>
  <si>
    <t>GEL THURSDAY</t>
  </si>
  <si>
    <t>CONFIDENT PEACH</t>
  </si>
  <si>
    <t>GLAMOROUS RED</t>
  </si>
  <si>
    <t>GEL SATURDAY</t>
  </si>
  <si>
    <t>GLEENFUL YELLOW</t>
  </si>
  <si>
    <t>GLEEFUL YELLOW</t>
  </si>
  <si>
    <t>ENCHANTING WHITE</t>
  </si>
  <si>
    <t>GEL ENCHANTING</t>
  </si>
  <si>
    <t>BLUSHING</t>
  </si>
  <si>
    <t>ENCHANTING</t>
  </si>
  <si>
    <t>SPLASH FIRST</t>
  </si>
  <si>
    <t>SIGHT</t>
  </si>
  <si>
    <t>70ML</t>
  </si>
  <si>
    <t>LOVE</t>
  </si>
  <si>
    <t>DATE</t>
  </si>
  <si>
    <t>KISS</t>
  </si>
  <si>
    <t>SPRAY</t>
  </si>
  <si>
    <t>CHEER THE WORLD</t>
  </si>
  <si>
    <t>65ML</t>
  </si>
  <si>
    <t>105ML</t>
  </si>
  <si>
    <t>GOOD NIGHT KISS</t>
  </si>
  <si>
    <t>SHAKE YOUR BODY</t>
  </si>
  <si>
    <t>WAKE UP GIRL</t>
  </si>
  <si>
    <t>ESKULIN HIJAB</t>
  </si>
  <si>
    <t>B.MIST</t>
  </si>
  <si>
    <t>P BLOSSOM</t>
  </si>
  <si>
    <t>BLUE TEMPT.</t>
  </si>
  <si>
    <t>D PURPLE</t>
  </si>
  <si>
    <t>S YELLOW</t>
  </si>
  <si>
    <t>G FANTASY</t>
  </si>
  <si>
    <t>C.GEL</t>
  </si>
  <si>
    <t>FRESH DAY</t>
  </si>
  <si>
    <t>PERFECT DAY</t>
  </si>
  <si>
    <t>ESKULIN JAPAN SPRAY</t>
  </si>
  <si>
    <t>SUNSHINE KISS</t>
  </si>
  <si>
    <t>SPRING MELODY</t>
  </si>
  <si>
    <t>CHERFUL SWING</t>
  </si>
  <si>
    <t>MNIGHT DREAM</t>
  </si>
  <si>
    <t>ESKULIN KOREAN SPRAY</t>
  </si>
  <si>
    <t>SPRING SEOUL</t>
  </si>
  <si>
    <t>AUTUMN BUSAN</t>
  </si>
  <si>
    <t>WINTER JEJU</t>
  </si>
  <si>
    <t>ESKULIN KIDS</t>
  </si>
  <si>
    <t>COLOGNE GEL</t>
  </si>
  <si>
    <t>H.THOUGHT</t>
  </si>
  <si>
    <t>F.BODY WASH</t>
  </si>
  <si>
    <t>MICKEY</t>
  </si>
  <si>
    <t>POOH</t>
  </si>
  <si>
    <t>H.SANITIZER</t>
  </si>
  <si>
    <t>DONALD</t>
  </si>
  <si>
    <t>TIGGER</t>
  </si>
  <si>
    <t>TSUMTSUM</t>
  </si>
  <si>
    <t>18ML</t>
  </si>
  <si>
    <t>CINDERELLA</t>
  </si>
  <si>
    <t>MINNIE</t>
  </si>
  <si>
    <t>PURE &amp; MILD</t>
  </si>
  <si>
    <t>SNOW WHITE</t>
  </si>
  <si>
    <t>ANNA</t>
  </si>
  <si>
    <t>ARIEL</t>
  </si>
  <si>
    <t>500ML</t>
  </si>
  <si>
    <t>AVOCADO</t>
  </si>
  <si>
    <t>BELLE</t>
  </si>
  <si>
    <t>ELSA</t>
  </si>
  <si>
    <t>FROZEN</t>
  </si>
  <si>
    <t>NAT.SOFIA</t>
  </si>
  <si>
    <t>R JELLY</t>
  </si>
  <si>
    <t>RAPUNZEL</t>
  </si>
  <si>
    <t>S.WHITE</t>
  </si>
  <si>
    <t>SHOWER GEL</t>
  </si>
  <si>
    <t>BLUE</t>
  </si>
  <si>
    <t>CINDERELA</t>
  </si>
  <si>
    <t>ORANGE</t>
  </si>
  <si>
    <t>PINK</t>
  </si>
  <si>
    <t>F CHEER</t>
  </si>
  <si>
    <t>F.FRESH</t>
  </si>
  <si>
    <t>PROTECT</t>
  </si>
  <si>
    <t>SPLASH</t>
  </si>
  <si>
    <t>BEAUTY FRESH</t>
  </si>
  <si>
    <t>9ML</t>
  </si>
  <si>
    <t>H. B.WASH</t>
  </si>
  <si>
    <t>CLN&amp;SMOOTH</t>
  </si>
  <si>
    <t>N.SMOOTH</t>
  </si>
  <si>
    <t>SOFT&amp;PROT.</t>
  </si>
  <si>
    <t>H. LOT</t>
  </si>
  <si>
    <t>GENTLE CARE</t>
  </si>
  <si>
    <t>PRINC</t>
  </si>
  <si>
    <t>H. VIT.</t>
  </si>
  <si>
    <t>SUNSCREEN</t>
  </si>
  <si>
    <t>STITCH</t>
  </si>
  <si>
    <t>EVERGREEN AD SET</t>
  </si>
  <si>
    <t>CH.BLOSSOM</t>
  </si>
  <si>
    <t>INS.NATURE</t>
  </si>
  <si>
    <t>REF.CITRUS</t>
  </si>
  <si>
    <t>SER.DREAM</t>
  </si>
  <si>
    <t>EVERGREEN AD REFF</t>
  </si>
  <si>
    <t>OC.BREEZE</t>
  </si>
  <si>
    <t>S.SUNSHINE</t>
  </si>
  <si>
    <t>SW.ROMANCE</t>
  </si>
  <si>
    <t>EVERGREEN AS SET</t>
  </si>
  <si>
    <t>BALANCING</t>
  </si>
  <si>
    <t>ENERGIZING</t>
  </si>
  <si>
    <t>RELIEVING</t>
  </si>
  <si>
    <t>EVERGREEN AS REFF</t>
  </si>
  <si>
    <t>INSTANCE GEL HAND</t>
  </si>
  <si>
    <t>SANITIZER</t>
  </si>
  <si>
    <t>4L</t>
  </si>
  <si>
    <t>1004</t>
  </si>
  <si>
    <t>INSTANCE LIQ HAND</t>
  </si>
  <si>
    <t>INSTANCE WIPES</t>
  </si>
  <si>
    <t>ANTISEPTIC</t>
  </si>
  <si>
    <t>MASTER</t>
  </si>
  <si>
    <t>24</t>
  </si>
  <si>
    <t>SPLASH COLOGNE</t>
  </si>
  <si>
    <t>COOL</t>
  </si>
  <si>
    <t>75ML</t>
  </si>
  <si>
    <t>DYNAMIC</t>
  </si>
  <si>
    <t>FREEDOM</t>
  </si>
  <si>
    <t>PASSION</t>
  </si>
  <si>
    <t>POWER</t>
  </si>
  <si>
    <t>SPIRIT</t>
  </si>
  <si>
    <t>SPORTY</t>
  </si>
  <si>
    <t>AQUA BLUE</t>
  </si>
  <si>
    <t>BLACK MUSK</t>
  </si>
  <si>
    <t>E.AMBER</t>
  </si>
  <si>
    <t>GREEN FOUGERE</t>
  </si>
  <si>
    <t>G.FOUGERE</t>
  </si>
  <si>
    <t>RED WOOD</t>
  </si>
  <si>
    <t>MASTER KIDS</t>
  </si>
  <si>
    <t>25</t>
  </si>
  <si>
    <t>BATMAN</t>
  </si>
  <si>
    <t>BEN-10</t>
  </si>
  <si>
    <t>CAPT. AMERICA</t>
  </si>
  <si>
    <t>IRON MAN</t>
  </si>
  <si>
    <t>OPTIMUS PRIME</t>
  </si>
  <si>
    <t>SPIDERMAN</t>
  </si>
  <si>
    <t>SUPERMAN</t>
  </si>
  <si>
    <t>C- AMERICA</t>
  </si>
  <si>
    <t>175ML</t>
  </si>
  <si>
    <t>SPRAY COL.</t>
  </si>
  <si>
    <t>C.AMERICA</t>
  </si>
  <si>
    <t>OPT-PRIME</t>
  </si>
  <si>
    <t>STYLISH GEL</t>
  </si>
  <si>
    <t>75GR</t>
  </si>
  <si>
    <t>T.P&amp;T.BRUSH</t>
  </si>
  <si>
    <t>OVALE OLIVE</t>
  </si>
  <si>
    <t>26</t>
  </si>
  <si>
    <t>OIL</t>
  </si>
  <si>
    <t>OVALE CLAY MASK</t>
  </si>
  <si>
    <t>27</t>
  </si>
  <si>
    <t>ACNE PRONE</t>
  </si>
  <si>
    <t>10GR</t>
  </si>
  <si>
    <t>DEEP HYDRA</t>
  </si>
  <si>
    <t>15GR</t>
  </si>
  <si>
    <t>HEALTHY GLOW</t>
  </si>
  <si>
    <t>OIL CONTROL</t>
  </si>
  <si>
    <t>PURIFYING</t>
  </si>
  <si>
    <t>OVALE CLEANSING GEL</t>
  </si>
  <si>
    <t>28</t>
  </si>
  <si>
    <t>ACNE CARE</t>
  </si>
  <si>
    <t>WHITENING</t>
  </si>
  <si>
    <t>OVALE ESST VIT FACE</t>
  </si>
  <si>
    <t>29</t>
  </si>
  <si>
    <t>LIGHT</t>
  </si>
  <si>
    <t>0,3ML</t>
  </si>
  <si>
    <t>REJUVE</t>
  </si>
  <si>
    <t>OVALE FACE MASK</t>
  </si>
  <si>
    <t>30</t>
  </si>
  <si>
    <t>BENGKOANG</t>
  </si>
  <si>
    <t>CUCUMBER</t>
  </si>
  <si>
    <t>LEMON</t>
  </si>
  <si>
    <t>TOMATO</t>
  </si>
  <si>
    <t>BEDAK D.</t>
  </si>
  <si>
    <t>MUTIARA</t>
  </si>
  <si>
    <t>TEH HIJAU</t>
  </si>
  <si>
    <t>BLACK TEA</t>
  </si>
  <si>
    <t>PEARL</t>
  </si>
  <si>
    <t>OVALE FACE PAPER EXTRA</t>
  </si>
  <si>
    <t>31</t>
  </si>
  <si>
    <t>BIG</t>
  </si>
  <si>
    <t>SMALL</t>
  </si>
  <si>
    <t>OVALE FACE SERUM</t>
  </si>
  <si>
    <t>32</t>
  </si>
  <si>
    <t>ANTI AGING</t>
  </si>
  <si>
    <t>MOISTURIZING</t>
  </si>
  <si>
    <t>OVALE FACIAL</t>
  </si>
  <si>
    <t>33</t>
  </si>
  <si>
    <t>LOTION ANTI ACNE</t>
  </si>
  <si>
    <t>LOTION EXTRA MILD</t>
  </si>
  <si>
    <t>LOTION LEMON</t>
  </si>
  <si>
    <t>LOTION LUMI YAMBEAN</t>
  </si>
  <si>
    <t>LOTION PAPAYA</t>
  </si>
  <si>
    <t>LOTION PORE MIN</t>
  </si>
  <si>
    <t>OVALE LULUR BALI</t>
  </si>
  <si>
    <t>34</t>
  </si>
  <si>
    <t>BOREH</t>
  </si>
  <si>
    <t>CHOCOLATE</t>
  </si>
  <si>
    <t>COFFEE</t>
  </si>
  <si>
    <t>HONEY COCONUT</t>
  </si>
  <si>
    <t>MILK</t>
  </si>
  <si>
    <t>HYDRATE</t>
  </si>
  <si>
    <t>RESIK V GODOKAN</t>
  </si>
  <si>
    <t>36</t>
  </si>
  <si>
    <t>SIRIH</t>
  </si>
  <si>
    <t>RAMUAN MADURA</t>
  </si>
  <si>
    <t>RESIK V MANJAKANI</t>
  </si>
  <si>
    <t>37</t>
  </si>
  <si>
    <t>90ML</t>
  </si>
  <si>
    <t>RESIK V</t>
  </si>
  <si>
    <t>MANJAKANI WHITENING</t>
  </si>
  <si>
    <t>RESIK V PKW</t>
  </si>
  <si>
    <t>38</t>
  </si>
  <si>
    <t>SIRIH ANGGREK</t>
  </si>
  <si>
    <t>SIRIH KENANGA</t>
  </si>
  <si>
    <t>SIRIH MAWAR</t>
  </si>
  <si>
    <t>SIRIH WANGI</t>
  </si>
  <si>
    <t>SPA</t>
  </si>
  <si>
    <t>AKAR WANGI</t>
  </si>
  <si>
    <t>FRANGIPANI</t>
  </si>
  <si>
    <t>RESIK V RAMUAN MADURA</t>
  </si>
  <si>
    <t>39</t>
  </si>
  <si>
    <t>RESIK V SKW</t>
  </si>
  <si>
    <t>40</t>
  </si>
  <si>
    <t>ANGGREK</t>
  </si>
  <si>
    <t>LILY</t>
  </si>
  <si>
    <t>MANJAKANI</t>
  </si>
  <si>
    <t>MAWAR</t>
  </si>
  <si>
    <t>MELATI</t>
  </si>
  <si>
    <t>SAMANTHA CREAMBATH</t>
  </si>
  <si>
    <t>41</t>
  </si>
  <si>
    <t>ALOE VERA</t>
  </si>
  <si>
    <t>30GR</t>
  </si>
  <si>
    <t>GINSENG</t>
  </si>
  <si>
    <t>ROYAL JELLY</t>
  </si>
  <si>
    <t>SAMANTHA HC</t>
  </si>
  <si>
    <t>42</t>
  </si>
  <si>
    <t>BLEACHING</t>
  </si>
  <si>
    <t>BLUE BLACK</t>
  </si>
  <si>
    <t>25GR</t>
  </si>
  <si>
    <t>CHOCOLATE BROWN</t>
  </si>
  <si>
    <t>COFFEE PURPLE</t>
  </si>
  <si>
    <t>COP GOLD BLONDE</t>
  </si>
  <si>
    <t>COPPER HAZEL</t>
  </si>
  <si>
    <t>DARK BLUE</t>
  </si>
  <si>
    <t>DARK MHGN BROWN</t>
  </si>
  <si>
    <t>GOLDEN</t>
  </si>
  <si>
    <t>IRISE RED</t>
  </si>
  <si>
    <t>M.POLI RED</t>
  </si>
  <si>
    <t>N.BLACK</t>
  </si>
  <si>
    <t>PASSION RED</t>
  </si>
  <si>
    <t>PURPLE RED</t>
  </si>
  <si>
    <t>WILD BERRY</t>
  </si>
  <si>
    <t>ASH GREY</t>
  </si>
  <si>
    <t>GREEN TOSCA</t>
  </si>
  <si>
    <t>SAMANTHA POP</t>
  </si>
  <si>
    <t>43</t>
  </si>
  <si>
    <t>B.SCRUB</t>
  </si>
  <si>
    <t>BIKIN BAPER</t>
  </si>
  <si>
    <t>JANJI MANIS</t>
  </si>
  <si>
    <t>SENYUM DOI</t>
  </si>
  <si>
    <t>HBL</t>
  </si>
  <si>
    <t>HAIR MIST BIKIN BAPER</t>
  </si>
  <si>
    <t>S.GEL BIKIN BAPER</t>
  </si>
  <si>
    <t>HAIR MIST JANJI MANIS</t>
  </si>
  <si>
    <t>S.GEL JANJI MANIS</t>
  </si>
  <si>
    <t>S.GEL SENYUM DOI</t>
  </si>
  <si>
    <t>INGAT GEBETAN</t>
  </si>
  <si>
    <t>SHAMPO</t>
  </si>
  <si>
    <t>180ML</t>
  </si>
  <si>
    <t>SASHA CREAMBATH</t>
  </si>
  <si>
    <t>44</t>
  </si>
  <si>
    <t>SASHA HAIR COLORANT</t>
  </si>
  <si>
    <t>45</t>
  </si>
  <si>
    <t>CHOCO BROWN</t>
  </si>
  <si>
    <t>DUSTY PHINE</t>
  </si>
  <si>
    <t>GOLDEN BLONDE</t>
  </si>
  <si>
    <t>NATURAL BLACK</t>
  </si>
  <si>
    <t>SKY BLUE</t>
  </si>
  <si>
    <t>SMOKEY LILAC</t>
  </si>
  <si>
    <t>DARK BROWN</t>
  </si>
  <si>
    <t>BURGUNDY</t>
  </si>
  <si>
    <t>SASHA HAIR VITAMIN</t>
  </si>
  <si>
    <t>46</t>
  </si>
  <si>
    <t>BLACK SHINE</t>
  </si>
  <si>
    <t>COLOR GLOW</t>
  </si>
  <si>
    <t>DAMAGE CARE</t>
  </si>
  <si>
    <t>SILKY SHINE</t>
  </si>
  <si>
    <t>SASHA PASTA</t>
  </si>
  <si>
    <t>47</t>
  </si>
  <si>
    <t>ANTIBACTERIAL</t>
  </si>
  <si>
    <t>65GR</t>
  </si>
  <si>
    <t>GIGI BERLUBANG</t>
  </si>
  <si>
    <t>SLEEK HAND WASH</t>
  </si>
  <si>
    <t>48</t>
  </si>
  <si>
    <t>APPLE</t>
  </si>
  <si>
    <t>400ML</t>
  </si>
  <si>
    <t>STRAWBERRY</t>
  </si>
  <si>
    <t>SLEEK FOAMY H W</t>
  </si>
  <si>
    <t>49</t>
  </si>
  <si>
    <t>CARING</t>
  </si>
  <si>
    <t>FRUITS&amp;VEGETABLE</t>
  </si>
  <si>
    <t>320ML</t>
  </si>
  <si>
    <t>REFRESH</t>
  </si>
  <si>
    <t>SOOTHING</t>
  </si>
  <si>
    <t>SLEEK BABY SPECIAL</t>
  </si>
  <si>
    <t>50</t>
  </si>
  <si>
    <t>BABY TELON OIL</t>
  </si>
  <si>
    <t>450ML</t>
  </si>
  <si>
    <t>900ML</t>
  </si>
  <si>
    <t>DIAPER CREAM</t>
  </si>
  <si>
    <t>80ML</t>
  </si>
  <si>
    <t>GIFT</t>
  </si>
  <si>
    <t>HAIR&amp;BODY</t>
  </si>
  <si>
    <t>FOAMY WASH</t>
  </si>
  <si>
    <t>LIQ.WASH</t>
  </si>
  <si>
    <t>120ML</t>
  </si>
  <si>
    <t>LAUNDRY DETERGENT</t>
  </si>
  <si>
    <t>20ML</t>
  </si>
  <si>
    <t>1200ML</t>
  </si>
  <si>
    <t>1200</t>
  </si>
  <si>
    <t>SOFTENER</t>
  </si>
  <si>
    <t>430ML</t>
  </si>
  <si>
    <t>0430</t>
  </si>
  <si>
    <t>750ML</t>
  </si>
  <si>
    <t>0750</t>
  </si>
  <si>
    <t>SLEEK TRAVEL WASH</t>
  </si>
  <si>
    <t>51</t>
  </si>
  <si>
    <t>LIME</t>
  </si>
  <si>
    <t>FG10621.146.0045.P</t>
  </si>
  <si>
    <t>FG17242.146.0150.C</t>
  </si>
  <si>
    <t>FG17242.146.0750.K</t>
  </si>
  <si>
    <t>103152</t>
  </si>
  <si>
    <t>103151</t>
  </si>
  <si>
    <t>103164</t>
  </si>
  <si>
    <t>103154</t>
  </si>
  <si>
    <t>103160</t>
  </si>
  <si>
    <t>103161</t>
  </si>
  <si>
    <t>103159</t>
  </si>
  <si>
    <t>105083</t>
  </si>
  <si>
    <t>105084</t>
  </si>
  <si>
    <t>105092</t>
  </si>
  <si>
    <t>105085</t>
  </si>
  <si>
    <t>105091</t>
  </si>
  <si>
    <t>106053</t>
  </si>
  <si>
    <t>106052</t>
  </si>
  <si>
    <t>106067</t>
  </si>
  <si>
    <t>106066</t>
  </si>
  <si>
    <t>106059</t>
  </si>
  <si>
    <t>106073</t>
  </si>
  <si>
    <t>106057</t>
  </si>
  <si>
    <t>106074</t>
  </si>
  <si>
    <t>106063</t>
  </si>
  <si>
    <t>106062</t>
  </si>
  <si>
    <t>106061</t>
  </si>
  <si>
    <t>106060</t>
  </si>
  <si>
    <t>106065</t>
  </si>
  <si>
    <t>106064</t>
  </si>
  <si>
    <t>106055</t>
  </si>
  <si>
    <t>106072</t>
  </si>
  <si>
    <t>106069</t>
  </si>
  <si>
    <t>106068</t>
  </si>
  <si>
    <t>106078</t>
  </si>
  <si>
    <t>106079</t>
  </si>
  <si>
    <t>110006</t>
  </si>
  <si>
    <t>110005</t>
  </si>
  <si>
    <t>110009</t>
  </si>
  <si>
    <t>110008</t>
  </si>
  <si>
    <t>110003</t>
  </si>
  <si>
    <t>110002</t>
  </si>
  <si>
    <t>110039</t>
  </si>
  <si>
    <t>110038</t>
  </si>
  <si>
    <t>110041</t>
  </si>
  <si>
    <t>110037</t>
  </si>
  <si>
    <t>110064</t>
  </si>
  <si>
    <t>110065</t>
  </si>
  <si>
    <t>115063</t>
  </si>
  <si>
    <t>115064</t>
  </si>
  <si>
    <t>115065</t>
  </si>
  <si>
    <t>115066</t>
  </si>
  <si>
    <t>ELLIPS DRY SHM FRUITY  200ML BTL -1705</t>
  </si>
  <si>
    <t>ESK DISNEY FBW MICKEY 200 ML POUCH</t>
  </si>
  <si>
    <t>ESK HAIR BW SOFT&amp;PROTECT 280ML PCH -1609</t>
  </si>
  <si>
    <t>OVALE ESST VIT FACE LIGHT 0,3 ML JAR</t>
  </si>
  <si>
    <t>SASHA VR VOO BLACK SHINE JAR -1503</t>
  </si>
  <si>
    <t>SASHA VR VOO DAMAGE CARE JAR -1503</t>
  </si>
  <si>
    <t>SASHA VR HAB DAMAGE CARE MINIBLR -2006</t>
  </si>
  <si>
    <t>SASHA VR VOO SILKY SHINE JAR -1503</t>
  </si>
  <si>
    <t>SASHA VR HAB SILKY SHINE MINIBLR -2006</t>
  </si>
  <si>
    <t>SLEEK FOAMY HW REFRESHING 250 ML PCH</t>
  </si>
  <si>
    <t>LITER</t>
  </si>
  <si>
    <t>100ml</t>
  </si>
  <si>
    <t>FRESH&amp;SMOOTH</t>
  </si>
  <si>
    <t>ENCHANTED PETALS</t>
  </si>
  <si>
    <t>TWILIGHT AMOUR</t>
  </si>
  <si>
    <t>OVALE MICELLAR WATER</t>
  </si>
  <si>
    <t>ACNE C.</t>
  </si>
  <si>
    <t>BRIGHTENING</t>
  </si>
  <si>
    <t>WATER ACNE SKIN</t>
  </si>
  <si>
    <t>B&amp;B PWD CUDDLY SOFT 150G BTL</t>
  </si>
  <si>
    <t>B&amp;B PWD WONDER SOFT 150G BTL</t>
  </si>
  <si>
    <t>B&amp;B SHM GIGGLY SHINE 250ML BTL</t>
  </si>
  <si>
    <t>B&amp;B SHM WONDER SHINE 250ML BTL</t>
  </si>
  <si>
    <t>B&amp;B SHM GIGGLY SHINE 100ML BTL</t>
  </si>
  <si>
    <t>B&amp;B SHM CUDDLY SHINE 100ML BTL</t>
  </si>
  <si>
    <t>B&amp;B SHM WONDER SHINE 100ML BTL</t>
  </si>
  <si>
    <t>CUDDLY SOFT</t>
  </si>
  <si>
    <t>GIGGLY SHINE</t>
  </si>
  <si>
    <t>WONDER SHINE</t>
  </si>
  <si>
    <t>WONDER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</si>
</sst>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d/mm/yyyy\ hh:m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Aptos Narrow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protection locked="0"/>
    </xf>
    <xf numFmtId="41" fontId="5" fillId="0" borderId="0">
      <alignment vertical="top"/>
      <protection locked="0"/>
    </xf>
    <xf numFmtId="0" fontId="7" fillId="0" borderId="0">
      <alignment vertical="center"/>
    </xf>
  </cellStyleXfs>
  <cellXfs count="10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pivotButton="1"/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pivotButton="1" applyAlignment="1">
      <alignment horizontal="center" vertical="center"/>
    </xf>
    <xf numFmtId="164" fontId="15" fillId="8" borderId="0" xfId="1" applyNumberFormat="1" applyFont="1" applyFill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4" fontId="17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12" fillId="7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164" fontId="12" fillId="9" borderId="0" xfId="1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/>
    <xf numFmtId="0" fontId="0" fillId="11" borderId="0" xfId="0" applyFill="1"/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1" fontId="0" fillId="12" borderId="12" xfId="0" applyNumberForma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49" fontId="2" fillId="1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49" fontId="2" fillId="12" borderId="0" xfId="0" quotePrefix="1" applyNumberFormat="1" applyFont="1" applyFill="1" applyAlignment="1">
      <alignment horizontal="center" vertical="center"/>
    </xf>
    <xf numFmtId="164" fontId="2" fillId="12" borderId="0" xfId="1" applyNumberFormat="1" applyFont="1" applyFill="1" applyBorder="1" applyAlignment="1">
      <alignment horizontal="center" vertical="center"/>
    </xf>
    <xf numFmtId="164" fontId="2" fillId="12" borderId="0" xfId="1" applyNumberFormat="1" applyFont="1" applyFill="1" applyAlignment="1">
      <alignment horizontal="center" vertical="center"/>
    </xf>
    <xf numFmtId="14" fontId="2" fillId="12" borderId="0" xfId="0" quotePrefix="1" applyNumberFormat="1" applyFont="1" applyFill="1" applyAlignment="1">
      <alignment horizontal="center" vertical="center"/>
    </xf>
    <xf numFmtId="0" fontId="0" fillId="12" borderId="0" xfId="0" quotePrefix="1" applyFill="1" applyAlignment="1">
      <alignment horizontal="center" vertical="center"/>
    </xf>
    <xf numFmtId="0" fontId="0" fillId="12" borderId="0" xfId="0" applyFill="1"/>
    <xf numFmtId="0" fontId="0" fillId="11" borderId="0" xfId="0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1" fontId="0" fillId="11" borderId="12" xfId="0" applyNumberForma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49" fontId="2" fillId="11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49" fontId="2" fillId="11" borderId="0" xfId="0" quotePrefix="1" applyNumberFormat="1" applyFont="1" applyFill="1" applyAlignment="1">
      <alignment horizontal="center" vertical="center"/>
    </xf>
    <xf numFmtId="164" fontId="2" fillId="11" borderId="0" xfId="1" applyNumberFormat="1" applyFont="1" applyFill="1" applyBorder="1" applyAlignment="1">
      <alignment horizontal="center" vertical="center"/>
    </xf>
    <xf numFmtId="164" fontId="2" fillId="11" borderId="0" xfId="1" applyNumberFormat="1" applyFont="1" applyFill="1" applyAlignment="1">
      <alignment horizontal="center" vertical="center"/>
    </xf>
    <xf numFmtId="14" fontId="2" fillId="11" borderId="0" xfId="0" quotePrefix="1" applyNumberFormat="1" applyFont="1" applyFill="1" applyAlignment="1">
      <alignment horizontal="center" vertical="center"/>
    </xf>
    <xf numFmtId="0" fontId="0" fillId="11" borderId="0" xfId="0" quotePrefix="1" applyFill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12" borderId="12" xfId="0" applyNumberFormat="1" applyFill="1" applyBorder="1" applyAlignment="1">
      <alignment horizontal="center" vertical="center"/>
    </xf>
    <xf numFmtId="0" fontId="0" fillId="11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2" borderId="0" xfId="0" applyNumberFormat="1" applyFill="1" applyAlignment="1">
      <alignment horizontal="left" vertical="center"/>
    </xf>
    <xf numFmtId="0" fontId="2" fillId="12" borderId="0" xfId="0" applyNumberFormat="1" applyFont="1" applyFill="1" applyAlignment="1">
      <alignment horizontal="center" vertical="center"/>
    </xf>
    <xf numFmtId="0" fontId="0" fillId="12" borderId="0" xfId="0" quotePrefix="1" applyNumberFormat="1" applyFill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13" fillId="2" borderId="10" xfId="1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</cellXfs>
  <cellStyles count="8">
    <cellStyle name="Comma" xfId="1" builtinId="3"/>
    <cellStyle name="Comma [0] 2" xfId="6" xr:uid="{B209AE8D-8414-4967-9B47-DE634695549A}"/>
    <cellStyle name="Comma 2" xfId="4" xr:uid="{3380173F-AD94-497B-88D1-7ABB8C0FBF67}"/>
    <cellStyle name="Comma 4" xfId="3" xr:uid="{BC76AE30-B22F-4565-8381-1CB1CD70D49D}"/>
    <cellStyle name="Normal" xfId="0" builtinId="0"/>
    <cellStyle name="Normal 2" xfId="2" xr:uid="{2DFBE380-8AC0-4BB4-AC2C-CCCDCF5765A3}"/>
    <cellStyle name="Normal 2 2" xfId="5" xr:uid="{F9D4CD8E-B798-4FFA-9031-10EDEC68785D}"/>
    <cellStyle name="Normal 3" xfId="7" xr:uid="{C21BE021-33E3-46F7-8BEA-8310A5A367FF}"/>
  </cellStyles>
  <dxfs count="157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I/2022/DAFTAR%20HARGA/FIX%20HARGA%20JUAL%20SUPER%20DES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SONS"/>
      <sheetName val="RECKITT)"/>
      <sheetName val="ENERGIZER"/>
      <sheetName val="SOFTEX"/>
      <sheetName val="GODREJ"/>
      <sheetName val="GONDOWANGI"/>
      <sheetName val="SUN PAPER SOURCE"/>
      <sheetName val="KINO NON FOOD"/>
      <sheetName val="ADNA"/>
      <sheetName val="PURATOS"/>
      <sheetName val="PURATOS  (2)"/>
      <sheetName val="ABCPI"/>
      <sheetName val="DOLPHIN"/>
      <sheetName val="FORISA"/>
      <sheetName val="URC"/>
      <sheetName val="MUSTIKA RATU"/>
      <sheetName val="EASTON"/>
      <sheetName val="UNIBIS"/>
      <sheetName val="MAMAYO"/>
      <sheetName val="FONTERA"/>
      <sheetName val="POKPHAND"/>
      <sheetName val="MOTASA"/>
      <sheetName val="PRISKILA"/>
      <sheetName val="HEINZ ABC"/>
      <sheetName val="KINO NON FOOD BARU"/>
      <sheetName val="FKS FOOD"/>
      <sheetName val="MARKETAMA INDAH"/>
      <sheetName val="FIX HARGA JUAL SUPER DESEMBER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510.710094560185" createdVersion="6" refreshedVersion="8" minRefreshableVersion="3" recordCount="204" xr:uid="{6C61A145-A2D9-422D-89C0-6957F382EDDB}">
  <cacheSource type="worksheet">
    <worksheetSource name="Table4"/>
  </cacheSource>
  <cacheFields count="54">
    <cacheField name="No. Urut_x000a_Item Sama" numFmtId="0">
      <sharedItems containsSemiMixedTypes="0" containsString="0" containsNumber="1" containsInteger="1" minValue="1" maxValue="4"/>
    </cacheField>
    <cacheField name="NO" numFmtId="0">
      <sharedItems containsSemiMixedTypes="0" containsString="0" containsNumber="1" containsInteger="1" minValue="1" maxValue="204" count="20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</sharedItems>
    </cacheField>
    <cacheField name="Kode Pcpl" numFmtId="0">
      <sharedItems containsSemiMixedTypes="0" containsString="0" containsNumber="1" containsInteger="1" minValue="100151" maxValue="4502160" count="220">
        <n v="100191"/>
        <n v="100156"/>
        <n v="100180"/>
        <n v="100151"/>
        <n v="100174"/>
        <n v="100192"/>
        <n v="100201"/>
        <n v="100194"/>
        <n v="100203"/>
        <n v="100193"/>
        <n v="100202"/>
        <n v="100204"/>
        <n v="100189"/>
        <n v="100222"/>
        <n v="100986"/>
        <n v="100179"/>
        <n v="100158"/>
        <n v="100172"/>
        <n v="100220"/>
        <n v="100187"/>
        <n v="100165"/>
        <n v="100976"/>
        <n v="100981"/>
        <n v="100225"/>
        <n v="100176"/>
        <n v="100188"/>
        <n v="100221"/>
        <n v="100186"/>
        <n v="100181"/>
        <n v="100161"/>
        <n v="100162"/>
        <n v="100166"/>
        <n v="100163"/>
        <n v="110016"/>
        <n v="110017"/>
        <n v="110014"/>
        <n v="110013"/>
        <n v="100195"/>
        <n v="100168"/>
        <n v="100205"/>
        <n v="100987"/>
        <n v="100975"/>
        <n v="120011"/>
        <n v="120029"/>
        <n v="120031"/>
        <n v="120033"/>
        <n v="120030"/>
        <n v="120035"/>
        <n v="120032"/>
        <n v="120034"/>
        <n v="120028"/>
        <n v="612087"/>
        <n v="612137"/>
        <n v="460166"/>
        <n v="460167"/>
        <n v="460168"/>
        <n v="460169"/>
        <n v="460170"/>
        <n v="460171"/>
        <n v="460172"/>
        <n v="460179"/>
        <n v="460056"/>
        <n v="460178"/>
        <n v="460918"/>
        <n v="460917"/>
        <n v="460921"/>
        <n v="460194"/>
        <n v="460195"/>
        <n v="460183"/>
        <n v="460165"/>
        <n v="460191"/>
        <n v="460190"/>
        <n v="460164"/>
        <n v="460189"/>
        <n v="460188"/>
        <n v="460061"/>
        <n v="460193"/>
        <n v="460192"/>
        <n v="460187"/>
        <n v="460060"/>
        <n v="460054"/>
        <n v="460185"/>
        <n v="460055"/>
        <n v="460186"/>
        <n v="460182"/>
        <n v="410066"/>
        <n v="410072"/>
        <n v="410068"/>
        <n v="410073"/>
        <n v="400135"/>
        <n v="400129"/>
        <n v="400138"/>
        <n v="400132"/>
        <n v="400139"/>
        <n v="400133"/>
        <n v="400137"/>
        <n v="400131"/>
        <n v="400130"/>
        <n v="400136"/>
        <n v="400140"/>
        <n v="400134"/>
        <n v="612045"/>
        <n v="612953"/>
        <n v="612042"/>
        <n v="612046"/>
        <n v="612043"/>
        <n v="612141"/>
        <n v="612047"/>
        <n v="612044"/>
        <n v="612134"/>
        <n v="612091"/>
        <n v="612958"/>
        <n v="190047"/>
        <n v="190057"/>
        <n v="190039"/>
        <n v="190034"/>
        <n v="190050"/>
        <n v="190036"/>
        <n v="190043"/>
        <n v="190035"/>
        <n v="190051"/>
        <n v="190040"/>
        <n v="190041"/>
        <n v="190031"/>
        <n v="150190"/>
        <n v="150189"/>
        <n v="150209"/>
        <n v="612096"/>
        <n v="150194"/>
        <n v="150971"/>
        <n v="150960"/>
        <n v="150193"/>
        <n v="150961"/>
        <n v="150319"/>
        <n v="612095"/>
        <n v="150978"/>
        <n v="612954"/>
        <n v="150196"/>
        <n v="612098"/>
        <n v="612955"/>
        <n v="612128"/>
        <n v="612957"/>
        <n v="150202"/>
        <n v="612130"/>
        <n v="612956"/>
        <n v="612100"/>
        <n v="150180"/>
        <n v="150177"/>
        <n v="150221"/>
        <n v="150119"/>
        <n v="150231"/>
        <n v="150320"/>
        <n v="150129"/>
        <n v="150204"/>
        <n v="150132"/>
        <n v="150206"/>
        <n v="150210"/>
        <n v="150230"/>
        <n v="150164"/>
        <n v="150186"/>
        <n v="150294"/>
        <n v="150975"/>
        <n v="150187"/>
        <n v="150168"/>
        <n v="150349"/>
        <n v="150171"/>
        <n v="150188"/>
        <n v="150162"/>
        <n v="150163"/>
        <n v="150181"/>
        <n v="150233"/>
        <n v="150178"/>
        <n v="150232"/>
        <n v="150150"/>
        <n v="150239"/>
        <n v="150154"/>
        <n v="150241"/>
        <n v="150153"/>
        <n v="150211"/>
        <n v="150240"/>
        <n v="150191"/>
        <n v="150234"/>
        <n v="150295"/>
        <n v="150976"/>
        <n v="150192"/>
        <n v="150235"/>
        <n v="150350"/>
        <n v="150081"/>
        <n v="150172"/>
        <n v="150226"/>
        <n v="150298"/>
        <n v="150299"/>
        <n v="150166"/>
        <n v="150173"/>
        <n v="150167"/>
        <n v="150174"/>
        <n v="150175"/>
        <n v="150176"/>
        <n v="150148"/>
        <n v="150218"/>
        <n v="150217"/>
        <n v="150219"/>
        <n v="150159"/>
        <n v="150184"/>
        <n v="460177" u="1"/>
        <n v="460176" u="1"/>
        <n v="4103849" u="1"/>
        <n v="4103997" u="1"/>
        <n v="4302689" u="1"/>
        <n v="4302755" u="1"/>
        <n v="4302756" u="1"/>
        <n v="4302757" u="1"/>
        <n v="4302758" u="1"/>
        <n v="4502156" u="1"/>
        <n v="4502159" u="1"/>
        <n v="4502160" u="1"/>
        <n v="3083299" u="1"/>
        <n v="3045745" u="1"/>
        <n v="3072571" u="1"/>
        <n v="3072572" u="1"/>
      </sharedItems>
    </cacheField>
    <cacheField name="Klp Brg Pcpl" numFmtId="0">
      <sharedItems/>
    </cacheField>
    <cacheField name="Nama Barang Principle" numFmtId="0">
      <sharedItems/>
    </cacheField>
    <cacheField name="ISI/CTN" numFmtId="0">
      <sharedItems containsSemiMixedTypes="0" containsString="0" containsNumber="1" containsInteger="1" minValue="1" maxValue="60"/>
    </cacheField>
    <cacheField name="SATUAN Fix Win" numFmtId="0">
      <sharedItems count="9">
        <s v="BTL"/>
        <s v="PCH"/>
        <s v="JRG"/>
        <s v="PCSX12"/>
        <s v="PCSX20"/>
        <s v="PCS"/>
        <s v="KLG"/>
        <s v="PCSX22"/>
        <s v="PCSX10"/>
      </sharedItems>
    </cacheField>
    <cacheField name="Nama Kelompok Win" numFmtId="0">
      <sharedItems/>
    </cacheField>
    <cacheField name="Kode KELOMPOK Win" numFmtId="0">
      <sharedItems/>
    </cacheField>
    <cacheField name="Kode BARANG Win2" numFmtId="0">
      <sharedItems count="202">
        <s v="A1011001062010"/>
        <s v="A1011001052010"/>
        <s v="A1011002052010"/>
        <s v="A1011003065010"/>
        <s v="A1011004065010"/>
        <s v="A1011005013510"/>
        <s v="A1011006013520"/>
        <s v="A1011005027510"/>
        <s v="A1011006007510"/>
        <s v="A1011000006210"/>
        <s v="A1011000006211"/>
        <s v="A1011000008010"/>
        <s v="A1011000030010"/>
        <s v="A1011000025010"/>
        <s v="A1011000068510"/>
        <s v="A1011000052010"/>
        <s v="A1011000052012"/>
        <s v="A1011000068512"/>
        <s v="A1011000060010"/>
        <s v="A1011000092510"/>
        <s v="A1011000082510"/>
        <s v="A1011000600010"/>
        <s v="A1011000102510"/>
        <s v="A1011000013510"/>
        <s v="A1011000027520"/>
        <s v="A1011000062010"/>
        <s v="A1011000060020"/>
        <s v="A1012000013310"/>
        <s v="A1012000600010"/>
        <s v="A1012000062010"/>
        <s v="A1011007002510"/>
        <s v="A1011007001510"/>
        <s v="A1011007001541"/>
        <s v="A1011007002741"/>
        <s v="A1020001019510"/>
        <s v="A1020002042010"/>
        <s v="A1020002013510"/>
        <s v="A1020003019510"/>
        <s v="A1020002019510"/>
        <s v="A1020004019510"/>
        <s v="A1030001000310"/>
        <s v="A1041001009010"/>
        <s v="A1041002009010"/>
        <s v="A1041003009010"/>
        <s v="A1041004009010"/>
        <s v="A1042001009010"/>
        <s v="A1042004009010"/>
        <s v="A1041005009010"/>
        <s v="A1050000025010"/>
        <s v="A1050000020010"/>
        <s v="A1050000025011"/>
        <s v="A1050000025020"/>
        <s v="A1061001020010"/>
        <s v="A1061002020010"/>
        <s v="A1061000020010"/>
        <s v="A1070001100010"/>
        <s v="A1070001025010"/>
        <s v="A1070002100010"/>
        <s v="A1070002025010"/>
        <s v="A1070003100010"/>
        <s v="A1070003025010"/>
        <s v="A1070004025010"/>
        <s v="A1070005025010"/>
        <s v="A1070006025010"/>
        <s v="A1080001025010"/>
        <s v="A1091001046010"/>
        <s v="A1091002046010"/>
        <s v="A1092001045010"/>
        <s v="A1092002045010"/>
        <s v="A1092003045010"/>
        <s v="A1092004045010"/>
        <s v="A1092005045010"/>
        <s v="A1092006045010"/>
        <s v="A1100001015510"/>
        <s v="A1100001015511"/>
        <s v="A1100001042510"/>
        <s v="A1100002015510"/>
        <s v="A1100002042510"/>
        <s v="A1100003030010"/>
        <s v="A1100004015510"/>
        <s v="A1100004042510"/>
        <s v="A1100005015510"/>
        <s v="A1100005040010"/>
        <s v="A1100005015511"/>
        <s v="A1111001032510"/>
        <s v="A1111001012510"/>
        <s v="A1110000000810"/>
        <s v="A1113000100010"/>
        <s v="A1110000570010"/>
        <s v="A1110000013510"/>
        <s v="A1110000027510"/>
        <s v="A1110000033510"/>
        <s v="A1121000000710"/>
        <s v="A1121000058010"/>
        <s v="A1122001001810"/>
        <s v="A1122001001811"/>
        <s v="A1122001018010"/>
        <s v="A1122001018011"/>
        <s v="A1122001007010"/>
        <s v="A1122001018020"/>
        <s v="A1122002001811"/>
        <s v="A1122002001810"/>
        <s v="A1122003001811"/>
        <s v="A1122003001810"/>
        <s v="A1122004001811"/>
        <s v="A1122004001810"/>
        <s v="A1122005001811"/>
        <s v="A1122005001810"/>
        <s v="A1123000007510"/>
        <s v="A1123000038010"/>
        <s v="A1123000100010"/>
        <s v="A1123000069010"/>
        <s v="A1123000000810"/>
        <s v="A1123000001510"/>
        <s v="A1123000013510"/>
        <s v="A1123000013010"/>
        <s v="A1123000013011"/>
        <s v="A1123000027010"/>
        <s v="A1123000033510"/>
        <s v="A1123000060010"/>
        <s v="A1123000500010"/>
        <s v="A1123000102410"/>
        <s v="A1124000007510"/>
        <s v="A1124000038010"/>
        <s v="A1124000095010"/>
        <s v="A1124000000810"/>
        <s v="A1124000001510"/>
        <s v="A1124000013510"/>
        <s v="A1124000013010"/>
        <s v="A1124000013011"/>
        <s v="A1124000027010"/>
        <s v="A1124000033510"/>
        <s v="A1125000007510"/>
        <s v="A1125000013510"/>
        <s v="A1126000013510"/>
        <s v="A1126000033510"/>
        <s v="A1127000013510"/>
        <s v="A1127000033510"/>
        <s v="A1120001013510"/>
        <s v="A1120001027510"/>
        <s v="A1128001012510"/>
        <s v="A1128002012510"/>
        <s v="A1128003012510"/>
        <s v="A1129001013510"/>
        <s v="A1129002013510"/>
        <s v="A1010011000010" u="1"/>
        <s v="A1010010250010" u="1"/>
        <s v="A1010020250010" u="1"/>
        <s v="A1020010300020" u="1"/>
        <s v="A1020020155020" u="1"/>
        <s v="A1020020425020" u="1"/>
        <s v="A1030010018030" u="1"/>
        <s v="A1030020018030" u="1"/>
        <s v="A1030030018030" u="1"/>
        <s v="G1011010150010" u="1"/>
        <s v="G1011020200010" u="1"/>
        <s v="G1021030050020" u="1"/>
        <s v="G1021040050020" u="1"/>
        <s v="G1021050050020" u="1"/>
        <s v="G1021060050020" u="1"/>
        <s v="G1021070050020" u="1"/>
        <s v="G1031080042020" u="1"/>
        <s v="G1031090042020" u="1"/>
        <s v="G1031100042020" u="1"/>
        <s v="K1011010065010" u="1"/>
        <s v="K1011010150010" u="1"/>
        <s v="K1011020065010" u="1"/>
        <s v="K1011020150010" u="1"/>
        <s v="K1011030065010" u="1"/>
        <s v="K1011030150010" u="1"/>
        <s v="K1021010400010" u="1"/>
        <s v="K1021020400010" u="1"/>
        <s v="K1021030400010" u="1"/>
        <s v="K1021010500010" u="1"/>
        <s v="K1021020500010" u="1"/>
        <s v="K1021030500010" u="1"/>
        <s v="K1021014000010" u="1"/>
        <s v="K1021024000010" u="1"/>
        <s v="K1021034000010" u="1"/>
        <s v="K1022010250010" u="1"/>
        <s v="K1022020250010" u="1"/>
        <s v="K1022030250010" u="1"/>
        <s v="K1022010250020" u="1"/>
        <s v="K1022020250020" u="1"/>
        <s v="K1022030250020" u="1"/>
        <s v="R1010090065010" u="1"/>
        <s v="R1010110065010" u="1"/>
        <s v="R1020010065010" u="1"/>
        <s v="R1020020065010" u="1"/>
        <s v="R1030010065010" u="1"/>
        <s v="R1030020065010" u="1"/>
        <s v="R1040010065010" u="1"/>
        <s v="R1040020065010" u="1"/>
        <s v="H1010011000010" u="1"/>
        <s v="H1010010250010" u="1"/>
        <s v="H1010020250010" u="1"/>
        <s v="H1020010300020" u="1"/>
        <s v="H1020020155020" u="1"/>
        <s v="H1020020425020" u="1"/>
        <s v="H1030010018030" u="1"/>
        <s v="H1030020018030" u="1"/>
        <s v="H1030030018030" u="1"/>
      </sharedItems>
    </cacheField>
    <cacheField name="LEN 15" numFmtId="0">
      <sharedItems containsSemiMixedTypes="0" containsString="0" containsNumber="1" containsInteger="1" minValue="14" maxValue="14"/>
    </cacheField>
    <cacheField name="Nama Win" numFmtId="0">
      <sharedItems/>
    </cacheField>
    <cacheField name="LEN 50" numFmtId="0">
      <sharedItems containsSemiMixedTypes="0" containsString="0" containsNumber="1" containsInteger="1" minValue="27" maxValue="51"/>
    </cacheField>
    <cacheField name="Nama Pcpl                   " numFmtId="0">
      <sharedItems/>
    </cacheField>
    <cacheField name="kode  2 Digit                (hrf+No)" numFmtId="0">
      <sharedItems/>
    </cacheField>
    <cacheField name="Nama            KLP" numFmtId="0">
      <sharedItems/>
    </cacheField>
    <cacheField name="kode  2 Digit                (Nomor)" numFmtId="0">
      <sharedItems containsMixedTypes="1" containsNumber="1" containsInteger="1" minValue="10" maxValue="12"/>
    </cacheField>
    <cacheField name="Nama            Sub KLP" numFmtId="0">
      <sharedItems containsBlank="1"/>
    </cacheField>
    <cacheField name="kode  1 Digit                (Nomor)" numFmtId="0">
      <sharedItems containsMixedTypes="1" containsNumber="1" containsInteger="1" minValue="1" maxValue="9"/>
    </cacheField>
    <cacheField name="Nama            Sub KLP2" numFmtId="0">
      <sharedItems containsNonDate="0" containsString="0" containsBlank="1"/>
    </cacheField>
    <cacheField name="kode  1 Digit                (Nomor)5" numFmtId="0">
      <sharedItems/>
    </cacheField>
    <cacheField name="Nama            Aroma/             Rasa" numFmtId="0">
      <sharedItems containsBlank="1"/>
    </cacheField>
    <cacheField name="kode  2 Digit                (Nomor)2" numFmtId="0">
      <sharedItems/>
    </cacheField>
    <cacheField name="Nama            Gramasi" numFmtId="0">
      <sharedItems/>
    </cacheField>
    <cacheField name="kode  4 Digit                (Nomor)" numFmtId="0">
      <sharedItems containsMixedTypes="1" containsNumber="1" containsInteger="1" minValue="1000" maxValue="6000"/>
    </cacheField>
    <cacheField name="Nama            Jenis Kemasan" numFmtId="0">
      <sharedItems/>
    </cacheField>
    <cacheField name="kode  1 Digit                (Nomor)3" numFmtId="0">
      <sharedItems/>
    </cacheField>
    <cacheField name="Nama            Promo" numFmtId="0">
      <sharedItems containsBlank="1"/>
    </cacheField>
    <cacheField name="kode  1 Digit                (Nomor)4" numFmtId="0">
      <sharedItems containsMixedTypes="1" containsNumber="1" containsInteger="1" minValue="0" maxValue="2"/>
    </cacheField>
    <cacheField name="Harga Beli Pcs_x000a_(-PPN)" numFmtId="0">
      <sharedItems containsNonDate="0" containsString="0" containsBlank="1"/>
    </cacheField>
    <cacheField name="Harga Beli Krt_x000a_(- PPN)" numFmtId="0">
      <sharedItems containsNonDate="0" containsString="0" containsBlank="1"/>
    </cacheField>
    <cacheField name="Harga Beli Pcs_x000a_(+PPN)" numFmtId="0">
      <sharedItems containsNonDate="0" containsString="0" containsBlank="1"/>
    </cacheField>
    <cacheField name="Harga Beli Krt_x000a_(+PPN)" numFmtId="0">
      <sharedItems containsNonDate="0" containsString="0" containsBlank="1"/>
    </cacheField>
    <cacheField name="Harga Jual Pcs GT_x000a_(-PPN)" numFmtId="0">
      <sharedItems containsNonDate="0" containsString="0" containsBlank="1"/>
    </cacheField>
    <cacheField name="Harga Jual Krt GT_x000a_(- PPN)" numFmtId="0">
      <sharedItems containsNonDate="0" containsString="0" containsBlank="1"/>
    </cacheField>
    <cacheField name="Harga Jual Pcs GT_x000a_(+PPN" numFmtId="0">
      <sharedItems containsNonDate="0" containsString="0" containsBlank="1"/>
    </cacheField>
    <cacheField name="Harga Jual Krt GT_x000a_(+PPN)" numFmtId="0">
      <sharedItems containsNonDate="0" containsString="0" containsBlank="1"/>
    </cacheField>
    <cacheField name="Harga Jual Pcs MT_x000a_(-PPN)" numFmtId="0">
      <sharedItems containsNonDate="0" containsString="0" containsBlank="1"/>
    </cacheField>
    <cacheField name="Harga Jual Krt MT_x000a_(- PPN)" numFmtId="0">
      <sharedItems containsNonDate="0" containsString="0" containsBlank="1"/>
    </cacheField>
    <cacheField name="Harga Jual Pcs MT_x000a_(+PPN)" numFmtId="0">
      <sharedItems containsNonDate="0" containsString="0" containsBlank="1"/>
    </cacheField>
    <cacheField name="Harga Jual Krt MT_x000a_(+PPN)" numFmtId="0">
      <sharedItems containsNonDate="0" containsString="0" containsBlank="1"/>
    </cacheField>
    <cacheField name="Efektif_x000a_Pembuatan" numFmtId="0">
      <sharedItems containsNonDate="0" containsDate="1" containsString="0" containsBlank="1" minDate="2022-06-16T00:00:00" maxDate="2022-06-17T00:00:00"/>
    </cacheField>
    <cacheField name="Efektif Naik Harga" numFmtId="0">
      <sharedItems containsNonDate="0" containsDate="1" containsString="0" containsBlank="1" minDate="2024-07-10T00:00:00" maxDate="2024-07-11T00:00:00"/>
    </cacheField>
    <cacheField name="Status_x000a_Pembuatan" numFmtId="0">
      <sharedItems/>
    </cacheField>
    <cacheField name="Status_x000a_Harga" numFmtId="0">
      <sharedItems/>
    </cacheField>
    <cacheField name="Mata Uang" numFmtId="0">
      <sharedItems/>
    </cacheField>
    <cacheField name="Kode_x000a_Golongan" numFmtId="0">
      <sharedItems/>
    </cacheField>
    <cacheField name="Kode PCPL To Win" numFmtId="0">
      <sharedItems/>
    </cacheField>
    <cacheField name="SAT BSR" numFmtId="0">
      <sharedItems/>
    </cacheField>
    <cacheField name="GD" numFmtId="0">
      <sharedItems/>
    </cacheField>
    <cacheField name="Kode PRK" numFmtId="0">
      <sharedItems containsSemiMixedTypes="0" containsString="0" containsNumber="1" containsInteger="1" minValue="11611" maxValue="11611"/>
    </cacheField>
    <cacheField name="Kode PRK SJ" numFmtId="0">
      <sharedItems containsSemiMixedTypes="0" containsString="0" containsNumber="1" containsInteger="1" minValue="11612" maxValue="11612"/>
    </cacheField>
    <cacheField name="Kode Job" numFmtId="0">
      <sharedItems containsNonDate="0" containsString="0" containsBlank="1"/>
    </cacheField>
    <cacheField name="Approval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09.68859189815" createdVersion="8" refreshedVersion="6" minRefreshableVersion="3" recordCount="680" xr:uid="{14271D16-06CD-49A1-81CD-A428F8521F54}">
  <cacheSource type="worksheet">
    <worksheetSource name="Table43"/>
  </cacheSource>
  <cacheFields count="63">
    <cacheField name="CONCATENATE MAPPING" numFmtId="0">
      <sharedItems/>
    </cacheField>
    <cacheField name="No. Urut_x000a_Item Sama" numFmtId="0">
      <sharedItems containsSemiMixedTypes="0" containsString="0" containsNumber="1" containsInteger="1" minValue="1" maxValue="4"/>
    </cacheField>
    <cacheField name="NO" numFmtId="0">
      <sharedItems containsString="0" containsBlank="1" containsNumber="1" containsInteger="1" minValue="1" maxValue="2"/>
    </cacheField>
    <cacheField name="Kode Pcpl" numFmtId="0">
      <sharedItems containsMixedTypes="1" containsNumber="1" containsInteger="1" minValue="100141" maxValue="100113773" count="1597">
        <s v="FG10101.470.0060.C"/>
        <s v="FG10101.470.0150.C"/>
        <s v="FG10101.335.0602.C"/>
        <s v="FG10101.335.1502.C"/>
        <s v="FG10101.471.0060.C"/>
        <s v="FG10101.471.0150.C"/>
        <s v="FG10101.495.0060.C"/>
        <s v="FG10101.495.0150.C"/>
        <s v="FG10101.496.0060.C"/>
        <s v="FG10101.496.0150.C"/>
        <s v="FG10101.497.0150.C"/>
        <s v="FG10101.498.0150.C"/>
        <s v="FG14939.669.0000.D"/>
        <s v="FG14939.670.0000.D"/>
        <s v="FG14939.671.0000.D"/>
        <s v="FG14939.672.0000.D"/>
        <s v="FG14939.673.0000.D"/>
        <s v="FG14939.674.0000.D"/>
        <s v="FG14939.675.0000.D"/>
        <s v="FG14939.658.0000.D"/>
        <s v="FG14939.659.0000.D"/>
        <s v="FG14939.660.0000.D"/>
        <s v="FG14939.661.0000.D"/>
        <s v="FG14939.662.0000.D"/>
        <s v="FG14939.663.0000.D"/>
        <s v="FG14939.664.0000.D"/>
        <s v="FG14939.665.0000.D"/>
        <s v="FG14939.666.0000.D"/>
        <s v="FG14939.667.0000.D"/>
        <s v="FG14939.676.0000.D"/>
        <s v="FG14939.677.0000.D"/>
        <s v="FG14939.705.0000.D"/>
        <s v="FG14939.706.0000.D"/>
        <s v="FG14939.703.0000.D"/>
        <s v="FG14939.704.0000.D"/>
        <s v="FG10223.747.0250.C"/>
        <s v="FG10223.695.0280.C"/>
        <s v="FG10223.708.0280.C"/>
        <s v="FG10286.494.0100.C"/>
        <s v="FG10247.493.0100.C"/>
        <s v="FG10233.269.0250.C"/>
        <s v="FG10237.020.0602.C"/>
        <s v="FG10237.020.1502.C"/>
        <s v="FG10237.028.0602.C"/>
        <s v="FG10237.028.1502.C"/>
        <s v="FG10237.029.0602.C"/>
        <s v="FG10237.029.1502.C"/>
        <s v="FG10237.269.1502.C"/>
        <s v="FG10237.634.0150.C"/>
        <s v="FG10231.269.0010.O"/>
        <s v="FG10231.269.0102.O"/>
        <s v="FG10231.695.0010.O"/>
        <s v="FG10231.695.0102.O"/>
        <s v="FG10231.696.0010.O"/>
        <s v="FG10231.696.0102.O"/>
        <s v="FG10229.184.0602.C"/>
        <s v="FG10229.020.0060.C"/>
        <s v="FG10229.184.1002.C"/>
        <s v="FG10229.020.0125.C"/>
        <s v="FG10229.206.0602.C"/>
        <s v="FG10229.028.0060.C"/>
        <s v="FG10229.206.1002.C"/>
        <s v="FG10229.028.0125.C"/>
        <s v="FG10229.108.0602.C"/>
        <s v="FG10229.029.0060.C"/>
        <s v="FG10229.108.1002.C"/>
        <s v="FG10229.029.0125.C"/>
        <s v="FG10229.161.0602.C"/>
        <s v="FG10229.733.0060.C"/>
        <s v="FG10229.161.1002.C"/>
        <s v="FG10229.733.0125.C"/>
        <s v="FG10229.747.0100.C"/>
        <s v="FG10229.692.0125.C"/>
        <s v="FG10229.695.0125.C"/>
        <s v="FG10229.708.0125.C"/>
        <s v="FG10270.266.0125.C"/>
        <s v="FG10229.196.1253.C"/>
        <s v="FG10229.207.1253.C"/>
        <s v="FG10246.747.0045.P"/>
        <s v="FG10246.269.0502.J"/>
        <s v="FG10246.747.0045.J"/>
        <s v="FG1610R.776.0100.P"/>
        <s v="FG1610R.777.0100.P"/>
        <s v="FG1610R.778.0100.P"/>
        <s v="FG1610R.779.0100.P"/>
        <s v="FG1610R.780.0100.P"/>
        <s v="FG1610R.781.0100.P"/>
        <s v="FG1610R.782.0100.P"/>
        <s v="FG16146.837.0100.P"/>
        <s v="FG10456.450.0110.C"/>
        <s v="FG10479.020.0050.C"/>
        <s v="FG10479.020.0200.C"/>
        <s v="FG10479.645.0050.C"/>
        <s v="FG10479.645.0200.C"/>
        <s v="FG10479.646.0050.C"/>
        <s v="FG10479.646.0200.C"/>
        <s v="FG10479.647.0050.C"/>
        <s v="FG10479.647.2001.C"/>
        <s v="FG10479.647.0200.C"/>
        <s v="FG10448.451.0018.O"/>
        <s v="FG10448.451.0120.P"/>
        <s v="FG10448.453.0018.O"/>
        <s v="FG10448.453.0120.P"/>
        <s v="FG10448.452.0018.O"/>
        <s v="FG10448.452.0120.P"/>
        <s v="FG10448.095.0012.O"/>
        <s v="FG10448.095.0020.O"/>
        <s v="FG10448.095.0202.O"/>
        <s v="FG10448.095.0203.O"/>
        <s v="FG10448.135.0020.O"/>
        <s v="FG10448.135.0202.O"/>
        <s v="FG10448.135.0203.O"/>
        <s v="FG10448.174.0020.O"/>
        <s v="FG10448.174.0202.O"/>
        <s v="FG10448.174.0203.O"/>
        <s v="FG10448.318.0020.O"/>
        <s v="FG10448.318.0202.O"/>
        <s v="FG10448.318.0203.O"/>
        <s v="FG1040V.791.0100.C"/>
        <s v="FG1040V.790.0100.C"/>
        <s v="FG10447.095.0015.B"/>
        <s v="FG10447.095.001N.H"/>
        <s v="FG10447.240.0012.B"/>
        <s v="FG10447.240.001N.H"/>
        <s v="FG10456.450.0045.C"/>
        <s v="FG10447.135.0012.B"/>
        <s v="FG10447.135.001N.H"/>
        <s v="FG10447.172.0014.B"/>
        <s v="FG10447.095.0014.B"/>
        <s v="FG10447.172.0015.B"/>
        <s v="FG10447.172.001N.H"/>
        <s v="FG10447.174.0012.B"/>
        <s v="FG10447.174.001N.H"/>
        <s v="FG10447.209.008P.D"/>
        <s v="FG10447.209.0034.C"/>
        <s v="FG10447.490.0001.B"/>
        <s v="FG10447.490.0030.C"/>
        <s v="FG10447.491.0001.B"/>
        <s v="FG10447.491.0030.C"/>
        <s v="FG10447.451.0012.B"/>
        <s v="FG10447.451.0001.H"/>
        <s v="FG10447.452.0012.B"/>
        <s v="FG10447.452.0001.H"/>
        <s v="FG10447.453.0012.B"/>
        <s v="FG10447.453.0001.H"/>
        <s v="FG10508.057.050R.C"/>
        <s v="FG10508.057.100R.C"/>
        <s v="FG10508.126.050R.C"/>
        <s v="FG10508.126.100R.C"/>
        <s v="FG10508.204.050R.C"/>
        <s v="FG10508.204.100R.C"/>
        <s v="FG10508.216.050R.C"/>
        <s v="FG10508.216.100R.C"/>
        <s v="FG10508.200.050R.C"/>
        <s v="FG10508.200.100R.C"/>
        <s v="FG10508.079.050R.C"/>
        <s v="FG10508.079.100R.C"/>
        <s v="FG10508.168.050R.C"/>
        <s v="FG10508.168.100R.C"/>
        <s v="FG10508.187.050R.C"/>
        <s v="FG10508.187.100R.C"/>
        <s v="FG10508.166.050R.C"/>
        <s v="FG10508.166.100R.C"/>
        <s v="FG1050E.697.0100.C"/>
        <s v="FG1050E.698.0100.C"/>
        <s v="FG10528.326.0070.C"/>
        <s v="FG10528.326.0125.C"/>
        <s v="FG10528.327.0070.C"/>
        <s v="FG10528.327.0125.C"/>
        <s v="FG10528.328.0070.C"/>
        <s v="FG10528.328.0125.C"/>
        <s v="FG10528.329.0070.C"/>
        <s v="FG10528.329.0125.C"/>
        <s v="FG10529.032.0065.C"/>
        <s v="FG10529.032.1052.C"/>
        <s v="FG10529.088.0065.C"/>
        <s v="FG10529.088.1052.C"/>
        <s v="FG10529.171.0652.C"/>
        <s v="FG10529.171.1052.C"/>
        <s v="FG10529.214.0652.C"/>
        <s v="FG10529.214.1052.C"/>
        <s v="FG10562.330.0125.C"/>
        <s v="FG10562.330.1252.C"/>
        <s v="FG10562.331.0125.C"/>
        <s v="FG10562.331.1252.C"/>
        <s v="FG10562.332.0125.C"/>
        <s v="FG10562.332.1252.C"/>
        <s v="FG10562.333.0125.C"/>
        <s v="FG10562.333.1252.C"/>
        <s v="FG10562.334.0125.C"/>
        <s v="FG10562.334.1252.C"/>
        <s v="FG10508.699.0100.C"/>
        <s v="FG10508.700.0100.C"/>
        <s v="FG10529.485.0110.C"/>
        <s v="FG10529.486.0110.C"/>
        <s v="FG10529.487.0110.C"/>
        <s v="FG10529.488.0110.C"/>
        <s v="FG10529.750.0110.C"/>
        <s v="FG10529.751.0110.C"/>
        <s v="FG10529.752.0110.C"/>
        <s v="FG10666.259.0050.C"/>
        <s v="FG10619.120.0200.C"/>
        <s v="FG10619.120.0200.K"/>
        <s v="FG10619.147.0200.C"/>
        <s v="FG10619.147.0200.K"/>
        <s v="FG10627.056.0503.C"/>
        <s v="FG10627.056.0504.C"/>
        <s v="FG10627.056.0505.C"/>
        <s v="FG10627.120.0503.C"/>
        <s v="FG10627.120.0504.C"/>
        <s v="FG10627.120.0505.C"/>
        <s v="FG10627.120.0506.C"/>
        <s v="FG10627.147.0503.C"/>
        <s v="FG10627.147.0504.C"/>
        <s v="FG10627.147.0505.C"/>
        <s v="FG10627.201.0503.C"/>
        <s v="FG10627.201.0504.C"/>
        <s v="FG10627.201.0505.C"/>
        <s v="FG10627.201.0506.C"/>
        <s v="FG10627.683.0018.C"/>
        <s v="FG10627.683.0050.C"/>
        <s v="FG10637.034.0150.C"/>
        <s v="FG10637.122.0150.C"/>
        <s v="FG10637.147.1502.C"/>
        <s v="FG10637.520.0150.C"/>
        <s v="FG10637.175.0150.C"/>
        <s v="FG10631.694.0102.O"/>
        <s v="FG10631.120.0102.O"/>
        <s v="FG10631.447.0500.K"/>
        <s v="FG10631.122.0010.O"/>
        <s v="FG10631.122.0102.O"/>
        <s v="FG10631.448.0500.K"/>
        <s v="FG10632.021.2502.C"/>
        <s v="FG10632.034.0250.C"/>
        <s v="FG10632.034.2502.C"/>
        <s v="FG10632.137.2502.C"/>
        <s v="FG10632.175.0250.C"/>
        <s v="FG10632.144.2502.C"/>
        <s v="FG10632.492.0250.C"/>
        <s v="FG10632.492.2502.C"/>
        <s v="FG10632.499.0250.C"/>
        <s v="FG10628.709.0060.C"/>
        <s v="FG10628.709.0125.C"/>
        <s v="FG10628.007.0603.C"/>
        <s v="FG10628.007.1253.C"/>
        <s v="FG10628.012.0602.C"/>
        <s v="FG10628.012.1252.C"/>
        <s v="FG10628.034.0602.C"/>
        <s v="FG10628.034.1252.C"/>
        <s v="FG10628.710.0060.C"/>
        <s v="FG10628.710.0125.C"/>
        <s v="FG10628.492.0602.C"/>
        <s v="FG10628.492.1252.C"/>
        <s v="FG10628.175.0602.C"/>
        <s v="FG10628.175.1252.C"/>
        <s v="FG10630.709.0125.C"/>
        <s v="FG10629.007.0125.C"/>
        <s v="FG10630.007.0125.C"/>
        <s v="FG10629.515.0125.C"/>
        <s v="FG10629.034.0125.C"/>
        <s v="FG10630.034.0125.C"/>
        <s v="FG10629.056.0060.C"/>
        <s v="FG10629.056.0100.C"/>
        <s v="FG10630.710.0125.C"/>
        <s v="FG10629.120.0060.C"/>
        <s v="FG10629.120.0100.C"/>
        <s v="FG10629.122.0060.C"/>
        <s v="FG10629.122.0100.C"/>
        <s v="FG10629.492.0125.C"/>
        <s v="FG10630.492.0125.C"/>
        <s v="FG10629.175.0125.C"/>
        <s v="FG10630.175.0125.C"/>
        <s v="FG10629.683.0009.C"/>
        <s v="FG10623.623.0280.C"/>
        <s v="FG10623.519.0280.C"/>
        <s v="FG10623.624.0280.C"/>
        <s v="FG10623.624.0280.K"/>
        <s v="FG10647.501.0100.C"/>
        <s v="FG14383.648.0030.C"/>
        <s v="FG14383.649.0030.C"/>
        <s v="FG14383.651.0030.C"/>
        <s v="FG14383.652.0030.C"/>
        <s v="FG14383.648.R030.C"/>
        <s v="FG14383.649.R030.C"/>
        <s v="FG14383.651.R030.C"/>
        <s v="FG14383.652.R030.C"/>
        <s v="FG14383.650.R030.C"/>
        <s v="FG14383.653.R030.C"/>
        <s v="FG14383.654.R030.C"/>
        <s v="FG14383.655.0050.C"/>
        <s v="FG14383.655.0502.C"/>
        <s v="FG14383.656.0050.C"/>
        <s v="FG14383.656.0502.C"/>
        <s v="FG14383.657.0050.C"/>
        <s v="FG14383.657.0502.C"/>
        <s v="FG14383.655.R050.C"/>
        <s v="FG14383.656.R050.C"/>
        <s v="FG14383.657.R050.C"/>
        <s v="FG15427.146.0050.C"/>
        <s v="FG15427.146.0100.C"/>
        <s v="FG15427.146.0500.C"/>
        <s v="FG15427.146.045L.G"/>
        <s v="FG15427.146.004L.G"/>
        <s v="FG15427.146.0018.C"/>
        <s v="FG15427.146.0182.C"/>
        <s v="FG15427.146.0602.C"/>
        <s v="FG15427.146.1002.C"/>
        <s v="FG15427.146.1005.C"/>
        <s v="FG15427.146.005L.G"/>
        <s v="FG15451.165.0001.O"/>
        <s v="FG10828.040.0752.C"/>
        <s v="FG10828.040.1502.C"/>
        <s v="FG10828.059.0075.C"/>
        <s v="FG10828.059.0150.C"/>
        <s v="FG10828.075.0752.C"/>
        <s v="FG10828.075.1502.C"/>
        <s v="FG10828.139.0752.C"/>
        <s v="FG10828.139.1502.C"/>
        <s v="FG10828.149.0752.C"/>
        <s v="FG10828.149.1502.C"/>
        <s v="FG10828.181.0752.C"/>
        <s v="FG10828.181.1502.C"/>
        <s v="FG10828.182.0752.C"/>
        <s v="FG10828.182.1502.C"/>
        <s v="FG10829.006.0502.C"/>
        <s v="FG10829.006.1002.C"/>
        <s v="FG10829.016.0502.C"/>
        <s v="FG10829.016.1002.C"/>
        <s v="FG10829.060.0502.C"/>
        <s v="FG10829.060.1002.C"/>
        <s v="FG10829.093.0502.C"/>
        <s v="FG10829.093.1002.C"/>
        <s v="FG10829.164.0502.C"/>
        <s v="FG10829.164.1002.C"/>
        <s v="FG10731.010.0150.C"/>
        <s v="FG10731.230.1502.C"/>
        <s v="FG10731.637.0150.C"/>
        <s v="FG10731.444.0150.C"/>
        <s v="FG10731.445.0150.C"/>
        <s v="FG10731.638.0150.C"/>
        <s v="FG10731.179.1503.C"/>
        <s v="FG10731.188.0150.C"/>
        <s v="FG10732.444.1752.C"/>
        <s v="FG10732.445.1752.C"/>
        <s v="FG10729.010.0100.C"/>
        <s v="FG10729.230.0100.C"/>
        <s v="FG10729.637.0100.C"/>
        <s v="FG10729.444.0100.C"/>
        <s v="FG10729.445.0100.C"/>
        <s v="FG10729.638.0100.C"/>
        <s v="FG10729.179.1003.C"/>
        <s v="FG10729.188.0100.C"/>
        <s v="FG10744.010.0075.H"/>
        <s v="FG10744.179.0753.H"/>
        <s v="FG10744.188.0075.H"/>
        <s v="FG10746.010.0502.P"/>
        <s v="FG10746.230.0502.P"/>
        <s v="FG10746.230.0503.P"/>
        <s v="FG10746.445.0502.P"/>
        <s v="FG10746.445.0050.P"/>
        <s v="FG10746.179.0504.P"/>
        <s v="FG10746.188.0502.P"/>
        <s v="FG10746.444.0050.J"/>
        <s v="FG10746.444.0502.J"/>
        <s v="FG10746.445.0503.J"/>
        <s v="FG10746.445.0502.J"/>
        <s v="FG10972.274.0100.C"/>
        <s v="FG10952.878.0010.O"/>
        <s v="FG10952.884.0015.O"/>
        <s v="FG10952.883.0015.O"/>
        <s v="FG10952.882.0015.O"/>
        <s v="FG10952.879.0010.O"/>
        <s v="FG10952.879.0101.O"/>
        <s v="FG10974.513.0060.C"/>
        <s v="FG10974.513.0100.C"/>
        <s v="FG10974.218.0060.C"/>
        <s v="FG10974.218.0100.C"/>
        <s v="FG10911.070.0003.B"/>
        <s v="FG10911.070.0003.H"/>
        <s v="FG10911.071.0003.B"/>
        <s v="FG10911.071.0003.H"/>
        <s v="FG10952.014.0152.O"/>
        <s v="FG10952.046.0152.O"/>
        <s v="FG10952.111.0152.O"/>
        <s v="FG10952.202.0152.O"/>
        <s v="FG10952.484.0015.O"/>
        <s v="FG10952.483.0015.O"/>
        <s v="FG10952.009.0152.O"/>
        <s v="FG10995.014.0015.O"/>
        <s v="FG10995.434.0015.O"/>
        <s v="FG10995.433.0015.O"/>
        <s v="FG10913.061.0BIG.D"/>
        <s v="FG10913.061.0SML.D"/>
        <s v="FG1090S.525.0030.C"/>
        <s v="FG1090S.719.0030.C"/>
        <s v="FG1090S.218.0030.C"/>
        <s v="FG10915.003.0603.C"/>
        <s v="FG10915.003.1003.C"/>
        <s v="FG10915.003.2003.C"/>
        <s v="FG10915.064.0603.C"/>
        <s v="FG10915.064.1003.C"/>
        <s v="FG10915.064.2003.C"/>
        <s v="FG10915.111.0603.C"/>
        <s v="FG10915.111.1003.C"/>
        <s v="FG10915.111.2003.C"/>
        <s v="FG10915.218.0603.C"/>
        <s v="FG10915.870.0060.C"/>
        <s v="FG10915.218.1003.C"/>
        <s v="FG10915.870.0100.C"/>
        <s v="FG10915.218.2003.C"/>
        <s v="FG10915.870.0200.C"/>
        <s v="FG10915.138.0603.C"/>
        <s v="FG10915.138.1003.C"/>
        <s v="FG10915.138.2003.C"/>
        <s v="FG10915.148.0602.C"/>
        <s v="FG10915.148.1002.C"/>
        <s v="FG10915.148.2002.C"/>
        <s v="FG10964.014.0010.H"/>
        <s v="FG10964.257.0010.H"/>
        <s v="FG10964.256.0010.H"/>
        <s v="FG10964.255.0010.H"/>
        <s v="FG10964.253.0010.H"/>
        <s v="FG10964.254.0010.H"/>
        <s v="FG10976.218.0100.C"/>
        <s v="FG10976.218.0200.C"/>
        <s v="FG10976.513.0100.C"/>
        <s v="FG10976.513.0200.C"/>
        <s v="FG10976.753.0100.C"/>
        <s v="FG10976.754.0100.C"/>
        <s v="FG11091.165.1003.C"/>
        <s v="FG11091.165.1002.C"/>
        <s v="FG11091.442.0100.C"/>
        <s v="FG11026.116.0502.C"/>
        <s v="FG11026.116.0902.C"/>
        <s v="FG11026.116.2002.C"/>
        <s v="FG11026.218.0050.C"/>
        <s v="FG11026.218.0090.C"/>
        <s v="FG11026.218.0200.C"/>
        <s v="FG11041.507.0602.C"/>
        <s v="FG11041.507.0903.C"/>
        <s v="FG11041.507.0200.C"/>
        <s v="FG11041.508.0902.C"/>
        <s v="FG11041.508.0200.C"/>
        <s v="FG11041.509.0602.C"/>
        <s v="FG11041.509.0902.C"/>
        <s v="FG11041.509.0200.C"/>
        <s v="FG11041.510.0902.C"/>
        <s v="FG11041.510.0200.C"/>
        <s v="FG11081.512.0602.C"/>
        <s v="FG11081.512.0902.C"/>
        <s v="FG11081.512.0200.C"/>
        <s v="FG11081.511.0602.C"/>
        <s v="FG11081.511.0902.C"/>
        <s v="FG11081.511.0200.C"/>
        <s v="FG11097.218.0050.C"/>
        <s v="FG11097.218.0090.C"/>
        <s v="FG11097.218.0200.C"/>
        <s v="FG11098.002.0050.C"/>
        <s v="FG11098.002.0125.C"/>
        <s v="FG11098.112.0125.C"/>
        <s v="FG11098.116.0050.C"/>
        <s v="FG11098.116.0125.C"/>
        <s v="FG11098.118.0050.C"/>
        <s v="FG11098.118.0125.C"/>
        <s v="FG11098.119.0125.C"/>
        <s v="FG11098.443.0050.C"/>
        <s v="FG11098.443.0125.C"/>
        <s v="FG11155.678.0030.O"/>
        <s v="FG11155.009.0030.O"/>
        <s v="FG11155.679.0030.O"/>
        <s v="FG11155.261.0030.O"/>
        <s v="FG11192.019.0010.D"/>
        <s v="FG11136.022.0025.D"/>
        <s v="FG11136.033.0025.D"/>
        <s v="FG11136.037.0025.D"/>
        <s v="FG11136.043.0025.D"/>
        <s v="FG11136.044.0025.D"/>
        <s v="FG11136.050.0025.D"/>
        <s v="FG11136.052.0025.D"/>
        <s v="FG11136.086.0025.D"/>
        <s v="FG11136.101.0025.D"/>
        <s v="FG11136.117.0025.D"/>
        <s v="FG11136.130.0025.D"/>
        <s v="FG11136.140.0025.D"/>
        <s v="FG11136.154.0025.D"/>
        <s v="FG11136.219.0025.D"/>
        <s v="FG11136.713.0025.D"/>
        <s v="FG11136.714.0025.D"/>
        <s v="FG1110W.784.0100.H"/>
        <s v="FG1110W.785.0100.H"/>
        <s v="FG1110W.786.0100.H"/>
        <s v="FG11108.784.0100.C"/>
        <s v="FG11108.785.0100.C"/>
        <s v="FG11160.784.0150.C"/>
        <s v="FG11160.785.0150.C"/>
        <s v="FG1110V.784.0050.C"/>
        <s v="FG1110V.785.0050.C"/>
        <s v="FG11128.784.0125.C"/>
        <s v="FG11128.785.0125.C"/>
        <s v="FG11128.786.0125.C"/>
        <s v="FG11129.784.0105.C"/>
        <s v="FG11129.785.0105.C"/>
        <s v="FG11129.786.0105.C"/>
        <s v="FG11129.787.0105.C"/>
        <s v="FG11131.785.0180.C"/>
        <s v="FG11131.784.0180.C"/>
        <s v="FG11255.009.0030.O"/>
        <s v="FG11255.261.0030.O"/>
        <s v="FG11236.713.0025.D"/>
        <s v="FG11236.019.0102.D"/>
        <s v="FG11236.022.0254.D"/>
        <s v="FG11236.033.0254.D"/>
        <s v="FG11236.899.0025.D"/>
        <s v="FG11236.086.0254.D"/>
        <s v="FG11236.043.0254.D"/>
        <s v="FG11236.714.0025.D"/>
        <s v="FG11236.130.0254.D"/>
        <s v="FG11236.140.0254.D"/>
        <s v="FG11236.189.0025.D"/>
        <s v="FG11236.180.0025.D"/>
        <s v="FG11247.468.0000.B"/>
        <s v="FG11247.468.0000.H"/>
        <s v="FG11247.900.0006.B"/>
        <s v="FG11247.467.0000.B"/>
        <s v="FG11247.467.0000.H"/>
        <s v="FG11247.467.0002.B"/>
        <s v="FG11247.469.0000.B"/>
        <s v="FG11247.469.0000.H"/>
        <s v="FG11247.469.0002.B"/>
        <s v="FG11246.641.0065.P"/>
        <s v="FG11246.641.0655.P"/>
        <s v="FG11246.641.0653.P"/>
        <s v="FG11246.641.0654.P"/>
        <s v="FG11246.641.0150.P"/>
        <s v="FG11246.641.1501.P"/>
        <s v="FG11246.641.1502.P"/>
        <s v="FG11246.641.1503.P"/>
        <s v="FG11246.722.0065.P"/>
        <s v="FG11246.722.0652.P"/>
        <s v="FG11246.722.0150.P"/>
        <s v="FG11246.722.1502.P"/>
        <s v="FG11246.218.0065.P"/>
        <s v="FG11246.218.0652.P"/>
        <s v="FG11246.218.0653.P"/>
        <s v="FG11246.218.0150.P"/>
        <s v="FG11246.218.1502.P"/>
        <s v="FG11246.218.1503.P"/>
        <s v="FG11322.005.4002.K"/>
        <s v="FG11322.005.5003.C"/>
        <s v="FG11322.005.5002.C"/>
        <s v="FG11322.005.04L2.G"/>
        <s v="FG11322.111.4002.K"/>
        <s v="FG11322.111.5003.C"/>
        <s v="FG11322.111.5002.C"/>
        <s v="FG11322.111.04L2.G"/>
        <s v="FG11322.184.4002.K"/>
        <s v="FG11322.184.5003.C"/>
        <s v="FG11322.184.5002.C"/>
        <s v="FG11322.184.04L2.G"/>
        <s v="FG11384.307.0250.C"/>
        <s v="FG11384.307.2502.C"/>
        <s v="FG11384.307.0250.K"/>
        <s v="FG11399.449.3202.C"/>
        <s v="FG11384.305.0250.C"/>
        <s v="FG11384.305.2502.C"/>
        <s v="FG11384.305.0250.K"/>
        <s v="FG11384.306.2503.C"/>
        <s v="FG11384.306.2504.C"/>
        <s v="FG11384.306.2502.K"/>
        <s v="FG11384.306.0250.C"/>
        <s v="FG11384.306.2502.C"/>
        <s v="FG11384.306.0250.K"/>
        <s v="FG11302.178.0000.A"/>
        <s v="FG1130D.146.0030.C"/>
        <s v="FG1130D.146.0070.C"/>
        <s v="FG11304.146.0702.K"/>
        <s v="FG11304.146.0703.K"/>
        <s v="FG11304.146.1502.C"/>
        <s v="FG11304.177.0150.C"/>
        <s v="FG11304.146.1503.C"/>
        <s v="FG11304.146.4502.K"/>
        <s v="FG11304.146.4504.J"/>
        <s v="FG11304.146.4503.K"/>
        <s v="FG11304.146.5002.C"/>
        <s v="FG11304.146.9002.K"/>
        <s v="FG11304.146.9003.J"/>
        <s v="FG11388.502.0080.P"/>
        <s v="FG11302.178.0000.J"/>
        <s v="FG11319.502.0250.K"/>
        <s v="FG11319.502.0300.C"/>
        <s v="FG11333.502.0120.C"/>
        <s v="FG11333.502.0250.C"/>
        <s v="FG11302.146.0020.O"/>
        <s v="FG11302.146.0450.K"/>
        <s v="FG11302.146.4502.K"/>
        <s v="FG11302.146.0500.C"/>
        <s v="FG11302.146.0900.K"/>
        <s v="FG11302.146.004L.G"/>
        <s v="FG11302.146.1200.C"/>
        <s v="FG10223.747.0200.K"/>
        <s v="FG10272.273.0250.K"/>
        <s v="FG10231.020.0100.C"/>
        <s v="FG10231.020.0200.C"/>
        <s v="FG10231.028.0100.C"/>
        <s v="FG10231.028.0200.C"/>
        <s v="FG10231.029.0100.C"/>
        <s v="FG10231.029.0200.C"/>
        <s v="FG10269.263.1802.C"/>
        <s v="FG10231.269.0200.C"/>
        <s v="FG10231.692.0200.C"/>
        <s v="FG10231.695.0200.C"/>
        <s v="FG10231.708.0200.C"/>
        <s v="FG10246.269.0502.P"/>
        <s v="FG10746.637.0050.P"/>
        <s v="FG10246.637.0050.P"/>
        <s v="FG10746.638.0050.P"/>
        <s v="FG10246.638.0050.P"/>
        <s v="FG10246.020.0502.P"/>
        <s v="FG10246.733.0050.P"/>
        <s v="FG10246.695.0050.P"/>
        <s v="FG10246.708.0050.P"/>
        <s v="FG10631.709.0200.C"/>
        <s v="(blank)"/>
        <s v="FG10631.438.0500.C"/>
        <s v="FG10667.009.0100.C"/>
        <s v="FG10667.009.0200.C"/>
        <s v="FG10631.439.0500.C"/>
        <s v="FG10631.034.1003.C"/>
        <s v="FG10631.034.1002.C"/>
        <s v="FG10631.034.2003.C"/>
        <s v="FG10631.440.0500.C"/>
        <s v="FG10631.056.0045.C"/>
        <s v="FG10631.056.1002.C"/>
        <s v="FG10631.056.2002.C"/>
        <s v="FG10631.710.0200.C"/>
        <s v="FG10631.694.0010.O"/>
        <s v="FG10631.694.0104.O"/>
        <s v="FG10631.120.0010.O"/>
        <s v="FG10631.120.0104.O"/>
        <s v="FG10631.120.0045.C"/>
        <s v="FG10631.120.1002.C"/>
        <s v="FG10631.120.2002.C"/>
        <s v="FG10631.447.0500.C"/>
        <s v="FG10631.122.0104.O"/>
        <s v="FG10631.122.0045.C"/>
        <s v="FG10631.122.1002.C"/>
        <s v="FG10631.122.2002.C"/>
        <s v="FG10631.448.0500.C"/>
        <s v="FG10631.517.0200.C"/>
        <s v="FG10631.517.2002.C"/>
        <s v="FG10667.261.0100.C"/>
        <s v="FG10667.261.0200.C"/>
        <s v="FG10631.492.2001.C"/>
        <s v="FG10631.492.2002.C"/>
        <s v="FG10631.175.1002.C"/>
        <s v="FG10631.175.0100.C"/>
        <s v="FG10631.175.0200.C"/>
        <s v="FG10631.175.2002.C"/>
        <s v="FG10623.623.0010.O"/>
        <s v="FG10623.120.0200.K"/>
        <s v="FG10623.120.0250.C"/>
        <s v="FG10686.516.0100.C"/>
        <s v="FG10686.304.0100.C"/>
        <s v="FG10952.879.0050.P"/>
        <s v="FG10952.014.0752.P"/>
        <s v="FG10952.014.0753.P"/>
        <s v="FG10952.111.0075.P"/>
        <s v="FG11365.113.0100.P"/>
        <s v="FG10479.020.2001.C"/>
        <s v="FG10632.500.0250.C"/>
        <s v="FG10632.710.0250.C"/>
        <s v="FG10632.518.0250.C"/>
        <s v="FG10479.645.2001.C"/>
        <s v="FG11247.467.0100.A"/>
        <s v="FG10952.883.0075.P"/>
        <s v="FG11247.900.0100.A"/>
        <s v="FG10631.007.2003.C"/>
        <s v="FG11123.784.0500.C"/>
        <s v="FG11123.785.0500.C"/>
        <s v="FG11123.786.0500.C"/>
        <n v="100003468" u="1"/>
        <n v="100110193" u="1"/>
        <n v="100106534" u="1"/>
        <n v="100112697" u="1"/>
        <n v="100108910" u="1"/>
        <n v="100203" u="1"/>
        <n v="100002372" u="1"/>
        <n v="100101774" u="1"/>
        <n v="100100102" u="1"/>
        <n v="100111473" u="1"/>
        <n v="100105822" u="1"/>
        <n v="100003012" u="1"/>
        <n v="100003204" u="1"/>
        <n v="100003332" u="1"/>
        <n v="100204" u="1"/>
        <n v="100003460" u="1"/>
        <n v="100106334" u="1"/>
        <n v="100112369" u="1"/>
        <n v="100101446" u="1"/>
        <n v="100004356" u="1"/>
        <n v="100205" u="1"/>
        <n v="100111022" u="1"/>
        <n v="100113009" u="1"/>
        <n v="100101894" u="1"/>
        <n v="100003068" u="1"/>
        <n v="100003260" u="1"/>
        <n v="100111662" u="1"/>
        <n v="100003324" u="1"/>
        <n v="100106198" u="1"/>
        <n v="100109990" u="1"/>
        <n v="100103302" u="1"/>
        <n v="100113006" u="1"/>
        <n v="100003060" u="1"/>
        <n v="100111462" u="1"/>
        <n v="100003252" u="1"/>
        <n v="100003316" u="1"/>
        <n v="100003380" u="1"/>
        <n v="100109982" u="1"/>
        <n v="100003508" u="1"/>
        <n v="100108374" u="1"/>
        <n v="100101366" u="1"/>
        <n v="100004212" u="1"/>
        <n v="100000425" u="1"/>
        <n v="100004340" u="1"/>
        <n v="100103614" u="1"/>
        <n v="100109142" u="1"/>
        <n v="100112870" u="1"/>
        <n v="100111326" u="1"/>
        <n v="100105798" u="1"/>
        <n v="100109910" u="1"/>
        <n v="100112286" u="1"/>
        <n v="100110486" u="1"/>
        <n v="100112862" u="1"/>
        <n v="100111254" u="1"/>
        <n v="100100075" u="1"/>
        <n v="100003305" u="1"/>
        <n v="100003369" u="1"/>
        <n v="100111958" u="1"/>
        <n v="100112342" u="1"/>
        <n v="100101227" u="1"/>
        <n v="100002273" u="1"/>
        <n v="100004329" u="1"/>
        <n v="100101803" u="1"/>
        <n v="100100067" u="1"/>
        <n v="100100131" u="1"/>
        <n v="100100259" u="1"/>
        <n v="100003297" u="1"/>
        <n v="100003361" u="1"/>
        <n v="100106358" u="1"/>
        <n v="100113750" u="1"/>
        <n v="100106550" u="1"/>
        <n v="100112462" u="1"/>
        <n v="100101347" u="1"/>
        <n v="100004193" u="1"/>
        <n v="100103531" u="1"/>
        <n v="100101795" u="1"/>
        <n v="410066" u="1"/>
        <n v="100109566" u="1"/>
        <n v="100003033" u="1"/>
        <n v="100003161" u="1"/>
        <n v="100100443" u="1"/>
        <n v="410068" u="1"/>
        <n v="100003289" u="1"/>
        <n v="100003417" u="1"/>
        <n v="150291" u="1"/>
        <n v="100108918" u="1"/>
        <n v="410072" u="1"/>
        <n v="150292" u="1"/>
        <n v="100004377" u="1"/>
        <n v="100103523" u="1"/>
        <n v="100111102" u="1"/>
        <n v="100111166" u="1"/>
        <n v="100101787" u="1"/>
        <n v="410073" u="1"/>
        <n v="100002897" u="1"/>
        <n v="100100435" u="1"/>
        <n v="100113670" u="1"/>
        <n v="150294" u="1"/>
        <n v="100106539" u="1"/>
        <n v="100112318" u="1"/>
        <n v="100101267" u="1"/>
        <n v="150295" u="1"/>
        <n v="100112830" u="1"/>
        <n v="100002441" u="1"/>
        <n v="100103515" u="1"/>
        <n v="100003017" u="1"/>
        <n v="100003209" u="1"/>
        <n v="100003337" u="1"/>
        <n v="100975" u="1"/>
        <n v="100003465" u="1"/>
        <n v="150298" u="1"/>
        <n v="120011" u="1"/>
        <n v="150299" u="1"/>
        <n v="100002369" u="1"/>
        <n v="100103379" u="1"/>
        <n v="100976" u="1"/>
        <n v="100100099" u="1"/>
        <n v="100220" u="1"/>
        <n v="100003009" u="1"/>
        <n v="100003329" u="1"/>
        <n v="100101059" u="1"/>
        <n v="100221" u="1"/>
        <n v="100108707" u="1"/>
        <n v="100002681" u="1"/>
        <n v="100103627" u="1"/>
        <n v="100111147" u="1"/>
        <n v="100101891" u="1"/>
        <n v="100111467" u="1"/>
        <n v="100222" u="1"/>
        <n v="100003321" u="1"/>
        <n v="100109987" u="1"/>
        <n v="900005" u="1"/>
        <n v="100113003" u="1"/>
        <n v="100100083" u="1"/>
        <n v="100003057" u="1"/>
        <n v="100003313" u="1"/>
        <n v="100003377" u="1"/>
        <n v="100109979" u="1"/>
        <n v="100001582" u="1"/>
        <n v="100111971" u="1"/>
        <n v="100981" u="1"/>
        <n v="100101363" u="1"/>
        <n v="100004209" u="1"/>
        <n v="100004337" u="1"/>
        <n v="100225" u="1"/>
        <n v="100112867" u="1"/>
        <n v="100111323" u="1"/>
        <n v="100105795" u="1"/>
        <n v="100111515" u="1"/>
        <n v="100003054" u="1"/>
        <n v="100109907" u="1"/>
        <n v="100226" u="1"/>
        <n v="100001638" u="1"/>
        <n v="100001766" u="1"/>
        <n v="100103411" u="1"/>
        <n v="100004334" u="1"/>
        <n v="100111251" u="1"/>
        <n v="100109579" u="1"/>
        <n v="100003302" u="1"/>
        <n v="100109963" u="1"/>
        <n v="100003366" u="1"/>
        <n v="100106363" u="1"/>
        <n v="100111955" u="1"/>
        <n v="100001694" u="1"/>
        <n v="100100840" u="1"/>
        <n v="100106555" u="1"/>
        <n v="100228" u="1"/>
        <n v="100101352" u="1"/>
        <n v="100004326" u="1"/>
        <n v="100112851" u="1"/>
        <n v="100101800" u="1"/>
        <n v="100002718" u="1"/>
        <n v="100229" u="1"/>
        <n v="100100064" u="1"/>
        <n v="100003166" u="1"/>
        <n v="150319" u="1"/>
        <n v="100003230" u="1"/>
        <n v="100986" u="1"/>
        <n v="100106547" u="1"/>
        <n v="150320" u="1"/>
        <n v="100112267" u="1"/>
        <n v="100101344" u="1"/>
        <n v="100987" u="1"/>
        <n v="100101792" u="1"/>
        <n v="100111235" u="1"/>
        <n v="100100120" u="1"/>
        <n v="100103848" u="1"/>
        <n v="460054" u="1"/>
        <n v="100100440" u="1"/>
        <n v="100003222" u="1"/>
        <n v="100113675" u="1"/>
        <n v="100003350" u="1"/>
        <n v="460055" u="1"/>
        <n v="460056" u="1"/>
        <n v="100108915" u="1"/>
        <n v="100004374" u="1"/>
        <n v="100111099" u="1"/>
        <n v="100111163" u="1"/>
        <n v="100101784" u="1"/>
        <n v="460060" u="1"/>
        <n v="100100112" u="1"/>
        <n v="100100240" u="1"/>
        <n v="100003022" u="1"/>
        <n v="460061" u="1"/>
        <n v="100233" u="1"/>
        <n v="100100432" u="1"/>
        <n v="100003214" u="1"/>
        <n v="100003342" u="1"/>
        <n v="100003406" u="1"/>
        <n v="100106536" u="1"/>
        <n v="100112507" u="1"/>
        <n v="100234" u="1"/>
        <n v="100002374" u="1"/>
        <n v="100103512" u="1"/>
        <n v="100101776" u="1"/>
        <n v="150329" u="1"/>
        <n v="100991" u="1"/>
        <n v="100100232" u="1"/>
        <n v="100003014" u="1"/>
        <n v="100003206" u="1"/>
        <n v="100001470" u="1"/>
        <n v="100003334" u="1"/>
        <n v="100111987" u="1"/>
        <n v="100112371" u="1"/>
        <n v="100002366" u="1"/>
        <n v="150332" u="1"/>
        <n v="100236" u="1"/>
        <n v="100004358" u="1"/>
        <n v="100002686" u="1"/>
        <n v="120028" u="1"/>
        <n v="100100096" u="1"/>
        <n v="150333" u="1"/>
        <n v="150081" u="1"/>
        <n v="100003262" u="1"/>
        <n v="100106200" u="1"/>
        <n v="100003454" u="1"/>
        <n v="100109992" u="1"/>
        <n v="120029" u="1"/>
        <n v="100111080" u="1"/>
        <n v="100238" u="1"/>
        <n v="120030" u="1"/>
        <n v="100002998" u="1"/>
        <n v="100003062" u="1"/>
        <n v="100111464" u="1"/>
        <n v="100003254" u="1"/>
        <n v="100109984" u="1"/>
        <n v="100100792" u="1"/>
        <n v="100108376" u="1"/>
        <n v="120031" u="1"/>
        <n v="100101368" u="1"/>
        <n v="100110880" u="1"/>
        <n v="100109144" u="1"/>
        <n v="100109208" u="1"/>
        <n v="100100272" u="1"/>
        <n v="120032" u="1"/>
        <n v="100100400" u="1"/>
        <n v="150341" u="1"/>
        <n v="100111968" u="1"/>
        <n v="100001771" u="1"/>
        <n v="100112288" u="1"/>
        <n v="100101232" u="1"/>
        <n v="100101360" u="1"/>
        <n v="120033" u="1"/>
        <n v="100002347" u="1"/>
        <n v="100112864" u="1"/>
        <n v="100111256" u="1"/>
        <n v="100100077" u="1"/>
        <n v="100003051" u="1"/>
        <n v="120034" u="1"/>
        <n v="100003307" u="1"/>
        <n v="100003371" u="1"/>
        <n v="100111960" u="1"/>
        <n v="100001763" u="1"/>
        <n v="100110416" u="1"/>
        <n v="100112344" u="1"/>
        <n v="100112408" u="1"/>
        <n v="120035" u="1"/>
        <n v="100004203" u="1"/>
        <n v="100004331" u="1"/>
        <n v="100111248" u="1"/>
        <n v="100003235" u="1"/>
        <n v="100003299" u="1"/>
        <n v="100003363" u="1"/>
        <n v="100106360" u="1"/>
        <n v="100106552" u="1"/>
        <n v="150349" u="1"/>
        <n v="100112272" u="1"/>
        <n v="100112464" u="1"/>
        <n v="100101349" u="1"/>
        <n v="150350" u="1"/>
        <n v="100004195" u="1"/>
        <n v="100003163" u="1"/>
        <n v="100003227" u="1"/>
        <n v="100003483" u="1"/>
        <n v="100112456" u="1"/>
        <n v="100101341" u="1"/>
        <n v="100101789" u="1"/>
        <n v="100111424" u="1"/>
        <n v="100100437" u="1"/>
        <n v="100003219" u="1"/>
        <n v="100003283" u="1"/>
        <n v="100113672" u="1"/>
        <n v="100003347" u="1"/>
        <n v="100106541" u="1"/>
        <n v="100003987" u="1"/>
        <n v="100108912" u="1"/>
        <n v="100112832" u="1"/>
        <n v="100103517" u="1"/>
        <n v="100103965" u="1"/>
        <n v="100003019" u="1"/>
        <n v="100003211" u="1"/>
        <n v="100003339" u="1"/>
        <n v="100104413" u="1"/>
        <n v="100003467" u="1"/>
        <n v="100108909" u="1"/>
        <n v="100002371" u="1"/>
        <n v="100004235" u="1"/>
        <n v="100103381" u="1"/>
        <n v="100101773" u="1"/>
        <n v="100105821" u="1"/>
        <n v="100003011" u="1"/>
        <n v="100003203" u="1"/>
        <n v="400129" u="1"/>
        <n v="100003331" u="1"/>
        <n v="100106205" u="1"/>
        <n v="100003459" u="1"/>
        <n v="400130" u="1"/>
        <n v="400131" u="1"/>
        <n v="100108709" u="1"/>
        <n v="400132" u="1"/>
        <n v="400133" u="1"/>
        <n v="100113008" u="1"/>
        <n v="400134" u="1"/>
        <n v="100105557" u="1"/>
        <n v="100101893" u="1"/>
        <n v="100109477" u="1"/>
        <n v="400135" u="1"/>
        <n v="100003067" u="1"/>
        <n v="400136" u="1"/>
        <n v="100111661" u="1"/>
        <n v="100003323" u="1"/>
        <n v="100100605" u="1"/>
        <n v="100106197" u="1"/>
        <n v="100109989" u="1"/>
        <n v="400137" u="1"/>
        <n v="400138" u="1"/>
        <n v="400139" u="1"/>
        <n v="400140" u="1"/>
        <n v="100003059" u="1"/>
        <n v="100104133" u="1"/>
        <n v="100003315" u="1"/>
        <n v="100003379" u="1"/>
        <n v="100109981" u="1"/>
        <n v="100113773" u="1"/>
        <n v="150119" u="1"/>
        <n v="100101365" u="1"/>
        <n v="100004211" u="1"/>
        <n v="100004339" u="1"/>
        <n v="100109141" u="1"/>
        <n v="100112869" u="1"/>
        <n v="100109205" u="1"/>
        <n v="100111325" u="1"/>
        <n v="100105797" u="1"/>
        <n v="100111709" u="1"/>
        <n v="100109909" u="1"/>
        <n v="100002216" u="1"/>
        <n v="100108877" u="1"/>
        <n v="100002472" u="1"/>
        <n v="100111253" u="1"/>
        <n v="100113437" u="1"/>
        <n v="460164" u="1"/>
        <n v="100003304" u="1"/>
        <n v="100003368" u="1"/>
        <n v="100111957" u="1"/>
        <n v="460165" u="1"/>
        <n v="100106557" u="1"/>
        <n v="460166" u="1"/>
        <n v="100108677" u="1"/>
        <n v="100002080" u="1"/>
        <n v="460167" u="1"/>
        <n v="460168" u="1"/>
        <n v="100004328" u="1"/>
        <n v="460169" u="1"/>
        <n v="100101802" u="1"/>
        <n v="100100066" u="1"/>
        <n v="460170" u="1"/>
        <n v="100003040" u="1"/>
        <n v="460171" u="1"/>
        <n v="150129" u="1"/>
        <n v="100003296" u="1"/>
        <n v="100108157" u="1"/>
        <n v="100003360" u="1"/>
        <n v="100113749" u="1"/>
        <n v="460172" u="1"/>
        <n v="100110085" u="1"/>
        <n v="100106549" u="1"/>
        <n v="100112269" u="1"/>
        <n v="460174" u="1"/>
        <n v="100112461" u="1"/>
        <n v="100101346" u="1"/>
        <n v="100002392" u="1"/>
        <n v="100103530" u="1"/>
        <n v="100101794" u="1"/>
        <n v="100111237" u="1"/>
        <n v="100103850" u="1"/>
        <n v="100109565" u="1"/>
        <n v="150132" u="1"/>
        <n v="100111429" u="1"/>
        <n v="100003032" u="1"/>
        <n v="100100314" u="1"/>
        <n v="460178" u="1"/>
        <n v="100003224" u="1"/>
        <n v="100003288" u="1"/>
        <n v="460179" u="1"/>
        <n v="100003416" u="1"/>
        <n v="460182" u="1"/>
        <n v="100002384" u="1"/>
        <n v="100112837" u="1"/>
        <n v="460183" u="1"/>
        <n v="100004376" u="1"/>
        <n v="100111101" u="1"/>
        <n v="100111165" u="1"/>
        <n v="100100114" u="1"/>
        <n v="100002896" u="1"/>
        <n v="460185" u="1"/>
        <n v="100109877" u="1"/>
        <n v="100003216" u="1"/>
        <n v="460186" u="1"/>
        <n v="100003280" u="1"/>
        <n v="100003344" u="1"/>
        <n v="100110197" u="1"/>
        <n v="460187" u="1"/>
        <n v="100106538" u="1"/>
        <n v="100112317" u="1"/>
        <n v="460188" u="1"/>
        <n v="460189" u="1"/>
        <n v="100002376" u="1"/>
        <n v="100112829" u="1"/>
        <n v="460190" u="1"/>
        <n v="100002440" u="1"/>
        <n v="100101778" u="1"/>
        <n v="460191" u="1"/>
        <n v="460192" u="1"/>
        <n v="100100234" u="1"/>
        <n v="100111541" u="1"/>
        <n v="460193" u="1"/>
        <n v="100003208" u="1"/>
        <n v="100003272" u="1"/>
        <n v="100003336" u="1"/>
        <n v="100111989" u="1"/>
        <n v="460194" u="1"/>
        <n v="100003464" u="1"/>
        <n v="460195" u="1"/>
        <n v="100002368" u="1"/>
        <n v="100141" u="1"/>
        <n v="100109162" u="1"/>
        <n v="100003008" u="1"/>
        <n v="100003328" u="1"/>
        <n v="100106202" u="1"/>
        <n v="100002680" u="1"/>
        <n v="100103626" u="1"/>
        <n v="100100090" u="1"/>
        <n v="100003000" u="1"/>
        <n v="612953" u="1"/>
        <n v="100111466" u="1"/>
        <n v="100001264" u="1"/>
        <n v="612954" u="1"/>
        <n v="100111658" u="1"/>
        <n v="612955" u="1"/>
        <n v="100003320" u="1"/>
        <n v="612956" u="1"/>
        <n v="100109986" u="1"/>
        <n v="100003512" u="1"/>
        <n v="612957" u="1"/>
        <n v="150148" u="1"/>
        <n v="612958" u="1"/>
        <n v="100109146" u="1"/>
        <n v="100113002" u="1"/>
        <n v="100100082" u="1"/>
        <n v="150150" u="1"/>
        <n v="100003056" u="1"/>
        <n v="100003312" u="1"/>
        <n v="100003376" u="1"/>
        <n v="100109978" u="1"/>
        <n v="100003504" u="1"/>
        <n v="100111970" u="1"/>
        <n v="100001773" u="1"/>
        <n v="100101362" u="1"/>
        <n v="100004208" u="1"/>
        <n v="100004336" u="1"/>
        <n v="150153" u="1"/>
        <n v="100112866" u="1"/>
        <n v="100111322" u="1"/>
        <n v="150154" u="1"/>
        <n v="100100207" u="1"/>
        <n v="100003053" u="1"/>
        <n v="100109906" u="1"/>
        <n v="100111962" u="1"/>
        <n v="100001765" u="1"/>
        <n v="100102898" u="1"/>
        <n v="100004333" u="1"/>
        <n v="100112858" u="1"/>
        <n v="100111250" u="1"/>
        <n v="100003301" u="1"/>
        <n v="100003365" u="1"/>
        <n v="100106362" u="1"/>
        <n v="100110026" u="1"/>
        <n v="100001693" u="1"/>
        <n v="100106554" u="1"/>
        <n v="150159" u="1"/>
        <n v="100108674" u="1"/>
        <n v="100004325" u="1"/>
        <n v="100112850" u="1"/>
        <n v="100101799" u="1"/>
        <n v="100002717" u="1"/>
        <n v="100100063" u="1"/>
        <n v="100003165" u="1"/>
        <n v="150162" u="1"/>
        <n v="100151" u="1"/>
        <n v="100003357" u="1"/>
        <n v="100003421" u="1"/>
        <n v="100106546" u="1"/>
        <n v="150163" u="1"/>
        <n v="100112458" u="1"/>
        <n v="100101343" u="1"/>
        <n v="150164" u="1"/>
        <n v="100100119" u="1"/>
        <n v="100103847" u="1"/>
        <n v="100100439" u="1"/>
        <n v="100113674" u="1"/>
        <n v="100003349" u="1"/>
        <n v="150166" u="1"/>
        <n v="150167" u="1"/>
        <n v="100108914" u="1"/>
        <n v="100103519" u="1"/>
        <n v="100111162" u="1"/>
        <n v="150168" u="1"/>
        <n v="100101783" u="1"/>
        <n v="100003021" u="1"/>
        <n v="100100431" u="1"/>
        <n v="100003213" u="1"/>
        <n v="100003341" u="1"/>
        <n v="100003469" u="1"/>
        <n v="100110194" u="1"/>
        <n v="100106535" u="1"/>
        <n v="100108719" u="1"/>
        <n v="150171" u="1"/>
        <n v="100108911" u="1"/>
        <n v="612042" u="1"/>
        <n v="612043" u="1"/>
        <n v="100111090" u="1"/>
        <n v="612044" u="1"/>
        <n v="100101775" u="1"/>
        <n v="612045" u="1"/>
        <n v="150172" u="1"/>
        <n v="100100103" u="1"/>
        <n v="100156" u="1"/>
        <n v="612046" u="1"/>
        <n v="100105823" u="1"/>
        <n v="612047" u="1"/>
        <n v="100003013" u="1"/>
        <n v="100113530" u="1"/>
        <n v="100003205" u="1"/>
        <n v="100001469" u="1"/>
        <n v="150173" u="1"/>
        <n v="100003333" u="1"/>
        <n v="100003397" u="1"/>
        <n v="100111986" u="1"/>
        <n v="100003461" u="1"/>
        <n v="150174" u="1"/>
        <n v="150175" u="1"/>
        <n v="100004357" u="1"/>
        <n v="100113010" u="1"/>
        <n v="100100095" u="1"/>
        <n v="100101895" u="1"/>
        <n v="150176" u="1"/>
        <n v="100003069" u="1"/>
        <n v="100158" u="1"/>
        <n v="100111663" u="1"/>
        <n v="100003325" u="1"/>
        <n v="100106199" u="1"/>
        <n v="100109991" u="1"/>
        <n v="150177" u="1"/>
        <n v="100112367" u="1"/>
        <n v="150178" u="1"/>
        <n v="100103303" u="1"/>
        <n v="100113007" u="1"/>
        <n v="100003061" u="1"/>
        <n v="100111463" u="1"/>
        <n v="150180" u="1"/>
        <n v="100003253" u="1"/>
        <n v="100003317" u="1"/>
        <n v="100109983" u="1"/>
        <n v="150181" u="1"/>
        <n v="100101367" u="1"/>
        <n v="100161" u="1"/>
        <n v="100004341" u="1"/>
        <n v="612087" u="1"/>
        <n v="100109143" u="1"/>
        <n v="100109207" u="1"/>
        <n v="100111327" u="1"/>
        <n v="100105799" u="1"/>
        <n v="612091" u="1"/>
        <n v="100001194" u="1"/>
        <n v="150184" u="1"/>
        <n v="100162" u="1"/>
        <n v="100106375" u="1"/>
        <n v="100111967" u="1"/>
        <n v="612095" u="1"/>
        <n v="612096" u="1"/>
        <n v="100001770" u="1"/>
        <n v="100112287" u="1"/>
        <n v="612098" u="1"/>
        <n v="100002218" u="1"/>
        <n v="612100" u="1"/>
        <n v="150186" u="1"/>
        <n v="100112863" u="1"/>
        <n v="100163" u="1"/>
        <n v="100111255" u="1"/>
        <n v="150187" u="1"/>
        <n v="100003050" u="1"/>
        <n v="100001250" u="1"/>
        <n v="100003306" u="1"/>
        <n v="100003370" u="1"/>
        <n v="100111959" u="1"/>
        <n v="150188" u="1"/>
        <n v="100001762" u="1"/>
        <n v="100112343" u="1"/>
        <n v="100108679" u="1"/>
        <n v="100101228" u="1"/>
        <n v="150189" u="1"/>
        <n v="100004202" u="1"/>
        <n v="150190" u="1"/>
        <n v="100165" u="1"/>
        <n v="100100068" u="1"/>
        <n v="100100260" u="1"/>
        <n v="150191" u="1"/>
        <n v="100003234" u="1"/>
        <n v="100003298" u="1"/>
        <n v="100003362" u="1"/>
        <n v="100106359" u="1"/>
        <n v="100113751" u="1"/>
        <n v="100106551" u="1"/>
        <n v="150192" u="1"/>
        <n v="100166" u="1"/>
        <n v="100112463" u="1"/>
        <n v="612128" u="1"/>
        <n v="100101348" u="1"/>
        <n v="100108927" u="1"/>
        <n v="150193" u="1"/>
        <n v="100004194" u="1"/>
        <n v="612130" u="1"/>
        <n v="100103532" u="1"/>
        <n v="100101796" u="1"/>
        <n v="150194" u="1"/>
        <n v="612134" u="1"/>
        <n v="100100316" u="1"/>
        <n v="100003162" u="1"/>
        <n v="100003226" u="1"/>
        <n v="612137" u="1"/>
        <n v="100108151" u="1"/>
        <n v="100003354" u="1"/>
        <n v="100003418" u="1"/>
        <n v="190031" u="1"/>
        <n v="612141" u="1"/>
        <n v="150196" u="1"/>
        <n v="100168" u="1"/>
        <n v="100112455" u="1"/>
        <n v="100101340" u="1"/>
        <n v="100111103" u="1"/>
        <n v="100111167" u="1"/>
        <n v="190034" u="1"/>
        <n v="100100436" u="1"/>
        <n v="100003282" u="1"/>
        <n v="100113671" u="1"/>
        <n v="100003346" u="1"/>
        <n v="190035" u="1"/>
        <n v="100106540" u="1"/>
        <n v="100112319" u="1"/>
        <n v="190036" u="1"/>
        <n v="100112831" u="1"/>
        <n v="100002442" u="1"/>
        <n v="100004370" u="1"/>
        <n v="100103516" u="1"/>
        <n v="100101780" u="1"/>
        <n v="100100236" u="1"/>
        <n v="100003018" u="1"/>
        <n v="150202" u="1"/>
        <n v="100003210" u="1"/>
        <n v="100003466" u="1"/>
        <n v="190039" u="1"/>
        <n v="150960" u="1"/>
        <n v="100108908" u="1"/>
        <n v="150204" u="1"/>
        <n v="100002370" u="1"/>
        <n v="100004234" u="1"/>
        <n v="100103380" u="1"/>
        <n v="100172" u="1"/>
        <n v="190040" u="1"/>
        <n v="100101772" u="1"/>
        <n v="150961" u="1"/>
        <n v="100100100" u="1"/>
        <n v="100105820" u="1"/>
        <n v="190041" u="1"/>
        <n v="100109676" u="1"/>
        <n v="100003202" u="1"/>
        <n v="100003330" u="1"/>
        <n v="100106204" u="1"/>
        <n v="150206" u="1"/>
        <n v="100173" u="1"/>
        <n v="100003458" u="1"/>
        <n v="190043" u="1"/>
        <n v="100174" u="1"/>
        <n v="100103628" u="1"/>
        <n v="100105556" u="1"/>
        <n v="100111148" u="1"/>
        <n v="100101892" u="1"/>
        <n v="100109476" u="1"/>
        <n v="100003066" u="1"/>
        <n v="100111468" u="1"/>
        <n v="150209" u="1"/>
        <n v="100003322" u="1"/>
        <n v="100100604" u="1"/>
        <n v="100109988" u="1"/>
        <n v="100100796" u="1"/>
        <n v="150210" u="1"/>
        <n v="150211" u="1"/>
        <n v="190047" u="1"/>
        <n v="100113004" u="1"/>
        <n v="100101948" u="1"/>
        <n v="100176" u="1"/>
        <n v="100003058" u="1"/>
        <n v="100104132" u="1"/>
        <n v="100003314" u="1"/>
        <n v="100003378" u="1"/>
        <n v="100109980" u="1"/>
        <n v="100113772" u="1"/>
        <n v="100111972" u="1"/>
        <n v="190050" u="1"/>
        <n v="100101364" u="1"/>
        <n v="150971" u="1"/>
        <n v="100004210" u="1"/>
        <n v="100004338" u="1"/>
        <n v="190051" u="1"/>
        <n v="100112868" u="1"/>
        <n v="100109204" u="1"/>
        <n v="100111324" u="1"/>
        <n v="100105796" u="1"/>
        <n v="100003055" u="1"/>
        <n v="100109908" u="1"/>
        <n v="100003311" u="1"/>
        <n v="150217" u="1"/>
        <n v="100003375" u="1"/>
        <n v="100003503" u="1"/>
        <n v="150218" u="1"/>
        <n v="100179" u="1"/>
        <n v="100002215" u="1"/>
        <n v="100108876" u="1"/>
        <n v="150975" u="1"/>
        <n v="100002471" u="1"/>
        <n v="100004335" u="1"/>
        <n v="150219" u="1"/>
        <n v="100111252" u="1"/>
        <n v="150976" u="1"/>
        <n v="100109580" u="1"/>
        <n v="100180" u="1"/>
        <n v="110013" u="1"/>
        <n v="100003303" u="1"/>
        <n v="100003367" u="1"/>
        <n v="100106364" u="1"/>
        <n v="100111956" u="1"/>
        <n v="150221" u="1"/>
        <n v="100100841" u="1"/>
        <n v="100106556" u="1"/>
        <n v="190057" u="1"/>
        <n v="150978" u="1"/>
        <n v="100108676" u="1"/>
        <n v="100101225" u="1"/>
        <n v="100181" u="1"/>
        <n v="110014" u="1"/>
        <n v="100004327" u="1"/>
        <n v="100112852" u="1"/>
        <n v="100101801" u="1"/>
        <n v="100100129" u="1"/>
        <n v="100111500" u="1"/>
        <n v="100003039" u="1"/>
        <n v="100003231" u="1"/>
        <n v="100108156" u="1"/>
        <n v="100003359" u="1"/>
        <n v="100100833" u="1"/>
        <n v="100106548" u="1"/>
        <n v="100112268" u="1"/>
        <n v="100112460" u="1"/>
        <n v="100101345" u="1"/>
        <n v="150226" u="1"/>
        <n v="110016" u="1"/>
        <n v="100101793" u="1"/>
        <n v="100111236" u="1"/>
        <n v="100103849" u="1"/>
        <n v="100109564" u="1"/>
        <n v="100100313" u="1"/>
        <n v="100113420" u="1"/>
        <n v="100001295" u="1"/>
        <n v="100100441" u="1"/>
        <n v="100003223" u="1"/>
        <n v="100003287" u="1"/>
        <n v="100003351" u="1"/>
        <n v="110017" u="1"/>
        <n v="100108916" u="1"/>
        <n v="100103521" u="1"/>
        <n v="100111100" u="1"/>
        <n v="150230" u="1"/>
        <n v="100111164" u="1"/>
        <n v="100101785" u="1"/>
        <n v="110018" u="1"/>
        <n v="100002895" u="1"/>
        <n v="100100241" u="1"/>
        <n v="150231" u="1"/>
        <n v="100003215" u="1"/>
        <n v="100003279" u="1"/>
        <n v="100003343" u="1"/>
        <n v="100110196" u="1"/>
        <n v="150232" u="1"/>
        <n v="100186" u="1"/>
        <n v="100106537" u="1"/>
        <n v="150233" u="1"/>
        <n v="100103513" u="1"/>
        <n v="150234" u="1"/>
        <n v="100187" u="1"/>
        <n v="100003015" u="1"/>
        <n v="100003207" u="1"/>
        <n v="150235" u="1"/>
        <n v="100001471" u="1"/>
        <n v="100111988" u="1"/>
        <n v="100188" u="1"/>
        <n v="100002367" u="1"/>
        <n v="100101449" u="1"/>
        <n v="100003007" u="1"/>
        <n v="100189" u="1"/>
        <n v="100003263" u="1"/>
        <n v="100003327" u="1"/>
        <n v="100106201" u="1"/>
        <n v="100003455" u="1"/>
        <n v="100109993" u="1"/>
        <n v="150239" u="1"/>
        <n v="150240" u="1"/>
        <n v="150241" u="1"/>
        <n v="100103625" u="1"/>
        <n v="100100089" u="1"/>
        <n v="100002999" u="1"/>
        <n v="100003063" u="1"/>
        <n v="100111465" u="1"/>
        <n v="100191" u="1"/>
        <n v="100003255" u="1"/>
        <n v="100003319" u="1"/>
        <n v="100109985" u="1"/>
        <n v="100100793" u="1"/>
        <n v="100101369" u="1"/>
        <n v="100192" u="1"/>
        <n v="100110881" u="1"/>
        <n v="100109145" u="1"/>
        <n v="100109209" u="1"/>
        <n v="100100081" u="1"/>
        <n v="100100273" u="1"/>
        <n v="100100337" u="1"/>
        <n v="100193" u="1"/>
        <n v="100111969" u="1"/>
        <n v="100001772" u="1"/>
        <n v="100101361" u="1"/>
        <n v="100194" u="1"/>
        <n v="100112865" u="1"/>
        <n v="100003052" u="1"/>
        <n v="100113441" u="1"/>
        <n v="460917" u="1"/>
        <n v="100003308" u="1"/>
        <n v="100003372" u="1"/>
        <n v="100111961" u="1"/>
        <n v="100195" u="1"/>
        <n v="460918" u="1"/>
        <n v="100001764" u="1"/>
        <n v="100102897" u="1"/>
        <n v="100101230" u="1"/>
        <n v="100004204" u="1"/>
        <n v="460921" u="1"/>
        <n v="100004332" u="1"/>
        <n v="100111249" u="1"/>
        <n v="100003300" u="1"/>
        <n v="100109961" u="1"/>
        <n v="100003364" u="1"/>
        <n v="100106361" u="1"/>
        <n v="100110025" u="1"/>
        <n v="100106553" u="1"/>
        <n v="100112465" u="1"/>
        <n v="100101350" u="1"/>
        <n v="100004324" u="1"/>
        <n v="100112849" u="1"/>
        <n v="100100062" u="1"/>
        <n v="100003164" u="1"/>
        <n v="100003228" u="1"/>
        <n v="100108153" u="1"/>
        <n v="100112457" u="1"/>
        <n v="100101342" u="1"/>
        <n v="100101790" u="1"/>
        <n v="100111169" u="1"/>
        <n v="100100118" u="1"/>
        <n v="100109625" u="1"/>
        <n v="100003284" u="1"/>
        <n v="100113673" u="1"/>
        <n v="100003348" u="1"/>
        <n v="100106542" u="1"/>
        <n v="100108721" u="1"/>
        <n v="100201" u="1"/>
        <n v="100103518" u="1"/>
        <n v="100111161" u="1"/>
        <n v="100101782" u="1"/>
        <n v="100003020" u="1"/>
        <n v="100202" u="1"/>
      </sharedItems>
    </cacheField>
    <cacheField name="Klp Brg Pcpl" numFmtId="0">
      <sharedItems containsBlank="1"/>
    </cacheField>
    <cacheField name="Nama Barang Principle" numFmtId="0">
      <sharedItems containsMixedTypes="1" containsNumber="1" containsInteger="1" minValue="0" maxValue="0"/>
    </cacheField>
    <cacheField name="ISI/CTN" numFmtId="0">
      <sharedItems containsSemiMixedTypes="0" containsString="0" containsNumber="1" containsInteger="1" minValue="0" maxValue="288" count="25">
        <n v="36"/>
        <n v="100"/>
        <n v="24"/>
        <n v="120"/>
        <n v="48"/>
        <n v="12"/>
        <n v="72"/>
        <n v="144"/>
        <n v="18"/>
        <n v="20"/>
        <n v="4"/>
        <n v="60"/>
        <n v="288"/>
        <n v="0"/>
        <n v="6"/>
        <n v="96"/>
        <n v="160"/>
        <n v="2" u="1"/>
        <n v="21" u="1"/>
        <n v="1" u="1"/>
        <n v="8" u="1"/>
        <n v="9" u="1"/>
        <n v="10" u="1"/>
        <n v="216" u="1"/>
        <n v="30" u="1"/>
      </sharedItems>
    </cacheField>
    <cacheField name="Column1" numFmtId="1">
      <sharedItems containsString="0" containsBlank="1" containsNumber="1" containsInteger="1" minValue="8998103001616" maxValue="8998103001616"/>
    </cacheField>
    <cacheField name="SATUAN Fix Win" numFmtId="0">
      <sharedItems containsMixedTypes="1" containsNumber="1" containsInteger="1" minValue="0" maxValue="0" count="3">
        <s v="BTL"/>
        <s v="BOX"/>
        <n v="0"/>
      </sharedItems>
    </cacheField>
    <cacheField name="Nama Kelompok Win" numFmtId="0">
      <sharedItems/>
    </cacheField>
    <cacheField name="Kode Kelompok Win" numFmtId="0">
      <sharedItems/>
    </cacheField>
    <cacheField name="Kode BARANG Win2" numFmtId="0">
      <sharedItems count="1427">
        <s v="K1010001006010"/>
        <s v="K1010001015010"/>
        <s v="K1010002006010"/>
        <s v="K1010002015010"/>
        <s v="K1010003006010"/>
        <s v="K1010003015010"/>
        <s v="K1020001006010"/>
        <s v="K1020001015010"/>
        <s v="K1020002006010"/>
        <s v="K1020002015010"/>
        <s v="K1021001015010"/>
        <s v="K1021002015020"/>
        <s v="K1030001000010"/>
        <s v="K1030002000010"/>
        <s v="K1030003000010"/>
        <s v="K1030004000010"/>
        <s v="K1030005000010"/>
        <s v="K1030006000010"/>
        <s v="K1030007000010"/>
        <s v="K1030008000010"/>
        <s v="K1030009000010"/>
        <s v="K1030010000010"/>
        <s v="K1030011000010"/>
        <s v="K1030012000010"/>
        <s v="K1030013000010"/>
        <s v="K1030014000010"/>
        <s v="K1030015000010"/>
        <s v="K1030016000010"/>
        <s v="K1030017000010"/>
        <s v="K1030018000010"/>
        <s v="K1030019000010"/>
        <s v="K1030020000010"/>
        <s v="K1030021000010"/>
        <s v="K1030022000010"/>
        <s v="K1030023000010"/>
        <s v="K1041001025010"/>
        <s v="K1041001028010"/>
        <s v="K1041002028020"/>
        <s v="K1042001010010"/>
        <s v="K1043001010010"/>
        <s v="K1044001025010"/>
        <s v="K1045001006010"/>
        <s v="K1045001015020"/>
        <s v="K1045002006010"/>
        <s v="K1045002015010"/>
        <s v="K1045003006010"/>
        <s v="K1045003015010"/>
        <s v="K1045004015010"/>
        <s v="K1045005015010"/>
        <s v="K1046005001010"/>
        <s v="K1046006001020"/>
        <s v="K1046007001020"/>
        <s v="K1047001006020"/>
        <s v="K1047001012520"/>
        <s v="K1047001012510"/>
        <s v="K1047002006010"/>
        <s v="K1047002012520"/>
        <s v="K1047003006020"/>
        <s v="K1047003006010"/>
        <s v="K1047003012510"/>
        <s v="K1047004006010"/>
        <s v="K1047004012510"/>
        <s v="K1047009010010"/>
        <s v="K1047010012510"/>
        <s v="K1047011012510"/>
        <s v="K1047012012510"/>
        <s v="K1047013012510"/>
        <s v="K1047014012510"/>
        <s v="K1047015012510"/>
        <s v="K1048008004510"/>
        <s v="K1049001005020"/>
        <s v="K1049002004520"/>
        <s v="K1051001010020"/>
        <s v="K1051002010020"/>
        <s v="K1051003010020"/>
        <s v="K1051004010020"/>
        <s v="K1051005010010"/>
        <s v="K1051006010010"/>
        <s v="K1051007010010"/>
        <s v="K1051008010010"/>
        <s v="K1060001011010"/>
        <s v="K1070001005010"/>
        <s v="K1070001020010"/>
        <s v="K1070002005010"/>
        <s v="K1070002020010"/>
        <s v="K1070003005010"/>
        <s v="K1070003020010"/>
        <s v="K1070004005010"/>
        <s v="K1070004020020"/>
        <s v="K1081001001810"/>
        <s v="K1081001012020"/>
        <s v="K1081002001820"/>
        <s v="K1081002012010"/>
        <s v="K1081003001820"/>
        <s v="K1081003012020"/>
        <s v="K1082001001220"/>
        <s v="K1082001002010"/>
        <s v="K1082001002020"/>
        <s v="K1082002002020"/>
        <s v="K1082002002010"/>
        <s v="K1082003002010"/>
        <s v="K1082003002020"/>
        <s v="K1082004002010"/>
        <s v="K1090001010010"/>
        <s v="K1090002010010"/>
        <s v="K1100001000140"/>
        <s v="K1100001000110"/>
        <s v="K1100002000140"/>
        <s v="K1100002000120"/>
        <s v="K1100003004510"/>
        <s v="K1100004000140"/>
        <s v="K1100004000110"/>
        <s v="K1100005000110"/>
        <s v="K1100006000110"/>
        <s v="K1100007000140"/>
        <s v="K1100007000110"/>
        <s v="K1100008000140"/>
        <s v="K1100008000130"/>
        <s v="K1100009000821"/>
        <s v="K1100009003410"/>
        <s v="K1101011000120"/>
        <s v="K1101011003010"/>
        <s v="K1101012000120"/>
        <s v="K1101012003010"/>
        <s v="K1102006000120"/>
        <s v="K1102006000110"/>
        <s v="K1102007000120"/>
        <s v="K1102007000110"/>
        <s v="K1102008000120"/>
        <s v="K1102008000110"/>
        <s v="K1111001005010"/>
        <s v="K1111001010010"/>
        <s v="K1111002005010"/>
        <s v="K1111002010010"/>
        <s v="K1111003005010"/>
        <s v="K1111003010010"/>
        <s v="K1111004005010"/>
        <s v="K1111004010010"/>
        <s v="K1111005005010"/>
        <s v="K1111005010010"/>
        <s v="K1111006005010"/>
        <s v="K1111006010010"/>
        <s v="K1111007005010"/>
        <s v="K1111007010010"/>
        <s v="K1111008005010"/>
        <s v="K1111008010010"/>
        <s v="K1111009005010"/>
        <s v="K1111009010010"/>
        <s v="K1112001010010"/>
        <s v="K1112002010010"/>
        <s v="K1113001007010"/>
        <s v="K1113001012510"/>
        <s v="K1113002007010"/>
        <s v="K1113002012510"/>
        <s v="K1113003007010"/>
        <s v="K1113003012510"/>
        <s v="K1113004007010"/>
        <s v="K1113004012510"/>
        <s v="K1114001006510"/>
        <s v="K1114001010510"/>
        <s v="K1114002006510"/>
        <s v="K1114002010510"/>
        <s v="K1114003006510"/>
        <s v="K1114003010510"/>
        <s v="K1114004006510"/>
        <s v="K1114004010510"/>
        <s v="K1121001012510"/>
        <s v="K1121002012510"/>
        <s v="K1121003012510"/>
        <s v="K1121004012510"/>
        <s v="K1121005012510"/>
        <s v="K1122001010010"/>
        <s v="K1122002010010"/>
        <s v="K1131001011010"/>
        <s v="K1131002011020"/>
        <s v="K1131003011010"/>
        <s v="K1131004011020"/>
        <s v="K1141001011010"/>
        <s v="K1141002011010"/>
        <s v="K1141003011010"/>
        <s v="K1151001005010"/>
        <s v="K1152001020010"/>
        <s v="K1152002020020"/>
        <s v="K1152002020010"/>
        <s v="K1153001005010"/>
        <s v="K1153002005010"/>
        <s v="K1153002005020"/>
        <s v="K1153003005020"/>
        <s v="K1153004005020"/>
        <s v="K1153005001820"/>
        <s v="K1153005005020"/>
        <s v="K1154001015020"/>
        <s v="K1154002015020"/>
        <s v="K1154003015010"/>
        <s v="K1154004015040"/>
        <s v="K1154005015010"/>
        <s v="K1155008001040"/>
        <s v="K1155009001020"/>
        <s v="K1155009050020"/>
        <s v="K1155010001020"/>
        <s v="K1155010050030"/>
        <s v="K1156001025010"/>
        <s v="K1156002025040"/>
        <s v="K1156002025020"/>
        <s v="K1156003025020"/>
        <s v="K1156004025020"/>
        <s v="K1156005025020"/>
        <s v="K1156006025030"/>
        <s v="K1156006025020"/>
        <s v="K1156007025020"/>
        <s v="K1157001006020"/>
        <s v="K1157001012520"/>
        <s v="K1157002006020"/>
        <s v="K1157002012520"/>
        <s v="K1157003006010"/>
        <s v="K1157003012510"/>
        <s v="K1157004006010"/>
        <s v="K1157004012510"/>
        <s v="K1157005006010"/>
        <s v="K1157005012510"/>
        <s v="K1157006006010"/>
        <s v="K1157006012510"/>
        <s v="K1157007006010"/>
        <s v="K1157007012510"/>
        <s v="K1158001012510"/>
        <s v="K1158002012510"/>
        <s v="K1158003012510"/>
        <s v="K1158004012510"/>
        <s v="K1158005006010"/>
        <s v="K1158005010010"/>
        <s v="K1158006012510"/>
        <s v="K1158007006010"/>
        <s v="K1158007010010"/>
        <s v="K1158008006010"/>
        <s v="K1158008010010"/>
        <s v="K1158009012510"/>
        <s v="K1158010012510"/>
        <s v="K1158011000910"/>
        <s v="K1161001028010"/>
        <s v="K1161003028010"/>
        <s v="K1161004028010"/>
        <s v="K1163001010010"/>
        <s v="K1170001003010"/>
        <s v="K1170002003010"/>
        <s v="K1170003003010"/>
        <s v="K1170004003010"/>
        <s v="K1180001003010"/>
        <s v="K1180002003030"/>
        <s v="K1180003003010"/>
        <s v="K1180004003020"/>
        <s v="K1180005003010"/>
        <s v="K1180006003010"/>
        <s v="K1180007003020"/>
        <s v="K1190001005010"/>
        <s v="K1190001005011"/>
        <s v="K1190002005010"/>
        <s v="K1190002005011"/>
        <s v="K1190003005010"/>
        <s v="K1190003005011"/>
        <s v="K1200001005010"/>
        <s v="K1200002005010"/>
        <s v="K1200003005010"/>
        <s v="K1210001005010"/>
        <s v="K1210001010010"/>
        <s v="K1210001050010"/>
        <s v="K1210001100410"/>
        <s v="K1220001001810"/>
        <s v="K1220001006010"/>
        <s v="K1220001010010"/>
        <s v="K1220001100410"/>
        <s v="K1230001000010"/>
        <s v="K1241001007510"/>
        <s v="K1241001015010"/>
        <s v="K1241002007510"/>
        <s v="K1241002015010"/>
        <s v="K1241003007510"/>
        <s v="K1241003015010"/>
        <s v="K1241004007510"/>
        <s v="K1241004015010"/>
        <s v="K1241005007520"/>
        <s v="K1241005015010"/>
        <s v="K1241006007510"/>
        <s v="K1241006015010"/>
        <s v="K1241007007520"/>
        <s v="K1241007015010"/>
        <s v="K1242001005010"/>
        <s v="K1242001010010"/>
        <s v="K1242002005010"/>
        <s v="K1242002010010"/>
        <s v="K1242003005010"/>
        <s v="K1242003010010"/>
        <s v="K1242004005010"/>
        <s v="K1242004010010"/>
        <s v="K1242005005010"/>
        <s v="K1242005010010"/>
        <s v="K1251001015010"/>
        <s v="K1251002015010"/>
        <s v="K1251003015010"/>
        <s v="K1251004015010"/>
        <s v="K1251005015010"/>
        <s v="K1251006015010"/>
        <s v="K1251007015010"/>
        <s v="K1251008015010"/>
        <s v="K1252001017510"/>
        <s v="K1252002017510"/>
        <s v="K1253001010010"/>
        <s v="K1253002010010"/>
        <s v="K1253003010010"/>
        <s v="K1253004010010"/>
        <s v="K1253005010010"/>
        <s v="K1253006010010"/>
        <s v="K1253007010010"/>
        <s v="K1253008010010"/>
        <s v="K1254001007510"/>
        <s v="K1254002007510"/>
        <s v="K1254003007510"/>
        <s v="K1255001005010"/>
        <s v="K1255002005010"/>
        <s v="K1255003005010"/>
        <s v="K1255004005010"/>
        <s v="K1255005005010"/>
        <s v="K1256001005010"/>
        <s v="K1256002005010"/>
        <s v="K1260001010010"/>
        <s v="K1270001001010"/>
        <s v="K1270002001510"/>
        <s v="K1270003001510"/>
        <s v="K1270004001510"/>
        <s v="K1270005001010"/>
        <s v="K1280001006010"/>
        <s v="K1280001010010"/>
        <s v="K1280002006010"/>
        <s v="K1280002010010"/>
        <s v="K1290001000310"/>
        <s v="K1290002000310"/>
        <s v="K1290002000320"/>
        <s v="K1300001001510"/>
        <s v="K1300002001510"/>
        <s v="K1300003001520"/>
        <s v="K1300004001510"/>
        <s v="K1301001001510"/>
        <s v="K1301002001510"/>
        <s v="K1302001001510"/>
        <s v="K1302002001510"/>
        <s v="K1302003001520"/>
        <s v="K1302004001510"/>
        <s v="K1310001000020"/>
        <s v="K1310002000010"/>
        <s v="K1320001003020"/>
        <s v="K1320002003010"/>
        <s v="K1320003003010"/>
        <s v="K1330001006020"/>
        <s v="K1330001010010"/>
        <s v="K1330001020010"/>
        <s v="K1330002006010"/>
        <s v="K1330002010010"/>
        <s v="K1330002020010"/>
        <s v="K1330003006010"/>
        <s v="K1330003010010"/>
        <s v="K1330003020010"/>
        <s v="K1330004006010"/>
        <s v="K1330004010010"/>
        <s v="K1330004020010"/>
        <s v="K1330005006010"/>
        <s v="K1330005010010"/>
        <s v="K1330005020010"/>
        <s v="K1330006006010"/>
        <s v="K1330006010010"/>
        <s v="K1330006020010"/>
        <s v="K1340001010010"/>
        <s v="K1340002010010"/>
        <s v="K1340003010010"/>
        <s v="K1340004010010"/>
        <s v="K1340005010010"/>
        <s v="K1340006010010"/>
        <s v="K1350001010010"/>
        <s v="K1350001020010"/>
        <s v="K1350002010010"/>
        <s v="K1350002020010"/>
        <s v="K1351001010010"/>
        <s v="K1351002010010"/>
        <s v="K1360001010010"/>
        <s v="K1361000010010"/>
        <s v="K1370000005010"/>
        <s v="K1370000009010"/>
        <s v="K1370000020010"/>
        <s v="K1370001005010"/>
        <s v="K1370001009010"/>
        <s v="K1370001020010"/>
        <s v="K1380001006010"/>
        <s v="K1380001009010"/>
        <s v="K1380001020010"/>
        <s v="K1380002009010"/>
        <s v="K1380002020010"/>
        <s v="K1380003006010"/>
        <s v="K1380003009010"/>
        <s v="K1380003020010"/>
        <s v="K1380004009010"/>
        <s v="K1380004020010"/>
        <s v="K1381001006010"/>
        <s v="K1381001009010"/>
        <s v="K1381001020010"/>
        <s v="K1381002006010"/>
        <s v="K1381002009010"/>
        <s v="K1381002020010"/>
        <s v="K1390001005010"/>
        <s v="K1390001009010"/>
        <s v="K1390001020010"/>
        <s v="K1400001005010"/>
        <s v="K1400001012510"/>
        <s v="K1400002012510"/>
        <s v="K1400003005010"/>
        <s v="K1400003012510"/>
        <s v="K1400004005010"/>
        <s v="K1400004012510"/>
        <s v="K1400005012510"/>
        <s v="K1400006005010"/>
        <s v="K1400006012510"/>
        <s v="K1410001003010"/>
        <s v="K1410002003010"/>
        <s v="K1410004003010"/>
        <s v="K1410005003010"/>
        <s v="K1420001001010"/>
        <s v="K1420002002510"/>
        <s v="K1420003002510"/>
        <s v="K1420004002510"/>
        <s v="K1420005002510"/>
        <s v="K1420006002510"/>
        <s v="K1420007002510"/>
        <s v="K1420008002510"/>
        <s v="K1420009002510"/>
        <s v="K1420010002510"/>
        <s v="K1420011002510"/>
        <s v="K1420012002510"/>
        <s v="K1420013002510"/>
        <s v="K1420014002510"/>
        <s v="K1420015002510"/>
        <s v="K1420016002510"/>
        <s v="K1420017002510"/>
        <s v="K1431001010010"/>
        <s v="K1431002010010"/>
        <s v="K1431003010010"/>
        <s v="K1432001010010"/>
        <s v="K1432002010010"/>
        <s v="K1433001015010"/>
        <s v="K1433002015010"/>
        <s v="K1434001006510"/>
        <s v="K1434002006510"/>
        <s v="K1435001012510"/>
        <s v="K1435002012510"/>
        <s v="K1435003012510"/>
        <s v="K1436001010520"/>
        <s v="K1436002010520"/>
        <s v="K1436003010510"/>
        <s v="K1436004010510"/>
        <s v="K1437002018010"/>
        <s v="K1437003018010"/>
        <s v="K1440001003010"/>
        <s v="K1440002003010"/>
        <s v="K1450001002510"/>
        <s v="K1450002001010"/>
        <s v="K1450003002510"/>
        <s v="K1450004002510"/>
        <s v="K1450005002510"/>
        <s v="K1450006002510"/>
        <s v="K1450007002510"/>
        <s v="K1450008002510"/>
        <s v="K1450009002510"/>
        <s v="K1450010002510"/>
        <s v="K1450011002510"/>
        <s v="K1450012002510"/>
        <s v="K1460001000110"/>
        <s v="K1460002000110"/>
        <s v="K1460003000110"/>
        <s v="K1460004000110"/>
        <s v="K1470001006510"/>
        <s v="K1470001006511"/>
        <s v="K1470001015020"/>
        <s v="K1470001015010"/>
        <s v="K1470001015041"/>
        <s v="K1470001015011"/>
        <s v="K1470002006520"/>
        <s v="K1470002006531"/>
        <s v="K1470002015040"/>
        <s v="K1470002015011"/>
        <s v="K1470003006520"/>
        <s v="K1470003006531"/>
        <s v="K1470003006511"/>
        <s v="K1470003015010"/>
        <s v="K1470003015011"/>
        <s v="K1480001040010"/>
        <s v="K1480001050010"/>
        <s v="K1480001100410"/>
        <s v="K1480002040010"/>
        <s v="K1480002050010"/>
        <s v="K1480002100410"/>
        <s v="K1480003040010"/>
        <s v="K1480003050010"/>
        <s v="K1480003100420"/>
        <s v="K1490001025010"/>
        <s v="K1490001025011"/>
        <s v="K1490001025020"/>
        <s v="K1490002032020"/>
        <s v="K1490003025020"/>
        <s v="K1490003025011"/>
        <s v="K1490004025020"/>
        <s v="K1490004025011"/>
        <s v="K1490004025010"/>
        <s v="K1490005025020"/>
        <s v="K1490005025011"/>
        <s v="K1490005025010"/>
        <s v="K1500000000010"/>
        <s v="K1501000003040"/>
        <s v="K1501000007030"/>
        <s v="K1502000007030"/>
        <s v="K1502000007010"/>
        <s v="K1502000015030"/>
        <s v="K1502000015020"/>
        <s v="K1502000015012"/>
        <s v="K1502000045010"/>
        <s v="K1502000045011"/>
        <s v="K1502000045022"/>
        <s v="K1502000050010"/>
        <s v="K1502000090010"/>
        <s v="K1502000090011"/>
        <s v="K1503000008020"/>
        <s v="K1504000000010"/>
        <s v="K1505001025010"/>
        <s v="K1505001030020"/>
        <s v="K1505002012010"/>
        <s v="K1505002025010"/>
        <s v="K1506000002020"/>
        <s v="K1506000045030"/>
        <s v="K1506000045011"/>
        <s v="K1506000050020"/>
        <s v="K1506000090030"/>
        <s v="K1506000100410"/>
        <s v="K1506000120020"/>
        <s v="K1041002020030"/>
        <s v="K1044002025010"/>
        <s v="K1046001010020"/>
        <s v="K1046001020010"/>
        <s v="K104600201000"/>
        <s v="K104600202000"/>
        <s v="K104600301000"/>
        <s v="K104600302000"/>
        <s v="K104600402000"/>
        <s v="K104600702000"/>
        <s v="K104600802000"/>
        <s v="K104600902000"/>
        <s v="K104800200500"/>
        <s v="K104800300500"/>
        <s v="K104800400500"/>
        <s v="K104800500500"/>
        <s v="K104800600500"/>
        <s v="K104800700500"/>
        <s v="K115500102000"/>
        <s v="K115500201000"/>
        <s v="K115500205000"/>
        <s v="K115500301000"/>
        <s v="K115500302000"/>
        <s v="K115500405000"/>
        <s v="K115500501000"/>
        <s v="K115500502000"/>
        <s v="K115500505000"/>
        <s v="K115500600450"/>
        <s v="K115500601000"/>
        <s v="K115500602000"/>
        <s v="K115500702000"/>
        <s v="K115500800100"/>
        <s v="K115500900100"/>
        <s v="K115500900450"/>
        <s v="K115500901000"/>
        <s v="K115500902000"/>
        <s v="K115500905000"/>
        <s v="K115501000100"/>
        <s v="K115501000450"/>
        <s v="K115501001000"/>
        <s v="K115501002000"/>
        <s v="K115501005000"/>
        <s v="K115501102000"/>
        <s v="K115501201000"/>
        <s v="K115501202000"/>
        <s v="K115501302000"/>
        <s v="K115501401000"/>
        <s v="K115501402000"/>
        <s v="K116100100010"/>
        <s v="K116100202000"/>
        <s v="K116100202500"/>
        <s v="K116200101000"/>
        <s v="K1162102010010"/>
        <s v="K127000500500"/>
        <s v="K130000100750"/>
        <s v="K130000300750"/>
        <s v="K151000101000"/>
        <s v="K107000102000"/>
        <s v="K115600802500"/>
        <s v="K115600902500"/>
        <s v="K115601002500"/>
        <s v="K107000202000"/>
        <s v="K146000300010"/>
        <s v="K127000300750"/>
        <s v="K146000200010"/>
        <s v="K115500202000"/>
        <s v="K143800105000"/>
        <s v="K143800205000"/>
        <s v="K143800305000"/>
        <s v="K1155013020010" u="1"/>
        <s v="K1048002005010" u="1"/>
        <s v="K1161001000110" u="1"/>
        <s v="C1150005010010" u="1"/>
        <s v="C1390002010020" u="1"/>
        <s v="C1270004010010" u="1"/>
        <s v="C1290003010010" u="1"/>
        <s v="C1350005010010" u="1"/>
        <s v="C1390003010010" u="1"/>
        <s v="C1380003004010" u="1"/>
        <s v="C1020006005010" u="1"/>
        <s v="C1370003025020" u="1"/>
        <s v="C1240004006020" u="1"/>
        <s v="K1155002010020" u="1"/>
        <s v="K1155004050010" u="1"/>
        <s v="K1155003010010" u="1"/>
        <s v="K1155012010020" u="1"/>
        <s v="K1051004010010" u="1"/>
        <s v="C1270004040020" u="1"/>
        <s v="C1150006040010" u="1"/>
        <s v="C1350005040020" u="1"/>
        <s v="C1330005028020" u="1"/>
        <s v="K1081002001810" u="1"/>
        <s v="K1153003005010" u="1"/>
        <s v="C1400008020010" u="1"/>
        <s v="K1157002006010" u="1"/>
        <s v="A1041005009010" u="1"/>
        <s v="K1155010001040" u="1"/>
        <s v="K1156003025010" u="1"/>
        <s v="A1070002100110" u="1"/>
        <s v="C1080004010010" u="1"/>
        <s v="K1070002005020" u="1"/>
        <s v="A1120009095010" u="1"/>
        <s v="C1020100000000" u="1"/>
        <s v="C1360005010010" u="1"/>
        <s v="C1270004005010" u="1"/>
        <s v="K1046003020020" u="1"/>
        <s v="C1417005050030" u="1"/>
        <s v="K1046004020010" u="1"/>
        <s v="K1070003020020" u="1"/>
        <s v="K1480002040030" u="1"/>
        <s v="C1390002007020" u="1"/>
        <s v="K1070004020010" u="1"/>
        <s v="C1150006020010" u="1"/>
        <s v="K1460001000120" u="1"/>
        <s v="A1092004045010" u="1"/>
        <s v="C1417005025020" u="1"/>
        <s v="C1360007010710" u="1"/>
        <s v="K1081002012020" u="1"/>
        <s v="A1070005025010" u="1"/>
        <s v="C1417006025010" u="1"/>
        <s v="C1280004001010" u="1"/>
        <s v="K1046003010020" u="1"/>
        <s v="K1155003020020" u="1"/>
        <s v="K1155013020020" u="1"/>
        <s v="A1120008013011" u="1"/>
        <s v="K1048002005020" u="1"/>
        <s v="K1155009004510" u="1"/>
        <s v="K1155014020010" u="1"/>
        <s v="K1048003005010" u="1"/>
        <s v="C1001000000410" u="1"/>
        <s v="C1150006010010" u="1"/>
        <s v="C1390004010010" u="1"/>
        <s v="C1380004004010" u="1"/>
        <s v="A1011000092510" u="1"/>
        <s v="C1020007005010" u="1"/>
        <s v="C1080004005010" u="1"/>
        <s v="K1490003025010" u="1"/>
        <s v="C1280004005010" u="1"/>
        <s v="K1155004050020" u="1"/>
        <s v="K1155003010020" u="1"/>
        <s v="K1155005050010" u="1"/>
        <s v="A1011000068512" u="1"/>
        <s v="C1040006020020" u="1"/>
        <s v="C1011501020010" u="1"/>
        <s v="K1155014010010" u="1"/>
        <s v="A1120008038010" u="1"/>
        <s v="K1154004015010" u="1"/>
        <s v="K1081003001810" u="1"/>
        <s v="K1153004005010" u="1"/>
        <s v="C1400009020010" u="1"/>
        <s v="A1011000082510" u="1"/>
        <s v="C1281004005010" u="1"/>
        <s v="A1120008027010" u="1"/>
        <s v="A1120008013010" u="1"/>
        <s v="K1156004025010" u="1"/>
        <s v="A1070003100110" u="1"/>
        <s v="C1080005010010" u="1"/>
        <s v="K1070003005020" u="1"/>
        <s v="C1360006010010" u="1"/>
        <s v="K1046004020020" u="1"/>
        <s v="K1480003040030" u="1"/>
        <s v="C1011101020010" u="1"/>
        <s v="C1120007000020" u="1"/>
        <s v="A1011100002741" u="1"/>
        <s v="A1120008000810" u="1"/>
        <s v="A1092005045010" u="1"/>
        <s v="A1070006025010" u="1"/>
        <s v="C1417007025010" u="1"/>
        <s v="K1155009004520" u="1"/>
        <s v="K1161001000130" u="1"/>
        <s v="K1180004003010" u="1"/>
        <s v="K1155005020010" u="1"/>
        <s v="K1155014020020" u="1"/>
        <s v="K1161004028020" u="1"/>
        <s v="K1048003005020" u="1"/>
        <s v="K1048004005010" u="1"/>
        <s v="C1020006005030" u="1"/>
        <s v="C1390004010020" u="1"/>
        <s v="C1380005004010" u="1"/>
        <s v="K1155005050020" u="1"/>
        <s v="K1155005010010" u="1"/>
        <s v="K1155014010020" u="1"/>
        <s v="A1011000068510" u="1"/>
        <s v="C1011502020010" u="1"/>
        <s v="K1153005001810" u="1"/>
        <s v="C1281005005010" u="1"/>
        <s v="A1130001022011B" u="1"/>
        <s v="C1400009022020" u="1"/>
        <s v="A1110000033510" u="1"/>
        <s v="K1156005025010" u="1"/>
        <s v="C1011001000410" u="1"/>
        <s v="C1080006010010" u="1"/>
        <s v="K1070004005020" u="1"/>
        <s v="K1270005005010" u="1"/>
        <s v="A1100001042510" u="1"/>
        <s v="C1120008000020" u="1"/>
        <s v="K1460003000120" u="1"/>
        <s v="A1092006045010" u="1"/>
        <s v="C1417008025010" u="1"/>
        <s v="K1155005020020" u="1"/>
        <s v="K1155006020010" u="1"/>
        <s v="K1048004005020" u="1"/>
        <s v="A1110000027510" u="1"/>
        <s v="A1110000013510" u="1"/>
        <s v="K1048005005010" u="1"/>
        <s v="A1120007100110" u="1"/>
        <s v="C1380006004010" u="1"/>
        <s v="A1100001015511" u="1"/>
        <s v="C1080006005010" u="1"/>
        <s v="C1281006001010" u="1"/>
        <s v="C1280006005010" u="1"/>
        <s v="K1155005010020" u="1"/>
        <s v="A1011000013510" u="1"/>
        <s v="K1155006010010" u="1"/>
        <s v="K1046005001020" u="1"/>
        <s v="K1046006001010" u="1"/>
        <s v="K1082001001210" u="1"/>
        <s v="A1120010013510" u="1"/>
        <s v="K1156006025010" u="1"/>
        <s v="C1080007010010" u="1"/>
        <s v="A1110000100510" u="1"/>
        <s v="K1270005005020" u="1"/>
        <s v="C1360008010010" u="1"/>
        <s v="A1100001015510" u="1"/>
        <s v="A1100002042510" u="1"/>
        <s v="A1111001032510" u="1"/>
        <s v="K1046007020010" u="1"/>
        <s v="C1120007000040" u="1"/>
        <s v="K1460002000140" u="1"/>
        <s v="K1460003000130" u="1"/>
        <s v="C1120009000020" u="1"/>
        <s v="K1100008000110" u="1"/>
        <s v="K1460004000120" u="1"/>
        <s v="C1417008025020" u="1"/>
        <s v="C1280007001010" u="1"/>
        <s v="A1011000102510" u="1"/>
        <s v="K1155006020020" u="1"/>
        <s v="K1155007020010" u="1"/>
        <s v="K1048005005020" u="1"/>
        <s v="A1120011033510" u="1"/>
        <s v="K1048006005010" u="1"/>
        <s v="A1120010007510" u="1"/>
        <s v="C1380007004010" u="1"/>
        <s v="C1080007005010" u="1"/>
        <s v="C1280007005010" u="1"/>
        <s v="A1111001012510" u="1"/>
        <s v="A1011000027520" u="1"/>
        <s v="K1155006010020" u="1"/>
        <s v="K1046007001010" u="1"/>
        <s v="K1100009000831" u="1"/>
        <s v="A1120011013510" u="1"/>
        <s v="K1156007025010" u="1"/>
        <s v="C1360009010010" u="1"/>
        <s v="A1100002015510" u="1"/>
        <s v="K1046007020020" u="1"/>
        <s v="K1046008020010" u="1"/>
        <s v="K1460003000140" u="1"/>
        <s v="K1210001100420" u="1"/>
        <s v="K1506000100420" u="1"/>
        <s v="K1460004000130" u="1"/>
        <s v="A1020001019510" u="1"/>
        <s v="K1155007020020" u="1"/>
        <s v="K1180007003010" u="1"/>
        <s v="K1048006005020" u="1"/>
        <s v="A1120012033510" u="1"/>
        <s v="K1048007005010" u="1"/>
        <s v="C1320001004510" u="1"/>
        <s v="C1380008004010" u="1"/>
        <s v="A1123001012510" u="1"/>
        <s v="C1414001012510" u="1"/>
        <s v="K1155009050010" u="1"/>
        <s v="K1220001100420" u="1"/>
        <s v="K1300001007510" u="1"/>
        <s v="C1221001003510" u="1"/>
        <s v="A1124001013510" u="1"/>
        <s v="A1020002013510" u="1"/>
        <s v="C1221001007510" u="1"/>
        <s v="A1120012013510" u="1"/>
        <s v="K1156008025010" u="1"/>
        <s v="K1155008001010" u="1"/>
        <s v="C1200101000210" u="1"/>
        <s v="A1100004042510" u="1"/>
        <s v="K1046008020020" u="1"/>
        <s v="K1046009020010" u="1"/>
        <s v="A1011000100610" u="1"/>
        <s v="A1020002019510" u="1"/>
        <s v="C1161000012510" u="1"/>
        <s v="K1155009020010" u="1"/>
        <s v="K1048007005020" u="1"/>
        <s v="A1012000100610" u="1"/>
        <s v="C1320002004510" u="1"/>
        <s v="C1400106020010" u="1"/>
        <s v="A1123002012510" u="1"/>
        <s v="C1414002012510" u="1"/>
        <s v="K1300001007520" u="1"/>
        <s v="A1011003013510" u="1"/>
        <s v="K1155009010010" u="1"/>
        <s v="C1221002003510" u="1"/>
        <s v="C1240001007510" u="1"/>
        <s v="K1290001000320" u="1"/>
        <s v="C1221002007510" u="1"/>
        <s v="A1120013027510" u="1"/>
        <s v="K1155008001020" u="1"/>
        <s v="A1120013013510" u="1"/>
        <s v="K1156009025010" u="1"/>
        <s v="K1155009001010" u="1"/>
        <s v="C1200102000210" u="1"/>
        <s v="A1100004015510" u="1"/>
        <s v="K1046009020020" u="1"/>
        <s v="C1160001012510" u="1"/>
        <s v="A1020003019510" u="1"/>
        <s v="K1300003001510" u="1"/>
        <s v="K1155009020020" u="1"/>
        <s v="C1370001022510" u="1"/>
        <s v="C1320003004510" u="1"/>
        <s v="A1100005015511" u="1"/>
        <s v="K1155009050030" u="1"/>
        <s v="A1123003012510" u="1"/>
        <s v="C1414003012510" u="1"/>
        <s v="K1155009010020" u="1"/>
        <s v="A1011000030012" u="1"/>
        <s v="K1300003007510" u="1"/>
        <s v="C1221003003510" u="1"/>
        <s v="C1240002007510" u="1"/>
        <s v="C1240002008510" u="1"/>
        <s v="K1302003001510" u="1"/>
        <s v="A1011000060010" u="1"/>
        <s v="C1221003007510" u="1"/>
        <s v="K1436001010510" u="1"/>
        <s v="C1200103000210" u="1"/>
        <s v="C1000000000000" u="1"/>
        <s v="A1100005015510" u="1"/>
        <s v="A1011000062010" u="1"/>
        <s v="C1160002012510" u="1"/>
        <s v="C1131003003510" u="1"/>
        <s v="K1155010004510" u="1"/>
        <s v="A1030100000310" u="1"/>
        <s v="A1121000000710" u="1"/>
        <s v="C1250001101520" u="1"/>
        <s v="A1020004019510" u="1"/>
        <s v="A1012000062010" u="1"/>
        <s v="C1370002022510" u="1"/>
        <s v="C1270001037520" u="1"/>
        <s v="C1400011072010" u="1"/>
        <s v="K1100003004520" u="1"/>
        <s v="C1400010040021" u="1"/>
        <s v="C1320004004510" u="1"/>
        <s v="C1400010020010" u="1"/>
        <s v="A1120006102410" u="1"/>
        <s v="A1011005027510" u="1"/>
        <s v="K1300003007520" u="1"/>
        <s v="K1502000090021" u="1"/>
        <s v="A1011005013510" u="1"/>
        <s v="C1240002007520" u="1"/>
        <s v="C1240003007510" u="1"/>
        <s v="A1011000030010" u="1"/>
        <s v="K1480001100420" u="1"/>
        <s v="C1281001004510" u="1"/>
        <s v="C1400010010010" u="1"/>
        <s v="A1011000060020" u="1"/>
        <s v="K1436002010510" u="1"/>
        <s v="C1000000000010" u="1"/>
        <s v="C1400001040010" u="1"/>
        <s v="C1400011040010" u="1"/>
        <s v="A1011001062010" u="1"/>
        <s v="C1140000070022" u="1"/>
        <s v="K1502000090020" u="1"/>
        <s v="K1155010004520" u="1"/>
        <s v="A1121000058010" u="1"/>
        <s v="C1390001007510" u="1"/>
        <s v="C1140000045012" u="1"/>
        <s v="C1250002101520" u="1"/>
        <s v="K1157001012510" u="1"/>
        <s v="A1011000025010" u="1"/>
        <s v="A1011001052010" u="1"/>
        <s v="C1400002072010" u="1"/>
        <s v="C1370003022510" u="1"/>
        <s v="A1011000013010" u="1"/>
        <s v="A1120006033510" u="1"/>
        <s v="C1011201040010" u="1"/>
        <s v="C1284001004510" u="1"/>
        <s v="A1110000000810" u="1"/>
        <s v="C1400011040021" u="1"/>
        <s v="C1320005004510" u="1"/>
        <s v="C1400001020010" u="1"/>
        <s v="C1400011020010" u="1"/>
        <s v="K1470002006511" u="1"/>
        <s v="C1400011022022" u="1"/>
        <s v="C1400010022020" u="1"/>
        <s v="C1240004007510" u="1"/>
        <s v="C1140000030011" u="1"/>
        <s v="K1480002100420" u="1"/>
        <s v="C1111000000010" u="1"/>
        <s v="C1281002004510" u="1"/>
        <s v="C1240004008510" u="1"/>
        <s v="K1047002012510" u="1"/>
        <s v="K1155009001040" u="1"/>
        <s v="A1120006013510" u="1"/>
        <s v="A1011000008010" u="1"/>
        <s v="C1400002040010" u="1"/>
        <s v="C1400011040020" u="1"/>
        <s v="A1120006001510" u="1"/>
        <s v="K1470002006510" u="1"/>
        <s v="A1011006007510" u="1"/>
        <s v="C1140000070020" u="1"/>
        <s v="C1131005003510" u="1"/>
        <s v="K1506000050010" u="1"/>
        <s v="C1390002007510" u="1"/>
        <s v="C1140000030010" u="1"/>
        <s v="K1502000045021" u="1"/>
        <s v="C1210001010010" u="1"/>
        <s v="C1011601005010" u="1"/>
        <s v="C1300001018010" u="1"/>
        <s v="K1157002012510" u="1"/>
        <s v="C1140000045010" u="1"/>
        <s v="C1100001005010" u="1"/>
        <s v="A1011002052010" u="1"/>
        <s v="C1200001001810" u="1"/>
        <s v="C1270003037520" u="1"/>
        <s v="C1400013072010" u="1"/>
        <s v="A1120006007510" u="1"/>
        <s v="C1141001070010" u="1"/>
        <s v="K1501000003010" u="1"/>
        <s v="C1400002040021" u="1"/>
        <s v="C1284002004510" u="1"/>
        <s v="A1120006100510" u="1"/>
        <s v="C1211001010010" u="1"/>
        <s v="C1220001020010" u="1"/>
        <s v="C1400012040021" u="1"/>
        <s v="C1140001075010" u="1"/>
        <s v="C1300002020010" u="1"/>
        <s v="C1412001020010" u="1"/>
        <s v="A1050000025011" u="1"/>
        <s v="C1011401005010" u="1"/>
        <s v="C1320006004510" u="1"/>
        <s v="C1310001000010" u="1"/>
        <s v="C1400002020010" u="1"/>
        <s v="C1411001010010" u="1"/>
        <s v="C1390002011520" u="1"/>
        <s v="C1101001005010" u="1"/>
        <s v="C1400012020010" u="1"/>
        <s v="K1502000015010" u="1"/>
        <s v="C1300001009010" u="1"/>
        <s v="A1011006013520" u="1"/>
        <s v="C1400001022020" u="1"/>
        <s v="K1049002004510" u="1"/>
        <s v="C1400011022020" u="1"/>
        <s v="C1240004007520" u="1"/>
        <s v="K1501000007010" u="1"/>
        <s v="A1050000020010" u="1"/>
        <s v="C1221001020010" u="1"/>
        <s v="C1281003004510" u="1"/>
        <s v="C1220001010010" u="1"/>
        <s v="K1502000045020" u="1"/>
        <s v="C1300002010010" u="1"/>
        <s v="C1221001035010" u="1"/>
        <s v="C1400012010010" u="1"/>
        <s v="C1210001005010" u="1"/>
        <s v="A1020002042010" u="1"/>
        <s v="C1170001060012" u="1"/>
        <s v="A1122001018011" u="1"/>
        <s v="A1100003030010" u="1"/>
        <s v="C1130001020010" u="1"/>
        <s v="C1400002040020" u="1"/>
        <s v="C1210002020010" u="1"/>
        <s v="C1221001010010" u="1"/>
        <s v="C1230001020010" u="1"/>
        <s v="C1400012040020" u="1"/>
        <s v="C1413001010010" u="1"/>
        <s v="C1250001075010" u="1"/>
        <s v="A1122001001811" u="1"/>
        <s v="A1050000025010" u="1"/>
        <s v="C1270003005520" u="1"/>
        <s v="C1400013040010" u="1"/>
        <s v="C1211001005010" u="1"/>
        <s v="K1470003006510" u="1"/>
        <s v="C1140001070020" u="1"/>
        <s v="C1390002007520" u="1"/>
        <s v="C1022001010010" u="1"/>
        <s v="C1390003007510" u="1"/>
        <s v="C1130001010010" u="1"/>
        <s v="C1231001020010" u="1"/>
        <s v="A1011003065010" u="1"/>
        <s v="C1210002010010" u="1"/>
        <s v="C1230001010010" u="1"/>
        <s v="K1503000008010" u="1"/>
        <s v="C1300002018010" u="1"/>
        <s v="K1510001010010" u="1"/>
        <s v="C1020001005010" u="1"/>
        <s v="C1100002005010" u="1"/>
        <s v="C1220001005010" u="1"/>
        <s v="C1330001025010" u="1"/>
        <s v="C1390003009510" u="1"/>
        <s v="A1120008033510" u="1"/>
        <s v="K1506000120010" u="1"/>
        <s v="A1061000020010" u="1"/>
        <s v="C1415002050010" u="1"/>
        <s v="K1505001030010" u="1"/>
        <s v="C1284003004510" u="1"/>
        <s v="A1122001018010" u="1"/>
        <s v="C1131001010010" u="1"/>
        <s v="C1220002020010" u="1"/>
        <s v="C1231001010010" u="1"/>
        <s v="C1400013040021" u="1"/>
        <s v="K1310001000010" u="1"/>
        <s v="C1300003020010" u="1"/>
        <s v="C1412002020010" u="1"/>
        <s v="C1310002000010" u="1"/>
        <s v="C1400003020010" u="1"/>
        <s v="A1011100001510" u="1"/>
        <s v="C1021001005010" u="1"/>
        <s v="A1122001001810" u="1"/>
        <s v="C1220002035010" u="1"/>
        <s v="C1415001025010" u="1"/>
        <s v="C1400013020010" u="1"/>
        <s v="C1221001005010" u="1"/>
        <s v="C1300002009010" u="1"/>
        <s v="A1011100002510" u="1"/>
        <s v="C1400002022020" u="1"/>
        <s v="A1012000013110" u="1"/>
        <s v="C1400012022020" u="1"/>
        <s v="A1122001007010" u="1"/>
        <s v="C1250001070020" u="1"/>
        <s v="C1340001003011" u="1"/>
        <s v="C1041001020010" u="1"/>
        <s v="C1140000010020" u="1"/>
        <s v="C1100003010010" u="1"/>
        <s v="C1221002020010" u="1"/>
        <s v="C1220002010010" u="1"/>
        <s v="C1260000010010" u="1"/>
        <s v="C1022001005010" u="1"/>
        <s v="C1040001025010" u="1"/>
        <s v="C1030001005010" u="1"/>
        <s v="C1221002035010" u="1"/>
        <s v="C1416001025010" u="1"/>
        <s v="C1360010010010" u="1"/>
        <s v="C1130001005010" u="1"/>
        <s v="C1210002005010" u="1"/>
        <s v="K1241005007510" u="1"/>
        <s v="K1502000007020" u="1"/>
        <s v="A1120008013510" u="1"/>
        <s v="C1120001000020" u="1"/>
        <s v="C1150001020010" u="1"/>
        <s v="C1400003040020" u="1"/>
        <s v="C1413003050010" u="1"/>
        <s v="C1221002010010" u="1"/>
        <s v="C1230002020010" u="1"/>
        <s v="A1050000025020" u="1"/>
        <s v="C1350001020010" u="1"/>
        <s v="C1400013040020" u="1"/>
        <s v="C1413002010010" u="1"/>
        <s v="A1122002001811" u="1"/>
        <s v="C1161000025010" u="1"/>
        <s v="C1131001005010" u="1"/>
        <s v="A1120008001510" u="1"/>
        <s v="C1231001005010" u="1"/>
        <s v="K1270003007520" u="1"/>
        <s v="K1320001003010" u="1"/>
        <s v="K1506000045031" u="1"/>
        <s v="K1434001050010" u="1"/>
        <s v="C1390004007510" u="1"/>
        <s v="C1130002010010" u="1"/>
        <s v="C1150001010010" u="1"/>
        <s v="C1411002020020" u="1"/>
        <s v="A1011004065010" u="1"/>
        <s v="C1210003010010" u="1"/>
        <s v="C1230002010010" u="1"/>
        <s v="C1042001025010" u="1"/>
        <s v="C1020002005010" u="1"/>
        <s v="C1100003005010" u="1"/>
        <s v="C1261000015010" u="1"/>
        <s v="C1220002005010" u="1"/>
        <s v="C1330002025010" u="1"/>
        <s v="K1100009003420" u="1"/>
        <s v="C1240001006010" u="1"/>
        <s v="C1260000006010" u="1"/>
        <s v="K1101011003020" u="1"/>
        <s v="K1155010050010" u="1"/>
        <s v="A1120008007510" u="1"/>
        <s v="C1040001020020" u="1"/>
        <s v="C1261000003010" u="1"/>
        <s v="A1122001018020" u="1"/>
        <s v="C1070001020011" u="1"/>
        <s v="A1061001020010" u="1"/>
        <s v="C1415003050010" u="1"/>
        <s v="C1284004004510" u="1"/>
        <s v="C1131002010010" u="1"/>
        <s v="C1330001028020" u="1"/>
        <s v="C1211003010010" u="1"/>
        <s v="C1231002010010" u="1"/>
        <s v="C1280005004510" u="1"/>
        <s v="C1300004020010" u="1"/>
        <s v="C1412003020010" u="1"/>
        <s v="C1415001025020" u="1"/>
        <s v="C1400004020010" u="1"/>
        <s v="A1080000025010" u="1"/>
        <s v="A1041001009010" u="1"/>
        <s v="A1122002001810" u="1"/>
        <s v="C1417001005010" u="1"/>
        <s v="C1221002005010" u="1"/>
        <s v="C1261000006010" u="1"/>
        <s v="C1400013022020" u="1"/>
        <s v="C1250002070020" u="1"/>
        <s v="C1020001104020" u="1"/>
        <s v="C1340002003011" u="1"/>
        <s v="C1041002020010" u="1"/>
        <s v="K1140001010010" u="1"/>
        <s v="A1100005040010" u="1"/>
        <s v="A1110001100110" u="1"/>
        <s v="C1221003020010" u="1"/>
        <s v="C1300004010010" u="1"/>
        <s v="C1360001010010" u="1"/>
        <s v="C1040002025010" u="1"/>
        <s v="A1042001009010" u="1"/>
        <s v="C1050001005010" u="1"/>
        <s v="C1160001025010" u="1"/>
        <s v="C1221003035010" u="1"/>
        <s v="C1360011010010" u="1"/>
        <s v="C1261000009010" u="1"/>
        <s v="C1210003005010" u="1"/>
        <s v="K1330001006010" u="1"/>
        <s v="C1417001050030" u="1"/>
        <s v="C1011301007510" u="1"/>
        <s v="C1120000000040" u="1"/>
        <s v="C1270001060020" u="1"/>
        <s v="C1071001010011" u="1"/>
        <s v="C1070001020010" u="1"/>
        <s v="C1060001000010" u="1"/>
        <s v="C1130003020010" u="1"/>
        <s v="C1150002020010" u="1"/>
        <s v="C1170001020010" u="1"/>
        <s v="C1221003010010" u="1"/>
        <s v="C1230003020010" u="1"/>
        <s v="C1270001020010" u="1"/>
        <s v="K1505001025020" u="1"/>
        <s v="C1350002020010" u="1"/>
        <s v="C1413003010010" u="1"/>
        <s v="A1122003001811" u="1"/>
        <s v="A1070001025010" u="1"/>
        <s v="C1051001005010" u="1"/>
        <s v="C1417002025010" u="1"/>
        <s v="C1131002005010" u="1"/>
        <s v="C1211003005010" u="1"/>
        <s v="C1231002005010" u="1"/>
        <s v="K1438001050010" u="1"/>
        <s v="C1390004007520" u="1"/>
        <s v="K1155010020010" u="1"/>
        <s v="K1434002050010" u="1"/>
        <s v="C1042001104010" u="1"/>
        <s v="C1070001010010" u="1"/>
        <s v="C1130003010010" u="1"/>
        <s v="C1170001010010" u="1"/>
        <s v="C1220004010011" u="1"/>
        <s v="C1411003020020" u="1"/>
        <s v="K1101011000110" u="1"/>
        <s v="C1230003010010" u="1"/>
        <s v="C1042002025010" u="1"/>
        <s v="C1020003005010" u="1"/>
        <s v="C1100004005010" u="1"/>
        <s v="A1011000006211" u="1"/>
        <s v="C1160001006010" u="1"/>
        <s v="C1240002006010" u="1"/>
        <s v="K1155010050020" u="1"/>
        <s v="K1101012003020" u="1"/>
        <s v="C1070001040020" u="1"/>
        <s v="C1170001040020" u="1"/>
        <s v="K1051001010010" u="1"/>
        <s v="C1070002020011" u="1"/>
        <s v="C1070002040010" u="1"/>
        <s v="K1155010010010" u="1"/>
        <s v="A1061002020010" u="1"/>
        <s v="C1071001010010" u="1"/>
        <s v="C1415004050010" u="1"/>
        <s v="C1131003010010" u="1"/>
        <s v="C1171001010010" u="1"/>
        <s v="C1272001020010" u="1"/>
        <s v="C1330002028020" u="1"/>
        <s v="C1220004020010" u="1"/>
        <s v="C1231003010010" u="1"/>
        <s v="C1271001010010" u="1"/>
        <s v="C1412004020010" u="1"/>
        <s v="K1131002011010" u="1"/>
        <s v="C1400005020010" u="1"/>
        <s v="C1411004010010" u="1"/>
        <s v="A1041002009010" u="1"/>
        <s v="A1122003001810" u="1"/>
        <s v="C1220004035010" u="1"/>
        <s v="C1221003005010" u="1"/>
        <s v="C1261000006020" u="1"/>
        <s v="C1250003070020" u="1"/>
        <s v="K1041002020010" u="1"/>
        <s v="C1041003020010" u="1"/>
        <s v="C1070002010011" u="1"/>
        <s v="C1070002030010" u="1"/>
        <s v="K1432001010020" u="1"/>
        <s v="C1080001010010" u="1"/>
        <s v="C1180001010010" u="1"/>
        <s v="C1281006004510" u="1"/>
        <s v="K1156010025010" u="1"/>
        <s v="C1220004010010" u="1"/>
        <s v="C1360002010010" u="1"/>
        <s v="K1155010001010" u="1"/>
        <s v="C1040003025010" u="1"/>
        <s v="C1050002005010" u="1"/>
        <s v="C1160002025010" u="1"/>
        <s v="C1130003005010" u="1"/>
        <s v="A1091001046010" u="1"/>
        <s v="A1011000006210" u="1"/>
        <s v="C1270003060022" u="1"/>
        <s v="K1241007007510" u="1"/>
        <s v="A1011100001541" u="1"/>
        <s v="C1120002000030" u="1"/>
        <s v="C1070002020010" u="1"/>
        <s v="C1120003000020" u="1"/>
        <s v="K1100002000110" u="1"/>
        <s v="C1130004020010" u="1"/>
        <s v="C1150003020010" u="1"/>
        <s v="C1400005040020" u="1"/>
        <s v="C1221004010010" u="1"/>
        <s v="C1230004020010" u="1"/>
        <s v="C1270002020010" u="1"/>
        <s v="A1092001045010" u="1"/>
        <s v="C1417002025020" u="1"/>
        <s v="C1350003020010" u="1"/>
        <s v="C1360004010710" u="1"/>
        <s v="C1413004010010" u="1"/>
        <s v="A1122004001811" u="1"/>
        <s v="A1070002025010" u="1"/>
        <s v="C1330003035020" u="1"/>
        <s v="C1131003005010" u="1"/>
        <s v="K1046001010010" u="1"/>
        <s v="K1155001020010" u="1"/>
        <s v="K1155010020020" u="1"/>
        <s v="K1438002050010" u="1"/>
        <s v="K1155006004510" u="1"/>
        <s v="C1390005007520" u="1"/>
        <s v="K1041002028010" u="1"/>
        <s v="K1155011020010" u="1"/>
        <s v="K1162001010010" u="1"/>
        <s v="K1434003050010" u="1"/>
        <s v="A1120006060010" u="1"/>
        <s v="K1045001015010" u="1"/>
        <s v="C1090001010010" u="1"/>
        <s v="C1270203040010" u="1"/>
        <s v="C1130004010010" u="1"/>
        <s v="C1150003010010" u="1"/>
        <s v="C1190001010010" u="1"/>
        <s v="C1411004020020" u="1"/>
        <s v="K1101012000110" u="1"/>
        <s v="C1230004010010" u="1"/>
        <s v="C1290001010010" u="1"/>
        <s v="C1300005018010" u="1"/>
        <s v="C1380001004010" u="1"/>
        <s v="C1020004005010" u="1"/>
        <s v="C1370001025020" u="1"/>
        <s v="C1180001005010" u="1"/>
        <s v="C1281001001010" u="1"/>
        <s v="C1220004005010" u="1"/>
        <s v="C1280001005010" u="1"/>
        <s v="C1330004025010" u="1"/>
        <s v="C1240002006020" u="1"/>
        <s v="C1160002006010" u="1"/>
        <s v="K1155002050010" u="1"/>
        <s v="C1415003050030" u="1"/>
        <s v="K1152001020020" u="1"/>
        <s v="C1070002040020" u="1"/>
        <s v="K1155010010020" u="1"/>
        <s v="C1040003020020" u="1"/>
        <s v="K1051002010010" u="1"/>
        <s v="C1270002040020" u="1"/>
        <s v="C1131004010010" u="1"/>
        <s v="C1270003020011" u="1"/>
        <s v="C1270003040010" u="1"/>
        <s v="C1272002020010" u="1"/>
        <s v="K1154001015010" u="1"/>
        <s v="A1011004015020" u="1"/>
        <s v="K1506000002040" u="1"/>
        <s v="A1041003009010" u="1"/>
        <s v="A1122004001810" u="1"/>
        <s v="C1417003005010" u="1"/>
        <s v="C1300005009010" u="1"/>
        <s v="C1282001002010" u="1"/>
        <s v="K1041002020020" u="1"/>
        <s v="K1161002020010" u="1"/>
        <s v="K1432002010020" u="1"/>
        <s v="C1080002010010" u="1"/>
        <s v="C1100006010010" u="1"/>
        <s v="C1270003030010" u="1"/>
        <s v="A1120006069010" u="1"/>
        <s v="C1360003010010" u="1"/>
        <s v="C1040004025010" u="1"/>
        <s v="C1090001005010" u="1"/>
        <s v="C1130004005010" u="1"/>
        <s v="A1091002046010" u="1"/>
        <s v="K1046001020020" u="1"/>
        <s v="K1046002020010" u="1"/>
        <s v="K1070001020020" u="1"/>
        <s v="C1270003040021" u="1"/>
        <s v="C1413005050020" u="1"/>
        <s v="C1120004000020" u="1"/>
        <s v="C1271003010011" u="1"/>
        <s v="C1270003020010" u="1"/>
        <s v="A1092002045010" u="1"/>
        <s v="K1161002025010" u="1"/>
        <s v="C1350004020010" u="1"/>
        <s v="C1413005010010" u="1"/>
        <s v="K1047001006010" u="1"/>
        <s v="A1122005001811" u="1"/>
        <s v="A1070003025010" u="1"/>
        <s v="C1417004025010" u="1"/>
        <s v="C1131004005010" u="1"/>
        <s v="C1283001005010" u="1"/>
        <s v="C1280002001010" u="1"/>
        <s v="K1155001020020" u="1"/>
        <s v="K1155006004520" u="1"/>
        <s v="K1046002010010" u="1"/>
        <s v="K1155011020020" u="1"/>
        <s v="K1162001010020" u="1"/>
        <s v="K1438003050010" u="1"/>
        <s v="A1120006013011" u="1"/>
        <s v="K1155012020010" u="1"/>
        <s v="C1090002010010" u="1"/>
        <s v="C1150004010010" u="1"/>
        <s v="C1190002010010" u="1"/>
        <s v="C1270003010010" u="1"/>
        <s v="C1290002010010" u="1"/>
        <s v="C1350004010010" u="1"/>
        <s v="C1390002010010" u="1"/>
        <s v="C1100005005020" u="1"/>
        <s v="C1380002004010" u="1"/>
        <s v="C1080002005010" u="1"/>
        <s v="C1370002025020" u="1"/>
        <s v="C1100006005010" u="1"/>
        <s v="C1280002005010" u="1"/>
        <s v="C1330005025010" u="1"/>
        <s v="K1155002050020" u="1"/>
        <s v="C1240004006010" u="1"/>
        <s v="K1155002010010" u="1"/>
        <s v="C1040004020020" u="1"/>
        <s v="K1051003010010" u="1"/>
        <s v="K1049001005010" u="1"/>
        <s v="K1155012010010" u="1"/>
        <s v="C1350004040020" u="1"/>
        <s v="A1120006038010" u="1"/>
        <s v="K1154002015010" u="1"/>
        <s v="K1131004011010" u="1"/>
        <s v="C1400007020010" u="1"/>
        <s v="K1157001006010" u="1"/>
        <s v="A1041004009010" u="1"/>
        <s v="A1122005001810" u="1"/>
        <s v="K1470002015010" u="1"/>
        <s v="C1282002002010" u="1"/>
        <s v="K1161002020020" u="1"/>
        <s v="A1120006027010" u="1"/>
        <s v="A1120006013010" u="1"/>
        <s v="K1044002025020" u="1"/>
        <s v="K1155010001030" u="1"/>
        <s v="K1156002025010" u="1"/>
        <s v="A1070001100110" u="1"/>
        <s v="C1080003010010" u="1"/>
        <s v="K1070001005020" u="1"/>
        <s v="C1040005025010" u="1"/>
        <s v="A1042004009010" u="1"/>
        <s v="C1090002005010" u="1"/>
        <s v="C1270003005010" u="1"/>
        <s v="K1046002020020" u="1"/>
        <s v="K1490002032010" u="1"/>
        <s v="K1046003020010" u="1"/>
        <s v="K1070002020020" u="1"/>
        <s v="K1480001040030" u="1"/>
        <s v="C1120005000020" u="1"/>
        <s v="C1270003020020" u="1"/>
        <s v="C1390002007010" u="1"/>
        <s v="K1161002025020" u="1"/>
        <s v="A1120006000810" u="1"/>
        <s v="C1120006000010" u="1"/>
        <s v="C1270004020010" u="1"/>
        <s v="A1092003045010" u="1"/>
        <s v="C1330004035030" u="1"/>
        <s v="C1350005020010" u="1"/>
        <s v="A1070004025010" u="1"/>
        <s v="C1417005025010" u="1"/>
        <s v="C1280003001010" u="1"/>
        <s v="K1046002010020" u="1"/>
        <s v="K1155002020020" u="1"/>
        <s v="K1046003010010" u="1"/>
        <s v="K1180002003010" u="1"/>
        <s v="K1155003020010" u="1"/>
        <s v="K1155012020020" u="1"/>
      </sharedItems>
    </cacheField>
    <cacheField name="LEN 15" numFmtId="0">
      <sharedItems containsSemiMixedTypes="0" containsString="0" containsNumber="1" containsInteger="1" minValue="13" maxValue="14"/>
    </cacheField>
    <cacheField name="Nama Win" numFmtId="0">
      <sharedItems/>
    </cacheField>
    <cacheField name="LEN 50" numFmtId="0">
      <sharedItems containsSemiMixedTypes="0" containsString="0" containsNumber="1" containsInteger="1" minValue="5" maxValue="51"/>
    </cacheField>
    <cacheField name="Nama Pcpl                   " numFmtId="0">
      <sharedItems containsMixedTypes="1" containsNumber="1" containsInteger="1" minValue="0" maxValue="0"/>
    </cacheField>
    <cacheField name="kode  2 Digit                (hrf+No)" numFmtId="0">
      <sharedItems/>
    </cacheField>
    <cacheField name="Nama            KLP" numFmtId="0">
      <sharedItems containsBlank="1"/>
    </cacheField>
    <cacheField name="kode  2 Digit                (Nomor)" numFmtId="49">
      <sharedItems containsMixedTypes="1" containsNumber="1" containsInteger="1" minValue="10" maxValue="51"/>
    </cacheField>
    <cacheField name="Nama            Sub KLP" numFmtId="0">
      <sharedItems containsBlank="1"/>
    </cacheField>
    <cacheField name="kode  1 Digit                (Nomor)" numFmtId="0">
      <sharedItems containsSemiMixedTypes="0" containsString="0" containsNumber="1" containsInteger="1" minValue="0" maxValue="9"/>
    </cacheField>
    <cacheField name="Nama            Sub KLP2" numFmtId="0">
      <sharedItems containsNonDate="0" containsString="0" containsBlank="1"/>
    </cacheField>
    <cacheField name="kode  1 Digit                (Nomor)5" numFmtId="49">
      <sharedItems containsMixedTypes="1" containsNumber="1" containsInteger="1" minValue="0" maxValue="0"/>
    </cacheField>
    <cacheField name="Nama            Aroma/             Rasa" numFmtId="0">
      <sharedItems containsBlank="1"/>
    </cacheField>
    <cacheField name="kode  2 Digit                (Nomor)2" numFmtId="49">
      <sharedItems containsMixedTypes="1" containsNumber="1" containsInteger="1" minValue="10" maxValue="23"/>
    </cacheField>
    <cacheField name="Nama            Gramasi atau Jumlah Pack per CTN" numFmtId="0">
      <sharedItems containsBlank="1"/>
    </cacheField>
    <cacheField name="kode  4 Digit                (Nomor)" numFmtId="49">
      <sharedItems containsMixedTypes="1" containsNumber="1" containsInteger="1" minValue="1004" maxValue="1200"/>
    </cacheField>
    <cacheField name="Nama Jenis Kemasan" numFmtId="0">
      <sharedItems containsBlank="1"/>
    </cacheField>
    <cacheField name="kode  1 Digit                (Nomor)3" numFmtId="0">
      <sharedItems containsString="0" containsBlank="1" containsNumber="1" containsInteger="1" minValue="1" maxValue="4"/>
    </cacheField>
    <cacheField name="Nama            Promo" numFmtId="0">
      <sharedItems containsNonDate="0" containsString="0" containsBlank="1"/>
    </cacheField>
    <cacheField name="kode  1 Digit                (Nomor)4" numFmtId="0">
      <sharedItems containsSemiMixedTypes="0" containsString="0" containsNumber="1" containsInteger="1" minValue="0" maxValue="2"/>
    </cacheField>
    <cacheField name="Gunakan ini apabila item tersebut sachet" numFmtId="0">
      <sharedItems containsNonDate="0" containsString="0" containsBlank="1"/>
    </cacheField>
    <cacheField name="kode  1 Digit                (Nomor)32" numFmtId="0">
      <sharedItems containsNonDate="0" containsString="0" containsBlank="1"/>
    </cacheField>
    <cacheField name="KET TAMBAHAN2" numFmtId="0">
      <sharedItems containsNonDate="0" containsString="0" containsBlank="1"/>
    </cacheField>
    <cacheField name="KET. GOLONGAN" numFmtId="0">
      <sharedItems containsBlank="1"/>
    </cacheField>
    <cacheField name="kode  1 Digit_x000a_(Nomor)" numFmtId="0">
      <sharedItems containsString="0" containsBlank="1" containsNumber="1" containsInteger="1" minValue="1" maxValue="1"/>
    </cacheField>
    <cacheField name="Harga Beli Pcs_x000a_(-PPN)" numFmtId="164">
      <sharedItems containsSemiMixedTypes="0" containsString="0" containsNumber="1" containsInteger="1" minValue="0" maxValue="7560"/>
    </cacheField>
    <cacheField name="Harga Beli Krt_x000a_(- PPN)" numFmtId="164">
      <sharedItems containsSemiMixedTypes="0" containsString="0" containsNumber="1" containsInteger="1" minValue="0" maxValue="272160"/>
    </cacheField>
    <cacheField name="Harga Beli Pcs_x000a_(+PPN)" numFmtId="164">
      <sharedItems containsSemiMixedTypes="0" containsString="0" containsNumber="1" minValue="0" maxValue="8391.6"/>
    </cacheField>
    <cacheField name="Harga Beli Krt_x000a_(+PPN)" numFmtId="164">
      <sharedItems containsSemiMixedTypes="0" containsString="0" containsNumber="1" minValue="0" maxValue="302097.60000000003"/>
    </cacheField>
    <cacheField name="Harga Jual Pcs GT_x000a_(-PPN)" numFmtId="164">
      <sharedItems containsString="0" containsBlank="1" containsNumber="1" containsInteger="1" minValue="8400" maxValue="8400"/>
    </cacheField>
    <cacheField name="Harga Jual Krt GT_x000a_(- PPN)" numFmtId="164">
      <sharedItems containsSemiMixedTypes="0" containsString="0" containsNumber="1" containsInteger="1" minValue="0" maxValue="302400"/>
    </cacheField>
    <cacheField name="Harga Jual Pcs GT_x000a_(+PPN" numFmtId="164">
      <sharedItems containsSemiMixedTypes="0" containsString="0" containsNumber="1" containsInteger="1" minValue="0" maxValue="9324"/>
    </cacheField>
    <cacheField name="Harga Jual Krt GT_x000a_(+PPN)" numFmtId="164">
      <sharedItems containsSemiMixedTypes="0" containsString="0" containsNumber="1" minValue="0" maxValue="335664.00000000006"/>
    </cacheField>
    <cacheField name="Harga Jual Pcs MT_x000a_(-PPN)" numFmtId="164">
      <sharedItems containsSemiMixedTypes="0" containsString="0" containsNumber="1" containsInteger="1" minValue="0" maxValue="8400"/>
    </cacheField>
    <cacheField name="Harga Jual Krt MT_x000a_(- PPN)" numFmtId="164">
      <sharedItems containsSemiMixedTypes="0" containsString="0" containsNumber="1" containsInteger="1" minValue="0" maxValue="302400"/>
    </cacheField>
    <cacheField name="Harga Jual Pcs MT_x000a_(+PPN)" numFmtId="164">
      <sharedItems containsSemiMixedTypes="0" containsString="0" containsNumber="1" containsInteger="1" minValue="0" maxValue="9324"/>
    </cacheField>
    <cacheField name="Harga Jual Krt MT_x000a_(+PPN)" numFmtId="164">
      <sharedItems containsSemiMixedTypes="0" containsString="0" containsNumber="1" containsInteger="1" minValue="0" maxValue="335664"/>
    </cacheField>
    <cacheField name="Efektif_x000a_Pembuatan" numFmtId="14">
      <sharedItems containsNonDate="0" containsDate="1" containsString="0" containsBlank="1" minDate="2024-11-20T00:00:00" maxDate="2024-11-21T00:00:00"/>
    </cacheField>
    <cacheField name="Efektif Naik Harga" numFmtId="0">
      <sharedItems containsNonDate="0" containsString="0" containsBlank="1"/>
    </cacheField>
    <cacheField name="Status_x000a_Pembuatan" numFmtId="0">
      <sharedItems/>
    </cacheField>
    <cacheField name="Status_x000a_Harga" numFmtId="0">
      <sharedItems/>
    </cacheField>
    <cacheField name="Mata Uang" numFmtId="0">
      <sharedItems/>
    </cacheField>
    <cacheField name="Kode_x000a_Golongan" numFmtId="0">
      <sharedItems/>
    </cacheField>
    <cacheField name="Nama Golongan" numFmtId="0">
      <sharedItems containsMixedTypes="1" containsNumber="1" containsInteger="1" minValue="0" maxValue="0"/>
    </cacheField>
    <cacheField name="Kode PCPL To Win" numFmtId="0">
      <sharedItems containsBlank="1"/>
    </cacheField>
    <cacheField name="Kode Jenis Produk" numFmtId="0">
      <sharedItems containsBlank="1"/>
    </cacheField>
    <cacheField name="SAT BSR" numFmtId="0">
      <sharedItems/>
    </cacheField>
    <cacheField name="GD" numFmtId="0">
      <sharedItems/>
    </cacheField>
    <cacheField name="Kode PRK" numFmtId="0">
      <sharedItems containsSemiMixedTypes="0" containsString="0" containsNumber="1" containsInteger="1" minValue="11611" maxValue="11611"/>
    </cacheField>
    <cacheField name="Kode PRK SJ" numFmtId="0">
      <sharedItems containsSemiMixedTypes="0" containsString="0" containsNumber="1" containsInteger="1" minValue="11612" maxValue="11612"/>
    </cacheField>
    <cacheField name="Kode Job" numFmtId="0">
      <sharedItems containsBlank="1"/>
    </cacheField>
    <cacheField name="Approval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"/>
    <x v="0"/>
    <x v="0"/>
    <s v="RASA MANTAP SOY"/>
    <s v="SOTO KCP MNS BTL 12x620ML 2106"/>
    <n v="12"/>
    <x v="0"/>
    <s v="KECAP MANIS"/>
    <s v="A1011"/>
    <x v="0"/>
    <n v="14"/>
    <s v="ABC KECAP MANIS SOTO 620 ML X 12 BTL "/>
    <n v="37"/>
    <s v="ABC"/>
    <s v="A1"/>
    <s v="KECAP"/>
    <s v="01"/>
    <s v="MANIS"/>
    <n v="1"/>
    <m/>
    <s v="0"/>
    <s v="SOTO"/>
    <s v="01"/>
    <s v="620 ML"/>
    <s v="0620"/>
    <s v="BTL"/>
    <s v="1"/>
    <m/>
    <n v="0"/>
    <m/>
    <m/>
    <m/>
    <m/>
    <m/>
    <m/>
    <m/>
    <m/>
    <m/>
    <m/>
    <m/>
    <m/>
    <d v="2022-06-16T00:00:00"/>
    <d v="2024-07-10T00:00:00"/>
    <s v="Lama"/>
    <s v="Naik"/>
    <s v="IDR"/>
    <s v="SPV4"/>
    <s v="S-HNZ"/>
    <s v="KRT"/>
    <s v="GD01"/>
    <n v="11611"/>
    <n v="11612"/>
    <m/>
    <n v="1"/>
  </r>
  <r>
    <n v="1"/>
    <x v="1"/>
    <x v="1"/>
    <s v="RASA MANTAP SOY"/>
    <s v="SOTO KCP MNS PCH 12X520ML 1605"/>
    <n v="12"/>
    <x v="1"/>
    <s v="KECAP MANIS"/>
    <s v="A1011"/>
    <x v="1"/>
    <n v="14"/>
    <s v="ABC KECAP MANIS SOTO 520 ML X 12 PCH "/>
    <n v="37"/>
    <s v="ABC"/>
    <s v="A1"/>
    <s v="KECAP"/>
    <s v="01"/>
    <s v="MANIS"/>
    <n v="1"/>
    <m/>
    <s v="0"/>
    <s v="SOTO"/>
    <s v="01"/>
    <s v="520 ML"/>
    <s v="052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"/>
    <x v="2"/>
    <s v="RASA MANTAP SOY"/>
    <s v="HOKI KCP MNS PCH 12X520ML 2008"/>
    <n v="12"/>
    <x v="1"/>
    <s v="KECAP MANIS"/>
    <s v="A1011"/>
    <x v="2"/>
    <n v="14"/>
    <s v="ABC KECAP MANIS HOKI 520 ML X 12 PCH "/>
    <n v="37"/>
    <s v="ABC"/>
    <s v="A1"/>
    <s v="KECAP"/>
    <s v="01"/>
    <s v="MANIS"/>
    <n v="1"/>
    <m/>
    <s v="0"/>
    <s v="HOKI"/>
    <s v="02"/>
    <s v="520 ML"/>
    <s v="0520"/>
    <s v="PCH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"/>
    <x v="3"/>
    <s v="RASA MANTAP SOY"/>
    <s v="ABC K.MNS DG ASAP 12X650G 2111"/>
    <n v="12"/>
    <x v="1"/>
    <s v="KECAP MANIS"/>
    <s v="A1011"/>
    <x v="3"/>
    <n v="14"/>
    <s v="ABC KECAP MANIS DAGING ASAP 650 GR X 12 PCH "/>
    <n v="44"/>
    <s v="ABC"/>
    <s v="A1"/>
    <s v="KECAP"/>
    <s v="01"/>
    <s v="MANIS"/>
    <n v="1"/>
    <m/>
    <s v="0"/>
    <s v="DAGING ASAP"/>
    <s v="03"/>
    <s v="650 GR"/>
    <s v="065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"/>
    <x v="4"/>
    <s v="RASA MANTAP SOY"/>
    <s v="ABC K.MNS SEAFOOD 12X650G 2201"/>
    <n v="12"/>
    <x v="1"/>
    <s v="KECAP MANIS"/>
    <s v="A1011"/>
    <x v="4"/>
    <n v="14"/>
    <s v="ABC KECAP MANIS SEAFODD 650 GR X 12 PCH "/>
    <n v="40"/>
    <s v="ABC"/>
    <s v="A1"/>
    <s v="KECAP"/>
    <s v="01"/>
    <s v="MANIS"/>
    <n v="1"/>
    <m/>
    <s v="0"/>
    <s v="SEAFODD"/>
    <s v="04"/>
    <s v="650 GR"/>
    <s v="065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5"/>
    <x v="5"/>
    <s v="RASA MANTAP SOY"/>
    <s v="ABC KCP PEDAS PET 48X135ML2106"/>
    <n v="48"/>
    <x v="0"/>
    <s v="KECAP MANIS"/>
    <s v="A1011"/>
    <x v="5"/>
    <n v="14"/>
    <s v="ABC KECAP MANIS PEDAS 135 ML X 48 BTL "/>
    <n v="38"/>
    <s v="ABC"/>
    <s v="A1"/>
    <s v="KECAP"/>
    <s v="01"/>
    <s v="MANIS"/>
    <n v="1"/>
    <m/>
    <s v="0"/>
    <s v="PEDAS"/>
    <s v="05"/>
    <s v="135 ML"/>
    <s v="0135"/>
    <s v="BTL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6"/>
    <x v="6"/>
    <s v="RASA MANTAP SOY"/>
    <s v="ABC K.MNS PDS PET 48X135ML2201"/>
    <n v="48"/>
    <x v="0"/>
    <s v="KECAP MANIS"/>
    <s v="A1011"/>
    <x v="5"/>
    <n v="14"/>
    <s v="ABC KECAP MANIS PEDAS 135 ML X 48 BTL "/>
    <n v="38"/>
    <s v="ABC"/>
    <s v="A1"/>
    <s v="KECAP"/>
    <s v="01"/>
    <s v="MANIS"/>
    <n v="1"/>
    <m/>
    <s v="0"/>
    <s v="PEDAS"/>
    <s v="05"/>
    <s v="135 ML"/>
    <s v="0135"/>
    <s v="BTL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7"/>
    <x v="7"/>
    <s v="RASA MANTAP SOY"/>
    <s v="ABC KCP EXT.PEDAS 48X135ML2106"/>
    <n v="48"/>
    <x v="0"/>
    <s v="KECAP MANIS"/>
    <s v="A1011"/>
    <x v="6"/>
    <n v="14"/>
    <s v="ABC KECAP MANIS EXTRA PEDAS 135 ML X 48 BTL "/>
    <n v="44"/>
    <s v="ABC"/>
    <s v="A1"/>
    <s v="KECAP"/>
    <s v="01"/>
    <s v="MANIS"/>
    <n v="1"/>
    <m/>
    <s v="0"/>
    <s v="EXTRA PEDAS"/>
    <s v="06"/>
    <s v="135 ML"/>
    <s v="0135"/>
    <s v="BTL"/>
    <s v="2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8"/>
    <x v="8"/>
    <s v="RASA MANTAP SOY"/>
    <s v="ABC K.MNS EP PET 48X135ML 2201"/>
    <n v="48"/>
    <x v="0"/>
    <s v="KECAP MANIS"/>
    <s v="A1011"/>
    <x v="6"/>
    <n v="14"/>
    <s v="ABC KECAP MANIS EXTRA PEDAS 135 ML X 48 BTL "/>
    <n v="44"/>
    <s v="ABC"/>
    <s v="A1"/>
    <s v="KECAP"/>
    <s v="01"/>
    <s v="MANIS"/>
    <n v="1"/>
    <m/>
    <s v="0"/>
    <s v="EXTRA PEDAS"/>
    <s v="06"/>
    <s v="135 ML"/>
    <s v="0135"/>
    <s v="BTL"/>
    <s v="2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9"/>
    <x v="9"/>
    <s v="RASA MANTAP SOY"/>
    <s v="ABC KCP PEDAS PET 24X275ML2106"/>
    <n v="24"/>
    <x v="0"/>
    <s v="KECAP MANIS"/>
    <s v="A1011"/>
    <x v="7"/>
    <n v="14"/>
    <s v="ABC KECAP MANIS PEDAS 275 ML X 24 BTL "/>
    <n v="38"/>
    <s v="ABC"/>
    <s v="A1"/>
    <s v="KECAP"/>
    <s v="01"/>
    <s v="MANIS"/>
    <n v="1"/>
    <m/>
    <s v="0"/>
    <s v="PEDAS"/>
    <s v="05"/>
    <s v="275 ML"/>
    <s v="0275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10"/>
    <x v="10"/>
    <s v="RASA MANTAP SOY"/>
    <s v="ABC K.MNS PDS PET 24X275ML2201"/>
    <n v="24"/>
    <x v="0"/>
    <s v="KECAP MANIS"/>
    <s v="A1011"/>
    <x v="7"/>
    <n v="14"/>
    <s v="ABC KECAP MANIS PEDAS 275 ML X 24 BTL "/>
    <n v="38"/>
    <s v="ABC"/>
    <s v="A1"/>
    <s v="KECAP"/>
    <s v="01"/>
    <s v="MANIS"/>
    <n v="1"/>
    <m/>
    <s v="0"/>
    <s v="PEDAS"/>
    <s v="05"/>
    <s v="275 ML"/>
    <s v="0275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11"/>
    <x v="11"/>
    <s v="RASA MANTAP SOY"/>
    <s v="ABC K.MNS EP PCH 48X70G 2201"/>
    <n v="48"/>
    <x v="1"/>
    <s v="KECAP MANIS"/>
    <s v="A1011"/>
    <x v="8"/>
    <n v="14"/>
    <s v="ABC KECAP MANIS EXTRA PEDAS 75 GR X 48 PCH "/>
    <n v="43"/>
    <s v="ABC"/>
    <s v="A1"/>
    <s v="KECAP"/>
    <s v="01"/>
    <s v="MANIS"/>
    <n v="1"/>
    <m/>
    <s v="0"/>
    <s v="EXTRA PEDAS"/>
    <s v="06"/>
    <s v="75 GR"/>
    <s v="0075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12"/>
    <x v="12"/>
    <s v="RASA MANTAP SOY"/>
    <s v="ABC KCP MNS PCH 48X75G 2208"/>
    <n v="48"/>
    <x v="1"/>
    <s v="KECAP MANIS"/>
    <s v="A1011"/>
    <x v="9"/>
    <n v="14"/>
    <s v="ABC KECAP MANIS  75 GR X 48 PCH "/>
    <n v="32"/>
    <s v="ABC"/>
    <s v="A1"/>
    <s v="KECAP"/>
    <s v="01"/>
    <s v="MANIS"/>
    <n v="1"/>
    <m/>
    <s v="0"/>
    <m/>
    <s v="00"/>
    <s v="75 GR"/>
    <s v="0062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13"/>
    <x v="13"/>
    <s v="RASA MANTAP SOY"/>
    <s v="ABC KCP MNS PCH 48X62G 2311"/>
    <n v="48"/>
    <x v="1"/>
    <s v="KECAP MANIS"/>
    <s v="A1011"/>
    <x v="9"/>
    <n v="14"/>
    <s v="ABC KECAP MANIS  62 GR X 48 PCH "/>
    <n v="32"/>
    <s v="ABC"/>
    <s v="A1"/>
    <s v="KECAP"/>
    <s v="01"/>
    <s v="MANIS"/>
    <n v="1"/>
    <m/>
    <s v="0"/>
    <m/>
    <s v="00"/>
    <s v="62 GR"/>
    <s v="0062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14"/>
    <x v="14"/>
    <s v="RASA MANTAP SOY"/>
    <s v="ABC KCPMNS PCH 48X62G B5G12311"/>
    <n v="48"/>
    <x v="1"/>
    <s v="KECAP MANIS"/>
    <s v="A1011"/>
    <x v="10"/>
    <n v="14"/>
    <s v="ABC KECAP MANIS  62 GR X 48 PCH B5G1"/>
    <n v="36"/>
    <s v="ABC"/>
    <s v="A1"/>
    <s v="KECAP"/>
    <s v="01"/>
    <s v="MANIS"/>
    <n v="1"/>
    <m/>
    <s v="0"/>
    <m/>
    <s v="00"/>
    <s v="62 GR"/>
    <s v="0062"/>
    <s v="PCH"/>
    <s v="1"/>
    <s v="B5G1"/>
    <n v="1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15"/>
    <x v="15"/>
    <s v="RASA MANTAP SOY"/>
    <s v="ABC KCP MNS PCH 48X80ML 2007"/>
    <n v="48"/>
    <x v="1"/>
    <s v="KECAP MANIS"/>
    <s v="A1011"/>
    <x v="11"/>
    <n v="14"/>
    <s v="ABC KECAP MANIS  80 ML X 48 PCH "/>
    <n v="32"/>
    <s v="ABC"/>
    <s v="A1"/>
    <s v="KECAP"/>
    <s v="01"/>
    <s v="MANIS"/>
    <n v="1"/>
    <m/>
    <s v="0"/>
    <m/>
    <s v="00"/>
    <s v="80 ML"/>
    <s v="008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16"/>
    <x v="16"/>
    <s v="RASA MANTAP SOY"/>
    <s v="ABC KCPMNS PCH SB 24X225ML1607"/>
    <n v="24"/>
    <x v="1"/>
    <s v="KECAP MANIS"/>
    <s v="A1011"/>
    <x v="12"/>
    <n v="14"/>
    <s v="ABC KECAP MANIS  225 ML X 24 PCH "/>
    <n v="33"/>
    <s v="ABC"/>
    <s v="A1"/>
    <s v="KECAP"/>
    <s v="01"/>
    <s v="MANIS"/>
    <n v="1"/>
    <m/>
    <s v="0"/>
    <m/>
    <s v="00"/>
    <s v="225 ML"/>
    <s v="030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17"/>
    <x v="17"/>
    <s v="RASA MANTAP SOY"/>
    <s v="ABC KCP MNS PCH 24X300G 2208"/>
    <n v="24"/>
    <x v="1"/>
    <s v="KECAP MANIS"/>
    <s v="A1011"/>
    <x v="12"/>
    <n v="14"/>
    <s v="ABC KECAP MANIS  300 GR X 24 PCH "/>
    <n v="33"/>
    <s v="ABC"/>
    <s v="A1"/>
    <s v="KECAP"/>
    <s v="01"/>
    <s v="MANIS"/>
    <n v="1"/>
    <m/>
    <s v="0"/>
    <m/>
    <s v="00"/>
    <s v="300 GR"/>
    <s v="030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18"/>
    <x v="18"/>
    <s v="RASA MANTAP SOY"/>
    <s v="ABC KCP MNS PCH 24X250G 2311"/>
    <n v="24"/>
    <x v="1"/>
    <s v="KECAP MANIS"/>
    <s v="A1011"/>
    <x v="13"/>
    <n v="14"/>
    <s v="ABC KECAP MANIS  250 GR X 24 PCH "/>
    <n v="33"/>
    <s v="ABC"/>
    <s v="A1"/>
    <s v="KECAP"/>
    <s v="01"/>
    <s v="MANIS"/>
    <n v="1"/>
    <m/>
    <s v="0"/>
    <m/>
    <s v="00"/>
    <s v="250 GR"/>
    <s v="025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19"/>
    <x v="19"/>
    <s v="RASA MANTAP SOY"/>
    <s v="ABC KCP MNS PCH 12X685G 2208"/>
    <n v="12"/>
    <x v="1"/>
    <s v="KECAP MANIS"/>
    <s v="A1011"/>
    <x v="14"/>
    <n v="14"/>
    <s v="ABC KECAP MANIS  685 GR X 12 PCH "/>
    <n v="33"/>
    <s v="ABC"/>
    <s v="A1"/>
    <s v="KECAP"/>
    <s v="01"/>
    <s v="MANIS"/>
    <n v="1"/>
    <m/>
    <s v="0"/>
    <m/>
    <s v="00"/>
    <s v="685 GR"/>
    <s v="0685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0"/>
    <x v="20"/>
    <s v="RASA MANTAP SOY"/>
    <s v="ABC KCPMNS PCH SB 12X520ML1607"/>
    <n v="12"/>
    <x v="1"/>
    <s v="KECAP MANIS"/>
    <s v="A1011"/>
    <x v="15"/>
    <n v="14"/>
    <s v="ABC KECAP MANIS  520 ML X 12 PCH "/>
    <n v="33"/>
    <s v="ABC"/>
    <s v="A1"/>
    <s v="KECAP"/>
    <s v="01"/>
    <s v="MANIS"/>
    <n v="1"/>
    <m/>
    <s v="0"/>
    <m/>
    <s v="00"/>
    <s v="520 ML"/>
    <s v="052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1"/>
    <x v="21"/>
    <s v="RASA MANTAP SOY"/>
    <s v="ABC KMNS 520ML+ SNUS TGT 2209"/>
    <n v="12"/>
    <x v="1"/>
    <s v="KECAP MANIS"/>
    <s v="A1011"/>
    <x v="16"/>
    <n v="14"/>
    <s v="ABC KECAP MANIS  520 ML X 12 PCH BANDED"/>
    <n v="39"/>
    <s v="ABC"/>
    <s v="A1"/>
    <s v="KECAP"/>
    <s v="01"/>
    <s v="MANIS"/>
    <n v="1"/>
    <m/>
    <s v="0"/>
    <m/>
    <s v="00"/>
    <s v="520 ML"/>
    <s v="0520"/>
    <s v="PCH"/>
    <s v="1"/>
    <s v="BANDED"/>
    <n v="2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2"/>
    <x v="22"/>
    <s v="RASA MANTAP SOY"/>
    <s v="ABC KCPMNS 685G+S.AS135ML 2301"/>
    <n v="12"/>
    <x v="1"/>
    <s v="KECAP MANIS"/>
    <s v="A1011"/>
    <x v="17"/>
    <n v="14"/>
    <s v="ABC KECAP MANIS  685 GR X 12 PCH BANDED"/>
    <n v="39"/>
    <s v="ABC"/>
    <s v="A1"/>
    <s v="KECAP"/>
    <s v="01"/>
    <s v="MANIS"/>
    <n v="1"/>
    <m/>
    <s v="0"/>
    <m/>
    <s v="00"/>
    <s v="685 GR"/>
    <s v="0685"/>
    <s v="PCH"/>
    <s v="1"/>
    <s v="BANDED"/>
    <n v="2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3"/>
    <x v="23"/>
    <s v="RASA MANTAP SOY"/>
    <s v="ABC KCP MNS PCH 12X600G 2311"/>
    <n v="12"/>
    <x v="1"/>
    <s v="KECAP MANIS"/>
    <s v="A1011"/>
    <x v="18"/>
    <n v="14"/>
    <s v="ABC KECAP MANIS  600 GR X 12 PCH "/>
    <n v="33"/>
    <s v="ABC"/>
    <s v="A1"/>
    <s v="KECAP"/>
    <s v="01"/>
    <s v="MANIS"/>
    <n v="1"/>
    <m/>
    <s v="0"/>
    <m/>
    <s v="00"/>
    <s v="600 GR"/>
    <s v="0600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4"/>
    <x v="24"/>
    <s v="RASA MANTAP SOY"/>
    <s v="ABC KCP MNS PCH 12X700ML 1909"/>
    <n v="12"/>
    <x v="1"/>
    <s v="KECAP MANIS"/>
    <s v="A1011"/>
    <x v="19"/>
    <n v="14"/>
    <s v="ABC KECAP MANIS  925 GR X 12 PCH "/>
    <n v="33"/>
    <s v="ABC"/>
    <s v="A1"/>
    <s v="KECAP"/>
    <s v="01"/>
    <s v="MANIS"/>
    <n v="1"/>
    <m/>
    <s v="0"/>
    <m/>
    <s v="00"/>
    <s v="925 GR"/>
    <s v="0925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25"/>
    <x v="25"/>
    <s v="RASA MANTAP SOY"/>
    <s v="ABC KCP MNS PCH 12X925G 2208"/>
    <n v="12"/>
    <x v="1"/>
    <s v="KECAP MANIS"/>
    <s v="A1011"/>
    <x v="19"/>
    <n v="14"/>
    <s v="ABC KECAP MANIS  925 GR X 12 PCH "/>
    <n v="33"/>
    <s v="ABC"/>
    <s v="A1"/>
    <s v="KECAP"/>
    <s v="01"/>
    <s v="MANIS"/>
    <n v="1"/>
    <m/>
    <s v="0"/>
    <m/>
    <s v="00"/>
    <s v="925 GR"/>
    <s v="0925"/>
    <s v="PCH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6"/>
    <x v="26"/>
    <s v="RASA MANTAP SOY"/>
    <s v="ABC KCP MNS PCH 12X825G 2311"/>
    <n v="12"/>
    <x v="1"/>
    <s v="KECAP MANIS"/>
    <s v="A1011"/>
    <x v="20"/>
    <n v="14"/>
    <s v="ABC KECAP MANIS  825 GR X 12 PCH "/>
    <n v="33"/>
    <s v="ABC"/>
    <s v="A1"/>
    <s v="KECAP"/>
    <s v="01"/>
    <s v="MANIS"/>
    <n v="1"/>
    <m/>
    <s v="0"/>
    <m/>
    <s v="00"/>
    <s v="825 GR"/>
    <s v="0825"/>
    <s v="PCH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7"/>
    <x v="27"/>
    <s v="RASA MANTAP SOY"/>
    <s v="ABC KCP MNS JRG 6KG 2111"/>
    <n v="1"/>
    <x v="2"/>
    <s v="KECAP MANIS"/>
    <s v="A1011"/>
    <x v="21"/>
    <n v="14"/>
    <s v="ABC KECAP MANIS  6 KG X 1 JRG "/>
    <n v="30"/>
    <s v="ABC"/>
    <s v="A1"/>
    <s v="KECAP"/>
    <s v="01"/>
    <s v="MANIS"/>
    <n v="1"/>
    <m/>
    <s v="0"/>
    <m/>
    <s v="00"/>
    <s v="6 KG"/>
    <s v="6000"/>
    <s v="JRG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8"/>
    <x v="28"/>
    <s v="RASA MANTAP SOY"/>
    <s v="ABC KCP MNS JRG 25KG 2006"/>
    <n v="1"/>
    <x v="2"/>
    <s v="KECAP MANIS"/>
    <s v="A1011"/>
    <x v="22"/>
    <n v="14"/>
    <s v="ABC KECAP MANIS  25 KG X 1 JRG "/>
    <n v="31"/>
    <s v="ABC"/>
    <s v="A1"/>
    <s v="KECAP"/>
    <s v="01"/>
    <s v="MANIS"/>
    <n v="1"/>
    <m/>
    <s v="0"/>
    <m/>
    <s v="00"/>
    <s v="25 KG"/>
    <n v="1025"/>
    <s v="JRG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29"/>
    <x v="29"/>
    <s v="RASA MANTAP SOY"/>
    <s v="ABC KCPMNS PET SB 48X135ML1607"/>
    <n v="48"/>
    <x v="0"/>
    <s v="KECAP MANIS"/>
    <s v="A1011"/>
    <x v="23"/>
    <n v="14"/>
    <s v="ABC KECAP MANIS  135 ML X 48 BTL "/>
    <n v="33"/>
    <s v="ABC"/>
    <s v="A1"/>
    <s v="KECAP"/>
    <s v="01"/>
    <s v="MANIS"/>
    <n v="1"/>
    <m/>
    <s v="0"/>
    <m/>
    <s v="00"/>
    <s v="135 ML"/>
    <s v="0135"/>
    <s v="BTL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0"/>
    <x v="30"/>
    <s v="RASA MANTAP SOY"/>
    <s v="ABC KCPMNS PET SB 24X275ML1607"/>
    <n v="24"/>
    <x v="0"/>
    <s v="KECAP MANIS"/>
    <s v="A1011"/>
    <x v="24"/>
    <n v="14"/>
    <s v="ABC KECAP MANIS  275 ML X 24 BTL "/>
    <n v="33"/>
    <s v="ABC"/>
    <s v="A1"/>
    <s v="KECAP"/>
    <s v="01"/>
    <s v="MANIS"/>
    <n v="1"/>
    <m/>
    <s v="0"/>
    <m/>
    <s v="00"/>
    <s v="275 ML"/>
    <s v="0275"/>
    <s v="BTL"/>
    <s v="2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1"/>
    <x v="31"/>
    <s v="RASA MANTAP SOY"/>
    <s v="ABC KCPMNS BTL SB 12X620ML1607"/>
    <n v="12"/>
    <x v="0"/>
    <s v="KECAP MANIS"/>
    <s v="A1011"/>
    <x v="25"/>
    <n v="14"/>
    <s v="ABC KECAP MANIS  620 ML X 12 BTL "/>
    <n v="33"/>
    <s v="ABC"/>
    <s v="A1"/>
    <s v="KECAP"/>
    <s v="01"/>
    <s v="MANIS"/>
    <n v="1"/>
    <m/>
    <s v="0"/>
    <m/>
    <s v="00"/>
    <s v="620 ML"/>
    <s v="0620"/>
    <s v="BTL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2"/>
    <x v="32"/>
    <s v="RASA MANTAP SOY"/>
    <s v="ABC KCPMNS PET SB 12X600ML1607"/>
    <n v="12"/>
    <x v="0"/>
    <s v="KECAP MANIS"/>
    <s v="A1011"/>
    <x v="26"/>
    <n v="14"/>
    <s v="ABC KECAP MANIS  600 ML X 12 BTL "/>
    <n v="33"/>
    <s v="ABC"/>
    <s v="A1"/>
    <s v="KECAP"/>
    <s v="01"/>
    <s v="MANIS"/>
    <n v="1"/>
    <m/>
    <s v="0"/>
    <m/>
    <s v="00"/>
    <s v="600 ML"/>
    <s v="0600"/>
    <s v="BTL"/>
    <s v="2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3"/>
    <x v="33"/>
    <s v="RASA MANTAP SOY"/>
    <s v="ABC KCP ASIN 133ML 1110"/>
    <n v="48"/>
    <x v="0"/>
    <s v="KECAP ASIN"/>
    <s v="A1012"/>
    <x v="27"/>
    <n v="14"/>
    <s v="ABC KECAP ASIN  133 ML X 48 BTL "/>
    <n v="32"/>
    <s v="ABC"/>
    <s v="A1"/>
    <s v="KECAP"/>
    <s v="01"/>
    <s v="ASIN"/>
    <n v="2"/>
    <m/>
    <s v="0"/>
    <m/>
    <s v="00"/>
    <s v="133 ML"/>
    <s v="0133"/>
    <s v="BTL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34"/>
    <x v="34"/>
    <s v="RASA MANTAP SOY"/>
    <s v="ABC KCP ASIN PET 48X133ML 2106"/>
    <n v="48"/>
    <x v="0"/>
    <s v="KECAP ASIN"/>
    <s v="A1012"/>
    <x v="27"/>
    <n v="14"/>
    <s v="ABC KECAP ASIN  133 ML X 48 BTL "/>
    <n v="32"/>
    <s v="ABC"/>
    <s v="A1"/>
    <s v="KECAP"/>
    <s v="01"/>
    <s v="ASIN"/>
    <n v="2"/>
    <m/>
    <s v="0"/>
    <m/>
    <s v="00"/>
    <s v="133 ML"/>
    <s v="0133"/>
    <s v="BTL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5"/>
    <x v="35"/>
    <s v="RASA MANTAP SOY"/>
    <s v="ABC KCP ASIN ND 6KG 1001"/>
    <n v="1"/>
    <x v="2"/>
    <s v="KECAP ASIN"/>
    <s v="A1012"/>
    <x v="28"/>
    <n v="14"/>
    <s v="ABC KECAP ASIN  6 KG X 1 JRG "/>
    <n v="29"/>
    <s v="ABC"/>
    <s v="A1"/>
    <s v="KECAP"/>
    <s v="01"/>
    <s v="ASIN"/>
    <n v="2"/>
    <m/>
    <s v="0"/>
    <m/>
    <s v="00"/>
    <s v="6 KG"/>
    <n v="6000"/>
    <s v="JRG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6"/>
    <x v="36"/>
    <s v="RASA MANTAP SOY"/>
    <s v="ABC KCP ASIN ND 12X620ML 1001"/>
    <n v="12"/>
    <x v="0"/>
    <s v="KECAP ASIN"/>
    <s v="A1012"/>
    <x v="29"/>
    <n v="14"/>
    <s v="ABC KECAP ASIN  620 ML X 12 BTL "/>
    <n v="32"/>
    <s v="ABC"/>
    <s v="A1"/>
    <s v="KECAP"/>
    <s v="01"/>
    <s v="ASIN"/>
    <n v="2"/>
    <m/>
    <s v="0"/>
    <m/>
    <s v="00"/>
    <s v="620 ML"/>
    <s v="0620"/>
    <s v="BTL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7"/>
    <x v="37"/>
    <s v="SOY SACHET"/>
    <s v="ABC KCP MNS SCT 12X12X25ML2109"/>
    <n v="12"/>
    <x v="3"/>
    <s v="KECAP MANIS"/>
    <s v="A1011"/>
    <x v="30"/>
    <n v="14"/>
    <s v="ABC KECAP MANIS SACHET 25 GR X 12 PCSX12 "/>
    <n v="41"/>
    <s v="ABC"/>
    <s v="A1"/>
    <s v="KECAP"/>
    <s v="01"/>
    <s v="MANIS"/>
    <n v="1"/>
    <m/>
    <s v="0"/>
    <s v="SACHET"/>
    <s v="07"/>
    <s v="25 GR"/>
    <s v="0025"/>
    <s v="PCSX12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38"/>
    <x v="38"/>
    <s v="SOY SACHET"/>
    <s v="ABC KCPMNS SCT ND 288X15ML1607"/>
    <n v="24"/>
    <x v="3"/>
    <s v="KECAP MANIS"/>
    <s v="A1011"/>
    <x v="31"/>
    <n v="14"/>
    <s v="ABC KECAP MANIS SACHET 15 ML X 24 PCSX12 "/>
    <n v="41"/>
    <s v="ABC"/>
    <s v="A1"/>
    <s v="KECAP"/>
    <s v="01"/>
    <s v="MANIS"/>
    <n v="1"/>
    <m/>
    <s v="0"/>
    <s v="SACHET"/>
    <s v="07"/>
    <s v="15 ML"/>
    <s v="0015"/>
    <s v="PCSX12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39"/>
    <x v="39"/>
    <s v="SOY SACHET"/>
    <s v="ABC KCP MNS SCT 24X12X15G 2208"/>
    <n v="24"/>
    <x v="3"/>
    <s v="KECAP MANIS"/>
    <s v="A1011"/>
    <x v="31"/>
    <n v="14"/>
    <s v="ABC KECAP MANIS SACHET 15 GR X 24 PCSX12 "/>
    <n v="41"/>
    <s v="ABC"/>
    <s v="A1"/>
    <s v="KECAP"/>
    <s v="01"/>
    <s v="MANIS"/>
    <n v="1"/>
    <m/>
    <s v="0"/>
    <s v="SACHET"/>
    <s v="07"/>
    <s v="15 GR"/>
    <s v="0015"/>
    <s v="PCSX12"/>
    <s v="1"/>
    <m/>
    <n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0"/>
    <x v="40"/>
    <s v="SOY SACHET"/>
    <s v="ABC KCPMNS 288X15G B5G1 2311"/>
    <n v="24"/>
    <x v="3"/>
    <s v="KECAP MANIS"/>
    <s v="A1011"/>
    <x v="32"/>
    <n v="14"/>
    <s v="ABC KECAP MANIS SACHET 15 GR X 24 PCSX12 B5G1"/>
    <n v="45"/>
    <s v="ABC"/>
    <s v="A1"/>
    <s v="KECAP"/>
    <s v="01"/>
    <s v="MANIS"/>
    <n v="1"/>
    <m/>
    <s v="0"/>
    <s v="SACHET"/>
    <s v="07"/>
    <s v="15 GR"/>
    <s v="0015"/>
    <s v="PCSX12"/>
    <s v="4"/>
    <s v="B5G1"/>
    <n v="1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1"/>
    <x v="41"/>
    <s v="SOY SACHET"/>
    <s v="ABC KMNS SCT 12X12X27G PR 2209"/>
    <n v="12"/>
    <x v="3"/>
    <s v="KECAP MANIS"/>
    <s v="A1011"/>
    <x v="33"/>
    <n v="14"/>
    <s v="ABC KECAP MANIS SACHET 27 GR X 12 PCSX12 PROMO"/>
    <n v="46"/>
    <s v="ABC"/>
    <s v="A1"/>
    <s v="KECAP"/>
    <s v="01"/>
    <s v="MANIS"/>
    <n v="1"/>
    <m/>
    <s v="0"/>
    <s v="SACHET"/>
    <s v="07"/>
    <s v="27 GR"/>
    <s v="0027"/>
    <s v="PCSX12"/>
    <s v="4"/>
    <s v="PROMO"/>
    <n v="1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2"/>
    <x v="42"/>
    <s v="SPECIAL SAUCE"/>
    <s v="ABC MINYAK WIJEN NL 195ML 0908"/>
    <n v="24"/>
    <x v="0"/>
    <s v="SAUCE "/>
    <s v="A1020"/>
    <x v="34"/>
    <n v="14"/>
    <s v="ABC SAUCE  MINYAK WIJEN 195 ML X 24 BTL "/>
    <n v="40"/>
    <s v="ABC"/>
    <s v="A1"/>
    <s v="SAUCE"/>
    <s v="02"/>
    <m/>
    <s v="0"/>
    <m/>
    <s v="0"/>
    <s v="MINYAK WIJEN"/>
    <s v="01"/>
    <s v="195 ML"/>
    <s v="0195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43"/>
    <x v="43"/>
    <s v="SPECIAL SAUCE"/>
    <s v="ABC MYK WIJEN BB 24X195ML 2106"/>
    <n v="24"/>
    <x v="0"/>
    <s v="SAUCE "/>
    <s v="A1020"/>
    <x v="34"/>
    <n v="14"/>
    <s v="ABC SAUCE  MINYAK WIJEN 195 ML X 24 BTL "/>
    <n v="40"/>
    <s v="ABC"/>
    <s v="A1"/>
    <s v="SAUCE"/>
    <s v="02"/>
    <m/>
    <s v="0"/>
    <m/>
    <s v="0"/>
    <s v="MINYAK WIJEN"/>
    <s v="01"/>
    <s v="195 ML"/>
    <s v="0195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4"/>
    <x v="44"/>
    <s v="SPECIAL SAUCE"/>
    <s v="ABC SAUS TIRAM BB 24X420ML2110"/>
    <n v="24"/>
    <x v="0"/>
    <s v="SAUCE "/>
    <s v="A1020"/>
    <x v="35"/>
    <n v="14"/>
    <s v="ABC SAUCE  TIRAM 420 ML X 24 BTL "/>
    <n v="33"/>
    <s v="ABC"/>
    <s v="A1"/>
    <s v="SAUCE"/>
    <s v="02"/>
    <m/>
    <s v="0"/>
    <m/>
    <s v="0"/>
    <s v="TIRAM"/>
    <s v="02"/>
    <s v="420 ML"/>
    <s v="0420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45"/>
    <x v="45"/>
    <s v="SPECIAL SAUCE"/>
    <s v="ABC SAUS TIRAM BB 24X420ML2204"/>
    <n v="24"/>
    <x v="0"/>
    <s v="SAUCE "/>
    <s v="A1020"/>
    <x v="35"/>
    <n v="14"/>
    <s v="ABC SAUCE  TIRAM 420 ML X 24 BTL "/>
    <n v="33"/>
    <s v="ABC"/>
    <s v="A1"/>
    <s v="SAUCE"/>
    <s v="02"/>
    <m/>
    <s v="0"/>
    <m/>
    <s v="0"/>
    <s v="TIRAM"/>
    <s v="02"/>
    <s v="420 ML"/>
    <s v="0420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6"/>
    <x v="46"/>
    <s v="SPECIAL SAUCE"/>
    <s v="ABC SAUS TIRAM PET48X135ML2106"/>
    <n v="48"/>
    <x v="0"/>
    <s v="SAUCE "/>
    <s v="A1020"/>
    <x v="36"/>
    <n v="14"/>
    <s v="ABC SAUCE  TIRAM 135 ML X 48 BTL "/>
    <n v="33"/>
    <s v="ABC"/>
    <s v="A1"/>
    <s v="SAUCE"/>
    <s v="02"/>
    <m/>
    <s v="0"/>
    <m/>
    <s v="0"/>
    <s v="TIRAM"/>
    <s v="02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2"/>
    <x v="47"/>
    <x v="47"/>
    <s v="SPECIAL SAUCE"/>
    <s v="ABC SAUS TIRAM PET48X135ML2204"/>
    <n v="48"/>
    <x v="0"/>
    <s v="SAUCE "/>
    <s v="A1020"/>
    <x v="36"/>
    <n v="14"/>
    <s v="ABC SAUCE  TIRAM 135 ML X 48 BTL "/>
    <n v="33"/>
    <s v="ABC"/>
    <s v="A1"/>
    <s v="SAUCE"/>
    <s v="02"/>
    <m/>
    <s v="0"/>
    <m/>
    <s v="0"/>
    <s v="TIRAM"/>
    <s v="02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8"/>
    <x v="48"/>
    <s v="SPECIAL SAUCE"/>
    <s v="ABC S.ASAM MNS BB 24X195ML2204"/>
    <n v="24"/>
    <x v="0"/>
    <s v="SAUCE "/>
    <s v="A1020"/>
    <x v="37"/>
    <n v="14"/>
    <s v="ABC SAUCE  ASAM MANIS 195 ML X 24 BTL "/>
    <n v="38"/>
    <s v="ABC"/>
    <s v="A1"/>
    <s v="SAUCE"/>
    <s v="02"/>
    <m/>
    <s v="0"/>
    <m/>
    <s v="0"/>
    <s v="ASAM MANIS"/>
    <s v="03"/>
    <s v="195 ML"/>
    <s v="0195"/>
    <s v="BTL"/>
    <s v="1"/>
    <m/>
    <s v="0"/>
    <m/>
    <m/>
    <m/>
    <m/>
    <m/>
    <m/>
    <m/>
    <m/>
    <m/>
    <m/>
    <m/>
    <m/>
    <m/>
    <m/>
    <s v="Lama"/>
    <s v="Sama"/>
    <s v="IDR"/>
    <s v="SPV4"/>
    <s v="S-HNZ"/>
    <s v="KRT"/>
    <s v="GD01"/>
    <n v="11611"/>
    <n v="11612"/>
    <m/>
    <n v="1"/>
  </r>
  <r>
    <n v="1"/>
    <x v="49"/>
    <x v="49"/>
    <s v="SPECIAL SAUCE"/>
    <s v="ABC SAUS TIRAM BB 24X195ML2204"/>
    <n v="24"/>
    <x v="0"/>
    <s v="SAUCE "/>
    <s v="A1020"/>
    <x v="38"/>
    <n v="14"/>
    <s v="ABC SAUCE  TIRAM 195 ML X 24 BTL "/>
    <n v="33"/>
    <s v="ABC"/>
    <s v="A1"/>
    <s v="SAUCE"/>
    <s v="02"/>
    <m/>
    <s v="0"/>
    <m/>
    <s v="0"/>
    <s v="TIRAM"/>
    <s v="02"/>
    <s v="195 ML"/>
    <s v="019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0"/>
    <x v="50"/>
    <s v="SPECIAL SAUCE"/>
    <s v="ABC KCP INGGRIS BB24X195ML2106"/>
    <n v="24"/>
    <x v="0"/>
    <s v="SAUCE "/>
    <s v="A1020"/>
    <x v="39"/>
    <n v="14"/>
    <s v="ABC SAUCE  KCP INGGRIS 195 ML X 24 BTL "/>
    <n v="39"/>
    <s v="ABC"/>
    <s v="A1"/>
    <s v="SAUCE"/>
    <s v="02"/>
    <m/>
    <s v="0"/>
    <m/>
    <s v="0"/>
    <s v="KCP INGGRIS"/>
    <s v="04"/>
    <s v="195 ML"/>
    <s v="019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1"/>
    <x v="51"/>
    <s v="SHRIMP PASTE"/>
    <s v="ABC TRS SCT NEW 36X20X4.2G2203"/>
    <n v="36"/>
    <x v="4"/>
    <s v="TERASI "/>
    <s v="A1030"/>
    <x v="40"/>
    <n v="14"/>
    <s v="ABC TERASI  SCH 3,8 GR X 36 PCSX20 "/>
    <n v="35"/>
    <s v="ABC"/>
    <s v="A1"/>
    <s v="TERASI"/>
    <s v="03"/>
    <m/>
    <s v="0"/>
    <m/>
    <s v="0"/>
    <s v="SCH"/>
    <s v="01"/>
    <s v="3,8 GR"/>
    <s v="0003"/>
    <s v="PCSX2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52"/>
    <x v="52"/>
    <s v="SHRIMP PASTE"/>
    <s v="ABC TRS SCT NEW 36X20X3.8G2211"/>
    <n v="36"/>
    <x v="4"/>
    <s v="TERASI "/>
    <s v="A1030"/>
    <x v="40"/>
    <n v="14"/>
    <s v="ABC TERASI  SCH 3,8 GR X 36 PCSX20 "/>
    <n v="35"/>
    <s v="ABC"/>
    <s v="A1"/>
    <s v="TERASI"/>
    <s v="03"/>
    <m/>
    <s v="0"/>
    <m/>
    <s v="0"/>
    <s v="SCH"/>
    <s v="01"/>
    <s v="3,8 GR"/>
    <s v="0003"/>
    <s v="PCSX2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3"/>
    <x v="53"/>
    <s v="KIDS PRODUCT"/>
    <s v="ABC MRJ MILKYGRP TWA 90ML 1809"/>
    <n v="48"/>
    <x v="5"/>
    <s v="MR JUSSIE MILKY"/>
    <s v="A1041"/>
    <x v="41"/>
    <n v="14"/>
    <s v="ABC MR JUSSIE MILKY GRAPE 90 ML X 48 PCS "/>
    <n v="41"/>
    <s v="ABC"/>
    <s v="A1"/>
    <s v="MR JUSSIE"/>
    <s v="04"/>
    <s v="MILKY"/>
    <n v="1"/>
    <m/>
    <s v="0"/>
    <s v="GRAPE"/>
    <s v="01"/>
    <s v="90 ML"/>
    <s v="00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4"/>
    <x v="54"/>
    <s v="KIDS PRODUCT"/>
    <s v="ABC MRJ MLKYSTBRY TWA90ML 1809"/>
    <n v="48"/>
    <x v="5"/>
    <s v="MR JUSSIE MILKY"/>
    <s v="A1041"/>
    <x v="42"/>
    <n v="14"/>
    <s v="ABC MR JUSSIE MILKY STRAWBERRY 90 ML X 48 PCS "/>
    <n v="46"/>
    <s v="ABC"/>
    <s v="A1"/>
    <s v="MR JUSSIE"/>
    <s v="04"/>
    <s v="MILKY"/>
    <n v="1"/>
    <m/>
    <s v="0"/>
    <s v="STRAWBERRY"/>
    <s v="02"/>
    <s v="90 ML"/>
    <s v="00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5"/>
    <x v="55"/>
    <s v="KIDS PRODUCT"/>
    <s v="ABC MRJ MILKYMNG TWA 90ML 1809"/>
    <n v="48"/>
    <x v="5"/>
    <s v="MR JUSSIE MILKY"/>
    <s v="A1041"/>
    <x v="43"/>
    <n v="14"/>
    <s v="ABC MR JUSSIE MILKY MANGO 90 ML X 48 PCS "/>
    <n v="41"/>
    <s v="ABC"/>
    <s v="A1"/>
    <s v="MR JUSSIE"/>
    <s v="04"/>
    <s v="MILKY"/>
    <n v="1"/>
    <m/>
    <s v="0"/>
    <s v="MANGO"/>
    <s v="03"/>
    <s v="90 ML"/>
    <s v="00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6"/>
    <x v="56"/>
    <s v="KIDS PRODUCT"/>
    <s v="ABC MRJ MILKYORG TWA 90ML 1809"/>
    <n v="48"/>
    <x v="5"/>
    <s v="MR JUSSIE MILKY"/>
    <s v="A1041"/>
    <x v="44"/>
    <n v="14"/>
    <s v="ABC MR JUSSIE MILKY ORANGE 90 ML X 48 PCS "/>
    <n v="42"/>
    <s v="ABC"/>
    <s v="A1"/>
    <s v="MR JUSSIE"/>
    <s v="04"/>
    <s v="MILKY"/>
    <n v="1"/>
    <m/>
    <s v="0"/>
    <s v="ORANGE"/>
    <s v="04"/>
    <s v="90 ML"/>
    <s v="00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7"/>
    <x v="57"/>
    <s v="KIDS PRODUCT"/>
    <s v="ABC MRJ FRUITYGVA TWA90ML 1809"/>
    <n v="48"/>
    <x v="5"/>
    <s v="MR JUSSIE FRUITY"/>
    <s v="A1042"/>
    <x v="45"/>
    <n v="14"/>
    <s v="ABC MR JUSSIE FRUITY GUAVA 90 ML X 48 PCS "/>
    <n v="42"/>
    <s v="ABC"/>
    <s v="A1"/>
    <s v="MR JUSSIE"/>
    <s v="04"/>
    <s v="FRUITY"/>
    <n v="2"/>
    <m/>
    <s v="0"/>
    <s v="GUAVA"/>
    <s v="01"/>
    <s v="90 ML"/>
    <s v="00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8"/>
    <x v="58"/>
    <s v="KIDS PRODUCT"/>
    <s v="ABC MRJ FRUITYORG TWA90ML 1809"/>
    <n v="48"/>
    <x v="5"/>
    <s v="MR JUSSIE FRUITY"/>
    <s v="A1042"/>
    <x v="46"/>
    <n v="14"/>
    <s v="ABC MR JUSSIE FRUITY ORANGE 90 ML X 48 PCS "/>
    <n v="43"/>
    <s v="ABC"/>
    <s v="A1"/>
    <s v="MR JUSSIE"/>
    <s v="04"/>
    <s v="FRUITY"/>
    <n v="2"/>
    <m/>
    <s v="0"/>
    <s v="ORANGE"/>
    <s v="04"/>
    <s v="90 ML"/>
    <s v="00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59"/>
    <x v="59"/>
    <s v="KIDS PRODUCT"/>
    <s v="ABC MRJ CHOCO TWA 90ML 1809"/>
    <n v="48"/>
    <x v="5"/>
    <s v="MR JUSSIE MILKY"/>
    <s v="A1041"/>
    <x v="47"/>
    <n v="14"/>
    <s v="ABC MR JUSSIE MILKY COKLAT 90 ML X 48 PCS "/>
    <n v="42"/>
    <s v="ABC"/>
    <s v="A1"/>
    <s v="MR JUSSIE"/>
    <s v="04"/>
    <s v="MILKY"/>
    <n v="1"/>
    <m/>
    <s v="0"/>
    <s v="COKLAT"/>
    <s v="05"/>
    <s v="90 ML"/>
    <s v="00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0"/>
    <x v="60"/>
    <s v="KACANG HIJAU"/>
    <s v="ABC MUNGBEAN DRNK 24X250ML2103"/>
    <n v="24"/>
    <x v="5"/>
    <s v="KACANG HIJAU "/>
    <s v="A1050"/>
    <x v="48"/>
    <n v="14"/>
    <s v="ABC KACANG HIJAU   250 ML X 24 PCS "/>
    <n v="35"/>
    <s v="ABC"/>
    <s v="A1"/>
    <s v="KACANG HIJAU"/>
    <s v="05"/>
    <m/>
    <s v="0"/>
    <m/>
    <s v="0"/>
    <m/>
    <s v="00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1"/>
    <x v="61"/>
    <s v="KACANG HIJAU"/>
    <s v="ABC MUNG BEAN DRINK 200ML 0912"/>
    <n v="24"/>
    <x v="5"/>
    <s v="KACANG HIJAU "/>
    <s v="A1050"/>
    <x v="49"/>
    <n v="14"/>
    <s v="ABC KACANG HIJAU   200 ML X 24 PCS "/>
    <n v="35"/>
    <s v="ABC"/>
    <s v="A1"/>
    <s v="KACANG HIJAU"/>
    <s v="05"/>
    <m/>
    <s v="0"/>
    <m/>
    <s v="0"/>
    <m/>
    <s v="00"/>
    <s v="200 ML"/>
    <s v="02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62"/>
    <x v="62"/>
    <s v="KACANG HIJAU"/>
    <s v="ABC MUNGBEAN DRNK 24X200ML2103"/>
    <n v="24"/>
    <x v="5"/>
    <s v="KACANG HIJAU "/>
    <s v="A1050"/>
    <x v="49"/>
    <n v="14"/>
    <s v="ABC KACANG HIJAU   200 ML X 24 PCS "/>
    <n v="35"/>
    <s v="ABC"/>
    <s v="A1"/>
    <s v="KACANG HIJAU"/>
    <s v="05"/>
    <m/>
    <s v="0"/>
    <m/>
    <s v="0"/>
    <m/>
    <s v="00"/>
    <s v="200 ML"/>
    <s v="02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3"/>
    <x v="63"/>
    <s v="KACANG HIJAU"/>
    <s v="ABC M.BEAN 24X(200+50)ML 2305"/>
    <n v="24"/>
    <x v="5"/>
    <s v="KACANG HIJAU "/>
    <s v="A1050"/>
    <x v="50"/>
    <n v="14"/>
    <s v="ABC KACANG HIJAU   250 ML X 24 PCS EXTRA 50 ML"/>
    <n v="46"/>
    <s v="ABC"/>
    <s v="A1"/>
    <s v="KACANG HIJAU"/>
    <s v="05"/>
    <m/>
    <s v="0"/>
    <m/>
    <s v="0"/>
    <m/>
    <s v="00"/>
    <s v="250 ML"/>
    <s v="0250"/>
    <s v="PCS"/>
    <s v="1"/>
    <s v="EXTRA 50 ML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4"/>
    <x v="64"/>
    <s v="KACANG HIJAU"/>
    <s v="ABC MUNG BEAN 8X3X250ML 2211"/>
    <n v="8"/>
    <x v="5"/>
    <s v="KACANG HIJAU "/>
    <s v="A1050"/>
    <x v="51"/>
    <n v="14"/>
    <s v="ABC KACANG HIJAU   250 ML X 8 PCSX3 "/>
    <n v="36"/>
    <s v="ABC"/>
    <s v="A1"/>
    <s v="KACANG HIJAU"/>
    <s v="05"/>
    <m/>
    <s v="0"/>
    <m/>
    <s v="0"/>
    <m/>
    <s v="00"/>
    <s v="250 ML"/>
    <s v="0250"/>
    <s v="PCSX3"/>
    <s v="2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65"/>
    <x v="65"/>
    <s v="KACANG HIJAU"/>
    <s v="ABC MUNG BEAN 8X3X250ML 2309"/>
    <n v="8"/>
    <x v="5"/>
    <s v="KACANG HIJAU "/>
    <s v="A1050"/>
    <x v="51"/>
    <n v="14"/>
    <s v="ABC KACANG HIJAU   250 ML X 8 PCSX3 "/>
    <n v="36"/>
    <s v="ABC"/>
    <s v="A1"/>
    <s v="KACANG HIJAU"/>
    <s v="05"/>
    <m/>
    <s v="0"/>
    <m/>
    <s v="0"/>
    <m/>
    <s v="00"/>
    <s v="250 ML"/>
    <s v="0250"/>
    <s v="PCSX3"/>
    <s v="2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6"/>
    <x v="66"/>
    <s v="SARI KEDELAI"/>
    <s v="ABC SOYMLK CHOCO 24X200ML 2304"/>
    <n v="24"/>
    <x v="5"/>
    <s v="SARI KEDELAI MILK"/>
    <s v="A1061"/>
    <x v="52"/>
    <n v="14"/>
    <s v="ABC SARI KEDELAI MILK COKLAT 200 ML X 24 PCS "/>
    <n v="45"/>
    <s v="ABC"/>
    <s v="A1"/>
    <s v="SARI KEDELAI"/>
    <s v="06"/>
    <s v="MILK"/>
    <n v="1"/>
    <m/>
    <s v="0"/>
    <s v="COKLAT"/>
    <s v="01"/>
    <s v="200 ML"/>
    <s v="02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7"/>
    <x v="67"/>
    <s v="SARI KEDELAI"/>
    <s v="ABC SOYMLK STRAW 24X200ML 2304"/>
    <n v="24"/>
    <x v="5"/>
    <s v="SARI KEDELAI MILK"/>
    <s v="A1061"/>
    <x v="53"/>
    <n v="14"/>
    <s v="ABC SARI KEDELAI MILK STRAWBERRY 200 ML X 24 PCS "/>
    <n v="49"/>
    <s v="ABC"/>
    <s v="A1"/>
    <s v="SARI KEDELAI"/>
    <s v="06"/>
    <s v="MILK"/>
    <n v="1"/>
    <m/>
    <s v="0"/>
    <s v="STRAWBERRY"/>
    <s v="02"/>
    <s v="200 ML"/>
    <s v="02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8"/>
    <x v="68"/>
    <s v="SARI KEDELAI"/>
    <s v="ABC SOY MILK TBA 24X200ML 2108"/>
    <n v="24"/>
    <x v="5"/>
    <s v="SARI KEDELAI MILK"/>
    <s v="A1061"/>
    <x v="54"/>
    <n v="14"/>
    <s v="ABC SARI KEDELAI MILK  200 ML X 24 PCS "/>
    <n v="39"/>
    <s v="ABC"/>
    <s v="A1"/>
    <s v="SARI KEDELAI"/>
    <s v="06"/>
    <s v="MILK"/>
    <n v="1"/>
    <m/>
    <s v="0"/>
    <m/>
    <s v="00"/>
    <s v="200 ML"/>
    <s v="02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69"/>
    <x v="69"/>
    <s v="ADULT JUICE"/>
    <s v="ABC GUAVA JUICE Q1 12X1L 1808"/>
    <n v="12"/>
    <x v="5"/>
    <s v="JUICE "/>
    <s v="A1070"/>
    <x v="55"/>
    <n v="14"/>
    <s v="ABC JUICE  GUAVA 1 L X 12 PCS "/>
    <n v="30"/>
    <s v="ABC"/>
    <s v="A1"/>
    <s v="JUICE"/>
    <s v="07"/>
    <m/>
    <s v="0"/>
    <m/>
    <s v="0"/>
    <s v="GUAVA"/>
    <s v="01"/>
    <s v="1 L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70"/>
    <x v="70"/>
    <s v="ADULT JUICE"/>
    <s v="ABC GUAVA JC TPA 12X1L 2210"/>
    <n v="12"/>
    <x v="5"/>
    <s v="JUICE "/>
    <s v="A1070"/>
    <x v="55"/>
    <n v="14"/>
    <s v="ABC JUICE  GUAVA 1 L X 12 PCS "/>
    <n v="30"/>
    <s v="ABC"/>
    <s v="A1"/>
    <s v="JUICE"/>
    <s v="07"/>
    <m/>
    <s v="0"/>
    <m/>
    <s v="0"/>
    <s v="GUAVA"/>
    <s v="01"/>
    <s v="1 L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71"/>
    <x v="71"/>
    <s v="ADULT JUICE"/>
    <s v="ABC GUAVA JC TBA 24X250ML 2210"/>
    <n v="24"/>
    <x v="5"/>
    <s v="JUICE "/>
    <s v="A1070"/>
    <x v="56"/>
    <n v="14"/>
    <s v="ABC JUICE  GUAVA 250 ML X 24 PCS "/>
    <n v="33"/>
    <s v="ABC"/>
    <s v="A1"/>
    <s v="JUICE"/>
    <s v="07"/>
    <m/>
    <s v="0"/>
    <m/>
    <s v="0"/>
    <s v="GUAVA"/>
    <s v="01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72"/>
    <x v="72"/>
    <s v="ADULT JUICE"/>
    <s v="ABC GUAVA JUICE QI24X250ML1808"/>
    <n v="24"/>
    <x v="5"/>
    <s v="JUICE "/>
    <s v="A1070"/>
    <x v="56"/>
    <n v="14"/>
    <s v="ABC JUICE  GUAVA 250 ML X 24 PCS "/>
    <n v="33"/>
    <s v="ABC"/>
    <s v="A1"/>
    <s v="JUICE"/>
    <s v="07"/>
    <m/>
    <s v="0"/>
    <m/>
    <s v="0"/>
    <s v="GUAVA"/>
    <s v="01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73"/>
    <x v="73"/>
    <s v="ADULT JUICE"/>
    <s v="ABC ORANGE JC TPA 12X1L 2210"/>
    <n v="12"/>
    <x v="5"/>
    <s v="JUICE "/>
    <s v="A1070"/>
    <x v="57"/>
    <n v="14"/>
    <s v="ABC JUICE  ORANGE 1 L X 12 PCS "/>
    <n v="31"/>
    <s v="ABC"/>
    <s v="A1"/>
    <s v="JUICE"/>
    <s v="07"/>
    <m/>
    <s v="0"/>
    <m/>
    <s v="0"/>
    <s v="ORANGE"/>
    <s v="02"/>
    <s v="1 L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74"/>
    <x v="74"/>
    <s v="ADULT JUICE"/>
    <s v="ABC ORANGE JC TBA 24X250ML2210"/>
    <n v="24"/>
    <x v="5"/>
    <s v="JUICE "/>
    <s v="A1070"/>
    <x v="58"/>
    <n v="14"/>
    <s v="ABC JUICE  ORANGE 250 ML X 24 PCS "/>
    <n v="34"/>
    <s v="ABC"/>
    <s v="A1"/>
    <s v="JUICE"/>
    <s v="07"/>
    <m/>
    <s v="0"/>
    <m/>
    <s v="0"/>
    <s v="ORANGE"/>
    <s v="02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75"/>
    <x v="75"/>
    <s v="ADULT JUICE"/>
    <s v="ABC ORANGE JUICE 250ML 0912"/>
    <n v="24"/>
    <x v="5"/>
    <s v="JUICE "/>
    <s v="A1070"/>
    <x v="58"/>
    <n v="14"/>
    <s v="ABC JUICE  ORANGE 250 ML X 24 PCS "/>
    <n v="34"/>
    <s v="ABC"/>
    <s v="A1"/>
    <s v="JUICE"/>
    <s v="07"/>
    <m/>
    <s v="0"/>
    <m/>
    <s v="0"/>
    <s v="ORANGE"/>
    <s v="02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76"/>
    <x v="76"/>
    <s v="ADULT JUICE"/>
    <s v="ABC APPLE JC TPA 12X1L 2210"/>
    <n v="12"/>
    <x v="5"/>
    <s v="JUICE "/>
    <s v="A1070"/>
    <x v="59"/>
    <n v="14"/>
    <s v="ABC JUICE  APPLE 1 L X 12 PCS "/>
    <n v="30"/>
    <s v="ABC"/>
    <s v="A1"/>
    <s v="JUICE"/>
    <s v="07"/>
    <m/>
    <s v="0"/>
    <m/>
    <s v="0"/>
    <s v="APPLE"/>
    <s v="03"/>
    <s v="1 L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77"/>
    <x v="77"/>
    <s v="ADULT JUICE"/>
    <s v="ABC APPLE JC TBA 24X250ML 2210"/>
    <n v="24"/>
    <x v="5"/>
    <s v="JUICE "/>
    <s v="A1070"/>
    <x v="60"/>
    <n v="14"/>
    <s v="ABC JUICE  APPLE 250 ML X 24 PCS "/>
    <n v="33"/>
    <s v="ABC"/>
    <s v="A1"/>
    <s v="JUICE"/>
    <s v="07"/>
    <m/>
    <s v="0"/>
    <m/>
    <s v="0"/>
    <s v="APPLE"/>
    <s v="03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78"/>
    <x v="78"/>
    <s v="ADULT JUICE"/>
    <s v="ABC MANGO JC TBA 24x250ML 2210"/>
    <n v="24"/>
    <x v="5"/>
    <s v="JUICE "/>
    <s v="A1070"/>
    <x v="61"/>
    <n v="14"/>
    <s v="ABC JUICE  MANGO 250 ML X 24 PCS "/>
    <n v="33"/>
    <s v="ABC"/>
    <s v="A1"/>
    <s v="JUICE"/>
    <s v="07"/>
    <m/>
    <s v="0"/>
    <m/>
    <s v="0"/>
    <s v="MANGO"/>
    <s v="04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79"/>
    <x v="79"/>
    <s v="ADULT JUICE"/>
    <s v="ABC MANGO JUICE 250ML 0912"/>
    <n v="24"/>
    <x v="5"/>
    <s v="JUICE "/>
    <s v="A1070"/>
    <x v="61"/>
    <n v="14"/>
    <s v="ABC JUICE  MANGO 250 ML X 24 PCS "/>
    <n v="33"/>
    <s v="ABC"/>
    <s v="A1"/>
    <s v="JUICE"/>
    <s v="07"/>
    <m/>
    <s v="0"/>
    <m/>
    <s v="0"/>
    <s v="MANGO"/>
    <s v="04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80"/>
    <x v="80"/>
    <s v="ADULT JUICE"/>
    <s v="ABC LYCHEE JUICE TBA 250ML0912"/>
    <n v="24"/>
    <x v="5"/>
    <s v="JUICE "/>
    <s v="A1070"/>
    <x v="62"/>
    <n v="14"/>
    <s v="ABC JUICE  LECI 250 ML X 24 PCS "/>
    <n v="32"/>
    <s v="ABC"/>
    <s v="A1"/>
    <s v="JUICE"/>
    <s v="07"/>
    <m/>
    <s v="0"/>
    <m/>
    <s v="0"/>
    <s v="LECI"/>
    <s v="05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81"/>
    <x v="81"/>
    <s v="ADULT JUICE"/>
    <s v="ABC LYCHEE JUICE TBA 250ML2209"/>
    <n v="24"/>
    <x v="5"/>
    <s v="JUICE "/>
    <s v="A1070"/>
    <x v="62"/>
    <n v="14"/>
    <s v="ABC JUICE  LECI 250 ML X 24 PCS "/>
    <n v="32"/>
    <s v="ABC"/>
    <s v="A1"/>
    <s v="JUICE"/>
    <s v="07"/>
    <m/>
    <s v="0"/>
    <m/>
    <s v="0"/>
    <s v="LECI"/>
    <s v="05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82"/>
    <x v="82"/>
    <s v="ADULT JUICE"/>
    <s v="ABC SOURSOP JUICE TBA250ML0912"/>
    <n v="24"/>
    <x v="5"/>
    <s v="JUICE "/>
    <s v="A1070"/>
    <x v="63"/>
    <n v="14"/>
    <s v="ABC JUICE  SIRSAK 250 ML X 24 PCS "/>
    <n v="34"/>
    <s v="ABC"/>
    <s v="A1"/>
    <s v="JUICE"/>
    <s v="07"/>
    <m/>
    <s v="0"/>
    <m/>
    <s v="0"/>
    <s v="SIRSAK"/>
    <s v="06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83"/>
    <x v="83"/>
    <s v="ADULT JUICE"/>
    <s v="ABC SOURSOPJC TBA 24x250ML2210"/>
    <n v="24"/>
    <x v="5"/>
    <s v="JUICE "/>
    <s v="A1070"/>
    <x v="63"/>
    <n v="14"/>
    <s v="ABC JUICE  SIRSAK 250 ML X 24 PCS "/>
    <n v="34"/>
    <s v="ABC"/>
    <s v="A1"/>
    <s v="JUICE"/>
    <s v="07"/>
    <m/>
    <s v="0"/>
    <m/>
    <s v="0"/>
    <s v="SIRSAK"/>
    <s v="06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84"/>
    <x v="84"/>
    <s v="SARI ASAM"/>
    <s v="ABC TMRIND DR TBA 24X250ML2208"/>
    <n v="24"/>
    <x v="5"/>
    <s v="SARI ASAM "/>
    <s v="A1080"/>
    <x v="64"/>
    <n v="14"/>
    <s v="ABC SARI ASAM  TAMARIND 250 ML X 24 PCS "/>
    <n v="40"/>
    <s v="ABC"/>
    <s v="A1"/>
    <s v="SARI ASAM"/>
    <s v="08"/>
    <m/>
    <s v="0"/>
    <m/>
    <s v="0"/>
    <s v="TAMARIND"/>
    <s v="01"/>
    <s v="250 ML"/>
    <s v="02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85"/>
    <x v="85"/>
    <s v="THICK SYRUP"/>
    <s v="ABC SG C'PANDAN BTL 485ML 1609"/>
    <n v="12"/>
    <x v="0"/>
    <s v="SIRUP SPECIAL GRADE"/>
    <s v="A1091"/>
    <x v="65"/>
    <n v="14"/>
    <s v="ABC SIRUP SPECIAL GRADE C.PANDAN 485 ML X 12 BTL "/>
    <n v="49"/>
    <s v="ABC"/>
    <s v="A1"/>
    <s v="SIRUP"/>
    <s v="09"/>
    <s v="SPECIAL GRADE"/>
    <n v="1"/>
    <m/>
    <s v="0"/>
    <s v="C.PANDAN"/>
    <s v="01"/>
    <s v="485 ML"/>
    <s v="046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86"/>
    <x v="86"/>
    <s v="THICK SYRUP"/>
    <s v="ABC SG COCOPANDAN 12X460ML2308"/>
    <n v="12"/>
    <x v="0"/>
    <s v="SIRUP SPECIAL GRADE"/>
    <s v="A1091"/>
    <x v="65"/>
    <n v="14"/>
    <s v="ABC SIRUP SPECIAL GRADE C.PANDAN 460 ML X 12 BTL "/>
    <n v="49"/>
    <s v="ABC"/>
    <s v="A1"/>
    <s v="SIRUP"/>
    <s v="09"/>
    <s v="SPECIAL GRADE"/>
    <n v="1"/>
    <m/>
    <s v="0"/>
    <s v="C.PANDAN"/>
    <s v="01"/>
    <s v="460 ML"/>
    <s v="046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87"/>
    <x v="87"/>
    <s v="THICK SYRUP"/>
    <s v="ABC SG MELON BTL 485ML 1908"/>
    <n v="12"/>
    <x v="0"/>
    <s v="SIRUP SPECIAL GRADE"/>
    <s v="A1091"/>
    <x v="66"/>
    <n v="14"/>
    <s v="ABC SIRUP SPECIAL GRADE MELON 485 ML X 12 BTL "/>
    <n v="46"/>
    <s v="ABC"/>
    <s v="A1"/>
    <s v="SIRUP"/>
    <s v="09"/>
    <s v="SPECIAL GRADE"/>
    <n v="1"/>
    <m/>
    <s v="0"/>
    <s v="MELON"/>
    <s v="02"/>
    <s v="485 ML"/>
    <s v="046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88"/>
    <x v="88"/>
    <s v="THICK SYRUP"/>
    <s v="ABC SG MELON 12X460ML 2308"/>
    <n v="12"/>
    <x v="0"/>
    <s v="SIRUP SPECIAL GRADE"/>
    <s v="A1091"/>
    <x v="66"/>
    <n v="14"/>
    <s v="ABC SIRUP SPECIAL GRADE MELON 460 ML X 12 BTL "/>
    <n v="46"/>
    <s v="ABC"/>
    <s v="A1"/>
    <s v="SIRUP"/>
    <s v="09"/>
    <s v="SPECIAL GRADE"/>
    <n v="1"/>
    <m/>
    <s v="0"/>
    <s v="MELON"/>
    <s v="02"/>
    <s v="460 ML"/>
    <s v="046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89"/>
    <x v="89"/>
    <s v="SQUASH"/>
    <s v="ABC SQ ORANGE 12X450ML 2307"/>
    <n v="12"/>
    <x v="0"/>
    <s v="SIRUP SQUASH"/>
    <s v="A1092"/>
    <x v="67"/>
    <n v="14"/>
    <s v="ABC SIRUP SQUASH ORANGE 450 ML X 12 BTL "/>
    <n v="40"/>
    <s v="ABC"/>
    <s v="A1"/>
    <s v="SIRUP"/>
    <s v="09"/>
    <s v="SQUASH"/>
    <n v="2"/>
    <m/>
    <s v="0"/>
    <s v="ORANGE"/>
    <s v="01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90"/>
    <x v="90"/>
    <s v="SQUASH"/>
    <s v="ABC SQ ORANGE 12X450ML 2207"/>
    <n v="12"/>
    <x v="0"/>
    <s v="SIRUP SQUASH"/>
    <s v="A1092"/>
    <x v="67"/>
    <n v="14"/>
    <s v="ABC SIRUP SQUASH ORANGE 450 ML X 12 BTL "/>
    <n v="40"/>
    <s v="ABC"/>
    <s v="A1"/>
    <s v="SIRUP"/>
    <s v="09"/>
    <s v="SQUASH"/>
    <n v="2"/>
    <m/>
    <s v="0"/>
    <s v="ORANGE"/>
    <s v="01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91"/>
    <x v="91"/>
    <s v="SQUASH"/>
    <s v="ABC SQ PINEAPPLE 12X450ML 2307"/>
    <n v="12"/>
    <x v="0"/>
    <s v="SIRUP SQUASH"/>
    <s v="A1092"/>
    <x v="68"/>
    <n v="14"/>
    <s v="ABC SIRUP SQUASH NANAS 450 ML X 12 BTL "/>
    <n v="39"/>
    <s v="ABC"/>
    <s v="A1"/>
    <s v="SIRUP"/>
    <s v="09"/>
    <s v="SQUASH"/>
    <n v="2"/>
    <m/>
    <s v="0"/>
    <s v="NANAS"/>
    <s v="02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92"/>
    <x v="92"/>
    <s v="SQUASH"/>
    <s v="ABC SQ PINEAPPLE 12X450ML 2207"/>
    <n v="12"/>
    <x v="0"/>
    <s v="SIRUP SQUASH"/>
    <s v="A1092"/>
    <x v="68"/>
    <n v="14"/>
    <s v="ABC SIRUP SQUASH NANAS 450 ML X 12 BTL "/>
    <n v="39"/>
    <s v="ABC"/>
    <s v="A1"/>
    <s v="SIRUP"/>
    <s v="09"/>
    <s v="SQUASH"/>
    <n v="2"/>
    <m/>
    <s v="0"/>
    <s v="NANAS"/>
    <s v="02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93"/>
    <x v="93"/>
    <s v="SQUASH"/>
    <s v="ABC SQ LYCHEE 12X450ML 2307"/>
    <n v="12"/>
    <x v="0"/>
    <s v="SIRUP SQUASH"/>
    <s v="A1092"/>
    <x v="69"/>
    <n v="14"/>
    <s v="ABC SIRUP SQUASH LECI 450 ML X 12 BTL "/>
    <n v="38"/>
    <s v="ABC"/>
    <s v="A1"/>
    <s v="SIRUP"/>
    <s v="09"/>
    <s v="SQUASH"/>
    <n v="2"/>
    <m/>
    <s v="0"/>
    <s v="LECI"/>
    <s v="03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94"/>
    <x v="94"/>
    <s v="SQUASH"/>
    <s v="ABC SQ LYCHEE 12X450ML 2207"/>
    <n v="12"/>
    <x v="0"/>
    <s v="SIRUP SQUASH"/>
    <s v="A1092"/>
    <x v="69"/>
    <n v="14"/>
    <s v="ABC SIRUP SQUASH LECI 450 ML X 12 BTL "/>
    <n v="38"/>
    <s v="ABC"/>
    <s v="A1"/>
    <s v="SIRUP"/>
    <s v="09"/>
    <s v="SQUASH"/>
    <n v="2"/>
    <m/>
    <s v="0"/>
    <s v="LECI"/>
    <s v="03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95"/>
    <x v="95"/>
    <s v="SQUASH"/>
    <s v="ABC SQ SOURSOP 12X450ML 2307"/>
    <n v="12"/>
    <x v="0"/>
    <s v="SIRUP SQUASH"/>
    <s v="A1092"/>
    <x v="70"/>
    <n v="14"/>
    <s v="ABC SIRUP SQUASH SIRSAK 450 ML X 12 BTL "/>
    <n v="40"/>
    <s v="ABC"/>
    <s v="A1"/>
    <s v="SIRUP"/>
    <s v="09"/>
    <s v="SQUASH"/>
    <n v="2"/>
    <m/>
    <s v="0"/>
    <s v="SIRSAK"/>
    <s v="04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96"/>
    <x v="96"/>
    <s v="SQUASH"/>
    <s v="ABC SQ SOURSOP 12X450ML 2207"/>
    <n v="12"/>
    <x v="0"/>
    <s v="SIRUP SQUASH"/>
    <s v="A1092"/>
    <x v="70"/>
    <n v="14"/>
    <s v="ABC SIRUP SQUASH SIRSAK 450 ML X 12 BTL "/>
    <n v="40"/>
    <s v="ABC"/>
    <s v="A1"/>
    <s v="SIRUP"/>
    <s v="09"/>
    <s v="SQUASH"/>
    <n v="2"/>
    <m/>
    <s v="0"/>
    <s v="SIRSAK"/>
    <s v="04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97"/>
    <x v="97"/>
    <s v="SQUASH"/>
    <s v="ABC SQ GRAPE 12X450ML 2207"/>
    <n v="12"/>
    <x v="0"/>
    <s v="SIRUP SQUASH"/>
    <s v="A1092"/>
    <x v="71"/>
    <n v="14"/>
    <s v="ABC SIRUP SQUASH ANGGUR 450 ML X 12 BTL "/>
    <n v="40"/>
    <s v="ABC"/>
    <s v="A1"/>
    <s v="SIRUP"/>
    <s v="09"/>
    <s v="SQUASH"/>
    <n v="2"/>
    <m/>
    <s v="0"/>
    <s v="ANGGUR"/>
    <s v="05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98"/>
    <x v="98"/>
    <s v="SQUASH"/>
    <s v="ABC SQ GRAPE 12X450ML 2307"/>
    <n v="12"/>
    <x v="0"/>
    <s v="SIRUP SQUASH"/>
    <s v="A1092"/>
    <x v="71"/>
    <n v="14"/>
    <s v="ABC SIRUP SQUASH ANGGUR 450 ML X 12 BTL "/>
    <n v="40"/>
    <s v="ABC"/>
    <s v="A1"/>
    <s v="SIRUP"/>
    <s v="09"/>
    <s v="SQUASH"/>
    <n v="2"/>
    <m/>
    <s v="0"/>
    <s v="ANGGUR"/>
    <s v="05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99"/>
    <x v="99"/>
    <s v="SQUASH"/>
    <s v="ABC SQ MANGO 12X450ML 2307"/>
    <n v="12"/>
    <x v="0"/>
    <s v="SIRUP SQUASH"/>
    <s v="A1092"/>
    <x v="72"/>
    <n v="14"/>
    <s v="ABC SIRUP SQUASH MANGGA 450 ML X 12 BTL "/>
    <n v="40"/>
    <s v="ABC"/>
    <s v="A1"/>
    <s v="SIRUP"/>
    <s v="09"/>
    <s v="SQUASH"/>
    <n v="2"/>
    <m/>
    <s v="0"/>
    <s v="MANGGA"/>
    <s v="06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0"/>
    <x v="100"/>
    <s v="SQUASH"/>
    <s v="ABC SQ MANGO 12X450ML 2207"/>
    <n v="12"/>
    <x v="0"/>
    <s v="SIRUP SQUASH"/>
    <s v="A1092"/>
    <x v="72"/>
    <n v="14"/>
    <s v="ABC SIRUP SQUASH MANGGA 450 ML X 12 BTL "/>
    <n v="40"/>
    <s v="ABC"/>
    <s v="A1"/>
    <s v="SIRUP"/>
    <s v="09"/>
    <s v="SQUASH"/>
    <n v="2"/>
    <m/>
    <s v="0"/>
    <s v="MANGGA"/>
    <s v="06"/>
    <s v="450 ML"/>
    <s v="045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1"/>
    <x v="101"/>
    <s v="CANNED FISH SARDINES"/>
    <s v="ABC SRDNS TOMAT DW 155G 1107"/>
    <n v="60"/>
    <x v="6"/>
    <s v="SARDINES "/>
    <s v="A1100"/>
    <x v="73"/>
    <n v="14"/>
    <s v="ABC SARDINES  TOMAT 155 GR X 60 KLG "/>
    <n v="36"/>
    <s v="ABC"/>
    <s v="A1"/>
    <s v="SARDINES"/>
    <n v="10"/>
    <m/>
    <s v="0"/>
    <m/>
    <s v="0"/>
    <s v="TOMAT"/>
    <s v="01"/>
    <s v="155 GR"/>
    <s v="0155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2"/>
    <x v="102"/>
    <s v="CANNED FISH SARDINES"/>
    <s v="ABC SRDN TOM 155G+KCP 60ML2203"/>
    <n v="30"/>
    <x v="6"/>
    <s v="SARDINES "/>
    <s v="A1100"/>
    <x v="74"/>
    <n v="14"/>
    <s v="ABC SARDINES  TOMAT 155 GR X 30 KLG BANDED"/>
    <n v="42"/>
    <s v="ABC"/>
    <s v="A1"/>
    <s v="SARDINES"/>
    <n v="10"/>
    <m/>
    <s v="0"/>
    <m/>
    <s v="0"/>
    <s v="TOMAT"/>
    <s v="01"/>
    <s v="155 GR"/>
    <s v="0155"/>
    <s v="KLG"/>
    <s v="1"/>
    <s v="BANDED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3"/>
    <x v="103"/>
    <s v="CANNED FISH SARDINES"/>
    <s v="ABC SRDNS TOMAT DW 425G 1107"/>
    <n v="24"/>
    <x v="6"/>
    <s v="SARDINES "/>
    <s v="A1100"/>
    <x v="75"/>
    <n v="14"/>
    <s v="ABC SARDINES  TOMAT 425 GR X 24 KLG "/>
    <n v="36"/>
    <s v="ABC"/>
    <s v="A1"/>
    <s v="SARDINES"/>
    <n v="10"/>
    <m/>
    <s v="0"/>
    <m/>
    <s v="0"/>
    <s v="TOMAT"/>
    <s v="01"/>
    <s v="425 GR"/>
    <s v="0425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4"/>
    <x v="104"/>
    <s v="CANNED FISH SARDINES"/>
    <s v="ABC SRDNS CHILI DW 155G 1107"/>
    <n v="60"/>
    <x v="6"/>
    <s v="SARDINES "/>
    <s v="A1100"/>
    <x v="76"/>
    <n v="14"/>
    <s v="ABC SARDINES  CHILI DW 155 GR X 60 KLG "/>
    <n v="39"/>
    <s v="ABC"/>
    <s v="A1"/>
    <s v="SARDINES"/>
    <n v="10"/>
    <m/>
    <s v="0"/>
    <m/>
    <s v="0"/>
    <s v="CHILI DW"/>
    <s v="02"/>
    <s v="155 GR"/>
    <s v="0155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5"/>
    <x v="105"/>
    <s v="CANNED FISH SARDINES"/>
    <s v="ABC SRDNS CHILI DW 425G 1107"/>
    <n v="24"/>
    <x v="6"/>
    <s v="SARDINES "/>
    <s v="A1100"/>
    <x v="77"/>
    <n v="14"/>
    <s v="ABC SARDINES  CHILI DW 425 GR X 24 KLG "/>
    <n v="39"/>
    <s v="ABC"/>
    <s v="A1"/>
    <s v="SARDINES"/>
    <n v="10"/>
    <m/>
    <s v="0"/>
    <m/>
    <s v="0"/>
    <s v="CHILI DW"/>
    <s v="02"/>
    <s v="425 GR"/>
    <s v="0425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6"/>
    <x v="106"/>
    <s v="CANNED FISH SARDINES"/>
    <s v="ABC SRDNS CHILI 24X300G 2401"/>
    <n v="24"/>
    <x v="6"/>
    <s v="SARDINES "/>
    <s v="A1100"/>
    <x v="78"/>
    <n v="14"/>
    <s v="ABC SARDINES  CHILI 300 GR X 24 KLG "/>
    <n v="36"/>
    <s v="ABC"/>
    <s v="A1"/>
    <s v="SARDINES"/>
    <n v="10"/>
    <m/>
    <s v="0"/>
    <m/>
    <s v="0"/>
    <s v="CHILI"/>
    <s v="03"/>
    <s v="300 GR"/>
    <s v="0300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7"/>
    <x v="107"/>
    <s v="CANNED FISH SARDINES"/>
    <s v="ABC SRDNS EP-EOE DW 155G 1107"/>
    <n v="60"/>
    <x v="6"/>
    <s v="SARDINES "/>
    <s v="A1100"/>
    <x v="79"/>
    <n v="14"/>
    <s v="ABC SARDINES  EXTRA PEDAS DW 155 GR X 60 KLG "/>
    <n v="45"/>
    <s v="ABC"/>
    <s v="A1"/>
    <s v="SARDINES"/>
    <n v="10"/>
    <m/>
    <s v="0"/>
    <m/>
    <s v="0"/>
    <s v="EXTRA PEDAS DW"/>
    <s v="04"/>
    <s v="155 GR"/>
    <s v="0155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8"/>
    <x v="108"/>
    <s v="CANNED FISH SARDINES"/>
    <s v="ABC SRDNS EP-EOE DW 425G 1107"/>
    <n v="24"/>
    <x v="6"/>
    <s v="SARDINES "/>
    <s v="A1100"/>
    <x v="80"/>
    <n v="14"/>
    <s v="ABC SARDINES  EXTRA PEDAS DW 425 GR X 24 KLG "/>
    <n v="45"/>
    <s v="ABC"/>
    <s v="A1"/>
    <s v="SARDINES"/>
    <n v="10"/>
    <m/>
    <s v="0"/>
    <m/>
    <s v="0"/>
    <s v="EXTRA PEDAS DW"/>
    <s v="04"/>
    <s v="425 GR"/>
    <s v="0425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09"/>
    <x v="109"/>
    <s v="CANNED FISH SARDINES"/>
    <s v="ABC SRDNS SERUNDNG 60X155G2210"/>
    <n v="60"/>
    <x v="6"/>
    <s v="SARDINES "/>
    <s v="A1100"/>
    <x v="81"/>
    <n v="14"/>
    <s v="ABC SARDINES  SARUNDENG 155 GR X 60 KLG "/>
    <n v="40"/>
    <s v="ABC"/>
    <s v="A1"/>
    <s v="SARDINES"/>
    <n v="10"/>
    <m/>
    <s v="0"/>
    <m/>
    <s v="0"/>
    <s v="SARUNDENG"/>
    <s v="05"/>
    <s v="155 GR"/>
    <s v="0155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10"/>
    <x v="110"/>
    <s v="CANNED FISH SARDINES"/>
    <s v="ABC SRDNS SERUNDNG 24X400G2210"/>
    <n v="24"/>
    <x v="6"/>
    <s v="SARDINES "/>
    <s v="A1100"/>
    <x v="82"/>
    <n v="14"/>
    <s v="ABC SARDINES  SARUNDENG 400 GR X 24 KLG "/>
    <n v="40"/>
    <s v="ABC"/>
    <s v="A1"/>
    <s v="SARDINES"/>
    <n v="10"/>
    <m/>
    <s v="0"/>
    <m/>
    <s v="0"/>
    <s v="SARUNDENG"/>
    <s v="05"/>
    <s v="400 GR"/>
    <s v="0400"/>
    <s v="KL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11"/>
    <x v="111"/>
    <s v="CANNED FISH SARDINES"/>
    <s v="ABC SRDN SRNDG155+SNUS 18G2301"/>
    <n v="60"/>
    <x v="6"/>
    <s v="SARDINES "/>
    <s v="A1100"/>
    <x v="83"/>
    <n v="14"/>
    <s v="ABC SARDINES  SARUNDENG 155 GR X 60 KLG BANDED"/>
    <n v="46"/>
    <s v="ABC"/>
    <s v="A1"/>
    <s v="SARDINES"/>
    <n v="10"/>
    <m/>
    <s v="0"/>
    <m/>
    <s v="0"/>
    <s v="SARUNDENG"/>
    <s v="05"/>
    <s v="155 GR"/>
    <s v="0155"/>
    <s v="KLG"/>
    <s v="1"/>
    <s v="BANDED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12"/>
    <x v="112"/>
    <s v="TOMATO KETCHUP"/>
    <s v="HEINZ TOM KCP USD 24X325G 2207"/>
    <n v="24"/>
    <x v="0"/>
    <s v="TOMAT HEINZ"/>
    <s v="A1111"/>
    <x v="84"/>
    <n v="14"/>
    <s v="ABC TOMAT HEINZ KETCHUP 325 GR X 24 BTL "/>
    <n v="40"/>
    <s v="ABC"/>
    <s v="A1"/>
    <s v="TOMAT"/>
    <n v="11"/>
    <s v="HEINZ"/>
    <n v="1"/>
    <m/>
    <s v="0"/>
    <s v="KETCHUP"/>
    <s v="01"/>
    <s v="325 GR"/>
    <s v="032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13"/>
    <x v="113"/>
    <s v="TOMATO KETCHUP"/>
    <s v="HEINZ TOM KCP USD 24X325G 2308"/>
    <n v="24"/>
    <x v="0"/>
    <s v="TOMAT HEINZ"/>
    <s v="A1111"/>
    <x v="84"/>
    <n v="14"/>
    <s v="ABC TOMAT HEINZ KETCHUP 325 GR X 24 BTL "/>
    <n v="40"/>
    <s v="ABC"/>
    <s v="A1"/>
    <s v="TOMAT"/>
    <n v="11"/>
    <s v="HEINZ"/>
    <n v="1"/>
    <m/>
    <s v="0"/>
    <s v="KETCHUP"/>
    <s v="01"/>
    <s v="325 GR"/>
    <s v="032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14"/>
    <x v="114"/>
    <s v="TOMATO KETCHUP"/>
    <s v="HEINZ TOM KC PCH 48X125G 2105"/>
    <n v="48"/>
    <x v="1"/>
    <s v="TOMAT HEINZ"/>
    <s v="A1111"/>
    <x v="85"/>
    <n v="14"/>
    <s v="ABC TOMAT HEINZ KETCHUP 125 GR X 48 PCH "/>
    <n v="40"/>
    <s v="ABC"/>
    <s v="A1"/>
    <s v="TOMAT"/>
    <n v="11"/>
    <s v="HEINZ"/>
    <n v="1"/>
    <m/>
    <s v="0"/>
    <s v="KETCHUP"/>
    <s v="01"/>
    <s v="125 GR"/>
    <s v="012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15"/>
    <x v="115"/>
    <s v="TOMATO KETCHUP"/>
    <s v="ABC SAUS TOMAT SCT21X22X8G1909"/>
    <n v="21"/>
    <x v="7"/>
    <s v="TOMAT "/>
    <s v="A1110"/>
    <x v="86"/>
    <n v="14"/>
    <s v="ABC TOMAT   8 GR X 21 PCSX22 "/>
    <n v="29"/>
    <s v="ABC"/>
    <s v="A1"/>
    <s v="TOMAT"/>
    <n v="11"/>
    <m/>
    <s v="0"/>
    <m/>
    <s v="0"/>
    <m/>
    <s v="00"/>
    <s v="8 GR"/>
    <s v="0008"/>
    <s v="PCSX22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16"/>
    <x v="116"/>
    <s v="TOMATO KETCHUP"/>
    <s v="ABC SAUS TOMAT SCT21X22X8G2211"/>
    <n v="21"/>
    <x v="7"/>
    <s v="TOMAT "/>
    <s v="A1110"/>
    <x v="86"/>
    <n v="14"/>
    <s v="ABC TOMAT   8 GR X 21 PCSX22 "/>
    <n v="29"/>
    <s v="ABC"/>
    <s v="A1"/>
    <s v="TOMAT"/>
    <n v="11"/>
    <m/>
    <s v="0"/>
    <m/>
    <s v="0"/>
    <m/>
    <s v="00"/>
    <s v="8 GR"/>
    <s v="0008"/>
    <s v="PCSX22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17"/>
    <x v="117"/>
    <s v="TOMATO KETCHUP"/>
    <s v="ABC SAUS TOMAT PLW 6X1KG 2004"/>
    <n v="6"/>
    <x v="5"/>
    <s v="TOMAT PILLOW"/>
    <s v="A1113"/>
    <x v="87"/>
    <n v="14"/>
    <s v="ABC TOMAT PILLOW  1 KG X 6 PCS "/>
    <n v="31"/>
    <s v="ABC"/>
    <s v="A1"/>
    <s v="TOMAT"/>
    <n v="11"/>
    <s v="PILLOW"/>
    <n v="3"/>
    <m/>
    <s v="0"/>
    <m/>
    <s v="00"/>
    <s v="1 KG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18"/>
    <x v="118"/>
    <s v="TOMATO KETCHUP"/>
    <s v="ABC SAUS TOMAT PLW 6X1KG 2211"/>
    <n v="6"/>
    <x v="5"/>
    <s v="TOMAT PILLOW"/>
    <s v="A1113"/>
    <x v="87"/>
    <n v="14"/>
    <s v="ABC TOMAT PILLOW  1 KG X 6 PCS "/>
    <n v="31"/>
    <s v="ABC"/>
    <s v="A1"/>
    <s v="TOMAT"/>
    <n v="11"/>
    <s v="PILLOW"/>
    <n v="3"/>
    <m/>
    <s v="0"/>
    <m/>
    <s v="00"/>
    <s v="1 KG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19"/>
    <x v="119"/>
    <s v="TOMATO KETCHUP"/>
    <s v="ABC SAUS TOMAT JRG 5.7KG 2004"/>
    <n v="1"/>
    <x v="2"/>
    <s v="TOMAT "/>
    <s v="A1110"/>
    <x v="88"/>
    <n v="14"/>
    <s v="ABC TOMAT   5,7 KG X 1 JRG "/>
    <n v="27"/>
    <s v="ABC"/>
    <s v="A1"/>
    <s v="TOMAT"/>
    <n v="11"/>
    <m/>
    <s v="0"/>
    <m/>
    <s v="0"/>
    <m/>
    <s v="00"/>
    <s v="5,7 KG"/>
    <n v="5700"/>
    <s v="JR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20"/>
    <x v="120"/>
    <s v="TOMATO KETCHUP"/>
    <s v="ABC SAUS TOMAT JRG 5.7KG 2211"/>
    <n v="1"/>
    <x v="2"/>
    <s v="TOMAT "/>
    <s v="A1110"/>
    <x v="88"/>
    <n v="14"/>
    <s v="ABC TOMAT   5,7 KG X 1 JRG "/>
    <n v="27"/>
    <s v="ABC"/>
    <s v="A1"/>
    <s v="TOMAT"/>
    <n v="11"/>
    <m/>
    <s v="0"/>
    <m/>
    <s v="0"/>
    <m/>
    <s v="00"/>
    <s v="5,7 KG"/>
    <n v="5700"/>
    <s v="JR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21"/>
    <x v="121"/>
    <s v="TOMATO KETCHUP"/>
    <s v="ABC SAUS TOMAT 48X135ML 2105"/>
    <n v="48"/>
    <x v="0"/>
    <s v="TOMAT "/>
    <s v="A1110"/>
    <x v="89"/>
    <n v="14"/>
    <s v="ABC TOMAT   135 ML X 48 BTL "/>
    <n v="28"/>
    <s v="ABC"/>
    <s v="A1"/>
    <s v="TOMAT"/>
    <n v="11"/>
    <m/>
    <s v="0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22"/>
    <x v="122"/>
    <s v="TOMATO KETCHUP"/>
    <s v="ABC SAUS TOMAT 24X275ML 2105"/>
    <n v="24"/>
    <x v="0"/>
    <s v="TOMAT "/>
    <s v="A1110"/>
    <x v="90"/>
    <n v="14"/>
    <s v="ABC TOMAT   275 ML X 24 BTL "/>
    <n v="28"/>
    <s v="ABC"/>
    <s v="A1"/>
    <s v="TOMAT"/>
    <n v="11"/>
    <m/>
    <s v="0"/>
    <m/>
    <s v="0"/>
    <m/>
    <s v="00"/>
    <s v="275 ML"/>
    <s v="027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23"/>
    <x v="123"/>
    <s v="TOMATO KETCHUP"/>
    <s v="ABC TOMAT 335ML 1311"/>
    <n v="24"/>
    <x v="0"/>
    <s v="TOMAT "/>
    <s v="A1110"/>
    <x v="91"/>
    <n v="14"/>
    <s v="ABC TOMAT   335 ML X 24 BTL "/>
    <n v="28"/>
    <s v="ABC"/>
    <s v="A1"/>
    <s v="TOMAT"/>
    <n v="11"/>
    <m/>
    <s v="0"/>
    <m/>
    <s v="0"/>
    <m/>
    <s v="00"/>
    <s v="335 ML"/>
    <s v="03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24"/>
    <x v="124"/>
    <s v="CHILI"/>
    <s v="HOKI SAM SCT 21X24X7G 2201"/>
    <n v="21"/>
    <x v="7"/>
    <s v="SAMBAL HOKI"/>
    <s v="A1121"/>
    <x v="92"/>
    <n v="14"/>
    <s v="ABC SAMBAL HOKI  7 GR X 21 PCSX24 "/>
    <n v="34"/>
    <s v="ABC"/>
    <s v="A1"/>
    <s v="SAMBAL"/>
    <n v="12"/>
    <s v="HOKI"/>
    <n v="1"/>
    <m/>
    <s v="0"/>
    <m/>
    <s v="00"/>
    <s v="7 GR"/>
    <s v="0007"/>
    <s v="PCSX24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25"/>
    <x v="125"/>
    <s v="CHILI"/>
    <s v="HOKI SAM PLW 6X580G 2201"/>
    <n v="6"/>
    <x v="5"/>
    <s v="SAMBAL HOKI"/>
    <s v="A1121"/>
    <x v="93"/>
    <n v="14"/>
    <s v="ABC SAMBAL HOKI  580 GR X 6 PCS "/>
    <n v="32"/>
    <s v="ABC"/>
    <s v="A1"/>
    <s v="SAMBAL"/>
    <n v="12"/>
    <s v="HOKI"/>
    <n v="1"/>
    <m/>
    <s v="0"/>
    <m/>
    <s v="00"/>
    <s v="580 GR"/>
    <s v="058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26"/>
    <x v="126"/>
    <s v="CHILI"/>
    <s v="HOKI SAM PLW 6X580G 2209"/>
    <n v="6"/>
    <x v="5"/>
    <s v="SAMBAL HOKI"/>
    <s v="A1121"/>
    <x v="93"/>
    <n v="14"/>
    <s v="ABC SAMBAL HOKI  580 GR X 6 PCS "/>
    <n v="32"/>
    <s v="ABC"/>
    <s v="A1"/>
    <s v="SAMBAL"/>
    <n v="12"/>
    <s v="HOKI"/>
    <n v="1"/>
    <m/>
    <s v="0"/>
    <m/>
    <s v="00"/>
    <s v="580 GR"/>
    <s v="058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27"/>
    <x v="127"/>
    <s v="CHILI"/>
    <s v="ABC SAM TERASI SCT 100X18G2108"/>
    <n v="10"/>
    <x v="8"/>
    <s v="SAMBAL NUSANTARA"/>
    <s v="A1122"/>
    <x v="94"/>
    <n v="14"/>
    <s v="ABC SAMBAL NUSANTARA TERASI 18 GR X 10 PCSX10 "/>
    <n v="46"/>
    <s v="ABC"/>
    <s v="A1"/>
    <s v="SAMBAL"/>
    <n v="12"/>
    <s v="NUSANTARA"/>
    <n v="2"/>
    <m/>
    <s v="0"/>
    <s v="TERASI"/>
    <s v="01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28"/>
    <x v="128"/>
    <s v="CHILI"/>
    <s v="ABC SAM TERASI SCT 100X18G2203"/>
    <n v="10"/>
    <x v="8"/>
    <s v="SAMBAL NUSANTARA"/>
    <s v="A1122"/>
    <x v="94"/>
    <n v="14"/>
    <s v="ABC SAMBAL NUSANTARA TERASI 18 GR X 10 PCSX10 "/>
    <n v="46"/>
    <s v="ABC"/>
    <s v="A1"/>
    <s v="SAMBAL"/>
    <n v="12"/>
    <s v="NUSANTARA"/>
    <n v="2"/>
    <m/>
    <s v="0"/>
    <s v="TERASI"/>
    <s v="01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29"/>
    <x v="129"/>
    <s v="CHILI"/>
    <s v="ABC SAM TRASI 100X18G B8G22402"/>
    <n v="10"/>
    <x v="8"/>
    <s v="SAMBAL NUSANTARA"/>
    <s v="A1122"/>
    <x v="95"/>
    <n v="14"/>
    <s v="ABC SAMBAL NUSANTARA TERASI 18 GR X 10 PCSX10 B8G2"/>
    <n v="50"/>
    <s v="ABC"/>
    <s v="A1"/>
    <s v="SAMBAL"/>
    <n v="12"/>
    <s v="NUSANTARA"/>
    <n v="2"/>
    <m/>
    <s v="0"/>
    <s v="TERASI"/>
    <s v="01"/>
    <s v="18 GR"/>
    <s v="0018"/>
    <s v="PCSX10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0"/>
    <x v="130"/>
    <s v="CHILI"/>
    <s v="ABC SAM TRS SCT PR100X18G 2209"/>
    <n v="10"/>
    <x v="8"/>
    <s v="SAMBAL NUSANTARA"/>
    <s v="A1122"/>
    <x v="95"/>
    <n v="14"/>
    <s v="ABC SAMBAL NUSANTARA TERASI 18 GR X 10 PCSX10 B8G2"/>
    <n v="50"/>
    <s v="ABC"/>
    <s v="A1"/>
    <s v="SAMBAL"/>
    <n v="12"/>
    <s v="NUSANTARA"/>
    <n v="2"/>
    <m/>
    <s v="0"/>
    <s v="TERASI"/>
    <s v="01"/>
    <s v="18 GR"/>
    <s v="0018"/>
    <s v="PCSX10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1"/>
    <x v="131"/>
    <s v="CHILI"/>
    <s v="ABC SAM TERASI PCH 24X180G2207"/>
    <n v="24"/>
    <x v="1"/>
    <s v="SAMBAL NUSANTARA"/>
    <s v="A1122"/>
    <x v="96"/>
    <n v="14"/>
    <s v="ABC SAMBAL NUSANTARA TERASI 180 GR X 24 PCH "/>
    <n v="44"/>
    <s v="ABC"/>
    <s v="A1"/>
    <s v="SAMBAL"/>
    <n v="12"/>
    <s v="NUSANTARA"/>
    <n v="2"/>
    <m/>
    <s v="0"/>
    <s v="TERASI"/>
    <s v="01"/>
    <s v="180 GR"/>
    <s v="0180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2"/>
    <x v="132"/>
    <s v="CHILI"/>
    <s v="ABC SAM TRS 12X180G B1G1 2302"/>
    <n v="12"/>
    <x v="5"/>
    <s v="SAMBAL NUSANTARA"/>
    <s v="A1122"/>
    <x v="97"/>
    <n v="14"/>
    <s v="ABC SAMBAL NUSANTARA TERASI 180 GR X 12 PCH B8G2"/>
    <n v="48"/>
    <s v="ABC"/>
    <s v="A1"/>
    <s v="SAMBAL"/>
    <n v="12"/>
    <s v="NUSANTARA"/>
    <n v="2"/>
    <m/>
    <s v="0"/>
    <s v="TERASI"/>
    <s v="01"/>
    <s v="180 GR"/>
    <s v="0180"/>
    <s v="PCH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3"/>
    <x v="133"/>
    <s v="CHILI"/>
    <s v="ABC SAM TERASI PCH 48X70G 2404"/>
    <n v="48"/>
    <x v="1"/>
    <s v="SAMBAL NUSANTARA"/>
    <s v="A1122"/>
    <x v="98"/>
    <n v="14"/>
    <s v="ABC SAMBAL NUSANTARA TERASI 70 GR X 48 PCH "/>
    <n v="43"/>
    <s v="ABC"/>
    <s v="A1"/>
    <s v="SAMBAL"/>
    <n v="12"/>
    <s v="NUSANTARA"/>
    <n v="2"/>
    <m/>
    <s v="0"/>
    <s v="TERASI"/>
    <s v="01"/>
    <s v="70 GR"/>
    <s v="0070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4"/>
    <x v="134"/>
    <s v="CHILI"/>
    <s v="ABC SAM TERASI JAR 24X180G2108"/>
    <n v="24"/>
    <x v="0"/>
    <s v="SAMBAL NUSANTARA"/>
    <s v="A1122"/>
    <x v="99"/>
    <n v="14"/>
    <s v="ABC SAMBAL NUSANTARA TERASI 180 GR X 24 BTL "/>
    <n v="44"/>
    <s v="ABC"/>
    <s v="A1"/>
    <s v="SAMBAL"/>
    <n v="12"/>
    <s v="NUSANTARA"/>
    <n v="2"/>
    <m/>
    <s v="0"/>
    <s v="TERASI"/>
    <s v="01"/>
    <s v="180 GR"/>
    <s v="0180"/>
    <s v="BTL"/>
    <s v="2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35"/>
    <x v="135"/>
    <s v="CHILI"/>
    <s v="ABC SAM HIJAU 100X18G B8G22402"/>
    <n v="10"/>
    <x v="8"/>
    <s v="SAMBAL NUSANTARA"/>
    <s v="A1122"/>
    <x v="100"/>
    <n v="14"/>
    <s v="ABC SAMBAL NUSANTARA HIJAU 18 GR X 10 PCSX10 B8G2"/>
    <n v="49"/>
    <s v="ABC"/>
    <s v="A1"/>
    <s v="SAMBAL"/>
    <n v="12"/>
    <s v="NUSANTARA"/>
    <n v="2"/>
    <m/>
    <s v="0"/>
    <s v="HIJAU"/>
    <s v="02"/>
    <s v="18 GR"/>
    <s v="0018"/>
    <s v="PCSX10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6"/>
    <x v="136"/>
    <s v="CHILI"/>
    <s v="ABC SAM HJU SCT PR100X18G 2209"/>
    <n v="10"/>
    <x v="8"/>
    <s v="SAMBAL NUSANTARA"/>
    <s v="A1122"/>
    <x v="100"/>
    <n v="14"/>
    <s v="ABC SAMBAL NUSANTARA HIJAU 18 GR X 10 PCSX10 B8G2"/>
    <n v="49"/>
    <s v="ABC"/>
    <s v="A1"/>
    <s v="SAMBAL"/>
    <n v="12"/>
    <s v="NUSANTARA"/>
    <n v="2"/>
    <m/>
    <s v="0"/>
    <s v="HIJAU"/>
    <s v="02"/>
    <s v="18 GR"/>
    <s v="0018"/>
    <s v="PCSX10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37"/>
    <x v="137"/>
    <s v="CHILI"/>
    <s v="ABC SAM HIJAU SCT 100X18G 2207"/>
    <n v="10"/>
    <x v="8"/>
    <s v="SAMBAL NUSANTARA"/>
    <s v="A1122"/>
    <x v="101"/>
    <n v="14"/>
    <s v="ABC SAMBAL NUSANTARA HIJAU 18 GR X 10 PCSX10 "/>
    <n v="45"/>
    <s v="ABC"/>
    <s v="A1"/>
    <s v="SAMBAL"/>
    <n v="12"/>
    <s v="NUSANTARA"/>
    <n v="2"/>
    <m/>
    <s v="0"/>
    <s v="HIJAU"/>
    <s v="02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8"/>
    <x v="138"/>
    <s v="CHILI"/>
    <s v="ABC SAM HIJAU SCT 100X18G 2108"/>
    <n v="10"/>
    <x v="8"/>
    <s v="SAMBAL NUSANTARA"/>
    <s v="A1122"/>
    <x v="101"/>
    <n v="14"/>
    <s v="ABC SAMBAL NUSANTARA HIJAU 18 GR X 10 PCSX10 "/>
    <n v="45"/>
    <s v="ABC"/>
    <s v="A1"/>
    <s v="SAMBAL"/>
    <n v="12"/>
    <s v="NUSANTARA"/>
    <n v="2"/>
    <m/>
    <s v="0"/>
    <s v="HIJAU"/>
    <s v="02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39"/>
    <x v="139"/>
    <s v="CHILI"/>
    <s v="ABC SAM RDG SCT PR100X18G 2209"/>
    <n v="10"/>
    <x v="8"/>
    <s v="SAMBAL NUSANTARA"/>
    <s v="A1122"/>
    <x v="102"/>
    <n v="14"/>
    <s v="ABC SAMBAL NUSANTARA RENDANG 18 GR X 10 PCSX10 B8G2"/>
    <n v="51"/>
    <s v="ABC"/>
    <s v="A1"/>
    <s v="SAMBAL"/>
    <n v="12"/>
    <s v="NUSANTARA"/>
    <n v="2"/>
    <m/>
    <s v="0"/>
    <s v="RENDANG"/>
    <s v="03"/>
    <s v="18 GR"/>
    <s v="0018"/>
    <s v="PCSX10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0"/>
    <x v="140"/>
    <s v="CHILI"/>
    <s v="ABC SAM RNDANG SCT 100X18G2108"/>
    <n v="10"/>
    <x v="8"/>
    <s v="SAMBAL NUSANTARA"/>
    <s v="A1122"/>
    <x v="103"/>
    <n v="14"/>
    <s v="ABC SAMBAL NUSANTARA RENDANG 18 GR X 10 PCSX10 "/>
    <n v="47"/>
    <s v="ABC"/>
    <s v="A1"/>
    <s v="SAMBAL"/>
    <n v="12"/>
    <s v="NUSANTARA"/>
    <n v="2"/>
    <m/>
    <s v="0"/>
    <s v="RENDANG"/>
    <s v="03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1"/>
    <x v="141"/>
    <s v="CHILI"/>
    <s v="ABC SAM GPRK SCT PR100X18G2209"/>
    <n v="10"/>
    <x v="8"/>
    <s v="SAMBAL NUSANTARA"/>
    <s v="A1122"/>
    <x v="104"/>
    <n v="14"/>
    <s v="ABC SAMBAL NUSANTARA GEPREK 18 GR X 10 PCSX10 B8G2"/>
    <n v="50"/>
    <s v="ABC"/>
    <s v="A1"/>
    <s v="SAMBAL"/>
    <n v="12"/>
    <s v="NUSANTARA"/>
    <n v="2"/>
    <m/>
    <s v="0"/>
    <s v="GEPREK"/>
    <s v="04"/>
    <s v="18 GR"/>
    <s v="0018"/>
    <s v="PCSX10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42"/>
    <x v="142"/>
    <s v="CHILI"/>
    <s v="ABC SAM GEPREK SCT 100X18G2207"/>
    <n v="10"/>
    <x v="8"/>
    <s v="SAMBAL NUSANTARA"/>
    <s v="A1122"/>
    <x v="105"/>
    <n v="14"/>
    <s v="ABC SAMBAL NUSANTARA GEPREK 18 GR X 10 PCSX10 "/>
    <n v="46"/>
    <s v="ABC"/>
    <s v="A1"/>
    <s v="SAMBAL"/>
    <n v="12"/>
    <s v="NUSANTARA"/>
    <n v="2"/>
    <m/>
    <s v="0"/>
    <s v="GEPREK"/>
    <s v="04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3"/>
    <x v="143"/>
    <s v="CHILI"/>
    <s v="ABC SAM GEPREK SCT 100X18G2108"/>
    <n v="10"/>
    <x v="8"/>
    <s v="SAMBAL NUSANTARA"/>
    <s v="A1122"/>
    <x v="105"/>
    <n v="14"/>
    <s v="ABC SAMBAL NUSANTARA GEPREK 18 GR X 10 PCSX10 "/>
    <n v="46"/>
    <s v="ABC"/>
    <s v="A1"/>
    <s v="SAMBAL"/>
    <n v="12"/>
    <s v="NUSANTARA"/>
    <n v="2"/>
    <m/>
    <s v="0"/>
    <s v="GEPREK"/>
    <s v="04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4"/>
    <x v="144"/>
    <s v="CHILI"/>
    <s v="ABC SAM TERI SCT PR100X18G2209"/>
    <n v="10"/>
    <x v="8"/>
    <s v="SAMBAL NUSANTARA"/>
    <s v="A1122"/>
    <x v="106"/>
    <n v="14"/>
    <s v="ABC SAMBAL NUSANTARA TERI 18 GR X 10 PCSX10 B8G2"/>
    <n v="48"/>
    <s v="ABC"/>
    <s v="A1"/>
    <s v="SAMBAL"/>
    <n v="12"/>
    <s v="NUSANTARA"/>
    <n v="2"/>
    <m/>
    <s v="0"/>
    <s v="TERI"/>
    <s v="05"/>
    <s v="18 GR"/>
    <s v="0018"/>
    <s v="PCSX10"/>
    <s v="1"/>
    <s v="B8G2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5"/>
    <x v="145"/>
    <s v="CHILI"/>
    <s v="ABC SAM TERI SCT 100X18G 2108"/>
    <n v="10"/>
    <x v="8"/>
    <s v="SAMBAL NUSANTARA"/>
    <s v="A1122"/>
    <x v="107"/>
    <n v="14"/>
    <s v="ABC SAMBAL NUSANTARA TERI 18 GR X 10 PCSX10 "/>
    <n v="44"/>
    <s v="ABC"/>
    <s v="A1"/>
    <s v="SAMBAL"/>
    <n v="12"/>
    <s v="NUSANTARA"/>
    <n v="2"/>
    <m/>
    <s v="0"/>
    <s v="TERI"/>
    <s v="05"/>
    <s v="18 GR"/>
    <s v="0018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6"/>
    <x v="146"/>
    <s v="CHILI"/>
    <s v="ABC SAM ASLI PCH 48X75G 2108"/>
    <n v="48"/>
    <x v="1"/>
    <s v="SAMBAL ASLI"/>
    <s v="A1123"/>
    <x v="108"/>
    <n v="14"/>
    <s v="ABC SAMBAL ASLI  75 GR X 48 PCH "/>
    <n v="32"/>
    <s v="ABC"/>
    <s v="A1"/>
    <s v="SAMBAL"/>
    <n v="12"/>
    <s v="ASLI"/>
    <n v="3"/>
    <m/>
    <s v="0"/>
    <m/>
    <s v="00"/>
    <s v="75 GR"/>
    <s v="007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7"/>
    <x v="147"/>
    <s v="CHILI"/>
    <s v="ABC SAM ASLI PCH 12X380G 2105"/>
    <n v="12"/>
    <x v="1"/>
    <s v="SAMBAL ASLI"/>
    <s v="A1123"/>
    <x v="109"/>
    <n v="14"/>
    <s v="ABC SAMBAL ASLI  380 GR X 12 PCH "/>
    <n v="33"/>
    <s v="ABC"/>
    <s v="A1"/>
    <s v="SAMBAL"/>
    <n v="12"/>
    <s v="ASLI"/>
    <n v="3"/>
    <m/>
    <s v="0"/>
    <m/>
    <s v="00"/>
    <s v="380 GR"/>
    <s v="0380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48"/>
    <x v="148"/>
    <s v="CHILI"/>
    <s v="ABC SAM AS PCH 12X380G HY 2210"/>
    <n v="12"/>
    <x v="1"/>
    <s v="SAMBAL ASLI"/>
    <s v="A1123"/>
    <x v="109"/>
    <n v="14"/>
    <s v="ABC SAMBAL ASLI  380 GR X 12 PCH "/>
    <n v="33"/>
    <s v="ABC"/>
    <s v="A1"/>
    <s v="SAMBAL"/>
    <n v="12"/>
    <s v="ASLI"/>
    <n v="3"/>
    <m/>
    <s v="0"/>
    <m/>
    <s v="00"/>
    <s v="380 GR"/>
    <s v="0380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49"/>
    <x v="149"/>
    <s v="CHILI"/>
    <s v="ABC SAM ASLI PLW 6X1KG 1903"/>
    <n v="6"/>
    <x v="5"/>
    <s v="SAMBAL ASLI"/>
    <s v="A1123"/>
    <x v="110"/>
    <n v="14"/>
    <s v="ABC SAMBAL ASLI  1 KG X 6 PCS "/>
    <n v="30"/>
    <s v="ABC"/>
    <s v="A1"/>
    <s v="SAMBAL"/>
    <n v="12"/>
    <s v="ASLI"/>
    <n v="3"/>
    <m/>
    <s v="0"/>
    <m/>
    <s v="00"/>
    <s v="1 KG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50"/>
    <x v="150"/>
    <s v="CHILI"/>
    <s v="ABC SAM AS PLW 6X1KG HY 2210"/>
    <n v="6"/>
    <x v="5"/>
    <s v="SAMBAL ASLI"/>
    <s v="A1123"/>
    <x v="110"/>
    <n v="14"/>
    <s v="ABC SAMBAL ASLI  1 KG X 6 PCS "/>
    <n v="30"/>
    <s v="ABC"/>
    <s v="A1"/>
    <s v="SAMBAL"/>
    <n v="12"/>
    <s v="ASLI"/>
    <n v="3"/>
    <m/>
    <s v="0"/>
    <m/>
    <s v="00"/>
    <s v="1 KG"/>
    <n v="100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51"/>
    <x v="151"/>
    <s v="CHILI"/>
    <s v="ABC SAM ASLI PCH 6X690G 2312"/>
    <n v="6"/>
    <x v="5"/>
    <s v="SAMBAL ASLI"/>
    <s v="A1123"/>
    <x v="111"/>
    <n v="14"/>
    <s v="ABC SAMBAL ASLI  690 GR X 6 PCS "/>
    <n v="32"/>
    <s v="ABC"/>
    <s v="A1"/>
    <s v="SAMBAL"/>
    <n v="12"/>
    <s v="ASLI"/>
    <n v="3"/>
    <m/>
    <s v="0"/>
    <m/>
    <s v="00"/>
    <s v="690 GR"/>
    <s v="069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52"/>
    <x v="152"/>
    <s v="CHILI"/>
    <s v="ABC SAM ASLI SCT 21X22X8G 1909"/>
    <n v="21"/>
    <x v="7"/>
    <s v="SAMBAL ASLI"/>
    <s v="A1123"/>
    <x v="112"/>
    <n v="14"/>
    <s v="ABC SAMBAL ASLI  8 GR X 21 PCSX22 "/>
    <n v="34"/>
    <s v="ABC"/>
    <s v="A1"/>
    <s v="SAMBAL"/>
    <n v="12"/>
    <s v="ASLI"/>
    <n v="3"/>
    <m/>
    <s v="0"/>
    <m/>
    <s v="00"/>
    <s v="8 GR"/>
    <s v="0008"/>
    <s v="PCSX22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53"/>
    <x v="153"/>
    <s v="CHILI"/>
    <s v="ABC SAM ASLI SCT 21X22X8G 2203"/>
    <n v="21"/>
    <x v="7"/>
    <s v="SAMBAL ASLI"/>
    <s v="A1123"/>
    <x v="112"/>
    <n v="14"/>
    <s v="ABC SAMBAL ASLI  8 GR X 21 PCSX22 "/>
    <n v="34"/>
    <s v="ABC"/>
    <s v="A1"/>
    <s v="SAMBAL"/>
    <n v="12"/>
    <s v="ASLI"/>
    <n v="3"/>
    <m/>
    <s v="0"/>
    <m/>
    <s v="00"/>
    <s v="8 GR"/>
    <s v="0008"/>
    <s v="PCSX22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54"/>
    <x v="154"/>
    <s v="CHILI"/>
    <s v="ABC SAM AS SCT 30X10X18G 2002"/>
    <n v="30"/>
    <x v="8"/>
    <s v="SAMBAL ASLI"/>
    <s v="A1123"/>
    <x v="113"/>
    <n v="14"/>
    <s v="ABC SAMBAL ASLI  18 GR X 30 PCSX10 "/>
    <n v="35"/>
    <s v="ABC"/>
    <s v="A1"/>
    <s v="SAMBAL"/>
    <n v="12"/>
    <s v="ASLI"/>
    <n v="3"/>
    <m/>
    <s v="0"/>
    <m/>
    <s v="00"/>
    <s v="18 GR"/>
    <s v="0015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55"/>
    <x v="155"/>
    <s v="CHILI"/>
    <s v="ABC SAM AS SCT 30X10X18G 2203"/>
    <n v="30"/>
    <x v="8"/>
    <s v="SAMBAL ASLI"/>
    <s v="A1123"/>
    <x v="113"/>
    <n v="14"/>
    <s v="ABC SAMBAL ASLI  18 GR X 30 PCSX10 "/>
    <n v="35"/>
    <s v="ABC"/>
    <s v="A1"/>
    <s v="SAMBAL"/>
    <n v="12"/>
    <s v="ASLI"/>
    <n v="3"/>
    <m/>
    <s v="0"/>
    <m/>
    <s v="00"/>
    <s v="18 GR"/>
    <s v="0015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3"/>
    <x v="156"/>
    <x v="156"/>
    <s v="CHILI"/>
    <s v="ABC SAM AS SCT 30X10X15G 2206"/>
    <n v="30"/>
    <x v="8"/>
    <s v="SAMBAL ASLI"/>
    <s v="A1123"/>
    <x v="113"/>
    <n v="14"/>
    <s v="ABC SAMBAL ASLI  15 GR X 30 PCSX10 "/>
    <n v="35"/>
    <s v="ABC"/>
    <s v="A1"/>
    <s v="SAMBAL"/>
    <n v="12"/>
    <s v="ASLI"/>
    <n v="3"/>
    <m/>
    <s v="0"/>
    <m/>
    <s v="00"/>
    <s v="15 GR"/>
    <s v="0015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4"/>
    <x v="157"/>
    <x v="157"/>
    <s v="CHILI"/>
    <s v="ABC SAM AS SCT 30X10X15GHY2210"/>
    <n v="30"/>
    <x v="8"/>
    <s v="SAMBAL ASLI"/>
    <s v="A1123"/>
    <x v="113"/>
    <n v="14"/>
    <s v="ABC SAMBAL ASLI  15 GR X 30 PCSX10 "/>
    <n v="35"/>
    <s v="ABC"/>
    <s v="A1"/>
    <s v="SAMBAL"/>
    <n v="12"/>
    <s v="ASLI"/>
    <n v="3"/>
    <m/>
    <s v="0"/>
    <m/>
    <s v="00"/>
    <s v="15 GR"/>
    <s v="0015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58"/>
    <x v="158"/>
    <s v="CHILI"/>
    <s v="ABC SAM ASLI PET 48X135ML 2105"/>
    <n v="48"/>
    <x v="0"/>
    <s v="SAMBAL ASLI"/>
    <s v="A1123"/>
    <x v="114"/>
    <n v="14"/>
    <s v="ABC SAMBAL ASLI  135 ML X 48 BTL "/>
    <n v="33"/>
    <s v="ABC"/>
    <s v="A1"/>
    <s v="SAMBAL"/>
    <n v="12"/>
    <s v="ASLI"/>
    <n v="3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59"/>
    <x v="159"/>
    <s v="CHILI"/>
    <s v="ABC SAM ASLI PET 48X135ML 2111"/>
    <n v="48"/>
    <x v="0"/>
    <s v="SAMBAL ASLI"/>
    <s v="A1123"/>
    <x v="114"/>
    <n v="14"/>
    <s v="ABC SAMBAL ASLI  135 ML X 48 BTL "/>
    <n v="33"/>
    <s v="ABC"/>
    <s v="A1"/>
    <s v="SAMBAL"/>
    <n v="12"/>
    <s v="ASLI"/>
    <n v="3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0"/>
    <x v="160"/>
    <s v="CHILI"/>
    <s v="ABC SAM AS PET 48X130ML 2401"/>
    <n v="48"/>
    <x v="0"/>
    <s v="SAMBAL ASLI"/>
    <s v="A1123"/>
    <x v="115"/>
    <n v="14"/>
    <s v="ABC SAMBAL ASLI  130 ML X 48 BTL "/>
    <n v="33"/>
    <s v="ABC"/>
    <s v="A1"/>
    <s v="SAMBAL"/>
    <n v="12"/>
    <s v="ASLI"/>
    <n v="3"/>
    <m/>
    <s v="0"/>
    <m/>
    <s v="00"/>
    <s v="130 ML"/>
    <s v="013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1"/>
    <x v="161"/>
    <s v="CHILI"/>
    <s v="ABC SAM AS 48X130ML PR TMB2403"/>
    <n v="48"/>
    <x v="0"/>
    <s v="SAMBAL ASLI"/>
    <s v="A1123"/>
    <x v="116"/>
    <n v="14"/>
    <s v="ABC SAMBAL ASLI  130 ML X 48 BTL BANDED"/>
    <n v="39"/>
    <s v="ABC"/>
    <s v="A1"/>
    <s v="SAMBAL"/>
    <n v="12"/>
    <s v="ASLI"/>
    <n v="3"/>
    <m/>
    <s v="0"/>
    <m/>
    <s v="00"/>
    <s v="130 ML"/>
    <s v="0130"/>
    <s v="BTL"/>
    <s v="1"/>
    <s v="BANDED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62"/>
    <x v="162"/>
    <s v="CHILI"/>
    <s v="ABC SAM ASLI PET 24X275ML 2111"/>
    <n v="24"/>
    <x v="0"/>
    <s v="SAMBAL ASLI"/>
    <s v="A1123"/>
    <x v="117"/>
    <n v="14"/>
    <s v="ABC SAMBAL ASLI  270 ML X 24 BTL "/>
    <n v="33"/>
    <s v="ABC"/>
    <s v="A1"/>
    <s v="SAMBAL"/>
    <n v="12"/>
    <s v="ASLI"/>
    <n v="3"/>
    <m/>
    <s v="0"/>
    <m/>
    <s v="00"/>
    <s v="270 ML"/>
    <s v="027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3"/>
    <x v="163"/>
    <s v="CHILI"/>
    <s v="ABC SAM ASLI PET 24X275ML 2105"/>
    <n v="24"/>
    <x v="0"/>
    <s v="SAMBAL ASLI"/>
    <s v="A1123"/>
    <x v="117"/>
    <n v="14"/>
    <s v="ABC SAMBAL ASLI  270 ML X 24 BTL "/>
    <n v="33"/>
    <s v="ABC"/>
    <s v="A1"/>
    <s v="SAMBAL"/>
    <n v="12"/>
    <s v="ASLI"/>
    <n v="3"/>
    <m/>
    <s v="0"/>
    <m/>
    <s v="00"/>
    <s v="270 ML"/>
    <s v="027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3"/>
    <x v="164"/>
    <x v="164"/>
    <s v="CHILI"/>
    <s v="ABC SAM AS PET 24X270ML 2401"/>
    <n v="24"/>
    <x v="0"/>
    <s v="SAMBAL ASLI"/>
    <s v="A1123"/>
    <x v="117"/>
    <n v="14"/>
    <s v="ABC SAMBAL ASLI  270 ML X 24 BTL "/>
    <n v="33"/>
    <s v="ABC"/>
    <s v="A1"/>
    <s v="SAMBAL"/>
    <n v="12"/>
    <s v="ASLI"/>
    <n v="3"/>
    <m/>
    <s v="0"/>
    <m/>
    <s v="00"/>
    <s v="270 ML"/>
    <s v="027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5"/>
    <x v="165"/>
    <s v="CHILI"/>
    <s v="ABC SAM ASLI BB 24X335ML 2105"/>
    <n v="24"/>
    <x v="0"/>
    <s v="SAMBAL ASLI"/>
    <s v="A1123"/>
    <x v="118"/>
    <n v="14"/>
    <s v="ABC SAMBAL ASLI  335 ML X 24 BTL "/>
    <n v="33"/>
    <s v="ABC"/>
    <s v="A1"/>
    <s v="SAMBAL"/>
    <n v="12"/>
    <s v="ASLI"/>
    <n v="3"/>
    <m/>
    <s v="0"/>
    <m/>
    <s v="00"/>
    <s v="335 ML"/>
    <s v="03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6"/>
    <x v="166"/>
    <s v="CHILI"/>
    <s v="ABC SAM ASLI PET 12X600ML 2111"/>
    <n v="12"/>
    <x v="0"/>
    <s v="SAMBAL ASLI"/>
    <s v="A1123"/>
    <x v="119"/>
    <n v="14"/>
    <s v="ABC SAMBAL ASLI  600 ML X 12 BTL "/>
    <n v="33"/>
    <s v="ABC"/>
    <s v="A1"/>
    <s v="SAMBAL"/>
    <n v="12"/>
    <s v="ASLI"/>
    <n v="3"/>
    <m/>
    <s v="0"/>
    <m/>
    <s v="00"/>
    <s v="600 ML"/>
    <s v="060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7"/>
    <x v="167"/>
    <s v="CHILI"/>
    <s v="ABC SAM ASLI JRG 5.5KG 2105"/>
    <n v="1"/>
    <x v="2"/>
    <s v="SAMBAL ASLI"/>
    <s v="A1123"/>
    <x v="120"/>
    <n v="14"/>
    <s v="ABC SAMBAL ASLI  5 KG X 1 JRG "/>
    <n v="30"/>
    <s v="ABC"/>
    <s v="A1"/>
    <s v="SAMBAL"/>
    <n v="12"/>
    <s v="ASLI"/>
    <n v="3"/>
    <m/>
    <s v="0"/>
    <m/>
    <s v="00"/>
    <s v="5 KG"/>
    <s v="5000"/>
    <s v="JR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8"/>
    <x v="168"/>
    <s v="CHILI"/>
    <s v="ABC SAM ASLI JRG 24KG 2105"/>
    <n v="1"/>
    <x v="2"/>
    <s v="SAMBAL ASLI"/>
    <s v="A1123"/>
    <x v="121"/>
    <n v="14"/>
    <s v="ABC SAMBAL ASLI  24 KG X 1 JRG "/>
    <n v="31"/>
    <s v="ABC"/>
    <s v="A1"/>
    <s v="SAMBAL"/>
    <n v="12"/>
    <s v="ASLI"/>
    <n v="3"/>
    <m/>
    <s v="0"/>
    <m/>
    <s v="00"/>
    <s v="24 KG"/>
    <s v="1024"/>
    <s v="JRG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69"/>
    <x v="169"/>
    <s v="CHILI"/>
    <s v="ABC SAM EP PCH 48X75G 2109"/>
    <n v="48"/>
    <x v="1"/>
    <s v="SAMBAL EXTRA PEDAS"/>
    <s v="A1124"/>
    <x v="122"/>
    <n v="14"/>
    <s v="ABC SAMBAL EXTRA PEDAS  75 GR X 48 PCH "/>
    <n v="39"/>
    <s v="ABC"/>
    <s v="A1"/>
    <s v="SAMBAL"/>
    <n v="12"/>
    <s v="EXTRA PEDAS"/>
    <n v="4"/>
    <m/>
    <s v="0"/>
    <m/>
    <s v="00"/>
    <s v="75 GR"/>
    <s v="007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70"/>
    <x v="170"/>
    <s v="CHILI"/>
    <s v="ABC SAM EP PCH 48X75G HY 2301"/>
    <n v="48"/>
    <x v="1"/>
    <s v="SAMBAL EXTRA PEDAS"/>
    <s v="A1124"/>
    <x v="122"/>
    <n v="14"/>
    <s v="ABC SAMBAL EXTRA PEDAS  75 GR X 48 PCH "/>
    <n v="39"/>
    <s v="ABC"/>
    <s v="A1"/>
    <s v="SAMBAL"/>
    <n v="12"/>
    <s v="EXTRA PEDAS"/>
    <n v="4"/>
    <m/>
    <s v="0"/>
    <m/>
    <s v="00"/>
    <s v="75 GR"/>
    <s v="007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71"/>
    <x v="171"/>
    <s v="CHILI"/>
    <s v="ABC SAM EP PCH 12X380G 2105"/>
    <n v="12"/>
    <x v="1"/>
    <s v="SAMBAL EXTRA PEDAS"/>
    <s v="A1124"/>
    <x v="123"/>
    <n v="14"/>
    <s v="ABC SAMBAL EXTRA PEDAS  380 GR X 12 PCH "/>
    <n v="40"/>
    <s v="ABC"/>
    <s v="A1"/>
    <s v="SAMBAL"/>
    <n v="12"/>
    <s v="EXTRA PEDAS"/>
    <n v="4"/>
    <m/>
    <s v="0"/>
    <m/>
    <s v="00"/>
    <s v="380 GR"/>
    <s v="0380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72"/>
    <x v="172"/>
    <s v="CHILI"/>
    <s v="ABC SAM EP PCH 12X380G HY 2301"/>
    <n v="12"/>
    <x v="1"/>
    <s v="SAMBAL EXTRA PEDAS"/>
    <s v="A1124"/>
    <x v="123"/>
    <n v="14"/>
    <s v="ABC SAMBAL EXTRA PEDAS  380 GR X 12 PCH "/>
    <n v="40"/>
    <s v="ABC"/>
    <s v="A1"/>
    <s v="SAMBAL"/>
    <n v="12"/>
    <s v="EXTRA PEDAS"/>
    <n v="4"/>
    <m/>
    <s v="0"/>
    <m/>
    <s v="00"/>
    <s v="380 GR"/>
    <s v="0380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73"/>
    <x v="173"/>
    <s v="CHILI"/>
    <s v="ABC SAM EP PLW 6X950G 2011"/>
    <n v="6"/>
    <x v="5"/>
    <s v="SAMBAL EXTRA PEDAS"/>
    <s v="A1124"/>
    <x v="124"/>
    <n v="14"/>
    <s v="ABC SAMBAL EXTRA PEDAS  950 GR X 6 PCS "/>
    <n v="39"/>
    <s v="ABC"/>
    <s v="A1"/>
    <s v="SAMBAL"/>
    <n v="12"/>
    <s v="EXTRA PEDAS"/>
    <n v="4"/>
    <m/>
    <s v="0"/>
    <m/>
    <s v="00"/>
    <s v="950 GR"/>
    <s v="09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74"/>
    <x v="174"/>
    <s v="CHILI"/>
    <s v="ABC SAM EP PLW 6X950G HY 2303"/>
    <n v="6"/>
    <x v="5"/>
    <s v="SAMBAL EXTRA PEDAS"/>
    <s v="A1124"/>
    <x v="124"/>
    <n v="14"/>
    <s v="ABC SAMBAL EXTRA PEDAS  950 GR X 6 PCS "/>
    <n v="39"/>
    <s v="ABC"/>
    <s v="A1"/>
    <s v="SAMBAL"/>
    <n v="12"/>
    <s v="EXTRA PEDAS"/>
    <n v="4"/>
    <m/>
    <s v="0"/>
    <m/>
    <s v="00"/>
    <s v="950 GR"/>
    <s v="0950"/>
    <s v="PCS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75"/>
    <x v="175"/>
    <s v="CHILI"/>
    <s v="ABC SAM EP SCT 21X22X8G 2011"/>
    <n v="21"/>
    <x v="7"/>
    <s v="SAMBAL EXTRA PEDAS"/>
    <s v="A1124"/>
    <x v="125"/>
    <n v="14"/>
    <s v="ABC SAMBAL EXTRA PEDAS  8 GR X 21 PCSX22 "/>
    <n v="41"/>
    <s v="ABC"/>
    <s v="A1"/>
    <s v="SAMBAL"/>
    <n v="12"/>
    <s v="EXTRA PEDAS"/>
    <n v="4"/>
    <m/>
    <s v="0"/>
    <m/>
    <s v="00"/>
    <s v="8 GR"/>
    <s v="0008"/>
    <s v="PCSX22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76"/>
    <x v="176"/>
    <s v="CHILI"/>
    <s v="ABC SAM EP SCT 21X22X8G HY2303"/>
    <n v="21"/>
    <x v="7"/>
    <s v="SAMBAL EXTRA PEDAS"/>
    <s v="A1124"/>
    <x v="125"/>
    <n v="14"/>
    <s v="ABC SAMBAL EXTRA PEDAS  8 GR X 21 PCSX22 "/>
    <n v="41"/>
    <s v="ABC"/>
    <s v="A1"/>
    <s v="SAMBAL"/>
    <n v="12"/>
    <s v="EXTRA PEDAS"/>
    <n v="4"/>
    <m/>
    <s v="0"/>
    <m/>
    <s v="00"/>
    <s v="8 GR"/>
    <s v="0008"/>
    <s v="PCSX22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77"/>
    <x v="177"/>
    <s v="CHILI"/>
    <s v="ABC SAM EP SCT 30X10X18G 2011"/>
    <n v="30"/>
    <x v="8"/>
    <s v="SAMBAL EXTRA PEDAS"/>
    <s v="A1124"/>
    <x v="126"/>
    <n v="14"/>
    <s v="ABC SAMBAL EXTRA PEDAS  15 GR X 30 PCSX10 "/>
    <n v="42"/>
    <s v="ABC"/>
    <s v="A1"/>
    <s v="SAMBAL"/>
    <n v="12"/>
    <s v="EXTRA PEDAS"/>
    <n v="4"/>
    <m/>
    <s v="0"/>
    <m/>
    <s v="00"/>
    <s v="15 GR"/>
    <s v="0015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78"/>
    <x v="178"/>
    <s v="CHILI"/>
    <s v="ABC SAM EP SCT 30X10X15G 2206"/>
    <n v="30"/>
    <x v="8"/>
    <s v="SAMBAL EXTRA PEDAS"/>
    <s v="A1124"/>
    <x v="126"/>
    <n v="14"/>
    <s v="ABC SAMBAL EXTRA PEDAS  15 GR X 30 PCSX10 "/>
    <n v="42"/>
    <s v="ABC"/>
    <s v="A1"/>
    <s v="SAMBAL"/>
    <n v="12"/>
    <s v="EXTRA PEDAS"/>
    <n v="4"/>
    <m/>
    <s v="0"/>
    <m/>
    <s v="00"/>
    <s v="15 GR"/>
    <s v="0015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3"/>
    <x v="179"/>
    <x v="179"/>
    <s v="CHILI"/>
    <s v="ABC SAM EP SCT 30X10X15GHY2210"/>
    <n v="30"/>
    <x v="8"/>
    <s v="SAMBAL EXTRA PEDAS"/>
    <s v="A1124"/>
    <x v="126"/>
    <n v="14"/>
    <s v="ABC SAMBAL EXTRA PEDAS  15 GR X 30 PCSX10 "/>
    <n v="42"/>
    <s v="ABC"/>
    <s v="A1"/>
    <s v="SAMBAL"/>
    <n v="12"/>
    <s v="EXTRA PEDAS"/>
    <n v="4"/>
    <m/>
    <s v="0"/>
    <m/>
    <s v="00"/>
    <s v="15 GR"/>
    <s v="0015"/>
    <s v="PCSX10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80"/>
    <x v="180"/>
    <s v="CHILI"/>
    <s v="ABC SAM EP PET 48X135ML 2202"/>
    <n v="48"/>
    <x v="0"/>
    <s v="SAMBAL EXTRA PEDAS"/>
    <s v="A1124"/>
    <x v="127"/>
    <n v="14"/>
    <s v="ABC SAMBAL EXTRA PEDAS  135 ML X 48 BTL "/>
    <n v="40"/>
    <s v="ABC"/>
    <s v="A1"/>
    <s v="SAMBAL"/>
    <n v="12"/>
    <s v="EXTRA PEDAS"/>
    <n v="4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81"/>
    <x v="181"/>
    <s v="CHILI"/>
    <s v="ABC SAM EP PET 48X135ML HY2301"/>
    <n v="48"/>
    <x v="0"/>
    <s v="SAMBAL EXTRA PEDAS"/>
    <s v="A1124"/>
    <x v="127"/>
    <n v="14"/>
    <s v="ABC SAMBAL EXTRA PEDAS  135 ML X 48 BTL "/>
    <n v="40"/>
    <s v="ABC"/>
    <s v="A1"/>
    <s v="SAMBAL"/>
    <n v="12"/>
    <s v="EXTRA PEDAS"/>
    <n v="4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82"/>
    <x v="182"/>
    <s v="CHILI"/>
    <s v="ABC SAM EP PET 48X130ML 2401"/>
    <n v="48"/>
    <x v="0"/>
    <s v="SAMBAL EXTRA PEDAS"/>
    <s v="A1124"/>
    <x v="128"/>
    <n v="14"/>
    <s v="ABC SAMBAL EXTRA PEDAS  130 ML X 48 BTL "/>
    <n v="40"/>
    <s v="ABC"/>
    <s v="A1"/>
    <s v="SAMBAL"/>
    <n v="12"/>
    <s v="EXTRA PEDAS"/>
    <n v="4"/>
    <m/>
    <s v="0"/>
    <m/>
    <s v="00"/>
    <s v="130 ML"/>
    <s v="013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83"/>
    <x v="183"/>
    <s v="CHILI"/>
    <s v="ABC SAM EP 48X130ML PR TMB2403"/>
    <n v="48"/>
    <x v="0"/>
    <s v="SAMBAL EXTRA PEDAS"/>
    <s v="A1124"/>
    <x v="129"/>
    <n v="14"/>
    <s v="ABC SAMBAL EXTRA PEDAS  130 ML X 48 BTL BANDED"/>
    <n v="46"/>
    <s v="ABC"/>
    <s v="A1"/>
    <s v="SAMBAL"/>
    <n v="12"/>
    <s v="EXTRA PEDAS"/>
    <n v="4"/>
    <m/>
    <s v="0"/>
    <m/>
    <s v="00"/>
    <s v="130 ML"/>
    <s v="0130"/>
    <s v="BTL"/>
    <s v="1"/>
    <s v="BANDED"/>
    <n v="1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84"/>
    <x v="184"/>
    <s v="CHILI"/>
    <s v="ABC SAM EP PET 24X275ML 2202"/>
    <n v="24"/>
    <x v="0"/>
    <s v="SAMBAL EXTRA PEDAS"/>
    <s v="A1124"/>
    <x v="130"/>
    <n v="14"/>
    <s v="ABC SAMBAL EXTRA PEDAS  275 ML X 24 BTL "/>
    <n v="40"/>
    <s v="ABC"/>
    <s v="A1"/>
    <s v="SAMBAL"/>
    <n v="12"/>
    <s v="EXTRA PEDAS"/>
    <n v="4"/>
    <m/>
    <s v="0"/>
    <m/>
    <s v="00"/>
    <s v="275 ML"/>
    <s v="027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85"/>
    <x v="185"/>
    <s v="CHILI"/>
    <s v="ABC SAM EP PET 24X275ML HY2301"/>
    <n v="24"/>
    <x v="0"/>
    <s v="SAMBAL EXTRA PEDAS"/>
    <s v="A1124"/>
    <x v="130"/>
    <n v="14"/>
    <s v="ABC SAMBAL EXTRA PEDAS  275 ML X 24 BTL "/>
    <n v="40"/>
    <s v="ABC"/>
    <s v="A1"/>
    <s v="SAMBAL"/>
    <n v="12"/>
    <s v="EXTRA PEDAS"/>
    <n v="4"/>
    <m/>
    <s v="0"/>
    <m/>
    <s v="00"/>
    <s v="275 ML"/>
    <s v="027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3"/>
    <x v="186"/>
    <x v="186"/>
    <s v="CHILI"/>
    <s v="ABC SAM EP PET 24X270ML 2401"/>
    <n v="24"/>
    <x v="0"/>
    <s v="SAMBAL EXTRA PEDAS"/>
    <s v="A1124"/>
    <x v="130"/>
    <n v="14"/>
    <s v="ABC SAMBAL EXTRA PEDAS  270 ML X 24 BTL "/>
    <n v="40"/>
    <s v="ABC"/>
    <s v="A1"/>
    <s v="SAMBAL"/>
    <n v="12"/>
    <s v="EXTRA PEDAS"/>
    <n v="4"/>
    <m/>
    <s v="0"/>
    <m/>
    <s v="00"/>
    <s v="270 ML"/>
    <s v="0270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87"/>
    <x v="187"/>
    <s v="CHILI"/>
    <s v="ABC SAM EXTRA PDS 335ML 1112"/>
    <n v="24"/>
    <x v="0"/>
    <s v="SAMBAL EXTRA PEDAS"/>
    <s v="A1124"/>
    <x v="131"/>
    <n v="14"/>
    <s v="ABC SAMBAL EXTRA PEDAS  335 ML X 24 BTL "/>
    <n v="40"/>
    <s v="ABC"/>
    <s v="A1"/>
    <s v="SAMBAL"/>
    <n v="12"/>
    <s v="EXTRA PEDAS"/>
    <n v="4"/>
    <m/>
    <s v="0"/>
    <m/>
    <s v="00"/>
    <s v="335 ML"/>
    <s v="03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88"/>
    <x v="188"/>
    <s v="CHILI"/>
    <s v="ABC SAM EP BB 24X335ML 2105"/>
    <n v="24"/>
    <x v="0"/>
    <s v="SAMBAL EXTRA PEDAS"/>
    <s v="A1124"/>
    <x v="131"/>
    <n v="14"/>
    <s v="ABC SAMBAL EXTRA PEDAS  335 ML X 24 BTL "/>
    <n v="40"/>
    <s v="ABC"/>
    <s v="A1"/>
    <s v="SAMBAL"/>
    <n v="12"/>
    <s v="EXTRA PEDAS"/>
    <n v="4"/>
    <m/>
    <s v="0"/>
    <m/>
    <s v="00"/>
    <s v="335 ML"/>
    <s v="03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3"/>
    <x v="189"/>
    <x v="189"/>
    <s v="CHILI"/>
    <s v="ABC SAM EP BB 24X335ML HY 2301"/>
    <n v="24"/>
    <x v="0"/>
    <s v="SAMBAL EXTRA PEDAS"/>
    <s v="A1124"/>
    <x v="131"/>
    <n v="14"/>
    <s v="ABC SAMBAL EXTRA PEDAS  335 ML X 24 BTL "/>
    <n v="40"/>
    <s v="ABC"/>
    <s v="A1"/>
    <s v="SAMBAL"/>
    <n v="12"/>
    <s v="EXTRA PEDAS"/>
    <n v="4"/>
    <m/>
    <s v="0"/>
    <m/>
    <s v="00"/>
    <s v="335 ML"/>
    <s v="03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0"/>
    <x v="190"/>
    <s v="CHILI"/>
    <s v="ABC SAM XP PCH 48X75G 2308"/>
    <n v="48"/>
    <x v="1"/>
    <s v="SAMBAL EXTREME PEDAS"/>
    <s v="A1125"/>
    <x v="132"/>
    <n v="14"/>
    <s v="ABC SAMBAL EXTREME PEDAS  75 GR X 48 PCH "/>
    <n v="41"/>
    <s v="ABC"/>
    <s v="A1"/>
    <s v="SAMBAL"/>
    <n v="12"/>
    <s v="EXTREME PEDAS"/>
    <n v="5"/>
    <m/>
    <s v="0"/>
    <m/>
    <s v="00"/>
    <s v="75 GR"/>
    <s v="007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1"/>
    <x v="191"/>
    <s v="CHILI"/>
    <s v="ABC SAM XP PET 48X135ML 2308"/>
    <n v="48"/>
    <x v="0"/>
    <s v="SAMBAL EXTREME PEDAS"/>
    <s v="A1125"/>
    <x v="133"/>
    <n v="14"/>
    <s v="ABC SAMBAL EXTREME PEDAS  135 ML X 48 BTL "/>
    <n v="42"/>
    <s v="ABC"/>
    <s v="A1"/>
    <s v="SAMBAL"/>
    <n v="12"/>
    <s v="EXTREME PEDAS"/>
    <n v="5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2"/>
    <x v="192"/>
    <s v="CHILI"/>
    <s v="ABC SAM MNS PDS 48X135ML 2105"/>
    <n v="48"/>
    <x v="0"/>
    <s v="SAMBAL MANIS PEDAS"/>
    <s v="A1126"/>
    <x v="134"/>
    <n v="14"/>
    <s v="ABC SAMBAL MANIS PEDAS  135 ML X 48 BTL "/>
    <n v="40"/>
    <s v="ABC"/>
    <s v="A1"/>
    <s v="SAMBAL"/>
    <n v="12"/>
    <s v="MANIS PEDAS"/>
    <n v="6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3"/>
    <x v="193"/>
    <s v="CHILI"/>
    <s v="ABC SAM MNS PDS 24X335ML 2105"/>
    <n v="24"/>
    <x v="0"/>
    <s v="SAMBAL MANIS PEDAS"/>
    <s v="A1126"/>
    <x v="135"/>
    <n v="14"/>
    <s v="ABC SAMBAL MANIS PEDAS  335 ML X 24 BTL "/>
    <n v="40"/>
    <s v="ABC"/>
    <s v="A1"/>
    <s v="SAMBAL"/>
    <n v="12"/>
    <s v="MANIS PEDAS"/>
    <n v="6"/>
    <m/>
    <s v="0"/>
    <m/>
    <s v="00"/>
    <s v="335 ML"/>
    <s v="03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4"/>
    <x v="194"/>
    <s v="CHILI"/>
    <s v="ABC SAM AYM GRG 48X135ML 2105"/>
    <n v="48"/>
    <x v="0"/>
    <s v="SAMBAL AYAM GORENG"/>
    <s v="A1127"/>
    <x v="136"/>
    <n v="14"/>
    <s v="ABC SAMBAL AYAM GORENG  135 ML X 48 BTL "/>
    <n v="40"/>
    <s v="ABC"/>
    <s v="A1"/>
    <s v="SAMBAL"/>
    <n v="12"/>
    <s v="AYAM GORENG"/>
    <n v="7"/>
    <m/>
    <s v="0"/>
    <m/>
    <s v="00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5"/>
    <x v="195"/>
    <s v="CHILI"/>
    <s v="ABC SAM AYM GRG 24X335ML 2105"/>
    <n v="24"/>
    <x v="0"/>
    <s v="SAMBAL AYAM GORENG"/>
    <s v="A1127"/>
    <x v="137"/>
    <n v="14"/>
    <s v="ABC SAMBAL AYAM GORENG  335 ML X 24 BTL "/>
    <n v="40"/>
    <s v="ABC"/>
    <s v="A1"/>
    <s v="SAMBAL"/>
    <n v="12"/>
    <s v="AYAM GORENG"/>
    <n v="7"/>
    <m/>
    <s v="0"/>
    <m/>
    <s v="00"/>
    <s v="335 ML"/>
    <s v="03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6"/>
    <x v="196"/>
    <s v="CHILI"/>
    <s v="ABC SAM BWNG PDS 48X135ML 2105"/>
    <n v="48"/>
    <x v="0"/>
    <s v="SAMBAL "/>
    <s v="A1120"/>
    <x v="138"/>
    <n v="14"/>
    <s v="ABC SAMBAL  BAWANG PEDAS 135 ML X 48 BTL "/>
    <n v="41"/>
    <s v="ABC"/>
    <s v="A1"/>
    <s v="SAMBAL"/>
    <n v="12"/>
    <m/>
    <s v="0"/>
    <m/>
    <s v="0"/>
    <s v="BAWANG PEDAS"/>
    <s v="01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7"/>
    <x v="197"/>
    <s v="CHILI"/>
    <s v="ABC SAM BWNG PDS 24X275ML 2105"/>
    <n v="24"/>
    <x v="0"/>
    <s v="SAMBAL "/>
    <s v="A1120"/>
    <x v="139"/>
    <n v="14"/>
    <s v="ABC SAMBAL  BAWANG PEDAS 275 ML X 24 BTL "/>
    <n v="41"/>
    <s v="ABC"/>
    <s v="A1"/>
    <s v="SAMBAL"/>
    <n v="12"/>
    <m/>
    <s v="0"/>
    <m/>
    <s v="0"/>
    <s v="BAWANG PEDAS"/>
    <s v="01"/>
    <s v="275 ML"/>
    <s v="027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198"/>
    <x v="198"/>
    <s v="CHILI"/>
    <s v="HEINZ IDN CHL PCH 48X125G 2103"/>
    <n v="48"/>
    <x v="1"/>
    <s v="SAMBAL HEINZ"/>
    <s v="A1128"/>
    <x v="140"/>
    <n v="14"/>
    <s v="ABC SAMBAL HEINZ INDONESIA CHILI 125 GR X 48 PCH "/>
    <n v="49"/>
    <s v="ABC"/>
    <s v="A1"/>
    <s v="SAMBAL"/>
    <n v="12"/>
    <s v="HEINZ"/>
    <n v="8"/>
    <m/>
    <s v="0"/>
    <s v="INDONESIA CHILI"/>
    <s v="01"/>
    <s v="125 GR"/>
    <s v="012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2"/>
    <x v="199"/>
    <x v="199"/>
    <s v="CHILI"/>
    <s v="HEINZ IDN CHL PCH 48X125G 2207"/>
    <n v="48"/>
    <x v="1"/>
    <s v="SAMBAL HEINZ"/>
    <s v="A1128"/>
    <x v="140"/>
    <n v="14"/>
    <s v="ABC SAMBAL HEINZ INDONESIA CHILI 125 GR X 48 PCH "/>
    <n v="49"/>
    <s v="ABC"/>
    <s v="A1"/>
    <s v="SAMBAL"/>
    <n v="12"/>
    <s v="HEINZ"/>
    <n v="8"/>
    <m/>
    <s v="0"/>
    <s v="INDONESIA CHILI"/>
    <s v="01"/>
    <s v="125 GR"/>
    <s v="012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200"/>
    <x v="200"/>
    <s v="CHILI"/>
    <s v="HEINZ MEX CHL PCH 48X125G 2207"/>
    <n v="48"/>
    <x v="1"/>
    <s v="SAMBAL HEINZ"/>
    <s v="A1128"/>
    <x v="141"/>
    <n v="14"/>
    <s v="ABC SAMBAL HEINZ MEXICAN CHILI 125 GR X 48 PCH "/>
    <n v="47"/>
    <s v="ABC"/>
    <s v="A1"/>
    <s v="SAMBAL"/>
    <n v="12"/>
    <s v="HEINZ"/>
    <n v="8"/>
    <m/>
    <s v="0"/>
    <s v="MEXICAN CHILI"/>
    <s v="02"/>
    <s v="125 GR"/>
    <s v="012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201"/>
    <x v="201"/>
    <s v="CHILI"/>
    <s v="HEINZ KOR CHL PCH 48X125G 2207"/>
    <n v="48"/>
    <x v="1"/>
    <s v="SAMBAL HEINZ"/>
    <s v="A1128"/>
    <x v="142"/>
    <n v="14"/>
    <s v="ABC SAMBAL HEINZ KOREAN CHILI 125 GR X 48 PCH "/>
    <n v="46"/>
    <s v="ABC"/>
    <s v="A1"/>
    <s v="SAMBAL"/>
    <n v="12"/>
    <s v="HEINZ"/>
    <n v="8"/>
    <m/>
    <s v="0"/>
    <s v="KOREAN CHILI"/>
    <s v="03"/>
    <s v="125 GR"/>
    <s v="0125"/>
    <s v="PCH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202"/>
    <x v="202"/>
    <s v="CHILI"/>
    <s v="ABC SAM FR NA JR 48X135ML 2107"/>
    <n v="48"/>
    <x v="0"/>
    <s v="SAMBAL FRUITY"/>
    <s v="A1129"/>
    <x v="143"/>
    <n v="14"/>
    <s v="ABC SAMBAL FRUITY NANAS JERUK 135 ML X 48 BTL "/>
    <n v="46"/>
    <s v="ABC"/>
    <s v="A1"/>
    <s v="SAMBAL"/>
    <n v="12"/>
    <s v="FRUITY"/>
    <n v="9"/>
    <m/>
    <s v="0"/>
    <s v="NANAS JERUK"/>
    <s v="01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  <r>
    <n v="1"/>
    <x v="203"/>
    <x v="203"/>
    <s v="CHILI"/>
    <s v="ABC SAM FR AP MG 48X135ML 2110"/>
    <n v="48"/>
    <x v="0"/>
    <s v="SAMBAL FRUITY"/>
    <s v="A1129"/>
    <x v="144"/>
    <n v="14"/>
    <s v="ABC SAMBAL FRUITY APEL MANGGA 135 ML X 48 BTL "/>
    <n v="46"/>
    <s v="ABC"/>
    <s v="A1"/>
    <s v="SAMBAL"/>
    <n v="12"/>
    <s v="FRUITY"/>
    <n v="9"/>
    <m/>
    <s v="0"/>
    <s v="APEL MANGGA"/>
    <s v="02"/>
    <s v="135 ML"/>
    <s v="0135"/>
    <s v="BTL"/>
    <s v="1"/>
    <m/>
    <s v="0"/>
    <m/>
    <m/>
    <m/>
    <m/>
    <m/>
    <m/>
    <m/>
    <m/>
    <m/>
    <m/>
    <m/>
    <m/>
    <m/>
    <m/>
    <s v="Lama"/>
    <s v="Sama"/>
    <s v="IDR"/>
    <s v="SPV4"/>
    <s v="IDR"/>
    <s v="KRT"/>
    <s v="GD01"/>
    <n v="11611"/>
    <n v="11612"/>
    <m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0">
  <r>
    <s v="K10100010060101"/>
    <n v="1"/>
    <n v="1"/>
    <x v="0"/>
    <s v="CUSSONS"/>
    <s v="ABS CHAMOMILE 60ML BTL-1501"/>
    <x v="0"/>
    <n v="8998103001616"/>
    <x v="0"/>
    <s v="ABSOLUTE"/>
    <s v="K1010"/>
    <x v="0"/>
    <n v="14"/>
    <s v="KNF ABSOLUTE CHAMOMILE 60ML X 36 BTL"/>
    <n v="36"/>
    <s v="KNF"/>
    <s v="K1"/>
    <s v="ABSOLUTE"/>
    <s v="01"/>
    <m/>
    <n v="0"/>
    <m/>
    <n v="0"/>
    <s v="CHAMOMILE"/>
    <s v="01"/>
    <s v="60ML"/>
    <s v="0060"/>
    <s v="BTL"/>
    <n v="1"/>
    <m/>
    <n v="0"/>
    <m/>
    <m/>
    <m/>
    <s v="GRAM"/>
    <n v="1"/>
    <n v="7560"/>
    <n v="272160"/>
    <n v="8391.6"/>
    <n v="302097.60000000003"/>
    <n v="8400"/>
    <n v="302400"/>
    <n v="9324"/>
    <n v="335664.00000000006"/>
    <n v="8400"/>
    <n v="302400"/>
    <n v="9324"/>
    <n v="335664"/>
    <d v="2024-11-20T00:00:00"/>
    <m/>
    <s v="Lama"/>
    <s v="Sama"/>
    <s v="IDR"/>
    <s v="10060"/>
    <s v="60ML"/>
    <s v="S-CSN"/>
    <s v="12CSN"/>
    <s v="KRT"/>
    <s v="GD01"/>
    <n v="11611"/>
    <n v="11612"/>
    <s v="0108"/>
    <n v="1"/>
  </r>
  <r>
    <s v="K10100010150101"/>
    <n v="1"/>
    <n v="2"/>
    <x v="1"/>
    <s v="CUSSONS"/>
    <s v="ABS CHAMOMILE 150ML BTL-1501"/>
    <x v="0"/>
    <n v="8998103001616"/>
    <x v="0"/>
    <s v="ABSOLUTE"/>
    <s v="K1010"/>
    <x v="1"/>
    <n v="14"/>
    <s v="KNF ABSOLUTE CHAMOMILE 150ML X 36 BTL"/>
    <n v="37"/>
    <s v="KNF"/>
    <s v="K1"/>
    <s v="ABSOLUTE"/>
    <s v="01"/>
    <m/>
    <n v="0"/>
    <m/>
    <n v="0"/>
    <s v="CHAMOMILE"/>
    <s v="01"/>
    <s v="150ML"/>
    <s v="0150"/>
    <s v="BTL"/>
    <n v="1"/>
    <m/>
    <n v="0"/>
    <m/>
    <m/>
    <m/>
    <s v="GRAM"/>
    <n v="1"/>
    <n v="7560"/>
    <n v="272160"/>
    <n v="8391.6"/>
    <n v="302097.60000000003"/>
    <n v="8400"/>
    <n v="302400"/>
    <n v="9324"/>
    <n v="335664.00000000006"/>
    <n v="8400"/>
    <n v="302400"/>
    <n v="9324"/>
    <n v="335664"/>
    <m/>
    <m/>
    <s v="Lama"/>
    <s v="Sama"/>
    <s v="IDR"/>
    <s v="10150"/>
    <s v="150ML"/>
    <s v="S-CSN"/>
    <s v="12CSN"/>
    <s v="KRT"/>
    <s v="GD01"/>
    <n v="11611"/>
    <n v="11612"/>
    <s v="0108"/>
    <n v="1"/>
  </r>
  <r>
    <s v="K10100020060101"/>
    <n v="1"/>
    <m/>
    <x v="2"/>
    <m/>
    <s v="ABS ETERNITY 60ML BTL -1501"/>
    <x v="0"/>
    <m/>
    <x v="0"/>
    <s v="ABSOLUTE"/>
    <s v="K1010"/>
    <x v="2"/>
    <n v="14"/>
    <s v="KNF ABSOLUTE ETERNITY 60ML X 36 BTL"/>
    <n v="35"/>
    <s v="KNF"/>
    <s v="K1"/>
    <s v="ABSOLUTE"/>
    <s v="01"/>
    <m/>
    <n v="0"/>
    <m/>
    <n v="0"/>
    <s v="ETERNITY"/>
    <s v="02"/>
    <s v="60ML"/>
    <s v="006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s v="60ML"/>
    <m/>
    <m/>
    <s v="KRT"/>
    <s v="GD01"/>
    <n v="11611"/>
    <n v="11612"/>
    <m/>
    <n v="1"/>
  </r>
  <r>
    <s v="K10100020150101"/>
    <n v="1"/>
    <m/>
    <x v="3"/>
    <m/>
    <s v="ABS ETERNITY 150ML BTL -1501"/>
    <x v="0"/>
    <m/>
    <x v="0"/>
    <s v="ABSOLUTE"/>
    <s v="K1010"/>
    <x v="3"/>
    <n v="14"/>
    <s v="KNF ABSOLUTE ETERNITY 150ML X 36 BTL"/>
    <n v="36"/>
    <s v="KNF"/>
    <s v="K1"/>
    <s v="ABSOLUTE"/>
    <s v="01"/>
    <m/>
    <n v="0"/>
    <m/>
    <n v="0"/>
    <s v="ETERNITY"/>
    <s v="02"/>
    <s v="150ML"/>
    <s v="015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s v="150ML"/>
    <m/>
    <m/>
    <s v="KRT"/>
    <s v="GD01"/>
    <n v="11611"/>
    <n v="11612"/>
    <m/>
    <n v="1"/>
  </r>
  <r>
    <s v="K10100030060101"/>
    <n v="1"/>
    <m/>
    <x v="4"/>
    <m/>
    <s v="ABS INTIMACY 60ML BTL -1501"/>
    <x v="0"/>
    <m/>
    <x v="0"/>
    <s v="ABSOLUTE"/>
    <s v="K1010"/>
    <x v="4"/>
    <n v="14"/>
    <s v="KNF ABSOLUTE INTIMACY 60ML X 36 BTL"/>
    <n v="35"/>
    <s v="KNF"/>
    <s v="K1"/>
    <s v="ABSOLUTE"/>
    <s v="01"/>
    <m/>
    <n v="0"/>
    <m/>
    <n v="0"/>
    <s v="INTIMACY"/>
    <s v="03"/>
    <s v="60ML"/>
    <s v="006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s v="60ML"/>
    <m/>
    <m/>
    <s v="KRT"/>
    <s v="GD01"/>
    <n v="11611"/>
    <n v="11612"/>
    <m/>
    <n v="1"/>
  </r>
  <r>
    <s v="K10100030150101"/>
    <n v="1"/>
    <m/>
    <x v="5"/>
    <m/>
    <s v="ABS INTIMACY 150ML BTL -1501"/>
    <x v="0"/>
    <m/>
    <x v="0"/>
    <s v="ABSOLUTE"/>
    <s v="K1010"/>
    <x v="5"/>
    <n v="14"/>
    <s v="KNF ABSOLUTE INTIMACY 150ML X 36 BTL"/>
    <n v="36"/>
    <s v="KNF"/>
    <s v="K1"/>
    <s v="ABSOLUTE"/>
    <s v="01"/>
    <m/>
    <n v="0"/>
    <m/>
    <n v="0"/>
    <s v="INTIMACY"/>
    <s v="03"/>
    <s v="150ML"/>
    <s v="015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s v="150ML"/>
    <m/>
    <m/>
    <s v="KRT"/>
    <s v="GD01"/>
    <n v="11611"/>
    <n v="11612"/>
    <m/>
    <n v="1"/>
  </r>
  <r>
    <s v="K10200010060101"/>
    <n v="1"/>
    <m/>
    <x v="6"/>
    <m/>
    <s v="ABS HYPO N. SOOTHING 60ML BTL -1604"/>
    <x v="0"/>
    <m/>
    <x v="0"/>
    <s v="ABSOLUTE HYPO"/>
    <s v="K1020"/>
    <x v="6"/>
    <n v="14"/>
    <s v="KNF ABSOLUTE HYPO NATURALLY SOOTHING 60ML X 36 BTL"/>
    <n v="50"/>
    <s v="KNF"/>
    <s v="K1"/>
    <s v="ABSOLUTE HYPO"/>
    <s v="02"/>
    <m/>
    <n v="0"/>
    <m/>
    <n v="0"/>
    <s v="NATURALLY SOOTHING"/>
    <s v="01"/>
    <s v="60ML"/>
    <s v="006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s v="60ML"/>
    <m/>
    <m/>
    <s v="KRT"/>
    <s v="GD01"/>
    <n v="11611"/>
    <n v="11612"/>
    <m/>
    <n v="1"/>
  </r>
  <r>
    <s v="K10200010150101"/>
    <n v="1"/>
    <m/>
    <x v="7"/>
    <m/>
    <s v="ABS HYPO N. SOOTHING 150ML BTL -1604"/>
    <x v="0"/>
    <m/>
    <x v="0"/>
    <s v="ABSOLUTE HYPO"/>
    <s v="K1020"/>
    <x v="7"/>
    <n v="14"/>
    <s v="KNF ABSOLUTE HYPO NATURALLY SOOTHING 150ML X 36 BTL"/>
    <n v="51"/>
    <s v="KNF"/>
    <s v="K1"/>
    <s v="ABSOLUTE HYPO"/>
    <s v="02"/>
    <m/>
    <n v="0"/>
    <m/>
    <n v="0"/>
    <s v="NATURALLY SOOTHING"/>
    <s v="01"/>
    <s v="150ML"/>
    <s v="015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s v="150ML"/>
    <m/>
    <m/>
    <s v="KRT"/>
    <s v="GD01"/>
    <n v="11611"/>
    <n v="11612"/>
    <m/>
    <n v="1"/>
  </r>
  <r>
    <s v="K10200020060101"/>
    <n v="1"/>
    <m/>
    <x v="8"/>
    <m/>
    <s v="ABS HYPO Y. REVITALIZE 60ML BTL -1604"/>
    <x v="0"/>
    <m/>
    <x v="0"/>
    <s v="ABSOLUTE HYPO"/>
    <s v="K1020"/>
    <x v="8"/>
    <n v="14"/>
    <s v="KNF ABSOLUTE HYPO YOUTH REVITALIZE 60ML X 36 BTL"/>
    <n v="48"/>
    <s v="KNF"/>
    <s v="K1"/>
    <s v="ABSOLUTE HYPO"/>
    <s v="02"/>
    <m/>
    <n v="0"/>
    <m/>
    <n v="0"/>
    <s v="YOUTH REVITALIZE"/>
    <s v="02"/>
    <s v="60ML"/>
    <s v="006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s v="60ML"/>
    <m/>
    <m/>
    <s v="KRT"/>
    <s v="GD01"/>
    <n v="11611"/>
    <n v="11612"/>
    <m/>
    <n v="1"/>
  </r>
  <r>
    <s v="K10200020150101"/>
    <n v="1"/>
    <m/>
    <x v="9"/>
    <m/>
    <s v="ABS HYPO Y. REVITALIZE 150ML BTL -1604"/>
    <x v="0"/>
    <m/>
    <x v="0"/>
    <s v="ABSOLUTE HYPO"/>
    <s v="K1020"/>
    <x v="9"/>
    <n v="14"/>
    <s v="KNF ABSOLUTE HYPO YOUTH REVITALIZE 150ML X 36 BTL"/>
    <n v="49"/>
    <s v="KNF"/>
    <s v="K1"/>
    <s v="ABSOLUTE HYPO"/>
    <s v="02"/>
    <m/>
    <n v="0"/>
    <m/>
    <n v="0"/>
    <s v="YOUTH REVITALIZE"/>
    <s v="02"/>
    <s v="150ML"/>
    <s v="015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s v="150ML"/>
    <m/>
    <m/>
    <s v="KRT"/>
    <s v="GD01"/>
    <n v="11611"/>
    <n v="11612"/>
    <m/>
    <n v="1"/>
  </r>
  <r>
    <s v="K10210010150101"/>
    <n v="1"/>
    <m/>
    <x v="10"/>
    <m/>
    <s v="ABS HYPO FOAMY N.SOOTHING 150ML BTL-1604"/>
    <x v="0"/>
    <m/>
    <x v="0"/>
    <s v="ABSOLUTE HYPO FOAMY"/>
    <s v="K1021"/>
    <x v="10"/>
    <n v="14"/>
    <s v="KNF ABSOLUTE HYPO FOAMY N.SOOTHING 150ML X 36 BTL"/>
    <n v="49"/>
    <s v="KNF"/>
    <s v="K1"/>
    <s v="ABSOLUTE HYPO"/>
    <s v="02"/>
    <s v="FOAMY"/>
    <n v="1"/>
    <m/>
    <n v="0"/>
    <s v="N.SOOTHING"/>
    <s v="01"/>
    <s v="150ML"/>
    <s v="0150"/>
    <s v="BTL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s v="150ML"/>
    <m/>
    <m/>
    <s v="KRT"/>
    <s v="GD01"/>
    <n v="11611"/>
    <n v="11612"/>
    <m/>
    <n v="1"/>
  </r>
  <r>
    <s v="K10210020150201"/>
    <n v="1"/>
    <m/>
    <x v="11"/>
    <m/>
    <s v="ABS HYPO FOAMY Y.REVITALIZED 150ML -1604"/>
    <x v="0"/>
    <m/>
    <x v="0"/>
    <s v="ABSOLUTE HYPO FOAMY"/>
    <s v="K1021"/>
    <x v="11"/>
    <n v="14"/>
    <s v="KNF ABSOLUTE HYPO FOAMY YREVITALIZE 150ML X 36 BTL"/>
    <n v="50"/>
    <s v="KNF"/>
    <s v="K1"/>
    <s v="ABSOLUTE HYPO"/>
    <s v="02"/>
    <s v="FOAMY"/>
    <n v="1"/>
    <m/>
    <n v="0"/>
    <s v="YREVITALIZE"/>
    <s v="02"/>
    <s v="150ML"/>
    <s v="0150"/>
    <s v="BTL"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s v="150ML"/>
    <m/>
    <m/>
    <s v="KRT"/>
    <s v="GD01"/>
    <n v="11611"/>
    <n v="11612"/>
    <m/>
    <n v="1"/>
  </r>
  <r>
    <s v="K10300010000101"/>
    <n v="1"/>
    <m/>
    <x v="12"/>
    <m/>
    <s v="ABSTRACT EYELASH F0I VIBRANT BOX -1712"/>
    <x v="1"/>
    <m/>
    <x v="1"/>
    <s v="ABSTRACT EYELASH"/>
    <s v="K1030"/>
    <x v="12"/>
    <n v="14"/>
    <s v="KNF ABSTRACT EYELASH F01 VIBRANT X 100 BOX"/>
    <n v="42"/>
    <s v="KNF"/>
    <s v="K1"/>
    <s v="ABSTRACT EYELASH"/>
    <s v="03"/>
    <m/>
    <n v="0"/>
    <m/>
    <n v="0"/>
    <s v="F01 VIBRANT"/>
    <s v="01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20000101"/>
    <n v="1"/>
    <m/>
    <x v="13"/>
    <m/>
    <s v="ABSTRACT EYELASH F02 EXOTIC BOX -1712"/>
    <x v="1"/>
    <m/>
    <x v="1"/>
    <s v="ABSTRACT EYELASH"/>
    <s v="K1030"/>
    <x v="13"/>
    <n v="14"/>
    <s v="KNF ABSTRACT EYELASH F02 EXOTIC X 100 BOX"/>
    <n v="41"/>
    <s v="KNF"/>
    <s v="K1"/>
    <s v="ABSTRACT EYELASH"/>
    <s v="03"/>
    <m/>
    <n v="0"/>
    <m/>
    <n v="0"/>
    <s v="F02 EXOTIC"/>
    <s v="02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30000101"/>
    <n v="1"/>
    <m/>
    <x v="14"/>
    <m/>
    <s v="ABSTRACT EYELASH F03 PREPPY BOX -1712"/>
    <x v="1"/>
    <m/>
    <x v="1"/>
    <s v="ABSTRACT EYELASH"/>
    <s v="K1030"/>
    <x v="14"/>
    <n v="14"/>
    <s v="KNF ABSTRACT EYELASH F03 PREPPY X 100 BOX"/>
    <n v="41"/>
    <s v="KNF"/>
    <s v="K1"/>
    <s v="ABSTRACT EYELASH"/>
    <s v="03"/>
    <m/>
    <n v="0"/>
    <m/>
    <n v="0"/>
    <s v="F03 PREPPY"/>
    <s v="03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40000101"/>
    <n v="1"/>
    <m/>
    <x v="15"/>
    <m/>
    <s v="ABSTRACT EYELASH F04 ELEGANT BOX -1712"/>
    <x v="1"/>
    <m/>
    <x v="1"/>
    <s v="ABSTRACT EYELASH"/>
    <s v="K1030"/>
    <x v="15"/>
    <n v="14"/>
    <s v="KNF ABSTRACT EYELASH F04 ELEGANT X 100 BOX"/>
    <n v="42"/>
    <s v="KNF"/>
    <s v="K1"/>
    <s v="ABSTRACT EYELASH"/>
    <s v="03"/>
    <m/>
    <n v="0"/>
    <m/>
    <n v="0"/>
    <s v="F04 ELEGANT"/>
    <s v="04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50000101"/>
    <n v="1"/>
    <m/>
    <x v="16"/>
    <m/>
    <s v="ABSTRACT EYELASH F05 BOHEMIAN BOX -1712"/>
    <x v="1"/>
    <m/>
    <x v="1"/>
    <s v="ABSTRACT EYELASH"/>
    <s v="K1030"/>
    <x v="16"/>
    <n v="14"/>
    <s v="KNF ABSTRACT EYELASH F05 BOHEMIAN X 100 BOX"/>
    <n v="43"/>
    <s v="KNF"/>
    <s v="K1"/>
    <s v="ABSTRACT EYELASH"/>
    <s v="03"/>
    <m/>
    <n v="0"/>
    <m/>
    <n v="0"/>
    <s v="F05 BOHEMIAN"/>
    <s v="05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60000101"/>
    <n v="1"/>
    <m/>
    <x v="17"/>
    <m/>
    <s v="ABSTRACT EYELASH F06 CASUAL BOX -1712"/>
    <x v="1"/>
    <m/>
    <x v="1"/>
    <s v="ABSTRACT EYELASH"/>
    <s v="K1030"/>
    <x v="17"/>
    <n v="14"/>
    <s v="KNF ABSTRACT EYELASH F06 CASUAL X 100 BOX"/>
    <n v="41"/>
    <s v="KNF"/>
    <s v="K1"/>
    <s v="ABSTRACT EYELASH"/>
    <s v="03"/>
    <m/>
    <n v="0"/>
    <m/>
    <n v="0"/>
    <s v="F06 CASUAL"/>
    <s v="06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70000101"/>
    <n v="1"/>
    <m/>
    <x v="18"/>
    <m/>
    <s v="ABSTRACT EYELASH F07 EDGY BOX -1712"/>
    <x v="1"/>
    <m/>
    <x v="1"/>
    <s v="ABSTRACT EYELASH"/>
    <s v="K1030"/>
    <x v="18"/>
    <n v="14"/>
    <s v="KNF ABSTRACT EYELASH F07 EDGY X 100 BOX"/>
    <n v="39"/>
    <s v="KNF"/>
    <s v="K1"/>
    <s v="ABSTRACT EYELASH"/>
    <s v="03"/>
    <m/>
    <n v="0"/>
    <m/>
    <n v="0"/>
    <s v="F07 EDGY"/>
    <s v="07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80000101"/>
    <n v="1"/>
    <m/>
    <x v="19"/>
    <m/>
    <s v="ABSTRACT EYELASH N01 ZINNIA BOX -1712"/>
    <x v="1"/>
    <m/>
    <x v="1"/>
    <s v="ABSTRACT EYELASH"/>
    <s v="K1030"/>
    <x v="19"/>
    <n v="14"/>
    <s v="KNF ABSTRACT EYELASH N01 ZINNIA X 100 BOX"/>
    <n v="41"/>
    <s v="KNF"/>
    <s v="K1"/>
    <s v="ABSTRACT EYELASH"/>
    <s v="03"/>
    <m/>
    <n v="0"/>
    <m/>
    <n v="0"/>
    <s v="N01 ZINNIA"/>
    <s v="08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090000101"/>
    <n v="1"/>
    <m/>
    <x v="20"/>
    <m/>
    <s v="ABSTRACT EYELASH N02 FENNEL BOX -1712"/>
    <x v="1"/>
    <m/>
    <x v="1"/>
    <s v="ABSTRACT EYELASH"/>
    <s v="K1030"/>
    <x v="20"/>
    <n v="14"/>
    <s v="KNF ABSTRACT EYELASH N02 FENNEL X 100 BOX"/>
    <n v="41"/>
    <s v="KNF"/>
    <s v="K1"/>
    <s v="ABSTRACT EYELASH"/>
    <s v="03"/>
    <m/>
    <n v="0"/>
    <m/>
    <n v="0"/>
    <s v="N02 FENNEL"/>
    <s v="09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00000101"/>
    <n v="1"/>
    <m/>
    <x v="21"/>
    <m/>
    <s v="ABSTRACT EYELASH N03 ANEMONE BOX -1712"/>
    <x v="1"/>
    <m/>
    <x v="1"/>
    <s v="ABSTRACT EYELASH"/>
    <s v="K1030"/>
    <x v="21"/>
    <n v="14"/>
    <s v="KNF ABSTRACT EYELASH N03 ANEMONE X 100 BOX"/>
    <n v="42"/>
    <s v="KNF"/>
    <s v="K1"/>
    <s v="ABSTRACT EYELASH"/>
    <s v="03"/>
    <m/>
    <n v="0"/>
    <m/>
    <n v="0"/>
    <s v="N03 ANEMONE"/>
    <n v="10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10000101"/>
    <n v="1"/>
    <m/>
    <x v="22"/>
    <m/>
    <s v="ABSTRACT EYELASH N04 IRIS BOX -1712"/>
    <x v="1"/>
    <m/>
    <x v="1"/>
    <s v="ABSTRACT EYELASH"/>
    <s v="K1030"/>
    <x v="22"/>
    <n v="14"/>
    <s v="KNF ABSTRACT EYELASH N04 IRIS X 100 BOX"/>
    <n v="39"/>
    <s v="KNF"/>
    <s v="K1"/>
    <s v="ABSTRACT EYELASH"/>
    <s v="03"/>
    <m/>
    <n v="0"/>
    <m/>
    <n v="0"/>
    <s v="N04 IRIS"/>
    <n v="11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20000101"/>
    <n v="1"/>
    <m/>
    <x v="23"/>
    <m/>
    <s v="ABSTRACT EYELASH N05 ASTER BOX -1712"/>
    <x v="1"/>
    <m/>
    <x v="1"/>
    <s v="ABSTRACT EYELASH"/>
    <s v="K1030"/>
    <x v="23"/>
    <n v="14"/>
    <s v="KNF ABSTRACT EYELASH N05 ASTER X 100 BOX"/>
    <n v="40"/>
    <s v="KNF"/>
    <s v="K1"/>
    <s v="ABSTRACT EYELASH"/>
    <s v="03"/>
    <m/>
    <n v="0"/>
    <m/>
    <n v="0"/>
    <s v="N05 ASTER"/>
    <n v="12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30000101"/>
    <n v="1"/>
    <m/>
    <x v="24"/>
    <m/>
    <s v="ABSTRACT EYELASH N06 SNOWDROP BOX -1712"/>
    <x v="1"/>
    <m/>
    <x v="1"/>
    <s v="ABSTRACT EYELASH"/>
    <s v="K1030"/>
    <x v="24"/>
    <n v="14"/>
    <s v="KNF ABSTRACT EYELASH N06 SNOWDROP X 100 BOX"/>
    <n v="43"/>
    <s v="KNF"/>
    <s v="K1"/>
    <s v="ABSTRACT EYELASH"/>
    <s v="03"/>
    <m/>
    <n v="0"/>
    <m/>
    <n v="0"/>
    <s v="N06 SNOWDROP"/>
    <n v="13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40000101"/>
    <n v="1"/>
    <m/>
    <x v="25"/>
    <m/>
    <s v="ABSTRACT EYELASH N07 AZALEA BOX -1712"/>
    <x v="1"/>
    <m/>
    <x v="1"/>
    <s v="ABSTRACT EYELASH"/>
    <s v="K1030"/>
    <x v="25"/>
    <n v="14"/>
    <s v="KNF ABSTRACT EYELASH N07 AZALEA X 100 BOX"/>
    <n v="41"/>
    <s v="KNF"/>
    <s v="K1"/>
    <s v="ABSTRACT EYELASH"/>
    <s v="03"/>
    <m/>
    <n v="0"/>
    <m/>
    <n v="0"/>
    <s v="N07 AZALEA"/>
    <n v="14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50000101"/>
    <n v="1"/>
    <m/>
    <x v="26"/>
    <m/>
    <s v="ABSTRACT EYELASH N08 CALLA BOX -1712"/>
    <x v="1"/>
    <m/>
    <x v="1"/>
    <s v="ABSTRACT EYELASH"/>
    <s v="K1030"/>
    <x v="26"/>
    <n v="14"/>
    <s v="KNF ABSTRACT EYELASH N08 CALLA X 100 BOX"/>
    <n v="40"/>
    <s v="KNF"/>
    <s v="K1"/>
    <s v="ABSTRACT EYELASH"/>
    <s v="03"/>
    <m/>
    <n v="0"/>
    <m/>
    <n v="0"/>
    <s v="N08 CALLA"/>
    <n v="15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60000101"/>
    <n v="1"/>
    <m/>
    <x v="27"/>
    <m/>
    <s v="ABSTRACT EYELASH N09 MALVA BOX -1712"/>
    <x v="1"/>
    <m/>
    <x v="1"/>
    <s v="ABSTRACT EYELASH"/>
    <s v="K1030"/>
    <x v="27"/>
    <n v="14"/>
    <s v="KNF ABSTRACT EYELASH N09 MALVA X 100 BOX"/>
    <n v="40"/>
    <s v="KNF"/>
    <s v="K1"/>
    <s v="ABSTRACT EYELASH"/>
    <s v="03"/>
    <m/>
    <n v="0"/>
    <m/>
    <n v="0"/>
    <s v="N09 MALVA"/>
    <n v="16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70000101"/>
    <n v="1"/>
    <m/>
    <x v="28"/>
    <m/>
    <s v="ABSTRACT EYELASH N10 FREESIA BOX -1712"/>
    <x v="1"/>
    <m/>
    <x v="1"/>
    <s v="ABSTRACT EYELASH"/>
    <s v="K1030"/>
    <x v="28"/>
    <n v="14"/>
    <s v="KNF ABSTRACT EYELASH N10 FREESIA X 100 BOX"/>
    <n v="42"/>
    <s v="KNF"/>
    <s v="K1"/>
    <s v="ABSTRACT EYELASH"/>
    <s v="03"/>
    <m/>
    <n v="0"/>
    <m/>
    <n v="0"/>
    <s v="N10 FREESIA"/>
    <n v="17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80000101"/>
    <n v="1"/>
    <m/>
    <x v="29"/>
    <m/>
    <s v="ABSTRACT EYELASH P0I RADIANT GLOW -1712"/>
    <x v="1"/>
    <m/>
    <x v="1"/>
    <s v="ABSTRACT EYELASH"/>
    <s v="K1030"/>
    <x v="29"/>
    <n v="14"/>
    <s v="KNF ABSTRACT EYELASH P01 RADIANT X 100 BOX"/>
    <n v="42"/>
    <s v="KNF"/>
    <s v="K1"/>
    <s v="ABSTRACT EYELASH"/>
    <s v="03"/>
    <m/>
    <n v="0"/>
    <m/>
    <n v="0"/>
    <s v="P01 RADIANT"/>
    <n v="18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190000101"/>
    <n v="1"/>
    <m/>
    <x v="30"/>
    <m/>
    <s v="ABSTRACT EYELASH P02 ELECTRIC FEEL-1712"/>
    <x v="1"/>
    <m/>
    <x v="1"/>
    <s v="ABSTRACT EYELASH"/>
    <s v="K1030"/>
    <x v="30"/>
    <n v="14"/>
    <s v="KNF ABSTRACT EYELASH P02 ELECTRI X 100 BOX"/>
    <n v="42"/>
    <s v="KNF"/>
    <s v="K1"/>
    <s v="ABSTRACT EYELASH"/>
    <s v="03"/>
    <m/>
    <n v="0"/>
    <m/>
    <n v="0"/>
    <s v="P02 ELECTRI"/>
    <n v="19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200000101"/>
    <n v="1"/>
    <m/>
    <x v="31"/>
    <m/>
    <s v="ABSTRACT EYELASH P03 RMNTC GLAM BOX-1906"/>
    <x v="1"/>
    <m/>
    <x v="1"/>
    <s v="ABSTRACT EYELASH"/>
    <s v="K1030"/>
    <x v="31"/>
    <n v="14"/>
    <s v="KNF ABSTRACT EYELASH P03 RMNTC X 100 BOX"/>
    <n v="40"/>
    <s v="KNF"/>
    <s v="K1"/>
    <s v="ABSTRACT EYELASH"/>
    <s v="03"/>
    <m/>
    <n v="0"/>
    <m/>
    <n v="0"/>
    <s v="P03 RMNTC"/>
    <n v="20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210000101"/>
    <n v="1"/>
    <m/>
    <x v="32"/>
    <m/>
    <s v="ABSTRACT EYELASH P04 SMOKY MOOD BOX-1906"/>
    <x v="1"/>
    <m/>
    <x v="1"/>
    <s v="ABSTRACT EYELASH"/>
    <s v="K1030"/>
    <x v="32"/>
    <n v="14"/>
    <s v="KNF ABSTRACT EYELASH P04 SMOKY X 100 BOX"/>
    <n v="40"/>
    <s v="KNF"/>
    <s v="K1"/>
    <s v="ABSTRACT EYELASH"/>
    <s v="03"/>
    <m/>
    <n v="0"/>
    <m/>
    <n v="0"/>
    <s v="P04 SMOKY"/>
    <n v="21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220000101"/>
    <n v="1"/>
    <m/>
    <x v="33"/>
    <m/>
    <s v="ABSTRACT EYELASH U02 PEONY BOX-1906"/>
    <x v="1"/>
    <m/>
    <x v="1"/>
    <s v="ABSTRACT EYELASH"/>
    <s v="K1030"/>
    <x v="33"/>
    <n v="14"/>
    <s v="KNF ABSTRACT EYELASH U02 PEONY X 100 BOX"/>
    <n v="40"/>
    <s v="KNF"/>
    <s v="K1"/>
    <s v="ABSTRACT EYELASH"/>
    <s v="03"/>
    <m/>
    <n v="0"/>
    <m/>
    <n v="0"/>
    <s v="U02 PEONY"/>
    <n v="22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300230000101"/>
    <n v="1"/>
    <m/>
    <x v="34"/>
    <m/>
    <s v="ABSTRACT EYELASH U03 DAISY BOX-1906"/>
    <x v="1"/>
    <m/>
    <x v="1"/>
    <s v="ABSTRACT EYELASH"/>
    <s v="K1030"/>
    <x v="34"/>
    <n v="14"/>
    <s v="KNF ABSTRACT EYELASH U03 DAISY X 100 BOX"/>
    <n v="40"/>
    <s v="KNF"/>
    <s v="K1"/>
    <s v="ABSTRACT EYELASH"/>
    <s v="03"/>
    <m/>
    <n v="0"/>
    <m/>
    <n v="0"/>
    <s v="U03 DAISY"/>
    <n v="23"/>
    <m/>
    <s v="0000"/>
    <s v="BOX"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0410010250101"/>
    <n v="1"/>
    <m/>
    <x v="35"/>
    <m/>
    <s v="B&amp;B HBW RIKO 250ML BTL"/>
    <x v="2"/>
    <m/>
    <x v="2"/>
    <s v="B&amp;B HAIR BODY WASH"/>
    <s v="K1041"/>
    <x v="35"/>
    <n v="14"/>
    <s v="KNF B&amp;B HAIR BODY WASH RIKO X 24"/>
    <n v="32"/>
    <s v="KNF"/>
    <s v="K1"/>
    <s v="B&amp;B"/>
    <s v="04"/>
    <s v="HAIR BODY WASH"/>
    <n v="1"/>
    <m/>
    <n v="0"/>
    <s v="RIKO"/>
    <s v="01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0410010280101"/>
    <n v="1"/>
    <m/>
    <x v="36"/>
    <m/>
    <s v="B&amp;B HBW SMOOTH PINKIE 280ML BTL-1907"/>
    <x v="2"/>
    <m/>
    <x v="2"/>
    <s v="B&amp;B HAIR BODY WASH"/>
    <s v="K1041"/>
    <x v="36"/>
    <n v="14"/>
    <s v="KNF B&amp;B HAIR BODY WASH SMOOTH PINKIE X 24"/>
    <n v="41"/>
    <s v="KNF"/>
    <s v="K1"/>
    <s v="B&amp;B"/>
    <s v="04"/>
    <s v="HAIR BODY WASH"/>
    <n v="1"/>
    <m/>
    <n v="0"/>
    <s v="SMOOTH PINKIE"/>
    <s v="01"/>
    <m/>
    <s v="028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80"/>
    <n v="0"/>
    <m/>
    <m/>
    <s v="KRT"/>
    <s v="GD01"/>
    <n v="11611"/>
    <n v="11612"/>
    <m/>
    <n v="1"/>
  </r>
  <r>
    <s v="K10410020280201"/>
    <n v="1"/>
    <m/>
    <x v="37"/>
    <m/>
    <s v="B&amp;B HBW CLEAN RAINBOW 280ML BTL-1907"/>
    <x v="2"/>
    <m/>
    <x v="2"/>
    <s v="B&amp;B HAIR BODY WASH"/>
    <s v="K1041"/>
    <x v="37"/>
    <n v="14"/>
    <s v="KNF B&amp;B HAIR BODY WASH CLEAN RAINBOW X 24"/>
    <n v="41"/>
    <s v="KNF"/>
    <s v="K1"/>
    <s v="B&amp;B"/>
    <s v="04"/>
    <s v="HAIR BODY WASH"/>
    <n v="1"/>
    <m/>
    <n v="0"/>
    <s v="CLEAN RAINBOW"/>
    <s v="02"/>
    <m/>
    <s v="028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80"/>
    <n v="0"/>
    <m/>
    <m/>
    <s v="KRT"/>
    <s v="GD01"/>
    <n v="11611"/>
    <n v="11612"/>
    <m/>
    <n v="1"/>
  </r>
  <r>
    <s v="K10420010100101"/>
    <n v="1"/>
    <m/>
    <x v="38"/>
    <m/>
    <s v="B&amp;B HAIR LOTION THICK&amp;SHINE 100ML -1601"/>
    <x v="2"/>
    <m/>
    <x v="2"/>
    <s v="B&amp;B HAIR LOTION"/>
    <s v="K1042"/>
    <x v="38"/>
    <n v="14"/>
    <s v="KNF B&amp;B HAIR LOTION THICK&amp;SHINE X 24"/>
    <n v="36"/>
    <s v="KNF"/>
    <s v="K1"/>
    <s v="B&amp;B"/>
    <s v="04"/>
    <s v="HAIR LOTION"/>
    <n v="2"/>
    <m/>
    <n v="0"/>
    <s v="THICK&amp;SHINE"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430010100101"/>
    <n v="1"/>
    <m/>
    <x v="39"/>
    <m/>
    <s v="B&amp;B HAIR VIT NATURAL SILKY 100ML -1601"/>
    <x v="2"/>
    <m/>
    <x v="2"/>
    <s v="B&amp;B"/>
    <s v="K1043"/>
    <x v="39"/>
    <n v="14"/>
    <s v="KNF B&amp;B X 24"/>
    <n v="12"/>
    <s v="KNF"/>
    <s v="K1"/>
    <s v="B&amp;B"/>
    <s v="04"/>
    <m/>
    <n v="3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440010250101"/>
    <n v="1"/>
    <m/>
    <x v="40"/>
    <m/>
    <s v="D B&amp;B LIQ SOAP PARTY BARBIE 250ML BTL-1909"/>
    <x v="0"/>
    <m/>
    <x v="2"/>
    <s v="B&amp;B"/>
    <s v="K1044"/>
    <x v="40"/>
    <n v="14"/>
    <s v="KNF B&amp;B X 36"/>
    <n v="12"/>
    <s v="KNF"/>
    <s v="K1"/>
    <s v="B&amp;B"/>
    <s v="04"/>
    <m/>
    <n v="4"/>
    <m/>
    <n v="0"/>
    <m/>
    <s v="01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0450010060101"/>
    <n v="1"/>
    <m/>
    <x v="41"/>
    <m/>
    <s v="B&amp;B PWD BLOSSOM 60G BTL-1310"/>
    <x v="0"/>
    <m/>
    <x v="2"/>
    <s v="B&amp;B"/>
    <s v="K1045"/>
    <x v="41"/>
    <n v="14"/>
    <s v="KNF B&amp;B X 36"/>
    <n v="12"/>
    <s v="KNF"/>
    <s v="K1"/>
    <s v="B&amp;B"/>
    <s v="04"/>
    <m/>
    <n v="5"/>
    <m/>
    <n v="0"/>
    <m/>
    <s v="01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50010150201"/>
    <n v="1"/>
    <m/>
    <x v="42"/>
    <m/>
    <s v="B&amp;B PWD BLOSSOM 150G BTL -2"/>
    <x v="0"/>
    <m/>
    <x v="2"/>
    <s v="B&amp;B"/>
    <s v="K1045"/>
    <x v="42"/>
    <n v="14"/>
    <s v="KNF B&amp;B X 36"/>
    <n v="12"/>
    <s v="KNF"/>
    <s v="K1"/>
    <s v="B&amp;B"/>
    <s v="04"/>
    <m/>
    <n v="5"/>
    <m/>
    <n v="0"/>
    <m/>
    <s v="01"/>
    <m/>
    <s v="01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0450020060101"/>
    <n v="1"/>
    <m/>
    <x v="43"/>
    <m/>
    <s v="B&amp;B PWD BUBBLES 60G BTL-1310"/>
    <x v="0"/>
    <m/>
    <x v="2"/>
    <s v="B&amp;B"/>
    <s v="K1045"/>
    <x v="43"/>
    <n v="14"/>
    <s v="KNF B&amp;B X 36"/>
    <n v="12"/>
    <s v="KNF"/>
    <s v="K1"/>
    <s v="B&amp;B"/>
    <s v="04"/>
    <m/>
    <n v="5"/>
    <m/>
    <n v="0"/>
    <m/>
    <s v="02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50020150101"/>
    <n v="1"/>
    <m/>
    <x v="44"/>
    <m/>
    <s v="B&amp;B PWD BUBBLES 150G BTL-1310"/>
    <x v="0"/>
    <m/>
    <x v="2"/>
    <s v="B&amp;B"/>
    <s v="K1045"/>
    <x v="44"/>
    <n v="14"/>
    <s v="KNF B&amp;B X 36"/>
    <n v="12"/>
    <s v="KNF"/>
    <s v="K1"/>
    <s v="B&amp;B"/>
    <s v="04"/>
    <m/>
    <n v="5"/>
    <m/>
    <n v="0"/>
    <m/>
    <s v="02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0450030060101"/>
    <n v="1"/>
    <m/>
    <x v="45"/>
    <m/>
    <s v="B&amp;B PWD BUTTERCUP 60G BTL-1310"/>
    <x v="0"/>
    <m/>
    <x v="2"/>
    <s v="B&amp;B"/>
    <s v="K1045"/>
    <x v="45"/>
    <n v="14"/>
    <s v="KNF B&amp;B X 36"/>
    <n v="12"/>
    <s v="KNF"/>
    <s v="K1"/>
    <s v="B&amp;B"/>
    <s v="04"/>
    <m/>
    <n v="5"/>
    <m/>
    <n v="0"/>
    <m/>
    <s v="03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50030150101"/>
    <n v="1"/>
    <m/>
    <x v="46"/>
    <m/>
    <s v="B&amp;B PWD BUTTERCUP 150G BTL-1310"/>
    <x v="0"/>
    <m/>
    <x v="2"/>
    <s v="B&amp;B"/>
    <s v="K1045"/>
    <x v="46"/>
    <n v="14"/>
    <s v="KNF B&amp;B X 36"/>
    <n v="12"/>
    <s v="KNF"/>
    <s v="K1"/>
    <s v="B&amp;B"/>
    <s v="04"/>
    <m/>
    <n v="5"/>
    <m/>
    <n v="0"/>
    <m/>
    <s v="03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0450040150101"/>
    <n v="1"/>
    <m/>
    <x v="47"/>
    <m/>
    <s v="B&amp;B PWD BARBIE 150G BTL -1509"/>
    <x v="0"/>
    <m/>
    <x v="2"/>
    <s v="B&amp;B"/>
    <s v="K1045"/>
    <x v="47"/>
    <n v="14"/>
    <s v="KNF B&amp;B X 36"/>
    <n v="12"/>
    <s v="KNF"/>
    <s v="K1"/>
    <s v="B&amp;B"/>
    <s v="04"/>
    <m/>
    <n v="5"/>
    <m/>
    <n v="0"/>
    <m/>
    <s v="04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0450050150101"/>
    <n v="1"/>
    <m/>
    <x v="48"/>
    <m/>
    <s v="B&amp;B PWD MLP NATURAL MILD 150G BTL -1703"/>
    <x v="0"/>
    <m/>
    <x v="2"/>
    <s v="B&amp;B"/>
    <s v="K1045"/>
    <x v="48"/>
    <n v="14"/>
    <s v="KNF B&amp;B X 36"/>
    <n v="12"/>
    <s v="KNF"/>
    <s v="K1"/>
    <s v="B&amp;B"/>
    <s v="04"/>
    <m/>
    <n v="5"/>
    <m/>
    <n v="0"/>
    <m/>
    <s v="05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0460050010101"/>
    <n v="1"/>
    <m/>
    <x v="49"/>
    <m/>
    <s v="B&amp;B SHM BARBIE 10ML SCH -1905"/>
    <x v="3"/>
    <m/>
    <x v="2"/>
    <s v="B&amp;B"/>
    <s v="K1046"/>
    <x v="49"/>
    <n v="14"/>
    <s v="KNF B&amp;B X 120"/>
    <n v="13"/>
    <s v="KNF"/>
    <s v="K1"/>
    <s v="B&amp;B"/>
    <s v="04"/>
    <m/>
    <n v="6"/>
    <m/>
    <n v="0"/>
    <m/>
    <s v="05"/>
    <m/>
    <s v="00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0460050010102"/>
    <n v="2"/>
    <m/>
    <x v="50"/>
    <m/>
    <s v="B&amp;B SHM BARBIE 10ML SCH PACK-1907"/>
    <x v="2"/>
    <m/>
    <x v="2"/>
    <s v="B&amp;B"/>
    <s v="K1046"/>
    <x v="49"/>
    <n v="14"/>
    <s v="KNF B&amp;B X 24"/>
    <n v="12"/>
    <s v="KNF"/>
    <s v="K1"/>
    <s v="B&amp;B"/>
    <s v="04"/>
    <m/>
    <n v="6"/>
    <m/>
    <n v="0"/>
    <m/>
    <s v="05"/>
    <m/>
    <s v="00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0460060010201"/>
    <n v="1"/>
    <m/>
    <x v="51"/>
    <m/>
    <s v="B&amp;B SHM PINKIE PIE 10ML SCH -1905"/>
    <x v="3"/>
    <m/>
    <x v="2"/>
    <s v="B&amp;B"/>
    <s v="K1046"/>
    <x v="50"/>
    <n v="14"/>
    <s v="KNF B&amp;B X 120"/>
    <n v="13"/>
    <s v="KNF"/>
    <s v="K1"/>
    <s v="B&amp;B"/>
    <s v="04"/>
    <m/>
    <n v="6"/>
    <m/>
    <n v="0"/>
    <m/>
    <s v="06"/>
    <m/>
    <s v="00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0460060010202"/>
    <n v="2"/>
    <m/>
    <x v="52"/>
    <m/>
    <s v="B&amp;B SHM PINKIE PIE 10ML SCH PACK-1907"/>
    <x v="2"/>
    <m/>
    <x v="2"/>
    <s v="B&amp;B"/>
    <s v="K1046"/>
    <x v="50"/>
    <n v="14"/>
    <s v="KNF B&amp;B X 24"/>
    <n v="12"/>
    <s v="KNF"/>
    <s v="K1"/>
    <s v="B&amp;B"/>
    <s v="04"/>
    <m/>
    <n v="6"/>
    <m/>
    <n v="0"/>
    <m/>
    <s v="06"/>
    <m/>
    <s v="00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0460070010201"/>
    <n v="1"/>
    <m/>
    <x v="53"/>
    <m/>
    <s v="B&amp;B SHM JUSTICE LEAGUE 10ML SCH -1905"/>
    <x v="3"/>
    <m/>
    <x v="2"/>
    <s v="B&amp;B"/>
    <s v="K1046"/>
    <x v="51"/>
    <n v="14"/>
    <s v="KNF B&amp;B X 120"/>
    <n v="13"/>
    <s v="KNF"/>
    <s v="K1"/>
    <s v="B&amp;B"/>
    <s v="04"/>
    <m/>
    <n v="6"/>
    <m/>
    <n v="0"/>
    <m/>
    <s v="07"/>
    <m/>
    <s v="00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0460070010202"/>
    <n v="2"/>
    <m/>
    <x v="54"/>
    <m/>
    <s v="B&amp;B SHM JUSTICE LEAGUE 10ML SCH PAC-1907"/>
    <x v="2"/>
    <m/>
    <x v="2"/>
    <s v="B&amp;B"/>
    <s v="K1046"/>
    <x v="51"/>
    <n v="14"/>
    <s v="KNF B&amp;B X 24"/>
    <n v="12"/>
    <s v="KNF"/>
    <s v="K1"/>
    <s v="B&amp;B"/>
    <s v="04"/>
    <m/>
    <n v="6"/>
    <m/>
    <n v="0"/>
    <m/>
    <s v="07"/>
    <m/>
    <s v="00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0470010060201"/>
    <n v="1"/>
    <m/>
    <x v="55"/>
    <m/>
    <s v="B&amp;B SPR COL STRAWBERRY 60ML BTL-1310"/>
    <x v="0"/>
    <m/>
    <x v="2"/>
    <s v="B&amp;B"/>
    <s v="K1047"/>
    <x v="52"/>
    <n v="14"/>
    <s v="KNF B&amp;B X 36"/>
    <n v="12"/>
    <s v="KNF"/>
    <s v="K1"/>
    <s v="B&amp;B"/>
    <s v="04"/>
    <m/>
    <n v="7"/>
    <m/>
    <n v="0"/>
    <m/>
    <s v="01"/>
    <m/>
    <s v="006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10060202"/>
    <n v="2"/>
    <m/>
    <x v="56"/>
    <m/>
    <s v="B&amp;B SPR COL BLOSSOM 60ML BTL - 2108"/>
    <x v="0"/>
    <m/>
    <x v="2"/>
    <s v="B&amp;B"/>
    <s v="K1047"/>
    <x v="52"/>
    <n v="14"/>
    <s v="KNF B&amp;B X 36"/>
    <n v="12"/>
    <s v="KNF"/>
    <s v="K1"/>
    <s v="B&amp;B"/>
    <s v="04"/>
    <m/>
    <n v="7"/>
    <m/>
    <n v="0"/>
    <m/>
    <s v="01"/>
    <m/>
    <s v="006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10125201"/>
    <n v="1"/>
    <m/>
    <x v="57"/>
    <m/>
    <s v="B&amp;B SPR COL STRAWBERRY 100ML BTL-1310"/>
    <x v="0"/>
    <m/>
    <x v="2"/>
    <s v="B&amp;B"/>
    <s v="K1047"/>
    <x v="53"/>
    <n v="14"/>
    <s v="KNF B&amp;B X 36"/>
    <n v="12"/>
    <s v="KNF"/>
    <s v="K1"/>
    <s v="B&amp;B"/>
    <s v="04"/>
    <m/>
    <n v="7"/>
    <m/>
    <n v="0"/>
    <m/>
    <s v="01"/>
    <m/>
    <s v="012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10125102"/>
    <n v="2"/>
    <m/>
    <x v="58"/>
    <m/>
    <s v="B&amp;B SPR COL BLOSSOM 125ML BTL - 2106"/>
    <x v="0"/>
    <m/>
    <x v="2"/>
    <s v="B&amp;B"/>
    <s v="K1047"/>
    <x v="54"/>
    <n v="14"/>
    <s v="KNF B&amp;B X 36"/>
    <n v="12"/>
    <s v="KNF"/>
    <s v="K1"/>
    <s v="B&amp;B"/>
    <s v="04"/>
    <m/>
    <n v="7"/>
    <m/>
    <n v="0"/>
    <m/>
    <s v="0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20060101"/>
    <n v="1"/>
    <m/>
    <x v="59"/>
    <m/>
    <s v="B&amp;B SPR COL TUTTI FRUITY 60ML BTL-1310"/>
    <x v="0"/>
    <m/>
    <x v="2"/>
    <s v="B&amp;B"/>
    <s v="K1047"/>
    <x v="55"/>
    <n v="14"/>
    <s v="KNF B&amp;B X 36"/>
    <n v="12"/>
    <s v="KNF"/>
    <s v="K1"/>
    <s v="B&amp;B"/>
    <s v="04"/>
    <m/>
    <n v="7"/>
    <m/>
    <n v="0"/>
    <m/>
    <s v="02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20060102"/>
    <n v="2"/>
    <m/>
    <x v="60"/>
    <m/>
    <s v="B&amp;B SPR COL BUBBLES 60ML BTL - 2108"/>
    <x v="0"/>
    <m/>
    <x v="2"/>
    <s v="B&amp;B"/>
    <s v="K1047"/>
    <x v="55"/>
    <n v="14"/>
    <s v="KNF B&amp;B X 36"/>
    <n v="12"/>
    <s v="KNF"/>
    <s v="K1"/>
    <s v="B&amp;B"/>
    <s v="04"/>
    <m/>
    <n v="7"/>
    <m/>
    <n v="0"/>
    <m/>
    <s v="02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20125201"/>
    <n v="1"/>
    <m/>
    <x v="61"/>
    <m/>
    <s v="B&amp;B SPR COL TUTTI FRUITY 100ML BTL-1310"/>
    <x v="0"/>
    <m/>
    <x v="2"/>
    <s v="B&amp;B"/>
    <s v="K1047"/>
    <x v="56"/>
    <n v="14"/>
    <s v="KNF B&amp;B X 36"/>
    <n v="12"/>
    <s v="KNF"/>
    <s v="K1"/>
    <s v="B&amp;B"/>
    <s v="04"/>
    <m/>
    <n v="7"/>
    <m/>
    <n v="0"/>
    <m/>
    <s v="02"/>
    <m/>
    <s v="012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20125202"/>
    <n v="2"/>
    <m/>
    <x v="62"/>
    <m/>
    <s v="B&amp;B SPR COL BUBBLES 125ML BTL - 2110"/>
    <x v="0"/>
    <m/>
    <x v="2"/>
    <s v="B&amp;B"/>
    <s v="K1047"/>
    <x v="56"/>
    <n v="14"/>
    <s v="KNF B&amp;B X 36"/>
    <n v="12"/>
    <s v="KNF"/>
    <s v="K1"/>
    <s v="B&amp;B"/>
    <s v="04"/>
    <m/>
    <n v="7"/>
    <m/>
    <n v="0"/>
    <m/>
    <s v="02"/>
    <m/>
    <s v="012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30060201"/>
    <n v="1"/>
    <m/>
    <x v="63"/>
    <m/>
    <s v="B&amp;B SPR COL KIWI MELON 60ML BTL-1310"/>
    <x v="0"/>
    <m/>
    <x v="2"/>
    <s v="B&amp;B"/>
    <s v="K1047"/>
    <x v="57"/>
    <n v="14"/>
    <s v="KNF B&amp;B X 36"/>
    <n v="12"/>
    <s v="KNF"/>
    <s v="K1"/>
    <s v="B&amp;B"/>
    <s v="04"/>
    <m/>
    <n v="7"/>
    <m/>
    <n v="0"/>
    <m/>
    <s v="03"/>
    <m/>
    <s v="006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30060102"/>
    <n v="2"/>
    <m/>
    <x v="64"/>
    <m/>
    <s v="B&amp;B SPR COL BUTTERCUP 60ML BTL - 2107"/>
    <x v="0"/>
    <m/>
    <x v="2"/>
    <s v="B&amp;B"/>
    <s v="K1047"/>
    <x v="58"/>
    <n v="14"/>
    <s v="KNF B&amp;B X 36"/>
    <n v="12"/>
    <s v="KNF"/>
    <s v="K1"/>
    <s v="B&amp;B"/>
    <s v="04"/>
    <m/>
    <n v="7"/>
    <m/>
    <n v="0"/>
    <m/>
    <s v="03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30125101"/>
    <n v="1"/>
    <m/>
    <x v="65"/>
    <m/>
    <s v="B&amp;B SPR COL KIWI MELON 100ML BTL-1310"/>
    <x v="0"/>
    <m/>
    <x v="2"/>
    <s v="B&amp;B"/>
    <s v="K1047"/>
    <x v="59"/>
    <n v="14"/>
    <s v="KNF B&amp;B X 36"/>
    <n v="12"/>
    <s v="KNF"/>
    <s v="K1"/>
    <s v="B&amp;B"/>
    <s v="04"/>
    <m/>
    <n v="7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30125102"/>
    <n v="2"/>
    <m/>
    <x v="66"/>
    <m/>
    <s v="B&amp;B SPR COL BUTTERCUP 125ML BTL - 2105"/>
    <x v="0"/>
    <m/>
    <x v="2"/>
    <s v="B&amp;B"/>
    <s v="K1047"/>
    <x v="59"/>
    <n v="14"/>
    <s v="KNF B&amp;B X 36"/>
    <n v="12"/>
    <s v="KNF"/>
    <s v="K1"/>
    <s v="B&amp;B"/>
    <s v="04"/>
    <m/>
    <n v="7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40060101"/>
    <n v="1"/>
    <m/>
    <x v="67"/>
    <m/>
    <s v="B&amp;B SPR COL RASBERRY 60ML BTL-1310"/>
    <x v="0"/>
    <m/>
    <x v="2"/>
    <s v="B&amp;B"/>
    <s v="K1047"/>
    <x v="60"/>
    <n v="14"/>
    <s v="KNF B&amp;B X 36"/>
    <n v="12"/>
    <s v="KNF"/>
    <s v="K1"/>
    <s v="B&amp;B"/>
    <s v="04"/>
    <m/>
    <n v="7"/>
    <m/>
    <n v="0"/>
    <m/>
    <s v="04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40060102"/>
    <n v="2"/>
    <m/>
    <x v="68"/>
    <m/>
    <s v="B&amp;B SPR COL POWEPUFF.G 60ML BTL - 2109"/>
    <x v="0"/>
    <m/>
    <x v="2"/>
    <s v="B&amp;B"/>
    <s v="K1047"/>
    <x v="60"/>
    <n v="14"/>
    <s v="KNF B&amp;B X 36"/>
    <n v="12"/>
    <s v="KNF"/>
    <s v="K1"/>
    <s v="B&amp;B"/>
    <s v="04"/>
    <m/>
    <n v="7"/>
    <m/>
    <n v="0"/>
    <m/>
    <s v="04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0470040125101"/>
    <n v="1"/>
    <m/>
    <x v="69"/>
    <m/>
    <s v="B&amp;B SPR COL RASBERRY 100ML BTL-1310"/>
    <x v="0"/>
    <m/>
    <x v="2"/>
    <s v="B&amp;B"/>
    <s v="K1047"/>
    <x v="61"/>
    <n v="14"/>
    <s v="KNF B&amp;B X 36"/>
    <n v="12"/>
    <s v="KNF"/>
    <s v="K1"/>
    <s v="B&amp;B"/>
    <s v="04"/>
    <m/>
    <n v="7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40125102"/>
    <n v="2"/>
    <m/>
    <x v="70"/>
    <m/>
    <s v="B&amp;B SPR COL POWERPUFF.G 125ML BTL - 2108"/>
    <x v="0"/>
    <m/>
    <x v="2"/>
    <s v="B&amp;B"/>
    <s v="K1047"/>
    <x v="61"/>
    <n v="14"/>
    <s v="KNF B&amp;B X 36"/>
    <n v="12"/>
    <s v="KNF"/>
    <s v="K1"/>
    <s v="B&amp;B"/>
    <s v="04"/>
    <m/>
    <n v="7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090100101"/>
    <n v="1"/>
    <m/>
    <x v="71"/>
    <m/>
    <s v="B&amp;B SPR COL RIKO 100ML BTL"/>
    <x v="0"/>
    <m/>
    <x v="2"/>
    <s v="B&amp;B"/>
    <s v="K1047"/>
    <x v="62"/>
    <n v="14"/>
    <s v="KNF B&amp;B X 36"/>
    <n v="12"/>
    <s v="KNF"/>
    <s v="K1"/>
    <s v="B&amp;B"/>
    <s v="04"/>
    <m/>
    <n v="7"/>
    <m/>
    <n v="0"/>
    <m/>
    <s v="09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470100125101"/>
    <n v="1"/>
    <m/>
    <x v="72"/>
    <m/>
    <s v="B&amp;B SPR COL JUSTICE LEAGUE 125ML BTL1902"/>
    <x v="0"/>
    <m/>
    <x v="2"/>
    <s v="B&amp;B"/>
    <s v="K1047"/>
    <x v="63"/>
    <n v="14"/>
    <s v="KNF B&amp;B X 36"/>
    <n v="12"/>
    <s v="KNF"/>
    <s v="K1"/>
    <s v="B&amp;B"/>
    <s v="04"/>
    <m/>
    <n v="7"/>
    <m/>
    <n v="0"/>
    <m/>
    <n v="10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110125101"/>
    <n v="1"/>
    <m/>
    <x v="73"/>
    <m/>
    <s v="B&amp;B SPR COL SWEET PINKIE 125ML BTL-1907"/>
    <x v="0"/>
    <m/>
    <x v="2"/>
    <s v="B&amp;B"/>
    <s v="K1047"/>
    <x v="64"/>
    <n v="14"/>
    <s v="KNF B&amp;B X 36"/>
    <n v="12"/>
    <s v="KNF"/>
    <s v="K1"/>
    <s v="B&amp;B"/>
    <s v="04"/>
    <m/>
    <n v="7"/>
    <m/>
    <n v="0"/>
    <m/>
    <n v="1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120125101"/>
    <n v="1"/>
    <m/>
    <x v="74"/>
    <m/>
    <s v="B&amp;B SPR COL FRESH RAINBOW 125ML BTL-1907"/>
    <x v="0"/>
    <m/>
    <x v="2"/>
    <s v="B&amp;B"/>
    <s v="K1047"/>
    <x v="65"/>
    <n v="14"/>
    <s v="KNF B&amp;B X 36"/>
    <n v="12"/>
    <s v="KNF"/>
    <s v="K1"/>
    <s v="B&amp;B"/>
    <s v="04"/>
    <m/>
    <n v="7"/>
    <m/>
    <n v="0"/>
    <m/>
    <n v="1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130125101"/>
    <n v="1"/>
    <m/>
    <x v="75"/>
    <m/>
    <s v="B&amp;B SPR COL BARBIE FASHIONISTA 125 ML BT"/>
    <x v="0"/>
    <m/>
    <x v="2"/>
    <s v="B&amp;B"/>
    <s v="K1047"/>
    <x v="66"/>
    <n v="14"/>
    <s v="KNF B&amp;B X 36"/>
    <n v="12"/>
    <s v="KNF"/>
    <s v="K1"/>
    <s v="B&amp;B"/>
    <s v="04"/>
    <m/>
    <n v="7"/>
    <m/>
    <n v="0"/>
    <m/>
    <n v="1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140125101"/>
    <n v="1"/>
    <m/>
    <x v="76"/>
    <m/>
    <s v="B&amp;B SPR COL TAZMANIAN 125ML BTL -1902"/>
    <x v="0"/>
    <m/>
    <x v="2"/>
    <s v="B&amp;B"/>
    <s v="K1047"/>
    <x v="67"/>
    <n v="14"/>
    <s v="KNF B&amp;B X 36"/>
    <n v="12"/>
    <s v="KNF"/>
    <s v="K1"/>
    <s v="B&amp;B"/>
    <s v="04"/>
    <m/>
    <n v="7"/>
    <m/>
    <n v="0"/>
    <m/>
    <n v="1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70150125101"/>
    <n v="1"/>
    <m/>
    <x v="77"/>
    <m/>
    <s v="B&amp;B SPR COL TWEETY 125ML BTL -1902"/>
    <x v="0"/>
    <m/>
    <x v="2"/>
    <s v="B&amp;B"/>
    <s v="K1047"/>
    <x v="68"/>
    <n v="14"/>
    <s v="KNF B&amp;B X 36"/>
    <n v="12"/>
    <s v="KNF"/>
    <s v="K1"/>
    <s v="B&amp;B"/>
    <s v="04"/>
    <m/>
    <n v="7"/>
    <m/>
    <n v="0"/>
    <m/>
    <n v="15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0480080045101"/>
    <n v="1"/>
    <m/>
    <x v="78"/>
    <m/>
    <s v="B&amp;B T.PASTE RIKO 45G TUBE"/>
    <x v="4"/>
    <m/>
    <x v="2"/>
    <s v="B&amp;B"/>
    <s v="K1048"/>
    <x v="69"/>
    <n v="14"/>
    <s v="KNF B&amp;B X 48"/>
    <n v="12"/>
    <s v="KNF"/>
    <s v="K1"/>
    <s v="B&amp;B"/>
    <s v="04"/>
    <m/>
    <n v="8"/>
    <m/>
    <n v="0"/>
    <m/>
    <s v="08"/>
    <m/>
    <s v="004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45"/>
    <n v="0"/>
    <m/>
    <m/>
    <s v="KRT"/>
    <s v="GD01"/>
    <n v="11611"/>
    <n v="11612"/>
    <m/>
    <n v="1"/>
  </r>
  <r>
    <s v="K10490010050201"/>
    <n v="1"/>
    <m/>
    <x v="79"/>
    <m/>
    <s v="B&amp;B PACK TP &amp; T.BRUSH BARBIE 50G - 2101"/>
    <x v="2"/>
    <m/>
    <x v="2"/>
    <s v="B&amp;B"/>
    <s v="K1049"/>
    <x v="70"/>
    <n v="14"/>
    <s v="KNF B&amp;B X 24"/>
    <n v="12"/>
    <s v="KNF"/>
    <s v="K1"/>
    <s v="B&amp;B"/>
    <s v="04"/>
    <m/>
    <n v="9"/>
    <m/>
    <n v="0"/>
    <m/>
    <s v="01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90020045201"/>
    <n v="1"/>
    <m/>
    <x v="80"/>
    <m/>
    <s v="B&amp;B TP &amp; T.BRUSH RIKO 45G"/>
    <x v="2"/>
    <m/>
    <x v="2"/>
    <s v="B&amp;B"/>
    <s v="K1049"/>
    <x v="71"/>
    <n v="14"/>
    <s v="KNF B&amp;B X 24"/>
    <n v="12"/>
    <s v="KNF"/>
    <s v="K1"/>
    <s v="B&amp;B"/>
    <s v="04"/>
    <m/>
    <n v="9"/>
    <m/>
    <n v="0"/>
    <m/>
    <s v="02"/>
    <m/>
    <s v="004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45"/>
    <n v="0"/>
    <m/>
    <m/>
    <s v="KRT"/>
    <s v="GD01"/>
    <n v="11611"/>
    <n v="11612"/>
    <m/>
    <n v="1"/>
  </r>
  <r>
    <s v="K10510010100201"/>
    <n v="1"/>
    <m/>
    <x v="81"/>
    <m/>
    <s v="CLICK TP WHITE+FRESH BREATH 100G TB"/>
    <x v="2"/>
    <m/>
    <x v="2"/>
    <s v="B&amp;B"/>
    <s v="K1051"/>
    <x v="72"/>
    <n v="14"/>
    <s v="KNF B&amp;B X 24"/>
    <n v="12"/>
    <s v="KNF"/>
    <s v="K1"/>
    <s v="B&amp;B"/>
    <s v="05"/>
    <m/>
    <n v="1"/>
    <m/>
    <n v="0"/>
    <m/>
    <s v="01"/>
    <m/>
    <s v="01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510020100201"/>
    <n v="1"/>
    <m/>
    <x v="82"/>
    <m/>
    <s v="CLICK TP WHITE+CAVITY PROTEC 100G TB"/>
    <x v="2"/>
    <m/>
    <x v="2"/>
    <s v="B&amp;B"/>
    <s v="K1051"/>
    <x v="73"/>
    <n v="14"/>
    <s v="KNF B&amp;B X 24"/>
    <n v="12"/>
    <s v="KNF"/>
    <s v="K1"/>
    <s v="B&amp;B"/>
    <s v="05"/>
    <m/>
    <n v="1"/>
    <m/>
    <n v="0"/>
    <m/>
    <s v="02"/>
    <m/>
    <s v="01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510030100201"/>
    <n v="1"/>
    <m/>
    <x v="83"/>
    <m/>
    <s v="CLICK TP WHITE+SENSITIVE PROTEC 100G TB"/>
    <x v="2"/>
    <m/>
    <x v="2"/>
    <s v="B&amp;B"/>
    <s v="K1051"/>
    <x v="74"/>
    <n v="14"/>
    <s v="KNF B&amp;B X 24"/>
    <n v="12"/>
    <s v="KNF"/>
    <s v="K1"/>
    <s v="B&amp;B"/>
    <s v="05"/>
    <m/>
    <n v="1"/>
    <m/>
    <n v="0"/>
    <m/>
    <s v="03"/>
    <m/>
    <s v="01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510040100201"/>
    <n v="1"/>
    <m/>
    <x v="84"/>
    <m/>
    <s v="CLICK TP WHITE+ALL OUT PROTEC 100G TB"/>
    <x v="2"/>
    <m/>
    <x v="2"/>
    <s v="B&amp;B"/>
    <s v="K1051"/>
    <x v="75"/>
    <n v="14"/>
    <s v="KNF B&amp;B X 24"/>
    <n v="12"/>
    <s v="KNF"/>
    <s v="K1"/>
    <s v="B&amp;B"/>
    <s v="05"/>
    <m/>
    <n v="1"/>
    <m/>
    <n v="0"/>
    <m/>
    <s v="04"/>
    <m/>
    <s v="01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510050100101"/>
    <n v="1"/>
    <m/>
    <x v="85"/>
    <m/>
    <s v="CLICK TP WHITE+GUM HEALTH PROTEC 100G TB"/>
    <x v="2"/>
    <m/>
    <x v="2"/>
    <s v="B&amp;B"/>
    <s v="K1051"/>
    <x v="76"/>
    <n v="14"/>
    <s v="KNF B&amp;B X 24"/>
    <n v="12"/>
    <s v="KNF"/>
    <s v="K1"/>
    <s v="B&amp;B"/>
    <s v="05"/>
    <m/>
    <n v="1"/>
    <m/>
    <n v="0"/>
    <m/>
    <s v="05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510060100101"/>
    <n v="1"/>
    <m/>
    <x v="86"/>
    <m/>
    <s v="CLICK TP WHITE+ STRONG ENAMEL 100G TB"/>
    <x v="2"/>
    <m/>
    <x v="2"/>
    <s v="B&amp;B"/>
    <s v="K1051"/>
    <x v="77"/>
    <n v="14"/>
    <s v="KNF B&amp;B X 24"/>
    <n v="12"/>
    <s v="KNF"/>
    <s v="K1"/>
    <s v="B&amp;B"/>
    <s v="05"/>
    <m/>
    <n v="1"/>
    <m/>
    <n v="0"/>
    <m/>
    <s v="06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510070100101"/>
    <n v="1"/>
    <m/>
    <x v="87"/>
    <m/>
    <s v="CLICK TP WHITE+BACTERIAL FIGHTER 100G TB"/>
    <x v="2"/>
    <m/>
    <x v="2"/>
    <s v="B&amp;B"/>
    <s v="K1051"/>
    <x v="78"/>
    <n v="14"/>
    <s v="KNF B&amp;B X 24"/>
    <n v="12"/>
    <s v="KNF"/>
    <s v="K1"/>
    <s v="B&amp;B"/>
    <s v="05"/>
    <m/>
    <n v="1"/>
    <m/>
    <n v="0"/>
    <m/>
    <s v="07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510080100101"/>
    <n v="1"/>
    <m/>
    <x v="88"/>
    <m/>
    <s v="CLICK TP WHITE+ALL OUT CITRUS 100G TB"/>
    <x v="2"/>
    <m/>
    <x v="2"/>
    <s v="B&amp;B"/>
    <s v="K1051"/>
    <x v="79"/>
    <n v="14"/>
    <s v="KNF B&amp;B X 24"/>
    <n v="12"/>
    <s v="KNF"/>
    <s v="K1"/>
    <s v="B&amp;B"/>
    <s v="05"/>
    <m/>
    <n v="1"/>
    <m/>
    <n v="0"/>
    <m/>
    <s v="08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600010110101"/>
    <n v="1"/>
    <m/>
    <x v="89"/>
    <m/>
    <s v="ELLIPS CONDT MILKSHAKE 110ML BTL -1403"/>
    <x v="2"/>
    <m/>
    <x v="2"/>
    <s v="B&amp;B"/>
    <s v="K1060"/>
    <x v="80"/>
    <n v="14"/>
    <s v="KNF B&amp;B X 24"/>
    <n v="12"/>
    <s v="KNF"/>
    <s v="K1"/>
    <s v="B&amp;B"/>
    <s v="06"/>
    <m/>
    <n v="0"/>
    <m/>
    <n v="0"/>
    <m/>
    <s v="01"/>
    <m/>
    <s v="01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0700010050101"/>
    <n v="1"/>
    <m/>
    <x v="90"/>
    <m/>
    <s v="ELLIPS DRY SHM BLOSSOM 50ML BTL -1705"/>
    <x v="2"/>
    <m/>
    <x v="2"/>
    <s v="B&amp;B"/>
    <s v="K1070"/>
    <x v="81"/>
    <n v="14"/>
    <s v="KNF B&amp;B X 24"/>
    <n v="12"/>
    <s v="KNF"/>
    <s v="K1"/>
    <s v="B&amp;B"/>
    <s v="07"/>
    <m/>
    <n v="0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700010200101"/>
    <n v="1"/>
    <m/>
    <x v="91"/>
    <m/>
    <s v="ELLIPS DRY SHM BLOSSOM 200ML BTL -1705"/>
    <x v="2"/>
    <m/>
    <x v="2"/>
    <s v="B&amp;B"/>
    <s v="K1070"/>
    <x v="82"/>
    <n v="14"/>
    <s v="KNF B&amp;B X 24"/>
    <n v="12"/>
    <s v="KNF"/>
    <s v="K1"/>
    <s v="B&amp;B"/>
    <s v="07"/>
    <m/>
    <n v="0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700020050101"/>
    <n v="1"/>
    <m/>
    <x v="92"/>
    <m/>
    <s v="ELLIPS DRY SHM BREEZE 50ML BTL -1705"/>
    <x v="2"/>
    <m/>
    <x v="2"/>
    <s v="B&amp;B"/>
    <s v="K1070"/>
    <x v="83"/>
    <n v="14"/>
    <s v="KNF B&amp;B X 24"/>
    <n v="12"/>
    <s v="KNF"/>
    <s v="K1"/>
    <s v="B&amp;B"/>
    <s v="07"/>
    <m/>
    <n v="0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700020200101"/>
    <n v="1"/>
    <m/>
    <x v="93"/>
    <m/>
    <s v="ELLIPS DRY SHM BREEZE 200ML BTL -1705"/>
    <x v="2"/>
    <m/>
    <x v="2"/>
    <s v="B&amp;B"/>
    <s v="K1070"/>
    <x v="84"/>
    <n v="14"/>
    <s v="KNF B&amp;B X 24"/>
    <n v="12"/>
    <s v="KNF"/>
    <s v="K1"/>
    <s v="B&amp;B"/>
    <s v="07"/>
    <m/>
    <n v="0"/>
    <m/>
    <n v="0"/>
    <m/>
    <s v="02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700030050101"/>
    <n v="1"/>
    <m/>
    <x v="94"/>
    <m/>
    <s v="ELLIPS DRY SHM EXOTIC 50ML BTL -1705"/>
    <x v="2"/>
    <m/>
    <x v="2"/>
    <s v="B&amp;B"/>
    <s v="K1070"/>
    <x v="85"/>
    <n v="14"/>
    <s v="KNF B&amp;B X 24"/>
    <n v="12"/>
    <s v="KNF"/>
    <s v="K1"/>
    <s v="B&amp;B"/>
    <s v="07"/>
    <m/>
    <n v="0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700030200101"/>
    <n v="1"/>
    <m/>
    <x v="95"/>
    <m/>
    <s v="ELLIPS DRY SHM EXOTIC 200ML BTL -1705"/>
    <x v="2"/>
    <m/>
    <x v="2"/>
    <s v="B&amp;B"/>
    <s v="K1070"/>
    <x v="86"/>
    <n v="14"/>
    <s v="KNF B&amp;B X 24"/>
    <n v="12"/>
    <s v="KNF"/>
    <s v="K1"/>
    <s v="B&amp;B"/>
    <s v="07"/>
    <m/>
    <n v="0"/>
    <m/>
    <n v="0"/>
    <m/>
    <s v="03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700040050101"/>
    <n v="1"/>
    <m/>
    <x v="96"/>
    <m/>
    <s v="ELLIPS DRY SHM FRUITY  50ML BTL -1705"/>
    <x v="2"/>
    <m/>
    <x v="2"/>
    <s v="B&amp;B"/>
    <s v="K1070"/>
    <x v="87"/>
    <n v="14"/>
    <s v="KNF B&amp;B X 24"/>
    <n v="12"/>
    <s v="KNF"/>
    <s v="K1"/>
    <s v="B&amp;B"/>
    <s v="07"/>
    <m/>
    <n v="0"/>
    <m/>
    <n v="0"/>
    <m/>
    <s v="04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700040200201"/>
    <n v="1"/>
    <m/>
    <x v="97"/>
    <m/>
    <s v="ELLIPS DRY SHM FRUITY  200ML BTL -ISI 12"/>
    <x v="5"/>
    <m/>
    <x v="2"/>
    <s v="B&amp;B"/>
    <s v="K1070"/>
    <x v="88"/>
    <n v="14"/>
    <s v="KNF B&amp;B X 12"/>
    <n v="12"/>
    <s v="KNF"/>
    <s v="K1"/>
    <s v="B&amp;B"/>
    <s v="07"/>
    <m/>
    <n v="0"/>
    <m/>
    <n v="0"/>
    <m/>
    <s v="04"/>
    <m/>
    <s v="02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700040200201"/>
    <n v="1"/>
    <m/>
    <x v="98"/>
    <m/>
    <s v="ELLIPS DRY SHM FRUITY  200ML BTL -1705"/>
    <x v="2"/>
    <m/>
    <x v="2"/>
    <s v="B&amp;B"/>
    <s v="K1070"/>
    <x v="88"/>
    <n v="14"/>
    <s v="KNF B&amp;B X 24"/>
    <n v="12"/>
    <s v="KNF"/>
    <s v="K1"/>
    <s v="B&amp;B"/>
    <s v="07"/>
    <m/>
    <n v="0"/>
    <m/>
    <n v="0"/>
    <m/>
    <s v="04"/>
    <m/>
    <s v="02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810010018101"/>
    <n v="1"/>
    <m/>
    <x v="99"/>
    <m/>
    <s v="ELLIPS HM KERATIN HAIR REPAIR 18G SCH"/>
    <x v="6"/>
    <m/>
    <x v="2"/>
    <s v="B&amp;B"/>
    <s v="K1081"/>
    <x v="89"/>
    <n v="14"/>
    <s v="KNF B&amp;B X 72"/>
    <n v="12"/>
    <s v="KNF"/>
    <s v="K1"/>
    <s v="B&amp;B"/>
    <s v="08"/>
    <m/>
    <n v="1"/>
    <m/>
    <n v="0"/>
    <m/>
    <s v="01"/>
    <m/>
    <s v="0018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8"/>
    <n v="0"/>
    <m/>
    <m/>
    <s v="KRT"/>
    <s v="GD01"/>
    <n v="11611"/>
    <n v="11612"/>
    <m/>
    <n v="1"/>
  </r>
  <r>
    <s v="K10810010120201"/>
    <n v="1"/>
    <m/>
    <x v="100"/>
    <m/>
    <s v="ELLIPS HM KERATIN HAIR REPAIR 120G TUBE"/>
    <x v="0"/>
    <m/>
    <x v="2"/>
    <s v="B&amp;B"/>
    <s v="K1081"/>
    <x v="90"/>
    <n v="14"/>
    <s v="KNF B&amp;B X 36"/>
    <n v="12"/>
    <s v="KNF"/>
    <s v="K1"/>
    <s v="B&amp;B"/>
    <s v="08"/>
    <m/>
    <n v="1"/>
    <m/>
    <n v="0"/>
    <m/>
    <s v="01"/>
    <m/>
    <s v="01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0"/>
    <n v="0"/>
    <m/>
    <m/>
    <s v="KRT"/>
    <s v="GD01"/>
    <n v="11611"/>
    <n v="11612"/>
    <m/>
    <n v="1"/>
  </r>
  <r>
    <s v="K10810020018201"/>
    <n v="1"/>
    <m/>
    <x v="101"/>
    <m/>
    <s v="ELLIPS HM KERATIN SILKY BLACK 18G SCH"/>
    <x v="6"/>
    <m/>
    <x v="2"/>
    <s v="B&amp;B"/>
    <s v="K1081"/>
    <x v="91"/>
    <n v="14"/>
    <s v="KNF B&amp;B X 72"/>
    <n v="12"/>
    <s v="KNF"/>
    <s v="K1"/>
    <s v="B&amp;B"/>
    <s v="08"/>
    <m/>
    <n v="1"/>
    <m/>
    <n v="0"/>
    <m/>
    <s v="02"/>
    <m/>
    <s v="0018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8"/>
    <n v="0"/>
    <m/>
    <m/>
    <s v="KRT"/>
    <s v="GD01"/>
    <n v="11611"/>
    <n v="11612"/>
    <m/>
    <n v="1"/>
  </r>
  <r>
    <s v="K10810020120101"/>
    <n v="1"/>
    <m/>
    <x v="102"/>
    <m/>
    <s v="ELLIPS HM KERATIN SILKY BLACK 120G TUBE"/>
    <x v="0"/>
    <m/>
    <x v="2"/>
    <s v="B&amp;B"/>
    <s v="K1081"/>
    <x v="92"/>
    <n v="14"/>
    <s v="KNF B&amp;B X 36"/>
    <n v="12"/>
    <s v="KNF"/>
    <s v="K1"/>
    <s v="B&amp;B"/>
    <s v="08"/>
    <m/>
    <n v="1"/>
    <m/>
    <n v="0"/>
    <m/>
    <s v="02"/>
    <m/>
    <s v="01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0"/>
    <n v="0"/>
    <m/>
    <m/>
    <s v="KRT"/>
    <s v="GD01"/>
    <n v="11611"/>
    <n v="11612"/>
    <m/>
    <n v="1"/>
  </r>
  <r>
    <s v="K10810030018201"/>
    <n v="1"/>
    <m/>
    <x v="103"/>
    <m/>
    <s v="ELLIPS HM KERATIN SMOOTH&amp;SILKY 18G SCH"/>
    <x v="6"/>
    <m/>
    <x v="2"/>
    <s v=""/>
    <s v="K1081"/>
    <x v="93"/>
    <n v="14"/>
    <s v="KNF X 72"/>
    <n v="8"/>
    <s v="KNF"/>
    <s v="K1"/>
    <m/>
    <s v="08"/>
    <m/>
    <n v="1"/>
    <m/>
    <n v="0"/>
    <m/>
    <s v="03"/>
    <m/>
    <s v="0018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8"/>
    <n v="0"/>
    <m/>
    <m/>
    <s v="KRT"/>
    <s v="GD01"/>
    <n v="11611"/>
    <n v="11612"/>
    <m/>
    <n v="1"/>
  </r>
  <r>
    <s v="K10810030120201"/>
    <n v="1"/>
    <m/>
    <x v="104"/>
    <m/>
    <s v="ELLIPS HM KERATIN SMOOTH&amp;SILKY 120G TUBE"/>
    <x v="0"/>
    <m/>
    <x v="2"/>
    <s v=""/>
    <s v="K1081"/>
    <x v="94"/>
    <n v="14"/>
    <s v="KNF X 36"/>
    <n v="8"/>
    <s v="KNF"/>
    <s v="K1"/>
    <m/>
    <s v="08"/>
    <m/>
    <n v="1"/>
    <m/>
    <n v="0"/>
    <m/>
    <s v="03"/>
    <m/>
    <s v="01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0"/>
    <n v="0"/>
    <m/>
    <m/>
    <s v="KRT"/>
    <s v="GD01"/>
    <n v="11611"/>
    <n v="11612"/>
    <m/>
    <n v="1"/>
  </r>
  <r>
    <s v="K10820010012201"/>
    <n v="1"/>
    <m/>
    <x v="105"/>
    <m/>
    <s v="ELLIPS HM MOR H.TREATMENT 12G SCH - HGR"/>
    <x v="7"/>
    <m/>
    <x v="2"/>
    <s v=""/>
    <s v="K1082"/>
    <x v="95"/>
    <n v="14"/>
    <s v="KNF X 144"/>
    <n v="9"/>
    <s v="KNF"/>
    <s v="K1"/>
    <m/>
    <s v="08"/>
    <m/>
    <n v="2"/>
    <m/>
    <n v="0"/>
    <m/>
    <s v="01"/>
    <m/>
    <s v="0012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2"/>
    <n v="0"/>
    <m/>
    <m/>
    <s v="KRT"/>
    <s v="GD01"/>
    <n v="11611"/>
    <n v="11612"/>
    <m/>
    <n v="1"/>
  </r>
  <r>
    <s v="K10820010020101"/>
    <n v="1"/>
    <m/>
    <x v="106"/>
    <m/>
    <s v="ELLIPS HAIR MASK HAIR TREATMENT 20 GR SC"/>
    <x v="6"/>
    <m/>
    <x v="2"/>
    <s v=""/>
    <s v="K1082"/>
    <x v="96"/>
    <n v="14"/>
    <s v="KNF X 72"/>
    <n v="8"/>
    <s v="KNF"/>
    <s v="K1"/>
    <m/>
    <s v="08"/>
    <m/>
    <n v="2"/>
    <m/>
    <n v="0"/>
    <m/>
    <s v="01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10020202"/>
    <n v="2"/>
    <m/>
    <x v="107"/>
    <m/>
    <s v="ELLIPS HM MOROCCAN H.TREATMENT 20G SCH"/>
    <x v="6"/>
    <m/>
    <x v="2"/>
    <s v=""/>
    <s v="K1082"/>
    <x v="97"/>
    <n v="14"/>
    <s v="KNF X 72"/>
    <n v="8"/>
    <s v="KNF"/>
    <s v="K1"/>
    <m/>
    <s v="08"/>
    <m/>
    <n v="2"/>
    <m/>
    <n v="0"/>
    <m/>
    <s v="01"/>
    <m/>
    <s v="00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10020103"/>
    <n v="3"/>
    <m/>
    <x v="108"/>
    <m/>
    <s v="ELLIPS HM MO DISNEY H.TREATMENT 20G SCH"/>
    <x v="6"/>
    <m/>
    <x v="2"/>
    <s v=""/>
    <s v="K1082"/>
    <x v="96"/>
    <n v="14"/>
    <s v="KNF X 72"/>
    <n v="8"/>
    <s v="KNF"/>
    <s v="K1"/>
    <m/>
    <s v="08"/>
    <m/>
    <n v="2"/>
    <m/>
    <n v="0"/>
    <m/>
    <s v="01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20020201"/>
    <n v="1"/>
    <m/>
    <x v="109"/>
    <m/>
    <s v="ELLIPS HAIR MASK NUTRICOLOR 20 GR SCH"/>
    <x v="6"/>
    <m/>
    <x v="2"/>
    <s v=""/>
    <s v="K1082"/>
    <x v="98"/>
    <n v="14"/>
    <s v="KNF X 72"/>
    <n v="8"/>
    <s v="KNF"/>
    <s v="K1"/>
    <m/>
    <s v="08"/>
    <m/>
    <n v="2"/>
    <m/>
    <n v="0"/>
    <m/>
    <s v="02"/>
    <m/>
    <s v="00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20020102"/>
    <n v="2"/>
    <m/>
    <x v="110"/>
    <m/>
    <s v="ELLIPS HM MOROCCAN NUTRICOLOR 20G SCH"/>
    <x v="6"/>
    <m/>
    <x v="2"/>
    <s v=""/>
    <s v="K1082"/>
    <x v="99"/>
    <n v="14"/>
    <s v="KNF X 72"/>
    <n v="8"/>
    <s v="KNF"/>
    <s v="K1"/>
    <m/>
    <s v="08"/>
    <m/>
    <n v="2"/>
    <m/>
    <n v="0"/>
    <m/>
    <s v="02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20020203"/>
    <n v="3"/>
    <m/>
    <x v="111"/>
    <m/>
    <s v="ELLIPS HM MO DISNEY NUTRICOLOR 20G SCH"/>
    <x v="6"/>
    <m/>
    <x v="2"/>
    <s v=""/>
    <s v="K1082"/>
    <x v="98"/>
    <n v="14"/>
    <s v="KNF X 72"/>
    <n v="8"/>
    <s v="KNF"/>
    <s v="K1"/>
    <m/>
    <s v="08"/>
    <m/>
    <n v="2"/>
    <m/>
    <n v="0"/>
    <m/>
    <s v="02"/>
    <m/>
    <s v="00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30020101"/>
    <n v="1"/>
    <m/>
    <x v="112"/>
    <m/>
    <s v="ELLIPS HAIR MASK SMOOTH &amp; SHINY 20 GR SC"/>
    <x v="6"/>
    <m/>
    <x v="2"/>
    <s v=""/>
    <s v="K1082"/>
    <x v="100"/>
    <n v="14"/>
    <s v="KNF X 72"/>
    <n v="8"/>
    <s v="KNF"/>
    <s v="K1"/>
    <m/>
    <s v="08"/>
    <m/>
    <n v="2"/>
    <m/>
    <n v="0"/>
    <m/>
    <s v="03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30020202"/>
    <n v="2"/>
    <m/>
    <x v="113"/>
    <m/>
    <s v="ELLIPS HM MOROCCAN SMOOTH&amp;SHINY 20G SCH"/>
    <x v="6"/>
    <m/>
    <x v="2"/>
    <s v=""/>
    <s v="K1082"/>
    <x v="101"/>
    <n v="14"/>
    <s v="KNF X 72"/>
    <n v="8"/>
    <s v="KNF"/>
    <s v="K1"/>
    <m/>
    <s v="08"/>
    <m/>
    <n v="2"/>
    <m/>
    <n v="0"/>
    <m/>
    <s v="03"/>
    <m/>
    <s v="00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30020103"/>
    <n v="3"/>
    <m/>
    <x v="114"/>
    <m/>
    <s v="ELLIPS HM MO DISNEY SMOOTH&amp;SHINY 20G SCH"/>
    <x v="6"/>
    <m/>
    <x v="2"/>
    <s v=""/>
    <s v="K1082"/>
    <x v="100"/>
    <n v="14"/>
    <s v="KNF X 72"/>
    <n v="8"/>
    <s v="KNF"/>
    <s v="K1"/>
    <m/>
    <s v="08"/>
    <m/>
    <n v="2"/>
    <m/>
    <n v="0"/>
    <m/>
    <s v="03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40020101"/>
    <n v="1"/>
    <m/>
    <x v="115"/>
    <m/>
    <s v="ELLIPS HAIR MASK VOLUME MIRACLE 20 GR SC"/>
    <x v="6"/>
    <m/>
    <x v="2"/>
    <s v=""/>
    <s v="K1082"/>
    <x v="102"/>
    <n v="14"/>
    <s v="KNF X 72"/>
    <n v="8"/>
    <s v="KNF"/>
    <s v="K1"/>
    <m/>
    <s v="08"/>
    <m/>
    <n v="2"/>
    <m/>
    <n v="0"/>
    <m/>
    <s v="04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40020102"/>
    <n v="2"/>
    <m/>
    <x v="116"/>
    <m/>
    <s v="ELLIPS HM MOROCCAN VOL.MIRACLE 20G SCH"/>
    <x v="6"/>
    <m/>
    <x v="2"/>
    <s v=""/>
    <s v="K1082"/>
    <x v="102"/>
    <n v="14"/>
    <s v="KNF X 72"/>
    <n v="8"/>
    <s v="KNF"/>
    <s v="K1"/>
    <m/>
    <s v="08"/>
    <m/>
    <n v="2"/>
    <m/>
    <n v="0"/>
    <m/>
    <s v="04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820040020103"/>
    <n v="3"/>
    <m/>
    <x v="117"/>
    <m/>
    <s v="ELLIPS HM MO DISNEY VOL.MIRACLE 20G SCH"/>
    <x v="6"/>
    <m/>
    <x v="2"/>
    <s v=""/>
    <s v="K1082"/>
    <x v="102"/>
    <n v="14"/>
    <s v="KNF X 72"/>
    <n v="8"/>
    <s v="KNF"/>
    <s v="K1"/>
    <m/>
    <s v="08"/>
    <m/>
    <n v="2"/>
    <m/>
    <n v="0"/>
    <m/>
    <s v="04"/>
    <m/>
    <s v="00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0900010100101"/>
    <n v="1"/>
    <m/>
    <x v="118"/>
    <m/>
    <s v="ELLIPS HAIR MIST FRESH&amp;SMOOTH 100ML BTL"/>
    <x v="8"/>
    <m/>
    <x v="2"/>
    <s v=""/>
    <s v="K1090"/>
    <x v="103"/>
    <n v="14"/>
    <s v="KNF X 18"/>
    <n v="8"/>
    <s v="KNF"/>
    <s v="K1"/>
    <m/>
    <s v="09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900020100101"/>
    <n v="1"/>
    <m/>
    <x v="119"/>
    <m/>
    <s v="ELLIPS HAIR MIST SWEET&amp;SILKY 100ML BTL"/>
    <x v="8"/>
    <m/>
    <x v="2"/>
    <s v=""/>
    <s v="K1090"/>
    <x v="104"/>
    <n v="14"/>
    <s v="KNF X 18"/>
    <n v="8"/>
    <s v="KNF"/>
    <s v="K1"/>
    <m/>
    <s v="09"/>
    <m/>
    <n v="0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000010001401"/>
    <n v="1"/>
    <m/>
    <x v="120"/>
    <m/>
    <s v="ELLIPS HV HAIR TREATMENT 1ML BLR NEW-1"/>
    <x v="6"/>
    <m/>
    <x v="2"/>
    <s v=""/>
    <s v="K1100"/>
    <x v="105"/>
    <n v="14"/>
    <s v="KNF X 72"/>
    <n v="8"/>
    <s v="KNF"/>
    <s v="K1"/>
    <m/>
    <n v="10"/>
    <m/>
    <n v="0"/>
    <m/>
    <n v="0"/>
    <m/>
    <s v="01"/>
    <m/>
    <s v="0001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10001101"/>
    <n v="1"/>
    <m/>
    <x v="121"/>
    <m/>
    <s v="ELLIPS VR HAIR TREATMENT 1 ML JAR NEW"/>
    <x v="5"/>
    <m/>
    <x v="2"/>
    <s v=""/>
    <s v="K1100"/>
    <x v="106"/>
    <n v="14"/>
    <s v="KNF X 12"/>
    <n v="8"/>
    <s v="KNF"/>
    <s v="K1"/>
    <m/>
    <n v="10"/>
    <m/>
    <n v="0"/>
    <m/>
    <n v="0"/>
    <m/>
    <s v="01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20001401"/>
    <n v="1"/>
    <m/>
    <x v="122"/>
    <m/>
    <s v="ELLIPS HV HAIR VITALITY 1ML BLR NEW -1"/>
    <x v="6"/>
    <m/>
    <x v="2"/>
    <s v=""/>
    <s v="K1100"/>
    <x v="107"/>
    <n v="14"/>
    <s v="KNF X 72"/>
    <n v="8"/>
    <s v="KNF"/>
    <s v="K1"/>
    <m/>
    <n v="10"/>
    <m/>
    <n v="0"/>
    <m/>
    <n v="0"/>
    <m/>
    <s v="02"/>
    <m/>
    <s v="0001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20001201"/>
    <n v="1"/>
    <m/>
    <x v="123"/>
    <m/>
    <s v="ELLIPS VR HAIR VITALITY 1 ML JAR NEW"/>
    <x v="5"/>
    <m/>
    <x v="2"/>
    <s v=""/>
    <s v="K1100"/>
    <x v="108"/>
    <n v="14"/>
    <s v="KNF X 12"/>
    <n v="8"/>
    <s v="KNF"/>
    <s v="K1"/>
    <m/>
    <n v="10"/>
    <m/>
    <n v="0"/>
    <m/>
    <n v="0"/>
    <m/>
    <s v="02"/>
    <m/>
    <s v="0001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30045101"/>
    <n v="1"/>
    <m/>
    <x v="124"/>
    <m/>
    <s v="ELLIPS 5IN1 HV MILKSHAKE 45ML BTL"/>
    <x v="0"/>
    <m/>
    <x v="2"/>
    <s v=""/>
    <s v="K1100"/>
    <x v="109"/>
    <n v="14"/>
    <s v="KNF X 36"/>
    <n v="8"/>
    <s v="KNF"/>
    <s v="K1"/>
    <m/>
    <n v="10"/>
    <m/>
    <n v="0"/>
    <m/>
    <n v="0"/>
    <m/>
    <s v="03"/>
    <m/>
    <s v="004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45"/>
    <n v="0"/>
    <m/>
    <m/>
    <s v="KRT"/>
    <s v="GD01"/>
    <n v="11611"/>
    <n v="11612"/>
    <m/>
    <n v="1"/>
  </r>
  <r>
    <s v="K11000040001401"/>
    <n v="1"/>
    <m/>
    <x v="125"/>
    <m/>
    <s v="ELLIPS HV NUTRICOLOR 1ML BLR NEW - 1"/>
    <x v="6"/>
    <m/>
    <x v="2"/>
    <s v=""/>
    <s v="K1100"/>
    <x v="110"/>
    <n v="14"/>
    <s v="KNF X 72"/>
    <n v="8"/>
    <s v="KNF"/>
    <s v="K1"/>
    <m/>
    <n v="10"/>
    <m/>
    <n v="0"/>
    <m/>
    <n v="0"/>
    <m/>
    <s v="04"/>
    <m/>
    <s v="0001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40001101"/>
    <n v="1"/>
    <m/>
    <x v="126"/>
    <m/>
    <s v="ELLIPS VR NUTRICOLOR 1 ML JAR NEW"/>
    <x v="5"/>
    <m/>
    <x v="2"/>
    <s v=""/>
    <s v="K1100"/>
    <x v="111"/>
    <n v="14"/>
    <s v="KNF X 12"/>
    <n v="8"/>
    <s v="KNF"/>
    <s v="K1"/>
    <m/>
    <n v="10"/>
    <m/>
    <n v="0"/>
    <m/>
    <n v="0"/>
    <m/>
    <s v="04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50001101"/>
    <n v="1"/>
    <m/>
    <x v="127"/>
    <m/>
    <s v="ELLIPS VR PRWTN R.HITAM 1ML MINIBLR-1908"/>
    <x v="4"/>
    <m/>
    <x v="2"/>
    <s v=""/>
    <s v="K1100"/>
    <x v="112"/>
    <n v="14"/>
    <s v="KNF X 48"/>
    <n v="8"/>
    <s v="KNF"/>
    <s v="K1"/>
    <m/>
    <n v="10"/>
    <m/>
    <n v="0"/>
    <m/>
    <n v="0"/>
    <m/>
    <s v="05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60001101"/>
    <n v="1"/>
    <m/>
    <x v="128"/>
    <m/>
    <s v="ELLIPS VR PRWTN R.RUSAK 1ML MINIBLR-1908"/>
    <x v="4"/>
    <m/>
    <x v="2"/>
    <s v=""/>
    <s v="K1100"/>
    <x v="113"/>
    <n v="14"/>
    <s v="KNF X 48"/>
    <n v="8"/>
    <s v="KNF"/>
    <s v="K1"/>
    <m/>
    <n v="10"/>
    <m/>
    <n v="0"/>
    <m/>
    <n v="0"/>
    <m/>
    <s v="06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70001401"/>
    <n v="1"/>
    <m/>
    <x v="129"/>
    <m/>
    <s v="ELLIPS HV SHINY BLACK 1ML BLR NEW -1"/>
    <x v="6"/>
    <m/>
    <x v="2"/>
    <s v=""/>
    <s v="K1100"/>
    <x v="114"/>
    <n v="14"/>
    <s v="KNF X 72"/>
    <n v="8"/>
    <s v="KNF"/>
    <s v="K1"/>
    <m/>
    <n v="10"/>
    <m/>
    <n v="0"/>
    <m/>
    <n v="0"/>
    <m/>
    <s v="07"/>
    <m/>
    <s v="0001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70001101"/>
    <n v="1"/>
    <m/>
    <x v="130"/>
    <m/>
    <s v="ELLIPS VR SHINY BLACK 1 ML JAR NEW"/>
    <x v="5"/>
    <m/>
    <x v="2"/>
    <s v=""/>
    <s v="K1100"/>
    <x v="115"/>
    <n v="14"/>
    <s v="KNF X 12"/>
    <n v="8"/>
    <s v="KNF"/>
    <s v="K1"/>
    <m/>
    <n v="10"/>
    <m/>
    <n v="0"/>
    <m/>
    <n v="0"/>
    <m/>
    <s v="07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80001401"/>
    <n v="1"/>
    <m/>
    <x v="131"/>
    <m/>
    <s v="ELLIPS HV SMOOTH&amp;SHINY 1ML BLR NEW -1"/>
    <x v="6"/>
    <m/>
    <x v="2"/>
    <s v=""/>
    <s v="K1100"/>
    <x v="116"/>
    <n v="14"/>
    <s v="KNF X 72"/>
    <n v="8"/>
    <s v="KNF"/>
    <s v="K1"/>
    <m/>
    <n v="10"/>
    <m/>
    <n v="0"/>
    <m/>
    <n v="0"/>
    <m/>
    <s v="08"/>
    <m/>
    <s v="0001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80001301"/>
    <n v="1"/>
    <m/>
    <x v="132"/>
    <m/>
    <s v="ELLIPS VR SMOOTH &amp; SHINY 1 ML JAR NEW"/>
    <x v="5"/>
    <m/>
    <x v="2"/>
    <s v=""/>
    <s v="K1100"/>
    <x v="117"/>
    <n v="14"/>
    <s v="KNF X 12"/>
    <n v="8"/>
    <s v="KNF"/>
    <s v="K1"/>
    <m/>
    <n v="10"/>
    <m/>
    <n v="0"/>
    <m/>
    <n v="0"/>
    <m/>
    <s v="08"/>
    <m/>
    <s v="0001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00090008211"/>
    <n v="1"/>
    <m/>
    <x v="133"/>
    <m/>
    <s v="ELLIPS VR UT PROMO 2+1 BOX"/>
    <x v="2"/>
    <m/>
    <x v="2"/>
    <s v=""/>
    <s v="K1100"/>
    <x v="118"/>
    <n v="14"/>
    <s v="KNF X 24"/>
    <n v="8"/>
    <s v="KNF"/>
    <s v="K1"/>
    <m/>
    <n v="10"/>
    <m/>
    <n v="0"/>
    <m/>
    <n v="0"/>
    <m/>
    <s v="09"/>
    <m/>
    <s v="0008"/>
    <m/>
    <n v="2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8"/>
    <n v="0"/>
    <m/>
    <m/>
    <s v="KRT"/>
    <s v="GD01"/>
    <n v="11611"/>
    <n v="11612"/>
    <m/>
    <n v="1"/>
  </r>
  <r>
    <s v="K11000090034101"/>
    <n v="1"/>
    <m/>
    <x v="134"/>
    <m/>
    <s v="ELLIPS VR UT 34 ML BTL"/>
    <x v="9"/>
    <m/>
    <x v="2"/>
    <s v=""/>
    <s v="K1100"/>
    <x v="119"/>
    <n v="14"/>
    <s v="KNF X 20"/>
    <n v="8"/>
    <s v="KNF"/>
    <s v="K1"/>
    <m/>
    <n v="10"/>
    <m/>
    <n v="0"/>
    <m/>
    <n v="0"/>
    <m/>
    <s v="09"/>
    <m/>
    <s v="0034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4"/>
    <n v="0"/>
    <m/>
    <m/>
    <s v="KRT"/>
    <s v="GD01"/>
    <n v="11611"/>
    <n v="11612"/>
    <m/>
    <n v="1"/>
  </r>
  <r>
    <s v="K11010110001201"/>
    <n v="1"/>
    <m/>
    <x v="135"/>
    <m/>
    <s v="ELLIPS VR BALI NOURISH&amp;PROTECT BLR-1602"/>
    <x v="6"/>
    <m/>
    <x v="2"/>
    <s v=""/>
    <s v="K1101"/>
    <x v="120"/>
    <n v="14"/>
    <s v="KNF X 72"/>
    <n v="8"/>
    <s v="KNF"/>
    <s v="K1"/>
    <m/>
    <n v="10"/>
    <m/>
    <n v="1"/>
    <m/>
    <n v="0"/>
    <m/>
    <n v="11"/>
    <m/>
    <s v="0001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10110030101"/>
    <n v="1"/>
    <m/>
    <x v="136"/>
    <m/>
    <s v="ELLIPS VR BALI NOURISH&amp;PROTECT 30ML-1602"/>
    <x v="0"/>
    <m/>
    <x v="2"/>
    <s v=""/>
    <s v="K1101"/>
    <x v="121"/>
    <n v="14"/>
    <s v="KNF X 36"/>
    <n v="8"/>
    <s v="KNF"/>
    <s v="K1"/>
    <m/>
    <n v="10"/>
    <m/>
    <n v="1"/>
    <m/>
    <n v="0"/>
    <m/>
    <n v="11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010120001201"/>
    <n v="1"/>
    <m/>
    <x v="137"/>
    <m/>
    <s v="ELLIPS VR BALI NOURISH&amp;SOFTENING BLR1602"/>
    <x v="6"/>
    <m/>
    <x v="2"/>
    <s v=""/>
    <s v="K1101"/>
    <x v="122"/>
    <n v="14"/>
    <s v="KNF X 72"/>
    <n v="8"/>
    <s v="KNF"/>
    <s v="K1"/>
    <m/>
    <n v="10"/>
    <m/>
    <n v="1"/>
    <m/>
    <n v="0"/>
    <m/>
    <n v="12"/>
    <m/>
    <s v="0001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10120030101"/>
    <n v="1"/>
    <m/>
    <x v="138"/>
    <m/>
    <s v="ELLIPS VR BALI NOURISH&amp;SOFTEN 30ML-1602"/>
    <x v="0"/>
    <m/>
    <x v="2"/>
    <s v=""/>
    <s v="K1101"/>
    <x v="123"/>
    <n v="14"/>
    <s v="KNF X 36"/>
    <n v="8"/>
    <s v="KNF"/>
    <s v="K1"/>
    <m/>
    <n v="10"/>
    <m/>
    <n v="1"/>
    <m/>
    <n v="0"/>
    <m/>
    <n v="12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020060001201"/>
    <n v="1"/>
    <m/>
    <x v="139"/>
    <m/>
    <s v="ELLIPS HV KERATIN H.REPAIR 1ML BLR -1"/>
    <x v="6"/>
    <m/>
    <x v="2"/>
    <s v=""/>
    <s v="K1102"/>
    <x v="124"/>
    <n v="14"/>
    <s v="KNF X 72"/>
    <n v="8"/>
    <s v="KNF"/>
    <s v="K1"/>
    <m/>
    <n v="10"/>
    <m/>
    <n v="2"/>
    <m/>
    <n v="0"/>
    <m/>
    <s v="06"/>
    <m/>
    <s v="0001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20060001101"/>
    <n v="1"/>
    <m/>
    <x v="140"/>
    <m/>
    <s v="ELLIPS VR KERATIN H.REPAIR 1ML JAR -1403"/>
    <x v="5"/>
    <m/>
    <x v="2"/>
    <s v=""/>
    <s v="K1102"/>
    <x v="125"/>
    <n v="14"/>
    <s v="KNF X 12"/>
    <n v="8"/>
    <s v="KNF"/>
    <s v="K1"/>
    <m/>
    <n v="10"/>
    <m/>
    <n v="2"/>
    <m/>
    <n v="0"/>
    <m/>
    <s v="06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20070001201"/>
    <n v="1"/>
    <m/>
    <x v="141"/>
    <m/>
    <s v="ELLIPS HV KERATIN S&amp;SILKY 1ML BLR -1"/>
    <x v="6"/>
    <m/>
    <x v="2"/>
    <s v=""/>
    <s v="K1102"/>
    <x v="126"/>
    <n v="14"/>
    <s v="KNF X 72"/>
    <n v="8"/>
    <s v="KNF"/>
    <s v="K1"/>
    <m/>
    <n v="10"/>
    <m/>
    <n v="2"/>
    <m/>
    <n v="0"/>
    <m/>
    <s v="07"/>
    <m/>
    <s v="0001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20070001101"/>
    <n v="1"/>
    <m/>
    <x v="142"/>
    <m/>
    <s v="ELLIPS VR KERATIN S&amp;SILKY 1ML JAR -1403"/>
    <x v="5"/>
    <m/>
    <x v="2"/>
    <s v=""/>
    <s v="K1102"/>
    <x v="127"/>
    <n v="14"/>
    <s v="KNF X 12"/>
    <n v="8"/>
    <s v="KNF"/>
    <s v="K1"/>
    <m/>
    <n v="10"/>
    <m/>
    <n v="2"/>
    <m/>
    <n v="0"/>
    <m/>
    <s v="07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20080001201"/>
    <n v="1"/>
    <m/>
    <x v="143"/>
    <m/>
    <s v="ELLIPS HV KERATIN S.BLACK 1ML BLR -1"/>
    <x v="6"/>
    <m/>
    <x v="2"/>
    <s v=""/>
    <s v="K1102"/>
    <x v="128"/>
    <n v="14"/>
    <s v="KNF X 72"/>
    <n v="8"/>
    <s v="KNF"/>
    <s v="K1"/>
    <m/>
    <n v="10"/>
    <m/>
    <n v="2"/>
    <m/>
    <n v="0"/>
    <m/>
    <s v="08"/>
    <m/>
    <s v="0001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020080001101"/>
    <n v="1"/>
    <m/>
    <x v="144"/>
    <m/>
    <s v="ELLIPS VR KERATIN S.BLACK 1ML JAR -1403"/>
    <x v="5"/>
    <m/>
    <x v="2"/>
    <s v=""/>
    <s v="K1102"/>
    <x v="129"/>
    <n v="14"/>
    <s v="KNF X 12"/>
    <n v="8"/>
    <s v="KNF"/>
    <s v="K1"/>
    <m/>
    <n v="10"/>
    <m/>
    <n v="2"/>
    <m/>
    <n v="0"/>
    <m/>
    <s v="08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110010050101"/>
    <n v="1"/>
    <m/>
    <x v="145"/>
    <m/>
    <s v="ECG DAY DREAM 50 ML BTL RELAUNCH"/>
    <x v="0"/>
    <m/>
    <x v="2"/>
    <s v=""/>
    <s v="K1111"/>
    <x v="130"/>
    <n v="14"/>
    <s v="KNF X 36"/>
    <n v="8"/>
    <s v="KNF"/>
    <s v="K1"/>
    <m/>
    <n v="11"/>
    <m/>
    <n v="1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10100101"/>
    <n v="1"/>
    <m/>
    <x v="146"/>
    <m/>
    <s v="ECG DAY DREAM 100 ML BTL RELAUNCH"/>
    <x v="0"/>
    <m/>
    <x v="2"/>
    <s v=""/>
    <s v="K1111"/>
    <x v="131"/>
    <n v="14"/>
    <s v="KNF X 36"/>
    <n v="8"/>
    <s v="KNF"/>
    <s v="K1"/>
    <m/>
    <n v="11"/>
    <m/>
    <n v="1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20050101"/>
    <n v="1"/>
    <m/>
    <x v="147"/>
    <m/>
    <s v="ECG DAY MONDAY 50 ML BTL RELAUNCH"/>
    <x v="0"/>
    <m/>
    <x v="2"/>
    <s v=""/>
    <s v="K1111"/>
    <x v="132"/>
    <n v="14"/>
    <s v="KNF X 36"/>
    <n v="8"/>
    <s v="KNF"/>
    <s v="K1"/>
    <m/>
    <n v="11"/>
    <m/>
    <n v="1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20100101"/>
    <n v="1"/>
    <m/>
    <x v="148"/>
    <m/>
    <s v="ECG DAY MONDAY 100 ML BTL RELAUNCH"/>
    <x v="0"/>
    <m/>
    <x v="2"/>
    <s v=""/>
    <s v="K1111"/>
    <x v="133"/>
    <n v="14"/>
    <s v="KNF X 36"/>
    <n v="8"/>
    <s v="KNF"/>
    <s v="K1"/>
    <m/>
    <n v="11"/>
    <m/>
    <n v="1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30050101"/>
    <n v="1"/>
    <m/>
    <x v="149"/>
    <m/>
    <s v="ECG DAY TUESDAY 50 ML BTL RELAUNCH"/>
    <x v="0"/>
    <m/>
    <x v="2"/>
    <s v=""/>
    <s v="K1111"/>
    <x v="134"/>
    <n v="14"/>
    <s v="KNF X 36"/>
    <n v="8"/>
    <s v="KNF"/>
    <s v="K1"/>
    <m/>
    <n v="11"/>
    <m/>
    <n v="1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30100101"/>
    <n v="1"/>
    <m/>
    <x v="150"/>
    <m/>
    <s v="ECG DAY TUESDAY 100 ML BTL RELAUNCH"/>
    <x v="0"/>
    <m/>
    <x v="2"/>
    <s v=""/>
    <s v="K1111"/>
    <x v="135"/>
    <n v="14"/>
    <s v="KNF X 36"/>
    <n v="8"/>
    <s v="KNF"/>
    <s v="K1"/>
    <m/>
    <n v="11"/>
    <m/>
    <n v="1"/>
    <m/>
    <n v="0"/>
    <m/>
    <s v="03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40050101"/>
    <n v="1"/>
    <m/>
    <x v="151"/>
    <m/>
    <s v="ECG DAY WEDNESDAY 50 ML BTL RELAUNCH"/>
    <x v="0"/>
    <m/>
    <x v="2"/>
    <s v=""/>
    <s v="K1111"/>
    <x v="136"/>
    <n v="14"/>
    <s v="KNF X 36"/>
    <n v="8"/>
    <s v="KNF"/>
    <s v="K1"/>
    <m/>
    <n v="11"/>
    <m/>
    <n v="1"/>
    <m/>
    <n v="0"/>
    <m/>
    <s v="04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40100101"/>
    <n v="1"/>
    <m/>
    <x v="152"/>
    <m/>
    <s v="ECG DAY WEDNESDAY 100 ML BTL RELAUNCH"/>
    <x v="0"/>
    <m/>
    <x v="2"/>
    <s v=""/>
    <s v="K1111"/>
    <x v="137"/>
    <n v="14"/>
    <s v="KNF X 36"/>
    <n v="8"/>
    <s v="KNF"/>
    <s v="K1"/>
    <m/>
    <n v="11"/>
    <m/>
    <n v="1"/>
    <m/>
    <n v="0"/>
    <m/>
    <s v="04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50050101"/>
    <n v="1"/>
    <m/>
    <x v="153"/>
    <m/>
    <s v="ECG DAY THURSDAY 50 ML BTL RELAUNCH"/>
    <x v="0"/>
    <m/>
    <x v="2"/>
    <s v=""/>
    <s v="K1111"/>
    <x v="138"/>
    <n v="14"/>
    <s v="KNF X 36"/>
    <n v="8"/>
    <s v="KNF"/>
    <s v="K1"/>
    <m/>
    <n v="11"/>
    <m/>
    <n v="1"/>
    <m/>
    <n v="0"/>
    <m/>
    <s v="05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50100101"/>
    <n v="1"/>
    <m/>
    <x v="154"/>
    <m/>
    <s v="ECG DAY THURSDAY 100 ML BTL RELAUNCH"/>
    <x v="0"/>
    <m/>
    <x v="2"/>
    <s v=""/>
    <s v="K1111"/>
    <x v="139"/>
    <n v="14"/>
    <s v="KNF X 36"/>
    <n v="8"/>
    <s v="KNF"/>
    <s v="K1"/>
    <m/>
    <n v="11"/>
    <m/>
    <n v="1"/>
    <m/>
    <n v="0"/>
    <m/>
    <s v="05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60050101"/>
    <n v="1"/>
    <m/>
    <x v="155"/>
    <m/>
    <s v="ECG DAY FRIDAY 50 ML BTL RELAUNCH"/>
    <x v="0"/>
    <m/>
    <x v="2"/>
    <s v=""/>
    <s v="K1111"/>
    <x v="140"/>
    <n v="14"/>
    <s v="KNF X 36"/>
    <n v="8"/>
    <s v="KNF"/>
    <s v="K1"/>
    <m/>
    <n v="11"/>
    <m/>
    <n v="1"/>
    <m/>
    <n v="0"/>
    <m/>
    <s v="06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60100101"/>
    <n v="1"/>
    <m/>
    <x v="156"/>
    <m/>
    <s v="ECG DAY FRIDAY 100 ML BTL RELAUNCH"/>
    <x v="0"/>
    <m/>
    <x v="2"/>
    <s v=""/>
    <s v="K1111"/>
    <x v="141"/>
    <n v="14"/>
    <s v="KNF X 36"/>
    <n v="8"/>
    <s v="KNF"/>
    <s v="K1"/>
    <m/>
    <n v="11"/>
    <m/>
    <n v="1"/>
    <m/>
    <n v="0"/>
    <m/>
    <s v="06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70050101"/>
    <n v="1"/>
    <m/>
    <x v="157"/>
    <m/>
    <s v="ECG DAY SATURDAY 50 ML BTL RELAUNCH"/>
    <x v="0"/>
    <m/>
    <x v="2"/>
    <s v=""/>
    <s v="K1111"/>
    <x v="142"/>
    <n v="14"/>
    <s v="KNF X 36"/>
    <n v="8"/>
    <s v="KNF"/>
    <s v="K1"/>
    <m/>
    <n v="11"/>
    <m/>
    <n v="1"/>
    <m/>
    <n v="0"/>
    <m/>
    <s v="07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70100101"/>
    <n v="1"/>
    <m/>
    <x v="158"/>
    <m/>
    <s v="ECG DAY SATURDAY 100 ML BTL RELAUNCH"/>
    <x v="0"/>
    <m/>
    <x v="2"/>
    <s v=""/>
    <s v="K1111"/>
    <x v="143"/>
    <n v="14"/>
    <s v="KNF X 36"/>
    <n v="8"/>
    <s v="KNF"/>
    <s v="K1"/>
    <m/>
    <n v="11"/>
    <m/>
    <n v="1"/>
    <m/>
    <n v="0"/>
    <m/>
    <s v="07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80050101"/>
    <n v="1"/>
    <m/>
    <x v="159"/>
    <m/>
    <s v="ECG DAY SUNDAY 50 ML BTL RELAUNCH"/>
    <x v="0"/>
    <m/>
    <x v="2"/>
    <s v=""/>
    <s v="K1111"/>
    <x v="144"/>
    <n v="14"/>
    <s v="KNF X 36"/>
    <n v="8"/>
    <s v="KNF"/>
    <s v="K1"/>
    <m/>
    <n v="11"/>
    <m/>
    <n v="1"/>
    <m/>
    <n v="0"/>
    <m/>
    <s v="08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80100101"/>
    <n v="1"/>
    <m/>
    <x v="160"/>
    <m/>
    <s v="ECG DAY SUNDAY 100 ML BTL RELAUNCH"/>
    <x v="0"/>
    <m/>
    <x v="2"/>
    <s v=""/>
    <s v="K1111"/>
    <x v="145"/>
    <n v="14"/>
    <s v="KNF X 36"/>
    <n v="8"/>
    <s v="KNF"/>
    <s v="K1"/>
    <m/>
    <n v="11"/>
    <m/>
    <n v="1"/>
    <m/>
    <n v="0"/>
    <m/>
    <s v="08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10090050101"/>
    <n v="1"/>
    <m/>
    <x v="161"/>
    <m/>
    <s v="ECG DAY ROMANTIC 50 ML BTL RELAUNCH"/>
    <x v="0"/>
    <m/>
    <x v="2"/>
    <s v=""/>
    <s v="K1111"/>
    <x v="146"/>
    <n v="14"/>
    <s v="KNF X 36"/>
    <n v="8"/>
    <s v="KNF"/>
    <s v="K1"/>
    <m/>
    <n v="11"/>
    <m/>
    <n v="1"/>
    <m/>
    <n v="0"/>
    <m/>
    <s v="09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110090100101"/>
    <n v="1"/>
    <m/>
    <x v="162"/>
    <m/>
    <s v="ECG DAY ROMANTIC 100 ML BTL RELAUNCH"/>
    <x v="0"/>
    <m/>
    <x v="2"/>
    <s v=""/>
    <s v="K1111"/>
    <x v="147"/>
    <n v="14"/>
    <s v="KNF X 36"/>
    <n v="8"/>
    <s v="KNF"/>
    <s v="K1"/>
    <m/>
    <n v="11"/>
    <m/>
    <n v="1"/>
    <m/>
    <n v="0"/>
    <m/>
    <s v="09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20010100101"/>
    <n v="1"/>
    <m/>
    <x v="163"/>
    <m/>
    <s v="ESK EDP BLUSHING 100ML BTL -1907"/>
    <x v="2"/>
    <m/>
    <x v="2"/>
    <s v=""/>
    <s v="K1112"/>
    <x v="148"/>
    <n v="14"/>
    <s v="KNF X 24"/>
    <n v="8"/>
    <s v="KNF"/>
    <s v="K1"/>
    <m/>
    <n v="11"/>
    <m/>
    <n v="2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20020100101"/>
    <n v="1"/>
    <m/>
    <x v="164"/>
    <m/>
    <s v="ESK EDP ENCHANTING 100ML BTL -1907"/>
    <x v="2"/>
    <m/>
    <x v="2"/>
    <s v=""/>
    <s v="K1112"/>
    <x v="149"/>
    <n v="14"/>
    <s v="KNF X 24"/>
    <n v="8"/>
    <s v="KNF"/>
    <s v="K1"/>
    <m/>
    <n v="11"/>
    <m/>
    <n v="2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130010070101"/>
    <n v="1"/>
    <m/>
    <x v="165"/>
    <m/>
    <s v="ESK SPL COL FIRST SIGHT 70 ML BTL"/>
    <x v="0"/>
    <m/>
    <x v="2"/>
    <s v=""/>
    <s v="K1113"/>
    <x v="150"/>
    <n v="14"/>
    <s v="KNF X 36"/>
    <n v="8"/>
    <s v="KNF"/>
    <s v="K1"/>
    <m/>
    <n v="11"/>
    <m/>
    <n v="3"/>
    <m/>
    <n v="0"/>
    <m/>
    <s v="01"/>
    <m/>
    <s v="007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0"/>
    <n v="0"/>
    <m/>
    <m/>
    <s v="KRT"/>
    <s v="GD01"/>
    <n v="11611"/>
    <n v="11612"/>
    <m/>
    <n v="1"/>
  </r>
  <r>
    <s v="K11130010125101"/>
    <n v="1"/>
    <m/>
    <x v="166"/>
    <m/>
    <s v="ESK SPL COL FIRST SIGHT 125 ML BTL"/>
    <x v="0"/>
    <m/>
    <x v="2"/>
    <s v=""/>
    <s v="K1113"/>
    <x v="151"/>
    <n v="14"/>
    <s v="KNF X 36"/>
    <n v="8"/>
    <s v="KNF"/>
    <s v="K1"/>
    <m/>
    <n v="11"/>
    <m/>
    <n v="3"/>
    <m/>
    <n v="0"/>
    <m/>
    <s v="0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130020070101"/>
    <n v="1"/>
    <m/>
    <x v="167"/>
    <m/>
    <s v="ESK SPL COL FIRST LOVE 70 ML BTL"/>
    <x v="0"/>
    <m/>
    <x v="2"/>
    <s v=""/>
    <s v="K1113"/>
    <x v="152"/>
    <n v="14"/>
    <s v="KNF X 36"/>
    <n v="8"/>
    <s v="KNF"/>
    <s v="K1"/>
    <m/>
    <n v="11"/>
    <m/>
    <n v="3"/>
    <m/>
    <n v="0"/>
    <m/>
    <s v="02"/>
    <m/>
    <s v="007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0"/>
    <n v="0"/>
    <m/>
    <m/>
    <s v="KRT"/>
    <s v="GD01"/>
    <n v="11611"/>
    <n v="11612"/>
    <m/>
    <n v="1"/>
  </r>
  <r>
    <s v="K11130020125101"/>
    <n v="1"/>
    <m/>
    <x v="168"/>
    <m/>
    <s v="ESK SPL COL FIRST LOVE 125 ML BTL"/>
    <x v="0"/>
    <m/>
    <x v="2"/>
    <s v=""/>
    <s v="K1113"/>
    <x v="153"/>
    <n v="14"/>
    <s v="KNF X 36"/>
    <n v="8"/>
    <s v="KNF"/>
    <s v="K1"/>
    <m/>
    <n v="11"/>
    <m/>
    <n v="3"/>
    <m/>
    <n v="0"/>
    <m/>
    <s v="0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130030070101"/>
    <n v="1"/>
    <m/>
    <x v="169"/>
    <m/>
    <s v="ESK SPL COL FIRST DATE 70 ML BTL"/>
    <x v="0"/>
    <m/>
    <x v="2"/>
    <s v=""/>
    <s v="K1113"/>
    <x v="154"/>
    <n v="14"/>
    <s v="KNF X 36"/>
    <n v="8"/>
    <s v="KNF"/>
    <s v="K1"/>
    <m/>
    <n v="11"/>
    <m/>
    <n v="3"/>
    <m/>
    <n v="0"/>
    <m/>
    <s v="03"/>
    <m/>
    <s v="007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0"/>
    <n v="0"/>
    <m/>
    <m/>
    <s v="KRT"/>
    <s v="GD01"/>
    <n v="11611"/>
    <n v="11612"/>
    <m/>
    <n v="1"/>
  </r>
  <r>
    <s v="K11130030125101"/>
    <n v="1"/>
    <m/>
    <x v="170"/>
    <m/>
    <s v="ESK SPL COL FIRST DATE 125 ML BTL"/>
    <x v="0"/>
    <m/>
    <x v="2"/>
    <s v=""/>
    <s v="K1113"/>
    <x v="155"/>
    <n v="14"/>
    <s v="KNF X 36"/>
    <n v="8"/>
    <s v="KNF"/>
    <s v="K1"/>
    <m/>
    <n v="11"/>
    <m/>
    <n v="3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130040070101"/>
    <n v="1"/>
    <m/>
    <x v="171"/>
    <m/>
    <s v="ESK SPL COL FIRST KISS 70 ML BTL"/>
    <x v="0"/>
    <m/>
    <x v="2"/>
    <s v=""/>
    <s v="K1113"/>
    <x v="156"/>
    <n v="14"/>
    <s v="KNF X 36"/>
    <n v="8"/>
    <s v="KNF"/>
    <s v="K1"/>
    <m/>
    <n v="11"/>
    <m/>
    <n v="3"/>
    <m/>
    <n v="0"/>
    <m/>
    <s v="04"/>
    <m/>
    <s v="007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0"/>
    <n v="0"/>
    <m/>
    <m/>
    <s v="KRT"/>
    <s v="GD01"/>
    <n v="11611"/>
    <n v="11612"/>
    <m/>
    <n v="1"/>
  </r>
  <r>
    <s v="K11130040125101"/>
    <n v="1"/>
    <m/>
    <x v="172"/>
    <m/>
    <s v="ESK SPL COL FIRST KISS 125 ML BTL"/>
    <x v="0"/>
    <m/>
    <x v="2"/>
    <s v=""/>
    <s v="K1113"/>
    <x v="157"/>
    <n v="14"/>
    <s v="KNF X 36"/>
    <n v="8"/>
    <s v="KNF"/>
    <s v="K1"/>
    <m/>
    <n v="11"/>
    <m/>
    <n v="3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140010065101"/>
    <n v="1"/>
    <m/>
    <x v="173"/>
    <m/>
    <s v="ESK SPR COL CHEER THE WORLD 65 ML BTL"/>
    <x v="0"/>
    <m/>
    <x v="2"/>
    <s v=""/>
    <s v="K1114"/>
    <x v="158"/>
    <n v="14"/>
    <s v="KNF X 36"/>
    <n v="8"/>
    <s v="KNF"/>
    <s v="K1"/>
    <m/>
    <n v="11"/>
    <m/>
    <n v="4"/>
    <m/>
    <n v="0"/>
    <m/>
    <s v="01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1140010105101"/>
    <n v="1"/>
    <m/>
    <x v="174"/>
    <m/>
    <s v="ESK SPR COL CHEER THE WORLD 105ML NEW"/>
    <x v="0"/>
    <m/>
    <x v="2"/>
    <s v=""/>
    <s v="K1114"/>
    <x v="159"/>
    <n v="14"/>
    <s v="KNF X 36"/>
    <n v="8"/>
    <s v="KNF"/>
    <s v="K1"/>
    <m/>
    <n v="11"/>
    <m/>
    <n v="4"/>
    <m/>
    <n v="0"/>
    <m/>
    <s v="01"/>
    <m/>
    <s v="010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1140020065101"/>
    <n v="1"/>
    <m/>
    <x v="175"/>
    <m/>
    <s v="ESK SPR COL GOOD NIGHT KISS 65 ML BTL"/>
    <x v="0"/>
    <m/>
    <x v="2"/>
    <s v=""/>
    <s v="K1114"/>
    <x v="160"/>
    <n v="14"/>
    <s v="KNF X 36"/>
    <n v="8"/>
    <s v="KNF"/>
    <s v="K1"/>
    <m/>
    <n v="11"/>
    <m/>
    <n v="4"/>
    <m/>
    <n v="0"/>
    <m/>
    <s v="02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1140020105101"/>
    <n v="1"/>
    <m/>
    <x v="176"/>
    <m/>
    <s v="ESK SPR COL GOOD NIGHT KISS 105ML NEW"/>
    <x v="0"/>
    <m/>
    <x v="2"/>
    <s v=""/>
    <s v="K1114"/>
    <x v="161"/>
    <n v="14"/>
    <s v="KNF X 36"/>
    <n v="8"/>
    <s v="KNF"/>
    <s v="K1"/>
    <m/>
    <n v="11"/>
    <m/>
    <n v="4"/>
    <m/>
    <n v="0"/>
    <m/>
    <s v="02"/>
    <m/>
    <s v="010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1140030065101"/>
    <n v="1"/>
    <m/>
    <x v="177"/>
    <m/>
    <s v="ESK SPR COL SHAKE YOUR BODY 65ML NEW"/>
    <x v="0"/>
    <m/>
    <x v="2"/>
    <s v=""/>
    <s v="K1114"/>
    <x v="162"/>
    <n v="14"/>
    <s v="KNF X 36"/>
    <n v="8"/>
    <s v="KNF"/>
    <s v="K1"/>
    <m/>
    <n v="11"/>
    <m/>
    <n v="4"/>
    <m/>
    <n v="0"/>
    <m/>
    <s v="03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1140030105101"/>
    <n v="1"/>
    <m/>
    <x v="178"/>
    <m/>
    <s v="ESK SPR COL SHAKE YOUR BODY 105ML NEW"/>
    <x v="0"/>
    <m/>
    <x v="2"/>
    <s v=""/>
    <s v="K1114"/>
    <x v="163"/>
    <n v="14"/>
    <s v="KNF X 36"/>
    <n v="8"/>
    <s v="KNF"/>
    <s v="K1"/>
    <m/>
    <n v="11"/>
    <m/>
    <n v="4"/>
    <m/>
    <n v="0"/>
    <m/>
    <s v="03"/>
    <m/>
    <s v="010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1140040065101"/>
    <n v="1"/>
    <m/>
    <x v="179"/>
    <m/>
    <s v="ESK SPR COL WAKE UP GIRL 65ML NEW"/>
    <x v="0"/>
    <m/>
    <x v="2"/>
    <s v=""/>
    <s v="K1114"/>
    <x v="164"/>
    <n v="14"/>
    <s v="KNF X 36"/>
    <n v="8"/>
    <s v="KNF"/>
    <s v="K1"/>
    <m/>
    <n v="11"/>
    <m/>
    <n v="4"/>
    <m/>
    <n v="0"/>
    <m/>
    <s v="04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1140040105101"/>
    <n v="1"/>
    <m/>
    <x v="180"/>
    <m/>
    <s v="ESK SPR COL WAKE UP GIRL 105ML NEW"/>
    <x v="0"/>
    <m/>
    <x v="2"/>
    <s v=""/>
    <s v="K1114"/>
    <x v="165"/>
    <n v="14"/>
    <s v="KNF X 36"/>
    <n v="8"/>
    <s v="KNF"/>
    <s v="K1"/>
    <m/>
    <n v="11"/>
    <m/>
    <n v="4"/>
    <m/>
    <n v="0"/>
    <m/>
    <s v="04"/>
    <m/>
    <s v="010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1210010125101"/>
    <n v="1"/>
    <m/>
    <x v="181"/>
    <m/>
    <s v="ESK BODY MIST PINK BLOSSOM 125 ML BTL"/>
    <x v="0"/>
    <m/>
    <x v="2"/>
    <s v=""/>
    <s v="K1121"/>
    <x v="166"/>
    <n v="14"/>
    <s v="KNF X 36"/>
    <n v="8"/>
    <s v="KNF"/>
    <s v="K1"/>
    <m/>
    <n v="12"/>
    <m/>
    <n v="1"/>
    <m/>
    <n v="0"/>
    <m/>
    <s v="0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10125102"/>
    <n v="2"/>
    <m/>
    <x v="182"/>
    <m/>
    <s v="ESK HJB B.MIST PINK BLOSSOM 125ML BTL"/>
    <x v="0"/>
    <m/>
    <x v="2"/>
    <s v=""/>
    <s v="K1121"/>
    <x v="166"/>
    <n v="14"/>
    <s v="KNF X 36"/>
    <n v="8"/>
    <s v="KNF"/>
    <s v="K1"/>
    <m/>
    <n v="12"/>
    <m/>
    <n v="1"/>
    <m/>
    <n v="0"/>
    <m/>
    <s v="0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20125101"/>
    <n v="1"/>
    <m/>
    <x v="183"/>
    <m/>
    <s v="ESK BODY MIST BLUE TEMPTATION 125 ML BTL"/>
    <x v="0"/>
    <m/>
    <x v="2"/>
    <s v=""/>
    <s v="K1121"/>
    <x v="167"/>
    <n v="14"/>
    <s v="KNF X 36"/>
    <n v="8"/>
    <s v="KNF"/>
    <s v="K1"/>
    <m/>
    <n v="12"/>
    <m/>
    <n v="1"/>
    <m/>
    <n v="0"/>
    <m/>
    <s v="0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20125102"/>
    <n v="2"/>
    <m/>
    <x v="184"/>
    <m/>
    <s v="ESK HJB B.MIST BLUE TEMPT 125ML BTL"/>
    <x v="0"/>
    <m/>
    <x v="2"/>
    <s v=""/>
    <s v="K1121"/>
    <x v="167"/>
    <n v="14"/>
    <s v="KNF X 36"/>
    <n v="8"/>
    <s v="KNF"/>
    <s v="K1"/>
    <m/>
    <n v="12"/>
    <m/>
    <n v="1"/>
    <m/>
    <n v="0"/>
    <m/>
    <s v="0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30125101"/>
    <n v="1"/>
    <m/>
    <x v="185"/>
    <m/>
    <s v="ESK BODY MIST DAZZLING PURPLE 125 ML BTL"/>
    <x v="0"/>
    <m/>
    <x v="2"/>
    <s v=""/>
    <s v="K1121"/>
    <x v="168"/>
    <n v="14"/>
    <s v="KNF X 36"/>
    <n v="8"/>
    <s v="KNF"/>
    <s v="K1"/>
    <m/>
    <n v="12"/>
    <m/>
    <n v="1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30125102"/>
    <n v="2"/>
    <m/>
    <x v="186"/>
    <m/>
    <s v="ESK HJB B.MIST DAZZ PURPLE 125ML BTL"/>
    <x v="0"/>
    <m/>
    <x v="2"/>
    <s v=""/>
    <s v="K1121"/>
    <x v="168"/>
    <n v="14"/>
    <s v="KNF X 36"/>
    <n v="8"/>
    <s v="KNF"/>
    <s v="K1"/>
    <m/>
    <n v="12"/>
    <m/>
    <n v="1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40125101"/>
    <n v="1"/>
    <m/>
    <x v="187"/>
    <m/>
    <s v="ESK BODY MIST SPARKLING YELLOW 125 ML BT"/>
    <x v="0"/>
    <m/>
    <x v="2"/>
    <s v=""/>
    <s v="K1121"/>
    <x v="169"/>
    <n v="14"/>
    <s v="KNF X 36"/>
    <n v="8"/>
    <s v="KNF"/>
    <s v="K1"/>
    <m/>
    <n v="12"/>
    <m/>
    <n v="1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40125102"/>
    <n v="2"/>
    <m/>
    <x v="188"/>
    <m/>
    <s v="ESK HJB B.MIST SPARK YELLOW 125ML BTL"/>
    <x v="0"/>
    <m/>
    <x v="2"/>
    <s v=""/>
    <s v="K1121"/>
    <x v="169"/>
    <n v="14"/>
    <s v="KNF X 36"/>
    <n v="8"/>
    <s v="KNF"/>
    <s v="K1"/>
    <m/>
    <n v="12"/>
    <m/>
    <n v="1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50125101"/>
    <n v="1"/>
    <m/>
    <x v="189"/>
    <m/>
    <s v="ESK BODY MIST GREEN FANTASY 125 ML BTL"/>
    <x v="0"/>
    <m/>
    <x v="2"/>
    <s v=""/>
    <s v="K1121"/>
    <x v="170"/>
    <n v="14"/>
    <s v="KNF X 36"/>
    <n v="8"/>
    <s v="KNF"/>
    <s v="K1"/>
    <m/>
    <n v="12"/>
    <m/>
    <n v="1"/>
    <m/>
    <n v="0"/>
    <m/>
    <s v="05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10050125102"/>
    <n v="2"/>
    <m/>
    <x v="190"/>
    <m/>
    <s v="ESK HJB B.MIST GREEN FANTASY 125ML BTL"/>
    <x v="0"/>
    <m/>
    <x v="2"/>
    <s v=""/>
    <s v="K1121"/>
    <x v="170"/>
    <n v="14"/>
    <s v="KNF X 36"/>
    <n v="8"/>
    <s v="KNF"/>
    <s v="K1"/>
    <m/>
    <n v="12"/>
    <m/>
    <n v="1"/>
    <m/>
    <n v="0"/>
    <m/>
    <s v="05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220010100101"/>
    <n v="1"/>
    <m/>
    <x v="191"/>
    <m/>
    <s v="ESK HJB CG FRESH DAY 100ML BTL-1908"/>
    <x v="0"/>
    <m/>
    <x v="2"/>
    <s v=""/>
    <s v="K1122"/>
    <x v="171"/>
    <n v="14"/>
    <s v="KNF X 36"/>
    <n v="8"/>
    <s v="KNF"/>
    <s v="K1"/>
    <m/>
    <n v="12"/>
    <m/>
    <n v="2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220020100101"/>
    <n v="1"/>
    <m/>
    <x v="192"/>
    <m/>
    <s v="ESK HJB CG PERFECT DAY 100ML BTL- 1908"/>
    <x v="0"/>
    <m/>
    <x v="2"/>
    <s v=""/>
    <s v="K1122"/>
    <x v="172"/>
    <n v="14"/>
    <s v="KNF X 36"/>
    <n v="8"/>
    <s v="KNF"/>
    <s v="K1"/>
    <m/>
    <n v="12"/>
    <m/>
    <n v="2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310010110101"/>
    <n v="1"/>
    <m/>
    <x v="193"/>
    <m/>
    <s v="ESK SPR JAPAN LOVE SUNSHINE KISS 110ML"/>
    <x v="0"/>
    <m/>
    <x v="2"/>
    <s v=""/>
    <s v="K1131"/>
    <x v="173"/>
    <n v="14"/>
    <s v="KNF X 36"/>
    <n v="8"/>
    <s v="KNF"/>
    <s v="K1"/>
    <m/>
    <n v="13"/>
    <m/>
    <n v="1"/>
    <m/>
    <n v="0"/>
    <m/>
    <s v="01"/>
    <m/>
    <s v="01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1310020110201"/>
    <n v="1"/>
    <m/>
    <x v="194"/>
    <m/>
    <s v="ESK SPR JAPAN LOVE SPRING MELODY 110ML"/>
    <x v="0"/>
    <m/>
    <x v="2"/>
    <s v=""/>
    <s v="K1131"/>
    <x v="174"/>
    <n v="14"/>
    <s v="KNF X 36"/>
    <n v="8"/>
    <s v="KNF"/>
    <s v="K1"/>
    <m/>
    <n v="13"/>
    <m/>
    <n v="1"/>
    <m/>
    <n v="0"/>
    <m/>
    <s v="02"/>
    <m/>
    <s v="01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1310030110101"/>
    <n v="1"/>
    <m/>
    <x v="195"/>
    <m/>
    <s v="ESK SPR JAPAN LOVE CHEERFUL SWING 110ML"/>
    <x v="0"/>
    <m/>
    <x v="2"/>
    <s v=""/>
    <s v="K1131"/>
    <x v="175"/>
    <n v="14"/>
    <s v="KNF X 36"/>
    <n v="8"/>
    <s v="KNF"/>
    <s v="K1"/>
    <m/>
    <n v="13"/>
    <m/>
    <n v="1"/>
    <m/>
    <n v="0"/>
    <m/>
    <s v="03"/>
    <m/>
    <s v="01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1310040110201"/>
    <n v="1"/>
    <m/>
    <x v="196"/>
    <m/>
    <s v="ESK SPR JAPAN LOVE MIDNIGHT DREAM 110ML"/>
    <x v="0"/>
    <m/>
    <x v="2"/>
    <s v=""/>
    <s v="K1131"/>
    <x v="176"/>
    <n v="14"/>
    <s v="KNF X 36"/>
    <n v="8"/>
    <s v="KNF"/>
    <s v="K1"/>
    <m/>
    <n v="13"/>
    <m/>
    <n v="1"/>
    <m/>
    <n v="0"/>
    <m/>
    <s v="04"/>
    <m/>
    <s v="01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1410010110101"/>
    <n v="1"/>
    <m/>
    <x v="197"/>
    <m/>
    <s v="ESK KOREAN SPR COL SPRING SEOUL 110ML"/>
    <x v="0"/>
    <m/>
    <x v="2"/>
    <s v=""/>
    <s v="K1141"/>
    <x v="177"/>
    <n v="14"/>
    <s v="KNF X 36"/>
    <n v="8"/>
    <s v="KNF"/>
    <s v="K1"/>
    <m/>
    <n v="14"/>
    <m/>
    <n v="1"/>
    <m/>
    <n v="0"/>
    <m/>
    <s v="01"/>
    <m/>
    <s v="01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1410020110101"/>
    <n v="1"/>
    <m/>
    <x v="198"/>
    <m/>
    <s v="ESK KOREAN SPR COL AUTUMN BUSAN 110ML"/>
    <x v="0"/>
    <m/>
    <x v="2"/>
    <s v=""/>
    <s v="K1141"/>
    <x v="178"/>
    <n v="14"/>
    <s v="KNF X 36"/>
    <n v="8"/>
    <s v="KNF"/>
    <s v="K1"/>
    <m/>
    <n v="14"/>
    <m/>
    <n v="1"/>
    <m/>
    <n v="0"/>
    <m/>
    <s v="02"/>
    <m/>
    <s v="01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1410030110101"/>
    <n v="1"/>
    <m/>
    <x v="199"/>
    <m/>
    <s v="ESK KOREAN SPR COL WINTER JEJU 110ML"/>
    <x v="0"/>
    <m/>
    <x v="2"/>
    <s v=""/>
    <s v="K1141"/>
    <x v="179"/>
    <n v="14"/>
    <s v="KNF X 36"/>
    <n v="8"/>
    <s v="KNF"/>
    <s v="K1"/>
    <m/>
    <n v="14"/>
    <m/>
    <n v="1"/>
    <m/>
    <n v="0"/>
    <m/>
    <s v="03"/>
    <m/>
    <s v="01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10"/>
    <n v="0"/>
    <m/>
    <m/>
    <s v="KRT"/>
    <s v="GD01"/>
    <n v="11611"/>
    <n v="11612"/>
    <m/>
    <n v="1"/>
  </r>
  <r>
    <s v="K11510010050101"/>
    <n v="1"/>
    <m/>
    <x v="200"/>
    <m/>
    <s v="ESK CG FAIRIES HAPPY THOUGHT 50 ML BTL"/>
    <x v="0"/>
    <m/>
    <x v="2"/>
    <s v=""/>
    <s v="K1151"/>
    <x v="180"/>
    <n v="14"/>
    <s v="KNF X 36"/>
    <n v="8"/>
    <s v="KNF"/>
    <s v="K1"/>
    <m/>
    <n v="15"/>
    <m/>
    <n v="1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20010200101"/>
    <n v="1"/>
    <m/>
    <x v="201"/>
    <m/>
    <s v="ESK DISNEY FBW MICKEY 200 ML BTL"/>
    <x v="2"/>
    <m/>
    <x v="2"/>
    <s v=""/>
    <s v="K1152"/>
    <x v="181"/>
    <n v="14"/>
    <s v="KNF X 24"/>
    <n v="8"/>
    <s v="KNF"/>
    <s v="K1"/>
    <m/>
    <n v="15"/>
    <m/>
    <n v="2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20010200101"/>
    <n v="1"/>
    <m/>
    <x v="202"/>
    <m/>
    <s v="ESK DISNEY FBW MICKEY 200 ML POUCH"/>
    <x v="2"/>
    <m/>
    <x v="2"/>
    <s v=""/>
    <s v="K1152"/>
    <x v="181"/>
    <n v="14"/>
    <s v="KNF X 24"/>
    <n v="8"/>
    <s v="KNF"/>
    <s v="K1"/>
    <m/>
    <n v="15"/>
    <m/>
    <n v="2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20020200201"/>
    <n v="1"/>
    <m/>
    <x v="203"/>
    <m/>
    <s v="ESK DISNEY FBW POOH 200 ML BTL"/>
    <x v="2"/>
    <m/>
    <x v="2"/>
    <s v=""/>
    <s v="K1152"/>
    <x v="182"/>
    <n v="14"/>
    <s v="KNF X 24"/>
    <n v="8"/>
    <s v="KNF"/>
    <s v="K1"/>
    <m/>
    <n v="15"/>
    <m/>
    <n v="2"/>
    <m/>
    <n v="0"/>
    <m/>
    <s v="02"/>
    <m/>
    <s v="02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20020200101"/>
    <n v="1"/>
    <m/>
    <x v="204"/>
    <m/>
    <s v="ESK DISNEY FBW POOH 200 ML POUCH"/>
    <x v="2"/>
    <m/>
    <x v="2"/>
    <s v=""/>
    <s v="K1152"/>
    <x v="183"/>
    <n v="14"/>
    <s v="KNF X 24"/>
    <n v="8"/>
    <s v="KNF"/>
    <s v="K1"/>
    <m/>
    <n v="15"/>
    <m/>
    <n v="2"/>
    <m/>
    <n v="0"/>
    <m/>
    <s v="02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30010050101"/>
    <n v="1"/>
    <m/>
    <x v="205"/>
    <m/>
    <s v="ESK DISNEY HS DONALD 50ML BTL -1810"/>
    <x v="0"/>
    <m/>
    <x v="2"/>
    <s v=""/>
    <s v="K1153"/>
    <x v="184"/>
    <n v="14"/>
    <s v="KNF X 36"/>
    <n v="8"/>
    <s v="KNF"/>
    <s v="K1"/>
    <m/>
    <n v="15"/>
    <m/>
    <n v="3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10050102"/>
    <n v="2"/>
    <m/>
    <x v="206"/>
    <m/>
    <s v="ESK KIDS HS GEL DONALD 50ML BTL ECG-2003"/>
    <x v="0"/>
    <m/>
    <x v="2"/>
    <s v=""/>
    <s v="K1153"/>
    <x v="184"/>
    <n v="14"/>
    <s v="KNF X 36"/>
    <n v="8"/>
    <s v="KNF"/>
    <s v="K1"/>
    <m/>
    <n v="15"/>
    <m/>
    <n v="3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10050103"/>
    <n v="3"/>
    <m/>
    <x v="207"/>
    <m/>
    <s v="ESK KIDS HS GEL DONALD 50ML BTL -2005"/>
    <x v="0"/>
    <m/>
    <x v="2"/>
    <s v=""/>
    <s v="K1153"/>
    <x v="184"/>
    <n v="14"/>
    <s v="KNF X 36"/>
    <n v="8"/>
    <s v="KNF"/>
    <s v="K1"/>
    <m/>
    <n v="15"/>
    <m/>
    <n v="3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20050101"/>
    <n v="1"/>
    <m/>
    <x v="208"/>
    <m/>
    <s v="ESK DISNEY HS MICKEY 50ML BTL -1810"/>
    <x v="0"/>
    <m/>
    <x v="2"/>
    <s v=""/>
    <s v="K1153"/>
    <x v="185"/>
    <n v="14"/>
    <s v="KNF X 36"/>
    <n v="8"/>
    <s v="KNF"/>
    <s v="K1"/>
    <m/>
    <n v="15"/>
    <m/>
    <n v="3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20050202"/>
    <n v="2"/>
    <m/>
    <x v="209"/>
    <m/>
    <s v="ESK KIDS HS GEL MICKEY 50ML BTL ECG-2003"/>
    <x v="0"/>
    <m/>
    <x v="2"/>
    <s v=""/>
    <s v="K1153"/>
    <x v="186"/>
    <n v="14"/>
    <s v="KNF X 36"/>
    <n v="8"/>
    <s v="KNF"/>
    <s v="K1"/>
    <m/>
    <n v="15"/>
    <m/>
    <n v="3"/>
    <m/>
    <n v="0"/>
    <m/>
    <s v="02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20050203"/>
    <n v="3"/>
    <m/>
    <x v="210"/>
    <m/>
    <s v="ESK KIDS HS GEL MICKEY 50ML BTL RVR-2003"/>
    <x v="0"/>
    <m/>
    <x v="2"/>
    <s v=""/>
    <s v="K1153"/>
    <x v="186"/>
    <n v="14"/>
    <s v="KNF X 36"/>
    <n v="8"/>
    <s v="KNF"/>
    <s v="K1"/>
    <m/>
    <n v="15"/>
    <m/>
    <n v="3"/>
    <m/>
    <n v="0"/>
    <m/>
    <s v="02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20050204"/>
    <n v="4"/>
    <m/>
    <x v="211"/>
    <m/>
    <s v="ESK KIDS HS GEL MICKEY 50ML BTL -2005"/>
    <x v="0"/>
    <m/>
    <x v="2"/>
    <s v=""/>
    <s v="K1153"/>
    <x v="186"/>
    <n v="14"/>
    <s v="KNF X 36"/>
    <n v="8"/>
    <s v="KNF"/>
    <s v="K1"/>
    <m/>
    <n v="15"/>
    <m/>
    <n v="3"/>
    <m/>
    <n v="0"/>
    <m/>
    <s v="02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30050201"/>
    <n v="1"/>
    <m/>
    <x v="212"/>
    <m/>
    <s v="ESK DISNEY HS POOH 50ML BTL -1810"/>
    <x v="0"/>
    <m/>
    <x v="2"/>
    <s v=""/>
    <s v="K1153"/>
    <x v="187"/>
    <n v="14"/>
    <s v="KNF X 36"/>
    <n v="8"/>
    <s v="KNF"/>
    <s v="K1"/>
    <m/>
    <n v="15"/>
    <m/>
    <n v="3"/>
    <m/>
    <n v="0"/>
    <m/>
    <s v="03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30050202"/>
    <n v="2"/>
    <m/>
    <x v="213"/>
    <m/>
    <s v="ESK KIDS HS GEL POOH 50ML BTL ECG-2003"/>
    <x v="0"/>
    <m/>
    <x v="2"/>
    <s v=""/>
    <s v="K1153"/>
    <x v="187"/>
    <n v="14"/>
    <s v="KNF X 36"/>
    <n v="8"/>
    <s v="KNF"/>
    <s v="K1"/>
    <m/>
    <n v="15"/>
    <m/>
    <n v="3"/>
    <m/>
    <n v="0"/>
    <m/>
    <s v="03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30050203"/>
    <n v="3"/>
    <m/>
    <x v="214"/>
    <m/>
    <s v="ESK KIDS HS GEL POOH 50ML BTL -2005"/>
    <x v="0"/>
    <m/>
    <x v="2"/>
    <s v=""/>
    <s v="K1153"/>
    <x v="187"/>
    <n v="14"/>
    <s v="KNF X 36"/>
    <n v="8"/>
    <s v="KNF"/>
    <s v="K1"/>
    <m/>
    <n v="15"/>
    <m/>
    <n v="3"/>
    <m/>
    <n v="0"/>
    <m/>
    <s v="03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40050201"/>
    <n v="1"/>
    <m/>
    <x v="215"/>
    <m/>
    <s v="ESK DISNEY HS TIGGER 50ML BTL -1810"/>
    <x v="0"/>
    <m/>
    <x v="2"/>
    <s v=""/>
    <s v="K1153"/>
    <x v="188"/>
    <n v="14"/>
    <s v="KNF X 36"/>
    <n v="8"/>
    <s v="KNF"/>
    <s v="K1"/>
    <m/>
    <n v="15"/>
    <m/>
    <n v="3"/>
    <m/>
    <n v="0"/>
    <m/>
    <s v="04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40050202"/>
    <n v="2"/>
    <m/>
    <x v="216"/>
    <m/>
    <s v="ESK KIDS HS GEL TIGGER 50ML BTL ECG-2003"/>
    <x v="0"/>
    <m/>
    <x v="2"/>
    <s v=""/>
    <s v="K1153"/>
    <x v="188"/>
    <n v="14"/>
    <s v="KNF X 36"/>
    <n v="8"/>
    <s v="KNF"/>
    <s v="K1"/>
    <m/>
    <n v="15"/>
    <m/>
    <n v="3"/>
    <m/>
    <n v="0"/>
    <m/>
    <s v="04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40050203"/>
    <n v="3"/>
    <m/>
    <x v="217"/>
    <m/>
    <s v="ESK KIDS HS GEL TIGGER 50ML BTL RVR-2003"/>
    <x v="0"/>
    <m/>
    <x v="2"/>
    <s v=""/>
    <s v="K1153"/>
    <x v="188"/>
    <n v="14"/>
    <s v="KNF X 36"/>
    <n v="8"/>
    <s v="KNF"/>
    <s v="K1"/>
    <m/>
    <n v="15"/>
    <m/>
    <n v="3"/>
    <m/>
    <n v="0"/>
    <m/>
    <s v="04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40050204"/>
    <n v="4"/>
    <m/>
    <x v="218"/>
    <m/>
    <s v="ESK KIDS HS GEL TIGGER 50ML BTL -2005"/>
    <x v="0"/>
    <m/>
    <x v="2"/>
    <s v=""/>
    <s v="K1153"/>
    <x v="188"/>
    <n v="14"/>
    <s v="KNF X 36"/>
    <n v="8"/>
    <s v="KNF"/>
    <s v="K1"/>
    <m/>
    <n v="15"/>
    <m/>
    <n v="3"/>
    <m/>
    <n v="0"/>
    <m/>
    <s v="04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30050018201"/>
    <n v="1"/>
    <m/>
    <x v="219"/>
    <m/>
    <s v="ESK KIDS HS TSUMTSUM 18ML BTL -1810"/>
    <x v="6"/>
    <m/>
    <x v="2"/>
    <s v=""/>
    <s v="K1153"/>
    <x v="189"/>
    <n v="14"/>
    <s v="KNF X 72"/>
    <n v="8"/>
    <s v="KNF"/>
    <s v="K1"/>
    <m/>
    <n v="15"/>
    <m/>
    <n v="3"/>
    <m/>
    <n v="0"/>
    <m/>
    <s v="05"/>
    <m/>
    <s v="0018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8"/>
    <n v="0"/>
    <m/>
    <m/>
    <s v="KRT"/>
    <s v="GD01"/>
    <n v="11611"/>
    <n v="11612"/>
    <m/>
    <n v="1"/>
  </r>
  <r>
    <s v="K11530050050201"/>
    <n v="1"/>
    <m/>
    <x v="220"/>
    <m/>
    <s v="ESK KIDS HS TSUMTSUM 50ML BTL -2003"/>
    <x v="0"/>
    <m/>
    <x v="2"/>
    <s v=""/>
    <s v="K1153"/>
    <x v="190"/>
    <n v="14"/>
    <s v="KNF X 36"/>
    <n v="8"/>
    <s v="KNF"/>
    <s v="K1"/>
    <m/>
    <n v="15"/>
    <m/>
    <n v="3"/>
    <m/>
    <n v="0"/>
    <m/>
    <s v="05"/>
    <m/>
    <s v="00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40010150201"/>
    <n v="1"/>
    <m/>
    <x v="221"/>
    <m/>
    <s v="ESK PRINCESS PWD CINDERELLA 150G -1511"/>
    <x v="0"/>
    <m/>
    <x v="2"/>
    <s v=""/>
    <s v="K1154"/>
    <x v="191"/>
    <n v="14"/>
    <s v="KNF X 36"/>
    <n v="8"/>
    <s v="KNF"/>
    <s v="K1"/>
    <m/>
    <n v="15"/>
    <m/>
    <n v="4"/>
    <m/>
    <n v="0"/>
    <m/>
    <s v="01"/>
    <m/>
    <s v="01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1540020150201"/>
    <n v="1"/>
    <m/>
    <x v="222"/>
    <m/>
    <s v="ESK DISNEY PWD MINNIE 150G BTL -1608"/>
    <x v="0"/>
    <m/>
    <x v="2"/>
    <s v=""/>
    <s v="K1154"/>
    <x v="192"/>
    <n v="14"/>
    <s v="KNF X 36"/>
    <n v="8"/>
    <s v="KNF"/>
    <s v="K1"/>
    <m/>
    <n v="15"/>
    <m/>
    <n v="4"/>
    <m/>
    <n v="0"/>
    <m/>
    <s v="02"/>
    <m/>
    <s v="01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1540030150101"/>
    <n v="1"/>
    <m/>
    <x v="223"/>
    <m/>
    <s v="ESK DISNEY PWD POOH 150G BTL -1608"/>
    <x v="0"/>
    <m/>
    <x v="2"/>
    <s v=""/>
    <s v="K1154"/>
    <x v="193"/>
    <n v="14"/>
    <s v="KNF X 36"/>
    <n v="8"/>
    <s v="KNF"/>
    <s v="K1"/>
    <m/>
    <n v="15"/>
    <m/>
    <n v="4"/>
    <m/>
    <n v="0"/>
    <m/>
    <s v="03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1540040150401"/>
    <n v="1"/>
    <m/>
    <x v="224"/>
    <m/>
    <s v="ESK PWD PURE &amp; MILD 150G BTL -1608"/>
    <x v="0"/>
    <m/>
    <x v="2"/>
    <s v=""/>
    <s v="K1154"/>
    <x v="194"/>
    <n v="14"/>
    <s v="KNF X 36"/>
    <n v="8"/>
    <s v="KNF"/>
    <s v="K1"/>
    <m/>
    <n v="15"/>
    <m/>
    <n v="4"/>
    <m/>
    <n v="0"/>
    <m/>
    <s v="04"/>
    <m/>
    <s v="0150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1540050150101"/>
    <n v="1"/>
    <m/>
    <x v="225"/>
    <m/>
    <s v="ESK PRINCESS PWD S.WHITE 150G BTL -1511"/>
    <x v="0"/>
    <m/>
    <x v="2"/>
    <s v=""/>
    <s v="K1154"/>
    <x v="195"/>
    <n v="14"/>
    <s v="KNF X 36"/>
    <n v="8"/>
    <s v="KNF"/>
    <s v="K1"/>
    <m/>
    <n v="15"/>
    <m/>
    <n v="4"/>
    <m/>
    <n v="0"/>
    <m/>
    <s v="05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1550080010401"/>
    <n v="1"/>
    <m/>
    <x v="226"/>
    <m/>
    <s v="ESK DISNEY SHM FROZEN 10ML SCH PACK-1907"/>
    <x v="2"/>
    <m/>
    <x v="2"/>
    <s v=""/>
    <s v="K1155"/>
    <x v="196"/>
    <n v="14"/>
    <s v="KNF X 24"/>
    <n v="8"/>
    <s v="KNF"/>
    <s v="K1"/>
    <m/>
    <n v="15"/>
    <m/>
    <n v="5"/>
    <m/>
    <n v="0"/>
    <m/>
    <s v="08"/>
    <m/>
    <s v="0010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090010201"/>
    <n v="1"/>
    <m/>
    <x v="227"/>
    <m/>
    <s v="ESK DISNEY SHM MICKEY 10ML SCH PACK-1907"/>
    <x v="2"/>
    <m/>
    <x v="2"/>
    <s v=""/>
    <s v="K1155"/>
    <x v="197"/>
    <n v="14"/>
    <s v="KNF X 24"/>
    <n v="8"/>
    <s v="KNF"/>
    <s v="K1"/>
    <m/>
    <n v="15"/>
    <m/>
    <n v="5"/>
    <m/>
    <n v="0"/>
    <m/>
    <s v="09"/>
    <m/>
    <s v="00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090500201"/>
    <n v="1"/>
    <m/>
    <x v="228"/>
    <m/>
    <s v="ESK KIDS SHM MICKEY 500ML PCH -1402"/>
    <x v="5"/>
    <m/>
    <x v="2"/>
    <s v=""/>
    <s v="K1155"/>
    <x v="198"/>
    <n v="14"/>
    <s v="KNF X 12"/>
    <n v="8"/>
    <s v="KNF"/>
    <s v="K1"/>
    <m/>
    <n v="15"/>
    <m/>
    <n v="5"/>
    <m/>
    <n v="0"/>
    <m/>
    <s v="09"/>
    <m/>
    <s v="05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1550100010201"/>
    <n v="1"/>
    <m/>
    <x v="229"/>
    <m/>
    <s v="ESK DISNEY SHM MINNIE 10ML SCH -1905"/>
    <x v="3"/>
    <m/>
    <x v="2"/>
    <s v=""/>
    <s v="K1155"/>
    <x v="199"/>
    <n v="14"/>
    <s v="KNF X 120"/>
    <n v="9"/>
    <s v="KNF"/>
    <s v="K1"/>
    <m/>
    <n v="15"/>
    <m/>
    <n v="5"/>
    <m/>
    <n v="0"/>
    <m/>
    <n v="10"/>
    <m/>
    <s v="00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100010202"/>
    <n v="2"/>
    <m/>
    <x v="230"/>
    <m/>
    <s v="ESK DISNEY SHM MINNIE 10ML SCH PACK-1907"/>
    <x v="2"/>
    <m/>
    <x v="2"/>
    <s v=""/>
    <s v="K1155"/>
    <x v="199"/>
    <n v="14"/>
    <s v="KNF X 24"/>
    <n v="8"/>
    <s v="KNF"/>
    <s v="K1"/>
    <m/>
    <n v="15"/>
    <m/>
    <n v="5"/>
    <m/>
    <n v="0"/>
    <m/>
    <n v="10"/>
    <m/>
    <s v="001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100500301"/>
    <n v="1"/>
    <m/>
    <x v="231"/>
    <m/>
    <s v="ESK KIDS SHM MINNIE 500ML PCH -1402"/>
    <x v="5"/>
    <m/>
    <x v="2"/>
    <s v=""/>
    <s v="K1155"/>
    <x v="200"/>
    <n v="14"/>
    <s v="KNF X 12"/>
    <n v="8"/>
    <s v="KNF"/>
    <s v="K1"/>
    <m/>
    <n v="15"/>
    <m/>
    <n v="5"/>
    <m/>
    <n v="0"/>
    <m/>
    <n v="10"/>
    <m/>
    <s v="050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1560010250101"/>
    <n v="1"/>
    <m/>
    <x v="232"/>
    <m/>
    <s v="ESK DISNEY SHW GEL BLUE 250ML BTL -2"/>
    <x v="2"/>
    <m/>
    <x v="2"/>
    <s v=""/>
    <s v="K1156"/>
    <x v="201"/>
    <n v="14"/>
    <s v="KNF X 24"/>
    <n v="8"/>
    <s v="KNF"/>
    <s v="K1"/>
    <m/>
    <n v="15"/>
    <m/>
    <n v="6"/>
    <m/>
    <n v="0"/>
    <m/>
    <s v="01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20250401"/>
    <n v="1"/>
    <m/>
    <x v="233"/>
    <m/>
    <s v="ESK PRINCESS SHW GEL CINDERELLA 250ML BT"/>
    <x v="0"/>
    <m/>
    <x v="2"/>
    <s v=""/>
    <s v="K1156"/>
    <x v="202"/>
    <n v="14"/>
    <s v="KNF X 36"/>
    <n v="8"/>
    <s v="KNF"/>
    <s v="K1"/>
    <m/>
    <n v="15"/>
    <m/>
    <n v="6"/>
    <m/>
    <n v="0"/>
    <m/>
    <s v="02"/>
    <m/>
    <s v="0250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20250202"/>
    <n v="2"/>
    <m/>
    <x v="234"/>
    <m/>
    <s v="ESK KIDS SHW GEL CINDERELLA 250MLBTL-2"/>
    <x v="0"/>
    <m/>
    <x v="2"/>
    <s v=""/>
    <s v="K1156"/>
    <x v="203"/>
    <n v="14"/>
    <s v="KNF X 36"/>
    <n v="8"/>
    <s v="KNF"/>
    <s v="K1"/>
    <m/>
    <n v="15"/>
    <m/>
    <n v="6"/>
    <m/>
    <n v="0"/>
    <m/>
    <s v="02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30250201"/>
    <n v="1"/>
    <m/>
    <x v="235"/>
    <m/>
    <s v="ESK DISNEY SHW GEL ORANGE 250ML BTL -2"/>
    <x v="2"/>
    <m/>
    <x v="2"/>
    <s v=""/>
    <s v="K1156"/>
    <x v="204"/>
    <n v="14"/>
    <s v="KNF X 24"/>
    <n v="8"/>
    <s v="KNF"/>
    <s v="K1"/>
    <m/>
    <n v="15"/>
    <m/>
    <n v="6"/>
    <m/>
    <n v="0"/>
    <m/>
    <s v="03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40250201"/>
    <n v="1"/>
    <m/>
    <x v="236"/>
    <m/>
    <s v="ESK PRINCESS SHW GEL S.WHITE 250ML BTL"/>
    <x v="0"/>
    <m/>
    <x v="2"/>
    <s v=""/>
    <s v="K1156"/>
    <x v="205"/>
    <n v="14"/>
    <s v="KNF X 36"/>
    <n v="8"/>
    <s v="KNF"/>
    <s v="K1"/>
    <m/>
    <n v="15"/>
    <m/>
    <n v="6"/>
    <m/>
    <n v="0"/>
    <m/>
    <s v="04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50250201"/>
    <n v="1"/>
    <m/>
    <x v="237"/>
    <m/>
    <s v="ESK DISNEY SHW GEL PINK 250ML BTL -2"/>
    <x v="2"/>
    <m/>
    <x v="2"/>
    <s v=""/>
    <s v="K1156"/>
    <x v="206"/>
    <n v="14"/>
    <s v="KNF X 24"/>
    <n v="8"/>
    <s v="KNF"/>
    <s v="K1"/>
    <m/>
    <n v="15"/>
    <m/>
    <n v="6"/>
    <m/>
    <n v="0"/>
    <m/>
    <s v="05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60250301"/>
    <n v="1"/>
    <m/>
    <x v="238"/>
    <m/>
    <s v="ESK PRINCESS SHW GEL RAPUNZEL 250ML BTL"/>
    <x v="0"/>
    <m/>
    <x v="2"/>
    <s v=""/>
    <s v="K1156"/>
    <x v="207"/>
    <n v="14"/>
    <s v="KNF X 36"/>
    <n v="8"/>
    <s v="KNF"/>
    <s v="K1"/>
    <m/>
    <n v="15"/>
    <m/>
    <n v="6"/>
    <m/>
    <n v="0"/>
    <m/>
    <s v="06"/>
    <m/>
    <s v="025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60250202"/>
    <n v="2"/>
    <m/>
    <x v="239"/>
    <m/>
    <s v="ESK KIDS SHW GEL RAPUNZEL 250ML BTL-2104"/>
    <x v="0"/>
    <m/>
    <x v="2"/>
    <s v=""/>
    <s v="K1156"/>
    <x v="208"/>
    <n v="14"/>
    <s v="KNF X 36"/>
    <n v="8"/>
    <s v="KNF"/>
    <s v="K1"/>
    <m/>
    <n v="15"/>
    <m/>
    <n v="6"/>
    <m/>
    <n v="0"/>
    <m/>
    <s v="06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70250201"/>
    <n v="1"/>
    <m/>
    <x v="240"/>
    <m/>
    <s v="ESK KIDS SHW GEL FLORAL CHEER 250ML BTL"/>
    <x v="0"/>
    <m/>
    <x v="2"/>
    <s v=""/>
    <s v="K1156"/>
    <x v="209"/>
    <n v="14"/>
    <s v="KNF X 36"/>
    <n v="8"/>
    <s v="KNF"/>
    <s v="K1"/>
    <m/>
    <n v="15"/>
    <m/>
    <n v="6"/>
    <m/>
    <n v="0"/>
    <m/>
    <s v="07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70010060201"/>
    <n v="1"/>
    <m/>
    <x v="241"/>
    <m/>
    <s v="ESK KIDS SPL COL ANNA 60ML BTL -2020"/>
    <x v="0"/>
    <m/>
    <x v="2"/>
    <s v=""/>
    <s v="K1157"/>
    <x v="210"/>
    <n v="14"/>
    <s v="KNF X 36"/>
    <n v="8"/>
    <s v="KNF"/>
    <s v="K1"/>
    <m/>
    <n v="15"/>
    <m/>
    <n v="7"/>
    <m/>
    <n v="0"/>
    <m/>
    <s v="01"/>
    <m/>
    <s v="006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70010125201"/>
    <n v="1"/>
    <m/>
    <x v="242"/>
    <m/>
    <s v="ESK KIDS SPL COL ANNA 125ML BTL -2020"/>
    <x v="0"/>
    <m/>
    <x v="2"/>
    <s v=""/>
    <s v="K1157"/>
    <x v="211"/>
    <n v="14"/>
    <s v="KNF X 36"/>
    <n v="8"/>
    <s v="KNF"/>
    <s v="K1"/>
    <m/>
    <n v="15"/>
    <m/>
    <n v="7"/>
    <m/>
    <n v="0"/>
    <m/>
    <s v="01"/>
    <m/>
    <s v="012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70020060201"/>
    <n v="1"/>
    <m/>
    <x v="243"/>
    <m/>
    <s v="ESK KIDS SPL COL ARIEL 60ML BTL -2101"/>
    <x v="0"/>
    <m/>
    <x v="2"/>
    <s v=""/>
    <s v="K1157"/>
    <x v="212"/>
    <n v="14"/>
    <s v="KNF X 36"/>
    <n v="8"/>
    <s v="KNF"/>
    <s v="K1"/>
    <m/>
    <n v="15"/>
    <m/>
    <n v="7"/>
    <m/>
    <n v="0"/>
    <m/>
    <s v="02"/>
    <m/>
    <s v="006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70020125201"/>
    <n v="1"/>
    <m/>
    <x v="244"/>
    <m/>
    <s v="ESK KIDS SPL COL ARIEL 125ML BTL -2101"/>
    <x v="0"/>
    <m/>
    <x v="2"/>
    <s v=""/>
    <s v="K1157"/>
    <x v="213"/>
    <n v="14"/>
    <s v="KNF X 36"/>
    <n v="8"/>
    <s v="KNF"/>
    <s v="K1"/>
    <m/>
    <n v="15"/>
    <m/>
    <n v="7"/>
    <m/>
    <n v="0"/>
    <m/>
    <s v="02"/>
    <m/>
    <s v="012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70030060101"/>
    <n v="1"/>
    <m/>
    <x v="245"/>
    <m/>
    <s v="ESK KIDS SPL COL BELLE 60ML BTL -2101"/>
    <x v="0"/>
    <m/>
    <x v="2"/>
    <s v=""/>
    <s v="K1157"/>
    <x v="214"/>
    <n v="14"/>
    <s v="KNF X 36"/>
    <n v="8"/>
    <s v="KNF"/>
    <s v="K1"/>
    <m/>
    <n v="15"/>
    <m/>
    <n v="7"/>
    <m/>
    <n v="0"/>
    <m/>
    <s v="03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70030125101"/>
    <n v="1"/>
    <m/>
    <x v="246"/>
    <m/>
    <s v="ESK KIDS SPL COL BELLE 125ML BTL -2101"/>
    <x v="0"/>
    <m/>
    <x v="2"/>
    <s v=""/>
    <s v="K1157"/>
    <x v="215"/>
    <n v="14"/>
    <s v="KNF X 36"/>
    <n v="8"/>
    <s v="KNF"/>
    <s v="K1"/>
    <m/>
    <n v="15"/>
    <m/>
    <n v="7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70040060101"/>
    <n v="1"/>
    <m/>
    <x v="247"/>
    <m/>
    <s v="ESK KIDS SPL COL CINDERELLA 60ML BTL2101"/>
    <x v="0"/>
    <m/>
    <x v="2"/>
    <s v=""/>
    <s v="K1157"/>
    <x v="216"/>
    <n v="14"/>
    <s v="KNF X 36"/>
    <n v="8"/>
    <s v="KNF"/>
    <s v="K1"/>
    <m/>
    <n v="15"/>
    <m/>
    <n v="7"/>
    <m/>
    <n v="0"/>
    <m/>
    <s v="04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70040125101"/>
    <n v="1"/>
    <m/>
    <x v="248"/>
    <m/>
    <s v="ESK KIDS SPL COL CINDERELLA 125MLBTL2101"/>
    <x v="0"/>
    <m/>
    <x v="2"/>
    <s v=""/>
    <s v="K1157"/>
    <x v="217"/>
    <n v="14"/>
    <s v="KNF X 36"/>
    <n v="8"/>
    <s v="KNF"/>
    <s v="K1"/>
    <m/>
    <n v="15"/>
    <m/>
    <n v="7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70050060101"/>
    <n v="1"/>
    <m/>
    <x v="249"/>
    <m/>
    <s v="ESK KIDS SPL COL ELSA 60ML BTL -2020"/>
    <x v="0"/>
    <m/>
    <x v="2"/>
    <s v=""/>
    <s v="K1157"/>
    <x v="218"/>
    <n v="14"/>
    <s v="KNF X 36"/>
    <n v="8"/>
    <s v="KNF"/>
    <s v="K1"/>
    <m/>
    <n v="15"/>
    <m/>
    <n v="7"/>
    <m/>
    <n v="0"/>
    <m/>
    <s v="05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70050125101"/>
    <n v="1"/>
    <m/>
    <x v="250"/>
    <m/>
    <s v="ESK KIDS SPL COL ELSA 125ML BTL -2020"/>
    <x v="0"/>
    <m/>
    <x v="2"/>
    <s v=""/>
    <s v="K1157"/>
    <x v="219"/>
    <n v="14"/>
    <s v="KNF X 36"/>
    <n v="8"/>
    <s v="KNF"/>
    <s v="K1"/>
    <m/>
    <n v="15"/>
    <m/>
    <n v="7"/>
    <m/>
    <n v="0"/>
    <m/>
    <s v="05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70060060101"/>
    <n v="1"/>
    <m/>
    <x v="251"/>
    <m/>
    <s v="ESK KIDS SPL COL RAPUNZEL 60ML BTL -2101"/>
    <x v="0"/>
    <m/>
    <x v="2"/>
    <s v=""/>
    <s v="K1157"/>
    <x v="220"/>
    <n v="14"/>
    <s v="KNF X 36"/>
    <n v="8"/>
    <s v="KNF"/>
    <s v="K1"/>
    <m/>
    <n v="15"/>
    <m/>
    <n v="7"/>
    <m/>
    <n v="0"/>
    <m/>
    <s v="06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70060125101"/>
    <n v="1"/>
    <m/>
    <x v="252"/>
    <m/>
    <s v="ESK KIDS SPL COL RAPUNZEL 125ML BTL "/>
    <x v="0"/>
    <m/>
    <x v="2"/>
    <s v=""/>
    <s v="K1157"/>
    <x v="221"/>
    <n v="14"/>
    <s v="KNF X 36"/>
    <n v="8"/>
    <s v="KNF"/>
    <s v="K1"/>
    <m/>
    <n v="15"/>
    <m/>
    <n v="7"/>
    <m/>
    <n v="0"/>
    <m/>
    <s v="06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70070060101"/>
    <n v="1"/>
    <m/>
    <x v="253"/>
    <m/>
    <s v="ESK KIDS SPL COL S-WHITE 60ML BTL -2011"/>
    <x v="0"/>
    <m/>
    <x v="2"/>
    <s v=""/>
    <s v="K1157"/>
    <x v="222"/>
    <n v="14"/>
    <s v="KNF X 36"/>
    <n v="8"/>
    <s v="KNF"/>
    <s v="K1"/>
    <m/>
    <n v="15"/>
    <m/>
    <n v="7"/>
    <m/>
    <n v="0"/>
    <m/>
    <s v="07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70070125101"/>
    <n v="1"/>
    <m/>
    <x v="254"/>
    <m/>
    <s v="ESK KIDS SPL COL S.WHITE 125ML BTL -2101"/>
    <x v="0"/>
    <m/>
    <x v="2"/>
    <s v=""/>
    <s v="K1157"/>
    <x v="223"/>
    <n v="14"/>
    <s v="KNF X 36"/>
    <n v="8"/>
    <s v="KNF"/>
    <s v="K1"/>
    <m/>
    <n v="15"/>
    <m/>
    <n v="7"/>
    <m/>
    <n v="0"/>
    <m/>
    <s v="07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10125101"/>
    <n v="1"/>
    <m/>
    <x v="255"/>
    <m/>
    <s v="ESK KIDS MIST COL ANNA 125ML BTL -2020"/>
    <x v="0"/>
    <m/>
    <x v="2"/>
    <s v=""/>
    <s v="K1158"/>
    <x v="224"/>
    <n v="14"/>
    <s v="KNF X 36"/>
    <n v="8"/>
    <s v="KNF"/>
    <s v="K1"/>
    <m/>
    <n v="15"/>
    <m/>
    <n v="8"/>
    <m/>
    <n v="0"/>
    <m/>
    <s v="0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20125101"/>
    <n v="1"/>
    <m/>
    <x v="256"/>
    <m/>
    <s v="ESK KIDS SPR COL ARIEL 125ML BTL -2102"/>
    <x v="0"/>
    <m/>
    <x v="2"/>
    <s v=""/>
    <s v="K1158"/>
    <x v="225"/>
    <n v="14"/>
    <s v="KNF X 36"/>
    <n v="8"/>
    <s v="KNF"/>
    <s v="K1"/>
    <m/>
    <n v="15"/>
    <m/>
    <n v="8"/>
    <m/>
    <n v="0"/>
    <m/>
    <s v="0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20125102"/>
    <n v="2"/>
    <m/>
    <x v="257"/>
    <m/>
    <s v="ESK DISNEY MIST ARIEL 125 ML BTL"/>
    <x v="0"/>
    <m/>
    <x v="2"/>
    <s v=""/>
    <s v="K1158"/>
    <x v="225"/>
    <n v="14"/>
    <s v="KNF X 36"/>
    <n v="8"/>
    <s v="KNF"/>
    <s v="K1"/>
    <m/>
    <n v="15"/>
    <m/>
    <n v="8"/>
    <m/>
    <n v="0"/>
    <m/>
    <s v="0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30125101"/>
    <n v="1"/>
    <m/>
    <x v="258"/>
    <m/>
    <s v="ESK SPR COL BEAUTY FRESH 125ML BTL -1607"/>
    <x v="0"/>
    <m/>
    <x v="2"/>
    <s v=""/>
    <s v="K1158"/>
    <x v="226"/>
    <n v="14"/>
    <s v="KNF X 36"/>
    <n v="8"/>
    <s v="KNF"/>
    <s v="K1"/>
    <m/>
    <n v="15"/>
    <m/>
    <n v="8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40125101"/>
    <n v="1"/>
    <m/>
    <x v="259"/>
    <m/>
    <s v="ESK KIDS SPR COL CINDERELLA 125MLBTL2102"/>
    <x v="0"/>
    <m/>
    <x v="2"/>
    <s v=""/>
    <s v="K1158"/>
    <x v="227"/>
    <n v="14"/>
    <s v="KNF X 36"/>
    <n v="8"/>
    <s v="KNF"/>
    <s v="K1"/>
    <m/>
    <n v="15"/>
    <m/>
    <n v="8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40125102"/>
    <n v="2"/>
    <m/>
    <x v="260"/>
    <m/>
    <s v="ESK DISNEY MIST CINDERELLA 125 ML BTL"/>
    <x v="0"/>
    <m/>
    <x v="2"/>
    <s v=""/>
    <s v="K1158"/>
    <x v="227"/>
    <n v="14"/>
    <s v="KNF X 36"/>
    <n v="8"/>
    <s v="KNF"/>
    <s v="K1"/>
    <m/>
    <n v="15"/>
    <m/>
    <n v="8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50060101"/>
    <n v="1"/>
    <m/>
    <x v="261"/>
    <m/>
    <s v="ESK KIDS SPR COL DONALD 60ML BTL -2011"/>
    <x v="0"/>
    <m/>
    <x v="2"/>
    <s v=""/>
    <s v="K1158"/>
    <x v="228"/>
    <n v="14"/>
    <s v="KNF X 36"/>
    <n v="8"/>
    <s v="KNF"/>
    <s v="K1"/>
    <m/>
    <n v="15"/>
    <m/>
    <n v="8"/>
    <m/>
    <n v="0"/>
    <m/>
    <s v="05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80050100101"/>
    <n v="1"/>
    <m/>
    <x v="262"/>
    <m/>
    <s v="ESK KIDS SPR COL DONALD 100ML BTL -2011"/>
    <x v="0"/>
    <m/>
    <x v="2"/>
    <s v=""/>
    <s v="K1158"/>
    <x v="229"/>
    <n v="14"/>
    <s v="KNF X 36"/>
    <n v="8"/>
    <s v="KNF"/>
    <s v="K1"/>
    <m/>
    <n v="15"/>
    <m/>
    <n v="8"/>
    <m/>
    <n v="0"/>
    <m/>
    <s v="05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80060125101"/>
    <n v="1"/>
    <m/>
    <x v="263"/>
    <m/>
    <s v="ESK KIDS MIST COL ELSA 125ML BTL -2020"/>
    <x v="0"/>
    <m/>
    <x v="2"/>
    <s v=""/>
    <s v="K1158"/>
    <x v="230"/>
    <n v="14"/>
    <s v="KNF X 36"/>
    <n v="8"/>
    <s v="KNF"/>
    <s v="K1"/>
    <m/>
    <n v="15"/>
    <m/>
    <n v="8"/>
    <m/>
    <n v="0"/>
    <m/>
    <s v="06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70060101"/>
    <n v="1"/>
    <m/>
    <x v="264"/>
    <m/>
    <s v="ESK KIDS SPR COL MICKEY 60ML BTL -2011"/>
    <x v="0"/>
    <m/>
    <x v="2"/>
    <s v=""/>
    <s v="K1158"/>
    <x v="231"/>
    <n v="14"/>
    <s v="KNF X 36"/>
    <n v="8"/>
    <s v="KNF"/>
    <s v="K1"/>
    <m/>
    <n v="15"/>
    <m/>
    <n v="8"/>
    <m/>
    <n v="0"/>
    <m/>
    <s v="07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80070100101"/>
    <n v="1"/>
    <m/>
    <x v="265"/>
    <m/>
    <s v="ESK KIDS SPR COL MICKEY 100ML BTL -2011"/>
    <x v="0"/>
    <m/>
    <x v="2"/>
    <s v=""/>
    <s v="K1158"/>
    <x v="232"/>
    <n v="14"/>
    <s v="KNF X 36"/>
    <n v="8"/>
    <s v="KNF"/>
    <s v="K1"/>
    <m/>
    <n v="15"/>
    <m/>
    <n v="8"/>
    <m/>
    <n v="0"/>
    <m/>
    <s v="07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80080060101"/>
    <n v="1"/>
    <m/>
    <x v="266"/>
    <m/>
    <s v="ESK KIDS SPR COL MINNIE 60ML BTL -2011"/>
    <x v="0"/>
    <m/>
    <x v="2"/>
    <s v=""/>
    <s v="K1158"/>
    <x v="233"/>
    <n v="14"/>
    <s v="KNF X 36"/>
    <n v="8"/>
    <s v="KNF"/>
    <s v="K1"/>
    <m/>
    <n v="15"/>
    <m/>
    <n v="8"/>
    <m/>
    <n v="0"/>
    <m/>
    <s v="08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1580080100101"/>
    <n v="1"/>
    <m/>
    <x v="267"/>
    <m/>
    <s v="ESK KIDS SPR COL MINNIE 100 ML BTL - 2011"/>
    <x v="0"/>
    <m/>
    <x v="2"/>
    <s v=""/>
    <s v="K1158"/>
    <x v="234"/>
    <n v="14"/>
    <s v="KNF X 36"/>
    <n v="8"/>
    <s v="KNF"/>
    <s v="K1"/>
    <m/>
    <n v="15"/>
    <m/>
    <n v="8"/>
    <m/>
    <n v="0"/>
    <m/>
    <s v="08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80090125101"/>
    <n v="1"/>
    <m/>
    <x v="268"/>
    <m/>
    <s v="ESK KIDS SPR COL RAPUNZEL 125ML BTL-2102"/>
    <x v="0"/>
    <m/>
    <x v="2"/>
    <s v=""/>
    <s v="K1158"/>
    <x v="235"/>
    <n v="14"/>
    <s v="KNF X 36"/>
    <n v="8"/>
    <s v="KNF"/>
    <s v="K1"/>
    <m/>
    <n v="15"/>
    <m/>
    <n v="8"/>
    <m/>
    <n v="0"/>
    <m/>
    <s v="09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090125102"/>
    <n v="2"/>
    <m/>
    <x v="269"/>
    <m/>
    <s v="ESK PRINCESS MIST COL RAPUNZEL 125ML1511"/>
    <x v="0"/>
    <m/>
    <x v="2"/>
    <s v=""/>
    <s v="K1158"/>
    <x v="235"/>
    <n v="14"/>
    <s v="KNF X 36"/>
    <n v="8"/>
    <s v="KNF"/>
    <s v="K1"/>
    <m/>
    <n v="15"/>
    <m/>
    <n v="8"/>
    <m/>
    <n v="0"/>
    <m/>
    <s v="09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100125101"/>
    <n v="1"/>
    <m/>
    <x v="270"/>
    <m/>
    <s v="ESK KIDS SPR COL S.WHITE 125ML BTL -2102"/>
    <x v="0"/>
    <m/>
    <x v="2"/>
    <s v=""/>
    <s v="K1158"/>
    <x v="236"/>
    <n v="14"/>
    <s v="KNF X 36"/>
    <n v="8"/>
    <s v="KNF"/>
    <s v="K1"/>
    <m/>
    <n v="15"/>
    <m/>
    <n v="8"/>
    <m/>
    <n v="0"/>
    <m/>
    <n v="10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100125102"/>
    <n v="2"/>
    <m/>
    <x v="271"/>
    <m/>
    <s v="ESK DISNEY MIST SNOW WHITE 125 ML BTL"/>
    <x v="0"/>
    <m/>
    <x v="2"/>
    <s v=""/>
    <s v="K1158"/>
    <x v="236"/>
    <n v="14"/>
    <s v="KNF X 36"/>
    <n v="8"/>
    <s v="KNF"/>
    <s v="K1"/>
    <m/>
    <n v="15"/>
    <m/>
    <n v="8"/>
    <m/>
    <n v="0"/>
    <m/>
    <n v="10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1580110009101"/>
    <n v="1"/>
    <m/>
    <x v="272"/>
    <m/>
    <s v="ESK KIDS SPR COL TSUMTSUM 9ML BTL -1810"/>
    <x v="6"/>
    <m/>
    <x v="2"/>
    <s v=""/>
    <s v="K1158"/>
    <x v="237"/>
    <n v="14"/>
    <s v="KNF X 72"/>
    <n v="8"/>
    <s v="KNF"/>
    <s v="K1"/>
    <m/>
    <n v="15"/>
    <m/>
    <n v="8"/>
    <m/>
    <n v="0"/>
    <m/>
    <n v="11"/>
    <m/>
    <s v="0009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9"/>
    <n v="0"/>
    <m/>
    <m/>
    <s v="KRT"/>
    <s v="GD01"/>
    <n v="11611"/>
    <n v="11612"/>
    <m/>
    <n v="1"/>
  </r>
  <r>
    <s v="K11610010280101"/>
    <n v="1"/>
    <m/>
    <x v="273"/>
    <m/>
    <s v="ESK HAIR BW CLEAN&amp;SMOOTH 280ML BTL-1609"/>
    <x v="2"/>
    <m/>
    <x v="2"/>
    <s v=""/>
    <s v="K1161"/>
    <x v="238"/>
    <n v="14"/>
    <s v="KNF X 24"/>
    <n v="8"/>
    <s v="KNF"/>
    <s v="K1"/>
    <m/>
    <n v="16"/>
    <m/>
    <n v="1"/>
    <m/>
    <n v="0"/>
    <m/>
    <s v="01"/>
    <m/>
    <s v="028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80"/>
    <n v="0"/>
    <m/>
    <m/>
    <s v="KRT"/>
    <s v="GD01"/>
    <n v="11611"/>
    <n v="11612"/>
    <m/>
    <n v="1"/>
  </r>
  <r>
    <s v="K11610030280101"/>
    <n v="1"/>
    <m/>
    <x v="274"/>
    <m/>
    <s v="ESK HAIR BW NATURAL SMOOTH 280ML -1608"/>
    <x v="2"/>
    <m/>
    <x v="2"/>
    <s v=""/>
    <s v="K1161"/>
    <x v="239"/>
    <n v="14"/>
    <s v="KNF X 24"/>
    <n v="8"/>
    <s v="KNF"/>
    <s v="K1"/>
    <m/>
    <n v="16"/>
    <m/>
    <n v="1"/>
    <m/>
    <n v="0"/>
    <m/>
    <s v="03"/>
    <m/>
    <s v="028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80"/>
    <n v="0"/>
    <m/>
    <m/>
    <s v="KRT"/>
    <s v="GD01"/>
    <n v="11611"/>
    <n v="11612"/>
    <m/>
    <n v="1"/>
  </r>
  <r>
    <s v="K11610040280101"/>
    <n v="1"/>
    <m/>
    <x v="275"/>
    <m/>
    <s v="ESK HAIR BW SOFT&amp;PROTECT 280ML BTL-1609"/>
    <x v="2"/>
    <m/>
    <x v="2"/>
    <s v=""/>
    <s v="K1161"/>
    <x v="240"/>
    <n v="14"/>
    <s v="KNF X 24"/>
    <n v="8"/>
    <s v="KNF"/>
    <s v="K1"/>
    <m/>
    <n v="16"/>
    <m/>
    <n v="1"/>
    <m/>
    <n v="0"/>
    <m/>
    <s v="04"/>
    <m/>
    <s v="028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80"/>
    <n v="0"/>
    <m/>
    <m/>
    <s v="KRT"/>
    <s v="GD01"/>
    <n v="11611"/>
    <n v="11612"/>
    <m/>
    <n v="1"/>
  </r>
  <r>
    <s v="K11610040280101"/>
    <n v="1"/>
    <m/>
    <x v="276"/>
    <m/>
    <s v="ESK HAIR BW SOFT&amp;PROTECT 280ML PCH -1609"/>
    <x v="2"/>
    <m/>
    <x v="2"/>
    <s v=""/>
    <s v="K1161"/>
    <x v="240"/>
    <n v="14"/>
    <s v="KNF X 24"/>
    <n v="8"/>
    <s v="KNF"/>
    <s v="K1"/>
    <m/>
    <n v="16"/>
    <m/>
    <n v="1"/>
    <m/>
    <n v="0"/>
    <m/>
    <s v="04"/>
    <m/>
    <s v="028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80"/>
    <n v="0"/>
    <m/>
    <m/>
    <s v="KRT"/>
    <s v="GD01"/>
    <n v="11611"/>
    <n v="11612"/>
    <m/>
    <n v="1"/>
  </r>
  <r>
    <s v="K11630010100101"/>
    <n v="1"/>
    <m/>
    <x v="277"/>
    <m/>
    <s v="ESK KIDS HV NOURISHING SMOOTH 100ML BTL"/>
    <x v="2"/>
    <m/>
    <x v="2"/>
    <s v=""/>
    <s v="K1163"/>
    <x v="241"/>
    <n v="14"/>
    <s v="KNF X 24"/>
    <n v="8"/>
    <s v="KNF"/>
    <s v="K1"/>
    <m/>
    <n v="16"/>
    <m/>
    <n v="3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700010030101"/>
    <n v="1"/>
    <m/>
    <x v="278"/>
    <m/>
    <s v="EVERGREEN AD SET CH.BLOSSOM 30ML BT-1706"/>
    <x v="2"/>
    <m/>
    <x v="2"/>
    <s v=""/>
    <s v="K1170"/>
    <x v="242"/>
    <n v="14"/>
    <s v="KNF X 24"/>
    <n v="8"/>
    <s v="KNF"/>
    <s v="K1"/>
    <m/>
    <n v="17"/>
    <m/>
    <n v="0"/>
    <m/>
    <n v="0"/>
    <m/>
    <s v="01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700020030101"/>
    <n v="1"/>
    <m/>
    <x v="279"/>
    <m/>
    <s v="EVERGREEN AD SET INS.NATURE 30ML BT-1706"/>
    <x v="2"/>
    <m/>
    <x v="2"/>
    <s v=""/>
    <s v="K1170"/>
    <x v="243"/>
    <n v="14"/>
    <s v="KNF X 24"/>
    <n v="8"/>
    <s v="KNF"/>
    <s v="K1"/>
    <m/>
    <n v="17"/>
    <m/>
    <n v="0"/>
    <m/>
    <n v="0"/>
    <m/>
    <s v="02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700030030101"/>
    <n v="1"/>
    <m/>
    <x v="280"/>
    <m/>
    <s v="EVERGREEN AD SET REF.CITRUS 30ML BT-1706"/>
    <x v="2"/>
    <m/>
    <x v="2"/>
    <s v=""/>
    <s v="K1170"/>
    <x v="244"/>
    <n v="14"/>
    <s v="KNF X 24"/>
    <n v="8"/>
    <s v="KNF"/>
    <s v="K1"/>
    <m/>
    <n v="17"/>
    <m/>
    <n v="0"/>
    <m/>
    <n v="0"/>
    <m/>
    <s v="03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700040030101"/>
    <n v="1"/>
    <m/>
    <x v="281"/>
    <m/>
    <s v="EVERGREEN AD SET SER.DREAM 30ML BT -1706"/>
    <x v="2"/>
    <m/>
    <x v="2"/>
    <s v=""/>
    <s v="K1170"/>
    <x v="245"/>
    <n v="14"/>
    <s v="KNF X 24"/>
    <n v="8"/>
    <s v="KNF"/>
    <s v="K1"/>
    <m/>
    <n v="17"/>
    <m/>
    <n v="0"/>
    <m/>
    <n v="0"/>
    <m/>
    <s v="04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800010030101"/>
    <n v="1"/>
    <m/>
    <x v="282"/>
    <m/>
    <s v="EVERGREEN AD REFF CH.BLOSSOM 30ML BT1706"/>
    <x v="0"/>
    <m/>
    <x v="2"/>
    <s v=""/>
    <s v="K1180"/>
    <x v="246"/>
    <n v="14"/>
    <s v="KNF X 36"/>
    <n v="8"/>
    <s v="KNF"/>
    <s v="K1"/>
    <m/>
    <n v="18"/>
    <m/>
    <n v="0"/>
    <m/>
    <n v="0"/>
    <m/>
    <s v="01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800020030301"/>
    <n v="1"/>
    <m/>
    <x v="283"/>
    <m/>
    <s v="EVERGREEN AD REFF INS.NATURE 30ML BT1706"/>
    <x v="0"/>
    <m/>
    <x v="2"/>
    <s v=""/>
    <s v="K1180"/>
    <x v="247"/>
    <n v="14"/>
    <s v="KNF X 36"/>
    <n v="8"/>
    <s v="KNF"/>
    <s v="K1"/>
    <m/>
    <n v="18"/>
    <m/>
    <n v="0"/>
    <m/>
    <n v="0"/>
    <m/>
    <s v="02"/>
    <m/>
    <s v="003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800030030101"/>
    <n v="1"/>
    <m/>
    <x v="284"/>
    <m/>
    <s v="EVERGREEN AD REFF REF.CITRUS 30ML BT1706"/>
    <x v="0"/>
    <m/>
    <x v="2"/>
    <s v=""/>
    <s v="K1180"/>
    <x v="248"/>
    <n v="14"/>
    <s v="KNF X 36"/>
    <n v="8"/>
    <s v="KNF"/>
    <s v="K1"/>
    <m/>
    <n v="18"/>
    <m/>
    <n v="0"/>
    <m/>
    <n v="0"/>
    <m/>
    <s v="03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800040030201"/>
    <n v="1"/>
    <m/>
    <x v="285"/>
    <m/>
    <s v="EVERGREEN AD REFF SER.DREAM 30ML BT-1706"/>
    <x v="0"/>
    <m/>
    <x v="2"/>
    <s v=""/>
    <s v="K1180"/>
    <x v="249"/>
    <n v="14"/>
    <s v="KNF X 36"/>
    <n v="8"/>
    <s v="KNF"/>
    <s v="K1"/>
    <m/>
    <n v="18"/>
    <m/>
    <n v="0"/>
    <m/>
    <n v="0"/>
    <m/>
    <s v="04"/>
    <m/>
    <s v="003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800050030101"/>
    <n v="1"/>
    <m/>
    <x v="286"/>
    <m/>
    <s v="EVERGREEN AD REFF OC.BREEZE 30ML BT-1706"/>
    <x v="0"/>
    <m/>
    <x v="2"/>
    <s v=""/>
    <s v="K1180"/>
    <x v="250"/>
    <n v="14"/>
    <s v="KNF X 36"/>
    <n v="8"/>
    <s v="KNF"/>
    <s v="K1"/>
    <m/>
    <n v="18"/>
    <m/>
    <n v="0"/>
    <m/>
    <n v="0"/>
    <m/>
    <s v="05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800060030101"/>
    <n v="1"/>
    <m/>
    <x v="287"/>
    <m/>
    <s v="EVERGREEN AD REFF S.SUNSHINE 30ML BT1706"/>
    <x v="0"/>
    <m/>
    <x v="2"/>
    <s v=""/>
    <s v="K1180"/>
    <x v="251"/>
    <n v="14"/>
    <s v="KNF X 36"/>
    <n v="8"/>
    <s v="KNF"/>
    <s v="K1"/>
    <m/>
    <n v="18"/>
    <m/>
    <n v="0"/>
    <m/>
    <n v="0"/>
    <m/>
    <s v="06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800070030201"/>
    <n v="1"/>
    <m/>
    <x v="288"/>
    <m/>
    <s v="EVERGREEN AD REFF SW.ROMANCE 30ML BT1706"/>
    <x v="0"/>
    <m/>
    <x v="2"/>
    <s v=""/>
    <s v="K1180"/>
    <x v="252"/>
    <n v="14"/>
    <s v="KNF X 36"/>
    <n v="8"/>
    <s v="KNF"/>
    <s v="K1"/>
    <m/>
    <n v="18"/>
    <m/>
    <n v="0"/>
    <m/>
    <n v="0"/>
    <m/>
    <s v="07"/>
    <m/>
    <s v="003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1900010050101"/>
    <n v="1"/>
    <m/>
    <x v="289"/>
    <m/>
    <s v="EVERGREEN AS SET BALANCING 50ML BTL-1706"/>
    <x v="5"/>
    <m/>
    <x v="2"/>
    <s v=""/>
    <s v="K1190"/>
    <x v="253"/>
    <n v="14"/>
    <s v="KNF X 12"/>
    <n v="8"/>
    <s v="KNF"/>
    <s v="K1"/>
    <m/>
    <n v="19"/>
    <m/>
    <n v="0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900010050111"/>
    <n v="1"/>
    <m/>
    <x v="290"/>
    <m/>
    <s v="EVERGREEN AS SET BALANCING 50ML +REF "/>
    <x v="5"/>
    <m/>
    <x v="2"/>
    <s v=""/>
    <s v="K1190"/>
    <x v="254"/>
    <n v="14"/>
    <s v="KNF X 12"/>
    <n v="8"/>
    <s v="KNF"/>
    <s v="K1"/>
    <m/>
    <n v="19"/>
    <m/>
    <n v="0"/>
    <m/>
    <n v="0"/>
    <m/>
    <s v="01"/>
    <m/>
    <s v="00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900020050101"/>
    <n v="1"/>
    <m/>
    <x v="291"/>
    <m/>
    <s v="EVERGREEN AS SET ENERGIZING 50ML BT-1706"/>
    <x v="5"/>
    <m/>
    <x v="2"/>
    <s v=""/>
    <s v="K1190"/>
    <x v="255"/>
    <n v="14"/>
    <s v="KNF X 12"/>
    <n v="8"/>
    <s v="KNF"/>
    <s v="K1"/>
    <m/>
    <n v="19"/>
    <m/>
    <n v="0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900020050111"/>
    <n v="1"/>
    <m/>
    <x v="292"/>
    <m/>
    <s v="EVERGREEN AS SET ENERGIZING 50ML +REF "/>
    <x v="5"/>
    <m/>
    <x v="2"/>
    <s v=""/>
    <s v="K1190"/>
    <x v="256"/>
    <n v="14"/>
    <s v="KNF X 12"/>
    <n v="8"/>
    <s v="KNF"/>
    <s v="K1"/>
    <m/>
    <n v="19"/>
    <m/>
    <n v="0"/>
    <m/>
    <n v="0"/>
    <m/>
    <s v="02"/>
    <m/>
    <s v="00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900030050101"/>
    <n v="1"/>
    <m/>
    <x v="293"/>
    <m/>
    <s v="EVERGREEN AS SET RELIEVING 50ML BTL-1706"/>
    <x v="5"/>
    <m/>
    <x v="2"/>
    <s v=""/>
    <s v="K1190"/>
    <x v="257"/>
    <n v="14"/>
    <s v="KNF X 12"/>
    <n v="8"/>
    <s v="KNF"/>
    <s v="K1"/>
    <m/>
    <n v="19"/>
    <m/>
    <n v="0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900030050111"/>
    <n v="1"/>
    <m/>
    <x v="294"/>
    <m/>
    <s v="EVERGREEN AS SET RELIEVING 50ML +REF "/>
    <x v="5"/>
    <m/>
    <x v="2"/>
    <s v=""/>
    <s v="K1190"/>
    <x v="258"/>
    <n v="14"/>
    <s v="KNF X 12"/>
    <n v="8"/>
    <s v="KNF"/>
    <s v="K1"/>
    <m/>
    <n v="19"/>
    <m/>
    <n v="0"/>
    <m/>
    <n v="0"/>
    <m/>
    <s v="03"/>
    <m/>
    <s v="00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000010050101"/>
    <n v="1"/>
    <m/>
    <x v="295"/>
    <m/>
    <s v="EVERGREEN AS REFF BALANCING 50ML BT-1706"/>
    <x v="2"/>
    <m/>
    <x v="2"/>
    <s v=""/>
    <s v="K1200"/>
    <x v="259"/>
    <n v="14"/>
    <s v="KNF X 24"/>
    <n v="8"/>
    <s v="KNF"/>
    <s v="K1"/>
    <m/>
    <n v="20"/>
    <m/>
    <n v="0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000020050101"/>
    <n v="1"/>
    <m/>
    <x v="296"/>
    <m/>
    <s v="EVERGREEN AS REFF ENERGIZING 50ML BT1706"/>
    <x v="2"/>
    <m/>
    <x v="2"/>
    <s v=""/>
    <s v="K1200"/>
    <x v="260"/>
    <n v="14"/>
    <s v="KNF X 24"/>
    <n v="8"/>
    <s v="KNF"/>
    <s v="K1"/>
    <m/>
    <n v="20"/>
    <m/>
    <n v="0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000030050101"/>
    <n v="1"/>
    <m/>
    <x v="297"/>
    <m/>
    <s v="EVERGREEN AS REFF RELIEVING 50ML BT-1706"/>
    <x v="2"/>
    <m/>
    <x v="2"/>
    <s v=""/>
    <s v="K1200"/>
    <x v="261"/>
    <n v="14"/>
    <s v="KNF X 24"/>
    <n v="8"/>
    <s v="KNF"/>
    <s v="K1"/>
    <m/>
    <n v="20"/>
    <m/>
    <n v="0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100010050101"/>
    <n v="1"/>
    <m/>
    <x v="298"/>
    <m/>
    <s v="INSTANCE HS GEL 50ML BTL -2003"/>
    <x v="0"/>
    <m/>
    <x v="2"/>
    <s v=""/>
    <s v="K1210"/>
    <x v="262"/>
    <n v="14"/>
    <s v="KNF X 36"/>
    <n v="8"/>
    <s v="KNF"/>
    <s v="K1"/>
    <m/>
    <n v="21"/>
    <m/>
    <n v="0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100010100101"/>
    <n v="1"/>
    <m/>
    <x v="299"/>
    <m/>
    <s v="INSTANCE HS GEL 100ML BTL ECG-2003"/>
    <x v="0"/>
    <m/>
    <x v="2"/>
    <s v=""/>
    <s v="K1210"/>
    <x v="263"/>
    <n v="14"/>
    <s v="KNF X 36"/>
    <n v="8"/>
    <s v="KNF"/>
    <s v="K1"/>
    <m/>
    <n v="21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100010500101"/>
    <n v="1"/>
    <m/>
    <x v="300"/>
    <m/>
    <s v="INSTANCE HS GEL 500ML BTL HW-2004"/>
    <x v="5"/>
    <m/>
    <x v="2"/>
    <s v=""/>
    <s v="K1210"/>
    <x v="264"/>
    <n v="14"/>
    <s v="KNF X 12"/>
    <n v="8"/>
    <s v="KNF"/>
    <s v="K1"/>
    <m/>
    <n v="21"/>
    <m/>
    <n v="0"/>
    <m/>
    <n v="0"/>
    <m/>
    <s v="01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2100011004101"/>
    <n v="1"/>
    <m/>
    <x v="301"/>
    <m/>
    <s v="INSTANCE HS GEL 4LTR GLN - NB"/>
    <x v="10"/>
    <m/>
    <x v="2"/>
    <s v=""/>
    <s v="K1210"/>
    <x v="265"/>
    <n v="14"/>
    <s v="KNF X 4"/>
    <n v="7"/>
    <s v="KNF"/>
    <s v="K1"/>
    <m/>
    <n v="21"/>
    <m/>
    <n v="0"/>
    <m/>
    <n v="0"/>
    <m/>
    <s v="01"/>
    <m/>
    <n v="1004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004"/>
    <n v="0"/>
    <m/>
    <m/>
    <s v="KRT"/>
    <s v="GD01"/>
    <n v="11611"/>
    <n v="11612"/>
    <m/>
    <n v="1"/>
  </r>
  <r>
    <s v="K12100011004102"/>
    <n v="2"/>
    <m/>
    <x v="302"/>
    <m/>
    <s v="INSTANCE HS GEL 4LTR GLN -2004"/>
    <x v="10"/>
    <m/>
    <x v="2"/>
    <s v=""/>
    <s v="K1210"/>
    <x v="265"/>
    <n v="14"/>
    <s v="KNF X 4"/>
    <n v="7"/>
    <s v="KNF"/>
    <s v="K1"/>
    <m/>
    <n v="21"/>
    <m/>
    <n v="0"/>
    <m/>
    <n v="0"/>
    <m/>
    <s v="01"/>
    <m/>
    <n v="1004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004"/>
    <n v="0"/>
    <m/>
    <m/>
    <s v="KRT"/>
    <s v="GD01"/>
    <n v="11611"/>
    <n v="11612"/>
    <m/>
    <n v="1"/>
  </r>
  <r>
    <s v="K12200010018101"/>
    <n v="1"/>
    <m/>
    <x v="303"/>
    <m/>
    <s v="INSTANCE HS SPR 18ML BTL -2004"/>
    <x v="6"/>
    <m/>
    <x v="2"/>
    <s v=""/>
    <s v="K1220"/>
    <x v="266"/>
    <n v="14"/>
    <s v="KNF X 72"/>
    <n v="8"/>
    <s v="KNF"/>
    <s v="K1"/>
    <m/>
    <n v="22"/>
    <m/>
    <n v="0"/>
    <m/>
    <n v="0"/>
    <m/>
    <s v="01"/>
    <m/>
    <s v="0018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8"/>
    <n v="0"/>
    <m/>
    <m/>
    <s v="KRT"/>
    <s v="GD01"/>
    <n v="11611"/>
    <n v="11612"/>
    <m/>
    <n v="1"/>
  </r>
  <r>
    <s v="K12200010018102"/>
    <n v="2"/>
    <m/>
    <x v="304"/>
    <m/>
    <s v="INSTANCE HS SPR 18ML BTL FOOD.G"/>
    <x v="6"/>
    <m/>
    <x v="2"/>
    <s v=""/>
    <s v="K1220"/>
    <x v="266"/>
    <n v="14"/>
    <s v="KNF X 72"/>
    <n v="8"/>
    <s v="KNF"/>
    <s v="K1"/>
    <m/>
    <n v="22"/>
    <m/>
    <n v="0"/>
    <m/>
    <n v="0"/>
    <m/>
    <s v="01"/>
    <m/>
    <s v="0018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8"/>
    <n v="0"/>
    <m/>
    <m/>
    <s v="KRT"/>
    <s v="GD01"/>
    <n v="11611"/>
    <n v="11612"/>
    <m/>
    <n v="1"/>
  </r>
  <r>
    <s v="K12200010060101"/>
    <n v="1"/>
    <m/>
    <x v="305"/>
    <m/>
    <s v="INSTANCE HS SPR 60ML BTL -2004"/>
    <x v="0"/>
    <m/>
    <x v="2"/>
    <s v=""/>
    <s v="K1220"/>
    <x v="267"/>
    <n v="14"/>
    <s v="KNF X 36"/>
    <n v="8"/>
    <s v="KNF"/>
    <s v="K1"/>
    <m/>
    <n v="22"/>
    <m/>
    <n v="0"/>
    <m/>
    <n v="0"/>
    <m/>
    <s v="01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2200010100101"/>
    <n v="1"/>
    <m/>
    <x v="306"/>
    <m/>
    <s v="INSTANCE HS SPR 100ML BTL -2003"/>
    <x v="2"/>
    <m/>
    <x v="2"/>
    <s v=""/>
    <s v="K1220"/>
    <x v="268"/>
    <n v="14"/>
    <s v="KNF X 24"/>
    <n v="8"/>
    <s v="KNF"/>
    <s v="K1"/>
    <m/>
    <n v="22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200010100102"/>
    <n v="2"/>
    <m/>
    <x v="307"/>
    <m/>
    <s v="INSTANCE DA HS SPR 100ML FOOD.G"/>
    <x v="2"/>
    <m/>
    <x v="2"/>
    <s v=""/>
    <s v="K1220"/>
    <x v="268"/>
    <n v="14"/>
    <s v="KNF X 24"/>
    <n v="8"/>
    <s v="KNF"/>
    <s v="K1"/>
    <m/>
    <n v="22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200011004101"/>
    <n v="1"/>
    <m/>
    <x v="308"/>
    <m/>
    <s v="INSTANCE HS LIQ 4LTR GLN -2004"/>
    <x v="10"/>
    <m/>
    <x v="2"/>
    <s v=""/>
    <s v="K1220"/>
    <x v="269"/>
    <n v="14"/>
    <s v="KNF X 4"/>
    <n v="7"/>
    <s v="KNF"/>
    <s v="K1"/>
    <m/>
    <n v="22"/>
    <m/>
    <n v="0"/>
    <m/>
    <n v="0"/>
    <m/>
    <s v="01"/>
    <m/>
    <n v="1004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004"/>
    <n v="0"/>
    <m/>
    <m/>
    <s v="KRT"/>
    <s v="GD01"/>
    <n v="11611"/>
    <n v="11612"/>
    <m/>
    <n v="1"/>
  </r>
  <r>
    <s v="K12300010000101"/>
    <n v="1"/>
    <m/>
    <x v="309"/>
    <m/>
    <s v="INSTANCE ANTISEPTIC WIPES SCH -2011"/>
    <x v="11"/>
    <m/>
    <x v="2"/>
    <s v=""/>
    <s v="K1230"/>
    <x v="270"/>
    <n v="14"/>
    <s v="KNF X 60"/>
    <n v="8"/>
    <s v="KNF"/>
    <s v="K1"/>
    <m/>
    <n v="23"/>
    <m/>
    <n v="0"/>
    <m/>
    <n v="0"/>
    <m/>
    <s v="01"/>
    <m/>
    <s v="00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2410010075101"/>
    <n v="1"/>
    <m/>
    <x v="310"/>
    <m/>
    <s v="MASTER SPL COL COOL 75ML BTL - NEW"/>
    <x v="0"/>
    <m/>
    <x v="2"/>
    <s v=""/>
    <s v="K1241"/>
    <x v="271"/>
    <n v="14"/>
    <s v="KNF X 36"/>
    <n v="8"/>
    <s v="KNF"/>
    <s v="K1"/>
    <m/>
    <n v="24"/>
    <m/>
    <n v="1"/>
    <m/>
    <n v="0"/>
    <m/>
    <s v="01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410010150101"/>
    <n v="1"/>
    <m/>
    <x v="311"/>
    <m/>
    <s v="MASTER SPL COL COOL 150ML BTL - NEW"/>
    <x v="0"/>
    <m/>
    <x v="2"/>
    <s v=""/>
    <s v="K1241"/>
    <x v="272"/>
    <n v="14"/>
    <s v="KNF X 36"/>
    <n v="8"/>
    <s v="KNF"/>
    <s v="K1"/>
    <m/>
    <n v="24"/>
    <m/>
    <n v="1"/>
    <m/>
    <n v="0"/>
    <m/>
    <s v="01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410020075101"/>
    <n v="1"/>
    <m/>
    <x v="312"/>
    <m/>
    <s v="MASTER SPL COL DYNAMIC 75 ML BTL"/>
    <x v="0"/>
    <m/>
    <x v="2"/>
    <s v=""/>
    <s v="K1241"/>
    <x v="273"/>
    <n v="14"/>
    <s v="KNF X 36"/>
    <n v="8"/>
    <s v="KNF"/>
    <s v="K1"/>
    <m/>
    <n v="24"/>
    <m/>
    <n v="1"/>
    <m/>
    <n v="0"/>
    <m/>
    <s v="02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410020150101"/>
    <n v="1"/>
    <m/>
    <x v="313"/>
    <m/>
    <s v="MASTER SPL COL DYNAMIC 150 ML BTL"/>
    <x v="0"/>
    <m/>
    <x v="2"/>
    <s v=""/>
    <s v="K1241"/>
    <x v="274"/>
    <n v="14"/>
    <s v="KNF X 36"/>
    <n v="8"/>
    <s v="KNF"/>
    <s v="K1"/>
    <m/>
    <n v="24"/>
    <m/>
    <n v="1"/>
    <m/>
    <n v="0"/>
    <m/>
    <s v="02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410030075101"/>
    <n v="1"/>
    <m/>
    <x v="314"/>
    <m/>
    <s v="MASTER SPL COL FREEDOM 75ML BTL - NEW"/>
    <x v="0"/>
    <m/>
    <x v="2"/>
    <s v=""/>
    <s v="K1241"/>
    <x v="275"/>
    <n v="14"/>
    <s v="KNF X 36"/>
    <n v="8"/>
    <s v="KNF"/>
    <s v="K1"/>
    <m/>
    <n v="24"/>
    <m/>
    <n v="1"/>
    <m/>
    <n v="0"/>
    <m/>
    <s v="03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410030150101"/>
    <n v="1"/>
    <m/>
    <x v="315"/>
    <m/>
    <s v="MASTER SPL COL FREEDOM 150ML BTL - NEW"/>
    <x v="0"/>
    <m/>
    <x v="2"/>
    <s v=""/>
    <s v="K1241"/>
    <x v="276"/>
    <n v="14"/>
    <s v="KNF X 36"/>
    <n v="8"/>
    <s v="KNF"/>
    <s v="K1"/>
    <m/>
    <n v="24"/>
    <m/>
    <n v="1"/>
    <m/>
    <n v="0"/>
    <m/>
    <s v="03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410040075101"/>
    <n v="1"/>
    <m/>
    <x v="316"/>
    <m/>
    <s v="MASTER SPL COL PASSION 75ML BTL - NEW"/>
    <x v="0"/>
    <m/>
    <x v="2"/>
    <s v=""/>
    <s v="K1241"/>
    <x v="277"/>
    <n v="14"/>
    <s v="KNF X 36"/>
    <n v="8"/>
    <s v="KNF"/>
    <s v="K1"/>
    <m/>
    <n v="24"/>
    <m/>
    <n v="1"/>
    <m/>
    <n v="0"/>
    <m/>
    <s v="04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410040150101"/>
    <n v="1"/>
    <m/>
    <x v="317"/>
    <m/>
    <s v="MASTER SPL COL PASSION 150ML BTL - NEW"/>
    <x v="0"/>
    <m/>
    <x v="2"/>
    <s v=""/>
    <s v="K1241"/>
    <x v="278"/>
    <n v="14"/>
    <s v="KNF X 36"/>
    <n v="8"/>
    <s v="KNF"/>
    <s v="K1"/>
    <m/>
    <n v="24"/>
    <m/>
    <n v="1"/>
    <m/>
    <n v="0"/>
    <m/>
    <s v="04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410050075201"/>
    <n v="1"/>
    <m/>
    <x v="318"/>
    <m/>
    <s v="MASTER SPL COL POWER 75ML BTL - NEW"/>
    <x v="0"/>
    <m/>
    <x v="2"/>
    <s v=""/>
    <s v="K1241"/>
    <x v="279"/>
    <n v="14"/>
    <s v="KNF X 36"/>
    <n v="8"/>
    <s v="KNF"/>
    <s v="K1"/>
    <m/>
    <n v="24"/>
    <m/>
    <n v="1"/>
    <m/>
    <n v="0"/>
    <m/>
    <s v="05"/>
    <m/>
    <s v="007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410050150101"/>
    <n v="1"/>
    <m/>
    <x v="319"/>
    <m/>
    <s v="MASTER SPL COL POWER 150ML BTL - NEW"/>
    <x v="0"/>
    <m/>
    <x v="2"/>
    <s v=""/>
    <s v="K1241"/>
    <x v="280"/>
    <n v="14"/>
    <s v="KNF X 36"/>
    <n v="8"/>
    <s v="KNF"/>
    <s v="K1"/>
    <m/>
    <n v="24"/>
    <m/>
    <n v="1"/>
    <m/>
    <n v="0"/>
    <m/>
    <s v="05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410060075101"/>
    <n v="1"/>
    <m/>
    <x v="320"/>
    <m/>
    <s v="MASTER SPL COL SPIRIT 75ML BTL - NEW"/>
    <x v="0"/>
    <m/>
    <x v="2"/>
    <s v=""/>
    <s v="K1241"/>
    <x v="281"/>
    <n v="14"/>
    <s v="KNF X 36"/>
    <n v="8"/>
    <s v="KNF"/>
    <s v="K1"/>
    <m/>
    <n v="24"/>
    <m/>
    <n v="1"/>
    <m/>
    <n v="0"/>
    <m/>
    <s v="06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410060150101"/>
    <n v="1"/>
    <m/>
    <x v="321"/>
    <m/>
    <s v="MASTER SPL COL SPIRIT 150ML BTL - NEW"/>
    <x v="0"/>
    <m/>
    <x v="2"/>
    <s v=""/>
    <s v="K1241"/>
    <x v="282"/>
    <n v="14"/>
    <s v="KNF X 36"/>
    <n v="8"/>
    <s v="KNF"/>
    <s v="K1"/>
    <m/>
    <n v="24"/>
    <m/>
    <n v="1"/>
    <m/>
    <n v="0"/>
    <m/>
    <s v="06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410070075201"/>
    <n v="1"/>
    <m/>
    <x v="322"/>
    <m/>
    <s v="MASTER SPL COL SPORTY 75ML BTL - NEW"/>
    <x v="0"/>
    <m/>
    <x v="2"/>
    <s v=""/>
    <s v="K1241"/>
    <x v="283"/>
    <n v="14"/>
    <s v="KNF X 36"/>
    <n v="8"/>
    <s v="KNF"/>
    <s v="K1"/>
    <m/>
    <n v="24"/>
    <m/>
    <n v="1"/>
    <m/>
    <n v="0"/>
    <m/>
    <s v="07"/>
    <m/>
    <s v="007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410070150101"/>
    <n v="1"/>
    <m/>
    <x v="323"/>
    <m/>
    <s v="MASTER SPL COL SPORTY 150ML BTL - NEW"/>
    <x v="0"/>
    <m/>
    <x v="2"/>
    <s v=""/>
    <s v="K1241"/>
    <x v="284"/>
    <n v="14"/>
    <s v="KNF X 36"/>
    <n v="8"/>
    <s v="KNF"/>
    <s v="K1"/>
    <m/>
    <n v="24"/>
    <m/>
    <n v="1"/>
    <m/>
    <n v="0"/>
    <m/>
    <s v="07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420010050101"/>
    <n v="1"/>
    <m/>
    <x v="324"/>
    <m/>
    <s v="MASTER SPR COL AQUA BLUE 50 ML BTL NEW"/>
    <x v="0"/>
    <m/>
    <x v="2"/>
    <s v=""/>
    <s v="K1242"/>
    <x v="285"/>
    <n v="14"/>
    <s v="KNF X 36"/>
    <n v="8"/>
    <s v="KNF"/>
    <s v="K1"/>
    <m/>
    <n v="24"/>
    <m/>
    <n v="2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420010100101"/>
    <n v="1"/>
    <m/>
    <x v="325"/>
    <m/>
    <s v="MASTER SPR COL AQUA BLUE 100 ML BTL-NEW"/>
    <x v="0"/>
    <m/>
    <x v="2"/>
    <s v=""/>
    <s v="K1242"/>
    <x v="286"/>
    <n v="14"/>
    <s v="KNF X 36"/>
    <n v="8"/>
    <s v="KNF"/>
    <s v="K1"/>
    <m/>
    <n v="24"/>
    <m/>
    <n v="2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420020050101"/>
    <n v="1"/>
    <m/>
    <x v="326"/>
    <m/>
    <s v="MASTER SPR COL BLACK MUSK 50ML BTL-NEW"/>
    <x v="0"/>
    <m/>
    <x v="2"/>
    <s v=""/>
    <s v="K1242"/>
    <x v="287"/>
    <n v="14"/>
    <s v="KNF X 36"/>
    <n v="8"/>
    <s v="KNF"/>
    <s v="K1"/>
    <m/>
    <n v="24"/>
    <m/>
    <n v="2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420020100101"/>
    <n v="1"/>
    <m/>
    <x v="327"/>
    <m/>
    <s v="MASTER SPR COL BLACK MUSK 100 ML BTL NEW"/>
    <x v="0"/>
    <m/>
    <x v="2"/>
    <s v=""/>
    <s v="K1242"/>
    <x v="288"/>
    <n v="14"/>
    <s v="KNF X 36"/>
    <n v="8"/>
    <s v="KNF"/>
    <s v="K1"/>
    <m/>
    <n v="24"/>
    <m/>
    <n v="2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420030050101"/>
    <n v="1"/>
    <m/>
    <x v="328"/>
    <m/>
    <s v="MASTER SPR COL E.AMBER 50 ML BTL NEW"/>
    <x v="0"/>
    <m/>
    <x v="2"/>
    <s v=""/>
    <s v="K1242"/>
    <x v="289"/>
    <n v="14"/>
    <s v="KNF X 36"/>
    <n v="8"/>
    <s v="KNF"/>
    <s v="K1"/>
    <m/>
    <n v="24"/>
    <m/>
    <n v="2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420030100101"/>
    <n v="1"/>
    <m/>
    <x v="329"/>
    <m/>
    <s v="MASTER SPR COL E.AMBER 100ML BTL NEW"/>
    <x v="0"/>
    <m/>
    <x v="2"/>
    <s v=""/>
    <s v="K1242"/>
    <x v="290"/>
    <n v="14"/>
    <s v="KNF X 36"/>
    <n v="8"/>
    <s v="KNF"/>
    <s v="K1"/>
    <m/>
    <n v="24"/>
    <m/>
    <n v="2"/>
    <m/>
    <n v="0"/>
    <m/>
    <s v="03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420040050101"/>
    <n v="1"/>
    <m/>
    <x v="330"/>
    <m/>
    <s v="MASTER SPR COL G-FOUGERE-50ML-BTL-NEW"/>
    <x v="0"/>
    <m/>
    <x v="2"/>
    <s v=""/>
    <s v="K1242"/>
    <x v="291"/>
    <n v="14"/>
    <s v="KNF X 36"/>
    <n v="8"/>
    <s v="KNF"/>
    <s v="K1"/>
    <m/>
    <n v="24"/>
    <m/>
    <n v="2"/>
    <m/>
    <n v="0"/>
    <m/>
    <s v="04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420040100101"/>
    <n v="1"/>
    <m/>
    <x v="331"/>
    <m/>
    <s v="MASTER SPR COL GREEN FOUGERE 100 ML BTL NEW"/>
    <x v="0"/>
    <m/>
    <x v="2"/>
    <s v=""/>
    <s v="K1242"/>
    <x v="292"/>
    <n v="14"/>
    <s v="KNF X 36"/>
    <n v="8"/>
    <s v="KNF"/>
    <s v="K1"/>
    <m/>
    <n v="24"/>
    <m/>
    <n v="2"/>
    <m/>
    <n v="0"/>
    <m/>
    <s v="04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420050050101"/>
    <n v="1"/>
    <m/>
    <x v="332"/>
    <m/>
    <s v="MASTER SPR COL RED WOOD 50 ML BTL NEW"/>
    <x v="0"/>
    <m/>
    <x v="2"/>
    <s v=""/>
    <s v="K1242"/>
    <x v="293"/>
    <n v="14"/>
    <s v="KNF X 36"/>
    <n v="8"/>
    <s v="KNF"/>
    <s v="K1"/>
    <m/>
    <n v="24"/>
    <m/>
    <n v="2"/>
    <m/>
    <n v="0"/>
    <m/>
    <s v="05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420050100101"/>
    <n v="1"/>
    <m/>
    <x v="333"/>
    <m/>
    <s v="MASTER SPR COL RED WOOD 100ML BTL NEW"/>
    <x v="0"/>
    <m/>
    <x v="2"/>
    <s v=""/>
    <s v="K1242"/>
    <x v="294"/>
    <n v="14"/>
    <s v="KNF X 36"/>
    <n v="8"/>
    <s v="KNF"/>
    <s v="K1"/>
    <m/>
    <n v="24"/>
    <m/>
    <n v="2"/>
    <m/>
    <n v="0"/>
    <m/>
    <s v="05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10010150101"/>
    <n v="1"/>
    <m/>
    <x v="334"/>
    <m/>
    <s v="M-KIDS SHM BATMAN 120ML+30ML BTL"/>
    <x v="0"/>
    <m/>
    <x v="2"/>
    <s v=""/>
    <s v="K1251"/>
    <x v="295"/>
    <n v="14"/>
    <s v="KNF X 36"/>
    <n v="8"/>
    <s v="KNF"/>
    <s v="K1"/>
    <m/>
    <n v="25"/>
    <m/>
    <n v="1"/>
    <m/>
    <n v="0"/>
    <m/>
    <s v="01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10020150101"/>
    <n v="1"/>
    <m/>
    <x v="335"/>
    <m/>
    <s v="M-KIDS SHM BEN-10 120ML+30ML BTL"/>
    <x v="0"/>
    <m/>
    <x v="2"/>
    <s v=""/>
    <s v="K1251"/>
    <x v="296"/>
    <n v="14"/>
    <s v="KNF X 36"/>
    <n v="8"/>
    <s v="KNF"/>
    <s v="K1"/>
    <m/>
    <n v="25"/>
    <m/>
    <n v="1"/>
    <m/>
    <n v="0"/>
    <m/>
    <s v="02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10030150101"/>
    <n v="1"/>
    <m/>
    <x v="336"/>
    <m/>
    <s v="M-KIDS SHM BUMBLEBEE 120ML+30ML BTL"/>
    <x v="0"/>
    <m/>
    <x v="2"/>
    <s v=""/>
    <s v="K1251"/>
    <x v="297"/>
    <n v="14"/>
    <s v="KNF X 36"/>
    <n v="8"/>
    <s v="KNF"/>
    <s v="K1"/>
    <m/>
    <n v="25"/>
    <m/>
    <n v="1"/>
    <m/>
    <n v="0"/>
    <m/>
    <s v="03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10040150101"/>
    <n v="1"/>
    <m/>
    <x v="337"/>
    <m/>
    <s v="M-KIDS SHM C- AMERICA 120ML+30ML BTL"/>
    <x v="0"/>
    <m/>
    <x v="2"/>
    <s v=""/>
    <s v="K1251"/>
    <x v="298"/>
    <n v="14"/>
    <s v="KNF X 36"/>
    <n v="8"/>
    <s v="KNF"/>
    <s v="K1"/>
    <m/>
    <n v="25"/>
    <m/>
    <n v="1"/>
    <m/>
    <n v="0"/>
    <m/>
    <s v="04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10050150101"/>
    <n v="1"/>
    <m/>
    <x v="338"/>
    <m/>
    <s v="M-KIDS SHM IRON MAN 120ML+30ML BTL"/>
    <x v="0"/>
    <m/>
    <x v="2"/>
    <s v=""/>
    <s v="K1251"/>
    <x v="299"/>
    <n v="14"/>
    <s v="KNF X 36"/>
    <n v="8"/>
    <s v="KNF"/>
    <s v="K1"/>
    <m/>
    <n v="25"/>
    <m/>
    <n v="1"/>
    <m/>
    <n v="0"/>
    <m/>
    <s v="05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10060150101"/>
    <n v="1"/>
    <m/>
    <x v="339"/>
    <m/>
    <s v="M-KIDS SHM OPTIMUS PRIME 120ML+30ML BTL"/>
    <x v="0"/>
    <m/>
    <x v="2"/>
    <s v=""/>
    <s v="K1251"/>
    <x v="300"/>
    <n v="14"/>
    <s v="KNF X 36"/>
    <n v="8"/>
    <s v="KNF"/>
    <s v="K1"/>
    <m/>
    <n v="25"/>
    <m/>
    <n v="1"/>
    <m/>
    <n v="0"/>
    <m/>
    <s v="06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10070150101"/>
    <n v="1"/>
    <m/>
    <x v="340"/>
    <m/>
    <s v="M-KIDS SHM SPIDERMAN 120ML+30ML BTL -3"/>
    <x v="0"/>
    <m/>
    <x v="2"/>
    <s v=""/>
    <s v="K1251"/>
    <x v="301"/>
    <n v="14"/>
    <s v="KNF X 36"/>
    <n v="8"/>
    <s v="KNF"/>
    <s v="K1"/>
    <m/>
    <n v="25"/>
    <m/>
    <n v="1"/>
    <m/>
    <n v="0"/>
    <m/>
    <s v="07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10080150101"/>
    <n v="1"/>
    <m/>
    <x v="341"/>
    <m/>
    <s v="M-KIDS SHM SUPERMAN 120ML+30ML BTL"/>
    <x v="0"/>
    <m/>
    <x v="2"/>
    <s v=""/>
    <s v="K1251"/>
    <x v="302"/>
    <n v="14"/>
    <s v="KNF X 36"/>
    <n v="8"/>
    <s v="KNF"/>
    <s v="K1"/>
    <m/>
    <n v="25"/>
    <m/>
    <n v="1"/>
    <m/>
    <n v="0"/>
    <m/>
    <s v="08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2520010175101"/>
    <n v="1"/>
    <m/>
    <x v="342"/>
    <m/>
    <s v="M-KIDS SHW GEL C- AMERICA 140ML+35ML BTL"/>
    <x v="0"/>
    <m/>
    <x v="2"/>
    <s v=""/>
    <s v="K1252"/>
    <x v="303"/>
    <n v="14"/>
    <s v="KNF X 36"/>
    <n v="8"/>
    <s v="KNF"/>
    <s v="K1"/>
    <m/>
    <n v="25"/>
    <m/>
    <n v="2"/>
    <m/>
    <n v="0"/>
    <m/>
    <s v="01"/>
    <m/>
    <s v="01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75"/>
    <n v="0"/>
    <m/>
    <m/>
    <s v="KRT"/>
    <s v="GD01"/>
    <n v="11611"/>
    <n v="11612"/>
    <m/>
    <n v="1"/>
  </r>
  <r>
    <s v="K12520020175101"/>
    <n v="1"/>
    <m/>
    <x v="343"/>
    <m/>
    <s v="M.KIDS SHW GEL IRON MAN 140ML+35ML BTL"/>
    <x v="0"/>
    <m/>
    <x v="2"/>
    <s v=""/>
    <s v="K1252"/>
    <x v="304"/>
    <n v="14"/>
    <s v="KNF X 36"/>
    <n v="8"/>
    <s v="KNF"/>
    <s v="K1"/>
    <m/>
    <n v="25"/>
    <m/>
    <n v="2"/>
    <m/>
    <n v="0"/>
    <m/>
    <s v="02"/>
    <m/>
    <s v="01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75"/>
    <n v="0"/>
    <m/>
    <m/>
    <s v="KRT"/>
    <s v="GD01"/>
    <n v="11611"/>
    <n v="11612"/>
    <m/>
    <n v="1"/>
  </r>
  <r>
    <s v="K12530010100101"/>
    <n v="1"/>
    <m/>
    <x v="344"/>
    <m/>
    <s v="M-KIDS SPR COL BATMAN 80ML+20ML BTL"/>
    <x v="0"/>
    <m/>
    <x v="2"/>
    <s v=""/>
    <s v="K1253"/>
    <x v="305"/>
    <n v="14"/>
    <s v="KNF X 36"/>
    <n v="8"/>
    <s v="KNF"/>
    <s v="K1"/>
    <m/>
    <n v="25"/>
    <m/>
    <n v="3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30020100101"/>
    <n v="1"/>
    <m/>
    <x v="345"/>
    <m/>
    <s v="M-KIDS SPR COL BEN-10 80ML+20ML BOTOL"/>
    <x v="0"/>
    <m/>
    <x v="2"/>
    <s v=""/>
    <s v="K1253"/>
    <x v="306"/>
    <n v="14"/>
    <s v="KNF X 36"/>
    <n v="8"/>
    <s v="KNF"/>
    <s v="K1"/>
    <m/>
    <n v="25"/>
    <m/>
    <n v="3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30030100101"/>
    <n v="1"/>
    <m/>
    <x v="346"/>
    <m/>
    <s v="M-KIDS SPR COL BUMBLEBEE 80ML+20MLL BTL"/>
    <x v="0"/>
    <m/>
    <x v="2"/>
    <s v=""/>
    <s v="K1253"/>
    <x v="307"/>
    <n v="14"/>
    <s v="KNF X 36"/>
    <n v="8"/>
    <s v="KNF"/>
    <s v="K1"/>
    <m/>
    <n v="25"/>
    <m/>
    <n v="3"/>
    <m/>
    <n v="0"/>
    <m/>
    <s v="03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30040100101"/>
    <n v="1"/>
    <m/>
    <x v="347"/>
    <m/>
    <s v="M-KIDS SPR COL C- AMERICA 80ML+20ML BTL"/>
    <x v="0"/>
    <m/>
    <x v="2"/>
    <s v=""/>
    <s v="K1253"/>
    <x v="308"/>
    <n v="14"/>
    <s v="KNF X 36"/>
    <n v="8"/>
    <s v="KNF"/>
    <s v="K1"/>
    <m/>
    <n v="25"/>
    <m/>
    <n v="3"/>
    <m/>
    <n v="0"/>
    <m/>
    <s v="04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30050100101"/>
    <n v="1"/>
    <m/>
    <x v="348"/>
    <m/>
    <s v="M-KIDS SPR COL IRON MAN 80ML+20ML BTL"/>
    <x v="0"/>
    <m/>
    <x v="2"/>
    <s v=""/>
    <s v="K1253"/>
    <x v="309"/>
    <n v="14"/>
    <s v="KNF X 36"/>
    <n v="8"/>
    <s v="KNF"/>
    <s v="K1"/>
    <m/>
    <n v="25"/>
    <m/>
    <n v="3"/>
    <m/>
    <n v="0"/>
    <m/>
    <s v="05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30060100101"/>
    <n v="1"/>
    <m/>
    <x v="349"/>
    <m/>
    <s v="M-KIDS SPR COL OPT-PRIME 80ML+20ML BTL"/>
    <x v="0"/>
    <m/>
    <x v="2"/>
    <s v=""/>
    <s v="K1253"/>
    <x v="310"/>
    <n v="14"/>
    <s v="KNF X 36"/>
    <n v="8"/>
    <s v="KNF"/>
    <s v="K1"/>
    <m/>
    <n v="25"/>
    <m/>
    <n v="3"/>
    <m/>
    <n v="0"/>
    <m/>
    <s v="06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30070100101"/>
    <n v="1"/>
    <m/>
    <x v="350"/>
    <m/>
    <s v="M-KIDS SPR COL SPIDERMAN 80ML+20ML BTL-3"/>
    <x v="0"/>
    <m/>
    <x v="2"/>
    <s v=""/>
    <s v="K1253"/>
    <x v="311"/>
    <n v="14"/>
    <s v="KNF X 36"/>
    <n v="8"/>
    <s v="KNF"/>
    <s v="K1"/>
    <m/>
    <n v="25"/>
    <m/>
    <n v="3"/>
    <m/>
    <n v="0"/>
    <m/>
    <s v="07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30080100101"/>
    <n v="1"/>
    <m/>
    <x v="351"/>
    <m/>
    <s v="M-KIDS SPR COL SUPERMAN 80ML+20ML BTL"/>
    <x v="0"/>
    <m/>
    <x v="2"/>
    <s v=""/>
    <s v="K1253"/>
    <x v="312"/>
    <n v="14"/>
    <s v="KNF X 36"/>
    <n v="8"/>
    <s v="KNF"/>
    <s v="K1"/>
    <m/>
    <n v="25"/>
    <m/>
    <n v="3"/>
    <m/>
    <n v="0"/>
    <m/>
    <s v="08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540010075101"/>
    <n v="1"/>
    <m/>
    <x v="352"/>
    <m/>
    <s v="M-KIDS STYL GEL BATMAN 60G + 15G JAR"/>
    <x v="4"/>
    <m/>
    <x v="2"/>
    <s v=""/>
    <s v="K1254"/>
    <x v="313"/>
    <n v="14"/>
    <s v="KNF X 48"/>
    <n v="8"/>
    <s v="KNF"/>
    <s v="K1"/>
    <m/>
    <n v="25"/>
    <m/>
    <n v="4"/>
    <m/>
    <n v="0"/>
    <m/>
    <s v="01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540020075101"/>
    <n v="1"/>
    <m/>
    <x v="353"/>
    <m/>
    <s v="M-KIDS STY GEL SPIDERMAN 60G + 15G JAR"/>
    <x v="4"/>
    <m/>
    <x v="2"/>
    <s v=""/>
    <s v="K1254"/>
    <x v="314"/>
    <n v="14"/>
    <s v="KNF X 48"/>
    <n v="8"/>
    <s v="KNF"/>
    <s v="K1"/>
    <m/>
    <n v="25"/>
    <m/>
    <n v="4"/>
    <m/>
    <n v="0"/>
    <m/>
    <s v="02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540030075101"/>
    <n v="1"/>
    <m/>
    <x v="354"/>
    <m/>
    <s v="M-KIDS STYL GEL SUPERMAN 60G + 15G JAR"/>
    <x v="4"/>
    <m/>
    <x v="2"/>
    <s v=""/>
    <s v="K1254"/>
    <x v="315"/>
    <n v="14"/>
    <s v="KNF X 48"/>
    <n v="8"/>
    <s v="KNF"/>
    <s v="K1"/>
    <m/>
    <n v="25"/>
    <m/>
    <n v="4"/>
    <m/>
    <n v="0"/>
    <m/>
    <s v="03"/>
    <m/>
    <s v="007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2550010050101"/>
    <n v="1"/>
    <m/>
    <x v="355"/>
    <m/>
    <s v="M.KIDS T.PASTE BATMAN 40G + 10G TUBE"/>
    <x v="4"/>
    <m/>
    <x v="2"/>
    <s v=""/>
    <s v="K1255"/>
    <x v="316"/>
    <n v="14"/>
    <s v="KNF X 48"/>
    <n v="8"/>
    <s v="KNF"/>
    <s v="K1"/>
    <m/>
    <n v="25"/>
    <m/>
    <n v="5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50020050101"/>
    <n v="1"/>
    <m/>
    <x v="356"/>
    <m/>
    <s v="M.KIDS T.PASTE BEN-10 50G TUBE -1509"/>
    <x v="4"/>
    <m/>
    <x v="2"/>
    <s v=""/>
    <s v="K1255"/>
    <x v="317"/>
    <n v="14"/>
    <s v="KNF X 48"/>
    <n v="8"/>
    <s v="KNF"/>
    <s v="K1"/>
    <m/>
    <n v="25"/>
    <m/>
    <n v="5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50020050102"/>
    <n v="2"/>
    <m/>
    <x v="357"/>
    <m/>
    <s v="M.KIDS T.PASTE BEN 10 40G + 10G TUBE"/>
    <x v="4"/>
    <m/>
    <x v="2"/>
    <s v=""/>
    <s v="K1255"/>
    <x v="317"/>
    <n v="14"/>
    <s v="KNF X 48"/>
    <n v="8"/>
    <s v="KNF"/>
    <s v="K1"/>
    <m/>
    <n v="25"/>
    <m/>
    <n v="5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50030050101"/>
    <n v="1"/>
    <m/>
    <x v="358"/>
    <m/>
    <s v="M.KIDS T.PASTE IRON MAN 40G + 10G TUBE"/>
    <x v="4"/>
    <m/>
    <x v="2"/>
    <s v=""/>
    <s v="K1255"/>
    <x v="318"/>
    <n v="14"/>
    <s v="KNF X 48"/>
    <n v="8"/>
    <s v="KNF"/>
    <s v="K1"/>
    <m/>
    <n v="25"/>
    <m/>
    <n v="5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50030050102"/>
    <n v="2"/>
    <m/>
    <x v="359"/>
    <m/>
    <s v="M.KIDS T.PASTE IRON MAN 50G TUBE-1312"/>
    <x v="4"/>
    <m/>
    <x v="2"/>
    <s v=""/>
    <s v="K1255"/>
    <x v="318"/>
    <n v="14"/>
    <s v="KNF X 48"/>
    <n v="8"/>
    <s v="KNF"/>
    <s v="K1"/>
    <m/>
    <n v="25"/>
    <m/>
    <n v="5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50040050101"/>
    <n v="1"/>
    <m/>
    <x v="360"/>
    <m/>
    <s v="M.KIDS T.PASTE SPIDERMAN 40G + 10G TUBE"/>
    <x v="4"/>
    <m/>
    <x v="2"/>
    <s v=""/>
    <s v="K1255"/>
    <x v="319"/>
    <n v="14"/>
    <s v="KNF X 48"/>
    <n v="8"/>
    <s v="KNF"/>
    <s v="K1"/>
    <m/>
    <n v="25"/>
    <m/>
    <n v="5"/>
    <m/>
    <n v="0"/>
    <m/>
    <s v="04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50050050101"/>
    <n v="1"/>
    <m/>
    <x v="361"/>
    <m/>
    <s v="M.KIDS T.PASTE SUPERMAN 40G + 10G TUBE"/>
    <x v="4"/>
    <m/>
    <x v="2"/>
    <s v=""/>
    <s v="K1255"/>
    <x v="320"/>
    <n v="14"/>
    <s v="KNF X 48"/>
    <n v="8"/>
    <s v="KNF"/>
    <s v="K1"/>
    <m/>
    <n v="25"/>
    <m/>
    <n v="5"/>
    <m/>
    <n v="0"/>
    <m/>
    <s v="05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60010050101"/>
    <n v="1"/>
    <m/>
    <x v="362"/>
    <m/>
    <s v="D M.KIDS PACK TP &amp; T.BRUSH C. AMERICA-1412"/>
    <x v="2"/>
    <m/>
    <x v="2"/>
    <s v=""/>
    <s v="K1256"/>
    <x v="321"/>
    <n v="14"/>
    <s v="KNF X 24"/>
    <n v="8"/>
    <s v="KNF"/>
    <s v="K1"/>
    <m/>
    <n v="25"/>
    <m/>
    <n v="6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60010050102"/>
    <n v="2"/>
    <m/>
    <x v="363"/>
    <m/>
    <s v="M.KIDS PACK TP &amp; T.BRUSH C. AMERICA-2009"/>
    <x v="2"/>
    <m/>
    <x v="2"/>
    <s v=""/>
    <s v="K1256"/>
    <x v="321"/>
    <n v="14"/>
    <s v="KNF X 24"/>
    <n v="8"/>
    <s v="KNF"/>
    <s v="K1"/>
    <m/>
    <n v="25"/>
    <m/>
    <n v="6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60020050101"/>
    <n v="1"/>
    <m/>
    <x v="364"/>
    <m/>
    <s v="M.KIDS PACK TP &amp; T.BRUSH IRON MAN"/>
    <x v="2"/>
    <m/>
    <x v="2"/>
    <s v=""/>
    <s v="K1256"/>
    <x v="322"/>
    <n v="14"/>
    <s v="KNF X 24"/>
    <n v="8"/>
    <s v="KNF"/>
    <s v="K1"/>
    <m/>
    <n v="25"/>
    <m/>
    <n v="6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560020050102"/>
    <n v="2"/>
    <m/>
    <x v="365"/>
    <m/>
    <s v="M.KIDS PACK TP &amp; T.BRUSH IRON MAN"/>
    <x v="2"/>
    <m/>
    <x v="2"/>
    <s v=""/>
    <s v="K1256"/>
    <x v="322"/>
    <n v="14"/>
    <s v="KNF X 24"/>
    <n v="8"/>
    <s v="KNF"/>
    <s v="K1"/>
    <m/>
    <n v="25"/>
    <m/>
    <n v="6"/>
    <m/>
    <n v="0"/>
    <m/>
    <s v="02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2600010100101"/>
    <n v="1"/>
    <m/>
    <x v="366"/>
    <m/>
    <s v="OVALE OLIVE OIL 100 ML BOTOL"/>
    <x v="2"/>
    <m/>
    <x v="2"/>
    <s v=""/>
    <s v="K1260"/>
    <x v="323"/>
    <n v="14"/>
    <s v="KNF X 24"/>
    <n v="8"/>
    <s v="KNF"/>
    <s v="K1"/>
    <m/>
    <n v="26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700010010101"/>
    <n v="1"/>
    <m/>
    <x v="367"/>
    <m/>
    <s v="OVALE REAL CLAY MASK ACNE PRONE 10G SCH"/>
    <x v="7"/>
    <m/>
    <x v="2"/>
    <s v=""/>
    <s v="K1270"/>
    <x v="324"/>
    <n v="14"/>
    <s v="KNF X 144"/>
    <n v="9"/>
    <s v="KNF"/>
    <s v="K1"/>
    <m/>
    <n v="27"/>
    <m/>
    <n v="0"/>
    <m/>
    <n v="0"/>
    <m/>
    <s v="01"/>
    <m/>
    <s v="00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2700020015101"/>
    <n v="1"/>
    <m/>
    <x v="368"/>
    <m/>
    <s v="OVALE REAL CLAY MASK DEEP HYDRA 15G SCH"/>
    <x v="7"/>
    <m/>
    <x v="2"/>
    <s v=""/>
    <s v="K1270"/>
    <x v="325"/>
    <n v="14"/>
    <s v="KNF X 144"/>
    <n v="9"/>
    <s v="KNF"/>
    <s v="K1"/>
    <m/>
    <n v="27"/>
    <m/>
    <n v="0"/>
    <m/>
    <n v="0"/>
    <m/>
    <s v="02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2700030015101"/>
    <n v="1"/>
    <m/>
    <x v="369"/>
    <m/>
    <s v="OVALE REAL CLAY MASK H.GLOW 15G SCH"/>
    <x v="7"/>
    <m/>
    <x v="2"/>
    <s v=""/>
    <s v="K1270"/>
    <x v="326"/>
    <n v="14"/>
    <s v="KNF X 144"/>
    <n v="9"/>
    <s v="KNF"/>
    <s v="K1"/>
    <m/>
    <n v="27"/>
    <m/>
    <n v="0"/>
    <m/>
    <n v="0"/>
    <m/>
    <s v="03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2700040015101"/>
    <n v="1"/>
    <m/>
    <x v="370"/>
    <m/>
    <s v="OVALE REAL CLAY MASK OIL CONTROL 15G SCH"/>
    <x v="7"/>
    <m/>
    <x v="2"/>
    <s v=""/>
    <s v="K1270"/>
    <x v="327"/>
    <n v="14"/>
    <s v="KNF X 144"/>
    <n v="9"/>
    <s v="KNF"/>
    <s v="K1"/>
    <m/>
    <n v="27"/>
    <m/>
    <n v="0"/>
    <m/>
    <n v="0"/>
    <m/>
    <s v="04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2700050010101"/>
    <n v="1"/>
    <m/>
    <x v="371"/>
    <m/>
    <s v="OVALE REAL CLAY PERF. PURIFYING 10G SCH"/>
    <x v="7"/>
    <m/>
    <x v="2"/>
    <s v=""/>
    <s v="K1270"/>
    <x v="328"/>
    <n v="14"/>
    <s v="KNF X 144"/>
    <n v="9"/>
    <s v="KNF"/>
    <s v="K1"/>
    <m/>
    <n v="27"/>
    <m/>
    <n v="0"/>
    <m/>
    <n v="0"/>
    <m/>
    <s v="05"/>
    <m/>
    <s v="00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2700050010102"/>
    <n v="2"/>
    <m/>
    <x v="372"/>
    <m/>
    <s v="OVALE REAL CLAY P. PURIFYING 10G SCH PM"/>
    <x v="7"/>
    <m/>
    <x v="2"/>
    <s v=""/>
    <s v="K1270"/>
    <x v="328"/>
    <n v="14"/>
    <s v="KNF X 144"/>
    <n v="9"/>
    <s v="KNF"/>
    <s v="K1"/>
    <m/>
    <n v="27"/>
    <m/>
    <n v="0"/>
    <m/>
    <n v="0"/>
    <m/>
    <s v="05"/>
    <m/>
    <s v="00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2800010060101"/>
    <n v="1"/>
    <m/>
    <x v="373"/>
    <m/>
    <s v="OVALE CLEANSING GEL ACNE CARE 60ML BTL"/>
    <x v="0"/>
    <m/>
    <x v="2"/>
    <s v=""/>
    <s v="K1280"/>
    <x v="329"/>
    <n v="14"/>
    <s v="KNF X 36"/>
    <n v="8"/>
    <s v="KNF"/>
    <s v="K1"/>
    <m/>
    <n v="28"/>
    <m/>
    <n v="0"/>
    <m/>
    <n v="0"/>
    <m/>
    <s v="01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2800010100101"/>
    <n v="1"/>
    <m/>
    <x v="374"/>
    <m/>
    <s v="OVALE CLEANSING GEL ACNE CARE 100ML BTL"/>
    <x v="0"/>
    <m/>
    <x v="2"/>
    <s v=""/>
    <s v="K1280"/>
    <x v="330"/>
    <n v="14"/>
    <s v="KNF X 36"/>
    <n v="8"/>
    <s v="KNF"/>
    <s v="K1"/>
    <m/>
    <n v="28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800020060101"/>
    <n v="1"/>
    <m/>
    <x v="375"/>
    <m/>
    <s v="OVALE CLEANSING GEL WHITENING 60ML BTL"/>
    <x v="0"/>
    <m/>
    <x v="2"/>
    <s v=""/>
    <s v="K1280"/>
    <x v="331"/>
    <n v="14"/>
    <s v="KNF X 36"/>
    <n v="8"/>
    <s v="KNF"/>
    <s v="K1"/>
    <m/>
    <n v="28"/>
    <m/>
    <n v="0"/>
    <m/>
    <n v="0"/>
    <m/>
    <s v="02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2800020100101"/>
    <n v="1"/>
    <m/>
    <x v="376"/>
    <m/>
    <s v="OVALE CLEANSING GEL WHITENING 100ML BTL"/>
    <x v="0"/>
    <m/>
    <x v="2"/>
    <s v=""/>
    <s v="K1280"/>
    <x v="332"/>
    <n v="14"/>
    <s v="KNF X 36"/>
    <n v="8"/>
    <s v="KNF"/>
    <s v="K1"/>
    <m/>
    <n v="28"/>
    <m/>
    <n v="0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900010003101"/>
    <n v="1"/>
    <m/>
    <x v="377"/>
    <m/>
    <s v="OVALE ESST VIT FACE LIGHT 0,3 ML BLR"/>
    <x v="4"/>
    <m/>
    <x v="2"/>
    <s v=""/>
    <s v="K1290"/>
    <x v="333"/>
    <n v="14"/>
    <s v="KNF X 48"/>
    <n v="8"/>
    <s v="KNF"/>
    <s v="K1"/>
    <m/>
    <n v="29"/>
    <m/>
    <n v="0"/>
    <m/>
    <n v="0"/>
    <m/>
    <s v="01"/>
    <m/>
    <s v="0003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3"/>
    <n v="0"/>
    <m/>
    <m/>
    <s v="KRT"/>
    <s v="GD01"/>
    <n v="11611"/>
    <n v="11612"/>
    <m/>
    <n v="1"/>
  </r>
  <r>
    <s v="K12900010003101"/>
    <n v="1"/>
    <m/>
    <x v="378"/>
    <m/>
    <s v="OVALE ESST VIT FACE LIGHT 0,3 ML JAR"/>
    <x v="2"/>
    <m/>
    <x v="2"/>
    <s v=""/>
    <s v="K1290"/>
    <x v="333"/>
    <n v="14"/>
    <s v="KNF X 24"/>
    <n v="8"/>
    <s v="KNF"/>
    <s v="K1"/>
    <m/>
    <n v="29"/>
    <m/>
    <n v="0"/>
    <m/>
    <n v="0"/>
    <m/>
    <s v="01"/>
    <m/>
    <s v="0003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3"/>
    <n v="0"/>
    <m/>
    <m/>
    <s v="KRT"/>
    <s v="GD01"/>
    <n v="11611"/>
    <n v="11612"/>
    <m/>
    <n v="1"/>
  </r>
  <r>
    <s v="K12900020003101"/>
    <n v="1"/>
    <m/>
    <x v="379"/>
    <m/>
    <s v="OVALE ESST VIT FACE REJUVE 0,3 ML BLR"/>
    <x v="4"/>
    <m/>
    <x v="2"/>
    <s v=""/>
    <s v="K1290"/>
    <x v="334"/>
    <n v="14"/>
    <s v="KNF X 48"/>
    <n v="8"/>
    <s v="KNF"/>
    <s v="K1"/>
    <m/>
    <n v="29"/>
    <m/>
    <n v="0"/>
    <m/>
    <n v="0"/>
    <m/>
    <s v="02"/>
    <m/>
    <s v="0003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3"/>
    <n v="0"/>
    <m/>
    <m/>
    <s v="KRT"/>
    <s v="GD01"/>
    <n v="11611"/>
    <n v="11612"/>
    <m/>
    <n v="1"/>
  </r>
  <r>
    <s v="K12900020003201"/>
    <n v="1"/>
    <m/>
    <x v="380"/>
    <m/>
    <s v="OVALE ESST VIT FACE REJUVE 0,3 ML JAR"/>
    <x v="2"/>
    <m/>
    <x v="2"/>
    <s v=""/>
    <s v="K1290"/>
    <x v="335"/>
    <n v="14"/>
    <s v="KNF X 24"/>
    <n v="8"/>
    <s v="KNF"/>
    <s v="K1"/>
    <m/>
    <n v="29"/>
    <m/>
    <n v="0"/>
    <m/>
    <n v="0"/>
    <m/>
    <s v="02"/>
    <m/>
    <s v="0003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3"/>
    <n v="0"/>
    <m/>
    <m/>
    <s v="KRT"/>
    <s v="GD01"/>
    <n v="11611"/>
    <n v="11612"/>
    <m/>
    <n v="1"/>
  </r>
  <r>
    <s v="K13000010015101"/>
    <n v="1"/>
    <m/>
    <x v="381"/>
    <m/>
    <s v="OVALE FAC MASK BENGKOANG 15G SCH -1408"/>
    <x v="7"/>
    <m/>
    <x v="2"/>
    <s v=""/>
    <s v="K1300"/>
    <x v="336"/>
    <n v="14"/>
    <s v="KNF X 144"/>
    <n v="9"/>
    <s v="KNF"/>
    <s v="K1"/>
    <m/>
    <n v="30"/>
    <m/>
    <n v="0"/>
    <m/>
    <n v="0"/>
    <m/>
    <s v="01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00020015101"/>
    <n v="1"/>
    <m/>
    <x v="382"/>
    <m/>
    <s v="OVALE FAC MASK CUCUMBER 15G SCH -1408"/>
    <x v="7"/>
    <m/>
    <x v="2"/>
    <s v=""/>
    <s v="K1300"/>
    <x v="337"/>
    <n v="14"/>
    <s v="KNF X 144"/>
    <n v="9"/>
    <s v="KNF"/>
    <s v="K1"/>
    <m/>
    <n v="30"/>
    <m/>
    <n v="0"/>
    <m/>
    <n v="0"/>
    <m/>
    <s v="02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00030015201"/>
    <n v="1"/>
    <m/>
    <x v="383"/>
    <m/>
    <s v="OVALE FAC MASK LEMON 15G SCH -1408"/>
    <x v="7"/>
    <m/>
    <x v="2"/>
    <s v=""/>
    <s v="K1300"/>
    <x v="338"/>
    <n v="14"/>
    <s v="KNF X 144"/>
    <n v="9"/>
    <s v="KNF"/>
    <s v="K1"/>
    <m/>
    <n v="30"/>
    <m/>
    <n v="0"/>
    <m/>
    <n v="0"/>
    <m/>
    <s v="03"/>
    <m/>
    <s v="001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00040015101"/>
    <n v="1"/>
    <m/>
    <x v="384"/>
    <m/>
    <s v="OVALE FAC MASK TOMATO 15G SCH -1408"/>
    <x v="7"/>
    <m/>
    <x v="2"/>
    <s v=""/>
    <s v="K1300"/>
    <x v="339"/>
    <n v="14"/>
    <s v="KNF X 144"/>
    <n v="9"/>
    <s v="KNF"/>
    <s v="K1"/>
    <m/>
    <n v="30"/>
    <m/>
    <n v="0"/>
    <m/>
    <n v="0"/>
    <m/>
    <s v="04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10010015101"/>
    <n v="1"/>
    <m/>
    <x v="385"/>
    <m/>
    <s v="OVALE FM BEDAK DINGIN MUTIARA 15G-1505"/>
    <x v="6"/>
    <m/>
    <x v="2"/>
    <s v=""/>
    <s v="K1301"/>
    <x v="340"/>
    <n v="14"/>
    <s v="KNF X 72"/>
    <n v="8"/>
    <s v="KNF"/>
    <s v="K1"/>
    <m/>
    <n v="30"/>
    <m/>
    <n v="1"/>
    <m/>
    <n v="0"/>
    <m/>
    <s v="01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10020015101"/>
    <n v="1"/>
    <m/>
    <x v="386"/>
    <m/>
    <s v="OVALE FM BEDAK DINGIN TEH HIJAU 15G-1505"/>
    <x v="6"/>
    <m/>
    <x v="2"/>
    <s v=""/>
    <s v="K1301"/>
    <x v="341"/>
    <n v="14"/>
    <s v="KNF X 72"/>
    <n v="8"/>
    <s v="KNF"/>
    <s v="K1"/>
    <m/>
    <n v="30"/>
    <m/>
    <n v="1"/>
    <m/>
    <n v="0"/>
    <m/>
    <s v="02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20010015101"/>
    <n v="1"/>
    <m/>
    <x v="387"/>
    <m/>
    <s v="OVALE FAC MASK AVOCADO 15G SCH -1408"/>
    <x v="7"/>
    <m/>
    <x v="2"/>
    <s v=""/>
    <s v="K1302"/>
    <x v="342"/>
    <n v="14"/>
    <s v="KNF X 144"/>
    <n v="9"/>
    <s v="KNF"/>
    <s v="K1"/>
    <m/>
    <n v="30"/>
    <m/>
    <n v="2"/>
    <m/>
    <n v="0"/>
    <m/>
    <s v="01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20020015101"/>
    <n v="1"/>
    <m/>
    <x v="388"/>
    <m/>
    <s v="OVALE FAC MASK PWD BENGKOANG 15G SCH"/>
    <x v="7"/>
    <m/>
    <x v="2"/>
    <s v=""/>
    <s v="K1302"/>
    <x v="343"/>
    <n v="14"/>
    <s v="KNF X 144"/>
    <n v="9"/>
    <s v="KNF"/>
    <s v="K1"/>
    <m/>
    <n v="30"/>
    <m/>
    <n v="2"/>
    <m/>
    <n v="0"/>
    <m/>
    <s v="02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20030015201"/>
    <n v="1"/>
    <m/>
    <x v="389"/>
    <m/>
    <s v="OVALE FAC MASK PWD BLACK TEA 15G SCH"/>
    <x v="7"/>
    <m/>
    <x v="2"/>
    <s v=""/>
    <s v="K1302"/>
    <x v="344"/>
    <n v="14"/>
    <s v="KNF X 144"/>
    <n v="9"/>
    <s v="KNF"/>
    <s v="K1"/>
    <m/>
    <n v="30"/>
    <m/>
    <n v="2"/>
    <m/>
    <n v="0"/>
    <m/>
    <s v="03"/>
    <m/>
    <s v="001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020040015101"/>
    <n v="1"/>
    <m/>
    <x v="390"/>
    <m/>
    <s v="OVALE FAC MASK PWD PEARL 15G SCH"/>
    <x v="7"/>
    <m/>
    <x v="2"/>
    <s v=""/>
    <s v="K1302"/>
    <x v="345"/>
    <n v="14"/>
    <s v="KNF X 144"/>
    <n v="9"/>
    <s v="KNF"/>
    <s v="K1"/>
    <m/>
    <n v="30"/>
    <m/>
    <n v="2"/>
    <m/>
    <n v="0"/>
    <m/>
    <s v="04"/>
    <m/>
    <s v="001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5"/>
    <n v="0"/>
    <m/>
    <m/>
    <s v="KRT"/>
    <s v="GD01"/>
    <n v="11611"/>
    <n v="11612"/>
    <m/>
    <n v="1"/>
  </r>
  <r>
    <s v="K13100010000201"/>
    <n v="1"/>
    <m/>
    <x v="391"/>
    <m/>
    <s v="OVALE FACE PAPER EXT BIG BOX"/>
    <x v="7"/>
    <m/>
    <x v="2"/>
    <s v=""/>
    <s v="K1310"/>
    <x v="346"/>
    <n v="14"/>
    <s v="KNF X 144"/>
    <n v="9"/>
    <s v="KNF"/>
    <s v="K1"/>
    <m/>
    <n v="31"/>
    <m/>
    <n v="0"/>
    <m/>
    <n v="0"/>
    <m/>
    <s v="01"/>
    <m/>
    <s v="00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3100020000101"/>
    <n v="1"/>
    <m/>
    <x v="392"/>
    <m/>
    <s v="OVALE FACE PAPER EXTRA SMALL BOX"/>
    <x v="12"/>
    <m/>
    <x v="2"/>
    <s v=""/>
    <s v="K1310"/>
    <x v="347"/>
    <n v="14"/>
    <s v="KNF X 288"/>
    <n v="9"/>
    <s v="KNF"/>
    <s v="K1"/>
    <m/>
    <n v="31"/>
    <m/>
    <n v="0"/>
    <m/>
    <n v="0"/>
    <m/>
    <s v="02"/>
    <m/>
    <s v="00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3200010030201"/>
    <n v="1"/>
    <m/>
    <x v="393"/>
    <m/>
    <s v="OVALE FACE SERUM ANTI AGING 30ML BTL"/>
    <x v="2"/>
    <m/>
    <x v="2"/>
    <s v=""/>
    <s v="K1320"/>
    <x v="348"/>
    <n v="14"/>
    <s v="KNF X 24"/>
    <n v="8"/>
    <s v="KNF"/>
    <s v="K1"/>
    <m/>
    <n v="32"/>
    <m/>
    <n v="0"/>
    <m/>
    <n v="0"/>
    <m/>
    <s v="01"/>
    <m/>
    <s v="003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3200020030101"/>
    <n v="1"/>
    <m/>
    <x v="394"/>
    <m/>
    <s v="OVALE FACE SERUM MOISTURIZING 30ML BTL"/>
    <x v="2"/>
    <m/>
    <x v="2"/>
    <s v=""/>
    <s v="K1320"/>
    <x v="349"/>
    <n v="14"/>
    <s v="KNF X 24"/>
    <n v="8"/>
    <s v="KNF"/>
    <s v="K1"/>
    <m/>
    <n v="32"/>
    <m/>
    <n v="0"/>
    <m/>
    <n v="0"/>
    <m/>
    <s v="02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3200030030101"/>
    <n v="1"/>
    <m/>
    <x v="395"/>
    <m/>
    <s v="OVALE FACE SERUM WHITENING 30ML BTL"/>
    <x v="2"/>
    <m/>
    <x v="2"/>
    <s v=""/>
    <s v="K1320"/>
    <x v="350"/>
    <n v="14"/>
    <s v="KNF X 24"/>
    <n v="8"/>
    <s v="KNF"/>
    <s v="K1"/>
    <m/>
    <n v="32"/>
    <m/>
    <n v="0"/>
    <m/>
    <n v="0"/>
    <m/>
    <s v="03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3300010060201"/>
    <n v="1"/>
    <m/>
    <x v="396"/>
    <m/>
    <s v="OVALE FAC LOT ANTI ACNE 60 ML BTL-3"/>
    <x v="0"/>
    <m/>
    <x v="2"/>
    <s v=""/>
    <s v="K1330"/>
    <x v="351"/>
    <n v="14"/>
    <s v="KNF X 36"/>
    <n v="8"/>
    <s v="KNF"/>
    <s v="K1"/>
    <m/>
    <n v="33"/>
    <m/>
    <n v="0"/>
    <m/>
    <n v="0"/>
    <m/>
    <s v="01"/>
    <m/>
    <s v="006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300010100101"/>
    <n v="1"/>
    <m/>
    <x v="397"/>
    <m/>
    <s v="OVALE FAC LOT ANTI ACNE 100ML BTL -3"/>
    <x v="0"/>
    <m/>
    <x v="2"/>
    <s v=""/>
    <s v="K1330"/>
    <x v="352"/>
    <n v="14"/>
    <s v="KNF X 36"/>
    <n v="8"/>
    <s v="KNF"/>
    <s v="K1"/>
    <m/>
    <n v="33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300010200101"/>
    <n v="1"/>
    <m/>
    <x v="398"/>
    <m/>
    <s v="OVALE FAC LOT ANTI ACNE 200ML BTL -3"/>
    <x v="0"/>
    <m/>
    <x v="2"/>
    <s v=""/>
    <s v="K1330"/>
    <x v="353"/>
    <n v="14"/>
    <s v="KNF X 36"/>
    <n v="8"/>
    <s v="KNF"/>
    <s v="K1"/>
    <m/>
    <n v="33"/>
    <m/>
    <n v="0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300020060101"/>
    <n v="1"/>
    <m/>
    <x v="399"/>
    <m/>
    <s v="OVALE FAC LOT EXT MILD 60ML BTL -3"/>
    <x v="0"/>
    <m/>
    <x v="2"/>
    <s v=""/>
    <s v="K1330"/>
    <x v="354"/>
    <n v="14"/>
    <s v="KNF X 36"/>
    <n v="8"/>
    <s v="KNF"/>
    <s v="K1"/>
    <m/>
    <n v="33"/>
    <m/>
    <n v="0"/>
    <m/>
    <n v="0"/>
    <m/>
    <s v="02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300020100101"/>
    <n v="1"/>
    <m/>
    <x v="400"/>
    <m/>
    <s v="OVALE FAC LOT EXT MILD 100ML BTL -3"/>
    <x v="0"/>
    <m/>
    <x v="2"/>
    <s v=""/>
    <s v="K1330"/>
    <x v="355"/>
    <n v="14"/>
    <s v="KNF X 36"/>
    <n v="8"/>
    <s v="KNF"/>
    <s v="K1"/>
    <m/>
    <n v="33"/>
    <m/>
    <n v="0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300020200101"/>
    <n v="1"/>
    <m/>
    <x v="401"/>
    <m/>
    <s v="OVALE FAC LOT EXT MILD 200ML BTL -3"/>
    <x v="0"/>
    <m/>
    <x v="2"/>
    <s v=""/>
    <s v="K1330"/>
    <x v="356"/>
    <n v="14"/>
    <s v="KNF X 36"/>
    <n v="8"/>
    <s v="KNF"/>
    <s v="K1"/>
    <m/>
    <n v="33"/>
    <m/>
    <n v="0"/>
    <m/>
    <n v="0"/>
    <m/>
    <s v="02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300030060101"/>
    <n v="1"/>
    <m/>
    <x v="402"/>
    <m/>
    <s v="OVALE FAC LOT LEMON 60ML BTL -3"/>
    <x v="0"/>
    <m/>
    <x v="2"/>
    <s v=""/>
    <s v="K1330"/>
    <x v="357"/>
    <n v="14"/>
    <s v="KNF X 36"/>
    <n v="8"/>
    <s v="KNF"/>
    <s v="K1"/>
    <m/>
    <n v="33"/>
    <m/>
    <n v="0"/>
    <m/>
    <n v="0"/>
    <m/>
    <s v="03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300030100101"/>
    <n v="1"/>
    <m/>
    <x v="403"/>
    <m/>
    <s v="OVALE FAC LOT LEMON 100 ML BTL-3"/>
    <x v="0"/>
    <m/>
    <x v="2"/>
    <s v=""/>
    <s v="K1330"/>
    <x v="358"/>
    <n v="14"/>
    <s v="KNF X 36"/>
    <n v="8"/>
    <s v="KNF"/>
    <s v="K1"/>
    <m/>
    <n v="33"/>
    <m/>
    <n v="0"/>
    <m/>
    <n v="0"/>
    <m/>
    <s v="03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300030200101"/>
    <n v="1"/>
    <m/>
    <x v="404"/>
    <m/>
    <s v="OVALE FAC LOT LEMON 200ML BTL -3"/>
    <x v="0"/>
    <m/>
    <x v="2"/>
    <s v=""/>
    <s v="K1330"/>
    <x v="359"/>
    <n v="14"/>
    <s v="KNF X 36"/>
    <n v="8"/>
    <s v="KNF"/>
    <s v="K1"/>
    <m/>
    <n v="33"/>
    <m/>
    <n v="0"/>
    <m/>
    <n v="0"/>
    <m/>
    <s v="03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300040060101"/>
    <n v="1"/>
    <m/>
    <x v="405"/>
    <m/>
    <s v="OVALE FAC LOT WHITENING 60ML BTL -3"/>
    <x v="0"/>
    <m/>
    <x v="2"/>
    <s v=""/>
    <s v="K1330"/>
    <x v="360"/>
    <n v="14"/>
    <s v="KNF X 36"/>
    <n v="8"/>
    <s v="KNF"/>
    <s v="K1"/>
    <m/>
    <n v="33"/>
    <m/>
    <n v="0"/>
    <m/>
    <n v="0"/>
    <m/>
    <s v="04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300040060102"/>
    <n v="2"/>
    <m/>
    <x v="406"/>
    <m/>
    <s v="OVALE FAC LOT P.LUMI YAMBEAN 60ML BTL"/>
    <x v="0"/>
    <m/>
    <x v="2"/>
    <s v=""/>
    <s v="K1330"/>
    <x v="360"/>
    <n v="14"/>
    <s v="KNF X 36"/>
    <n v="8"/>
    <s v="KNF"/>
    <s v="K1"/>
    <m/>
    <n v="33"/>
    <m/>
    <n v="0"/>
    <m/>
    <n v="0"/>
    <m/>
    <s v="04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300040100101"/>
    <n v="1"/>
    <m/>
    <x v="407"/>
    <m/>
    <s v="OVALE FAC LOT WHITENING 100ML BTL -3"/>
    <x v="0"/>
    <m/>
    <x v="2"/>
    <s v=""/>
    <s v="K1330"/>
    <x v="361"/>
    <n v="14"/>
    <s v="KNF X 36"/>
    <n v="8"/>
    <s v="KNF"/>
    <s v="K1"/>
    <m/>
    <n v="33"/>
    <m/>
    <n v="0"/>
    <m/>
    <n v="0"/>
    <m/>
    <s v="04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300040100102"/>
    <n v="2"/>
    <m/>
    <x v="408"/>
    <m/>
    <s v="OVALE FAC LOT P.LUMI YAMBEAN 100ML BTL"/>
    <x v="0"/>
    <m/>
    <x v="2"/>
    <s v=""/>
    <s v="K1330"/>
    <x v="361"/>
    <n v="14"/>
    <s v="KNF X 36"/>
    <n v="8"/>
    <s v="KNF"/>
    <s v="K1"/>
    <m/>
    <n v="33"/>
    <m/>
    <n v="0"/>
    <m/>
    <n v="0"/>
    <m/>
    <s v="04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300040200101"/>
    <n v="1"/>
    <m/>
    <x v="409"/>
    <m/>
    <s v="OVALE FAC LOT WHITENING 200ML BTL -3"/>
    <x v="0"/>
    <m/>
    <x v="2"/>
    <s v=""/>
    <s v="K1330"/>
    <x v="362"/>
    <n v="14"/>
    <s v="KNF X 36"/>
    <n v="8"/>
    <s v="KNF"/>
    <s v="K1"/>
    <m/>
    <n v="33"/>
    <m/>
    <n v="0"/>
    <m/>
    <n v="0"/>
    <m/>
    <s v="04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300040200102"/>
    <n v="2"/>
    <m/>
    <x v="410"/>
    <m/>
    <s v="OVALE FAC LOT P.LUMI YAMBEAN 200ML BTL"/>
    <x v="0"/>
    <m/>
    <x v="2"/>
    <s v=""/>
    <s v="K1330"/>
    <x v="362"/>
    <n v="14"/>
    <s v="KNF X 36"/>
    <n v="8"/>
    <s v="KNF"/>
    <s v="K1"/>
    <m/>
    <n v="33"/>
    <m/>
    <n v="0"/>
    <m/>
    <n v="0"/>
    <m/>
    <s v="04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300050060101"/>
    <n v="1"/>
    <m/>
    <x v="411"/>
    <m/>
    <s v="OVALE FAC LOT PAPAYA 60ML BTL -3"/>
    <x v="0"/>
    <m/>
    <x v="2"/>
    <s v=""/>
    <s v="K1330"/>
    <x v="363"/>
    <n v="14"/>
    <s v="KNF X 36"/>
    <n v="8"/>
    <s v="KNF"/>
    <s v="K1"/>
    <m/>
    <n v="33"/>
    <m/>
    <n v="0"/>
    <m/>
    <n v="0"/>
    <m/>
    <s v="05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300050100101"/>
    <n v="1"/>
    <m/>
    <x v="412"/>
    <m/>
    <s v="OVALE FAC LOT PAPAYA 100 ML BTL-3"/>
    <x v="0"/>
    <m/>
    <x v="2"/>
    <s v=""/>
    <s v="K1330"/>
    <x v="364"/>
    <n v="14"/>
    <s v="KNF X 36"/>
    <n v="8"/>
    <s v="KNF"/>
    <s v="K1"/>
    <m/>
    <n v="33"/>
    <m/>
    <n v="0"/>
    <m/>
    <n v="0"/>
    <m/>
    <s v="05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300050200101"/>
    <n v="1"/>
    <m/>
    <x v="413"/>
    <m/>
    <s v="OVALE FAC LOT PAPAYA 200ML BTL -3"/>
    <x v="0"/>
    <m/>
    <x v="2"/>
    <s v=""/>
    <s v="K1330"/>
    <x v="365"/>
    <n v="14"/>
    <s v="KNF X 36"/>
    <n v="8"/>
    <s v="KNF"/>
    <s v="K1"/>
    <m/>
    <n v="33"/>
    <m/>
    <n v="0"/>
    <m/>
    <n v="0"/>
    <m/>
    <s v="05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300060060101"/>
    <n v="1"/>
    <m/>
    <x v="414"/>
    <m/>
    <s v="OVALE FAC LOT PORE MIN 60ML BTL -2"/>
    <x v="0"/>
    <m/>
    <x v="2"/>
    <s v=""/>
    <s v="K1330"/>
    <x v="366"/>
    <n v="14"/>
    <s v="KNF X 36"/>
    <n v="8"/>
    <s v="KNF"/>
    <s v="K1"/>
    <m/>
    <n v="33"/>
    <m/>
    <n v="0"/>
    <m/>
    <n v="0"/>
    <m/>
    <s v="06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300060100101"/>
    <n v="1"/>
    <m/>
    <x v="415"/>
    <m/>
    <s v="OVALE FAC LOT PORE MIN 100ML BTL -2"/>
    <x v="0"/>
    <m/>
    <x v="2"/>
    <s v=""/>
    <s v="K1330"/>
    <x v="367"/>
    <n v="14"/>
    <s v="KNF X 36"/>
    <n v="8"/>
    <s v="KNF"/>
    <s v="K1"/>
    <m/>
    <n v="33"/>
    <m/>
    <n v="0"/>
    <m/>
    <n v="0"/>
    <m/>
    <s v="06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300060200101"/>
    <n v="1"/>
    <m/>
    <x v="416"/>
    <m/>
    <s v="OVALE FAC LOT PORE MIN 200ML BTL -2"/>
    <x v="0"/>
    <m/>
    <x v="2"/>
    <s v=""/>
    <s v="K1330"/>
    <x v="368"/>
    <n v="14"/>
    <s v="KNF X 36"/>
    <n v="8"/>
    <s v="KNF"/>
    <s v="K1"/>
    <m/>
    <n v="33"/>
    <m/>
    <n v="0"/>
    <m/>
    <n v="0"/>
    <m/>
    <s v="06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400010100101"/>
    <n v="1"/>
    <m/>
    <x v="417"/>
    <m/>
    <s v="OVALE LULUR BALI BENGKOANG 100 GR JAR"/>
    <x v="2"/>
    <m/>
    <x v="2"/>
    <s v=""/>
    <s v="K1340"/>
    <x v="369"/>
    <n v="14"/>
    <s v="KNF X 24"/>
    <n v="8"/>
    <s v="KNF"/>
    <s v="K1"/>
    <m/>
    <n v="34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400020100101"/>
    <n v="1"/>
    <m/>
    <x v="418"/>
    <m/>
    <s v="OVALE LULUR BALI BOREH 100 GR JAR"/>
    <x v="2"/>
    <m/>
    <x v="2"/>
    <s v=""/>
    <s v="K1340"/>
    <x v="370"/>
    <n v="14"/>
    <s v="KNF X 24"/>
    <n v="8"/>
    <s v="KNF"/>
    <s v="K1"/>
    <m/>
    <n v="34"/>
    <m/>
    <n v="0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400030100101"/>
    <n v="1"/>
    <m/>
    <x v="419"/>
    <m/>
    <s v="OVALE LULUR BALI CHOCOLATE 100 GR JAR"/>
    <x v="2"/>
    <m/>
    <x v="2"/>
    <s v=""/>
    <s v="K1340"/>
    <x v="371"/>
    <n v="14"/>
    <s v="KNF X 24"/>
    <n v="8"/>
    <s v="KNF"/>
    <s v="K1"/>
    <m/>
    <n v="34"/>
    <m/>
    <n v="0"/>
    <m/>
    <n v="0"/>
    <m/>
    <s v="03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400040100101"/>
    <n v="1"/>
    <m/>
    <x v="420"/>
    <m/>
    <s v="OVALE LULUR BALI COFFE 100 GR JAR"/>
    <x v="2"/>
    <m/>
    <x v="2"/>
    <s v=""/>
    <s v="K1340"/>
    <x v="372"/>
    <n v="14"/>
    <s v="KNF X 24"/>
    <n v="8"/>
    <s v="KNF"/>
    <s v="K1"/>
    <m/>
    <n v="34"/>
    <m/>
    <n v="0"/>
    <m/>
    <n v="0"/>
    <m/>
    <s v="04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400050100101"/>
    <n v="1"/>
    <m/>
    <x v="421"/>
    <m/>
    <s v="OVALE LULUR BALI HONEY C. 100 GR JAR"/>
    <x v="2"/>
    <m/>
    <x v="2"/>
    <s v=""/>
    <s v="K1340"/>
    <x v="373"/>
    <n v="14"/>
    <s v="KNF X 24"/>
    <n v="8"/>
    <s v="KNF"/>
    <s v="K1"/>
    <m/>
    <n v="34"/>
    <m/>
    <n v="0"/>
    <m/>
    <n v="0"/>
    <m/>
    <s v="05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400060100101"/>
    <n v="1"/>
    <m/>
    <x v="422"/>
    <m/>
    <s v="OVALE LULUR BALI MILK 100 GR JAR"/>
    <x v="2"/>
    <m/>
    <x v="2"/>
    <s v=""/>
    <s v="K1340"/>
    <x v="374"/>
    <n v="14"/>
    <s v="KNF X 24"/>
    <n v="8"/>
    <s v="KNF"/>
    <s v="K1"/>
    <m/>
    <n v="34"/>
    <m/>
    <n v="0"/>
    <m/>
    <n v="0"/>
    <m/>
    <s v="06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500010100101"/>
    <n v="1"/>
    <m/>
    <x v="423"/>
    <m/>
    <s v="OVALE MICELLAR WATER BRIGHTENING 100ML"/>
    <x v="0"/>
    <m/>
    <x v="2"/>
    <s v=""/>
    <s v="K1350"/>
    <x v="375"/>
    <n v="14"/>
    <s v="KNF X 36"/>
    <n v="8"/>
    <s v="KNF"/>
    <s v="K1"/>
    <m/>
    <n v="35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500010200101"/>
    <n v="1"/>
    <m/>
    <x v="424"/>
    <m/>
    <s v="OVALE MICELLAR WATER BRIGHTENING 200ML"/>
    <x v="0"/>
    <m/>
    <x v="2"/>
    <s v=""/>
    <s v="K1350"/>
    <x v="376"/>
    <n v="14"/>
    <s v="KNF X 36"/>
    <n v="8"/>
    <s v="KNF"/>
    <s v="K1"/>
    <m/>
    <n v="35"/>
    <m/>
    <n v="0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500020100101"/>
    <n v="1"/>
    <m/>
    <x v="425"/>
    <m/>
    <s v="OVALE MICELLAR WATER ACNE SKIN 100ML BTL"/>
    <x v="0"/>
    <m/>
    <x v="2"/>
    <s v=""/>
    <s v="K1350"/>
    <x v="377"/>
    <n v="14"/>
    <s v="KNF X 36"/>
    <n v="8"/>
    <s v="KNF"/>
    <s v="K1"/>
    <m/>
    <n v="35"/>
    <m/>
    <n v="0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500020200101"/>
    <n v="1"/>
    <m/>
    <x v="426"/>
    <m/>
    <s v="OVALE MICELLAR WATER ACNE SKIN 200ML BTL"/>
    <x v="0"/>
    <m/>
    <x v="2"/>
    <s v=""/>
    <s v="K1350"/>
    <x v="378"/>
    <n v="14"/>
    <s v="KNF X 36"/>
    <n v="8"/>
    <s v="KNF"/>
    <s v="K1"/>
    <m/>
    <n v="35"/>
    <m/>
    <n v="0"/>
    <m/>
    <n v="0"/>
    <m/>
    <s v="02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510010100101"/>
    <n v="1"/>
    <m/>
    <x v="427"/>
    <m/>
    <s v="OVALE NAT H2O MICELLAR WTR.BRIGHT 100ML"/>
    <x v="0"/>
    <m/>
    <x v="2"/>
    <s v=""/>
    <s v="K1351"/>
    <x v="379"/>
    <n v="14"/>
    <s v="KNF X 36"/>
    <n v="8"/>
    <s v="KNF"/>
    <s v="K1"/>
    <m/>
    <n v="35"/>
    <m/>
    <n v="1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510020100101"/>
    <n v="1"/>
    <m/>
    <x v="428"/>
    <m/>
    <s v="OVALE NAT H2O MICELLAR WTR ACNE.C 100ML"/>
    <x v="0"/>
    <m/>
    <x v="2"/>
    <s v=""/>
    <s v="K1351"/>
    <x v="380"/>
    <n v="14"/>
    <s v="KNF X 36"/>
    <n v="8"/>
    <s v="KNF"/>
    <s v="K1"/>
    <m/>
    <n v="35"/>
    <m/>
    <n v="1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600010100101"/>
    <n v="1"/>
    <m/>
    <x v="429"/>
    <m/>
    <s v="RESIK V GODOKAN SIRIH 100ML SOAPFREE BTL"/>
    <x v="0"/>
    <m/>
    <x v="2"/>
    <s v=""/>
    <s v="K1360"/>
    <x v="381"/>
    <n v="14"/>
    <s v="KNF X 36"/>
    <n v="8"/>
    <s v="KNF"/>
    <s v="K1"/>
    <m/>
    <n v="36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600010100102"/>
    <n v="2"/>
    <m/>
    <x v="430"/>
    <m/>
    <s v="RESIK V GODOKAN SIRIH 100ML BTL -1907"/>
    <x v="0"/>
    <m/>
    <x v="2"/>
    <s v=""/>
    <s v="K1360"/>
    <x v="381"/>
    <n v="14"/>
    <s v="KNF X 36"/>
    <n v="8"/>
    <s v="KNF"/>
    <s v="K1"/>
    <m/>
    <n v="36"/>
    <m/>
    <n v="0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610000100101"/>
    <n v="1"/>
    <m/>
    <x v="431"/>
    <m/>
    <s v="RESIK V GODOKAN R. MADURA 100ML BTL"/>
    <x v="0"/>
    <m/>
    <x v="2"/>
    <s v=""/>
    <s v="K1361"/>
    <x v="382"/>
    <n v="14"/>
    <s v="KNF X 36"/>
    <n v="8"/>
    <s v="KNF"/>
    <s v="K1"/>
    <m/>
    <n v="36"/>
    <m/>
    <n v="1"/>
    <m/>
    <n v="0"/>
    <m/>
    <s v="00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3700000050101"/>
    <n v="1"/>
    <m/>
    <x v="432"/>
    <m/>
    <s v="RESIK V MJK 50ML BTL -2"/>
    <x v="6"/>
    <m/>
    <x v="2"/>
    <s v=""/>
    <s v="K1370"/>
    <x v="383"/>
    <n v="14"/>
    <s v="KNF X 72"/>
    <n v="8"/>
    <s v="KNF"/>
    <s v="K1"/>
    <m/>
    <n v="37"/>
    <m/>
    <n v="0"/>
    <m/>
    <n v="0"/>
    <m/>
    <s v="00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3700000090101"/>
    <n v="1"/>
    <m/>
    <x v="433"/>
    <m/>
    <s v="RESIK V MJK 90ML BTL -2"/>
    <x v="0"/>
    <m/>
    <x v="2"/>
    <s v=""/>
    <s v="K1370"/>
    <x v="384"/>
    <n v="14"/>
    <s v="KNF X 36"/>
    <n v="8"/>
    <s v="KNF"/>
    <s v="K1"/>
    <m/>
    <n v="37"/>
    <m/>
    <n v="0"/>
    <m/>
    <n v="0"/>
    <m/>
    <s v="00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700000200101"/>
    <n v="1"/>
    <m/>
    <x v="434"/>
    <m/>
    <s v="RESIK V MJK 200ML BTL -2"/>
    <x v="0"/>
    <m/>
    <x v="2"/>
    <s v=""/>
    <s v="K1370"/>
    <x v="385"/>
    <n v="14"/>
    <s v="KNF X 36"/>
    <n v="8"/>
    <s v="KNF"/>
    <s v="K1"/>
    <m/>
    <n v="37"/>
    <m/>
    <n v="0"/>
    <m/>
    <n v="0"/>
    <m/>
    <s v="00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700010050101"/>
    <n v="1"/>
    <m/>
    <x v="435"/>
    <m/>
    <s v="RESIK V MJK WHITENING 50ML BTL -1603"/>
    <x v="6"/>
    <m/>
    <x v="2"/>
    <s v=""/>
    <s v="K1370"/>
    <x v="386"/>
    <n v="14"/>
    <s v="KNF X 72"/>
    <n v="8"/>
    <s v="KNF"/>
    <s v="K1"/>
    <m/>
    <n v="37"/>
    <m/>
    <n v="0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3700010090101"/>
    <n v="1"/>
    <m/>
    <x v="436"/>
    <m/>
    <s v="RESIK V MJK WHITENING 90ML BTL -1603"/>
    <x v="0"/>
    <m/>
    <x v="2"/>
    <s v=""/>
    <s v="K1370"/>
    <x v="387"/>
    <n v="14"/>
    <s v="KNF X 36"/>
    <n v="8"/>
    <s v="KNF"/>
    <s v="K1"/>
    <m/>
    <n v="37"/>
    <m/>
    <n v="0"/>
    <m/>
    <n v="0"/>
    <m/>
    <s v="01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700010200101"/>
    <n v="1"/>
    <m/>
    <x v="437"/>
    <m/>
    <s v="RESIK V MJK WHITENING 200ML BTL -1603"/>
    <x v="0"/>
    <m/>
    <x v="2"/>
    <s v=""/>
    <s v="K1370"/>
    <x v="388"/>
    <n v="14"/>
    <s v="KNF X 36"/>
    <n v="8"/>
    <s v="KNF"/>
    <s v="K1"/>
    <m/>
    <n v="37"/>
    <m/>
    <n v="0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800010060101"/>
    <n v="1"/>
    <m/>
    <x v="438"/>
    <m/>
    <s v="RESIK V PKW SIRIH ANGGREK 60ML-1808"/>
    <x v="6"/>
    <m/>
    <x v="2"/>
    <s v=""/>
    <s v="K1380"/>
    <x v="389"/>
    <n v="14"/>
    <s v="KNF X 72"/>
    <n v="8"/>
    <s v="KNF"/>
    <s v="K1"/>
    <m/>
    <n v="38"/>
    <m/>
    <n v="0"/>
    <m/>
    <n v="0"/>
    <m/>
    <s v="01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800010090101"/>
    <n v="1"/>
    <m/>
    <x v="439"/>
    <m/>
    <s v="RESIK V PKW SIRIH ANGGREK 90 ML"/>
    <x v="0"/>
    <m/>
    <x v="2"/>
    <s v=""/>
    <s v="K1380"/>
    <x v="390"/>
    <n v="14"/>
    <s v="KNF X 36"/>
    <n v="8"/>
    <s v="KNF"/>
    <s v="K1"/>
    <m/>
    <n v="38"/>
    <m/>
    <n v="0"/>
    <m/>
    <n v="0"/>
    <m/>
    <s v="01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800010200101"/>
    <n v="1"/>
    <m/>
    <x v="440"/>
    <m/>
    <s v="RESIK V PKW SIRIH ANGGREK 200 ML"/>
    <x v="0"/>
    <m/>
    <x v="2"/>
    <s v=""/>
    <s v="K1380"/>
    <x v="391"/>
    <n v="14"/>
    <s v="KNF X 36"/>
    <n v="8"/>
    <s v="KNF"/>
    <s v="K1"/>
    <m/>
    <n v="38"/>
    <m/>
    <n v="0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800020090101"/>
    <n v="1"/>
    <m/>
    <x v="441"/>
    <m/>
    <s v="RESIK V PKW SIRIH KENANGA 90 ML"/>
    <x v="0"/>
    <m/>
    <x v="2"/>
    <s v=""/>
    <s v="K1380"/>
    <x v="392"/>
    <n v="14"/>
    <s v="KNF X 36"/>
    <n v="8"/>
    <s v="KNF"/>
    <s v="K1"/>
    <m/>
    <n v="38"/>
    <m/>
    <n v="0"/>
    <m/>
    <n v="0"/>
    <m/>
    <s v="02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800020200101"/>
    <n v="1"/>
    <m/>
    <x v="442"/>
    <m/>
    <s v="RESIK V PKW SIRIH KENANGA 200 ML"/>
    <x v="0"/>
    <m/>
    <x v="2"/>
    <s v=""/>
    <s v="K1380"/>
    <x v="393"/>
    <n v="14"/>
    <s v="KNF X 36"/>
    <n v="8"/>
    <s v="KNF"/>
    <s v="K1"/>
    <m/>
    <n v="38"/>
    <m/>
    <n v="0"/>
    <m/>
    <n v="0"/>
    <m/>
    <s v="02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800030060101"/>
    <n v="1"/>
    <m/>
    <x v="443"/>
    <m/>
    <s v="RESIK V PKW SIRIH MAWAR 60ML-1808"/>
    <x v="6"/>
    <m/>
    <x v="2"/>
    <s v=""/>
    <s v="K1380"/>
    <x v="394"/>
    <n v="14"/>
    <s v="KNF X 72"/>
    <n v="8"/>
    <s v="KNF"/>
    <s v="K1"/>
    <m/>
    <n v="38"/>
    <m/>
    <n v="0"/>
    <m/>
    <n v="0"/>
    <m/>
    <s v="03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800030090101"/>
    <n v="1"/>
    <m/>
    <x v="444"/>
    <m/>
    <s v="RESIK V PKW SIRIH MAWAR 90 ML"/>
    <x v="0"/>
    <m/>
    <x v="2"/>
    <s v=""/>
    <s v="K1380"/>
    <x v="395"/>
    <n v="14"/>
    <s v="KNF X 36"/>
    <n v="8"/>
    <s v="KNF"/>
    <s v="K1"/>
    <m/>
    <n v="38"/>
    <m/>
    <n v="0"/>
    <m/>
    <n v="0"/>
    <m/>
    <s v="03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800030200101"/>
    <n v="1"/>
    <m/>
    <x v="445"/>
    <m/>
    <s v="RESIK V PKW SIRIH MAWAR 200 ML"/>
    <x v="0"/>
    <m/>
    <x v="2"/>
    <s v=""/>
    <s v="K1380"/>
    <x v="396"/>
    <n v="14"/>
    <s v="KNF X 36"/>
    <n v="8"/>
    <s v="KNF"/>
    <s v="K1"/>
    <m/>
    <n v="38"/>
    <m/>
    <n v="0"/>
    <m/>
    <n v="0"/>
    <m/>
    <s v="03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800040090101"/>
    <n v="1"/>
    <m/>
    <x v="446"/>
    <m/>
    <s v="RESIK V PKW SIRIH WANGI 90 ML"/>
    <x v="0"/>
    <m/>
    <x v="2"/>
    <s v=""/>
    <s v="K1380"/>
    <x v="397"/>
    <n v="14"/>
    <s v="KNF X 36"/>
    <n v="8"/>
    <s v="KNF"/>
    <s v="K1"/>
    <m/>
    <n v="38"/>
    <m/>
    <n v="0"/>
    <m/>
    <n v="0"/>
    <m/>
    <s v="04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800040200101"/>
    <n v="1"/>
    <m/>
    <x v="447"/>
    <m/>
    <s v="RESIK V PKW SIRIH WANGI 200 ML"/>
    <x v="0"/>
    <m/>
    <x v="2"/>
    <s v=""/>
    <s v="K1380"/>
    <x v="398"/>
    <n v="14"/>
    <s v="KNF X 36"/>
    <n v="8"/>
    <s v="KNF"/>
    <s v="K1"/>
    <m/>
    <n v="38"/>
    <m/>
    <n v="0"/>
    <m/>
    <n v="0"/>
    <m/>
    <s v="04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810010060101"/>
    <n v="1"/>
    <m/>
    <x v="448"/>
    <m/>
    <s v="RESIK V SPA PKW S.AKAR WANGI 60ML-1808"/>
    <x v="6"/>
    <m/>
    <x v="2"/>
    <s v=""/>
    <s v="K1381"/>
    <x v="399"/>
    <n v="14"/>
    <s v="KNF X 72"/>
    <n v="8"/>
    <s v="KNF"/>
    <s v="K1"/>
    <m/>
    <n v="38"/>
    <m/>
    <n v="1"/>
    <m/>
    <n v="0"/>
    <m/>
    <s v="01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810010090101"/>
    <n v="1"/>
    <m/>
    <x v="449"/>
    <m/>
    <s v="RESIK V SPA PKW S.AKAR WANGI 90ML-1808"/>
    <x v="0"/>
    <m/>
    <x v="2"/>
    <s v=""/>
    <s v="K1381"/>
    <x v="400"/>
    <n v="14"/>
    <s v="KNF X 36"/>
    <n v="8"/>
    <s v="KNF"/>
    <s v="K1"/>
    <m/>
    <n v="38"/>
    <m/>
    <n v="1"/>
    <m/>
    <n v="0"/>
    <m/>
    <s v="01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810010200101"/>
    <n v="1"/>
    <m/>
    <x v="450"/>
    <m/>
    <s v="RESIK V SPA PKW AKAR WANGI200 ML"/>
    <x v="0"/>
    <m/>
    <x v="2"/>
    <s v=""/>
    <s v="K1381"/>
    <x v="401"/>
    <n v="14"/>
    <s v="KNF X 36"/>
    <n v="8"/>
    <s v="KNF"/>
    <s v="K1"/>
    <m/>
    <n v="38"/>
    <m/>
    <n v="1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810020060101"/>
    <n v="1"/>
    <m/>
    <x v="451"/>
    <m/>
    <s v="RESIK V SPA PKW S.FRANGIPANI 60ML-1808"/>
    <x v="6"/>
    <m/>
    <x v="2"/>
    <s v=""/>
    <s v="K1381"/>
    <x v="402"/>
    <n v="14"/>
    <s v="KNF X 72"/>
    <n v="8"/>
    <s v="KNF"/>
    <s v="K1"/>
    <m/>
    <n v="38"/>
    <m/>
    <n v="1"/>
    <m/>
    <n v="0"/>
    <m/>
    <s v="02"/>
    <m/>
    <s v="006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0"/>
    <n v="0"/>
    <m/>
    <m/>
    <s v="KRT"/>
    <s v="GD01"/>
    <n v="11611"/>
    <n v="11612"/>
    <m/>
    <n v="1"/>
  </r>
  <r>
    <s v="K13810020090101"/>
    <n v="1"/>
    <m/>
    <x v="452"/>
    <m/>
    <s v="RESIK V SPA PKW S.FRANGIPANI 90ML-1808"/>
    <x v="0"/>
    <m/>
    <x v="2"/>
    <s v=""/>
    <s v="K1381"/>
    <x v="403"/>
    <n v="14"/>
    <s v="KNF X 36"/>
    <n v="8"/>
    <s v="KNF"/>
    <s v="K1"/>
    <m/>
    <n v="38"/>
    <m/>
    <n v="1"/>
    <m/>
    <n v="0"/>
    <m/>
    <s v="02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810020200101"/>
    <n v="1"/>
    <m/>
    <x v="453"/>
    <m/>
    <s v="RESIK V SPA PKW FRANGIPANI 200ML"/>
    <x v="0"/>
    <m/>
    <x v="2"/>
    <s v=""/>
    <s v="K1381"/>
    <x v="404"/>
    <n v="14"/>
    <s v="KNF X 36"/>
    <n v="8"/>
    <s v="KNF"/>
    <s v="K1"/>
    <m/>
    <n v="38"/>
    <m/>
    <n v="1"/>
    <m/>
    <n v="0"/>
    <m/>
    <s v="02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3900010050101"/>
    <n v="1"/>
    <m/>
    <x v="454"/>
    <m/>
    <s v="RESIK V RAMUAN MADURA W 50ML BTL"/>
    <x v="6"/>
    <m/>
    <x v="2"/>
    <s v=""/>
    <s v="K1390"/>
    <x v="405"/>
    <n v="14"/>
    <s v="KNF X 72"/>
    <n v="8"/>
    <s v="KNF"/>
    <s v="K1"/>
    <m/>
    <n v="39"/>
    <m/>
    <n v="0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3900010090101"/>
    <n v="1"/>
    <m/>
    <x v="455"/>
    <m/>
    <s v="RESIK V RAMUAN MADURA W 90ML BTL"/>
    <x v="0"/>
    <m/>
    <x v="2"/>
    <s v=""/>
    <s v="K1390"/>
    <x v="406"/>
    <n v="14"/>
    <s v="KNF X 36"/>
    <n v="8"/>
    <s v="KNF"/>
    <s v="K1"/>
    <m/>
    <n v="39"/>
    <m/>
    <n v="0"/>
    <m/>
    <n v="0"/>
    <m/>
    <s v="01"/>
    <m/>
    <s v="009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90"/>
    <n v="0"/>
    <m/>
    <m/>
    <s v="KRT"/>
    <s v="GD01"/>
    <n v="11611"/>
    <n v="11612"/>
    <m/>
    <n v="1"/>
  </r>
  <r>
    <s v="K13900010200101"/>
    <n v="1"/>
    <m/>
    <x v="456"/>
    <m/>
    <s v="RESIK V RAMUAN MADURA W 200ML BTL"/>
    <x v="0"/>
    <m/>
    <x v="2"/>
    <s v=""/>
    <s v="K1390"/>
    <x v="407"/>
    <n v="14"/>
    <s v="KNF X 36"/>
    <n v="8"/>
    <s v="KNF"/>
    <s v="K1"/>
    <m/>
    <n v="39"/>
    <m/>
    <n v="0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4000010050101"/>
    <n v="1"/>
    <m/>
    <x v="457"/>
    <m/>
    <s v="RESIK V SKW ANGGREK 50ML BTL -1404"/>
    <x v="6"/>
    <m/>
    <x v="2"/>
    <s v=""/>
    <s v="K1400"/>
    <x v="408"/>
    <n v="14"/>
    <s v="KNF X 72"/>
    <n v="8"/>
    <s v="KNF"/>
    <s v="K1"/>
    <m/>
    <n v="40"/>
    <m/>
    <n v="0"/>
    <m/>
    <n v="0"/>
    <m/>
    <s v="01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4000010125101"/>
    <n v="1"/>
    <m/>
    <x v="458"/>
    <m/>
    <s v="RESIK V SKW ANGGREK 125ML BTL -1404"/>
    <x v="0"/>
    <m/>
    <x v="2"/>
    <s v=""/>
    <s v="K1400"/>
    <x v="409"/>
    <n v="14"/>
    <s v="KNF X 36"/>
    <n v="8"/>
    <s v="KNF"/>
    <s v="K1"/>
    <m/>
    <n v="40"/>
    <m/>
    <n v="0"/>
    <m/>
    <n v="0"/>
    <m/>
    <s v="0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000020125101"/>
    <n v="1"/>
    <m/>
    <x v="459"/>
    <m/>
    <s v="RESIK V SKW LILY 125ML BTL -1404"/>
    <x v="0"/>
    <m/>
    <x v="2"/>
    <s v=""/>
    <s v="K1400"/>
    <x v="410"/>
    <n v="14"/>
    <s v="KNF X 36"/>
    <n v="8"/>
    <s v="KNF"/>
    <s v="K1"/>
    <m/>
    <n v="40"/>
    <m/>
    <n v="0"/>
    <m/>
    <n v="0"/>
    <m/>
    <s v="0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000030050101"/>
    <n v="1"/>
    <m/>
    <x v="460"/>
    <m/>
    <s v="RESIK V SKW MJK 50ML BTL -1404"/>
    <x v="6"/>
    <m/>
    <x v="2"/>
    <s v=""/>
    <s v="K1400"/>
    <x v="411"/>
    <n v="14"/>
    <s v="KNF X 72"/>
    <n v="8"/>
    <s v="KNF"/>
    <s v="K1"/>
    <m/>
    <n v="40"/>
    <m/>
    <n v="0"/>
    <m/>
    <n v="0"/>
    <m/>
    <s v="03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4000030125101"/>
    <n v="1"/>
    <m/>
    <x v="461"/>
    <m/>
    <s v="RESIK V SKW MJK 125ML BTL -1404"/>
    <x v="0"/>
    <m/>
    <x v="2"/>
    <s v=""/>
    <s v="K1400"/>
    <x v="412"/>
    <n v="14"/>
    <s v="KNF X 36"/>
    <n v="8"/>
    <s v="KNF"/>
    <s v="K1"/>
    <m/>
    <n v="40"/>
    <m/>
    <n v="0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000040050101"/>
    <n v="1"/>
    <m/>
    <x v="462"/>
    <m/>
    <s v="RESIK V SKW MAWAR 50ML BTL -1404"/>
    <x v="6"/>
    <m/>
    <x v="2"/>
    <s v=""/>
    <s v="K1400"/>
    <x v="413"/>
    <n v="14"/>
    <s v="KNF X 72"/>
    <n v="8"/>
    <s v="KNF"/>
    <s v="K1"/>
    <m/>
    <n v="40"/>
    <m/>
    <n v="0"/>
    <m/>
    <n v="0"/>
    <m/>
    <s v="04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4000040125101"/>
    <n v="1"/>
    <m/>
    <x v="463"/>
    <m/>
    <s v="RESIK V SKW MAWAR 125ML BTL -1404"/>
    <x v="0"/>
    <m/>
    <x v="2"/>
    <s v=""/>
    <s v="K1400"/>
    <x v="414"/>
    <n v="14"/>
    <s v="KNF X 36"/>
    <n v="8"/>
    <s v="KNF"/>
    <s v="K1"/>
    <m/>
    <n v="40"/>
    <m/>
    <n v="0"/>
    <m/>
    <n v="0"/>
    <m/>
    <s v="04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000050125101"/>
    <n v="1"/>
    <m/>
    <x v="464"/>
    <m/>
    <s v="RESIK V SKW MELATI 125ML BTL -1404"/>
    <x v="0"/>
    <m/>
    <x v="2"/>
    <s v=""/>
    <s v="K1400"/>
    <x v="415"/>
    <n v="14"/>
    <s v="KNF X 36"/>
    <n v="8"/>
    <s v="KNF"/>
    <s v="K1"/>
    <m/>
    <n v="40"/>
    <m/>
    <n v="0"/>
    <m/>
    <n v="0"/>
    <m/>
    <s v="05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000060050101"/>
    <n v="1"/>
    <m/>
    <x v="465"/>
    <m/>
    <s v="RESIK V SKW SIRIH WANGI 50ML BTL -1404"/>
    <x v="6"/>
    <m/>
    <x v="2"/>
    <s v=""/>
    <s v="K1400"/>
    <x v="416"/>
    <n v="14"/>
    <s v="KNF X 72"/>
    <n v="8"/>
    <s v="KNF"/>
    <s v="K1"/>
    <m/>
    <n v="40"/>
    <m/>
    <n v="0"/>
    <m/>
    <n v="0"/>
    <m/>
    <s v="06"/>
    <m/>
    <s v="00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4000060125101"/>
    <n v="1"/>
    <m/>
    <x v="466"/>
    <m/>
    <s v="RESIK V SKW SIRIH WANGI 125ML BTL -1404"/>
    <x v="0"/>
    <m/>
    <x v="2"/>
    <s v=""/>
    <s v="K1400"/>
    <x v="417"/>
    <n v="14"/>
    <s v="KNF X 36"/>
    <n v="8"/>
    <s v="KNF"/>
    <s v="K1"/>
    <m/>
    <n v="40"/>
    <m/>
    <n v="0"/>
    <m/>
    <n v="0"/>
    <m/>
    <s v="06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100010030101"/>
    <n v="1"/>
    <m/>
    <x v="467"/>
    <m/>
    <s v="SAMANTHA CREAMBATH ALOE VERA 30G SCH1803"/>
    <x v="6"/>
    <m/>
    <x v="2"/>
    <s v=""/>
    <s v="K1410"/>
    <x v="418"/>
    <n v="14"/>
    <s v="KNF X 72"/>
    <n v="8"/>
    <s v="KNF"/>
    <s v="K1"/>
    <m/>
    <n v="41"/>
    <m/>
    <n v="0"/>
    <m/>
    <n v="0"/>
    <m/>
    <s v="01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4100020030101"/>
    <n v="1"/>
    <m/>
    <x v="468"/>
    <m/>
    <s v="SAMANTHA CREAMBATH AVOCADO 30G SCH -1803"/>
    <x v="6"/>
    <m/>
    <x v="2"/>
    <s v=""/>
    <s v="K1410"/>
    <x v="419"/>
    <n v="14"/>
    <s v="KNF X 72"/>
    <n v="8"/>
    <s v="KNF"/>
    <s v="K1"/>
    <m/>
    <n v="41"/>
    <m/>
    <n v="0"/>
    <m/>
    <n v="0"/>
    <m/>
    <s v="02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4100040030101"/>
    <n v="1"/>
    <m/>
    <x v="469"/>
    <m/>
    <s v="SAMANTHA CREAMBATH GINSENG 30G SCH -1803"/>
    <x v="6"/>
    <m/>
    <x v="2"/>
    <s v=""/>
    <s v="K1410"/>
    <x v="420"/>
    <n v="14"/>
    <s v="KNF X 72"/>
    <n v="8"/>
    <s v="KNF"/>
    <s v="K1"/>
    <m/>
    <n v="41"/>
    <m/>
    <n v="0"/>
    <m/>
    <n v="0"/>
    <m/>
    <s v="04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4100050030101"/>
    <n v="1"/>
    <m/>
    <x v="470"/>
    <m/>
    <s v="SAMANTHA CREAMBATH RYL JELLY 30G SCH1803"/>
    <x v="6"/>
    <m/>
    <x v="2"/>
    <s v=""/>
    <s v="K1410"/>
    <x v="421"/>
    <n v="14"/>
    <s v="KNF X 72"/>
    <n v="8"/>
    <s v="KNF"/>
    <s v="K1"/>
    <m/>
    <n v="41"/>
    <m/>
    <n v="0"/>
    <m/>
    <n v="0"/>
    <m/>
    <s v="05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4200010010101"/>
    <n v="1"/>
    <m/>
    <x v="471"/>
    <m/>
    <s v="SAMANTHA HAIR BLEACHING 10G BOX -1605"/>
    <x v="6"/>
    <m/>
    <x v="2"/>
    <s v=""/>
    <s v="K1420"/>
    <x v="422"/>
    <n v="14"/>
    <s v="KNF X 72"/>
    <n v="8"/>
    <s v="KNF"/>
    <s v="K1"/>
    <m/>
    <n v="42"/>
    <m/>
    <n v="0"/>
    <m/>
    <n v="0"/>
    <m/>
    <s v="01"/>
    <m/>
    <s v="00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4200020025101"/>
    <n v="1"/>
    <m/>
    <x v="472"/>
    <m/>
    <s v="SAMANTHA HC BLUE BLACK 25G BOX -1605"/>
    <x v="6"/>
    <m/>
    <x v="2"/>
    <s v=""/>
    <s v="K1420"/>
    <x v="423"/>
    <n v="14"/>
    <s v="KNF X 72"/>
    <n v="8"/>
    <s v="KNF"/>
    <s v="K1"/>
    <m/>
    <n v="42"/>
    <m/>
    <n v="0"/>
    <m/>
    <n v="0"/>
    <m/>
    <s v="02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030025101"/>
    <n v="1"/>
    <m/>
    <x v="473"/>
    <m/>
    <s v="SAMANTHA HC CHOCOLATE BROWN 25G BOX-1605"/>
    <x v="6"/>
    <m/>
    <x v="2"/>
    <s v=""/>
    <s v="K1420"/>
    <x v="424"/>
    <n v="14"/>
    <s v="KNF X 72"/>
    <n v="8"/>
    <s v="KNF"/>
    <s v="K1"/>
    <m/>
    <n v="42"/>
    <m/>
    <n v="0"/>
    <m/>
    <n v="0"/>
    <m/>
    <s v="03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040025101"/>
    <n v="1"/>
    <m/>
    <x v="474"/>
    <m/>
    <s v="SAMANTHA HC COFFEE PURPLE 25G BOX -1605"/>
    <x v="6"/>
    <m/>
    <x v="2"/>
    <s v=""/>
    <s v="K1420"/>
    <x v="425"/>
    <n v="14"/>
    <s v="KNF X 72"/>
    <n v="8"/>
    <s v="KNF"/>
    <s v="K1"/>
    <m/>
    <n v="42"/>
    <m/>
    <n v="0"/>
    <m/>
    <n v="0"/>
    <m/>
    <s v="04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050025101"/>
    <n v="1"/>
    <m/>
    <x v="475"/>
    <m/>
    <s v="SAMANTHA HC COP GOLD BLONDE 25G BOX-1605"/>
    <x v="6"/>
    <m/>
    <x v="2"/>
    <s v=""/>
    <s v="K1420"/>
    <x v="426"/>
    <n v="14"/>
    <s v="KNF X 72"/>
    <n v="8"/>
    <s v="KNF"/>
    <s v="K1"/>
    <m/>
    <n v="42"/>
    <m/>
    <n v="0"/>
    <m/>
    <n v="0"/>
    <m/>
    <s v="05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060025101"/>
    <n v="1"/>
    <m/>
    <x v="476"/>
    <m/>
    <s v="SAMANTHA HC COPPER HAZEL 25G BOX -1605"/>
    <x v="6"/>
    <m/>
    <x v="2"/>
    <s v=""/>
    <s v="K1420"/>
    <x v="427"/>
    <n v="14"/>
    <s v="KNF X 72"/>
    <n v="8"/>
    <s v="KNF"/>
    <s v="K1"/>
    <m/>
    <n v="42"/>
    <m/>
    <n v="0"/>
    <m/>
    <n v="0"/>
    <m/>
    <s v="06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070025101"/>
    <n v="1"/>
    <m/>
    <x v="477"/>
    <m/>
    <s v="SAMANTHA HC DARK BLUE 25G BOX -1605"/>
    <x v="6"/>
    <m/>
    <x v="2"/>
    <s v=""/>
    <s v="K1420"/>
    <x v="428"/>
    <n v="14"/>
    <s v="KNF X 72"/>
    <n v="8"/>
    <s v="KNF"/>
    <s v="K1"/>
    <m/>
    <n v="42"/>
    <m/>
    <n v="0"/>
    <m/>
    <n v="0"/>
    <m/>
    <s v="07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080025101"/>
    <n v="1"/>
    <m/>
    <x v="478"/>
    <m/>
    <s v="SAMANTHA HC DARK MHGN BROWN 25G BOX-1605"/>
    <x v="6"/>
    <m/>
    <x v="2"/>
    <s v=""/>
    <s v="K1420"/>
    <x v="429"/>
    <n v="14"/>
    <s v="KNF X 72"/>
    <n v="8"/>
    <s v="KNF"/>
    <s v="K1"/>
    <m/>
    <n v="42"/>
    <m/>
    <n v="0"/>
    <m/>
    <n v="0"/>
    <m/>
    <s v="08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090025101"/>
    <n v="1"/>
    <m/>
    <x v="479"/>
    <m/>
    <s v="SAMANTHA HC GOLDEN 25G BOX -1605"/>
    <x v="6"/>
    <m/>
    <x v="2"/>
    <s v=""/>
    <s v="K1420"/>
    <x v="430"/>
    <n v="14"/>
    <s v="KNF X 72"/>
    <n v="8"/>
    <s v="KNF"/>
    <s v="K1"/>
    <m/>
    <n v="42"/>
    <m/>
    <n v="0"/>
    <m/>
    <n v="0"/>
    <m/>
    <s v="09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00025101"/>
    <n v="1"/>
    <m/>
    <x v="480"/>
    <m/>
    <s v="SAMANTHA HC IRISE RED 25G BOX -1605"/>
    <x v="6"/>
    <m/>
    <x v="2"/>
    <s v=""/>
    <s v="K1420"/>
    <x v="431"/>
    <n v="14"/>
    <s v="KNF X 72"/>
    <n v="8"/>
    <s v="KNF"/>
    <s v="K1"/>
    <m/>
    <n v="42"/>
    <m/>
    <n v="0"/>
    <m/>
    <n v="0"/>
    <m/>
    <n v="10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10025101"/>
    <n v="1"/>
    <m/>
    <x v="481"/>
    <m/>
    <s v="SAMANTHA HC M.POLI RED 25G BOX -1605"/>
    <x v="6"/>
    <m/>
    <x v="2"/>
    <s v=""/>
    <s v="K1420"/>
    <x v="432"/>
    <n v="14"/>
    <s v="KNF X 72"/>
    <n v="8"/>
    <s v="KNF"/>
    <s v="K1"/>
    <m/>
    <n v="42"/>
    <m/>
    <n v="0"/>
    <m/>
    <n v="0"/>
    <m/>
    <n v="11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20025101"/>
    <n v="1"/>
    <m/>
    <x v="482"/>
    <m/>
    <s v="SAMANTHA HC N.BLACK 25G BOX -1605"/>
    <x v="6"/>
    <m/>
    <x v="2"/>
    <s v=""/>
    <s v="K1420"/>
    <x v="433"/>
    <n v="14"/>
    <s v="KNF X 72"/>
    <n v="8"/>
    <s v="KNF"/>
    <s v="K1"/>
    <m/>
    <n v="42"/>
    <m/>
    <n v="0"/>
    <m/>
    <n v="0"/>
    <m/>
    <n v="12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30025101"/>
    <n v="1"/>
    <m/>
    <x v="483"/>
    <m/>
    <s v="SAMANTHA HC PASSION RED 25G BOX -1605"/>
    <x v="6"/>
    <m/>
    <x v="2"/>
    <s v=""/>
    <s v="K1420"/>
    <x v="434"/>
    <n v="14"/>
    <s v="KNF X 72"/>
    <n v="8"/>
    <s v="KNF"/>
    <s v="K1"/>
    <m/>
    <n v="42"/>
    <m/>
    <n v="0"/>
    <m/>
    <n v="0"/>
    <m/>
    <n v="13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40025101"/>
    <n v="1"/>
    <m/>
    <x v="484"/>
    <m/>
    <s v="SAMANTHA HC PURPLE RED 25G BOX -1605"/>
    <x v="6"/>
    <m/>
    <x v="2"/>
    <s v=""/>
    <s v="K1420"/>
    <x v="435"/>
    <n v="14"/>
    <s v="KNF X 72"/>
    <n v="8"/>
    <s v="KNF"/>
    <s v="K1"/>
    <m/>
    <n v="42"/>
    <m/>
    <n v="0"/>
    <m/>
    <n v="0"/>
    <m/>
    <n v="14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50025101"/>
    <n v="1"/>
    <m/>
    <x v="485"/>
    <m/>
    <s v="SAMANTHA HC WILD BERRY 25G BOX -1605"/>
    <x v="6"/>
    <m/>
    <x v="2"/>
    <s v=""/>
    <s v="K1420"/>
    <x v="436"/>
    <n v="14"/>
    <s v="KNF X 72"/>
    <n v="8"/>
    <s v="KNF"/>
    <s v="K1"/>
    <m/>
    <n v="42"/>
    <m/>
    <n v="0"/>
    <m/>
    <n v="0"/>
    <m/>
    <n v="15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60025101"/>
    <n v="1"/>
    <m/>
    <x v="486"/>
    <m/>
    <s v="SAMANTHA HC ASH GREY 25G BOX -1909"/>
    <x v="6"/>
    <m/>
    <x v="2"/>
    <s v=""/>
    <s v="K1420"/>
    <x v="437"/>
    <n v="14"/>
    <s v="KNF X 72"/>
    <n v="8"/>
    <s v="KNF"/>
    <s v="K1"/>
    <m/>
    <n v="42"/>
    <m/>
    <n v="0"/>
    <m/>
    <n v="0"/>
    <m/>
    <n v="16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200170025101"/>
    <n v="1"/>
    <m/>
    <x v="487"/>
    <m/>
    <s v="SAMANTHA HC GREEN TOSCA 25G BOX -1909"/>
    <x v="6"/>
    <m/>
    <x v="2"/>
    <s v=""/>
    <s v="K1420"/>
    <x v="438"/>
    <n v="14"/>
    <s v="KNF X 72"/>
    <n v="8"/>
    <s v="KNF"/>
    <s v="K1"/>
    <m/>
    <n v="42"/>
    <m/>
    <n v="0"/>
    <m/>
    <n v="0"/>
    <m/>
    <n v="17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310010100101"/>
    <n v="1"/>
    <m/>
    <x v="488"/>
    <m/>
    <s v="SAMANTHA POP B.SCRUB BIKINBAPER 100G JAR"/>
    <x v="2"/>
    <m/>
    <x v="2"/>
    <s v=""/>
    <s v="K1431"/>
    <x v="439"/>
    <n v="14"/>
    <s v="KNF X 24"/>
    <n v="8"/>
    <s v="KNF"/>
    <s v="K1"/>
    <m/>
    <n v="43"/>
    <m/>
    <n v="1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4310020100101"/>
    <n v="1"/>
    <m/>
    <x v="489"/>
    <m/>
    <s v="SAMANTHA POP B.SCRUB JANJIMANIS 100G JAR"/>
    <x v="2"/>
    <m/>
    <x v="2"/>
    <s v=""/>
    <s v="K1431"/>
    <x v="440"/>
    <n v="14"/>
    <s v="KNF X 24"/>
    <n v="8"/>
    <s v="KNF"/>
    <s v="K1"/>
    <m/>
    <n v="43"/>
    <m/>
    <n v="1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4310030100101"/>
    <n v="1"/>
    <m/>
    <x v="490"/>
    <m/>
    <s v="SAMANTHA POP B.SCRUB SENYUM DOI 100G JAR"/>
    <x v="2"/>
    <m/>
    <x v="2"/>
    <s v=""/>
    <s v="K1431"/>
    <x v="441"/>
    <n v="14"/>
    <s v="KNF X 24"/>
    <n v="8"/>
    <s v="KNF"/>
    <s v="K1"/>
    <m/>
    <n v="43"/>
    <m/>
    <n v="1"/>
    <m/>
    <n v="0"/>
    <m/>
    <s v="03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4320010100101"/>
    <n v="1"/>
    <m/>
    <x v="491"/>
    <m/>
    <s v="SAMANTHA POP CG BIKIN BAPER 100ML"/>
    <x v="0"/>
    <m/>
    <x v="2"/>
    <s v=""/>
    <s v="K1432"/>
    <x v="442"/>
    <n v="14"/>
    <s v="KNF X 36"/>
    <n v="8"/>
    <s v="KNF"/>
    <s v="K1"/>
    <m/>
    <n v="43"/>
    <m/>
    <n v="2"/>
    <m/>
    <n v="0"/>
    <m/>
    <s v="01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4320020100101"/>
    <n v="1"/>
    <m/>
    <x v="492"/>
    <m/>
    <s v="SAMANTHA POP CG JANJI MANIS 100ML"/>
    <x v="0"/>
    <m/>
    <x v="2"/>
    <s v=""/>
    <s v="K1432"/>
    <x v="443"/>
    <n v="14"/>
    <s v="KNF X 36"/>
    <n v="8"/>
    <s v="KNF"/>
    <s v="K1"/>
    <m/>
    <n v="43"/>
    <m/>
    <n v="2"/>
    <m/>
    <n v="0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4330010150101"/>
    <n v="1"/>
    <m/>
    <x v="493"/>
    <m/>
    <s v="SAMANTHA POP HBL BIKIN BAPER 150ML BTL"/>
    <x v="0"/>
    <m/>
    <x v="2"/>
    <s v=""/>
    <s v="K1433"/>
    <x v="444"/>
    <n v="14"/>
    <s v="KNF X 36"/>
    <n v="8"/>
    <s v="KNF"/>
    <s v="K1"/>
    <m/>
    <n v="43"/>
    <m/>
    <n v="3"/>
    <m/>
    <n v="0"/>
    <m/>
    <s v="01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330020150101"/>
    <n v="1"/>
    <m/>
    <x v="494"/>
    <m/>
    <s v="SAMANTHA POP HBL JANJI MANIS 150ML BTL"/>
    <x v="0"/>
    <m/>
    <x v="2"/>
    <s v=""/>
    <s v="K1433"/>
    <x v="445"/>
    <n v="14"/>
    <s v="KNF X 36"/>
    <n v="8"/>
    <s v="KNF"/>
    <s v="K1"/>
    <m/>
    <n v="43"/>
    <m/>
    <n v="3"/>
    <m/>
    <n v="0"/>
    <m/>
    <s v="02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340010065101"/>
    <n v="1"/>
    <m/>
    <x v="495"/>
    <m/>
    <s v="SAMANTHA POP 2IN1 H.MIST BIKIN BAPER 65"/>
    <x v="0"/>
    <m/>
    <x v="2"/>
    <s v=""/>
    <s v="K1434"/>
    <x v="446"/>
    <n v="14"/>
    <s v="KNF X 36"/>
    <n v="8"/>
    <s v="KNF"/>
    <s v="K1"/>
    <m/>
    <n v="43"/>
    <m/>
    <n v="4"/>
    <m/>
    <n v="0"/>
    <m/>
    <s v="01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340020065101"/>
    <n v="1"/>
    <m/>
    <x v="496"/>
    <m/>
    <s v="SAMANTHA POP 2IN1 H.MIST JANJI MANIS 65"/>
    <x v="0"/>
    <m/>
    <x v="2"/>
    <s v=""/>
    <s v="K1434"/>
    <x v="447"/>
    <n v="14"/>
    <s v="KNF X 36"/>
    <n v="8"/>
    <s v="KNF"/>
    <s v="K1"/>
    <m/>
    <n v="43"/>
    <m/>
    <n v="4"/>
    <m/>
    <n v="0"/>
    <m/>
    <s v="02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350010125101"/>
    <n v="1"/>
    <m/>
    <x v="497"/>
    <m/>
    <s v="SAMANTHA POP SPL COL BIKIN BAPER 125ML"/>
    <x v="0"/>
    <m/>
    <x v="2"/>
    <s v=""/>
    <s v="K1435"/>
    <x v="448"/>
    <n v="14"/>
    <s v="KNF X 36"/>
    <n v="8"/>
    <s v="KNF"/>
    <s v="K1"/>
    <m/>
    <n v="43"/>
    <m/>
    <n v="5"/>
    <m/>
    <n v="0"/>
    <m/>
    <s v="01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350020125101"/>
    <n v="1"/>
    <m/>
    <x v="498"/>
    <m/>
    <s v="SAMANTHA POP SPL COL JANJI MANIS 125ML"/>
    <x v="0"/>
    <m/>
    <x v="2"/>
    <s v=""/>
    <s v="K1435"/>
    <x v="449"/>
    <n v="14"/>
    <s v="KNF X 36"/>
    <n v="8"/>
    <s v="KNF"/>
    <s v="K1"/>
    <m/>
    <n v="43"/>
    <m/>
    <n v="5"/>
    <m/>
    <n v="0"/>
    <m/>
    <s v="02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350030125101"/>
    <n v="1"/>
    <m/>
    <x v="499"/>
    <m/>
    <s v="SAMANTHA POP SPL COL SENYUM DOI 125ML"/>
    <x v="0"/>
    <m/>
    <x v="2"/>
    <s v=""/>
    <s v="K1435"/>
    <x v="450"/>
    <n v="14"/>
    <s v="KNF X 36"/>
    <n v="8"/>
    <s v="KNF"/>
    <s v="K1"/>
    <m/>
    <n v="43"/>
    <m/>
    <n v="5"/>
    <m/>
    <n v="0"/>
    <m/>
    <s v="03"/>
    <m/>
    <s v="01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5"/>
    <n v="0"/>
    <m/>
    <m/>
    <s v="KRT"/>
    <s v="GD01"/>
    <n v="11611"/>
    <n v="11612"/>
    <m/>
    <n v="1"/>
  </r>
  <r>
    <s v="K14360010105201"/>
    <n v="1"/>
    <m/>
    <x v="500"/>
    <m/>
    <s v="SAMANTHA POP SPR COL BIKIN BAPER 105ML"/>
    <x v="0"/>
    <m/>
    <x v="2"/>
    <s v=""/>
    <s v="K1436"/>
    <x v="451"/>
    <n v="14"/>
    <s v="KNF X 36"/>
    <n v="8"/>
    <s v="KNF"/>
    <s v="K1"/>
    <m/>
    <n v="43"/>
    <m/>
    <n v="6"/>
    <m/>
    <n v="0"/>
    <m/>
    <s v="01"/>
    <m/>
    <s v="010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4360020105201"/>
    <n v="1"/>
    <m/>
    <x v="501"/>
    <m/>
    <s v="SAMANTHA POP SPR COL JANJI MANIS 105ML"/>
    <x v="0"/>
    <m/>
    <x v="2"/>
    <s v=""/>
    <s v="K1436"/>
    <x v="452"/>
    <n v="14"/>
    <s v="KNF X 36"/>
    <n v="8"/>
    <s v="KNF"/>
    <s v="K1"/>
    <m/>
    <n v="43"/>
    <m/>
    <n v="6"/>
    <m/>
    <n v="0"/>
    <m/>
    <s v="02"/>
    <m/>
    <s v="010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4360030105101"/>
    <n v="1"/>
    <m/>
    <x v="502"/>
    <m/>
    <s v="SAMANTHA POP SPR COL SENYUM DOI 105ML"/>
    <x v="0"/>
    <m/>
    <x v="2"/>
    <s v=""/>
    <s v="K1436"/>
    <x v="453"/>
    <n v="14"/>
    <s v="KNF X 36"/>
    <n v="8"/>
    <s v="KNF"/>
    <s v="K1"/>
    <m/>
    <n v="43"/>
    <m/>
    <n v="6"/>
    <m/>
    <n v="0"/>
    <m/>
    <s v="03"/>
    <m/>
    <s v="010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4360040105101"/>
    <n v="1"/>
    <m/>
    <x v="503"/>
    <m/>
    <s v="SAMANTHA POP SPR COL INGAT GEBETAN 105ML"/>
    <x v="0"/>
    <m/>
    <x v="2"/>
    <s v=""/>
    <s v="K1436"/>
    <x v="454"/>
    <n v="14"/>
    <s v="KNF X 36"/>
    <n v="8"/>
    <s v="KNF"/>
    <s v="K1"/>
    <m/>
    <n v="43"/>
    <m/>
    <n v="6"/>
    <m/>
    <n v="0"/>
    <m/>
    <s v="04"/>
    <m/>
    <s v="010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5"/>
    <n v="0"/>
    <m/>
    <m/>
    <s v="KRT"/>
    <s v="GD01"/>
    <n v="11611"/>
    <n v="11612"/>
    <m/>
    <n v="1"/>
  </r>
  <r>
    <s v="K14370020180101"/>
    <n v="1"/>
    <m/>
    <x v="504"/>
    <m/>
    <s v="SAMANTHA POP 2IN1 SHM JANJI MANIS 180ML"/>
    <x v="0"/>
    <m/>
    <x v="2"/>
    <s v=""/>
    <s v="K1437"/>
    <x v="455"/>
    <n v="14"/>
    <s v="KNF X 36"/>
    <n v="8"/>
    <s v="KNF"/>
    <s v="K1"/>
    <m/>
    <n v="43"/>
    <m/>
    <n v="7"/>
    <m/>
    <n v="0"/>
    <m/>
    <s v="02"/>
    <m/>
    <s v="018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80"/>
    <n v="0"/>
    <m/>
    <m/>
    <s v="KRT"/>
    <s v="GD01"/>
    <n v="11611"/>
    <n v="11612"/>
    <m/>
    <n v="1"/>
  </r>
  <r>
    <s v="K14370030180101"/>
    <n v="1"/>
    <m/>
    <x v="505"/>
    <m/>
    <s v="SAMANTHA POP 2IN1 SHM BIKIN BAPER 180ML"/>
    <x v="0"/>
    <m/>
    <x v="2"/>
    <s v=""/>
    <s v="K1437"/>
    <x v="456"/>
    <n v="14"/>
    <s v="KNF X 36"/>
    <n v="8"/>
    <s v="KNF"/>
    <s v="K1"/>
    <m/>
    <n v="43"/>
    <m/>
    <n v="7"/>
    <m/>
    <n v="0"/>
    <m/>
    <s v="03"/>
    <m/>
    <s v="018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80"/>
    <n v="0"/>
    <m/>
    <m/>
    <s v="KRT"/>
    <s v="GD01"/>
    <n v="11611"/>
    <n v="11612"/>
    <m/>
    <n v="1"/>
  </r>
  <r>
    <s v="K14400010030101"/>
    <n v="1"/>
    <m/>
    <x v="506"/>
    <m/>
    <n v="0"/>
    <x v="13"/>
    <m/>
    <x v="2"/>
    <s v=""/>
    <s v="K1440"/>
    <x v="457"/>
    <n v="14"/>
    <s v="KNF X 0"/>
    <n v="7"/>
    <s v="KNF"/>
    <s v="K1"/>
    <m/>
    <n v="44"/>
    <m/>
    <n v="0"/>
    <m/>
    <n v="0"/>
    <m/>
    <s v="01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4400020030101"/>
    <n v="1"/>
    <m/>
    <x v="507"/>
    <m/>
    <n v="0"/>
    <x v="13"/>
    <m/>
    <x v="2"/>
    <s v=""/>
    <s v="K1440"/>
    <x v="458"/>
    <n v="14"/>
    <s v="KNF X 0"/>
    <n v="7"/>
    <s v="KNF"/>
    <s v="K1"/>
    <m/>
    <n v="44"/>
    <m/>
    <n v="0"/>
    <m/>
    <n v="0"/>
    <m/>
    <s v="02"/>
    <m/>
    <s v="003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4500010025101"/>
    <n v="1"/>
    <m/>
    <x v="508"/>
    <m/>
    <n v="0"/>
    <x v="13"/>
    <m/>
    <x v="2"/>
    <s v=""/>
    <s v="K1450"/>
    <x v="459"/>
    <n v="14"/>
    <s v="KNF X 0"/>
    <n v="7"/>
    <s v="KNF"/>
    <s v="K1"/>
    <m/>
    <n v="45"/>
    <m/>
    <n v="0"/>
    <m/>
    <n v="0"/>
    <m/>
    <s v="01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020010101"/>
    <n v="1"/>
    <m/>
    <x v="509"/>
    <m/>
    <n v="0"/>
    <x v="13"/>
    <m/>
    <x v="2"/>
    <s v=""/>
    <s v="K1450"/>
    <x v="460"/>
    <n v="14"/>
    <s v="KNF X 0"/>
    <n v="7"/>
    <s v="KNF"/>
    <s v="K1"/>
    <m/>
    <n v="45"/>
    <m/>
    <n v="0"/>
    <m/>
    <n v="0"/>
    <m/>
    <s v="02"/>
    <m/>
    <s v="001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4500030025101"/>
    <n v="1"/>
    <m/>
    <x v="510"/>
    <m/>
    <n v="0"/>
    <x v="13"/>
    <m/>
    <x v="2"/>
    <s v=""/>
    <s v="K1450"/>
    <x v="461"/>
    <n v="14"/>
    <s v="KNF X 0"/>
    <n v="7"/>
    <s v="KNF"/>
    <s v="K1"/>
    <m/>
    <n v="45"/>
    <m/>
    <n v="0"/>
    <m/>
    <n v="0"/>
    <m/>
    <s v="03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040025101"/>
    <n v="1"/>
    <m/>
    <x v="511"/>
    <m/>
    <n v="0"/>
    <x v="13"/>
    <m/>
    <x v="2"/>
    <s v=""/>
    <s v="K1450"/>
    <x v="462"/>
    <n v="14"/>
    <s v="KNF X 0"/>
    <n v="7"/>
    <s v="KNF"/>
    <s v="K1"/>
    <m/>
    <n v="45"/>
    <m/>
    <n v="0"/>
    <m/>
    <n v="0"/>
    <m/>
    <s v="04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050025101"/>
    <n v="1"/>
    <m/>
    <x v="512"/>
    <m/>
    <n v="0"/>
    <x v="13"/>
    <m/>
    <x v="2"/>
    <s v=""/>
    <s v="K1450"/>
    <x v="463"/>
    <n v="14"/>
    <s v="KNF X 0"/>
    <n v="7"/>
    <s v="KNF"/>
    <s v="K1"/>
    <m/>
    <n v="45"/>
    <m/>
    <n v="0"/>
    <m/>
    <n v="0"/>
    <m/>
    <s v="05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060025101"/>
    <n v="1"/>
    <m/>
    <x v="513"/>
    <m/>
    <n v="0"/>
    <x v="13"/>
    <m/>
    <x v="2"/>
    <s v=""/>
    <s v="K1450"/>
    <x v="464"/>
    <n v="14"/>
    <s v="KNF X 0"/>
    <n v="7"/>
    <s v="KNF"/>
    <s v="K1"/>
    <m/>
    <n v="45"/>
    <m/>
    <n v="0"/>
    <m/>
    <n v="0"/>
    <m/>
    <s v="06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070025101"/>
    <n v="1"/>
    <m/>
    <x v="514"/>
    <m/>
    <n v="0"/>
    <x v="13"/>
    <m/>
    <x v="2"/>
    <s v=""/>
    <s v="K1450"/>
    <x v="465"/>
    <n v="14"/>
    <s v="KNF X 0"/>
    <n v="7"/>
    <s v="KNF"/>
    <s v="K1"/>
    <m/>
    <n v="45"/>
    <m/>
    <n v="0"/>
    <m/>
    <n v="0"/>
    <m/>
    <s v="07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080025101"/>
    <n v="1"/>
    <m/>
    <x v="515"/>
    <m/>
    <n v="0"/>
    <x v="13"/>
    <m/>
    <x v="2"/>
    <s v=""/>
    <s v="K1450"/>
    <x v="466"/>
    <n v="14"/>
    <s v="KNF X 0"/>
    <n v="7"/>
    <s v="KNF"/>
    <s v="K1"/>
    <m/>
    <n v="45"/>
    <m/>
    <n v="0"/>
    <m/>
    <n v="0"/>
    <m/>
    <s v="08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090025101"/>
    <n v="1"/>
    <m/>
    <x v="516"/>
    <m/>
    <n v="0"/>
    <x v="13"/>
    <m/>
    <x v="2"/>
    <s v=""/>
    <s v="K1450"/>
    <x v="467"/>
    <n v="14"/>
    <s v="KNF X 0"/>
    <n v="7"/>
    <s v="KNF"/>
    <s v="K1"/>
    <m/>
    <n v="45"/>
    <m/>
    <n v="0"/>
    <m/>
    <n v="0"/>
    <m/>
    <s v="09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100025101"/>
    <n v="1"/>
    <m/>
    <x v="517"/>
    <m/>
    <n v="0"/>
    <x v="13"/>
    <m/>
    <x v="2"/>
    <s v=""/>
    <s v="K1450"/>
    <x v="468"/>
    <n v="14"/>
    <s v="KNF X 0"/>
    <n v="7"/>
    <s v="KNF"/>
    <s v="K1"/>
    <m/>
    <n v="45"/>
    <m/>
    <n v="0"/>
    <m/>
    <n v="0"/>
    <m/>
    <n v="10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110025101"/>
    <n v="1"/>
    <m/>
    <x v="518"/>
    <m/>
    <n v="0"/>
    <x v="13"/>
    <m/>
    <x v="2"/>
    <s v=""/>
    <s v="K1450"/>
    <x v="469"/>
    <n v="14"/>
    <s v="KNF X 0"/>
    <n v="7"/>
    <s v="KNF"/>
    <s v="K1"/>
    <m/>
    <n v="45"/>
    <m/>
    <n v="0"/>
    <m/>
    <n v="0"/>
    <m/>
    <n v="11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500120025101"/>
    <n v="1"/>
    <m/>
    <x v="519"/>
    <m/>
    <n v="0"/>
    <x v="13"/>
    <m/>
    <x v="2"/>
    <s v=""/>
    <s v="K1450"/>
    <x v="470"/>
    <n v="14"/>
    <s v="KNF X 0"/>
    <n v="7"/>
    <s v="KNF"/>
    <s v="K1"/>
    <m/>
    <n v="45"/>
    <m/>
    <n v="0"/>
    <m/>
    <n v="0"/>
    <m/>
    <n v="12"/>
    <m/>
    <s v="002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5"/>
    <n v="0"/>
    <m/>
    <m/>
    <s v="KRT"/>
    <s v="GD01"/>
    <n v="11611"/>
    <n v="11612"/>
    <m/>
    <n v="1"/>
  </r>
  <r>
    <s v="K14600010001101"/>
    <n v="1"/>
    <m/>
    <x v="520"/>
    <m/>
    <s v="SASHA VR VOO BLACK SHINE BLR -1503"/>
    <x v="6"/>
    <m/>
    <x v="2"/>
    <s v=""/>
    <s v="K1460"/>
    <x v="471"/>
    <n v="14"/>
    <s v="KNF X 72"/>
    <n v="8"/>
    <s v="KNF"/>
    <s v="K1"/>
    <m/>
    <n v="46"/>
    <m/>
    <n v="0"/>
    <m/>
    <n v="0"/>
    <m/>
    <s v="01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10001101"/>
    <n v="1"/>
    <m/>
    <x v="521"/>
    <m/>
    <s v="SASHA VR VOO BLACK SHINE JAR -1503"/>
    <x v="2"/>
    <m/>
    <x v="2"/>
    <s v=""/>
    <s v="K1460"/>
    <x v="471"/>
    <n v="14"/>
    <s v="KNF X 24"/>
    <n v="8"/>
    <s v="KNF"/>
    <s v="K1"/>
    <m/>
    <n v="46"/>
    <m/>
    <n v="0"/>
    <m/>
    <n v="0"/>
    <m/>
    <s v="01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20001101"/>
    <n v="1"/>
    <m/>
    <x v="522"/>
    <m/>
    <n v="0"/>
    <x v="13"/>
    <m/>
    <x v="2"/>
    <s v=""/>
    <s v="K1460"/>
    <x v="472"/>
    <n v="14"/>
    <s v="KNF X 0"/>
    <n v="7"/>
    <s v="KNF"/>
    <s v="K1"/>
    <m/>
    <n v="46"/>
    <m/>
    <n v="0"/>
    <m/>
    <n v="0"/>
    <m/>
    <s v="02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30001101"/>
    <n v="1"/>
    <m/>
    <x v="523"/>
    <m/>
    <s v="SASHA VR VOO DAMAGE CARE BLR -1503"/>
    <x v="6"/>
    <m/>
    <x v="2"/>
    <s v=""/>
    <s v="K1460"/>
    <x v="473"/>
    <n v="14"/>
    <s v="KNF X 72"/>
    <n v="8"/>
    <s v="KNF"/>
    <s v="K1"/>
    <m/>
    <n v="46"/>
    <m/>
    <n v="0"/>
    <m/>
    <n v="0"/>
    <m/>
    <s v="03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30001101"/>
    <n v="1"/>
    <m/>
    <x v="524"/>
    <m/>
    <s v="SASHA VR VOO DAMAGE CARE JAR -1503"/>
    <x v="2"/>
    <m/>
    <x v="2"/>
    <s v=""/>
    <s v="K1460"/>
    <x v="473"/>
    <n v="14"/>
    <s v="KNF X 24"/>
    <n v="8"/>
    <s v="KNF"/>
    <s v="K1"/>
    <m/>
    <n v="46"/>
    <m/>
    <n v="0"/>
    <m/>
    <n v="0"/>
    <m/>
    <s v="03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30001101"/>
    <n v="1"/>
    <m/>
    <x v="525"/>
    <m/>
    <s v="SASHA VR HAB DAMAGE CARE MINIBLR -2006"/>
    <x v="4"/>
    <m/>
    <x v="2"/>
    <s v=""/>
    <s v="K1460"/>
    <x v="473"/>
    <n v="14"/>
    <s v="KNF X 48"/>
    <n v="8"/>
    <s v="KNF"/>
    <s v="K1"/>
    <m/>
    <n v="46"/>
    <m/>
    <n v="0"/>
    <m/>
    <n v="0"/>
    <m/>
    <s v="03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40001101"/>
    <n v="1"/>
    <m/>
    <x v="526"/>
    <m/>
    <s v="SASHA VR VOO SILKY SHINE BLR -1503"/>
    <x v="6"/>
    <m/>
    <x v="2"/>
    <s v=""/>
    <s v="K1460"/>
    <x v="474"/>
    <n v="14"/>
    <s v="KNF X 72"/>
    <n v="8"/>
    <s v="KNF"/>
    <s v="K1"/>
    <m/>
    <n v="46"/>
    <m/>
    <n v="0"/>
    <m/>
    <n v="0"/>
    <m/>
    <s v="04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40001101"/>
    <n v="1"/>
    <m/>
    <x v="527"/>
    <m/>
    <s v="SASHA VR VOO SILKY SHINE JAR -1503"/>
    <x v="2"/>
    <m/>
    <x v="2"/>
    <s v=""/>
    <s v="K1460"/>
    <x v="474"/>
    <n v="14"/>
    <s v="KNF X 24"/>
    <n v="8"/>
    <s v="KNF"/>
    <s v="K1"/>
    <m/>
    <n v="46"/>
    <m/>
    <n v="0"/>
    <m/>
    <n v="0"/>
    <m/>
    <s v="04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600040001101"/>
    <n v="1"/>
    <m/>
    <x v="528"/>
    <m/>
    <s v="SASHA VR HAB SILKY SHINE MINIBLR -2006"/>
    <x v="4"/>
    <m/>
    <x v="2"/>
    <s v=""/>
    <s v="K1460"/>
    <x v="474"/>
    <n v="14"/>
    <s v="KNF X 48"/>
    <n v="8"/>
    <s v="KNF"/>
    <s v="K1"/>
    <m/>
    <n v="46"/>
    <m/>
    <n v="0"/>
    <m/>
    <n v="0"/>
    <m/>
    <s v="04"/>
    <m/>
    <s v="0001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4700010065101"/>
    <n v="1"/>
    <m/>
    <x v="529"/>
    <m/>
    <s v="SASHA TP ANTIBACTERIAL 65G TUBE -1705"/>
    <x v="4"/>
    <m/>
    <x v="2"/>
    <s v=""/>
    <s v="K1470"/>
    <x v="475"/>
    <n v="14"/>
    <s v="KNF X 48"/>
    <n v="8"/>
    <s v="KNF"/>
    <s v="K1"/>
    <m/>
    <n v="47"/>
    <m/>
    <n v="0"/>
    <m/>
    <n v="0"/>
    <m/>
    <s v="01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10065101"/>
    <n v="1"/>
    <m/>
    <x v="530"/>
    <m/>
    <n v="0"/>
    <x v="13"/>
    <m/>
    <x v="2"/>
    <s v=""/>
    <s v="K1470"/>
    <x v="475"/>
    <n v="14"/>
    <s v="KNF X 0"/>
    <n v="7"/>
    <s v="KNF"/>
    <s v="K1"/>
    <m/>
    <n v="47"/>
    <m/>
    <n v="0"/>
    <m/>
    <n v="0"/>
    <m/>
    <s v="01"/>
    <m/>
    <s v="0065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10065111"/>
    <n v="1"/>
    <m/>
    <x v="531"/>
    <m/>
    <s v="SASHA TP ANTIBACTERIAL 65G TUBE BANDED"/>
    <x v="4"/>
    <m/>
    <x v="2"/>
    <s v=""/>
    <s v="K1470"/>
    <x v="476"/>
    <n v="14"/>
    <s v="KNF X 48"/>
    <n v="8"/>
    <s v="KNF"/>
    <s v="K1"/>
    <m/>
    <n v="47"/>
    <m/>
    <n v="0"/>
    <m/>
    <n v="0"/>
    <m/>
    <s v="01"/>
    <m/>
    <s v="0065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10065112"/>
    <n v="2"/>
    <m/>
    <x v="532"/>
    <m/>
    <s v="SASHA TP ANTIBACTERIAL 65G TUBE FREE PGB"/>
    <x v="4"/>
    <m/>
    <x v="2"/>
    <s v=""/>
    <s v="K1470"/>
    <x v="476"/>
    <n v="14"/>
    <s v="KNF X 48"/>
    <n v="8"/>
    <s v="KNF"/>
    <s v="K1"/>
    <m/>
    <n v="47"/>
    <m/>
    <n v="0"/>
    <m/>
    <n v="0"/>
    <m/>
    <s v="01"/>
    <m/>
    <s v="0065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10150201"/>
    <n v="1"/>
    <m/>
    <x v="533"/>
    <m/>
    <s v="SASHA TP ANTIBACTERIAL 150G TUBE -1705"/>
    <x v="0"/>
    <m/>
    <x v="2"/>
    <s v=""/>
    <s v="K1470"/>
    <x v="477"/>
    <n v="14"/>
    <s v="KNF X 36"/>
    <n v="8"/>
    <s v="KNF"/>
    <s v="K1"/>
    <m/>
    <n v="47"/>
    <m/>
    <n v="0"/>
    <m/>
    <n v="0"/>
    <m/>
    <s v="01"/>
    <m/>
    <s v="01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10150102"/>
    <n v="2"/>
    <m/>
    <x v="534"/>
    <m/>
    <s v="SASHA TP ANTIBACTERIAL 150G TUBE - NEW"/>
    <x v="0"/>
    <m/>
    <x v="2"/>
    <s v=""/>
    <s v="K1470"/>
    <x v="478"/>
    <n v="14"/>
    <s v="KNF X 36"/>
    <n v="8"/>
    <s v="KNF"/>
    <s v="K1"/>
    <m/>
    <n v="47"/>
    <m/>
    <n v="0"/>
    <m/>
    <n v="0"/>
    <m/>
    <s v="01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10150411"/>
    <n v="1"/>
    <m/>
    <x v="535"/>
    <m/>
    <s v="SASHA TP ANTIBACTERIAL 150G TUBE BANDED"/>
    <x v="0"/>
    <m/>
    <x v="2"/>
    <s v=""/>
    <s v="K1470"/>
    <x v="479"/>
    <n v="14"/>
    <s v="KNF X 36"/>
    <n v="8"/>
    <s v="KNF"/>
    <s v="K1"/>
    <m/>
    <n v="47"/>
    <m/>
    <n v="0"/>
    <m/>
    <n v="0"/>
    <m/>
    <s v="01"/>
    <m/>
    <s v="0150"/>
    <m/>
    <n v="4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10150112"/>
    <n v="2"/>
    <m/>
    <x v="536"/>
    <m/>
    <s v="SASHA TP ANTIBACTERIAL 150G TB FREE PGB"/>
    <x v="0"/>
    <m/>
    <x v="2"/>
    <s v=""/>
    <s v="K1470"/>
    <x v="480"/>
    <n v="14"/>
    <s v="KNF X 36"/>
    <n v="8"/>
    <s v="KNF"/>
    <s v="K1"/>
    <m/>
    <n v="47"/>
    <m/>
    <n v="0"/>
    <m/>
    <n v="0"/>
    <m/>
    <s v="01"/>
    <m/>
    <s v="01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20065201"/>
    <n v="1"/>
    <m/>
    <x v="537"/>
    <m/>
    <s v="SASHA TP PGB 65G TUBE"/>
    <x v="4"/>
    <m/>
    <x v="2"/>
    <s v=""/>
    <s v="K1470"/>
    <x v="481"/>
    <n v="14"/>
    <s v="KNF X 48"/>
    <n v="8"/>
    <s v="KNF"/>
    <s v="K1"/>
    <m/>
    <n v="47"/>
    <m/>
    <n v="0"/>
    <m/>
    <n v="0"/>
    <m/>
    <s v="02"/>
    <m/>
    <s v="006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20065311"/>
    <n v="1"/>
    <m/>
    <x v="538"/>
    <m/>
    <s v="SASHA TP PGB 65G TUBE FREE PGB"/>
    <x v="4"/>
    <m/>
    <x v="2"/>
    <s v=""/>
    <s v="K1470"/>
    <x v="482"/>
    <n v="14"/>
    <s v="KNF X 48"/>
    <n v="8"/>
    <s v="KNF"/>
    <s v="K1"/>
    <m/>
    <n v="47"/>
    <m/>
    <n v="0"/>
    <m/>
    <n v="0"/>
    <m/>
    <s v="02"/>
    <m/>
    <s v="0065"/>
    <m/>
    <n v="3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20150401"/>
    <n v="1"/>
    <m/>
    <x v="539"/>
    <m/>
    <s v="SASHA TP PGB 150G TUBE"/>
    <x v="0"/>
    <m/>
    <x v="2"/>
    <s v=""/>
    <s v="K1470"/>
    <x v="483"/>
    <n v="14"/>
    <s v="KNF X 36"/>
    <n v="8"/>
    <s v="KNF"/>
    <s v="K1"/>
    <m/>
    <n v="47"/>
    <m/>
    <n v="0"/>
    <m/>
    <n v="0"/>
    <m/>
    <s v="02"/>
    <m/>
    <s v="0150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20150111"/>
    <n v="1"/>
    <m/>
    <x v="540"/>
    <m/>
    <s v="SASHA TP PGB 150G TUBE FREE PGB"/>
    <x v="0"/>
    <m/>
    <x v="2"/>
    <s v=""/>
    <s v="K1470"/>
    <x v="484"/>
    <n v="14"/>
    <s v="KNF X 36"/>
    <n v="8"/>
    <s v="KNF"/>
    <s v="K1"/>
    <m/>
    <n v="47"/>
    <m/>
    <n v="0"/>
    <m/>
    <n v="0"/>
    <m/>
    <s v="02"/>
    <m/>
    <s v="01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30065201"/>
    <n v="1"/>
    <m/>
    <x v="541"/>
    <m/>
    <s v="SASHA TP WHITENING 65G TUBE -1708"/>
    <x v="4"/>
    <m/>
    <x v="2"/>
    <s v=""/>
    <s v="K1470"/>
    <x v="485"/>
    <n v="14"/>
    <s v="KNF X 48"/>
    <n v="8"/>
    <s v="KNF"/>
    <s v="K1"/>
    <m/>
    <n v="47"/>
    <m/>
    <n v="0"/>
    <m/>
    <n v="0"/>
    <m/>
    <s v="03"/>
    <m/>
    <s v="0065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30065311"/>
    <n v="1"/>
    <m/>
    <x v="542"/>
    <m/>
    <s v="SASHA TP WHITENING 65G TUBE BANDED"/>
    <x v="4"/>
    <m/>
    <x v="2"/>
    <s v=""/>
    <s v="K1470"/>
    <x v="486"/>
    <n v="14"/>
    <s v="KNF X 48"/>
    <n v="8"/>
    <s v="KNF"/>
    <s v="K1"/>
    <m/>
    <n v="47"/>
    <m/>
    <n v="0"/>
    <m/>
    <n v="0"/>
    <m/>
    <s v="03"/>
    <m/>
    <s v="0065"/>
    <m/>
    <n v="3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30065112"/>
    <n v="2"/>
    <m/>
    <x v="543"/>
    <m/>
    <s v="SASHA TP WHITENING 65G TUBE FREE PGB"/>
    <x v="4"/>
    <m/>
    <x v="2"/>
    <s v=""/>
    <s v="K1470"/>
    <x v="487"/>
    <n v="14"/>
    <s v="KNF X 48"/>
    <n v="8"/>
    <s v="KNF"/>
    <s v="K1"/>
    <m/>
    <n v="47"/>
    <m/>
    <n v="0"/>
    <m/>
    <n v="0"/>
    <m/>
    <s v="03"/>
    <m/>
    <s v="0065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65"/>
    <n v="0"/>
    <m/>
    <m/>
    <s v="KRT"/>
    <s v="GD01"/>
    <n v="11611"/>
    <n v="11612"/>
    <m/>
    <n v="1"/>
  </r>
  <r>
    <s v="K14700030150101"/>
    <n v="1"/>
    <m/>
    <x v="544"/>
    <m/>
    <s v="SASHA TP WHITENING 150G TUBE -1708"/>
    <x v="0"/>
    <m/>
    <x v="2"/>
    <s v=""/>
    <s v="K1470"/>
    <x v="488"/>
    <n v="14"/>
    <s v="KNF X 36"/>
    <n v="8"/>
    <s v="KNF"/>
    <s v="K1"/>
    <m/>
    <n v="47"/>
    <m/>
    <n v="0"/>
    <m/>
    <n v="0"/>
    <m/>
    <s v="03"/>
    <m/>
    <s v="01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30150111"/>
    <n v="1"/>
    <m/>
    <x v="545"/>
    <m/>
    <s v="SASHA TP WHITENING 150G TUBE BANDED"/>
    <x v="0"/>
    <m/>
    <x v="2"/>
    <s v=""/>
    <s v="K1470"/>
    <x v="489"/>
    <n v="14"/>
    <s v="KNF X 36"/>
    <n v="8"/>
    <s v="KNF"/>
    <s v="K1"/>
    <m/>
    <n v="47"/>
    <m/>
    <n v="0"/>
    <m/>
    <n v="0"/>
    <m/>
    <s v="03"/>
    <m/>
    <s v="01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700030150112"/>
    <n v="2"/>
    <m/>
    <x v="546"/>
    <m/>
    <s v="SASHA TP WHITENING 150G TUBE FREE PGB"/>
    <x v="0"/>
    <m/>
    <x v="2"/>
    <s v=""/>
    <s v="K1470"/>
    <x v="489"/>
    <n v="14"/>
    <s v="KNF X 36"/>
    <n v="8"/>
    <s v="KNF"/>
    <s v="K1"/>
    <m/>
    <n v="47"/>
    <m/>
    <n v="0"/>
    <m/>
    <n v="0"/>
    <m/>
    <s v="03"/>
    <m/>
    <s v="01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4800010400101"/>
    <n v="1"/>
    <m/>
    <x v="547"/>
    <m/>
    <s v="SLEEK HW APPLE 400ML PCH -1401"/>
    <x v="5"/>
    <m/>
    <x v="2"/>
    <s v=""/>
    <s v="K1480"/>
    <x v="490"/>
    <n v="14"/>
    <s v="KNF X 12"/>
    <n v="8"/>
    <s v="KNF"/>
    <s v="K1"/>
    <m/>
    <n v="48"/>
    <m/>
    <n v="0"/>
    <m/>
    <n v="0"/>
    <m/>
    <s v="01"/>
    <m/>
    <s v="04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00"/>
    <n v="0"/>
    <m/>
    <m/>
    <s v="KRT"/>
    <s v="GD01"/>
    <n v="11611"/>
    <n v="11612"/>
    <m/>
    <n v="1"/>
  </r>
  <r>
    <s v="K14800010500101"/>
    <n v="1"/>
    <m/>
    <x v="548"/>
    <m/>
    <s v="SLEEK HW APPLE 500ML BTL HRI"/>
    <x v="5"/>
    <m/>
    <x v="2"/>
    <s v=""/>
    <s v="K1480"/>
    <x v="491"/>
    <n v="14"/>
    <s v="KNF X 12"/>
    <n v="8"/>
    <s v="KNF"/>
    <s v="K1"/>
    <m/>
    <n v="48"/>
    <m/>
    <n v="0"/>
    <m/>
    <n v="0"/>
    <m/>
    <s v="01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800010500102"/>
    <n v="2"/>
    <m/>
    <x v="549"/>
    <m/>
    <s v="SLEEK HW APPLE 500ML BTL -1401"/>
    <x v="5"/>
    <m/>
    <x v="2"/>
    <s v=""/>
    <s v="K1480"/>
    <x v="491"/>
    <n v="14"/>
    <s v="KNF X 12"/>
    <n v="8"/>
    <s v="KNF"/>
    <s v="K1"/>
    <m/>
    <n v="48"/>
    <m/>
    <n v="0"/>
    <m/>
    <n v="0"/>
    <m/>
    <s v="01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800011004101"/>
    <n v="1"/>
    <m/>
    <x v="550"/>
    <m/>
    <s v="SLEEK HW APPLE 4LTR GLN -2005"/>
    <x v="10"/>
    <m/>
    <x v="2"/>
    <s v=""/>
    <s v="K1480"/>
    <x v="492"/>
    <n v="14"/>
    <s v="KNF X 4"/>
    <n v="7"/>
    <s v="KNF"/>
    <s v="K1"/>
    <m/>
    <n v="48"/>
    <m/>
    <n v="0"/>
    <m/>
    <n v="0"/>
    <m/>
    <s v="01"/>
    <m/>
    <n v="1004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004"/>
    <n v="0"/>
    <m/>
    <m/>
    <s v="KRT"/>
    <s v="GD01"/>
    <n v="11611"/>
    <n v="11612"/>
    <m/>
    <n v="1"/>
  </r>
  <r>
    <s v="K14800020400101"/>
    <n v="1"/>
    <m/>
    <x v="551"/>
    <m/>
    <s v="SLEEK HW LEMON 400ML PCH -1401"/>
    <x v="5"/>
    <m/>
    <x v="2"/>
    <s v=""/>
    <s v="K1480"/>
    <x v="493"/>
    <n v="14"/>
    <s v="KNF X 12"/>
    <n v="8"/>
    <s v="KNF"/>
    <s v="K1"/>
    <m/>
    <n v="48"/>
    <m/>
    <n v="0"/>
    <m/>
    <n v="0"/>
    <m/>
    <s v="02"/>
    <m/>
    <s v="04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00"/>
    <n v="0"/>
    <m/>
    <m/>
    <s v="KRT"/>
    <s v="GD01"/>
    <n v="11611"/>
    <n v="11612"/>
    <m/>
    <n v="1"/>
  </r>
  <r>
    <s v="K14800020500101"/>
    <n v="1"/>
    <m/>
    <x v="552"/>
    <m/>
    <s v="SLEEK HW LEMON 500ML BTL HRI"/>
    <x v="5"/>
    <m/>
    <x v="2"/>
    <s v=""/>
    <s v="K1480"/>
    <x v="494"/>
    <n v="14"/>
    <s v="KNF X 12"/>
    <n v="8"/>
    <s v="KNF"/>
    <s v="K1"/>
    <m/>
    <n v="48"/>
    <m/>
    <n v="0"/>
    <m/>
    <n v="0"/>
    <m/>
    <s v="02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800020500102"/>
    <n v="2"/>
    <m/>
    <x v="553"/>
    <m/>
    <s v="SLEEK HW LEMON 500ML BTL -1401"/>
    <x v="5"/>
    <m/>
    <x v="2"/>
    <s v=""/>
    <s v="K1480"/>
    <x v="494"/>
    <n v="14"/>
    <s v="KNF X 12"/>
    <n v="8"/>
    <s v="KNF"/>
    <s v="K1"/>
    <m/>
    <n v="48"/>
    <m/>
    <n v="0"/>
    <m/>
    <n v="0"/>
    <m/>
    <s v="02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800021004101"/>
    <n v="1"/>
    <m/>
    <x v="554"/>
    <m/>
    <s v="SLEEK HW LEMON 4LTR GLN -2005"/>
    <x v="10"/>
    <m/>
    <x v="2"/>
    <s v=""/>
    <s v="K1480"/>
    <x v="495"/>
    <n v="14"/>
    <s v="KNF X 4"/>
    <n v="7"/>
    <s v="KNF"/>
    <s v="K1"/>
    <m/>
    <n v="48"/>
    <m/>
    <n v="0"/>
    <m/>
    <n v="0"/>
    <m/>
    <s v="02"/>
    <m/>
    <n v="1004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004"/>
    <n v="0"/>
    <m/>
    <m/>
    <s v="KRT"/>
    <s v="GD01"/>
    <n v="11611"/>
    <n v="11612"/>
    <m/>
    <n v="1"/>
  </r>
  <r>
    <s v="K14800030400101"/>
    <n v="1"/>
    <m/>
    <x v="555"/>
    <m/>
    <s v="SLEEK HW STRAWBERRY 400ML PCH -1401"/>
    <x v="5"/>
    <m/>
    <x v="2"/>
    <s v=""/>
    <s v="K1480"/>
    <x v="496"/>
    <n v="14"/>
    <s v="KNF X 12"/>
    <n v="8"/>
    <s v="KNF"/>
    <s v="K1"/>
    <m/>
    <n v="48"/>
    <m/>
    <n v="0"/>
    <m/>
    <n v="0"/>
    <m/>
    <s v="03"/>
    <m/>
    <s v="04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00"/>
    <n v="0"/>
    <m/>
    <m/>
    <s v="KRT"/>
    <s v="GD01"/>
    <n v="11611"/>
    <n v="11612"/>
    <m/>
    <n v="1"/>
  </r>
  <r>
    <s v="K14800030500101"/>
    <n v="1"/>
    <m/>
    <x v="556"/>
    <m/>
    <s v="SLEEK HW STRAWBERRY 500ML BTL HRI"/>
    <x v="5"/>
    <m/>
    <x v="2"/>
    <s v=""/>
    <s v="K1480"/>
    <x v="497"/>
    <n v="14"/>
    <s v="KNF X 12"/>
    <n v="8"/>
    <s v="KNF"/>
    <s v="K1"/>
    <m/>
    <n v="48"/>
    <m/>
    <n v="0"/>
    <m/>
    <n v="0"/>
    <m/>
    <s v="03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800030500102"/>
    <n v="2"/>
    <m/>
    <x v="557"/>
    <m/>
    <s v="SLEEK HW STRAWBERRY 500ML BTL -1401"/>
    <x v="5"/>
    <m/>
    <x v="2"/>
    <s v=""/>
    <s v="K1480"/>
    <x v="497"/>
    <n v="14"/>
    <s v="KNF X 12"/>
    <n v="8"/>
    <s v="KNF"/>
    <s v="K1"/>
    <m/>
    <n v="48"/>
    <m/>
    <n v="0"/>
    <m/>
    <n v="0"/>
    <m/>
    <s v="03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800031004201"/>
    <n v="1"/>
    <m/>
    <x v="558"/>
    <m/>
    <s v="SLEEK HW STRAWBERRY 4LTR GLN -2005"/>
    <x v="10"/>
    <m/>
    <x v="2"/>
    <s v=""/>
    <s v="K1480"/>
    <x v="498"/>
    <n v="14"/>
    <s v="KNF X 4"/>
    <n v="7"/>
    <s v="KNF"/>
    <s v="K1"/>
    <m/>
    <n v="48"/>
    <m/>
    <n v="0"/>
    <m/>
    <n v="0"/>
    <m/>
    <s v="03"/>
    <m/>
    <n v="1004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004"/>
    <n v="0"/>
    <m/>
    <m/>
    <s v="KRT"/>
    <s v="GD01"/>
    <n v="11611"/>
    <n v="11612"/>
    <m/>
    <n v="1"/>
  </r>
  <r>
    <s v="K14900010250101"/>
    <n v="1"/>
    <m/>
    <x v="559"/>
    <m/>
    <s v="SLEEK FOAMY HW CARING 250ML BTL -1811"/>
    <x v="2"/>
    <m/>
    <x v="2"/>
    <s v=""/>
    <s v="K1490"/>
    <x v="499"/>
    <n v="14"/>
    <s v="KNF X 24"/>
    <n v="8"/>
    <s v="KNF"/>
    <s v="K1"/>
    <m/>
    <n v="49"/>
    <m/>
    <n v="0"/>
    <m/>
    <n v="0"/>
    <m/>
    <s v="01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10250111"/>
    <n v="1"/>
    <m/>
    <x v="560"/>
    <m/>
    <s v="SLEEK FHW CARING 250 BTL+70 PCH BANDED"/>
    <x v="2"/>
    <m/>
    <x v="2"/>
    <s v=""/>
    <s v="K1490"/>
    <x v="500"/>
    <n v="14"/>
    <s v="KNF X 24"/>
    <n v="8"/>
    <s v="KNF"/>
    <s v="K1"/>
    <m/>
    <n v="49"/>
    <m/>
    <n v="0"/>
    <m/>
    <n v="0"/>
    <m/>
    <s v="01"/>
    <m/>
    <s v="02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10250201"/>
    <n v="1"/>
    <m/>
    <x v="561"/>
    <m/>
    <s v="SLEEK FOAMY HW CARING 250 ML PCH"/>
    <x v="2"/>
    <m/>
    <x v="2"/>
    <s v=""/>
    <s v="K1490"/>
    <x v="501"/>
    <n v="14"/>
    <s v="KNF X 24"/>
    <n v="8"/>
    <s v="KNF"/>
    <s v="K1"/>
    <m/>
    <n v="49"/>
    <m/>
    <n v="0"/>
    <m/>
    <n v="0"/>
    <m/>
    <s v="01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20320201"/>
    <n v="1"/>
    <m/>
    <x v="562"/>
    <m/>
    <s v="SLEEK PHC CLEANSER F.VEGETABLES 320ML"/>
    <x v="5"/>
    <m/>
    <x v="2"/>
    <s v=""/>
    <s v="K1490"/>
    <x v="502"/>
    <n v="14"/>
    <s v="KNF X 12"/>
    <n v="8"/>
    <s v="KNF"/>
    <s v="K1"/>
    <m/>
    <n v="49"/>
    <m/>
    <n v="0"/>
    <m/>
    <n v="0"/>
    <m/>
    <s v="02"/>
    <m/>
    <s v="03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320"/>
    <n v="0"/>
    <m/>
    <m/>
    <s v="KRT"/>
    <s v="GD01"/>
    <n v="11611"/>
    <n v="11612"/>
    <m/>
    <n v="1"/>
  </r>
  <r>
    <s v="K14900030250201"/>
    <n v="1"/>
    <m/>
    <x v="563"/>
    <m/>
    <s v="SLEEK FOAMY HW REFRESHING 250ML BTL-1811"/>
    <x v="2"/>
    <m/>
    <x v="2"/>
    <s v=""/>
    <s v="K1490"/>
    <x v="503"/>
    <n v="14"/>
    <s v="KNF X 24"/>
    <n v="8"/>
    <s v="KNF"/>
    <s v="K1"/>
    <m/>
    <n v="49"/>
    <m/>
    <n v="0"/>
    <m/>
    <n v="0"/>
    <m/>
    <s v="03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30250111"/>
    <n v="1"/>
    <m/>
    <x v="564"/>
    <m/>
    <s v="SLEEK FHW REFRESH 250 BTL+70 PCH BANDED"/>
    <x v="2"/>
    <m/>
    <x v="2"/>
    <s v=""/>
    <s v="K1490"/>
    <x v="504"/>
    <n v="14"/>
    <s v="KNF X 24"/>
    <n v="8"/>
    <s v="KNF"/>
    <s v="K1"/>
    <m/>
    <n v="49"/>
    <m/>
    <n v="0"/>
    <m/>
    <n v="0"/>
    <m/>
    <s v="03"/>
    <m/>
    <s v="02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30250201"/>
    <n v="1"/>
    <m/>
    <x v="565"/>
    <m/>
    <s v="SLEEK FOAMY HW REFRESHING 250 ML PCH"/>
    <x v="2"/>
    <m/>
    <x v="2"/>
    <s v=""/>
    <s v="K1490"/>
    <x v="503"/>
    <n v="14"/>
    <s v="KNF X 24"/>
    <n v="8"/>
    <s v="KNF"/>
    <s v="K1"/>
    <m/>
    <n v="49"/>
    <m/>
    <n v="0"/>
    <m/>
    <n v="0"/>
    <m/>
    <s v="03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40250201"/>
    <n v="1"/>
    <m/>
    <x v="566"/>
    <m/>
    <s v="SLEEK FOAMY HW RELIEVING 250ML BTL"/>
    <x v="2"/>
    <m/>
    <x v="2"/>
    <s v=""/>
    <s v="K1490"/>
    <x v="505"/>
    <n v="14"/>
    <s v="KNF X 24"/>
    <n v="8"/>
    <s v="KNF"/>
    <s v="K1"/>
    <m/>
    <n v="49"/>
    <m/>
    <n v="0"/>
    <m/>
    <n v="0"/>
    <m/>
    <s v="04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40250111"/>
    <n v="1"/>
    <m/>
    <x v="567"/>
    <m/>
    <s v="SLEEK FHW RELIEVING 250 BT+70 PCH BANDED"/>
    <x v="2"/>
    <m/>
    <x v="2"/>
    <s v=""/>
    <s v="K1490"/>
    <x v="506"/>
    <n v="14"/>
    <s v="KNF X 24"/>
    <n v="8"/>
    <s v="KNF"/>
    <s v="K1"/>
    <m/>
    <n v="49"/>
    <m/>
    <n v="0"/>
    <m/>
    <n v="0"/>
    <m/>
    <s v="04"/>
    <m/>
    <s v="02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40250101"/>
    <n v="1"/>
    <m/>
    <x v="568"/>
    <m/>
    <s v="SLEEK FOAMY HW RELIEVING 250ML PCH"/>
    <x v="2"/>
    <m/>
    <x v="2"/>
    <s v=""/>
    <s v="K1490"/>
    <x v="507"/>
    <n v="14"/>
    <s v="KNF X 24"/>
    <n v="8"/>
    <s v="KNF"/>
    <s v="K1"/>
    <m/>
    <n v="49"/>
    <m/>
    <n v="0"/>
    <m/>
    <n v="0"/>
    <m/>
    <s v="04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50250201"/>
    <n v="1"/>
    <m/>
    <x v="569"/>
    <m/>
    <s v="SLEEK FOAMY HW SOOTHING 250ML BTL -1811"/>
    <x v="2"/>
    <m/>
    <x v="2"/>
    <s v=""/>
    <s v="K1490"/>
    <x v="508"/>
    <n v="14"/>
    <s v="KNF X 24"/>
    <n v="8"/>
    <s v="KNF"/>
    <s v="K1"/>
    <m/>
    <n v="49"/>
    <m/>
    <n v="0"/>
    <m/>
    <n v="0"/>
    <m/>
    <s v="05"/>
    <m/>
    <s v="02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50250111"/>
    <n v="1"/>
    <m/>
    <x v="570"/>
    <m/>
    <s v="SLEEK FHW SOOTHING 250 BTL+70 PCH BANDED"/>
    <x v="2"/>
    <m/>
    <x v="2"/>
    <s v=""/>
    <s v="K1490"/>
    <x v="509"/>
    <n v="14"/>
    <s v="KNF X 24"/>
    <n v="8"/>
    <s v="KNF"/>
    <s v="K1"/>
    <m/>
    <n v="49"/>
    <m/>
    <n v="0"/>
    <m/>
    <n v="0"/>
    <m/>
    <s v="05"/>
    <m/>
    <s v="02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4900050250101"/>
    <n v="1"/>
    <m/>
    <x v="571"/>
    <m/>
    <s v="SLEEK FOAMY HW SOOTHING 250 ML PCH"/>
    <x v="2"/>
    <m/>
    <x v="2"/>
    <s v=""/>
    <s v="K1490"/>
    <x v="510"/>
    <n v="14"/>
    <s v="KNF X 24"/>
    <n v="8"/>
    <s v="KNF"/>
    <s v="K1"/>
    <m/>
    <n v="49"/>
    <m/>
    <n v="0"/>
    <m/>
    <n v="0"/>
    <m/>
    <s v="05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5000000000101"/>
    <n v="1"/>
    <m/>
    <x v="572"/>
    <m/>
    <s v="SLEEK B SPECIAL PACKAGE 1"/>
    <x v="14"/>
    <m/>
    <x v="2"/>
    <s v=""/>
    <s v="K1500"/>
    <x v="511"/>
    <n v="14"/>
    <s v="KNF X 6"/>
    <n v="7"/>
    <s v="KNF"/>
    <s v="K1"/>
    <m/>
    <n v="50"/>
    <m/>
    <n v="0"/>
    <m/>
    <n v="0"/>
    <m/>
    <s v="00"/>
    <m/>
    <s v="00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5010000030401"/>
    <n v="1"/>
    <m/>
    <x v="573"/>
    <m/>
    <s v="SLEEK BABY TELON OIL 30ML BTL -1906"/>
    <x v="15"/>
    <m/>
    <x v="2"/>
    <s v=""/>
    <s v="K1501"/>
    <x v="512"/>
    <n v="14"/>
    <s v="KNF X 96"/>
    <n v="8"/>
    <s v="KNF"/>
    <s v="K1"/>
    <m/>
    <n v="50"/>
    <m/>
    <n v="1"/>
    <m/>
    <n v="0"/>
    <m/>
    <s v="00"/>
    <m/>
    <s v="0030"/>
    <m/>
    <n v="4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30"/>
    <n v="0"/>
    <m/>
    <m/>
    <s v="KRT"/>
    <s v="GD01"/>
    <n v="11611"/>
    <n v="11612"/>
    <m/>
    <n v="1"/>
  </r>
  <r>
    <s v="K15010000070301"/>
    <n v="1"/>
    <m/>
    <x v="574"/>
    <m/>
    <s v="SLEEK BABY TELON OIL 70ML BTL -1906"/>
    <x v="4"/>
    <m/>
    <x v="2"/>
    <s v=""/>
    <s v="K1501"/>
    <x v="513"/>
    <n v="14"/>
    <s v="KNF X 48"/>
    <n v="8"/>
    <s v="KNF"/>
    <s v="K1"/>
    <m/>
    <n v="50"/>
    <m/>
    <n v="1"/>
    <m/>
    <n v="0"/>
    <m/>
    <s v="00"/>
    <m/>
    <s v="007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0"/>
    <n v="0"/>
    <m/>
    <m/>
    <s v="KRT"/>
    <s v="GD01"/>
    <n v="11611"/>
    <n v="11612"/>
    <m/>
    <n v="1"/>
  </r>
  <r>
    <s v="K15020000070301"/>
    <n v="1"/>
    <m/>
    <x v="575"/>
    <m/>
    <s v="SLEEK BABY BN CLEANSER 70ML PCH -1412"/>
    <x v="0"/>
    <m/>
    <x v="2"/>
    <s v=""/>
    <s v="K1502"/>
    <x v="514"/>
    <n v="14"/>
    <s v="KNF X 36"/>
    <n v="8"/>
    <s v="KNF"/>
    <s v="K1"/>
    <m/>
    <n v="50"/>
    <m/>
    <n v="2"/>
    <m/>
    <n v="0"/>
    <m/>
    <s v="00"/>
    <m/>
    <s v="007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0"/>
    <n v="0"/>
    <m/>
    <m/>
    <s v="KRT"/>
    <s v="GD01"/>
    <n v="11611"/>
    <n v="11612"/>
    <m/>
    <n v="1"/>
  </r>
  <r>
    <s v="K15020000070102"/>
    <n v="2"/>
    <m/>
    <x v="576"/>
    <m/>
    <s v="SLEEK BABY BN CLEANSER 70ML PCH + HGR"/>
    <x v="0"/>
    <m/>
    <x v="2"/>
    <s v=""/>
    <s v="K1502"/>
    <x v="515"/>
    <n v="14"/>
    <s v="KNF X 36"/>
    <n v="8"/>
    <s v="KNF"/>
    <s v="K1"/>
    <m/>
    <n v="50"/>
    <m/>
    <n v="2"/>
    <m/>
    <n v="0"/>
    <m/>
    <s v="00"/>
    <m/>
    <s v="007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0"/>
    <n v="0"/>
    <m/>
    <m/>
    <s v="KRT"/>
    <s v="GD01"/>
    <n v="11611"/>
    <n v="11612"/>
    <m/>
    <n v="1"/>
  </r>
  <r>
    <s v="K15020000150301"/>
    <n v="1"/>
    <m/>
    <x v="577"/>
    <m/>
    <s v="SLEEK BABY BN CLEANSER 150ML BTL -1412"/>
    <x v="0"/>
    <m/>
    <x v="2"/>
    <s v=""/>
    <s v="K1502"/>
    <x v="516"/>
    <n v="14"/>
    <s v="KNF X 36"/>
    <n v="8"/>
    <s v="KNF"/>
    <s v="K1"/>
    <m/>
    <n v="50"/>
    <m/>
    <n v="2"/>
    <m/>
    <n v="0"/>
    <m/>
    <s v="00"/>
    <m/>
    <s v="015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5020000150202"/>
    <n v="2"/>
    <m/>
    <x v="578"/>
    <m/>
    <n v="0"/>
    <x v="13"/>
    <m/>
    <x v="2"/>
    <s v=""/>
    <s v="K1502"/>
    <x v="517"/>
    <n v="14"/>
    <s v="KNF X 0"/>
    <n v="7"/>
    <s v="KNF"/>
    <s v="K1"/>
    <m/>
    <n v="50"/>
    <m/>
    <n v="2"/>
    <m/>
    <n v="0"/>
    <m/>
    <s v="00"/>
    <m/>
    <s v="015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5020000150121"/>
    <n v="1"/>
    <m/>
    <x v="579"/>
    <m/>
    <s v="SLEEK BABY BN CLEANSER 150ML BTL EXT 20%"/>
    <x v="0"/>
    <m/>
    <x v="2"/>
    <s v=""/>
    <s v="K1502"/>
    <x v="518"/>
    <n v="14"/>
    <s v="KNF X 36"/>
    <n v="8"/>
    <s v="KNF"/>
    <s v="K1"/>
    <m/>
    <n v="50"/>
    <m/>
    <n v="2"/>
    <m/>
    <n v="0"/>
    <m/>
    <s v="00"/>
    <m/>
    <s v="0150"/>
    <m/>
    <n v="1"/>
    <m/>
    <n v="2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50"/>
    <n v="0"/>
    <m/>
    <m/>
    <s v="KRT"/>
    <s v="GD01"/>
    <n v="11611"/>
    <n v="11612"/>
    <m/>
    <n v="1"/>
  </r>
  <r>
    <s v="K15020000450101"/>
    <n v="1"/>
    <m/>
    <x v="580"/>
    <m/>
    <s v="SLEEK BABY BN CLEANSER 450ML PCH -1412"/>
    <x v="5"/>
    <m/>
    <x v="2"/>
    <s v=""/>
    <s v="K1502"/>
    <x v="519"/>
    <n v="14"/>
    <s v="KNF X 12"/>
    <n v="8"/>
    <s v="KNF"/>
    <s v="K1"/>
    <m/>
    <n v="50"/>
    <m/>
    <n v="2"/>
    <m/>
    <n v="0"/>
    <m/>
    <s v="00"/>
    <m/>
    <s v="04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50"/>
    <n v="0"/>
    <m/>
    <m/>
    <s v="KRT"/>
    <s v="GD01"/>
    <n v="11611"/>
    <n v="11612"/>
    <m/>
    <n v="1"/>
  </r>
  <r>
    <s v="K15020000450111"/>
    <n v="1"/>
    <m/>
    <x v="581"/>
    <m/>
    <s v="SLEEK BABY BN CLEANSER 450+TELON 30 PACK"/>
    <x v="5"/>
    <m/>
    <x v="2"/>
    <s v=""/>
    <s v="K1502"/>
    <x v="520"/>
    <n v="14"/>
    <s v="KNF X 12"/>
    <n v="8"/>
    <s v="KNF"/>
    <s v="K1"/>
    <m/>
    <n v="50"/>
    <m/>
    <n v="2"/>
    <m/>
    <n v="0"/>
    <m/>
    <s v="00"/>
    <m/>
    <s v="04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50"/>
    <n v="0"/>
    <m/>
    <m/>
    <s v="KRT"/>
    <s v="GD01"/>
    <n v="11611"/>
    <n v="11612"/>
    <m/>
    <n v="1"/>
  </r>
  <r>
    <s v="K15020000450221"/>
    <n v="1"/>
    <m/>
    <x v="582"/>
    <m/>
    <s v="SLEEK BABY BN CLEANSER 450ML PCH EXT 20%"/>
    <x v="5"/>
    <m/>
    <x v="2"/>
    <s v=""/>
    <s v="K1502"/>
    <x v="521"/>
    <n v="14"/>
    <s v="KNF X 12"/>
    <n v="8"/>
    <s v="KNF"/>
    <s v="K1"/>
    <m/>
    <n v="50"/>
    <m/>
    <n v="2"/>
    <m/>
    <n v="0"/>
    <m/>
    <s v="00"/>
    <m/>
    <s v="0450"/>
    <m/>
    <n v="2"/>
    <m/>
    <n v="2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50"/>
    <n v="0"/>
    <m/>
    <m/>
    <s v="KRT"/>
    <s v="GD01"/>
    <n v="11611"/>
    <n v="11612"/>
    <m/>
    <n v="1"/>
  </r>
  <r>
    <s v="K15020000500101"/>
    <n v="1"/>
    <m/>
    <x v="583"/>
    <m/>
    <s v="SLEEK BABY BN CLEANSER 500ML BTL -1412"/>
    <x v="5"/>
    <m/>
    <x v="2"/>
    <s v=""/>
    <s v="K1502"/>
    <x v="522"/>
    <n v="14"/>
    <s v="KNF X 12"/>
    <n v="8"/>
    <s v="KNF"/>
    <s v="K1"/>
    <m/>
    <n v="50"/>
    <m/>
    <n v="2"/>
    <m/>
    <n v="0"/>
    <m/>
    <s v="00"/>
    <m/>
    <s v="05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5020000900101"/>
    <n v="1"/>
    <m/>
    <x v="584"/>
    <m/>
    <s v="SLEEK BABY BN CLEANSER 900ML PCH -1412"/>
    <x v="5"/>
    <m/>
    <x v="2"/>
    <s v=""/>
    <s v="K1502"/>
    <x v="523"/>
    <n v="14"/>
    <s v="KNF X 12"/>
    <n v="8"/>
    <s v="KNF"/>
    <s v="K1"/>
    <m/>
    <n v="50"/>
    <m/>
    <n v="2"/>
    <m/>
    <n v="0"/>
    <m/>
    <s v="00"/>
    <m/>
    <s v="09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900"/>
    <n v="0"/>
    <m/>
    <m/>
    <s v="KRT"/>
    <s v="GD01"/>
    <n v="11611"/>
    <n v="11612"/>
    <m/>
    <n v="1"/>
  </r>
  <r>
    <s v="K15020000900111"/>
    <n v="1"/>
    <m/>
    <x v="585"/>
    <m/>
    <s v="SLEEK BABY BN CLEANSER 900+TELON 70 PACK"/>
    <x v="5"/>
    <m/>
    <x v="2"/>
    <s v=""/>
    <s v="K1502"/>
    <x v="524"/>
    <n v="14"/>
    <s v="KNF X 12"/>
    <n v="8"/>
    <s v="KNF"/>
    <s v="K1"/>
    <m/>
    <n v="50"/>
    <m/>
    <n v="2"/>
    <m/>
    <n v="0"/>
    <m/>
    <s v="00"/>
    <m/>
    <s v="090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900"/>
    <n v="0"/>
    <m/>
    <m/>
    <s v="KRT"/>
    <s v="GD01"/>
    <n v="11611"/>
    <n v="11612"/>
    <m/>
    <n v="1"/>
  </r>
  <r>
    <s v="K15030000080201"/>
    <n v="1"/>
    <m/>
    <x v="586"/>
    <m/>
    <s v="SLEEK BABY DIAPERS CREAM 80ML TUBE"/>
    <x v="0"/>
    <m/>
    <x v="2"/>
    <s v=""/>
    <s v="K1503"/>
    <x v="525"/>
    <n v="14"/>
    <s v="KNF X 36"/>
    <n v="8"/>
    <s v="KNF"/>
    <s v="K1"/>
    <m/>
    <n v="50"/>
    <m/>
    <n v="3"/>
    <m/>
    <n v="0"/>
    <m/>
    <s v="00"/>
    <m/>
    <s v="008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80"/>
    <n v="0"/>
    <m/>
    <m/>
    <s v="KRT"/>
    <s v="GD01"/>
    <n v="11611"/>
    <n v="11612"/>
    <m/>
    <n v="1"/>
  </r>
  <r>
    <s v="K15040000000101"/>
    <n v="1"/>
    <m/>
    <x v="587"/>
    <m/>
    <s v="SLEEK BABY GIFT SET"/>
    <x v="14"/>
    <m/>
    <x v="2"/>
    <s v=""/>
    <s v="K1504"/>
    <x v="526"/>
    <n v="14"/>
    <s v="KNF X 6"/>
    <n v="7"/>
    <s v="KNF"/>
    <s v="K1"/>
    <m/>
    <n v="50"/>
    <m/>
    <n v="4"/>
    <m/>
    <n v="0"/>
    <m/>
    <s v="00"/>
    <m/>
    <s v="00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0"/>
    <n v="0"/>
    <m/>
    <m/>
    <s v="KRT"/>
    <s v="GD01"/>
    <n v="11611"/>
    <n v="11612"/>
    <m/>
    <n v="1"/>
  </r>
  <r>
    <s v="K15050010250101"/>
    <n v="1"/>
    <m/>
    <x v="588"/>
    <m/>
    <s v="SLEEK BABY 2 IN 1 H&amp;B FOAMY.W 250ML PCH"/>
    <x v="2"/>
    <m/>
    <x v="2"/>
    <s v=""/>
    <s v="K1505"/>
    <x v="527"/>
    <n v="14"/>
    <s v="KNF X 24"/>
    <n v="8"/>
    <s v="KNF"/>
    <s v="K1"/>
    <m/>
    <n v="50"/>
    <m/>
    <n v="5"/>
    <m/>
    <n v="0"/>
    <m/>
    <s v="01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5050010300201"/>
    <n v="1"/>
    <m/>
    <x v="589"/>
    <m/>
    <s v="SLEEK BABY 2 IN 1 H&amp;B FOAMY.W 300ML BTL"/>
    <x v="2"/>
    <m/>
    <x v="2"/>
    <s v=""/>
    <s v="K1505"/>
    <x v="528"/>
    <n v="14"/>
    <s v="KNF X 24"/>
    <n v="8"/>
    <s v="KNF"/>
    <s v="K1"/>
    <m/>
    <n v="50"/>
    <m/>
    <n v="5"/>
    <m/>
    <n v="0"/>
    <m/>
    <s v="01"/>
    <m/>
    <s v="03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300"/>
    <n v="0"/>
    <m/>
    <m/>
    <s v="KRT"/>
    <s v="GD01"/>
    <n v="11611"/>
    <n v="11612"/>
    <m/>
    <n v="1"/>
  </r>
  <r>
    <s v="K15050020120101"/>
    <n v="1"/>
    <m/>
    <x v="590"/>
    <m/>
    <s v="SLEEK BABY 2 IN 1 H &amp; B LIQUID.W 120ML"/>
    <x v="0"/>
    <m/>
    <x v="2"/>
    <s v=""/>
    <s v="K1505"/>
    <x v="529"/>
    <n v="14"/>
    <s v="KNF X 36"/>
    <n v="8"/>
    <s v="KNF"/>
    <s v="K1"/>
    <m/>
    <n v="50"/>
    <m/>
    <n v="5"/>
    <m/>
    <n v="0"/>
    <m/>
    <s v="02"/>
    <m/>
    <s v="012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20"/>
    <n v="0"/>
    <m/>
    <m/>
    <s v="KRT"/>
    <s v="GD01"/>
    <n v="11611"/>
    <n v="11612"/>
    <m/>
    <n v="1"/>
  </r>
  <r>
    <s v="K15050020250101"/>
    <n v="1"/>
    <m/>
    <x v="591"/>
    <m/>
    <s v="SLEEK BABY 2 IN 1 H &amp; B LIQUID.W 250ML"/>
    <x v="0"/>
    <m/>
    <x v="2"/>
    <s v=""/>
    <s v="K1505"/>
    <x v="530"/>
    <n v="14"/>
    <s v="KNF X 36"/>
    <n v="8"/>
    <s v="KNF"/>
    <s v="K1"/>
    <m/>
    <n v="50"/>
    <m/>
    <n v="5"/>
    <m/>
    <n v="0"/>
    <m/>
    <s v="02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5060000020201"/>
    <n v="1"/>
    <m/>
    <x v="592"/>
    <m/>
    <s v="SLEEK BLD 20ML SCH"/>
    <x v="3"/>
    <m/>
    <x v="2"/>
    <s v=""/>
    <s v="K1506"/>
    <x v="531"/>
    <n v="14"/>
    <s v="KNF X 120"/>
    <n v="9"/>
    <s v="KNF"/>
    <s v="K1"/>
    <m/>
    <n v="50"/>
    <m/>
    <n v="6"/>
    <m/>
    <n v="0"/>
    <m/>
    <s v="00"/>
    <m/>
    <s v="002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20"/>
    <n v="0"/>
    <m/>
    <m/>
    <s v="KRT"/>
    <s v="GD01"/>
    <n v="11611"/>
    <n v="11612"/>
    <m/>
    <n v="1"/>
  </r>
  <r>
    <s v="K15060000450301"/>
    <n v="1"/>
    <m/>
    <x v="593"/>
    <m/>
    <s v="SLEEK BLD450 MLPCH"/>
    <x v="5"/>
    <m/>
    <x v="2"/>
    <s v=""/>
    <s v="K1506"/>
    <x v="532"/>
    <n v="14"/>
    <s v="KNF X 12"/>
    <n v="8"/>
    <s v="KNF"/>
    <s v="K1"/>
    <m/>
    <n v="50"/>
    <m/>
    <n v="6"/>
    <m/>
    <n v="0"/>
    <m/>
    <s v="00"/>
    <m/>
    <s v="045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50"/>
    <n v="0"/>
    <m/>
    <m/>
    <s v="KRT"/>
    <s v="GD01"/>
    <n v="11611"/>
    <n v="11612"/>
    <m/>
    <n v="1"/>
  </r>
  <r>
    <s v="K15060000450111"/>
    <n v="1"/>
    <m/>
    <x v="594"/>
    <m/>
    <s v="SLEEK BLD 450ML PCH EXT 20%"/>
    <x v="5"/>
    <m/>
    <x v="2"/>
    <s v=""/>
    <s v="K1506"/>
    <x v="533"/>
    <n v="14"/>
    <s v="KNF X 12"/>
    <n v="8"/>
    <s v="KNF"/>
    <s v="K1"/>
    <m/>
    <n v="50"/>
    <m/>
    <n v="6"/>
    <m/>
    <n v="0"/>
    <m/>
    <s v="00"/>
    <m/>
    <s v="0450"/>
    <m/>
    <n v="1"/>
    <m/>
    <n v="1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450"/>
    <n v="0"/>
    <m/>
    <m/>
    <s v="KRT"/>
    <s v="GD01"/>
    <n v="11611"/>
    <n v="11612"/>
    <m/>
    <n v="1"/>
  </r>
  <r>
    <s v="K15060000500201"/>
    <n v="1"/>
    <m/>
    <x v="595"/>
    <m/>
    <s v="SLEEK BLD500 MLBTL"/>
    <x v="5"/>
    <m/>
    <x v="2"/>
    <s v=""/>
    <s v="K1506"/>
    <x v="534"/>
    <n v="14"/>
    <s v="KNF X 12"/>
    <n v="8"/>
    <s v="KNF"/>
    <s v="K1"/>
    <m/>
    <n v="50"/>
    <m/>
    <n v="6"/>
    <m/>
    <n v="0"/>
    <m/>
    <s v="00"/>
    <m/>
    <s v="05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5060000900301"/>
    <n v="1"/>
    <m/>
    <x v="596"/>
    <m/>
    <s v="SLEEK BLD 900 ML PCH -1810"/>
    <x v="5"/>
    <m/>
    <x v="2"/>
    <s v=""/>
    <s v="K1506"/>
    <x v="535"/>
    <n v="14"/>
    <s v="KNF X 12"/>
    <n v="8"/>
    <s v="KNF"/>
    <s v="K1"/>
    <m/>
    <n v="50"/>
    <m/>
    <n v="6"/>
    <m/>
    <n v="0"/>
    <m/>
    <s v="00"/>
    <m/>
    <s v="090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900"/>
    <n v="0"/>
    <m/>
    <m/>
    <s v="KRT"/>
    <s v="GD01"/>
    <n v="11611"/>
    <n v="11612"/>
    <m/>
    <n v="1"/>
  </r>
  <r>
    <s v="K15060001004101"/>
    <n v="1"/>
    <m/>
    <x v="597"/>
    <m/>
    <s v="SLEEK BLD 4 LTR GLN -1901"/>
    <x v="10"/>
    <m/>
    <x v="2"/>
    <s v=""/>
    <s v="K1506"/>
    <x v="536"/>
    <n v="14"/>
    <s v="KNF X 4"/>
    <n v="7"/>
    <s v="KNF"/>
    <s v="K1"/>
    <m/>
    <n v="50"/>
    <m/>
    <n v="6"/>
    <m/>
    <n v="0"/>
    <m/>
    <s v="00"/>
    <m/>
    <n v="1004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004"/>
    <n v="0"/>
    <m/>
    <m/>
    <s v="KRT"/>
    <s v="GD01"/>
    <n v="11611"/>
    <n v="11612"/>
    <m/>
    <n v="1"/>
  </r>
  <r>
    <s v="K15060001200201"/>
    <n v="1"/>
    <m/>
    <x v="598"/>
    <m/>
    <s v="SLEEK BLD 1200 ML BTL"/>
    <x v="14"/>
    <m/>
    <x v="2"/>
    <s v=""/>
    <s v="K1506"/>
    <x v="537"/>
    <n v="14"/>
    <s v="KNF X 6"/>
    <n v="7"/>
    <s v="KNF"/>
    <s v="K1"/>
    <m/>
    <n v="50"/>
    <m/>
    <n v="6"/>
    <m/>
    <n v="0"/>
    <m/>
    <s v="00"/>
    <m/>
    <n v="12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1200"/>
    <n v="0"/>
    <m/>
    <m/>
    <s v="KRT"/>
    <s v="GD01"/>
    <n v="11611"/>
    <n v="11612"/>
    <m/>
    <n v="1"/>
  </r>
  <r>
    <s v="K10410020200301"/>
    <n v="1"/>
    <m/>
    <x v="599"/>
    <m/>
    <s v="B&amp;B HBW RIKO 200ML PCH"/>
    <x v="2"/>
    <m/>
    <x v="2"/>
    <s v=""/>
    <s v="K1041"/>
    <x v="538"/>
    <n v="14"/>
    <s v="KNF X 24"/>
    <n v="8"/>
    <s v="KNF"/>
    <s v="K1"/>
    <m/>
    <s v="04"/>
    <m/>
    <n v="1"/>
    <m/>
    <n v="0"/>
    <m/>
    <s v="02"/>
    <m/>
    <s v="0200"/>
    <m/>
    <n v="3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40020250101"/>
    <n v="1"/>
    <m/>
    <x v="600"/>
    <m/>
    <s v="B&amp;B BARBIE LIQUID SOAP PARTY 250 ML PCH"/>
    <x v="2"/>
    <m/>
    <x v="2"/>
    <s v=""/>
    <s v="K1044"/>
    <x v="539"/>
    <n v="14"/>
    <s v="KNF X 24"/>
    <n v="8"/>
    <s v="KNF"/>
    <s v="K1"/>
    <m/>
    <s v="04"/>
    <m/>
    <n v="4"/>
    <m/>
    <n v="0"/>
    <m/>
    <s v="02"/>
    <m/>
    <s v="025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0460010100201"/>
    <n v="1"/>
    <m/>
    <x v="601"/>
    <m/>
    <s v="B&amp;B SHM STRAWBERY BLOSSOM 100ML BTL-1909"/>
    <x v="0"/>
    <m/>
    <x v="2"/>
    <s v=""/>
    <s v="K1046"/>
    <x v="540"/>
    <n v="14"/>
    <s v="KNF X 36"/>
    <n v="8"/>
    <s v="KNF"/>
    <s v="K1"/>
    <m/>
    <s v="04"/>
    <m/>
    <n v="6"/>
    <m/>
    <n v="0"/>
    <m/>
    <s v="01"/>
    <m/>
    <s v="0100"/>
    <m/>
    <n v="2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460010200101"/>
    <n v="1"/>
    <m/>
    <x v="602"/>
    <m/>
    <s v="B&amp;B SHM STRAWBERY BLOSSOM 200ML BTL-1909"/>
    <x v="0"/>
    <m/>
    <x v="2"/>
    <s v=""/>
    <s v="K1046"/>
    <x v="541"/>
    <n v="14"/>
    <s v="KNF X 36"/>
    <n v="8"/>
    <s v="KNF"/>
    <s v="K1"/>
    <m/>
    <s v="04"/>
    <m/>
    <n v="6"/>
    <m/>
    <n v="0"/>
    <m/>
    <s v="01"/>
    <m/>
    <s v="02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6002010001"/>
    <n v="1"/>
    <m/>
    <x v="603"/>
    <m/>
    <s v="B&amp;B SHM ORANGE BUBBLES 100ML BTL -1909"/>
    <x v="0"/>
    <m/>
    <x v="2"/>
    <s v=""/>
    <s v="K1046"/>
    <x v="542"/>
    <n v="13"/>
    <s v="KNF X 36"/>
    <n v="8"/>
    <s v="KNF"/>
    <s v="K1"/>
    <m/>
    <s v="04"/>
    <m/>
    <n v="6"/>
    <m/>
    <n v="0"/>
    <m/>
    <s v="02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46002020001"/>
    <n v="1"/>
    <m/>
    <x v="604"/>
    <m/>
    <s v="B&amp;B SHM ORANGE BUBBLES 200ML BTL -1909"/>
    <x v="0"/>
    <m/>
    <x v="2"/>
    <s v=""/>
    <s v="K1046"/>
    <x v="543"/>
    <n v="13"/>
    <s v="KNF X 36"/>
    <n v="8"/>
    <s v="KNF"/>
    <s v="K1"/>
    <m/>
    <s v="04"/>
    <m/>
    <n v="6"/>
    <m/>
    <n v="0"/>
    <m/>
    <s v="02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6003010001"/>
    <n v="1"/>
    <m/>
    <x v="605"/>
    <m/>
    <s v="B&amp;B SHM KIWI BUTTERCUP 100ML BTL -1909"/>
    <x v="0"/>
    <m/>
    <x v="2"/>
    <s v=""/>
    <s v="K1046"/>
    <x v="544"/>
    <n v="13"/>
    <s v="KNF X 36"/>
    <n v="8"/>
    <s v="KNF"/>
    <s v="K1"/>
    <m/>
    <s v="04"/>
    <m/>
    <n v="6"/>
    <m/>
    <n v="0"/>
    <m/>
    <s v="03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46003020001"/>
    <n v="1"/>
    <m/>
    <x v="606"/>
    <m/>
    <s v="B&amp;B SHM KIWI BUTTERCUP 200ML BTL -1909"/>
    <x v="0"/>
    <m/>
    <x v="2"/>
    <s v=""/>
    <s v="K1046"/>
    <x v="545"/>
    <n v="13"/>
    <s v="KNF X 36"/>
    <n v="8"/>
    <s v="KNF"/>
    <s v="K1"/>
    <m/>
    <s v="04"/>
    <m/>
    <n v="6"/>
    <m/>
    <n v="0"/>
    <m/>
    <s v="03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6004020001"/>
    <n v="1"/>
    <m/>
    <x v="607"/>
    <m/>
    <s v="B&amp;B BARBIE SHM OLIVE LEAF 180ML BTL-1403"/>
    <x v="0"/>
    <m/>
    <x v="2"/>
    <s v=""/>
    <s v="K1046"/>
    <x v="546"/>
    <n v="13"/>
    <s v="KNF X 36"/>
    <n v="8"/>
    <s v="KNF"/>
    <s v="K1"/>
    <m/>
    <s v="04"/>
    <m/>
    <n v="6"/>
    <m/>
    <n v="0"/>
    <m/>
    <s v="04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6004020002"/>
    <n v="2"/>
    <m/>
    <x v="608"/>
    <m/>
    <s v="B&amp;B SHM OLIVE LEAF BARBIE 200ML BTL-1907"/>
    <x v="0"/>
    <m/>
    <x v="2"/>
    <s v=""/>
    <s v="K1046"/>
    <x v="546"/>
    <n v="13"/>
    <s v="KNF X 36"/>
    <n v="8"/>
    <s v="KNF"/>
    <s v="K1"/>
    <m/>
    <s v="04"/>
    <m/>
    <n v="6"/>
    <m/>
    <n v="0"/>
    <m/>
    <s v="04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6007020001"/>
    <n v="1"/>
    <m/>
    <x v="609"/>
    <m/>
    <s v="B&amp;B SHM JUSTICE LEAGUE 200ML BTL -1902"/>
    <x v="0"/>
    <m/>
    <x v="2"/>
    <s v=""/>
    <s v="K1046"/>
    <x v="547"/>
    <n v="13"/>
    <s v="KNF X 36"/>
    <n v="8"/>
    <s v="KNF"/>
    <s v="K1"/>
    <m/>
    <s v="04"/>
    <m/>
    <n v="6"/>
    <m/>
    <n v="0"/>
    <m/>
    <s v="07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6008020001"/>
    <n v="1"/>
    <m/>
    <x v="610"/>
    <m/>
    <s v="B&amp;B SHM SWEET FLO PINKIE 200ML BTL-1907"/>
    <x v="0"/>
    <m/>
    <x v="2"/>
    <s v=""/>
    <s v="K1046"/>
    <x v="548"/>
    <n v="13"/>
    <s v="KNF X 36"/>
    <n v="8"/>
    <s v="KNF"/>
    <s v="K1"/>
    <m/>
    <s v="04"/>
    <m/>
    <n v="6"/>
    <m/>
    <n v="0"/>
    <m/>
    <s v="08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6009020001"/>
    <n v="1"/>
    <m/>
    <x v="611"/>
    <m/>
    <s v="B&amp;B SHM FRUITYFUN RAINBOW 200ML BTL-1907"/>
    <x v="0"/>
    <m/>
    <x v="2"/>
    <s v=""/>
    <s v="K1046"/>
    <x v="549"/>
    <n v="13"/>
    <s v="KNF X 36"/>
    <n v="8"/>
    <s v="KNF"/>
    <s v="K1"/>
    <m/>
    <s v="04"/>
    <m/>
    <n v="6"/>
    <m/>
    <n v="0"/>
    <m/>
    <s v="09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048002005001"/>
    <n v="1"/>
    <m/>
    <x v="612"/>
    <m/>
    <s v="B&amp;B T.PASTE BARBIE 50G TUBE -1509"/>
    <x v="4"/>
    <m/>
    <x v="2"/>
    <s v=""/>
    <s v="K1048"/>
    <x v="550"/>
    <n v="13"/>
    <s v="KNF X 48"/>
    <n v="8"/>
    <s v="KNF"/>
    <s v="K1"/>
    <m/>
    <s v="04"/>
    <m/>
    <n v="8"/>
    <m/>
    <n v="0"/>
    <m/>
    <s v="02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3005001"/>
    <n v="1"/>
    <m/>
    <x v="613"/>
    <m/>
    <s v="M.KIDS T.PASTE BUMBLEBEE 50G TUBE -1812"/>
    <x v="4"/>
    <m/>
    <x v="2"/>
    <s v=""/>
    <s v="K1048"/>
    <x v="551"/>
    <n v="13"/>
    <s v="KNF X 48"/>
    <n v="8"/>
    <s v="KNF"/>
    <s v="K1"/>
    <m/>
    <s v="04"/>
    <m/>
    <n v="8"/>
    <m/>
    <n v="0"/>
    <m/>
    <s v="03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3005002"/>
    <n v="2"/>
    <m/>
    <x v="614"/>
    <m/>
    <s v="B&amp;B T.PASTE TR BUMBLEBEE 50G TUBE -1704"/>
    <x v="4"/>
    <m/>
    <x v="2"/>
    <s v=""/>
    <s v="K1048"/>
    <x v="551"/>
    <n v="13"/>
    <s v="KNF X 48"/>
    <n v="8"/>
    <s v="KNF"/>
    <s v="K1"/>
    <m/>
    <s v="04"/>
    <m/>
    <n v="8"/>
    <m/>
    <n v="0"/>
    <m/>
    <s v="03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4005001"/>
    <n v="1"/>
    <m/>
    <x v="615"/>
    <m/>
    <s v="M.KIDS T.PASTE OPT.PRIME 50G TUBE -1812"/>
    <x v="4"/>
    <m/>
    <x v="2"/>
    <s v=""/>
    <s v="K1048"/>
    <x v="552"/>
    <n v="13"/>
    <s v="KNF X 48"/>
    <n v="8"/>
    <s v="KNF"/>
    <s v="K1"/>
    <m/>
    <s v="04"/>
    <m/>
    <n v="8"/>
    <m/>
    <n v="0"/>
    <m/>
    <s v="04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4005002"/>
    <n v="2"/>
    <m/>
    <x v="616"/>
    <m/>
    <s v="B&amp;B T.PASTE TR OPT PRIME 50G TUBE -1704"/>
    <x v="4"/>
    <m/>
    <x v="2"/>
    <s v=""/>
    <s v="K1048"/>
    <x v="552"/>
    <n v="13"/>
    <s v="KNF X 48"/>
    <n v="8"/>
    <s v="KNF"/>
    <s v="K1"/>
    <m/>
    <s v="04"/>
    <m/>
    <n v="8"/>
    <m/>
    <n v="0"/>
    <m/>
    <s v="04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5005001"/>
    <n v="1"/>
    <m/>
    <x v="617"/>
    <m/>
    <s v="B&amp;B T.PASTE BLOSSOM 50G TUBE-1312"/>
    <x v="4"/>
    <m/>
    <x v="2"/>
    <s v=""/>
    <s v="K1048"/>
    <x v="553"/>
    <n v="13"/>
    <s v="KNF X 48"/>
    <n v="8"/>
    <s v="KNF"/>
    <s v="K1"/>
    <m/>
    <s v="04"/>
    <m/>
    <n v="8"/>
    <m/>
    <n v="0"/>
    <m/>
    <s v="05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5005002"/>
    <n v="2"/>
    <m/>
    <x v="618"/>
    <m/>
    <s v="B&amp;B T.PASTE POWERPUFF GIRLS 50G TUBE"/>
    <x v="4"/>
    <m/>
    <x v="2"/>
    <s v=""/>
    <s v="K1048"/>
    <x v="553"/>
    <n v="13"/>
    <s v="KNF X 48"/>
    <n v="8"/>
    <s v="KNF"/>
    <s v="K1"/>
    <m/>
    <s v="04"/>
    <m/>
    <n v="8"/>
    <m/>
    <n v="0"/>
    <m/>
    <s v="05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6005001"/>
    <n v="1"/>
    <m/>
    <x v="619"/>
    <m/>
    <s v="B&amp;B TP MLP PINKIE PIE 50G TUBE - 2108"/>
    <x v="4"/>
    <m/>
    <x v="2"/>
    <s v=""/>
    <s v="K1048"/>
    <x v="554"/>
    <n v="13"/>
    <s v="KNF X 48"/>
    <n v="8"/>
    <s v="KNF"/>
    <s v="K1"/>
    <m/>
    <s v="04"/>
    <m/>
    <n v="8"/>
    <m/>
    <n v="0"/>
    <m/>
    <s v="06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048007005001"/>
    <n v="1"/>
    <m/>
    <x v="620"/>
    <m/>
    <s v="B&amp;B TP MLP RAINBOW DASH 50G TUBE - 2110"/>
    <x v="4"/>
    <m/>
    <x v="2"/>
    <s v=""/>
    <s v="K1048"/>
    <x v="555"/>
    <n v="13"/>
    <s v="KNF X 48"/>
    <n v="8"/>
    <s v="KNF"/>
    <s v="K1"/>
    <m/>
    <s v="04"/>
    <m/>
    <n v="8"/>
    <m/>
    <n v="0"/>
    <m/>
    <s v="07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155001020001"/>
    <n v="1"/>
    <m/>
    <x v="621"/>
    <m/>
    <s v="ESK KIDS SHM SOFT ANNA 200ML BTL-1912"/>
    <x v="0"/>
    <m/>
    <x v="2"/>
    <s v=""/>
    <s v="K1155"/>
    <x v="556"/>
    <n v="13"/>
    <s v="KNF X 36"/>
    <n v="8"/>
    <s v="KNF"/>
    <s v="K1"/>
    <m/>
    <n v="15"/>
    <m/>
    <n v="5"/>
    <m/>
    <n v="0"/>
    <m/>
    <s v="01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02010001"/>
    <n v="1"/>
    <m/>
    <x v="622"/>
    <m/>
    <n v="0"/>
    <x v="13"/>
    <m/>
    <x v="2"/>
    <s v=""/>
    <s v="K1155"/>
    <x v="557"/>
    <n v="13"/>
    <s v="0 X 0"/>
    <n v="5"/>
    <n v="0"/>
    <s v="K1"/>
    <m/>
    <n v="15"/>
    <m/>
    <n v="5"/>
    <m/>
    <n v="0"/>
    <m/>
    <s v="02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02050001"/>
    <n v="1"/>
    <m/>
    <x v="623"/>
    <m/>
    <s v="ESK PRINCESS SHM ARIEL 500ML BTL"/>
    <x v="5"/>
    <m/>
    <x v="2"/>
    <s v=""/>
    <s v="K1155"/>
    <x v="558"/>
    <n v="13"/>
    <s v="KNF X 12"/>
    <n v="8"/>
    <s v="KNF"/>
    <s v="K1"/>
    <m/>
    <n v="15"/>
    <m/>
    <n v="5"/>
    <m/>
    <n v="0"/>
    <m/>
    <s v="02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155003010001"/>
    <n v="1"/>
    <m/>
    <x v="624"/>
    <m/>
    <s v="ESK FAIRIES SHM AVOCADO 100 ML BTL"/>
    <x v="0"/>
    <m/>
    <x v="2"/>
    <s v=""/>
    <s v="K1155"/>
    <x v="559"/>
    <n v="13"/>
    <s v="KNF X 36"/>
    <n v="8"/>
    <s v="KNF"/>
    <s v="K1"/>
    <m/>
    <n v="15"/>
    <m/>
    <n v="5"/>
    <m/>
    <n v="0"/>
    <m/>
    <s v="03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03020001"/>
    <n v="1"/>
    <m/>
    <x v="625"/>
    <m/>
    <s v="ESK FAIRIES SHM AVOCADO 200 ML BTL"/>
    <x v="0"/>
    <m/>
    <x v="2"/>
    <s v=""/>
    <s v="K1155"/>
    <x v="560"/>
    <n v="13"/>
    <s v="KNF X 36"/>
    <n v="8"/>
    <s v="KNF"/>
    <s v="K1"/>
    <m/>
    <n v="15"/>
    <m/>
    <n v="5"/>
    <m/>
    <n v="0"/>
    <m/>
    <s v="03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04050001"/>
    <n v="1"/>
    <m/>
    <x v="626"/>
    <m/>
    <s v="ESK PRINCESS SHM BELLE 500ML BTL"/>
    <x v="5"/>
    <m/>
    <x v="2"/>
    <s v=""/>
    <s v="K1155"/>
    <x v="561"/>
    <n v="13"/>
    <s v="KNF X 12"/>
    <n v="8"/>
    <s v="KNF"/>
    <s v="K1"/>
    <m/>
    <n v="15"/>
    <m/>
    <n v="5"/>
    <m/>
    <n v="0"/>
    <m/>
    <s v="04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155005010001"/>
    <n v="1"/>
    <m/>
    <x v="627"/>
    <m/>
    <s v="ESK KIDS SHM CINDERELLA 100ML BTL -2102"/>
    <x v="0"/>
    <m/>
    <x v="2"/>
    <s v=""/>
    <s v="K1155"/>
    <x v="562"/>
    <n v="13"/>
    <s v="KNF X 36"/>
    <n v="8"/>
    <s v="KNF"/>
    <s v="K1"/>
    <m/>
    <n v="15"/>
    <m/>
    <n v="5"/>
    <m/>
    <n v="0"/>
    <m/>
    <s v="05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05010002"/>
    <n v="2"/>
    <m/>
    <x v="628"/>
    <m/>
    <s v="ESK PRINCESS SHM CINDERELLA 100ML -1511"/>
    <x v="0"/>
    <m/>
    <x v="2"/>
    <s v=""/>
    <s v="K1155"/>
    <x v="562"/>
    <n v="13"/>
    <s v="KNF X 36"/>
    <n v="8"/>
    <s v="KNF"/>
    <s v="K1"/>
    <m/>
    <n v="15"/>
    <m/>
    <n v="5"/>
    <m/>
    <n v="0"/>
    <m/>
    <s v="05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05020001"/>
    <n v="1"/>
    <m/>
    <x v="629"/>
    <m/>
    <s v="ESK KIDS SHM CINDERELLA 200ML BTL -2102"/>
    <x v="0"/>
    <m/>
    <x v="2"/>
    <s v=""/>
    <s v="K1155"/>
    <x v="563"/>
    <n v="13"/>
    <s v="KNF X 36"/>
    <n v="8"/>
    <s v="KNF"/>
    <s v="K1"/>
    <m/>
    <n v="15"/>
    <m/>
    <n v="5"/>
    <m/>
    <n v="0"/>
    <m/>
    <s v="05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05050001"/>
    <n v="1"/>
    <m/>
    <x v="630"/>
    <m/>
    <s v="ESK PRINCESS SHM CINDERELLA 500ML BTL"/>
    <x v="5"/>
    <m/>
    <x v="2"/>
    <s v=""/>
    <s v="K1155"/>
    <x v="564"/>
    <n v="13"/>
    <s v="KNF X 12"/>
    <n v="8"/>
    <s v="KNF"/>
    <s v="K1"/>
    <m/>
    <n v="15"/>
    <m/>
    <n v="5"/>
    <m/>
    <n v="0"/>
    <m/>
    <s v="05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155006004501"/>
    <n v="1"/>
    <m/>
    <x v="631"/>
    <m/>
    <s v="ESK DISNEY SHM DONALD 45 ML RCG"/>
    <x v="6"/>
    <m/>
    <x v="2"/>
    <s v=""/>
    <s v="K1155"/>
    <x v="565"/>
    <n v="13"/>
    <s v="KNF X 72"/>
    <n v="8"/>
    <s v="KNF"/>
    <s v="K1"/>
    <m/>
    <n v="15"/>
    <m/>
    <n v="5"/>
    <m/>
    <n v="0"/>
    <m/>
    <s v="06"/>
    <m/>
    <s v="0045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45"/>
    <n v="0"/>
    <m/>
    <m/>
    <s v="KRT"/>
    <s v="GD01"/>
    <n v="11611"/>
    <n v="11612"/>
    <m/>
    <n v="1"/>
  </r>
  <r>
    <s v="K1155006010001"/>
    <n v="1"/>
    <m/>
    <x v="632"/>
    <m/>
    <s v="ESK KIDS SHM DONALD 100ML BTL -2012"/>
    <x v="0"/>
    <m/>
    <x v="2"/>
    <s v=""/>
    <s v="K1155"/>
    <x v="566"/>
    <n v="13"/>
    <s v="KNF X 36"/>
    <n v="8"/>
    <s v="KNF"/>
    <s v="K1"/>
    <m/>
    <n v="15"/>
    <m/>
    <n v="5"/>
    <m/>
    <n v="0"/>
    <m/>
    <s v="06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06020001"/>
    <n v="1"/>
    <m/>
    <x v="633"/>
    <m/>
    <s v="ESK KIDS SHM DONALD 200ML BTL -2012"/>
    <x v="0"/>
    <m/>
    <x v="2"/>
    <s v=""/>
    <s v="K1155"/>
    <x v="567"/>
    <n v="13"/>
    <s v="KNF X 36"/>
    <n v="8"/>
    <s v="KNF"/>
    <s v="K1"/>
    <m/>
    <n v="15"/>
    <m/>
    <n v="5"/>
    <m/>
    <n v="0"/>
    <m/>
    <s v="06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07020001"/>
    <n v="1"/>
    <m/>
    <x v="634"/>
    <m/>
    <s v="ESK KIDS SHM SMOOTH ELSA 200ML BT-1912"/>
    <x v="0"/>
    <m/>
    <x v="2"/>
    <s v=""/>
    <s v="K1155"/>
    <x v="568"/>
    <n v="13"/>
    <s v="KNF X 36"/>
    <n v="8"/>
    <s v="KNF"/>
    <s v="K1"/>
    <m/>
    <n v="15"/>
    <m/>
    <n v="5"/>
    <m/>
    <n v="0"/>
    <m/>
    <s v="07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08001001"/>
    <n v="1"/>
    <m/>
    <x v="635"/>
    <m/>
    <s v="ESK DISNEY SHM FROZEN 10ML SCH -1905"/>
    <x v="3"/>
    <m/>
    <x v="2"/>
    <s v=""/>
    <s v="K1155"/>
    <x v="569"/>
    <n v="13"/>
    <s v="KNF X 120"/>
    <n v="9"/>
    <s v="KNF"/>
    <s v="K1"/>
    <m/>
    <n v="15"/>
    <m/>
    <n v="5"/>
    <m/>
    <n v="0"/>
    <m/>
    <s v="08"/>
    <m/>
    <s v="001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08001002"/>
    <n v="2"/>
    <m/>
    <x v="636"/>
    <m/>
    <s v="ESK DISNEY SHM FROZEN 10ML SCH -2002"/>
    <x v="3"/>
    <m/>
    <x v="2"/>
    <s v=""/>
    <s v="K1155"/>
    <x v="569"/>
    <n v="13"/>
    <s v="KNF X 120"/>
    <n v="9"/>
    <s v="KNF"/>
    <s v="K1"/>
    <m/>
    <n v="15"/>
    <m/>
    <n v="5"/>
    <m/>
    <n v="0"/>
    <m/>
    <s v="08"/>
    <m/>
    <s v="001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09001001"/>
    <n v="1"/>
    <m/>
    <x v="637"/>
    <m/>
    <s v="ESK DISNEY SHM MICKEY 10ML SCH -1905"/>
    <x v="3"/>
    <m/>
    <x v="2"/>
    <s v=""/>
    <s v="K1155"/>
    <x v="570"/>
    <n v="13"/>
    <s v="KNF X 120"/>
    <n v="9"/>
    <s v="KNF"/>
    <s v="K1"/>
    <m/>
    <n v="15"/>
    <m/>
    <n v="5"/>
    <m/>
    <n v="0"/>
    <m/>
    <s v="09"/>
    <m/>
    <s v="001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09001002"/>
    <n v="2"/>
    <m/>
    <x v="638"/>
    <m/>
    <s v="ESK DISNEY SHM MICKEY 10ML SCH -2002"/>
    <x v="3"/>
    <m/>
    <x v="2"/>
    <s v=""/>
    <s v="K1155"/>
    <x v="570"/>
    <n v="13"/>
    <s v="KNF X 120"/>
    <n v="9"/>
    <s v="KNF"/>
    <s v="K1"/>
    <m/>
    <n v="15"/>
    <m/>
    <n v="5"/>
    <m/>
    <n v="0"/>
    <m/>
    <s v="09"/>
    <m/>
    <s v="001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09004501"/>
    <n v="1"/>
    <m/>
    <x v="639"/>
    <m/>
    <s v="ESK DISNEY SHM MICKEY 45 ML RCG"/>
    <x v="6"/>
    <m/>
    <x v="2"/>
    <s v=""/>
    <s v="K1155"/>
    <x v="571"/>
    <n v="13"/>
    <s v="KNF X 72"/>
    <n v="8"/>
    <s v="KNF"/>
    <s v="K1"/>
    <m/>
    <n v="15"/>
    <m/>
    <n v="5"/>
    <m/>
    <n v="0"/>
    <m/>
    <s v="09"/>
    <m/>
    <s v="0045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45"/>
    <n v="0"/>
    <m/>
    <m/>
    <s v="KRT"/>
    <s v="GD01"/>
    <n v="11611"/>
    <n v="11612"/>
    <m/>
    <n v="1"/>
  </r>
  <r>
    <s v="K1155009010001"/>
    <n v="1"/>
    <m/>
    <x v="640"/>
    <m/>
    <s v="ESK KIDS SHM MICKEY 100ML BTL-2012"/>
    <x v="0"/>
    <m/>
    <x v="2"/>
    <s v=""/>
    <s v="K1155"/>
    <x v="572"/>
    <n v="13"/>
    <s v="KNF X 36"/>
    <n v="8"/>
    <s v="KNF"/>
    <s v="K1"/>
    <m/>
    <n v="15"/>
    <m/>
    <n v="5"/>
    <m/>
    <n v="0"/>
    <m/>
    <s v="09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09020001"/>
    <n v="1"/>
    <m/>
    <x v="641"/>
    <m/>
    <s v="ESK KIDS SHM MICKEY 200ML BTL -2012"/>
    <x v="0"/>
    <m/>
    <x v="2"/>
    <s v=""/>
    <s v="K1155"/>
    <x v="573"/>
    <n v="13"/>
    <s v="KNF X 36"/>
    <n v="8"/>
    <s v="KNF"/>
    <s v="K1"/>
    <m/>
    <n v="15"/>
    <m/>
    <n v="5"/>
    <m/>
    <n v="0"/>
    <m/>
    <s v="09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09050001"/>
    <n v="1"/>
    <m/>
    <x v="642"/>
    <m/>
    <s v="ESK KIDS SHM MICKEY 500ML BTL -1402"/>
    <x v="5"/>
    <m/>
    <x v="2"/>
    <s v=""/>
    <s v="K1155"/>
    <x v="574"/>
    <n v="13"/>
    <s v="KNF X 12"/>
    <n v="8"/>
    <s v="KNF"/>
    <s v="K1"/>
    <m/>
    <n v="15"/>
    <m/>
    <n v="5"/>
    <m/>
    <n v="0"/>
    <m/>
    <s v="09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155010001001"/>
    <n v="1"/>
    <m/>
    <x v="643"/>
    <m/>
    <s v="ESK DISNEY SHM MINNIE 10ML SCH -2002"/>
    <x v="3"/>
    <m/>
    <x v="2"/>
    <s v=""/>
    <s v="K1155"/>
    <x v="575"/>
    <n v="13"/>
    <s v="KNF X 120"/>
    <n v="9"/>
    <s v="KNF"/>
    <s v="K1"/>
    <m/>
    <n v="15"/>
    <m/>
    <n v="5"/>
    <m/>
    <n v="0"/>
    <m/>
    <n v="10"/>
    <m/>
    <s v="001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10"/>
    <n v="0"/>
    <m/>
    <m/>
    <s v="KRT"/>
    <s v="GD01"/>
    <n v="11611"/>
    <n v="11612"/>
    <m/>
    <n v="1"/>
  </r>
  <r>
    <s v="K1155010004501"/>
    <n v="1"/>
    <m/>
    <x v="644"/>
    <m/>
    <s v="ESK DISNEY SHM MINNIE 45 ML RCG"/>
    <x v="6"/>
    <m/>
    <x v="2"/>
    <s v=""/>
    <s v="K1155"/>
    <x v="576"/>
    <n v="13"/>
    <s v="KNF X 72"/>
    <n v="8"/>
    <s v="KNF"/>
    <s v="K1"/>
    <m/>
    <n v="15"/>
    <m/>
    <n v="5"/>
    <m/>
    <n v="0"/>
    <m/>
    <n v="10"/>
    <m/>
    <s v="0045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45"/>
    <n v="0"/>
    <m/>
    <m/>
    <s v="KRT"/>
    <s v="GD01"/>
    <n v="11611"/>
    <n v="11612"/>
    <m/>
    <n v="1"/>
  </r>
  <r>
    <s v="K1155010010001"/>
    <n v="1"/>
    <m/>
    <x v="645"/>
    <m/>
    <s v="ESK KIDS SHM MINNIE 100ML BTL -2012"/>
    <x v="0"/>
    <m/>
    <x v="2"/>
    <s v=""/>
    <s v="K1155"/>
    <x v="577"/>
    <n v="13"/>
    <s v="KNF X 36"/>
    <n v="8"/>
    <s v="KNF"/>
    <s v="K1"/>
    <m/>
    <n v="15"/>
    <m/>
    <n v="5"/>
    <m/>
    <n v="0"/>
    <m/>
    <n v="10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10020001"/>
    <n v="1"/>
    <m/>
    <x v="646"/>
    <m/>
    <s v="ESK KIDS SHM MINNIE 200ML BTL -2012"/>
    <x v="0"/>
    <m/>
    <x v="2"/>
    <s v=""/>
    <s v="K1155"/>
    <x v="578"/>
    <n v="13"/>
    <s v="KNF X 36"/>
    <n v="8"/>
    <s v="KNF"/>
    <s v="K1"/>
    <m/>
    <n v="15"/>
    <m/>
    <n v="5"/>
    <m/>
    <n v="0"/>
    <m/>
    <n v="10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10050001"/>
    <n v="1"/>
    <m/>
    <x v="647"/>
    <m/>
    <s v="ESK KIDS SHM MINNIE 500ML BTL -1402"/>
    <x v="5"/>
    <m/>
    <x v="2"/>
    <s v=""/>
    <s v="K1155"/>
    <x v="579"/>
    <n v="13"/>
    <s v="KNF X 12"/>
    <n v="8"/>
    <s v="KNF"/>
    <s v="K1"/>
    <m/>
    <n v="15"/>
    <m/>
    <n v="5"/>
    <m/>
    <n v="0"/>
    <m/>
    <n v="10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155011020001"/>
    <n v="1"/>
    <m/>
    <x v="648"/>
    <m/>
    <s v="ESK SHM HEALTHY NATURAL 200ML BTL -1608"/>
    <x v="0"/>
    <m/>
    <x v="2"/>
    <s v=""/>
    <s v="K1155"/>
    <x v="580"/>
    <n v="13"/>
    <s v="KNF X 36"/>
    <n v="8"/>
    <s v="KNF"/>
    <s v="K1"/>
    <m/>
    <n v="15"/>
    <m/>
    <n v="5"/>
    <m/>
    <n v="0"/>
    <m/>
    <n v="11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11020002"/>
    <n v="2"/>
    <m/>
    <x v="649"/>
    <m/>
    <s v="ESK SHM HEALTHY NAT.SOFIA 200ML BTL"/>
    <x v="0"/>
    <m/>
    <x v="2"/>
    <s v=""/>
    <s v="K1155"/>
    <x v="580"/>
    <n v="13"/>
    <s v="KNF X 36"/>
    <n v="8"/>
    <s v="KNF"/>
    <s v="K1"/>
    <m/>
    <n v="15"/>
    <m/>
    <n v="5"/>
    <m/>
    <n v="0"/>
    <m/>
    <n v="11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12010001"/>
    <n v="1"/>
    <m/>
    <x v="650"/>
    <m/>
    <s v="ESK FAIRIES SHM ROYAL JELLY 100 ML BTL"/>
    <x v="0"/>
    <m/>
    <x v="2"/>
    <s v=""/>
    <s v="K1155"/>
    <x v="581"/>
    <n v="13"/>
    <s v="KNF X 36"/>
    <n v="8"/>
    <s v="KNF"/>
    <s v="K1"/>
    <m/>
    <n v="15"/>
    <m/>
    <n v="5"/>
    <m/>
    <n v="0"/>
    <m/>
    <n v="12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12020001"/>
    <n v="1"/>
    <m/>
    <x v="651"/>
    <m/>
    <s v="ESK FAIRIES SHM ROYAL JELLY 200 ML BTL"/>
    <x v="0"/>
    <m/>
    <x v="2"/>
    <s v=""/>
    <s v="K1155"/>
    <x v="582"/>
    <n v="13"/>
    <s v="KNF X 36"/>
    <n v="8"/>
    <s v="KNF"/>
    <s v="K1"/>
    <m/>
    <n v="15"/>
    <m/>
    <n v="5"/>
    <m/>
    <n v="0"/>
    <m/>
    <n v="12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13020001"/>
    <n v="1"/>
    <m/>
    <x v="652"/>
    <m/>
    <s v="ESK KIDS SHM RAPUNZEL 200 ML-2401"/>
    <x v="0"/>
    <m/>
    <x v="2"/>
    <s v=""/>
    <s v="K1155"/>
    <x v="583"/>
    <n v="13"/>
    <s v="KNF X 36"/>
    <n v="8"/>
    <s v="KNF"/>
    <s v="K1"/>
    <m/>
    <n v="15"/>
    <m/>
    <n v="5"/>
    <m/>
    <n v="0"/>
    <m/>
    <n v="13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13020002"/>
    <n v="2"/>
    <m/>
    <x v="653"/>
    <m/>
    <s v="ESK KIDS SHM RAPUNZEL 200ML BTL -2102"/>
    <x v="0"/>
    <m/>
    <x v="2"/>
    <s v=""/>
    <s v="K1155"/>
    <x v="583"/>
    <n v="13"/>
    <s v="KNF X 36"/>
    <n v="8"/>
    <s v="KNF"/>
    <s v="K1"/>
    <m/>
    <n v="15"/>
    <m/>
    <n v="5"/>
    <m/>
    <n v="0"/>
    <m/>
    <n v="13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14010001"/>
    <n v="1"/>
    <m/>
    <x v="654"/>
    <m/>
    <s v="ESK KIDS SHM S.WHITE 100ML BTL -2102"/>
    <x v="0"/>
    <m/>
    <x v="2"/>
    <s v=""/>
    <s v="K1155"/>
    <x v="584"/>
    <n v="13"/>
    <s v="KNF X 36"/>
    <n v="8"/>
    <s v="KNF"/>
    <s v="K1"/>
    <m/>
    <n v="15"/>
    <m/>
    <n v="5"/>
    <m/>
    <n v="0"/>
    <m/>
    <n v="14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14010002"/>
    <n v="2"/>
    <m/>
    <x v="655"/>
    <m/>
    <s v="ESK PRINCESS SHM S.WHITE 100ML BTL -1511"/>
    <x v="0"/>
    <m/>
    <x v="2"/>
    <s v=""/>
    <s v="K1155"/>
    <x v="584"/>
    <n v="13"/>
    <s v="KNF X 36"/>
    <n v="8"/>
    <s v="KNF"/>
    <s v="K1"/>
    <m/>
    <n v="15"/>
    <m/>
    <n v="5"/>
    <m/>
    <n v="0"/>
    <m/>
    <n v="14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55014020001"/>
    <n v="1"/>
    <m/>
    <x v="656"/>
    <m/>
    <s v="ESK PRINCESS SHM S.WHITE 200ML BTL -1511"/>
    <x v="0"/>
    <m/>
    <x v="2"/>
    <s v=""/>
    <s v="K1155"/>
    <x v="585"/>
    <n v="13"/>
    <s v="KNF X 36"/>
    <n v="8"/>
    <s v="KNF"/>
    <s v="K1"/>
    <m/>
    <n v="15"/>
    <m/>
    <n v="5"/>
    <m/>
    <n v="0"/>
    <m/>
    <n v="14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5014020002"/>
    <n v="2"/>
    <m/>
    <x v="657"/>
    <m/>
    <n v="0"/>
    <x v="13"/>
    <m/>
    <x v="2"/>
    <s v=""/>
    <s v="K1155"/>
    <x v="585"/>
    <n v="13"/>
    <s v="KNF X 0"/>
    <n v="7"/>
    <s v="KNF"/>
    <s v="K1"/>
    <m/>
    <n v="15"/>
    <m/>
    <n v="5"/>
    <m/>
    <n v="0"/>
    <m/>
    <n v="14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61001000101"/>
    <n v="1"/>
    <m/>
    <x v="658"/>
    <m/>
    <s v="ESK KIDS HBW CLEAN&amp;SMOOTH 10ML SCH-2003"/>
    <x v="16"/>
    <m/>
    <x v="2"/>
    <s v=""/>
    <s v="K1161"/>
    <x v="586"/>
    <n v="13"/>
    <s v="KNF X 160"/>
    <n v="9"/>
    <s v="KNF"/>
    <s v="K1"/>
    <m/>
    <n v="16"/>
    <m/>
    <n v="1"/>
    <m/>
    <n v="0"/>
    <m/>
    <s v="01"/>
    <m/>
    <s v="0001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61002020001"/>
    <n v="1"/>
    <m/>
    <x v="659"/>
    <m/>
    <s v="ESK KIDS HBW MICKEY N FRIEND 200ML PCH"/>
    <x v="2"/>
    <m/>
    <x v="2"/>
    <s v=""/>
    <s v="K1161"/>
    <x v="587"/>
    <n v="13"/>
    <s v="KNF X 24"/>
    <n v="8"/>
    <s v="KNF"/>
    <s v="K1"/>
    <m/>
    <n v="16"/>
    <m/>
    <n v="1"/>
    <m/>
    <n v="0"/>
    <m/>
    <s v="02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61002025001"/>
    <n v="1"/>
    <m/>
    <x v="660"/>
    <m/>
    <s v="ESK KIDS HBW MICKEY N FRIEND 250ML BTL"/>
    <x v="2"/>
    <m/>
    <x v="2"/>
    <s v=""/>
    <s v="K1161"/>
    <x v="588"/>
    <n v="13"/>
    <s v="KNF X 24"/>
    <n v="8"/>
    <s v="KNF"/>
    <s v="K1"/>
    <m/>
    <n v="16"/>
    <m/>
    <n v="1"/>
    <m/>
    <n v="0"/>
    <m/>
    <s v="02"/>
    <m/>
    <s v="02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62001010001"/>
    <n v="1"/>
    <m/>
    <x v="661"/>
    <m/>
    <s v="ESK HAIR LOT GENTLE CARE 100ML BTL -1607"/>
    <x v="2"/>
    <m/>
    <x v="2"/>
    <s v=""/>
    <s v="K1162"/>
    <x v="589"/>
    <n v="13"/>
    <s v="KNF X 24"/>
    <n v="8"/>
    <s v="KNF"/>
    <s v="K1"/>
    <m/>
    <n v="16"/>
    <m/>
    <n v="2"/>
    <m/>
    <n v="0"/>
    <m/>
    <s v="01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1621020100101"/>
    <n v="1"/>
    <m/>
    <x v="662"/>
    <m/>
    <s v="ESK KIDS HAIR LOT SPR PRIN 100ML BTL"/>
    <x v="2"/>
    <m/>
    <x v="2"/>
    <s v=""/>
    <s v="K1162"/>
    <x v="590"/>
    <n v="14"/>
    <s v="KNF X 24"/>
    <n v="8"/>
    <s v="KNF"/>
    <s v="K1"/>
    <m/>
    <s v="16"/>
    <m/>
    <n v="2"/>
    <m/>
    <s v="1"/>
    <m/>
    <s v="02"/>
    <m/>
    <s v="0100"/>
    <m/>
    <n v="1"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270005005001"/>
    <n v="1"/>
    <m/>
    <x v="663"/>
    <m/>
    <s v="OVALE REAL CLAY PERF. PURIFYING 50G TUBE"/>
    <x v="2"/>
    <m/>
    <x v="2"/>
    <s v=""/>
    <s v="K1270"/>
    <x v="591"/>
    <n v="13"/>
    <s v="KNF X 24"/>
    <n v="8"/>
    <s v="KNF"/>
    <s v="K1"/>
    <m/>
    <n v="27"/>
    <m/>
    <n v="0"/>
    <m/>
    <n v="0"/>
    <m/>
    <s v="05"/>
    <m/>
    <s v="00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50"/>
    <n v="0"/>
    <m/>
    <m/>
    <s v="KRT"/>
    <s v="GD01"/>
    <n v="11611"/>
    <n v="11612"/>
    <m/>
    <n v="1"/>
  </r>
  <r>
    <s v="K1300001007501"/>
    <n v="1"/>
    <m/>
    <x v="664"/>
    <m/>
    <s v="OVALE FAC MASK BENGKOANG 75G TUBE -1408"/>
    <x v="2"/>
    <m/>
    <x v="2"/>
    <s v=""/>
    <s v="K1300"/>
    <x v="592"/>
    <n v="13"/>
    <s v="KNF X 24"/>
    <n v="8"/>
    <s v="KNF"/>
    <s v="K1"/>
    <m/>
    <n v="30"/>
    <m/>
    <n v="0"/>
    <m/>
    <n v="0"/>
    <m/>
    <s v="01"/>
    <m/>
    <s v="0075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300001007502"/>
    <n v="2"/>
    <m/>
    <x v="665"/>
    <m/>
    <s v="OVALE FAC MASK BENGKOANG 75G TUBE"/>
    <x v="2"/>
    <m/>
    <x v="2"/>
    <s v=""/>
    <s v="K1300"/>
    <x v="592"/>
    <n v="13"/>
    <s v="KNF X 24"/>
    <n v="8"/>
    <s v="KNF"/>
    <s v="K1"/>
    <m/>
    <n v="30"/>
    <m/>
    <n v="0"/>
    <m/>
    <n v="0"/>
    <m/>
    <s v="01"/>
    <m/>
    <s v="0075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300003007501"/>
    <n v="1"/>
    <m/>
    <x v="666"/>
    <m/>
    <s v="OVALE FAC MASK LEMON 75 GR TUBE-1408"/>
    <x v="2"/>
    <m/>
    <x v="2"/>
    <s v=""/>
    <s v="K1300"/>
    <x v="593"/>
    <n v="13"/>
    <s v="KNF X 24"/>
    <n v="8"/>
    <s v="KNF"/>
    <s v="K1"/>
    <m/>
    <n v="30"/>
    <m/>
    <n v="0"/>
    <m/>
    <n v="0"/>
    <m/>
    <s v="03"/>
    <m/>
    <s v="0075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510001010001"/>
    <n v="1"/>
    <m/>
    <x v="667"/>
    <m/>
    <s v="SLEEK TRAVEL WASH LIME 100 ML TUBE"/>
    <x v="0"/>
    <m/>
    <x v="2"/>
    <s v=""/>
    <s v="K1510"/>
    <x v="594"/>
    <n v="13"/>
    <s v="KNF X 36"/>
    <n v="8"/>
    <s v="KNF"/>
    <s v="K1"/>
    <m/>
    <n v="51"/>
    <m/>
    <n v="0"/>
    <m/>
    <n v="0"/>
    <m/>
    <s v="01"/>
    <m/>
    <s v="01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100"/>
    <n v="0"/>
    <m/>
    <m/>
    <s v="KRT"/>
    <s v="GD01"/>
    <n v="11611"/>
    <n v="11612"/>
    <m/>
    <n v="1"/>
  </r>
  <r>
    <s v="K1070001020001"/>
    <n v="1"/>
    <m/>
    <x v="668"/>
    <m/>
    <s v="ELLIPS DRY SHM BLOSSOM 200ML BTL -ISI 12"/>
    <x v="5"/>
    <m/>
    <x v="2"/>
    <s v=""/>
    <s v="K1070"/>
    <x v="595"/>
    <n v="13"/>
    <s v="KNF X 12"/>
    <n v="8"/>
    <s v="KNF"/>
    <s v="K1"/>
    <m/>
    <s v="07"/>
    <m/>
    <n v="0"/>
    <m/>
    <n v="0"/>
    <m/>
    <s v="01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156008025001"/>
    <n v="1"/>
    <m/>
    <x v="669"/>
    <m/>
    <s v="ESK KIDS SHW GEL FRUITY FRESH 250ML BTL"/>
    <x v="0"/>
    <m/>
    <x v="2"/>
    <s v=""/>
    <s v="K1156"/>
    <x v="596"/>
    <n v="13"/>
    <s v="KNF X 36"/>
    <n v="8"/>
    <s v="KNF"/>
    <s v="K1"/>
    <m/>
    <n v="15"/>
    <m/>
    <n v="6"/>
    <m/>
    <n v="0"/>
    <m/>
    <s v="08"/>
    <m/>
    <s v="02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09025002"/>
    <n v="2"/>
    <m/>
    <x v="670"/>
    <m/>
    <s v="ESK KIDS SHW GEL ELSA 250ML BTL -2020"/>
    <x v="0"/>
    <m/>
    <x v="2"/>
    <s v=""/>
    <s v="K1156"/>
    <x v="597"/>
    <n v="13"/>
    <s v="KNF X 36"/>
    <n v="8"/>
    <s v="KNF"/>
    <s v="K1"/>
    <m/>
    <n v="15"/>
    <m/>
    <n v="6"/>
    <m/>
    <n v="0"/>
    <m/>
    <s v="09"/>
    <m/>
    <s v="02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156010025001"/>
    <n v="1"/>
    <m/>
    <x v="671"/>
    <m/>
    <s v="ESK SHW GEL MILD PROTECTION 250ML -1608"/>
    <x v="0"/>
    <m/>
    <x v="2"/>
    <s v=""/>
    <s v="K1156"/>
    <x v="598"/>
    <n v="13"/>
    <s v="KNF X 36"/>
    <n v="8"/>
    <s v="KNF"/>
    <s v="K1"/>
    <m/>
    <n v="15"/>
    <m/>
    <n v="6"/>
    <m/>
    <n v="0"/>
    <m/>
    <n v="10"/>
    <m/>
    <s v="025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50"/>
    <n v="0"/>
    <m/>
    <m/>
    <s v="KRT"/>
    <s v="GD01"/>
    <n v="11611"/>
    <n v="11612"/>
    <m/>
    <n v="1"/>
  </r>
  <r>
    <s v="K1070002020001"/>
    <n v="1"/>
    <m/>
    <x v="672"/>
    <m/>
    <s v="ELLIPS DRY SHM BREEZE 200ML BTL -ISI 12"/>
    <x v="5"/>
    <m/>
    <x v="2"/>
    <s v=""/>
    <s v="K1070"/>
    <x v="599"/>
    <n v="13"/>
    <s v="KNF X 12"/>
    <n v="8"/>
    <s v="KNF"/>
    <s v="K1"/>
    <m/>
    <s v="07"/>
    <m/>
    <n v="0"/>
    <m/>
    <n v="0"/>
    <m/>
    <s v="02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460003000101"/>
    <n v="1"/>
    <m/>
    <x v="673"/>
    <m/>
    <s v="SASHA VR VOO DAMAGE CARE 100 BAG -1503"/>
    <x v="5"/>
    <m/>
    <x v="2"/>
    <s v=""/>
    <s v="K1460"/>
    <x v="600"/>
    <n v="13"/>
    <s v="KNF X 12"/>
    <n v="8"/>
    <s v="KNF"/>
    <s v="K1"/>
    <m/>
    <n v="46"/>
    <m/>
    <n v="0"/>
    <m/>
    <n v="0"/>
    <m/>
    <s v="03"/>
    <m/>
    <s v="0001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270003007501"/>
    <n v="1"/>
    <m/>
    <x v="674"/>
    <m/>
    <n v="0"/>
    <x v="13"/>
    <m/>
    <x v="2"/>
    <s v=""/>
    <s v="K1270"/>
    <x v="601"/>
    <n v="13"/>
    <s v="KNF X 0"/>
    <n v="7"/>
    <s v="KNF"/>
    <s v="K1"/>
    <m/>
    <n v="27"/>
    <m/>
    <n v="0"/>
    <m/>
    <n v="0"/>
    <m/>
    <s v="03"/>
    <m/>
    <s v="0075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75"/>
    <n v="0"/>
    <m/>
    <m/>
    <s v="KRT"/>
    <s v="GD01"/>
    <n v="11611"/>
    <n v="11612"/>
    <m/>
    <n v="1"/>
  </r>
  <r>
    <s v="K1460002000101"/>
    <n v="1"/>
    <m/>
    <x v="675"/>
    <m/>
    <n v="0"/>
    <x v="13"/>
    <m/>
    <x v="2"/>
    <s v=""/>
    <s v="K1460"/>
    <x v="602"/>
    <n v="13"/>
    <s v="KNF X 0"/>
    <n v="7"/>
    <s v="KNF"/>
    <s v="K1"/>
    <m/>
    <n v="46"/>
    <m/>
    <n v="0"/>
    <m/>
    <n v="0"/>
    <m/>
    <s v="02"/>
    <m/>
    <s v="0001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001"/>
    <n v="0"/>
    <m/>
    <m/>
    <s v="KRT"/>
    <s v="GD01"/>
    <n v="11611"/>
    <n v="11612"/>
    <m/>
    <n v="1"/>
  </r>
  <r>
    <s v="K1155002020001"/>
    <n v="1"/>
    <m/>
    <x v="676"/>
    <m/>
    <s v="ESK KIDS SHM ARIEL 200ML BTL -2102"/>
    <x v="0"/>
    <m/>
    <x v="2"/>
    <s v=""/>
    <s v="K1155"/>
    <x v="603"/>
    <n v="13"/>
    <s v="KNF X 36"/>
    <n v="8"/>
    <s v="KNF"/>
    <s v="K1"/>
    <m/>
    <n v="15"/>
    <m/>
    <n v="5"/>
    <m/>
    <n v="0"/>
    <m/>
    <s v="02"/>
    <m/>
    <s v="02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200"/>
    <n v="0"/>
    <m/>
    <m/>
    <s v="KRT"/>
    <s v="GD01"/>
    <n v="11611"/>
    <n v="11612"/>
    <m/>
    <n v="1"/>
  </r>
  <r>
    <s v="K1438001050001"/>
    <n v="1"/>
    <m/>
    <x v="677"/>
    <m/>
    <s v="SAMANTHA POP SHW GEL BIKIN BAPER 500ML"/>
    <x v="5"/>
    <m/>
    <x v="2"/>
    <s v=""/>
    <s v="K1438"/>
    <x v="604"/>
    <n v="13"/>
    <s v="KNF X 12"/>
    <n v="8"/>
    <s v="KNF"/>
    <s v="K1"/>
    <m/>
    <n v="43"/>
    <m/>
    <n v="8"/>
    <m/>
    <n v="0"/>
    <m/>
    <s v="01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38002050001"/>
    <n v="1"/>
    <m/>
    <x v="678"/>
    <m/>
    <s v="SAMANTHA POP SHW GEL JANJI MANIS 500ML"/>
    <x v="5"/>
    <m/>
    <x v="2"/>
    <s v=""/>
    <s v="K1438"/>
    <x v="605"/>
    <n v="13"/>
    <s v="KNF X 12"/>
    <n v="8"/>
    <s v="KNF"/>
    <s v="K1"/>
    <m/>
    <n v="43"/>
    <m/>
    <n v="8"/>
    <m/>
    <n v="0"/>
    <m/>
    <s v="02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  <r>
    <s v="K1438003050001"/>
    <n v="1"/>
    <m/>
    <x v="679"/>
    <m/>
    <s v="SAMANTHA POP SHW GEL SENYUM DOI 500ML"/>
    <x v="5"/>
    <m/>
    <x v="2"/>
    <s v=""/>
    <s v="K1438"/>
    <x v="606"/>
    <n v="13"/>
    <s v="KNF X 12"/>
    <n v="8"/>
    <s v="KNF"/>
    <s v="K1"/>
    <m/>
    <n v="43"/>
    <m/>
    <n v="8"/>
    <m/>
    <n v="0"/>
    <m/>
    <s v="03"/>
    <m/>
    <s v="0500"/>
    <m/>
    <m/>
    <m/>
    <n v="0"/>
    <m/>
    <m/>
    <m/>
    <m/>
    <m/>
    <n v="0"/>
    <n v="0"/>
    <n v="0"/>
    <n v="0"/>
    <m/>
    <n v="0"/>
    <n v="0"/>
    <n v="0"/>
    <n v="0"/>
    <n v="0"/>
    <n v="0"/>
    <n v="0"/>
    <m/>
    <m/>
    <s v="Lama"/>
    <s v="Sama"/>
    <s v="IDR"/>
    <s v="0500"/>
    <n v="0"/>
    <m/>
    <m/>
    <s v="KRT"/>
    <s v="GD01"/>
    <n v="11611"/>
    <n v="11612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EA401-3150-42D9-97AD-0DB0467AB2A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3:GX208" firstHeaderRow="1" firstDataRow="2" firstDataCol="2"/>
  <pivotFields count="54">
    <pivotField compact="0" outline="0" subtotalTop="0" showAll="0" defaultSubtotal="0"/>
    <pivotField axis="axisCol" compact="0" outline="0" showAll="0" defaultSubtota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</items>
    </pivotField>
    <pivotField axis="axisRow" compact="0" outline="0" showAll="0" defaultSubtotal="0">
      <items count="220">
        <item x="72"/>
        <item m="1" x="205"/>
        <item m="1" x="204"/>
        <item x="105"/>
        <item x="104"/>
        <item x="138"/>
        <item x="145"/>
        <item x="140"/>
        <item x="143"/>
        <item x="106"/>
        <item m="1" x="217"/>
        <item m="1" x="218"/>
        <item m="1" x="219"/>
        <item m="1" x="216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1"/>
        <item x="142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02"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94"/>
        <item m="1" x="193"/>
        <item m="1" x="195"/>
        <item m="1" x="196"/>
        <item m="1" x="197"/>
        <item m="1" x="198"/>
        <item m="1" x="199"/>
        <item m="1" x="200"/>
        <item m="1" x="201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"/>
    <field x="9"/>
  </rowFields>
  <rowItems count="204">
    <i>
      <x/>
      <x v="113"/>
    </i>
    <i>
      <x v="3"/>
      <x v="134"/>
    </i>
    <i>
      <x v="4"/>
      <x v="133"/>
    </i>
    <i>
      <x v="5"/>
      <x v="158"/>
    </i>
    <i>
      <x v="6"/>
      <x v="164"/>
    </i>
    <i>
      <x v="7"/>
      <x v="160"/>
    </i>
    <i>
      <x v="8"/>
      <x v="162"/>
    </i>
    <i>
      <x v="9"/>
      <x v="135"/>
    </i>
    <i>
      <x v="24"/>
      <x v="57"/>
    </i>
    <i>
      <x v="25"/>
      <x v="58"/>
    </i>
    <i>
      <x v="26"/>
      <x v="59"/>
    </i>
    <i>
      <x v="27"/>
      <x v="60"/>
    </i>
    <i>
      <x v="28"/>
      <x v="61"/>
    </i>
    <i>
      <x v="29"/>
      <x v="62"/>
    </i>
    <i>
      <x v="30"/>
      <x v="62"/>
    </i>
    <i>
      <x v="31"/>
      <x v="63"/>
    </i>
    <i>
      <x v="32"/>
      <x v="63"/>
    </i>
    <i>
      <x v="33"/>
      <x v="64"/>
    </i>
    <i>
      <x v="34"/>
      <x v="64"/>
    </i>
    <i>
      <x v="35"/>
      <x v="65"/>
    </i>
    <i>
      <x v="36"/>
      <x v="66"/>
    </i>
    <i>
      <x v="37"/>
      <x v="66"/>
    </i>
    <i>
      <x v="38"/>
      <x v="67"/>
    </i>
    <i>
      <x v="39"/>
      <x v="68"/>
    </i>
    <i>
      <x v="40"/>
      <x v="69"/>
    </i>
    <i>
      <x v="41"/>
      <x v="69"/>
    </i>
    <i>
      <x v="42"/>
      <x v="70"/>
    </i>
    <i>
      <x v="43"/>
      <x v="71"/>
    </i>
    <i>
      <x v="44"/>
      <x v="72"/>
    </i>
    <i>
      <x v="45"/>
      <x v="73"/>
    </i>
    <i>
      <x v="46"/>
      <x v="74"/>
    </i>
    <i>
      <x v="47"/>
      <x v="75"/>
    </i>
    <i>
      <x v="48"/>
      <x v="76"/>
    </i>
    <i>
      <x v="49"/>
      <x v="76"/>
    </i>
    <i>
      <x v="50"/>
      <x v="77"/>
    </i>
    <i>
      <x v="51"/>
      <x v="78"/>
    </i>
    <i>
      <x v="52"/>
      <x v="79"/>
    </i>
    <i>
      <x v="53"/>
      <x v="80"/>
    </i>
    <i>
      <x v="54"/>
      <x v="81"/>
    </i>
    <i>
      <x v="55"/>
      <x v="82"/>
    </i>
    <i>
      <x v="56"/>
      <x v="83"/>
    </i>
    <i>
      <x v="57"/>
      <x v="84"/>
    </i>
    <i>
      <x v="58"/>
      <x v="84"/>
    </i>
    <i>
      <x v="59"/>
      <x v="85"/>
    </i>
    <i>
      <x v="60"/>
      <x v="86"/>
    </i>
    <i>
      <x v="61"/>
      <x v="87"/>
    </i>
    <i>
      <x v="62"/>
      <x v="88"/>
    </i>
    <i>
      <x v="63"/>
      <x v="88"/>
    </i>
    <i>
      <x v="64"/>
      <x v="89"/>
    </i>
    <i>
      <x v="65"/>
      <x v="90"/>
    </i>
    <i>
      <x v="66"/>
      <x v="91"/>
    </i>
    <i>
      <x v="67"/>
      <x v="91"/>
    </i>
    <i>
      <x v="68"/>
      <x v="92"/>
    </i>
    <i>
      <x v="69"/>
      <x v="92"/>
    </i>
    <i>
      <x v="70"/>
      <x v="93"/>
    </i>
    <i>
      <x v="71"/>
      <x v="93"/>
    </i>
    <i>
      <x v="72"/>
      <x v="94"/>
    </i>
    <i>
      <x v="73"/>
      <x v="95"/>
    </i>
    <i>
      <x v="74"/>
      <x v="96"/>
    </i>
    <i>
      <x v="75"/>
      <x v="97"/>
    </i>
    <i>
      <x v="76"/>
      <x v="97"/>
    </i>
    <i>
      <x v="77"/>
      <x v="98"/>
    </i>
    <i>
      <x v="78"/>
      <x v="99"/>
    </i>
    <i>
      <x v="79"/>
      <x v="100"/>
    </i>
    <i>
      <x v="80"/>
      <x v="101"/>
    </i>
    <i>
      <x v="81"/>
      <x v="102"/>
    </i>
    <i>
      <x v="82"/>
      <x v="103"/>
    </i>
    <i>
      <x v="83"/>
      <x v="104"/>
    </i>
    <i>
      <x v="84"/>
      <x v="105"/>
    </i>
    <i>
      <x v="85"/>
      <x v="106"/>
    </i>
    <i>
      <x v="86"/>
      <x v="106"/>
    </i>
    <i>
      <x v="87"/>
      <x v="107"/>
    </i>
    <i>
      <x v="88"/>
      <x v="108"/>
    </i>
    <i>
      <x v="89"/>
      <x v="108"/>
    </i>
    <i>
      <x v="90"/>
      <x v="109"/>
    </i>
    <i>
      <x v="91"/>
      <x v="110"/>
    </i>
    <i>
      <x v="92"/>
      <x v="111"/>
    </i>
    <i>
      <x v="93"/>
      <x v="112"/>
    </i>
    <i>
      <x v="94"/>
      <x v="112"/>
    </i>
    <i>
      <x v="95"/>
      <x v="113"/>
    </i>
    <i>
      <x v="96"/>
      <x v="114"/>
    </i>
    <i>
      <x v="97"/>
      <x v="115"/>
    </i>
    <i>
      <x v="98"/>
      <x v="115"/>
    </i>
    <i>
      <x v="99"/>
      <x v="116"/>
    </i>
    <i>
      <x v="100"/>
      <x v="117"/>
    </i>
    <i>
      <x v="101"/>
      <x v="118"/>
    </i>
    <i>
      <x v="102"/>
      <x v="118"/>
    </i>
    <i>
      <x v="103"/>
      <x v="119"/>
    </i>
    <i>
      <x v="104"/>
      <x v="119"/>
    </i>
    <i>
      <x v="105"/>
      <x v="120"/>
    </i>
    <i>
      <x v="106"/>
      <x v="120"/>
    </i>
    <i>
      <x v="107"/>
      <x v="121"/>
    </i>
    <i>
      <x v="108"/>
      <x v="122"/>
    </i>
    <i>
      <x v="109"/>
      <x v="122"/>
    </i>
    <i>
      <x v="110"/>
      <x v="123"/>
    </i>
    <i>
      <x v="111"/>
      <x v="123"/>
    </i>
    <i>
      <x v="112"/>
      <x v="124"/>
    </i>
    <i>
      <x v="113"/>
      <x v="124"/>
    </i>
    <i>
      <x v="114"/>
      <x v="125"/>
    </i>
    <i>
      <x v="115"/>
      <x v="125"/>
    </i>
    <i>
      <x v="116"/>
      <x v="126"/>
    </i>
    <i>
      <x v="117"/>
      <x v="126"/>
    </i>
    <i>
      <x v="118"/>
      <x v="127"/>
    </i>
    <i>
      <x v="119"/>
      <x v="127"/>
    </i>
    <i>
      <x v="120"/>
      <x v="128"/>
    </i>
    <i>
      <x v="121"/>
      <x v="128"/>
    </i>
    <i>
      <x v="122"/>
      <x v="129"/>
    </i>
    <i>
      <x v="123"/>
      <x v="129"/>
    </i>
    <i>
      <x v="124"/>
      <x v="130"/>
    </i>
    <i>
      <x v="125"/>
      <x v="131"/>
    </i>
    <i>
      <x v="126"/>
      <x v="132"/>
    </i>
    <i>
      <x v="127"/>
      <x v="136"/>
    </i>
    <i>
      <x v="128"/>
      <x v="137"/>
    </i>
    <i>
      <x v="129"/>
      <x v="138"/>
    </i>
    <i>
      <x v="130"/>
      <x v="139"/>
    </i>
    <i>
      <x v="131"/>
      <x v="140"/>
    </i>
    <i>
      <x v="132"/>
      <x v="141"/>
    </i>
    <i>
      <x v="133"/>
      <x v="141"/>
    </i>
    <i>
      <x v="134"/>
      <x v="142"/>
    </i>
    <i>
      <x v="135"/>
      <x v="143"/>
    </i>
    <i>
      <x v="136"/>
      <x v="143"/>
    </i>
    <i>
      <x v="137"/>
      <x v="144"/>
    </i>
    <i>
      <x v="138"/>
      <x v="144"/>
    </i>
    <i>
      <x v="139"/>
      <x v="145"/>
    </i>
    <i>
      <x v="140"/>
      <x v="145"/>
    </i>
    <i>
      <x v="141"/>
      <x v="146"/>
    </i>
    <i>
      <x v="142"/>
      <x v="147"/>
    </i>
    <i>
      <x v="143"/>
      <x v="148"/>
    </i>
    <i>
      <x v="144"/>
      <x v="149"/>
    </i>
    <i>
      <x v="145"/>
      <x v="150"/>
    </i>
    <i>
      <x v="146"/>
      <x v="150"/>
    </i>
    <i>
      <x v="147"/>
      <x v="151"/>
    </i>
    <i>
      <x v="148"/>
      <x v="151"/>
    </i>
    <i>
      <x v="149"/>
      <x v="152"/>
    </i>
    <i>
      <x v="150"/>
      <x v="152"/>
    </i>
    <i>
      <x v="151"/>
      <x v="153"/>
    </i>
    <i>
      <x v="152"/>
      <x v="154"/>
    </i>
    <i>
      <x v="153"/>
      <x v="155"/>
    </i>
    <i>
      <x v="154"/>
      <x v="156"/>
    </i>
    <i>
      <x v="155"/>
      <x v="157"/>
    </i>
    <i>
      <x v="156"/>
      <x v="157"/>
    </i>
    <i>
      <x v="157"/>
      <x v="158"/>
    </i>
    <i>
      <x v="158"/>
      <x v="159"/>
    </i>
    <i>
      <x v="159"/>
      <x v="161"/>
    </i>
    <i>
      <x v="160"/>
      <x v="162"/>
    </i>
    <i>
      <x v="161"/>
      <x v="163"/>
    </i>
    <i>
      <x v="162"/>
      <x v="165"/>
    </i>
    <i>
      <x v="163"/>
      <x v="166"/>
    </i>
    <i>
      <x v="164"/>
      <x v="166"/>
    </i>
    <i>
      <x v="165"/>
      <x v="167"/>
    </i>
    <i>
      <x v="166"/>
      <x v="167"/>
    </i>
    <i>
      <x v="167"/>
      <x v="168"/>
    </i>
    <i>
      <x v="168"/>
      <x v="169"/>
    </i>
    <i>
      <x v="169"/>
      <x v="169"/>
    </i>
    <i>
      <x v="170"/>
      <x v="170"/>
    </i>
    <i>
      <x v="171"/>
      <x v="170"/>
    </i>
    <i>
      <x v="172"/>
      <x v="170"/>
    </i>
    <i>
      <x v="173"/>
      <x v="170"/>
    </i>
    <i>
      <x v="174"/>
      <x v="171"/>
    </i>
    <i>
      <x v="175"/>
      <x v="171"/>
    </i>
    <i>
      <x v="176"/>
      <x v="172"/>
    </i>
    <i>
      <x v="177"/>
      <x v="173"/>
    </i>
    <i>
      <x v="178"/>
      <x v="174"/>
    </i>
    <i>
      <x v="179"/>
      <x v="174"/>
    </i>
    <i>
      <x v="180"/>
      <x v="174"/>
    </i>
    <i>
      <x v="181"/>
      <x v="175"/>
    </i>
    <i>
      <x v="182"/>
      <x v="176"/>
    </i>
    <i>
      <x v="183"/>
      <x v="177"/>
    </i>
    <i>
      <x v="184"/>
      <x v="178"/>
    </i>
    <i>
      <x v="185"/>
      <x v="179"/>
    </i>
    <i>
      <x v="186"/>
      <x v="179"/>
    </i>
    <i>
      <x v="187"/>
      <x v="180"/>
    </i>
    <i>
      <x v="188"/>
      <x v="180"/>
    </i>
    <i>
      <x v="189"/>
      <x v="181"/>
    </i>
    <i>
      <x v="190"/>
      <x v="181"/>
    </i>
    <i>
      <x v="191"/>
      <x v="182"/>
    </i>
    <i>
      <x v="192"/>
      <x v="182"/>
    </i>
    <i>
      <x v="193"/>
      <x v="183"/>
    </i>
    <i>
      <x v="194"/>
      <x v="183"/>
    </i>
    <i>
      <x v="195"/>
      <x v="183"/>
    </i>
    <i>
      <x v="196"/>
      <x v="184"/>
    </i>
    <i>
      <x v="197"/>
      <x v="184"/>
    </i>
    <i>
      <x v="198"/>
      <x v="185"/>
    </i>
    <i>
      <x v="199"/>
      <x v="186"/>
    </i>
    <i>
      <x v="200"/>
      <x v="187"/>
    </i>
    <i>
      <x v="201"/>
      <x v="187"/>
    </i>
    <i>
      <x v="202"/>
      <x v="187"/>
    </i>
    <i>
      <x v="203"/>
      <x v="188"/>
    </i>
    <i>
      <x v="204"/>
      <x v="188"/>
    </i>
    <i>
      <x v="205"/>
      <x v="188"/>
    </i>
    <i>
      <x v="206"/>
      <x v="189"/>
    </i>
    <i>
      <x v="207"/>
      <x v="190"/>
    </i>
    <i>
      <x v="208"/>
      <x v="191"/>
    </i>
    <i>
      <x v="209"/>
      <x v="192"/>
    </i>
    <i>
      <x v="210"/>
      <x v="193"/>
    </i>
    <i>
      <x v="211"/>
      <x v="194"/>
    </i>
    <i>
      <x v="212"/>
      <x v="195"/>
    </i>
    <i>
      <x v="213"/>
      <x v="196"/>
    </i>
    <i>
      <x v="214"/>
      <x v="197"/>
    </i>
    <i>
      <x v="215"/>
      <x v="197"/>
    </i>
    <i>
      <x v="216"/>
      <x v="198"/>
    </i>
    <i>
      <x v="217"/>
      <x v="199"/>
    </i>
    <i>
      <x v="218"/>
      <x v="200"/>
    </i>
    <i>
      <x v="219"/>
      <x v="201"/>
    </i>
  </rowItems>
  <colFields count="1">
    <field x="1"/>
  </colFields>
  <colItems count="2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</colItems>
  <formats count="8">
    <format dxfId="148">
      <pivotArea type="origin" dataOnly="0" labelOnly="1" outline="0" fieldPosition="0"/>
    </format>
    <format dxfId="147">
      <pivotArea field="2" type="button" dataOnly="0" labelOnly="1" outline="0" axis="axisRow" fieldPosition="0"/>
    </format>
    <format dxfId="146">
      <pivotArea dataOnly="0" labelOnly="1" outline="0" fieldPosition="0">
        <references count="1">
          <reference field="2" count="0"/>
        </references>
      </pivotArea>
    </format>
    <format dxfId="145">
      <pivotArea type="origin" dataOnly="0" labelOnly="1" outline="0" fieldPosition="0"/>
    </format>
    <format dxfId="144">
      <pivotArea field="2" type="button" dataOnly="0" labelOnly="1" outline="0" axis="axisRow" fieldPosition="0"/>
    </format>
    <format dxfId="143">
      <pivotArea dataOnly="0" labelOnly="1" outline="0" fieldPosition="0">
        <references count="1">
          <reference field="2" count="0"/>
        </references>
      </pivotArea>
    </format>
    <format dxfId="142">
      <pivotArea dataOnly="0" labelOnly="1" outline="0" fieldPosition="0">
        <references count="1">
          <reference field="1" count="0"/>
        </references>
      </pivotArea>
    </format>
    <format dxfId="141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4695-B7DF-462E-A6D7-CC66F0EF0DE4}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E683" firstHeaderRow="1" firstDataRow="1" firstDataCol="4"/>
  <pivotFields count="63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97">
        <item m="1" x="1198"/>
        <item m="1" x="1236"/>
        <item m="1" x="1257"/>
        <item m="1" x="1275"/>
        <item m="1" x="1285"/>
        <item m="1" x="1297"/>
        <item m="1" x="1313"/>
        <item m="1" x="1324"/>
        <item m="1" x="1346"/>
        <item m="1" x="1377"/>
        <item m="1" x="1392"/>
        <item m="1" x="1410"/>
        <item m="1" x="1435"/>
        <item m="1" x="1445"/>
        <item m="1" x="1458"/>
        <item m="1" x="1503"/>
        <item m="1" x="1508"/>
        <item m="1" x="1514"/>
        <item m="1" x="1518"/>
        <item m="1" x="1532"/>
        <item m="1" x="1538"/>
        <item m="1" x="1545"/>
        <item m="1" x="1549"/>
        <item m="1" x="1557"/>
        <item m="1" x="1591"/>
        <item m="1" x="1596"/>
        <item m="1" x="685"/>
        <item m="1" x="694"/>
        <item m="1" x="700"/>
        <item m="1" x="797"/>
        <item m="1" x="801"/>
        <item m="1" x="808"/>
        <item m="1" x="824"/>
        <item m="1" x="788"/>
        <item m="1" x="795"/>
        <item m="1" x="820"/>
        <item m="1" x="857"/>
        <item m="1" x="862"/>
        <item m="1" x="1446"/>
        <item m="1" x="1459"/>
        <item m="1" x="1475"/>
        <item m="1" x="1487"/>
        <item m="1" x="791"/>
        <item m="1" x="909"/>
        <item m="1" x="917"/>
        <item m="1" x="920"/>
        <item m="1" x="928"/>
        <item m="1" x="934"/>
        <item m="1" x="942"/>
        <item m="1" x="948"/>
        <item m="1" x="956"/>
        <item m="1" x="912"/>
        <item m="1" x="1034"/>
        <item m="1" x="1068"/>
        <item m="1" x="1086"/>
        <item m="1" x="1154"/>
        <item m="1" x="1159"/>
        <item m="1" x="1170"/>
        <item m="1" x="1173"/>
        <item m="1" x="1189"/>
        <item m="1" x="1197"/>
        <item m="1" x="1202"/>
        <item m="1" x="1205"/>
        <item m="1" x="1211"/>
        <item m="1" x="1212"/>
        <item m="1" x="1216"/>
        <item m="1" x="1226"/>
        <item m="1" x="1234"/>
        <item m="1" x="1244"/>
        <item m="1" x="1249"/>
        <item m="1" x="1250"/>
        <item m="1" x="1255"/>
        <item m="1" x="1262"/>
        <item m="1" x="1264"/>
        <item m="1" x="1269"/>
        <item m="1" x="1273"/>
        <item m="1" x="1284"/>
        <item m="1" x="1295"/>
        <item m="1" x="1299"/>
        <item m="1" x="1305"/>
        <item m="1" x="1310"/>
        <item m="1" x="1312"/>
        <item m="1" x="1316"/>
        <item m="1" x="1323"/>
        <item m="1" x="1329"/>
        <item m="1" x="1334"/>
        <item m="1" x="1345"/>
        <item m="1" x="1367"/>
        <item m="1" x="1373"/>
        <item m="1" x="1388"/>
        <item m="1" x="1400"/>
        <item m="1" x="1405"/>
        <item m="1" x="1406"/>
        <item m="1" x="1431"/>
        <item m="1" x="1434"/>
        <item m="1" x="1441"/>
        <item m="1" x="1451"/>
        <item m="1" x="1474"/>
        <item m="1" x="1491"/>
        <item m="1" x="1497"/>
        <item m="1" x="1502"/>
        <item m="1" x="1505"/>
        <item m="1" x="1507"/>
        <item m="1" x="1511"/>
        <item m="1" x="1524"/>
        <item m="1" x="1525"/>
        <item m="1" x="1526"/>
        <item m="1" x="777"/>
        <item m="1" x="781"/>
        <item m="1" x="790"/>
        <item m="1" x="792"/>
        <item m="1" x="855"/>
        <item m="1" x="859"/>
        <item m="1" x="965"/>
        <item m="1" x="969"/>
        <item m="1" x="1371"/>
        <item m="1" x="1380"/>
        <item m="1" x="1420"/>
        <item m="1" x="1438"/>
        <item m="1" x="1443"/>
        <item m="1" x="1455"/>
        <item m="1" x="1343"/>
        <item m="1" x="1351"/>
        <item m="1" x="1356"/>
        <item m="1" x="1359"/>
        <item m="1" x="1370"/>
        <item m="1" x="1378"/>
        <item m="1" x="1383"/>
        <item m="1" x="1391"/>
        <item m="1" x="1407"/>
        <item m="1" x="1418"/>
        <item m="1" x="1423"/>
        <item m="1" x="1454"/>
        <item m="1" x="1002"/>
        <item m="1" x="1006"/>
        <item m="1" x="1007"/>
        <item m="1" x="1009"/>
        <item m="1" x="1010"/>
        <item m="1" x="1012"/>
        <item m="1" x="1016"/>
        <item m="1" x="1018"/>
        <item m="1" x="1024"/>
        <item m="1" x="1025"/>
        <item m="1" x="1026"/>
        <item m="1" x="1027"/>
        <item m="1" x="756"/>
        <item m="1" x="761"/>
        <item m="1" x="766"/>
        <item m="1" x="773"/>
        <item m="1" x="867"/>
        <item m="1" x="872"/>
        <item m="1" x="873"/>
        <item m="1" x="879"/>
        <item m="1" x="883"/>
        <item m="1" x="1050"/>
        <item m="1" x="1054"/>
        <item m="1" x="1056"/>
        <item m="1" x="1059"/>
        <item m="1" x="1060"/>
        <item m="1" x="1062"/>
        <item m="1" x="1065"/>
        <item m="1" x="1067"/>
        <item m="1" x="1073"/>
        <item m="1" x="1090"/>
        <item m="1" x="1093"/>
        <item m="1" x="1095"/>
        <item m="1" x="1098"/>
        <item m="1" x="1104"/>
        <item m="1" x="1107"/>
        <item m="1" x="1111"/>
        <item m="1" x="1114"/>
        <item m="1" x="1115"/>
        <item m="1" x="1118"/>
        <item m="1" x="1121"/>
        <item m="1" x="1122"/>
        <item m="1" x="1125"/>
        <item m="1" x="1130"/>
        <item m="1" x="1132"/>
        <item m="1" x="1553"/>
        <item m="1" x="1558"/>
        <item m="1" x="1563"/>
        <item m="1" x="1228"/>
        <item m="1" x="1229"/>
        <item m="1" x="1231"/>
        <item m="1" x="1233"/>
        <item m="1" x="1237"/>
        <item m="1" x="1239"/>
        <item m="1" x="1277"/>
        <item m="1" x="1282"/>
        <item m="1" x="1288"/>
        <item m="1" x="1289"/>
        <item m="1" x="1292"/>
        <item m="1" x="1294"/>
        <item m="1" x="1326"/>
        <item m="1" x="1331"/>
        <item m="1" x="1335"/>
        <item m="1" x="1339"/>
        <item m="1" x="1344"/>
        <item m="1" x="1143"/>
        <item m="1" x="1146"/>
        <item m="1" x="1148"/>
        <item m="1" x="1150"/>
        <item m="1" x="1153"/>
        <item m="1" x="1155"/>
        <item m="1" x="891"/>
        <item m="1" x="896"/>
        <item m="1" x="1494"/>
        <item m="1" x="1134"/>
        <item m="1" x="1077"/>
        <item m="1" x="905"/>
        <item m="1" x="852"/>
        <item m="1" x="1389"/>
        <item m="1" x="911"/>
        <item m="1" x="764"/>
        <item m="1" x="895"/>
        <item m="1" x="936"/>
        <item m="1" x="906"/>
        <item m="1" x="831"/>
        <item m="1" x="919"/>
        <item m="1" x="846"/>
        <item m="1" x="884"/>
        <item m="1" x="767"/>
        <item m="1" x="811"/>
        <item m="1" x="938"/>
        <item m="1" x="1547"/>
        <item m="1" x="1058"/>
        <item m="1" x="1544"/>
        <item m="1" x="903"/>
        <item m="1" x="1347"/>
        <item m="1" x="974"/>
        <item m="1" x="1580"/>
        <item m="1" x="1203"/>
        <item m="1" x="1472"/>
        <item m="1" x="1078"/>
        <item m="1" x="751"/>
        <item m="1" x="1325"/>
        <item m="1" x="967"/>
        <item m="1" x="1572"/>
        <item m="1" x="1097"/>
        <item m="1" x="1181"/>
        <item m="1" x="1072"/>
        <item m="1" x="749"/>
        <item m="1" x="1321"/>
        <item m="1" x="1416"/>
        <item m="1" x="815"/>
        <item m="1" x="1582"/>
        <item m="1" x="1129"/>
        <item m="1" x="1414"/>
        <item m="1" x="1304"/>
        <item m="1" x="1318"/>
        <item m="1" x="1302"/>
        <item m="1" x="1338"/>
        <item m="1" x="1499"/>
        <item m="1" x="978"/>
        <item m="1" x="1112"/>
        <item m="1" x="750"/>
        <item m="1" x="1565"/>
        <item m="1" x="1053"/>
        <item m="1" x="800"/>
        <item m="1" x="1362"/>
        <item m="1" x="1081"/>
        <item m="1" x="1191"/>
        <item m="1" x="1084"/>
        <item m="1" x="1074"/>
        <item m="1" x="1539"/>
        <item m="1" x="828"/>
        <item m="1" x="958"/>
        <item m="1" x="1336"/>
        <item m="1" x="1460"/>
        <item m="1" x="1207"/>
        <item m="1" x="1478"/>
        <item m="1" x="1089"/>
        <item m="1" x="1169"/>
        <item m="1" x="823"/>
        <item m="1" x="1422"/>
        <item m="1" x="1180"/>
        <item m="1" x="835"/>
        <item m="1" x="1440"/>
        <item m="1" x="1564"/>
        <item m="1" x="1037"/>
        <item m="1" x="723"/>
        <item m="1" x="1276"/>
        <item m="1" x="779"/>
        <item m="1" x="1457"/>
        <item m="1" x="1437"/>
        <item m="1" x="739"/>
        <item m="1" x="1046"/>
        <item m="1" x="1309"/>
        <item m="1" x="1561"/>
        <item m="1" x="940"/>
        <item m="1" x="1464"/>
        <item m="1" x="1113"/>
        <item m="1" x="741"/>
        <item m="1" x="1061"/>
        <item m="1" x="848"/>
        <item m="1" x="1574"/>
        <item m="1" x="866"/>
        <item m="1" x="930"/>
        <item m="1" x="1480"/>
        <item m="1" x="1152"/>
        <item m="1" x="1127"/>
        <item m="1" x="1088"/>
        <item m="1" x="847"/>
        <item m="1" x="1396"/>
        <item m="1" x="975"/>
        <item m="1" x="1079"/>
        <item m="1" x="1283"/>
        <item m="1" x="1014"/>
        <item m="1" x="752"/>
        <item m="1" x="1348"/>
        <item m="1" x="1581"/>
        <item m="1" x="794"/>
        <item m="1" x="916"/>
        <item m="1" x="996"/>
        <item m="1" x="1135"/>
        <item m="1" x="1425"/>
        <item m="1" x="1177"/>
        <item m="1" x="1556"/>
        <item m="1" x="1488"/>
        <item m="1" x="1328"/>
        <item m="1" x="874"/>
        <item m="1" x="1473"/>
        <item m="1" x="1382"/>
        <item m="1" x="918"/>
        <item m="1" x="1408"/>
        <item m="1" x="1238"/>
        <item m="1" x="999"/>
        <item m="1" x="690"/>
        <item m="1" x="1230"/>
        <item m="1" x="1341"/>
        <item m="1" x="1468"/>
        <item m="1" x="850"/>
        <item m="1" x="826"/>
        <item m="1" x="937"/>
        <item m="1" x="1128"/>
        <item m="1" x="1463"/>
        <item m="1" x="744"/>
        <item m="1" x="1512"/>
        <item m="1" x="1542"/>
        <item m="1" x="753"/>
        <item m="1" x="1330"/>
        <item m="1" x="970"/>
        <item m="1" x="1311"/>
        <item m="1" x="957"/>
        <item m="1" x="1562"/>
        <item m="1" x="1447"/>
        <item m="1" x="746"/>
        <item m="1" x="735"/>
        <item m="1" x="1430"/>
        <item m="1" x="1577"/>
        <item m="1" x="1337"/>
        <item m="1" x="943"/>
        <item m="1" x="759"/>
        <item m="1" x="854"/>
        <item m="1" x="1106"/>
        <item m="1" x="915"/>
        <item m="1" x="1579"/>
        <item m="1" x="1070"/>
        <item m="1" x="1390"/>
        <item m="1" x="1492"/>
        <item m="1" x="1117"/>
        <item m="1" x="1522"/>
        <item m="1" x="1340"/>
        <item m="1" x="1467"/>
        <item m="1" x="1005"/>
        <item m="1" x="1101"/>
        <item m="1" x="782"/>
        <item m="1" x="840"/>
        <item m="1" x="747"/>
        <item m="1" x="1063"/>
        <item m="1" x="1199"/>
        <item m="1" x="1319"/>
        <item m="1" x="742"/>
        <item m="1" x="876"/>
        <item m="1" x="812"/>
        <item m="1" x="899"/>
        <item m="1" x="770"/>
        <item m="1" x="1482"/>
        <item m="1" x="869"/>
        <item m="1" x="885"/>
        <item m="1" x="1224"/>
        <item m="1" x="858"/>
        <item m="1" x="1450"/>
        <item m="1" x="856"/>
        <item m="1" x="980"/>
        <item m="1" x="1483"/>
        <item m="1" x="983"/>
        <item m="1" x="1571"/>
        <item m="1" x="1442"/>
        <item m="1" x="1417"/>
        <item m="1" x="1317"/>
        <item m="1" x="1485"/>
        <item m="1" x="1453"/>
        <item m="1" x="1298"/>
        <item m="1" x="1051"/>
        <item m="1" x="1145"/>
        <item m="1" x="1082"/>
        <item m="1" x="902"/>
        <item m="1" x="1448"/>
        <item m="1" x="1162"/>
        <item m="1" x="699"/>
        <item m="1" x="1222"/>
        <item m="1" x="1404"/>
        <item m="1" x="988"/>
        <item m="1" x="1110"/>
        <item m="1" x="1193"/>
        <item m="1" x="1172"/>
        <item m="1" x="1287"/>
        <item m="1" x="1071"/>
        <item m="1" x="1462"/>
        <item m="1" x="1490"/>
        <item m="1" x="1157"/>
        <item m="1" x="1484"/>
        <item m="1" x="775"/>
        <item m="1" x="1208"/>
        <item m="1" x="682"/>
        <item m="1" x="1201"/>
        <item m="1" x="1075"/>
        <item m="1" x="842"/>
        <item m="1" x="972"/>
        <item m="1" x="1108"/>
        <item m="1" x="973"/>
        <item m="1" x="1504"/>
        <item m="1" x="959"/>
        <item m="1" x="737"/>
        <item m="1" x="1466"/>
        <item m="1" x="1586"/>
        <item m="1" x="760"/>
        <item m="1" x="1357"/>
        <item m="1" x="964"/>
        <item m="1" x="836"/>
        <item m="1" x="819"/>
        <item m="1" x="960"/>
        <item m="1" x="1092"/>
        <item m="1" x="845"/>
        <item m="1" x="733"/>
        <item m="1" x="1161"/>
        <item m="1" x="976"/>
        <item m="1" x="1513"/>
        <item m="1" x="796"/>
        <item m="1" x="1320"/>
        <item m="1" x="1541"/>
        <item m="1" x="864"/>
        <item m="1" x="1476"/>
        <item m="1" x="1247"/>
        <item m="1" x="880"/>
        <item m="1" x="993"/>
        <item m="1" x="681"/>
        <item m="1" x="971"/>
        <item m="1" x="1196"/>
        <item m="1" x="1576"/>
        <item m="1" x="841"/>
        <item m="1" x="900"/>
        <item m="1" x="813"/>
        <item m="1" x="1158"/>
        <item m="1" x="1185"/>
        <item m="1" x="985"/>
        <item m="1" x="722"/>
        <item m="1" x="1080"/>
        <item m="1" x="1510"/>
        <item m="1" x="1349"/>
        <item m="1" x="910"/>
        <item m="1" x="748"/>
        <item m="1" x="932"/>
        <item m="1" x="1019"/>
        <item m="1" x="1253"/>
        <item m="1" x="1355"/>
        <item m="1" x="968"/>
        <item m="1" x="720"/>
        <item m="1" x="1000"/>
        <item m="1" x="691"/>
        <item m="1" x="1536"/>
        <item m="1" x="921"/>
        <item m="1" x="1529"/>
        <item m="1" x="926"/>
        <item m="1" x="816"/>
        <item m="1" x="1031"/>
        <item m="1" x="951"/>
        <item m="1" x="1353"/>
        <item m="1" x="982"/>
        <item m="1" x="680"/>
        <item m="1" x="724"/>
        <item m="1" x="1223"/>
        <item m="1" x="1049"/>
        <item m="1" x="1481"/>
        <item m="1" x="1552"/>
        <item m="1" x="870"/>
        <item m="1" x="1033"/>
        <item m="1" x="715"/>
        <item m="1" x="898"/>
        <item m="1" x="1509"/>
        <item m="1" x="1240"/>
        <item m="1" x="1142"/>
        <item m="1" x="1271"/>
        <item m="1" x="1137"/>
        <item m="1" x="809"/>
        <item m="1" x="693"/>
        <item m="1" x="1259"/>
        <item m="1" x="1030"/>
        <item m="1" x="1520"/>
        <item m="1" x="1149"/>
        <item m="1" x="1003"/>
        <item m="1" x="707"/>
        <item m="1" x="716"/>
        <item m="1" x="1184"/>
        <item m="1" x="1517"/>
        <item m="1" x="1136"/>
        <item m="1" x="1200"/>
        <item m="1" x="774"/>
        <item m="1" x="844"/>
        <item m="1" x="935"/>
        <item m="1" x="1436"/>
        <item m="1" x="1290"/>
        <item m="1" x="1045"/>
        <item m="1" x="1495"/>
        <item m="1" x="1439"/>
        <item m="1" x="1047"/>
        <item m="1" x="1232"/>
        <item m="1" x="1403"/>
        <item m="1" x="1241"/>
        <item m="1" x="1364"/>
        <item m="1" x="717"/>
        <item m="1" x="806"/>
        <item m="1" x="1069"/>
        <item m="1" x="1554"/>
        <item m="1" x="961"/>
        <item m="1" x="838"/>
        <item m="1" x="949"/>
        <item m="1" x="1568"/>
        <item m="1" x="962"/>
        <item m="1" x="705"/>
        <item m="1" x="894"/>
        <item m="1" x="1493"/>
        <item m="1" x="1415"/>
        <item m="1" x="925"/>
        <item m="1" x="772"/>
        <item m="1" x="1272"/>
        <item m="1" x="1217"/>
        <item m="1" x="1023"/>
        <item m="1" x="946"/>
        <item m="1" x="1573"/>
        <item m="1" x="1274"/>
        <item m="1" x="789"/>
        <item m="1" x="804"/>
        <item m="1" x="719"/>
        <item m="1" x="1091"/>
        <item m="1" x="1219"/>
        <item m="1" x="889"/>
        <item m="1" x="1470"/>
        <item m="1" x="1578"/>
        <item m="1" x="1352"/>
        <item m="1" x="778"/>
        <item m="1" x="1322"/>
        <item m="1" x="1182"/>
        <item m="1" x="1301"/>
        <item m="1" x="1413"/>
        <item m="1" x="1386"/>
        <item m="1" x="1534"/>
        <item m="1" x="901"/>
        <item m="1" x="1401"/>
        <item m="1" x="798"/>
        <item m="1" x="865"/>
        <item m="1" x="1569"/>
        <item m="1" x="1567"/>
        <item m="1" x="1206"/>
        <item m="1" x="832"/>
        <item m="1" x="1141"/>
        <item m="1" x="1584"/>
        <item m="1" x="963"/>
        <item m="1" x="1040"/>
        <item m="1" x="1528"/>
        <item m="1" x="1187"/>
        <item m="1" x="740"/>
        <item m="1" x="843"/>
        <item m="1" x="868"/>
        <item m="1" x="1589"/>
        <item m="1" x="1188"/>
        <item m="1" x="1048"/>
        <item m="1" x="762"/>
        <item m="1" x="1055"/>
        <item m="1" x="945"/>
        <item m="1" x="1293"/>
        <item m="1" x="1376"/>
        <item m="1" x="834"/>
        <item m="1" x="709"/>
        <item m="1" x="1261"/>
        <item m="1" x="1021"/>
        <item m="1" x="1402"/>
        <item m="1" x="1286"/>
        <item m="1" x="1449"/>
        <item m="1" x="1279"/>
        <item m="1" x="1527"/>
        <item m="1" x="1501"/>
        <item m="1" x="1100"/>
        <item m="1" x="734"/>
        <item m="1" x="1327"/>
        <item m="1" x="1035"/>
        <item m="1" x="1381"/>
        <item m="1" x="688"/>
        <item m="1" x="997"/>
        <item m="1" x="1523"/>
        <item m="1" x="1333"/>
        <item m="1" x="1369"/>
        <item m="1" x="1140"/>
        <item m="1" x="941"/>
        <item m="1" x="1548"/>
        <item m="1" x="1167"/>
        <item m="1" x="1103"/>
        <item m="1" x="1452"/>
        <item m="1" x="1131"/>
        <item m="1" x="1251"/>
        <item m="1" x="907"/>
        <item m="1" x="1210"/>
        <item m="1" x="1221"/>
        <item m="1" x="863"/>
        <item m="1" x="755"/>
        <item m="1" x="695"/>
        <item m="1" x="771"/>
        <item m="1" x="1360"/>
        <item m="1" x="888"/>
        <item m="1" x="1588"/>
        <item m="1" x="1421"/>
        <item m="1" x="897"/>
        <item m="1" x="1036"/>
        <item m="1" x="1123"/>
        <item m="1" x="721"/>
        <item m="1" x="1365"/>
        <item m="1" x="718"/>
        <item m="1" x="1168"/>
        <item m="1" x="822"/>
        <item m="1" x="1433"/>
        <item m="1" x="1164"/>
        <item m="1" x="1099"/>
        <item m="1" x="1585"/>
        <item m="1" x="768"/>
        <item m="1" x="875"/>
        <item m="1" x="754"/>
        <item m="1" x="1332"/>
        <item m="1" x="731"/>
        <item m="1" x="1235"/>
        <item m="1" x="1102"/>
        <item m="1" x="1042"/>
        <item m="1" x="1213"/>
        <item m="1" x="853"/>
        <item m="1" x="1195"/>
        <item m="1" x="1064"/>
        <item m="1" x="743"/>
        <item m="1" x="1314"/>
        <item m="1" x="1174"/>
        <item m="1" x="728"/>
        <item m="1" x="684"/>
        <item m="1" x="1258"/>
        <item m="1" x="1315"/>
        <item m="1" x="745"/>
        <item m="1" x="881"/>
        <item m="1" x="1496"/>
        <item m="1" x="933"/>
        <item m="1" x="1543"/>
        <item m="1" x="1469"/>
        <item m="1" x="1560"/>
        <item m="1" x="1179"/>
        <item m="1" x="780"/>
        <item m="1" x="1204"/>
        <item m="1" x="861"/>
        <item m="1" x="821"/>
        <item m="1" x="1419"/>
        <item m="1" x="703"/>
        <item m="1" x="1254"/>
        <item m="1" x="929"/>
        <item m="1" x="1537"/>
        <item m="1" x="1409"/>
        <item m="1" x="1393"/>
        <item m="1" x="1281"/>
        <item m="1" x="1227"/>
        <item m="1" x="1083"/>
        <item m="1" x="1426"/>
        <item m="1" x="1041"/>
        <item m="1" x="1147"/>
        <item m="1" x="1280"/>
        <item m="1" x="1043"/>
        <item m="1" x="1265"/>
        <item m="1" x="1427"/>
        <item m="1" x="994"/>
        <item m="1" x="953"/>
        <item m="1" x="710"/>
        <item m="1" x="827"/>
        <item m="1" x="1372"/>
        <item m="1" x="784"/>
        <item m="1" x="893"/>
        <item m="1" x="1506"/>
        <item m="1" x="1363"/>
        <item m="1" x="727"/>
        <item m="1" x="987"/>
        <item m="1" x="1011"/>
        <item m="1" x="1592"/>
        <item m="1" x="702"/>
        <item m="1" x="1214"/>
        <item m="1" x="1252"/>
        <item m="1" x="1489"/>
        <item m="1" x="1266"/>
        <item m="1" x="769"/>
        <item m="1" x="711"/>
        <item m="1" x="992"/>
        <item m="1" x="1013"/>
        <item m="1" x="1394"/>
        <item m="1" x="696"/>
        <item m="1" x="1022"/>
        <item m="1" x="830"/>
        <item m="1" x="706"/>
        <item m="1" x="708"/>
        <item m="1" x="1429"/>
        <item m="1" x="1477"/>
        <item m="1" x="1260"/>
        <item m="1" x="1186"/>
        <item m="1" x="1521"/>
        <item m="1" x="839"/>
        <item m="1" x="1138"/>
        <item m="1" x="729"/>
        <item m="1" x="1387"/>
        <item m="1" x="1044"/>
        <item m="1" x="1004"/>
        <item m="1" x="1176"/>
        <item m="1" x="914"/>
        <item m="1" x="1570"/>
        <item m="1" x="927"/>
        <item m="1" x="1190"/>
        <item m="1" x="1456"/>
        <item m="1" x="1057"/>
        <item m="1" x="1308"/>
        <item m="1" x="1225"/>
        <item m="1" x="1590"/>
        <item m="1" x="802"/>
        <item m="1" x="1008"/>
        <item m="1" x="765"/>
        <item m="1" x="1397"/>
        <item m="1" x="1015"/>
        <item m="1" x="1384"/>
        <item m="1" x="817"/>
        <item m="1" x="1163"/>
        <item m="1" x="1278"/>
        <item m="1" x="931"/>
        <item m="1" x="1540"/>
        <item m="1" x="1156"/>
        <item m="1" x="725"/>
        <item m="1" x="1038"/>
        <item m="1" x="701"/>
        <item m="1" x="1593"/>
        <item m="1" x="1215"/>
        <item m="1" x="877"/>
        <item m="1" x="805"/>
        <item m="1" x="1395"/>
        <item m="1" x="1583"/>
        <item m="1" x="977"/>
        <item m="1" x="1087"/>
        <item m="1" x="1268"/>
        <item m="1" x="923"/>
        <item m="1" x="1531"/>
        <item m="1" x="1144"/>
        <item m="1" x="807"/>
        <item m="1" x="1399"/>
        <item m="1" x="689"/>
        <item m="1" x="713"/>
        <item m="1" x="860"/>
        <item m="1" x="1076"/>
        <item m="1" x="1291"/>
        <item m="1" x="939"/>
        <item m="1" x="730"/>
        <item m="1" x="966"/>
        <item m="1" x="1263"/>
        <item m="1" x="697"/>
        <item m="1" x="1471"/>
        <item m="1" x="738"/>
        <item m="1" x="1307"/>
        <item m="1" x="954"/>
        <item m="1" x="890"/>
        <item m="1" x="732"/>
        <item m="1" x="1296"/>
        <item m="1" x="944"/>
        <item m="1" x="1550"/>
        <item m="1" x="1171"/>
        <item m="1" x="825"/>
        <item m="1" x="1424"/>
        <item m="1" x="1039"/>
        <item m="1" x="726"/>
        <item m="1" x="1246"/>
        <item m="1" x="979"/>
        <item m="1" x="1248"/>
        <item m="1" x="1350"/>
        <item m="1" x="986"/>
        <item m="1" x="1375"/>
        <item m="1" x="991"/>
        <item m="1" x="714"/>
        <item m="1" x="1533"/>
        <item m="1" x="1379"/>
        <item m="1" x="878"/>
        <item m="1" x="1535"/>
        <item m="1" x="1151"/>
        <item m="1" x="1270"/>
        <item m="1" x="998"/>
        <item m="1" x="810"/>
        <item m="1" x="1546"/>
        <item m="1" x="687"/>
        <item m="1" x="1120"/>
        <item m="1" x="1032"/>
        <item m="1" x="1165"/>
        <item m="1" x="984"/>
        <item m="1" x="1594"/>
        <item m="1" x="787"/>
        <item m="1" x="871"/>
        <item m="1" x="1486"/>
        <item m="1" x="1094"/>
        <item m="1" x="763"/>
        <item m="1" x="1342"/>
        <item m="1" x="799"/>
        <item m="1" x="1020"/>
        <item m="1" x="1245"/>
        <item m="1" x="1575"/>
        <item m="1" x="1192"/>
        <item m="1" x="849"/>
        <item m="1" x="1461"/>
        <item m="1" x="1412"/>
        <item m="1" x="1029"/>
        <item m="1" x="698"/>
        <item m="1" x="837"/>
        <item m="1" x="955"/>
        <item m="1" x="1354"/>
        <item m="1" x="1444"/>
        <item m="1" x="776"/>
        <item m="1" x="1085"/>
        <item m="1" x="1209"/>
        <item m="1" x="757"/>
        <item m="1" x="981"/>
        <item m="1" x="1105"/>
        <item m="1" x="683"/>
        <item m="1" x="1479"/>
        <item m="1" x="1587"/>
        <item m="1" x="1358"/>
        <item m="1" x="1124"/>
        <item m="1" x="1516"/>
        <item m="1" x="1303"/>
        <item m="1" x="1519"/>
        <item m="1" x="1498"/>
        <item m="1" x="758"/>
        <item m="1" x="1017"/>
        <item m="1" x="904"/>
        <item m="1" x="947"/>
        <item m="1" x="1411"/>
        <item m="1" x="1096"/>
        <item m="1" x="995"/>
        <item m="1" x="704"/>
        <item m="1" x="892"/>
        <item m="1" x="1028"/>
        <item m="1" x="1374"/>
        <item m="1" x="1175"/>
        <item m="1" x="1133"/>
        <item m="1" x="829"/>
        <item m="1" x="793"/>
        <item m="1" x="1300"/>
        <item m="1" x="686"/>
        <item m="1" x="1515"/>
        <item m="1" x="1551"/>
        <item m="1" x="1432"/>
        <item m="1" x="952"/>
        <item m="1" x="1178"/>
        <item m="1" x="1306"/>
        <item m="1" x="1559"/>
        <item m="1" x="833"/>
        <item m="1" x="1119"/>
        <item m="1" x="922"/>
        <item m="1" x="783"/>
        <item m="1" x="1530"/>
        <item m="1" x="1116"/>
        <item m="1" x="814"/>
        <item m="1" x="1361"/>
        <item m="1" x="1267"/>
        <item m="1" x="785"/>
        <item m="1" x="1366"/>
        <item m="1" x="1218"/>
        <item m="1" x="1465"/>
        <item m="1" x="882"/>
        <item m="1" x="1500"/>
        <item m="1" x="1368"/>
        <item m="1" x="990"/>
        <item m="1" x="1385"/>
        <item m="1" x="1126"/>
        <item m="1" x="1183"/>
        <item m="1" x="1001"/>
        <item m="1" x="1243"/>
        <item m="1" x="886"/>
        <item m="1" x="1398"/>
        <item m="1" x="1566"/>
        <item m="1" x="736"/>
        <item m="1" x="1555"/>
        <item m="1" x="818"/>
        <item m="1" x="1166"/>
        <item m="1" x="1066"/>
        <item m="1" x="989"/>
        <item m="1" x="803"/>
        <item m="1" x="908"/>
        <item m="1" x="1139"/>
        <item m="1" x="1194"/>
        <item m="1" x="851"/>
        <item m="1" x="950"/>
        <item m="1" x="692"/>
        <item m="1" x="1242"/>
        <item m="1" x="1428"/>
        <item m="1" x="712"/>
        <item m="1" x="1256"/>
        <item m="1" x="1595"/>
        <item m="1" x="1160"/>
        <item m="1" x="1109"/>
        <item m="1" x="1220"/>
        <item m="1" x="887"/>
        <item m="1" x="1052"/>
        <item m="1" x="786"/>
        <item m="1" x="924"/>
        <item m="1" x="9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5">
        <item m="1" x="19"/>
        <item x="14"/>
        <item m="1" x="20"/>
        <item m="1" x="22"/>
        <item x="5"/>
        <item m="1" x="18"/>
        <item x="2"/>
        <item m="1" x="24"/>
        <item x="0"/>
        <item x="4"/>
        <item x="11"/>
        <item x="1"/>
        <item x="3"/>
        <item x="6"/>
        <item x="7"/>
        <item x="8"/>
        <item x="9"/>
        <item x="16"/>
        <item x="10"/>
        <item x="12"/>
        <item x="15"/>
        <item m="1" x="23"/>
        <item m="1" x="17"/>
        <item m="1" x="21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27">
        <item m="1" x="902"/>
        <item m="1" x="912"/>
        <item m="1" x="954"/>
        <item m="1" x="1020"/>
        <item m="1" x="1102"/>
        <item m="1" x="890"/>
        <item m="1" x="981"/>
        <item m="1" x="887"/>
        <item m="1" x="941"/>
        <item m="1" x="1245"/>
        <item m="1" x="1197"/>
        <item m="1" x="936"/>
        <item m="1" x="893"/>
        <item m="1" x="911"/>
        <item m="1" x="720"/>
        <item m="1" x="679"/>
        <item m="1" x="864"/>
        <item m="1" x="671"/>
        <item m="1" x="688"/>
        <item m="1" x="773"/>
        <item m="1" x="750"/>
        <item m="1" x="784"/>
        <item m="1" x="870"/>
        <item m="1" x="897"/>
        <item m="1" x="878"/>
        <item m="1" x="798"/>
        <item m="1" x="996"/>
        <item m="1" x="813"/>
        <item m="1" x="848"/>
        <item m="1" x="823"/>
        <item m="1" x="877"/>
        <item m="1" x="1134"/>
        <item m="1" x="1222"/>
        <item m="1" x="1315"/>
        <item m="1" x="1386"/>
        <item m="1" x="1151"/>
        <item m="1" x="1400"/>
        <item m="1" x="633"/>
        <item m="1" x="1009"/>
        <item m="1" x="987"/>
        <item m="1" x="970"/>
        <item m="1" x="1085"/>
        <item m="1" x="1121"/>
        <item m="1" x="1208"/>
        <item m="1" x="1033"/>
        <item m="1" x="1176"/>
        <item m="1" x="1265"/>
        <item m="1" x="1346"/>
        <item m="1" x="1418"/>
        <item m="1" x="656"/>
        <item m="1" x="704"/>
        <item m="1" x="1244"/>
        <item m="1" x="1331"/>
        <item m="1" x="1259"/>
        <item m="1" x="1340"/>
        <item m="1" x="1415"/>
        <item m="1" x="652"/>
        <item m="1" x="703"/>
        <item m="1" x="735"/>
        <item m="1" x="761"/>
        <item m="1" x="745"/>
        <item m="1" x="732"/>
        <item m="1" x="791"/>
        <item m="1" x="762"/>
        <item m="1" x="999"/>
        <item m="1" x="845"/>
        <item m="1" x="819"/>
        <item m="1" x="869"/>
        <item m="1" x="1145"/>
        <item m="1" x="853"/>
        <item m="1" x="763"/>
        <item m="1" x="783"/>
        <item m="1" x="919"/>
        <item m="1" x="741"/>
        <item m="1" x="740"/>
        <item m="1" x="726"/>
        <item m="1" x="875"/>
        <item m="1" x="906"/>
        <item m="1" x="1049"/>
        <item m="1" x="1008"/>
        <item m="1" x="1037"/>
        <item m="1" x="998"/>
        <item m="1" x="1059"/>
        <item m="1" x="1119"/>
        <item m="1" x="1089"/>
        <item m="1" x="1135"/>
        <item m="1" x="1175"/>
        <item m="1" x="1223"/>
        <item m="1" x="1264"/>
        <item m="1" x="1316"/>
        <item m="1" x="1345"/>
        <item m="1" x="1387"/>
        <item m="1" x="915"/>
        <item m="1" x="858"/>
        <item m="1" x="822"/>
        <item m="1" x="1047"/>
        <item m="1" x="1248"/>
        <item m="1" x="1055"/>
        <item m="1" x="701"/>
        <item m="1" x="1057"/>
        <item m="1" x="827"/>
        <item m="1" x="874"/>
        <item m="1" x="1396"/>
        <item m="1" x="636"/>
        <item m="1" x="693"/>
        <item m="1" x="1133"/>
        <item m="1" x="758"/>
        <item m="1" x="1146"/>
        <item m="1" x="1412"/>
        <item m="1" x="939"/>
        <item m="1" x="958"/>
        <item m="1" x="1392"/>
        <item m="1" x="1357"/>
        <item m="1" x="935"/>
        <item m="1" x="1391"/>
        <item m="1" x="916"/>
        <item m="1" x="1381"/>
        <item m="1" x="1278"/>
        <item m="1" x="1326"/>
        <item m="1" x="963"/>
        <item m="1" x="886"/>
        <item m="1" x="743"/>
        <item m="1" x="702"/>
        <item m="1" x="1092"/>
        <item m="1" x="1116"/>
        <item m="1" x="691"/>
        <item m="1" x="662"/>
        <item m="1" x="1078"/>
        <item m="1" x="690"/>
        <item m="1" x="1031"/>
        <item m="1" x="683"/>
        <item m="1" x="639"/>
        <item m="1" x="779"/>
        <item m="1" x="755"/>
        <item m="1" x="788"/>
        <item m="1" x="777"/>
        <item m="1" x="815"/>
        <item m="1" x="802"/>
        <item m="1" x="841"/>
        <item m="1" x="839"/>
        <item m="1" x="806"/>
        <item m="1" x="830"/>
        <item m="1" x="855"/>
        <item m="1" x="812"/>
        <item m="1" x="833"/>
        <item m="1" x="1313"/>
        <item m="1" x="7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m="1" x="1228"/>
        <item m="1" x="1274"/>
        <item x="38"/>
        <item x="39"/>
        <item x="40"/>
        <item x="539"/>
        <item x="41"/>
        <item m="1" x="1279"/>
        <item x="43"/>
        <item x="44"/>
        <item x="45"/>
        <item x="46"/>
        <item x="47"/>
        <item x="48"/>
        <item m="1" x="1268"/>
        <item x="541"/>
        <item m="1" x="1353"/>
        <item m="1" x="1333"/>
        <item m="1" x="1423"/>
        <item m="1" x="1405"/>
        <item m="1" x="645"/>
        <item x="49"/>
        <item m="1" x="752"/>
        <item m="1" x="753"/>
        <item m="1" x="786"/>
        <item m="1" x="764"/>
        <item m="1" x="793"/>
        <item m="1" x="821"/>
        <item m="1" x="1344"/>
        <item x="54"/>
        <item x="55"/>
        <item m="1" x="933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608"/>
        <item m="1" x="666"/>
        <item m="1" x="713"/>
        <item m="1" x="742"/>
        <item m="1" x="778"/>
        <item m="1" x="803"/>
        <item x="69"/>
        <item m="1" x="1378"/>
        <item m="1" x="983"/>
        <item m="1" x="1204"/>
        <item m="1" x="1306"/>
        <item m="1" x="1377"/>
        <item m="1" x="624"/>
        <item x="76"/>
        <item x="77"/>
        <item x="78"/>
        <item x="79"/>
        <item x="80"/>
        <item m="1" x="1398"/>
        <item m="1" x="1334"/>
        <item m="1" x="638"/>
        <item m="1" x="1406"/>
        <item m="1" x="695"/>
        <item m="1" x="646"/>
        <item m="1" x="730"/>
        <item m="1" x="649"/>
        <item x="88"/>
        <item x="89"/>
        <item x="90"/>
        <item m="1" x="629"/>
        <item m="1" x="655"/>
        <item m="1" x="685"/>
        <item x="94"/>
        <item m="1" x="754"/>
        <item x="96"/>
        <item x="99"/>
        <item x="100"/>
        <item x="102"/>
        <item x="103"/>
        <item x="104"/>
        <item x="106"/>
        <item x="105"/>
        <item m="1" x="1252"/>
        <item x="107"/>
        <item m="1" x="882"/>
        <item x="111"/>
        <item x="110"/>
        <item x="112"/>
        <item x="113"/>
        <item x="115"/>
        <item x="114"/>
        <item m="1" x="769"/>
        <item x="116"/>
        <item m="1" x="787"/>
        <item m="1" x="1111"/>
        <item m="1" x="1192"/>
        <item m="1" x="1114"/>
        <item m="1" x="1286"/>
        <item m="1" x="1201"/>
        <item x="125"/>
        <item x="124"/>
        <item x="127"/>
        <item x="126"/>
        <item x="129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m="1" x="1219"/>
        <item x="175"/>
        <item m="1" x="1383"/>
        <item m="1" x="1144"/>
        <item x="177"/>
        <item x="178"/>
        <item x="179"/>
        <item x="180"/>
        <item x="181"/>
        <item m="1" x="1302"/>
        <item x="183"/>
        <item x="182"/>
        <item x="184"/>
        <item x="185"/>
        <item m="1" x="630"/>
        <item m="1" x="686"/>
        <item m="1" x="722"/>
        <item x="190"/>
        <item m="1" x="1312"/>
        <item m="1" x="1382"/>
        <item x="193"/>
        <item m="1" x="684"/>
        <item x="195"/>
        <item m="1" x="1269"/>
        <item m="1" x="1375"/>
        <item m="1" x="1300"/>
        <item m="1" x="622"/>
        <item m="1" x="1425"/>
        <item m="1" x="621"/>
        <item m="1" x="718"/>
        <item m="1" x="709"/>
        <item m="1" x="678"/>
        <item m="1" x="1272"/>
        <item m="1" x="751"/>
        <item m="1" x="738"/>
        <item m="1" x="775"/>
        <item m="1" x="817"/>
        <item m="1" x="840"/>
        <item m="1" x="843"/>
        <item x="197"/>
        <item m="1" x="664"/>
        <item m="1" x="834"/>
        <item m="1" x="825"/>
        <item m="1" x="808"/>
        <item m="1" x="854"/>
        <item m="1" x="1239"/>
        <item x="199"/>
        <item m="1" x="1394"/>
        <item m="1" x="873"/>
        <item m="1" x="1207"/>
        <item m="1" x="1184"/>
        <item m="1" x="1115"/>
        <item x="200"/>
        <item m="1" x="1275"/>
        <item m="1" x="1379"/>
        <item m="1" x="1358"/>
        <item m="1" x="607"/>
        <item m="1" x="682"/>
        <item m="1" x="665"/>
        <item x="201"/>
        <item m="1" x="1395"/>
        <item m="1" x="635"/>
        <item m="1" x="692"/>
        <item m="1" x="727"/>
        <item m="1" x="756"/>
        <item m="1" x="789"/>
        <item m="1" x="1385"/>
        <item m="1" x="910"/>
        <item m="1" x="632"/>
        <item m="1" x="95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m="1" x="609"/>
        <item x="238"/>
        <item m="1" x="1321"/>
        <item m="1" x="1411"/>
        <item x="239"/>
        <item x="240"/>
        <item m="1" x="711"/>
        <item m="1" x="1355"/>
        <item x="241"/>
        <item x="242"/>
        <item x="243"/>
        <item x="244"/>
        <item x="245"/>
        <item x="246"/>
        <item m="1" x="1424"/>
        <item x="248"/>
        <item m="1" x="708"/>
        <item x="250"/>
        <item x="251"/>
        <item m="1" x="800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m="1" x="795"/>
        <item x="266"/>
        <item x="267"/>
        <item x="268"/>
        <item m="1" x="809"/>
        <item x="270"/>
        <item x="271"/>
        <item x="272"/>
        <item x="273"/>
        <item x="274"/>
        <item x="275"/>
        <item x="276"/>
        <item x="277"/>
        <item x="278"/>
        <item m="1" x="1076"/>
        <item x="280"/>
        <item x="281"/>
        <item x="282"/>
        <item m="1" x="1247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m="1" x="731"/>
        <item x="329"/>
        <item x="330"/>
        <item x="331"/>
        <item x="332"/>
        <item x="333"/>
        <item m="1" x="837"/>
        <item x="334"/>
        <item x="335"/>
        <item x="336"/>
        <item m="1" x="810"/>
        <item x="337"/>
        <item m="1" x="849"/>
        <item m="1" x="859"/>
        <item x="339"/>
        <item x="340"/>
        <item x="341"/>
        <item x="342"/>
        <item x="343"/>
        <item m="1" x="863"/>
        <item x="345"/>
        <item m="1" x="1042"/>
        <item x="347"/>
        <item m="1" x="1095"/>
        <item x="349"/>
        <item x="350"/>
        <item m="1" x="1158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m="1" x="1232"/>
        <item m="1" x="1322"/>
        <item x="444"/>
        <item x="445"/>
        <item x="446"/>
        <item m="1" x="1097"/>
        <item x="447"/>
        <item m="1" x="1185"/>
        <item m="1" x="1277"/>
        <item x="448"/>
        <item x="449"/>
        <item x="450"/>
        <item m="1" x="866"/>
        <item m="1" x="898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m="1" x="651"/>
        <item x="472"/>
        <item x="473"/>
        <item m="1" x="734"/>
        <item m="1" x="767"/>
        <item x="474"/>
        <item m="1" x="770"/>
        <item m="1" x="797"/>
        <item x="475"/>
        <item x="476"/>
        <item x="478"/>
        <item x="480"/>
        <item m="1" x="940"/>
        <item m="1" x="924"/>
        <item m="1" x="1388"/>
        <item x="484"/>
        <item m="1" x="1013"/>
        <item x="487"/>
        <item x="488"/>
        <item x="489"/>
        <item m="1" x="1407"/>
        <item x="491"/>
        <item m="1" x="894"/>
        <item m="1" x="647"/>
        <item x="494"/>
        <item m="1" x="929"/>
        <item m="1" x="698"/>
        <item x="497"/>
        <item x="498"/>
        <item x="499"/>
        <item x="500"/>
        <item x="501"/>
        <item m="1" x="1404"/>
        <item m="1" x="674"/>
        <item x="504"/>
        <item x="503"/>
        <item x="507"/>
        <item x="506"/>
        <item x="505"/>
        <item x="510"/>
        <item x="509"/>
        <item x="508"/>
        <item x="511"/>
        <item m="1" x="960"/>
        <item m="1" x="986"/>
        <item m="1" x="1077"/>
        <item m="1" x="979"/>
        <item x="518"/>
        <item m="1" x="991"/>
        <item m="1" x="947"/>
        <item x="521"/>
        <item x="522"/>
        <item m="1" x="904"/>
        <item m="1" x="889"/>
        <item m="1" x="1023"/>
        <item x="526"/>
        <item m="1" x="1172"/>
        <item m="1" x="1035"/>
        <item x="529"/>
        <item x="530"/>
        <item m="1" x="1314"/>
        <item x="532"/>
        <item m="1" x="1096"/>
        <item m="1" x="944"/>
        <item x="535"/>
        <item m="1" x="796"/>
        <item m="1" x="1032"/>
        <item m="1" x="1320"/>
        <item m="1" x="1393"/>
        <item x="540"/>
        <item m="1" x="1332"/>
        <item m="1" x="1421"/>
        <item m="1" x="1403"/>
        <item m="1" x="659"/>
        <item m="1" x="643"/>
        <item m="1" x="697"/>
        <item m="1" x="792"/>
        <item m="1" x="820"/>
        <item m="1" x="846"/>
        <item m="1" x="663"/>
        <item m="1" x="712"/>
        <item m="1" x="739"/>
        <item m="1" x="776"/>
        <item m="1" x="801"/>
        <item m="1" x="826"/>
        <item m="1" x="1351"/>
        <item m="1" x="620"/>
        <item m="1" x="1373"/>
        <item m="1" x="677"/>
        <item m="1" x="660"/>
        <item m="1" x="676"/>
        <item m="1" x="749"/>
        <item m="1" x="737"/>
        <item m="1" x="717"/>
        <item m="1" x="1352"/>
        <item m="1" x="785"/>
        <item m="1" x="774"/>
        <item m="1" x="799"/>
        <item x="196"/>
        <item m="1" x="934"/>
        <item m="1" x="706"/>
        <item m="1" x="857"/>
        <item m="1" x="850"/>
        <item x="198"/>
        <item m="1" x="634"/>
        <item m="1" x="905"/>
        <item m="1" x="1304"/>
        <item m="1" x="1270"/>
        <item m="1" x="1200"/>
        <item m="1" x="1354"/>
        <item m="1" x="623"/>
        <item m="1" x="1426"/>
        <item m="1" x="661"/>
        <item m="1" x="719"/>
        <item m="1" x="710"/>
        <item m="1" x="707"/>
        <item m="1" x="1390"/>
        <item m="1" x="1341"/>
        <item m="1" x="1276"/>
        <item m="1" x="759"/>
        <item m="1" x="832"/>
        <item m="1" x="888"/>
        <item m="1" x="1025"/>
        <item x="82"/>
        <item m="1" x="816"/>
        <item m="1" x="842"/>
        <item m="1" x="1236"/>
        <item x="84"/>
        <item m="1" x="794"/>
        <item m="1" x="1094"/>
        <item m="1" x="766"/>
        <item m="1" x="1422"/>
        <item m="1" x="1182"/>
        <item m="1" x="1271"/>
        <item m="1" x="1356"/>
        <item m="1" x="868"/>
        <item m="1" x="899"/>
        <item m="1" x="667"/>
        <item m="1" x="640"/>
        <item m="1" x="721"/>
        <item m="1" x="949"/>
        <item m="1" x="681"/>
        <item m="1" x="971"/>
        <item m="1" x="1160"/>
        <item m="1" x="917"/>
        <item m="1" x="699"/>
        <item m="1" x="728"/>
        <item m="1" x="1026"/>
        <item m="1" x="1141"/>
        <item m="1" x="1106"/>
        <item m="1" x="1195"/>
        <item m="1" x="1291"/>
        <item m="1" x="617"/>
        <item m="1" x="714"/>
        <item m="1" x="672"/>
        <item m="1" x="1048"/>
        <item m="1" x="1068"/>
        <item m="1" x="1016"/>
        <item m="1" x="1070"/>
        <item m="1" x="1117"/>
        <item m="1" x="1069"/>
        <item m="1" x="1150"/>
        <item m="1" x="1305"/>
        <item m="1" x="1240"/>
        <item m="1" x="1376"/>
        <item m="1" x="1328"/>
        <item m="1" x="1399"/>
        <item m="1" x="680"/>
        <item m="1" x="1062"/>
        <item m="1" x="1143"/>
        <item m="1" x="1229"/>
        <item m="1" x="1105"/>
        <item m="1" x="1186"/>
        <item m="1" x="1194"/>
        <item m="1" x="1152"/>
        <item m="1" x="1241"/>
        <item m="1" x="1177"/>
        <item m="1" x="1165"/>
        <item m="1" x="1187"/>
        <item m="1" x="1164"/>
        <item m="1" x="1120"/>
        <item m="1" x="1202"/>
        <item m="1" x="1230"/>
        <item m="1" x="1250"/>
        <item m="1" x="1205"/>
        <item m="1" x="1231"/>
        <item m="1" x="1206"/>
        <item m="1" x="1303"/>
        <item m="1" x="1209"/>
        <item m="1" x="1163"/>
        <item m="1" x="1233"/>
        <item m="1" x="1368"/>
        <item m="1" x="1323"/>
        <item m="1" x="1397"/>
        <item m="1" x="673"/>
        <item m="1" x="637"/>
        <item m="1" x="694"/>
        <item m="1" x="746"/>
        <item m="1" x="729"/>
        <item m="1" x="781"/>
        <item m="1" x="757"/>
        <item m="1" x="1329"/>
        <item m="1" x="1280"/>
        <item m="1" x="1401"/>
        <item m="1" x="1359"/>
        <item m="1" x="953"/>
        <item m="1" x="1027"/>
        <item m="1" x="1107"/>
        <item m="1" x="1064"/>
        <item m="1" x="1196"/>
        <item m="1" x="1366"/>
        <item m="1" x="1370"/>
        <item m="1" x="1324"/>
        <item m="1" x="977"/>
        <item m="1" x="930"/>
        <item m="1" x="1161"/>
        <item m="1" x="1079"/>
        <item m="1" x="1249"/>
        <item m="1" x="1251"/>
        <item m="1" x="1337"/>
        <item m="1" x="1408"/>
        <item m="1" x="1413"/>
        <item m="1" x="700"/>
        <item m="1" x="765"/>
        <item m="1" x="733"/>
        <item m="1" x="768"/>
        <item m="1" x="1074"/>
        <item m="1" x="1018"/>
        <item m="1" x="1000"/>
        <item m="1" x="1099"/>
        <item m="1" x="1243"/>
        <item m="1" x="1188"/>
        <item m="1" x="1166"/>
        <item m="1" x="1330"/>
        <item m="1" x="1282"/>
        <item m="1" x="1253"/>
        <item m="1" x="1091"/>
        <item m="1" x="1038"/>
        <item m="1" x="1179"/>
        <item m="1" x="1124"/>
        <item m="1" x="872"/>
        <item m="1" x="1267"/>
        <item m="1" x="1211"/>
        <item m="1" x="1348"/>
        <item m="1" x="1308"/>
        <item m="1" x="943"/>
        <item m="1" x="1063"/>
        <item m="1" x="946"/>
        <item m="1" x="928"/>
        <item m="1" x="952"/>
        <item m="1" x="908"/>
        <item m="1" x="942"/>
        <item m="1" x="903"/>
        <item m="1" x="1014"/>
        <item m="1" x="967"/>
        <item m="1" x="959"/>
        <item m="1" x="1100"/>
        <item m="1" x="1080"/>
        <item m="1" x="1167"/>
        <item m="1" x="1283"/>
        <item m="1" x="1254"/>
        <item m="1" x="1360"/>
        <item m="1" x="610"/>
        <item m="1" x="668"/>
        <item m="1" x="650"/>
        <item m="1" x="626"/>
        <item m="1" x="1198"/>
        <item m="1" x="847"/>
        <item m="1" x="1153"/>
        <item m="1" x="1299"/>
        <item m="1" x="871"/>
        <item m="1" x="1242"/>
        <item m="1" x="824"/>
        <item m="1" x="1090"/>
        <item m="1" x="1189"/>
        <item m="1" x="1168"/>
        <item m="1" x="1203"/>
        <item m="1" x="997"/>
        <item m="1" x="1212"/>
        <item m="1" x="1293"/>
        <item m="1" x="1234"/>
        <item m="1" x="1284"/>
        <item m="1" x="1361"/>
        <item m="1" x="955"/>
        <item m="1" x="818"/>
        <item m="1" x="844"/>
        <item m="1" x="867"/>
        <item m="1" x="995"/>
        <item m="1" x="948"/>
        <item m="1" x="1075"/>
        <item m="1" x="1021"/>
        <item m="1" x="1002"/>
        <item m="1" x="1157"/>
        <item m="1" x="1103"/>
        <item m="1" x="1012"/>
        <item m="1" x="964"/>
        <item m="1" x="1180"/>
        <item m="1" x="1126"/>
        <item m="1" x="1028"/>
        <item m="1" x="990"/>
        <item m="1" x="965"/>
        <item m="1" x="1109"/>
        <item m="1" x="1066"/>
        <item m="1" x="1039"/>
        <item m="1" x="1050"/>
        <item m="1" x="1295"/>
        <item m="1" x="1237"/>
        <item m="1" x="1190"/>
        <item m="1" x="1215"/>
        <item m="1" x="1224"/>
        <item m="1" x="811"/>
        <item m="1" x="1053"/>
        <item m="1" x="814"/>
        <item m="1" x="1003"/>
        <item m="1" x="988"/>
        <item m="1" x="993"/>
        <item m="1" x="835"/>
        <item m="1" x="1137"/>
        <item m="1" x="838"/>
        <item m="1" x="1083"/>
        <item m="1" x="1065"/>
        <item m="1" x="1071"/>
        <item m="1" x="860"/>
        <item m="1" x="1225"/>
        <item m="1" x="865"/>
        <item m="1" x="1169"/>
        <item m="1" x="1147"/>
        <item m="1" x="1154"/>
        <item m="1" x="1256"/>
        <item m="1" x="1022"/>
        <item m="1" x="1004"/>
        <item m="1" x="1104"/>
        <item m="1" x="1084"/>
        <item m="1" x="1193"/>
        <item m="1" x="1170"/>
        <item m="1" x="1287"/>
        <item m="1" x="1257"/>
        <item m="1" x="1093"/>
        <item m="1" x="1040"/>
        <item m="1" x="1019"/>
        <item m="1" x="1181"/>
        <item m="1" x="1127"/>
        <item m="1" x="1216"/>
        <item m="1" x="1112"/>
        <item m="1" x="836"/>
        <item m="1" x="1199"/>
        <item m="1" x="1298"/>
        <item m="1" x="861"/>
        <item m="1" x="891"/>
        <item m="1" x="862"/>
        <item m="1" x="892"/>
        <item m="1" x="1374"/>
        <item m="1" x="619"/>
        <item m="1" x="927"/>
        <item m="1" x="985"/>
        <item m="1" x="932"/>
        <item m="1" x="1060"/>
        <item m="1" x="1007"/>
        <item m="1" x="876"/>
        <item m="1" x="1140"/>
        <item m="1" x="909"/>
        <item m="1" x="1227"/>
        <item m="1" x="1113"/>
        <item m="1" x="1067"/>
        <item m="1" x="1118"/>
        <item m="1" x="1138"/>
        <item m="1" x="1226"/>
        <item m="1" x="1156"/>
        <item m="1" x="1108"/>
        <item m="1" x="1171"/>
        <item m="1" x="880"/>
        <item m="1" x="1162"/>
        <item m="1" x="1258"/>
        <item m="1" x="1307"/>
        <item m="1" x="1402"/>
        <item m="1" x="1010"/>
        <item m="1" x="1362"/>
        <item m="1" x="1339"/>
        <item m="1" x="1309"/>
        <item m="1" x="1409"/>
        <item m="1" x="1325"/>
        <item m="1" x="956"/>
        <item m="1" x="1310"/>
        <item m="1" x="1335"/>
        <item m="1" x="1246"/>
        <item m="1" x="642"/>
        <item m="1" x="612"/>
        <item m="1" x="1414"/>
        <item m="1" x="625"/>
        <item m="1" x="1281"/>
        <item m="1" x="1217"/>
        <item m="1" x="1338"/>
        <item m="1" x="1213"/>
        <item m="1" x="1311"/>
        <item m="1" x="1296"/>
        <item m="1" x="1350"/>
        <item m="1" x="1371"/>
        <item m="1" x="1420"/>
        <item m="1" x="658"/>
        <item m="1" x="675"/>
        <item m="1" x="1128"/>
        <item m="1" x="748"/>
        <item m="1" x="772"/>
        <item m="1" x="782"/>
        <item m="1" x="1294"/>
        <item m="1" x="895"/>
        <item m="1" x="931"/>
        <item m="1" x="989"/>
        <item m="1" x="689"/>
        <item m="1" x="723"/>
        <item m="1" x="747"/>
        <item m="1" x="1235"/>
        <item m="1" x="1319"/>
        <item m="1" x="1389"/>
        <item m="1" x="1349"/>
        <item m="1" x="918"/>
        <item m="1" x="962"/>
        <item m="1" x="1036"/>
        <item m="1" x="1123"/>
        <item m="1" x="1288"/>
        <item m="1" x="1363"/>
        <item m="1" x="613"/>
        <item m="1" x="980"/>
        <item m="1" x="950"/>
        <item m="1" x="1054"/>
        <item m="1" x="992"/>
        <item m="1" x="1024"/>
        <item m="1" x="968"/>
        <item m="1" x="1043"/>
        <item m="1" x="1148"/>
        <item m="1" x="1129"/>
        <item m="1" x="1318"/>
        <item m="1" x="1289"/>
        <item m="1" x="973"/>
        <item m="1" x="1045"/>
        <item m="1" x="804"/>
        <item m="1" x="828"/>
        <item m="1" x="852"/>
        <item m="1" x="884"/>
        <item m="1" x="921"/>
        <item m="1" x="972"/>
        <item m="1" x="1029"/>
        <item m="1" x="1125"/>
        <item m="1" x="1110"/>
        <item m="1" x="1214"/>
        <item m="1" x="1266"/>
        <item m="1" x="1297"/>
        <item m="1" x="1416"/>
        <item m="1" x="1372"/>
        <item m="1" x="628"/>
        <item m="1" x="1061"/>
        <item m="1" x="1142"/>
        <item m="1" x="1086"/>
        <item m="1" x="1173"/>
        <item m="1" x="1261"/>
        <item m="1" x="1364"/>
        <item m="1" x="1342"/>
        <item m="1" x="1380"/>
        <item m="1" x="614"/>
        <item m="1" x="1417"/>
        <item m="1" x="627"/>
        <item m="1" x="1149"/>
        <item m="1" x="1238"/>
        <item m="1" x="1327"/>
        <item m="1" x="1262"/>
        <item m="1" x="641"/>
        <item m="1" x="696"/>
        <item m="1" x="654"/>
        <item m="1" x="760"/>
        <item m="1" x="790"/>
        <item m="1" x="1073"/>
        <item m="1" x="1155"/>
        <item m="1" x="851"/>
        <item m="1" x="1292"/>
        <item m="1" x="879"/>
        <item m="1" x="1369"/>
        <item m="1" x="914"/>
        <item m="1" x="618"/>
        <item m="1" x="1290"/>
        <item m="1" x="1367"/>
        <item m="1" x="616"/>
        <item m="1" x="670"/>
        <item m="1" x="716"/>
        <item m="1" x="744"/>
        <item m="1" x="780"/>
        <item m="1" x="805"/>
        <item m="1" x="907"/>
        <item m="1" x="1410"/>
        <item m="1" x="648"/>
        <item m="1" x="945"/>
        <item m="1" x="1015"/>
        <item m="1" x="1365"/>
        <item m="1" x="611"/>
        <item m="1" x="976"/>
        <item m="1" x="1017"/>
        <item m="1" x="1030"/>
        <item m="1" x="615"/>
        <item m="1" x="1098"/>
        <item m="1" x="1183"/>
        <item m="1" x="669"/>
        <item m="1" x="715"/>
        <item m="1" x="1273"/>
        <item m="1" x="922"/>
        <item m="1" x="982"/>
        <item m="1" x="900"/>
        <item m="1" x="974"/>
        <item m="1" x="1056"/>
        <item m="1" x="937"/>
        <item m="1" x="1001"/>
        <item m="1" x="961"/>
        <item m="1" x="913"/>
        <item m="1" x="1046"/>
        <item m="1" x="1081"/>
        <item m="1" x="1132"/>
        <item m="1" x="1220"/>
        <item m="1" x="1255"/>
        <item m="1" x="1384"/>
        <item m="1" x="631"/>
        <item m="1" x="687"/>
        <item m="1" x="725"/>
        <item m="1" x="896"/>
        <item m="1" x="885"/>
        <item m="1" x="926"/>
        <item m="1" x="883"/>
        <item m="1" x="923"/>
        <item m="1" x="984"/>
        <item m="1" x="925"/>
        <item m="1" x="901"/>
        <item m="1" x="938"/>
        <item m="1" x="920"/>
        <item m="1" x="881"/>
        <item m="1" x="994"/>
        <item m="1" x="978"/>
        <item m="1" x="1058"/>
        <item m="1" x="1005"/>
        <item m="1" x="966"/>
        <item m="1" x="1052"/>
        <item m="1" x="1139"/>
        <item m="1" x="1011"/>
        <item m="1" x="1087"/>
        <item m="1" x="1041"/>
        <item m="1" x="957"/>
        <item m="1" x="829"/>
        <item m="1" x="975"/>
        <item m="1" x="1101"/>
        <item m="1" x="1191"/>
        <item m="1" x="1221"/>
        <item m="1" x="1285"/>
        <item m="1" x="969"/>
        <item m="1" x="1044"/>
        <item m="1" x="1130"/>
        <item m="1" x="1218"/>
        <item m="1" x="1006"/>
        <item m="1" x="1088"/>
        <item m="1" x="1174"/>
        <item m="1" x="1082"/>
        <item m="1" x="1263"/>
        <item m="1" x="1343"/>
        <item m="1" x="1336"/>
        <item m="1" x="807"/>
        <item m="1" x="831"/>
        <item m="1" x="856"/>
        <item m="1" x="1051"/>
        <item m="1" x="1131"/>
        <item m="1" x="1034"/>
        <item m="1" x="1122"/>
        <item m="1" x="1301"/>
        <item m="1" x="1210"/>
        <item m="1" x="1072"/>
        <item m="1" x="1136"/>
        <item m="1" x="1159"/>
        <item m="1" x="1178"/>
        <item m="1" x="1260"/>
        <item m="1" x="1317"/>
        <item m="1" x="1347"/>
        <item m="1" x="1419"/>
        <item m="1" x="653"/>
        <item m="1" x="644"/>
        <item m="1" x="657"/>
        <item m="1" x="705"/>
        <item m="1" x="736"/>
        <item m="1" x="771"/>
        <item x="37"/>
        <item x="42"/>
        <item x="50"/>
        <item x="51"/>
        <item x="52"/>
        <item x="53"/>
        <item x="56"/>
        <item x="57"/>
        <item x="70"/>
        <item x="71"/>
        <item x="72"/>
        <item x="73"/>
        <item x="74"/>
        <item x="75"/>
        <item x="81"/>
        <item x="83"/>
        <item x="85"/>
        <item x="86"/>
        <item x="87"/>
        <item x="91"/>
        <item x="92"/>
        <item x="93"/>
        <item x="95"/>
        <item x="97"/>
        <item x="98"/>
        <item x="101"/>
        <item x="108"/>
        <item x="109"/>
        <item x="117"/>
        <item x="118"/>
        <item x="119"/>
        <item x="120"/>
        <item x="121"/>
        <item x="122"/>
        <item x="123"/>
        <item x="174"/>
        <item x="176"/>
        <item x="186"/>
        <item x="187"/>
        <item x="188"/>
        <item x="189"/>
        <item x="191"/>
        <item x="192"/>
        <item x="194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47"/>
        <item x="249"/>
        <item x="252"/>
        <item x="265"/>
        <item x="269"/>
        <item x="279"/>
        <item x="283"/>
        <item x="338"/>
        <item x="344"/>
        <item x="346"/>
        <item x="348"/>
        <item x="351"/>
        <item x="442"/>
        <item x="443"/>
        <item x="451"/>
        <item x="452"/>
        <item x="477"/>
        <item x="479"/>
        <item x="481"/>
        <item x="482"/>
        <item x="483"/>
        <item x="485"/>
        <item x="486"/>
        <item x="490"/>
        <item x="492"/>
        <item x="493"/>
        <item x="495"/>
        <item x="496"/>
        <item x="502"/>
        <item x="512"/>
        <item x="513"/>
        <item x="514"/>
        <item x="515"/>
        <item x="516"/>
        <item x="517"/>
        <item x="519"/>
        <item x="520"/>
        <item x="523"/>
        <item x="524"/>
        <item x="525"/>
        <item x="527"/>
        <item x="528"/>
        <item x="531"/>
        <item x="533"/>
        <item x="534"/>
        <item x="536"/>
        <item x="537"/>
        <item x="53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1"/>
    <field x="8"/>
    <field x="3"/>
    <field x="6"/>
  </rowFields>
  <rowItems count="680">
    <i>
      <x v="147"/>
      <x/>
      <x v="917"/>
      <x v="8"/>
    </i>
    <i>
      <x v="148"/>
      <x/>
      <x v="918"/>
      <x v="8"/>
    </i>
    <i>
      <x v="149"/>
      <x/>
      <x v="919"/>
      <x v="8"/>
    </i>
    <i>
      <x v="150"/>
      <x/>
      <x v="920"/>
      <x v="8"/>
    </i>
    <i>
      <x v="151"/>
      <x/>
      <x v="921"/>
      <x v="8"/>
    </i>
    <i>
      <x v="152"/>
      <x/>
      <x v="922"/>
      <x v="8"/>
    </i>
    <i>
      <x v="153"/>
      <x/>
      <x v="923"/>
      <x v="8"/>
    </i>
    <i>
      <x v="154"/>
      <x/>
      <x v="924"/>
      <x v="8"/>
    </i>
    <i>
      <x v="155"/>
      <x/>
      <x v="925"/>
      <x v="8"/>
    </i>
    <i>
      <x v="156"/>
      <x/>
      <x v="926"/>
      <x v="8"/>
    </i>
    <i>
      <x v="157"/>
      <x/>
      <x v="927"/>
      <x v="8"/>
    </i>
    <i>
      <x v="158"/>
      <x/>
      <x v="928"/>
      <x v="8"/>
    </i>
    <i>
      <x v="159"/>
      <x v="1"/>
      <x v="929"/>
      <x v="11"/>
    </i>
    <i>
      <x v="160"/>
      <x v="1"/>
      <x v="930"/>
      <x v="11"/>
    </i>
    <i>
      <x v="161"/>
      <x v="1"/>
      <x v="931"/>
      <x v="11"/>
    </i>
    <i>
      <x v="162"/>
      <x v="1"/>
      <x v="932"/>
      <x v="11"/>
    </i>
    <i>
      <x v="163"/>
      <x v="1"/>
      <x v="933"/>
      <x v="11"/>
    </i>
    <i>
      <x v="164"/>
      <x v="1"/>
      <x v="934"/>
      <x v="11"/>
    </i>
    <i>
      <x v="165"/>
      <x v="1"/>
      <x v="935"/>
      <x v="11"/>
    </i>
    <i>
      <x v="166"/>
      <x v="1"/>
      <x v="936"/>
      <x v="11"/>
    </i>
    <i>
      <x v="167"/>
      <x v="1"/>
      <x v="937"/>
      <x v="11"/>
    </i>
    <i>
      <x v="168"/>
      <x v="1"/>
      <x v="938"/>
      <x v="11"/>
    </i>
    <i>
      <x v="169"/>
      <x v="1"/>
      <x v="939"/>
      <x v="11"/>
    </i>
    <i>
      <x v="170"/>
      <x v="1"/>
      <x v="940"/>
      <x v="11"/>
    </i>
    <i>
      <x v="171"/>
      <x v="1"/>
      <x v="941"/>
      <x v="11"/>
    </i>
    <i>
      <x v="172"/>
      <x v="1"/>
      <x v="942"/>
      <x v="11"/>
    </i>
    <i>
      <x v="173"/>
      <x v="1"/>
      <x v="943"/>
      <x v="11"/>
    </i>
    <i>
      <x v="174"/>
      <x v="1"/>
      <x v="944"/>
      <x v="11"/>
    </i>
    <i>
      <x v="175"/>
      <x v="1"/>
      <x v="945"/>
      <x v="11"/>
    </i>
    <i>
      <x v="176"/>
      <x v="1"/>
      <x v="946"/>
      <x v="11"/>
    </i>
    <i>
      <x v="177"/>
      <x v="1"/>
      <x v="947"/>
      <x v="11"/>
    </i>
    <i>
      <x v="178"/>
      <x v="1"/>
      <x v="948"/>
      <x v="11"/>
    </i>
    <i>
      <x v="179"/>
      <x v="1"/>
      <x v="949"/>
      <x v="11"/>
    </i>
    <i>
      <x v="180"/>
      <x v="1"/>
      <x v="950"/>
      <x v="11"/>
    </i>
    <i>
      <x v="181"/>
      <x v="1"/>
      <x v="951"/>
      <x v="11"/>
    </i>
    <i>
      <x v="182"/>
      <x v="2"/>
      <x v="952"/>
      <x v="6"/>
    </i>
    <i>
      <x v="183"/>
      <x v="2"/>
      <x v="953"/>
      <x v="6"/>
    </i>
    <i>
      <x v="186"/>
      <x v="2"/>
      <x v="955"/>
      <x v="6"/>
    </i>
    <i>
      <x v="187"/>
      <x v="2"/>
      <x v="956"/>
      <x v="6"/>
    </i>
    <i>
      <x v="188"/>
      <x v="2"/>
      <x v="957"/>
      <x v="8"/>
    </i>
    <i>
      <x v="189"/>
      <x v="2"/>
      <x v="1517"/>
      <x v="6"/>
    </i>
    <i>
      <x v="190"/>
      <x v="2"/>
      <x v="958"/>
      <x v="8"/>
    </i>
    <i>
      <x v="192"/>
      <x v="2"/>
      <x v="960"/>
      <x v="8"/>
    </i>
    <i>
      <x v="193"/>
      <x v="2"/>
      <x v="961"/>
      <x v="8"/>
    </i>
    <i>
      <x v="194"/>
      <x v="2"/>
      <x v="962"/>
      <x v="8"/>
    </i>
    <i>
      <x v="195"/>
      <x v="2"/>
      <x v="963"/>
      <x v="8"/>
    </i>
    <i>
      <x v="196"/>
      <x v="2"/>
      <x v="964"/>
      <x v="8"/>
    </i>
    <i>
      <x v="197"/>
      <x v="2"/>
      <x v="965"/>
      <x v="8"/>
    </i>
    <i>
      <x v="199"/>
      <x v="2"/>
      <x v="1519"/>
      <x v="8"/>
    </i>
    <i>
      <x v="205"/>
      <x v="2"/>
      <x v="966"/>
      <x v="12"/>
    </i>
    <i r="2">
      <x v="967"/>
      <x v="6"/>
    </i>
    <i>
      <x v="213"/>
      <x v="2"/>
      <x v="975"/>
      <x v="8"/>
    </i>
    <i>
      <x v="214"/>
      <x v="2"/>
      <x v="976"/>
      <x v="8"/>
    </i>
    <i r="2">
      <x v="977"/>
      <x v="8"/>
    </i>
    <i>
      <x v="216"/>
      <x v="2"/>
      <x v="981"/>
      <x v="8"/>
    </i>
    <i>
      <x v="217"/>
      <x v="2"/>
      <x v="982"/>
      <x v="8"/>
    </i>
    <i r="2">
      <x v="983"/>
      <x v="8"/>
    </i>
    <i>
      <x v="218"/>
      <x v="2"/>
      <x v="984"/>
      <x v="8"/>
    </i>
    <i r="2">
      <x v="985"/>
      <x v="8"/>
    </i>
    <i>
      <x v="219"/>
      <x v="2"/>
      <x v="986"/>
      <x v="8"/>
    </i>
    <i r="2">
      <x v="987"/>
      <x v="8"/>
    </i>
    <i>
      <x v="220"/>
      <x v="2"/>
      <x v="988"/>
      <x v="8"/>
    </i>
    <i>
      <x v="221"/>
      <x v="2"/>
      <x v="989"/>
      <x v="8"/>
    </i>
    <i>
      <x v="222"/>
      <x v="2"/>
      <x v="990"/>
      <x v="8"/>
    </i>
    <i>
      <x v="223"/>
      <x v="2"/>
      <x v="991"/>
      <x v="8"/>
    </i>
    <i>
      <x v="224"/>
      <x v="2"/>
      <x v="992"/>
      <x v="8"/>
    </i>
    <i>
      <x v="225"/>
      <x v="2"/>
      <x v="993"/>
      <x v="8"/>
    </i>
    <i>
      <x v="226"/>
      <x v="2"/>
      <x v="994"/>
      <x v="8"/>
    </i>
    <i>
      <x v="233"/>
      <x v="2"/>
      <x v="995"/>
      <x v="9"/>
    </i>
    <i>
      <x v="240"/>
      <x v="2"/>
      <x v="1002"/>
      <x v="6"/>
    </i>
    <i>
      <x v="241"/>
      <x v="2"/>
      <x v="1003"/>
      <x v="6"/>
    </i>
    <i>
      <x v="242"/>
      <x v="2"/>
      <x v="1004"/>
      <x v="6"/>
    </i>
    <i>
      <x v="243"/>
      <x v="2"/>
      <x v="1005"/>
      <x v="6"/>
    </i>
    <i>
      <x v="244"/>
      <x v="2"/>
      <x v="1006"/>
      <x v="6"/>
    </i>
    <i>
      <x v="253"/>
      <x v="2"/>
      <x v="1014"/>
      <x v="4"/>
    </i>
    <i r="2">
      <x v="1015"/>
      <x v="6"/>
    </i>
    <i>
      <x v="254"/>
      <x v="2"/>
      <x v="1016"/>
      <x v="13"/>
    </i>
    <i>
      <x v="255"/>
      <x v="2"/>
      <x v="1017"/>
      <x v="8"/>
    </i>
    <i>
      <x v="259"/>
      <x v="2"/>
      <x v="1021"/>
      <x v="8"/>
    </i>
    <i>
      <x v="261"/>
      <x v="2"/>
      <x v="1023"/>
      <x v="13"/>
    </i>
    <i r="2">
      <x v="1025"/>
      <x v="13"/>
    </i>
    <i>
      <x v="262"/>
      <x v="2"/>
      <x v="1027"/>
      <x v="13"/>
    </i>
    <i>
      <x v="263"/>
      <x v="2"/>
      <x v="1029"/>
      <x v="13"/>
    </i>
    <i r="2">
      <x v="1031"/>
      <x v="13"/>
    </i>
    <i>
      <x v="264"/>
      <x v="2"/>
      <x v="1032"/>
      <x v="13"/>
    </i>
    <i r="2">
      <x v="1033"/>
      <x v="13"/>
    </i>
    <i r="2">
      <x v="1034"/>
      <x v="13"/>
    </i>
    <i>
      <x v="265"/>
      <x v="2"/>
      <x v="1035"/>
      <x v="15"/>
    </i>
    <i>
      <x v="266"/>
      <x v="2"/>
      <x v="1036"/>
      <x v="15"/>
    </i>
    <i>
      <x v="267"/>
      <x v="2"/>
      <x v="1038"/>
      <x v="4"/>
    </i>
    <i>
      <x v="268"/>
      <x v="2"/>
      <x v="1037"/>
      <x v="13"/>
    </i>
    <i>
      <x v="270"/>
      <x v="2"/>
      <x v="1039"/>
      <x v="13"/>
    </i>
    <i>
      <x v="272"/>
      <x v="2"/>
      <x v="1043"/>
      <x v="4"/>
    </i>
    <i>
      <x v="273"/>
      <x v="2"/>
      <x v="1042"/>
      <x v="13"/>
    </i>
    <i>
      <x v="274"/>
      <x v="2"/>
      <x v="1044"/>
      <x v="9"/>
    </i>
    <i>
      <x v="275"/>
      <x v="2"/>
      <x v="1045"/>
      <x v="9"/>
    </i>
    <i>
      <x v="276"/>
      <x v="2"/>
      <x v="1047"/>
      <x v="4"/>
    </i>
    <i>
      <x v="277"/>
      <x v="2"/>
      <x v="1046"/>
      <x v="13"/>
    </i>
    <i>
      <x v="279"/>
      <x v="2"/>
      <x v="1048"/>
      <x v="13"/>
    </i>
    <i>
      <x v="286"/>
      <x v="2"/>
      <x v="1057"/>
      <x v="4"/>
    </i>
    <i>
      <x v="287"/>
      <x v="2"/>
      <x v="1056"/>
      <x v="13"/>
    </i>
    <i>
      <x v="288"/>
      <x v="2"/>
      <x v="1059"/>
      <x v="4"/>
    </i>
    <i>
      <x v="289"/>
      <x v="2"/>
      <x v="1058"/>
      <x v="13"/>
    </i>
    <i>
      <x v="290"/>
      <x v="2"/>
      <x v="1061"/>
      <x v="4"/>
    </i>
    <i>
      <x v="291"/>
      <x v="2"/>
      <x v="1060"/>
      <x v="13"/>
    </i>
    <i>
      <x v="292"/>
      <x v="2"/>
      <x v="1062"/>
      <x v="8"/>
    </i>
    <i>
      <x v="293"/>
      <x v="2"/>
      <x v="1063"/>
      <x v="8"/>
    </i>
    <i>
      <x v="294"/>
      <x v="2"/>
      <x v="1064"/>
      <x v="8"/>
    </i>
    <i>
      <x v="295"/>
      <x v="2"/>
      <x v="1065"/>
      <x v="8"/>
    </i>
    <i>
      <x v="296"/>
      <x v="2"/>
      <x v="1066"/>
      <x v="8"/>
    </i>
    <i>
      <x v="297"/>
      <x v="2"/>
      <x v="1067"/>
      <x v="8"/>
    </i>
    <i>
      <x v="298"/>
      <x v="2"/>
      <x v="1068"/>
      <x v="8"/>
    </i>
    <i>
      <x v="299"/>
      <x v="2"/>
      <x v="1069"/>
      <x v="8"/>
    </i>
    <i>
      <x v="300"/>
      <x v="2"/>
      <x v="1070"/>
      <x v="8"/>
    </i>
    <i>
      <x v="301"/>
      <x v="2"/>
      <x v="1071"/>
      <x v="8"/>
    </i>
    <i>
      <x v="302"/>
      <x v="2"/>
      <x v="1072"/>
      <x v="8"/>
    </i>
    <i>
      <x v="303"/>
      <x v="2"/>
      <x v="1073"/>
      <x v="8"/>
    </i>
    <i>
      <x v="304"/>
      <x v="2"/>
      <x v="1074"/>
      <x v="8"/>
    </i>
    <i>
      <x v="305"/>
      <x v="2"/>
      <x v="1075"/>
      <x v="8"/>
    </i>
    <i>
      <x v="306"/>
      <x v="2"/>
      <x v="1076"/>
      <x v="8"/>
    </i>
    <i>
      <x v="307"/>
      <x v="2"/>
      <x v="1077"/>
      <x v="8"/>
    </i>
    <i>
      <x v="308"/>
      <x v="2"/>
      <x v="1078"/>
      <x v="8"/>
    </i>
    <i>
      <x v="309"/>
      <x v="2"/>
      <x v="1079"/>
      <x v="8"/>
    </i>
    <i>
      <x v="310"/>
      <x v="2"/>
      <x v="1080"/>
      <x v="6"/>
    </i>
    <i>
      <x v="311"/>
      <x v="2"/>
      <x v="1081"/>
      <x v="6"/>
    </i>
    <i>
      <x v="312"/>
      <x v="2"/>
      <x v="1082"/>
      <x v="8"/>
    </i>
    <i>
      <x v="313"/>
      <x v="2"/>
      <x v="1083"/>
      <x v="8"/>
    </i>
    <i>
      <x v="314"/>
      <x v="2"/>
      <x v="1084"/>
      <x v="8"/>
    </i>
    <i>
      <x v="315"/>
      <x v="2"/>
      <x v="1085"/>
      <x v="8"/>
    </i>
    <i>
      <x v="316"/>
      <x v="2"/>
      <x v="1086"/>
      <x v="8"/>
    </i>
    <i>
      <x v="317"/>
      <x v="2"/>
      <x v="1087"/>
      <x v="8"/>
    </i>
    <i>
      <x v="318"/>
      <x v="2"/>
      <x v="1088"/>
      <x v="8"/>
    </i>
    <i>
      <x v="319"/>
      <x v="2"/>
      <x v="1089"/>
      <x v="8"/>
    </i>
    <i>
      <x v="320"/>
      <x v="2"/>
      <x v="1090"/>
      <x v="8"/>
    </i>
    <i>
      <x v="321"/>
      <x v="2"/>
      <x v="1091"/>
      <x v="8"/>
    </i>
    <i>
      <x v="322"/>
      <x v="2"/>
      <x v="1092"/>
      <x v="8"/>
    </i>
    <i>
      <x v="323"/>
      <x v="2"/>
      <x v="1093"/>
      <x v="8"/>
    </i>
    <i>
      <x v="324"/>
      <x v="2"/>
      <x v="1094"/>
      <x v="8"/>
    </i>
    <i>
      <x v="325"/>
      <x v="2"/>
      <x v="1095"/>
      <x v="8"/>
    </i>
    <i>
      <x v="326"/>
      <x v="2"/>
      <x v="1096"/>
      <x v="8"/>
    </i>
    <i>
      <x v="327"/>
      <x v="2"/>
      <x v="1097"/>
      <x v="8"/>
    </i>
    <i>
      <x v="328"/>
      <x v="2"/>
      <x v="1098"/>
      <x v="8"/>
    </i>
    <i r="2">
      <x v="1099"/>
      <x v="8"/>
    </i>
    <i>
      <x v="329"/>
      <x v="2"/>
      <x v="1100"/>
      <x v="8"/>
    </i>
    <i r="2">
      <x v="1101"/>
      <x v="8"/>
    </i>
    <i>
      <x v="330"/>
      <x v="2"/>
      <x v="1102"/>
      <x v="8"/>
    </i>
    <i r="2">
      <x v="1103"/>
      <x v="8"/>
    </i>
    <i>
      <x v="331"/>
      <x v="2"/>
      <x v="1104"/>
      <x v="8"/>
    </i>
    <i r="2">
      <x v="1105"/>
      <x v="8"/>
    </i>
    <i>
      <x v="332"/>
      <x v="2"/>
      <x v="1106"/>
      <x v="8"/>
    </i>
    <i r="2">
      <x v="1107"/>
      <x v="8"/>
    </i>
    <i>
      <x v="333"/>
      <x v="2"/>
      <x v="1108"/>
      <x v="8"/>
    </i>
    <i>
      <x v="334"/>
      <x v="2"/>
      <x v="1109"/>
      <x v="8"/>
    </i>
    <i>
      <x v="335"/>
      <x v="2"/>
      <x v="1110"/>
      <x v="8"/>
    </i>
    <i>
      <x v="337"/>
      <x v="2"/>
      <x v="1112"/>
      <x v="8"/>
    </i>
    <i>
      <x v="340"/>
      <x v="2"/>
      <x v="1114"/>
      <x v="8"/>
    </i>
    <i>
      <x v="341"/>
      <x v="2"/>
      <x v="1115"/>
      <x v="8"/>
    </i>
    <i>
      <x v="342"/>
      <x v="2"/>
      <x v="1116"/>
      <x v="8"/>
    </i>
    <i>
      <x v="343"/>
      <x v="2"/>
      <x v="1117"/>
      <x v="8"/>
    </i>
    <i>
      <x v="344"/>
      <x v="2"/>
      <x v="1118"/>
      <x v="6"/>
    </i>
    <i r="2">
      <x v="1119"/>
      <x v="6"/>
    </i>
    <i>
      <x v="346"/>
      <x v="2"/>
      <x v="1121"/>
      <x v="6"/>
    </i>
    <i>
      <x v="347"/>
      <x v="2"/>
      <x v="1120"/>
      <x v="6"/>
    </i>
    <i>
      <x v="348"/>
      <x v="2"/>
      <x v="1122"/>
      <x v="8"/>
    </i>
    <i r="2">
      <x v="1123"/>
      <x v="8"/>
    </i>
    <i r="2">
      <x v="1124"/>
      <x v="8"/>
    </i>
    <i>
      <x v="349"/>
      <x v="2"/>
      <x v="1125"/>
      <x v="8"/>
    </i>
    <i>
      <x v="353"/>
      <x v="2"/>
      <x v="1137"/>
      <x v="8"/>
    </i>
    <i>
      <x v="356"/>
      <x v="2"/>
      <x v="1140"/>
      <x v="8"/>
    </i>
    <i>
      <x v="358"/>
      <x v="2"/>
      <x v="1142"/>
      <x v="8"/>
    </i>
    <i>
      <x v="375"/>
      <x v="2"/>
      <x v="1144"/>
      <x v="6"/>
    </i>
    <i>
      <x v="382"/>
      <x v="2"/>
      <x v="1146"/>
      <x v="12"/>
    </i>
    <i r="2">
      <x v="1147"/>
      <x v="6"/>
    </i>
    <i>
      <x v="388"/>
      <x v="2"/>
      <x v="1148"/>
      <x v="4"/>
    </i>
    <i>
      <x v="395"/>
      <x v="2"/>
      <x v="1149"/>
      <x v="6"/>
    </i>
    <i>
      <x v="406"/>
      <x v="2"/>
      <x v="1162"/>
      <x v="8"/>
    </i>
    <i>
      <x v="407"/>
      <x v="2"/>
      <x v="1163"/>
      <x v="8"/>
    </i>
    <i>
      <x v="408"/>
      <x v="2"/>
      <x v="1164"/>
      <x v="8"/>
    </i>
    <i>
      <x v="409"/>
      <x v="2"/>
      <x v="1165"/>
      <x v="8"/>
    </i>
    <i>
      <x v="410"/>
      <x v="2"/>
      <x v="1166"/>
      <x v="8"/>
    </i>
    <i>
      <x v="411"/>
      <x v="2"/>
      <x v="1167"/>
      <x v="8"/>
    </i>
    <i>
      <x v="412"/>
      <x v="2"/>
      <x v="1168"/>
      <x v="8"/>
    </i>
    <i>
      <x v="413"/>
      <x v="2"/>
      <x v="1169"/>
      <x v="8"/>
    </i>
    <i>
      <x v="414"/>
      <x v="2"/>
      <x v="1170"/>
      <x v="8"/>
    </i>
    <i>
      <x v="415"/>
      <x v="2"/>
      <x v="1171"/>
      <x v="8"/>
    </i>
    <i>
      <x v="416"/>
      <x v="2"/>
      <x v="1172"/>
      <x v="8"/>
    </i>
    <i>
      <x v="417"/>
      <x v="2"/>
      <x v="1173"/>
      <x v="8"/>
    </i>
    <i r="2">
      <x v="1174"/>
      <x v="8"/>
    </i>
    <i>
      <x v="418"/>
      <x v="2"/>
      <x v="1175"/>
      <x v="8"/>
    </i>
    <i>
      <x v="419"/>
      <x v="2"/>
      <x v="1176"/>
      <x v="8"/>
    </i>
    <i r="2">
      <x v="1177"/>
      <x v="8"/>
    </i>
    <i>
      <x v="420"/>
      <x v="2"/>
      <x v="1178"/>
      <x v="8"/>
    </i>
    <i>
      <x v="421"/>
      <x v="2"/>
      <x v="1179"/>
      <x v="8"/>
    </i>
    <i>
      <x v="422"/>
      <x v="2"/>
      <x v="1180"/>
      <x v="8"/>
    </i>
    <i>
      <x v="423"/>
      <x v="2"/>
      <x v="1181"/>
      <x v="8"/>
    </i>
    <i>
      <x v="424"/>
      <x v="2"/>
      <x v="1182"/>
      <x v="8"/>
    </i>
    <i>
      <x v="425"/>
      <x v="2"/>
      <x v="1183"/>
      <x v="8"/>
    </i>
    <i>
      <x v="426"/>
      <x v="2"/>
      <x v="1184"/>
      <x v="8"/>
    </i>
    <i>
      <x v="427"/>
      <x v="2"/>
      <x v="1185"/>
      <x v="8"/>
    </i>
    <i r="2">
      <x v="1186"/>
      <x v="8"/>
    </i>
    <i>
      <x v="428"/>
      <x v="2"/>
      <x v="1187"/>
      <x v="8"/>
    </i>
    <i r="2">
      <x v="1188"/>
      <x v="8"/>
    </i>
    <i>
      <x v="429"/>
      <x v="2"/>
      <x v="1189"/>
      <x v="13"/>
    </i>
    <i>
      <x v="431"/>
      <x v="2"/>
      <x v="1190"/>
      <x v="6"/>
    </i>
    <i>
      <x v="434"/>
      <x v="2"/>
      <x v="1191"/>
      <x v="6"/>
    </i>
    <i>
      <x v="435"/>
      <x v="2"/>
      <x v="1192"/>
      <x v="6"/>
    </i>
    <i r="2">
      <x v="1193"/>
      <x v="6"/>
    </i>
    <i>
      <x v="438"/>
      <x v="2"/>
      <x v="1194"/>
      <x v="6"/>
    </i>
    <i>
      <x v="439"/>
      <x v="2"/>
      <x v="1195"/>
      <x v="6"/>
    </i>
    <i>
      <x v="440"/>
      <x v="2"/>
      <x v="1196"/>
      <x v="6"/>
    </i>
    <i>
      <x v="441"/>
      <x v="2"/>
      <x v="1197"/>
      <x v="6"/>
    </i>
    <i>
      <x v="442"/>
      <x v="2"/>
      <x v="1198"/>
      <x v="6"/>
    </i>
    <i>
      <x v="443"/>
      <x v="2"/>
      <x v="1199"/>
      <x v="8"/>
    </i>
    <i>
      <x v="445"/>
      <x v="2"/>
      <x v="1201"/>
      <x v="8"/>
    </i>
    <i>
      <x v="447"/>
      <x v="2"/>
      <x v="1203"/>
      <x v="8"/>
    </i>
    <i>
      <x v="448"/>
      <x v="2"/>
      <x v="1204"/>
      <x v="8"/>
    </i>
    <i>
      <x v="450"/>
      <x v="2"/>
      <x v="1206"/>
      <x v="4"/>
    </i>
    <i>
      <x v="451"/>
      <x v="2"/>
      <x v="1207"/>
      <x v="4"/>
    </i>
    <i>
      <x v="452"/>
      <x v="2"/>
      <x v="1208"/>
      <x v="4"/>
    </i>
    <i>
      <x v="453"/>
      <x v="2"/>
      <x v="1209"/>
      <x v="4"/>
    </i>
    <i>
      <x v="454"/>
      <x v="2"/>
      <x v="1210"/>
      <x v="4"/>
    </i>
    <i>
      <x v="455"/>
      <x v="2"/>
      <x v="1211"/>
      <x v="4"/>
    </i>
    <i>
      <x v="456"/>
      <x v="2"/>
      <x v="1212"/>
      <x v="6"/>
    </i>
    <i>
      <x v="457"/>
      <x v="2"/>
      <x v="1213"/>
      <x v="6"/>
    </i>
    <i>
      <x v="458"/>
      <x v="2"/>
      <x v="1214"/>
      <x v="6"/>
    </i>
    <i>
      <x v="459"/>
      <x v="2"/>
      <x v="1215"/>
      <x v="8"/>
    </i>
    <i>
      <x v="460"/>
      <x v="2"/>
      <x v="1216"/>
      <x v="8"/>
    </i>
    <i>
      <x v="461"/>
      <x v="2"/>
      <x v="1217"/>
      <x v="4"/>
    </i>
    <i>
      <x v="463"/>
      <x v="2"/>
      <x v="1220"/>
      <x v="13"/>
    </i>
    <i r="2">
      <x v="1221"/>
      <x v="13"/>
    </i>
    <i>
      <x v="464"/>
      <x v="2"/>
      <x v="1222"/>
      <x v="8"/>
    </i>
    <i>
      <x v="465"/>
      <x v="2"/>
      <x v="1223"/>
      <x v="6"/>
    </i>
    <i r="2">
      <x v="1224"/>
      <x v="6"/>
    </i>
    <i>
      <x v="467"/>
      <x v="2"/>
      <x v="1226"/>
      <x v="10"/>
    </i>
    <i>
      <x v="468"/>
      <x v="2"/>
      <x v="1227"/>
      <x v="8"/>
    </i>
    <i>
      <x v="469"/>
      <x v="2"/>
      <x v="1228"/>
      <x v="8"/>
    </i>
    <i>
      <x v="470"/>
      <x v="2"/>
      <x v="1229"/>
      <x v="8"/>
    </i>
    <i>
      <x v="471"/>
      <x v="2"/>
      <x v="1230"/>
      <x v="8"/>
    </i>
    <i>
      <x v="472"/>
      <x v="2"/>
      <x v="1231"/>
      <x v="8"/>
    </i>
    <i>
      <x v="473"/>
      <x v="2"/>
      <x v="1232"/>
      <x v="8"/>
    </i>
    <i>
      <x v="474"/>
      <x v="2"/>
      <x v="1233"/>
      <x v="8"/>
    </i>
    <i>
      <x v="475"/>
      <x v="2"/>
      <x v="1234"/>
      <x v="8"/>
    </i>
    <i>
      <x v="477"/>
      <x v="2"/>
      <x v="1236"/>
      <x v="8"/>
    </i>
    <i>
      <x v="478"/>
      <x v="2"/>
      <x v="1237"/>
      <x v="8"/>
    </i>
    <i>
      <x v="479"/>
      <x v="2"/>
      <x v="1238"/>
      <x v="8"/>
    </i>
    <i>
      <x v="481"/>
      <x v="2"/>
      <x v="1240"/>
      <x v="8"/>
    </i>
    <i>
      <x v="482"/>
      <x v="2"/>
      <x v="1241"/>
      <x v="8"/>
    </i>
    <i>
      <x v="483"/>
      <x v="2"/>
      <x v="1242"/>
      <x v="8"/>
    </i>
    <i>
      <x v="484"/>
      <x v="2"/>
      <x v="1243"/>
      <x v="8"/>
    </i>
    <i>
      <x v="485"/>
      <x v="2"/>
      <x v="1244"/>
      <x v="8"/>
    </i>
    <i>
      <x v="486"/>
      <x v="2"/>
      <x v="1245"/>
      <x v="8"/>
    </i>
    <i>
      <x v="487"/>
      <x v="2"/>
      <x v="1246"/>
      <x v="8"/>
    </i>
    <i>
      <x v="488"/>
      <x v="2"/>
      <x v="1247"/>
      <x v="8"/>
    </i>
    <i>
      <x v="489"/>
      <x v="2"/>
      <x v="1248"/>
      <x v="8"/>
    </i>
    <i>
      <x v="490"/>
      <x v="2"/>
      <x v="1249"/>
      <x v="8"/>
    </i>
    <i>
      <x v="491"/>
      <x v="2"/>
      <x v="1250"/>
      <x v="8"/>
    </i>
    <i>
      <x v="492"/>
      <x v="2"/>
      <x v="1251"/>
      <x v="8"/>
    </i>
    <i>
      <x v="493"/>
      <x v="2"/>
      <x v="1252"/>
      <x v="8"/>
    </i>
    <i>
      <x v="494"/>
      <x v="2"/>
      <x v="1253"/>
      <x v="8"/>
    </i>
    <i>
      <x v="495"/>
      <x v="2"/>
      <x v="1254"/>
      <x v="8"/>
    </i>
    <i>
      <x v="496"/>
      <x v="2"/>
      <x v="1255"/>
      <x v="8"/>
    </i>
    <i>
      <x v="497"/>
      <x v="2"/>
      <x v="1256"/>
      <x v="8"/>
    </i>
    <i>
      <x v="498"/>
      <x v="2"/>
      <x v="1257"/>
      <x v="8"/>
    </i>
    <i>
      <x v="499"/>
      <x v="2"/>
      <x v="1258"/>
      <x v="8"/>
    </i>
    <i>
      <x v="500"/>
      <x v="2"/>
      <x v="1259"/>
      <x v="8"/>
    </i>
    <i>
      <x v="501"/>
      <x v="2"/>
      <x v="1260"/>
      <x v="8"/>
    </i>
    <i>
      <x v="502"/>
      <x v="2"/>
      <x v="1261"/>
      <x v="8"/>
    </i>
    <i>
      <x v="503"/>
      <x v="2"/>
      <x v="1262"/>
      <x v="8"/>
    </i>
    <i>
      <x v="504"/>
      <x v="2"/>
      <x v="1263"/>
      <x v="8"/>
    </i>
    <i>
      <x v="505"/>
      <x v="2"/>
      <x v="1264"/>
      <x v="8"/>
    </i>
    <i>
      <x v="506"/>
      <x v="2"/>
      <x v="1265"/>
      <x v="8"/>
    </i>
    <i>
      <x v="507"/>
      <x v="2"/>
      <x v="1266"/>
      <x v="8"/>
    </i>
    <i>
      <x v="508"/>
      <x v="2"/>
      <x v="1267"/>
      <x v="8"/>
    </i>
    <i>
      <x v="509"/>
      <x v="2"/>
      <x v="1268"/>
      <x v="8"/>
    </i>
    <i>
      <x v="510"/>
      <x v="2"/>
      <x v="1269"/>
      <x v="9"/>
    </i>
    <i>
      <x v="511"/>
      <x v="2"/>
      <x v="1270"/>
      <x v="9"/>
    </i>
    <i>
      <x v="512"/>
      <x v="2"/>
      <x v="1271"/>
      <x v="9"/>
    </i>
    <i>
      <x v="513"/>
      <x v="2"/>
      <x v="1272"/>
      <x v="9"/>
    </i>
    <i>
      <x v="514"/>
      <x v="2"/>
      <x v="1273"/>
      <x v="9"/>
    </i>
    <i r="2">
      <x v="1274"/>
      <x v="9"/>
    </i>
    <i>
      <x v="515"/>
      <x v="2"/>
      <x v="1275"/>
      <x v="9"/>
    </i>
    <i r="2">
      <x v="1276"/>
      <x v="9"/>
    </i>
    <i>
      <x v="516"/>
      <x v="2"/>
      <x v="1277"/>
      <x v="9"/>
    </i>
    <i>
      <x v="517"/>
      <x v="2"/>
      <x v="1278"/>
      <x v="9"/>
    </i>
    <i>
      <x v="518"/>
      <x v="2"/>
      <x v="1279"/>
      <x v="6"/>
    </i>
    <i r="2">
      <x v="1280"/>
      <x v="6"/>
    </i>
    <i>
      <x v="519"/>
      <x v="2"/>
      <x v="1281"/>
      <x v="6"/>
    </i>
    <i r="2">
      <x v="1282"/>
      <x v="6"/>
    </i>
    <i>
      <x v="520"/>
      <x v="2"/>
      <x v="1283"/>
      <x v="6"/>
    </i>
    <i>
      <x v="521"/>
      <x v="2"/>
      <x v="1284"/>
      <x v="14"/>
    </i>
    <i>
      <x v="522"/>
      <x v="2"/>
      <x v="1285"/>
      <x v="14"/>
    </i>
    <i>
      <x v="523"/>
      <x v="2"/>
      <x v="1286"/>
      <x v="14"/>
    </i>
    <i>
      <x v="524"/>
      <x v="2"/>
      <x v="1287"/>
      <x v="14"/>
    </i>
    <i>
      <x v="525"/>
      <x v="2"/>
      <x v="1288"/>
      <x v="14"/>
    </i>
    <i r="2">
      <x v="1289"/>
      <x v="14"/>
    </i>
    <i>
      <x v="527"/>
      <x v="2"/>
      <x v="1290"/>
      <x v="8"/>
    </i>
    <i>
      <x v="528"/>
      <x v="2"/>
      <x v="1291"/>
      <x v="8"/>
    </i>
    <i>
      <x v="529"/>
      <x v="2"/>
      <x v="1292"/>
      <x v="8"/>
    </i>
    <i>
      <x v="530"/>
      <x v="2"/>
      <x v="1293"/>
      <x v="8"/>
    </i>
    <i>
      <x v="531"/>
      <x v="2"/>
      <x v="1294"/>
      <x v="9"/>
    </i>
    <i r="2">
      <x v="1295"/>
      <x v="6"/>
    </i>
    <i>
      <x v="533"/>
      <x v="2"/>
      <x v="1296"/>
      <x v="9"/>
    </i>
    <i>
      <x v="534"/>
      <x v="2"/>
      <x v="1297"/>
      <x v="6"/>
    </i>
    <i>
      <x v="535"/>
      <x v="2"/>
      <x v="1298"/>
      <x v="14"/>
    </i>
    <i>
      <x v="537"/>
      <x v="2"/>
      <x v="1299"/>
      <x v="14"/>
    </i>
    <i>
      <x v="540"/>
      <x v="2"/>
      <x v="1301"/>
      <x v="14"/>
    </i>
    <i>
      <x v="541"/>
      <x v="2"/>
      <x v="1302"/>
      <x v="13"/>
    </i>
    <i>
      <x v="542"/>
      <x v="2"/>
      <x v="1303"/>
      <x v="13"/>
    </i>
    <i>
      <x v="543"/>
      <x v="2"/>
      <x v="1304"/>
      <x v="14"/>
    </i>
    <i>
      <x v="544"/>
      <x v="2"/>
      <x v="1305"/>
      <x v="14"/>
    </i>
    <i>
      <x v="546"/>
      <x v="2"/>
      <x v="1307"/>
      <x v="14"/>
    </i>
    <i>
      <x v="548"/>
      <x v="2"/>
      <x v="1309"/>
      <x v="19"/>
    </i>
    <i>
      <x v="550"/>
      <x v="2"/>
      <x v="1311"/>
      <x v="6"/>
    </i>
    <i>
      <x v="551"/>
      <x v="2"/>
      <x v="1312"/>
      <x v="6"/>
    </i>
    <i>
      <x v="553"/>
      <x v="2"/>
      <x v="1314"/>
      <x v="8"/>
    </i>
    <i>
      <x v="554"/>
      <x v="2"/>
      <x v="1315"/>
      <x v="8"/>
    </i>
    <i>
      <x v="555"/>
      <x v="2"/>
      <x v="1316"/>
      <x v="8"/>
    </i>
    <i>
      <x v="556"/>
      <x v="2"/>
      <x v="1317"/>
      <x v="8"/>
    </i>
    <i>
      <x v="557"/>
      <x v="2"/>
      <x v="1318"/>
      <x v="8"/>
    </i>
    <i>
      <x v="558"/>
      <x v="2"/>
      <x v="1319"/>
      <x v="8"/>
    </i>
    <i>
      <x v="559"/>
      <x v="2"/>
      <x v="1320"/>
      <x v="8"/>
    </i>
    <i>
      <x v="560"/>
      <x v="2"/>
      <x v="1321"/>
      <x v="8"/>
    </i>
    <i>
      <x v="561"/>
      <x v="2"/>
      <x v="1322"/>
      <x v="8"/>
    </i>
    <i r="2">
      <x v="1323"/>
      <x v="8"/>
    </i>
    <i>
      <x v="562"/>
      <x v="2"/>
      <x v="1324"/>
      <x v="8"/>
    </i>
    <i r="2">
      <x v="1325"/>
      <x v="8"/>
    </i>
    <i>
      <x v="563"/>
      <x v="2"/>
      <x v="1326"/>
      <x v="8"/>
    </i>
    <i r="2">
      <x v="1327"/>
      <x v="8"/>
    </i>
    <i>
      <x v="564"/>
      <x v="2"/>
      <x v="1328"/>
      <x v="8"/>
    </i>
    <i>
      <x v="565"/>
      <x v="2"/>
      <x v="1329"/>
      <x v="8"/>
    </i>
    <i>
      <x v="566"/>
      <x v="2"/>
      <x v="1330"/>
      <x v="8"/>
    </i>
    <i>
      <x v="567"/>
      <x v="2"/>
      <x v="1331"/>
      <x v="8"/>
    </i>
    <i>
      <x v="568"/>
      <x v="2"/>
      <x v="1332"/>
      <x v="8"/>
    </i>
    <i>
      <x v="569"/>
      <x v="2"/>
      <x v="1333"/>
      <x v="8"/>
    </i>
    <i>
      <x v="570"/>
      <x v="2"/>
      <x v="1334"/>
      <x v="6"/>
    </i>
    <i>
      <x v="571"/>
      <x v="2"/>
      <x v="1335"/>
      <x v="6"/>
    </i>
    <i>
      <x v="572"/>
      <x v="2"/>
      <x v="1336"/>
      <x v="6"/>
    </i>
    <i>
      <x v="573"/>
      <x v="2"/>
      <x v="1337"/>
      <x v="6"/>
    </i>
    <i>
      <x v="574"/>
      <x v="2"/>
      <x v="1338"/>
      <x v="6"/>
    </i>
    <i>
      <x v="575"/>
      <x v="2"/>
      <x v="1339"/>
      <x v="6"/>
    </i>
    <i>
      <x v="576"/>
      <x v="2"/>
      <x v="1340"/>
      <x v="8"/>
    </i>
    <i>
      <x v="577"/>
      <x v="2"/>
      <x v="1341"/>
      <x v="8"/>
    </i>
    <i>
      <x v="578"/>
      <x v="2"/>
      <x v="1342"/>
      <x v="8"/>
    </i>
    <i>
      <x v="579"/>
      <x v="2"/>
      <x v="1343"/>
      <x v="8"/>
    </i>
    <i>
      <x v="580"/>
      <x v="2"/>
      <x v="1344"/>
      <x v="8"/>
    </i>
    <i>
      <x v="581"/>
      <x v="2"/>
      <x v="1345"/>
      <x v="8"/>
    </i>
    <i>
      <x v="582"/>
      <x v="2"/>
      <x v="1346"/>
      <x v="8"/>
    </i>
    <i r="2">
      <x v="1347"/>
      <x v="8"/>
    </i>
    <i>
      <x v="583"/>
      <x v="2"/>
      <x v="1348"/>
      <x v="8"/>
    </i>
    <i>
      <x v="584"/>
      <x v="2"/>
      <x v="1349"/>
      <x v="13"/>
    </i>
    <i>
      <x v="585"/>
      <x v="2"/>
      <x v="1350"/>
      <x v="8"/>
    </i>
    <i>
      <x v="586"/>
      <x v="2"/>
      <x v="1351"/>
      <x v="8"/>
    </i>
    <i>
      <x v="587"/>
      <x v="2"/>
      <x v="1352"/>
      <x v="13"/>
    </i>
    <i>
      <x v="588"/>
      <x v="2"/>
      <x v="1353"/>
      <x v="8"/>
    </i>
    <i>
      <x v="589"/>
      <x v="2"/>
      <x v="1354"/>
      <x v="8"/>
    </i>
    <i>
      <x v="590"/>
      <x v="2"/>
      <x v="1355"/>
      <x v="13"/>
    </i>
    <i>
      <x v="591"/>
      <x v="2"/>
      <x v="1356"/>
      <x v="8"/>
    </i>
    <i>
      <x v="592"/>
      <x v="2"/>
      <x v="1357"/>
      <x v="8"/>
    </i>
    <i>
      <x v="593"/>
      <x v="2"/>
      <x v="1358"/>
      <x v="8"/>
    </i>
    <i>
      <x v="594"/>
      <x v="2"/>
      <x v="1359"/>
      <x v="8"/>
    </i>
    <i>
      <x v="595"/>
      <x v="2"/>
      <x v="1360"/>
      <x v="13"/>
    </i>
    <i>
      <x v="596"/>
      <x v="2"/>
      <x v="1361"/>
      <x v="8"/>
    </i>
    <i>
      <x v="597"/>
      <x v="2"/>
      <x v="1362"/>
      <x v="8"/>
    </i>
    <i>
      <x v="598"/>
      <x v="2"/>
      <x v="1363"/>
      <x v="8"/>
    </i>
    <i>
      <x v="599"/>
      <x v="2"/>
      <x v="1364"/>
      <x v="8"/>
    </i>
    <i>
      <x v="600"/>
      <x v="2"/>
      <x v="1365"/>
      <x v="13"/>
    </i>
    <i>
      <x v="601"/>
      <x v="2"/>
      <x v="1366"/>
      <x v="8"/>
    </i>
    <i>
      <x v="602"/>
      <x v="2"/>
      <x v="1367"/>
      <x v="8"/>
    </i>
    <i>
      <x v="603"/>
      <x v="2"/>
      <x v="1368"/>
      <x v="13"/>
    </i>
    <i>
      <x v="604"/>
      <x v="2"/>
      <x v="1369"/>
      <x v="8"/>
    </i>
    <i>
      <x v="605"/>
      <x v="2"/>
      <x v="1370"/>
      <x v="8"/>
    </i>
    <i>
      <x v="606"/>
      <x v="2"/>
      <x v="1371"/>
      <x v="13"/>
    </i>
    <i>
      <x v="607"/>
      <x v="2"/>
      <x v="1372"/>
      <x v="8"/>
    </i>
    <i>
      <x v="608"/>
      <x v="2"/>
      <x v="1373"/>
      <x v="8"/>
    </i>
    <i>
      <x v="609"/>
      <x v="2"/>
      <x v="1374"/>
      <x v="13"/>
    </i>
    <i>
      <x v="610"/>
      <x v="2"/>
      <x v="1375"/>
      <x v="8"/>
    </i>
    <i>
      <x v="611"/>
      <x v="2"/>
      <x v="1376"/>
      <x v="8"/>
    </i>
    <i>
      <x v="612"/>
      <x v="2"/>
      <x v="1377"/>
      <x v="13"/>
    </i>
    <i>
      <x v="613"/>
      <x v="2"/>
      <x v="1378"/>
      <x v="8"/>
    </i>
    <i>
      <x v="614"/>
      <x v="2"/>
      <x v="1379"/>
      <x v="13"/>
    </i>
    <i>
      <x v="615"/>
      <x v="2"/>
      <x v="1380"/>
      <x v="8"/>
    </i>
    <i>
      <x v="616"/>
      <x v="2"/>
      <x v="1381"/>
      <x v="8"/>
    </i>
    <i>
      <x v="617"/>
      <x v="2"/>
      <x v="1382"/>
      <x v="13"/>
    </i>
    <i>
      <x v="618"/>
      <x v="2"/>
      <x v="1383"/>
      <x v="8"/>
    </i>
    <i>
      <x v="619"/>
      <x v="2"/>
      <x v="1384"/>
      <x v="13"/>
    </i>
    <i>
      <x v="620"/>
      <x v="2"/>
      <x v="1385"/>
      <x v="13"/>
    </i>
    <i>
      <x v="621"/>
      <x v="2"/>
      <x v="1386"/>
      <x v="13"/>
    </i>
    <i>
      <x v="622"/>
      <x v="2"/>
      <x v="1387"/>
      <x v="13"/>
    </i>
    <i>
      <x v="623"/>
      <x v="2"/>
      <x v="1388"/>
      <x v="13"/>
    </i>
    <i>
      <x v="624"/>
      <x v="2"/>
      <x v="1389"/>
      <x v="13"/>
    </i>
    <i>
      <x v="625"/>
      <x v="2"/>
      <x v="1390"/>
      <x v="13"/>
    </i>
    <i>
      <x v="626"/>
      <x v="2"/>
      <x v="1391"/>
      <x v="13"/>
    </i>
    <i>
      <x v="627"/>
      <x v="2"/>
      <x v="1392"/>
      <x v="13"/>
    </i>
    <i>
      <x v="628"/>
      <x v="2"/>
      <x v="1393"/>
      <x v="13"/>
    </i>
    <i>
      <x v="629"/>
      <x v="2"/>
      <x v="1394"/>
      <x v="13"/>
    </i>
    <i>
      <x v="630"/>
      <x v="2"/>
      <x v="1395"/>
      <x v="13"/>
    </i>
    <i>
      <x v="631"/>
      <x v="2"/>
      <x v="1396"/>
      <x v="13"/>
    </i>
    <i>
      <x v="632"/>
      <x v="2"/>
      <x v="1397"/>
      <x v="13"/>
    </i>
    <i>
      <x v="633"/>
      <x v="2"/>
      <x v="1398"/>
      <x v="13"/>
    </i>
    <i>
      <x v="634"/>
      <x v="2"/>
      <x v="1399"/>
      <x v="13"/>
    </i>
    <i>
      <x v="635"/>
      <x v="2"/>
      <x v="1400"/>
      <x v="13"/>
    </i>
    <i>
      <x v="636"/>
      <x v="2"/>
      <x v="1401"/>
      <x v="13"/>
    </i>
    <i>
      <x v="637"/>
      <x v="2"/>
      <x v="1402"/>
      <x v="13"/>
    </i>
    <i>
      <x v="638"/>
      <x v="2"/>
      <x v="1403"/>
      <x v="13"/>
    </i>
    <i>
      <x v="639"/>
      <x v="2"/>
      <x v="1404"/>
      <x v="13"/>
    </i>
    <i>
      <x v="640"/>
      <x v="2"/>
      <x v="1405"/>
      <x v="6"/>
    </i>
    <i>
      <x v="641"/>
      <x v="2"/>
      <x v="1406"/>
      <x v="6"/>
    </i>
    <i>
      <x v="642"/>
      <x v="2"/>
      <x v="1407"/>
      <x v="6"/>
    </i>
    <i>
      <x v="645"/>
      <x v="2"/>
      <x v="1410"/>
      <x v="8"/>
    </i>
    <i>
      <x v="646"/>
      <x v="2"/>
      <x v="1411"/>
      <x v="8"/>
    </i>
    <i>
      <x v="647"/>
      <x v="2"/>
      <x v="1412"/>
      <x v="8"/>
    </i>
    <i>
      <x v="649"/>
      <x v="2"/>
      <x v="1413"/>
      <x v="8"/>
    </i>
    <i>
      <x v="652"/>
      <x v="2"/>
      <x v="1414"/>
      <x v="8"/>
    </i>
    <i>
      <x v="653"/>
      <x v="2"/>
      <x v="1415"/>
      <x v="8"/>
    </i>
    <i>
      <x v="654"/>
      <x v="2"/>
      <x v="1416"/>
      <x v="8"/>
    </i>
    <i>
      <x v="657"/>
      <x v="2"/>
      <x v="1419"/>
      <x v="8"/>
    </i>
    <i>
      <x v="658"/>
      <x v="2"/>
      <x v="1420"/>
      <x v="8"/>
    </i>
    <i>
      <x v="659"/>
      <x v="2"/>
      <x v="1421"/>
      <x v="8"/>
    </i>
    <i>
      <x v="660"/>
      <x v="2"/>
      <x v="1422"/>
      <x v="8"/>
    </i>
    <i>
      <x v="661"/>
      <x v="2"/>
      <x v="1423"/>
      <x v="24"/>
    </i>
    <i>
      <x v="662"/>
      <x v="2"/>
      <x v="1424"/>
      <x v="24"/>
    </i>
    <i>
      <x v="663"/>
      <x v="2"/>
      <x v="1425"/>
      <x v="24"/>
    </i>
    <i>
      <x v="664"/>
      <x v="2"/>
      <x v="1426"/>
      <x v="24"/>
    </i>
    <i>
      <x v="665"/>
      <x v="2"/>
      <x v="1427"/>
      <x v="24"/>
    </i>
    <i>
      <x v="666"/>
      <x v="2"/>
      <x v="1428"/>
      <x v="24"/>
    </i>
    <i>
      <x v="667"/>
      <x v="2"/>
      <x v="1429"/>
      <x v="24"/>
    </i>
    <i>
      <x v="668"/>
      <x v="2"/>
      <x v="1430"/>
      <x v="24"/>
    </i>
    <i>
      <x v="669"/>
      <x v="2"/>
      <x v="1431"/>
      <x v="24"/>
    </i>
    <i>
      <x v="670"/>
      <x v="2"/>
      <x v="1432"/>
      <x v="24"/>
    </i>
    <i>
      <x v="671"/>
      <x v="2"/>
      <x v="1433"/>
      <x v="24"/>
    </i>
    <i>
      <x v="672"/>
      <x v="2"/>
      <x v="1434"/>
      <x v="24"/>
    </i>
    <i>
      <x v="673"/>
      <x v="2"/>
      <x v="1435"/>
      <x v="24"/>
    </i>
    <i>
      <x v="674"/>
      <x v="2"/>
      <x v="1436"/>
      <x v="24"/>
    </i>
    <i>
      <x v="675"/>
      <x v="2"/>
      <x v="1437"/>
      <x v="13"/>
    </i>
    <i r="2">
      <x v="1438"/>
      <x v="6"/>
    </i>
    <i>
      <x v="677"/>
      <x v="2"/>
      <x v="1439"/>
      <x v="24"/>
    </i>
    <i>
      <x v="678"/>
      <x v="2"/>
      <x v="1440"/>
      <x v="13"/>
    </i>
    <i r="2">
      <x v="1441"/>
      <x v="6"/>
    </i>
    <i r="2">
      <x v="1442"/>
      <x v="9"/>
    </i>
    <i>
      <x v="681"/>
      <x v="2"/>
      <x v="1443"/>
      <x v="13"/>
    </i>
    <i r="2">
      <x v="1444"/>
      <x v="6"/>
    </i>
    <i r="2">
      <x v="1445"/>
      <x v="9"/>
    </i>
    <i>
      <x v="684"/>
      <x v="2"/>
      <x v="1446"/>
      <x v="9"/>
    </i>
    <i r="2">
      <x v="1447"/>
      <x v="24"/>
    </i>
    <i>
      <x v="685"/>
      <x v="2"/>
      <x v="1448"/>
      <x v="9"/>
    </i>
    <i r="2">
      <x v="1449"/>
      <x v="9"/>
    </i>
    <i>
      <x v="686"/>
      <x v="2"/>
      <x v="1451"/>
      <x v="8"/>
    </i>
    <i>
      <x v="687"/>
      <x v="2"/>
      <x v="1453"/>
      <x v="8"/>
    </i>
    <i>
      <x v="691"/>
      <x v="2"/>
      <x v="1457"/>
      <x v="8"/>
    </i>
    <i>
      <x v="693"/>
      <x v="2"/>
      <x v="1460"/>
      <x v="9"/>
    </i>
    <i>
      <x v="694"/>
      <x v="2"/>
      <x v="1461"/>
      <x v="8"/>
    </i>
    <i>
      <x v="695"/>
      <x v="2"/>
      <x v="1462"/>
      <x v="8"/>
    </i>
    <i r="2">
      <x v="1463"/>
      <x v="8"/>
    </i>
    <i>
      <x v="697"/>
      <x v="2"/>
      <x v="1465"/>
      <x v="4"/>
    </i>
    <i r="2">
      <x v="1466"/>
      <x v="4"/>
    </i>
    <i>
      <x v="700"/>
      <x v="2"/>
      <x v="1469"/>
      <x v="4"/>
    </i>
    <i r="2">
      <x v="1470"/>
      <x v="4"/>
    </i>
    <i>
      <x v="703"/>
      <x v="2"/>
      <x v="1473"/>
      <x v="4"/>
    </i>
    <i r="2">
      <x v="1474"/>
      <x v="4"/>
    </i>
    <i>
      <x v="704"/>
      <x v="2"/>
      <x v="1475"/>
      <x v="18"/>
    </i>
    <i>
      <x v="705"/>
      <x v="2"/>
      <x v="1476"/>
      <x v="6"/>
    </i>
    <i>
      <x v="706"/>
      <x v="2"/>
      <x v="1477"/>
      <x v="6"/>
    </i>
    <i>
      <x v="707"/>
      <x v="2"/>
      <x v="1478"/>
      <x v="6"/>
    </i>
    <i>
      <x v="710"/>
      <x v="2"/>
      <x v="1481"/>
      <x v="6"/>
    </i>
    <i>
      <x v="711"/>
      <x v="2"/>
      <x v="1480"/>
      <x v="6"/>
    </i>
    <i r="2">
      <x v="1482"/>
      <x v="6"/>
    </i>
    <i>
      <x v="712"/>
      <x v="2"/>
      <x v="1485"/>
      <x v="6"/>
    </i>
    <i>
      <x v="713"/>
      <x v="2"/>
      <x v="1484"/>
      <x v="6"/>
    </i>
    <i>
      <x v="714"/>
      <x v="2"/>
      <x v="1483"/>
      <x v="6"/>
    </i>
    <i>
      <x v="715"/>
      <x v="2"/>
      <x v="1488"/>
      <x v="6"/>
    </i>
    <i>
      <x v="716"/>
      <x v="2"/>
      <x v="1487"/>
      <x v="6"/>
    </i>
    <i>
      <x v="717"/>
      <x v="2"/>
      <x v="1486"/>
      <x v="6"/>
    </i>
    <i>
      <x v="718"/>
      <x v="2"/>
      <x v="1489"/>
      <x v="1"/>
    </i>
    <i>
      <x v="723"/>
      <x v="2"/>
      <x v="1496"/>
      <x v="8"/>
    </i>
    <i>
      <x v="726"/>
      <x v="2"/>
      <x v="1499"/>
      <x v="4"/>
    </i>
    <i>
      <x v="727"/>
      <x v="2"/>
      <x v="1500"/>
      <x v="4"/>
    </i>
    <i>
      <x v="731"/>
      <x v="2"/>
      <x v="1504"/>
      <x v="1"/>
    </i>
    <i>
      <x v="734"/>
      <x v="2"/>
      <x v="1507"/>
      <x v="8"/>
    </i>
    <i>
      <x v="735"/>
      <x v="2"/>
      <x v="1508"/>
      <x v="8"/>
    </i>
    <i>
      <x v="737"/>
      <x v="2"/>
      <x v="1510"/>
      <x v="4"/>
    </i>
    <i>
      <x v="740"/>
      <x v="2"/>
      <x v="1513"/>
      <x v="4"/>
    </i>
    <i>
      <x v="745"/>
      <x v="2"/>
      <x v="1518"/>
      <x v="8"/>
    </i>
    <i>
      <x v="774"/>
      <x v="2"/>
      <x v="1143"/>
      <x v="6"/>
    </i>
    <i>
      <x v="779"/>
      <x v="2"/>
      <x v="1145"/>
      <x v="4"/>
    </i>
    <i>
      <x v="799"/>
      <x v="2"/>
      <x v="1008"/>
      <x v="6"/>
    </i>
    <i>
      <x v="803"/>
      <x v="2"/>
      <x v="1010"/>
      <x v="6"/>
    </i>
    <i>
      <x v="1258"/>
      <x v="2"/>
      <x v="954"/>
      <x v="6"/>
    </i>
    <i>
      <x v="1259"/>
      <x v="2"/>
      <x v="959"/>
      <x v="8"/>
    </i>
    <i>
      <x v="1260"/>
      <x v="2"/>
      <x v="968"/>
      <x v="12"/>
    </i>
    <i r="2">
      <x v="969"/>
      <x v="6"/>
    </i>
    <i>
      <x v="1261"/>
      <x v="2"/>
      <x v="970"/>
      <x v="12"/>
    </i>
    <i r="2">
      <x v="971"/>
      <x v="6"/>
    </i>
    <i>
      <x v="1262"/>
      <x v="2"/>
      <x v="972"/>
      <x v="8"/>
    </i>
    <i r="2">
      <x v="973"/>
      <x v="8"/>
    </i>
    <i>
      <x v="1263"/>
      <x v="2"/>
      <x v="974"/>
      <x v="8"/>
    </i>
    <i>
      <x v="1264"/>
      <x v="2"/>
      <x v="978"/>
      <x v="8"/>
    </i>
    <i r="2">
      <x v="979"/>
      <x v="8"/>
    </i>
    <i>
      <x v="1265"/>
      <x v="2"/>
      <x v="980"/>
      <x v="8"/>
    </i>
    <i>
      <x v="1266"/>
      <x v="2"/>
      <x v="996"/>
      <x v="6"/>
    </i>
    <i>
      <x v="1267"/>
      <x v="2"/>
      <x v="997"/>
      <x v="6"/>
    </i>
    <i>
      <x v="1268"/>
      <x v="2"/>
      <x v="998"/>
      <x v="6"/>
    </i>
    <i>
      <x v="1269"/>
      <x v="2"/>
      <x v="999"/>
      <x v="6"/>
    </i>
    <i>
      <x v="1270"/>
      <x v="2"/>
      <x v="1000"/>
      <x v="6"/>
    </i>
    <i>
      <x v="1271"/>
      <x v="2"/>
      <x v="1001"/>
      <x v="6"/>
    </i>
    <i>
      <x v="1272"/>
      <x v="2"/>
      <x v="1007"/>
      <x v="6"/>
    </i>
    <i>
      <x v="1273"/>
      <x v="2"/>
      <x v="1009"/>
      <x v="6"/>
    </i>
    <i>
      <x v="1274"/>
      <x v="2"/>
      <x v="1011"/>
      <x v="6"/>
    </i>
    <i>
      <x v="1275"/>
      <x v="2"/>
      <x v="1012"/>
      <x v="6"/>
    </i>
    <i>
      <x v="1276"/>
      <x v="2"/>
      <x v="1013"/>
      <x v="6"/>
    </i>
    <i>
      <x v="1277"/>
      <x v="2"/>
      <x v="1018"/>
      <x v="13"/>
    </i>
    <i>
      <x v="1278"/>
      <x v="2"/>
      <x v="1019"/>
      <x v="8"/>
    </i>
    <i>
      <x v="1279"/>
      <x v="2"/>
      <x v="1020"/>
      <x v="13"/>
    </i>
    <i>
      <x v="1280"/>
      <x v="2"/>
      <x v="1022"/>
      <x v="14"/>
    </i>
    <i>
      <x v="1281"/>
      <x v="2"/>
      <x v="1024"/>
      <x v="13"/>
    </i>
    <i>
      <x v="1282"/>
      <x v="2"/>
      <x v="1026"/>
      <x v="13"/>
    </i>
    <i r="2">
      <x v="1028"/>
      <x v="13"/>
    </i>
    <i>
      <x v="1283"/>
      <x v="2"/>
      <x v="1030"/>
      <x v="13"/>
    </i>
    <i>
      <x v="1284"/>
      <x v="2"/>
      <x v="1040"/>
      <x v="4"/>
    </i>
    <i>
      <x v="1285"/>
      <x v="2"/>
      <x v="1041"/>
      <x v="8"/>
    </i>
    <i>
      <x v="1286"/>
      <x v="2"/>
      <x v="1049"/>
      <x v="4"/>
    </i>
    <i>
      <x v="1287"/>
      <x v="2"/>
      <x v="1050"/>
      <x v="6"/>
    </i>
    <i>
      <x v="1288"/>
      <x v="2"/>
      <x v="1051"/>
      <x v="16"/>
    </i>
    <i>
      <x v="1289"/>
      <x v="2"/>
      <x v="1052"/>
      <x v="13"/>
    </i>
    <i>
      <x v="1290"/>
      <x v="2"/>
      <x v="1053"/>
      <x v="8"/>
    </i>
    <i>
      <x v="1291"/>
      <x v="2"/>
      <x v="1054"/>
      <x v="13"/>
    </i>
    <i>
      <x v="1292"/>
      <x v="2"/>
      <x v="1055"/>
      <x v="8"/>
    </i>
    <i>
      <x v="1293"/>
      <x v="2"/>
      <x v="1111"/>
      <x v="8"/>
    </i>
    <i>
      <x v="1294"/>
      <x v="2"/>
      <x v="1113"/>
      <x v="8"/>
    </i>
    <i>
      <x v="1295"/>
      <x v="2"/>
      <x v="1126"/>
      <x v="8"/>
    </i>
    <i r="2">
      <x v="1127"/>
      <x v="8"/>
    </i>
    <i r="2">
      <x v="1128"/>
      <x v="8"/>
    </i>
    <i>
      <x v="1296"/>
      <x v="2"/>
      <x v="1129"/>
      <x v="8"/>
    </i>
    <i r="2">
      <x v="1130"/>
      <x v="8"/>
    </i>
    <i r="2">
      <x v="1131"/>
      <x v="8"/>
    </i>
    <i>
      <x v="1297"/>
      <x v="2"/>
      <x v="1132"/>
      <x v="8"/>
    </i>
    <i r="2">
      <x v="1133"/>
      <x v="8"/>
    </i>
    <i r="2">
      <x v="1134"/>
      <x v="8"/>
    </i>
    <i r="2">
      <x v="1135"/>
      <x v="8"/>
    </i>
    <i>
      <x v="1298"/>
      <x v="2"/>
      <x v="1136"/>
      <x v="13"/>
    </i>
    <i>
      <x v="1299"/>
      <x v="2"/>
      <x v="1138"/>
      <x v="8"/>
    </i>
    <i>
      <x v="1300"/>
      <x v="2"/>
      <x v="1139"/>
      <x v="8"/>
    </i>
    <i>
      <x v="1301"/>
      <x v="2"/>
      <x v="1141"/>
      <x v="8"/>
    </i>
    <i>
      <x v="1302"/>
      <x v="2"/>
      <x v="1150"/>
      <x v="8"/>
    </i>
    <i>
      <x v="1303"/>
      <x v="2"/>
      <x v="1151"/>
      <x v="8"/>
    </i>
    <i>
      <x v="1304"/>
      <x v="2"/>
      <x v="1152"/>
      <x v="6"/>
    </i>
    <i>
      <x v="1305"/>
      <x v="2"/>
      <x v="1153"/>
      <x v="8"/>
    </i>
    <i>
      <x v="1306"/>
      <x v="2"/>
      <x v="1154"/>
      <x v="6"/>
    </i>
    <i>
      <x v="1307"/>
      <x v="2"/>
      <x v="1155"/>
      <x v="8"/>
    </i>
    <i>
      <x v="1308"/>
      <x v="2"/>
      <x v="1156"/>
      <x v="8"/>
    </i>
    <i>
      <x v="1309"/>
      <x v="2"/>
      <x v="1157"/>
      <x v="8"/>
    </i>
    <i>
      <x v="1310"/>
      <x v="2"/>
      <x v="1158"/>
      <x v="8"/>
    </i>
    <i>
      <x v="1311"/>
      <x v="2"/>
      <x v="1159"/>
      <x v="8"/>
    </i>
    <i>
      <x v="1312"/>
      <x v="2"/>
      <x v="1160"/>
      <x v="8"/>
    </i>
    <i>
      <x v="1313"/>
      <x v="2"/>
      <x v="1161"/>
      <x v="8"/>
    </i>
    <i>
      <x v="1314"/>
      <x v="2"/>
      <x v="1200"/>
      <x v="8"/>
    </i>
    <i>
      <x v="1315"/>
      <x v="2"/>
      <x v="1202"/>
      <x v="8"/>
    </i>
    <i>
      <x v="1316"/>
      <x v="2"/>
      <x v="1205"/>
      <x v="8"/>
    </i>
    <i>
      <x v="1317"/>
      <x v="2"/>
      <x v="1218"/>
      <x v="18"/>
    </i>
    <i r="2">
      <x v="1219"/>
      <x v="18"/>
    </i>
    <i>
      <x v="1318"/>
      <x v="2"/>
      <x v="1225"/>
      <x v="18"/>
    </i>
    <i>
      <x v="1319"/>
      <x v="2"/>
      <x v="1235"/>
      <x v="8"/>
    </i>
    <i>
      <x v="1320"/>
      <x v="2"/>
      <x v="1239"/>
      <x v="8"/>
    </i>
    <i>
      <x v="1321"/>
      <x v="2"/>
      <x v="1300"/>
      <x v="14"/>
    </i>
    <i>
      <x v="1322"/>
      <x v="2"/>
      <x v="1306"/>
      <x v="14"/>
    </i>
    <i>
      <x v="1323"/>
      <x v="2"/>
      <x v="1308"/>
      <x v="14"/>
    </i>
    <i>
      <x v="1324"/>
      <x v="2"/>
      <x v="1310"/>
      <x v="6"/>
    </i>
    <i>
      <x v="1325"/>
      <x v="2"/>
      <x v="1313"/>
      <x v="8"/>
    </i>
    <i>
      <x v="1326"/>
      <x v="2"/>
      <x v="1408"/>
      <x v="8"/>
    </i>
    <i>
      <x v="1327"/>
      <x v="2"/>
      <x v="1409"/>
      <x v="8"/>
    </i>
    <i>
      <x v="1328"/>
      <x v="2"/>
      <x v="1417"/>
      <x v="8"/>
    </i>
    <i>
      <x v="1329"/>
      <x v="2"/>
      <x v="1418"/>
      <x v="8"/>
    </i>
    <i>
      <x v="1330"/>
      <x v="2"/>
      <x v="1450"/>
      <x v="8"/>
    </i>
    <i>
      <x v="1331"/>
      <x v="2"/>
      <x v="1452"/>
      <x v="8"/>
    </i>
    <i>
      <x v="1332"/>
      <x v="2"/>
      <x v="1454"/>
      <x v="9"/>
    </i>
    <i>
      <x v="1333"/>
      <x v="2"/>
      <x v="1455"/>
      <x v="9"/>
    </i>
    <i>
      <x v="1334"/>
      <x v="2"/>
      <x v="1456"/>
      <x v="8"/>
    </i>
    <i>
      <x v="1335"/>
      <x v="2"/>
      <x v="1458"/>
      <x v="9"/>
    </i>
    <i>
      <x v="1336"/>
      <x v="2"/>
      <x v="1459"/>
      <x v="9"/>
    </i>
    <i>
      <x v="1337"/>
      <x v="2"/>
      <x v="1464"/>
      <x v="4"/>
    </i>
    <i>
      <x v="1338"/>
      <x v="2"/>
      <x v="1467"/>
      <x v="18"/>
    </i>
    <i>
      <x v="1339"/>
      <x v="2"/>
      <x v="1468"/>
      <x v="4"/>
    </i>
    <i>
      <x v="1340"/>
      <x v="2"/>
      <x v="1471"/>
      <x v="18"/>
    </i>
    <i>
      <x v="1341"/>
      <x v="2"/>
      <x v="1472"/>
      <x v="4"/>
    </i>
    <i>
      <x v="1342"/>
      <x v="2"/>
      <x v="1479"/>
      <x v="4"/>
    </i>
    <i>
      <x v="1343"/>
      <x v="2"/>
      <x v="1490"/>
      <x v="20"/>
    </i>
    <i>
      <x v="1344"/>
      <x v="2"/>
      <x v="1491"/>
      <x v="9"/>
    </i>
    <i>
      <x v="1345"/>
      <x v="2"/>
      <x v="1492"/>
      <x v="8"/>
    </i>
    <i>
      <x v="1346"/>
      <x v="2"/>
      <x v="1493"/>
      <x v="8"/>
    </i>
    <i>
      <x v="1347"/>
      <x v="2"/>
      <x v="1494"/>
      <x v="8"/>
    </i>
    <i>
      <x v="1348"/>
      <x v="2"/>
      <x v="1495"/>
      <x v="24"/>
    </i>
    <i>
      <x v="1349"/>
      <x v="2"/>
      <x v="1497"/>
      <x v="4"/>
    </i>
    <i>
      <x v="1350"/>
      <x v="2"/>
      <x v="1498"/>
      <x v="4"/>
    </i>
    <i>
      <x v="1351"/>
      <x v="2"/>
      <x v="1501"/>
      <x v="4"/>
    </i>
    <i>
      <x v="1352"/>
      <x v="2"/>
      <x v="1502"/>
      <x v="4"/>
    </i>
    <i>
      <x v="1353"/>
      <x v="2"/>
      <x v="1503"/>
      <x v="8"/>
    </i>
    <i>
      <x v="1354"/>
      <x v="2"/>
      <x v="1505"/>
      <x v="6"/>
    </i>
    <i>
      <x v="1355"/>
      <x v="2"/>
      <x v="1506"/>
      <x v="6"/>
    </i>
    <i>
      <x v="1356"/>
      <x v="2"/>
      <x v="1509"/>
      <x v="12"/>
    </i>
    <i>
      <x v="1357"/>
      <x v="2"/>
      <x v="1511"/>
      <x v="4"/>
    </i>
    <i>
      <x v="1358"/>
      <x v="2"/>
      <x v="1512"/>
      <x v="4"/>
    </i>
    <i>
      <x v="1359"/>
      <x v="2"/>
      <x v="1514"/>
      <x v="18"/>
    </i>
    <i>
      <x v="1360"/>
      <x v="2"/>
      <x v="1515"/>
      <x v="1"/>
    </i>
    <i>
      <x v="1361"/>
      <x v="2"/>
      <x v="1516"/>
      <x v="6"/>
    </i>
    <i>
      <x v="1362"/>
      <x v="2"/>
      <x v="1520"/>
      <x v="8"/>
    </i>
    <i>
      <x v="1363"/>
      <x v="2"/>
      <x v="1521"/>
      <x v="8"/>
    </i>
    <i>
      <x v="1364"/>
      <x v="2"/>
      <x v="1522"/>
      <x v="8"/>
    </i>
    <i>
      <x v="1365"/>
      <x v="2"/>
      <x v="1523"/>
      <x v="8"/>
    </i>
    <i>
      <x v="1366"/>
      <x v="2"/>
      <x v="1524"/>
      <x v="8"/>
    </i>
    <i r="2">
      <x v="1525"/>
      <x v="8"/>
    </i>
    <i>
      <x v="1367"/>
      <x v="2"/>
      <x v="1526"/>
      <x v="8"/>
    </i>
    <i>
      <x v="1368"/>
      <x v="2"/>
      <x v="1527"/>
      <x v="8"/>
    </i>
    <i>
      <x v="1369"/>
      <x v="2"/>
      <x v="1528"/>
      <x v="8"/>
    </i>
    <i>
      <x v="1370"/>
      <x v="2"/>
      <x v="1529"/>
      <x v="9"/>
    </i>
    <i>
      <x v="1371"/>
      <x v="2"/>
      <x v="1530"/>
      <x v="9"/>
    </i>
    <i r="2">
      <x v="1531"/>
      <x v="9"/>
    </i>
    <i>
      <x v="1372"/>
      <x v="2"/>
      <x v="1532"/>
      <x v="9"/>
    </i>
    <i r="2">
      <x v="1533"/>
      <x v="9"/>
    </i>
    <i>
      <x v="1373"/>
      <x v="2"/>
      <x v="1534"/>
      <x v="9"/>
    </i>
    <i r="2">
      <x v="1535"/>
      <x v="9"/>
    </i>
    <i>
      <x v="1374"/>
      <x v="2"/>
      <x v="1536"/>
      <x v="9"/>
    </i>
    <i>
      <x v="1375"/>
      <x v="2"/>
      <x v="1537"/>
      <x v="9"/>
    </i>
    <i>
      <x v="1376"/>
      <x v="2"/>
      <x v="1538"/>
      <x v="8"/>
    </i>
    <i>
      <x v="1377"/>
      <x v="2"/>
      <x v="1539"/>
      <x v="24"/>
    </i>
    <i>
      <x v="1378"/>
      <x v="2"/>
      <x v="1540"/>
      <x v="4"/>
    </i>
    <i>
      <x v="1379"/>
      <x v="2"/>
      <x v="1541"/>
      <x v="8"/>
    </i>
    <i>
      <x v="1380"/>
      <x v="2"/>
      <x v="1542"/>
      <x v="8"/>
    </i>
    <i>
      <x v="1381"/>
      <x v="2"/>
      <x v="1543"/>
      <x v="4"/>
    </i>
    <i>
      <x v="1382"/>
      <x v="2"/>
      <x v="1544"/>
      <x v="8"/>
    </i>
    <i r="2">
      <x v="1545"/>
      <x v="8"/>
    </i>
    <i>
      <x v="1383"/>
      <x v="2"/>
      <x v="1546"/>
      <x v="8"/>
    </i>
    <i>
      <x v="1384"/>
      <x v="2"/>
      <x v="1547"/>
      <x v="4"/>
    </i>
    <i>
      <x v="1385"/>
      <x v="2"/>
      <x v="1548"/>
      <x v="13"/>
    </i>
    <i>
      <x v="1386"/>
      <x v="2"/>
      <x v="1549"/>
      <x v="8"/>
    </i>
    <i>
      <x v="1387"/>
      <x v="2"/>
      <x v="1550"/>
      <x v="8"/>
    </i>
    <i>
      <x v="1388"/>
      <x v="2"/>
      <x v="1551"/>
      <x v="8"/>
    </i>
    <i>
      <x v="1389"/>
      <x v="2"/>
      <x v="1552"/>
      <x v="12"/>
    </i>
    <i r="2">
      <x v="1553"/>
      <x v="12"/>
    </i>
    <i>
      <x v="1390"/>
      <x v="2"/>
      <x v="1554"/>
      <x v="12"/>
    </i>
    <i r="2">
      <x v="1555"/>
      <x v="12"/>
    </i>
    <i>
      <x v="1391"/>
      <x v="2"/>
      <x v="1556"/>
      <x v="13"/>
    </i>
    <i>
      <x v="1392"/>
      <x v="2"/>
      <x v="1557"/>
      <x v="8"/>
    </i>
    <i>
      <x v="1393"/>
      <x v="2"/>
      <x v="1558"/>
      <x v="8"/>
    </i>
    <i>
      <x v="1394"/>
      <x v="2"/>
      <x v="1559"/>
      <x v="4"/>
    </i>
    <i>
      <x v="1395"/>
      <x v="2"/>
      <x v="1560"/>
      <x v="12"/>
    </i>
    <i>
      <x v="1396"/>
      <x v="2"/>
      <x v="1561"/>
      <x v="13"/>
    </i>
    <i>
      <x v="1397"/>
      <x v="2"/>
      <x v="1562"/>
      <x v="8"/>
    </i>
    <i>
      <x v="1398"/>
      <x v="2"/>
      <x v="1563"/>
      <x v="8"/>
    </i>
    <i>
      <x v="1399"/>
      <x v="2"/>
      <x v="1564"/>
      <x v="4"/>
    </i>
    <i>
      <x v="1400"/>
      <x v="2"/>
      <x v="1565"/>
      <x v="8"/>
    </i>
    <i r="2">
      <x v="1566"/>
      <x v="8"/>
    </i>
    <i>
      <x v="1401"/>
      <x v="2"/>
      <x v="1567"/>
      <x v="8"/>
    </i>
    <i>
      <x v="1402"/>
      <x v="2"/>
      <x v="1568"/>
      <x v="8"/>
    </i>
    <i>
      <x v="1403"/>
      <x v="2"/>
      <x v="1569"/>
      <x v="8"/>
    </i>
    <i r="2">
      <x v="1570"/>
      <x v="8"/>
    </i>
    <i>
      <x v="1404"/>
      <x v="2"/>
      <x v="1571"/>
      <x v="8"/>
    </i>
    <i r="2">
      <x v="1572"/>
      <x v="8"/>
    </i>
    <i>
      <x v="1405"/>
      <x v="2"/>
      <x v="1573"/>
      <x v="8"/>
    </i>
    <i r="2">
      <x v="1574"/>
      <x v="24"/>
    </i>
    <i>
      <x v="1406"/>
      <x v="2"/>
      <x v="1575"/>
      <x v="17"/>
    </i>
    <i>
      <x v="1407"/>
      <x v="2"/>
      <x v="1576"/>
      <x v="6"/>
    </i>
    <i>
      <x v="1408"/>
      <x v="2"/>
      <x v="1577"/>
      <x v="6"/>
    </i>
    <i>
      <x v="1409"/>
      <x v="2"/>
      <x v="1578"/>
      <x v="6"/>
    </i>
    <i>
      <x v="1410"/>
      <x v="2"/>
      <x v="1579"/>
      <x v="6"/>
    </i>
    <i>
      <x v="1411"/>
      <x v="2"/>
      <x v="1580"/>
      <x v="6"/>
    </i>
    <i>
      <x v="1412"/>
      <x v="2"/>
      <x v="1581"/>
      <x v="6"/>
    </i>
    <i r="2">
      <x v="1582"/>
      <x v="6"/>
    </i>
    <i>
      <x v="1413"/>
      <x v="2"/>
      <x v="1583"/>
      <x v="6"/>
    </i>
    <i>
      <x v="1414"/>
      <x v="2"/>
      <x v="1584"/>
      <x v="8"/>
    </i>
    <i>
      <x v="1415"/>
      <x v="2"/>
      <x v="1585"/>
      <x v="4"/>
    </i>
    <i>
      <x v="1416"/>
      <x v="2"/>
      <x v="1586"/>
      <x v="8"/>
    </i>
    <i>
      <x v="1417"/>
      <x v="2"/>
      <x v="1587"/>
      <x v="8"/>
    </i>
    <i>
      <x v="1418"/>
      <x v="2"/>
      <x v="1588"/>
      <x v="8"/>
    </i>
    <i>
      <x v="1419"/>
      <x v="2"/>
      <x v="1589"/>
      <x v="4"/>
    </i>
    <i>
      <x v="1420"/>
      <x v="2"/>
      <x v="1590"/>
      <x v="4"/>
    </i>
    <i>
      <x v="1421"/>
      <x v="2"/>
      <x v="1591"/>
      <x v="24"/>
    </i>
    <i>
      <x v="1422"/>
      <x v="2"/>
      <x v="1592"/>
      <x v="24"/>
    </i>
    <i>
      <x v="1423"/>
      <x v="2"/>
      <x v="1593"/>
      <x v="8"/>
    </i>
    <i>
      <x v="1424"/>
      <x v="2"/>
      <x v="1594"/>
      <x v="4"/>
    </i>
    <i>
      <x v="1425"/>
      <x v="2"/>
      <x v="1595"/>
      <x v="4"/>
    </i>
    <i>
      <x v="1426"/>
      <x v="2"/>
      <x v="1596"/>
      <x v="4"/>
    </i>
  </rowItems>
  <colItems count="1">
    <i/>
  </colItems>
  <dataFields count="1">
    <dataField name="Sum of No. Urut_x000a_Item Sam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382EFE7-665D-4207-9D54-14A23CF8CDEF}" autoFormatId="16" applyNumberFormats="0" applyBorderFormats="0" applyFontFormats="0" applyPatternFormats="0" applyAlignmentFormats="0" applyWidthHeightFormats="0">
  <queryTableRefresh nextId="20" unboundColumnsRight="12">
    <queryTableFields count="14">
      <queryTableField id="1" name="Kode BARANG Win2" tableColumnId="1"/>
      <queryTableField id="2" name="Nama Win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6E8C0DB-6F64-42FC-9971-31730BBAFAAA}" autoFormatId="16" applyNumberFormats="0" applyBorderFormats="0" applyFontFormats="0" applyPatternFormats="0" applyAlignmentFormats="0" applyWidthHeightFormats="0">
  <queryTableRefresh nextId="33">
    <queryTableFields count="32">
      <queryTableField id="1" name="No. Urut_x000a_Item Sama" tableColumnId="1"/>
      <queryTableField id="2" name="NO" tableColumnId="2"/>
      <queryTableField id="3" name="Kode Pcpl" tableColumnId="3"/>
      <queryTableField id="4" name="Klp Brg Pcpl" tableColumnId="4"/>
      <queryTableField id="5" name="Nama Barang Principle" tableColumnId="5"/>
      <queryTableField id="6" name="ISI/CTN" tableColumnId="6"/>
      <queryTableField id="7" name="SATUAN Fix Win" tableColumnId="7"/>
      <queryTableField id="8" name="Nama Kelompok Win" tableColumnId="8"/>
      <queryTableField id="9" name="Kode Kelompok Win" tableColumnId="9"/>
      <queryTableField id="10" name="Kode BARANG Win2" tableColumnId="10"/>
      <queryTableField id="11" name="Nama Win" tableColumnId="11"/>
      <queryTableField id="12" name="Harga Beli Pcs_x000a_(-PPN)" tableColumnId="12"/>
      <queryTableField id="13" name="Harga Beli Krt_x000a_(- PPN)" tableColumnId="13"/>
      <queryTableField id="14" name="Harga Jual Pcs GT_x000a_(-PPN)" tableColumnId="14"/>
      <queryTableField id="15" name="Harga Jual Krt GT_x000a_(- PPN)" tableColumnId="15"/>
      <queryTableField id="16" name="Harga Jual Pcs MT_x000a_(-PPN)" tableColumnId="16"/>
      <queryTableField id="17" name="Harga Jual Krt MT_x000a_(- PPN)" tableColumnId="17"/>
      <queryTableField id="18" name="Efektif_x000a_Pembuatan" tableColumnId="18"/>
      <queryTableField id="19" name="Efektif Naik Harga" tableColumnId="19"/>
      <queryTableField id="20" name="Status_x000a_Pembuatan" tableColumnId="20"/>
      <queryTableField id="21" name="Status_x000a_Harga" tableColumnId="21"/>
      <queryTableField id="22" name="Mata Uang" tableColumnId="22"/>
      <queryTableField id="23" name="Kode_x000a_Golongan" tableColumnId="23"/>
      <queryTableField id="24" name="Nama Golongan" tableColumnId="24"/>
      <queryTableField id="25" name="Kode PCPL To Win" tableColumnId="25"/>
      <queryTableField id="26" name="Kode Jenis Produk" tableColumnId="26"/>
      <queryTableField id="27" name="SAT BSR" tableColumnId="27"/>
      <queryTableField id="28" name="GD" tableColumnId="28"/>
      <queryTableField id="29" name="Kode PRK" tableColumnId="29"/>
      <queryTableField id="30" name="Kode PRK SJ" tableColumnId="30"/>
      <queryTableField id="31" name="Kode Job" tableColumnId="31"/>
      <queryTableField id="32" name="Approval" tableColumnId="3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4E8FC-0C18-46EC-BF7A-2CBE5645C079}" name="Table3" displayName="Table3" ref="A3:J14" totalsRowShown="0" headerRowDxfId="156">
  <autoFilter ref="A3:J14" xr:uid="{3CC4D5B6-B490-422E-8111-BE237D0D794C}"/>
  <tableColumns count="10">
    <tableColumn id="1" xr3:uid="{911C5118-914E-48D1-AA30-354BE6F54D16}" name="KELOMPOK PRODUK"/>
    <tableColumn id="2" xr3:uid="{33CB9323-0BB0-41FC-B959-AE68F8080310}" name="KODE PRODUK PRINSIPAL"/>
    <tableColumn id="3" xr3:uid="{DD79DFFA-CFEB-46DF-BD83-666010AB5CA6}" name="NAMA ITEM"/>
    <tableColumn id="4" xr3:uid="{14FD4090-9DD9-4360-9BEE-5A6303183169}" name="ISI/CTN"/>
    <tableColumn id="5" xr3:uid="{56DAD7C6-63CA-4BDB-AD5F-4F05BB563172}" name="SATUAN"/>
    <tableColumn id="6" xr3:uid="{FA3A6DC6-5F76-4424-8127-494119FFBF06}" name="HARGA INCLUDE PPN 11% IN CTN" dataDxfId="155" dataCellStyle="Comma"/>
    <tableColumn id="7" xr3:uid="{F17EF59F-FE6A-4805-A859-F580036F8B9D}" name="HARGA/PCS" dataDxfId="154" dataCellStyle="Comma">
      <calculatedColumnFormula>F4/D4</calculatedColumnFormula>
    </tableColumn>
    <tableColumn id="9" xr3:uid="{0956C232-5F53-4AE3-BC84-3EECDC19C025}" name="Column1"/>
    <tableColumn id="10" xr3:uid="{C34810A5-11E9-4B56-A32C-DAE6BE9642D4}" name="Column2" dataDxfId="153">
      <calculatedColumnFormula>Table3[[#This Row],[Column1]]/Table3[[#This Row],[ISI/CTN]]</calculatedColumnFormula>
    </tableColumn>
    <tableColumn id="11" xr3:uid="{0347A8CD-4AE6-475E-B07F-CE542C96488B}" name="Column3" dataDxfId="152">
      <calculatedColumnFormula>Table3[[#This Row],[Column2]]/1.11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20A3E-EB42-433D-82B9-D9ECDD12057D}" name="Table43" displayName="Table43" ref="A5:BK656" totalsRowShown="0" headerRowDxfId="130" dataDxfId="129">
  <autoFilter ref="A5:BK656" xr:uid="{D5D20A3E-EB42-433D-82B9-D9ECDD12057D}"/>
  <tableColumns count="63">
    <tableColumn id="55" xr3:uid="{CB3BF274-8DCE-41BB-9B32-A4A0E5160E9E}" name="CONCATENATE MAPPING" dataDxfId="128">
      <calculatedColumnFormula>CONCATENATE(Table43[[#This Row],[Kode BARANG Win2]],Table43[[#This Row],[No. Urut
Item Sama]])</calculatedColumnFormula>
    </tableColumn>
    <tableColumn id="40" xr3:uid="{2E1680E1-9639-4221-9BF8-7FA5425DC2EE}" name="No. Urut_x000a_Item Sama" dataDxfId="127"/>
    <tableColumn id="1" xr3:uid="{85FE288B-8541-4641-996B-E6A8A5F4A6D2}" name="NO" dataDxfId="126"/>
    <tableColumn id="2" xr3:uid="{4D00D15C-8CB3-45EB-B893-46E3D9DA7E7C}" name="Kode Pcpl" dataDxfId="125"/>
    <tableColumn id="3" xr3:uid="{A6940086-DCF1-4D70-AC15-4DDB5A20527D}" name="Klp Brg Pcpl" dataDxfId="124"/>
    <tableColumn id="4" xr3:uid="{7868B435-2881-44F5-8127-2AC02BB8FF54}" name="Nama Barang Principle" dataDxfId="123"/>
    <tableColumn id="5" xr3:uid="{99EF5EBA-95A5-41BA-B5E2-F4186C4D7900}" name="ISI/CTN" dataDxfId="122"/>
    <tableColumn id="60" xr3:uid="{5958516F-260E-4067-B49A-D1FC7947E931}" name="Column1" dataDxfId="121"/>
    <tableColumn id="6" xr3:uid="{C1544D2E-EA97-44D5-93EC-E4EA2D3EB898}" name="SATUAN Fix Win" dataDxfId="120">
      <calculatedColumnFormula>Table43[[#This Row],[Nama Jenis Kemasan]]</calculatedColumnFormula>
    </tableColumn>
    <tableColumn id="25" xr3:uid="{B5B6B568-DDF2-46D3-84E9-AC1305514F44}" name="Nama Kelompok Win" dataDxfId="119">
      <calculatedColumnFormula>TRIM(CONCATENATE(Table43[[#This Row],[Nama            KLP]]," ",Table43[[#This Row],[Nama            Sub KLP]]))</calculatedColumnFormula>
    </tableColumn>
    <tableColumn id="26" xr3:uid="{A57EB52D-3F84-4191-BC9F-FA7B061662B6}" name="Kode Kelompok Win" dataDxfId="118">
      <calculatedColumnFormula>CONCATENATE(Table43[[#This Row],[kode  2 Digit                (hrf+No)]],Table43[[#This Row],[kode  2 Digit                (Nomor)]],Table43[[#This Row],[kode  1 Digit                (Nomor)]])</calculatedColumnFormula>
    </tableColumn>
    <tableColumn id="7" xr3:uid="{3824BF96-301D-4579-9E73-FFA266E5091C}" name="Kode BARANG Win2" dataDxfId="117">
      <calculatedColumnFormula>IF(AG6="",CONCATENATE(Q6,S6,U6,W6,Y6,AA6,AC6,AE6),CONCATENATE(Q6,S6,U6,W6,Y6,AA6,AC6,AG6))</calculatedColumnFormula>
    </tableColumn>
    <tableColumn id="8" xr3:uid="{2295F7F9-3F13-4C88-A371-F469CABC65C0}" name="LEN 15" dataDxfId="116">
      <calculatedColumnFormula>LEN(L6)</calculatedColumnFormula>
    </tableColumn>
    <tableColumn id="9" xr3:uid="{3A8B9DDC-836C-4F5D-ABE0-9A18704E8F2F}" name="Nama Win" dataDxfId="115">
      <calculatedColumnFormula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calculatedColumnFormula>
    </tableColumn>
    <tableColumn id="10" xr3:uid="{BEE43B47-D690-43AA-8283-32254C2DE99E}" name="LEN 50" dataDxfId="114">
      <calculatedColumnFormula>LEN(N6)</calculatedColumnFormula>
    </tableColumn>
    <tableColumn id="11" xr3:uid="{B9517A5B-A4FE-4920-9655-E18B7E3BE7B3}" name="Nama Pcpl                   " dataDxfId="113"/>
    <tableColumn id="12" xr3:uid="{AF1BD272-63C7-4A44-9EC4-86FD521AC3C0}" name="kode  2 Digit                (hrf+No)" dataDxfId="112"/>
    <tableColumn id="13" xr3:uid="{8C295EE0-F0E2-49B5-A761-589A78DB5AEC}" name="Nama            KLP" dataDxfId="111"/>
    <tableColumn id="14" xr3:uid="{C61799E4-4666-420E-88B5-D408C4D80BD2}" name="kode  2 Digit                (Nomor)" dataDxfId="110"/>
    <tableColumn id="15" xr3:uid="{5CAD4DC6-D575-46B3-9B7D-358D6277FEE6}" name="Nama            Sub KLP" dataDxfId="109"/>
    <tableColumn id="16" xr3:uid="{B8BC8B9E-7657-4472-B25A-8BC91823519D}" name="kode  1 Digit                (Nomor)" dataDxfId="108"/>
    <tableColumn id="43" xr3:uid="{E0F6FDBF-0C58-4435-B37E-8F4982576C03}" name="Nama            Sub KLP2" dataDxfId="107"/>
    <tableColumn id="42" xr3:uid="{BC6E6B7F-CB37-4E76-811E-777A47DBB0FB}" name="kode  1 Digit                (Nomor)5" dataDxfId="106"/>
    <tableColumn id="17" xr3:uid="{CC15E84F-43D6-499C-9B97-7393C2E08DEE}" name="Nama            Aroma/             Rasa" dataDxfId="105"/>
    <tableColumn id="18" xr3:uid="{92F50D0B-B8AF-46C8-8DED-8C4FCA3EAB32}" name="kode  2 Digit                (Nomor)2" dataDxfId="104"/>
    <tableColumn id="19" xr3:uid="{FBD2E431-C8B9-4504-B534-37D23CA8CF4E}" name="Nama            Gramasi atau Jumlah Pack per CTN" dataDxfId="103"/>
    <tableColumn id="20" xr3:uid="{8C441438-C2B9-478E-8C3E-B106D86B98E9}" name="kode  4 Digit                (Nomor)" dataDxfId="102"/>
    <tableColumn id="21" xr3:uid="{FA81B4D2-C91D-48D8-BC87-E2FF2A9C0EAC}" name="Nama Jenis Kemasan" dataDxfId="101"/>
    <tableColumn id="22" xr3:uid="{FE91392F-15C5-40A5-B22B-A44F3233104A}" name="kode  1 Digit                (Nomor)3" dataDxfId="100"/>
    <tableColumn id="23" xr3:uid="{E66B432C-699E-4075-A1B9-59A3F37C2ED1}" name="Nama            Promo" dataDxfId="99"/>
    <tableColumn id="24" xr3:uid="{55D14A62-2546-4E0B-8CD7-497CC4E2EA7C}" name="kode  1 Digit                (Nomor)4" dataDxfId="98"/>
    <tableColumn id="57" xr3:uid="{CF6FE0CF-0631-4633-B8AF-03043297F2FD}" name="Gunakan ini apabila item tersebut sachet" dataDxfId="97"/>
    <tableColumn id="58" xr3:uid="{DC3F0DB1-1038-4591-AB0F-345C6EAA5DC1}" name="kode  1 Digit                (Nomor)32" dataDxfId="96"/>
    <tableColumn id="56" xr3:uid="{DD067543-3BD1-4D38-AA6D-E35DA527C969}" name="KET TAMBAHAN2" dataDxfId="95"/>
    <tableColumn id="63" xr3:uid="{67C5621D-B599-47A5-8B2A-18B8B3857343}" name="KET. GOLONGAN" dataDxfId="94"/>
    <tableColumn id="62" xr3:uid="{AE1DD367-C93E-4186-BDCE-3B52BF67AEC1}" name="kode  1 Digit_x000a_(Nomor)" dataDxfId="93"/>
    <tableColumn id="27" xr3:uid="{43E29ECC-C19C-400E-8523-C52F4136D842}" name="Harga Beli Pcs_x000a_(-PPN)" dataDxfId="92" dataCellStyle="Comma">
      <calculatedColumnFormula>Table43[[#This Row],[Harga Jual Pcs GT
(-PPN)]]-(Table43[[#This Row],[Harga Jual Pcs GT
(-PPN)]]*10%)</calculatedColumnFormula>
    </tableColumn>
    <tableColumn id="28" xr3:uid="{D3F6C878-9638-485B-BFAE-77D46CA11DC2}" name="Harga Beli Krt_x000a_(- PPN)" dataDxfId="91" dataCellStyle="Comma">
      <calculatedColumnFormula>Table43[[#This Row],[Harga Beli Pcs
(-PPN)]]*Table43[[#This Row],[ISI/CTN]]</calculatedColumnFormula>
    </tableColumn>
    <tableColumn id="29" xr3:uid="{6BE5CD38-736C-4EFB-9026-7BD3DFD3FB0E}" name="Harga Beli Pcs_x000a_(+PPN)" dataDxfId="90" dataCellStyle="Comma">
      <calculatedColumnFormula>Table43[[#This Row],[Harga Beli Pcs
(-PPN)]]*1.11</calculatedColumnFormula>
    </tableColumn>
    <tableColumn id="30" xr3:uid="{B77BDD11-ED64-4F63-9206-D9675922BDB4}" name="Harga Beli Krt_x000a_(+PPN)" dataDxfId="89" dataCellStyle="Comma">
      <calculatedColumnFormula>Table43[[#This Row],[Harga Beli Krt
(- PPN)]]*1.11</calculatedColumnFormula>
    </tableColumn>
    <tableColumn id="31" xr3:uid="{C3E69A61-BD61-48F6-8D18-55EB5DF5AFBC}" name="Harga Jual Pcs GT_x000a_(-PPN)" dataDxfId="88" dataCellStyle="Comma"/>
    <tableColumn id="32" xr3:uid="{5B07EF52-741F-4643-B20A-812423EABCF9}" name="Harga Jual Krt GT_x000a_(- PPN)" dataDxfId="87" dataCellStyle="Comma">
      <calculatedColumnFormula>Table43[[#This Row],[Harga Jual Pcs GT
(-PPN)]]*Table43[[#This Row],[ISI/CTN]]</calculatedColumnFormula>
    </tableColumn>
    <tableColumn id="33" xr3:uid="{0E2BA47E-1713-4BC9-93D3-FBF6E131CC8A}" name="Harga Jual Pcs GT_x000a_(+PPN" dataDxfId="86" dataCellStyle="Comma">
      <calculatedColumnFormula>Table43[[#This Row],[Harga Jual Pcs GT
(-PPN)]]*1.11</calculatedColumnFormula>
    </tableColumn>
    <tableColumn id="34" xr3:uid="{0E6414C5-AD77-4BAB-9B8A-BDCF6CC4C0B1}" name="Harga Jual Krt GT_x000a_(+PPN)" dataDxfId="85" dataCellStyle="Comma">
      <calculatedColumnFormula>Table43[[#This Row],[Harga Jual Krt GT
(- PPN)]]*1.11</calculatedColumnFormula>
    </tableColumn>
    <tableColumn id="35" xr3:uid="{B3D28969-A331-4293-BC40-54C14E70428D}" name="Harga Jual Pcs MT_x000a_(-PPN)" dataDxfId="84" dataCellStyle="Comma">
      <calculatedColumnFormula>Table43[[#This Row],[Harga Jual Pcs GT
(-PPN)]]</calculatedColumnFormula>
    </tableColumn>
    <tableColumn id="36" xr3:uid="{F0A0A596-FB37-4AF0-B84F-70D41FB9F986}" name="Harga Jual Krt MT_x000a_(- PPN)" dataDxfId="83" dataCellStyle="Comma">
      <calculatedColumnFormula>(Table43[[#This Row],[Harga Jual Pcs MT
(-PPN)]]*Table43[[#This Row],[ISI/CTN]])</calculatedColumnFormula>
    </tableColumn>
    <tableColumn id="37" xr3:uid="{87A4BECE-CCD9-42F5-BA52-C2CAF9EF9027}" name="Harga Jual Pcs MT_x000a_(+PPN)" dataDxfId="82" dataCellStyle="Comma">
      <calculatedColumnFormula>Table43[[#This Row],[Harga Jual Pcs MT
(-PPN)]]*1.11</calculatedColumnFormula>
    </tableColumn>
    <tableColumn id="38" xr3:uid="{54EE3428-4D28-41F3-82D8-5739689EF53C}" name="Harga Jual Krt MT_x000a_(+PPN)" dataDxfId="81" dataCellStyle="Comma">
      <calculatedColumnFormula>Table43[[#This Row],[Harga Jual Pcs MT
(+PPN)]]*Table43[[#This Row],[ISI/CTN]]</calculatedColumnFormula>
    </tableColumn>
    <tableColumn id="39" xr3:uid="{E06EB49C-38D8-4E02-AC5A-6F862094C95E}" name="Efektif_x000a_Pembuatan" dataDxfId="80"/>
    <tableColumn id="41" xr3:uid="{7110AEF5-00F8-472F-9973-F8BE88DA785A}" name="Efektif Naik Harga" dataDxfId="79"/>
    <tableColumn id="44" xr3:uid="{0F69406A-F478-4BF7-BD19-F56D18C4FC8A}" name="Status_x000a_Pembuatan" dataDxfId="78">
      <calculatedColumnFormula>IF(TODAY()-Table43[[#This Row],[Efektif
Pembuatan]]&gt;60,"Lama","Baru")</calculatedColumnFormula>
    </tableColumn>
    <tableColumn id="47" xr3:uid="{35F46EAF-E490-4324-90D9-53EF4A0476DF}" name="Status_x000a_Harga" dataDxfId="77">
      <calculatedColumnFormula>IF(TODAY()-Table43[[#This Row],[Efektif Naik Harga]]&lt;30,"Naik","Sama")</calculatedColumnFormula>
    </tableColumn>
    <tableColumn id="45" xr3:uid="{E21CA75C-0180-4056-B79A-CBE7BED6F65B}" name="Mata Uang" dataDxfId="76">
      <calculatedColumnFormula>IF(Table43[[#This Row],[Kode BARANG Win2]]&lt;&gt;"","IDR","")</calculatedColumnFormula>
    </tableColumn>
    <tableColumn id="46" xr3:uid="{E926CFF0-EF62-4403-95B7-24CA3D12C195}" name="Kode_x000a_Golongan" dataDxfId="75">
      <calculatedColumnFormula>CONCATENATE(Table43[[#This Row],[kode  1 Digit
(Nomor)]],Table43[[#This Row],[kode  4 Digit                (Nomor)]])</calculatedColumnFormula>
    </tableColumn>
    <tableColumn id="61" xr3:uid="{51D1CF97-5A92-49AF-A8A1-B202BF611E79}" name="Nama Golongan" dataDxfId="74">
      <calculatedColumnFormula>Table43[[#This Row],[Nama            Gramasi atau Jumlah Pack per CTN]]</calculatedColumnFormula>
    </tableColumn>
    <tableColumn id="48" xr3:uid="{92975CD6-815A-445A-8C23-15D307D7EC58}" name="Kode PCPL To Win" dataDxfId="73"/>
    <tableColumn id="59" xr3:uid="{F44C1E1F-D2BD-4517-8D72-EAECBFE5567D}" name="Kode Jenis Produk" dataDxfId="72"/>
    <tableColumn id="49" xr3:uid="{11501F91-51E4-4C7D-8E98-0DF693090419}" name="SAT BSR" dataDxfId="71">
      <calculatedColumnFormula>IF(Table43[[#This Row],[SATUAN Fix Win]]&lt;&gt;"","KRT")</calculatedColumnFormula>
    </tableColumn>
    <tableColumn id="50" xr3:uid="{8EACBA93-F18B-4F78-ABD5-7BACC7444F4A}" name="GD" dataDxfId="70">
      <calculatedColumnFormula>IF(Table43[[#This Row],[SATUAN Fix Win]]&lt;&gt;"","GD01")</calculatedColumnFormula>
    </tableColumn>
    <tableColumn id="51" xr3:uid="{30FB878C-CFE7-4C65-A919-5818ED52D5FB}" name="Kode PRK" dataDxfId="69">
      <calculatedColumnFormula>IF(Table43[[#This Row],[SATUAN Fix Win]]&lt;&gt;"",11611)</calculatedColumnFormula>
    </tableColumn>
    <tableColumn id="52" xr3:uid="{F08059D0-B0A7-45F8-BD19-C933CD841F0C}" name="Kode PRK SJ" dataDxfId="68">
      <calculatedColumnFormula>IF(Table43[[#This Row],[SATUAN Fix Win]]&lt;&gt;"",11612)</calculatedColumnFormula>
    </tableColumn>
    <tableColumn id="53" xr3:uid="{EE9508A7-8F3E-4D36-8983-7EA9BD849C9E}" name="Kode Job" dataDxfId="67"/>
    <tableColumn id="54" xr3:uid="{78C77ED1-929C-4C56-B83E-7D78EF2AD224}" name="Approval" dataDxfId="66">
      <calculatedColumnFormula>IF(Table43[[#This Row],[SATUAN Fix Win]]&lt;&gt;"",1)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98434C-26AE-48FD-B3F4-96948A08CD3B}" name="Table43_1" displayName="Table43_1" ref="A1:N604" tableType="queryTable" totalsRowShown="0" headerRowDxfId="63">
  <autoFilter ref="A1:N604" xr:uid="{DA98434C-26AE-48FD-B3F4-96948A08CD3B}"/>
  <tableColumns count="14">
    <tableColumn id="1" xr3:uid="{31BB9C54-2D8C-473F-9016-82E2E1A6443E}" uniqueName="1" name="Kode BARANG Win2" queryTableFieldId="1" dataDxfId="62"/>
    <tableColumn id="2" xr3:uid="{6A996067-9B57-423B-8632-80C898664E0E}" uniqueName="2" name="Nama Win" queryTableFieldId="2" dataDxfId="61"/>
    <tableColumn id="3" xr3:uid="{69DA0886-20BD-4E67-96D2-3AE6E0780CEE}" uniqueName="3" name="PCPL KODE 1" queryTableFieldId="3" dataDxfId="60"/>
    <tableColumn id="4" xr3:uid="{D83076C0-D597-4435-ACF4-A22A4A438E13}" uniqueName="4" name="PCPL KODE 2" queryTableFieldId="4" dataDxfId="59"/>
    <tableColumn id="5" xr3:uid="{595AB651-18CD-4D1D-8C4D-89D5370E9776}" uniqueName="5" name="PCPL KODE 3" queryTableFieldId="5" dataDxfId="58"/>
    <tableColumn id="6" xr3:uid="{28FEB60B-DF21-48F8-BEA5-48DBC48A5B75}" uniqueName="6" name="PCPL KODE 4" queryTableFieldId="6" dataDxfId="57"/>
    <tableColumn id="7" xr3:uid="{E4822B09-9A4D-421C-8B71-CFB4D19DA6D5}" uniqueName="7" name="PCPL KODE 5" queryTableFieldId="7" dataDxfId="56"/>
    <tableColumn id="8" xr3:uid="{2B9625D1-E7A6-425F-AE18-AA78FF6F6F6F}" uniqueName="8" name="QTY 1" queryTableFieldId="8" dataDxfId="55" dataCellStyle="Comma">
      <calculatedColumnFormula>IFERROR(VLOOKUP(Table43_1[[#This Row],[PCPL KODE 1]],#REF!,3,0),0)</calculatedColumnFormula>
    </tableColumn>
    <tableColumn id="9" xr3:uid="{078D128D-6B2B-42AC-B0F8-6C5D7674D4F9}" uniqueName="9" name="QTY 2" queryTableFieldId="9" dataDxfId="54" dataCellStyle="Comma">
      <calculatedColumnFormula>IFERROR(VLOOKUP(Table43_1[[#This Row],[PCPL KODE 2]],#REF!,3,0),0)</calculatedColumnFormula>
    </tableColumn>
    <tableColumn id="10" xr3:uid="{8B8DCD9B-5C07-478F-A69A-E690EB9CEC42}" uniqueName="10" name="QTY 3" queryTableFieldId="10" dataDxfId="53" dataCellStyle="Comma">
      <calculatedColumnFormula>IFERROR(VLOOKUP(Table43_1[[#This Row],[PCPL KODE 3]],#REF!,3,0),0)</calculatedColumnFormula>
    </tableColumn>
    <tableColumn id="11" xr3:uid="{61BB3F9B-02BD-443D-AFDE-4597D89ADE11}" uniqueName="11" name="QTY 4" queryTableFieldId="11" dataDxfId="52" dataCellStyle="Comma">
      <calculatedColumnFormula>IFERROR(VLOOKUP(Table43_1[[#This Row],[PCPL KODE 4]],#REF!,3,0),0)</calculatedColumnFormula>
    </tableColumn>
    <tableColumn id="12" xr3:uid="{FCA6FEB2-B449-465B-8813-355FDC83FAD1}" uniqueName="12" name="QTY 5" queryTableFieldId="12" dataDxfId="51" dataCellStyle="Comma">
      <calculatedColumnFormula>IFERROR(VLOOKUP(Table43_1[[#This Row],[PCPL KODE 5]],#REF!,3,0),0)</calculatedColumnFormula>
    </tableColumn>
    <tableColumn id="13" xr3:uid="{F70EC693-ADD7-46BB-8474-0DE60B21C458}" uniqueName="13" name="TOTAL QTY" queryTableFieldId="13" dataDxfId="50" dataCellStyle="Comma">
      <calculatedColumnFormula>Table43_1[[#This Row],[QTY 1]]+Table43_1[[#This Row],[QTY 2]]+Table43_1[[#This Row],[QTY 3]]+Table43_1[[#This Row],[QTY 4]]+Table43_1[[#This Row],[QTY 5]]</calculatedColumnFormula>
    </tableColumn>
    <tableColumn id="14" xr3:uid="{E3E157C2-70D5-4782-9ACC-4ED331A864E2}" uniqueName="14" name="ISI" queryTableFieldId="14" dataDxfId="49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6B4E04-0D3B-4177-BE8B-B183F177C7FF}" name="Fix_Mapping" displayName="Fix_Mapping" ref="A1:W607" totalsRowShown="0">
  <autoFilter ref="A1:W607" xr:uid="{636B4E04-0D3B-4177-BE8B-B183F177C7FF}"/>
  <tableColumns count="23">
    <tableColumn id="1" xr3:uid="{A696CBB2-03F1-4FDC-918A-876323495E54}" name="KODE BARANG"/>
    <tableColumn id="2" xr3:uid="{4E6BDAF1-1D7E-4DBD-930F-9F1A7030DA96}" name="NAMA BARANG"/>
    <tableColumn id="3" xr3:uid="{797B1098-8B81-4A95-B6BC-72CD7EC4FCE6}" name="ISI/CTN"/>
    <tableColumn id="4" xr3:uid="{9A973428-6208-4ABE-AFFD-6C13764CF25C}" name="SATUAN" dataDxfId="48">
      <calculatedColumnFormula>IFERROR(VLOOKUP(Fix_Mapping[[#This Row],[KODE BARANG]],[1]!KINONF15[[KDBRG]:[HRG_JLMT_CTN+PPN]],5,0),0)</calculatedColumnFormula>
    </tableColumn>
    <tableColumn id="5" xr3:uid="{508433EC-0188-49E8-9909-2F02F3D0A6D5}" name="NAMA KELOMPOK" dataDxfId="47"/>
    <tableColumn id="6" xr3:uid="{970F34AF-1AA7-4F82-9761-F2BD4C6B359F}" name="Harga Beli Pcs_x000a_(-PPN)" dataDxfId="46">
      <calculatedColumnFormula>IFERROR(VLOOKUP(Fix_Mapping[[#This Row],[KODE BARANG]],[1]!KINONF15[[KDBRG]:[HRG_JLMT_CTN+PPN]],7,0),0)</calculatedColumnFormula>
    </tableColumn>
    <tableColumn id="7" xr3:uid="{97E2210B-8DA6-46BE-9525-6867372140FC}" name="Harga Beli Krt_x000a_(- PPN)" dataDxfId="45">
      <calculatedColumnFormula>IFERROR(VLOOKUP(Fix_Mapping[[#This Row],[KODE BARANG]],[1]!KINONF15[[KDBRG]:[HRG_JLMT_CTN+PPN]],8,0),0)</calculatedColumnFormula>
    </tableColumn>
    <tableColumn id="8" xr3:uid="{7D9B84C5-0F46-4727-BF2C-BB4D40EBF5AB}" name="Harga Beli Pcs_x000a_(+PPN)" dataDxfId="44">
      <calculatedColumnFormula>IFERROR(VLOOKUP(Fix_Mapping[[#This Row],[KODE BARANG]],[1]!KINONF15[[KDBRG]:[HRG_JLMT_CTN+PPN]],9,0),0)</calculatedColumnFormula>
    </tableColumn>
    <tableColumn id="9" xr3:uid="{20C5ACB2-A10C-44FB-AFBC-B1AEE7B3E4AA}" name="Harga Beli Krt_x000a_(+PPN)" dataDxfId="43">
      <calculatedColumnFormula>IFERROR(VLOOKUP(Fix_Mapping[[#This Row],[KODE BARANG]],[1]!KINONF15[[KDBRG]:[HRG_JLMT_CTN+PPN]],10,0),0)</calculatedColumnFormula>
    </tableColumn>
    <tableColumn id="10" xr3:uid="{3E965CC8-F682-4F5E-975B-AFEA4F503077}" name="Harga Jual Pcs GT_x000a_(-PPN)" dataDxfId="42">
      <calculatedColumnFormula>IFERROR(VLOOKUP(Fix_Mapping[[#This Row],[KODE BARANG]],[1]!KINONF15[[KDBRG]:[HRG_JLMT_CTN+PPN]],11,0),0)</calculatedColumnFormula>
    </tableColumn>
    <tableColumn id="11" xr3:uid="{80723568-69DC-4C2E-933C-737B355631E8}" name="Harga Jual Krt GT_x000a_(- PPN)" dataDxfId="41">
      <calculatedColumnFormula>IFERROR(VLOOKUP(Fix_Mapping[[#This Row],[KODE BARANG]],[1]!KINONF15[[KDBRG]:[HRG_JLMT_CTN+PPN]],12,0),0)</calculatedColumnFormula>
    </tableColumn>
    <tableColumn id="12" xr3:uid="{CF070994-FB56-43F4-B3EA-50E5FAA28198}" name="Harga Jual Pcs GT_x000a_(+PPN" dataDxfId="40">
      <calculatedColumnFormula>IFERROR(VLOOKUP(Fix_Mapping[[#This Row],[KODE BARANG]],[1]!KINONF15[[KDBRG]:[HRG_JLMT_CTN+PPN]],13,0),0)</calculatedColumnFormula>
    </tableColumn>
    <tableColumn id="13" xr3:uid="{B1A58583-1549-4D04-A04F-523DC85BC734}" name="Harga Jual Krt GT_x000a_(+PPN)" dataDxfId="39">
      <calculatedColumnFormula>IFERROR(VLOOKUP(Fix_Mapping[[#This Row],[KODE BARANG]],[1]!KINONF15[[KDBRG]:[HRG_JLMT_CTN+PPN]],14,0),0)</calculatedColumnFormula>
    </tableColumn>
    <tableColumn id="14" xr3:uid="{404532DC-F658-4113-9723-D4DE5DD94769}" name="Harga Jual Pcs MT_x000a_(-PPN)" dataDxfId="38">
      <calculatedColumnFormula>IFERROR(VLOOKUP(Fix_Mapping[[#This Row],[KODE BARANG]],[1]!KINONF15[[KDBRG]:[HRG_JLMT_CTN+PPN]],15,0),0)</calculatedColumnFormula>
    </tableColumn>
    <tableColumn id="15" xr3:uid="{A6FEEBDA-CBD9-4E3B-AFF7-5FD0C2EF4759}" name="Harga Jual Krt MT_x000a_(- PPN)" dataDxfId="37">
      <calculatedColumnFormula>IFERROR(VLOOKUP(Fix_Mapping[[#This Row],[KODE BARANG]],[1]!KINONF15[[KDBRG]:[HRG_JLMT_CTN+PPN]],16,0),0)</calculatedColumnFormula>
    </tableColumn>
    <tableColumn id="16" xr3:uid="{7C53B09A-DEBF-452E-9491-56C37362F792}" name="Harga Jual Pcs MT_x000a_(+PPN)" dataDxfId="36">
      <calculatedColumnFormula>IFERROR(VLOOKUP(Fix_Mapping[[#This Row],[KODE BARANG]],[1]!KINONF15[[KDBRG]:[HRG_JLMT_CTN+PPN]],17,0),0)</calculatedColumnFormula>
    </tableColumn>
    <tableColumn id="17" xr3:uid="{6113633A-90CC-4085-9D11-DA903B505C0A}" name="Harga Jual Krt MT_x000a_(+PPN)" dataDxfId="35">
      <calculatedColumnFormula>IFERROR(VLOOKUP(Fix_Mapping[[#This Row],[KODE BARANG]],[1]!KINONF15[[KDBRG]:[HRG_JLMT_CTN+PPN]],18,0),0)</calculatedColumnFormula>
    </tableColumn>
    <tableColumn id="18" xr3:uid="{E4C1653F-3FAA-4343-96A7-E80DDA14771E}" name="NAMA PRINCIPLE"/>
    <tableColumn id="19" xr3:uid="{7DFBFBA4-B06B-45E8-B8EE-B1D517BA4D40}" name="PCPL KODE 1"/>
    <tableColumn id="20" xr3:uid="{89361DC4-6E7D-4847-A847-1EAC94D777D9}" name="PCPL KODE 2"/>
    <tableColumn id="21" xr3:uid="{D1ACD6C5-22FE-48CF-8743-90742D2827D3}" name="PCPL KODE 3"/>
    <tableColumn id="22" xr3:uid="{2AD1F771-0B6F-48FC-B04A-406D7FCF19F8}" name="PCPL KODE 4"/>
    <tableColumn id="23" xr3:uid="{BE6D1A5F-53D0-4E66-916F-82D98A39312A}" name="PCPL KODE 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D84DDB-F3F7-46C1-9C02-1EB37EB6E15C}" name="Table43__2" displayName="Table43__2" ref="A1:AB604" totalsRowShown="0">
  <autoFilter ref="A1:AB604" xr:uid="{5431E1CF-B963-4836-9281-61F95D2271BC}"/>
  <tableColumns count="28">
    <tableColumn id="2" xr3:uid="{0B063607-0375-48BC-A770-EDD1B3A65A74}" name="No. Urut_x000a_Item Sama"/>
    <tableColumn id="1" xr3:uid="{1BC789B1-5035-4F78-8FC5-343CC5B009DF}" name="Kode Pcpl"/>
    <tableColumn id="9" xr3:uid="{64D56733-8DC3-4DFB-97E6-DC2BD86F3100}" name="Nama Kelompok Win" dataDxfId="33"/>
    <tableColumn id="10" xr3:uid="{B7FDDC82-AD0C-435C-BD39-7E9DE14B015E}" name="Kode Kelompok Win" dataDxfId="32"/>
    <tableColumn id="11" xr3:uid="{B402C7D8-6989-4482-99A9-22B72655F2CA}" name="Kode BARANG Win2" dataDxfId="31"/>
    <tableColumn id="13" xr3:uid="{8517BD61-AAB0-4C07-BA19-00424392C83E}" name="Nama Win" dataDxfId="30"/>
    <tableColumn id="34" xr3:uid="{93558AAD-014E-4569-BB3E-33825850F756}" name="Harga Beli Pcs_x000a_(-PPN)"/>
    <tableColumn id="35" xr3:uid="{4146998D-CE4B-4825-8659-406B3EA34161}" name="Harga Beli Krt_x000a_(- PPN)"/>
    <tableColumn id="38" xr3:uid="{89087955-FC61-412C-A9D4-44918B7FA73F}" name="Harga Jual Pcs GT_x000a_(-PPN)"/>
    <tableColumn id="39" xr3:uid="{28722975-711E-45A7-B018-BB56281C4EE2}" name="Harga Jual Krt GT_x000a_(- PPN)"/>
    <tableColumn id="42" xr3:uid="{A689CBFD-B510-4908-89BD-A25D658A6881}" name="Harga Jual Pcs MT_x000a_(-PPN)"/>
    <tableColumn id="43" xr3:uid="{ABB47D85-D190-4551-A627-EEDC0869D7AE}" name="Harga Jual Krt MT_x000a_(- PPN)"/>
    <tableColumn id="46" xr3:uid="{B86C9A5E-B043-4EFF-8CB1-DFC39D71DFF1}" name="Efektif_x000a_Pembuatan"/>
    <tableColumn id="47" xr3:uid="{27499AD6-5C10-4C25-8DBF-9E240D37BDEF}" name="Efektif Naik Harga"/>
    <tableColumn id="48" xr3:uid="{27EA6283-4C0D-447D-91AC-4156109A33F0}" name="Status_x000a_Pembuatan" dataDxfId="29"/>
    <tableColumn id="49" xr3:uid="{BFE81EB6-5E73-4134-89CD-8D8D00EFD7D7}" name="Status_x000a_Harga" dataDxfId="28"/>
    <tableColumn id="50" xr3:uid="{6B18915C-CA25-40C1-9A69-D81B5B1BB3A4}" name="Mata Uang" dataDxfId="27"/>
    <tableColumn id="51" xr3:uid="{F39E1FDD-6BE4-40C2-96E5-5F57E6C8DC68}" name="Kode_x000a_Golongan" dataDxfId="26"/>
    <tableColumn id="52" xr3:uid="{38013CF8-E3F7-477B-BBB0-6FF3D27CAABD}" name="Kode PCPL To Win" dataDxfId="25"/>
    <tableColumn id="59" xr3:uid="{9F7EC70D-2487-4D94-9CC8-5697C753CA8F}" name="Kode Jenis Produk"/>
    <tableColumn id="60" xr3:uid="{38E20D4C-F39B-4858-A956-31B6CAD50F3D}" name="ISI/CTN"/>
    <tableColumn id="61" xr3:uid="{D276A1FD-C507-4632-816D-91A95998E099}" name="SATUAN Fix Win" dataDxfId="24"/>
    <tableColumn id="53" xr3:uid="{5335E4AA-A666-4EAD-8E6D-9F096B259E7A}" name="SAT BSR" dataDxfId="23"/>
    <tableColumn id="54" xr3:uid="{A11FDED9-B30B-43A3-A1B5-366E260760E6}" name="GD" dataDxfId="22"/>
    <tableColumn id="55" xr3:uid="{B66EA8FC-5B9E-4B87-890D-399914FDE7A3}" name="Kode PRK"/>
    <tableColumn id="56" xr3:uid="{9E88847E-0E1B-4A12-BD50-1DF4BDE04C1F}" name="Kode PRK SJ"/>
    <tableColumn id="57" xr3:uid="{DA2FC7AF-EC76-4661-B1C9-70B488B41B01}" name="Kode Job"/>
    <tableColumn id="58" xr3:uid="{7155FF52-F2AB-4295-A659-09067F617F7B}" name="Approval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5B53A-FE38-46FB-A5FA-320E124DB2E8}" name="Table43__2_1" displayName="Table43__2_1" ref="A1:AF608" tableType="queryTable" totalsRowShown="0">
  <autoFilter ref="A1:AF608" xr:uid="{6A85B53A-FE38-46FB-A5FA-320E124DB2E8}"/>
  <tableColumns count="32">
    <tableColumn id="1" xr3:uid="{2910643B-C448-42B8-9008-B71140777E60}" uniqueName="1" name="No. Urut_x000a_Item Sama" queryTableFieldId="1"/>
    <tableColumn id="2" xr3:uid="{439ED8AE-A3C1-4FA1-B6A6-C891357CAD42}" uniqueName="2" name="NO" queryTableFieldId="2"/>
    <tableColumn id="3" xr3:uid="{8D0EBBD4-169E-4272-ABF3-F2E2818D91A7}" uniqueName="3" name="Kode Pcpl" queryTableFieldId="3"/>
    <tableColumn id="4" xr3:uid="{4339837B-25AE-416F-8A32-BD6D4FF86CEE}" uniqueName="4" name="Klp Brg Pcpl" queryTableFieldId="4" dataDxfId="21"/>
    <tableColumn id="5" xr3:uid="{B0F53A75-DFCD-4240-9696-5D81C9591EA4}" uniqueName="5" name="Nama Barang Principle" queryTableFieldId="5" dataDxfId="20"/>
    <tableColumn id="6" xr3:uid="{888F5ACA-92A0-4279-98E5-035507A9B545}" uniqueName="6" name="ISI/CTN" queryTableFieldId="6"/>
    <tableColumn id="7" xr3:uid="{88E2D5AA-218D-4271-8003-E6B78E7BD80C}" uniqueName="7" name="SATUAN Fix Win" queryTableFieldId="7" dataDxfId="19"/>
    <tableColumn id="8" xr3:uid="{5EFF0F93-3CD4-4D49-ACD0-EC48C04959BB}" uniqueName="8" name="Nama Kelompok Win" queryTableFieldId="8" dataDxfId="18"/>
    <tableColumn id="9" xr3:uid="{A595E7CA-DA20-4EC6-8B1A-F563B1475196}" uniqueName="9" name="Kode Kelompok Win" queryTableFieldId="9" dataDxfId="17"/>
    <tableColumn id="10" xr3:uid="{D196C971-2FE4-4DF0-BC77-37A5DC6E6080}" uniqueName="10" name="Kode BARANG Win2" queryTableFieldId="10" dataDxfId="16"/>
    <tableColumn id="11" xr3:uid="{E9ED0952-7BEE-45E9-850B-722F2D5A2FF3}" uniqueName="11" name="Nama Win" queryTableFieldId="11" dataDxfId="15"/>
    <tableColumn id="12" xr3:uid="{E4D43633-76D1-4479-9C8F-9C8A5B5661AC}" uniqueName="12" name="Harga Beli Pcs_x000a_(-PPN)" queryTableFieldId="12"/>
    <tableColumn id="13" xr3:uid="{B14F65F0-1E40-4952-AA3C-E8537971F043}" uniqueName="13" name="Harga Beli Krt_x000a_(- PPN)" queryTableFieldId="13"/>
    <tableColumn id="14" xr3:uid="{93E12BF1-8BFA-4E1B-B185-8DE635510D64}" uniqueName="14" name="Harga Jual Pcs GT_x000a_(-PPN)" queryTableFieldId="14"/>
    <tableColumn id="15" xr3:uid="{94B7C63D-6711-47AE-9A69-3B3FE6FEE85A}" uniqueName="15" name="Harga Jual Krt GT_x000a_(- PPN)" queryTableFieldId="15"/>
    <tableColumn id="16" xr3:uid="{D61F4D8C-B229-4926-AB62-94034EEA84E9}" uniqueName="16" name="Harga Jual Pcs MT_x000a_(-PPN)" queryTableFieldId="16"/>
    <tableColumn id="17" xr3:uid="{5B3A011A-BA71-4277-9E58-4B18FDD50AC8}" uniqueName="17" name="Harga Jual Krt MT_x000a_(- PPN)" queryTableFieldId="17"/>
    <tableColumn id="18" xr3:uid="{DF9056B3-ED60-4257-AAD6-DBF274EA4118}" uniqueName="18" name="Efektif_x000a_Pembuatan" queryTableFieldId="18" dataDxfId="14"/>
    <tableColumn id="19" xr3:uid="{4A7FE14D-9970-42A8-9FF2-9FD9F158C10B}" uniqueName="19" name="Efektif Naik Harga" queryTableFieldId="19"/>
    <tableColumn id="20" xr3:uid="{AA1D7A12-45BE-437B-8DAC-248BCBAE5E19}" uniqueName="20" name="Status_x000a_Pembuatan" queryTableFieldId="20" dataDxfId="13"/>
    <tableColumn id="21" xr3:uid="{F61C894D-165F-46BC-9020-BF36BCD38322}" uniqueName="21" name="Status_x000a_Harga" queryTableFieldId="21" dataDxfId="12"/>
    <tableColumn id="22" xr3:uid="{F64DD3B8-D46A-4EC3-AF16-85E5816AA426}" uniqueName="22" name="Mata Uang" queryTableFieldId="22" dataDxfId="11"/>
    <tableColumn id="23" xr3:uid="{7AB75043-84CF-4828-9F5F-9A5FE75C13D1}" uniqueName="23" name="Kode_x000a_Golongan" queryTableFieldId="23"/>
    <tableColumn id="24" xr3:uid="{6F01951B-8DFD-4B2E-ACFB-676B4CC86C9F}" uniqueName="24" name="Nama Golongan" queryTableFieldId="24"/>
    <tableColumn id="25" xr3:uid="{29B23A7E-C1F2-4526-A15E-2DEA00C423A0}" uniqueName="25" name="Kode PCPL To Win" queryTableFieldId="25" dataDxfId="10"/>
    <tableColumn id="26" xr3:uid="{2C5F50FE-4D60-4F8C-8791-2B13EF198CB1}" uniqueName="26" name="Kode Jenis Produk" queryTableFieldId="26" dataDxfId="9"/>
    <tableColumn id="27" xr3:uid="{FC36F7D7-DB67-4E79-B10B-F8DD6CE666B1}" uniqueName="27" name="SAT BSR" queryTableFieldId="27" dataDxfId="8"/>
    <tableColumn id="28" xr3:uid="{4A72BC0F-5F5D-43B1-ACAD-E858683FF259}" uniqueName="28" name="GD" queryTableFieldId="28" dataDxfId="7"/>
    <tableColumn id="29" xr3:uid="{F92815FB-E249-4F57-A943-E2C247B44507}" uniqueName="29" name="Kode PRK" queryTableFieldId="29"/>
    <tableColumn id="30" xr3:uid="{B0D294D7-A58B-4F19-AE34-0287811BC5E2}" uniqueName="30" name="Kode PRK SJ" queryTableFieldId="30"/>
    <tableColumn id="31" xr3:uid="{0759D6F2-1563-463F-8AE6-6C0ED4C0A848}" uniqueName="31" name="Kode Job" queryTableFieldId="31"/>
    <tableColumn id="32" xr3:uid="{7DA2D50E-4059-4E68-BDF6-321C949619F4}" uniqueName="32" name="Approval" queryTableField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75F8DE-CB7C-4308-A691-9E3941D53B3E}" name="Table6" displayName="Table6" ref="A1:F24" totalsRowShown="0" headerRowDxfId="5">
  <autoFilter ref="A1:F24" xr:uid="{F875F8DE-CB7C-4308-A691-9E3941D53B3E}"/>
  <tableColumns count="6">
    <tableColumn id="6" xr3:uid="{57DA8C82-ABFB-4A34-9B5F-44B7F0DAEC8F}" name="NO." dataDxfId="4"/>
    <tableColumn id="1" xr3:uid="{B77CF1CA-DDD6-404E-9FD8-B5C684B9DF8E}" name="SM" dataDxfId="3"/>
    <tableColumn id="2" xr3:uid="{58D54B12-50C5-4B06-833A-679BA1CA60EC}" name="GOLONGAN" dataDxfId="2"/>
    <tableColumn id="3" xr3:uid="{87474CC8-BA21-433D-889A-232E06A10667}" name="PRINCIPAL"/>
    <tableColumn id="4" xr3:uid="{D0F69691-FD9B-4704-A53F-FBD77C8C83F9}" name="Nama Pcpl                   " dataDxfId="1"/>
    <tableColumn id="5" xr3:uid="{4098D521-36EB-4C06-8659-70F47E137D16}" name="kode  2 Digit                (hrf+N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B64-E8D9-4959-8201-E20D943A4964}">
  <dimension ref="A3:J14"/>
  <sheetViews>
    <sheetView workbookViewId="0">
      <selection activeCell="C7" sqref="C7"/>
    </sheetView>
  </sheetViews>
  <sheetFormatPr defaultRowHeight="15"/>
  <cols>
    <col min="1" max="1" width="23.85546875" bestFit="1" customWidth="1"/>
    <col min="2" max="2" width="28.42578125" bestFit="1" customWidth="1"/>
    <col min="3" max="3" width="25" bestFit="1" customWidth="1"/>
    <col min="4" max="4" width="12.140625" bestFit="1" customWidth="1"/>
    <col min="5" max="5" width="13" bestFit="1" customWidth="1"/>
    <col min="6" max="6" width="13.28515625" style="3" customWidth="1"/>
    <col min="7" max="7" width="16.5703125" style="3" bestFit="1" customWidth="1"/>
  </cols>
  <sheetData>
    <row r="3" spans="1:10" ht="40.15" customHeight="1">
      <c r="A3" s="31" t="s">
        <v>150</v>
      </c>
      <c r="B3" s="31" t="s">
        <v>3</v>
      </c>
      <c r="C3" s="31" t="s">
        <v>4</v>
      </c>
      <c r="D3" s="31" t="s">
        <v>5</v>
      </c>
      <c r="E3" s="31" t="s">
        <v>2</v>
      </c>
      <c r="F3" s="32" t="s">
        <v>6</v>
      </c>
      <c r="G3" s="32" t="s">
        <v>7</v>
      </c>
      <c r="H3" s="31" t="s">
        <v>352</v>
      </c>
      <c r="I3" s="31" t="s">
        <v>353</v>
      </c>
      <c r="J3" s="31" t="s">
        <v>354</v>
      </c>
    </row>
    <row r="4" spans="1:10">
      <c r="A4" t="s">
        <v>327</v>
      </c>
      <c r="B4" t="s">
        <v>328</v>
      </c>
      <c r="C4" t="s">
        <v>329</v>
      </c>
      <c r="D4">
        <v>576</v>
      </c>
      <c r="E4" t="s">
        <v>149</v>
      </c>
      <c r="F4" s="3">
        <v>460000</v>
      </c>
      <c r="G4" s="3">
        <f t="shared" ref="G4:G14" si="0">F4/D4</f>
        <v>798.61111111111109</v>
      </c>
      <c r="H4">
        <v>419287</v>
      </c>
      <c r="I4">
        <f>Table3[[#This Row],[Column1]]/Table3[[#This Row],[ISI/CTN]]</f>
        <v>727.92881944444446</v>
      </c>
      <c r="J4">
        <f>Table3[[#This Row],[Column2]]/1.11</f>
        <v>655.79172922922919</v>
      </c>
    </row>
    <row r="5" spans="1:10">
      <c r="A5" t="s">
        <v>330</v>
      </c>
      <c r="B5" t="s">
        <v>331</v>
      </c>
      <c r="C5" t="s">
        <v>332</v>
      </c>
      <c r="D5">
        <v>192</v>
      </c>
      <c r="E5" t="s">
        <v>149</v>
      </c>
      <c r="F5" s="3">
        <v>156000</v>
      </c>
      <c r="G5" s="3">
        <f t="shared" si="0"/>
        <v>812.5</v>
      </c>
      <c r="H5">
        <v>142193</v>
      </c>
      <c r="I5">
        <f>Table3[[#This Row],[Column1]]/Table3[[#This Row],[ISI/CTN]]</f>
        <v>740.58854166666663</v>
      </c>
      <c r="J5">
        <f>Table3[[#This Row],[Column2]]/1.11</f>
        <v>667.19688438438425</v>
      </c>
    </row>
    <row r="6" spans="1:10">
      <c r="A6" t="s">
        <v>330</v>
      </c>
      <c r="B6" t="s">
        <v>333</v>
      </c>
      <c r="C6" t="s">
        <v>334</v>
      </c>
      <c r="D6">
        <v>432</v>
      </c>
      <c r="E6" t="s">
        <v>149</v>
      </c>
      <c r="F6" s="3">
        <v>351000</v>
      </c>
      <c r="G6" s="3">
        <f t="shared" si="0"/>
        <v>812.5</v>
      </c>
      <c r="H6">
        <v>319934</v>
      </c>
      <c r="I6">
        <f>Table3[[#This Row],[Column1]]/Table3[[#This Row],[ISI/CTN]]</f>
        <v>740.58796296296293</v>
      </c>
      <c r="J6">
        <f>Table3[[#This Row],[Column2]]/1.11</f>
        <v>667.19636302969627</v>
      </c>
    </row>
    <row r="7" spans="1:10">
      <c r="A7" t="s">
        <v>330</v>
      </c>
      <c r="B7" t="s">
        <v>335</v>
      </c>
      <c r="C7" t="s">
        <v>336</v>
      </c>
      <c r="D7">
        <v>120</v>
      </c>
      <c r="E7" t="s">
        <v>149</v>
      </c>
      <c r="F7" s="3">
        <v>234000</v>
      </c>
      <c r="G7" s="3">
        <f t="shared" si="0"/>
        <v>1950</v>
      </c>
      <c r="H7">
        <v>213289</v>
      </c>
      <c r="I7">
        <f>Table3[[#This Row],[Column1]]/Table3[[#This Row],[ISI/CTN]]</f>
        <v>1777.4083333333333</v>
      </c>
      <c r="J7">
        <f>Table3[[#This Row],[Column2]]/1.11</f>
        <v>1601.2687687687685</v>
      </c>
    </row>
    <row r="8" spans="1:10">
      <c r="A8" t="s">
        <v>330</v>
      </c>
      <c r="B8" t="s">
        <v>337</v>
      </c>
      <c r="C8" t="s">
        <v>338</v>
      </c>
      <c r="D8">
        <v>432</v>
      </c>
      <c r="E8" t="s">
        <v>149</v>
      </c>
      <c r="F8" s="3">
        <v>351000</v>
      </c>
      <c r="G8" s="3">
        <f t="shared" si="0"/>
        <v>812.5</v>
      </c>
      <c r="H8">
        <v>319934</v>
      </c>
      <c r="I8">
        <f>Table3[[#This Row],[Column1]]/Table3[[#This Row],[ISI/CTN]]</f>
        <v>740.58796296296293</v>
      </c>
      <c r="J8">
        <f>Table3[[#This Row],[Column2]]/1.11</f>
        <v>667.19636302969627</v>
      </c>
    </row>
    <row r="9" spans="1:10">
      <c r="A9" t="s">
        <v>330</v>
      </c>
      <c r="B9" t="s">
        <v>339</v>
      </c>
      <c r="C9" t="s">
        <v>340</v>
      </c>
      <c r="D9">
        <v>432</v>
      </c>
      <c r="E9" t="s">
        <v>149</v>
      </c>
      <c r="F9" s="3">
        <v>351000</v>
      </c>
      <c r="G9" s="3">
        <f t="shared" si="0"/>
        <v>812.5</v>
      </c>
      <c r="H9">
        <v>319934</v>
      </c>
      <c r="I9">
        <f>Table3[[#This Row],[Column1]]/Table3[[#This Row],[ISI/CTN]]</f>
        <v>740.58796296296293</v>
      </c>
      <c r="J9">
        <f>Table3[[#This Row],[Column2]]/1.11</f>
        <v>667.19636302969627</v>
      </c>
    </row>
    <row r="10" spans="1:10">
      <c r="A10" t="s">
        <v>341</v>
      </c>
      <c r="B10" t="s">
        <v>342</v>
      </c>
      <c r="C10" t="s">
        <v>343</v>
      </c>
      <c r="D10">
        <v>120</v>
      </c>
      <c r="E10" t="s">
        <v>149</v>
      </c>
      <c r="F10" s="3">
        <v>216000</v>
      </c>
      <c r="G10" s="3">
        <f t="shared" si="0"/>
        <v>1800</v>
      </c>
      <c r="H10">
        <v>196882</v>
      </c>
      <c r="I10">
        <f>Table3[[#This Row],[Column1]]/Table3[[#This Row],[ISI/CTN]]</f>
        <v>1640.6833333333334</v>
      </c>
      <c r="J10">
        <f>Table3[[#This Row],[Column2]]/1.11</f>
        <v>1478.0930930930931</v>
      </c>
    </row>
    <row r="11" spans="1:10">
      <c r="A11" t="s">
        <v>341</v>
      </c>
      <c r="B11" t="s">
        <v>344</v>
      </c>
      <c r="C11" t="s">
        <v>345</v>
      </c>
      <c r="D11">
        <v>120</v>
      </c>
      <c r="E11" t="s">
        <v>149</v>
      </c>
      <c r="F11" s="3">
        <v>216000</v>
      </c>
      <c r="G11" s="3">
        <f t="shared" si="0"/>
        <v>1800</v>
      </c>
      <c r="H11">
        <v>196882</v>
      </c>
      <c r="I11">
        <f>Table3[[#This Row],[Column1]]/Table3[[#This Row],[ISI/CTN]]</f>
        <v>1640.6833333333334</v>
      </c>
      <c r="J11">
        <f>Table3[[#This Row],[Column2]]/1.11</f>
        <v>1478.0930930930931</v>
      </c>
    </row>
    <row r="12" spans="1:10">
      <c r="A12" t="s">
        <v>341</v>
      </c>
      <c r="B12" t="s">
        <v>346</v>
      </c>
      <c r="C12" t="s">
        <v>347</v>
      </c>
      <c r="D12">
        <v>120</v>
      </c>
      <c r="E12" t="s">
        <v>149</v>
      </c>
      <c r="F12" s="3">
        <v>216000</v>
      </c>
      <c r="G12" s="3">
        <f t="shared" si="0"/>
        <v>1800</v>
      </c>
      <c r="H12">
        <v>196882</v>
      </c>
      <c r="I12">
        <f>Table3[[#This Row],[Column1]]/Table3[[#This Row],[ISI/CTN]]</f>
        <v>1640.6833333333334</v>
      </c>
      <c r="J12">
        <f>Table3[[#This Row],[Column2]]/1.11</f>
        <v>1478.0930930930931</v>
      </c>
    </row>
    <row r="13" spans="1:10">
      <c r="A13" t="s">
        <v>341</v>
      </c>
      <c r="B13" t="s">
        <v>348</v>
      </c>
      <c r="C13" t="s">
        <v>349</v>
      </c>
      <c r="D13">
        <v>120</v>
      </c>
      <c r="E13" t="s">
        <v>149</v>
      </c>
      <c r="F13" s="3">
        <v>216000</v>
      </c>
      <c r="G13" s="3">
        <f t="shared" si="0"/>
        <v>1800</v>
      </c>
      <c r="H13">
        <v>196882</v>
      </c>
      <c r="I13">
        <f>Table3[[#This Row],[Column1]]/Table3[[#This Row],[ISI/CTN]]</f>
        <v>1640.6833333333334</v>
      </c>
      <c r="J13">
        <f>Table3[[#This Row],[Column2]]/1.11</f>
        <v>1478.0930930930931</v>
      </c>
    </row>
    <row r="14" spans="1:10">
      <c r="A14" t="s">
        <v>341</v>
      </c>
      <c r="B14" t="s">
        <v>350</v>
      </c>
      <c r="C14" t="s">
        <v>351</v>
      </c>
      <c r="D14">
        <v>120</v>
      </c>
      <c r="E14" t="s">
        <v>149</v>
      </c>
      <c r="F14" s="3">
        <v>216000</v>
      </c>
      <c r="G14" s="3">
        <f t="shared" si="0"/>
        <v>1800</v>
      </c>
      <c r="H14">
        <v>196882</v>
      </c>
      <c r="I14">
        <f>Table3[[#This Row],[Column1]]/Table3[[#This Row],[ISI/CTN]]</f>
        <v>1640.6833333333334</v>
      </c>
      <c r="J14">
        <f>Table3[[#This Row],[Column2]]/1.11</f>
        <v>1478.0930930930931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814-B209-4CEF-AF20-B062D63632E1}">
  <sheetPr codeName="Sheet2">
    <tabColor rgb="FF00B050"/>
  </sheetPr>
  <dimension ref="A3:L1082"/>
  <sheetViews>
    <sheetView topLeftCell="B1" workbookViewId="0">
      <selection activeCell="B11" sqref="B11"/>
    </sheetView>
  </sheetViews>
  <sheetFormatPr defaultRowHeight="15"/>
  <cols>
    <col min="1" max="1" width="18.5703125" style="4" bestFit="1" customWidth="1"/>
    <col min="2" max="2" width="23.85546875" style="4" bestFit="1" customWidth="1"/>
    <col min="3" max="3" width="45.42578125" style="4" bestFit="1" customWidth="1"/>
    <col min="4" max="5" width="9.140625" style="4"/>
    <col min="6" max="6" width="20.7109375" style="3" bestFit="1" customWidth="1"/>
    <col min="7" max="7" width="16.140625" style="3" bestFit="1" customWidth="1"/>
  </cols>
  <sheetData>
    <row r="3" spans="1:12" ht="40.15" customHeight="1">
      <c r="A3" s="1" t="s">
        <v>3</v>
      </c>
      <c r="B3" s="1" t="s">
        <v>145</v>
      </c>
      <c r="C3" s="1" t="s">
        <v>4</v>
      </c>
      <c r="D3" s="1" t="s">
        <v>5</v>
      </c>
      <c r="E3" s="1" t="s">
        <v>2</v>
      </c>
      <c r="F3" s="2" t="s">
        <v>6</v>
      </c>
      <c r="G3" s="26" t="s">
        <v>7</v>
      </c>
    </row>
    <row r="4" spans="1:12">
      <c r="A4" s="27" t="s">
        <v>328</v>
      </c>
      <c r="B4" s="27" t="s">
        <v>327</v>
      </c>
      <c r="C4" s="27" t="s">
        <v>329</v>
      </c>
      <c r="D4" s="27">
        <v>576</v>
      </c>
      <c r="E4" s="27" t="s">
        <v>149</v>
      </c>
      <c r="F4" s="3">
        <v>460000</v>
      </c>
      <c r="G4" s="3">
        <v>798.61111111111109</v>
      </c>
      <c r="I4">
        <v>8</v>
      </c>
      <c r="J4">
        <v>6</v>
      </c>
      <c r="K4">
        <v>12</v>
      </c>
      <c r="L4">
        <f>I4*J4*K4</f>
        <v>576</v>
      </c>
    </row>
    <row r="5" spans="1:12">
      <c r="A5" s="27" t="s">
        <v>331</v>
      </c>
      <c r="B5" s="27" t="s">
        <v>330</v>
      </c>
      <c r="C5" s="27" t="s">
        <v>332</v>
      </c>
      <c r="D5" s="27">
        <v>192</v>
      </c>
      <c r="E5" s="27" t="s">
        <v>149</v>
      </c>
      <c r="F5" s="3">
        <v>156000</v>
      </c>
      <c r="G5" s="3">
        <v>812.5</v>
      </c>
      <c r="I5">
        <v>8</v>
      </c>
      <c r="J5">
        <v>2</v>
      </c>
      <c r="K5">
        <v>12</v>
      </c>
      <c r="L5">
        <f t="shared" ref="L5:L14" si="0">I5*J5*K5</f>
        <v>192</v>
      </c>
    </row>
    <row r="6" spans="1:12">
      <c r="A6" s="27" t="s">
        <v>333</v>
      </c>
      <c r="B6" s="27" t="s">
        <v>330</v>
      </c>
      <c r="C6" s="27" t="s">
        <v>334</v>
      </c>
      <c r="D6" s="27">
        <v>432</v>
      </c>
      <c r="E6" s="27" t="s">
        <v>149</v>
      </c>
      <c r="F6" s="3">
        <v>351000</v>
      </c>
      <c r="G6" s="3">
        <v>812.5</v>
      </c>
      <c r="I6">
        <v>18</v>
      </c>
      <c r="J6">
        <v>2</v>
      </c>
      <c r="K6">
        <v>12</v>
      </c>
      <c r="L6">
        <f t="shared" si="0"/>
        <v>432</v>
      </c>
    </row>
    <row r="7" spans="1:12">
      <c r="A7" s="27" t="s">
        <v>335</v>
      </c>
      <c r="B7" s="27" t="s">
        <v>330</v>
      </c>
      <c r="C7" s="27" t="s">
        <v>336</v>
      </c>
      <c r="D7" s="27">
        <v>120</v>
      </c>
      <c r="E7" s="27" t="s">
        <v>149</v>
      </c>
      <c r="F7" s="3">
        <v>234000</v>
      </c>
      <c r="G7" s="3">
        <v>1950</v>
      </c>
      <c r="I7">
        <v>12</v>
      </c>
      <c r="J7">
        <v>1</v>
      </c>
      <c r="K7">
        <v>10</v>
      </c>
      <c r="L7">
        <f t="shared" si="0"/>
        <v>120</v>
      </c>
    </row>
    <row r="8" spans="1:12">
      <c r="A8" s="27" t="s">
        <v>337</v>
      </c>
      <c r="B8" s="27" t="s">
        <v>330</v>
      </c>
      <c r="C8" s="27" t="s">
        <v>338</v>
      </c>
      <c r="D8" s="27">
        <v>432</v>
      </c>
      <c r="E8" s="27" t="s">
        <v>149</v>
      </c>
      <c r="F8" s="3">
        <v>351000</v>
      </c>
      <c r="G8" s="3">
        <v>812.5</v>
      </c>
      <c r="I8">
        <v>36</v>
      </c>
      <c r="J8">
        <v>1</v>
      </c>
      <c r="K8">
        <v>12</v>
      </c>
      <c r="L8">
        <f t="shared" si="0"/>
        <v>432</v>
      </c>
    </row>
    <row r="9" spans="1:12">
      <c r="A9" s="27" t="s">
        <v>339</v>
      </c>
      <c r="B9" s="27" t="s">
        <v>330</v>
      </c>
      <c r="C9" s="27" t="s">
        <v>340</v>
      </c>
      <c r="D9" s="27">
        <v>432</v>
      </c>
      <c r="E9" s="27" t="s">
        <v>149</v>
      </c>
      <c r="F9" s="3">
        <v>351000</v>
      </c>
      <c r="G9" s="3">
        <v>812.5</v>
      </c>
      <c r="I9">
        <v>36</v>
      </c>
      <c r="J9">
        <v>1</v>
      </c>
      <c r="K9">
        <v>12</v>
      </c>
      <c r="L9">
        <f t="shared" si="0"/>
        <v>432</v>
      </c>
    </row>
    <row r="10" spans="1:12">
      <c r="A10" s="27" t="s">
        <v>342</v>
      </c>
      <c r="B10" s="27" t="s">
        <v>341</v>
      </c>
      <c r="C10" s="27" t="s">
        <v>343</v>
      </c>
      <c r="D10" s="27">
        <v>120</v>
      </c>
      <c r="E10" s="27" t="s">
        <v>149</v>
      </c>
      <c r="F10" s="3">
        <v>216000</v>
      </c>
      <c r="G10" s="3">
        <v>1800</v>
      </c>
      <c r="I10">
        <v>12</v>
      </c>
      <c r="J10">
        <v>1</v>
      </c>
      <c r="K10">
        <v>10</v>
      </c>
      <c r="L10">
        <f t="shared" si="0"/>
        <v>120</v>
      </c>
    </row>
    <row r="11" spans="1:12">
      <c r="A11" s="27" t="s">
        <v>344</v>
      </c>
      <c r="B11" s="27" t="s">
        <v>341</v>
      </c>
      <c r="C11" s="27" t="s">
        <v>345</v>
      </c>
      <c r="D11" s="27">
        <v>120</v>
      </c>
      <c r="E11" s="27" t="s">
        <v>149</v>
      </c>
      <c r="F11" s="3">
        <v>216000</v>
      </c>
      <c r="G11" s="3">
        <v>1800</v>
      </c>
      <c r="I11">
        <v>12</v>
      </c>
      <c r="J11">
        <v>1</v>
      </c>
      <c r="K11">
        <v>10</v>
      </c>
      <c r="L11">
        <f t="shared" si="0"/>
        <v>120</v>
      </c>
    </row>
    <row r="12" spans="1:12">
      <c r="A12" s="27" t="s">
        <v>346</v>
      </c>
      <c r="B12" s="27" t="s">
        <v>341</v>
      </c>
      <c r="C12" s="27" t="s">
        <v>347</v>
      </c>
      <c r="D12" s="27">
        <v>120</v>
      </c>
      <c r="E12" s="27" t="s">
        <v>149</v>
      </c>
      <c r="F12" s="3">
        <v>216000</v>
      </c>
      <c r="G12" s="3">
        <v>1800</v>
      </c>
      <c r="I12">
        <v>12</v>
      </c>
      <c r="J12">
        <v>1</v>
      </c>
      <c r="K12">
        <v>10</v>
      </c>
      <c r="L12">
        <f t="shared" si="0"/>
        <v>120</v>
      </c>
    </row>
    <row r="13" spans="1:12">
      <c r="A13" s="27" t="s">
        <v>348</v>
      </c>
      <c r="B13" s="27" t="s">
        <v>341</v>
      </c>
      <c r="C13" s="27" t="s">
        <v>349</v>
      </c>
      <c r="D13" s="27">
        <v>120</v>
      </c>
      <c r="E13" s="27" t="s">
        <v>149</v>
      </c>
      <c r="F13" s="3">
        <v>216000</v>
      </c>
      <c r="G13" s="3">
        <v>1800</v>
      </c>
      <c r="I13">
        <v>12</v>
      </c>
      <c r="J13">
        <v>1</v>
      </c>
      <c r="K13">
        <v>10</v>
      </c>
      <c r="L13">
        <f t="shared" si="0"/>
        <v>120</v>
      </c>
    </row>
    <row r="14" spans="1:12">
      <c r="A14" s="27" t="s">
        <v>350</v>
      </c>
      <c r="B14" s="27" t="s">
        <v>341</v>
      </c>
      <c r="C14" s="27" t="s">
        <v>351</v>
      </c>
      <c r="D14" s="27">
        <v>120</v>
      </c>
      <c r="E14" s="27" t="s">
        <v>149</v>
      </c>
      <c r="F14" s="3">
        <v>216000</v>
      </c>
      <c r="G14" s="3">
        <v>1800</v>
      </c>
      <c r="I14">
        <v>12</v>
      </c>
      <c r="J14">
        <v>1</v>
      </c>
      <c r="K14">
        <v>10</v>
      </c>
      <c r="L14">
        <f t="shared" si="0"/>
        <v>120</v>
      </c>
    </row>
    <row r="15" spans="1:12">
      <c r="A15" s="27"/>
      <c r="B15" s="27"/>
      <c r="C15" s="27"/>
      <c r="D15" s="27"/>
      <c r="E15" s="27"/>
    </row>
    <row r="16" spans="1:12">
      <c r="A16" s="27"/>
      <c r="B16" s="27"/>
      <c r="C16" s="27"/>
      <c r="D16" s="27"/>
      <c r="E16" s="27"/>
    </row>
    <row r="17" spans="1:5">
      <c r="A17" s="27"/>
      <c r="B17" s="27"/>
      <c r="C17" s="27"/>
      <c r="D17" s="27"/>
      <c r="E17" s="27"/>
    </row>
    <row r="18" spans="1:5">
      <c r="A18" s="27"/>
      <c r="B18" s="27"/>
      <c r="C18" s="27"/>
      <c r="D18" s="27"/>
      <c r="E18" s="27"/>
    </row>
    <row r="19" spans="1:5">
      <c r="A19" s="27"/>
      <c r="B19" s="27"/>
      <c r="C19" s="27"/>
      <c r="D19" s="27"/>
      <c r="E19" s="27"/>
    </row>
    <row r="20" spans="1:5">
      <c r="A20" s="27"/>
      <c r="B20" s="27"/>
      <c r="C20" s="27"/>
      <c r="D20" s="27"/>
      <c r="E20" s="27"/>
    </row>
    <row r="21" spans="1:5">
      <c r="A21" s="27"/>
      <c r="B21" s="27"/>
      <c r="C21" s="27"/>
      <c r="D21" s="27"/>
      <c r="E21" s="27"/>
    </row>
    <row r="22" spans="1:5">
      <c r="A22" s="27"/>
      <c r="B22" s="27"/>
      <c r="C22" s="27"/>
      <c r="D22" s="27"/>
      <c r="E22" s="27"/>
    </row>
    <row r="23" spans="1:5">
      <c r="A23" s="27"/>
      <c r="B23" s="27"/>
      <c r="C23" s="27"/>
      <c r="D23" s="27"/>
      <c r="E23" s="27"/>
    </row>
    <row r="24" spans="1:5">
      <c r="A24" s="27"/>
      <c r="B24" s="27"/>
      <c r="C24" s="27"/>
      <c r="D24" s="27"/>
      <c r="E24" s="27"/>
    </row>
    <row r="25" spans="1:5">
      <c r="A25" s="27"/>
      <c r="B25" s="27"/>
      <c r="C25" s="27"/>
      <c r="D25" s="27"/>
      <c r="E25" s="27"/>
    </row>
    <row r="26" spans="1:5">
      <c r="A26" s="27"/>
      <c r="B26" s="27"/>
      <c r="C26" s="27"/>
      <c r="D26" s="27"/>
      <c r="E26" s="27"/>
    </row>
    <row r="27" spans="1:5">
      <c r="A27" s="27"/>
      <c r="B27" s="27"/>
      <c r="C27" s="27"/>
      <c r="D27" s="27"/>
      <c r="E27" s="27"/>
    </row>
    <row r="28" spans="1:5">
      <c r="A28" s="27"/>
      <c r="B28" s="27"/>
      <c r="C28" s="27"/>
      <c r="D28" s="27"/>
      <c r="E28" s="27"/>
    </row>
    <row r="29" spans="1:5">
      <c r="A29" s="27"/>
      <c r="B29" s="27"/>
      <c r="C29" s="27"/>
      <c r="D29" s="27"/>
      <c r="E29" s="27"/>
    </row>
    <row r="30" spans="1:5">
      <c r="A30" s="27"/>
      <c r="B30" s="27"/>
      <c r="C30" s="27"/>
      <c r="D30" s="27"/>
      <c r="E30" s="27"/>
    </row>
    <row r="31" spans="1:5">
      <c r="A31" s="27"/>
      <c r="B31" s="27"/>
      <c r="C31" s="27"/>
      <c r="D31" s="27"/>
      <c r="E31" s="27"/>
    </row>
    <row r="32" spans="1:5">
      <c r="A32" s="27"/>
      <c r="B32" s="27"/>
      <c r="C32" s="27"/>
      <c r="D32" s="27"/>
      <c r="E32" s="27"/>
    </row>
    <row r="33" spans="1:5">
      <c r="A33" s="27"/>
      <c r="B33" s="27"/>
      <c r="C33" s="27"/>
      <c r="D33" s="27"/>
      <c r="E33" s="27"/>
    </row>
    <row r="34" spans="1:5">
      <c r="A34" s="27"/>
      <c r="B34" s="27"/>
      <c r="C34" s="27"/>
      <c r="D34" s="27"/>
      <c r="E34" s="27"/>
    </row>
    <row r="35" spans="1:5">
      <c r="A35" s="27"/>
      <c r="B35" s="27"/>
      <c r="C35" s="27"/>
      <c r="D35" s="27"/>
      <c r="E35" s="27"/>
    </row>
    <row r="36" spans="1:5">
      <c r="A36" s="27"/>
      <c r="B36" s="27"/>
      <c r="C36" s="27"/>
      <c r="D36" s="27"/>
      <c r="E36" s="27"/>
    </row>
    <row r="37" spans="1:5">
      <c r="A37" s="27"/>
      <c r="B37" s="27"/>
      <c r="C37" s="27"/>
      <c r="D37" s="27"/>
      <c r="E37" s="27"/>
    </row>
    <row r="38" spans="1:5">
      <c r="A38" s="27"/>
      <c r="B38" s="27"/>
      <c r="C38" s="27"/>
      <c r="D38" s="27"/>
      <c r="E38" s="27"/>
    </row>
    <row r="39" spans="1:5">
      <c r="A39" s="27"/>
      <c r="B39" s="27"/>
      <c r="C39" s="27"/>
      <c r="D39" s="27"/>
      <c r="E39" s="27"/>
    </row>
    <row r="40" spans="1:5">
      <c r="A40" s="27"/>
      <c r="B40" s="27"/>
      <c r="C40" s="27"/>
      <c r="D40" s="27"/>
      <c r="E40" s="27"/>
    </row>
    <row r="41" spans="1:5">
      <c r="A41" s="27"/>
      <c r="B41" s="27"/>
      <c r="C41" s="27"/>
      <c r="D41" s="27"/>
      <c r="E41" s="27"/>
    </row>
    <row r="42" spans="1:5">
      <c r="A42" s="27"/>
      <c r="B42" s="27"/>
      <c r="C42" s="27"/>
      <c r="D42" s="27"/>
      <c r="E42" s="27"/>
    </row>
    <row r="43" spans="1:5">
      <c r="A43" s="27"/>
      <c r="B43" s="27"/>
      <c r="C43" s="27"/>
      <c r="D43" s="27"/>
      <c r="E43" s="27"/>
    </row>
    <row r="44" spans="1:5">
      <c r="A44" s="27"/>
      <c r="B44" s="27"/>
      <c r="C44" s="27"/>
      <c r="D44" s="27"/>
      <c r="E44" s="27"/>
    </row>
    <row r="45" spans="1:5">
      <c r="A45" s="27"/>
      <c r="B45" s="27"/>
      <c r="C45" s="27"/>
      <c r="D45" s="27"/>
      <c r="E45" s="27"/>
    </row>
    <row r="46" spans="1:5">
      <c r="A46" s="27"/>
      <c r="B46" s="27"/>
      <c r="C46" s="27"/>
      <c r="D46" s="27"/>
      <c r="E46" s="27"/>
    </row>
    <row r="47" spans="1:5">
      <c r="A47" s="27"/>
      <c r="B47" s="27"/>
      <c r="C47" s="27"/>
      <c r="D47" s="27"/>
      <c r="E47" s="27"/>
    </row>
    <row r="48" spans="1:5">
      <c r="A48" s="27"/>
      <c r="B48" s="27"/>
      <c r="C48" s="27"/>
      <c r="D48" s="27"/>
      <c r="E48" s="27"/>
    </row>
    <row r="49" spans="1:5">
      <c r="A49" s="27"/>
      <c r="B49" s="27"/>
      <c r="C49" s="27"/>
      <c r="D49" s="27"/>
      <c r="E49" s="27"/>
    </row>
    <row r="50" spans="1:5">
      <c r="A50" s="27"/>
      <c r="B50" s="27"/>
      <c r="C50" s="27"/>
      <c r="D50" s="27"/>
      <c r="E50" s="27"/>
    </row>
    <row r="51" spans="1:5">
      <c r="A51" s="27"/>
      <c r="B51" s="27"/>
      <c r="C51" s="27"/>
      <c r="D51" s="27"/>
      <c r="E51" s="27"/>
    </row>
    <row r="52" spans="1:5">
      <c r="A52" s="27"/>
      <c r="B52" s="27"/>
      <c r="C52" s="27"/>
      <c r="D52" s="27"/>
      <c r="E52" s="27"/>
    </row>
    <row r="53" spans="1:5">
      <c r="A53" s="27"/>
      <c r="B53" s="27"/>
      <c r="C53" s="27"/>
      <c r="D53" s="27"/>
      <c r="E53" s="27"/>
    </row>
    <row r="54" spans="1:5">
      <c r="A54" s="27"/>
      <c r="B54" s="27"/>
      <c r="C54" s="27"/>
      <c r="D54" s="27"/>
      <c r="E54" s="27"/>
    </row>
    <row r="55" spans="1:5">
      <c r="A55" s="27"/>
      <c r="B55" s="27"/>
      <c r="C55" s="27"/>
      <c r="D55" s="27"/>
      <c r="E55" s="27"/>
    </row>
    <row r="56" spans="1:5">
      <c r="A56" s="27"/>
      <c r="B56" s="27"/>
      <c r="C56" s="27"/>
      <c r="D56" s="27"/>
      <c r="E56" s="27"/>
    </row>
    <row r="57" spans="1:5">
      <c r="A57" s="27"/>
      <c r="B57" s="27"/>
      <c r="C57" s="27"/>
      <c r="D57" s="27"/>
      <c r="E57" s="27"/>
    </row>
    <row r="58" spans="1:5">
      <c r="A58" s="27"/>
      <c r="B58" s="27"/>
      <c r="C58" s="27"/>
      <c r="D58" s="27"/>
      <c r="E58" s="27"/>
    </row>
    <row r="59" spans="1:5">
      <c r="A59" s="27"/>
      <c r="B59" s="27"/>
      <c r="C59" s="27"/>
      <c r="D59" s="27"/>
      <c r="E59" s="27"/>
    </row>
    <row r="60" spans="1:5">
      <c r="A60" s="27"/>
      <c r="B60" s="27"/>
      <c r="C60" s="27"/>
      <c r="D60" s="27"/>
      <c r="E60" s="27"/>
    </row>
    <row r="61" spans="1:5">
      <c r="A61" s="27"/>
      <c r="B61" s="27"/>
      <c r="C61" s="27"/>
      <c r="D61" s="27"/>
      <c r="E61" s="27"/>
    </row>
    <row r="62" spans="1:5">
      <c r="A62" s="27"/>
      <c r="B62" s="27"/>
      <c r="C62" s="27"/>
      <c r="D62" s="27"/>
      <c r="E62" s="27"/>
    </row>
    <row r="63" spans="1:5">
      <c r="A63" s="27"/>
      <c r="B63" s="27"/>
      <c r="C63" s="27"/>
      <c r="D63" s="27"/>
      <c r="E63" s="27"/>
    </row>
    <row r="64" spans="1:5">
      <c r="A64" s="27"/>
      <c r="B64" s="27"/>
      <c r="C64" s="27"/>
      <c r="D64" s="27"/>
      <c r="E64" s="27"/>
    </row>
    <row r="65" spans="1:5">
      <c r="A65" s="27"/>
      <c r="B65" s="27"/>
      <c r="C65" s="27"/>
      <c r="D65" s="27"/>
      <c r="E65" s="27"/>
    </row>
    <row r="66" spans="1:5">
      <c r="A66" s="27"/>
      <c r="B66" s="27"/>
      <c r="C66" s="27"/>
      <c r="D66" s="27"/>
      <c r="E66" s="27"/>
    </row>
    <row r="67" spans="1:5">
      <c r="A67" s="27"/>
      <c r="B67" s="27"/>
      <c r="C67" s="27"/>
      <c r="D67" s="27"/>
      <c r="E67" s="27"/>
    </row>
    <row r="68" spans="1:5">
      <c r="A68" s="27"/>
      <c r="B68" s="27"/>
      <c r="C68" s="27"/>
      <c r="D68" s="27"/>
      <c r="E68" s="27"/>
    </row>
    <row r="69" spans="1:5">
      <c r="A69" s="27"/>
      <c r="B69" s="27"/>
      <c r="C69" s="27"/>
      <c r="D69" s="27"/>
      <c r="E69" s="27"/>
    </row>
    <row r="70" spans="1:5">
      <c r="A70" s="27"/>
      <c r="B70" s="27"/>
      <c r="C70" s="27"/>
      <c r="D70" s="27"/>
      <c r="E70" s="27"/>
    </row>
    <row r="71" spans="1:5">
      <c r="A71" s="27"/>
      <c r="B71" s="27"/>
      <c r="C71" s="27"/>
      <c r="D71" s="27"/>
      <c r="E71" s="27"/>
    </row>
    <row r="72" spans="1:5">
      <c r="A72" s="27"/>
      <c r="B72" s="27"/>
      <c r="C72" s="27"/>
      <c r="D72" s="27"/>
      <c r="E72" s="27"/>
    </row>
    <row r="73" spans="1:5">
      <c r="A73" s="27"/>
      <c r="B73" s="27"/>
      <c r="C73" s="27"/>
      <c r="D73" s="27"/>
      <c r="E73" s="27"/>
    </row>
    <row r="74" spans="1:5">
      <c r="A74" s="27"/>
      <c r="B74" s="27"/>
      <c r="C74" s="27"/>
      <c r="D74" s="27"/>
      <c r="E74" s="27"/>
    </row>
    <row r="75" spans="1:5">
      <c r="A75" s="27"/>
      <c r="B75" s="27"/>
      <c r="C75" s="27"/>
      <c r="D75" s="27"/>
      <c r="E75" s="27"/>
    </row>
    <row r="76" spans="1:5">
      <c r="A76" s="27"/>
      <c r="B76" s="27"/>
      <c r="C76" s="27"/>
      <c r="D76" s="27"/>
      <c r="E76" s="27"/>
    </row>
    <row r="77" spans="1:5">
      <c r="A77" s="27"/>
      <c r="B77" s="27"/>
      <c r="C77" s="27"/>
      <c r="D77" s="27"/>
      <c r="E77" s="27"/>
    </row>
    <row r="78" spans="1:5">
      <c r="A78" s="27"/>
      <c r="B78" s="27"/>
      <c r="C78" s="27"/>
      <c r="D78" s="27"/>
      <c r="E78" s="27"/>
    </row>
    <row r="79" spans="1:5">
      <c r="A79" s="27"/>
      <c r="B79" s="27"/>
      <c r="C79" s="27"/>
      <c r="D79" s="27"/>
      <c r="E79" s="27"/>
    </row>
    <row r="80" spans="1:5">
      <c r="A80" s="27"/>
      <c r="B80" s="27"/>
      <c r="C80" s="27"/>
      <c r="D80" s="27"/>
      <c r="E80" s="27"/>
    </row>
    <row r="81" spans="1:5">
      <c r="A81" s="27"/>
      <c r="B81" s="27"/>
      <c r="C81" s="27"/>
      <c r="D81" s="27"/>
      <c r="E81" s="27"/>
    </row>
    <row r="82" spans="1:5">
      <c r="A82" s="27"/>
      <c r="B82" s="27"/>
      <c r="C82" s="27"/>
      <c r="D82" s="27"/>
      <c r="E82" s="27"/>
    </row>
    <row r="83" spans="1:5">
      <c r="A83" s="27"/>
      <c r="B83" s="27"/>
      <c r="C83" s="27"/>
      <c r="D83" s="27"/>
      <c r="E83" s="27"/>
    </row>
    <row r="84" spans="1:5">
      <c r="A84" s="27"/>
      <c r="B84" s="27"/>
      <c r="C84" s="27"/>
      <c r="D84" s="27"/>
      <c r="E84" s="27"/>
    </row>
    <row r="85" spans="1:5">
      <c r="A85" s="27"/>
      <c r="B85" s="27"/>
      <c r="C85" s="27"/>
      <c r="D85" s="27"/>
      <c r="E85" s="27"/>
    </row>
    <row r="86" spans="1:5">
      <c r="A86" s="27"/>
      <c r="B86" s="27"/>
      <c r="C86" s="27"/>
      <c r="D86" s="27"/>
      <c r="E86" s="27"/>
    </row>
    <row r="87" spans="1:5">
      <c r="A87" s="27"/>
      <c r="B87" s="27"/>
      <c r="C87" s="27"/>
      <c r="D87" s="27"/>
      <c r="E87" s="27"/>
    </row>
    <row r="88" spans="1:5">
      <c r="A88" s="27"/>
      <c r="B88" s="27"/>
      <c r="C88" s="27"/>
      <c r="D88" s="27"/>
      <c r="E88" s="27"/>
    </row>
    <row r="89" spans="1:5">
      <c r="A89" s="27"/>
      <c r="B89" s="27"/>
      <c r="C89" s="27"/>
      <c r="D89" s="27"/>
      <c r="E89" s="27"/>
    </row>
    <row r="90" spans="1:5">
      <c r="A90" s="27"/>
      <c r="B90" s="27"/>
      <c r="C90" s="27"/>
      <c r="D90" s="27"/>
      <c r="E90" s="27"/>
    </row>
    <row r="91" spans="1:5">
      <c r="A91" s="27"/>
      <c r="B91" s="27"/>
      <c r="C91" s="27"/>
      <c r="D91" s="27"/>
      <c r="E91" s="27"/>
    </row>
    <row r="92" spans="1:5">
      <c r="A92" s="27"/>
      <c r="B92" s="27"/>
      <c r="C92" s="27"/>
      <c r="D92" s="27"/>
      <c r="E92" s="27"/>
    </row>
    <row r="93" spans="1:5">
      <c r="A93" s="27"/>
      <c r="B93" s="27"/>
      <c r="C93" s="27"/>
      <c r="D93" s="27"/>
      <c r="E93" s="27"/>
    </row>
    <row r="94" spans="1:5">
      <c r="A94" s="27"/>
      <c r="B94" s="27"/>
      <c r="C94" s="27"/>
      <c r="D94" s="27"/>
      <c r="E94" s="27"/>
    </row>
    <row r="95" spans="1:5">
      <c r="A95" s="27"/>
      <c r="B95" s="27"/>
      <c r="C95" s="27"/>
      <c r="D95" s="27"/>
      <c r="E95" s="27"/>
    </row>
    <row r="96" spans="1:5">
      <c r="A96" s="27"/>
      <c r="B96" s="27"/>
      <c r="C96" s="27"/>
      <c r="D96" s="27"/>
      <c r="E96" s="27"/>
    </row>
    <row r="97" spans="1:5">
      <c r="A97" s="27"/>
      <c r="B97" s="27"/>
      <c r="C97" s="27"/>
      <c r="D97" s="27"/>
      <c r="E97" s="27"/>
    </row>
    <row r="98" spans="1:5">
      <c r="A98" s="27"/>
      <c r="B98" s="27"/>
      <c r="C98" s="27"/>
      <c r="D98" s="27"/>
      <c r="E98" s="27"/>
    </row>
    <row r="99" spans="1:5">
      <c r="A99" s="27"/>
      <c r="B99" s="27"/>
      <c r="C99" s="27"/>
      <c r="D99" s="27"/>
      <c r="E99" s="27"/>
    </row>
    <row r="100" spans="1:5">
      <c r="A100" s="27"/>
      <c r="B100" s="27"/>
      <c r="C100" s="27"/>
      <c r="D100" s="27"/>
      <c r="E100" s="27"/>
    </row>
    <row r="101" spans="1:5">
      <c r="A101" s="27"/>
      <c r="B101" s="27"/>
      <c r="C101" s="27"/>
      <c r="D101" s="27"/>
      <c r="E101" s="27"/>
    </row>
    <row r="102" spans="1:5">
      <c r="A102" s="27"/>
      <c r="B102" s="27"/>
      <c r="C102" s="27"/>
      <c r="D102" s="27"/>
      <c r="E102" s="27"/>
    </row>
    <row r="103" spans="1:5">
      <c r="A103" s="27"/>
      <c r="B103" s="27"/>
      <c r="C103" s="27"/>
      <c r="D103" s="27"/>
      <c r="E103" s="27"/>
    </row>
    <row r="104" spans="1:5">
      <c r="A104" s="27"/>
      <c r="B104" s="27"/>
      <c r="C104" s="27"/>
      <c r="D104" s="27"/>
      <c r="E104" s="27"/>
    </row>
    <row r="105" spans="1:5">
      <c r="A105" s="27"/>
      <c r="B105" s="27"/>
      <c r="C105" s="27"/>
      <c r="D105" s="27"/>
      <c r="E105" s="27"/>
    </row>
    <row r="106" spans="1:5">
      <c r="A106" s="27"/>
      <c r="B106" s="27"/>
      <c r="C106" s="27"/>
      <c r="D106" s="27"/>
      <c r="E106" s="27"/>
    </row>
    <row r="107" spans="1:5">
      <c r="A107" s="27"/>
      <c r="B107" s="27"/>
      <c r="C107" s="27"/>
      <c r="D107" s="27"/>
      <c r="E107" s="27"/>
    </row>
    <row r="108" spans="1:5">
      <c r="A108" s="27"/>
      <c r="B108" s="27"/>
      <c r="C108" s="27"/>
      <c r="D108" s="27"/>
      <c r="E108" s="27"/>
    </row>
    <row r="109" spans="1:5">
      <c r="A109" s="27"/>
      <c r="B109" s="27"/>
      <c r="C109" s="27"/>
      <c r="D109" s="27"/>
      <c r="E109" s="27"/>
    </row>
    <row r="110" spans="1:5">
      <c r="A110" s="27"/>
      <c r="B110" s="27"/>
      <c r="C110" s="27"/>
      <c r="D110" s="27"/>
      <c r="E110" s="27"/>
    </row>
    <row r="111" spans="1:5">
      <c r="A111" s="27"/>
      <c r="B111" s="27"/>
      <c r="C111" s="27"/>
      <c r="D111" s="27"/>
      <c r="E111" s="27"/>
    </row>
    <row r="112" spans="1:5">
      <c r="A112" s="27"/>
      <c r="B112" s="27"/>
      <c r="C112" s="27"/>
      <c r="D112" s="27"/>
      <c r="E112" s="27"/>
    </row>
    <row r="113" spans="1:5">
      <c r="A113" s="27"/>
      <c r="B113" s="27"/>
      <c r="C113" s="27"/>
      <c r="D113" s="27"/>
      <c r="E113" s="27"/>
    </row>
    <row r="114" spans="1:5">
      <c r="A114" s="27"/>
      <c r="B114" s="27"/>
      <c r="C114" s="27"/>
      <c r="D114" s="27"/>
      <c r="E114" s="27"/>
    </row>
    <row r="115" spans="1:5">
      <c r="A115" s="27"/>
      <c r="B115" s="27"/>
      <c r="C115" s="27"/>
      <c r="D115" s="27"/>
      <c r="E115" s="27"/>
    </row>
    <row r="116" spans="1:5">
      <c r="A116" s="27"/>
      <c r="B116" s="27"/>
      <c r="C116" s="27"/>
      <c r="D116" s="28"/>
      <c r="E116" s="29"/>
    </row>
    <row r="117" spans="1:5">
      <c r="A117" s="27"/>
      <c r="B117" s="27"/>
      <c r="C117" s="27"/>
      <c r="D117" s="27"/>
      <c r="E117" s="27"/>
    </row>
    <row r="118" spans="1:5">
      <c r="A118" s="27"/>
      <c r="B118" s="27"/>
      <c r="C118" s="27"/>
      <c r="D118" s="27"/>
      <c r="E118" s="27"/>
    </row>
    <row r="119" spans="1:5">
      <c r="A119" s="27"/>
      <c r="B119" s="27"/>
      <c r="C119" s="27"/>
      <c r="D119" s="27"/>
      <c r="E119" s="27"/>
    </row>
    <row r="120" spans="1:5">
      <c r="A120" s="27"/>
      <c r="B120" s="27"/>
      <c r="C120" s="27"/>
      <c r="D120" s="27"/>
      <c r="E120" s="27"/>
    </row>
    <row r="121" spans="1:5">
      <c r="A121" s="27"/>
      <c r="B121" s="27"/>
      <c r="C121" s="27"/>
      <c r="D121" s="27"/>
      <c r="E121" s="27"/>
    </row>
    <row r="122" spans="1:5">
      <c r="A122" s="27"/>
      <c r="B122" s="27"/>
      <c r="C122" s="27"/>
      <c r="D122" s="27"/>
      <c r="E122" s="27"/>
    </row>
    <row r="123" spans="1:5">
      <c r="A123" s="27"/>
      <c r="B123" s="27"/>
      <c r="C123" s="27"/>
      <c r="D123" s="27"/>
      <c r="E123" s="27"/>
    </row>
    <row r="124" spans="1:5">
      <c r="A124" s="27"/>
      <c r="B124" s="27"/>
      <c r="C124" s="27"/>
      <c r="D124" s="27"/>
      <c r="E124" s="27"/>
    </row>
    <row r="125" spans="1:5">
      <c r="A125" s="27"/>
      <c r="B125" s="27"/>
      <c r="C125" s="27"/>
      <c r="D125" s="27"/>
      <c r="E125" s="27"/>
    </row>
    <row r="126" spans="1:5">
      <c r="A126" s="27"/>
      <c r="B126" s="27"/>
      <c r="C126" s="27"/>
      <c r="D126" s="27"/>
      <c r="E126" s="27"/>
    </row>
    <row r="127" spans="1:5">
      <c r="A127" s="27"/>
      <c r="B127" s="27"/>
      <c r="C127" s="27"/>
      <c r="D127" s="27"/>
      <c r="E127" s="27"/>
    </row>
    <row r="128" spans="1:5">
      <c r="A128" s="27"/>
      <c r="B128" s="27"/>
      <c r="C128" s="27"/>
      <c r="D128" s="27"/>
      <c r="E128" s="27"/>
    </row>
    <row r="129" spans="1:5">
      <c r="A129" s="27"/>
      <c r="B129" s="27"/>
      <c r="C129" s="27"/>
      <c r="D129" s="27"/>
      <c r="E129" s="27"/>
    </row>
    <row r="130" spans="1:5">
      <c r="A130" s="27"/>
      <c r="B130" s="27"/>
      <c r="C130" s="27"/>
      <c r="D130" s="27"/>
      <c r="E130" s="27"/>
    </row>
    <row r="131" spans="1:5">
      <c r="A131" s="27"/>
      <c r="B131" s="27"/>
      <c r="C131" s="27"/>
      <c r="D131" s="27"/>
      <c r="E131" s="27"/>
    </row>
    <row r="132" spans="1:5">
      <c r="A132" s="27"/>
      <c r="B132" s="27"/>
      <c r="C132" s="27"/>
      <c r="D132" s="27"/>
      <c r="E132" s="27"/>
    </row>
    <row r="133" spans="1:5">
      <c r="A133" s="27"/>
      <c r="B133" s="27"/>
      <c r="C133" s="27"/>
      <c r="D133" s="27"/>
      <c r="E133" s="27"/>
    </row>
    <row r="134" spans="1:5">
      <c r="A134" s="27"/>
      <c r="B134" s="27"/>
      <c r="C134" s="27"/>
      <c r="D134" s="27"/>
      <c r="E134" s="27"/>
    </row>
    <row r="135" spans="1:5">
      <c r="A135" s="27"/>
      <c r="B135" s="27"/>
      <c r="C135" s="27"/>
      <c r="D135" s="27"/>
      <c r="E135" s="27"/>
    </row>
    <row r="136" spans="1:5">
      <c r="A136" s="27"/>
      <c r="B136" s="27"/>
      <c r="C136" s="27"/>
      <c r="D136" s="27"/>
      <c r="E136" s="27"/>
    </row>
    <row r="137" spans="1:5">
      <c r="A137" s="27"/>
      <c r="B137" s="27"/>
      <c r="C137" s="27"/>
      <c r="D137" s="27"/>
      <c r="E137" s="27"/>
    </row>
    <row r="138" spans="1:5">
      <c r="A138" s="27"/>
      <c r="B138" s="27"/>
      <c r="C138" s="27"/>
      <c r="D138" s="27"/>
      <c r="E138" s="27"/>
    </row>
    <row r="139" spans="1:5">
      <c r="A139" s="27"/>
      <c r="B139" s="27"/>
      <c r="C139" s="27"/>
      <c r="D139" s="27"/>
      <c r="E139" s="27"/>
    </row>
    <row r="140" spans="1:5">
      <c r="A140" s="27"/>
      <c r="B140" s="27"/>
      <c r="C140" s="27"/>
      <c r="D140" s="27"/>
      <c r="E140" s="27"/>
    </row>
    <row r="141" spans="1:5">
      <c r="A141" s="27"/>
      <c r="B141" s="27"/>
      <c r="C141" s="27"/>
      <c r="D141" s="27"/>
      <c r="E141" s="27"/>
    </row>
    <row r="142" spans="1:5">
      <c r="A142" s="27"/>
      <c r="B142" s="27"/>
      <c r="C142" s="27"/>
      <c r="D142" s="27"/>
      <c r="E142" s="27"/>
    </row>
    <row r="143" spans="1:5">
      <c r="A143" s="27"/>
      <c r="B143" s="27"/>
      <c r="C143" s="27"/>
      <c r="D143" s="27"/>
      <c r="E143" s="27"/>
    </row>
    <row r="144" spans="1:5">
      <c r="A144" s="27"/>
      <c r="B144" s="27"/>
      <c r="C144" s="27"/>
      <c r="D144" s="27"/>
      <c r="E144" s="27"/>
    </row>
    <row r="145" spans="1:5">
      <c r="A145" s="27"/>
      <c r="B145" s="27"/>
      <c r="C145" s="27"/>
      <c r="D145" s="27"/>
      <c r="E145" s="27"/>
    </row>
    <row r="146" spans="1:5">
      <c r="A146" s="27"/>
      <c r="B146" s="27"/>
      <c r="C146" s="27"/>
      <c r="D146" s="27"/>
      <c r="E146" s="27"/>
    </row>
    <row r="147" spans="1:5">
      <c r="A147" s="27"/>
      <c r="B147" s="27"/>
      <c r="C147" s="27"/>
      <c r="D147" s="27"/>
      <c r="E147" s="27"/>
    </row>
    <row r="148" spans="1:5">
      <c r="A148" s="27"/>
      <c r="B148" s="27"/>
      <c r="C148" s="27"/>
      <c r="D148" s="27"/>
      <c r="E148" s="27"/>
    </row>
    <row r="149" spans="1:5">
      <c r="A149" s="27"/>
      <c r="B149" s="27"/>
      <c r="C149" s="27"/>
      <c r="D149" s="27"/>
      <c r="E149" s="27"/>
    </row>
    <row r="150" spans="1:5">
      <c r="A150" s="27"/>
      <c r="B150" s="27"/>
      <c r="C150" s="27"/>
      <c r="D150" s="27"/>
      <c r="E150" s="27"/>
    </row>
    <row r="151" spans="1:5">
      <c r="A151" s="27"/>
      <c r="B151" s="27"/>
      <c r="C151" s="27"/>
      <c r="D151" s="27"/>
      <c r="E151" s="27"/>
    </row>
    <row r="152" spans="1:5">
      <c r="A152" s="27"/>
      <c r="B152" s="27"/>
      <c r="C152" s="27"/>
      <c r="D152" s="27"/>
      <c r="E152" s="27"/>
    </row>
    <row r="153" spans="1:5">
      <c r="A153" s="27"/>
      <c r="B153" s="27"/>
      <c r="C153" s="27"/>
      <c r="D153" s="27"/>
      <c r="E153" s="27"/>
    </row>
    <row r="154" spans="1:5">
      <c r="A154" s="27"/>
      <c r="B154" s="27"/>
      <c r="C154" s="27"/>
      <c r="D154" s="27"/>
      <c r="E154" s="27"/>
    </row>
    <row r="155" spans="1:5">
      <c r="A155" s="27"/>
      <c r="B155" s="27"/>
      <c r="C155" s="27"/>
      <c r="D155" s="27"/>
      <c r="E155" s="27"/>
    </row>
    <row r="156" spans="1:5">
      <c r="A156" s="27"/>
      <c r="B156" s="27"/>
      <c r="C156" s="27"/>
      <c r="D156" s="27"/>
      <c r="E156" s="27"/>
    </row>
    <row r="157" spans="1:5">
      <c r="A157" s="27"/>
      <c r="B157" s="27"/>
      <c r="C157" s="27"/>
      <c r="D157" s="27"/>
      <c r="E157" s="27"/>
    </row>
    <row r="158" spans="1:5">
      <c r="A158" s="27"/>
      <c r="B158" s="27"/>
      <c r="C158" s="27"/>
      <c r="D158" s="27"/>
      <c r="E158" s="27"/>
    </row>
    <row r="159" spans="1:5">
      <c r="A159" s="27"/>
      <c r="B159" s="27"/>
      <c r="C159" s="27"/>
      <c r="D159" s="27"/>
      <c r="E159" s="27"/>
    </row>
    <row r="160" spans="1:5">
      <c r="A160" s="27"/>
      <c r="B160" s="27"/>
      <c r="C160" s="27"/>
      <c r="D160" s="27"/>
      <c r="E160" s="27"/>
    </row>
    <row r="161" spans="1:5">
      <c r="A161" s="27"/>
      <c r="B161" s="27"/>
      <c r="C161" s="27"/>
      <c r="D161" s="27"/>
      <c r="E161" s="27"/>
    </row>
    <row r="162" spans="1:5">
      <c r="A162" s="27"/>
      <c r="B162" s="27"/>
      <c r="C162" s="27"/>
      <c r="D162" s="27"/>
      <c r="E162" s="27"/>
    </row>
    <row r="163" spans="1:5">
      <c r="A163" s="27"/>
      <c r="B163" s="27"/>
      <c r="C163" s="27"/>
      <c r="D163" s="27"/>
      <c r="E163" s="27"/>
    </row>
    <row r="164" spans="1:5">
      <c r="A164" s="27"/>
      <c r="B164" s="27"/>
      <c r="C164" s="27"/>
      <c r="D164" s="27"/>
      <c r="E164" s="27"/>
    </row>
    <row r="165" spans="1:5">
      <c r="A165" s="27"/>
      <c r="B165" s="27"/>
      <c r="C165" s="27"/>
      <c r="D165" s="27"/>
      <c r="E165" s="27"/>
    </row>
    <row r="166" spans="1:5">
      <c r="A166" s="27"/>
      <c r="B166" s="27"/>
      <c r="C166" s="27"/>
      <c r="D166" s="27"/>
      <c r="E166" s="27"/>
    </row>
    <row r="167" spans="1:5">
      <c r="A167" s="27"/>
      <c r="B167" s="27"/>
      <c r="C167" s="27"/>
      <c r="D167" s="27"/>
      <c r="E167" s="27"/>
    </row>
    <row r="168" spans="1:5">
      <c r="A168" s="27"/>
      <c r="B168" s="27"/>
      <c r="C168" s="27"/>
      <c r="D168" s="27"/>
      <c r="E168" s="27"/>
    </row>
    <row r="169" spans="1:5">
      <c r="A169" s="27"/>
      <c r="B169" s="27"/>
      <c r="C169" s="27"/>
      <c r="D169" s="27"/>
      <c r="E169" s="27"/>
    </row>
    <row r="170" spans="1:5">
      <c r="A170" s="27"/>
      <c r="B170" s="27"/>
      <c r="C170" s="27"/>
      <c r="D170" s="27"/>
      <c r="E170" s="27"/>
    </row>
    <row r="171" spans="1:5">
      <c r="A171" s="27"/>
      <c r="B171" s="27"/>
      <c r="C171" s="27"/>
      <c r="D171" s="27"/>
      <c r="E171" s="27"/>
    </row>
    <row r="172" spans="1:5">
      <c r="A172" s="27"/>
      <c r="B172" s="27"/>
      <c r="C172" s="27"/>
      <c r="D172" s="27"/>
      <c r="E172" s="27"/>
    </row>
    <row r="173" spans="1:5">
      <c r="A173" s="27"/>
      <c r="B173" s="27"/>
      <c r="C173" s="27"/>
      <c r="D173" s="27"/>
      <c r="E173" s="27"/>
    </row>
    <row r="174" spans="1:5">
      <c r="A174" s="27"/>
      <c r="B174" s="27"/>
      <c r="C174" s="27"/>
      <c r="D174" s="27"/>
      <c r="E174" s="27"/>
    </row>
    <row r="175" spans="1:5">
      <c r="A175" s="27"/>
      <c r="B175" s="27"/>
      <c r="C175" s="27"/>
      <c r="D175" s="27"/>
      <c r="E175" s="27"/>
    </row>
    <row r="176" spans="1:5">
      <c r="A176" s="27"/>
      <c r="B176" s="27"/>
      <c r="C176" s="27"/>
      <c r="D176" s="27"/>
      <c r="E176" s="27"/>
    </row>
    <row r="177" spans="1:7">
      <c r="A177" s="27"/>
      <c r="B177" s="27"/>
      <c r="C177" s="27"/>
      <c r="D177" s="27"/>
      <c r="E177" s="27"/>
    </row>
    <row r="178" spans="1:7">
      <c r="A178" s="27"/>
      <c r="B178" s="27"/>
      <c r="C178" s="27"/>
      <c r="D178" s="27"/>
      <c r="E178" s="27"/>
    </row>
    <row r="179" spans="1:7">
      <c r="A179" s="27"/>
      <c r="B179" s="27"/>
      <c r="C179" s="27"/>
      <c r="D179" s="27"/>
      <c r="E179" s="27"/>
    </row>
    <row r="180" spans="1:7">
      <c r="A180" s="27"/>
      <c r="B180" s="27"/>
      <c r="C180" s="27"/>
      <c r="D180" s="27"/>
      <c r="E180" s="27"/>
    </row>
    <row r="181" spans="1:7">
      <c r="A181" s="27"/>
      <c r="B181" s="27"/>
      <c r="C181" s="27"/>
      <c r="D181" s="27"/>
      <c r="E181" s="27"/>
    </row>
    <row r="182" spans="1:7">
      <c r="A182" s="27"/>
      <c r="B182" s="27"/>
      <c r="C182" s="27"/>
      <c r="D182" s="27"/>
      <c r="E182" s="27"/>
    </row>
    <row r="183" spans="1:7">
      <c r="A183" s="27"/>
      <c r="B183" s="27"/>
      <c r="C183" s="27"/>
      <c r="D183" s="27"/>
      <c r="E183" s="27"/>
    </row>
    <row r="184" spans="1:7">
      <c r="A184" s="27"/>
      <c r="B184" s="27"/>
      <c r="C184" s="27"/>
      <c r="D184" s="27"/>
      <c r="E184" s="27"/>
    </row>
    <row r="185" spans="1:7">
      <c r="A185" s="27"/>
      <c r="B185" s="27"/>
      <c r="C185" s="27"/>
      <c r="D185" s="27"/>
      <c r="E185" s="27"/>
    </row>
    <row r="186" spans="1:7">
      <c r="A186" s="27"/>
      <c r="B186" s="27"/>
      <c r="C186" s="27"/>
      <c r="D186" s="27"/>
      <c r="E186" s="27"/>
    </row>
    <row r="187" spans="1:7">
      <c r="G187" s="3" t="e">
        <f t="shared" ref="G187:G239" si="1">F187/D187</f>
        <v>#DIV/0!</v>
      </c>
    </row>
    <row r="188" spans="1:7">
      <c r="G188" s="3" t="e">
        <f t="shared" si="1"/>
        <v>#DIV/0!</v>
      </c>
    </row>
    <row r="189" spans="1:7">
      <c r="G189" s="3" t="e">
        <f t="shared" si="1"/>
        <v>#DIV/0!</v>
      </c>
    </row>
    <row r="190" spans="1:7">
      <c r="G190" s="3" t="e">
        <f t="shared" si="1"/>
        <v>#DIV/0!</v>
      </c>
    </row>
    <row r="191" spans="1:7">
      <c r="G191" s="3" t="e">
        <f t="shared" si="1"/>
        <v>#DIV/0!</v>
      </c>
    </row>
    <row r="192" spans="1:7">
      <c r="G192" s="3" t="e">
        <f t="shared" si="1"/>
        <v>#DIV/0!</v>
      </c>
    </row>
    <row r="193" spans="7:7">
      <c r="G193" s="3" t="e">
        <f t="shared" si="1"/>
        <v>#DIV/0!</v>
      </c>
    </row>
    <row r="194" spans="7:7">
      <c r="G194" s="3" t="e">
        <f t="shared" si="1"/>
        <v>#DIV/0!</v>
      </c>
    </row>
    <row r="195" spans="7:7">
      <c r="G195" s="3" t="e">
        <f t="shared" si="1"/>
        <v>#DIV/0!</v>
      </c>
    </row>
    <row r="196" spans="7:7">
      <c r="G196" s="3" t="e">
        <f t="shared" si="1"/>
        <v>#DIV/0!</v>
      </c>
    </row>
    <row r="197" spans="7:7">
      <c r="G197" s="3" t="e">
        <f t="shared" si="1"/>
        <v>#DIV/0!</v>
      </c>
    </row>
    <row r="198" spans="7:7">
      <c r="G198" s="3" t="e">
        <f t="shared" si="1"/>
        <v>#DIV/0!</v>
      </c>
    </row>
    <row r="199" spans="7:7">
      <c r="G199" s="3" t="e">
        <f t="shared" si="1"/>
        <v>#DIV/0!</v>
      </c>
    </row>
    <row r="200" spans="7:7">
      <c r="G200" s="3" t="e">
        <f t="shared" si="1"/>
        <v>#DIV/0!</v>
      </c>
    </row>
    <row r="201" spans="7:7">
      <c r="G201" s="3" t="e">
        <f t="shared" si="1"/>
        <v>#DIV/0!</v>
      </c>
    </row>
    <row r="202" spans="7:7">
      <c r="G202" s="3" t="e">
        <f t="shared" si="1"/>
        <v>#DIV/0!</v>
      </c>
    </row>
    <row r="203" spans="7:7">
      <c r="G203" s="3" t="e">
        <f t="shared" si="1"/>
        <v>#DIV/0!</v>
      </c>
    </row>
    <row r="204" spans="7:7">
      <c r="G204" s="3" t="e">
        <f t="shared" si="1"/>
        <v>#DIV/0!</v>
      </c>
    </row>
    <row r="205" spans="7:7">
      <c r="G205" s="3" t="e">
        <f t="shared" si="1"/>
        <v>#DIV/0!</v>
      </c>
    </row>
    <row r="206" spans="7:7">
      <c r="G206" s="3" t="e">
        <f t="shared" si="1"/>
        <v>#DIV/0!</v>
      </c>
    </row>
    <row r="207" spans="7:7">
      <c r="G207" s="3" t="e">
        <f t="shared" si="1"/>
        <v>#DIV/0!</v>
      </c>
    </row>
    <row r="208" spans="7:7">
      <c r="G208" s="3" t="e">
        <f t="shared" si="1"/>
        <v>#DIV/0!</v>
      </c>
    </row>
    <row r="209" spans="7:7">
      <c r="G209" s="3" t="e">
        <f t="shared" si="1"/>
        <v>#DIV/0!</v>
      </c>
    </row>
    <row r="210" spans="7:7">
      <c r="G210" s="3" t="e">
        <f t="shared" si="1"/>
        <v>#DIV/0!</v>
      </c>
    </row>
    <row r="211" spans="7:7">
      <c r="G211" s="3" t="e">
        <f t="shared" si="1"/>
        <v>#DIV/0!</v>
      </c>
    </row>
    <row r="212" spans="7:7">
      <c r="G212" s="3" t="e">
        <f t="shared" si="1"/>
        <v>#DIV/0!</v>
      </c>
    </row>
    <row r="213" spans="7:7">
      <c r="G213" s="3" t="e">
        <f t="shared" si="1"/>
        <v>#DIV/0!</v>
      </c>
    </row>
    <row r="214" spans="7:7">
      <c r="G214" s="3" t="e">
        <f t="shared" si="1"/>
        <v>#DIV/0!</v>
      </c>
    </row>
    <row r="215" spans="7:7">
      <c r="G215" s="3" t="e">
        <f t="shared" si="1"/>
        <v>#DIV/0!</v>
      </c>
    </row>
    <row r="216" spans="7:7">
      <c r="G216" s="3" t="e">
        <f t="shared" si="1"/>
        <v>#DIV/0!</v>
      </c>
    </row>
    <row r="217" spans="7:7">
      <c r="G217" s="3" t="e">
        <f t="shared" si="1"/>
        <v>#DIV/0!</v>
      </c>
    </row>
    <row r="218" spans="7:7">
      <c r="G218" s="3" t="e">
        <f t="shared" si="1"/>
        <v>#DIV/0!</v>
      </c>
    </row>
    <row r="219" spans="7:7">
      <c r="G219" s="3" t="e">
        <f t="shared" si="1"/>
        <v>#DIV/0!</v>
      </c>
    </row>
    <row r="220" spans="7:7">
      <c r="G220" s="3" t="e">
        <f t="shared" si="1"/>
        <v>#DIV/0!</v>
      </c>
    </row>
    <row r="221" spans="7:7">
      <c r="G221" s="3" t="e">
        <f t="shared" si="1"/>
        <v>#DIV/0!</v>
      </c>
    </row>
    <row r="222" spans="7:7">
      <c r="G222" s="3" t="e">
        <f t="shared" si="1"/>
        <v>#DIV/0!</v>
      </c>
    </row>
    <row r="223" spans="7:7">
      <c r="G223" s="3" t="e">
        <f t="shared" si="1"/>
        <v>#DIV/0!</v>
      </c>
    </row>
    <row r="224" spans="7:7">
      <c r="G224" s="3" t="e">
        <f t="shared" si="1"/>
        <v>#DIV/0!</v>
      </c>
    </row>
    <row r="225" spans="7:7">
      <c r="G225" s="3" t="e">
        <f t="shared" si="1"/>
        <v>#DIV/0!</v>
      </c>
    </row>
    <row r="226" spans="7:7">
      <c r="G226" s="3" t="e">
        <f t="shared" si="1"/>
        <v>#DIV/0!</v>
      </c>
    </row>
    <row r="227" spans="7:7">
      <c r="G227" s="3" t="e">
        <f t="shared" si="1"/>
        <v>#DIV/0!</v>
      </c>
    </row>
    <row r="228" spans="7:7">
      <c r="G228" s="3" t="e">
        <f t="shared" si="1"/>
        <v>#DIV/0!</v>
      </c>
    </row>
    <row r="229" spans="7:7">
      <c r="G229" s="3" t="e">
        <f t="shared" si="1"/>
        <v>#DIV/0!</v>
      </c>
    </row>
    <row r="230" spans="7:7">
      <c r="G230" s="3" t="e">
        <f t="shared" si="1"/>
        <v>#DIV/0!</v>
      </c>
    </row>
    <row r="231" spans="7:7">
      <c r="G231" s="3" t="e">
        <f t="shared" si="1"/>
        <v>#DIV/0!</v>
      </c>
    </row>
    <row r="232" spans="7:7">
      <c r="G232" s="3" t="e">
        <f t="shared" si="1"/>
        <v>#DIV/0!</v>
      </c>
    </row>
    <row r="233" spans="7:7">
      <c r="G233" s="3" t="e">
        <f t="shared" si="1"/>
        <v>#DIV/0!</v>
      </c>
    </row>
    <row r="234" spans="7:7">
      <c r="G234" s="3" t="e">
        <f t="shared" si="1"/>
        <v>#DIV/0!</v>
      </c>
    </row>
    <row r="235" spans="7:7">
      <c r="G235" s="3" t="e">
        <f t="shared" si="1"/>
        <v>#DIV/0!</v>
      </c>
    </row>
    <row r="236" spans="7:7">
      <c r="G236" s="3" t="e">
        <f t="shared" si="1"/>
        <v>#DIV/0!</v>
      </c>
    </row>
    <row r="237" spans="7:7">
      <c r="G237" s="3" t="e">
        <f t="shared" si="1"/>
        <v>#DIV/0!</v>
      </c>
    </row>
    <row r="238" spans="7:7">
      <c r="G238" s="3" t="e">
        <f t="shared" si="1"/>
        <v>#DIV/0!</v>
      </c>
    </row>
    <row r="239" spans="7:7">
      <c r="G239" s="3" t="e">
        <f t="shared" si="1"/>
        <v>#DIV/0!</v>
      </c>
    </row>
    <row r="240" spans="7:7">
      <c r="G240" s="3" t="e">
        <f t="shared" ref="G240:G303" si="2">F240/D240</f>
        <v>#DIV/0!</v>
      </c>
    </row>
    <row r="241" spans="7:7">
      <c r="G241" s="3" t="e">
        <f t="shared" si="2"/>
        <v>#DIV/0!</v>
      </c>
    </row>
    <row r="242" spans="7:7">
      <c r="G242" s="3" t="e">
        <f t="shared" si="2"/>
        <v>#DIV/0!</v>
      </c>
    </row>
    <row r="243" spans="7:7">
      <c r="G243" s="3" t="e">
        <f t="shared" si="2"/>
        <v>#DIV/0!</v>
      </c>
    </row>
    <row r="244" spans="7:7">
      <c r="G244" s="3" t="e">
        <f t="shared" si="2"/>
        <v>#DIV/0!</v>
      </c>
    </row>
    <row r="245" spans="7:7">
      <c r="G245" s="3" t="e">
        <f t="shared" si="2"/>
        <v>#DIV/0!</v>
      </c>
    </row>
    <row r="246" spans="7:7">
      <c r="G246" s="3" t="e">
        <f t="shared" si="2"/>
        <v>#DIV/0!</v>
      </c>
    </row>
    <row r="247" spans="7:7">
      <c r="G247" s="3" t="e">
        <f t="shared" si="2"/>
        <v>#DIV/0!</v>
      </c>
    </row>
    <row r="248" spans="7:7">
      <c r="G248" s="3" t="e">
        <f t="shared" si="2"/>
        <v>#DIV/0!</v>
      </c>
    </row>
    <row r="249" spans="7:7">
      <c r="G249" s="3" t="e">
        <f t="shared" si="2"/>
        <v>#DIV/0!</v>
      </c>
    </row>
    <row r="250" spans="7:7">
      <c r="G250" s="3" t="e">
        <f t="shared" si="2"/>
        <v>#DIV/0!</v>
      </c>
    </row>
    <row r="251" spans="7:7">
      <c r="G251" s="3" t="e">
        <f t="shared" si="2"/>
        <v>#DIV/0!</v>
      </c>
    </row>
    <row r="252" spans="7:7">
      <c r="G252" s="3" t="e">
        <f t="shared" si="2"/>
        <v>#DIV/0!</v>
      </c>
    </row>
    <row r="253" spans="7:7">
      <c r="G253" s="3" t="e">
        <f t="shared" si="2"/>
        <v>#DIV/0!</v>
      </c>
    </row>
    <row r="254" spans="7:7">
      <c r="G254" s="3" t="e">
        <f t="shared" si="2"/>
        <v>#DIV/0!</v>
      </c>
    </row>
    <row r="255" spans="7:7">
      <c r="G255" s="3" t="e">
        <f t="shared" si="2"/>
        <v>#DIV/0!</v>
      </c>
    </row>
    <row r="256" spans="7:7">
      <c r="G256" s="3" t="e">
        <f t="shared" si="2"/>
        <v>#DIV/0!</v>
      </c>
    </row>
    <row r="257" spans="7:7">
      <c r="G257" s="3" t="e">
        <f t="shared" si="2"/>
        <v>#DIV/0!</v>
      </c>
    </row>
    <row r="258" spans="7:7">
      <c r="G258" s="3" t="e">
        <f t="shared" si="2"/>
        <v>#DIV/0!</v>
      </c>
    </row>
    <row r="259" spans="7:7">
      <c r="G259" s="3" t="e">
        <f t="shared" si="2"/>
        <v>#DIV/0!</v>
      </c>
    </row>
    <row r="260" spans="7:7">
      <c r="G260" s="3" t="e">
        <f t="shared" si="2"/>
        <v>#DIV/0!</v>
      </c>
    </row>
    <row r="261" spans="7:7">
      <c r="G261" s="3" t="e">
        <f t="shared" si="2"/>
        <v>#DIV/0!</v>
      </c>
    </row>
    <row r="262" spans="7:7">
      <c r="G262" s="3" t="e">
        <f t="shared" si="2"/>
        <v>#DIV/0!</v>
      </c>
    </row>
    <row r="263" spans="7:7">
      <c r="G263" s="3" t="e">
        <f t="shared" si="2"/>
        <v>#DIV/0!</v>
      </c>
    </row>
    <row r="264" spans="7:7">
      <c r="G264" s="3" t="e">
        <f t="shared" si="2"/>
        <v>#DIV/0!</v>
      </c>
    </row>
    <row r="265" spans="7:7">
      <c r="G265" s="3" t="e">
        <f t="shared" si="2"/>
        <v>#DIV/0!</v>
      </c>
    </row>
    <row r="266" spans="7:7">
      <c r="G266" s="3" t="e">
        <f t="shared" si="2"/>
        <v>#DIV/0!</v>
      </c>
    </row>
    <row r="267" spans="7:7">
      <c r="G267" s="3" t="e">
        <f t="shared" si="2"/>
        <v>#DIV/0!</v>
      </c>
    </row>
    <row r="268" spans="7:7">
      <c r="G268" s="3" t="e">
        <f t="shared" si="2"/>
        <v>#DIV/0!</v>
      </c>
    </row>
    <row r="269" spans="7:7">
      <c r="G269" s="3" t="e">
        <f t="shared" si="2"/>
        <v>#DIV/0!</v>
      </c>
    </row>
    <row r="270" spans="7:7">
      <c r="G270" s="3" t="e">
        <f t="shared" si="2"/>
        <v>#DIV/0!</v>
      </c>
    </row>
    <row r="271" spans="7:7">
      <c r="G271" s="3" t="e">
        <f t="shared" si="2"/>
        <v>#DIV/0!</v>
      </c>
    </row>
    <row r="272" spans="7:7">
      <c r="G272" s="3" t="e">
        <f t="shared" si="2"/>
        <v>#DIV/0!</v>
      </c>
    </row>
    <row r="273" spans="7:7">
      <c r="G273" s="3" t="e">
        <f t="shared" si="2"/>
        <v>#DIV/0!</v>
      </c>
    </row>
    <row r="274" spans="7:7">
      <c r="G274" s="3" t="e">
        <f t="shared" si="2"/>
        <v>#DIV/0!</v>
      </c>
    </row>
    <row r="275" spans="7:7">
      <c r="G275" s="3" t="e">
        <f t="shared" si="2"/>
        <v>#DIV/0!</v>
      </c>
    </row>
    <row r="276" spans="7:7">
      <c r="G276" s="3" t="e">
        <f t="shared" si="2"/>
        <v>#DIV/0!</v>
      </c>
    </row>
    <row r="277" spans="7:7">
      <c r="G277" s="3" t="e">
        <f t="shared" si="2"/>
        <v>#DIV/0!</v>
      </c>
    </row>
    <row r="278" spans="7:7">
      <c r="G278" s="3" t="e">
        <f t="shared" si="2"/>
        <v>#DIV/0!</v>
      </c>
    </row>
    <row r="279" spans="7:7">
      <c r="G279" s="3" t="e">
        <f t="shared" si="2"/>
        <v>#DIV/0!</v>
      </c>
    </row>
    <row r="280" spans="7:7">
      <c r="G280" s="3" t="e">
        <f t="shared" si="2"/>
        <v>#DIV/0!</v>
      </c>
    </row>
    <row r="281" spans="7:7">
      <c r="G281" s="3" t="e">
        <f t="shared" si="2"/>
        <v>#DIV/0!</v>
      </c>
    </row>
    <row r="282" spans="7:7">
      <c r="G282" s="3" t="e">
        <f t="shared" si="2"/>
        <v>#DIV/0!</v>
      </c>
    </row>
    <row r="283" spans="7:7">
      <c r="G283" s="3" t="e">
        <f t="shared" si="2"/>
        <v>#DIV/0!</v>
      </c>
    </row>
    <row r="284" spans="7:7">
      <c r="G284" s="3" t="e">
        <f t="shared" si="2"/>
        <v>#DIV/0!</v>
      </c>
    </row>
    <row r="285" spans="7:7">
      <c r="G285" s="3" t="e">
        <f t="shared" si="2"/>
        <v>#DIV/0!</v>
      </c>
    </row>
    <row r="286" spans="7:7">
      <c r="G286" s="3" t="e">
        <f t="shared" si="2"/>
        <v>#DIV/0!</v>
      </c>
    </row>
    <row r="287" spans="7:7">
      <c r="G287" s="3" t="e">
        <f t="shared" si="2"/>
        <v>#DIV/0!</v>
      </c>
    </row>
    <row r="288" spans="7:7">
      <c r="G288" s="3" t="e">
        <f t="shared" si="2"/>
        <v>#DIV/0!</v>
      </c>
    </row>
    <row r="289" spans="7:7">
      <c r="G289" s="3" t="e">
        <f t="shared" si="2"/>
        <v>#DIV/0!</v>
      </c>
    </row>
    <row r="290" spans="7:7">
      <c r="G290" s="3" t="e">
        <f t="shared" si="2"/>
        <v>#DIV/0!</v>
      </c>
    </row>
    <row r="291" spans="7:7">
      <c r="G291" s="3" t="e">
        <f t="shared" si="2"/>
        <v>#DIV/0!</v>
      </c>
    </row>
    <row r="292" spans="7:7">
      <c r="G292" s="3" t="e">
        <f t="shared" si="2"/>
        <v>#DIV/0!</v>
      </c>
    </row>
    <row r="293" spans="7:7">
      <c r="G293" s="3" t="e">
        <f t="shared" si="2"/>
        <v>#DIV/0!</v>
      </c>
    </row>
    <row r="294" spans="7:7">
      <c r="G294" s="3" t="e">
        <f t="shared" si="2"/>
        <v>#DIV/0!</v>
      </c>
    </row>
    <row r="295" spans="7:7">
      <c r="G295" s="3" t="e">
        <f t="shared" si="2"/>
        <v>#DIV/0!</v>
      </c>
    </row>
    <row r="296" spans="7:7">
      <c r="G296" s="3" t="e">
        <f t="shared" si="2"/>
        <v>#DIV/0!</v>
      </c>
    </row>
    <row r="297" spans="7:7">
      <c r="G297" s="3" t="e">
        <f t="shared" si="2"/>
        <v>#DIV/0!</v>
      </c>
    </row>
    <row r="298" spans="7:7">
      <c r="G298" s="3" t="e">
        <f t="shared" si="2"/>
        <v>#DIV/0!</v>
      </c>
    </row>
    <row r="299" spans="7:7">
      <c r="G299" s="3" t="e">
        <f t="shared" si="2"/>
        <v>#DIV/0!</v>
      </c>
    </row>
    <row r="300" spans="7:7">
      <c r="G300" s="3" t="e">
        <f t="shared" si="2"/>
        <v>#DIV/0!</v>
      </c>
    </row>
    <row r="301" spans="7:7">
      <c r="G301" s="3" t="e">
        <f t="shared" si="2"/>
        <v>#DIV/0!</v>
      </c>
    </row>
    <row r="302" spans="7:7">
      <c r="G302" s="3" t="e">
        <f t="shared" si="2"/>
        <v>#DIV/0!</v>
      </c>
    </row>
    <row r="303" spans="7:7">
      <c r="G303" s="3" t="e">
        <f t="shared" si="2"/>
        <v>#DIV/0!</v>
      </c>
    </row>
    <row r="304" spans="7:7">
      <c r="G304" s="3" t="e">
        <f t="shared" ref="G304:G367" si="3">F304/D304</f>
        <v>#DIV/0!</v>
      </c>
    </row>
    <row r="305" spans="7:7">
      <c r="G305" s="3" t="e">
        <f t="shared" si="3"/>
        <v>#DIV/0!</v>
      </c>
    </row>
    <row r="306" spans="7:7">
      <c r="G306" s="3" t="e">
        <f t="shared" si="3"/>
        <v>#DIV/0!</v>
      </c>
    </row>
    <row r="307" spans="7:7">
      <c r="G307" s="3" t="e">
        <f t="shared" si="3"/>
        <v>#DIV/0!</v>
      </c>
    </row>
    <row r="308" spans="7:7">
      <c r="G308" s="3" t="e">
        <f t="shared" si="3"/>
        <v>#DIV/0!</v>
      </c>
    </row>
    <row r="309" spans="7:7">
      <c r="G309" s="3" t="e">
        <f t="shared" si="3"/>
        <v>#DIV/0!</v>
      </c>
    </row>
    <row r="310" spans="7:7">
      <c r="G310" s="3" t="e">
        <f t="shared" si="3"/>
        <v>#DIV/0!</v>
      </c>
    </row>
    <row r="311" spans="7:7">
      <c r="G311" s="3" t="e">
        <f t="shared" si="3"/>
        <v>#DIV/0!</v>
      </c>
    </row>
    <row r="312" spans="7:7">
      <c r="G312" s="3" t="e">
        <f t="shared" si="3"/>
        <v>#DIV/0!</v>
      </c>
    </row>
    <row r="313" spans="7:7">
      <c r="G313" s="3" t="e">
        <f t="shared" si="3"/>
        <v>#DIV/0!</v>
      </c>
    </row>
    <row r="314" spans="7:7">
      <c r="G314" s="3" t="e">
        <f t="shared" si="3"/>
        <v>#DIV/0!</v>
      </c>
    </row>
    <row r="315" spans="7:7">
      <c r="G315" s="3" t="e">
        <f t="shared" si="3"/>
        <v>#DIV/0!</v>
      </c>
    </row>
    <row r="316" spans="7:7">
      <c r="G316" s="3" t="e">
        <f t="shared" si="3"/>
        <v>#DIV/0!</v>
      </c>
    </row>
    <row r="317" spans="7:7">
      <c r="G317" s="3" t="e">
        <f t="shared" si="3"/>
        <v>#DIV/0!</v>
      </c>
    </row>
    <row r="318" spans="7:7">
      <c r="G318" s="3" t="e">
        <f t="shared" si="3"/>
        <v>#DIV/0!</v>
      </c>
    </row>
    <row r="319" spans="7:7">
      <c r="G319" s="3" t="e">
        <f t="shared" si="3"/>
        <v>#DIV/0!</v>
      </c>
    </row>
    <row r="320" spans="7:7">
      <c r="G320" s="3" t="e">
        <f t="shared" si="3"/>
        <v>#DIV/0!</v>
      </c>
    </row>
    <row r="321" spans="7:7">
      <c r="G321" s="3" t="e">
        <f t="shared" si="3"/>
        <v>#DIV/0!</v>
      </c>
    </row>
    <row r="322" spans="7:7">
      <c r="G322" s="3" t="e">
        <f t="shared" si="3"/>
        <v>#DIV/0!</v>
      </c>
    </row>
    <row r="323" spans="7:7">
      <c r="G323" s="3" t="e">
        <f t="shared" si="3"/>
        <v>#DIV/0!</v>
      </c>
    </row>
    <row r="324" spans="7:7">
      <c r="G324" s="3" t="e">
        <f t="shared" si="3"/>
        <v>#DIV/0!</v>
      </c>
    </row>
    <row r="325" spans="7:7">
      <c r="G325" s="3" t="e">
        <f t="shared" si="3"/>
        <v>#DIV/0!</v>
      </c>
    </row>
    <row r="326" spans="7:7">
      <c r="G326" s="3" t="e">
        <f t="shared" si="3"/>
        <v>#DIV/0!</v>
      </c>
    </row>
    <row r="327" spans="7:7">
      <c r="G327" s="3" t="e">
        <f t="shared" si="3"/>
        <v>#DIV/0!</v>
      </c>
    </row>
    <row r="328" spans="7:7">
      <c r="G328" s="3" t="e">
        <f t="shared" si="3"/>
        <v>#DIV/0!</v>
      </c>
    </row>
    <row r="329" spans="7:7">
      <c r="G329" s="3" t="e">
        <f t="shared" si="3"/>
        <v>#DIV/0!</v>
      </c>
    </row>
    <row r="330" spans="7:7">
      <c r="G330" s="3" t="e">
        <f t="shared" si="3"/>
        <v>#DIV/0!</v>
      </c>
    </row>
    <row r="331" spans="7:7">
      <c r="G331" s="3" t="e">
        <f t="shared" si="3"/>
        <v>#DIV/0!</v>
      </c>
    </row>
    <row r="332" spans="7:7">
      <c r="G332" s="3" t="e">
        <f t="shared" si="3"/>
        <v>#DIV/0!</v>
      </c>
    </row>
    <row r="333" spans="7:7">
      <c r="G333" s="3" t="e">
        <f t="shared" si="3"/>
        <v>#DIV/0!</v>
      </c>
    </row>
    <row r="334" spans="7:7">
      <c r="G334" s="3" t="e">
        <f t="shared" si="3"/>
        <v>#DIV/0!</v>
      </c>
    </row>
    <row r="335" spans="7:7">
      <c r="G335" s="3" t="e">
        <f t="shared" si="3"/>
        <v>#DIV/0!</v>
      </c>
    </row>
    <row r="336" spans="7:7">
      <c r="G336" s="3" t="e">
        <f t="shared" si="3"/>
        <v>#DIV/0!</v>
      </c>
    </row>
    <row r="337" spans="7:7">
      <c r="G337" s="3" t="e">
        <f t="shared" si="3"/>
        <v>#DIV/0!</v>
      </c>
    </row>
    <row r="338" spans="7:7">
      <c r="G338" s="3" t="e">
        <f t="shared" si="3"/>
        <v>#DIV/0!</v>
      </c>
    </row>
    <row r="339" spans="7:7">
      <c r="G339" s="3" t="e">
        <f t="shared" si="3"/>
        <v>#DIV/0!</v>
      </c>
    </row>
    <row r="340" spans="7:7">
      <c r="G340" s="3" t="e">
        <f t="shared" si="3"/>
        <v>#DIV/0!</v>
      </c>
    </row>
    <row r="341" spans="7:7">
      <c r="G341" s="3" t="e">
        <f t="shared" si="3"/>
        <v>#DIV/0!</v>
      </c>
    </row>
    <row r="342" spans="7:7">
      <c r="G342" s="3" t="e">
        <f t="shared" si="3"/>
        <v>#DIV/0!</v>
      </c>
    </row>
    <row r="343" spans="7:7">
      <c r="G343" s="3" t="e">
        <f t="shared" si="3"/>
        <v>#DIV/0!</v>
      </c>
    </row>
    <row r="344" spans="7:7">
      <c r="G344" s="3" t="e">
        <f t="shared" si="3"/>
        <v>#DIV/0!</v>
      </c>
    </row>
    <row r="345" spans="7:7">
      <c r="G345" s="3" t="e">
        <f t="shared" si="3"/>
        <v>#DIV/0!</v>
      </c>
    </row>
    <row r="346" spans="7:7">
      <c r="G346" s="3" t="e">
        <f t="shared" si="3"/>
        <v>#DIV/0!</v>
      </c>
    </row>
    <row r="347" spans="7:7">
      <c r="G347" s="3" t="e">
        <f t="shared" si="3"/>
        <v>#DIV/0!</v>
      </c>
    </row>
    <row r="348" spans="7:7">
      <c r="G348" s="3" t="e">
        <f t="shared" si="3"/>
        <v>#DIV/0!</v>
      </c>
    </row>
    <row r="349" spans="7:7">
      <c r="G349" s="3" t="e">
        <f t="shared" si="3"/>
        <v>#DIV/0!</v>
      </c>
    </row>
    <row r="350" spans="7:7">
      <c r="G350" s="3" t="e">
        <f t="shared" si="3"/>
        <v>#DIV/0!</v>
      </c>
    </row>
    <row r="351" spans="7:7">
      <c r="G351" s="3" t="e">
        <f t="shared" si="3"/>
        <v>#DIV/0!</v>
      </c>
    </row>
    <row r="352" spans="7:7">
      <c r="G352" s="3" t="e">
        <f t="shared" si="3"/>
        <v>#DIV/0!</v>
      </c>
    </row>
    <row r="353" spans="7:7">
      <c r="G353" s="3" t="e">
        <f t="shared" si="3"/>
        <v>#DIV/0!</v>
      </c>
    </row>
    <row r="354" spans="7:7">
      <c r="G354" s="3" t="e">
        <f t="shared" si="3"/>
        <v>#DIV/0!</v>
      </c>
    </row>
    <row r="355" spans="7:7">
      <c r="G355" s="3" t="e">
        <f t="shared" si="3"/>
        <v>#DIV/0!</v>
      </c>
    </row>
    <row r="356" spans="7:7">
      <c r="G356" s="3" t="e">
        <f t="shared" si="3"/>
        <v>#DIV/0!</v>
      </c>
    </row>
    <row r="357" spans="7:7">
      <c r="G357" s="3" t="e">
        <f t="shared" si="3"/>
        <v>#DIV/0!</v>
      </c>
    </row>
    <row r="358" spans="7:7">
      <c r="G358" s="3" t="e">
        <f t="shared" si="3"/>
        <v>#DIV/0!</v>
      </c>
    </row>
    <row r="359" spans="7:7">
      <c r="G359" s="3" t="e">
        <f t="shared" si="3"/>
        <v>#DIV/0!</v>
      </c>
    </row>
    <row r="360" spans="7:7">
      <c r="G360" s="3" t="e">
        <f t="shared" si="3"/>
        <v>#DIV/0!</v>
      </c>
    </row>
    <row r="361" spans="7:7">
      <c r="G361" s="3" t="e">
        <f t="shared" si="3"/>
        <v>#DIV/0!</v>
      </c>
    </row>
    <row r="362" spans="7:7">
      <c r="G362" s="3" t="e">
        <f t="shared" si="3"/>
        <v>#DIV/0!</v>
      </c>
    </row>
    <row r="363" spans="7:7">
      <c r="G363" s="3" t="e">
        <f t="shared" si="3"/>
        <v>#DIV/0!</v>
      </c>
    </row>
    <row r="364" spans="7:7">
      <c r="G364" s="3" t="e">
        <f t="shared" si="3"/>
        <v>#DIV/0!</v>
      </c>
    </row>
    <row r="365" spans="7:7">
      <c r="G365" s="3" t="e">
        <f t="shared" si="3"/>
        <v>#DIV/0!</v>
      </c>
    </row>
    <row r="366" spans="7:7">
      <c r="G366" s="3" t="e">
        <f t="shared" si="3"/>
        <v>#DIV/0!</v>
      </c>
    </row>
    <row r="367" spans="7:7">
      <c r="G367" s="3" t="e">
        <f t="shared" si="3"/>
        <v>#DIV/0!</v>
      </c>
    </row>
    <row r="368" spans="7:7">
      <c r="G368" s="3" t="e">
        <f t="shared" ref="G368:G431" si="4">F368/D368</f>
        <v>#DIV/0!</v>
      </c>
    </row>
    <row r="369" spans="7:7">
      <c r="G369" s="3" t="e">
        <f t="shared" si="4"/>
        <v>#DIV/0!</v>
      </c>
    </row>
    <row r="370" spans="7:7">
      <c r="G370" s="3" t="e">
        <f t="shared" si="4"/>
        <v>#DIV/0!</v>
      </c>
    </row>
    <row r="371" spans="7:7">
      <c r="G371" s="3" t="e">
        <f t="shared" si="4"/>
        <v>#DIV/0!</v>
      </c>
    </row>
    <row r="372" spans="7:7">
      <c r="G372" s="3" t="e">
        <f t="shared" si="4"/>
        <v>#DIV/0!</v>
      </c>
    </row>
    <row r="373" spans="7:7">
      <c r="G373" s="3" t="e">
        <f t="shared" si="4"/>
        <v>#DIV/0!</v>
      </c>
    </row>
    <row r="374" spans="7:7">
      <c r="G374" s="3" t="e">
        <f t="shared" si="4"/>
        <v>#DIV/0!</v>
      </c>
    </row>
    <row r="375" spans="7:7">
      <c r="G375" s="3" t="e">
        <f t="shared" si="4"/>
        <v>#DIV/0!</v>
      </c>
    </row>
    <row r="376" spans="7:7">
      <c r="G376" s="3" t="e">
        <f t="shared" si="4"/>
        <v>#DIV/0!</v>
      </c>
    </row>
    <row r="377" spans="7:7">
      <c r="G377" s="3" t="e">
        <f t="shared" si="4"/>
        <v>#DIV/0!</v>
      </c>
    </row>
    <row r="378" spans="7:7">
      <c r="G378" s="3" t="e">
        <f t="shared" si="4"/>
        <v>#DIV/0!</v>
      </c>
    </row>
    <row r="379" spans="7:7">
      <c r="G379" s="3" t="e">
        <f t="shared" si="4"/>
        <v>#DIV/0!</v>
      </c>
    </row>
    <row r="380" spans="7:7">
      <c r="G380" s="3" t="e">
        <f t="shared" si="4"/>
        <v>#DIV/0!</v>
      </c>
    </row>
    <row r="381" spans="7:7">
      <c r="G381" s="3" t="e">
        <f t="shared" si="4"/>
        <v>#DIV/0!</v>
      </c>
    </row>
    <row r="382" spans="7:7">
      <c r="G382" s="3" t="e">
        <f t="shared" si="4"/>
        <v>#DIV/0!</v>
      </c>
    </row>
    <row r="383" spans="7:7">
      <c r="G383" s="3" t="e">
        <f t="shared" si="4"/>
        <v>#DIV/0!</v>
      </c>
    </row>
    <row r="384" spans="7:7">
      <c r="G384" s="3" t="e">
        <f t="shared" si="4"/>
        <v>#DIV/0!</v>
      </c>
    </row>
    <row r="385" spans="7:7">
      <c r="G385" s="3" t="e">
        <f t="shared" si="4"/>
        <v>#DIV/0!</v>
      </c>
    </row>
    <row r="386" spans="7:7">
      <c r="G386" s="3" t="e">
        <f t="shared" si="4"/>
        <v>#DIV/0!</v>
      </c>
    </row>
    <row r="387" spans="7:7">
      <c r="G387" s="3" t="e">
        <f t="shared" si="4"/>
        <v>#DIV/0!</v>
      </c>
    </row>
    <row r="388" spans="7:7">
      <c r="G388" s="3" t="e">
        <f t="shared" si="4"/>
        <v>#DIV/0!</v>
      </c>
    </row>
    <row r="389" spans="7:7">
      <c r="G389" s="3" t="e">
        <f t="shared" si="4"/>
        <v>#DIV/0!</v>
      </c>
    </row>
    <row r="390" spans="7:7">
      <c r="G390" s="3" t="e">
        <f t="shared" si="4"/>
        <v>#DIV/0!</v>
      </c>
    </row>
    <row r="391" spans="7:7">
      <c r="G391" s="3" t="e">
        <f t="shared" si="4"/>
        <v>#DIV/0!</v>
      </c>
    </row>
    <row r="392" spans="7:7">
      <c r="G392" s="3" t="e">
        <f t="shared" si="4"/>
        <v>#DIV/0!</v>
      </c>
    </row>
    <row r="393" spans="7:7">
      <c r="G393" s="3" t="e">
        <f t="shared" si="4"/>
        <v>#DIV/0!</v>
      </c>
    </row>
    <row r="394" spans="7:7">
      <c r="G394" s="3" t="e">
        <f t="shared" si="4"/>
        <v>#DIV/0!</v>
      </c>
    </row>
    <row r="395" spans="7:7">
      <c r="G395" s="3" t="e">
        <f t="shared" si="4"/>
        <v>#DIV/0!</v>
      </c>
    </row>
    <row r="396" spans="7:7">
      <c r="G396" s="3" t="e">
        <f t="shared" si="4"/>
        <v>#DIV/0!</v>
      </c>
    </row>
    <row r="397" spans="7:7">
      <c r="G397" s="3" t="e">
        <f t="shared" si="4"/>
        <v>#DIV/0!</v>
      </c>
    </row>
    <row r="398" spans="7:7">
      <c r="G398" s="3" t="e">
        <f t="shared" si="4"/>
        <v>#DIV/0!</v>
      </c>
    </row>
    <row r="399" spans="7:7">
      <c r="G399" s="3" t="e">
        <f t="shared" si="4"/>
        <v>#DIV/0!</v>
      </c>
    </row>
    <row r="400" spans="7:7">
      <c r="G400" s="3" t="e">
        <f t="shared" si="4"/>
        <v>#DIV/0!</v>
      </c>
    </row>
    <row r="401" spans="7:7">
      <c r="G401" s="3" t="e">
        <f t="shared" si="4"/>
        <v>#DIV/0!</v>
      </c>
    </row>
    <row r="402" spans="7:7">
      <c r="G402" s="3" t="e">
        <f t="shared" si="4"/>
        <v>#DIV/0!</v>
      </c>
    </row>
    <row r="403" spans="7:7">
      <c r="G403" s="3" t="e">
        <f t="shared" si="4"/>
        <v>#DIV/0!</v>
      </c>
    </row>
    <row r="404" spans="7:7">
      <c r="G404" s="3" t="e">
        <f t="shared" si="4"/>
        <v>#DIV/0!</v>
      </c>
    </row>
    <row r="405" spans="7:7">
      <c r="G405" s="3" t="e">
        <f t="shared" si="4"/>
        <v>#DIV/0!</v>
      </c>
    </row>
    <row r="406" spans="7:7">
      <c r="G406" s="3" t="e">
        <f t="shared" si="4"/>
        <v>#DIV/0!</v>
      </c>
    </row>
    <row r="407" spans="7:7">
      <c r="G407" s="3" t="e">
        <f t="shared" si="4"/>
        <v>#DIV/0!</v>
      </c>
    </row>
    <row r="408" spans="7:7">
      <c r="G408" s="3" t="e">
        <f t="shared" si="4"/>
        <v>#DIV/0!</v>
      </c>
    </row>
    <row r="409" spans="7:7">
      <c r="G409" s="3" t="e">
        <f t="shared" si="4"/>
        <v>#DIV/0!</v>
      </c>
    </row>
    <row r="410" spans="7:7">
      <c r="G410" s="3" t="e">
        <f t="shared" si="4"/>
        <v>#DIV/0!</v>
      </c>
    </row>
    <row r="411" spans="7:7">
      <c r="G411" s="3" t="e">
        <f t="shared" si="4"/>
        <v>#DIV/0!</v>
      </c>
    </row>
    <row r="412" spans="7:7">
      <c r="G412" s="3" t="e">
        <f t="shared" si="4"/>
        <v>#DIV/0!</v>
      </c>
    </row>
    <row r="413" spans="7:7">
      <c r="G413" s="3" t="e">
        <f t="shared" si="4"/>
        <v>#DIV/0!</v>
      </c>
    </row>
    <row r="414" spans="7:7">
      <c r="G414" s="3" t="e">
        <f t="shared" si="4"/>
        <v>#DIV/0!</v>
      </c>
    </row>
    <row r="415" spans="7:7">
      <c r="G415" s="3" t="e">
        <f t="shared" si="4"/>
        <v>#DIV/0!</v>
      </c>
    </row>
    <row r="416" spans="7:7">
      <c r="G416" s="3" t="e">
        <f t="shared" si="4"/>
        <v>#DIV/0!</v>
      </c>
    </row>
    <row r="417" spans="7:7">
      <c r="G417" s="3" t="e">
        <f t="shared" si="4"/>
        <v>#DIV/0!</v>
      </c>
    </row>
    <row r="418" spans="7:7">
      <c r="G418" s="3" t="e">
        <f t="shared" si="4"/>
        <v>#DIV/0!</v>
      </c>
    </row>
    <row r="419" spans="7:7">
      <c r="G419" s="3" t="e">
        <f t="shared" si="4"/>
        <v>#DIV/0!</v>
      </c>
    </row>
    <row r="420" spans="7:7">
      <c r="G420" s="3" t="e">
        <f t="shared" si="4"/>
        <v>#DIV/0!</v>
      </c>
    </row>
    <row r="421" spans="7:7">
      <c r="G421" s="3" t="e">
        <f t="shared" si="4"/>
        <v>#DIV/0!</v>
      </c>
    </row>
    <row r="422" spans="7:7">
      <c r="G422" s="3" t="e">
        <f t="shared" si="4"/>
        <v>#DIV/0!</v>
      </c>
    </row>
    <row r="423" spans="7:7">
      <c r="G423" s="3" t="e">
        <f t="shared" si="4"/>
        <v>#DIV/0!</v>
      </c>
    </row>
    <row r="424" spans="7:7">
      <c r="G424" s="3" t="e">
        <f t="shared" si="4"/>
        <v>#DIV/0!</v>
      </c>
    </row>
    <row r="425" spans="7:7">
      <c r="G425" s="3" t="e">
        <f t="shared" si="4"/>
        <v>#DIV/0!</v>
      </c>
    </row>
    <row r="426" spans="7:7">
      <c r="G426" s="3" t="e">
        <f t="shared" si="4"/>
        <v>#DIV/0!</v>
      </c>
    </row>
    <row r="427" spans="7:7">
      <c r="G427" s="3" t="e">
        <f t="shared" si="4"/>
        <v>#DIV/0!</v>
      </c>
    </row>
    <row r="428" spans="7:7">
      <c r="G428" s="3" t="e">
        <f t="shared" si="4"/>
        <v>#DIV/0!</v>
      </c>
    </row>
    <row r="429" spans="7:7">
      <c r="G429" s="3" t="e">
        <f t="shared" si="4"/>
        <v>#DIV/0!</v>
      </c>
    </row>
    <row r="430" spans="7:7">
      <c r="G430" s="3" t="e">
        <f t="shared" si="4"/>
        <v>#DIV/0!</v>
      </c>
    </row>
    <row r="431" spans="7:7">
      <c r="G431" s="3" t="e">
        <f t="shared" si="4"/>
        <v>#DIV/0!</v>
      </c>
    </row>
    <row r="432" spans="7:7">
      <c r="G432" s="3" t="e">
        <f t="shared" ref="G432:G495" si="5">F432/D432</f>
        <v>#DIV/0!</v>
      </c>
    </row>
    <row r="433" spans="7:7">
      <c r="G433" s="3" t="e">
        <f t="shared" si="5"/>
        <v>#DIV/0!</v>
      </c>
    </row>
    <row r="434" spans="7:7">
      <c r="G434" s="3" t="e">
        <f t="shared" si="5"/>
        <v>#DIV/0!</v>
      </c>
    </row>
    <row r="435" spans="7:7">
      <c r="G435" s="3" t="e">
        <f t="shared" si="5"/>
        <v>#DIV/0!</v>
      </c>
    </row>
    <row r="436" spans="7:7">
      <c r="G436" s="3" t="e">
        <f t="shared" si="5"/>
        <v>#DIV/0!</v>
      </c>
    </row>
    <row r="437" spans="7:7">
      <c r="G437" s="3" t="e">
        <f t="shared" si="5"/>
        <v>#DIV/0!</v>
      </c>
    </row>
    <row r="438" spans="7:7">
      <c r="G438" s="3" t="e">
        <f t="shared" si="5"/>
        <v>#DIV/0!</v>
      </c>
    </row>
    <row r="439" spans="7:7">
      <c r="G439" s="3" t="e">
        <f t="shared" si="5"/>
        <v>#DIV/0!</v>
      </c>
    </row>
    <row r="440" spans="7:7">
      <c r="G440" s="3" t="e">
        <f t="shared" si="5"/>
        <v>#DIV/0!</v>
      </c>
    </row>
    <row r="441" spans="7:7">
      <c r="G441" s="3" t="e">
        <f t="shared" si="5"/>
        <v>#DIV/0!</v>
      </c>
    </row>
    <row r="442" spans="7:7">
      <c r="G442" s="3" t="e">
        <f t="shared" si="5"/>
        <v>#DIV/0!</v>
      </c>
    </row>
    <row r="443" spans="7:7">
      <c r="G443" s="3" t="e">
        <f t="shared" si="5"/>
        <v>#DIV/0!</v>
      </c>
    </row>
    <row r="444" spans="7:7">
      <c r="G444" s="3" t="e">
        <f t="shared" si="5"/>
        <v>#DIV/0!</v>
      </c>
    </row>
    <row r="445" spans="7:7">
      <c r="G445" s="3" t="e">
        <f t="shared" si="5"/>
        <v>#DIV/0!</v>
      </c>
    </row>
    <row r="446" spans="7:7">
      <c r="G446" s="3" t="e">
        <f t="shared" si="5"/>
        <v>#DIV/0!</v>
      </c>
    </row>
    <row r="447" spans="7:7">
      <c r="G447" s="3" t="e">
        <f t="shared" si="5"/>
        <v>#DIV/0!</v>
      </c>
    </row>
    <row r="448" spans="7:7">
      <c r="G448" s="3" t="e">
        <f t="shared" si="5"/>
        <v>#DIV/0!</v>
      </c>
    </row>
    <row r="449" spans="7:7">
      <c r="G449" s="3" t="e">
        <f t="shared" si="5"/>
        <v>#DIV/0!</v>
      </c>
    </row>
    <row r="450" spans="7:7">
      <c r="G450" s="3" t="e">
        <f t="shared" si="5"/>
        <v>#DIV/0!</v>
      </c>
    </row>
    <row r="451" spans="7:7">
      <c r="G451" s="3" t="e">
        <f t="shared" si="5"/>
        <v>#DIV/0!</v>
      </c>
    </row>
    <row r="452" spans="7:7">
      <c r="G452" s="3" t="e">
        <f t="shared" si="5"/>
        <v>#DIV/0!</v>
      </c>
    </row>
    <row r="453" spans="7:7">
      <c r="G453" s="3" t="e">
        <f t="shared" si="5"/>
        <v>#DIV/0!</v>
      </c>
    </row>
    <row r="454" spans="7:7">
      <c r="G454" s="3" t="e">
        <f t="shared" si="5"/>
        <v>#DIV/0!</v>
      </c>
    </row>
    <row r="455" spans="7:7">
      <c r="G455" s="3" t="e">
        <f t="shared" si="5"/>
        <v>#DIV/0!</v>
      </c>
    </row>
    <row r="456" spans="7:7">
      <c r="G456" s="3" t="e">
        <f t="shared" si="5"/>
        <v>#DIV/0!</v>
      </c>
    </row>
    <row r="457" spans="7:7">
      <c r="G457" s="3" t="e">
        <f t="shared" si="5"/>
        <v>#DIV/0!</v>
      </c>
    </row>
    <row r="458" spans="7:7">
      <c r="G458" s="3" t="e">
        <f t="shared" si="5"/>
        <v>#DIV/0!</v>
      </c>
    </row>
    <row r="459" spans="7:7">
      <c r="G459" s="3" t="e">
        <f t="shared" si="5"/>
        <v>#DIV/0!</v>
      </c>
    </row>
    <row r="460" spans="7:7">
      <c r="G460" s="3" t="e">
        <f t="shared" si="5"/>
        <v>#DIV/0!</v>
      </c>
    </row>
    <row r="461" spans="7:7">
      <c r="G461" s="3" t="e">
        <f t="shared" si="5"/>
        <v>#DIV/0!</v>
      </c>
    </row>
    <row r="462" spans="7:7">
      <c r="G462" s="3" t="e">
        <f t="shared" si="5"/>
        <v>#DIV/0!</v>
      </c>
    </row>
    <row r="463" spans="7:7">
      <c r="G463" s="3" t="e">
        <f t="shared" si="5"/>
        <v>#DIV/0!</v>
      </c>
    </row>
    <row r="464" spans="7:7">
      <c r="G464" s="3" t="e">
        <f t="shared" si="5"/>
        <v>#DIV/0!</v>
      </c>
    </row>
    <row r="465" spans="7:7">
      <c r="G465" s="3" t="e">
        <f t="shared" si="5"/>
        <v>#DIV/0!</v>
      </c>
    </row>
    <row r="466" spans="7:7">
      <c r="G466" s="3" t="e">
        <f t="shared" si="5"/>
        <v>#DIV/0!</v>
      </c>
    </row>
    <row r="467" spans="7:7">
      <c r="G467" s="3" t="e">
        <f t="shared" si="5"/>
        <v>#DIV/0!</v>
      </c>
    </row>
    <row r="468" spans="7:7">
      <c r="G468" s="3" t="e">
        <f t="shared" si="5"/>
        <v>#DIV/0!</v>
      </c>
    </row>
    <row r="469" spans="7:7">
      <c r="G469" s="3" t="e">
        <f t="shared" si="5"/>
        <v>#DIV/0!</v>
      </c>
    </row>
    <row r="470" spans="7:7">
      <c r="G470" s="3" t="e">
        <f t="shared" si="5"/>
        <v>#DIV/0!</v>
      </c>
    </row>
    <row r="471" spans="7:7">
      <c r="G471" s="3" t="e">
        <f t="shared" si="5"/>
        <v>#DIV/0!</v>
      </c>
    </row>
    <row r="472" spans="7:7">
      <c r="G472" s="3" t="e">
        <f t="shared" si="5"/>
        <v>#DIV/0!</v>
      </c>
    </row>
    <row r="473" spans="7:7">
      <c r="G473" s="3" t="e">
        <f t="shared" si="5"/>
        <v>#DIV/0!</v>
      </c>
    </row>
    <row r="474" spans="7:7">
      <c r="G474" s="3" t="e">
        <f t="shared" si="5"/>
        <v>#DIV/0!</v>
      </c>
    </row>
    <row r="475" spans="7:7">
      <c r="G475" s="3" t="e">
        <f t="shared" si="5"/>
        <v>#DIV/0!</v>
      </c>
    </row>
    <row r="476" spans="7:7">
      <c r="G476" s="3" t="e">
        <f t="shared" si="5"/>
        <v>#DIV/0!</v>
      </c>
    </row>
    <row r="477" spans="7:7">
      <c r="G477" s="3" t="e">
        <f t="shared" si="5"/>
        <v>#DIV/0!</v>
      </c>
    </row>
    <row r="478" spans="7:7">
      <c r="G478" s="3" t="e">
        <f t="shared" si="5"/>
        <v>#DIV/0!</v>
      </c>
    </row>
    <row r="479" spans="7:7">
      <c r="G479" s="3" t="e">
        <f t="shared" si="5"/>
        <v>#DIV/0!</v>
      </c>
    </row>
    <row r="480" spans="7:7">
      <c r="G480" s="3" t="e">
        <f t="shared" si="5"/>
        <v>#DIV/0!</v>
      </c>
    </row>
    <row r="481" spans="7:7">
      <c r="G481" s="3" t="e">
        <f t="shared" si="5"/>
        <v>#DIV/0!</v>
      </c>
    </row>
    <row r="482" spans="7:7">
      <c r="G482" s="3" t="e">
        <f t="shared" si="5"/>
        <v>#DIV/0!</v>
      </c>
    </row>
    <row r="483" spans="7:7">
      <c r="G483" s="3" t="e">
        <f t="shared" si="5"/>
        <v>#DIV/0!</v>
      </c>
    </row>
    <row r="484" spans="7:7">
      <c r="G484" s="3" t="e">
        <f t="shared" si="5"/>
        <v>#DIV/0!</v>
      </c>
    </row>
    <row r="485" spans="7:7">
      <c r="G485" s="3" t="e">
        <f t="shared" si="5"/>
        <v>#DIV/0!</v>
      </c>
    </row>
    <row r="486" spans="7:7">
      <c r="G486" s="3" t="e">
        <f t="shared" si="5"/>
        <v>#DIV/0!</v>
      </c>
    </row>
    <row r="487" spans="7:7">
      <c r="G487" s="3" t="e">
        <f t="shared" si="5"/>
        <v>#DIV/0!</v>
      </c>
    </row>
    <row r="488" spans="7:7">
      <c r="G488" s="3" t="e">
        <f t="shared" si="5"/>
        <v>#DIV/0!</v>
      </c>
    </row>
    <row r="489" spans="7:7">
      <c r="G489" s="3" t="e">
        <f t="shared" si="5"/>
        <v>#DIV/0!</v>
      </c>
    </row>
    <row r="490" spans="7:7">
      <c r="G490" s="3" t="e">
        <f t="shared" si="5"/>
        <v>#DIV/0!</v>
      </c>
    </row>
    <row r="491" spans="7:7">
      <c r="G491" s="3" t="e">
        <f t="shared" si="5"/>
        <v>#DIV/0!</v>
      </c>
    </row>
    <row r="492" spans="7:7">
      <c r="G492" s="3" t="e">
        <f t="shared" si="5"/>
        <v>#DIV/0!</v>
      </c>
    </row>
    <row r="493" spans="7:7">
      <c r="G493" s="3" t="e">
        <f t="shared" si="5"/>
        <v>#DIV/0!</v>
      </c>
    </row>
    <row r="494" spans="7:7">
      <c r="G494" s="3" t="e">
        <f t="shared" si="5"/>
        <v>#DIV/0!</v>
      </c>
    </row>
    <row r="495" spans="7:7">
      <c r="G495" s="3" t="e">
        <f t="shared" si="5"/>
        <v>#DIV/0!</v>
      </c>
    </row>
    <row r="496" spans="7:7">
      <c r="G496" s="3" t="e">
        <f t="shared" ref="G496:G559" si="6">F496/D496</f>
        <v>#DIV/0!</v>
      </c>
    </row>
    <row r="497" spans="7:7">
      <c r="G497" s="3" t="e">
        <f t="shared" si="6"/>
        <v>#DIV/0!</v>
      </c>
    </row>
    <row r="498" spans="7:7">
      <c r="G498" s="3" t="e">
        <f t="shared" si="6"/>
        <v>#DIV/0!</v>
      </c>
    </row>
    <row r="499" spans="7:7">
      <c r="G499" s="3" t="e">
        <f t="shared" si="6"/>
        <v>#DIV/0!</v>
      </c>
    </row>
    <row r="500" spans="7:7">
      <c r="G500" s="3" t="e">
        <f t="shared" si="6"/>
        <v>#DIV/0!</v>
      </c>
    </row>
    <row r="501" spans="7:7">
      <c r="G501" s="3" t="e">
        <f t="shared" si="6"/>
        <v>#DIV/0!</v>
      </c>
    </row>
    <row r="502" spans="7:7">
      <c r="G502" s="3" t="e">
        <f t="shared" si="6"/>
        <v>#DIV/0!</v>
      </c>
    </row>
    <row r="503" spans="7:7">
      <c r="G503" s="3" t="e">
        <f t="shared" si="6"/>
        <v>#DIV/0!</v>
      </c>
    </row>
    <row r="504" spans="7:7">
      <c r="G504" s="3" t="e">
        <f t="shared" si="6"/>
        <v>#DIV/0!</v>
      </c>
    </row>
    <row r="505" spans="7:7">
      <c r="G505" s="3" t="e">
        <f t="shared" si="6"/>
        <v>#DIV/0!</v>
      </c>
    </row>
    <row r="506" spans="7:7">
      <c r="G506" s="3" t="e">
        <f t="shared" si="6"/>
        <v>#DIV/0!</v>
      </c>
    </row>
    <row r="507" spans="7:7">
      <c r="G507" s="3" t="e">
        <f t="shared" si="6"/>
        <v>#DIV/0!</v>
      </c>
    </row>
    <row r="508" spans="7:7">
      <c r="G508" s="3" t="e">
        <f t="shared" si="6"/>
        <v>#DIV/0!</v>
      </c>
    </row>
    <row r="509" spans="7:7">
      <c r="G509" s="3" t="e">
        <f t="shared" si="6"/>
        <v>#DIV/0!</v>
      </c>
    </row>
    <row r="510" spans="7:7">
      <c r="G510" s="3" t="e">
        <f t="shared" si="6"/>
        <v>#DIV/0!</v>
      </c>
    </row>
    <row r="511" spans="7:7">
      <c r="G511" s="3" t="e">
        <f t="shared" si="6"/>
        <v>#DIV/0!</v>
      </c>
    </row>
    <row r="512" spans="7:7">
      <c r="G512" s="3" t="e">
        <f t="shared" si="6"/>
        <v>#DIV/0!</v>
      </c>
    </row>
    <row r="513" spans="7:7">
      <c r="G513" s="3" t="e">
        <f t="shared" si="6"/>
        <v>#DIV/0!</v>
      </c>
    </row>
    <row r="514" spans="7:7">
      <c r="G514" s="3" t="e">
        <f t="shared" si="6"/>
        <v>#DIV/0!</v>
      </c>
    </row>
    <row r="515" spans="7:7">
      <c r="G515" s="3" t="e">
        <f t="shared" si="6"/>
        <v>#DIV/0!</v>
      </c>
    </row>
    <row r="516" spans="7:7">
      <c r="G516" s="3" t="e">
        <f t="shared" si="6"/>
        <v>#DIV/0!</v>
      </c>
    </row>
    <row r="517" spans="7:7">
      <c r="G517" s="3" t="e">
        <f t="shared" si="6"/>
        <v>#DIV/0!</v>
      </c>
    </row>
    <row r="518" spans="7:7">
      <c r="G518" s="3" t="e">
        <f t="shared" si="6"/>
        <v>#DIV/0!</v>
      </c>
    </row>
    <row r="519" spans="7:7">
      <c r="G519" s="3" t="e">
        <f t="shared" si="6"/>
        <v>#DIV/0!</v>
      </c>
    </row>
    <row r="520" spans="7:7">
      <c r="G520" s="3" t="e">
        <f t="shared" si="6"/>
        <v>#DIV/0!</v>
      </c>
    </row>
    <row r="521" spans="7:7">
      <c r="G521" s="3" t="e">
        <f t="shared" si="6"/>
        <v>#DIV/0!</v>
      </c>
    </row>
    <row r="522" spans="7:7">
      <c r="G522" s="3" t="e">
        <f t="shared" si="6"/>
        <v>#DIV/0!</v>
      </c>
    </row>
    <row r="523" spans="7:7">
      <c r="G523" s="3" t="e">
        <f t="shared" si="6"/>
        <v>#DIV/0!</v>
      </c>
    </row>
    <row r="524" spans="7:7">
      <c r="G524" s="3" t="e">
        <f t="shared" si="6"/>
        <v>#DIV/0!</v>
      </c>
    </row>
    <row r="525" spans="7:7">
      <c r="G525" s="3" t="e">
        <f t="shared" si="6"/>
        <v>#DIV/0!</v>
      </c>
    </row>
    <row r="526" spans="7:7">
      <c r="G526" s="3" t="e">
        <f t="shared" si="6"/>
        <v>#DIV/0!</v>
      </c>
    </row>
    <row r="527" spans="7:7">
      <c r="G527" s="3" t="e">
        <f t="shared" si="6"/>
        <v>#DIV/0!</v>
      </c>
    </row>
    <row r="528" spans="7:7">
      <c r="G528" s="3" t="e">
        <f t="shared" si="6"/>
        <v>#DIV/0!</v>
      </c>
    </row>
    <row r="529" spans="7:7">
      <c r="G529" s="3" t="e">
        <f t="shared" si="6"/>
        <v>#DIV/0!</v>
      </c>
    </row>
    <row r="530" spans="7:7">
      <c r="G530" s="3" t="e">
        <f t="shared" si="6"/>
        <v>#DIV/0!</v>
      </c>
    </row>
    <row r="531" spans="7:7">
      <c r="G531" s="3" t="e">
        <f t="shared" si="6"/>
        <v>#DIV/0!</v>
      </c>
    </row>
    <row r="532" spans="7:7">
      <c r="G532" s="3" t="e">
        <f t="shared" si="6"/>
        <v>#DIV/0!</v>
      </c>
    </row>
    <row r="533" spans="7:7">
      <c r="G533" s="3" t="e">
        <f t="shared" si="6"/>
        <v>#DIV/0!</v>
      </c>
    </row>
    <row r="534" spans="7:7">
      <c r="G534" s="3" t="e">
        <f t="shared" si="6"/>
        <v>#DIV/0!</v>
      </c>
    </row>
    <row r="535" spans="7:7">
      <c r="G535" s="3" t="e">
        <f t="shared" si="6"/>
        <v>#DIV/0!</v>
      </c>
    </row>
    <row r="536" spans="7:7">
      <c r="G536" s="3" t="e">
        <f t="shared" si="6"/>
        <v>#DIV/0!</v>
      </c>
    </row>
    <row r="537" spans="7:7">
      <c r="G537" s="3" t="e">
        <f t="shared" si="6"/>
        <v>#DIV/0!</v>
      </c>
    </row>
    <row r="538" spans="7:7">
      <c r="G538" s="3" t="e">
        <f t="shared" si="6"/>
        <v>#DIV/0!</v>
      </c>
    </row>
    <row r="539" spans="7:7">
      <c r="G539" s="3" t="e">
        <f t="shared" si="6"/>
        <v>#DIV/0!</v>
      </c>
    </row>
    <row r="540" spans="7:7">
      <c r="G540" s="3" t="e">
        <f t="shared" si="6"/>
        <v>#DIV/0!</v>
      </c>
    </row>
    <row r="541" spans="7:7">
      <c r="G541" s="3" t="e">
        <f t="shared" si="6"/>
        <v>#DIV/0!</v>
      </c>
    </row>
    <row r="542" spans="7:7">
      <c r="G542" s="3" t="e">
        <f t="shared" si="6"/>
        <v>#DIV/0!</v>
      </c>
    </row>
    <row r="543" spans="7:7">
      <c r="G543" s="3" t="e">
        <f t="shared" si="6"/>
        <v>#DIV/0!</v>
      </c>
    </row>
    <row r="544" spans="7:7">
      <c r="G544" s="3" t="e">
        <f t="shared" si="6"/>
        <v>#DIV/0!</v>
      </c>
    </row>
    <row r="545" spans="7:7">
      <c r="G545" s="3" t="e">
        <f t="shared" si="6"/>
        <v>#DIV/0!</v>
      </c>
    </row>
    <row r="546" spans="7:7">
      <c r="G546" s="3" t="e">
        <f t="shared" si="6"/>
        <v>#DIV/0!</v>
      </c>
    </row>
    <row r="547" spans="7:7">
      <c r="G547" s="3" t="e">
        <f t="shared" si="6"/>
        <v>#DIV/0!</v>
      </c>
    </row>
    <row r="548" spans="7:7">
      <c r="G548" s="3" t="e">
        <f t="shared" si="6"/>
        <v>#DIV/0!</v>
      </c>
    </row>
    <row r="549" spans="7:7">
      <c r="G549" s="3" t="e">
        <f t="shared" si="6"/>
        <v>#DIV/0!</v>
      </c>
    </row>
    <row r="550" spans="7:7">
      <c r="G550" s="3" t="e">
        <f t="shared" si="6"/>
        <v>#DIV/0!</v>
      </c>
    </row>
    <row r="551" spans="7:7">
      <c r="G551" s="3" t="e">
        <f t="shared" si="6"/>
        <v>#DIV/0!</v>
      </c>
    </row>
    <row r="552" spans="7:7">
      <c r="G552" s="3" t="e">
        <f t="shared" si="6"/>
        <v>#DIV/0!</v>
      </c>
    </row>
    <row r="553" spans="7:7">
      <c r="G553" s="3" t="e">
        <f t="shared" si="6"/>
        <v>#DIV/0!</v>
      </c>
    </row>
    <row r="554" spans="7:7">
      <c r="G554" s="3" t="e">
        <f t="shared" si="6"/>
        <v>#DIV/0!</v>
      </c>
    </row>
    <row r="555" spans="7:7">
      <c r="G555" s="3" t="e">
        <f t="shared" si="6"/>
        <v>#DIV/0!</v>
      </c>
    </row>
    <row r="556" spans="7:7">
      <c r="G556" s="3" t="e">
        <f t="shared" si="6"/>
        <v>#DIV/0!</v>
      </c>
    </row>
    <row r="557" spans="7:7">
      <c r="G557" s="3" t="e">
        <f t="shared" si="6"/>
        <v>#DIV/0!</v>
      </c>
    </row>
    <row r="558" spans="7:7">
      <c r="G558" s="3" t="e">
        <f t="shared" si="6"/>
        <v>#DIV/0!</v>
      </c>
    </row>
    <row r="559" spans="7:7">
      <c r="G559" s="3" t="e">
        <f t="shared" si="6"/>
        <v>#DIV/0!</v>
      </c>
    </row>
    <row r="560" spans="7:7">
      <c r="G560" s="3" t="e">
        <f t="shared" ref="G560:G623" si="7">F560/D560</f>
        <v>#DIV/0!</v>
      </c>
    </row>
    <row r="561" spans="7:7">
      <c r="G561" s="3" t="e">
        <f t="shared" si="7"/>
        <v>#DIV/0!</v>
      </c>
    </row>
    <row r="562" spans="7:7">
      <c r="G562" s="3" t="e">
        <f t="shared" si="7"/>
        <v>#DIV/0!</v>
      </c>
    </row>
    <row r="563" spans="7:7">
      <c r="G563" s="3" t="e">
        <f t="shared" si="7"/>
        <v>#DIV/0!</v>
      </c>
    </row>
    <row r="564" spans="7:7">
      <c r="G564" s="3" t="e">
        <f t="shared" si="7"/>
        <v>#DIV/0!</v>
      </c>
    </row>
    <row r="565" spans="7:7">
      <c r="G565" s="3" t="e">
        <f t="shared" si="7"/>
        <v>#DIV/0!</v>
      </c>
    </row>
    <row r="566" spans="7:7">
      <c r="G566" s="3" t="e">
        <f t="shared" si="7"/>
        <v>#DIV/0!</v>
      </c>
    </row>
    <row r="567" spans="7:7">
      <c r="G567" s="3" t="e">
        <f t="shared" si="7"/>
        <v>#DIV/0!</v>
      </c>
    </row>
    <row r="568" spans="7:7">
      <c r="G568" s="3" t="e">
        <f t="shared" si="7"/>
        <v>#DIV/0!</v>
      </c>
    </row>
    <row r="569" spans="7:7">
      <c r="G569" s="3" t="e">
        <f t="shared" si="7"/>
        <v>#DIV/0!</v>
      </c>
    </row>
    <row r="570" spans="7:7">
      <c r="G570" s="3" t="e">
        <f t="shared" si="7"/>
        <v>#DIV/0!</v>
      </c>
    </row>
    <row r="571" spans="7:7">
      <c r="G571" s="3" t="e">
        <f t="shared" si="7"/>
        <v>#DIV/0!</v>
      </c>
    </row>
    <row r="572" spans="7:7">
      <c r="G572" s="3" t="e">
        <f t="shared" si="7"/>
        <v>#DIV/0!</v>
      </c>
    </row>
    <row r="573" spans="7:7">
      <c r="G573" s="3" t="e">
        <f t="shared" si="7"/>
        <v>#DIV/0!</v>
      </c>
    </row>
    <row r="574" spans="7:7">
      <c r="G574" s="3" t="e">
        <f t="shared" si="7"/>
        <v>#DIV/0!</v>
      </c>
    </row>
    <row r="575" spans="7:7">
      <c r="G575" s="3" t="e">
        <f t="shared" si="7"/>
        <v>#DIV/0!</v>
      </c>
    </row>
    <row r="576" spans="7:7">
      <c r="G576" s="3" t="e">
        <f t="shared" si="7"/>
        <v>#DIV/0!</v>
      </c>
    </row>
    <row r="577" spans="7:7">
      <c r="G577" s="3" t="e">
        <f t="shared" si="7"/>
        <v>#DIV/0!</v>
      </c>
    </row>
    <row r="578" spans="7:7">
      <c r="G578" s="3" t="e">
        <f t="shared" si="7"/>
        <v>#DIV/0!</v>
      </c>
    </row>
    <row r="579" spans="7:7">
      <c r="G579" s="3" t="e">
        <f t="shared" si="7"/>
        <v>#DIV/0!</v>
      </c>
    </row>
    <row r="580" spans="7:7">
      <c r="G580" s="3" t="e">
        <f t="shared" si="7"/>
        <v>#DIV/0!</v>
      </c>
    </row>
    <row r="581" spans="7:7">
      <c r="G581" s="3" t="e">
        <f t="shared" si="7"/>
        <v>#DIV/0!</v>
      </c>
    </row>
    <row r="582" spans="7:7">
      <c r="G582" s="3" t="e">
        <f t="shared" si="7"/>
        <v>#DIV/0!</v>
      </c>
    </row>
    <row r="583" spans="7:7">
      <c r="G583" s="3" t="e">
        <f t="shared" si="7"/>
        <v>#DIV/0!</v>
      </c>
    </row>
    <row r="584" spans="7:7">
      <c r="G584" s="3" t="e">
        <f t="shared" si="7"/>
        <v>#DIV/0!</v>
      </c>
    </row>
    <row r="585" spans="7:7">
      <c r="G585" s="3" t="e">
        <f t="shared" si="7"/>
        <v>#DIV/0!</v>
      </c>
    </row>
    <row r="586" spans="7:7">
      <c r="G586" s="3" t="e">
        <f t="shared" si="7"/>
        <v>#DIV/0!</v>
      </c>
    </row>
    <row r="587" spans="7:7">
      <c r="G587" s="3" t="e">
        <f t="shared" si="7"/>
        <v>#DIV/0!</v>
      </c>
    </row>
    <row r="588" spans="7:7">
      <c r="G588" s="3" t="e">
        <f t="shared" si="7"/>
        <v>#DIV/0!</v>
      </c>
    </row>
    <row r="589" spans="7:7">
      <c r="G589" s="3" t="e">
        <f t="shared" si="7"/>
        <v>#DIV/0!</v>
      </c>
    </row>
    <row r="590" spans="7:7">
      <c r="G590" s="3" t="e">
        <f t="shared" si="7"/>
        <v>#DIV/0!</v>
      </c>
    </row>
    <row r="591" spans="7:7">
      <c r="G591" s="3" t="e">
        <f t="shared" si="7"/>
        <v>#DIV/0!</v>
      </c>
    </row>
    <row r="592" spans="7:7">
      <c r="G592" s="3" t="e">
        <f t="shared" si="7"/>
        <v>#DIV/0!</v>
      </c>
    </row>
    <row r="593" spans="7:7">
      <c r="G593" s="3" t="e">
        <f t="shared" si="7"/>
        <v>#DIV/0!</v>
      </c>
    </row>
    <row r="594" spans="7:7">
      <c r="G594" s="3" t="e">
        <f t="shared" si="7"/>
        <v>#DIV/0!</v>
      </c>
    </row>
    <row r="595" spans="7:7">
      <c r="G595" s="3" t="e">
        <f t="shared" si="7"/>
        <v>#DIV/0!</v>
      </c>
    </row>
    <row r="596" spans="7:7">
      <c r="G596" s="3" t="e">
        <f t="shared" si="7"/>
        <v>#DIV/0!</v>
      </c>
    </row>
    <row r="597" spans="7:7">
      <c r="G597" s="3" t="e">
        <f t="shared" si="7"/>
        <v>#DIV/0!</v>
      </c>
    </row>
    <row r="598" spans="7:7">
      <c r="G598" s="3" t="e">
        <f t="shared" si="7"/>
        <v>#DIV/0!</v>
      </c>
    </row>
    <row r="599" spans="7:7">
      <c r="G599" s="3" t="e">
        <f t="shared" si="7"/>
        <v>#DIV/0!</v>
      </c>
    </row>
    <row r="600" spans="7:7">
      <c r="G600" s="3" t="e">
        <f t="shared" si="7"/>
        <v>#DIV/0!</v>
      </c>
    </row>
    <row r="601" spans="7:7">
      <c r="G601" s="3" t="e">
        <f t="shared" si="7"/>
        <v>#DIV/0!</v>
      </c>
    </row>
    <row r="602" spans="7:7">
      <c r="G602" s="3" t="e">
        <f t="shared" si="7"/>
        <v>#DIV/0!</v>
      </c>
    </row>
    <row r="603" spans="7:7">
      <c r="G603" s="3" t="e">
        <f t="shared" si="7"/>
        <v>#DIV/0!</v>
      </c>
    </row>
    <row r="604" spans="7:7">
      <c r="G604" s="3" t="e">
        <f t="shared" si="7"/>
        <v>#DIV/0!</v>
      </c>
    </row>
    <row r="605" spans="7:7">
      <c r="G605" s="3" t="e">
        <f t="shared" si="7"/>
        <v>#DIV/0!</v>
      </c>
    </row>
    <row r="606" spans="7:7">
      <c r="G606" s="3" t="e">
        <f t="shared" si="7"/>
        <v>#DIV/0!</v>
      </c>
    </row>
    <row r="607" spans="7:7">
      <c r="G607" s="3" t="e">
        <f t="shared" si="7"/>
        <v>#DIV/0!</v>
      </c>
    </row>
    <row r="608" spans="7:7">
      <c r="G608" s="3" t="e">
        <f t="shared" si="7"/>
        <v>#DIV/0!</v>
      </c>
    </row>
    <row r="609" spans="7:7">
      <c r="G609" s="3" t="e">
        <f t="shared" si="7"/>
        <v>#DIV/0!</v>
      </c>
    </row>
    <row r="610" spans="7:7">
      <c r="G610" s="3" t="e">
        <f t="shared" si="7"/>
        <v>#DIV/0!</v>
      </c>
    </row>
    <row r="611" spans="7:7">
      <c r="G611" s="3" t="e">
        <f t="shared" si="7"/>
        <v>#DIV/0!</v>
      </c>
    </row>
    <row r="612" spans="7:7">
      <c r="G612" s="3" t="e">
        <f t="shared" si="7"/>
        <v>#DIV/0!</v>
      </c>
    </row>
    <row r="613" spans="7:7">
      <c r="G613" s="3" t="e">
        <f t="shared" si="7"/>
        <v>#DIV/0!</v>
      </c>
    </row>
    <row r="614" spans="7:7">
      <c r="G614" s="3" t="e">
        <f t="shared" si="7"/>
        <v>#DIV/0!</v>
      </c>
    </row>
    <row r="615" spans="7:7">
      <c r="G615" s="3" t="e">
        <f t="shared" si="7"/>
        <v>#DIV/0!</v>
      </c>
    </row>
    <row r="616" spans="7:7">
      <c r="G616" s="3" t="e">
        <f t="shared" si="7"/>
        <v>#DIV/0!</v>
      </c>
    </row>
    <row r="617" spans="7:7">
      <c r="G617" s="3" t="e">
        <f t="shared" si="7"/>
        <v>#DIV/0!</v>
      </c>
    </row>
    <row r="618" spans="7:7">
      <c r="G618" s="3" t="e">
        <f t="shared" si="7"/>
        <v>#DIV/0!</v>
      </c>
    </row>
    <row r="619" spans="7:7">
      <c r="G619" s="3" t="e">
        <f t="shared" si="7"/>
        <v>#DIV/0!</v>
      </c>
    </row>
    <row r="620" spans="7:7">
      <c r="G620" s="3" t="e">
        <f t="shared" si="7"/>
        <v>#DIV/0!</v>
      </c>
    </row>
    <row r="621" spans="7:7">
      <c r="G621" s="3" t="e">
        <f t="shared" si="7"/>
        <v>#DIV/0!</v>
      </c>
    </row>
    <row r="622" spans="7:7">
      <c r="G622" s="3" t="e">
        <f t="shared" si="7"/>
        <v>#DIV/0!</v>
      </c>
    </row>
    <row r="623" spans="7:7">
      <c r="G623" s="3" t="e">
        <f t="shared" si="7"/>
        <v>#DIV/0!</v>
      </c>
    </row>
    <row r="624" spans="7:7">
      <c r="G624" s="3" t="e">
        <f t="shared" ref="G624:G687" si="8">F624/D624</f>
        <v>#DIV/0!</v>
      </c>
    </row>
    <row r="625" spans="7:7">
      <c r="G625" s="3" t="e">
        <f t="shared" si="8"/>
        <v>#DIV/0!</v>
      </c>
    </row>
    <row r="626" spans="7:7">
      <c r="G626" s="3" t="e">
        <f t="shared" si="8"/>
        <v>#DIV/0!</v>
      </c>
    </row>
    <row r="627" spans="7:7">
      <c r="G627" s="3" t="e">
        <f t="shared" si="8"/>
        <v>#DIV/0!</v>
      </c>
    </row>
    <row r="628" spans="7:7">
      <c r="G628" s="3" t="e">
        <f t="shared" si="8"/>
        <v>#DIV/0!</v>
      </c>
    </row>
    <row r="629" spans="7:7">
      <c r="G629" s="3" t="e">
        <f t="shared" si="8"/>
        <v>#DIV/0!</v>
      </c>
    </row>
    <row r="630" spans="7:7">
      <c r="G630" s="3" t="e">
        <f t="shared" si="8"/>
        <v>#DIV/0!</v>
      </c>
    </row>
    <row r="631" spans="7:7">
      <c r="G631" s="3" t="e">
        <f t="shared" si="8"/>
        <v>#DIV/0!</v>
      </c>
    </row>
    <row r="632" spans="7:7">
      <c r="G632" s="3" t="e">
        <f t="shared" si="8"/>
        <v>#DIV/0!</v>
      </c>
    </row>
    <row r="633" spans="7:7">
      <c r="G633" s="3" t="e">
        <f t="shared" si="8"/>
        <v>#DIV/0!</v>
      </c>
    </row>
    <row r="634" spans="7:7">
      <c r="G634" s="3" t="e">
        <f t="shared" si="8"/>
        <v>#DIV/0!</v>
      </c>
    </row>
    <row r="635" spans="7:7">
      <c r="G635" s="3" t="e">
        <f t="shared" si="8"/>
        <v>#DIV/0!</v>
      </c>
    </row>
    <row r="636" spans="7:7">
      <c r="G636" s="3" t="e">
        <f t="shared" si="8"/>
        <v>#DIV/0!</v>
      </c>
    </row>
    <row r="637" spans="7:7">
      <c r="G637" s="3" t="e">
        <f t="shared" si="8"/>
        <v>#DIV/0!</v>
      </c>
    </row>
    <row r="638" spans="7:7">
      <c r="G638" s="3" t="e">
        <f t="shared" si="8"/>
        <v>#DIV/0!</v>
      </c>
    </row>
    <row r="639" spans="7:7">
      <c r="G639" s="3" t="e">
        <f t="shared" si="8"/>
        <v>#DIV/0!</v>
      </c>
    </row>
    <row r="640" spans="7:7">
      <c r="G640" s="3" t="e">
        <f t="shared" si="8"/>
        <v>#DIV/0!</v>
      </c>
    </row>
    <row r="641" spans="7:7">
      <c r="G641" s="3" t="e">
        <f t="shared" si="8"/>
        <v>#DIV/0!</v>
      </c>
    </row>
    <row r="642" spans="7:7">
      <c r="G642" s="3" t="e">
        <f t="shared" si="8"/>
        <v>#DIV/0!</v>
      </c>
    </row>
    <row r="643" spans="7:7">
      <c r="G643" s="3" t="e">
        <f t="shared" si="8"/>
        <v>#DIV/0!</v>
      </c>
    </row>
    <row r="644" spans="7:7">
      <c r="G644" s="3" t="e">
        <f t="shared" si="8"/>
        <v>#DIV/0!</v>
      </c>
    </row>
    <row r="645" spans="7:7">
      <c r="G645" s="3" t="e">
        <f t="shared" si="8"/>
        <v>#DIV/0!</v>
      </c>
    </row>
    <row r="646" spans="7:7">
      <c r="G646" s="3" t="e">
        <f t="shared" si="8"/>
        <v>#DIV/0!</v>
      </c>
    </row>
    <row r="647" spans="7:7">
      <c r="G647" s="3" t="e">
        <f t="shared" si="8"/>
        <v>#DIV/0!</v>
      </c>
    </row>
    <row r="648" spans="7:7">
      <c r="G648" s="3" t="e">
        <f t="shared" si="8"/>
        <v>#DIV/0!</v>
      </c>
    </row>
    <row r="649" spans="7:7">
      <c r="G649" s="3" t="e">
        <f t="shared" si="8"/>
        <v>#DIV/0!</v>
      </c>
    </row>
    <row r="650" spans="7:7">
      <c r="G650" s="3" t="e">
        <f t="shared" si="8"/>
        <v>#DIV/0!</v>
      </c>
    </row>
    <row r="651" spans="7:7">
      <c r="G651" s="3" t="e">
        <f t="shared" si="8"/>
        <v>#DIV/0!</v>
      </c>
    </row>
    <row r="652" spans="7:7">
      <c r="G652" s="3" t="e">
        <f t="shared" si="8"/>
        <v>#DIV/0!</v>
      </c>
    </row>
    <row r="653" spans="7:7">
      <c r="G653" s="3" t="e">
        <f t="shared" si="8"/>
        <v>#DIV/0!</v>
      </c>
    </row>
    <row r="654" spans="7:7">
      <c r="G654" s="3" t="e">
        <f t="shared" si="8"/>
        <v>#DIV/0!</v>
      </c>
    </row>
    <row r="655" spans="7:7">
      <c r="G655" s="3" t="e">
        <f t="shared" si="8"/>
        <v>#DIV/0!</v>
      </c>
    </row>
    <row r="656" spans="7:7">
      <c r="G656" s="3" t="e">
        <f t="shared" si="8"/>
        <v>#DIV/0!</v>
      </c>
    </row>
    <row r="657" spans="7:7">
      <c r="G657" s="3" t="e">
        <f t="shared" si="8"/>
        <v>#DIV/0!</v>
      </c>
    </row>
    <row r="658" spans="7:7">
      <c r="G658" s="3" t="e">
        <f t="shared" si="8"/>
        <v>#DIV/0!</v>
      </c>
    </row>
    <row r="659" spans="7:7">
      <c r="G659" s="3" t="e">
        <f t="shared" si="8"/>
        <v>#DIV/0!</v>
      </c>
    </row>
    <row r="660" spans="7:7">
      <c r="G660" s="3" t="e">
        <f t="shared" si="8"/>
        <v>#DIV/0!</v>
      </c>
    </row>
    <row r="661" spans="7:7">
      <c r="G661" s="3" t="e">
        <f t="shared" si="8"/>
        <v>#DIV/0!</v>
      </c>
    </row>
    <row r="662" spans="7:7">
      <c r="G662" s="3" t="e">
        <f t="shared" si="8"/>
        <v>#DIV/0!</v>
      </c>
    </row>
    <row r="663" spans="7:7">
      <c r="G663" s="3" t="e">
        <f t="shared" si="8"/>
        <v>#DIV/0!</v>
      </c>
    </row>
    <row r="664" spans="7:7">
      <c r="G664" s="3" t="e">
        <f t="shared" si="8"/>
        <v>#DIV/0!</v>
      </c>
    </row>
    <row r="665" spans="7:7">
      <c r="G665" s="3" t="e">
        <f t="shared" si="8"/>
        <v>#DIV/0!</v>
      </c>
    </row>
    <row r="666" spans="7:7">
      <c r="G666" s="3" t="e">
        <f t="shared" si="8"/>
        <v>#DIV/0!</v>
      </c>
    </row>
    <row r="667" spans="7:7">
      <c r="G667" s="3" t="e">
        <f t="shared" si="8"/>
        <v>#DIV/0!</v>
      </c>
    </row>
    <row r="668" spans="7:7">
      <c r="G668" s="3" t="e">
        <f t="shared" si="8"/>
        <v>#DIV/0!</v>
      </c>
    </row>
    <row r="669" spans="7:7">
      <c r="G669" s="3" t="e">
        <f t="shared" si="8"/>
        <v>#DIV/0!</v>
      </c>
    </row>
    <row r="670" spans="7:7">
      <c r="G670" s="3" t="e">
        <f t="shared" si="8"/>
        <v>#DIV/0!</v>
      </c>
    </row>
    <row r="671" spans="7:7">
      <c r="G671" s="3" t="e">
        <f t="shared" si="8"/>
        <v>#DIV/0!</v>
      </c>
    </row>
    <row r="672" spans="7:7">
      <c r="G672" s="3" t="e">
        <f t="shared" si="8"/>
        <v>#DIV/0!</v>
      </c>
    </row>
    <row r="673" spans="7:7">
      <c r="G673" s="3" t="e">
        <f t="shared" si="8"/>
        <v>#DIV/0!</v>
      </c>
    </row>
    <row r="674" spans="7:7">
      <c r="G674" s="3" t="e">
        <f t="shared" si="8"/>
        <v>#DIV/0!</v>
      </c>
    </row>
    <row r="675" spans="7:7">
      <c r="G675" s="3" t="e">
        <f t="shared" si="8"/>
        <v>#DIV/0!</v>
      </c>
    </row>
    <row r="676" spans="7:7">
      <c r="G676" s="3" t="e">
        <f t="shared" si="8"/>
        <v>#DIV/0!</v>
      </c>
    </row>
    <row r="677" spans="7:7">
      <c r="G677" s="3" t="e">
        <f t="shared" si="8"/>
        <v>#DIV/0!</v>
      </c>
    </row>
    <row r="678" spans="7:7">
      <c r="G678" s="3" t="e">
        <f t="shared" si="8"/>
        <v>#DIV/0!</v>
      </c>
    </row>
    <row r="679" spans="7:7">
      <c r="G679" s="3" t="e">
        <f t="shared" si="8"/>
        <v>#DIV/0!</v>
      </c>
    </row>
    <row r="680" spans="7:7">
      <c r="G680" s="3" t="e">
        <f t="shared" si="8"/>
        <v>#DIV/0!</v>
      </c>
    </row>
    <row r="681" spans="7:7">
      <c r="G681" s="3" t="e">
        <f t="shared" si="8"/>
        <v>#DIV/0!</v>
      </c>
    </row>
    <row r="682" spans="7:7">
      <c r="G682" s="3" t="e">
        <f t="shared" si="8"/>
        <v>#DIV/0!</v>
      </c>
    </row>
    <row r="683" spans="7:7">
      <c r="G683" s="3" t="e">
        <f t="shared" si="8"/>
        <v>#DIV/0!</v>
      </c>
    </row>
    <row r="684" spans="7:7">
      <c r="G684" s="3" t="e">
        <f t="shared" si="8"/>
        <v>#DIV/0!</v>
      </c>
    </row>
    <row r="685" spans="7:7">
      <c r="G685" s="3" t="e">
        <f t="shared" si="8"/>
        <v>#DIV/0!</v>
      </c>
    </row>
    <row r="686" spans="7:7">
      <c r="G686" s="3" t="e">
        <f t="shared" si="8"/>
        <v>#DIV/0!</v>
      </c>
    </row>
    <row r="687" spans="7:7">
      <c r="G687" s="3" t="e">
        <f t="shared" si="8"/>
        <v>#DIV/0!</v>
      </c>
    </row>
    <row r="688" spans="7:7">
      <c r="G688" s="3" t="e">
        <f t="shared" ref="G688:G751" si="9">F688/D688</f>
        <v>#DIV/0!</v>
      </c>
    </row>
    <row r="689" spans="7:7">
      <c r="G689" s="3" t="e">
        <f t="shared" si="9"/>
        <v>#DIV/0!</v>
      </c>
    </row>
    <row r="690" spans="7:7">
      <c r="G690" s="3" t="e">
        <f t="shared" si="9"/>
        <v>#DIV/0!</v>
      </c>
    </row>
    <row r="691" spans="7:7">
      <c r="G691" s="3" t="e">
        <f t="shared" si="9"/>
        <v>#DIV/0!</v>
      </c>
    </row>
    <row r="692" spans="7:7">
      <c r="G692" s="3" t="e">
        <f t="shared" si="9"/>
        <v>#DIV/0!</v>
      </c>
    </row>
    <row r="693" spans="7:7">
      <c r="G693" s="3" t="e">
        <f t="shared" si="9"/>
        <v>#DIV/0!</v>
      </c>
    </row>
    <row r="694" spans="7:7">
      <c r="G694" s="3" t="e">
        <f t="shared" si="9"/>
        <v>#DIV/0!</v>
      </c>
    </row>
    <row r="695" spans="7:7">
      <c r="G695" s="3" t="e">
        <f t="shared" si="9"/>
        <v>#DIV/0!</v>
      </c>
    </row>
    <row r="696" spans="7:7">
      <c r="G696" s="3" t="e">
        <f t="shared" si="9"/>
        <v>#DIV/0!</v>
      </c>
    </row>
    <row r="697" spans="7:7">
      <c r="G697" s="3" t="e">
        <f t="shared" si="9"/>
        <v>#DIV/0!</v>
      </c>
    </row>
    <row r="698" spans="7:7">
      <c r="G698" s="3" t="e">
        <f t="shared" si="9"/>
        <v>#DIV/0!</v>
      </c>
    </row>
    <row r="699" spans="7:7">
      <c r="G699" s="3" t="e">
        <f t="shared" si="9"/>
        <v>#DIV/0!</v>
      </c>
    </row>
    <row r="700" spans="7:7">
      <c r="G700" s="3" t="e">
        <f t="shared" si="9"/>
        <v>#DIV/0!</v>
      </c>
    </row>
    <row r="701" spans="7:7">
      <c r="G701" s="3" t="e">
        <f t="shared" si="9"/>
        <v>#DIV/0!</v>
      </c>
    </row>
    <row r="702" spans="7:7">
      <c r="G702" s="3" t="e">
        <f t="shared" si="9"/>
        <v>#DIV/0!</v>
      </c>
    </row>
    <row r="703" spans="7:7">
      <c r="G703" s="3" t="e">
        <f t="shared" si="9"/>
        <v>#DIV/0!</v>
      </c>
    </row>
    <row r="704" spans="7:7">
      <c r="G704" s="3" t="e">
        <f t="shared" si="9"/>
        <v>#DIV/0!</v>
      </c>
    </row>
    <row r="705" spans="7:7">
      <c r="G705" s="3" t="e">
        <f t="shared" si="9"/>
        <v>#DIV/0!</v>
      </c>
    </row>
    <row r="706" spans="7:7">
      <c r="G706" s="3" t="e">
        <f t="shared" si="9"/>
        <v>#DIV/0!</v>
      </c>
    </row>
    <row r="707" spans="7:7">
      <c r="G707" s="3" t="e">
        <f t="shared" si="9"/>
        <v>#DIV/0!</v>
      </c>
    </row>
    <row r="708" spans="7:7">
      <c r="G708" s="3" t="e">
        <f t="shared" si="9"/>
        <v>#DIV/0!</v>
      </c>
    </row>
    <row r="709" spans="7:7">
      <c r="G709" s="3" t="e">
        <f t="shared" si="9"/>
        <v>#DIV/0!</v>
      </c>
    </row>
    <row r="710" spans="7:7">
      <c r="G710" s="3" t="e">
        <f t="shared" si="9"/>
        <v>#DIV/0!</v>
      </c>
    </row>
    <row r="711" spans="7:7">
      <c r="G711" s="3" t="e">
        <f t="shared" si="9"/>
        <v>#DIV/0!</v>
      </c>
    </row>
    <row r="712" spans="7:7">
      <c r="G712" s="3" t="e">
        <f t="shared" si="9"/>
        <v>#DIV/0!</v>
      </c>
    </row>
    <row r="713" spans="7:7">
      <c r="G713" s="3" t="e">
        <f t="shared" si="9"/>
        <v>#DIV/0!</v>
      </c>
    </row>
    <row r="714" spans="7:7">
      <c r="G714" s="3" t="e">
        <f t="shared" si="9"/>
        <v>#DIV/0!</v>
      </c>
    </row>
    <row r="715" spans="7:7">
      <c r="G715" s="3" t="e">
        <f t="shared" si="9"/>
        <v>#DIV/0!</v>
      </c>
    </row>
    <row r="716" spans="7:7">
      <c r="G716" s="3" t="e">
        <f t="shared" si="9"/>
        <v>#DIV/0!</v>
      </c>
    </row>
    <row r="717" spans="7:7">
      <c r="G717" s="3" t="e">
        <f t="shared" si="9"/>
        <v>#DIV/0!</v>
      </c>
    </row>
    <row r="718" spans="7:7">
      <c r="G718" s="3" t="e">
        <f t="shared" si="9"/>
        <v>#DIV/0!</v>
      </c>
    </row>
    <row r="719" spans="7:7">
      <c r="G719" s="3" t="e">
        <f t="shared" si="9"/>
        <v>#DIV/0!</v>
      </c>
    </row>
    <row r="720" spans="7:7">
      <c r="G720" s="3" t="e">
        <f t="shared" si="9"/>
        <v>#DIV/0!</v>
      </c>
    </row>
    <row r="721" spans="7:7">
      <c r="G721" s="3" t="e">
        <f t="shared" si="9"/>
        <v>#DIV/0!</v>
      </c>
    </row>
    <row r="722" spans="7:7">
      <c r="G722" s="3" t="e">
        <f t="shared" si="9"/>
        <v>#DIV/0!</v>
      </c>
    </row>
    <row r="723" spans="7:7">
      <c r="G723" s="3" t="e">
        <f t="shared" si="9"/>
        <v>#DIV/0!</v>
      </c>
    </row>
    <row r="724" spans="7:7">
      <c r="G724" s="3" t="e">
        <f t="shared" si="9"/>
        <v>#DIV/0!</v>
      </c>
    </row>
    <row r="725" spans="7:7">
      <c r="G725" s="3" t="e">
        <f t="shared" si="9"/>
        <v>#DIV/0!</v>
      </c>
    </row>
    <row r="726" spans="7:7">
      <c r="G726" s="3" t="e">
        <f t="shared" si="9"/>
        <v>#DIV/0!</v>
      </c>
    </row>
    <row r="727" spans="7:7">
      <c r="G727" s="3" t="e">
        <f t="shared" si="9"/>
        <v>#DIV/0!</v>
      </c>
    </row>
    <row r="728" spans="7:7">
      <c r="G728" s="3" t="e">
        <f t="shared" si="9"/>
        <v>#DIV/0!</v>
      </c>
    </row>
    <row r="729" spans="7:7">
      <c r="G729" s="3" t="e">
        <f t="shared" si="9"/>
        <v>#DIV/0!</v>
      </c>
    </row>
    <row r="730" spans="7:7">
      <c r="G730" s="3" t="e">
        <f t="shared" si="9"/>
        <v>#DIV/0!</v>
      </c>
    </row>
    <row r="731" spans="7:7">
      <c r="G731" s="3" t="e">
        <f t="shared" si="9"/>
        <v>#DIV/0!</v>
      </c>
    </row>
    <row r="732" spans="7:7">
      <c r="G732" s="3" t="e">
        <f t="shared" si="9"/>
        <v>#DIV/0!</v>
      </c>
    </row>
    <row r="733" spans="7:7">
      <c r="G733" s="3" t="e">
        <f t="shared" si="9"/>
        <v>#DIV/0!</v>
      </c>
    </row>
    <row r="734" spans="7:7">
      <c r="G734" s="3" t="e">
        <f t="shared" si="9"/>
        <v>#DIV/0!</v>
      </c>
    </row>
    <row r="735" spans="7:7">
      <c r="G735" s="3" t="e">
        <f t="shared" si="9"/>
        <v>#DIV/0!</v>
      </c>
    </row>
    <row r="736" spans="7:7">
      <c r="G736" s="3" t="e">
        <f t="shared" si="9"/>
        <v>#DIV/0!</v>
      </c>
    </row>
    <row r="737" spans="7:7">
      <c r="G737" s="3" t="e">
        <f t="shared" si="9"/>
        <v>#DIV/0!</v>
      </c>
    </row>
    <row r="738" spans="7:7">
      <c r="G738" s="3" t="e">
        <f t="shared" si="9"/>
        <v>#DIV/0!</v>
      </c>
    </row>
    <row r="739" spans="7:7">
      <c r="G739" s="3" t="e">
        <f t="shared" si="9"/>
        <v>#DIV/0!</v>
      </c>
    </row>
    <row r="740" spans="7:7">
      <c r="G740" s="3" t="e">
        <f t="shared" si="9"/>
        <v>#DIV/0!</v>
      </c>
    </row>
    <row r="741" spans="7:7">
      <c r="G741" s="3" t="e">
        <f t="shared" si="9"/>
        <v>#DIV/0!</v>
      </c>
    </row>
    <row r="742" spans="7:7">
      <c r="G742" s="3" t="e">
        <f t="shared" si="9"/>
        <v>#DIV/0!</v>
      </c>
    </row>
    <row r="743" spans="7:7">
      <c r="G743" s="3" t="e">
        <f t="shared" si="9"/>
        <v>#DIV/0!</v>
      </c>
    </row>
    <row r="744" spans="7:7">
      <c r="G744" s="3" t="e">
        <f t="shared" si="9"/>
        <v>#DIV/0!</v>
      </c>
    </row>
    <row r="745" spans="7:7">
      <c r="G745" s="3" t="e">
        <f t="shared" si="9"/>
        <v>#DIV/0!</v>
      </c>
    </row>
    <row r="746" spans="7:7">
      <c r="G746" s="3" t="e">
        <f t="shared" si="9"/>
        <v>#DIV/0!</v>
      </c>
    </row>
    <row r="747" spans="7:7">
      <c r="G747" s="3" t="e">
        <f t="shared" si="9"/>
        <v>#DIV/0!</v>
      </c>
    </row>
    <row r="748" spans="7:7">
      <c r="G748" s="3" t="e">
        <f t="shared" si="9"/>
        <v>#DIV/0!</v>
      </c>
    </row>
    <row r="749" spans="7:7">
      <c r="G749" s="3" t="e">
        <f t="shared" si="9"/>
        <v>#DIV/0!</v>
      </c>
    </row>
    <row r="750" spans="7:7">
      <c r="G750" s="3" t="e">
        <f t="shared" si="9"/>
        <v>#DIV/0!</v>
      </c>
    </row>
    <row r="751" spans="7:7">
      <c r="G751" s="3" t="e">
        <f t="shared" si="9"/>
        <v>#DIV/0!</v>
      </c>
    </row>
    <row r="752" spans="7:7">
      <c r="G752" s="3" t="e">
        <f t="shared" ref="G752:G815" si="10">F752/D752</f>
        <v>#DIV/0!</v>
      </c>
    </row>
    <row r="753" spans="7:7">
      <c r="G753" s="3" t="e">
        <f t="shared" si="10"/>
        <v>#DIV/0!</v>
      </c>
    </row>
    <row r="754" spans="7:7">
      <c r="G754" s="3" t="e">
        <f t="shared" si="10"/>
        <v>#DIV/0!</v>
      </c>
    </row>
    <row r="755" spans="7:7">
      <c r="G755" s="3" t="e">
        <f t="shared" si="10"/>
        <v>#DIV/0!</v>
      </c>
    </row>
    <row r="756" spans="7:7">
      <c r="G756" s="3" t="e">
        <f t="shared" si="10"/>
        <v>#DIV/0!</v>
      </c>
    </row>
    <row r="757" spans="7:7">
      <c r="G757" s="3" t="e">
        <f t="shared" si="10"/>
        <v>#DIV/0!</v>
      </c>
    </row>
    <row r="758" spans="7:7">
      <c r="G758" s="3" t="e">
        <f t="shared" si="10"/>
        <v>#DIV/0!</v>
      </c>
    </row>
    <row r="759" spans="7:7">
      <c r="G759" s="3" t="e">
        <f t="shared" si="10"/>
        <v>#DIV/0!</v>
      </c>
    </row>
    <row r="760" spans="7:7">
      <c r="G760" s="3" t="e">
        <f t="shared" si="10"/>
        <v>#DIV/0!</v>
      </c>
    </row>
    <row r="761" spans="7:7">
      <c r="G761" s="3" t="e">
        <f t="shared" si="10"/>
        <v>#DIV/0!</v>
      </c>
    </row>
    <row r="762" spans="7:7">
      <c r="G762" s="3" t="e">
        <f t="shared" si="10"/>
        <v>#DIV/0!</v>
      </c>
    </row>
    <row r="763" spans="7:7">
      <c r="G763" s="3" t="e">
        <f t="shared" si="10"/>
        <v>#DIV/0!</v>
      </c>
    </row>
    <row r="764" spans="7:7">
      <c r="G764" s="3" t="e">
        <f t="shared" si="10"/>
        <v>#DIV/0!</v>
      </c>
    </row>
    <row r="765" spans="7:7">
      <c r="G765" s="3" t="e">
        <f t="shared" si="10"/>
        <v>#DIV/0!</v>
      </c>
    </row>
    <row r="766" spans="7:7">
      <c r="G766" s="3" t="e">
        <f t="shared" si="10"/>
        <v>#DIV/0!</v>
      </c>
    </row>
    <row r="767" spans="7:7">
      <c r="G767" s="3" t="e">
        <f t="shared" si="10"/>
        <v>#DIV/0!</v>
      </c>
    </row>
    <row r="768" spans="7:7">
      <c r="G768" s="3" t="e">
        <f t="shared" si="10"/>
        <v>#DIV/0!</v>
      </c>
    </row>
    <row r="769" spans="7:7">
      <c r="G769" s="3" t="e">
        <f t="shared" si="10"/>
        <v>#DIV/0!</v>
      </c>
    </row>
    <row r="770" spans="7:7">
      <c r="G770" s="3" t="e">
        <f t="shared" si="10"/>
        <v>#DIV/0!</v>
      </c>
    </row>
    <row r="771" spans="7:7">
      <c r="G771" s="3" t="e">
        <f t="shared" si="10"/>
        <v>#DIV/0!</v>
      </c>
    </row>
    <row r="772" spans="7:7">
      <c r="G772" s="3" t="e">
        <f t="shared" si="10"/>
        <v>#DIV/0!</v>
      </c>
    </row>
    <row r="773" spans="7:7">
      <c r="G773" s="3" t="e">
        <f t="shared" si="10"/>
        <v>#DIV/0!</v>
      </c>
    </row>
    <row r="774" spans="7:7">
      <c r="G774" s="3" t="e">
        <f t="shared" si="10"/>
        <v>#DIV/0!</v>
      </c>
    </row>
    <row r="775" spans="7:7">
      <c r="G775" s="3" t="e">
        <f t="shared" si="10"/>
        <v>#DIV/0!</v>
      </c>
    </row>
    <row r="776" spans="7:7">
      <c r="G776" s="3" t="e">
        <f t="shared" si="10"/>
        <v>#DIV/0!</v>
      </c>
    </row>
    <row r="777" spans="7:7">
      <c r="G777" s="3" t="e">
        <f t="shared" si="10"/>
        <v>#DIV/0!</v>
      </c>
    </row>
    <row r="778" spans="7:7">
      <c r="G778" s="3" t="e">
        <f t="shared" si="10"/>
        <v>#DIV/0!</v>
      </c>
    </row>
    <row r="779" spans="7:7">
      <c r="G779" s="3" t="e">
        <f t="shared" si="10"/>
        <v>#DIV/0!</v>
      </c>
    </row>
    <row r="780" spans="7:7">
      <c r="G780" s="3" t="e">
        <f t="shared" si="10"/>
        <v>#DIV/0!</v>
      </c>
    </row>
    <row r="781" spans="7:7">
      <c r="G781" s="3" t="e">
        <f t="shared" si="10"/>
        <v>#DIV/0!</v>
      </c>
    </row>
    <row r="782" spans="7:7">
      <c r="G782" s="3" t="e">
        <f t="shared" si="10"/>
        <v>#DIV/0!</v>
      </c>
    </row>
    <row r="783" spans="7:7">
      <c r="G783" s="3" t="e">
        <f t="shared" si="10"/>
        <v>#DIV/0!</v>
      </c>
    </row>
    <row r="784" spans="7:7">
      <c r="G784" s="3" t="e">
        <f t="shared" si="10"/>
        <v>#DIV/0!</v>
      </c>
    </row>
    <row r="785" spans="7:7">
      <c r="G785" s="3" t="e">
        <f t="shared" si="10"/>
        <v>#DIV/0!</v>
      </c>
    </row>
    <row r="786" spans="7:7">
      <c r="G786" s="3" t="e">
        <f t="shared" si="10"/>
        <v>#DIV/0!</v>
      </c>
    </row>
    <row r="787" spans="7:7">
      <c r="G787" s="3" t="e">
        <f t="shared" si="10"/>
        <v>#DIV/0!</v>
      </c>
    </row>
    <row r="788" spans="7:7">
      <c r="G788" s="3" t="e">
        <f t="shared" si="10"/>
        <v>#DIV/0!</v>
      </c>
    </row>
    <row r="789" spans="7:7">
      <c r="G789" s="3" t="e">
        <f t="shared" si="10"/>
        <v>#DIV/0!</v>
      </c>
    </row>
    <row r="790" spans="7:7">
      <c r="G790" s="3" t="e">
        <f t="shared" si="10"/>
        <v>#DIV/0!</v>
      </c>
    </row>
    <row r="791" spans="7:7">
      <c r="G791" s="3" t="e">
        <f t="shared" si="10"/>
        <v>#DIV/0!</v>
      </c>
    </row>
    <row r="792" spans="7:7">
      <c r="G792" s="3" t="e">
        <f t="shared" si="10"/>
        <v>#DIV/0!</v>
      </c>
    </row>
    <row r="793" spans="7:7">
      <c r="G793" s="3" t="e">
        <f t="shared" si="10"/>
        <v>#DIV/0!</v>
      </c>
    </row>
    <row r="794" spans="7:7">
      <c r="G794" s="3" t="e">
        <f t="shared" si="10"/>
        <v>#DIV/0!</v>
      </c>
    </row>
    <row r="795" spans="7:7">
      <c r="G795" s="3" t="e">
        <f t="shared" si="10"/>
        <v>#DIV/0!</v>
      </c>
    </row>
    <row r="796" spans="7:7">
      <c r="G796" s="3" t="e">
        <f t="shared" si="10"/>
        <v>#DIV/0!</v>
      </c>
    </row>
    <row r="797" spans="7:7">
      <c r="G797" s="3" t="e">
        <f t="shared" si="10"/>
        <v>#DIV/0!</v>
      </c>
    </row>
    <row r="798" spans="7:7">
      <c r="G798" s="3" t="e">
        <f t="shared" si="10"/>
        <v>#DIV/0!</v>
      </c>
    </row>
    <row r="799" spans="7:7">
      <c r="G799" s="3" t="e">
        <f t="shared" si="10"/>
        <v>#DIV/0!</v>
      </c>
    </row>
    <row r="800" spans="7:7">
      <c r="G800" s="3" t="e">
        <f t="shared" si="10"/>
        <v>#DIV/0!</v>
      </c>
    </row>
    <row r="801" spans="7:7">
      <c r="G801" s="3" t="e">
        <f t="shared" si="10"/>
        <v>#DIV/0!</v>
      </c>
    </row>
    <row r="802" spans="7:7">
      <c r="G802" s="3" t="e">
        <f t="shared" si="10"/>
        <v>#DIV/0!</v>
      </c>
    </row>
    <row r="803" spans="7:7">
      <c r="G803" s="3" t="e">
        <f t="shared" si="10"/>
        <v>#DIV/0!</v>
      </c>
    </row>
    <row r="804" spans="7:7">
      <c r="G804" s="3" t="e">
        <f t="shared" si="10"/>
        <v>#DIV/0!</v>
      </c>
    </row>
    <row r="805" spans="7:7">
      <c r="G805" s="3" t="e">
        <f t="shared" si="10"/>
        <v>#DIV/0!</v>
      </c>
    </row>
    <row r="806" spans="7:7">
      <c r="G806" s="3" t="e">
        <f t="shared" si="10"/>
        <v>#DIV/0!</v>
      </c>
    </row>
    <row r="807" spans="7:7">
      <c r="G807" s="3" t="e">
        <f t="shared" si="10"/>
        <v>#DIV/0!</v>
      </c>
    </row>
    <row r="808" spans="7:7">
      <c r="G808" s="3" t="e">
        <f t="shared" si="10"/>
        <v>#DIV/0!</v>
      </c>
    </row>
    <row r="809" spans="7:7">
      <c r="G809" s="3" t="e">
        <f t="shared" si="10"/>
        <v>#DIV/0!</v>
      </c>
    </row>
    <row r="810" spans="7:7">
      <c r="G810" s="3" t="e">
        <f t="shared" si="10"/>
        <v>#DIV/0!</v>
      </c>
    </row>
    <row r="811" spans="7:7">
      <c r="G811" s="3" t="e">
        <f t="shared" si="10"/>
        <v>#DIV/0!</v>
      </c>
    </row>
    <row r="812" spans="7:7">
      <c r="G812" s="3" t="e">
        <f t="shared" si="10"/>
        <v>#DIV/0!</v>
      </c>
    </row>
    <row r="813" spans="7:7">
      <c r="G813" s="3" t="e">
        <f t="shared" si="10"/>
        <v>#DIV/0!</v>
      </c>
    </row>
    <row r="814" spans="7:7">
      <c r="G814" s="3" t="e">
        <f t="shared" si="10"/>
        <v>#DIV/0!</v>
      </c>
    </row>
    <row r="815" spans="7:7">
      <c r="G815" s="3" t="e">
        <f t="shared" si="10"/>
        <v>#DIV/0!</v>
      </c>
    </row>
    <row r="816" spans="7:7">
      <c r="G816" s="3" t="e">
        <f t="shared" ref="G816:G879" si="11">F816/D816</f>
        <v>#DIV/0!</v>
      </c>
    </row>
    <row r="817" spans="7:7">
      <c r="G817" s="3" t="e">
        <f t="shared" si="11"/>
        <v>#DIV/0!</v>
      </c>
    </row>
    <row r="818" spans="7:7">
      <c r="G818" s="3" t="e">
        <f t="shared" si="11"/>
        <v>#DIV/0!</v>
      </c>
    </row>
    <row r="819" spans="7:7">
      <c r="G819" s="3" t="e">
        <f t="shared" si="11"/>
        <v>#DIV/0!</v>
      </c>
    </row>
    <row r="820" spans="7:7">
      <c r="G820" s="3" t="e">
        <f t="shared" si="11"/>
        <v>#DIV/0!</v>
      </c>
    </row>
    <row r="821" spans="7:7">
      <c r="G821" s="3" t="e">
        <f t="shared" si="11"/>
        <v>#DIV/0!</v>
      </c>
    </row>
    <row r="822" spans="7:7">
      <c r="G822" s="3" t="e">
        <f t="shared" si="11"/>
        <v>#DIV/0!</v>
      </c>
    </row>
    <row r="823" spans="7:7">
      <c r="G823" s="3" t="e">
        <f t="shared" si="11"/>
        <v>#DIV/0!</v>
      </c>
    </row>
    <row r="824" spans="7:7">
      <c r="G824" s="3" t="e">
        <f t="shared" si="11"/>
        <v>#DIV/0!</v>
      </c>
    </row>
    <row r="825" spans="7:7">
      <c r="G825" s="3" t="e">
        <f t="shared" si="11"/>
        <v>#DIV/0!</v>
      </c>
    </row>
    <row r="826" spans="7:7">
      <c r="G826" s="3" t="e">
        <f t="shared" si="11"/>
        <v>#DIV/0!</v>
      </c>
    </row>
    <row r="827" spans="7:7">
      <c r="G827" s="3" t="e">
        <f t="shared" si="11"/>
        <v>#DIV/0!</v>
      </c>
    </row>
    <row r="828" spans="7:7">
      <c r="G828" s="3" t="e">
        <f t="shared" si="11"/>
        <v>#DIV/0!</v>
      </c>
    </row>
    <row r="829" spans="7:7">
      <c r="G829" s="3" t="e">
        <f t="shared" si="11"/>
        <v>#DIV/0!</v>
      </c>
    </row>
    <row r="830" spans="7:7">
      <c r="G830" s="3" t="e">
        <f t="shared" si="11"/>
        <v>#DIV/0!</v>
      </c>
    </row>
    <row r="831" spans="7:7">
      <c r="G831" s="3" t="e">
        <f t="shared" si="11"/>
        <v>#DIV/0!</v>
      </c>
    </row>
    <row r="832" spans="7:7">
      <c r="G832" s="3" t="e">
        <f t="shared" si="11"/>
        <v>#DIV/0!</v>
      </c>
    </row>
    <row r="833" spans="7:7">
      <c r="G833" s="3" t="e">
        <f t="shared" si="11"/>
        <v>#DIV/0!</v>
      </c>
    </row>
    <row r="834" spans="7:7">
      <c r="G834" s="3" t="e">
        <f t="shared" si="11"/>
        <v>#DIV/0!</v>
      </c>
    </row>
    <row r="835" spans="7:7">
      <c r="G835" s="3" t="e">
        <f t="shared" si="11"/>
        <v>#DIV/0!</v>
      </c>
    </row>
    <row r="836" spans="7:7">
      <c r="G836" s="3" t="e">
        <f t="shared" si="11"/>
        <v>#DIV/0!</v>
      </c>
    </row>
    <row r="837" spans="7:7">
      <c r="G837" s="3" t="e">
        <f t="shared" si="11"/>
        <v>#DIV/0!</v>
      </c>
    </row>
    <row r="838" spans="7:7">
      <c r="G838" s="3" t="e">
        <f t="shared" si="11"/>
        <v>#DIV/0!</v>
      </c>
    </row>
    <row r="839" spans="7:7">
      <c r="G839" s="3" t="e">
        <f t="shared" si="11"/>
        <v>#DIV/0!</v>
      </c>
    </row>
    <row r="840" spans="7:7">
      <c r="G840" s="3" t="e">
        <f t="shared" si="11"/>
        <v>#DIV/0!</v>
      </c>
    </row>
    <row r="841" spans="7:7">
      <c r="G841" s="3" t="e">
        <f t="shared" si="11"/>
        <v>#DIV/0!</v>
      </c>
    </row>
    <row r="842" spans="7:7">
      <c r="G842" s="3" t="e">
        <f t="shared" si="11"/>
        <v>#DIV/0!</v>
      </c>
    </row>
    <row r="843" spans="7:7">
      <c r="G843" s="3" t="e">
        <f t="shared" si="11"/>
        <v>#DIV/0!</v>
      </c>
    </row>
    <row r="844" spans="7:7">
      <c r="G844" s="3" t="e">
        <f t="shared" si="11"/>
        <v>#DIV/0!</v>
      </c>
    </row>
    <row r="845" spans="7:7">
      <c r="G845" s="3" t="e">
        <f t="shared" si="11"/>
        <v>#DIV/0!</v>
      </c>
    </row>
    <row r="846" spans="7:7">
      <c r="G846" s="3" t="e">
        <f t="shared" si="11"/>
        <v>#DIV/0!</v>
      </c>
    </row>
    <row r="847" spans="7:7">
      <c r="G847" s="3" t="e">
        <f t="shared" si="11"/>
        <v>#DIV/0!</v>
      </c>
    </row>
    <row r="848" spans="7:7">
      <c r="G848" s="3" t="e">
        <f t="shared" si="11"/>
        <v>#DIV/0!</v>
      </c>
    </row>
    <row r="849" spans="7:7">
      <c r="G849" s="3" t="e">
        <f t="shared" si="11"/>
        <v>#DIV/0!</v>
      </c>
    </row>
    <row r="850" spans="7:7">
      <c r="G850" s="3" t="e">
        <f t="shared" si="11"/>
        <v>#DIV/0!</v>
      </c>
    </row>
    <row r="851" spans="7:7">
      <c r="G851" s="3" t="e">
        <f t="shared" si="11"/>
        <v>#DIV/0!</v>
      </c>
    </row>
    <row r="852" spans="7:7">
      <c r="G852" s="3" t="e">
        <f t="shared" si="11"/>
        <v>#DIV/0!</v>
      </c>
    </row>
    <row r="853" spans="7:7">
      <c r="G853" s="3" t="e">
        <f t="shared" si="11"/>
        <v>#DIV/0!</v>
      </c>
    </row>
    <row r="854" spans="7:7">
      <c r="G854" s="3" t="e">
        <f t="shared" si="11"/>
        <v>#DIV/0!</v>
      </c>
    </row>
    <row r="855" spans="7:7">
      <c r="G855" s="3" t="e">
        <f t="shared" si="11"/>
        <v>#DIV/0!</v>
      </c>
    </row>
    <row r="856" spans="7:7">
      <c r="G856" s="3" t="e">
        <f t="shared" si="11"/>
        <v>#DIV/0!</v>
      </c>
    </row>
    <row r="857" spans="7:7">
      <c r="G857" s="3" t="e">
        <f t="shared" si="11"/>
        <v>#DIV/0!</v>
      </c>
    </row>
    <row r="858" spans="7:7">
      <c r="G858" s="3" t="e">
        <f t="shared" si="11"/>
        <v>#DIV/0!</v>
      </c>
    </row>
    <row r="859" spans="7:7">
      <c r="G859" s="3" t="e">
        <f t="shared" si="11"/>
        <v>#DIV/0!</v>
      </c>
    </row>
    <row r="860" spans="7:7">
      <c r="G860" s="3" t="e">
        <f t="shared" si="11"/>
        <v>#DIV/0!</v>
      </c>
    </row>
    <row r="861" spans="7:7">
      <c r="G861" s="3" t="e">
        <f t="shared" si="11"/>
        <v>#DIV/0!</v>
      </c>
    </row>
    <row r="862" spans="7:7">
      <c r="G862" s="3" t="e">
        <f t="shared" si="11"/>
        <v>#DIV/0!</v>
      </c>
    </row>
    <row r="863" spans="7:7">
      <c r="G863" s="3" t="e">
        <f t="shared" si="11"/>
        <v>#DIV/0!</v>
      </c>
    </row>
    <row r="864" spans="7:7">
      <c r="G864" s="3" t="e">
        <f t="shared" si="11"/>
        <v>#DIV/0!</v>
      </c>
    </row>
    <row r="865" spans="7:7">
      <c r="G865" s="3" t="e">
        <f t="shared" si="11"/>
        <v>#DIV/0!</v>
      </c>
    </row>
    <row r="866" spans="7:7">
      <c r="G866" s="3" t="e">
        <f t="shared" si="11"/>
        <v>#DIV/0!</v>
      </c>
    </row>
    <row r="867" spans="7:7">
      <c r="G867" s="3" t="e">
        <f t="shared" si="11"/>
        <v>#DIV/0!</v>
      </c>
    </row>
    <row r="868" spans="7:7">
      <c r="G868" s="3" t="e">
        <f t="shared" si="11"/>
        <v>#DIV/0!</v>
      </c>
    </row>
    <row r="869" spans="7:7">
      <c r="G869" s="3" t="e">
        <f t="shared" si="11"/>
        <v>#DIV/0!</v>
      </c>
    </row>
    <row r="870" spans="7:7">
      <c r="G870" s="3" t="e">
        <f t="shared" si="11"/>
        <v>#DIV/0!</v>
      </c>
    </row>
    <row r="871" spans="7:7">
      <c r="G871" s="3" t="e">
        <f t="shared" si="11"/>
        <v>#DIV/0!</v>
      </c>
    </row>
    <row r="872" spans="7:7">
      <c r="G872" s="3" t="e">
        <f t="shared" si="11"/>
        <v>#DIV/0!</v>
      </c>
    </row>
    <row r="873" spans="7:7">
      <c r="G873" s="3" t="e">
        <f t="shared" si="11"/>
        <v>#DIV/0!</v>
      </c>
    </row>
    <row r="874" spans="7:7">
      <c r="G874" s="3" t="e">
        <f t="shared" si="11"/>
        <v>#DIV/0!</v>
      </c>
    </row>
    <row r="875" spans="7:7">
      <c r="G875" s="3" t="e">
        <f t="shared" si="11"/>
        <v>#DIV/0!</v>
      </c>
    </row>
    <row r="876" spans="7:7">
      <c r="G876" s="3" t="e">
        <f t="shared" si="11"/>
        <v>#DIV/0!</v>
      </c>
    </row>
    <row r="877" spans="7:7">
      <c r="G877" s="3" t="e">
        <f t="shared" si="11"/>
        <v>#DIV/0!</v>
      </c>
    </row>
    <row r="878" spans="7:7">
      <c r="G878" s="3" t="e">
        <f t="shared" si="11"/>
        <v>#DIV/0!</v>
      </c>
    </row>
    <row r="879" spans="7:7">
      <c r="G879" s="3" t="e">
        <f t="shared" si="11"/>
        <v>#DIV/0!</v>
      </c>
    </row>
    <row r="880" spans="7:7">
      <c r="G880" s="3" t="e">
        <f t="shared" ref="G880:G943" si="12">F880/D880</f>
        <v>#DIV/0!</v>
      </c>
    </row>
    <row r="881" spans="7:7">
      <c r="G881" s="3" t="e">
        <f t="shared" si="12"/>
        <v>#DIV/0!</v>
      </c>
    </row>
    <row r="882" spans="7:7">
      <c r="G882" s="3" t="e">
        <f t="shared" si="12"/>
        <v>#DIV/0!</v>
      </c>
    </row>
    <row r="883" spans="7:7">
      <c r="G883" s="3" t="e">
        <f t="shared" si="12"/>
        <v>#DIV/0!</v>
      </c>
    </row>
    <row r="884" spans="7:7">
      <c r="G884" s="3" t="e">
        <f t="shared" si="12"/>
        <v>#DIV/0!</v>
      </c>
    </row>
    <row r="885" spans="7:7">
      <c r="G885" s="3" t="e">
        <f t="shared" si="12"/>
        <v>#DIV/0!</v>
      </c>
    </row>
    <row r="886" spans="7:7">
      <c r="G886" s="3" t="e">
        <f t="shared" si="12"/>
        <v>#DIV/0!</v>
      </c>
    </row>
    <row r="887" spans="7:7">
      <c r="G887" s="3" t="e">
        <f t="shared" si="12"/>
        <v>#DIV/0!</v>
      </c>
    </row>
    <row r="888" spans="7:7">
      <c r="G888" s="3" t="e">
        <f t="shared" si="12"/>
        <v>#DIV/0!</v>
      </c>
    </row>
    <row r="889" spans="7:7">
      <c r="G889" s="3" t="e">
        <f t="shared" si="12"/>
        <v>#DIV/0!</v>
      </c>
    </row>
    <row r="890" spans="7:7">
      <c r="G890" s="3" t="e">
        <f t="shared" si="12"/>
        <v>#DIV/0!</v>
      </c>
    </row>
    <row r="891" spans="7:7">
      <c r="G891" s="3" t="e">
        <f t="shared" si="12"/>
        <v>#DIV/0!</v>
      </c>
    </row>
    <row r="892" spans="7:7">
      <c r="G892" s="3" t="e">
        <f t="shared" si="12"/>
        <v>#DIV/0!</v>
      </c>
    </row>
    <row r="893" spans="7:7">
      <c r="G893" s="3" t="e">
        <f t="shared" si="12"/>
        <v>#DIV/0!</v>
      </c>
    </row>
    <row r="894" spans="7:7">
      <c r="G894" s="3" t="e">
        <f t="shared" si="12"/>
        <v>#DIV/0!</v>
      </c>
    </row>
    <row r="895" spans="7:7">
      <c r="G895" s="3" t="e">
        <f t="shared" si="12"/>
        <v>#DIV/0!</v>
      </c>
    </row>
    <row r="896" spans="7:7">
      <c r="G896" s="3" t="e">
        <f t="shared" si="12"/>
        <v>#DIV/0!</v>
      </c>
    </row>
    <row r="897" spans="7:7">
      <c r="G897" s="3" t="e">
        <f t="shared" si="12"/>
        <v>#DIV/0!</v>
      </c>
    </row>
    <row r="898" spans="7:7">
      <c r="G898" s="3" t="e">
        <f t="shared" si="12"/>
        <v>#DIV/0!</v>
      </c>
    </row>
    <row r="899" spans="7:7">
      <c r="G899" s="3" t="e">
        <f t="shared" si="12"/>
        <v>#DIV/0!</v>
      </c>
    </row>
    <row r="900" spans="7:7">
      <c r="G900" s="3" t="e">
        <f t="shared" si="12"/>
        <v>#DIV/0!</v>
      </c>
    </row>
    <row r="901" spans="7:7">
      <c r="G901" s="3" t="e">
        <f t="shared" si="12"/>
        <v>#DIV/0!</v>
      </c>
    </row>
    <row r="902" spans="7:7">
      <c r="G902" s="3" t="e">
        <f t="shared" si="12"/>
        <v>#DIV/0!</v>
      </c>
    </row>
    <row r="903" spans="7:7">
      <c r="G903" s="3" t="e">
        <f t="shared" si="12"/>
        <v>#DIV/0!</v>
      </c>
    </row>
    <row r="904" spans="7:7">
      <c r="G904" s="3" t="e">
        <f t="shared" si="12"/>
        <v>#DIV/0!</v>
      </c>
    </row>
    <row r="905" spans="7:7">
      <c r="G905" s="3" t="e">
        <f t="shared" si="12"/>
        <v>#DIV/0!</v>
      </c>
    </row>
    <row r="906" spans="7:7">
      <c r="G906" s="3" t="e">
        <f t="shared" si="12"/>
        <v>#DIV/0!</v>
      </c>
    </row>
    <row r="907" spans="7:7">
      <c r="G907" s="3" t="e">
        <f t="shared" si="12"/>
        <v>#DIV/0!</v>
      </c>
    </row>
    <row r="908" spans="7:7">
      <c r="G908" s="3" t="e">
        <f t="shared" si="12"/>
        <v>#DIV/0!</v>
      </c>
    </row>
    <row r="909" spans="7:7">
      <c r="G909" s="3" t="e">
        <f t="shared" si="12"/>
        <v>#DIV/0!</v>
      </c>
    </row>
    <row r="910" spans="7:7">
      <c r="G910" s="3" t="e">
        <f t="shared" si="12"/>
        <v>#DIV/0!</v>
      </c>
    </row>
    <row r="911" spans="7:7">
      <c r="G911" s="3" t="e">
        <f t="shared" si="12"/>
        <v>#DIV/0!</v>
      </c>
    </row>
    <row r="912" spans="7:7">
      <c r="G912" s="3" t="e">
        <f t="shared" si="12"/>
        <v>#DIV/0!</v>
      </c>
    </row>
    <row r="913" spans="7:7">
      <c r="G913" s="3" t="e">
        <f t="shared" si="12"/>
        <v>#DIV/0!</v>
      </c>
    </row>
    <row r="914" spans="7:7">
      <c r="G914" s="3" t="e">
        <f t="shared" si="12"/>
        <v>#DIV/0!</v>
      </c>
    </row>
    <row r="915" spans="7:7">
      <c r="G915" s="3" t="e">
        <f t="shared" si="12"/>
        <v>#DIV/0!</v>
      </c>
    </row>
    <row r="916" spans="7:7">
      <c r="G916" s="3" t="e">
        <f t="shared" si="12"/>
        <v>#DIV/0!</v>
      </c>
    </row>
    <row r="917" spans="7:7">
      <c r="G917" s="3" t="e">
        <f t="shared" si="12"/>
        <v>#DIV/0!</v>
      </c>
    </row>
    <row r="918" spans="7:7">
      <c r="G918" s="3" t="e">
        <f t="shared" si="12"/>
        <v>#DIV/0!</v>
      </c>
    </row>
    <row r="919" spans="7:7">
      <c r="G919" s="3" t="e">
        <f t="shared" si="12"/>
        <v>#DIV/0!</v>
      </c>
    </row>
    <row r="920" spans="7:7">
      <c r="G920" s="3" t="e">
        <f t="shared" si="12"/>
        <v>#DIV/0!</v>
      </c>
    </row>
    <row r="921" spans="7:7">
      <c r="G921" s="3" t="e">
        <f t="shared" si="12"/>
        <v>#DIV/0!</v>
      </c>
    </row>
    <row r="922" spans="7:7">
      <c r="G922" s="3" t="e">
        <f t="shared" si="12"/>
        <v>#DIV/0!</v>
      </c>
    </row>
    <row r="923" spans="7:7">
      <c r="G923" s="3" t="e">
        <f t="shared" si="12"/>
        <v>#DIV/0!</v>
      </c>
    </row>
    <row r="924" spans="7:7">
      <c r="G924" s="3" t="e">
        <f t="shared" si="12"/>
        <v>#DIV/0!</v>
      </c>
    </row>
    <row r="925" spans="7:7">
      <c r="G925" s="3" t="e">
        <f t="shared" si="12"/>
        <v>#DIV/0!</v>
      </c>
    </row>
    <row r="926" spans="7:7">
      <c r="G926" s="3" t="e">
        <f t="shared" si="12"/>
        <v>#DIV/0!</v>
      </c>
    </row>
    <row r="927" spans="7:7">
      <c r="G927" s="3" t="e">
        <f t="shared" si="12"/>
        <v>#DIV/0!</v>
      </c>
    </row>
    <row r="928" spans="7:7">
      <c r="G928" s="3" t="e">
        <f t="shared" si="12"/>
        <v>#DIV/0!</v>
      </c>
    </row>
    <row r="929" spans="7:7">
      <c r="G929" s="3" t="e">
        <f t="shared" si="12"/>
        <v>#DIV/0!</v>
      </c>
    </row>
    <row r="930" spans="7:7">
      <c r="G930" s="3" t="e">
        <f t="shared" si="12"/>
        <v>#DIV/0!</v>
      </c>
    </row>
    <row r="931" spans="7:7">
      <c r="G931" s="3" t="e">
        <f t="shared" si="12"/>
        <v>#DIV/0!</v>
      </c>
    </row>
    <row r="932" spans="7:7">
      <c r="G932" s="3" t="e">
        <f t="shared" si="12"/>
        <v>#DIV/0!</v>
      </c>
    </row>
    <row r="933" spans="7:7">
      <c r="G933" s="3" t="e">
        <f t="shared" si="12"/>
        <v>#DIV/0!</v>
      </c>
    </row>
    <row r="934" spans="7:7">
      <c r="G934" s="3" t="e">
        <f t="shared" si="12"/>
        <v>#DIV/0!</v>
      </c>
    </row>
    <row r="935" spans="7:7">
      <c r="G935" s="3" t="e">
        <f t="shared" si="12"/>
        <v>#DIV/0!</v>
      </c>
    </row>
    <row r="936" spans="7:7">
      <c r="G936" s="3" t="e">
        <f t="shared" si="12"/>
        <v>#DIV/0!</v>
      </c>
    </row>
    <row r="937" spans="7:7">
      <c r="G937" s="3" t="e">
        <f t="shared" si="12"/>
        <v>#DIV/0!</v>
      </c>
    </row>
    <row r="938" spans="7:7">
      <c r="G938" s="3" t="e">
        <f t="shared" si="12"/>
        <v>#DIV/0!</v>
      </c>
    </row>
    <row r="939" spans="7:7">
      <c r="G939" s="3" t="e">
        <f t="shared" si="12"/>
        <v>#DIV/0!</v>
      </c>
    </row>
    <row r="940" spans="7:7">
      <c r="G940" s="3" t="e">
        <f t="shared" si="12"/>
        <v>#DIV/0!</v>
      </c>
    </row>
    <row r="941" spans="7:7">
      <c r="G941" s="3" t="e">
        <f t="shared" si="12"/>
        <v>#DIV/0!</v>
      </c>
    </row>
    <row r="942" spans="7:7">
      <c r="G942" s="3" t="e">
        <f t="shared" si="12"/>
        <v>#DIV/0!</v>
      </c>
    </row>
    <row r="943" spans="7:7">
      <c r="G943" s="3" t="e">
        <f t="shared" si="12"/>
        <v>#DIV/0!</v>
      </c>
    </row>
    <row r="944" spans="7:7">
      <c r="G944" s="3" t="e">
        <f t="shared" ref="G944:G1007" si="13">F944/D944</f>
        <v>#DIV/0!</v>
      </c>
    </row>
    <row r="945" spans="7:7">
      <c r="G945" s="3" t="e">
        <f t="shared" si="13"/>
        <v>#DIV/0!</v>
      </c>
    </row>
    <row r="946" spans="7:7">
      <c r="G946" s="3" t="e">
        <f t="shared" si="13"/>
        <v>#DIV/0!</v>
      </c>
    </row>
    <row r="947" spans="7:7">
      <c r="G947" s="3" t="e">
        <f t="shared" si="13"/>
        <v>#DIV/0!</v>
      </c>
    </row>
    <row r="948" spans="7:7">
      <c r="G948" s="3" t="e">
        <f t="shared" si="13"/>
        <v>#DIV/0!</v>
      </c>
    </row>
    <row r="949" spans="7:7">
      <c r="G949" s="3" t="e">
        <f t="shared" si="13"/>
        <v>#DIV/0!</v>
      </c>
    </row>
    <row r="950" spans="7:7">
      <c r="G950" s="3" t="e">
        <f t="shared" si="13"/>
        <v>#DIV/0!</v>
      </c>
    </row>
    <row r="951" spans="7:7">
      <c r="G951" s="3" t="e">
        <f t="shared" si="13"/>
        <v>#DIV/0!</v>
      </c>
    </row>
    <row r="952" spans="7:7">
      <c r="G952" s="3" t="e">
        <f t="shared" si="13"/>
        <v>#DIV/0!</v>
      </c>
    </row>
    <row r="953" spans="7:7">
      <c r="G953" s="3" t="e">
        <f t="shared" si="13"/>
        <v>#DIV/0!</v>
      </c>
    </row>
    <row r="954" spans="7:7">
      <c r="G954" s="3" t="e">
        <f t="shared" si="13"/>
        <v>#DIV/0!</v>
      </c>
    </row>
    <row r="955" spans="7:7">
      <c r="G955" s="3" t="e">
        <f t="shared" si="13"/>
        <v>#DIV/0!</v>
      </c>
    </row>
    <row r="956" spans="7:7">
      <c r="G956" s="3" t="e">
        <f t="shared" si="13"/>
        <v>#DIV/0!</v>
      </c>
    </row>
    <row r="957" spans="7:7">
      <c r="G957" s="3" t="e">
        <f t="shared" si="13"/>
        <v>#DIV/0!</v>
      </c>
    </row>
    <row r="958" spans="7:7">
      <c r="G958" s="3" t="e">
        <f t="shared" si="13"/>
        <v>#DIV/0!</v>
      </c>
    </row>
    <row r="959" spans="7:7">
      <c r="G959" s="3" t="e">
        <f t="shared" si="13"/>
        <v>#DIV/0!</v>
      </c>
    </row>
    <row r="960" spans="7:7">
      <c r="G960" s="3" t="e">
        <f t="shared" si="13"/>
        <v>#DIV/0!</v>
      </c>
    </row>
    <row r="961" spans="7:7">
      <c r="G961" s="3" t="e">
        <f t="shared" si="13"/>
        <v>#DIV/0!</v>
      </c>
    </row>
    <row r="962" spans="7:7">
      <c r="G962" s="3" t="e">
        <f t="shared" si="13"/>
        <v>#DIV/0!</v>
      </c>
    </row>
    <row r="963" spans="7:7">
      <c r="G963" s="3" t="e">
        <f t="shared" si="13"/>
        <v>#DIV/0!</v>
      </c>
    </row>
    <row r="964" spans="7:7">
      <c r="G964" s="3" t="e">
        <f t="shared" si="13"/>
        <v>#DIV/0!</v>
      </c>
    </row>
    <row r="965" spans="7:7">
      <c r="G965" s="3" t="e">
        <f t="shared" si="13"/>
        <v>#DIV/0!</v>
      </c>
    </row>
    <row r="966" spans="7:7">
      <c r="G966" s="3" t="e">
        <f t="shared" si="13"/>
        <v>#DIV/0!</v>
      </c>
    </row>
    <row r="967" spans="7:7">
      <c r="G967" s="3" t="e">
        <f t="shared" si="13"/>
        <v>#DIV/0!</v>
      </c>
    </row>
    <row r="968" spans="7:7">
      <c r="G968" s="3" t="e">
        <f t="shared" si="13"/>
        <v>#DIV/0!</v>
      </c>
    </row>
    <row r="969" spans="7:7">
      <c r="G969" s="3" t="e">
        <f t="shared" si="13"/>
        <v>#DIV/0!</v>
      </c>
    </row>
    <row r="970" spans="7:7">
      <c r="G970" s="3" t="e">
        <f t="shared" si="13"/>
        <v>#DIV/0!</v>
      </c>
    </row>
    <row r="971" spans="7:7">
      <c r="G971" s="3" t="e">
        <f t="shared" si="13"/>
        <v>#DIV/0!</v>
      </c>
    </row>
    <row r="972" spans="7:7">
      <c r="G972" s="3" t="e">
        <f t="shared" si="13"/>
        <v>#DIV/0!</v>
      </c>
    </row>
    <row r="973" spans="7:7">
      <c r="G973" s="3" t="e">
        <f t="shared" si="13"/>
        <v>#DIV/0!</v>
      </c>
    </row>
    <row r="974" spans="7:7">
      <c r="G974" s="3" t="e">
        <f t="shared" si="13"/>
        <v>#DIV/0!</v>
      </c>
    </row>
    <row r="975" spans="7:7">
      <c r="G975" s="3" t="e">
        <f t="shared" si="13"/>
        <v>#DIV/0!</v>
      </c>
    </row>
    <row r="976" spans="7:7">
      <c r="G976" s="3" t="e">
        <f t="shared" si="13"/>
        <v>#DIV/0!</v>
      </c>
    </row>
    <row r="977" spans="7:7">
      <c r="G977" s="3" t="e">
        <f t="shared" si="13"/>
        <v>#DIV/0!</v>
      </c>
    </row>
    <row r="978" spans="7:7">
      <c r="G978" s="3" t="e">
        <f t="shared" si="13"/>
        <v>#DIV/0!</v>
      </c>
    </row>
    <row r="979" spans="7:7">
      <c r="G979" s="3" t="e">
        <f t="shared" si="13"/>
        <v>#DIV/0!</v>
      </c>
    </row>
    <row r="980" spans="7:7">
      <c r="G980" s="3" t="e">
        <f t="shared" si="13"/>
        <v>#DIV/0!</v>
      </c>
    </row>
    <row r="981" spans="7:7">
      <c r="G981" s="3" t="e">
        <f t="shared" si="13"/>
        <v>#DIV/0!</v>
      </c>
    </row>
    <row r="982" spans="7:7">
      <c r="G982" s="3" t="e">
        <f t="shared" si="13"/>
        <v>#DIV/0!</v>
      </c>
    </row>
    <row r="983" spans="7:7">
      <c r="G983" s="3" t="e">
        <f t="shared" si="13"/>
        <v>#DIV/0!</v>
      </c>
    </row>
    <row r="984" spans="7:7">
      <c r="G984" s="3" t="e">
        <f t="shared" si="13"/>
        <v>#DIV/0!</v>
      </c>
    </row>
    <row r="985" spans="7:7">
      <c r="G985" s="3" t="e">
        <f t="shared" si="13"/>
        <v>#DIV/0!</v>
      </c>
    </row>
    <row r="986" spans="7:7">
      <c r="G986" s="3" t="e">
        <f t="shared" si="13"/>
        <v>#DIV/0!</v>
      </c>
    </row>
    <row r="987" spans="7:7">
      <c r="G987" s="3" t="e">
        <f t="shared" si="13"/>
        <v>#DIV/0!</v>
      </c>
    </row>
    <row r="988" spans="7:7">
      <c r="G988" s="3" t="e">
        <f t="shared" si="13"/>
        <v>#DIV/0!</v>
      </c>
    </row>
    <row r="989" spans="7:7">
      <c r="G989" s="3" t="e">
        <f t="shared" si="13"/>
        <v>#DIV/0!</v>
      </c>
    </row>
    <row r="990" spans="7:7">
      <c r="G990" s="3" t="e">
        <f t="shared" si="13"/>
        <v>#DIV/0!</v>
      </c>
    </row>
    <row r="991" spans="7:7">
      <c r="G991" s="3" t="e">
        <f t="shared" si="13"/>
        <v>#DIV/0!</v>
      </c>
    </row>
    <row r="992" spans="7:7">
      <c r="G992" s="3" t="e">
        <f t="shared" si="13"/>
        <v>#DIV/0!</v>
      </c>
    </row>
    <row r="993" spans="7:7">
      <c r="G993" s="3" t="e">
        <f t="shared" si="13"/>
        <v>#DIV/0!</v>
      </c>
    </row>
    <row r="994" spans="7:7">
      <c r="G994" s="3" t="e">
        <f t="shared" si="13"/>
        <v>#DIV/0!</v>
      </c>
    </row>
    <row r="995" spans="7:7">
      <c r="G995" s="3" t="e">
        <f t="shared" si="13"/>
        <v>#DIV/0!</v>
      </c>
    </row>
    <row r="996" spans="7:7">
      <c r="G996" s="3" t="e">
        <f t="shared" si="13"/>
        <v>#DIV/0!</v>
      </c>
    </row>
    <row r="997" spans="7:7">
      <c r="G997" s="3" t="e">
        <f t="shared" si="13"/>
        <v>#DIV/0!</v>
      </c>
    </row>
    <row r="998" spans="7:7">
      <c r="G998" s="3" t="e">
        <f t="shared" si="13"/>
        <v>#DIV/0!</v>
      </c>
    </row>
    <row r="999" spans="7:7">
      <c r="G999" s="3" t="e">
        <f t="shared" si="13"/>
        <v>#DIV/0!</v>
      </c>
    </row>
    <row r="1000" spans="7:7">
      <c r="G1000" s="3" t="e">
        <f t="shared" si="13"/>
        <v>#DIV/0!</v>
      </c>
    </row>
    <row r="1001" spans="7:7">
      <c r="G1001" s="3" t="e">
        <f t="shared" si="13"/>
        <v>#DIV/0!</v>
      </c>
    </row>
    <row r="1002" spans="7:7">
      <c r="G1002" s="3" t="e">
        <f t="shared" si="13"/>
        <v>#DIV/0!</v>
      </c>
    </row>
    <row r="1003" spans="7:7">
      <c r="G1003" s="3" t="e">
        <f t="shared" si="13"/>
        <v>#DIV/0!</v>
      </c>
    </row>
    <row r="1004" spans="7:7">
      <c r="G1004" s="3" t="e">
        <f t="shared" si="13"/>
        <v>#DIV/0!</v>
      </c>
    </row>
    <row r="1005" spans="7:7">
      <c r="G1005" s="3" t="e">
        <f t="shared" si="13"/>
        <v>#DIV/0!</v>
      </c>
    </row>
    <row r="1006" spans="7:7">
      <c r="G1006" s="3" t="e">
        <f t="shared" si="13"/>
        <v>#DIV/0!</v>
      </c>
    </row>
    <row r="1007" spans="7:7">
      <c r="G1007" s="3" t="e">
        <f t="shared" si="13"/>
        <v>#DIV/0!</v>
      </c>
    </row>
    <row r="1008" spans="7:7">
      <c r="G1008" s="3" t="e">
        <f t="shared" ref="G1008:G1071" si="14">F1008/D1008</f>
        <v>#DIV/0!</v>
      </c>
    </row>
    <row r="1009" spans="7:7">
      <c r="G1009" s="3" t="e">
        <f t="shared" si="14"/>
        <v>#DIV/0!</v>
      </c>
    </row>
    <row r="1010" spans="7:7">
      <c r="G1010" s="3" t="e">
        <f t="shared" si="14"/>
        <v>#DIV/0!</v>
      </c>
    </row>
    <row r="1011" spans="7:7">
      <c r="G1011" s="3" t="e">
        <f t="shared" si="14"/>
        <v>#DIV/0!</v>
      </c>
    </row>
    <row r="1012" spans="7:7">
      <c r="G1012" s="3" t="e">
        <f t="shared" si="14"/>
        <v>#DIV/0!</v>
      </c>
    </row>
    <row r="1013" spans="7:7">
      <c r="G1013" s="3" t="e">
        <f t="shared" si="14"/>
        <v>#DIV/0!</v>
      </c>
    </row>
    <row r="1014" spans="7:7">
      <c r="G1014" s="3" t="e">
        <f t="shared" si="14"/>
        <v>#DIV/0!</v>
      </c>
    </row>
    <row r="1015" spans="7:7">
      <c r="G1015" s="3" t="e">
        <f t="shared" si="14"/>
        <v>#DIV/0!</v>
      </c>
    </row>
    <row r="1016" spans="7:7">
      <c r="G1016" s="3" t="e">
        <f t="shared" si="14"/>
        <v>#DIV/0!</v>
      </c>
    </row>
    <row r="1017" spans="7:7">
      <c r="G1017" s="3" t="e">
        <f t="shared" si="14"/>
        <v>#DIV/0!</v>
      </c>
    </row>
    <row r="1018" spans="7:7">
      <c r="G1018" s="3" t="e">
        <f t="shared" si="14"/>
        <v>#DIV/0!</v>
      </c>
    </row>
    <row r="1019" spans="7:7">
      <c r="G1019" s="3" t="e">
        <f t="shared" si="14"/>
        <v>#DIV/0!</v>
      </c>
    </row>
    <row r="1020" spans="7:7">
      <c r="G1020" s="3" t="e">
        <f t="shared" si="14"/>
        <v>#DIV/0!</v>
      </c>
    </row>
    <row r="1021" spans="7:7">
      <c r="G1021" s="3" t="e">
        <f t="shared" si="14"/>
        <v>#DIV/0!</v>
      </c>
    </row>
    <row r="1022" spans="7:7">
      <c r="G1022" s="3" t="e">
        <f t="shared" si="14"/>
        <v>#DIV/0!</v>
      </c>
    </row>
    <row r="1023" spans="7:7">
      <c r="G1023" s="3" t="e">
        <f t="shared" si="14"/>
        <v>#DIV/0!</v>
      </c>
    </row>
    <row r="1024" spans="7:7">
      <c r="G1024" s="3" t="e">
        <f t="shared" si="14"/>
        <v>#DIV/0!</v>
      </c>
    </row>
    <row r="1025" spans="7:7">
      <c r="G1025" s="3" t="e">
        <f t="shared" si="14"/>
        <v>#DIV/0!</v>
      </c>
    </row>
    <row r="1026" spans="7:7">
      <c r="G1026" s="3" t="e">
        <f t="shared" si="14"/>
        <v>#DIV/0!</v>
      </c>
    </row>
    <row r="1027" spans="7:7">
      <c r="G1027" s="3" t="e">
        <f t="shared" si="14"/>
        <v>#DIV/0!</v>
      </c>
    </row>
    <row r="1028" spans="7:7">
      <c r="G1028" s="3" t="e">
        <f t="shared" si="14"/>
        <v>#DIV/0!</v>
      </c>
    </row>
    <row r="1029" spans="7:7">
      <c r="G1029" s="3" t="e">
        <f t="shared" si="14"/>
        <v>#DIV/0!</v>
      </c>
    </row>
    <row r="1030" spans="7:7">
      <c r="G1030" s="3" t="e">
        <f t="shared" si="14"/>
        <v>#DIV/0!</v>
      </c>
    </row>
    <row r="1031" spans="7:7">
      <c r="G1031" s="3" t="e">
        <f t="shared" si="14"/>
        <v>#DIV/0!</v>
      </c>
    </row>
    <row r="1032" spans="7:7">
      <c r="G1032" s="3" t="e">
        <f t="shared" si="14"/>
        <v>#DIV/0!</v>
      </c>
    </row>
    <row r="1033" spans="7:7">
      <c r="G1033" s="3" t="e">
        <f t="shared" si="14"/>
        <v>#DIV/0!</v>
      </c>
    </row>
    <row r="1034" spans="7:7">
      <c r="G1034" s="3" t="e">
        <f t="shared" si="14"/>
        <v>#DIV/0!</v>
      </c>
    </row>
    <row r="1035" spans="7:7">
      <c r="G1035" s="3" t="e">
        <f t="shared" si="14"/>
        <v>#DIV/0!</v>
      </c>
    </row>
    <row r="1036" spans="7:7">
      <c r="G1036" s="3" t="e">
        <f t="shared" si="14"/>
        <v>#DIV/0!</v>
      </c>
    </row>
    <row r="1037" spans="7:7">
      <c r="G1037" s="3" t="e">
        <f t="shared" si="14"/>
        <v>#DIV/0!</v>
      </c>
    </row>
    <row r="1038" spans="7:7">
      <c r="G1038" s="3" t="e">
        <f t="shared" si="14"/>
        <v>#DIV/0!</v>
      </c>
    </row>
    <row r="1039" spans="7:7">
      <c r="G1039" s="3" t="e">
        <f t="shared" si="14"/>
        <v>#DIV/0!</v>
      </c>
    </row>
    <row r="1040" spans="7:7">
      <c r="G1040" s="3" t="e">
        <f t="shared" si="14"/>
        <v>#DIV/0!</v>
      </c>
    </row>
    <row r="1041" spans="7:7">
      <c r="G1041" s="3" t="e">
        <f t="shared" si="14"/>
        <v>#DIV/0!</v>
      </c>
    </row>
    <row r="1042" spans="7:7">
      <c r="G1042" s="3" t="e">
        <f t="shared" si="14"/>
        <v>#DIV/0!</v>
      </c>
    </row>
    <row r="1043" spans="7:7">
      <c r="G1043" s="3" t="e">
        <f t="shared" si="14"/>
        <v>#DIV/0!</v>
      </c>
    </row>
    <row r="1044" spans="7:7">
      <c r="G1044" s="3" t="e">
        <f t="shared" si="14"/>
        <v>#DIV/0!</v>
      </c>
    </row>
    <row r="1045" spans="7:7">
      <c r="G1045" s="3" t="e">
        <f t="shared" si="14"/>
        <v>#DIV/0!</v>
      </c>
    </row>
    <row r="1046" spans="7:7">
      <c r="G1046" s="3" t="e">
        <f t="shared" si="14"/>
        <v>#DIV/0!</v>
      </c>
    </row>
    <row r="1047" spans="7:7">
      <c r="G1047" s="3" t="e">
        <f t="shared" si="14"/>
        <v>#DIV/0!</v>
      </c>
    </row>
    <row r="1048" spans="7:7">
      <c r="G1048" s="3" t="e">
        <f t="shared" si="14"/>
        <v>#DIV/0!</v>
      </c>
    </row>
    <row r="1049" spans="7:7">
      <c r="G1049" s="3" t="e">
        <f t="shared" si="14"/>
        <v>#DIV/0!</v>
      </c>
    </row>
    <row r="1050" spans="7:7">
      <c r="G1050" s="3" t="e">
        <f t="shared" si="14"/>
        <v>#DIV/0!</v>
      </c>
    </row>
    <row r="1051" spans="7:7">
      <c r="G1051" s="3" t="e">
        <f t="shared" si="14"/>
        <v>#DIV/0!</v>
      </c>
    </row>
    <row r="1052" spans="7:7">
      <c r="G1052" s="3" t="e">
        <f t="shared" si="14"/>
        <v>#DIV/0!</v>
      </c>
    </row>
    <row r="1053" spans="7:7">
      <c r="G1053" s="3" t="e">
        <f t="shared" si="14"/>
        <v>#DIV/0!</v>
      </c>
    </row>
    <row r="1054" spans="7:7">
      <c r="G1054" s="3" t="e">
        <f t="shared" si="14"/>
        <v>#DIV/0!</v>
      </c>
    </row>
    <row r="1055" spans="7:7">
      <c r="G1055" s="3" t="e">
        <f t="shared" si="14"/>
        <v>#DIV/0!</v>
      </c>
    </row>
    <row r="1056" spans="7:7">
      <c r="G1056" s="3" t="e">
        <f t="shared" si="14"/>
        <v>#DIV/0!</v>
      </c>
    </row>
    <row r="1057" spans="7:7">
      <c r="G1057" s="3" t="e">
        <f t="shared" si="14"/>
        <v>#DIV/0!</v>
      </c>
    </row>
    <row r="1058" spans="7:7">
      <c r="G1058" s="3" t="e">
        <f t="shared" si="14"/>
        <v>#DIV/0!</v>
      </c>
    </row>
    <row r="1059" spans="7:7">
      <c r="G1059" s="3" t="e">
        <f t="shared" si="14"/>
        <v>#DIV/0!</v>
      </c>
    </row>
    <row r="1060" spans="7:7">
      <c r="G1060" s="3" t="e">
        <f t="shared" si="14"/>
        <v>#DIV/0!</v>
      </c>
    </row>
    <row r="1061" spans="7:7">
      <c r="G1061" s="3" t="e">
        <f t="shared" si="14"/>
        <v>#DIV/0!</v>
      </c>
    </row>
    <row r="1062" spans="7:7">
      <c r="G1062" s="3" t="e">
        <f t="shared" si="14"/>
        <v>#DIV/0!</v>
      </c>
    </row>
    <row r="1063" spans="7:7">
      <c r="G1063" s="3" t="e">
        <f t="shared" si="14"/>
        <v>#DIV/0!</v>
      </c>
    </row>
    <row r="1064" spans="7:7">
      <c r="G1064" s="3" t="e">
        <f t="shared" si="14"/>
        <v>#DIV/0!</v>
      </c>
    </row>
    <row r="1065" spans="7:7">
      <c r="G1065" s="3" t="e">
        <f t="shared" si="14"/>
        <v>#DIV/0!</v>
      </c>
    </row>
    <row r="1066" spans="7:7">
      <c r="G1066" s="3" t="e">
        <f t="shared" si="14"/>
        <v>#DIV/0!</v>
      </c>
    </row>
    <row r="1067" spans="7:7">
      <c r="G1067" s="3" t="e">
        <f t="shared" si="14"/>
        <v>#DIV/0!</v>
      </c>
    </row>
    <row r="1068" spans="7:7">
      <c r="G1068" s="3" t="e">
        <f t="shared" si="14"/>
        <v>#DIV/0!</v>
      </c>
    </row>
    <row r="1069" spans="7:7">
      <c r="G1069" s="3" t="e">
        <f t="shared" si="14"/>
        <v>#DIV/0!</v>
      </c>
    </row>
    <row r="1070" spans="7:7">
      <c r="G1070" s="3" t="e">
        <f t="shared" si="14"/>
        <v>#DIV/0!</v>
      </c>
    </row>
    <row r="1071" spans="7:7">
      <c r="G1071" s="3" t="e">
        <f t="shared" si="14"/>
        <v>#DIV/0!</v>
      </c>
    </row>
    <row r="1072" spans="7:7">
      <c r="G1072" s="3" t="e">
        <f t="shared" ref="G1072:G1082" si="15">F1072/D1072</f>
        <v>#DIV/0!</v>
      </c>
    </row>
    <row r="1073" spans="7:7">
      <c r="G1073" s="3" t="e">
        <f t="shared" si="15"/>
        <v>#DIV/0!</v>
      </c>
    </row>
    <row r="1074" spans="7:7">
      <c r="G1074" s="3" t="e">
        <f t="shared" si="15"/>
        <v>#DIV/0!</v>
      </c>
    </row>
    <row r="1075" spans="7:7">
      <c r="G1075" s="3" t="e">
        <f t="shared" si="15"/>
        <v>#DIV/0!</v>
      </c>
    </row>
    <row r="1076" spans="7:7">
      <c r="G1076" s="3" t="e">
        <f t="shared" si="15"/>
        <v>#DIV/0!</v>
      </c>
    </row>
    <row r="1077" spans="7:7">
      <c r="G1077" s="3" t="e">
        <f t="shared" si="15"/>
        <v>#DIV/0!</v>
      </c>
    </row>
    <row r="1078" spans="7:7">
      <c r="G1078" s="3" t="e">
        <f t="shared" si="15"/>
        <v>#DIV/0!</v>
      </c>
    </row>
    <row r="1079" spans="7:7">
      <c r="G1079" s="3" t="e">
        <f t="shared" si="15"/>
        <v>#DIV/0!</v>
      </c>
    </row>
    <row r="1080" spans="7:7">
      <c r="G1080" s="3" t="e">
        <f t="shared" si="15"/>
        <v>#DIV/0!</v>
      </c>
    </row>
    <row r="1081" spans="7:7">
      <c r="G1081" s="3" t="e">
        <f t="shared" si="15"/>
        <v>#DIV/0!</v>
      </c>
    </row>
    <row r="1082" spans="7:7">
      <c r="G1082" s="3" t="e">
        <f t="shared" si="15"/>
        <v>#DIV/0!</v>
      </c>
    </row>
  </sheetData>
  <autoFilter ref="A3:G1082" xr:uid="{E5CB3989-4AB1-406A-BBC8-F53A07B30262}"/>
  <conditionalFormatting sqref="A4:A186">
    <cfRule type="duplicateValues" dxfId="151" priority="9"/>
    <cfRule type="duplicateValues" dxfId="150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7A8-DBE3-4A8A-930D-6B4AEFB2741D}">
  <sheetPr codeName="Sheet3">
    <tabColor rgb="FFFF0000"/>
  </sheetPr>
  <dimension ref="A3:E5"/>
  <sheetViews>
    <sheetView workbookViewId="0">
      <selection activeCell="B5" sqref="B5"/>
    </sheetView>
  </sheetViews>
  <sheetFormatPr defaultRowHeight="15"/>
  <cols>
    <col min="2" max="2" width="64.85546875" bestFit="1" customWidth="1"/>
  </cols>
  <sheetData>
    <row r="3" spans="1:5">
      <c r="A3">
        <v>1</v>
      </c>
      <c r="B3" t="s">
        <v>10</v>
      </c>
      <c r="D3">
        <v>1</v>
      </c>
      <c r="E3" t="s">
        <v>312</v>
      </c>
    </row>
    <row r="4" spans="1:5">
      <c r="A4">
        <v>2</v>
      </c>
      <c r="B4" t="s">
        <v>11</v>
      </c>
      <c r="D4">
        <v>2</v>
      </c>
      <c r="E4" t="s">
        <v>313</v>
      </c>
    </row>
    <row r="5" spans="1:5">
      <c r="A5">
        <v>3</v>
      </c>
      <c r="B5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76D2-EF99-46E2-ABA3-23BA3308418D}">
  <sheetPr codeName="Sheet4"/>
  <dimension ref="A3:GX208"/>
  <sheetViews>
    <sheetView workbookViewId="0">
      <selection activeCell="C4" sqref="C4:AY4"/>
    </sheetView>
  </sheetViews>
  <sheetFormatPr defaultRowHeight="15"/>
  <cols>
    <col min="1" max="1" width="21" style="4" bestFit="1" customWidth="1"/>
    <col min="2" max="2" width="20.28515625" style="4" bestFit="1" customWidth="1"/>
    <col min="3" max="3" width="5.85546875" bestFit="1" customWidth="1"/>
    <col min="4" max="11" width="2" bestFit="1" customWidth="1"/>
    <col min="12" max="101" width="3" bestFit="1" customWidth="1"/>
    <col min="102" max="206" width="4" bestFit="1" customWidth="1"/>
  </cols>
  <sheetData>
    <row r="3" spans="1:206">
      <c r="C3" s="16" t="s">
        <v>12</v>
      </c>
    </row>
    <row r="4" spans="1:206">
      <c r="A4" s="25" t="s">
        <v>1</v>
      </c>
      <c r="B4" s="16" t="s">
        <v>30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4">
        <v>25</v>
      </c>
      <c r="AB4" s="4">
        <v>26</v>
      </c>
      <c r="AC4" s="4">
        <v>27</v>
      </c>
      <c r="AD4" s="4">
        <v>28</v>
      </c>
      <c r="AE4" s="4">
        <v>29</v>
      </c>
      <c r="AF4" s="4">
        <v>30</v>
      </c>
      <c r="AG4" s="4">
        <v>31</v>
      </c>
      <c r="AH4" s="4">
        <v>32</v>
      </c>
      <c r="AI4" s="4">
        <v>33</v>
      </c>
      <c r="AJ4" s="4">
        <v>34</v>
      </c>
      <c r="AK4" s="4">
        <v>35</v>
      </c>
      <c r="AL4" s="4">
        <v>36</v>
      </c>
      <c r="AM4" s="4">
        <v>37</v>
      </c>
      <c r="AN4" s="4">
        <v>38</v>
      </c>
      <c r="AO4" s="4">
        <v>39</v>
      </c>
      <c r="AP4" s="4">
        <v>40</v>
      </c>
      <c r="AQ4" s="4">
        <v>41</v>
      </c>
      <c r="AR4" s="4">
        <v>42</v>
      </c>
      <c r="AS4" s="4">
        <v>43</v>
      </c>
      <c r="AT4" s="4">
        <v>44</v>
      </c>
      <c r="AU4" s="4">
        <v>45</v>
      </c>
      <c r="AV4" s="4">
        <v>46</v>
      </c>
      <c r="AW4" s="4">
        <v>47</v>
      </c>
      <c r="AX4" s="4">
        <v>48</v>
      </c>
      <c r="AY4" s="4">
        <v>49</v>
      </c>
      <c r="AZ4" s="4">
        <v>50</v>
      </c>
      <c r="BA4" s="4">
        <v>51</v>
      </c>
      <c r="BB4" s="4">
        <v>52</v>
      </c>
      <c r="BC4" s="4">
        <v>53</v>
      </c>
      <c r="BD4" s="4">
        <v>54</v>
      </c>
      <c r="BE4" s="4">
        <v>55</v>
      </c>
      <c r="BF4" s="4">
        <v>56</v>
      </c>
      <c r="BG4" s="4">
        <v>57</v>
      </c>
      <c r="BH4" s="4">
        <v>58</v>
      </c>
      <c r="BI4" s="4">
        <v>59</v>
      </c>
      <c r="BJ4" s="4">
        <v>60</v>
      </c>
      <c r="BK4" s="4">
        <v>61</v>
      </c>
      <c r="BL4" s="4">
        <v>62</v>
      </c>
      <c r="BM4" s="4">
        <v>63</v>
      </c>
      <c r="BN4" s="4">
        <v>64</v>
      </c>
      <c r="BO4" s="4">
        <v>65</v>
      </c>
      <c r="BP4" s="4">
        <v>66</v>
      </c>
      <c r="BQ4" s="4">
        <v>67</v>
      </c>
      <c r="BR4" s="4">
        <v>68</v>
      </c>
      <c r="BS4" s="4">
        <v>69</v>
      </c>
      <c r="BT4" s="4">
        <v>70</v>
      </c>
      <c r="BU4" s="4">
        <v>71</v>
      </c>
      <c r="BV4" s="4">
        <v>72</v>
      </c>
      <c r="BW4" s="4">
        <v>73</v>
      </c>
      <c r="BX4" s="4">
        <v>74</v>
      </c>
      <c r="BY4" s="4">
        <v>75</v>
      </c>
      <c r="BZ4" s="4">
        <v>76</v>
      </c>
      <c r="CA4" s="4">
        <v>77</v>
      </c>
      <c r="CB4" s="4">
        <v>78</v>
      </c>
      <c r="CC4" s="4">
        <v>79</v>
      </c>
      <c r="CD4" s="4">
        <v>80</v>
      </c>
      <c r="CE4" s="4">
        <v>81</v>
      </c>
      <c r="CF4" s="4">
        <v>82</v>
      </c>
      <c r="CG4" s="4">
        <v>83</v>
      </c>
      <c r="CH4" s="4">
        <v>84</v>
      </c>
      <c r="CI4" s="4">
        <v>85</v>
      </c>
      <c r="CJ4" s="4">
        <v>86</v>
      </c>
      <c r="CK4" s="4">
        <v>87</v>
      </c>
      <c r="CL4" s="4">
        <v>88</v>
      </c>
      <c r="CM4" s="4">
        <v>89</v>
      </c>
      <c r="CN4" s="4">
        <v>90</v>
      </c>
      <c r="CO4" s="4">
        <v>91</v>
      </c>
      <c r="CP4" s="4">
        <v>92</v>
      </c>
      <c r="CQ4" s="4">
        <v>93</v>
      </c>
      <c r="CR4" s="4">
        <v>94</v>
      </c>
      <c r="CS4" s="4">
        <v>95</v>
      </c>
      <c r="CT4" s="4">
        <v>96</v>
      </c>
      <c r="CU4" s="4">
        <v>97</v>
      </c>
      <c r="CV4" s="4">
        <v>98</v>
      </c>
      <c r="CW4" s="4">
        <v>99</v>
      </c>
      <c r="CX4" s="4">
        <v>100</v>
      </c>
      <c r="CY4" s="4">
        <v>101</v>
      </c>
      <c r="CZ4" s="4">
        <v>102</v>
      </c>
      <c r="DA4" s="4">
        <v>103</v>
      </c>
      <c r="DB4" s="4">
        <v>104</v>
      </c>
      <c r="DC4" s="4">
        <v>105</v>
      </c>
      <c r="DD4" s="4">
        <v>106</v>
      </c>
      <c r="DE4" s="4">
        <v>107</v>
      </c>
      <c r="DF4" s="4">
        <v>108</v>
      </c>
      <c r="DG4" s="4">
        <v>109</v>
      </c>
      <c r="DH4" s="4">
        <v>110</v>
      </c>
      <c r="DI4" s="4">
        <v>111</v>
      </c>
      <c r="DJ4" s="4">
        <v>112</v>
      </c>
      <c r="DK4" s="4">
        <v>113</v>
      </c>
      <c r="DL4" s="4">
        <v>114</v>
      </c>
      <c r="DM4" s="4">
        <v>115</v>
      </c>
      <c r="DN4" s="4">
        <v>116</v>
      </c>
      <c r="DO4" s="4">
        <v>117</v>
      </c>
      <c r="DP4" s="4">
        <v>118</v>
      </c>
      <c r="DQ4" s="4">
        <v>119</v>
      </c>
      <c r="DR4" s="4">
        <v>120</v>
      </c>
      <c r="DS4" s="4">
        <v>121</v>
      </c>
      <c r="DT4" s="4">
        <v>122</v>
      </c>
      <c r="DU4" s="4">
        <v>123</v>
      </c>
      <c r="DV4" s="4">
        <v>124</v>
      </c>
      <c r="DW4" s="4">
        <v>125</v>
      </c>
      <c r="DX4" s="4">
        <v>126</v>
      </c>
      <c r="DY4" s="4">
        <v>127</v>
      </c>
      <c r="DZ4" s="4">
        <v>128</v>
      </c>
      <c r="EA4" s="4">
        <v>129</v>
      </c>
      <c r="EB4" s="4">
        <v>130</v>
      </c>
      <c r="EC4" s="4">
        <v>131</v>
      </c>
      <c r="ED4" s="4">
        <v>132</v>
      </c>
      <c r="EE4" s="4">
        <v>133</v>
      </c>
      <c r="EF4" s="4">
        <v>134</v>
      </c>
      <c r="EG4" s="4">
        <v>135</v>
      </c>
      <c r="EH4" s="4">
        <v>136</v>
      </c>
      <c r="EI4" s="4">
        <v>137</v>
      </c>
      <c r="EJ4" s="4">
        <v>138</v>
      </c>
      <c r="EK4" s="4">
        <v>139</v>
      </c>
      <c r="EL4" s="4">
        <v>140</v>
      </c>
      <c r="EM4" s="4">
        <v>141</v>
      </c>
      <c r="EN4" s="4">
        <v>142</v>
      </c>
      <c r="EO4" s="4">
        <v>143</v>
      </c>
      <c r="EP4" s="4">
        <v>144</v>
      </c>
      <c r="EQ4" s="4">
        <v>145</v>
      </c>
      <c r="ER4" s="4">
        <v>146</v>
      </c>
      <c r="ES4" s="4">
        <v>147</v>
      </c>
      <c r="ET4" s="4">
        <v>148</v>
      </c>
      <c r="EU4" s="4">
        <v>149</v>
      </c>
      <c r="EV4" s="4">
        <v>150</v>
      </c>
      <c r="EW4" s="4">
        <v>151</v>
      </c>
      <c r="EX4" s="4">
        <v>152</v>
      </c>
      <c r="EY4" s="4">
        <v>153</v>
      </c>
      <c r="EZ4" s="4">
        <v>154</v>
      </c>
      <c r="FA4" s="4">
        <v>155</v>
      </c>
      <c r="FB4" s="4">
        <v>156</v>
      </c>
      <c r="FC4" s="4">
        <v>157</v>
      </c>
      <c r="FD4" s="4">
        <v>158</v>
      </c>
      <c r="FE4" s="4">
        <v>159</v>
      </c>
      <c r="FF4" s="4">
        <v>160</v>
      </c>
      <c r="FG4" s="4">
        <v>161</v>
      </c>
      <c r="FH4" s="4">
        <v>162</v>
      </c>
      <c r="FI4" s="4">
        <v>163</v>
      </c>
      <c r="FJ4" s="4">
        <v>164</v>
      </c>
      <c r="FK4" s="4">
        <v>165</v>
      </c>
      <c r="FL4" s="4">
        <v>166</v>
      </c>
      <c r="FM4" s="4">
        <v>167</v>
      </c>
      <c r="FN4" s="4">
        <v>168</v>
      </c>
      <c r="FO4" s="4">
        <v>169</v>
      </c>
      <c r="FP4" s="4">
        <v>170</v>
      </c>
      <c r="FQ4" s="4">
        <v>171</v>
      </c>
      <c r="FR4" s="4">
        <v>172</v>
      </c>
      <c r="FS4" s="4">
        <v>173</v>
      </c>
      <c r="FT4" s="4">
        <v>174</v>
      </c>
      <c r="FU4" s="4">
        <v>175</v>
      </c>
      <c r="FV4" s="4">
        <v>176</v>
      </c>
      <c r="FW4" s="4">
        <v>177</v>
      </c>
      <c r="FX4" s="4">
        <v>178</v>
      </c>
      <c r="FY4" s="4">
        <v>179</v>
      </c>
      <c r="FZ4" s="4">
        <v>180</v>
      </c>
      <c r="GA4" s="4">
        <v>181</v>
      </c>
      <c r="GB4" s="4">
        <v>182</v>
      </c>
      <c r="GC4" s="4">
        <v>183</v>
      </c>
      <c r="GD4" s="4">
        <v>184</v>
      </c>
      <c r="GE4" s="4">
        <v>185</v>
      </c>
      <c r="GF4" s="4">
        <v>186</v>
      </c>
      <c r="GG4" s="4">
        <v>187</v>
      </c>
      <c r="GH4" s="4">
        <v>188</v>
      </c>
      <c r="GI4" s="4">
        <v>189</v>
      </c>
      <c r="GJ4" s="4">
        <v>190</v>
      </c>
      <c r="GK4" s="4">
        <v>191</v>
      </c>
      <c r="GL4" s="4">
        <v>192</v>
      </c>
      <c r="GM4" s="4">
        <v>193</v>
      </c>
      <c r="GN4" s="4">
        <v>194</v>
      </c>
      <c r="GO4" s="4">
        <v>195</v>
      </c>
      <c r="GP4" s="4">
        <v>196</v>
      </c>
      <c r="GQ4" s="4">
        <v>197</v>
      </c>
      <c r="GR4" s="4">
        <v>198</v>
      </c>
      <c r="GS4" s="4">
        <v>199</v>
      </c>
      <c r="GT4" s="4">
        <v>200</v>
      </c>
      <c r="GU4" s="4">
        <v>201</v>
      </c>
      <c r="GV4" s="4">
        <v>202</v>
      </c>
      <c r="GW4" s="4">
        <v>203</v>
      </c>
      <c r="GX4" s="4">
        <v>204</v>
      </c>
    </row>
    <row r="5" spans="1:206">
      <c r="A5" s="4">
        <v>460164</v>
      </c>
      <c r="B5" t="s">
        <v>151</v>
      </c>
    </row>
    <row r="6" spans="1:206">
      <c r="A6" s="4">
        <v>612043</v>
      </c>
      <c r="B6" t="s">
        <v>152</v>
      </c>
    </row>
    <row r="7" spans="1:206">
      <c r="A7" s="4">
        <v>612046</v>
      </c>
      <c r="B7" t="s">
        <v>153</v>
      </c>
    </row>
    <row r="8" spans="1:206">
      <c r="A8" s="4">
        <v>612098</v>
      </c>
      <c r="B8" t="s">
        <v>154</v>
      </c>
    </row>
    <row r="9" spans="1:206">
      <c r="A9" s="4">
        <v>612100</v>
      </c>
      <c r="B9" t="s">
        <v>155</v>
      </c>
    </row>
    <row r="10" spans="1:206">
      <c r="A10" s="4">
        <v>612128</v>
      </c>
      <c r="B10" t="s">
        <v>156</v>
      </c>
    </row>
    <row r="11" spans="1:206">
      <c r="A11" s="4">
        <v>612130</v>
      </c>
      <c r="B11" t="s">
        <v>157</v>
      </c>
    </row>
    <row r="12" spans="1:206">
      <c r="A12" s="4">
        <v>612141</v>
      </c>
      <c r="B12" t="s">
        <v>158</v>
      </c>
    </row>
    <row r="13" spans="1:206">
      <c r="A13" s="4">
        <v>100191</v>
      </c>
      <c r="B13" t="s">
        <v>159</v>
      </c>
    </row>
    <row r="14" spans="1:206">
      <c r="A14" s="4">
        <v>100156</v>
      </c>
      <c r="B14" t="s">
        <v>160</v>
      </c>
    </row>
    <row r="15" spans="1:206">
      <c r="A15" s="4">
        <v>100180</v>
      </c>
      <c r="B15" t="s">
        <v>161</v>
      </c>
    </row>
    <row r="16" spans="1:206">
      <c r="A16" s="4">
        <v>100151</v>
      </c>
      <c r="B16" t="s">
        <v>162</v>
      </c>
    </row>
    <row r="17" spans="1:2">
      <c r="A17" s="4">
        <v>100174</v>
      </c>
      <c r="B17" t="s">
        <v>163</v>
      </c>
    </row>
    <row r="18" spans="1:2">
      <c r="A18" s="4">
        <v>100192</v>
      </c>
      <c r="B18" t="s">
        <v>164</v>
      </c>
    </row>
    <row r="19" spans="1:2">
      <c r="A19" s="4">
        <v>100201</v>
      </c>
      <c r="B19" t="s">
        <v>164</v>
      </c>
    </row>
    <row r="20" spans="1:2">
      <c r="A20" s="4">
        <v>100194</v>
      </c>
      <c r="B20" t="s">
        <v>165</v>
      </c>
    </row>
    <row r="21" spans="1:2">
      <c r="A21" s="4">
        <v>100203</v>
      </c>
      <c r="B21" t="s">
        <v>165</v>
      </c>
    </row>
    <row r="22" spans="1:2">
      <c r="A22" s="4">
        <v>100193</v>
      </c>
      <c r="B22" t="s">
        <v>166</v>
      </c>
    </row>
    <row r="23" spans="1:2">
      <c r="A23" s="4">
        <v>100202</v>
      </c>
      <c r="B23" t="s">
        <v>166</v>
      </c>
    </row>
    <row r="24" spans="1:2">
      <c r="A24" s="4">
        <v>100204</v>
      </c>
      <c r="B24" t="s">
        <v>167</v>
      </c>
    </row>
    <row r="25" spans="1:2">
      <c r="A25" s="4">
        <v>100189</v>
      </c>
      <c r="B25" t="s">
        <v>168</v>
      </c>
    </row>
    <row r="26" spans="1:2">
      <c r="A26" s="4">
        <v>100222</v>
      </c>
      <c r="B26" t="s">
        <v>168</v>
      </c>
    </row>
    <row r="27" spans="1:2">
      <c r="A27" s="4">
        <v>100986</v>
      </c>
      <c r="B27" t="s">
        <v>169</v>
      </c>
    </row>
    <row r="28" spans="1:2">
      <c r="A28" s="4">
        <v>100179</v>
      </c>
      <c r="B28" t="s">
        <v>170</v>
      </c>
    </row>
    <row r="29" spans="1:2">
      <c r="A29" s="4">
        <v>100158</v>
      </c>
      <c r="B29" t="s">
        <v>171</v>
      </c>
    </row>
    <row r="30" spans="1:2">
      <c r="A30" s="4">
        <v>100172</v>
      </c>
      <c r="B30" t="s">
        <v>171</v>
      </c>
    </row>
    <row r="31" spans="1:2">
      <c r="A31" s="4">
        <v>100220</v>
      </c>
      <c r="B31" t="s">
        <v>172</v>
      </c>
    </row>
    <row r="32" spans="1:2">
      <c r="A32" s="4">
        <v>100187</v>
      </c>
      <c r="B32" t="s">
        <v>173</v>
      </c>
    </row>
    <row r="33" spans="1:2">
      <c r="A33" s="4">
        <v>100165</v>
      </c>
      <c r="B33" t="s">
        <v>174</v>
      </c>
    </row>
    <row r="34" spans="1:2">
      <c r="A34" s="4">
        <v>100976</v>
      </c>
      <c r="B34" t="s">
        <v>175</v>
      </c>
    </row>
    <row r="35" spans="1:2">
      <c r="A35" s="4">
        <v>100981</v>
      </c>
      <c r="B35" t="s">
        <v>176</v>
      </c>
    </row>
    <row r="36" spans="1:2">
      <c r="A36" s="4">
        <v>100225</v>
      </c>
      <c r="B36" t="s">
        <v>177</v>
      </c>
    </row>
    <row r="37" spans="1:2">
      <c r="A37" s="4">
        <v>100176</v>
      </c>
      <c r="B37" t="s">
        <v>178</v>
      </c>
    </row>
    <row r="38" spans="1:2">
      <c r="A38" s="4">
        <v>100188</v>
      </c>
      <c r="B38" t="s">
        <v>178</v>
      </c>
    </row>
    <row r="39" spans="1:2">
      <c r="A39" s="4">
        <v>100221</v>
      </c>
      <c r="B39" t="s">
        <v>179</v>
      </c>
    </row>
    <row r="40" spans="1:2">
      <c r="A40" s="4">
        <v>100186</v>
      </c>
      <c r="B40" t="s">
        <v>180</v>
      </c>
    </row>
    <row r="41" spans="1:2">
      <c r="A41" s="4">
        <v>100181</v>
      </c>
      <c r="B41" t="s">
        <v>181</v>
      </c>
    </row>
    <row r="42" spans="1:2">
      <c r="A42" s="4">
        <v>100161</v>
      </c>
      <c r="B42" t="s">
        <v>182</v>
      </c>
    </row>
    <row r="43" spans="1:2">
      <c r="A43" s="4">
        <v>100162</v>
      </c>
      <c r="B43" t="s">
        <v>183</v>
      </c>
    </row>
    <row r="44" spans="1:2">
      <c r="A44" s="4">
        <v>100166</v>
      </c>
      <c r="B44" t="s">
        <v>184</v>
      </c>
    </row>
    <row r="45" spans="1:2">
      <c r="A45" s="4">
        <v>100163</v>
      </c>
      <c r="B45" t="s">
        <v>185</v>
      </c>
    </row>
    <row r="46" spans="1:2">
      <c r="A46" s="4">
        <v>110016</v>
      </c>
      <c r="B46" t="s">
        <v>186</v>
      </c>
    </row>
    <row r="47" spans="1:2">
      <c r="A47" s="4">
        <v>110017</v>
      </c>
      <c r="B47" t="s">
        <v>186</v>
      </c>
    </row>
    <row r="48" spans="1:2">
      <c r="A48" s="4">
        <v>110014</v>
      </c>
      <c r="B48" t="s">
        <v>187</v>
      </c>
    </row>
    <row r="49" spans="1:2">
      <c r="A49" s="4">
        <v>110013</v>
      </c>
      <c r="B49" t="s">
        <v>188</v>
      </c>
    </row>
    <row r="50" spans="1:2">
      <c r="A50" s="4">
        <v>100195</v>
      </c>
      <c r="B50" t="s">
        <v>189</v>
      </c>
    </row>
    <row r="51" spans="1:2">
      <c r="A51" s="4">
        <v>100168</v>
      </c>
      <c r="B51" t="s">
        <v>190</v>
      </c>
    </row>
    <row r="52" spans="1:2">
      <c r="A52" s="4">
        <v>100205</v>
      </c>
      <c r="B52" t="s">
        <v>190</v>
      </c>
    </row>
    <row r="53" spans="1:2">
      <c r="A53" s="4">
        <v>100987</v>
      </c>
      <c r="B53" t="s">
        <v>191</v>
      </c>
    </row>
    <row r="54" spans="1:2">
      <c r="A54" s="4">
        <v>100975</v>
      </c>
      <c r="B54" t="s">
        <v>192</v>
      </c>
    </row>
    <row r="55" spans="1:2">
      <c r="A55" s="4">
        <v>120011</v>
      </c>
      <c r="B55" t="s">
        <v>193</v>
      </c>
    </row>
    <row r="56" spans="1:2">
      <c r="A56" s="4">
        <v>120029</v>
      </c>
      <c r="B56" t="s">
        <v>193</v>
      </c>
    </row>
    <row r="57" spans="1:2">
      <c r="A57" s="4">
        <v>120031</v>
      </c>
      <c r="B57" t="s">
        <v>194</v>
      </c>
    </row>
    <row r="58" spans="1:2">
      <c r="A58" s="4">
        <v>120033</v>
      </c>
      <c r="B58" t="s">
        <v>194</v>
      </c>
    </row>
    <row r="59" spans="1:2">
      <c r="A59" s="4">
        <v>120030</v>
      </c>
      <c r="B59" t="s">
        <v>195</v>
      </c>
    </row>
    <row r="60" spans="1:2">
      <c r="A60" s="4">
        <v>120035</v>
      </c>
      <c r="B60" t="s">
        <v>195</v>
      </c>
    </row>
    <row r="61" spans="1:2">
      <c r="A61" s="4">
        <v>120032</v>
      </c>
      <c r="B61" t="s">
        <v>196</v>
      </c>
    </row>
    <row r="62" spans="1:2">
      <c r="A62" s="4">
        <v>120034</v>
      </c>
      <c r="B62" t="s">
        <v>197</v>
      </c>
    </row>
    <row r="63" spans="1:2">
      <c r="A63" s="4">
        <v>120028</v>
      </c>
      <c r="B63" t="s">
        <v>198</v>
      </c>
    </row>
    <row r="64" spans="1:2">
      <c r="A64" s="4">
        <v>612087</v>
      </c>
      <c r="B64" t="s">
        <v>199</v>
      </c>
    </row>
    <row r="65" spans="1:2">
      <c r="A65" s="4">
        <v>612137</v>
      </c>
      <c r="B65" t="s">
        <v>199</v>
      </c>
    </row>
    <row r="66" spans="1:2">
      <c r="A66" s="4">
        <v>460166</v>
      </c>
      <c r="B66" t="s">
        <v>200</v>
      </c>
    </row>
    <row r="67" spans="1:2">
      <c r="A67" s="4">
        <v>460167</v>
      </c>
      <c r="B67" t="s">
        <v>201</v>
      </c>
    </row>
    <row r="68" spans="1:2">
      <c r="A68" s="4">
        <v>460168</v>
      </c>
      <c r="B68" t="s">
        <v>202</v>
      </c>
    </row>
    <row r="69" spans="1:2">
      <c r="A69" s="4">
        <v>460169</v>
      </c>
      <c r="B69" t="s">
        <v>203</v>
      </c>
    </row>
    <row r="70" spans="1:2">
      <c r="A70" s="4">
        <v>460170</v>
      </c>
      <c r="B70" t="s">
        <v>204</v>
      </c>
    </row>
    <row r="71" spans="1:2">
      <c r="A71" s="4">
        <v>460171</v>
      </c>
      <c r="B71" t="s">
        <v>205</v>
      </c>
    </row>
    <row r="72" spans="1:2">
      <c r="A72" s="4">
        <v>460172</v>
      </c>
      <c r="B72" t="s">
        <v>206</v>
      </c>
    </row>
    <row r="73" spans="1:2">
      <c r="A73" s="4">
        <v>460179</v>
      </c>
      <c r="B73" t="s">
        <v>207</v>
      </c>
    </row>
    <row r="74" spans="1:2">
      <c r="A74" s="4">
        <v>460056</v>
      </c>
      <c r="B74" t="s">
        <v>208</v>
      </c>
    </row>
    <row r="75" spans="1:2">
      <c r="A75" s="4">
        <v>460178</v>
      </c>
      <c r="B75" t="s">
        <v>208</v>
      </c>
    </row>
    <row r="76" spans="1:2">
      <c r="A76" s="4">
        <v>460918</v>
      </c>
      <c r="B76" t="s">
        <v>209</v>
      </c>
    </row>
    <row r="77" spans="1:2">
      <c r="A77" s="4">
        <v>460917</v>
      </c>
      <c r="B77" t="s">
        <v>210</v>
      </c>
    </row>
    <row r="78" spans="1:2">
      <c r="A78" s="4">
        <v>460921</v>
      </c>
      <c r="B78" t="s">
        <v>210</v>
      </c>
    </row>
    <row r="79" spans="1:2">
      <c r="A79" s="4">
        <v>460194</v>
      </c>
      <c r="B79" t="s">
        <v>211</v>
      </c>
    </row>
    <row r="80" spans="1:2">
      <c r="A80" s="4">
        <v>460195</v>
      </c>
      <c r="B80" t="s">
        <v>212</v>
      </c>
    </row>
    <row r="81" spans="1:2">
      <c r="A81" s="4">
        <v>460183</v>
      </c>
      <c r="B81" t="s">
        <v>213</v>
      </c>
    </row>
    <row r="82" spans="1:2">
      <c r="A82" s="4">
        <v>460165</v>
      </c>
      <c r="B82" t="s">
        <v>214</v>
      </c>
    </row>
    <row r="83" spans="1:2">
      <c r="A83" s="4">
        <v>460191</v>
      </c>
      <c r="B83" t="s">
        <v>214</v>
      </c>
    </row>
    <row r="84" spans="1:2">
      <c r="A84" s="4">
        <v>460190</v>
      </c>
      <c r="B84" t="s">
        <v>151</v>
      </c>
    </row>
    <row r="85" spans="1:2">
      <c r="A85" s="4">
        <v>460189</v>
      </c>
      <c r="B85" t="s">
        <v>215</v>
      </c>
    </row>
    <row r="86" spans="1:2">
      <c r="A86" s="4">
        <v>460188</v>
      </c>
      <c r="B86" t="s">
        <v>216</v>
      </c>
    </row>
    <row r="87" spans="1:2">
      <c r="A87" s="4">
        <v>460061</v>
      </c>
      <c r="B87" t="s">
        <v>216</v>
      </c>
    </row>
    <row r="88" spans="1:2">
      <c r="A88" s="4">
        <v>460193</v>
      </c>
      <c r="B88" t="s">
        <v>217</v>
      </c>
    </row>
    <row r="89" spans="1:2">
      <c r="A89" s="4">
        <v>460192</v>
      </c>
      <c r="B89" t="s">
        <v>218</v>
      </c>
    </row>
    <row r="90" spans="1:2">
      <c r="A90" s="4">
        <v>460187</v>
      </c>
      <c r="B90" t="s">
        <v>219</v>
      </c>
    </row>
    <row r="91" spans="1:2">
      <c r="A91" s="4">
        <v>460060</v>
      </c>
      <c r="B91" t="s">
        <v>219</v>
      </c>
    </row>
    <row r="92" spans="1:2">
      <c r="A92" s="4">
        <v>460054</v>
      </c>
      <c r="B92" t="s">
        <v>220</v>
      </c>
    </row>
    <row r="93" spans="1:2">
      <c r="A93" s="4">
        <v>460185</v>
      </c>
      <c r="B93" t="s">
        <v>220</v>
      </c>
    </row>
    <row r="94" spans="1:2">
      <c r="A94" s="4">
        <v>460055</v>
      </c>
      <c r="B94" t="s">
        <v>221</v>
      </c>
    </row>
    <row r="95" spans="1:2">
      <c r="A95" s="4">
        <v>460186</v>
      </c>
      <c r="B95" t="s">
        <v>221</v>
      </c>
    </row>
    <row r="96" spans="1:2">
      <c r="A96" s="4">
        <v>460182</v>
      </c>
      <c r="B96" t="s">
        <v>222</v>
      </c>
    </row>
    <row r="97" spans="1:2">
      <c r="A97" s="4">
        <v>410066</v>
      </c>
      <c r="B97" t="s">
        <v>223</v>
      </c>
    </row>
    <row r="98" spans="1:2">
      <c r="A98" s="4">
        <v>410072</v>
      </c>
      <c r="B98" t="s">
        <v>223</v>
      </c>
    </row>
    <row r="99" spans="1:2">
      <c r="A99" s="4">
        <v>410068</v>
      </c>
      <c r="B99" t="s">
        <v>224</v>
      </c>
    </row>
    <row r="100" spans="1:2">
      <c r="A100" s="4">
        <v>410073</v>
      </c>
      <c r="B100" t="s">
        <v>224</v>
      </c>
    </row>
    <row r="101" spans="1:2">
      <c r="A101" s="4">
        <v>400135</v>
      </c>
      <c r="B101" t="s">
        <v>225</v>
      </c>
    </row>
    <row r="102" spans="1:2">
      <c r="A102" s="4">
        <v>400129</v>
      </c>
      <c r="B102" t="s">
        <v>225</v>
      </c>
    </row>
    <row r="103" spans="1:2">
      <c r="A103" s="4">
        <v>400138</v>
      </c>
      <c r="B103" t="s">
        <v>226</v>
      </c>
    </row>
    <row r="104" spans="1:2">
      <c r="A104" s="4">
        <v>400132</v>
      </c>
      <c r="B104" t="s">
        <v>226</v>
      </c>
    </row>
    <row r="105" spans="1:2">
      <c r="A105" s="4">
        <v>400139</v>
      </c>
      <c r="B105" t="s">
        <v>227</v>
      </c>
    </row>
    <row r="106" spans="1:2">
      <c r="A106" s="4">
        <v>400133</v>
      </c>
      <c r="B106" t="s">
        <v>227</v>
      </c>
    </row>
    <row r="107" spans="1:2">
      <c r="A107" s="4">
        <v>400137</v>
      </c>
      <c r="B107" t="s">
        <v>228</v>
      </c>
    </row>
    <row r="108" spans="1:2">
      <c r="A108" s="4">
        <v>400131</v>
      </c>
      <c r="B108" t="s">
        <v>228</v>
      </c>
    </row>
    <row r="109" spans="1:2">
      <c r="A109" s="4">
        <v>400130</v>
      </c>
      <c r="B109" t="s">
        <v>229</v>
      </c>
    </row>
    <row r="110" spans="1:2">
      <c r="A110" s="4">
        <v>400136</v>
      </c>
      <c r="B110" t="s">
        <v>229</v>
      </c>
    </row>
    <row r="111" spans="1:2">
      <c r="A111" s="4">
        <v>400140</v>
      </c>
      <c r="B111" t="s">
        <v>230</v>
      </c>
    </row>
    <row r="112" spans="1:2">
      <c r="A112" s="4">
        <v>400134</v>
      </c>
      <c r="B112" t="s">
        <v>230</v>
      </c>
    </row>
    <row r="113" spans="1:2">
      <c r="A113" s="4">
        <v>612045</v>
      </c>
      <c r="B113" t="s">
        <v>231</v>
      </c>
    </row>
    <row r="114" spans="1:2">
      <c r="A114" s="4">
        <v>612953</v>
      </c>
      <c r="B114" t="s">
        <v>232</v>
      </c>
    </row>
    <row r="115" spans="1:2">
      <c r="A115" s="4">
        <v>612042</v>
      </c>
      <c r="B115" t="s">
        <v>233</v>
      </c>
    </row>
    <row r="116" spans="1:2">
      <c r="A116" s="4">
        <v>612047</v>
      </c>
      <c r="B116" t="s">
        <v>234</v>
      </c>
    </row>
    <row r="117" spans="1:2">
      <c r="A117" s="4">
        <v>612044</v>
      </c>
      <c r="B117" t="s">
        <v>235</v>
      </c>
    </row>
    <row r="118" spans="1:2">
      <c r="A118" s="4">
        <v>612134</v>
      </c>
      <c r="B118" t="s">
        <v>236</v>
      </c>
    </row>
    <row r="119" spans="1:2">
      <c r="A119" s="4">
        <v>612091</v>
      </c>
      <c r="B119" t="s">
        <v>237</v>
      </c>
    </row>
    <row r="120" spans="1:2">
      <c r="A120" s="4">
        <v>612958</v>
      </c>
      <c r="B120" t="s">
        <v>238</v>
      </c>
    </row>
    <row r="121" spans="1:2">
      <c r="A121" s="4">
        <v>190047</v>
      </c>
      <c r="B121" t="s">
        <v>239</v>
      </c>
    </row>
    <row r="122" spans="1:2">
      <c r="A122" s="4">
        <v>190057</v>
      </c>
      <c r="B122" t="s">
        <v>239</v>
      </c>
    </row>
    <row r="123" spans="1:2">
      <c r="A123" s="4">
        <v>190039</v>
      </c>
      <c r="B123" t="s">
        <v>240</v>
      </c>
    </row>
    <row r="124" spans="1:2">
      <c r="A124" s="4">
        <v>190034</v>
      </c>
      <c r="B124" t="s">
        <v>241</v>
      </c>
    </row>
    <row r="125" spans="1:2">
      <c r="A125" s="4">
        <v>190050</v>
      </c>
      <c r="B125" t="s">
        <v>241</v>
      </c>
    </row>
    <row r="126" spans="1:2">
      <c r="A126" s="4">
        <v>190036</v>
      </c>
      <c r="B126" t="s">
        <v>242</v>
      </c>
    </row>
    <row r="127" spans="1:2">
      <c r="A127" s="4">
        <v>190043</v>
      </c>
      <c r="B127" t="s">
        <v>242</v>
      </c>
    </row>
    <row r="128" spans="1:2">
      <c r="A128" s="4">
        <v>190035</v>
      </c>
      <c r="B128" t="s">
        <v>243</v>
      </c>
    </row>
    <row r="129" spans="1:2">
      <c r="A129" s="4">
        <v>190051</v>
      </c>
      <c r="B129" t="s">
        <v>243</v>
      </c>
    </row>
    <row r="130" spans="1:2">
      <c r="A130" s="4">
        <v>190040</v>
      </c>
      <c r="B130" t="s">
        <v>244</v>
      </c>
    </row>
    <row r="131" spans="1:2">
      <c r="A131" s="4">
        <v>190041</v>
      </c>
      <c r="B131" t="s">
        <v>245</v>
      </c>
    </row>
    <row r="132" spans="1:2">
      <c r="A132" s="4">
        <v>190031</v>
      </c>
      <c r="B132" t="s">
        <v>246</v>
      </c>
    </row>
    <row r="133" spans="1:2">
      <c r="A133" s="4">
        <v>150190</v>
      </c>
      <c r="B133" t="s">
        <v>247</v>
      </c>
    </row>
    <row r="134" spans="1:2">
      <c r="A134" s="4">
        <v>150189</v>
      </c>
      <c r="B134" t="s">
        <v>248</v>
      </c>
    </row>
    <row r="135" spans="1:2">
      <c r="A135" s="4">
        <v>150209</v>
      </c>
      <c r="B135" t="s">
        <v>248</v>
      </c>
    </row>
    <row r="136" spans="1:2">
      <c r="A136" s="4">
        <v>612096</v>
      </c>
      <c r="B136" t="s">
        <v>249</v>
      </c>
    </row>
    <row r="137" spans="1:2">
      <c r="A137" s="4">
        <v>150194</v>
      </c>
      <c r="B137" t="s">
        <v>249</v>
      </c>
    </row>
    <row r="138" spans="1:2">
      <c r="A138" s="4">
        <v>150971</v>
      </c>
      <c r="B138" t="s">
        <v>250</v>
      </c>
    </row>
    <row r="139" spans="1:2">
      <c r="A139" s="4">
        <v>150960</v>
      </c>
      <c r="B139" t="s">
        <v>250</v>
      </c>
    </row>
    <row r="140" spans="1:2">
      <c r="A140" s="4">
        <v>150193</v>
      </c>
      <c r="B140" t="s">
        <v>251</v>
      </c>
    </row>
    <row r="141" spans="1:2">
      <c r="A141" s="4">
        <v>150961</v>
      </c>
      <c r="B141" t="s">
        <v>252</v>
      </c>
    </row>
    <row r="142" spans="1:2">
      <c r="A142" s="4">
        <v>150319</v>
      </c>
      <c r="B142" t="s">
        <v>253</v>
      </c>
    </row>
    <row r="143" spans="1:2">
      <c r="A143" s="4">
        <v>612095</v>
      </c>
      <c r="B143" t="s">
        <v>254</v>
      </c>
    </row>
    <row r="144" spans="1:2">
      <c r="A144" s="4">
        <v>150978</v>
      </c>
      <c r="B144" t="s">
        <v>255</v>
      </c>
    </row>
    <row r="145" spans="1:2">
      <c r="A145" s="4">
        <v>612954</v>
      </c>
      <c r="B145" t="s">
        <v>255</v>
      </c>
    </row>
    <row r="146" spans="1:2">
      <c r="A146" s="4">
        <v>150196</v>
      </c>
      <c r="B146" t="s">
        <v>154</v>
      </c>
    </row>
    <row r="147" spans="1:2">
      <c r="A147" s="4">
        <v>612955</v>
      </c>
      <c r="B147" t="s">
        <v>256</v>
      </c>
    </row>
    <row r="148" spans="1:2">
      <c r="A148" s="4">
        <v>612957</v>
      </c>
      <c r="B148" t="s">
        <v>257</v>
      </c>
    </row>
    <row r="149" spans="1:2">
      <c r="A149" s="4">
        <v>150202</v>
      </c>
      <c r="B149" t="s">
        <v>157</v>
      </c>
    </row>
    <row r="150" spans="1:2">
      <c r="A150" s="4">
        <v>612956</v>
      </c>
      <c r="B150" t="s">
        <v>258</v>
      </c>
    </row>
    <row r="151" spans="1:2">
      <c r="A151" s="4">
        <v>150180</v>
      </c>
      <c r="B151" t="s">
        <v>259</v>
      </c>
    </row>
    <row r="152" spans="1:2">
      <c r="A152" s="4">
        <v>150177</v>
      </c>
      <c r="B152" t="s">
        <v>260</v>
      </c>
    </row>
    <row r="153" spans="1:2">
      <c r="A153" s="4">
        <v>150221</v>
      </c>
      <c r="B153" t="s">
        <v>260</v>
      </c>
    </row>
    <row r="154" spans="1:2">
      <c r="A154" s="4">
        <v>150119</v>
      </c>
      <c r="B154" t="s">
        <v>261</v>
      </c>
    </row>
    <row r="155" spans="1:2">
      <c r="A155" s="4">
        <v>150231</v>
      </c>
      <c r="B155" t="s">
        <v>261</v>
      </c>
    </row>
    <row r="156" spans="1:2">
      <c r="A156" s="4">
        <v>150320</v>
      </c>
      <c r="B156" t="s">
        <v>262</v>
      </c>
    </row>
    <row r="157" spans="1:2">
      <c r="A157" s="4">
        <v>150129</v>
      </c>
      <c r="B157" t="s">
        <v>263</v>
      </c>
    </row>
    <row r="158" spans="1:2">
      <c r="A158" s="4">
        <v>150204</v>
      </c>
      <c r="B158" t="s">
        <v>263</v>
      </c>
    </row>
    <row r="159" spans="1:2">
      <c r="A159" s="4">
        <v>150132</v>
      </c>
      <c r="B159" t="s">
        <v>264</v>
      </c>
    </row>
    <row r="160" spans="1:2">
      <c r="A160" s="4">
        <v>150206</v>
      </c>
      <c r="B160" t="s">
        <v>264</v>
      </c>
    </row>
    <row r="161" spans="1:2">
      <c r="A161" s="4">
        <v>150210</v>
      </c>
      <c r="B161" t="s">
        <v>264</v>
      </c>
    </row>
    <row r="162" spans="1:2">
      <c r="A162" s="4">
        <v>150230</v>
      </c>
      <c r="B162" t="s">
        <v>264</v>
      </c>
    </row>
    <row r="163" spans="1:2">
      <c r="A163" s="4">
        <v>150164</v>
      </c>
      <c r="B163" t="s">
        <v>265</v>
      </c>
    </row>
    <row r="164" spans="1:2">
      <c r="A164" s="4">
        <v>150186</v>
      </c>
      <c r="B164" t="s">
        <v>265</v>
      </c>
    </row>
    <row r="165" spans="1:2">
      <c r="A165" s="4">
        <v>150294</v>
      </c>
      <c r="B165" t="s">
        <v>266</v>
      </c>
    </row>
    <row r="166" spans="1:2">
      <c r="A166" s="4">
        <v>150975</v>
      </c>
      <c r="B166" t="s">
        <v>267</v>
      </c>
    </row>
    <row r="167" spans="1:2">
      <c r="A167" s="4">
        <v>150187</v>
      </c>
      <c r="B167" t="s">
        <v>268</v>
      </c>
    </row>
    <row r="168" spans="1:2">
      <c r="A168" s="4">
        <v>150168</v>
      </c>
      <c r="B168" t="s">
        <v>268</v>
      </c>
    </row>
    <row r="169" spans="1:2">
      <c r="A169" s="4">
        <v>150349</v>
      </c>
      <c r="B169" t="s">
        <v>268</v>
      </c>
    </row>
    <row r="170" spans="1:2">
      <c r="A170" s="4">
        <v>150171</v>
      </c>
      <c r="B170" t="s">
        <v>269</v>
      </c>
    </row>
    <row r="171" spans="1:2">
      <c r="A171" s="4">
        <v>150188</v>
      </c>
      <c r="B171" t="s">
        <v>270</v>
      </c>
    </row>
    <row r="172" spans="1:2">
      <c r="A172" s="4">
        <v>150162</v>
      </c>
      <c r="B172" t="s">
        <v>271</v>
      </c>
    </row>
    <row r="173" spans="1:2">
      <c r="A173" s="4">
        <v>150163</v>
      </c>
      <c r="B173" t="s">
        <v>272</v>
      </c>
    </row>
    <row r="174" spans="1:2">
      <c r="A174" s="4">
        <v>150181</v>
      </c>
      <c r="B174" t="s">
        <v>273</v>
      </c>
    </row>
    <row r="175" spans="1:2">
      <c r="A175" s="4">
        <v>150233</v>
      </c>
      <c r="B175" t="s">
        <v>273</v>
      </c>
    </row>
    <row r="176" spans="1:2">
      <c r="A176" s="4">
        <v>150178</v>
      </c>
      <c r="B176" t="s">
        <v>274</v>
      </c>
    </row>
    <row r="177" spans="1:2">
      <c r="A177" s="4">
        <v>150232</v>
      </c>
      <c r="B177" t="s">
        <v>274</v>
      </c>
    </row>
    <row r="178" spans="1:2">
      <c r="A178" s="4">
        <v>150150</v>
      </c>
      <c r="B178" t="s">
        <v>275</v>
      </c>
    </row>
    <row r="179" spans="1:2">
      <c r="A179" s="4">
        <v>150239</v>
      </c>
      <c r="B179" t="s">
        <v>275</v>
      </c>
    </row>
    <row r="180" spans="1:2">
      <c r="A180" s="4">
        <v>150154</v>
      </c>
      <c r="B180" t="s">
        <v>276</v>
      </c>
    </row>
    <row r="181" spans="1:2">
      <c r="A181" s="4">
        <v>150241</v>
      </c>
      <c r="B181" t="s">
        <v>276</v>
      </c>
    </row>
    <row r="182" spans="1:2">
      <c r="A182" s="4">
        <v>150153</v>
      </c>
      <c r="B182" t="s">
        <v>277</v>
      </c>
    </row>
    <row r="183" spans="1:2">
      <c r="A183" s="4">
        <v>150211</v>
      </c>
      <c r="B183" t="s">
        <v>277</v>
      </c>
    </row>
    <row r="184" spans="1:2">
      <c r="A184" s="4">
        <v>150240</v>
      </c>
      <c r="B184" t="s">
        <v>277</v>
      </c>
    </row>
    <row r="185" spans="1:2">
      <c r="A185" s="4">
        <v>150191</v>
      </c>
      <c r="B185" t="s">
        <v>278</v>
      </c>
    </row>
    <row r="186" spans="1:2">
      <c r="A186" s="4">
        <v>150234</v>
      </c>
      <c r="B186" t="s">
        <v>278</v>
      </c>
    </row>
    <row r="187" spans="1:2">
      <c r="A187" s="4">
        <v>150295</v>
      </c>
      <c r="B187" t="s">
        <v>279</v>
      </c>
    </row>
    <row r="188" spans="1:2">
      <c r="A188" s="4">
        <v>150976</v>
      </c>
      <c r="B188" t="s">
        <v>280</v>
      </c>
    </row>
    <row r="189" spans="1:2">
      <c r="A189" s="4">
        <v>150192</v>
      </c>
      <c r="B189" t="s">
        <v>281</v>
      </c>
    </row>
    <row r="190" spans="1:2">
      <c r="A190" s="4">
        <v>150235</v>
      </c>
      <c r="B190" t="s">
        <v>281</v>
      </c>
    </row>
    <row r="191" spans="1:2">
      <c r="A191" s="4">
        <v>150350</v>
      </c>
      <c r="B191" t="s">
        <v>281</v>
      </c>
    </row>
    <row r="192" spans="1:2">
      <c r="A192" s="4">
        <v>150081</v>
      </c>
      <c r="B192" t="s">
        <v>282</v>
      </c>
    </row>
    <row r="193" spans="1:2">
      <c r="A193" s="4">
        <v>150172</v>
      </c>
      <c r="B193" t="s">
        <v>282</v>
      </c>
    </row>
    <row r="194" spans="1:2">
      <c r="A194" s="4">
        <v>150226</v>
      </c>
      <c r="B194" t="s">
        <v>282</v>
      </c>
    </row>
    <row r="195" spans="1:2">
      <c r="A195" s="4">
        <v>150298</v>
      </c>
      <c r="B195" t="s">
        <v>283</v>
      </c>
    </row>
    <row r="196" spans="1:2">
      <c r="A196" s="4">
        <v>150299</v>
      </c>
      <c r="B196" t="s">
        <v>284</v>
      </c>
    </row>
    <row r="197" spans="1:2">
      <c r="A197" s="4">
        <v>150166</v>
      </c>
      <c r="B197" t="s">
        <v>285</v>
      </c>
    </row>
    <row r="198" spans="1:2">
      <c r="A198" s="4">
        <v>150173</v>
      </c>
      <c r="B198" t="s">
        <v>286</v>
      </c>
    </row>
    <row r="199" spans="1:2">
      <c r="A199" s="4">
        <v>150167</v>
      </c>
      <c r="B199" t="s">
        <v>287</v>
      </c>
    </row>
    <row r="200" spans="1:2">
      <c r="A200" s="4">
        <v>150174</v>
      </c>
      <c r="B200" t="s">
        <v>288</v>
      </c>
    </row>
    <row r="201" spans="1:2">
      <c r="A201" s="4">
        <v>150175</v>
      </c>
      <c r="B201" t="s">
        <v>289</v>
      </c>
    </row>
    <row r="202" spans="1:2">
      <c r="A202" s="4">
        <v>150176</v>
      </c>
      <c r="B202" t="s">
        <v>290</v>
      </c>
    </row>
    <row r="203" spans="1:2">
      <c r="A203" s="4">
        <v>150148</v>
      </c>
      <c r="B203" t="s">
        <v>291</v>
      </c>
    </row>
    <row r="204" spans="1:2">
      <c r="A204" s="4">
        <v>150218</v>
      </c>
      <c r="B204" t="s">
        <v>291</v>
      </c>
    </row>
    <row r="205" spans="1:2">
      <c r="A205" s="4">
        <v>150217</v>
      </c>
      <c r="B205" t="s">
        <v>292</v>
      </c>
    </row>
    <row r="206" spans="1:2">
      <c r="A206" s="4">
        <v>150219</v>
      </c>
      <c r="B206" t="s">
        <v>293</v>
      </c>
    </row>
    <row r="207" spans="1:2">
      <c r="A207" s="4">
        <v>150159</v>
      </c>
      <c r="B207" t="s">
        <v>294</v>
      </c>
    </row>
    <row r="208" spans="1:2">
      <c r="A208" s="4">
        <v>150184</v>
      </c>
      <c r="B208" t="s">
        <v>295</v>
      </c>
    </row>
  </sheetData>
  <conditionalFormatting sqref="B1:B1048576">
    <cfRule type="duplicateValues" dxfId="14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C33-9341-4B2D-BCFB-BB0409EAE817}">
  <sheetPr codeName="Sheet5">
    <tabColor rgb="FFFFFF00"/>
  </sheetPr>
  <dimension ref="A3:E683"/>
  <sheetViews>
    <sheetView workbookViewId="0">
      <selection activeCell="E4" sqref="E4"/>
    </sheetView>
  </sheetViews>
  <sheetFormatPr defaultRowHeight="15"/>
  <cols>
    <col min="1" max="1" width="20.28515625" bestFit="1" customWidth="1"/>
    <col min="2" max="2" width="11.5703125" bestFit="1" customWidth="1"/>
    <col min="3" max="3" width="21.28515625" bestFit="1" customWidth="1"/>
    <col min="4" max="4" width="9.85546875" bestFit="1" customWidth="1"/>
    <col min="5" max="5" width="26.140625" bestFit="1" customWidth="1"/>
    <col min="6" max="6" width="20.7109375" bestFit="1" customWidth="1"/>
    <col min="7" max="7" width="10.7109375" bestFit="1" customWidth="1"/>
    <col min="8" max="10" width="7" bestFit="1" customWidth="1"/>
    <col min="11" max="24" width="8" bestFit="1" customWidth="1"/>
    <col min="25" max="30" width="18.42578125" bestFit="1" customWidth="1"/>
    <col min="31" max="31" width="18.140625" bestFit="1" customWidth="1"/>
    <col min="32" max="45" width="18.42578125" bestFit="1" customWidth="1"/>
    <col min="46" max="49" width="11.5703125" bestFit="1" customWidth="1"/>
    <col min="50" max="50" width="6.7109375" bestFit="1" customWidth="1"/>
    <col min="51" max="51" width="7" bestFit="1" customWidth="1"/>
    <col min="52" max="52" width="6.7109375" bestFit="1" customWidth="1"/>
    <col min="53" max="53" width="10.7109375" bestFit="1" customWidth="1"/>
  </cols>
  <sheetData>
    <row r="3" spans="1:5">
      <c r="A3" s="16" t="s">
        <v>30</v>
      </c>
      <c r="B3" s="16" t="s">
        <v>13</v>
      </c>
      <c r="C3" s="16" t="s">
        <v>1</v>
      </c>
      <c r="D3" s="16" t="s">
        <v>5</v>
      </c>
      <c r="E3" t="s">
        <v>296</v>
      </c>
    </row>
    <row r="4" spans="1:5">
      <c r="A4" t="s">
        <v>1041</v>
      </c>
      <c r="B4" t="s">
        <v>357</v>
      </c>
      <c r="C4" t="s">
        <v>979</v>
      </c>
      <c r="D4">
        <v>36</v>
      </c>
      <c r="E4">
        <v>1</v>
      </c>
    </row>
    <row r="5" spans="1:5">
      <c r="A5" t="s">
        <v>1043</v>
      </c>
      <c r="B5" t="s">
        <v>357</v>
      </c>
      <c r="C5" t="s">
        <v>980</v>
      </c>
      <c r="D5">
        <v>36</v>
      </c>
      <c r="E5">
        <v>1</v>
      </c>
    </row>
    <row r="6" spans="1:5">
      <c r="A6" t="s">
        <v>1045</v>
      </c>
      <c r="B6" t="s">
        <v>357</v>
      </c>
      <c r="C6" t="s">
        <v>981</v>
      </c>
      <c r="D6">
        <v>36</v>
      </c>
      <c r="E6">
        <v>1</v>
      </c>
    </row>
    <row r="7" spans="1:5">
      <c r="A7" t="s">
        <v>1047</v>
      </c>
      <c r="B7" t="s">
        <v>357</v>
      </c>
      <c r="C7" t="s">
        <v>982</v>
      </c>
      <c r="D7">
        <v>36</v>
      </c>
      <c r="E7">
        <v>1</v>
      </c>
    </row>
    <row r="8" spans="1:5">
      <c r="A8" t="s">
        <v>1049</v>
      </c>
      <c r="B8" t="s">
        <v>357</v>
      </c>
      <c r="C8" t="s">
        <v>983</v>
      </c>
      <c r="D8">
        <v>36</v>
      </c>
      <c r="E8">
        <v>1</v>
      </c>
    </row>
    <row r="9" spans="1:5">
      <c r="A9" t="s">
        <v>1051</v>
      </c>
      <c r="B9" t="s">
        <v>357</v>
      </c>
      <c r="C9" t="s">
        <v>984</v>
      </c>
      <c r="D9">
        <v>36</v>
      </c>
      <c r="E9">
        <v>1</v>
      </c>
    </row>
    <row r="10" spans="1:5">
      <c r="A10" t="s">
        <v>1053</v>
      </c>
      <c r="B10" t="s">
        <v>357</v>
      </c>
      <c r="C10" t="s">
        <v>985</v>
      </c>
      <c r="D10">
        <v>36</v>
      </c>
      <c r="E10">
        <v>1</v>
      </c>
    </row>
    <row r="11" spans="1:5">
      <c r="A11" t="s">
        <v>1055</v>
      </c>
      <c r="B11" t="s">
        <v>357</v>
      </c>
      <c r="C11" t="s">
        <v>986</v>
      </c>
      <c r="D11">
        <v>36</v>
      </c>
      <c r="E11">
        <v>1</v>
      </c>
    </row>
    <row r="12" spans="1:5">
      <c r="A12" t="s">
        <v>1057</v>
      </c>
      <c r="B12" t="s">
        <v>357</v>
      </c>
      <c r="C12" t="s">
        <v>987</v>
      </c>
      <c r="D12">
        <v>36</v>
      </c>
      <c r="E12">
        <v>1</v>
      </c>
    </row>
    <row r="13" spans="1:5">
      <c r="A13" t="s">
        <v>1059</v>
      </c>
      <c r="B13" t="s">
        <v>357</v>
      </c>
      <c r="C13" t="s">
        <v>988</v>
      </c>
      <c r="D13">
        <v>36</v>
      </c>
      <c r="E13">
        <v>1</v>
      </c>
    </row>
    <row r="14" spans="1:5">
      <c r="A14" t="s">
        <v>1061</v>
      </c>
      <c r="B14" t="s">
        <v>357</v>
      </c>
      <c r="C14" t="s">
        <v>989</v>
      </c>
      <c r="D14">
        <v>36</v>
      </c>
      <c r="E14">
        <v>1</v>
      </c>
    </row>
    <row r="15" spans="1:5">
      <c r="A15" t="s">
        <v>1063</v>
      </c>
      <c r="B15" t="s">
        <v>357</v>
      </c>
      <c r="C15" t="s">
        <v>990</v>
      </c>
      <c r="D15">
        <v>36</v>
      </c>
      <c r="E15">
        <v>1</v>
      </c>
    </row>
    <row r="16" spans="1:5">
      <c r="A16" t="s">
        <v>1065</v>
      </c>
      <c r="B16" t="s">
        <v>1023</v>
      </c>
      <c r="C16" t="s">
        <v>519</v>
      </c>
      <c r="D16">
        <v>100</v>
      </c>
      <c r="E16">
        <v>1</v>
      </c>
    </row>
    <row r="17" spans="1:5">
      <c r="A17" t="s">
        <v>1067</v>
      </c>
      <c r="B17" t="s">
        <v>1023</v>
      </c>
      <c r="C17" t="s">
        <v>520</v>
      </c>
      <c r="D17">
        <v>100</v>
      </c>
      <c r="E17">
        <v>1</v>
      </c>
    </row>
    <row r="18" spans="1:5">
      <c r="A18" t="s">
        <v>1069</v>
      </c>
      <c r="B18" t="s">
        <v>1023</v>
      </c>
      <c r="C18" t="s">
        <v>521</v>
      </c>
      <c r="D18">
        <v>100</v>
      </c>
      <c r="E18">
        <v>1</v>
      </c>
    </row>
    <row r="19" spans="1:5">
      <c r="A19" t="s">
        <v>1071</v>
      </c>
      <c r="B19" t="s">
        <v>1023</v>
      </c>
      <c r="C19" t="s">
        <v>522</v>
      </c>
      <c r="D19">
        <v>100</v>
      </c>
      <c r="E19">
        <v>1</v>
      </c>
    </row>
    <row r="20" spans="1:5">
      <c r="A20" t="s">
        <v>1073</v>
      </c>
      <c r="B20" t="s">
        <v>1023</v>
      </c>
      <c r="C20" t="s">
        <v>523</v>
      </c>
      <c r="D20">
        <v>100</v>
      </c>
      <c r="E20">
        <v>1</v>
      </c>
    </row>
    <row r="21" spans="1:5">
      <c r="A21" t="s">
        <v>1075</v>
      </c>
      <c r="B21" t="s">
        <v>1023</v>
      </c>
      <c r="C21" t="s">
        <v>524</v>
      </c>
      <c r="D21">
        <v>100</v>
      </c>
      <c r="E21">
        <v>1</v>
      </c>
    </row>
    <row r="22" spans="1:5">
      <c r="A22" t="s">
        <v>1077</v>
      </c>
      <c r="B22" t="s">
        <v>1023</v>
      </c>
      <c r="C22" t="s">
        <v>525</v>
      </c>
      <c r="D22">
        <v>100</v>
      </c>
      <c r="E22">
        <v>1</v>
      </c>
    </row>
    <row r="23" spans="1:5">
      <c r="A23" t="s">
        <v>1079</v>
      </c>
      <c r="B23" t="s">
        <v>1023</v>
      </c>
      <c r="C23" t="s">
        <v>509</v>
      </c>
      <c r="D23">
        <v>100</v>
      </c>
      <c r="E23">
        <v>1</v>
      </c>
    </row>
    <row r="24" spans="1:5">
      <c r="A24" t="s">
        <v>1081</v>
      </c>
      <c r="B24" t="s">
        <v>1023</v>
      </c>
      <c r="C24" t="s">
        <v>510</v>
      </c>
      <c r="D24">
        <v>100</v>
      </c>
      <c r="E24">
        <v>1</v>
      </c>
    </row>
    <row r="25" spans="1:5">
      <c r="A25" t="s">
        <v>1083</v>
      </c>
      <c r="B25" t="s">
        <v>1023</v>
      </c>
      <c r="C25" t="s">
        <v>511</v>
      </c>
      <c r="D25">
        <v>100</v>
      </c>
      <c r="E25">
        <v>1</v>
      </c>
    </row>
    <row r="26" spans="1:5">
      <c r="A26" t="s">
        <v>1085</v>
      </c>
      <c r="B26" t="s">
        <v>1023</v>
      </c>
      <c r="C26" t="s">
        <v>512</v>
      </c>
      <c r="D26">
        <v>100</v>
      </c>
      <c r="E26">
        <v>1</v>
      </c>
    </row>
    <row r="27" spans="1:5">
      <c r="A27" t="s">
        <v>1087</v>
      </c>
      <c r="B27" t="s">
        <v>1023</v>
      </c>
      <c r="C27" t="s">
        <v>513</v>
      </c>
      <c r="D27">
        <v>100</v>
      </c>
      <c r="E27">
        <v>1</v>
      </c>
    </row>
    <row r="28" spans="1:5">
      <c r="A28" t="s">
        <v>1089</v>
      </c>
      <c r="B28" t="s">
        <v>1023</v>
      </c>
      <c r="C28" t="s">
        <v>514</v>
      </c>
      <c r="D28">
        <v>100</v>
      </c>
      <c r="E28">
        <v>1</v>
      </c>
    </row>
    <row r="29" spans="1:5">
      <c r="A29" t="s">
        <v>1091</v>
      </c>
      <c r="B29" t="s">
        <v>1023</v>
      </c>
      <c r="C29" t="s">
        <v>515</v>
      </c>
      <c r="D29">
        <v>100</v>
      </c>
      <c r="E29">
        <v>1</v>
      </c>
    </row>
    <row r="30" spans="1:5">
      <c r="A30" t="s">
        <v>1093</v>
      </c>
      <c r="B30" t="s">
        <v>1023</v>
      </c>
      <c r="C30" t="s">
        <v>516</v>
      </c>
      <c r="D30">
        <v>100</v>
      </c>
      <c r="E30">
        <v>1</v>
      </c>
    </row>
    <row r="31" spans="1:5">
      <c r="A31" t="s">
        <v>1095</v>
      </c>
      <c r="B31" t="s">
        <v>1023</v>
      </c>
      <c r="C31" t="s">
        <v>517</v>
      </c>
      <c r="D31">
        <v>100</v>
      </c>
      <c r="E31">
        <v>1</v>
      </c>
    </row>
    <row r="32" spans="1:5">
      <c r="A32" t="s">
        <v>1097</v>
      </c>
      <c r="B32" t="s">
        <v>1023</v>
      </c>
      <c r="C32" t="s">
        <v>518</v>
      </c>
      <c r="D32">
        <v>100</v>
      </c>
      <c r="E32">
        <v>1</v>
      </c>
    </row>
    <row r="33" spans="1:5">
      <c r="A33" t="s">
        <v>1099</v>
      </c>
      <c r="B33" t="s">
        <v>1023</v>
      </c>
      <c r="C33" t="s">
        <v>526</v>
      </c>
      <c r="D33">
        <v>100</v>
      </c>
      <c r="E33">
        <v>1</v>
      </c>
    </row>
    <row r="34" spans="1:5">
      <c r="A34" t="s">
        <v>1101</v>
      </c>
      <c r="B34" t="s">
        <v>1023</v>
      </c>
      <c r="C34" t="s">
        <v>527</v>
      </c>
      <c r="D34">
        <v>100</v>
      </c>
      <c r="E34">
        <v>1</v>
      </c>
    </row>
    <row r="35" spans="1:5">
      <c r="A35" t="s">
        <v>1103</v>
      </c>
      <c r="B35" t="s">
        <v>1023</v>
      </c>
      <c r="C35" t="s">
        <v>528</v>
      </c>
      <c r="D35">
        <v>100</v>
      </c>
      <c r="E35">
        <v>1</v>
      </c>
    </row>
    <row r="36" spans="1:5">
      <c r="A36" t="s">
        <v>1105</v>
      </c>
      <c r="B36" t="s">
        <v>1023</v>
      </c>
      <c r="C36" t="s">
        <v>529</v>
      </c>
      <c r="D36">
        <v>100</v>
      </c>
      <c r="E36">
        <v>1</v>
      </c>
    </row>
    <row r="37" spans="1:5">
      <c r="A37" t="s">
        <v>1107</v>
      </c>
      <c r="B37" t="s">
        <v>1023</v>
      </c>
      <c r="C37" t="s">
        <v>530</v>
      </c>
      <c r="D37">
        <v>100</v>
      </c>
      <c r="E37">
        <v>1</v>
      </c>
    </row>
    <row r="38" spans="1:5">
      <c r="A38" t="s">
        <v>1109</v>
      </c>
      <c r="B38" t="s">
        <v>1023</v>
      </c>
      <c r="C38" t="s">
        <v>531</v>
      </c>
      <c r="D38">
        <v>100</v>
      </c>
      <c r="E38">
        <v>1</v>
      </c>
    </row>
    <row r="39" spans="1:5">
      <c r="A39" t="s">
        <v>1111</v>
      </c>
      <c r="B39">
        <v>0</v>
      </c>
      <c r="C39" t="s">
        <v>831</v>
      </c>
      <c r="D39">
        <v>24</v>
      </c>
      <c r="E39">
        <v>1</v>
      </c>
    </row>
    <row r="40" spans="1:5">
      <c r="A40" t="s">
        <v>1113</v>
      </c>
      <c r="B40">
        <v>0</v>
      </c>
      <c r="C40" t="s">
        <v>832</v>
      </c>
      <c r="D40">
        <v>24</v>
      </c>
      <c r="E40">
        <v>1</v>
      </c>
    </row>
    <row r="41" spans="1:5">
      <c r="A41" t="s">
        <v>1118</v>
      </c>
      <c r="B41">
        <v>0</v>
      </c>
      <c r="C41" t="s">
        <v>856</v>
      </c>
      <c r="D41">
        <v>24</v>
      </c>
      <c r="E41">
        <v>1</v>
      </c>
    </row>
    <row r="42" spans="1:5">
      <c r="A42" t="s">
        <v>1120</v>
      </c>
      <c r="B42">
        <v>0</v>
      </c>
      <c r="C42" t="s">
        <v>855</v>
      </c>
      <c r="D42">
        <v>24</v>
      </c>
      <c r="E42">
        <v>1</v>
      </c>
    </row>
    <row r="43" spans="1:5">
      <c r="A43" t="s">
        <v>1122</v>
      </c>
      <c r="B43">
        <v>0</v>
      </c>
      <c r="C43" t="s">
        <v>829</v>
      </c>
      <c r="D43">
        <v>36</v>
      </c>
      <c r="E43">
        <v>1</v>
      </c>
    </row>
    <row r="44" spans="1:5">
      <c r="A44" t="s">
        <v>2658</v>
      </c>
      <c r="B44">
        <v>0</v>
      </c>
      <c r="C44" t="s">
        <v>830</v>
      </c>
      <c r="D44">
        <v>24</v>
      </c>
      <c r="E44">
        <v>1</v>
      </c>
    </row>
    <row r="45" spans="1:5">
      <c r="A45" t="s">
        <v>1125</v>
      </c>
      <c r="B45">
        <v>0</v>
      </c>
      <c r="C45" t="s">
        <v>847</v>
      </c>
      <c r="D45">
        <v>36</v>
      </c>
      <c r="E45">
        <v>1</v>
      </c>
    </row>
    <row r="46" spans="1:5">
      <c r="A46" t="s">
        <v>1129</v>
      </c>
      <c r="B46">
        <v>0</v>
      </c>
      <c r="C46" t="s">
        <v>849</v>
      </c>
      <c r="D46">
        <v>36</v>
      </c>
      <c r="E46">
        <v>1</v>
      </c>
    </row>
    <row r="47" spans="1:5">
      <c r="A47" t="s">
        <v>1131</v>
      </c>
      <c r="B47">
        <v>0</v>
      </c>
      <c r="C47" t="s">
        <v>850</v>
      </c>
      <c r="D47">
        <v>36</v>
      </c>
      <c r="E47">
        <v>1</v>
      </c>
    </row>
    <row r="48" spans="1:5">
      <c r="A48" t="s">
        <v>1133</v>
      </c>
      <c r="B48">
        <v>0</v>
      </c>
      <c r="C48" t="s">
        <v>851</v>
      </c>
      <c r="D48">
        <v>36</v>
      </c>
      <c r="E48">
        <v>1</v>
      </c>
    </row>
    <row r="49" spans="1:5">
      <c r="A49" t="s">
        <v>1135</v>
      </c>
      <c r="B49">
        <v>0</v>
      </c>
      <c r="C49" t="s">
        <v>852</v>
      </c>
      <c r="D49">
        <v>36</v>
      </c>
      <c r="E49">
        <v>1</v>
      </c>
    </row>
    <row r="50" spans="1:5">
      <c r="A50" t="s">
        <v>1137</v>
      </c>
      <c r="B50">
        <v>0</v>
      </c>
      <c r="C50" t="s">
        <v>853</v>
      </c>
      <c r="D50">
        <v>36</v>
      </c>
      <c r="E50">
        <v>1</v>
      </c>
    </row>
    <row r="51" spans="1:5">
      <c r="A51" t="s">
        <v>1139</v>
      </c>
      <c r="B51">
        <v>0</v>
      </c>
      <c r="C51" t="s">
        <v>854</v>
      </c>
      <c r="D51">
        <v>36</v>
      </c>
      <c r="E51">
        <v>1</v>
      </c>
    </row>
    <row r="52" spans="1:5">
      <c r="A52" t="s">
        <v>2659</v>
      </c>
      <c r="B52">
        <v>0</v>
      </c>
      <c r="C52" t="s">
        <v>813</v>
      </c>
      <c r="D52">
        <v>36</v>
      </c>
      <c r="E52">
        <v>1</v>
      </c>
    </row>
    <row r="53" spans="1:5">
      <c r="A53" t="s">
        <v>1148</v>
      </c>
      <c r="B53">
        <v>0</v>
      </c>
      <c r="C53" t="s">
        <v>820</v>
      </c>
      <c r="D53">
        <v>120</v>
      </c>
      <c r="E53">
        <v>1</v>
      </c>
    </row>
    <row r="54" spans="1:5">
      <c r="A54" t="s">
        <v>1148</v>
      </c>
      <c r="B54">
        <v>0</v>
      </c>
      <c r="C54" t="s">
        <v>821</v>
      </c>
      <c r="D54">
        <v>24</v>
      </c>
      <c r="E54">
        <v>2</v>
      </c>
    </row>
    <row r="55" spans="1:5">
      <c r="A55" t="s">
        <v>1156</v>
      </c>
      <c r="B55">
        <v>0</v>
      </c>
      <c r="C55" t="s">
        <v>791</v>
      </c>
      <c r="D55">
        <v>36</v>
      </c>
      <c r="E55">
        <v>2</v>
      </c>
    </row>
    <row r="56" spans="1:5">
      <c r="A56" t="s">
        <v>1158</v>
      </c>
      <c r="B56">
        <v>0</v>
      </c>
      <c r="C56" t="s">
        <v>794</v>
      </c>
      <c r="D56">
        <v>36</v>
      </c>
      <c r="E56">
        <v>1</v>
      </c>
    </row>
    <row r="57" spans="1:5">
      <c r="A57" t="s">
        <v>1158</v>
      </c>
      <c r="B57">
        <v>0</v>
      </c>
      <c r="C57" t="s">
        <v>793</v>
      </c>
      <c r="D57">
        <v>36</v>
      </c>
      <c r="E57">
        <v>2</v>
      </c>
    </row>
    <row r="58" spans="1:5">
      <c r="A58" t="s">
        <v>1162</v>
      </c>
      <c r="B58">
        <v>0</v>
      </c>
      <c r="C58" t="s">
        <v>797</v>
      </c>
      <c r="D58">
        <v>36</v>
      </c>
      <c r="E58">
        <v>2</v>
      </c>
    </row>
    <row r="59" spans="1:5">
      <c r="A59" t="s">
        <v>1164</v>
      </c>
      <c r="B59">
        <v>0</v>
      </c>
      <c r="C59" t="s">
        <v>800</v>
      </c>
      <c r="D59">
        <v>36</v>
      </c>
      <c r="E59">
        <v>1</v>
      </c>
    </row>
    <row r="60" spans="1:5">
      <c r="A60" t="s">
        <v>1164</v>
      </c>
      <c r="B60">
        <v>0</v>
      </c>
      <c r="C60" t="s">
        <v>799</v>
      </c>
      <c r="D60">
        <v>36</v>
      </c>
      <c r="E60">
        <v>2</v>
      </c>
    </row>
    <row r="61" spans="1:5">
      <c r="A61" t="s">
        <v>1166</v>
      </c>
      <c r="B61">
        <v>0</v>
      </c>
      <c r="C61" t="s">
        <v>801</v>
      </c>
      <c r="D61">
        <v>36</v>
      </c>
      <c r="E61">
        <v>1</v>
      </c>
    </row>
    <row r="62" spans="1:5">
      <c r="A62" t="s">
        <v>1166</v>
      </c>
      <c r="B62">
        <v>0</v>
      </c>
      <c r="C62" t="s">
        <v>802</v>
      </c>
      <c r="D62">
        <v>36</v>
      </c>
      <c r="E62">
        <v>2</v>
      </c>
    </row>
    <row r="63" spans="1:5">
      <c r="A63" t="s">
        <v>1168</v>
      </c>
      <c r="B63">
        <v>0</v>
      </c>
      <c r="C63" t="s">
        <v>803</v>
      </c>
      <c r="D63">
        <v>36</v>
      </c>
      <c r="E63">
        <v>1</v>
      </c>
    </row>
    <row r="64" spans="1:5">
      <c r="A64" t="s">
        <v>1168</v>
      </c>
      <c r="B64">
        <v>0</v>
      </c>
      <c r="C64" t="s">
        <v>804</v>
      </c>
      <c r="D64">
        <v>36</v>
      </c>
      <c r="E64">
        <v>2</v>
      </c>
    </row>
    <row r="65" spans="1:5">
      <c r="A65" t="s">
        <v>1170</v>
      </c>
      <c r="B65">
        <v>0</v>
      </c>
      <c r="C65" t="s">
        <v>805</v>
      </c>
      <c r="D65">
        <v>36</v>
      </c>
      <c r="E65">
        <v>1</v>
      </c>
    </row>
    <row r="66" spans="1:5">
      <c r="A66" t="s">
        <v>1172</v>
      </c>
      <c r="B66">
        <v>0</v>
      </c>
      <c r="C66" t="s">
        <v>806</v>
      </c>
      <c r="D66">
        <v>36</v>
      </c>
      <c r="E66">
        <v>1</v>
      </c>
    </row>
    <row r="67" spans="1:5">
      <c r="A67" t="s">
        <v>1174</v>
      </c>
      <c r="B67">
        <v>0</v>
      </c>
      <c r="C67" t="s">
        <v>807</v>
      </c>
      <c r="D67">
        <v>36</v>
      </c>
      <c r="E67">
        <v>1</v>
      </c>
    </row>
    <row r="68" spans="1:5">
      <c r="A68" t="s">
        <v>1176</v>
      </c>
      <c r="B68">
        <v>0</v>
      </c>
      <c r="C68" t="s">
        <v>808</v>
      </c>
      <c r="D68">
        <v>36</v>
      </c>
      <c r="E68">
        <v>1</v>
      </c>
    </row>
    <row r="69" spans="1:5">
      <c r="A69" t="s">
        <v>1178</v>
      </c>
      <c r="B69">
        <v>0</v>
      </c>
      <c r="C69" t="s">
        <v>809</v>
      </c>
      <c r="D69">
        <v>36</v>
      </c>
      <c r="E69">
        <v>1</v>
      </c>
    </row>
    <row r="70" spans="1:5">
      <c r="A70" t="s">
        <v>1180</v>
      </c>
      <c r="B70">
        <v>0</v>
      </c>
      <c r="C70" t="s">
        <v>810</v>
      </c>
      <c r="D70">
        <v>36</v>
      </c>
      <c r="E70">
        <v>1</v>
      </c>
    </row>
    <row r="71" spans="1:5">
      <c r="A71" t="s">
        <v>1182</v>
      </c>
      <c r="B71">
        <v>0</v>
      </c>
      <c r="C71" t="s">
        <v>811</v>
      </c>
      <c r="D71">
        <v>36</v>
      </c>
      <c r="E71">
        <v>1</v>
      </c>
    </row>
    <row r="72" spans="1:5">
      <c r="A72" t="s">
        <v>1190</v>
      </c>
      <c r="B72">
        <v>0</v>
      </c>
      <c r="C72" t="s">
        <v>844</v>
      </c>
      <c r="D72">
        <v>48</v>
      </c>
      <c r="E72">
        <v>1</v>
      </c>
    </row>
    <row r="73" spans="1:5">
      <c r="A73" t="s">
        <v>1204</v>
      </c>
      <c r="B73">
        <v>0</v>
      </c>
      <c r="C73" t="s">
        <v>995</v>
      </c>
      <c r="D73">
        <v>24</v>
      </c>
      <c r="E73">
        <v>1</v>
      </c>
    </row>
    <row r="74" spans="1:5">
      <c r="A74" t="s">
        <v>1206</v>
      </c>
      <c r="B74">
        <v>0</v>
      </c>
      <c r="C74" t="s">
        <v>996</v>
      </c>
      <c r="D74">
        <v>24</v>
      </c>
      <c r="E74">
        <v>1</v>
      </c>
    </row>
    <row r="75" spans="1:5">
      <c r="A75" t="s">
        <v>1208</v>
      </c>
      <c r="B75">
        <v>0</v>
      </c>
      <c r="C75" t="s">
        <v>997</v>
      </c>
      <c r="D75">
        <v>24</v>
      </c>
      <c r="E75">
        <v>1</v>
      </c>
    </row>
    <row r="76" spans="1:5">
      <c r="A76" t="s">
        <v>1210</v>
      </c>
      <c r="B76">
        <v>0</v>
      </c>
      <c r="C76" t="s">
        <v>998</v>
      </c>
      <c r="D76">
        <v>24</v>
      </c>
      <c r="E76">
        <v>1</v>
      </c>
    </row>
    <row r="77" spans="1:5">
      <c r="A77" t="s">
        <v>1212</v>
      </c>
      <c r="B77">
        <v>0</v>
      </c>
      <c r="C77" t="s">
        <v>508</v>
      </c>
      <c r="D77">
        <v>24</v>
      </c>
      <c r="E77">
        <v>1</v>
      </c>
    </row>
    <row r="78" spans="1:5">
      <c r="A78" t="s">
        <v>1230</v>
      </c>
      <c r="B78">
        <v>0</v>
      </c>
      <c r="C78" t="s">
        <v>488</v>
      </c>
      <c r="D78">
        <v>12</v>
      </c>
      <c r="E78">
        <v>1</v>
      </c>
    </row>
    <row r="79" spans="1:5">
      <c r="A79" t="s">
        <v>1230</v>
      </c>
      <c r="B79">
        <v>0</v>
      </c>
      <c r="C79" t="s">
        <v>487</v>
      </c>
      <c r="D79">
        <v>24</v>
      </c>
      <c r="E79">
        <v>1</v>
      </c>
    </row>
    <row r="80" spans="1:5">
      <c r="A80" t="s">
        <v>1232</v>
      </c>
      <c r="B80">
        <v>0</v>
      </c>
      <c r="C80" t="s">
        <v>489</v>
      </c>
      <c r="D80">
        <v>72</v>
      </c>
      <c r="E80">
        <v>1</v>
      </c>
    </row>
    <row r="81" spans="1:5">
      <c r="A81" t="s">
        <v>1234</v>
      </c>
      <c r="B81">
        <v>0</v>
      </c>
      <c r="C81" t="s">
        <v>490</v>
      </c>
      <c r="D81">
        <v>36</v>
      </c>
      <c r="E81">
        <v>1</v>
      </c>
    </row>
    <row r="82" spans="1:5">
      <c r="A82" t="s">
        <v>1242</v>
      </c>
      <c r="B82">
        <v>0</v>
      </c>
      <c r="C82" t="s">
        <v>492</v>
      </c>
      <c r="D82">
        <v>36</v>
      </c>
      <c r="E82">
        <v>1</v>
      </c>
    </row>
    <row r="83" spans="1:5">
      <c r="A83" t="s">
        <v>1246</v>
      </c>
      <c r="B83">
        <v>0</v>
      </c>
      <c r="C83" t="s">
        <v>496</v>
      </c>
      <c r="D83">
        <v>72</v>
      </c>
      <c r="E83">
        <v>1</v>
      </c>
    </row>
    <row r="84" spans="1:5">
      <c r="A84" t="s">
        <v>1246</v>
      </c>
      <c r="B84">
        <v>0</v>
      </c>
      <c r="C84" t="s">
        <v>498</v>
      </c>
      <c r="D84">
        <v>72</v>
      </c>
      <c r="E84">
        <v>3</v>
      </c>
    </row>
    <row r="85" spans="1:5">
      <c r="A85" t="s">
        <v>1248</v>
      </c>
      <c r="B85">
        <v>0</v>
      </c>
      <c r="C85" t="s">
        <v>500</v>
      </c>
      <c r="D85">
        <v>72</v>
      </c>
      <c r="E85">
        <v>2</v>
      </c>
    </row>
    <row r="86" spans="1:5">
      <c r="A86" t="s">
        <v>1250</v>
      </c>
      <c r="B86">
        <v>0</v>
      </c>
      <c r="C86" t="s">
        <v>502</v>
      </c>
      <c r="D86">
        <v>72</v>
      </c>
      <c r="E86">
        <v>1</v>
      </c>
    </row>
    <row r="87" spans="1:5">
      <c r="A87" t="s">
        <v>1250</v>
      </c>
      <c r="B87">
        <v>0</v>
      </c>
      <c r="C87" t="s">
        <v>504</v>
      </c>
      <c r="D87">
        <v>72</v>
      </c>
      <c r="E87">
        <v>3</v>
      </c>
    </row>
    <row r="88" spans="1:5">
      <c r="A88" t="s">
        <v>1252</v>
      </c>
      <c r="B88">
        <v>0</v>
      </c>
      <c r="C88" t="s">
        <v>505</v>
      </c>
      <c r="D88">
        <v>72</v>
      </c>
      <c r="E88">
        <v>1</v>
      </c>
    </row>
    <row r="89" spans="1:5">
      <c r="A89" t="s">
        <v>1252</v>
      </c>
      <c r="B89">
        <v>0</v>
      </c>
      <c r="C89" t="s">
        <v>506</v>
      </c>
      <c r="D89">
        <v>72</v>
      </c>
      <c r="E89">
        <v>2</v>
      </c>
    </row>
    <row r="90" spans="1:5">
      <c r="A90" t="s">
        <v>1252</v>
      </c>
      <c r="B90">
        <v>0</v>
      </c>
      <c r="C90" t="s">
        <v>507</v>
      </c>
      <c r="D90">
        <v>72</v>
      </c>
      <c r="E90">
        <v>3</v>
      </c>
    </row>
    <row r="91" spans="1:5">
      <c r="A91" t="s">
        <v>1254</v>
      </c>
      <c r="B91">
        <v>0</v>
      </c>
      <c r="C91" t="s">
        <v>454</v>
      </c>
      <c r="D91">
        <v>18</v>
      </c>
      <c r="E91">
        <v>1</v>
      </c>
    </row>
    <row r="92" spans="1:5">
      <c r="A92" t="s">
        <v>1256</v>
      </c>
      <c r="B92">
        <v>0</v>
      </c>
      <c r="C92" t="s">
        <v>452</v>
      </c>
      <c r="D92">
        <v>18</v>
      </c>
      <c r="E92">
        <v>1</v>
      </c>
    </row>
    <row r="93" spans="1:5">
      <c r="A93" t="s">
        <v>1258</v>
      </c>
      <c r="B93">
        <v>0</v>
      </c>
      <c r="C93" t="s">
        <v>451</v>
      </c>
      <c r="D93">
        <v>12</v>
      </c>
      <c r="E93">
        <v>1</v>
      </c>
    </row>
    <row r="94" spans="1:5">
      <c r="A94" t="s">
        <v>1260</v>
      </c>
      <c r="B94">
        <v>0</v>
      </c>
      <c r="C94" t="s">
        <v>469</v>
      </c>
      <c r="D94">
        <v>72</v>
      </c>
      <c r="E94">
        <v>1</v>
      </c>
    </row>
    <row r="95" spans="1:5">
      <c r="A95" t="s">
        <v>1264</v>
      </c>
      <c r="B95">
        <v>0</v>
      </c>
      <c r="C95" t="s">
        <v>474</v>
      </c>
      <c r="D95">
        <v>72</v>
      </c>
      <c r="E95">
        <v>1</v>
      </c>
    </row>
    <row r="96" spans="1:5">
      <c r="A96" t="s">
        <v>1268</v>
      </c>
      <c r="B96">
        <v>0</v>
      </c>
      <c r="C96" t="s">
        <v>453</v>
      </c>
      <c r="D96">
        <v>12</v>
      </c>
      <c r="E96">
        <v>1</v>
      </c>
    </row>
    <row r="97" spans="1:5">
      <c r="A97" t="s">
        <v>1270</v>
      </c>
      <c r="B97">
        <v>0</v>
      </c>
      <c r="C97" t="s">
        <v>471</v>
      </c>
      <c r="D97">
        <v>72</v>
      </c>
      <c r="E97">
        <v>1</v>
      </c>
    </row>
    <row r="98" spans="1:5">
      <c r="A98" t="s">
        <v>1272</v>
      </c>
      <c r="B98">
        <v>0</v>
      </c>
      <c r="C98" t="s">
        <v>462</v>
      </c>
      <c r="D98">
        <v>48</v>
      </c>
      <c r="E98">
        <v>1</v>
      </c>
    </row>
    <row r="99" spans="1:5">
      <c r="A99" t="s">
        <v>1274</v>
      </c>
      <c r="B99">
        <v>0</v>
      </c>
      <c r="C99" t="s">
        <v>461</v>
      </c>
      <c r="D99">
        <v>48</v>
      </c>
      <c r="E99">
        <v>1</v>
      </c>
    </row>
    <row r="100" spans="1:5">
      <c r="A100" t="s">
        <v>1276</v>
      </c>
      <c r="B100">
        <v>0</v>
      </c>
      <c r="C100" t="s">
        <v>455</v>
      </c>
      <c r="D100">
        <v>12</v>
      </c>
      <c r="E100">
        <v>1</v>
      </c>
    </row>
    <row r="101" spans="1:5">
      <c r="A101" t="s">
        <v>1278</v>
      </c>
      <c r="B101">
        <v>0</v>
      </c>
      <c r="C101" t="s">
        <v>472</v>
      </c>
      <c r="D101">
        <v>72</v>
      </c>
      <c r="E101">
        <v>1</v>
      </c>
    </row>
    <row r="102" spans="1:5">
      <c r="A102" t="s">
        <v>1282</v>
      </c>
      <c r="B102">
        <v>0</v>
      </c>
      <c r="C102" t="s">
        <v>473</v>
      </c>
      <c r="D102">
        <v>72</v>
      </c>
      <c r="E102">
        <v>1</v>
      </c>
    </row>
    <row r="103" spans="1:5">
      <c r="A103" t="s">
        <v>1296</v>
      </c>
      <c r="B103">
        <v>0</v>
      </c>
      <c r="C103" t="s">
        <v>458</v>
      </c>
      <c r="D103">
        <v>12</v>
      </c>
      <c r="E103">
        <v>1</v>
      </c>
    </row>
    <row r="104" spans="1:5">
      <c r="A104" t="s">
        <v>1298</v>
      </c>
      <c r="B104">
        <v>0</v>
      </c>
      <c r="C104" t="s">
        <v>475</v>
      </c>
      <c r="D104">
        <v>72</v>
      </c>
      <c r="E104">
        <v>1</v>
      </c>
    </row>
    <row r="105" spans="1:5">
      <c r="A105" t="s">
        <v>1300</v>
      </c>
      <c r="B105">
        <v>0</v>
      </c>
      <c r="C105" t="s">
        <v>459</v>
      </c>
      <c r="D105">
        <v>12</v>
      </c>
      <c r="E105">
        <v>1</v>
      </c>
    </row>
    <row r="106" spans="1:5">
      <c r="A106" t="s">
        <v>1301</v>
      </c>
      <c r="B106">
        <v>0</v>
      </c>
      <c r="C106" t="s">
        <v>476</v>
      </c>
      <c r="D106">
        <v>72</v>
      </c>
      <c r="E106">
        <v>1</v>
      </c>
    </row>
    <row r="107" spans="1:5">
      <c r="A107" t="s">
        <v>1302</v>
      </c>
      <c r="B107">
        <v>0</v>
      </c>
      <c r="C107" t="s">
        <v>460</v>
      </c>
      <c r="D107">
        <v>12</v>
      </c>
      <c r="E107">
        <v>1</v>
      </c>
    </row>
    <row r="108" spans="1:5">
      <c r="A108" t="s">
        <v>1303</v>
      </c>
      <c r="B108">
        <v>0</v>
      </c>
      <c r="C108" t="s">
        <v>477</v>
      </c>
      <c r="D108">
        <v>72</v>
      </c>
      <c r="E108">
        <v>1</v>
      </c>
    </row>
    <row r="109" spans="1:5">
      <c r="A109" t="s">
        <v>1304</v>
      </c>
      <c r="B109">
        <v>0</v>
      </c>
      <c r="C109" t="s">
        <v>924</v>
      </c>
      <c r="D109">
        <v>36</v>
      </c>
      <c r="E109">
        <v>1</v>
      </c>
    </row>
    <row r="110" spans="1:5">
      <c r="A110" t="s">
        <v>1306</v>
      </c>
      <c r="B110">
        <v>0</v>
      </c>
      <c r="C110" t="s">
        <v>925</v>
      </c>
      <c r="D110">
        <v>36</v>
      </c>
      <c r="E110">
        <v>1</v>
      </c>
    </row>
    <row r="111" spans="1:5">
      <c r="A111" t="s">
        <v>1308</v>
      </c>
      <c r="B111">
        <v>0</v>
      </c>
      <c r="C111" t="s">
        <v>928</v>
      </c>
      <c r="D111">
        <v>36</v>
      </c>
      <c r="E111">
        <v>1</v>
      </c>
    </row>
    <row r="112" spans="1:5">
      <c r="A112" t="s">
        <v>1310</v>
      </c>
      <c r="B112">
        <v>0</v>
      </c>
      <c r="C112" t="s">
        <v>929</v>
      </c>
      <c r="D112">
        <v>36</v>
      </c>
      <c r="E112">
        <v>1</v>
      </c>
    </row>
    <row r="113" spans="1:5">
      <c r="A113" t="s">
        <v>1312</v>
      </c>
      <c r="B113">
        <v>0</v>
      </c>
      <c r="C113" t="s">
        <v>938</v>
      </c>
      <c r="D113">
        <v>36</v>
      </c>
      <c r="E113">
        <v>1</v>
      </c>
    </row>
    <row r="114" spans="1:5">
      <c r="A114" t="s">
        <v>1314</v>
      </c>
      <c r="B114">
        <v>0</v>
      </c>
      <c r="C114" t="s">
        <v>939</v>
      </c>
      <c r="D114">
        <v>36</v>
      </c>
      <c r="E114">
        <v>1</v>
      </c>
    </row>
    <row r="115" spans="1:5">
      <c r="A115" t="s">
        <v>1316</v>
      </c>
      <c r="B115">
        <v>0</v>
      </c>
      <c r="C115" t="s">
        <v>940</v>
      </c>
      <c r="D115">
        <v>36</v>
      </c>
      <c r="E115">
        <v>1</v>
      </c>
    </row>
    <row r="116" spans="1:5">
      <c r="A116" t="s">
        <v>1318</v>
      </c>
      <c r="B116">
        <v>0</v>
      </c>
      <c r="C116" t="s">
        <v>941</v>
      </c>
      <c r="D116">
        <v>36</v>
      </c>
      <c r="E116">
        <v>1</v>
      </c>
    </row>
    <row r="117" spans="1:5">
      <c r="A117" t="s">
        <v>1320</v>
      </c>
      <c r="B117">
        <v>0</v>
      </c>
      <c r="C117" t="s">
        <v>936</v>
      </c>
      <c r="D117">
        <v>36</v>
      </c>
      <c r="E117">
        <v>1</v>
      </c>
    </row>
    <row r="118" spans="1:5">
      <c r="A118" t="s">
        <v>1322</v>
      </c>
      <c r="B118">
        <v>0</v>
      </c>
      <c r="C118" t="s">
        <v>937</v>
      </c>
      <c r="D118">
        <v>36</v>
      </c>
      <c r="E118">
        <v>1</v>
      </c>
    </row>
    <row r="119" spans="1:5">
      <c r="A119" t="s">
        <v>1324</v>
      </c>
      <c r="B119">
        <v>0</v>
      </c>
      <c r="C119" t="s">
        <v>926</v>
      </c>
      <c r="D119">
        <v>36</v>
      </c>
      <c r="E119">
        <v>1</v>
      </c>
    </row>
    <row r="120" spans="1:5">
      <c r="A120" t="s">
        <v>1326</v>
      </c>
      <c r="B120">
        <v>0</v>
      </c>
      <c r="C120" t="s">
        <v>927</v>
      </c>
      <c r="D120">
        <v>36</v>
      </c>
      <c r="E120">
        <v>1</v>
      </c>
    </row>
    <row r="121" spans="1:5">
      <c r="A121" t="s">
        <v>1328</v>
      </c>
      <c r="B121">
        <v>0</v>
      </c>
      <c r="C121" t="s">
        <v>932</v>
      </c>
      <c r="D121">
        <v>36</v>
      </c>
      <c r="E121">
        <v>1</v>
      </c>
    </row>
    <row r="122" spans="1:5">
      <c r="A122" t="s">
        <v>1330</v>
      </c>
      <c r="B122">
        <v>0</v>
      </c>
      <c r="C122" t="s">
        <v>933</v>
      </c>
      <c r="D122">
        <v>36</v>
      </c>
      <c r="E122">
        <v>1</v>
      </c>
    </row>
    <row r="123" spans="1:5">
      <c r="A123" t="s">
        <v>1332</v>
      </c>
      <c r="B123">
        <v>0</v>
      </c>
      <c r="C123" t="s">
        <v>934</v>
      </c>
      <c r="D123">
        <v>36</v>
      </c>
      <c r="E123">
        <v>1</v>
      </c>
    </row>
    <row r="124" spans="1:5">
      <c r="A124" t="s">
        <v>1334</v>
      </c>
      <c r="B124">
        <v>0</v>
      </c>
      <c r="C124" t="s">
        <v>935</v>
      </c>
      <c r="D124">
        <v>36</v>
      </c>
      <c r="E124">
        <v>1</v>
      </c>
    </row>
    <row r="125" spans="1:5">
      <c r="A125" t="s">
        <v>1336</v>
      </c>
      <c r="B125">
        <v>0</v>
      </c>
      <c r="C125" t="s">
        <v>930</v>
      </c>
      <c r="D125">
        <v>36</v>
      </c>
      <c r="E125">
        <v>1</v>
      </c>
    </row>
    <row r="126" spans="1:5">
      <c r="A126" t="s">
        <v>1338</v>
      </c>
      <c r="B126">
        <v>0</v>
      </c>
      <c r="C126" t="s">
        <v>931</v>
      </c>
      <c r="D126">
        <v>36</v>
      </c>
      <c r="E126">
        <v>1</v>
      </c>
    </row>
    <row r="127" spans="1:5">
      <c r="A127" t="s">
        <v>1340</v>
      </c>
      <c r="B127">
        <v>0</v>
      </c>
      <c r="C127" t="s">
        <v>975</v>
      </c>
      <c r="D127">
        <v>24</v>
      </c>
      <c r="E127">
        <v>1</v>
      </c>
    </row>
    <row r="128" spans="1:5">
      <c r="A128" t="s">
        <v>1342</v>
      </c>
      <c r="B128">
        <v>0</v>
      </c>
      <c r="C128" t="s">
        <v>976</v>
      </c>
      <c r="D128">
        <v>24</v>
      </c>
      <c r="E128">
        <v>1</v>
      </c>
    </row>
    <row r="129" spans="1:5">
      <c r="A129" t="s">
        <v>1344</v>
      </c>
      <c r="B129">
        <v>0</v>
      </c>
      <c r="C129" t="s">
        <v>960</v>
      </c>
      <c r="D129">
        <v>36</v>
      </c>
      <c r="E129">
        <v>1</v>
      </c>
    </row>
    <row r="130" spans="1:5">
      <c r="A130" t="s">
        <v>1346</v>
      </c>
      <c r="B130">
        <v>0</v>
      </c>
      <c r="C130" t="s">
        <v>961</v>
      </c>
      <c r="D130">
        <v>36</v>
      </c>
      <c r="E130">
        <v>1</v>
      </c>
    </row>
    <row r="131" spans="1:5">
      <c r="A131" t="s">
        <v>1348</v>
      </c>
      <c r="B131">
        <v>0</v>
      </c>
      <c r="C131" t="s">
        <v>962</v>
      </c>
      <c r="D131">
        <v>36</v>
      </c>
      <c r="E131">
        <v>1</v>
      </c>
    </row>
    <row r="132" spans="1:5">
      <c r="A132" t="s">
        <v>1350</v>
      </c>
      <c r="B132">
        <v>0</v>
      </c>
      <c r="C132" t="s">
        <v>963</v>
      </c>
      <c r="D132">
        <v>36</v>
      </c>
      <c r="E132">
        <v>1</v>
      </c>
    </row>
    <row r="133" spans="1:5">
      <c r="A133" t="s">
        <v>1352</v>
      </c>
      <c r="B133">
        <v>0</v>
      </c>
      <c r="C133" t="s">
        <v>964</v>
      </c>
      <c r="D133">
        <v>36</v>
      </c>
      <c r="E133">
        <v>1</v>
      </c>
    </row>
    <row r="134" spans="1:5">
      <c r="A134" t="s">
        <v>1354</v>
      </c>
      <c r="B134">
        <v>0</v>
      </c>
      <c r="C134" t="s">
        <v>965</v>
      </c>
      <c r="D134">
        <v>36</v>
      </c>
      <c r="E134">
        <v>1</v>
      </c>
    </row>
    <row r="135" spans="1:5">
      <c r="A135" t="s">
        <v>1356</v>
      </c>
      <c r="B135">
        <v>0</v>
      </c>
      <c r="C135" t="s">
        <v>966</v>
      </c>
      <c r="D135">
        <v>36</v>
      </c>
      <c r="E135">
        <v>1</v>
      </c>
    </row>
    <row r="136" spans="1:5">
      <c r="A136" t="s">
        <v>1358</v>
      </c>
      <c r="B136">
        <v>0</v>
      </c>
      <c r="C136" t="s">
        <v>967</v>
      </c>
      <c r="D136">
        <v>36</v>
      </c>
      <c r="E136">
        <v>1</v>
      </c>
    </row>
    <row r="137" spans="1:5">
      <c r="A137" t="s">
        <v>1360</v>
      </c>
      <c r="B137">
        <v>0</v>
      </c>
      <c r="C137" t="s">
        <v>952</v>
      </c>
      <c r="D137">
        <v>36</v>
      </c>
      <c r="E137">
        <v>1</v>
      </c>
    </row>
    <row r="138" spans="1:5">
      <c r="A138" t="s">
        <v>1362</v>
      </c>
      <c r="B138">
        <v>0</v>
      </c>
      <c r="C138" t="s">
        <v>953</v>
      </c>
      <c r="D138">
        <v>36</v>
      </c>
      <c r="E138">
        <v>1</v>
      </c>
    </row>
    <row r="139" spans="1:5">
      <c r="A139" t="s">
        <v>1364</v>
      </c>
      <c r="B139">
        <v>0</v>
      </c>
      <c r="C139" t="s">
        <v>954</v>
      </c>
      <c r="D139">
        <v>36</v>
      </c>
      <c r="E139">
        <v>1</v>
      </c>
    </row>
    <row r="140" spans="1:5">
      <c r="A140" t="s">
        <v>1366</v>
      </c>
      <c r="B140">
        <v>0</v>
      </c>
      <c r="C140" t="s">
        <v>955</v>
      </c>
      <c r="D140">
        <v>36</v>
      </c>
      <c r="E140">
        <v>1</v>
      </c>
    </row>
    <row r="141" spans="1:5">
      <c r="A141" t="s">
        <v>1368</v>
      </c>
      <c r="B141">
        <v>0</v>
      </c>
      <c r="C141" t="s">
        <v>956</v>
      </c>
      <c r="D141">
        <v>36</v>
      </c>
      <c r="E141">
        <v>1</v>
      </c>
    </row>
    <row r="142" spans="1:5">
      <c r="A142" t="s">
        <v>1370</v>
      </c>
      <c r="B142">
        <v>0</v>
      </c>
      <c r="C142" t="s">
        <v>957</v>
      </c>
      <c r="D142">
        <v>36</v>
      </c>
      <c r="E142">
        <v>1</v>
      </c>
    </row>
    <row r="143" spans="1:5">
      <c r="A143" t="s">
        <v>1372</v>
      </c>
      <c r="B143">
        <v>0</v>
      </c>
      <c r="C143" t="s">
        <v>958</v>
      </c>
      <c r="D143">
        <v>36</v>
      </c>
      <c r="E143">
        <v>1</v>
      </c>
    </row>
    <row r="144" spans="1:5">
      <c r="A144" t="s">
        <v>1374</v>
      </c>
      <c r="B144">
        <v>0</v>
      </c>
      <c r="C144" t="s">
        <v>959</v>
      </c>
      <c r="D144">
        <v>36</v>
      </c>
      <c r="E144">
        <v>1</v>
      </c>
    </row>
    <row r="145" spans="1:5">
      <c r="A145" t="s">
        <v>1376</v>
      </c>
      <c r="B145">
        <v>0</v>
      </c>
      <c r="C145" t="s">
        <v>942</v>
      </c>
      <c r="D145">
        <v>36</v>
      </c>
      <c r="E145">
        <v>1</v>
      </c>
    </row>
    <row r="146" spans="1:5">
      <c r="A146" t="s">
        <v>1376</v>
      </c>
      <c r="B146">
        <v>0</v>
      </c>
      <c r="C146" t="s">
        <v>943</v>
      </c>
      <c r="D146">
        <v>36</v>
      </c>
      <c r="E146">
        <v>2</v>
      </c>
    </row>
    <row r="147" spans="1:5">
      <c r="A147" t="s">
        <v>1378</v>
      </c>
      <c r="B147">
        <v>0</v>
      </c>
      <c r="C147" t="s">
        <v>944</v>
      </c>
      <c r="D147">
        <v>36</v>
      </c>
      <c r="E147">
        <v>1</v>
      </c>
    </row>
    <row r="148" spans="1:5">
      <c r="A148" t="s">
        <v>1378</v>
      </c>
      <c r="B148">
        <v>0</v>
      </c>
      <c r="C148" t="s">
        <v>945</v>
      </c>
      <c r="D148">
        <v>36</v>
      </c>
      <c r="E148">
        <v>2</v>
      </c>
    </row>
    <row r="149" spans="1:5">
      <c r="A149" t="s">
        <v>1380</v>
      </c>
      <c r="B149">
        <v>0</v>
      </c>
      <c r="C149" t="s">
        <v>946</v>
      </c>
      <c r="D149">
        <v>36</v>
      </c>
      <c r="E149">
        <v>1</v>
      </c>
    </row>
    <row r="150" spans="1:5">
      <c r="A150" t="s">
        <v>1380</v>
      </c>
      <c r="B150">
        <v>0</v>
      </c>
      <c r="C150" t="s">
        <v>947</v>
      </c>
      <c r="D150">
        <v>36</v>
      </c>
      <c r="E150">
        <v>2</v>
      </c>
    </row>
    <row r="151" spans="1:5">
      <c r="A151" t="s">
        <v>1382</v>
      </c>
      <c r="B151">
        <v>0</v>
      </c>
      <c r="C151" t="s">
        <v>948</v>
      </c>
      <c r="D151">
        <v>36</v>
      </c>
      <c r="E151">
        <v>1</v>
      </c>
    </row>
    <row r="152" spans="1:5">
      <c r="A152" t="s">
        <v>1382</v>
      </c>
      <c r="B152">
        <v>0</v>
      </c>
      <c r="C152" t="s">
        <v>949</v>
      </c>
      <c r="D152">
        <v>36</v>
      </c>
      <c r="E152">
        <v>2</v>
      </c>
    </row>
    <row r="153" spans="1:5">
      <c r="A153" t="s">
        <v>1384</v>
      </c>
      <c r="B153">
        <v>0</v>
      </c>
      <c r="C153" t="s">
        <v>950</v>
      </c>
      <c r="D153">
        <v>36</v>
      </c>
      <c r="E153">
        <v>1</v>
      </c>
    </row>
    <row r="154" spans="1:5">
      <c r="A154" t="s">
        <v>1384</v>
      </c>
      <c r="B154">
        <v>0</v>
      </c>
      <c r="C154" t="s">
        <v>951</v>
      </c>
      <c r="D154">
        <v>36</v>
      </c>
      <c r="E154">
        <v>2</v>
      </c>
    </row>
    <row r="155" spans="1:5">
      <c r="A155" t="s">
        <v>1386</v>
      </c>
      <c r="B155">
        <v>0</v>
      </c>
      <c r="C155" t="s">
        <v>977</v>
      </c>
      <c r="D155">
        <v>36</v>
      </c>
      <c r="E155">
        <v>1</v>
      </c>
    </row>
    <row r="156" spans="1:5">
      <c r="A156" t="s">
        <v>1388</v>
      </c>
      <c r="B156">
        <v>0</v>
      </c>
      <c r="C156" t="s">
        <v>978</v>
      </c>
      <c r="D156">
        <v>36</v>
      </c>
      <c r="E156">
        <v>1</v>
      </c>
    </row>
    <row r="157" spans="1:5">
      <c r="A157" t="s">
        <v>1390</v>
      </c>
      <c r="B157">
        <v>0</v>
      </c>
      <c r="C157" t="s">
        <v>968</v>
      </c>
      <c r="D157">
        <v>36</v>
      </c>
      <c r="E157">
        <v>1</v>
      </c>
    </row>
    <row r="158" spans="1:5">
      <c r="A158" t="s">
        <v>1394</v>
      </c>
      <c r="B158">
        <v>0</v>
      </c>
      <c r="C158" t="s">
        <v>970</v>
      </c>
      <c r="D158">
        <v>36</v>
      </c>
      <c r="E158">
        <v>1</v>
      </c>
    </row>
    <row r="159" spans="1:5">
      <c r="A159" t="s">
        <v>1399</v>
      </c>
      <c r="B159">
        <v>0</v>
      </c>
      <c r="C159" t="s">
        <v>972</v>
      </c>
      <c r="D159">
        <v>36</v>
      </c>
      <c r="E159">
        <v>1</v>
      </c>
    </row>
    <row r="160" spans="1:5">
      <c r="A160" t="s">
        <v>1401</v>
      </c>
      <c r="B160">
        <v>0</v>
      </c>
      <c r="C160" t="s">
        <v>973</v>
      </c>
      <c r="D160">
        <v>36</v>
      </c>
      <c r="E160">
        <v>1</v>
      </c>
    </row>
    <row r="161" spans="1:5">
      <c r="A161" t="s">
        <v>1403</v>
      </c>
      <c r="B161">
        <v>0</v>
      </c>
      <c r="C161" t="s">
        <v>974</v>
      </c>
      <c r="D161">
        <v>36</v>
      </c>
      <c r="E161">
        <v>1</v>
      </c>
    </row>
    <row r="162" spans="1:5">
      <c r="A162" t="s">
        <v>1405</v>
      </c>
      <c r="B162">
        <v>0</v>
      </c>
      <c r="C162" t="s">
        <v>751</v>
      </c>
      <c r="D162">
        <v>36</v>
      </c>
      <c r="E162">
        <v>1</v>
      </c>
    </row>
    <row r="163" spans="1:5">
      <c r="A163" t="s">
        <v>1407</v>
      </c>
      <c r="B163">
        <v>0</v>
      </c>
      <c r="C163" t="s">
        <v>716</v>
      </c>
      <c r="D163">
        <v>24</v>
      </c>
      <c r="E163">
        <v>1</v>
      </c>
    </row>
    <row r="164" spans="1:5">
      <c r="A164" t="s">
        <v>1407</v>
      </c>
      <c r="B164">
        <v>0</v>
      </c>
      <c r="C164" t="s">
        <v>715</v>
      </c>
      <c r="D164">
        <v>24</v>
      </c>
      <c r="E164">
        <v>1</v>
      </c>
    </row>
    <row r="165" spans="1:5">
      <c r="A165" t="s">
        <v>1411</v>
      </c>
      <c r="B165">
        <v>0</v>
      </c>
      <c r="C165" t="s">
        <v>717</v>
      </c>
      <c r="D165">
        <v>24</v>
      </c>
      <c r="E165">
        <v>1</v>
      </c>
    </row>
    <row r="166" spans="1:5">
      <c r="A166" t="s">
        <v>1413</v>
      </c>
      <c r="B166">
        <v>0</v>
      </c>
      <c r="C166" t="s">
        <v>718</v>
      </c>
      <c r="D166">
        <v>24</v>
      </c>
      <c r="E166">
        <v>1</v>
      </c>
    </row>
    <row r="167" spans="1:5">
      <c r="A167" t="s">
        <v>1415</v>
      </c>
      <c r="B167">
        <v>0</v>
      </c>
      <c r="C167" t="s">
        <v>669</v>
      </c>
      <c r="D167">
        <v>36</v>
      </c>
      <c r="E167">
        <v>1</v>
      </c>
    </row>
    <row r="168" spans="1:5">
      <c r="A168" t="s">
        <v>1415</v>
      </c>
      <c r="B168">
        <v>0</v>
      </c>
      <c r="C168" t="s">
        <v>670</v>
      </c>
      <c r="D168">
        <v>36</v>
      </c>
      <c r="E168">
        <v>2</v>
      </c>
    </row>
    <row r="169" spans="1:5">
      <c r="A169" t="s">
        <v>1415</v>
      </c>
      <c r="B169">
        <v>0</v>
      </c>
      <c r="C169" t="s">
        <v>671</v>
      </c>
      <c r="D169">
        <v>36</v>
      </c>
      <c r="E169">
        <v>3</v>
      </c>
    </row>
    <row r="170" spans="1:5">
      <c r="A170" t="s">
        <v>1417</v>
      </c>
      <c r="B170">
        <v>0</v>
      </c>
      <c r="C170" t="s">
        <v>674</v>
      </c>
      <c r="D170">
        <v>36</v>
      </c>
      <c r="E170">
        <v>1</v>
      </c>
    </row>
    <row r="171" spans="1:5">
      <c r="A171" t="s">
        <v>1425</v>
      </c>
      <c r="B171">
        <v>0</v>
      </c>
      <c r="C171" t="s">
        <v>672</v>
      </c>
      <c r="D171">
        <v>36</v>
      </c>
      <c r="E171">
        <v>1</v>
      </c>
    </row>
    <row r="172" spans="1:5">
      <c r="A172" t="s">
        <v>1431</v>
      </c>
      <c r="B172">
        <v>0</v>
      </c>
      <c r="C172" t="s">
        <v>693</v>
      </c>
      <c r="D172">
        <v>36</v>
      </c>
      <c r="E172">
        <v>1</v>
      </c>
    </row>
    <row r="173" spans="1:5">
      <c r="A173" t="s">
        <v>1435</v>
      </c>
      <c r="B173">
        <v>0</v>
      </c>
      <c r="C173" t="s">
        <v>788</v>
      </c>
      <c r="D173">
        <v>36</v>
      </c>
      <c r="E173">
        <v>1</v>
      </c>
    </row>
    <row r="174" spans="1:5">
      <c r="A174" t="s">
        <v>2660</v>
      </c>
      <c r="B174">
        <v>0</v>
      </c>
      <c r="C174" t="s">
        <v>694</v>
      </c>
      <c r="D174">
        <v>24</v>
      </c>
      <c r="E174">
        <v>1</v>
      </c>
    </row>
    <row r="175" spans="1:5">
      <c r="A175" t="s">
        <v>2661</v>
      </c>
      <c r="B175">
        <v>0</v>
      </c>
      <c r="C175" t="s">
        <v>700</v>
      </c>
      <c r="D175">
        <v>120</v>
      </c>
      <c r="E175">
        <v>1</v>
      </c>
    </row>
    <row r="176" spans="1:5">
      <c r="A176" t="s">
        <v>2661</v>
      </c>
      <c r="B176">
        <v>0</v>
      </c>
      <c r="C176" t="s">
        <v>702</v>
      </c>
      <c r="D176">
        <v>24</v>
      </c>
      <c r="E176">
        <v>2</v>
      </c>
    </row>
    <row r="177" spans="1:5">
      <c r="A177" t="s">
        <v>1468</v>
      </c>
      <c r="B177">
        <v>0</v>
      </c>
      <c r="C177" t="s">
        <v>762</v>
      </c>
      <c r="D177">
        <v>12</v>
      </c>
      <c r="E177">
        <v>1</v>
      </c>
    </row>
    <row r="178" spans="1:5">
      <c r="A178" t="s">
        <v>1476</v>
      </c>
      <c r="B178">
        <v>0</v>
      </c>
      <c r="C178" t="s">
        <v>712</v>
      </c>
      <c r="D178">
        <v>24</v>
      </c>
      <c r="E178">
        <v>1</v>
      </c>
    </row>
    <row r="179" spans="1:5">
      <c r="A179" t="s">
        <v>1498</v>
      </c>
      <c r="B179">
        <v>0</v>
      </c>
      <c r="C179" t="s">
        <v>748</v>
      </c>
      <c r="D179">
        <v>36</v>
      </c>
      <c r="E179">
        <v>1</v>
      </c>
    </row>
    <row r="180" spans="1:5">
      <c r="A180" t="s">
        <v>1500</v>
      </c>
      <c r="B180">
        <v>0</v>
      </c>
      <c r="C180" t="s">
        <v>749</v>
      </c>
      <c r="D180">
        <v>36</v>
      </c>
      <c r="E180">
        <v>1</v>
      </c>
    </row>
    <row r="181" spans="1:5">
      <c r="A181" t="s">
        <v>1502</v>
      </c>
      <c r="B181">
        <v>0</v>
      </c>
      <c r="C181" t="s">
        <v>738</v>
      </c>
      <c r="D181">
        <v>36</v>
      </c>
      <c r="E181">
        <v>1</v>
      </c>
    </row>
    <row r="182" spans="1:5">
      <c r="A182" t="s">
        <v>1504</v>
      </c>
      <c r="B182">
        <v>0</v>
      </c>
      <c r="C182" t="s">
        <v>739</v>
      </c>
      <c r="D182">
        <v>36</v>
      </c>
      <c r="E182">
        <v>1</v>
      </c>
    </row>
    <row r="183" spans="1:5">
      <c r="A183" t="s">
        <v>1506</v>
      </c>
      <c r="B183">
        <v>0</v>
      </c>
      <c r="C183" t="s">
        <v>746</v>
      </c>
      <c r="D183">
        <v>36</v>
      </c>
      <c r="E183">
        <v>1</v>
      </c>
    </row>
    <row r="184" spans="1:5">
      <c r="A184" t="s">
        <v>1508</v>
      </c>
      <c r="B184">
        <v>0</v>
      </c>
      <c r="C184" t="s">
        <v>747</v>
      </c>
      <c r="D184">
        <v>36</v>
      </c>
      <c r="E184">
        <v>1</v>
      </c>
    </row>
    <row r="185" spans="1:5">
      <c r="A185" t="s">
        <v>1510</v>
      </c>
      <c r="B185">
        <v>0</v>
      </c>
      <c r="C185" t="s">
        <v>742</v>
      </c>
      <c r="D185">
        <v>36</v>
      </c>
      <c r="E185">
        <v>1</v>
      </c>
    </row>
    <row r="186" spans="1:5">
      <c r="A186" t="s">
        <v>1512</v>
      </c>
      <c r="B186">
        <v>0</v>
      </c>
      <c r="C186" t="s">
        <v>743</v>
      </c>
      <c r="D186">
        <v>36</v>
      </c>
      <c r="E186">
        <v>1</v>
      </c>
    </row>
    <row r="187" spans="1:5">
      <c r="A187" t="s">
        <v>1514</v>
      </c>
      <c r="B187">
        <v>0</v>
      </c>
      <c r="C187" t="s">
        <v>740</v>
      </c>
      <c r="D187">
        <v>36</v>
      </c>
      <c r="E187">
        <v>1</v>
      </c>
    </row>
    <row r="188" spans="1:5">
      <c r="A188" t="s">
        <v>1516</v>
      </c>
      <c r="B188">
        <v>0</v>
      </c>
      <c r="C188" t="s">
        <v>741</v>
      </c>
      <c r="D188">
        <v>36</v>
      </c>
      <c r="E188">
        <v>1</v>
      </c>
    </row>
    <row r="189" spans="1:5">
      <c r="A189" t="s">
        <v>1518</v>
      </c>
      <c r="B189">
        <v>0</v>
      </c>
      <c r="C189" t="s">
        <v>734</v>
      </c>
      <c r="D189">
        <v>36</v>
      </c>
      <c r="E189">
        <v>1</v>
      </c>
    </row>
    <row r="190" spans="1:5">
      <c r="A190" t="s">
        <v>1520</v>
      </c>
      <c r="B190">
        <v>0</v>
      </c>
      <c r="C190" t="s">
        <v>726</v>
      </c>
      <c r="D190">
        <v>36</v>
      </c>
      <c r="E190">
        <v>1</v>
      </c>
    </row>
    <row r="191" spans="1:5">
      <c r="A191" t="s">
        <v>1520</v>
      </c>
      <c r="B191">
        <v>0</v>
      </c>
      <c r="C191" t="s">
        <v>727</v>
      </c>
      <c r="D191">
        <v>36</v>
      </c>
      <c r="E191">
        <v>2</v>
      </c>
    </row>
    <row r="192" spans="1:5">
      <c r="A192" t="s">
        <v>1522</v>
      </c>
      <c r="B192">
        <v>0</v>
      </c>
      <c r="C192" t="s">
        <v>750</v>
      </c>
      <c r="D192">
        <v>36</v>
      </c>
      <c r="E192">
        <v>1</v>
      </c>
    </row>
    <row r="193" spans="1:5">
      <c r="A193" t="s">
        <v>1524</v>
      </c>
      <c r="B193">
        <v>0</v>
      </c>
      <c r="C193" t="s">
        <v>728</v>
      </c>
      <c r="D193">
        <v>36</v>
      </c>
      <c r="E193">
        <v>1</v>
      </c>
    </row>
    <row r="194" spans="1:5">
      <c r="A194" t="s">
        <v>1524</v>
      </c>
      <c r="B194">
        <v>0</v>
      </c>
      <c r="C194" t="s">
        <v>729</v>
      </c>
      <c r="D194">
        <v>36</v>
      </c>
      <c r="E194">
        <v>2</v>
      </c>
    </row>
    <row r="195" spans="1:5">
      <c r="A195" t="s">
        <v>1526</v>
      </c>
      <c r="B195">
        <v>0</v>
      </c>
      <c r="C195" t="s">
        <v>685</v>
      </c>
      <c r="D195">
        <v>36</v>
      </c>
      <c r="E195">
        <v>1</v>
      </c>
    </row>
    <row r="196" spans="1:5">
      <c r="A196" t="s">
        <v>1528</v>
      </c>
      <c r="B196">
        <v>0</v>
      </c>
      <c r="C196" t="s">
        <v>686</v>
      </c>
      <c r="D196">
        <v>36</v>
      </c>
      <c r="E196">
        <v>1</v>
      </c>
    </row>
    <row r="197" spans="1:5">
      <c r="A197" t="s">
        <v>1530</v>
      </c>
      <c r="B197">
        <v>0</v>
      </c>
      <c r="C197" t="s">
        <v>735</v>
      </c>
      <c r="D197">
        <v>36</v>
      </c>
      <c r="E197">
        <v>1</v>
      </c>
    </row>
    <row r="198" spans="1:5">
      <c r="A198" t="s">
        <v>1532</v>
      </c>
      <c r="B198">
        <v>0</v>
      </c>
      <c r="C198" t="s">
        <v>687</v>
      </c>
      <c r="D198">
        <v>36</v>
      </c>
      <c r="E198">
        <v>1</v>
      </c>
    </row>
    <row r="199" spans="1:5">
      <c r="A199" t="s">
        <v>1534</v>
      </c>
      <c r="B199">
        <v>0</v>
      </c>
      <c r="C199" t="s">
        <v>688</v>
      </c>
      <c r="D199">
        <v>36</v>
      </c>
      <c r="E199">
        <v>1</v>
      </c>
    </row>
    <row r="200" spans="1:5">
      <c r="A200" t="s">
        <v>1536</v>
      </c>
      <c r="B200">
        <v>0</v>
      </c>
      <c r="C200" t="s">
        <v>689</v>
      </c>
      <c r="D200">
        <v>36</v>
      </c>
      <c r="E200">
        <v>1</v>
      </c>
    </row>
    <row r="201" spans="1:5">
      <c r="A201" t="s">
        <v>1538</v>
      </c>
      <c r="B201">
        <v>0</v>
      </c>
      <c r="C201" t="s">
        <v>690</v>
      </c>
      <c r="D201">
        <v>36</v>
      </c>
      <c r="E201">
        <v>1</v>
      </c>
    </row>
    <row r="202" spans="1:5">
      <c r="A202" t="s">
        <v>1540</v>
      </c>
      <c r="B202">
        <v>0</v>
      </c>
      <c r="C202" t="s">
        <v>732</v>
      </c>
      <c r="D202">
        <v>36</v>
      </c>
      <c r="E202">
        <v>1</v>
      </c>
    </row>
    <row r="203" spans="1:5">
      <c r="A203" t="s">
        <v>1540</v>
      </c>
      <c r="B203">
        <v>0</v>
      </c>
      <c r="C203" t="s">
        <v>733</v>
      </c>
      <c r="D203">
        <v>36</v>
      </c>
      <c r="E203">
        <v>2</v>
      </c>
    </row>
    <row r="204" spans="1:5">
      <c r="A204" t="s">
        <v>1542</v>
      </c>
      <c r="B204">
        <v>0</v>
      </c>
      <c r="C204" t="s">
        <v>730</v>
      </c>
      <c r="D204">
        <v>36</v>
      </c>
      <c r="E204">
        <v>1</v>
      </c>
    </row>
    <row r="205" spans="1:5">
      <c r="A205" t="s">
        <v>1542</v>
      </c>
      <c r="B205">
        <v>0</v>
      </c>
      <c r="C205" t="s">
        <v>731</v>
      </c>
      <c r="D205">
        <v>36</v>
      </c>
      <c r="E205">
        <v>2</v>
      </c>
    </row>
    <row r="206" spans="1:5">
      <c r="A206" t="s">
        <v>1544</v>
      </c>
      <c r="B206">
        <v>0</v>
      </c>
      <c r="C206" t="s">
        <v>691</v>
      </c>
      <c r="D206">
        <v>72</v>
      </c>
      <c r="E206">
        <v>1</v>
      </c>
    </row>
    <row r="207" spans="1:5">
      <c r="A207" t="s">
        <v>1547</v>
      </c>
      <c r="B207">
        <v>0</v>
      </c>
      <c r="C207" t="s">
        <v>719</v>
      </c>
      <c r="D207">
        <v>24</v>
      </c>
      <c r="E207">
        <v>1</v>
      </c>
    </row>
    <row r="208" spans="1:5">
      <c r="A208" t="s">
        <v>1551</v>
      </c>
      <c r="B208">
        <v>0</v>
      </c>
      <c r="C208" t="s">
        <v>776</v>
      </c>
      <c r="D208">
        <v>24</v>
      </c>
      <c r="E208">
        <v>1</v>
      </c>
    </row>
    <row r="209" spans="1:5">
      <c r="A209" t="s">
        <v>1553</v>
      </c>
      <c r="B209">
        <v>0</v>
      </c>
      <c r="C209" t="s">
        <v>721</v>
      </c>
      <c r="D209">
        <v>24</v>
      </c>
      <c r="E209">
        <v>1</v>
      </c>
    </row>
    <row r="210" spans="1:5">
      <c r="A210" t="s">
        <v>1553</v>
      </c>
      <c r="B210">
        <v>0</v>
      </c>
      <c r="C210" t="s">
        <v>720</v>
      </c>
      <c r="D210">
        <v>24</v>
      </c>
      <c r="E210">
        <v>1</v>
      </c>
    </row>
    <row r="211" spans="1:5">
      <c r="A211" t="s">
        <v>1558</v>
      </c>
      <c r="B211">
        <v>0</v>
      </c>
      <c r="C211" t="s">
        <v>725</v>
      </c>
      <c r="D211">
        <v>24</v>
      </c>
      <c r="E211">
        <v>1</v>
      </c>
    </row>
    <row r="212" spans="1:5">
      <c r="A212" t="s">
        <v>1560</v>
      </c>
      <c r="B212">
        <v>0</v>
      </c>
      <c r="C212" t="s">
        <v>999</v>
      </c>
      <c r="D212">
        <v>24</v>
      </c>
      <c r="E212">
        <v>1</v>
      </c>
    </row>
    <row r="213" spans="1:5">
      <c r="A213" t="s">
        <v>1562</v>
      </c>
      <c r="B213">
        <v>0</v>
      </c>
      <c r="C213" t="s">
        <v>1000</v>
      </c>
      <c r="D213">
        <v>24</v>
      </c>
      <c r="E213">
        <v>1</v>
      </c>
    </row>
    <row r="214" spans="1:5">
      <c r="A214" t="s">
        <v>1564</v>
      </c>
      <c r="B214">
        <v>0</v>
      </c>
      <c r="C214" t="s">
        <v>1001</v>
      </c>
      <c r="D214">
        <v>24</v>
      </c>
      <c r="E214">
        <v>1</v>
      </c>
    </row>
    <row r="215" spans="1:5">
      <c r="A215" t="s">
        <v>1566</v>
      </c>
      <c r="B215">
        <v>0</v>
      </c>
      <c r="C215" t="s">
        <v>1002</v>
      </c>
      <c r="D215">
        <v>24</v>
      </c>
      <c r="E215">
        <v>1</v>
      </c>
    </row>
    <row r="216" spans="1:5">
      <c r="A216" t="s">
        <v>1568</v>
      </c>
      <c r="B216">
        <v>0</v>
      </c>
      <c r="C216" t="s">
        <v>1003</v>
      </c>
      <c r="D216">
        <v>36</v>
      </c>
      <c r="E216">
        <v>1</v>
      </c>
    </row>
    <row r="217" spans="1:5">
      <c r="A217" t="s">
        <v>1572</v>
      </c>
      <c r="B217">
        <v>0</v>
      </c>
      <c r="C217" t="s">
        <v>1005</v>
      </c>
      <c r="D217">
        <v>36</v>
      </c>
      <c r="E217">
        <v>1</v>
      </c>
    </row>
    <row r="218" spans="1:5">
      <c r="A218" t="s">
        <v>1576</v>
      </c>
      <c r="B218">
        <v>0</v>
      </c>
      <c r="C218" t="s">
        <v>1007</v>
      </c>
      <c r="D218">
        <v>36</v>
      </c>
      <c r="E218">
        <v>1</v>
      </c>
    </row>
    <row r="219" spans="1:5">
      <c r="A219" t="s">
        <v>1578</v>
      </c>
      <c r="B219">
        <v>0</v>
      </c>
      <c r="C219" t="s">
        <v>1008</v>
      </c>
      <c r="D219">
        <v>36</v>
      </c>
      <c r="E219">
        <v>1</v>
      </c>
    </row>
    <row r="220" spans="1:5">
      <c r="A220" t="s">
        <v>1582</v>
      </c>
      <c r="B220">
        <v>0</v>
      </c>
      <c r="C220" t="s">
        <v>1010</v>
      </c>
      <c r="D220">
        <v>12</v>
      </c>
      <c r="E220">
        <v>1</v>
      </c>
    </row>
    <row r="221" spans="1:5">
      <c r="A221" t="s">
        <v>1584</v>
      </c>
      <c r="B221">
        <v>0</v>
      </c>
      <c r="C221" t="s">
        <v>1011</v>
      </c>
      <c r="D221">
        <v>12</v>
      </c>
      <c r="E221">
        <v>1</v>
      </c>
    </row>
    <row r="222" spans="1:5">
      <c r="A222" t="s">
        <v>1586</v>
      </c>
      <c r="B222">
        <v>0</v>
      </c>
      <c r="C222" t="s">
        <v>1012</v>
      </c>
      <c r="D222">
        <v>12</v>
      </c>
      <c r="E222">
        <v>1</v>
      </c>
    </row>
    <row r="223" spans="1:5">
      <c r="A223" t="s">
        <v>1588</v>
      </c>
      <c r="B223">
        <v>0</v>
      </c>
      <c r="C223" t="s">
        <v>1013</v>
      </c>
      <c r="D223">
        <v>12</v>
      </c>
      <c r="E223">
        <v>1</v>
      </c>
    </row>
    <row r="224" spans="1:5">
      <c r="A224" t="s">
        <v>1590</v>
      </c>
      <c r="B224">
        <v>0</v>
      </c>
      <c r="C224" t="s">
        <v>1014</v>
      </c>
      <c r="D224">
        <v>12</v>
      </c>
      <c r="E224">
        <v>1</v>
      </c>
    </row>
    <row r="225" spans="1:5">
      <c r="A225" t="s">
        <v>1592</v>
      </c>
      <c r="B225">
        <v>0</v>
      </c>
      <c r="C225" t="s">
        <v>1015</v>
      </c>
      <c r="D225">
        <v>12</v>
      </c>
      <c r="E225">
        <v>1</v>
      </c>
    </row>
    <row r="226" spans="1:5">
      <c r="A226" t="s">
        <v>1594</v>
      </c>
      <c r="B226">
        <v>0</v>
      </c>
      <c r="C226" t="s">
        <v>1016</v>
      </c>
      <c r="D226">
        <v>24</v>
      </c>
      <c r="E226">
        <v>1</v>
      </c>
    </row>
    <row r="227" spans="1:5">
      <c r="A227" t="s">
        <v>1596</v>
      </c>
      <c r="B227">
        <v>0</v>
      </c>
      <c r="C227" t="s">
        <v>1017</v>
      </c>
      <c r="D227">
        <v>24</v>
      </c>
      <c r="E227">
        <v>1</v>
      </c>
    </row>
    <row r="228" spans="1:5">
      <c r="A228" t="s">
        <v>1598</v>
      </c>
      <c r="B228">
        <v>0</v>
      </c>
      <c r="C228" t="s">
        <v>1018</v>
      </c>
      <c r="D228">
        <v>24</v>
      </c>
      <c r="E228">
        <v>1</v>
      </c>
    </row>
    <row r="229" spans="1:5">
      <c r="A229" t="s">
        <v>1600</v>
      </c>
      <c r="B229">
        <v>0</v>
      </c>
      <c r="C229" t="s">
        <v>439</v>
      </c>
      <c r="D229">
        <v>36</v>
      </c>
      <c r="E229">
        <v>1</v>
      </c>
    </row>
    <row r="230" spans="1:5">
      <c r="A230" t="s">
        <v>1602</v>
      </c>
      <c r="B230">
        <v>0</v>
      </c>
      <c r="C230" t="s">
        <v>440</v>
      </c>
      <c r="D230">
        <v>36</v>
      </c>
      <c r="E230">
        <v>1</v>
      </c>
    </row>
    <row r="231" spans="1:5">
      <c r="A231" t="s">
        <v>1604</v>
      </c>
      <c r="B231">
        <v>0</v>
      </c>
      <c r="C231" t="s">
        <v>441</v>
      </c>
      <c r="D231">
        <v>12</v>
      </c>
      <c r="E231">
        <v>1</v>
      </c>
    </row>
    <row r="232" spans="1:5">
      <c r="A232" t="s">
        <v>1608</v>
      </c>
      <c r="B232">
        <v>0</v>
      </c>
      <c r="C232" t="s">
        <v>444</v>
      </c>
      <c r="D232">
        <v>72</v>
      </c>
      <c r="E232">
        <v>1</v>
      </c>
    </row>
    <row r="233" spans="1:5">
      <c r="A233" t="s">
        <v>1608</v>
      </c>
      <c r="B233">
        <v>0</v>
      </c>
      <c r="C233" t="s">
        <v>445</v>
      </c>
      <c r="D233">
        <v>72</v>
      </c>
      <c r="E233">
        <v>2</v>
      </c>
    </row>
    <row r="234" spans="1:5">
      <c r="A234" t="s">
        <v>1610</v>
      </c>
      <c r="B234">
        <v>0</v>
      </c>
      <c r="C234" t="s">
        <v>446</v>
      </c>
      <c r="D234">
        <v>36</v>
      </c>
      <c r="E234">
        <v>1</v>
      </c>
    </row>
    <row r="235" spans="1:5">
      <c r="A235" t="s">
        <v>1612</v>
      </c>
      <c r="B235">
        <v>0</v>
      </c>
      <c r="C235" t="s">
        <v>447</v>
      </c>
      <c r="D235">
        <v>24</v>
      </c>
      <c r="E235">
        <v>1</v>
      </c>
    </row>
    <row r="236" spans="1:5">
      <c r="A236" t="s">
        <v>1612</v>
      </c>
      <c r="B236">
        <v>0</v>
      </c>
      <c r="C236" t="s">
        <v>448</v>
      </c>
      <c r="D236">
        <v>24</v>
      </c>
      <c r="E236">
        <v>2</v>
      </c>
    </row>
    <row r="237" spans="1:5">
      <c r="A237" t="s">
        <v>1616</v>
      </c>
      <c r="B237">
        <v>0</v>
      </c>
      <c r="C237" t="s">
        <v>450</v>
      </c>
      <c r="D237">
        <v>60</v>
      </c>
      <c r="E237">
        <v>1</v>
      </c>
    </row>
    <row r="238" spans="1:5">
      <c r="A238" t="s">
        <v>1618</v>
      </c>
      <c r="B238">
        <v>0</v>
      </c>
      <c r="C238" t="s">
        <v>612</v>
      </c>
      <c r="D238">
        <v>36</v>
      </c>
      <c r="E238">
        <v>1</v>
      </c>
    </row>
    <row r="239" spans="1:5">
      <c r="A239" t="s">
        <v>1620</v>
      </c>
      <c r="B239">
        <v>0</v>
      </c>
      <c r="C239" t="s">
        <v>613</v>
      </c>
      <c r="D239">
        <v>36</v>
      </c>
      <c r="E239">
        <v>1</v>
      </c>
    </row>
    <row r="240" spans="1:5">
      <c r="A240" t="s">
        <v>1622</v>
      </c>
      <c r="B240">
        <v>0</v>
      </c>
      <c r="C240" t="s">
        <v>614</v>
      </c>
      <c r="D240">
        <v>36</v>
      </c>
      <c r="E240">
        <v>1</v>
      </c>
    </row>
    <row r="241" spans="1:5">
      <c r="A241" t="s">
        <v>1624</v>
      </c>
      <c r="B241">
        <v>0</v>
      </c>
      <c r="C241" t="s">
        <v>615</v>
      </c>
      <c r="D241">
        <v>36</v>
      </c>
      <c r="E241">
        <v>1</v>
      </c>
    </row>
    <row r="242" spans="1:5">
      <c r="A242" t="s">
        <v>1626</v>
      </c>
      <c r="B242">
        <v>0</v>
      </c>
      <c r="C242" t="s">
        <v>616</v>
      </c>
      <c r="D242">
        <v>36</v>
      </c>
      <c r="E242">
        <v>1</v>
      </c>
    </row>
    <row r="243" spans="1:5">
      <c r="A243" t="s">
        <v>1628</v>
      </c>
      <c r="B243">
        <v>0</v>
      </c>
      <c r="C243" t="s">
        <v>617</v>
      </c>
      <c r="D243">
        <v>36</v>
      </c>
      <c r="E243">
        <v>1</v>
      </c>
    </row>
    <row r="244" spans="1:5">
      <c r="A244" t="s">
        <v>1630</v>
      </c>
      <c r="B244">
        <v>0</v>
      </c>
      <c r="C244" t="s">
        <v>618</v>
      </c>
      <c r="D244">
        <v>36</v>
      </c>
      <c r="E244">
        <v>1</v>
      </c>
    </row>
    <row r="245" spans="1:5">
      <c r="A245" t="s">
        <v>1632</v>
      </c>
      <c r="B245">
        <v>0</v>
      </c>
      <c r="C245" t="s">
        <v>619</v>
      </c>
      <c r="D245">
        <v>36</v>
      </c>
      <c r="E245">
        <v>1</v>
      </c>
    </row>
    <row r="246" spans="1:5">
      <c r="A246" t="s">
        <v>1636</v>
      </c>
      <c r="B246">
        <v>0</v>
      </c>
      <c r="C246" t="s">
        <v>621</v>
      </c>
      <c r="D246">
        <v>36</v>
      </c>
      <c r="E246">
        <v>1</v>
      </c>
    </row>
    <row r="247" spans="1:5">
      <c r="A247" t="s">
        <v>1638</v>
      </c>
      <c r="B247">
        <v>0</v>
      </c>
      <c r="C247" t="s">
        <v>622</v>
      </c>
      <c r="D247">
        <v>36</v>
      </c>
      <c r="E247">
        <v>1</v>
      </c>
    </row>
    <row r="248" spans="1:5">
      <c r="A248" t="s">
        <v>1640</v>
      </c>
      <c r="B248">
        <v>0</v>
      </c>
      <c r="C248" t="s">
        <v>623</v>
      </c>
      <c r="D248">
        <v>36</v>
      </c>
      <c r="E248">
        <v>1</v>
      </c>
    </row>
    <row r="249" spans="1:5">
      <c r="A249" t="s">
        <v>1644</v>
      </c>
      <c r="B249">
        <v>0</v>
      </c>
      <c r="C249" t="s">
        <v>625</v>
      </c>
      <c r="D249">
        <v>36</v>
      </c>
      <c r="E249">
        <v>1</v>
      </c>
    </row>
    <row r="250" spans="1:5">
      <c r="A250" t="s">
        <v>1646</v>
      </c>
      <c r="B250">
        <v>0</v>
      </c>
      <c r="C250" t="s">
        <v>626</v>
      </c>
      <c r="D250">
        <v>36</v>
      </c>
      <c r="E250">
        <v>1</v>
      </c>
    </row>
    <row r="251" spans="1:5">
      <c r="A251" t="s">
        <v>1648</v>
      </c>
      <c r="B251">
        <v>0</v>
      </c>
      <c r="C251" t="s">
        <v>627</v>
      </c>
      <c r="D251">
        <v>36</v>
      </c>
      <c r="E251">
        <v>1</v>
      </c>
    </row>
    <row r="252" spans="1:5">
      <c r="A252" t="s">
        <v>1650</v>
      </c>
      <c r="B252">
        <v>0</v>
      </c>
      <c r="C252" t="s">
        <v>628</v>
      </c>
      <c r="D252">
        <v>36</v>
      </c>
      <c r="E252">
        <v>1</v>
      </c>
    </row>
    <row r="253" spans="1:5">
      <c r="A253" t="s">
        <v>1652</v>
      </c>
      <c r="B253">
        <v>0</v>
      </c>
      <c r="C253" t="s">
        <v>629</v>
      </c>
      <c r="D253">
        <v>36</v>
      </c>
      <c r="E253">
        <v>1</v>
      </c>
    </row>
    <row r="254" spans="1:5">
      <c r="A254" t="s">
        <v>1654</v>
      </c>
      <c r="B254">
        <v>0</v>
      </c>
      <c r="C254" t="s">
        <v>630</v>
      </c>
      <c r="D254">
        <v>36</v>
      </c>
      <c r="E254">
        <v>1</v>
      </c>
    </row>
    <row r="255" spans="1:5">
      <c r="A255" t="s">
        <v>1656</v>
      </c>
      <c r="B255">
        <v>0</v>
      </c>
      <c r="C255" t="s">
        <v>631</v>
      </c>
      <c r="D255">
        <v>36</v>
      </c>
      <c r="E255">
        <v>1</v>
      </c>
    </row>
    <row r="256" spans="1:5">
      <c r="A256" t="s">
        <v>1658</v>
      </c>
      <c r="B256">
        <v>0</v>
      </c>
      <c r="C256" t="s">
        <v>632</v>
      </c>
      <c r="D256">
        <v>36</v>
      </c>
      <c r="E256">
        <v>1</v>
      </c>
    </row>
    <row r="257" spans="1:5">
      <c r="A257" t="s">
        <v>1660</v>
      </c>
      <c r="B257">
        <v>0</v>
      </c>
      <c r="C257" t="s">
        <v>633</v>
      </c>
      <c r="D257">
        <v>36</v>
      </c>
      <c r="E257">
        <v>1</v>
      </c>
    </row>
    <row r="258" spans="1:5">
      <c r="A258" t="s">
        <v>1662</v>
      </c>
      <c r="B258">
        <v>0</v>
      </c>
      <c r="C258" t="s">
        <v>634</v>
      </c>
      <c r="D258">
        <v>36</v>
      </c>
      <c r="E258">
        <v>1</v>
      </c>
    </row>
    <row r="259" spans="1:5">
      <c r="A259" t="s">
        <v>1664</v>
      </c>
      <c r="B259">
        <v>0</v>
      </c>
      <c r="C259" t="s">
        <v>635</v>
      </c>
      <c r="D259">
        <v>36</v>
      </c>
      <c r="E259">
        <v>1</v>
      </c>
    </row>
    <row r="260" spans="1:5">
      <c r="A260" t="s">
        <v>1666</v>
      </c>
      <c r="B260">
        <v>0</v>
      </c>
      <c r="C260" t="s">
        <v>646</v>
      </c>
      <c r="D260">
        <v>36</v>
      </c>
      <c r="E260">
        <v>1</v>
      </c>
    </row>
    <row r="261" spans="1:5">
      <c r="A261" t="s">
        <v>1668</v>
      </c>
      <c r="B261">
        <v>0</v>
      </c>
      <c r="C261" t="s">
        <v>649</v>
      </c>
      <c r="D261">
        <v>36</v>
      </c>
      <c r="E261">
        <v>1</v>
      </c>
    </row>
    <row r="262" spans="1:5">
      <c r="A262" t="s">
        <v>1670</v>
      </c>
      <c r="B262">
        <v>0</v>
      </c>
      <c r="C262" t="s">
        <v>652</v>
      </c>
      <c r="D262">
        <v>36</v>
      </c>
      <c r="E262">
        <v>1</v>
      </c>
    </row>
    <row r="263" spans="1:5">
      <c r="A263" t="s">
        <v>1672</v>
      </c>
      <c r="B263">
        <v>0</v>
      </c>
      <c r="C263" t="s">
        <v>650</v>
      </c>
      <c r="D263">
        <v>36</v>
      </c>
      <c r="E263">
        <v>1</v>
      </c>
    </row>
    <row r="264" spans="1:5">
      <c r="A264" t="s">
        <v>1674</v>
      </c>
      <c r="B264">
        <v>0</v>
      </c>
      <c r="C264" t="s">
        <v>651</v>
      </c>
      <c r="D264">
        <v>36</v>
      </c>
      <c r="E264">
        <v>1</v>
      </c>
    </row>
    <row r="265" spans="1:5">
      <c r="A265" t="s">
        <v>1676</v>
      </c>
      <c r="B265">
        <v>0</v>
      </c>
      <c r="C265" t="s">
        <v>653</v>
      </c>
      <c r="D265">
        <v>36</v>
      </c>
      <c r="E265">
        <v>1</v>
      </c>
    </row>
    <row r="266" spans="1:5">
      <c r="A266" t="s">
        <v>1678</v>
      </c>
      <c r="B266">
        <v>0</v>
      </c>
      <c r="C266" t="s">
        <v>647</v>
      </c>
      <c r="D266">
        <v>36</v>
      </c>
      <c r="E266">
        <v>1</v>
      </c>
    </row>
    <row r="267" spans="1:5">
      <c r="A267" t="s">
        <v>1680</v>
      </c>
      <c r="B267">
        <v>0</v>
      </c>
      <c r="C267" t="s">
        <v>648</v>
      </c>
      <c r="D267">
        <v>36</v>
      </c>
      <c r="E267">
        <v>1</v>
      </c>
    </row>
    <row r="268" spans="1:5">
      <c r="A268" t="s">
        <v>1682</v>
      </c>
      <c r="B268">
        <v>0</v>
      </c>
      <c r="C268" t="s">
        <v>644</v>
      </c>
      <c r="D268">
        <v>36</v>
      </c>
      <c r="E268">
        <v>1</v>
      </c>
    </row>
    <row r="269" spans="1:5">
      <c r="A269" t="s">
        <v>1684</v>
      </c>
      <c r="B269">
        <v>0</v>
      </c>
      <c r="C269" t="s">
        <v>645</v>
      </c>
      <c r="D269">
        <v>36</v>
      </c>
      <c r="E269">
        <v>1</v>
      </c>
    </row>
    <row r="270" spans="1:5">
      <c r="A270" t="s">
        <v>1686</v>
      </c>
      <c r="B270">
        <v>0</v>
      </c>
      <c r="C270" t="s">
        <v>636</v>
      </c>
      <c r="D270">
        <v>36</v>
      </c>
      <c r="E270">
        <v>1</v>
      </c>
    </row>
    <row r="271" spans="1:5">
      <c r="A271" t="s">
        <v>1688</v>
      </c>
      <c r="B271">
        <v>0</v>
      </c>
      <c r="C271" t="s">
        <v>639</v>
      </c>
      <c r="D271">
        <v>36</v>
      </c>
      <c r="E271">
        <v>1</v>
      </c>
    </row>
    <row r="272" spans="1:5">
      <c r="A272" t="s">
        <v>1690</v>
      </c>
      <c r="B272">
        <v>0</v>
      </c>
      <c r="C272" t="s">
        <v>642</v>
      </c>
      <c r="D272">
        <v>36</v>
      </c>
      <c r="E272">
        <v>1</v>
      </c>
    </row>
    <row r="273" spans="1:5">
      <c r="A273" t="s">
        <v>1692</v>
      </c>
      <c r="B273">
        <v>0</v>
      </c>
      <c r="C273" t="s">
        <v>640</v>
      </c>
      <c r="D273">
        <v>36</v>
      </c>
      <c r="E273">
        <v>1</v>
      </c>
    </row>
    <row r="274" spans="1:5">
      <c r="A274" t="s">
        <v>1694</v>
      </c>
      <c r="B274">
        <v>0</v>
      </c>
      <c r="C274" t="s">
        <v>641</v>
      </c>
      <c r="D274">
        <v>36</v>
      </c>
      <c r="E274">
        <v>1</v>
      </c>
    </row>
    <row r="275" spans="1:5">
      <c r="A275" t="s">
        <v>1696</v>
      </c>
      <c r="B275">
        <v>0</v>
      </c>
      <c r="C275" t="s">
        <v>643</v>
      </c>
      <c r="D275">
        <v>36</v>
      </c>
      <c r="E275">
        <v>1</v>
      </c>
    </row>
    <row r="276" spans="1:5">
      <c r="A276" t="s">
        <v>1698</v>
      </c>
      <c r="B276">
        <v>0</v>
      </c>
      <c r="C276" t="s">
        <v>637</v>
      </c>
      <c r="D276">
        <v>36</v>
      </c>
      <c r="E276">
        <v>1</v>
      </c>
    </row>
    <row r="277" spans="1:5">
      <c r="A277" t="s">
        <v>1700</v>
      </c>
      <c r="B277">
        <v>0</v>
      </c>
      <c r="C277" t="s">
        <v>638</v>
      </c>
      <c r="D277">
        <v>36</v>
      </c>
      <c r="E277">
        <v>1</v>
      </c>
    </row>
    <row r="278" spans="1:5">
      <c r="A278" t="s">
        <v>1702</v>
      </c>
      <c r="B278">
        <v>0</v>
      </c>
      <c r="C278" t="s">
        <v>665</v>
      </c>
      <c r="D278">
        <v>48</v>
      </c>
      <c r="E278">
        <v>1</v>
      </c>
    </row>
    <row r="279" spans="1:5">
      <c r="A279" t="s">
        <v>1704</v>
      </c>
      <c r="B279">
        <v>0</v>
      </c>
      <c r="C279" t="s">
        <v>666</v>
      </c>
      <c r="D279">
        <v>48</v>
      </c>
      <c r="E279">
        <v>1</v>
      </c>
    </row>
    <row r="280" spans="1:5">
      <c r="A280" t="s">
        <v>1706</v>
      </c>
      <c r="B280">
        <v>0</v>
      </c>
      <c r="C280" t="s">
        <v>667</v>
      </c>
      <c r="D280">
        <v>48</v>
      </c>
      <c r="E280">
        <v>1</v>
      </c>
    </row>
    <row r="281" spans="1:5">
      <c r="A281" t="s">
        <v>1708</v>
      </c>
      <c r="B281">
        <v>0</v>
      </c>
      <c r="C281" t="s">
        <v>654</v>
      </c>
      <c r="D281">
        <v>48</v>
      </c>
      <c r="E281">
        <v>1</v>
      </c>
    </row>
    <row r="282" spans="1:5">
      <c r="A282" t="s">
        <v>1710</v>
      </c>
      <c r="B282">
        <v>0</v>
      </c>
      <c r="C282" t="s">
        <v>657</v>
      </c>
      <c r="D282">
        <v>48</v>
      </c>
      <c r="E282">
        <v>1</v>
      </c>
    </row>
    <row r="283" spans="1:5">
      <c r="A283" t="s">
        <v>1710</v>
      </c>
      <c r="B283">
        <v>0</v>
      </c>
      <c r="C283" t="s">
        <v>658</v>
      </c>
      <c r="D283">
        <v>48</v>
      </c>
      <c r="E283">
        <v>2</v>
      </c>
    </row>
    <row r="284" spans="1:5">
      <c r="A284" t="s">
        <v>1712</v>
      </c>
      <c r="B284">
        <v>0</v>
      </c>
      <c r="C284" t="s">
        <v>660</v>
      </c>
      <c r="D284">
        <v>48</v>
      </c>
      <c r="E284">
        <v>1</v>
      </c>
    </row>
    <row r="285" spans="1:5">
      <c r="A285" t="s">
        <v>1712</v>
      </c>
      <c r="B285">
        <v>0</v>
      </c>
      <c r="C285" t="s">
        <v>659</v>
      </c>
      <c r="D285">
        <v>48</v>
      </c>
      <c r="E285">
        <v>2</v>
      </c>
    </row>
    <row r="286" spans="1:5">
      <c r="A286" t="s">
        <v>1714</v>
      </c>
      <c r="B286">
        <v>0</v>
      </c>
      <c r="C286" t="s">
        <v>655</v>
      </c>
      <c r="D286">
        <v>48</v>
      </c>
      <c r="E286">
        <v>1</v>
      </c>
    </row>
    <row r="287" spans="1:5">
      <c r="A287" t="s">
        <v>1716</v>
      </c>
      <c r="B287">
        <v>0</v>
      </c>
      <c r="C287" t="s">
        <v>656</v>
      </c>
      <c r="D287">
        <v>48</v>
      </c>
      <c r="E287">
        <v>1</v>
      </c>
    </row>
    <row r="288" spans="1:5">
      <c r="A288" t="s">
        <v>1718</v>
      </c>
      <c r="B288">
        <v>0</v>
      </c>
      <c r="C288" t="s">
        <v>661</v>
      </c>
      <c r="D288">
        <v>24</v>
      </c>
      <c r="E288">
        <v>1</v>
      </c>
    </row>
    <row r="289" spans="1:5">
      <c r="A289" t="s">
        <v>1718</v>
      </c>
      <c r="B289">
        <v>0</v>
      </c>
      <c r="C289" t="s">
        <v>662</v>
      </c>
      <c r="D289">
        <v>24</v>
      </c>
      <c r="E289">
        <v>2</v>
      </c>
    </row>
    <row r="290" spans="1:5">
      <c r="A290" t="s">
        <v>1720</v>
      </c>
      <c r="B290">
        <v>0</v>
      </c>
      <c r="C290" t="s">
        <v>664</v>
      </c>
      <c r="D290">
        <v>24</v>
      </c>
      <c r="E290">
        <v>1</v>
      </c>
    </row>
    <row r="291" spans="1:5">
      <c r="A291" t="s">
        <v>1720</v>
      </c>
      <c r="B291">
        <v>0</v>
      </c>
      <c r="C291" t="s">
        <v>663</v>
      </c>
      <c r="D291">
        <v>24</v>
      </c>
      <c r="E291">
        <v>2</v>
      </c>
    </row>
    <row r="292" spans="1:5">
      <c r="A292" t="s">
        <v>1722</v>
      </c>
      <c r="B292">
        <v>0</v>
      </c>
      <c r="C292" t="s">
        <v>875</v>
      </c>
      <c r="D292">
        <v>24</v>
      </c>
      <c r="E292">
        <v>1</v>
      </c>
    </row>
    <row r="293" spans="1:5">
      <c r="A293" t="s">
        <v>1724</v>
      </c>
      <c r="B293">
        <v>0</v>
      </c>
      <c r="C293" t="s">
        <v>885</v>
      </c>
      <c r="D293">
        <v>144</v>
      </c>
      <c r="E293">
        <v>1</v>
      </c>
    </row>
    <row r="294" spans="1:5">
      <c r="A294" t="s">
        <v>1726</v>
      </c>
      <c r="B294">
        <v>0</v>
      </c>
      <c r="C294" t="s">
        <v>915</v>
      </c>
      <c r="D294">
        <v>144</v>
      </c>
      <c r="E294">
        <v>1</v>
      </c>
    </row>
    <row r="295" spans="1:5">
      <c r="A295" t="s">
        <v>1728</v>
      </c>
      <c r="B295">
        <v>0</v>
      </c>
      <c r="C295" t="s">
        <v>901</v>
      </c>
      <c r="D295">
        <v>144</v>
      </c>
      <c r="E295">
        <v>1</v>
      </c>
    </row>
    <row r="296" spans="1:5">
      <c r="A296" t="s">
        <v>1730</v>
      </c>
      <c r="B296">
        <v>0</v>
      </c>
      <c r="C296" t="s">
        <v>909</v>
      </c>
      <c r="D296">
        <v>144</v>
      </c>
      <c r="E296">
        <v>1</v>
      </c>
    </row>
    <row r="297" spans="1:5">
      <c r="A297" t="s">
        <v>1732</v>
      </c>
      <c r="B297">
        <v>0</v>
      </c>
      <c r="C297" t="s">
        <v>860</v>
      </c>
      <c r="D297">
        <v>144</v>
      </c>
      <c r="E297">
        <v>1</v>
      </c>
    </row>
    <row r="298" spans="1:5">
      <c r="A298" t="s">
        <v>1732</v>
      </c>
      <c r="B298">
        <v>0</v>
      </c>
      <c r="C298" t="s">
        <v>861</v>
      </c>
      <c r="D298">
        <v>144</v>
      </c>
      <c r="E298">
        <v>2</v>
      </c>
    </row>
    <row r="299" spans="1:5">
      <c r="A299" t="s">
        <v>1735</v>
      </c>
      <c r="B299">
        <v>0</v>
      </c>
      <c r="C299" t="s">
        <v>891</v>
      </c>
      <c r="D299">
        <v>36</v>
      </c>
      <c r="E299">
        <v>1</v>
      </c>
    </row>
    <row r="300" spans="1:5">
      <c r="A300" t="s">
        <v>1737</v>
      </c>
      <c r="B300">
        <v>0</v>
      </c>
      <c r="C300" t="s">
        <v>895</v>
      </c>
      <c r="D300">
        <v>36</v>
      </c>
      <c r="E300">
        <v>1</v>
      </c>
    </row>
    <row r="301" spans="1:5">
      <c r="A301" t="s">
        <v>1739</v>
      </c>
      <c r="B301">
        <v>0</v>
      </c>
      <c r="C301" t="s">
        <v>869</v>
      </c>
      <c r="D301">
        <v>36</v>
      </c>
      <c r="E301">
        <v>1</v>
      </c>
    </row>
    <row r="302" spans="1:5">
      <c r="A302" t="s">
        <v>1741</v>
      </c>
      <c r="B302">
        <v>0</v>
      </c>
      <c r="C302" t="s">
        <v>876</v>
      </c>
      <c r="D302">
        <v>36</v>
      </c>
      <c r="E302">
        <v>1</v>
      </c>
    </row>
    <row r="303" spans="1:5">
      <c r="A303" t="s">
        <v>1743</v>
      </c>
      <c r="B303">
        <v>0</v>
      </c>
      <c r="C303" t="s">
        <v>858</v>
      </c>
      <c r="D303">
        <v>48</v>
      </c>
      <c r="E303">
        <v>1</v>
      </c>
    </row>
    <row r="304" spans="1:5">
      <c r="A304" t="s">
        <v>1743</v>
      </c>
      <c r="B304">
        <v>0</v>
      </c>
      <c r="C304" t="s">
        <v>859</v>
      </c>
      <c r="D304">
        <v>24</v>
      </c>
      <c r="E304">
        <v>1</v>
      </c>
    </row>
    <row r="305" spans="1:5">
      <c r="A305" t="s">
        <v>1747</v>
      </c>
      <c r="B305">
        <v>0</v>
      </c>
      <c r="C305" t="s">
        <v>883</v>
      </c>
      <c r="D305">
        <v>48</v>
      </c>
      <c r="E305">
        <v>1</v>
      </c>
    </row>
    <row r="306" spans="1:5">
      <c r="A306" t="s">
        <v>1749</v>
      </c>
      <c r="B306">
        <v>0</v>
      </c>
      <c r="C306" t="s">
        <v>884</v>
      </c>
      <c r="D306">
        <v>24</v>
      </c>
      <c r="E306">
        <v>1</v>
      </c>
    </row>
    <row r="307" spans="1:5">
      <c r="A307" t="s">
        <v>1751</v>
      </c>
      <c r="B307">
        <v>0</v>
      </c>
      <c r="C307" t="s">
        <v>886</v>
      </c>
      <c r="D307">
        <v>144</v>
      </c>
      <c r="E307">
        <v>1</v>
      </c>
    </row>
    <row r="308" spans="1:5">
      <c r="A308" t="s">
        <v>1754</v>
      </c>
      <c r="B308">
        <v>0</v>
      </c>
      <c r="C308" t="s">
        <v>900</v>
      </c>
      <c r="D308">
        <v>144</v>
      </c>
      <c r="E308">
        <v>1</v>
      </c>
    </row>
    <row r="309" spans="1:5">
      <c r="A309" t="s">
        <v>1759</v>
      </c>
      <c r="B309">
        <v>0</v>
      </c>
      <c r="C309" t="s">
        <v>914</v>
      </c>
      <c r="D309">
        <v>144</v>
      </c>
      <c r="E309">
        <v>1</v>
      </c>
    </row>
    <row r="310" spans="1:5">
      <c r="A310" t="s">
        <v>1761</v>
      </c>
      <c r="B310">
        <v>0</v>
      </c>
      <c r="C310" t="s">
        <v>887</v>
      </c>
      <c r="D310">
        <v>72</v>
      </c>
      <c r="E310">
        <v>1</v>
      </c>
    </row>
    <row r="311" spans="1:5">
      <c r="A311" t="s">
        <v>1763</v>
      </c>
      <c r="B311">
        <v>0</v>
      </c>
      <c r="C311" t="s">
        <v>863</v>
      </c>
      <c r="D311">
        <v>72</v>
      </c>
      <c r="E311">
        <v>1</v>
      </c>
    </row>
    <row r="312" spans="1:5">
      <c r="A312" t="s">
        <v>1765</v>
      </c>
      <c r="B312">
        <v>0</v>
      </c>
      <c r="C312" t="s">
        <v>862</v>
      </c>
      <c r="D312">
        <v>144</v>
      </c>
      <c r="E312">
        <v>1</v>
      </c>
    </row>
    <row r="313" spans="1:5">
      <c r="A313" t="s">
        <v>1767</v>
      </c>
      <c r="B313">
        <v>0</v>
      </c>
      <c r="C313" t="s">
        <v>864</v>
      </c>
      <c r="D313">
        <v>144</v>
      </c>
      <c r="E313">
        <v>1</v>
      </c>
    </row>
    <row r="314" spans="1:5">
      <c r="A314" t="s">
        <v>1771</v>
      </c>
      <c r="B314">
        <v>0</v>
      </c>
      <c r="C314" t="s">
        <v>888</v>
      </c>
      <c r="D314">
        <v>144</v>
      </c>
      <c r="E314">
        <v>1</v>
      </c>
    </row>
    <row r="315" spans="1:5">
      <c r="A315" t="s">
        <v>1775</v>
      </c>
      <c r="B315">
        <v>0</v>
      </c>
      <c r="C315" t="s">
        <v>882</v>
      </c>
      <c r="D315">
        <v>288</v>
      </c>
      <c r="E315">
        <v>1</v>
      </c>
    </row>
    <row r="316" spans="1:5">
      <c r="A316" t="s">
        <v>1779</v>
      </c>
      <c r="B316">
        <v>0</v>
      </c>
      <c r="C316" t="s">
        <v>903</v>
      </c>
      <c r="D316">
        <v>24</v>
      </c>
      <c r="E316">
        <v>1</v>
      </c>
    </row>
    <row r="317" spans="1:5">
      <c r="A317" t="s">
        <v>1781</v>
      </c>
      <c r="B317">
        <v>0</v>
      </c>
      <c r="C317" t="s">
        <v>865</v>
      </c>
      <c r="D317">
        <v>24</v>
      </c>
      <c r="E317">
        <v>1</v>
      </c>
    </row>
    <row r="318" spans="1:5">
      <c r="A318" t="s">
        <v>1785</v>
      </c>
      <c r="B318">
        <v>0</v>
      </c>
      <c r="C318" t="s">
        <v>905</v>
      </c>
      <c r="D318">
        <v>36</v>
      </c>
      <c r="E318">
        <v>1</v>
      </c>
    </row>
    <row r="319" spans="1:5">
      <c r="A319" t="s">
        <v>1787</v>
      </c>
      <c r="B319">
        <v>0</v>
      </c>
      <c r="C319" t="s">
        <v>907</v>
      </c>
      <c r="D319">
        <v>36</v>
      </c>
      <c r="E319">
        <v>1</v>
      </c>
    </row>
    <row r="320" spans="1:5">
      <c r="A320" t="s">
        <v>1789</v>
      </c>
      <c r="B320">
        <v>0</v>
      </c>
      <c r="C320" t="s">
        <v>910</v>
      </c>
      <c r="D320">
        <v>36</v>
      </c>
      <c r="E320">
        <v>1</v>
      </c>
    </row>
    <row r="321" spans="1:5">
      <c r="A321" t="s">
        <v>1791</v>
      </c>
      <c r="B321">
        <v>0</v>
      </c>
      <c r="C321" t="s">
        <v>911</v>
      </c>
      <c r="D321">
        <v>36</v>
      </c>
      <c r="E321">
        <v>1</v>
      </c>
    </row>
    <row r="322" spans="1:5">
      <c r="A322" t="s">
        <v>1793</v>
      </c>
      <c r="B322">
        <v>0</v>
      </c>
      <c r="C322" t="s">
        <v>913</v>
      </c>
      <c r="D322">
        <v>36</v>
      </c>
      <c r="E322">
        <v>1</v>
      </c>
    </row>
    <row r="323" spans="1:5">
      <c r="A323" t="s">
        <v>1795</v>
      </c>
      <c r="B323">
        <v>0</v>
      </c>
      <c r="C323" t="s">
        <v>890</v>
      </c>
      <c r="D323">
        <v>36</v>
      </c>
      <c r="E323">
        <v>1</v>
      </c>
    </row>
    <row r="324" spans="1:5">
      <c r="A324" t="s">
        <v>1797</v>
      </c>
      <c r="B324">
        <v>0</v>
      </c>
      <c r="C324" t="s">
        <v>893</v>
      </c>
      <c r="D324">
        <v>36</v>
      </c>
      <c r="E324">
        <v>1</v>
      </c>
    </row>
    <row r="325" spans="1:5">
      <c r="A325" t="s">
        <v>1799</v>
      </c>
      <c r="B325">
        <v>0</v>
      </c>
      <c r="C325" t="s">
        <v>898</v>
      </c>
      <c r="D325">
        <v>36</v>
      </c>
      <c r="E325">
        <v>1</v>
      </c>
    </row>
    <row r="326" spans="1:5">
      <c r="A326" t="s">
        <v>1801</v>
      </c>
      <c r="B326">
        <v>0</v>
      </c>
      <c r="C326" t="s">
        <v>867</v>
      </c>
      <c r="D326">
        <v>36</v>
      </c>
      <c r="E326">
        <v>1</v>
      </c>
    </row>
    <row r="327" spans="1:5">
      <c r="A327" t="s">
        <v>1801</v>
      </c>
      <c r="B327">
        <v>0</v>
      </c>
      <c r="C327" t="s">
        <v>868</v>
      </c>
      <c r="D327">
        <v>36</v>
      </c>
      <c r="E327">
        <v>2</v>
      </c>
    </row>
    <row r="328" spans="1:5">
      <c r="A328" t="s">
        <v>1803</v>
      </c>
      <c r="B328">
        <v>0</v>
      </c>
      <c r="C328" t="s">
        <v>872</v>
      </c>
      <c r="D328">
        <v>36</v>
      </c>
      <c r="E328">
        <v>1</v>
      </c>
    </row>
    <row r="329" spans="1:5">
      <c r="A329" t="s">
        <v>1803</v>
      </c>
      <c r="B329">
        <v>0</v>
      </c>
      <c r="C329" t="s">
        <v>873</v>
      </c>
      <c r="D329">
        <v>36</v>
      </c>
      <c r="E329">
        <v>2</v>
      </c>
    </row>
    <row r="330" spans="1:5">
      <c r="A330" t="s">
        <v>1805</v>
      </c>
      <c r="B330">
        <v>0</v>
      </c>
      <c r="C330" t="s">
        <v>879</v>
      </c>
      <c r="D330">
        <v>36</v>
      </c>
      <c r="E330">
        <v>1</v>
      </c>
    </row>
    <row r="331" spans="1:5">
      <c r="A331" t="s">
        <v>1805</v>
      </c>
      <c r="B331">
        <v>0</v>
      </c>
      <c r="C331" t="s">
        <v>880</v>
      </c>
      <c r="D331">
        <v>36</v>
      </c>
      <c r="E331">
        <v>2</v>
      </c>
    </row>
    <row r="332" spans="1:5">
      <c r="A332" t="s">
        <v>1807</v>
      </c>
      <c r="B332">
        <v>0</v>
      </c>
      <c r="C332" t="s">
        <v>916</v>
      </c>
      <c r="D332">
        <v>36</v>
      </c>
      <c r="E332">
        <v>1</v>
      </c>
    </row>
    <row r="333" spans="1:5">
      <c r="A333" t="s">
        <v>1809</v>
      </c>
      <c r="B333">
        <v>0</v>
      </c>
      <c r="C333" t="s">
        <v>917</v>
      </c>
      <c r="D333">
        <v>36</v>
      </c>
      <c r="E333">
        <v>1</v>
      </c>
    </row>
    <row r="334" spans="1:5">
      <c r="A334" t="s">
        <v>1811</v>
      </c>
      <c r="B334">
        <v>0</v>
      </c>
      <c r="C334" t="s">
        <v>919</v>
      </c>
      <c r="D334">
        <v>36</v>
      </c>
      <c r="E334">
        <v>1</v>
      </c>
    </row>
    <row r="335" spans="1:5">
      <c r="A335" t="s">
        <v>1813</v>
      </c>
      <c r="B335">
        <v>0</v>
      </c>
      <c r="C335" t="s">
        <v>920</v>
      </c>
      <c r="D335">
        <v>36</v>
      </c>
      <c r="E335">
        <v>1</v>
      </c>
    </row>
    <row r="336" spans="1:5">
      <c r="A336" t="s">
        <v>1815</v>
      </c>
      <c r="B336">
        <v>0</v>
      </c>
      <c r="C336" t="s">
        <v>921</v>
      </c>
      <c r="D336">
        <v>36</v>
      </c>
      <c r="E336">
        <v>1</v>
      </c>
    </row>
    <row r="337" spans="1:5">
      <c r="A337" t="s">
        <v>1817</v>
      </c>
      <c r="B337">
        <v>0</v>
      </c>
      <c r="C337" t="s">
        <v>923</v>
      </c>
      <c r="D337">
        <v>36</v>
      </c>
      <c r="E337">
        <v>1</v>
      </c>
    </row>
    <row r="338" spans="1:5">
      <c r="A338" t="s">
        <v>1819</v>
      </c>
      <c r="B338">
        <v>0</v>
      </c>
      <c r="C338" t="s">
        <v>874</v>
      </c>
      <c r="D338">
        <v>24</v>
      </c>
      <c r="E338">
        <v>1</v>
      </c>
    </row>
    <row r="339" spans="1:5">
      <c r="A339" t="s">
        <v>1821</v>
      </c>
      <c r="B339">
        <v>0</v>
      </c>
      <c r="C339" t="s">
        <v>922</v>
      </c>
      <c r="D339">
        <v>24</v>
      </c>
      <c r="E339">
        <v>1</v>
      </c>
    </row>
    <row r="340" spans="1:5">
      <c r="A340" t="s">
        <v>1823</v>
      </c>
      <c r="B340">
        <v>0</v>
      </c>
      <c r="C340" t="s">
        <v>918</v>
      </c>
      <c r="D340">
        <v>24</v>
      </c>
      <c r="E340">
        <v>1</v>
      </c>
    </row>
    <row r="341" spans="1:5">
      <c r="A341" t="s">
        <v>1825</v>
      </c>
      <c r="B341">
        <v>0</v>
      </c>
      <c r="C341" t="s">
        <v>912</v>
      </c>
      <c r="D341">
        <v>24</v>
      </c>
      <c r="E341">
        <v>1</v>
      </c>
    </row>
    <row r="342" spans="1:5">
      <c r="A342" t="s">
        <v>1827</v>
      </c>
      <c r="B342">
        <v>0</v>
      </c>
      <c r="C342" t="s">
        <v>894</v>
      </c>
      <c r="D342">
        <v>24</v>
      </c>
      <c r="E342">
        <v>1</v>
      </c>
    </row>
    <row r="343" spans="1:5">
      <c r="A343" t="s">
        <v>1829</v>
      </c>
      <c r="B343">
        <v>0</v>
      </c>
      <c r="C343" t="s">
        <v>906</v>
      </c>
      <c r="D343">
        <v>24</v>
      </c>
      <c r="E343">
        <v>1</v>
      </c>
    </row>
    <row r="344" spans="1:5">
      <c r="A344" t="s">
        <v>1831</v>
      </c>
      <c r="B344">
        <v>0</v>
      </c>
      <c r="C344" t="s">
        <v>877</v>
      </c>
      <c r="D344">
        <v>36</v>
      </c>
      <c r="E344">
        <v>1</v>
      </c>
    </row>
    <row r="345" spans="1:5">
      <c r="A345" t="s">
        <v>1833</v>
      </c>
      <c r="B345">
        <v>0</v>
      </c>
      <c r="C345" t="s">
        <v>881</v>
      </c>
      <c r="D345">
        <v>36</v>
      </c>
      <c r="E345">
        <v>1</v>
      </c>
    </row>
    <row r="346" spans="1:5">
      <c r="A346" t="s">
        <v>1835</v>
      </c>
      <c r="B346">
        <v>0</v>
      </c>
      <c r="C346" t="s">
        <v>896</v>
      </c>
      <c r="D346">
        <v>36</v>
      </c>
      <c r="E346">
        <v>1</v>
      </c>
    </row>
    <row r="347" spans="1:5">
      <c r="A347" t="s">
        <v>1837</v>
      </c>
      <c r="B347">
        <v>0</v>
      </c>
      <c r="C347" t="s">
        <v>899</v>
      </c>
      <c r="D347">
        <v>36</v>
      </c>
      <c r="E347">
        <v>1</v>
      </c>
    </row>
    <row r="348" spans="1:5">
      <c r="A348" t="s">
        <v>1839</v>
      </c>
      <c r="B348">
        <v>0</v>
      </c>
      <c r="C348" t="s">
        <v>878</v>
      </c>
      <c r="D348">
        <v>36</v>
      </c>
      <c r="E348">
        <v>1</v>
      </c>
    </row>
    <row r="349" spans="1:5">
      <c r="A349" t="s">
        <v>1841</v>
      </c>
      <c r="B349">
        <v>0</v>
      </c>
      <c r="C349" t="s">
        <v>897</v>
      </c>
      <c r="D349">
        <v>36</v>
      </c>
      <c r="E349">
        <v>1</v>
      </c>
    </row>
    <row r="350" spans="1:5">
      <c r="A350" t="s">
        <v>1843</v>
      </c>
      <c r="B350">
        <v>0</v>
      </c>
      <c r="C350" t="s">
        <v>597</v>
      </c>
      <c r="D350">
        <v>36</v>
      </c>
      <c r="E350">
        <v>1</v>
      </c>
    </row>
    <row r="351" spans="1:5">
      <c r="A351" t="s">
        <v>1843</v>
      </c>
      <c r="B351">
        <v>0</v>
      </c>
      <c r="C351" t="s">
        <v>596</v>
      </c>
      <c r="D351">
        <v>36</v>
      </c>
      <c r="E351">
        <v>2</v>
      </c>
    </row>
    <row r="352" spans="1:5">
      <c r="A352" t="s">
        <v>1845</v>
      </c>
      <c r="B352">
        <v>0</v>
      </c>
      <c r="C352" t="s">
        <v>598</v>
      </c>
      <c r="D352">
        <v>36</v>
      </c>
      <c r="E352">
        <v>1</v>
      </c>
    </row>
    <row r="353" spans="1:5">
      <c r="A353" t="s">
        <v>1847</v>
      </c>
      <c r="B353">
        <v>0</v>
      </c>
      <c r="C353" t="s">
        <v>584</v>
      </c>
      <c r="D353">
        <v>72</v>
      </c>
      <c r="E353">
        <v>1</v>
      </c>
    </row>
    <row r="354" spans="1:5">
      <c r="A354" t="s">
        <v>1849</v>
      </c>
      <c r="B354">
        <v>0</v>
      </c>
      <c r="C354" t="s">
        <v>585</v>
      </c>
      <c r="D354">
        <v>36</v>
      </c>
      <c r="E354">
        <v>1</v>
      </c>
    </row>
    <row r="355" spans="1:5">
      <c r="A355" t="s">
        <v>1851</v>
      </c>
      <c r="B355">
        <v>0</v>
      </c>
      <c r="C355" t="s">
        <v>586</v>
      </c>
      <c r="D355">
        <v>36</v>
      </c>
      <c r="E355">
        <v>1</v>
      </c>
    </row>
    <row r="356" spans="1:5">
      <c r="A356" t="s">
        <v>1853</v>
      </c>
      <c r="B356">
        <v>0</v>
      </c>
      <c r="C356" t="s">
        <v>587</v>
      </c>
      <c r="D356">
        <v>72</v>
      </c>
      <c r="E356">
        <v>1</v>
      </c>
    </row>
    <row r="357" spans="1:5">
      <c r="A357" t="s">
        <v>1855</v>
      </c>
      <c r="B357">
        <v>0</v>
      </c>
      <c r="C357" t="s">
        <v>588</v>
      </c>
      <c r="D357">
        <v>36</v>
      </c>
      <c r="E357">
        <v>1</v>
      </c>
    </row>
    <row r="358" spans="1:5">
      <c r="A358" t="s">
        <v>1857</v>
      </c>
      <c r="B358">
        <v>0</v>
      </c>
      <c r="C358" t="s">
        <v>589</v>
      </c>
      <c r="D358">
        <v>36</v>
      </c>
      <c r="E358">
        <v>1</v>
      </c>
    </row>
    <row r="359" spans="1:5">
      <c r="A359" t="s">
        <v>1859</v>
      </c>
      <c r="B359">
        <v>0</v>
      </c>
      <c r="C359" t="s">
        <v>574</v>
      </c>
      <c r="D359">
        <v>72</v>
      </c>
      <c r="E359">
        <v>1</v>
      </c>
    </row>
    <row r="360" spans="1:5">
      <c r="A360" t="s">
        <v>1861</v>
      </c>
      <c r="B360">
        <v>0</v>
      </c>
      <c r="C360" t="s">
        <v>575</v>
      </c>
      <c r="D360">
        <v>36</v>
      </c>
      <c r="E360">
        <v>1</v>
      </c>
    </row>
    <row r="361" spans="1:5">
      <c r="A361" t="s">
        <v>1863</v>
      </c>
      <c r="B361">
        <v>0</v>
      </c>
      <c r="C361" t="s">
        <v>576</v>
      </c>
      <c r="D361">
        <v>36</v>
      </c>
      <c r="E361">
        <v>1</v>
      </c>
    </row>
    <row r="362" spans="1:5">
      <c r="A362" t="s">
        <v>1865</v>
      </c>
      <c r="B362">
        <v>0</v>
      </c>
      <c r="C362" t="s">
        <v>578</v>
      </c>
      <c r="D362">
        <v>36</v>
      </c>
      <c r="E362">
        <v>1</v>
      </c>
    </row>
    <row r="363" spans="1:5">
      <c r="A363" t="s">
        <v>1867</v>
      </c>
      <c r="B363">
        <v>0</v>
      </c>
      <c r="C363" t="s">
        <v>579</v>
      </c>
      <c r="D363">
        <v>36</v>
      </c>
      <c r="E363">
        <v>1</v>
      </c>
    </row>
    <row r="364" spans="1:5">
      <c r="A364" t="s">
        <v>1869</v>
      </c>
      <c r="B364">
        <v>0</v>
      </c>
      <c r="C364" t="s">
        <v>577</v>
      </c>
      <c r="D364">
        <v>72</v>
      </c>
      <c r="E364">
        <v>1</v>
      </c>
    </row>
    <row r="365" spans="1:5">
      <c r="A365" t="s">
        <v>1871</v>
      </c>
      <c r="B365">
        <v>0</v>
      </c>
      <c r="C365" t="s">
        <v>580</v>
      </c>
      <c r="D365">
        <v>36</v>
      </c>
      <c r="E365">
        <v>1</v>
      </c>
    </row>
    <row r="366" spans="1:5">
      <c r="A366" t="s">
        <v>1873</v>
      </c>
      <c r="B366">
        <v>0</v>
      </c>
      <c r="C366" t="s">
        <v>581</v>
      </c>
      <c r="D366">
        <v>36</v>
      </c>
      <c r="E366">
        <v>1</v>
      </c>
    </row>
    <row r="367" spans="1:5">
      <c r="A367" t="s">
        <v>1875</v>
      </c>
      <c r="B367">
        <v>0</v>
      </c>
      <c r="C367" t="s">
        <v>582</v>
      </c>
      <c r="D367">
        <v>36</v>
      </c>
      <c r="E367">
        <v>1</v>
      </c>
    </row>
    <row r="368" spans="1:5">
      <c r="A368" t="s">
        <v>1877</v>
      </c>
      <c r="B368">
        <v>0</v>
      </c>
      <c r="C368" t="s">
        <v>583</v>
      </c>
      <c r="D368">
        <v>36</v>
      </c>
      <c r="E368">
        <v>1</v>
      </c>
    </row>
    <row r="369" spans="1:5">
      <c r="A369" t="s">
        <v>1879</v>
      </c>
      <c r="B369">
        <v>0</v>
      </c>
      <c r="C369" t="s">
        <v>593</v>
      </c>
      <c r="D369">
        <v>72</v>
      </c>
      <c r="E369">
        <v>1</v>
      </c>
    </row>
    <row r="370" spans="1:5">
      <c r="A370" t="s">
        <v>1881</v>
      </c>
      <c r="B370">
        <v>0</v>
      </c>
      <c r="C370" t="s">
        <v>594</v>
      </c>
      <c r="D370">
        <v>36</v>
      </c>
      <c r="E370">
        <v>1</v>
      </c>
    </row>
    <row r="371" spans="1:5">
      <c r="A371" t="s">
        <v>1883</v>
      </c>
      <c r="B371">
        <v>0</v>
      </c>
      <c r="C371" t="s">
        <v>595</v>
      </c>
      <c r="D371">
        <v>36</v>
      </c>
      <c r="E371">
        <v>1</v>
      </c>
    </row>
    <row r="372" spans="1:5">
      <c r="A372" t="s">
        <v>1885</v>
      </c>
      <c r="B372">
        <v>0</v>
      </c>
      <c r="C372" t="s">
        <v>590</v>
      </c>
      <c r="D372">
        <v>72</v>
      </c>
      <c r="E372">
        <v>1</v>
      </c>
    </row>
    <row r="373" spans="1:5">
      <c r="A373" t="s">
        <v>1887</v>
      </c>
      <c r="B373">
        <v>0</v>
      </c>
      <c r="C373" t="s">
        <v>591</v>
      </c>
      <c r="D373">
        <v>36</v>
      </c>
      <c r="E373">
        <v>1</v>
      </c>
    </row>
    <row r="374" spans="1:5">
      <c r="A374" t="s">
        <v>1889</v>
      </c>
      <c r="B374">
        <v>0</v>
      </c>
      <c r="C374" t="s">
        <v>592</v>
      </c>
      <c r="D374">
        <v>36</v>
      </c>
      <c r="E374">
        <v>1</v>
      </c>
    </row>
    <row r="375" spans="1:5">
      <c r="A375" t="s">
        <v>1891</v>
      </c>
      <c r="B375">
        <v>0</v>
      </c>
      <c r="C375" t="s">
        <v>599</v>
      </c>
      <c r="D375">
        <v>72</v>
      </c>
      <c r="E375">
        <v>1</v>
      </c>
    </row>
    <row r="376" spans="1:5">
      <c r="A376" t="s">
        <v>1893</v>
      </c>
      <c r="B376">
        <v>0</v>
      </c>
      <c r="C376" t="s">
        <v>600</v>
      </c>
      <c r="D376">
        <v>36</v>
      </c>
      <c r="E376">
        <v>1</v>
      </c>
    </row>
    <row r="377" spans="1:5">
      <c r="A377" t="s">
        <v>1895</v>
      </c>
      <c r="B377">
        <v>0</v>
      </c>
      <c r="C377" t="s">
        <v>601</v>
      </c>
      <c r="D377">
        <v>36</v>
      </c>
      <c r="E377">
        <v>1</v>
      </c>
    </row>
    <row r="378" spans="1:5">
      <c r="A378" t="s">
        <v>1897</v>
      </c>
      <c r="B378">
        <v>0</v>
      </c>
      <c r="C378" t="s">
        <v>602</v>
      </c>
      <c r="D378">
        <v>72</v>
      </c>
      <c r="E378">
        <v>1</v>
      </c>
    </row>
    <row r="379" spans="1:5">
      <c r="A379" t="s">
        <v>1899</v>
      </c>
      <c r="B379">
        <v>0</v>
      </c>
      <c r="C379" t="s">
        <v>603</v>
      </c>
      <c r="D379">
        <v>36</v>
      </c>
      <c r="E379">
        <v>1</v>
      </c>
    </row>
    <row r="380" spans="1:5">
      <c r="A380" t="s">
        <v>1901</v>
      </c>
      <c r="B380">
        <v>0</v>
      </c>
      <c r="C380" t="s">
        <v>610</v>
      </c>
      <c r="D380">
        <v>36</v>
      </c>
      <c r="E380">
        <v>1</v>
      </c>
    </row>
    <row r="381" spans="1:5">
      <c r="A381" t="s">
        <v>1903</v>
      </c>
      <c r="B381">
        <v>0</v>
      </c>
      <c r="C381" t="s">
        <v>604</v>
      </c>
      <c r="D381">
        <v>72</v>
      </c>
      <c r="E381">
        <v>1</v>
      </c>
    </row>
    <row r="382" spans="1:5">
      <c r="A382" t="s">
        <v>1905</v>
      </c>
      <c r="B382">
        <v>0</v>
      </c>
      <c r="C382" t="s">
        <v>605</v>
      </c>
      <c r="D382">
        <v>36</v>
      </c>
      <c r="E382">
        <v>1</v>
      </c>
    </row>
    <row r="383" spans="1:5">
      <c r="A383" t="s">
        <v>1907</v>
      </c>
      <c r="B383">
        <v>0</v>
      </c>
      <c r="C383" t="s">
        <v>606</v>
      </c>
      <c r="D383">
        <v>72</v>
      </c>
      <c r="E383">
        <v>1</v>
      </c>
    </row>
    <row r="384" spans="1:5">
      <c r="A384" t="s">
        <v>1909</v>
      </c>
      <c r="B384">
        <v>0</v>
      </c>
      <c r="C384" t="s">
        <v>607</v>
      </c>
      <c r="D384">
        <v>36</v>
      </c>
      <c r="E384">
        <v>1</v>
      </c>
    </row>
    <row r="385" spans="1:5">
      <c r="A385" t="s">
        <v>1911</v>
      </c>
      <c r="B385">
        <v>0</v>
      </c>
      <c r="C385" t="s">
        <v>611</v>
      </c>
      <c r="D385">
        <v>36</v>
      </c>
      <c r="E385">
        <v>1</v>
      </c>
    </row>
    <row r="386" spans="1:5">
      <c r="A386" t="s">
        <v>1913</v>
      </c>
      <c r="B386">
        <v>0</v>
      </c>
      <c r="C386" t="s">
        <v>608</v>
      </c>
      <c r="D386">
        <v>72</v>
      </c>
      <c r="E386">
        <v>1</v>
      </c>
    </row>
    <row r="387" spans="1:5">
      <c r="A387" t="s">
        <v>1915</v>
      </c>
      <c r="B387">
        <v>0</v>
      </c>
      <c r="C387" t="s">
        <v>609</v>
      </c>
      <c r="D387">
        <v>36</v>
      </c>
      <c r="E387">
        <v>1</v>
      </c>
    </row>
    <row r="388" spans="1:5">
      <c r="A388" t="s">
        <v>1917</v>
      </c>
      <c r="B388">
        <v>0</v>
      </c>
      <c r="C388" t="s">
        <v>571</v>
      </c>
      <c r="D388">
        <v>72</v>
      </c>
      <c r="E388">
        <v>1</v>
      </c>
    </row>
    <row r="389" spans="1:5">
      <c r="A389" t="s">
        <v>1919</v>
      </c>
      <c r="B389">
        <v>0</v>
      </c>
      <c r="C389" t="s">
        <v>569</v>
      </c>
      <c r="D389">
        <v>72</v>
      </c>
      <c r="E389">
        <v>1</v>
      </c>
    </row>
    <row r="390" spans="1:5">
      <c r="A390" t="s">
        <v>1921</v>
      </c>
      <c r="B390">
        <v>0</v>
      </c>
      <c r="C390" t="s">
        <v>572</v>
      </c>
      <c r="D390">
        <v>72</v>
      </c>
      <c r="E390">
        <v>1</v>
      </c>
    </row>
    <row r="391" spans="1:5">
      <c r="A391" t="s">
        <v>1923</v>
      </c>
      <c r="B391">
        <v>0</v>
      </c>
      <c r="C391" t="s">
        <v>570</v>
      </c>
      <c r="D391">
        <v>72</v>
      </c>
      <c r="E391">
        <v>1</v>
      </c>
    </row>
    <row r="392" spans="1:5">
      <c r="A392" t="s">
        <v>1925</v>
      </c>
      <c r="B392">
        <v>0</v>
      </c>
      <c r="C392" t="s">
        <v>573</v>
      </c>
      <c r="D392">
        <v>72</v>
      </c>
      <c r="E392">
        <v>1</v>
      </c>
    </row>
    <row r="393" spans="1:5">
      <c r="A393" t="s">
        <v>1927</v>
      </c>
      <c r="B393">
        <v>0</v>
      </c>
      <c r="C393" t="s">
        <v>553</v>
      </c>
      <c r="D393">
        <v>72</v>
      </c>
      <c r="E393">
        <v>1</v>
      </c>
    </row>
    <row r="394" spans="1:5">
      <c r="A394" t="s">
        <v>1929</v>
      </c>
      <c r="B394">
        <v>0</v>
      </c>
      <c r="C394" t="s">
        <v>554</v>
      </c>
      <c r="D394">
        <v>72</v>
      </c>
      <c r="E394">
        <v>1</v>
      </c>
    </row>
    <row r="395" spans="1:5">
      <c r="A395" t="s">
        <v>1931</v>
      </c>
      <c r="B395">
        <v>0</v>
      </c>
      <c r="C395" t="s">
        <v>555</v>
      </c>
      <c r="D395">
        <v>72</v>
      </c>
      <c r="E395">
        <v>1</v>
      </c>
    </row>
    <row r="396" spans="1:5">
      <c r="A396" t="s">
        <v>1933</v>
      </c>
      <c r="B396">
        <v>0</v>
      </c>
      <c r="C396" t="s">
        <v>556</v>
      </c>
      <c r="D396">
        <v>72</v>
      </c>
      <c r="E396">
        <v>1</v>
      </c>
    </row>
    <row r="397" spans="1:5">
      <c r="A397" t="s">
        <v>1935</v>
      </c>
      <c r="B397">
        <v>0</v>
      </c>
      <c r="C397" t="s">
        <v>557</v>
      </c>
      <c r="D397">
        <v>72</v>
      </c>
      <c r="E397">
        <v>1</v>
      </c>
    </row>
    <row r="398" spans="1:5">
      <c r="A398" t="s">
        <v>1937</v>
      </c>
      <c r="B398">
        <v>0</v>
      </c>
      <c r="C398" t="s">
        <v>558</v>
      </c>
      <c r="D398">
        <v>72</v>
      </c>
      <c r="E398">
        <v>1</v>
      </c>
    </row>
    <row r="399" spans="1:5">
      <c r="A399" t="s">
        <v>1939</v>
      </c>
      <c r="B399">
        <v>0</v>
      </c>
      <c r="C399" t="s">
        <v>559</v>
      </c>
      <c r="D399">
        <v>72</v>
      </c>
      <c r="E399">
        <v>1</v>
      </c>
    </row>
    <row r="400" spans="1:5">
      <c r="A400" t="s">
        <v>1941</v>
      </c>
      <c r="B400">
        <v>0</v>
      </c>
      <c r="C400" t="s">
        <v>560</v>
      </c>
      <c r="D400">
        <v>72</v>
      </c>
      <c r="E400">
        <v>1</v>
      </c>
    </row>
    <row r="401" spans="1:5">
      <c r="A401" t="s">
        <v>1943</v>
      </c>
      <c r="B401">
        <v>0</v>
      </c>
      <c r="C401" t="s">
        <v>561</v>
      </c>
      <c r="D401">
        <v>72</v>
      </c>
      <c r="E401">
        <v>1</v>
      </c>
    </row>
    <row r="402" spans="1:5">
      <c r="A402" t="s">
        <v>1945</v>
      </c>
      <c r="B402">
        <v>0</v>
      </c>
      <c r="C402" t="s">
        <v>562</v>
      </c>
      <c r="D402">
        <v>72</v>
      </c>
      <c r="E402">
        <v>1</v>
      </c>
    </row>
    <row r="403" spans="1:5">
      <c r="A403" t="s">
        <v>1947</v>
      </c>
      <c r="B403">
        <v>0</v>
      </c>
      <c r="C403" t="s">
        <v>563</v>
      </c>
      <c r="D403">
        <v>72</v>
      </c>
      <c r="E403">
        <v>1</v>
      </c>
    </row>
    <row r="404" spans="1:5">
      <c r="A404" t="s">
        <v>1949</v>
      </c>
      <c r="B404">
        <v>0</v>
      </c>
      <c r="C404" t="s">
        <v>564</v>
      </c>
      <c r="D404">
        <v>72</v>
      </c>
      <c r="E404">
        <v>1</v>
      </c>
    </row>
    <row r="405" spans="1:5">
      <c r="A405" t="s">
        <v>1951</v>
      </c>
      <c r="B405">
        <v>0</v>
      </c>
      <c r="C405" t="s">
        <v>565</v>
      </c>
      <c r="D405">
        <v>72</v>
      </c>
      <c r="E405">
        <v>1</v>
      </c>
    </row>
    <row r="406" spans="1:5">
      <c r="A406" t="s">
        <v>1953</v>
      </c>
      <c r="B406">
        <v>0</v>
      </c>
      <c r="C406" t="s">
        <v>566</v>
      </c>
      <c r="D406">
        <v>72</v>
      </c>
      <c r="E406">
        <v>1</v>
      </c>
    </row>
    <row r="407" spans="1:5">
      <c r="A407" t="s">
        <v>1955</v>
      </c>
      <c r="B407">
        <v>0</v>
      </c>
      <c r="C407" t="s">
        <v>567</v>
      </c>
      <c r="D407">
        <v>72</v>
      </c>
      <c r="E407">
        <v>1</v>
      </c>
    </row>
    <row r="408" spans="1:5">
      <c r="A408" t="s">
        <v>1957</v>
      </c>
      <c r="B408">
        <v>0</v>
      </c>
      <c r="C408" t="s">
        <v>568</v>
      </c>
      <c r="D408">
        <v>72</v>
      </c>
      <c r="E408">
        <v>1</v>
      </c>
    </row>
    <row r="409" spans="1:5">
      <c r="A409" t="s">
        <v>1959</v>
      </c>
      <c r="B409">
        <v>0</v>
      </c>
      <c r="C409" t="s">
        <v>533</v>
      </c>
      <c r="D409">
        <v>24</v>
      </c>
      <c r="E409">
        <v>1</v>
      </c>
    </row>
    <row r="410" spans="1:5">
      <c r="A410" t="s">
        <v>1961</v>
      </c>
      <c r="B410">
        <v>0</v>
      </c>
      <c r="C410" t="s">
        <v>540</v>
      </c>
      <c r="D410">
        <v>24</v>
      </c>
      <c r="E410">
        <v>1</v>
      </c>
    </row>
    <row r="411" spans="1:5">
      <c r="A411" t="s">
        <v>1963</v>
      </c>
      <c r="B411">
        <v>0</v>
      </c>
      <c r="C411" t="s">
        <v>546</v>
      </c>
      <c r="D411">
        <v>24</v>
      </c>
      <c r="E411">
        <v>1</v>
      </c>
    </row>
    <row r="412" spans="1:5">
      <c r="A412" t="s">
        <v>1969</v>
      </c>
      <c r="B412">
        <v>0</v>
      </c>
      <c r="C412" t="s">
        <v>537</v>
      </c>
      <c r="D412">
        <v>36</v>
      </c>
      <c r="E412">
        <v>1</v>
      </c>
    </row>
    <row r="413" spans="1:5">
      <c r="A413" t="s">
        <v>1971</v>
      </c>
      <c r="B413">
        <v>0</v>
      </c>
      <c r="C413" t="s">
        <v>544</v>
      </c>
      <c r="D413">
        <v>36</v>
      </c>
      <c r="E413">
        <v>1</v>
      </c>
    </row>
    <row r="414" spans="1:5">
      <c r="A414" t="s">
        <v>1973</v>
      </c>
      <c r="B414">
        <v>0</v>
      </c>
      <c r="C414" t="s">
        <v>532</v>
      </c>
      <c r="D414">
        <v>36</v>
      </c>
      <c r="E414">
        <v>1</v>
      </c>
    </row>
    <row r="415" spans="1:5">
      <c r="A415" t="s">
        <v>1976</v>
      </c>
      <c r="B415">
        <v>0</v>
      </c>
      <c r="C415" t="s">
        <v>539</v>
      </c>
      <c r="D415">
        <v>36</v>
      </c>
      <c r="E415">
        <v>1</v>
      </c>
    </row>
    <row r="416" spans="1:5">
      <c r="A416" t="s">
        <v>1980</v>
      </c>
      <c r="B416">
        <v>0</v>
      </c>
      <c r="C416" t="s">
        <v>536</v>
      </c>
      <c r="D416">
        <v>36</v>
      </c>
      <c r="E416">
        <v>1</v>
      </c>
    </row>
    <row r="417" spans="1:5">
      <c r="A417" t="s">
        <v>1982</v>
      </c>
      <c r="B417">
        <v>0</v>
      </c>
      <c r="C417" t="s">
        <v>543</v>
      </c>
      <c r="D417">
        <v>36</v>
      </c>
      <c r="E417">
        <v>1</v>
      </c>
    </row>
    <row r="418" spans="1:5">
      <c r="A418" t="s">
        <v>1984</v>
      </c>
      <c r="B418">
        <v>0</v>
      </c>
      <c r="C418" t="s">
        <v>548</v>
      </c>
      <c r="D418">
        <v>36</v>
      </c>
      <c r="E418">
        <v>1</v>
      </c>
    </row>
    <row r="419" spans="1:5">
      <c r="A419" t="s">
        <v>1990</v>
      </c>
      <c r="B419">
        <v>0</v>
      </c>
      <c r="C419" t="s">
        <v>547</v>
      </c>
      <c r="D419">
        <v>36</v>
      </c>
      <c r="E419">
        <v>1</v>
      </c>
    </row>
    <row r="420" spans="1:5">
      <c r="A420" t="s">
        <v>1992</v>
      </c>
      <c r="B420">
        <v>0</v>
      </c>
      <c r="C420" t="s">
        <v>551</v>
      </c>
      <c r="D420">
        <v>36</v>
      </c>
      <c r="E420">
        <v>1</v>
      </c>
    </row>
    <row r="421" spans="1:5">
      <c r="A421" t="s">
        <v>1994</v>
      </c>
      <c r="B421">
        <v>0</v>
      </c>
      <c r="C421" t="s">
        <v>552</v>
      </c>
      <c r="D421">
        <v>36</v>
      </c>
      <c r="E421">
        <v>1</v>
      </c>
    </row>
    <row r="422" spans="1:5">
      <c r="A422" t="s">
        <v>1996</v>
      </c>
      <c r="B422">
        <v>0</v>
      </c>
      <c r="C422" t="s">
        <v>549</v>
      </c>
      <c r="D422">
        <v>36</v>
      </c>
      <c r="E422">
        <v>1</v>
      </c>
    </row>
    <row r="423" spans="1:5">
      <c r="A423" t="s">
        <v>1998</v>
      </c>
      <c r="B423">
        <v>0</v>
      </c>
      <c r="C423" t="s">
        <v>2432</v>
      </c>
      <c r="D423">
        <v>0</v>
      </c>
      <c r="E423">
        <v>1</v>
      </c>
    </row>
    <row r="424" spans="1:5">
      <c r="A424" t="s">
        <v>2000</v>
      </c>
      <c r="B424">
        <v>0</v>
      </c>
      <c r="C424" t="s">
        <v>2431</v>
      </c>
      <c r="D424">
        <v>0</v>
      </c>
      <c r="E424">
        <v>1</v>
      </c>
    </row>
    <row r="425" spans="1:5">
      <c r="A425" t="s">
        <v>2002</v>
      </c>
      <c r="B425">
        <v>0</v>
      </c>
      <c r="C425" t="s">
        <v>1037</v>
      </c>
      <c r="D425">
        <v>0</v>
      </c>
      <c r="E425">
        <v>1</v>
      </c>
    </row>
    <row r="426" spans="1:5">
      <c r="A426" t="s">
        <v>2004</v>
      </c>
      <c r="B426">
        <v>0</v>
      </c>
      <c r="C426" t="s">
        <v>1028</v>
      </c>
      <c r="D426">
        <v>0</v>
      </c>
      <c r="E426">
        <v>1</v>
      </c>
    </row>
    <row r="427" spans="1:5">
      <c r="A427" t="s">
        <v>2006</v>
      </c>
      <c r="B427">
        <v>0</v>
      </c>
      <c r="C427" t="s">
        <v>1029</v>
      </c>
      <c r="D427">
        <v>0</v>
      </c>
      <c r="E427">
        <v>1</v>
      </c>
    </row>
    <row r="428" spans="1:5">
      <c r="A428" t="s">
        <v>2008</v>
      </c>
      <c r="B428">
        <v>0</v>
      </c>
      <c r="C428" t="s">
        <v>1030</v>
      </c>
      <c r="D428">
        <v>0</v>
      </c>
      <c r="E428">
        <v>1</v>
      </c>
    </row>
    <row r="429" spans="1:5">
      <c r="A429" t="s">
        <v>2010</v>
      </c>
      <c r="B429">
        <v>0</v>
      </c>
      <c r="C429" t="s">
        <v>1039</v>
      </c>
      <c r="D429">
        <v>0</v>
      </c>
      <c r="E429">
        <v>1</v>
      </c>
    </row>
    <row r="430" spans="1:5">
      <c r="A430" t="s">
        <v>2012</v>
      </c>
      <c r="B430">
        <v>0</v>
      </c>
      <c r="C430" t="s">
        <v>1032</v>
      </c>
      <c r="D430">
        <v>0</v>
      </c>
      <c r="E430">
        <v>1</v>
      </c>
    </row>
    <row r="431" spans="1:5">
      <c r="A431" t="s">
        <v>2014</v>
      </c>
      <c r="B431">
        <v>0</v>
      </c>
      <c r="C431" t="s">
        <v>1031</v>
      </c>
      <c r="D431">
        <v>0</v>
      </c>
      <c r="E431">
        <v>1</v>
      </c>
    </row>
    <row r="432" spans="1:5">
      <c r="A432" t="s">
        <v>2016</v>
      </c>
      <c r="B432">
        <v>0</v>
      </c>
      <c r="C432" t="s">
        <v>1038</v>
      </c>
      <c r="D432">
        <v>0</v>
      </c>
      <c r="E432">
        <v>1</v>
      </c>
    </row>
    <row r="433" spans="1:5">
      <c r="A433" t="s">
        <v>2018</v>
      </c>
      <c r="B433">
        <v>0</v>
      </c>
      <c r="C433" t="s">
        <v>1033</v>
      </c>
      <c r="D433">
        <v>0</v>
      </c>
      <c r="E433">
        <v>1</v>
      </c>
    </row>
    <row r="434" spans="1:5">
      <c r="A434" t="s">
        <v>2020</v>
      </c>
      <c r="B434">
        <v>0</v>
      </c>
      <c r="C434" t="s">
        <v>1034</v>
      </c>
      <c r="D434">
        <v>0</v>
      </c>
      <c r="E434">
        <v>1</v>
      </c>
    </row>
    <row r="435" spans="1:5">
      <c r="A435" t="s">
        <v>2022</v>
      </c>
      <c r="B435">
        <v>0</v>
      </c>
      <c r="C435" t="s">
        <v>1036</v>
      </c>
      <c r="D435">
        <v>0</v>
      </c>
      <c r="E435">
        <v>1</v>
      </c>
    </row>
    <row r="436" spans="1:5">
      <c r="A436" t="s">
        <v>2024</v>
      </c>
      <c r="B436">
        <v>0</v>
      </c>
      <c r="C436" t="s">
        <v>1035</v>
      </c>
      <c r="D436">
        <v>0</v>
      </c>
      <c r="E436">
        <v>1</v>
      </c>
    </row>
    <row r="437" spans="1:5">
      <c r="A437" t="s">
        <v>2026</v>
      </c>
      <c r="B437">
        <v>0</v>
      </c>
      <c r="C437" t="s">
        <v>362</v>
      </c>
      <c r="D437">
        <v>72</v>
      </c>
      <c r="E437">
        <v>1</v>
      </c>
    </row>
    <row r="438" spans="1:5">
      <c r="A438" t="s">
        <v>2026</v>
      </c>
      <c r="B438">
        <v>0</v>
      </c>
      <c r="C438" t="s">
        <v>363</v>
      </c>
      <c r="D438">
        <v>24</v>
      </c>
      <c r="E438">
        <v>1</v>
      </c>
    </row>
    <row r="439" spans="1:5">
      <c r="A439" t="s">
        <v>2029</v>
      </c>
      <c r="B439">
        <v>0</v>
      </c>
      <c r="C439" t="s">
        <v>1040</v>
      </c>
      <c r="D439">
        <v>0</v>
      </c>
      <c r="E439">
        <v>1</v>
      </c>
    </row>
    <row r="440" spans="1:5">
      <c r="A440" t="s">
        <v>2031</v>
      </c>
      <c r="B440">
        <v>0</v>
      </c>
      <c r="C440" t="s">
        <v>364</v>
      </c>
      <c r="D440">
        <v>72</v>
      </c>
      <c r="E440">
        <v>1</v>
      </c>
    </row>
    <row r="441" spans="1:5">
      <c r="A441" t="s">
        <v>2031</v>
      </c>
      <c r="B441">
        <v>0</v>
      </c>
      <c r="C441" t="s">
        <v>365</v>
      </c>
      <c r="D441">
        <v>24</v>
      </c>
      <c r="E441">
        <v>1</v>
      </c>
    </row>
    <row r="442" spans="1:5">
      <c r="A442" t="s">
        <v>2031</v>
      </c>
      <c r="B442">
        <v>0</v>
      </c>
      <c r="C442" t="s">
        <v>366</v>
      </c>
      <c r="D442">
        <v>48</v>
      </c>
      <c r="E442">
        <v>1</v>
      </c>
    </row>
    <row r="443" spans="1:5">
      <c r="A443" t="s">
        <v>2036</v>
      </c>
      <c r="B443">
        <v>0</v>
      </c>
      <c r="C443" t="s">
        <v>367</v>
      </c>
      <c r="D443">
        <v>72</v>
      </c>
      <c r="E443">
        <v>1</v>
      </c>
    </row>
    <row r="444" spans="1:5">
      <c r="A444" t="s">
        <v>2036</v>
      </c>
      <c r="B444">
        <v>0</v>
      </c>
      <c r="C444" t="s">
        <v>368</v>
      </c>
      <c r="D444">
        <v>24</v>
      </c>
      <c r="E444">
        <v>1</v>
      </c>
    </row>
    <row r="445" spans="1:5">
      <c r="A445" t="s">
        <v>2036</v>
      </c>
      <c r="B445">
        <v>0</v>
      </c>
      <c r="C445" t="s">
        <v>369</v>
      </c>
      <c r="D445">
        <v>48</v>
      </c>
      <c r="E445">
        <v>1</v>
      </c>
    </row>
    <row r="446" spans="1:5">
      <c r="A446" t="s">
        <v>2040</v>
      </c>
      <c r="B446">
        <v>0</v>
      </c>
      <c r="C446" t="s">
        <v>370</v>
      </c>
      <c r="D446">
        <v>48</v>
      </c>
      <c r="E446">
        <v>1</v>
      </c>
    </row>
    <row r="447" spans="1:5">
      <c r="A447" t="s">
        <v>2040</v>
      </c>
      <c r="B447">
        <v>0</v>
      </c>
      <c r="C447" t="s">
        <v>2470</v>
      </c>
      <c r="D447">
        <v>0</v>
      </c>
      <c r="E447">
        <v>1</v>
      </c>
    </row>
    <row r="448" spans="1:5">
      <c r="A448" t="s">
        <v>2042</v>
      </c>
      <c r="B448">
        <v>0</v>
      </c>
      <c r="C448" t="s">
        <v>371</v>
      </c>
      <c r="D448">
        <v>48</v>
      </c>
      <c r="E448">
        <v>1</v>
      </c>
    </row>
    <row r="449" spans="1:5">
      <c r="A449" t="s">
        <v>2042</v>
      </c>
      <c r="B449">
        <v>0</v>
      </c>
      <c r="C449" t="s">
        <v>372</v>
      </c>
      <c r="D449">
        <v>48</v>
      </c>
      <c r="E449">
        <v>2</v>
      </c>
    </row>
    <row r="450" spans="1:5">
      <c r="A450" t="s">
        <v>2044</v>
      </c>
      <c r="B450">
        <v>0</v>
      </c>
      <c r="C450" t="s">
        <v>374</v>
      </c>
      <c r="D450">
        <v>36</v>
      </c>
      <c r="E450">
        <v>2</v>
      </c>
    </row>
    <row r="451" spans="1:5">
      <c r="A451" t="s">
        <v>2046</v>
      </c>
      <c r="B451">
        <v>0</v>
      </c>
      <c r="C451" t="s">
        <v>376</v>
      </c>
      <c r="D451">
        <v>36</v>
      </c>
      <c r="E451">
        <v>2</v>
      </c>
    </row>
    <row r="452" spans="1:5">
      <c r="A452" t="s">
        <v>2054</v>
      </c>
      <c r="B452">
        <v>0</v>
      </c>
      <c r="C452" t="s">
        <v>380</v>
      </c>
      <c r="D452">
        <v>36</v>
      </c>
      <c r="E452">
        <v>1</v>
      </c>
    </row>
    <row r="453" spans="1:5">
      <c r="A453" t="s">
        <v>2058</v>
      </c>
      <c r="B453">
        <v>0</v>
      </c>
      <c r="C453" t="s">
        <v>383</v>
      </c>
      <c r="D453">
        <v>48</v>
      </c>
      <c r="E453">
        <v>2</v>
      </c>
    </row>
    <row r="454" spans="1:5">
      <c r="A454" t="s">
        <v>2060</v>
      </c>
      <c r="B454">
        <v>0</v>
      </c>
      <c r="C454" t="s">
        <v>384</v>
      </c>
      <c r="D454">
        <v>36</v>
      </c>
      <c r="E454">
        <v>1</v>
      </c>
    </row>
    <row r="455" spans="1:5">
      <c r="A455" t="s">
        <v>2062</v>
      </c>
      <c r="B455">
        <v>0</v>
      </c>
      <c r="C455" t="s">
        <v>385</v>
      </c>
      <c r="D455">
        <v>36</v>
      </c>
      <c r="E455">
        <v>1</v>
      </c>
    </row>
    <row r="456" spans="1:5">
      <c r="A456" t="s">
        <v>2062</v>
      </c>
      <c r="B456">
        <v>0</v>
      </c>
      <c r="C456" t="s">
        <v>386</v>
      </c>
      <c r="D456">
        <v>36</v>
      </c>
      <c r="E456">
        <v>2</v>
      </c>
    </row>
    <row r="457" spans="1:5">
      <c r="A457" t="s">
        <v>2066</v>
      </c>
      <c r="B457">
        <v>0</v>
      </c>
      <c r="C457" t="s">
        <v>389</v>
      </c>
      <c r="D457">
        <v>12</v>
      </c>
      <c r="E457">
        <v>1</v>
      </c>
    </row>
    <row r="458" spans="1:5">
      <c r="A458" t="s">
        <v>2066</v>
      </c>
      <c r="B458">
        <v>0</v>
      </c>
      <c r="C458" t="s">
        <v>388</v>
      </c>
      <c r="D458">
        <v>12</v>
      </c>
      <c r="E458">
        <v>2</v>
      </c>
    </row>
    <row r="459" spans="1:5">
      <c r="A459" t="s">
        <v>2072</v>
      </c>
      <c r="B459">
        <v>0</v>
      </c>
      <c r="C459" t="s">
        <v>393</v>
      </c>
      <c r="D459">
        <v>12</v>
      </c>
      <c r="E459">
        <v>1</v>
      </c>
    </row>
    <row r="460" spans="1:5">
      <c r="A460" t="s">
        <v>2072</v>
      </c>
      <c r="B460">
        <v>0</v>
      </c>
      <c r="C460" t="s">
        <v>392</v>
      </c>
      <c r="D460">
        <v>12</v>
      </c>
      <c r="E460">
        <v>2</v>
      </c>
    </row>
    <row r="461" spans="1:5">
      <c r="A461" t="s">
        <v>2078</v>
      </c>
      <c r="B461">
        <v>0</v>
      </c>
      <c r="C461" t="s">
        <v>397</v>
      </c>
      <c r="D461">
        <v>12</v>
      </c>
      <c r="E461">
        <v>1</v>
      </c>
    </row>
    <row r="462" spans="1:5">
      <c r="A462" t="s">
        <v>2078</v>
      </c>
      <c r="B462">
        <v>0</v>
      </c>
      <c r="C462" t="s">
        <v>396</v>
      </c>
      <c r="D462">
        <v>12</v>
      </c>
      <c r="E462">
        <v>2</v>
      </c>
    </row>
    <row r="463" spans="1:5">
      <c r="A463" t="s">
        <v>2080</v>
      </c>
      <c r="B463">
        <v>0</v>
      </c>
      <c r="C463" t="s">
        <v>398</v>
      </c>
      <c r="D463">
        <v>4</v>
      </c>
      <c r="E463">
        <v>1</v>
      </c>
    </row>
    <row r="464" spans="1:5">
      <c r="A464" t="s">
        <v>2082</v>
      </c>
      <c r="B464">
        <v>0</v>
      </c>
      <c r="C464" t="s">
        <v>407</v>
      </c>
      <c r="D464">
        <v>24</v>
      </c>
      <c r="E464">
        <v>1</v>
      </c>
    </row>
    <row r="465" spans="1:5">
      <c r="A465" t="s">
        <v>2084</v>
      </c>
      <c r="B465">
        <v>0</v>
      </c>
      <c r="C465" t="s">
        <v>408</v>
      </c>
      <c r="D465">
        <v>24</v>
      </c>
      <c r="E465">
        <v>1</v>
      </c>
    </row>
    <row r="466" spans="1:5">
      <c r="A466" t="s">
        <v>2086</v>
      </c>
      <c r="B466">
        <v>0</v>
      </c>
      <c r="C466" t="s">
        <v>406</v>
      </c>
      <c r="D466">
        <v>24</v>
      </c>
      <c r="E466">
        <v>1</v>
      </c>
    </row>
    <row r="467" spans="1:5">
      <c r="A467" t="s">
        <v>2092</v>
      </c>
      <c r="B467">
        <v>0</v>
      </c>
      <c r="C467" t="s">
        <v>401</v>
      </c>
      <c r="D467">
        <v>24</v>
      </c>
      <c r="E467">
        <v>1</v>
      </c>
    </row>
    <row r="468" spans="1:5">
      <c r="A468" t="s">
        <v>2094</v>
      </c>
      <c r="B468">
        <v>0</v>
      </c>
      <c r="C468" t="s">
        <v>400</v>
      </c>
      <c r="D468">
        <v>24</v>
      </c>
      <c r="E468">
        <v>1</v>
      </c>
    </row>
    <row r="469" spans="1:5">
      <c r="A469" t="s">
        <v>2094</v>
      </c>
      <c r="B469">
        <v>0</v>
      </c>
      <c r="C469" t="s">
        <v>399</v>
      </c>
      <c r="D469">
        <v>24</v>
      </c>
      <c r="E469">
        <v>1</v>
      </c>
    </row>
    <row r="470" spans="1:5">
      <c r="A470" t="s">
        <v>2096</v>
      </c>
      <c r="B470">
        <v>0</v>
      </c>
      <c r="C470" t="s">
        <v>409</v>
      </c>
      <c r="D470">
        <v>24</v>
      </c>
      <c r="E470">
        <v>1</v>
      </c>
    </row>
    <row r="471" spans="1:5">
      <c r="A471" t="s">
        <v>2098</v>
      </c>
      <c r="B471">
        <v>0</v>
      </c>
      <c r="C471" t="s">
        <v>411</v>
      </c>
      <c r="D471">
        <v>24</v>
      </c>
      <c r="E471">
        <v>1</v>
      </c>
    </row>
    <row r="472" spans="1:5">
      <c r="A472" t="s">
        <v>2100</v>
      </c>
      <c r="B472">
        <v>0</v>
      </c>
      <c r="C472" t="s">
        <v>410</v>
      </c>
      <c r="D472">
        <v>24</v>
      </c>
      <c r="E472">
        <v>1</v>
      </c>
    </row>
    <row r="473" spans="1:5">
      <c r="A473" t="s">
        <v>2102</v>
      </c>
      <c r="B473">
        <v>0</v>
      </c>
      <c r="C473" t="s">
        <v>403</v>
      </c>
      <c r="D473">
        <v>24</v>
      </c>
      <c r="E473">
        <v>1</v>
      </c>
    </row>
    <row r="474" spans="1:5">
      <c r="A474" t="s">
        <v>2104</v>
      </c>
      <c r="B474">
        <v>0</v>
      </c>
      <c r="C474" t="s">
        <v>405</v>
      </c>
      <c r="D474">
        <v>24</v>
      </c>
      <c r="E474">
        <v>1</v>
      </c>
    </row>
    <row r="475" spans="1:5">
      <c r="A475" t="s">
        <v>2106</v>
      </c>
      <c r="B475">
        <v>0</v>
      </c>
      <c r="C475" t="s">
        <v>404</v>
      </c>
      <c r="D475">
        <v>24</v>
      </c>
      <c r="E475">
        <v>1</v>
      </c>
    </row>
    <row r="476" spans="1:5">
      <c r="A476" t="s">
        <v>2108</v>
      </c>
      <c r="B476">
        <v>0</v>
      </c>
      <c r="C476" t="s">
        <v>431</v>
      </c>
      <c r="D476">
        <v>6</v>
      </c>
      <c r="E476">
        <v>1</v>
      </c>
    </row>
    <row r="477" spans="1:5">
      <c r="A477" t="s">
        <v>2118</v>
      </c>
      <c r="B477">
        <v>0</v>
      </c>
      <c r="C477" t="s">
        <v>424</v>
      </c>
      <c r="D477">
        <v>36</v>
      </c>
      <c r="E477">
        <v>1</v>
      </c>
    </row>
    <row r="478" spans="1:5">
      <c r="A478" t="s">
        <v>2124</v>
      </c>
      <c r="B478">
        <v>0</v>
      </c>
      <c r="C478" t="s">
        <v>427</v>
      </c>
      <c r="D478">
        <v>12</v>
      </c>
      <c r="E478">
        <v>1</v>
      </c>
    </row>
    <row r="479" spans="1:5">
      <c r="A479" t="s">
        <v>2126</v>
      </c>
      <c r="B479">
        <v>0</v>
      </c>
      <c r="C479" t="s">
        <v>428</v>
      </c>
      <c r="D479">
        <v>12</v>
      </c>
      <c r="E479">
        <v>1</v>
      </c>
    </row>
    <row r="480" spans="1:5">
      <c r="A480" t="s">
        <v>2134</v>
      </c>
      <c r="B480">
        <v>0</v>
      </c>
      <c r="C480" t="s">
        <v>434</v>
      </c>
      <c r="D480">
        <v>6</v>
      </c>
      <c r="E480">
        <v>1</v>
      </c>
    </row>
    <row r="481" spans="1:5">
      <c r="A481" t="s">
        <v>2140</v>
      </c>
      <c r="B481">
        <v>0</v>
      </c>
      <c r="C481" t="s">
        <v>432</v>
      </c>
      <c r="D481">
        <v>36</v>
      </c>
      <c r="E481">
        <v>1</v>
      </c>
    </row>
    <row r="482" spans="1:5">
      <c r="A482" t="s">
        <v>2142</v>
      </c>
      <c r="B482">
        <v>0</v>
      </c>
      <c r="C482" t="s">
        <v>433</v>
      </c>
      <c r="D482">
        <v>36</v>
      </c>
      <c r="E482">
        <v>1</v>
      </c>
    </row>
    <row r="483" spans="1:5">
      <c r="A483" t="s">
        <v>2146</v>
      </c>
      <c r="B483">
        <v>0</v>
      </c>
      <c r="C483" t="s">
        <v>415</v>
      </c>
      <c r="D483">
        <v>12</v>
      </c>
      <c r="E483">
        <v>1</v>
      </c>
    </row>
    <row r="484" spans="1:5">
      <c r="A484" t="s">
        <v>2152</v>
      </c>
      <c r="B484">
        <v>0</v>
      </c>
      <c r="C484" t="s">
        <v>418</v>
      </c>
      <c r="D484">
        <v>12</v>
      </c>
      <c r="E484">
        <v>1</v>
      </c>
    </row>
    <row r="485" spans="1:5">
      <c r="A485" t="s">
        <v>2358</v>
      </c>
      <c r="B485">
        <v>0</v>
      </c>
      <c r="C485" t="s">
        <v>812</v>
      </c>
      <c r="D485">
        <v>36</v>
      </c>
      <c r="E485">
        <v>1</v>
      </c>
    </row>
    <row r="486" spans="1:5">
      <c r="A486" t="s">
        <v>2387</v>
      </c>
      <c r="B486">
        <v>0</v>
      </c>
      <c r="C486" t="s">
        <v>706</v>
      </c>
      <c r="D486">
        <v>24</v>
      </c>
      <c r="E486">
        <v>1</v>
      </c>
    </row>
    <row r="487" spans="1:5">
      <c r="A487" t="s">
        <v>2392</v>
      </c>
      <c r="B487">
        <v>0</v>
      </c>
      <c r="C487" t="s">
        <v>756</v>
      </c>
      <c r="D487">
        <v>12</v>
      </c>
      <c r="E487">
        <v>1</v>
      </c>
    </row>
    <row r="488" spans="1:5">
      <c r="A488" t="s">
        <v>2412</v>
      </c>
      <c r="B488">
        <v>0</v>
      </c>
      <c r="C488" t="s">
        <v>479</v>
      </c>
      <c r="D488">
        <v>24</v>
      </c>
      <c r="E488">
        <v>1</v>
      </c>
    </row>
    <row r="489" spans="1:5">
      <c r="A489" t="s">
        <v>2429</v>
      </c>
      <c r="B489">
        <v>0</v>
      </c>
      <c r="C489" t="s">
        <v>482</v>
      </c>
      <c r="D489">
        <v>24</v>
      </c>
      <c r="E489">
        <v>1</v>
      </c>
    </row>
    <row r="490" spans="1:5">
      <c r="A490" t="s">
        <v>2662</v>
      </c>
      <c r="B490">
        <v>0</v>
      </c>
      <c r="C490" t="s">
        <v>834</v>
      </c>
      <c r="D490">
        <v>24</v>
      </c>
      <c r="E490">
        <v>1</v>
      </c>
    </row>
    <row r="491" spans="1:5">
      <c r="A491" t="s">
        <v>2663</v>
      </c>
      <c r="B491">
        <v>0</v>
      </c>
      <c r="C491" t="s">
        <v>848</v>
      </c>
      <c r="D491">
        <v>36</v>
      </c>
      <c r="E491">
        <v>1</v>
      </c>
    </row>
    <row r="492" spans="1:5">
      <c r="A492" t="s">
        <v>2664</v>
      </c>
      <c r="B492">
        <v>0</v>
      </c>
      <c r="C492" t="s">
        <v>822</v>
      </c>
      <c r="D492">
        <v>120</v>
      </c>
      <c r="E492">
        <v>1</v>
      </c>
    </row>
    <row r="493" spans="1:5">
      <c r="A493" t="s">
        <v>2664</v>
      </c>
      <c r="B493">
        <v>0</v>
      </c>
      <c r="C493" t="s">
        <v>823</v>
      </c>
      <c r="D493">
        <v>24</v>
      </c>
      <c r="E493">
        <v>2</v>
      </c>
    </row>
    <row r="494" spans="1:5">
      <c r="A494" t="s">
        <v>2665</v>
      </c>
      <c r="B494">
        <v>0</v>
      </c>
      <c r="C494" t="s">
        <v>824</v>
      </c>
      <c r="D494">
        <v>120</v>
      </c>
      <c r="E494">
        <v>1</v>
      </c>
    </row>
    <row r="495" spans="1:5">
      <c r="A495" t="s">
        <v>2665</v>
      </c>
      <c r="B495">
        <v>0</v>
      </c>
      <c r="C495" t="s">
        <v>825</v>
      </c>
      <c r="D495">
        <v>24</v>
      </c>
      <c r="E495">
        <v>2</v>
      </c>
    </row>
    <row r="496" spans="1:5">
      <c r="A496" t="s">
        <v>2666</v>
      </c>
      <c r="B496">
        <v>0</v>
      </c>
      <c r="C496" t="s">
        <v>790</v>
      </c>
      <c r="D496">
        <v>36</v>
      </c>
      <c r="E496">
        <v>1</v>
      </c>
    </row>
    <row r="497" spans="1:5">
      <c r="A497" t="s">
        <v>2666</v>
      </c>
      <c r="B497">
        <v>0</v>
      </c>
      <c r="C497" t="s">
        <v>789</v>
      </c>
      <c r="D497">
        <v>36</v>
      </c>
      <c r="E497">
        <v>2</v>
      </c>
    </row>
    <row r="498" spans="1:5">
      <c r="A498" t="s">
        <v>2667</v>
      </c>
      <c r="B498">
        <v>0</v>
      </c>
      <c r="C498" t="s">
        <v>792</v>
      </c>
      <c r="D498">
        <v>36</v>
      </c>
      <c r="E498">
        <v>1</v>
      </c>
    </row>
    <row r="499" spans="1:5">
      <c r="A499" t="s">
        <v>2668</v>
      </c>
      <c r="B499">
        <v>0</v>
      </c>
      <c r="C499" t="s">
        <v>796</v>
      </c>
      <c r="D499">
        <v>36</v>
      </c>
      <c r="E499">
        <v>1</v>
      </c>
    </row>
    <row r="500" spans="1:5">
      <c r="A500" t="s">
        <v>2668</v>
      </c>
      <c r="B500">
        <v>0</v>
      </c>
      <c r="C500" t="s">
        <v>795</v>
      </c>
      <c r="D500">
        <v>36</v>
      </c>
      <c r="E500">
        <v>2</v>
      </c>
    </row>
    <row r="501" spans="1:5">
      <c r="A501" t="s">
        <v>2669</v>
      </c>
      <c r="B501">
        <v>0</v>
      </c>
      <c r="C501" t="s">
        <v>798</v>
      </c>
      <c r="D501">
        <v>36</v>
      </c>
      <c r="E501">
        <v>1</v>
      </c>
    </row>
    <row r="502" spans="1:5">
      <c r="A502" t="s">
        <v>2670</v>
      </c>
      <c r="B502">
        <v>0</v>
      </c>
      <c r="C502" t="s">
        <v>845</v>
      </c>
      <c r="D502">
        <v>24</v>
      </c>
      <c r="E502">
        <v>1</v>
      </c>
    </row>
    <row r="503" spans="1:5">
      <c r="A503" t="s">
        <v>2671</v>
      </c>
      <c r="B503">
        <v>0</v>
      </c>
      <c r="C503" t="s">
        <v>846</v>
      </c>
      <c r="D503">
        <v>24</v>
      </c>
      <c r="E503">
        <v>1</v>
      </c>
    </row>
    <row r="504" spans="1:5">
      <c r="A504" t="s">
        <v>2672</v>
      </c>
      <c r="B504">
        <v>0</v>
      </c>
      <c r="C504" t="s">
        <v>991</v>
      </c>
      <c r="D504">
        <v>24</v>
      </c>
      <c r="E504">
        <v>1</v>
      </c>
    </row>
    <row r="505" spans="1:5">
      <c r="A505" t="s">
        <v>2673</v>
      </c>
      <c r="B505">
        <v>0</v>
      </c>
      <c r="C505" t="s">
        <v>992</v>
      </c>
      <c r="D505">
        <v>24</v>
      </c>
      <c r="E505">
        <v>1</v>
      </c>
    </row>
    <row r="506" spans="1:5">
      <c r="A506" t="s">
        <v>2674</v>
      </c>
      <c r="B506">
        <v>0</v>
      </c>
      <c r="C506" t="s">
        <v>993</v>
      </c>
      <c r="D506">
        <v>24</v>
      </c>
      <c r="E506">
        <v>1</v>
      </c>
    </row>
    <row r="507" spans="1:5">
      <c r="A507" t="s">
        <v>2675</v>
      </c>
      <c r="B507">
        <v>0</v>
      </c>
      <c r="C507" t="s">
        <v>994</v>
      </c>
      <c r="D507">
        <v>24</v>
      </c>
      <c r="E507">
        <v>1</v>
      </c>
    </row>
    <row r="508" spans="1:5">
      <c r="A508" t="s">
        <v>2676</v>
      </c>
      <c r="B508">
        <v>0</v>
      </c>
      <c r="C508" t="s">
        <v>478</v>
      </c>
      <c r="D508">
        <v>24</v>
      </c>
      <c r="E508">
        <v>1</v>
      </c>
    </row>
    <row r="509" spans="1:5">
      <c r="A509" t="s">
        <v>2677</v>
      </c>
      <c r="B509">
        <v>0</v>
      </c>
      <c r="C509" t="s">
        <v>481</v>
      </c>
      <c r="D509">
        <v>24</v>
      </c>
      <c r="E509">
        <v>1</v>
      </c>
    </row>
    <row r="510" spans="1:5">
      <c r="A510" t="s">
        <v>2678</v>
      </c>
      <c r="B510">
        <v>0</v>
      </c>
      <c r="C510" t="s">
        <v>484</v>
      </c>
      <c r="D510">
        <v>24</v>
      </c>
      <c r="E510">
        <v>1</v>
      </c>
    </row>
    <row r="511" spans="1:5">
      <c r="A511" t="s">
        <v>2679</v>
      </c>
      <c r="B511">
        <v>0</v>
      </c>
      <c r="C511" t="s">
        <v>485</v>
      </c>
      <c r="D511">
        <v>24</v>
      </c>
      <c r="E511">
        <v>1</v>
      </c>
    </row>
    <row r="512" spans="1:5">
      <c r="A512" t="s">
        <v>2680</v>
      </c>
      <c r="B512">
        <v>0</v>
      </c>
      <c r="C512" t="s">
        <v>486</v>
      </c>
      <c r="D512">
        <v>24</v>
      </c>
      <c r="E512">
        <v>1</v>
      </c>
    </row>
    <row r="513" spans="1:5">
      <c r="A513" t="s">
        <v>2681</v>
      </c>
      <c r="B513">
        <v>0</v>
      </c>
      <c r="C513" t="s">
        <v>493</v>
      </c>
      <c r="D513">
        <v>72</v>
      </c>
      <c r="E513">
        <v>1</v>
      </c>
    </row>
    <row r="514" spans="1:5">
      <c r="A514" t="s">
        <v>2682</v>
      </c>
      <c r="B514">
        <v>0</v>
      </c>
      <c r="C514" t="s">
        <v>494</v>
      </c>
      <c r="D514">
        <v>36</v>
      </c>
      <c r="E514">
        <v>1</v>
      </c>
    </row>
    <row r="515" spans="1:5">
      <c r="A515" t="s">
        <v>2683</v>
      </c>
      <c r="B515">
        <v>0</v>
      </c>
      <c r="C515" t="s">
        <v>491</v>
      </c>
      <c r="D515">
        <v>72</v>
      </c>
      <c r="E515">
        <v>1</v>
      </c>
    </row>
    <row r="516" spans="1:5">
      <c r="A516" t="s">
        <v>2684</v>
      </c>
      <c r="B516">
        <v>0</v>
      </c>
      <c r="C516" t="s">
        <v>495</v>
      </c>
      <c r="D516">
        <v>144</v>
      </c>
      <c r="E516">
        <v>1</v>
      </c>
    </row>
    <row r="517" spans="1:5">
      <c r="A517" t="s">
        <v>2685</v>
      </c>
      <c r="B517">
        <v>0</v>
      </c>
      <c r="C517" t="s">
        <v>497</v>
      </c>
      <c r="D517">
        <v>72</v>
      </c>
      <c r="E517">
        <v>2</v>
      </c>
    </row>
    <row r="518" spans="1:5">
      <c r="A518" t="s">
        <v>2686</v>
      </c>
      <c r="B518">
        <v>0</v>
      </c>
      <c r="C518" t="s">
        <v>499</v>
      </c>
      <c r="D518">
        <v>72</v>
      </c>
      <c r="E518">
        <v>1</v>
      </c>
    </row>
    <row r="519" spans="1:5">
      <c r="A519" t="s">
        <v>2686</v>
      </c>
      <c r="B519">
        <v>0</v>
      </c>
      <c r="C519" t="s">
        <v>501</v>
      </c>
      <c r="D519">
        <v>72</v>
      </c>
      <c r="E519">
        <v>3</v>
      </c>
    </row>
    <row r="520" spans="1:5">
      <c r="A520" t="s">
        <v>2687</v>
      </c>
      <c r="B520">
        <v>0</v>
      </c>
      <c r="C520" t="s">
        <v>503</v>
      </c>
      <c r="D520">
        <v>72</v>
      </c>
      <c r="E520">
        <v>2</v>
      </c>
    </row>
    <row r="521" spans="1:5">
      <c r="A521" t="s">
        <v>2688</v>
      </c>
      <c r="B521">
        <v>0</v>
      </c>
      <c r="C521" t="s">
        <v>457</v>
      </c>
      <c r="D521">
        <v>12</v>
      </c>
      <c r="E521">
        <v>1</v>
      </c>
    </row>
    <row r="522" spans="1:5">
      <c r="A522" t="s">
        <v>2689</v>
      </c>
      <c r="B522">
        <v>0</v>
      </c>
      <c r="C522" t="s">
        <v>470</v>
      </c>
      <c r="D522">
        <v>36</v>
      </c>
      <c r="E522">
        <v>1</v>
      </c>
    </row>
    <row r="523" spans="1:5">
      <c r="A523" t="s">
        <v>2690</v>
      </c>
      <c r="B523">
        <v>0</v>
      </c>
      <c r="C523" t="s">
        <v>456</v>
      </c>
      <c r="D523">
        <v>12</v>
      </c>
      <c r="E523">
        <v>1</v>
      </c>
    </row>
    <row r="524" spans="1:5">
      <c r="A524" t="s">
        <v>2691</v>
      </c>
      <c r="B524">
        <v>0</v>
      </c>
      <c r="C524" t="s">
        <v>467</v>
      </c>
      <c r="D524">
        <v>24</v>
      </c>
      <c r="E524">
        <v>1</v>
      </c>
    </row>
    <row r="525" spans="1:5">
      <c r="A525" t="s">
        <v>2692</v>
      </c>
      <c r="B525">
        <v>0</v>
      </c>
      <c r="C525" t="s">
        <v>468</v>
      </c>
      <c r="D525">
        <v>20</v>
      </c>
      <c r="E525">
        <v>1</v>
      </c>
    </row>
    <row r="526" spans="1:5">
      <c r="A526" t="s">
        <v>2693</v>
      </c>
      <c r="B526">
        <v>0</v>
      </c>
      <c r="C526" t="s">
        <v>463</v>
      </c>
      <c r="D526">
        <v>72</v>
      </c>
      <c r="E526">
        <v>1</v>
      </c>
    </row>
    <row r="527" spans="1:5">
      <c r="A527" t="s">
        <v>2694</v>
      </c>
      <c r="B527">
        <v>0</v>
      </c>
      <c r="C527" t="s">
        <v>464</v>
      </c>
      <c r="D527">
        <v>36</v>
      </c>
      <c r="E527">
        <v>1</v>
      </c>
    </row>
    <row r="528" spans="1:5">
      <c r="A528" t="s">
        <v>2695</v>
      </c>
      <c r="B528">
        <v>0</v>
      </c>
      <c r="C528" t="s">
        <v>465</v>
      </c>
      <c r="D528">
        <v>72</v>
      </c>
      <c r="E528">
        <v>1</v>
      </c>
    </row>
    <row r="529" spans="1:5">
      <c r="A529" t="s">
        <v>2696</v>
      </c>
      <c r="B529">
        <v>0</v>
      </c>
      <c r="C529" t="s">
        <v>466</v>
      </c>
      <c r="D529">
        <v>36</v>
      </c>
      <c r="E529">
        <v>1</v>
      </c>
    </row>
    <row r="530" spans="1:5">
      <c r="A530" t="s">
        <v>2697</v>
      </c>
      <c r="B530">
        <v>0</v>
      </c>
      <c r="C530" t="s">
        <v>969</v>
      </c>
      <c r="D530">
        <v>36</v>
      </c>
      <c r="E530">
        <v>1</v>
      </c>
    </row>
    <row r="531" spans="1:5">
      <c r="A531" t="s">
        <v>2698</v>
      </c>
      <c r="B531">
        <v>0</v>
      </c>
      <c r="C531" t="s">
        <v>971</v>
      </c>
      <c r="D531">
        <v>36</v>
      </c>
      <c r="E531">
        <v>1</v>
      </c>
    </row>
    <row r="532" spans="1:5">
      <c r="A532" t="s">
        <v>2699</v>
      </c>
      <c r="B532">
        <v>0</v>
      </c>
      <c r="C532" t="s">
        <v>675</v>
      </c>
      <c r="D532">
        <v>36</v>
      </c>
      <c r="E532">
        <v>2</v>
      </c>
    </row>
    <row r="533" spans="1:5">
      <c r="A533" t="s">
        <v>2699</v>
      </c>
      <c r="B533">
        <v>0</v>
      </c>
      <c r="C533" t="s">
        <v>676</v>
      </c>
      <c r="D533">
        <v>36</v>
      </c>
      <c r="E533">
        <v>3</v>
      </c>
    </row>
    <row r="534" spans="1:5">
      <c r="A534" t="s">
        <v>2699</v>
      </c>
      <c r="B534">
        <v>0</v>
      </c>
      <c r="C534" t="s">
        <v>677</v>
      </c>
      <c r="D534">
        <v>36</v>
      </c>
      <c r="E534">
        <v>4</v>
      </c>
    </row>
    <row r="535" spans="1:5">
      <c r="A535" t="s">
        <v>2700</v>
      </c>
      <c r="B535">
        <v>0</v>
      </c>
      <c r="C535" t="s">
        <v>678</v>
      </c>
      <c r="D535">
        <v>36</v>
      </c>
      <c r="E535">
        <v>1</v>
      </c>
    </row>
    <row r="536" spans="1:5">
      <c r="A536" t="s">
        <v>2700</v>
      </c>
      <c r="B536">
        <v>0</v>
      </c>
      <c r="C536" t="s">
        <v>679</v>
      </c>
      <c r="D536">
        <v>36</v>
      </c>
      <c r="E536">
        <v>2</v>
      </c>
    </row>
    <row r="537" spans="1:5">
      <c r="A537" t="s">
        <v>2700</v>
      </c>
      <c r="B537">
        <v>0</v>
      </c>
      <c r="C537" t="s">
        <v>680</v>
      </c>
      <c r="D537">
        <v>36</v>
      </c>
      <c r="E537">
        <v>3</v>
      </c>
    </row>
    <row r="538" spans="1:5">
      <c r="A538" t="s">
        <v>2701</v>
      </c>
      <c r="B538">
        <v>0</v>
      </c>
      <c r="C538" t="s">
        <v>681</v>
      </c>
      <c r="D538">
        <v>36</v>
      </c>
      <c r="E538">
        <v>1</v>
      </c>
    </row>
    <row r="539" spans="1:5">
      <c r="A539" t="s">
        <v>2701</v>
      </c>
      <c r="B539">
        <v>0</v>
      </c>
      <c r="C539" t="s">
        <v>682</v>
      </c>
      <c r="D539">
        <v>36</v>
      </c>
      <c r="E539">
        <v>2</v>
      </c>
    </row>
    <row r="540" spans="1:5">
      <c r="A540" t="s">
        <v>2701</v>
      </c>
      <c r="B540">
        <v>0</v>
      </c>
      <c r="C540" t="s">
        <v>683</v>
      </c>
      <c r="D540">
        <v>36</v>
      </c>
      <c r="E540">
        <v>3</v>
      </c>
    </row>
    <row r="541" spans="1:5">
      <c r="A541" t="s">
        <v>2701</v>
      </c>
      <c r="B541">
        <v>0</v>
      </c>
      <c r="C541" t="s">
        <v>684</v>
      </c>
      <c r="D541">
        <v>36</v>
      </c>
      <c r="E541">
        <v>4</v>
      </c>
    </row>
    <row r="542" spans="1:5">
      <c r="A542" t="s">
        <v>2702</v>
      </c>
      <c r="B542">
        <v>0</v>
      </c>
      <c r="C542" t="s">
        <v>668</v>
      </c>
      <c r="D542">
        <v>72</v>
      </c>
      <c r="E542">
        <v>1</v>
      </c>
    </row>
    <row r="543" spans="1:5">
      <c r="A543" t="s">
        <v>2703</v>
      </c>
      <c r="B543">
        <v>0</v>
      </c>
      <c r="C543" t="s">
        <v>786</v>
      </c>
      <c r="D543">
        <v>36</v>
      </c>
      <c r="E543">
        <v>1</v>
      </c>
    </row>
    <row r="544" spans="1:5">
      <c r="A544" t="s">
        <v>2704</v>
      </c>
      <c r="B544">
        <v>0</v>
      </c>
      <c r="C544" t="s">
        <v>692</v>
      </c>
      <c r="D544">
        <v>36</v>
      </c>
      <c r="E544">
        <v>1</v>
      </c>
    </row>
    <row r="545" spans="1:5">
      <c r="A545" t="s">
        <v>2705</v>
      </c>
      <c r="B545">
        <v>0</v>
      </c>
      <c r="C545" t="s">
        <v>787</v>
      </c>
      <c r="D545">
        <v>36</v>
      </c>
      <c r="E545">
        <v>1</v>
      </c>
    </row>
    <row r="546" spans="1:5">
      <c r="A546" t="s">
        <v>2706</v>
      </c>
      <c r="B546">
        <v>0</v>
      </c>
      <c r="C546" t="s">
        <v>777</v>
      </c>
      <c r="D546">
        <v>36</v>
      </c>
      <c r="E546">
        <v>1</v>
      </c>
    </row>
    <row r="547" spans="1:5">
      <c r="A547" t="s">
        <v>2707</v>
      </c>
      <c r="B547">
        <v>0</v>
      </c>
      <c r="C547" t="s">
        <v>778</v>
      </c>
      <c r="D547">
        <v>36</v>
      </c>
      <c r="E547">
        <v>2</v>
      </c>
    </row>
    <row r="548" spans="1:5">
      <c r="A548" t="s">
        <v>2708</v>
      </c>
      <c r="B548">
        <v>0</v>
      </c>
      <c r="C548" t="s">
        <v>713</v>
      </c>
      <c r="D548">
        <v>24</v>
      </c>
      <c r="E548">
        <v>1</v>
      </c>
    </row>
    <row r="549" spans="1:5">
      <c r="A549" t="s">
        <v>2709</v>
      </c>
      <c r="B549">
        <v>0</v>
      </c>
      <c r="C549" t="s">
        <v>779</v>
      </c>
      <c r="D549">
        <v>36</v>
      </c>
      <c r="E549">
        <v>1</v>
      </c>
    </row>
    <row r="550" spans="1:5">
      <c r="A550" t="s">
        <v>2710</v>
      </c>
      <c r="B550">
        <v>0</v>
      </c>
      <c r="C550" t="s">
        <v>714</v>
      </c>
      <c r="D550">
        <v>24</v>
      </c>
      <c r="E550">
        <v>1</v>
      </c>
    </row>
    <row r="551" spans="1:5">
      <c r="A551" t="s">
        <v>2711</v>
      </c>
      <c r="B551">
        <v>0</v>
      </c>
      <c r="C551" t="s">
        <v>780</v>
      </c>
      <c r="D551">
        <v>36</v>
      </c>
      <c r="E551">
        <v>1</v>
      </c>
    </row>
    <row r="552" spans="1:5">
      <c r="A552" t="s">
        <v>2712</v>
      </c>
      <c r="B552">
        <v>0</v>
      </c>
      <c r="C552" t="s">
        <v>781</v>
      </c>
      <c r="D552">
        <v>36</v>
      </c>
      <c r="E552">
        <v>2</v>
      </c>
    </row>
    <row r="553" spans="1:5">
      <c r="A553" t="s">
        <v>2713</v>
      </c>
      <c r="B553">
        <v>0</v>
      </c>
      <c r="C553" t="s">
        <v>782</v>
      </c>
      <c r="D553">
        <v>36</v>
      </c>
      <c r="E553">
        <v>1</v>
      </c>
    </row>
    <row r="554" spans="1:5">
      <c r="A554" t="s">
        <v>2714</v>
      </c>
      <c r="B554">
        <v>0</v>
      </c>
      <c r="C554" t="s">
        <v>744</v>
      </c>
      <c r="D554">
        <v>36</v>
      </c>
      <c r="E554">
        <v>1</v>
      </c>
    </row>
    <row r="555" spans="1:5">
      <c r="A555" t="s">
        <v>2715</v>
      </c>
      <c r="B555">
        <v>0</v>
      </c>
      <c r="C555" t="s">
        <v>745</v>
      </c>
      <c r="D555">
        <v>36</v>
      </c>
      <c r="E555">
        <v>1</v>
      </c>
    </row>
    <row r="556" spans="1:5">
      <c r="A556" t="s">
        <v>2716</v>
      </c>
      <c r="B556">
        <v>0</v>
      </c>
      <c r="C556" t="s">
        <v>736</v>
      </c>
      <c r="D556">
        <v>36</v>
      </c>
      <c r="E556">
        <v>1</v>
      </c>
    </row>
    <row r="557" spans="1:5">
      <c r="A557" t="s">
        <v>2717</v>
      </c>
      <c r="B557">
        <v>0</v>
      </c>
      <c r="C557" t="s">
        <v>737</v>
      </c>
      <c r="D557">
        <v>36</v>
      </c>
      <c r="E557">
        <v>1</v>
      </c>
    </row>
    <row r="558" spans="1:5">
      <c r="A558" t="s">
        <v>2718</v>
      </c>
      <c r="B558">
        <v>0</v>
      </c>
      <c r="C558" t="s">
        <v>1004</v>
      </c>
      <c r="D558">
        <v>36</v>
      </c>
      <c r="E558">
        <v>1</v>
      </c>
    </row>
    <row r="559" spans="1:5">
      <c r="A559" t="s">
        <v>2719</v>
      </c>
      <c r="B559">
        <v>0</v>
      </c>
      <c r="C559" t="s">
        <v>1006</v>
      </c>
      <c r="D559">
        <v>36</v>
      </c>
      <c r="E559">
        <v>1</v>
      </c>
    </row>
    <row r="560" spans="1:5">
      <c r="A560" t="s">
        <v>2720</v>
      </c>
      <c r="B560">
        <v>0</v>
      </c>
      <c r="C560" t="s">
        <v>1009</v>
      </c>
      <c r="D560">
        <v>36</v>
      </c>
      <c r="E560">
        <v>1</v>
      </c>
    </row>
    <row r="561" spans="1:5">
      <c r="A561" t="s">
        <v>2721</v>
      </c>
      <c r="B561">
        <v>0</v>
      </c>
      <c r="C561" t="s">
        <v>443</v>
      </c>
      <c r="D561">
        <v>4</v>
      </c>
      <c r="E561">
        <v>1</v>
      </c>
    </row>
    <row r="562" spans="1:5">
      <c r="A562" t="s">
        <v>2721</v>
      </c>
      <c r="B562">
        <v>0</v>
      </c>
      <c r="C562" t="s">
        <v>442</v>
      </c>
      <c r="D562">
        <v>4</v>
      </c>
      <c r="E562">
        <v>2</v>
      </c>
    </row>
    <row r="563" spans="1:5">
      <c r="A563" t="s">
        <v>2722</v>
      </c>
      <c r="B563">
        <v>0</v>
      </c>
      <c r="C563" t="s">
        <v>449</v>
      </c>
      <c r="D563">
        <v>4</v>
      </c>
      <c r="E563">
        <v>1</v>
      </c>
    </row>
    <row r="564" spans="1:5">
      <c r="A564" t="s">
        <v>2723</v>
      </c>
      <c r="B564">
        <v>0</v>
      </c>
      <c r="C564" t="s">
        <v>620</v>
      </c>
      <c r="D564">
        <v>36</v>
      </c>
      <c r="E564">
        <v>1</v>
      </c>
    </row>
    <row r="565" spans="1:5">
      <c r="A565" t="s">
        <v>2724</v>
      </c>
      <c r="B565">
        <v>0</v>
      </c>
      <c r="C565" t="s">
        <v>624</v>
      </c>
      <c r="D565">
        <v>36</v>
      </c>
      <c r="E565">
        <v>1</v>
      </c>
    </row>
    <row r="566" spans="1:5">
      <c r="A566" t="s">
        <v>2725</v>
      </c>
      <c r="B566">
        <v>0</v>
      </c>
      <c r="C566" t="s">
        <v>908</v>
      </c>
      <c r="D566">
        <v>144</v>
      </c>
      <c r="E566">
        <v>1</v>
      </c>
    </row>
    <row r="567" spans="1:5">
      <c r="A567" t="s">
        <v>2726</v>
      </c>
      <c r="B567">
        <v>0</v>
      </c>
      <c r="C567" t="s">
        <v>902</v>
      </c>
      <c r="D567">
        <v>144</v>
      </c>
      <c r="E567">
        <v>1</v>
      </c>
    </row>
    <row r="568" spans="1:5">
      <c r="A568" t="s">
        <v>2727</v>
      </c>
      <c r="B568">
        <v>0</v>
      </c>
      <c r="C568" t="s">
        <v>857</v>
      </c>
      <c r="D568">
        <v>144</v>
      </c>
      <c r="E568">
        <v>1</v>
      </c>
    </row>
    <row r="569" spans="1:5">
      <c r="A569" t="s">
        <v>2728</v>
      </c>
      <c r="B569">
        <v>0</v>
      </c>
      <c r="C569" t="s">
        <v>889</v>
      </c>
      <c r="D569">
        <v>24</v>
      </c>
      <c r="E569">
        <v>1</v>
      </c>
    </row>
    <row r="570" spans="1:5">
      <c r="A570" t="s">
        <v>2729</v>
      </c>
      <c r="B570">
        <v>0</v>
      </c>
      <c r="C570" t="s">
        <v>904</v>
      </c>
      <c r="D570">
        <v>36</v>
      </c>
      <c r="E570">
        <v>1</v>
      </c>
    </row>
    <row r="571" spans="1:5">
      <c r="A571" t="s">
        <v>2730</v>
      </c>
      <c r="B571">
        <v>0</v>
      </c>
      <c r="C571" t="s">
        <v>534</v>
      </c>
      <c r="D571">
        <v>36</v>
      </c>
      <c r="E571">
        <v>1</v>
      </c>
    </row>
    <row r="572" spans="1:5">
      <c r="A572" t="s">
        <v>2731</v>
      </c>
      <c r="B572">
        <v>0</v>
      </c>
      <c r="C572" t="s">
        <v>541</v>
      </c>
      <c r="D572">
        <v>36</v>
      </c>
      <c r="E572">
        <v>1</v>
      </c>
    </row>
    <row r="573" spans="1:5">
      <c r="A573" t="s">
        <v>2732</v>
      </c>
      <c r="B573">
        <v>0</v>
      </c>
      <c r="C573" t="s">
        <v>535</v>
      </c>
      <c r="D573">
        <v>36</v>
      </c>
      <c r="E573">
        <v>1</v>
      </c>
    </row>
    <row r="574" spans="1:5">
      <c r="A574" t="s">
        <v>2733</v>
      </c>
      <c r="B574">
        <v>0</v>
      </c>
      <c r="C574" t="s">
        <v>542</v>
      </c>
      <c r="D574">
        <v>36</v>
      </c>
      <c r="E574">
        <v>1</v>
      </c>
    </row>
    <row r="575" spans="1:5">
      <c r="A575" t="s">
        <v>2734</v>
      </c>
      <c r="B575">
        <v>0</v>
      </c>
      <c r="C575" t="s">
        <v>373</v>
      </c>
      <c r="D575">
        <v>36</v>
      </c>
      <c r="E575">
        <v>1</v>
      </c>
    </row>
    <row r="576" spans="1:5">
      <c r="A576" t="s">
        <v>2735</v>
      </c>
      <c r="B576">
        <v>0</v>
      </c>
      <c r="C576" t="s">
        <v>375</v>
      </c>
      <c r="D576">
        <v>36</v>
      </c>
      <c r="E576">
        <v>1</v>
      </c>
    </row>
    <row r="577" spans="1:5">
      <c r="A577" t="s">
        <v>2736</v>
      </c>
      <c r="B577">
        <v>0</v>
      </c>
      <c r="C577" t="s">
        <v>377</v>
      </c>
      <c r="D577">
        <v>48</v>
      </c>
      <c r="E577">
        <v>1</v>
      </c>
    </row>
    <row r="578" spans="1:5">
      <c r="A578" t="s">
        <v>2737</v>
      </c>
      <c r="B578">
        <v>0</v>
      </c>
      <c r="C578" t="s">
        <v>378</v>
      </c>
      <c r="D578">
        <v>48</v>
      </c>
      <c r="E578">
        <v>1</v>
      </c>
    </row>
    <row r="579" spans="1:5">
      <c r="A579" t="s">
        <v>2738</v>
      </c>
      <c r="B579">
        <v>0</v>
      </c>
      <c r="C579" t="s">
        <v>379</v>
      </c>
      <c r="D579">
        <v>36</v>
      </c>
      <c r="E579">
        <v>1</v>
      </c>
    </row>
    <row r="580" spans="1:5">
      <c r="A580" t="s">
        <v>2739</v>
      </c>
      <c r="B580">
        <v>0</v>
      </c>
      <c r="C580" t="s">
        <v>381</v>
      </c>
      <c r="D580">
        <v>48</v>
      </c>
      <c r="E580">
        <v>1</v>
      </c>
    </row>
    <row r="581" spans="1:5">
      <c r="A581" t="s">
        <v>2740</v>
      </c>
      <c r="B581">
        <v>0</v>
      </c>
      <c r="C581" t="s">
        <v>382</v>
      </c>
      <c r="D581">
        <v>48</v>
      </c>
      <c r="E581">
        <v>1</v>
      </c>
    </row>
    <row r="582" spans="1:5">
      <c r="A582" t="s">
        <v>2741</v>
      </c>
      <c r="B582">
        <v>0</v>
      </c>
      <c r="C582" t="s">
        <v>387</v>
      </c>
      <c r="D582">
        <v>12</v>
      </c>
      <c r="E582">
        <v>1</v>
      </c>
    </row>
    <row r="583" spans="1:5">
      <c r="A583" t="s">
        <v>2742</v>
      </c>
      <c r="B583">
        <v>0</v>
      </c>
      <c r="C583" t="s">
        <v>390</v>
      </c>
      <c r="D583">
        <v>4</v>
      </c>
      <c r="E583">
        <v>1</v>
      </c>
    </row>
    <row r="584" spans="1:5">
      <c r="A584" t="s">
        <v>2743</v>
      </c>
      <c r="B584">
        <v>0</v>
      </c>
      <c r="C584" t="s">
        <v>391</v>
      </c>
      <c r="D584">
        <v>12</v>
      </c>
      <c r="E584">
        <v>1</v>
      </c>
    </row>
    <row r="585" spans="1:5">
      <c r="A585" t="s">
        <v>2744</v>
      </c>
      <c r="B585">
        <v>0</v>
      </c>
      <c r="C585" t="s">
        <v>394</v>
      </c>
      <c r="D585">
        <v>4</v>
      </c>
      <c r="E585">
        <v>1</v>
      </c>
    </row>
    <row r="586" spans="1:5">
      <c r="A586" t="s">
        <v>2745</v>
      </c>
      <c r="B586">
        <v>0</v>
      </c>
      <c r="C586" t="s">
        <v>395</v>
      </c>
      <c r="D586">
        <v>12</v>
      </c>
      <c r="E586">
        <v>1</v>
      </c>
    </row>
    <row r="587" spans="1:5">
      <c r="A587" t="s">
        <v>2746</v>
      </c>
      <c r="B587">
        <v>0</v>
      </c>
      <c r="C587" t="s">
        <v>402</v>
      </c>
      <c r="D587">
        <v>12</v>
      </c>
      <c r="E587">
        <v>1</v>
      </c>
    </row>
    <row r="588" spans="1:5">
      <c r="A588" t="s">
        <v>2747</v>
      </c>
      <c r="B588">
        <v>0</v>
      </c>
      <c r="C588" t="s">
        <v>436</v>
      </c>
      <c r="D588">
        <v>96</v>
      </c>
      <c r="E588">
        <v>1</v>
      </c>
    </row>
    <row r="589" spans="1:5">
      <c r="A589" t="s">
        <v>2748</v>
      </c>
      <c r="B589">
        <v>0</v>
      </c>
      <c r="C589" t="s">
        <v>437</v>
      </c>
      <c r="D589">
        <v>48</v>
      </c>
      <c r="E589">
        <v>1</v>
      </c>
    </row>
    <row r="590" spans="1:5">
      <c r="A590" t="s">
        <v>2749</v>
      </c>
      <c r="B590">
        <v>0</v>
      </c>
      <c r="C590" t="s">
        <v>421</v>
      </c>
      <c r="D590">
        <v>36</v>
      </c>
      <c r="E590">
        <v>1</v>
      </c>
    </row>
    <row r="591" spans="1:5">
      <c r="A591" t="s">
        <v>2750</v>
      </c>
      <c r="B591">
        <v>0</v>
      </c>
      <c r="C591" t="s">
        <v>422</v>
      </c>
      <c r="D591">
        <v>36</v>
      </c>
      <c r="E591">
        <v>2</v>
      </c>
    </row>
    <row r="592" spans="1:5">
      <c r="A592" t="s">
        <v>2751</v>
      </c>
      <c r="B592">
        <v>0</v>
      </c>
      <c r="C592" t="s">
        <v>423</v>
      </c>
      <c r="D592">
        <v>36</v>
      </c>
      <c r="E592">
        <v>1</v>
      </c>
    </row>
    <row r="593" spans="1:5">
      <c r="A593" t="s">
        <v>2752</v>
      </c>
      <c r="B593">
        <v>0</v>
      </c>
      <c r="C593" t="s">
        <v>2471</v>
      </c>
      <c r="D593">
        <v>0</v>
      </c>
      <c r="E593">
        <v>2</v>
      </c>
    </row>
    <row r="594" spans="1:5">
      <c r="A594" t="s">
        <v>2753</v>
      </c>
      <c r="B594">
        <v>0</v>
      </c>
      <c r="C594" t="s">
        <v>425</v>
      </c>
      <c r="D594">
        <v>12</v>
      </c>
      <c r="E594">
        <v>1</v>
      </c>
    </row>
    <row r="595" spans="1:5">
      <c r="A595" t="s">
        <v>2754</v>
      </c>
      <c r="B595">
        <v>0</v>
      </c>
      <c r="C595" t="s">
        <v>426</v>
      </c>
      <c r="D595">
        <v>12</v>
      </c>
      <c r="E595">
        <v>1</v>
      </c>
    </row>
    <row r="596" spans="1:5">
      <c r="A596" t="s">
        <v>2755</v>
      </c>
      <c r="B596">
        <v>0</v>
      </c>
      <c r="C596" t="s">
        <v>429</v>
      </c>
      <c r="D596">
        <v>12</v>
      </c>
      <c r="E596">
        <v>1</v>
      </c>
    </row>
    <row r="597" spans="1:5">
      <c r="A597" t="s">
        <v>2756</v>
      </c>
      <c r="B597">
        <v>0</v>
      </c>
      <c r="C597" t="s">
        <v>430</v>
      </c>
      <c r="D597">
        <v>12</v>
      </c>
      <c r="E597">
        <v>1</v>
      </c>
    </row>
    <row r="598" spans="1:5">
      <c r="A598" t="s">
        <v>2757</v>
      </c>
      <c r="B598">
        <v>0</v>
      </c>
      <c r="C598" t="s">
        <v>435</v>
      </c>
      <c r="D598">
        <v>36</v>
      </c>
      <c r="E598">
        <v>1</v>
      </c>
    </row>
    <row r="599" spans="1:5">
      <c r="A599" t="s">
        <v>2758</v>
      </c>
      <c r="B599">
        <v>0</v>
      </c>
      <c r="C599" t="s">
        <v>412</v>
      </c>
      <c r="D599">
        <v>24</v>
      </c>
      <c r="E599">
        <v>1</v>
      </c>
    </row>
    <row r="600" spans="1:5">
      <c r="A600" t="s">
        <v>2759</v>
      </c>
      <c r="B600">
        <v>0</v>
      </c>
      <c r="C600" t="s">
        <v>413</v>
      </c>
      <c r="D600">
        <v>24</v>
      </c>
      <c r="E600">
        <v>1</v>
      </c>
    </row>
    <row r="601" spans="1:5">
      <c r="A601" t="s">
        <v>2760</v>
      </c>
      <c r="B601">
        <v>0</v>
      </c>
      <c r="C601" t="s">
        <v>414</v>
      </c>
      <c r="D601">
        <v>120</v>
      </c>
      <c r="E601">
        <v>1</v>
      </c>
    </row>
    <row r="602" spans="1:5">
      <c r="A602" t="s">
        <v>2761</v>
      </c>
      <c r="B602">
        <v>0</v>
      </c>
      <c r="C602" t="s">
        <v>416</v>
      </c>
      <c r="D602">
        <v>12</v>
      </c>
      <c r="E602">
        <v>1</v>
      </c>
    </row>
    <row r="603" spans="1:5">
      <c r="A603" t="s">
        <v>2762</v>
      </c>
      <c r="B603">
        <v>0</v>
      </c>
      <c r="C603" t="s">
        <v>417</v>
      </c>
      <c r="D603">
        <v>12</v>
      </c>
      <c r="E603">
        <v>1</v>
      </c>
    </row>
    <row r="604" spans="1:5">
      <c r="A604" t="s">
        <v>2763</v>
      </c>
      <c r="B604">
        <v>0</v>
      </c>
      <c r="C604" t="s">
        <v>420</v>
      </c>
      <c r="D604">
        <v>4</v>
      </c>
      <c r="E604">
        <v>1</v>
      </c>
    </row>
    <row r="605" spans="1:5">
      <c r="A605" t="s">
        <v>2764</v>
      </c>
      <c r="B605">
        <v>0</v>
      </c>
      <c r="C605" t="s">
        <v>419</v>
      </c>
      <c r="D605">
        <v>6</v>
      </c>
      <c r="E605">
        <v>1</v>
      </c>
    </row>
    <row r="606" spans="1:5">
      <c r="A606" t="s">
        <v>2765</v>
      </c>
      <c r="B606">
        <v>0</v>
      </c>
      <c r="C606" t="s">
        <v>833</v>
      </c>
      <c r="D606">
        <v>24</v>
      </c>
      <c r="E606">
        <v>1</v>
      </c>
    </row>
    <row r="607" spans="1:5">
      <c r="A607" t="s">
        <v>2766</v>
      </c>
      <c r="B607">
        <v>0</v>
      </c>
      <c r="C607" t="s">
        <v>814</v>
      </c>
      <c r="D607">
        <v>36</v>
      </c>
      <c r="E607">
        <v>1</v>
      </c>
    </row>
    <row r="608" spans="1:5">
      <c r="A608" t="s">
        <v>2767</v>
      </c>
      <c r="B608">
        <v>0</v>
      </c>
      <c r="C608" t="s">
        <v>815</v>
      </c>
      <c r="D608">
        <v>36</v>
      </c>
      <c r="E608">
        <v>1</v>
      </c>
    </row>
    <row r="609" spans="1:5">
      <c r="A609" t="s">
        <v>2768</v>
      </c>
      <c r="B609">
        <v>0</v>
      </c>
      <c r="C609" t="s">
        <v>816</v>
      </c>
      <c r="D609">
        <v>36</v>
      </c>
      <c r="E609">
        <v>1</v>
      </c>
    </row>
    <row r="610" spans="1:5">
      <c r="A610" t="s">
        <v>2769</v>
      </c>
      <c r="B610">
        <v>0</v>
      </c>
      <c r="C610" t="s">
        <v>817</v>
      </c>
      <c r="D610">
        <v>36</v>
      </c>
      <c r="E610">
        <v>1</v>
      </c>
    </row>
    <row r="611" spans="1:5">
      <c r="A611" t="s">
        <v>2770</v>
      </c>
      <c r="B611">
        <v>0</v>
      </c>
      <c r="C611" t="s">
        <v>819</v>
      </c>
      <c r="D611">
        <v>36</v>
      </c>
      <c r="E611">
        <v>1</v>
      </c>
    </row>
    <row r="612" spans="1:5">
      <c r="A612" t="s">
        <v>2770</v>
      </c>
      <c r="B612">
        <v>0</v>
      </c>
      <c r="C612" t="s">
        <v>818</v>
      </c>
      <c r="D612">
        <v>36</v>
      </c>
      <c r="E612">
        <v>2</v>
      </c>
    </row>
    <row r="613" spans="1:5">
      <c r="A613" t="s">
        <v>2771</v>
      </c>
      <c r="B613">
        <v>0</v>
      </c>
      <c r="C613" t="s">
        <v>826</v>
      </c>
      <c r="D613">
        <v>36</v>
      </c>
      <c r="E613">
        <v>1</v>
      </c>
    </row>
    <row r="614" spans="1:5">
      <c r="A614" t="s">
        <v>2772</v>
      </c>
      <c r="B614">
        <v>0</v>
      </c>
      <c r="C614" t="s">
        <v>827</v>
      </c>
      <c r="D614">
        <v>36</v>
      </c>
      <c r="E614">
        <v>1</v>
      </c>
    </row>
    <row r="615" spans="1:5">
      <c r="A615" t="s">
        <v>2773</v>
      </c>
      <c r="B615">
        <v>0</v>
      </c>
      <c r="C615" t="s">
        <v>828</v>
      </c>
      <c r="D615">
        <v>36</v>
      </c>
      <c r="E615">
        <v>1</v>
      </c>
    </row>
    <row r="616" spans="1:5">
      <c r="A616" t="s">
        <v>2774</v>
      </c>
      <c r="B616">
        <v>0</v>
      </c>
      <c r="C616" t="s">
        <v>835</v>
      </c>
      <c r="D616">
        <v>48</v>
      </c>
      <c r="E616">
        <v>1</v>
      </c>
    </row>
    <row r="617" spans="1:5">
      <c r="A617" t="s">
        <v>2775</v>
      </c>
      <c r="B617">
        <v>0</v>
      </c>
      <c r="C617" t="s">
        <v>837</v>
      </c>
      <c r="D617">
        <v>48</v>
      </c>
      <c r="E617">
        <v>1</v>
      </c>
    </row>
    <row r="618" spans="1:5">
      <c r="A618" t="s">
        <v>2775</v>
      </c>
      <c r="B618">
        <v>0</v>
      </c>
      <c r="C618" t="s">
        <v>836</v>
      </c>
      <c r="D618">
        <v>48</v>
      </c>
      <c r="E618">
        <v>2</v>
      </c>
    </row>
    <row r="619" spans="1:5">
      <c r="A619" t="s">
        <v>2776</v>
      </c>
      <c r="B619">
        <v>0</v>
      </c>
      <c r="C619" t="s">
        <v>839</v>
      </c>
      <c r="D619">
        <v>48</v>
      </c>
      <c r="E619">
        <v>1</v>
      </c>
    </row>
    <row r="620" spans="1:5">
      <c r="A620" t="s">
        <v>2776</v>
      </c>
      <c r="B620">
        <v>0</v>
      </c>
      <c r="C620" t="s">
        <v>838</v>
      </c>
      <c r="D620">
        <v>48</v>
      </c>
      <c r="E620">
        <v>2</v>
      </c>
    </row>
    <row r="621" spans="1:5">
      <c r="A621" t="s">
        <v>2777</v>
      </c>
      <c r="B621">
        <v>0</v>
      </c>
      <c r="C621" t="s">
        <v>840</v>
      </c>
      <c r="D621">
        <v>48</v>
      </c>
      <c r="E621">
        <v>1</v>
      </c>
    </row>
    <row r="622" spans="1:5">
      <c r="A622" t="s">
        <v>2777</v>
      </c>
      <c r="B622">
        <v>0</v>
      </c>
      <c r="C622" t="s">
        <v>841</v>
      </c>
      <c r="D622">
        <v>48</v>
      </c>
      <c r="E622">
        <v>2</v>
      </c>
    </row>
    <row r="623" spans="1:5">
      <c r="A623" t="s">
        <v>2778</v>
      </c>
      <c r="B623">
        <v>0</v>
      </c>
      <c r="C623" t="s">
        <v>842</v>
      </c>
      <c r="D623">
        <v>48</v>
      </c>
      <c r="E623">
        <v>1</v>
      </c>
    </row>
    <row r="624" spans="1:5">
      <c r="A624" t="s">
        <v>2779</v>
      </c>
      <c r="B624">
        <v>0</v>
      </c>
      <c r="C624" t="s">
        <v>843</v>
      </c>
      <c r="D624">
        <v>48</v>
      </c>
      <c r="E624">
        <v>1</v>
      </c>
    </row>
    <row r="625" spans="1:5">
      <c r="A625" t="s">
        <v>2780</v>
      </c>
      <c r="B625">
        <v>0</v>
      </c>
      <c r="C625" t="s">
        <v>760</v>
      </c>
      <c r="D625">
        <v>36</v>
      </c>
      <c r="E625">
        <v>1</v>
      </c>
    </row>
    <row r="626" spans="1:5">
      <c r="A626" t="s">
        <v>2781</v>
      </c>
      <c r="B626">
        <v>0</v>
      </c>
      <c r="C626" t="s">
        <v>2447</v>
      </c>
      <c r="D626">
        <v>0</v>
      </c>
      <c r="E626">
        <v>1</v>
      </c>
    </row>
    <row r="627" spans="1:5">
      <c r="A627" t="s">
        <v>2782</v>
      </c>
      <c r="B627">
        <v>0</v>
      </c>
      <c r="C627" t="s">
        <v>754</v>
      </c>
      <c r="D627">
        <v>12</v>
      </c>
      <c r="E627">
        <v>1</v>
      </c>
    </row>
    <row r="628" spans="1:5">
      <c r="A628" t="s">
        <v>2783</v>
      </c>
      <c r="B628">
        <v>0</v>
      </c>
      <c r="C628" t="s">
        <v>772</v>
      </c>
      <c r="D628">
        <v>36</v>
      </c>
      <c r="E628">
        <v>1</v>
      </c>
    </row>
    <row r="629" spans="1:5">
      <c r="A629" t="s">
        <v>2784</v>
      </c>
      <c r="B629">
        <v>0</v>
      </c>
      <c r="C629" t="s">
        <v>773</v>
      </c>
      <c r="D629">
        <v>36</v>
      </c>
      <c r="E629">
        <v>1</v>
      </c>
    </row>
    <row r="630" spans="1:5">
      <c r="A630" t="s">
        <v>2785</v>
      </c>
      <c r="B630">
        <v>0</v>
      </c>
      <c r="C630" t="s">
        <v>771</v>
      </c>
      <c r="D630">
        <v>12</v>
      </c>
      <c r="E630">
        <v>1</v>
      </c>
    </row>
    <row r="631" spans="1:5">
      <c r="A631" t="s">
        <v>2786</v>
      </c>
      <c r="B631">
        <v>0</v>
      </c>
      <c r="C631" t="s">
        <v>768</v>
      </c>
      <c r="D631">
        <v>36</v>
      </c>
      <c r="E631">
        <v>1</v>
      </c>
    </row>
    <row r="632" spans="1:5">
      <c r="A632" t="s">
        <v>2786</v>
      </c>
      <c r="B632">
        <v>0</v>
      </c>
      <c r="C632" t="s">
        <v>767</v>
      </c>
      <c r="D632">
        <v>36</v>
      </c>
      <c r="E632">
        <v>2</v>
      </c>
    </row>
    <row r="633" spans="1:5">
      <c r="A633" t="s">
        <v>2787</v>
      </c>
      <c r="B633">
        <v>0</v>
      </c>
      <c r="C633" t="s">
        <v>769</v>
      </c>
      <c r="D633">
        <v>36</v>
      </c>
      <c r="E633">
        <v>1</v>
      </c>
    </row>
    <row r="634" spans="1:5">
      <c r="A634" t="s">
        <v>2788</v>
      </c>
      <c r="B634">
        <v>0</v>
      </c>
      <c r="C634" t="s">
        <v>770</v>
      </c>
      <c r="D634">
        <v>12</v>
      </c>
      <c r="E634">
        <v>1</v>
      </c>
    </row>
    <row r="635" spans="1:5">
      <c r="A635" t="s">
        <v>2789</v>
      </c>
      <c r="B635">
        <v>0</v>
      </c>
      <c r="C635" t="s">
        <v>709</v>
      </c>
      <c r="D635">
        <v>72</v>
      </c>
      <c r="E635">
        <v>1</v>
      </c>
    </row>
    <row r="636" spans="1:5">
      <c r="A636" t="s">
        <v>2790</v>
      </c>
      <c r="B636">
        <v>0</v>
      </c>
      <c r="C636" t="s">
        <v>710</v>
      </c>
      <c r="D636">
        <v>36</v>
      </c>
      <c r="E636">
        <v>1</v>
      </c>
    </row>
    <row r="637" spans="1:5">
      <c r="A637" t="s">
        <v>2791</v>
      </c>
      <c r="B637">
        <v>0</v>
      </c>
      <c r="C637" t="s">
        <v>711</v>
      </c>
      <c r="D637">
        <v>36</v>
      </c>
      <c r="E637">
        <v>1</v>
      </c>
    </row>
    <row r="638" spans="1:5">
      <c r="A638" t="s">
        <v>2792</v>
      </c>
      <c r="B638">
        <v>0</v>
      </c>
      <c r="C638" t="s">
        <v>753</v>
      </c>
      <c r="D638">
        <v>36</v>
      </c>
      <c r="E638">
        <v>1</v>
      </c>
    </row>
    <row r="639" spans="1:5">
      <c r="A639" t="s">
        <v>2793</v>
      </c>
      <c r="B639">
        <v>0</v>
      </c>
      <c r="C639" t="s">
        <v>707</v>
      </c>
      <c r="D639">
        <v>120</v>
      </c>
      <c r="E639">
        <v>1</v>
      </c>
    </row>
    <row r="640" spans="1:5">
      <c r="A640" t="s">
        <v>2793</v>
      </c>
      <c r="B640">
        <v>0</v>
      </c>
      <c r="C640" t="s">
        <v>708</v>
      </c>
      <c r="D640">
        <v>120</v>
      </c>
      <c r="E640">
        <v>2</v>
      </c>
    </row>
    <row r="641" spans="1:5">
      <c r="A641" t="s">
        <v>2794</v>
      </c>
      <c r="B641">
        <v>0</v>
      </c>
      <c r="C641" t="s">
        <v>695</v>
      </c>
      <c r="D641">
        <v>120</v>
      </c>
      <c r="E641">
        <v>1</v>
      </c>
    </row>
    <row r="642" spans="1:5">
      <c r="A642" t="s">
        <v>2794</v>
      </c>
      <c r="B642">
        <v>0</v>
      </c>
      <c r="C642" t="s">
        <v>696</v>
      </c>
      <c r="D642">
        <v>120</v>
      </c>
      <c r="E642">
        <v>2</v>
      </c>
    </row>
    <row r="643" spans="1:5">
      <c r="A643" t="s">
        <v>2795</v>
      </c>
      <c r="B643">
        <v>0</v>
      </c>
      <c r="C643" t="s">
        <v>697</v>
      </c>
      <c r="D643">
        <v>72</v>
      </c>
      <c r="E643">
        <v>1</v>
      </c>
    </row>
    <row r="644" spans="1:5">
      <c r="A644" t="s">
        <v>2796</v>
      </c>
      <c r="B644">
        <v>0</v>
      </c>
      <c r="C644" t="s">
        <v>698</v>
      </c>
      <c r="D644">
        <v>36</v>
      </c>
      <c r="E644">
        <v>1</v>
      </c>
    </row>
    <row r="645" spans="1:5">
      <c r="A645" t="s">
        <v>2797</v>
      </c>
      <c r="B645">
        <v>0</v>
      </c>
      <c r="C645" t="s">
        <v>699</v>
      </c>
      <c r="D645">
        <v>36</v>
      </c>
      <c r="E645">
        <v>1</v>
      </c>
    </row>
    <row r="646" spans="1:5">
      <c r="A646" t="s">
        <v>2798</v>
      </c>
      <c r="B646">
        <v>0</v>
      </c>
      <c r="C646" t="s">
        <v>755</v>
      </c>
      <c r="D646">
        <v>12</v>
      </c>
      <c r="E646">
        <v>1</v>
      </c>
    </row>
    <row r="647" spans="1:5">
      <c r="A647" t="s">
        <v>2799</v>
      </c>
      <c r="B647">
        <v>0</v>
      </c>
      <c r="C647" t="s">
        <v>701</v>
      </c>
      <c r="D647">
        <v>120</v>
      </c>
      <c r="E647">
        <v>1</v>
      </c>
    </row>
    <row r="648" spans="1:5">
      <c r="A648" t="s">
        <v>2800</v>
      </c>
      <c r="B648">
        <v>0</v>
      </c>
      <c r="C648" t="s">
        <v>703</v>
      </c>
      <c r="D648">
        <v>72</v>
      </c>
      <c r="E648">
        <v>1</v>
      </c>
    </row>
    <row r="649" spans="1:5">
      <c r="A649" t="s">
        <v>2801</v>
      </c>
      <c r="B649">
        <v>0</v>
      </c>
      <c r="C649" t="s">
        <v>704</v>
      </c>
      <c r="D649">
        <v>36</v>
      </c>
      <c r="E649">
        <v>1</v>
      </c>
    </row>
    <row r="650" spans="1:5">
      <c r="A650" t="s">
        <v>2802</v>
      </c>
      <c r="B650">
        <v>0</v>
      </c>
      <c r="C650" t="s">
        <v>705</v>
      </c>
      <c r="D650">
        <v>36</v>
      </c>
      <c r="E650">
        <v>1</v>
      </c>
    </row>
    <row r="651" spans="1:5">
      <c r="A651" t="s">
        <v>2803</v>
      </c>
      <c r="B651">
        <v>0</v>
      </c>
      <c r="C651" t="s">
        <v>761</v>
      </c>
      <c r="D651">
        <v>12</v>
      </c>
      <c r="E651">
        <v>1</v>
      </c>
    </row>
    <row r="652" spans="1:5">
      <c r="A652" t="s">
        <v>2804</v>
      </c>
      <c r="B652">
        <v>0</v>
      </c>
      <c r="C652" t="s">
        <v>763</v>
      </c>
      <c r="D652">
        <v>36</v>
      </c>
      <c r="E652">
        <v>1</v>
      </c>
    </row>
    <row r="653" spans="1:5">
      <c r="A653" t="s">
        <v>2804</v>
      </c>
      <c r="B653">
        <v>0</v>
      </c>
      <c r="C653" t="s">
        <v>764</v>
      </c>
      <c r="D653">
        <v>36</v>
      </c>
      <c r="E653">
        <v>2</v>
      </c>
    </row>
    <row r="654" spans="1:5">
      <c r="A654" t="s">
        <v>2805</v>
      </c>
      <c r="B654">
        <v>0</v>
      </c>
      <c r="C654" t="s">
        <v>774</v>
      </c>
      <c r="D654">
        <v>36</v>
      </c>
      <c r="E654">
        <v>1</v>
      </c>
    </row>
    <row r="655" spans="1:5">
      <c r="A655" t="s">
        <v>2806</v>
      </c>
      <c r="B655">
        <v>0</v>
      </c>
      <c r="C655" t="s">
        <v>775</v>
      </c>
      <c r="D655">
        <v>36</v>
      </c>
      <c r="E655">
        <v>1</v>
      </c>
    </row>
    <row r="656" spans="1:5">
      <c r="A656" t="s">
        <v>2807</v>
      </c>
      <c r="B656">
        <v>0</v>
      </c>
      <c r="C656" t="s">
        <v>765</v>
      </c>
      <c r="D656">
        <v>36</v>
      </c>
      <c r="E656">
        <v>1</v>
      </c>
    </row>
    <row r="657" spans="1:5">
      <c r="A657" t="s">
        <v>2807</v>
      </c>
      <c r="B657">
        <v>0</v>
      </c>
      <c r="C657" t="s">
        <v>766</v>
      </c>
      <c r="D657">
        <v>36</v>
      </c>
      <c r="E657">
        <v>2</v>
      </c>
    </row>
    <row r="658" spans="1:5">
      <c r="A658" t="s">
        <v>2808</v>
      </c>
      <c r="B658">
        <v>0</v>
      </c>
      <c r="C658" t="s">
        <v>758</v>
      </c>
      <c r="D658">
        <v>36</v>
      </c>
      <c r="E658">
        <v>1</v>
      </c>
    </row>
    <row r="659" spans="1:5">
      <c r="A659" t="s">
        <v>2808</v>
      </c>
      <c r="B659">
        <v>0</v>
      </c>
      <c r="C659" t="s">
        <v>757</v>
      </c>
      <c r="D659">
        <v>36</v>
      </c>
      <c r="E659">
        <v>2</v>
      </c>
    </row>
    <row r="660" spans="1:5">
      <c r="A660" t="s">
        <v>2809</v>
      </c>
      <c r="B660">
        <v>0</v>
      </c>
      <c r="C660" t="s">
        <v>759</v>
      </c>
      <c r="D660">
        <v>36</v>
      </c>
      <c r="E660">
        <v>1</v>
      </c>
    </row>
    <row r="661" spans="1:5">
      <c r="A661" t="s">
        <v>2809</v>
      </c>
      <c r="B661">
        <v>0</v>
      </c>
      <c r="C661" t="s">
        <v>2438</v>
      </c>
      <c r="D661">
        <v>0</v>
      </c>
      <c r="E661">
        <v>2</v>
      </c>
    </row>
    <row r="662" spans="1:5">
      <c r="A662" t="s">
        <v>2810</v>
      </c>
      <c r="B662">
        <v>0</v>
      </c>
      <c r="C662" t="s">
        <v>724</v>
      </c>
      <c r="D662">
        <v>160</v>
      </c>
      <c r="E662">
        <v>1</v>
      </c>
    </row>
    <row r="663" spans="1:5">
      <c r="A663" t="s">
        <v>2811</v>
      </c>
      <c r="B663">
        <v>0</v>
      </c>
      <c r="C663" t="s">
        <v>722</v>
      </c>
      <c r="D663">
        <v>24</v>
      </c>
      <c r="E663">
        <v>1</v>
      </c>
    </row>
    <row r="664" spans="1:5">
      <c r="A664" t="s">
        <v>2812</v>
      </c>
      <c r="B664">
        <v>0</v>
      </c>
      <c r="C664" t="s">
        <v>723</v>
      </c>
      <c r="D664">
        <v>24</v>
      </c>
      <c r="E664">
        <v>1</v>
      </c>
    </row>
    <row r="665" spans="1:5">
      <c r="A665" t="s">
        <v>2813</v>
      </c>
      <c r="B665">
        <v>0</v>
      </c>
      <c r="C665" t="s">
        <v>673</v>
      </c>
      <c r="D665">
        <v>24</v>
      </c>
      <c r="E665">
        <v>1</v>
      </c>
    </row>
    <row r="666" spans="1:5">
      <c r="A666" t="s">
        <v>2657</v>
      </c>
      <c r="B666">
        <v>0</v>
      </c>
      <c r="C666" t="s">
        <v>2653</v>
      </c>
      <c r="D666">
        <v>24</v>
      </c>
      <c r="E666">
        <v>1</v>
      </c>
    </row>
    <row r="667" spans="1:5">
      <c r="A667" t="s">
        <v>2814</v>
      </c>
      <c r="B667">
        <v>0</v>
      </c>
      <c r="C667" t="s">
        <v>866</v>
      </c>
      <c r="D667">
        <v>24</v>
      </c>
      <c r="E667">
        <v>1</v>
      </c>
    </row>
    <row r="668" spans="1:5">
      <c r="A668" t="s">
        <v>2815</v>
      </c>
      <c r="B668">
        <v>0</v>
      </c>
      <c r="C668" t="s">
        <v>870</v>
      </c>
      <c r="D668">
        <v>24</v>
      </c>
      <c r="E668">
        <v>1</v>
      </c>
    </row>
    <row r="669" spans="1:5">
      <c r="A669" t="s">
        <v>2815</v>
      </c>
      <c r="B669">
        <v>0</v>
      </c>
      <c r="C669" t="s">
        <v>871</v>
      </c>
      <c r="D669">
        <v>24</v>
      </c>
      <c r="E669">
        <v>2</v>
      </c>
    </row>
    <row r="670" spans="1:5">
      <c r="A670" t="s">
        <v>2816</v>
      </c>
      <c r="B670">
        <v>0</v>
      </c>
      <c r="C670" t="s">
        <v>892</v>
      </c>
      <c r="D670">
        <v>24</v>
      </c>
      <c r="E670">
        <v>1</v>
      </c>
    </row>
    <row r="671" spans="1:5">
      <c r="A671" t="s">
        <v>2817</v>
      </c>
      <c r="B671">
        <v>0</v>
      </c>
      <c r="C671" t="s">
        <v>438</v>
      </c>
      <c r="D671">
        <v>36</v>
      </c>
      <c r="E671">
        <v>1</v>
      </c>
    </row>
    <row r="672" spans="1:5">
      <c r="A672" t="s">
        <v>2818</v>
      </c>
      <c r="B672">
        <v>0</v>
      </c>
      <c r="C672" t="s">
        <v>480</v>
      </c>
      <c r="D672">
        <v>12</v>
      </c>
      <c r="E672">
        <v>1</v>
      </c>
    </row>
    <row r="673" spans="1:5">
      <c r="A673" t="s">
        <v>2819</v>
      </c>
      <c r="B673">
        <v>0</v>
      </c>
      <c r="C673" t="s">
        <v>783</v>
      </c>
      <c r="D673">
        <v>36</v>
      </c>
      <c r="E673">
        <v>1</v>
      </c>
    </row>
    <row r="674" spans="1:5">
      <c r="A674" t="s">
        <v>2820</v>
      </c>
      <c r="B674">
        <v>0</v>
      </c>
      <c r="C674" t="s">
        <v>784</v>
      </c>
      <c r="D674">
        <v>36</v>
      </c>
      <c r="E674">
        <v>2</v>
      </c>
    </row>
    <row r="675" spans="1:5">
      <c r="A675" t="s">
        <v>2821</v>
      </c>
      <c r="B675">
        <v>0</v>
      </c>
      <c r="C675" t="s">
        <v>785</v>
      </c>
      <c r="D675">
        <v>36</v>
      </c>
      <c r="E675">
        <v>1</v>
      </c>
    </row>
    <row r="676" spans="1:5">
      <c r="A676" t="s">
        <v>2822</v>
      </c>
      <c r="B676">
        <v>0</v>
      </c>
      <c r="C676" t="s">
        <v>483</v>
      </c>
      <c r="D676">
        <v>12</v>
      </c>
      <c r="E676">
        <v>1</v>
      </c>
    </row>
    <row r="677" spans="1:5">
      <c r="A677" t="s">
        <v>2823</v>
      </c>
      <c r="B677">
        <v>0</v>
      </c>
      <c r="C677" t="s">
        <v>2434</v>
      </c>
      <c r="D677">
        <v>12</v>
      </c>
      <c r="E677">
        <v>1</v>
      </c>
    </row>
    <row r="678" spans="1:5">
      <c r="A678" t="s">
        <v>2824</v>
      </c>
      <c r="B678">
        <v>0</v>
      </c>
      <c r="C678" t="s">
        <v>2437</v>
      </c>
      <c r="D678">
        <v>0</v>
      </c>
      <c r="E678">
        <v>1</v>
      </c>
    </row>
    <row r="679" spans="1:5">
      <c r="A679" t="s">
        <v>2825</v>
      </c>
      <c r="B679">
        <v>0</v>
      </c>
      <c r="C679" t="s">
        <v>2436</v>
      </c>
      <c r="D679">
        <v>0</v>
      </c>
      <c r="E679">
        <v>1</v>
      </c>
    </row>
    <row r="680" spans="1:5">
      <c r="A680" t="s">
        <v>2826</v>
      </c>
      <c r="B680">
        <v>0</v>
      </c>
      <c r="C680" t="s">
        <v>752</v>
      </c>
      <c r="D680">
        <v>36</v>
      </c>
      <c r="E680">
        <v>1</v>
      </c>
    </row>
    <row r="681" spans="1:5">
      <c r="A681" t="s">
        <v>2827</v>
      </c>
      <c r="B681">
        <v>0</v>
      </c>
      <c r="C681" t="s">
        <v>538</v>
      </c>
      <c r="D681">
        <v>12</v>
      </c>
      <c r="E681">
        <v>1</v>
      </c>
    </row>
    <row r="682" spans="1:5">
      <c r="A682" t="s">
        <v>2828</v>
      </c>
      <c r="B682">
        <v>0</v>
      </c>
      <c r="C682" t="s">
        <v>545</v>
      </c>
      <c r="D682">
        <v>12</v>
      </c>
      <c r="E682">
        <v>1</v>
      </c>
    </row>
    <row r="683" spans="1:5">
      <c r="A683" t="s">
        <v>2829</v>
      </c>
      <c r="B683">
        <v>0</v>
      </c>
      <c r="C683" t="s">
        <v>550</v>
      </c>
      <c r="D683">
        <v>12</v>
      </c>
      <c r="E683">
        <v>1</v>
      </c>
    </row>
  </sheetData>
  <conditionalFormatting sqref="A1:A1048576">
    <cfRule type="duplicateValues" dxfId="14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392F-90CB-4D4F-ACDF-74EC30FBEA3D}">
  <sheetPr codeName="Sheet6">
    <tabColor rgb="FFFFFF00"/>
  </sheetPr>
  <dimension ref="A1:E628"/>
  <sheetViews>
    <sheetView topLeftCell="A349" zoomScaleNormal="100" workbookViewId="0">
      <selection activeCell="E373" sqref="E373"/>
    </sheetView>
  </sheetViews>
  <sheetFormatPr defaultRowHeight="15"/>
  <cols>
    <col min="1" max="1" width="16.140625" bestFit="1" customWidth="1"/>
    <col min="2" max="2" width="9.7109375" bestFit="1" customWidth="1"/>
    <col min="3" max="3" width="15.42578125" bestFit="1" customWidth="1"/>
    <col min="4" max="4" width="7.5703125" bestFit="1" customWidth="1"/>
    <col min="5" max="5" width="20.140625" bestFit="1" customWidth="1"/>
  </cols>
  <sheetData>
    <row r="1" spans="1:5">
      <c r="A1" t="s">
        <v>297</v>
      </c>
      <c r="B1" t="s">
        <v>1</v>
      </c>
      <c r="C1" t="s">
        <v>13</v>
      </c>
      <c r="D1" t="s">
        <v>5</v>
      </c>
      <c r="E1" t="s">
        <v>298</v>
      </c>
    </row>
    <row r="2" spans="1:5">
      <c r="A2" t="s">
        <v>2375</v>
      </c>
      <c r="C2" t="s">
        <v>357</v>
      </c>
      <c r="D2">
        <v>36</v>
      </c>
      <c r="E2">
        <v>1</v>
      </c>
    </row>
    <row r="3" spans="1:5">
      <c r="A3" t="s">
        <v>2401</v>
      </c>
      <c r="C3" t="s">
        <v>357</v>
      </c>
      <c r="D3">
        <v>36</v>
      </c>
      <c r="E3">
        <v>1</v>
      </c>
    </row>
    <row r="4" spans="1:5">
      <c r="A4" t="s">
        <v>1154</v>
      </c>
      <c r="B4">
        <v>103005</v>
      </c>
      <c r="C4" t="s">
        <v>357</v>
      </c>
      <c r="D4">
        <v>36</v>
      </c>
      <c r="E4">
        <v>1</v>
      </c>
    </row>
    <row r="5" spans="1:5">
      <c r="A5" t="s">
        <v>1158</v>
      </c>
      <c r="B5">
        <v>103007</v>
      </c>
      <c r="C5" t="s">
        <v>357</v>
      </c>
      <c r="D5">
        <v>36</v>
      </c>
      <c r="E5">
        <v>1</v>
      </c>
    </row>
    <row r="6" spans="1:5">
      <c r="A6" t="s">
        <v>1162</v>
      </c>
      <c r="B6">
        <v>103009</v>
      </c>
      <c r="C6" t="s">
        <v>357</v>
      </c>
      <c r="D6">
        <v>36</v>
      </c>
      <c r="E6">
        <v>1</v>
      </c>
    </row>
    <row r="7" spans="1:5">
      <c r="A7" t="s">
        <v>1166</v>
      </c>
      <c r="B7">
        <v>103014</v>
      </c>
      <c r="C7" t="s">
        <v>357</v>
      </c>
      <c r="D7">
        <v>36</v>
      </c>
      <c r="E7">
        <v>1</v>
      </c>
    </row>
    <row r="8" spans="1:5">
      <c r="A8" t="s">
        <v>2371</v>
      </c>
      <c r="B8">
        <v>103046</v>
      </c>
      <c r="C8" t="s">
        <v>1021</v>
      </c>
      <c r="D8">
        <v>48</v>
      </c>
      <c r="E8">
        <v>1</v>
      </c>
    </row>
    <row r="9" spans="1:5">
      <c r="A9" t="s">
        <v>1246</v>
      </c>
      <c r="B9">
        <v>105033</v>
      </c>
      <c r="C9" t="s">
        <v>1022</v>
      </c>
      <c r="D9">
        <v>72</v>
      </c>
      <c r="E9">
        <v>1</v>
      </c>
    </row>
    <row r="10" spans="1:5">
      <c r="A10" t="s">
        <v>1248</v>
      </c>
      <c r="B10">
        <v>105035</v>
      </c>
      <c r="C10" t="s">
        <v>1022</v>
      </c>
      <c r="D10">
        <v>72</v>
      </c>
      <c r="E10">
        <v>1</v>
      </c>
    </row>
    <row r="11" spans="1:5">
      <c r="A11" t="s">
        <v>1250</v>
      </c>
      <c r="B11">
        <v>105036</v>
      </c>
      <c r="C11" t="s">
        <v>1022</v>
      </c>
      <c r="D11">
        <v>72</v>
      </c>
      <c r="E11">
        <v>1</v>
      </c>
    </row>
    <row r="12" spans="1:5">
      <c r="A12" t="s">
        <v>1252</v>
      </c>
      <c r="B12">
        <v>105037</v>
      </c>
      <c r="C12" t="s">
        <v>1022</v>
      </c>
      <c r="D12">
        <v>72</v>
      </c>
      <c r="E12">
        <v>1</v>
      </c>
    </row>
    <row r="13" spans="1:5">
      <c r="A13" t="s">
        <v>1392</v>
      </c>
      <c r="B13">
        <v>106028</v>
      </c>
      <c r="C13" t="s">
        <v>357</v>
      </c>
      <c r="D13">
        <v>36</v>
      </c>
      <c r="E13">
        <v>1</v>
      </c>
    </row>
    <row r="14" spans="1:5">
      <c r="A14" t="s">
        <v>1394</v>
      </c>
      <c r="B14">
        <v>106029</v>
      </c>
      <c r="C14" t="s">
        <v>357</v>
      </c>
      <c r="D14">
        <v>36</v>
      </c>
      <c r="E14">
        <v>1</v>
      </c>
    </row>
    <row r="15" spans="1:5">
      <c r="A15" t="s">
        <v>1396</v>
      </c>
      <c r="B15">
        <v>106030</v>
      </c>
      <c r="C15" t="s">
        <v>357</v>
      </c>
      <c r="D15">
        <v>36</v>
      </c>
      <c r="E15">
        <v>1</v>
      </c>
    </row>
    <row r="16" spans="1:5">
      <c r="A16" t="s">
        <v>1376</v>
      </c>
      <c r="B16">
        <v>106031</v>
      </c>
      <c r="C16" t="s">
        <v>357</v>
      </c>
      <c r="D16">
        <v>36</v>
      </c>
      <c r="E16">
        <v>1</v>
      </c>
    </row>
    <row r="17" spans="1:5">
      <c r="A17" t="s">
        <v>1378</v>
      </c>
      <c r="B17">
        <v>106032</v>
      </c>
      <c r="C17" t="s">
        <v>357</v>
      </c>
      <c r="D17">
        <v>36</v>
      </c>
      <c r="E17">
        <v>1</v>
      </c>
    </row>
    <row r="18" spans="1:5">
      <c r="A18" t="s">
        <v>1380</v>
      </c>
      <c r="B18">
        <v>106033</v>
      </c>
      <c r="C18" t="s">
        <v>357</v>
      </c>
      <c r="D18">
        <v>36</v>
      </c>
      <c r="E18">
        <v>1</v>
      </c>
    </row>
    <row r="19" spans="1:5">
      <c r="A19" t="s">
        <v>1382</v>
      </c>
      <c r="B19">
        <v>106034</v>
      </c>
      <c r="C19" t="s">
        <v>357</v>
      </c>
      <c r="D19">
        <v>36</v>
      </c>
      <c r="E19">
        <v>1</v>
      </c>
    </row>
    <row r="20" spans="1:5">
      <c r="A20" t="s">
        <v>1384</v>
      </c>
      <c r="B20">
        <v>106035</v>
      </c>
      <c r="C20" t="s">
        <v>357</v>
      </c>
      <c r="D20">
        <v>36</v>
      </c>
      <c r="E20">
        <v>1</v>
      </c>
    </row>
    <row r="21" spans="1:5">
      <c r="A21" t="s">
        <v>2380</v>
      </c>
      <c r="B21">
        <v>107009</v>
      </c>
      <c r="C21" t="s">
        <v>357</v>
      </c>
      <c r="D21">
        <v>36</v>
      </c>
      <c r="E21">
        <v>1</v>
      </c>
    </row>
    <row r="22" spans="1:5">
      <c r="A22" t="s">
        <v>2402</v>
      </c>
      <c r="B22">
        <v>107014</v>
      </c>
      <c r="C22" t="s">
        <v>357</v>
      </c>
      <c r="D22">
        <v>36</v>
      </c>
      <c r="E22">
        <v>1</v>
      </c>
    </row>
    <row r="23" spans="1:5">
      <c r="A23" t="s">
        <v>2403</v>
      </c>
      <c r="B23">
        <v>107015</v>
      </c>
      <c r="C23" t="s">
        <v>357</v>
      </c>
      <c r="D23">
        <v>36</v>
      </c>
      <c r="E23">
        <v>1</v>
      </c>
    </row>
    <row r="24" spans="1:5">
      <c r="A24" t="s">
        <v>1520</v>
      </c>
      <c r="B24">
        <v>107041</v>
      </c>
      <c r="C24" t="s">
        <v>357</v>
      </c>
      <c r="D24">
        <v>36</v>
      </c>
      <c r="E24">
        <v>1</v>
      </c>
    </row>
    <row r="25" spans="1:5">
      <c r="A25" t="s">
        <v>1524</v>
      </c>
      <c r="B25">
        <v>107042</v>
      </c>
      <c r="C25" t="s">
        <v>357</v>
      </c>
      <c r="D25">
        <v>36</v>
      </c>
      <c r="E25">
        <v>1</v>
      </c>
    </row>
    <row r="26" spans="1:5">
      <c r="A26" t="s">
        <v>1540</v>
      </c>
      <c r="B26">
        <v>107044</v>
      </c>
      <c r="C26" t="s">
        <v>357</v>
      </c>
      <c r="D26">
        <v>36</v>
      </c>
      <c r="E26">
        <v>1</v>
      </c>
    </row>
    <row r="27" spans="1:5">
      <c r="A27" t="s">
        <v>1542</v>
      </c>
      <c r="B27">
        <v>107045</v>
      </c>
      <c r="C27" t="s">
        <v>357</v>
      </c>
      <c r="D27">
        <v>36</v>
      </c>
      <c r="E27">
        <v>1</v>
      </c>
    </row>
    <row r="28" spans="1:5">
      <c r="A28" t="s">
        <v>2413</v>
      </c>
      <c r="B28">
        <v>107076</v>
      </c>
      <c r="C28" t="s">
        <v>357</v>
      </c>
      <c r="D28">
        <v>36</v>
      </c>
      <c r="E28">
        <v>1</v>
      </c>
    </row>
    <row r="29" spans="1:5">
      <c r="A29" t="s">
        <v>1478</v>
      </c>
      <c r="B29">
        <v>107077</v>
      </c>
      <c r="C29" t="s">
        <v>357</v>
      </c>
      <c r="D29">
        <v>36</v>
      </c>
      <c r="E29">
        <v>1</v>
      </c>
    </row>
    <row r="30" spans="1:5">
      <c r="A30" t="s">
        <v>1486</v>
      </c>
      <c r="B30">
        <v>107078</v>
      </c>
      <c r="C30" t="s">
        <v>357</v>
      </c>
      <c r="D30">
        <v>36</v>
      </c>
      <c r="E30">
        <v>1</v>
      </c>
    </row>
    <row r="31" spans="1:5">
      <c r="A31" t="s">
        <v>1421</v>
      </c>
      <c r="B31">
        <v>107102</v>
      </c>
      <c r="C31" t="s">
        <v>357</v>
      </c>
      <c r="D31">
        <v>36</v>
      </c>
      <c r="E31">
        <v>1</v>
      </c>
    </row>
    <row r="32" spans="1:5">
      <c r="A32" t="s">
        <v>1710</v>
      </c>
      <c r="B32">
        <v>109025</v>
      </c>
      <c r="C32" t="s">
        <v>1021</v>
      </c>
      <c r="D32">
        <v>48</v>
      </c>
      <c r="E32">
        <v>1</v>
      </c>
    </row>
    <row r="33" spans="1:5">
      <c r="A33" t="s">
        <v>1712</v>
      </c>
      <c r="B33">
        <v>109027</v>
      </c>
      <c r="C33" t="s">
        <v>1021</v>
      </c>
      <c r="D33">
        <v>48</v>
      </c>
      <c r="E33">
        <v>1</v>
      </c>
    </row>
    <row r="34" spans="1:5">
      <c r="A34" t="s">
        <v>1805</v>
      </c>
      <c r="B34">
        <v>110001</v>
      </c>
      <c r="C34" t="s">
        <v>357</v>
      </c>
      <c r="D34">
        <v>36</v>
      </c>
      <c r="E34">
        <v>1</v>
      </c>
    </row>
    <row r="35" spans="1:5">
      <c r="A35" t="s">
        <v>1803</v>
      </c>
      <c r="B35">
        <v>110002</v>
      </c>
      <c r="C35" t="s">
        <v>357</v>
      </c>
      <c r="D35">
        <v>36</v>
      </c>
      <c r="E35">
        <v>1</v>
      </c>
    </row>
    <row r="36" spans="1:5">
      <c r="A36" t="s">
        <v>1801</v>
      </c>
      <c r="B36">
        <v>110003</v>
      </c>
      <c r="C36" t="s">
        <v>357</v>
      </c>
      <c r="D36">
        <v>36</v>
      </c>
      <c r="E36">
        <v>1</v>
      </c>
    </row>
    <row r="37" spans="1:5">
      <c r="A37" t="s">
        <v>1728</v>
      </c>
      <c r="B37">
        <v>110028</v>
      </c>
      <c r="C37" t="s">
        <v>1022</v>
      </c>
      <c r="D37">
        <v>144</v>
      </c>
      <c r="E37">
        <v>1</v>
      </c>
    </row>
    <row r="38" spans="1:5">
      <c r="A38" t="s">
        <v>1730</v>
      </c>
      <c r="B38">
        <v>110029</v>
      </c>
      <c r="C38" t="s">
        <v>1022</v>
      </c>
      <c r="D38">
        <v>144</v>
      </c>
      <c r="E38">
        <v>1</v>
      </c>
    </row>
    <row r="39" spans="1:5">
      <c r="A39" t="s">
        <v>1726</v>
      </c>
      <c r="B39">
        <v>110031</v>
      </c>
      <c r="C39" t="s">
        <v>1022</v>
      </c>
      <c r="D39">
        <v>144</v>
      </c>
      <c r="E39">
        <v>1</v>
      </c>
    </row>
    <row r="40" spans="1:5">
      <c r="A40" t="s">
        <v>2409</v>
      </c>
      <c r="B40">
        <v>110033</v>
      </c>
      <c r="C40" t="s">
        <v>1021</v>
      </c>
      <c r="D40">
        <v>24</v>
      </c>
      <c r="E40">
        <v>1</v>
      </c>
    </row>
    <row r="41" spans="1:5">
      <c r="A41" t="s">
        <v>1843</v>
      </c>
      <c r="B41">
        <v>111007</v>
      </c>
      <c r="C41" t="s">
        <v>357</v>
      </c>
      <c r="D41">
        <v>36</v>
      </c>
      <c r="E41">
        <v>1</v>
      </c>
    </row>
    <row r="42" spans="1:5">
      <c r="A42" t="s">
        <v>2040</v>
      </c>
      <c r="B42">
        <v>115025</v>
      </c>
      <c r="C42" t="s">
        <v>1021</v>
      </c>
      <c r="D42">
        <v>48</v>
      </c>
      <c r="E42">
        <v>1</v>
      </c>
    </row>
    <row r="43" spans="1:5">
      <c r="A43" t="s">
        <v>1606</v>
      </c>
      <c r="B43">
        <v>202006</v>
      </c>
      <c r="C43" t="s">
        <v>358</v>
      </c>
      <c r="D43">
        <v>4</v>
      </c>
      <c r="E43">
        <v>1</v>
      </c>
    </row>
    <row r="44" spans="1:5">
      <c r="A44" t="s">
        <v>1612</v>
      </c>
      <c r="B44">
        <v>202008</v>
      </c>
      <c r="C44" t="s">
        <v>357</v>
      </c>
      <c r="D44">
        <v>24</v>
      </c>
      <c r="E44">
        <v>1</v>
      </c>
    </row>
    <row r="45" spans="1:5">
      <c r="A45" t="s">
        <v>1608</v>
      </c>
      <c r="B45">
        <v>202010</v>
      </c>
      <c r="C45" t="s">
        <v>357</v>
      </c>
      <c r="D45">
        <v>72</v>
      </c>
      <c r="E45">
        <v>1</v>
      </c>
    </row>
    <row r="46" spans="1:5">
      <c r="A46" t="s">
        <v>2116</v>
      </c>
      <c r="B46">
        <v>203003</v>
      </c>
      <c r="C46" t="s">
        <v>357</v>
      </c>
      <c r="D46">
        <v>36</v>
      </c>
      <c r="E46">
        <v>1</v>
      </c>
    </row>
    <row r="47" spans="1:5">
      <c r="A47" t="s">
        <v>2078</v>
      </c>
      <c r="B47">
        <v>204004</v>
      </c>
      <c r="C47" t="s">
        <v>357</v>
      </c>
      <c r="D47">
        <v>12</v>
      </c>
      <c r="E47">
        <v>1</v>
      </c>
    </row>
    <row r="48" spans="1:5">
      <c r="A48" t="s">
        <v>2072</v>
      </c>
      <c r="B48">
        <v>204005</v>
      </c>
      <c r="C48" t="s">
        <v>357</v>
      </c>
      <c r="D48">
        <v>12</v>
      </c>
      <c r="E48">
        <v>1</v>
      </c>
    </row>
    <row r="49" spans="1:5">
      <c r="A49" t="s">
        <v>2066</v>
      </c>
      <c r="B49">
        <v>204006</v>
      </c>
      <c r="C49" t="s">
        <v>357</v>
      </c>
      <c r="D49">
        <v>12</v>
      </c>
      <c r="E49">
        <v>1</v>
      </c>
    </row>
    <row r="50" spans="1:5">
      <c r="A50" t="s">
        <v>2398</v>
      </c>
      <c r="B50" t="s">
        <v>2604</v>
      </c>
      <c r="C50" t="s">
        <v>357</v>
      </c>
      <c r="D50">
        <v>36</v>
      </c>
      <c r="E50">
        <v>1</v>
      </c>
    </row>
    <row r="51" spans="1:5">
      <c r="A51" t="s">
        <v>1415</v>
      </c>
      <c r="B51" t="s">
        <v>2585</v>
      </c>
      <c r="C51" t="s">
        <v>357</v>
      </c>
      <c r="D51">
        <v>36</v>
      </c>
      <c r="E51">
        <v>1</v>
      </c>
    </row>
    <row r="52" spans="1:5">
      <c r="A52" t="s">
        <v>1417</v>
      </c>
      <c r="B52" t="s">
        <v>2586</v>
      </c>
      <c r="C52" t="s">
        <v>357</v>
      </c>
      <c r="D52">
        <v>36</v>
      </c>
      <c r="E52">
        <v>1</v>
      </c>
    </row>
    <row r="53" spans="1:5">
      <c r="A53" t="s">
        <v>1419</v>
      </c>
      <c r="B53" t="s">
        <v>2587</v>
      </c>
      <c r="C53" t="s">
        <v>357</v>
      </c>
      <c r="D53">
        <v>36</v>
      </c>
      <c r="E53">
        <v>1</v>
      </c>
    </row>
    <row r="54" spans="1:5">
      <c r="A54" t="s">
        <v>1718</v>
      </c>
      <c r="B54" t="s">
        <v>2633</v>
      </c>
      <c r="C54" t="s">
        <v>360</v>
      </c>
      <c r="D54">
        <v>24</v>
      </c>
      <c r="E54">
        <v>1</v>
      </c>
    </row>
    <row r="55" spans="1:5">
      <c r="A55" t="s">
        <v>1720</v>
      </c>
      <c r="B55" t="s">
        <v>2634</v>
      </c>
      <c r="C55" t="s">
        <v>360</v>
      </c>
      <c r="D55">
        <v>24</v>
      </c>
      <c r="E55">
        <v>1</v>
      </c>
    </row>
    <row r="56" spans="1:5">
      <c r="A56" t="s">
        <v>1041</v>
      </c>
      <c r="B56">
        <v>101001</v>
      </c>
      <c r="C56" t="s">
        <v>357</v>
      </c>
      <c r="D56">
        <v>36</v>
      </c>
      <c r="E56">
        <v>1</v>
      </c>
    </row>
    <row r="57" spans="1:5">
      <c r="A57" t="s">
        <v>1043</v>
      </c>
      <c r="B57">
        <v>101002</v>
      </c>
      <c r="C57" t="s">
        <v>357</v>
      </c>
      <c r="D57">
        <v>36</v>
      </c>
      <c r="E57">
        <v>1</v>
      </c>
    </row>
    <row r="58" spans="1:5">
      <c r="A58" t="s">
        <v>1049</v>
      </c>
      <c r="B58">
        <v>101003</v>
      </c>
      <c r="C58" t="s">
        <v>357</v>
      </c>
      <c r="D58">
        <v>36</v>
      </c>
      <c r="E58">
        <v>1</v>
      </c>
    </row>
    <row r="59" spans="1:5">
      <c r="A59" t="s">
        <v>1051</v>
      </c>
      <c r="B59">
        <v>101004</v>
      </c>
      <c r="C59" t="s">
        <v>357</v>
      </c>
      <c r="D59">
        <v>36</v>
      </c>
      <c r="E59">
        <v>1</v>
      </c>
    </row>
    <row r="60" spans="1:5">
      <c r="A60" t="s">
        <v>1045</v>
      </c>
      <c r="B60">
        <v>101005</v>
      </c>
      <c r="C60" t="s">
        <v>357</v>
      </c>
      <c r="D60">
        <v>36</v>
      </c>
      <c r="E60">
        <v>1</v>
      </c>
    </row>
    <row r="61" spans="1:5">
      <c r="A61" t="s">
        <v>1047</v>
      </c>
      <c r="B61">
        <v>101006</v>
      </c>
      <c r="C61" t="s">
        <v>357</v>
      </c>
      <c r="D61">
        <v>36</v>
      </c>
      <c r="E61">
        <v>1</v>
      </c>
    </row>
    <row r="62" spans="1:5">
      <c r="A62" t="s">
        <v>1053</v>
      </c>
      <c r="B62">
        <v>101007</v>
      </c>
      <c r="C62" t="s">
        <v>357</v>
      </c>
      <c r="D62">
        <v>36</v>
      </c>
      <c r="E62">
        <v>1</v>
      </c>
    </row>
    <row r="63" spans="1:5">
      <c r="A63" t="s">
        <v>1055</v>
      </c>
      <c r="B63">
        <v>101008</v>
      </c>
      <c r="C63" t="s">
        <v>357</v>
      </c>
      <c r="D63">
        <v>36</v>
      </c>
      <c r="E63">
        <v>1</v>
      </c>
    </row>
    <row r="64" spans="1:5">
      <c r="A64" t="s">
        <v>1057</v>
      </c>
      <c r="B64">
        <v>101009</v>
      </c>
      <c r="C64" t="s">
        <v>357</v>
      </c>
      <c r="D64">
        <v>36</v>
      </c>
      <c r="E64">
        <v>1</v>
      </c>
    </row>
    <row r="65" spans="1:5">
      <c r="A65" t="s">
        <v>1059</v>
      </c>
      <c r="B65">
        <v>101010</v>
      </c>
      <c r="C65" t="s">
        <v>357</v>
      </c>
      <c r="D65">
        <v>36</v>
      </c>
      <c r="E65">
        <v>1</v>
      </c>
    </row>
    <row r="66" spans="1:5">
      <c r="A66" t="s">
        <v>1061</v>
      </c>
      <c r="B66">
        <v>101011</v>
      </c>
      <c r="C66" t="s">
        <v>357</v>
      </c>
      <c r="D66">
        <v>36</v>
      </c>
      <c r="E66">
        <v>1</v>
      </c>
    </row>
    <row r="67" spans="1:5">
      <c r="A67" t="s">
        <v>1063</v>
      </c>
      <c r="B67">
        <v>101012</v>
      </c>
      <c r="C67" t="s">
        <v>357</v>
      </c>
      <c r="D67">
        <v>36</v>
      </c>
      <c r="E67">
        <v>1</v>
      </c>
    </row>
    <row r="68" spans="1:5">
      <c r="A68" t="s">
        <v>1079</v>
      </c>
      <c r="B68">
        <v>102001</v>
      </c>
      <c r="C68" t="s">
        <v>1023</v>
      </c>
      <c r="D68">
        <v>100</v>
      </c>
      <c r="E68">
        <v>1</v>
      </c>
    </row>
    <row r="69" spans="1:5">
      <c r="A69" t="s">
        <v>1081</v>
      </c>
      <c r="B69">
        <v>102002</v>
      </c>
      <c r="C69" t="s">
        <v>1023</v>
      </c>
      <c r="D69">
        <v>100</v>
      </c>
      <c r="E69">
        <v>1</v>
      </c>
    </row>
    <row r="70" spans="1:5">
      <c r="A70" t="s">
        <v>1083</v>
      </c>
      <c r="B70">
        <v>102003</v>
      </c>
      <c r="C70" t="s">
        <v>1023</v>
      </c>
      <c r="D70">
        <v>100</v>
      </c>
      <c r="E70">
        <v>1</v>
      </c>
    </row>
    <row r="71" spans="1:5">
      <c r="A71" t="s">
        <v>1085</v>
      </c>
      <c r="B71">
        <v>102004</v>
      </c>
      <c r="C71" t="s">
        <v>1023</v>
      </c>
      <c r="D71">
        <v>100</v>
      </c>
      <c r="E71">
        <v>1</v>
      </c>
    </row>
    <row r="72" spans="1:5">
      <c r="A72" t="s">
        <v>1087</v>
      </c>
      <c r="B72">
        <v>102005</v>
      </c>
      <c r="C72" t="s">
        <v>1023</v>
      </c>
      <c r="D72">
        <v>100</v>
      </c>
      <c r="E72">
        <v>1</v>
      </c>
    </row>
    <row r="73" spans="1:5">
      <c r="A73" t="s">
        <v>1089</v>
      </c>
      <c r="B73">
        <v>102006</v>
      </c>
      <c r="C73" t="s">
        <v>1023</v>
      </c>
      <c r="D73">
        <v>100</v>
      </c>
      <c r="E73">
        <v>1</v>
      </c>
    </row>
    <row r="74" spans="1:5">
      <c r="A74" t="s">
        <v>1091</v>
      </c>
      <c r="B74">
        <v>102007</v>
      </c>
      <c r="C74" t="s">
        <v>1023</v>
      </c>
      <c r="D74">
        <v>100</v>
      </c>
      <c r="E74">
        <v>1</v>
      </c>
    </row>
    <row r="75" spans="1:5">
      <c r="A75" t="s">
        <v>1093</v>
      </c>
      <c r="B75">
        <v>102008</v>
      </c>
      <c r="C75" t="s">
        <v>1023</v>
      </c>
      <c r="D75">
        <v>100</v>
      </c>
      <c r="E75">
        <v>1</v>
      </c>
    </row>
    <row r="76" spans="1:5">
      <c r="A76" t="s">
        <v>1095</v>
      </c>
      <c r="B76">
        <v>102009</v>
      </c>
      <c r="C76" t="s">
        <v>1023</v>
      </c>
      <c r="D76">
        <v>100</v>
      </c>
      <c r="E76">
        <v>1</v>
      </c>
    </row>
    <row r="77" spans="1:5">
      <c r="A77" t="s">
        <v>1097</v>
      </c>
      <c r="B77">
        <v>102010</v>
      </c>
      <c r="C77" t="s">
        <v>1023</v>
      </c>
      <c r="D77">
        <v>100</v>
      </c>
      <c r="E77">
        <v>1</v>
      </c>
    </row>
    <row r="78" spans="1:5">
      <c r="A78" t="s">
        <v>1065</v>
      </c>
      <c r="B78">
        <v>102012</v>
      </c>
      <c r="C78" t="s">
        <v>1023</v>
      </c>
      <c r="D78">
        <v>100</v>
      </c>
      <c r="E78">
        <v>1</v>
      </c>
    </row>
    <row r="79" spans="1:5">
      <c r="A79" t="s">
        <v>1067</v>
      </c>
      <c r="B79">
        <v>102013</v>
      </c>
      <c r="C79" t="s">
        <v>1023</v>
      </c>
      <c r="D79">
        <v>100</v>
      </c>
      <c r="E79">
        <v>1</v>
      </c>
    </row>
    <row r="80" spans="1:5">
      <c r="A80" t="s">
        <v>1069</v>
      </c>
      <c r="B80">
        <v>102014</v>
      </c>
      <c r="C80" t="s">
        <v>1023</v>
      </c>
      <c r="D80">
        <v>100</v>
      </c>
      <c r="E80">
        <v>1</v>
      </c>
    </row>
    <row r="81" spans="1:5">
      <c r="A81" t="s">
        <v>1071</v>
      </c>
      <c r="B81">
        <v>102015</v>
      </c>
      <c r="C81" t="s">
        <v>1023</v>
      </c>
      <c r="D81">
        <v>100</v>
      </c>
      <c r="E81">
        <v>1</v>
      </c>
    </row>
    <row r="82" spans="1:5">
      <c r="A82" t="s">
        <v>1073</v>
      </c>
      <c r="B82">
        <v>102016</v>
      </c>
      <c r="C82" t="s">
        <v>1023</v>
      </c>
      <c r="D82">
        <v>100</v>
      </c>
      <c r="E82">
        <v>1</v>
      </c>
    </row>
    <row r="83" spans="1:5">
      <c r="A83" t="s">
        <v>1075</v>
      </c>
      <c r="B83">
        <v>102017</v>
      </c>
      <c r="C83" t="s">
        <v>1023</v>
      </c>
      <c r="D83">
        <v>100</v>
      </c>
      <c r="E83">
        <v>1</v>
      </c>
    </row>
    <row r="84" spans="1:5">
      <c r="A84" t="s">
        <v>1077</v>
      </c>
      <c r="B84">
        <v>102018</v>
      </c>
      <c r="C84" t="s">
        <v>1023</v>
      </c>
      <c r="D84">
        <v>100</v>
      </c>
      <c r="E84">
        <v>1</v>
      </c>
    </row>
    <row r="85" spans="1:5">
      <c r="A85" t="s">
        <v>1099</v>
      </c>
      <c r="B85">
        <v>102019</v>
      </c>
      <c r="C85" t="s">
        <v>1023</v>
      </c>
      <c r="D85">
        <v>100</v>
      </c>
      <c r="E85">
        <v>1</v>
      </c>
    </row>
    <row r="86" spans="1:5">
      <c r="A86" t="s">
        <v>1101</v>
      </c>
      <c r="B86">
        <v>102020</v>
      </c>
      <c r="C86" t="s">
        <v>1023</v>
      </c>
      <c r="D86">
        <v>100</v>
      </c>
      <c r="E86">
        <v>1</v>
      </c>
    </row>
    <row r="87" spans="1:5">
      <c r="A87" t="s">
        <v>1107</v>
      </c>
      <c r="B87">
        <v>102022</v>
      </c>
      <c r="C87" t="s">
        <v>1023</v>
      </c>
      <c r="D87">
        <v>100</v>
      </c>
      <c r="E87">
        <v>1</v>
      </c>
    </row>
    <row r="88" spans="1:5">
      <c r="A88" t="s">
        <v>1109</v>
      </c>
      <c r="B88">
        <v>102023</v>
      </c>
      <c r="C88" t="s">
        <v>1023</v>
      </c>
      <c r="D88">
        <v>100</v>
      </c>
      <c r="E88">
        <v>1</v>
      </c>
    </row>
    <row r="89" spans="1:5">
      <c r="A89" t="s">
        <v>1103</v>
      </c>
      <c r="B89">
        <v>102024</v>
      </c>
      <c r="C89" t="s">
        <v>1023</v>
      </c>
      <c r="D89">
        <v>100</v>
      </c>
      <c r="E89">
        <v>1</v>
      </c>
    </row>
    <row r="90" spans="1:5">
      <c r="A90" t="s">
        <v>1105</v>
      </c>
      <c r="B90">
        <v>102025</v>
      </c>
      <c r="C90" t="s">
        <v>1023</v>
      </c>
      <c r="D90">
        <v>100</v>
      </c>
      <c r="E90">
        <v>1</v>
      </c>
    </row>
    <row r="91" spans="1:5">
      <c r="A91" t="s">
        <v>1113</v>
      </c>
      <c r="B91">
        <v>103001</v>
      </c>
      <c r="C91" t="s">
        <v>357</v>
      </c>
      <c r="D91">
        <v>24</v>
      </c>
      <c r="E91">
        <v>1</v>
      </c>
    </row>
    <row r="92" spans="1:5">
      <c r="A92" t="s">
        <v>1116</v>
      </c>
      <c r="B92">
        <v>103002</v>
      </c>
      <c r="C92" t="s">
        <v>357</v>
      </c>
      <c r="D92">
        <v>24</v>
      </c>
      <c r="E92">
        <v>1</v>
      </c>
    </row>
    <row r="93" spans="1:5">
      <c r="A93" t="s">
        <v>2356</v>
      </c>
      <c r="B93">
        <v>103003</v>
      </c>
      <c r="C93" t="s">
        <v>356</v>
      </c>
      <c r="D93">
        <v>24</v>
      </c>
      <c r="E93">
        <v>1</v>
      </c>
    </row>
    <row r="94" spans="1:5">
      <c r="A94" t="s">
        <v>1111</v>
      </c>
      <c r="B94">
        <v>103004</v>
      </c>
      <c r="C94" t="s">
        <v>357</v>
      </c>
      <c r="D94">
        <v>24</v>
      </c>
      <c r="E94">
        <v>1</v>
      </c>
    </row>
    <row r="95" spans="1:5">
      <c r="A95" t="s">
        <v>1156</v>
      </c>
      <c r="B95">
        <v>103006</v>
      </c>
      <c r="C95" t="s">
        <v>357</v>
      </c>
      <c r="D95">
        <v>36</v>
      </c>
      <c r="E95">
        <v>2</v>
      </c>
    </row>
    <row r="96" spans="1:5">
      <c r="A96" t="s">
        <v>1160</v>
      </c>
      <c r="B96">
        <v>103008</v>
      </c>
      <c r="C96" t="s">
        <v>357</v>
      </c>
      <c r="D96">
        <v>36</v>
      </c>
      <c r="E96">
        <v>2</v>
      </c>
    </row>
    <row r="97" spans="1:5">
      <c r="A97" t="s">
        <v>1164</v>
      </c>
      <c r="B97">
        <v>103010</v>
      </c>
      <c r="C97" t="s">
        <v>357</v>
      </c>
      <c r="D97">
        <v>36</v>
      </c>
      <c r="E97">
        <v>2</v>
      </c>
    </row>
    <row r="98" spans="1:5">
      <c r="A98" t="s">
        <v>1172</v>
      </c>
      <c r="B98">
        <v>103011</v>
      </c>
      <c r="C98" t="s">
        <v>357</v>
      </c>
      <c r="D98">
        <v>36</v>
      </c>
      <c r="E98">
        <v>1</v>
      </c>
    </row>
    <row r="99" spans="1:5">
      <c r="A99" t="s">
        <v>1174</v>
      </c>
      <c r="B99">
        <v>103012</v>
      </c>
      <c r="C99" t="s">
        <v>357</v>
      </c>
      <c r="D99">
        <v>36</v>
      </c>
      <c r="E99">
        <v>1</v>
      </c>
    </row>
    <row r="100" spans="1:5">
      <c r="A100" t="s">
        <v>1176</v>
      </c>
      <c r="B100">
        <v>103013</v>
      </c>
      <c r="C100" t="s">
        <v>357</v>
      </c>
      <c r="D100">
        <v>36</v>
      </c>
      <c r="E100">
        <v>1</v>
      </c>
    </row>
    <row r="101" spans="1:5">
      <c r="A101" t="s">
        <v>1168</v>
      </c>
      <c r="B101">
        <v>103015</v>
      </c>
      <c r="C101" t="s">
        <v>357</v>
      </c>
      <c r="D101">
        <v>36</v>
      </c>
      <c r="E101">
        <v>2</v>
      </c>
    </row>
    <row r="102" spans="1:5">
      <c r="A102" t="s">
        <v>1170</v>
      </c>
      <c r="B102">
        <v>103016</v>
      </c>
      <c r="C102" t="s">
        <v>357</v>
      </c>
      <c r="D102">
        <v>36</v>
      </c>
      <c r="E102">
        <v>1</v>
      </c>
    </row>
    <row r="103" spans="1:5">
      <c r="A103" t="s">
        <v>2358</v>
      </c>
      <c r="B103">
        <v>103017</v>
      </c>
      <c r="C103" t="s">
        <v>357</v>
      </c>
      <c r="D103">
        <v>36</v>
      </c>
      <c r="E103">
        <v>1</v>
      </c>
    </row>
    <row r="104" spans="1:5">
      <c r="A104" t="s">
        <v>2359</v>
      </c>
      <c r="B104">
        <v>103018</v>
      </c>
      <c r="C104" t="s">
        <v>357</v>
      </c>
      <c r="D104">
        <v>36</v>
      </c>
      <c r="E104">
        <v>1</v>
      </c>
    </row>
    <row r="105" spans="1:5">
      <c r="A105" t="s">
        <v>2360</v>
      </c>
      <c r="B105">
        <v>103019</v>
      </c>
      <c r="C105" t="s">
        <v>357</v>
      </c>
      <c r="D105">
        <v>36</v>
      </c>
      <c r="E105">
        <v>1</v>
      </c>
    </row>
    <row r="106" spans="1:5">
      <c r="A106" t="s">
        <v>2361</v>
      </c>
      <c r="B106">
        <v>103020</v>
      </c>
      <c r="C106" t="s">
        <v>357</v>
      </c>
      <c r="D106">
        <v>36</v>
      </c>
      <c r="E106">
        <v>1</v>
      </c>
    </row>
    <row r="107" spans="1:5">
      <c r="A107" t="s">
        <v>2362</v>
      </c>
      <c r="B107">
        <v>103021</v>
      </c>
      <c r="C107" t="s">
        <v>357</v>
      </c>
      <c r="D107">
        <v>36</v>
      </c>
      <c r="E107">
        <v>1</v>
      </c>
    </row>
    <row r="108" spans="1:5">
      <c r="A108" t="s">
        <v>2363</v>
      </c>
      <c r="B108">
        <v>103022</v>
      </c>
      <c r="C108" t="s">
        <v>357</v>
      </c>
      <c r="D108">
        <v>36</v>
      </c>
      <c r="E108">
        <v>1</v>
      </c>
    </row>
    <row r="109" spans="1:5">
      <c r="A109" t="s">
        <v>1149</v>
      </c>
      <c r="B109">
        <v>103027</v>
      </c>
      <c r="C109" t="s">
        <v>1027</v>
      </c>
      <c r="D109">
        <v>24</v>
      </c>
      <c r="E109">
        <v>1</v>
      </c>
    </row>
    <row r="110" spans="1:5">
      <c r="A110" t="s">
        <v>1149</v>
      </c>
      <c r="B110">
        <v>103028</v>
      </c>
      <c r="C110" t="s">
        <v>1027</v>
      </c>
      <c r="D110">
        <v>24</v>
      </c>
      <c r="E110">
        <v>2</v>
      </c>
    </row>
    <row r="111" spans="1:5">
      <c r="A111" t="s">
        <v>2366</v>
      </c>
      <c r="B111">
        <v>103029</v>
      </c>
      <c r="C111" t="s">
        <v>357</v>
      </c>
      <c r="D111">
        <v>36</v>
      </c>
      <c r="E111">
        <v>1</v>
      </c>
    </row>
    <row r="112" spans="1:5">
      <c r="A112" t="s">
        <v>2367</v>
      </c>
      <c r="B112">
        <v>103032</v>
      </c>
      <c r="C112" t="s">
        <v>357</v>
      </c>
      <c r="D112">
        <v>36</v>
      </c>
      <c r="E112">
        <v>1</v>
      </c>
    </row>
    <row r="113" spans="1:5">
      <c r="A113" t="s">
        <v>1125</v>
      </c>
      <c r="B113">
        <v>103034</v>
      </c>
      <c r="C113" t="s">
        <v>357</v>
      </c>
      <c r="D113">
        <v>36</v>
      </c>
      <c r="E113">
        <v>1</v>
      </c>
    </row>
    <row r="114" spans="1:5">
      <c r="A114" t="s">
        <v>1127</v>
      </c>
      <c r="B114">
        <v>103035</v>
      </c>
      <c r="C114" t="s">
        <v>357</v>
      </c>
      <c r="D114">
        <v>36</v>
      </c>
      <c r="E114">
        <v>1</v>
      </c>
    </row>
    <row r="115" spans="1:5">
      <c r="A115" t="s">
        <v>1129</v>
      </c>
      <c r="B115">
        <v>103036</v>
      </c>
      <c r="C115" t="s">
        <v>357</v>
      </c>
      <c r="D115">
        <v>36</v>
      </c>
      <c r="E115">
        <v>1</v>
      </c>
    </row>
    <row r="116" spans="1:5">
      <c r="A116" t="s">
        <v>1131</v>
      </c>
      <c r="B116">
        <v>103037</v>
      </c>
      <c r="C116" t="s">
        <v>357</v>
      </c>
      <c r="D116">
        <v>36</v>
      </c>
      <c r="E116">
        <v>1</v>
      </c>
    </row>
    <row r="117" spans="1:5">
      <c r="A117" t="s">
        <v>1133</v>
      </c>
      <c r="B117">
        <v>103038</v>
      </c>
      <c r="C117" t="s">
        <v>357</v>
      </c>
      <c r="D117">
        <v>36</v>
      </c>
      <c r="E117">
        <v>1</v>
      </c>
    </row>
    <row r="118" spans="1:5">
      <c r="A118" t="s">
        <v>1135</v>
      </c>
      <c r="B118">
        <v>103039</v>
      </c>
      <c r="C118" t="s">
        <v>357</v>
      </c>
      <c r="D118">
        <v>36</v>
      </c>
      <c r="E118">
        <v>1</v>
      </c>
    </row>
    <row r="119" spans="1:5">
      <c r="A119" t="s">
        <v>1139</v>
      </c>
      <c r="B119">
        <v>103041</v>
      </c>
      <c r="C119" t="s">
        <v>357</v>
      </c>
      <c r="D119">
        <v>36</v>
      </c>
      <c r="E119">
        <v>1</v>
      </c>
    </row>
    <row r="120" spans="1:5">
      <c r="A120" t="s">
        <v>2372</v>
      </c>
      <c r="B120">
        <v>103044</v>
      </c>
      <c r="C120" t="s">
        <v>1021</v>
      </c>
      <c r="D120">
        <v>48</v>
      </c>
      <c r="E120">
        <v>1</v>
      </c>
    </row>
    <row r="121" spans="1:5">
      <c r="A121" t="s">
        <v>2373</v>
      </c>
      <c r="B121">
        <v>103045</v>
      </c>
      <c r="C121" t="s">
        <v>1021</v>
      </c>
      <c r="D121">
        <v>48</v>
      </c>
      <c r="E121">
        <v>1</v>
      </c>
    </row>
    <row r="122" spans="1:5">
      <c r="A122" t="s">
        <v>1194</v>
      </c>
      <c r="B122">
        <v>103047</v>
      </c>
      <c r="C122" t="s">
        <v>360</v>
      </c>
      <c r="D122">
        <v>24</v>
      </c>
      <c r="E122">
        <v>1</v>
      </c>
    </row>
    <row r="123" spans="1:5">
      <c r="A123" t="s">
        <v>1190</v>
      </c>
      <c r="B123">
        <v>103048</v>
      </c>
      <c r="C123" t="s">
        <v>360</v>
      </c>
      <c r="D123">
        <v>48</v>
      </c>
      <c r="E123">
        <v>1</v>
      </c>
    </row>
    <row r="124" spans="1:5">
      <c r="A124" t="s">
        <v>1164</v>
      </c>
      <c r="B124">
        <v>103081</v>
      </c>
      <c r="C124" t="s">
        <v>357</v>
      </c>
      <c r="D124">
        <v>36</v>
      </c>
      <c r="E124">
        <v>1</v>
      </c>
    </row>
    <row r="125" spans="1:5">
      <c r="A125" t="s">
        <v>1168</v>
      </c>
      <c r="B125">
        <v>103082</v>
      </c>
      <c r="C125" t="s">
        <v>357</v>
      </c>
      <c r="D125">
        <v>36</v>
      </c>
      <c r="E125">
        <v>1</v>
      </c>
    </row>
    <row r="126" spans="1:5">
      <c r="A126" t="s">
        <v>1156</v>
      </c>
      <c r="B126">
        <v>103083</v>
      </c>
      <c r="C126" t="s">
        <v>357</v>
      </c>
      <c r="D126">
        <v>36</v>
      </c>
      <c r="E126">
        <v>1</v>
      </c>
    </row>
    <row r="127" spans="1:5">
      <c r="A127" t="s">
        <v>1180</v>
      </c>
      <c r="B127">
        <v>103084</v>
      </c>
      <c r="C127" t="s">
        <v>357</v>
      </c>
      <c r="D127">
        <v>36</v>
      </c>
      <c r="E127">
        <v>1</v>
      </c>
    </row>
    <row r="128" spans="1:5">
      <c r="A128" t="s">
        <v>1182</v>
      </c>
      <c r="B128">
        <v>103085</v>
      </c>
      <c r="C128" t="s">
        <v>357</v>
      </c>
      <c r="D128">
        <v>36</v>
      </c>
      <c r="E128">
        <v>1</v>
      </c>
    </row>
    <row r="129" spans="1:5">
      <c r="A129" t="s">
        <v>2369</v>
      </c>
      <c r="B129">
        <v>103133</v>
      </c>
      <c r="C129" t="s">
        <v>1021</v>
      </c>
      <c r="D129">
        <v>48</v>
      </c>
      <c r="E129">
        <v>2</v>
      </c>
    </row>
    <row r="130" spans="1:5">
      <c r="A130" t="s">
        <v>2370</v>
      </c>
      <c r="B130">
        <v>103134</v>
      </c>
      <c r="C130" t="s">
        <v>1021</v>
      </c>
      <c r="D130">
        <v>48</v>
      </c>
      <c r="E130">
        <v>2</v>
      </c>
    </row>
    <row r="131" spans="1:5">
      <c r="A131" t="s">
        <v>1160</v>
      </c>
      <c r="B131">
        <v>103150</v>
      </c>
      <c r="C131" t="s">
        <v>357</v>
      </c>
      <c r="D131">
        <v>36</v>
      </c>
      <c r="E131">
        <v>1</v>
      </c>
    </row>
    <row r="132" spans="1:5">
      <c r="A132" t="s">
        <v>1196</v>
      </c>
      <c r="B132">
        <v>104001</v>
      </c>
      <c r="C132" t="s">
        <v>1021</v>
      </c>
      <c r="D132">
        <v>24</v>
      </c>
      <c r="E132">
        <v>1</v>
      </c>
    </row>
    <row r="133" spans="1:5">
      <c r="A133" t="s">
        <v>1198</v>
      </c>
      <c r="B133">
        <v>104002</v>
      </c>
      <c r="C133" t="s">
        <v>1021</v>
      </c>
      <c r="D133">
        <v>24</v>
      </c>
      <c r="E133">
        <v>1</v>
      </c>
    </row>
    <row r="134" spans="1:5">
      <c r="A134" t="s">
        <v>1200</v>
      </c>
      <c r="B134">
        <v>104003</v>
      </c>
      <c r="C134" t="s">
        <v>1021</v>
      </c>
      <c r="D134">
        <v>24</v>
      </c>
      <c r="E134">
        <v>1</v>
      </c>
    </row>
    <row r="135" spans="1:5">
      <c r="A135" t="s">
        <v>1202</v>
      </c>
      <c r="B135">
        <v>104004</v>
      </c>
      <c r="C135" t="s">
        <v>1021</v>
      </c>
      <c r="D135">
        <v>24</v>
      </c>
      <c r="E135">
        <v>1</v>
      </c>
    </row>
    <row r="136" spans="1:5">
      <c r="A136" t="s">
        <v>1204</v>
      </c>
      <c r="B136">
        <v>104005</v>
      </c>
      <c r="C136" t="s">
        <v>1021</v>
      </c>
      <c r="D136">
        <v>24</v>
      </c>
      <c r="E136">
        <v>1</v>
      </c>
    </row>
    <row r="137" spans="1:5">
      <c r="A137" t="s">
        <v>1206</v>
      </c>
      <c r="B137">
        <v>104006</v>
      </c>
      <c r="C137" t="s">
        <v>1021</v>
      </c>
      <c r="D137">
        <v>24</v>
      </c>
      <c r="E137">
        <v>1</v>
      </c>
    </row>
    <row r="138" spans="1:5">
      <c r="A138" t="s">
        <v>1208</v>
      </c>
      <c r="B138">
        <v>104007</v>
      </c>
      <c r="C138" t="s">
        <v>1021</v>
      </c>
      <c r="D138">
        <v>24</v>
      </c>
      <c r="E138">
        <v>1</v>
      </c>
    </row>
    <row r="139" spans="1:5">
      <c r="A139" t="s">
        <v>1210</v>
      </c>
      <c r="B139">
        <v>104008</v>
      </c>
      <c r="C139" t="s">
        <v>1021</v>
      </c>
      <c r="D139">
        <v>24</v>
      </c>
      <c r="E139">
        <v>1</v>
      </c>
    </row>
    <row r="140" spans="1:5">
      <c r="A140" t="s">
        <v>1258</v>
      </c>
      <c r="B140">
        <v>105001</v>
      </c>
      <c r="C140" t="s">
        <v>1024</v>
      </c>
      <c r="D140">
        <v>72</v>
      </c>
      <c r="E140">
        <v>1</v>
      </c>
    </row>
    <row r="141" spans="1:5">
      <c r="A141" t="s">
        <v>1262</v>
      </c>
      <c r="B141">
        <v>105002</v>
      </c>
      <c r="C141" t="s">
        <v>1024</v>
      </c>
      <c r="D141">
        <v>72</v>
      </c>
      <c r="E141">
        <v>1</v>
      </c>
    </row>
    <row r="142" spans="1:5">
      <c r="A142" t="s">
        <v>1276</v>
      </c>
      <c r="B142">
        <v>105003</v>
      </c>
      <c r="C142" t="s">
        <v>1024</v>
      </c>
      <c r="D142">
        <v>72</v>
      </c>
      <c r="E142">
        <v>1</v>
      </c>
    </row>
    <row r="143" spans="1:5">
      <c r="A143" t="s">
        <v>1280</v>
      </c>
      <c r="B143">
        <v>105004</v>
      </c>
      <c r="C143" t="s">
        <v>1024</v>
      </c>
      <c r="D143">
        <v>72</v>
      </c>
      <c r="E143">
        <v>1</v>
      </c>
    </row>
    <row r="144" spans="1:5">
      <c r="A144" t="s">
        <v>1268</v>
      </c>
      <c r="B144">
        <v>105005</v>
      </c>
      <c r="C144" t="s">
        <v>1024</v>
      </c>
      <c r="D144">
        <v>72</v>
      </c>
      <c r="E144">
        <v>1</v>
      </c>
    </row>
    <row r="145" spans="1:5">
      <c r="A145" t="s">
        <v>1296</v>
      </c>
      <c r="B145">
        <v>105006</v>
      </c>
      <c r="C145" t="s">
        <v>1024</v>
      </c>
      <c r="D145">
        <v>72</v>
      </c>
      <c r="E145">
        <v>1</v>
      </c>
    </row>
    <row r="146" spans="1:5">
      <c r="A146" t="s">
        <v>1300</v>
      </c>
      <c r="B146">
        <v>105007</v>
      </c>
      <c r="C146" t="s">
        <v>1024</v>
      </c>
      <c r="D146">
        <v>72</v>
      </c>
      <c r="E146">
        <v>1</v>
      </c>
    </row>
    <row r="147" spans="1:5">
      <c r="A147" t="s">
        <v>1302</v>
      </c>
      <c r="B147">
        <v>105008</v>
      </c>
      <c r="C147" t="s">
        <v>1024</v>
      </c>
      <c r="D147">
        <v>72</v>
      </c>
      <c r="E147">
        <v>1</v>
      </c>
    </row>
    <row r="148" spans="1:5">
      <c r="A148" t="s">
        <v>1288</v>
      </c>
      <c r="B148">
        <v>105009</v>
      </c>
      <c r="C148" t="s">
        <v>1024</v>
      </c>
      <c r="D148">
        <v>72</v>
      </c>
      <c r="E148">
        <v>1</v>
      </c>
    </row>
    <row r="149" spans="1:5">
      <c r="A149" t="s">
        <v>1292</v>
      </c>
      <c r="B149">
        <v>105010</v>
      </c>
      <c r="C149" t="s">
        <v>1024</v>
      </c>
      <c r="D149">
        <v>72</v>
      </c>
      <c r="E149">
        <v>1</v>
      </c>
    </row>
    <row r="150" spans="1:5">
      <c r="A150" t="s">
        <v>1260</v>
      </c>
      <c r="B150">
        <v>105011</v>
      </c>
      <c r="C150" t="s">
        <v>1019</v>
      </c>
      <c r="D150">
        <v>12</v>
      </c>
      <c r="E150">
        <v>1</v>
      </c>
    </row>
    <row r="151" spans="1:5">
      <c r="A151" t="s">
        <v>1264</v>
      </c>
      <c r="B151">
        <v>105012</v>
      </c>
      <c r="C151" t="s">
        <v>1019</v>
      </c>
      <c r="D151">
        <v>12</v>
      </c>
      <c r="E151">
        <v>1</v>
      </c>
    </row>
    <row r="152" spans="1:5">
      <c r="A152" t="s">
        <v>1278</v>
      </c>
      <c r="B152">
        <v>105013</v>
      </c>
      <c r="C152" t="s">
        <v>1019</v>
      </c>
      <c r="D152">
        <v>12</v>
      </c>
      <c r="E152">
        <v>1</v>
      </c>
    </row>
    <row r="153" spans="1:5">
      <c r="A153" t="s">
        <v>1282</v>
      </c>
      <c r="B153">
        <v>105014</v>
      </c>
      <c r="C153" t="s">
        <v>1019</v>
      </c>
      <c r="D153">
        <v>12</v>
      </c>
      <c r="E153">
        <v>1</v>
      </c>
    </row>
    <row r="154" spans="1:5">
      <c r="A154" t="s">
        <v>1270</v>
      </c>
      <c r="B154">
        <v>105015</v>
      </c>
      <c r="C154" t="s">
        <v>1019</v>
      </c>
      <c r="D154">
        <v>12</v>
      </c>
      <c r="E154">
        <v>1</v>
      </c>
    </row>
    <row r="155" spans="1:5">
      <c r="A155" t="s">
        <v>1298</v>
      </c>
      <c r="B155">
        <v>105016</v>
      </c>
      <c r="C155" t="s">
        <v>1019</v>
      </c>
      <c r="D155">
        <v>12</v>
      </c>
      <c r="E155">
        <v>1</v>
      </c>
    </row>
    <row r="156" spans="1:5">
      <c r="A156" t="s">
        <v>1301</v>
      </c>
      <c r="B156">
        <v>105017</v>
      </c>
      <c r="C156" t="s">
        <v>1019</v>
      </c>
      <c r="D156">
        <v>12</v>
      </c>
      <c r="E156">
        <v>1</v>
      </c>
    </row>
    <row r="157" spans="1:5">
      <c r="A157" t="s">
        <v>1303</v>
      </c>
      <c r="B157">
        <v>105018</v>
      </c>
      <c r="C157" t="s">
        <v>1019</v>
      </c>
      <c r="D157">
        <v>12</v>
      </c>
      <c r="E157">
        <v>1</v>
      </c>
    </row>
    <row r="158" spans="1:5">
      <c r="A158" t="s">
        <v>1290</v>
      </c>
      <c r="B158">
        <v>105019</v>
      </c>
      <c r="C158" t="s">
        <v>357</v>
      </c>
      <c r="D158">
        <v>36</v>
      </c>
      <c r="E158">
        <v>1</v>
      </c>
    </row>
    <row r="159" spans="1:5">
      <c r="A159" t="s">
        <v>1294</v>
      </c>
      <c r="B159">
        <v>105020</v>
      </c>
      <c r="C159" t="s">
        <v>357</v>
      </c>
      <c r="D159">
        <v>36</v>
      </c>
      <c r="E159">
        <v>1</v>
      </c>
    </row>
    <row r="160" spans="1:5">
      <c r="A160" t="s">
        <v>1272</v>
      </c>
      <c r="B160">
        <v>105021</v>
      </c>
      <c r="C160" t="s">
        <v>1024</v>
      </c>
      <c r="D160">
        <v>48</v>
      </c>
      <c r="E160">
        <v>1</v>
      </c>
    </row>
    <row r="161" spans="1:5">
      <c r="A161" t="s">
        <v>1274</v>
      </c>
      <c r="B161">
        <v>105022</v>
      </c>
      <c r="C161" t="s">
        <v>1024</v>
      </c>
      <c r="D161">
        <v>48</v>
      </c>
      <c r="E161">
        <v>1</v>
      </c>
    </row>
    <row r="162" spans="1:5">
      <c r="A162" t="s">
        <v>1284</v>
      </c>
      <c r="B162">
        <v>105025</v>
      </c>
      <c r="C162" t="s">
        <v>1023</v>
      </c>
      <c r="D162">
        <v>24</v>
      </c>
      <c r="E162">
        <v>1</v>
      </c>
    </row>
    <row r="163" spans="1:5">
      <c r="A163" t="s">
        <v>1286</v>
      </c>
      <c r="B163">
        <v>105026</v>
      </c>
      <c r="C163" t="s">
        <v>357</v>
      </c>
      <c r="D163">
        <v>20</v>
      </c>
      <c r="E163">
        <v>1</v>
      </c>
    </row>
    <row r="164" spans="1:5">
      <c r="A164" t="s">
        <v>1254</v>
      </c>
      <c r="B164">
        <v>105031</v>
      </c>
      <c r="C164" t="s">
        <v>357</v>
      </c>
      <c r="D164">
        <v>18</v>
      </c>
      <c r="E164">
        <v>1</v>
      </c>
    </row>
    <row r="165" spans="1:5">
      <c r="A165" t="s">
        <v>1256</v>
      </c>
      <c r="B165">
        <v>105032</v>
      </c>
      <c r="C165" t="s">
        <v>357</v>
      </c>
      <c r="D165">
        <v>18</v>
      </c>
      <c r="E165">
        <v>1</v>
      </c>
    </row>
    <row r="166" spans="1:5">
      <c r="A166" t="s">
        <v>1244</v>
      </c>
      <c r="B166">
        <v>105034</v>
      </c>
      <c r="C166" t="s">
        <v>1022</v>
      </c>
      <c r="D166">
        <v>144</v>
      </c>
      <c r="E166">
        <v>1</v>
      </c>
    </row>
    <row r="167" spans="1:5">
      <c r="A167" t="s">
        <v>1232</v>
      </c>
      <c r="B167">
        <v>105038</v>
      </c>
      <c r="C167" t="s">
        <v>1022</v>
      </c>
      <c r="D167">
        <v>72</v>
      </c>
      <c r="E167">
        <v>1</v>
      </c>
    </row>
    <row r="168" spans="1:5">
      <c r="A168" t="s">
        <v>1236</v>
      </c>
      <c r="B168">
        <v>105039</v>
      </c>
      <c r="C168" t="s">
        <v>1022</v>
      </c>
      <c r="D168">
        <v>72</v>
      </c>
      <c r="E168">
        <v>1</v>
      </c>
    </row>
    <row r="169" spans="1:5">
      <c r="A169" t="s">
        <v>1240</v>
      </c>
      <c r="B169">
        <v>105040</v>
      </c>
      <c r="C169" t="s">
        <v>1022</v>
      </c>
      <c r="D169">
        <v>72</v>
      </c>
      <c r="E169">
        <v>1</v>
      </c>
    </row>
    <row r="170" spans="1:5">
      <c r="A170" t="s">
        <v>1234</v>
      </c>
      <c r="B170">
        <v>105041</v>
      </c>
      <c r="C170" t="s">
        <v>1021</v>
      </c>
      <c r="D170">
        <v>36</v>
      </c>
      <c r="E170">
        <v>1</v>
      </c>
    </row>
    <row r="171" spans="1:5">
      <c r="A171" t="s">
        <v>1238</v>
      </c>
      <c r="B171">
        <v>105042</v>
      </c>
      <c r="C171" t="s">
        <v>1021</v>
      </c>
      <c r="D171">
        <v>36</v>
      </c>
      <c r="E171">
        <v>1</v>
      </c>
    </row>
    <row r="172" spans="1:5">
      <c r="A172" t="s">
        <v>1242</v>
      </c>
      <c r="B172">
        <v>105043</v>
      </c>
      <c r="C172" t="s">
        <v>1021</v>
      </c>
      <c r="D172">
        <v>36</v>
      </c>
      <c r="E172">
        <v>1</v>
      </c>
    </row>
    <row r="173" spans="1:5">
      <c r="A173" t="s">
        <v>1266</v>
      </c>
      <c r="B173">
        <v>105044</v>
      </c>
      <c r="C173" t="s">
        <v>357</v>
      </c>
      <c r="D173">
        <v>36</v>
      </c>
      <c r="E173">
        <v>1</v>
      </c>
    </row>
    <row r="174" spans="1:5">
      <c r="A174" t="s">
        <v>1212</v>
      </c>
      <c r="B174">
        <v>105045</v>
      </c>
      <c r="C174" t="s">
        <v>357</v>
      </c>
      <c r="D174">
        <v>24</v>
      </c>
      <c r="E174">
        <v>1</v>
      </c>
    </row>
    <row r="175" spans="1:5">
      <c r="A175" t="s">
        <v>1216</v>
      </c>
      <c r="B175">
        <v>105046</v>
      </c>
      <c r="C175" t="s">
        <v>359</v>
      </c>
      <c r="D175">
        <v>24</v>
      </c>
      <c r="E175">
        <v>1</v>
      </c>
    </row>
    <row r="176" spans="1:5">
      <c r="A176" t="s">
        <v>2412</v>
      </c>
      <c r="B176">
        <v>105047</v>
      </c>
      <c r="C176" t="s">
        <v>357</v>
      </c>
      <c r="D176">
        <v>12</v>
      </c>
      <c r="E176">
        <v>1</v>
      </c>
    </row>
    <row r="177" spans="1:5">
      <c r="A177" t="s">
        <v>1220</v>
      </c>
      <c r="B177">
        <v>105048</v>
      </c>
      <c r="C177" t="s">
        <v>359</v>
      </c>
      <c r="D177">
        <v>24</v>
      </c>
      <c r="E177">
        <v>1</v>
      </c>
    </row>
    <row r="178" spans="1:5">
      <c r="A178" t="s">
        <v>2429</v>
      </c>
      <c r="B178">
        <v>105049</v>
      </c>
      <c r="C178" t="s">
        <v>357</v>
      </c>
      <c r="D178">
        <v>12</v>
      </c>
      <c r="E178">
        <v>1</v>
      </c>
    </row>
    <row r="179" spans="1:5">
      <c r="A179" t="s">
        <v>1224</v>
      </c>
      <c r="B179">
        <v>105050</v>
      </c>
      <c r="C179" t="s">
        <v>359</v>
      </c>
      <c r="D179">
        <v>24</v>
      </c>
      <c r="E179">
        <v>1</v>
      </c>
    </row>
    <row r="180" spans="1:5">
      <c r="A180" t="s">
        <v>1230</v>
      </c>
      <c r="B180">
        <v>105051</v>
      </c>
      <c r="C180" t="s">
        <v>359</v>
      </c>
      <c r="D180">
        <v>24</v>
      </c>
      <c r="E180">
        <v>1</v>
      </c>
    </row>
    <row r="181" spans="1:5">
      <c r="A181" t="s">
        <v>1228</v>
      </c>
      <c r="B181">
        <v>105052</v>
      </c>
      <c r="C181" t="s">
        <v>357</v>
      </c>
      <c r="D181">
        <v>12</v>
      </c>
      <c r="E181">
        <v>1</v>
      </c>
    </row>
    <row r="182" spans="1:5">
      <c r="A182" t="s">
        <v>1214</v>
      </c>
      <c r="B182">
        <v>105053</v>
      </c>
      <c r="C182" t="s">
        <v>359</v>
      </c>
      <c r="D182">
        <v>24</v>
      </c>
      <c r="E182">
        <v>1</v>
      </c>
    </row>
    <row r="183" spans="1:5">
      <c r="A183" t="s">
        <v>1218</v>
      </c>
      <c r="B183">
        <v>105054</v>
      </c>
      <c r="C183" t="s">
        <v>359</v>
      </c>
      <c r="D183">
        <v>24</v>
      </c>
      <c r="E183">
        <v>1</v>
      </c>
    </row>
    <row r="184" spans="1:5">
      <c r="A184" t="s">
        <v>1222</v>
      </c>
      <c r="B184">
        <v>105055</v>
      </c>
      <c r="C184" t="s">
        <v>359</v>
      </c>
      <c r="D184">
        <v>24</v>
      </c>
      <c r="E184">
        <v>1</v>
      </c>
    </row>
    <row r="185" spans="1:5">
      <c r="A185" t="s">
        <v>1226</v>
      </c>
      <c r="B185">
        <v>105056</v>
      </c>
      <c r="C185" t="s">
        <v>359</v>
      </c>
      <c r="D185">
        <v>24</v>
      </c>
      <c r="E185">
        <v>1</v>
      </c>
    </row>
    <row r="186" spans="1:5">
      <c r="A186" t="s">
        <v>1304</v>
      </c>
      <c r="B186">
        <v>106001</v>
      </c>
      <c r="C186" t="s">
        <v>357</v>
      </c>
      <c r="D186">
        <v>36</v>
      </c>
      <c r="E186">
        <v>1</v>
      </c>
    </row>
    <row r="187" spans="1:5">
      <c r="A187" t="s">
        <v>1306</v>
      </c>
      <c r="B187">
        <v>106002</v>
      </c>
      <c r="C187" t="s">
        <v>357</v>
      </c>
      <c r="D187">
        <v>36</v>
      </c>
      <c r="E187">
        <v>1</v>
      </c>
    </row>
    <row r="188" spans="1:5">
      <c r="A188" t="s">
        <v>1324</v>
      </c>
      <c r="B188">
        <v>106003</v>
      </c>
      <c r="C188" t="s">
        <v>357</v>
      </c>
      <c r="D188">
        <v>36</v>
      </c>
      <c r="E188">
        <v>1</v>
      </c>
    </row>
    <row r="189" spans="1:5">
      <c r="A189" t="s">
        <v>1326</v>
      </c>
      <c r="B189">
        <v>106004</v>
      </c>
      <c r="C189" t="s">
        <v>357</v>
      </c>
      <c r="D189">
        <v>36</v>
      </c>
      <c r="E189">
        <v>1</v>
      </c>
    </row>
    <row r="190" spans="1:5">
      <c r="A190" t="s">
        <v>1308</v>
      </c>
      <c r="B190">
        <v>106005</v>
      </c>
      <c r="C190" t="s">
        <v>357</v>
      </c>
      <c r="D190">
        <v>36</v>
      </c>
      <c r="E190">
        <v>1</v>
      </c>
    </row>
    <row r="191" spans="1:5">
      <c r="A191" t="s">
        <v>1310</v>
      </c>
      <c r="B191">
        <v>106006</v>
      </c>
      <c r="C191" t="s">
        <v>357</v>
      </c>
      <c r="D191">
        <v>36</v>
      </c>
      <c r="E191">
        <v>1</v>
      </c>
    </row>
    <row r="192" spans="1:5">
      <c r="A192" t="s">
        <v>1336</v>
      </c>
      <c r="B192">
        <v>106007</v>
      </c>
      <c r="C192" t="s">
        <v>357</v>
      </c>
      <c r="D192">
        <v>36</v>
      </c>
      <c r="E192">
        <v>1</v>
      </c>
    </row>
    <row r="193" spans="1:5">
      <c r="A193" t="s">
        <v>1338</v>
      </c>
      <c r="B193">
        <v>106008</v>
      </c>
      <c r="C193" t="s">
        <v>357</v>
      </c>
      <c r="D193">
        <v>36</v>
      </c>
      <c r="E193">
        <v>1</v>
      </c>
    </row>
    <row r="194" spans="1:5">
      <c r="A194" t="s">
        <v>1328</v>
      </c>
      <c r="B194">
        <v>106009</v>
      </c>
      <c r="C194" t="s">
        <v>357</v>
      </c>
      <c r="D194">
        <v>36</v>
      </c>
      <c r="E194">
        <v>1</v>
      </c>
    </row>
    <row r="195" spans="1:5">
      <c r="A195" t="s">
        <v>1330</v>
      </c>
      <c r="B195">
        <v>106010</v>
      </c>
      <c r="C195" t="s">
        <v>357</v>
      </c>
      <c r="D195">
        <v>36</v>
      </c>
      <c r="E195">
        <v>1</v>
      </c>
    </row>
    <row r="196" spans="1:5">
      <c r="A196" t="s">
        <v>1332</v>
      </c>
      <c r="B196">
        <v>106011</v>
      </c>
      <c r="C196" t="s">
        <v>357</v>
      </c>
      <c r="D196">
        <v>36</v>
      </c>
      <c r="E196">
        <v>1</v>
      </c>
    </row>
    <row r="197" spans="1:5">
      <c r="A197" t="s">
        <v>1334</v>
      </c>
      <c r="B197">
        <v>106012</v>
      </c>
      <c r="C197" t="s">
        <v>357</v>
      </c>
      <c r="D197">
        <v>36</v>
      </c>
      <c r="E197">
        <v>1</v>
      </c>
    </row>
    <row r="198" spans="1:5">
      <c r="A198" t="s">
        <v>1320</v>
      </c>
      <c r="B198">
        <v>106013</v>
      </c>
      <c r="C198" t="s">
        <v>357</v>
      </c>
      <c r="D198">
        <v>36</v>
      </c>
      <c r="E198">
        <v>1</v>
      </c>
    </row>
    <row r="199" spans="1:5">
      <c r="A199" t="s">
        <v>1322</v>
      </c>
      <c r="B199">
        <v>106014</v>
      </c>
      <c r="C199" t="s">
        <v>357</v>
      </c>
      <c r="D199">
        <v>36</v>
      </c>
      <c r="E199">
        <v>1</v>
      </c>
    </row>
    <row r="200" spans="1:5">
      <c r="A200" t="s">
        <v>1312</v>
      </c>
      <c r="B200">
        <v>106015</v>
      </c>
      <c r="C200" t="s">
        <v>357</v>
      </c>
      <c r="D200">
        <v>36</v>
      </c>
      <c r="E200">
        <v>1</v>
      </c>
    </row>
    <row r="201" spans="1:5">
      <c r="A201" t="s">
        <v>1314</v>
      </c>
      <c r="B201">
        <v>106016</v>
      </c>
      <c r="C201" t="s">
        <v>357</v>
      </c>
      <c r="D201">
        <v>36</v>
      </c>
      <c r="E201">
        <v>1</v>
      </c>
    </row>
    <row r="202" spans="1:5">
      <c r="A202" t="s">
        <v>1316</v>
      </c>
      <c r="B202">
        <v>106017</v>
      </c>
      <c r="C202" t="s">
        <v>357</v>
      </c>
      <c r="D202">
        <v>36</v>
      </c>
      <c r="E202">
        <v>1</v>
      </c>
    </row>
    <row r="203" spans="1:5">
      <c r="A203" t="s">
        <v>1318</v>
      </c>
      <c r="B203">
        <v>106018</v>
      </c>
      <c r="C203" t="s">
        <v>357</v>
      </c>
      <c r="D203">
        <v>36</v>
      </c>
      <c r="E203">
        <v>1</v>
      </c>
    </row>
    <row r="204" spans="1:5">
      <c r="A204" t="s">
        <v>1386</v>
      </c>
      <c r="B204">
        <v>106019</v>
      </c>
      <c r="C204" t="s">
        <v>357</v>
      </c>
      <c r="D204">
        <v>36</v>
      </c>
      <c r="E204">
        <v>1</v>
      </c>
    </row>
    <row r="205" spans="1:5">
      <c r="A205" t="s">
        <v>1388</v>
      </c>
      <c r="B205">
        <v>106020</v>
      </c>
      <c r="C205" t="s">
        <v>357</v>
      </c>
      <c r="D205">
        <v>36</v>
      </c>
      <c r="E205">
        <v>1</v>
      </c>
    </row>
    <row r="206" spans="1:5">
      <c r="A206" t="s">
        <v>1354</v>
      </c>
      <c r="B206">
        <v>106021</v>
      </c>
      <c r="C206" t="s">
        <v>357</v>
      </c>
      <c r="D206">
        <v>36</v>
      </c>
      <c r="E206">
        <v>1</v>
      </c>
    </row>
    <row r="207" spans="1:5">
      <c r="A207" t="s">
        <v>1362</v>
      </c>
      <c r="B207">
        <v>106022</v>
      </c>
      <c r="C207" t="s">
        <v>357</v>
      </c>
      <c r="D207">
        <v>36</v>
      </c>
      <c r="E207">
        <v>1</v>
      </c>
    </row>
    <row r="208" spans="1:5">
      <c r="A208" t="s">
        <v>1366</v>
      </c>
      <c r="B208">
        <v>106023</v>
      </c>
      <c r="C208" t="s">
        <v>357</v>
      </c>
      <c r="D208">
        <v>36</v>
      </c>
      <c r="E208">
        <v>1</v>
      </c>
    </row>
    <row r="209" spans="1:5">
      <c r="A209" t="s">
        <v>1368</v>
      </c>
      <c r="B209">
        <v>106024</v>
      </c>
      <c r="C209" t="s">
        <v>357</v>
      </c>
      <c r="D209">
        <v>36</v>
      </c>
      <c r="E209">
        <v>1</v>
      </c>
    </row>
    <row r="210" spans="1:5">
      <c r="A210" t="s">
        <v>1370</v>
      </c>
      <c r="B210">
        <v>106025</v>
      </c>
      <c r="C210" t="s">
        <v>357</v>
      </c>
      <c r="D210">
        <v>36</v>
      </c>
      <c r="E210">
        <v>1</v>
      </c>
    </row>
    <row r="211" spans="1:5">
      <c r="A211" t="s">
        <v>1372</v>
      </c>
      <c r="B211">
        <v>106026</v>
      </c>
      <c r="C211" t="s">
        <v>357</v>
      </c>
      <c r="D211">
        <v>36</v>
      </c>
      <c r="E211">
        <v>1</v>
      </c>
    </row>
    <row r="212" spans="1:5">
      <c r="A212" t="s">
        <v>1374</v>
      </c>
      <c r="B212">
        <v>106027</v>
      </c>
      <c r="C212" t="s">
        <v>357</v>
      </c>
      <c r="D212">
        <v>36</v>
      </c>
      <c r="E212">
        <v>1</v>
      </c>
    </row>
    <row r="213" spans="1:5">
      <c r="A213" t="s">
        <v>1340</v>
      </c>
      <c r="B213">
        <v>106036</v>
      </c>
      <c r="C213" t="s">
        <v>357</v>
      </c>
      <c r="D213">
        <v>24</v>
      </c>
      <c r="E213">
        <v>1</v>
      </c>
    </row>
    <row r="214" spans="1:5">
      <c r="A214" t="s">
        <v>1342</v>
      </c>
      <c r="B214">
        <v>106037</v>
      </c>
      <c r="C214" t="s">
        <v>357</v>
      </c>
      <c r="D214">
        <v>24</v>
      </c>
      <c r="E214">
        <v>1</v>
      </c>
    </row>
    <row r="215" spans="1:5">
      <c r="A215" t="s">
        <v>1346</v>
      </c>
      <c r="B215">
        <v>106042</v>
      </c>
      <c r="C215" t="s">
        <v>357</v>
      </c>
      <c r="D215">
        <v>36</v>
      </c>
      <c r="E215">
        <v>1</v>
      </c>
    </row>
    <row r="216" spans="1:5">
      <c r="A216" t="s">
        <v>1350</v>
      </c>
      <c r="B216">
        <v>106043</v>
      </c>
      <c r="C216" t="s">
        <v>357</v>
      </c>
      <c r="D216">
        <v>36</v>
      </c>
      <c r="E216">
        <v>1</v>
      </c>
    </row>
    <row r="217" spans="1:5">
      <c r="A217" t="s">
        <v>1358</v>
      </c>
      <c r="B217">
        <v>106044</v>
      </c>
      <c r="C217" t="s">
        <v>357</v>
      </c>
      <c r="D217">
        <v>36</v>
      </c>
      <c r="E217">
        <v>1</v>
      </c>
    </row>
    <row r="218" spans="1:5">
      <c r="A218" t="s">
        <v>2374</v>
      </c>
      <c r="B218">
        <v>107001</v>
      </c>
      <c r="C218" t="s">
        <v>357</v>
      </c>
      <c r="D218">
        <v>36</v>
      </c>
      <c r="E218">
        <v>1</v>
      </c>
    </row>
    <row r="219" spans="1:5">
      <c r="A219" t="s">
        <v>2386</v>
      </c>
      <c r="B219">
        <v>107002</v>
      </c>
      <c r="C219" t="s">
        <v>357</v>
      </c>
      <c r="D219">
        <v>36</v>
      </c>
      <c r="E219">
        <v>1</v>
      </c>
    </row>
    <row r="220" spans="1:5">
      <c r="A220" t="s">
        <v>2387</v>
      </c>
      <c r="B220">
        <v>107003</v>
      </c>
      <c r="C220" t="s">
        <v>1022</v>
      </c>
      <c r="D220">
        <v>120</v>
      </c>
      <c r="E220">
        <v>1</v>
      </c>
    </row>
    <row r="221" spans="1:5">
      <c r="A221" t="s">
        <v>2387</v>
      </c>
      <c r="B221">
        <v>107004</v>
      </c>
      <c r="C221" t="s">
        <v>1022</v>
      </c>
      <c r="D221">
        <v>120</v>
      </c>
      <c r="E221">
        <v>2</v>
      </c>
    </row>
    <row r="222" spans="1:5">
      <c r="A222" t="s">
        <v>1450</v>
      </c>
      <c r="B222">
        <v>107005</v>
      </c>
      <c r="C222" t="s">
        <v>1027</v>
      </c>
      <c r="D222">
        <v>24</v>
      </c>
      <c r="E222">
        <v>1</v>
      </c>
    </row>
    <row r="223" spans="1:5">
      <c r="A223" t="s">
        <v>2448</v>
      </c>
      <c r="B223">
        <v>107006</v>
      </c>
      <c r="C223" t="s">
        <v>357</v>
      </c>
      <c r="D223">
        <v>36</v>
      </c>
      <c r="E223">
        <v>1</v>
      </c>
    </row>
    <row r="224" spans="1:5">
      <c r="A224" t="s">
        <v>2381</v>
      </c>
      <c r="B224">
        <v>107010</v>
      </c>
      <c r="C224" t="s">
        <v>357</v>
      </c>
      <c r="D224">
        <v>36</v>
      </c>
      <c r="E224">
        <v>1</v>
      </c>
    </row>
    <row r="225" spans="1:5">
      <c r="A225" t="s">
        <v>2401</v>
      </c>
      <c r="B225">
        <v>107013</v>
      </c>
      <c r="C225" t="s">
        <v>357</v>
      </c>
      <c r="D225">
        <v>36</v>
      </c>
      <c r="E225">
        <v>2</v>
      </c>
    </row>
    <row r="226" spans="1:5">
      <c r="A226" t="s">
        <v>2384</v>
      </c>
      <c r="B226">
        <v>107017</v>
      </c>
      <c r="C226" t="s">
        <v>357</v>
      </c>
      <c r="D226">
        <v>36</v>
      </c>
      <c r="E226">
        <v>1</v>
      </c>
    </row>
    <row r="227" spans="1:5">
      <c r="A227" t="s">
        <v>2385</v>
      </c>
      <c r="B227">
        <v>107018</v>
      </c>
      <c r="C227" t="s">
        <v>357</v>
      </c>
      <c r="D227">
        <v>36</v>
      </c>
      <c r="E227">
        <v>1</v>
      </c>
    </row>
    <row r="228" spans="1:5">
      <c r="A228" t="s">
        <v>2388</v>
      </c>
      <c r="B228">
        <v>107019</v>
      </c>
      <c r="C228" t="s">
        <v>1022</v>
      </c>
      <c r="D228">
        <v>120</v>
      </c>
      <c r="E228">
        <v>1</v>
      </c>
    </row>
    <row r="229" spans="1:5">
      <c r="A229" t="s">
        <v>2388</v>
      </c>
      <c r="B229">
        <v>107020</v>
      </c>
      <c r="C229" t="s">
        <v>1022</v>
      </c>
      <c r="D229">
        <v>120</v>
      </c>
      <c r="E229">
        <v>2</v>
      </c>
    </row>
    <row r="230" spans="1:5">
      <c r="A230" t="s">
        <v>1453</v>
      </c>
      <c r="B230">
        <v>107021</v>
      </c>
      <c r="C230" t="s">
        <v>1027</v>
      </c>
      <c r="D230">
        <v>24</v>
      </c>
      <c r="E230">
        <v>1</v>
      </c>
    </row>
    <row r="231" spans="1:5">
      <c r="A231" t="s">
        <v>2389</v>
      </c>
      <c r="B231">
        <v>107022</v>
      </c>
      <c r="C231" t="s">
        <v>357</v>
      </c>
      <c r="D231">
        <v>72</v>
      </c>
      <c r="E231">
        <v>1</v>
      </c>
    </row>
    <row r="232" spans="1:5">
      <c r="A232" t="s">
        <v>2390</v>
      </c>
      <c r="B232">
        <v>107023</v>
      </c>
      <c r="C232" t="s">
        <v>357</v>
      </c>
      <c r="D232">
        <v>36</v>
      </c>
      <c r="E232">
        <v>1</v>
      </c>
    </row>
    <row r="233" spans="1:5">
      <c r="A233" t="s">
        <v>2391</v>
      </c>
      <c r="B233">
        <v>107024</v>
      </c>
      <c r="C233" t="s">
        <v>357</v>
      </c>
      <c r="D233">
        <v>36</v>
      </c>
      <c r="E233">
        <v>1</v>
      </c>
    </row>
    <row r="234" spans="1:5">
      <c r="A234" t="s">
        <v>1462</v>
      </c>
      <c r="B234">
        <v>107027</v>
      </c>
      <c r="C234" t="s">
        <v>1027</v>
      </c>
      <c r="D234">
        <v>24</v>
      </c>
      <c r="E234">
        <v>1</v>
      </c>
    </row>
    <row r="235" spans="1:5">
      <c r="A235" t="s">
        <v>2393</v>
      </c>
      <c r="B235">
        <v>107028</v>
      </c>
      <c r="C235" t="s">
        <v>1022</v>
      </c>
      <c r="D235">
        <v>120</v>
      </c>
      <c r="E235">
        <v>1</v>
      </c>
    </row>
    <row r="236" spans="1:5">
      <c r="A236" t="s">
        <v>1462</v>
      </c>
      <c r="B236">
        <v>107029</v>
      </c>
      <c r="C236" t="s">
        <v>1027</v>
      </c>
      <c r="D236">
        <v>24</v>
      </c>
      <c r="E236">
        <v>2</v>
      </c>
    </row>
    <row r="237" spans="1:5">
      <c r="A237" t="s">
        <v>2395</v>
      </c>
      <c r="B237">
        <v>107031</v>
      </c>
      <c r="C237" t="s">
        <v>357</v>
      </c>
      <c r="D237">
        <v>36</v>
      </c>
      <c r="E237">
        <v>1</v>
      </c>
    </row>
    <row r="238" spans="1:5">
      <c r="A238" t="s">
        <v>2396</v>
      </c>
      <c r="B238">
        <v>107032</v>
      </c>
      <c r="C238" t="s">
        <v>357</v>
      </c>
      <c r="D238">
        <v>36</v>
      </c>
      <c r="E238">
        <v>1</v>
      </c>
    </row>
    <row r="239" spans="1:5">
      <c r="A239" t="s">
        <v>1518</v>
      </c>
      <c r="B239">
        <v>107039</v>
      </c>
      <c r="C239" t="s">
        <v>357</v>
      </c>
      <c r="D239">
        <v>36</v>
      </c>
      <c r="E239">
        <v>1</v>
      </c>
    </row>
    <row r="240" spans="1:5">
      <c r="A240" t="s">
        <v>1530</v>
      </c>
      <c r="B240">
        <v>107040</v>
      </c>
      <c r="C240" t="s">
        <v>357</v>
      </c>
      <c r="D240">
        <v>36</v>
      </c>
      <c r="E240">
        <v>1</v>
      </c>
    </row>
    <row r="241" spans="1:5">
      <c r="A241" t="s">
        <v>1526</v>
      </c>
      <c r="B241">
        <v>107046</v>
      </c>
      <c r="C241" t="s">
        <v>357</v>
      </c>
      <c r="D241">
        <v>36</v>
      </c>
      <c r="E241">
        <v>1</v>
      </c>
    </row>
    <row r="242" spans="1:5">
      <c r="A242" t="s">
        <v>1528</v>
      </c>
      <c r="B242">
        <v>107047</v>
      </c>
      <c r="C242" t="s">
        <v>357</v>
      </c>
      <c r="D242">
        <v>36</v>
      </c>
      <c r="E242">
        <v>1</v>
      </c>
    </row>
    <row r="243" spans="1:5">
      <c r="A243" t="s">
        <v>1532</v>
      </c>
      <c r="B243">
        <v>107048</v>
      </c>
      <c r="C243" t="s">
        <v>357</v>
      </c>
      <c r="D243">
        <v>36</v>
      </c>
      <c r="E243">
        <v>1</v>
      </c>
    </row>
    <row r="244" spans="1:5">
      <c r="A244" t="s">
        <v>1534</v>
      </c>
      <c r="B244">
        <v>107049</v>
      </c>
      <c r="C244" t="s">
        <v>357</v>
      </c>
      <c r="D244">
        <v>36</v>
      </c>
      <c r="E244">
        <v>1</v>
      </c>
    </row>
    <row r="245" spans="1:5">
      <c r="A245" t="s">
        <v>1536</v>
      </c>
      <c r="B245">
        <v>107050</v>
      </c>
      <c r="C245" t="s">
        <v>357</v>
      </c>
      <c r="D245">
        <v>36</v>
      </c>
      <c r="E245">
        <v>1</v>
      </c>
    </row>
    <row r="246" spans="1:5">
      <c r="A246" t="s">
        <v>1538</v>
      </c>
      <c r="B246">
        <v>107051</v>
      </c>
      <c r="C246" t="s">
        <v>357</v>
      </c>
      <c r="D246">
        <v>36</v>
      </c>
      <c r="E246">
        <v>1</v>
      </c>
    </row>
    <row r="247" spans="1:5">
      <c r="A247" t="s">
        <v>1522</v>
      </c>
      <c r="B247">
        <v>107052</v>
      </c>
      <c r="C247" t="s">
        <v>357</v>
      </c>
      <c r="D247">
        <v>36</v>
      </c>
      <c r="E247">
        <v>1</v>
      </c>
    </row>
    <row r="248" spans="1:5">
      <c r="A248" t="s">
        <v>1490</v>
      </c>
      <c r="B248">
        <v>107054</v>
      </c>
      <c r="C248" t="s">
        <v>357</v>
      </c>
      <c r="D248">
        <v>36</v>
      </c>
      <c r="E248">
        <v>1</v>
      </c>
    </row>
    <row r="249" spans="1:5">
      <c r="A249" t="s">
        <v>1492</v>
      </c>
      <c r="B249">
        <v>107055</v>
      </c>
      <c r="C249" t="s">
        <v>357</v>
      </c>
      <c r="D249">
        <v>36</v>
      </c>
      <c r="E249">
        <v>1</v>
      </c>
    </row>
    <row r="250" spans="1:5">
      <c r="A250" t="s">
        <v>1506</v>
      </c>
      <c r="B250">
        <v>107056</v>
      </c>
      <c r="C250" t="s">
        <v>357</v>
      </c>
      <c r="D250">
        <v>36</v>
      </c>
      <c r="E250">
        <v>1</v>
      </c>
    </row>
    <row r="251" spans="1:5">
      <c r="A251" t="s">
        <v>1508</v>
      </c>
      <c r="B251">
        <v>107057</v>
      </c>
      <c r="C251" t="s">
        <v>357</v>
      </c>
      <c r="D251">
        <v>36</v>
      </c>
      <c r="E251">
        <v>1</v>
      </c>
    </row>
    <row r="252" spans="1:5">
      <c r="A252" t="s">
        <v>1494</v>
      </c>
      <c r="B252">
        <v>107058</v>
      </c>
      <c r="C252" t="s">
        <v>357</v>
      </c>
      <c r="D252">
        <v>36</v>
      </c>
      <c r="E252">
        <v>1</v>
      </c>
    </row>
    <row r="253" spans="1:5">
      <c r="A253" t="s">
        <v>1496</v>
      </c>
      <c r="B253">
        <v>107059</v>
      </c>
      <c r="C253" t="s">
        <v>357</v>
      </c>
      <c r="D253">
        <v>36</v>
      </c>
      <c r="E253">
        <v>1</v>
      </c>
    </row>
    <row r="254" spans="1:5">
      <c r="A254" t="s">
        <v>1498</v>
      </c>
      <c r="B254">
        <v>107060</v>
      </c>
      <c r="C254" t="s">
        <v>357</v>
      </c>
      <c r="D254">
        <v>36</v>
      </c>
      <c r="E254">
        <v>1</v>
      </c>
    </row>
    <row r="255" spans="1:5">
      <c r="A255" t="s">
        <v>1500</v>
      </c>
      <c r="B255">
        <v>107061</v>
      </c>
      <c r="C255" t="s">
        <v>357</v>
      </c>
      <c r="D255">
        <v>36</v>
      </c>
      <c r="E255">
        <v>1</v>
      </c>
    </row>
    <row r="256" spans="1:5">
      <c r="A256" t="s">
        <v>1502</v>
      </c>
      <c r="B256">
        <v>107062</v>
      </c>
      <c r="C256" t="s">
        <v>357</v>
      </c>
      <c r="D256">
        <v>36</v>
      </c>
      <c r="E256">
        <v>1</v>
      </c>
    </row>
    <row r="257" spans="1:5">
      <c r="A257" t="s">
        <v>1504</v>
      </c>
      <c r="B257">
        <v>107063</v>
      </c>
      <c r="C257" t="s">
        <v>357</v>
      </c>
      <c r="D257">
        <v>36</v>
      </c>
      <c r="E257">
        <v>1</v>
      </c>
    </row>
    <row r="258" spans="1:5">
      <c r="A258" t="s">
        <v>1510</v>
      </c>
      <c r="B258">
        <v>107064</v>
      </c>
      <c r="C258" t="s">
        <v>357</v>
      </c>
      <c r="D258">
        <v>36</v>
      </c>
      <c r="E258">
        <v>1</v>
      </c>
    </row>
    <row r="259" spans="1:5">
      <c r="A259" t="s">
        <v>1512</v>
      </c>
      <c r="B259">
        <v>107065</v>
      </c>
      <c r="C259" t="s">
        <v>357</v>
      </c>
      <c r="D259">
        <v>36</v>
      </c>
      <c r="E259">
        <v>1</v>
      </c>
    </row>
    <row r="260" spans="1:5">
      <c r="A260" t="s">
        <v>1514</v>
      </c>
      <c r="B260">
        <v>107066</v>
      </c>
      <c r="C260" t="s">
        <v>357</v>
      </c>
      <c r="D260">
        <v>36</v>
      </c>
      <c r="E260">
        <v>1</v>
      </c>
    </row>
    <row r="261" spans="1:5">
      <c r="A261" t="s">
        <v>1516</v>
      </c>
      <c r="B261">
        <v>107067</v>
      </c>
      <c r="C261" t="s">
        <v>357</v>
      </c>
      <c r="D261">
        <v>36</v>
      </c>
      <c r="E261">
        <v>1</v>
      </c>
    </row>
    <row r="262" spans="1:5">
      <c r="A262" t="s">
        <v>1547</v>
      </c>
      <c r="B262">
        <v>107068</v>
      </c>
      <c r="C262" t="s">
        <v>357</v>
      </c>
      <c r="D262">
        <v>24</v>
      </c>
      <c r="E262">
        <v>1</v>
      </c>
    </row>
    <row r="263" spans="1:5">
      <c r="A263" t="s">
        <v>2404</v>
      </c>
      <c r="B263">
        <v>107069</v>
      </c>
      <c r="C263" t="s">
        <v>1022</v>
      </c>
      <c r="D263">
        <v>160</v>
      </c>
      <c r="E263">
        <v>1</v>
      </c>
    </row>
    <row r="264" spans="1:5">
      <c r="A264" t="s">
        <v>2406</v>
      </c>
      <c r="B264">
        <v>107070</v>
      </c>
      <c r="C264" t="s">
        <v>357</v>
      </c>
      <c r="D264">
        <v>24</v>
      </c>
      <c r="E264">
        <v>1</v>
      </c>
    </row>
    <row r="265" spans="1:5">
      <c r="A265" t="s">
        <v>2405</v>
      </c>
      <c r="B265">
        <v>107071</v>
      </c>
      <c r="C265" t="s">
        <v>356</v>
      </c>
      <c r="D265">
        <v>24</v>
      </c>
      <c r="E265">
        <v>1</v>
      </c>
    </row>
    <row r="266" spans="1:5">
      <c r="A266" t="s">
        <v>1553</v>
      </c>
      <c r="B266">
        <v>107072</v>
      </c>
      <c r="C266" t="s">
        <v>357</v>
      </c>
      <c r="D266">
        <v>24</v>
      </c>
      <c r="E266">
        <v>1</v>
      </c>
    </row>
    <row r="267" spans="1:5">
      <c r="A267" t="s">
        <v>1555</v>
      </c>
      <c r="B267">
        <v>107073</v>
      </c>
      <c r="C267" t="s">
        <v>356</v>
      </c>
      <c r="D267">
        <v>24</v>
      </c>
      <c r="E267">
        <v>1</v>
      </c>
    </row>
    <row r="268" spans="1:5">
      <c r="A268" t="s">
        <v>1551</v>
      </c>
      <c r="B268">
        <v>107074</v>
      </c>
      <c r="C268" t="s">
        <v>357</v>
      </c>
      <c r="D268">
        <v>24</v>
      </c>
      <c r="E268">
        <v>1</v>
      </c>
    </row>
    <row r="269" spans="1:5">
      <c r="A269" t="s">
        <v>1488</v>
      </c>
      <c r="B269">
        <v>107075</v>
      </c>
      <c r="C269" t="s">
        <v>357</v>
      </c>
      <c r="D269">
        <v>36</v>
      </c>
      <c r="E269">
        <v>1</v>
      </c>
    </row>
    <row r="270" spans="1:5">
      <c r="A270" t="s">
        <v>1482</v>
      </c>
      <c r="B270">
        <v>107079</v>
      </c>
      <c r="C270" t="s">
        <v>357</v>
      </c>
      <c r="D270">
        <v>36</v>
      </c>
      <c r="E270">
        <v>1</v>
      </c>
    </row>
    <row r="271" spans="1:5">
      <c r="A271" t="s">
        <v>1415</v>
      </c>
      <c r="B271">
        <v>107096</v>
      </c>
      <c r="C271" t="s">
        <v>357</v>
      </c>
      <c r="D271">
        <v>36</v>
      </c>
      <c r="E271">
        <v>3</v>
      </c>
    </row>
    <row r="272" spans="1:5">
      <c r="A272" t="s">
        <v>1417</v>
      </c>
      <c r="B272">
        <v>107098</v>
      </c>
      <c r="C272" t="s">
        <v>357</v>
      </c>
      <c r="D272">
        <v>36</v>
      </c>
      <c r="E272">
        <v>4</v>
      </c>
    </row>
    <row r="273" spans="1:5">
      <c r="A273" t="s">
        <v>1419</v>
      </c>
      <c r="B273">
        <v>107101</v>
      </c>
      <c r="C273" t="s">
        <v>357</v>
      </c>
      <c r="D273">
        <v>36</v>
      </c>
      <c r="E273">
        <v>3</v>
      </c>
    </row>
    <row r="274" spans="1:5">
      <c r="A274" t="s">
        <v>1421</v>
      </c>
      <c r="B274">
        <v>107103</v>
      </c>
      <c r="C274" t="s">
        <v>357</v>
      </c>
      <c r="D274">
        <v>36</v>
      </c>
      <c r="E274">
        <v>4</v>
      </c>
    </row>
    <row r="275" spans="1:5">
      <c r="A275" t="s">
        <v>1423</v>
      </c>
      <c r="B275">
        <v>107104</v>
      </c>
      <c r="C275" t="s">
        <v>357</v>
      </c>
      <c r="D275">
        <v>72</v>
      </c>
      <c r="E275">
        <v>1</v>
      </c>
    </row>
    <row r="276" spans="1:5">
      <c r="A276" t="s">
        <v>1425</v>
      </c>
      <c r="B276">
        <v>107105</v>
      </c>
      <c r="C276" t="s">
        <v>357</v>
      </c>
      <c r="D276">
        <v>36</v>
      </c>
      <c r="E276">
        <v>1</v>
      </c>
    </row>
    <row r="277" spans="1:5">
      <c r="A277" t="s">
        <v>1558</v>
      </c>
      <c r="B277">
        <v>107106</v>
      </c>
      <c r="C277" t="s">
        <v>357</v>
      </c>
      <c r="D277">
        <v>24</v>
      </c>
      <c r="E277">
        <v>1</v>
      </c>
    </row>
    <row r="278" spans="1:5">
      <c r="A278" t="s">
        <v>1618</v>
      </c>
      <c r="B278">
        <v>108001</v>
      </c>
      <c r="C278" t="s">
        <v>357</v>
      </c>
      <c r="D278">
        <v>36</v>
      </c>
      <c r="E278">
        <v>1</v>
      </c>
    </row>
    <row r="279" spans="1:5">
      <c r="A279" t="s">
        <v>1620</v>
      </c>
      <c r="B279">
        <v>108002</v>
      </c>
      <c r="C279" t="s">
        <v>357</v>
      </c>
      <c r="D279">
        <v>36</v>
      </c>
      <c r="E279">
        <v>1</v>
      </c>
    </row>
    <row r="280" spans="1:5">
      <c r="A280" t="s">
        <v>1622</v>
      </c>
      <c r="B280">
        <v>108003</v>
      </c>
      <c r="C280" t="s">
        <v>357</v>
      </c>
      <c r="D280">
        <v>36</v>
      </c>
      <c r="E280">
        <v>1</v>
      </c>
    </row>
    <row r="281" spans="1:5">
      <c r="A281" t="s">
        <v>1624</v>
      </c>
      <c r="B281">
        <v>108004</v>
      </c>
      <c r="C281" t="s">
        <v>357</v>
      </c>
      <c r="D281">
        <v>36</v>
      </c>
      <c r="E281">
        <v>1</v>
      </c>
    </row>
    <row r="282" spans="1:5">
      <c r="A282" t="s">
        <v>1626</v>
      </c>
      <c r="B282">
        <v>108005</v>
      </c>
      <c r="C282" t="s">
        <v>357</v>
      </c>
      <c r="D282">
        <v>36</v>
      </c>
      <c r="E282">
        <v>1</v>
      </c>
    </row>
    <row r="283" spans="1:5">
      <c r="A283" t="s">
        <v>1628</v>
      </c>
      <c r="B283">
        <v>108006</v>
      </c>
      <c r="C283" t="s">
        <v>357</v>
      </c>
      <c r="D283">
        <v>36</v>
      </c>
      <c r="E283">
        <v>1</v>
      </c>
    </row>
    <row r="284" spans="1:5">
      <c r="A284" t="s">
        <v>1630</v>
      </c>
      <c r="B284">
        <v>108007</v>
      </c>
      <c r="C284" t="s">
        <v>357</v>
      </c>
      <c r="D284">
        <v>36</v>
      </c>
      <c r="E284">
        <v>1</v>
      </c>
    </row>
    <row r="285" spans="1:5">
      <c r="A285" t="s">
        <v>1632</v>
      </c>
      <c r="B285">
        <v>108008</v>
      </c>
      <c r="C285" t="s">
        <v>357</v>
      </c>
      <c r="D285">
        <v>36</v>
      </c>
      <c r="E285">
        <v>1</v>
      </c>
    </row>
    <row r="286" spans="1:5">
      <c r="A286" t="s">
        <v>1634</v>
      </c>
      <c r="B286">
        <v>108009</v>
      </c>
      <c r="C286" t="s">
        <v>357</v>
      </c>
      <c r="D286">
        <v>36</v>
      </c>
      <c r="E286">
        <v>1</v>
      </c>
    </row>
    <row r="287" spans="1:5">
      <c r="A287" t="s">
        <v>1636</v>
      </c>
      <c r="B287">
        <v>108010</v>
      </c>
      <c r="C287" t="s">
        <v>357</v>
      </c>
      <c r="D287">
        <v>36</v>
      </c>
      <c r="E287">
        <v>1</v>
      </c>
    </row>
    <row r="288" spans="1:5">
      <c r="A288" t="s">
        <v>1638</v>
      </c>
      <c r="B288">
        <v>108011</v>
      </c>
      <c r="C288" t="s">
        <v>357</v>
      </c>
      <c r="D288">
        <v>36</v>
      </c>
      <c r="E288">
        <v>1</v>
      </c>
    </row>
    <row r="289" spans="1:5">
      <c r="A289" t="s">
        <v>1640</v>
      </c>
      <c r="B289">
        <v>108012</v>
      </c>
      <c r="C289" t="s">
        <v>357</v>
      </c>
      <c r="D289">
        <v>36</v>
      </c>
      <c r="E289">
        <v>1</v>
      </c>
    </row>
    <row r="290" spans="1:5">
      <c r="A290" t="s">
        <v>1642</v>
      </c>
      <c r="B290">
        <v>108013</v>
      </c>
      <c r="C290" t="s">
        <v>357</v>
      </c>
      <c r="D290">
        <v>36</v>
      </c>
      <c r="E290">
        <v>1</v>
      </c>
    </row>
    <row r="291" spans="1:5">
      <c r="A291" t="s">
        <v>1644</v>
      </c>
      <c r="B291">
        <v>108014</v>
      </c>
      <c r="C291" t="s">
        <v>357</v>
      </c>
      <c r="D291">
        <v>36</v>
      </c>
      <c r="E291">
        <v>1</v>
      </c>
    </row>
    <row r="292" spans="1:5">
      <c r="A292" t="s">
        <v>1646</v>
      </c>
      <c r="B292">
        <v>108015</v>
      </c>
      <c r="C292" t="s">
        <v>357</v>
      </c>
      <c r="D292">
        <v>36</v>
      </c>
      <c r="E292">
        <v>1</v>
      </c>
    </row>
    <row r="293" spans="1:5">
      <c r="A293" t="s">
        <v>1648</v>
      </c>
      <c r="B293">
        <v>108016</v>
      </c>
      <c r="C293" t="s">
        <v>357</v>
      </c>
      <c r="D293">
        <v>36</v>
      </c>
      <c r="E293">
        <v>1</v>
      </c>
    </row>
    <row r="294" spans="1:5">
      <c r="A294" t="s">
        <v>1650</v>
      </c>
      <c r="B294">
        <v>108017</v>
      </c>
      <c r="C294" t="s">
        <v>357</v>
      </c>
      <c r="D294">
        <v>36</v>
      </c>
      <c r="E294">
        <v>1</v>
      </c>
    </row>
    <row r="295" spans="1:5">
      <c r="A295" t="s">
        <v>1652</v>
      </c>
      <c r="B295">
        <v>108018</v>
      </c>
      <c r="C295" t="s">
        <v>357</v>
      </c>
      <c r="D295">
        <v>36</v>
      </c>
      <c r="E295">
        <v>1</v>
      </c>
    </row>
    <row r="296" spans="1:5">
      <c r="A296" t="s">
        <v>1654</v>
      </c>
      <c r="B296">
        <v>108019</v>
      </c>
      <c r="C296" t="s">
        <v>357</v>
      </c>
      <c r="D296">
        <v>36</v>
      </c>
      <c r="E296">
        <v>1</v>
      </c>
    </row>
    <row r="297" spans="1:5">
      <c r="A297" t="s">
        <v>1656</v>
      </c>
      <c r="B297">
        <v>108020</v>
      </c>
      <c r="C297" t="s">
        <v>357</v>
      </c>
      <c r="D297">
        <v>36</v>
      </c>
      <c r="E297">
        <v>1</v>
      </c>
    </row>
    <row r="298" spans="1:5">
      <c r="A298" t="s">
        <v>1658</v>
      </c>
      <c r="B298">
        <v>108021</v>
      </c>
      <c r="C298" t="s">
        <v>357</v>
      </c>
      <c r="D298">
        <v>36</v>
      </c>
      <c r="E298">
        <v>1</v>
      </c>
    </row>
    <row r="299" spans="1:5">
      <c r="A299" t="s">
        <v>1660</v>
      </c>
      <c r="B299">
        <v>108022</v>
      </c>
      <c r="C299" t="s">
        <v>357</v>
      </c>
      <c r="D299">
        <v>36</v>
      </c>
      <c r="E299">
        <v>1</v>
      </c>
    </row>
    <row r="300" spans="1:5">
      <c r="A300" t="s">
        <v>1662</v>
      </c>
      <c r="B300">
        <v>108023</v>
      </c>
      <c r="C300" t="s">
        <v>357</v>
      </c>
      <c r="D300">
        <v>36</v>
      </c>
      <c r="E300">
        <v>1</v>
      </c>
    </row>
    <row r="301" spans="1:5">
      <c r="A301" t="s">
        <v>1664</v>
      </c>
      <c r="B301">
        <v>108024</v>
      </c>
      <c r="C301" t="s">
        <v>357</v>
      </c>
      <c r="D301">
        <v>36</v>
      </c>
      <c r="E301">
        <v>1</v>
      </c>
    </row>
    <row r="302" spans="1:5">
      <c r="A302" t="s">
        <v>1686</v>
      </c>
      <c r="B302">
        <v>109001</v>
      </c>
      <c r="C302" t="s">
        <v>357</v>
      </c>
      <c r="D302">
        <v>36</v>
      </c>
      <c r="E302">
        <v>1</v>
      </c>
    </row>
    <row r="303" spans="1:5">
      <c r="A303" t="s">
        <v>1698</v>
      </c>
      <c r="B303">
        <v>109002</v>
      </c>
      <c r="C303" t="s">
        <v>357</v>
      </c>
      <c r="D303">
        <v>36</v>
      </c>
      <c r="E303">
        <v>1</v>
      </c>
    </row>
    <row r="304" spans="1:5">
      <c r="A304" t="s">
        <v>1700</v>
      </c>
      <c r="B304">
        <v>109003</v>
      </c>
      <c r="C304" t="s">
        <v>357</v>
      </c>
      <c r="D304">
        <v>36</v>
      </c>
      <c r="E304">
        <v>1</v>
      </c>
    </row>
    <row r="305" spans="1:5">
      <c r="A305" t="s">
        <v>1688</v>
      </c>
      <c r="B305">
        <v>109004</v>
      </c>
      <c r="C305" t="s">
        <v>357</v>
      </c>
      <c r="D305">
        <v>36</v>
      </c>
      <c r="E305">
        <v>1</v>
      </c>
    </row>
    <row r="306" spans="1:5">
      <c r="A306" t="s">
        <v>1692</v>
      </c>
      <c r="B306">
        <v>109005</v>
      </c>
      <c r="C306" t="s">
        <v>357</v>
      </c>
      <c r="D306">
        <v>36</v>
      </c>
      <c r="E306">
        <v>1</v>
      </c>
    </row>
    <row r="307" spans="1:5">
      <c r="A307" t="s">
        <v>1694</v>
      </c>
      <c r="B307">
        <v>109006</v>
      </c>
      <c r="C307" t="s">
        <v>357</v>
      </c>
      <c r="D307">
        <v>36</v>
      </c>
      <c r="E307">
        <v>1</v>
      </c>
    </row>
    <row r="308" spans="1:5">
      <c r="A308" t="s">
        <v>1690</v>
      </c>
      <c r="B308">
        <v>109007</v>
      </c>
      <c r="C308" t="s">
        <v>357</v>
      </c>
      <c r="D308">
        <v>36</v>
      </c>
      <c r="E308">
        <v>1</v>
      </c>
    </row>
    <row r="309" spans="1:5">
      <c r="A309" t="s">
        <v>1696</v>
      </c>
      <c r="B309">
        <v>109008</v>
      </c>
      <c r="C309" t="s">
        <v>357</v>
      </c>
      <c r="D309">
        <v>36</v>
      </c>
      <c r="E309">
        <v>1</v>
      </c>
    </row>
    <row r="310" spans="1:5">
      <c r="A310" t="s">
        <v>1666</v>
      </c>
      <c r="B310">
        <v>109009</v>
      </c>
      <c r="C310" t="s">
        <v>357</v>
      </c>
      <c r="D310">
        <v>36</v>
      </c>
      <c r="E310">
        <v>1</v>
      </c>
    </row>
    <row r="311" spans="1:5">
      <c r="A311" t="s">
        <v>1678</v>
      </c>
      <c r="B311">
        <v>109010</v>
      </c>
      <c r="C311" t="s">
        <v>357</v>
      </c>
      <c r="D311">
        <v>36</v>
      </c>
      <c r="E311">
        <v>1</v>
      </c>
    </row>
    <row r="312" spans="1:5">
      <c r="A312" t="s">
        <v>1680</v>
      </c>
      <c r="B312">
        <v>109011</v>
      </c>
      <c r="C312" t="s">
        <v>357</v>
      </c>
      <c r="D312">
        <v>36</v>
      </c>
      <c r="E312">
        <v>1</v>
      </c>
    </row>
    <row r="313" spans="1:5">
      <c r="A313" t="s">
        <v>1668</v>
      </c>
      <c r="B313">
        <v>109012</v>
      </c>
      <c r="C313" t="s">
        <v>357</v>
      </c>
      <c r="D313">
        <v>36</v>
      </c>
      <c r="E313">
        <v>1</v>
      </c>
    </row>
    <row r="314" spans="1:5">
      <c r="A314" t="s">
        <v>1672</v>
      </c>
      <c r="B314">
        <v>109013</v>
      </c>
      <c r="C314" t="s">
        <v>357</v>
      </c>
      <c r="D314">
        <v>36</v>
      </c>
      <c r="E314">
        <v>1</v>
      </c>
    </row>
    <row r="315" spans="1:5">
      <c r="A315" t="s">
        <v>1674</v>
      </c>
      <c r="B315">
        <v>109014</v>
      </c>
      <c r="C315" t="s">
        <v>357</v>
      </c>
      <c r="D315">
        <v>36</v>
      </c>
      <c r="E315">
        <v>1</v>
      </c>
    </row>
    <row r="316" spans="1:5">
      <c r="A316" t="s">
        <v>1670</v>
      </c>
      <c r="B316">
        <v>109015</v>
      </c>
      <c r="C316" t="s">
        <v>357</v>
      </c>
      <c r="D316">
        <v>36</v>
      </c>
      <c r="E316">
        <v>1</v>
      </c>
    </row>
    <row r="317" spans="1:5">
      <c r="A317" t="s">
        <v>1676</v>
      </c>
      <c r="B317">
        <v>109016</v>
      </c>
      <c r="C317" t="s">
        <v>357</v>
      </c>
      <c r="D317">
        <v>36</v>
      </c>
      <c r="E317">
        <v>1</v>
      </c>
    </row>
    <row r="318" spans="1:5">
      <c r="A318" t="s">
        <v>1682</v>
      </c>
      <c r="B318">
        <v>109017</v>
      </c>
      <c r="C318" t="s">
        <v>357</v>
      </c>
      <c r="D318">
        <v>36</v>
      </c>
      <c r="E318">
        <v>1</v>
      </c>
    </row>
    <row r="319" spans="1:5">
      <c r="A319" t="s">
        <v>1684</v>
      </c>
      <c r="B319">
        <v>109018</v>
      </c>
      <c r="C319" t="s">
        <v>357</v>
      </c>
      <c r="D319">
        <v>36</v>
      </c>
      <c r="E319">
        <v>1</v>
      </c>
    </row>
    <row r="320" spans="1:5">
      <c r="A320" t="s">
        <v>1702</v>
      </c>
      <c r="B320">
        <v>109019</v>
      </c>
      <c r="C320" t="s">
        <v>1019</v>
      </c>
      <c r="D320">
        <v>48</v>
      </c>
      <c r="E320">
        <v>1</v>
      </c>
    </row>
    <row r="321" spans="1:5">
      <c r="A321" t="s">
        <v>1704</v>
      </c>
      <c r="B321">
        <v>109020</v>
      </c>
      <c r="C321" t="s">
        <v>1019</v>
      </c>
      <c r="D321">
        <v>48</v>
      </c>
      <c r="E321">
        <v>1</v>
      </c>
    </row>
    <row r="322" spans="1:5">
      <c r="A322" t="s">
        <v>1706</v>
      </c>
      <c r="B322">
        <v>109021</v>
      </c>
      <c r="C322" t="s">
        <v>1019</v>
      </c>
      <c r="D322">
        <v>48</v>
      </c>
      <c r="E322">
        <v>1</v>
      </c>
    </row>
    <row r="323" spans="1:5">
      <c r="A323" t="s">
        <v>1708</v>
      </c>
      <c r="B323">
        <v>109022</v>
      </c>
      <c r="C323" t="s">
        <v>1021</v>
      </c>
      <c r="D323">
        <v>48</v>
      </c>
      <c r="E323">
        <v>1</v>
      </c>
    </row>
    <row r="324" spans="1:5">
      <c r="A324" t="s">
        <v>1714</v>
      </c>
      <c r="B324">
        <v>109023</v>
      </c>
      <c r="C324" t="s">
        <v>1021</v>
      </c>
      <c r="D324">
        <v>48</v>
      </c>
      <c r="E324">
        <v>1</v>
      </c>
    </row>
    <row r="325" spans="1:5">
      <c r="A325" t="s">
        <v>1716</v>
      </c>
      <c r="B325">
        <v>109024</v>
      </c>
      <c r="C325" t="s">
        <v>1021</v>
      </c>
      <c r="D325">
        <v>48</v>
      </c>
      <c r="E325">
        <v>1</v>
      </c>
    </row>
    <row r="326" spans="1:5">
      <c r="A326" t="s">
        <v>2369</v>
      </c>
      <c r="B326">
        <v>109028</v>
      </c>
      <c r="C326" t="s">
        <v>1021</v>
      </c>
      <c r="D326">
        <v>48</v>
      </c>
      <c r="E326">
        <v>1</v>
      </c>
    </row>
    <row r="327" spans="1:5">
      <c r="A327" t="s">
        <v>2370</v>
      </c>
      <c r="B327">
        <v>109029</v>
      </c>
      <c r="C327" t="s">
        <v>1021</v>
      </c>
      <c r="D327">
        <v>48</v>
      </c>
      <c r="E327">
        <v>1</v>
      </c>
    </row>
    <row r="328" spans="1:5">
      <c r="A328" t="s">
        <v>1787</v>
      </c>
      <c r="B328">
        <v>110004</v>
      </c>
      <c r="C328" t="s">
        <v>357</v>
      </c>
      <c r="D328">
        <v>36</v>
      </c>
      <c r="E328">
        <v>1</v>
      </c>
    </row>
    <row r="329" spans="1:5">
      <c r="A329" t="s">
        <v>1785</v>
      </c>
      <c r="B329">
        <v>110005</v>
      </c>
      <c r="C329" t="s">
        <v>357</v>
      </c>
      <c r="D329">
        <v>36</v>
      </c>
      <c r="E329">
        <v>1</v>
      </c>
    </row>
    <row r="330" spans="1:5">
      <c r="A330" t="s">
        <v>1783</v>
      </c>
      <c r="B330">
        <v>110006</v>
      </c>
      <c r="C330" t="s">
        <v>357</v>
      </c>
      <c r="D330">
        <v>36</v>
      </c>
      <c r="E330">
        <v>1</v>
      </c>
    </row>
    <row r="331" spans="1:5">
      <c r="A331" t="s">
        <v>1799</v>
      </c>
      <c r="B331">
        <v>110007</v>
      </c>
      <c r="C331" t="s">
        <v>357</v>
      </c>
      <c r="D331">
        <v>36</v>
      </c>
      <c r="E331">
        <v>1</v>
      </c>
    </row>
    <row r="332" spans="1:5">
      <c r="A332" t="s">
        <v>1797</v>
      </c>
      <c r="B332">
        <v>110008</v>
      </c>
      <c r="C332" t="s">
        <v>357</v>
      </c>
      <c r="D332">
        <v>36</v>
      </c>
      <c r="E332">
        <v>1</v>
      </c>
    </row>
    <row r="333" spans="1:5">
      <c r="A333" t="s">
        <v>1795</v>
      </c>
      <c r="B333">
        <v>110009</v>
      </c>
      <c r="C333" t="s">
        <v>357</v>
      </c>
      <c r="D333">
        <v>36</v>
      </c>
      <c r="E333">
        <v>1</v>
      </c>
    </row>
    <row r="334" spans="1:5">
      <c r="A334" t="s">
        <v>1811</v>
      </c>
      <c r="B334">
        <v>110010</v>
      </c>
      <c r="C334" t="s">
        <v>357</v>
      </c>
      <c r="D334">
        <v>36</v>
      </c>
      <c r="E334">
        <v>1</v>
      </c>
    </row>
    <row r="335" spans="1:5">
      <c r="A335" t="s">
        <v>1809</v>
      </c>
      <c r="B335">
        <v>110011</v>
      </c>
      <c r="C335" t="s">
        <v>357</v>
      </c>
      <c r="D335">
        <v>36</v>
      </c>
      <c r="E335">
        <v>1</v>
      </c>
    </row>
    <row r="336" spans="1:5">
      <c r="A336" t="s">
        <v>1807</v>
      </c>
      <c r="B336">
        <v>110012</v>
      </c>
      <c r="C336" t="s">
        <v>357</v>
      </c>
      <c r="D336">
        <v>36</v>
      </c>
      <c r="E336">
        <v>1</v>
      </c>
    </row>
    <row r="337" spans="1:5">
      <c r="A337" t="s">
        <v>1793</v>
      </c>
      <c r="B337">
        <v>110013</v>
      </c>
      <c r="C337" t="s">
        <v>357</v>
      </c>
      <c r="D337">
        <v>36</v>
      </c>
      <c r="E337">
        <v>1</v>
      </c>
    </row>
    <row r="338" spans="1:5">
      <c r="A338" t="s">
        <v>1791</v>
      </c>
      <c r="B338">
        <v>110014</v>
      </c>
      <c r="C338" t="s">
        <v>357</v>
      </c>
      <c r="D338">
        <v>36</v>
      </c>
      <c r="E338">
        <v>1</v>
      </c>
    </row>
    <row r="339" spans="1:5">
      <c r="A339" t="s">
        <v>1789</v>
      </c>
      <c r="B339">
        <v>110015</v>
      </c>
      <c r="C339" t="s">
        <v>357</v>
      </c>
      <c r="D339">
        <v>36</v>
      </c>
      <c r="E339">
        <v>1</v>
      </c>
    </row>
    <row r="340" spans="1:5">
      <c r="A340" t="s">
        <v>1817</v>
      </c>
      <c r="B340">
        <v>110016</v>
      </c>
      <c r="C340" t="s">
        <v>357</v>
      </c>
      <c r="D340">
        <v>36</v>
      </c>
      <c r="E340">
        <v>1</v>
      </c>
    </row>
    <row r="341" spans="1:5">
      <c r="A341" t="s">
        <v>1815</v>
      </c>
      <c r="B341">
        <v>110017</v>
      </c>
      <c r="C341" t="s">
        <v>357</v>
      </c>
      <c r="D341">
        <v>36</v>
      </c>
      <c r="E341">
        <v>1</v>
      </c>
    </row>
    <row r="342" spans="1:5">
      <c r="A342" t="s">
        <v>1813</v>
      </c>
      <c r="B342">
        <v>110018</v>
      </c>
      <c r="C342" t="s">
        <v>357</v>
      </c>
      <c r="D342">
        <v>36</v>
      </c>
      <c r="E342">
        <v>1</v>
      </c>
    </row>
    <row r="343" spans="1:5">
      <c r="A343" t="s">
        <v>1839</v>
      </c>
      <c r="B343">
        <v>110019</v>
      </c>
      <c r="C343" t="s">
        <v>357</v>
      </c>
      <c r="D343">
        <v>36</v>
      </c>
      <c r="E343">
        <v>1</v>
      </c>
    </row>
    <row r="344" spans="1:5">
      <c r="A344" t="s">
        <v>1841</v>
      </c>
      <c r="B344">
        <v>110020</v>
      </c>
      <c r="C344" t="s">
        <v>357</v>
      </c>
      <c r="D344">
        <v>36</v>
      </c>
      <c r="E344">
        <v>1</v>
      </c>
    </row>
    <row r="345" spans="1:5">
      <c r="A345" t="s">
        <v>1831</v>
      </c>
      <c r="B345">
        <v>110021</v>
      </c>
      <c r="C345" t="s">
        <v>357</v>
      </c>
      <c r="D345">
        <v>36</v>
      </c>
      <c r="E345">
        <v>1</v>
      </c>
    </row>
    <row r="346" spans="1:5">
      <c r="A346" t="s">
        <v>1833</v>
      </c>
      <c r="B346">
        <v>110022</v>
      </c>
      <c r="C346" t="s">
        <v>357</v>
      </c>
      <c r="D346">
        <v>36</v>
      </c>
      <c r="E346">
        <v>1</v>
      </c>
    </row>
    <row r="347" spans="1:5">
      <c r="A347" t="s">
        <v>1835</v>
      </c>
      <c r="B347">
        <v>110023</v>
      </c>
      <c r="C347" t="s">
        <v>357</v>
      </c>
      <c r="D347">
        <v>36</v>
      </c>
      <c r="E347">
        <v>1</v>
      </c>
    </row>
    <row r="348" spans="1:5">
      <c r="A348" t="s">
        <v>1837</v>
      </c>
      <c r="B348">
        <v>110024</v>
      </c>
      <c r="C348" t="s">
        <v>357</v>
      </c>
      <c r="D348">
        <v>36</v>
      </c>
      <c r="E348">
        <v>1</v>
      </c>
    </row>
    <row r="349" spans="1:5">
      <c r="A349" t="s">
        <v>1781</v>
      </c>
      <c r="B349">
        <v>110025</v>
      </c>
      <c r="C349" t="s">
        <v>357</v>
      </c>
      <c r="D349">
        <v>24</v>
      </c>
      <c r="E349">
        <v>1</v>
      </c>
    </row>
    <row r="350" spans="1:5">
      <c r="A350" t="s">
        <v>1777</v>
      </c>
      <c r="B350">
        <v>110026</v>
      </c>
      <c r="C350" t="s">
        <v>357</v>
      </c>
      <c r="D350">
        <v>24</v>
      </c>
      <c r="E350">
        <v>1</v>
      </c>
    </row>
    <row r="351" spans="1:5">
      <c r="A351" t="s">
        <v>1779</v>
      </c>
      <c r="B351">
        <v>110027</v>
      </c>
      <c r="C351" t="s">
        <v>357</v>
      </c>
      <c r="D351">
        <v>24</v>
      </c>
      <c r="E351">
        <v>1</v>
      </c>
    </row>
    <row r="352" spans="1:5">
      <c r="A352" t="s">
        <v>1765</v>
      </c>
      <c r="B352">
        <v>110030</v>
      </c>
      <c r="C352" t="s">
        <v>1022</v>
      </c>
      <c r="D352">
        <v>144</v>
      </c>
      <c r="E352">
        <v>1</v>
      </c>
    </row>
    <row r="353" spans="1:5">
      <c r="A353" t="s">
        <v>1759</v>
      </c>
      <c r="B353">
        <v>110032</v>
      </c>
      <c r="C353" t="s">
        <v>1022</v>
      </c>
      <c r="D353">
        <v>144</v>
      </c>
      <c r="E353">
        <v>1</v>
      </c>
    </row>
    <row r="354" spans="1:5">
      <c r="A354" t="s">
        <v>2410</v>
      </c>
      <c r="B354">
        <v>110034</v>
      </c>
      <c r="C354" t="s">
        <v>1021</v>
      </c>
      <c r="D354">
        <v>24</v>
      </c>
      <c r="E354">
        <v>1</v>
      </c>
    </row>
    <row r="355" spans="1:5">
      <c r="A355" t="s">
        <v>1722</v>
      </c>
      <c r="B355">
        <v>110035</v>
      </c>
      <c r="C355" t="s">
        <v>357</v>
      </c>
      <c r="D355">
        <v>24</v>
      </c>
      <c r="E355">
        <v>1</v>
      </c>
    </row>
    <row r="356" spans="1:5">
      <c r="A356" t="s">
        <v>1819</v>
      </c>
      <c r="B356">
        <v>110036</v>
      </c>
      <c r="C356" t="s">
        <v>1019</v>
      </c>
      <c r="D356">
        <v>24</v>
      </c>
      <c r="E356">
        <v>1</v>
      </c>
    </row>
    <row r="357" spans="1:5">
      <c r="A357" t="s">
        <v>1829</v>
      </c>
      <c r="B357">
        <v>110037</v>
      </c>
      <c r="C357" t="s">
        <v>1019</v>
      </c>
      <c r="D357">
        <v>24</v>
      </c>
      <c r="E357">
        <v>1</v>
      </c>
    </row>
    <row r="358" spans="1:5">
      <c r="A358" t="s">
        <v>1825</v>
      </c>
      <c r="B358">
        <v>110038</v>
      </c>
      <c r="C358" t="s">
        <v>1019</v>
      </c>
      <c r="D358">
        <v>24</v>
      </c>
      <c r="E358">
        <v>1</v>
      </c>
    </row>
    <row r="359" spans="1:5">
      <c r="A359" t="s">
        <v>1821</v>
      </c>
      <c r="B359">
        <v>110039</v>
      </c>
      <c r="C359" t="s">
        <v>1019</v>
      </c>
      <c r="D359">
        <v>24</v>
      </c>
      <c r="E359">
        <v>1</v>
      </c>
    </row>
    <row r="360" spans="1:5">
      <c r="A360" t="s">
        <v>1823</v>
      </c>
      <c r="B360">
        <v>110040</v>
      </c>
      <c r="C360" t="s">
        <v>1019</v>
      </c>
      <c r="D360">
        <v>24</v>
      </c>
      <c r="E360">
        <v>1</v>
      </c>
    </row>
    <row r="361" spans="1:5">
      <c r="A361" t="s">
        <v>1827</v>
      </c>
      <c r="B361">
        <v>110041</v>
      </c>
      <c r="C361" t="s">
        <v>1019</v>
      </c>
      <c r="D361">
        <v>24</v>
      </c>
      <c r="E361">
        <v>1</v>
      </c>
    </row>
    <row r="362" spans="1:5">
      <c r="A362" t="s">
        <v>1743</v>
      </c>
      <c r="B362">
        <v>110042</v>
      </c>
      <c r="C362" t="s">
        <v>1024</v>
      </c>
      <c r="D362">
        <v>48</v>
      </c>
      <c r="E362">
        <v>1</v>
      </c>
    </row>
    <row r="363" spans="1:5">
      <c r="A363" t="s">
        <v>1747</v>
      </c>
      <c r="B363">
        <v>110043</v>
      </c>
      <c r="C363" t="s">
        <v>1024</v>
      </c>
      <c r="D363">
        <v>48</v>
      </c>
      <c r="E363">
        <v>1</v>
      </c>
    </row>
    <row r="364" spans="1:5">
      <c r="A364" t="s">
        <v>1745</v>
      </c>
      <c r="B364">
        <v>110044</v>
      </c>
      <c r="C364" t="s">
        <v>1019</v>
      </c>
      <c r="D364">
        <v>24</v>
      </c>
      <c r="E364">
        <v>1</v>
      </c>
    </row>
    <row r="365" spans="1:5">
      <c r="A365" t="s">
        <v>1749</v>
      </c>
      <c r="B365">
        <v>110045</v>
      </c>
      <c r="C365" t="s">
        <v>1019</v>
      </c>
      <c r="D365">
        <v>24</v>
      </c>
      <c r="E365">
        <v>1</v>
      </c>
    </row>
    <row r="366" spans="1:5">
      <c r="A366" t="s">
        <v>1773</v>
      </c>
      <c r="B366">
        <v>110046</v>
      </c>
      <c r="C366" t="s">
        <v>1023</v>
      </c>
      <c r="D366">
        <v>144</v>
      </c>
      <c r="E366">
        <v>1</v>
      </c>
    </row>
    <row r="367" spans="1:5">
      <c r="A367" t="s">
        <v>1775</v>
      </c>
      <c r="B367">
        <v>110047</v>
      </c>
      <c r="C367" t="s">
        <v>1023</v>
      </c>
      <c r="D367">
        <v>288</v>
      </c>
      <c r="E367">
        <v>1</v>
      </c>
    </row>
    <row r="368" spans="1:5">
      <c r="A368" t="s">
        <v>1739</v>
      </c>
      <c r="B368">
        <v>110048</v>
      </c>
      <c r="C368" t="s">
        <v>357</v>
      </c>
      <c r="D368">
        <v>36</v>
      </c>
      <c r="E368">
        <v>1</v>
      </c>
    </row>
    <row r="369" spans="1:5">
      <c r="A369" t="s">
        <v>1735</v>
      </c>
      <c r="B369">
        <v>110049</v>
      </c>
      <c r="C369" t="s">
        <v>357</v>
      </c>
      <c r="D369">
        <v>36</v>
      </c>
      <c r="E369">
        <v>1</v>
      </c>
    </row>
    <row r="370" spans="1:5">
      <c r="A370" t="s">
        <v>1741</v>
      </c>
      <c r="B370">
        <v>110050</v>
      </c>
      <c r="C370" t="s">
        <v>357</v>
      </c>
      <c r="D370">
        <v>36</v>
      </c>
      <c r="E370">
        <v>1</v>
      </c>
    </row>
    <row r="371" spans="1:5">
      <c r="A371" t="s">
        <v>1737</v>
      </c>
      <c r="B371">
        <v>110051</v>
      </c>
      <c r="C371" t="s">
        <v>357</v>
      </c>
      <c r="D371">
        <v>36</v>
      </c>
      <c r="E371">
        <v>1</v>
      </c>
    </row>
    <row r="372" spans="1:5">
      <c r="A372" t="s">
        <v>1763</v>
      </c>
      <c r="B372">
        <v>110052</v>
      </c>
      <c r="C372" t="s">
        <v>1022</v>
      </c>
      <c r="D372">
        <v>72</v>
      </c>
      <c r="E372">
        <v>1</v>
      </c>
    </row>
    <row r="373" spans="1:5">
      <c r="A373" t="s">
        <v>1761</v>
      </c>
      <c r="B373">
        <v>110053</v>
      </c>
      <c r="C373" t="s">
        <v>1022</v>
      </c>
      <c r="D373">
        <v>72</v>
      </c>
      <c r="E373">
        <v>1</v>
      </c>
    </row>
    <row r="374" spans="1:5">
      <c r="A374" t="s">
        <v>1767</v>
      </c>
      <c r="B374">
        <v>110054</v>
      </c>
      <c r="C374" t="s">
        <v>1022</v>
      </c>
      <c r="D374">
        <v>144</v>
      </c>
      <c r="E374">
        <v>1</v>
      </c>
    </row>
    <row r="375" spans="1:5">
      <c r="A375" t="s">
        <v>1771</v>
      </c>
      <c r="B375">
        <v>110055</v>
      </c>
      <c r="C375" t="s">
        <v>1022</v>
      </c>
      <c r="D375">
        <v>144</v>
      </c>
      <c r="E375">
        <v>1</v>
      </c>
    </row>
    <row r="376" spans="1:5">
      <c r="A376" t="s">
        <v>1769</v>
      </c>
      <c r="B376">
        <v>110056</v>
      </c>
      <c r="C376" t="s">
        <v>1022</v>
      </c>
      <c r="D376">
        <v>144</v>
      </c>
      <c r="E376">
        <v>1</v>
      </c>
    </row>
    <row r="377" spans="1:5">
      <c r="A377" t="s">
        <v>1724</v>
      </c>
      <c r="B377">
        <v>110060</v>
      </c>
      <c r="C377" t="s">
        <v>1022</v>
      </c>
      <c r="D377">
        <v>144</v>
      </c>
      <c r="E377">
        <v>1</v>
      </c>
    </row>
    <row r="378" spans="1:5">
      <c r="A378" t="s">
        <v>1732</v>
      </c>
      <c r="B378">
        <v>110061</v>
      </c>
      <c r="C378" t="s">
        <v>1022</v>
      </c>
      <c r="D378">
        <v>144</v>
      </c>
      <c r="E378">
        <v>1</v>
      </c>
    </row>
    <row r="379" spans="1:5">
      <c r="A379" t="s">
        <v>2408</v>
      </c>
      <c r="B379">
        <v>110062</v>
      </c>
      <c r="C379" t="s">
        <v>1021</v>
      </c>
      <c r="D379">
        <v>24</v>
      </c>
      <c r="E379">
        <v>1</v>
      </c>
    </row>
    <row r="380" spans="1:5">
      <c r="A380" t="s">
        <v>1732</v>
      </c>
      <c r="B380">
        <v>110063</v>
      </c>
      <c r="C380" t="s">
        <v>1022</v>
      </c>
      <c r="D380">
        <v>144</v>
      </c>
      <c r="E380">
        <v>2</v>
      </c>
    </row>
    <row r="381" spans="1:5">
      <c r="A381" t="s">
        <v>1847</v>
      </c>
      <c r="B381">
        <v>111001</v>
      </c>
      <c r="C381" t="s">
        <v>357</v>
      </c>
      <c r="D381">
        <v>72</v>
      </c>
      <c r="E381">
        <v>1</v>
      </c>
    </row>
    <row r="382" spans="1:5">
      <c r="A382" t="s">
        <v>1849</v>
      </c>
      <c r="B382">
        <v>111002</v>
      </c>
      <c r="C382" t="s">
        <v>357</v>
      </c>
      <c r="D382">
        <v>36</v>
      </c>
      <c r="E382">
        <v>1</v>
      </c>
    </row>
    <row r="383" spans="1:5">
      <c r="A383" t="s">
        <v>1851</v>
      </c>
      <c r="B383">
        <v>111003</v>
      </c>
      <c r="C383" t="s">
        <v>357</v>
      </c>
      <c r="D383">
        <v>36</v>
      </c>
      <c r="E383">
        <v>1</v>
      </c>
    </row>
    <row r="384" spans="1:5">
      <c r="A384" t="s">
        <v>1853</v>
      </c>
      <c r="B384">
        <v>111004</v>
      </c>
      <c r="C384" t="s">
        <v>357</v>
      </c>
      <c r="D384">
        <v>72</v>
      </c>
      <c r="E384">
        <v>1</v>
      </c>
    </row>
    <row r="385" spans="1:5">
      <c r="A385" t="s">
        <v>1855</v>
      </c>
      <c r="B385">
        <v>111005</v>
      </c>
      <c r="C385" t="s">
        <v>357</v>
      </c>
      <c r="D385">
        <v>36</v>
      </c>
      <c r="E385">
        <v>1</v>
      </c>
    </row>
    <row r="386" spans="1:5">
      <c r="A386" t="s">
        <v>1857</v>
      </c>
      <c r="B386">
        <v>111006</v>
      </c>
      <c r="C386" t="s">
        <v>357</v>
      </c>
      <c r="D386">
        <v>36</v>
      </c>
      <c r="E386">
        <v>1</v>
      </c>
    </row>
    <row r="387" spans="1:5">
      <c r="A387" t="s">
        <v>1845</v>
      </c>
      <c r="B387">
        <v>111008</v>
      </c>
      <c r="C387" t="s">
        <v>357</v>
      </c>
      <c r="D387">
        <v>36</v>
      </c>
      <c r="E387">
        <v>1</v>
      </c>
    </row>
    <row r="388" spans="1:5">
      <c r="A388" t="s">
        <v>1891</v>
      </c>
      <c r="B388">
        <v>111009</v>
      </c>
      <c r="C388" t="s">
        <v>357</v>
      </c>
      <c r="D388">
        <v>72</v>
      </c>
      <c r="E388">
        <v>1</v>
      </c>
    </row>
    <row r="389" spans="1:5">
      <c r="A389" t="s">
        <v>1893</v>
      </c>
      <c r="B389">
        <v>111010</v>
      </c>
      <c r="C389" t="s">
        <v>357</v>
      </c>
      <c r="D389">
        <v>36</v>
      </c>
      <c r="E389">
        <v>1</v>
      </c>
    </row>
    <row r="390" spans="1:5">
      <c r="A390" t="s">
        <v>1895</v>
      </c>
      <c r="B390">
        <v>111011</v>
      </c>
      <c r="C390" t="s">
        <v>357</v>
      </c>
      <c r="D390">
        <v>36</v>
      </c>
      <c r="E390">
        <v>1</v>
      </c>
    </row>
    <row r="391" spans="1:5">
      <c r="A391" t="s">
        <v>1859</v>
      </c>
      <c r="B391">
        <v>111012</v>
      </c>
      <c r="C391" t="s">
        <v>357</v>
      </c>
      <c r="D391">
        <v>72</v>
      </c>
      <c r="E391">
        <v>1</v>
      </c>
    </row>
    <row r="392" spans="1:5">
      <c r="A392" t="s">
        <v>1861</v>
      </c>
      <c r="B392">
        <v>111013</v>
      </c>
      <c r="C392" t="s">
        <v>357</v>
      </c>
      <c r="D392">
        <v>36</v>
      </c>
      <c r="E392">
        <v>1</v>
      </c>
    </row>
    <row r="393" spans="1:5">
      <c r="A393" t="s">
        <v>1863</v>
      </c>
      <c r="B393">
        <v>111014</v>
      </c>
      <c r="C393" t="s">
        <v>357</v>
      </c>
      <c r="D393">
        <v>36</v>
      </c>
      <c r="E393">
        <v>1</v>
      </c>
    </row>
    <row r="394" spans="1:5">
      <c r="A394" t="s">
        <v>1865</v>
      </c>
      <c r="B394">
        <v>111015</v>
      </c>
      <c r="C394" t="s">
        <v>357</v>
      </c>
      <c r="D394">
        <v>36</v>
      </c>
      <c r="E394">
        <v>1</v>
      </c>
    </row>
    <row r="395" spans="1:5">
      <c r="A395" t="s">
        <v>1867</v>
      </c>
      <c r="B395">
        <v>111016</v>
      </c>
      <c r="C395" t="s">
        <v>357</v>
      </c>
      <c r="D395">
        <v>36</v>
      </c>
      <c r="E395">
        <v>1</v>
      </c>
    </row>
    <row r="396" spans="1:5">
      <c r="A396" t="s">
        <v>1869</v>
      </c>
      <c r="B396">
        <v>111017</v>
      </c>
      <c r="C396" t="s">
        <v>357</v>
      </c>
      <c r="D396">
        <v>72</v>
      </c>
      <c r="E396">
        <v>1</v>
      </c>
    </row>
    <row r="397" spans="1:5">
      <c r="A397" t="s">
        <v>1871</v>
      </c>
      <c r="B397">
        <v>111018</v>
      </c>
      <c r="C397" t="s">
        <v>357</v>
      </c>
      <c r="D397">
        <v>36</v>
      </c>
      <c r="E397">
        <v>1</v>
      </c>
    </row>
    <row r="398" spans="1:5">
      <c r="A398" t="s">
        <v>1873</v>
      </c>
      <c r="B398">
        <v>111019</v>
      </c>
      <c r="C398" t="s">
        <v>357</v>
      </c>
      <c r="D398">
        <v>36</v>
      </c>
      <c r="E398">
        <v>1</v>
      </c>
    </row>
    <row r="399" spans="1:5">
      <c r="A399" t="s">
        <v>1875</v>
      </c>
      <c r="B399">
        <v>111020</v>
      </c>
      <c r="C399" t="s">
        <v>357</v>
      </c>
      <c r="D399">
        <v>36</v>
      </c>
      <c r="E399">
        <v>1</v>
      </c>
    </row>
    <row r="400" spans="1:5">
      <c r="A400" t="s">
        <v>1877</v>
      </c>
      <c r="B400">
        <v>111021</v>
      </c>
      <c r="C400" t="s">
        <v>357</v>
      </c>
      <c r="D400">
        <v>36</v>
      </c>
      <c r="E400">
        <v>1</v>
      </c>
    </row>
    <row r="401" spans="1:5">
      <c r="A401" t="s">
        <v>1885</v>
      </c>
      <c r="B401">
        <v>111023</v>
      </c>
      <c r="C401" t="s">
        <v>357</v>
      </c>
      <c r="D401">
        <v>72</v>
      </c>
      <c r="E401">
        <v>1</v>
      </c>
    </row>
    <row r="402" spans="1:5">
      <c r="A402" t="s">
        <v>1887</v>
      </c>
      <c r="B402">
        <v>111024</v>
      </c>
      <c r="C402" t="s">
        <v>357</v>
      </c>
      <c r="D402">
        <v>36</v>
      </c>
      <c r="E402">
        <v>1</v>
      </c>
    </row>
    <row r="403" spans="1:5">
      <c r="A403" t="s">
        <v>1889</v>
      </c>
      <c r="B403">
        <v>111025</v>
      </c>
      <c r="C403" t="s">
        <v>357</v>
      </c>
      <c r="D403">
        <v>36</v>
      </c>
      <c r="E403">
        <v>1</v>
      </c>
    </row>
    <row r="404" spans="1:5">
      <c r="A404" t="s">
        <v>1879</v>
      </c>
      <c r="B404">
        <v>111027</v>
      </c>
      <c r="C404" t="s">
        <v>357</v>
      </c>
      <c r="D404">
        <v>72</v>
      </c>
      <c r="E404">
        <v>1</v>
      </c>
    </row>
    <row r="405" spans="1:5">
      <c r="A405" t="s">
        <v>1881</v>
      </c>
      <c r="B405">
        <v>111028</v>
      </c>
      <c r="C405" t="s">
        <v>357</v>
      </c>
      <c r="D405">
        <v>36</v>
      </c>
      <c r="E405">
        <v>1</v>
      </c>
    </row>
    <row r="406" spans="1:5">
      <c r="A406" t="s">
        <v>1883</v>
      </c>
      <c r="B406">
        <v>111029</v>
      </c>
      <c r="C406" t="s">
        <v>357</v>
      </c>
      <c r="D406">
        <v>36</v>
      </c>
      <c r="E406">
        <v>1</v>
      </c>
    </row>
    <row r="407" spans="1:5">
      <c r="A407" t="s">
        <v>1897</v>
      </c>
      <c r="B407">
        <v>111030</v>
      </c>
      <c r="C407" t="s">
        <v>357</v>
      </c>
      <c r="D407">
        <v>72</v>
      </c>
      <c r="E407">
        <v>1</v>
      </c>
    </row>
    <row r="408" spans="1:5">
      <c r="A408" t="s">
        <v>1899</v>
      </c>
      <c r="B408">
        <v>111031</v>
      </c>
      <c r="C408" t="s">
        <v>357</v>
      </c>
      <c r="D408">
        <v>36</v>
      </c>
      <c r="E408">
        <v>1</v>
      </c>
    </row>
    <row r="409" spans="1:5">
      <c r="A409" t="s">
        <v>1901</v>
      </c>
      <c r="B409">
        <v>111033</v>
      </c>
      <c r="C409" t="s">
        <v>357</v>
      </c>
      <c r="D409">
        <v>36</v>
      </c>
      <c r="E409">
        <v>1</v>
      </c>
    </row>
    <row r="410" spans="1:5">
      <c r="A410" t="s">
        <v>1903</v>
      </c>
      <c r="B410">
        <v>111034</v>
      </c>
      <c r="C410" t="s">
        <v>357</v>
      </c>
      <c r="D410">
        <v>72</v>
      </c>
      <c r="E410">
        <v>1</v>
      </c>
    </row>
    <row r="411" spans="1:5">
      <c r="A411" t="s">
        <v>1905</v>
      </c>
      <c r="B411">
        <v>111035</v>
      </c>
      <c r="C411" t="s">
        <v>357</v>
      </c>
      <c r="D411">
        <v>36</v>
      </c>
      <c r="E411">
        <v>1</v>
      </c>
    </row>
    <row r="412" spans="1:5">
      <c r="A412" t="s">
        <v>1907</v>
      </c>
      <c r="B412">
        <v>111036</v>
      </c>
      <c r="C412" t="s">
        <v>357</v>
      </c>
      <c r="D412">
        <v>72</v>
      </c>
      <c r="E412">
        <v>1</v>
      </c>
    </row>
    <row r="413" spans="1:5">
      <c r="A413" t="s">
        <v>1909</v>
      </c>
      <c r="B413">
        <v>111037</v>
      </c>
      <c r="C413" t="s">
        <v>357</v>
      </c>
      <c r="D413">
        <v>36</v>
      </c>
      <c r="E413">
        <v>1</v>
      </c>
    </row>
    <row r="414" spans="1:5">
      <c r="A414" t="s">
        <v>1911</v>
      </c>
      <c r="B414">
        <v>111039</v>
      </c>
      <c r="C414" t="s">
        <v>357</v>
      </c>
      <c r="D414">
        <v>36</v>
      </c>
      <c r="E414">
        <v>1</v>
      </c>
    </row>
    <row r="415" spans="1:5">
      <c r="A415" t="s">
        <v>1913</v>
      </c>
      <c r="B415">
        <v>111040</v>
      </c>
      <c r="C415" t="s">
        <v>357</v>
      </c>
      <c r="D415">
        <v>72</v>
      </c>
      <c r="E415">
        <v>1</v>
      </c>
    </row>
    <row r="416" spans="1:5">
      <c r="A416" t="s">
        <v>1915</v>
      </c>
      <c r="B416">
        <v>111041</v>
      </c>
      <c r="C416" t="s">
        <v>357</v>
      </c>
      <c r="D416">
        <v>36</v>
      </c>
      <c r="E416">
        <v>1</v>
      </c>
    </row>
    <row r="417" spans="1:5">
      <c r="A417" t="s">
        <v>1923</v>
      </c>
      <c r="B417">
        <v>113001</v>
      </c>
      <c r="C417" t="s">
        <v>1022</v>
      </c>
      <c r="D417">
        <v>72</v>
      </c>
      <c r="E417">
        <v>1</v>
      </c>
    </row>
    <row r="418" spans="1:5">
      <c r="A418" t="s">
        <v>1919</v>
      </c>
      <c r="B418">
        <v>113002</v>
      </c>
      <c r="C418" t="s">
        <v>1022</v>
      </c>
      <c r="D418">
        <v>72</v>
      </c>
      <c r="E418">
        <v>1</v>
      </c>
    </row>
    <row r="419" spans="1:5">
      <c r="A419" t="s">
        <v>1917</v>
      </c>
      <c r="B419">
        <v>113003</v>
      </c>
      <c r="C419" t="s">
        <v>1022</v>
      </c>
      <c r="D419">
        <v>72</v>
      </c>
      <c r="E419">
        <v>1</v>
      </c>
    </row>
    <row r="420" spans="1:5">
      <c r="A420" t="s">
        <v>1921</v>
      </c>
      <c r="B420">
        <v>113004</v>
      </c>
      <c r="C420" t="s">
        <v>1022</v>
      </c>
      <c r="D420">
        <v>72</v>
      </c>
      <c r="E420">
        <v>1</v>
      </c>
    </row>
    <row r="421" spans="1:5">
      <c r="A421" t="s">
        <v>1925</v>
      </c>
      <c r="B421">
        <v>113005</v>
      </c>
      <c r="C421" t="s">
        <v>1023</v>
      </c>
      <c r="D421">
        <v>72</v>
      </c>
      <c r="E421">
        <v>1</v>
      </c>
    </row>
    <row r="422" spans="1:5">
      <c r="A422" t="s">
        <v>1933</v>
      </c>
      <c r="B422">
        <v>113006</v>
      </c>
      <c r="C422" t="s">
        <v>1023</v>
      </c>
      <c r="D422">
        <v>72</v>
      </c>
      <c r="E422">
        <v>1</v>
      </c>
    </row>
    <row r="423" spans="1:5">
      <c r="A423" t="s">
        <v>1943</v>
      </c>
      <c r="B423">
        <v>113007</v>
      </c>
      <c r="C423" t="s">
        <v>1023</v>
      </c>
      <c r="D423">
        <v>72</v>
      </c>
      <c r="E423">
        <v>1</v>
      </c>
    </row>
    <row r="424" spans="1:5">
      <c r="A424" t="s">
        <v>1941</v>
      </c>
      <c r="B424">
        <v>113008</v>
      </c>
      <c r="C424" t="s">
        <v>1023</v>
      </c>
      <c r="D424">
        <v>72</v>
      </c>
      <c r="E424">
        <v>1</v>
      </c>
    </row>
    <row r="425" spans="1:5">
      <c r="A425" t="s">
        <v>1927</v>
      </c>
      <c r="B425">
        <v>113009</v>
      </c>
      <c r="C425" t="s">
        <v>1023</v>
      </c>
      <c r="D425">
        <v>72</v>
      </c>
      <c r="E425">
        <v>1</v>
      </c>
    </row>
    <row r="426" spans="1:5">
      <c r="A426" t="s">
        <v>1955</v>
      </c>
      <c r="B426">
        <v>113010</v>
      </c>
      <c r="C426" t="s">
        <v>1023</v>
      </c>
      <c r="D426">
        <v>72</v>
      </c>
      <c r="E426">
        <v>1</v>
      </c>
    </row>
    <row r="427" spans="1:5">
      <c r="A427" t="s">
        <v>1937</v>
      </c>
      <c r="B427">
        <v>113011</v>
      </c>
      <c r="C427" t="s">
        <v>1023</v>
      </c>
      <c r="D427">
        <v>72</v>
      </c>
      <c r="E427">
        <v>1</v>
      </c>
    </row>
    <row r="428" spans="1:5">
      <c r="A428" t="s">
        <v>1957</v>
      </c>
      <c r="B428">
        <v>113012</v>
      </c>
      <c r="C428" t="s">
        <v>1023</v>
      </c>
      <c r="D428">
        <v>72</v>
      </c>
      <c r="E428">
        <v>1</v>
      </c>
    </row>
    <row r="429" spans="1:5">
      <c r="A429" t="s">
        <v>1953</v>
      </c>
      <c r="B429">
        <v>113013</v>
      </c>
      <c r="C429" t="s">
        <v>1023</v>
      </c>
      <c r="D429">
        <v>72</v>
      </c>
      <c r="E429">
        <v>1</v>
      </c>
    </row>
    <row r="430" spans="1:5">
      <c r="A430" t="s">
        <v>1931</v>
      </c>
      <c r="B430">
        <v>113014</v>
      </c>
      <c r="C430" t="s">
        <v>1023</v>
      </c>
      <c r="D430">
        <v>72</v>
      </c>
      <c r="E430">
        <v>1</v>
      </c>
    </row>
    <row r="431" spans="1:5">
      <c r="A431" t="s">
        <v>1929</v>
      </c>
      <c r="B431">
        <v>113016</v>
      </c>
      <c r="C431" t="s">
        <v>1023</v>
      </c>
      <c r="D431">
        <v>72</v>
      </c>
      <c r="E431">
        <v>1</v>
      </c>
    </row>
    <row r="432" spans="1:5">
      <c r="A432" t="s">
        <v>1935</v>
      </c>
      <c r="B432">
        <v>113018</v>
      </c>
      <c r="C432" t="s">
        <v>1023</v>
      </c>
      <c r="D432">
        <v>72</v>
      </c>
      <c r="E432">
        <v>1</v>
      </c>
    </row>
    <row r="433" spans="1:5">
      <c r="A433" t="s">
        <v>1939</v>
      </c>
      <c r="B433">
        <v>113019</v>
      </c>
      <c r="C433" t="s">
        <v>1023</v>
      </c>
      <c r="D433">
        <v>72</v>
      </c>
      <c r="E433">
        <v>1</v>
      </c>
    </row>
    <row r="434" spans="1:5">
      <c r="A434" t="s">
        <v>1945</v>
      </c>
      <c r="B434">
        <v>113020</v>
      </c>
      <c r="C434" t="s">
        <v>1023</v>
      </c>
      <c r="D434">
        <v>72</v>
      </c>
      <c r="E434">
        <v>1</v>
      </c>
    </row>
    <row r="435" spans="1:5">
      <c r="A435" t="s">
        <v>1947</v>
      </c>
      <c r="B435">
        <v>113022</v>
      </c>
      <c r="C435" t="s">
        <v>1023</v>
      </c>
      <c r="D435">
        <v>72</v>
      </c>
      <c r="E435">
        <v>1</v>
      </c>
    </row>
    <row r="436" spans="1:5">
      <c r="A436" t="s">
        <v>1949</v>
      </c>
      <c r="B436">
        <v>113024</v>
      </c>
      <c r="C436" t="s">
        <v>1023</v>
      </c>
      <c r="D436">
        <v>72</v>
      </c>
      <c r="E436">
        <v>1</v>
      </c>
    </row>
    <row r="437" spans="1:5">
      <c r="A437" t="s">
        <v>1951</v>
      </c>
      <c r="B437">
        <v>113025</v>
      </c>
      <c r="C437" t="s">
        <v>1023</v>
      </c>
      <c r="D437">
        <v>72</v>
      </c>
      <c r="E437">
        <v>1</v>
      </c>
    </row>
    <row r="438" spans="1:5">
      <c r="A438" t="s">
        <v>1986</v>
      </c>
      <c r="B438">
        <v>114003</v>
      </c>
      <c r="C438" t="s">
        <v>357</v>
      </c>
      <c r="D438">
        <v>36</v>
      </c>
      <c r="E438">
        <v>1</v>
      </c>
    </row>
    <row r="439" spans="1:5">
      <c r="A439" t="s">
        <v>1988</v>
      </c>
      <c r="B439">
        <v>114005</v>
      </c>
      <c r="C439" t="s">
        <v>357</v>
      </c>
      <c r="D439">
        <v>36</v>
      </c>
      <c r="E439">
        <v>1</v>
      </c>
    </row>
    <row r="440" spans="1:5">
      <c r="A440" t="s">
        <v>1990</v>
      </c>
      <c r="B440">
        <v>114006</v>
      </c>
      <c r="C440" t="s">
        <v>357</v>
      </c>
      <c r="D440">
        <v>36</v>
      </c>
      <c r="E440">
        <v>1</v>
      </c>
    </row>
    <row r="441" spans="1:5">
      <c r="A441" t="s">
        <v>1992</v>
      </c>
      <c r="B441">
        <v>114007</v>
      </c>
      <c r="C441" t="s">
        <v>357</v>
      </c>
      <c r="D441">
        <v>36</v>
      </c>
      <c r="E441">
        <v>1</v>
      </c>
    </row>
    <row r="442" spans="1:5">
      <c r="A442" t="s">
        <v>1965</v>
      </c>
      <c r="B442">
        <v>114008</v>
      </c>
      <c r="C442" t="s">
        <v>357</v>
      </c>
      <c r="D442">
        <v>36</v>
      </c>
      <c r="E442">
        <v>1</v>
      </c>
    </row>
    <row r="443" spans="1:5">
      <c r="A443" t="s">
        <v>1967</v>
      </c>
      <c r="B443">
        <v>114009</v>
      </c>
      <c r="C443" t="s">
        <v>357</v>
      </c>
      <c r="D443">
        <v>36</v>
      </c>
      <c r="E443">
        <v>1</v>
      </c>
    </row>
    <row r="444" spans="1:5">
      <c r="A444" t="s">
        <v>1969</v>
      </c>
      <c r="B444">
        <v>114010</v>
      </c>
      <c r="C444" t="s">
        <v>357</v>
      </c>
      <c r="D444">
        <v>36</v>
      </c>
      <c r="E444">
        <v>1</v>
      </c>
    </row>
    <row r="445" spans="1:5">
      <c r="A445" t="s">
        <v>1971</v>
      </c>
      <c r="B445">
        <v>114011</v>
      </c>
      <c r="C445" t="s">
        <v>357</v>
      </c>
      <c r="D445">
        <v>36</v>
      </c>
      <c r="E445">
        <v>1</v>
      </c>
    </row>
    <row r="446" spans="1:5">
      <c r="A446" t="s">
        <v>1959</v>
      </c>
      <c r="B446">
        <v>114012</v>
      </c>
      <c r="C446" t="s">
        <v>1019</v>
      </c>
      <c r="D446">
        <v>24</v>
      </c>
      <c r="E446">
        <v>1</v>
      </c>
    </row>
    <row r="447" spans="1:5">
      <c r="A447" t="s">
        <v>1961</v>
      </c>
      <c r="B447">
        <v>114013</v>
      </c>
      <c r="C447" t="s">
        <v>1019</v>
      </c>
      <c r="D447">
        <v>24</v>
      </c>
      <c r="E447">
        <v>1</v>
      </c>
    </row>
    <row r="448" spans="1:5">
      <c r="A448" t="s">
        <v>1963</v>
      </c>
      <c r="B448">
        <v>114014</v>
      </c>
      <c r="C448" t="s">
        <v>1019</v>
      </c>
      <c r="D448">
        <v>24</v>
      </c>
      <c r="E448">
        <v>1</v>
      </c>
    </row>
    <row r="449" spans="1:5">
      <c r="A449" t="s">
        <v>1980</v>
      </c>
      <c r="B449">
        <v>114015</v>
      </c>
      <c r="C449" t="s">
        <v>357</v>
      </c>
      <c r="D449">
        <v>36</v>
      </c>
      <c r="E449">
        <v>1</v>
      </c>
    </row>
    <row r="450" spans="1:5">
      <c r="A450" t="s">
        <v>1982</v>
      </c>
      <c r="B450">
        <v>114016</v>
      </c>
      <c r="C450" t="s">
        <v>357</v>
      </c>
      <c r="D450">
        <v>36</v>
      </c>
      <c r="E450">
        <v>1</v>
      </c>
    </row>
    <row r="451" spans="1:5">
      <c r="A451" t="s">
        <v>1984</v>
      </c>
      <c r="B451">
        <v>114017</v>
      </c>
      <c r="C451" t="s">
        <v>357</v>
      </c>
      <c r="D451">
        <v>36</v>
      </c>
      <c r="E451">
        <v>1</v>
      </c>
    </row>
    <row r="452" spans="1:5">
      <c r="A452" t="s">
        <v>2449</v>
      </c>
      <c r="B452">
        <v>114018</v>
      </c>
      <c r="C452" t="s">
        <v>357</v>
      </c>
      <c r="D452">
        <v>12</v>
      </c>
      <c r="E452">
        <v>1</v>
      </c>
    </row>
    <row r="453" spans="1:5">
      <c r="A453" t="s">
        <v>2450</v>
      </c>
      <c r="B453">
        <v>114019</v>
      </c>
      <c r="C453" t="s">
        <v>357</v>
      </c>
      <c r="D453">
        <v>12</v>
      </c>
      <c r="E453">
        <v>1</v>
      </c>
    </row>
    <row r="454" spans="1:5">
      <c r="A454" t="s">
        <v>2451</v>
      </c>
      <c r="B454">
        <v>114020</v>
      </c>
      <c r="C454" t="s">
        <v>357</v>
      </c>
      <c r="D454">
        <v>12</v>
      </c>
      <c r="E454">
        <v>1</v>
      </c>
    </row>
    <row r="455" spans="1:5">
      <c r="A455" t="s">
        <v>1973</v>
      </c>
      <c r="B455">
        <v>114021</v>
      </c>
      <c r="C455" t="s">
        <v>357</v>
      </c>
      <c r="D455">
        <v>36</v>
      </c>
      <c r="E455">
        <v>1</v>
      </c>
    </row>
    <row r="456" spans="1:5">
      <c r="A456" t="s">
        <v>1976</v>
      </c>
      <c r="B456">
        <v>114022</v>
      </c>
      <c r="C456" t="s">
        <v>357</v>
      </c>
      <c r="D456">
        <v>36</v>
      </c>
      <c r="E456">
        <v>1</v>
      </c>
    </row>
    <row r="457" spans="1:5">
      <c r="A457" t="s">
        <v>1996</v>
      </c>
      <c r="B457">
        <v>114023</v>
      </c>
      <c r="C457" t="s">
        <v>357</v>
      </c>
      <c r="D457">
        <v>36</v>
      </c>
      <c r="E457">
        <v>1</v>
      </c>
    </row>
    <row r="458" spans="1:5">
      <c r="A458" t="s">
        <v>1994</v>
      </c>
      <c r="B458">
        <v>114024</v>
      </c>
      <c r="C458" t="s">
        <v>357</v>
      </c>
      <c r="D458">
        <v>36</v>
      </c>
      <c r="E458">
        <v>1</v>
      </c>
    </row>
    <row r="459" spans="1:5">
      <c r="A459" t="s">
        <v>2033</v>
      </c>
      <c r="B459">
        <v>115001</v>
      </c>
      <c r="C459" t="s">
        <v>1019</v>
      </c>
      <c r="D459">
        <v>24</v>
      </c>
      <c r="E459">
        <v>1</v>
      </c>
    </row>
    <row r="460" spans="1:5">
      <c r="A460" t="s">
        <v>2031</v>
      </c>
      <c r="B460">
        <v>115002</v>
      </c>
      <c r="C460" t="s">
        <v>1024</v>
      </c>
      <c r="D460">
        <v>72</v>
      </c>
      <c r="E460">
        <v>1</v>
      </c>
    </row>
    <row r="461" spans="1:5">
      <c r="A461" t="s">
        <v>2027</v>
      </c>
      <c r="B461">
        <v>115003</v>
      </c>
      <c r="C461" t="s">
        <v>1019</v>
      </c>
      <c r="D461">
        <v>24</v>
      </c>
      <c r="E461">
        <v>1</v>
      </c>
    </row>
    <row r="462" spans="1:5">
      <c r="A462" t="s">
        <v>2026</v>
      </c>
      <c r="B462">
        <v>115004</v>
      </c>
      <c r="C462" t="s">
        <v>1024</v>
      </c>
      <c r="D462">
        <v>72</v>
      </c>
      <c r="E462">
        <v>1</v>
      </c>
    </row>
    <row r="463" spans="1:5">
      <c r="A463" t="s">
        <v>2037</v>
      </c>
      <c r="B463">
        <v>115005</v>
      </c>
      <c r="C463" t="s">
        <v>1019</v>
      </c>
      <c r="D463">
        <v>24</v>
      </c>
      <c r="E463">
        <v>1</v>
      </c>
    </row>
    <row r="464" spans="1:5">
      <c r="A464" t="s">
        <v>2036</v>
      </c>
      <c r="B464">
        <v>115006</v>
      </c>
      <c r="C464" t="s">
        <v>1024</v>
      </c>
      <c r="D464">
        <v>72</v>
      </c>
      <c r="E464">
        <v>1</v>
      </c>
    </row>
    <row r="465" spans="1:5">
      <c r="A465" t="s">
        <v>2435</v>
      </c>
      <c r="B465">
        <v>115007</v>
      </c>
      <c r="C465" t="s">
        <v>2433</v>
      </c>
      <c r="D465">
        <v>12</v>
      </c>
      <c r="E465">
        <v>1</v>
      </c>
    </row>
    <row r="466" spans="1:5">
      <c r="A466" t="s">
        <v>2035</v>
      </c>
      <c r="B466">
        <v>115023</v>
      </c>
      <c r="C466" t="s">
        <v>1020</v>
      </c>
      <c r="D466">
        <v>48</v>
      </c>
      <c r="E466">
        <v>1</v>
      </c>
    </row>
    <row r="467" spans="1:5">
      <c r="A467" t="s">
        <v>2039</v>
      </c>
      <c r="B467">
        <v>115024</v>
      </c>
      <c r="C467" t="s">
        <v>1020</v>
      </c>
      <c r="D467">
        <v>48</v>
      </c>
      <c r="E467">
        <v>1</v>
      </c>
    </row>
    <row r="468" spans="1:5">
      <c r="A468" t="s">
        <v>2044</v>
      </c>
      <c r="B468">
        <v>115026</v>
      </c>
      <c r="C468" t="s">
        <v>1021</v>
      </c>
      <c r="D468">
        <v>36</v>
      </c>
      <c r="E468">
        <v>1</v>
      </c>
    </row>
    <row r="469" spans="1:5">
      <c r="A469" t="s">
        <v>2056</v>
      </c>
      <c r="B469">
        <v>115027</v>
      </c>
      <c r="C469" t="s">
        <v>1021</v>
      </c>
      <c r="D469">
        <v>48</v>
      </c>
      <c r="E469">
        <v>1</v>
      </c>
    </row>
    <row r="470" spans="1:5">
      <c r="A470" t="s">
        <v>2060</v>
      </c>
      <c r="B470">
        <v>115028</v>
      </c>
      <c r="C470" t="s">
        <v>1021</v>
      </c>
      <c r="D470">
        <v>36</v>
      </c>
      <c r="E470">
        <v>1</v>
      </c>
    </row>
    <row r="471" spans="1:5">
      <c r="A471" t="s">
        <v>2048</v>
      </c>
      <c r="B471">
        <v>115029</v>
      </c>
      <c r="C471" t="s">
        <v>1021</v>
      </c>
      <c r="D471">
        <v>48</v>
      </c>
      <c r="E471">
        <v>1</v>
      </c>
    </row>
    <row r="472" spans="1:5">
      <c r="A472" t="s">
        <v>2044</v>
      </c>
      <c r="B472">
        <v>115030</v>
      </c>
      <c r="C472" t="s">
        <v>1021</v>
      </c>
      <c r="D472">
        <v>36</v>
      </c>
      <c r="E472">
        <v>2</v>
      </c>
    </row>
    <row r="473" spans="1:5">
      <c r="A473" t="s">
        <v>2062</v>
      </c>
      <c r="B473">
        <v>115037</v>
      </c>
      <c r="C473" t="s">
        <v>1021</v>
      </c>
      <c r="D473">
        <v>36</v>
      </c>
      <c r="E473">
        <v>1</v>
      </c>
    </row>
    <row r="474" spans="1:5">
      <c r="A474" t="s">
        <v>2062</v>
      </c>
      <c r="B474">
        <v>115038</v>
      </c>
      <c r="C474" t="s">
        <v>1021</v>
      </c>
      <c r="D474">
        <v>36</v>
      </c>
      <c r="E474">
        <v>2</v>
      </c>
    </row>
    <row r="475" spans="1:5">
      <c r="A475" t="s">
        <v>2046</v>
      </c>
      <c r="B475">
        <v>115039</v>
      </c>
      <c r="C475" t="s">
        <v>1021</v>
      </c>
      <c r="D475">
        <v>36</v>
      </c>
      <c r="E475">
        <v>1</v>
      </c>
    </row>
    <row r="476" spans="1:5">
      <c r="A476" t="s">
        <v>2046</v>
      </c>
      <c r="B476">
        <v>115040</v>
      </c>
      <c r="C476" t="s">
        <v>1021</v>
      </c>
      <c r="D476">
        <v>36</v>
      </c>
      <c r="E476">
        <v>2</v>
      </c>
    </row>
    <row r="477" spans="1:5">
      <c r="A477" t="s">
        <v>2052</v>
      </c>
      <c r="B477">
        <v>115041</v>
      </c>
      <c r="C477" t="s">
        <v>1021</v>
      </c>
      <c r="D477">
        <v>36</v>
      </c>
      <c r="E477">
        <v>1</v>
      </c>
    </row>
    <row r="478" spans="1:5">
      <c r="A478" t="s">
        <v>2006</v>
      </c>
      <c r="B478">
        <v>115047</v>
      </c>
      <c r="C478" t="s">
        <v>1023</v>
      </c>
      <c r="D478">
        <v>72</v>
      </c>
      <c r="E478">
        <v>1</v>
      </c>
    </row>
    <row r="479" spans="1:5">
      <c r="A479" t="s">
        <v>2008</v>
      </c>
      <c r="B479">
        <v>115048</v>
      </c>
      <c r="C479" t="s">
        <v>1023</v>
      </c>
      <c r="D479">
        <v>72</v>
      </c>
      <c r="E479">
        <v>1</v>
      </c>
    </row>
    <row r="480" spans="1:5">
      <c r="A480" t="s">
        <v>2014</v>
      </c>
      <c r="B480">
        <v>115049</v>
      </c>
      <c r="C480" t="s">
        <v>1023</v>
      </c>
      <c r="D480">
        <v>72</v>
      </c>
      <c r="E480">
        <v>1</v>
      </c>
    </row>
    <row r="481" spans="1:5">
      <c r="A481" t="s">
        <v>2012</v>
      </c>
      <c r="B481">
        <v>115050</v>
      </c>
      <c r="C481" t="s">
        <v>1023</v>
      </c>
      <c r="D481">
        <v>72</v>
      </c>
      <c r="E481">
        <v>1</v>
      </c>
    </row>
    <row r="482" spans="1:5">
      <c r="A482" t="s">
        <v>2018</v>
      </c>
      <c r="B482">
        <v>115051</v>
      </c>
      <c r="C482" t="s">
        <v>1023</v>
      </c>
      <c r="D482">
        <v>72</v>
      </c>
      <c r="E482">
        <v>1</v>
      </c>
    </row>
    <row r="483" spans="1:5">
      <c r="A483" t="s">
        <v>2020</v>
      </c>
      <c r="B483">
        <v>115052</v>
      </c>
      <c r="C483" t="s">
        <v>1023</v>
      </c>
      <c r="D483">
        <v>72</v>
      </c>
      <c r="E483">
        <v>1</v>
      </c>
    </row>
    <row r="484" spans="1:5">
      <c r="A484" t="s">
        <v>2024</v>
      </c>
      <c r="B484">
        <v>115053</v>
      </c>
      <c r="C484" t="s">
        <v>1023</v>
      </c>
      <c r="D484">
        <v>72</v>
      </c>
      <c r="E484">
        <v>1</v>
      </c>
    </row>
    <row r="485" spans="1:5">
      <c r="A485" t="s">
        <v>2022</v>
      </c>
      <c r="B485">
        <v>115054</v>
      </c>
      <c r="C485" t="s">
        <v>1023</v>
      </c>
      <c r="D485">
        <v>72</v>
      </c>
      <c r="E485">
        <v>1</v>
      </c>
    </row>
    <row r="486" spans="1:5">
      <c r="A486" t="s">
        <v>2002</v>
      </c>
      <c r="B486">
        <v>115055</v>
      </c>
      <c r="C486" t="s">
        <v>1023</v>
      </c>
      <c r="D486">
        <v>72</v>
      </c>
      <c r="E486">
        <v>1</v>
      </c>
    </row>
    <row r="487" spans="1:5">
      <c r="A487" t="s">
        <v>2016</v>
      </c>
      <c r="B487">
        <v>115056</v>
      </c>
      <c r="C487" t="s">
        <v>1023</v>
      </c>
      <c r="D487">
        <v>72</v>
      </c>
      <c r="E487">
        <v>1</v>
      </c>
    </row>
    <row r="488" spans="1:5">
      <c r="A488" t="s">
        <v>2010</v>
      </c>
      <c r="B488">
        <v>115057</v>
      </c>
      <c r="C488" t="s">
        <v>1023</v>
      </c>
      <c r="D488">
        <v>72</v>
      </c>
      <c r="E488">
        <v>1</v>
      </c>
    </row>
    <row r="489" spans="1:5">
      <c r="A489" t="s">
        <v>2004</v>
      </c>
      <c r="B489">
        <v>115058</v>
      </c>
      <c r="C489" t="s">
        <v>1023</v>
      </c>
      <c r="D489">
        <v>72</v>
      </c>
      <c r="E489">
        <v>1</v>
      </c>
    </row>
    <row r="490" spans="1:5">
      <c r="A490" t="s">
        <v>1998</v>
      </c>
      <c r="B490">
        <v>115059</v>
      </c>
      <c r="C490" t="s">
        <v>1023</v>
      </c>
      <c r="D490">
        <v>72</v>
      </c>
      <c r="E490">
        <v>1</v>
      </c>
    </row>
    <row r="491" spans="1:5">
      <c r="A491" t="s">
        <v>2000</v>
      </c>
      <c r="B491">
        <v>115060</v>
      </c>
      <c r="C491" t="s">
        <v>1023</v>
      </c>
      <c r="D491">
        <v>72</v>
      </c>
      <c r="E491">
        <v>1</v>
      </c>
    </row>
    <row r="492" spans="1:5">
      <c r="A492" t="s">
        <v>2029</v>
      </c>
      <c r="B492">
        <v>115061</v>
      </c>
      <c r="C492" t="s">
        <v>1024</v>
      </c>
      <c r="D492">
        <v>72</v>
      </c>
      <c r="E492">
        <v>1</v>
      </c>
    </row>
    <row r="493" spans="1:5">
      <c r="A493" t="s">
        <v>2440</v>
      </c>
      <c r="B493">
        <v>115062</v>
      </c>
      <c r="C493" t="s">
        <v>2433</v>
      </c>
      <c r="D493">
        <v>12</v>
      </c>
      <c r="E493">
        <v>1</v>
      </c>
    </row>
    <row r="494" spans="1:5">
      <c r="A494" t="s">
        <v>1600</v>
      </c>
      <c r="B494">
        <v>202001</v>
      </c>
      <c r="C494" t="s">
        <v>357</v>
      </c>
      <c r="D494">
        <v>36</v>
      </c>
      <c r="E494">
        <v>1</v>
      </c>
    </row>
    <row r="495" spans="1:5">
      <c r="A495" t="s">
        <v>1602</v>
      </c>
      <c r="B495">
        <v>202004</v>
      </c>
      <c r="C495" t="s">
        <v>357</v>
      </c>
      <c r="D495">
        <v>36</v>
      </c>
      <c r="E495">
        <v>1</v>
      </c>
    </row>
    <row r="496" spans="1:5">
      <c r="A496" t="s">
        <v>1604</v>
      </c>
      <c r="B496">
        <v>202005</v>
      </c>
      <c r="C496" t="s">
        <v>357</v>
      </c>
      <c r="D496">
        <v>12</v>
      </c>
      <c r="E496">
        <v>1</v>
      </c>
    </row>
    <row r="497" spans="1:5">
      <c r="A497" t="s">
        <v>1614</v>
      </c>
      <c r="B497">
        <v>202009</v>
      </c>
      <c r="C497" t="s">
        <v>358</v>
      </c>
      <c r="D497">
        <v>4</v>
      </c>
      <c r="E497">
        <v>1</v>
      </c>
    </row>
    <row r="498" spans="1:5">
      <c r="A498" t="s">
        <v>1610</v>
      </c>
      <c r="B498">
        <v>202011</v>
      </c>
      <c r="C498" t="s">
        <v>357</v>
      </c>
      <c r="D498">
        <v>36</v>
      </c>
      <c r="E498">
        <v>1</v>
      </c>
    </row>
    <row r="499" spans="1:5">
      <c r="A499" t="s">
        <v>1616</v>
      </c>
      <c r="B499">
        <v>202013</v>
      </c>
      <c r="C499" t="s">
        <v>1023</v>
      </c>
      <c r="D499">
        <v>60</v>
      </c>
      <c r="E499">
        <v>1</v>
      </c>
    </row>
    <row r="500" spans="1:5">
      <c r="A500" t="s">
        <v>2120</v>
      </c>
      <c r="B500">
        <v>203001</v>
      </c>
      <c r="C500" t="s">
        <v>356</v>
      </c>
      <c r="D500">
        <v>12</v>
      </c>
      <c r="E500">
        <v>1</v>
      </c>
    </row>
    <row r="501" spans="1:5">
      <c r="A501" t="s">
        <v>2128</v>
      </c>
      <c r="B501">
        <v>203002</v>
      </c>
      <c r="C501" t="s">
        <v>356</v>
      </c>
      <c r="D501">
        <v>12</v>
      </c>
      <c r="E501">
        <v>1</v>
      </c>
    </row>
    <row r="502" spans="1:5">
      <c r="A502" t="s">
        <v>2126</v>
      </c>
      <c r="B502">
        <v>203004</v>
      </c>
      <c r="C502" t="s">
        <v>357</v>
      </c>
      <c r="D502">
        <v>12</v>
      </c>
      <c r="E502">
        <v>1</v>
      </c>
    </row>
    <row r="503" spans="1:5">
      <c r="A503" t="s">
        <v>2124</v>
      </c>
      <c r="B503">
        <v>203005</v>
      </c>
      <c r="C503" t="s">
        <v>356</v>
      </c>
      <c r="D503">
        <v>12</v>
      </c>
      <c r="E503">
        <v>1</v>
      </c>
    </row>
    <row r="504" spans="1:5">
      <c r="A504" t="s">
        <v>2114</v>
      </c>
      <c r="B504">
        <v>203006</v>
      </c>
      <c r="C504" t="s">
        <v>356</v>
      </c>
      <c r="D504">
        <v>36</v>
      </c>
      <c r="E504">
        <v>1</v>
      </c>
    </row>
    <row r="505" spans="1:5">
      <c r="A505" t="s">
        <v>2130</v>
      </c>
      <c r="B505">
        <v>203007</v>
      </c>
      <c r="C505" t="s">
        <v>356</v>
      </c>
      <c r="D505">
        <v>12</v>
      </c>
      <c r="E505">
        <v>1</v>
      </c>
    </row>
    <row r="506" spans="1:5">
      <c r="A506" t="s">
        <v>2122</v>
      </c>
      <c r="B506">
        <v>203009</v>
      </c>
      <c r="C506" t="s">
        <v>356</v>
      </c>
      <c r="D506">
        <v>12</v>
      </c>
      <c r="E506">
        <v>1</v>
      </c>
    </row>
    <row r="507" spans="1:5">
      <c r="A507" t="s">
        <v>2118</v>
      </c>
      <c r="B507">
        <v>203011</v>
      </c>
      <c r="C507" t="s">
        <v>357</v>
      </c>
      <c r="D507">
        <v>36</v>
      </c>
      <c r="E507">
        <v>1</v>
      </c>
    </row>
    <row r="508" spans="1:5">
      <c r="A508" t="s">
        <v>2114</v>
      </c>
      <c r="B508">
        <v>203012</v>
      </c>
      <c r="C508" t="s">
        <v>356</v>
      </c>
      <c r="D508">
        <v>36</v>
      </c>
      <c r="E508">
        <v>2</v>
      </c>
    </row>
    <row r="509" spans="1:5">
      <c r="A509" t="s">
        <v>2146</v>
      </c>
      <c r="B509">
        <v>203013</v>
      </c>
      <c r="C509" t="s">
        <v>356</v>
      </c>
      <c r="D509">
        <v>12</v>
      </c>
      <c r="E509">
        <v>1</v>
      </c>
    </row>
    <row r="510" spans="1:5">
      <c r="A510" t="s">
        <v>2152</v>
      </c>
      <c r="B510">
        <v>203014</v>
      </c>
      <c r="C510" t="s">
        <v>356</v>
      </c>
      <c r="D510">
        <v>12</v>
      </c>
      <c r="E510">
        <v>1</v>
      </c>
    </row>
    <row r="511" spans="1:5">
      <c r="A511" t="s">
        <v>2154</v>
      </c>
      <c r="B511">
        <v>203015</v>
      </c>
      <c r="C511" t="s">
        <v>358</v>
      </c>
      <c r="D511">
        <v>4</v>
      </c>
      <c r="E511">
        <v>1</v>
      </c>
    </row>
    <row r="512" spans="1:5">
      <c r="A512" t="s">
        <v>2156</v>
      </c>
      <c r="B512">
        <v>203016</v>
      </c>
      <c r="C512" t="s">
        <v>357</v>
      </c>
      <c r="D512">
        <v>6</v>
      </c>
      <c r="E512">
        <v>1</v>
      </c>
    </row>
    <row r="513" spans="1:5">
      <c r="A513" t="s">
        <v>2148</v>
      </c>
      <c r="B513">
        <v>203017</v>
      </c>
      <c r="C513" t="s">
        <v>356</v>
      </c>
      <c r="D513">
        <v>12</v>
      </c>
      <c r="E513">
        <v>1</v>
      </c>
    </row>
    <row r="514" spans="1:5">
      <c r="A514" t="s">
        <v>2144</v>
      </c>
      <c r="B514">
        <v>203018</v>
      </c>
      <c r="C514" t="s">
        <v>1022</v>
      </c>
      <c r="D514">
        <v>120</v>
      </c>
      <c r="E514">
        <v>1</v>
      </c>
    </row>
    <row r="515" spans="1:5">
      <c r="A515" t="s">
        <v>2132</v>
      </c>
      <c r="B515">
        <v>203019</v>
      </c>
      <c r="C515" t="s">
        <v>1021</v>
      </c>
      <c r="D515">
        <v>36</v>
      </c>
      <c r="E515">
        <v>1</v>
      </c>
    </row>
    <row r="516" spans="1:5">
      <c r="A516" t="s">
        <v>2108</v>
      </c>
      <c r="B516">
        <v>203020</v>
      </c>
      <c r="C516" t="s">
        <v>360</v>
      </c>
      <c r="D516">
        <v>6</v>
      </c>
      <c r="E516">
        <v>1</v>
      </c>
    </row>
    <row r="517" spans="1:5">
      <c r="A517" t="s">
        <v>2142</v>
      </c>
      <c r="B517">
        <v>203023</v>
      </c>
      <c r="C517" t="s">
        <v>357</v>
      </c>
      <c r="D517">
        <v>36</v>
      </c>
      <c r="E517">
        <v>1</v>
      </c>
    </row>
    <row r="518" spans="1:5">
      <c r="A518" t="s">
        <v>2140</v>
      </c>
      <c r="B518">
        <v>203024</v>
      </c>
      <c r="C518" t="s">
        <v>357</v>
      </c>
      <c r="D518">
        <v>36</v>
      </c>
      <c r="E518">
        <v>1</v>
      </c>
    </row>
    <row r="519" spans="1:5">
      <c r="A519" t="s">
        <v>2411</v>
      </c>
      <c r="B519">
        <v>203025</v>
      </c>
      <c r="C519" t="s">
        <v>1021</v>
      </c>
      <c r="D519">
        <v>36</v>
      </c>
      <c r="E519">
        <v>1</v>
      </c>
    </row>
    <row r="520" spans="1:5">
      <c r="A520" t="s">
        <v>2134</v>
      </c>
      <c r="B520">
        <v>203026</v>
      </c>
      <c r="C520" t="s">
        <v>360</v>
      </c>
      <c r="D520">
        <v>6</v>
      </c>
      <c r="E520">
        <v>1</v>
      </c>
    </row>
    <row r="521" spans="1:5">
      <c r="A521" t="s">
        <v>2150</v>
      </c>
      <c r="B521">
        <v>203027</v>
      </c>
      <c r="C521" t="s">
        <v>357</v>
      </c>
      <c r="D521">
        <v>12</v>
      </c>
      <c r="E521">
        <v>1</v>
      </c>
    </row>
    <row r="522" spans="1:5">
      <c r="A522" t="s">
        <v>2110</v>
      </c>
      <c r="B522">
        <v>203028</v>
      </c>
      <c r="C522" t="s">
        <v>357</v>
      </c>
      <c r="D522">
        <v>96</v>
      </c>
      <c r="E522">
        <v>1</v>
      </c>
    </row>
    <row r="523" spans="1:5">
      <c r="A523" t="s">
        <v>2112</v>
      </c>
      <c r="B523">
        <v>203046</v>
      </c>
      <c r="C523" t="s">
        <v>357</v>
      </c>
      <c r="D523">
        <v>48</v>
      </c>
      <c r="E523">
        <v>1</v>
      </c>
    </row>
    <row r="524" spans="1:5">
      <c r="A524" t="s">
        <v>2557</v>
      </c>
      <c r="B524">
        <v>203047</v>
      </c>
      <c r="C524" t="s">
        <v>356</v>
      </c>
      <c r="D524">
        <v>12</v>
      </c>
      <c r="E524">
        <v>1</v>
      </c>
    </row>
    <row r="525" spans="1:5">
      <c r="A525" t="s">
        <v>2076</v>
      </c>
      <c r="B525">
        <v>204001</v>
      </c>
      <c r="C525" t="s">
        <v>356</v>
      </c>
      <c r="D525">
        <v>12</v>
      </c>
      <c r="E525">
        <v>1</v>
      </c>
    </row>
    <row r="526" spans="1:5">
      <c r="A526" t="s">
        <v>2064</v>
      </c>
      <c r="B526">
        <v>204002</v>
      </c>
      <c r="C526" t="s">
        <v>356</v>
      </c>
      <c r="D526">
        <v>12</v>
      </c>
      <c r="E526">
        <v>1</v>
      </c>
    </row>
    <row r="527" spans="1:5">
      <c r="A527" t="s">
        <v>2070</v>
      </c>
      <c r="B527">
        <v>204003</v>
      </c>
      <c r="C527" t="s">
        <v>356</v>
      </c>
      <c r="D527">
        <v>12</v>
      </c>
      <c r="E527">
        <v>1</v>
      </c>
    </row>
    <row r="528" spans="1:5">
      <c r="A528" t="s">
        <v>2080</v>
      </c>
      <c r="B528">
        <v>204007</v>
      </c>
      <c r="C528" t="s">
        <v>358</v>
      </c>
      <c r="D528">
        <v>4</v>
      </c>
      <c r="E528">
        <v>1</v>
      </c>
    </row>
    <row r="529" spans="1:5">
      <c r="A529" t="s">
        <v>2074</v>
      </c>
      <c r="B529">
        <v>204008</v>
      </c>
      <c r="C529" t="s">
        <v>358</v>
      </c>
      <c r="D529">
        <v>4</v>
      </c>
      <c r="E529">
        <v>1</v>
      </c>
    </row>
    <row r="530" spans="1:5">
      <c r="A530" t="s">
        <v>2068</v>
      </c>
      <c r="B530">
        <v>204009</v>
      </c>
      <c r="C530" t="s">
        <v>358</v>
      </c>
      <c r="D530">
        <v>4</v>
      </c>
      <c r="E530">
        <v>1</v>
      </c>
    </row>
    <row r="531" spans="1:5">
      <c r="A531" t="s">
        <v>2086</v>
      </c>
      <c r="B531">
        <v>204010</v>
      </c>
      <c r="C531" t="s">
        <v>356</v>
      </c>
      <c r="D531">
        <v>24</v>
      </c>
      <c r="E531">
        <v>1</v>
      </c>
    </row>
    <row r="532" spans="1:5">
      <c r="A532" t="s">
        <v>2094</v>
      </c>
      <c r="B532">
        <v>204011</v>
      </c>
      <c r="C532" t="s">
        <v>356</v>
      </c>
      <c r="D532">
        <v>24</v>
      </c>
      <c r="E532">
        <v>1</v>
      </c>
    </row>
    <row r="533" spans="1:5">
      <c r="A533" t="s">
        <v>2090</v>
      </c>
      <c r="B533">
        <v>204014</v>
      </c>
      <c r="C533" t="s">
        <v>357</v>
      </c>
      <c r="D533">
        <v>24</v>
      </c>
      <c r="E533">
        <v>1</v>
      </c>
    </row>
    <row r="534" spans="1:5">
      <c r="A534" t="s">
        <v>2082</v>
      </c>
      <c r="B534">
        <v>204015</v>
      </c>
      <c r="C534" t="s">
        <v>357</v>
      </c>
      <c r="D534">
        <v>24</v>
      </c>
      <c r="E534">
        <v>1</v>
      </c>
    </row>
    <row r="535" spans="1:5">
      <c r="A535" t="s">
        <v>2084</v>
      </c>
      <c r="B535">
        <v>204016</v>
      </c>
      <c r="C535" t="s">
        <v>357</v>
      </c>
      <c r="D535">
        <v>24</v>
      </c>
      <c r="E535">
        <v>1</v>
      </c>
    </row>
    <row r="536" spans="1:5">
      <c r="A536" t="s">
        <v>2096</v>
      </c>
      <c r="B536">
        <v>204018</v>
      </c>
      <c r="C536" t="s">
        <v>357</v>
      </c>
      <c r="D536">
        <v>24</v>
      </c>
      <c r="E536">
        <v>1</v>
      </c>
    </row>
    <row r="537" spans="1:5">
      <c r="A537" t="s">
        <v>2098</v>
      </c>
      <c r="B537">
        <v>204019</v>
      </c>
      <c r="C537" t="s">
        <v>357</v>
      </c>
      <c r="D537">
        <v>24</v>
      </c>
      <c r="E537">
        <v>1</v>
      </c>
    </row>
    <row r="538" spans="1:5">
      <c r="A538" t="s">
        <v>2092</v>
      </c>
      <c r="B538">
        <v>204021</v>
      </c>
      <c r="C538" t="s">
        <v>357</v>
      </c>
      <c r="D538">
        <v>24</v>
      </c>
      <c r="E538">
        <v>1</v>
      </c>
    </row>
    <row r="539" spans="1:5">
      <c r="A539" t="s">
        <v>1148</v>
      </c>
      <c r="B539" t="s">
        <v>2565</v>
      </c>
      <c r="C539" t="s">
        <v>1027</v>
      </c>
      <c r="D539">
        <v>24</v>
      </c>
      <c r="E539">
        <v>1</v>
      </c>
    </row>
    <row r="540" spans="1:5">
      <c r="A540" t="s">
        <v>1148</v>
      </c>
      <c r="B540" t="s">
        <v>2566</v>
      </c>
      <c r="C540" t="s">
        <v>1027</v>
      </c>
      <c r="D540">
        <v>24</v>
      </c>
      <c r="E540">
        <v>2</v>
      </c>
    </row>
    <row r="541" spans="1:5">
      <c r="A541" t="s">
        <v>2364</v>
      </c>
      <c r="B541" t="s">
        <v>2564</v>
      </c>
      <c r="C541" t="s">
        <v>357</v>
      </c>
      <c r="D541">
        <v>36</v>
      </c>
      <c r="E541">
        <v>2</v>
      </c>
    </row>
    <row r="542" spans="1:5">
      <c r="A542" t="s">
        <v>2365</v>
      </c>
      <c r="B542" t="s">
        <v>2569</v>
      </c>
      <c r="C542" t="s">
        <v>357</v>
      </c>
      <c r="D542">
        <v>36</v>
      </c>
      <c r="E542">
        <v>1</v>
      </c>
    </row>
    <row r="543" spans="1:5">
      <c r="A543" t="s">
        <v>1150</v>
      </c>
      <c r="B543" t="s">
        <v>2567</v>
      </c>
      <c r="C543" t="s">
        <v>1027</v>
      </c>
      <c r="D543">
        <v>24</v>
      </c>
      <c r="E543">
        <v>1</v>
      </c>
    </row>
    <row r="544" spans="1:5">
      <c r="A544" t="s">
        <v>1150</v>
      </c>
      <c r="B544" t="s">
        <v>2568</v>
      </c>
      <c r="C544" t="s">
        <v>1027</v>
      </c>
      <c r="D544">
        <v>24</v>
      </c>
      <c r="E544">
        <v>2</v>
      </c>
    </row>
    <row r="545" spans="1:5">
      <c r="A545" t="s">
        <v>1122</v>
      </c>
      <c r="B545" t="s">
        <v>2560</v>
      </c>
      <c r="C545" t="s">
        <v>357</v>
      </c>
      <c r="D545">
        <v>36</v>
      </c>
      <c r="E545">
        <v>1</v>
      </c>
    </row>
    <row r="546" spans="1:5">
      <c r="A546" t="s">
        <v>1137</v>
      </c>
      <c r="B546" t="s">
        <v>2562</v>
      </c>
      <c r="C546" t="s">
        <v>357</v>
      </c>
      <c r="D546">
        <v>36</v>
      </c>
      <c r="E546">
        <v>1</v>
      </c>
    </row>
    <row r="547" spans="1:5">
      <c r="A547" t="s">
        <v>1192</v>
      </c>
      <c r="B547" t="s">
        <v>2572</v>
      </c>
      <c r="C547" t="s">
        <v>360</v>
      </c>
      <c r="D547">
        <v>24</v>
      </c>
      <c r="E547">
        <v>1</v>
      </c>
    </row>
    <row r="548" spans="1:5">
      <c r="A548" t="s">
        <v>2368</v>
      </c>
      <c r="B548" t="s">
        <v>2571</v>
      </c>
      <c r="C548" t="s">
        <v>1021</v>
      </c>
      <c r="D548">
        <v>48</v>
      </c>
      <c r="E548">
        <v>1</v>
      </c>
    </row>
    <row r="549" spans="1:5">
      <c r="A549" t="s">
        <v>1178</v>
      </c>
      <c r="B549" t="s">
        <v>2570</v>
      </c>
      <c r="C549" t="s">
        <v>357</v>
      </c>
      <c r="D549">
        <v>36</v>
      </c>
      <c r="E549">
        <v>1</v>
      </c>
    </row>
    <row r="550" spans="1:5">
      <c r="A550" t="s">
        <v>1120</v>
      </c>
      <c r="B550" t="s">
        <v>2559</v>
      </c>
      <c r="C550" t="s">
        <v>357</v>
      </c>
      <c r="D550">
        <v>24</v>
      </c>
      <c r="E550">
        <v>1</v>
      </c>
    </row>
    <row r="551" spans="1:5">
      <c r="A551" t="s">
        <v>2364</v>
      </c>
      <c r="B551" t="s">
        <v>2563</v>
      </c>
      <c r="C551" t="s">
        <v>357</v>
      </c>
      <c r="D551">
        <v>36</v>
      </c>
      <c r="E551">
        <v>1</v>
      </c>
    </row>
    <row r="552" spans="1:5">
      <c r="A552" t="s">
        <v>2357</v>
      </c>
      <c r="B552" t="s">
        <v>2561</v>
      </c>
      <c r="C552" t="s">
        <v>356</v>
      </c>
      <c r="D552">
        <v>24</v>
      </c>
      <c r="E552">
        <v>1</v>
      </c>
    </row>
    <row r="553" spans="1:5">
      <c r="A553" t="s">
        <v>1118</v>
      </c>
      <c r="B553" t="s">
        <v>2558</v>
      </c>
      <c r="C553" t="s">
        <v>357</v>
      </c>
      <c r="D553">
        <v>24</v>
      </c>
      <c r="E553">
        <v>1</v>
      </c>
    </row>
    <row r="554" spans="1:5">
      <c r="A554" t="s">
        <v>1344</v>
      </c>
      <c r="B554" t="s">
        <v>2573</v>
      </c>
      <c r="C554" t="s">
        <v>357</v>
      </c>
      <c r="D554">
        <v>36</v>
      </c>
      <c r="E554">
        <v>1</v>
      </c>
    </row>
    <row r="555" spans="1:5">
      <c r="A555" t="s">
        <v>1348</v>
      </c>
      <c r="B555" t="s">
        <v>2574</v>
      </c>
      <c r="C555" t="s">
        <v>357</v>
      </c>
      <c r="D555">
        <v>36</v>
      </c>
      <c r="E555">
        <v>1</v>
      </c>
    </row>
    <row r="556" spans="1:5">
      <c r="A556" t="s">
        <v>1352</v>
      </c>
      <c r="B556" t="s">
        <v>2575</v>
      </c>
      <c r="C556" t="s">
        <v>357</v>
      </c>
      <c r="D556">
        <v>36</v>
      </c>
      <c r="E556">
        <v>1</v>
      </c>
    </row>
    <row r="557" spans="1:5">
      <c r="A557" t="s">
        <v>1356</v>
      </c>
      <c r="B557" t="s">
        <v>2576</v>
      </c>
      <c r="C557" t="s">
        <v>357</v>
      </c>
      <c r="D557">
        <v>36</v>
      </c>
      <c r="E557">
        <v>1</v>
      </c>
    </row>
    <row r="558" spans="1:5">
      <c r="A558" t="s">
        <v>1360</v>
      </c>
      <c r="B558" t="s">
        <v>2577</v>
      </c>
      <c r="C558" t="s">
        <v>357</v>
      </c>
      <c r="D558">
        <v>36</v>
      </c>
      <c r="E558">
        <v>1</v>
      </c>
    </row>
    <row r="559" spans="1:5">
      <c r="A559" t="s">
        <v>1364</v>
      </c>
      <c r="B559" t="s">
        <v>2578</v>
      </c>
      <c r="C559" t="s">
        <v>357</v>
      </c>
      <c r="D559">
        <v>36</v>
      </c>
      <c r="E559">
        <v>1</v>
      </c>
    </row>
    <row r="560" spans="1:5">
      <c r="A560" t="s">
        <v>1390</v>
      </c>
      <c r="B560" t="s">
        <v>2579</v>
      </c>
      <c r="C560" t="s">
        <v>357</v>
      </c>
      <c r="D560">
        <v>36</v>
      </c>
      <c r="E560">
        <v>1</v>
      </c>
    </row>
    <row r="561" spans="1:5">
      <c r="A561" t="s">
        <v>2376</v>
      </c>
      <c r="B561" t="s">
        <v>2593</v>
      </c>
      <c r="C561" t="s">
        <v>357</v>
      </c>
      <c r="D561">
        <v>12</v>
      </c>
      <c r="E561">
        <v>1</v>
      </c>
    </row>
    <row r="562" spans="1:5">
      <c r="A562" t="s">
        <v>2379</v>
      </c>
      <c r="B562" t="s">
        <v>2596</v>
      </c>
      <c r="C562" t="s">
        <v>357</v>
      </c>
      <c r="D562">
        <v>12</v>
      </c>
      <c r="E562">
        <v>1</v>
      </c>
    </row>
    <row r="563" spans="1:5">
      <c r="A563" t="s">
        <v>2382</v>
      </c>
      <c r="B563" t="s">
        <v>2597</v>
      </c>
      <c r="C563" t="s">
        <v>357</v>
      </c>
      <c r="D563">
        <v>12</v>
      </c>
      <c r="E563">
        <v>1</v>
      </c>
    </row>
    <row r="564" spans="1:5">
      <c r="A564" t="s">
        <v>2383</v>
      </c>
      <c r="B564" t="s">
        <v>2598</v>
      </c>
      <c r="C564" t="s">
        <v>357</v>
      </c>
      <c r="D564">
        <v>72</v>
      </c>
      <c r="E564">
        <v>1</v>
      </c>
    </row>
    <row r="565" spans="1:5">
      <c r="A565" t="s">
        <v>2392</v>
      </c>
      <c r="B565" t="s">
        <v>2599</v>
      </c>
      <c r="C565" t="s">
        <v>357</v>
      </c>
      <c r="D565">
        <v>12</v>
      </c>
      <c r="E565">
        <v>1</v>
      </c>
    </row>
    <row r="566" spans="1:5">
      <c r="A566" t="s">
        <v>1460</v>
      </c>
      <c r="B566" t="s">
        <v>2600</v>
      </c>
      <c r="C566" t="s">
        <v>356</v>
      </c>
      <c r="D566">
        <v>12</v>
      </c>
      <c r="E566">
        <v>1</v>
      </c>
    </row>
    <row r="567" spans="1:5">
      <c r="A567" t="s">
        <v>2394</v>
      </c>
      <c r="B567" t="s">
        <v>2601</v>
      </c>
      <c r="C567" t="s">
        <v>357</v>
      </c>
      <c r="D567">
        <v>72</v>
      </c>
      <c r="E567">
        <v>1</v>
      </c>
    </row>
    <row r="568" spans="1:5">
      <c r="A568" t="s">
        <v>2397</v>
      </c>
      <c r="B568" t="s">
        <v>2602</v>
      </c>
      <c r="C568" t="s">
        <v>357</v>
      </c>
      <c r="D568">
        <v>12</v>
      </c>
      <c r="E568">
        <v>1</v>
      </c>
    </row>
    <row r="569" spans="1:5">
      <c r="A569" t="s">
        <v>1468</v>
      </c>
      <c r="B569" t="s">
        <v>2603</v>
      </c>
      <c r="C569" t="s">
        <v>356</v>
      </c>
      <c r="D569">
        <v>12</v>
      </c>
      <c r="E569">
        <v>1</v>
      </c>
    </row>
    <row r="570" spans="1:5">
      <c r="A570" t="s">
        <v>2378</v>
      </c>
      <c r="B570" t="s">
        <v>2595</v>
      </c>
      <c r="C570" t="s">
        <v>357</v>
      </c>
      <c r="D570">
        <v>36</v>
      </c>
      <c r="E570">
        <v>1</v>
      </c>
    </row>
    <row r="571" spans="1:5">
      <c r="A571" t="s">
        <v>2399</v>
      </c>
      <c r="B571" t="s">
        <v>2605</v>
      </c>
      <c r="C571" t="s">
        <v>357</v>
      </c>
      <c r="D571">
        <v>36</v>
      </c>
      <c r="E571">
        <v>1</v>
      </c>
    </row>
    <row r="572" spans="1:5">
      <c r="A572" t="s">
        <v>2400</v>
      </c>
      <c r="B572" t="s">
        <v>2606</v>
      </c>
      <c r="C572" t="s">
        <v>357</v>
      </c>
      <c r="D572">
        <v>36</v>
      </c>
      <c r="E572">
        <v>1</v>
      </c>
    </row>
    <row r="573" spans="1:5">
      <c r="A573" t="s">
        <v>1544</v>
      </c>
      <c r="B573" t="s">
        <v>2611</v>
      </c>
      <c r="C573" t="s">
        <v>357</v>
      </c>
      <c r="D573">
        <v>72</v>
      </c>
      <c r="E573">
        <v>1</v>
      </c>
    </row>
    <row r="574" spans="1:5">
      <c r="A574" t="s">
        <v>1476</v>
      </c>
      <c r="B574" t="s">
        <v>2607</v>
      </c>
      <c r="C574" t="s">
        <v>357</v>
      </c>
      <c r="D574">
        <v>24</v>
      </c>
      <c r="E574">
        <v>1</v>
      </c>
    </row>
    <row r="575" spans="1:5">
      <c r="A575" t="s">
        <v>1480</v>
      </c>
      <c r="B575" t="s">
        <v>2608</v>
      </c>
      <c r="C575" t="s">
        <v>357</v>
      </c>
      <c r="D575">
        <v>24</v>
      </c>
      <c r="E575">
        <v>1</v>
      </c>
    </row>
    <row r="576" spans="1:5">
      <c r="A576" t="s">
        <v>1484</v>
      </c>
      <c r="B576" t="s">
        <v>2609</v>
      </c>
      <c r="C576" t="s">
        <v>357</v>
      </c>
      <c r="D576">
        <v>24</v>
      </c>
      <c r="E576">
        <v>1</v>
      </c>
    </row>
    <row r="577" spans="1:5">
      <c r="A577" t="s">
        <v>2415</v>
      </c>
      <c r="B577" t="s">
        <v>2610</v>
      </c>
      <c r="C577" t="s">
        <v>357</v>
      </c>
      <c r="D577">
        <v>36</v>
      </c>
      <c r="E577">
        <v>1</v>
      </c>
    </row>
    <row r="578" spans="1:5">
      <c r="A578" t="s">
        <v>1407</v>
      </c>
      <c r="B578" t="s">
        <v>2582</v>
      </c>
      <c r="C578" t="s">
        <v>357</v>
      </c>
      <c r="D578">
        <v>24</v>
      </c>
      <c r="E578">
        <v>1</v>
      </c>
    </row>
    <row r="579" spans="1:5">
      <c r="A579" t="s">
        <v>1409</v>
      </c>
      <c r="B579" t="s">
        <v>2581</v>
      </c>
      <c r="C579" t="s">
        <v>356</v>
      </c>
      <c r="D579">
        <v>24</v>
      </c>
      <c r="E579">
        <v>1</v>
      </c>
    </row>
    <row r="580" spans="1:5">
      <c r="A580" t="s">
        <v>1411</v>
      </c>
      <c r="B580" t="s">
        <v>2584</v>
      </c>
      <c r="C580" t="s">
        <v>357</v>
      </c>
      <c r="D580">
        <v>24</v>
      </c>
      <c r="E580">
        <v>1</v>
      </c>
    </row>
    <row r="581" spans="1:5">
      <c r="A581" t="s">
        <v>1413</v>
      </c>
      <c r="B581" t="s">
        <v>2583</v>
      </c>
      <c r="C581" t="s">
        <v>356</v>
      </c>
      <c r="D581">
        <v>24</v>
      </c>
      <c r="E581">
        <v>1</v>
      </c>
    </row>
    <row r="582" spans="1:5">
      <c r="A582" t="s">
        <v>2407</v>
      </c>
      <c r="B582" t="s">
        <v>2612</v>
      </c>
      <c r="C582" t="s">
        <v>357</v>
      </c>
      <c r="D582">
        <v>24</v>
      </c>
      <c r="E582">
        <v>1</v>
      </c>
    </row>
    <row r="583" spans="1:5">
      <c r="A583" t="s">
        <v>1427</v>
      </c>
      <c r="B583" t="s">
        <v>2588</v>
      </c>
      <c r="C583" t="s">
        <v>357</v>
      </c>
      <c r="D583">
        <v>36</v>
      </c>
      <c r="E583">
        <v>1</v>
      </c>
    </row>
    <row r="584" spans="1:5">
      <c r="A584" t="s">
        <v>1429</v>
      </c>
      <c r="B584" t="s">
        <v>2589</v>
      </c>
      <c r="C584" t="s">
        <v>357</v>
      </c>
      <c r="D584">
        <v>36</v>
      </c>
      <c r="E584">
        <v>1</v>
      </c>
    </row>
    <row r="585" spans="1:5">
      <c r="A585" t="s">
        <v>1431</v>
      </c>
      <c r="B585" t="s">
        <v>2590</v>
      </c>
      <c r="C585" t="s">
        <v>357</v>
      </c>
      <c r="D585">
        <v>36</v>
      </c>
      <c r="E585">
        <v>1</v>
      </c>
    </row>
    <row r="586" spans="1:5">
      <c r="A586" t="s">
        <v>1435</v>
      </c>
      <c r="B586" t="s">
        <v>2592</v>
      </c>
      <c r="C586" t="s">
        <v>357</v>
      </c>
      <c r="D586">
        <v>36</v>
      </c>
      <c r="E586">
        <v>1</v>
      </c>
    </row>
    <row r="587" spans="1:5">
      <c r="A587" t="s">
        <v>1433</v>
      </c>
      <c r="B587" t="s">
        <v>2591</v>
      </c>
      <c r="C587" t="s">
        <v>357</v>
      </c>
      <c r="D587">
        <v>36</v>
      </c>
      <c r="E587">
        <v>1</v>
      </c>
    </row>
    <row r="588" spans="1:5">
      <c r="A588" t="s">
        <v>1405</v>
      </c>
      <c r="B588" t="s">
        <v>2580</v>
      </c>
      <c r="C588" t="s">
        <v>357</v>
      </c>
      <c r="D588">
        <v>36</v>
      </c>
      <c r="E588">
        <v>1</v>
      </c>
    </row>
    <row r="589" spans="1:5">
      <c r="A589" t="s">
        <v>2377</v>
      </c>
      <c r="B589" t="s">
        <v>2594</v>
      </c>
      <c r="C589" t="s">
        <v>357</v>
      </c>
      <c r="D589">
        <v>36</v>
      </c>
      <c r="E589">
        <v>1</v>
      </c>
    </row>
    <row r="590" spans="1:5">
      <c r="A590" t="s">
        <v>2058</v>
      </c>
      <c r="B590" t="s">
        <v>2639</v>
      </c>
      <c r="C590" t="s">
        <v>1021</v>
      </c>
      <c r="D590">
        <v>48</v>
      </c>
      <c r="E590">
        <v>1</v>
      </c>
    </row>
    <row r="591" spans="1:5">
      <c r="A591" t="s">
        <v>2058</v>
      </c>
      <c r="B591" t="s">
        <v>2640</v>
      </c>
      <c r="C591" t="s">
        <v>1021</v>
      </c>
      <c r="D591">
        <v>48</v>
      </c>
      <c r="E591">
        <v>2</v>
      </c>
    </row>
    <row r="592" spans="1:5">
      <c r="A592" t="s">
        <v>2042</v>
      </c>
      <c r="B592" t="s">
        <v>2635</v>
      </c>
      <c r="C592" t="s">
        <v>1021</v>
      </c>
      <c r="D592">
        <v>48</v>
      </c>
      <c r="E592">
        <v>1</v>
      </c>
    </row>
    <row r="593" spans="1:5">
      <c r="A593" t="s">
        <v>2042</v>
      </c>
      <c r="B593" t="s">
        <v>2636</v>
      </c>
      <c r="C593" t="s">
        <v>1021</v>
      </c>
      <c r="D593">
        <v>48</v>
      </c>
      <c r="E593">
        <v>2</v>
      </c>
    </row>
    <row r="594" spans="1:5">
      <c r="A594" t="s">
        <v>2050</v>
      </c>
      <c r="B594" t="s">
        <v>2637</v>
      </c>
      <c r="C594" t="s">
        <v>1021</v>
      </c>
      <c r="D594">
        <v>48</v>
      </c>
      <c r="E594">
        <v>1</v>
      </c>
    </row>
    <row r="595" spans="1:5">
      <c r="A595" t="s">
        <v>2054</v>
      </c>
      <c r="B595" t="s">
        <v>2638</v>
      </c>
      <c r="C595" t="s">
        <v>1021</v>
      </c>
      <c r="D595">
        <v>36</v>
      </c>
      <c r="E595">
        <v>1</v>
      </c>
    </row>
    <row r="596" spans="1:5">
      <c r="A596" t="s">
        <v>1560</v>
      </c>
      <c r="B596" t="s">
        <v>2620</v>
      </c>
      <c r="C596" t="s">
        <v>357</v>
      </c>
      <c r="D596">
        <v>24</v>
      </c>
      <c r="E596">
        <v>1</v>
      </c>
    </row>
    <row r="597" spans="1:5">
      <c r="A597" t="s">
        <v>1568</v>
      </c>
      <c r="B597" t="s">
        <v>2613</v>
      </c>
      <c r="C597" t="s">
        <v>357</v>
      </c>
      <c r="D597">
        <v>36</v>
      </c>
      <c r="E597">
        <v>1</v>
      </c>
    </row>
    <row r="598" spans="1:5">
      <c r="A598" t="s">
        <v>1562</v>
      </c>
      <c r="B598" t="s">
        <v>2621</v>
      </c>
      <c r="C598" t="s">
        <v>357</v>
      </c>
      <c r="D598">
        <v>24</v>
      </c>
      <c r="E598">
        <v>1</v>
      </c>
    </row>
    <row r="599" spans="1:5">
      <c r="A599" t="s">
        <v>1570</v>
      </c>
      <c r="B599" t="s">
        <v>2614</v>
      </c>
      <c r="C599" t="s">
        <v>357</v>
      </c>
      <c r="D599">
        <v>36</v>
      </c>
      <c r="E599">
        <v>1</v>
      </c>
    </row>
    <row r="600" spans="1:5">
      <c r="A600" t="s">
        <v>1576</v>
      </c>
      <c r="B600" t="s">
        <v>2617</v>
      </c>
      <c r="C600" t="s">
        <v>357</v>
      </c>
      <c r="D600">
        <v>36</v>
      </c>
      <c r="E600">
        <v>1</v>
      </c>
    </row>
    <row r="601" spans="1:5">
      <c r="A601" t="s">
        <v>1564</v>
      </c>
      <c r="B601" t="s">
        <v>2622</v>
      </c>
      <c r="C601" t="s">
        <v>357</v>
      </c>
      <c r="D601">
        <v>24</v>
      </c>
      <c r="E601">
        <v>1</v>
      </c>
    </row>
    <row r="602" spans="1:5">
      <c r="A602" t="s">
        <v>1572</v>
      </c>
      <c r="B602" t="s">
        <v>2615</v>
      </c>
      <c r="C602" t="s">
        <v>357</v>
      </c>
      <c r="D602">
        <v>36</v>
      </c>
      <c r="E602">
        <v>1</v>
      </c>
    </row>
    <row r="603" spans="1:5">
      <c r="A603" t="s">
        <v>1566</v>
      </c>
      <c r="B603" t="s">
        <v>2623</v>
      </c>
      <c r="C603" t="s">
        <v>357</v>
      </c>
      <c r="D603">
        <v>24</v>
      </c>
      <c r="E603">
        <v>1</v>
      </c>
    </row>
    <row r="604" spans="1:5">
      <c r="A604" t="s">
        <v>1574</v>
      </c>
      <c r="B604" t="s">
        <v>2616</v>
      </c>
      <c r="C604" t="s">
        <v>357</v>
      </c>
      <c r="D604">
        <v>36</v>
      </c>
      <c r="E604">
        <v>1</v>
      </c>
    </row>
    <row r="605" spans="1:5">
      <c r="A605" t="s">
        <v>1578</v>
      </c>
      <c r="B605" t="s">
        <v>2618</v>
      </c>
      <c r="C605" t="s">
        <v>357</v>
      </c>
      <c r="D605">
        <v>36</v>
      </c>
      <c r="E605">
        <v>1</v>
      </c>
    </row>
    <row r="606" spans="1:5">
      <c r="A606" t="s">
        <v>1580</v>
      </c>
      <c r="B606" t="s">
        <v>2619</v>
      </c>
      <c r="C606" t="s">
        <v>357</v>
      </c>
      <c r="D606">
        <v>36</v>
      </c>
      <c r="E606">
        <v>1</v>
      </c>
    </row>
    <row r="607" spans="1:5">
      <c r="A607" t="s">
        <v>1582</v>
      </c>
      <c r="B607" t="s">
        <v>2627</v>
      </c>
      <c r="C607" t="s">
        <v>357</v>
      </c>
      <c r="D607">
        <v>12</v>
      </c>
      <c r="E607">
        <v>1</v>
      </c>
    </row>
    <row r="608" spans="1:5">
      <c r="A608" t="s">
        <v>1584</v>
      </c>
      <c r="B608" t="s">
        <v>2628</v>
      </c>
      <c r="C608" t="s">
        <v>357</v>
      </c>
      <c r="D608">
        <v>12</v>
      </c>
      <c r="E608">
        <v>1</v>
      </c>
    </row>
    <row r="609" spans="1:5">
      <c r="A609" t="s">
        <v>1594</v>
      </c>
      <c r="B609" t="s">
        <v>2624</v>
      </c>
      <c r="C609" t="s">
        <v>357</v>
      </c>
      <c r="D609">
        <v>24</v>
      </c>
      <c r="E609">
        <v>1</v>
      </c>
    </row>
    <row r="610" spans="1:5">
      <c r="A610" t="s">
        <v>1586</v>
      </c>
      <c r="B610" t="s">
        <v>2629</v>
      </c>
      <c r="C610" t="s">
        <v>357</v>
      </c>
      <c r="D610">
        <v>12</v>
      </c>
      <c r="E610">
        <v>1</v>
      </c>
    </row>
    <row r="611" spans="1:5">
      <c r="A611" t="s">
        <v>1588</v>
      </c>
      <c r="B611" t="s">
        <v>2630</v>
      </c>
      <c r="C611" t="s">
        <v>357</v>
      </c>
      <c r="D611">
        <v>12</v>
      </c>
      <c r="E611">
        <v>1</v>
      </c>
    </row>
    <row r="612" spans="1:5">
      <c r="A612" t="s">
        <v>1596</v>
      </c>
      <c r="B612" t="s">
        <v>2625</v>
      </c>
      <c r="C612" t="s">
        <v>357</v>
      </c>
      <c r="D612">
        <v>24</v>
      </c>
      <c r="E612">
        <v>1</v>
      </c>
    </row>
    <row r="613" spans="1:5">
      <c r="A613" t="s">
        <v>1590</v>
      </c>
      <c r="B613" t="s">
        <v>2631</v>
      </c>
      <c r="C613" t="s">
        <v>357</v>
      </c>
      <c r="D613">
        <v>12</v>
      </c>
      <c r="E613">
        <v>1</v>
      </c>
    </row>
    <row r="614" spans="1:5">
      <c r="A614" t="s">
        <v>1592</v>
      </c>
      <c r="B614" t="s">
        <v>2632</v>
      </c>
      <c r="C614" t="s">
        <v>357</v>
      </c>
      <c r="D614">
        <v>12</v>
      </c>
      <c r="E614">
        <v>1</v>
      </c>
    </row>
    <row r="615" spans="1:5">
      <c r="A615" t="s">
        <v>1598</v>
      </c>
      <c r="B615" t="s">
        <v>2626</v>
      </c>
      <c r="C615" t="s">
        <v>357</v>
      </c>
      <c r="D615">
        <v>24</v>
      </c>
      <c r="E615">
        <v>1</v>
      </c>
    </row>
    <row r="616" spans="1:5">
      <c r="A616" t="s">
        <v>2136</v>
      </c>
      <c r="B616" t="s">
        <v>2641</v>
      </c>
      <c r="C616" t="s">
        <v>356</v>
      </c>
      <c r="D616">
        <v>24</v>
      </c>
      <c r="E616">
        <v>1</v>
      </c>
    </row>
    <row r="617" spans="1:5">
      <c r="A617" t="s">
        <v>2138</v>
      </c>
      <c r="B617" t="s">
        <v>2642</v>
      </c>
      <c r="C617" t="s">
        <v>357</v>
      </c>
      <c r="D617">
        <v>24</v>
      </c>
      <c r="E617">
        <v>1</v>
      </c>
    </row>
    <row r="618" spans="1:5">
      <c r="A618" t="s">
        <v>2100</v>
      </c>
      <c r="B618" t="s">
        <v>2644</v>
      </c>
      <c r="C618" t="s">
        <v>356</v>
      </c>
      <c r="D618">
        <v>24</v>
      </c>
      <c r="E618">
        <v>1</v>
      </c>
    </row>
    <row r="619" spans="1:5">
      <c r="A619" t="s">
        <v>2106</v>
      </c>
      <c r="B619" t="s">
        <v>2647</v>
      </c>
      <c r="C619" t="s">
        <v>356</v>
      </c>
      <c r="D619">
        <v>24</v>
      </c>
      <c r="E619">
        <v>1</v>
      </c>
    </row>
    <row r="620" spans="1:5">
      <c r="A620" t="s">
        <v>2102</v>
      </c>
      <c r="B620" t="s">
        <v>2645</v>
      </c>
      <c r="C620" t="s">
        <v>357</v>
      </c>
      <c r="D620">
        <v>24</v>
      </c>
      <c r="E620">
        <v>1</v>
      </c>
    </row>
    <row r="621" spans="1:5">
      <c r="A621" t="s">
        <v>2104</v>
      </c>
      <c r="B621" t="s">
        <v>2646</v>
      </c>
      <c r="C621" t="s">
        <v>357</v>
      </c>
      <c r="D621">
        <v>24</v>
      </c>
      <c r="E621">
        <v>1</v>
      </c>
    </row>
    <row r="622" spans="1:5">
      <c r="A622" t="s">
        <v>2088</v>
      </c>
      <c r="B622" t="s">
        <v>2643</v>
      </c>
      <c r="C622" t="s">
        <v>357</v>
      </c>
      <c r="D622">
        <v>12</v>
      </c>
      <c r="E622">
        <v>1</v>
      </c>
    </row>
    <row r="623" spans="1:5">
      <c r="A623" t="s">
        <v>2648</v>
      </c>
      <c r="B623">
        <v>115063</v>
      </c>
      <c r="C623" t="s">
        <v>1023</v>
      </c>
      <c r="D623">
        <v>72</v>
      </c>
      <c r="E623">
        <v>1</v>
      </c>
    </row>
    <row r="624" spans="1:5">
      <c r="A624" t="s">
        <v>2649</v>
      </c>
      <c r="B624">
        <v>115064</v>
      </c>
      <c r="C624" t="s">
        <v>1023</v>
      </c>
      <c r="D624">
        <v>72</v>
      </c>
      <c r="E624">
        <v>1</v>
      </c>
    </row>
    <row r="625" spans="1:5">
      <c r="A625" t="s">
        <v>2650</v>
      </c>
      <c r="B625">
        <v>115065</v>
      </c>
      <c r="C625" t="s">
        <v>1023</v>
      </c>
      <c r="D625">
        <v>72</v>
      </c>
      <c r="E625">
        <v>1</v>
      </c>
    </row>
    <row r="626" spans="1:5">
      <c r="A626" t="s">
        <v>2651</v>
      </c>
      <c r="B626">
        <v>115066</v>
      </c>
      <c r="C626" t="s">
        <v>1023</v>
      </c>
      <c r="D626">
        <v>72</v>
      </c>
      <c r="E626">
        <v>1</v>
      </c>
    </row>
    <row r="627" spans="1:5">
      <c r="A627" t="s">
        <v>2652</v>
      </c>
      <c r="B627">
        <v>107121</v>
      </c>
      <c r="C627" t="s">
        <v>357</v>
      </c>
      <c r="D627">
        <v>24</v>
      </c>
      <c r="E627">
        <v>1</v>
      </c>
    </row>
    <row r="628" spans="1:5">
      <c r="A628" t="s">
        <v>2657</v>
      </c>
      <c r="B628">
        <v>107122</v>
      </c>
      <c r="C628" t="s">
        <v>357</v>
      </c>
      <c r="D628">
        <v>24</v>
      </c>
      <c r="E628">
        <v>1</v>
      </c>
    </row>
  </sheetData>
  <autoFilter ref="A1:E622" xr:uid="{D33A392F-90CB-4D4F-ACDF-74EC30FBEA3D}"/>
  <conditionalFormatting sqref="B1:B1048576">
    <cfRule type="duplicateValues" dxfId="139" priority="1"/>
    <cfRule type="duplicateValues" dxfId="138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CF3C-3C76-4C87-AEC2-206693260AA1}">
  <sheetPr codeName="Sheet9">
    <tabColor rgb="FF00B050"/>
  </sheetPr>
  <dimension ref="A1:BO656"/>
  <sheetViews>
    <sheetView tabSelected="1" topLeftCell="I42" zoomScale="90" zoomScaleNormal="90" workbookViewId="0">
      <selection activeCell="N67" sqref="N67"/>
    </sheetView>
  </sheetViews>
  <sheetFormatPr defaultRowHeight="15" outlineLevelCol="1"/>
  <cols>
    <col min="1" max="1" width="17.5703125" bestFit="1" customWidth="1"/>
    <col min="2" max="2" width="10.28515625" bestFit="1" customWidth="1"/>
    <col min="3" max="3" width="11.5703125" style="4" bestFit="1" customWidth="1"/>
    <col min="4" max="4" width="20.42578125" style="4" bestFit="1" customWidth="1"/>
    <col min="5" max="5" width="15.85546875" style="4" bestFit="1" customWidth="1"/>
    <col min="6" max="6" width="46.42578125" style="4" bestFit="1" customWidth="1"/>
    <col min="7" max="7" width="12.140625" style="4" bestFit="1" customWidth="1"/>
    <col min="8" max="8" width="16.5703125" style="37" bestFit="1" customWidth="1"/>
    <col min="9" max="9" width="13" style="4" bestFit="1" customWidth="1"/>
    <col min="10" max="10" width="27.5703125" style="4" bestFit="1" customWidth="1"/>
    <col min="11" max="11" width="19.7109375" style="4" bestFit="1" customWidth="1"/>
    <col min="12" max="12" width="18.42578125" style="4" bestFit="1" customWidth="1"/>
    <col min="13" max="13" width="8.28515625" style="11" bestFit="1" customWidth="1"/>
    <col min="14" max="14" width="58.42578125" style="14" bestFit="1" customWidth="1"/>
    <col min="15" max="15" width="8.28515625" style="11" bestFit="1" customWidth="1"/>
    <col min="16" max="16" width="10.7109375" style="4" bestFit="1" customWidth="1" outlineLevel="1"/>
    <col min="17" max="17" width="16.42578125" style="7" bestFit="1" customWidth="1" outlineLevel="1"/>
    <col min="18" max="18" width="24.5703125" style="4" bestFit="1" customWidth="1" outlineLevel="1"/>
    <col min="19" max="19" width="16.42578125" style="7" bestFit="1" customWidth="1" outlineLevel="1"/>
    <col min="20" max="20" width="23" style="4" bestFit="1" customWidth="1" outlineLevel="1"/>
    <col min="21" max="21" width="16.42578125" style="7" bestFit="1" customWidth="1" outlineLevel="1"/>
    <col min="22" max="22" width="24" style="7" bestFit="1" customWidth="1" outlineLevel="1"/>
    <col min="23" max="23" width="16.42578125" style="7" bestFit="1" customWidth="1" outlineLevel="1"/>
    <col min="24" max="24" width="36" style="4" bestFit="1" customWidth="1" outlineLevel="1"/>
    <col min="25" max="25" width="13.140625" style="7" bestFit="1" customWidth="1" outlineLevel="1"/>
    <col min="26" max="26" width="17" style="4" bestFit="1" customWidth="1" outlineLevel="1"/>
    <col min="27" max="27" width="16.42578125" style="7" bestFit="1" customWidth="1" outlineLevel="1"/>
    <col min="28" max="28" width="15.5703125" style="4" bestFit="1" customWidth="1" outlineLevel="1"/>
    <col min="29" max="29" width="16.5703125" style="7" customWidth="1" outlineLevel="1"/>
    <col min="30" max="30" width="11.42578125" style="4" bestFit="1" customWidth="1" outlineLevel="1"/>
    <col min="31" max="31" width="16.42578125" style="7" bestFit="1" customWidth="1" outlineLevel="1"/>
    <col min="32" max="32" width="28" style="7" bestFit="1" customWidth="1" outlineLevel="1"/>
    <col min="33" max="33" width="16.42578125" style="7" bestFit="1" customWidth="1" outlineLevel="1"/>
    <col min="34" max="34" width="21.28515625" style="7" bestFit="1" customWidth="1" outlineLevel="1"/>
    <col min="35" max="35" width="20.5703125" style="7" bestFit="1" customWidth="1" outlineLevel="1"/>
    <col min="36" max="36" width="12.42578125" style="7" bestFit="1" customWidth="1" outlineLevel="1"/>
    <col min="37" max="37" width="18.28515625" style="30" bestFit="1" customWidth="1" outlineLevel="1"/>
    <col min="38" max="38" width="18" style="30" bestFit="1" customWidth="1" outlineLevel="1"/>
    <col min="39" max="39" width="18.28515625" style="30" bestFit="1" customWidth="1" outlineLevel="1"/>
    <col min="40" max="40" width="18" style="30" bestFit="1" customWidth="1" outlineLevel="1"/>
    <col min="41" max="41" width="21.140625" style="30" bestFit="1" customWidth="1"/>
    <col min="42" max="42" width="20.85546875" style="30" customWidth="1"/>
    <col min="43" max="43" width="21.140625" style="30" bestFit="1" customWidth="1"/>
    <col min="44" max="44" width="20.85546875" style="30" bestFit="1" customWidth="1"/>
    <col min="45" max="45" width="21.5703125" style="30" bestFit="1" customWidth="1"/>
    <col min="46" max="46" width="21.28515625" style="30" bestFit="1" customWidth="1"/>
    <col min="47" max="47" width="21.5703125" style="30" bestFit="1" customWidth="1"/>
    <col min="48" max="48" width="21.28515625" style="30" bestFit="1" customWidth="1"/>
    <col min="49" max="49" width="15.7109375" style="4" bestFit="1" customWidth="1"/>
    <col min="50" max="50" width="15.85546875" style="4" bestFit="1" customWidth="1"/>
    <col min="51" max="51" width="15.7109375" style="4" bestFit="1" customWidth="1"/>
    <col min="52" max="52" width="11" style="4" bestFit="1" customWidth="1"/>
    <col min="53" max="53" width="10.140625" style="4" bestFit="1" customWidth="1"/>
    <col min="54" max="55" width="14.140625" style="4" bestFit="1" customWidth="1"/>
    <col min="56" max="56" width="12.42578125" style="4" bestFit="1" customWidth="1"/>
    <col min="57" max="57" width="11.85546875" style="4" bestFit="1" customWidth="1"/>
    <col min="58" max="58" width="12.5703125" style="4" bestFit="1" customWidth="1"/>
    <col min="59" max="59" width="8.28515625" style="4" bestFit="1" customWidth="1"/>
    <col min="60" max="60" width="10.140625" style="4" bestFit="1" customWidth="1"/>
    <col min="61" max="61" width="11.140625" style="4" bestFit="1" customWidth="1"/>
    <col min="62" max="62" width="12.28515625" style="4" bestFit="1" customWidth="1"/>
    <col min="63" max="63" width="13" style="4" bestFit="1" customWidth="1"/>
    <col min="64" max="67" width="8.85546875" style="4"/>
  </cols>
  <sheetData>
    <row r="1" spans="1:67">
      <c r="C1" s="17" t="s">
        <v>32</v>
      </c>
      <c r="D1" s="13"/>
      <c r="E1" s="13"/>
      <c r="N1" s="4"/>
    </row>
    <row r="2" spans="1:67">
      <c r="N2" s="4"/>
      <c r="O2" s="11">
        <f>COUNTIF(Table43[LEN 50], "&gt;50")</f>
        <v>99</v>
      </c>
    </row>
    <row r="3" spans="1:67" ht="30.75" customHeight="1">
      <c r="D3" s="87" t="s">
        <v>31</v>
      </c>
      <c r="E3" s="88"/>
      <c r="F3" s="88"/>
      <c r="G3" s="89"/>
      <c r="H3" s="38"/>
      <c r="I3" s="93"/>
      <c r="J3" s="94"/>
      <c r="K3" s="94"/>
      <c r="L3" s="94"/>
      <c r="M3" s="94"/>
      <c r="N3" s="95"/>
      <c r="P3" s="11" t="s">
        <v>321</v>
      </c>
      <c r="Q3" s="11"/>
      <c r="AK3" s="96" t="s">
        <v>38</v>
      </c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7" t="s">
        <v>45</v>
      </c>
      <c r="AX3" s="97"/>
    </row>
    <row r="4" spans="1:67" ht="74.25" customHeight="1">
      <c r="D4" s="90"/>
      <c r="E4" s="91"/>
      <c r="F4" s="91"/>
      <c r="G4" s="92"/>
      <c r="H4" s="39"/>
      <c r="I4" s="18" t="s">
        <v>33</v>
      </c>
      <c r="J4" s="18"/>
      <c r="K4" s="98" t="s">
        <v>34</v>
      </c>
      <c r="L4" s="98"/>
      <c r="M4" s="98"/>
      <c r="N4" s="98"/>
      <c r="O4" s="98"/>
      <c r="P4" s="99" t="s">
        <v>25</v>
      </c>
      <c r="Q4" s="99"/>
      <c r="AK4" s="96" t="s">
        <v>39</v>
      </c>
      <c r="AL4" s="96"/>
      <c r="AM4" s="96"/>
      <c r="AN4" s="96"/>
      <c r="AO4" s="96" t="s">
        <v>44</v>
      </c>
      <c r="AP4" s="96"/>
      <c r="AQ4" s="96"/>
      <c r="AR4" s="96"/>
      <c r="AS4" s="96" t="s">
        <v>361</v>
      </c>
      <c r="AT4" s="96"/>
      <c r="AU4" s="96"/>
      <c r="AV4" s="96"/>
      <c r="AW4" s="97"/>
      <c r="AX4" s="97"/>
      <c r="AY4" s="23"/>
      <c r="AZ4" s="24"/>
      <c r="BA4" s="86" t="s">
        <v>131</v>
      </c>
      <c r="BB4" s="86"/>
      <c r="BC4" s="86"/>
      <c r="BD4" s="86"/>
      <c r="BE4" s="86"/>
      <c r="BF4" s="86"/>
      <c r="BG4" s="86"/>
      <c r="BH4" s="86"/>
      <c r="BI4" s="86"/>
      <c r="BJ4" s="86"/>
      <c r="BK4" s="86"/>
    </row>
    <row r="5" spans="1:67" s="6" customFormat="1" ht="73.150000000000006" customHeight="1">
      <c r="A5" s="22" t="s">
        <v>311</v>
      </c>
      <c r="B5" s="22" t="s">
        <v>144</v>
      </c>
      <c r="C5" s="5" t="s">
        <v>12</v>
      </c>
      <c r="D5" s="5" t="s">
        <v>1</v>
      </c>
      <c r="E5" s="5" t="s">
        <v>9</v>
      </c>
      <c r="F5" s="5" t="s">
        <v>8</v>
      </c>
      <c r="G5" s="5" t="s">
        <v>5</v>
      </c>
      <c r="H5" s="40" t="s">
        <v>352</v>
      </c>
      <c r="I5" s="5" t="s">
        <v>13</v>
      </c>
      <c r="J5" s="5" t="s">
        <v>37</v>
      </c>
      <c r="K5" s="9" t="s">
        <v>324</v>
      </c>
      <c r="L5" s="10" t="s">
        <v>30</v>
      </c>
      <c r="M5" s="12" t="s">
        <v>23</v>
      </c>
      <c r="N5" s="10" t="s">
        <v>22</v>
      </c>
      <c r="O5" s="12" t="s">
        <v>24</v>
      </c>
      <c r="P5" s="5" t="s">
        <v>14</v>
      </c>
      <c r="Q5" s="8" t="s">
        <v>15</v>
      </c>
      <c r="R5" s="5" t="s">
        <v>16</v>
      </c>
      <c r="S5" s="8" t="s">
        <v>17</v>
      </c>
      <c r="T5" s="15" t="s">
        <v>18</v>
      </c>
      <c r="U5" s="8" t="s">
        <v>19</v>
      </c>
      <c r="V5" s="15" t="s">
        <v>147</v>
      </c>
      <c r="W5" s="8" t="s">
        <v>148</v>
      </c>
      <c r="X5" s="5" t="s">
        <v>20</v>
      </c>
      <c r="Y5" s="8" t="s">
        <v>28</v>
      </c>
      <c r="Z5" s="5" t="s">
        <v>317</v>
      </c>
      <c r="AA5" s="8" t="s">
        <v>21</v>
      </c>
      <c r="AB5" s="5" t="s">
        <v>2459</v>
      </c>
      <c r="AC5" s="8" t="s">
        <v>146</v>
      </c>
      <c r="AD5" s="5" t="s">
        <v>26</v>
      </c>
      <c r="AE5" s="8" t="s">
        <v>29</v>
      </c>
      <c r="AF5" s="5" t="s">
        <v>319</v>
      </c>
      <c r="AG5" s="8" t="s">
        <v>323</v>
      </c>
      <c r="AH5" s="5" t="s">
        <v>318</v>
      </c>
      <c r="AI5" s="5" t="s">
        <v>2462</v>
      </c>
      <c r="AJ5" s="8" t="s">
        <v>2461</v>
      </c>
      <c r="AK5" s="34" t="s">
        <v>41</v>
      </c>
      <c r="AL5" s="34" t="s">
        <v>40</v>
      </c>
      <c r="AM5" s="34" t="s">
        <v>42</v>
      </c>
      <c r="AN5" s="34" t="s">
        <v>43</v>
      </c>
      <c r="AO5" s="35" t="s">
        <v>132</v>
      </c>
      <c r="AP5" s="35" t="s">
        <v>133</v>
      </c>
      <c r="AQ5" s="35" t="s">
        <v>134</v>
      </c>
      <c r="AR5" s="35" t="s">
        <v>135</v>
      </c>
      <c r="AS5" s="36" t="s">
        <v>136</v>
      </c>
      <c r="AT5" s="36" t="s">
        <v>137</v>
      </c>
      <c r="AU5" s="36" t="s">
        <v>138</v>
      </c>
      <c r="AV5" s="36" t="s">
        <v>139</v>
      </c>
      <c r="AW5" s="19" t="s">
        <v>118</v>
      </c>
      <c r="AX5" s="19" t="s">
        <v>119</v>
      </c>
      <c r="AY5" s="22" t="s">
        <v>122</v>
      </c>
      <c r="AZ5" s="22" t="s">
        <v>123</v>
      </c>
      <c r="BA5" s="22" t="s">
        <v>120</v>
      </c>
      <c r="BB5" s="22" t="s">
        <v>143</v>
      </c>
      <c r="BC5" s="22" t="s">
        <v>2460</v>
      </c>
      <c r="BD5" s="22" t="s">
        <v>124</v>
      </c>
      <c r="BE5" s="22" t="s">
        <v>325</v>
      </c>
      <c r="BF5" s="22" t="s">
        <v>125</v>
      </c>
      <c r="BG5" s="22" t="s">
        <v>126</v>
      </c>
      <c r="BH5" s="22" t="s">
        <v>128</v>
      </c>
      <c r="BI5" s="22" t="s">
        <v>129</v>
      </c>
      <c r="BJ5" s="22" t="s">
        <v>130</v>
      </c>
      <c r="BK5" s="22" t="s">
        <v>121</v>
      </c>
      <c r="BL5" s="5"/>
      <c r="BM5" s="5"/>
      <c r="BN5" s="5"/>
      <c r="BO5" s="5"/>
    </row>
    <row r="6" spans="1:67">
      <c r="A6" s="4" t="str">
        <f>CONCATENATE(Table43[[#This Row],[Kode BARANG Win2]],Table43[[#This Row],[No. Urut
Item Sama]])</f>
        <v>K10100010060101</v>
      </c>
      <c r="B6" s="7">
        <v>1</v>
      </c>
      <c r="C6" s="4">
        <v>1</v>
      </c>
      <c r="D6" s="28" t="s">
        <v>979</v>
      </c>
      <c r="E6" s="28"/>
      <c r="F6" s="28" t="s">
        <v>2863</v>
      </c>
      <c r="G6" s="78">
        <v>36</v>
      </c>
      <c r="H6" s="43"/>
      <c r="I6" s="28" t="str">
        <f>Table43[[#This Row],[Nama Jenis Kemasan]]</f>
        <v>BTL</v>
      </c>
      <c r="J6" s="4" t="str">
        <f>TRIM(CONCATENATE(Table43[[#This Row],[Nama            KLP]]," ",Table43[[#This Row],[Nama            Sub KLP]]))</f>
        <v>ABSOLUTE</v>
      </c>
      <c r="K6" s="4" t="str">
        <f>CONCATENATE(Table43[[#This Row],[kode  2 Digit                (hrf+No)]],Table43[[#This Row],[kode  2 Digit                (Nomor)]],Table43[[#This Row],[kode  1 Digit                (Nomor)]])</f>
        <v>K1010</v>
      </c>
      <c r="L6" s="4" t="str">
        <f t="shared" ref="L6:L71" si="0">IF(AG6="",CONCATENATE(Q6,S6,U6,W6,Y6,AA6,AC6,AE6),CONCATENATE(Q6,S6,U6,W6,Y6,AA6,AC6,AG6))</f>
        <v>K1010001006010</v>
      </c>
      <c r="M6" s="11">
        <f t="shared" ref="M6:M71" si="1">LEN(L6)</f>
        <v>14</v>
      </c>
      <c r="N6" s="14" t="str">
        <f>IF(AF6&lt;&gt;"",TRIM(UPPER(CONCATENATE(P6," ",R6," ",T6," ",V6," ",X6," ",Z6," ","X"," ",Table43[[#This Row],[ISI/CTN]]," ",AF6," ",AB6," ",AD6," ",AH6))),TRIM(UPPER(CONCATENATE(P6," ",R6," ",T6," ",V6," ",X6," ",Z6," ","X"," ",Table43[[#This Row],[ISI/CTN]]," ",AB6," ",AD6," ",AH6))))</f>
        <v>KNF ABSOLUTE CHAMOMILE 60ML X 36 BTL</v>
      </c>
      <c r="O6" s="11">
        <f t="shared" ref="O6:O71" si="2">LEN(N6)</f>
        <v>36</v>
      </c>
      <c r="P6" s="4" t="s">
        <v>97</v>
      </c>
      <c r="Q6" s="7" t="s">
        <v>98</v>
      </c>
      <c r="R6" s="4" t="s">
        <v>2518</v>
      </c>
      <c r="S6" s="44" t="s">
        <v>0</v>
      </c>
      <c r="T6" s="45" t="s">
        <v>2961</v>
      </c>
      <c r="U6" s="7" t="s">
        <v>2900</v>
      </c>
      <c r="V6" s="45" t="s">
        <v>2961</v>
      </c>
      <c r="W6" s="44" t="s">
        <v>2900</v>
      </c>
      <c r="X6" s="4" t="s">
        <v>2519</v>
      </c>
      <c r="Y6" s="46" t="s">
        <v>0</v>
      </c>
      <c r="Z6" s="4" t="s">
        <v>1026</v>
      </c>
      <c r="AA6" s="46" t="s">
        <v>2481</v>
      </c>
      <c r="AB6" s="4" t="s">
        <v>357</v>
      </c>
      <c r="AC6" s="7" t="s">
        <v>2656</v>
      </c>
      <c r="AD6" s="4" t="s">
        <v>2961</v>
      </c>
      <c r="AE6" s="7" t="s">
        <v>2900</v>
      </c>
      <c r="AF6" s="7" t="s">
        <v>2961</v>
      </c>
      <c r="AG6" s="7" t="s">
        <v>2961</v>
      </c>
      <c r="AI6" s="7" t="s">
        <v>4100</v>
      </c>
      <c r="AJ6" s="7" t="s">
        <v>2656</v>
      </c>
      <c r="AK6" s="41">
        <f>Table43[[#This Row],[Harga Jual Pcs GT
(-PPN)]]-(Table43[[#This Row],[Harga Jual Pcs GT
(-PPN)]]*10%)</f>
        <v>7560</v>
      </c>
      <c r="AL6" s="42">
        <f>Table43[[#This Row],[Harga Beli Pcs
(-PPN)]]*Table43[[#This Row],[ISI/CTN]]</f>
        <v>272160</v>
      </c>
      <c r="AM6" s="42">
        <f>Table43[[#This Row],[Harga Beli Pcs
(-PPN)]]*1.11</f>
        <v>8391.6</v>
      </c>
      <c r="AN6" s="42">
        <f>Table43[[#This Row],[Harga Beli Krt
(- PPN)]]*1.11</f>
        <v>302097.60000000003</v>
      </c>
      <c r="AO6" s="42">
        <v>8400</v>
      </c>
      <c r="AP6" s="42">
        <f>Table43[[#This Row],[Harga Jual Pcs GT
(-PPN)]]*Table43[[#This Row],[ISI/CTN]]</f>
        <v>302400</v>
      </c>
      <c r="AQ6" s="42">
        <f>Table43[[#This Row],[Harga Jual Pcs GT
(-PPN)]]*1.11</f>
        <v>9324</v>
      </c>
      <c r="AR6" s="42">
        <f>Table43[[#This Row],[Harga Jual Krt GT
(- PPN)]]*1.11</f>
        <v>335664.00000000006</v>
      </c>
      <c r="AS6" s="42">
        <f>Table43[[#This Row],[Harga Jual Pcs GT
(-PPN)]]</f>
        <v>8400</v>
      </c>
      <c r="AT6" s="42">
        <f>(Table43[[#This Row],[Harga Jual Pcs MT
(-PPN)]]*Table43[[#This Row],[ISI/CTN]])</f>
        <v>302400</v>
      </c>
      <c r="AU6" s="42">
        <f>Table43[[#This Row],[Harga Jual Pcs MT
(-PPN)]]*1.11</f>
        <v>9324</v>
      </c>
      <c r="AV6" s="42">
        <f>Table43[[#This Row],[Harga Jual Pcs MT
(+PPN)]]*Table43[[#This Row],[ISI/CTN]]</f>
        <v>335664</v>
      </c>
      <c r="AW6" s="47">
        <v>45616</v>
      </c>
      <c r="AX6" s="7"/>
      <c r="AY6" s="7" t="str">
        <f ca="1">IF(TODAY()-Table43[[#This Row],[Efektif
Pembuatan]]&gt;60,"Lama","Baru")</f>
        <v>Lama</v>
      </c>
      <c r="AZ6" s="7" t="str">
        <f ca="1">IF(TODAY()-Table43[[#This Row],[Efektif Naik Harga]]&lt;30,"Naik","Sama")</f>
        <v>Sama</v>
      </c>
      <c r="BA6" s="7" t="str">
        <f>IF(Table43[[#This Row],[Kode BARANG Win2]]&lt;&gt;"","IDR","")</f>
        <v>IDR</v>
      </c>
      <c r="BB6" s="8" t="str">
        <f>CONCATENATE(Table43[[#This Row],[kode  1 Digit
(Nomor)]],Table43[[#This Row],[kode  4 Digit                (Nomor)]])</f>
        <v>10060</v>
      </c>
      <c r="BC6" s="7" t="str">
        <f>Table43[[#This Row],[Nama            Gramasi atau Jumlah Pack per CTN]]</f>
        <v>60ML</v>
      </c>
      <c r="BD6" s="7" t="s">
        <v>2465</v>
      </c>
      <c r="BE6" s="7" t="s">
        <v>2466</v>
      </c>
      <c r="BF6" s="4" t="str">
        <f>IF(Table43[[#This Row],[SATUAN Fix Win]]&lt;&gt;"","KRT")</f>
        <v>KRT</v>
      </c>
      <c r="BG6" s="4" t="str">
        <f>IF(Table43[[#This Row],[SATUAN Fix Win]]&lt;&gt;"","GD01")</f>
        <v>GD01</v>
      </c>
      <c r="BH6" s="4">
        <f>IF(Table43[[#This Row],[SATUAN Fix Win]]&lt;&gt;"",11611)</f>
        <v>11611</v>
      </c>
      <c r="BI6" s="4">
        <f>IF(Table43[[#This Row],[SATUAN Fix Win]]&lt;&gt;"",11612)</f>
        <v>11612</v>
      </c>
      <c r="BJ6" s="48" t="s">
        <v>2467</v>
      </c>
      <c r="BK6" s="4">
        <f>IF(Table43[[#This Row],[SATUAN Fix Win]]&lt;&gt;"",1)</f>
        <v>1</v>
      </c>
    </row>
    <row r="7" spans="1:67">
      <c r="A7" s="4" t="str">
        <f>CONCATENATE(Table43[[#This Row],[Kode BARANG Win2]],Table43[[#This Row],[No. Urut
Item Sama]])</f>
        <v>K10100010150101</v>
      </c>
      <c r="B7" s="7">
        <v>1</v>
      </c>
      <c r="C7" s="4">
        <v>2</v>
      </c>
      <c r="D7" s="28" t="s">
        <v>980</v>
      </c>
      <c r="E7" s="28"/>
      <c r="F7" s="28" t="s">
        <v>2864</v>
      </c>
      <c r="G7" s="78">
        <v>36</v>
      </c>
      <c r="H7" s="43"/>
      <c r="I7" s="28" t="str">
        <f>Table43[[#This Row],[Nama Jenis Kemasan]]</f>
        <v>BTL</v>
      </c>
      <c r="J7" s="4" t="str">
        <f>TRIM(CONCATENATE(Table43[[#This Row],[Nama            KLP]]," ",Table43[[#This Row],[Nama            Sub KLP]]))</f>
        <v>ABSOLUTE</v>
      </c>
      <c r="K7" s="4" t="str">
        <f>CONCATENATE(Table43[[#This Row],[kode  2 Digit                (hrf+No)]],Table43[[#This Row],[kode  2 Digit                (Nomor)]],Table43[[#This Row],[kode  1 Digit                (Nomor)]])</f>
        <v>K1010</v>
      </c>
      <c r="L7" s="4" t="str">
        <f t="shared" si="0"/>
        <v>K1010001015010</v>
      </c>
      <c r="M7" s="11">
        <f t="shared" si="1"/>
        <v>14</v>
      </c>
      <c r="N7" s="14" t="str">
        <f>IF(AF7&lt;&gt;"",TRIM(UPPER(CONCATENATE(P7," ",R7," ",T7," ",V7," ",X7," ",Z7," ","X"," ",Table43[[#This Row],[ISI/CTN]]," ",AF7," ",AB7," ",AD7," ",AH7))),TRIM(UPPER(CONCATENATE(P7," ",R7," ",T7," ",V7," ",X7," ",Z7," ","X"," ",Table43[[#This Row],[ISI/CTN]]," ",AB7," ",AD7," ",AH7))))</f>
        <v>KNF ABSOLUTE CHAMOMILE 150ML X 36 BTL</v>
      </c>
      <c r="O7" s="11">
        <f t="shared" si="2"/>
        <v>37</v>
      </c>
      <c r="P7" s="4" t="s">
        <v>97</v>
      </c>
      <c r="Q7" s="7" t="s">
        <v>98</v>
      </c>
      <c r="R7" s="4" t="s">
        <v>2518</v>
      </c>
      <c r="S7" s="44" t="s">
        <v>0</v>
      </c>
      <c r="T7" s="45" t="s">
        <v>2961</v>
      </c>
      <c r="U7" s="7" t="s">
        <v>2900</v>
      </c>
      <c r="V7" s="45" t="s">
        <v>2961</v>
      </c>
      <c r="W7" s="44" t="s">
        <v>2900</v>
      </c>
      <c r="X7" s="4" t="s">
        <v>2519</v>
      </c>
      <c r="Y7" s="46" t="s">
        <v>0</v>
      </c>
      <c r="Z7" s="4" t="s">
        <v>2464</v>
      </c>
      <c r="AA7" s="46" t="s">
        <v>2482</v>
      </c>
      <c r="AB7" s="4" t="s">
        <v>357</v>
      </c>
      <c r="AC7" s="7" t="s">
        <v>2656</v>
      </c>
      <c r="AD7" s="4" t="s">
        <v>2961</v>
      </c>
      <c r="AE7" s="7" t="s">
        <v>2900</v>
      </c>
      <c r="AF7" s="7" t="s">
        <v>2961</v>
      </c>
      <c r="AG7" s="7" t="s">
        <v>2961</v>
      </c>
      <c r="AI7" s="7" t="s">
        <v>4100</v>
      </c>
      <c r="AJ7" s="7" t="s">
        <v>2656</v>
      </c>
      <c r="AK7" s="41">
        <f>Table43[[#This Row],[Harga Jual Pcs GT
(-PPN)]]-(Table43[[#This Row],[Harga Jual Pcs GT
(-PPN)]]*10%)</f>
        <v>7560</v>
      </c>
      <c r="AL7" s="42">
        <f>Table43[[#This Row],[Harga Beli Pcs
(-PPN)]]*Table43[[#This Row],[ISI/CTN]]</f>
        <v>272160</v>
      </c>
      <c r="AM7" s="42">
        <f>Table43[[#This Row],[Harga Beli Pcs
(-PPN)]]*1.11</f>
        <v>8391.6</v>
      </c>
      <c r="AN7" s="42">
        <f>Table43[[#This Row],[Harga Beli Krt
(- PPN)]]*1.11</f>
        <v>302097.60000000003</v>
      </c>
      <c r="AO7" s="42">
        <v>8400</v>
      </c>
      <c r="AP7" s="42">
        <f>Table43[[#This Row],[Harga Jual Pcs GT
(-PPN)]]*Table43[[#This Row],[ISI/CTN]]</f>
        <v>302400</v>
      </c>
      <c r="AQ7" s="42">
        <f>Table43[[#This Row],[Harga Jual Pcs GT
(-PPN)]]*1.11</f>
        <v>9324</v>
      </c>
      <c r="AR7" s="42">
        <f>Table43[[#This Row],[Harga Jual Krt GT
(- PPN)]]*1.11</f>
        <v>335664.00000000006</v>
      </c>
      <c r="AS7" s="42">
        <f>Table43[[#This Row],[Harga Jual Pcs GT
(-PPN)]]</f>
        <v>8400</v>
      </c>
      <c r="AT7" s="42">
        <f>(Table43[[#This Row],[Harga Jual Pcs MT
(-PPN)]]*Table43[[#This Row],[ISI/CTN]])</f>
        <v>302400</v>
      </c>
      <c r="AU7" s="42">
        <f>Table43[[#This Row],[Harga Jual Pcs MT
(-PPN)]]*1.11</f>
        <v>9324</v>
      </c>
      <c r="AV7" s="42">
        <f>Table43[[#This Row],[Harga Jual Pcs MT
(+PPN)]]*Table43[[#This Row],[ISI/CTN]]</f>
        <v>335664</v>
      </c>
      <c r="AW7" s="47"/>
      <c r="AX7" s="7"/>
      <c r="AY7" s="7" t="str">
        <f ca="1">IF(TODAY()-Table43[[#This Row],[Efektif
Pembuatan]]&gt;60,"Lama","Baru")</f>
        <v>Lama</v>
      </c>
      <c r="AZ7" s="7" t="str">
        <f ca="1">IF(TODAY()-Table43[[#This Row],[Efektif Naik Harga]]&lt;30,"Naik","Sama")</f>
        <v>Sama</v>
      </c>
      <c r="BA7" s="7" t="str">
        <f>IF(Table43[[#This Row],[Kode BARANG Win2]]&lt;&gt;"","IDR","")</f>
        <v>IDR</v>
      </c>
      <c r="BB7" s="8" t="str">
        <f>CONCATENATE(Table43[[#This Row],[kode  1 Digit
(Nomor)]],Table43[[#This Row],[kode  4 Digit                (Nomor)]])</f>
        <v>10150</v>
      </c>
      <c r="BC7" s="7" t="str">
        <f>Table43[[#This Row],[Nama            Gramasi atau Jumlah Pack per CTN]]</f>
        <v>150ML</v>
      </c>
      <c r="BD7" s="7" t="s">
        <v>2465</v>
      </c>
      <c r="BE7" s="7" t="s">
        <v>2466</v>
      </c>
      <c r="BF7" s="4" t="str">
        <f>IF(Table43[[#This Row],[SATUAN Fix Win]]&lt;&gt;"","KRT")</f>
        <v>KRT</v>
      </c>
      <c r="BG7" s="4" t="str">
        <f>IF(Table43[[#This Row],[SATUAN Fix Win]]&lt;&gt;"","GD01")</f>
        <v>GD01</v>
      </c>
      <c r="BH7" s="4">
        <f>IF(Table43[[#This Row],[SATUAN Fix Win]]&lt;&gt;"",11611)</f>
        <v>11611</v>
      </c>
      <c r="BI7" s="4">
        <f>IF(Table43[[#This Row],[SATUAN Fix Win]]&lt;&gt;"",11612)</f>
        <v>11612</v>
      </c>
      <c r="BJ7" s="48" t="s">
        <v>2467</v>
      </c>
      <c r="BK7" s="4">
        <f>IF(Table43[[#This Row],[SATUAN Fix Win]]&lt;&gt;"",1)</f>
        <v>1</v>
      </c>
    </row>
    <row r="8" spans="1:67">
      <c r="A8" s="4" t="str">
        <f>CONCATENATE(Table43[[#This Row],[Kode BARANG Win2]],Table43[[#This Row],[No. Urut
Item Sama]])</f>
        <v>K10100020060101</v>
      </c>
      <c r="B8" s="7">
        <v>1</v>
      </c>
      <c r="D8" s="28" t="s">
        <v>981</v>
      </c>
      <c r="E8" s="28"/>
      <c r="F8" s="28" t="s">
        <v>2865</v>
      </c>
      <c r="G8" s="78">
        <v>36</v>
      </c>
      <c r="H8" s="43"/>
      <c r="I8" s="28" t="str">
        <f>Table43[[#This Row],[Nama Jenis Kemasan]]</f>
        <v>BTL</v>
      </c>
      <c r="J8" s="4" t="str">
        <f>TRIM(CONCATENATE(Table43[[#This Row],[Nama            KLP]]," ",Table43[[#This Row],[Nama            Sub KLP]]))</f>
        <v>ABSOLUTE</v>
      </c>
      <c r="K8" s="4" t="str">
        <f>CONCATENATE(Table43[[#This Row],[kode  2 Digit                (hrf+No)]],Table43[[#This Row],[kode  2 Digit                (Nomor)]],Table43[[#This Row],[kode  1 Digit                (Nomor)]])</f>
        <v>K1010</v>
      </c>
      <c r="L8" s="4" t="str">
        <f t="shared" si="0"/>
        <v>K1010002006010</v>
      </c>
      <c r="M8" s="11">
        <f t="shared" si="1"/>
        <v>14</v>
      </c>
      <c r="N8" s="14" t="str">
        <f>IF(AF8&lt;&gt;"",TRIM(UPPER(CONCATENATE(P8," ",R8," ",T8," ",V8," ",X8," ",Z8," ","X"," ",Table43[[#This Row],[ISI/CTN]]," ",AF8," ",AB8," ",AD8," ",AH8))),TRIM(UPPER(CONCATENATE(P8," ",R8," ",T8," ",V8," ",X8," ",Z8," ","X"," ",Table43[[#This Row],[ISI/CTN]]," ",AB8," ",AD8," ",AH8))))</f>
        <v>KNF ABSOLUTE ETERNITY 60ML X 36 BTL</v>
      </c>
      <c r="O8" s="11">
        <f t="shared" si="2"/>
        <v>35</v>
      </c>
      <c r="P8" s="4" t="s">
        <v>97</v>
      </c>
      <c r="Q8" s="7" t="s">
        <v>98</v>
      </c>
      <c r="R8" s="4" t="s">
        <v>2518</v>
      </c>
      <c r="S8" s="44" t="s">
        <v>0</v>
      </c>
      <c r="T8" s="45" t="s">
        <v>2961</v>
      </c>
      <c r="U8" s="7" t="s">
        <v>2900</v>
      </c>
      <c r="V8" s="45" t="s">
        <v>2961</v>
      </c>
      <c r="W8" s="44" t="s">
        <v>2900</v>
      </c>
      <c r="X8" s="4" t="s">
        <v>2520</v>
      </c>
      <c r="Y8" s="46" t="s">
        <v>2472</v>
      </c>
      <c r="Z8" s="4" t="s">
        <v>1026</v>
      </c>
      <c r="AA8" s="46" t="s">
        <v>2481</v>
      </c>
      <c r="AB8" s="4" t="s">
        <v>357</v>
      </c>
      <c r="AC8" s="7" t="s">
        <v>2656</v>
      </c>
      <c r="AD8" s="4" t="s">
        <v>2961</v>
      </c>
      <c r="AE8" s="7" t="s">
        <v>2900</v>
      </c>
      <c r="AF8" s="7" t="s">
        <v>2961</v>
      </c>
      <c r="AG8" s="7" t="s">
        <v>2961</v>
      </c>
      <c r="AI8" s="7" t="s">
        <v>4100</v>
      </c>
      <c r="AJ8" s="7" t="s">
        <v>2656</v>
      </c>
      <c r="AK8" s="41">
        <f>Table43[[#This Row],[Harga Jual Pcs GT
(-PPN)]]-(Table43[[#This Row],[Harga Jual Pcs GT
(-PPN)]]*10%)</f>
        <v>0</v>
      </c>
      <c r="AL8" s="42">
        <f>Table43[[#This Row],[Harga Beli Pcs
(-PPN)]]*Table43[[#This Row],[ISI/CTN]]</f>
        <v>0</v>
      </c>
      <c r="AM8" s="42">
        <f>Table43[[#This Row],[Harga Beli Pcs
(-PPN)]]*1.11</f>
        <v>0</v>
      </c>
      <c r="AN8" s="42">
        <f>Table43[[#This Row],[Harga Beli Krt
(- PPN)]]*1.11</f>
        <v>0</v>
      </c>
      <c r="AO8" s="42"/>
      <c r="AP8" s="42">
        <f>Table43[[#This Row],[Harga Jual Pcs GT
(-PPN)]]*Table43[[#This Row],[ISI/CTN]]</f>
        <v>0</v>
      </c>
      <c r="AQ8" s="42">
        <f>Table43[[#This Row],[Harga Jual Pcs GT
(-PPN)]]*1.11</f>
        <v>0</v>
      </c>
      <c r="AR8" s="42">
        <f>Table43[[#This Row],[Harga Jual Krt GT
(- PPN)]]*1.11</f>
        <v>0</v>
      </c>
      <c r="AS8" s="42">
        <f>Table43[[#This Row],[Harga Jual Pcs GT
(-PPN)]]</f>
        <v>0</v>
      </c>
      <c r="AT8" s="42">
        <f>(Table43[[#This Row],[Harga Jual Pcs MT
(-PPN)]]*Table43[[#This Row],[ISI/CTN]])</f>
        <v>0</v>
      </c>
      <c r="AU8" s="42">
        <f>Table43[[#This Row],[Harga Jual Pcs MT
(-PPN)]]*1.11</f>
        <v>0</v>
      </c>
      <c r="AV8" s="42">
        <f>Table43[[#This Row],[Harga Jual Pcs MT
(+PPN)]]*Table43[[#This Row],[ISI/CTN]]</f>
        <v>0</v>
      </c>
      <c r="AW8" s="47"/>
      <c r="AX8" s="7"/>
      <c r="AY8" s="7" t="str">
        <f ca="1">IF(TODAY()-Table43[[#This Row],[Efektif
Pembuatan]]&gt;60,"Lama","Baru")</f>
        <v>Lama</v>
      </c>
      <c r="AZ8" s="7" t="str">
        <f ca="1">IF(TODAY()-Table43[[#This Row],[Efektif Naik Harga]]&lt;30,"Naik","Sama")</f>
        <v>Sama</v>
      </c>
      <c r="BA8" s="7" t="str">
        <f>IF(Table43[[#This Row],[Kode BARANG Win2]]&lt;&gt;"","IDR","")</f>
        <v>IDR</v>
      </c>
      <c r="BB8" s="7" t="str">
        <f>CONCATENATE(Table43[[#This Row],[kode  1 Digit
(Nomor)]],Table43[[#This Row],[kode  4 Digit                (Nomor)]])</f>
        <v>10060</v>
      </c>
      <c r="BC8" s="7" t="str">
        <f>Table43[[#This Row],[Nama            Gramasi atau Jumlah Pack per CTN]]</f>
        <v>60ML</v>
      </c>
      <c r="BD8" s="7"/>
      <c r="BE8" s="7"/>
      <c r="BF8" s="4" t="str">
        <f>IF(Table43[[#This Row],[SATUAN Fix Win]]&lt;&gt;"","KRT")</f>
        <v>KRT</v>
      </c>
      <c r="BG8" s="4" t="str">
        <f>IF(Table43[[#This Row],[SATUAN Fix Win]]&lt;&gt;"","GD01")</f>
        <v>GD01</v>
      </c>
      <c r="BH8" s="4">
        <f>IF(Table43[[#This Row],[SATUAN Fix Win]]&lt;&gt;"",11611)</f>
        <v>11611</v>
      </c>
      <c r="BI8" s="4">
        <f>IF(Table43[[#This Row],[SATUAN Fix Win]]&lt;&gt;"",11612)</f>
        <v>11612</v>
      </c>
      <c r="BJ8" s="48"/>
      <c r="BK8" s="4">
        <f>IF(Table43[[#This Row],[SATUAN Fix Win]]&lt;&gt;"",1)</f>
        <v>1</v>
      </c>
    </row>
    <row r="9" spans="1:67">
      <c r="A9" s="4" t="str">
        <f>CONCATENATE(Table43[[#This Row],[Kode BARANG Win2]],Table43[[#This Row],[No. Urut
Item Sama]])</f>
        <v>K10100020150101</v>
      </c>
      <c r="B9" s="7">
        <v>1</v>
      </c>
      <c r="D9" s="28" t="s">
        <v>982</v>
      </c>
      <c r="E9" s="28"/>
      <c r="F9" s="28" t="s">
        <v>2866</v>
      </c>
      <c r="G9" s="78">
        <v>36</v>
      </c>
      <c r="H9" s="43"/>
      <c r="I9" s="28" t="str">
        <f>Table43[[#This Row],[Nama Jenis Kemasan]]</f>
        <v>BTL</v>
      </c>
      <c r="J9" s="4" t="str">
        <f>TRIM(CONCATENATE(Table43[[#This Row],[Nama            KLP]]," ",Table43[[#This Row],[Nama            Sub KLP]]))</f>
        <v>ABSOLUTE</v>
      </c>
      <c r="K9" s="4" t="str">
        <f>CONCATENATE(Table43[[#This Row],[kode  2 Digit                (hrf+No)]],Table43[[#This Row],[kode  2 Digit                (Nomor)]],Table43[[#This Row],[kode  1 Digit                (Nomor)]])</f>
        <v>K1010</v>
      </c>
      <c r="L9" s="4" t="str">
        <f t="shared" si="0"/>
        <v>K1010002015010</v>
      </c>
      <c r="M9" s="11">
        <f t="shared" si="1"/>
        <v>14</v>
      </c>
      <c r="N9" s="14" t="str">
        <f>IF(AF9&lt;&gt;"",TRIM(UPPER(CONCATENATE(P9," ",R9," ",T9," ",V9," ",X9," ",Z9," ","X"," ",Table43[[#This Row],[ISI/CTN]]," ",AF9," ",AB9," ",AD9," ",AH9))),TRIM(UPPER(CONCATENATE(P9," ",R9," ",T9," ",V9," ",X9," ",Z9," ","X"," ",Table43[[#This Row],[ISI/CTN]]," ",AB9," ",AD9," ",AH9))))</f>
        <v>KNF ABSOLUTE ETERNITY 150ML X 36 BTL</v>
      </c>
      <c r="O9" s="11">
        <f t="shared" si="2"/>
        <v>36</v>
      </c>
      <c r="P9" s="4" t="s">
        <v>97</v>
      </c>
      <c r="Q9" s="7" t="s">
        <v>98</v>
      </c>
      <c r="R9" s="4" t="s">
        <v>2518</v>
      </c>
      <c r="S9" s="44" t="s">
        <v>0</v>
      </c>
      <c r="T9" s="45" t="s">
        <v>2961</v>
      </c>
      <c r="U9" s="7" t="s">
        <v>2900</v>
      </c>
      <c r="V9" s="45" t="s">
        <v>2961</v>
      </c>
      <c r="W9" s="44" t="s">
        <v>2900</v>
      </c>
      <c r="X9" s="4" t="s">
        <v>2520</v>
      </c>
      <c r="Y9" s="46" t="s">
        <v>2472</v>
      </c>
      <c r="Z9" s="4" t="s">
        <v>2464</v>
      </c>
      <c r="AA9" s="46" t="s">
        <v>2482</v>
      </c>
      <c r="AB9" s="4" t="s">
        <v>357</v>
      </c>
      <c r="AC9" s="7" t="s">
        <v>2656</v>
      </c>
      <c r="AD9" s="4" t="s">
        <v>2961</v>
      </c>
      <c r="AE9" s="7" t="s">
        <v>2900</v>
      </c>
      <c r="AF9" s="7" t="s">
        <v>2961</v>
      </c>
      <c r="AG9" s="7" t="s">
        <v>2961</v>
      </c>
      <c r="AI9" s="7" t="s">
        <v>4100</v>
      </c>
      <c r="AJ9" s="7" t="s">
        <v>2656</v>
      </c>
      <c r="AK9" s="41">
        <f>Table43[[#This Row],[Harga Jual Pcs GT
(-PPN)]]-(Table43[[#This Row],[Harga Jual Pcs GT
(-PPN)]]*10%)</f>
        <v>0</v>
      </c>
      <c r="AL9" s="42">
        <f>Table43[[#This Row],[Harga Beli Pcs
(-PPN)]]*Table43[[#This Row],[ISI/CTN]]</f>
        <v>0</v>
      </c>
      <c r="AM9" s="42">
        <f>Table43[[#This Row],[Harga Beli Pcs
(-PPN)]]*1.11</f>
        <v>0</v>
      </c>
      <c r="AN9" s="42">
        <f>Table43[[#This Row],[Harga Beli Krt
(- PPN)]]*1.11</f>
        <v>0</v>
      </c>
      <c r="AO9" s="42"/>
      <c r="AP9" s="42">
        <f>Table43[[#This Row],[Harga Jual Pcs GT
(-PPN)]]*Table43[[#This Row],[ISI/CTN]]</f>
        <v>0</v>
      </c>
      <c r="AQ9" s="42">
        <f>Table43[[#This Row],[Harga Jual Pcs GT
(-PPN)]]*1.11</f>
        <v>0</v>
      </c>
      <c r="AR9" s="42">
        <f>Table43[[#This Row],[Harga Jual Krt GT
(- PPN)]]*1.11</f>
        <v>0</v>
      </c>
      <c r="AS9" s="42">
        <f>Table43[[#This Row],[Harga Jual Pcs GT
(-PPN)]]</f>
        <v>0</v>
      </c>
      <c r="AT9" s="42">
        <f>(Table43[[#This Row],[Harga Jual Pcs MT
(-PPN)]]*Table43[[#This Row],[ISI/CTN]])</f>
        <v>0</v>
      </c>
      <c r="AU9" s="42">
        <f>Table43[[#This Row],[Harga Jual Pcs MT
(-PPN)]]*1.11</f>
        <v>0</v>
      </c>
      <c r="AV9" s="42">
        <f>Table43[[#This Row],[Harga Jual Pcs MT
(+PPN)]]*Table43[[#This Row],[ISI/CTN]]</f>
        <v>0</v>
      </c>
      <c r="AW9" s="47"/>
      <c r="AX9" s="7"/>
      <c r="AY9" s="7" t="str">
        <f ca="1">IF(TODAY()-Table43[[#This Row],[Efektif
Pembuatan]]&gt;60,"Lama","Baru")</f>
        <v>Lama</v>
      </c>
      <c r="AZ9" s="7" t="str">
        <f ca="1">IF(TODAY()-Table43[[#This Row],[Efektif Naik Harga]]&lt;30,"Naik","Sama")</f>
        <v>Sama</v>
      </c>
      <c r="BA9" s="7" t="str">
        <f>IF(Table43[[#This Row],[Kode BARANG Win2]]&lt;&gt;"","IDR","")</f>
        <v>IDR</v>
      </c>
      <c r="BB9" s="7" t="str">
        <f>CONCATENATE(Table43[[#This Row],[kode  1 Digit
(Nomor)]],Table43[[#This Row],[kode  4 Digit                (Nomor)]])</f>
        <v>10150</v>
      </c>
      <c r="BC9" s="7" t="str">
        <f>Table43[[#This Row],[Nama            Gramasi atau Jumlah Pack per CTN]]</f>
        <v>150ML</v>
      </c>
      <c r="BD9" s="7"/>
      <c r="BE9" s="7"/>
      <c r="BF9" s="4" t="str">
        <f>IF(Table43[[#This Row],[SATUAN Fix Win]]&lt;&gt;"","KRT")</f>
        <v>KRT</v>
      </c>
      <c r="BG9" s="4" t="str">
        <f>IF(Table43[[#This Row],[SATUAN Fix Win]]&lt;&gt;"","GD01")</f>
        <v>GD01</v>
      </c>
      <c r="BH9" s="4">
        <f>IF(Table43[[#This Row],[SATUAN Fix Win]]&lt;&gt;"",11611)</f>
        <v>11611</v>
      </c>
      <c r="BI9" s="4">
        <f>IF(Table43[[#This Row],[SATUAN Fix Win]]&lt;&gt;"",11612)</f>
        <v>11612</v>
      </c>
      <c r="BJ9" s="48"/>
      <c r="BK9" s="4">
        <f>IF(Table43[[#This Row],[SATUAN Fix Win]]&lt;&gt;"",1)</f>
        <v>1</v>
      </c>
    </row>
    <row r="10" spans="1:67">
      <c r="A10" s="4" t="str">
        <f>CONCATENATE(Table43[[#This Row],[Kode BARANG Win2]],Table43[[#This Row],[No. Urut
Item Sama]])</f>
        <v>K10100030060101</v>
      </c>
      <c r="B10" s="7">
        <v>1</v>
      </c>
      <c r="D10" s="28" t="s">
        <v>983</v>
      </c>
      <c r="E10" s="28"/>
      <c r="F10" s="28" t="s">
        <v>2867</v>
      </c>
      <c r="G10" s="78">
        <v>36</v>
      </c>
      <c r="H10" s="43"/>
      <c r="I10" s="28" t="str">
        <f>Table43[[#This Row],[Nama Jenis Kemasan]]</f>
        <v>BTL</v>
      </c>
      <c r="J10" s="4" t="str">
        <f>TRIM(CONCATENATE(Table43[[#This Row],[Nama            KLP]]," ",Table43[[#This Row],[Nama            Sub KLP]]))</f>
        <v>ABSOLUTE</v>
      </c>
      <c r="K10" s="4" t="str">
        <f>CONCATENATE(Table43[[#This Row],[kode  2 Digit                (hrf+No)]],Table43[[#This Row],[kode  2 Digit                (Nomor)]],Table43[[#This Row],[kode  1 Digit                (Nomor)]])</f>
        <v>K1010</v>
      </c>
      <c r="L10" s="4" t="str">
        <f t="shared" si="0"/>
        <v>K1010003006010</v>
      </c>
      <c r="M10" s="11">
        <f t="shared" si="1"/>
        <v>14</v>
      </c>
      <c r="N10" s="14" t="str">
        <f>IF(AF10&lt;&gt;"",TRIM(UPPER(CONCATENATE(P10," ",R10," ",T10," ",V10," ",X10," ",Z10," ","X"," ",Table43[[#This Row],[ISI/CTN]]," ",AF10," ",AB10," ",AD10," ",AH10))),TRIM(UPPER(CONCATENATE(P10," ",R10," ",T10," ",V10," ",X10," ",Z10," ","X"," ",Table43[[#This Row],[ISI/CTN]]," ",AB10," ",AD10," ",AH10))))</f>
        <v>KNF ABSOLUTE INTIMACY 60ML X 36 BTL</v>
      </c>
      <c r="O10" s="11">
        <f t="shared" si="2"/>
        <v>35</v>
      </c>
      <c r="P10" s="4" t="s">
        <v>97</v>
      </c>
      <c r="Q10" s="7" t="s">
        <v>98</v>
      </c>
      <c r="R10" s="4" t="s">
        <v>2518</v>
      </c>
      <c r="S10" s="44" t="s">
        <v>0</v>
      </c>
      <c r="T10" s="45" t="s">
        <v>2961</v>
      </c>
      <c r="U10" s="7" t="s">
        <v>2900</v>
      </c>
      <c r="V10" s="45" t="s">
        <v>2961</v>
      </c>
      <c r="W10" s="44" t="s">
        <v>2900</v>
      </c>
      <c r="X10" s="4" t="s">
        <v>2521</v>
      </c>
      <c r="Y10" s="46" t="s">
        <v>2473</v>
      </c>
      <c r="Z10" s="4" t="s">
        <v>1026</v>
      </c>
      <c r="AA10" s="46" t="s">
        <v>2481</v>
      </c>
      <c r="AB10" s="4" t="s">
        <v>357</v>
      </c>
      <c r="AC10" s="7" t="s">
        <v>2656</v>
      </c>
      <c r="AD10" s="4" t="s">
        <v>2961</v>
      </c>
      <c r="AE10" s="7" t="s">
        <v>2900</v>
      </c>
      <c r="AF10" s="7" t="s">
        <v>2961</v>
      </c>
      <c r="AG10" s="7" t="s">
        <v>2961</v>
      </c>
      <c r="AI10" s="7" t="s">
        <v>4100</v>
      </c>
      <c r="AJ10" s="7" t="s">
        <v>2656</v>
      </c>
      <c r="AK10" s="41">
        <f>Table43[[#This Row],[Harga Jual Pcs GT
(-PPN)]]-(Table43[[#This Row],[Harga Jual Pcs GT
(-PPN)]]*10%)</f>
        <v>0</v>
      </c>
      <c r="AL10" s="42">
        <f>Table43[[#This Row],[Harga Beli Pcs
(-PPN)]]*Table43[[#This Row],[ISI/CTN]]</f>
        <v>0</v>
      </c>
      <c r="AM10" s="42">
        <f>Table43[[#This Row],[Harga Beli Pcs
(-PPN)]]*1.11</f>
        <v>0</v>
      </c>
      <c r="AN10" s="42">
        <f>Table43[[#This Row],[Harga Beli Krt
(- PPN)]]*1.11</f>
        <v>0</v>
      </c>
      <c r="AO10" s="42"/>
      <c r="AP10" s="42">
        <f>Table43[[#This Row],[Harga Jual Pcs GT
(-PPN)]]*Table43[[#This Row],[ISI/CTN]]</f>
        <v>0</v>
      </c>
      <c r="AQ10" s="42">
        <f>Table43[[#This Row],[Harga Jual Pcs GT
(-PPN)]]*1.11</f>
        <v>0</v>
      </c>
      <c r="AR10" s="42">
        <f>Table43[[#This Row],[Harga Jual Krt GT
(- PPN)]]*1.11</f>
        <v>0</v>
      </c>
      <c r="AS10" s="42">
        <f>Table43[[#This Row],[Harga Jual Pcs GT
(-PPN)]]</f>
        <v>0</v>
      </c>
      <c r="AT10" s="42">
        <f>(Table43[[#This Row],[Harga Jual Pcs MT
(-PPN)]]*Table43[[#This Row],[ISI/CTN]])</f>
        <v>0</v>
      </c>
      <c r="AU10" s="42">
        <f>Table43[[#This Row],[Harga Jual Pcs MT
(-PPN)]]*1.11</f>
        <v>0</v>
      </c>
      <c r="AV10" s="42">
        <f>Table43[[#This Row],[Harga Jual Pcs MT
(+PPN)]]*Table43[[#This Row],[ISI/CTN]]</f>
        <v>0</v>
      </c>
      <c r="AW10" s="47"/>
      <c r="AX10" s="7"/>
      <c r="AY10" s="7" t="str">
        <f ca="1">IF(TODAY()-Table43[[#This Row],[Efektif
Pembuatan]]&gt;60,"Lama","Baru")</f>
        <v>Lama</v>
      </c>
      <c r="AZ10" s="7" t="str">
        <f ca="1">IF(TODAY()-Table43[[#This Row],[Efektif Naik Harga]]&lt;30,"Naik","Sama")</f>
        <v>Sama</v>
      </c>
      <c r="BA10" s="7" t="str">
        <f>IF(Table43[[#This Row],[Kode BARANG Win2]]&lt;&gt;"","IDR","")</f>
        <v>IDR</v>
      </c>
      <c r="BB10" s="7" t="str">
        <f>CONCATENATE(Table43[[#This Row],[kode  1 Digit
(Nomor)]],Table43[[#This Row],[kode  4 Digit                (Nomor)]])</f>
        <v>10060</v>
      </c>
      <c r="BC10" s="7" t="str">
        <f>Table43[[#This Row],[Nama            Gramasi atau Jumlah Pack per CTN]]</f>
        <v>60ML</v>
      </c>
      <c r="BD10" s="7"/>
      <c r="BE10" s="7"/>
      <c r="BF10" s="4" t="str">
        <f>IF(Table43[[#This Row],[SATUAN Fix Win]]&lt;&gt;"","KRT")</f>
        <v>KRT</v>
      </c>
      <c r="BG10" s="4" t="str">
        <f>IF(Table43[[#This Row],[SATUAN Fix Win]]&lt;&gt;"","GD01")</f>
        <v>GD01</v>
      </c>
      <c r="BH10" s="4">
        <f>IF(Table43[[#This Row],[SATUAN Fix Win]]&lt;&gt;"",11611)</f>
        <v>11611</v>
      </c>
      <c r="BI10" s="4">
        <f>IF(Table43[[#This Row],[SATUAN Fix Win]]&lt;&gt;"",11612)</f>
        <v>11612</v>
      </c>
      <c r="BJ10" s="48"/>
      <c r="BK10" s="4">
        <f>IF(Table43[[#This Row],[SATUAN Fix Win]]&lt;&gt;"",1)</f>
        <v>1</v>
      </c>
    </row>
    <row r="11" spans="1:67">
      <c r="A11" s="4" t="str">
        <f>CONCATENATE(Table43[[#This Row],[Kode BARANG Win2]],Table43[[#This Row],[No. Urut
Item Sama]])</f>
        <v>K10100030150101</v>
      </c>
      <c r="B11" s="7">
        <v>1</v>
      </c>
      <c r="D11" s="28" t="s">
        <v>984</v>
      </c>
      <c r="E11" s="28"/>
      <c r="F11" s="28" t="s">
        <v>2868</v>
      </c>
      <c r="G11" s="78">
        <v>36</v>
      </c>
      <c r="H11" s="43"/>
      <c r="I11" s="28" t="str">
        <f>Table43[[#This Row],[Nama Jenis Kemasan]]</f>
        <v>BTL</v>
      </c>
      <c r="J11" s="4" t="str">
        <f>TRIM(CONCATENATE(Table43[[#This Row],[Nama            KLP]]," ",Table43[[#This Row],[Nama            Sub KLP]]))</f>
        <v>ABSOLUTE</v>
      </c>
      <c r="K11" s="4" t="str">
        <f>CONCATENATE(Table43[[#This Row],[kode  2 Digit                (hrf+No)]],Table43[[#This Row],[kode  2 Digit                (Nomor)]],Table43[[#This Row],[kode  1 Digit                (Nomor)]])</f>
        <v>K1010</v>
      </c>
      <c r="L11" s="4" t="str">
        <f t="shared" si="0"/>
        <v>K1010003015010</v>
      </c>
      <c r="M11" s="11">
        <f t="shared" si="1"/>
        <v>14</v>
      </c>
      <c r="N11" s="14" t="str">
        <f>IF(AF11&lt;&gt;"",TRIM(UPPER(CONCATENATE(P11," ",R11," ",T11," ",V11," ",X11," ",Z11," ","X"," ",Table43[[#This Row],[ISI/CTN]]," ",AF11," ",AB11," ",AD11," ",AH11))),TRIM(UPPER(CONCATENATE(P11," ",R11," ",T11," ",V11," ",X11," ",Z11," ","X"," ",Table43[[#This Row],[ISI/CTN]]," ",AB11," ",AD11," ",AH11))))</f>
        <v>KNF ABSOLUTE INTIMACY 150ML X 36 BTL</v>
      </c>
      <c r="O11" s="11">
        <f t="shared" si="2"/>
        <v>36</v>
      </c>
      <c r="P11" s="4" t="s">
        <v>97</v>
      </c>
      <c r="Q11" s="7" t="s">
        <v>98</v>
      </c>
      <c r="R11" s="4" t="s">
        <v>2518</v>
      </c>
      <c r="S11" s="44" t="s">
        <v>0</v>
      </c>
      <c r="T11" s="45" t="s">
        <v>2961</v>
      </c>
      <c r="U11" s="7" t="s">
        <v>2900</v>
      </c>
      <c r="V11" s="45" t="s">
        <v>2961</v>
      </c>
      <c r="W11" s="44" t="s">
        <v>2900</v>
      </c>
      <c r="X11" s="4" t="s">
        <v>2521</v>
      </c>
      <c r="Y11" s="46" t="s">
        <v>2473</v>
      </c>
      <c r="Z11" s="4" t="s">
        <v>2464</v>
      </c>
      <c r="AA11" s="46" t="s">
        <v>2482</v>
      </c>
      <c r="AB11" s="4" t="s">
        <v>357</v>
      </c>
      <c r="AC11" s="7" t="s">
        <v>2656</v>
      </c>
      <c r="AD11" s="4" t="s">
        <v>2961</v>
      </c>
      <c r="AE11" s="7" t="s">
        <v>2900</v>
      </c>
      <c r="AF11" s="7" t="s">
        <v>2961</v>
      </c>
      <c r="AG11" s="7" t="s">
        <v>2961</v>
      </c>
      <c r="AI11" s="7" t="s">
        <v>4100</v>
      </c>
      <c r="AJ11" s="7" t="s">
        <v>2656</v>
      </c>
      <c r="AK11" s="41">
        <f>Table43[[#This Row],[Harga Jual Pcs GT
(-PPN)]]-(Table43[[#This Row],[Harga Jual Pcs GT
(-PPN)]]*10%)</f>
        <v>0</v>
      </c>
      <c r="AL11" s="42">
        <f>Table43[[#This Row],[Harga Beli Pcs
(-PPN)]]*Table43[[#This Row],[ISI/CTN]]</f>
        <v>0</v>
      </c>
      <c r="AM11" s="42">
        <f>Table43[[#This Row],[Harga Beli Pcs
(-PPN)]]*1.11</f>
        <v>0</v>
      </c>
      <c r="AN11" s="42">
        <f>Table43[[#This Row],[Harga Beli Krt
(- PPN)]]*1.11</f>
        <v>0</v>
      </c>
      <c r="AO11" s="42"/>
      <c r="AP11" s="42">
        <f>Table43[[#This Row],[Harga Jual Pcs GT
(-PPN)]]*Table43[[#This Row],[ISI/CTN]]</f>
        <v>0</v>
      </c>
      <c r="AQ11" s="42">
        <f>Table43[[#This Row],[Harga Jual Pcs GT
(-PPN)]]*1.11</f>
        <v>0</v>
      </c>
      <c r="AR11" s="42">
        <f>Table43[[#This Row],[Harga Jual Krt GT
(- PPN)]]*1.11</f>
        <v>0</v>
      </c>
      <c r="AS11" s="42">
        <f>Table43[[#This Row],[Harga Jual Pcs GT
(-PPN)]]</f>
        <v>0</v>
      </c>
      <c r="AT11" s="42">
        <f>(Table43[[#This Row],[Harga Jual Pcs MT
(-PPN)]]*Table43[[#This Row],[ISI/CTN]])</f>
        <v>0</v>
      </c>
      <c r="AU11" s="42">
        <f>Table43[[#This Row],[Harga Jual Pcs MT
(-PPN)]]*1.11</f>
        <v>0</v>
      </c>
      <c r="AV11" s="42">
        <f>Table43[[#This Row],[Harga Jual Pcs MT
(+PPN)]]*Table43[[#This Row],[ISI/CTN]]</f>
        <v>0</v>
      </c>
      <c r="AW11" s="47"/>
      <c r="AX11" s="7"/>
      <c r="AY11" s="7" t="str">
        <f ca="1">IF(TODAY()-Table43[[#This Row],[Efektif
Pembuatan]]&gt;60,"Lama","Baru")</f>
        <v>Lama</v>
      </c>
      <c r="AZ11" s="7" t="str">
        <f ca="1">IF(TODAY()-Table43[[#This Row],[Efektif Naik Harga]]&lt;30,"Naik","Sama")</f>
        <v>Sama</v>
      </c>
      <c r="BA11" s="7" t="str">
        <f>IF(Table43[[#This Row],[Kode BARANG Win2]]&lt;&gt;"","IDR","")</f>
        <v>IDR</v>
      </c>
      <c r="BB11" s="7" t="str">
        <f>CONCATENATE(Table43[[#This Row],[kode  1 Digit
(Nomor)]],Table43[[#This Row],[kode  4 Digit                (Nomor)]])</f>
        <v>10150</v>
      </c>
      <c r="BC11" s="7" t="str">
        <f>Table43[[#This Row],[Nama            Gramasi atau Jumlah Pack per CTN]]</f>
        <v>150ML</v>
      </c>
      <c r="BD11" s="7"/>
      <c r="BE11" s="7"/>
      <c r="BF11" s="4" t="str">
        <f>IF(Table43[[#This Row],[SATUAN Fix Win]]&lt;&gt;"","KRT")</f>
        <v>KRT</v>
      </c>
      <c r="BG11" s="4" t="str">
        <f>IF(Table43[[#This Row],[SATUAN Fix Win]]&lt;&gt;"","GD01")</f>
        <v>GD01</v>
      </c>
      <c r="BH11" s="4">
        <f>IF(Table43[[#This Row],[SATUAN Fix Win]]&lt;&gt;"",11611)</f>
        <v>11611</v>
      </c>
      <c r="BI11" s="4">
        <f>IF(Table43[[#This Row],[SATUAN Fix Win]]&lt;&gt;"",11612)</f>
        <v>11612</v>
      </c>
      <c r="BJ11" s="48"/>
      <c r="BK11" s="4">
        <f>IF(Table43[[#This Row],[SATUAN Fix Win]]&lt;&gt;"",1)</f>
        <v>1</v>
      </c>
    </row>
    <row r="12" spans="1:67">
      <c r="A12" s="4" t="str">
        <f>CONCATENATE(Table43[[#This Row],[Kode BARANG Win2]],Table43[[#This Row],[No. Urut
Item Sama]])</f>
        <v>K10200010060101</v>
      </c>
      <c r="B12" s="7">
        <v>1</v>
      </c>
      <c r="D12" s="28" t="s">
        <v>985</v>
      </c>
      <c r="E12" s="28"/>
      <c r="F12" s="28" t="s">
        <v>2869</v>
      </c>
      <c r="G12" s="78">
        <v>36</v>
      </c>
      <c r="H12" s="43"/>
      <c r="I12" s="28" t="str">
        <f>Table43[[#This Row],[Nama Jenis Kemasan]]</f>
        <v>BTL</v>
      </c>
      <c r="J12" s="4" t="str">
        <f>TRIM(CONCATENATE(Table43[[#This Row],[Nama            KLP]]," ",Table43[[#This Row],[Nama            Sub KLP]]))</f>
        <v>ABSOLUTE HYPO</v>
      </c>
      <c r="K12" s="4" t="str">
        <f>CONCATENATE(Table43[[#This Row],[kode  2 Digit                (hrf+No)]],Table43[[#This Row],[kode  2 Digit                (Nomor)]],Table43[[#This Row],[kode  1 Digit                (Nomor)]])</f>
        <v>K1020</v>
      </c>
      <c r="L12" s="4" t="str">
        <f t="shared" si="0"/>
        <v>K1020001006010</v>
      </c>
      <c r="M12" s="11">
        <f t="shared" si="1"/>
        <v>14</v>
      </c>
      <c r="N12" s="14" t="str">
        <f>IF(AF12&lt;&gt;"",TRIM(UPPER(CONCATENATE(P12," ",R12," ",T12," ",V12," ",X12," ",Z12," ","X"," ",Table43[[#This Row],[ISI/CTN]]," ",AF12," ",AB12," ",AD12," ",AH12))),TRIM(UPPER(CONCATENATE(P12," ",R12," ",T12," ",V12," ",X12," ",Z12," ","X"," ",Table43[[#This Row],[ISI/CTN]]," ",AB12," ",AD12," ",AH12))))</f>
        <v>KNF ABSOLUTE HYPO NATURALLY SOOTHING 60ML X 36 BTL</v>
      </c>
      <c r="O12" s="11">
        <f t="shared" si="2"/>
        <v>50</v>
      </c>
      <c r="P12" s="4" t="s">
        <v>97</v>
      </c>
      <c r="Q12" s="7" t="s">
        <v>98</v>
      </c>
      <c r="R12" s="4" t="s">
        <v>2526</v>
      </c>
      <c r="S12" s="44" t="s">
        <v>2472</v>
      </c>
      <c r="T12" s="45" t="s">
        <v>2961</v>
      </c>
      <c r="U12" s="7" t="s">
        <v>2900</v>
      </c>
      <c r="V12" s="45" t="s">
        <v>2961</v>
      </c>
      <c r="W12" s="44" t="s">
        <v>2900</v>
      </c>
      <c r="X12" s="4" t="s">
        <v>2527</v>
      </c>
      <c r="Y12" s="46" t="s">
        <v>0</v>
      </c>
      <c r="Z12" s="4" t="s">
        <v>1026</v>
      </c>
      <c r="AA12" s="46" t="s">
        <v>2481</v>
      </c>
      <c r="AB12" s="4" t="s">
        <v>357</v>
      </c>
      <c r="AC12" s="7" t="s">
        <v>2656</v>
      </c>
      <c r="AD12" s="4" t="s">
        <v>2961</v>
      </c>
      <c r="AE12" s="7" t="s">
        <v>2900</v>
      </c>
      <c r="AF12" s="7" t="s">
        <v>2961</v>
      </c>
      <c r="AG12" s="7" t="s">
        <v>2961</v>
      </c>
      <c r="AI12" s="7" t="s">
        <v>4100</v>
      </c>
      <c r="AJ12" s="7" t="s">
        <v>2656</v>
      </c>
      <c r="AK12" s="41">
        <f>Table43[[#This Row],[Harga Jual Pcs GT
(-PPN)]]-(Table43[[#This Row],[Harga Jual Pcs GT
(-PPN)]]*10%)</f>
        <v>0</v>
      </c>
      <c r="AL12" s="42">
        <f>Table43[[#This Row],[Harga Beli Pcs
(-PPN)]]*Table43[[#This Row],[ISI/CTN]]</f>
        <v>0</v>
      </c>
      <c r="AM12" s="42">
        <f>Table43[[#This Row],[Harga Beli Pcs
(-PPN)]]*1.11</f>
        <v>0</v>
      </c>
      <c r="AN12" s="42">
        <f>Table43[[#This Row],[Harga Beli Krt
(- PPN)]]*1.11</f>
        <v>0</v>
      </c>
      <c r="AO12" s="42"/>
      <c r="AP12" s="42">
        <f>Table43[[#This Row],[Harga Jual Pcs GT
(-PPN)]]*Table43[[#This Row],[ISI/CTN]]</f>
        <v>0</v>
      </c>
      <c r="AQ12" s="42">
        <f>Table43[[#This Row],[Harga Jual Pcs GT
(-PPN)]]*1.11</f>
        <v>0</v>
      </c>
      <c r="AR12" s="42">
        <f>Table43[[#This Row],[Harga Jual Krt GT
(- PPN)]]*1.11</f>
        <v>0</v>
      </c>
      <c r="AS12" s="42">
        <f>Table43[[#This Row],[Harga Jual Pcs GT
(-PPN)]]</f>
        <v>0</v>
      </c>
      <c r="AT12" s="42">
        <f>(Table43[[#This Row],[Harga Jual Pcs MT
(-PPN)]]*Table43[[#This Row],[ISI/CTN]])</f>
        <v>0</v>
      </c>
      <c r="AU12" s="42">
        <f>Table43[[#This Row],[Harga Jual Pcs MT
(-PPN)]]*1.11</f>
        <v>0</v>
      </c>
      <c r="AV12" s="42">
        <f>Table43[[#This Row],[Harga Jual Pcs MT
(+PPN)]]*Table43[[#This Row],[ISI/CTN]]</f>
        <v>0</v>
      </c>
      <c r="AW12" s="47"/>
      <c r="AX12" s="7"/>
      <c r="AY12" s="7" t="str">
        <f ca="1">IF(TODAY()-Table43[[#This Row],[Efektif
Pembuatan]]&gt;60,"Lama","Baru")</f>
        <v>Lama</v>
      </c>
      <c r="AZ12" s="7" t="str">
        <f ca="1">IF(TODAY()-Table43[[#This Row],[Efektif Naik Harga]]&lt;30,"Naik","Sama")</f>
        <v>Sama</v>
      </c>
      <c r="BA12" s="7" t="str">
        <f>IF(Table43[[#This Row],[Kode BARANG Win2]]&lt;&gt;"","IDR","")</f>
        <v>IDR</v>
      </c>
      <c r="BB12" s="7" t="str">
        <f>CONCATENATE(Table43[[#This Row],[kode  1 Digit
(Nomor)]],Table43[[#This Row],[kode  4 Digit                (Nomor)]])</f>
        <v>10060</v>
      </c>
      <c r="BC12" s="7" t="str">
        <f>Table43[[#This Row],[Nama            Gramasi atau Jumlah Pack per CTN]]</f>
        <v>60ML</v>
      </c>
      <c r="BD12" s="7"/>
      <c r="BE12" s="7"/>
      <c r="BF12" s="4" t="str">
        <f>IF(Table43[[#This Row],[SATUAN Fix Win]]&lt;&gt;"","KRT")</f>
        <v>KRT</v>
      </c>
      <c r="BG12" s="4" t="str">
        <f>IF(Table43[[#This Row],[SATUAN Fix Win]]&lt;&gt;"","GD01")</f>
        <v>GD01</v>
      </c>
      <c r="BH12" s="4">
        <f>IF(Table43[[#This Row],[SATUAN Fix Win]]&lt;&gt;"",11611)</f>
        <v>11611</v>
      </c>
      <c r="BI12" s="4">
        <f>IF(Table43[[#This Row],[SATUAN Fix Win]]&lt;&gt;"",11612)</f>
        <v>11612</v>
      </c>
      <c r="BJ12" s="48"/>
      <c r="BK12" s="4">
        <f>IF(Table43[[#This Row],[SATUAN Fix Win]]&lt;&gt;"",1)</f>
        <v>1</v>
      </c>
    </row>
    <row r="13" spans="1:67">
      <c r="A13" s="4" t="str">
        <f>CONCATENATE(Table43[[#This Row],[Kode BARANG Win2]],Table43[[#This Row],[No. Urut
Item Sama]])</f>
        <v>K10200010150101</v>
      </c>
      <c r="B13" s="7">
        <v>1</v>
      </c>
      <c r="D13" s="28" t="s">
        <v>986</v>
      </c>
      <c r="E13" s="28"/>
      <c r="F13" s="28" t="s">
        <v>2870</v>
      </c>
      <c r="G13" s="78">
        <v>36</v>
      </c>
      <c r="H13" s="43"/>
      <c r="I13" s="28" t="str">
        <f>Table43[[#This Row],[Nama Jenis Kemasan]]</f>
        <v>BTL</v>
      </c>
      <c r="J13" s="4" t="str">
        <f>TRIM(CONCATENATE(Table43[[#This Row],[Nama            KLP]]," ",Table43[[#This Row],[Nama            Sub KLP]]))</f>
        <v>ABSOLUTE HYPO</v>
      </c>
      <c r="K13" s="4" t="str">
        <f>CONCATENATE(Table43[[#This Row],[kode  2 Digit                (hrf+No)]],Table43[[#This Row],[kode  2 Digit                (Nomor)]],Table43[[#This Row],[kode  1 Digit                (Nomor)]])</f>
        <v>K1020</v>
      </c>
      <c r="L13" s="4" t="str">
        <f t="shared" si="0"/>
        <v>K1020001015010</v>
      </c>
      <c r="M13" s="11">
        <f t="shared" si="1"/>
        <v>14</v>
      </c>
      <c r="N13" s="14" t="str">
        <f>IF(AF13&lt;&gt;"",TRIM(UPPER(CONCATENATE(P13," ",R13," ",T13," ",V13," ",X13," ",Z13," ","X"," ",Table43[[#This Row],[ISI/CTN]]," ",AF13," ",AB13," ",AD13," ",AH13))),TRIM(UPPER(CONCATENATE(P13," ",R13," ",T13," ",V13," ",X13," ",Z13," ","X"," ",Table43[[#This Row],[ISI/CTN]]," ",AB13," ",AD13," ",AH13))))</f>
        <v>KNF ABSOLUTE HYPO NATURALLY SOOTHING 150ML X 36 BTL</v>
      </c>
      <c r="O13" s="11">
        <f t="shared" si="2"/>
        <v>51</v>
      </c>
      <c r="P13" s="4" t="s">
        <v>97</v>
      </c>
      <c r="Q13" s="7" t="s">
        <v>98</v>
      </c>
      <c r="R13" s="4" t="s">
        <v>2526</v>
      </c>
      <c r="S13" s="44" t="s">
        <v>2472</v>
      </c>
      <c r="T13" s="45" t="s">
        <v>2961</v>
      </c>
      <c r="U13" s="7" t="s">
        <v>2900</v>
      </c>
      <c r="V13" s="45" t="s">
        <v>2961</v>
      </c>
      <c r="W13" s="44" t="s">
        <v>2900</v>
      </c>
      <c r="X13" s="4" t="s">
        <v>2527</v>
      </c>
      <c r="Y13" s="46" t="s">
        <v>0</v>
      </c>
      <c r="Z13" s="4" t="s">
        <v>2464</v>
      </c>
      <c r="AA13" s="46" t="s">
        <v>2482</v>
      </c>
      <c r="AB13" s="4" t="s">
        <v>357</v>
      </c>
      <c r="AC13" s="7" t="s">
        <v>2656</v>
      </c>
      <c r="AD13" s="4" t="s">
        <v>2961</v>
      </c>
      <c r="AE13" s="7" t="s">
        <v>2900</v>
      </c>
      <c r="AF13" s="7" t="s">
        <v>2961</v>
      </c>
      <c r="AG13" s="7" t="s">
        <v>2961</v>
      </c>
      <c r="AI13" s="7" t="s">
        <v>4100</v>
      </c>
      <c r="AJ13" s="7" t="s">
        <v>2656</v>
      </c>
      <c r="AK13" s="41">
        <f>Table43[[#This Row],[Harga Jual Pcs GT
(-PPN)]]-(Table43[[#This Row],[Harga Jual Pcs GT
(-PPN)]]*10%)</f>
        <v>0</v>
      </c>
      <c r="AL13" s="42">
        <f>Table43[[#This Row],[Harga Beli Pcs
(-PPN)]]*Table43[[#This Row],[ISI/CTN]]</f>
        <v>0</v>
      </c>
      <c r="AM13" s="42">
        <f>Table43[[#This Row],[Harga Beli Pcs
(-PPN)]]*1.11</f>
        <v>0</v>
      </c>
      <c r="AN13" s="42">
        <f>Table43[[#This Row],[Harga Beli Krt
(- PPN)]]*1.11</f>
        <v>0</v>
      </c>
      <c r="AO13" s="42"/>
      <c r="AP13" s="42">
        <f>Table43[[#This Row],[Harga Jual Pcs GT
(-PPN)]]*Table43[[#This Row],[ISI/CTN]]</f>
        <v>0</v>
      </c>
      <c r="AQ13" s="42">
        <f>Table43[[#This Row],[Harga Jual Pcs GT
(-PPN)]]*1.11</f>
        <v>0</v>
      </c>
      <c r="AR13" s="42">
        <f>Table43[[#This Row],[Harga Jual Krt GT
(- PPN)]]*1.11</f>
        <v>0</v>
      </c>
      <c r="AS13" s="42">
        <f>Table43[[#This Row],[Harga Jual Pcs GT
(-PPN)]]</f>
        <v>0</v>
      </c>
      <c r="AT13" s="42">
        <f>(Table43[[#This Row],[Harga Jual Pcs MT
(-PPN)]]*Table43[[#This Row],[ISI/CTN]])</f>
        <v>0</v>
      </c>
      <c r="AU13" s="42">
        <f>Table43[[#This Row],[Harga Jual Pcs MT
(-PPN)]]*1.11</f>
        <v>0</v>
      </c>
      <c r="AV13" s="42">
        <f>Table43[[#This Row],[Harga Jual Pcs MT
(+PPN)]]*Table43[[#This Row],[ISI/CTN]]</f>
        <v>0</v>
      </c>
      <c r="AW13" s="47"/>
      <c r="AX13" s="7"/>
      <c r="AY13" s="7" t="str">
        <f ca="1">IF(TODAY()-Table43[[#This Row],[Efektif
Pembuatan]]&gt;60,"Lama","Baru")</f>
        <v>Lama</v>
      </c>
      <c r="AZ13" s="7" t="str">
        <f ca="1">IF(TODAY()-Table43[[#This Row],[Efektif Naik Harga]]&lt;30,"Naik","Sama")</f>
        <v>Sama</v>
      </c>
      <c r="BA13" s="7" t="str">
        <f>IF(Table43[[#This Row],[Kode BARANG Win2]]&lt;&gt;"","IDR","")</f>
        <v>IDR</v>
      </c>
      <c r="BB13" s="7" t="str">
        <f>CONCATENATE(Table43[[#This Row],[kode  1 Digit
(Nomor)]],Table43[[#This Row],[kode  4 Digit                (Nomor)]])</f>
        <v>10150</v>
      </c>
      <c r="BC13" s="7" t="str">
        <f>Table43[[#This Row],[Nama            Gramasi atau Jumlah Pack per CTN]]</f>
        <v>150ML</v>
      </c>
      <c r="BD13" s="7"/>
      <c r="BE13" s="7"/>
      <c r="BF13" s="4" t="str">
        <f>IF(Table43[[#This Row],[SATUAN Fix Win]]&lt;&gt;"","KRT")</f>
        <v>KRT</v>
      </c>
      <c r="BG13" s="4" t="str">
        <f>IF(Table43[[#This Row],[SATUAN Fix Win]]&lt;&gt;"","GD01")</f>
        <v>GD01</v>
      </c>
      <c r="BH13" s="4">
        <f>IF(Table43[[#This Row],[SATUAN Fix Win]]&lt;&gt;"",11611)</f>
        <v>11611</v>
      </c>
      <c r="BI13" s="4">
        <f>IF(Table43[[#This Row],[SATUAN Fix Win]]&lt;&gt;"",11612)</f>
        <v>11612</v>
      </c>
      <c r="BJ13" s="48"/>
      <c r="BK13" s="4">
        <f>IF(Table43[[#This Row],[SATUAN Fix Win]]&lt;&gt;"",1)</f>
        <v>1</v>
      </c>
    </row>
    <row r="14" spans="1:67">
      <c r="A14" s="4" t="str">
        <f>CONCATENATE(Table43[[#This Row],[Kode BARANG Win2]],Table43[[#This Row],[No. Urut
Item Sama]])</f>
        <v>K10200020060101</v>
      </c>
      <c r="B14" s="7">
        <v>1</v>
      </c>
      <c r="D14" s="28" t="s">
        <v>987</v>
      </c>
      <c r="E14" s="28"/>
      <c r="F14" s="28" t="s">
        <v>2871</v>
      </c>
      <c r="G14" s="78">
        <v>36</v>
      </c>
      <c r="H14" s="43"/>
      <c r="I14" s="28" t="str">
        <f>Table43[[#This Row],[Nama Jenis Kemasan]]</f>
        <v>BTL</v>
      </c>
      <c r="J14" s="4" t="str">
        <f>TRIM(CONCATENATE(Table43[[#This Row],[Nama            KLP]]," ",Table43[[#This Row],[Nama            Sub KLP]]))</f>
        <v>ABSOLUTE HYPO</v>
      </c>
      <c r="K14" s="4" t="str">
        <f>CONCATENATE(Table43[[#This Row],[kode  2 Digit                (hrf+No)]],Table43[[#This Row],[kode  2 Digit                (Nomor)]],Table43[[#This Row],[kode  1 Digit                (Nomor)]])</f>
        <v>K1020</v>
      </c>
      <c r="L14" s="4" t="str">
        <f t="shared" si="0"/>
        <v>K1020002006010</v>
      </c>
      <c r="M14" s="11">
        <f t="shared" si="1"/>
        <v>14</v>
      </c>
      <c r="N14" s="14" t="str">
        <f>IF(AF14&lt;&gt;"",TRIM(UPPER(CONCATENATE(P14," ",R14," ",T14," ",V14," ",X14," ",Z14," ","X"," ",Table43[[#This Row],[ISI/CTN]]," ",AF14," ",AB14," ",AD14," ",AH14))),TRIM(UPPER(CONCATENATE(P14," ",R14," ",T14," ",V14," ",X14," ",Z14," ","X"," ",Table43[[#This Row],[ISI/CTN]]," ",AB14," ",AD14," ",AH14))))</f>
        <v>KNF ABSOLUTE HYPO YOUTH REVITALIZE 60ML X 36 BTL</v>
      </c>
      <c r="O14" s="11">
        <f t="shared" si="2"/>
        <v>48</v>
      </c>
      <c r="P14" s="4" t="s">
        <v>97</v>
      </c>
      <c r="Q14" s="7" t="s">
        <v>98</v>
      </c>
      <c r="R14" s="4" t="s">
        <v>2526</v>
      </c>
      <c r="S14" s="44" t="s">
        <v>2472</v>
      </c>
      <c r="T14" s="45" t="s">
        <v>2961</v>
      </c>
      <c r="U14" s="7" t="s">
        <v>2900</v>
      </c>
      <c r="V14" s="45" t="s">
        <v>2961</v>
      </c>
      <c r="W14" s="44" t="s">
        <v>2900</v>
      </c>
      <c r="X14" s="4" t="s">
        <v>2528</v>
      </c>
      <c r="Y14" s="46" t="s">
        <v>2472</v>
      </c>
      <c r="Z14" s="4" t="s">
        <v>1026</v>
      </c>
      <c r="AA14" s="46" t="s">
        <v>2481</v>
      </c>
      <c r="AB14" s="4" t="s">
        <v>357</v>
      </c>
      <c r="AC14" s="7" t="s">
        <v>2656</v>
      </c>
      <c r="AD14" s="4" t="s">
        <v>2961</v>
      </c>
      <c r="AE14" s="7" t="s">
        <v>2900</v>
      </c>
      <c r="AF14" s="7" t="s">
        <v>2961</v>
      </c>
      <c r="AG14" s="7" t="s">
        <v>2961</v>
      </c>
      <c r="AI14" s="7" t="s">
        <v>4100</v>
      </c>
      <c r="AJ14" s="7" t="s">
        <v>2656</v>
      </c>
      <c r="AK14" s="41">
        <f>Table43[[#This Row],[Harga Jual Pcs GT
(-PPN)]]-(Table43[[#This Row],[Harga Jual Pcs GT
(-PPN)]]*10%)</f>
        <v>0</v>
      </c>
      <c r="AL14" s="42">
        <f>Table43[[#This Row],[Harga Beli Pcs
(-PPN)]]*Table43[[#This Row],[ISI/CTN]]</f>
        <v>0</v>
      </c>
      <c r="AM14" s="42">
        <f>Table43[[#This Row],[Harga Beli Pcs
(-PPN)]]*1.11</f>
        <v>0</v>
      </c>
      <c r="AN14" s="42">
        <f>Table43[[#This Row],[Harga Beli Krt
(- PPN)]]*1.11</f>
        <v>0</v>
      </c>
      <c r="AO14" s="42"/>
      <c r="AP14" s="42">
        <f>Table43[[#This Row],[Harga Jual Pcs GT
(-PPN)]]*Table43[[#This Row],[ISI/CTN]]</f>
        <v>0</v>
      </c>
      <c r="AQ14" s="42">
        <f>Table43[[#This Row],[Harga Jual Pcs GT
(-PPN)]]*1.11</f>
        <v>0</v>
      </c>
      <c r="AR14" s="42">
        <f>Table43[[#This Row],[Harga Jual Krt GT
(- PPN)]]*1.11</f>
        <v>0</v>
      </c>
      <c r="AS14" s="42">
        <f>Table43[[#This Row],[Harga Jual Pcs GT
(-PPN)]]</f>
        <v>0</v>
      </c>
      <c r="AT14" s="42">
        <f>(Table43[[#This Row],[Harga Jual Pcs MT
(-PPN)]]*Table43[[#This Row],[ISI/CTN]])</f>
        <v>0</v>
      </c>
      <c r="AU14" s="42">
        <f>Table43[[#This Row],[Harga Jual Pcs MT
(-PPN)]]*1.11</f>
        <v>0</v>
      </c>
      <c r="AV14" s="42">
        <f>Table43[[#This Row],[Harga Jual Pcs MT
(+PPN)]]*Table43[[#This Row],[ISI/CTN]]</f>
        <v>0</v>
      </c>
      <c r="AW14" s="47"/>
      <c r="AX14" s="7"/>
      <c r="AY14" s="7" t="str">
        <f ca="1">IF(TODAY()-Table43[[#This Row],[Efektif
Pembuatan]]&gt;60,"Lama","Baru")</f>
        <v>Lama</v>
      </c>
      <c r="AZ14" s="7" t="str">
        <f ca="1">IF(TODAY()-Table43[[#This Row],[Efektif Naik Harga]]&lt;30,"Naik","Sama")</f>
        <v>Sama</v>
      </c>
      <c r="BA14" s="7" t="str">
        <f>IF(Table43[[#This Row],[Kode BARANG Win2]]&lt;&gt;"","IDR","")</f>
        <v>IDR</v>
      </c>
      <c r="BB14" s="7" t="str">
        <f>CONCATENATE(Table43[[#This Row],[kode  1 Digit
(Nomor)]],Table43[[#This Row],[kode  4 Digit                (Nomor)]])</f>
        <v>10060</v>
      </c>
      <c r="BC14" s="7" t="str">
        <f>Table43[[#This Row],[Nama            Gramasi atau Jumlah Pack per CTN]]</f>
        <v>60ML</v>
      </c>
      <c r="BD14" s="7"/>
      <c r="BE14" s="7"/>
      <c r="BF14" s="4" t="str">
        <f>IF(Table43[[#This Row],[SATUAN Fix Win]]&lt;&gt;"","KRT")</f>
        <v>KRT</v>
      </c>
      <c r="BG14" s="4" t="str">
        <f>IF(Table43[[#This Row],[SATUAN Fix Win]]&lt;&gt;"","GD01")</f>
        <v>GD01</v>
      </c>
      <c r="BH14" s="4">
        <f>IF(Table43[[#This Row],[SATUAN Fix Win]]&lt;&gt;"",11611)</f>
        <v>11611</v>
      </c>
      <c r="BI14" s="4">
        <f>IF(Table43[[#This Row],[SATUAN Fix Win]]&lt;&gt;"",11612)</f>
        <v>11612</v>
      </c>
      <c r="BJ14" s="48"/>
      <c r="BK14" s="4">
        <f>IF(Table43[[#This Row],[SATUAN Fix Win]]&lt;&gt;"",1)</f>
        <v>1</v>
      </c>
    </row>
    <row r="15" spans="1:67">
      <c r="A15" s="4" t="str">
        <f>CONCATENATE(Table43[[#This Row],[Kode BARANG Win2]],Table43[[#This Row],[No. Urut
Item Sama]])</f>
        <v>K10200020150101</v>
      </c>
      <c r="B15" s="7">
        <v>1</v>
      </c>
      <c r="D15" s="28" t="s">
        <v>988</v>
      </c>
      <c r="E15" s="28"/>
      <c r="F15" s="28" t="s">
        <v>2872</v>
      </c>
      <c r="G15" s="78">
        <v>36</v>
      </c>
      <c r="H15" s="43"/>
      <c r="I15" s="28" t="str">
        <f>Table43[[#This Row],[Nama Jenis Kemasan]]</f>
        <v>BTL</v>
      </c>
      <c r="J15" s="4" t="str">
        <f>TRIM(CONCATENATE(Table43[[#This Row],[Nama            KLP]]," ",Table43[[#This Row],[Nama            Sub KLP]]))</f>
        <v>ABSOLUTE HYPO</v>
      </c>
      <c r="K15" s="4" t="str">
        <f>CONCATENATE(Table43[[#This Row],[kode  2 Digit                (hrf+No)]],Table43[[#This Row],[kode  2 Digit                (Nomor)]],Table43[[#This Row],[kode  1 Digit                (Nomor)]])</f>
        <v>K1020</v>
      </c>
      <c r="L15" s="4" t="str">
        <f t="shared" si="0"/>
        <v>K1020002015010</v>
      </c>
      <c r="M15" s="11">
        <f t="shared" si="1"/>
        <v>14</v>
      </c>
      <c r="N15" s="14" t="str">
        <f>IF(AF15&lt;&gt;"",TRIM(UPPER(CONCATENATE(P15," ",R15," ",T15," ",V15," ",X15," ",Z15," ","X"," ",Table43[[#This Row],[ISI/CTN]]," ",AF15," ",AB15," ",AD15," ",AH15))),TRIM(UPPER(CONCATENATE(P15," ",R15," ",T15," ",V15," ",X15," ",Z15," ","X"," ",Table43[[#This Row],[ISI/CTN]]," ",AB15," ",AD15," ",AH15))))</f>
        <v>KNF ABSOLUTE HYPO YOUTH REVITALIZE 150ML X 36 BTL</v>
      </c>
      <c r="O15" s="11">
        <f t="shared" si="2"/>
        <v>49</v>
      </c>
      <c r="P15" s="4" t="s">
        <v>97</v>
      </c>
      <c r="Q15" s="7" t="s">
        <v>98</v>
      </c>
      <c r="R15" s="4" t="s">
        <v>2526</v>
      </c>
      <c r="S15" s="44" t="s">
        <v>2472</v>
      </c>
      <c r="T15" s="45" t="s">
        <v>2961</v>
      </c>
      <c r="U15" s="7" t="s">
        <v>2900</v>
      </c>
      <c r="V15" s="45" t="s">
        <v>2961</v>
      </c>
      <c r="W15" s="44" t="s">
        <v>2900</v>
      </c>
      <c r="X15" s="4" t="s">
        <v>2528</v>
      </c>
      <c r="Y15" s="46" t="s">
        <v>2472</v>
      </c>
      <c r="Z15" s="4" t="s">
        <v>2464</v>
      </c>
      <c r="AA15" s="46" t="s">
        <v>2482</v>
      </c>
      <c r="AB15" s="4" t="s">
        <v>357</v>
      </c>
      <c r="AC15" s="7" t="s">
        <v>2656</v>
      </c>
      <c r="AD15" s="4" t="s">
        <v>2961</v>
      </c>
      <c r="AE15" s="7" t="s">
        <v>2900</v>
      </c>
      <c r="AF15" s="7" t="s">
        <v>2961</v>
      </c>
      <c r="AG15" s="7" t="s">
        <v>2961</v>
      </c>
      <c r="AI15" s="7" t="s">
        <v>4100</v>
      </c>
      <c r="AJ15" s="7" t="s">
        <v>2656</v>
      </c>
      <c r="AK15" s="41">
        <f>Table43[[#This Row],[Harga Jual Pcs GT
(-PPN)]]-(Table43[[#This Row],[Harga Jual Pcs GT
(-PPN)]]*10%)</f>
        <v>0</v>
      </c>
      <c r="AL15" s="42">
        <f>Table43[[#This Row],[Harga Beli Pcs
(-PPN)]]*Table43[[#This Row],[ISI/CTN]]</f>
        <v>0</v>
      </c>
      <c r="AM15" s="42">
        <f>Table43[[#This Row],[Harga Beli Pcs
(-PPN)]]*1.11</f>
        <v>0</v>
      </c>
      <c r="AN15" s="42">
        <f>Table43[[#This Row],[Harga Beli Krt
(- PPN)]]*1.11</f>
        <v>0</v>
      </c>
      <c r="AO15" s="42"/>
      <c r="AP15" s="42">
        <f>Table43[[#This Row],[Harga Jual Pcs GT
(-PPN)]]*Table43[[#This Row],[ISI/CTN]]</f>
        <v>0</v>
      </c>
      <c r="AQ15" s="42">
        <f>Table43[[#This Row],[Harga Jual Pcs GT
(-PPN)]]*1.11</f>
        <v>0</v>
      </c>
      <c r="AR15" s="42">
        <f>Table43[[#This Row],[Harga Jual Krt GT
(- PPN)]]*1.11</f>
        <v>0</v>
      </c>
      <c r="AS15" s="42">
        <f>Table43[[#This Row],[Harga Jual Pcs GT
(-PPN)]]</f>
        <v>0</v>
      </c>
      <c r="AT15" s="42">
        <f>(Table43[[#This Row],[Harga Jual Pcs MT
(-PPN)]]*Table43[[#This Row],[ISI/CTN]])</f>
        <v>0</v>
      </c>
      <c r="AU15" s="42">
        <f>Table43[[#This Row],[Harga Jual Pcs MT
(-PPN)]]*1.11</f>
        <v>0</v>
      </c>
      <c r="AV15" s="42">
        <f>Table43[[#This Row],[Harga Jual Pcs MT
(+PPN)]]*Table43[[#This Row],[ISI/CTN]]</f>
        <v>0</v>
      </c>
      <c r="AW15" s="47"/>
      <c r="AX15" s="7"/>
      <c r="AY15" s="7" t="str">
        <f ca="1">IF(TODAY()-Table43[[#This Row],[Efektif
Pembuatan]]&gt;60,"Lama","Baru")</f>
        <v>Lama</v>
      </c>
      <c r="AZ15" s="7" t="str">
        <f ca="1">IF(TODAY()-Table43[[#This Row],[Efektif Naik Harga]]&lt;30,"Naik","Sama")</f>
        <v>Sama</v>
      </c>
      <c r="BA15" s="7" t="str">
        <f>IF(Table43[[#This Row],[Kode BARANG Win2]]&lt;&gt;"","IDR","")</f>
        <v>IDR</v>
      </c>
      <c r="BB15" s="7" t="str">
        <f>CONCATENATE(Table43[[#This Row],[kode  1 Digit
(Nomor)]],Table43[[#This Row],[kode  4 Digit                (Nomor)]])</f>
        <v>10150</v>
      </c>
      <c r="BC15" s="7" t="str">
        <f>Table43[[#This Row],[Nama            Gramasi atau Jumlah Pack per CTN]]</f>
        <v>150ML</v>
      </c>
      <c r="BD15" s="7"/>
      <c r="BE15" s="7"/>
      <c r="BF15" s="4" t="str">
        <f>IF(Table43[[#This Row],[SATUAN Fix Win]]&lt;&gt;"","KRT")</f>
        <v>KRT</v>
      </c>
      <c r="BG15" s="4" t="str">
        <f>IF(Table43[[#This Row],[SATUAN Fix Win]]&lt;&gt;"","GD01")</f>
        <v>GD01</v>
      </c>
      <c r="BH15" s="4">
        <f>IF(Table43[[#This Row],[SATUAN Fix Win]]&lt;&gt;"",11611)</f>
        <v>11611</v>
      </c>
      <c r="BI15" s="4">
        <f>IF(Table43[[#This Row],[SATUAN Fix Win]]&lt;&gt;"",11612)</f>
        <v>11612</v>
      </c>
      <c r="BJ15" s="48"/>
      <c r="BK15" s="4">
        <f>IF(Table43[[#This Row],[SATUAN Fix Win]]&lt;&gt;"",1)</f>
        <v>1</v>
      </c>
    </row>
    <row r="16" spans="1:67">
      <c r="A16" s="4" t="str">
        <f>CONCATENATE(Table43[[#This Row],[Kode BARANG Win2]],Table43[[#This Row],[No. Urut
Item Sama]])</f>
        <v>K10210010150101</v>
      </c>
      <c r="B16" s="7">
        <v>1</v>
      </c>
      <c r="D16" s="28" t="s">
        <v>989</v>
      </c>
      <c r="E16" s="28"/>
      <c r="F16" s="28" t="s">
        <v>2873</v>
      </c>
      <c r="G16" s="78">
        <v>36</v>
      </c>
      <c r="H16" s="43"/>
      <c r="I16" s="28" t="str">
        <f>Table43[[#This Row],[Nama Jenis Kemasan]]</f>
        <v>BTL</v>
      </c>
      <c r="J16" s="4" t="str">
        <f>TRIM(CONCATENATE(Table43[[#This Row],[Nama            KLP]]," ",Table43[[#This Row],[Nama            Sub KLP]]))</f>
        <v>ABSOLUTE HYPO FOAMY</v>
      </c>
      <c r="K16" s="4" t="str">
        <f>CONCATENATE(Table43[[#This Row],[kode  2 Digit                (hrf+No)]],Table43[[#This Row],[kode  2 Digit                (Nomor)]],Table43[[#This Row],[kode  1 Digit                (Nomor)]])</f>
        <v>K1021</v>
      </c>
      <c r="L16" s="4" t="str">
        <f t="shared" si="0"/>
        <v>K1021001015010</v>
      </c>
      <c r="M16" s="11">
        <f t="shared" si="1"/>
        <v>14</v>
      </c>
      <c r="N16" s="14" t="str">
        <f>IF(AF16&lt;&gt;"",TRIM(UPPER(CONCATENATE(P16," ",R16," ",T16," ",V16," ",X16," ",Z16," ","X"," ",Table43[[#This Row],[ISI/CTN]]," ",AF16," ",AB16," ",AD16," ",AH16))),TRIM(UPPER(CONCATENATE(P16," ",R16," ",T16," ",V16," ",X16," ",Z16," ","X"," ",Table43[[#This Row],[ISI/CTN]]," ",AB16," ",AD16," ",AH16))))</f>
        <v>KNF ABSOLUTE HYPO FOAMY N. SOOTHING 150ML X 36 BTL</v>
      </c>
      <c r="O16" s="11">
        <f t="shared" si="2"/>
        <v>50</v>
      </c>
      <c r="P16" s="4" t="s">
        <v>97</v>
      </c>
      <c r="Q16" s="7" t="s">
        <v>98</v>
      </c>
      <c r="R16" s="4" t="s">
        <v>2526</v>
      </c>
      <c r="S16" s="44" t="s">
        <v>2472</v>
      </c>
      <c r="T16" s="45" t="s">
        <v>2522</v>
      </c>
      <c r="U16" s="7" t="s">
        <v>2656</v>
      </c>
      <c r="V16" s="45" t="s">
        <v>2961</v>
      </c>
      <c r="W16" s="44" t="s">
        <v>2900</v>
      </c>
      <c r="X16" s="4" t="s">
        <v>3561</v>
      </c>
      <c r="Y16" s="46" t="s">
        <v>0</v>
      </c>
      <c r="Z16" s="4" t="s">
        <v>2464</v>
      </c>
      <c r="AA16" s="46" t="s">
        <v>2482</v>
      </c>
      <c r="AB16" s="4" t="s">
        <v>357</v>
      </c>
      <c r="AC16" s="7" t="s">
        <v>2656</v>
      </c>
      <c r="AD16" s="4" t="s">
        <v>2961</v>
      </c>
      <c r="AE16" s="7" t="s">
        <v>2900</v>
      </c>
      <c r="AF16" s="7" t="s">
        <v>2961</v>
      </c>
      <c r="AG16" s="7" t="s">
        <v>2961</v>
      </c>
      <c r="AI16" s="7" t="s">
        <v>4100</v>
      </c>
      <c r="AJ16" s="7" t="s">
        <v>2656</v>
      </c>
      <c r="AK16" s="41">
        <f>Table43[[#This Row],[Harga Jual Pcs GT
(-PPN)]]-(Table43[[#This Row],[Harga Jual Pcs GT
(-PPN)]]*10%)</f>
        <v>0</v>
      </c>
      <c r="AL16" s="42">
        <f>Table43[[#This Row],[Harga Beli Pcs
(-PPN)]]*Table43[[#This Row],[ISI/CTN]]</f>
        <v>0</v>
      </c>
      <c r="AM16" s="42">
        <f>Table43[[#This Row],[Harga Beli Pcs
(-PPN)]]*1.11</f>
        <v>0</v>
      </c>
      <c r="AN16" s="42">
        <f>Table43[[#This Row],[Harga Beli Krt
(- PPN)]]*1.11</f>
        <v>0</v>
      </c>
      <c r="AO16" s="42"/>
      <c r="AP16" s="42">
        <f>Table43[[#This Row],[Harga Jual Pcs GT
(-PPN)]]*Table43[[#This Row],[ISI/CTN]]</f>
        <v>0</v>
      </c>
      <c r="AQ16" s="42">
        <f>Table43[[#This Row],[Harga Jual Pcs GT
(-PPN)]]*1.11</f>
        <v>0</v>
      </c>
      <c r="AR16" s="42">
        <f>Table43[[#This Row],[Harga Jual Krt GT
(- PPN)]]*1.11</f>
        <v>0</v>
      </c>
      <c r="AS16" s="42">
        <f>Table43[[#This Row],[Harga Jual Pcs GT
(-PPN)]]</f>
        <v>0</v>
      </c>
      <c r="AT16" s="42">
        <f>(Table43[[#This Row],[Harga Jual Pcs MT
(-PPN)]]*Table43[[#This Row],[ISI/CTN]])</f>
        <v>0</v>
      </c>
      <c r="AU16" s="42">
        <f>Table43[[#This Row],[Harga Jual Pcs MT
(-PPN)]]*1.11</f>
        <v>0</v>
      </c>
      <c r="AV16" s="42">
        <f>Table43[[#This Row],[Harga Jual Pcs MT
(+PPN)]]*Table43[[#This Row],[ISI/CTN]]</f>
        <v>0</v>
      </c>
      <c r="AW16" s="47"/>
      <c r="AX16" s="7"/>
      <c r="AY16" s="7" t="str">
        <f ca="1">IF(TODAY()-Table43[[#This Row],[Efektif
Pembuatan]]&gt;60,"Lama","Baru")</f>
        <v>Lama</v>
      </c>
      <c r="AZ16" s="7" t="str">
        <f ca="1">IF(TODAY()-Table43[[#This Row],[Efektif Naik Harga]]&lt;30,"Naik","Sama")</f>
        <v>Sama</v>
      </c>
      <c r="BA16" s="7" t="str">
        <f>IF(Table43[[#This Row],[Kode BARANG Win2]]&lt;&gt;"","IDR","")</f>
        <v>IDR</v>
      </c>
      <c r="BB16" s="7" t="str">
        <f>CONCATENATE(Table43[[#This Row],[kode  1 Digit
(Nomor)]],Table43[[#This Row],[kode  4 Digit                (Nomor)]])</f>
        <v>10150</v>
      </c>
      <c r="BC16" s="7" t="str">
        <f>Table43[[#This Row],[Nama            Gramasi atau Jumlah Pack per CTN]]</f>
        <v>150ML</v>
      </c>
      <c r="BD16" s="7"/>
      <c r="BE16" s="7"/>
      <c r="BF16" s="4" t="str">
        <f>IF(Table43[[#This Row],[SATUAN Fix Win]]&lt;&gt;"","KRT")</f>
        <v>KRT</v>
      </c>
      <c r="BG16" s="4" t="str">
        <f>IF(Table43[[#This Row],[SATUAN Fix Win]]&lt;&gt;"","GD01")</f>
        <v>GD01</v>
      </c>
      <c r="BH16" s="4">
        <f>IF(Table43[[#This Row],[SATUAN Fix Win]]&lt;&gt;"",11611)</f>
        <v>11611</v>
      </c>
      <c r="BI16" s="4">
        <f>IF(Table43[[#This Row],[SATUAN Fix Win]]&lt;&gt;"",11612)</f>
        <v>11612</v>
      </c>
      <c r="BJ16" s="48"/>
      <c r="BK16" s="4">
        <f>IF(Table43[[#This Row],[SATUAN Fix Win]]&lt;&gt;"",1)</f>
        <v>1</v>
      </c>
    </row>
    <row r="17" spans="1:63">
      <c r="A17" s="4" t="str">
        <f>CONCATENATE(Table43[[#This Row],[Kode BARANG Win2]],Table43[[#This Row],[No. Urut
Item Sama]])</f>
        <v>K10210020150201</v>
      </c>
      <c r="B17" s="7">
        <v>1</v>
      </c>
      <c r="D17" s="28" t="s">
        <v>990</v>
      </c>
      <c r="E17" s="28"/>
      <c r="F17" s="28" t="s">
        <v>2875</v>
      </c>
      <c r="G17" s="78">
        <v>36</v>
      </c>
      <c r="H17" s="43"/>
      <c r="I17" s="28" t="str">
        <f>Table43[[#This Row],[Nama Jenis Kemasan]]</f>
        <v>BTL</v>
      </c>
      <c r="J17" s="4" t="str">
        <f>TRIM(CONCATENATE(Table43[[#This Row],[Nama            KLP]]," ",Table43[[#This Row],[Nama            Sub KLP]]))</f>
        <v>ABSOLUTE HYPO FOAMY</v>
      </c>
      <c r="K17" s="4" t="str">
        <f>CONCATENATE(Table43[[#This Row],[kode  2 Digit                (hrf+No)]],Table43[[#This Row],[kode  2 Digit                (Nomor)]],Table43[[#This Row],[kode  1 Digit                (Nomor)]])</f>
        <v>K1021</v>
      </c>
      <c r="L17" s="4" t="str">
        <f t="shared" si="0"/>
        <v>K1021002015020</v>
      </c>
      <c r="M17" s="11">
        <f t="shared" si="1"/>
        <v>14</v>
      </c>
      <c r="N17" s="14" t="str">
        <f>IF(AF17&lt;&gt;"",TRIM(UPPER(CONCATENATE(P17," ",R17," ",T17," ",V17," ",X17," ",Z17," ","X"," ",Table43[[#This Row],[ISI/CTN]]," ",AF17," ",AB17," ",AD17," ",AH17))),TRIM(UPPER(CONCATENATE(P17," ",R17," ",T17," ",V17," ",X17," ",Z17," ","X"," ",Table43[[#This Row],[ISI/CTN]]," ",AB17," ",AD17," ",AH17))))</f>
        <v>KNF ABSOLUTE HYPO FOAMY YREVITALIZE 150ML X 36 BTL</v>
      </c>
      <c r="O17" s="11">
        <f t="shared" si="2"/>
        <v>50</v>
      </c>
      <c r="P17" s="4" t="s">
        <v>97</v>
      </c>
      <c r="Q17" s="7" t="s">
        <v>98</v>
      </c>
      <c r="R17" s="4" t="s">
        <v>2526</v>
      </c>
      <c r="S17" s="44" t="s">
        <v>2472</v>
      </c>
      <c r="T17" s="45" t="s">
        <v>2522</v>
      </c>
      <c r="U17" s="7" t="s">
        <v>2656</v>
      </c>
      <c r="V17" s="45" t="s">
        <v>2961</v>
      </c>
      <c r="W17" s="44" t="s">
        <v>2900</v>
      </c>
      <c r="X17" s="4" t="s">
        <v>2523</v>
      </c>
      <c r="Y17" s="46" t="s">
        <v>2472</v>
      </c>
      <c r="Z17" s="4" t="s">
        <v>2464</v>
      </c>
      <c r="AA17" s="46" t="s">
        <v>2482</v>
      </c>
      <c r="AB17" s="4" t="s">
        <v>357</v>
      </c>
      <c r="AC17" s="7" t="s">
        <v>3562</v>
      </c>
      <c r="AD17" s="4" t="s">
        <v>2961</v>
      </c>
      <c r="AE17" s="7" t="s">
        <v>2900</v>
      </c>
      <c r="AF17" s="7" t="s">
        <v>2961</v>
      </c>
      <c r="AG17" s="7" t="s">
        <v>2961</v>
      </c>
      <c r="AI17" s="7" t="s">
        <v>4100</v>
      </c>
      <c r="AJ17" s="7" t="s">
        <v>2656</v>
      </c>
      <c r="AK17" s="41">
        <f>Table43[[#This Row],[Harga Jual Pcs GT
(-PPN)]]-(Table43[[#This Row],[Harga Jual Pcs GT
(-PPN)]]*10%)</f>
        <v>0</v>
      </c>
      <c r="AL17" s="42">
        <f>Table43[[#This Row],[Harga Beli Pcs
(-PPN)]]*Table43[[#This Row],[ISI/CTN]]</f>
        <v>0</v>
      </c>
      <c r="AM17" s="42">
        <f>Table43[[#This Row],[Harga Beli Pcs
(-PPN)]]*1.11</f>
        <v>0</v>
      </c>
      <c r="AN17" s="42">
        <f>Table43[[#This Row],[Harga Beli Krt
(- PPN)]]*1.11</f>
        <v>0</v>
      </c>
      <c r="AO17" s="42"/>
      <c r="AP17" s="42">
        <f>Table43[[#This Row],[Harga Jual Pcs GT
(-PPN)]]*Table43[[#This Row],[ISI/CTN]]</f>
        <v>0</v>
      </c>
      <c r="AQ17" s="42">
        <f>Table43[[#This Row],[Harga Jual Pcs GT
(-PPN)]]*1.11</f>
        <v>0</v>
      </c>
      <c r="AR17" s="42">
        <f>Table43[[#This Row],[Harga Jual Krt GT
(- PPN)]]*1.11</f>
        <v>0</v>
      </c>
      <c r="AS17" s="42">
        <f>Table43[[#This Row],[Harga Jual Pcs GT
(-PPN)]]</f>
        <v>0</v>
      </c>
      <c r="AT17" s="42">
        <f>(Table43[[#This Row],[Harga Jual Pcs MT
(-PPN)]]*Table43[[#This Row],[ISI/CTN]])</f>
        <v>0</v>
      </c>
      <c r="AU17" s="42">
        <f>Table43[[#This Row],[Harga Jual Pcs MT
(-PPN)]]*1.11</f>
        <v>0</v>
      </c>
      <c r="AV17" s="42">
        <f>Table43[[#This Row],[Harga Jual Pcs MT
(+PPN)]]*Table43[[#This Row],[ISI/CTN]]</f>
        <v>0</v>
      </c>
      <c r="AW17" s="47"/>
      <c r="AX17" s="7"/>
      <c r="AY17" s="7" t="str">
        <f ca="1">IF(TODAY()-Table43[[#This Row],[Efektif
Pembuatan]]&gt;60,"Lama","Baru")</f>
        <v>Lama</v>
      </c>
      <c r="AZ17" s="7" t="str">
        <f ca="1">IF(TODAY()-Table43[[#This Row],[Efektif Naik Harga]]&lt;30,"Naik","Sama")</f>
        <v>Sama</v>
      </c>
      <c r="BA17" s="7" t="str">
        <f>IF(Table43[[#This Row],[Kode BARANG Win2]]&lt;&gt;"","IDR","")</f>
        <v>IDR</v>
      </c>
      <c r="BB17" s="7" t="str">
        <f>CONCATENATE(Table43[[#This Row],[kode  1 Digit
(Nomor)]],Table43[[#This Row],[kode  4 Digit                (Nomor)]])</f>
        <v>10150</v>
      </c>
      <c r="BC17" s="7" t="str">
        <f>Table43[[#This Row],[Nama            Gramasi atau Jumlah Pack per CTN]]</f>
        <v>150ML</v>
      </c>
      <c r="BD17" s="7"/>
      <c r="BE17" s="7"/>
      <c r="BF17" s="4" t="str">
        <f>IF(Table43[[#This Row],[SATUAN Fix Win]]&lt;&gt;"","KRT")</f>
        <v>KRT</v>
      </c>
      <c r="BG17" s="4" t="str">
        <f>IF(Table43[[#This Row],[SATUAN Fix Win]]&lt;&gt;"","GD01")</f>
        <v>GD01</v>
      </c>
      <c r="BH17" s="4">
        <f>IF(Table43[[#This Row],[SATUAN Fix Win]]&lt;&gt;"",11611)</f>
        <v>11611</v>
      </c>
      <c r="BI17" s="4">
        <f>IF(Table43[[#This Row],[SATUAN Fix Win]]&lt;&gt;"",11612)</f>
        <v>11612</v>
      </c>
      <c r="BJ17" s="48"/>
      <c r="BK17" s="4">
        <f>IF(Table43[[#This Row],[SATUAN Fix Win]]&lt;&gt;"",1)</f>
        <v>1</v>
      </c>
    </row>
    <row r="18" spans="1:63">
      <c r="A18" s="4" t="str">
        <f>CONCATENATE(Table43[[#This Row],[Kode BARANG Win2]],Table43[[#This Row],[No. Urut
Item Sama]])</f>
        <v>K10300010000101</v>
      </c>
      <c r="B18" s="7">
        <v>1</v>
      </c>
      <c r="D18" s="28" t="s">
        <v>519</v>
      </c>
      <c r="E18" s="28"/>
      <c r="F18" s="28" t="s">
        <v>2876</v>
      </c>
      <c r="G18" s="78">
        <v>100</v>
      </c>
      <c r="H18" s="43"/>
      <c r="I18" s="28" t="str">
        <f>Table43[[#This Row],[Nama Jenis Kemasan]]</f>
        <v>BOX</v>
      </c>
      <c r="J18" s="4" t="str">
        <f>TRIM(CONCATENATE(Table43[[#This Row],[Nama            KLP]]," ",Table43[[#This Row],[Nama            Sub KLP]]))</f>
        <v>ABSTRACT EYELASH</v>
      </c>
      <c r="K18" s="4" t="str">
        <f>CONCATENATE(Table43[[#This Row],[kode  2 Digit                (hrf+No)]],Table43[[#This Row],[kode  2 Digit                (Nomor)]],Table43[[#This Row],[kode  1 Digit                (Nomor)]])</f>
        <v>K1030</v>
      </c>
      <c r="L18" s="4" t="str">
        <f t="shared" si="0"/>
        <v>K1030001000010</v>
      </c>
      <c r="M18" s="11">
        <f t="shared" si="1"/>
        <v>14</v>
      </c>
      <c r="N18" s="14" t="str">
        <f>IF(AF18&lt;&gt;"",TRIM(UPPER(CONCATENATE(P18," ",R18," ",T18," ",V18," ",X18," ",Z18," ","X"," ",Table43[[#This Row],[ISI/CTN]]," ",AF18," ",AB18," ",AD18," ",AH18))),TRIM(UPPER(CONCATENATE(P18," ",R18," ",T18," ",V18," ",X18," ",Z18," ","X"," ",Table43[[#This Row],[ISI/CTN]]," ",AB18," ",AD18," ",AH18))))</f>
        <v>KNF ABSTRACT EYELASH F01 VIBRANT X 100 BOX</v>
      </c>
      <c r="O18" s="11">
        <f t="shared" si="2"/>
        <v>42</v>
      </c>
      <c r="P18" s="4" t="s">
        <v>97</v>
      </c>
      <c r="Q18" s="7" t="s">
        <v>98</v>
      </c>
      <c r="R18" s="4" t="s">
        <v>2529</v>
      </c>
      <c r="S18" s="44" t="s">
        <v>2473</v>
      </c>
      <c r="T18" s="45" t="s">
        <v>2961</v>
      </c>
      <c r="U18" s="7" t="s">
        <v>2900</v>
      </c>
      <c r="V18" s="45" t="s">
        <v>2961</v>
      </c>
      <c r="W18" s="44" t="s">
        <v>2900</v>
      </c>
      <c r="X18" s="4" t="s">
        <v>2530</v>
      </c>
      <c r="Y18" s="46" t="s">
        <v>0</v>
      </c>
      <c r="Z18" s="4" t="s">
        <v>2961</v>
      </c>
      <c r="AA18" s="46" t="s">
        <v>2483</v>
      </c>
      <c r="AB18" s="4" t="s">
        <v>1023</v>
      </c>
      <c r="AC18" s="7" t="s">
        <v>2656</v>
      </c>
      <c r="AD18" s="4" t="s">
        <v>2961</v>
      </c>
      <c r="AE18" s="7" t="s">
        <v>2900</v>
      </c>
      <c r="AF18" s="7" t="s">
        <v>2961</v>
      </c>
      <c r="AG18" s="7" t="s">
        <v>2961</v>
      </c>
      <c r="AI18" s="7" t="s">
        <v>360</v>
      </c>
      <c r="AJ18" s="7" t="s">
        <v>3590</v>
      </c>
      <c r="AK18" s="41">
        <f>Table43[[#This Row],[Harga Jual Pcs GT
(-PPN)]]-(Table43[[#This Row],[Harga Jual Pcs GT
(-PPN)]]*10%)</f>
        <v>0</v>
      </c>
      <c r="AL18" s="42">
        <f>Table43[[#This Row],[Harga Beli Pcs
(-PPN)]]*Table43[[#This Row],[ISI/CTN]]</f>
        <v>0</v>
      </c>
      <c r="AM18" s="42">
        <f>Table43[[#This Row],[Harga Beli Pcs
(-PPN)]]*1.11</f>
        <v>0</v>
      </c>
      <c r="AN18" s="42">
        <f>Table43[[#This Row],[Harga Beli Krt
(- PPN)]]*1.11</f>
        <v>0</v>
      </c>
      <c r="AO18" s="42"/>
      <c r="AP18" s="42">
        <f>Table43[[#This Row],[Harga Jual Pcs GT
(-PPN)]]*Table43[[#This Row],[ISI/CTN]]</f>
        <v>0</v>
      </c>
      <c r="AQ18" s="42">
        <f>Table43[[#This Row],[Harga Jual Pcs GT
(-PPN)]]*1.11</f>
        <v>0</v>
      </c>
      <c r="AR18" s="42">
        <f>Table43[[#This Row],[Harga Jual Krt GT
(- PPN)]]*1.11</f>
        <v>0</v>
      </c>
      <c r="AS18" s="42">
        <f>Table43[[#This Row],[Harga Jual Pcs GT
(-PPN)]]</f>
        <v>0</v>
      </c>
      <c r="AT18" s="42">
        <f>(Table43[[#This Row],[Harga Jual Pcs MT
(-PPN)]]*Table43[[#This Row],[ISI/CTN]])</f>
        <v>0</v>
      </c>
      <c r="AU18" s="42">
        <f>Table43[[#This Row],[Harga Jual Pcs MT
(-PPN)]]*1.11</f>
        <v>0</v>
      </c>
      <c r="AV18" s="42">
        <f>Table43[[#This Row],[Harga Jual Pcs MT
(+PPN)]]*Table43[[#This Row],[ISI/CTN]]</f>
        <v>0</v>
      </c>
      <c r="AW18" s="47"/>
      <c r="AX18" s="7"/>
      <c r="AY18" s="7" t="str">
        <f ca="1">IF(TODAY()-Table43[[#This Row],[Efektif
Pembuatan]]&gt;60,"Lama","Baru")</f>
        <v>Lama</v>
      </c>
      <c r="AZ18" s="7" t="str">
        <f ca="1">IF(TODAY()-Table43[[#This Row],[Efektif Naik Harga]]&lt;30,"Naik","Sama")</f>
        <v>Sama</v>
      </c>
      <c r="BA18" s="7" t="str">
        <f>IF(Table43[[#This Row],[Kode BARANG Win2]]&lt;&gt;"","IDR","")</f>
        <v>IDR</v>
      </c>
      <c r="BB18" s="7" t="str">
        <f>CONCATENATE(Table43[[#This Row],[kode  1 Digit
(Nomor)]],Table43[[#This Row],[kode  4 Digit                (Nomor)]])</f>
        <v>30000</v>
      </c>
      <c r="BC18" s="7" t="str">
        <f>Table43[[#This Row],[Nama            Gramasi atau Jumlah Pack per CTN]]</f>
        <v/>
      </c>
      <c r="BD18" s="7"/>
      <c r="BE18" s="7"/>
      <c r="BF18" s="4" t="str">
        <f>IF(Table43[[#This Row],[SATUAN Fix Win]]&lt;&gt;"","KRT")</f>
        <v>KRT</v>
      </c>
      <c r="BG18" s="4" t="str">
        <f>IF(Table43[[#This Row],[SATUAN Fix Win]]&lt;&gt;"","GD01")</f>
        <v>GD01</v>
      </c>
      <c r="BH18" s="4">
        <f>IF(Table43[[#This Row],[SATUAN Fix Win]]&lt;&gt;"",11611)</f>
        <v>11611</v>
      </c>
      <c r="BI18" s="4">
        <f>IF(Table43[[#This Row],[SATUAN Fix Win]]&lt;&gt;"",11612)</f>
        <v>11612</v>
      </c>
      <c r="BJ18" s="48"/>
      <c r="BK18" s="4">
        <f>IF(Table43[[#This Row],[SATUAN Fix Win]]&lt;&gt;"",1)</f>
        <v>1</v>
      </c>
    </row>
    <row r="19" spans="1:63">
      <c r="A19" s="4" t="str">
        <f>CONCATENATE(Table43[[#This Row],[Kode BARANG Win2]],Table43[[#This Row],[No. Urut
Item Sama]])</f>
        <v>K10300020000101</v>
      </c>
      <c r="B19" s="7">
        <v>1</v>
      </c>
      <c r="D19" s="28" t="s">
        <v>520</v>
      </c>
      <c r="E19" s="28"/>
      <c r="F19" s="28" t="s">
        <v>2877</v>
      </c>
      <c r="G19" s="78">
        <v>100</v>
      </c>
      <c r="H19" s="43"/>
      <c r="I19" s="28" t="str">
        <f>Table43[[#This Row],[Nama Jenis Kemasan]]</f>
        <v>BOX</v>
      </c>
      <c r="J19" s="4" t="str">
        <f>TRIM(CONCATENATE(Table43[[#This Row],[Nama            KLP]]," ",Table43[[#This Row],[Nama            Sub KLP]]))</f>
        <v>ABSTRACT EYELASH</v>
      </c>
      <c r="K19" s="4" t="str">
        <f>CONCATENATE(Table43[[#This Row],[kode  2 Digit                (hrf+No)]],Table43[[#This Row],[kode  2 Digit                (Nomor)]],Table43[[#This Row],[kode  1 Digit                (Nomor)]])</f>
        <v>K1030</v>
      </c>
      <c r="L19" s="4" t="str">
        <f t="shared" si="0"/>
        <v>K1030002000010</v>
      </c>
      <c r="M19" s="11">
        <f t="shared" si="1"/>
        <v>14</v>
      </c>
      <c r="N19" s="14" t="str">
        <f>IF(AF19&lt;&gt;"",TRIM(UPPER(CONCATENATE(P19," ",R19," ",T19," ",V19," ",X19," ",Z19," ","X"," ",Table43[[#This Row],[ISI/CTN]]," ",AF19," ",AB19," ",AD19," ",AH19))),TRIM(UPPER(CONCATENATE(P19," ",R19," ",T19," ",V19," ",X19," ",Z19," ","X"," ",Table43[[#This Row],[ISI/CTN]]," ",AB19," ",AD19," ",AH19))))</f>
        <v>KNF ABSTRACT EYELASH F02 EXOTIC X 100 BOX</v>
      </c>
      <c r="O19" s="11">
        <f t="shared" si="2"/>
        <v>41</v>
      </c>
      <c r="P19" s="4" t="s">
        <v>97</v>
      </c>
      <c r="Q19" s="7" t="s">
        <v>98</v>
      </c>
      <c r="R19" s="4" t="s">
        <v>2529</v>
      </c>
      <c r="S19" s="44" t="s">
        <v>2473</v>
      </c>
      <c r="T19" s="45" t="s">
        <v>2961</v>
      </c>
      <c r="U19" s="7" t="s">
        <v>2900</v>
      </c>
      <c r="V19" s="45" t="s">
        <v>2961</v>
      </c>
      <c r="W19" s="44" t="s">
        <v>2900</v>
      </c>
      <c r="X19" s="4" t="s">
        <v>2531</v>
      </c>
      <c r="Y19" s="46" t="s">
        <v>2472</v>
      </c>
      <c r="Z19" s="4" t="s">
        <v>2961</v>
      </c>
      <c r="AA19" s="46" t="s">
        <v>2483</v>
      </c>
      <c r="AB19" s="4" t="s">
        <v>1023</v>
      </c>
      <c r="AC19" s="7" t="s">
        <v>2656</v>
      </c>
      <c r="AD19" s="4" t="s">
        <v>2961</v>
      </c>
      <c r="AE19" s="7" t="s">
        <v>2900</v>
      </c>
      <c r="AF19" s="7" t="s">
        <v>2961</v>
      </c>
      <c r="AG19" s="7" t="s">
        <v>2961</v>
      </c>
      <c r="AI19" s="7" t="s">
        <v>360</v>
      </c>
      <c r="AJ19" s="7" t="s">
        <v>3590</v>
      </c>
      <c r="AK19" s="41">
        <f>Table43[[#This Row],[Harga Jual Pcs GT
(-PPN)]]-(Table43[[#This Row],[Harga Jual Pcs GT
(-PPN)]]*10%)</f>
        <v>0</v>
      </c>
      <c r="AL19" s="42">
        <f>Table43[[#This Row],[Harga Beli Pcs
(-PPN)]]*Table43[[#This Row],[ISI/CTN]]</f>
        <v>0</v>
      </c>
      <c r="AM19" s="42">
        <f>Table43[[#This Row],[Harga Beli Pcs
(-PPN)]]*1.11</f>
        <v>0</v>
      </c>
      <c r="AN19" s="42">
        <f>Table43[[#This Row],[Harga Beli Krt
(- PPN)]]*1.11</f>
        <v>0</v>
      </c>
      <c r="AO19" s="42"/>
      <c r="AP19" s="42">
        <f>Table43[[#This Row],[Harga Jual Pcs GT
(-PPN)]]*Table43[[#This Row],[ISI/CTN]]</f>
        <v>0</v>
      </c>
      <c r="AQ19" s="42">
        <f>Table43[[#This Row],[Harga Jual Pcs GT
(-PPN)]]*1.11</f>
        <v>0</v>
      </c>
      <c r="AR19" s="42">
        <f>Table43[[#This Row],[Harga Jual Krt GT
(- PPN)]]*1.11</f>
        <v>0</v>
      </c>
      <c r="AS19" s="42">
        <f>Table43[[#This Row],[Harga Jual Pcs GT
(-PPN)]]</f>
        <v>0</v>
      </c>
      <c r="AT19" s="42">
        <f>(Table43[[#This Row],[Harga Jual Pcs MT
(-PPN)]]*Table43[[#This Row],[ISI/CTN]])</f>
        <v>0</v>
      </c>
      <c r="AU19" s="42">
        <f>Table43[[#This Row],[Harga Jual Pcs MT
(-PPN)]]*1.11</f>
        <v>0</v>
      </c>
      <c r="AV19" s="42">
        <f>Table43[[#This Row],[Harga Jual Pcs MT
(+PPN)]]*Table43[[#This Row],[ISI/CTN]]</f>
        <v>0</v>
      </c>
      <c r="AW19" s="47"/>
      <c r="AX19" s="7"/>
      <c r="AY19" s="7" t="str">
        <f ca="1">IF(TODAY()-Table43[[#This Row],[Efektif
Pembuatan]]&gt;60,"Lama","Baru")</f>
        <v>Lama</v>
      </c>
      <c r="AZ19" s="7" t="str">
        <f ca="1">IF(TODAY()-Table43[[#This Row],[Efektif Naik Harga]]&lt;30,"Naik","Sama")</f>
        <v>Sama</v>
      </c>
      <c r="BA19" s="7" t="str">
        <f>IF(Table43[[#This Row],[Kode BARANG Win2]]&lt;&gt;"","IDR","")</f>
        <v>IDR</v>
      </c>
      <c r="BB19" s="7" t="str">
        <f>CONCATENATE(Table43[[#This Row],[kode  1 Digit
(Nomor)]],Table43[[#This Row],[kode  4 Digit                (Nomor)]])</f>
        <v>30000</v>
      </c>
      <c r="BC19" s="7" t="str">
        <f>Table43[[#This Row],[Nama            Gramasi atau Jumlah Pack per CTN]]</f>
        <v/>
      </c>
      <c r="BD19" s="7"/>
      <c r="BE19" s="7"/>
      <c r="BF19" s="4" t="str">
        <f>IF(Table43[[#This Row],[SATUAN Fix Win]]&lt;&gt;"","KRT")</f>
        <v>KRT</v>
      </c>
      <c r="BG19" s="4" t="str">
        <f>IF(Table43[[#This Row],[SATUAN Fix Win]]&lt;&gt;"","GD01")</f>
        <v>GD01</v>
      </c>
      <c r="BH19" s="4">
        <f>IF(Table43[[#This Row],[SATUAN Fix Win]]&lt;&gt;"",11611)</f>
        <v>11611</v>
      </c>
      <c r="BI19" s="4">
        <f>IF(Table43[[#This Row],[SATUAN Fix Win]]&lt;&gt;"",11612)</f>
        <v>11612</v>
      </c>
      <c r="BJ19" s="48"/>
      <c r="BK19" s="4">
        <f>IF(Table43[[#This Row],[SATUAN Fix Win]]&lt;&gt;"",1)</f>
        <v>1</v>
      </c>
    </row>
    <row r="20" spans="1:63">
      <c r="A20" s="4" t="str">
        <f>CONCATENATE(Table43[[#This Row],[Kode BARANG Win2]],Table43[[#This Row],[No. Urut
Item Sama]])</f>
        <v>K10300030000101</v>
      </c>
      <c r="B20" s="7">
        <v>1</v>
      </c>
      <c r="D20" s="28" t="s">
        <v>521</v>
      </c>
      <c r="E20" s="28"/>
      <c r="F20" s="28" t="s">
        <v>2878</v>
      </c>
      <c r="G20" s="78">
        <v>100</v>
      </c>
      <c r="H20" s="43"/>
      <c r="I20" s="28" t="str">
        <f>Table43[[#This Row],[Nama Jenis Kemasan]]</f>
        <v>BOX</v>
      </c>
      <c r="J20" s="4" t="str">
        <f>TRIM(CONCATENATE(Table43[[#This Row],[Nama            KLP]]," ",Table43[[#This Row],[Nama            Sub KLP]]))</f>
        <v>ABSTRACT EYELASH</v>
      </c>
      <c r="K20" s="4" t="str">
        <f>CONCATENATE(Table43[[#This Row],[kode  2 Digit                (hrf+No)]],Table43[[#This Row],[kode  2 Digit                (Nomor)]],Table43[[#This Row],[kode  1 Digit                (Nomor)]])</f>
        <v>K1030</v>
      </c>
      <c r="L20" s="4" t="str">
        <f t="shared" si="0"/>
        <v>K1030003000010</v>
      </c>
      <c r="M20" s="11">
        <f t="shared" si="1"/>
        <v>14</v>
      </c>
      <c r="N20" s="14" t="str">
        <f>IF(AF20&lt;&gt;"",TRIM(UPPER(CONCATENATE(P20," ",R20," ",T20," ",V20," ",X20," ",Z20," ","X"," ",Table43[[#This Row],[ISI/CTN]]," ",AF20," ",AB20," ",AD20," ",AH20))),TRIM(UPPER(CONCATENATE(P20," ",R20," ",T20," ",V20," ",X20," ",Z20," ","X"," ",Table43[[#This Row],[ISI/CTN]]," ",AB20," ",AD20," ",AH20))))</f>
        <v>KNF ABSTRACT EYELASH F03 PREPPY X 100 BOX</v>
      </c>
      <c r="O20" s="11">
        <f t="shared" si="2"/>
        <v>41</v>
      </c>
      <c r="P20" s="4" t="s">
        <v>97</v>
      </c>
      <c r="Q20" s="7" t="s">
        <v>98</v>
      </c>
      <c r="R20" s="4" t="s">
        <v>2529</v>
      </c>
      <c r="S20" s="44" t="s">
        <v>2473</v>
      </c>
      <c r="T20" s="45" t="s">
        <v>2961</v>
      </c>
      <c r="U20" s="7" t="s">
        <v>2900</v>
      </c>
      <c r="V20" s="45" t="s">
        <v>2961</v>
      </c>
      <c r="W20" s="44" t="s">
        <v>2900</v>
      </c>
      <c r="X20" s="4" t="s">
        <v>2532</v>
      </c>
      <c r="Y20" s="46" t="s">
        <v>2473</v>
      </c>
      <c r="Z20" s="4" t="s">
        <v>2961</v>
      </c>
      <c r="AA20" s="46" t="s">
        <v>2483</v>
      </c>
      <c r="AB20" s="4" t="s">
        <v>1023</v>
      </c>
      <c r="AC20" s="7" t="s">
        <v>2656</v>
      </c>
      <c r="AD20" s="4" t="s">
        <v>2961</v>
      </c>
      <c r="AE20" s="7" t="s">
        <v>2900</v>
      </c>
      <c r="AF20" s="7" t="s">
        <v>2961</v>
      </c>
      <c r="AG20" s="7" t="s">
        <v>2961</v>
      </c>
      <c r="AI20" s="7" t="s">
        <v>360</v>
      </c>
      <c r="AJ20" s="7" t="s">
        <v>3590</v>
      </c>
      <c r="AK20" s="41">
        <f>Table43[[#This Row],[Harga Jual Pcs GT
(-PPN)]]-(Table43[[#This Row],[Harga Jual Pcs GT
(-PPN)]]*10%)</f>
        <v>0</v>
      </c>
      <c r="AL20" s="42">
        <f>Table43[[#This Row],[Harga Beli Pcs
(-PPN)]]*Table43[[#This Row],[ISI/CTN]]</f>
        <v>0</v>
      </c>
      <c r="AM20" s="42">
        <f>Table43[[#This Row],[Harga Beli Pcs
(-PPN)]]*1.11</f>
        <v>0</v>
      </c>
      <c r="AN20" s="42">
        <f>Table43[[#This Row],[Harga Beli Krt
(- PPN)]]*1.11</f>
        <v>0</v>
      </c>
      <c r="AO20" s="42"/>
      <c r="AP20" s="42">
        <f>Table43[[#This Row],[Harga Jual Pcs GT
(-PPN)]]*Table43[[#This Row],[ISI/CTN]]</f>
        <v>0</v>
      </c>
      <c r="AQ20" s="42">
        <f>Table43[[#This Row],[Harga Jual Pcs GT
(-PPN)]]*1.11</f>
        <v>0</v>
      </c>
      <c r="AR20" s="42">
        <f>Table43[[#This Row],[Harga Jual Krt GT
(- PPN)]]*1.11</f>
        <v>0</v>
      </c>
      <c r="AS20" s="42">
        <f>Table43[[#This Row],[Harga Jual Pcs GT
(-PPN)]]</f>
        <v>0</v>
      </c>
      <c r="AT20" s="42">
        <f>(Table43[[#This Row],[Harga Jual Pcs MT
(-PPN)]]*Table43[[#This Row],[ISI/CTN]])</f>
        <v>0</v>
      </c>
      <c r="AU20" s="42">
        <f>Table43[[#This Row],[Harga Jual Pcs MT
(-PPN)]]*1.11</f>
        <v>0</v>
      </c>
      <c r="AV20" s="42">
        <f>Table43[[#This Row],[Harga Jual Pcs MT
(+PPN)]]*Table43[[#This Row],[ISI/CTN]]</f>
        <v>0</v>
      </c>
      <c r="AW20" s="47"/>
      <c r="AX20" s="7"/>
      <c r="AY20" s="7" t="str">
        <f ca="1">IF(TODAY()-Table43[[#This Row],[Efektif
Pembuatan]]&gt;60,"Lama","Baru")</f>
        <v>Lama</v>
      </c>
      <c r="AZ20" s="7" t="str">
        <f ca="1">IF(TODAY()-Table43[[#This Row],[Efektif Naik Harga]]&lt;30,"Naik","Sama")</f>
        <v>Sama</v>
      </c>
      <c r="BA20" s="7" t="str">
        <f>IF(Table43[[#This Row],[Kode BARANG Win2]]&lt;&gt;"","IDR","")</f>
        <v>IDR</v>
      </c>
      <c r="BB20" s="7" t="str">
        <f>CONCATENATE(Table43[[#This Row],[kode  1 Digit
(Nomor)]],Table43[[#This Row],[kode  4 Digit                (Nomor)]])</f>
        <v>30000</v>
      </c>
      <c r="BC20" s="7" t="str">
        <f>Table43[[#This Row],[Nama            Gramasi atau Jumlah Pack per CTN]]</f>
        <v/>
      </c>
      <c r="BD20" s="7"/>
      <c r="BE20" s="7"/>
      <c r="BF20" s="4" t="str">
        <f>IF(Table43[[#This Row],[SATUAN Fix Win]]&lt;&gt;"","KRT")</f>
        <v>KRT</v>
      </c>
      <c r="BG20" s="4" t="str">
        <f>IF(Table43[[#This Row],[SATUAN Fix Win]]&lt;&gt;"","GD01")</f>
        <v>GD01</v>
      </c>
      <c r="BH20" s="4">
        <f>IF(Table43[[#This Row],[SATUAN Fix Win]]&lt;&gt;"",11611)</f>
        <v>11611</v>
      </c>
      <c r="BI20" s="4">
        <f>IF(Table43[[#This Row],[SATUAN Fix Win]]&lt;&gt;"",11612)</f>
        <v>11612</v>
      </c>
      <c r="BJ20" s="48"/>
      <c r="BK20" s="4">
        <f>IF(Table43[[#This Row],[SATUAN Fix Win]]&lt;&gt;"",1)</f>
        <v>1</v>
      </c>
    </row>
    <row r="21" spans="1:63">
      <c r="A21" s="4" t="str">
        <f>CONCATENATE(Table43[[#This Row],[Kode BARANG Win2]],Table43[[#This Row],[No. Urut
Item Sama]])</f>
        <v>K10300040000101</v>
      </c>
      <c r="B21" s="7">
        <v>1</v>
      </c>
      <c r="D21" s="28" t="s">
        <v>522</v>
      </c>
      <c r="E21" s="28"/>
      <c r="F21" s="28" t="s">
        <v>2879</v>
      </c>
      <c r="G21" s="78">
        <v>100</v>
      </c>
      <c r="H21" s="43"/>
      <c r="I21" s="28" t="str">
        <f>Table43[[#This Row],[Nama Jenis Kemasan]]</f>
        <v>BOX</v>
      </c>
      <c r="J21" s="4" t="str">
        <f>TRIM(CONCATENATE(Table43[[#This Row],[Nama            KLP]]," ",Table43[[#This Row],[Nama            Sub KLP]]))</f>
        <v>ABSTRACT EYELASH</v>
      </c>
      <c r="K21" s="4" t="str">
        <f>CONCATENATE(Table43[[#This Row],[kode  2 Digit                (hrf+No)]],Table43[[#This Row],[kode  2 Digit                (Nomor)]],Table43[[#This Row],[kode  1 Digit                (Nomor)]])</f>
        <v>K1030</v>
      </c>
      <c r="L21" s="4" t="str">
        <f t="shared" si="0"/>
        <v>K1030004000010</v>
      </c>
      <c r="M21" s="11">
        <f t="shared" si="1"/>
        <v>14</v>
      </c>
      <c r="N21" s="14" t="str">
        <f>IF(AF21&lt;&gt;"",TRIM(UPPER(CONCATENATE(P21," ",R21," ",T21," ",V21," ",X21," ",Z21," ","X"," ",Table43[[#This Row],[ISI/CTN]]," ",AF21," ",AB21," ",AD21," ",AH21))),TRIM(UPPER(CONCATENATE(P21," ",R21," ",T21," ",V21," ",X21," ",Z21," ","X"," ",Table43[[#This Row],[ISI/CTN]]," ",AB21," ",AD21," ",AH21))))</f>
        <v>KNF ABSTRACT EYELASH F04 ELEGANT X 100 BOX</v>
      </c>
      <c r="O21" s="11">
        <f t="shared" si="2"/>
        <v>42</v>
      </c>
      <c r="P21" s="4" t="s">
        <v>97</v>
      </c>
      <c r="Q21" s="7" t="s">
        <v>98</v>
      </c>
      <c r="R21" s="4" t="s">
        <v>2529</v>
      </c>
      <c r="S21" s="44" t="s">
        <v>2473</v>
      </c>
      <c r="T21" s="45" t="s">
        <v>2961</v>
      </c>
      <c r="U21" s="7" t="s">
        <v>2900</v>
      </c>
      <c r="V21" s="45" t="s">
        <v>2961</v>
      </c>
      <c r="W21" s="44" t="s">
        <v>2900</v>
      </c>
      <c r="X21" s="4" t="s">
        <v>2533</v>
      </c>
      <c r="Y21" s="46" t="s">
        <v>2474</v>
      </c>
      <c r="Z21" s="4" t="s">
        <v>2961</v>
      </c>
      <c r="AA21" s="46" t="s">
        <v>2483</v>
      </c>
      <c r="AB21" s="4" t="s">
        <v>1023</v>
      </c>
      <c r="AC21" s="7" t="s">
        <v>2656</v>
      </c>
      <c r="AD21" s="4" t="s">
        <v>2961</v>
      </c>
      <c r="AE21" s="7" t="s">
        <v>2900</v>
      </c>
      <c r="AF21" s="7" t="s">
        <v>2961</v>
      </c>
      <c r="AG21" s="7" t="s">
        <v>2961</v>
      </c>
      <c r="AI21" s="7" t="s">
        <v>360</v>
      </c>
      <c r="AJ21" s="7" t="s">
        <v>3590</v>
      </c>
      <c r="AK21" s="41">
        <f>Table43[[#This Row],[Harga Jual Pcs GT
(-PPN)]]-(Table43[[#This Row],[Harga Jual Pcs GT
(-PPN)]]*10%)</f>
        <v>0</v>
      </c>
      <c r="AL21" s="42">
        <f>Table43[[#This Row],[Harga Beli Pcs
(-PPN)]]*Table43[[#This Row],[ISI/CTN]]</f>
        <v>0</v>
      </c>
      <c r="AM21" s="42">
        <f>Table43[[#This Row],[Harga Beli Pcs
(-PPN)]]*1.11</f>
        <v>0</v>
      </c>
      <c r="AN21" s="42">
        <f>Table43[[#This Row],[Harga Beli Krt
(- PPN)]]*1.11</f>
        <v>0</v>
      </c>
      <c r="AO21" s="42"/>
      <c r="AP21" s="42">
        <f>Table43[[#This Row],[Harga Jual Pcs GT
(-PPN)]]*Table43[[#This Row],[ISI/CTN]]</f>
        <v>0</v>
      </c>
      <c r="AQ21" s="42">
        <f>Table43[[#This Row],[Harga Jual Pcs GT
(-PPN)]]*1.11</f>
        <v>0</v>
      </c>
      <c r="AR21" s="42">
        <f>Table43[[#This Row],[Harga Jual Krt GT
(- PPN)]]*1.11</f>
        <v>0</v>
      </c>
      <c r="AS21" s="42">
        <f>Table43[[#This Row],[Harga Jual Pcs GT
(-PPN)]]</f>
        <v>0</v>
      </c>
      <c r="AT21" s="42">
        <f>(Table43[[#This Row],[Harga Jual Pcs MT
(-PPN)]]*Table43[[#This Row],[ISI/CTN]])</f>
        <v>0</v>
      </c>
      <c r="AU21" s="42">
        <f>Table43[[#This Row],[Harga Jual Pcs MT
(-PPN)]]*1.11</f>
        <v>0</v>
      </c>
      <c r="AV21" s="42">
        <f>Table43[[#This Row],[Harga Jual Pcs MT
(+PPN)]]*Table43[[#This Row],[ISI/CTN]]</f>
        <v>0</v>
      </c>
      <c r="AW21" s="47"/>
      <c r="AX21" s="7"/>
      <c r="AY21" s="7" t="str">
        <f ca="1">IF(TODAY()-Table43[[#This Row],[Efektif
Pembuatan]]&gt;60,"Lama","Baru")</f>
        <v>Lama</v>
      </c>
      <c r="AZ21" s="7" t="str">
        <f ca="1">IF(TODAY()-Table43[[#This Row],[Efektif Naik Harga]]&lt;30,"Naik","Sama")</f>
        <v>Sama</v>
      </c>
      <c r="BA21" s="7" t="str">
        <f>IF(Table43[[#This Row],[Kode BARANG Win2]]&lt;&gt;"","IDR","")</f>
        <v>IDR</v>
      </c>
      <c r="BB21" s="7" t="str">
        <f>CONCATENATE(Table43[[#This Row],[kode  1 Digit
(Nomor)]],Table43[[#This Row],[kode  4 Digit                (Nomor)]])</f>
        <v>30000</v>
      </c>
      <c r="BC21" s="7" t="str">
        <f>Table43[[#This Row],[Nama            Gramasi atau Jumlah Pack per CTN]]</f>
        <v/>
      </c>
      <c r="BD21" s="7"/>
      <c r="BE21" s="7"/>
      <c r="BF21" s="4" t="str">
        <f>IF(Table43[[#This Row],[SATUAN Fix Win]]&lt;&gt;"","KRT")</f>
        <v>KRT</v>
      </c>
      <c r="BG21" s="4" t="str">
        <f>IF(Table43[[#This Row],[SATUAN Fix Win]]&lt;&gt;"","GD01")</f>
        <v>GD01</v>
      </c>
      <c r="BH21" s="4">
        <f>IF(Table43[[#This Row],[SATUAN Fix Win]]&lt;&gt;"",11611)</f>
        <v>11611</v>
      </c>
      <c r="BI21" s="4">
        <f>IF(Table43[[#This Row],[SATUAN Fix Win]]&lt;&gt;"",11612)</f>
        <v>11612</v>
      </c>
      <c r="BJ21" s="48"/>
      <c r="BK21" s="4">
        <f>IF(Table43[[#This Row],[SATUAN Fix Win]]&lt;&gt;"",1)</f>
        <v>1</v>
      </c>
    </row>
    <row r="22" spans="1:63">
      <c r="A22" s="4" t="str">
        <f>CONCATENATE(Table43[[#This Row],[Kode BARANG Win2]],Table43[[#This Row],[No. Urut
Item Sama]])</f>
        <v>K10300050000101</v>
      </c>
      <c r="B22" s="7">
        <v>1</v>
      </c>
      <c r="D22" s="28" t="s">
        <v>523</v>
      </c>
      <c r="E22" s="28"/>
      <c r="F22" s="28" t="s">
        <v>2880</v>
      </c>
      <c r="G22" s="78">
        <v>100</v>
      </c>
      <c r="H22" s="43"/>
      <c r="I22" s="28" t="str">
        <f>Table43[[#This Row],[Nama Jenis Kemasan]]</f>
        <v>BOX</v>
      </c>
      <c r="J22" s="4" t="str">
        <f>TRIM(CONCATENATE(Table43[[#This Row],[Nama            KLP]]," ",Table43[[#This Row],[Nama            Sub KLP]]))</f>
        <v>ABSTRACT EYELASH</v>
      </c>
      <c r="K22" s="4" t="str">
        <f>CONCATENATE(Table43[[#This Row],[kode  2 Digit                (hrf+No)]],Table43[[#This Row],[kode  2 Digit                (Nomor)]],Table43[[#This Row],[kode  1 Digit                (Nomor)]])</f>
        <v>K1030</v>
      </c>
      <c r="L22" s="4" t="str">
        <f t="shared" si="0"/>
        <v>K1030005000010</v>
      </c>
      <c r="M22" s="11">
        <f t="shared" si="1"/>
        <v>14</v>
      </c>
      <c r="N22" s="14" t="str">
        <f>IF(AF22&lt;&gt;"",TRIM(UPPER(CONCATENATE(P22," ",R22," ",T22," ",V22," ",X22," ",Z22," ","X"," ",Table43[[#This Row],[ISI/CTN]]," ",AF22," ",AB22," ",AD22," ",AH22))),TRIM(UPPER(CONCATENATE(P22," ",R22," ",T22," ",V22," ",X22," ",Z22," ","X"," ",Table43[[#This Row],[ISI/CTN]]," ",AB22," ",AD22," ",AH22))))</f>
        <v>KNF ABSTRACT EYELASH F05 BOHEMIAN X 100 BOX</v>
      </c>
      <c r="O22" s="11">
        <f t="shared" si="2"/>
        <v>43</v>
      </c>
      <c r="P22" s="4" t="s">
        <v>97</v>
      </c>
      <c r="Q22" s="7" t="s">
        <v>98</v>
      </c>
      <c r="R22" s="4" t="s">
        <v>2529</v>
      </c>
      <c r="S22" s="44" t="s">
        <v>2473</v>
      </c>
      <c r="T22" s="45" t="s">
        <v>2961</v>
      </c>
      <c r="U22" s="7" t="s">
        <v>2900</v>
      </c>
      <c r="V22" s="45" t="s">
        <v>2961</v>
      </c>
      <c r="W22" s="44" t="s">
        <v>2900</v>
      </c>
      <c r="X22" s="4" t="s">
        <v>2534</v>
      </c>
      <c r="Y22" s="46" t="s">
        <v>2475</v>
      </c>
      <c r="Z22" s="4" t="s">
        <v>2961</v>
      </c>
      <c r="AA22" s="46" t="s">
        <v>2483</v>
      </c>
      <c r="AB22" s="4" t="s">
        <v>1023</v>
      </c>
      <c r="AC22" s="7" t="s">
        <v>2656</v>
      </c>
      <c r="AD22" s="4" t="s">
        <v>2961</v>
      </c>
      <c r="AE22" s="7" t="s">
        <v>2900</v>
      </c>
      <c r="AF22" s="7" t="s">
        <v>2961</v>
      </c>
      <c r="AG22" s="7" t="s">
        <v>2961</v>
      </c>
      <c r="AI22" s="7" t="s">
        <v>360</v>
      </c>
      <c r="AJ22" s="7" t="s">
        <v>3590</v>
      </c>
      <c r="AK22" s="41">
        <f>Table43[[#This Row],[Harga Jual Pcs GT
(-PPN)]]-(Table43[[#This Row],[Harga Jual Pcs GT
(-PPN)]]*10%)</f>
        <v>0</v>
      </c>
      <c r="AL22" s="42">
        <f>Table43[[#This Row],[Harga Beli Pcs
(-PPN)]]*Table43[[#This Row],[ISI/CTN]]</f>
        <v>0</v>
      </c>
      <c r="AM22" s="42">
        <f>Table43[[#This Row],[Harga Beli Pcs
(-PPN)]]*1.11</f>
        <v>0</v>
      </c>
      <c r="AN22" s="42">
        <f>Table43[[#This Row],[Harga Beli Krt
(- PPN)]]*1.11</f>
        <v>0</v>
      </c>
      <c r="AO22" s="42"/>
      <c r="AP22" s="42">
        <f>Table43[[#This Row],[Harga Jual Pcs GT
(-PPN)]]*Table43[[#This Row],[ISI/CTN]]</f>
        <v>0</v>
      </c>
      <c r="AQ22" s="42">
        <f>Table43[[#This Row],[Harga Jual Pcs GT
(-PPN)]]*1.11</f>
        <v>0</v>
      </c>
      <c r="AR22" s="42">
        <f>Table43[[#This Row],[Harga Jual Krt GT
(- PPN)]]*1.11</f>
        <v>0</v>
      </c>
      <c r="AS22" s="42">
        <f>Table43[[#This Row],[Harga Jual Pcs GT
(-PPN)]]</f>
        <v>0</v>
      </c>
      <c r="AT22" s="42">
        <f>(Table43[[#This Row],[Harga Jual Pcs MT
(-PPN)]]*Table43[[#This Row],[ISI/CTN]])</f>
        <v>0</v>
      </c>
      <c r="AU22" s="42">
        <f>Table43[[#This Row],[Harga Jual Pcs MT
(-PPN)]]*1.11</f>
        <v>0</v>
      </c>
      <c r="AV22" s="42">
        <f>Table43[[#This Row],[Harga Jual Pcs MT
(+PPN)]]*Table43[[#This Row],[ISI/CTN]]</f>
        <v>0</v>
      </c>
      <c r="AW22" s="47"/>
      <c r="AX22" s="7"/>
      <c r="AY22" s="7" t="str">
        <f ca="1">IF(TODAY()-Table43[[#This Row],[Efektif
Pembuatan]]&gt;60,"Lama","Baru")</f>
        <v>Lama</v>
      </c>
      <c r="AZ22" s="7" t="str">
        <f ca="1">IF(TODAY()-Table43[[#This Row],[Efektif Naik Harga]]&lt;30,"Naik","Sama")</f>
        <v>Sama</v>
      </c>
      <c r="BA22" s="7" t="str">
        <f>IF(Table43[[#This Row],[Kode BARANG Win2]]&lt;&gt;"","IDR","")</f>
        <v>IDR</v>
      </c>
      <c r="BB22" s="7" t="str">
        <f>CONCATENATE(Table43[[#This Row],[kode  1 Digit
(Nomor)]],Table43[[#This Row],[kode  4 Digit                (Nomor)]])</f>
        <v>30000</v>
      </c>
      <c r="BC22" s="7" t="str">
        <f>Table43[[#This Row],[Nama            Gramasi atau Jumlah Pack per CTN]]</f>
        <v/>
      </c>
      <c r="BD22" s="7"/>
      <c r="BE22" s="7"/>
      <c r="BF22" s="4" t="str">
        <f>IF(Table43[[#This Row],[SATUAN Fix Win]]&lt;&gt;"","KRT")</f>
        <v>KRT</v>
      </c>
      <c r="BG22" s="4" t="str">
        <f>IF(Table43[[#This Row],[SATUAN Fix Win]]&lt;&gt;"","GD01")</f>
        <v>GD01</v>
      </c>
      <c r="BH22" s="4">
        <f>IF(Table43[[#This Row],[SATUAN Fix Win]]&lt;&gt;"",11611)</f>
        <v>11611</v>
      </c>
      <c r="BI22" s="4">
        <f>IF(Table43[[#This Row],[SATUAN Fix Win]]&lt;&gt;"",11612)</f>
        <v>11612</v>
      </c>
      <c r="BJ22" s="48"/>
      <c r="BK22" s="4">
        <f>IF(Table43[[#This Row],[SATUAN Fix Win]]&lt;&gt;"",1)</f>
        <v>1</v>
      </c>
    </row>
    <row r="23" spans="1:63">
      <c r="A23" s="4" t="str">
        <f>CONCATENATE(Table43[[#This Row],[Kode BARANG Win2]],Table43[[#This Row],[No. Urut
Item Sama]])</f>
        <v>K10300060000101</v>
      </c>
      <c r="B23" s="7">
        <v>1</v>
      </c>
      <c r="D23" s="28" t="s">
        <v>524</v>
      </c>
      <c r="E23" s="28"/>
      <c r="F23" s="28" t="s">
        <v>2881</v>
      </c>
      <c r="G23" s="78">
        <v>100</v>
      </c>
      <c r="H23" s="43"/>
      <c r="I23" s="28" t="str">
        <f>Table43[[#This Row],[Nama Jenis Kemasan]]</f>
        <v>BOX</v>
      </c>
      <c r="J23" s="4" t="str">
        <f>TRIM(CONCATENATE(Table43[[#This Row],[Nama            KLP]]," ",Table43[[#This Row],[Nama            Sub KLP]]))</f>
        <v>ABSTRACT EYELASH</v>
      </c>
      <c r="K23" s="4" t="str">
        <f>CONCATENATE(Table43[[#This Row],[kode  2 Digit                (hrf+No)]],Table43[[#This Row],[kode  2 Digit                (Nomor)]],Table43[[#This Row],[kode  1 Digit                (Nomor)]])</f>
        <v>K1030</v>
      </c>
      <c r="L23" s="4" t="str">
        <f t="shared" si="0"/>
        <v>K1030006000010</v>
      </c>
      <c r="M23" s="11">
        <f t="shared" si="1"/>
        <v>14</v>
      </c>
      <c r="N23" s="14" t="str">
        <f>IF(AF23&lt;&gt;"",TRIM(UPPER(CONCATENATE(P23," ",R23," ",T23," ",V23," ",X23," ",Z23," ","X"," ",Table43[[#This Row],[ISI/CTN]]," ",AF23," ",AB23," ",AD23," ",AH23))),TRIM(UPPER(CONCATENATE(P23," ",R23," ",T23," ",V23," ",X23," ",Z23," ","X"," ",Table43[[#This Row],[ISI/CTN]]," ",AB23," ",AD23," ",AH23))))</f>
        <v>KNF ABSTRACT EYELASH 06 CASUAL X 100 BOX</v>
      </c>
      <c r="O23" s="11">
        <f t="shared" si="2"/>
        <v>40</v>
      </c>
      <c r="P23" s="4" t="s">
        <v>97</v>
      </c>
      <c r="Q23" s="7" t="s">
        <v>98</v>
      </c>
      <c r="R23" s="4" t="s">
        <v>2529</v>
      </c>
      <c r="S23" s="44" t="s">
        <v>2473</v>
      </c>
      <c r="T23" s="45" t="s">
        <v>2961</v>
      </c>
      <c r="U23" s="7" t="s">
        <v>2900</v>
      </c>
      <c r="V23" s="45" t="s">
        <v>2961</v>
      </c>
      <c r="W23" s="44" t="s">
        <v>2900</v>
      </c>
      <c r="X23" s="4" t="s">
        <v>3563</v>
      </c>
      <c r="Y23" s="46" t="s">
        <v>2476</v>
      </c>
      <c r="Z23" s="4" t="s">
        <v>2961</v>
      </c>
      <c r="AA23" s="46" t="s">
        <v>2483</v>
      </c>
      <c r="AB23" s="4" t="s">
        <v>1023</v>
      </c>
      <c r="AC23" s="7" t="s">
        <v>2656</v>
      </c>
      <c r="AD23" s="4" t="s">
        <v>2961</v>
      </c>
      <c r="AE23" s="7" t="s">
        <v>2900</v>
      </c>
      <c r="AF23" s="7" t="s">
        <v>2961</v>
      </c>
      <c r="AG23" s="7" t="s">
        <v>2961</v>
      </c>
      <c r="AI23" s="7" t="s">
        <v>360</v>
      </c>
      <c r="AJ23" s="7" t="s">
        <v>3590</v>
      </c>
      <c r="AK23" s="41">
        <f>Table43[[#This Row],[Harga Jual Pcs GT
(-PPN)]]-(Table43[[#This Row],[Harga Jual Pcs GT
(-PPN)]]*10%)</f>
        <v>0</v>
      </c>
      <c r="AL23" s="42">
        <f>Table43[[#This Row],[Harga Beli Pcs
(-PPN)]]*Table43[[#This Row],[ISI/CTN]]</f>
        <v>0</v>
      </c>
      <c r="AM23" s="42">
        <f>Table43[[#This Row],[Harga Beli Pcs
(-PPN)]]*1.11</f>
        <v>0</v>
      </c>
      <c r="AN23" s="42">
        <f>Table43[[#This Row],[Harga Beli Krt
(- PPN)]]*1.11</f>
        <v>0</v>
      </c>
      <c r="AO23" s="42"/>
      <c r="AP23" s="42">
        <f>Table43[[#This Row],[Harga Jual Pcs GT
(-PPN)]]*Table43[[#This Row],[ISI/CTN]]</f>
        <v>0</v>
      </c>
      <c r="AQ23" s="42">
        <f>Table43[[#This Row],[Harga Jual Pcs GT
(-PPN)]]*1.11</f>
        <v>0</v>
      </c>
      <c r="AR23" s="42">
        <f>Table43[[#This Row],[Harga Jual Krt GT
(- PPN)]]*1.11</f>
        <v>0</v>
      </c>
      <c r="AS23" s="42">
        <f>Table43[[#This Row],[Harga Jual Pcs GT
(-PPN)]]</f>
        <v>0</v>
      </c>
      <c r="AT23" s="42">
        <f>(Table43[[#This Row],[Harga Jual Pcs MT
(-PPN)]]*Table43[[#This Row],[ISI/CTN]])</f>
        <v>0</v>
      </c>
      <c r="AU23" s="42">
        <f>Table43[[#This Row],[Harga Jual Pcs MT
(-PPN)]]*1.11</f>
        <v>0</v>
      </c>
      <c r="AV23" s="42">
        <f>Table43[[#This Row],[Harga Jual Pcs MT
(+PPN)]]*Table43[[#This Row],[ISI/CTN]]</f>
        <v>0</v>
      </c>
      <c r="AW23" s="47"/>
      <c r="AX23" s="7"/>
      <c r="AY23" s="7" t="str">
        <f ca="1">IF(TODAY()-Table43[[#This Row],[Efektif
Pembuatan]]&gt;60,"Lama","Baru")</f>
        <v>Lama</v>
      </c>
      <c r="AZ23" s="7" t="str">
        <f ca="1">IF(TODAY()-Table43[[#This Row],[Efektif Naik Harga]]&lt;30,"Naik","Sama")</f>
        <v>Sama</v>
      </c>
      <c r="BA23" s="7" t="str">
        <f>IF(Table43[[#This Row],[Kode BARANG Win2]]&lt;&gt;"","IDR","")</f>
        <v>IDR</v>
      </c>
      <c r="BB23" s="7" t="str">
        <f>CONCATENATE(Table43[[#This Row],[kode  1 Digit
(Nomor)]],Table43[[#This Row],[kode  4 Digit                (Nomor)]])</f>
        <v>30000</v>
      </c>
      <c r="BC23" s="7" t="str">
        <f>Table43[[#This Row],[Nama            Gramasi atau Jumlah Pack per CTN]]</f>
        <v/>
      </c>
      <c r="BD23" s="7"/>
      <c r="BE23" s="7"/>
      <c r="BF23" s="4" t="str">
        <f>IF(Table43[[#This Row],[SATUAN Fix Win]]&lt;&gt;"","KRT")</f>
        <v>KRT</v>
      </c>
      <c r="BG23" s="4" t="str">
        <f>IF(Table43[[#This Row],[SATUAN Fix Win]]&lt;&gt;"","GD01")</f>
        <v>GD01</v>
      </c>
      <c r="BH23" s="4">
        <f>IF(Table43[[#This Row],[SATUAN Fix Win]]&lt;&gt;"",11611)</f>
        <v>11611</v>
      </c>
      <c r="BI23" s="4">
        <f>IF(Table43[[#This Row],[SATUAN Fix Win]]&lt;&gt;"",11612)</f>
        <v>11612</v>
      </c>
      <c r="BJ23" s="48"/>
      <c r="BK23" s="4">
        <f>IF(Table43[[#This Row],[SATUAN Fix Win]]&lt;&gt;"",1)</f>
        <v>1</v>
      </c>
    </row>
    <row r="24" spans="1:63">
      <c r="A24" s="4" t="str">
        <f>CONCATENATE(Table43[[#This Row],[Kode BARANG Win2]],Table43[[#This Row],[No. Urut
Item Sama]])</f>
        <v>K10300070000101</v>
      </c>
      <c r="B24" s="7">
        <v>1</v>
      </c>
      <c r="D24" s="28" t="s">
        <v>525</v>
      </c>
      <c r="E24" s="28"/>
      <c r="F24" s="28" t="s">
        <v>2882</v>
      </c>
      <c r="G24" s="78">
        <v>100</v>
      </c>
      <c r="H24" s="43"/>
      <c r="I24" s="28" t="str">
        <f>Table43[[#This Row],[Nama Jenis Kemasan]]</f>
        <v>BOX</v>
      </c>
      <c r="J24" s="4" t="str">
        <f>TRIM(CONCATENATE(Table43[[#This Row],[Nama            KLP]]," ",Table43[[#This Row],[Nama            Sub KLP]]))</f>
        <v>ABSTRACT EYELASH</v>
      </c>
      <c r="K24" s="4" t="str">
        <f>CONCATENATE(Table43[[#This Row],[kode  2 Digit                (hrf+No)]],Table43[[#This Row],[kode  2 Digit                (Nomor)]],Table43[[#This Row],[kode  1 Digit                (Nomor)]])</f>
        <v>K1030</v>
      </c>
      <c r="L24" s="4" t="str">
        <f t="shared" si="0"/>
        <v>K1030007000010</v>
      </c>
      <c r="M24" s="11">
        <f t="shared" si="1"/>
        <v>14</v>
      </c>
      <c r="N24" s="14" t="str">
        <f>IF(AF24&lt;&gt;"",TRIM(UPPER(CONCATENATE(P24," ",R24," ",T24," ",V24," ",X24," ",Z24," ","X"," ",Table43[[#This Row],[ISI/CTN]]," ",AF24," ",AB24," ",AD24," ",AH24))),TRIM(UPPER(CONCATENATE(P24," ",R24," ",T24," ",V24," ",X24," ",Z24," ","X"," ",Table43[[#This Row],[ISI/CTN]]," ",AB24," ",AD24," ",AH24))))</f>
        <v>KNF ABSTRACT EYELASH F07 EDGY X 100 BOX</v>
      </c>
      <c r="O24" s="11">
        <f t="shared" si="2"/>
        <v>39</v>
      </c>
      <c r="P24" s="4" t="s">
        <v>97</v>
      </c>
      <c r="Q24" s="7" t="s">
        <v>98</v>
      </c>
      <c r="R24" s="4" t="s">
        <v>2529</v>
      </c>
      <c r="S24" s="44" t="s">
        <v>2473</v>
      </c>
      <c r="T24" s="45" t="s">
        <v>2961</v>
      </c>
      <c r="U24" s="7" t="s">
        <v>2900</v>
      </c>
      <c r="V24" s="45" t="s">
        <v>2961</v>
      </c>
      <c r="W24" s="44" t="s">
        <v>2900</v>
      </c>
      <c r="X24" s="4" t="s">
        <v>2535</v>
      </c>
      <c r="Y24" s="46" t="s">
        <v>2477</v>
      </c>
      <c r="Z24" s="4" t="s">
        <v>2961</v>
      </c>
      <c r="AA24" s="46" t="s">
        <v>2483</v>
      </c>
      <c r="AB24" s="4" t="s">
        <v>1023</v>
      </c>
      <c r="AC24" s="7" t="s">
        <v>2656</v>
      </c>
      <c r="AD24" s="4" t="s">
        <v>2961</v>
      </c>
      <c r="AE24" s="7" t="s">
        <v>2900</v>
      </c>
      <c r="AF24" s="7" t="s">
        <v>2961</v>
      </c>
      <c r="AG24" s="7" t="s">
        <v>2961</v>
      </c>
      <c r="AI24" s="7" t="s">
        <v>360</v>
      </c>
      <c r="AJ24" s="7" t="s">
        <v>3590</v>
      </c>
      <c r="AK24" s="41">
        <f>Table43[[#This Row],[Harga Jual Pcs GT
(-PPN)]]-(Table43[[#This Row],[Harga Jual Pcs GT
(-PPN)]]*10%)</f>
        <v>0</v>
      </c>
      <c r="AL24" s="42">
        <f>Table43[[#This Row],[Harga Beli Pcs
(-PPN)]]*Table43[[#This Row],[ISI/CTN]]</f>
        <v>0</v>
      </c>
      <c r="AM24" s="42">
        <f>Table43[[#This Row],[Harga Beli Pcs
(-PPN)]]*1.11</f>
        <v>0</v>
      </c>
      <c r="AN24" s="42">
        <f>Table43[[#This Row],[Harga Beli Krt
(- PPN)]]*1.11</f>
        <v>0</v>
      </c>
      <c r="AO24" s="42"/>
      <c r="AP24" s="42">
        <f>Table43[[#This Row],[Harga Jual Pcs GT
(-PPN)]]*Table43[[#This Row],[ISI/CTN]]</f>
        <v>0</v>
      </c>
      <c r="AQ24" s="42">
        <f>Table43[[#This Row],[Harga Jual Pcs GT
(-PPN)]]*1.11</f>
        <v>0</v>
      </c>
      <c r="AR24" s="42">
        <f>Table43[[#This Row],[Harga Jual Krt GT
(- PPN)]]*1.11</f>
        <v>0</v>
      </c>
      <c r="AS24" s="42">
        <f>Table43[[#This Row],[Harga Jual Pcs GT
(-PPN)]]</f>
        <v>0</v>
      </c>
      <c r="AT24" s="42">
        <f>(Table43[[#This Row],[Harga Jual Pcs MT
(-PPN)]]*Table43[[#This Row],[ISI/CTN]])</f>
        <v>0</v>
      </c>
      <c r="AU24" s="42">
        <f>Table43[[#This Row],[Harga Jual Pcs MT
(-PPN)]]*1.11</f>
        <v>0</v>
      </c>
      <c r="AV24" s="42">
        <f>Table43[[#This Row],[Harga Jual Pcs MT
(+PPN)]]*Table43[[#This Row],[ISI/CTN]]</f>
        <v>0</v>
      </c>
      <c r="AW24" s="47"/>
      <c r="AX24" s="7"/>
      <c r="AY24" s="7" t="str">
        <f ca="1">IF(TODAY()-Table43[[#This Row],[Efektif
Pembuatan]]&gt;60,"Lama","Baru")</f>
        <v>Lama</v>
      </c>
      <c r="AZ24" s="7" t="str">
        <f ca="1">IF(TODAY()-Table43[[#This Row],[Efektif Naik Harga]]&lt;30,"Naik","Sama")</f>
        <v>Sama</v>
      </c>
      <c r="BA24" s="7" t="str">
        <f>IF(Table43[[#This Row],[Kode BARANG Win2]]&lt;&gt;"","IDR","")</f>
        <v>IDR</v>
      </c>
      <c r="BB24" s="7" t="str">
        <f>CONCATENATE(Table43[[#This Row],[kode  1 Digit
(Nomor)]],Table43[[#This Row],[kode  4 Digit                (Nomor)]])</f>
        <v>30000</v>
      </c>
      <c r="BC24" s="7" t="str">
        <f>Table43[[#This Row],[Nama            Gramasi atau Jumlah Pack per CTN]]</f>
        <v/>
      </c>
      <c r="BD24" s="7"/>
      <c r="BE24" s="7"/>
      <c r="BF24" s="4" t="str">
        <f>IF(Table43[[#This Row],[SATUAN Fix Win]]&lt;&gt;"","KRT")</f>
        <v>KRT</v>
      </c>
      <c r="BG24" s="4" t="str">
        <f>IF(Table43[[#This Row],[SATUAN Fix Win]]&lt;&gt;"","GD01")</f>
        <v>GD01</v>
      </c>
      <c r="BH24" s="4">
        <f>IF(Table43[[#This Row],[SATUAN Fix Win]]&lt;&gt;"",11611)</f>
        <v>11611</v>
      </c>
      <c r="BI24" s="4">
        <f>IF(Table43[[#This Row],[SATUAN Fix Win]]&lt;&gt;"",11612)</f>
        <v>11612</v>
      </c>
      <c r="BJ24" s="48"/>
      <c r="BK24" s="4">
        <f>IF(Table43[[#This Row],[SATUAN Fix Win]]&lt;&gt;"",1)</f>
        <v>1</v>
      </c>
    </row>
    <row r="25" spans="1:63">
      <c r="A25" s="4" t="str">
        <f>CONCATENATE(Table43[[#This Row],[Kode BARANG Win2]],Table43[[#This Row],[No. Urut
Item Sama]])</f>
        <v>K10300080000101</v>
      </c>
      <c r="B25" s="7">
        <v>1</v>
      </c>
      <c r="D25" s="28" t="s">
        <v>509</v>
      </c>
      <c r="E25" s="28"/>
      <c r="F25" s="28" t="s">
        <v>2883</v>
      </c>
      <c r="G25" s="78">
        <v>100</v>
      </c>
      <c r="H25" s="43"/>
      <c r="I25" s="28" t="str">
        <f>Table43[[#This Row],[Nama Jenis Kemasan]]</f>
        <v>BOX</v>
      </c>
      <c r="J25" s="4" t="str">
        <f>TRIM(CONCATENATE(Table43[[#This Row],[Nama            KLP]]," ",Table43[[#This Row],[Nama            Sub KLP]]))</f>
        <v>ABSTRACT EYELASH</v>
      </c>
      <c r="K25" s="4" t="str">
        <f>CONCATENATE(Table43[[#This Row],[kode  2 Digit                (hrf+No)]],Table43[[#This Row],[kode  2 Digit                (Nomor)]],Table43[[#This Row],[kode  1 Digit                (Nomor)]])</f>
        <v>K1030</v>
      </c>
      <c r="L25" s="4" t="str">
        <f t="shared" si="0"/>
        <v>K1030008000010</v>
      </c>
      <c r="M25" s="11">
        <f t="shared" si="1"/>
        <v>14</v>
      </c>
      <c r="N25" s="14" t="str">
        <f>IF(AF25&lt;&gt;"",TRIM(UPPER(CONCATENATE(P25," ",R25," ",T25," ",V25," ",X25," ",Z25," ","X"," ",Table43[[#This Row],[ISI/CTN]]," ",AF25," ",AB25," ",AD25," ",AH25))),TRIM(UPPER(CONCATENATE(P25," ",R25," ",T25," ",V25," ",X25," ",Z25," ","X"," ",Table43[[#This Row],[ISI/CTN]]," ",AB25," ",AD25," ",AH25))))</f>
        <v>KNF ABSTRACT EYELASH N01 ZINNIA X 100 BOX</v>
      </c>
      <c r="O25" s="11">
        <f t="shared" si="2"/>
        <v>41</v>
      </c>
      <c r="P25" s="4" t="s">
        <v>97</v>
      </c>
      <c r="Q25" s="7" t="s">
        <v>98</v>
      </c>
      <c r="R25" s="4" t="s">
        <v>2529</v>
      </c>
      <c r="S25" s="44" t="s">
        <v>2473</v>
      </c>
      <c r="T25" s="45" t="s">
        <v>2961</v>
      </c>
      <c r="U25" s="7" t="s">
        <v>2900</v>
      </c>
      <c r="V25" s="45" t="s">
        <v>2961</v>
      </c>
      <c r="W25" s="44" t="s">
        <v>2900</v>
      </c>
      <c r="X25" s="4" t="s">
        <v>2536</v>
      </c>
      <c r="Y25" s="46" t="s">
        <v>2478</v>
      </c>
      <c r="Z25" s="4" t="s">
        <v>2961</v>
      </c>
      <c r="AA25" s="46" t="s">
        <v>2483</v>
      </c>
      <c r="AB25" s="4" t="s">
        <v>1023</v>
      </c>
      <c r="AC25" s="7" t="s">
        <v>2656</v>
      </c>
      <c r="AD25" s="4" t="s">
        <v>2961</v>
      </c>
      <c r="AE25" s="7" t="s">
        <v>2900</v>
      </c>
      <c r="AF25" s="7" t="s">
        <v>2961</v>
      </c>
      <c r="AG25" s="7" t="s">
        <v>2961</v>
      </c>
      <c r="AI25" s="7" t="s">
        <v>360</v>
      </c>
      <c r="AJ25" s="7" t="s">
        <v>3590</v>
      </c>
      <c r="AK25" s="41">
        <f>Table43[[#This Row],[Harga Jual Pcs GT
(-PPN)]]-(Table43[[#This Row],[Harga Jual Pcs GT
(-PPN)]]*10%)</f>
        <v>0</v>
      </c>
      <c r="AL25" s="42">
        <f>Table43[[#This Row],[Harga Beli Pcs
(-PPN)]]*Table43[[#This Row],[ISI/CTN]]</f>
        <v>0</v>
      </c>
      <c r="AM25" s="42">
        <f>Table43[[#This Row],[Harga Beli Pcs
(-PPN)]]*1.11</f>
        <v>0</v>
      </c>
      <c r="AN25" s="42">
        <f>Table43[[#This Row],[Harga Beli Krt
(- PPN)]]*1.11</f>
        <v>0</v>
      </c>
      <c r="AO25" s="42"/>
      <c r="AP25" s="42">
        <f>Table43[[#This Row],[Harga Jual Pcs GT
(-PPN)]]*Table43[[#This Row],[ISI/CTN]]</f>
        <v>0</v>
      </c>
      <c r="AQ25" s="42">
        <f>Table43[[#This Row],[Harga Jual Pcs GT
(-PPN)]]*1.11</f>
        <v>0</v>
      </c>
      <c r="AR25" s="42">
        <f>Table43[[#This Row],[Harga Jual Krt GT
(- PPN)]]*1.11</f>
        <v>0</v>
      </c>
      <c r="AS25" s="42">
        <f>Table43[[#This Row],[Harga Jual Pcs GT
(-PPN)]]</f>
        <v>0</v>
      </c>
      <c r="AT25" s="42">
        <f>(Table43[[#This Row],[Harga Jual Pcs MT
(-PPN)]]*Table43[[#This Row],[ISI/CTN]])</f>
        <v>0</v>
      </c>
      <c r="AU25" s="42">
        <f>Table43[[#This Row],[Harga Jual Pcs MT
(-PPN)]]*1.11</f>
        <v>0</v>
      </c>
      <c r="AV25" s="42">
        <f>Table43[[#This Row],[Harga Jual Pcs MT
(+PPN)]]*Table43[[#This Row],[ISI/CTN]]</f>
        <v>0</v>
      </c>
      <c r="AW25" s="47"/>
      <c r="AX25" s="7"/>
      <c r="AY25" s="7" t="str">
        <f ca="1">IF(TODAY()-Table43[[#This Row],[Efektif
Pembuatan]]&gt;60,"Lama","Baru")</f>
        <v>Lama</v>
      </c>
      <c r="AZ25" s="7" t="str">
        <f ca="1">IF(TODAY()-Table43[[#This Row],[Efektif Naik Harga]]&lt;30,"Naik","Sama")</f>
        <v>Sama</v>
      </c>
      <c r="BA25" s="7" t="str">
        <f>IF(Table43[[#This Row],[Kode BARANG Win2]]&lt;&gt;"","IDR","")</f>
        <v>IDR</v>
      </c>
      <c r="BB25" s="7" t="str">
        <f>CONCATENATE(Table43[[#This Row],[kode  1 Digit
(Nomor)]],Table43[[#This Row],[kode  4 Digit                (Nomor)]])</f>
        <v>30000</v>
      </c>
      <c r="BC25" s="7" t="str">
        <f>Table43[[#This Row],[Nama            Gramasi atau Jumlah Pack per CTN]]</f>
        <v/>
      </c>
      <c r="BD25" s="7"/>
      <c r="BE25" s="7"/>
      <c r="BF25" s="4" t="str">
        <f>IF(Table43[[#This Row],[SATUAN Fix Win]]&lt;&gt;"","KRT")</f>
        <v>KRT</v>
      </c>
      <c r="BG25" s="4" t="str">
        <f>IF(Table43[[#This Row],[SATUAN Fix Win]]&lt;&gt;"","GD01")</f>
        <v>GD01</v>
      </c>
      <c r="BH25" s="4">
        <f>IF(Table43[[#This Row],[SATUAN Fix Win]]&lt;&gt;"",11611)</f>
        <v>11611</v>
      </c>
      <c r="BI25" s="4">
        <f>IF(Table43[[#This Row],[SATUAN Fix Win]]&lt;&gt;"",11612)</f>
        <v>11612</v>
      </c>
      <c r="BJ25" s="48"/>
      <c r="BK25" s="4">
        <f>IF(Table43[[#This Row],[SATUAN Fix Win]]&lt;&gt;"",1)</f>
        <v>1</v>
      </c>
    </row>
    <row r="26" spans="1:63">
      <c r="A26" s="4" t="str">
        <f>CONCATENATE(Table43[[#This Row],[Kode BARANG Win2]],Table43[[#This Row],[No. Urut
Item Sama]])</f>
        <v>K10300090000101</v>
      </c>
      <c r="B26" s="7">
        <v>1</v>
      </c>
      <c r="D26" s="28" t="s">
        <v>510</v>
      </c>
      <c r="E26" s="28"/>
      <c r="F26" s="28" t="s">
        <v>2884</v>
      </c>
      <c r="G26" s="78">
        <v>100</v>
      </c>
      <c r="H26" s="43"/>
      <c r="I26" s="28" t="str">
        <f>Table43[[#This Row],[Nama Jenis Kemasan]]</f>
        <v>BOX</v>
      </c>
      <c r="J26" s="4" t="str">
        <f>TRIM(CONCATENATE(Table43[[#This Row],[Nama            KLP]]," ",Table43[[#This Row],[Nama            Sub KLP]]))</f>
        <v>ABSTRACT EYELASH</v>
      </c>
      <c r="K26" s="4" t="str">
        <f>CONCATENATE(Table43[[#This Row],[kode  2 Digit                (hrf+No)]],Table43[[#This Row],[kode  2 Digit                (Nomor)]],Table43[[#This Row],[kode  1 Digit                (Nomor)]])</f>
        <v>K1030</v>
      </c>
      <c r="L26" s="4" t="str">
        <f t="shared" si="0"/>
        <v>K1030009000010</v>
      </c>
      <c r="M26" s="11">
        <f t="shared" si="1"/>
        <v>14</v>
      </c>
      <c r="N26" s="14" t="str">
        <f>IF(AF26&lt;&gt;"",TRIM(UPPER(CONCATENATE(P26," ",R26," ",T26," ",V26," ",X26," ",Z26," ","X"," ",Table43[[#This Row],[ISI/CTN]]," ",AF26," ",AB26," ",AD26," ",AH26))),TRIM(UPPER(CONCATENATE(P26," ",R26," ",T26," ",V26," ",X26," ",Z26," ","X"," ",Table43[[#This Row],[ISI/CTN]]," ",AB26," ",AD26," ",AH26))))</f>
        <v>KNF ABSTRACT EYELASH N02 FENNEL X 100 BOX</v>
      </c>
      <c r="O26" s="11">
        <f t="shared" si="2"/>
        <v>41</v>
      </c>
      <c r="P26" s="4" t="s">
        <v>97</v>
      </c>
      <c r="Q26" s="7" t="s">
        <v>98</v>
      </c>
      <c r="R26" s="4" t="s">
        <v>2529</v>
      </c>
      <c r="S26" s="44" t="s">
        <v>2473</v>
      </c>
      <c r="T26" s="45" t="s">
        <v>2961</v>
      </c>
      <c r="U26" s="7" t="s">
        <v>2900</v>
      </c>
      <c r="V26" s="45" t="s">
        <v>2961</v>
      </c>
      <c r="W26" s="44" t="s">
        <v>2900</v>
      </c>
      <c r="X26" s="4" t="s">
        <v>2537</v>
      </c>
      <c r="Y26" s="46" t="s">
        <v>2479</v>
      </c>
      <c r="Z26" s="4" t="s">
        <v>2961</v>
      </c>
      <c r="AA26" s="46" t="s">
        <v>2483</v>
      </c>
      <c r="AB26" s="4" t="s">
        <v>1023</v>
      </c>
      <c r="AC26" s="7" t="s">
        <v>2656</v>
      </c>
      <c r="AD26" s="4" t="s">
        <v>2961</v>
      </c>
      <c r="AE26" s="7" t="s">
        <v>2900</v>
      </c>
      <c r="AF26" s="7" t="s">
        <v>2961</v>
      </c>
      <c r="AG26" s="7" t="s">
        <v>2961</v>
      </c>
      <c r="AI26" s="7" t="s">
        <v>360</v>
      </c>
      <c r="AJ26" s="7" t="s">
        <v>3590</v>
      </c>
      <c r="AK26" s="41">
        <f>Table43[[#This Row],[Harga Jual Pcs GT
(-PPN)]]-(Table43[[#This Row],[Harga Jual Pcs GT
(-PPN)]]*10%)</f>
        <v>0</v>
      </c>
      <c r="AL26" s="42">
        <f>Table43[[#This Row],[Harga Beli Pcs
(-PPN)]]*Table43[[#This Row],[ISI/CTN]]</f>
        <v>0</v>
      </c>
      <c r="AM26" s="42">
        <f>Table43[[#This Row],[Harga Beli Pcs
(-PPN)]]*1.11</f>
        <v>0</v>
      </c>
      <c r="AN26" s="42">
        <f>Table43[[#This Row],[Harga Beli Krt
(- PPN)]]*1.11</f>
        <v>0</v>
      </c>
      <c r="AO26" s="42"/>
      <c r="AP26" s="42">
        <f>Table43[[#This Row],[Harga Jual Pcs GT
(-PPN)]]*Table43[[#This Row],[ISI/CTN]]</f>
        <v>0</v>
      </c>
      <c r="AQ26" s="42">
        <f>Table43[[#This Row],[Harga Jual Pcs GT
(-PPN)]]*1.11</f>
        <v>0</v>
      </c>
      <c r="AR26" s="42">
        <f>Table43[[#This Row],[Harga Jual Krt GT
(- PPN)]]*1.11</f>
        <v>0</v>
      </c>
      <c r="AS26" s="42">
        <f>Table43[[#This Row],[Harga Jual Pcs GT
(-PPN)]]</f>
        <v>0</v>
      </c>
      <c r="AT26" s="42">
        <f>(Table43[[#This Row],[Harga Jual Pcs MT
(-PPN)]]*Table43[[#This Row],[ISI/CTN]])</f>
        <v>0</v>
      </c>
      <c r="AU26" s="42">
        <f>Table43[[#This Row],[Harga Jual Pcs MT
(-PPN)]]*1.11</f>
        <v>0</v>
      </c>
      <c r="AV26" s="42">
        <f>Table43[[#This Row],[Harga Jual Pcs MT
(+PPN)]]*Table43[[#This Row],[ISI/CTN]]</f>
        <v>0</v>
      </c>
      <c r="AW26" s="47"/>
      <c r="AX26" s="7"/>
      <c r="AY26" s="7" t="str">
        <f ca="1">IF(TODAY()-Table43[[#This Row],[Efektif
Pembuatan]]&gt;60,"Lama","Baru")</f>
        <v>Lama</v>
      </c>
      <c r="AZ26" s="7" t="str">
        <f ca="1">IF(TODAY()-Table43[[#This Row],[Efektif Naik Harga]]&lt;30,"Naik","Sama")</f>
        <v>Sama</v>
      </c>
      <c r="BA26" s="7" t="str">
        <f>IF(Table43[[#This Row],[Kode BARANG Win2]]&lt;&gt;"","IDR","")</f>
        <v>IDR</v>
      </c>
      <c r="BB26" s="7" t="str">
        <f>CONCATENATE(Table43[[#This Row],[kode  1 Digit
(Nomor)]],Table43[[#This Row],[kode  4 Digit                (Nomor)]])</f>
        <v>30000</v>
      </c>
      <c r="BC26" s="7" t="str">
        <f>Table43[[#This Row],[Nama            Gramasi atau Jumlah Pack per CTN]]</f>
        <v/>
      </c>
      <c r="BD26" s="7"/>
      <c r="BE26" s="7"/>
      <c r="BF26" s="4" t="str">
        <f>IF(Table43[[#This Row],[SATUAN Fix Win]]&lt;&gt;"","KRT")</f>
        <v>KRT</v>
      </c>
      <c r="BG26" s="4" t="str">
        <f>IF(Table43[[#This Row],[SATUAN Fix Win]]&lt;&gt;"","GD01")</f>
        <v>GD01</v>
      </c>
      <c r="BH26" s="4">
        <f>IF(Table43[[#This Row],[SATUAN Fix Win]]&lt;&gt;"",11611)</f>
        <v>11611</v>
      </c>
      <c r="BI26" s="4">
        <f>IF(Table43[[#This Row],[SATUAN Fix Win]]&lt;&gt;"",11612)</f>
        <v>11612</v>
      </c>
      <c r="BJ26" s="48"/>
      <c r="BK26" s="4">
        <f>IF(Table43[[#This Row],[SATUAN Fix Win]]&lt;&gt;"",1)</f>
        <v>1</v>
      </c>
    </row>
    <row r="27" spans="1:63">
      <c r="A27" s="4" t="str">
        <f>CONCATENATE(Table43[[#This Row],[Kode BARANG Win2]],Table43[[#This Row],[No. Urut
Item Sama]])</f>
        <v>K10300100000101</v>
      </c>
      <c r="B27" s="7">
        <v>1</v>
      </c>
      <c r="D27" s="28" t="s">
        <v>511</v>
      </c>
      <c r="E27" s="28"/>
      <c r="F27" s="28" t="s">
        <v>2885</v>
      </c>
      <c r="G27" s="78">
        <v>100</v>
      </c>
      <c r="H27" s="43"/>
      <c r="I27" s="28" t="str">
        <f>Table43[[#This Row],[Nama Jenis Kemasan]]</f>
        <v>BOX</v>
      </c>
      <c r="J27" s="4" t="str">
        <f>TRIM(CONCATENATE(Table43[[#This Row],[Nama            KLP]]," ",Table43[[#This Row],[Nama            Sub KLP]]))</f>
        <v>ABSTRACT EYELASH</v>
      </c>
      <c r="K27" s="4" t="str">
        <f>CONCATENATE(Table43[[#This Row],[kode  2 Digit                (hrf+No)]],Table43[[#This Row],[kode  2 Digit                (Nomor)]],Table43[[#This Row],[kode  1 Digit                (Nomor)]])</f>
        <v>K1030</v>
      </c>
      <c r="L27" s="4" t="str">
        <f t="shared" si="0"/>
        <v>K1030010000010</v>
      </c>
      <c r="M27" s="11">
        <f t="shared" si="1"/>
        <v>14</v>
      </c>
      <c r="N27" s="14" t="str">
        <f>IF(AF27&lt;&gt;"",TRIM(UPPER(CONCATENATE(P27," ",R27," ",T27," ",V27," ",X27," ",Z27," ","X"," ",Table43[[#This Row],[ISI/CTN]]," ",AF27," ",AB27," ",AD27," ",AH27))),TRIM(UPPER(CONCATENATE(P27," ",R27," ",T27," ",V27," ",X27," ",Z27," ","X"," ",Table43[[#This Row],[ISI/CTN]]," ",AB27," ",AD27," ",AH27))))</f>
        <v>KNF ABSTRACT EYELASH N03 ANEMONE X 100 BOX</v>
      </c>
      <c r="O27" s="11">
        <f t="shared" si="2"/>
        <v>42</v>
      </c>
      <c r="P27" s="4" t="s">
        <v>97</v>
      </c>
      <c r="Q27" s="7" t="s">
        <v>98</v>
      </c>
      <c r="R27" s="4" t="s">
        <v>2529</v>
      </c>
      <c r="S27" s="44" t="s">
        <v>2473</v>
      </c>
      <c r="T27" s="45" t="s">
        <v>2961</v>
      </c>
      <c r="U27" s="7" t="s">
        <v>2900</v>
      </c>
      <c r="V27" s="45" t="s">
        <v>2961</v>
      </c>
      <c r="W27" s="44" t="s">
        <v>2900</v>
      </c>
      <c r="X27" s="4" t="s">
        <v>2538</v>
      </c>
      <c r="Y27" s="46" t="s">
        <v>3564</v>
      </c>
      <c r="Z27" s="4" t="s">
        <v>2961</v>
      </c>
      <c r="AA27" s="46" t="s">
        <v>2483</v>
      </c>
      <c r="AB27" s="4" t="s">
        <v>1023</v>
      </c>
      <c r="AC27" s="7" t="s">
        <v>2656</v>
      </c>
      <c r="AD27" s="4" t="s">
        <v>2961</v>
      </c>
      <c r="AE27" s="7" t="s">
        <v>2900</v>
      </c>
      <c r="AF27" s="7" t="s">
        <v>2961</v>
      </c>
      <c r="AG27" s="7" t="s">
        <v>2961</v>
      </c>
      <c r="AI27" s="7" t="s">
        <v>360</v>
      </c>
      <c r="AJ27" s="7" t="s">
        <v>3590</v>
      </c>
      <c r="AK27" s="41">
        <f>Table43[[#This Row],[Harga Jual Pcs GT
(-PPN)]]-(Table43[[#This Row],[Harga Jual Pcs GT
(-PPN)]]*10%)</f>
        <v>0</v>
      </c>
      <c r="AL27" s="42">
        <f>Table43[[#This Row],[Harga Beli Pcs
(-PPN)]]*Table43[[#This Row],[ISI/CTN]]</f>
        <v>0</v>
      </c>
      <c r="AM27" s="42">
        <f>Table43[[#This Row],[Harga Beli Pcs
(-PPN)]]*1.11</f>
        <v>0</v>
      </c>
      <c r="AN27" s="42">
        <f>Table43[[#This Row],[Harga Beli Krt
(- PPN)]]*1.11</f>
        <v>0</v>
      </c>
      <c r="AO27" s="42"/>
      <c r="AP27" s="42">
        <f>Table43[[#This Row],[Harga Jual Pcs GT
(-PPN)]]*Table43[[#This Row],[ISI/CTN]]</f>
        <v>0</v>
      </c>
      <c r="AQ27" s="42">
        <f>Table43[[#This Row],[Harga Jual Pcs GT
(-PPN)]]*1.11</f>
        <v>0</v>
      </c>
      <c r="AR27" s="42">
        <f>Table43[[#This Row],[Harga Jual Krt GT
(- PPN)]]*1.11</f>
        <v>0</v>
      </c>
      <c r="AS27" s="42">
        <f>Table43[[#This Row],[Harga Jual Pcs GT
(-PPN)]]</f>
        <v>0</v>
      </c>
      <c r="AT27" s="42">
        <f>(Table43[[#This Row],[Harga Jual Pcs MT
(-PPN)]]*Table43[[#This Row],[ISI/CTN]])</f>
        <v>0</v>
      </c>
      <c r="AU27" s="42">
        <f>Table43[[#This Row],[Harga Jual Pcs MT
(-PPN)]]*1.11</f>
        <v>0</v>
      </c>
      <c r="AV27" s="42">
        <f>Table43[[#This Row],[Harga Jual Pcs MT
(+PPN)]]*Table43[[#This Row],[ISI/CTN]]</f>
        <v>0</v>
      </c>
      <c r="AW27" s="47"/>
      <c r="AX27" s="7"/>
      <c r="AY27" s="7" t="str">
        <f ca="1">IF(TODAY()-Table43[[#This Row],[Efektif
Pembuatan]]&gt;60,"Lama","Baru")</f>
        <v>Lama</v>
      </c>
      <c r="AZ27" s="7" t="str">
        <f ca="1">IF(TODAY()-Table43[[#This Row],[Efektif Naik Harga]]&lt;30,"Naik","Sama")</f>
        <v>Sama</v>
      </c>
      <c r="BA27" s="7" t="str">
        <f>IF(Table43[[#This Row],[Kode BARANG Win2]]&lt;&gt;"","IDR","")</f>
        <v>IDR</v>
      </c>
      <c r="BB27" s="7" t="str">
        <f>CONCATENATE(Table43[[#This Row],[kode  1 Digit
(Nomor)]],Table43[[#This Row],[kode  4 Digit                (Nomor)]])</f>
        <v>30000</v>
      </c>
      <c r="BC27" s="7" t="str">
        <f>Table43[[#This Row],[Nama            Gramasi atau Jumlah Pack per CTN]]</f>
        <v/>
      </c>
      <c r="BD27" s="7"/>
      <c r="BE27" s="7"/>
      <c r="BF27" s="4" t="str">
        <f>IF(Table43[[#This Row],[SATUAN Fix Win]]&lt;&gt;"","KRT")</f>
        <v>KRT</v>
      </c>
      <c r="BG27" s="4" t="str">
        <f>IF(Table43[[#This Row],[SATUAN Fix Win]]&lt;&gt;"","GD01")</f>
        <v>GD01</v>
      </c>
      <c r="BH27" s="4">
        <f>IF(Table43[[#This Row],[SATUAN Fix Win]]&lt;&gt;"",11611)</f>
        <v>11611</v>
      </c>
      <c r="BI27" s="4">
        <f>IF(Table43[[#This Row],[SATUAN Fix Win]]&lt;&gt;"",11612)</f>
        <v>11612</v>
      </c>
      <c r="BJ27" s="48"/>
      <c r="BK27" s="4">
        <f>IF(Table43[[#This Row],[SATUAN Fix Win]]&lt;&gt;"",1)</f>
        <v>1</v>
      </c>
    </row>
    <row r="28" spans="1:63">
      <c r="A28" s="4" t="str">
        <f>CONCATENATE(Table43[[#This Row],[Kode BARANG Win2]],Table43[[#This Row],[No. Urut
Item Sama]])</f>
        <v>K10300110000101</v>
      </c>
      <c r="B28" s="7">
        <v>1</v>
      </c>
      <c r="D28" s="28" t="s">
        <v>512</v>
      </c>
      <c r="E28" s="28"/>
      <c r="F28" s="28" t="s">
        <v>2886</v>
      </c>
      <c r="G28" s="78">
        <v>100</v>
      </c>
      <c r="H28" s="43"/>
      <c r="I28" s="28" t="str">
        <f>Table43[[#This Row],[Nama Jenis Kemasan]]</f>
        <v>BOX</v>
      </c>
      <c r="J28" s="4" t="str">
        <f>TRIM(CONCATENATE(Table43[[#This Row],[Nama            KLP]]," ",Table43[[#This Row],[Nama            Sub KLP]]))</f>
        <v>ABSTRACT EYELASH</v>
      </c>
      <c r="K28" s="4" t="str">
        <f>CONCATENATE(Table43[[#This Row],[kode  2 Digit                (hrf+No)]],Table43[[#This Row],[kode  2 Digit                (Nomor)]],Table43[[#This Row],[kode  1 Digit                (Nomor)]])</f>
        <v>K1030</v>
      </c>
      <c r="L28" s="4" t="str">
        <f t="shared" si="0"/>
        <v>K1030011000010</v>
      </c>
      <c r="M28" s="11">
        <f t="shared" si="1"/>
        <v>14</v>
      </c>
      <c r="N28" s="14" t="str">
        <f>IF(AF28&lt;&gt;"",TRIM(UPPER(CONCATENATE(P28," ",R28," ",T28," ",V28," ",X28," ",Z28," ","X"," ",Table43[[#This Row],[ISI/CTN]]," ",AF28," ",AB28," ",AD28," ",AH28))),TRIM(UPPER(CONCATENATE(P28," ",R28," ",T28," ",V28," ",X28," ",Z28," ","X"," ",Table43[[#This Row],[ISI/CTN]]," ",AB28," ",AD28," ",AH28))))</f>
        <v>KNF ABSTRACT EYELASH N04 IRIS X 100 BOX</v>
      </c>
      <c r="O28" s="11">
        <f t="shared" si="2"/>
        <v>39</v>
      </c>
      <c r="P28" s="4" t="s">
        <v>97</v>
      </c>
      <c r="Q28" s="7" t="s">
        <v>98</v>
      </c>
      <c r="R28" s="4" t="s">
        <v>2529</v>
      </c>
      <c r="S28" s="44" t="s">
        <v>2473</v>
      </c>
      <c r="T28" s="45" t="s">
        <v>2961</v>
      </c>
      <c r="U28" s="7" t="s">
        <v>2900</v>
      </c>
      <c r="V28" s="45" t="s">
        <v>2961</v>
      </c>
      <c r="W28" s="44" t="s">
        <v>2900</v>
      </c>
      <c r="X28" s="4" t="s">
        <v>2539</v>
      </c>
      <c r="Y28" s="46" t="s">
        <v>3550</v>
      </c>
      <c r="Z28" s="4" t="s">
        <v>2961</v>
      </c>
      <c r="AA28" s="46" t="s">
        <v>2483</v>
      </c>
      <c r="AB28" s="4" t="s">
        <v>1023</v>
      </c>
      <c r="AC28" s="7" t="s">
        <v>2656</v>
      </c>
      <c r="AD28" s="4" t="s">
        <v>2961</v>
      </c>
      <c r="AE28" s="7" t="s">
        <v>2900</v>
      </c>
      <c r="AF28" s="7" t="s">
        <v>2961</v>
      </c>
      <c r="AG28" s="7" t="s">
        <v>2961</v>
      </c>
      <c r="AI28" s="7" t="s">
        <v>360</v>
      </c>
      <c r="AJ28" s="7" t="s">
        <v>3590</v>
      </c>
      <c r="AK28" s="41">
        <f>Table43[[#This Row],[Harga Jual Pcs GT
(-PPN)]]-(Table43[[#This Row],[Harga Jual Pcs GT
(-PPN)]]*10%)</f>
        <v>0</v>
      </c>
      <c r="AL28" s="42">
        <f>Table43[[#This Row],[Harga Beli Pcs
(-PPN)]]*Table43[[#This Row],[ISI/CTN]]</f>
        <v>0</v>
      </c>
      <c r="AM28" s="42">
        <f>Table43[[#This Row],[Harga Beli Pcs
(-PPN)]]*1.11</f>
        <v>0</v>
      </c>
      <c r="AN28" s="42">
        <f>Table43[[#This Row],[Harga Beli Krt
(- PPN)]]*1.11</f>
        <v>0</v>
      </c>
      <c r="AO28" s="42"/>
      <c r="AP28" s="42">
        <f>Table43[[#This Row],[Harga Jual Pcs GT
(-PPN)]]*Table43[[#This Row],[ISI/CTN]]</f>
        <v>0</v>
      </c>
      <c r="AQ28" s="42">
        <f>Table43[[#This Row],[Harga Jual Pcs GT
(-PPN)]]*1.11</f>
        <v>0</v>
      </c>
      <c r="AR28" s="42">
        <f>Table43[[#This Row],[Harga Jual Krt GT
(- PPN)]]*1.11</f>
        <v>0</v>
      </c>
      <c r="AS28" s="42">
        <f>Table43[[#This Row],[Harga Jual Pcs GT
(-PPN)]]</f>
        <v>0</v>
      </c>
      <c r="AT28" s="42">
        <f>(Table43[[#This Row],[Harga Jual Pcs MT
(-PPN)]]*Table43[[#This Row],[ISI/CTN]])</f>
        <v>0</v>
      </c>
      <c r="AU28" s="42">
        <f>Table43[[#This Row],[Harga Jual Pcs MT
(-PPN)]]*1.11</f>
        <v>0</v>
      </c>
      <c r="AV28" s="42">
        <f>Table43[[#This Row],[Harga Jual Pcs MT
(+PPN)]]*Table43[[#This Row],[ISI/CTN]]</f>
        <v>0</v>
      </c>
      <c r="AW28" s="47"/>
      <c r="AX28" s="7"/>
      <c r="AY28" s="7" t="str">
        <f ca="1">IF(TODAY()-Table43[[#This Row],[Efektif
Pembuatan]]&gt;60,"Lama","Baru")</f>
        <v>Lama</v>
      </c>
      <c r="AZ28" s="7" t="str">
        <f ca="1">IF(TODAY()-Table43[[#This Row],[Efektif Naik Harga]]&lt;30,"Naik","Sama")</f>
        <v>Sama</v>
      </c>
      <c r="BA28" s="7" t="str">
        <f>IF(Table43[[#This Row],[Kode BARANG Win2]]&lt;&gt;"","IDR","")</f>
        <v>IDR</v>
      </c>
      <c r="BB28" s="7" t="str">
        <f>CONCATENATE(Table43[[#This Row],[kode  1 Digit
(Nomor)]],Table43[[#This Row],[kode  4 Digit                (Nomor)]])</f>
        <v>30000</v>
      </c>
      <c r="BC28" s="7" t="str">
        <f>Table43[[#This Row],[Nama            Gramasi atau Jumlah Pack per CTN]]</f>
        <v/>
      </c>
      <c r="BD28" s="7"/>
      <c r="BE28" s="7"/>
      <c r="BF28" s="4" t="str">
        <f>IF(Table43[[#This Row],[SATUAN Fix Win]]&lt;&gt;"","KRT")</f>
        <v>KRT</v>
      </c>
      <c r="BG28" s="4" t="str">
        <f>IF(Table43[[#This Row],[SATUAN Fix Win]]&lt;&gt;"","GD01")</f>
        <v>GD01</v>
      </c>
      <c r="BH28" s="4">
        <f>IF(Table43[[#This Row],[SATUAN Fix Win]]&lt;&gt;"",11611)</f>
        <v>11611</v>
      </c>
      <c r="BI28" s="4">
        <f>IF(Table43[[#This Row],[SATUAN Fix Win]]&lt;&gt;"",11612)</f>
        <v>11612</v>
      </c>
      <c r="BJ28" s="48"/>
      <c r="BK28" s="4">
        <f>IF(Table43[[#This Row],[SATUAN Fix Win]]&lt;&gt;"",1)</f>
        <v>1</v>
      </c>
    </row>
    <row r="29" spans="1:63">
      <c r="A29" s="4" t="str">
        <f>CONCATENATE(Table43[[#This Row],[Kode BARANG Win2]],Table43[[#This Row],[No. Urut
Item Sama]])</f>
        <v>K10300120000101</v>
      </c>
      <c r="B29" s="7">
        <v>1</v>
      </c>
      <c r="D29" s="28" t="s">
        <v>513</v>
      </c>
      <c r="E29" s="28"/>
      <c r="F29" s="28" t="s">
        <v>2887</v>
      </c>
      <c r="G29" s="78">
        <v>100</v>
      </c>
      <c r="H29" s="43"/>
      <c r="I29" s="28" t="str">
        <f>Table43[[#This Row],[Nama Jenis Kemasan]]</f>
        <v>BOX</v>
      </c>
      <c r="J29" s="4" t="str">
        <f>TRIM(CONCATENATE(Table43[[#This Row],[Nama            KLP]]," ",Table43[[#This Row],[Nama            Sub KLP]]))</f>
        <v>ABSTRACT EYELASH</v>
      </c>
      <c r="K29" s="4" t="str">
        <f>CONCATENATE(Table43[[#This Row],[kode  2 Digit                (hrf+No)]],Table43[[#This Row],[kode  2 Digit                (Nomor)]],Table43[[#This Row],[kode  1 Digit                (Nomor)]])</f>
        <v>K1030</v>
      </c>
      <c r="L29" s="4" t="str">
        <f t="shared" si="0"/>
        <v>K1030012000010</v>
      </c>
      <c r="M29" s="11">
        <f t="shared" si="1"/>
        <v>14</v>
      </c>
      <c r="N29" s="14" t="str">
        <f>IF(AF29&lt;&gt;"",TRIM(UPPER(CONCATENATE(P29," ",R29," ",T29," ",V29," ",X29," ",Z29," ","X"," ",Table43[[#This Row],[ISI/CTN]]," ",AF29," ",AB29," ",AD29," ",AH29))),TRIM(UPPER(CONCATENATE(P29," ",R29," ",T29," ",V29," ",X29," ",Z29," ","X"," ",Table43[[#This Row],[ISI/CTN]]," ",AB29," ",AD29," ",AH29))))</f>
        <v>KNF ABSTRACT EYELASH N05 ASTER X 100 BOX</v>
      </c>
      <c r="O29" s="11">
        <f t="shared" si="2"/>
        <v>40</v>
      </c>
      <c r="P29" s="4" t="s">
        <v>97</v>
      </c>
      <c r="Q29" s="7" t="s">
        <v>98</v>
      </c>
      <c r="R29" s="4" t="s">
        <v>2529</v>
      </c>
      <c r="S29" s="44" t="s">
        <v>2473</v>
      </c>
      <c r="T29" s="45" t="s">
        <v>2961</v>
      </c>
      <c r="U29" s="7" t="s">
        <v>2900</v>
      </c>
      <c r="V29" s="45" t="s">
        <v>2961</v>
      </c>
      <c r="W29" s="44" t="s">
        <v>2900</v>
      </c>
      <c r="X29" s="4" t="s">
        <v>2540</v>
      </c>
      <c r="Y29" s="46" t="s">
        <v>3565</v>
      </c>
      <c r="Z29" s="4" t="s">
        <v>2961</v>
      </c>
      <c r="AA29" s="46" t="s">
        <v>2483</v>
      </c>
      <c r="AB29" s="4" t="s">
        <v>1023</v>
      </c>
      <c r="AC29" s="7" t="s">
        <v>2656</v>
      </c>
      <c r="AD29" s="4" t="s">
        <v>2961</v>
      </c>
      <c r="AE29" s="7" t="s">
        <v>2900</v>
      </c>
      <c r="AF29" s="7" t="s">
        <v>2961</v>
      </c>
      <c r="AG29" s="7" t="s">
        <v>2961</v>
      </c>
      <c r="AI29" s="7" t="s">
        <v>360</v>
      </c>
      <c r="AJ29" s="7" t="s">
        <v>3590</v>
      </c>
      <c r="AK29" s="41">
        <f>Table43[[#This Row],[Harga Jual Pcs GT
(-PPN)]]-(Table43[[#This Row],[Harga Jual Pcs GT
(-PPN)]]*10%)</f>
        <v>0</v>
      </c>
      <c r="AL29" s="42">
        <f>Table43[[#This Row],[Harga Beli Pcs
(-PPN)]]*Table43[[#This Row],[ISI/CTN]]</f>
        <v>0</v>
      </c>
      <c r="AM29" s="42">
        <f>Table43[[#This Row],[Harga Beli Pcs
(-PPN)]]*1.11</f>
        <v>0</v>
      </c>
      <c r="AN29" s="42">
        <f>Table43[[#This Row],[Harga Beli Krt
(- PPN)]]*1.11</f>
        <v>0</v>
      </c>
      <c r="AO29" s="42"/>
      <c r="AP29" s="42">
        <f>Table43[[#This Row],[Harga Jual Pcs GT
(-PPN)]]*Table43[[#This Row],[ISI/CTN]]</f>
        <v>0</v>
      </c>
      <c r="AQ29" s="42">
        <f>Table43[[#This Row],[Harga Jual Pcs GT
(-PPN)]]*1.11</f>
        <v>0</v>
      </c>
      <c r="AR29" s="42">
        <f>Table43[[#This Row],[Harga Jual Krt GT
(- PPN)]]*1.11</f>
        <v>0</v>
      </c>
      <c r="AS29" s="42">
        <f>Table43[[#This Row],[Harga Jual Pcs GT
(-PPN)]]</f>
        <v>0</v>
      </c>
      <c r="AT29" s="42">
        <f>(Table43[[#This Row],[Harga Jual Pcs MT
(-PPN)]]*Table43[[#This Row],[ISI/CTN]])</f>
        <v>0</v>
      </c>
      <c r="AU29" s="42">
        <f>Table43[[#This Row],[Harga Jual Pcs MT
(-PPN)]]*1.11</f>
        <v>0</v>
      </c>
      <c r="AV29" s="42">
        <f>Table43[[#This Row],[Harga Jual Pcs MT
(+PPN)]]*Table43[[#This Row],[ISI/CTN]]</f>
        <v>0</v>
      </c>
      <c r="AW29" s="47"/>
      <c r="AX29" s="7"/>
      <c r="AY29" s="7" t="str">
        <f ca="1">IF(TODAY()-Table43[[#This Row],[Efektif
Pembuatan]]&gt;60,"Lama","Baru")</f>
        <v>Lama</v>
      </c>
      <c r="AZ29" s="7" t="str">
        <f ca="1">IF(TODAY()-Table43[[#This Row],[Efektif Naik Harga]]&lt;30,"Naik","Sama")</f>
        <v>Sama</v>
      </c>
      <c r="BA29" s="7" t="str">
        <f>IF(Table43[[#This Row],[Kode BARANG Win2]]&lt;&gt;"","IDR","")</f>
        <v>IDR</v>
      </c>
      <c r="BB29" s="7" t="str">
        <f>CONCATENATE(Table43[[#This Row],[kode  1 Digit
(Nomor)]],Table43[[#This Row],[kode  4 Digit                (Nomor)]])</f>
        <v>30000</v>
      </c>
      <c r="BC29" s="7" t="str">
        <f>Table43[[#This Row],[Nama            Gramasi atau Jumlah Pack per CTN]]</f>
        <v/>
      </c>
      <c r="BD29" s="7"/>
      <c r="BE29" s="7"/>
      <c r="BF29" s="4" t="str">
        <f>IF(Table43[[#This Row],[SATUAN Fix Win]]&lt;&gt;"","KRT")</f>
        <v>KRT</v>
      </c>
      <c r="BG29" s="4" t="str">
        <f>IF(Table43[[#This Row],[SATUAN Fix Win]]&lt;&gt;"","GD01")</f>
        <v>GD01</v>
      </c>
      <c r="BH29" s="4">
        <f>IF(Table43[[#This Row],[SATUAN Fix Win]]&lt;&gt;"",11611)</f>
        <v>11611</v>
      </c>
      <c r="BI29" s="4">
        <f>IF(Table43[[#This Row],[SATUAN Fix Win]]&lt;&gt;"",11612)</f>
        <v>11612</v>
      </c>
      <c r="BJ29" s="48"/>
      <c r="BK29" s="4">
        <f>IF(Table43[[#This Row],[SATUAN Fix Win]]&lt;&gt;"",1)</f>
        <v>1</v>
      </c>
    </row>
    <row r="30" spans="1:63">
      <c r="A30" s="4" t="str">
        <f>CONCATENATE(Table43[[#This Row],[Kode BARANG Win2]],Table43[[#This Row],[No. Urut
Item Sama]])</f>
        <v>K10300130000101</v>
      </c>
      <c r="B30" s="7">
        <v>1</v>
      </c>
      <c r="D30" s="28" t="s">
        <v>514</v>
      </c>
      <c r="E30" s="28"/>
      <c r="F30" s="28" t="s">
        <v>2888</v>
      </c>
      <c r="G30" s="78">
        <v>100</v>
      </c>
      <c r="H30" s="43"/>
      <c r="I30" s="28" t="str">
        <f>Table43[[#This Row],[Nama Jenis Kemasan]]</f>
        <v>BOX</v>
      </c>
      <c r="J30" s="4" t="str">
        <f>TRIM(CONCATENATE(Table43[[#This Row],[Nama            KLP]]," ",Table43[[#This Row],[Nama            Sub KLP]]))</f>
        <v>ABSTRACT EYELASH</v>
      </c>
      <c r="K30" s="4" t="str">
        <f>CONCATENATE(Table43[[#This Row],[kode  2 Digit                (hrf+No)]],Table43[[#This Row],[kode  2 Digit                (Nomor)]],Table43[[#This Row],[kode  1 Digit                (Nomor)]])</f>
        <v>K1030</v>
      </c>
      <c r="L30" s="4" t="str">
        <f t="shared" si="0"/>
        <v>K1030013000010</v>
      </c>
      <c r="M30" s="11">
        <f t="shared" si="1"/>
        <v>14</v>
      </c>
      <c r="N30" s="14" t="str">
        <f>IF(AF30&lt;&gt;"",TRIM(UPPER(CONCATENATE(P30," ",R30," ",T30," ",V30," ",X30," ",Z30," ","X"," ",Table43[[#This Row],[ISI/CTN]]," ",AF30," ",AB30," ",AD30," ",AH30))),TRIM(UPPER(CONCATENATE(P30," ",R30," ",T30," ",V30," ",X30," ",Z30," ","X"," ",Table43[[#This Row],[ISI/CTN]]," ",AB30," ",AD30," ",AH30))))</f>
        <v>KNF ABSTRACT EYELASH N06 SNOWDROP X 100 BOX</v>
      </c>
      <c r="O30" s="11">
        <f t="shared" si="2"/>
        <v>43</v>
      </c>
      <c r="P30" s="4" t="s">
        <v>97</v>
      </c>
      <c r="Q30" s="7" t="s">
        <v>98</v>
      </c>
      <c r="R30" s="4" t="s">
        <v>2529</v>
      </c>
      <c r="S30" s="44" t="s">
        <v>2473</v>
      </c>
      <c r="T30" s="45" t="s">
        <v>2961</v>
      </c>
      <c r="U30" s="7" t="s">
        <v>2900</v>
      </c>
      <c r="V30" s="45" t="s">
        <v>2961</v>
      </c>
      <c r="W30" s="44" t="s">
        <v>2900</v>
      </c>
      <c r="X30" s="4" t="s">
        <v>2541</v>
      </c>
      <c r="Y30" s="46" t="s">
        <v>3566</v>
      </c>
      <c r="Z30" s="4" t="s">
        <v>2961</v>
      </c>
      <c r="AA30" s="46" t="s">
        <v>2483</v>
      </c>
      <c r="AB30" s="4" t="s">
        <v>1023</v>
      </c>
      <c r="AC30" s="7" t="s">
        <v>2656</v>
      </c>
      <c r="AD30" s="4" t="s">
        <v>2961</v>
      </c>
      <c r="AE30" s="7" t="s">
        <v>2900</v>
      </c>
      <c r="AF30" s="7" t="s">
        <v>2961</v>
      </c>
      <c r="AG30" s="7" t="s">
        <v>2961</v>
      </c>
      <c r="AI30" s="7" t="s">
        <v>360</v>
      </c>
      <c r="AJ30" s="7" t="s">
        <v>3590</v>
      </c>
      <c r="AK30" s="41">
        <f>Table43[[#This Row],[Harga Jual Pcs GT
(-PPN)]]-(Table43[[#This Row],[Harga Jual Pcs GT
(-PPN)]]*10%)</f>
        <v>0</v>
      </c>
      <c r="AL30" s="42">
        <f>Table43[[#This Row],[Harga Beli Pcs
(-PPN)]]*Table43[[#This Row],[ISI/CTN]]</f>
        <v>0</v>
      </c>
      <c r="AM30" s="42">
        <f>Table43[[#This Row],[Harga Beli Pcs
(-PPN)]]*1.11</f>
        <v>0</v>
      </c>
      <c r="AN30" s="42">
        <f>Table43[[#This Row],[Harga Beli Krt
(- PPN)]]*1.11</f>
        <v>0</v>
      </c>
      <c r="AO30" s="42"/>
      <c r="AP30" s="42">
        <f>Table43[[#This Row],[Harga Jual Pcs GT
(-PPN)]]*Table43[[#This Row],[ISI/CTN]]</f>
        <v>0</v>
      </c>
      <c r="AQ30" s="42">
        <f>Table43[[#This Row],[Harga Jual Pcs GT
(-PPN)]]*1.11</f>
        <v>0</v>
      </c>
      <c r="AR30" s="42">
        <f>Table43[[#This Row],[Harga Jual Krt GT
(- PPN)]]*1.11</f>
        <v>0</v>
      </c>
      <c r="AS30" s="42">
        <f>Table43[[#This Row],[Harga Jual Pcs GT
(-PPN)]]</f>
        <v>0</v>
      </c>
      <c r="AT30" s="42">
        <f>(Table43[[#This Row],[Harga Jual Pcs MT
(-PPN)]]*Table43[[#This Row],[ISI/CTN]])</f>
        <v>0</v>
      </c>
      <c r="AU30" s="42">
        <f>Table43[[#This Row],[Harga Jual Pcs MT
(-PPN)]]*1.11</f>
        <v>0</v>
      </c>
      <c r="AV30" s="42">
        <f>Table43[[#This Row],[Harga Jual Pcs MT
(+PPN)]]*Table43[[#This Row],[ISI/CTN]]</f>
        <v>0</v>
      </c>
      <c r="AW30" s="47"/>
      <c r="AX30" s="7"/>
      <c r="AY30" s="7" t="str">
        <f ca="1">IF(TODAY()-Table43[[#This Row],[Efektif
Pembuatan]]&gt;60,"Lama","Baru")</f>
        <v>Lama</v>
      </c>
      <c r="AZ30" s="7" t="str">
        <f ca="1">IF(TODAY()-Table43[[#This Row],[Efektif Naik Harga]]&lt;30,"Naik","Sama")</f>
        <v>Sama</v>
      </c>
      <c r="BA30" s="7" t="str">
        <f>IF(Table43[[#This Row],[Kode BARANG Win2]]&lt;&gt;"","IDR","")</f>
        <v>IDR</v>
      </c>
      <c r="BB30" s="7" t="str">
        <f>CONCATENATE(Table43[[#This Row],[kode  1 Digit
(Nomor)]],Table43[[#This Row],[kode  4 Digit                (Nomor)]])</f>
        <v>30000</v>
      </c>
      <c r="BC30" s="7" t="str">
        <f>Table43[[#This Row],[Nama            Gramasi atau Jumlah Pack per CTN]]</f>
        <v/>
      </c>
      <c r="BD30" s="7"/>
      <c r="BE30" s="7"/>
      <c r="BF30" s="4" t="str">
        <f>IF(Table43[[#This Row],[SATUAN Fix Win]]&lt;&gt;"","KRT")</f>
        <v>KRT</v>
      </c>
      <c r="BG30" s="4" t="str">
        <f>IF(Table43[[#This Row],[SATUAN Fix Win]]&lt;&gt;"","GD01")</f>
        <v>GD01</v>
      </c>
      <c r="BH30" s="4">
        <f>IF(Table43[[#This Row],[SATUAN Fix Win]]&lt;&gt;"",11611)</f>
        <v>11611</v>
      </c>
      <c r="BI30" s="4">
        <f>IF(Table43[[#This Row],[SATUAN Fix Win]]&lt;&gt;"",11612)</f>
        <v>11612</v>
      </c>
      <c r="BJ30" s="48"/>
      <c r="BK30" s="4">
        <f>IF(Table43[[#This Row],[SATUAN Fix Win]]&lt;&gt;"",1)</f>
        <v>1</v>
      </c>
    </row>
    <row r="31" spans="1:63">
      <c r="A31" s="4" t="str">
        <f>CONCATENATE(Table43[[#This Row],[Kode BARANG Win2]],Table43[[#This Row],[No. Urut
Item Sama]])</f>
        <v>K10300140000101</v>
      </c>
      <c r="B31" s="7">
        <v>1</v>
      </c>
      <c r="D31" s="28" t="s">
        <v>515</v>
      </c>
      <c r="E31" s="28"/>
      <c r="F31" s="28" t="s">
        <v>2889</v>
      </c>
      <c r="G31" s="78">
        <v>100</v>
      </c>
      <c r="H31" s="43"/>
      <c r="I31" s="28" t="str">
        <f>Table43[[#This Row],[Nama Jenis Kemasan]]</f>
        <v>BOX</v>
      </c>
      <c r="J31" s="4" t="str">
        <f>TRIM(CONCATENATE(Table43[[#This Row],[Nama            KLP]]," ",Table43[[#This Row],[Nama            Sub KLP]]))</f>
        <v>ABSTRACT EYELASH</v>
      </c>
      <c r="K31" s="4" t="str">
        <f>CONCATENATE(Table43[[#This Row],[kode  2 Digit                (hrf+No)]],Table43[[#This Row],[kode  2 Digit                (Nomor)]],Table43[[#This Row],[kode  1 Digit                (Nomor)]])</f>
        <v>K1030</v>
      </c>
      <c r="L31" s="4" t="str">
        <f t="shared" si="0"/>
        <v>K1030014000010</v>
      </c>
      <c r="M31" s="11">
        <f t="shared" si="1"/>
        <v>14</v>
      </c>
      <c r="N31" s="14" t="str">
        <f>IF(AF31&lt;&gt;"",TRIM(UPPER(CONCATENATE(P31," ",R31," ",T31," ",V31," ",X31," ",Z31," ","X"," ",Table43[[#This Row],[ISI/CTN]]," ",AF31," ",AB31," ",AD31," ",AH31))),TRIM(UPPER(CONCATENATE(P31," ",R31," ",T31," ",V31," ",X31," ",Z31," ","X"," ",Table43[[#This Row],[ISI/CTN]]," ",AB31," ",AD31," ",AH31))))</f>
        <v>KNF ABSTRACT EYELASH N07 AZALEA X 100 BOX</v>
      </c>
      <c r="O31" s="11">
        <f t="shared" si="2"/>
        <v>41</v>
      </c>
      <c r="P31" s="4" t="s">
        <v>97</v>
      </c>
      <c r="Q31" s="7" t="s">
        <v>98</v>
      </c>
      <c r="R31" s="4" t="s">
        <v>2529</v>
      </c>
      <c r="S31" s="44" t="s">
        <v>2473</v>
      </c>
      <c r="T31" s="45" t="s">
        <v>2961</v>
      </c>
      <c r="U31" s="7" t="s">
        <v>2900</v>
      </c>
      <c r="V31" s="45" t="s">
        <v>2961</v>
      </c>
      <c r="W31" s="44" t="s">
        <v>2900</v>
      </c>
      <c r="X31" s="4" t="s">
        <v>2542</v>
      </c>
      <c r="Y31" s="46" t="s">
        <v>3567</v>
      </c>
      <c r="Z31" s="4" t="s">
        <v>2961</v>
      </c>
      <c r="AA31" s="46" t="s">
        <v>2483</v>
      </c>
      <c r="AB31" s="4" t="s">
        <v>1023</v>
      </c>
      <c r="AC31" s="7" t="s">
        <v>2656</v>
      </c>
      <c r="AD31" s="4" t="s">
        <v>2961</v>
      </c>
      <c r="AE31" s="7" t="s">
        <v>2900</v>
      </c>
      <c r="AF31" s="7" t="s">
        <v>2961</v>
      </c>
      <c r="AG31" s="7" t="s">
        <v>2961</v>
      </c>
      <c r="AI31" s="7" t="s">
        <v>360</v>
      </c>
      <c r="AJ31" s="7" t="s">
        <v>3590</v>
      </c>
      <c r="AK31" s="41">
        <f>Table43[[#This Row],[Harga Jual Pcs GT
(-PPN)]]-(Table43[[#This Row],[Harga Jual Pcs GT
(-PPN)]]*10%)</f>
        <v>0</v>
      </c>
      <c r="AL31" s="42">
        <f>Table43[[#This Row],[Harga Beli Pcs
(-PPN)]]*Table43[[#This Row],[ISI/CTN]]</f>
        <v>0</v>
      </c>
      <c r="AM31" s="42">
        <f>Table43[[#This Row],[Harga Beli Pcs
(-PPN)]]*1.11</f>
        <v>0</v>
      </c>
      <c r="AN31" s="42">
        <f>Table43[[#This Row],[Harga Beli Krt
(- PPN)]]*1.11</f>
        <v>0</v>
      </c>
      <c r="AO31" s="42"/>
      <c r="AP31" s="42">
        <f>Table43[[#This Row],[Harga Jual Pcs GT
(-PPN)]]*Table43[[#This Row],[ISI/CTN]]</f>
        <v>0</v>
      </c>
      <c r="AQ31" s="42">
        <f>Table43[[#This Row],[Harga Jual Pcs GT
(-PPN)]]*1.11</f>
        <v>0</v>
      </c>
      <c r="AR31" s="42">
        <f>Table43[[#This Row],[Harga Jual Krt GT
(- PPN)]]*1.11</f>
        <v>0</v>
      </c>
      <c r="AS31" s="42">
        <f>Table43[[#This Row],[Harga Jual Pcs GT
(-PPN)]]</f>
        <v>0</v>
      </c>
      <c r="AT31" s="42">
        <f>(Table43[[#This Row],[Harga Jual Pcs MT
(-PPN)]]*Table43[[#This Row],[ISI/CTN]])</f>
        <v>0</v>
      </c>
      <c r="AU31" s="42">
        <f>Table43[[#This Row],[Harga Jual Pcs MT
(-PPN)]]*1.11</f>
        <v>0</v>
      </c>
      <c r="AV31" s="42">
        <f>Table43[[#This Row],[Harga Jual Pcs MT
(+PPN)]]*Table43[[#This Row],[ISI/CTN]]</f>
        <v>0</v>
      </c>
      <c r="AW31" s="47"/>
      <c r="AX31" s="7"/>
      <c r="AY31" s="7" t="str">
        <f ca="1">IF(TODAY()-Table43[[#This Row],[Efektif
Pembuatan]]&gt;60,"Lama","Baru")</f>
        <v>Lama</v>
      </c>
      <c r="AZ31" s="7" t="str">
        <f ca="1">IF(TODAY()-Table43[[#This Row],[Efektif Naik Harga]]&lt;30,"Naik","Sama")</f>
        <v>Sama</v>
      </c>
      <c r="BA31" s="7" t="str">
        <f>IF(Table43[[#This Row],[Kode BARANG Win2]]&lt;&gt;"","IDR","")</f>
        <v>IDR</v>
      </c>
      <c r="BB31" s="7" t="str">
        <f>CONCATENATE(Table43[[#This Row],[kode  1 Digit
(Nomor)]],Table43[[#This Row],[kode  4 Digit                (Nomor)]])</f>
        <v>30000</v>
      </c>
      <c r="BC31" s="7" t="str">
        <f>Table43[[#This Row],[Nama            Gramasi atau Jumlah Pack per CTN]]</f>
        <v/>
      </c>
      <c r="BD31" s="7"/>
      <c r="BE31" s="7"/>
      <c r="BF31" s="4" t="str">
        <f>IF(Table43[[#This Row],[SATUAN Fix Win]]&lt;&gt;"","KRT")</f>
        <v>KRT</v>
      </c>
      <c r="BG31" s="4" t="str">
        <f>IF(Table43[[#This Row],[SATUAN Fix Win]]&lt;&gt;"","GD01")</f>
        <v>GD01</v>
      </c>
      <c r="BH31" s="4">
        <f>IF(Table43[[#This Row],[SATUAN Fix Win]]&lt;&gt;"",11611)</f>
        <v>11611</v>
      </c>
      <c r="BI31" s="4">
        <f>IF(Table43[[#This Row],[SATUAN Fix Win]]&lt;&gt;"",11612)</f>
        <v>11612</v>
      </c>
      <c r="BJ31" s="48"/>
      <c r="BK31" s="4">
        <f>IF(Table43[[#This Row],[SATUAN Fix Win]]&lt;&gt;"",1)</f>
        <v>1</v>
      </c>
    </row>
    <row r="32" spans="1:63">
      <c r="A32" s="4" t="str">
        <f>CONCATENATE(Table43[[#This Row],[Kode BARANG Win2]],Table43[[#This Row],[No. Urut
Item Sama]])</f>
        <v>K10300150000101</v>
      </c>
      <c r="B32" s="7">
        <v>1</v>
      </c>
      <c r="D32" s="28" t="s">
        <v>516</v>
      </c>
      <c r="E32" s="28"/>
      <c r="F32" s="28" t="s">
        <v>2890</v>
      </c>
      <c r="G32" s="78">
        <v>100</v>
      </c>
      <c r="H32" s="43"/>
      <c r="I32" s="28" t="str">
        <f>Table43[[#This Row],[Nama Jenis Kemasan]]</f>
        <v>BOX</v>
      </c>
      <c r="J32" s="4" t="str">
        <f>TRIM(CONCATENATE(Table43[[#This Row],[Nama            KLP]]," ",Table43[[#This Row],[Nama            Sub KLP]]))</f>
        <v>ABSTRACT EYELASH</v>
      </c>
      <c r="K32" s="4" t="str">
        <f>CONCATENATE(Table43[[#This Row],[kode  2 Digit                (hrf+No)]],Table43[[#This Row],[kode  2 Digit                (Nomor)]],Table43[[#This Row],[kode  1 Digit                (Nomor)]])</f>
        <v>K1030</v>
      </c>
      <c r="L32" s="4" t="str">
        <f t="shared" si="0"/>
        <v>K1030015000010</v>
      </c>
      <c r="M32" s="11">
        <f t="shared" si="1"/>
        <v>14</v>
      </c>
      <c r="N32" s="14" t="str">
        <f>IF(AF32&lt;&gt;"",TRIM(UPPER(CONCATENATE(P32," ",R32," ",T32," ",V32," ",X32," ",Z32," ","X"," ",Table43[[#This Row],[ISI/CTN]]," ",AF32," ",AB32," ",AD32," ",AH32))),TRIM(UPPER(CONCATENATE(P32," ",R32," ",T32," ",V32," ",X32," ",Z32," ","X"," ",Table43[[#This Row],[ISI/CTN]]," ",AB32," ",AD32," ",AH32))))</f>
        <v>KNF ABSTRACT EYELASH N08 CALLA X 100 BOX</v>
      </c>
      <c r="O32" s="11">
        <f t="shared" si="2"/>
        <v>40</v>
      </c>
      <c r="P32" s="4" t="s">
        <v>97</v>
      </c>
      <c r="Q32" s="7" t="s">
        <v>98</v>
      </c>
      <c r="R32" s="4" t="s">
        <v>2529</v>
      </c>
      <c r="S32" s="44" t="s">
        <v>2473</v>
      </c>
      <c r="T32" s="45" t="s">
        <v>2961</v>
      </c>
      <c r="U32" s="7" t="s">
        <v>2900</v>
      </c>
      <c r="V32" s="45" t="s">
        <v>2961</v>
      </c>
      <c r="W32" s="44" t="s">
        <v>2900</v>
      </c>
      <c r="X32" s="4" t="s">
        <v>2543</v>
      </c>
      <c r="Y32" s="46" t="s">
        <v>3568</v>
      </c>
      <c r="Z32" s="4" t="s">
        <v>2961</v>
      </c>
      <c r="AA32" s="46" t="s">
        <v>2483</v>
      </c>
      <c r="AB32" s="4" t="s">
        <v>1023</v>
      </c>
      <c r="AC32" s="7" t="s">
        <v>2656</v>
      </c>
      <c r="AD32" s="4" t="s">
        <v>2961</v>
      </c>
      <c r="AE32" s="7" t="s">
        <v>2900</v>
      </c>
      <c r="AF32" s="7" t="s">
        <v>2961</v>
      </c>
      <c r="AG32" s="7" t="s">
        <v>2961</v>
      </c>
      <c r="AI32" s="7" t="s">
        <v>360</v>
      </c>
      <c r="AJ32" s="7" t="s">
        <v>3590</v>
      </c>
      <c r="AK32" s="41">
        <f>Table43[[#This Row],[Harga Jual Pcs GT
(-PPN)]]-(Table43[[#This Row],[Harga Jual Pcs GT
(-PPN)]]*10%)</f>
        <v>0</v>
      </c>
      <c r="AL32" s="42">
        <f>Table43[[#This Row],[Harga Beli Pcs
(-PPN)]]*Table43[[#This Row],[ISI/CTN]]</f>
        <v>0</v>
      </c>
      <c r="AM32" s="42">
        <f>Table43[[#This Row],[Harga Beli Pcs
(-PPN)]]*1.11</f>
        <v>0</v>
      </c>
      <c r="AN32" s="42">
        <f>Table43[[#This Row],[Harga Beli Krt
(- PPN)]]*1.11</f>
        <v>0</v>
      </c>
      <c r="AO32" s="42"/>
      <c r="AP32" s="42">
        <f>Table43[[#This Row],[Harga Jual Pcs GT
(-PPN)]]*Table43[[#This Row],[ISI/CTN]]</f>
        <v>0</v>
      </c>
      <c r="AQ32" s="42">
        <f>Table43[[#This Row],[Harga Jual Pcs GT
(-PPN)]]*1.11</f>
        <v>0</v>
      </c>
      <c r="AR32" s="42">
        <f>Table43[[#This Row],[Harga Jual Krt GT
(- PPN)]]*1.11</f>
        <v>0</v>
      </c>
      <c r="AS32" s="42">
        <f>Table43[[#This Row],[Harga Jual Pcs GT
(-PPN)]]</f>
        <v>0</v>
      </c>
      <c r="AT32" s="42">
        <f>(Table43[[#This Row],[Harga Jual Pcs MT
(-PPN)]]*Table43[[#This Row],[ISI/CTN]])</f>
        <v>0</v>
      </c>
      <c r="AU32" s="42">
        <f>Table43[[#This Row],[Harga Jual Pcs MT
(-PPN)]]*1.11</f>
        <v>0</v>
      </c>
      <c r="AV32" s="42">
        <f>Table43[[#This Row],[Harga Jual Pcs MT
(+PPN)]]*Table43[[#This Row],[ISI/CTN]]</f>
        <v>0</v>
      </c>
      <c r="AW32" s="47"/>
      <c r="AX32" s="7"/>
      <c r="AY32" s="7" t="str">
        <f ca="1">IF(TODAY()-Table43[[#This Row],[Efektif
Pembuatan]]&gt;60,"Lama","Baru")</f>
        <v>Lama</v>
      </c>
      <c r="AZ32" s="7" t="str">
        <f ca="1">IF(TODAY()-Table43[[#This Row],[Efektif Naik Harga]]&lt;30,"Naik","Sama")</f>
        <v>Sama</v>
      </c>
      <c r="BA32" s="7" t="str">
        <f>IF(Table43[[#This Row],[Kode BARANG Win2]]&lt;&gt;"","IDR","")</f>
        <v>IDR</v>
      </c>
      <c r="BB32" s="7" t="str">
        <f>CONCATENATE(Table43[[#This Row],[kode  1 Digit
(Nomor)]],Table43[[#This Row],[kode  4 Digit                (Nomor)]])</f>
        <v>30000</v>
      </c>
      <c r="BC32" s="7" t="str">
        <f>Table43[[#This Row],[Nama            Gramasi atau Jumlah Pack per CTN]]</f>
        <v/>
      </c>
      <c r="BD32" s="7"/>
      <c r="BE32" s="7"/>
      <c r="BF32" s="4" t="str">
        <f>IF(Table43[[#This Row],[SATUAN Fix Win]]&lt;&gt;"","KRT")</f>
        <v>KRT</v>
      </c>
      <c r="BG32" s="4" t="str">
        <f>IF(Table43[[#This Row],[SATUAN Fix Win]]&lt;&gt;"","GD01")</f>
        <v>GD01</v>
      </c>
      <c r="BH32" s="4">
        <f>IF(Table43[[#This Row],[SATUAN Fix Win]]&lt;&gt;"",11611)</f>
        <v>11611</v>
      </c>
      <c r="BI32" s="4">
        <f>IF(Table43[[#This Row],[SATUAN Fix Win]]&lt;&gt;"",11612)</f>
        <v>11612</v>
      </c>
      <c r="BJ32" s="48"/>
      <c r="BK32" s="4">
        <f>IF(Table43[[#This Row],[SATUAN Fix Win]]&lt;&gt;"",1)</f>
        <v>1</v>
      </c>
    </row>
    <row r="33" spans="1:63">
      <c r="A33" s="4" t="str">
        <f>CONCATENATE(Table43[[#This Row],[Kode BARANG Win2]],Table43[[#This Row],[No. Urut
Item Sama]])</f>
        <v>K10300160000101</v>
      </c>
      <c r="B33" s="7">
        <v>1</v>
      </c>
      <c r="D33" s="28" t="s">
        <v>517</v>
      </c>
      <c r="E33" s="28"/>
      <c r="F33" s="28" t="s">
        <v>2891</v>
      </c>
      <c r="G33" s="78">
        <v>100</v>
      </c>
      <c r="H33" s="43"/>
      <c r="I33" s="28" t="str">
        <f>Table43[[#This Row],[Nama Jenis Kemasan]]</f>
        <v>BOX</v>
      </c>
      <c r="J33" s="4" t="str">
        <f>TRIM(CONCATENATE(Table43[[#This Row],[Nama            KLP]]," ",Table43[[#This Row],[Nama            Sub KLP]]))</f>
        <v>ABSTRACT EYELASH</v>
      </c>
      <c r="K33" s="4" t="str">
        <f>CONCATENATE(Table43[[#This Row],[kode  2 Digit                (hrf+No)]],Table43[[#This Row],[kode  2 Digit                (Nomor)]],Table43[[#This Row],[kode  1 Digit                (Nomor)]])</f>
        <v>K1030</v>
      </c>
      <c r="L33" s="4" t="str">
        <f t="shared" si="0"/>
        <v>K1030016000010</v>
      </c>
      <c r="M33" s="11">
        <f t="shared" si="1"/>
        <v>14</v>
      </c>
      <c r="N33" s="14" t="str">
        <f>IF(AF33&lt;&gt;"",TRIM(UPPER(CONCATENATE(P33," ",R33," ",T33," ",V33," ",X33," ",Z33," ","X"," ",Table43[[#This Row],[ISI/CTN]]," ",AF33," ",AB33," ",AD33," ",AH33))),TRIM(UPPER(CONCATENATE(P33," ",R33," ",T33," ",V33," ",X33," ",Z33," ","X"," ",Table43[[#This Row],[ISI/CTN]]," ",AB33," ",AD33," ",AH33))))</f>
        <v>KNF ABSTRACT EYELASH N09 MALVA X 100 BOX</v>
      </c>
      <c r="O33" s="11">
        <f t="shared" si="2"/>
        <v>40</v>
      </c>
      <c r="P33" s="4" t="s">
        <v>97</v>
      </c>
      <c r="Q33" s="7" t="s">
        <v>98</v>
      </c>
      <c r="R33" s="4" t="s">
        <v>2529</v>
      </c>
      <c r="S33" s="44" t="s">
        <v>2473</v>
      </c>
      <c r="T33" s="45" t="s">
        <v>2961</v>
      </c>
      <c r="U33" s="7" t="s">
        <v>2900</v>
      </c>
      <c r="V33" s="45" t="s">
        <v>2961</v>
      </c>
      <c r="W33" s="44" t="s">
        <v>2900</v>
      </c>
      <c r="X33" s="4" t="s">
        <v>2544</v>
      </c>
      <c r="Y33" s="46" t="s">
        <v>2655</v>
      </c>
      <c r="Z33" s="4" t="s">
        <v>2961</v>
      </c>
      <c r="AA33" s="46" t="s">
        <v>2483</v>
      </c>
      <c r="AB33" s="4" t="s">
        <v>1023</v>
      </c>
      <c r="AC33" s="7" t="s">
        <v>2656</v>
      </c>
      <c r="AD33" s="4" t="s">
        <v>2961</v>
      </c>
      <c r="AE33" s="7" t="s">
        <v>2900</v>
      </c>
      <c r="AF33" s="7" t="s">
        <v>2961</v>
      </c>
      <c r="AG33" s="7" t="s">
        <v>2961</v>
      </c>
      <c r="AI33" s="7" t="s">
        <v>360</v>
      </c>
      <c r="AJ33" s="7" t="s">
        <v>3590</v>
      </c>
      <c r="AK33" s="41">
        <f>Table43[[#This Row],[Harga Jual Pcs GT
(-PPN)]]-(Table43[[#This Row],[Harga Jual Pcs GT
(-PPN)]]*10%)</f>
        <v>0</v>
      </c>
      <c r="AL33" s="42">
        <f>Table43[[#This Row],[Harga Beli Pcs
(-PPN)]]*Table43[[#This Row],[ISI/CTN]]</f>
        <v>0</v>
      </c>
      <c r="AM33" s="42">
        <f>Table43[[#This Row],[Harga Beli Pcs
(-PPN)]]*1.11</f>
        <v>0</v>
      </c>
      <c r="AN33" s="42">
        <f>Table43[[#This Row],[Harga Beli Krt
(- PPN)]]*1.11</f>
        <v>0</v>
      </c>
      <c r="AO33" s="42"/>
      <c r="AP33" s="42">
        <f>Table43[[#This Row],[Harga Jual Pcs GT
(-PPN)]]*Table43[[#This Row],[ISI/CTN]]</f>
        <v>0</v>
      </c>
      <c r="AQ33" s="42">
        <f>Table43[[#This Row],[Harga Jual Pcs GT
(-PPN)]]*1.11</f>
        <v>0</v>
      </c>
      <c r="AR33" s="42">
        <f>Table43[[#This Row],[Harga Jual Krt GT
(- PPN)]]*1.11</f>
        <v>0</v>
      </c>
      <c r="AS33" s="42">
        <f>Table43[[#This Row],[Harga Jual Pcs GT
(-PPN)]]</f>
        <v>0</v>
      </c>
      <c r="AT33" s="42">
        <f>(Table43[[#This Row],[Harga Jual Pcs MT
(-PPN)]]*Table43[[#This Row],[ISI/CTN]])</f>
        <v>0</v>
      </c>
      <c r="AU33" s="42">
        <f>Table43[[#This Row],[Harga Jual Pcs MT
(-PPN)]]*1.11</f>
        <v>0</v>
      </c>
      <c r="AV33" s="42">
        <f>Table43[[#This Row],[Harga Jual Pcs MT
(+PPN)]]*Table43[[#This Row],[ISI/CTN]]</f>
        <v>0</v>
      </c>
      <c r="AW33" s="47"/>
      <c r="AX33" s="7"/>
      <c r="AY33" s="7" t="str">
        <f ca="1">IF(TODAY()-Table43[[#This Row],[Efektif
Pembuatan]]&gt;60,"Lama","Baru")</f>
        <v>Lama</v>
      </c>
      <c r="AZ33" s="7" t="str">
        <f ca="1">IF(TODAY()-Table43[[#This Row],[Efektif Naik Harga]]&lt;30,"Naik","Sama")</f>
        <v>Sama</v>
      </c>
      <c r="BA33" s="7" t="str">
        <f>IF(Table43[[#This Row],[Kode BARANG Win2]]&lt;&gt;"","IDR","")</f>
        <v>IDR</v>
      </c>
      <c r="BB33" s="7" t="str">
        <f>CONCATENATE(Table43[[#This Row],[kode  1 Digit
(Nomor)]],Table43[[#This Row],[kode  4 Digit                (Nomor)]])</f>
        <v>30000</v>
      </c>
      <c r="BC33" s="7" t="str">
        <f>Table43[[#This Row],[Nama            Gramasi atau Jumlah Pack per CTN]]</f>
        <v/>
      </c>
      <c r="BD33" s="7"/>
      <c r="BE33" s="7"/>
      <c r="BF33" s="4" t="str">
        <f>IF(Table43[[#This Row],[SATUAN Fix Win]]&lt;&gt;"","KRT")</f>
        <v>KRT</v>
      </c>
      <c r="BG33" s="4" t="str">
        <f>IF(Table43[[#This Row],[SATUAN Fix Win]]&lt;&gt;"","GD01")</f>
        <v>GD01</v>
      </c>
      <c r="BH33" s="4">
        <f>IF(Table43[[#This Row],[SATUAN Fix Win]]&lt;&gt;"",11611)</f>
        <v>11611</v>
      </c>
      <c r="BI33" s="4">
        <f>IF(Table43[[#This Row],[SATUAN Fix Win]]&lt;&gt;"",11612)</f>
        <v>11612</v>
      </c>
      <c r="BJ33" s="48"/>
      <c r="BK33" s="4">
        <f>IF(Table43[[#This Row],[SATUAN Fix Win]]&lt;&gt;"",1)</f>
        <v>1</v>
      </c>
    </row>
    <row r="34" spans="1:63">
      <c r="A34" s="4" t="str">
        <f>CONCATENATE(Table43[[#This Row],[Kode BARANG Win2]],Table43[[#This Row],[No. Urut
Item Sama]])</f>
        <v>K10300170000101</v>
      </c>
      <c r="B34" s="7">
        <v>1</v>
      </c>
      <c r="D34" s="28" t="s">
        <v>518</v>
      </c>
      <c r="E34" s="28"/>
      <c r="F34" s="28" t="s">
        <v>2892</v>
      </c>
      <c r="G34" s="78">
        <v>100</v>
      </c>
      <c r="H34" s="43"/>
      <c r="I34" s="28" t="str">
        <f>Table43[[#This Row],[Nama Jenis Kemasan]]</f>
        <v>BOX</v>
      </c>
      <c r="J34" s="4" t="str">
        <f>TRIM(CONCATENATE(Table43[[#This Row],[Nama            KLP]]," ",Table43[[#This Row],[Nama            Sub KLP]]))</f>
        <v>ABSTRACT EYELASH</v>
      </c>
      <c r="K34" s="4" t="str">
        <f>CONCATENATE(Table43[[#This Row],[kode  2 Digit                (hrf+No)]],Table43[[#This Row],[kode  2 Digit                (Nomor)]],Table43[[#This Row],[kode  1 Digit                (Nomor)]])</f>
        <v>K1030</v>
      </c>
      <c r="L34" s="4" t="str">
        <f t="shared" si="0"/>
        <v>K1030017000010</v>
      </c>
      <c r="M34" s="11">
        <f t="shared" si="1"/>
        <v>14</v>
      </c>
      <c r="N34" s="14" t="str">
        <f>IF(AF34&lt;&gt;"",TRIM(UPPER(CONCATENATE(P34," ",R34," ",T34," ",V34," ",X34," ",Z34," ","X"," ",Table43[[#This Row],[ISI/CTN]]," ",AF34," ",AB34," ",AD34," ",AH34))),TRIM(UPPER(CONCATENATE(P34," ",R34," ",T34," ",V34," ",X34," ",Z34," ","X"," ",Table43[[#This Row],[ISI/CTN]]," ",AB34," ",AD34," ",AH34))))</f>
        <v>KNF ABSTRACT EYELASH N10 FREESIA X 100 BOX</v>
      </c>
      <c r="O34" s="11">
        <f t="shared" si="2"/>
        <v>42</v>
      </c>
      <c r="P34" s="4" t="s">
        <v>97</v>
      </c>
      <c r="Q34" s="7" t="s">
        <v>98</v>
      </c>
      <c r="R34" s="4" t="s">
        <v>2529</v>
      </c>
      <c r="S34" s="44" t="s">
        <v>2473</v>
      </c>
      <c r="T34" s="45" t="s">
        <v>2961</v>
      </c>
      <c r="U34" s="7" t="s">
        <v>2900</v>
      </c>
      <c r="V34" s="45" t="s">
        <v>2961</v>
      </c>
      <c r="W34" s="44" t="s">
        <v>2900</v>
      </c>
      <c r="X34" s="4" t="s">
        <v>2545</v>
      </c>
      <c r="Y34" s="46" t="s">
        <v>3569</v>
      </c>
      <c r="Z34" s="4" t="s">
        <v>2961</v>
      </c>
      <c r="AA34" s="46" t="s">
        <v>2483</v>
      </c>
      <c r="AB34" s="4" t="s">
        <v>1023</v>
      </c>
      <c r="AC34" s="7" t="s">
        <v>2656</v>
      </c>
      <c r="AD34" s="4" t="s">
        <v>2961</v>
      </c>
      <c r="AE34" s="7" t="s">
        <v>2900</v>
      </c>
      <c r="AF34" s="7" t="s">
        <v>2961</v>
      </c>
      <c r="AG34" s="7" t="s">
        <v>2961</v>
      </c>
      <c r="AI34" s="7" t="s">
        <v>360</v>
      </c>
      <c r="AJ34" s="7" t="s">
        <v>3590</v>
      </c>
      <c r="AK34" s="41">
        <f>Table43[[#This Row],[Harga Jual Pcs GT
(-PPN)]]-(Table43[[#This Row],[Harga Jual Pcs GT
(-PPN)]]*10%)</f>
        <v>0</v>
      </c>
      <c r="AL34" s="42">
        <f>Table43[[#This Row],[Harga Beli Pcs
(-PPN)]]*Table43[[#This Row],[ISI/CTN]]</f>
        <v>0</v>
      </c>
      <c r="AM34" s="42">
        <f>Table43[[#This Row],[Harga Beli Pcs
(-PPN)]]*1.11</f>
        <v>0</v>
      </c>
      <c r="AN34" s="42">
        <f>Table43[[#This Row],[Harga Beli Krt
(- PPN)]]*1.11</f>
        <v>0</v>
      </c>
      <c r="AO34" s="42"/>
      <c r="AP34" s="42">
        <f>Table43[[#This Row],[Harga Jual Pcs GT
(-PPN)]]*Table43[[#This Row],[ISI/CTN]]</f>
        <v>0</v>
      </c>
      <c r="AQ34" s="42">
        <f>Table43[[#This Row],[Harga Jual Pcs GT
(-PPN)]]*1.11</f>
        <v>0</v>
      </c>
      <c r="AR34" s="42">
        <f>Table43[[#This Row],[Harga Jual Krt GT
(- PPN)]]*1.11</f>
        <v>0</v>
      </c>
      <c r="AS34" s="42">
        <f>Table43[[#This Row],[Harga Jual Pcs GT
(-PPN)]]</f>
        <v>0</v>
      </c>
      <c r="AT34" s="42">
        <f>(Table43[[#This Row],[Harga Jual Pcs MT
(-PPN)]]*Table43[[#This Row],[ISI/CTN]])</f>
        <v>0</v>
      </c>
      <c r="AU34" s="42">
        <f>Table43[[#This Row],[Harga Jual Pcs MT
(-PPN)]]*1.11</f>
        <v>0</v>
      </c>
      <c r="AV34" s="42">
        <f>Table43[[#This Row],[Harga Jual Pcs MT
(+PPN)]]*Table43[[#This Row],[ISI/CTN]]</f>
        <v>0</v>
      </c>
      <c r="AW34" s="47"/>
      <c r="AX34" s="7"/>
      <c r="AY34" s="7" t="str">
        <f ca="1">IF(TODAY()-Table43[[#This Row],[Efektif
Pembuatan]]&gt;60,"Lama","Baru")</f>
        <v>Lama</v>
      </c>
      <c r="AZ34" s="7" t="str">
        <f ca="1">IF(TODAY()-Table43[[#This Row],[Efektif Naik Harga]]&lt;30,"Naik","Sama")</f>
        <v>Sama</v>
      </c>
      <c r="BA34" s="7" t="str">
        <f>IF(Table43[[#This Row],[Kode BARANG Win2]]&lt;&gt;"","IDR","")</f>
        <v>IDR</v>
      </c>
      <c r="BB34" s="7" t="str">
        <f>CONCATENATE(Table43[[#This Row],[kode  1 Digit
(Nomor)]],Table43[[#This Row],[kode  4 Digit                (Nomor)]])</f>
        <v>30000</v>
      </c>
      <c r="BC34" s="7" t="str">
        <f>Table43[[#This Row],[Nama            Gramasi atau Jumlah Pack per CTN]]</f>
        <v/>
      </c>
      <c r="BD34" s="7"/>
      <c r="BE34" s="7"/>
      <c r="BF34" s="4" t="str">
        <f>IF(Table43[[#This Row],[SATUAN Fix Win]]&lt;&gt;"","KRT")</f>
        <v>KRT</v>
      </c>
      <c r="BG34" s="4" t="str">
        <f>IF(Table43[[#This Row],[SATUAN Fix Win]]&lt;&gt;"","GD01")</f>
        <v>GD01</v>
      </c>
      <c r="BH34" s="4">
        <f>IF(Table43[[#This Row],[SATUAN Fix Win]]&lt;&gt;"",11611)</f>
        <v>11611</v>
      </c>
      <c r="BI34" s="4">
        <f>IF(Table43[[#This Row],[SATUAN Fix Win]]&lt;&gt;"",11612)</f>
        <v>11612</v>
      </c>
      <c r="BJ34" s="48"/>
      <c r="BK34" s="4">
        <f>IF(Table43[[#This Row],[SATUAN Fix Win]]&lt;&gt;"",1)</f>
        <v>1</v>
      </c>
    </row>
    <row r="35" spans="1:63">
      <c r="A35" s="4" t="str">
        <f>CONCATENATE(Table43[[#This Row],[Kode BARANG Win2]],Table43[[#This Row],[No. Urut
Item Sama]])</f>
        <v>K10300180000101</v>
      </c>
      <c r="B35" s="7">
        <v>1</v>
      </c>
      <c r="D35" s="28" t="s">
        <v>526</v>
      </c>
      <c r="E35" s="28"/>
      <c r="F35" s="28" t="s">
        <v>2893</v>
      </c>
      <c r="G35" s="78">
        <v>100</v>
      </c>
      <c r="H35" s="43"/>
      <c r="I35" s="28" t="str">
        <f>Table43[[#This Row],[Nama Jenis Kemasan]]</f>
        <v>BOX</v>
      </c>
      <c r="J35" s="4" t="str">
        <f>TRIM(CONCATENATE(Table43[[#This Row],[Nama            KLP]]," ",Table43[[#This Row],[Nama            Sub KLP]]))</f>
        <v>ABSTRACT EYELASH</v>
      </c>
      <c r="K35" s="4" t="str">
        <f>CONCATENATE(Table43[[#This Row],[kode  2 Digit                (hrf+No)]],Table43[[#This Row],[kode  2 Digit                (Nomor)]],Table43[[#This Row],[kode  1 Digit                (Nomor)]])</f>
        <v>K1030</v>
      </c>
      <c r="L35" s="4" t="str">
        <f t="shared" si="0"/>
        <v>K1030018000010</v>
      </c>
      <c r="M35" s="11">
        <f t="shared" si="1"/>
        <v>14</v>
      </c>
      <c r="N35" s="14" t="str">
        <f>IF(AF35&lt;&gt;"",TRIM(UPPER(CONCATENATE(P35," ",R35," ",T35," ",V35," ",X35," ",Z35," ","X"," ",Table43[[#This Row],[ISI/CTN]]," ",AF35," ",AB35," ",AD35," ",AH35))),TRIM(UPPER(CONCATENATE(P35," ",R35," ",T35," ",V35," ",X35," ",Z35," ","X"," ",Table43[[#This Row],[ISI/CTN]]," ",AB35," ",AD35," ",AH35))))</f>
        <v>KNF ABSTRACT EYELASH P01 RADIANT GLOW X 100 BOX</v>
      </c>
      <c r="O35" s="11">
        <f t="shared" si="2"/>
        <v>47</v>
      </c>
      <c r="P35" s="4" t="s">
        <v>97</v>
      </c>
      <c r="Q35" s="7" t="s">
        <v>98</v>
      </c>
      <c r="R35" s="4" t="s">
        <v>2529</v>
      </c>
      <c r="S35" s="44" t="s">
        <v>2473</v>
      </c>
      <c r="T35" s="45" t="s">
        <v>2961</v>
      </c>
      <c r="U35" s="7" t="s">
        <v>2900</v>
      </c>
      <c r="V35" s="45" t="s">
        <v>2961</v>
      </c>
      <c r="W35" s="44" t="s">
        <v>2900</v>
      </c>
      <c r="X35" s="4" t="s">
        <v>3570</v>
      </c>
      <c r="Y35" s="46" t="s">
        <v>3571</v>
      </c>
      <c r="Z35" s="4" t="s">
        <v>2961</v>
      </c>
      <c r="AA35" s="46" t="s">
        <v>2483</v>
      </c>
      <c r="AB35" s="4" t="s">
        <v>1023</v>
      </c>
      <c r="AC35" s="7" t="s">
        <v>2656</v>
      </c>
      <c r="AD35" s="4" t="s">
        <v>2961</v>
      </c>
      <c r="AE35" s="7" t="s">
        <v>2900</v>
      </c>
      <c r="AF35" s="7" t="s">
        <v>2961</v>
      </c>
      <c r="AG35" s="7" t="s">
        <v>2961</v>
      </c>
      <c r="AI35" s="7" t="s">
        <v>360</v>
      </c>
      <c r="AJ35" s="7" t="s">
        <v>3590</v>
      </c>
      <c r="AK35" s="41">
        <f>Table43[[#This Row],[Harga Jual Pcs GT
(-PPN)]]-(Table43[[#This Row],[Harga Jual Pcs GT
(-PPN)]]*10%)</f>
        <v>0</v>
      </c>
      <c r="AL35" s="42">
        <f>Table43[[#This Row],[Harga Beli Pcs
(-PPN)]]*Table43[[#This Row],[ISI/CTN]]</f>
        <v>0</v>
      </c>
      <c r="AM35" s="42">
        <f>Table43[[#This Row],[Harga Beli Pcs
(-PPN)]]*1.11</f>
        <v>0</v>
      </c>
      <c r="AN35" s="42">
        <f>Table43[[#This Row],[Harga Beli Krt
(- PPN)]]*1.11</f>
        <v>0</v>
      </c>
      <c r="AO35" s="42"/>
      <c r="AP35" s="42">
        <f>Table43[[#This Row],[Harga Jual Pcs GT
(-PPN)]]*Table43[[#This Row],[ISI/CTN]]</f>
        <v>0</v>
      </c>
      <c r="AQ35" s="42">
        <f>Table43[[#This Row],[Harga Jual Pcs GT
(-PPN)]]*1.11</f>
        <v>0</v>
      </c>
      <c r="AR35" s="42">
        <f>Table43[[#This Row],[Harga Jual Krt GT
(- PPN)]]*1.11</f>
        <v>0</v>
      </c>
      <c r="AS35" s="42">
        <f>Table43[[#This Row],[Harga Jual Pcs GT
(-PPN)]]</f>
        <v>0</v>
      </c>
      <c r="AT35" s="42">
        <f>(Table43[[#This Row],[Harga Jual Pcs MT
(-PPN)]]*Table43[[#This Row],[ISI/CTN]])</f>
        <v>0</v>
      </c>
      <c r="AU35" s="42">
        <f>Table43[[#This Row],[Harga Jual Pcs MT
(-PPN)]]*1.11</f>
        <v>0</v>
      </c>
      <c r="AV35" s="42">
        <f>Table43[[#This Row],[Harga Jual Pcs MT
(+PPN)]]*Table43[[#This Row],[ISI/CTN]]</f>
        <v>0</v>
      </c>
      <c r="AW35" s="47"/>
      <c r="AX35" s="7"/>
      <c r="AY35" s="7" t="str">
        <f ca="1">IF(TODAY()-Table43[[#This Row],[Efektif
Pembuatan]]&gt;60,"Lama","Baru")</f>
        <v>Lama</v>
      </c>
      <c r="AZ35" s="7" t="str">
        <f ca="1">IF(TODAY()-Table43[[#This Row],[Efektif Naik Harga]]&lt;30,"Naik","Sama")</f>
        <v>Sama</v>
      </c>
      <c r="BA35" s="7" t="str">
        <f>IF(Table43[[#This Row],[Kode BARANG Win2]]&lt;&gt;"","IDR","")</f>
        <v>IDR</v>
      </c>
      <c r="BB35" s="7" t="str">
        <f>CONCATENATE(Table43[[#This Row],[kode  1 Digit
(Nomor)]],Table43[[#This Row],[kode  4 Digit                (Nomor)]])</f>
        <v>30000</v>
      </c>
      <c r="BC35" s="7" t="str">
        <f>Table43[[#This Row],[Nama            Gramasi atau Jumlah Pack per CTN]]</f>
        <v/>
      </c>
      <c r="BD35" s="7"/>
      <c r="BE35" s="7"/>
      <c r="BF35" s="4" t="str">
        <f>IF(Table43[[#This Row],[SATUAN Fix Win]]&lt;&gt;"","KRT")</f>
        <v>KRT</v>
      </c>
      <c r="BG35" s="4" t="str">
        <f>IF(Table43[[#This Row],[SATUAN Fix Win]]&lt;&gt;"","GD01")</f>
        <v>GD01</v>
      </c>
      <c r="BH35" s="4">
        <f>IF(Table43[[#This Row],[SATUAN Fix Win]]&lt;&gt;"",11611)</f>
        <v>11611</v>
      </c>
      <c r="BI35" s="4">
        <f>IF(Table43[[#This Row],[SATUAN Fix Win]]&lt;&gt;"",11612)</f>
        <v>11612</v>
      </c>
      <c r="BJ35" s="48"/>
      <c r="BK35" s="4">
        <f>IF(Table43[[#This Row],[SATUAN Fix Win]]&lt;&gt;"",1)</f>
        <v>1</v>
      </c>
    </row>
    <row r="36" spans="1:63">
      <c r="A36" s="4" t="str">
        <f>CONCATENATE(Table43[[#This Row],[Kode BARANG Win2]],Table43[[#This Row],[No. Urut
Item Sama]])</f>
        <v>K10300190000101</v>
      </c>
      <c r="B36" s="7">
        <v>1</v>
      </c>
      <c r="D36" s="28" t="s">
        <v>527</v>
      </c>
      <c r="E36" s="28"/>
      <c r="F36" s="28" t="s">
        <v>2894</v>
      </c>
      <c r="G36" s="78">
        <v>100</v>
      </c>
      <c r="H36" s="43"/>
      <c r="I36" s="28" t="str">
        <f>Table43[[#This Row],[Nama Jenis Kemasan]]</f>
        <v>BOX</v>
      </c>
      <c r="J36" s="4" t="str">
        <f>TRIM(CONCATENATE(Table43[[#This Row],[Nama            KLP]]," ",Table43[[#This Row],[Nama            Sub KLP]]))</f>
        <v>ABSTRACT EYELASH</v>
      </c>
      <c r="K36" s="4" t="str">
        <f>CONCATENATE(Table43[[#This Row],[kode  2 Digit                (hrf+No)]],Table43[[#This Row],[kode  2 Digit                (Nomor)]],Table43[[#This Row],[kode  1 Digit                (Nomor)]])</f>
        <v>K1030</v>
      </c>
      <c r="L36" s="4" t="str">
        <f t="shared" si="0"/>
        <v>K1030019000010</v>
      </c>
      <c r="M36" s="11">
        <f t="shared" si="1"/>
        <v>14</v>
      </c>
      <c r="N36" s="14" t="str">
        <f>IF(AF36&lt;&gt;"",TRIM(UPPER(CONCATENATE(P36," ",R36," ",T36," ",V36," ",X36," ",Z36," ","X"," ",Table43[[#This Row],[ISI/CTN]]," ",AF36," ",AB36," ",AD36," ",AH36))),TRIM(UPPER(CONCATENATE(P36," ",R36," ",T36," ",V36," ",X36," ",Z36," ","X"," ",Table43[[#This Row],[ISI/CTN]]," ",AB36," ",AD36," ",AH36))))</f>
        <v>KNF ABSTRACT EYELASH P02 ELECTRI FEEL X 100 BOX</v>
      </c>
      <c r="O36" s="11">
        <f t="shared" si="2"/>
        <v>47</v>
      </c>
      <c r="P36" s="4" t="s">
        <v>97</v>
      </c>
      <c r="Q36" s="7" t="s">
        <v>98</v>
      </c>
      <c r="R36" s="4" t="s">
        <v>2529</v>
      </c>
      <c r="S36" s="44" t="s">
        <v>2473</v>
      </c>
      <c r="T36" s="45" t="s">
        <v>2961</v>
      </c>
      <c r="U36" s="7" t="s">
        <v>2900</v>
      </c>
      <c r="V36" s="45" t="s">
        <v>2961</v>
      </c>
      <c r="W36" s="44" t="s">
        <v>2900</v>
      </c>
      <c r="X36" s="4" t="s">
        <v>3572</v>
      </c>
      <c r="Y36" s="46" t="s">
        <v>3573</v>
      </c>
      <c r="Z36" s="4" t="s">
        <v>2961</v>
      </c>
      <c r="AA36" s="46" t="s">
        <v>2483</v>
      </c>
      <c r="AB36" s="4" t="s">
        <v>1023</v>
      </c>
      <c r="AC36" s="7" t="s">
        <v>2656</v>
      </c>
      <c r="AD36" s="4" t="s">
        <v>2961</v>
      </c>
      <c r="AE36" s="7" t="s">
        <v>2900</v>
      </c>
      <c r="AF36" s="7" t="s">
        <v>2961</v>
      </c>
      <c r="AG36" s="7" t="s">
        <v>2961</v>
      </c>
      <c r="AI36" s="7" t="s">
        <v>360</v>
      </c>
      <c r="AJ36" s="7" t="s">
        <v>3590</v>
      </c>
      <c r="AK36" s="41">
        <f>Table43[[#This Row],[Harga Jual Pcs GT
(-PPN)]]-(Table43[[#This Row],[Harga Jual Pcs GT
(-PPN)]]*10%)</f>
        <v>0</v>
      </c>
      <c r="AL36" s="42">
        <f>Table43[[#This Row],[Harga Beli Pcs
(-PPN)]]*Table43[[#This Row],[ISI/CTN]]</f>
        <v>0</v>
      </c>
      <c r="AM36" s="42">
        <f>Table43[[#This Row],[Harga Beli Pcs
(-PPN)]]*1.11</f>
        <v>0</v>
      </c>
      <c r="AN36" s="42">
        <f>Table43[[#This Row],[Harga Beli Krt
(- PPN)]]*1.11</f>
        <v>0</v>
      </c>
      <c r="AO36" s="42"/>
      <c r="AP36" s="42">
        <f>Table43[[#This Row],[Harga Jual Pcs GT
(-PPN)]]*Table43[[#This Row],[ISI/CTN]]</f>
        <v>0</v>
      </c>
      <c r="AQ36" s="42">
        <f>Table43[[#This Row],[Harga Jual Pcs GT
(-PPN)]]*1.11</f>
        <v>0</v>
      </c>
      <c r="AR36" s="42">
        <f>Table43[[#This Row],[Harga Jual Krt GT
(- PPN)]]*1.11</f>
        <v>0</v>
      </c>
      <c r="AS36" s="42">
        <f>Table43[[#This Row],[Harga Jual Pcs GT
(-PPN)]]</f>
        <v>0</v>
      </c>
      <c r="AT36" s="42">
        <f>(Table43[[#This Row],[Harga Jual Pcs MT
(-PPN)]]*Table43[[#This Row],[ISI/CTN]])</f>
        <v>0</v>
      </c>
      <c r="AU36" s="42">
        <f>Table43[[#This Row],[Harga Jual Pcs MT
(-PPN)]]*1.11</f>
        <v>0</v>
      </c>
      <c r="AV36" s="42">
        <f>Table43[[#This Row],[Harga Jual Pcs MT
(+PPN)]]*Table43[[#This Row],[ISI/CTN]]</f>
        <v>0</v>
      </c>
      <c r="AW36" s="47"/>
      <c r="AX36" s="7"/>
      <c r="AY36" s="7" t="str">
        <f ca="1">IF(TODAY()-Table43[[#This Row],[Efektif
Pembuatan]]&gt;60,"Lama","Baru")</f>
        <v>Lama</v>
      </c>
      <c r="AZ36" s="7" t="str">
        <f ca="1">IF(TODAY()-Table43[[#This Row],[Efektif Naik Harga]]&lt;30,"Naik","Sama")</f>
        <v>Sama</v>
      </c>
      <c r="BA36" s="7" t="str">
        <f>IF(Table43[[#This Row],[Kode BARANG Win2]]&lt;&gt;"","IDR","")</f>
        <v>IDR</v>
      </c>
      <c r="BB36" s="7" t="str">
        <f>CONCATENATE(Table43[[#This Row],[kode  1 Digit
(Nomor)]],Table43[[#This Row],[kode  4 Digit                (Nomor)]])</f>
        <v>30000</v>
      </c>
      <c r="BC36" s="7" t="str">
        <f>Table43[[#This Row],[Nama            Gramasi atau Jumlah Pack per CTN]]</f>
        <v/>
      </c>
      <c r="BD36" s="7"/>
      <c r="BE36" s="7"/>
      <c r="BF36" s="4" t="str">
        <f>IF(Table43[[#This Row],[SATUAN Fix Win]]&lt;&gt;"","KRT")</f>
        <v>KRT</v>
      </c>
      <c r="BG36" s="4" t="str">
        <f>IF(Table43[[#This Row],[SATUAN Fix Win]]&lt;&gt;"","GD01")</f>
        <v>GD01</v>
      </c>
      <c r="BH36" s="4">
        <f>IF(Table43[[#This Row],[SATUAN Fix Win]]&lt;&gt;"",11611)</f>
        <v>11611</v>
      </c>
      <c r="BI36" s="4">
        <f>IF(Table43[[#This Row],[SATUAN Fix Win]]&lt;&gt;"",11612)</f>
        <v>11612</v>
      </c>
      <c r="BJ36" s="48"/>
      <c r="BK36" s="4">
        <f>IF(Table43[[#This Row],[SATUAN Fix Win]]&lt;&gt;"",1)</f>
        <v>1</v>
      </c>
    </row>
    <row r="37" spans="1:63">
      <c r="A37" s="4" t="str">
        <f>CONCATENATE(Table43[[#This Row],[Kode BARANG Win2]],Table43[[#This Row],[No. Urut
Item Sama]])</f>
        <v>K10300200000101</v>
      </c>
      <c r="B37" s="7">
        <v>1</v>
      </c>
      <c r="D37" s="28" t="s">
        <v>528</v>
      </c>
      <c r="E37" s="28"/>
      <c r="F37" s="28" t="s">
        <v>2895</v>
      </c>
      <c r="G37" s="78">
        <v>100</v>
      </c>
      <c r="H37" s="43"/>
      <c r="I37" s="28" t="str">
        <f>Table43[[#This Row],[Nama Jenis Kemasan]]</f>
        <v>BOX</v>
      </c>
      <c r="J37" s="4" t="str">
        <f>TRIM(CONCATENATE(Table43[[#This Row],[Nama            KLP]]," ",Table43[[#This Row],[Nama            Sub KLP]]))</f>
        <v>ABSTRACT EYELASH</v>
      </c>
      <c r="K37" s="4" t="str">
        <f>CONCATENATE(Table43[[#This Row],[kode  2 Digit                (hrf+No)]],Table43[[#This Row],[kode  2 Digit                (Nomor)]],Table43[[#This Row],[kode  1 Digit                (Nomor)]])</f>
        <v>K1030</v>
      </c>
      <c r="L37" s="4" t="str">
        <f t="shared" si="0"/>
        <v>K1030020000010</v>
      </c>
      <c r="M37" s="11">
        <f t="shared" si="1"/>
        <v>14</v>
      </c>
      <c r="N37" s="14" t="str">
        <f>IF(AF37&lt;&gt;"",TRIM(UPPER(CONCATENATE(P37," ",R37," ",T37," ",V37," ",X37," ",Z37," ","X"," ",Table43[[#This Row],[ISI/CTN]]," ",AF37," ",AB37," ",AD37," ",AH37))),TRIM(UPPER(CONCATENATE(P37," ",R37," ",T37," ",V37," ",X37," ",Z37," ","X"," ",Table43[[#This Row],[ISI/CTN]]," ",AB37," ",AD37," ",AH37))))</f>
        <v>KNF ABSTRACT EYELASH P03 RMNTC GLAM X 100 BOX</v>
      </c>
      <c r="O37" s="11">
        <f t="shared" si="2"/>
        <v>45</v>
      </c>
      <c r="P37" s="4" t="s">
        <v>97</v>
      </c>
      <c r="Q37" s="7" t="s">
        <v>98</v>
      </c>
      <c r="R37" s="4" t="s">
        <v>2529</v>
      </c>
      <c r="S37" s="44" t="s">
        <v>2473</v>
      </c>
      <c r="T37" s="45" t="s">
        <v>2961</v>
      </c>
      <c r="U37" s="7" t="s">
        <v>2900</v>
      </c>
      <c r="V37" s="45" t="s">
        <v>2961</v>
      </c>
      <c r="W37" s="44" t="s">
        <v>2900</v>
      </c>
      <c r="X37" s="4" t="s">
        <v>3574</v>
      </c>
      <c r="Y37" s="46" t="s">
        <v>3575</v>
      </c>
      <c r="Z37" s="4" t="s">
        <v>2961</v>
      </c>
      <c r="AA37" s="46" t="s">
        <v>2483</v>
      </c>
      <c r="AB37" s="4" t="s">
        <v>1023</v>
      </c>
      <c r="AC37" s="7" t="s">
        <v>2656</v>
      </c>
      <c r="AD37" s="4" t="s">
        <v>2961</v>
      </c>
      <c r="AE37" s="7" t="s">
        <v>2900</v>
      </c>
      <c r="AF37" s="7" t="s">
        <v>2961</v>
      </c>
      <c r="AG37" s="7" t="s">
        <v>2961</v>
      </c>
      <c r="AI37" s="7" t="s">
        <v>360</v>
      </c>
      <c r="AJ37" s="7" t="s">
        <v>3590</v>
      </c>
      <c r="AK37" s="41">
        <f>Table43[[#This Row],[Harga Jual Pcs GT
(-PPN)]]-(Table43[[#This Row],[Harga Jual Pcs GT
(-PPN)]]*10%)</f>
        <v>0</v>
      </c>
      <c r="AL37" s="42">
        <f>Table43[[#This Row],[Harga Beli Pcs
(-PPN)]]*Table43[[#This Row],[ISI/CTN]]</f>
        <v>0</v>
      </c>
      <c r="AM37" s="42">
        <f>Table43[[#This Row],[Harga Beli Pcs
(-PPN)]]*1.11</f>
        <v>0</v>
      </c>
      <c r="AN37" s="42">
        <f>Table43[[#This Row],[Harga Beli Krt
(- PPN)]]*1.11</f>
        <v>0</v>
      </c>
      <c r="AO37" s="42"/>
      <c r="AP37" s="42">
        <f>Table43[[#This Row],[Harga Jual Pcs GT
(-PPN)]]*Table43[[#This Row],[ISI/CTN]]</f>
        <v>0</v>
      </c>
      <c r="AQ37" s="42">
        <f>Table43[[#This Row],[Harga Jual Pcs GT
(-PPN)]]*1.11</f>
        <v>0</v>
      </c>
      <c r="AR37" s="42">
        <f>Table43[[#This Row],[Harga Jual Krt GT
(- PPN)]]*1.11</f>
        <v>0</v>
      </c>
      <c r="AS37" s="42">
        <f>Table43[[#This Row],[Harga Jual Pcs GT
(-PPN)]]</f>
        <v>0</v>
      </c>
      <c r="AT37" s="42">
        <f>(Table43[[#This Row],[Harga Jual Pcs MT
(-PPN)]]*Table43[[#This Row],[ISI/CTN]])</f>
        <v>0</v>
      </c>
      <c r="AU37" s="42">
        <f>Table43[[#This Row],[Harga Jual Pcs MT
(-PPN)]]*1.11</f>
        <v>0</v>
      </c>
      <c r="AV37" s="42">
        <f>Table43[[#This Row],[Harga Jual Pcs MT
(+PPN)]]*Table43[[#This Row],[ISI/CTN]]</f>
        <v>0</v>
      </c>
      <c r="AW37" s="47"/>
      <c r="AX37" s="7"/>
      <c r="AY37" s="7" t="str">
        <f ca="1">IF(TODAY()-Table43[[#This Row],[Efektif
Pembuatan]]&gt;60,"Lama","Baru")</f>
        <v>Lama</v>
      </c>
      <c r="AZ37" s="7" t="str">
        <f ca="1">IF(TODAY()-Table43[[#This Row],[Efektif Naik Harga]]&lt;30,"Naik","Sama")</f>
        <v>Sama</v>
      </c>
      <c r="BA37" s="7" t="str">
        <f>IF(Table43[[#This Row],[Kode BARANG Win2]]&lt;&gt;"","IDR","")</f>
        <v>IDR</v>
      </c>
      <c r="BB37" s="7" t="str">
        <f>CONCATENATE(Table43[[#This Row],[kode  1 Digit
(Nomor)]],Table43[[#This Row],[kode  4 Digit                (Nomor)]])</f>
        <v>30000</v>
      </c>
      <c r="BC37" s="7" t="str">
        <f>Table43[[#This Row],[Nama            Gramasi atau Jumlah Pack per CTN]]</f>
        <v/>
      </c>
      <c r="BD37" s="7"/>
      <c r="BE37" s="7"/>
      <c r="BF37" s="4" t="str">
        <f>IF(Table43[[#This Row],[SATUAN Fix Win]]&lt;&gt;"","KRT")</f>
        <v>KRT</v>
      </c>
      <c r="BG37" s="4" t="str">
        <f>IF(Table43[[#This Row],[SATUAN Fix Win]]&lt;&gt;"","GD01")</f>
        <v>GD01</v>
      </c>
      <c r="BH37" s="4">
        <f>IF(Table43[[#This Row],[SATUAN Fix Win]]&lt;&gt;"",11611)</f>
        <v>11611</v>
      </c>
      <c r="BI37" s="4">
        <f>IF(Table43[[#This Row],[SATUAN Fix Win]]&lt;&gt;"",11612)</f>
        <v>11612</v>
      </c>
      <c r="BJ37" s="48"/>
      <c r="BK37" s="4">
        <f>IF(Table43[[#This Row],[SATUAN Fix Win]]&lt;&gt;"",1)</f>
        <v>1</v>
      </c>
    </row>
    <row r="38" spans="1:63">
      <c r="A38" s="4" t="str">
        <f>CONCATENATE(Table43[[#This Row],[Kode BARANG Win2]],Table43[[#This Row],[No. Urut
Item Sama]])</f>
        <v>K10300210000101</v>
      </c>
      <c r="B38" s="7">
        <v>1</v>
      </c>
      <c r="D38" s="28" t="s">
        <v>529</v>
      </c>
      <c r="E38" s="28"/>
      <c r="F38" s="28" t="s">
        <v>2896</v>
      </c>
      <c r="G38" s="78">
        <v>100</v>
      </c>
      <c r="H38" s="43"/>
      <c r="I38" s="28" t="str">
        <f>Table43[[#This Row],[Nama Jenis Kemasan]]</f>
        <v>BOX</v>
      </c>
      <c r="J38" s="4" t="str">
        <f>TRIM(CONCATENATE(Table43[[#This Row],[Nama            KLP]]," ",Table43[[#This Row],[Nama            Sub KLP]]))</f>
        <v>ABSTRACT EYELASH</v>
      </c>
      <c r="K38" s="4" t="str">
        <f>CONCATENATE(Table43[[#This Row],[kode  2 Digit                (hrf+No)]],Table43[[#This Row],[kode  2 Digit                (Nomor)]],Table43[[#This Row],[kode  1 Digit                (Nomor)]])</f>
        <v>K1030</v>
      </c>
      <c r="L38" s="4" t="str">
        <f t="shared" si="0"/>
        <v>K1030021000010</v>
      </c>
      <c r="M38" s="11">
        <f t="shared" si="1"/>
        <v>14</v>
      </c>
      <c r="N38" s="14" t="str">
        <f>IF(AF38&lt;&gt;"",TRIM(UPPER(CONCATENATE(P38," ",R38," ",T38," ",V38," ",X38," ",Z38," ","X"," ",Table43[[#This Row],[ISI/CTN]]," ",AF38," ",AB38," ",AD38," ",AH38))),TRIM(UPPER(CONCATENATE(P38," ",R38," ",T38," ",V38," ",X38," ",Z38," ","X"," ",Table43[[#This Row],[ISI/CTN]]," ",AB38," ",AD38," ",AH38))))</f>
        <v>KNF ABSTRACT EYELASH P04 SMOKY MOOD X 100 BOX</v>
      </c>
      <c r="O38" s="11">
        <f t="shared" si="2"/>
        <v>45</v>
      </c>
      <c r="P38" s="4" t="s">
        <v>97</v>
      </c>
      <c r="Q38" s="7" t="s">
        <v>98</v>
      </c>
      <c r="R38" s="4" t="s">
        <v>2529</v>
      </c>
      <c r="S38" s="44" t="s">
        <v>2473</v>
      </c>
      <c r="T38" s="45" t="s">
        <v>2961</v>
      </c>
      <c r="U38" s="7" t="s">
        <v>2900</v>
      </c>
      <c r="V38" s="45" t="s">
        <v>2961</v>
      </c>
      <c r="W38" s="44" t="s">
        <v>2900</v>
      </c>
      <c r="X38" s="4" t="s">
        <v>3576</v>
      </c>
      <c r="Y38" s="46" t="s">
        <v>3577</v>
      </c>
      <c r="Z38" s="4" t="s">
        <v>2961</v>
      </c>
      <c r="AA38" s="46" t="s">
        <v>2483</v>
      </c>
      <c r="AB38" s="4" t="s">
        <v>1023</v>
      </c>
      <c r="AC38" s="7" t="s">
        <v>2656</v>
      </c>
      <c r="AD38" s="4" t="s">
        <v>2961</v>
      </c>
      <c r="AE38" s="7" t="s">
        <v>2900</v>
      </c>
      <c r="AF38" s="7" t="s">
        <v>2961</v>
      </c>
      <c r="AG38" s="7" t="s">
        <v>2961</v>
      </c>
      <c r="AI38" s="7" t="s">
        <v>360</v>
      </c>
      <c r="AJ38" s="7" t="s">
        <v>3590</v>
      </c>
      <c r="AK38" s="41">
        <f>Table43[[#This Row],[Harga Jual Pcs GT
(-PPN)]]-(Table43[[#This Row],[Harga Jual Pcs GT
(-PPN)]]*10%)</f>
        <v>0</v>
      </c>
      <c r="AL38" s="42">
        <f>Table43[[#This Row],[Harga Beli Pcs
(-PPN)]]*Table43[[#This Row],[ISI/CTN]]</f>
        <v>0</v>
      </c>
      <c r="AM38" s="42">
        <f>Table43[[#This Row],[Harga Beli Pcs
(-PPN)]]*1.11</f>
        <v>0</v>
      </c>
      <c r="AN38" s="42">
        <f>Table43[[#This Row],[Harga Beli Krt
(- PPN)]]*1.11</f>
        <v>0</v>
      </c>
      <c r="AO38" s="42"/>
      <c r="AP38" s="42">
        <f>Table43[[#This Row],[Harga Jual Pcs GT
(-PPN)]]*Table43[[#This Row],[ISI/CTN]]</f>
        <v>0</v>
      </c>
      <c r="AQ38" s="42">
        <f>Table43[[#This Row],[Harga Jual Pcs GT
(-PPN)]]*1.11</f>
        <v>0</v>
      </c>
      <c r="AR38" s="42">
        <f>Table43[[#This Row],[Harga Jual Krt GT
(- PPN)]]*1.11</f>
        <v>0</v>
      </c>
      <c r="AS38" s="42">
        <f>Table43[[#This Row],[Harga Jual Pcs GT
(-PPN)]]</f>
        <v>0</v>
      </c>
      <c r="AT38" s="42">
        <f>(Table43[[#This Row],[Harga Jual Pcs MT
(-PPN)]]*Table43[[#This Row],[ISI/CTN]])</f>
        <v>0</v>
      </c>
      <c r="AU38" s="42">
        <f>Table43[[#This Row],[Harga Jual Pcs MT
(-PPN)]]*1.11</f>
        <v>0</v>
      </c>
      <c r="AV38" s="42">
        <f>Table43[[#This Row],[Harga Jual Pcs MT
(+PPN)]]*Table43[[#This Row],[ISI/CTN]]</f>
        <v>0</v>
      </c>
      <c r="AW38" s="47"/>
      <c r="AX38" s="7"/>
      <c r="AY38" s="7" t="str">
        <f ca="1">IF(TODAY()-Table43[[#This Row],[Efektif
Pembuatan]]&gt;60,"Lama","Baru")</f>
        <v>Lama</v>
      </c>
      <c r="AZ38" s="7" t="str">
        <f ca="1">IF(TODAY()-Table43[[#This Row],[Efektif Naik Harga]]&lt;30,"Naik","Sama")</f>
        <v>Sama</v>
      </c>
      <c r="BA38" s="7" t="str">
        <f>IF(Table43[[#This Row],[Kode BARANG Win2]]&lt;&gt;"","IDR","")</f>
        <v>IDR</v>
      </c>
      <c r="BB38" s="7" t="str">
        <f>CONCATENATE(Table43[[#This Row],[kode  1 Digit
(Nomor)]],Table43[[#This Row],[kode  4 Digit                (Nomor)]])</f>
        <v>30000</v>
      </c>
      <c r="BC38" s="7" t="str">
        <f>Table43[[#This Row],[Nama            Gramasi atau Jumlah Pack per CTN]]</f>
        <v/>
      </c>
      <c r="BD38" s="7"/>
      <c r="BE38" s="7"/>
      <c r="BF38" s="4" t="str">
        <f>IF(Table43[[#This Row],[SATUAN Fix Win]]&lt;&gt;"","KRT")</f>
        <v>KRT</v>
      </c>
      <c r="BG38" s="4" t="str">
        <f>IF(Table43[[#This Row],[SATUAN Fix Win]]&lt;&gt;"","GD01")</f>
        <v>GD01</v>
      </c>
      <c r="BH38" s="4">
        <f>IF(Table43[[#This Row],[SATUAN Fix Win]]&lt;&gt;"",11611)</f>
        <v>11611</v>
      </c>
      <c r="BI38" s="4">
        <f>IF(Table43[[#This Row],[SATUAN Fix Win]]&lt;&gt;"",11612)</f>
        <v>11612</v>
      </c>
      <c r="BJ38" s="48"/>
      <c r="BK38" s="4">
        <f>IF(Table43[[#This Row],[SATUAN Fix Win]]&lt;&gt;"",1)</f>
        <v>1</v>
      </c>
    </row>
    <row r="39" spans="1:63">
      <c r="A39" s="4" t="str">
        <f>CONCATENATE(Table43[[#This Row],[Kode BARANG Win2]],Table43[[#This Row],[No. Urut
Item Sama]])</f>
        <v>K10300220000101</v>
      </c>
      <c r="B39" s="7">
        <v>1</v>
      </c>
      <c r="D39" s="28" t="s">
        <v>530</v>
      </c>
      <c r="E39" s="28"/>
      <c r="F39" s="28" t="s">
        <v>2897</v>
      </c>
      <c r="G39" s="78">
        <v>100</v>
      </c>
      <c r="H39" s="43"/>
      <c r="I39" s="28" t="str">
        <f>Table43[[#This Row],[Nama Jenis Kemasan]]</f>
        <v>BOX</v>
      </c>
      <c r="J39" s="4" t="str">
        <f>TRIM(CONCATENATE(Table43[[#This Row],[Nama            KLP]]," ",Table43[[#This Row],[Nama            Sub KLP]]))</f>
        <v>ABSTRACT EYELASH</v>
      </c>
      <c r="K39" s="4" t="str">
        <f>CONCATENATE(Table43[[#This Row],[kode  2 Digit                (hrf+No)]],Table43[[#This Row],[kode  2 Digit                (Nomor)]],Table43[[#This Row],[kode  1 Digit                (Nomor)]])</f>
        <v>K1030</v>
      </c>
      <c r="L39" s="4" t="str">
        <f t="shared" si="0"/>
        <v>K1030022000010</v>
      </c>
      <c r="M39" s="11">
        <f t="shared" si="1"/>
        <v>14</v>
      </c>
      <c r="N39" s="14" t="str">
        <f>IF(AF39&lt;&gt;"",TRIM(UPPER(CONCATENATE(P39," ",R39," ",T39," ",V39," ",X39," ",Z39," ","X"," ",Table43[[#This Row],[ISI/CTN]]," ",AF39," ",AB39," ",AD39," ",AH39))),TRIM(UPPER(CONCATENATE(P39," ",R39," ",T39," ",V39," ",X39," ",Z39," ","X"," ",Table43[[#This Row],[ISI/CTN]]," ",AB39," ",AD39," ",AH39))))</f>
        <v>KNF ABSTRACT EYELASH U02 PEONY X 100 BOX</v>
      </c>
      <c r="O39" s="11">
        <f t="shared" si="2"/>
        <v>40</v>
      </c>
      <c r="P39" s="4" t="s">
        <v>97</v>
      </c>
      <c r="Q39" s="7" t="s">
        <v>98</v>
      </c>
      <c r="R39" s="4" t="s">
        <v>2529</v>
      </c>
      <c r="S39" s="44" t="s">
        <v>2473</v>
      </c>
      <c r="T39" s="45" t="s">
        <v>2961</v>
      </c>
      <c r="U39" s="7" t="s">
        <v>2900</v>
      </c>
      <c r="V39" s="45" t="s">
        <v>2961</v>
      </c>
      <c r="W39" s="44" t="s">
        <v>2900</v>
      </c>
      <c r="X39" s="4" t="s">
        <v>2546</v>
      </c>
      <c r="Y39" s="46" t="s">
        <v>3578</v>
      </c>
      <c r="Z39" s="4" t="s">
        <v>2961</v>
      </c>
      <c r="AA39" s="46" t="s">
        <v>2483</v>
      </c>
      <c r="AB39" s="4" t="s">
        <v>1023</v>
      </c>
      <c r="AC39" s="7" t="s">
        <v>2656</v>
      </c>
      <c r="AD39" s="4" t="s">
        <v>2961</v>
      </c>
      <c r="AE39" s="7" t="s">
        <v>2900</v>
      </c>
      <c r="AF39" s="7" t="s">
        <v>2961</v>
      </c>
      <c r="AG39" s="7" t="s">
        <v>2961</v>
      </c>
      <c r="AI39" s="7" t="s">
        <v>360</v>
      </c>
      <c r="AJ39" s="7" t="s">
        <v>3590</v>
      </c>
      <c r="AK39" s="41">
        <f>Table43[[#This Row],[Harga Jual Pcs GT
(-PPN)]]-(Table43[[#This Row],[Harga Jual Pcs GT
(-PPN)]]*10%)</f>
        <v>0</v>
      </c>
      <c r="AL39" s="42">
        <f>Table43[[#This Row],[Harga Beli Pcs
(-PPN)]]*Table43[[#This Row],[ISI/CTN]]</f>
        <v>0</v>
      </c>
      <c r="AM39" s="42">
        <f>Table43[[#This Row],[Harga Beli Pcs
(-PPN)]]*1.11</f>
        <v>0</v>
      </c>
      <c r="AN39" s="42">
        <f>Table43[[#This Row],[Harga Beli Krt
(- PPN)]]*1.11</f>
        <v>0</v>
      </c>
      <c r="AO39" s="42"/>
      <c r="AP39" s="42">
        <f>Table43[[#This Row],[Harga Jual Pcs GT
(-PPN)]]*Table43[[#This Row],[ISI/CTN]]</f>
        <v>0</v>
      </c>
      <c r="AQ39" s="42">
        <f>Table43[[#This Row],[Harga Jual Pcs GT
(-PPN)]]*1.11</f>
        <v>0</v>
      </c>
      <c r="AR39" s="42">
        <f>Table43[[#This Row],[Harga Jual Krt GT
(- PPN)]]*1.11</f>
        <v>0</v>
      </c>
      <c r="AS39" s="42">
        <f>Table43[[#This Row],[Harga Jual Pcs GT
(-PPN)]]</f>
        <v>0</v>
      </c>
      <c r="AT39" s="42">
        <f>(Table43[[#This Row],[Harga Jual Pcs MT
(-PPN)]]*Table43[[#This Row],[ISI/CTN]])</f>
        <v>0</v>
      </c>
      <c r="AU39" s="42">
        <f>Table43[[#This Row],[Harga Jual Pcs MT
(-PPN)]]*1.11</f>
        <v>0</v>
      </c>
      <c r="AV39" s="42">
        <f>Table43[[#This Row],[Harga Jual Pcs MT
(+PPN)]]*Table43[[#This Row],[ISI/CTN]]</f>
        <v>0</v>
      </c>
      <c r="AW39" s="47"/>
      <c r="AX39" s="7"/>
      <c r="AY39" s="7" t="str">
        <f ca="1">IF(TODAY()-Table43[[#This Row],[Efektif
Pembuatan]]&gt;60,"Lama","Baru")</f>
        <v>Lama</v>
      </c>
      <c r="AZ39" s="7" t="str">
        <f ca="1">IF(TODAY()-Table43[[#This Row],[Efektif Naik Harga]]&lt;30,"Naik","Sama")</f>
        <v>Sama</v>
      </c>
      <c r="BA39" s="7" t="str">
        <f>IF(Table43[[#This Row],[Kode BARANG Win2]]&lt;&gt;"","IDR","")</f>
        <v>IDR</v>
      </c>
      <c r="BB39" s="7" t="str">
        <f>CONCATENATE(Table43[[#This Row],[kode  1 Digit
(Nomor)]],Table43[[#This Row],[kode  4 Digit                (Nomor)]])</f>
        <v>30000</v>
      </c>
      <c r="BC39" s="7" t="str">
        <f>Table43[[#This Row],[Nama            Gramasi atau Jumlah Pack per CTN]]</f>
        <v/>
      </c>
      <c r="BD39" s="7"/>
      <c r="BE39" s="7"/>
      <c r="BF39" s="4" t="str">
        <f>IF(Table43[[#This Row],[SATUAN Fix Win]]&lt;&gt;"","KRT")</f>
        <v>KRT</v>
      </c>
      <c r="BG39" s="4" t="str">
        <f>IF(Table43[[#This Row],[SATUAN Fix Win]]&lt;&gt;"","GD01")</f>
        <v>GD01</v>
      </c>
      <c r="BH39" s="4">
        <f>IF(Table43[[#This Row],[SATUAN Fix Win]]&lt;&gt;"",11611)</f>
        <v>11611</v>
      </c>
      <c r="BI39" s="4">
        <f>IF(Table43[[#This Row],[SATUAN Fix Win]]&lt;&gt;"",11612)</f>
        <v>11612</v>
      </c>
      <c r="BJ39" s="48"/>
      <c r="BK39" s="4">
        <f>IF(Table43[[#This Row],[SATUAN Fix Win]]&lt;&gt;"",1)</f>
        <v>1</v>
      </c>
    </row>
    <row r="40" spans="1:63">
      <c r="A40" s="4" t="str">
        <f>CONCATENATE(Table43[[#This Row],[Kode BARANG Win2]],Table43[[#This Row],[No. Urut
Item Sama]])</f>
        <v>K10300230000101</v>
      </c>
      <c r="B40" s="7">
        <v>1</v>
      </c>
      <c r="D40" s="28" t="s">
        <v>531</v>
      </c>
      <c r="E40" s="28"/>
      <c r="F40" s="28" t="s">
        <v>2898</v>
      </c>
      <c r="G40" s="78">
        <v>100</v>
      </c>
      <c r="H40" s="43"/>
      <c r="I40" s="28" t="str">
        <f>Table43[[#This Row],[Nama Jenis Kemasan]]</f>
        <v>BOX</v>
      </c>
      <c r="J40" s="4" t="str">
        <f>TRIM(CONCATENATE(Table43[[#This Row],[Nama            KLP]]," ",Table43[[#This Row],[Nama            Sub KLP]]))</f>
        <v>ABSTRACT EYELASH</v>
      </c>
      <c r="K40" s="4" t="str">
        <f>CONCATENATE(Table43[[#This Row],[kode  2 Digit                (hrf+No)]],Table43[[#This Row],[kode  2 Digit                (Nomor)]],Table43[[#This Row],[kode  1 Digit                (Nomor)]])</f>
        <v>K1030</v>
      </c>
      <c r="L40" s="4" t="str">
        <f t="shared" si="0"/>
        <v>K1030023000010</v>
      </c>
      <c r="M40" s="11">
        <f t="shared" si="1"/>
        <v>14</v>
      </c>
      <c r="N40" s="14" t="str">
        <f>IF(AF40&lt;&gt;"",TRIM(UPPER(CONCATENATE(P40," ",R40," ",T40," ",V40," ",X40," ",Z40," ","X"," ",Table43[[#This Row],[ISI/CTN]]," ",AF40," ",AB40," ",AD40," ",AH40))),TRIM(UPPER(CONCATENATE(P40," ",R40," ",T40," ",V40," ",X40," ",Z40," ","X"," ",Table43[[#This Row],[ISI/CTN]]," ",AB40," ",AD40," ",AH40))))</f>
        <v>KNF ABSTRACT EYELASH U03 DAISY X 100 BOX</v>
      </c>
      <c r="O40" s="11">
        <f t="shared" si="2"/>
        <v>40</v>
      </c>
      <c r="P40" s="4" t="s">
        <v>97</v>
      </c>
      <c r="Q40" s="7" t="s">
        <v>98</v>
      </c>
      <c r="R40" s="4" t="s">
        <v>2529</v>
      </c>
      <c r="S40" s="44" t="s">
        <v>2473</v>
      </c>
      <c r="T40" s="45" t="s">
        <v>2961</v>
      </c>
      <c r="U40" s="7" t="s">
        <v>2900</v>
      </c>
      <c r="V40" s="45" t="s">
        <v>2961</v>
      </c>
      <c r="W40" s="44" t="s">
        <v>2900</v>
      </c>
      <c r="X40" s="4" t="s">
        <v>2547</v>
      </c>
      <c r="Y40" s="46" t="s">
        <v>3579</v>
      </c>
      <c r="Z40" s="4" t="s">
        <v>2961</v>
      </c>
      <c r="AA40" s="46" t="s">
        <v>2483</v>
      </c>
      <c r="AB40" s="4" t="s">
        <v>1023</v>
      </c>
      <c r="AC40" s="7" t="s">
        <v>2656</v>
      </c>
      <c r="AD40" s="4" t="s">
        <v>2961</v>
      </c>
      <c r="AE40" s="7" t="s">
        <v>2900</v>
      </c>
      <c r="AF40" s="7" t="s">
        <v>2961</v>
      </c>
      <c r="AG40" s="7" t="s">
        <v>2961</v>
      </c>
      <c r="AI40" s="7" t="s">
        <v>360</v>
      </c>
      <c r="AJ40" s="7" t="s">
        <v>3590</v>
      </c>
      <c r="AK40" s="41">
        <f>Table43[[#This Row],[Harga Jual Pcs GT
(-PPN)]]-(Table43[[#This Row],[Harga Jual Pcs GT
(-PPN)]]*10%)</f>
        <v>0</v>
      </c>
      <c r="AL40" s="42">
        <f>Table43[[#This Row],[Harga Beli Pcs
(-PPN)]]*Table43[[#This Row],[ISI/CTN]]</f>
        <v>0</v>
      </c>
      <c r="AM40" s="42">
        <f>Table43[[#This Row],[Harga Beli Pcs
(-PPN)]]*1.11</f>
        <v>0</v>
      </c>
      <c r="AN40" s="42">
        <f>Table43[[#This Row],[Harga Beli Krt
(- PPN)]]*1.11</f>
        <v>0</v>
      </c>
      <c r="AO40" s="42"/>
      <c r="AP40" s="42">
        <f>Table43[[#This Row],[Harga Jual Pcs GT
(-PPN)]]*Table43[[#This Row],[ISI/CTN]]</f>
        <v>0</v>
      </c>
      <c r="AQ40" s="42">
        <f>Table43[[#This Row],[Harga Jual Pcs GT
(-PPN)]]*1.11</f>
        <v>0</v>
      </c>
      <c r="AR40" s="42">
        <f>Table43[[#This Row],[Harga Jual Krt GT
(- PPN)]]*1.11</f>
        <v>0</v>
      </c>
      <c r="AS40" s="42">
        <f>Table43[[#This Row],[Harga Jual Pcs GT
(-PPN)]]</f>
        <v>0</v>
      </c>
      <c r="AT40" s="42">
        <f>(Table43[[#This Row],[Harga Jual Pcs MT
(-PPN)]]*Table43[[#This Row],[ISI/CTN]])</f>
        <v>0</v>
      </c>
      <c r="AU40" s="42">
        <f>Table43[[#This Row],[Harga Jual Pcs MT
(-PPN)]]*1.11</f>
        <v>0</v>
      </c>
      <c r="AV40" s="42">
        <f>Table43[[#This Row],[Harga Jual Pcs MT
(+PPN)]]*Table43[[#This Row],[ISI/CTN]]</f>
        <v>0</v>
      </c>
      <c r="AW40" s="47"/>
      <c r="AX40" s="7"/>
      <c r="AY40" s="7" t="str">
        <f ca="1">IF(TODAY()-Table43[[#This Row],[Efektif
Pembuatan]]&gt;60,"Lama","Baru")</f>
        <v>Lama</v>
      </c>
      <c r="AZ40" s="7" t="str">
        <f ca="1">IF(TODAY()-Table43[[#This Row],[Efektif Naik Harga]]&lt;30,"Naik","Sama")</f>
        <v>Sama</v>
      </c>
      <c r="BA40" s="7" t="str">
        <f>IF(Table43[[#This Row],[Kode BARANG Win2]]&lt;&gt;"","IDR","")</f>
        <v>IDR</v>
      </c>
      <c r="BB40" s="7" t="str">
        <f>CONCATENATE(Table43[[#This Row],[kode  1 Digit
(Nomor)]],Table43[[#This Row],[kode  4 Digit                (Nomor)]])</f>
        <v>30000</v>
      </c>
      <c r="BC40" s="7" t="str">
        <f>Table43[[#This Row],[Nama            Gramasi atau Jumlah Pack per CTN]]</f>
        <v/>
      </c>
      <c r="BD40" s="7"/>
      <c r="BE40" s="7"/>
      <c r="BF40" s="4" t="str">
        <f>IF(Table43[[#This Row],[SATUAN Fix Win]]&lt;&gt;"","KRT")</f>
        <v>KRT</v>
      </c>
      <c r="BG40" s="4" t="str">
        <f>IF(Table43[[#This Row],[SATUAN Fix Win]]&lt;&gt;"","GD01")</f>
        <v>GD01</v>
      </c>
      <c r="BH40" s="4">
        <f>IF(Table43[[#This Row],[SATUAN Fix Win]]&lt;&gt;"",11611)</f>
        <v>11611</v>
      </c>
      <c r="BI40" s="4">
        <f>IF(Table43[[#This Row],[SATUAN Fix Win]]&lt;&gt;"",11612)</f>
        <v>11612</v>
      </c>
      <c r="BJ40" s="48"/>
      <c r="BK40" s="4">
        <f>IF(Table43[[#This Row],[SATUAN Fix Win]]&lt;&gt;"",1)</f>
        <v>1</v>
      </c>
    </row>
    <row r="41" spans="1:63">
      <c r="A41" s="4" t="str">
        <f>CONCATENATE(Table43[[#This Row],[Kode BARANG Win2]],Table43[[#This Row],[No. Urut
Item Sama]])</f>
        <v>K10410010250101</v>
      </c>
      <c r="B41" s="7">
        <v>1</v>
      </c>
      <c r="D41" s="28" t="s">
        <v>831</v>
      </c>
      <c r="E41" s="28"/>
      <c r="F41" s="28" t="s">
        <v>2899</v>
      </c>
      <c r="G41" s="78">
        <v>24</v>
      </c>
      <c r="H41" s="43"/>
      <c r="I41" s="28" t="str">
        <f>Table43[[#This Row],[Nama Jenis Kemasan]]</f>
        <v>BTL</v>
      </c>
      <c r="J41" s="4" t="str">
        <f>TRIM(CONCATENATE(Table43[[#This Row],[Nama            KLP]]," ",Table43[[#This Row],[Nama            Sub KLP]]))</f>
        <v>B&amp;B HAIR BODY WASH</v>
      </c>
      <c r="K41" s="4" t="str">
        <f>CONCATENATE(Table43[[#This Row],[kode  2 Digit                (hrf+No)]],Table43[[#This Row],[kode  2 Digit                (Nomor)]],Table43[[#This Row],[kode  1 Digit                (Nomor)]])</f>
        <v>K1041</v>
      </c>
      <c r="L41" s="4" t="str">
        <f t="shared" si="0"/>
        <v>K1041001025010</v>
      </c>
      <c r="M41" s="11">
        <f t="shared" si="1"/>
        <v>14</v>
      </c>
      <c r="N41" s="14" t="str">
        <f>IF(AF41&lt;&gt;"",TRIM(UPPER(CONCATENATE(P41," ",R41," ",T41," ",V41," ",X41," ",Z41," ","X"," ",Table43[[#This Row],[ISI/CTN]]," ",AF41," ",AB41," ",AD41," ",AH41))),TRIM(UPPER(CONCATENATE(P41," ",R41," ",T41," ",V41," ",X41," ",Z41," ","X"," ",Table43[[#This Row],[ISI/CTN]]," ",AB41," ",AD41," ",AH41))))</f>
        <v>KNF B&amp;B HAIR BODY WASH RIKO 250ML X 24 BTL</v>
      </c>
      <c r="O41" s="11">
        <f t="shared" si="2"/>
        <v>42</v>
      </c>
      <c r="P41" s="4" t="s">
        <v>97</v>
      </c>
      <c r="Q41" s="7" t="s">
        <v>98</v>
      </c>
      <c r="R41" s="4" t="s">
        <v>2524</v>
      </c>
      <c r="S41" s="44" t="s">
        <v>2474</v>
      </c>
      <c r="T41" s="45" t="s">
        <v>2548</v>
      </c>
      <c r="U41" s="7" t="s">
        <v>2656</v>
      </c>
      <c r="V41" s="45" t="s">
        <v>2961</v>
      </c>
      <c r="W41" s="44" t="s">
        <v>2900</v>
      </c>
      <c r="X41" s="4" t="s">
        <v>2525</v>
      </c>
      <c r="Y41" s="46" t="s">
        <v>0</v>
      </c>
      <c r="Z41" s="4" t="s">
        <v>3580</v>
      </c>
      <c r="AA41" s="46" t="s">
        <v>2484</v>
      </c>
      <c r="AB41" s="4" t="s">
        <v>357</v>
      </c>
      <c r="AC41" s="7" t="s">
        <v>2656</v>
      </c>
      <c r="AD41" s="4" t="s">
        <v>2961</v>
      </c>
      <c r="AE41" s="7" t="s">
        <v>2900</v>
      </c>
      <c r="AF41" s="7" t="s">
        <v>2961</v>
      </c>
      <c r="AG41" s="7" t="s">
        <v>2961</v>
      </c>
      <c r="AI41" s="7" t="s">
        <v>4100</v>
      </c>
      <c r="AJ41" s="7" t="s">
        <v>2656</v>
      </c>
      <c r="AK41" s="41">
        <f>Table43[[#This Row],[Harga Jual Pcs GT
(-PPN)]]-(Table43[[#This Row],[Harga Jual Pcs GT
(-PPN)]]*10%)</f>
        <v>0</v>
      </c>
      <c r="AL41" s="42">
        <f>Table43[[#This Row],[Harga Beli Pcs
(-PPN)]]*Table43[[#This Row],[ISI/CTN]]</f>
        <v>0</v>
      </c>
      <c r="AM41" s="42">
        <f>Table43[[#This Row],[Harga Beli Pcs
(-PPN)]]*1.11</f>
        <v>0</v>
      </c>
      <c r="AN41" s="42">
        <f>Table43[[#This Row],[Harga Beli Krt
(- PPN)]]*1.11</f>
        <v>0</v>
      </c>
      <c r="AO41" s="42"/>
      <c r="AP41" s="42">
        <f>Table43[[#This Row],[Harga Jual Pcs GT
(-PPN)]]*Table43[[#This Row],[ISI/CTN]]</f>
        <v>0</v>
      </c>
      <c r="AQ41" s="42">
        <f>Table43[[#This Row],[Harga Jual Pcs GT
(-PPN)]]*1.11</f>
        <v>0</v>
      </c>
      <c r="AR41" s="42">
        <f>Table43[[#This Row],[Harga Jual Krt GT
(- PPN)]]*1.11</f>
        <v>0</v>
      </c>
      <c r="AS41" s="42">
        <f>Table43[[#This Row],[Harga Jual Pcs GT
(-PPN)]]</f>
        <v>0</v>
      </c>
      <c r="AT41" s="42">
        <f>(Table43[[#This Row],[Harga Jual Pcs MT
(-PPN)]]*Table43[[#This Row],[ISI/CTN]])</f>
        <v>0</v>
      </c>
      <c r="AU41" s="42">
        <f>Table43[[#This Row],[Harga Jual Pcs MT
(-PPN)]]*1.11</f>
        <v>0</v>
      </c>
      <c r="AV41" s="42">
        <f>Table43[[#This Row],[Harga Jual Pcs MT
(+PPN)]]*Table43[[#This Row],[ISI/CTN]]</f>
        <v>0</v>
      </c>
      <c r="AW41" s="47"/>
      <c r="AX41" s="7"/>
      <c r="AY41" s="7" t="str">
        <f ca="1">IF(TODAY()-Table43[[#This Row],[Efektif
Pembuatan]]&gt;60,"Lama","Baru")</f>
        <v>Lama</v>
      </c>
      <c r="AZ41" s="7" t="str">
        <f ca="1">IF(TODAY()-Table43[[#This Row],[Efektif Naik Harga]]&lt;30,"Naik","Sama")</f>
        <v>Sama</v>
      </c>
      <c r="BA41" s="7" t="str">
        <f>IF(Table43[[#This Row],[Kode BARANG Win2]]&lt;&gt;"","IDR","")</f>
        <v>IDR</v>
      </c>
      <c r="BB41" s="7" t="str">
        <f>CONCATENATE(Table43[[#This Row],[kode  1 Digit
(Nomor)]],Table43[[#This Row],[kode  4 Digit                (Nomor)]])</f>
        <v>10250</v>
      </c>
      <c r="BC41" s="7" t="str">
        <f>Table43[[#This Row],[Nama            Gramasi atau Jumlah Pack per CTN]]</f>
        <v>250ML</v>
      </c>
      <c r="BD41" s="7"/>
      <c r="BE41" s="7"/>
      <c r="BF41" s="4" t="str">
        <f>IF(Table43[[#This Row],[SATUAN Fix Win]]&lt;&gt;"","KRT")</f>
        <v>KRT</v>
      </c>
      <c r="BG41" s="4" t="str">
        <f>IF(Table43[[#This Row],[SATUAN Fix Win]]&lt;&gt;"","GD01")</f>
        <v>GD01</v>
      </c>
      <c r="BH41" s="4">
        <f>IF(Table43[[#This Row],[SATUAN Fix Win]]&lt;&gt;"",11611)</f>
        <v>11611</v>
      </c>
      <c r="BI41" s="4">
        <f>IF(Table43[[#This Row],[SATUAN Fix Win]]&lt;&gt;"",11612)</f>
        <v>11612</v>
      </c>
      <c r="BJ41" s="48"/>
      <c r="BK41" s="4">
        <f>IF(Table43[[#This Row],[SATUAN Fix Win]]&lt;&gt;"",1)</f>
        <v>1</v>
      </c>
    </row>
    <row r="42" spans="1:63">
      <c r="A42" s="4" t="str">
        <f>CONCATENATE(Table43[[#This Row],[Kode BARANG Win2]],Table43[[#This Row],[No. Urut
Item Sama]])</f>
        <v>K10410010280101</v>
      </c>
      <c r="B42" s="7">
        <v>1</v>
      </c>
      <c r="D42" s="28" t="s">
        <v>832</v>
      </c>
      <c r="E42" s="28"/>
      <c r="F42" s="28" t="s">
        <v>2902</v>
      </c>
      <c r="G42" s="78">
        <v>24</v>
      </c>
      <c r="H42" s="43"/>
      <c r="I42" s="28" t="str">
        <f>Table43[[#This Row],[Nama Jenis Kemasan]]</f>
        <v>BTL</v>
      </c>
      <c r="J42" s="4" t="str">
        <f>TRIM(CONCATENATE(Table43[[#This Row],[Nama            KLP]]," ",Table43[[#This Row],[Nama            Sub KLP]]))</f>
        <v>B&amp;B HAIR BODY WASH</v>
      </c>
      <c r="K42" s="4" t="str">
        <f>CONCATENATE(Table43[[#This Row],[kode  2 Digit                (hrf+No)]],Table43[[#This Row],[kode  2 Digit                (Nomor)]],Table43[[#This Row],[kode  1 Digit                (Nomor)]])</f>
        <v>K1041</v>
      </c>
      <c r="L42" s="4" t="str">
        <f t="shared" si="0"/>
        <v>K1041001028010</v>
      </c>
      <c r="M42" s="11">
        <f t="shared" si="1"/>
        <v>14</v>
      </c>
      <c r="N42" s="14" t="str">
        <f>IF(AF42&lt;&gt;"",TRIM(UPPER(CONCATENATE(P42," ",R42," ",T42," ",V42," ",X42," ",Z42," ","X"," ",Table43[[#This Row],[ISI/CTN]]," ",AF42," ",AB42," ",AD42," ",AH42))),TRIM(UPPER(CONCATENATE(P42," ",R42," ",T42," ",V42," ",X42," ",Z42," ","X"," ",Table43[[#This Row],[ISI/CTN]]," ",AB42," ",AD42," ",AH42))))</f>
        <v>KNF B&amp;B HAIR BODY WASH SMOOTH PINKIE 280ML X 24 BTL</v>
      </c>
      <c r="O42" s="11">
        <f t="shared" si="2"/>
        <v>51</v>
      </c>
      <c r="P42" s="4" t="s">
        <v>97</v>
      </c>
      <c r="Q42" s="7" t="s">
        <v>98</v>
      </c>
      <c r="R42" s="4" t="s">
        <v>2524</v>
      </c>
      <c r="S42" s="44" t="s">
        <v>2474</v>
      </c>
      <c r="T42" s="45" t="s">
        <v>2548</v>
      </c>
      <c r="U42" s="7" t="s">
        <v>2656</v>
      </c>
      <c r="V42" s="45" t="s">
        <v>2961</v>
      </c>
      <c r="W42" s="44" t="s">
        <v>2900</v>
      </c>
      <c r="X42" s="4" t="s">
        <v>2549</v>
      </c>
      <c r="Y42" s="46" t="s">
        <v>0</v>
      </c>
      <c r="Z42" s="4" t="s">
        <v>3581</v>
      </c>
      <c r="AA42" s="46" t="s">
        <v>2485</v>
      </c>
      <c r="AB42" s="4" t="s">
        <v>357</v>
      </c>
      <c r="AC42" s="7" t="s">
        <v>2656</v>
      </c>
      <c r="AD42" s="4" t="s">
        <v>2961</v>
      </c>
      <c r="AE42" s="7" t="s">
        <v>2900</v>
      </c>
      <c r="AF42" s="7" t="s">
        <v>2961</v>
      </c>
      <c r="AG42" s="7" t="s">
        <v>2961</v>
      </c>
      <c r="AI42" s="7" t="s">
        <v>4100</v>
      </c>
      <c r="AJ42" s="7" t="s">
        <v>2656</v>
      </c>
      <c r="AK42" s="41">
        <f>Table43[[#This Row],[Harga Jual Pcs GT
(-PPN)]]-(Table43[[#This Row],[Harga Jual Pcs GT
(-PPN)]]*10%)</f>
        <v>0</v>
      </c>
      <c r="AL42" s="42">
        <f>Table43[[#This Row],[Harga Beli Pcs
(-PPN)]]*Table43[[#This Row],[ISI/CTN]]</f>
        <v>0</v>
      </c>
      <c r="AM42" s="42">
        <f>Table43[[#This Row],[Harga Beli Pcs
(-PPN)]]*1.11</f>
        <v>0</v>
      </c>
      <c r="AN42" s="42">
        <f>Table43[[#This Row],[Harga Beli Krt
(- PPN)]]*1.11</f>
        <v>0</v>
      </c>
      <c r="AO42" s="42"/>
      <c r="AP42" s="42">
        <f>Table43[[#This Row],[Harga Jual Pcs GT
(-PPN)]]*Table43[[#This Row],[ISI/CTN]]</f>
        <v>0</v>
      </c>
      <c r="AQ42" s="42">
        <f>Table43[[#This Row],[Harga Jual Pcs GT
(-PPN)]]*1.11</f>
        <v>0</v>
      </c>
      <c r="AR42" s="42">
        <f>Table43[[#This Row],[Harga Jual Krt GT
(- PPN)]]*1.11</f>
        <v>0</v>
      </c>
      <c r="AS42" s="42">
        <f>Table43[[#This Row],[Harga Jual Pcs GT
(-PPN)]]</f>
        <v>0</v>
      </c>
      <c r="AT42" s="42">
        <f>(Table43[[#This Row],[Harga Jual Pcs MT
(-PPN)]]*Table43[[#This Row],[ISI/CTN]])</f>
        <v>0</v>
      </c>
      <c r="AU42" s="42">
        <f>Table43[[#This Row],[Harga Jual Pcs MT
(-PPN)]]*1.11</f>
        <v>0</v>
      </c>
      <c r="AV42" s="42">
        <f>Table43[[#This Row],[Harga Jual Pcs MT
(+PPN)]]*Table43[[#This Row],[ISI/CTN]]</f>
        <v>0</v>
      </c>
      <c r="AW42" s="47"/>
      <c r="AX42" s="7"/>
      <c r="AY42" s="7" t="str">
        <f ca="1">IF(TODAY()-Table43[[#This Row],[Efektif
Pembuatan]]&gt;60,"Lama","Baru")</f>
        <v>Lama</v>
      </c>
      <c r="AZ42" s="7" t="str">
        <f ca="1">IF(TODAY()-Table43[[#This Row],[Efektif Naik Harga]]&lt;30,"Naik","Sama")</f>
        <v>Sama</v>
      </c>
      <c r="BA42" s="7" t="str">
        <f>IF(Table43[[#This Row],[Kode BARANG Win2]]&lt;&gt;"","IDR","")</f>
        <v>IDR</v>
      </c>
      <c r="BB42" s="7" t="str">
        <f>CONCATENATE(Table43[[#This Row],[kode  1 Digit
(Nomor)]],Table43[[#This Row],[kode  4 Digit                (Nomor)]])</f>
        <v>10280</v>
      </c>
      <c r="BC42" s="7" t="str">
        <f>Table43[[#This Row],[Nama            Gramasi atau Jumlah Pack per CTN]]</f>
        <v>280ML</v>
      </c>
      <c r="BD42" s="7"/>
      <c r="BE42" s="7"/>
      <c r="BF42" s="4" t="str">
        <f>IF(Table43[[#This Row],[SATUAN Fix Win]]&lt;&gt;"","KRT")</f>
        <v>KRT</v>
      </c>
      <c r="BG42" s="4" t="str">
        <f>IF(Table43[[#This Row],[SATUAN Fix Win]]&lt;&gt;"","GD01")</f>
        <v>GD01</v>
      </c>
      <c r="BH42" s="4">
        <f>IF(Table43[[#This Row],[SATUAN Fix Win]]&lt;&gt;"",11611)</f>
        <v>11611</v>
      </c>
      <c r="BI42" s="4">
        <f>IF(Table43[[#This Row],[SATUAN Fix Win]]&lt;&gt;"",11612)</f>
        <v>11612</v>
      </c>
      <c r="BJ42" s="48"/>
      <c r="BK42" s="4">
        <f>IF(Table43[[#This Row],[SATUAN Fix Win]]&lt;&gt;"",1)</f>
        <v>1</v>
      </c>
    </row>
    <row r="43" spans="1:63">
      <c r="A43" s="4" t="str">
        <f>CONCATENATE(Table43[[#This Row],[Kode BARANG Win2]],Table43[[#This Row],[No. Urut
Item Sama]])</f>
        <v>K10410020200201</v>
      </c>
      <c r="B43" s="7">
        <v>1</v>
      </c>
      <c r="D43" s="28" t="s">
        <v>833</v>
      </c>
      <c r="E43" s="28"/>
      <c r="F43" s="28" t="s">
        <v>3390</v>
      </c>
      <c r="G43" s="78">
        <v>24</v>
      </c>
      <c r="H43" s="43"/>
      <c r="I43" s="28" t="str">
        <f>Table43[[#This Row],[Nama Jenis Kemasan]]</f>
        <v>PCH</v>
      </c>
      <c r="J43" s="4" t="str">
        <f>TRIM(CONCATENATE(Table43[[#This Row],[Nama            KLP]]," ",Table43[[#This Row],[Nama            Sub KLP]]))</f>
        <v>B&amp;B HAIR BODY WASH</v>
      </c>
      <c r="K43" s="4" t="str">
        <f>CONCATENATE(Table43[[#This Row],[kode  2 Digit                (hrf+No)]],Table43[[#This Row],[kode  2 Digit                (Nomor)]],Table43[[#This Row],[kode  1 Digit                (Nomor)]])</f>
        <v>K1041</v>
      </c>
      <c r="L43" s="4" t="str">
        <f t="shared" si="0"/>
        <v>K1041002020020</v>
      </c>
      <c r="M43" s="11">
        <f t="shared" si="1"/>
        <v>14</v>
      </c>
      <c r="N43" s="14" t="str">
        <f>IF(AF43&lt;&gt;"",TRIM(UPPER(CONCATENATE(P43," ",R43," ",T43," ",V43," ",X43," ",Z43," ","X"," ",Table43[[#This Row],[ISI/CTN]]," ",AF43," ",AB43," ",AD43," ",AH43))),TRIM(UPPER(CONCATENATE(P43," ",R43," ",T43," ",V43," ",X43," ",Z43," ","X"," ",Table43[[#This Row],[ISI/CTN]]," ",AB43," ",AD43," ",AH43))))</f>
        <v>KNF B&amp;B HAIR BODY WASH RIKO 200ML X 24 PCH</v>
      </c>
      <c r="O43" s="11">
        <f t="shared" si="2"/>
        <v>42</v>
      </c>
      <c r="P43" s="4" t="s">
        <v>97</v>
      </c>
      <c r="Q43" s="7" t="s">
        <v>98</v>
      </c>
      <c r="R43" s="4" t="s">
        <v>2524</v>
      </c>
      <c r="S43" s="44" t="s">
        <v>2474</v>
      </c>
      <c r="T43" s="45" t="s">
        <v>2548</v>
      </c>
      <c r="U43" s="7" t="s">
        <v>2656</v>
      </c>
      <c r="V43" s="45" t="s">
        <v>2961</v>
      </c>
      <c r="W43" s="44" t="s">
        <v>2900</v>
      </c>
      <c r="X43" s="4" t="s">
        <v>2525</v>
      </c>
      <c r="Y43" s="46" t="s">
        <v>2472</v>
      </c>
      <c r="Z43" s="4" t="s">
        <v>3582</v>
      </c>
      <c r="AA43" s="46" t="s">
        <v>2486</v>
      </c>
      <c r="AB43" s="4" t="s">
        <v>356</v>
      </c>
      <c r="AC43" s="7" t="s">
        <v>3562</v>
      </c>
      <c r="AD43" s="4" t="s">
        <v>2961</v>
      </c>
      <c r="AE43" s="7" t="s">
        <v>2900</v>
      </c>
      <c r="AF43" s="7" t="s">
        <v>2961</v>
      </c>
      <c r="AG43" s="7" t="s">
        <v>2961</v>
      </c>
      <c r="AI43" s="7" t="s">
        <v>4100</v>
      </c>
      <c r="AJ43" s="7" t="s">
        <v>2656</v>
      </c>
      <c r="AK43" s="41">
        <f>Table43[[#This Row],[Harga Jual Pcs GT
(-PPN)]]-(Table43[[#This Row],[Harga Jual Pcs GT
(-PPN)]]*10%)</f>
        <v>0</v>
      </c>
      <c r="AL43" s="42">
        <f>Table43[[#This Row],[Harga Beli Pcs
(-PPN)]]*Table43[[#This Row],[ISI/CTN]]</f>
        <v>0</v>
      </c>
      <c r="AM43" s="42">
        <f>Table43[[#This Row],[Harga Beli Pcs
(-PPN)]]*1.11</f>
        <v>0</v>
      </c>
      <c r="AN43" s="42">
        <f>Table43[[#This Row],[Harga Beli Krt
(- PPN)]]*1.11</f>
        <v>0</v>
      </c>
      <c r="AO43" s="42"/>
      <c r="AP43" s="42">
        <f>Table43[[#This Row],[Harga Jual Pcs GT
(-PPN)]]*Table43[[#This Row],[ISI/CTN]]</f>
        <v>0</v>
      </c>
      <c r="AQ43" s="42">
        <f>Table43[[#This Row],[Harga Jual Pcs GT
(-PPN)]]*1.11</f>
        <v>0</v>
      </c>
      <c r="AR43" s="42">
        <f>Table43[[#This Row],[Harga Jual Krt GT
(- PPN)]]*1.11</f>
        <v>0</v>
      </c>
      <c r="AS43" s="42">
        <f>Table43[[#This Row],[Harga Jual Pcs GT
(-PPN)]]</f>
        <v>0</v>
      </c>
      <c r="AT43" s="42">
        <f>(Table43[[#This Row],[Harga Jual Pcs MT
(-PPN)]]*Table43[[#This Row],[ISI/CTN]])</f>
        <v>0</v>
      </c>
      <c r="AU43" s="42">
        <f>Table43[[#This Row],[Harga Jual Pcs MT
(-PPN)]]*1.11</f>
        <v>0</v>
      </c>
      <c r="AV43" s="42">
        <f>Table43[[#This Row],[Harga Jual Pcs MT
(+PPN)]]*Table43[[#This Row],[ISI/CTN]]</f>
        <v>0</v>
      </c>
      <c r="AW43" s="47"/>
      <c r="AX43" s="7"/>
      <c r="AY43" s="7" t="str">
        <f ca="1">IF(TODAY()-Table43[[#This Row],[Efektif
Pembuatan]]&gt;60,"Lama","Baru")</f>
        <v>Lama</v>
      </c>
      <c r="AZ43" s="7" t="str">
        <f ca="1">IF(TODAY()-Table43[[#This Row],[Efektif Naik Harga]]&lt;30,"Naik","Sama")</f>
        <v>Sama</v>
      </c>
      <c r="BA43" s="7" t="str">
        <f>IF(Table43[[#This Row],[Kode BARANG Win2]]&lt;&gt;"","IDR","")</f>
        <v>IDR</v>
      </c>
      <c r="BB43" s="7" t="str">
        <f>CONCATENATE(Table43[[#This Row],[kode  1 Digit
(Nomor)]],Table43[[#This Row],[kode  4 Digit                (Nomor)]])</f>
        <v>10200</v>
      </c>
      <c r="BC43" s="7" t="str">
        <f>Table43[[#This Row],[Nama            Gramasi atau Jumlah Pack per CTN]]</f>
        <v>200ML</v>
      </c>
      <c r="BD43" s="7"/>
      <c r="BE43" s="7"/>
      <c r="BF43" s="4" t="str">
        <f>IF(Table43[[#This Row],[SATUAN Fix Win]]&lt;&gt;"","KRT")</f>
        <v>KRT</v>
      </c>
      <c r="BG43" s="4" t="str">
        <f>IF(Table43[[#This Row],[SATUAN Fix Win]]&lt;&gt;"","GD01")</f>
        <v>GD01</v>
      </c>
      <c r="BH43" s="4">
        <f>IF(Table43[[#This Row],[SATUAN Fix Win]]&lt;&gt;"",11611)</f>
        <v>11611</v>
      </c>
      <c r="BI43" s="4">
        <f>IF(Table43[[#This Row],[SATUAN Fix Win]]&lt;&gt;"",11612)</f>
        <v>11612</v>
      </c>
      <c r="BJ43" s="48"/>
      <c r="BK43" s="4">
        <f>IF(Table43[[#This Row],[SATUAN Fix Win]]&lt;&gt;"",1)</f>
        <v>1</v>
      </c>
    </row>
    <row r="44" spans="1:63">
      <c r="A44" s="4" t="str">
        <f>CONCATENATE(Table43[[#This Row],[Kode BARANG Win2]],Table43[[#This Row],[No. Urut
Item Sama]])</f>
        <v>K10410020280101</v>
      </c>
      <c r="B44" s="7">
        <v>1</v>
      </c>
      <c r="D44" s="28" t="s">
        <v>834</v>
      </c>
      <c r="E44" s="28"/>
      <c r="F44" s="28" t="s">
        <v>2903</v>
      </c>
      <c r="G44" s="78">
        <v>24</v>
      </c>
      <c r="H44" s="43"/>
      <c r="I44" s="28" t="str">
        <f>Table43[[#This Row],[Nama Jenis Kemasan]]</f>
        <v>BTL</v>
      </c>
      <c r="J44" s="4" t="str">
        <f>TRIM(CONCATENATE(Table43[[#This Row],[Nama            KLP]]," ",Table43[[#This Row],[Nama            Sub KLP]]))</f>
        <v>B&amp;B HAIR BODY WASH</v>
      </c>
      <c r="K44" s="4" t="str">
        <f>CONCATENATE(Table43[[#This Row],[kode  2 Digit                (hrf+No)]],Table43[[#This Row],[kode  2 Digit                (Nomor)]],Table43[[#This Row],[kode  1 Digit                (Nomor)]])</f>
        <v>K1041</v>
      </c>
      <c r="L44" s="4" t="str">
        <f t="shared" si="0"/>
        <v>K1041002028010</v>
      </c>
      <c r="M44" s="11">
        <f t="shared" si="1"/>
        <v>14</v>
      </c>
      <c r="N44" s="14" t="str">
        <f>IF(AF44&lt;&gt;"",TRIM(UPPER(CONCATENATE(P44," ",R44," ",T44," ",V44," ",X44," ",Z44," ","X"," ",Table43[[#This Row],[ISI/CTN]]," ",AF44," ",AB44," ",AD44," ",AH44))),TRIM(UPPER(CONCATENATE(P44," ",R44," ",T44," ",V44," ",X44," ",Z44," ","X"," ",Table43[[#This Row],[ISI/CTN]]," ",AB44," ",AD44," ",AH44))))</f>
        <v>KNF B&amp;B HAIR BODY WASH CLEAN RAINBOW 280ML X 24 BTL</v>
      </c>
      <c r="O44" s="11">
        <f t="shared" si="2"/>
        <v>51</v>
      </c>
      <c r="P44" s="4" t="s">
        <v>97</v>
      </c>
      <c r="Q44" s="7" t="s">
        <v>98</v>
      </c>
      <c r="R44" s="4" t="s">
        <v>2524</v>
      </c>
      <c r="S44" s="44" t="s">
        <v>2474</v>
      </c>
      <c r="T44" s="45" t="s">
        <v>2548</v>
      </c>
      <c r="U44" s="7" t="s">
        <v>2656</v>
      </c>
      <c r="V44" s="45" t="s">
        <v>2961</v>
      </c>
      <c r="W44" s="44" t="s">
        <v>2900</v>
      </c>
      <c r="X44" s="4" t="s">
        <v>2550</v>
      </c>
      <c r="Y44" s="46" t="s">
        <v>2472</v>
      </c>
      <c r="Z44" s="4" t="s">
        <v>3581</v>
      </c>
      <c r="AA44" s="46" t="s">
        <v>2485</v>
      </c>
      <c r="AB44" s="4" t="s">
        <v>357</v>
      </c>
      <c r="AC44" s="7" t="s">
        <v>2656</v>
      </c>
      <c r="AD44" s="4" t="s">
        <v>2961</v>
      </c>
      <c r="AE44" s="7" t="s">
        <v>2900</v>
      </c>
      <c r="AF44" s="7" t="s">
        <v>2961</v>
      </c>
      <c r="AG44" s="7" t="s">
        <v>2961</v>
      </c>
      <c r="AI44" s="7" t="s">
        <v>4100</v>
      </c>
      <c r="AJ44" s="7" t="s">
        <v>2656</v>
      </c>
      <c r="AK44" s="41">
        <f>Table43[[#This Row],[Harga Jual Pcs GT
(-PPN)]]-(Table43[[#This Row],[Harga Jual Pcs GT
(-PPN)]]*10%)</f>
        <v>0</v>
      </c>
      <c r="AL44" s="42">
        <f>Table43[[#This Row],[Harga Beli Pcs
(-PPN)]]*Table43[[#This Row],[ISI/CTN]]</f>
        <v>0</v>
      </c>
      <c r="AM44" s="42">
        <f>Table43[[#This Row],[Harga Beli Pcs
(-PPN)]]*1.11</f>
        <v>0</v>
      </c>
      <c r="AN44" s="42">
        <f>Table43[[#This Row],[Harga Beli Krt
(- PPN)]]*1.11</f>
        <v>0</v>
      </c>
      <c r="AO44" s="42"/>
      <c r="AP44" s="42">
        <f>Table43[[#This Row],[Harga Jual Pcs GT
(-PPN)]]*Table43[[#This Row],[ISI/CTN]]</f>
        <v>0</v>
      </c>
      <c r="AQ44" s="42">
        <f>Table43[[#This Row],[Harga Jual Pcs GT
(-PPN)]]*1.11</f>
        <v>0</v>
      </c>
      <c r="AR44" s="42">
        <f>Table43[[#This Row],[Harga Jual Krt GT
(- PPN)]]*1.11</f>
        <v>0</v>
      </c>
      <c r="AS44" s="42">
        <f>Table43[[#This Row],[Harga Jual Pcs GT
(-PPN)]]</f>
        <v>0</v>
      </c>
      <c r="AT44" s="42">
        <f>(Table43[[#This Row],[Harga Jual Pcs MT
(-PPN)]]*Table43[[#This Row],[ISI/CTN]])</f>
        <v>0</v>
      </c>
      <c r="AU44" s="42">
        <f>Table43[[#This Row],[Harga Jual Pcs MT
(-PPN)]]*1.11</f>
        <v>0</v>
      </c>
      <c r="AV44" s="42">
        <f>Table43[[#This Row],[Harga Jual Pcs MT
(+PPN)]]*Table43[[#This Row],[ISI/CTN]]</f>
        <v>0</v>
      </c>
      <c r="AW44" s="47"/>
      <c r="AX44" s="7"/>
      <c r="AY44" s="7" t="str">
        <f ca="1">IF(TODAY()-Table43[[#This Row],[Efektif
Pembuatan]]&gt;60,"Lama","Baru")</f>
        <v>Lama</v>
      </c>
      <c r="AZ44" s="7" t="str">
        <f ca="1">IF(TODAY()-Table43[[#This Row],[Efektif Naik Harga]]&lt;30,"Naik","Sama")</f>
        <v>Sama</v>
      </c>
      <c r="BA44" s="7" t="str">
        <f>IF(Table43[[#This Row],[Kode BARANG Win2]]&lt;&gt;"","IDR","")</f>
        <v>IDR</v>
      </c>
      <c r="BB44" s="7" t="str">
        <f>CONCATENATE(Table43[[#This Row],[kode  1 Digit
(Nomor)]],Table43[[#This Row],[kode  4 Digit                (Nomor)]])</f>
        <v>10280</v>
      </c>
      <c r="BC44" s="7" t="str">
        <f>Table43[[#This Row],[Nama            Gramasi atau Jumlah Pack per CTN]]</f>
        <v>280ML</v>
      </c>
      <c r="BD44" s="7"/>
      <c r="BE44" s="7"/>
      <c r="BF44" s="4" t="str">
        <f>IF(Table43[[#This Row],[SATUAN Fix Win]]&lt;&gt;"","KRT")</f>
        <v>KRT</v>
      </c>
      <c r="BG44" s="4" t="str">
        <f>IF(Table43[[#This Row],[SATUAN Fix Win]]&lt;&gt;"","GD01")</f>
        <v>GD01</v>
      </c>
      <c r="BH44" s="4">
        <f>IF(Table43[[#This Row],[SATUAN Fix Win]]&lt;&gt;"",11611)</f>
        <v>11611</v>
      </c>
      <c r="BI44" s="4">
        <f>IF(Table43[[#This Row],[SATUAN Fix Win]]&lt;&gt;"",11612)</f>
        <v>11612</v>
      </c>
      <c r="BJ44" s="48"/>
      <c r="BK44" s="4">
        <f>IF(Table43[[#This Row],[SATUAN Fix Win]]&lt;&gt;"",1)</f>
        <v>1</v>
      </c>
    </row>
    <row r="45" spans="1:63">
      <c r="A45" s="4" t="str">
        <f>CONCATENATE(Table43[[#This Row],[Kode BARANG Win2]],Table43[[#This Row],[No. Urut
Item Sama]])</f>
        <v>K10411010300101</v>
      </c>
      <c r="B45" s="7">
        <v>1</v>
      </c>
      <c r="D45" s="28" t="s">
        <v>4042</v>
      </c>
      <c r="E45" s="28"/>
      <c r="F45" s="28">
        <v>0</v>
      </c>
      <c r="G45" s="78">
        <v>24</v>
      </c>
      <c r="H45" s="43"/>
      <c r="I45" s="28" t="str">
        <f>Table43[[#This Row],[Nama Jenis Kemasan]]</f>
        <v>BTL</v>
      </c>
      <c r="J45" s="4" t="str">
        <f>TRIM(CONCATENATE(Table43[[#This Row],[Nama            KLP]]," ",Table43[[#This Row],[Nama            Sub KLP]]))</f>
        <v>B&amp;B HAIR BODY WASH</v>
      </c>
      <c r="K45" s="4" t="str">
        <f>CONCATENATE(Table43[[#This Row],[kode  2 Digit                (hrf+No)]],Table43[[#This Row],[kode  2 Digit                (Nomor)]],Table43[[#This Row],[kode  1 Digit                (Nomor)]])</f>
        <v>K1041</v>
      </c>
      <c r="L45" s="4" t="str">
        <f t="shared" si="0"/>
        <v>K1041101030010</v>
      </c>
      <c r="M45" s="11">
        <f t="shared" si="1"/>
        <v>14</v>
      </c>
      <c r="N45" s="14" t="str">
        <f>IF(AF45&lt;&gt;"",TRIM(UPPER(CONCATENATE(P45," ",R45," ",T45," ",V45," ",X45," ",Z45," ","X"," ",Table43[[#This Row],[ISI/CTN]]," ",AF45," ",AB45," ",AD45," ",AH45))),TRIM(UPPER(CONCATENATE(P45," ",R45," ",T45," ",V45," ",X45," ",Z45," ","X"," ",Table43[[#This Row],[ISI/CTN]]," ",AB45," ",AD45," ",AH45))))</f>
        <v>KNF B&amp;B HAIR BODY WASH ALL IN CUDDLE 300ML X 24 BTL</v>
      </c>
      <c r="O45" s="11">
        <f t="shared" si="2"/>
        <v>51</v>
      </c>
      <c r="P45" s="4" t="s">
        <v>97</v>
      </c>
      <c r="Q45" s="7" t="s">
        <v>98</v>
      </c>
      <c r="R45" s="4" t="s">
        <v>2524</v>
      </c>
      <c r="S45" s="44" t="s">
        <v>2474</v>
      </c>
      <c r="T45" s="45" t="s">
        <v>2548</v>
      </c>
      <c r="U45" s="7" t="s">
        <v>2656</v>
      </c>
      <c r="V45" s="45" t="s">
        <v>3583</v>
      </c>
      <c r="W45" s="44" t="s">
        <v>2656</v>
      </c>
      <c r="X45" s="4" t="s">
        <v>3584</v>
      </c>
      <c r="Y45" s="46" t="s">
        <v>0</v>
      </c>
      <c r="Z45" s="4" t="s">
        <v>3558</v>
      </c>
      <c r="AA45" s="46" t="s">
        <v>2515</v>
      </c>
      <c r="AB45" s="4" t="s">
        <v>357</v>
      </c>
      <c r="AC45" s="7" t="s">
        <v>2656</v>
      </c>
      <c r="AD45" s="4" t="s">
        <v>2961</v>
      </c>
      <c r="AE45" s="7" t="s">
        <v>2900</v>
      </c>
      <c r="AF45" s="7" t="s">
        <v>2961</v>
      </c>
      <c r="AG45" s="7" t="s">
        <v>2961</v>
      </c>
      <c r="AI45" s="7" t="s">
        <v>4100</v>
      </c>
      <c r="AJ45" s="7" t="s">
        <v>2656</v>
      </c>
      <c r="AK45" s="41">
        <f>Table43[[#This Row],[Harga Jual Pcs GT
(-PPN)]]-(Table43[[#This Row],[Harga Jual Pcs GT
(-PPN)]]*10%)</f>
        <v>0</v>
      </c>
      <c r="AL45" s="42">
        <f>Table43[[#This Row],[Harga Beli Pcs
(-PPN)]]*Table43[[#This Row],[ISI/CTN]]</f>
        <v>0</v>
      </c>
      <c r="AM45" s="42">
        <f>Table43[[#This Row],[Harga Beli Pcs
(-PPN)]]*1.11</f>
        <v>0</v>
      </c>
      <c r="AN45" s="42">
        <f>Table43[[#This Row],[Harga Beli Krt
(- PPN)]]*1.11</f>
        <v>0</v>
      </c>
      <c r="AO45" s="42"/>
      <c r="AP45" s="42">
        <f>Table43[[#This Row],[Harga Jual Pcs GT
(-PPN)]]*Table43[[#This Row],[ISI/CTN]]</f>
        <v>0</v>
      </c>
      <c r="AQ45" s="42">
        <f>Table43[[#This Row],[Harga Jual Pcs GT
(-PPN)]]*1.11</f>
        <v>0</v>
      </c>
      <c r="AR45" s="42">
        <f>Table43[[#This Row],[Harga Jual Krt GT
(- PPN)]]*1.11</f>
        <v>0</v>
      </c>
      <c r="AS45" s="42">
        <f>Table43[[#This Row],[Harga Jual Pcs GT
(-PPN)]]</f>
        <v>0</v>
      </c>
      <c r="AT45" s="42">
        <f>(Table43[[#This Row],[Harga Jual Pcs MT
(-PPN)]]*Table43[[#This Row],[ISI/CTN]])</f>
        <v>0</v>
      </c>
      <c r="AU45" s="42">
        <f>Table43[[#This Row],[Harga Jual Pcs MT
(-PPN)]]*1.11</f>
        <v>0</v>
      </c>
      <c r="AV45" s="42">
        <f>Table43[[#This Row],[Harga Jual Pcs MT
(+PPN)]]*Table43[[#This Row],[ISI/CTN]]</f>
        <v>0</v>
      </c>
      <c r="AW45" s="47"/>
      <c r="AX45" s="7"/>
      <c r="AY45" s="7" t="str">
        <f ca="1">IF(TODAY()-Table43[[#This Row],[Efektif
Pembuatan]]&gt;60,"Lama","Baru")</f>
        <v>Lama</v>
      </c>
      <c r="AZ45" s="7" t="str">
        <f ca="1">IF(TODAY()-Table43[[#This Row],[Efektif Naik Harga]]&lt;30,"Naik","Sama")</f>
        <v>Sama</v>
      </c>
      <c r="BA45" s="7" t="str">
        <f>IF(Table43[[#This Row],[Kode BARANG Win2]]&lt;&gt;"","IDR","")</f>
        <v>IDR</v>
      </c>
      <c r="BB45" s="7" t="str">
        <f>CONCATENATE(Table43[[#This Row],[kode  1 Digit
(Nomor)]],Table43[[#This Row],[kode  4 Digit                (Nomor)]])</f>
        <v>10300</v>
      </c>
      <c r="BC45" s="7" t="str">
        <f>Table43[[#This Row],[Nama            Gramasi atau Jumlah Pack per CTN]]</f>
        <v>300ML</v>
      </c>
      <c r="BD45" s="7"/>
      <c r="BE45" s="7"/>
      <c r="BF45" s="4" t="str">
        <f>IF(Table43[[#This Row],[SATUAN Fix Win]]&lt;&gt;"","KRT")</f>
        <v>KRT</v>
      </c>
      <c r="BG45" s="4" t="str">
        <f>IF(Table43[[#This Row],[SATUAN Fix Win]]&lt;&gt;"","GD01")</f>
        <v>GD01</v>
      </c>
      <c r="BH45" s="4">
        <f>IF(Table43[[#This Row],[SATUAN Fix Win]]&lt;&gt;"",11611)</f>
        <v>11611</v>
      </c>
      <c r="BI45" s="4">
        <f>IF(Table43[[#This Row],[SATUAN Fix Win]]&lt;&gt;"",11612)</f>
        <v>11612</v>
      </c>
      <c r="BJ45" s="48"/>
      <c r="BK45" s="4">
        <f>IF(Table43[[#This Row],[SATUAN Fix Win]]&lt;&gt;"",1)</f>
        <v>1</v>
      </c>
    </row>
    <row r="46" spans="1:63">
      <c r="A46" s="4" t="str">
        <f>CONCATENATE(Table43[[#This Row],[Kode BARANG Win2]],Table43[[#This Row],[No. Urut
Item Sama]])</f>
        <v>K10411020300101</v>
      </c>
      <c r="B46" s="7">
        <v>1</v>
      </c>
      <c r="D46" s="28" t="s">
        <v>4043</v>
      </c>
      <c r="E46" s="28"/>
      <c r="F46" s="28">
        <v>0</v>
      </c>
      <c r="G46" s="78">
        <v>24</v>
      </c>
      <c r="H46" s="43"/>
      <c r="I46" s="28" t="str">
        <f>Table43[[#This Row],[Nama Jenis Kemasan]]</f>
        <v>BTL</v>
      </c>
      <c r="J46" s="4" t="str">
        <f>TRIM(CONCATENATE(Table43[[#This Row],[Nama            KLP]]," ",Table43[[#This Row],[Nama            Sub KLP]]))</f>
        <v>B&amp;B HAIR BODY WASH</v>
      </c>
      <c r="K46" s="4" t="str">
        <f>CONCATENATE(Table43[[#This Row],[kode  2 Digit                (hrf+No)]],Table43[[#This Row],[kode  2 Digit                (Nomor)]],Table43[[#This Row],[kode  1 Digit                (Nomor)]])</f>
        <v>K1041</v>
      </c>
      <c r="L46" s="4" t="str">
        <f t="shared" si="0"/>
        <v>K1041102030010</v>
      </c>
      <c r="M46" s="11">
        <f t="shared" si="1"/>
        <v>14</v>
      </c>
      <c r="N46" s="14" t="str">
        <f>IF(AF46&lt;&gt;"",TRIM(UPPER(CONCATENATE(P46," ",R46," ",T46," ",V46," ",X46," ",Z46," ","X"," ",Table43[[#This Row],[ISI/CTN]]," ",AF46," ",AB46," ",AD46," ",AH46))),TRIM(UPPER(CONCATENATE(P46," ",R46," ",T46," ",V46," ",X46," ",Z46," ","X"," ",Table43[[#This Row],[ISI/CTN]]," ",AB46," ",AD46," ",AH46))))</f>
        <v>KNF B&amp;B HAIR BODY WASH ALL IN WONDER 300ML X 24 BTL</v>
      </c>
      <c r="O46" s="11">
        <f t="shared" si="2"/>
        <v>51</v>
      </c>
      <c r="P46" s="4" t="s">
        <v>97</v>
      </c>
      <c r="Q46" s="7" t="s">
        <v>98</v>
      </c>
      <c r="R46" s="4" t="s">
        <v>2524</v>
      </c>
      <c r="S46" s="44" t="s">
        <v>2474</v>
      </c>
      <c r="T46" s="45" t="s">
        <v>2548</v>
      </c>
      <c r="U46" s="7" t="s">
        <v>2656</v>
      </c>
      <c r="V46" s="45" t="s">
        <v>3583</v>
      </c>
      <c r="W46" s="44" t="s">
        <v>2656</v>
      </c>
      <c r="X46" s="4" t="s">
        <v>3585</v>
      </c>
      <c r="Y46" s="46" t="s">
        <v>2472</v>
      </c>
      <c r="Z46" s="4" t="s">
        <v>3558</v>
      </c>
      <c r="AA46" s="46" t="s">
        <v>2515</v>
      </c>
      <c r="AB46" s="4" t="s">
        <v>357</v>
      </c>
      <c r="AC46" s="7" t="s">
        <v>2656</v>
      </c>
      <c r="AD46" s="4" t="s">
        <v>2961</v>
      </c>
      <c r="AE46" s="7" t="s">
        <v>2900</v>
      </c>
      <c r="AF46" s="7" t="s">
        <v>2961</v>
      </c>
      <c r="AG46" s="7" t="s">
        <v>2961</v>
      </c>
      <c r="AI46" s="7" t="s">
        <v>4100</v>
      </c>
      <c r="AJ46" s="7" t="s">
        <v>2656</v>
      </c>
      <c r="AK46" s="41">
        <f>Table43[[#This Row],[Harga Jual Pcs GT
(-PPN)]]-(Table43[[#This Row],[Harga Jual Pcs GT
(-PPN)]]*10%)</f>
        <v>0</v>
      </c>
      <c r="AL46" s="42">
        <f>Table43[[#This Row],[Harga Beli Pcs
(-PPN)]]*Table43[[#This Row],[ISI/CTN]]</f>
        <v>0</v>
      </c>
      <c r="AM46" s="42">
        <f>Table43[[#This Row],[Harga Beli Pcs
(-PPN)]]*1.11</f>
        <v>0</v>
      </c>
      <c r="AN46" s="42">
        <f>Table43[[#This Row],[Harga Beli Krt
(- PPN)]]*1.11</f>
        <v>0</v>
      </c>
      <c r="AO46" s="42"/>
      <c r="AP46" s="42">
        <f>Table43[[#This Row],[Harga Jual Pcs GT
(-PPN)]]*Table43[[#This Row],[ISI/CTN]]</f>
        <v>0</v>
      </c>
      <c r="AQ46" s="42">
        <f>Table43[[#This Row],[Harga Jual Pcs GT
(-PPN)]]*1.11</f>
        <v>0</v>
      </c>
      <c r="AR46" s="42">
        <f>Table43[[#This Row],[Harga Jual Krt GT
(- PPN)]]*1.11</f>
        <v>0</v>
      </c>
      <c r="AS46" s="42">
        <f>Table43[[#This Row],[Harga Jual Pcs GT
(-PPN)]]</f>
        <v>0</v>
      </c>
      <c r="AT46" s="42">
        <f>(Table43[[#This Row],[Harga Jual Pcs MT
(-PPN)]]*Table43[[#This Row],[ISI/CTN]])</f>
        <v>0</v>
      </c>
      <c r="AU46" s="42">
        <f>Table43[[#This Row],[Harga Jual Pcs MT
(-PPN)]]*1.11</f>
        <v>0</v>
      </c>
      <c r="AV46" s="42">
        <f>Table43[[#This Row],[Harga Jual Pcs MT
(+PPN)]]*Table43[[#This Row],[ISI/CTN]]</f>
        <v>0</v>
      </c>
      <c r="AW46" s="47"/>
      <c r="AX46" s="7"/>
      <c r="AY46" s="7" t="str">
        <f ca="1">IF(TODAY()-Table43[[#This Row],[Efektif
Pembuatan]]&gt;60,"Lama","Baru")</f>
        <v>Lama</v>
      </c>
      <c r="AZ46" s="7" t="str">
        <f ca="1">IF(TODAY()-Table43[[#This Row],[Efektif Naik Harga]]&lt;30,"Naik","Sama")</f>
        <v>Sama</v>
      </c>
      <c r="BA46" s="7" t="str">
        <f>IF(Table43[[#This Row],[Kode BARANG Win2]]&lt;&gt;"","IDR","")</f>
        <v>IDR</v>
      </c>
      <c r="BB46" s="7" t="str">
        <f>CONCATENATE(Table43[[#This Row],[kode  1 Digit
(Nomor)]],Table43[[#This Row],[kode  4 Digit                (Nomor)]])</f>
        <v>10300</v>
      </c>
      <c r="BC46" s="7" t="str">
        <f>Table43[[#This Row],[Nama            Gramasi atau Jumlah Pack per CTN]]</f>
        <v>300ML</v>
      </c>
      <c r="BD46" s="7"/>
      <c r="BE46" s="7"/>
      <c r="BF46" s="4" t="str">
        <f>IF(Table43[[#This Row],[SATUAN Fix Win]]&lt;&gt;"","KRT")</f>
        <v>KRT</v>
      </c>
      <c r="BG46" s="4" t="str">
        <f>IF(Table43[[#This Row],[SATUAN Fix Win]]&lt;&gt;"","GD01")</f>
        <v>GD01</v>
      </c>
      <c r="BH46" s="4">
        <f>IF(Table43[[#This Row],[SATUAN Fix Win]]&lt;&gt;"",11611)</f>
        <v>11611</v>
      </c>
      <c r="BI46" s="4">
        <f>IF(Table43[[#This Row],[SATUAN Fix Win]]&lt;&gt;"",11612)</f>
        <v>11612</v>
      </c>
      <c r="BJ46" s="48"/>
      <c r="BK46" s="4">
        <f>IF(Table43[[#This Row],[SATUAN Fix Win]]&lt;&gt;"",1)</f>
        <v>1</v>
      </c>
    </row>
    <row r="47" spans="1:63">
      <c r="A47" s="4" t="str">
        <f>CONCATENATE(Table43[[#This Row],[Kode BARANG Win2]],Table43[[#This Row],[No. Urut
Item Sama]])</f>
        <v>K10420010100101</v>
      </c>
      <c r="B47" s="7">
        <v>1</v>
      </c>
      <c r="D47" s="28" t="s">
        <v>856</v>
      </c>
      <c r="E47" s="28"/>
      <c r="F47" s="28" t="s">
        <v>2904</v>
      </c>
      <c r="G47" s="78">
        <v>24</v>
      </c>
      <c r="H47" s="43"/>
      <c r="I47" s="28" t="str">
        <f>Table43[[#This Row],[Nama Jenis Kemasan]]</f>
        <v>BTL</v>
      </c>
      <c r="J47" s="4" t="str">
        <f>TRIM(CONCATENATE(Table43[[#This Row],[Nama            KLP]]," ",Table43[[#This Row],[Nama            Sub KLP]]))</f>
        <v>B&amp;B HAIR LOTION THICK &amp;</v>
      </c>
      <c r="K47" s="4" t="str">
        <f>CONCATENATE(Table43[[#This Row],[kode  2 Digit                (hrf+No)]],Table43[[#This Row],[kode  2 Digit                (Nomor)]],Table43[[#This Row],[kode  1 Digit                (Nomor)]])</f>
        <v>K1042</v>
      </c>
      <c r="L47" s="4" t="str">
        <f t="shared" si="0"/>
        <v>K1042001010010</v>
      </c>
      <c r="M47" s="11">
        <f t="shared" si="1"/>
        <v>14</v>
      </c>
      <c r="N47" s="14" t="str">
        <f>IF(AF47&lt;&gt;"",TRIM(UPPER(CONCATENATE(P47," ",R47," ",T47," ",V47," ",X47," ",Z47," ","X"," ",Table43[[#This Row],[ISI/CTN]]," ",AF47," ",AB47," ",AD47," ",AH47))),TRIM(UPPER(CONCATENATE(P47," ",R47," ",T47," ",V47," ",X47," ",Z47," ","X"," ",Table43[[#This Row],[ISI/CTN]]," ",AB47," ",AD47," ",AH47))))</f>
        <v>KNF B&amp;B HAIR LOTION THICK &amp; SHINE 100ML X 24 BTL</v>
      </c>
      <c r="O47" s="11">
        <f t="shared" si="2"/>
        <v>48</v>
      </c>
      <c r="P47" s="4" t="s">
        <v>97</v>
      </c>
      <c r="Q47" s="7" t="s">
        <v>98</v>
      </c>
      <c r="R47" s="4" t="s">
        <v>2524</v>
      </c>
      <c r="S47" s="44" t="s">
        <v>2474</v>
      </c>
      <c r="T47" s="45" t="s">
        <v>3586</v>
      </c>
      <c r="U47" s="7" t="s">
        <v>3562</v>
      </c>
      <c r="V47" s="45" t="s">
        <v>2961</v>
      </c>
      <c r="W47" s="44" t="s">
        <v>2900</v>
      </c>
      <c r="X47" s="4" t="s">
        <v>3587</v>
      </c>
      <c r="Y47" s="46" t="s">
        <v>0</v>
      </c>
      <c r="Z47" s="4" t="s">
        <v>3588</v>
      </c>
      <c r="AA47" s="46" t="s">
        <v>2487</v>
      </c>
      <c r="AB47" s="4" t="s">
        <v>357</v>
      </c>
      <c r="AC47" s="7" t="s">
        <v>2656</v>
      </c>
      <c r="AD47" s="4" t="s">
        <v>2961</v>
      </c>
      <c r="AE47" s="7" t="s">
        <v>2900</v>
      </c>
      <c r="AF47" s="7" t="s">
        <v>2961</v>
      </c>
      <c r="AG47" s="7" t="s">
        <v>2961</v>
      </c>
      <c r="AI47" s="7" t="s">
        <v>4100</v>
      </c>
      <c r="AJ47" s="7" t="s">
        <v>2656</v>
      </c>
      <c r="AK47" s="41">
        <f>Table43[[#This Row],[Harga Jual Pcs GT
(-PPN)]]-(Table43[[#This Row],[Harga Jual Pcs GT
(-PPN)]]*10%)</f>
        <v>0</v>
      </c>
      <c r="AL47" s="42">
        <f>Table43[[#This Row],[Harga Beli Pcs
(-PPN)]]*Table43[[#This Row],[ISI/CTN]]</f>
        <v>0</v>
      </c>
      <c r="AM47" s="42">
        <f>Table43[[#This Row],[Harga Beli Pcs
(-PPN)]]*1.11</f>
        <v>0</v>
      </c>
      <c r="AN47" s="42">
        <f>Table43[[#This Row],[Harga Beli Krt
(- PPN)]]*1.11</f>
        <v>0</v>
      </c>
      <c r="AO47" s="42"/>
      <c r="AP47" s="42">
        <f>Table43[[#This Row],[Harga Jual Pcs GT
(-PPN)]]*Table43[[#This Row],[ISI/CTN]]</f>
        <v>0</v>
      </c>
      <c r="AQ47" s="42">
        <f>Table43[[#This Row],[Harga Jual Pcs GT
(-PPN)]]*1.11</f>
        <v>0</v>
      </c>
      <c r="AR47" s="42">
        <f>Table43[[#This Row],[Harga Jual Krt GT
(- PPN)]]*1.11</f>
        <v>0</v>
      </c>
      <c r="AS47" s="42">
        <f>Table43[[#This Row],[Harga Jual Pcs GT
(-PPN)]]</f>
        <v>0</v>
      </c>
      <c r="AT47" s="42">
        <f>(Table43[[#This Row],[Harga Jual Pcs MT
(-PPN)]]*Table43[[#This Row],[ISI/CTN]])</f>
        <v>0</v>
      </c>
      <c r="AU47" s="42">
        <f>Table43[[#This Row],[Harga Jual Pcs MT
(-PPN)]]*1.11</f>
        <v>0</v>
      </c>
      <c r="AV47" s="42">
        <f>Table43[[#This Row],[Harga Jual Pcs MT
(+PPN)]]*Table43[[#This Row],[ISI/CTN]]</f>
        <v>0</v>
      </c>
      <c r="AW47" s="47"/>
      <c r="AX47" s="7"/>
      <c r="AY47" s="7" t="str">
        <f ca="1">IF(TODAY()-Table43[[#This Row],[Efektif
Pembuatan]]&gt;60,"Lama","Baru")</f>
        <v>Lama</v>
      </c>
      <c r="AZ47" s="7" t="str">
        <f ca="1">IF(TODAY()-Table43[[#This Row],[Efektif Naik Harga]]&lt;30,"Naik","Sama")</f>
        <v>Sama</v>
      </c>
      <c r="BA47" s="7" t="str">
        <f>IF(Table43[[#This Row],[Kode BARANG Win2]]&lt;&gt;"","IDR","")</f>
        <v>IDR</v>
      </c>
      <c r="BB47" s="7" t="str">
        <f>CONCATENATE(Table43[[#This Row],[kode  1 Digit
(Nomor)]],Table43[[#This Row],[kode  4 Digit                (Nomor)]])</f>
        <v>10100</v>
      </c>
      <c r="BC47" s="7" t="str">
        <f>Table43[[#This Row],[Nama            Gramasi atau Jumlah Pack per CTN]]</f>
        <v>100ML</v>
      </c>
      <c r="BD47" s="7"/>
      <c r="BE47" s="7"/>
      <c r="BF47" s="4" t="str">
        <f>IF(Table43[[#This Row],[SATUAN Fix Win]]&lt;&gt;"","KRT")</f>
        <v>KRT</v>
      </c>
      <c r="BG47" s="4" t="str">
        <f>IF(Table43[[#This Row],[SATUAN Fix Win]]&lt;&gt;"","GD01")</f>
        <v>GD01</v>
      </c>
      <c r="BH47" s="4">
        <f>IF(Table43[[#This Row],[SATUAN Fix Win]]&lt;&gt;"",11611)</f>
        <v>11611</v>
      </c>
      <c r="BI47" s="4">
        <f>IF(Table43[[#This Row],[SATUAN Fix Win]]&lt;&gt;"",11612)</f>
        <v>11612</v>
      </c>
      <c r="BJ47" s="48"/>
      <c r="BK47" s="4">
        <f>IF(Table43[[#This Row],[SATUAN Fix Win]]&lt;&gt;"",1)</f>
        <v>1</v>
      </c>
    </row>
    <row r="48" spans="1:63">
      <c r="A48" s="4" t="str">
        <f>CONCATENATE(Table43[[#This Row],[Kode BARANG Win2]],Table43[[#This Row],[No. Urut
Item Sama]])</f>
        <v>K10430010100101</v>
      </c>
      <c r="B48" s="7">
        <v>1</v>
      </c>
      <c r="D48" s="28" t="s">
        <v>855</v>
      </c>
      <c r="E48" s="28"/>
      <c r="F48" s="28" t="s">
        <v>2906</v>
      </c>
      <c r="G48" s="78">
        <v>24</v>
      </c>
      <c r="H48" s="43"/>
      <c r="I48" s="28" t="str">
        <f>Table43[[#This Row],[Nama Jenis Kemasan]]</f>
        <v>BTL</v>
      </c>
      <c r="J48" s="4" t="str">
        <f>TRIM(CONCATENATE(Table43[[#This Row],[Nama            KLP]]," ",Table43[[#This Row],[Nama            Sub KLP]]))</f>
        <v>B&amp;B HAIR VITAMIN NATURAL</v>
      </c>
      <c r="K48" s="4" t="str">
        <f>CONCATENATE(Table43[[#This Row],[kode  2 Digit                (hrf+No)]],Table43[[#This Row],[kode  2 Digit                (Nomor)]],Table43[[#This Row],[kode  1 Digit                (Nomor)]])</f>
        <v>K1043</v>
      </c>
      <c r="L48" s="4" t="str">
        <f t="shared" si="0"/>
        <v>K1043001010010</v>
      </c>
      <c r="M48" s="11">
        <f t="shared" si="1"/>
        <v>14</v>
      </c>
      <c r="N48" s="14" t="str">
        <f>IF(AF48&lt;&gt;"",TRIM(UPPER(CONCATENATE(P48," ",R48," ",T48," ",V48," ",X48," ",Z48," ","X"," ",Table43[[#This Row],[ISI/CTN]]," ",AF48," ",AB48," ",AD48," ",AH48))),TRIM(UPPER(CONCATENATE(P48," ",R48," ",T48," ",V48," ",X48," ",Z48," ","X"," ",Table43[[#This Row],[ISI/CTN]]," ",AB48," ",AD48," ",AH48))))</f>
        <v>KNF B&amp;B HAIR VITAMIN NATURAL SILKY 100ML X 24 BTL</v>
      </c>
      <c r="O48" s="11">
        <f t="shared" si="2"/>
        <v>49</v>
      </c>
      <c r="P48" s="4" t="s">
        <v>97</v>
      </c>
      <c r="Q48" s="7" t="s">
        <v>98</v>
      </c>
      <c r="R48" s="4" t="s">
        <v>2524</v>
      </c>
      <c r="S48" s="44" t="s">
        <v>2474</v>
      </c>
      <c r="T48" s="45" t="s">
        <v>3589</v>
      </c>
      <c r="U48" s="7" t="s">
        <v>3590</v>
      </c>
      <c r="V48" s="45" t="s">
        <v>2961</v>
      </c>
      <c r="W48" s="44" t="s">
        <v>2900</v>
      </c>
      <c r="X48" s="4" t="s">
        <v>3591</v>
      </c>
      <c r="Y48" s="46" t="s">
        <v>0</v>
      </c>
      <c r="Z48" s="4" t="s">
        <v>3588</v>
      </c>
      <c r="AA48" s="46" t="s">
        <v>2487</v>
      </c>
      <c r="AB48" s="4" t="s">
        <v>357</v>
      </c>
      <c r="AC48" s="7" t="s">
        <v>2656</v>
      </c>
      <c r="AD48" s="4" t="s">
        <v>2961</v>
      </c>
      <c r="AE48" s="7" t="s">
        <v>2900</v>
      </c>
      <c r="AF48" s="7" t="s">
        <v>2961</v>
      </c>
      <c r="AG48" s="7" t="s">
        <v>2961</v>
      </c>
      <c r="AI48" s="7" t="s">
        <v>4100</v>
      </c>
      <c r="AJ48" s="7" t="s">
        <v>2656</v>
      </c>
      <c r="AK48" s="41">
        <f>Table43[[#This Row],[Harga Jual Pcs GT
(-PPN)]]-(Table43[[#This Row],[Harga Jual Pcs GT
(-PPN)]]*10%)</f>
        <v>0</v>
      </c>
      <c r="AL48" s="42">
        <f>Table43[[#This Row],[Harga Beli Pcs
(-PPN)]]*Table43[[#This Row],[ISI/CTN]]</f>
        <v>0</v>
      </c>
      <c r="AM48" s="42">
        <f>Table43[[#This Row],[Harga Beli Pcs
(-PPN)]]*1.11</f>
        <v>0</v>
      </c>
      <c r="AN48" s="42">
        <f>Table43[[#This Row],[Harga Beli Krt
(- PPN)]]*1.11</f>
        <v>0</v>
      </c>
      <c r="AO48" s="42"/>
      <c r="AP48" s="42">
        <f>Table43[[#This Row],[Harga Jual Pcs GT
(-PPN)]]*Table43[[#This Row],[ISI/CTN]]</f>
        <v>0</v>
      </c>
      <c r="AQ48" s="42">
        <f>Table43[[#This Row],[Harga Jual Pcs GT
(-PPN)]]*1.11</f>
        <v>0</v>
      </c>
      <c r="AR48" s="42">
        <f>Table43[[#This Row],[Harga Jual Krt GT
(- PPN)]]*1.11</f>
        <v>0</v>
      </c>
      <c r="AS48" s="42">
        <f>Table43[[#This Row],[Harga Jual Pcs GT
(-PPN)]]</f>
        <v>0</v>
      </c>
      <c r="AT48" s="42">
        <f>(Table43[[#This Row],[Harga Jual Pcs MT
(-PPN)]]*Table43[[#This Row],[ISI/CTN]])</f>
        <v>0</v>
      </c>
      <c r="AU48" s="42">
        <f>Table43[[#This Row],[Harga Jual Pcs MT
(-PPN)]]*1.11</f>
        <v>0</v>
      </c>
      <c r="AV48" s="42">
        <f>Table43[[#This Row],[Harga Jual Pcs MT
(+PPN)]]*Table43[[#This Row],[ISI/CTN]]</f>
        <v>0</v>
      </c>
      <c r="AW48" s="47"/>
      <c r="AX48" s="7"/>
      <c r="AY48" s="7" t="str">
        <f ca="1">IF(TODAY()-Table43[[#This Row],[Efektif
Pembuatan]]&gt;60,"Lama","Baru")</f>
        <v>Lama</v>
      </c>
      <c r="AZ48" s="7" t="str">
        <f ca="1">IF(TODAY()-Table43[[#This Row],[Efektif Naik Harga]]&lt;30,"Naik","Sama")</f>
        <v>Sama</v>
      </c>
      <c r="BA48" s="7" t="str">
        <f>IF(Table43[[#This Row],[Kode BARANG Win2]]&lt;&gt;"","IDR","")</f>
        <v>IDR</v>
      </c>
      <c r="BB48" s="7" t="str">
        <f>CONCATENATE(Table43[[#This Row],[kode  1 Digit
(Nomor)]],Table43[[#This Row],[kode  4 Digit                (Nomor)]])</f>
        <v>10100</v>
      </c>
      <c r="BC48" s="7" t="str">
        <f>Table43[[#This Row],[Nama            Gramasi atau Jumlah Pack per CTN]]</f>
        <v>100ML</v>
      </c>
      <c r="BD48" s="7"/>
      <c r="BE48" s="7"/>
      <c r="BF48" s="4" t="str">
        <f>IF(Table43[[#This Row],[SATUAN Fix Win]]&lt;&gt;"","KRT")</f>
        <v>KRT</v>
      </c>
      <c r="BG48" s="4" t="str">
        <f>IF(Table43[[#This Row],[SATUAN Fix Win]]&lt;&gt;"","GD01")</f>
        <v>GD01</v>
      </c>
      <c r="BH48" s="4">
        <f>IF(Table43[[#This Row],[SATUAN Fix Win]]&lt;&gt;"",11611)</f>
        <v>11611</v>
      </c>
      <c r="BI48" s="4">
        <f>IF(Table43[[#This Row],[SATUAN Fix Win]]&lt;&gt;"",11612)</f>
        <v>11612</v>
      </c>
      <c r="BJ48" s="48"/>
      <c r="BK48" s="4">
        <f>IF(Table43[[#This Row],[SATUAN Fix Win]]&lt;&gt;"",1)</f>
        <v>1</v>
      </c>
    </row>
    <row r="49" spans="1:67">
      <c r="A49" s="4" t="str">
        <f>CONCATENATE(Table43[[#This Row],[Kode BARANG Win2]],Table43[[#This Row],[No. Urut
Item Sama]])</f>
        <v>K10440010250101</v>
      </c>
      <c r="B49" s="7">
        <v>1</v>
      </c>
      <c r="D49" s="28" t="s">
        <v>829</v>
      </c>
      <c r="E49" s="28"/>
      <c r="F49" s="28" t="s">
        <v>2907</v>
      </c>
      <c r="G49" s="78">
        <v>36</v>
      </c>
      <c r="H49" s="43"/>
      <c r="I49" s="28" t="str">
        <f>Table43[[#This Row],[Nama Jenis Kemasan]]</f>
        <v>BTL</v>
      </c>
      <c r="J49" s="4" t="str">
        <f>TRIM(CONCATENATE(Table43[[#This Row],[Nama            KLP]]," ",Table43[[#This Row],[Nama            Sub KLP]]))</f>
        <v>B&amp;B LIQUID SOAP</v>
      </c>
      <c r="K49" s="4" t="str">
        <f>CONCATENATE(Table43[[#This Row],[kode  2 Digit                (hrf+No)]],Table43[[#This Row],[kode  2 Digit                (Nomor)]],Table43[[#This Row],[kode  1 Digit                (Nomor)]])</f>
        <v>K1044</v>
      </c>
      <c r="L49" s="4" t="str">
        <f t="shared" si="0"/>
        <v>K1044001025010</v>
      </c>
      <c r="M49" s="11">
        <f t="shared" si="1"/>
        <v>14</v>
      </c>
      <c r="N49" s="14" t="str">
        <f>IF(AF49&lt;&gt;"",TRIM(UPPER(CONCATENATE(P49," ",R49," ",T49," ",V49," ",X49," ",Z49," ","X"," ",Table43[[#This Row],[ISI/CTN]]," ",AF49," ",AB49," ",AD49," ",AH49))),TRIM(UPPER(CONCATENATE(P49," ",R49," ",T49," ",V49," ",X49," ",Z49," ","X"," ",Table43[[#This Row],[ISI/CTN]]," ",AB49," ",AD49," ",AH49))))</f>
        <v>KNF B&amp;B LIQUID SOAP PARTY BARBIE 250ML X 36 BTL</v>
      </c>
      <c r="O49" s="11">
        <f t="shared" si="2"/>
        <v>47</v>
      </c>
      <c r="P49" s="4" t="s">
        <v>97</v>
      </c>
      <c r="Q49" s="7" t="s">
        <v>98</v>
      </c>
      <c r="R49" s="4" t="s">
        <v>2524</v>
      </c>
      <c r="S49" s="44" t="s">
        <v>2474</v>
      </c>
      <c r="T49" s="45" t="s">
        <v>3592</v>
      </c>
      <c r="U49" s="7" t="s">
        <v>3593</v>
      </c>
      <c r="V49" s="45" t="s">
        <v>2961</v>
      </c>
      <c r="W49" s="44" t="s">
        <v>2900</v>
      </c>
      <c r="X49" s="4" t="s">
        <v>3594</v>
      </c>
      <c r="Y49" s="46" t="s">
        <v>0</v>
      </c>
      <c r="Z49" s="4" t="s">
        <v>3580</v>
      </c>
      <c r="AA49" s="46" t="s">
        <v>2484</v>
      </c>
      <c r="AB49" s="4" t="s">
        <v>357</v>
      </c>
      <c r="AC49" s="7" t="s">
        <v>2656</v>
      </c>
      <c r="AD49" s="4" t="s">
        <v>2961</v>
      </c>
      <c r="AE49" s="7" t="s">
        <v>2900</v>
      </c>
      <c r="AF49" s="7" t="s">
        <v>2961</v>
      </c>
      <c r="AG49" s="7" t="s">
        <v>2961</v>
      </c>
      <c r="AI49" s="7" t="s">
        <v>4100</v>
      </c>
      <c r="AJ49" s="7" t="s">
        <v>2656</v>
      </c>
      <c r="AK49" s="41">
        <f>Table43[[#This Row],[Harga Jual Pcs GT
(-PPN)]]-(Table43[[#This Row],[Harga Jual Pcs GT
(-PPN)]]*10%)</f>
        <v>0</v>
      </c>
      <c r="AL49" s="42">
        <f>Table43[[#This Row],[Harga Beli Pcs
(-PPN)]]*Table43[[#This Row],[ISI/CTN]]</f>
        <v>0</v>
      </c>
      <c r="AM49" s="42">
        <f>Table43[[#This Row],[Harga Beli Pcs
(-PPN)]]*1.11</f>
        <v>0</v>
      </c>
      <c r="AN49" s="42">
        <f>Table43[[#This Row],[Harga Beli Krt
(- PPN)]]*1.11</f>
        <v>0</v>
      </c>
      <c r="AO49" s="42"/>
      <c r="AP49" s="42">
        <f>Table43[[#This Row],[Harga Jual Pcs GT
(-PPN)]]*Table43[[#This Row],[ISI/CTN]]</f>
        <v>0</v>
      </c>
      <c r="AQ49" s="42">
        <f>Table43[[#This Row],[Harga Jual Pcs GT
(-PPN)]]*1.11</f>
        <v>0</v>
      </c>
      <c r="AR49" s="42">
        <f>Table43[[#This Row],[Harga Jual Krt GT
(- PPN)]]*1.11</f>
        <v>0</v>
      </c>
      <c r="AS49" s="42">
        <f>Table43[[#This Row],[Harga Jual Pcs GT
(-PPN)]]</f>
        <v>0</v>
      </c>
      <c r="AT49" s="42">
        <f>(Table43[[#This Row],[Harga Jual Pcs MT
(-PPN)]]*Table43[[#This Row],[ISI/CTN]])</f>
        <v>0</v>
      </c>
      <c r="AU49" s="42">
        <f>Table43[[#This Row],[Harga Jual Pcs MT
(-PPN)]]*1.11</f>
        <v>0</v>
      </c>
      <c r="AV49" s="42">
        <f>Table43[[#This Row],[Harga Jual Pcs MT
(+PPN)]]*Table43[[#This Row],[ISI/CTN]]</f>
        <v>0</v>
      </c>
      <c r="AW49" s="47"/>
      <c r="AX49" s="7"/>
      <c r="AY49" s="7" t="str">
        <f ca="1">IF(TODAY()-Table43[[#This Row],[Efektif
Pembuatan]]&gt;60,"Lama","Baru")</f>
        <v>Lama</v>
      </c>
      <c r="AZ49" s="7" t="str">
        <f ca="1">IF(TODAY()-Table43[[#This Row],[Efektif Naik Harga]]&lt;30,"Naik","Sama")</f>
        <v>Sama</v>
      </c>
      <c r="BA49" s="7" t="str">
        <f>IF(Table43[[#This Row],[Kode BARANG Win2]]&lt;&gt;"","IDR","")</f>
        <v>IDR</v>
      </c>
      <c r="BB49" s="7" t="str">
        <f>CONCATENATE(Table43[[#This Row],[kode  1 Digit
(Nomor)]],Table43[[#This Row],[kode  4 Digit                (Nomor)]])</f>
        <v>10250</v>
      </c>
      <c r="BC49" s="7" t="str">
        <f>Table43[[#This Row],[Nama            Gramasi atau Jumlah Pack per CTN]]</f>
        <v>250ML</v>
      </c>
      <c r="BD49" s="7"/>
      <c r="BE49" s="7"/>
      <c r="BF49" s="4" t="str">
        <f>IF(Table43[[#This Row],[SATUAN Fix Win]]&lt;&gt;"","KRT")</f>
        <v>KRT</v>
      </c>
      <c r="BG49" s="4" t="str">
        <f>IF(Table43[[#This Row],[SATUAN Fix Win]]&lt;&gt;"","GD01")</f>
        <v>GD01</v>
      </c>
      <c r="BH49" s="4">
        <f>IF(Table43[[#This Row],[SATUAN Fix Win]]&lt;&gt;"",11611)</f>
        <v>11611</v>
      </c>
      <c r="BI49" s="4">
        <f>IF(Table43[[#This Row],[SATUAN Fix Win]]&lt;&gt;"",11612)</f>
        <v>11612</v>
      </c>
      <c r="BJ49" s="48"/>
      <c r="BK49" s="4">
        <f>IF(Table43[[#This Row],[SATUAN Fix Win]]&lt;&gt;"",1)</f>
        <v>1</v>
      </c>
    </row>
    <row r="50" spans="1:67">
      <c r="A50" s="4" t="str">
        <f>CONCATENATE(Table43[[#This Row],[Kode BARANG Win2]],Table43[[#This Row],[No. Urut
Item Sama]])</f>
        <v>K10440020250201</v>
      </c>
      <c r="B50" s="7">
        <v>1</v>
      </c>
      <c r="D50" s="28" t="s">
        <v>830</v>
      </c>
      <c r="E50" s="28"/>
      <c r="F50" s="28" t="s">
        <v>3391</v>
      </c>
      <c r="G50" s="78">
        <v>24</v>
      </c>
      <c r="H50" s="43"/>
      <c r="I50" s="28" t="str">
        <f>Table43[[#This Row],[Nama Jenis Kemasan]]</f>
        <v>PCH</v>
      </c>
      <c r="J50" s="4" t="str">
        <f>TRIM(CONCATENATE(Table43[[#This Row],[Nama            KLP]]," ",Table43[[#This Row],[Nama            Sub KLP]]))</f>
        <v>B&amp;B LIQUID SOAP</v>
      </c>
      <c r="K50" s="4" t="str">
        <f>CONCATENATE(Table43[[#This Row],[kode  2 Digit                (hrf+No)]],Table43[[#This Row],[kode  2 Digit                (Nomor)]],Table43[[#This Row],[kode  1 Digit                (Nomor)]])</f>
        <v>K1044</v>
      </c>
      <c r="L50" s="4" t="str">
        <f t="shared" si="0"/>
        <v>K1044002025020</v>
      </c>
      <c r="M50" s="11">
        <f t="shared" si="1"/>
        <v>14</v>
      </c>
      <c r="N50" s="14" t="str">
        <f>IF(AF50&lt;&gt;"",TRIM(UPPER(CONCATENATE(P50," ",R50," ",T50," ",V50," ",X50," ",Z50," ","X"," ",Table43[[#This Row],[ISI/CTN]]," ",AF50," ",AB50," ",AD50," ",AH50))),TRIM(UPPER(CONCATENATE(P50," ",R50," ",T50," ",V50," ",X50," ",Z50," ","X"," ",Table43[[#This Row],[ISI/CTN]]," ",AB50," ",AD50," ",AH50))))</f>
        <v>KNF B&amp;B LIQUID SOAP PARTY 250ML X 24 PCH</v>
      </c>
      <c r="O50" s="11">
        <f t="shared" si="2"/>
        <v>40</v>
      </c>
      <c r="P50" s="4" t="s">
        <v>97</v>
      </c>
      <c r="Q50" s="7" t="s">
        <v>98</v>
      </c>
      <c r="R50" s="4" t="s">
        <v>2524</v>
      </c>
      <c r="S50" s="44" t="s">
        <v>2474</v>
      </c>
      <c r="T50" s="45" t="s">
        <v>3592</v>
      </c>
      <c r="U50" s="7" t="s">
        <v>3593</v>
      </c>
      <c r="V50" s="45" t="s">
        <v>2961</v>
      </c>
      <c r="W50" s="44" t="s">
        <v>2900</v>
      </c>
      <c r="X50" s="4" t="s">
        <v>3595</v>
      </c>
      <c r="Y50" s="46" t="s">
        <v>2472</v>
      </c>
      <c r="Z50" s="4" t="s">
        <v>3580</v>
      </c>
      <c r="AA50" s="46" t="s">
        <v>2484</v>
      </c>
      <c r="AB50" s="4" t="s">
        <v>356</v>
      </c>
      <c r="AC50" s="7" t="s">
        <v>3562</v>
      </c>
      <c r="AD50" s="4" t="s">
        <v>2961</v>
      </c>
      <c r="AE50" s="7" t="s">
        <v>2900</v>
      </c>
      <c r="AF50" s="7" t="s">
        <v>2961</v>
      </c>
      <c r="AG50" s="7" t="s">
        <v>2961</v>
      </c>
      <c r="AI50" s="7" t="s">
        <v>4100</v>
      </c>
      <c r="AJ50" s="7" t="s">
        <v>2656</v>
      </c>
      <c r="AK50" s="41">
        <f>Table43[[#This Row],[Harga Jual Pcs GT
(-PPN)]]-(Table43[[#This Row],[Harga Jual Pcs GT
(-PPN)]]*10%)</f>
        <v>0</v>
      </c>
      <c r="AL50" s="42">
        <f>Table43[[#This Row],[Harga Beli Pcs
(-PPN)]]*Table43[[#This Row],[ISI/CTN]]</f>
        <v>0</v>
      </c>
      <c r="AM50" s="42">
        <f>Table43[[#This Row],[Harga Beli Pcs
(-PPN)]]*1.11</f>
        <v>0</v>
      </c>
      <c r="AN50" s="42">
        <f>Table43[[#This Row],[Harga Beli Krt
(- PPN)]]*1.11</f>
        <v>0</v>
      </c>
      <c r="AO50" s="42"/>
      <c r="AP50" s="42">
        <f>Table43[[#This Row],[Harga Jual Pcs GT
(-PPN)]]*Table43[[#This Row],[ISI/CTN]]</f>
        <v>0</v>
      </c>
      <c r="AQ50" s="42">
        <f>Table43[[#This Row],[Harga Jual Pcs GT
(-PPN)]]*1.11</f>
        <v>0</v>
      </c>
      <c r="AR50" s="42">
        <f>Table43[[#This Row],[Harga Jual Krt GT
(- PPN)]]*1.11</f>
        <v>0</v>
      </c>
      <c r="AS50" s="42">
        <f>Table43[[#This Row],[Harga Jual Pcs GT
(-PPN)]]</f>
        <v>0</v>
      </c>
      <c r="AT50" s="42">
        <f>(Table43[[#This Row],[Harga Jual Pcs MT
(-PPN)]]*Table43[[#This Row],[ISI/CTN]])</f>
        <v>0</v>
      </c>
      <c r="AU50" s="42">
        <f>Table43[[#This Row],[Harga Jual Pcs MT
(-PPN)]]*1.11</f>
        <v>0</v>
      </c>
      <c r="AV50" s="42">
        <f>Table43[[#This Row],[Harga Jual Pcs MT
(+PPN)]]*Table43[[#This Row],[ISI/CTN]]</f>
        <v>0</v>
      </c>
      <c r="AW50" s="47"/>
      <c r="AX50" s="7"/>
      <c r="AY50" s="7" t="str">
        <f ca="1">IF(TODAY()-Table43[[#This Row],[Efektif
Pembuatan]]&gt;60,"Lama","Baru")</f>
        <v>Lama</v>
      </c>
      <c r="AZ50" s="7" t="str">
        <f ca="1">IF(TODAY()-Table43[[#This Row],[Efektif Naik Harga]]&lt;30,"Naik","Sama")</f>
        <v>Sama</v>
      </c>
      <c r="BA50" s="7" t="str">
        <f>IF(Table43[[#This Row],[Kode BARANG Win2]]&lt;&gt;"","IDR","")</f>
        <v>IDR</v>
      </c>
      <c r="BB50" s="7" t="str">
        <f>CONCATENATE(Table43[[#This Row],[kode  1 Digit
(Nomor)]],Table43[[#This Row],[kode  4 Digit                (Nomor)]])</f>
        <v>10250</v>
      </c>
      <c r="BC50" s="7" t="str">
        <f>Table43[[#This Row],[Nama            Gramasi atau Jumlah Pack per CTN]]</f>
        <v>250ML</v>
      </c>
      <c r="BD50" s="7"/>
      <c r="BE50" s="7"/>
      <c r="BF50" s="4" t="str">
        <f>IF(Table43[[#This Row],[SATUAN Fix Win]]&lt;&gt;"","KRT")</f>
        <v>KRT</v>
      </c>
      <c r="BG50" s="4" t="str">
        <f>IF(Table43[[#This Row],[SATUAN Fix Win]]&lt;&gt;"","GD01")</f>
        <v>GD01</v>
      </c>
      <c r="BH50" s="4">
        <f>IF(Table43[[#This Row],[SATUAN Fix Win]]&lt;&gt;"",11611)</f>
        <v>11611</v>
      </c>
      <c r="BI50" s="4">
        <f>IF(Table43[[#This Row],[SATUAN Fix Win]]&lt;&gt;"",11612)</f>
        <v>11612</v>
      </c>
      <c r="BJ50" s="48"/>
      <c r="BK50" s="4">
        <f>IF(Table43[[#This Row],[SATUAN Fix Win]]&lt;&gt;"",1)</f>
        <v>1</v>
      </c>
    </row>
    <row r="51" spans="1:67">
      <c r="A51" s="4" t="str">
        <f>CONCATENATE(Table43[[#This Row],[Kode BARANG Win2]],Table43[[#This Row],[No. Urut
Item Sama]])</f>
        <v>K10450010060101</v>
      </c>
      <c r="B51" s="7">
        <v>1</v>
      </c>
      <c r="D51" s="28" t="s">
        <v>847</v>
      </c>
      <c r="E51" s="28"/>
      <c r="F51" s="28" t="s">
        <v>2908</v>
      </c>
      <c r="G51" s="78">
        <v>36</v>
      </c>
      <c r="H51" s="43"/>
      <c r="I51" s="28" t="str">
        <f>Table43[[#This Row],[Nama Jenis Kemasan]]</f>
        <v>BTL</v>
      </c>
      <c r="J51" s="4" t="str">
        <f>TRIM(CONCATENATE(Table43[[#This Row],[Nama            KLP]]," ",Table43[[#This Row],[Nama            Sub KLP]]))</f>
        <v>B&amp;B POWDER</v>
      </c>
      <c r="K51" s="4" t="str">
        <f>CONCATENATE(Table43[[#This Row],[kode  2 Digit                (hrf+No)]],Table43[[#This Row],[kode  2 Digit                (Nomor)]],Table43[[#This Row],[kode  1 Digit                (Nomor)]])</f>
        <v>K1045</v>
      </c>
      <c r="L51" s="4" t="str">
        <f t="shared" si="0"/>
        <v>K1045001006010</v>
      </c>
      <c r="M51" s="11">
        <f t="shared" si="1"/>
        <v>14</v>
      </c>
      <c r="N51" s="14" t="str">
        <f>IF(AF51&lt;&gt;"",TRIM(UPPER(CONCATENATE(P51," ",R51," ",T51," ",V51," ",X51," ",Z51," ","X"," ",Table43[[#This Row],[ISI/CTN]]," ",AF51," ",AB51," ",AD51," ",AH51))),TRIM(UPPER(CONCATENATE(P51," ",R51," ",T51," ",V51," ",X51," ",Z51," ","X"," ",Table43[[#This Row],[ISI/CTN]]," ",AB51," ",AD51," ",AH51))))</f>
        <v>KNF B&amp;B POWDER BLOSSOM 60GR X 36 BTL</v>
      </c>
      <c r="O51" s="11">
        <f t="shared" si="2"/>
        <v>36</v>
      </c>
      <c r="P51" s="4" t="s">
        <v>97</v>
      </c>
      <c r="Q51" s="7" t="s">
        <v>98</v>
      </c>
      <c r="R51" s="4" t="s">
        <v>2524</v>
      </c>
      <c r="S51" s="44" t="s">
        <v>2474</v>
      </c>
      <c r="T51" s="45" t="s">
        <v>3596</v>
      </c>
      <c r="U51" s="7" t="s">
        <v>3597</v>
      </c>
      <c r="V51" s="45" t="s">
        <v>2961</v>
      </c>
      <c r="W51" s="44" t="s">
        <v>2900</v>
      </c>
      <c r="X51" s="4" t="s">
        <v>3598</v>
      </c>
      <c r="Y51" s="46" t="s">
        <v>0</v>
      </c>
      <c r="Z51" s="4" t="s">
        <v>3599</v>
      </c>
      <c r="AA51" s="46" t="s">
        <v>2481</v>
      </c>
      <c r="AB51" s="4" t="s">
        <v>357</v>
      </c>
      <c r="AC51" s="7" t="s">
        <v>2656</v>
      </c>
      <c r="AD51" s="4" t="s">
        <v>2961</v>
      </c>
      <c r="AE51" s="7" t="s">
        <v>2900</v>
      </c>
      <c r="AF51" s="7" t="s">
        <v>2961</v>
      </c>
      <c r="AG51" s="7" t="s">
        <v>2961</v>
      </c>
      <c r="AI51" s="7" t="s">
        <v>2463</v>
      </c>
      <c r="AJ51" s="7" t="s">
        <v>3562</v>
      </c>
      <c r="AK51" s="41">
        <f>Table43[[#This Row],[Harga Jual Pcs GT
(-PPN)]]-(Table43[[#This Row],[Harga Jual Pcs GT
(-PPN)]]*10%)</f>
        <v>0</v>
      </c>
      <c r="AL51" s="42">
        <f>Table43[[#This Row],[Harga Beli Pcs
(-PPN)]]*Table43[[#This Row],[ISI/CTN]]</f>
        <v>0</v>
      </c>
      <c r="AM51" s="42">
        <f>Table43[[#This Row],[Harga Beli Pcs
(-PPN)]]*1.11</f>
        <v>0</v>
      </c>
      <c r="AN51" s="42">
        <f>Table43[[#This Row],[Harga Beli Krt
(- PPN)]]*1.11</f>
        <v>0</v>
      </c>
      <c r="AO51" s="42"/>
      <c r="AP51" s="42">
        <f>Table43[[#This Row],[Harga Jual Pcs GT
(-PPN)]]*Table43[[#This Row],[ISI/CTN]]</f>
        <v>0</v>
      </c>
      <c r="AQ51" s="42">
        <f>Table43[[#This Row],[Harga Jual Pcs GT
(-PPN)]]*1.11</f>
        <v>0</v>
      </c>
      <c r="AR51" s="42">
        <f>Table43[[#This Row],[Harga Jual Krt GT
(- PPN)]]*1.11</f>
        <v>0</v>
      </c>
      <c r="AS51" s="42">
        <f>Table43[[#This Row],[Harga Jual Pcs GT
(-PPN)]]</f>
        <v>0</v>
      </c>
      <c r="AT51" s="42">
        <f>(Table43[[#This Row],[Harga Jual Pcs MT
(-PPN)]]*Table43[[#This Row],[ISI/CTN]])</f>
        <v>0</v>
      </c>
      <c r="AU51" s="42">
        <f>Table43[[#This Row],[Harga Jual Pcs MT
(-PPN)]]*1.11</f>
        <v>0</v>
      </c>
      <c r="AV51" s="42">
        <f>Table43[[#This Row],[Harga Jual Pcs MT
(+PPN)]]*Table43[[#This Row],[ISI/CTN]]</f>
        <v>0</v>
      </c>
      <c r="AW51" s="47"/>
      <c r="AX51" s="7"/>
      <c r="AY51" s="7" t="str">
        <f ca="1">IF(TODAY()-Table43[[#This Row],[Efektif
Pembuatan]]&gt;60,"Lama","Baru")</f>
        <v>Lama</v>
      </c>
      <c r="AZ51" s="7" t="str">
        <f ca="1">IF(TODAY()-Table43[[#This Row],[Efektif Naik Harga]]&lt;30,"Naik","Sama")</f>
        <v>Sama</v>
      </c>
      <c r="BA51" s="7" t="str">
        <f>IF(Table43[[#This Row],[Kode BARANG Win2]]&lt;&gt;"","IDR","")</f>
        <v>IDR</v>
      </c>
      <c r="BB51" s="7" t="str">
        <f>CONCATENATE(Table43[[#This Row],[kode  1 Digit
(Nomor)]],Table43[[#This Row],[kode  4 Digit                (Nomor)]])</f>
        <v>20060</v>
      </c>
      <c r="BC51" s="7" t="str">
        <f>Table43[[#This Row],[Nama            Gramasi atau Jumlah Pack per CTN]]</f>
        <v>60GR</v>
      </c>
      <c r="BD51" s="7"/>
      <c r="BE51" s="7"/>
      <c r="BF51" s="4" t="str">
        <f>IF(Table43[[#This Row],[SATUAN Fix Win]]&lt;&gt;"","KRT")</f>
        <v>KRT</v>
      </c>
      <c r="BG51" s="4" t="str">
        <f>IF(Table43[[#This Row],[SATUAN Fix Win]]&lt;&gt;"","GD01")</f>
        <v>GD01</v>
      </c>
      <c r="BH51" s="4">
        <f>IF(Table43[[#This Row],[SATUAN Fix Win]]&lt;&gt;"",11611)</f>
        <v>11611</v>
      </c>
      <c r="BI51" s="4">
        <f>IF(Table43[[#This Row],[SATUAN Fix Win]]&lt;&gt;"",11612)</f>
        <v>11612</v>
      </c>
      <c r="BJ51" s="48"/>
      <c r="BK51" s="4">
        <f>IF(Table43[[#This Row],[SATUAN Fix Win]]&lt;&gt;"",1)</f>
        <v>1</v>
      </c>
    </row>
    <row r="52" spans="1:67">
      <c r="A52" s="4" t="str">
        <f>CONCATENATE(Table43[[#This Row],[Kode BARANG Win2]],Table43[[#This Row],[No. Urut
Item Sama]])</f>
        <v>K10450010150101</v>
      </c>
      <c r="B52" s="7">
        <v>1</v>
      </c>
      <c r="D52" s="28" t="s">
        <v>848</v>
      </c>
      <c r="E52" s="28"/>
      <c r="F52" s="28" t="s">
        <v>2909</v>
      </c>
      <c r="G52" s="78">
        <v>36</v>
      </c>
      <c r="H52" s="43"/>
      <c r="I52" s="28" t="str">
        <f>Table43[[#This Row],[Nama Jenis Kemasan]]</f>
        <v>BTL</v>
      </c>
      <c r="J52" s="4" t="str">
        <f>TRIM(CONCATENATE(Table43[[#This Row],[Nama            KLP]]," ",Table43[[#This Row],[Nama            Sub KLP]]))</f>
        <v>B&amp;B POWDER</v>
      </c>
      <c r="K52" s="4" t="str">
        <f>CONCATENATE(Table43[[#This Row],[kode  2 Digit                (hrf+No)]],Table43[[#This Row],[kode  2 Digit                (Nomor)]],Table43[[#This Row],[kode  1 Digit                (Nomor)]])</f>
        <v>K1045</v>
      </c>
      <c r="L52" s="4" t="str">
        <f t="shared" si="0"/>
        <v>K1045001015010</v>
      </c>
      <c r="M52" s="11">
        <f t="shared" si="1"/>
        <v>14</v>
      </c>
      <c r="N52" s="14" t="str">
        <f>IF(AF52&lt;&gt;"",TRIM(UPPER(CONCATENATE(P52," ",R52," ",T52," ",V52," ",X52," ",Z52," ","X"," ",Table43[[#This Row],[ISI/CTN]]," ",AF52," ",AB52," ",AD52," ",AH52))),TRIM(UPPER(CONCATENATE(P52," ",R52," ",T52," ",V52," ",X52," ",Z52," ","X"," ",Table43[[#This Row],[ISI/CTN]]," ",AB52," ",AD52," ",AH52))))</f>
        <v>KNF B&amp;B POWDER BLOSSOM 150GR X 36 BTL</v>
      </c>
      <c r="O52" s="11">
        <f t="shared" si="2"/>
        <v>37</v>
      </c>
      <c r="P52" s="4" t="s">
        <v>97</v>
      </c>
      <c r="Q52" s="7" t="s">
        <v>98</v>
      </c>
      <c r="R52" s="4" t="s">
        <v>2524</v>
      </c>
      <c r="S52" s="44" t="s">
        <v>2474</v>
      </c>
      <c r="T52" s="45" t="s">
        <v>3596</v>
      </c>
      <c r="U52" s="7" t="s">
        <v>3597</v>
      </c>
      <c r="V52" s="45" t="s">
        <v>2961</v>
      </c>
      <c r="W52" s="44" t="s">
        <v>2900</v>
      </c>
      <c r="X52" s="4" t="s">
        <v>3598</v>
      </c>
      <c r="Y52" s="46" t="s">
        <v>0</v>
      </c>
      <c r="Z52" s="4" t="s">
        <v>3600</v>
      </c>
      <c r="AA52" s="46" t="s">
        <v>2482</v>
      </c>
      <c r="AB52" s="4" t="s">
        <v>357</v>
      </c>
      <c r="AC52" s="7" t="s">
        <v>2656</v>
      </c>
      <c r="AD52" s="4" t="s">
        <v>2961</v>
      </c>
      <c r="AE52" s="7" t="s">
        <v>2900</v>
      </c>
      <c r="AF52" s="7" t="s">
        <v>2961</v>
      </c>
      <c r="AG52" s="7" t="s">
        <v>2961</v>
      </c>
      <c r="AI52" s="7" t="s">
        <v>2463</v>
      </c>
      <c r="AJ52" s="7" t="s">
        <v>3562</v>
      </c>
      <c r="AK52" s="41">
        <f>Table43[[#This Row],[Harga Jual Pcs GT
(-PPN)]]-(Table43[[#This Row],[Harga Jual Pcs GT
(-PPN)]]*10%)</f>
        <v>0</v>
      </c>
      <c r="AL52" s="42">
        <f>Table43[[#This Row],[Harga Beli Pcs
(-PPN)]]*Table43[[#This Row],[ISI/CTN]]</f>
        <v>0</v>
      </c>
      <c r="AM52" s="42">
        <f>Table43[[#This Row],[Harga Beli Pcs
(-PPN)]]*1.11</f>
        <v>0</v>
      </c>
      <c r="AN52" s="42">
        <f>Table43[[#This Row],[Harga Beli Krt
(- PPN)]]*1.11</f>
        <v>0</v>
      </c>
      <c r="AO52" s="42"/>
      <c r="AP52" s="42">
        <f>Table43[[#This Row],[Harga Jual Pcs GT
(-PPN)]]*Table43[[#This Row],[ISI/CTN]]</f>
        <v>0</v>
      </c>
      <c r="AQ52" s="42">
        <f>Table43[[#This Row],[Harga Jual Pcs GT
(-PPN)]]*1.11</f>
        <v>0</v>
      </c>
      <c r="AR52" s="42">
        <f>Table43[[#This Row],[Harga Jual Krt GT
(- PPN)]]*1.11</f>
        <v>0</v>
      </c>
      <c r="AS52" s="42">
        <f>Table43[[#This Row],[Harga Jual Pcs GT
(-PPN)]]</f>
        <v>0</v>
      </c>
      <c r="AT52" s="42">
        <f>(Table43[[#This Row],[Harga Jual Pcs MT
(-PPN)]]*Table43[[#This Row],[ISI/CTN]])</f>
        <v>0</v>
      </c>
      <c r="AU52" s="42">
        <f>Table43[[#This Row],[Harga Jual Pcs MT
(-PPN)]]*1.11</f>
        <v>0</v>
      </c>
      <c r="AV52" s="42">
        <f>Table43[[#This Row],[Harga Jual Pcs MT
(+PPN)]]*Table43[[#This Row],[ISI/CTN]]</f>
        <v>0</v>
      </c>
      <c r="AW52" s="47"/>
      <c r="AX52" s="7"/>
      <c r="AY52" s="7" t="str">
        <f ca="1">IF(TODAY()-Table43[[#This Row],[Efektif
Pembuatan]]&gt;60,"Lama","Baru")</f>
        <v>Lama</v>
      </c>
      <c r="AZ52" s="7" t="str">
        <f ca="1">IF(TODAY()-Table43[[#This Row],[Efektif Naik Harga]]&lt;30,"Naik","Sama")</f>
        <v>Sama</v>
      </c>
      <c r="BA52" s="7" t="str">
        <f>IF(Table43[[#This Row],[Kode BARANG Win2]]&lt;&gt;"","IDR","")</f>
        <v>IDR</v>
      </c>
      <c r="BB52" s="7" t="str">
        <f>CONCATENATE(Table43[[#This Row],[kode  1 Digit
(Nomor)]],Table43[[#This Row],[kode  4 Digit                (Nomor)]])</f>
        <v>20150</v>
      </c>
      <c r="BC52" s="7" t="str">
        <f>Table43[[#This Row],[Nama            Gramasi atau Jumlah Pack per CTN]]</f>
        <v>150GR</v>
      </c>
      <c r="BD52" s="7"/>
      <c r="BE52" s="7"/>
      <c r="BF52" s="4" t="str">
        <f>IF(Table43[[#This Row],[SATUAN Fix Win]]&lt;&gt;"","KRT")</f>
        <v>KRT</v>
      </c>
      <c r="BG52" s="4" t="str">
        <f>IF(Table43[[#This Row],[SATUAN Fix Win]]&lt;&gt;"","GD01")</f>
        <v>GD01</v>
      </c>
      <c r="BH52" s="4">
        <f>IF(Table43[[#This Row],[SATUAN Fix Win]]&lt;&gt;"",11611)</f>
        <v>11611</v>
      </c>
      <c r="BI52" s="4">
        <f>IF(Table43[[#This Row],[SATUAN Fix Win]]&lt;&gt;"",11612)</f>
        <v>11612</v>
      </c>
      <c r="BJ52" s="48"/>
      <c r="BK52" s="4">
        <f>IF(Table43[[#This Row],[SATUAN Fix Win]]&lt;&gt;"",1)</f>
        <v>1</v>
      </c>
    </row>
    <row r="53" spans="1:67">
      <c r="A53" s="4" t="str">
        <f>CONCATENATE(Table43[[#This Row],[Kode BARANG Win2]],Table43[[#This Row],[No. Urut
Item Sama]])</f>
        <v>K10450020060101</v>
      </c>
      <c r="B53" s="7">
        <v>1</v>
      </c>
      <c r="D53" s="28" t="s">
        <v>849</v>
      </c>
      <c r="E53" s="28"/>
      <c r="F53" s="28" t="s">
        <v>2910</v>
      </c>
      <c r="G53" s="78">
        <v>36</v>
      </c>
      <c r="H53" s="43"/>
      <c r="I53" s="28" t="str">
        <f>Table43[[#This Row],[Nama Jenis Kemasan]]</f>
        <v>BTL</v>
      </c>
      <c r="J53" s="4" t="str">
        <f>TRIM(CONCATENATE(Table43[[#This Row],[Nama            KLP]]," ",Table43[[#This Row],[Nama            Sub KLP]]))</f>
        <v>B&amp;B POWDER</v>
      </c>
      <c r="K53" s="4" t="str">
        <f>CONCATENATE(Table43[[#This Row],[kode  2 Digit                (hrf+No)]],Table43[[#This Row],[kode  2 Digit                (Nomor)]],Table43[[#This Row],[kode  1 Digit                (Nomor)]])</f>
        <v>K1045</v>
      </c>
      <c r="L53" s="4" t="str">
        <f t="shared" si="0"/>
        <v>K1045002006010</v>
      </c>
      <c r="M53" s="11">
        <f t="shared" si="1"/>
        <v>14</v>
      </c>
      <c r="N53" s="14" t="str">
        <f>IF(AF53&lt;&gt;"",TRIM(UPPER(CONCATENATE(P53," ",R53," ",T53," ",V53," ",X53," ",Z53," ","X"," ",Table43[[#This Row],[ISI/CTN]]," ",AF53," ",AB53," ",AD53," ",AH53))),TRIM(UPPER(CONCATENATE(P53," ",R53," ",T53," ",V53," ",X53," ",Z53," ","X"," ",Table43[[#This Row],[ISI/CTN]]," ",AB53," ",AD53," ",AH53))))</f>
        <v>KNF B&amp;B POWDER BUBBLES 60GR X 36 BTL</v>
      </c>
      <c r="O53" s="11">
        <f t="shared" si="2"/>
        <v>36</v>
      </c>
      <c r="P53" s="4" t="s">
        <v>97</v>
      </c>
      <c r="Q53" s="7" t="s">
        <v>98</v>
      </c>
      <c r="R53" s="4" t="s">
        <v>2524</v>
      </c>
      <c r="S53" s="44" t="s">
        <v>2474</v>
      </c>
      <c r="T53" s="45" t="s">
        <v>3596</v>
      </c>
      <c r="U53" s="7" t="s">
        <v>3597</v>
      </c>
      <c r="V53" s="45" t="s">
        <v>2961</v>
      </c>
      <c r="W53" s="44" t="s">
        <v>2900</v>
      </c>
      <c r="X53" s="4" t="s">
        <v>3601</v>
      </c>
      <c r="Y53" s="46" t="s">
        <v>2472</v>
      </c>
      <c r="Z53" s="4" t="s">
        <v>3599</v>
      </c>
      <c r="AA53" s="46" t="s">
        <v>2481</v>
      </c>
      <c r="AB53" s="4" t="s">
        <v>357</v>
      </c>
      <c r="AC53" s="7" t="s">
        <v>2656</v>
      </c>
      <c r="AD53" s="4" t="s">
        <v>2961</v>
      </c>
      <c r="AE53" s="7" t="s">
        <v>2900</v>
      </c>
      <c r="AF53" s="7" t="s">
        <v>2961</v>
      </c>
      <c r="AG53" s="7" t="s">
        <v>2961</v>
      </c>
      <c r="AI53" s="7" t="s">
        <v>2463</v>
      </c>
      <c r="AJ53" s="7" t="s">
        <v>3562</v>
      </c>
      <c r="AK53" s="41">
        <f>Table43[[#This Row],[Harga Jual Pcs GT
(-PPN)]]-(Table43[[#This Row],[Harga Jual Pcs GT
(-PPN)]]*10%)</f>
        <v>0</v>
      </c>
      <c r="AL53" s="42">
        <f>Table43[[#This Row],[Harga Beli Pcs
(-PPN)]]*Table43[[#This Row],[ISI/CTN]]</f>
        <v>0</v>
      </c>
      <c r="AM53" s="42">
        <f>Table43[[#This Row],[Harga Beli Pcs
(-PPN)]]*1.11</f>
        <v>0</v>
      </c>
      <c r="AN53" s="42">
        <f>Table43[[#This Row],[Harga Beli Krt
(- PPN)]]*1.11</f>
        <v>0</v>
      </c>
      <c r="AO53" s="42"/>
      <c r="AP53" s="42">
        <f>Table43[[#This Row],[Harga Jual Pcs GT
(-PPN)]]*Table43[[#This Row],[ISI/CTN]]</f>
        <v>0</v>
      </c>
      <c r="AQ53" s="42">
        <f>Table43[[#This Row],[Harga Jual Pcs GT
(-PPN)]]*1.11</f>
        <v>0</v>
      </c>
      <c r="AR53" s="42">
        <f>Table43[[#This Row],[Harga Jual Krt GT
(- PPN)]]*1.11</f>
        <v>0</v>
      </c>
      <c r="AS53" s="42">
        <f>Table43[[#This Row],[Harga Jual Pcs GT
(-PPN)]]</f>
        <v>0</v>
      </c>
      <c r="AT53" s="42">
        <f>(Table43[[#This Row],[Harga Jual Pcs MT
(-PPN)]]*Table43[[#This Row],[ISI/CTN]])</f>
        <v>0</v>
      </c>
      <c r="AU53" s="42">
        <f>Table43[[#This Row],[Harga Jual Pcs MT
(-PPN)]]*1.11</f>
        <v>0</v>
      </c>
      <c r="AV53" s="42">
        <f>Table43[[#This Row],[Harga Jual Pcs MT
(+PPN)]]*Table43[[#This Row],[ISI/CTN]]</f>
        <v>0</v>
      </c>
      <c r="AW53" s="47"/>
      <c r="AX53" s="7"/>
      <c r="AY53" s="7" t="str">
        <f ca="1">IF(TODAY()-Table43[[#This Row],[Efektif
Pembuatan]]&gt;60,"Lama","Baru")</f>
        <v>Lama</v>
      </c>
      <c r="AZ53" s="7" t="str">
        <f ca="1">IF(TODAY()-Table43[[#This Row],[Efektif Naik Harga]]&lt;30,"Naik","Sama")</f>
        <v>Sama</v>
      </c>
      <c r="BA53" s="7" t="str">
        <f>IF(Table43[[#This Row],[Kode BARANG Win2]]&lt;&gt;"","IDR","")</f>
        <v>IDR</v>
      </c>
      <c r="BB53" s="7" t="str">
        <f>CONCATENATE(Table43[[#This Row],[kode  1 Digit
(Nomor)]],Table43[[#This Row],[kode  4 Digit                (Nomor)]])</f>
        <v>20060</v>
      </c>
      <c r="BC53" s="7" t="str">
        <f>Table43[[#This Row],[Nama            Gramasi atau Jumlah Pack per CTN]]</f>
        <v>60GR</v>
      </c>
      <c r="BD53" s="7"/>
      <c r="BE53" s="7"/>
      <c r="BF53" s="4" t="str">
        <f>IF(Table43[[#This Row],[SATUAN Fix Win]]&lt;&gt;"","KRT")</f>
        <v>KRT</v>
      </c>
      <c r="BG53" s="4" t="str">
        <f>IF(Table43[[#This Row],[SATUAN Fix Win]]&lt;&gt;"","GD01")</f>
        <v>GD01</v>
      </c>
      <c r="BH53" s="4">
        <f>IF(Table43[[#This Row],[SATUAN Fix Win]]&lt;&gt;"",11611)</f>
        <v>11611</v>
      </c>
      <c r="BI53" s="4">
        <f>IF(Table43[[#This Row],[SATUAN Fix Win]]&lt;&gt;"",11612)</f>
        <v>11612</v>
      </c>
      <c r="BJ53" s="48"/>
      <c r="BK53" s="4">
        <f>IF(Table43[[#This Row],[SATUAN Fix Win]]&lt;&gt;"",1)</f>
        <v>1</v>
      </c>
    </row>
    <row r="54" spans="1:67">
      <c r="A54" s="4" t="str">
        <f>CONCATENATE(Table43[[#This Row],[Kode BARANG Win2]],Table43[[#This Row],[No. Urut
Item Sama]])</f>
        <v>K10450020150101</v>
      </c>
      <c r="B54" s="7">
        <v>1</v>
      </c>
      <c r="D54" s="28" t="s">
        <v>850</v>
      </c>
      <c r="E54" s="28"/>
      <c r="F54" s="28" t="s">
        <v>2911</v>
      </c>
      <c r="G54" s="78">
        <v>36</v>
      </c>
      <c r="H54" s="43"/>
      <c r="I54" s="28" t="str">
        <f>Table43[[#This Row],[Nama Jenis Kemasan]]</f>
        <v>BTL</v>
      </c>
      <c r="J54" s="4" t="str">
        <f>TRIM(CONCATENATE(Table43[[#This Row],[Nama            KLP]]," ",Table43[[#This Row],[Nama            Sub KLP]]))</f>
        <v>B&amp;B POWDER</v>
      </c>
      <c r="K54" s="4" t="str">
        <f>CONCATENATE(Table43[[#This Row],[kode  2 Digit                (hrf+No)]],Table43[[#This Row],[kode  2 Digit                (Nomor)]],Table43[[#This Row],[kode  1 Digit                (Nomor)]])</f>
        <v>K1045</v>
      </c>
      <c r="L54" s="4" t="str">
        <f t="shared" si="0"/>
        <v>K1045002015010</v>
      </c>
      <c r="M54" s="11">
        <f t="shared" si="1"/>
        <v>14</v>
      </c>
      <c r="N54" s="14" t="str">
        <f>IF(AF54&lt;&gt;"",TRIM(UPPER(CONCATENATE(P54," ",R54," ",T54," ",V54," ",X54," ",Z54," ","X"," ",Table43[[#This Row],[ISI/CTN]]," ",AF54," ",AB54," ",AD54," ",AH54))),TRIM(UPPER(CONCATENATE(P54," ",R54," ",T54," ",V54," ",X54," ",Z54," ","X"," ",Table43[[#This Row],[ISI/CTN]]," ",AB54," ",AD54," ",AH54))))</f>
        <v>KNF B&amp;B POWDER BUBBLES 150GR X 36 BTL</v>
      </c>
      <c r="O54" s="11">
        <f t="shared" si="2"/>
        <v>37</v>
      </c>
      <c r="P54" s="4" t="s">
        <v>97</v>
      </c>
      <c r="Q54" s="7" t="s">
        <v>98</v>
      </c>
      <c r="R54" s="4" t="s">
        <v>2524</v>
      </c>
      <c r="S54" s="44" t="s">
        <v>2474</v>
      </c>
      <c r="T54" s="45" t="s">
        <v>3596</v>
      </c>
      <c r="U54" s="7" t="s">
        <v>3597</v>
      </c>
      <c r="V54" s="45" t="s">
        <v>2961</v>
      </c>
      <c r="W54" s="44" t="s">
        <v>2900</v>
      </c>
      <c r="X54" s="4" t="s">
        <v>3601</v>
      </c>
      <c r="Y54" s="46" t="s">
        <v>2472</v>
      </c>
      <c r="Z54" s="4" t="s">
        <v>3600</v>
      </c>
      <c r="AA54" s="46" t="s">
        <v>2482</v>
      </c>
      <c r="AB54" s="4" t="s">
        <v>357</v>
      </c>
      <c r="AC54" s="7" t="s">
        <v>2656</v>
      </c>
      <c r="AD54" s="4" t="s">
        <v>2961</v>
      </c>
      <c r="AE54" s="7" t="s">
        <v>2900</v>
      </c>
      <c r="AF54" s="7" t="s">
        <v>2961</v>
      </c>
      <c r="AG54" s="7" t="s">
        <v>2961</v>
      </c>
      <c r="AI54" s="7" t="s">
        <v>2463</v>
      </c>
      <c r="AJ54" s="7" t="s">
        <v>3562</v>
      </c>
      <c r="AK54" s="41">
        <f>Table43[[#This Row],[Harga Jual Pcs GT
(-PPN)]]-(Table43[[#This Row],[Harga Jual Pcs GT
(-PPN)]]*10%)</f>
        <v>0</v>
      </c>
      <c r="AL54" s="42">
        <f>Table43[[#This Row],[Harga Beli Pcs
(-PPN)]]*Table43[[#This Row],[ISI/CTN]]</f>
        <v>0</v>
      </c>
      <c r="AM54" s="42">
        <f>Table43[[#This Row],[Harga Beli Pcs
(-PPN)]]*1.11</f>
        <v>0</v>
      </c>
      <c r="AN54" s="42">
        <f>Table43[[#This Row],[Harga Beli Krt
(- PPN)]]*1.11</f>
        <v>0</v>
      </c>
      <c r="AO54" s="42"/>
      <c r="AP54" s="42">
        <f>Table43[[#This Row],[Harga Jual Pcs GT
(-PPN)]]*Table43[[#This Row],[ISI/CTN]]</f>
        <v>0</v>
      </c>
      <c r="AQ54" s="42">
        <f>Table43[[#This Row],[Harga Jual Pcs GT
(-PPN)]]*1.11</f>
        <v>0</v>
      </c>
      <c r="AR54" s="42">
        <f>Table43[[#This Row],[Harga Jual Krt GT
(- PPN)]]*1.11</f>
        <v>0</v>
      </c>
      <c r="AS54" s="42">
        <f>Table43[[#This Row],[Harga Jual Pcs GT
(-PPN)]]</f>
        <v>0</v>
      </c>
      <c r="AT54" s="42">
        <f>(Table43[[#This Row],[Harga Jual Pcs MT
(-PPN)]]*Table43[[#This Row],[ISI/CTN]])</f>
        <v>0</v>
      </c>
      <c r="AU54" s="42">
        <f>Table43[[#This Row],[Harga Jual Pcs MT
(-PPN)]]*1.11</f>
        <v>0</v>
      </c>
      <c r="AV54" s="42">
        <f>Table43[[#This Row],[Harga Jual Pcs MT
(+PPN)]]*Table43[[#This Row],[ISI/CTN]]</f>
        <v>0</v>
      </c>
      <c r="AW54" s="47"/>
      <c r="AX54" s="7"/>
      <c r="AY54" s="7" t="str">
        <f ca="1">IF(TODAY()-Table43[[#This Row],[Efektif
Pembuatan]]&gt;60,"Lama","Baru")</f>
        <v>Lama</v>
      </c>
      <c r="AZ54" s="7" t="str">
        <f ca="1">IF(TODAY()-Table43[[#This Row],[Efektif Naik Harga]]&lt;30,"Naik","Sama")</f>
        <v>Sama</v>
      </c>
      <c r="BA54" s="7" t="str">
        <f>IF(Table43[[#This Row],[Kode BARANG Win2]]&lt;&gt;"","IDR","")</f>
        <v>IDR</v>
      </c>
      <c r="BB54" s="7" t="str">
        <f>CONCATENATE(Table43[[#This Row],[kode  1 Digit
(Nomor)]],Table43[[#This Row],[kode  4 Digit                (Nomor)]])</f>
        <v>20150</v>
      </c>
      <c r="BC54" s="7" t="str">
        <f>Table43[[#This Row],[Nama            Gramasi atau Jumlah Pack per CTN]]</f>
        <v>150GR</v>
      </c>
      <c r="BD54" s="7"/>
      <c r="BE54" s="7"/>
      <c r="BF54" s="4" t="str">
        <f>IF(Table43[[#This Row],[SATUAN Fix Win]]&lt;&gt;"","KRT")</f>
        <v>KRT</v>
      </c>
      <c r="BG54" s="4" t="str">
        <f>IF(Table43[[#This Row],[SATUAN Fix Win]]&lt;&gt;"","GD01")</f>
        <v>GD01</v>
      </c>
      <c r="BH54" s="4">
        <f>IF(Table43[[#This Row],[SATUAN Fix Win]]&lt;&gt;"",11611)</f>
        <v>11611</v>
      </c>
      <c r="BI54" s="4">
        <f>IF(Table43[[#This Row],[SATUAN Fix Win]]&lt;&gt;"",11612)</f>
        <v>11612</v>
      </c>
      <c r="BJ54" s="48"/>
      <c r="BK54" s="4">
        <f>IF(Table43[[#This Row],[SATUAN Fix Win]]&lt;&gt;"",1)</f>
        <v>1</v>
      </c>
    </row>
    <row r="55" spans="1:67">
      <c r="A55" s="4" t="str">
        <f>CONCATENATE(Table43[[#This Row],[Kode BARANG Win2]],Table43[[#This Row],[No. Urut
Item Sama]])</f>
        <v>K10450030060101</v>
      </c>
      <c r="B55" s="7">
        <v>1</v>
      </c>
      <c r="D55" s="28" t="s">
        <v>851</v>
      </c>
      <c r="E55" s="28"/>
      <c r="F55" s="28" t="s">
        <v>2912</v>
      </c>
      <c r="G55" s="78">
        <v>36</v>
      </c>
      <c r="H55" s="43"/>
      <c r="I55" s="28" t="str">
        <f>Table43[[#This Row],[Nama Jenis Kemasan]]</f>
        <v>BTL</v>
      </c>
      <c r="J55" s="4" t="str">
        <f>TRIM(CONCATENATE(Table43[[#This Row],[Nama            KLP]]," ",Table43[[#This Row],[Nama            Sub KLP]]))</f>
        <v>B&amp;B POWDER</v>
      </c>
      <c r="K55" s="4" t="str">
        <f>CONCATENATE(Table43[[#This Row],[kode  2 Digit                (hrf+No)]],Table43[[#This Row],[kode  2 Digit                (Nomor)]],Table43[[#This Row],[kode  1 Digit                (Nomor)]])</f>
        <v>K1045</v>
      </c>
      <c r="L55" s="4" t="str">
        <f t="shared" si="0"/>
        <v>K1045003006010</v>
      </c>
      <c r="M55" s="11">
        <f t="shared" si="1"/>
        <v>14</v>
      </c>
      <c r="N55" s="14" t="str">
        <f>IF(AF55&lt;&gt;"",TRIM(UPPER(CONCATENATE(P55," ",R55," ",T55," ",V55," ",X55," ",Z55," ","X"," ",Table43[[#This Row],[ISI/CTN]]," ",AF55," ",AB55," ",AD55," ",AH55))),TRIM(UPPER(CONCATENATE(P55," ",R55," ",T55," ",V55," ",X55," ",Z55," ","X"," ",Table43[[#This Row],[ISI/CTN]]," ",AB55," ",AD55," ",AH55))))</f>
        <v>KNF B&amp;B POWDER BUTTERCUP 60GR X 36 BTL</v>
      </c>
      <c r="O55" s="11">
        <f t="shared" si="2"/>
        <v>38</v>
      </c>
      <c r="P55" s="4" t="s">
        <v>97</v>
      </c>
      <c r="Q55" s="7" t="s">
        <v>98</v>
      </c>
      <c r="R55" s="4" t="s">
        <v>2524</v>
      </c>
      <c r="S55" s="44" t="s">
        <v>2474</v>
      </c>
      <c r="T55" s="45" t="s">
        <v>3596</v>
      </c>
      <c r="U55" s="7" t="s">
        <v>3597</v>
      </c>
      <c r="V55" s="45" t="s">
        <v>2961</v>
      </c>
      <c r="W55" s="44" t="s">
        <v>2900</v>
      </c>
      <c r="X55" s="4" t="s">
        <v>3602</v>
      </c>
      <c r="Y55" s="46" t="s">
        <v>2473</v>
      </c>
      <c r="Z55" s="4" t="s">
        <v>3599</v>
      </c>
      <c r="AA55" s="46" t="s">
        <v>2481</v>
      </c>
      <c r="AB55" s="4" t="s">
        <v>357</v>
      </c>
      <c r="AC55" s="7" t="s">
        <v>2656</v>
      </c>
      <c r="AD55" s="4" t="s">
        <v>2961</v>
      </c>
      <c r="AE55" s="7" t="s">
        <v>2900</v>
      </c>
      <c r="AF55" s="7" t="s">
        <v>2961</v>
      </c>
      <c r="AG55" s="7" t="s">
        <v>2961</v>
      </c>
      <c r="AI55" s="7" t="s">
        <v>2463</v>
      </c>
      <c r="AJ55" s="7" t="s">
        <v>3562</v>
      </c>
      <c r="AK55" s="41">
        <f>Table43[[#This Row],[Harga Jual Pcs GT
(-PPN)]]-(Table43[[#This Row],[Harga Jual Pcs GT
(-PPN)]]*10%)</f>
        <v>0</v>
      </c>
      <c r="AL55" s="42">
        <f>Table43[[#This Row],[Harga Beli Pcs
(-PPN)]]*Table43[[#This Row],[ISI/CTN]]</f>
        <v>0</v>
      </c>
      <c r="AM55" s="42">
        <f>Table43[[#This Row],[Harga Beli Pcs
(-PPN)]]*1.11</f>
        <v>0</v>
      </c>
      <c r="AN55" s="42">
        <f>Table43[[#This Row],[Harga Beli Krt
(- PPN)]]*1.11</f>
        <v>0</v>
      </c>
      <c r="AO55" s="42"/>
      <c r="AP55" s="42">
        <f>Table43[[#This Row],[Harga Jual Pcs GT
(-PPN)]]*Table43[[#This Row],[ISI/CTN]]</f>
        <v>0</v>
      </c>
      <c r="AQ55" s="42">
        <f>Table43[[#This Row],[Harga Jual Pcs GT
(-PPN)]]*1.11</f>
        <v>0</v>
      </c>
      <c r="AR55" s="42">
        <f>Table43[[#This Row],[Harga Jual Krt GT
(- PPN)]]*1.11</f>
        <v>0</v>
      </c>
      <c r="AS55" s="42">
        <f>Table43[[#This Row],[Harga Jual Pcs GT
(-PPN)]]</f>
        <v>0</v>
      </c>
      <c r="AT55" s="42">
        <f>(Table43[[#This Row],[Harga Jual Pcs MT
(-PPN)]]*Table43[[#This Row],[ISI/CTN]])</f>
        <v>0</v>
      </c>
      <c r="AU55" s="42">
        <f>Table43[[#This Row],[Harga Jual Pcs MT
(-PPN)]]*1.11</f>
        <v>0</v>
      </c>
      <c r="AV55" s="42">
        <f>Table43[[#This Row],[Harga Jual Pcs MT
(+PPN)]]*Table43[[#This Row],[ISI/CTN]]</f>
        <v>0</v>
      </c>
      <c r="AW55" s="47"/>
      <c r="AX55" s="7"/>
      <c r="AY55" s="7" t="str">
        <f ca="1">IF(TODAY()-Table43[[#This Row],[Efektif
Pembuatan]]&gt;60,"Lama","Baru")</f>
        <v>Lama</v>
      </c>
      <c r="AZ55" s="7" t="str">
        <f ca="1">IF(TODAY()-Table43[[#This Row],[Efektif Naik Harga]]&lt;30,"Naik","Sama")</f>
        <v>Sama</v>
      </c>
      <c r="BA55" s="7" t="str">
        <f>IF(Table43[[#This Row],[Kode BARANG Win2]]&lt;&gt;"","IDR","")</f>
        <v>IDR</v>
      </c>
      <c r="BB55" s="7" t="str">
        <f>CONCATENATE(Table43[[#This Row],[kode  1 Digit
(Nomor)]],Table43[[#This Row],[kode  4 Digit                (Nomor)]])</f>
        <v>20060</v>
      </c>
      <c r="BC55" s="7" t="str">
        <f>Table43[[#This Row],[Nama            Gramasi atau Jumlah Pack per CTN]]</f>
        <v>60GR</v>
      </c>
      <c r="BD55" s="7"/>
      <c r="BE55" s="7"/>
      <c r="BF55" s="4" t="str">
        <f>IF(Table43[[#This Row],[SATUAN Fix Win]]&lt;&gt;"","KRT")</f>
        <v>KRT</v>
      </c>
      <c r="BG55" s="4" t="str">
        <f>IF(Table43[[#This Row],[SATUAN Fix Win]]&lt;&gt;"","GD01")</f>
        <v>GD01</v>
      </c>
      <c r="BH55" s="4">
        <f>IF(Table43[[#This Row],[SATUAN Fix Win]]&lt;&gt;"",11611)</f>
        <v>11611</v>
      </c>
      <c r="BI55" s="4">
        <f>IF(Table43[[#This Row],[SATUAN Fix Win]]&lt;&gt;"",11612)</f>
        <v>11612</v>
      </c>
      <c r="BJ55" s="48"/>
      <c r="BK55" s="4">
        <f>IF(Table43[[#This Row],[SATUAN Fix Win]]&lt;&gt;"",1)</f>
        <v>1</v>
      </c>
    </row>
    <row r="56" spans="1:67">
      <c r="A56" s="4" t="str">
        <f>CONCATENATE(Table43[[#This Row],[Kode BARANG Win2]],Table43[[#This Row],[No. Urut
Item Sama]])</f>
        <v>K10450030150102</v>
      </c>
      <c r="B56" s="7">
        <v>2</v>
      </c>
      <c r="D56" s="28" t="s">
        <v>852</v>
      </c>
      <c r="E56" s="28"/>
      <c r="F56" s="28" t="s">
        <v>2913</v>
      </c>
      <c r="G56" s="78">
        <v>36</v>
      </c>
      <c r="H56" s="43"/>
      <c r="I56" s="28" t="str">
        <f>Table43[[#This Row],[Nama Jenis Kemasan]]</f>
        <v>BTL</v>
      </c>
      <c r="J56" s="4" t="str">
        <f>TRIM(CONCATENATE(Table43[[#This Row],[Nama            KLP]]," ",Table43[[#This Row],[Nama            Sub KLP]]))</f>
        <v>B&amp;B POWDER</v>
      </c>
      <c r="K56" s="4" t="str">
        <f>CONCATENATE(Table43[[#This Row],[kode  2 Digit                (hrf+No)]],Table43[[#This Row],[kode  2 Digit                (Nomor)]],Table43[[#This Row],[kode  1 Digit                (Nomor)]])</f>
        <v>K1045</v>
      </c>
      <c r="L56" s="4" t="str">
        <f t="shared" si="0"/>
        <v>K1045003015010</v>
      </c>
      <c r="M56" s="11">
        <f t="shared" si="1"/>
        <v>14</v>
      </c>
      <c r="N56" s="14" t="str">
        <f>IF(AF56&lt;&gt;"",TRIM(UPPER(CONCATENATE(P56," ",R56," ",T56," ",V56," ",X56," ",Z56," ","X"," ",Table43[[#This Row],[ISI/CTN]]," ",AF56," ",AB56," ",AD56," ",AH56))),TRIM(UPPER(CONCATENATE(P56," ",R56," ",T56," ",V56," ",X56," ",Z56," ","X"," ",Table43[[#This Row],[ISI/CTN]]," ",AB56," ",AD56," ",AH56))))</f>
        <v>KNF B&amp;B POWDER BUTTERCUP 150GR X 36 BTL</v>
      </c>
      <c r="O56" s="11">
        <f t="shared" si="2"/>
        <v>39</v>
      </c>
      <c r="P56" s="4" t="s">
        <v>97</v>
      </c>
      <c r="Q56" s="7" t="s">
        <v>98</v>
      </c>
      <c r="R56" s="4" t="s">
        <v>2524</v>
      </c>
      <c r="S56" s="44" t="s">
        <v>2474</v>
      </c>
      <c r="T56" s="45" t="s">
        <v>3596</v>
      </c>
      <c r="U56" s="7" t="s">
        <v>3597</v>
      </c>
      <c r="V56" s="45" t="s">
        <v>2961</v>
      </c>
      <c r="W56" s="44" t="s">
        <v>2900</v>
      </c>
      <c r="X56" s="4" t="s">
        <v>3602</v>
      </c>
      <c r="Y56" s="46" t="s">
        <v>2473</v>
      </c>
      <c r="Z56" s="4" t="s">
        <v>3600</v>
      </c>
      <c r="AA56" s="46" t="s">
        <v>2482</v>
      </c>
      <c r="AB56" s="4" t="s">
        <v>357</v>
      </c>
      <c r="AC56" s="7" t="s">
        <v>2656</v>
      </c>
      <c r="AD56" s="4" t="s">
        <v>2961</v>
      </c>
      <c r="AE56" s="7" t="s">
        <v>2900</v>
      </c>
      <c r="AF56" s="7" t="s">
        <v>2961</v>
      </c>
      <c r="AG56" s="7" t="s">
        <v>2961</v>
      </c>
      <c r="AI56" s="7" t="s">
        <v>2463</v>
      </c>
      <c r="AJ56" s="7" t="s">
        <v>3562</v>
      </c>
      <c r="AK56" s="41">
        <f>Table43[[#This Row],[Harga Jual Pcs GT
(-PPN)]]-(Table43[[#This Row],[Harga Jual Pcs GT
(-PPN)]]*10%)</f>
        <v>0</v>
      </c>
      <c r="AL56" s="42">
        <f>Table43[[#This Row],[Harga Beli Pcs
(-PPN)]]*Table43[[#This Row],[ISI/CTN]]</f>
        <v>0</v>
      </c>
      <c r="AM56" s="42">
        <f>Table43[[#This Row],[Harga Beli Pcs
(-PPN)]]*1.11</f>
        <v>0</v>
      </c>
      <c r="AN56" s="42">
        <f>Table43[[#This Row],[Harga Beli Krt
(- PPN)]]*1.11</f>
        <v>0</v>
      </c>
      <c r="AO56" s="42"/>
      <c r="AP56" s="42">
        <f>Table43[[#This Row],[Harga Jual Pcs GT
(-PPN)]]*Table43[[#This Row],[ISI/CTN]]</f>
        <v>0</v>
      </c>
      <c r="AQ56" s="42">
        <f>Table43[[#This Row],[Harga Jual Pcs GT
(-PPN)]]*1.11</f>
        <v>0</v>
      </c>
      <c r="AR56" s="42">
        <f>Table43[[#This Row],[Harga Jual Krt GT
(- PPN)]]*1.11</f>
        <v>0</v>
      </c>
      <c r="AS56" s="42">
        <f>Table43[[#This Row],[Harga Jual Pcs GT
(-PPN)]]</f>
        <v>0</v>
      </c>
      <c r="AT56" s="42">
        <f>(Table43[[#This Row],[Harga Jual Pcs MT
(-PPN)]]*Table43[[#This Row],[ISI/CTN]])</f>
        <v>0</v>
      </c>
      <c r="AU56" s="42">
        <f>Table43[[#This Row],[Harga Jual Pcs MT
(-PPN)]]*1.11</f>
        <v>0</v>
      </c>
      <c r="AV56" s="42">
        <f>Table43[[#This Row],[Harga Jual Pcs MT
(+PPN)]]*Table43[[#This Row],[ISI/CTN]]</f>
        <v>0</v>
      </c>
      <c r="AW56" s="47"/>
      <c r="AX56" s="7"/>
      <c r="AY56" s="7" t="str">
        <f ca="1">IF(TODAY()-Table43[[#This Row],[Efektif
Pembuatan]]&gt;60,"Lama","Baru")</f>
        <v>Lama</v>
      </c>
      <c r="AZ56" s="7" t="str">
        <f ca="1">IF(TODAY()-Table43[[#This Row],[Efektif Naik Harga]]&lt;30,"Naik","Sama")</f>
        <v>Sama</v>
      </c>
      <c r="BA56" s="7" t="str">
        <f>IF(Table43[[#This Row],[Kode BARANG Win2]]&lt;&gt;"","IDR","")</f>
        <v>IDR</v>
      </c>
      <c r="BB56" s="7" t="str">
        <f>CONCATENATE(Table43[[#This Row],[kode  1 Digit
(Nomor)]],Table43[[#This Row],[kode  4 Digit                (Nomor)]])</f>
        <v>20150</v>
      </c>
      <c r="BC56" s="7" t="str">
        <f>Table43[[#This Row],[Nama            Gramasi atau Jumlah Pack per CTN]]</f>
        <v>150GR</v>
      </c>
      <c r="BD56" s="7"/>
      <c r="BE56" s="7"/>
      <c r="BF56" s="4" t="str">
        <f>IF(Table43[[#This Row],[SATUAN Fix Win]]&lt;&gt;"","KRT")</f>
        <v>KRT</v>
      </c>
      <c r="BG56" s="4" t="str">
        <f>IF(Table43[[#This Row],[SATUAN Fix Win]]&lt;&gt;"","GD01")</f>
        <v>GD01</v>
      </c>
      <c r="BH56" s="4">
        <f>IF(Table43[[#This Row],[SATUAN Fix Win]]&lt;&gt;"",11611)</f>
        <v>11611</v>
      </c>
      <c r="BI56" s="4">
        <f>IF(Table43[[#This Row],[SATUAN Fix Win]]&lt;&gt;"",11612)</f>
        <v>11612</v>
      </c>
      <c r="BJ56" s="48"/>
      <c r="BK56" s="4">
        <f>IF(Table43[[#This Row],[SATUAN Fix Win]]&lt;&gt;"",1)</f>
        <v>1</v>
      </c>
    </row>
    <row r="57" spans="1:67">
      <c r="A57" s="4" t="str">
        <f>CONCATENATE(Table43[[#This Row],[Kode BARANG Win2]],Table43[[#This Row],[No. Urut
Item Sama]])</f>
        <v>K10450040150101</v>
      </c>
      <c r="B57" s="7">
        <v>1</v>
      </c>
      <c r="D57" s="28" t="s">
        <v>853</v>
      </c>
      <c r="E57" s="28"/>
      <c r="F57" s="28" t="s">
        <v>2914</v>
      </c>
      <c r="G57" s="78">
        <v>36</v>
      </c>
      <c r="H57" s="43"/>
      <c r="I57" s="28" t="str">
        <f>Table43[[#This Row],[Nama Jenis Kemasan]]</f>
        <v>BTL</v>
      </c>
      <c r="J57" s="4" t="str">
        <f>TRIM(CONCATENATE(Table43[[#This Row],[Nama            KLP]]," ",Table43[[#This Row],[Nama            Sub KLP]]))</f>
        <v>B&amp;B POWDER</v>
      </c>
      <c r="K57" s="4" t="str">
        <f>CONCATENATE(Table43[[#This Row],[kode  2 Digit                (hrf+No)]],Table43[[#This Row],[kode  2 Digit                (Nomor)]],Table43[[#This Row],[kode  1 Digit                (Nomor)]])</f>
        <v>K1045</v>
      </c>
      <c r="L57" s="4" t="str">
        <f t="shared" si="0"/>
        <v>K1045004015010</v>
      </c>
      <c r="M57" s="11">
        <f t="shared" si="1"/>
        <v>14</v>
      </c>
      <c r="N57" s="14" t="str">
        <f>IF(AF57&lt;&gt;"",TRIM(UPPER(CONCATENATE(P57," ",R57," ",T57," ",V57," ",X57," ",Z57," ","X"," ",Table43[[#This Row],[ISI/CTN]]," ",AF57," ",AB57," ",AD57," ",AH57))),TRIM(UPPER(CONCATENATE(P57," ",R57," ",T57," ",V57," ",X57," ",Z57," ","X"," ",Table43[[#This Row],[ISI/CTN]]," ",AB57," ",AD57," ",AH57))))</f>
        <v>KNF B&amp;B POWDER BARBIE 150GR X 36 BTL</v>
      </c>
      <c r="O57" s="11">
        <f t="shared" si="2"/>
        <v>36</v>
      </c>
      <c r="P57" s="4" t="s">
        <v>97</v>
      </c>
      <c r="Q57" s="7" t="s">
        <v>98</v>
      </c>
      <c r="R57" s="4" t="s">
        <v>2524</v>
      </c>
      <c r="S57" s="44" t="s">
        <v>2474</v>
      </c>
      <c r="T57" s="45" t="s">
        <v>3596</v>
      </c>
      <c r="U57" s="7" t="s">
        <v>3597</v>
      </c>
      <c r="V57" s="45" t="s">
        <v>2961</v>
      </c>
      <c r="W57" s="44" t="s">
        <v>2900</v>
      </c>
      <c r="X57" s="4" t="s">
        <v>3603</v>
      </c>
      <c r="Y57" s="46" t="s">
        <v>2474</v>
      </c>
      <c r="Z57" s="4" t="s">
        <v>3600</v>
      </c>
      <c r="AA57" s="46" t="s">
        <v>2482</v>
      </c>
      <c r="AB57" s="4" t="s">
        <v>357</v>
      </c>
      <c r="AC57" s="7" t="s">
        <v>2656</v>
      </c>
      <c r="AD57" s="4" t="s">
        <v>2961</v>
      </c>
      <c r="AE57" s="7" t="s">
        <v>2900</v>
      </c>
      <c r="AF57" s="7" t="s">
        <v>2961</v>
      </c>
      <c r="AG57" s="7" t="s">
        <v>2961</v>
      </c>
      <c r="AI57" s="7" t="s">
        <v>2463</v>
      </c>
      <c r="AJ57" s="7" t="s">
        <v>3562</v>
      </c>
      <c r="AK57" s="41">
        <f>Table43[[#This Row],[Harga Jual Pcs GT
(-PPN)]]-(Table43[[#This Row],[Harga Jual Pcs GT
(-PPN)]]*10%)</f>
        <v>0</v>
      </c>
      <c r="AL57" s="42">
        <f>Table43[[#This Row],[Harga Beli Pcs
(-PPN)]]*Table43[[#This Row],[ISI/CTN]]</f>
        <v>0</v>
      </c>
      <c r="AM57" s="42">
        <f>Table43[[#This Row],[Harga Beli Pcs
(-PPN)]]*1.11</f>
        <v>0</v>
      </c>
      <c r="AN57" s="42">
        <f>Table43[[#This Row],[Harga Beli Krt
(- PPN)]]*1.11</f>
        <v>0</v>
      </c>
      <c r="AO57" s="42"/>
      <c r="AP57" s="42">
        <f>Table43[[#This Row],[Harga Jual Pcs GT
(-PPN)]]*Table43[[#This Row],[ISI/CTN]]</f>
        <v>0</v>
      </c>
      <c r="AQ57" s="42">
        <f>Table43[[#This Row],[Harga Jual Pcs GT
(-PPN)]]*1.11</f>
        <v>0</v>
      </c>
      <c r="AR57" s="42">
        <f>Table43[[#This Row],[Harga Jual Krt GT
(- PPN)]]*1.11</f>
        <v>0</v>
      </c>
      <c r="AS57" s="42">
        <f>Table43[[#This Row],[Harga Jual Pcs GT
(-PPN)]]</f>
        <v>0</v>
      </c>
      <c r="AT57" s="42">
        <f>(Table43[[#This Row],[Harga Jual Pcs MT
(-PPN)]]*Table43[[#This Row],[ISI/CTN]])</f>
        <v>0</v>
      </c>
      <c r="AU57" s="42">
        <f>Table43[[#This Row],[Harga Jual Pcs MT
(-PPN)]]*1.11</f>
        <v>0</v>
      </c>
      <c r="AV57" s="42">
        <f>Table43[[#This Row],[Harga Jual Pcs MT
(+PPN)]]*Table43[[#This Row],[ISI/CTN]]</f>
        <v>0</v>
      </c>
      <c r="AW57" s="47"/>
      <c r="AX57" s="7"/>
      <c r="AY57" s="7" t="str">
        <f ca="1">IF(TODAY()-Table43[[#This Row],[Efektif
Pembuatan]]&gt;60,"Lama","Baru")</f>
        <v>Lama</v>
      </c>
      <c r="AZ57" s="7" t="str">
        <f ca="1">IF(TODAY()-Table43[[#This Row],[Efektif Naik Harga]]&lt;30,"Naik","Sama")</f>
        <v>Sama</v>
      </c>
      <c r="BA57" s="7" t="str">
        <f>IF(Table43[[#This Row],[Kode BARANG Win2]]&lt;&gt;"","IDR","")</f>
        <v>IDR</v>
      </c>
      <c r="BB57" s="7" t="str">
        <f>CONCATENATE(Table43[[#This Row],[kode  1 Digit
(Nomor)]],Table43[[#This Row],[kode  4 Digit                (Nomor)]])</f>
        <v>20150</v>
      </c>
      <c r="BC57" s="7" t="str">
        <f>Table43[[#This Row],[Nama            Gramasi atau Jumlah Pack per CTN]]</f>
        <v>150GR</v>
      </c>
      <c r="BD57" s="7"/>
      <c r="BE57" s="7"/>
      <c r="BF57" s="4" t="str">
        <f>IF(Table43[[#This Row],[SATUAN Fix Win]]&lt;&gt;"","KRT")</f>
        <v>KRT</v>
      </c>
      <c r="BG57" s="4" t="str">
        <f>IF(Table43[[#This Row],[SATUAN Fix Win]]&lt;&gt;"","GD01")</f>
        <v>GD01</v>
      </c>
      <c r="BH57" s="4">
        <f>IF(Table43[[#This Row],[SATUAN Fix Win]]&lt;&gt;"",11611)</f>
        <v>11611</v>
      </c>
      <c r="BI57" s="4">
        <f>IF(Table43[[#This Row],[SATUAN Fix Win]]&lt;&gt;"",11612)</f>
        <v>11612</v>
      </c>
      <c r="BJ57" s="48"/>
      <c r="BK57" s="4">
        <f>IF(Table43[[#This Row],[SATUAN Fix Win]]&lt;&gt;"",1)</f>
        <v>1</v>
      </c>
    </row>
    <row r="58" spans="1:67">
      <c r="A58" s="4" t="str">
        <f>CONCATENATE(Table43[[#This Row],[Kode BARANG Win2]],Table43[[#This Row],[No. Urut
Item Sama]])</f>
        <v>K10450050150102</v>
      </c>
      <c r="B58" s="7">
        <v>2</v>
      </c>
      <c r="D58" s="28" t="s">
        <v>854</v>
      </c>
      <c r="E58" s="28"/>
      <c r="F58" s="28" t="s">
        <v>2915</v>
      </c>
      <c r="G58" s="78">
        <v>36</v>
      </c>
      <c r="H58" s="43"/>
      <c r="I58" s="28" t="str">
        <f>Table43[[#This Row],[Nama Jenis Kemasan]]</f>
        <v>BTL</v>
      </c>
      <c r="J58" s="4" t="str">
        <f>TRIM(CONCATENATE(Table43[[#This Row],[Nama            KLP]]," ",Table43[[#This Row],[Nama            Sub KLP]]))</f>
        <v>B&amp;B POWDER</v>
      </c>
      <c r="K58" s="4" t="str">
        <f>CONCATENATE(Table43[[#This Row],[kode  2 Digit                (hrf+No)]],Table43[[#This Row],[kode  2 Digit                (Nomor)]],Table43[[#This Row],[kode  1 Digit                (Nomor)]])</f>
        <v>K1045</v>
      </c>
      <c r="L58" s="4" t="str">
        <f t="shared" si="0"/>
        <v>K1045005015010</v>
      </c>
      <c r="M58" s="11">
        <f t="shared" si="1"/>
        <v>14</v>
      </c>
      <c r="N58" s="14" t="str">
        <f>IF(AF58&lt;&gt;"",TRIM(UPPER(CONCATENATE(P58," ",R58," ",T58," ",V58," ",X58," ",Z58," ","X"," ",Table43[[#This Row],[ISI/CTN]]," ",AF58," ",AB58," ",AD58," ",AH58))),TRIM(UPPER(CONCATENATE(P58," ",R58," ",T58," ",V58," ",X58," ",Z58," ","X"," ",Table43[[#This Row],[ISI/CTN]]," ",AB58," ",AD58," ",AH58))))</f>
        <v>KNF B&amp;B POWDER NATURAL MILD 150GR X 36 BTL</v>
      </c>
      <c r="O58" s="11">
        <f t="shared" si="2"/>
        <v>42</v>
      </c>
      <c r="P58" s="4" t="s">
        <v>97</v>
      </c>
      <c r="Q58" s="7" t="s">
        <v>98</v>
      </c>
      <c r="R58" s="4" t="s">
        <v>2524</v>
      </c>
      <c r="S58" s="44" t="s">
        <v>2474</v>
      </c>
      <c r="T58" s="45" t="s">
        <v>3596</v>
      </c>
      <c r="U58" s="7" t="s">
        <v>3597</v>
      </c>
      <c r="V58" s="45" t="s">
        <v>2961</v>
      </c>
      <c r="W58" s="44" t="s">
        <v>2900</v>
      </c>
      <c r="X58" s="4" t="s">
        <v>3604</v>
      </c>
      <c r="Y58" s="46" t="s">
        <v>2475</v>
      </c>
      <c r="Z58" s="4" t="s">
        <v>3600</v>
      </c>
      <c r="AA58" s="46" t="s">
        <v>2482</v>
      </c>
      <c r="AB58" s="4" t="s">
        <v>357</v>
      </c>
      <c r="AC58" s="7" t="s">
        <v>2656</v>
      </c>
      <c r="AD58" s="4" t="s">
        <v>2961</v>
      </c>
      <c r="AE58" s="7" t="s">
        <v>2900</v>
      </c>
      <c r="AF58" s="7" t="s">
        <v>2961</v>
      </c>
      <c r="AG58" s="7" t="s">
        <v>2961</v>
      </c>
      <c r="AI58" s="7" t="s">
        <v>2463</v>
      </c>
      <c r="AJ58" s="7" t="s">
        <v>3562</v>
      </c>
      <c r="AK58" s="41">
        <f>Table43[[#This Row],[Harga Jual Pcs GT
(-PPN)]]-(Table43[[#This Row],[Harga Jual Pcs GT
(-PPN)]]*10%)</f>
        <v>0</v>
      </c>
      <c r="AL58" s="42">
        <f>Table43[[#This Row],[Harga Beli Pcs
(-PPN)]]*Table43[[#This Row],[ISI/CTN]]</f>
        <v>0</v>
      </c>
      <c r="AM58" s="42">
        <f>Table43[[#This Row],[Harga Beli Pcs
(-PPN)]]*1.11</f>
        <v>0</v>
      </c>
      <c r="AN58" s="42">
        <f>Table43[[#This Row],[Harga Beli Krt
(- PPN)]]*1.11</f>
        <v>0</v>
      </c>
      <c r="AO58" s="42"/>
      <c r="AP58" s="42">
        <f>Table43[[#This Row],[Harga Jual Pcs GT
(-PPN)]]*Table43[[#This Row],[ISI/CTN]]</f>
        <v>0</v>
      </c>
      <c r="AQ58" s="42">
        <f>Table43[[#This Row],[Harga Jual Pcs GT
(-PPN)]]*1.11</f>
        <v>0</v>
      </c>
      <c r="AR58" s="42">
        <f>Table43[[#This Row],[Harga Jual Krt GT
(- PPN)]]*1.11</f>
        <v>0</v>
      </c>
      <c r="AS58" s="42">
        <f>Table43[[#This Row],[Harga Jual Pcs GT
(-PPN)]]</f>
        <v>0</v>
      </c>
      <c r="AT58" s="42">
        <f>(Table43[[#This Row],[Harga Jual Pcs MT
(-PPN)]]*Table43[[#This Row],[ISI/CTN]])</f>
        <v>0</v>
      </c>
      <c r="AU58" s="42">
        <f>Table43[[#This Row],[Harga Jual Pcs MT
(-PPN)]]*1.11</f>
        <v>0</v>
      </c>
      <c r="AV58" s="42">
        <f>Table43[[#This Row],[Harga Jual Pcs MT
(+PPN)]]*Table43[[#This Row],[ISI/CTN]]</f>
        <v>0</v>
      </c>
      <c r="AW58" s="47"/>
      <c r="AX58" s="7"/>
      <c r="AY58" s="7" t="str">
        <f ca="1">IF(TODAY()-Table43[[#This Row],[Efektif
Pembuatan]]&gt;60,"Lama","Baru")</f>
        <v>Lama</v>
      </c>
      <c r="AZ58" s="7" t="str">
        <f ca="1">IF(TODAY()-Table43[[#This Row],[Efektif Naik Harga]]&lt;30,"Naik","Sama")</f>
        <v>Sama</v>
      </c>
      <c r="BA58" s="7" t="str">
        <f>IF(Table43[[#This Row],[Kode BARANG Win2]]&lt;&gt;"","IDR","")</f>
        <v>IDR</v>
      </c>
      <c r="BB58" s="7" t="str">
        <f>CONCATENATE(Table43[[#This Row],[kode  1 Digit
(Nomor)]],Table43[[#This Row],[kode  4 Digit                (Nomor)]])</f>
        <v>20150</v>
      </c>
      <c r="BC58" s="7" t="str">
        <f>Table43[[#This Row],[Nama            Gramasi atau Jumlah Pack per CTN]]</f>
        <v>150GR</v>
      </c>
      <c r="BD58" s="7"/>
      <c r="BE58" s="7"/>
      <c r="BF58" s="4" t="str">
        <f>IF(Table43[[#This Row],[SATUAN Fix Win]]&lt;&gt;"","KRT")</f>
        <v>KRT</v>
      </c>
      <c r="BG58" s="4" t="str">
        <f>IF(Table43[[#This Row],[SATUAN Fix Win]]&lt;&gt;"","GD01")</f>
        <v>GD01</v>
      </c>
      <c r="BH58" s="4">
        <f>IF(Table43[[#This Row],[SATUAN Fix Win]]&lt;&gt;"",11611)</f>
        <v>11611</v>
      </c>
      <c r="BI58" s="4">
        <f>IF(Table43[[#This Row],[SATUAN Fix Win]]&lt;&gt;"",11612)</f>
        <v>11612</v>
      </c>
      <c r="BJ58" s="48"/>
      <c r="BK58" s="4">
        <f>IF(Table43[[#This Row],[SATUAN Fix Win]]&lt;&gt;"",1)</f>
        <v>1</v>
      </c>
    </row>
    <row r="59" spans="1:67">
      <c r="A59" s="4" t="str">
        <f>CONCATENATE(Table43[[#This Row],[Kode BARANG Win2]],Table43[[#This Row],[No. Urut
Item Sama]])</f>
        <v>K10450060150101</v>
      </c>
      <c r="B59" s="7">
        <v>1</v>
      </c>
      <c r="D59" s="28" t="s">
        <v>4044</v>
      </c>
      <c r="E59" s="28"/>
      <c r="F59" s="28">
        <v>0</v>
      </c>
      <c r="G59" s="78">
        <v>36</v>
      </c>
      <c r="H59" s="43"/>
      <c r="I59" s="28" t="str">
        <f>Table43[[#This Row],[Nama Jenis Kemasan]]</f>
        <v>BTL</v>
      </c>
      <c r="J59" s="4" t="str">
        <f>TRIM(CONCATENATE(Table43[[#This Row],[Nama            KLP]]," ",Table43[[#This Row],[Nama            Sub KLP]]))</f>
        <v>B&amp;B POWDER</v>
      </c>
      <c r="K59" s="4" t="str">
        <f>CONCATENATE(Table43[[#This Row],[kode  2 Digit                (hrf+No)]],Table43[[#This Row],[kode  2 Digit                (Nomor)]],Table43[[#This Row],[kode  1 Digit                (Nomor)]])</f>
        <v>K1045</v>
      </c>
      <c r="L59" s="4" t="str">
        <f t="shared" si="0"/>
        <v>K1045006015010</v>
      </c>
      <c r="M59" s="11">
        <f t="shared" si="1"/>
        <v>14</v>
      </c>
      <c r="N59" s="14" t="str">
        <f>IF(AF59&lt;&gt;"",TRIM(UPPER(CONCATENATE(P59," ",R59," ",T59," ",V59," ",X59," ",Z59," ","X"," ",Table43[[#This Row],[ISI/CTN]]," ",AF59," ",AB59," ",AD59," ",AH59))),TRIM(UPPER(CONCATENATE(P59," ",R59," ",T59," ",V59," ",X59," ",Z59," ","X"," ",Table43[[#This Row],[ISI/CTN]]," ",AB59," ",AD59," ",AH59))))</f>
        <v>KNF B&amp;B POWDER GIGGLY SOFT 150GR X 36 BTL</v>
      </c>
      <c r="O59" s="11">
        <f t="shared" si="2"/>
        <v>41</v>
      </c>
      <c r="P59" s="4" t="s">
        <v>97</v>
      </c>
      <c r="Q59" s="7" t="s">
        <v>98</v>
      </c>
      <c r="R59" s="4" t="s">
        <v>2524</v>
      </c>
      <c r="S59" s="44" t="s">
        <v>2474</v>
      </c>
      <c r="T59" s="45" t="s">
        <v>3596</v>
      </c>
      <c r="U59" s="7" t="s">
        <v>3597</v>
      </c>
      <c r="V59" s="45" t="s">
        <v>2961</v>
      </c>
      <c r="W59" s="44" t="s">
        <v>2900</v>
      </c>
      <c r="X59" s="4" t="s">
        <v>3605</v>
      </c>
      <c r="Y59" s="46" t="s">
        <v>2476</v>
      </c>
      <c r="Z59" s="4" t="s">
        <v>3600</v>
      </c>
      <c r="AA59" s="46" t="s">
        <v>2482</v>
      </c>
      <c r="AB59" s="4" t="s">
        <v>357</v>
      </c>
      <c r="AC59" s="7" t="s">
        <v>2656</v>
      </c>
      <c r="AD59" s="4" t="s">
        <v>2961</v>
      </c>
      <c r="AE59" s="7" t="s">
        <v>2900</v>
      </c>
      <c r="AF59" s="7" t="s">
        <v>2961</v>
      </c>
      <c r="AG59" s="7" t="s">
        <v>2961</v>
      </c>
      <c r="AI59" s="7" t="s">
        <v>2463</v>
      </c>
      <c r="AJ59" s="7" t="s">
        <v>3562</v>
      </c>
      <c r="AK59" s="41">
        <f>Table43[[#This Row],[Harga Jual Pcs GT
(-PPN)]]-(Table43[[#This Row],[Harga Jual Pcs GT
(-PPN)]]*10%)</f>
        <v>0</v>
      </c>
      <c r="AL59" s="42">
        <f>Table43[[#This Row],[Harga Beli Pcs
(-PPN)]]*Table43[[#This Row],[ISI/CTN]]</f>
        <v>0</v>
      </c>
      <c r="AM59" s="42">
        <f>Table43[[#This Row],[Harga Beli Pcs
(-PPN)]]*1.11</f>
        <v>0</v>
      </c>
      <c r="AN59" s="42">
        <f>Table43[[#This Row],[Harga Beli Krt
(- PPN)]]*1.11</f>
        <v>0</v>
      </c>
      <c r="AO59" s="42"/>
      <c r="AP59" s="42">
        <f>Table43[[#This Row],[Harga Jual Pcs GT
(-PPN)]]*Table43[[#This Row],[ISI/CTN]]</f>
        <v>0</v>
      </c>
      <c r="AQ59" s="42">
        <f>Table43[[#This Row],[Harga Jual Pcs GT
(-PPN)]]*1.11</f>
        <v>0</v>
      </c>
      <c r="AR59" s="42">
        <f>Table43[[#This Row],[Harga Jual Krt GT
(- PPN)]]*1.11</f>
        <v>0</v>
      </c>
      <c r="AS59" s="42">
        <f>Table43[[#This Row],[Harga Jual Pcs GT
(-PPN)]]</f>
        <v>0</v>
      </c>
      <c r="AT59" s="42">
        <f>(Table43[[#This Row],[Harga Jual Pcs MT
(-PPN)]]*Table43[[#This Row],[ISI/CTN]])</f>
        <v>0</v>
      </c>
      <c r="AU59" s="42">
        <f>Table43[[#This Row],[Harga Jual Pcs MT
(-PPN)]]*1.11</f>
        <v>0</v>
      </c>
      <c r="AV59" s="42">
        <f>Table43[[#This Row],[Harga Jual Pcs MT
(+PPN)]]*Table43[[#This Row],[ISI/CTN]]</f>
        <v>0</v>
      </c>
      <c r="AW59" s="47"/>
      <c r="AX59" s="7"/>
      <c r="AY59" s="7" t="str">
        <f ca="1">IF(TODAY()-Table43[[#This Row],[Efektif
Pembuatan]]&gt;60,"Lama","Baru")</f>
        <v>Lama</v>
      </c>
      <c r="AZ59" s="7" t="str">
        <f ca="1">IF(TODAY()-Table43[[#This Row],[Efektif Naik Harga]]&lt;30,"Naik","Sama")</f>
        <v>Sama</v>
      </c>
      <c r="BA59" s="7" t="str">
        <f>IF(Table43[[#This Row],[Kode BARANG Win2]]&lt;&gt;"","IDR","")</f>
        <v>IDR</v>
      </c>
      <c r="BB59" s="7" t="str">
        <f>CONCATENATE(Table43[[#This Row],[kode  1 Digit
(Nomor)]],Table43[[#This Row],[kode  4 Digit                (Nomor)]])</f>
        <v>20150</v>
      </c>
      <c r="BC59" s="7" t="str">
        <f>Table43[[#This Row],[Nama            Gramasi atau Jumlah Pack per CTN]]</f>
        <v>150GR</v>
      </c>
      <c r="BD59" s="7"/>
      <c r="BE59" s="7"/>
      <c r="BF59" s="4" t="str">
        <f>IF(Table43[[#This Row],[SATUAN Fix Win]]&lt;&gt;"","KRT")</f>
        <v>KRT</v>
      </c>
      <c r="BG59" s="4" t="str">
        <f>IF(Table43[[#This Row],[SATUAN Fix Win]]&lt;&gt;"","GD01")</f>
        <v>GD01</v>
      </c>
      <c r="BH59" s="4">
        <f>IF(Table43[[#This Row],[SATUAN Fix Win]]&lt;&gt;"",11611)</f>
        <v>11611</v>
      </c>
      <c r="BI59" s="4">
        <f>IF(Table43[[#This Row],[SATUAN Fix Win]]&lt;&gt;"",11612)</f>
        <v>11612</v>
      </c>
      <c r="BJ59" s="48"/>
      <c r="BK59" s="4">
        <f>IF(Table43[[#This Row],[SATUAN Fix Win]]&lt;&gt;"",1)</f>
        <v>1</v>
      </c>
    </row>
    <row r="60" spans="1:67" s="64" customFormat="1">
      <c r="A60" s="82" t="str">
        <f>CONCATENATE(Table43[[#This Row],[Kode BARANG Win2]],Table43[[#This Row],[No. Urut
Item Sama]])</f>
        <v>K10450070150101</v>
      </c>
      <c r="B60" s="52">
        <v>1</v>
      </c>
      <c r="C60" s="51"/>
      <c r="D60" s="53">
        <v>103163</v>
      </c>
      <c r="E60" s="53"/>
      <c r="F60" s="79" t="s">
        <v>4109</v>
      </c>
      <c r="G60" s="79"/>
      <c r="H60" s="54"/>
      <c r="I60" s="79" t="str">
        <f>Table43[[#This Row],[Nama Jenis Kemasan]]</f>
        <v>BTL</v>
      </c>
      <c r="J60" s="82" t="str">
        <f>TRIM(CONCATENATE(Table43[[#This Row],[Nama            KLP]]," ",Table43[[#This Row],[Nama            Sub KLP]]))</f>
        <v>B&amp;B POWDER</v>
      </c>
      <c r="K60" s="82" t="str">
        <f>CONCATENATE(Table43[[#This Row],[kode  2 Digit                (hrf+No)]],Table43[[#This Row],[kode  2 Digit                (Nomor)]],Table43[[#This Row],[kode  1 Digit                (Nomor)]])</f>
        <v>K1045</v>
      </c>
      <c r="L60" s="82" t="str">
        <f>IF(AG60="",CONCATENATE(Q60,S60,U60,W60,Y60,AA60,AC60,AE60),CONCATENATE(Q60,S60,U60,W60,Y60,AA60,AC60,AG60))</f>
        <v>K1045007015010</v>
      </c>
      <c r="M60" s="55">
        <f>LEN(L60)</f>
        <v>14</v>
      </c>
      <c r="N60" s="83" t="str">
        <f>IF(AF60&lt;&gt;"",TRIM(UPPER(CONCATENATE(P60," ",R60," ",T60," ",V60," ",X60," ",Z60," ","X"," ",Table43[[#This Row],[ISI/CTN]]," ",AF60," ",AB60," ",AD60," ",AH60))),TRIM(UPPER(CONCATENATE(P60," ",R60," ",T60," ",V60," ",X60," ",Z60," ","X"," ",Table43[[#This Row],[ISI/CTN]]," ",AB60," ",AD60," ",AH60))))</f>
        <v>KNF B&amp;B POWDER CUDDLY SOFT 150GR X BTL</v>
      </c>
      <c r="O60" s="55">
        <f>LEN(N60)</f>
        <v>38</v>
      </c>
      <c r="P60" s="51" t="s">
        <v>97</v>
      </c>
      <c r="Q60" s="52" t="s">
        <v>98</v>
      </c>
      <c r="R60" s="51" t="s">
        <v>2524</v>
      </c>
      <c r="S60" s="57" t="s">
        <v>2474</v>
      </c>
      <c r="T60" s="58" t="s">
        <v>3596</v>
      </c>
      <c r="U60" s="52" t="s">
        <v>3597</v>
      </c>
      <c r="V60" s="58" t="s">
        <v>2961</v>
      </c>
      <c r="W60" s="57" t="s">
        <v>2900</v>
      </c>
      <c r="X60" s="51" t="s">
        <v>4116</v>
      </c>
      <c r="Y60" s="59" t="s">
        <v>2477</v>
      </c>
      <c r="Z60" s="51" t="s">
        <v>3600</v>
      </c>
      <c r="AA60" s="59" t="s">
        <v>2482</v>
      </c>
      <c r="AB60" s="51" t="s">
        <v>357</v>
      </c>
      <c r="AC60" s="52" t="s">
        <v>2656</v>
      </c>
      <c r="AD60" s="51" t="s">
        <v>2961</v>
      </c>
      <c r="AE60" s="52" t="s">
        <v>2900</v>
      </c>
      <c r="AF60" s="52" t="s">
        <v>2961</v>
      </c>
      <c r="AG60" s="52" t="s">
        <v>2961</v>
      </c>
      <c r="AH60" s="84"/>
      <c r="AI60" s="52"/>
      <c r="AJ60" s="52"/>
      <c r="AK60" s="60">
        <f>Table43[[#This Row],[Harga Jual Pcs GT
(-PPN)]]-(Table43[[#This Row],[Harga Jual Pcs GT
(-PPN)]]*10%)</f>
        <v>0</v>
      </c>
      <c r="AL60" s="61">
        <f>Table43[[#This Row],[Harga Beli Pcs
(-PPN)]]*Table43[[#This Row],[ISI/CTN]]</f>
        <v>0</v>
      </c>
      <c r="AM60" s="61">
        <f>Table43[[#This Row],[Harga Beli Pcs
(-PPN)]]*1.11</f>
        <v>0</v>
      </c>
      <c r="AN60" s="61">
        <f>Table43[[#This Row],[Harga Beli Krt
(- PPN)]]*1.11</f>
        <v>0</v>
      </c>
      <c r="AO60" s="61"/>
      <c r="AP60" s="61">
        <f>Table43[[#This Row],[Harga Jual Pcs GT
(-PPN)]]*Table43[[#This Row],[ISI/CTN]]</f>
        <v>0</v>
      </c>
      <c r="AQ60" s="61">
        <f>Table43[[#This Row],[Harga Jual Pcs GT
(-PPN)]]*1.11</f>
        <v>0</v>
      </c>
      <c r="AR60" s="61">
        <f>Table43[[#This Row],[Harga Jual Krt GT
(- PPN)]]*1.11</f>
        <v>0</v>
      </c>
      <c r="AS60" s="61">
        <f>Table43[[#This Row],[Harga Jual Pcs GT
(-PPN)]]</f>
        <v>0</v>
      </c>
      <c r="AT60" s="61">
        <f>(Table43[[#This Row],[Harga Jual Pcs MT
(-PPN)]]*Table43[[#This Row],[ISI/CTN]])</f>
        <v>0</v>
      </c>
      <c r="AU60" s="61">
        <f>Table43[[#This Row],[Harga Jual Pcs MT
(-PPN)]]*1.11</f>
        <v>0</v>
      </c>
      <c r="AV60" s="61">
        <f>Table43[[#This Row],[Harga Jual Pcs MT
(+PPN)]]*Table43[[#This Row],[ISI/CTN]]</f>
        <v>0</v>
      </c>
      <c r="AW60" s="62"/>
      <c r="AX60" s="52"/>
      <c r="AY60" s="84" t="str">
        <f ca="1">IF(TODAY()-Table43[[#This Row],[Efektif
Pembuatan]]&gt;60,"Lama","Baru")</f>
        <v>Lama</v>
      </c>
      <c r="AZ60" s="84" t="str">
        <f ca="1">IF(TODAY()-Table43[[#This Row],[Efektif Naik Harga]]&lt;30,"Naik","Sama")</f>
        <v>Sama</v>
      </c>
      <c r="BA60" s="84" t="str">
        <f>IF(Table43[[#This Row],[Kode BARANG Win2]]&lt;&gt;"","IDR","")</f>
        <v>IDR</v>
      </c>
      <c r="BB60" s="84" t="str">
        <f>CONCATENATE(Table43[[#This Row],[kode  1 Digit
(Nomor)]],Table43[[#This Row],[kode  4 Digit                (Nomor)]])</f>
        <v>0150</v>
      </c>
      <c r="BC60" s="84" t="str">
        <f>Table43[[#This Row],[Nama            Gramasi atau Jumlah Pack per CTN]]</f>
        <v>150GR</v>
      </c>
      <c r="BD60" s="84"/>
      <c r="BE60" s="52"/>
      <c r="BF60" s="82" t="str">
        <f>IF(Table43[[#This Row],[SATUAN Fix Win]]&lt;&gt;"","KRT")</f>
        <v>KRT</v>
      </c>
      <c r="BG60" s="82" t="str">
        <f>IF(Table43[[#This Row],[SATUAN Fix Win]]&lt;&gt;"","GD01")</f>
        <v>GD01</v>
      </c>
      <c r="BH60" s="82">
        <f>IF(Table43[[#This Row],[SATUAN Fix Win]]&lt;&gt;"",11611)</f>
        <v>11611</v>
      </c>
      <c r="BI60" s="82">
        <f>IF(Table43[[#This Row],[SATUAN Fix Win]]&lt;&gt;"",11612)</f>
        <v>11612</v>
      </c>
      <c r="BJ60" s="85"/>
      <c r="BK60" s="82">
        <f>IF(Table43[[#This Row],[SATUAN Fix Win]]&lt;&gt;"",1)</f>
        <v>1</v>
      </c>
      <c r="BL60" s="51"/>
      <c r="BM60" s="51"/>
      <c r="BN60" s="51"/>
      <c r="BO60" s="51"/>
    </row>
    <row r="61" spans="1:67" s="64" customFormat="1">
      <c r="A61" s="82" t="str">
        <f>CONCATENATE(Table43[[#This Row],[Kode BARANG Win2]],Table43[[#This Row],[No. Urut
Item Sama]])</f>
        <v>K10450080150101</v>
      </c>
      <c r="B61" s="52">
        <v>1</v>
      </c>
      <c r="C61" s="51"/>
      <c r="D61" s="53">
        <v>103162</v>
      </c>
      <c r="E61" s="53"/>
      <c r="F61" s="79" t="s">
        <v>4110</v>
      </c>
      <c r="G61" s="79"/>
      <c r="H61" s="54"/>
      <c r="I61" s="79" t="str">
        <f>Table43[[#This Row],[Nama Jenis Kemasan]]</f>
        <v>BTL</v>
      </c>
      <c r="J61" s="82" t="str">
        <f>TRIM(CONCATENATE(Table43[[#This Row],[Nama            KLP]]," ",Table43[[#This Row],[Nama            Sub KLP]]))</f>
        <v>B&amp;B POWDER</v>
      </c>
      <c r="K61" s="82" t="str">
        <f>CONCATENATE(Table43[[#This Row],[kode  2 Digit                (hrf+No)]],Table43[[#This Row],[kode  2 Digit                (Nomor)]],Table43[[#This Row],[kode  1 Digit                (Nomor)]])</f>
        <v>K1045</v>
      </c>
      <c r="L61" s="82" t="str">
        <f>IF(AG61="",CONCATENATE(Q61,S61,U61,W61,Y61,AA61,AC61,AE61),CONCATENATE(Q61,S61,U61,W61,Y61,AA61,AC61,AG61))</f>
        <v>K1045008015010</v>
      </c>
      <c r="M61" s="55">
        <f>LEN(L61)</f>
        <v>14</v>
      </c>
      <c r="N61" s="83" t="str">
        <f>IF(AF61&lt;&gt;"",TRIM(UPPER(CONCATENATE(P61," ",R61," ",T61," ",V61," ",X61," ",Z61," ","X"," ",Table43[[#This Row],[ISI/CTN]]," ",AF61," ",AB61," ",AD61," ",AH61))),TRIM(UPPER(CONCATENATE(P61," ",R61," ",T61," ",V61," ",X61," ",Z61," ","X"," ",Table43[[#This Row],[ISI/CTN]]," ",AB61," ",AD61," ",AH61))))</f>
        <v>KNF B&amp;B POWDER WONDER SOFT 150GR X BTL</v>
      </c>
      <c r="O61" s="55">
        <f>LEN(N61)</f>
        <v>38</v>
      </c>
      <c r="P61" s="51" t="s">
        <v>97</v>
      </c>
      <c r="Q61" s="52" t="s">
        <v>98</v>
      </c>
      <c r="R61" s="51" t="s">
        <v>2524</v>
      </c>
      <c r="S61" s="57" t="s">
        <v>2474</v>
      </c>
      <c r="T61" s="58" t="s">
        <v>3596</v>
      </c>
      <c r="U61" s="52" t="s">
        <v>3597</v>
      </c>
      <c r="V61" s="58" t="s">
        <v>2961</v>
      </c>
      <c r="W61" s="57" t="s">
        <v>2900</v>
      </c>
      <c r="X61" s="51" t="s">
        <v>4119</v>
      </c>
      <c r="Y61" s="59" t="s">
        <v>2478</v>
      </c>
      <c r="Z61" s="51" t="s">
        <v>3600</v>
      </c>
      <c r="AA61" s="59" t="s">
        <v>2482</v>
      </c>
      <c r="AB61" s="51" t="s">
        <v>357</v>
      </c>
      <c r="AC61" s="52" t="s">
        <v>2656</v>
      </c>
      <c r="AD61" s="51" t="s">
        <v>2961</v>
      </c>
      <c r="AE61" s="52" t="s">
        <v>2900</v>
      </c>
      <c r="AF61" s="52" t="s">
        <v>2961</v>
      </c>
      <c r="AG61" s="52" t="s">
        <v>2961</v>
      </c>
      <c r="AH61" s="84"/>
      <c r="AI61" s="52"/>
      <c r="AJ61" s="52"/>
      <c r="AK61" s="60">
        <f>Table43[[#This Row],[Harga Jual Pcs GT
(-PPN)]]-(Table43[[#This Row],[Harga Jual Pcs GT
(-PPN)]]*10%)</f>
        <v>0</v>
      </c>
      <c r="AL61" s="61">
        <f>Table43[[#This Row],[Harga Beli Pcs
(-PPN)]]*Table43[[#This Row],[ISI/CTN]]</f>
        <v>0</v>
      </c>
      <c r="AM61" s="61">
        <f>Table43[[#This Row],[Harga Beli Pcs
(-PPN)]]*1.11</f>
        <v>0</v>
      </c>
      <c r="AN61" s="61">
        <f>Table43[[#This Row],[Harga Beli Krt
(- PPN)]]*1.11</f>
        <v>0</v>
      </c>
      <c r="AO61" s="61"/>
      <c r="AP61" s="61">
        <f>Table43[[#This Row],[Harga Jual Pcs GT
(-PPN)]]*Table43[[#This Row],[ISI/CTN]]</f>
        <v>0</v>
      </c>
      <c r="AQ61" s="61">
        <f>Table43[[#This Row],[Harga Jual Pcs GT
(-PPN)]]*1.11</f>
        <v>0</v>
      </c>
      <c r="AR61" s="61">
        <f>Table43[[#This Row],[Harga Jual Krt GT
(- PPN)]]*1.11</f>
        <v>0</v>
      </c>
      <c r="AS61" s="61">
        <f>Table43[[#This Row],[Harga Jual Pcs GT
(-PPN)]]</f>
        <v>0</v>
      </c>
      <c r="AT61" s="61">
        <f>(Table43[[#This Row],[Harga Jual Pcs MT
(-PPN)]]*Table43[[#This Row],[ISI/CTN]])</f>
        <v>0</v>
      </c>
      <c r="AU61" s="61">
        <f>Table43[[#This Row],[Harga Jual Pcs MT
(-PPN)]]*1.11</f>
        <v>0</v>
      </c>
      <c r="AV61" s="61">
        <f>Table43[[#This Row],[Harga Jual Pcs MT
(+PPN)]]*Table43[[#This Row],[ISI/CTN]]</f>
        <v>0</v>
      </c>
      <c r="AW61" s="62"/>
      <c r="AX61" s="52"/>
      <c r="AY61" s="84" t="str">
        <f ca="1">IF(TODAY()-Table43[[#This Row],[Efektif
Pembuatan]]&gt;60,"Lama","Baru")</f>
        <v>Lama</v>
      </c>
      <c r="AZ61" s="84" t="str">
        <f ca="1">IF(TODAY()-Table43[[#This Row],[Efektif Naik Harga]]&lt;30,"Naik","Sama")</f>
        <v>Sama</v>
      </c>
      <c r="BA61" s="84" t="str">
        <f>IF(Table43[[#This Row],[Kode BARANG Win2]]&lt;&gt;"","IDR","")</f>
        <v>IDR</v>
      </c>
      <c r="BB61" s="84" t="str">
        <f>CONCATENATE(Table43[[#This Row],[kode  1 Digit
(Nomor)]],Table43[[#This Row],[kode  4 Digit                (Nomor)]])</f>
        <v>0150</v>
      </c>
      <c r="BC61" s="84" t="str">
        <f>Table43[[#This Row],[Nama            Gramasi atau Jumlah Pack per CTN]]</f>
        <v>150GR</v>
      </c>
      <c r="BD61" s="84"/>
      <c r="BE61" s="52"/>
      <c r="BF61" s="82" t="str">
        <f>IF(Table43[[#This Row],[SATUAN Fix Win]]&lt;&gt;"","KRT")</f>
        <v>KRT</v>
      </c>
      <c r="BG61" s="82" t="str">
        <f>IF(Table43[[#This Row],[SATUAN Fix Win]]&lt;&gt;"","GD01")</f>
        <v>GD01</v>
      </c>
      <c r="BH61" s="82">
        <f>IF(Table43[[#This Row],[SATUAN Fix Win]]&lt;&gt;"",11611)</f>
        <v>11611</v>
      </c>
      <c r="BI61" s="82">
        <f>IF(Table43[[#This Row],[SATUAN Fix Win]]&lt;&gt;"",11612)</f>
        <v>11612</v>
      </c>
      <c r="BJ61" s="85"/>
      <c r="BK61" s="82">
        <f>IF(Table43[[#This Row],[SATUAN Fix Win]]&lt;&gt;"",1)</f>
        <v>1</v>
      </c>
      <c r="BL61" s="51"/>
      <c r="BM61" s="51"/>
      <c r="BN61" s="51"/>
      <c r="BO61" s="51"/>
    </row>
    <row r="62" spans="1:67">
      <c r="A62" s="4" t="str">
        <f>CONCATENATE(Table43[[#This Row],[Kode BARANG Win2]],Table43[[#This Row],[No. Urut
Item Sama]])</f>
        <v>K10460010100202</v>
      </c>
      <c r="B62" s="7">
        <v>2</v>
      </c>
      <c r="D62" s="28" t="s">
        <v>812</v>
      </c>
      <c r="E62" s="28"/>
      <c r="F62" s="28" t="s">
        <v>3392</v>
      </c>
      <c r="G62" s="78">
        <v>36</v>
      </c>
      <c r="H62" s="43"/>
      <c r="I62" s="28" t="str">
        <f>Table43[[#This Row],[Nama Jenis Kemasan]]</f>
        <v>BTL</v>
      </c>
      <c r="J62" s="4" t="str">
        <f>TRIM(CONCATENATE(Table43[[#This Row],[Nama            KLP]]," ",Table43[[#This Row],[Nama            Sub KLP]]))</f>
        <v>B&amp;B SHAMPOO</v>
      </c>
      <c r="K62" s="4" t="str">
        <f>CONCATENATE(Table43[[#This Row],[kode  2 Digit                (hrf+No)]],Table43[[#This Row],[kode  2 Digit                (Nomor)]],Table43[[#This Row],[kode  1 Digit                (Nomor)]])</f>
        <v>K1046</v>
      </c>
      <c r="L62" s="4" t="str">
        <f t="shared" si="0"/>
        <v>K1046001010020</v>
      </c>
      <c r="M62" s="11">
        <f t="shared" si="1"/>
        <v>14</v>
      </c>
      <c r="N62" s="14" t="str">
        <f>IF(AF62&lt;&gt;"",TRIM(UPPER(CONCATENATE(P62," ",R62," ",T62," ",V62," ",X62," ",Z62," ","X"," ",Table43[[#This Row],[ISI/CTN]]," ",AF62," ",AB62," ",AD62," ",AH62))),TRIM(UPPER(CONCATENATE(P62," ",R62," ",T62," ",V62," ",X62," ",Z62," ","X"," ",Table43[[#This Row],[ISI/CTN]]," ",AB62," ",AD62," ",AH62))))</f>
        <v>KNF B&amp;B SHAMPOO STRAWBERRY BLOSSOM 100ML X 36 BTL</v>
      </c>
      <c r="O62" s="11">
        <f t="shared" si="2"/>
        <v>49</v>
      </c>
      <c r="P62" s="4" t="s">
        <v>97</v>
      </c>
      <c r="Q62" s="7" t="s">
        <v>98</v>
      </c>
      <c r="R62" s="4" t="s">
        <v>2524</v>
      </c>
      <c r="S62" s="44" t="s">
        <v>2474</v>
      </c>
      <c r="T62" s="45" t="s">
        <v>3606</v>
      </c>
      <c r="U62" s="7" t="s">
        <v>3607</v>
      </c>
      <c r="V62" s="45" t="s">
        <v>2961</v>
      </c>
      <c r="W62" s="44" t="s">
        <v>2900</v>
      </c>
      <c r="X62" s="4" t="s">
        <v>3608</v>
      </c>
      <c r="Y62" s="46" t="s">
        <v>0</v>
      </c>
      <c r="Z62" s="4" t="s">
        <v>3588</v>
      </c>
      <c r="AA62" s="46" t="s">
        <v>2487</v>
      </c>
      <c r="AB62" s="4" t="s">
        <v>357</v>
      </c>
      <c r="AC62" s="7" t="s">
        <v>3562</v>
      </c>
      <c r="AD62" s="4" t="s">
        <v>2961</v>
      </c>
      <c r="AE62" s="7" t="s">
        <v>2900</v>
      </c>
      <c r="AF62" s="7" t="s">
        <v>2961</v>
      </c>
      <c r="AG62" s="7" t="s">
        <v>2961</v>
      </c>
      <c r="AI62" s="7" t="s">
        <v>4100</v>
      </c>
      <c r="AJ62" s="7" t="s">
        <v>2656</v>
      </c>
      <c r="AK62" s="41">
        <f>Table43[[#This Row],[Harga Jual Pcs GT
(-PPN)]]-(Table43[[#This Row],[Harga Jual Pcs GT
(-PPN)]]*10%)</f>
        <v>0</v>
      </c>
      <c r="AL62" s="42">
        <f>Table43[[#This Row],[Harga Beli Pcs
(-PPN)]]*Table43[[#This Row],[ISI/CTN]]</f>
        <v>0</v>
      </c>
      <c r="AM62" s="42">
        <f>Table43[[#This Row],[Harga Beli Pcs
(-PPN)]]*1.11</f>
        <v>0</v>
      </c>
      <c r="AN62" s="42">
        <f>Table43[[#This Row],[Harga Beli Krt
(- PPN)]]*1.11</f>
        <v>0</v>
      </c>
      <c r="AO62" s="42"/>
      <c r="AP62" s="42">
        <f>Table43[[#This Row],[Harga Jual Pcs GT
(-PPN)]]*Table43[[#This Row],[ISI/CTN]]</f>
        <v>0</v>
      </c>
      <c r="AQ62" s="42">
        <f>Table43[[#This Row],[Harga Jual Pcs GT
(-PPN)]]*1.11</f>
        <v>0</v>
      </c>
      <c r="AR62" s="42">
        <f>Table43[[#This Row],[Harga Jual Krt GT
(- PPN)]]*1.11</f>
        <v>0</v>
      </c>
      <c r="AS62" s="42">
        <f>Table43[[#This Row],[Harga Jual Pcs GT
(-PPN)]]</f>
        <v>0</v>
      </c>
      <c r="AT62" s="42">
        <f>(Table43[[#This Row],[Harga Jual Pcs MT
(-PPN)]]*Table43[[#This Row],[ISI/CTN]])</f>
        <v>0</v>
      </c>
      <c r="AU62" s="42">
        <f>Table43[[#This Row],[Harga Jual Pcs MT
(-PPN)]]*1.11</f>
        <v>0</v>
      </c>
      <c r="AV62" s="42">
        <f>Table43[[#This Row],[Harga Jual Pcs MT
(+PPN)]]*Table43[[#This Row],[ISI/CTN]]</f>
        <v>0</v>
      </c>
      <c r="AW62" s="47"/>
      <c r="AX62" s="7"/>
      <c r="AY62" s="7" t="str">
        <f ca="1">IF(TODAY()-Table43[[#This Row],[Efektif
Pembuatan]]&gt;60,"Lama","Baru")</f>
        <v>Lama</v>
      </c>
      <c r="AZ62" s="7" t="str">
        <f ca="1">IF(TODAY()-Table43[[#This Row],[Efektif Naik Harga]]&lt;30,"Naik","Sama")</f>
        <v>Sama</v>
      </c>
      <c r="BA62" s="7" t="str">
        <f>IF(Table43[[#This Row],[Kode BARANG Win2]]&lt;&gt;"","IDR","")</f>
        <v>IDR</v>
      </c>
      <c r="BB62" s="7" t="str">
        <f>CONCATENATE(Table43[[#This Row],[kode  1 Digit
(Nomor)]],Table43[[#This Row],[kode  4 Digit                (Nomor)]])</f>
        <v>10100</v>
      </c>
      <c r="BC62" s="7" t="str">
        <f>Table43[[#This Row],[Nama            Gramasi atau Jumlah Pack per CTN]]</f>
        <v>100ML</v>
      </c>
      <c r="BD62" s="7"/>
      <c r="BE62" s="7"/>
      <c r="BF62" s="4" t="str">
        <f>IF(Table43[[#This Row],[SATUAN Fix Win]]&lt;&gt;"","KRT")</f>
        <v>KRT</v>
      </c>
      <c r="BG62" s="4" t="str">
        <f>IF(Table43[[#This Row],[SATUAN Fix Win]]&lt;&gt;"","GD01")</f>
        <v>GD01</v>
      </c>
      <c r="BH62" s="4">
        <f>IF(Table43[[#This Row],[SATUAN Fix Win]]&lt;&gt;"",11611)</f>
        <v>11611</v>
      </c>
      <c r="BI62" s="4">
        <f>IF(Table43[[#This Row],[SATUAN Fix Win]]&lt;&gt;"",11612)</f>
        <v>11612</v>
      </c>
      <c r="BJ62" s="48"/>
      <c r="BK62" s="4">
        <f>IF(Table43[[#This Row],[SATUAN Fix Win]]&lt;&gt;"",1)</f>
        <v>1</v>
      </c>
    </row>
    <row r="63" spans="1:67">
      <c r="A63" s="4" t="str">
        <f>CONCATENATE(Table43[[#This Row],[Kode BARANG Win2]],Table43[[#This Row],[No. Urut
Item Sama]])</f>
        <v>K10460010200201</v>
      </c>
      <c r="B63" s="7">
        <v>1</v>
      </c>
      <c r="D63" s="28" t="s">
        <v>813</v>
      </c>
      <c r="E63" s="28"/>
      <c r="F63" s="28" t="s">
        <v>3393</v>
      </c>
      <c r="G63" s="78">
        <v>36</v>
      </c>
      <c r="H63" s="43"/>
      <c r="I63" s="28" t="str">
        <f>Table43[[#This Row],[Nama Jenis Kemasan]]</f>
        <v>BTL</v>
      </c>
      <c r="J63" s="4" t="str">
        <f>TRIM(CONCATENATE(Table43[[#This Row],[Nama            KLP]]," ",Table43[[#This Row],[Nama            Sub KLP]]))</f>
        <v>B&amp;B SHAMPOO</v>
      </c>
      <c r="K63" s="4" t="str">
        <f>CONCATENATE(Table43[[#This Row],[kode  2 Digit                (hrf+No)]],Table43[[#This Row],[kode  2 Digit                (Nomor)]],Table43[[#This Row],[kode  1 Digit                (Nomor)]])</f>
        <v>K1046</v>
      </c>
      <c r="L63" s="4" t="str">
        <f t="shared" si="0"/>
        <v>K1046001020020</v>
      </c>
      <c r="M63" s="11">
        <f t="shared" si="1"/>
        <v>14</v>
      </c>
      <c r="N63" s="14" t="str">
        <f>IF(AF63&lt;&gt;"",TRIM(UPPER(CONCATENATE(P63," ",R63," ",T63," ",V63," ",X63," ",Z63," ","X"," ",Table43[[#This Row],[ISI/CTN]]," ",AF63," ",AB63," ",AD63," ",AH63))),TRIM(UPPER(CONCATENATE(P63," ",R63," ",T63," ",V63," ",X63," ",Z63," ","X"," ",Table43[[#This Row],[ISI/CTN]]," ",AB63," ",AD63," ",AH63))))</f>
        <v>KNF B&amp;B SHAMPOO STRAWBERRY BLOSSOM 200ML X 36 BTL</v>
      </c>
      <c r="O63" s="11">
        <f t="shared" si="2"/>
        <v>49</v>
      </c>
      <c r="P63" s="4" t="s">
        <v>97</v>
      </c>
      <c r="Q63" s="7" t="s">
        <v>98</v>
      </c>
      <c r="R63" s="4" t="s">
        <v>2524</v>
      </c>
      <c r="S63" s="44" t="s">
        <v>2474</v>
      </c>
      <c r="T63" s="45" t="s">
        <v>3606</v>
      </c>
      <c r="U63" s="7" t="s">
        <v>3607</v>
      </c>
      <c r="V63" s="45" t="s">
        <v>2961</v>
      </c>
      <c r="W63" s="44" t="s">
        <v>2900</v>
      </c>
      <c r="X63" s="4" t="s">
        <v>3608</v>
      </c>
      <c r="Y63" s="46" t="s">
        <v>0</v>
      </c>
      <c r="Z63" s="4" t="s">
        <v>3582</v>
      </c>
      <c r="AA63" s="46" t="s">
        <v>2486</v>
      </c>
      <c r="AB63" s="4" t="s">
        <v>357</v>
      </c>
      <c r="AC63" s="7" t="s">
        <v>3562</v>
      </c>
      <c r="AD63" s="4" t="s">
        <v>2961</v>
      </c>
      <c r="AE63" s="7" t="s">
        <v>2900</v>
      </c>
      <c r="AF63" s="7" t="s">
        <v>2961</v>
      </c>
      <c r="AG63" s="7" t="s">
        <v>2961</v>
      </c>
      <c r="AI63" s="7" t="s">
        <v>4100</v>
      </c>
      <c r="AJ63" s="7" t="s">
        <v>2656</v>
      </c>
      <c r="AK63" s="41">
        <f>Table43[[#This Row],[Harga Jual Pcs GT
(-PPN)]]-(Table43[[#This Row],[Harga Jual Pcs GT
(-PPN)]]*10%)</f>
        <v>0</v>
      </c>
      <c r="AL63" s="42">
        <f>Table43[[#This Row],[Harga Beli Pcs
(-PPN)]]*Table43[[#This Row],[ISI/CTN]]</f>
        <v>0</v>
      </c>
      <c r="AM63" s="42">
        <f>Table43[[#This Row],[Harga Beli Pcs
(-PPN)]]*1.11</f>
        <v>0</v>
      </c>
      <c r="AN63" s="42">
        <f>Table43[[#This Row],[Harga Beli Krt
(- PPN)]]*1.11</f>
        <v>0</v>
      </c>
      <c r="AO63" s="42"/>
      <c r="AP63" s="42">
        <f>Table43[[#This Row],[Harga Jual Pcs GT
(-PPN)]]*Table43[[#This Row],[ISI/CTN]]</f>
        <v>0</v>
      </c>
      <c r="AQ63" s="42">
        <f>Table43[[#This Row],[Harga Jual Pcs GT
(-PPN)]]*1.11</f>
        <v>0</v>
      </c>
      <c r="AR63" s="42">
        <f>Table43[[#This Row],[Harga Jual Krt GT
(- PPN)]]*1.11</f>
        <v>0</v>
      </c>
      <c r="AS63" s="42">
        <f>Table43[[#This Row],[Harga Jual Pcs GT
(-PPN)]]</f>
        <v>0</v>
      </c>
      <c r="AT63" s="42">
        <f>(Table43[[#This Row],[Harga Jual Pcs MT
(-PPN)]]*Table43[[#This Row],[ISI/CTN]])</f>
        <v>0</v>
      </c>
      <c r="AU63" s="42">
        <f>Table43[[#This Row],[Harga Jual Pcs MT
(-PPN)]]*1.11</f>
        <v>0</v>
      </c>
      <c r="AV63" s="42">
        <f>Table43[[#This Row],[Harga Jual Pcs MT
(+PPN)]]*Table43[[#This Row],[ISI/CTN]]</f>
        <v>0</v>
      </c>
      <c r="AW63" s="47"/>
      <c r="AX63" s="7"/>
      <c r="AY63" s="7" t="str">
        <f ca="1">IF(TODAY()-Table43[[#This Row],[Efektif
Pembuatan]]&gt;60,"Lama","Baru")</f>
        <v>Lama</v>
      </c>
      <c r="AZ63" s="7" t="str">
        <f ca="1">IF(TODAY()-Table43[[#This Row],[Efektif Naik Harga]]&lt;30,"Naik","Sama")</f>
        <v>Sama</v>
      </c>
      <c r="BA63" s="7" t="str">
        <f>IF(Table43[[#This Row],[Kode BARANG Win2]]&lt;&gt;"","IDR","")</f>
        <v>IDR</v>
      </c>
      <c r="BB63" s="7" t="str">
        <f>CONCATENATE(Table43[[#This Row],[kode  1 Digit
(Nomor)]],Table43[[#This Row],[kode  4 Digit                (Nomor)]])</f>
        <v>10200</v>
      </c>
      <c r="BC63" s="7" t="str">
        <f>Table43[[#This Row],[Nama            Gramasi atau Jumlah Pack per CTN]]</f>
        <v>200ML</v>
      </c>
      <c r="BD63" s="7"/>
      <c r="BE63" s="7"/>
      <c r="BF63" s="4" t="str">
        <f>IF(Table43[[#This Row],[SATUAN Fix Win]]&lt;&gt;"","KRT")</f>
        <v>KRT</v>
      </c>
      <c r="BG63" s="4" t="str">
        <f>IF(Table43[[#This Row],[SATUAN Fix Win]]&lt;&gt;"","GD01")</f>
        <v>GD01</v>
      </c>
      <c r="BH63" s="4">
        <f>IF(Table43[[#This Row],[SATUAN Fix Win]]&lt;&gt;"",11611)</f>
        <v>11611</v>
      </c>
      <c r="BI63" s="4">
        <f>IF(Table43[[#This Row],[SATUAN Fix Win]]&lt;&gt;"",11612)</f>
        <v>11612</v>
      </c>
      <c r="BJ63" s="48"/>
      <c r="BK63" s="4">
        <f>IF(Table43[[#This Row],[SATUAN Fix Win]]&lt;&gt;"",1)</f>
        <v>1</v>
      </c>
    </row>
    <row r="64" spans="1:67">
      <c r="A64" s="4" t="str">
        <f>CONCATENATE(Table43[[#This Row],[Kode BARANG Win2]],Table43[[#This Row],[No. Urut
Item Sama]])</f>
        <v>K10460020100202</v>
      </c>
      <c r="B64" s="7">
        <v>2</v>
      </c>
      <c r="D64" s="28" t="s">
        <v>814</v>
      </c>
      <c r="E64" s="28"/>
      <c r="F64" s="28" t="s">
        <v>3394</v>
      </c>
      <c r="G64" s="78">
        <v>36</v>
      </c>
      <c r="H64" s="43"/>
      <c r="I64" s="28" t="str">
        <f>Table43[[#This Row],[Nama Jenis Kemasan]]</f>
        <v>BTL</v>
      </c>
      <c r="J64" s="4" t="str">
        <f>TRIM(CONCATENATE(Table43[[#This Row],[Nama            KLP]]," ",Table43[[#This Row],[Nama            Sub KLP]]))</f>
        <v>B&amp;B SHAMPOO</v>
      </c>
      <c r="K64" s="4" t="str">
        <f>CONCATENATE(Table43[[#This Row],[kode  2 Digit                (hrf+No)]],Table43[[#This Row],[kode  2 Digit                (Nomor)]],Table43[[#This Row],[kode  1 Digit                (Nomor)]])</f>
        <v>K1046</v>
      </c>
      <c r="L64" s="4" t="str">
        <f t="shared" si="0"/>
        <v>K1046002010020</v>
      </c>
      <c r="M64" s="11">
        <f t="shared" si="1"/>
        <v>14</v>
      </c>
      <c r="N64" s="14" t="str">
        <f>IF(AF64&lt;&gt;"",TRIM(UPPER(CONCATENATE(P64," ",R64," ",T64," ",V64," ",X64," ",Z64," ","X"," ",Table43[[#This Row],[ISI/CTN]]," ",AF64," ",AB64," ",AD64," ",AH64))),TRIM(UPPER(CONCATENATE(P64," ",R64," ",T64," ",V64," ",X64," ",Z64," ","X"," ",Table43[[#This Row],[ISI/CTN]]," ",AB64," ",AD64," ",AH64))))</f>
        <v>KNF B&amp;B SHAMPOO ORANGE BUBBLES 100ML X 36 BTL</v>
      </c>
      <c r="O64" s="11">
        <f t="shared" si="2"/>
        <v>45</v>
      </c>
      <c r="P64" s="4" t="s">
        <v>97</v>
      </c>
      <c r="Q64" s="7" t="s">
        <v>98</v>
      </c>
      <c r="R64" s="4" t="s">
        <v>2524</v>
      </c>
      <c r="S64" s="44" t="s">
        <v>2474</v>
      </c>
      <c r="T64" s="45" t="s">
        <v>3606</v>
      </c>
      <c r="U64" s="7" t="s">
        <v>3607</v>
      </c>
      <c r="V64" s="45" t="s">
        <v>2961</v>
      </c>
      <c r="W64" s="44" t="s">
        <v>2900</v>
      </c>
      <c r="X64" s="4" t="s">
        <v>3609</v>
      </c>
      <c r="Y64" s="46" t="s">
        <v>2472</v>
      </c>
      <c r="Z64" s="4" t="s">
        <v>3588</v>
      </c>
      <c r="AA64" s="46" t="s">
        <v>2487</v>
      </c>
      <c r="AB64" s="4" t="s">
        <v>357</v>
      </c>
      <c r="AC64" s="7" t="s">
        <v>3562</v>
      </c>
      <c r="AD64" s="4" t="s">
        <v>2961</v>
      </c>
      <c r="AE64" s="7" t="s">
        <v>2900</v>
      </c>
      <c r="AF64" s="7" t="s">
        <v>2961</v>
      </c>
      <c r="AG64" s="7" t="s">
        <v>2961</v>
      </c>
      <c r="AI64" s="7" t="s">
        <v>4100</v>
      </c>
      <c r="AJ64" s="7" t="s">
        <v>2656</v>
      </c>
      <c r="AK64" s="41">
        <f>Table43[[#This Row],[Harga Jual Pcs GT
(-PPN)]]-(Table43[[#This Row],[Harga Jual Pcs GT
(-PPN)]]*10%)</f>
        <v>0</v>
      </c>
      <c r="AL64" s="42">
        <f>Table43[[#This Row],[Harga Beli Pcs
(-PPN)]]*Table43[[#This Row],[ISI/CTN]]</f>
        <v>0</v>
      </c>
      <c r="AM64" s="42">
        <f>Table43[[#This Row],[Harga Beli Pcs
(-PPN)]]*1.11</f>
        <v>0</v>
      </c>
      <c r="AN64" s="42">
        <f>Table43[[#This Row],[Harga Beli Krt
(- PPN)]]*1.11</f>
        <v>0</v>
      </c>
      <c r="AO64" s="42"/>
      <c r="AP64" s="42">
        <f>Table43[[#This Row],[Harga Jual Pcs GT
(-PPN)]]*Table43[[#This Row],[ISI/CTN]]</f>
        <v>0</v>
      </c>
      <c r="AQ64" s="42">
        <f>Table43[[#This Row],[Harga Jual Pcs GT
(-PPN)]]*1.11</f>
        <v>0</v>
      </c>
      <c r="AR64" s="42">
        <f>Table43[[#This Row],[Harga Jual Krt GT
(- PPN)]]*1.11</f>
        <v>0</v>
      </c>
      <c r="AS64" s="42">
        <f>Table43[[#This Row],[Harga Jual Pcs GT
(-PPN)]]</f>
        <v>0</v>
      </c>
      <c r="AT64" s="42">
        <f>(Table43[[#This Row],[Harga Jual Pcs MT
(-PPN)]]*Table43[[#This Row],[ISI/CTN]])</f>
        <v>0</v>
      </c>
      <c r="AU64" s="42">
        <f>Table43[[#This Row],[Harga Jual Pcs MT
(-PPN)]]*1.11</f>
        <v>0</v>
      </c>
      <c r="AV64" s="42">
        <f>Table43[[#This Row],[Harga Jual Pcs MT
(+PPN)]]*Table43[[#This Row],[ISI/CTN]]</f>
        <v>0</v>
      </c>
      <c r="AW64" s="47"/>
      <c r="AX64" s="7"/>
      <c r="AY64" s="7" t="str">
        <f ca="1">IF(TODAY()-Table43[[#This Row],[Efektif
Pembuatan]]&gt;60,"Lama","Baru")</f>
        <v>Lama</v>
      </c>
      <c r="AZ64" s="7" t="str">
        <f ca="1">IF(TODAY()-Table43[[#This Row],[Efektif Naik Harga]]&lt;30,"Naik","Sama")</f>
        <v>Sama</v>
      </c>
      <c r="BA64" s="7" t="str">
        <f>IF(Table43[[#This Row],[Kode BARANG Win2]]&lt;&gt;"","IDR","")</f>
        <v>IDR</v>
      </c>
      <c r="BB64" s="7" t="str">
        <f>CONCATENATE(Table43[[#This Row],[kode  1 Digit
(Nomor)]],Table43[[#This Row],[kode  4 Digit                (Nomor)]])</f>
        <v>10100</v>
      </c>
      <c r="BC64" s="7" t="str">
        <f>Table43[[#This Row],[Nama            Gramasi atau Jumlah Pack per CTN]]</f>
        <v>100ML</v>
      </c>
      <c r="BD64" s="7"/>
      <c r="BE64" s="7"/>
      <c r="BF64" s="4" t="str">
        <f>IF(Table43[[#This Row],[SATUAN Fix Win]]&lt;&gt;"","KRT")</f>
        <v>KRT</v>
      </c>
      <c r="BG64" s="4" t="str">
        <f>IF(Table43[[#This Row],[SATUAN Fix Win]]&lt;&gt;"","GD01")</f>
        <v>GD01</v>
      </c>
      <c r="BH64" s="4">
        <f>IF(Table43[[#This Row],[SATUAN Fix Win]]&lt;&gt;"",11611)</f>
        <v>11611</v>
      </c>
      <c r="BI64" s="4">
        <f>IF(Table43[[#This Row],[SATUAN Fix Win]]&lt;&gt;"",11612)</f>
        <v>11612</v>
      </c>
      <c r="BJ64" s="48"/>
      <c r="BK64" s="4">
        <f>IF(Table43[[#This Row],[SATUAN Fix Win]]&lt;&gt;"",1)</f>
        <v>1</v>
      </c>
    </row>
    <row r="65" spans="1:67">
      <c r="A65" s="4" t="str">
        <f>CONCATENATE(Table43[[#This Row],[Kode BARANG Win2]],Table43[[#This Row],[No. Urut
Item Sama]])</f>
        <v>K10460020200201</v>
      </c>
      <c r="B65" s="7">
        <v>1</v>
      </c>
      <c r="D65" s="28" t="s">
        <v>815</v>
      </c>
      <c r="E65" s="28"/>
      <c r="F65" s="28" t="s">
        <v>3395</v>
      </c>
      <c r="G65" s="78">
        <v>36</v>
      </c>
      <c r="H65" s="43"/>
      <c r="I65" s="28" t="str">
        <f>Table43[[#This Row],[Nama Jenis Kemasan]]</f>
        <v>BTL</v>
      </c>
      <c r="J65" s="4" t="str">
        <f>TRIM(CONCATENATE(Table43[[#This Row],[Nama            KLP]]," ",Table43[[#This Row],[Nama            Sub KLP]]))</f>
        <v>B&amp;B SHAMPOO</v>
      </c>
      <c r="K65" s="4" t="str">
        <f>CONCATENATE(Table43[[#This Row],[kode  2 Digit                (hrf+No)]],Table43[[#This Row],[kode  2 Digit                (Nomor)]],Table43[[#This Row],[kode  1 Digit                (Nomor)]])</f>
        <v>K1046</v>
      </c>
      <c r="L65" s="4" t="str">
        <f t="shared" si="0"/>
        <v>K1046002020020</v>
      </c>
      <c r="M65" s="11">
        <f t="shared" si="1"/>
        <v>14</v>
      </c>
      <c r="N65" s="14" t="str">
        <f>IF(AF65&lt;&gt;"",TRIM(UPPER(CONCATENATE(P65," ",R65," ",T65," ",V65," ",X65," ",Z65," ","X"," ",Table43[[#This Row],[ISI/CTN]]," ",AF65," ",AB65," ",AD65," ",AH65))),TRIM(UPPER(CONCATENATE(P65," ",R65," ",T65," ",V65," ",X65," ",Z65," ","X"," ",Table43[[#This Row],[ISI/CTN]]," ",AB65," ",AD65," ",AH65))))</f>
        <v>KNF B&amp;B SHAMPOO ORANGE BUBBLES 200ML X 36 BTL</v>
      </c>
      <c r="O65" s="11">
        <f t="shared" si="2"/>
        <v>45</v>
      </c>
      <c r="P65" s="4" t="s">
        <v>97</v>
      </c>
      <c r="Q65" s="7" t="s">
        <v>98</v>
      </c>
      <c r="R65" s="4" t="s">
        <v>2524</v>
      </c>
      <c r="S65" s="44" t="s">
        <v>2474</v>
      </c>
      <c r="T65" s="45" t="s">
        <v>3606</v>
      </c>
      <c r="U65" s="7" t="s">
        <v>3607</v>
      </c>
      <c r="V65" s="45" t="s">
        <v>2961</v>
      </c>
      <c r="W65" s="44" t="s">
        <v>2900</v>
      </c>
      <c r="X65" s="4" t="s">
        <v>3609</v>
      </c>
      <c r="Y65" s="46" t="s">
        <v>2472</v>
      </c>
      <c r="Z65" s="4" t="s">
        <v>3582</v>
      </c>
      <c r="AA65" s="46" t="s">
        <v>2486</v>
      </c>
      <c r="AB65" s="4" t="s">
        <v>357</v>
      </c>
      <c r="AC65" s="7" t="s">
        <v>3562</v>
      </c>
      <c r="AD65" s="4" t="s">
        <v>2961</v>
      </c>
      <c r="AE65" s="7" t="s">
        <v>2900</v>
      </c>
      <c r="AF65" s="7" t="s">
        <v>2961</v>
      </c>
      <c r="AG65" s="7" t="s">
        <v>2961</v>
      </c>
      <c r="AI65" s="7" t="s">
        <v>4100</v>
      </c>
      <c r="AJ65" s="7" t="s">
        <v>2656</v>
      </c>
      <c r="AK65" s="41">
        <f>Table43[[#This Row],[Harga Jual Pcs GT
(-PPN)]]-(Table43[[#This Row],[Harga Jual Pcs GT
(-PPN)]]*10%)</f>
        <v>0</v>
      </c>
      <c r="AL65" s="42">
        <f>Table43[[#This Row],[Harga Beli Pcs
(-PPN)]]*Table43[[#This Row],[ISI/CTN]]</f>
        <v>0</v>
      </c>
      <c r="AM65" s="42">
        <f>Table43[[#This Row],[Harga Beli Pcs
(-PPN)]]*1.11</f>
        <v>0</v>
      </c>
      <c r="AN65" s="42">
        <f>Table43[[#This Row],[Harga Beli Krt
(- PPN)]]*1.11</f>
        <v>0</v>
      </c>
      <c r="AO65" s="42"/>
      <c r="AP65" s="42">
        <f>Table43[[#This Row],[Harga Jual Pcs GT
(-PPN)]]*Table43[[#This Row],[ISI/CTN]]</f>
        <v>0</v>
      </c>
      <c r="AQ65" s="42">
        <f>Table43[[#This Row],[Harga Jual Pcs GT
(-PPN)]]*1.11</f>
        <v>0</v>
      </c>
      <c r="AR65" s="42">
        <f>Table43[[#This Row],[Harga Jual Krt GT
(- PPN)]]*1.11</f>
        <v>0</v>
      </c>
      <c r="AS65" s="42">
        <f>Table43[[#This Row],[Harga Jual Pcs GT
(-PPN)]]</f>
        <v>0</v>
      </c>
      <c r="AT65" s="42">
        <f>(Table43[[#This Row],[Harga Jual Pcs MT
(-PPN)]]*Table43[[#This Row],[ISI/CTN]])</f>
        <v>0</v>
      </c>
      <c r="AU65" s="42">
        <f>Table43[[#This Row],[Harga Jual Pcs MT
(-PPN)]]*1.11</f>
        <v>0</v>
      </c>
      <c r="AV65" s="42">
        <f>Table43[[#This Row],[Harga Jual Pcs MT
(+PPN)]]*Table43[[#This Row],[ISI/CTN]]</f>
        <v>0</v>
      </c>
      <c r="AW65" s="47"/>
      <c r="AX65" s="7"/>
      <c r="AY65" s="7" t="str">
        <f ca="1">IF(TODAY()-Table43[[#This Row],[Efektif
Pembuatan]]&gt;60,"Lama","Baru")</f>
        <v>Lama</v>
      </c>
      <c r="AZ65" s="7" t="str">
        <f ca="1">IF(TODAY()-Table43[[#This Row],[Efektif Naik Harga]]&lt;30,"Naik","Sama")</f>
        <v>Sama</v>
      </c>
      <c r="BA65" s="7" t="str">
        <f>IF(Table43[[#This Row],[Kode BARANG Win2]]&lt;&gt;"","IDR","")</f>
        <v>IDR</v>
      </c>
      <c r="BB65" s="7" t="str">
        <f>CONCATENATE(Table43[[#This Row],[kode  1 Digit
(Nomor)]],Table43[[#This Row],[kode  4 Digit                (Nomor)]])</f>
        <v>10200</v>
      </c>
      <c r="BC65" s="7" t="str">
        <f>Table43[[#This Row],[Nama            Gramasi atau Jumlah Pack per CTN]]</f>
        <v>200ML</v>
      </c>
      <c r="BD65" s="7"/>
      <c r="BE65" s="7"/>
      <c r="BF65" s="4" t="str">
        <f>IF(Table43[[#This Row],[SATUAN Fix Win]]&lt;&gt;"","KRT")</f>
        <v>KRT</v>
      </c>
      <c r="BG65" s="4" t="str">
        <f>IF(Table43[[#This Row],[SATUAN Fix Win]]&lt;&gt;"","GD01")</f>
        <v>GD01</v>
      </c>
      <c r="BH65" s="4">
        <f>IF(Table43[[#This Row],[SATUAN Fix Win]]&lt;&gt;"",11611)</f>
        <v>11611</v>
      </c>
      <c r="BI65" s="4">
        <f>IF(Table43[[#This Row],[SATUAN Fix Win]]&lt;&gt;"",11612)</f>
        <v>11612</v>
      </c>
      <c r="BJ65" s="48"/>
      <c r="BK65" s="4">
        <f>IF(Table43[[#This Row],[SATUAN Fix Win]]&lt;&gt;"",1)</f>
        <v>1</v>
      </c>
    </row>
    <row r="66" spans="1:67">
      <c r="A66" s="4" t="str">
        <f>CONCATENATE(Table43[[#This Row],[Kode BARANG Win2]],Table43[[#This Row],[No. Urut
Item Sama]])</f>
        <v>K10460030100202</v>
      </c>
      <c r="B66" s="7">
        <v>2</v>
      </c>
      <c r="D66" s="28" t="s">
        <v>816</v>
      </c>
      <c r="E66" s="28"/>
      <c r="F66" s="28" t="s">
        <v>3396</v>
      </c>
      <c r="G66" s="78">
        <v>36</v>
      </c>
      <c r="H66" s="43"/>
      <c r="I66" s="28" t="str">
        <f>Table43[[#This Row],[Nama Jenis Kemasan]]</f>
        <v>BTL</v>
      </c>
      <c r="J66" s="4" t="str">
        <f>TRIM(CONCATENATE(Table43[[#This Row],[Nama            KLP]]," ",Table43[[#This Row],[Nama            Sub KLP]]))</f>
        <v>B&amp;B SHAMPOO</v>
      </c>
      <c r="K66" s="4" t="str">
        <f>CONCATENATE(Table43[[#This Row],[kode  2 Digit                (hrf+No)]],Table43[[#This Row],[kode  2 Digit                (Nomor)]],Table43[[#This Row],[kode  1 Digit                (Nomor)]])</f>
        <v>K1046</v>
      </c>
      <c r="L66" s="4" t="str">
        <f t="shared" si="0"/>
        <v>K1046003010020</v>
      </c>
      <c r="M66" s="11">
        <f t="shared" si="1"/>
        <v>14</v>
      </c>
      <c r="N66" s="14" t="str">
        <f>IF(AF66&lt;&gt;"",TRIM(UPPER(CONCATENATE(P66," ",R66," ",T66," ",V66," ",X66," ",Z66," ","X"," ",Table43[[#This Row],[ISI/CTN]]," ",AF66," ",AB66," ",AD66," ",AH66))),TRIM(UPPER(CONCATENATE(P66," ",R66," ",T66," ",V66," ",X66," ",Z66," ","X"," ",Table43[[#This Row],[ISI/CTN]]," ",AB66," ",AD66," ",AH66))))</f>
        <v>KNF B&amp;B SHAMPOO KIWI BUTTERCUP 100ML X 36 BTL</v>
      </c>
      <c r="O66" s="11">
        <f t="shared" si="2"/>
        <v>45</v>
      </c>
      <c r="P66" s="4" t="s">
        <v>97</v>
      </c>
      <c r="Q66" s="7" t="s">
        <v>98</v>
      </c>
      <c r="R66" s="4" t="s">
        <v>2524</v>
      </c>
      <c r="S66" s="44" t="s">
        <v>2474</v>
      </c>
      <c r="T66" s="45" t="s">
        <v>3606</v>
      </c>
      <c r="U66" s="7" t="s">
        <v>3607</v>
      </c>
      <c r="V66" s="45" t="s">
        <v>2961</v>
      </c>
      <c r="W66" s="44" t="s">
        <v>2900</v>
      </c>
      <c r="X66" s="4" t="s">
        <v>3610</v>
      </c>
      <c r="Y66" s="46" t="s">
        <v>2473</v>
      </c>
      <c r="Z66" s="4" t="s">
        <v>3588</v>
      </c>
      <c r="AA66" s="46" t="s">
        <v>2487</v>
      </c>
      <c r="AB66" s="4" t="s">
        <v>357</v>
      </c>
      <c r="AC66" s="7" t="s">
        <v>3562</v>
      </c>
      <c r="AD66" s="4" t="s">
        <v>2961</v>
      </c>
      <c r="AE66" s="7" t="s">
        <v>2900</v>
      </c>
      <c r="AF66" s="7" t="s">
        <v>2961</v>
      </c>
      <c r="AG66" s="7" t="s">
        <v>2961</v>
      </c>
      <c r="AI66" s="7" t="s">
        <v>4100</v>
      </c>
      <c r="AJ66" s="7" t="s">
        <v>2656</v>
      </c>
      <c r="AK66" s="41">
        <f>Table43[[#This Row],[Harga Jual Pcs GT
(-PPN)]]-(Table43[[#This Row],[Harga Jual Pcs GT
(-PPN)]]*10%)</f>
        <v>0</v>
      </c>
      <c r="AL66" s="42">
        <f>Table43[[#This Row],[Harga Beli Pcs
(-PPN)]]*Table43[[#This Row],[ISI/CTN]]</f>
        <v>0</v>
      </c>
      <c r="AM66" s="42">
        <f>Table43[[#This Row],[Harga Beli Pcs
(-PPN)]]*1.11</f>
        <v>0</v>
      </c>
      <c r="AN66" s="42">
        <f>Table43[[#This Row],[Harga Beli Krt
(- PPN)]]*1.11</f>
        <v>0</v>
      </c>
      <c r="AO66" s="42"/>
      <c r="AP66" s="42">
        <f>Table43[[#This Row],[Harga Jual Pcs GT
(-PPN)]]*Table43[[#This Row],[ISI/CTN]]</f>
        <v>0</v>
      </c>
      <c r="AQ66" s="42">
        <f>Table43[[#This Row],[Harga Jual Pcs GT
(-PPN)]]*1.11</f>
        <v>0</v>
      </c>
      <c r="AR66" s="42">
        <f>Table43[[#This Row],[Harga Jual Krt GT
(- PPN)]]*1.11</f>
        <v>0</v>
      </c>
      <c r="AS66" s="42">
        <f>Table43[[#This Row],[Harga Jual Pcs GT
(-PPN)]]</f>
        <v>0</v>
      </c>
      <c r="AT66" s="42">
        <f>(Table43[[#This Row],[Harga Jual Pcs MT
(-PPN)]]*Table43[[#This Row],[ISI/CTN]])</f>
        <v>0</v>
      </c>
      <c r="AU66" s="42">
        <f>Table43[[#This Row],[Harga Jual Pcs MT
(-PPN)]]*1.11</f>
        <v>0</v>
      </c>
      <c r="AV66" s="42">
        <f>Table43[[#This Row],[Harga Jual Pcs MT
(+PPN)]]*Table43[[#This Row],[ISI/CTN]]</f>
        <v>0</v>
      </c>
      <c r="AW66" s="47"/>
      <c r="AX66" s="7"/>
      <c r="AY66" s="7" t="str">
        <f ca="1">IF(TODAY()-Table43[[#This Row],[Efektif
Pembuatan]]&gt;60,"Lama","Baru")</f>
        <v>Lama</v>
      </c>
      <c r="AZ66" s="7" t="str">
        <f ca="1">IF(TODAY()-Table43[[#This Row],[Efektif Naik Harga]]&lt;30,"Naik","Sama")</f>
        <v>Sama</v>
      </c>
      <c r="BA66" s="7" t="str">
        <f>IF(Table43[[#This Row],[Kode BARANG Win2]]&lt;&gt;"","IDR","")</f>
        <v>IDR</v>
      </c>
      <c r="BB66" s="7" t="str">
        <f>CONCATENATE(Table43[[#This Row],[kode  1 Digit
(Nomor)]],Table43[[#This Row],[kode  4 Digit                (Nomor)]])</f>
        <v>10100</v>
      </c>
      <c r="BC66" s="7" t="str">
        <f>Table43[[#This Row],[Nama            Gramasi atau Jumlah Pack per CTN]]</f>
        <v>100ML</v>
      </c>
      <c r="BD66" s="7"/>
      <c r="BE66" s="7"/>
      <c r="BF66" s="4" t="str">
        <f>IF(Table43[[#This Row],[SATUAN Fix Win]]&lt;&gt;"","KRT")</f>
        <v>KRT</v>
      </c>
      <c r="BG66" s="4" t="str">
        <f>IF(Table43[[#This Row],[SATUAN Fix Win]]&lt;&gt;"","GD01")</f>
        <v>GD01</v>
      </c>
      <c r="BH66" s="4">
        <f>IF(Table43[[#This Row],[SATUAN Fix Win]]&lt;&gt;"",11611)</f>
        <v>11611</v>
      </c>
      <c r="BI66" s="4">
        <f>IF(Table43[[#This Row],[SATUAN Fix Win]]&lt;&gt;"",11612)</f>
        <v>11612</v>
      </c>
      <c r="BJ66" s="48"/>
      <c r="BK66" s="4">
        <f>IF(Table43[[#This Row],[SATUAN Fix Win]]&lt;&gt;"",1)</f>
        <v>1</v>
      </c>
    </row>
    <row r="67" spans="1:67">
      <c r="A67" s="4" t="str">
        <f>CONCATENATE(Table43[[#This Row],[Kode BARANG Win2]],Table43[[#This Row],[No. Urut
Item Sama]])</f>
        <v>K10460030200201</v>
      </c>
      <c r="B67" s="7">
        <v>1</v>
      </c>
      <c r="D67" s="28" t="s">
        <v>817</v>
      </c>
      <c r="E67" s="28"/>
      <c r="F67" s="28" t="s">
        <v>3397</v>
      </c>
      <c r="G67" s="78">
        <v>36</v>
      </c>
      <c r="H67" s="43"/>
      <c r="I67" s="28" t="str">
        <f>Table43[[#This Row],[Nama Jenis Kemasan]]</f>
        <v>BTL</v>
      </c>
      <c r="J67" s="4" t="str">
        <f>TRIM(CONCATENATE(Table43[[#This Row],[Nama            KLP]]," ",Table43[[#This Row],[Nama            Sub KLP]]))</f>
        <v>B&amp;B SHAMPOO</v>
      </c>
      <c r="K67" s="4" t="str">
        <f>CONCATENATE(Table43[[#This Row],[kode  2 Digit                (hrf+No)]],Table43[[#This Row],[kode  2 Digit                (Nomor)]],Table43[[#This Row],[kode  1 Digit                (Nomor)]])</f>
        <v>K1046</v>
      </c>
      <c r="L67" s="4" t="str">
        <f t="shared" si="0"/>
        <v>K1046003020020</v>
      </c>
      <c r="M67" s="11">
        <f t="shared" si="1"/>
        <v>14</v>
      </c>
      <c r="N67" s="14" t="str">
        <f>IF(AF67&lt;&gt;"",TRIM(UPPER(CONCATENATE(P67," ",R67," ",T67," ",V67," ",X67," ",Z67," ","X"," ",Table43[[#This Row],[ISI/CTN]]," ",AF67," ",AB67," ",AD67," ",AH67))),TRIM(UPPER(CONCATENATE(P67," ",R67," ",T67," ",V67," ",X67," ",Z67," ","X"," ",Table43[[#This Row],[ISI/CTN]]," ",AB67," ",AD67," ",AH67))))</f>
        <v>KNF B&amp;B SHAMPOO KIWI BUTTERCUP 200ML X 36 BTL</v>
      </c>
      <c r="O67" s="11">
        <f t="shared" si="2"/>
        <v>45</v>
      </c>
      <c r="P67" s="4" t="s">
        <v>97</v>
      </c>
      <c r="Q67" s="7" t="s">
        <v>98</v>
      </c>
      <c r="R67" s="4" t="s">
        <v>2524</v>
      </c>
      <c r="S67" s="44" t="s">
        <v>2474</v>
      </c>
      <c r="T67" s="45" t="s">
        <v>3606</v>
      </c>
      <c r="U67" s="7" t="s">
        <v>3607</v>
      </c>
      <c r="V67" s="45" t="s">
        <v>2961</v>
      </c>
      <c r="W67" s="44" t="s">
        <v>2900</v>
      </c>
      <c r="X67" s="4" t="s">
        <v>3610</v>
      </c>
      <c r="Y67" s="46" t="s">
        <v>2473</v>
      </c>
      <c r="Z67" s="4" t="s">
        <v>3582</v>
      </c>
      <c r="AA67" s="46" t="s">
        <v>2486</v>
      </c>
      <c r="AB67" s="4" t="s">
        <v>357</v>
      </c>
      <c r="AC67" s="7" t="s">
        <v>3562</v>
      </c>
      <c r="AD67" s="4" t="s">
        <v>2961</v>
      </c>
      <c r="AE67" s="7" t="s">
        <v>2900</v>
      </c>
      <c r="AF67" s="7" t="s">
        <v>2961</v>
      </c>
      <c r="AG67" s="7" t="s">
        <v>2961</v>
      </c>
      <c r="AI67" s="7" t="s">
        <v>4100</v>
      </c>
      <c r="AJ67" s="7" t="s">
        <v>2656</v>
      </c>
      <c r="AK67" s="41">
        <f>Table43[[#This Row],[Harga Jual Pcs GT
(-PPN)]]-(Table43[[#This Row],[Harga Jual Pcs GT
(-PPN)]]*10%)</f>
        <v>0</v>
      </c>
      <c r="AL67" s="42">
        <f>Table43[[#This Row],[Harga Beli Pcs
(-PPN)]]*Table43[[#This Row],[ISI/CTN]]</f>
        <v>0</v>
      </c>
      <c r="AM67" s="42">
        <f>Table43[[#This Row],[Harga Beli Pcs
(-PPN)]]*1.11</f>
        <v>0</v>
      </c>
      <c r="AN67" s="42">
        <f>Table43[[#This Row],[Harga Beli Krt
(- PPN)]]*1.11</f>
        <v>0</v>
      </c>
      <c r="AO67" s="42"/>
      <c r="AP67" s="42">
        <f>Table43[[#This Row],[Harga Jual Pcs GT
(-PPN)]]*Table43[[#This Row],[ISI/CTN]]</f>
        <v>0</v>
      </c>
      <c r="AQ67" s="42">
        <f>Table43[[#This Row],[Harga Jual Pcs GT
(-PPN)]]*1.11</f>
        <v>0</v>
      </c>
      <c r="AR67" s="42">
        <f>Table43[[#This Row],[Harga Jual Krt GT
(- PPN)]]*1.11</f>
        <v>0</v>
      </c>
      <c r="AS67" s="42">
        <f>Table43[[#This Row],[Harga Jual Pcs GT
(-PPN)]]</f>
        <v>0</v>
      </c>
      <c r="AT67" s="42">
        <f>(Table43[[#This Row],[Harga Jual Pcs MT
(-PPN)]]*Table43[[#This Row],[ISI/CTN]])</f>
        <v>0</v>
      </c>
      <c r="AU67" s="42">
        <f>Table43[[#This Row],[Harga Jual Pcs MT
(-PPN)]]*1.11</f>
        <v>0</v>
      </c>
      <c r="AV67" s="42">
        <f>Table43[[#This Row],[Harga Jual Pcs MT
(+PPN)]]*Table43[[#This Row],[ISI/CTN]]</f>
        <v>0</v>
      </c>
      <c r="AW67" s="47"/>
      <c r="AX67" s="7"/>
      <c r="AY67" s="7" t="str">
        <f ca="1">IF(TODAY()-Table43[[#This Row],[Efektif
Pembuatan]]&gt;60,"Lama","Baru")</f>
        <v>Lama</v>
      </c>
      <c r="AZ67" s="7" t="str">
        <f ca="1">IF(TODAY()-Table43[[#This Row],[Efektif Naik Harga]]&lt;30,"Naik","Sama")</f>
        <v>Sama</v>
      </c>
      <c r="BA67" s="7" t="str">
        <f>IF(Table43[[#This Row],[Kode BARANG Win2]]&lt;&gt;"","IDR","")</f>
        <v>IDR</v>
      </c>
      <c r="BB67" s="7" t="str">
        <f>CONCATENATE(Table43[[#This Row],[kode  1 Digit
(Nomor)]],Table43[[#This Row],[kode  4 Digit                (Nomor)]])</f>
        <v>10200</v>
      </c>
      <c r="BC67" s="7" t="str">
        <f>Table43[[#This Row],[Nama            Gramasi atau Jumlah Pack per CTN]]</f>
        <v>200ML</v>
      </c>
      <c r="BD67" s="7"/>
      <c r="BE67" s="7"/>
      <c r="BF67" s="4" t="str">
        <f>IF(Table43[[#This Row],[SATUAN Fix Win]]&lt;&gt;"","KRT")</f>
        <v>KRT</v>
      </c>
      <c r="BG67" s="4" t="str">
        <f>IF(Table43[[#This Row],[SATUAN Fix Win]]&lt;&gt;"","GD01")</f>
        <v>GD01</v>
      </c>
      <c r="BH67" s="4">
        <f>IF(Table43[[#This Row],[SATUAN Fix Win]]&lt;&gt;"",11611)</f>
        <v>11611</v>
      </c>
      <c r="BI67" s="4">
        <f>IF(Table43[[#This Row],[SATUAN Fix Win]]&lt;&gt;"",11612)</f>
        <v>11612</v>
      </c>
      <c r="BJ67" s="48"/>
      <c r="BK67" s="4">
        <f>IF(Table43[[#This Row],[SATUAN Fix Win]]&lt;&gt;"",1)</f>
        <v>1</v>
      </c>
    </row>
    <row r="68" spans="1:67">
      <c r="A68" s="4" t="str">
        <f>CONCATENATE(Table43[[#This Row],[Kode BARANG Win2]],Table43[[#This Row],[No. Urut
Item Sama]])</f>
        <v>K10460040200202</v>
      </c>
      <c r="B68" s="7">
        <v>2</v>
      </c>
      <c r="D68" s="28" t="s">
        <v>819</v>
      </c>
      <c r="E68" s="28"/>
      <c r="F68" s="28" t="s">
        <v>3398</v>
      </c>
      <c r="G68" s="78">
        <v>36</v>
      </c>
      <c r="H68" s="43"/>
      <c r="I68" s="28" t="str">
        <f>Table43[[#This Row],[Nama Jenis Kemasan]]</f>
        <v>BTL</v>
      </c>
      <c r="J68" s="4" t="str">
        <f>TRIM(CONCATENATE(Table43[[#This Row],[Nama            KLP]]," ",Table43[[#This Row],[Nama            Sub KLP]]))</f>
        <v>B&amp;B SHAMPOO</v>
      </c>
      <c r="K68" s="4" t="str">
        <f>CONCATENATE(Table43[[#This Row],[kode  2 Digit                (hrf+No)]],Table43[[#This Row],[kode  2 Digit                (Nomor)]],Table43[[#This Row],[kode  1 Digit                (Nomor)]])</f>
        <v>K1046</v>
      </c>
      <c r="L68" s="4" t="str">
        <f t="shared" si="0"/>
        <v>K1046004020020</v>
      </c>
      <c r="M68" s="11">
        <f t="shared" si="1"/>
        <v>14</v>
      </c>
      <c r="N68" s="14" t="str">
        <f>IF(AF68&lt;&gt;"",TRIM(UPPER(CONCATENATE(P68," ",R68," ",T68," ",V68," ",X68," ",Z68," ","X"," ",Table43[[#This Row],[ISI/CTN]]," ",AF68," ",AB68," ",AD68," ",AH68))),TRIM(UPPER(CONCATENATE(P68," ",R68," ",T68," ",V68," ",X68," ",Z68," ","X"," ",Table43[[#This Row],[ISI/CTN]]," ",AB68," ",AD68," ",AH68))))</f>
        <v>KNF B&amp;B SHAMPOO LEAF BARBIE 200ML X 36 BTL</v>
      </c>
      <c r="O68" s="11">
        <f t="shared" si="2"/>
        <v>42</v>
      </c>
      <c r="P68" s="4" t="s">
        <v>97</v>
      </c>
      <c r="Q68" s="7" t="s">
        <v>98</v>
      </c>
      <c r="R68" s="4" t="s">
        <v>2524</v>
      </c>
      <c r="S68" s="44" t="s">
        <v>2474</v>
      </c>
      <c r="T68" s="45" t="s">
        <v>3606</v>
      </c>
      <c r="U68" s="7" t="s">
        <v>3607</v>
      </c>
      <c r="V68" s="45" t="s">
        <v>2961</v>
      </c>
      <c r="W68" s="44" t="s">
        <v>2900</v>
      </c>
      <c r="X68" s="4" t="s">
        <v>3611</v>
      </c>
      <c r="Y68" s="46" t="s">
        <v>2474</v>
      </c>
      <c r="Z68" s="4" t="s">
        <v>3582</v>
      </c>
      <c r="AA68" s="46" t="s">
        <v>2486</v>
      </c>
      <c r="AB68" s="4" t="s">
        <v>357</v>
      </c>
      <c r="AC68" s="7" t="s">
        <v>3562</v>
      </c>
      <c r="AD68" s="4" t="s">
        <v>2961</v>
      </c>
      <c r="AE68" s="7" t="s">
        <v>2900</v>
      </c>
      <c r="AF68" s="7" t="s">
        <v>2961</v>
      </c>
      <c r="AG68" s="7" t="s">
        <v>2961</v>
      </c>
      <c r="AI68" s="7" t="s">
        <v>4100</v>
      </c>
      <c r="AJ68" s="7" t="s">
        <v>2656</v>
      </c>
      <c r="AK68" s="41">
        <f>Table43[[#This Row],[Harga Jual Pcs GT
(-PPN)]]-(Table43[[#This Row],[Harga Jual Pcs GT
(-PPN)]]*10%)</f>
        <v>0</v>
      </c>
      <c r="AL68" s="42">
        <f>Table43[[#This Row],[Harga Beli Pcs
(-PPN)]]*Table43[[#This Row],[ISI/CTN]]</f>
        <v>0</v>
      </c>
      <c r="AM68" s="42">
        <f>Table43[[#This Row],[Harga Beli Pcs
(-PPN)]]*1.11</f>
        <v>0</v>
      </c>
      <c r="AN68" s="42">
        <f>Table43[[#This Row],[Harga Beli Krt
(- PPN)]]*1.11</f>
        <v>0</v>
      </c>
      <c r="AO68" s="42"/>
      <c r="AP68" s="42">
        <f>Table43[[#This Row],[Harga Jual Pcs GT
(-PPN)]]*Table43[[#This Row],[ISI/CTN]]</f>
        <v>0</v>
      </c>
      <c r="AQ68" s="42">
        <f>Table43[[#This Row],[Harga Jual Pcs GT
(-PPN)]]*1.11</f>
        <v>0</v>
      </c>
      <c r="AR68" s="42">
        <f>Table43[[#This Row],[Harga Jual Krt GT
(- PPN)]]*1.11</f>
        <v>0</v>
      </c>
      <c r="AS68" s="42">
        <f>Table43[[#This Row],[Harga Jual Pcs GT
(-PPN)]]</f>
        <v>0</v>
      </c>
      <c r="AT68" s="42">
        <f>(Table43[[#This Row],[Harga Jual Pcs MT
(-PPN)]]*Table43[[#This Row],[ISI/CTN]])</f>
        <v>0</v>
      </c>
      <c r="AU68" s="42">
        <f>Table43[[#This Row],[Harga Jual Pcs MT
(-PPN)]]*1.11</f>
        <v>0</v>
      </c>
      <c r="AV68" s="42">
        <f>Table43[[#This Row],[Harga Jual Pcs MT
(+PPN)]]*Table43[[#This Row],[ISI/CTN]]</f>
        <v>0</v>
      </c>
      <c r="AW68" s="47"/>
      <c r="AX68" s="7"/>
      <c r="AY68" s="7" t="str">
        <f ca="1">IF(TODAY()-Table43[[#This Row],[Efektif
Pembuatan]]&gt;60,"Lama","Baru")</f>
        <v>Lama</v>
      </c>
      <c r="AZ68" s="7" t="str">
        <f ca="1">IF(TODAY()-Table43[[#This Row],[Efektif Naik Harga]]&lt;30,"Naik","Sama")</f>
        <v>Sama</v>
      </c>
      <c r="BA68" s="7" t="str">
        <f>IF(Table43[[#This Row],[Kode BARANG Win2]]&lt;&gt;"","IDR","")</f>
        <v>IDR</v>
      </c>
      <c r="BB68" s="7" t="str">
        <f>CONCATENATE(Table43[[#This Row],[kode  1 Digit
(Nomor)]],Table43[[#This Row],[kode  4 Digit                (Nomor)]])</f>
        <v>10200</v>
      </c>
      <c r="BC68" s="7" t="str">
        <f>Table43[[#This Row],[Nama            Gramasi atau Jumlah Pack per CTN]]</f>
        <v>200ML</v>
      </c>
      <c r="BD68" s="7"/>
      <c r="BE68" s="7"/>
      <c r="BF68" s="4" t="str">
        <f>IF(Table43[[#This Row],[SATUAN Fix Win]]&lt;&gt;"","KRT")</f>
        <v>KRT</v>
      </c>
      <c r="BG68" s="4" t="str">
        <f>IF(Table43[[#This Row],[SATUAN Fix Win]]&lt;&gt;"","GD01")</f>
        <v>GD01</v>
      </c>
      <c r="BH68" s="4">
        <f>IF(Table43[[#This Row],[SATUAN Fix Win]]&lt;&gt;"",11611)</f>
        <v>11611</v>
      </c>
      <c r="BI68" s="4">
        <f>IF(Table43[[#This Row],[SATUAN Fix Win]]&lt;&gt;"",11612)</f>
        <v>11612</v>
      </c>
      <c r="BJ68" s="48"/>
      <c r="BK68" s="4">
        <f>IF(Table43[[#This Row],[SATUAN Fix Win]]&lt;&gt;"",1)</f>
        <v>1</v>
      </c>
    </row>
    <row r="69" spans="1:67">
      <c r="A69" s="4" t="str">
        <f>CONCATENATE(Table43[[#This Row],[Kode BARANG Win2]],Table43[[#This Row],[No. Urut
Item Sama]])</f>
        <v>K10460050010101</v>
      </c>
      <c r="B69" s="7">
        <v>1</v>
      </c>
      <c r="D69" s="28" t="s">
        <v>820</v>
      </c>
      <c r="E69" s="28"/>
      <c r="F69" s="28" t="s">
        <v>2916</v>
      </c>
      <c r="G69" s="78">
        <v>24</v>
      </c>
      <c r="H69" s="43"/>
      <c r="I69" s="28" t="str">
        <f>Table43[[#This Row],[Nama Jenis Kemasan]]</f>
        <v>AMP</v>
      </c>
      <c r="J69" s="4" t="str">
        <f>TRIM(CONCATENATE(Table43[[#This Row],[Nama            KLP]]," ",Table43[[#This Row],[Nama            Sub KLP]]))</f>
        <v>B&amp;B SHAMPOO</v>
      </c>
      <c r="K69" s="4" t="str">
        <f>CONCATENATE(Table43[[#This Row],[kode  2 Digit                (hrf+No)]],Table43[[#This Row],[kode  2 Digit                (Nomor)]],Table43[[#This Row],[kode  1 Digit                (Nomor)]])</f>
        <v>K1046</v>
      </c>
      <c r="L69" s="4" t="str">
        <f t="shared" si="0"/>
        <v>K1046005001010</v>
      </c>
      <c r="M69" s="11">
        <f t="shared" si="1"/>
        <v>14</v>
      </c>
      <c r="N69" s="14" t="str">
        <f>IF(AF69&lt;&gt;"",TRIM(UPPER(CONCATENATE(P69," ",R69," ",T69," ",V69," ",X69," ",Z69," ","X"," ",Table43[[#This Row],[ISI/CTN]]," ",AF69," ",AB69," ",AD69," ",AH69))),TRIM(UPPER(CONCATENATE(P69," ",R69," ",T69," ",V69," ",X69," ",Z69," ","X"," ",Table43[[#This Row],[ISI/CTN]]," ",AB69," ",AD69," ",AH69))))</f>
        <v>KNF B&amp;B SHAMPOO BARBIE 10ML X 24 AMP</v>
      </c>
      <c r="O69" s="11">
        <f t="shared" si="2"/>
        <v>36</v>
      </c>
      <c r="P69" s="4" t="s">
        <v>97</v>
      </c>
      <c r="Q69" s="7" t="s">
        <v>98</v>
      </c>
      <c r="R69" s="4" t="s">
        <v>2524</v>
      </c>
      <c r="S69" s="44" t="s">
        <v>2474</v>
      </c>
      <c r="T69" s="45" t="s">
        <v>3606</v>
      </c>
      <c r="U69" s="7" t="s">
        <v>3607</v>
      </c>
      <c r="V69" s="45" t="s">
        <v>2961</v>
      </c>
      <c r="W69" s="44" t="s">
        <v>2900</v>
      </c>
      <c r="X69" s="4" t="s">
        <v>3603</v>
      </c>
      <c r="Y69" s="46" t="s">
        <v>2475</v>
      </c>
      <c r="Z69" s="4" t="s">
        <v>3612</v>
      </c>
      <c r="AA69" s="46" t="s">
        <v>2488</v>
      </c>
      <c r="AB69" s="4" t="s">
        <v>1027</v>
      </c>
      <c r="AC69" s="7" t="s">
        <v>2656</v>
      </c>
      <c r="AD69" s="4" t="s">
        <v>2961</v>
      </c>
      <c r="AE69" s="7" t="s">
        <v>2900</v>
      </c>
      <c r="AF69" s="7" t="s">
        <v>2961</v>
      </c>
      <c r="AG69" s="7" t="s">
        <v>2961</v>
      </c>
      <c r="AI69" s="7" t="s">
        <v>4100</v>
      </c>
      <c r="AJ69" s="7" t="s">
        <v>2656</v>
      </c>
      <c r="AK69" s="41">
        <f>Table43[[#This Row],[Harga Jual Pcs GT
(-PPN)]]-(Table43[[#This Row],[Harga Jual Pcs GT
(-PPN)]]*10%)</f>
        <v>0</v>
      </c>
      <c r="AL69" s="42">
        <f>Table43[[#This Row],[Harga Beli Pcs
(-PPN)]]*Table43[[#This Row],[ISI/CTN]]</f>
        <v>0</v>
      </c>
      <c r="AM69" s="42">
        <f>Table43[[#This Row],[Harga Beli Pcs
(-PPN)]]*1.11</f>
        <v>0</v>
      </c>
      <c r="AN69" s="42">
        <f>Table43[[#This Row],[Harga Beli Krt
(- PPN)]]*1.11</f>
        <v>0</v>
      </c>
      <c r="AO69" s="42"/>
      <c r="AP69" s="42">
        <f>Table43[[#This Row],[Harga Jual Pcs GT
(-PPN)]]*Table43[[#This Row],[ISI/CTN]]</f>
        <v>0</v>
      </c>
      <c r="AQ69" s="42">
        <f>Table43[[#This Row],[Harga Jual Pcs GT
(-PPN)]]*1.11</f>
        <v>0</v>
      </c>
      <c r="AR69" s="42">
        <f>Table43[[#This Row],[Harga Jual Krt GT
(- PPN)]]*1.11</f>
        <v>0</v>
      </c>
      <c r="AS69" s="42">
        <f>Table43[[#This Row],[Harga Jual Pcs GT
(-PPN)]]</f>
        <v>0</v>
      </c>
      <c r="AT69" s="42">
        <f>(Table43[[#This Row],[Harga Jual Pcs MT
(-PPN)]]*Table43[[#This Row],[ISI/CTN]])</f>
        <v>0</v>
      </c>
      <c r="AU69" s="42">
        <f>Table43[[#This Row],[Harga Jual Pcs MT
(-PPN)]]*1.11</f>
        <v>0</v>
      </c>
      <c r="AV69" s="42">
        <f>Table43[[#This Row],[Harga Jual Pcs MT
(+PPN)]]*Table43[[#This Row],[ISI/CTN]]</f>
        <v>0</v>
      </c>
      <c r="AW69" s="47"/>
      <c r="AX69" s="7"/>
      <c r="AY69" s="7" t="str">
        <f ca="1">IF(TODAY()-Table43[[#This Row],[Efektif
Pembuatan]]&gt;60,"Lama","Baru")</f>
        <v>Lama</v>
      </c>
      <c r="AZ69" s="7" t="str">
        <f ca="1">IF(TODAY()-Table43[[#This Row],[Efektif Naik Harga]]&lt;30,"Naik","Sama")</f>
        <v>Sama</v>
      </c>
      <c r="BA69" s="7" t="str">
        <f>IF(Table43[[#This Row],[Kode BARANG Win2]]&lt;&gt;"","IDR","")</f>
        <v>IDR</v>
      </c>
      <c r="BB69" s="7" t="str">
        <f>CONCATENATE(Table43[[#This Row],[kode  1 Digit
(Nomor)]],Table43[[#This Row],[kode  4 Digit                (Nomor)]])</f>
        <v>10010</v>
      </c>
      <c r="BC69" s="7" t="str">
        <f>Table43[[#This Row],[Nama            Gramasi atau Jumlah Pack per CTN]]</f>
        <v>10ML</v>
      </c>
      <c r="BD69" s="7"/>
      <c r="BE69" s="7"/>
      <c r="BF69" s="4" t="str">
        <f>IF(Table43[[#This Row],[SATUAN Fix Win]]&lt;&gt;"","KRT")</f>
        <v>KRT</v>
      </c>
      <c r="BG69" s="4" t="str">
        <f>IF(Table43[[#This Row],[SATUAN Fix Win]]&lt;&gt;"","GD01")</f>
        <v>GD01</v>
      </c>
      <c r="BH69" s="4">
        <f>IF(Table43[[#This Row],[SATUAN Fix Win]]&lt;&gt;"",11611)</f>
        <v>11611</v>
      </c>
      <c r="BI69" s="4">
        <f>IF(Table43[[#This Row],[SATUAN Fix Win]]&lt;&gt;"",11612)</f>
        <v>11612</v>
      </c>
      <c r="BJ69" s="48"/>
      <c r="BK69" s="4">
        <f>IF(Table43[[#This Row],[SATUAN Fix Win]]&lt;&gt;"",1)</f>
        <v>1</v>
      </c>
    </row>
    <row r="70" spans="1:67">
      <c r="A70" s="4" t="str">
        <f>CONCATENATE(Table43[[#This Row],[Kode BARANG Win2]],Table43[[#This Row],[No. Urut
Item Sama]])</f>
        <v>K10460060010102</v>
      </c>
      <c r="B70" s="7">
        <v>2</v>
      </c>
      <c r="D70" s="28" t="s">
        <v>822</v>
      </c>
      <c r="E70" s="28"/>
      <c r="F70" s="28" t="s">
        <v>2917</v>
      </c>
      <c r="G70" s="78">
        <v>24</v>
      </c>
      <c r="H70" s="43"/>
      <c r="I70" s="28" t="str">
        <f>Table43[[#This Row],[Nama Jenis Kemasan]]</f>
        <v>AMP</v>
      </c>
      <c r="J70" s="4" t="str">
        <f>TRIM(CONCATENATE(Table43[[#This Row],[Nama            KLP]]," ",Table43[[#This Row],[Nama            Sub KLP]]))</f>
        <v>B&amp;B SHAMPOO</v>
      </c>
      <c r="K70" s="4" t="str">
        <f>CONCATENATE(Table43[[#This Row],[kode  2 Digit                (hrf+No)]],Table43[[#This Row],[kode  2 Digit                (Nomor)]],Table43[[#This Row],[kode  1 Digit                (Nomor)]])</f>
        <v>K1046</v>
      </c>
      <c r="L70" s="4" t="str">
        <f t="shared" si="0"/>
        <v>K1046006001010</v>
      </c>
      <c r="M70" s="11">
        <f t="shared" si="1"/>
        <v>14</v>
      </c>
      <c r="N70" s="14" t="str">
        <f>IF(AF70&lt;&gt;"",TRIM(UPPER(CONCATENATE(P70," ",R70," ",T70," ",V70," ",X70," ",Z70," ","X"," ",Table43[[#This Row],[ISI/CTN]]," ",AF70," ",AB70," ",AD70," ",AH70))),TRIM(UPPER(CONCATENATE(P70," ",R70," ",T70," ",V70," ",X70," ",Z70," ","X"," ",Table43[[#This Row],[ISI/CTN]]," ",AB70," ",AD70," ",AH70))))</f>
        <v>KNF B&amp;B SHAMPOO PINKIE PIE 10ML X 24 AMP</v>
      </c>
      <c r="O70" s="11">
        <f t="shared" si="2"/>
        <v>40</v>
      </c>
      <c r="P70" s="4" t="s">
        <v>97</v>
      </c>
      <c r="Q70" s="7" t="s">
        <v>98</v>
      </c>
      <c r="R70" s="4" t="s">
        <v>2524</v>
      </c>
      <c r="S70" s="44" t="s">
        <v>2474</v>
      </c>
      <c r="T70" s="45" t="s">
        <v>3606</v>
      </c>
      <c r="U70" s="7" t="s">
        <v>3607</v>
      </c>
      <c r="V70" s="45" t="s">
        <v>2961</v>
      </c>
      <c r="W70" s="44" t="s">
        <v>2900</v>
      </c>
      <c r="X70" s="4" t="s">
        <v>3613</v>
      </c>
      <c r="Y70" s="46" t="s">
        <v>2476</v>
      </c>
      <c r="Z70" s="4" t="s">
        <v>3612</v>
      </c>
      <c r="AA70" s="46" t="s">
        <v>2488</v>
      </c>
      <c r="AB70" s="4" t="s">
        <v>1027</v>
      </c>
      <c r="AC70" s="7" t="s">
        <v>2656</v>
      </c>
      <c r="AD70" s="4" t="s">
        <v>2961</v>
      </c>
      <c r="AE70" s="7" t="s">
        <v>2900</v>
      </c>
      <c r="AF70" s="7" t="s">
        <v>2961</v>
      </c>
      <c r="AG70" s="7" t="s">
        <v>2961</v>
      </c>
      <c r="AI70" s="7" t="s">
        <v>4100</v>
      </c>
      <c r="AJ70" s="7" t="s">
        <v>2656</v>
      </c>
      <c r="AK70" s="41">
        <f>Table43[[#This Row],[Harga Jual Pcs GT
(-PPN)]]-(Table43[[#This Row],[Harga Jual Pcs GT
(-PPN)]]*10%)</f>
        <v>0</v>
      </c>
      <c r="AL70" s="42">
        <f>Table43[[#This Row],[Harga Beli Pcs
(-PPN)]]*Table43[[#This Row],[ISI/CTN]]</f>
        <v>0</v>
      </c>
      <c r="AM70" s="42">
        <f>Table43[[#This Row],[Harga Beli Pcs
(-PPN)]]*1.11</f>
        <v>0</v>
      </c>
      <c r="AN70" s="42">
        <f>Table43[[#This Row],[Harga Beli Krt
(- PPN)]]*1.11</f>
        <v>0</v>
      </c>
      <c r="AO70" s="42"/>
      <c r="AP70" s="42">
        <f>Table43[[#This Row],[Harga Jual Pcs GT
(-PPN)]]*Table43[[#This Row],[ISI/CTN]]</f>
        <v>0</v>
      </c>
      <c r="AQ70" s="42">
        <f>Table43[[#This Row],[Harga Jual Pcs GT
(-PPN)]]*1.11</f>
        <v>0</v>
      </c>
      <c r="AR70" s="42">
        <f>Table43[[#This Row],[Harga Jual Krt GT
(- PPN)]]*1.11</f>
        <v>0</v>
      </c>
      <c r="AS70" s="42">
        <f>Table43[[#This Row],[Harga Jual Pcs GT
(-PPN)]]</f>
        <v>0</v>
      </c>
      <c r="AT70" s="42">
        <f>(Table43[[#This Row],[Harga Jual Pcs MT
(-PPN)]]*Table43[[#This Row],[ISI/CTN]])</f>
        <v>0</v>
      </c>
      <c r="AU70" s="42">
        <f>Table43[[#This Row],[Harga Jual Pcs MT
(-PPN)]]*1.11</f>
        <v>0</v>
      </c>
      <c r="AV70" s="42">
        <f>Table43[[#This Row],[Harga Jual Pcs MT
(+PPN)]]*Table43[[#This Row],[ISI/CTN]]</f>
        <v>0</v>
      </c>
      <c r="AW70" s="47"/>
      <c r="AX70" s="7"/>
      <c r="AY70" s="7" t="str">
        <f ca="1">IF(TODAY()-Table43[[#This Row],[Efektif
Pembuatan]]&gt;60,"Lama","Baru")</f>
        <v>Lama</v>
      </c>
      <c r="AZ70" s="7" t="str">
        <f ca="1">IF(TODAY()-Table43[[#This Row],[Efektif Naik Harga]]&lt;30,"Naik","Sama")</f>
        <v>Sama</v>
      </c>
      <c r="BA70" s="7" t="str">
        <f>IF(Table43[[#This Row],[Kode BARANG Win2]]&lt;&gt;"","IDR","")</f>
        <v>IDR</v>
      </c>
      <c r="BB70" s="7" t="str">
        <f>CONCATENATE(Table43[[#This Row],[kode  1 Digit
(Nomor)]],Table43[[#This Row],[kode  4 Digit                (Nomor)]])</f>
        <v>10010</v>
      </c>
      <c r="BC70" s="7" t="str">
        <f>Table43[[#This Row],[Nama            Gramasi atau Jumlah Pack per CTN]]</f>
        <v>10ML</v>
      </c>
      <c r="BD70" s="7"/>
      <c r="BE70" s="7"/>
      <c r="BF70" s="4" t="str">
        <f>IF(Table43[[#This Row],[SATUAN Fix Win]]&lt;&gt;"","KRT")</f>
        <v>KRT</v>
      </c>
      <c r="BG70" s="4" t="str">
        <f>IF(Table43[[#This Row],[SATUAN Fix Win]]&lt;&gt;"","GD01")</f>
        <v>GD01</v>
      </c>
      <c r="BH70" s="4">
        <f>IF(Table43[[#This Row],[SATUAN Fix Win]]&lt;&gt;"",11611)</f>
        <v>11611</v>
      </c>
      <c r="BI70" s="4">
        <f>IF(Table43[[#This Row],[SATUAN Fix Win]]&lt;&gt;"",11612)</f>
        <v>11612</v>
      </c>
      <c r="BJ70" s="48"/>
      <c r="BK70" s="4">
        <f>IF(Table43[[#This Row],[SATUAN Fix Win]]&lt;&gt;"",1)</f>
        <v>1</v>
      </c>
    </row>
    <row r="71" spans="1:67">
      <c r="A71" s="4" t="str">
        <f>CONCATENATE(Table43[[#This Row],[Kode BARANG Win2]],Table43[[#This Row],[No. Urut
Item Sama]])</f>
        <v>K10460070010101</v>
      </c>
      <c r="B71" s="7">
        <v>1</v>
      </c>
      <c r="D71" s="28" t="s">
        <v>824</v>
      </c>
      <c r="E71" s="28"/>
      <c r="F71" s="28" t="s">
        <v>2918</v>
      </c>
      <c r="G71" s="78">
        <v>24</v>
      </c>
      <c r="H71" s="43"/>
      <c r="I71" s="28" t="str">
        <f>Table43[[#This Row],[Nama Jenis Kemasan]]</f>
        <v>AMP</v>
      </c>
      <c r="J71" s="4" t="str">
        <f>TRIM(CONCATENATE(Table43[[#This Row],[Nama            KLP]]," ",Table43[[#This Row],[Nama            Sub KLP]]))</f>
        <v>B&amp;B SHAMPOO</v>
      </c>
      <c r="K71" s="4" t="str">
        <f>CONCATENATE(Table43[[#This Row],[kode  2 Digit                (hrf+No)]],Table43[[#This Row],[kode  2 Digit                (Nomor)]],Table43[[#This Row],[kode  1 Digit                (Nomor)]])</f>
        <v>K1046</v>
      </c>
      <c r="L71" s="4" t="str">
        <f t="shared" si="0"/>
        <v>K1046007001010</v>
      </c>
      <c r="M71" s="11">
        <f t="shared" si="1"/>
        <v>14</v>
      </c>
      <c r="N71" s="14" t="str">
        <f>IF(AF71&lt;&gt;"",TRIM(UPPER(CONCATENATE(P71," ",R71," ",T71," ",V71," ",X71," ",Z71," ","X"," ",Table43[[#This Row],[ISI/CTN]]," ",AF71," ",AB71," ",AD71," ",AH71))),TRIM(UPPER(CONCATENATE(P71," ",R71," ",T71," ",V71," ",X71," ",Z71," ","X"," ",Table43[[#This Row],[ISI/CTN]]," ",AB71," ",AD71," ",AH71))))</f>
        <v>KNF B&amp;B SHAMPOO JUSTICE LEAGUE 10ML X 24 AMP</v>
      </c>
      <c r="O71" s="11">
        <f t="shared" si="2"/>
        <v>44</v>
      </c>
      <c r="P71" s="4" t="s">
        <v>97</v>
      </c>
      <c r="Q71" s="7" t="s">
        <v>98</v>
      </c>
      <c r="R71" s="4" t="s">
        <v>2524</v>
      </c>
      <c r="S71" s="44" t="s">
        <v>2474</v>
      </c>
      <c r="T71" s="45" t="s">
        <v>3606</v>
      </c>
      <c r="U71" s="7" t="s">
        <v>3607</v>
      </c>
      <c r="V71" s="45" t="s">
        <v>2961</v>
      </c>
      <c r="W71" s="44" t="s">
        <v>2900</v>
      </c>
      <c r="X71" s="4" t="s">
        <v>3614</v>
      </c>
      <c r="Y71" s="46" t="s">
        <v>2477</v>
      </c>
      <c r="Z71" s="4" t="s">
        <v>3612</v>
      </c>
      <c r="AA71" s="46" t="s">
        <v>2488</v>
      </c>
      <c r="AB71" s="4" t="s">
        <v>1027</v>
      </c>
      <c r="AC71" s="7" t="s">
        <v>2656</v>
      </c>
      <c r="AD71" s="4" t="s">
        <v>2961</v>
      </c>
      <c r="AE71" s="7" t="s">
        <v>2900</v>
      </c>
      <c r="AF71" s="7" t="s">
        <v>2961</v>
      </c>
      <c r="AG71" s="7" t="s">
        <v>2961</v>
      </c>
      <c r="AI71" s="7" t="s">
        <v>4100</v>
      </c>
      <c r="AJ71" s="7" t="s">
        <v>2656</v>
      </c>
      <c r="AK71" s="41">
        <f>Table43[[#This Row],[Harga Jual Pcs GT
(-PPN)]]-(Table43[[#This Row],[Harga Jual Pcs GT
(-PPN)]]*10%)</f>
        <v>0</v>
      </c>
      <c r="AL71" s="42">
        <f>Table43[[#This Row],[Harga Beli Pcs
(-PPN)]]*Table43[[#This Row],[ISI/CTN]]</f>
        <v>0</v>
      </c>
      <c r="AM71" s="42">
        <f>Table43[[#This Row],[Harga Beli Pcs
(-PPN)]]*1.11</f>
        <v>0</v>
      </c>
      <c r="AN71" s="42">
        <f>Table43[[#This Row],[Harga Beli Krt
(- PPN)]]*1.11</f>
        <v>0</v>
      </c>
      <c r="AO71" s="42"/>
      <c r="AP71" s="42">
        <f>Table43[[#This Row],[Harga Jual Pcs GT
(-PPN)]]*Table43[[#This Row],[ISI/CTN]]</f>
        <v>0</v>
      </c>
      <c r="AQ71" s="42">
        <f>Table43[[#This Row],[Harga Jual Pcs GT
(-PPN)]]*1.11</f>
        <v>0</v>
      </c>
      <c r="AR71" s="42">
        <f>Table43[[#This Row],[Harga Jual Krt GT
(- PPN)]]*1.11</f>
        <v>0</v>
      </c>
      <c r="AS71" s="42">
        <f>Table43[[#This Row],[Harga Jual Pcs GT
(-PPN)]]</f>
        <v>0</v>
      </c>
      <c r="AT71" s="42">
        <f>(Table43[[#This Row],[Harga Jual Pcs MT
(-PPN)]]*Table43[[#This Row],[ISI/CTN]])</f>
        <v>0</v>
      </c>
      <c r="AU71" s="42">
        <f>Table43[[#This Row],[Harga Jual Pcs MT
(-PPN)]]*1.11</f>
        <v>0</v>
      </c>
      <c r="AV71" s="42">
        <f>Table43[[#This Row],[Harga Jual Pcs MT
(+PPN)]]*Table43[[#This Row],[ISI/CTN]]</f>
        <v>0</v>
      </c>
      <c r="AW71" s="47"/>
      <c r="AX71" s="7"/>
      <c r="AY71" s="7" t="str">
        <f ca="1">IF(TODAY()-Table43[[#This Row],[Efektif
Pembuatan]]&gt;60,"Lama","Baru")</f>
        <v>Lama</v>
      </c>
      <c r="AZ71" s="7" t="str">
        <f ca="1">IF(TODAY()-Table43[[#This Row],[Efektif Naik Harga]]&lt;30,"Naik","Sama")</f>
        <v>Sama</v>
      </c>
      <c r="BA71" s="7" t="str">
        <f>IF(Table43[[#This Row],[Kode BARANG Win2]]&lt;&gt;"","IDR","")</f>
        <v>IDR</v>
      </c>
      <c r="BB71" s="7" t="str">
        <f>CONCATENATE(Table43[[#This Row],[kode  1 Digit
(Nomor)]],Table43[[#This Row],[kode  4 Digit                (Nomor)]])</f>
        <v>10010</v>
      </c>
      <c r="BC71" s="7" t="str">
        <f>Table43[[#This Row],[Nama            Gramasi atau Jumlah Pack per CTN]]</f>
        <v>10ML</v>
      </c>
      <c r="BD71" s="7"/>
      <c r="BE71" s="7"/>
      <c r="BF71" s="4" t="str">
        <f>IF(Table43[[#This Row],[SATUAN Fix Win]]&lt;&gt;"","KRT")</f>
        <v>KRT</v>
      </c>
      <c r="BG71" s="4" t="str">
        <f>IF(Table43[[#This Row],[SATUAN Fix Win]]&lt;&gt;"","GD01")</f>
        <v>GD01</v>
      </c>
      <c r="BH71" s="4">
        <f>IF(Table43[[#This Row],[SATUAN Fix Win]]&lt;&gt;"",11611)</f>
        <v>11611</v>
      </c>
      <c r="BI71" s="4">
        <f>IF(Table43[[#This Row],[SATUAN Fix Win]]&lt;&gt;"",11612)</f>
        <v>11612</v>
      </c>
      <c r="BJ71" s="48"/>
      <c r="BK71" s="4">
        <f>IF(Table43[[#This Row],[SATUAN Fix Win]]&lt;&gt;"",1)</f>
        <v>1</v>
      </c>
    </row>
    <row r="72" spans="1:67">
      <c r="A72" s="4" t="str">
        <f>CONCATENATE(Table43[[#This Row],[Kode BARANG Win2]],Table43[[#This Row],[No. Urut
Item Sama]])</f>
        <v>K10460070200202</v>
      </c>
      <c r="B72" s="7">
        <v>2</v>
      </c>
      <c r="D72" s="28" t="s">
        <v>826</v>
      </c>
      <c r="E72" s="28"/>
      <c r="F72" s="28" t="s">
        <v>3399</v>
      </c>
      <c r="G72" s="78">
        <v>36</v>
      </c>
      <c r="H72" s="43"/>
      <c r="I72" s="28" t="str">
        <f>Table43[[#This Row],[Nama Jenis Kemasan]]</f>
        <v>BTL</v>
      </c>
      <c r="J72" s="4" t="str">
        <f>TRIM(CONCATENATE(Table43[[#This Row],[Nama            KLP]]," ",Table43[[#This Row],[Nama            Sub KLP]]))</f>
        <v>B&amp;B SHAMPOO</v>
      </c>
      <c r="K72" s="4" t="str">
        <f>CONCATENATE(Table43[[#This Row],[kode  2 Digit                (hrf+No)]],Table43[[#This Row],[kode  2 Digit                (Nomor)]],Table43[[#This Row],[kode  1 Digit                (Nomor)]])</f>
        <v>K1046</v>
      </c>
      <c r="L72" s="4" t="str">
        <f t="shared" ref="L72:L141" si="3">IF(AG72="",CONCATENATE(Q72,S72,U72,W72,Y72,AA72,AC72,AE72),CONCATENATE(Q72,S72,U72,W72,Y72,AA72,AC72,AG72))</f>
        <v>K1046007020020</v>
      </c>
      <c r="M72" s="11">
        <f t="shared" ref="M72:M141" si="4">LEN(L72)</f>
        <v>14</v>
      </c>
      <c r="N72" s="14" t="str">
        <f>IF(AF72&lt;&gt;"",TRIM(UPPER(CONCATENATE(P72," ",R72," ",T72," ",V72," ",X72," ",Z72," ","X"," ",Table43[[#This Row],[ISI/CTN]]," ",AF72," ",AB72," ",AD72," ",AH72))),TRIM(UPPER(CONCATENATE(P72," ",R72," ",T72," ",V72," ",X72," ",Z72," ","X"," ",Table43[[#This Row],[ISI/CTN]]," ",AB72," ",AD72," ",AH72))))</f>
        <v>KNF B&amp;B SHAMPOO JUSTICE LEAGUE 200ML X 36 BTL</v>
      </c>
      <c r="O72" s="11">
        <f t="shared" ref="O72:O141" si="5">LEN(N72)</f>
        <v>45</v>
      </c>
      <c r="P72" s="4" t="s">
        <v>97</v>
      </c>
      <c r="Q72" s="7" t="s">
        <v>98</v>
      </c>
      <c r="R72" s="4" t="s">
        <v>2524</v>
      </c>
      <c r="S72" s="44" t="s">
        <v>2474</v>
      </c>
      <c r="T72" s="45" t="s">
        <v>3606</v>
      </c>
      <c r="U72" s="7" t="s">
        <v>3607</v>
      </c>
      <c r="V72" s="45" t="s">
        <v>2961</v>
      </c>
      <c r="W72" s="44" t="s">
        <v>2900</v>
      </c>
      <c r="X72" s="4" t="s">
        <v>3614</v>
      </c>
      <c r="Y72" s="46" t="s">
        <v>2477</v>
      </c>
      <c r="Z72" s="4" t="s">
        <v>3582</v>
      </c>
      <c r="AA72" s="46" t="s">
        <v>2486</v>
      </c>
      <c r="AB72" s="4" t="s">
        <v>357</v>
      </c>
      <c r="AC72" s="7" t="s">
        <v>3562</v>
      </c>
      <c r="AD72" s="4" t="s">
        <v>2961</v>
      </c>
      <c r="AE72" s="7" t="s">
        <v>2900</v>
      </c>
      <c r="AF72" s="7" t="s">
        <v>2961</v>
      </c>
      <c r="AG72" s="7" t="s">
        <v>2961</v>
      </c>
      <c r="AI72" s="7" t="s">
        <v>4100</v>
      </c>
      <c r="AJ72" s="7" t="s">
        <v>2656</v>
      </c>
      <c r="AK72" s="41">
        <f>Table43[[#This Row],[Harga Jual Pcs GT
(-PPN)]]-(Table43[[#This Row],[Harga Jual Pcs GT
(-PPN)]]*10%)</f>
        <v>0</v>
      </c>
      <c r="AL72" s="42">
        <f>Table43[[#This Row],[Harga Beli Pcs
(-PPN)]]*Table43[[#This Row],[ISI/CTN]]</f>
        <v>0</v>
      </c>
      <c r="AM72" s="42">
        <f>Table43[[#This Row],[Harga Beli Pcs
(-PPN)]]*1.11</f>
        <v>0</v>
      </c>
      <c r="AN72" s="42">
        <f>Table43[[#This Row],[Harga Beli Krt
(- PPN)]]*1.11</f>
        <v>0</v>
      </c>
      <c r="AO72" s="42"/>
      <c r="AP72" s="42">
        <f>Table43[[#This Row],[Harga Jual Pcs GT
(-PPN)]]*Table43[[#This Row],[ISI/CTN]]</f>
        <v>0</v>
      </c>
      <c r="AQ72" s="42">
        <f>Table43[[#This Row],[Harga Jual Pcs GT
(-PPN)]]*1.11</f>
        <v>0</v>
      </c>
      <c r="AR72" s="42">
        <f>Table43[[#This Row],[Harga Jual Krt GT
(- PPN)]]*1.11</f>
        <v>0</v>
      </c>
      <c r="AS72" s="42">
        <f>Table43[[#This Row],[Harga Jual Pcs GT
(-PPN)]]</f>
        <v>0</v>
      </c>
      <c r="AT72" s="42">
        <f>(Table43[[#This Row],[Harga Jual Pcs MT
(-PPN)]]*Table43[[#This Row],[ISI/CTN]])</f>
        <v>0</v>
      </c>
      <c r="AU72" s="42">
        <f>Table43[[#This Row],[Harga Jual Pcs MT
(-PPN)]]*1.11</f>
        <v>0</v>
      </c>
      <c r="AV72" s="42">
        <f>Table43[[#This Row],[Harga Jual Pcs MT
(+PPN)]]*Table43[[#This Row],[ISI/CTN]]</f>
        <v>0</v>
      </c>
      <c r="AW72" s="47"/>
      <c r="AX72" s="7"/>
      <c r="AY72" s="7" t="str">
        <f ca="1">IF(TODAY()-Table43[[#This Row],[Efektif
Pembuatan]]&gt;60,"Lama","Baru")</f>
        <v>Lama</v>
      </c>
      <c r="AZ72" s="7" t="str">
        <f ca="1">IF(TODAY()-Table43[[#This Row],[Efektif Naik Harga]]&lt;30,"Naik","Sama")</f>
        <v>Sama</v>
      </c>
      <c r="BA72" s="7" t="str">
        <f>IF(Table43[[#This Row],[Kode BARANG Win2]]&lt;&gt;"","IDR","")</f>
        <v>IDR</v>
      </c>
      <c r="BB72" s="7" t="str">
        <f>CONCATENATE(Table43[[#This Row],[kode  1 Digit
(Nomor)]],Table43[[#This Row],[kode  4 Digit                (Nomor)]])</f>
        <v>10200</v>
      </c>
      <c r="BC72" s="7" t="str">
        <f>Table43[[#This Row],[Nama            Gramasi atau Jumlah Pack per CTN]]</f>
        <v>200ML</v>
      </c>
      <c r="BD72" s="7"/>
      <c r="BE72" s="7"/>
      <c r="BF72" s="4" t="str">
        <f>IF(Table43[[#This Row],[SATUAN Fix Win]]&lt;&gt;"","KRT")</f>
        <v>KRT</v>
      </c>
      <c r="BG72" s="4" t="str">
        <f>IF(Table43[[#This Row],[SATUAN Fix Win]]&lt;&gt;"","GD01")</f>
        <v>GD01</v>
      </c>
      <c r="BH72" s="4">
        <f>IF(Table43[[#This Row],[SATUAN Fix Win]]&lt;&gt;"",11611)</f>
        <v>11611</v>
      </c>
      <c r="BI72" s="4">
        <f>IF(Table43[[#This Row],[SATUAN Fix Win]]&lt;&gt;"",11612)</f>
        <v>11612</v>
      </c>
      <c r="BJ72" s="48"/>
      <c r="BK72" s="4">
        <f>IF(Table43[[#This Row],[SATUAN Fix Win]]&lt;&gt;"",1)</f>
        <v>1</v>
      </c>
    </row>
    <row r="73" spans="1:67">
      <c r="A73" s="4" t="str">
        <f>CONCATENATE(Table43[[#This Row],[Kode BARANG Win2]],Table43[[#This Row],[No. Urut
Item Sama]])</f>
        <v>K10460080200201</v>
      </c>
      <c r="B73" s="7">
        <v>1</v>
      </c>
      <c r="D73" s="28" t="s">
        <v>827</v>
      </c>
      <c r="E73" s="28"/>
      <c r="F73" s="28" t="s">
        <v>3400</v>
      </c>
      <c r="G73" s="78">
        <v>36</v>
      </c>
      <c r="H73" s="43"/>
      <c r="I73" s="28" t="str">
        <f>Table43[[#This Row],[Nama Jenis Kemasan]]</f>
        <v>BTL</v>
      </c>
      <c r="J73" s="4" t="str">
        <f>TRIM(CONCATENATE(Table43[[#This Row],[Nama            KLP]]," ",Table43[[#This Row],[Nama            Sub KLP]]))</f>
        <v>B&amp;B SHAMPOO</v>
      </c>
      <c r="K73" s="4" t="str">
        <f>CONCATENATE(Table43[[#This Row],[kode  2 Digit                (hrf+No)]],Table43[[#This Row],[kode  2 Digit                (Nomor)]],Table43[[#This Row],[kode  1 Digit                (Nomor)]])</f>
        <v>K1046</v>
      </c>
      <c r="L73" s="4" t="str">
        <f t="shared" si="3"/>
        <v>K1046008020020</v>
      </c>
      <c r="M73" s="11">
        <f t="shared" si="4"/>
        <v>14</v>
      </c>
      <c r="N73" s="14" t="str">
        <f>IF(AF73&lt;&gt;"",TRIM(UPPER(CONCATENATE(P73," ",R73," ",T73," ",V73," ",X73," ",Z73," ","X"," ",Table43[[#This Row],[ISI/CTN]]," ",AF73," ",AB73," ",AD73," ",AH73))),TRIM(UPPER(CONCATENATE(P73," ",R73," ",T73," ",V73," ",X73," ",Z73," ","X"," ",Table43[[#This Row],[ISI/CTN]]," ",AB73," ",AD73," ",AH73))))</f>
        <v>KNF B&amp;B SHAMPOO SWEET FLO PINKIE 200ML X 36 BTL</v>
      </c>
      <c r="O73" s="11">
        <f t="shared" si="5"/>
        <v>47</v>
      </c>
      <c r="P73" s="4" t="s">
        <v>97</v>
      </c>
      <c r="Q73" s="7" t="s">
        <v>98</v>
      </c>
      <c r="R73" s="4" t="s">
        <v>2524</v>
      </c>
      <c r="S73" s="44" t="s">
        <v>2474</v>
      </c>
      <c r="T73" s="45" t="s">
        <v>3606</v>
      </c>
      <c r="U73" s="7" t="s">
        <v>3607</v>
      </c>
      <c r="V73" s="45" t="s">
        <v>2961</v>
      </c>
      <c r="W73" s="44" t="s">
        <v>2900</v>
      </c>
      <c r="X73" s="4" t="s">
        <v>3615</v>
      </c>
      <c r="Y73" s="46" t="s">
        <v>2478</v>
      </c>
      <c r="Z73" s="4" t="s">
        <v>3582</v>
      </c>
      <c r="AA73" s="46" t="s">
        <v>2486</v>
      </c>
      <c r="AB73" s="4" t="s">
        <v>357</v>
      </c>
      <c r="AC73" s="7" t="s">
        <v>3562</v>
      </c>
      <c r="AD73" s="4" t="s">
        <v>2961</v>
      </c>
      <c r="AE73" s="7" t="s">
        <v>2900</v>
      </c>
      <c r="AF73" s="7" t="s">
        <v>2961</v>
      </c>
      <c r="AG73" s="7" t="s">
        <v>2961</v>
      </c>
      <c r="AI73" s="7" t="s">
        <v>4100</v>
      </c>
      <c r="AJ73" s="7" t="s">
        <v>2656</v>
      </c>
      <c r="AK73" s="41">
        <f>Table43[[#This Row],[Harga Jual Pcs GT
(-PPN)]]-(Table43[[#This Row],[Harga Jual Pcs GT
(-PPN)]]*10%)</f>
        <v>0</v>
      </c>
      <c r="AL73" s="42">
        <f>Table43[[#This Row],[Harga Beli Pcs
(-PPN)]]*Table43[[#This Row],[ISI/CTN]]</f>
        <v>0</v>
      </c>
      <c r="AM73" s="42">
        <f>Table43[[#This Row],[Harga Beli Pcs
(-PPN)]]*1.11</f>
        <v>0</v>
      </c>
      <c r="AN73" s="42">
        <f>Table43[[#This Row],[Harga Beli Krt
(- PPN)]]*1.11</f>
        <v>0</v>
      </c>
      <c r="AO73" s="42"/>
      <c r="AP73" s="42">
        <f>Table43[[#This Row],[Harga Jual Pcs GT
(-PPN)]]*Table43[[#This Row],[ISI/CTN]]</f>
        <v>0</v>
      </c>
      <c r="AQ73" s="42">
        <f>Table43[[#This Row],[Harga Jual Pcs GT
(-PPN)]]*1.11</f>
        <v>0</v>
      </c>
      <c r="AR73" s="42">
        <f>Table43[[#This Row],[Harga Jual Krt GT
(- PPN)]]*1.11</f>
        <v>0</v>
      </c>
      <c r="AS73" s="42">
        <f>Table43[[#This Row],[Harga Jual Pcs GT
(-PPN)]]</f>
        <v>0</v>
      </c>
      <c r="AT73" s="42">
        <f>(Table43[[#This Row],[Harga Jual Pcs MT
(-PPN)]]*Table43[[#This Row],[ISI/CTN]])</f>
        <v>0</v>
      </c>
      <c r="AU73" s="42">
        <f>Table43[[#This Row],[Harga Jual Pcs MT
(-PPN)]]*1.11</f>
        <v>0</v>
      </c>
      <c r="AV73" s="42">
        <f>Table43[[#This Row],[Harga Jual Pcs MT
(+PPN)]]*Table43[[#This Row],[ISI/CTN]]</f>
        <v>0</v>
      </c>
      <c r="AW73" s="47"/>
      <c r="AX73" s="7"/>
      <c r="AY73" s="7" t="str">
        <f ca="1">IF(TODAY()-Table43[[#This Row],[Efektif
Pembuatan]]&gt;60,"Lama","Baru")</f>
        <v>Lama</v>
      </c>
      <c r="AZ73" s="7" t="str">
        <f ca="1">IF(TODAY()-Table43[[#This Row],[Efektif Naik Harga]]&lt;30,"Naik","Sama")</f>
        <v>Sama</v>
      </c>
      <c r="BA73" s="7" t="str">
        <f>IF(Table43[[#This Row],[Kode BARANG Win2]]&lt;&gt;"","IDR","")</f>
        <v>IDR</v>
      </c>
      <c r="BB73" s="7" t="str">
        <f>CONCATENATE(Table43[[#This Row],[kode  1 Digit
(Nomor)]],Table43[[#This Row],[kode  4 Digit                (Nomor)]])</f>
        <v>10200</v>
      </c>
      <c r="BC73" s="7" t="str">
        <f>Table43[[#This Row],[Nama            Gramasi atau Jumlah Pack per CTN]]</f>
        <v>200ML</v>
      </c>
      <c r="BD73" s="7"/>
      <c r="BE73" s="7"/>
      <c r="BF73" s="4" t="str">
        <f>IF(Table43[[#This Row],[SATUAN Fix Win]]&lt;&gt;"","KRT")</f>
        <v>KRT</v>
      </c>
      <c r="BG73" s="4" t="str">
        <f>IF(Table43[[#This Row],[SATUAN Fix Win]]&lt;&gt;"","GD01")</f>
        <v>GD01</v>
      </c>
      <c r="BH73" s="4">
        <f>IF(Table43[[#This Row],[SATUAN Fix Win]]&lt;&gt;"",11611)</f>
        <v>11611</v>
      </c>
      <c r="BI73" s="4">
        <f>IF(Table43[[#This Row],[SATUAN Fix Win]]&lt;&gt;"",11612)</f>
        <v>11612</v>
      </c>
      <c r="BJ73" s="48"/>
      <c r="BK73" s="4">
        <f>IF(Table43[[#This Row],[SATUAN Fix Win]]&lt;&gt;"",1)</f>
        <v>1</v>
      </c>
    </row>
    <row r="74" spans="1:67">
      <c r="A74" s="4" t="str">
        <f>CONCATENATE(Table43[[#This Row],[Kode BARANG Win2]],Table43[[#This Row],[No. Urut
Item Sama]])</f>
        <v>K10460090200202</v>
      </c>
      <c r="B74" s="7">
        <v>2</v>
      </c>
      <c r="D74" s="28" t="s">
        <v>828</v>
      </c>
      <c r="E74" s="28"/>
      <c r="F74" s="28" t="s">
        <v>3401</v>
      </c>
      <c r="G74" s="78">
        <v>36</v>
      </c>
      <c r="H74" s="43"/>
      <c r="I74" s="28" t="str">
        <f>Table43[[#This Row],[Nama Jenis Kemasan]]</f>
        <v>BTL</v>
      </c>
      <c r="J74" s="4" t="str">
        <f>TRIM(CONCATENATE(Table43[[#This Row],[Nama            KLP]]," ",Table43[[#This Row],[Nama            Sub KLP]]))</f>
        <v>B&amp;B SHAMPOO</v>
      </c>
      <c r="K74" s="4" t="str">
        <f>CONCATENATE(Table43[[#This Row],[kode  2 Digit                (hrf+No)]],Table43[[#This Row],[kode  2 Digit                (Nomor)]],Table43[[#This Row],[kode  1 Digit                (Nomor)]])</f>
        <v>K1046</v>
      </c>
      <c r="L74" s="4" t="str">
        <f t="shared" si="3"/>
        <v>K1046009020020</v>
      </c>
      <c r="M74" s="11">
        <f t="shared" si="4"/>
        <v>14</v>
      </c>
      <c r="N74" s="14" t="str">
        <f>IF(AF74&lt;&gt;"",TRIM(UPPER(CONCATENATE(P74," ",R74," ",T74," ",V74," ",X74," ",Z74," ","X"," ",Table43[[#This Row],[ISI/CTN]]," ",AF74," ",AB74," ",AD74," ",AH74))),TRIM(UPPER(CONCATENATE(P74," ",R74," ",T74," ",V74," ",X74," ",Z74," ","X"," ",Table43[[#This Row],[ISI/CTN]]," ",AB74," ",AD74," ",AH74))))</f>
        <v>KNF B&amp;B SHAMPOO FRUITYFUN RAINBOW 200ML X 36 BTL</v>
      </c>
      <c r="O74" s="11">
        <f t="shared" si="5"/>
        <v>48</v>
      </c>
      <c r="P74" s="4" t="s">
        <v>97</v>
      </c>
      <c r="Q74" s="7" t="s">
        <v>98</v>
      </c>
      <c r="R74" s="4" t="s">
        <v>2524</v>
      </c>
      <c r="S74" s="44" t="s">
        <v>2474</v>
      </c>
      <c r="T74" s="45" t="s">
        <v>3606</v>
      </c>
      <c r="U74" s="7" t="s">
        <v>3607</v>
      </c>
      <c r="V74" s="45" t="s">
        <v>2961</v>
      </c>
      <c r="W74" s="44" t="s">
        <v>2900</v>
      </c>
      <c r="X74" s="4" t="s">
        <v>3616</v>
      </c>
      <c r="Y74" s="46" t="s">
        <v>2479</v>
      </c>
      <c r="Z74" s="4" t="s">
        <v>3582</v>
      </c>
      <c r="AA74" s="46" t="s">
        <v>2486</v>
      </c>
      <c r="AB74" s="4" t="s">
        <v>357</v>
      </c>
      <c r="AC74" s="7" t="s">
        <v>3562</v>
      </c>
      <c r="AD74" s="4" t="s">
        <v>2961</v>
      </c>
      <c r="AE74" s="7" t="s">
        <v>2900</v>
      </c>
      <c r="AF74" s="7" t="s">
        <v>2961</v>
      </c>
      <c r="AG74" s="7" t="s">
        <v>2961</v>
      </c>
      <c r="AI74" s="7" t="s">
        <v>4100</v>
      </c>
      <c r="AJ74" s="7" t="s">
        <v>2656</v>
      </c>
      <c r="AK74" s="41">
        <f>Table43[[#This Row],[Harga Jual Pcs GT
(-PPN)]]-(Table43[[#This Row],[Harga Jual Pcs GT
(-PPN)]]*10%)</f>
        <v>0</v>
      </c>
      <c r="AL74" s="42">
        <f>Table43[[#This Row],[Harga Beli Pcs
(-PPN)]]*Table43[[#This Row],[ISI/CTN]]</f>
        <v>0</v>
      </c>
      <c r="AM74" s="42">
        <f>Table43[[#This Row],[Harga Beli Pcs
(-PPN)]]*1.11</f>
        <v>0</v>
      </c>
      <c r="AN74" s="42">
        <f>Table43[[#This Row],[Harga Beli Krt
(- PPN)]]*1.11</f>
        <v>0</v>
      </c>
      <c r="AO74" s="42"/>
      <c r="AP74" s="42">
        <f>Table43[[#This Row],[Harga Jual Pcs GT
(-PPN)]]*Table43[[#This Row],[ISI/CTN]]</f>
        <v>0</v>
      </c>
      <c r="AQ74" s="42">
        <f>Table43[[#This Row],[Harga Jual Pcs GT
(-PPN)]]*1.11</f>
        <v>0</v>
      </c>
      <c r="AR74" s="42">
        <f>Table43[[#This Row],[Harga Jual Krt GT
(- PPN)]]*1.11</f>
        <v>0</v>
      </c>
      <c r="AS74" s="42">
        <f>Table43[[#This Row],[Harga Jual Pcs GT
(-PPN)]]</f>
        <v>0</v>
      </c>
      <c r="AT74" s="42">
        <f>(Table43[[#This Row],[Harga Jual Pcs MT
(-PPN)]]*Table43[[#This Row],[ISI/CTN]])</f>
        <v>0</v>
      </c>
      <c r="AU74" s="42">
        <f>Table43[[#This Row],[Harga Jual Pcs MT
(-PPN)]]*1.11</f>
        <v>0</v>
      </c>
      <c r="AV74" s="42">
        <f>Table43[[#This Row],[Harga Jual Pcs MT
(+PPN)]]*Table43[[#This Row],[ISI/CTN]]</f>
        <v>0</v>
      </c>
      <c r="AW74" s="47"/>
      <c r="AX74" s="7"/>
      <c r="AY74" s="7" t="str">
        <f ca="1">IF(TODAY()-Table43[[#This Row],[Efektif
Pembuatan]]&gt;60,"Lama","Baru")</f>
        <v>Lama</v>
      </c>
      <c r="AZ74" s="7" t="str">
        <f ca="1">IF(TODAY()-Table43[[#This Row],[Efektif Naik Harga]]&lt;30,"Naik","Sama")</f>
        <v>Sama</v>
      </c>
      <c r="BA74" s="7" t="str">
        <f>IF(Table43[[#This Row],[Kode BARANG Win2]]&lt;&gt;"","IDR","")</f>
        <v>IDR</v>
      </c>
      <c r="BB74" s="7" t="str">
        <f>CONCATENATE(Table43[[#This Row],[kode  1 Digit
(Nomor)]],Table43[[#This Row],[kode  4 Digit                (Nomor)]])</f>
        <v>10200</v>
      </c>
      <c r="BC74" s="7" t="str">
        <f>Table43[[#This Row],[Nama            Gramasi atau Jumlah Pack per CTN]]</f>
        <v>200ML</v>
      </c>
      <c r="BD74" s="7"/>
      <c r="BE74" s="7"/>
      <c r="BF74" s="4" t="str">
        <f>IF(Table43[[#This Row],[SATUAN Fix Win]]&lt;&gt;"","KRT")</f>
        <v>KRT</v>
      </c>
      <c r="BG74" s="4" t="str">
        <f>IF(Table43[[#This Row],[SATUAN Fix Win]]&lt;&gt;"","GD01")</f>
        <v>GD01</v>
      </c>
      <c r="BH74" s="4">
        <f>IF(Table43[[#This Row],[SATUAN Fix Win]]&lt;&gt;"",11611)</f>
        <v>11611</v>
      </c>
      <c r="BI74" s="4">
        <f>IF(Table43[[#This Row],[SATUAN Fix Win]]&lt;&gt;"",11612)</f>
        <v>11612</v>
      </c>
      <c r="BJ74" s="48"/>
      <c r="BK74" s="4">
        <f>IF(Table43[[#This Row],[SATUAN Fix Win]]&lt;&gt;"",1)</f>
        <v>1</v>
      </c>
    </row>
    <row r="75" spans="1:67">
      <c r="A75" s="4" t="str">
        <f>CONCATENATE(Table43[[#This Row],[Kode BARANG Win2]],Table43[[#This Row],[No. Urut
Item Sama]])</f>
        <v>K10460100250201</v>
      </c>
      <c r="B75" s="7">
        <v>1</v>
      </c>
      <c r="D75" s="28" t="s">
        <v>4045</v>
      </c>
      <c r="E75" s="28"/>
      <c r="F75" s="28">
        <v>0</v>
      </c>
      <c r="G75" s="78">
        <v>36</v>
      </c>
      <c r="H75" s="43"/>
      <c r="I75" s="28" t="str">
        <f>Table43[[#This Row],[Nama Jenis Kemasan]]</f>
        <v>BTL</v>
      </c>
      <c r="J75" s="4" t="str">
        <f>TRIM(CONCATENATE(Table43[[#This Row],[Nama            KLP]]," ",Table43[[#This Row],[Nama            Sub KLP]]))</f>
        <v>B&amp;B SHAMPOO</v>
      </c>
      <c r="K75" s="4" t="str">
        <f>CONCATENATE(Table43[[#This Row],[kode  2 Digit                (hrf+No)]],Table43[[#This Row],[kode  2 Digit                (Nomor)]],Table43[[#This Row],[kode  1 Digit                (Nomor)]])</f>
        <v>K1046</v>
      </c>
      <c r="L75" s="4" t="str">
        <f t="shared" si="3"/>
        <v>K1046010025020</v>
      </c>
      <c r="M75" s="11">
        <f t="shared" si="4"/>
        <v>14</v>
      </c>
      <c r="N75" s="14" t="str">
        <f>IF(AF75&lt;&gt;"",TRIM(UPPER(CONCATENATE(P75," ",R75," ",T75," ",V75," ",X75," ",Z75," ","X"," ",Table43[[#This Row],[ISI/CTN]]," ",AF75," ",AB75," ",AD75," ",AH75))),TRIM(UPPER(CONCATENATE(P75," ",R75," ",T75," ",V75," ",X75," ",Z75," ","X"," ",Table43[[#This Row],[ISI/CTN]]," ",AB75," ",AD75," ",AH75))))</f>
        <v>KNF B&amp;B SHAMPOO CUDDLY SHINE 250ML X 36 BTL</v>
      </c>
      <c r="O75" s="11">
        <f t="shared" si="5"/>
        <v>43</v>
      </c>
      <c r="P75" s="4" t="s">
        <v>97</v>
      </c>
      <c r="Q75" s="7" t="s">
        <v>98</v>
      </c>
      <c r="R75" s="4" t="s">
        <v>2524</v>
      </c>
      <c r="S75" s="44" t="s">
        <v>2474</v>
      </c>
      <c r="T75" s="45" t="s">
        <v>3606</v>
      </c>
      <c r="U75" s="7" t="s">
        <v>3607</v>
      </c>
      <c r="V75" s="45" t="s">
        <v>2961</v>
      </c>
      <c r="W75" s="44" t="s">
        <v>2900</v>
      </c>
      <c r="X75" s="4" t="s">
        <v>3617</v>
      </c>
      <c r="Y75" s="46" t="s">
        <v>3564</v>
      </c>
      <c r="Z75" s="4" t="s">
        <v>3580</v>
      </c>
      <c r="AA75" s="46" t="s">
        <v>2484</v>
      </c>
      <c r="AB75" s="4" t="s">
        <v>357</v>
      </c>
      <c r="AC75" s="7" t="s">
        <v>3562</v>
      </c>
      <c r="AD75" s="4" t="s">
        <v>2961</v>
      </c>
      <c r="AE75" s="7" t="s">
        <v>2900</v>
      </c>
      <c r="AF75" s="7" t="s">
        <v>2961</v>
      </c>
      <c r="AG75" s="7" t="s">
        <v>2961</v>
      </c>
      <c r="AI75" s="7" t="s">
        <v>4100</v>
      </c>
      <c r="AJ75" s="7" t="s">
        <v>2656</v>
      </c>
      <c r="AK75" s="41">
        <f>Table43[[#This Row],[Harga Jual Pcs GT
(-PPN)]]-(Table43[[#This Row],[Harga Jual Pcs GT
(-PPN)]]*10%)</f>
        <v>0</v>
      </c>
      <c r="AL75" s="42">
        <f>Table43[[#This Row],[Harga Beli Pcs
(-PPN)]]*Table43[[#This Row],[ISI/CTN]]</f>
        <v>0</v>
      </c>
      <c r="AM75" s="42">
        <f>Table43[[#This Row],[Harga Beli Pcs
(-PPN)]]*1.11</f>
        <v>0</v>
      </c>
      <c r="AN75" s="42">
        <f>Table43[[#This Row],[Harga Beli Krt
(- PPN)]]*1.11</f>
        <v>0</v>
      </c>
      <c r="AO75" s="42"/>
      <c r="AP75" s="42">
        <f>Table43[[#This Row],[Harga Jual Pcs GT
(-PPN)]]*Table43[[#This Row],[ISI/CTN]]</f>
        <v>0</v>
      </c>
      <c r="AQ75" s="42">
        <f>Table43[[#This Row],[Harga Jual Pcs GT
(-PPN)]]*1.11</f>
        <v>0</v>
      </c>
      <c r="AR75" s="42">
        <f>Table43[[#This Row],[Harga Jual Krt GT
(- PPN)]]*1.11</f>
        <v>0</v>
      </c>
      <c r="AS75" s="42">
        <f>Table43[[#This Row],[Harga Jual Pcs GT
(-PPN)]]</f>
        <v>0</v>
      </c>
      <c r="AT75" s="42">
        <f>(Table43[[#This Row],[Harga Jual Pcs MT
(-PPN)]]*Table43[[#This Row],[ISI/CTN]])</f>
        <v>0</v>
      </c>
      <c r="AU75" s="42">
        <f>Table43[[#This Row],[Harga Jual Pcs MT
(-PPN)]]*1.11</f>
        <v>0</v>
      </c>
      <c r="AV75" s="42">
        <f>Table43[[#This Row],[Harga Jual Pcs MT
(+PPN)]]*Table43[[#This Row],[ISI/CTN]]</f>
        <v>0</v>
      </c>
      <c r="AW75" s="47"/>
      <c r="AX75" s="7"/>
      <c r="AY75" s="7" t="str">
        <f ca="1">IF(TODAY()-Table43[[#This Row],[Efektif
Pembuatan]]&gt;60,"Lama","Baru")</f>
        <v>Lama</v>
      </c>
      <c r="AZ75" s="7" t="str">
        <f ca="1">IF(TODAY()-Table43[[#This Row],[Efektif Naik Harga]]&lt;30,"Naik","Sama")</f>
        <v>Sama</v>
      </c>
      <c r="BA75" s="7" t="str">
        <f>IF(Table43[[#This Row],[Kode BARANG Win2]]&lt;&gt;"","IDR","")</f>
        <v>IDR</v>
      </c>
      <c r="BB75" s="7" t="str">
        <f>CONCATENATE(Table43[[#This Row],[kode  1 Digit
(Nomor)]],Table43[[#This Row],[kode  4 Digit                (Nomor)]])</f>
        <v>10250</v>
      </c>
      <c r="BC75" s="7" t="str">
        <f>Table43[[#This Row],[Nama            Gramasi atau Jumlah Pack per CTN]]</f>
        <v>250ML</v>
      </c>
      <c r="BD75" s="7"/>
      <c r="BE75" s="7"/>
      <c r="BF75" s="4" t="str">
        <f>IF(Table43[[#This Row],[SATUAN Fix Win]]&lt;&gt;"","KRT")</f>
        <v>KRT</v>
      </c>
      <c r="BG75" s="4" t="str">
        <f>IF(Table43[[#This Row],[SATUAN Fix Win]]&lt;&gt;"","GD01")</f>
        <v>GD01</v>
      </c>
      <c r="BH75" s="4">
        <f>IF(Table43[[#This Row],[SATUAN Fix Win]]&lt;&gt;"",11611)</f>
        <v>11611</v>
      </c>
      <c r="BI75" s="4">
        <f>IF(Table43[[#This Row],[SATUAN Fix Win]]&lt;&gt;"",11612)</f>
        <v>11612</v>
      </c>
      <c r="BJ75" s="48"/>
      <c r="BK75" s="4">
        <f>IF(Table43[[#This Row],[SATUAN Fix Win]]&lt;&gt;"",1)</f>
        <v>1</v>
      </c>
    </row>
    <row r="76" spans="1:67" s="64" customFormat="1">
      <c r="A76" s="82" t="str">
        <f>CONCATENATE(Table43[[#This Row],[Kode BARANG Win2]],Table43[[#This Row],[No. Urut
Item Sama]])</f>
        <v>K10460110250201</v>
      </c>
      <c r="B76" s="52">
        <v>1</v>
      </c>
      <c r="C76" s="51"/>
      <c r="D76" s="53">
        <v>103155</v>
      </c>
      <c r="E76" s="53"/>
      <c r="F76" s="79" t="s">
        <v>4111</v>
      </c>
      <c r="G76" s="79">
        <v>36</v>
      </c>
      <c r="H76" s="54"/>
      <c r="I76" s="79" t="str">
        <f>Table43[[#This Row],[Nama Jenis Kemasan]]</f>
        <v>BTL</v>
      </c>
      <c r="J76" s="82" t="str">
        <f>TRIM(CONCATENATE(Table43[[#This Row],[Nama            KLP]]," ",Table43[[#This Row],[Nama            Sub KLP]]))</f>
        <v>B&amp;B SHAMPOO</v>
      </c>
      <c r="K76" s="82" t="str">
        <f>CONCATENATE(Table43[[#This Row],[kode  2 Digit                (hrf+No)]],Table43[[#This Row],[kode  2 Digit                (Nomor)]],Table43[[#This Row],[kode  1 Digit                (Nomor)]])</f>
        <v>K1046</v>
      </c>
      <c r="L76" s="82" t="str">
        <f t="shared" ref="L76:L78" si="6">IF(AG76="",CONCATENATE(Q76,S76,U76,W76,Y76,AA76,AC76,AE76),CONCATENATE(Q76,S76,U76,W76,Y76,AA76,AC76,AG76))</f>
        <v>K1046011025020</v>
      </c>
      <c r="M76" s="55">
        <f t="shared" ref="M76:M78" si="7">LEN(L76)</f>
        <v>14</v>
      </c>
      <c r="N76" s="83" t="str">
        <f>IF(AF76&lt;&gt;"",TRIM(UPPER(CONCATENATE(P76," ",R76," ",T76," ",V76," ",X76," ",Z76," ","X"," ",Table43[[#This Row],[ISI/CTN]]," ",AF76," ",AB76," ",AD76," ",AH76))),TRIM(UPPER(CONCATENATE(P76," ",R76," ",T76," ",V76," ",X76," ",Z76," ","X"," ",Table43[[#This Row],[ISI/CTN]]," ",AB76," ",AD76," ",AH76))))</f>
        <v>KNF B&amp;B SHAMPOO GIGGLY SHINE 250ML X 36 BTL</v>
      </c>
      <c r="O76" s="55">
        <f t="shared" ref="O76:O78" si="8">LEN(N76)</f>
        <v>43</v>
      </c>
      <c r="P76" s="51" t="s">
        <v>97</v>
      </c>
      <c r="Q76" s="52" t="s">
        <v>98</v>
      </c>
      <c r="R76" s="51" t="s">
        <v>2524</v>
      </c>
      <c r="S76" s="57" t="s">
        <v>2474</v>
      </c>
      <c r="T76" s="58" t="s">
        <v>3606</v>
      </c>
      <c r="U76" s="52" t="s">
        <v>3607</v>
      </c>
      <c r="V76" s="58" t="s">
        <v>2961</v>
      </c>
      <c r="W76" s="57" t="s">
        <v>2900</v>
      </c>
      <c r="X76" s="51" t="s">
        <v>4117</v>
      </c>
      <c r="Y76" s="59" t="s">
        <v>3550</v>
      </c>
      <c r="Z76" s="51" t="s">
        <v>3580</v>
      </c>
      <c r="AA76" s="59" t="s">
        <v>2484</v>
      </c>
      <c r="AB76" s="51" t="s">
        <v>357</v>
      </c>
      <c r="AC76" s="52" t="s">
        <v>3562</v>
      </c>
      <c r="AD76" s="51" t="s">
        <v>2961</v>
      </c>
      <c r="AE76" s="52" t="s">
        <v>2900</v>
      </c>
      <c r="AF76" s="52" t="s">
        <v>2961</v>
      </c>
      <c r="AG76" s="52" t="s">
        <v>2961</v>
      </c>
      <c r="AH76" s="84"/>
      <c r="AI76" s="52"/>
      <c r="AJ76" s="52"/>
      <c r="AK76" s="60">
        <f>Table43[[#This Row],[Harga Jual Pcs GT
(-PPN)]]-(Table43[[#This Row],[Harga Jual Pcs GT
(-PPN)]]*10%)</f>
        <v>0</v>
      </c>
      <c r="AL76" s="61">
        <f>Table43[[#This Row],[Harga Beli Pcs
(-PPN)]]*Table43[[#This Row],[ISI/CTN]]</f>
        <v>0</v>
      </c>
      <c r="AM76" s="61">
        <f>Table43[[#This Row],[Harga Beli Pcs
(-PPN)]]*1.11</f>
        <v>0</v>
      </c>
      <c r="AN76" s="61">
        <f>Table43[[#This Row],[Harga Beli Krt
(- PPN)]]*1.11</f>
        <v>0</v>
      </c>
      <c r="AO76" s="61"/>
      <c r="AP76" s="61">
        <f>Table43[[#This Row],[Harga Jual Pcs GT
(-PPN)]]*Table43[[#This Row],[ISI/CTN]]</f>
        <v>0</v>
      </c>
      <c r="AQ76" s="61">
        <f>Table43[[#This Row],[Harga Jual Pcs GT
(-PPN)]]*1.11</f>
        <v>0</v>
      </c>
      <c r="AR76" s="61">
        <f>Table43[[#This Row],[Harga Jual Krt GT
(- PPN)]]*1.11</f>
        <v>0</v>
      </c>
      <c r="AS76" s="61">
        <f>Table43[[#This Row],[Harga Jual Pcs GT
(-PPN)]]</f>
        <v>0</v>
      </c>
      <c r="AT76" s="61">
        <f>(Table43[[#This Row],[Harga Jual Pcs MT
(-PPN)]]*Table43[[#This Row],[ISI/CTN]])</f>
        <v>0</v>
      </c>
      <c r="AU76" s="61">
        <f>Table43[[#This Row],[Harga Jual Pcs MT
(-PPN)]]*1.11</f>
        <v>0</v>
      </c>
      <c r="AV76" s="61">
        <f>Table43[[#This Row],[Harga Jual Pcs MT
(+PPN)]]*Table43[[#This Row],[ISI/CTN]]</f>
        <v>0</v>
      </c>
      <c r="AW76" s="62"/>
      <c r="AX76" s="52"/>
      <c r="AY76" s="84" t="str">
        <f ca="1">IF(TODAY()-Table43[[#This Row],[Efektif
Pembuatan]]&gt;60,"Lama","Baru")</f>
        <v>Lama</v>
      </c>
      <c r="AZ76" s="84" t="str">
        <f ca="1">IF(TODAY()-Table43[[#This Row],[Efektif Naik Harga]]&lt;30,"Naik","Sama")</f>
        <v>Sama</v>
      </c>
      <c r="BA76" s="84" t="str">
        <f>IF(Table43[[#This Row],[Kode BARANG Win2]]&lt;&gt;"","IDR","")</f>
        <v>IDR</v>
      </c>
      <c r="BB76" s="84" t="str">
        <f>CONCATENATE(Table43[[#This Row],[kode  1 Digit
(Nomor)]],Table43[[#This Row],[kode  4 Digit                (Nomor)]])</f>
        <v>0250</v>
      </c>
      <c r="BC76" s="84" t="str">
        <f>Table43[[#This Row],[Nama            Gramasi atau Jumlah Pack per CTN]]</f>
        <v>250ML</v>
      </c>
      <c r="BD76" s="84"/>
      <c r="BE76" s="52"/>
      <c r="BF76" s="82" t="str">
        <f>IF(Table43[[#This Row],[SATUAN Fix Win]]&lt;&gt;"","KRT")</f>
        <v>KRT</v>
      </c>
      <c r="BG76" s="82" t="str">
        <f>IF(Table43[[#This Row],[SATUAN Fix Win]]&lt;&gt;"","GD01")</f>
        <v>GD01</v>
      </c>
      <c r="BH76" s="82">
        <f>IF(Table43[[#This Row],[SATUAN Fix Win]]&lt;&gt;"",11611)</f>
        <v>11611</v>
      </c>
      <c r="BI76" s="82">
        <f>IF(Table43[[#This Row],[SATUAN Fix Win]]&lt;&gt;"",11612)</f>
        <v>11612</v>
      </c>
      <c r="BJ76" s="85"/>
      <c r="BK76" s="82">
        <f>IF(Table43[[#This Row],[SATUAN Fix Win]]&lt;&gt;"",1)</f>
        <v>1</v>
      </c>
      <c r="BL76" s="51"/>
      <c r="BM76" s="51"/>
      <c r="BN76" s="51"/>
      <c r="BO76" s="51"/>
    </row>
    <row r="77" spans="1:67" s="64" customFormat="1">
      <c r="A77" s="82" t="str">
        <f>CONCATENATE(Table43[[#This Row],[Kode BARANG Win2]],Table43[[#This Row],[No. Urut
Item Sama]])</f>
        <v>K10460110100201</v>
      </c>
      <c r="B77" s="52">
        <v>1</v>
      </c>
      <c r="C77" s="51"/>
      <c r="D77" s="53">
        <v>103158</v>
      </c>
      <c r="E77" s="53"/>
      <c r="F77" s="79" t="s">
        <v>4113</v>
      </c>
      <c r="G77" s="79">
        <v>36</v>
      </c>
      <c r="H77" s="54"/>
      <c r="I77" s="79" t="str">
        <f>Table43[[#This Row],[Nama Jenis Kemasan]]</f>
        <v>BTL</v>
      </c>
      <c r="J77" s="82" t="str">
        <f>TRIM(CONCATENATE(Table43[[#This Row],[Nama            KLP]]," ",Table43[[#This Row],[Nama            Sub KLP]]))</f>
        <v>B&amp;B SHAMPOO</v>
      </c>
      <c r="K77" s="82" t="str">
        <f>CONCATENATE(Table43[[#This Row],[kode  2 Digit                (hrf+No)]],Table43[[#This Row],[kode  2 Digit                (Nomor)]],Table43[[#This Row],[kode  1 Digit                (Nomor)]])</f>
        <v>K1046</v>
      </c>
      <c r="L77" s="82" t="str">
        <f>IF(AG77="",CONCATENATE(Q77,S77,U77,W77,Y77,AA77,AC77,AE77),CONCATENATE(Q77,S77,U77,W77,Y77,AA77,AC77,AG77))</f>
        <v>K1046011010020</v>
      </c>
      <c r="M77" s="55">
        <f>LEN(L77)</f>
        <v>14</v>
      </c>
      <c r="N77" s="83" t="str">
        <f>IF(AF77&lt;&gt;"",TRIM(UPPER(CONCATENATE(P77," ",R77," ",T77," ",V77," ",X77," ",Z77," ","X"," ",Table43[[#This Row],[ISI/CTN]]," ",AF77," ",AB77," ",AD77," ",AH77))),TRIM(UPPER(CONCATENATE(P77," ",R77," ",T77," ",V77," ",X77," ",Z77," ","X"," ",Table43[[#This Row],[ISI/CTN]]," ",AB77," ",AD77," ",AH77))))</f>
        <v>KNF B&amp;B SHAMPOO GIGGLY SHINE 100ML X 36 BTL</v>
      </c>
      <c r="O77" s="55">
        <f>LEN(N77)</f>
        <v>43</v>
      </c>
      <c r="P77" s="51" t="s">
        <v>97</v>
      </c>
      <c r="Q77" s="52" t="s">
        <v>98</v>
      </c>
      <c r="R77" s="51" t="s">
        <v>2524</v>
      </c>
      <c r="S77" s="57" t="s">
        <v>2474</v>
      </c>
      <c r="T77" s="58" t="s">
        <v>3606</v>
      </c>
      <c r="U77" s="52" t="s">
        <v>3607</v>
      </c>
      <c r="V77" s="58" t="s">
        <v>2961</v>
      </c>
      <c r="W77" s="57" t="s">
        <v>2900</v>
      </c>
      <c r="X77" s="51" t="s">
        <v>4117</v>
      </c>
      <c r="Y77" s="59" t="s">
        <v>3550</v>
      </c>
      <c r="Z77" s="51" t="s">
        <v>3588</v>
      </c>
      <c r="AA77" s="59" t="s">
        <v>2487</v>
      </c>
      <c r="AB77" s="51" t="s">
        <v>357</v>
      </c>
      <c r="AC77" s="52" t="s">
        <v>3562</v>
      </c>
      <c r="AD77" s="51" t="s">
        <v>2961</v>
      </c>
      <c r="AE77" s="52" t="s">
        <v>2900</v>
      </c>
      <c r="AF77" s="52" t="s">
        <v>2961</v>
      </c>
      <c r="AG77" s="52" t="s">
        <v>2961</v>
      </c>
      <c r="AH77" s="84"/>
      <c r="AI77" s="52"/>
      <c r="AJ77" s="52"/>
      <c r="AK77" s="60">
        <f>Table43[[#This Row],[Harga Jual Pcs GT
(-PPN)]]-(Table43[[#This Row],[Harga Jual Pcs GT
(-PPN)]]*10%)</f>
        <v>0</v>
      </c>
      <c r="AL77" s="61">
        <f>Table43[[#This Row],[Harga Beli Pcs
(-PPN)]]*Table43[[#This Row],[ISI/CTN]]</f>
        <v>0</v>
      </c>
      <c r="AM77" s="61">
        <f>Table43[[#This Row],[Harga Beli Pcs
(-PPN)]]*1.11</f>
        <v>0</v>
      </c>
      <c r="AN77" s="61">
        <f>Table43[[#This Row],[Harga Beli Krt
(- PPN)]]*1.11</f>
        <v>0</v>
      </c>
      <c r="AO77" s="61"/>
      <c r="AP77" s="61">
        <f>Table43[[#This Row],[Harga Jual Pcs GT
(-PPN)]]*Table43[[#This Row],[ISI/CTN]]</f>
        <v>0</v>
      </c>
      <c r="AQ77" s="61">
        <f>Table43[[#This Row],[Harga Jual Pcs GT
(-PPN)]]*1.11</f>
        <v>0</v>
      </c>
      <c r="AR77" s="61">
        <f>Table43[[#This Row],[Harga Jual Krt GT
(- PPN)]]*1.11</f>
        <v>0</v>
      </c>
      <c r="AS77" s="61">
        <f>Table43[[#This Row],[Harga Jual Pcs GT
(-PPN)]]</f>
        <v>0</v>
      </c>
      <c r="AT77" s="61">
        <f>(Table43[[#This Row],[Harga Jual Pcs MT
(-PPN)]]*Table43[[#This Row],[ISI/CTN]])</f>
        <v>0</v>
      </c>
      <c r="AU77" s="61">
        <f>Table43[[#This Row],[Harga Jual Pcs MT
(-PPN)]]*1.11</f>
        <v>0</v>
      </c>
      <c r="AV77" s="61">
        <f>Table43[[#This Row],[Harga Jual Pcs MT
(+PPN)]]*Table43[[#This Row],[ISI/CTN]]</f>
        <v>0</v>
      </c>
      <c r="AW77" s="62"/>
      <c r="AX77" s="52"/>
      <c r="AY77" s="84" t="str">
        <f ca="1">IF(TODAY()-Table43[[#This Row],[Efektif
Pembuatan]]&gt;60,"Lama","Baru")</f>
        <v>Lama</v>
      </c>
      <c r="AZ77" s="84" t="str">
        <f ca="1">IF(TODAY()-Table43[[#This Row],[Efektif Naik Harga]]&lt;30,"Naik","Sama")</f>
        <v>Sama</v>
      </c>
      <c r="BA77" s="84" t="str">
        <f>IF(Table43[[#This Row],[Kode BARANG Win2]]&lt;&gt;"","IDR","")</f>
        <v>IDR</v>
      </c>
      <c r="BB77" s="84" t="str">
        <f>CONCATENATE(Table43[[#This Row],[kode  1 Digit
(Nomor)]],Table43[[#This Row],[kode  4 Digit                (Nomor)]])</f>
        <v>0100</v>
      </c>
      <c r="BC77" s="84" t="str">
        <f>Table43[[#This Row],[Nama            Gramasi atau Jumlah Pack per CTN]]</f>
        <v>100ML</v>
      </c>
      <c r="BD77" s="84"/>
      <c r="BE77" s="52"/>
      <c r="BF77" s="82" t="str">
        <f>IF(Table43[[#This Row],[SATUAN Fix Win]]&lt;&gt;"","KRT")</f>
        <v>KRT</v>
      </c>
      <c r="BG77" s="82" t="str">
        <f>IF(Table43[[#This Row],[SATUAN Fix Win]]&lt;&gt;"","GD01")</f>
        <v>GD01</v>
      </c>
      <c r="BH77" s="82">
        <f>IF(Table43[[#This Row],[SATUAN Fix Win]]&lt;&gt;"",11611)</f>
        <v>11611</v>
      </c>
      <c r="BI77" s="82">
        <f>IF(Table43[[#This Row],[SATUAN Fix Win]]&lt;&gt;"",11612)</f>
        <v>11612</v>
      </c>
      <c r="BJ77" s="85"/>
      <c r="BK77" s="82">
        <f>IF(Table43[[#This Row],[SATUAN Fix Win]]&lt;&gt;"",1)</f>
        <v>1</v>
      </c>
      <c r="BL77" s="51"/>
      <c r="BM77" s="51"/>
      <c r="BN77" s="51"/>
      <c r="BO77" s="51"/>
    </row>
    <row r="78" spans="1:67" s="64" customFormat="1">
      <c r="A78" s="82" t="str">
        <f>CONCATENATE(Table43[[#This Row],[Kode BARANG Win2]],Table43[[#This Row],[No. Urut
Item Sama]])</f>
        <v>K10460120250201</v>
      </c>
      <c r="B78" s="52">
        <v>1</v>
      </c>
      <c r="C78" s="51"/>
      <c r="D78" s="53">
        <v>103153</v>
      </c>
      <c r="E78" s="53"/>
      <c r="F78" s="79" t="s">
        <v>4112</v>
      </c>
      <c r="G78" s="79">
        <v>36</v>
      </c>
      <c r="H78" s="54"/>
      <c r="I78" s="79" t="str">
        <f>Table43[[#This Row],[Nama Jenis Kemasan]]</f>
        <v>BTL</v>
      </c>
      <c r="J78" s="82" t="str">
        <f>TRIM(CONCATENATE(Table43[[#This Row],[Nama            KLP]]," ",Table43[[#This Row],[Nama            Sub KLP]]))</f>
        <v>B&amp;B SHAMPOO</v>
      </c>
      <c r="K78" s="82" t="str">
        <f>CONCATENATE(Table43[[#This Row],[kode  2 Digit                (hrf+No)]],Table43[[#This Row],[kode  2 Digit                (Nomor)]],Table43[[#This Row],[kode  1 Digit                (Nomor)]])</f>
        <v>K1046</v>
      </c>
      <c r="L78" s="82" t="str">
        <f t="shared" si="6"/>
        <v>K1046012025020</v>
      </c>
      <c r="M78" s="55">
        <f t="shared" si="7"/>
        <v>14</v>
      </c>
      <c r="N78" s="83" t="str">
        <f>IF(AF78&lt;&gt;"",TRIM(UPPER(CONCATENATE(P78," ",R78," ",T78," ",V78," ",X78," ",Z78," ","X"," ",Table43[[#This Row],[ISI/CTN]]," ",AF78," ",AB78," ",AD78," ",AH78))),TRIM(UPPER(CONCATENATE(P78," ",R78," ",T78," ",V78," ",X78," ",Z78," ","X"," ",Table43[[#This Row],[ISI/CTN]]," ",AB78," ",AD78," ",AH78))))</f>
        <v>KNF B&amp;B SHAMPOO WONDER SHINE 250ML X 36 BTL</v>
      </c>
      <c r="O78" s="55">
        <f t="shared" si="8"/>
        <v>43</v>
      </c>
      <c r="P78" s="51" t="s">
        <v>97</v>
      </c>
      <c r="Q78" s="52" t="s">
        <v>98</v>
      </c>
      <c r="R78" s="51" t="s">
        <v>2524</v>
      </c>
      <c r="S78" s="57" t="s">
        <v>2474</v>
      </c>
      <c r="T78" s="58" t="s">
        <v>3606</v>
      </c>
      <c r="U78" s="52" t="s">
        <v>3607</v>
      </c>
      <c r="V78" s="58" t="s">
        <v>2961</v>
      </c>
      <c r="W78" s="57" t="s">
        <v>2900</v>
      </c>
      <c r="X78" s="51" t="s">
        <v>4118</v>
      </c>
      <c r="Y78" s="59" t="s">
        <v>3565</v>
      </c>
      <c r="Z78" s="51" t="s">
        <v>3580</v>
      </c>
      <c r="AA78" s="59" t="s">
        <v>2484</v>
      </c>
      <c r="AB78" s="51" t="s">
        <v>357</v>
      </c>
      <c r="AC78" s="52" t="s">
        <v>3562</v>
      </c>
      <c r="AD78" s="51" t="s">
        <v>2961</v>
      </c>
      <c r="AE78" s="52" t="s">
        <v>2900</v>
      </c>
      <c r="AF78" s="52" t="s">
        <v>2961</v>
      </c>
      <c r="AG78" s="52" t="s">
        <v>2961</v>
      </c>
      <c r="AH78" s="84"/>
      <c r="AI78" s="52"/>
      <c r="AJ78" s="52"/>
      <c r="AK78" s="60">
        <f>Table43[[#This Row],[Harga Jual Pcs GT
(-PPN)]]-(Table43[[#This Row],[Harga Jual Pcs GT
(-PPN)]]*10%)</f>
        <v>0</v>
      </c>
      <c r="AL78" s="61">
        <f>Table43[[#This Row],[Harga Beli Pcs
(-PPN)]]*Table43[[#This Row],[ISI/CTN]]</f>
        <v>0</v>
      </c>
      <c r="AM78" s="61">
        <f>Table43[[#This Row],[Harga Beli Pcs
(-PPN)]]*1.11</f>
        <v>0</v>
      </c>
      <c r="AN78" s="61">
        <f>Table43[[#This Row],[Harga Beli Krt
(- PPN)]]*1.11</f>
        <v>0</v>
      </c>
      <c r="AO78" s="61"/>
      <c r="AP78" s="61">
        <f>Table43[[#This Row],[Harga Jual Pcs GT
(-PPN)]]*Table43[[#This Row],[ISI/CTN]]</f>
        <v>0</v>
      </c>
      <c r="AQ78" s="61">
        <f>Table43[[#This Row],[Harga Jual Pcs GT
(-PPN)]]*1.11</f>
        <v>0</v>
      </c>
      <c r="AR78" s="61">
        <f>Table43[[#This Row],[Harga Jual Krt GT
(- PPN)]]*1.11</f>
        <v>0</v>
      </c>
      <c r="AS78" s="61">
        <f>Table43[[#This Row],[Harga Jual Pcs GT
(-PPN)]]</f>
        <v>0</v>
      </c>
      <c r="AT78" s="61">
        <f>(Table43[[#This Row],[Harga Jual Pcs MT
(-PPN)]]*Table43[[#This Row],[ISI/CTN]])</f>
        <v>0</v>
      </c>
      <c r="AU78" s="61">
        <f>Table43[[#This Row],[Harga Jual Pcs MT
(-PPN)]]*1.11</f>
        <v>0</v>
      </c>
      <c r="AV78" s="61">
        <f>Table43[[#This Row],[Harga Jual Pcs MT
(+PPN)]]*Table43[[#This Row],[ISI/CTN]]</f>
        <v>0</v>
      </c>
      <c r="AW78" s="62"/>
      <c r="AX78" s="52"/>
      <c r="AY78" s="84" t="str">
        <f ca="1">IF(TODAY()-Table43[[#This Row],[Efektif
Pembuatan]]&gt;60,"Lama","Baru")</f>
        <v>Lama</v>
      </c>
      <c r="AZ78" s="84" t="str">
        <f ca="1">IF(TODAY()-Table43[[#This Row],[Efektif Naik Harga]]&lt;30,"Naik","Sama")</f>
        <v>Sama</v>
      </c>
      <c r="BA78" s="84" t="str">
        <f>IF(Table43[[#This Row],[Kode BARANG Win2]]&lt;&gt;"","IDR","")</f>
        <v>IDR</v>
      </c>
      <c r="BB78" s="84" t="str">
        <f>CONCATENATE(Table43[[#This Row],[kode  1 Digit
(Nomor)]],Table43[[#This Row],[kode  4 Digit                (Nomor)]])</f>
        <v>0250</v>
      </c>
      <c r="BC78" s="84" t="str">
        <f>Table43[[#This Row],[Nama            Gramasi atau Jumlah Pack per CTN]]</f>
        <v>250ML</v>
      </c>
      <c r="BD78" s="84"/>
      <c r="BE78" s="52"/>
      <c r="BF78" s="82" t="str">
        <f>IF(Table43[[#This Row],[SATUAN Fix Win]]&lt;&gt;"","KRT")</f>
        <v>KRT</v>
      </c>
      <c r="BG78" s="82" t="str">
        <f>IF(Table43[[#This Row],[SATUAN Fix Win]]&lt;&gt;"","GD01")</f>
        <v>GD01</v>
      </c>
      <c r="BH78" s="82">
        <f>IF(Table43[[#This Row],[SATUAN Fix Win]]&lt;&gt;"",11611)</f>
        <v>11611</v>
      </c>
      <c r="BI78" s="82">
        <f>IF(Table43[[#This Row],[SATUAN Fix Win]]&lt;&gt;"",11612)</f>
        <v>11612</v>
      </c>
      <c r="BJ78" s="85"/>
      <c r="BK78" s="82">
        <f>IF(Table43[[#This Row],[SATUAN Fix Win]]&lt;&gt;"",1)</f>
        <v>1</v>
      </c>
      <c r="BL78" s="51"/>
      <c r="BM78" s="51"/>
      <c r="BN78" s="51"/>
      <c r="BO78" s="51"/>
    </row>
    <row r="79" spans="1:67" s="64" customFormat="1">
      <c r="A79" s="82" t="str">
        <f>CONCATENATE(Table43[[#This Row],[Kode BARANG Win2]],Table43[[#This Row],[No. Urut
Item Sama]])</f>
        <v>K10460120100201</v>
      </c>
      <c r="B79" s="52">
        <v>1</v>
      </c>
      <c r="C79" s="51"/>
      <c r="D79" s="53">
        <v>103156</v>
      </c>
      <c r="E79" s="53"/>
      <c r="F79" s="79" t="s">
        <v>4115</v>
      </c>
      <c r="G79" s="79">
        <v>36</v>
      </c>
      <c r="H79" s="54"/>
      <c r="I79" s="79" t="str">
        <f>Table43[[#This Row],[Nama Jenis Kemasan]]</f>
        <v>BTL</v>
      </c>
      <c r="J79" s="82" t="str">
        <f>TRIM(CONCATENATE(Table43[[#This Row],[Nama            KLP]]," ",Table43[[#This Row],[Nama            Sub KLP]]))</f>
        <v>B&amp;B SHAMPOO</v>
      </c>
      <c r="K79" s="82" t="str">
        <f>CONCATENATE(Table43[[#This Row],[kode  2 Digit                (hrf+No)]],Table43[[#This Row],[kode  2 Digit                (Nomor)]],Table43[[#This Row],[kode  1 Digit                (Nomor)]])</f>
        <v>K1046</v>
      </c>
      <c r="L79" s="82" t="str">
        <f>IF(AG79="",CONCATENATE(Q79,S79,U79,W79,Y79,AA79,AC79,AE79),CONCATENATE(Q79,S79,U79,W79,Y79,AA79,AC79,AG79))</f>
        <v>K1046012010020</v>
      </c>
      <c r="M79" s="55">
        <f>LEN(L79)</f>
        <v>14</v>
      </c>
      <c r="N79" s="83" t="str">
        <f>IF(AF79&lt;&gt;"",TRIM(UPPER(CONCATENATE(P79," ",R79," ",T79," ",V79," ",X79," ",Z79," ","X"," ",Table43[[#This Row],[ISI/CTN]]," ",AF79," ",AB79," ",AD79," ",AH79))),TRIM(UPPER(CONCATENATE(P79," ",R79," ",T79," ",V79," ",X79," ",Z79," ","X"," ",Table43[[#This Row],[ISI/CTN]]," ",AB79," ",AD79," ",AH79))))</f>
        <v>KNF B&amp;B SHAMPOO WONDER SHINE 100ML X 36 BTL</v>
      </c>
      <c r="O79" s="55">
        <f>LEN(N79)</f>
        <v>43</v>
      </c>
      <c r="P79" s="51" t="s">
        <v>97</v>
      </c>
      <c r="Q79" s="52" t="s">
        <v>98</v>
      </c>
      <c r="R79" s="51" t="s">
        <v>2524</v>
      </c>
      <c r="S79" s="57" t="s">
        <v>2474</v>
      </c>
      <c r="T79" s="58" t="s">
        <v>3606</v>
      </c>
      <c r="U79" s="52" t="s">
        <v>3607</v>
      </c>
      <c r="V79" s="58" t="s">
        <v>2961</v>
      </c>
      <c r="W79" s="57" t="s">
        <v>2900</v>
      </c>
      <c r="X79" s="51" t="s">
        <v>4118</v>
      </c>
      <c r="Y79" s="59" t="s">
        <v>3565</v>
      </c>
      <c r="Z79" s="51" t="s">
        <v>3588</v>
      </c>
      <c r="AA79" s="59" t="s">
        <v>2487</v>
      </c>
      <c r="AB79" s="51" t="s">
        <v>357</v>
      </c>
      <c r="AC79" s="52" t="s">
        <v>3562</v>
      </c>
      <c r="AD79" s="51" t="s">
        <v>2961</v>
      </c>
      <c r="AE79" s="52" t="s">
        <v>2900</v>
      </c>
      <c r="AF79" s="52" t="s">
        <v>2961</v>
      </c>
      <c r="AG79" s="52" t="s">
        <v>2961</v>
      </c>
      <c r="AH79" s="84"/>
      <c r="AI79" s="52"/>
      <c r="AJ79" s="52"/>
      <c r="AK79" s="60">
        <f>Table43[[#This Row],[Harga Jual Pcs GT
(-PPN)]]-(Table43[[#This Row],[Harga Jual Pcs GT
(-PPN)]]*10%)</f>
        <v>0</v>
      </c>
      <c r="AL79" s="61">
        <f>Table43[[#This Row],[Harga Beli Pcs
(-PPN)]]*Table43[[#This Row],[ISI/CTN]]</f>
        <v>0</v>
      </c>
      <c r="AM79" s="61">
        <f>Table43[[#This Row],[Harga Beli Pcs
(-PPN)]]*1.11</f>
        <v>0</v>
      </c>
      <c r="AN79" s="61">
        <f>Table43[[#This Row],[Harga Beli Krt
(- PPN)]]*1.11</f>
        <v>0</v>
      </c>
      <c r="AO79" s="61"/>
      <c r="AP79" s="61">
        <f>Table43[[#This Row],[Harga Jual Pcs GT
(-PPN)]]*Table43[[#This Row],[ISI/CTN]]</f>
        <v>0</v>
      </c>
      <c r="AQ79" s="61">
        <f>Table43[[#This Row],[Harga Jual Pcs GT
(-PPN)]]*1.11</f>
        <v>0</v>
      </c>
      <c r="AR79" s="61">
        <f>Table43[[#This Row],[Harga Jual Krt GT
(- PPN)]]*1.11</f>
        <v>0</v>
      </c>
      <c r="AS79" s="61">
        <f>Table43[[#This Row],[Harga Jual Pcs GT
(-PPN)]]</f>
        <v>0</v>
      </c>
      <c r="AT79" s="61">
        <f>(Table43[[#This Row],[Harga Jual Pcs MT
(-PPN)]]*Table43[[#This Row],[ISI/CTN]])</f>
        <v>0</v>
      </c>
      <c r="AU79" s="61">
        <f>Table43[[#This Row],[Harga Jual Pcs MT
(-PPN)]]*1.11</f>
        <v>0</v>
      </c>
      <c r="AV79" s="61">
        <f>Table43[[#This Row],[Harga Jual Pcs MT
(+PPN)]]*Table43[[#This Row],[ISI/CTN]]</f>
        <v>0</v>
      </c>
      <c r="AW79" s="62"/>
      <c r="AX79" s="52"/>
      <c r="AY79" s="84" t="str">
        <f ca="1">IF(TODAY()-Table43[[#This Row],[Efektif
Pembuatan]]&gt;60,"Lama","Baru")</f>
        <v>Lama</v>
      </c>
      <c r="AZ79" s="84" t="str">
        <f ca="1">IF(TODAY()-Table43[[#This Row],[Efektif Naik Harga]]&lt;30,"Naik","Sama")</f>
        <v>Sama</v>
      </c>
      <c r="BA79" s="84" t="str">
        <f>IF(Table43[[#This Row],[Kode BARANG Win2]]&lt;&gt;"","IDR","")</f>
        <v>IDR</v>
      </c>
      <c r="BB79" s="84" t="str">
        <f>CONCATENATE(Table43[[#This Row],[kode  1 Digit
(Nomor)]],Table43[[#This Row],[kode  4 Digit                (Nomor)]])</f>
        <v>0100</v>
      </c>
      <c r="BC79" s="84" t="str">
        <f>Table43[[#This Row],[Nama            Gramasi atau Jumlah Pack per CTN]]</f>
        <v>100ML</v>
      </c>
      <c r="BD79" s="84"/>
      <c r="BE79" s="52"/>
      <c r="BF79" s="82" t="str">
        <f>IF(Table43[[#This Row],[SATUAN Fix Win]]&lt;&gt;"","KRT")</f>
        <v>KRT</v>
      </c>
      <c r="BG79" s="82" t="str">
        <f>IF(Table43[[#This Row],[SATUAN Fix Win]]&lt;&gt;"","GD01")</f>
        <v>GD01</v>
      </c>
      <c r="BH79" s="82">
        <f>IF(Table43[[#This Row],[SATUAN Fix Win]]&lt;&gt;"",11611)</f>
        <v>11611</v>
      </c>
      <c r="BI79" s="82">
        <f>IF(Table43[[#This Row],[SATUAN Fix Win]]&lt;&gt;"",11612)</f>
        <v>11612</v>
      </c>
      <c r="BJ79" s="85"/>
      <c r="BK79" s="82">
        <f>IF(Table43[[#This Row],[SATUAN Fix Win]]&lt;&gt;"",1)</f>
        <v>1</v>
      </c>
      <c r="BL79" s="51"/>
      <c r="BM79" s="51"/>
      <c r="BN79" s="51"/>
      <c r="BO79" s="51"/>
    </row>
    <row r="80" spans="1:67" s="64" customFormat="1">
      <c r="A80" s="82" t="str">
        <f>CONCATENATE(Table43[[#This Row],[Kode BARANG Win2]],Table43[[#This Row],[No. Urut
Item Sama]])</f>
        <v>K10460100100201</v>
      </c>
      <c r="B80" s="52">
        <v>1</v>
      </c>
      <c r="C80" s="51"/>
      <c r="D80" s="53">
        <v>103157</v>
      </c>
      <c r="E80" s="53"/>
      <c r="F80" s="79" t="s">
        <v>4114</v>
      </c>
      <c r="G80" s="79">
        <v>36</v>
      </c>
      <c r="H80" s="54"/>
      <c r="I80" s="79" t="str">
        <f>Table43[[#This Row],[Nama Jenis Kemasan]]</f>
        <v>BTL</v>
      </c>
      <c r="J80" s="82" t="str">
        <f>TRIM(CONCATENATE(Table43[[#This Row],[Nama            KLP]]," ",Table43[[#This Row],[Nama            Sub KLP]]))</f>
        <v>B&amp;B SHAMPOO</v>
      </c>
      <c r="K80" s="82" t="str">
        <f>CONCATENATE(Table43[[#This Row],[kode  2 Digit                (hrf+No)]],Table43[[#This Row],[kode  2 Digit                (Nomor)]],Table43[[#This Row],[kode  1 Digit                (Nomor)]])</f>
        <v>K1046</v>
      </c>
      <c r="L80" s="82" t="str">
        <f>IF(AG80="",CONCATENATE(Q80,S80,U80,W80,Y80,AA80,AC80,AE80),CONCATENATE(Q80,S80,U80,W80,Y80,AA80,AC80,AG80))</f>
        <v>K1046010010020</v>
      </c>
      <c r="M80" s="55">
        <f>LEN(L80)</f>
        <v>14</v>
      </c>
      <c r="N80" s="83" t="str">
        <f>IF(AF80&lt;&gt;"",TRIM(UPPER(CONCATENATE(P80," ",R80," ",T80," ",V80," ",X80," ",Z80," ","X"," ",Table43[[#This Row],[ISI/CTN]]," ",AF80," ",AB80," ",AD80," ",AH80))),TRIM(UPPER(CONCATENATE(P80," ",R80," ",T80," ",V80," ",X80," ",Z80," ","X"," ",Table43[[#This Row],[ISI/CTN]]," ",AB80," ",AD80," ",AH80))))</f>
        <v>KNF B&amp;B SHAMPOO CUDDLY SHINE 100ML X 36 BTL</v>
      </c>
      <c r="O80" s="55">
        <f>LEN(N80)</f>
        <v>43</v>
      </c>
      <c r="P80" s="51" t="s">
        <v>97</v>
      </c>
      <c r="Q80" s="52" t="s">
        <v>98</v>
      </c>
      <c r="R80" s="51" t="s">
        <v>2524</v>
      </c>
      <c r="S80" s="57" t="s">
        <v>2474</v>
      </c>
      <c r="T80" s="58" t="s">
        <v>3606</v>
      </c>
      <c r="U80" s="52" t="s">
        <v>3607</v>
      </c>
      <c r="V80" s="58" t="s">
        <v>2961</v>
      </c>
      <c r="W80" s="57" t="s">
        <v>2900</v>
      </c>
      <c r="X80" s="51" t="s">
        <v>3617</v>
      </c>
      <c r="Y80" s="59" t="s">
        <v>3564</v>
      </c>
      <c r="Z80" s="51" t="s">
        <v>3588</v>
      </c>
      <c r="AA80" s="59" t="s">
        <v>2487</v>
      </c>
      <c r="AB80" s="51" t="s">
        <v>357</v>
      </c>
      <c r="AC80" s="52" t="s">
        <v>3562</v>
      </c>
      <c r="AD80" s="51" t="s">
        <v>2961</v>
      </c>
      <c r="AE80" s="52" t="s">
        <v>2900</v>
      </c>
      <c r="AF80" s="52" t="s">
        <v>2961</v>
      </c>
      <c r="AG80" s="52" t="s">
        <v>2961</v>
      </c>
      <c r="AH80" s="84"/>
      <c r="AI80" s="52"/>
      <c r="AJ80" s="52"/>
      <c r="AK80" s="60">
        <f>Table43[[#This Row],[Harga Jual Pcs GT
(-PPN)]]-(Table43[[#This Row],[Harga Jual Pcs GT
(-PPN)]]*10%)</f>
        <v>0</v>
      </c>
      <c r="AL80" s="61">
        <f>Table43[[#This Row],[Harga Beli Pcs
(-PPN)]]*Table43[[#This Row],[ISI/CTN]]</f>
        <v>0</v>
      </c>
      <c r="AM80" s="61">
        <f>Table43[[#This Row],[Harga Beli Pcs
(-PPN)]]*1.11</f>
        <v>0</v>
      </c>
      <c r="AN80" s="61">
        <f>Table43[[#This Row],[Harga Beli Krt
(- PPN)]]*1.11</f>
        <v>0</v>
      </c>
      <c r="AO80" s="61"/>
      <c r="AP80" s="61">
        <f>Table43[[#This Row],[Harga Jual Pcs GT
(-PPN)]]*Table43[[#This Row],[ISI/CTN]]</f>
        <v>0</v>
      </c>
      <c r="AQ80" s="61">
        <f>Table43[[#This Row],[Harga Jual Pcs GT
(-PPN)]]*1.11</f>
        <v>0</v>
      </c>
      <c r="AR80" s="61">
        <f>Table43[[#This Row],[Harga Jual Krt GT
(- PPN)]]*1.11</f>
        <v>0</v>
      </c>
      <c r="AS80" s="61">
        <f>Table43[[#This Row],[Harga Jual Pcs GT
(-PPN)]]</f>
        <v>0</v>
      </c>
      <c r="AT80" s="61">
        <f>(Table43[[#This Row],[Harga Jual Pcs MT
(-PPN)]]*Table43[[#This Row],[ISI/CTN]])</f>
        <v>0</v>
      </c>
      <c r="AU80" s="61">
        <f>Table43[[#This Row],[Harga Jual Pcs MT
(-PPN)]]*1.11</f>
        <v>0</v>
      </c>
      <c r="AV80" s="61">
        <f>Table43[[#This Row],[Harga Jual Pcs MT
(+PPN)]]*Table43[[#This Row],[ISI/CTN]]</f>
        <v>0</v>
      </c>
      <c r="AW80" s="62"/>
      <c r="AX80" s="52"/>
      <c r="AY80" s="84" t="str">
        <f ca="1">IF(TODAY()-Table43[[#This Row],[Efektif
Pembuatan]]&gt;60,"Lama","Baru")</f>
        <v>Lama</v>
      </c>
      <c r="AZ80" s="84" t="str">
        <f ca="1">IF(TODAY()-Table43[[#This Row],[Efektif Naik Harga]]&lt;30,"Naik","Sama")</f>
        <v>Sama</v>
      </c>
      <c r="BA80" s="84" t="str">
        <f>IF(Table43[[#This Row],[Kode BARANG Win2]]&lt;&gt;"","IDR","")</f>
        <v>IDR</v>
      </c>
      <c r="BB80" s="84" t="str">
        <f>CONCATENATE(Table43[[#This Row],[kode  1 Digit
(Nomor)]],Table43[[#This Row],[kode  4 Digit                (Nomor)]])</f>
        <v>0100</v>
      </c>
      <c r="BC80" s="84" t="str">
        <f>Table43[[#This Row],[Nama            Gramasi atau Jumlah Pack per CTN]]</f>
        <v>100ML</v>
      </c>
      <c r="BD80" s="84"/>
      <c r="BE80" s="52"/>
      <c r="BF80" s="82" t="str">
        <f>IF(Table43[[#This Row],[SATUAN Fix Win]]&lt;&gt;"","KRT")</f>
        <v>KRT</v>
      </c>
      <c r="BG80" s="82" t="str">
        <f>IF(Table43[[#This Row],[SATUAN Fix Win]]&lt;&gt;"","GD01")</f>
        <v>GD01</v>
      </c>
      <c r="BH80" s="82">
        <f>IF(Table43[[#This Row],[SATUAN Fix Win]]&lt;&gt;"",11611)</f>
        <v>11611</v>
      </c>
      <c r="BI80" s="82">
        <f>IF(Table43[[#This Row],[SATUAN Fix Win]]&lt;&gt;"",11612)</f>
        <v>11612</v>
      </c>
      <c r="BJ80" s="85"/>
      <c r="BK80" s="82">
        <f>IF(Table43[[#This Row],[SATUAN Fix Win]]&lt;&gt;"",1)</f>
        <v>1</v>
      </c>
      <c r="BL80" s="51"/>
      <c r="BM80" s="51"/>
      <c r="BN80" s="51"/>
      <c r="BO80" s="51"/>
    </row>
    <row r="81" spans="1:63">
      <c r="A81" s="4" t="str">
        <f>CONCATENATE(Table43[[#This Row],[Kode BARANG Win2]],Table43[[#This Row],[No. Urut
Item Sama]])</f>
        <v>K10470010060102</v>
      </c>
      <c r="B81" s="7">
        <v>2</v>
      </c>
      <c r="D81" s="28" t="s">
        <v>790</v>
      </c>
      <c r="E81" s="28"/>
      <c r="F81" s="28" t="s">
        <v>2919</v>
      </c>
      <c r="G81" s="78">
        <v>36</v>
      </c>
      <c r="H81" s="43"/>
      <c r="I81" s="28" t="str">
        <f>Table43[[#This Row],[Nama Jenis Kemasan]]</f>
        <v>BTL</v>
      </c>
      <c r="J81" s="4" t="str">
        <f>TRIM(CONCATENATE(Table43[[#This Row],[Nama            KLP]]," ",Table43[[#This Row],[Nama            Sub KLP]]))</f>
        <v>B&amp;B SPRAY COLOGNE</v>
      </c>
      <c r="K81" s="4" t="str">
        <f>CONCATENATE(Table43[[#This Row],[kode  2 Digit                (hrf+No)]],Table43[[#This Row],[kode  2 Digit                (Nomor)]],Table43[[#This Row],[kode  1 Digit                (Nomor)]])</f>
        <v>K1047</v>
      </c>
      <c r="L81" s="4" t="str">
        <f t="shared" si="3"/>
        <v>K1047001006010</v>
      </c>
      <c r="M81" s="11">
        <f t="shared" si="4"/>
        <v>14</v>
      </c>
      <c r="N81" s="14" t="str">
        <f>IF(AF81&lt;&gt;"",TRIM(UPPER(CONCATENATE(P81," ",R81," ",T81," ",V81," ",X81," ",Z81," ","X"," ",Table43[[#This Row],[ISI/CTN]]," ",AF81," ",AB81," ",AD81," ",AH81))),TRIM(UPPER(CONCATENATE(P81," ",R81," ",T81," ",V81," ",X81," ",Z81," ","X"," ",Table43[[#This Row],[ISI/CTN]]," ",AB81," ",AD81," ",AH81))))</f>
        <v>KNF B&amp;B SPRAY COLOGNE BLOSSOM 60ML X 36 BTL</v>
      </c>
      <c r="O81" s="11">
        <f t="shared" si="5"/>
        <v>43</v>
      </c>
      <c r="P81" s="4" t="s">
        <v>97</v>
      </c>
      <c r="Q81" s="7" t="s">
        <v>98</v>
      </c>
      <c r="R81" s="4" t="s">
        <v>2524</v>
      </c>
      <c r="S81" s="44" t="s">
        <v>2474</v>
      </c>
      <c r="T81" s="45" t="s">
        <v>3618</v>
      </c>
      <c r="U81" s="7" t="s">
        <v>3619</v>
      </c>
      <c r="V81" s="45" t="s">
        <v>2961</v>
      </c>
      <c r="W81" s="44" t="s">
        <v>2900</v>
      </c>
      <c r="X81" s="4" t="s">
        <v>3598</v>
      </c>
      <c r="Y81" s="46" t="s">
        <v>0</v>
      </c>
      <c r="Z81" s="4" t="s">
        <v>1026</v>
      </c>
      <c r="AA81" s="46" t="s">
        <v>2481</v>
      </c>
      <c r="AB81" s="4" t="s">
        <v>357</v>
      </c>
      <c r="AC81" s="7" t="s">
        <v>2656</v>
      </c>
      <c r="AD81" s="4" t="s">
        <v>2961</v>
      </c>
      <c r="AE81" s="7" t="s">
        <v>2900</v>
      </c>
      <c r="AF81" s="7" t="s">
        <v>2961</v>
      </c>
      <c r="AG81" s="7" t="s">
        <v>2961</v>
      </c>
      <c r="AI81" s="7" t="s">
        <v>4100</v>
      </c>
      <c r="AJ81" s="7" t="s">
        <v>2656</v>
      </c>
      <c r="AK81" s="41">
        <f>Table43[[#This Row],[Harga Jual Pcs GT
(-PPN)]]-(Table43[[#This Row],[Harga Jual Pcs GT
(-PPN)]]*10%)</f>
        <v>0</v>
      </c>
      <c r="AL81" s="42">
        <f>Table43[[#This Row],[Harga Beli Pcs
(-PPN)]]*Table43[[#This Row],[ISI/CTN]]</f>
        <v>0</v>
      </c>
      <c r="AM81" s="42">
        <f>Table43[[#This Row],[Harga Beli Pcs
(-PPN)]]*1.11</f>
        <v>0</v>
      </c>
      <c r="AN81" s="42">
        <f>Table43[[#This Row],[Harga Beli Krt
(- PPN)]]*1.11</f>
        <v>0</v>
      </c>
      <c r="AO81" s="42"/>
      <c r="AP81" s="42">
        <f>Table43[[#This Row],[Harga Jual Pcs GT
(-PPN)]]*Table43[[#This Row],[ISI/CTN]]</f>
        <v>0</v>
      </c>
      <c r="AQ81" s="42">
        <f>Table43[[#This Row],[Harga Jual Pcs GT
(-PPN)]]*1.11</f>
        <v>0</v>
      </c>
      <c r="AR81" s="42">
        <f>Table43[[#This Row],[Harga Jual Krt GT
(- PPN)]]*1.11</f>
        <v>0</v>
      </c>
      <c r="AS81" s="42">
        <f>Table43[[#This Row],[Harga Jual Pcs GT
(-PPN)]]</f>
        <v>0</v>
      </c>
      <c r="AT81" s="42">
        <f>(Table43[[#This Row],[Harga Jual Pcs MT
(-PPN)]]*Table43[[#This Row],[ISI/CTN]])</f>
        <v>0</v>
      </c>
      <c r="AU81" s="42">
        <f>Table43[[#This Row],[Harga Jual Pcs MT
(-PPN)]]*1.11</f>
        <v>0</v>
      </c>
      <c r="AV81" s="42">
        <f>Table43[[#This Row],[Harga Jual Pcs MT
(+PPN)]]*Table43[[#This Row],[ISI/CTN]]</f>
        <v>0</v>
      </c>
      <c r="AW81" s="47"/>
      <c r="AX81" s="7"/>
      <c r="AY81" s="7" t="str">
        <f ca="1">IF(TODAY()-Table43[[#This Row],[Efektif
Pembuatan]]&gt;60,"Lama","Baru")</f>
        <v>Lama</v>
      </c>
      <c r="AZ81" s="7" t="str">
        <f ca="1">IF(TODAY()-Table43[[#This Row],[Efektif Naik Harga]]&lt;30,"Naik","Sama")</f>
        <v>Sama</v>
      </c>
      <c r="BA81" s="7" t="str">
        <f>IF(Table43[[#This Row],[Kode BARANG Win2]]&lt;&gt;"","IDR","")</f>
        <v>IDR</v>
      </c>
      <c r="BB81" s="7" t="str">
        <f>CONCATENATE(Table43[[#This Row],[kode  1 Digit
(Nomor)]],Table43[[#This Row],[kode  4 Digit                (Nomor)]])</f>
        <v>10060</v>
      </c>
      <c r="BC81" s="7" t="str">
        <f>Table43[[#This Row],[Nama            Gramasi atau Jumlah Pack per CTN]]</f>
        <v>60ML</v>
      </c>
      <c r="BD81" s="7"/>
      <c r="BE81" s="7"/>
      <c r="BF81" s="4" t="str">
        <f>IF(Table43[[#This Row],[SATUAN Fix Win]]&lt;&gt;"","KRT")</f>
        <v>KRT</v>
      </c>
      <c r="BG81" s="4" t="str">
        <f>IF(Table43[[#This Row],[SATUAN Fix Win]]&lt;&gt;"","GD01")</f>
        <v>GD01</v>
      </c>
      <c r="BH81" s="4">
        <f>IF(Table43[[#This Row],[SATUAN Fix Win]]&lt;&gt;"",11611)</f>
        <v>11611</v>
      </c>
      <c r="BI81" s="4">
        <f>IF(Table43[[#This Row],[SATUAN Fix Win]]&lt;&gt;"",11612)</f>
        <v>11612</v>
      </c>
      <c r="BJ81" s="48"/>
      <c r="BK81" s="4">
        <f>IF(Table43[[#This Row],[SATUAN Fix Win]]&lt;&gt;"",1)</f>
        <v>1</v>
      </c>
    </row>
    <row r="82" spans="1:63">
      <c r="A82" s="4" t="str">
        <f>CONCATENATE(Table43[[#This Row],[Kode BARANG Win2]],Table43[[#This Row],[No. Urut
Item Sama]])</f>
        <v>K10470010125101</v>
      </c>
      <c r="B82" s="7">
        <v>1</v>
      </c>
      <c r="D82" s="28" t="s">
        <v>792</v>
      </c>
      <c r="E82" s="28"/>
      <c r="F82" s="28" t="s">
        <v>2920</v>
      </c>
      <c r="G82" s="78">
        <v>36</v>
      </c>
      <c r="H82" s="43"/>
      <c r="I82" s="28" t="str">
        <f>Table43[[#This Row],[Nama Jenis Kemasan]]</f>
        <v>BTL</v>
      </c>
      <c r="J82" s="4" t="str">
        <f>TRIM(CONCATENATE(Table43[[#This Row],[Nama            KLP]]," ",Table43[[#This Row],[Nama            Sub KLP]]))</f>
        <v>B&amp;B SPRAY COLOGNE</v>
      </c>
      <c r="K82" s="4" t="str">
        <f>CONCATENATE(Table43[[#This Row],[kode  2 Digit                (hrf+No)]],Table43[[#This Row],[kode  2 Digit                (Nomor)]],Table43[[#This Row],[kode  1 Digit                (Nomor)]])</f>
        <v>K1047</v>
      </c>
      <c r="L82" s="4" t="str">
        <f t="shared" si="3"/>
        <v>K1047001012510</v>
      </c>
      <c r="M82" s="11">
        <f t="shared" si="4"/>
        <v>14</v>
      </c>
      <c r="N82" s="14" t="str">
        <f>IF(AF82&lt;&gt;"",TRIM(UPPER(CONCATENATE(P82," ",R82," ",T82," ",V82," ",X82," ",Z82," ","X"," ",Table43[[#This Row],[ISI/CTN]]," ",AF82," ",AB82," ",AD82," ",AH82))),TRIM(UPPER(CONCATENATE(P82," ",R82," ",T82," ",V82," ",X82," ",Z82," ","X"," ",Table43[[#This Row],[ISI/CTN]]," ",AB82," ",AD82," ",AH82))))</f>
        <v>KNF B&amp;B SPRAY COLOGNE BLOSSOM 125ML X 36 BTL</v>
      </c>
      <c r="O82" s="11">
        <f t="shared" si="5"/>
        <v>44</v>
      </c>
      <c r="P82" s="4" t="s">
        <v>97</v>
      </c>
      <c r="Q82" s="7" t="s">
        <v>98</v>
      </c>
      <c r="R82" s="4" t="s">
        <v>2524</v>
      </c>
      <c r="S82" s="44" t="s">
        <v>2474</v>
      </c>
      <c r="T82" s="45" t="s">
        <v>3618</v>
      </c>
      <c r="U82" s="7" t="s">
        <v>3619</v>
      </c>
      <c r="V82" s="45" t="s">
        <v>2961</v>
      </c>
      <c r="W82" s="44" t="s">
        <v>2900</v>
      </c>
      <c r="X82" s="4" t="s">
        <v>3598</v>
      </c>
      <c r="Y82" s="46" t="s">
        <v>0</v>
      </c>
      <c r="Z82" s="4" t="s">
        <v>3620</v>
      </c>
      <c r="AA82" s="46" t="s">
        <v>2489</v>
      </c>
      <c r="AB82" s="4" t="s">
        <v>357</v>
      </c>
      <c r="AC82" s="7" t="s">
        <v>2656</v>
      </c>
      <c r="AD82" s="4" t="s">
        <v>2961</v>
      </c>
      <c r="AE82" s="7" t="s">
        <v>2900</v>
      </c>
      <c r="AF82" s="7" t="s">
        <v>2961</v>
      </c>
      <c r="AG82" s="7" t="s">
        <v>2961</v>
      </c>
      <c r="AI82" s="7" t="s">
        <v>4100</v>
      </c>
      <c r="AJ82" s="7" t="s">
        <v>2656</v>
      </c>
      <c r="AK82" s="41">
        <f>Table43[[#This Row],[Harga Jual Pcs GT
(-PPN)]]-(Table43[[#This Row],[Harga Jual Pcs GT
(-PPN)]]*10%)</f>
        <v>0</v>
      </c>
      <c r="AL82" s="42">
        <f>Table43[[#This Row],[Harga Beli Pcs
(-PPN)]]*Table43[[#This Row],[ISI/CTN]]</f>
        <v>0</v>
      </c>
      <c r="AM82" s="42">
        <f>Table43[[#This Row],[Harga Beli Pcs
(-PPN)]]*1.11</f>
        <v>0</v>
      </c>
      <c r="AN82" s="42">
        <f>Table43[[#This Row],[Harga Beli Krt
(- PPN)]]*1.11</f>
        <v>0</v>
      </c>
      <c r="AO82" s="42"/>
      <c r="AP82" s="42">
        <f>Table43[[#This Row],[Harga Jual Pcs GT
(-PPN)]]*Table43[[#This Row],[ISI/CTN]]</f>
        <v>0</v>
      </c>
      <c r="AQ82" s="42">
        <f>Table43[[#This Row],[Harga Jual Pcs GT
(-PPN)]]*1.11</f>
        <v>0</v>
      </c>
      <c r="AR82" s="42">
        <f>Table43[[#This Row],[Harga Jual Krt GT
(- PPN)]]*1.11</f>
        <v>0</v>
      </c>
      <c r="AS82" s="42">
        <f>Table43[[#This Row],[Harga Jual Pcs GT
(-PPN)]]</f>
        <v>0</v>
      </c>
      <c r="AT82" s="42">
        <f>(Table43[[#This Row],[Harga Jual Pcs MT
(-PPN)]]*Table43[[#This Row],[ISI/CTN]])</f>
        <v>0</v>
      </c>
      <c r="AU82" s="42">
        <f>Table43[[#This Row],[Harga Jual Pcs MT
(-PPN)]]*1.11</f>
        <v>0</v>
      </c>
      <c r="AV82" s="42">
        <f>Table43[[#This Row],[Harga Jual Pcs MT
(+PPN)]]*Table43[[#This Row],[ISI/CTN]]</f>
        <v>0</v>
      </c>
      <c r="AW82" s="47"/>
      <c r="AX82" s="7"/>
      <c r="AY82" s="7" t="str">
        <f ca="1">IF(TODAY()-Table43[[#This Row],[Efektif
Pembuatan]]&gt;60,"Lama","Baru")</f>
        <v>Lama</v>
      </c>
      <c r="AZ82" s="7" t="str">
        <f ca="1">IF(TODAY()-Table43[[#This Row],[Efektif Naik Harga]]&lt;30,"Naik","Sama")</f>
        <v>Sama</v>
      </c>
      <c r="BA82" s="7" t="str">
        <f>IF(Table43[[#This Row],[Kode BARANG Win2]]&lt;&gt;"","IDR","")</f>
        <v>IDR</v>
      </c>
      <c r="BB82" s="7" t="str">
        <f>CONCATENATE(Table43[[#This Row],[kode  1 Digit
(Nomor)]],Table43[[#This Row],[kode  4 Digit                (Nomor)]])</f>
        <v>10125</v>
      </c>
      <c r="BC82" s="7" t="str">
        <f>Table43[[#This Row],[Nama            Gramasi atau Jumlah Pack per CTN]]</f>
        <v>125ML</v>
      </c>
      <c r="BD82" s="7"/>
      <c r="BE82" s="7"/>
      <c r="BF82" s="4" t="str">
        <f>IF(Table43[[#This Row],[SATUAN Fix Win]]&lt;&gt;"","KRT")</f>
        <v>KRT</v>
      </c>
      <c r="BG82" s="4" t="str">
        <f>IF(Table43[[#This Row],[SATUAN Fix Win]]&lt;&gt;"","GD01")</f>
        <v>GD01</v>
      </c>
      <c r="BH82" s="4">
        <f>IF(Table43[[#This Row],[SATUAN Fix Win]]&lt;&gt;"",11611)</f>
        <v>11611</v>
      </c>
      <c r="BI82" s="4">
        <f>IF(Table43[[#This Row],[SATUAN Fix Win]]&lt;&gt;"",11612)</f>
        <v>11612</v>
      </c>
      <c r="BJ82" s="48"/>
      <c r="BK82" s="4">
        <f>IF(Table43[[#This Row],[SATUAN Fix Win]]&lt;&gt;"",1)</f>
        <v>1</v>
      </c>
    </row>
    <row r="83" spans="1:63">
      <c r="A83" s="4" t="str">
        <f>CONCATENATE(Table43[[#This Row],[Kode BARANG Win2]],Table43[[#This Row],[No. Urut
Item Sama]])</f>
        <v>K10470020060102</v>
      </c>
      <c r="B83" s="7">
        <v>2</v>
      </c>
      <c r="D83" s="28" t="s">
        <v>794</v>
      </c>
      <c r="E83" s="28"/>
      <c r="F83" s="28" t="s">
        <v>2922</v>
      </c>
      <c r="G83" s="78">
        <v>36</v>
      </c>
      <c r="H83" s="43"/>
      <c r="I83" s="28" t="str">
        <f>Table43[[#This Row],[Nama Jenis Kemasan]]</f>
        <v>BTL</v>
      </c>
      <c r="J83" s="4" t="str">
        <f>TRIM(CONCATENATE(Table43[[#This Row],[Nama            KLP]]," ",Table43[[#This Row],[Nama            Sub KLP]]))</f>
        <v>B&amp;B SPRAY COLOGNE</v>
      </c>
      <c r="K83" s="4" t="str">
        <f>CONCATENATE(Table43[[#This Row],[kode  2 Digit                (hrf+No)]],Table43[[#This Row],[kode  2 Digit                (Nomor)]],Table43[[#This Row],[kode  1 Digit                (Nomor)]])</f>
        <v>K1047</v>
      </c>
      <c r="L83" s="4" t="str">
        <f t="shared" si="3"/>
        <v>K1047002006010</v>
      </c>
      <c r="M83" s="11">
        <f t="shared" si="4"/>
        <v>14</v>
      </c>
      <c r="N83" s="14" t="str">
        <f>IF(AF83&lt;&gt;"",TRIM(UPPER(CONCATENATE(P83," ",R83," ",T83," ",V83," ",X83," ",Z83," ","X"," ",Table43[[#This Row],[ISI/CTN]]," ",AF83," ",AB83," ",AD83," ",AH83))),TRIM(UPPER(CONCATENATE(P83," ",R83," ",T83," ",V83," ",X83," ",Z83," ","X"," ",Table43[[#This Row],[ISI/CTN]]," ",AB83," ",AD83," ",AH83))))</f>
        <v>KNF B&amp;B SPRAY COLOGNE BUBBLES 60ML X 36 BTL</v>
      </c>
      <c r="O83" s="11">
        <f t="shared" si="5"/>
        <v>43</v>
      </c>
      <c r="P83" s="4" t="s">
        <v>97</v>
      </c>
      <c r="Q83" s="7" t="s">
        <v>98</v>
      </c>
      <c r="R83" s="4" t="s">
        <v>2524</v>
      </c>
      <c r="S83" s="44" t="s">
        <v>2474</v>
      </c>
      <c r="T83" s="45" t="s">
        <v>3618</v>
      </c>
      <c r="U83" s="7" t="s">
        <v>3619</v>
      </c>
      <c r="V83" s="45" t="s">
        <v>2961</v>
      </c>
      <c r="W83" s="44" t="s">
        <v>2900</v>
      </c>
      <c r="X83" s="4" t="s">
        <v>3601</v>
      </c>
      <c r="Y83" s="46" t="s">
        <v>2472</v>
      </c>
      <c r="Z83" s="4" t="s">
        <v>1026</v>
      </c>
      <c r="AA83" s="46" t="s">
        <v>2481</v>
      </c>
      <c r="AB83" s="4" t="s">
        <v>357</v>
      </c>
      <c r="AC83" s="7" t="s">
        <v>2656</v>
      </c>
      <c r="AD83" s="4" t="s">
        <v>2961</v>
      </c>
      <c r="AE83" s="7" t="s">
        <v>2900</v>
      </c>
      <c r="AF83" s="7" t="s">
        <v>2961</v>
      </c>
      <c r="AG83" s="7" t="s">
        <v>2961</v>
      </c>
      <c r="AI83" s="7" t="s">
        <v>4100</v>
      </c>
      <c r="AJ83" s="7" t="s">
        <v>2656</v>
      </c>
      <c r="AK83" s="41">
        <f>Table43[[#This Row],[Harga Jual Pcs GT
(-PPN)]]-(Table43[[#This Row],[Harga Jual Pcs GT
(-PPN)]]*10%)</f>
        <v>0</v>
      </c>
      <c r="AL83" s="42">
        <f>Table43[[#This Row],[Harga Beli Pcs
(-PPN)]]*Table43[[#This Row],[ISI/CTN]]</f>
        <v>0</v>
      </c>
      <c r="AM83" s="42">
        <f>Table43[[#This Row],[Harga Beli Pcs
(-PPN)]]*1.11</f>
        <v>0</v>
      </c>
      <c r="AN83" s="42">
        <f>Table43[[#This Row],[Harga Beli Krt
(- PPN)]]*1.11</f>
        <v>0</v>
      </c>
      <c r="AO83" s="42"/>
      <c r="AP83" s="42">
        <f>Table43[[#This Row],[Harga Jual Pcs GT
(-PPN)]]*Table43[[#This Row],[ISI/CTN]]</f>
        <v>0</v>
      </c>
      <c r="AQ83" s="42">
        <f>Table43[[#This Row],[Harga Jual Pcs GT
(-PPN)]]*1.11</f>
        <v>0</v>
      </c>
      <c r="AR83" s="42">
        <f>Table43[[#This Row],[Harga Jual Krt GT
(- PPN)]]*1.11</f>
        <v>0</v>
      </c>
      <c r="AS83" s="42">
        <f>Table43[[#This Row],[Harga Jual Pcs GT
(-PPN)]]</f>
        <v>0</v>
      </c>
      <c r="AT83" s="42">
        <f>(Table43[[#This Row],[Harga Jual Pcs MT
(-PPN)]]*Table43[[#This Row],[ISI/CTN]])</f>
        <v>0</v>
      </c>
      <c r="AU83" s="42">
        <f>Table43[[#This Row],[Harga Jual Pcs MT
(-PPN)]]*1.11</f>
        <v>0</v>
      </c>
      <c r="AV83" s="42">
        <f>Table43[[#This Row],[Harga Jual Pcs MT
(+PPN)]]*Table43[[#This Row],[ISI/CTN]]</f>
        <v>0</v>
      </c>
      <c r="AW83" s="47"/>
      <c r="AX83" s="7"/>
      <c r="AY83" s="7" t="str">
        <f ca="1">IF(TODAY()-Table43[[#This Row],[Efektif
Pembuatan]]&gt;60,"Lama","Baru")</f>
        <v>Lama</v>
      </c>
      <c r="AZ83" s="7" t="str">
        <f ca="1">IF(TODAY()-Table43[[#This Row],[Efektif Naik Harga]]&lt;30,"Naik","Sama")</f>
        <v>Sama</v>
      </c>
      <c r="BA83" s="7" t="str">
        <f>IF(Table43[[#This Row],[Kode BARANG Win2]]&lt;&gt;"","IDR","")</f>
        <v>IDR</v>
      </c>
      <c r="BB83" s="7" t="str">
        <f>CONCATENATE(Table43[[#This Row],[kode  1 Digit
(Nomor)]],Table43[[#This Row],[kode  4 Digit                (Nomor)]])</f>
        <v>10060</v>
      </c>
      <c r="BC83" s="7" t="str">
        <f>Table43[[#This Row],[Nama            Gramasi atau Jumlah Pack per CTN]]</f>
        <v>60ML</v>
      </c>
      <c r="BD83" s="7"/>
      <c r="BE83" s="7"/>
      <c r="BF83" s="4" t="str">
        <f>IF(Table43[[#This Row],[SATUAN Fix Win]]&lt;&gt;"","KRT")</f>
        <v>KRT</v>
      </c>
      <c r="BG83" s="4" t="str">
        <f>IF(Table43[[#This Row],[SATUAN Fix Win]]&lt;&gt;"","GD01")</f>
        <v>GD01</v>
      </c>
      <c r="BH83" s="4">
        <f>IF(Table43[[#This Row],[SATUAN Fix Win]]&lt;&gt;"",11611)</f>
        <v>11611</v>
      </c>
      <c r="BI83" s="4">
        <f>IF(Table43[[#This Row],[SATUAN Fix Win]]&lt;&gt;"",11612)</f>
        <v>11612</v>
      </c>
      <c r="BJ83" s="48"/>
      <c r="BK83" s="4">
        <f>IF(Table43[[#This Row],[SATUAN Fix Win]]&lt;&gt;"",1)</f>
        <v>1</v>
      </c>
    </row>
    <row r="84" spans="1:63">
      <c r="A84" s="4" t="str">
        <f>CONCATENATE(Table43[[#This Row],[Kode BARANG Win2]],Table43[[#This Row],[No. Urut
Item Sama]])</f>
        <v>K10470020125101</v>
      </c>
      <c r="B84" s="7">
        <v>1</v>
      </c>
      <c r="D84" s="28" t="s">
        <v>796</v>
      </c>
      <c r="E84" s="28"/>
      <c r="F84" s="28" t="s">
        <v>2923</v>
      </c>
      <c r="G84" s="78">
        <v>36</v>
      </c>
      <c r="H84" s="43"/>
      <c r="I84" s="28" t="str">
        <f>Table43[[#This Row],[Nama Jenis Kemasan]]</f>
        <v>BTL</v>
      </c>
      <c r="J84" s="4" t="str">
        <f>TRIM(CONCATENATE(Table43[[#This Row],[Nama            KLP]]," ",Table43[[#This Row],[Nama            Sub KLP]]))</f>
        <v>B&amp;B SPRAY COLOGNE</v>
      </c>
      <c r="K84" s="4" t="str">
        <f>CONCATENATE(Table43[[#This Row],[kode  2 Digit                (hrf+No)]],Table43[[#This Row],[kode  2 Digit                (Nomor)]],Table43[[#This Row],[kode  1 Digit                (Nomor)]])</f>
        <v>K1047</v>
      </c>
      <c r="L84" s="4" t="str">
        <f t="shared" si="3"/>
        <v>K1047002012510</v>
      </c>
      <c r="M84" s="11">
        <f t="shared" si="4"/>
        <v>14</v>
      </c>
      <c r="N84" s="14" t="str">
        <f>IF(AF84&lt;&gt;"",TRIM(UPPER(CONCATENATE(P84," ",R84," ",T84," ",V84," ",X84," ",Z84," ","X"," ",Table43[[#This Row],[ISI/CTN]]," ",AF84," ",AB84," ",AD84," ",AH84))),TRIM(UPPER(CONCATENATE(P84," ",R84," ",T84," ",V84," ",X84," ",Z84," ","X"," ",Table43[[#This Row],[ISI/CTN]]," ",AB84," ",AD84," ",AH84))))</f>
        <v>KNF B&amp;B SPRAY COLOGNE BUBBLES 125ML X 36 BTL</v>
      </c>
      <c r="O84" s="11">
        <f t="shared" si="5"/>
        <v>44</v>
      </c>
      <c r="P84" s="4" t="s">
        <v>97</v>
      </c>
      <c r="Q84" s="7" t="s">
        <v>98</v>
      </c>
      <c r="R84" s="4" t="s">
        <v>2524</v>
      </c>
      <c r="S84" s="44" t="s">
        <v>2474</v>
      </c>
      <c r="T84" s="45" t="s">
        <v>3618</v>
      </c>
      <c r="U84" s="7" t="s">
        <v>3619</v>
      </c>
      <c r="V84" s="45" t="s">
        <v>2961</v>
      </c>
      <c r="W84" s="44" t="s">
        <v>2900</v>
      </c>
      <c r="X84" s="4" t="s">
        <v>3601</v>
      </c>
      <c r="Y84" s="46" t="s">
        <v>2472</v>
      </c>
      <c r="Z84" s="4" t="s">
        <v>3620</v>
      </c>
      <c r="AA84" s="46" t="s">
        <v>2489</v>
      </c>
      <c r="AB84" s="4" t="s">
        <v>357</v>
      </c>
      <c r="AC84" s="7" t="s">
        <v>2656</v>
      </c>
      <c r="AD84" s="4" t="s">
        <v>2961</v>
      </c>
      <c r="AE84" s="7" t="s">
        <v>2900</v>
      </c>
      <c r="AF84" s="7" t="s">
        <v>2961</v>
      </c>
      <c r="AG84" s="7" t="s">
        <v>2961</v>
      </c>
      <c r="AI84" s="7" t="s">
        <v>4100</v>
      </c>
      <c r="AJ84" s="7" t="s">
        <v>2656</v>
      </c>
      <c r="AK84" s="41">
        <f>Table43[[#This Row],[Harga Jual Pcs GT
(-PPN)]]-(Table43[[#This Row],[Harga Jual Pcs GT
(-PPN)]]*10%)</f>
        <v>0</v>
      </c>
      <c r="AL84" s="42">
        <f>Table43[[#This Row],[Harga Beli Pcs
(-PPN)]]*Table43[[#This Row],[ISI/CTN]]</f>
        <v>0</v>
      </c>
      <c r="AM84" s="42">
        <f>Table43[[#This Row],[Harga Beli Pcs
(-PPN)]]*1.11</f>
        <v>0</v>
      </c>
      <c r="AN84" s="42">
        <f>Table43[[#This Row],[Harga Beli Krt
(- PPN)]]*1.11</f>
        <v>0</v>
      </c>
      <c r="AO84" s="42"/>
      <c r="AP84" s="42">
        <f>Table43[[#This Row],[Harga Jual Pcs GT
(-PPN)]]*Table43[[#This Row],[ISI/CTN]]</f>
        <v>0</v>
      </c>
      <c r="AQ84" s="42">
        <f>Table43[[#This Row],[Harga Jual Pcs GT
(-PPN)]]*1.11</f>
        <v>0</v>
      </c>
      <c r="AR84" s="42">
        <f>Table43[[#This Row],[Harga Jual Krt GT
(- PPN)]]*1.11</f>
        <v>0</v>
      </c>
      <c r="AS84" s="42">
        <f>Table43[[#This Row],[Harga Jual Pcs GT
(-PPN)]]</f>
        <v>0</v>
      </c>
      <c r="AT84" s="42">
        <f>(Table43[[#This Row],[Harga Jual Pcs MT
(-PPN)]]*Table43[[#This Row],[ISI/CTN]])</f>
        <v>0</v>
      </c>
      <c r="AU84" s="42">
        <f>Table43[[#This Row],[Harga Jual Pcs MT
(-PPN)]]*1.11</f>
        <v>0</v>
      </c>
      <c r="AV84" s="42">
        <f>Table43[[#This Row],[Harga Jual Pcs MT
(+PPN)]]*Table43[[#This Row],[ISI/CTN]]</f>
        <v>0</v>
      </c>
      <c r="AW84" s="47"/>
      <c r="AX84" s="7"/>
      <c r="AY84" s="7" t="str">
        <f ca="1">IF(TODAY()-Table43[[#This Row],[Efektif
Pembuatan]]&gt;60,"Lama","Baru")</f>
        <v>Lama</v>
      </c>
      <c r="AZ84" s="7" t="str">
        <f ca="1">IF(TODAY()-Table43[[#This Row],[Efektif Naik Harga]]&lt;30,"Naik","Sama")</f>
        <v>Sama</v>
      </c>
      <c r="BA84" s="7" t="str">
        <f>IF(Table43[[#This Row],[Kode BARANG Win2]]&lt;&gt;"","IDR","")</f>
        <v>IDR</v>
      </c>
      <c r="BB84" s="7" t="str">
        <f>CONCATENATE(Table43[[#This Row],[kode  1 Digit
(Nomor)]],Table43[[#This Row],[kode  4 Digit                (Nomor)]])</f>
        <v>10125</v>
      </c>
      <c r="BC84" s="7" t="str">
        <f>Table43[[#This Row],[Nama            Gramasi atau Jumlah Pack per CTN]]</f>
        <v>125ML</v>
      </c>
      <c r="BD84" s="7"/>
      <c r="BE84" s="7"/>
      <c r="BF84" s="4" t="str">
        <f>IF(Table43[[#This Row],[SATUAN Fix Win]]&lt;&gt;"","KRT")</f>
        <v>KRT</v>
      </c>
      <c r="BG84" s="4" t="str">
        <f>IF(Table43[[#This Row],[SATUAN Fix Win]]&lt;&gt;"","GD01")</f>
        <v>GD01</v>
      </c>
      <c r="BH84" s="4">
        <f>IF(Table43[[#This Row],[SATUAN Fix Win]]&lt;&gt;"",11611)</f>
        <v>11611</v>
      </c>
      <c r="BI84" s="4">
        <f>IF(Table43[[#This Row],[SATUAN Fix Win]]&lt;&gt;"",11612)</f>
        <v>11612</v>
      </c>
      <c r="BJ84" s="48"/>
      <c r="BK84" s="4">
        <f>IF(Table43[[#This Row],[SATUAN Fix Win]]&lt;&gt;"",1)</f>
        <v>1</v>
      </c>
    </row>
    <row r="85" spans="1:63">
      <c r="A85" s="4" t="str">
        <f>CONCATENATE(Table43[[#This Row],[Kode BARANG Win2]],Table43[[#This Row],[No. Urut
Item Sama]])</f>
        <v>K10470030060101</v>
      </c>
      <c r="B85" s="7">
        <v>1</v>
      </c>
      <c r="D85" s="28" t="s">
        <v>798</v>
      </c>
      <c r="E85" s="28"/>
      <c r="F85" s="28" t="s">
        <v>2924</v>
      </c>
      <c r="G85" s="78">
        <v>36</v>
      </c>
      <c r="H85" s="43"/>
      <c r="I85" s="28" t="str">
        <f>Table43[[#This Row],[Nama Jenis Kemasan]]</f>
        <v>BTL</v>
      </c>
      <c r="J85" s="4" t="str">
        <f>TRIM(CONCATENATE(Table43[[#This Row],[Nama            KLP]]," ",Table43[[#This Row],[Nama            Sub KLP]]))</f>
        <v>B&amp;B SPRAY COLOGNE</v>
      </c>
      <c r="K85" s="4" t="str">
        <f>CONCATENATE(Table43[[#This Row],[kode  2 Digit                (hrf+No)]],Table43[[#This Row],[kode  2 Digit                (Nomor)]],Table43[[#This Row],[kode  1 Digit                (Nomor)]])</f>
        <v>K1047</v>
      </c>
      <c r="L85" s="4" t="str">
        <f t="shared" si="3"/>
        <v>K1047003006010</v>
      </c>
      <c r="M85" s="11">
        <f t="shared" si="4"/>
        <v>14</v>
      </c>
      <c r="N85" s="14" t="str">
        <f>IF(AF85&lt;&gt;"",TRIM(UPPER(CONCATENATE(P85," ",R85," ",T85," ",V85," ",X85," ",Z85," ","X"," ",Table43[[#This Row],[ISI/CTN]]," ",AF85," ",AB85," ",AD85," ",AH85))),TRIM(UPPER(CONCATENATE(P85," ",R85," ",T85," ",V85," ",X85," ",Z85," ","X"," ",Table43[[#This Row],[ISI/CTN]]," ",AB85," ",AD85," ",AH85))))</f>
        <v>KNF B&amp;B SPRAY COLOGNE BUTTERCUP 60ML X 36 BTL</v>
      </c>
      <c r="O85" s="11">
        <f t="shared" si="5"/>
        <v>45</v>
      </c>
      <c r="P85" s="4" t="s">
        <v>97</v>
      </c>
      <c r="Q85" s="7" t="s">
        <v>98</v>
      </c>
      <c r="R85" s="4" t="s">
        <v>2524</v>
      </c>
      <c r="S85" s="44" t="s">
        <v>2474</v>
      </c>
      <c r="T85" s="45" t="s">
        <v>3618</v>
      </c>
      <c r="U85" s="7" t="s">
        <v>3619</v>
      </c>
      <c r="V85" s="45" t="s">
        <v>2961</v>
      </c>
      <c r="W85" s="44" t="s">
        <v>2900</v>
      </c>
      <c r="X85" s="4" t="s">
        <v>3602</v>
      </c>
      <c r="Y85" s="46" t="s">
        <v>2473</v>
      </c>
      <c r="Z85" s="4" t="s">
        <v>1026</v>
      </c>
      <c r="AA85" s="46" t="s">
        <v>2481</v>
      </c>
      <c r="AB85" s="4" t="s">
        <v>357</v>
      </c>
      <c r="AC85" s="7" t="s">
        <v>2656</v>
      </c>
      <c r="AD85" s="4" t="s">
        <v>2961</v>
      </c>
      <c r="AE85" s="7" t="s">
        <v>2900</v>
      </c>
      <c r="AF85" s="7" t="s">
        <v>2961</v>
      </c>
      <c r="AG85" s="7" t="s">
        <v>2961</v>
      </c>
      <c r="AI85" s="7" t="s">
        <v>4100</v>
      </c>
      <c r="AJ85" s="7" t="s">
        <v>2656</v>
      </c>
      <c r="AK85" s="41">
        <f>Table43[[#This Row],[Harga Jual Pcs GT
(-PPN)]]-(Table43[[#This Row],[Harga Jual Pcs GT
(-PPN)]]*10%)</f>
        <v>0</v>
      </c>
      <c r="AL85" s="42">
        <f>Table43[[#This Row],[Harga Beli Pcs
(-PPN)]]*Table43[[#This Row],[ISI/CTN]]</f>
        <v>0</v>
      </c>
      <c r="AM85" s="42">
        <f>Table43[[#This Row],[Harga Beli Pcs
(-PPN)]]*1.11</f>
        <v>0</v>
      </c>
      <c r="AN85" s="42">
        <f>Table43[[#This Row],[Harga Beli Krt
(- PPN)]]*1.11</f>
        <v>0</v>
      </c>
      <c r="AO85" s="42"/>
      <c r="AP85" s="42">
        <f>Table43[[#This Row],[Harga Jual Pcs GT
(-PPN)]]*Table43[[#This Row],[ISI/CTN]]</f>
        <v>0</v>
      </c>
      <c r="AQ85" s="42">
        <f>Table43[[#This Row],[Harga Jual Pcs GT
(-PPN)]]*1.11</f>
        <v>0</v>
      </c>
      <c r="AR85" s="42">
        <f>Table43[[#This Row],[Harga Jual Krt GT
(- PPN)]]*1.11</f>
        <v>0</v>
      </c>
      <c r="AS85" s="42">
        <f>Table43[[#This Row],[Harga Jual Pcs GT
(-PPN)]]</f>
        <v>0</v>
      </c>
      <c r="AT85" s="42">
        <f>(Table43[[#This Row],[Harga Jual Pcs MT
(-PPN)]]*Table43[[#This Row],[ISI/CTN]])</f>
        <v>0</v>
      </c>
      <c r="AU85" s="42">
        <f>Table43[[#This Row],[Harga Jual Pcs MT
(-PPN)]]*1.11</f>
        <v>0</v>
      </c>
      <c r="AV85" s="42">
        <f>Table43[[#This Row],[Harga Jual Pcs MT
(+PPN)]]*Table43[[#This Row],[ISI/CTN]]</f>
        <v>0</v>
      </c>
      <c r="AW85" s="47"/>
      <c r="AX85" s="7"/>
      <c r="AY85" s="7" t="str">
        <f ca="1">IF(TODAY()-Table43[[#This Row],[Efektif
Pembuatan]]&gt;60,"Lama","Baru")</f>
        <v>Lama</v>
      </c>
      <c r="AZ85" s="7" t="str">
        <f ca="1">IF(TODAY()-Table43[[#This Row],[Efektif Naik Harga]]&lt;30,"Naik","Sama")</f>
        <v>Sama</v>
      </c>
      <c r="BA85" s="7" t="str">
        <f>IF(Table43[[#This Row],[Kode BARANG Win2]]&lt;&gt;"","IDR","")</f>
        <v>IDR</v>
      </c>
      <c r="BB85" s="7" t="str">
        <f>CONCATENATE(Table43[[#This Row],[kode  1 Digit
(Nomor)]],Table43[[#This Row],[kode  4 Digit                (Nomor)]])</f>
        <v>10060</v>
      </c>
      <c r="BC85" s="7" t="str">
        <f>Table43[[#This Row],[Nama            Gramasi atau Jumlah Pack per CTN]]</f>
        <v>60ML</v>
      </c>
      <c r="BD85" s="7"/>
      <c r="BE85" s="7"/>
      <c r="BF85" s="4" t="str">
        <f>IF(Table43[[#This Row],[SATUAN Fix Win]]&lt;&gt;"","KRT")</f>
        <v>KRT</v>
      </c>
      <c r="BG85" s="4" t="str">
        <f>IF(Table43[[#This Row],[SATUAN Fix Win]]&lt;&gt;"","GD01")</f>
        <v>GD01</v>
      </c>
      <c r="BH85" s="4">
        <f>IF(Table43[[#This Row],[SATUAN Fix Win]]&lt;&gt;"",11611)</f>
        <v>11611</v>
      </c>
      <c r="BI85" s="4">
        <f>IF(Table43[[#This Row],[SATUAN Fix Win]]&lt;&gt;"",11612)</f>
        <v>11612</v>
      </c>
      <c r="BJ85" s="48"/>
      <c r="BK85" s="4">
        <f>IF(Table43[[#This Row],[SATUAN Fix Win]]&lt;&gt;"",1)</f>
        <v>1</v>
      </c>
    </row>
    <row r="86" spans="1:63">
      <c r="A86" s="4" t="str">
        <f>CONCATENATE(Table43[[#This Row],[Kode BARANG Win2]],Table43[[#This Row],[No. Urut
Item Sama]])</f>
        <v>K10470030125101</v>
      </c>
      <c r="B86" s="7">
        <v>1</v>
      </c>
      <c r="D86" s="28" t="s">
        <v>800</v>
      </c>
      <c r="E86" s="28"/>
      <c r="F86" s="28" t="s">
        <v>2926</v>
      </c>
      <c r="G86" s="78">
        <v>36</v>
      </c>
      <c r="H86" s="43"/>
      <c r="I86" s="28" t="str">
        <f>Table43[[#This Row],[Nama Jenis Kemasan]]</f>
        <v>BTL</v>
      </c>
      <c r="J86" s="4" t="str">
        <f>TRIM(CONCATENATE(Table43[[#This Row],[Nama            KLP]]," ",Table43[[#This Row],[Nama            Sub KLP]]))</f>
        <v>B&amp;B SPRAY COLOGNE</v>
      </c>
      <c r="K86" s="4" t="str">
        <f>CONCATENATE(Table43[[#This Row],[kode  2 Digit                (hrf+No)]],Table43[[#This Row],[kode  2 Digit                (Nomor)]],Table43[[#This Row],[kode  1 Digit                (Nomor)]])</f>
        <v>K1047</v>
      </c>
      <c r="L86" s="4" t="str">
        <f t="shared" si="3"/>
        <v>K1047003012510</v>
      </c>
      <c r="M86" s="11">
        <f t="shared" si="4"/>
        <v>14</v>
      </c>
      <c r="N86" s="14" t="str">
        <f>IF(AF86&lt;&gt;"",TRIM(UPPER(CONCATENATE(P86," ",R86," ",T86," ",V86," ",X86," ",Z86," ","X"," ",Table43[[#This Row],[ISI/CTN]]," ",AF86," ",AB86," ",AD86," ",AH86))),TRIM(UPPER(CONCATENATE(P86," ",R86," ",T86," ",V86," ",X86," ",Z86," ","X"," ",Table43[[#This Row],[ISI/CTN]]," ",AB86," ",AD86," ",AH86))))</f>
        <v>KNF B&amp;B SPRAY COLOGNE BUTTERCUP 125ML X 36 BTL</v>
      </c>
      <c r="O86" s="11">
        <f t="shared" si="5"/>
        <v>46</v>
      </c>
      <c r="P86" s="4" t="s">
        <v>97</v>
      </c>
      <c r="Q86" s="7" t="s">
        <v>98</v>
      </c>
      <c r="R86" s="4" t="s">
        <v>2524</v>
      </c>
      <c r="S86" s="44" t="s">
        <v>2474</v>
      </c>
      <c r="T86" s="45" t="s">
        <v>3618</v>
      </c>
      <c r="U86" s="7" t="s">
        <v>3619</v>
      </c>
      <c r="V86" s="45" t="s">
        <v>2961</v>
      </c>
      <c r="W86" s="44" t="s">
        <v>2900</v>
      </c>
      <c r="X86" s="4" t="s">
        <v>3602</v>
      </c>
      <c r="Y86" s="46" t="s">
        <v>2473</v>
      </c>
      <c r="Z86" s="4" t="s">
        <v>3620</v>
      </c>
      <c r="AA86" s="46" t="s">
        <v>2489</v>
      </c>
      <c r="AB86" s="4" t="s">
        <v>357</v>
      </c>
      <c r="AC86" s="7" t="s">
        <v>2656</v>
      </c>
      <c r="AD86" s="4" t="s">
        <v>2961</v>
      </c>
      <c r="AE86" s="7" t="s">
        <v>2900</v>
      </c>
      <c r="AF86" s="7" t="s">
        <v>2961</v>
      </c>
      <c r="AG86" s="7" t="s">
        <v>2961</v>
      </c>
      <c r="AI86" s="7" t="s">
        <v>4100</v>
      </c>
      <c r="AJ86" s="7" t="s">
        <v>2656</v>
      </c>
      <c r="AK86" s="41">
        <f>Table43[[#This Row],[Harga Jual Pcs GT
(-PPN)]]-(Table43[[#This Row],[Harga Jual Pcs GT
(-PPN)]]*10%)</f>
        <v>0</v>
      </c>
      <c r="AL86" s="42">
        <f>Table43[[#This Row],[Harga Beli Pcs
(-PPN)]]*Table43[[#This Row],[ISI/CTN]]</f>
        <v>0</v>
      </c>
      <c r="AM86" s="42">
        <f>Table43[[#This Row],[Harga Beli Pcs
(-PPN)]]*1.11</f>
        <v>0</v>
      </c>
      <c r="AN86" s="42">
        <f>Table43[[#This Row],[Harga Beli Krt
(- PPN)]]*1.11</f>
        <v>0</v>
      </c>
      <c r="AO86" s="42"/>
      <c r="AP86" s="42">
        <f>Table43[[#This Row],[Harga Jual Pcs GT
(-PPN)]]*Table43[[#This Row],[ISI/CTN]]</f>
        <v>0</v>
      </c>
      <c r="AQ86" s="42">
        <f>Table43[[#This Row],[Harga Jual Pcs GT
(-PPN)]]*1.11</f>
        <v>0</v>
      </c>
      <c r="AR86" s="42">
        <f>Table43[[#This Row],[Harga Jual Krt GT
(- PPN)]]*1.11</f>
        <v>0</v>
      </c>
      <c r="AS86" s="42">
        <f>Table43[[#This Row],[Harga Jual Pcs GT
(-PPN)]]</f>
        <v>0</v>
      </c>
      <c r="AT86" s="42">
        <f>(Table43[[#This Row],[Harga Jual Pcs MT
(-PPN)]]*Table43[[#This Row],[ISI/CTN]])</f>
        <v>0</v>
      </c>
      <c r="AU86" s="42">
        <f>Table43[[#This Row],[Harga Jual Pcs MT
(-PPN)]]*1.11</f>
        <v>0</v>
      </c>
      <c r="AV86" s="42">
        <f>Table43[[#This Row],[Harga Jual Pcs MT
(+PPN)]]*Table43[[#This Row],[ISI/CTN]]</f>
        <v>0</v>
      </c>
      <c r="AW86" s="47"/>
      <c r="AX86" s="7"/>
      <c r="AY86" s="7" t="str">
        <f ca="1">IF(TODAY()-Table43[[#This Row],[Efektif
Pembuatan]]&gt;60,"Lama","Baru")</f>
        <v>Lama</v>
      </c>
      <c r="AZ86" s="7" t="str">
        <f ca="1">IF(TODAY()-Table43[[#This Row],[Efektif Naik Harga]]&lt;30,"Naik","Sama")</f>
        <v>Sama</v>
      </c>
      <c r="BA86" s="7" t="str">
        <f>IF(Table43[[#This Row],[Kode BARANG Win2]]&lt;&gt;"","IDR","")</f>
        <v>IDR</v>
      </c>
      <c r="BB86" s="7" t="str">
        <f>CONCATENATE(Table43[[#This Row],[kode  1 Digit
(Nomor)]],Table43[[#This Row],[kode  4 Digit                (Nomor)]])</f>
        <v>10125</v>
      </c>
      <c r="BC86" s="7" t="str">
        <f>Table43[[#This Row],[Nama            Gramasi atau Jumlah Pack per CTN]]</f>
        <v>125ML</v>
      </c>
      <c r="BD86" s="7"/>
      <c r="BE86" s="7"/>
      <c r="BF86" s="4" t="str">
        <f>IF(Table43[[#This Row],[SATUAN Fix Win]]&lt;&gt;"","KRT")</f>
        <v>KRT</v>
      </c>
      <c r="BG86" s="4" t="str">
        <f>IF(Table43[[#This Row],[SATUAN Fix Win]]&lt;&gt;"","GD01")</f>
        <v>GD01</v>
      </c>
      <c r="BH86" s="4">
        <f>IF(Table43[[#This Row],[SATUAN Fix Win]]&lt;&gt;"",11611)</f>
        <v>11611</v>
      </c>
      <c r="BI86" s="4">
        <f>IF(Table43[[#This Row],[SATUAN Fix Win]]&lt;&gt;"",11612)</f>
        <v>11612</v>
      </c>
      <c r="BJ86" s="48"/>
      <c r="BK86" s="4">
        <f>IF(Table43[[#This Row],[SATUAN Fix Win]]&lt;&gt;"",1)</f>
        <v>1</v>
      </c>
    </row>
    <row r="87" spans="1:63">
      <c r="A87" s="4" t="str">
        <f>CONCATENATE(Table43[[#This Row],[Kode BARANG Win2]],Table43[[#This Row],[No. Urut
Item Sama]])</f>
        <v>K10470040060101</v>
      </c>
      <c r="B87" s="7">
        <v>1</v>
      </c>
      <c r="D87" s="28" t="s">
        <v>801</v>
      </c>
      <c r="E87" s="28"/>
      <c r="F87" s="28" t="s">
        <v>2927</v>
      </c>
      <c r="G87" s="78">
        <v>36</v>
      </c>
      <c r="H87" s="43"/>
      <c r="I87" s="28" t="str">
        <f>Table43[[#This Row],[Nama Jenis Kemasan]]</f>
        <v>BTL</v>
      </c>
      <c r="J87" s="4" t="str">
        <f>TRIM(CONCATENATE(Table43[[#This Row],[Nama            KLP]]," ",Table43[[#This Row],[Nama            Sub KLP]]))</f>
        <v>B&amp;B SPRAY COLOGNE</v>
      </c>
      <c r="K87" s="4" t="str">
        <f>CONCATENATE(Table43[[#This Row],[kode  2 Digit                (hrf+No)]],Table43[[#This Row],[kode  2 Digit                (Nomor)]],Table43[[#This Row],[kode  1 Digit                (Nomor)]])</f>
        <v>K1047</v>
      </c>
      <c r="L87" s="4" t="str">
        <f t="shared" si="3"/>
        <v>K1047004006010</v>
      </c>
      <c r="M87" s="11">
        <f t="shared" si="4"/>
        <v>14</v>
      </c>
      <c r="N87" s="14" t="str">
        <f>IF(AF87&lt;&gt;"",TRIM(UPPER(CONCATENATE(P87," ",R87," ",T87," ",V87," ",X87," ",Z87," ","X"," ",Table43[[#This Row],[ISI/CTN]]," ",AF87," ",AB87," ",AD87," ",AH87))),TRIM(UPPER(CONCATENATE(P87," ",R87," ",T87," ",V87," ",X87," ",Z87," ","X"," ",Table43[[#This Row],[ISI/CTN]]," ",AB87," ",AD87," ",AH87))))</f>
        <v>KNF B&amp;B SPRAY COLOGNE POWEPUFF GIRLS 60ML X 36 BTL</v>
      </c>
      <c r="O87" s="11">
        <f t="shared" si="5"/>
        <v>50</v>
      </c>
      <c r="P87" s="4" t="s">
        <v>97</v>
      </c>
      <c r="Q87" s="7" t="s">
        <v>98</v>
      </c>
      <c r="R87" s="4" t="s">
        <v>2524</v>
      </c>
      <c r="S87" s="44" t="s">
        <v>2474</v>
      </c>
      <c r="T87" s="45" t="s">
        <v>3618</v>
      </c>
      <c r="U87" s="7" t="s">
        <v>3619</v>
      </c>
      <c r="V87" s="45" t="s">
        <v>2961</v>
      </c>
      <c r="W87" s="44" t="s">
        <v>2900</v>
      </c>
      <c r="X87" s="4" t="s">
        <v>3621</v>
      </c>
      <c r="Y87" s="46" t="s">
        <v>2474</v>
      </c>
      <c r="Z87" s="4" t="s">
        <v>1026</v>
      </c>
      <c r="AA87" s="46" t="s">
        <v>2481</v>
      </c>
      <c r="AB87" s="4" t="s">
        <v>357</v>
      </c>
      <c r="AC87" s="7" t="s">
        <v>2656</v>
      </c>
      <c r="AD87" s="4" t="s">
        <v>2961</v>
      </c>
      <c r="AE87" s="7" t="s">
        <v>2900</v>
      </c>
      <c r="AF87" s="7" t="s">
        <v>2961</v>
      </c>
      <c r="AG87" s="7" t="s">
        <v>2961</v>
      </c>
      <c r="AI87" s="7" t="s">
        <v>4100</v>
      </c>
      <c r="AJ87" s="7" t="s">
        <v>2656</v>
      </c>
      <c r="AK87" s="41">
        <f>Table43[[#This Row],[Harga Jual Pcs GT
(-PPN)]]-(Table43[[#This Row],[Harga Jual Pcs GT
(-PPN)]]*10%)</f>
        <v>0</v>
      </c>
      <c r="AL87" s="42">
        <f>Table43[[#This Row],[Harga Beli Pcs
(-PPN)]]*Table43[[#This Row],[ISI/CTN]]</f>
        <v>0</v>
      </c>
      <c r="AM87" s="42">
        <f>Table43[[#This Row],[Harga Beli Pcs
(-PPN)]]*1.11</f>
        <v>0</v>
      </c>
      <c r="AN87" s="42">
        <f>Table43[[#This Row],[Harga Beli Krt
(- PPN)]]*1.11</f>
        <v>0</v>
      </c>
      <c r="AO87" s="42"/>
      <c r="AP87" s="42">
        <f>Table43[[#This Row],[Harga Jual Pcs GT
(-PPN)]]*Table43[[#This Row],[ISI/CTN]]</f>
        <v>0</v>
      </c>
      <c r="AQ87" s="42">
        <f>Table43[[#This Row],[Harga Jual Pcs GT
(-PPN)]]*1.11</f>
        <v>0</v>
      </c>
      <c r="AR87" s="42">
        <f>Table43[[#This Row],[Harga Jual Krt GT
(- PPN)]]*1.11</f>
        <v>0</v>
      </c>
      <c r="AS87" s="42">
        <f>Table43[[#This Row],[Harga Jual Pcs GT
(-PPN)]]</f>
        <v>0</v>
      </c>
      <c r="AT87" s="42">
        <f>(Table43[[#This Row],[Harga Jual Pcs MT
(-PPN)]]*Table43[[#This Row],[ISI/CTN]])</f>
        <v>0</v>
      </c>
      <c r="AU87" s="42">
        <f>Table43[[#This Row],[Harga Jual Pcs MT
(-PPN)]]*1.11</f>
        <v>0</v>
      </c>
      <c r="AV87" s="42">
        <f>Table43[[#This Row],[Harga Jual Pcs MT
(+PPN)]]*Table43[[#This Row],[ISI/CTN]]</f>
        <v>0</v>
      </c>
      <c r="AW87" s="47"/>
      <c r="AX87" s="7"/>
      <c r="AY87" s="7" t="str">
        <f ca="1">IF(TODAY()-Table43[[#This Row],[Efektif
Pembuatan]]&gt;60,"Lama","Baru")</f>
        <v>Lama</v>
      </c>
      <c r="AZ87" s="7" t="str">
        <f ca="1">IF(TODAY()-Table43[[#This Row],[Efektif Naik Harga]]&lt;30,"Naik","Sama")</f>
        <v>Sama</v>
      </c>
      <c r="BA87" s="7" t="str">
        <f>IF(Table43[[#This Row],[Kode BARANG Win2]]&lt;&gt;"","IDR","")</f>
        <v>IDR</v>
      </c>
      <c r="BB87" s="7" t="str">
        <f>CONCATENATE(Table43[[#This Row],[kode  1 Digit
(Nomor)]],Table43[[#This Row],[kode  4 Digit                (Nomor)]])</f>
        <v>10060</v>
      </c>
      <c r="BC87" s="7" t="str">
        <f>Table43[[#This Row],[Nama            Gramasi atau Jumlah Pack per CTN]]</f>
        <v>60ML</v>
      </c>
      <c r="BD87" s="7"/>
      <c r="BE87" s="7"/>
      <c r="BF87" s="4" t="str">
        <f>IF(Table43[[#This Row],[SATUAN Fix Win]]&lt;&gt;"","KRT")</f>
        <v>KRT</v>
      </c>
      <c r="BG87" s="4" t="str">
        <f>IF(Table43[[#This Row],[SATUAN Fix Win]]&lt;&gt;"","GD01")</f>
        <v>GD01</v>
      </c>
      <c r="BH87" s="4">
        <f>IF(Table43[[#This Row],[SATUAN Fix Win]]&lt;&gt;"",11611)</f>
        <v>11611</v>
      </c>
      <c r="BI87" s="4">
        <f>IF(Table43[[#This Row],[SATUAN Fix Win]]&lt;&gt;"",11612)</f>
        <v>11612</v>
      </c>
      <c r="BJ87" s="48"/>
      <c r="BK87" s="4">
        <f>IF(Table43[[#This Row],[SATUAN Fix Win]]&lt;&gt;"",1)</f>
        <v>1</v>
      </c>
    </row>
    <row r="88" spans="1:63">
      <c r="A88" s="4" t="str">
        <f>CONCATENATE(Table43[[#This Row],[Kode BARANG Win2]],Table43[[#This Row],[No. Urut
Item Sama]])</f>
        <v>K10470040125101</v>
      </c>
      <c r="B88" s="7">
        <v>1</v>
      </c>
      <c r="D88" s="28" t="s">
        <v>803</v>
      </c>
      <c r="E88" s="28"/>
      <c r="F88" s="28" t="s">
        <v>2928</v>
      </c>
      <c r="G88" s="78">
        <v>36</v>
      </c>
      <c r="H88" s="43"/>
      <c r="I88" s="28" t="str">
        <f>Table43[[#This Row],[Nama Jenis Kemasan]]</f>
        <v>BTL</v>
      </c>
      <c r="J88" s="4" t="str">
        <f>TRIM(CONCATENATE(Table43[[#This Row],[Nama            KLP]]," ",Table43[[#This Row],[Nama            Sub KLP]]))</f>
        <v>B&amp;B SPRAY COLOGNE</v>
      </c>
      <c r="K88" s="4" t="str">
        <f>CONCATENATE(Table43[[#This Row],[kode  2 Digit                (hrf+No)]],Table43[[#This Row],[kode  2 Digit                (Nomor)]],Table43[[#This Row],[kode  1 Digit                (Nomor)]])</f>
        <v>K1047</v>
      </c>
      <c r="L88" s="4" t="str">
        <f t="shared" si="3"/>
        <v>K1047004012510</v>
      </c>
      <c r="M88" s="11">
        <f t="shared" si="4"/>
        <v>14</v>
      </c>
      <c r="N88" s="14" t="str">
        <f>IF(AF88&lt;&gt;"",TRIM(UPPER(CONCATENATE(P88," ",R88," ",T88," ",V88," ",X88," ",Z88," ","X"," ",Table43[[#This Row],[ISI/CTN]]," ",AF88," ",AB88," ",AD88," ",AH88))),TRIM(UPPER(CONCATENATE(P88," ",R88," ",T88," ",V88," ",X88," ",Z88," ","X"," ",Table43[[#This Row],[ISI/CTN]]," ",AB88," ",AD88," ",AH88))))</f>
        <v>KNF B&amp;B SPRAY COLOGNE POWEPUFF GIRLS 125ML X 36 BTL</v>
      </c>
      <c r="O88" s="11">
        <f t="shared" si="5"/>
        <v>51</v>
      </c>
      <c r="P88" s="4" t="s">
        <v>97</v>
      </c>
      <c r="Q88" s="7" t="s">
        <v>98</v>
      </c>
      <c r="R88" s="4" t="s">
        <v>2524</v>
      </c>
      <c r="S88" s="44" t="s">
        <v>2474</v>
      </c>
      <c r="T88" s="45" t="s">
        <v>3618</v>
      </c>
      <c r="U88" s="7" t="s">
        <v>3619</v>
      </c>
      <c r="V88" s="45" t="s">
        <v>2961</v>
      </c>
      <c r="W88" s="44" t="s">
        <v>2900</v>
      </c>
      <c r="X88" s="4" t="s">
        <v>3621</v>
      </c>
      <c r="Y88" s="46" t="s">
        <v>2474</v>
      </c>
      <c r="Z88" s="4" t="s">
        <v>3620</v>
      </c>
      <c r="AA88" s="46" t="s">
        <v>2489</v>
      </c>
      <c r="AB88" s="4" t="s">
        <v>357</v>
      </c>
      <c r="AC88" s="7" t="s">
        <v>2656</v>
      </c>
      <c r="AD88" s="4" t="s">
        <v>2961</v>
      </c>
      <c r="AE88" s="7" t="s">
        <v>2900</v>
      </c>
      <c r="AF88" s="7" t="s">
        <v>2961</v>
      </c>
      <c r="AG88" s="7" t="s">
        <v>2961</v>
      </c>
      <c r="AI88" s="7" t="s">
        <v>4100</v>
      </c>
      <c r="AJ88" s="7" t="s">
        <v>2656</v>
      </c>
      <c r="AK88" s="41">
        <f>Table43[[#This Row],[Harga Jual Pcs GT
(-PPN)]]-(Table43[[#This Row],[Harga Jual Pcs GT
(-PPN)]]*10%)</f>
        <v>0</v>
      </c>
      <c r="AL88" s="42">
        <f>Table43[[#This Row],[Harga Beli Pcs
(-PPN)]]*Table43[[#This Row],[ISI/CTN]]</f>
        <v>0</v>
      </c>
      <c r="AM88" s="42">
        <f>Table43[[#This Row],[Harga Beli Pcs
(-PPN)]]*1.11</f>
        <v>0</v>
      </c>
      <c r="AN88" s="42">
        <f>Table43[[#This Row],[Harga Beli Krt
(- PPN)]]*1.11</f>
        <v>0</v>
      </c>
      <c r="AO88" s="42"/>
      <c r="AP88" s="42">
        <f>Table43[[#This Row],[Harga Jual Pcs GT
(-PPN)]]*Table43[[#This Row],[ISI/CTN]]</f>
        <v>0</v>
      </c>
      <c r="AQ88" s="42">
        <f>Table43[[#This Row],[Harga Jual Pcs GT
(-PPN)]]*1.11</f>
        <v>0</v>
      </c>
      <c r="AR88" s="42">
        <f>Table43[[#This Row],[Harga Jual Krt GT
(- PPN)]]*1.11</f>
        <v>0</v>
      </c>
      <c r="AS88" s="42">
        <f>Table43[[#This Row],[Harga Jual Pcs GT
(-PPN)]]</f>
        <v>0</v>
      </c>
      <c r="AT88" s="42">
        <f>(Table43[[#This Row],[Harga Jual Pcs MT
(-PPN)]]*Table43[[#This Row],[ISI/CTN]])</f>
        <v>0</v>
      </c>
      <c r="AU88" s="42">
        <f>Table43[[#This Row],[Harga Jual Pcs MT
(-PPN)]]*1.11</f>
        <v>0</v>
      </c>
      <c r="AV88" s="42">
        <f>Table43[[#This Row],[Harga Jual Pcs MT
(+PPN)]]*Table43[[#This Row],[ISI/CTN]]</f>
        <v>0</v>
      </c>
      <c r="AW88" s="47"/>
      <c r="AX88" s="7"/>
      <c r="AY88" s="7" t="str">
        <f ca="1">IF(TODAY()-Table43[[#This Row],[Efektif
Pembuatan]]&gt;60,"Lama","Baru")</f>
        <v>Lama</v>
      </c>
      <c r="AZ88" s="7" t="str">
        <f ca="1">IF(TODAY()-Table43[[#This Row],[Efektif Naik Harga]]&lt;30,"Naik","Sama")</f>
        <v>Sama</v>
      </c>
      <c r="BA88" s="7" t="str">
        <f>IF(Table43[[#This Row],[Kode BARANG Win2]]&lt;&gt;"","IDR","")</f>
        <v>IDR</v>
      </c>
      <c r="BB88" s="7" t="str">
        <f>CONCATENATE(Table43[[#This Row],[kode  1 Digit
(Nomor)]],Table43[[#This Row],[kode  4 Digit                (Nomor)]])</f>
        <v>10125</v>
      </c>
      <c r="BC88" s="7" t="str">
        <f>Table43[[#This Row],[Nama            Gramasi atau Jumlah Pack per CTN]]</f>
        <v>125ML</v>
      </c>
      <c r="BD88" s="7"/>
      <c r="BE88" s="7"/>
      <c r="BF88" s="4" t="str">
        <f>IF(Table43[[#This Row],[SATUAN Fix Win]]&lt;&gt;"","KRT")</f>
        <v>KRT</v>
      </c>
      <c r="BG88" s="4" t="str">
        <f>IF(Table43[[#This Row],[SATUAN Fix Win]]&lt;&gt;"","GD01")</f>
        <v>GD01</v>
      </c>
      <c r="BH88" s="4">
        <f>IF(Table43[[#This Row],[SATUAN Fix Win]]&lt;&gt;"",11611)</f>
        <v>11611</v>
      </c>
      <c r="BI88" s="4">
        <f>IF(Table43[[#This Row],[SATUAN Fix Win]]&lt;&gt;"",11612)</f>
        <v>11612</v>
      </c>
      <c r="BJ88" s="48"/>
      <c r="BK88" s="4">
        <f>IF(Table43[[#This Row],[SATUAN Fix Win]]&lt;&gt;"",1)</f>
        <v>1</v>
      </c>
    </row>
    <row r="89" spans="1:63">
      <c r="A89" s="4" t="str">
        <f>CONCATENATE(Table43[[#This Row],[Kode BARANG Win2]],Table43[[#This Row],[No. Urut
Item Sama]])</f>
        <v>K10470090100101</v>
      </c>
      <c r="B89" s="7">
        <v>1</v>
      </c>
      <c r="D89" s="28" t="s">
        <v>805</v>
      </c>
      <c r="E89" s="28"/>
      <c r="F89" s="28" t="s">
        <v>2929</v>
      </c>
      <c r="G89" s="78">
        <v>36</v>
      </c>
      <c r="H89" s="43"/>
      <c r="I89" s="28" t="str">
        <f>Table43[[#This Row],[Nama Jenis Kemasan]]</f>
        <v>BTL</v>
      </c>
      <c r="J89" s="4" t="str">
        <f>TRIM(CONCATENATE(Table43[[#This Row],[Nama            KLP]]," ",Table43[[#This Row],[Nama            Sub KLP]]))</f>
        <v>B&amp;B SPRAY COLOGNE</v>
      </c>
      <c r="K89" s="4" t="str">
        <f>CONCATENATE(Table43[[#This Row],[kode  2 Digit                (hrf+No)]],Table43[[#This Row],[kode  2 Digit                (Nomor)]],Table43[[#This Row],[kode  1 Digit                (Nomor)]])</f>
        <v>K1047</v>
      </c>
      <c r="L89" s="4" t="str">
        <f t="shared" si="3"/>
        <v>K1047009010010</v>
      </c>
      <c r="M89" s="11">
        <f t="shared" si="4"/>
        <v>14</v>
      </c>
      <c r="N89" s="14" t="str">
        <f>IF(AF89&lt;&gt;"",TRIM(UPPER(CONCATENATE(P89," ",R89," ",T89," ",V89," ",X89," ",Z89," ","X"," ",Table43[[#This Row],[ISI/CTN]]," ",AF89," ",AB89," ",AD89," ",AH89))),TRIM(UPPER(CONCATENATE(P89," ",R89," ",T89," ",V89," ",X89," ",Z89," ","X"," ",Table43[[#This Row],[ISI/CTN]]," ",AB89," ",AD89," ",AH89))))</f>
        <v>KNF B&amp;B SPRAY COLOGNE RIKO 100ML X 36 BTL</v>
      </c>
      <c r="O89" s="11">
        <f t="shared" si="5"/>
        <v>41</v>
      </c>
      <c r="P89" s="4" t="s">
        <v>97</v>
      </c>
      <c r="Q89" s="7" t="s">
        <v>98</v>
      </c>
      <c r="R89" s="4" t="s">
        <v>2524</v>
      </c>
      <c r="S89" s="44" t="s">
        <v>2474</v>
      </c>
      <c r="T89" s="45" t="s">
        <v>3618</v>
      </c>
      <c r="U89" s="7" t="s">
        <v>3619</v>
      </c>
      <c r="V89" s="45" t="s">
        <v>2961</v>
      </c>
      <c r="W89" s="44" t="s">
        <v>2900</v>
      </c>
      <c r="X89" s="4" t="s">
        <v>2525</v>
      </c>
      <c r="Y89" s="46" t="s">
        <v>2479</v>
      </c>
      <c r="Z89" s="4" t="s">
        <v>3588</v>
      </c>
      <c r="AA89" s="46" t="s">
        <v>2487</v>
      </c>
      <c r="AB89" s="4" t="s">
        <v>357</v>
      </c>
      <c r="AC89" s="7" t="s">
        <v>2656</v>
      </c>
      <c r="AD89" s="4" t="s">
        <v>2961</v>
      </c>
      <c r="AE89" s="7" t="s">
        <v>2900</v>
      </c>
      <c r="AF89" s="7" t="s">
        <v>2961</v>
      </c>
      <c r="AG89" s="7" t="s">
        <v>2961</v>
      </c>
      <c r="AI89" s="7" t="s">
        <v>4100</v>
      </c>
      <c r="AJ89" s="7" t="s">
        <v>2656</v>
      </c>
      <c r="AK89" s="41">
        <f>Table43[[#This Row],[Harga Jual Pcs GT
(-PPN)]]-(Table43[[#This Row],[Harga Jual Pcs GT
(-PPN)]]*10%)</f>
        <v>0</v>
      </c>
      <c r="AL89" s="42">
        <f>Table43[[#This Row],[Harga Beli Pcs
(-PPN)]]*Table43[[#This Row],[ISI/CTN]]</f>
        <v>0</v>
      </c>
      <c r="AM89" s="42">
        <f>Table43[[#This Row],[Harga Beli Pcs
(-PPN)]]*1.11</f>
        <v>0</v>
      </c>
      <c r="AN89" s="42">
        <f>Table43[[#This Row],[Harga Beli Krt
(- PPN)]]*1.11</f>
        <v>0</v>
      </c>
      <c r="AO89" s="42"/>
      <c r="AP89" s="42">
        <f>Table43[[#This Row],[Harga Jual Pcs GT
(-PPN)]]*Table43[[#This Row],[ISI/CTN]]</f>
        <v>0</v>
      </c>
      <c r="AQ89" s="42">
        <f>Table43[[#This Row],[Harga Jual Pcs GT
(-PPN)]]*1.11</f>
        <v>0</v>
      </c>
      <c r="AR89" s="42">
        <f>Table43[[#This Row],[Harga Jual Krt GT
(- PPN)]]*1.11</f>
        <v>0</v>
      </c>
      <c r="AS89" s="42">
        <f>Table43[[#This Row],[Harga Jual Pcs GT
(-PPN)]]</f>
        <v>0</v>
      </c>
      <c r="AT89" s="42">
        <f>(Table43[[#This Row],[Harga Jual Pcs MT
(-PPN)]]*Table43[[#This Row],[ISI/CTN]])</f>
        <v>0</v>
      </c>
      <c r="AU89" s="42">
        <f>Table43[[#This Row],[Harga Jual Pcs MT
(-PPN)]]*1.11</f>
        <v>0</v>
      </c>
      <c r="AV89" s="42">
        <f>Table43[[#This Row],[Harga Jual Pcs MT
(+PPN)]]*Table43[[#This Row],[ISI/CTN]]</f>
        <v>0</v>
      </c>
      <c r="AW89" s="47"/>
      <c r="AX89" s="7"/>
      <c r="AY89" s="7" t="str">
        <f ca="1">IF(TODAY()-Table43[[#This Row],[Efektif
Pembuatan]]&gt;60,"Lama","Baru")</f>
        <v>Lama</v>
      </c>
      <c r="AZ89" s="7" t="str">
        <f ca="1">IF(TODAY()-Table43[[#This Row],[Efektif Naik Harga]]&lt;30,"Naik","Sama")</f>
        <v>Sama</v>
      </c>
      <c r="BA89" s="7" t="str">
        <f>IF(Table43[[#This Row],[Kode BARANG Win2]]&lt;&gt;"","IDR","")</f>
        <v>IDR</v>
      </c>
      <c r="BB89" s="7" t="str">
        <f>CONCATENATE(Table43[[#This Row],[kode  1 Digit
(Nomor)]],Table43[[#This Row],[kode  4 Digit                (Nomor)]])</f>
        <v>10100</v>
      </c>
      <c r="BC89" s="7" t="str">
        <f>Table43[[#This Row],[Nama            Gramasi atau Jumlah Pack per CTN]]</f>
        <v>100ML</v>
      </c>
      <c r="BD89" s="7"/>
      <c r="BE89" s="7"/>
      <c r="BF89" s="4" t="str">
        <f>IF(Table43[[#This Row],[SATUAN Fix Win]]&lt;&gt;"","KRT")</f>
        <v>KRT</v>
      </c>
      <c r="BG89" s="4" t="str">
        <f>IF(Table43[[#This Row],[SATUAN Fix Win]]&lt;&gt;"","GD01")</f>
        <v>GD01</v>
      </c>
      <c r="BH89" s="4">
        <f>IF(Table43[[#This Row],[SATUAN Fix Win]]&lt;&gt;"",11611)</f>
        <v>11611</v>
      </c>
      <c r="BI89" s="4">
        <f>IF(Table43[[#This Row],[SATUAN Fix Win]]&lt;&gt;"",11612)</f>
        <v>11612</v>
      </c>
      <c r="BJ89" s="48"/>
      <c r="BK89" s="4">
        <f>IF(Table43[[#This Row],[SATUAN Fix Win]]&lt;&gt;"",1)</f>
        <v>1</v>
      </c>
    </row>
    <row r="90" spans="1:63">
      <c r="A90" s="4" t="str">
        <f>CONCATENATE(Table43[[#This Row],[Kode BARANG Win2]],Table43[[#This Row],[No. Urut
Item Sama]])</f>
        <v>K10470100125101</v>
      </c>
      <c r="B90" s="7">
        <v>1</v>
      </c>
      <c r="D90" s="28" t="s">
        <v>806</v>
      </c>
      <c r="E90" s="28"/>
      <c r="F90" s="28" t="s">
        <v>2930</v>
      </c>
      <c r="G90" s="78">
        <v>36</v>
      </c>
      <c r="H90" s="43"/>
      <c r="I90" s="28" t="str">
        <f>Table43[[#This Row],[Nama Jenis Kemasan]]</f>
        <v>BTL</v>
      </c>
      <c r="J90" s="4" t="str">
        <f>TRIM(CONCATENATE(Table43[[#This Row],[Nama            KLP]]," ",Table43[[#This Row],[Nama            Sub KLP]]))</f>
        <v>B&amp;B SPRAY COLOGNE</v>
      </c>
      <c r="K90" s="4" t="str">
        <f>CONCATENATE(Table43[[#This Row],[kode  2 Digit                (hrf+No)]],Table43[[#This Row],[kode  2 Digit                (Nomor)]],Table43[[#This Row],[kode  1 Digit                (Nomor)]])</f>
        <v>K1047</v>
      </c>
      <c r="L90" s="4" t="str">
        <f t="shared" si="3"/>
        <v>K1047010012510</v>
      </c>
      <c r="M90" s="11">
        <f t="shared" si="4"/>
        <v>14</v>
      </c>
      <c r="N90" s="14" t="str">
        <f>IF(AF90&lt;&gt;"",TRIM(UPPER(CONCATENATE(P90," ",R90," ",T90," ",V90," ",X90," ",Z90," ","X"," ",Table43[[#This Row],[ISI/CTN]]," ",AF90," ",AB90," ",AD90," ",AH90))),TRIM(UPPER(CONCATENATE(P90," ",R90," ",T90," ",V90," ",X90," ",Z90," ","X"," ",Table43[[#This Row],[ISI/CTN]]," ",AB90," ",AD90," ",AH90))))</f>
        <v>KNF B&amp;B SPRAY COLOGNE JUSTICE LEAGUE 125ML X 36 BTL</v>
      </c>
      <c r="O90" s="11">
        <f t="shared" si="5"/>
        <v>51</v>
      </c>
      <c r="P90" s="4" t="s">
        <v>97</v>
      </c>
      <c r="Q90" s="7" t="s">
        <v>98</v>
      </c>
      <c r="R90" s="4" t="s">
        <v>2524</v>
      </c>
      <c r="S90" s="44" t="s">
        <v>2474</v>
      </c>
      <c r="T90" s="45" t="s">
        <v>3618</v>
      </c>
      <c r="U90" s="7" t="s">
        <v>3619</v>
      </c>
      <c r="V90" s="45" t="s">
        <v>2961</v>
      </c>
      <c r="W90" s="44" t="s">
        <v>2900</v>
      </c>
      <c r="X90" s="4" t="s">
        <v>3614</v>
      </c>
      <c r="Y90" s="46" t="s">
        <v>3564</v>
      </c>
      <c r="Z90" s="4" t="s">
        <v>3620</v>
      </c>
      <c r="AA90" s="46" t="s">
        <v>2489</v>
      </c>
      <c r="AB90" s="4" t="s">
        <v>357</v>
      </c>
      <c r="AC90" s="7" t="s">
        <v>2656</v>
      </c>
      <c r="AD90" s="4" t="s">
        <v>2961</v>
      </c>
      <c r="AE90" s="7" t="s">
        <v>2900</v>
      </c>
      <c r="AF90" s="7" t="s">
        <v>2961</v>
      </c>
      <c r="AG90" s="7" t="s">
        <v>2961</v>
      </c>
      <c r="AI90" s="7" t="s">
        <v>4100</v>
      </c>
      <c r="AJ90" s="7" t="s">
        <v>2656</v>
      </c>
      <c r="AK90" s="41">
        <f>Table43[[#This Row],[Harga Jual Pcs GT
(-PPN)]]-(Table43[[#This Row],[Harga Jual Pcs GT
(-PPN)]]*10%)</f>
        <v>0</v>
      </c>
      <c r="AL90" s="42">
        <f>Table43[[#This Row],[Harga Beli Pcs
(-PPN)]]*Table43[[#This Row],[ISI/CTN]]</f>
        <v>0</v>
      </c>
      <c r="AM90" s="42">
        <f>Table43[[#This Row],[Harga Beli Pcs
(-PPN)]]*1.11</f>
        <v>0</v>
      </c>
      <c r="AN90" s="42">
        <f>Table43[[#This Row],[Harga Beli Krt
(- PPN)]]*1.11</f>
        <v>0</v>
      </c>
      <c r="AO90" s="42"/>
      <c r="AP90" s="42">
        <f>Table43[[#This Row],[Harga Jual Pcs GT
(-PPN)]]*Table43[[#This Row],[ISI/CTN]]</f>
        <v>0</v>
      </c>
      <c r="AQ90" s="42">
        <f>Table43[[#This Row],[Harga Jual Pcs GT
(-PPN)]]*1.11</f>
        <v>0</v>
      </c>
      <c r="AR90" s="42">
        <f>Table43[[#This Row],[Harga Jual Krt GT
(- PPN)]]*1.11</f>
        <v>0</v>
      </c>
      <c r="AS90" s="42">
        <f>Table43[[#This Row],[Harga Jual Pcs GT
(-PPN)]]</f>
        <v>0</v>
      </c>
      <c r="AT90" s="42">
        <f>(Table43[[#This Row],[Harga Jual Pcs MT
(-PPN)]]*Table43[[#This Row],[ISI/CTN]])</f>
        <v>0</v>
      </c>
      <c r="AU90" s="42">
        <f>Table43[[#This Row],[Harga Jual Pcs MT
(-PPN)]]*1.11</f>
        <v>0</v>
      </c>
      <c r="AV90" s="42">
        <f>Table43[[#This Row],[Harga Jual Pcs MT
(+PPN)]]*Table43[[#This Row],[ISI/CTN]]</f>
        <v>0</v>
      </c>
      <c r="AW90" s="47"/>
      <c r="AX90" s="7"/>
      <c r="AY90" s="7" t="str">
        <f ca="1">IF(TODAY()-Table43[[#This Row],[Efektif
Pembuatan]]&gt;60,"Lama","Baru")</f>
        <v>Lama</v>
      </c>
      <c r="AZ90" s="7" t="str">
        <f ca="1">IF(TODAY()-Table43[[#This Row],[Efektif Naik Harga]]&lt;30,"Naik","Sama")</f>
        <v>Sama</v>
      </c>
      <c r="BA90" s="7" t="str">
        <f>IF(Table43[[#This Row],[Kode BARANG Win2]]&lt;&gt;"","IDR","")</f>
        <v>IDR</v>
      </c>
      <c r="BB90" s="7" t="str">
        <f>CONCATENATE(Table43[[#This Row],[kode  1 Digit
(Nomor)]],Table43[[#This Row],[kode  4 Digit                (Nomor)]])</f>
        <v>10125</v>
      </c>
      <c r="BC90" s="7" t="str">
        <f>Table43[[#This Row],[Nama            Gramasi atau Jumlah Pack per CTN]]</f>
        <v>125ML</v>
      </c>
      <c r="BD90" s="7"/>
      <c r="BE90" s="7"/>
      <c r="BF90" s="4" t="str">
        <f>IF(Table43[[#This Row],[SATUAN Fix Win]]&lt;&gt;"","KRT")</f>
        <v>KRT</v>
      </c>
      <c r="BG90" s="4" t="str">
        <f>IF(Table43[[#This Row],[SATUAN Fix Win]]&lt;&gt;"","GD01")</f>
        <v>GD01</v>
      </c>
      <c r="BH90" s="4">
        <f>IF(Table43[[#This Row],[SATUAN Fix Win]]&lt;&gt;"",11611)</f>
        <v>11611</v>
      </c>
      <c r="BI90" s="4">
        <f>IF(Table43[[#This Row],[SATUAN Fix Win]]&lt;&gt;"",11612)</f>
        <v>11612</v>
      </c>
      <c r="BJ90" s="48"/>
      <c r="BK90" s="4">
        <f>IF(Table43[[#This Row],[SATUAN Fix Win]]&lt;&gt;"",1)</f>
        <v>1</v>
      </c>
    </row>
    <row r="91" spans="1:63">
      <c r="A91" s="4" t="str">
        <f>CONCATENATE(Table43[[#This Row],[Kode BARANG Win2]],Table43[[#This Row],[No. Urut
Item Sama]])</f>
        <v>K10470110125101</v>
      </c>
      <c r="B91" s="7">
        <v>1</v>
      </c>
      <c r="D91" s="28" t="s">
        <v>807</v>
      </c>
      <c r="E91" s="28"/>
      <c r="F91" s="28" t="s">
        <v>2931</v>
      </c>
      <c r="G91" s="78">
        <v>36</v>
      </c>
      <c r="H91" s="43"/>
      <c r="I91" s="28" t="str">
        <f>Table43[[#This Row],[Nama Jenis Kemasan]]</f>
        <v>BTL</v>
      </c>
      <c r="J91" s="4" t="str">
        <f>TRIM(CONCATENATE(Table43[[#This Row],[Nama            KLP]]," ",Table43[[#This Row],[Nama            Sub KLP]]))</f>
        <v>B&amp;B SPRAY COLOGNE</v>
      </c>
      <c r="K91" s="4" t="str">
        <f>CONCATENATE(Table43[[#This Row],[kode  2 Digit                (hrf+No)]],Table43[[#This Row],[kode  2 Digit                (Nomor)]],Table43[[#This Row],[kode  1 Digit                (Nomor)]])</f>
        <v>K1047</v>
      </c>
      <c r="L91" s="4" t="str">
        <f t="shared" si="3"/>
        <v>K1047011012510</v>
      </c>
      <c r="M91" s="11">
        <f t="shared" si="4"/>
        <v>14</v>
      </c>
      <c r="N91" s="14" t="str">
        <f>IF(AF91&lt;&gt;"",TRIM(UPPER(CONCATENATE(P91," ",R91," ",T91," ",V91," ",X91," ",Z91," ","X"," ",Table43[[#This Row],[ISI/CTN]]," ",AF91," ",AB91," ",AD91," ",AH91))),TRIM(UPPER(CONCATENATE(P91," ",R91," ",T91," ",V91," ",X91," ",Z91," ","X"," ",Table43[[#This Row],[ISI/CTN]]," ",AB91," ",AD91," ",AH91))))</f>
        <v>KNF B&amp;B SPRAY COLOGNE SWEET PINKIE 125ML X 36 BTL</v>
      </c>
      <c r="O91" s="11">
        <f t="shared" si="5"/>
        <v>49</v>
      </c>
      <c r="P91" s="4" t="s">
        <v>97</v>
      </c>
      <c r="Q91" s="7" t="s">
        <v>98</v>
      </c>
      <c r="R91" s="4" t="s">
        <v>2524</v>
      </c>
      <c r="S91" s="44" t="s">
        <v>2474</v>
      </c>
      <c r="T91" s="45" t="s">
        <v>3618</v>
      </c>
      <c r="U91" s="7" t="s">
        <v>3619</v>
      </c>
      <c r="V91" s="45" t="s">
        <v>2961</v>
      </c>
      <c r="W91" s="44" t="s">
        <v>2900</v>
      </c>
      <c r="X91" s="4" t="s">
        <v>3622</v>
      </c>
      <c r="Y91" s="46" t="s">
        <v>3550</v>
      </c>
      <c r="Z91" s="4" t="s">
        <v>3620</v>
      </c>
      <c r="AA91" s="46" t="s">
        <v>2489</v>
      </c>
      <c r="AB91" s="4" t="s">
        <v>357</v>
      </c>
      <c r="AC91" s="7" t="s">
        <v>2656</v>
      </c>
      <c r="AD91" s="4" t="s">
        <v>2961</v>
      </c>
      <c r="AE91" s="7" t="s">
        <v>2900</v>
      </c>
      <c r="AF91" s="7" t="s">
        <v>2961</v>
      </c>
      <c r="AG91" s="7" t="s">
        <v>2961</v>
      </c>
      <c r="AI91" s="7" t="s">
        <v>4100</v>
      </c>
      <c r="AJ91" s="7" t="s">
        <v>2656</v>
      </c>
      <c r="AK91" s="41">
        <f>Table43[[#This Row],[Harga Jual Pcs GT
(-PPN)]]-(Table43[[#This Row],[Harga Jual Pcs GT
(-PPN)]]*10%)</f>
        <v>0</v>
      </c>
      <c r="AL91" s="42">
        <f>Table43[[#This Row],[Harga Beli Pcs
(-PPN)]]*Table43[[#This Row],[ISI/CTN]]</f>
        <v>0</v>
      </c>
      <c r="AM91" s="42">
        <f>Table43[[#This Row],[Harga Beli Pcs
(-PPN)]]*1.11</f>
        <v>0</v>
      </c>
      <c r="AN91" s="42">
        <f>Table43[[#This Row],[Harga Beli Krt
(- PPN)]]*1.11</f>
        <v>0</v>
      </c>
      <c r="AO91" s="42"/>
      <c r="AP91" s="42">
        <f>Table43[[#This Row],[Harga Jual Pcs GT
(-PPN)]]*Table43[[#This Row],[ISI/CTN]]</f>
        <v>0</v>
      </c>
      <c r="AQ91" s="42">
        <f>Table43[[#This Row],[Harga Jual Pcs GT
(-PPN)]]*1.11</f>
        <v>0</v>
      </c>
      <c r="AR91" s="42">
        <f>Table43[[#This Row],[Harga Jual Krt GT
(- PPN)]]*1.11</f>
        <v>0</v>
      </c>
      <c r="AS91" s="42">
        <f>Table43[[#This Row],[Harga Jual Pcs GT
(-PPN)]]</f>
        <v>0</v>
      </c>
      <c r="AT91" s="42">
        <f>(Table43[[#This Row],[Harga Jual Pcs MT
(-PPN)]]*Table43[[#This Row],[ISI/CTN]])</f>
        <v>0</v>
      </c>
      <c r="AU91" s="42">
        <f>Table43[[#This Row],[Harga Jual Pcs MT
(-PPN)]]*1.11</f>
        <v>0</v>
      </c>
      <c r="AV91" s="42">
        <f>Table43[[#This Row],[Harga Jual Pcs MT
(+PPN)]]*Table43[[#This Row],[ISI/CTN]]</f>
        <v>0</v>
      </c>
      <c r="AW91" s="47"/>
      <c r="AX91" s="7"/>
      <c r="AY91" s="7" t="str">
        <f ca="1">IF(TODAY()-Table43[[#This Row],[Efektif
Pembuatan]]&gt;60,"Lama","Baru")</f>
        <v>Lama</v>
      </c>
      <c r="AZ91" s="7" t="str">
        <f ca="1">IF(TODAY()-Table43[[#This Row],[Efektif Naik Harga]]&lt;30,"Naik","Sama")</f>
        <v>Sama</v>
      </c>
      <c r="BA91" s="7" t="str">
        <f>IF(Table43[[#This Row],[Kode BARANG Win2]]&lt;&gt;"","IDR","")</f>
        <v>IDR</v>
      </c>
      <c r="BB91" s="7" t="str">
        <f>CONCATENATE(Table43[[#This Row],[kode  1 Digit
(Nomor)]],Table43[[#This Row],[kode  4 Digit                (Nomor)]])</f>
        <v>10125</v>
      </c>
      <c r="BC91" s="7" t="str">
        <f>Table43[[#This Row],[Nama            Gramasi atau Jumlah Pack per CTN]]</f>
        <v>125ML</v>
      </c>
      <c r="BD91" s="7"/>
      <c r="BE91" s="7"/>
      <c r="BF91" s="4" t="str">
        <f>IF(Table43[[#This Row],[SATUAN Fix Win]]&lt;&gt;"","KRT")</f>
        <v>KRT</v>
      </c>
      <c r="BG91" s="4" t="str">
        <f>IF(Table43[[#This Row],[SATUAN Fix Win]]&lt;&gt;"","GD01")</f>
        <v>GD01</v>
      </c>
      <c r="BH91" s="4">
        <f>IF(Table43[[#This Row],[SATUAN Fix Win]]&lt;&gt;"",11611)</f>
        <v>11611</v>
      </c>
      <c r="BI91" s="4">
        <f>IF(Table43[[#This Row],[SATUAN Fix Win]]&lt;&gt;"",11612)</f>
        <v>11612</v>
      </c>
      <c r="BJ91" s="48"/>
      <c r="BK91" s="4">
        <f>IF(Table43[[#This Row],[SATUAN Fix Win]]&lt;&gt;"",1)</f>
        <v>1</v>
      </c>
    </row>
    <row r="92" spans="1:63">
      <c r="A92" s="4" t="str">
        <f>CONCATENATE(Table43[[#This Row],[Kode BARANG Win2]],Table43[[#This Row],[No. Urut
Item Sama]])</f>
        <v>K10470120125101</v>
      </c>
      <c r="B92" s="7">
        <v>1</v>
      </c>
      <c r="D92" s="28" t="s">
        <v>808</v>
      </c>
      <c r="E92" s="28"/>
      <c r="F92" s="28" t="s">
        <v>2932</v>
      </c>
      <c r="G92" s="78">
        <v>36</v>
      </c>
      <c r="H92" s="43"/>
      <c r="I92" s="28" t="str">
        <f>Table43[[#This Row],[Nama Jenis Kemasan]]</f>
        <v>BTL</v>
      </c>
      <c r="J92" s="4" t="str">
        <f>TRIM(CONCATENATE(Table43[[#This Row],[Nama            KLP]]," ",Table43[[#This Row],[Nama            Sub KLP]]))</f>
        <v>B&amp;B SPRAY COLOGNE</v>
      </c>
      <c r="K92" s="4" t="str">
        <f>CONCATENATE(Table43[[#This Row],[kode  2 Digit                (hrf+No)]],Table43[[#This Row],[kode  2 Digit                (Nomor)]],Table43[[#This Row],[kode  1 Digit                (Nomor)]])</f>
        <v>K1047</v>
      </c>
      <c r="L92" s="4" t="str">
        <f t="shared" si="3"/>
        <v>K1047012012510</v>
      </c>
      <c r="M92" s="11">
        <f t="shared" si="4"/>
        <v>14</v>
      </c>
      <c r="N92" s="14" t="str">
        <f>IF(AF92&lt;&gt;"",TRIM(UPPER(CONCATENATE(P92," ",R92," ",T92," ",V92," ",X92," ",Z92," ","X"," ",Table43[[#This Row],[ISI/CTN]]," ",AF92," ",AB92," ",AD92," ",AH92))),TRIM(UPPER(CONCATENATE(P92," ",R92," ",T92," ",V92," ",X92," ",Z92," ","X"," ",Table43[[#This Row],[ISI/CTN]]," ",AB92," ",AD92," ",AH92))))</f>
        <v>KNF B&amp;B SPRAY COLOGNE FRESH RAINBOW 125ML X 36 BTL</v>
      </c>
      <c r="O92" s="11">
        <f t="shared" si="5"/>
        <v>50</v>
      </c>
      <c r="P92" s="4" t="s">
        <v>97</v>
      </c>
      <c r="Q92" s="7" t="s">
        <v>98</v>
      </c>
      <c r="R92" s="4" t="s">
        <v>2524</v>
      </c>
      <c r="S92" s="44" t="s">
        <v>2474</v>
      </c>
      <c r="T92" s="45" t="s">
        <v>3618</v>
      </c>
      <c r="U92" s="7" t="s">
        <v>3619</v>
      </c>
      <c r="V92" s="45" t="s">
        <v>2961</v>
      </c>
      <c r="W92" s="44" t="s">
        <v>2900</v>
      </c>
      <c r="X92" s="4" t="s">
        <v>3623</v>
      </c>
      <c r="Y92" s="46" t="s">
        <v>3565</v>
      </c>
      <c r="Z92" s="4" t="s">
        <v>3620</v>
      </c>
      <c r="AA92" s="46" t="s">
        <v>2489</v>
      </c>
      <c r="AB92" s="4" t="s">
        <v>357</v>
      </c>
      <c r="AC92" s="7" t="s">
        <v>2656</v>
      </c>
      <c r="AD92" s="4" t="s">
        <v>2961</v>
      </c>
      <c r="AE92" s="7" t="s">
        <v>2900</v>
      </c>
      <c r="AF92" s="7" t="s">
        <v>2961</v>
      </c>
      <c r="AG92" s="7" t="s">
        <v>2961</v>
      </c>
      <c r="AI92" s="7" t="s">
        <v>4100</v>
      </c>
      <c r="AJ92" s="7" t="s">
        <v>2656</v>
      </c>
      <c r="AK92" s="41">
        <f>Table43[[#This Row],[Harga Jual Pcs GT
(-PPN)]]-(Table43[[#This Row],[Harga Jual Pcs GT
(-PPN)]]*10%)</f>
        <v>0</v>
      </c>
      <c r="AL92" s="42">
        <f>Table43[[#This Row],[Harga Beli Pcs
(-PPN)]]*Table43[[#This Row],[ISI/CTN]]</f>
        <v>0</v>
      </c>
      <c r="AM92" s="42">
        <f>Table43[[#This Row],[Harga Beli Pcs
(-PPN)]]*1.11</f>
        <v>0</v>
      </c>
      <c r="AN92" s="42">
        <f>Table43[[#This Row],[Harga Beli Krt
(- PPN)]]*1.11</f>
        <v>0</v>
      </c>
      <c r="AO92" s="42"/>
      <c r="AP92" s="42">
        <f>Table43[[#This Row],[Harga Jual Pcs GT
(-PPN)]]*Table43[[#This Row],[ISI/CTN]]</f>
        <v>0</v>
      </c>
      <c r="AQ92" s="42">
        <f>Table43[[#This Row],[Harga Jual Pcs GT
(-PPN)]]*1.11</f>
        <v>0</v>
      </c>
      <c r="AR92" s="42">
        <f>Table43[[#This Row],[Harga Jual Krt GT
(- PPN)]]*1.11</f>
        <v>0</v>
      </c>
      <c r="AS92" s="42">
        <f>Table43[[#This Row],[Harga Jual Pcs GT
(-PPN)]]</f>
        <v>0</v>
      </c>
      <c r="AT92" s="42">
        <f>(Table43[[#This Row],[Harga Jual Pcs MT
(-PPN)]]*Table43[[#This Row],[ISI/CTN]])</f>
        <v>0</v>
      </c>
      <c r="AU92" s="42">
        <f>Table43[[#This Row],[Harga Jual Pcs MT
(-PPN)]]*1.11</f>
        <v>0</v>
      </c>
      <c r="AV92" s="42">
        <f>Table43[[#This Row],[Harga Jual Pcs MT
(+PPN)]]*Table43[[#This Row],[ISI/CTN]]</f>
        <v>0</v>
      </c>
      <c r="AW92" s="47"/>
      <c r="AX92" s="7"/>
      <c r="AY92" s="7" t="str">
        <f ca="1">IF(TODAY()-Table43[[#This Row],[Efektif
Pembuatan]]&gt;60,"Lama","Baru")</f>
        <v>Lama</v>
      </c>
      <c r="AZ92" s="7" t="str">
        <f ca="1">IF(TODAY()-Table43[[#This Row],[Efektif Naik Harga]]&lt;30,"Naik","Sama")</f>
        <v>Sama</v>
      </c>
      <c r="BA92" s="7" t="str">
        <f>IF(Table43[[#This Row],[Kode BARANG Win2]]&lt;&gt;"","IDR","")</f>
        <v>IDR</v>
      </c>
      <c r="BB92" s="7" t="str">
        <f>CONCATENATE(Table43[[#This Row],[kode  1 Digit
(Nomor)]],Table43[[#This Row],[kode  4 Digit                (Nomor)]])</f>
        <v>10125</v>
      </c>
      <c r="BC92" s="7" t="str">
        <f>Table43[[#This Row],[Nama            Gramasi atau Jumlah Pack per CTN]]</f>
        <v>125ML</v>
      </c>
      <c r="BD92" s="7"/>
      <c r="BE92" s="7"/>
      <c r="BF92" s="4" t="str">
        <f>IF(Table43[[#This Row],[SATUAN Fix Win]]&lt;&gt;"","KRT")</f>
        <v>KRT</v>
      </c>
      <c r="BG92" s="4" t="str">
        <f>IF(Table43[[#This Row],[SATUAN Fix Win]]&lt;&gt;"","GD01")</f>
        <v>GD01</v>
      </c>
      <c r="BH92" s="4">
        <f>IF(Table43[[#This Row],[SATUAN Fix Win]]&lt;&gt;"",11611)</f>
        <v>11611</v>
      </c>
      <c r="BI92" s="4">
        <f>IF(Table43[[#This Row],[SATUAN Fix Win]]&lt;&gt;"",11612)</f>
        <v>11612</v>
      </c>
      <c r="BJ92" s="48"/>
      <c r="BK92" s="4">
        <f>IF(Table43[[#This Row],[SATUAN Fix Win]]&lt;&gt;"",1)</f>
        <v>1</v>
      </c>
    </row>
    <row r="93" spans="1:63">
      <c r="A93" s="4" t="str">
        <f>CONCATENATE(Table43[[#This Row],[Kode BARANG Win2]],Table43[[#This Row],[No. Urut
Item Sama]])</f>
        <v>K10470130125101</v>
      </c>
      <c r="B93" s="7">
        <v>1</v>
      </c>
      <c r="D93" s="28" t="s">
        <v>809</v>
      </c>
      <c r="E93" s="28"/>
      <c r="F93" s="28" t="s">
        <v>2933</v>
      </c>
      <c r="G93" s="78">
        <v>36</v>
      </c>
      <c r="H93" s="43"/>
      <c r="I93" s="28" t="str">
        <f>Table43[[#This Row],[Nama Jenis Kemasan]]</f>
        <v>BTL</v>
      </c>
      <c r="J93" s="4" t="str">
        <f>TRIM(CONCATENATE(Table43[[#This Row],[Nama            KLP]]," ",Table43[[#This Row],[Nama            Sub KLP]]))</f>
        <v>B&amp;B SPRAY COLOGNE</v>
      </c>
      <c r="K93" s="4" t="str">
        <f>CONCATENATE(Table43[[#This Row],[kode  2 Digit                (hrf+No)]],Table43[[#This Row],[kode  2 Digit                (Nomor)]],Table43[[#This Row],[kode  1 Digit                (Nomor)]])</f>
        <v>K1047</v>
      </c>
      <c r="L93" s="4" t="str">
        <f t="shared" si="3"/>
        <v>K1047013012510</v>
      </c>
      <c r="M93" s="11">
        <f t="shared" si="4"/>
        <v>14</v>
      </c>
      <c r="N93" s="14" t="str">
        <f>IF(AF93&lt;&gt;"",TRIM(UPPER(CONCATENATE(P93," ",R93," ",T93," ",V93," ",X93," ",Z93," ","X"," ",Table43[[#This Row],[ISI/CTN]]," ",AF93," ",AB93," ",AD93," ",AH93))),TRIM(UPPER(CONCATENATE(P93," ",R93," ",T93," ",V93," ",X93," ",Z93," ","X"," ",Table43[[#This Row],[ISI/CTN]]," ",AB93," ",AD93," ",AH93))))</f>
        <v>KNF B&amp;B SPRAY COLOGNE BARBIE FASHION 125ML X 36 BTL</v>
      </c>
      <c r="O93" s="11">
        <f t="shared" si="5"/>
        <v>51</v>
      </c>
      <c r="P93" s="4" t="s">
        <v>97</v>
      </c>
      <c r="Q93" s="7" t="s">
        <v>98</v>
      </c>
      <c r="R93" s="4" t="s">
        <v>2524</v>
      </c>
      <c r="S93" s="44" t="s">
        <v>2474</v>
      </c>
      <c r="T93" s="45" t="s">
        <v>3618</v>
      </c>
      <c r="U93" s="7" t="s">
        <v>3619</v>
      </c>
      <c r="V93" s="45" t="s">
        <v>2961</v>
      </c>
      <c r="W93" s="44" t="s">
        <v>2900</v>
      </c>
      <c r="X93" s="4" t="s">
        <v>3624</v>
      </c>
      <c r="Y93" s="46" t="s">
        <v>3566</v>
      </c>
      <c r="Z93" s="4" t="s">
        <v>3620</v>
      </c>
      <c r="AA93" s="46" t="s">
        <v>2489</v>
      </c>
      <c r="AB93" s="4" t="s">
        <v>357</v>
      </c>
      <c r="AC93" s="7" t="s">
        <v>2656</v>
      </c>
      <c r="AD93" s="4" t="s">
        <v>2961</v>
      </c>
      <c r="AE93" s="7" t="s">
        <v>2900</v>
      </c>
      <c r="AF93" s="7" t="s">
        <v>2961</v>
      </c>
      <c r="AG93" s="7" t="s">
        <v>2961</v>
      </c>
      <c r="AI93" s="7" t="s">
        <v>4100</v>
      </c>
      <c r="AJ93" s="7" t="s">
        <v>2656</v>
      </c>
      <c r="AK93" s="41">
        <f>Table43[[#This Row],[Harga Jual Pcs GT
(-PPN)]]-(Table43[[#This Row],[Harga Jual Pcs GT
(-PPN)]]*10%)</f>
        <v>0</v>
      </c>
      <c r="AL93" s="42">
        <f>Table43[[#This Row],[Harga Beli Pcs
(-PPN)]]*Table43[[#This Row],[ISI/CTN]]</f>
        <v>0</v>
      </c>
      <c r="AM93" s="42">
        <f>Table43[[#This Row],[Harga Beli Pcs
(-PPN)]]*1.11</f>
        <v>0</v>
      </c>
      <c r="AN93" s="42">
        <f>Table43[[#This Row],[Harga Beli Krt
(- PPN)]]*1.11</f>
        <v>0</v>
      </c>
      <c r="AO93" s="42"/>
      <c r="AP93" s="42">
        <f>Table43[[#This Row],[Harga Jual Pcs GT
(-PPN)]]*Table43[[#This Row],[ISI/CTN]]</f>
        <v>0</v>
      </c>
      <c r="AQ93" s="42">
        <f>Table43[[#This Row],[Harga Jual Pcs GT
(-PPN)]]*1.11</f>
        <v>0</v>
      </c>
      <c r="AR93" s="42">
        <f>Table43[[#This Row],[Harga Jual Krt GT
(- PPN)]]*1.11</f>
        <v>0</v>
      </c>
      <c r="AS93" s="42">
        <f>Table43[[#This Row],[Harga Jual Pcs GT
(-PPN)]]</f>
        <v>0</v>
      </c>
      <c r="AT93" s="42">
        <f>(Table43[[#This Row],[Harga Jual Pcs MT
(-PPN)]]*Table43[[#This Row],[ISI/CTN]])</f>
        <v>0</v>
      </c>
      <c r="AU93" s="42">
        <f>Table43[[#This Row],[Harga Jual Pcs MT
(-PPN)]]*1.11</f>
        <v>0</v>
      </c>
      <c r="AV93" s="42">
        <f>Table43[[#This Row],[Harga Jual Pcs MT
(+PPN)]]*Table43[[#This Row],[ISI/CTN]]</f>
        <v>0</v>
      </c>
      <c r="AW93" s="47"/>
      <c r="AX93" s="7"/>
      <c r="AY93" s="7" t="str">
        <f ca="1">IF(TODAY()-Table43[[#This Row],[Efektif
Pembuatan]]&gt;60,"Lama","Baru")</f>
        <v>Lama</v>
      </c>
      <c r="AZ93" s="7" t="str">
        <f ca="1">IF(TODAY()-Table43[[#This Row],[Efektif Naik Harga]]&lt;30,"Naik","Sama")</f>
        <v>Sama</v>
      </c>
      <c r="BA93" s="7" t="str">
        <f>IF(Table43[[#This Row],[Kode BARANG Win2]]&lt;&gt;"","IDR","")</f>
        <v>IDR</v>
      </c>
      <c r="BB93" s="7" t="str">
        <f>CONCATENATE(Table43[[#This Row],[kode  1 Digit
(Nomor)]],Table43[[#This Row],[kode  4 Digit                (Nomor)]])</f>
        <v>10125</v>
      </c>
      <c r="BC93" s="7" t="str">
        <f>Table43[[#This Row],[Nama            Gramasi atau Jumlah Pack per CTN]]</f>
        <v>125ML</v>
      </c>
      <c r="BD93" s="7"/>
      <c r="BE93" s="7"/>
      <c r="BF93" s="4" t="str">
        <f>IF(Table43[[#This Row],[SATUAN Fix Win]]&lt;&gt;"","KRT")</f>
        <v>KRT</v>
      </c>
      <c r="BG93" s="4" t="str">
        <f>IF(Table43[[#This Row],[SATUAN Fix Win]]&lt;&gt;"","GD01")</f>
        <v>GD01</v>
      </c>
      <c r="BH93" s="4">
        <f>IF(Table43[[#This Row],[SATUAN Fix Win]]&lt;&gt;"",11611)</f>
        <v>11611</v>
      </c>
      <c r="BI93" s="4">
        <f>IF(Table43[[#This Row],[SATUAN Fix Win]]&lt;&gt;"",11612)</f>
        <v>11612</v>
      </c>
      <c r="BJ93" s="48"/>
      <c r="BK93" s="4">
        <f>IF(Table43[[#This Row],[SATUAN Fix Win]]&lt;&gt;"",1)</f>
        <v>1</v>
      </c>
    </row>
    <row r="94" spans="1:63">
      <c r="A94" s="4" t="str">
        <f>CONCATENATE(Table43[[#This Row],[Kode BARANG Win2]],Table43[[#This Row],[No. Urut
Item Sama]])</f>
        <v>K10470140125101</v>
      </c>
      <c r="B94" s="7">
        <v>1</v>
      </c>
      <c r="D94" s="28" t="s">
        <v>810</v>
      </c>
      <c r="E94" s="28"/>
      <c r="F94" s="28" t="s">
        <v>2934</v>
      </c>
      <c r="G94" s="78">
        <v>36</v>
      </c>
      <c r="H94" s="43"/>
      <c r="I94" s="28" t="str">
        <f>Table43[[#This Row],[Nama Jenis Kemasan]]</f>
        <v>BTL</v>
      </c>
      <c r="J94" s="4" t="str">
        <f>TRIM(CONCATENATE(Table43[[#This Row],[Nama            KLP]]," ",Table43[[#This Row],[Nama            Sub KLP]]))</f>
        <v>B&amp;B SPRAY COLOGNE</v>
      </c>
      <c r="K94" s="4" t="str">
        <f>CONCATENATE(Table43[[#This Row],[kode  2 Digit                (hrf+No)]],Table43[[#This Row],[kode  2 Digit                (Nomor)]],Table43[[#This Row],[kode  1 Digit                (Nomor)]])</f>
        <v>K1047</v>
      </c>
      <c r="L94" s="4" t="str">
        <f t="shared" si="3"/>
        <v>K1047014012510</v>
      </c>
      <c r="M94" s="11">
        <f t="shared" si="4"/>
        <v>14</v>
      </c>
      <c r="N94" s="14" t="str">
        <f>IF(AF94&lt;&gt;"",TRIM(UPPER(CONCATENATE(P94," ",R94," ",T94," ",V94," ",X94," ",Z94," ","X"," ",Table43[[#This Row],[ISI/CTN]]," ",AF94," ",AB94," ",AD94," ",AH94))),TRIM(UPPER(CONCATENATE(P94," ",R94," ",T94," ",V94," ",X94," ",Z94," ","X"," ",Table43[[#This Row],[ISI/CTN]]," ",AB94," ",AD94," ",AH94))))</f>
        <v>KNF B&amp;B SPRAY COLOGNE TAZMANIAN 125ML X 36 BTL</v>
      </c>
      <c r="O94" s="11">
        <f t="shared" si="5"/>
        <v>46</v>
      </c>
      <c r="P94" s="4" t="s">
        <v>97</v>
      </c>
      <c r="Q94" s="7" t="s">
        <v>98</v>
      </c>
      <c r="R94" s="4" t="s">
        <v>2524</v>
      </c>
      <c r="S94" s="44" t="s">
        <v>2474</v>
      </c>
      <c r="T94" s="45" t="s">
        <v>3618</v>
      </c>
      <c r="U94" s="7" t="s">
        <v>3619</v>
      </c>
      <c r="V94" s="45" t="s">
        <v>2961</v>
      </c>
      <c r="W94" s="44" t="s">
        <v>2900</v>
      </c>
      <c r="X94" s="4" t="s">
        <v>3625</v>
      </c>
      <c r="Y94" s="46" t="s">
        <v>3567</v>
      </c>
      <c r="Z94" s="4" t="s">
        <v>3620</v>
      </c>
      <c r="AA94" s="46" t="s">
        <v>2489</v>
      </c>
      <c r="AB94" s="4" t="s">
        <v>357</v>
      </c>
      <c r="AC94" s="7" t="s">
        <v>2656</v>
      </c>
      <c r="AD94" s="4" t="s">
        <v>2961</v>
      </c>
      <c r="AE94" s="7" t="s">
        <v>2900</v>
      </c>
      <c r="AF94" s="7" t="s">
        <v>2961</v>
      </c>
      <c r="AG94" s="7" t="s">
        <v>2961</v>
      </c>
      <c r="AI94" s="7" t="s">
        <v>4100</v>
      </c>
      <c r="AJ94" s="7" t="s">
        <v>2656</v>
      </c>
      <c r="AK94" s="41">
        <f>Table43[[#This Row],[Harga Jual Pcs GT
(-PPN)]]-(Table43[[#This Row],[Harga Jual Pcs GT
(-PPN)]]*10%)</f>
        <v>0</v>
      </c>
      <c r="AL94" s="42">
        <f>Table43[[#This Row],[Harga Beli Pcs
(-PPN)]]*Table43[[#This Row],[ISI/CTN]]</f>
        <v>0</v>
      </c>
      <c r="AM94" s="42">
        <f>Table43[[#This Row],[Harga Beli Pcs
(-PPN)]]*1.11</f>
        <v>0</v>
      </c>
      <c r="AN94" s="42">
        <f>Table43[[#This Row],[Harga Beli Krt
(- PPN)]]*1.11</f>
        <v>0</v>
      </c>
      <c r="AO94" s="42"/>
      <c r="AP94" s="42">
        <f>Table43[[#This Row],[Harga Jual Pcs GT
(-PPN)]]*Table43[[#This Row],[ISI/CTN]]</f>
        <v>0</v>
      </c>
      <c r="AQ94" s="42">
        <f>Table43[[#This Row],[Harga Jual Pcs GT
(-PPN)]]*1.11</f>
        <v>0</v>
      </c>
      <c r="AR94" s="42">
        <f>Table43[[#This Row],[Harga Jual Krt GT
(- PPN)]]*1.11</f>
        <v>0</v>
      </c>
      <c r="AS94" s="42">
        <f>Table43[[#This Row],[Harga Jual Pcs GT
(-PPN)]]</f>
        <v>0</v>
      </c>
      <c r="AT94" s="42">
        <f>(Table43[[#This Row],[Harga Jual Pcs MT
(-PPN)]]*Table43[[#This Row],[ISI/CTN]])</f>
        <v>0</v>
      </c>
      <c r="AU94" s="42">
        <f>Table43[[#This Row],[Harga Jual Pcs MT
(-PPN)]]*1.11</f>
        <v>0</v>
      </c>
      <c r="AV94" s="42">
        <f>Table43[[#This Row],[Harga Jual Pcs MT
(+PPN)]]*Table43[[#This Row],[ISI/CTN]]</f>
        <v>0</v>
      </c>
      <c r="AW94" s="47"/>
      <c r="AX94" s="7"/>
      <c r="AY94" s="7" t="str">
        <f ca="1">IF(TODAY()-Table43[[#This Row],[Efektif
Pembuatan]]&gt;60,"Lama","Baru")</f>
        <v>Lama</v>
      </c>
      <c r="AZ94" s="7" t="str">
        <f ca="1">IF(TODAY()-Table43[[#This Row],[Efektif Naik Harga]]&lt;30,"Naik","Sama")</f>
        <v>Sama</v>
      </c>
      <c r="BA94" s="7" t="str">
        <f>IF(Table43[[#This Row],[Kode BARANG Win2]]&lt;&gt;"","IDR","")</f>
        <v>IDR</v>
      </c>
      <c r="BB94" s="7" t="str">
        <f>CONCATENATE(Table43[[#This Row],[kode  1 Digit
(Nomor)]],Table43[[#This Row],[kode  4 Digit                (Nomor)]])</f>
        <v>10125</v>
      </c>
      <c r="BC94" s="7" t="str">
        <f>Table43[[#This Row],[Nama            Gramasi atau Jumlah Pack per CTN]]</f>
        <v>125ML</v>
      </c>
      <c r="BD94" s="7"/>
      <c r="BE94" s="7"/>
      <c r="BF94" s="4" t="str">
        <f>IF(Table43[[#This Row],[SATUAN Fix Win]]&lt;&gt;"","KRT")</f>
        <v>KRT</v>
      </c>
      <c r="BG94" s="4" t="str">
        <f>IF(Table43[[#This Row],[SATUAN Fix Win]]&lt;&gt;"","GD01")</f>
        <v>GD01</v>
      </c>
      <c r="BH94" s="4">
        <f>IF(Table43[[#This Row],[SATUAN Fix Win]]&lt;&gt;"",11611)</f>
        <v>11611</v>
      </c>
      <c r="BI94" s="4">
        <f>IF(Table43[[#This Row],[SATUAN Fix Win]]&lt;&gt;"",11612)</f>
        <v>11612</v>
      </c>
      <c r="BJ94" s="48"/>
      <c r="BK94" s="4">
        <f>IF(Table43[[#This Row],[SATUAN Fix Win]]&lt;&gt;"",1)</f>
        <v>1</v>
      </c>
    </row>
    <row r="95" spans="1:63">
      <c r="A95" s="4" t="str">
        <f>CONCATENATE(Table43[[#This Row],[Kode BARANG Win2]],Table43[[#This Row],[No. Urut
Item Sama]])</f>
        <v>K10470150125101</v>
      </c>
      <c r="B95" s="7">
        <v>1</v>
      </c>
      <c r="D95" s="28" t="s">
        <v>811</v>
      </c>
      <c r="E95" s="28"/>
      <c r="F95" s="28" t="s">
        <v>2935</v>
      </c>
      <c r="G95" s="78">
        <v>36</v>
      </c>
      <c r="H95" s="43"/>
      <c r="I95" s="28" t="str">
        <f>Table43[[#This Row],[Nama Jenis Kemasan]]</f>
        <v>BTL</v>
      </c>
      <c r="J95" s="4" t="str">
        <f>TRIM(CONCATENATE(Table43[[#This Row],[Nama            KLP]]," ",Table43[[#This Row],[Nama            Sub KLP]]))</f>
        <v>B&amp;B SPRAY COLOGNE</v>
      </c>
      <c r="K95" s="4" t="str">
        <f>CONCATENATE(Table43[[#This Row],[kode  2 Digit                (hrf+No)]],Table43[[#This Row],[kode  2 Digit                (Nomor)]],Table43[[#This Row],[kode  1 Digit                (Nomor)]])</f>
        <v>K1047</v>
      </c>
      <c r="L95" s="4" t="str">
        <f t="shared" si="3"/>
        <v>K1047015012510</v>
      </c>
      <c r="M95" s="11">
        <f t="shared" si="4"/>
        <v>14</v>
      </c>
      <c r="N95" s="14" t="str">
        <f>IF(AF95&lt;&gt;"",TRIM(UPPER(CONCATENATE(P95," ",R95," ",T95," ",V95," ",X95," ",Z95," ","X"," ",Table43[[#This Row],[ISI/CTN]]," ",AF95," ",AB95," ",AD95," ",AH95))),TRIM(UPPER(CONCATENATE(P95," ",R95," ",T95," ",V95," ",X95," ",Z95," ","X"," ",Table43[[#This Row],[ISI/CTN]]," ",AB95," ",AD95," ",AH95))))</f>
        <v>KNF B&amp;B SPRAY COLOGNE TWEETY 125ML X 36 BTL</v>
      </c>
      <c r="O95" s="11">
        <f t="shared" si="5"/>
        <v>43</v>
      </c>
      <c r="P95" s="4" t="s">
        <v>97</v>
      </c>
      <c r="Q95" s="7" t="s">
        <v>98</v>
      </c>
      <c r="R95" s="4" t="s">
        <v>2524</v>
      </c>
      <c r="S95" s="44" t="s">
        <v>2474</v>
      </c>
      <c r="T95" s="45" t="s">
        <v>3618</v>
      </c>
      <c r="U95" s="7" t="s">
        <v>3619</v>
      </c>
      <c r="V95" s="45" t="s">
        <v>2961</v>
      </c>
      <c r="W95" s="44" t="s">
        <v>2900</v>
      </c>
      <c r="X95" s="4" t="s">
        <v>3626</v>
      </c>
      <c r="Y95" s="46" t="s">
        <v>3568</v>
      </c>
      <c r="Z95" s="4" t="s">
        <v>3620</v>
      </c>
      <c r="AA95" s="46" t="s">
        <v>2489</v>
      </c>
      <c r="AB95" s="4" t="s">
        <v>357</v>
      </c>
      <c r="AC95" s="7" t="s">
        <v>2656</v>
      </c>
      <c r="AD95" s="4" t="s">
        <v>2961</v>
      </c>
      <c r="AE95" s="7" t="s">
        <v>2900</v>
      </c>
      <c r="AF95" s="7" t="s">
        <v>2961</v>
      </c>
      <c r="AG95" s="7" t="s">
        <v>2961</v>
      </c>
      <c r="AI95" s="7" t="s">
        <v>4100</v>
      </c>
      <c r="AJ95" s="7" t="s">
        <v>2656</v>
      </c>
      <c r="AK95" s="41">
        <f>Table43[[#This Row],[Harga Jual Pcs GT
(-PPN)]]-(Table43[[#This Row],[Harga Jual Pcs GT
(-PPN)]]*10%)</f>
        <v>0</v>
      </c>
      <c r="AL95" s="42">
        <f>Table43[[#This Row],[Harga Beli Pcs
(-PPN)]]*Table43[[#This Row],[ISI/CTN]]</f>
        <v>0</v>
      </c>
      <c r="AM95" s="42">
        <f>Table43[[#This Row],[Harga Beli Pcs
(-PPN)]]*1.11</f>
        <v>0</v>
      </c>
      <c r="AN95" s="42">
        <f>Table43[[#This Row],[Harga Beli Krt
(- PPN)]]*1.11</f>
        <v>0</v>
      </c>
      <c r="AO95" s="42"/>
      <c r="AP95" s="42">
        <f>Table43[[#This Row],[Harga Jual Pcs GT
(-PPN)]]*Table43[[#This Row],[ISI/CTN]]</f>
        <v>0</v>
      </c>
      <c r="AQ95" s="42">
        <f>Table43[[#This Row],[Harga Jual Pcs GT
(-PPN)]]*1.11</f>
        <v>0</v>
      </c>
      <c r="AR95" s="42">
        <f>Table43[[#This Row],[Harga Jual Krt GT
(- PPN)]]*1.11</f>
        <v>0</v>
      </c>
      <c r="AS95" s="42">
        <f>Table43[[#This Row],[Harga Jual Pcs GT
(-PPN)]]</f>
        <v>0</v>
      </c>
      <c r="AT95" s="42">
        <f>(Table43[[#This Row],[Harga Jual Pcs MT
(-PPN)]]*Table43[[#This Row],[ISI/CTN]])</f>
        <v>0</v>
      </c>
      <c r="AU95" s="42">
        <f>Table43[[#This Row],[Harga Jual Pcs MT
(-PPN)]]*1.11</f>
        <v>0</v>
      </c>
      <c r="AV95" s="42">
        <f>Table43[[#This Row],[Harga Jual Pcs MT
(+PPN)]]*Table43[[#This Row],[ISI/CTN]]</f>
        <v>0</v>
      </c>
      <c r="AW95" s="47"/>
      <c r="AX95" s="7"/>
      <c r="AY95" s="7" t="str">
        <f ca="1">IF(TODAY()-Table43[[#This Row],[Efektif
Pembuatan]]&gt;60,"Lama","Baru")</f>
        <v>Lama</v>
      </c>
      <c r="AZ95" s="7" t="str">
        <f ca="1">IF(TODAY()-Table43[[#This Row],[Efektif Naik Harga]]&lt;30,"Naik","Sama")</f>
        <v>Sama</v>
      </c>
      <c r="BA95" s="7" t="str">
        <f>IF(Table43[[#This Row],[Kode BARANG Win2]]&lt;&gt;"","IDR","")</f>
        <v>IDR</v>
      </c>
      <c r="BB95" s="7" t="str">
        <f>CONCATENATE(Table43[[#This Row],[kode  1 Digit
(Nomor)]],Table43[[#This Row],[kode  4 Digit                (Nomor)]])</f>
        <v>10125</v>
      </c>
      <c r="BC95" s="7" t="str">
        <f>Table43[[#This Row],[Nama            Gramasi atau Jumlah Pack per CTN]]</f>
        <v>125ML</v>
      </c>
      <c r="BD95" s="7"/>
      <c r="BE95" s="7"/>
      <c r="BF95" s="4" t="str">
        <f>IF(Table43[[#This Row],[SATUAN Fix Win]]&lt;&gt;"","KRT")</f>
        <v>KRT</v>
      </c>
      <c r="BG95" s="4" t="str">
        <f>IF(Table43[[#This Row],[SATUAN Fix Win]]&lt;&gt;"","GD01")</f>
        <v>GD01</v>
      </c>
      <c r="BH95" s="4">
        <f>IF(Table43[[#This Row],[SATUAN Fix Win]]&lt;&gt;"",11611)</f>
        <v>11611</v>
      </c>
      <c r="BI95" s="4">
        <f>IF(Table43[[#This Row],[SATUAN Fix Win]]&lt;&gt;"",11612)</f>
        <v>11612</v>
      </c>
      <c r="BJ95" s="48"/>
      <c r="BK95" s="4">
        <f>IF(Table43[[#This Row],[SATUAN Fix Win]]&lt;&gt;"",1)</f>
        <v>1</v>
      </c>
    </row>
    <row r="96" spans="1:63">
      <c r="A96" s="4" t="str">
        <f>CONCATENATE(Table43[[#This Row],[Kode BARANG Win2]],Table43[[#This Row],[No. Urut
Item Sama]])</f>
        <v>K10470160100101</v>
      </c>
      <c r="B96" s="7">
        <v>1</v>
      </c>
      <c r="D96" s="28" t="s">
        <v>4046</v>
      </c>
      <c r="E96" s="28"/>
      <c r="F96" s="28">
        <v>0</v>
      </c>
      <c r="G96" s="78">
        <v>36</v>
      </c>
      <c r="H96" s="43"/>
      <c r="I96" s="28" t="str">
        <f>Table43[[#This Row],[Nama Jenis Kemasan]]</f>
        <v>BTL</v>
      </c>
      <c r="J96" s="4" t="str">
        <f>TRIM(CONCATENATE(Table43[[#This Row],[Nama            KLP]]," ",Table43[[#This Row],[Nama            Sub KLP]]))</f>
        <v>B&amp;B SPRAY COLOGNE</v>
      </c>
      <c r="K96" s="4" t="str">
        <f>CONCATENATE(Table43[[#This Row],[kode  2 Digit                (hrf+No)]],Table43[[#This Row],[kode  2 Digit                (Nomor)]],Table43[[#This Row],[kode  1 Digit                (Nomor)]])</f>
        <v>K1047</v>
      </c>
      <c r="L96" s="4" t="str">
        <f t="shared" si="3"/>
        <v>K1047016010010</v>
      </c>
      <c r="M96" s="11">
        <f t="shared" si="4"/>
        <v>14</v>
      </c>
      <c r="N96" s="14" t="str">
        <f>IF(AF96&lt;&gt;"",TRIM(UPPER(CONCATENATE(P96," ",R96," ",T96," ",V96," ",X96," ",Z96," ","X"," ",Table43[[#This Row],[ISI/CTN]]," ",AF96," ",AB96," ",AD96," ",AH96))),TRIM(UPPER(CONCATENATE(P96," ",R96," ",T96," ",V96," ",X96," ",Z96," ","X"," ",Table43[[#This Row],[ISI/CTN]]," ",AB96," ",AD96," ",AH96))))</f>
        <v>KNF B&amp;B SPRAY COLOGNE CUDDLE BREEZE 100ML X 36 BTL</v>
      </c>
      <c r="O96" s="11">
        <f t="shared" si="5"/>
        <v>50</v>
      </c>
      <c r="P96" s="4" t="s">
        <v>97</v>
      </c>
      <c r="Q96" s="7" t="s">
        <v>98</v>
      </c>
      <c r="R96" s="4" t="s">
        <v>2524</v>
      </c>
      <c r="S96" s="44" t="s">
        <v>2474</v>
      </c>
      <c r="T96" s="45" t="s">
        <v>3618</v>
      </c>
      <c r="U96" s="7" t="s">
        <v>3619</v>
      </c>
      <c r="V96" s="45" t="s">
        <v>2961</v>
      </c>
      <c r="W96" s="44" t="s">
        <v>2900</v>
      </c>
      <c r="X96" s="4" t="s">
        <v>3627</v>
      </c>
      <c r="Y96" s="46" t="s">
        <v>2655</v>
      </c>
      <c r="Z96" s="4" t="s">
        <v>3588</v>
      </c>
      <c r="AA96" s="46" t="s">
        <v>2487</v>
      </c>
      <c r="AB96" s="4" t="s">
        <v>357</v>
      </c>
      <c r="AC96" s="7" t="s">
        <v>2656</v>
      </c>
      <c r="AD96" s="4" t="s">
        <v>2961</v>
      </c>
      <c r="AE96" s="7" t="s">
        <v>2900</v>
      </c>
      <c r="AF96" s="7" t="s">
        <v>2961</v>
      </c>
      <c r="AG96" s="7" t="s">
        <v>2961</v>
      </c>
      <c r="AI96" s="7" t="s">
        <v>4100</v>
      </c>
      <c r="AJ96" s="7" t="s">
        <v>2656</v>
      </c>
      <c r="AK96" s="41">
        <f>Table43[[#This Row],[Harga Jual Pcs GT
(-PPN)]]-(Table43[[#This Row],[Harga Jual Pcs GT
(-PPN)]]*10%)</f>
        <v>0</v>
      </c>
      <c r="AL96" s="42">
        <f>Table43[[#This Row],[Harga Beli Pcs
(-PPN)]]*Table43[[#This Row],[ISI/CTN]]</f>
        <v>0</v>
      </c>
      <c r="AM96" s="42">
        <f>Table43[[#This Row],[Harga Beli Pcs
(-PPN)]]*1.11</f>
        <v>0</v>
      </c>
      <c r="AN96" s="42">
        <f>Table43[[#This Row],[Harga Beli Krt
(- PPN)]]*1.11</f>
        <v>0</v>
      </c>
      <c r="AO96" s="42"/>
      <c r="AP96" s="42">
        <f>Table43[[#This Row],[Harga Jual Pcs GT
(-PPN)]]*Table43[[#This Row],[ISI/CTN]]</f>
        <v>0</v>
      </c>
      <c r="AQ96" s="42">
        <f>Table43[[#This Row],[Harga Jual Pcs GT
(-PPN)]]*1.11</f>
        <v>0</v>
      </c>
      <c r="AR96" s="42">
        <f>Table43[[#This Row],[Harga Jual Krt GT
(- PPN)]]*1.11</f>
        <v>0</v>
      </c>
      <c r="AS96" s="42">
        <f>Table43[[#This Row],[Harga Jual Pcs GT
(-PPN)]]</f>
        <v>0</v>
      </c>
      <c r="AT96" s="42">
        <f>(Table43[[#This Row],[Harga Jual Pcs MT
(-PPN)]]*Table43[[#This Row],[ISI/CTN]])</f>
        <v>0</v>
      </c>
      <c r="AU96" s="42">
        <f>Table43[[#This Row],[Harga Jual Pcs MT
(-PPN)]]*1.11</f>
        <v>0</v>
      </c>
      <c r="AV96" s="42">
        <f>Table43[[#This Row],[Harga Jual Pcs MT
(+PPN)]]*Table43[[#This Row],[ISI/CTN]]</f>
        <v>0</v>
      </c>
      <c r="AW96" s="47"/>
      <c r="AX96" s="7"/>
      <c r="AY96" s="7" t="str">
        <f ca="1">IF(TODAY()-Table43[[#This Row],[Efektif
Pembuatan]]&gt;60,"Lama","Baru")</f>
        <v>Lama</v>
      </c>
      <c r="AZ96" s="7" t="str">
        <f ca="1">IF(TODAY()-Table43[[#This Row],[Efektif Naik Harga]]&lt;30,"Naik","Sama")</f>
        <v>Sama</v>
      </c>
      <c r="BA96" s="7" t="str">
        <f>IF(Table43[[#This Row],[Kode BARANG Win2]]&lt;&gt;"","IDR","")</f>
        <v>IDR</v>
      </c>
      <c r="BB96" s="7" t="str">
        <f>CONCATENATE(Table43[[#This Row],[kode  1 Digit
(Nomor)]],Table43[[#This Row],[kode  4 Digit                (Nomor)]])</f>
        <v>10100</v>
      </c>
      <c r="BC96" s="7" t="str">
        <f>Table43[[#This Row],[Nama            Gramasi atau Jumlah Pack per CTN]]</f>
        <v>100ML</v>
      </c>
      <c r="BD96" s="7"/>
      <c r="BE96" s="7"/>
      <c r="BF96" s="4" t="str">
        <f>IF(Table43[[#This Row],[SATUAN Fix Win]]&lt;&gt;"","KRT")</f>
        <v>KRT</v>
      </c>
      <c r="BG96" s="4" t="str">
        <f>IF(Table43[[#This Row],[SATUAN Fix Win]]&lt;&gt;"","GD01")</f>
        <v>GD01</v>
      </c>
      <c r="BH96" s="4">
        <f>IF(Table43[[#This Row],[SATUAN Fix Win]]&lt;&gt;"",11611)</f>
        <v>11611</v>
      </c>
      <c r="BI96" s="4">
        <f>IF(Table43[[#This Row],[SATUAN Fix Win]]&lt;&gt;"",11612)</f>
        <v>11612</v>
      </c>
      <c r="BJ96" s="48"/>
      <c r="BK96" s="4">
        <f>IF(Table43[[#This Row],[SATUAN Fix Win]]&lt;&gt;"",1)</f>
        <v>1</v>
      </c>
    </row>
    <row r="97" spans="1:63">
      <c r="A97" s="4" t="str">
        <f>CONCATENATE(Table43[[#This Row],[Kode BARANG Win2]],Table43[[#This Row],[No. Urut
Item Sama]])</f>
        <v>K10470170100101</v>
      </c>
      <c r="B97" s="7">
        <v>1</v>
      </c>
      <c r="D97" s="28" t="s">
        <v>4047</v>
      </c>
      <c r="E97" s="28"/>
      <c r="F97" s="28">
        <v>0</v>
      </c>
      <c r="G97" s="78">
        <v>36</v>
      </c>
      <c r="H97" s="43"/>
      <c r="I97" s="28" t="str">
        <f>Table43[[#This Row],[Nama Jenis Kemasan]]</f>
        <v>BTL</v>
      </c>
      <c r="J97" s="4" t="str">
        <f>TRIM(CONCATENATE(Table43[[#This Row],[Nama            KLP]]," ",Table43[[#This Row],[Nama            Sub KLP]]))</f>
        <v>B&amp;B SPRAY COLOGNE</v>
      </c>
      <c r="K97" s="4" t="str">
        <f>CONCATENATE(Table43[[#This Row],[kode  2 Digit                (hrf+No)]],Table43[[#This Row],[kode  2 Digit                (Nomor)]],Table43[[#This Row],[kode  1 Digit                (Nomor)]])</f>
        <v>K1047</v>
      </c>
      <c r="L97" s="4" t="str">
        <f t="shared" si="3"/>
        <v>K1047017010010</v>
      </c>
      <c r="M97" s="11">
        <f t="shared" si="4"/>
        <v>14</v>
      </c>
      <c r="N97" s="14" t="str">
        <f>IF(AF97&lt;&gt;"",TRIM(UPPER(CONCATENATE(P97," ",R97," ",T97," ",V97," ",X97," ",Z97," ","X"," ",Table43[[#This Row],[ISI/CTN]]," ",AF97," ",AB97," ",AD97," ",AH97))),TRIM(UPPER(CONCATENATE(P97," ",R97," ",T97," ",V97," ",X97," ",Z97," ","X"," ",Table43[[#This Row],[ISI/CTN]]," ",AB97," ",AD97," ",AH97))))</f>
        <v>KNF B&amp;B SPRAY COLOGNE GIGGLY BREEZE 100ML X 36 BTL</v>
      </c>
      <c r="O97" s="11">
        <f t="shared" si="5"/>
        <v>50</v>
      </c>
      <c r="P97" s="4" t="s">
        <v>97</v>
      </c>
      <c r="Q97" s="7" t="s">
        <v>98</v>
      </c>
      <c r="R97" s="4" t="s">
        <v>2524</v>
      </c>
      <c r="S97" s="44" t="s">
        <v>2474</v>
      </c>
      <c r="T97" s="45" t="s">
        <v>3618</v>
      </c>
      <c r="U97" s="7" t="s">
        <v>3619</v>
      </c>
      <c r="V97" s="45" t="s">
        <v>2961</v>
      </c>
      <c r="W97" s="44" t="s">
        <v>2900</v>
      </c>
      <c r="X97" s="4" t="s">
        <v>3628</v>
      </c>
      <c r="Y97" s="46" t="s">
        <v>3569</v>
      </c>
      <c r="Z97" s="4" t="s">
        <v>3588</v>
      </c>
      <c r="AA97" s="46" t="s">
        <v>2487</v>
      </c>
      <c r="AB97" s="4" t="s">
        <v>357</v>
      </c>
      <c r="AC97" s="7" t="s">
        <v>2656</v>
      </c>
      <c r="AD97" s="4" t="s">
        <v>2961</v>
      </c>
      <c r="AE97" s="7" t="s">
        <v>2900</v>
      </c>
      <c r="AF97" s="7" t="s">
        <v>2961</v>
      </c>
      <c r="AG97" s="7" t="s">
        <v>2961</v>
      </c>
      <c r="AI97" s="7" t="s">
        <v>4100</v>
      </c>
      <c r="AJ97" s="7" t="s">
        <v>2656</v>
      </c>
      <c r="AK97" s="41">
        <f>Table43[[#This Row],[Harga Jual Pcs GT
(-PPN)]]-(Table43[[#This Row],[Harga Jual Pcs GT
(-PPN)]]*10%)</f>
        <v>0</v>
      </c>
      <c r="AL97" s="42">
        <f>Table43[[#This Row],[Harga Beli Pcs
(-PPN)]]*Table43[[#This Row],[ISI/CTN]]</f>
        <v>0</v>
      </c>
      <c r="AM97" s="42">
        <f>Table43[[#This Row],[Harga Beli Pcs
(-PPN)]]*1.11</f>
        <v>0</v>
      </c>
      <c r="AN97" s="42">
        <f>Table43[[#This Row],[Harga Beli Krt
(- PPN)]]*1.11</f>
        <v>0</v>
      </c>
      <c r="AO97" s="42"/>
      <c r="AP97" s="42">
        <f>Table43[[#This Row],[Harga Jual Pcs GT
(-PPN)]]*Table43[[#This Row],[ISI/CTN]]</f>
        <v>0</v>
      </c>
      <c r="AQ97" s="42">
        <f>Table43[[#This Row],[Harga Jual Pcs GT
(-PPN)]]*1.11</f>
        <v>0</v>
      </c>
      <c r="AR97" s="42">
        <f>Table43[[#This Row],[Harga Jual Krt GT
(- PPN)]]*1.11</f>
        <v>0</v>
      </c>
      <c r="AS97" s="42">
        <f>Table43[[#This Row],[Harga Jual Pcs GT
(-PPN)]]</f>
        <v>0</v>
      </c>
      <c r="AT97" s="42">
        <f>(Table43[[#This Row],[Harga Jual Pcs MT
(-PPN)]]*Table43[[#This Row],[ISI/CTN]])</f>
        <v>0</v>
      </c>
      <c r="AU97" s="42">
        <f>Table43[[#This Row],[Harga Jual Pcs MT
(-PPN)]]*1.11</f>
        <v>0</v>
      </c>
      <c r="AV97" s="42">
        <f>Table43[[#This Row],[Harga Jual Pcs MT
(+PPN)]]*Table43[[#This Row],[ISI/CTN]]</f>
        <v>0</v>
      </c>
      <c r="AW97" s="47"/>
      <c r="AX97" s="7"/>
      <c r="AY97" s="7" t="str">
        <f ca="1">IF(TODAY()-Table43[[#This Row],[Efektif
Pembuatan]]&gt;60,"Lama","Baru")</f>
        <v>Lama</v>
      </c>
      <c r="AZ97" s="7" t="str">
        <f ca="1">IF(TODAY()-Table43[[#This Row],[Efektif Naik Harga]]&lt;30,"Naik","Sama")</f>
        <v>Sama</v>
      </c>
      <c r="BA97" s="7" t="str">
        <f>IF(Table43[[#This Row],[Kode BARANG Win2]]&lt;&gt;"","IDR","")</f>
        <v>IDR</v>
      </c>
      <c r="BB97" s="7" t="str">
        <f>CONCATENATE(Table43[[#This Row],[kode  1 Digit
(Nomor)]],Table43[[#This Row],[kode  4 Digit                (Nomor)]])</f>
        <v>10100</v>
      </c>
      <c r="BC97" s="7" t="str">
        <f>Table43[[#This Row],[Nama            Gramasi atau Jumlah Pack per CTN]]</f>
        <v>100ML</v>
      </c>
      <c r="BD97" s="7"/>
      <c r="BE97" s="7"/>
      <c r="BF97" s="4" t="str">
        <f>IF(Table43[[#This Row],[SATUAN Fix Win]]&lt;&gt;"","KRT")</f>
        <v>KRT</v>
      </c>
      <c r="BG97" s="4" t="str">
        <f>IF(Table43[[#This Row],[SATUAN Fix Win]]&lt;&gt;"","GD01")</f>
        <v>GD01</v>
      </c>
      <c r="BH97" s="4">
        <f>IF(Table43[[#This Row],[SATUAN Fix Win]]&lt;&gt;"",11611)</f>
        <v>11611</v>
      </c>
      <c r="BI97" s="4">
        <f>IF(Table43[[#This Row],[SATUAN Fix Win]]&lt;&gt;"",11612)</f>
        <v>11612</v>
      </c>
      <c r="BJ97" s="48"/>
      <c r="BK97" s="4">
        <f>IF(Table43[[#This Row],[SATUAN Fix Win]]&lt;&gt;"",1)</f>
        <v>1</v>
      </c>
    </row>
    <row r="98" spans="1:63">
      <c r="A98" s="4" t="str">
        <f>CONCATENATE(Table43[[#This Row],[Kode BARANG Win2]],Table43[[#This Row],[No. Urut
Item Sama]])</f>
        <v>K10470180100101</v>
      </c>
      <c r="B98" s="7">
        <v>1</v>
      </c>
      <c r="D98" s="28" t="s">
        <v>4048</v>
      </c>
      <c r="E98" s="28"/>
      <c r="F98" s="28">
        <v>0</v>
      </c>
      <c r="G98" s="78">
        <v>36</v>
      </c>
      <c r="H98" s="43"/>
      <c r="I98" s="28" t="str">
        <f>Table43[[#This Row],[Nama Jenis Kemasan]]</f>
        <v>BTL</v>
      </c>
      <c r="J98" s="4" t="str">
        <f>TRIM(CONCATENATE(Table43[[#This Row],[Nama            KLP]]," ",Table43[[#This Row],[Nama            Sub KLP]]))</f>
        <v>B&amp;B SPRAY COLOGNE</v>
      </c>
      <c r="K98" s="4" t="str">
        <f>CONCATENATE(Table43[[#This Row],[kode  2 Digit                (hrf+No)]],Table43[[#This Row],[kode  2 Digit                (Nomor)]],Table43[[#This Row],[kode  1 Digit                (Nomor)]])</f>
        <v>K1047</v>
      </c>
      <c r="L98" s="4" t="str">
        <f t="shared" si="3"/>
        <v>K1047018010010</v>
      </c>
      <c r="M98" s="11">
        <f t="shared" si="4"/>
        <v>14</v>
      </c>
      <c r="N98" s="14" t="str">
        <f>IF(AF98&lt;&gt;"",TRIM(UPPER(CONCATENATE(P98," ",R98," ",T98," ",V98," ",X98," ",Z98," ","X"," ",Table43[[#This Row],[ISI/CTN]]," ",AF98," ",AB98," ",AD98," ",AH98))),TRIM(UPPER(CONCATENATE(P98," ",R98," ",T98," ",V98," ",X98," ",Z98," ","X"," ",Table43[[#This Row],[ISI/CTN]]," ",AB98," ",AD98," ",AH98))))</f>
        <v>KNF B&amp;B SPRAY COLOGNE WONDER BREEZE 100ML X 36 BTL</v>
      </c>
      <c r="O98" s="11">
        <f t="shared" si="5"/>
        <v>50</v>
      </c>
      <c r="P98" s="4" t="s">
        <v>97</v>
      </c>
      <c r="Q98" s="7" t="s">
        <v>98</v>
      </c>
      <c r="R98" s="4" t="s">
        <v>2524</v>
      </c>
      <c r="S98" s="44" t="s">
        <v>2474</v>
      </c>
      <c r="T98" s="45" t="s">
        <v>3618</v>
      </c>
      <c r="U98" s="7" t="s">
        <v>3619</v>
      </c>
      <c r="V98" s="45" t="s">
        <v>2961</v>
      </c>
      <c r="W98" s="44" t="s">
        <v>2900</v>
      </c>
      <c r="X98" s="4" t="s">
        <v>3629</v>
      </c>
      <c r="Y98" s="46" t="s">
        <v>3571</v>
      </c>
      <c r="Z98" s="4" t="s">
        <v>3588</v>
      </c>
      <c r="AA98" s="46" t="s">
        <v>2487</v>
      </c>
      <c r="AB98" s="4" t="s">
        <v>357</v>
      </c>
      <c r="AC98" s="7" t="s">
        <v>2656</v>
      </c>
      <c r="AD98" s="4" t="s">
        <v>2961</v>
      </c>
      <c r="AE98" s="7" t="s">
        <v>2900</v>
      </c>
      <c r="AF98" s="7" t="s">
        <v>2961</v>
      </c>
      <c r="AG98" s="7" t="s">
        <v>2961</v>
      </c>
      <c r="AI98" s="7" t="s">
        <v>4100</v>
      </c>
      <c r="AJ98" s="7" t="s">
        <v>2656</v>
      </c>
      <c r="AK98" s="41">
        <f>Table43[[#This Row],[Harga Jual Pcs GT
(-PPN)]]-(Table43[[#This Row],[Harga Jual Pcs GT
(-PPN)]]*10%)</f>
        <v>0</v>
      </c>
      <c r="AL98" s="42">
        <f>Table43[[#This Row],[Harga Beli Pcs
(-PPN)]]*Table43[[#This Row],[ISI/CTN]]</f>
        <v>0</v>
      </c>
      <c r="AM98" s="42">
        <f>Table43[[#This Row],[Harga Beli Pcs
(-PPN)]]*1.11</f>
        <v>0</v>
      </c>
      <c r="AN98" s="42">
        <f>Table43[[#This Row],[Harga Beli Krt
(- PPN)]]*1.11</f>
        <v>0</v>
      </c>
      <c r="AO98" s="42"/>
      <c r="AP98" s="42">
        <f>Table43[[#This Row],[Harga Jual Pcs GT
(-PPN)]]*Table43[[#This Row],[ISI/CTN]]</f>
        <v>0</v>
      </c>
      <c r="AQ98" s="42">
        <f>Table43[[#This Row],[Harga Jual Pcs GT
(-PPN)]]*1.11</f>
        <v>0</v>
      </c>
      <c r="AR98" s="42">
        <f>Table43[[#This Row],[Harga Jual Krt GT
(- PPN)]]*1.11</f>
        <v>0</v>
      </c>
      <c r="AS98" s="42">
        <f>Table43[[#This Row],[Harga Jual Pcs GT
(-PPN)]]</f>
        <v>0</v>
      </c>
      <c r="AT98" s="42">
        <f>(Table43[[#This Row],[Harga Jual Pcs MT
(-PPN)]]*Table43[[#This Row],[ISI/CTN]])</f>
        <v>0</v>
      </c>
      <c r="AU98" s="42">
        <f>Table43[[#This Row],[Harga Jual Pcs MT
(-PPN)]]*1.11</f>
        <v>0</v>
      </c>
      <c r="AV98" s="42">
        <f>Table43[[#This Row],[Harga Jual Pcs MT
(+PPN)]]*Table43[[#This Row],[ISI/CTN]]</f>
        <v>0</v>
      </c>
      <c r="AW98" s="47"/>
      <c r="AX98" s="7"/>
      <c r="AY98" s="7" t="str">
        <f ca="1">IF(TODAY()-Table43[[#This Row],[Efektif
Pembuatan]]&gt;60,"Lama","Baru")</f>
        <v>Lama</v>
      </c>
      <c r="AZ98" s="7" t="str">
        <f ca="1">IF(TODAY()-Table43[[#This Row],[Efektif Naik Harga]]&lt;30,"Naik","Sama")</f>
        <v>Sama</v>
      </c>
      <c r="BA98" s="7" t="str">
        <f>IF(Table43[[#This Row],[Kode BARANG Win2]]&lt;&gt;"","IDR","")</f>
        <v>IDR</v>
      </c>
      <c r="BB98" s="7" t="str">
        <f>CONCATENATE(Table43[[#This Row],[kode  1 Digit
(Nomor)]],Table43[[#This Row],[kode  4 Digit                (Nomor)]])</f>
        <v>10100</v>
      </c>
      <c r="BC98" s="7" t="str">
        <f>Table43[[#This Row],[Nama            Gramasi atau Jumlah Pack per CTN]]</f>
        <v>100ML</v>
      </c>
      <c r="BD98" s="7"/>
      <c r="BE98" s="7"/>
      <c r="BF98" s="4" t="str">
        <f>IF(Table43[[#This Row],[SATUAN Fix Win]]&lt;&gt;"","KRT")</f>
        <v>KRT</v>
      </c>
      <c r="BG98" s="4" t="str">
        <f>IF(Table43[[#This Row],[SATUAN Fix Win]]&lt;&gt;"","GD01")</f>
        <v>GD01</v>
      </c>
      <c r="BH98" s="4">
        <f>IF(Table43[[#This Row],[SATUAN Fix Win]]&lt;&gt;"",11611)</f>
        <v>11611</v>
      </c>
      <c r="BI98" s="4">
        <f>IF(Table43[[#This Row],[SATUAN Fix Win]]&lt;&gt;"",11612)</f>
        <v>11612</v>
      </c>
      <c r="BJ98" s="48"/>
      <c r="BK98" s="4">
        <f>IF(Table43[[#This Row],[SATUAN Fix Win]]&lt;&gt;"",1)</f>
        <v>1</v>
      </c>
    </row>
    <row r="99" spans="1:63">
      <c r="A99" s="4" t="str">
        <f>CONCATENATE(Table43[[#This Row],[Kode BARANG Win2]],Table43[[#This Row],[No. Urut
Item Sama]])</f>
        <v>K10480020050201</v>
      </c>
      <c r="B99" s="7">
        <v>1</v>
      </c>
      <c r="D99" s="28" t="s">
        <v>835</v>
      </c>
      <c r="E99" s="28"/>
      <c r="F99" s="28" t="s">
        <v>3402</v>
      </c>
      <c r="G99" s="78">
        <v>48</v>
      </c>
      <c r="H99" s="43"/>
      <c r="I99" s="28" t="str">
        <f>Table43[[#This Row],[Nama Jenis Kemasan]]</f>
        <v>TUBE</v>
      </c>
      <c r="J99" s="4" t="str">
        <f>TRIM(CONCATENATE(Table43[[#This Row],[Nama            KLP]]," ",Table43[[#This Row],[Nama            Sub KLP]]))</f>
        <v>B&amp;B TOOTH PASTE</v>
      </c>
      <c r="K99" s="4" t="str">
        <f>CONCATENATE(Table43[[#This Row],[kode  2 Digit                (hrf+No)]],Table43[[#This Row],[kode  2 Digit                (Nomor)]],Table43[[#This Row],[kode  1 Digit                (Nomor)]])</f>
        <v>K1048</v>
      </c>
      <c r="L99" s="4" t="str">
        <f t="shared" si="3"/>
        <v>K1048002005020</v>
      </c>
      <c r="M99" s="11">
        <f t="shared" si="4"/>
        <v>14</v>
      </c>
      <c r="N99" s="14" t="str">
        <f>IF(AF99&lt;&gt;"",TRIM(UPPER(CONCATENATE(P99," ",R99," ",T99," ",V99," ",X99," ",Z99," ","X"," ",Table43[[#This Row],[ISI/CTN]]," ",AF99," ",AB99," ",AD99," ",AH99))),TRIM(UPPER(CONCATENATE(P99," ",R99," ",T99," ",V99," ",X99," ",Z99," ","X"," ",Table43[[#This Row],[ISI/CTN]]," ",AB99," ",AD99," ",AH99))))</f>
        <v>KNF B&amp;B TOOTH PASTE BARBIE 50GR X 48 TUBE</v>
      </c>
      <c r="O99" s="11">
        <f t="shared" si="5"/>
        <v>41</v>
      </c>
      <c r="P99" s="4" t="s">
        <v>97</v>
      </c>
      <c r="Q99" s="7" t="s">
        <v>98</v>
      </c>
      <c r="R99" s="4" t="s">
        <v>2524</v>
      </c>
      <c r="S99" s="44" t="s">
        <v>2474</v>
      </c>
      <c r="T99" s="45" t="s">
        <v>3630</v>
      </c>
      <c r="U99" s="7" t="s">
        <v>3631</v>
      </c>
      <c r="V99" s="45" t="s">
        <v>2961</v>
      </c>
      <c r="W99" s="44" t="s">
        <v>2900</v>
      </c>
      <c r="X99" s="4" t="s">
        <v>3603</v>
      </c>
      <c r="Y99" s="46" t="s">
        <v>2472</v>
      </c>
      <c r="Z99" s="4" t="s">
        <v>3632</v>
      </c>
      <c r="AA99" s="46" t="s">
        <v>2490</v>
      </c>
      <c r="AB99" s="4" t="s">
        <v>1021</v>
      </c>
      <c r="AC99" s="7" t="s">
        <v>3562</v>
      </c>
      <c r="AD99" s="4" t="s">
        <v>2961</v>
      </c>
      <c r="AE99" s="7" t="s">
        <v>2900</v>
      </c>
      <c r="AF99" s="7" t="s">
        <v>2961</v>
      </c>
      <c r="AG99" s="7" t="s">
        <v>2961</v>
      </c>
      <c r="AI99" s="7" t="s">
        <v>2463</v>
      </c>
      <c r="AJ99" s="7" t="s">
        <v>3562</v>
      </c>
      <c r="AK99" s="41">
        <f>Table43[[#This Row],[Harga Jual Pcs GT
(-PPN)]]-(Table43[[#This Row],[Harga Jual Pcs GT
(-PPN)]]*10%)</f>
        <v>0</v>
      </c>
      <c r="AL99" s="42">
        <f>Table43[[#This Row],[Harga Beli Pcs
(-PPN)]]*Table43[[#This Row],[ISI/CTN]]</f>
        <v>0</v>
      </c>
      <c r="AM99" s="42">
        <f>Table43[[#This Row],[Harga Beli Pcs
(-PPN)]]*1.11</f>
        <v>0</v>
      </c>
      <c r="AN99" s="42">
        <f>Table43[[#This Row],[Harga Beli Krt
(- PPN)]]*1.11</f>
        <v>0</v>
      </c>
      <c r="AO99" s="42"/>
      <c r="AP99" s="42">
        <f>Table43[[#This Row],[Harga Jual Pcs GT
(-PPN)]]*Table43[[#This Row],[ISI/CTN]]</f>
        <v>0</v>
      </c>
      <c r="AQ99" s="42">
        <f>Table43[[#This Row],[Harga Jual Pcs GT
(-PPN)]]*1.11</f>
        <v>0</v>
      </c>
      <c r="AR99" s="42">
        <f>Table43[[#This Row],[Harga Jual Krt GT
(- PPN)]]*1.11</f>
        <v>0</v>
      </c>
      <c r="AS99" s="42">
        <f>Table43[[#This Row],[Harga Jual Pcs GT
(-PPN)]]</f>
        <v>0</v>
      </c>
      <c r="AT99" s="42">
        <f>(Table43[[#This Row],[Harga Jual Pcs MT
(-PPN)]]*Table43[[#This Row],[ISI/CTN]])</f>
        <v>0</v>
      </c>
      <c r="AU99" s="42">
        <f>Table43[[#This Row],[Harga Jual Pcs MT
(-PPN)]]*1.11</f>
        <v>0</v>
      </c>
      <c r="AV99" s="42">
        <f>Table43[[#This Row],[Harga Jual Pcs MT
(+PPN)]]*Table43[[#This Row],[ISI/CTN]]</f>
        <v>0</v>
      </c>
      <c r="AW99" s="47"/>
      <c r="AX99" s="7"/>
      <c r="AY99" s="7" t="str">
        <f ca="1">IF(TODAY()-Table43[[#This Row],[Efektif
Pembuatan]]&gt;60,"Lama","Baru")</f>
        <v>Lama</v>
      </c>
      <c r="AZ99" s="7" t="str">
        <f ca="1">IF(TODAY()-Table43[[#This Row],[Efektif Naik Harga]]&lt;30,"Naik","Sama")</f>
        <v>Sama</v>
      </c>
      <c r="BA99" s="7" t="str">
        <f>IF(Table43[[#This Row],[Kode BARANG Win2]]&lt;&gt;"","IDR","")</f>
        <v>IDR</v>
      </c>
      <c r="BB99" s="7" t="str">
        <f>CONCATENATE(Table43[[#This Row],[kode  1 Digit
(Nomor)]],Table43[[#This Row],[kode  4 Digit                (Nomor)]])</f>
        <v>20050</v>
      </c>
      <c r="BC99" s="7" t="str">
        <f>Table43[[#This Row],[Nama            Gramasi atau Jumlah Pack per CTN]]</f>
        <v>50GR</v>
      </c>
      <c r="BD99" s="7"/>
      <c r="BE99" s="7"/>
      <c r="BF99" s="4" t="str">
        <f>IF(Table43[[#This Row],[SATUAN Fix Win]]&lt;&gt;"","KRT")</f>
        <v>KRT</v>
      </c>
      <c r="BG99" s="4" t="str">
        <f>IF(Table43[[#This Row],[SATUAN Fix Win]]&lt;&gt;"","GD01")</f>
        <v>GD01</v>
      </c>
      <c r="BH99" s="4">
        <f>IF(Table43[[#This Row],[SATUAN Fix Win]]&lt;&gt;"",11611)</f>
        <v>11611</v>
      </c>
      <c r="BI99" s="4">
        <f>IF(Table43[[#This Row],[SATUAN Fix Win]]&lt;&gt;"",11612)</f>
        <v>11612</v>
      </c>
      <c r="BJ99" s="48"/>
      <c r="BK99" s="4">
        <f>IF(Table43[[#This Row],[SATUAN Fix Win]]&lt;&gt;"",1)</f>
        <v>1</v>
      </c>
    </row>
    <row r="100" spans="1:63">
      <c r="A100" s="4" t="str">
        <f>CONCATENATE(Table43[[#This Row],[Kode BARANG Win2]],Table43[[#This Row],[No. Urut
Item Sama]])</f>
        <v>K10480030050201</v>
      </c>
      <c r="B100" s="7">
        <v>1</v>
      </c>
      <c r="D100" s="28" t="s">
        <v>837</v>
      </c>
      <c r="E100" s="28"/>
      <c r="F100" s="28" t="s">
        <v>3403</v>
      </c>
      <c r="G100" s="78">
        <v>48</v>
      </c>
      <c r="H100" s="43"/>
      <c r="I100" s="28" t="str">
        <f>Table43[[#This Row],[Nama Jenis Kemasan]]</f>
        <v>TUBE</v>
      </c>
      <c r="J100" s="4" t="str">
        <f>TRIM(CONCATENATE(Table43[[#This Row],[Nama            KLP]]," ",Table43[[#This Row],[Nama            Sub KLP]]))</f>
        <v>B&amp;B TOOTH PASTE</v>
      </c>
      <c r="K100" s="4" t="str">
        <f>CONCATENATE(Table43[[#This Row],[kode  2 Digit                (hrf+No)]],Table43[[#This Row],[kode  2 Digit                (Nomor)]],Table43[[#This Row],[kode  1 Digit                (Nomor)]])</f>
        <v>K1048</v>
      </c>
      <c r="L100" s="4" t="str">
        <f t="shared" si="3"/>
        <v>K1048003005020</v>
      </c>
      <c r="M100" s="11">
        <f t="shared" si="4"/>
        <v>14</v>
      </c>
      <c r="N100" s="14" t="str">
        <f>IF(AF100&lt;&gt;"",TRIM(UPPER(CONCATENATE(P100," ",R100," ",T100," ",V100," ",X100," ",Z100," ","X"," ",Table43[[#This Row],[ISI/CTN]]," ",AF100," ",AB100," ",AD100," ",AH100))),TRIM(UPPER(CONCATENATE(P100," ",R100," ",T100," ",V100," ",X100," ",Z100," ","X"," ",Table43[[#This Row],[ISI/CTN]]," ",AB100," ",AD100," ",AH100))))</f>
        <v>KNF B&amp;B TOOTH PASTE BUMBLEBEE 50GR X 48 TUBE</v>
      </c>
      <c r="O100" s="11">
        <f t="shared" si="5"/>
        <v>44</v>
      </c>
      <c r="P100" s="4" t="s">
        <v>97</v>
      </c>
      <c r="Q100" s="7" t="s">
        <v>98</v>
      </c>
      <c r="R100" s="4" t="s">
        <v>2524</v>
      </c>
      <c r="S100" s="44" t="s">
        <v>2474</v>
      </c>
      <c r="T100" s="45" t="s">
        <v>3630</v>
      </c>
      <c r="U100" s="7" t="s">
        <v>3631</v>
      </c>
      <c r="V100" s="45" t="s">
        <v>2961</v>
      </c>
      <c r="W100" s="44" t="s">
        <v>2900</v>
      </c>
      <c r="X100" s="4" t="s">
        <v>3633</v>
      </c>
      <c r="Y100" s="46" t="s">
        <v>2473</v>
      </c>
      <c r="Z100" s="4" t="s">
        <v>3632</v>
      </c>
      <c r="AA100" s="46" t="s">
        <v>2490</v>
      </c>
      <c r="AB100" s="4" t="s">
        <v>1021</v>
      </c>
      <c r="AC100" s="7" t="s">
        <v>3562</v>
      </c>
      <c r="AD100" s="4" t="s">
        <v>2961</v>
      </c>
      <c r="AE100" s="7" t="s">
        <v>2900</v>
      </c>
      <c r="AF100" s="7" t="s">
        <v>2961</v>
      </c>
      <c r="AG100" s="7" t="s">
        <v>2961</v>
      </c>
      <c r="AI100" s="7" t="s">
        <v>2463</v>
      </c>
      <c r="AJ100" s="7" t="s">
        <v>3562</v>
      </c>
      <c r="AK100" s="41">
        <f>Table43[[#This Row],[Harga Jual Pcs GT
(-PPN)]]-(Table43[[#This Row],[Harga Jual Pcs GT
(-PPN)]]*10%)</f>
        <v>0</v>
      </c>
      <c r="AL100" s="42">
        <f>Table43[[#This Row],[Harga Beli Pcs
(-PPN)]]*Table43[[#This Row],[ISI/CTN]]</f>
        <v>0</v>
      </c>
      <c r="AM100" s="42">
        <f>Table43[[#This Row],[Harga Beli Pcs
(-PPN)]]*1.11</f>
        <v>0</v>
      </c>
      <c r="AN100" s="42">
        <f>Table43[[#This Row],[Harga Beli Krt
(- PPN)]]*1.11</f>
        <v>0</v>
      </c>
      <c r="AO100" s="42"/>
      <c r="AP100" s="42">
        <f>Table43[[#This Row],[Harga Jual Pcs GT
(-PPN)]]*Table43[[#This Row],[ISI/CTN]]</f>
        <v>0</v>
      </c>
      <c r="AQ100" s="42">
        <f>Table43[[#This Row],[Harga Jual Pcs GT
(-PPN)]]*1.11</f>
        <v>0</v>
      </c>
      <c r="AR100" s="42">
        <f>Table43[[#This Row],[Harga Jual Krt GT
(- PPN)]]*1.11</f>
        <v>0</v>
      </c>
      <c r="AS100" s="42">
        <f>Table43[[#This Row],[Harga Jual Pcs GT
(-PPN)]]</f>
        <v>0</v>
      </c>
      <c r="AT100" s="42">
        <f>(Table43[[#This Row],[Harga Jual Pcs MT
(-PPN)]]*Table43[[#This Row],[ISI/CTN]])</f>
        <v>0</v>
      </c>
      <c r="AU100" s="42">
        <f>Table43[[#This Row],[Harga Jual Pcs MT
(-PPN)]]*1.11</f>
        <v>0</v>
      </c>
      <c r="AV100" s="42">
        <f>Table43[[#This Row],[Harga Jual Pcs MT
(+PPN)]]*Table43[[#This Row],[ISI/CTN]]</f>
        <v>0</v>
      </c>
      <c r="AW100" s="47"/>
      <c r="AX100" s="7"/>
      <c r="AY100" s="7" t="str">
        <f ca="1">IF(TODAY()-Table43[[#This Row],[Efektif
Pembuatan]]&gt;60,"Lama","Baru")</f>
        <v>Lama</v>
      </c>
      <c r="AZ100" s="7" t="str">
        <f ca="1">IF(TODAY()-Table43[[#This Row],[Efektif Naik Harga]]&lt;30,"Naik","Sama")</f>
        <v>Sama</v>
      </c>
      <c r="BA100" s="7" t="str">
        <f>IF(Table43[[#This Row],[Kode BARANG Win2]]&lt;&gt;"","IDR","")</f>
        <v>IDR</v>
      </c>
      <c r="BB100" s="7" t="str">
        <f>CONCATENATE(Table43[[#This Row],[kode  1 Digit
(Nomor)]],Table43[[#This Row],[kode  4 Digit                (Nomor)]])</f>
        <v>20050</v>
      </c>
      <c r="BC100" s="7" t="str">
        <f>Table43[[#This Row],[Nama            Gramasi atau Jumlah Pack per CTN]]</f>
        <v>50GR</v>
      </c>
      <c r="BD100" s="7"/>
      <c r="BE100" s="7"/>
      <c r="BF100" s="4" t="str">
        <f>IF(Table43[[#This Row],[SATUAN Fix Win]]&lt;&gt;"","KRT")</f>
        <v>KRT</v>
      </c>
      <c r="BG100" s="4" t="str">
        <f>IF(Table43[[#This Row],[SATUAN Fix Win]]&lt;&gt;"","GD01")</f>
        <v>GD01</v>
      </c>
      <c r="BH100" s="4">
        <f>IF(Table43[[#This Row],[SATUAN Fix Win]]&lt;&gt;"",11611)</f>
        <v>11611</v>
      </c>
      <c r="BI100" s="4">
        <f>IF(Table43[[#This Row],[SATUAN Fix Win]]&lt;&gt;"",11612)</f>
        <v>11612</v>
      </c>
      <c r="BJ100" s="48"/>
      <c r="BK100" s="4">
        <f>IF(Table43[[#This Row],[SATUAN Fix Win]]&lt;&gt;"",1)</f>
        <v>1</v>
      </c>
    </row>
    <row r="101" spans="1:63">
      <c r="A101" s="4" t="str">
        <f>CONCATENATE(Table43[[#This Row],[Kode BARANG Win2]],Table43[[#This Row],[No. Urut
Item Sama]])</f>
        <v>K10480040050201</v>
      </c>
      <c r="B101" s="7">
        <v>1</v>
      </c>
      <c r="D101" s="28" t="s">
        <v>839</v>
      </c>
      <c r="E101" s="28"/>
      <c r="F101" s="28" t="s">
        <v>3404</v>
      </c>
      <c r="G101" s="78">
        <v>48</v>
      </c>
      <c r="H101" s="43"/>
      <c r="I101" s="28" t="str">
        <f>Table43[[#This Row],[Nama Jenis Kemasan]]</f>
        <v>TUBE</v>
      </c>
      <c r="J101" s="4" t="str">
        <f>TRIM(CONCATENATE(Table43[[#This Row],[Nama            KLP]]," ",Table43[[#This Row],[Nama            Sub KLP]]))</f>
        <v>B&amp;B TOOTH PASTE</v>
      </c>
      <c r="K101" s="4" t="str">
        <f>CONCATENATE(Table43[[#This Row],[kode  2 Digit                (hrf+No)]],Table43[[#This Row],[kode  2 Digit                (Nomor)]],Table43[[#This Row],[kode  1 Digit                (Nomor)]])</f>
        <v>K1048</v>
      </c>
      <c r="L101" s="4" t="str">
        <f t="shared" si="3"/>
        <v>K1048004005020</v>
      </c>
      <c r="M101" s="11">
        <f t="shared" si="4"/>
        <v>14</v>
      </c>
      <c r="N101" s="14" t="str">
        <f>IF(AF101&lt;&gt;"",TRIM(UPPER(CONCATENATE(P101," ",R101," ",T101," ",V101," ",X101," ",Z101," ","X"," ",Table43[[#This Row],[ISI/CTN]]," ",AF101," ",AB101," ",AD101," ",AH101))),TRIM(UPPER(CONCATENATE(P101," ",R101," ",T101," ",V101," ",X101," ",Z101," ","X"," ",Table43[[#This Row],[ISI/CTN]]," ",AB101," ",AD101," ",AH101))))</f>
        <v>KNF B&amp;B TOOTH PASTE OPT PRIME 50GR X 48 TUBE</v>
      </c>
      <c r="O101" s="11">
        <f t="shared" si="5"/>
        <v>44</v>
      </c>
      <c r="P101" s="4" t="s">
        <v>97</v>
      </c>
      <c r="Q101" s="7" t="s">
        <v>98</v>
      </c>
      <c r="R101" s="4" t="s">
        <v>2524</v>
      </c>
      <c r="S101" s="44" t="s">
        <v>2474</v>
      </c>
      <c r="T101" s="45" t="s">
        <v>3630</v>
      </c>
      <c r="U101" s="7" t="s">
        <v>3631</v>
      </c>
      <c r="V101" s="45" t="s">
        <v>2961</v>
      </c>
      <c r="W101" s="44" t="s">
        <v>2900</v>
      </c>
      <c r="X101" s="4" t="s">
        <v>3634</v>
      </c>
      <c r="Y101" s="46" t="s">
        <v>2474</v>
      </c>
      <c r="Z101" s="4" t="s">
        <v>3632</v>
      </c>
      <c r="AA101" s="46" t="s">
        <v>2490</v>
      </c>
      <c r="AB101" s="4" t="s">
        <v>1021</v>
      </c>
      <c r="AC101" s="7" t="s">
        <v>3562</v>
      </c>
      <c r="AD101" s="4" t="s">
        <v>2961</v>
      </c>
      <c r="AE101" s="7" t="s">
        <v>2900</v>
      </c>
      <c r="AF101" s="7" t="s">
        <v>2961</v>
      </c>
      <c r="AG101" s="7" t="s">
        <v>2961</v>
      </c>
      <c r="AI101" s="7" t="s">
        <v>2463</v>
      </c>
      <c r="AJ101" s="7" t="s">
        <v>3562</v>
      </c>
      <c r="AK101" s="41">
        <f>Table43[[#This Row],[Harga Jual Pcs GT
(-PPN)]]-(Table43[[#This Row],[Harga Jual Pcs GT
(-PPN)]]*10%)</f>
        <v>0</v>
      </c>
      <c r="AL101" s="42">
        <f>Table43[[#This Row],[Harga Beli Pcs
(-PPN)]]*Table43[[#This Row],[ISI/CTN]]</f>
        <v>0</v>
      </c>
      <c r="AM101" s="42">
        <f>Table43[[#This Row],[Harga Beli Pcs
(-PPN)]]*1.11</f>
        <v>0</v>
      </c>
      <c r="AN101" s="42">
        <f>Table43[[#This Row],[Harga Beli Krt
(- PPN)]]*1.11</f>
        <v>0</v>
      </c>
      <c r="AO101" s="42"/>
      <c r="AP101" s="42">
        <f>Table43[[#This Row],[Harga Jual Pcs GT
(-PPN)]]*Table43[[#This Row],[ISI/CTN]]</f>
        <v>0</v>
      </c>
      <c r="AQ101" s="42">
        <f>Table43[[#This Row],[Harga Jual Pcs GT
(-PPN)]]*1.11</f>
        <v>0</v>
      </c>
      <c r="AR101" s="42">
        <f>Table43[[#This Row],[Harga Jual Krt GT
(- PPN)]]*1.11</f>
        <v>0</v>
      </c>
      <c r="AS101" s="42">
        <f>Table43[[#This Row],[Harga Jual Pcs GT
(-PPN)]]</f>
        <v>0</v>
      </c>
      <c r="AT101" s="42">
        <f>(Table43[[#This Row],[Harga Jual Pcs MT
(-PPN)]]*Table43[[#This Row],[ISI/CTN]])</f>
        <v>0</v>
      </c>
      <c r="AU101" s="42">
        <f>Table43[[#This Row],[Harga Jual Pcs MT
(-PPN)]]*1.11</f>
        <v>0</v>
      </c>
      <c r="AV101" s="42">
        <f>Table43[[#This Row],[Harga Jual Pcs MT
(+PPN)]]*Table43[[#This Row],[ISI/CTN]]</f>
        <v>0</v>
      </c>
      <c r="AW101" s="47"/>
      <c r="AX101" s="7"/>
      <c r="AY101" s="7" t="str">
        <f ca="1">IF(TODAY()-Table43[[#This Row],[Efektif
Pembuatan]]&gt;60,"Lama","Baru")</f>
        <v>Lama</v>
      </c>
      <c r="AZ101" s="7" t="str">
        <f ca="1">IF(TODAY()-Table43[[#This Row],[Efektif Naik Harga]]&lt;30,"Naik","Sama")</f>
        <v>Sama</v>
      </c>
      <c r="BA101" s="7" t="str">
        <f>IF(Table43[[#This Row],[Kode BARANG Win2]]&lt;&gt;"","IDR","")</f>
        <v>IDR</v>
      </c>
      <c r="BB101" s="7" t="str">
        <f>CONCATENATE(Table43[[#This Row],[kode  1 Digit
(Nomor)]],Table43[[#This Row],[kode  4 Digit                (Nomor)]])</f>
        <v>20050</v>
      </c>
      <c r="BC101" s="7" t="str">
        <f>Table43[[#This Row],[Nama            Gramasi atau Jumlah Pack per CTN]]</f>
        <v>50GR</v>
      </c>
      <c r="BD101" s="7"/>
      <c r="BE101" s="7"/>
      <c r="BF101" s="4" t="str">
        <f>IF(Table43[[#This Row],[SATUAN Fix Win]]&lt;&gt;"","KRT")</f>
        <v>KRT</v>
      </c>
      <c r="BG101" s="4" t="str">
        <f>IF(Table43[[#This Row],[SATUAN Fix Win]]&lt;&gt;"","GD01")</f>
        <v>GD01</v>
      </c>
      <c r="BH101" s="4">
        <f>IF(Table43[[#This Row],[SATUAN Fix Win]]&lt;&gt;"",11611)</f>
        <v>11611</v>
      </c>
      <c r="BI101" s="4">
        <f>IF(Table43[[#This Row],[SATUAN Fix Win]]&lt;&gt;"",11612)</f>
        <v>11612</v>
      </c>
      <c r="BJ101" s="48"/>
      <c r="BK101" s="4">
        <f>IF(Table43[[#This Row],[SATUAN Fix Win]]&lt;&gt;"",1)</f>
        <v>1</v>
      </c>
    </row>
    <row r="102" spans="1:63">
      <c r="A102" s="4" t="str">
        <f>CONCATENATE(Table43[[#This Row],[Kode BARANG Win2]],Table43[[#This Row],[No. Urut
Item Sama]])</f>
        <v>K10480050050201</v>
      </c>
      <c r="B102" s="7">
        <v>1</v>
      </c>
      <c r="D102" s="28" t="s">
        <v>840</v>
      </c>
      <c r="E102" s="28"/>
      <c r="F102" s="28" t="s">
        <v>3405</v>
      </c>
      <c r="G102" s="78">
        <v>48</v>
      </c>
      <c r="H102" s="43"/>
      <c r="I102" s="28" t="str">
        <f>Table43[[#This Row],[Nama Jenis Kemasan]]</f>
        <v>TUBE</v>
      </c>
      <c r="J102" s="4" t="str">
        <f>TRIM(CONCATENATE(Table43[[#This Row],[Nama            KLP]]," ",Table43[[#This Row],[Nama            Sub KLP]]))</f>
        <v>B&amp;B TOOTH PASTE</v>
      </c>
      <c r="K102" s="4" t="str">
        <f>CONCATENATE(Table43[[#This Row],[kode  2 Digit                (hrf+No)]],Table43[[#This Row],[kode  2 Digit                (Nomor)]],Table43[[#This Row],[kode  1 Digit                (Nomor)]])</f>
        <v>K1048</v>
      </c>
      <c r="L102" s="4" t="str">
        <f t="shared" si="3"/>
        <v>K1048005005020</v>
      </c>
      <c r="M102" s="11">
        <f t="shared" si="4"/>
        <v>14</v>
      </c>
      <c r="N102" s="14" t="str">
        <f>IF(AF102&lt;&gt;"",TRIM(UPPER(CONCATENATE(P102," ",R102," ",T102," ",V102," ",X102," ",Z102," ","X"," ",Table43[[#This Row],[ISI/CTN]]," ",AF102," ",AB102," ",AD102," ",AH102))),TRIM(UPPER(CONCATENATE(P102," ",R102," ",T102," ",V102," ",X102," ",Z102," ","X"," ",Table43[[#This Row],[ISI/CTN]]," ",AB102," ",AD102," ",AH102))))</f>
        <v>KNF B&amp;B TOOTH PASTE POWERPUFF GIRL 50GR X 48 TUBE</v>
      </c>
      <c r="O102" s="11">
        <f t="shared" si="5"/>
        <v>49</v>
      </c>
      <c r="P102" s="4" t="s">
        <v>97</v>
      </c>
      <c r="Q102" s="7" t="s">
        <v>98</v>
      </c>
      <c r="R102" s="4" t="s">
        <v>2524</v>
      </c>
      <c r="S102" s="44" t="s">
        <v>2474</v>
      </c>
      <c r="T102" s="45" t="s">
        <v>3630</v>
      </c>
      <c r="U102" s="7" t="s">
        <v>3631</v>
      </c>
      <c r="V102" s="45" t="s">
        <v>2961</v>
      </c>
      <c r="W102" s="44" t="s">
        <v>2900</v>
      </c>
      <c r="X102" s="4" t="s">
        <v>3635</v>
      </c>
      <c r="Y102" s="46" t="s">
        <v>2475</v>
      </c>
      <c r="Z102" s="4" t="s">
        <v>3632</v>
      </c>
      <c r="AA102" s="46" t="s">
        <v>2490</v>
      </c>
      <c r="AB102" s="4" t="s">
        <v>1021</v>
      </c>
      <c r="AC102" s="7" t="s">
        <v>3562</v>
      </c>
      <c r="AD102" s="4" t="s">
        <v>2961</v>
      </c>
      <c r="AE102" s="7" t="s">
        <v>2900</v>
      </c>
      <c r="AF102" s="7" t="s">
        <v>2961</v>
      </c>
      <c r="AG102" s="7" t="s">
        <v>2961</v>
      </c>
      <c r="AI102" s="7" t="s">
        <v>2463</v>
      </c>
      <c r="AJ102" s="7" t="s">
        <v>3562</v>
      </c>
      <c r="AK102" s="41">
        <f>Table43[[#This Row],[Harga Jual Pcs GT
(-PPN)]]-(Table43[[#This Row],[Harga Jual Pcs GT
(-PPN)]]*10%)</f>
        <v>0</v>
      </c>
      <c r="AL102" s="42">
        <f>Table43[[#This Row],[Harga Beli Pcs
(-PPN)]]*Table43[[#This Row],[ISI/CTN]]</f>
        <v>0</v>
      </c>
      <c r="AM102" s="42">
        <f>Table43[[#This Row],[Harga Beli Pcs
(-PPN)]]*1.11</f>
        <v>0</v>
      </c>
      <c r="AN102" s="42">
        <f>Table43[[#This Row],[Harga Beli Krt
(- PPN)]]*1.11</f>
        <v>0</v>
      </c>
      <c r="AO102" s="42"/>
      <c r="AP102" s="42">
        <f>Table43[[#This Row],[Harga Jual Pcs GT
(-PPN)]]*Table43[[#This Row],[ISI/CTN]]</f>
        <v>0</v>
      </c>
      <c r="AQ102" s="42">
        <f>Table43[[#This Row],[Harga Jual Pcs GT
(-PPN)]]*1.11</f>
        <v>0</v>
      </c>
      <c r="AR102" s="42">
        <f>Table43[[#This Row],[Harga Jual Krt GT
(- PPN)]]*1.11</f>
        <v>0</v>
      </c>
      <c r="AS102" s="42">
        <f>Table43[[#This Row],[Harga Jual Pcs GT
(-PPN)]]</f>
        <v>0</v>
      </c>
      <c r="AT102" s="42">
        <f>(Table43[[#This Row],[Harga Jual Pcs MT
(-PPN)]]*Table43[[#This Row],[ISI/CTN]])</f>
        <v>0</v>
      </c>
      <c r="AU102" s="42">
        <f>Table43[[#This Row],[Harga Jual Pcs MT
(-PPN)]]*1.11</f>
        <v>0</v>
      </c>
      <c r="AV102" s="42">
        <f>Table43[[#This Row],[Harga Jual Pcs MT
(+PPN)]]*Table43[[#This Row],[ISI/CTN]]</f>
        <v>0</v>
      </c>
      <c r="AW102" s="47"/>
      <c r="AX102" s="7"/>
      <c r="AY102" s="7" t="str">
        <f ca="1">IF(TODAY()-Table43[[#This Row],[Efektif
Pembuatan]]&gt;60,"Lama","Baru")</f>
        <v>Lama</v>
      </c>
      <c r="AZ102" s="7" t="str">
        <f ca="1">IF(TODAY()-Table43[[#This Row],[Efektif Naik Harga]]&lt;30,"Naik","Sama")</f>
        <v>Sama</v>
      </c>
      <c r="BA102" s="7" t="str">
        <f>IF(Table43[[#This Row],[Kode BARANG Win2]]&lt;&gt;"","IDR","")</f>
        <v>IDR</v>
      </c>
      <c r="BB102" s="7" t="str">
        <f>CONCATENATE(Table43[[#This Row],[kode  1 Digit
(Nomor)]],Table43[[#This Row],[kode  4 Digit                (Nomor)]])</f>
        <v>20050</v>
      </c>
      <c r="BC102" s="7" t="str">
        <f>Table43[[#This Row],[Nama            Gramasi atau Jumlah Pack per CTN]]</f>
        <v>50GR</v>
      </c>
      <c r="BD102" s="7"/>
      <c r="BE102" s="7"/>
      <c r="BF102" s="4" t="str">
        <f>IF(Table43[[#This Row],[SATUAN Fix Win]]&lt;&gt;"","KRT")</f>
        <v>KRT</v>
      </c>
      <c r="BG102" s="4" t="str">
        <f>IF(Table43[[#This Row],[SATUAN Fix Win]]&lt;&gt;"","GD01")</f>
        <v>GD01</v>
      </c>
      <c r="BH102" s="4">
        <f>IF(Table43[[#This Row],[SATUAN Fix Win]]&lt;&gt;"",11611)</f>
        <v>11611</v>
      </c>
      <c r="BI102" s="4">
        <f>IF(Table43[[#This Row],[SATUAN Fix Win]]&lt;&gt;"",11612)</f>
        <v>11612</v>
      </c>
      <c r="BJ102" s="48"/>
      <c r="BK102" s="4">
        <f>IF(Table43[[#This Row],[SATUAN Fix Win]]&lt;&gt;"",1)</f>
        <v>1</v>
      </c>
    </row>
    <row r="103" spans="1:63">
      <c r="A103" s="4" t="str">
        <f>CONCATENATE(Table43[[#This Row],[Kode BARANG Win2]],Table43[[#This Row],[No. Urut
Item Sama]])</f>
        <v>K10480060050201</v>
      </c>
      <c r="B103" s="7">
        <v>1</v>
      </c>
      <c r="D103" s="28" t="s">
        <v>842</v>
      </c>
      <c r="E103" s="28"/>
      <c r="F103" s="28" t="s">
        <v>3406</v>
      </c>
      <c r="G103" s="78">
        <v>48</v>
      </c>
      <c r="H103" s="43"/>
      <c r="I103" s="28" t="str">
        <f>Table43[[#This Row],[Nama Jenis Kemasan]]</f>
        <v>TUBE</v>
      </c>
      <c r="J103" s="4" t="str">
        <f>TRIM(CONCATENATE(Table43[[#This Row],[Nama            KLP]]," ",Table43[[#This Row],[Nama            Sub KLP]]))</f>
        <v>B&amp;B TOOTH PASTE</v>
      </c>
      <c r="K103" s="4" t="str">
        <f>CONCATENATE(Table43[[#This Row],[kode  2 Digit                (hrf+No)]],Table43[[#This Row],[kode  2 Digit                (Nomor)]],Table43[[#This Row],[kode  1 Digit                (Nomor)]])</f>
        <v>K1048</v>
      </c>
      <c r="L103" s="4" t="str">
        <f t="shared" si="3"/>
        <v>K1048006005020</v>
      </c>
      <c r="M103" s="11">
        <f t="shared" si="4"/>
        <v>14</v>
      </c>
      <c r="N103" s="14" t="str">
        <f>IF(AF103&lt;&gt;"",TRIM(UPPER(CONCATENATE(P103," ",R103," ",T103," ",V103," ",X103," ",Z103," ","X"," ",Table43[[#This Row],[ISI/CTN]]," ",AF103," ",AB103," ",AD103," ",AH103))),TRIM(UPPER(CONCATENATE(P103," ",R103," ",T103," ",V103," ",X103," ",Z103," ","X"," ",Table43[[#This Row],[ISI/CTN]]," ",AB103," ",AD103," ",AH103))))</f>
        <v>KNF B&amp;B TOOTH PASTE PINKIE PIE 50GR X 48 TUBE</v>
      </c>
      <c r="O103" s="11">
        <f t="shared" si="5"/>
        <v>45</v>
      </c>
      <c r="P103" s="4" t="s">
        <v>97</v>
      </c>
      <c r="Q103" s="7" t="s">
        <v>98</v>
      </c>
      <c r="R103" s="4" t="s">
        <v>2524</v>
      </c>
      <c r="S103" s="44" t="s">
        <v>2474</v>
      </c>
      <c r="T103" s="45" t="s">
        <v>3630</v>
      </c>
      <c r="U103" s="7" t="s">
        <v>3631</v>
      </c>
      <c r="V103" s="45" t="s">
        <v>2961</v>
      </c>
      <c r="W103" s="44" t="s">
        <v>2900</v>
      </c>
      <c r="X103" s="4" t="s">
        <v>3613</v>
      </c>
      <c r="Y103" s="46" t="s">
        <v>2476</v>
      </c>
      <c r="Z103" s="4" t="s">
        <v>3632</v>
      </c>
      <c r="AA103" s="46" t="s">
        <v>2490</v>
      </c>
      <c r="AB103" s="4" t="s">
        <v>1021</v>
      </c>
      <c r="AC103" s="7" t="s">
        <v>3562</v>
      </c>
      <c r="AD103" s="4" t="s">
        <v>2961</v>
      </c>
      <c r="AE103" s="7" t="s">
        <v>2900</v>
      </c>
      <c r="AF103" s="7" t="s">
        <v>2961</v>
      </c>
      <c r="AG103" s="7" t="s">
        <v>2961</v>
      </c>
      <c r="AI103" s="7" t="s">
        <v>2463</v>
      </c>
      <c r="AJ103" s="7" t="s">
        <v>3562</v>
      </c>
      <c r="AK103" s="41">
        <f>Table43[[#This Row],[Harga Jual Pcs GT
(-PPN)]]-(Table43[[#This Row],[Harga Jual Pcs GT
(-PPN)]]*10%)</f>
        <v>0</v>
      </c>
      <c r="AL103" s="42">
        <f>Table43[[#This Row],[Harga Beli Pcs
(-PPN)]]*Table43[[#This Row],[ISI/CTN]]</f>
        <v>0</v>
      </c>
      <c r="AM103" s="42">
        <f>Table43[[#This Row],[Harga Beli Pcs
(-PPN)]]*1.11</f>
        <v>0</v>
      </c>
      <c r="AN103" s="42">
        <f>Table43[[#This Row],[Harga Beli Krt
(- PPN)]]*1.11</f>
        <v>0</v>
      </c>
      <c r="AO103" s="42"/>
      <c r="AP103" s="42">
        <f>Table43[[#This Row],[Harga Jual Pcs GT
(-PPN)]]*Table43[[#This Row],[ISI/CTN]]</f>
        <v>0</v>
      </c>
      <c r="AQ103" s="42">
        <f>Table43[[#This Row],[Harga Jual Pcs GT
(-PPN)]]*1.11</f>
        <v>0</v>
      </c>
      <c r="AR103" s="42">
        <f>Table43[[#This Row],[Harga Jual Krt GT
(- PPN)]]*1.11</f>
        <v>0</v>
      </c>
      <c r="AS103" s="42">
        <f>Table43[[#This Row],[Harga Jual Pcs GT
(-PPN)]]</f>
        <v>0</v>
      </c>
      <c r="AT103" s="42">
        <f>(Table43[[#This Row],[Harga Jual Pcs MT
(-PPN)]]*Table43[[#This Row],[ISI/CTN]])</f>
        <v>0</v>
      </c>
      <c r="AU103" s="42">
        <f>Table43[[#This Row],[Harga Jual Pcs MT
(-PPN)]]*1.11</f>
        <v>0</v>
      </c>
      <c r="AV103" s="42">
        <f>Table43[[#This Row],[Harga Jual Pcs MT
(+PPN)]]*Table43[[#This Row],[ISI/CTN]]</f>
        <v>0</v>
      </c>
      <c r="AW103" s="47"/>
      <c r="AX103" s="7"/>
      <c r="AY103" s="7" t="str">
        <f ca="1">IF(TODAY()-Table43[[#This Row],[Efektif
Pembuatan]]&gt;60,"Lama","Baru")</f>
        <v>Lama</v>
      </c>
      <c r="AZ103" s="7" t="str">
        <f ca="1">IF(TODAY()-Table43[[#This Row],[Efektif Naik Harga]]&lt;30,"Naik","Sama")</f>
        <v>Sama</v>
      </c>
      <c r="BA103" s="7" t="str">
        <f>IF(Table43[[#This Row],[Kode BARANG Win2]]&lt;&gt;"","IDR","")</f>
        <v>IDR</v>
      </c>
      <c r="BB103" s="7" t="str">
        <f>CONCATENATE(Table43[[#This Row],[kode  1 Digit
(Nomor)]],Table43[[#This Row],[kode  4 Digit                (Nomor)]])</f>
        <v>20050</v>
      </c>
      <c r="BC103" s="7" t="str">
        <f>Table43[[#This Row],[Nama            Gramasi atau Jumlah Pack per CTN]]</f>
        <v>50GR</v>
      </c>
      <c r="BD103" s="7"/>
      <c r="BE103" s="7"/>
      <c r="BF103" s="4" t="str">
        <f>IF(Table43[[#This Row],[SATUAN Fix Win]]&lt;&gt;"","KRT")</f>
        <v>KRT</v>
      </c>
      <c r="BG103" s="4" t="str">
        <f>IF(Table43[[#This Row],[SATUAN Fix Win]]&lt;&gt;"","GD01")</f>
        <v>GD01</v>
      </c>
      <c r="BH103" s="4">
        <f>IF(Table43[[#This Row],[SATUAN Fix Win]]&lt;&gt;"",11611)</f>
        <v>11611</v>
      </c>
      <c r="BI103" s="4">
        <f>IF(Table43[[#This Row],[SATUAN Fix Win]]&lt;&gt;"",11612)</f>
        <v>11612</v>
      </c>
      <c r="BJ103" s="48"/>
      <c r="BK103" s="4">
        <f>IF(Table43[[#This Row],[SATUAN Fix Win]]&lt;&gt;"",1)</f>
        <v>1</v>
      </c>
    </row>
    <row r="104" spans="1:63">
      <c r="A104" s="4" t="str">
        <f>CONCATENATE(Table43[[#This Row],[Kode BARANG Win2]],Table43[[#This Row],[No. Urut
Item Sama]])</f>
        <v>K10480070050201</v>
      </c>
      <c r="B104" s="7">
        <v>1</v>
      </c>
      <c r="D104" s="28" t="s">
        <v>843</v>
      </c>
      <c r="E104" s="28"/>
      <c r="F104" s="28" t="s">
        <v>3407</v>
      </c>
      <c r="G104" s="78">
        <v>48</v>
      </c>
      <c r="H104" s="43"/>
      <c r="I104" s="28" t="str">
        <f>Table43[[#This Row],[Nama Jenis Kemasan]]</f>
        <v>TUBE</v>
      </c>
      <c r="J104" s="4" t="str">
        <f>TRIM(CONCATENATE(Table43[[#This Row],[Nama            KLP]]," ",Table43[[#This Row],[Nama            Sub KLP]]))</f>
        <v>B&amp;B TOOTH PASTE</v>
      </c>
      <c r="K104" s="4" t="str">
        <f>CONCATENATE(Table43[[#This Row],[kode  2 Digit                (hrf+No)]],Table43[[#This Row],[kode  2 Digit                (Nomor)]],Table43[[#This Row],[kode  1 Digit                (Nomor)]])</f>
        <v>K1048</v>
      </c>
      <c r="L104" s="4" t="str">
        <f t="shared" si="3"/>
        <v>K1048007005020</v>
      </c>
      <c r="M104" s="11">
        <f t="shared" si="4"/>
        <v>14</v>
      </c>
      <c r="N104" s="14" t="str">
        <f>IF(AF104&lt;&gt;"",TRIM(UPPER(CONCATENATE(P104," ",R104," ",T104," ",V104," ",X104," ",Z104," ","X"," ",Table43[[#This Row],[ISI/CTN]]," ",AF104," ",AB104," ",AD104," ",AH104))),TRIM(UPPER(CONCATENATE(P104," ",R104," ",T104," ",V104," ",X104," ",Z104," ","X"," ",Table43[[#This Row],[ISI/CTN]]," ",AB104," ",AD104," ",AH104))))</f>
        <v>KNF B&amp;B TOOTH PASTE RAINBOW DASH 50GR X 48 TUBE</v>
      </c>
      <c r="O104" s="11">
        <f t="shared" si="5"/>
        <v>47</v>
      </c>
      <c r="P104" s="4" t="s">
        <v>97</v>
      </c>
      <c r="Q104" s="7" t="s">
        <v>98</v>
      </c>
      <c r="R104" s="4" t="s">
        <v>2524</v>
      </c>
      <c r="S104" s="44" t="s">
        <v>2474</v>
      </c>
      <c r="T104" s="45" t="s">
        <v>3630</v>
      </c>
      <c r="U104" s="7" t="s">
        <v>3631</v>
      </c>
      <c r="V104" s="45" t="s">
        <v>2961</v>
      </c>
      <c r="W104" s="44" t="s">
        <v>2900</v>
      </c>
      <c r="X104" s="4" t="s">
        <v>3636</v>
      </c>
      <c r="Y104" s="46" t="s">
        <v>2477</v>
      </c>
      <c r="Z104" s="4" t="s">
        <v>3632</v>
      </c>
      <c r="AA104" s="46" t="s">
        <v>2490</v>
      </c>
      <c r="AB104" s="4" t="s">
        <v>1021</v>
      </c>
      <c r="AC104" s="7" t="s">
        <v>3562</v>
      </c>
      <c r="AD104" s="4" t="s">
        <v>2961</v>
      </c>
      <c r="AE104" s="7" t="s">
        <v>2900</v>
      </c>
      <c r="AF104" s="7" t="s">
        <v>2961</v>
      </c>
      <c r="AG104" s="7" t="s">
        <v>2961</v>
      </c>
      <c r="AI104" s="7" t="s">
        <v>2463</v>
      </c>
      <c r="AJ104" s="7" t="s">
        <v>3562</v>
      </c>
      <c r="AK104" s="41">
        <f>Table43[[#This Row],[Harga Jual Pcs GT
(-PPN)]]-(Table43[[#This Row],[Harga Jual Pcs GT
(-PPN)]]*10%)</f>
        <v>0</v>
      </c>
      <c r="AL104" s="42">
        <f>Table43[[#This Row],[Harga Beli Pcs
(-PPN)]]*Table43[[#This Row],[ISI/CTN]]</f>
        <v>0</v>
      </c>
      <c r="AM104" s="42">
        <f>Table43[[#This Row],[Harga Beli Pcs
(-PPN)]]*1.11</f>
        <v>0</v>
      </c>
      <c r="AN104" s="42">
        <f>Table43[[#This Row],[Harga Beli Krt
(- PPN)]]*1.11</f>
        <v>0</v>
      </c>
      <c r="AO104" s="42"/>
      <c r="AP104" s="42">
        <f>Table43[[#This Row],[Harga Jual Pcs GT
(-PPN)]]*Table43[[#This Row],[ISI/CTN]]</f>
        <v>0</v>
      </c>
      <c r="AQ104" s="42">
        <f>Table43[[#This Row],[Harga Jual Pcs GT
(-PPN)]]*1.11</f>
        <v>0</v>
      </c>
      <c r="AR104" s="42">
        <f>Table43[[#This Row],[Harga Jual Krt GT
(- PPN)]]*1.11</f>
        <v>0</v>
      </c>
      <c r="AS104" s="42">
        <f>Table43[[#This Row],[Harga Jual Pcs GT
(-PPN)]]</f>
        <v>0</v>
      </c>
      <c r="AT104" s="42">
        <f>(Table43[[#This Row],[Harga Jual Pcs MT
(-PPN)]]*Table43[[#This Row],[ISI/CTN]])</f>
        <v>0</v>
      </c>
      <c r="AU104" s="42">
        <f>Table43[[#This Row],[Harga Jual Pcs MT
(-PPN)]]*1.11</f>
        <v>0</v>
      </c>
      <c r="AV104" s="42">
        <f>Table43[[#This Row],[Harga Jual Pcs MT
(+PPN)]]*Table43[[#This Row],[ISI/CTN]]</f>
        <v>0</v>
      </c>
      <c r="AW104" s="47"/>
      <c r="AX104" s="7"/>
      <c r="AY104" s="7" t="str">
        <f ca="1">IF(TODAY()-Table43[[#This Row],[Efektif
Pembuatan]]&gt;60,"Lama","Baru")</f>
        <v>Lama</v>
      </c>
      <c r="AZ104" s="7" t="str">
        <f ca="1">IF(TODAY()-Table43[[#This Row],[Efektif Naik Harga]]&lt;30,"Naik","Sama")</f>
        <v>Sama</v>
      </c>
      <c r="BA104" s="7" t="str">
        <f>IF(Table43[[#This Row],[Kode BARANG Win2]]&lt;&gt;"","IDR","")</f>
        <v>IDR</v>
      </c>
      <c r="BB104" s="7" t="str">
        <f>CONCATENATE(Table43[[#This Row],[kode  1 Digit
(Nomor)]],Table43[[#This Row],[kode  4 Digit                (Nomor)]])</f>
        <v>20050</v>
      </c>
      <c r="BC104" s="7" t="str">
        <f>Table43[[#This Row],[Nama            Gramasi atau Jumlah Pack per CTN]]</f>
        <v>50GR</v>
      </c>
      <c r="BD104" s="7"/>
      <c r="BE104" s="7"/>
      <c r="BF104" s="4" t="str">
        <f>IF(Table43[[#This Row],[SATUAN Fix Win]]&lt;&gt;"","KRT")</f>
        <v>KRT</v>
      </c>
      <c r="BG104" s="4" t="str">
        <f>IF(Table43[[#This Row],[SATUAN Fix Win]]&lt;&gt;"","GD01")</f>
        <v>GD01</v>
      </c>
      <c r="BH104" s="4">
        <f>IF(Table43[[#This Row],[SATUAN Fix Win]]&lt;&gt;"",11611)</f>
        <v>11611</v>
      </c>
      <c r="BI104" s="4">
        <f>IF(Table43[[#This Row],[SATUAN Fix Win]]&lt;&gt;"",11612)</f>
        <v>11612</v>
      </c>
      <c r="BJ104" s="48"/>
      <c r="BK104" s="4">
        <f>IF(Table43[[#This Row],[SATUAN Fix Win]]&lt;&gt;"",1)</f>
        <v>1</v>
      </c>
    </row>
    <row r="105" spans="1:63">
      <c r="A105" s="4" t="str">
        <f>CONCATENATE(Table43[[#This Row],[Kode BARANG Win2]],Table43[[#This Row],[No. Urut
Item Sama]])</f>
        <v>K10480080045101</v>
      </c>
      <c r="B105" s="7">
        <v>1</v>
      </c>
      <c r="D105" s="28" t="s">
        <v>844</v>
      </c>
      <c r="E105" s="28"/>
      <c r="F105" s="28" t="s">
        <v>2936</v>
      </c>
      <c r="G105" s="78">
        <v>48</v>
      </c>
      <c r="H105" s="43"/>
      <c r="I105" s="28" t="str">
        <f>Table43[[#This Row],[Nama Jenis Kemasan]]</f>
        <v>PACK</v>
      </c>
      <c r="J105" s="4" t="str">
        <f>TRIM(CONCATENATE(Table43[[#This Row],[Nama            KLP]]," ",Table43[[#This Row],[Nama            Sub KLP]]))</f>
        <v>B&amp;B TOOTH PASTE</v>
      </c>
      <c r="K105" s="4" t="str">
        <f>CONCATENATE(Table43[[#This Row],[kode  2 Digit                (hrf+No)]],Table43[[#This Row],[kode  2 Digit                (Nomor)]],Table43[[#This Row],[kode  1 Digit                (Nomor)]])</f>
        <v>K1048</v>
      </c>
      <c r="L105" s="4" t="str">
        <f t="shared" si="3"/>
        <v>K1048008004510</v>
      </c>
      <c r="M105" s="11">
        <f t="shared" si="4"/>
        <v>14</v>
      </c>
      <c r="N105" s="14" t="str">
        <f>IF(AF105&lt;&gt;"",TRIM(UPPER(CONCATENATE(P105," ",R105," ",T105," ",V105," ",X105," ",Z105," ","X"," ",Table43[[#This Row],[ISI/CTN]]," ",AF105," ",AB105," ",AD105," ",AH105))),TRIM(UPPER(CONCATENATE(P105," ",R105," ",T105," ",V105," ",X105," ",Z105," ","X"," ",Table43[[#This Row],[ISI/CTN]]," ",AB105," ",AD105," ",AH105))))</f>
        <v>KNF B&amp;B TOOTH PASTE RIKO 45GR X 48 PACK</v>
      </c>
      <c r="O105" s="11">
        <f t="shared" si="5"/>
        <v>39</v>
      </c>
      <c r="P105" s="4" t="s">
        <v>97</v>
      </c>
      <c r="Q105" s="7" t="s">
        <v>98</v>
      </c>
      <c r="R105" s="4" t="s">
        <v>2524</v>
      </c>
      <c r="S105" s="44" t="s">
        <v>2474</v>
      </c>
      <c r="T105" s="45" t="s">
        <v>3630</v>
      </c>
      <c r="U105" s="7" t="s">
        <v>3631</v>
      </c>
      <c r="V105" s="45" t="s">
        <v>2961</v>
      </c>
      <c r="W105" s="44" t="s">
        <v>2900</v>
      </c>
      <c r="X105" s="4" t="s">
        <v>2525</v>
      </c>
      <c r="Y105" s="46" t="s">
        <v>2478</v>
      </c>
      <c r="Z105" s="4" t="s">
        <v>3637</v>
      </c>
      <c r="AA105" s="46" t="s">
        <v>2491</v>
      </c>
      <c r="AB105" s="4" t="s">
        <v>360</v>
      </c>
      <c r="AC105" s="7" t="s">
        <v>2656</v>
      </c>
      <c r="AD105" s="4" t="s">
        <v>2961</v>
      </c>
      <c r="AE105" s="7" t="s">
        <v>2900</v>
      </c>
      <c r="AF105" s="7" t="s">
        <v>2961</v>
      </c>
      <c r="AG105" s="7" t="s">
        <v>2961</v>
      </c>
      <c r="AI105" s="7" t="s">
        <v>2463</v>
      </c>
      <c r="AJ105" s="7" t="s">
        <v>3562</v>
      </c>
      <c r="AK105" s="41">
        <f>Table43[[#This Row],[Harga Jual Pcs GT
(-PPN)]]-(Table43[[#This Row],[Harga Jual Pcs GT
(-PPN)]]*10%)</f>
        <v>0</v>
      </c>
      <c r="AL105" s="42">
        <f>Table43[[#This Row],[Harga Beli Pcs
(-PPN)]]*Table43[[#This Row],[ISI/CTN]]</f>
        <v>0</v>
      </c>
      <c r="AM105" s="42">
        <f>Table43[[#This Row],[Harga Beli Pcs
(-PPN)]]*1.11</f>
        <v>0</v>
      </c>
      <c r="AN105" s="42">
        <f>Table43[[#This Row],[Harga Beli Krt
(- PPN)]]*1.11</f>
        <v>0</v>
      </c>
      <c r="AO105" s="42"/>
      <c r="AP105" s="42">
        <f>Table43[[#This Row],[Harga Jual Pcs GT
(-PPN)]]*Table43[[#This Row],[ISI/CTN]]</f>
        <v>0</v>
      </c>
      <c r="AQ105" s="42">
        <f>Table43[[#This Row],[Harga Jual Pcs GT
(-PPN)]]*1.11</f>
        <v>0</v>
      </c>
      <c r="AR105" s="42">
        <f>Table43[[#This Row],[Harga Jual Krt GT
(- PPN)]]*1.11</f>
        <v>0</v>
      </c>
      <c r="AS105" s="42">
        <f>Table43[[#This Row],[Harga Jual Pcs GT
(-PPN)]]</f>
        <v>0</v>
      </c>
      <c r="AT105" s="42">
        <f>(Table43[[#This Row],[Harga Jual Pcs MT
(-PPN)]]*Table43[[#This Row],[ISI/CTN]])</f>
        <v>0</v>
      </c>
      <c r="AU105" s="42">
        <f>Table43[[#This Row],[Harga Jual Pcs MT
(-PPN)]]*1.11</f>
        <v>0</v>
      </c>
      <c r="AV105" s="42">
        <f>Table43[[#This Row],[Harga Jual Pcs MT
(+PPN)]]*Table43[[#This Row],[ISI/CTN]]</f>
        <v>0</v>
      </c>
      <c r="AW105" s="47"/>
      <c r="AX105" s="7"/>
      <c r="AY105" s="7" t="str">
        <f ca="1">IF(TODAY()-Table43[[#This Row],[Efektif
Pembuatan]]&gt;60,"Lama","Baru")</f>
        <v>Lama</v>
      </c>
      <c r="AZ105" s="7" t="str">
        <f ca="1">IF(TODAY()-Table43[[#This Row],[Efektif Naik Harga]]&lt;30,"Naik","Sama")</f>
        <v>Sama</v>
      </c>
      <c r="BA105" s="7" t="str">
        <f>IF(Table43[[#This Row],[Kode BARANG Win2]]&lt;&gt;"","IDR","")</f>
        <v>IDR</v>
      </c>
      <c r="BB105" s="7" t="str">
        <f>CONCATENATE(Table43[[#This Row],[kode  1 Digit
(Nomor)]],Table43[[#This Row],[kode  4 Digit                (Nomor)]])</f>
        <v>20045</v>
      </c>
      <c r="BC105" s="7" t="str">
        <f>Table43[[#This Row],[Nama            Gramasi atau Jumlah Pack per CTN]]</f>
        <v>45GR</v>
      </c>
      <c r="BD105" s="7"/>
      <c r="BE105" s="7"/>
      <c r="BF105" s="4" t="str">
        <f>IF(Table43[[#This Row],[SATUAN Fix Win]]&lt;&gt;"","KRT")</f>
        <v>KRT</v>
      </c>
      <c r="BG105" s="4" t="str">
        <f>IF(Table43[[#This Row],[SATUAN Fix Win]]&lt;&gt;"","GD01")</f>
        <v>GD01</v>
      </c>
      <c r="BH105" s="4">
        <f>IF(Table43[[#This Row],[SATUAN Fix Win]]&lt;&gt;"",11611)</f>
        <v>11611</v>
      </c>
      <c r="BI105" s="4">
        <f>IF(Table43[[#This Row],[SATUAN Fix Win]]&lt;&gt;"",11612)</f>
        <v>11612</v>
      </c>
      <c r="BJ105" s="48"/>
      <c r="BK105" s="4">
        <f>IF(Table43[[#This Row],[SATUAN Fix Win]]&lt;&gt;"",1)</f>
        <v>1</v>
      </c>
    </row>
    <row r="106" spans="1:63">
      <c r="A106" s="4" t="str">
        <f>CONCATENATE(Table43[[#This Row],[Kode BARANG Win2]],Table43[[#This Row],[No. Urut
Item Sama]])</f>
        <v>K10490010050101</v>
      </c>
      <c r="B106" s="7">
        <v>1</v>
      </c>
      <c r="D106" s="28" t="s">
        <v>845</v>
      </c>
      <c r="E106" s="28"/>
      <c r="F106" s="28" t="s">
        <v>2937</v>
      </c>
      <c r="G106" s="78">
        <v>24</v>
      </c>
      <c r="H106" s="43"/>
      <c r="I106" s="28" t="str">
        <f>Table43[[#This Row],[Nama Jenis Kemasan]]</f>
        <v>PACK</v>
      </c>
      <c r="J106" s="4" t="str">
        <f>TRIM(CONCATENATE(Table43[[#This Row],[Nama            KLP]]," ",Table43[[#This Row],[Nama            Sub KLP]]))</f>
        <v>B&amp;B T.PASTE&amp;T.BRUSH</v>
      </c>
      <c r="K106" s="4" t="str">
        <f>CONCATENATE(Table43[[#This Row],[kode  2 Digit                (hrf+No)]],Table43[[#This Row],[kode  2 Digit                (Nomor)]],Table43[[#This Row],[kode  1 Digit                (Nomor)]])</f>
        <v>K1049</v>
      </c>
      <c r="L106" s="4" t="str">
        <f t="shared" si="3"/>
        <v>K1049001005010</v>
      </c>
      <c r="M106" s="11">
        <f t="shared" si="4"/>
        <v>14</v>
      </c>
      <c r="N106" s="14" t="str">
        <f>IF(AF106&lt;&gt;"",TRIM(UPPER(CONCATENATE(P106," ",R106," ",T106," ",V106," ",X106," ",Z106," ","X"," ",Table43[[#This Row],[ISI/CTN]]," ",AF106," ",AB106," ",AD106," ",AH106))),TRIM(UPPER(CONCATENATE(P106," ",R106," ",T106," ",V106," ",X106," ",Z106," ","X"," ",Table43[[#This Row],[ISI/CTN]]," ",AB106," ",AD106," ",AH106))))</f>
        <v>KNF B&amp;B T.PASTE&amp;T.BRUSH BARBIE 50GR X 24 PACK</v>
      </c>
      <c r="O106" s="11">
        <f t="shared" si="5"/>
        <v>45</v>
      </c>
      <c r="P106" s="4" t="s">
        <v>97</v>
      </c>
      <c r="Q106" s="7" t="s">
        <v>98</v>
      </c>
      <c r="R106" s="4" t="s">
        <v>2524</v>
      </c>
      <c r="S106" s="44" t="s">
        <v>2474</v>
      </c>
      <c r="T106" s="45" t="s">
        <v>3638</v>
      </c>
      <c r="U106" s="7" t="s">
        <v>3639</v>
      </c>
      <c r="V106" s="45" t="s">
        <v>2961</v>
      </c>
      <c r="W106" s="44" t="s">
        <v>2900</v>
      </c>
      <c r="X106" s="4" t="s">
        <v>3603</v>
      </c>
      <c r="Y106" s="46" t="s">
        <v>0</v>
      </c>
      <c r="Z106" s="4" t="s">
        <v>3632</v>
      </c>
      <c r="AA106" s="46" t="s">
        <v>2490</v>
      </c>
      <c r="AB106" s="4" t="s">
        <v>360</v>
      </c>
      <c r="AC106" s="7" t="s">
        <v>2656</v>
      </c>
      <c r="AD106" s="4" t="s">
        <v>2961</v>
      </c>
      <c r="AE106" s="7" t="s">
        <v>2900</v>
      </c>
      <c r="AF106" s="7" t="s">
        <v>2961</v>
      </c>
      <c r="AG106" s="7" t="s">
        <v>2961</v>
      </c>
      <c r="AI106" s="7" t="s">
        <v>2463</v>
      </c>
      <c r="AJ106" s="7" t="s">
        <v>3562</v>
      </c>
      <c r="AK106" s="41">
        <f>Table43[[#This Row],[Harga Jual Pcs GT
(-PPN)]]-(Table43[[#This Row],[Harga Jual Pcs GT
(-PPN)]]*10%)</f>
        <v>0</v>
      </c>
      <c r="AL106" s="42">
        <f>Table43[[#This Row],[Harga Beli Pcs
(-PPN)]]*Table43[[#This Row],[ISI/CTN]]</f>
        <v>0</v>
      </c>
      <c r="AM106" s="42">
        <f>Table43[[#This Row],[Harga Beli Pcs
(-PPN)]]*1.11</f>
        <v>0</v>
      </c>
      <c r="AN106" s="42">
        <f>Table43[[#This Row],[Harga Beli Krt
(- PPN)]]*1.11</f>
        <v>0</v>
      </c>
      <c r="AO106" s="42"/>
      <c r="AP106" s="42">
        <f>Table43[[#This Row],[Harga Jual Pcs GT
(-PPN)]]*Table43[[#This Row],[ISI/CTN]]</f>
        <v>0</v>
      </c>
      <c r="AQ106" s="42">
        <f>Table43[[#This Row],[Harga Jual Pcs GT
(-PPN)]]*1.11</f>
        <v>0</v>
      </c>
      <c r="AR106" s="42">
        <f>Table43[[#This Row],[Harga Jual Krt GT
(- PPN)]]*1.11</f>
        <v>0</v>
      </c>
      <c r="AS106" s="42">
        <f>Table43[[#This Row],[Harga Jual Pcs GT
(-PPN)]]</f>
        <v>0</v>
      </c>
      <c r="AT106" s="42">
        <f>(Table43[[#This Row],[Harga Jual Pcs MT
(-PPN)]]*Table43[[#This Row],[ISI/CTN]])</f>
        <v>0</v>
      </c>
      <c r="AU106" s="42">
        <f>Table43[[#This Row],[Harga Jual Pcs MT
(-PPN)]]*1.11</f>
        <v>0</v>
      </c>
      <c r="AV106" s="42">
        <f>Table43[[#This Row],[Harga Jual Pcs MT
(+PPN)]]*Table43[[#This Row],[ISI/CTN]]</f>
        <v>0</v>
      </c>
      <c r="AW106" s="47"/>
      <c r="AX106" s="7"/>
      <c r="AY106" s="7" t="str">
        <f ca="1">IF(TODAY()-Table43[[#This Row],[Efektif
Pembuatan]]&gt;60,"Lama","Baru")</f>
        <v>Lama</v>
      </c>
      <c r="AZ106" s="7" t="str">
        <f ca="1">IF(TODAY()-Table43[[#This Row],[Efektif Naik Harga]]&lt;30,"Naik","Sama")</f>
        <v>Sama</v>
      </c>
      <c r="BA106" s="7" t="str">
        <f>IF(Table43[[#This Row],[Kode BARANG Win2]]&lt;&gt;"","IDR","")</f>
        <v>IDR</v>
      </c>
      <c r="BB106" s="7" t="str">
        <f>CONCATENATE(Table43[[#This Row],[kode  1 Digit
(Nomor)]],Table43[[#This Row],[kode  4 Digit                (Nomor)]])</f>
        <v>20050</v>
      </c>
      <c r="BC106" s="7" t="str">
        <f>Table43[[#This Row],[Nama            Gramasi atau Jumlah Pack per CTN]]</f>
        <v>50GR</v>
      </c>
      <c r="BD106" s="7"/>
      <c r="BE106" s="7"/>
      <c r="BF106" s="4" t="str">
        <f>IF(Table43[[#This Row],[SATUAN Fix Win]]&lt;&gt;"","KRT")</f>
        <v>KRT</v>
      </c>
      <c r="BG106" s="4" t="str">
        <f>IF(Table43[[#This Row],[SATUAN Fix Win]]&lt;&gt;"","GD01")</f>
        <v>GD01</v>
      </c>
      <c r="BH106" s="4">
        <f>IF(Table43[[#This Row],[SATUAN Fix Win]]&lt;&gt;"",11611)</f>
        <v>11611</v>
      </c>
      <c r="BI106" s="4">
        <f>IF(Table43[[#This Row],[SATUAN Fix Win]]&lt;&gt;"",11612)</f>
        <v>11612</v>
      </c>
      <c r="BJ106" s="48"/>
      <c r="BK106" s="4">
        <f>IF(Table43[[#This Row],[SATUAN Fix Win]]&lt;&gt;"",1)</f>
        <v>1</v>
      </c>
    </row>
    <row r="107" spans="1:63">
      <c r="A107" s="4" t="str">
        <f>CONCATENATE(Table43[[#This Row],[Kode BARANG Win2]],Table43[[#This Row],[No. Urut
Item Sama]])</f>
        <v>K10490020045101</v>
      </c>
      <c r="B107" s="7">
        <v>1</v>
      </c>
      <c r="D107" s="28" t="s">
        <v>846</v>
      </c>
      <c r="E107" s="28"/>
      <c r="F107" s="28" t="s">
        <v>2938</v>
      </c>
      <c r="G107" s="78">
        <v>24</v>
      </c>
      <c r="H107" s="43"/>
      <c r="I107" s="28" t="str">
        <f>Table43[[#This Row],[Nama Jenis Kemasan]]</f>
        <v>PACK</v>
      </c>
      <c r="J107" s="4" t="str">
        <f>TRIM(CONCATENATE(Table43[[#This Row],[Nama            KLP]]," ",Table43[[#This Row],[Nama            Sub KLP]]))</f>
        <v>B&amp;B T.PASTE&amp;T.BRUSH</v>
      </c>
      <c r="K107" s="4" t="str">
        <f>CONCATENATE(Table43[[#This Row],[kode  2 Digit                (hrf+No)]],Table43[[#This Row],[kode  2 Digit                (Nomor)]],Table43[[#This Row],[kode  1 Digit                (Nomor)]])</f>
        <v>K1049</v>
      </c>
      <c r="L107" s="4" t="str">
        <f t="shared" si="3"/>
        <v>K1049002004510</v>
      </c>
      <c r="M107" s="11">
        <f t="shared" si="4"/>
        <v>14</v>
      </c>
      <c r="N107" s="14" t="str">
        <f>IF(AF107&lt;&gt;"",TRIM(UPPER(CONCATENATE(P107," ",R107," ",T107," ",V107," ",X107," ",Z107," ","X"," ",Table43[[#This Row],[ISI/CTN]]," ",AF107," ",AB107," ",AD107," ",AH107))),TRIM(UPPER(CONCATENATE(P107," ",R107," ",T107," ",V107," ",X107," ",Z107," ","X"," ",Table43[[#This Row],[ISI/CTN]]," ",AB107," ",AD107," ",AH107))))</f>
        <v>KNF B&amp;B T.PASTE&amp;T.BRUSH RIKO 45GR X 24 PACK</v>
      </c>
      <c r="O107" s="11">
        <f t="shared" si="5"/>
        <v>43</v>
      </c>
      <c r="P107" s="4" t="s">
        <v>97</v>
      </c>
      <c r="Q107" s="7" t="s">
        <v>98</v>
      </c>
      <c r="R107" s="4" t="s">
        <v>2524</v>
      </c>
      <c r="S107" s="44" t="s">
        <v>2474</v>
      </c>
      <c r="T107" s="45" t="s">
        <v>3638</v>
      </c>
      <c r="U107" s="7" t="s">
        <v>3639</v>
      </c>
      <c r="V107" s="45" t="s">
        <v>2961</v>
      </c>
      <c r="W107" s="44" t="s">
        <v>2900</v>
      </c>
      <c r="X107" s="4" t="s">
        <v>2525</v>
      </c>
      <c r="Y107" s="46" t="s">
        <v>2472</v>
      </c>
      <c r="Z107" s="4" t="s">
        <v>3637</v>
      </c>
      <c r="AA107" s="46" t="s">
        <v>2491</v>
      </c>
      <c r="AB107" s="4" t="s">
        <v>360</v>
      </c>
      <c r="AC107" s="7" t="s">
        <v>2656</v>
      </c>
      <c r="AD107" s="4" t="s">
        <v>2961</v>
      </c>
      <c r="AE107" s="7" t="s">
        <v>2900</v>
      </c>
      <c r="AF107" s="7" t="s">
        <v>2961</v>
      </c>
      <c r="AG107" s="7" t="s">
        <v>2961</v>
      </c>
      <c r="AI107" s="7" t="s">
        <v>2463</v>
      </c>
      <c r="AJ107" s="7" t="s">
        <v>3562</v>
      </c>
      <c r="AK107" s="41">
        <f>Table43[[#This Row],[Harga Jual Pcs GT
(-PPN)]]-(Table43[[#This Row],[Harga Jual Pcs GT
(-PPN)]]*10%)</f>
        <v>0</v>
      </c>
      <c r="AL107" s="42">
        <f>Table43[[#This Row],[Harga Beli Pcs
(-PPN)]]*Table43[[#This Row],[ISI/CTN]]</f>
        <v>0</v>
      </c>
      <c r="AM107" s="42">
        <f>Table43[[#This Row],[Harga Beli Pcs
(-PPN)]]*1.11</f>
        <v>0</v>
      </c>
      <c r="AN107" s="42">
        <f>Table43[[#This Row],[Harga Beli Krt
(- PPN)]]*1.11</f>
        <v>0</v>
      </c>
      <c r="AO107" s="42"/>
      <c r="AP107" s="42">
        <f>Table43[[#This Row],[Harga Jual Pcs GT
(-PPN)]]*Table43[[#This Row],[ISI/CTN]]</f>
        <v>0</v>
      </c>
      <c r="AQ107" s="42">
        <f>Table43[[#This Row],[Harga Jual Pcs GT
(-PPN)]]*1.11</f>
        <v>0</v>
      </c>
      <c r="AR107" s="42">
        <f>Table43[[#This Row],[Harga Jual Krt GT
(- PPN)]]*1.11</f>
        <v>0</v>
      </c>
      <c r="AS107" s="42">
        <f>Table43[[#This Row],[Harga Jual Pcs GT
(-PPN)]]</f>
        <v>0</v>
      </c>
      <c r="AT107" s="42">
        <f>(Table43[[#This Row],[Harga Jual Pcs MT
(-PPN)]]*Table43[[#This Row],[ISI/CTN]])</f>
        <v>0</v>
      </c>
      <c r="AU107" s="42">
        <f>Table43[[#This Row],[Harga Jual Pcs MT
(-PPN)]]*1.11</f>
        <v>0</v>
      </c>
      <c r="AV107" s="42">
        <f>Table43[[#This Row],[Harga Jual Pcs MT
(+PPN)]]*Table43[[#This Row],[ISI/CTN]]</f>
        <v>0</v>
      </c>
      <c r="AW107" s="47"/>
      <c r="AX107" s="7"/>
      <c r="AY107" s="7" t="str">
        <f ca="1">IF(TODAY()-Table43[[#This Row],[Efektif
Pembuatan]]&gt;60,"Lama","Baru")</f>
        <v>Lama</v>
      </c>
      <c r="AZ107" s="7" t="str">
        <f ca="1">IF(TODAY()-Table43[[#This Row],[Efektif Naik Harga]]&lt;30,"Naik","Sama")</f>
        <v>Sama</v>
      </c>
      <c r="BA107" s="7" t="str">
        <f>IF(Table43[[#This Row],[Kode BARANG Win2]]&lt;&gt;"","IDR","")</f>
        <v>IDR</v>
      </c>
      <c r="BB107" s="7" t="str">
        <f>CONCATENATE(Table43[[#This Row],[kode  1 Digit
(Nomor)]],Table43[[#This Row],[kode  4 Digit                (Nomor)]])</f>
        <v>20045</v>
      </c>
      <c r="BC107" s="7" t="str">
        <f>Table43[[#This Row],[Nama            Gramasi atau Jumlah Pack per CTN]]</f>
        <v>45GR</v>
      </c>
      <c r="BD107" s="7"/>
      <c r="BE107" s="7"/>
      <c r="BF107" s="4" t="str">
        <f>IF(Table43[[#This Row],[SATUAN Fix Win]]&lt;&gt;"","KRT")</f>
        <v>KRT</v>
      </c>
      <c r="BG107" s="4" t="str">
        <f>IF(Table43[[#This Row],[SATUAN Fix Win]]&lt;&gt;"","GD01")</f>
        <v>GD01</v>
      </c>
      <c r="BH107" s="4">
        <f>IF(Table43[[#This Row],[SATUAN Fix Win]]&lt;&gt;"",11611)</f>
        <v>11611</v>
      </c>
      <c r="BI107" s="4">
        <f>IF(Table43[[#This Row],[SATUAN Fix Win]]&lt;&gt;"",11612)</f>
        <v>11612</v>
      </c>
      <c r="BJ107" s="48"/>
      <c r="BK107" s="4">
        <f>IF(Table43[[#This Row],[SATUAN Fix Win]]&lt;&gt;"",1)</f>
        <v>1</v>
      </c>
    </row>
    <row r="108" spans="1:63">
      <c r="A108" s="4" t="str">
        <f>CONCATENATE(Table43[[#This Row],[Kode BARANG Win2]],Table43[[#This Row],[No. Urut
Item Sama]])</f>
        <v>K10510010100101</v>
      </c>
      <c r="B108" s="7">
        <v>1</v>
      </c>
      <c r="D108" s="28" t="s">
        <v>991</v>
      </c>
      <c r="E108" s="28"/>
      <c r="F108" s="28" t="s">
        <v>2939</v>
      </c>
      <c r="G108" s="78">
        <v>24</v>
      </c>
      <c r="H108" s="43"/>
      <c r="I108" s="28" t="str">
        <f>Table43[[#This Row],[Nama Jenis Kemasan]]</f>
        <v>TUBE</v>
      </c>
      <c r="J108" s="4" t="str">
        <f>TRIM(CONCATENATE(Table43[[#This Row],[Nama            KLP]]," ",Table43[[#This Row],[Nama            Sub KLP]]))</f>
        <v>CLICK T.PASTE</v>
      </c>
      <c r="K108" s="4" t="str">
        <f>CONCATENATE(Table43[[#This Row],[kode  2 Digit                (hrf+No)]],Table43[[#This Row],[kode  2 Digit                (Nomor)]],Table43[[#This Row],[kode  1 Digit                (Nomor)]])</f>
        <v>K1051</v>
      </c>
      <c r="L108" s="4" t="str">
        <f t="shared" si="3"/>
        <v>K1051001010010</v>
      </c>
      <c r="M108" s="11">
        <f t="shared" si="4"/>
        <v>14</v>
      </c>
      <c r="N108" s="14" t="str">
        <f>IF(AF108&lt;&gt;"",TRIM(UPPER(CONCATENATE(P108," ",R108," ",T108," ",V108," ",X108," ",Z108," ","X"," ",Table43[[#This Row],[ISI/CTN]]," ",AF108," ",AB108," ",AD108," ",AH108))),TRIM(UPPER(CONCATENATE(P108," ",R108," ",T108," ",V108," ",X108," ",Z108," ","X"," ",Table43[[#This Row],[ISI/CTN]]," ",AB108," ",AD108," ",AH108))))</f>
        <v>KNF CLICK T.PASTE FRESH BREATH 100GR X 24 TUBE</v>
      </c>
      <c r="O108" s="11">
        <f t="shared" si="5"/>
        <v>46</v>
      </c>
      <c r="P108" s="4" t="s">
        <v>97</v>
      </c>
      <c r="Q108" s="7" t="s">
        <v>98</v>
      </c>
      <c r="R108" s="4" t="s">
        <v>3640</v>
      </c>
      <c r="S108" s="44" t="s">
        <v>2475</v>
      </c>
      <c r="T108" s="45" t="s">
        <v>2961</v>
      </c>
      <c r="U108" s="7" t="s">
        <v>2656</v>
      </c>
      <c r="V108" s="45" t="s">
        <v>2961</v>
      </c>
      <c r="W108" s="44" t="s">
        <v>2900</v>
      </c>
      <c r="X108" s="4" t="s">
        <v>3641</v>
      </c>
      <c r="Y108" s="46" t="s">
        <v>0</v>
      </c>
      <c r="Z108" s="4" t="s">
        <v>3642</v>
      </c>
      <c r="AA108" s="46" t="s">
        <v>2487</v>
      </c>
      <c r="AB108" s="4" t="s">
        <v>1021</v>
      </c>
      <c r="AC108" s="7" t="s">
        <v>2656</v>
      </c>
      <c r="AD108" s="4" t="s">
        <v>2961</v>
      </c>
      <c r="AE108" s="7" t="s">
        <v>2900</v>
      </c>
      <c r="AF108" s="7" t="s">
        <v>2961</v>
      </c>
      <c r="AG108" s="7" t="s">
        <v>2961</v>
      </c>
      <c r="AI108" s="7" t="s">
        <v>2463</v>
      </c>
      <c r="AJ108" s="7" t="s">
        <v>3562</v>
      </c>
      <c r="AK108" s="41">
        <f>Table43[[#This Row],[Harga Jual Pcs GT
(-PPN)]]-(Table43[[#This Row],[Harga Jual Pcs GT
(-PPN)]]*10%)</f>
        <v>0</v>
      </c>
      <c r="AL108" s="42">
        <f>Table43[[#This Row],[Harga Beli Pcs
(-PPN)]]*Table43[[#This Row],[ISI/CTN]]</f>
        <v>0</v>
      </c>
      <c r="AM108" s="42">
        <f>Table43[[#This Row],[Harga Beli Pcs
(-PPN)]]*1.11</f>
        <v>0</v>
      </c>
      <c r="AN108" s="42">
        <f>Table43[[#This Row],[Harga Beli Krt
(- PPN)]]*1.11</f>
        <v>0</v>
      </c>
      <c r="AO108" s="42"/>
      <c r="AP108" s="42">
        <f>Table43[[#This Row],[Harga Jual Pcs GT
(-PPN)]]*Table43[[#This Row],[ISI/CTN]]</f>
        <v>0</v>
      </c>
      <c r="AQ108" s="42">
        <f>Table43[[#This Row],[Harga Jual Pcs GT
(-PPN)]]*1.11</f>
        <v>0</v>
      </c>
      <c r="AR108" s="42">
        <f>Table43[[#This Row],[Harga Jual Krt GT
(- PPN)]]*1.11</f>
        <v>0</v>
      </c>
      <c r="AS108" s="42">
        <f>Table43[[#This Row],[Harga Jual Pcs GT
(-PPN)]]</f>
        <v>0</v>
      </c>
      <c r="AT108" s="42">
        <f>(Table43[[#This Row],[Harga Jual Pcs MT
(-PPN)]]*Table43[[#This Row],[ISI/CTN]])</f>
        <v>0</v>
      </c>
      <c r="AU108" s="42">
        <f>Table43[[#This Row],[Harga Jual Pcs MT
(-PPN)]]*1.11</f>
        <v>0</v>
      </c>
      <c r="AV108" s="42">
        <f>Table43[[#This Row],[Harga Jual Pcs MT
(+PPN)]]*Table43[[#This Row],[ISI/CTN]]</f>
        <v>0</v>
      </c>
      <c r="AW108" s="47"/>
      <c r="AX108" s="7"/>
      <c r="AY108" s="7" t="str">
        <f ca="1">IF(TODAY()-Table43[[#This Row],[Efektif
Pembuatan]]&gt;60,"Lama","Baru")</f>
        <v>Lama</v>
      </c>
      <c r="AZ108" s="7" t="str">
        <f ca="1">IF(TODAY()-Table43[[#This Row],[Efektif Naik Harga]]&lt;30,"Naik","Sama")</f>
        <v>Sama</v>
      </c>
      <c r="BA108" s="7" t="str">
        <f>IF(Table43[[#This Row],[Kode BARANG Win2]]&lt;&gt;"","IDR","")</f>
        <v>IDR</v>
      </c>
      <c r="BB108" s="7" t="str">
        <f>CONCATENATE(Table43[[#This Row],[kode  1 Digit
(Nomor)]],Table43[[#This Row],[kode  4 Digit                (Nomor)]])</f>
        <v>20100</v>
      </c>
      <c r="BC108" s="7" t="str">
        <f>Table43[[#This Row],[Nama            Gramasi atau Jumlah Pack per CTN]]</f>
        <v>100GR</v>
      </c>
      <c r="BD108" s="7"/>
      <c r="BE108" s="7"/>
      <c r="BF108" s="4" t="str">
        <f>IF(Table43[[#This Row],[SATUAN Fix Win]]&lt;&gt;"","KRT")</f>
        <v>KRT</v>
      </c>
      <c r="BG108" s="4" t="str">
        <f>IF(Table43[[#This Row],[SATUAN Fix Win]]&lt;&gt;"","GD01")</f>
        <v>GD01</v>
      </c>
      <c r="BH108" s="4">
        <f>IF(Table43[[#This Row],[SATUAN Fix Win]]&lt;&gt;"",11611)</f>
        <v>11611</v>
      </c>
      <c r="BI108" s="4">
        <f>IF(Table43[[#This Row],[SATUAN Fix Win]]&lt;&gt;"",11612)</f>
        <v>11612</v>
      </c>
      <c r="BJ108" s="48"/>
      <c r="BK108" s="4">
        <f>IF(Table43[[#This Row],[SATUAN Fix Win]]&lt;&gt;"",1)</f>
        <v>1</v>
      </c>
    </row>
    <row r="109" spans="1:63">
      <c r="A109" s="4" t="str">
        <f>CONCATENATE(Table43[[#This Row],[Kode BARANG Win2]],Table43[[#This Row],[No. Urut
Item Sama]])</f>
        <v>K10510020100101</v>
      </c>
      <c r="B109" s="7">
        <v>1</v>
      </c>
      <c r="D109" s="28" t="s">
        <v>992</v>
      </c>
      <c r="E109" s="28"/>
      <c r="F109" s="28" t="s">
        <v>2940</v>
      </c>
      <c r="G109" s="78">
        <v>24</v>
      </c>
      <c r="H109" s="43"/>
      <c r="I109" s="28" t="str">
        <f>Table43[[#This Row],[Nama Jenis Kemasan]]</f>
        <v>TUBE</v>
      </c>
      <c r="J109" s="4" t="str">
        <f>TRIM(CONCATENATE(Table43[[#This Row],[Nama            KLP]]," ",Table43[[#This Row],[Nama            Sub KLP]]))</f>
        <v>CLICK T.PASTE</v>
      </c>
      <c r="K109" s="4" t="str">
        <f>CONCATENATE(Table43[[#This Row],[kode  2 Digit                (hrf+No)]],Table43[[#This Row],[kode  2 Digit                (Nomor)]],Table43[[#This Row],[kode  1 Digit                (Nomor)]])</f>
        <v>K1051</v>
      </c>
      <c r="L109" s="4" t="str">
        <f t="shared" si="3"/>
        <v>K1051002010010</v>
      </c>
      <c r="M109" s="11">
        <f t="shared" si="4"/>
        <v>14</v>
      </c>
      <c r="N109" s="14" t="str">
        <f>IF(AF109&lt;&gt;"",TRIM(UPPER(CONCATENATE(P109," ",R109," ",T109," ",V109," ",X109," ",Z109," ","X"," ",Table43[[#This Row],[ISI/CTN]]," ",AF109," ",AB109," ",AD109," ",AH109))),TRIM(UPPER(CONCATENATE(P109," ",R109," ",T109," ",V109," ",X109," ",Z109," ","X"," ",Table43[[#This Row],[ISI/CTN]]," ",AB109," ",AD109," ",AH109))))</f>
        <v>KNF CLICK T.PASTE CAVITY PROTECT 100GR X 24 TUBE</v>
      </c>
      <c r="O109" s="11">
        <f t="shared" si="5"/>
        <v>48</v>
      </c>
      <c r="P109" s="4" t="s">
        <v>97</v>
      </c>
      <c r="Q109" s="7" t="s">
        <v>98</v>
      </c>
      <c r="R109" s="4" t="s">
        <v>3640</v>
      </c>
      <c r="S109" s="44" t="s">
        <v>2475</v>
      </c>
      <c r="T109" s="45" t="s">
        <v>2961</v>
      </c>
      <c r="U109" s="7" t="s">
        <v>2656</v>
      </c>
      <c r="V109" s="45" t="s">
        <v>2961</v>
      </c>
      <c r="W109" s="44" t="s">
        <v>2900</v>
      </c>
      <c r="X109" s="4" t="s">
        <v>3643</v>
      </c>
      <c r="Y109" s="46" t="s">
        <v>2472</v>
      </c>
      <c r="Z109" s="4" t="s">
        <v>3642</v>
      </c>
      <c r="AA109" s="46" t="s">
        <v>2487</v>
      </c>
      <c r="AB109" s="4" t="s">
        <v>1021</v>
      </c>
      <c r="AC109" s="7" t="s">
        <v>2656</v>
      </c>
      <c r="AD109" s="4" t="s">
        <v>2961</v>
      </c>
      <c r="AE109" s="7" t="s">
        <v>2900</v>
      </c>
      <c r="AF109" s="7" t="s">
        <v>2961</v>
      </c>
      <c r="AG109" s="7" t="s">
        <v>2961</v>
      </c>
      <c r="AI109" s="7" t="s">
        <v>2463</v>
      </c>
      <c r="AJ109" s="7" t="s">
        <v>3562</v>
      </c>
      <c r="AK109" s="41">
        <f>Table43[[#This Row],[Harga Jual Pcs GT
(-PPN)]]-(Table43[[#This Row],[Harga Jual Pcs GT
(-PPN)]]*10%)</f>
        <v>0</v>
      </c>
      <c r="AL109" s="42">
        <f>Table43[[#This Row],[Harga Beli Pcs
(-PPN)]]*Table43[[#This Row],[ISI/CTN]]</f>
        <v>0</v>
      </c>
      <c r="AM109" s="42">
        <f>Table43[[#This Row],[Harga Beli Pcs
(-PPN)]]*1.11</f>
        <v>0</v>
      </c>
      <c r="AN109" s="42">
        <f>Table43[[#This Row],[Harga Beli Krt
(- PPN)]]*1.11</f>
        <v>0</v>
      </c>
      <c r="AO109" s="42"/>
      <c r="AP109" s="42">
        <f>Table43[[#This Row],[Harga Jual Pcs GT
(-PPN)]]*Table43[[#This Row],[ISI/CTN]]</f>
        <v>0</v>
      </c>
      <c r="AQ109" s="42">
        <f>Table43[[#This Row],[Harga Jual Pcs GT
(-PPN)]]*1.11</f>
        <v>0</v>
      </c>
      <c r="AR109" s="42">
        <f>Table43[[#This Row],[Harga Jual Krt GT
(- PPN)]]*1.11</f>
        <v>0</v>
      </c>
      <c r="AS109" s="42">
        <f>Table43[[#This Row],[Harga Jual Pcs GT
(-PPN)]]</f>
        <v>0</v>
      </c>
      <c r="AT109" s="42">
        <f>(Table43[[#This Row],[Harga Jual Pcs MT
(-PPN)]]*Table43[[#This Row],[ISI/CTN]])</f>
        <v>0</v>
      </c>
      <c r="AU109" s="42">
        <f>Table43[[#This Row],[Harga Jual Pcs MT
(-PPN)]]*1.11</f>
        <v>0</v>
      </c>
      <c r="AV109" s="42">
        <f>Table43[[#This Row],[Harga Jual Pcs MT
(+PPN)]]*Table43[[#This Row],[ISI/CTN]]</f>
        <v>0</v>
      </c>
      <c r="AW109" s="47"/>
      <c r="AX109" s="7"/>
      <c r="AY109" s="7" t="str">
        <f ca="1">IF(TODAY()-Table43[[#This Row],[Efektif
Pembuatan]]&gt;60,"Lama","Baru")</f>
        <v>Lama</v>
      </c>
      <c r="AZ109" s="7" t="str">
        <f ca="1">IF(TODAY()-Table43[[#This Row],[Efektif Naik Harga]]&lt;30,"Naik","Sama")</f>
        <v>Sama</v>
      </c>
      <c r="BA109" s="7" t="str">
        <f>IF(Table43[[#This Row],[Kode BARANG Win2]]&lt;&gt;"","IDR","")</f>
        <v>IDR</v>
      </c>
      <c r="BB109" s="7" t="str">
        <f>CONCATENATE(Table43[[#This Row],[kode  1 Digit
(Nomor)]],Table43[[#This Row],[kode  4 Digit                (Nomor)]])</f>
        <v>20100</v>
      </c>
      <c r="BC109" s="7" t="str">
        <f>Table43[[#This Row],[Nama            Gramasi atau Jumlah Pack per CTN]]</f>
        <v>100GR</v>
      </c>
      <c r="BD109" s="7"/>
      <c r="BE109" s="7"/>
      <c r="BF109" s="4" t="str">
        <f>IF(Table43[[#This Row],[SATUAN Fix Win]]&lt;&gt;"","KRT")</f>
        <v>KRT</v>
      </c>
      <c r="BG109" s="4" t="str">
        <f>IF(Table43[[#This Row],[SATUAN Fix Win]]&lt;&gt;"","GD01")</f>
        <v>GD01</v>
      </c>
      <c r="BH109" s="4">
        <f>IF(Table43[[#This Row],[SATUAN Fix Win]]&lt;&gt;"",11611)</f>
        <v>11611</v>
      </c>
      <c r="BI109" s="4">
        <f>IF(Table43[[#This Row],[SATUAN Fix Win]]&lt;&gt;"",11612)</f>
        <v>11612</v>
      </c>
      <c r="BJ109" s="48"/>
      <c r="BK109" s="4">
        <f>IF(Table43[[#This Row],[SATUAN Fix Win]]&lt;&gt;"",1)</f>
        <v>1</v>
      </c>
    </row>
    <row r="110" spans="1:63">
      <c r="A110" s="4" t="str">
        <f>CONCATENATE(Table43[[#This Row],[Kode BARANG Win2]],Table43[[#This Row],[No. Urut
Item Sama]])</f>
        <v>K10510030100101</v>
      </c>
      <c r="B110" s="7">
        <v>1</v>
      </c>
      <c r="D110" s="28" t="s">
        <v>993</v>
      </c>
      <c r="E110" s="28"/>
      <c r="F110" s="28" t="s">
        <v>2941</v>
      </c>
      <c r="G110" s="78">
        <v>24</v>
      </c>
      <c r="H110" s="43"/>
      <c r="I110" s="28" t="str">
        <f>Table43[[#This Row],[Nama Jenis Kemasan]]</f>
        <v>TUBE</v>
      </c>
      <c r="J110" s="4" t="str">
        <f>TRIM(CONCATENATE(Table43[[#This Row],[Nama            KLP]]," ",Table43[[#This Row],[Nama            Sub KLP]]))</f>
        <v>CLICK T.PASTE</v>
      </c>
      <c r="K110" s="4" t="str">
        <f>CONCATENATE(Table43[[#This Row],[kode  2 Digit                (hrf+No)]],Table43[[#This Row],[kode  2 Digit                (Nomor)]],Table43[[#This Row],[kode  1 Digit                (Nomor)]])</f>
        <v>K1051</v>
      </c>
      <c r="L110" s="4" t="str">
        <f t="shared" si="3"/>
        <v>K1051003010010</v>
      </c>
      <c r="M110" s="11">
        <f t="shared" si="4"/>
        <v>14</v>
      </c>
      <c r="N110" s="14" t="str">
        <f>IF(AF110&lt;&gt;"",TRIM(UPPER(CONCATENATE(P110," ",R110," ",T110," ",V110," ",X110," ",Z110," ","X"," ",Table43[[#This Row],[ISI/CTN]]," ",AF110," ",AB110," ",AD110," ",AH110))),TRIM(UPPER(CONCATENATE(P110," ",R110," ",T110," ",V110," ",X110," ",Z110," ","X"," ",Table43[[#This Row],[ISI/CTN]]," ",AB110," ",AD110," ",AH110))))</f>
        <v>KNF CLICK T.PASTE SENSITIVE PROTECT 100GR X 24 TUBE</v>
      </c>
      <c r="O110" s="11">
        <f t="shared" si="5"/>
        <v>51</v>
      </c>
      <c r="P110" s="4" t="s">
        <v>97</v>
      </c>
      <c r="Q110" s="7" t="s">
        <v>98</v>
      </c>
      <c r="R110" s="4" t="s">
        <v>3640</v>
      </c>
      <c r="S110" s="44" t="s">
        <v>2475</v>
      </c>
      <c r="T110" s="45" t="s">
        <v>2961</v>
      </c>
      <c r="U110" s="7" t="s">
        <v>2656</v>
      </c>
      <c r="V110" s="45" t="s">
        <v>2961</v>
      </c>
      <c r="W110" s="44" t="s">
        <v>2900</v>
      </c>
      <c r="X110" s="4" t="s">
        <v>3644</v>
      </c>
      <c r="Y110" s="46" t="s">
        <v>2473</v>
      </c>
      <c r="Z110" s="4" t="s">
        <v>3642</v>
      </c>
      <c r="AA110" s="46" t="s">
        <v>2487</v>
      </c>
      <c r="AB110" s="4" t="s">
        <v>1021</v>
      </c>
      <c r="AC110" s="7" t="s">
        <v>2656</v>
      </c>
      <c r="AD110" s="4" t="s">
        <v>2961</v>
      </c>
      <c r="AE110" s="7" t="s">
        <v>2900</v>
      </c>
      <c r="AF110" s="7" t="s">
        <v>2961</v>
      </c>
      <c r="AG110" s="7" t="s">
        <v>2961</v>
      </c>
      <c r="AI110" s="7" t="s">
        <v>2463</v>
      </c>
      <c r="AJ110" s="7" t="s">
        <v>3562</v>
      </c>
      <c r="AK110" s="41">
        <f>Table43[[#This Row],[Harga Jual Pcs GT
(-PPN)]]-(Table43[[#This Row],[Harga Jual Pcs GT
(-PPN)]]*10%)</f>
        <v>0</v>
      </c>
      <c r="AL110" s="42">
        <f>Table43[[#This Row],[Harga Beli Pcs
(-PPN)]]*Table43[[#This Row],[ISI/CTN]]</f>
        <v>0</v>
      </c>
      <c r="AM110" s="42">
        <f>Table43[[#This Row],[Harga Beli Pcs
(-PPN)]]*1.11</f>
        <v>0</v>
      </c>
      <c r="AN110" s="42">
        <f>Table43[[#This Row],[Harga Beli Krt
(- PPN)]]*1.11</f>
        <v>0</v>
      </c>
      <c r="AO110" s="42"/>
      <c r="AP110" s="42">
        <f>Table43[[#This Row],[Harga Jual Pcs GT
(-PPN)]]*Table43[[#This Row],[ISI/CTN]]</f>
        <v>0</v>
      </c>
      <c r="AQ110" s="42">
        <f>Table43[[#This Row],[Harga Jual Pcs GT
(-PPN)]]*1.11</f>
        <v>0</v>
      </c>
      <c r="AR110" s="42">
        <f>Table43[[#This Row],[Harga Jual Krt GT
(- PPN)]]*1.11</f>
        <v>0</v>
      </c>
      <c r="AS110" s="42">
        <f>Table43[[#This Row],[Harga Jual Pcs GT
(-PPN)]]</f>
        <v>0</v>
      </c>
      <c r="AT110" s="42">
        <f>(Table43[[#This Row],[Harga Jual Pcs MT
(-PPN)]]*Table43[[#This Row],[ISI/CTN]])</f>
        <v>0</v>
      </c>
      <c r="AU110" s="42">
        <f>Table43[[#This Row],[Harga Jual Pcs MT
(-PPN)]]*1.11</f>
        <v>0</v>
      </c>
      <c r="AV110" s="42">
        <f>Table43[[#This Row],[Harga Jual Pcs MT
(+PPN)]]*Table43[[#This Row],[ISI/CTN]]</f>
        <v>0</v>
      </c>
      <c r="AW110" s="47"/>
      <c r="AX110" s="7"/>
      <c r="AY110" s="7" t="str">
        <f ca="1">IF(TODAY()-Table43[[#This Row],[Efektif
Pembuatan]]&gt;60,"Lama","Baru")</f>
        <v>Lama</v>
      </c>
      <c r="AZ110" s="7" t="str">
        <f ca="1">IF(TODAY()-Table43[[#This Row],[Efektif Naik Harga]]&lt;30,"Naik","Sama")</f>
        <v>Sama</v>
      </c>
      <c r="BA110" s="7" t="str">
        <f>IF(Table43[[#This Row],[Kode BARANG Win2]]&lt;&gt;"","IDR","")</f>
        <v>IDR</v>
      </c>
      <c r="BB110" s="7" t="str">
        <f>CONCATENATE(Table43[[#This Row],[kode  1 Digit
(Nomor)]],Table43[[#This Row],[kode  4 Digit                (Nomor)]])</f>
        <v>20100</v>
      </c>
      <c r="BC110" s="7" t="str">
        <f>Table43[[#This Row],[Nama            Gramasi atau Jumlah Pack per CTN]]</f>
        <v>100GR</v>
      </c>
      <c r="BD110" s="7"/>
      <c r="BE110" s="7"/>
      <c r="BF110" s="4" t="str">
        <f>IF(Table43[[#This Row],[SATUAN Fix Win]]&lt;&gt;"","KRT")</f>
        <v>KRT</v>
      </c>
      <c r="BG110" s="4" t="str">
        <f>IF(Table43[[#This Row],[SATUAN Fix Win]]&lt;&gt;"","GD01")</f>
        <v>GD01</v>
      </c>
      <c r="BH110" s="4">
        <f>IF(Table43[[#This Row],[SATUAN Fix Win]]&lt;&gt;"",11611)</f>
        <v>11611</v>
      </c>
      <c r="BI110" s="4">
        <f>IF(Table43[[#This Row],[SATUAN Fix Win]]&lt;&gt;"",11612)</f>
        <v>11612</v>
      </c>
      <c r="BJ110" s="48"/>
      <c r="BK110" s="4">
        <f>IF(Table43[[#This Row],[SATUAN Fix Win]]&lt;&gt;"",1)</f>
        <v>1</v>
      </c>
    </row>
    <row r="111" spans="1:63">
      <c r="A111" s="4" t="str">
        <f>CONCATENATE(Table43[[#This Row],[Kode BARANG Win2]],Table43[[#This Row],[No. Urut
Item Sama]])</f>
        <v>K10510040100101</v>
      </c>
      <c r="B111" s="7">
        <v>1</v>
      </c>
      <c r="D111" s="28" t="s">
        <v>994</v>
      </c>
      <c r="E111" s="28"/>
      <c r="F111" s="28" t="s">
        <v>2942</v>
      </c>
      <c r="G111" s="78">
        <v>24</v>
      </c>
      <c r="H111" s="43"/>
      <c r="I111" s="28" t="str">
        <f>Table43[[#This Row],[Nama Jenis Kemasan]]</f>
        <v>TUBE</v>
      </c>
      <c r="J111" s="4" t="str">
        <f>TRIM(CONCATENATE(Table43[[#This Row],[Nama            KLP]]," ",Table43[[#This Row],[Nama            Sub KLP]]))</f>
        <v>CLICK T.PASTE</v>
      </c>
      <c r="K111" s="4" t="str">
        <f>CONCATENATE(Table43[[#This Row],[kode  2 Digit                (hrf+No)]],Table43[[#This Row],[kode  2 Digit                (Nomor)]],Table43[[#This Row],[kode  1 Digit                (Nomor)]])</f>
        <v>K1051</v>
      </c>
      <c r="L111" s="4" t="str">
        <f t="shared" si="3"/>
        <v>K1051004010010</v>
      </c>
      <c r="M111" s="11">
        <f t="shared" si="4"/>
        <v>14</v>
      </c>
      <c r="N111" s="14" t="str">
        <f>IF(AF111&lt;&gt;"",TRIM(UPPER(CONCATENATE(P111," ",R111," ",T111," ",V111," ",X111," ",Z111," ","X"," ",Table43[[#This Row],[ISI/CTN]]," ",AF111," ",AB111," ",AD111," ",AH111))),TRIM(UPPER(CONCATENATE(P111," ",R111," ",T111," ",V111," ",X111," ",Z111," ","X"," ",Table43[[#This Row],[ISI/CTN]]," ",AB111," ",AD111," ",AH111))))</f>
        <v>KNF CLICK T.PASTE ALL OUT PROTECT 100GR X 24 TUBE</v>
      </c>
      <c r="O111" s="11">
        <f t="shared" si="5"/>
        <v>49</v>
      </c>
      <c r="P111" s="4" t="s">
        <v>97</v>
      </c>
      <c r="Q111" s="7" t="s">
        <v>98</v>
      </c>
      <c r="R111" s="4" t="s">
        <v>3640</v>
      </c>
      <c r="S111" s="44" t="s">
        <v>2475</v>
      </c>
      <c r="T111" s="45" t="s">
        <v>2961</v>
      </c>
      <c r="U111" s="7" t="s">
        <v>2656</v>
      </c>
      <c r="V111" s="45" t="s">
        <v>2961</v>
      </c>
      <c r="W111" s="44" t="s">
        <v>2900</v>
      </c>
      <c r="X111" s="4" t="s">
        <v>3645</v>
      </c>
      <c r="Y111" s="46" t="s">
        <v>2474</v>
      </c>
      <c r="Z111" s="4" t="s">
        <v>3642</v>
      </c>
      <c r="AA111" s="46" t="s">
        <v>2487</v>
      </c>
      <c r="AB111" s="4" t="s">
        <v>1021</v>
      </c>
      <c r="AC111" s="7" t="s">
        <v>2656</v>
      </c>
      <c r="AD111" s="4" t="s">
        <v>2961</v>
      </c>
      <c r="AE111" s="7" t="s">
        <v>2900</v>
      </c>
      <c r="AF111" s="7" t="s">
        <v>2961</v>
      </c>
      <c r="AG111" s="7" t="s">
        <v>2961</v>
      </c>
      <c r="AI111" s="7" t="s">
        <v>2463</v>
      </c>
      <c r="AJ111" s="7" t="s">
        <v>3562</v>
      </c>
      <c r="AK111" s="41">
        <f>Table43[[#This Row],[Harga Jual Pcs GT
(-PPN)]]-(Table43[[#This Row],[Harga Jual Pcs GT
(-PPN)]]*10%)</f>
        <v>0</v>
      </c>
      <c r="AL111" s="42">
        <f>Table43[[#This Row],[Harga Beli Pcs
(-PPN)]]*Table43[[#This Row],[ISI/CTN]]</f>
        <v>0</v>
      </c>
      <c r="AM111" s="42">
        <f>Table43[[#This Row],[Harga Beli Pcs
(-PPN)]]*1.11</f>
        <v>0</v>
      </c>
      <c r="AN111" s="42">
        <f>Table43[[#This Row],[Harga Beli Krt
(- PPN)]]*1.11</f>
        <v>0</v>
      </c>
      <c r="AO111" s="42"/>
      <c r="AP111" s="42">
        <f>Table43[[#This Row],[Harga Jual Pcs GT
(-PPN)]]*Table43[[#This Row],[ISI/CTN]]</f>
        <v>0</v>
      </c>
      <c r="AQ111" s="42">
        <f>Table43[[#This Row],[Harga Jual Pcs GT
(-PPN)]]*1.11</f>
        <v>0</v>
      </c>
      <c r="AR111" s="42">
        <f>Table43[[#This Row],[Harga Jual Krt GT
(- PPN)]]*1.11</f>
        <v>0</v>
      </c>
      <c r="AS111" s="42">
        <f>Table43[[#This Row],[Harga Jual Pcs GT
(-PPN)]]</f>
        <v>0</v>
      </c>
      <c r="AT111" s="42">
        <f>(Table43[[#This Row],[Harga Jual Pcs MT
(-PPN)]]*Table43[[#This Row],[ISI/CTN]])</f>
        <v>0</v>
      </c>
      <c r="AU111" s="42">
        <f>Table43[[#This Row],[Harga Jual Pcs MT
(-PPN)]]*1.11</f>
        <v>0</v>
      </c>
      <c r="AV111" s="42">
        <f>Table43[[#This Row],[Harga Jual Pcs MT
(+PPN)]]*Table43[[#This Row],[ISI/CTN]]</f>
        <v>0</v>
      </c>
      <c r="AW111" s="47"/>
      <c r="AX111" s="7"/>
      <c r="AY111" s="7" t="str">
        <f ca="1">IF(TODAY()-Table43[[#This Row],[Efektif
Pembuatan]]&gt;60,"Lama","Baru")</f>
        <v>Lama</v>
      </c>
      <c r="AZ111" s="7" t="str">
        <f ca="1">IF(TODAY()-Table43[[#This Row],[Efektif Naik Harga]]&lt;30,"Naik","Sama")</f>
        <v>Sama</v>
      </c>
      <c r="BA111" s="7" t="str">
        <f>IF(Table43[[#This Row],[Kode BARANG Win2]]&lt;&gt;"","IDR","")</f>
        <v>IDR</v>
      </c>
      <c r="BB111" s="7" t="str">
        <f>CONCATENATE(Table43[[#This Row],[kode  1 Digit
(Nomor)]],Table43[[#This Row],[kode  4 Digit                (Nomor)]])</f>
        <v>20100</v>
      </c>
      <c r="BC111" s="7" t="str">
        <f>Table43[[#This Row],[Nama            Gramasi atau Jumlah Pack per CTN]]</f>
        <v>100GR</v>
      </c>
      <c r="BD111" s="7"/>
      <c r="BE111" s="7"/>
      <c r="BF111" s="4" t="str">
        <f>IF(Table43[[#This Row],[SATUAN Fix Win]]&lt;&gt;"","KRT")</f>
        <v>KRT</v>
      </c>
      <c r="BG111" s="4" t="str">
        <f>IF(Table43[[#This Row],[SATUAN Fix Win]]&lt;&gt;"","GD01")</f>
        <v>GD01</v>
      </c>
      <c r="BH111" s="4">
        <f>IF(Table43[[#This Row],[SATUAN Fix Win]]&lt;&gt;"",11611)</f>
        <v>11611</v>
      </c>
      <c r="BI111" s="4">
        <f>IF(Table43[[#This Row],[SATUAN Fix Win]]&lt;&gt;"",11612)</f>
        <v>11612</v>
      </c>
      <c r="BJ111" s="48"/>
      <c r="BK111" s="4">
        <f>IF(Table43[[#This Row],[SATUAN Fix Win]]&lt;&gt;"",1)</f>
        <v>1</v>
      </c>
    </row>
    <row r="112" spans="1:63">
      <c r="A112" s="4" t="str">
        <f>CONCATENATE(Table43[[#This Row],[Kode BARANG Win2]],Table43[[#This Row],[No. Urut
Item Sama]])</f>
        <v>K10510050100101</v>
      </c>
      <c r="B112" s="7">
        <v>1</v>
      </c>
      <c r="D112" s="28" t="s">
        <v>995</v>
      </c>
      <c r="E112" s="28"/>
      <c r="F112" s="28" t="s">
        <v>2943</v>
      </c>
      <c r="G112" s="78">
        <v>24</v>
      </c>
      <c r="H112" s="43"/>
      <c r="I112" s="28" t="str">
        <f>Table43[[#This Row],[Nama Jenis Kemasan]]</f>
        <v>TUBE</v>
      </c>
      <c r="J112" s="4" t="str">
        <f>TRIM(CONCATENATE(Table43[[#This Row],[Nama            KLP]]," ",Table43[[#This Row],[Nama            Sub KLP]]))</f>
        <v>CLICK T.PASTE</v>
      </c>
      <c r="K112" s="4" t="str">
        <f>CONCATENATE(Table43[[#This Row],[kode  2 Digit                (hrf+No)]],Table43[[#This Row],[kode  2 Digit                (Nomor)]],Table43[[#This Row],[kode  1 Digit                (Nomor)]])</f>
        <v>K1051</v>
      </c>
      <c r="L112" s="4" t="str">
        <f t="shared" si="3"/>
        <v>K1051005010010</v>
      </c>
      <c r="M112" s="11">
        <f t="shared" si="4"/>
        <v>14</v>
      </c>
      <c r="N112" s="14" t="str">
        <f>IF(AF112&lt;&gt;"",TRIM(UPPER(CONCATENATE(P112," ",R112," ",T112," ",V112," ",X112," ",Z112," ","X"," ",Table43[[#This Row],[ISI/CTN]]," ",AF112," ",AB112," ",AD112," ",AH112))),TRIM(UPPER(CONCATENATE(P112," ",R112," ",T112," ",V112," ",X112," ",Z112," ","X"," ",Table43[[#This Row],[ISI/CTN]]," ",AB112," ",AD112," ",AH112))))</f>
        <v>KNF CLICK T.PASTE GUM HEALTH PROTECT 100GR X 24 TUBE</v>
      </c>
      <c r="O112" s="11">
        <f t="shared" si="5"/>
        <v>52</v>
      </c>
      <c r="P112" s="4" t="s">
        <v>97</v>
      </c>
      <c r="Q112" s="7" t="s">
        <v>98</v>
      </c>
      <c r="R112" s="4" t="s">
        <v>3640</v>
      </c>
      <c r="S112" s="44" t="s">
        <v>2475</v>
      </c>
      <c r="T112" s="45" t="s">
        <v>2961</v>
      </c>
      <c r="U112" s="7" t="s">
        <v>2656</v>
      </c>
      <c r="V112" s="45" t="s">
        <v>2961</v>
      </c>
      <c r="W112" s="44" t="s">
        <v>2900</v>
      </c>
      <c r="X112" s="4" t="s">
        <v>3646</v>
      </c>
      <c r="Y112" s="46" t="s">
        <v>2475</v>
      </c>
      <c r="Z112" s="4" t="s">
        <v>3642</v>
      </c>
      <c r="AA112" s="46" t="s">
        <v>2487</v>
      </c>
      <c r="AB112" s="4" t="s">
        <v>1021</v>
      </c>
      <c r="AC112" s="7" t="s">
        <v>2656</v>
      </c>
      <c r="AD112" s="4" t="s">
        <v>2961</v>
      </c>
      <c r="AE112" s="7" t="s">
        <v>2900</v>
      </c>
      <c r="AF112" s="7" t="s">
        <v>2961</v>
      </c>
      <c r="AG112" s="7" t="s">
        <v>2961</v>
      </c>
      <c r="AI112" s="7" t="s">
        <v>2463</v>
      </c>
      <c r="AJ112" s="7" t="s">
        <v>3562</v>
      </c>
      <c r="AK112" s="41">
        <f>Table43[[#This Row],[Harga Jual Pcs GT
(-PPN)]]-(Table43[[#This Row],[Harga Jual Pcs GT
(-PPN)]]*10%)</f>
        <v>0</v>
      </c>
      <c r="AL112" s="42">
        <f>Table43[[#This Row],[Harga Beli Pcs
(-PPN)]]*Table43[[#This Row],[ISI/CTN]]</f>
        <v>0</v>
      </c>
      <c r="AM112" s="42">
        <f>Table43[[#This Row],[Harga Beli Pcs
(-PPN)]]*1.11</f>
        <v>0</v>
      </c>
      <c r="AN112" s="42">
        <f>Table43[[#This Row],[Harga Beli Krt
(- PPN)]]*1.11</f>
        <v>0</v>
      </c>
      <c r="AO112" s="42"/>
      <c r="AP112" s="42">
        <f>Table43[[#This Row],[Harga Jual Pcs GT
(-PPN)]]*Table43[[#This Row],[ISI/CTN]]</f>
        <v>0</v>
      </c>
      <c r="AQ112" s="42">
        <f>Table43[[#This Row],[Harga Jual Pcs GT
(-PPN)]]*1.11</f>
        <v>0</v>
      </c>
      <c r="AR112" s="42">
        <f>Table43[[#This Row],[Harga Jual Krt GT
(- PPN)]]*1.11</f>
        <v>0</v>
      </c>
      <c r="AS112" s="42">
        <f>Table43[[#This Row],[Harga Jual Pcs GT
(-PPN)]]</f>
        <v>0</v>
      </c>
      <c r="AT112" s="42">
        <f>(Table43[[#This Row],[Harga Jual Pcs MT
(-PPN)]]*Table43[[#This Row],[ISI/CTN]])</f>
        <v>0</v>
      </c>
      <c r="AU112" s="42">
        <f>Table43[[#This Row],[Harga Jual Pcs MT
(-PPN)]]*1.11</f>
        <v>0</v>
      </c>
      <c r="AV112" s="42">
        <f>Table43[[#This Row],[Harga Jual Pcs MT
(+PPN)]]*Table43[[#This Row],[ISI/CTN]]</f>
        <v>0</v>
      </c>
      <c r="AW112" s="47"/>
      <c r="AX112" s="7"/>
      <c r="AY112" s="7" t="str">
        <f ca="1">IF(TODAY()-Table43[[#This Row],[Efektif
Pembuatan]]&gt;60,"Lama","Baru")</f>
        <v>Lama</v>
      </c>
      <c r="AZ112" s="7" t="str">
        <f ca="1">IF(TODAY()-Table43[[#This Row],[Efektif Naik Harga]]&lt;30,"Naik","Sama")</f>
        <v>Sama</v>
      </c>
      <c r="BA112" s="7" t="str">
        <f>IF(Table43[[#This Row],[Kode BARANG Win2]]&lt;&gt;"","IDR","")</f>
        <v>IDR</v>
      </c>
      <c r="BB112" s="7" t="str">
        <f>CONCATENATE(Table43[[#This Row],[kode  1 Digit
(Nomor)]],Table43[[#This Row],[kode  4 Digit                (Nomor)]])</f>
        <v>20100</v>
      </c>
      <c r="BC112" s="7" t="str">
        <f>Table43[[#This Row],[Nama            Gramasi atau Jumlah Pack per CTN]]</f>
        <v>100GR</v>
      </c>
      <c r="BD112" s="7"/>
      <c r="BE112" s="7"/>
      <c r="BF112" s="4" t="str">
        <f>IF(Table43[[#This Row],[SATUAN Fix Win]]&lt;&gt;"","KRT")</f>
        <v>KRT</v>
      </c>
      <c r="BG112" s="4" t="str">
        <f>IF(Table43[[#This Row],[SATUAN Fix Win]]&lt;&gt;"","GD01")</f>
        <v>GD01</v>
      </c>
      <c r="BH112" s="4">
        <f>IF(Table43[[#This Row],[SATUAN Fix Win]]&lt;&gt;"",11611)</f>
        <v>11611</v>
      </c>
      <c r="BI112" s="4">
        <f>IF(Table43[[#This Row],[SATUAN Fix Win]]&lt;&gt;"",11612)</f>
        <v>11612</v>
      </c>
      <c r="BJ112" s="48"/>
      <c r="BK112" s="4">
        <f>IF(Table43[[#This Row],[SATUAN Fix Win]]&lt;&gt;"",1)</f>
        <v>1</v>
      </c>
    </row>
    <row r="113" spans="1:63">
      <c r="A113" s="4" t="str">
        <f>CONCATENATE(Table43[[#This Row],[Kode BARANG Win2]],Table43[[#This Row],[No. Urut
Item Sama]])</f>
        <v>K10510060100101</v>
      </c>
      <c r="B113" s="7">
        <v>1</v>
      </c>
      <c r="D113" s="28" t="s">
        <v>996</v>
      </c>
      <c r="E113" s="28"/>
      <c r="F113" s="28" t="s">
        <v>2944</v>
      </c>
      <c r="G113" s="78">
        <v>24</v>
      </c>
      <c r="H113" s="43"/>
      <c r="I113" s="28" t="str">
        <f>Table43[[#This Row],[Nama Jenis Kemasan]]</f>
        <v>TUBE</v>
      </c>
      <c r="J113" s="4" t="str">
        <f>TRIM(CONCATENATE(Table43[[#This Row],[Nama            KLP]]," ",Table43[[#This Row],[Nama            Sub KLP]]))</f>
        <v>CLICK T.PASTE</v>
      </c>
      <c r="K113" s="4" t="str">
        <f>CONCATENATE(Table43[[#This Row],[kode  2 Digit                (hrf+No)]],Table43[[#This Row],[kode  2 Digit                (Nomor)]],Table43[[#This Row],[kode  1 Digit                (Nomor)]])</f>
        <v>K1051</v>
      </c>
      <c r="L113" s="4" t="str">
        <f t="shared" si="3"/>
        <v>K1051006010010</v>
      </c>
      <c r="M113" s="11">
        <f t="shared" si="4"/>
        <v>14</v>
      </c>
      <c r="N113" s="14" t="str">
        <f>IF(AF113&lt;&gt;"",TRIM(UPPER(CONCATENATE(P113," ",R113," ",T113," ",V113," ",X113," ",Z113," ","X"," ",Table43[[#This Row],[ISI/CTN]]," ",AF113," ",AB113," ",AD113," ",AH113))),TRIM(UPPER(CONCATENATE(P113," ",R113," ",T113," ",V113," ",X113," ",Z113," ","X"," ",Table43[[#This Row],[ISI/CTN]]," ",AB113," ",AD113," ",AH113))))</f>
        <v>KNF CLICK T.PASTE STRONG ENAMEL 100GR X 24 TUBE</v>
      </c>
      <c r="O113" s="11">
        <f t="shared" si="5"/>
        <v>47</v>
      </c>
      <c r="P113" s="4" t="s">
        <v>97</v>
      </c>
      <c r="Q113" s="7" t="s">
        <v>98</v>
      </c>
      <c r="R113" s="4" t="s">
        <v>3640</v>
      </c>
      <c r="S113" s="44" t="s">
        <v>2475</v>
      </c>
      <c r="T113" s="45" t="s">
        <v>2961</v>
      </c>
      <c r="U113" s="7" t="s">
        <v>2656</v>
      </c>
      <c r="V113" s="45" t="s">
        <v>2961</v>
      </c>
      <c r="W113" s="44" t="s">
        <v>2900</v>
      </c>
      <c r="X113" s="4" t="s">
        <v>3647</v>
      </c>
      <c r="Y113" s="46" t="s">
        <v>2476</v>
      </c>
      <c r="Z113" s="4" t="s">
        <v>3642</v>
      </c>
      <c r="AA113" s="46" t="s">
        <v>2487</v>
      </c>
      <c r="AB113" s="4" t="s">
        <v>1021</v>
      </c>
      <c r="AC113" s="7" t="s">
        <v>2656</v>
      </c>
      <c r="AD113" s="4" t="s">
        <v>2961</v>
      </c>
      <c r="AE113" s="7" t="s">
        <v>2900</v>
      </c>
      <c r="AF113" s="7" t="s">
        <v>2961</v>
      </c>
      <c r="AG113" s="7" t="s">
        <v>2961</v>
      </c>
      <c r="AI113" s="7" t="s">
        <v>2463</v>
      </c>
      <c r="AJ113" s="7" t="s">
        <v>3562</v>
      </c>
      <c r="AK113" s="41">
        <f>Table43[[#This Row],[Harga Jual Pcs GT
(-PPN)]]-(Table43[[#This Row],[Harga Jual Pcs GT
(-PPN)]]*10%)</f>
        <v>0</v>
      </c>
      <c r="AL113" s="42">
        <f>Table43[[#This Row],[Harga Beli Pcs
(-PPN)]]*Table43[[#This Row],[ISI/CTN]]</f>
        <v>0</v>
      </c>
      <c r="AM113" s="42">
        <f>Table43[[#This Row],[Harga Beli Pcs
(-PPN)]]*1.11</f>
        <v>0</v>
      </c>
      <c r="AN113" s="42">
        <f>Table43[[#This Row],[Harga Beli Krt
(- PPN)]]*1.11</f>
        <v>0</v>
      </c>
      <c r="AO113" s="42"/>
      <c r="AP113" s="42">
        <f>Table43[[#This Row],[Harga Jual Pcs GT
(-PPN)]]*Table43[[#This Row],[ISI/CTN]]</f>
        <v>0</v>
      </c>
      <c r="AQ113" s="42">
        <f>Table43[[#This Row],[Harga Jual Pcs GT
(-PPN)]]*1.11</f>
        <v>0</v>
      </c>
      <c r="AR113" s="42">
        <f>Table43[[#This Row],[Harga Jual Krt GT
(- PPN)]]*1.11</f>
        <v>0</v>
      </c>
      <c r="AS113" s="42">
        <f>Table43[[#This Row],[Harga Jual Pcs GT
(-PPN)]]</f>
        <v>0</v>
      </c>
      <c r="AT113" s="42">
        <f>(Table43[[#This Row],[Harga Jual Pcs MT
(-PPN)]]*Table43[[#This Row],[ISI/CTN]])</f>
        <v>0</v>
      </c>
      <c r="AU113" s="42">
        <f>Table43[[#This Row],[Harga Jual Pcs MT
(-PPN)]]*1.11</f>
        <v>0</v>
      </c>
      <c r="AV113" s="42">
        <f>Table43[[#This Row],[Harga Jual Pcs MT
(+PPN)]]*Table43[[#This Row],[ISI/CTN]]</f>
        <v>0</v>
      </c>
      <c r="AW113" s="47"/>
      <c r="AX113" s="7"/>
      <c r="AY113" s="7" t="str">
        <f ca="1">IF(TODAY()-Table43[[#This Row],[Efektif
Pembuatan]]&gt;60,"Lama","Baru")</f>
        <v>Lama</v>
      </c>
      <c r="AZ113" s="7" t="str">
        <f ca="1">IF(TODAY()-Table43[[#This Row],[Efektif Naik Harga]]&lt;30,"Naik","Sama")</f>
        <v>Sama</v>
      </c>
      <c r="BA113" s="7" t="str">
        <f>IF(Table43[[#This Row],[Kode BARANG Win2]]&lt;&gt;"","IDR","")</f>
        <v>IDR</v>
      </c>
      <c r="BB113" s="7" t="str">
        <f>CONCATENATE(Table43[[#This Row],[kode  1 Digit
(Nomor)]],Table43[[#This Row],[kode  4 Digit                (Nomor)]])</f>
        <v>20100</v>
      </c>
      <c r="BC113" s="7" t="str">
        <f>Table43[[#This Row],[Nama            Gramasi atau Jumlah Pack per CTN]]</f>
        <v>100GR</v>
      </c>
      <c r="BD113" s="7"/>
      <c r="BE113" s="7"/>
      <c r="BF113" s="4" t="str">
        <f>IF(Table43[[#This Row],[SATUAN Fix Win]]&lt;&gt;"","KRT")</f>
        <v>KRT</v>
      </c>
      <c r="BG113" s="4" t="str">
        <f>IF(Table43[[#This Row],[SATUAN Fix Win]]&lt;&gt;"","GD01")</f>
        <v>GD01</v>
      </c>
      <c r="BH113" s="4">
        <f>IF(Table43[[#This Row],[SATUAN Fix Win]]&lt;&gt;"",11611)</f>
        <v>11611</v>
      </c>
      <c r="BI113" s="4">
        <f>IF(Table43[[#This Row],[SATUAN Fix Win]]&lt;&gt;"",11612)</f>
        <v>11612</v>
      </c>
      <c r="BJ113" s="48"/>
      <c r="BK113" s="4">
        <f>IF(Table43[[#This Row],[SATUAN Fix Win]]&lt;&gt;"",1)</f>
        <v>1</v>
      </c>
    </row>
    <row r="114" spans="1:63">
      <c r="A114" s="4" t="str">
        <f>CONCATENATE(Table43[[#This Row],[Kode BARANG Win2]],Table43[[#This Row],[No. Urut
Item Sama]])</f>
        <v>K10510070100101</v>
      </c>
      <c r="B114" s="7">
        <v>1</v>
      </c>
      <c r="D114" s="28" t="s">
        <v>997</v>
      </c>
      <c r="E114" s="28"/>
      <c r="F114" s="28" t="s">
        <v>2945</v>
      </c>
      <c r="G114" s="78">
        <v>24</v>
      </c>
      <c r="H114" s="43"/>
      <c r="I114" s="28" t="str">
        <f>Table43[[#This Row],[Nama Jenis Kemasan]]</f>
        <v>TUBE</v>
      </c>
      <c r="J114" s="4" t="str">
        <f>TRIM(CONCATENATE(Table43[[#This Row],[Nama            KLP]]," ",Table43[[#This Row],[Nama            Sub KLP]]))</f>
        <v>CLICK T.PASTE</v>
      </c>
      <c r="K114" s="4" t="str">
        <f>CONCATENATE(Table43[[#This Row],[kode  2 Digit                (hrf+No)]],Table43[[#This Row],[kode  2 Digit                (Nomor)]],Table43[[#This Row],[kode  1 Digit                (Nomor)]])</f>
        <v>K1051</v>
      </c>
      <c r="L114" s="4" t="str">
        <f t="shared" si="3"/>
        <v>K1051007010010</v>
      </c>
      <c r="M114" s="11">
        <f t="shared" si="4"/>
        <v>14</v>
      </c>
      <c r="N114" s="14" t="str">
        <f>IF(AF114&lt;&gt;"",TRIM(UPPER(CONCATENATE(P114," ",R114," ",T114," ",V114," ",X114," ",Z114," ","X"," ",Table43[[#This Row],[ISI/CTN]]," ",AF114," ",AB114," ",AD114," ",AH114))),TRIM(UPPER(CONCATENATE(P114," ",R114," ",T114," ",V114," ",X114," ",Z114," ","X"," ",Table43[[#This Row],[ISI/CTN]]," ",AB114," ",AD114," ",AH114))))</f>
        <v>KNF CLICK T.PASTE BACTERIAL FIGHTER 100GR X 24 TUBE</v>
      </c>
      <c r="O114" s="11">
        <f t="shared" si="5"/>
        <v>51</v>
      </c>
      <c r="P114" s="4" t="s">
        <v>97</v>
      </c>
      <c r="Q114" s="7" t="s">
        <v>98</v>
      </c>
      <c r="R114" s="4" t="s">
        <v>3640</v>
      </c>
      <c r="S114" s="44" t="s">
        <v>2475</v>
      </c>
      <c r="T114" s="45" t="s">
        <v>2961</v>
      </c>
      <c r="U114" s="7" t="s">
        <v>2656</v>
      </c>
      <c r="V114" s="45" t="s">
        <v>2961</v>
      </c>
      <c r="W114" s="44" t="s">
        <v>2900</v>
      </c>
      <c r="X114" s="4" t="s">
        <v>3648</v>
      </c>
      <c r="Y114" s="46" t="s">
        <v>2477</v>
      </c>
      <c r="Z114" s="4" t="s">
        <v>3642</v>
      </c>
      <c r="AA114" s="46" t="s">
        <v>2487</v>
      </c>
      <c r="AB114" s="4" t="s">
        <v>1021</v>
      </c>
      <c r="AC114" s="7" t="s">
        <v>2656</v>
      </c>
      <c r="AD114" s="4" t="s">
        <v>2961</v>
      </c>
      <c r="AE114" s="7" t="s">
        <v>2900</v>
      </c>
      <c r="AF114" s="7" t="s">
        <v>2961</v>
      </c>
      <c r="AG114" s="7" t="s">
        <v>2961</v>
      </c>
      <c r="AI114" s="7" t="s">
        <v>2463</v>
      </c>
      <c r="AJ114" s="7" t="s">
        <v>3562</v>
      </c>
      <c r="AK114" s="41">
        <f>Table43[[#This Row],[Harga Jual Pcs GT
(-PPN)]]-(Table43[[#This Row],[Harga Jual Pcs GT
(-PPN)]]*10%)</f>
        <v>0</v>
      </c>
      <c r="AL114" s="42">
        <f>Table43[[#This Row],[Harga Beli Pcs
(-PPN)]]*Table43[[#This Row],[ISI/CTN]]</f>
        <v>0</v>
      </c>
      <c r="AM114" s="42">
        <f>Table43[[#This Row],[Harga Beli Pcs
(-PPN)]]*1.11</f>
        <v>0</v>
      </c>
      <c r="AN114" s="42">
        <f>Table43[[#This Row],[Harga Beli Krt
(- PPN)]]*1.11</f>
        <v>0</v>
      </c>
      <c r="AO114" s="42"/>
      <c r="AP114" s="42">
        <f>Table43[[#This Row],[Harga Jual Pcs GT
(-PPN)]]*Table43[[#This Row],[ISI/CTN]]</f>
        <v>0</v>
      </c>
      <c r="AQ114" s="42">
        <f>Table43[[#This Row],[Harga Jual Pcs GT
(-PPN)]]*1.11</f>
        <v>0</v>
      </c>
      <c r="AR114" s="42">
        <f>Table43[[#This Row],[Harga Jual Krt GT
(- PPN)]]*1.11</f>
        <v>0</v>
      </c>
      <c r="AS114" s="42">
        <f>Table43[[#This Row],[Harga Jual Pcs GT
(-PPN)]]</f>
        <v>0</v>
      </c>
      <c r="AT114" s="42">
        <f>(Table43[[#This Row],[Harga Jual Pcs MT
(-PPN)]]*Table43[[#This Row],[ISI/CTN]])</f>
        <v>0</v>
      </c>
      <c r="AU114" s="42">
        <f>Table43[[#This Row],[Harga Jual Pcs MT
(-PPN)]]*1.11</f>
        <v>0</v>
      </c>
      <c r="AV114" s="42">
        <f>Table43[[#This Row],[Harga Jual Pcs MT
(+PPN)]]*Table43[[#This Row],[ISI/CTN]]</f>
        <v>0</v>
      </c>
      <c r="AW114" s="47"/>
      <c r="AX114" s="7"/>
      <c r="AY114" s="7" t="str">
        <f ca="1">IF(TODAY()-Table43[[#This Row],[Efektif
Pembuatan]]&gt;60,"Lama","Baru")</f>
        <v>Lama</v>
      </c>
      <c r="AZ114" s="7" t="str">
        <f ca="1">IF(TODAY()-Table43[[#This Row],[Efektif Naik Harga]]&lt;30,"Naik","Sama")</f>
        <v>Sama</v>
      </c>
      <c r="BA114" s="7" t="str">
        <f>IF(Table43[[#This Row],[Kode BARANG Win2]]&lt;&gt;"","IDR","")</f>
        <v>IDR</v>
      </c>
      <c r="BB114" s="7" t="str">
        <f>CONCATENATE(Table43[[#This Row],[kode  1 Digit
(Nomor)]],Table43[[#This Row],[kode  4 Digit                (Nomor)]])</f>
        <v>20100</v>
      </c>
      <c r="BC114" s="7" t="str">
        <f>Table43[[#This Row],[Nama            Gramasi atau Jumlah Pack per CTN]]</f>
        <v>100GR</v>
      </c>
      <c r="BD114" s="7"/>
      <c r="BE114" s="7"/>
      <c r="BF114" s="4" t="str">
        <f>IF(Table43[[#This Row],[SATUAN Fix Win]]&lt;&gt;"","KRT")</f>
        <v>KRT</v>
      </c>
      <c r="BG114" s="4" t="str">
        <f>IF(Table43[[#This Row],[SATUAN Fix Win]]&lt;&gt;"","GD01")</f>
        <v>GD01</v>
      </c>
      <c r="BH114" s="4">
        <f>IF(Table43[[#This Row],[SATUAN Fix Win]]&lt;&gt;"",11611)</f>
        <v>11611</v>
      </c>
      <c r="BI114" s="4">
        <f>IF(Table43[[#This Row],[SATUAN Fix Win]]&lt;&gt;"",11612)</f>
        <v>11612</v>
      </c>
      <c r="BJ114" s="48"/>
      <c r="BK114" s="4">
        <f>IF(Table43[[#This Row],[SATUAN Fix Win]]&lt;&gt;"",1)</f>
        <v>1</v>
      </c>
    </row>
    <row r="115" spans="1:63">
      <c r="A115" s="4" t="str">
        <f>CONCATENATE(Table43[[#This Row],[Kode BARANG Win2]],Table43[[#This Row],[No. Urut
Item Sama]])</f>
        <v>K10510080100101</v>
      </c>
      <c r="B115" s="7">
        <v>1</v>
      </c>
      <c r="D115" s="28" t="s">
        <v>998</v>
      </c>
      <c r="E115" s="28"/>
      <c r="F115" s="28" t="s">
        <v>2946</v>
      </c>
      <c r="G115" s="78">
        <v>24</v>
      </c>
      <c r="H115" s="43"/>
      <c r="I115" s="28" t="str">
        <f>Table43[[#This Row],[Nama Jenis Kemasan]]</f>
        <v>TUBE</v>
      </c>
      <c r="J115" s="4" t="str">
        <f>TRIM(CONCATENATE(Table43[[#This Row],[Nama            KLP]]," ",Table43[[#This Row],[Nama            Sub KLP]]))</f>
        <v>CLICK T.PASTE</v>
      </c>
      <c r="K115" s="4" t="str">
        <f>CONCATENATE(Table43[[#This Row],[kode  2 Digit                (hrf+No)]],Table43[[#This Row],[kode  2 Digit                (Nomor)]],Table43[[#This Row],[kode  1 Digit                (Nomor)]])</f>
        <v>K1051</v>
      </c>
      <c r="L115" s="4" t="str">
        <f t="shared" si="3"/>
        <v>K1051008010010</v>
      </c>
      <c r="M115" s="11">
        <f t="shared" si="4"/>
        <v>14</v>
      </c>
      <c r="N115" s="14" t="str">
        <f>IF(AF115&lt;&gt;"",TRIM(UPPER(CONCATENATE(P115," ",R115," ",T115," ",V115," ",X115," ",Z115," ","X"," ",Table43[[#This Row],[ISI/CTN]]," ",AF115," ",AB115," ",AD115," ",AH115))),TRIM(UPPER(CONCATENATE(P115," ",R115," ",T115," ",V115," ",X115," ",Z115," ","X"," ",Table43[[#This Row],[ISI/CTN]]," ",AB115," ",AD115," ",AH115))))</f>
        <v>KNF CLICK T.PASTE ALL OUT CITRUS 100GR X 24 TUBE</v>
      </c>
      <c r="O115" s="11">
        <f t="shared" si="5"/>
        <v>48</v>
      </c>
      <c r="P115" s="4" t="s">
        <v>97</v>
      </c>
      <c r="Q115" s="7" t="s">
        <v>98</v>
      </c>
      <c r="R115" s="4" t="s">
        <v>3640</v>
      </c>
      <c r="S115" s="44" t="s">
        <v>2475</v>
      </c>
      <c r="T115" s="45" t="s">
        <v>2961</v>
      </c>
      <c r="U115" s="7" t="s">
        <v>2656</v>
      </c>
      <c r="V115" s="45" t="s">
        <v>2961</v>
      </c>
      <c r="W115" s="44" t="s">
        <v>2900</v>
      </c>
      <c r="X115" s="4" t="s">
        <v>3649</v>
      </c>
      <c r="Y115" s="46" t="s">
        <v>2478</v>
      </c>
      <c r="Z115" s="4" t="s">
        <v>3642</v>
      </c>
      <c r="AA115" s="46" t="s">
        <v>2487</v>
      </c>
      <c r="AB115" s="4" t="s">
        <v>1021</v>
      </c>
      <c r="AC115" s="7" t="s">
        <v>2656</v>
      </c>
      <c r="AD115" s="4" t="s">
        <v>2961</v>
      </c>
      <c r="AE115" s="7" t="s">
        <v>2900</v>
      </c>
      <c r="AF115" s="7" t="s">
        <v>2961</v>
      </c>
      <c r="AG115" s="7" t="s">
        <v>2961</v>
      </c>
      <c r="AI115" s="7" t="s">
        <v>2463</v>
      </c>
      <c r="AJ115" s="7" t="s">
        <v>3562</v>
      </c>
      <c r="AK115" s="41">
        <f>Table43[[#This Row],[Harga Jual Pcs GT
(-PPN)]]-(Table43[[#This Row],[Harga Jual Pcs GT
(-PPN)]]*10%)</f>
        <v>0</v>
      </c>
      <c r="AL115" s="42">
        <f>Table43[[#This Row],[Harga Beli Pcs
(-PPN)]]*Table43[[#This Row],[ISI/CTN]]</f>
        <v>0</v>
      </c>
      <c r="AM115" s="42">
        <f>Table43[[#This Row],[Harga Beli Pcs
(-PPN)]]*1.11</f>
        <v>0</v>
      </c>
      <c r="AN115" s="42">
        <f>Table43[[#This Row],[Harga Beli Krt
(- PPN)]]*1.11</f>
        <v>0</v>
      </c>
      <c r="AO115" s="42"/>
      <c r="AP115" s="42">
        <f>Table43[[#This Row],[Harga Jual Pcs GT
(-PPN)]]*Table43[[#This Row],[ISI/CTN]]</f>
        <v>0</v>
      </c>
      <c r="AQ115" s="42">
        <f>Table43[[#This Row],[Harga Jual Pcs GT
(-PPN)]]*1.11</f>
        <v>0</v>
      </c>
      <c r="AR115" s="42">
        <f>Table43[[#This Row],[Harga Jual Krt GT
(- PPN)]]*1.11</f>
        <v>0</v>
      </c>
      <c r="AS115" s="42">
        <f>Table43[[#This Row],[Harga Jual Pcs GT
(-PPN)]]</f>
        <v>0</v>
      </c>
      <c r="AT115" s="42">
        <f>(Table43[[#This Row],[Harga Jual Pcs MT
(-PPN)]]*Table43[[#This Row],[ISI/CTN]])</f>
        <v>0</v>
      </c>
      <c r="AU115" s="42">
        <f>Table43[[#This Row],[Harga Jual Pcs MT
(-PPN)]]*1.11</f>
        <v>0</v>
      </c>
      <c r="AV115" s="42">
        <f>Table43[[#This Row],[Harga Jual Pcs MT
(+PPN)]]*Table43[[#This Row],[ISI/CTN]]</f>
        <v>0</v>
      </c>
      <c r="AW115" s="47"/>
      <c r="AX115" s="7"/>
      <c r="AY115" s="7" t="str">
        <f ca="1">IF(TODAY()-Table43[[#This Row],[Efektif
Pembuatan]]&gt;60,"Lama","Baru")</f>
        <v>Lama</v>
      </c>
      <c r="AZ115" s="7" t="str">
        <f ca="1">IF(TODAY()-Table43[[#This Row],[Efektif Naik Harga]]&lt;30,"Naik","Sama")</f>
        <v>Sama</v>
      </c>
      <c r="BA115" s="7" t="str">
        <f>IF(Table43[[#This Row],[Kode BARANG Win2]]&lt;&gt;"","IDR","")</f>
        <v>IDR</v>
      </c>
      <c r="BB115" s="7" t="str">
        <f>CONCATENATE(Table43[[#This Row],[kode  1 Digit
(Nomor)]],Table43[[#This Row],[kode  4 Digit                (Nomor)]])</f>
        <v>20100</v>
      </c>
      <c r="BC115" s="7" t="str">
        <f>Table43[[#This Row],[Nama            Gramasi atau Jumlah Pack per CTN]]</f>
        <v>100GR</v>
      </c>
      <c r="BD115" s="7"/>
      <c r="BE115" s="7"/>
      <c r="BF115" s="4" t="str">
        <f>IF(Table43[[#This Row],[SATUAN Fix Win]]&lt;&gt;"","KRT")</f>
        <v>KRT</v>
      </c>
      <c r="BG115" s="4" t="str">
        <f>IF(Table43[[#This Row],[SATUAN Fix Win]]&lt;&gt;"","GD01")</f>
        <v>GD01</v>
      </c>
      <c r="BH115" s="4">
        <f>IF(Table43[[#This Row],[SATUAN Fix Win]]&lt;&gt;"",11611)</f>
        <v>11611</v>
      </c>
      <c r="BI115" s="4">
        <f>IF(Table43[[#This Row],[SATUAN Fix Win]]&lt;&gt;"",11612)</f>
        <v>11612</v>
      </c>
      <c r="BJ115" s="48"/>
      <c r="BK115" s="4">
        <f>IF(Table43[[#This Row],[SATUAN Fix Win]]&lt;&gt;"",1)</f>
        <v>1</v>
      </c>
    </row>
    <row r="116" spans="1:63">
      <c r="A116" s="4" t="str">
        <f>CONCATENATE(Table43[[#This Row],[Kode BARANG Win2]],Table43[[#This Row],[No. Urut
Item Sama]])</f>
        <v>K10600010110101</v>
      </c>
      <c r="B116" s="7">
        <v>1</v>
      </c>
      <c r="D116" s="28" t="s">
        <v>508</v>
      </c>
      <c r="E116" s="28"/>
      <c r="F116" s="28" t="s">
        <v>2947</v>
      </c>
      <c r="G116" s="78">
        <v>24</v>
      </c>
      <c r="H116" s="43"/>
      <c r="I116" s="28" t="str">
        <f>Table43[[#This Row],[Nama Jenis Kemasan]]</f>
        <v>BTL</v>
      </c>
      <c r="J116" s="4" t="str">
        <f>TRIM(CONCATENATE(Table43[[#This Row],[Nama            KLP]]," ",Table43[[#This Row],[Nama            Sub KLP]]))</f>
        <v>ELLIPS CONDITIONER</v>
      </c>
      <c r="K116" s="4" t="str">
        <f>CONCATENATE(Table43[[#This Row],[kode  2 Digit                (hrf+No)]],Table43[[#This Row],[kode  2 Digit                (Nomor)]],Table43[[#This Row],[kode  1 Digit                (Nomor)]])</f>
        <v>K1060</v>
      </c>
      <c r="L116" s="4" t="str">
        <f t="shared" si="3"/>
        <v>K1060001011010</v>
      </c>
      <c r="M116" s="11">
        <f t="shared" si="4"/>
        <v>14</v>
      </c>
      <c r="N116" s="14" t="str">
        <f>IF(AF116&lt;&gt;"",TRIM(UPPER(CONCATENATE(P116," ",R116," ",T116," ",V116," ",X116," ",Z116," ","X"," ",Table43[[#This Row],[ISI/CTN]]," ",AF116," ",AB116," ",AD116," ",AH116))),TRIM(UPPER(CONCATENATE(P116," ",R116," ",T116," ",V116," ",X116," ",Z116," ","X"," ",Table43[[#This Row],[ISI/CTN]]," ",AB116," ",AD116," ",AH116))))</f>
        <v>KNF ELLIPS CONDITIONER MILKSHAKE 110ML X 24 BTL</v>
      </c>
      <c r="O116" s="11">
        <f t="shared" si="5"/>
        <v>47</v>
      </c>
      <c r="P116" s="4" t="s">
        <v>97</v>
      </c>
      <c r="Q116" s="7" t="s">
        <v>98</v>
      </c>
      <c r="R116" s="4" t="s">
        <v>3650</v>
      </c>
      <c r="S116" s="44" t="s">
        <v>2476</v>
      </c>
      <c r="T116" s="45" t="s">
        <v>2961</v>
      </c>
      <c r="U116" s="7" t="s">
        <v>2900</v>
      </c>
      <c r="V116" s="45" t="s">
        <v>2961</v>
      </c>
      <c r="W116" s="44" t="s">
        <v>2900</v>
      </c>
      <c r="X116" s="4" t="s">
        <v>3651</v>
      </c>
      <c r="Y116" s="46" t="s">
        <v>0</v>
      </c>
      <c r="Z116" s="4" t="s">
        <v>3652</v>
      </c>
      <c r="AA116" s="46" t="s">
        <v>2492</v>
      </c>
      <c r="AB116" s="4" t="s">
        <v>357</v>
      </c>
      <c r="AC116" s="7" t="s">
        <v>2656</v>
      </c>
      <c r="AD116" s="4" t="s">
        <v>2961</v>
      </c>
      <c r="AE116" s="7" t="s">
        <v>2900</v>
      </c>
      <c r="AF116" s="7" t="s">
        <v>2961</v>
      </c>
      <c r="AG116" s="7" t="s">
        <v>2961</v>
      </c>
      <c r="AI116" s="7" t="s">
        <v>4100</v>
      </c>
      <c r="AJ116" s="7" t="s">
        <v>2656</v>
      </c>
      <c r="AK116" s="41">
        <f>Table43[[#This Row],[Harga Jual Pcs GT
(-PPN)]]-(Table43[[#This Row],[Harga Jual Pcs GT
(-PPN)]]*10%)</f>
        <v>0</v>
      </c>
      <c r="AL116" s="42">
        <f>Table43[[#This Row],[Harga Beli Pcs
(-PPN)]]*Table43[[#This Row],[ISI/CTN]]</f>
        <v>0</v>
      </c>
      <c r="AM116" s="42">
        <f>Table43[[#This Row],[Harga Beli Pcs
(-PPN)]]*1.11</f>
        <v>0</v>
      </c>
      <c r="AN116" s="42">
        <f>Table43[[#This Row],[Harga Beli Krt
(- PPN)]]*1.11</f>
        <v>0</v>
      </c>
      <c r="AO116" s="42"/>
      <c r="AP116" s="42">
        <f>Table43[[#This Row],[Harga Jual Pcs GT
(-PPN)]]*Table43[[#This Row],[ISI/CTN]]</f>
        <v>0</v>
      </c>
      <c r="AQ116" s="42">
        <f>Table43[[#This Row],[Harga Jual Pcs GT
(-PPN)]]*1.11</f>
        <v>0</v>
      </c>
      <c r="AR116" s="42">
        <f>Table43[[#This Row],[Harga Jual Krt GT
(- PPN)]]*1.11</f>
        <v>0</v>
      </c>
      <c r="AS116" s="42">
        <f>Table43[[#This Row],[Harga Jual Pcs GT
(-PPN)]]</f>
        <v>0</v>
      </c>
      <c r="AT116" s="42">
        <f>(Table43[[#This Row],[Harga Jual Pcs MT
(-PPN)]]*Table43[[#This Row],[ISI/CTN]])</f>
        <v>0</v>
      </c>
      <c r="AU116" s="42">
        <f>Table43[[#This Row],[Harga Jual Pcs MT
(-PPN)]]*1.11</f>
        <v>0</v>
      </c>
      <c r="AV116" s="42">
        <f>Table43[[#This Row],[Harga Jual Pcs MT
(+PPN)]]*Table43[[#This Row],[ISI/CTN]]</f>
        <v>0</v>
      </c>
      <c r="AW116" s="47"/>
      <c r="AX116" s="7"/>
      <c r="AY116" s="7" t="str">
        <f ca="1">IF(TODAY()-Table43[[#This Row],[Efektif
Pembuatan]]&gt;60,"Lama","Baru")</f>
        <v>Lama</v>
      </c>
      <c r="AZ116" s="7" t="str">
        <f ca="1">IF(TODAY()-Table43[[#This Row],[Efektif Naik Harga]]&lt;30,"Naik","Sama")</f>
        <v>Sama</v>
      </c>
      <c r="BA116" s="7" t="str">
        <f>IF(Table43[[#This Row],[Kode BARANG Win2]]&lt;&gt;"","IDR","")</f>
        <v>IDR</v>
      </c>
      <c r="BB116" s="7" t="str">
        <f>CONCATENATE(Table43[[#This Row],[kode  1 Digit
(Nomor)]],Table43[[#This Row],[kode  4 Digit                (Nomor)]])</f>
        <v>10110</v>
      </c>
      <c r="BC116" s="7" t="str">
        <f>Table43[[#This Row],[Nama            Gramasi atau Jumlah Pack per CTN]]</f>
        <v>110ML</v>
      </c>
      <c r="BD116" s="7"/>
      <c r="BE116" s="7"/>
      <c r="BF116" s="4" t="str">
        <f>IF(Table43[[#This Row],[SATUAN Fix Win]]&lt;&gt;"","KRT")</f>
        <v>KRT</v>
      </c>
      <c r="BG116" s="4" t="str">
        <f>IF(Table43[[#This Row],[SATUAN Fix Win]]&lt;&gt;"","GD01")</f>
        <v>GD01</v>
      </c>
      <c r="BH116" s="4">
        <f>IF(Table43[[#This Row],[SATUAN Fix Win]]&lt;&gt;"",11611)</f>
        <v>11611</v>
      </c>
      <c r="BI116" s="4">
        <f>IF(Table43[[#This Row],[SATUAN Fix Win]]&lt;&gt;"",11612)</f>
        <v>11612</v>
      </c>
      <c r="BJ116" s="48"/>
      <c r="BK116" s="4">
        <f>IF(Table43[[#This Row],[SATUAN Fix Win]]&lt;&gt;"",1)</f>
        <v>1</v>
      </c>
    </row>
    <row r="117" spans="1:63">
      <c r="A117" s="4" t="str">
        <f>CONCATENATE(Table43[[#This Row],[Kode BARANG Win2]],Table43[[#This Row],[No. Urut
Item Sama]])</f>
        <v>K10700010050201</v>
      </c>
      <c r="B117" s="7">
        <v>1</v>
      </c>
      <c r="D117" s="28" t="s">
        <v>478</v>
      </c>
      <c r="E117" s="28"/>
      <c r="F117" s="28" t="s">
        <v>2948</v>
      </c>
      <c r="G117" s="78">
        <v>24</v>
      </c>
      <c r="H117" s="43"/>
      <c r="I117" s="28" t="str">
        <f>Table43[[#This Row],[Nama Jenis Kemasan]]</f>
        <v>KLG</v>
      </c>
      <c r="J117" s="4" t="str">
        <f>TRIM(CONCATENATE(Table43[[#This Row],[Nama            KLP]]," ",Table43[[#This Row],[Nama            Sub KLP]]))</f>
        <v>ELLIPS DRY SHAMPOO</v>
      </c>
      <c r="K117" s="4" t="str">
        <f>CONCATENATE(Table43[[#This Row],[kode  2 Digit                (hrf+No)]],Table43[[#This Row],[kode  2 Digit                (Nomor)]],Table43[[#This Row],[kode  1 Digit                (Nomor)]])</f>
        <v>K1070</v>
      </c>
      <c r="L117" s="4" t="str">
        <f t="shared" si="3"/>
        <v>K1070001005020</v>
      </c>
      <c r="M117" s="11">
        <f t="shared" si="4"/>
        <v>14</v>
      </c>
      <c r="N117" s="14" t="str">
        <f>IF(AF117&lt;&gt;"",TRIM(UPPER(CONCATENATE(P117," ",R117," ",T117," ",V117," ",X117," ",Z117," ","X"," ",Table43[[#This Row],[ISI/CTN]]," ",AF117," ",AB117," ",AD117," ",AH117))),TRIM(UPPER(CONCATENATE(P117," ",R117," ",T117," ",V117," ",X117," ",Z117," ","X"," ",Table43[[#This Row],[ISI/CTN]]," ",AB117," ",AD117," ",AH117))))</f>
        <v>KNF ELLIPS DRY SHAMPOO BLOSSOM 50ML X 24 KLG</v>
      </c>
      <c r="O117" s="11">
        <f t="shared" si="5"/>
        <v>44</v>
      </c>
      <c r="P117" s="4" t="s">
        <v>97</v>
      </c>
      <c r="Q117" s="7" t="s">
        <v>98</v>
      </c>
      <c r="R117" s="4" t="s">
        <v>3653</v>
      </c>
      <c r="S117" s="44" t="s">
        <v>2477</v>
      </c>
      <c r="T117" s="45" t="s">
        <v>2961</v>
      </c>
      <c r="U117" s="7" t="s">
        <v>2900</v>
      </c>
      <c r="V117" s="45" t="s">
        <v>2961</v>
      </c>
      <c r="W117" s="44" t="s">
        <v>2900</v>
      </c>
      <c r="X117" s="4" t="s">
        <v>3598</v>
      </c>
      <c r="Y117" s="46" t="s">
        <v>0</v>
      </c>
      <c r="Z117" s="4" t="s">
        <v>3654</v>
      </c>
      <c r="AA117" s="46" t="s">
        <v>2490</v>
      </c>
      <c r="AB117" s="4" t="s">
        <v>359</v>
      </c>
      <c r="AC117" s="7" t="s">
        <v>3562</v>
      </c>
      <c r="AD117" s="4" t="s">
        <v>2961</v>
      </c>
      <c r="AE117" s="7" t="s">
        <v>2900</v>
      </c>
      <c r="AF117" s="7" t="s">
        <v>2961</v>
      </c>
      <c r="AG117" s="7" t="s">
        <v>2961</v>
      </c>
      <c r="AI117" s="7" t="s">
        <v>4100</v>
      </c>
      <c r="AJ117" s="7" t="s">
        <v>2656</v>
      </c>
      <c r="AK117" s="41">
        <f>Table43[[#This Row],[Harga Jual Pcs GT
(-PPN)]]-(Table43[[#This Row],[Harga Jual Pcs GT
(-PPN)]]*10%)</f>
        <v>0</v>
      </c>
      <c r="AL117" s="42">
        <f>Table43[[#This Row],[Harga Beli Pcs
(-PPN)]]*Table43[[#This Row],[ISI/CTN]]</f>
        <v>0</v>
      </c>
      <c r="AM117" s="42">
        <f>Table43[[#This Row],[Harga Beli Pcs
(-PPN)]]*1.11</f>
        <v>0</v>
      </c>
      <c r="AN117" s="42">
        <f>Table43[[#This Row],[Harga Beli Krt
(- PPN)]]*1.11</f>
        <v>0</v>
      </c>
      <c r="AO117" s="42"/>
      <c r="AP117" s="42">
        <f>Table43[[#This Row],[Harga Jual Pcs GT
(-PPN)]]*Table43[[#This Row],[ISI/CTN]]</f>
        <v>0</v>
      </c>
      <c r="AQ117" s="42">
        <f>Table43[[#This Row],[Harga Jual Pcs GT
(-PPN)]]*1.11</f>
        <v>0</v>
      </c>
      <c r="AR117" s="42">
        <f>Table43[[#This Row],[Harga Jual Krt GT
(- PPN)]]*1.11</f>
        <v>0</v>
      </c>
      <c r="AS117" s="42">
        <f>Table43[[#This Row],[Harga Jual Pcs GT
(-PPN)]]</f>
        <v>0</v>
      </c>
      <c r="AT117" s="42">
        <f>(Table43[[#This Row],[Harga Jual Pcs MT
(-PPN)]]*Table43[[#This Row],[ISI/CTN]])</f>
        <v>0</v>
      </c>
      <c r="AU117" s="42">
        <f>Table43[[#This Row],[Harga Jual Pcs MT
(-PPN)]]*1.11</f>
        <v>0</v>
      </c>
      <c r="AV117" s="42">
        <f>Table43[[#This Row],[Harga Jual Pcs MT
(+PPN)]]*Table43[[#This Row],[ISI/CTN]]</f>
        <v>0</v>
      </c>
      <c r="AW117" s="47"/>
      <c r="AX117" s="7"/>
      <c r="AY117" s="7" t="str">
        <f ca="1">IF(TODAY()-Table43[[#This Row],[Efektif
Pembuatan]]&gt;60,"Lama","Baru")</f>
        <v>Lama</v>
      </c>
      <c r="AZ117" s="7" t="str">
        <f ca="1">IF(TODAY()-Table43[[#This Row],[Efektif Naik Harga]]&lt;30,"Naik","Sama")</f>
        <v>Sama</v>
      </c>
      <c r="BA117" s="7" t="str">
        <f>IF(Table43[[#This Row],[Kode BARANG Win2]]&lt;&gt;"","IDR","")</f>
        <v>IDR</v>
      </c>
      <c r="BB117" s="7" t="str">
        <f>CONCATENATE(Table43[[#This Row],[kode  1 Digit
(Nomor)]],Table43[[#This Row],[kode  4 Digit                (Nomor)]])</f>
        <v>10050</v>
      </c>
      <c r="BC117" s="7" t="str">
        <f>Table43[[#This Row],[Nama            Gramasi atau Jumlah Pack per CTN]]</f>
        <v>50ML</v>
      </c>
      <c r="BD117" s="7"/>
      <c r="BE117" s="7"/>
      <c r="BF117" s="4" t="str">
        <f>IF(Table43[[#This Row],[SATUAN Fix Win]]&lt;&gt;"","KRT")</f>
        <v>KRT</v>
      </c>
      <c r="BG117" s="4" t="str">
        <f>IF(Table43[[#This Row],[SATUAN Fix Win]]&lt;&gt;"","GD01")</f>
        <v>GD01</v>
      </c>
      <c r="BH117" s="4">
        <f>IF(Table43[[#This Row],[SATUAN Fix Win]]&lt;&gt;"",11611)</f>
        <v>11611</v>
      </c>
      <c r="BI117" s="4">
        <f>IF(Table43[[#This Row],[SATUAN Fix Win]]&lt;&gt;"",11612)</f>
        <v>11612</v>
      </c>
      <c r="BJ117" s="48"/>
      <c r="BK117" s="4">
        <f>IF(Table43[[#This Row],[SATUAN Fix Win]]&lt;&gt;"",1)</f>
        <v>1</v>
      </c>
    </row>
    <row r="118" spans="1:63">
      <c r="A118" s="4" t="str">
        <f>CONCATENATE(Table43[[#This Row],[Kode BARANG Win2]],Table43[[#This Row],[No. Urut
Item Sama]])</f>
        <v>K10700010200101</v>
      </c>
      <c r="B118" s="7">
        <v>1</v>
      </c>
      <c r="D118" s="28" t="s">
        <v>480</v>
      </c>
      <c r="E118" s="28"/>
      <c r="F118" s="28" t="s">
        <v>3445</v>
      </c>
      <c r="G118" s="78">
        <v>12</v>
      </c>
      <c r="H118" s="43"/>
      <c r="I118" s="28" t="str">
        <f>Table43[[#This Row],[Nama Jenis Kemasan]]</f>
        <v>BTL</v>
      </c>
      <c r="J118" s="4" t="str">
        <f>TRIM(CONCATENATE(Table43[[#This Row],[Nama            KLP]]," ",Table43[[#This Row],[Nama            Sub KLP]]))</f>
        <v>ELLIPS DRY SHAMPOO</v>
      </c>
      <c r="K118" s="4" t="str">
        <f>CONCATENATE(Table43[[#This Row],[kode  2 Digit                (hrf+No)]],Table43[[#This Row],[kode  2 Digit                (Nomor)]],Table43[[#This Row],[kode  1 Digit                (Nomor)]])</f>
        <v>K1070</v>
      </c>
      <c r="L118" s="4" t="str">
        <f t="shared" si="3"/>
        <v>K1070001020010</v>
      </c>
      <c r="M118" s="11">
        <f t="shared" si="4"/>
        <v>14</v>
      </c>
      <c r="N118" s="14" t="str">
        <f>IF(AF118&lt;&gt;"",TRIM(UPPER(CONCATENATE(P118," ",R118," ",T118," ",V118," ",X118," ",Z118," ","X"," ",Table43[[#This Row],[ISI/CTN]]," ",AF118," ",AB118," ",AD118," ",AH118))),TRIM(UPPER(CONCATENATE(P118," ",R118," ",T118," ",V118," ",X118," ",Z118," ","X"," ",Table43[[#This Row],[ISI/CTN]]," ",AB118," ",AD118," ",AH118))))</f>
        <v>KNF ELLIPS DRY SHAMPOO BLOSSOM 200ML X 12 BTL</v>
      </c>
      <c r="O118" s="11">
        <f t="shared" si="5"/>
        <v>45</v>
      </c>
      <c r="P118" s="4" t="s">
        <v>97</v>
      </c>
      <c r="Q118" s="7" t="s">
        <v>98</v>
      </c>
      <c r="R118" s="4" t="s">
        <v>3653</v>
      </c>
      <c r="S118" s="44" t="s">
        <v>2477</v>
      </c>
      <c r="T118" s="45" t="s">
        <v>2961</v>
      </c>
      <c r="U118" s="7" t="s">
        <v>2900</v>
      </c>
      <c r="V118" s="45" t="s">
        <v>2961</v>
      </c>
      <c r="W118" s="44" t="s">
        <v>2900</v>
      </c>
      <c r="X118" s="4" t="s">
        <v>3598</v>
      </c>
      <c r="Y118" s="46" t="s">
        <v>0</v>
      </c>
      <c r="Z118" s="4" t="s">
        <v>3582</v>
      </c>
      <c r="AA118" s="46" t="s">
        <v>2486</v>
      </c>
      <c r="AB118" s="4" t="s">
        <v>357</v>
      </c>
      <c r="AC118" s="7" t="s">
        <v>2656</v>
      </c>
      <c r="AD118" s="4" t="s">
        <v>2961</v>
      </c>
      <c r="AE118" s="7" t="s">
        <v>2900</v>
      </c>
      <c r="AF118" s="7" t="s">
        <v>2961</v>
      </c>
      <c r="AG118" s="7" t="s">
        <v>2961</v>
      </c>
      <c r="AI118" s="7" t="s">
        <v>4100</v>
      </c>
      <c r="AJ118" s="7" t="s">
        <v>2656</v>
      </c>
      <c r="AK118" s="41">
        <f>Table43[[#This Row],[Harga Jual Pcs GT
(-PPN)]]-(Table43[[#This Row],[Harga Jual Pcs GT
(-PPN)]]*10%)</f>
        <v>0</v>
      </c>
      <c r="AL118" s="42">
        <f>Table43[[#This Row],[Harga Beli Pcs
(-PPN)]]*Table43[[#This Row],[ISI/CTN]]</f>
        <v>0</v>
      </c>
      <c r="AM118" s="42">
        <f>Table43[[#This Row],[Harga Beli Pcs
(-PPN)]]*1.11</f>
        <v>0</v>
      </c>
      <c r="AN118" s="42">
        <f>Table43[[#This Row],[Harga Beli Krt
(- PPN)]]*1.11</f>
        <v>0</v>
      </c>
      <c r="AO118" s="42"/>
      <c r="AP118" s="42">
        <f>Table43[[#This Row],[Harga Jual Pcs GT
(-PPN)]]*Table43[[#This Row],[ISI/CTN]]</f>
        <v>0</v>
      </c>
      <c r="AQ118" s="42">
        <f>Table43[[#This Row],[Harga Jual Pcs GT
(-PPN)]]*1.11</f>
        <v>0</v>
      </c>
      <c r="AR118" s="42">
        <f>Table43[[#This Row],[Harga Jual Krt GT
(- PPN)]]*1.11</f>
        <v>0</v>
      </c>
      <c r="AS118" s="42">
        <f>Table43[[#This Row],[Harga Jual Pcs GT
(-PPN)]]</f>
        <v>0</v>
      </c>
      <c r="AT118" s="42">
        <f>(Table43[[#This Row],[Harga Jual Pcs MT
(-PPN)]]*Table43[[#This Row],[ISI/CTN]])</f>
        <v>0</v>
      </c>
      <c r="AU118" s="42">
        <f>Table43[[#This Row],[Harga Jual Pcs MT
(-PPN)]]*1.11</f>
        <v>0</v>
      </c>
      <c r="AV118" s="42">
        <f>Table43[[#This Row],[Harga Jual Pcs MT
(+PPN)]]*Table43[[#This Row],[ISI/CTN]]</f>
        <v>0</v>
      </c>
      <c r="AW118" s="47"/>
      <c r="AX118" s="7"/>
      <c r="AY118" s="7" t="str">
        <f ca="1">IF(TODAY()-Table43[[#This Row],[Efektif
Pembuatan]]&gt;60,"Lama","Baru")</f>
        <v>Lama</v>
      </c>
      <c r="AZ118" s="7" t="str">
        <f ca="1">IF(TODAY()-Table43[[#This Row],[Efektif Naik Harga]]&lt;30,"Naik","Sama")</f>
        <v>Sama</v>
      </c>
      <c r="BA118" s="7" t="str">
        <f>IF(Table43[[#This Row],[Kode BARANG Win2]]&lt;&gt;"","IDR","")</f>
        <v>IDR</v>
      </c>
      <c r="BB118" s="7" t="str">
        <f>CONCATENATE(Table43[[#This Row],[kode  1 Digit
(Nomor)]],Table43[[#This Row],[kode  4 Digit                (Nomor)]])</f>
        <v>10200</v>
      </c>
      <c r="BC118" s="7" t="str">
        <f>Table43[[#This Row],[Nama            Gramasi atau Jumlah Pack per CTN]]</f>
        <v>200ML</v>
      </c>
      <c r="BD118" s="7"/>
      <c r="BE118" s="7"/>
      <c r="BF118" s="4" t="str">
        <f>IF(Table43[[#This Row],[SATUAN Fix Win]]&lt;&gt;"","KRT")</f>
        <v>KRT</v>
      </c>
      <c r="BG118" s="4" t="str">
        <f>IF(Table43[[#This Row],[SATUAN Fix Win]]&lt;&gt;"","GD01")</f>
        <v>GD01</v>
      </c>
      <c r="BH118" s="4">
        <f>IF(Table43[[#This Row],[SATUAN Fix Win]]&lt;&gt;"",11611)</f>
        <v>11611</v>
      </c>
      <c r="BI118" s="4">
        <f>IF(Table43[[#This Row],[SATUAN Fix Win]]&lt;&gt;"",11612)</f>
        <v>11612</v>
      </c>
      <c r="BJ118" s="48"/>
      <c r="BK118" s="4">
        <f>IF(Table43[[#This Row],[SATUAN Fix Win]]&lt;&gt;"",1)</f>
        <v>1</v>
      </c>
    </row>
    <row r="119" spans="1:63">
      <c r="A119" s="4" t="str">
        <f>CONCATENATE(Table43[[#This Row],[Kode BARANG Win2]],Table43[[#This Row],[No. Urut
Item Sama]])</f>
        <v>K10700010200201</v>
      </c>
      <c r="B119" s="7">
        <v>1</v>
      </c>
      <c r="D119" s="28" t="s">
        <v>479</v>
      </c>
      <c r="E119" s="28"/>
      <c r="F119" s="28" t="s">
        <v>2949</v>
      </c>
      <c r="G119" s="78">
        <v>24</v>
      </c>
      <c r="H119" s="43"/>
      <c r="I119" s="28" t="str">
        <f>Table43[[#This Row],[Nama Jenis Kemasan]]</f>
        <v>KLG</v>
      </c>
      <c r="J119" s="4" t="str">
        <f>TRIM(CONCATENATE(Table43[[#This Row],[Nama            KLP]]," ",Table43[[#This Row],[Nama            Sub KLP]]))</f>
        <v>ELLIPS DRY SHAMPOO</v>
      </c>
      <c r="K119" s="4" t="str">
        <f>CONCATENATE(Table43[[#This Row],[kode  2 Digit                (hrf+No)]],Table43[[#This Row],[kode  2 Digit                (Nomor)]],Table43[[#This Row],[kode  1 Digit                (Nomor)]])</f>
        <v>K1070</v>
      </c>
      <c r="L119" s="4" t="str">
        <f t="shared" si="3"/>
        <v>K1070001020020</v>
      </c>
      <c r="M119" s="11">
        <f t="shared" si="4"/>
        <v>14</v>
      </c>
      <c r="N119" s="14" t="str">
        <f>IF(AF119&lt;&gt;"",TRIM(UPPER(CONCATENATE(P119," ",R119," ",T119," ",V119," ",X119," ",Z119," ","X"," ",Table43[[#This Row],[ISI/CTN]]," ",AF119," ",AB119," ",AD119," ",AH119))),TRIM(UPPER(CONCATENATE(P119," ",R119," ",T119," ",V119," ",X119," ",Z119," ","X"," ",Table43[[#This Row],[ISI/CTN]]," ",AB119," ",AD119," ",AH119))))</f>
        <v>KNF ELLIPS DRY SHAMPOO BLOSSOM 200ML X 24 KLG</v>
      </c>
      <c r="O119" s="11">
        <f t="shared" si="5"/>
        <v>45</v>
      </c>
      <c r="P119" s="4" t="s">
        <v>97</v>
      </c>
      <c r="Q119" s="7" t="s">
        <v>98</v>
      </c>
      <c r="R119" s="4" t="s">
        <v>3653</v>
      </c>
      <c r="S119" s="44" t="s">
        <v>2477</v>
      </c>
      <c r="T119" s="45" t="s">
        <v>2961</v>
      </c>
      <c r="U119" s="7" t="s">
        <v>2900</v>
      </c>
      <c r="V119" s="45" t="s">
        <v>2961</v>
      </c>
      <c r="W119" s="44" t="s">
        <v>2900</v>
      </c>
      <c r="X119" s="4" t="s">
        <v>3598</v>
      </c>
      <c r="Y119" s="46" t="s">
        <v>0</v>
      </c>
      <c r="Z119" s="4" t="s">
        <v>3582</v>
      </c>
      <c r="AA119" s="46" t="s">
        <v>2486</v>
      </c>
      <c r="AB119" s="4" t="s">
        <v>359</v>
      </c>
      <c r="AC119" s="7" t="s">
        <v>3562</v>
      </c>
      <c r="AD119" s="4" t="s">
        <v>2961</v>
      </c>
      <c r="AE119" s="7" t="s">
        <v>2900</v>
      </c>
      <c r="AF119" s="7" t="s">
        <v>2961</v>
      </c>
      <c r="AG119" s="7" t="s">
        <v>2961</v>
      </c>
      <c r="AI119" s="7" t="s">
        <v>4100</v>
      </c>
      <c r="AJ119" s="7" t="s">
        <v>2656</v>
      </c>
      <c r="AK119" s="41">
        <f>Table43[[#This Row],[Harga Jual Pcs GT
(-PPN)]]-(Table43[[#This Row],[Harga Jual Pcs GT
(-PPN)]]*10%)</f>
        <v>0</v>
      </c>
      <c r="AL119" s="42">
        <f>Table43[[#This Row],[Harga Beli Pcs
(-PPN)]]*Table43[[#This Row],[ISI/CTN]]</f>
        <v>0</v>
      </c>
      <c r="AM119" s="42">
        <f>Table43[[#This Row],[Harga Beli Pcs
(-PPN)]]*1.11</f>
        <v>0</v>
      </c>
      <c r="AN119" s="42">
        <f>Table43[[#This Row],[Harga Beli Krt
(- PPN)]]*1.11</f>
        <v>0</v>
      </c>
      <c r="AO119" s="42"/>
      <c r="AP119" s="42">
        <f>Table43[[#This Row],[Harga Jual Pcs GT
(-PPN)]]*Table43[[#This Row],[ISI/CTN]]</f>
        <v>0</v>
      </c>
      <c r="AQ119" s="42">
        <f>Table43[[#This Row],[Harga Jual Pcs GT
(-PPN)]]*1.11</f>
        <v>0</v>
      </c>
      <c r="AR119" s="42">
        <f>Table43[[#This Row],[Harga Jual Krt GT
(- PPN)]]*1.11</f>
        <v>0</v>
      </c>
      <c r="AS119" s="42">
        <f>Table43[[#This Row],[Harga Jual Pcs GT
(-PPN)]]</f>
        <v>0</v>
      </c>
      <c r="AT119" s="42">
        <f>(Table43[[#This Row],[Harga Jual Pcs MT
(-PPN)]]*Table43[[#This Row],[ISI/CTN]])</f>
        <v>0</v>
      </c>
      <c r="AU119" s="42">
        <f>Table43[[#This Row],[Harga Jual Pcs MT
(-PPN)]]*1.11</f>
        <v>0</v>
      </c>
      <c r="AV119" s="42">
        <f>Table43[[#This Row],[Harga Jual Pcs MT
(+PPN)]]*Table43[[#This Row],[ISI/CTN]]</f>
        <v>0</v>
      </c>
      <c r="AW119" s="47"/>
      <c r="AX119" s="7"/>
      <c r="AY119" s="7" t="str">
        <f ca="1">IF(TODAY()-Table43[[#This Row],[Efektif
Pembuatan]]&gt;60,"Lama","Baru")</f>
        <v>Lama</v>
      </c>
      <c r="AZ119" s="7" t="str">
        <f ca="1">IF(TODAY()-Table43[[#This Row],[Efektif Naik Harga]]&lt;30,"Naik","Sama")</f>
        <v>Sama</v>
      </c>
      <c r="BA119" s="7" t="str">
        <f>IF(Table43[[#This Row],[Kode BARANG Win2]]&lt;&gt;"","IDR","")</f>
        <v>IDR</v>
      </c>
      <c r="BB119" s="7" t="str">
        <f>CONCATENATE(Table43[[#This Row],[kode  1 Digit
(Nomor)]],Table43[[#This Row],[kode  4 Digit                (Nomor)]])</f>
        <v>10200</v>
      </c>
      <c r="BC119" s="7" t="str">
        <f>Table43[[#This Row],[Nama            Gramasi atau Jumlah Pack per CTN]]</f>
        <v>200ML</v>
      </c>
      <c r="BD119" s="7"/>
      <c r="BE119" s="7"/>
      <c r="BF119" s="4" t="str">
        <f>IF(Table43[[#This Row],[SATUAN Fix Win]]&lt;&gt;"","KRT")</f>
        <v>KRT</v>
      </c>
      <c r="BG119" s="4" t="str">
        <f>IF(Table43[[#This Row],[SATUAN Fix Win]]&lt;&gt;"","GD01")</f>
        <v>GD01</v>
      </c>
      <c r="BH119" s="4">
        <f>IF(Table43[[#This Row],[SATUAN Fix Win]]&lt;&gt;"",11611)</f>
        <v>11611</v>
      </c>
      <c r="BI119" s="4">
        <f>IF(Table43[[#This Row],[SATUAN Fix Win]]&lt;&gt;"",11612)</f>
        <v>11612</v>
      </c>
      <c r="BJ119" s="48"/>
      <c r="BK119" s="4">
        <f>IF(Table43[[#This Row],[SATUAN Fix Win]]&lt;&gt;"",1)</f>
        <v>1</v>
      </c>
    </row>
    <row r="120" spans="1:63">
      <c r="A120" s="4" t="str">
        <f>CONCATENATE(Table43[[#This Row],[Kode BARANG Win2]],Table43[[#This Row],[No. Urut
Item Sama]])</f>
        <v>K10700020050202</v>
      </c>
      <c r="B120" s="7">
        <v>2</v>
      </c>
      <c r="D120" s="28" t="s">
        <v>481</v>
      </c>
      <c r="E120" s="28"/>
      <c r="F120" s="28" t="s">
        <v>2950</v>
      </c>
      <c r="G120" s="78">
        <v>24</v>
      </c>
      <c r="H120" s="43"/>
      <c r="I120" s="28" t="str">
        <f>Table43[[#This Row],[Nama Jenis Kemasan]]</f>
        <v>KLG</v>
      </c>
      <c r="J120" s="4" t="str">
        <f>TRIM(CONCATENATE(Table43[[#This Row],[Nama            KLP]]," ",Table43[[#This Row],[Nama            Sub KLP]]))</f>
        <v>ELLIPS DRY SHAMPOO</v>
      </c>
      <c r="K120" s="4" t="str">
        <f>CONCATENATE(Table43[[#This Row],[kode  2 Digit                (hrf+No)]],Table43[[#This Row],[kode  2 Digit                (Nomor)]],Table43[[#This Row],[kode  1 Digit                (Nomor)]])</f>
        <v>K1070</v>
      </c>
      <c r="L120" s="4" t="str">
        <f t="shared" si="3"/>
        <v>K1070002005020</v>
      </c>
      <c r="M120" s="11">
        <f t="shared" si="4"/>
        <v>14</v>
      </c>
      <c r="N120" s="14" t="str">
        <f>IF(AF120&lt;&gt;"",TRIM(UPPER(CONCATENATE(P120," ",R120," ",T120," ",V120," ",X120," ",Z120," ","X"," ",Table43[[#This Row],[ISI/CTN]]," ",AF120," ",AB120," ",AD120," ",AH120))),TRIM(UPPER(CONCATENATE(P120," ",R120," ",T120," ",V120," ",X120," ",Z120," ","X"," ",Table43[[#This Row],[ISI/CTN]]," ",AB120," ",AD120," ",AH120))))</f>
        <v>KNF ELLIPS DRY SHAMPOO BREEZE 50ML X 24 KLG</v>
      </c>
      <c r="O120" s="11">
        <f t="shared" si="5"/>
        <v>43</v>
      </c>
      <c r="P120" s="4" t="s">
        <v>97</v>
      </c>
      <c r="Q120" s="7" t="s">
        <v>98</v>
      </c>
      <c r="R120" s="4" t="s">
        <v>3653</v>
      </c>
      <c r="S120" s="44" t="s">
        <v>2477</v>
      </c>
      <c r="T120" s="45" t="s">
        <v>2961</v>
      </c>
      <c r="U120" s="7" t="s">
        <v>2900</v>
      </c>
      <c r="V120" s="45" t="s">
        <v>2961</v>
      </c>
      <c r="W120" s="44" t="s">
        <v>2900</v>
      </c>
      <c r="X120" s="4" t="s">
        <v>3655</v>
      </c>
      <c r="Y120" s="46" t="s">
        <v>2472</v>
      </c>
      <c r="Z120" s="4" t="s">
        <v>3654</v>
      </c>
      <c r="AA120" s="46" t="s">
        <v>2490</v>
      </c>
      <c r="AB120" s="4" t="s">
        <v>359</v>
      </c>
      <c r="AC120" s="7" t="s">
        <v>3562</v>
      </c>
      <c r="AD120" s="4" t="s">
        <v>2961</v>
      </c>
      <c r="AE120" s="7" t="s">
        <v>2900</v>
      </c>
      <c r="AF120" s="7" t="s">
        <v>2961</v>
      </c>
      <c r="AG120" s="7" t="s">
        <v>2961</v>
      </c>
      <c r="AI120" s="7" t="s">
        <v>4100</v>
      </c>
      <c r="AJ120" s="7" t="s">
        <v>2656</v>
      </c>
      <c r="AK120" s="41">
        <f>Table43[[#This Row],[Harga Jual Pcs GT
(-PPN)]]-(Table43[[#This Row],[Harga Jual Pcs GT
(-PPN)]]*10%)</f>
        <v>0</v>
      </c>
      <c r="AL120" s="42">
        <f>Table43[[#This Row],[Harga Beli Pcs
(-PPN)]]*Table43[[#This Row],[ISI/CTN]]</f>
        <v>0</v>
      </c>
      <c r="AM120" s="42">
        <f>Table43[[#This Row],[Harga Beli Pcs
(-PPN)]]*1.11</f>
        <v>0</v>
      </c>
      <c r="AN120" s="42">
        <f>Table43[[#This Row],[Harga Beli Krt
(- PPN)]]*1.11</f>
        <v>0</v>
      </c>
      <c r="AO120" s="42"/>
      <c r="AP120" s="42">
        <f>Table43[[#This Row],[Harga Jual Pcs GT
(-PPN)]]*Table43[[#This Row],[ISI/CTN]]</f>
        <v>0</v>
      </c>
      <c r="AQ120" s="42">
        <f>Table43[[#This Row],[Harga Jual Pcs GT
(-PPN)]]*1.11</f>
        <v>0</v>
      </c>
      <c r="AR120" s="42">
        <f>Table43[[#This Row],[Harga Jual Krt GT
(- PPN)]]*1.11</f>
        <v>0</v>
      </c>
      <c r="AS120" s="42">
        <f>Table43[[#This Row],[Harga Jual Pcs GT
(-PPN)]]</f>
        <v>0</v>
      </c>
      <c r="AT120" s="42">
        <f>(Table43[[#This Row],[Harga Jual Pcs MT
(-PPN)]]*Table43[[#This Row],[ISI/CTN]])</f>
        <v>0</v>
      </c>
      <c r="AU120" s="42">
        <f>Table43[[#This Row],[Harga Jual Pcs MT
(-PPN)]]*1.11</f>
        <v>0</v>
      </c>
      <c r="AV120" s="42">
        <f>Table43[[#This Row],[Harga Jual Pcs MT
(+PPN)]]*Table43[[#This Row],[ISI/CTN]]</f>
        <v>0</v>
      </c>
      <c r="AW120" s="47"/>
      <c r="AX120" s="7"/>
      <c r="AY120" s="7" t="str">
        <f ca="1">IF(TODAY()-Table43[[#This Row],[Efektif
Pembuatan]]&gt;60,"Lama","Baru")</f>
        <v>Lama</v>
      </c>
      <c r="AZ120" s="7" t="str">
        <f ca="1">IF(TODAY()-Table43[[#This Row],[Efektif Naik Harga]]&lt;30,"Naik","Sama")</f>
        <v>Sama</v>
      </c>
      <c r="BA120" s="7" t="str">
        <f>IF(Table43[[#This Row],[Kode BARANG Win2]]&lt;&gt;"","IDR","")</f>
        <v>IDR</v>
      </c>
      <c r="BB120" s="7" t="str">
        <f>CONCATENATE(Table43[[#This Row],[kode  1 Digit
(Nomor)]],Table43[[#This Row],[kode  4 Digit                (Nomor)]])</f>
        <v>10050</v>
      </c>
      <c r="BC120" s="7" t="str">
        <f>Table43[[#This Row],[Nama            Gramasi atau Jumlah Pack per CTN]]</f>
        <v>50ML</v>
      </c>
      <c r="BD120" s="7"/>
      <c r="BE120" s="7"/>
      <c r="BF120" s="4" t="str">
        <f>IF(Table43[[#This Row],[SATUAN Fix Win]]&lt;&gt;"","KRT")</f>
        <v>KRT</v>
      </c>
      <c r="BG120" s="4" t="str">
        <f>IF(Table43[[#This Row],[SATUAN Fix Win]]&lt;&gt;"","GD01")</f>
        <v>GD01</v>
      </c>
      <c r="BH120" s="4">
        <f>IF(Table43[[#This Row],[SATUAN Fix Win]]&lt;&gt;"",11611)</f>
        <v>11611</v>
      </c>
      <c r="BI120" s="4">
        <f>IF(Table43[[#This Row],[SATUAN Fix Win]]&lt;&gt;"",11612)</f>
        <v>11612</v>
      </c>
      <c r="BJ120" s="48"/>
      <c r="BK120" s="4">
        <f>IF(Table43[[#This Row],[SATUAN Fix Win]]&lt;&gt;"",1)</f>
        <v>1</v>
      </c>
    </row>
    <row r="121" spans="1:63">
      <c r="A121" s="4" t="str">
        <f>CONCATENATE(Table43[[#This Row],[Kode BARANG Win2]],Table43[[#This Row],[No. Urut
Item Sama]])</f>
        <v>K10700020200103</v>
      </c>
      <c r="B121" s="7">
        <v>3</v>
      </c>
      <c r="D121" s="28" t="s">
        <v>483</v>
      </c>
      <c r="E121" s="28"/>
      <c r="F121" s="28" t="s">
        <v>3449</v>
      </c>
      <c r="G121" s="78">
        <v>12</v>
      </c>
      <c r="H121" s="43"/>
      <c r="I121" s="28" t="str">
        <f>Table43[[#This Row],[Nama Jenis Kemasan]]</f>
        <v>BTL</v>
      </c>
      <c r="J121" s="4" t="str">
        <f>TRIM(CONCATENATE(Table43[[#This Row],[Nama            KLP]]," ",Table43[[#This Row],[Nama            Sub KLP]]))</f>
        <v>ELLIPS DRY SHAMPOO</v>
      </c>
      <c r="K121" s="4" t="str">
        <f>CONCATENATE(Table43[[#This Row],[kode  2 Digit                (hrf+No)]],Table43[[#This Row],[kode  2 Digit                (Nomor)]],Table43[[#This Row],[kode  1 Digit                (Nomor)]])</f>
        <v>K1070</v>
      </c>
      <c r="L121" s="4" t="str">
        <f t="shared" si="3"/>
        <v>K1070002020010</v>
      </c>
      <c r="M121" s="11">
        <f t="shared" si="4"/>
        <v>14</v>
      </c>
      <c r="N121" s="14" t="str">
        <f>IF(AF121&lt;&gt;"",TRIM(UPPER(CONCATENATE(P121," ",R121," ",T121," ",V121," ",X121," ",Z121," ","X"," ",Table43[[#This Row],[ISI/CTN]]," ",AF121," ",AB121," ",AD121," ",AH121))),TRIM(UPPER(CONCATENATE(P121," ",R121," ",T121," ",V121," ",X121," ",Z121," ","X"," ",Table43[[#This Row],[ISI/CTN]]," ",AB121," ",AD121," ",AH121))))</f>
        <v>KNF ELLIPS DRY SHAMPOO BREEZE 200ML X 12 BTL</v>
      </c>
      <c r="O121" s="11">
        <f t="shared" si="5"/>
        <v>44</v>
      </c>
      <c r="P121" s="4" t="s">
        <v>97</v>
      </c>
      <c r="Q121" s="7" t="s">
        <v>98</v>
      </c>
      <c r="R121" s="4" t="s">
        <v>3653</v>
      </c>
      <c r="S121" s="44" t="s">
        <v>2477</v>
      </c>
      <c r="T121" s="45" t="s">
        <v>2961</v>
      </c>
      <c r="U121" s="7" t="s">
        <v>2900</v>
      </c>
      <c r="V121" s="45" t="s">
        <v>2961</v>
      </c>
      <c r="W121" s="44" t="s">
        <v>2900</v>
      </c>
      <c r="X121" s="4" t="s">
        <v>3655</v>
      </c>
      <c r="Y121" s="46" t="s">
        <v>2472</v>
      </c>
      <c r="Z121" s="4" t="s">
        <v>3582</v>
      </c>
      <c r="AA121" s="46" t="s">
        <v>2486</v>
      </c>
      <c r="AB121" s="4" t="s">
        <v>357</v>
      </c>
      <c r="AC121" s="7" t="s">
        <v>2656</v>
      </c>
      <c r="AD121" s="4" t="s">
        <v>2961</v>
      </c>
      <c r="AE121" s="7" t="s">
        <v>2900</v>
      </c>
      <c r="AF121" s="7" t="s">
        <v>2961</v>
      </c>
      <c r="AG121" s="7" t="s">
        <v>2961</v>
      </c>
      <c r="AI121" s="7" t="s">
        <v>4100</v>
      </c>
      <c r="AJ121" s="7" t="s">
        <v>2656</v>
      </c>
      <c r="AK121" s="41">
        <f>Table43[[#This Row],[Harga Jual Pcs GT
(-PPN)]]-(Table43[[#This Row],[Harga Jual Pcs GT
(-PPN)]]*10%)</f>
        <v>0</v>
      </c>
      <c r="AL121" s="42">
        <f>Table43[[#This Row],[Harga Beli Pcs
(-PPN)]]*Table43[[#This Row],[ISI/CTN]]</f>
        <v>0</v>
      </c>
      <c r="AM121" s="42">
        <f>Table43[[#This Row],[Harga Beli Pcs
(-PPN)]]*1.11</f>
        <v>0</v>
      </c>
      <c r="AN121" s="42">
        <f>Table43[[#This Row],[Harga Beli Krt
(- PPN)]]*1.11</f>
        <v>0</v>
      </c>
      <c r="AO121" s="42"/>
      <c r="AP121" s="42">
        <f>Table43[[#This Row],[Harga Jual Pcs GT
(-PPN)]]*Table43[[#This Row],[ISI/CTN]]</f>
        <v>0</v>
      </c>
      <c r="AQ121" s="42">
        <f>Table43[[#This Row],[Harga Jual Pcs GT
(-PPN)]]*1.11</f>
        <v>0</v>
      </c>
      <c r="AR121" s="42">
        <f>Table43[[#This Row],[Harga Jual Krt GT
(- PPN)]]*1.11</f>
        <v>0</v>
      </c>
      <c r="AS121" s="42">
        <f>Table43[[#This Row],[Harga Jual Pcs GT
(-PPN)]]</f>
        <v>0</v>
      </c>
      <c r="AT121" s="42">
        <f>(Table43[[#This Row],[Harga Jual Pcs MT
(-PPN)]]*Table43[[#This Row],[ISI/CTN]])</f>
        <v>0</v>
      </c>
      <c r="AU121" s="42">
        <f>Table43[[#This Row],[Harga Jual Pcs MT
(-PPN)]]*1.11</f>
        <v>0</v>
      </c>
      <c r="AV121" s="42">
        <f>Table43[[#This Row],[Harga Jual Pcs MT
(+PPN)]]*Table43[[#This Row],[ISI/CTN]]</f>
        <v>0</v>
      </c>
      <c r="AW121" s="47"/>
      <c r="AX121" s="7"/>
      <c r="AY121" s="7" t="str">
        <f ca="1">IF(TODAY()-Table43[[#This Row],[Efektif
Pembuatan]]&gt;60,"Lama","Baru")</f>
        <v>Lama</v>
      </c>
      <c r="AZ121" s="7" t="str">
        <f ca="1">IF(TODAY()-Table43[[#This Row],[Efektif Naik Harga]]&lt;30,"Naik","Sama")</f>
        <v>Sama</v>
      </c>
      <c r="BA121" s="7" t="str">
        <f>IF(Table43[[#This Row],[Kode BARANG Win2]]&lt;&gt;"","IDR","")</f>
        <v>IDR</v>
      </c>
      <c r="BB121" s="7" t="str">
        <f>CONCATENATE(Table43[[#This Row],[kode  1 Digit
(Nomor)]],Table43[[#This Row],[kode  4 Digit                (Nomor)]])</f>
        <v>10200</v>
      </c>
      <c r="BC121" s="7" t="str">
        <f>Table43[[#This Row],[Nama            Gramasi atau Jumlah Pack per CTN]]</f>
        <v>200ML</v>
      </c>
      <c r="BD121" s="7"/>
      <c r="BE121" s="7"/>
      <c r="BF121" s="4" t="str">
        <f>IF(Table43[[#This Row],[SATUAN Fix Win]]&lt;&gt;"","KRT")</f>
        <v>KRT</v>
      </c>
      <c r="BG121" s="4" t="str">
        <f>IF(Table43[[#This Row],[SATUAN Fix Win]]&lt;&gt;"","GD01")</f>
        <v>GD01</v>
      </c>
      <c r="BH121" s="4">
        <f>IF(Table43[[#This Row],[SATUAN Fix Win]]&lt;&gt;"",11611)</f>
        <v>11611</v>
      </c>
      <c r="BI121" s="4">
        <f>IF(Table43[[#This Row],[SATUAN Fix Win]]&lt;&gt;"",11612)</f>
        <v>11612</v>
      </c>
      <c r="BJ121" s="48"/>
      <c r="BK121" s="4">
        <f>IF(Table43[[#This Row],[SATUAN Fix Win]]&lt;&gt;"",1)</f>
        <v>1</v>
      </c>
    </row>
    <row r="122" spans="1:63">
      <c r="A122" s="4" t="str">
        <f>CONCATENATE(Table43[[#This Row],[Kode BARANG Win2]],Table43[[#This Row],[No. Urut
Item Sama]])</f>
        <v>K10700020200201</v>
      </c>
      <c r="B122" s="7">
        <v>1</v>
      </c>
      <c r="D122" s="28" t="s">
        <v>482</v>
      </c>
      <c r="E122" s="28"/>
      <c r="F122" s="28" t="s">
        <v>2951</v>
      </c>
      <c r="G122" s="78">
        <v>24</v>
      </c>
      <c r="H122" s="43"/>
      <c r="I122" s="28" t="str">
        <f>Table43[[#This Row],[Nama Jenis Kemasan]]</f>
        <v>KLG</v>
      </c>
      <c r="J122" s="4" t="str">
        <f>TRIM(CONCATENATE(Table43[[#This Row],[Nama            KLP]]," ",Table43[[#This Row],[Nama            Sub KLP]]))</f>
        <v>ELLIPS DRY SHAMPOO</v>
      </c>
      <c r="K122" s="4" t="str">
        <f>CONCATENATE(Table43[[#This Row],[kode  2 Digit                (hrf+No)]],Table43[[#This Row],[kode  2 Digit                (Nomor)]],Table43[[#This Row],[kode  1 Digit                (Nomor)]])</f>
        <v>K1070</v>
      </c>
      <c r="L122" s="4" t="str">
        <f t="shared" si="3"/>
        <v>K1070002020020</v>
      </c>
      <c r="M122" s="11">
        <f t="shared" si="4"/>
        <v>14</v>
      </c>
      <c r="N122" s="14" t="str">
        <f>IF(AF122&lt;&gt;"",TRIM(UPPER(CONCATENATE(P122," ",R122," ",T122," ",V122," ",X122," ",Z122," ","X"," ",Table43[[#This Row],[ISI/CTN]]," ",AF122," ",AB122," ",AD122," ",AH122))),TRIM(UPPER(CONCATENATE(P122," ",R122," ",T122," ",V122," ",X122," ",Z122," ","X"," ",Table43[[#This Row],[ISI/CTN]]," ",AB122," ",AD122," ",AH122))))</f>
        <v>KNF ELLIPS DRY SHAMPOO BREEZE 200ML X 24 KLG</v>
      </c>
      <c r="O122" s="11">
        <f t="shared" si="5"/>
        <v>44</v>
      </c>
      <c r="P122" s="4" t="s">
        <v>97</v>
      </c>
      <c r="Q122" s="7" t="s">
        <v>98</v>
      </c>
      <c r="R122" s="4" t="s">
        <v>3653</v>
      </c>
      <c r="S122" s="44" t="s">
        <v>2477</v>
      </c>
      <c r="T122" s="45" t="s">
        <v>2961</v>
      </c>
      <c r="U122" s="7" t="s">
        <v>2900</v>
      </c>
      <c r="V122" s="45" t="s">
        <v>2961</v>
      </c>
      <c r="W122" s="44" t="s">
        <v>2900</v>
      </c>
      <c r="X122" s="4" t="s">
        <v>3655</v>
      </c>
      <c r="Y122" s="46" t="s">
        <v>2472</v>
      </c>
      <c r="Z122" s="4" t="s">
        <v>3582</v>
      </c>
      <c r="AA122" s="46" t="s">
        <v>2486</v>
      </c>
      <c r="AB122" s="4" t="s">
        <v>359</v>
      </c>
      <c r="AC122" s="7" t="s">
        <v>3562</v>
      </c>
      <c r="AD122" s="4" t="s">
        <v>2961</v>
      </c>
      <c r="AE122" s="7" t="s">
        <v>2900</v>
      </c>
      <c r="AF122" s="7" t="s">
        <v>2961</v>
      </c>
      <c r="AG122" s="7" t="s">
        <v>2961</v>
      </c>
      <c r="AI122" s="7" t="s">
        <v>4100</v>
      </c>
      <c r="AJ122" s="7" t="s">
        <v>2656</v>
      </c>
      <c r="AK122" s="41">
        <f>Table43[[#This Row],[Harga Jual Pcs GT
(-PPN)]]-(Table43[[#This Row],[Harga Jual Pcs GT
(-PPN)]]*10%)</f>
        <v>0</v>
      </c>
      <c r="AL122" s="42">
        <f>Table43[[#This Row],[Harga Beli Pcs
(-PPN)]]*Table43[[#This Row],[ISI/CTN]]</f>
        <v>0</v>
      </c>
      <c r="AM122" s="42">
        <f>Table43[[#This Row],[Harga Beli Pcs
(-PPN)]]*1.11</f>
        <v>0</v>
      </c>
      <c r="AN122" s="42">
        <f>Table43[[#This Row],[Harga Beli Krt
(- PPN)]]*1.11</f>
        <v>0</v>
      </c>
      <c r="AO122" s="42"/>
      <c r="AP122" s="42">
        <f>Table43[[#This Row],[Harga Jual Pcs GT
(-PPN)]]*Table43[[#This Row],[ISI/CTN]]</f>
        <v>0</v>
      </c>
      <c r="AQ122" s="42">
        <f>Table43[[#This Row],[Harga Jual Pcs GT
(-PPN)]]*1.11</f>
        <v>0</v>
      </c>
      <c r="AR122" s="42">
        <f>Table43[[#This Row],[Harga Jual Krt GT
(- PPN)]]*1.11</f>
        <v>0</v>
      </c>
      <c r="AS122" s="42">
        <f>Table43[[#This Row],[Harga Jual Pcs GT
(-PPN)]]</f>
        <v>0</v>
      </c>
      <c r="AT122" s="42">
        <f>(Table43[[#This Row],[Harga Jual Pcs MT
(-PPN)]]*Table43[[#This Row],[ISI/CTN]])</f>
        <v>0</v>
      </c>
      <c r="AU122" s="42">
        <f>Table43[[#This Row],[Harga Jual Pcs MT
(-PPN)]]*1.11</f>
        <v>0</v>
      </c>
      <c r="AV122" s="42">
        <f>Table43[[#This Row],[Harga Jual Pcs MT
(+PPN)]]*Table43[[#This Row],[ISI/CTN]]</f>
        <v>0</v>
      </c>
      <c r="AW122" s="47"/>
      <c r="AX122" s="7"/>
      <c r="AY122" s="7" t="str">
        <f ca="1">IF(TODAY()-Table43[[#This Row],[Efektif
Pembuatan]]&gt;60,"Lama","Baru")</f>
        <v>Lama</v>
      </c>
      <c r="AZ122" s="7" t="str">
        <f ca="1">IF(TODAY()-Table43[[#This Row],[Efektif Naik Harga]]&lt;30,"Naik","Sama")</f>
        <v>Sama</v>
      </c>
      <c r="BA122" s="7" t="str">
        <f>IF(Table43[[#This Row],[Kode BARANG Win2]]&lt;&gt;"","IDR","")</f>
        <v>IDR</v>
      </c>
      <c r="BB122" s="7" t="str">
        <f>CONCATENATE(Table43[[#This Row],[kode  1 Digit
(Nomor)]],Table43[[#This Row],[kode  4 Digit                (Nomor)]])</f>
        <v>10200</v>
      </c>
      <c r="BC122" s="7" t="str">
        <f>Table43[[#This Row],[Nama            Gramasi atau Jumlah Pack per CTN]]</f>
        <v>200ML</v>
      </c>
      <c r="BD122" s="7"/>
      <c r="BE122" s="7"/>
      <c r="BF122" s="4" t="str">
        <f>IF(Table43[[#This Row],[SATUAN Fix Win]]&lt;&gt;"","KRT")</f>
        <v>KRT</v>
      </c>
      <c r="BG122" s="4" t="str">
        <f>IF(Table43[[#This Row],[SATUAN Fix Win]]&lt;&gt;"","GD01")</f>
        <v>GD01</v>
      </c>
      <c r="BH122" s="4">
        <f>IF(Table43[[#This Row],[SATUAN Fix Win]]&lt;&gt;"",11611)</f>
        <v>11611</v>
      </c>
      <c r="BI122" s="4">
        <f>IF(Table43[[#This Row],[SATUAN Fix Win]]&lt;&gt;"",11612)</f>
        <v>11612</v>
      </c>
      <c r="BJ122" s="48"/>
      <c r="BK122" s="4">
        <f>IF(Table43[[#This Row],[SATUAN Fix Win]]&lt;&gt;"",1)</f>
        <v>1</v>
      </c>
    </row>
    <row r="123" spans="1:63">
      <c r="A123" s="4" t="str">
        <f>CONCATENATE(Table43[[#This Row],[Kode BARANG Win2]],Table43[[#This Row],[No. Urut
Item Sama]])</f>
        <v>K10700030050202</v>
      </c>
      <c r="B123" s="7">
        <v>2</v>
      </c>
      <c r="D123" s="28" t="s">
        <v>484</v>
      </c>
      <c r="E123" s="28"/>
      <c r="F123" s="28" t="s">
        <v>2952</v>
      </c>
      <c r="G123" s="78">
        <v>24</v>
      </c>
      <c r="H123" s="43"/>
      <c r="I123" s="28" t="str">
        <f>Table43[[#This Row],[Nama Jenis Kemasan]]</f>
        <v>KLG</v>
      </c>
      <c r="J123" s="4" t="str">
        <f>TRIM(CONCATENATE(Table43[[#This Row],[Nama            KLP]]," ",Table43[[#This Row],[Nama            Sub KLP]]))</f>
        <v>ELLIPS DRY SHAMPOO</v>
      </c>
      <c r="K123" s="4" t="str">
        <f>CONCATENATE(Table43[[#This Row],[kode  2 Digit                (hrf+No)]],Table43[[#This Row],[kode  2 Digit                (Nomor)]],Table43[[#This Row],[kode  1 Digit                (Nomor)]])</f>
        <v>K1070</v>
      </c>
      <c r="L123" s="4" t="str">
        <f t="shared" si="3"/>
        <v>K1070003005020</v>
      </c>
      <c r="M123" s="11">
        <f t="shared" si="4"/>
        <v>14</v>
      </c>
      <c r="N123" s="14" t="str">
        <f>IF(AF123&lt;&gt;"",TRIM(UPPER(CONCATENATE(P123," ",R123," ",T123," ",V123," ",X123," ",Z123," ","X"," ",Table43[[#This Row],[ISI/CTN]]," ",AF123," ",AB123," ",AD123," ",AH123))),TRIM(UPPER(CONCATENATE(P123," ",R123," ",T123," ",V123," ",X123," ",Z123," ","X"," ",Table43[[#This Row],[ISI/CTN]]," ",AB123," ",AD123," ",AH123))))</f>
        <v>KNF ELLIPS DRY SHAMPOO EXOTIC 50ML X 24 KLG</v>
      </c>
      <c r="O123" s="11">
        <f t="shared" si="5"/>
        <v>43</v>
      </c>
      <c r="P123" s="4" t="s">
        <v>97</v>
      </c>
      <c r="Q123" s="7" t="s">
        <v>98</v>
      </c>
      <c r="R123" s="4" t="s">
        <v>3653</v>
      </c>
      <c r="S123" s="44" t="s">
        <v>2477</v>
      </c>
      <c r="T123" s="45" t="s">
        <v>2961</v>
      </c>
      <c r="U123" s="7" t="s">
        <v>2900</v>
      </c>
      <c r="V123" s="45" t="s">
        <v>2961</v>
      </c>
      <c r="W123" s="44" t="s">
        <v>2900</v>
      </c>
      <c r="X123" s="4" t="s">
        <v>3656</v>
      </c>
      <c r="Y123" s="46" t="s">
        <v>2473</v>
      </c>
      <c r="Z123" s="4" t="s">
        <v>3654</v>
      </c>
      <c r="AA123" s="46" t="s">
        <v>2490</v>
      </c>
      <c r="AB123" s="4" t="s">
        <v>359</v>
      </c>
      <c r="AC123" s="7" t="s">
        <v>3562</v>
      </c>
      <c r="AD123" s="4" t="s">
        <v>2961</v>
      </c>
      <c r="AE123" s="7" t="s">
        <v>2900</v>
      </c>
      <c r="AF123" s="7" t="s">
        <v>2961</v>
      </c>
      <c r="AG123" s="7" t="s">
        <v>2961</v>
      </c>
      <c r="AI123" s="7" t="s">
        <v>4100</v>
      </c>
      <c r="AJ123" s="7" t="s">
        <v>2656</v>
      </c>
      <c r="AK123" s="41">
        <f>Table43[[#This Row],[Harga Jual Pcs GT
(-PPN)]]-(Table43[[#This Row],[Harga Jual Pcs GT
(-PPN)]]*10%)</f>
        <v>0</v>
      </c>
      <c r="AL123" s="42">
        <f>Table43[[#This Row],[Harga Beli Pcs
(-PPN)]]*Table43[[#This Row],[ISI/CTN]]</f>
        <v>0</v>
      </c>
      <c r="AM123" s="42">
        <f>Table43[[#This Row],[Harga Beli Pcs
(-PPN)]]*1.11</f>
        <v>0</v>
      </c>
      <c r="AN123" s="42">
        <f>Table43[[#This Row],[Harga Beli Krt
(- PPN)]]*1.11</f>
        <v>0</v>
      </c>
      <c r="AO123" s="42"/>
      <c r="AP123" s="42">
        <f>Table43[[#This Row],[Harga Jual Pcs GT
(-PPN)]]*Table43[[#This Row],[ISI/CTN]]</f>
        <v>0</v>
      </c>
      <c r="AQ123" s="42">
        <f>Table43[[#This Row],[Harga Jual Pcs GT
(-PPN)]]*1.11</f>
        <v>0</v>
      </c>
      <c r="AR123" s="42">
        <f>Table43[[#This Row],[Harga Jual Krt GT
(- PPN)]]*1.11</f>
        <v>0</v>
      </c>
      <c r="AS123" s="42">
        <f>Table43[[#This Row],[Harga Jual Pcs GT
(-PPN)]]</f>
        <v>0</v>
      </c>
      <c r="AT123" s="42">
        <f>(Table43[[#This Row],[Harga Jual Pcs MT
(-PPN)]]*Table43[[#This Row],[ISI/CTN]])</f>
        <v>0</v>
      </c>
      <c r="AU123" s="42">
        <f>Table43[[#This Row],[Harga Jual Pcs MT
(-PPN)]]*1.11</f>
        <v>0</v>
      </c>
      <c r="AV123" s="42">
        <f>Table43[[#This Row],[Harga Jual Pcs MT
(+PPN)]]*Table43[[#This Row],[ISI/CTN]]</f>
        <v>0</v>
      </c>
      <c r="AW123" s="47"/>
      <c r="AX123" s="7"/>
      <c r="AY123" s="7" t="str">
        <f ca="1">IF(TODAY()-Table43[[#This Row],[Efektif
Pembuatan]]&gt;60,"Lama","Baru")</f>
        <v>Lama</v>
      </c>
      <c r="AZ123" s="7" t="str">
        <f ca="1">IF(TODAY()-Table43[[#This Row],[Efektif Naik Harga]]&lt;30,"Naik","Sama")</f>
        <v>Sama</v>
      </c>
      <c r="BA123" s="7" t="str">
        <f>IF(Table43[[#This Row],[Kode BARANG Win2]]&lt;&gt;"","IDR","")</f>
        <v>IDR</v>
      </c>
      <c r="BB123" s="7" t="str">
        <f>CONCATENATE(Table43[[#This Row],[kode  1 Digit
(Nomor)]],Table43[[#This Row],[kode  4 Digit                (Nomor)]])</f>
        <v>10050</v>
      </c>
      <c r="BC123" s="7" t="str">
        <f>Table43[[#This Row],[Nama            Gramasi atau Jumlah Pack per CTN]]</f>
        <v>50ML</v>
      </c>
      <c r="BD123" s="7"/>
      <c r="BE123" s="7"/>
      <c r="BF123" s="4" t="str">
        <f>IF(Table43[[#This Row],[SATUAN Fix Win]]&lt;&gt;"","KRT")</f>
        <v>KRT</v>
      </c>
      <c r="BG123" s="4" t="str">
        <f>IF(Table43[[#This Row],[SATUAN Fix Win]]&lt;&gt;"","GD01")</f>
        <v>GD01</v>
      </c>
      <c r="BH123" s="4">
        <f>IF(Table43[[#This Row],[SATUAN Fix Win]]&lt;&gt;"",11611)</f>
        <v>11611</v>
      </c>
      <c r="BI123" s="4">
        <f>IF(Table43[[#This Row],[SATUAN Fix Win]]&lt;&gt;"",11612)</f>
        <v>11612</v>
      </c>
      <c r="BJ123" s="48"/>
      <c r="BK123" s="4">
        <f>IF(Table43[[#This Row],[SATUAN Fix Win]]&lt;&gt;"",1)</f>
        <v>1</v>
      </c>
    </row>
    <row r="124" spans="1:63">
      <c r="A124" s="4" t="str">
        <f>CONCATENATE(Table43[[#This Row],[Kode BARANG Win2]],Table43[[#This Row],[No. Urut
Item Sama]])</f>
        <v>K10700030200203</v>
      </c>
      <c r="B124" s="7">
        <v>3</v>
      </c>
      <c r="D124" s="28" t="s">
        <v>485</v>
      </c>
      <c r="E124" s="28"/>
      <c r="F124" s="28" t="s">
        <v>2953</v>
      </c>
      <c r="G124" s="78">
        <v>24</v>
      </c>
      <c r="H124" s="43"/>
      <c r="I124" s="28" t="str">
        <f>Table43[[#This Row],[Nama Jenis Kemasan]]</f>
        <v>KLG</v>
      </c>
      <c r="J124" s="4" t="str">
        <f>TRIM(CONCATENATE(Table43[[#This Row],[Nama            KLP]]," ",Table43[[#This Row],[Nama            Sub KLP]]))</f>
        <v>ELLIPS DRY SHAMPOO</v>
      </c>
      <c r="K124" s="4" t="str">
        <f>CONCATENATE(Table43[[#This Row],[kode  2 Digit                (hrf+No)]],Table43[[#This Row],[kode  2 Digit                (Nomor)]],Table43[[#This Row],[kode  1 Digit                (Nomor)]])</f>
        <v>K1070</v>
      </c>
      <c r="L124" s="4" t="str">
        <f t="shared" si="3"/>
        <v>K1070003020020</v>
      </c>
      <c r="M124" s="11">
        <f t="shared" si="4"/>
        <v>14</v>
      </c>
      <c r="N124" s="14" t="str">
        <f>IF(AF124&lt;&gt;"",TRIM(UPPER(CONCATENATE(P124," ",R124," ",T124," ",V124," ",X124," ",Z124," ","X"," ",Table43[[#This Row],[ISI/CTN]]," ",AF124," ",AB124," ",AD124," ",AH124))),TRIM(UPPER(CONCATENATE(P124," ",R124," ",T124," ",V124," ",X124," ",Z124," ","X"," ",Table43[[#This Row],[ISI/CTN]]," ",AB124," ",AD124," ",AH124))))</f>
        <v>KNF ELLIPS DRY SHAMPOO EXOTIC 200ML X 24 KLG</v>
      </c>
      <c r="O124" s="11">
        <f t="shared" si="5"/>
        <v>44</v>
      </c>
      <c r="P124" s="4" t="s">
        <v>97</v>
      </c>
      <c r="Q124" s="7" t="s">
        <v>98</v>
      </c>
      <c r="R124" s="4" t="s">
        <v>3653</v>
      </c>
      <c r="S124" s="44" t="s">
        <v>2477</v>
      </c>
      <c r="T124" s="45" t="s">
        <v>2961</v>
      </c>
      <c r="U124" s="7" t="s">
        <v>2900</v>
      </c>
      <c r="V124" s="45" t="s">
        <v>2961</v>
      </c>
      <c r="W124" s="44" t="s">
        <v>2900</v>
      </c>
      <c r="X124" s="4" t="s">
        <v>3656</v>
      </c>
      <c r="Y124" s="46" t="s">
        <v>2473</v>
      </c>
      <c r="Z124" s="4" t="s">
        <v>3582</v>
      </c>
      <c r="AA124" s="46" t="s">
        <v>2486</v>
      </c>
      <c r="AB124" s="4" t="s">
        <v>359</v>
      </c>
      <c r="AC124" s="7" t="s">
        <v>3562</v>
      </c>
      <c r="AD124" s="4" t="s">
        <v>2961</v>
      </c>
      <c r="AE124" s="7" t="s">
        <v>2900</v>
      </c>
      <c r="AF124" s="7" t="s">
        <v>2961</v>
      </c>
      <c r="AG124" s="7" t="s">
        <v>2961</v>
      </c>
      <c r="AI124" s="7" t="s">
        <v>4100</v>
      </c>
      <c r="AJ124" s="7" t="s">
        <v>2656</v>
      </c>
      <c r="AK124" s="41">
        <f>Table43[[#This Row],[Harga Jual Pcs GT
(-PPN)]]-(Table43[[#This Row],[Harga Jual Pcs GT
(-PPN)]]*10%)</f>
        <v>0</v>
      </c>
      <c r="AL124" s="42">
        <f>Table43[[#This Row],[Harga Beli Pcs
(-PPN)]]*Table43[[#This Row],[ISI/CTN]]</f>
        <v>0</v>
      </c>
      <c r="AM124" s="42">
        <f>Table43[[#This Row],[Harga Beli Pcs
(-PPN)]]*1.11</f>
        <v>0</v>
      </c>
      <c r="AN124" s="42">
        <f>Table43[[#This Row],[Harga Beli Krt
(- PPN)]]*1.11</f>
        <v>0</v>
      </c>
      <c r="AO124" s="42"/>
      <c r="AP124" s="42">
        <f>Table43[[#This Row],[Harga Jual Pcs GT
(-PPN)]]*Table43[[#This Row],[ISI/CTN]]</f>
        <v>0</v>
      </c>
      <c r="AQ124" s="42">
        <f>Table43[[#This Row],[Harga Jual Pcs GT
(-PPN)]]*1.11</f>
        <v>0</v>
      </c>
      <c r="AR124" s="42">
        <f>Table43[[#This Row],[Harga Jual Krt GT
(- PPN)]]*1.11</f>
        <v>0</v>
      </c>
      <c r="AS124" s="42">
        <f>Table43[[#This Row],[Harga Jual Pcs GT
(-PPN)]]</f>
        <v>0</v>
      </c>
      <c r="AT124" s="42">
        <f>(Table43[[#This Row],[Harga Jual Pcs MT
(-PPN)]]*Table43[[#This Row],[ISI/CTN]])</f>
        <v>0</v>
      </c>
      <c r="AU124" s="42">
        <f>Table43[[#This Row],[Harga Jual Pcs MT
(-PPN)]]*1.11</f>
        <v>0</v>
      </c>
      <c r="AV124" s="42">
        <f>Table43[[#This Row],[Harga Jual Pcs MT
(+PPN)]]*Table43[[#This Row],[ISI/CTN]]</f>
        <v>0</v>
      </c>
      <c r="AW124" s="47"/>
      <c r="AX124" s="7"/>
      <c r="AY124" s="7" t="str">
        <f ca="1">IF(TODAY()-Table43[[#This Row],[Efektif
Pembuatan]]&gt;60,"Lama","Baru")</f>
        <v>Lama</v>
      </c>
      <c r="AZ124" s="7" t="str">
        <f ca="1">IF(TODAY()-Table43[[#This Row],[Efektif Naik Harga]]&lt;30,"Naik","Sama")</f>
        <v>Sama</v>
      </c>
      <c r="BA124" s="7" t="str">
        <f>IF(Table43[[#This Row],[Kode BARANG Win2]]&lt;&gt;"","IDR","")</f>
        <v>IDR</v>
      </c>
      <c r="BB124" s="7" t="str">
        <f>CONCATENATE(Table43[[#This Row],[kode  1 Digit
(Nomor)]],Table43[[#This Row],[kode  4 Digit                (Nomor)]])</f>
        <v>10200</v>
      </c>
      <c r="BC124" s="7" t="str">
        <f>Table43[[#This Row],[Nama            Gramasi atau Jumlah Pack per CTN]]</f>
        <v>200ML</v>
      </c>
      <c r="BD124" s="7"/>
      <c r="BE124" s="7"/>
      <c r="BF124" s="4" t="str">
        <f>IF(Table43[[#This Row],[SATUAN Fix Win]]&lt;&gt;"","KRT")</f>
        <v>KRT</v>
      </c>
      <c r="BG124" s="4" t="str">
        <f>IF(Table43[[#This Row],[SATUAN Fix Win]]&lt;&gt;"","GD01")</f>
        <v>GD01</v>
      </c>
      <c r="BH124" s="4">
        <f>IF(Table43[[#This Row],[SATUAN Fix Win]]&lt;&gt;"",11611)</f>
        <v>11611</v>
      </c>
      <c r="BI124" s="4">
        <f>IF(Table43[[#This Row],[SATUAN Fix Win]]&lt;&gt;"",11612)</f>
        <v>11612</v>
      </c>
      <c r="BJ124" s="48"/>
      <c r="BK124" s="4">
        <f>IF(Table43[[#This Row],[SATUAN Fix Win]]&lt;&gt;"",1)</f>
        <v>1</v>
      </c>
    </row>
    <row r="125" spans="1:63">
      <c r="A125" s="4" t="str">
        <f>CONCATENATE(Table43[[#This Row],[Kode BARANG Win2]],Table43[[#This Row],[No. Urut
Item Sama]])</f>
        <v>K10700040050201</v>
      </c>
      <c r="B125" s="7">
        <v>1</v>
      </c>
      <c r="D125" s="28" t="s">
        <v>486</v>
      </c>
      <c r="E125" s="28"/>
      <c r="F125" s="28" t="s">
        <v>2954</v>
      </c>
      <c r="G125" s="78">
        <v>24</v>
      </c>
      <c r="H125" s="43"/>
      <c r="I125" s="28" t="str">
        <f>Table43[[#This Row],[Nama Jenis Kemasan]]</f>
        <v>KLG</v>
      </c>
      <c r="J125" s="4" t="str">
        <f>TRIM(CONCATENATE(Table43[[#This Row],[Nama            KLP]]," ",Table43[[#This Row],[Nama            Sub KLP]]))</f>
        <v>ELLIPS DRY SHAMPOO</v>
      </c>
      <c r="K125" s="4" t="str">
        <f>CONCATENATE(Table43[[#This Row],[kode  2 Digit                (hrf+No)]],Table43[[#This Row],[kode  2 Digit                (Nomor)]],Table43[[#This Row],[kode  1 Digit                (Nomor)]])</f>
        <v>K1070</v>
      </c>
      <c r="L125" s="4" t="str">
        <f t="shared" si="3"/>
        <v>K1070004005020</v>
      </c>
      <c r="M125" s="11">
        <f t="shared" si="4"/>
        <v>14</v>
      </c>
      <c r="N125" s="14" t="str">
        <f>IF(AF125&lt;&gt;"",TRIM(UPPER(CONCATENATE(P125," ",R125," ",T125," ",V125," ",X125," ",Z125," ","X"," ",Table43[[#This Row],[ISI/CTN]]," ",AF125," ",AB125," ",AD125," ",AH125))),TRIM(UPPER(CONCATENATE(P125," ",R125," ",T125," ",V125," ",X125," ",Z125," ","X"," ",Table43[[#This Row],[ISI/CTN]]," ",AB125," ",AD125," ",AH125))))</f>
        <v>KNF ELLIPS DRY SHAMPOO FRUITY 50ML X 24 KLG</v>
      </c>
      <c r="O125" s="11">
        <f t="shared" si="5"/>
        <v>43</v>
      </c>
      <c r="P125" s="4" t="s">
        <v>97</v>
      </c>
      <c r="Q125" s="7" t="s">
        <v>98</v>
      </c>
      <c r="R125" s="4" t="s">
        <v>3653</v>
      </c>
      <c r="S125" s="44" t="s">
        <v>2477</v>
      </c>
      <c r="T125" s="45" t="s">
        <v>2961</v>
      </c>
      <c r="U125" s="7" t="s">
        <v>2900</v>
      </c>
      <c r="V125" s="45" t="s">
        <v>2961</v>
      </c>
      <c r="W125" s="44" t="s">
        <v>2900</v>
      </c>
      <c r="X125" s="4" t="s">
        <v>3657</v>
      </c>
      <c r="Y125" s="46" t="s">
        <v>2474</v>
      </c>
      <c r="Z125" s="4" t="s">
        <v>3654</v>
      </c>
      <c r="AA125" s="46" t="s">
        <v>2490</v>
      </c>
      <c r="AB125" s="4" t="s">
        <v>359</v>
      </c>
      <c r="AC125" s="7" t="s">
        <v>3562</v>
      </c>
      <c r="AD125" s="4" t="s">
        <v>2961</v>
      </c>
      <c r="AE125" s="7" t="s">
        <v>2900</v>
      </c>
      <c r="AF125" s="7" t="s">
        <v>2961</v>
      </c>
      <c r="AG125" s="7" t="s">
        <v>2961</v>
      </c>
      <c r="AI125" s="7" t="s">
        <v>4100</v>
      </c>
      <c r="AJ125" s="7" t="s">
        <v>2656</v>
      </c>
      <c r="AK125" s="41">
        <f>Table43[[#This Row],[Harga Jual Pcs GT
(-PPN)]]-(Table43[[#This Row],[Harga Jual Pcs GT
(-PPN)]]*10%)</f>
        <v>0</v>
      </c>
      <c r="AL125" s="42">
        <f>Table43[[#This Row],[Harga Beli Pcs
(-PPN)]]*Table43[[#This Row],[ISI/CTN]]</f>
        <v>0</v>
      </c>
      <c r="AM125" s="42">
        <f>Table43[[#This Row],[Harga Beli Pcs
(-PPN)]]*1.11</f>
        <v>0</v>
      </c>
      <c r="AN125" s="42">
        <f>Table43[[#This Row],[Harga Beli Krt
(- PPN)]]*1.11</f>
        <v>0</v>
      </c>
      <c r="AO125" s="42"/>
      <c r="AP125" s="42">
        <f>Table43[[#This Row],[Harga Jual Pcs GT
(-PPN)]]*Table43[[#This Row],[ISI/CTN]]</f>
        <v>0</v>
      </c>
      <c r="AQ125" s="42">
        <f>Table43[[#This Row],[Harga Jual Pcs GT
(-PPN)]]*1.11</f>
        <v>0</v>
      </c>
      <c r="AR125" s="42">
        <f>Table43[[#This Row],[Harga Jual Krt GT
(- PPN)]]*1.11</f>
        <v>0</v>
      </c>
      <c r="AS125" s="42">
        <f>Table43[[#This Row],[Harga Jual Pcs GT
(-PPN)]]</f>
        <v>0</v>
      </c>
      <c r="AT125" s="42">
        <f>(Table43[[#This Row],[Harga Jual Pcs MT
(-PPN)]]*Table43[[#This Row],[ISI/CTN]])</f>
        <v>0</v>
      </c>
      <c r="AU125" s="42">
        <f>Table43[[#This Row],[Harga Jual Pcs MT
(-PPN)]]*1.11</f>
        <v>0</v>
      </c>
      <c r="AV125" s="42">
        <f>Table43[[#This Row],[Harga Jual Pcs MT
(+PPN)]]*Table43[[#This Row],[ISI/CTN]]</f>
        <v>0</v>
      </c>
      <c r="AW125" s="47"/>
      <c r="AX125" s="7"/>
      <c r="AY125" s="7" t="str">
        <f ca="1">IF(TODAY()-Table43[[#This Row],[Efektif
Pembuatan]]&gt;60,"Lama","Baru")</f>
        <v>Lama</v>
      </c>
      <c r="AZ125" s="7" t="str">
        <f ca="1">IF(TODAY()-Table43[[#This Row],[Efektif Naik Harga]]&lt;30,"Naik","Sama")</f>
        <v>Sama</v>
      </c>
      <c r="BA125" s="7" t="str">
        <f>IF(Table43[[#This Row],[Kode BARANG Win2]]&lt;&gt;"","IDR","")</f>
        <v>IDR</v>
      </c>
      <c r="BB125" s="7" t="str">
        <f>CONCATENATE(Table43[[#This Row],[kode  1 Digit
(Nomor)]],Table43[[#This Row],[kode  4 Digit                (Nomor)]])</f>
        <v>10050</v>
      </c>
      <c r="BC125" s="7" t="str">
        <f>Table43[[#This Row],[Nama            Gramasi atau Jumlah Pack per CTN]]</f>
        <v>50ML</v>
      </c>
      <c r="BD125" s="7"/>
      <c r="BE125" s="7"/>
      <c r="BF125" s="4" t="str">
        <f>IF(Table43[[#This Row],[SATUAN Fix Win]]&lt;&gt;"","KRT")</f>
        <v>KRT</v>
      </c>
      <c r="BG125" s="4" t="str">
        <f>IF(Table43[[#This Row],[SATUAN Fix Win]]&lt;&gt;"","GD01")</f>
        <v>GD01</v>
      </c>
      <c r="BH125" s="4">
        <f>IF(Table43[[#This Row],[SATUAN Fix Win]]&lt;&gt;"",11611)</f>
        <v>11611</v>
      </c>
      <c r="BI125" s="4">
        <f>IF(Table43[[#This Row],[SATUAN Fix Win]]&lt;&gt;"",11612)</f>
        <v>11612</v>
      </c>
      <c r="BJ125" s="48"/>
      <c r="BK125" s="4">
        <f>IF(Table43[[#This Row],[SATUAN Fix Win]]&lt;&gt;"",1)</f>
        <v>1</v>
      </c>
    </row>
    <row r="126" spans="1:63">
      <c r="A126" s="4" t="str">
        <f>CONCATENATE(Table43[[#This Row],[Kode BARANG Win2]],Table43[[#This Row],[No. Urut
Item Sama]])</f>
        <v>K10700040200102</v>
      </c>
      <c r="B126" s="7">
        <v>2</v>
      </c>
      <c r="D126" s="28" t="s">
        <v>488</v>
      </c>
      <c r="E126" s="28"/>
      <c r="F126" s="28" t="s">
        <v>2955</v>
      </c>
      <c r="G126" s="78">
        <v>12</v>
      </c>
      <c r="H126" s="43"/>
      <c r="I126" s="28" t="str">
        <f>Table43[[#This Row],[Nama Jenis Kemasan]]</f>
        <v>BTL</v>
      </c>
      <c r="J126" s="4" t="str">
        <f>TRIM(CONCATENATE(Table43[[#This Row],[Nama            KLP]]," ",Table43[[#This Row],[Nama            Sub KLP]]))</f>
        <v>ELLIPS DRY SHAMPOO</v>
      </c>
      <c r="K126" s="4" t="str">
        <f>CONCATENATE(Table43[[#This Row],[kode  2 Digit                (hrf+No)]],Table43[[#This Row],[kode  2 Digit                (Nomor)]],Table43[[#This Row],[kode  1 Digit                (Nomor)]])</f>
        <v>K1070</v>
      </c>
      <c r="L126" s="4" t="str">
        <f t="shared" si="3"/>
        <v>K1070004020010</v>
      </c>
      <c r="M126" s="11">
        <f t="shared" si="4"/>
        <v>14</v>
      </c>
      <c r="N126" s="14" t="str">
        <f>IF(AF126&lt;&gt;"",TRIM(UPPER(CONCATENATE(P126," ",R126," ",T126," ",V126," ",X126," ",Z126," ","X"," ",Table43[[#This Row],[ISI/CTN]]," ",AF126," ",AB126," ",AD126," ",AH126))),TRIM(UPPER(CONCATENATE(P126," ",R126," ",T126," ",V126," ",X126," ",Z126," ","X"," ",Table43[[#This Row],[ISI/CTN]]," ",AB126," ",AD126," ",AH126))))</f>
        <v>KNF ELLIPS DRY SHAMPOO FRUITY 200ML X 12 BTL</v>
      </c>
      <c r="O126" s="11">
        <f t="shared" si="5"/>
        <v>44</v>
      </c>
      <c r="P126" s="4" t="s">
        <v>97</v>
      </c>
      <c r="Q126" s="7" t="s">
        <v>98</v>
      </c>
      <c r="R126" s="4" t="s">
        <v>3653</v>
      </c>
      <c r="S126" s="44" t="s">
        <v>2477</v>
      </c>
      <c r="T126" s="45" t="s">
        <v>2961</v>
      </c>
      <c r="U126" s="7" t="s">
        <v>2900</v>
      </c>
      <c r="V126" s="45" t="s">
        <v>2961</v>
      </c>
      <c r="W126" s="44" t="s">
        <v>2900</v>
      </c>
      <c r="X126" s="4" t="s">
        <v>3657</v>
      </c>
      <c r="Y126" s="46" t="s">
        <v>2474</v>
      </c>
      <c r="Z126" s="4" t="s">
        <v>3582</v>
      </c>
      <c r="AA126" s="46" t="s">
        <v>2486</v>
      </c>
      <c r="AB126" s="4" t="s">
        <v>357</v>
      </c>
      <c r="AC126" s="7" t="s">
        <v>2656</v>
      </c>
      <c r="AD126" s="4" t="s">
        <v>2961</v>
      </c>
      <c r="AE126" s="7" t="s">
        <v>2900</v>
      </c>
      <c r="AF126" s="7" t="s">
        <v>2961</v>
      </c>
      <c r="AG126" s="7" t="s">
        <v>2961</v>
      </c>
      <c r="AI126" s="7" t="s">
        <v>4100</v>
      </c>
      <c r="AJ126" s="7" t="s">
        <v>2656</v>
      </c>
      <c r="AK126" s="41">
        <f>Table43[[#This Row],[Harga Jual Pcs GT
(-PPN)]]-(Table43[[#This Row],[Harga Jual Pcs GT
(-PPN)]]*10%)</f>
        <v>0</v>
      </c>
      <c r="AL126" s="42">
        <f>Table43[[#This Row],[Harga Beli Pcs
(-PPN)]]*Table43[[#This Row],[ISI/CTN]]</f>
        <v>0</v>
      </c>
      <c r="AM126" s="42">
        <f>Table43[[#This Row],[Harga Beli Pcs
(-PPN)]]*1.11</f>
        <v>0</v>
      </c>
      <c r="AN126" s="42">
        <f>Table43[[#This Row],[Harga Beli Krt
(- PPN)]]*1.11</f>
        <v>0</v>
      </c>
      <c r="AO126" s="42"/>
      <c r="AP126" s="42">
        <f>Table43[[#This Row],[Harga Jual Pcs GT
(-PPN)]]*Table43[[#This Row],[ISI/CTN]]</f>
        <v>0</v>
      </c>
      <c r="AQ126" s="42">
        <f>Table43[[#This Row],[Harga Jual Pcs GT
(-PPN)]]*1.11</f>
        <v>0</v>
      </c>
      <c r="AR126" s="42">
        <f>Table43[[#This Row],[Harga Jual Krt GT
(- PPN)]]*1.11</f>
        <v>0</v>
      </c>
      <c r="AS126" s="42">
        <f>Table43[[#This Row],[Harga Jual Pcs GT
(-PPN)]]</f>
        <v>0</v>
      </c>
      <c r="AT126" s="42">
        <f>(Table43[[#This Row],[Harga Jual Pcs MT
(-PPN)]]*Table43[[#This Row],[ISI/CTN]])</f>
        <v>0</v>
      </c>
      <c r="AU126" s="42">
        <f>Table43[[#This Row],[Harga Jual Pcs MT
(-PPN)]]*1.11</f>
        <v>0</v>
      </c>
      <c r="AV126" s="42">
        <f>Table43[[#This Row],[Harga Jual Pcs MT
(+PPN)]]*Table43[[#This Row],[ISI/CTN]]</f>
        <v>0</v>
      </c>
      <c r="AW126" s="47"/>
      <c r="AX126" s="7"/>
      <c r="AY126" s="7" t="str">
        <f ca="1">IF(TODAY()-Table43[[#This Row],[Efektif
Pembuatan]]&gt;60,"Lama","Baru")</f>
        <v>Lama</v>
      </c>
      <c r="AZ126" s="7" t="str">
        <f ca="1">IF(TODAY()-Table43[[#This Row],[Efektif Naik Harga]]&lt;30,"Naik","Sama")</f>
        <v>Sama</v>
      </c>
      <c r="BA126" s="7" t="str">
        <f>IF(Table43[[#This Row],[Kode BARANG Win2]]&lt;&gt;"","IDR","")</f>
        <v>IDR</v>
      </c>
      <c r="BB126" s="7" t="str">
        <f>CONCATENATE(Table43[[#This Row],[kode  1 Digit
(Nomor)]],Table43[[#This Row],[kode  4 Digit                (Nomor)]])</f>
        <v>10200</v>
      </c>
      <c r="BC126" s="7" t="str">
        <f>Table43[[#This Row],[Nama            Gramasi atau Jumlah Pack per CTN]]</f>
        <v>200ML</v>
      </c>
      <c r="BD126" s="7"/>
      <c r="BE126" s="7"/>
      <c r="BF126" s="4" t="str">
        <f>IF(Table43[[#This Row],[SATUAN Fix Win]]&lt;&gt;"","KRT")</f>
        <v>KRT</v>
      </c>
      <c r="BG126" s="4" t="str">
        <f>IF(Table43[[#This Row],[SATUAN Fix Win]]&lt;&gt;"","GD01")</f>
        <v>GD01</v>
      </c>
      <c r="BH126" s="4">
        <f>IF(Table43[[#This Row],[SATUAN Fix Win]]&lt;&gt;"",11611)</f>
        <v>11611</v>
      </c>
      <c r="BI126" s="4">
        <f>IF(Table43[[#This Row],[SATUAN Fix Win]]&lt;&gt;"",11612)</f>
        <v>11612</v>
      </c>
      <c r="BJ126" s="48"/>
      <c r="BK126" s="4">
        <f>IF(Table43[[#This Row],[SATUAN Fix Win]]&lt;&gt;"",1)</f>
        <v>1</v>
      </c>
    </row>
    <row r="127" spans="1:63">
      <c r="A127" s="4" t="str">
        <f>CONCATENATE(Table43[[#This Row],[Kode BARANG Win2]],Table43[[#This Row],[No. Urut
Item Sama]])</f>
        <v>K10700040200203</v>
      </c>
      <c r="B127" s="7">
        <v>3</v>
      </c>
      <c r="D127" s="28" t="s">
        <v>487</v>
      </c>
      <c r="E127" s="28"/>
      <c r="F127" s="28" t="s">
        <v>4090</v>
      </c>
      <c r="G127" s="78">
        <v>24</v>
      </c>
      <c r="H127" s="43"/>
      <c r="I127" s="28" t="str">
        <f>Table43[[#This Row],[Nama Jenis Kemasan]]</f>
        <v>KLG</v>
      </c>
      <c r="J127" s="4" t="str">
        <f>TRIM(CONCATENATE(Table43[[#This Row],[Nama            KLP]]," ",Table43[[#This Row],[Nama            Sub KLP]]))</f>
        <v>ELLIPS DRY SHAMPOO</v>
      </c>
      <c r="K127" s="4" t="str">
        <f>CONCATENATE(Table43[[#This Row],[kode  2 Digit                (hrf+No)]],Table43[[#This Row],[kode  2 Digit                (Nomor)]],Table43[[#This Row],[kode  1 Digit                (Nomor)]])</f>
        <v>K1070</v>
      </c>
      <c r="L127" s="4" t="str">
        <f t="shared" si="3"/>
        <v>K1070004020020</v>
      </c>
      <c r="M127" s="11">
        <f t="shared" si="4"/>
        <v>14</v>
      </c>
      <c r="N127" s="14" t="str">
        <f>IF(AF127&lt;&gt;"",TRIM(UPPER(CONCATENATE(P127," ",R127," ",T127," ",V127," ",X127," ",Z127," ","X"," ",Table43[[#This Row],[ISI/CTN]]," ",AF127," ",AB127," ",AD127," ",AH127))),TRIM(UPPER(CONCATENATE(P127," ",R127," ",T127," ",V127," ",X127," ",Z127," ","X"," ",Table43[[#This Row],[ISI/CTN]]," ",AB127," ",AD127," ",AH127))))</f>
        <v>KNF ELLIPS DRY SHAMPOO FRUITY 200ML X 24 KLG</v>
      </c>
      <c r="O127" s="11">
        <f t="shared" si="5"/>
        <v>44</v>
      </c>
      <c r="P127" s="4" t="s">
        <v>97</v>
      </c>
      <c r="Q127" s="7" t="s">
        <v>98</v>
      </c>
      <c r="R127" s="4" t="s">
        <v>3653</v>
      </c>
      <c r="S127" s="44" t="s">
        <v>2477</v>
      </c>
      <c r="T127" s="45" t="s">
        <v>2961</v>
      </c>
      <c r="U127" s="7" t="s">
        <v>2900</v>
      </c>
      <c r="V127" s="45" t="s">
        <v>2961</v>
      </c>
      <c r="W127" s="44" t="s">
        <v>2900</v>
      </c>
      <c r="X127" s="4" t="s">
        <v>3657</v>
      </c>
      <c r="Y127" s="46" t="s">
        <v>2474</v>
      </c>
      <c r="Z127" s="4" t="s">
        <v>3582</v>
      </c>
      <c r="AA127" s="46" t="s">
        <v>2486</v>
      </c>
      <c r="AB127" s="4" t="s">
        <v>359</v>
      </c>
      <c r="AC127" s="7" t="s">
        <v>3562</v>
      </c>
      <c r="AD127" s="4" t="s">
        <v>2961</v>
      </c>
      <c r="AE127" s="7" t="s">
        <v>2900</v>
      </c>
      <c r="AF127" s="7" t="s">
        <v>2961</v>
      </c>
      <c r="AG127" s="7" t="s">
        <v>2961</v>
      </c>
      <c r="AI127" s="7" t="s">
        <v>4100</v>
      </c>
      <c r="AJ127" s="7" t="s">
        <v>2656</v>
      </c>
      <c r="AK127" s="41">
        <f>Table43[[#This Row],[Harga Jual Pcs GT
(-PPN)]]-(Table43[[#This Row],[Harga Jual Pcs GT
(-PPN)]]*10%)</f>
        <v>0</v>
      </c>
      <c r="AL127" s="42">
        <f>Table43[[#This Row],[Harga Beli Pcs
(-PPN)]]*Table43[[#This Row],[ISI/CTN]]</f>
        <v>0</v>
      </c>
      <c r="AM127" s="42">
        <f>Table43[[#This Row],[Harga Beli Pcs
(-PPN)]]*1.11</f>
        <v>0</v>
      </c>
      <c r="AN127" s="42">
        <f>Table43[[#This Row],[Harga Beli Krt
(- PPN)]]*1.11</f>
        <v>0</v>
      </c>
      <c r="AO127" s="42"/>
      <c r="AP127" s="42">
        <f>Table43[[#This Row],[Harga Jual Pcs GT
(-PPN)]]*Table43[[#This Row],[ISI/CTN]]</f>
        <v>0</v>
      </c>
      <c r="AQ127" s="42">
        <f>Table43[[#This Row],[Harga Jual Pcs GT
(-PPN)]]*1.11</f>
        <v>0</v>
      </c>
      <c r="AR127" s="42">
        <f>Table43[[#This Row],[Harga Jual Krt GT
(- PPN)]]*1.11</f>
        <v>0</v>
      </c>
      <c r="AS127" s="42">
        <f>Table43[[#This Row],[Harga Jual Pcs GT
(-PPN)]]</f>
        <v>0</v>
      </c>
      <c r="AT127" s="42">
        <f>(Table43[[#This Row],[Harga Jual Pcs MT
(-PPN)]]*Table43[[#This Row],[ISI/CTN]])</f>
        <v>0</v>
      </c>
      <c r="AU127" s="42">
        <f>Table43[[#This Row],[Harga Jual Pcs MT
(-PPN)]]*1.11</f>
        <v>0</v>
      </c>
      <c r="AV127" s="42">
        <f>Table43[[#This Row],[Harga Jual Pcs MT
(+PPN)]]*Table43[[#This Row],[ISI/CTN]]</f>
        <v>0</v>
      </c>
      <c r="AW127" s="47"/>
      <c r="AX127" s="7"/>
      <c r="AY127" s="7" t="str">
        <f ca="1">IF(TODAY()-Table43[[#This Row],[Efektif
Pembuatan]]&gt;60,"Lama","Baru")</f>
        <v>Lama</v>
      </c>
      <c r="AZ127" s="7" t="str">
        <f ca="1">IF(TODAY()-Table43[[#This Row],[Efektif Naik Harga]]&lt;30,"Naik","Sama")</f>
        <v>Sama</v>
      </c>
      <c r="BA127" s="7" t="str">
        <f>IF(Table43[[#This Row],[Kode BARANG Win2]]&lt;&gt;"","IDR","")</f>
        <v>IDR</v>
      </c>
      <c r="BB127" s="7" t="str">
        <f>CONCATENATE(Table43[[#This Row],[kode  1 Digit
(Nomor)]],Table43[[#This Row],[kode  4 Digit                (Nomor)]])</f>
        <v>10200</v>
      </c>
      <c r="BC127" s="7" t="str">
        <f>Table43[[#This Row],[Nama            Gramasi atau Jumlah Pack per CTN]]</f>
        <v>200ML</v>
      </c>
      <c r="BD127" s="7"/>
      <c r="BE127" s="7"/>
      <c r="BF127" s="4" t="str">
        <f>IF(Table43[[#This Row],[SATUAN Fix Win]]&lt;&gt;"","KRT")</f>
        <v>KRT</v>
      </c>
      <c r="BG127" s="4" t="str">
        <f>IF(Table43[[#This Row],[SATUAN Fix Win]]&lt;&gt;"","GD01")</f>
        <v>GD01</v>
      </c>
      <c r="BH127" s="4">
        <f>IF(Table43[[#This Row],[SATUAN Fix Win]]&lt;&gt;"",11611)</f>
        <v>11611</v>
      </c>
      <c r="BI127" s="4">
        <f>IF(Table43[[#This Row],[SATUAN Fix Win]]&lt;&gt;"",11612)</f>
        <v>11612</v>
      </c>
      <c r="BJ127" s="48"/>
      <c r="BK127" s="4">
        <f>IF(Table43[[#This Row],[SATUAN Fix Win]]&lt;&gt;"",1)</f>
        <v>1</v>
      </c>
    </row>
    <row r="128" spans="1:63">
      <c r="A128" s="4" t="str">
        <f>CONCATENATE(Table43[[#This Row],[Kode BARANG Win2]],Table43[[#This Row],[No. Urut
Item Sama]])</f>
        <v>K10800010200101</v>
      </c>
      <c r="B128" s="7">
        <v>1</v>
      </c>
      <c r="D128" s="28" t="s">
        <v>4049</v>
      </c>
      <c r="E128" s="28"/>
      <c r="F128" s="28">
        <v>0</v>
      </c>
      <c r="G128" s="78">
        <v>12</v>
      </c>
      <c r="H128" s="43"/>
      <c r="I128" s="28" t="str">
        <f>Table43[[#This Row],[Nama Jenis Kemasan]]</f>
        <v>JAR</v>
      </c>
      <c r="J128" s="4" t="str">
        <f>TRIM(CONCATENATE(Table43[[#This Row],[Nama            KLP]]," ",Table43[[#This Row],[Nama            Sub KLP]]))</f>
        <v>ELLIPS</v>
      </c>
      <c r="K128" s="4" t="str">
        <f>CONCATENATE(Table43[[#This Row],[kode  2 Digit                (hrf+No)]],Table43[[#This Row],[kode  2 Digit                (Nomor)]],Table43[[#This Row],[kode  1 Digit                (Nomor)]])</f>
        <v>K1080</v>
      </c>
      <c r="L128" s="4" t="str">
        <f t="shared" si="3"/>
        <v>K1080001020010</v>
      </c>
      <c r="M128" s="11">
        <f t="shared" si="4"/>
        <v>14</v>
      </c>
      <c r="N128" s="14" t="str">
        <f>IF(AF128&lt;&gt;"",TRIM(UPPER(CONCATENATE(P128," ",R128," ",T128," ",V128," ",X128," ",Z128," ","X"," ",Table43[[#This Row],[ISI/CTN]]," ",AF128," ",AB128," ",AD128," ",AH128))),TRIM(UPPER(CONCATENATE(P128," ",R128," ",T128," ",V128," ",X128," ",Z128," ","X"," ",Table43[[#This Row],[ISI/CTN]]," ",AB128," ",AD128," ",AH128))))</f>
        <v>KNF ELLIPS HAIR MASK VIT. H.TREATMENT 200G X 12 JAR</v>
      </c>
      <c r="O128" s="11">
        <f t="shared" si="5"/>
        <v>51</v>
      </c>
      <c r="P128" s="4" t="s">
        <v>97</v>
      </c>
      <c r="Q128" s="7" t="s">
        <v>98</v>
      </c>
      <c r="R128" s="4" t="s">
        <v>3658</v>
      </c>
      <c r="S128" s="44" t="s">
        <v>2478</v>
      </c>
      <c r="T128" s="45" t="s">
        <v>2961</v>
      </c>
      <c r="U128" s="7" t="s">
        <v>2900</v>
      </c>
      <c r="V128" s="45" t="s">
        <v>2961</v>
      </c>
      <c r="W128" s="44" t="s">
        <v>2900</v>
      </c>
      <c r="X128" s="4" t="s">
        <v>3659</v>
      </c>
      <c r="Y128" s="46" t="s">
        <v>0</v>
      </c>
      <c r="Z128" s="4" t="s">
        <v>3660</v>
      </c>
      <c r="AA128" s="46" t="s">
        <v>2486</v>
      </c>
      <c r="AB128" s="4" t="s">
        <v>1019</v>
      </c>
      <c r="AC128" s="7" t="s">
        <v>2656</v>
      </c>
      <c r="AD128" s="4" t="s">
        <v>2961</v>
      </c>
      <c r="AE128" s="7" t="s">
        <v>2900</v>
      </c>
      <c r="AF128" s="7" t="s">
        <v>2961</v>
      </c>
      <c r="AG128" s="7" t="s">
        <v>2961</v>
      </c>
      <c r="AI128" s="7" t="s">
        <v>2463</v>
      </c>
      <c r="AJ128" s="7" t="s">
        <v>3562</v>
      </c>
      <c r="AK128" s="41">
        <f>Table43[[#This Row],[Harga Jual Pcs GT
(-PPN)]]-(Table43[[#This Row],[Harga Jual Pcs GT
(-PPN)]]*10%)</f>
        <v>0</v>
      </c>
      <c r="AL128" s="42">
        <f>Table43[[#This Row],[Harga Beli Pcs
(-PPN)]]*Table43[[#This Row],[ISI/CTN]]</f>
        <v>0</v>
      </c>
      <c r="AM128" s="42">
        <f>Table43[[#This Row],[Harga Beli Pcs
(-PPN)]]*1.11</f>
        <v>0</v>
      </c>
      <c r="AN128" s="42">
        <f>Table43[[#This Row],[Harga Beli Krt
(- PPN)]]*1.11</f>
        <v>0</v>
      </c>
      <c r="AO128" s="42"/>
      <c r="AP128" s="42">
        <f>Table43[[#This Row],[Harga Jual Pcs GT
(-PPN)]]*Table43[[#This Row],[ISI/CTN]]</f>
        <v>0</v>
      </c>
      <c r="AQ128" s="42">
        <f>Table43[[#This Row],[Harga Jual Pcs GT
(-PPN)]]*1.11</f>
        <v>0</v>
      </c>
      <c r="AR128" s="42">
        <f>Table43[[#This Row],[Harga Jual Krt GT
(- PPN)]]*1.11</f>
        <v>0</v>
      </c>
      <c r="AS128" s="42">
        <f>Table43[[#This Row],[Harga Jual Pcs GT
(-PPN)]]</f>
        <v>0</v>
      </c>
      <c r="AT128" s="42">
        <f>(Table43[[#This Row],[Harga Jual Pcs MT
(-PPN)]]*Table43[[#This Row],[ISI/CTN]])</f>
        <v>0</v>
      </c>
      <c r="AU128" s="42">
        <f>Table43[[#This Row],[Harga Jual Pcs MT
(-PPN)]]*1.11</f>
        <v>0</v>
      </c>
      <c r="AV128" s="42">
        <f>Table43[[#This Row],[Harga Jual Pcs MT
(+PPN)]]*Table43[[#This Row],[ISI/CTN]]</f>
        <v>0</v>
      </c>
      <c r="AW128" s="47"/>
      <c r="AX128" s="7"/>
      <c r="AY128" s="7" t="str">
        <f ca="1">IF(TODAY()-Table43[[#This Row],[Efektif
Pembuatan]]&gt;60,"Lama","Baru")</f>
        <v>Lama</v>
      </c>
      <c r="AZ128" s="7" t="str">
        <f ca="1">IF(TODAY()-Table43[[#This Row],[Efektif Naik Harga]]&lt;30,"Naik","Sama")</f>
        <v>Sama</v>
      </c>
      <c r="BA128" s="7" t="str">
        <f>IF(Table43[[#This Row],[Kode BARANG Win2]]&lt;&gt;"","IDR","")</f>
        <v>IDR</v>
      </c>
      <c r="BB128" s="7" t="str">
        <f>CONCATENATE(Table43[[#This Row],[kode  1 Digit
(Nomor)]],Table43[[#This Row],[kode  4 Digit                (Nomor)]])</f>
        <v>20200</v>
      </c>
      <c r="BC128" s="7" t="str">
        <f>Table43[[#This Row],[Nama            Gramasi atau Jumlah Pack per CTN]]</f>
        <v>200G</v>
      </c>
      <c r="BD128" s="7"/>
      <c r="BE128" s="7"/>
      <c r="BF128" s="4" t="str">
        <f>IF(Table43[[#This Row],[SATUAN Fix Win]]&lt;&gt;"","KRT")</f>
        <v>KRT</v>
      </c>
      <c r="BG128" s="4" t="str">
        <f>IF(Table43[[#This Row],[SATUAN Fix Win]]&lt;&gt;"","GD01")</f>
        <v>GD01</v>
      </c>
      <c r="BH128" s="4">
        <f>IF(Table43[[#This Row],[SATUAN Fix Win]]&lt;&gt;"",11611)</f>
        <v>11611</v>
      </c>
      <c r="BI128" s="4">
        <f>IF(Table43[[#This Row],[SATUAN Fix Win]]&lt;&gt;"",11612)</f>
        <v>11612</v>
      </c>
      <c r="BJ128" s="48"/>
      <c r="BK128" s="4">
        <f>IF(Table43[[#This Row],[SATUAN Fix Win]]&lt;&gt;"",1)</f>
        <v>1</v>
      </c>
    </row>
    <row r="129" spans="1:63">
      <c r="A129" s="4" t="str">
        <f>CONCATENATE(Table43[[#This Row],[Kode BARANG Win2]],Table43[[#This Row],[No. Urut
Item Sama]])</f>
        <v>K10800020200102</v>
      </c>
      <c r="B129" s="7">
        <v>2</v>
      </c>
      <c r="D129" s="28" t="s">
        <v>4050</v>
      </c>
      <c r="E129" s="28"/>
      <c r="F129" s="28">
        <v>0</v>
      </c>
      <c r="G129" s="78">
        <v>12</v>
      </c>
      <c r="H129" s="43"/>
      <c r="I129" s="28" t="str">
        <f>Table43[[#This Row],[Nama Jenis Kemasan]]</f>
        <v>JAR</v>
      </c>
      <c r="J129" s="4" t="str">
        <f>TRIM(CONCATENATE(Table43[[#This Row],[Nama            KLP]]," ",Table43[[#This Row],[Nama            Sub KLP]]))</f>
        <v>ELLIPS</v>
      </c>
      <c r="K129" s="4" t="str">
        <f>CONCATENATE(Table43[[#This Row],[kode  2 Digit                (hrf+No)]],Table43[[#This Row],[kode  2 Digit                (Nomor)]],Table43[[#This Row],[kode  1 Digit                (Nomor)]])</f>
        <v>K1080</v>
      </c>
      <c r="L129" s="4" t="str">
        <f t="shared" si="3"/>
        <v>K1080002020010</v>
      </c>
      <c r="M129" s="11">
        <f t="shared" si="4"/>
        <v>14</v>
      </c>
      <c r="N129" s="14" t="str">
        <f>IF(AF129&lt;&gt;"",TRIM(UPPER(CONCATENATE(P129," ",R129," ",T129," ",V129," ",X129," ",Z129," ","X"," ",Table43[[#This Row],[ISI/CTN]]," ",AF129," ",AB129," ",AD129," ",AH129))),TRIM(UPPER(CONCATENATE(P129," ",R129," ",T129," ",V129," ",X129," ",Z129," ","X"," ",Table43[[#This Row],[ISI/CTN]]," ",AB129," ",AD129," ",AH129))))</f>
        <v>KNF ELLIPS HAIR MASK VIT. NUTRI COLOR 200G X 12 JAR</v>
      </c>
      <c r="O129" s="11">
        <f t="shared" si="5"/>
        <v>51</v>
      </c>
      <c r="P129" s="4" t="s">
        <v>97</v>
      </c>
      <c r="Q129" s="7" t="s">
        <v>98</v>
      </c>
      <c r="R129" s="4" t="s">
        <v>3658</v>
      </c>
      <c r="S129" s="44" t="s">
        <v>2478</v>
      </c>
      <c r="T129" s="45" t="s">
        <v>2961</v>
      </c>
      <c r="U129" s="7" t="s">
        <v>2900</v>
      </c>
      <c r="V129" s="45" t="s">
        <v>2961</v>
      </c>
      <c r="W129" s="44" t="s">
        <v>2900</v>
      </c>
      <c r="X129" s="4" t="s">
        <v>3661</v>
      </c>
      <c r="Y129" s="46" t="s">
        <v>2472</v>
      </c>
      <c r="Z129" s="4" t="s">
        <v>3660</v>
      </c>
      <c r="AA129" s="46" t="s">
        <v>2486</v>
      </c>
      <c r="AB129" s="4" t="s">
        <v>1019</v>
      </c>
      <c r="AC129" s="7" t="s">
        <v>2656</v>
      </c>
      <c r="AD129" s="4" t="s">
        <v>2961</v>
      </c>
      <c r="AE129" s="7" t="s">
        <v>2900</v>
      </c>
      <c r="AF129" s="7" t="s">
        <v>2961</v>
      </c>
      <c r="AG129" s="7" t="s">
        <v>2961</v>
      </c>
      <c r="AI129" s="7" t="s">
        <v>2463</v>
      </c>
      <c r="AJ129" s="7" t="s">
        <v>3562</v>
      </c>
      <c r="AK129" s="41">
        <f>Table43[[#This Row],[Harga Jual Pcs GT
(-PPN)]]-(Table43[[#This Row],[Harga Jual Pcs GT
(-PPN)]]*10%)</f>
        <v>0</v>
      </c>
      <c r="AL129" s="42">
        <f>Table43[[#This Row],[Harga Beli Pcs
(-PPN)]]*Table43[[#This Row],[ISI/CTN]]</f>
        <v>0</v>
      </c>
      <c r="AM129" s="42">
        <f>Table43[[#This Row],[Harga Beli Pcs
(-PPN)]]*1.11</f>
        <v>0</v>
      </c>
      <c r="AN129" s="42">
        <f>Table43[[#This Row],[Harga Beli Krt
(- PPN)]]*1.11</f>
        <v>0</v>
      </c>
      <c r="AO129" s="42"/>
      <c r="AP129" s="42">
        <f>Table43[[#This Row],[Harga Jual Pcs GT
(-PPN)]]*Table43[[#This Row],[ISI/CTN]]</f>
        <v>0</v>
      </c>
      <c r="AQ129" s="42">
        <f>Table43[[#This Row],[Harga Jual Pcs GT
(-PPN)]]*1.11</f>
        <v>0</v>
      </c>
      <c r="AR129" s="42">
        <f>Table43[[#This Row],[Harga Jual Krt GT
(- PPN)]]*1.11</f>
        <v>0</v>
      </c>
      <c r="AS129" s="42">
        <f>Table43[[#This Row],[Harga Jual Pcs GT
(-PPN)]]</f>
        <v>0</v>
      </c>
      <c r="AT129" s="42">
        <f>(Table43[[#This Row],[Harga Jual Pcs MT
(-PPN)]]*Table43[[#This Row],[ISI/CTN]])</f>
        <v>0</v>
      </c>
      <c r="AU129" s="42">
        <f>Table43[[#This Row],[Harga Jual Pcs MT
(-PPN)]]*1.11</f>
        <v>0</v>
      </c>
      <c r="AV129" s="42">
        <f>Table43[[#This Row],[Harga Jual Pcs MT
(+PPN)]]*Table43[[#This Row],[ISI/CTN]]</f>
        <v>0</v>
      </c>
      <c r="AW129" s="47"/>
      <c r="AX129" s="7"/>
      <c r="AY129" s="7" t="str">
        <f ca="1">IF(TODAY()-Table43[[#This Row],[Efektif
Pembuatan]]&gt;60,"Lama","Baru")</f>
        <v>Lama</v>
      </c>
      <c r="AZ129" s="7" t="str">
        <f ca="1">IF(TODAY()-Table43[[#This Row],[Efektif Naik Harga]]&lt;30,"Naik","Sama")</f>
        <v>Sama</v>
      </c>
      <c r="BA129" s="7" t="str">
        <f>IF(Table43[[#This Row],[Kode BARANG Win2]]&lt;&gt;"","IDR","")</f>
        <v>IDR</v>
      </c>
      <c r="BB129" s="7" t="str">
        <f>CONCATENATE(Table43[[#This Row],[kode  1 Digit
(Nomor)]],Table43[[#This Row],[kode  4 Digit                (Nomor)]])</f>
        <v>20200</v>
      </c>
      <c r="BC129" s="7" t="str">
        <f>Table43[[#This Row],[Nama            Gramasi atau Jumlah Pack per CTN]]</f>
        <v>200G</v>
      </c>
      <c r="BD129" s="7"/>
      <c r="BE129" s="7"/>
      <c r="BF129" s="4" t="str">
        <f>IF(Table43[[#This Row],[SATUAN Fix Win]]&lt;&gt;"","KRT")</f>
        <v>KRT</v>
      </c>
      <c r="BG129" s="4" t="str">
        <f>IF(Table43[[#This Row],[SATUAN Fix Win]]&lt;&gt;"","GD01")</f>
        <v>GD01</v>
      </c>
      <c r="BH129" s="4">
        <f>IF(Table43[[#This Row],[SATUAN Fix Win]]&lt;&gt;"",11611)</f>
        <v>11611</v>
      </c>
      <c r="BI129" s="4">
        <f>IF(Table43[[#This Row],[SATUAN Fix Win]]&lt;&gt;"",11612)</f>
        <v>11612</v>
      </c>
      <c r="BJ129" s="48"/>
      <c r="BK129" s="4">
        <f>IF(Table43[[#This Row],[SATUAN Fix Win]]&lt;&gt;"",1)</f>
        <v>1</v>
      </c>
    </row>
    <row r="130" spans="1:63">
      <c r="A130" s="4" t="str">
        <f>CONCATENATE(Table43[[#This Row],[Kode BARANG Win2]],Table43[[#This Row],[No. Urut
Item Sama]])</f>
        <v>K10810010018113</v>
      </c>
      <c r="B130" s="7">
        <v>3</v>
      </c>
      <c r="D130" s="28" t="s">
        <v>489</v>
      </c>
      <c r="E130" s="28"/>
      <c r="F130" s="28" t="s">
        <v>2956</v>
      </c>
      <c r="G130" s="78">
        <v>72</v>
      </c>
      <c r="H130" s="43"/>
      <c r="I130" s="28" t="str">
        <f>Table43[[#This Row],[Nama Jenis Kemasan]]</f>
        <v>SCH</v>
      </c>
      <c r="J130" s="4" t="str">
        <f>TRIM(CONCATENATE(Table43[[#This Row],[Nama            KLP]]," ",Table43[[#This Row],[Nama            Sub KLP]]))</f>
        <v>ELLIPS H.MASK KERATIN</v>
      </c>
      <c r="K130" s="4" t="str">
        <f>CONCATENATE(Table43[[#This Row],[kode  2 Digit                (hrf+No)]],Table43[[#This Row],[kode  2 Digit                (Nomor)]],Table43[[#This Row],[kode  1 Digit                (Nomor)]])</f>
        <v>K1081</v>
      </c>
      <c r="L130" s="4" t="str">
        <f t="shared" si="3"/>
        <v>K1081001001811</v>
      </c>
      <c r="M130" s="11">
        <f t="shared" si="4"/>
        <v>14</v>
      </c>
      <c r="N130" s="14" t="str">
        <f>IF(AF130&lt;&gt;"",TRIM(UPPER(CONCATENATE(P130," ",R130," ",T130," ",V130," ",X130," ",Z130," ","X"," ",Table43[[#This Row],[ISI/CTN]]," ",AF130," ",AB130," ",AD130," ",AH130))),TRIM(UPPER(CONCATENATE(P130," ",R130," ",T130," ",V130," ",X130," ",Z130," ","X"," ",Table43[[#This Row],[ISI/CTN]]," ",AB130," ",AD130," ",AH130))))</f>
        <v>KNF ELLIPS H.MASK KERATIN HAIR REPAIR 18G X 72 SACHET SCH</v>
      </c>
      <c r="O130" s="11">
        <f t="shared" si="5"/>
        <v>57</v>
      </c>
      <c r="P130" s="4" t="s">
        <v>97</v>
      </c>
      <c r="Q130" s="7" t="s">
        <v>98</v>
      </c>
      <c r="R130" s="4" t="s">
        <v>3658</v>
      </c>
      <c r="S130" s="44" t="s">
        <v>2478</v>
      </c>
      <c r="T130" s="45" t="s">
        <v>3662</v>
      </c>
      <c r="U130" s="7" t="s">
        <v>2656</v>
      </c>
      <c r="V130" s="45" t="s">
        <v>2961</v>
      </c>
      <c r="W130" s="44" t="s">
        <v>2900</v>
      </c>
      <c r="X130" s="4" t="s">
        <v>3663</v>
      </c>
      <c r="Y130" s="46" t="s">
        <v>0</v>
      </c>
      <c r="Z130" s="4" t="s">
        <v>3664</v>
      </c>
      <c r="AA130" s="46" t="s">
        <v>2493</v>
      </c>
      <c r="AB130" s="4" t="s">
        <v>1022</v>
      </c>
      <c r="AC130" s="7" t="s">
        <v>2656</v>
      </c>
      <c r="AD130" s="4" t="s">
        <v>2961</v>
      </c>
      <c r="AE130" s="7" t="s">
        <v>2900</v>
      </c>
      <c r="AF130" s="7" t="s">
        <v>149</v>
      </c>
      <c r="AG130" s="7" t="s">
        <v>2656</v>
      </c>
      <c r="AI130" s="7" t="s">
        <v>2463</v>
      </c>
      <c r="AJ130" s="7" t="s">
        <v>3562</v>
      </c>
      <c r="AK130" s="41">
        <f>Table43[[#This Row],[Harga Jual Pcs GT
(-PPN)]]-(Table43[[#This Row],[Harga Jual Pcs GT
(-PPN)]]*10%)</f>
        <v>0</v>
      </c>
      <c r="AL130" s="42">
        <f>Table43[[#This Row],[Harga Beli Pcs
(-PPN)]]*Table43[[#This Row],[ISI/CTN]]</f>
        <v>0</v>
      </c>
      <c r="AM130" s="42">
        <f>Table43[[#This Row],[Harga Beli Pcs
(-PPN)]]*1.11</f>
        <v>0</v>
      </c>
      <c r="AN130" s="42">
        <f>Table43[[#This Row],[Harga Beli Krt
(- PPN)]]*1.11</f>
        <v>0</v>
      </c>
      <c r="AO130" s="42"/>
      <c r="AP130" s="42">
        <f>Table43[[#This Row],[Harga Jual Pcs GT
(-PPN)]]*Table43[[#This Row],[ISI/CTN]]</f>
        <v>0</v>
      </c>
      <c r="AQ130" s="42">
        <f>Table43[[#This Row],[Harga Jual Pcs GT
(-PPN)]]*1.11</f>
        <v>0</v>
      </c>
      <c r="AR130" s="42">
        <f>Table43[[#This Row],[Harga Jual Krt GT
(- PPN)]]*1.11</f>
        <v>0</v>
      </c>
      <c r="AS130" s="42">
        <f>Table43[[#This Row],[Harga Jual Pcs GT
(-PPN)]]</f>
        <v>0</v>
      </c>
      <c r="AT130" s="42">
        <f>(Table43[[#This Row],[Harga Jual Pcs MT
(-PPN)]]*Table43[[#This Row],[ISI/CTN]])</f>
        <v>0</v>
      </c>
      <c r="AU130" s="42">
        <f>Table43[[#This Row],[Harga Jual Pcs MT
(-PPN)]]*1.11</f>
        <v>0</v>
      </c>
      <c r="AV130" s="42">
        <f>Table43[[#This Row],[Harga Jual Pcs MT
(+PPN)]]*Table43[[#This Row],[ISI/CTN]]</f>
        <v>0</v>
      </c>
      <c r="AW130" s="47"/>
      <c r="AX130" s="7"/>
      <c r="AY130" s="7" t="str">
        <f ca="1">IF(TODAY()-Table43[[#This Row],[Efektif
Pembuatan]]&gt;60,"Lama","Baru")</f>
        <v>Lama</v>
      </c>
      <c r="AZ130" s="7" t="str">
        <f ca="1">IF(TODAY()-Table43[[#This Row],[Efektif Naik Harga]]&lt;30,"Naik","Sama")</f>
        <v>Sama</v>
      </c>
      <c r="BA130" s="7" t="str">
        <f>IF(Table43[[#This Row],[Kode BARANG Win2]]&lt;&gt;"","IDR","")</f>
        <v>IDR</v>
      </c>
      <c r="BB130" s="7" t="str">
        <f>CONCATENATE(Table43[[#This Row],[kode  1 Digit
(Nomor)]],Table43[[#This Row],[kode  4 Digit                (Nomor)]])</f>
        <v>20018</v>
      </c>
      <c r="BC130" s="7" t="str">
        <f>Table43[[#This Row],[Nama            Gramasi atau Jumlah Pack per CTN]]</f>
        <v>18G</v>
      </c>
      <c r="BD130" s="7"/>
      <c r="BE130" s="7"/>
      <c r="BF130" s="4" t="str">
        <f>IF(Table43[[#This Row],[SATUAN Fix Win]]&lt;&gt;"","KRT")</f>
        <v>KRT</v>
      </c>
      <c r="BG130" s="4" t="str">
        <f>IF(Table43[[#This Row],[SATUAN Fix Win]]&lt;&gt;"","GD01")</f>
        <v>GD01</v>
      </c>
      <c r="BH130" s="4">
        <f>IF(Table43[[#This Row],[SATUAN Fix Win]]&lt;&gt;"",11611)</f>
        <v>11611</v>
      </c>
      <c r="BI130" s="4">
        <f>IF(Table43[[#This Row],[SATUAN Fix Win]]&lt;&gt;"",11612)</f>
        <v>11612</v>
      </c>
      <c r="BJ130" s="48"/>
      <c r="BK130" s="4">
        <f>IF(Table43[[#This Row],[SATUAN Fix Win]]&lt;&gt;"",1)</f>
        <v>1</v>
      </c>
    </row>
    <row r="131" spans="1:63">
      <c r="A131" s="4" t="str">
        <f>CONCATENATE(Table43[[#This Row],[Kode BARANG Win2]],Table43[[#This Row],[No. Urut
Item Sama]])</f>
        <v>K10810010120201</v>
      </c>
      <c r="B131" s="7">
        <v>1</v>
      </c>
      <c r="D131" s="28" t="s">
        <v>490</v>
      </c>
      <c r="E131" s="28"/>
      <c r="F131" s="28" t="s">
        <v>2957</v>
      </c>
      <c r="G131" s="78">
        <v>36</v>
      </c>
      <c r="H131" s="43"/>
      <c r="I131" s="28" t="str">
        <f>Table43[[#This Row],[Nama Jenis Kemasan]]</f>
        <v>TUBE</v>
      </c>
      <c r="J131" s="4" t="str">
        <f>TRIM(CONCATENATE(Table43[[#This Row],[Nama            KLP]]," ",Table43[[#This Row],[Nama            Sub KLP]]))</f>
        <v>ELLIPS H.MASK KERATIN</v>
      </c>
      <c r="K131" s="4" t="str">
        <f>CONCATENATE(Table43[[#This Row],[kode  2 Digit                (hrf+No)]],Table43[[#This Row],[kode  2 Digit                (Nomor)]],Table43[[#This Row],[kode  1 Digit                (Nomor)]])</f>
        <v>K1081</v>
      </c>
      <c r="L131" s="4" t="str">
        <f t="shared" si="3"/>
        <v>K1081001012020</v>
      </c>
      <c r="M131" s="11">
        <f t="shared" si="4"/>
        <v>14</v>
      </c>
      <c r="N131" s="14" t="str">
        <f>IF(AF131&lt;&gt;"",TRIM(UPPER(CONCATENATE(P131," ",R131," ",T131," ",V131," ",X131," ",Z131," ","X"," ",Table43[[#This Row],[ISI/CTN]]," ",AF131," ",AB131," ",AD131," ",AH131))),TRIM(UPPER(CONCATENATE(P131," ",R131," ",T131," ",V131," ",X131," ",Z131," ","X"," ",Table43[[#This Row],[ISI/CTN]]," ",AB131," ",AD131," ",AH131))))</f>
        <v>KNF ELLIPS H.MASK KERATIN HAIR REPAIR 120G X 36 TUBE</v>
      </c>
      <c r="O131" s="11">
        <f t="shared" si="5"/>
        <v>52</v>
      </c>
      <c r="P131" s="4" t="s">
        <v>97</v>
      </c>
      <c r="Q131" s="7" t="s">
        <v>98</v>
      </c>
      <c r="R131" s="4" t="s">
        <v>3658</v>
      </c>
      <c r="S131" s="44" t="s">
        <v>2478</v>
      </c>
      <c r="T131" s="45" t="s">
        <v>3662</v>
      </c>
      <c r="U131" s="7" t="s">
        <v>2656</v>
      </c>
      <c r="V131" s="45" t="s">
        <v>2961</v>
      </c>
      <c r="W131" s="44" t="s">
        <v>2900</v>
      </c>
      <c r="X131" s="4" t="s">
        <v>3663</v>
      </c>
      <c r="Y131" s="46" t="s">
        <v>0</v>
      </c>
      <c r="Z131" s="4" t="s">
        <v>3665</v>
      </c>
      <c r="AA131" s="46" t="s">
        <v>1025</v>
      </c>
      <c r="AB131" s="4" t="s">
        <v>1021</v>
      </c>
      <c r="AC131" s="7" t="s">
        <v>3562</v>
      </c>
      <c r="AD131" s="4" t="s">
        <v>2961</v>
      </c>
      <c r="AE131" s="7" t="s">
        <v>2900</v>
      </c>
      <c r="AF131" s="7" t="s">
        <v>2961</v>
      </c>
      <c r="AG131" s="7" t="s">
        <v>2961</v>
      </c>
      <c r="AI131" s="7" t="s">
        <v>2463</v>
      </c>
      <c r="AJ131" s="7" t="s">
        <v>3562</v>
      </c>
      <c r="AK131" s="41">
        <f>Table43[[#This Row],[Harga Jual Pcs GT
(-PPN)]]-(Table43[[#This Row],[Harga Jual Pcs GT
(-PPN)]]*10%)</f>
        <v>0</v>
      </c>
      <c r="AL131" s="42">
        <f>Table43[[#This Row],[Harga Beli Pcs
(-PPN)]]*Table43[[#This Row],[ISI/CTN]]</f>
        <v>0</v>
      </c>
      <c r="AM131" s="42">
        <f>Table43[[#This Row],[Harga Beli Pcs
(-PPN)]]*1.11</f>
        <v>0</v>
      </c>
      <c r="AN131" s="42">
        <f>Table43[[#This Row],[Harga Beli Krt
(- PPN)]]*1.11</f>
        <v>0</v>
      </c>
      <c r="AO131" s="42"/>
      <c r="AP131" s="42">
        <f>Table43[[#This Row],[Harga Jual Pcs GT
(-PPN)]]*Table43[[#This Row],[ISI/CTN]]</f>
        <v>0</v>
      </c>
      <c r="AQ131" s="42">
        <f>Table43[[#This Row],[Harga Jual Pcs GT
(-PPN)]]*1.11</f>
        <v>0</v>
      </c>
      <c r="AR131" s="42">
        <f>Table43[[#This Row],[Harga Jual Krt GT
(- PPN)]]*1.11</f>
        <v>0</v>
      </c>
      <c r="AS131" s="42">
        <f>Table43[[#This Row],[Harga Jual Pcs GT
(-PPN)]]</f>
        <v>0</v>
      </c>
      <c r="AT131" s="42">
        <f>(Table43[[#This Row],[Harga Jual Pcs MT
(-PPN)]]*Table43[[#This Row],[ISI/CTN]])</f>
        <v>0</v>
      </c>
      <c r="AU131" s="42">
        <f>Table43[[#This Row],[Harga Jual Pcs MT
(-PPN)]]*1.11</f>
        <v>0</v>
      </c>
      <c r="AV131" s="42">
        <f>Table43[[#This Row],[Harga Jual Pcs MT
(+PPN)]]*Table43[[#This Row],[ISI/CTN]]</f>
        <v>0</v>
      </c>
      <c r="AW131" s="47"/>
      <c r="AX131" s="7"/>
      <c r="AY131" s="7" t="str">
        <f ca="1">IF(TODAY()-Table43[[#This Row],[Efektif
Pembuatan]]&gt;60,"Lama","Baru")</f>
        <v>Lama</v>
      </c>
      <c r="AZ131" s="7" t="str">
        <f ca="1">IF(TODAY()-Table43[[#This Row],[Efektif Naik Harga]]&lt;30,"Naik","Sama")</f>
        <v>Sama</v>
      </c>
      <c r="BA131" s="7" t="str">
        <f>IF(Table43[[#This Row],[Kode BARANG Win2]]&lt;&gt;"","IDR","")</f>
        <v>IDR</v>
      </c>
      <c r="BB131" s="7" t="str">
        <f>CONCATENATE(Table43[[#This Row],[kode  1 Digit
(Nomor)]],Table43[[#This Row],[kode  4 Digit                (Nomor)]])</f>
        <v>20120</v>
      </c>
      <c r="BC131" s="7" t="str">
        <f>Table43[[#This Row],[Nama            Gramasi atau Jumlah Pack per CTN]]</f>
        <v>120G</v>
      </c>
      <c r="BD131" s="7"/>
      <c r="BE131" s="7"/>
      <c r="BF131" s="4" t="str">
        <f>IF(Table43[[#This Row],[SATUAN Fix Win]]&lt;&gt;"","KRT")</f>
        <v>KRT</v>
      </c>
      <c r="BG131" s="4" t="str">
        <f>IF(Table43[[#This Row],[SATUAN Fix Win]]&lt;&gt;"","GD01")</f>
        <v>GD01</v>
      </c>
      <c r="BH131" s="4">
        <f>IF(Table43[[#This Row],[SATUAN Fix Win]]&lt;&gt;"",11611)</f>
        <v>11611</v>
      </c>
      <c r="BI131" s="4">
        <f>IF(Table43[[#This Row],[SATUAN Fix Win]]&lt;&gt;"",11612)</f>
        <v>11612</v>
      </c>
      <c r="BJ131" s="48"/>
      <c r="BK131" s="4">
        <f>IF(Table43[[#This Row],[SATUAN Fix Win]]&lt;&gt;"",1)</f>
        <v>1</v>
      </c>
    </row>
    <row r="132" spans="1:63">
      <c r="A132" s="4" t="str">
        <f>CONCATENATE(Table43[[#This Row],[Kode BARANG Win2]],Table43[[#This Row],[No. Urut
Item Sama]])</f>
        <v>K10810020018111</v>
      </c>
      <c r="B132" s="7">
        <v>1</v>
      </c>
      <c r="D132" s="28" t="s">
        <v>493</v>
      </c>
      <c r="E132" s="28"/>
      <c r="F132" s="28" t="s">
        <v>2958</v>
      </c>
      <c r="G132" s="78">
        <v>72</v>
      </c>
      <c r="H132" s="43"/>
      <c r="I132" s="28" t="str">
        <f>Table43[[#This Row],[Nama Jenis Kemasan]]</f>
        <v>SCH</v>
      </c>
      <c r="J132" s="4" t="str">
        <f>TRIM(CONCATENATE(Table43[[#This Row],[Nama            KLP]]," ",Table43[[#This Row],[Nama            Sub KLP]]))</f>
        <v>ELLIPS H.MASK KERATIN</v>
      </c>
      <c r="K132" s="4" t="str">
        <f>CONCATENATE(Table43[[#This Row],[kode  2 Digit                (hrf+No)]],Table43[[#This Row],[kode  2 Digit                (Nomor)]],Table43[[#This Row],[kode  1 Digit                (Nomor)]])</f>
        <v>K1081</v>
      </c>
      <c r="L132" s="4" t="str">
        <f t="shared" si="3"/>
        <v>K1081002001811</v>
      </c>
      <c r="M132" s="11">
        <f t="shared" si="4"/>
        <v>14</v>
      </c>
      <c r="N132" s="14" t="str">
        <f>IF(AF132&lt;&gt;"",TRIM(UPPER(CONCATENATE(P132," ",R132," ",T132," ",V132," ",X132," ",Z132," ","X"," ",Table43[[#This Row],[ISI/CTN]]," ",AF132," ",AB132," ",AD132," ",AH132))),TRIM(UPPER(CONCATENATE(P132," ",R132," ",T132," ",V132," ",X132," ",Z132," ","X"," ",Table43[[#This Row],[ISI/CTN]]," ",AB132," ",AD132," ",AH132))))</f>
        <v>KNF ELLIPS H.MASK KERATIN SILKY BLACK 18G X 72 SACHET SCH</v>
      </c>
      <c r="O132" s="11">
        <f t="shared" si="5"/>
        <v>57</v>
      </c>
      <c r="P132" s="4" t="s">
        <v>97</v>
      </c>
      <c r="Q132" s="7" t="s">
        <v>98</v>
      </c>
      <c r="R132" s="4" t="s">
        <v>3658</v>
      </c>
      <c r="S132" s="44" t="s">
        <v>2478</v>
      </c>
      <c r="T132" s="45" t="s">
        <v>3662</v>
      </c>
      <c r="U132" s="7" t="s">
        <v>2656</v>
      </c>
      <c r="V132" s="45" t="s">
        <v>2961</v>
      </c>
      <c r="W132" s="44" t="s">
        <v>2900</v>
      </c>
      <c r="X132" s="4" t="s">
        <v>3666</v>
      </c>
      <c r="Y132" s="46" t="s">
        <v>2472</v>
      </c>
      <c r="Z132" s="4" t="s">
        <v>3664</v>
      </c>
      <c r="AA132" s="46" t="s">
        <v>2493</v>
      </c>
      <c r="AB132" s="4" t="s">
        <v>1022</v>
      </c>
      <c r="AC132" s="7" t="s">
        <v>2656</v>
      </c>
      <c r="AD132" s="4" t="s">
        <v>2961</v>
      </c>
      <c r="AE132" s="7" t="s">
        <v>2900</v>
      </c>
      <c r="AF132" s="7" t="s">
        <v>149</v>
      </c>
      <c r="AG132" s="7" t="s">
        <v>2656</v>
      </c>
      <c r="AI132" s="7" t="s">
        <v>2463</v>
      </c>
      <c r="AJ132" s="7" t="s">
        <v>3562</v>
      </c>
      <c r="AK132" s="41">
        <f>Table43[[#This Row],[Harga Jual Pcs GT
(-PPN)]]-(Table43[[#This Row],[Harga Jual Pcs GT
(-PPN)]]*10%)</f>
        <v>0</v>
      </c>
      <c r="AL132" s="42">
        <f>Table43[[#This Row],[Harga Beli Pcs
(-PPN)]]*Table43[[#This Row],[ISI/CTN]]</f>
        <v>0</v>
      </c>
      <c r="AM132" s="42">
        <f>Table43[[#This Row],[Harga Beli Pcs
(-PPN)]]*1.11</f>
        <v>0</v>
      </c>
      <c r="AN132" s="42">
        <f>Table43[[#This Row],[Harga Beli Krt
(- PPN)]]*1.11</f>
        <v>0</v>
      </c>
      <c r="AO132" s="42"/>
      <c r="AP132" s="42">
        <f>Table43[[#This Row],[Harga Jual Pcs GT
(-PPN)]]*Table43[[#This Row],[ISI/CTN]]</f>
        <v>0</v>
      </c>
      <c r="AQ132" s="42">
        <f>Table43[[#This Row],[Harga Jual Pcs GT
(-PPN)]]*1.11</f>
        <v>0</v>
      </c>
      <c r="AR132" s="42">
        <f>Table43[[#This Row],[Harga Jual Krt GT
(- PPN)]]*1.11</f>
        <v>0</v>
      </c>
      <c r="AS132" s="42">
        <f>Table43[[#This Row],[Harga Jual Pcs GT
(-PPN)]]</f>
        <v>0</v>
      </c>
      <c r="AT132" s="42">
        <f>(Table43[[#This Row],[Harga Jual Pcs MT
(-PPN)]]*Table43[[#This Row],[ISI/CTN]])</f>
        <v>0</v>
      </c>
      <c r="AU132" s="42">
        <f>Table43[[#This Row],[Harga Jual Pcs MT
(-PPN)]]*1.11</f>
        <v>0</v>
      </c>
      <c r="AV132" s="42">
        <f>Table43[[#This Row],[Harga Jual Pcs MT
(+PPN)]]*Table43[[#This Row],[ISI/CTN]]</f>
        <v>0</v>
      </c>
      <c r="AW132" s="47"/>
      <c r="AX132" s="7"/>
      <c r="AY132" s="7" t="str">
        <f ca="1">IF(TODAY()-Table43[[#This Row],[Efektif
Pembuatan]]&gt;60,"Lama","Baru")</f>
        <v>Lama</v>
      </c>
      <c r="AZ132" s="7" t="str">
        <f ca="1">IF(TODAY()-Table43[[#This Row],[Efektif Naik Harga]]&lt;30,"Naik","Sama")</f>
        <v>Sama</v>
      </c>
      <c r="BA132" s="7" t="str">
        <f>IF(Table43[[#This Row],[Kode BARANG Win2]]&lt;&gt;"","IDR","")</f>
        <v>IDR</v>
      </c>
      <c r="BB132" s="7" t="str">
        <f>CONCATENATE(Table43[[#This Row],[kode  1 Digit
(Nomor)]],Table43[[#This Row],[kode  4 Digit                (Nomor)]])</f>
        <v>20018</v>
      </c>
      <c r="BC132" s="7" t="str">
        <f>Table43[[#This Row],[Nama            Gramasi atau Jumlah Pack per CTN]]</f>
        <v>18G</v>
      </c>
      <c r="BD132" s="7"/>
      <c r="BE132" s="7"/>
      <c r="BF132" s="4" t="str">
        <f>IF(Table43[[#This Row],[SATUAN Fix Win]]&lt;&gt;"","KRT")</f>
        <v>KRT</v>
      </c>
      <c r="BG132" s="4" t="str">
        <f>IF(Table43[[#This Row],[SATUAN Fix Win]]&lt;&gt;"","GD01")</f>
        <v>GD01</v>
      </c>
      <c r="BH132" s="4">
        <f>IF(Table43[[#This Row],[SATUAN Fix Win]]&lt;&gt;"",11611)</f>
        <v>11611</v>
      </c>
      <c r="BI132" s="4">
        <f>IF(Table43[[#This Row],[SATUAN Fix Win]]&lt;&gt;"",11612)</f>
        <v>11612</v>
      </c>
      <c r="BJ132" s="48"/>
      <c r="BK132" s="4">
        <f>IF(Table43[[#This Row],[SATUAN Fix Win]]&lt;&gt;"",1)</f>
        <v>1</v>
      </c>
    </row>
    <row r="133" spans="1:63">
      <c r="A133" s="4" t="str">
        <f>CONCATENATE(Table43[[#This Row],[Kode BARANG Win2]],Table43[[#This Row],[No. Urut
Item Sama]])</f>
        <v>K10810020120201</v>
      </c>
      <c r="B133" s="7">
        <v>1</v>
      </c>
      <c r="D133" s="28" t="s">
        <v>494</v>
      </c>
      <c r="E133" s="28"/>
      <c r="F133" s="28" t="s">
        <v>2959</v>
      </c>
      <c r="G133" s="78">
        <v>36</v>
      </c>
      <c r="H133" s="43"/>
      <c r="I133" s="28" t="str">
        <f>Table43[[#This Row],[Nama Jenis Kemasan]]</f>
        <v>TUBE</v>
      </c>
      <c r="J133" s="4" t="str">
        <f>TRIM(CONCATENATE(Table43[[#This Row],[Nama            KLP]]," ",Table43[[#This Row],[Nama            Sub KLP]]))</f>
        <v>ELLIPS H.MASK KERATIN</v>
      </c>
      <c r="K133" s="4" t="str">
        <f>CONCATENATE(Table43[[#This Row],[kode  2 Digit                (hrf+No)]],Table43[[#This Row],[kode  2 Digit                (Nomor)]],Table43[[#This Row],[kode  1 Digit                (Nomor)]])</f>
        <v>K1081</v>
      </c>
      <c r="L133" s="4" t="str">
        <f t="shared" si="3"/>
        <v>K1081002012020</v>
      </c>
      <c r="M133" s="11">
        <f t="shared" si="4"/>
        <v>14</v>
      </c>
      <c r="N133" s="14" t="str">
        <f>IF(AF133&lt;&gt;"",TRIM(UPPER(CONCATENATE(P133," ",R133," ",T133," ",V133," ",X133," ",Z133," ","X"," ",Table43[[#This Row],[ISI/CTN]]," ",AF133," ",AB133," ",AD133," ",AH133))),TRIM(UPPER(CONCATENATE(P133," ",R133," ",T133," ",V133," ",X133," ",Z133," ","X"," ",Table43[[#This Row],[ISI/CTN]]," ",AB133," ",AD133," ",AH133))))</f>
        <v>KNF ELLIPS H.MASK KERATIN SILKY BLACK 120G X 36 TUBE</v>
      </c>
      <c r="O133" s="11">
        <f>LEN(N133)</f>
        <v>52</v>
      </c>
      <c r="P133" s="4" t="s">
        <v>97</v>
      </c>
      <c r="Q133" s="7" t="s">
        <v>98</v>
      </c>
      <c r="R133" s="4" t="s">
        <v>3658</v>
      </c>
      <c r="S133" s="44" t="s">
        <v>2478</v>
      </c>
      <c r="T133" s="45" t="s">
        <v>3662</v>
      </c>
      <c r="U133" s="7" t="s">
        <v>2656</v>
      </c>
      <c r="V133" s="45" t="s">
        <v>2961</v>
      </c>
      <c r="W133" s="44" t="s">
        <v>2900</v>
      </c>
      <c r="X133" s="4" t="s">
        <v>3666</v>
      </c>
      <c r="Y133" s="46" t="s">
        <v>2472</v>
      </c>
      <c r="Z133" s="4" t="s">
        <v>3665</v>
      </c>
      <c r="AA133" s="46" t="s">
        <v>1025</v>
      </c>
      <c r="AB133" s="4" t="s">
        <v>1021</v>
      </c>
      <c r="AC133" s="7" t="s">
        <v>3562</v>
      </c>
      <c r="AD133" s="4" t="s">
        <v>2961</v>
      </c>
      <c r="AE133" s="7" t="s">
        <v>2900</v>
      </c>
      <c r="AF133" s="7" t="s">
        <v>2961</v>
      </c>
      <c r="AG133" s="7" t="s">
        <v>2961</v>
      </c>
      <c r="AI133" s="7" t="s">
        <v>2463</v>
      </c>
      <c r="AJ133" s="7" t="s">
        <v>3562</v>
      </c>
      <c r="AK133" s="41">
        <f>Table43[[#This Row],[Harga Jual Pcs GT
(-PPN)]]-(Table43[[#This Row],[Harga Jual Pcs GT
(-PPN)]]*10%)</f>
        <v>0</v>
      </c>
      <c r="AL133" s="42">
        <f>Table43[[#This Row],[Harga Beli Pcs
(-PPN)]]*Table43[[#This Row],[ISI/CTN]]</f>
        <v>0</v>
      </c>
      <c r="AM133" s="42">
        <f>Table43[[#This Row],[Harga Beli Pcs
(-PPN)]]*1.11</f>
        <v>0</v>
      </c>
      <c r="AN133" s="42">
        <f>Table43[[#This Row],[Harga Beli Krt
(- PPN)]]*1.11</f>
        <v>0</v>
      </c>
      <c r="AO133" s="42"/>
      <c r="AP133" s="42">
        <f>Table43[[#This Row],[Harga Jual Pcs GT
(-PPN)]]*Table43[[#This Row],[ISI/CTN]]</f>
        <v>0</v>
      </c>
      <c r="AQ133" s="42">
        <f>Table43[[#This Row],[Harga Jual Pcs GT
(-PPN)]]*1.11</f>
        <v>0</v>
      </c>
      <c r="AR133" s="42">
        <f>Table43[[#This Row],[Harga Jual Krt GT
(- PPN)]]*1.11</f>
        <v>0</v>
      </c>
      <c r="AS133" s="42">
        <f>Table43[[#This Row],[Harga Jual Pcs GT
(-PPN)]]</f>
        <v>0</v>
      </c>
      <c r="AT133" s="42">
        <f>(Table43[[#This Row],[Harga Jual Pcs MT
(-PPN)]]*Table43[[#This Row],[ISI/CTN]])</f>
        <v>0</v>
      </c>
      <c r="AU133" s="42">
        <f>Table43[[#This Row],[Harga Jual Pcs MT
(-PPN)]]*1.11</f>
        <v>0</v>
      </c>
      <c r="AV133" s="42">
        <f>Table43[[#This Row],[Harga Jual Pcs MT
(+PPN)]]*Table43[[#This Row],[ISI/CTN]]</f>
        <v>0</v>
      </c>
      <c r="AW133" s="47"/>
      <c r="AX133" s="7"/>
      <c r="AY133" s="7" t="str">
        <f ca="1">IF(TODAY()-Table43[[#This Row],[Efektif
Pembuatan]]&gt;60,"Lama","Baru")</f>
        <v>Lama</v>
      </c>
      <c r="AZ133" s="7" t="str">
        <f ca="1">IF(TODAY()-Table43[[#This Row],[Efektif Naik Harga]]&lt;30,"Naik","Sama")</f>
        <v>Sama</v>
      </c>
      <c r="BA133" s="7" t="str">
        <f>IF(Table43[[#This Row],[Kode BARANG Win2]]&lt;&gt;"","IDR","")</f>
        <v>IDR</v>
      </c>
      <c r="BB133" s="7" t="str">
        <f>CONCATENATE(Table43[[#This Row],[kode  1 Digit
(Nomor)]],Table43[[#This Row],[kode  4 Digit                (Nomor)]])</f>
        <v>20120</v>
      </c>
      <c r="BC133" s="7" t="str">
        <f>Table43[[#This Row],[Nama            Gramasi atau Jumlah Pack per CTN]]</f>
        <v>120G</v>
      </c>
      <c r="BD133" s="7"/>
      <c r="BE133" s="7"/>
      <c r="BF133" s="4" t="str">
        <f>IF(Table43[[#This Row],[SATUAN Fix Win]]&lt;&gt;"","KRT")</f>
        <v>KRT</v>
      </c>
      <c r="BG133" s="4" t="str">
        <f>IF(Table43[[#This Row],[SATUAN Fix Win]]&lt;&gt;"","GD01")</f>
        <v>GD01</v>
      </c>
      <c r="BH133" s="4">
        <f>IF(Table43[[#This Row],[SATUAN Fix Win]]&lt;&gt;"",11611)</f>
        <v>11611</v>
      </c>
      <c r="BI133" s="4">
        <f>IF(Table43[[#This Row],[SATUAN Fix Win]]&lt;&gt;"",11612)</f>
        <v>11612</v>
      </c>
      <c r="BJ133" s="48"/>
      <c r="BK133" s="4">
        <f>IF(Table43[[#This Row],[SATUAN Fix Win]]&lt;&gt;"",1)</f>
        <v>1</v>
      </c>
    </row>
    <row r="134" spans="1:63">
      <c r="A134" s="4" t="str">
        <f>CONCATENATE(Table43[[#This Row],[Kode BARANG Win2]],Table43[[#This Row],[No. Urut
Item Sama]])</f>
        <v>K10810030018111</v>
      </c>
      <c r="B134" s="7">
        <v>1</v>
      </c>
      <c r="D134" s="28" t="s">
        <v>491</v>
      </c>
      <c r="E134" s="28"/>
      <c r="F134" s="28" t="s">
        <v>2960</v>
      </c>
      <c r="G134" s="78">
        <v>72</v>
      </c>
      <c r="H134" s="43"/>
      <c r="I134" s="28" t="str">
        <f>Table43[[#This Row],[Nama Jenis Kemasan]]</f>
        <v>SCH</v>
      </c>
      <c r="J134" s="4" t="str">
        <f>TRIM(CONCATENATE(Table43[[#This Row],[Nama            KLP]]," ",Table43[[#This Row],[Nama            Sub KLP]]))</f>
        <v>ELLIPS H.MASK KERATIN</v>
      </c>
      <c r="K134" s="4" t="str">
        <f>CONCATENATE(Table43[[#This Row],[kode  2 Digit                (hrf+No)]],Table43[[#This Row],[kode  2 Digit                (Nomor)]],Table43[[#This Row],[kode  1 Digit                (Nomor)]])</f>
        <v>K1081</v>
      </c>
      <c r="L134" s="4" t="str">
        <f t="shared" si="3"/>
        <v>K1081003001811</v>
      </c>
      <c r="M134" s="11">
        <f t="shared" si="4"/>
        <v>14</v>
      </c>
      <c r="N134" s="14" t="str">
        <f>IF(AF134&lt;&gt;"",TRIM(UPPER(CONCATENATE(P134," ",R134," ",T134," ",V134," ",X134," ",Z134," ","X"," ",Table43[[#This Row],[ISI/CTN]]," ",AF134," ",AB134," ",AD134," ",AH134))),TRIM(UPPER(CONCATENATE(P134," ",R134," ",T134," ",V134," ",X134," ",Z134," ","X"," ",Table43[[#This Row],[ISI/CTN]]," ",AB134," ",AD134," ",AH134))))</f>
        <v>KNF ELLIPS H.MASK KERATIN SMOOTH&amp;SLKY 18G X 72 SACHET SCH</v>
      </c>
      <c r="O134" s="11">
        <f t="shared" si="5"/>
        <v>57</v>
      </c>
      <c r="P134" s="4" t="s">
        <v>97</v>
      </c>
      <c r="Q134" s="7" t="s">
        <v>98</v>
      </c>
      <c r="R134" s="4" t="s">
        <v>3658</v>
      </c>
      <c r="S134" s="44" t="s">
        <v>2478</v>
      </c>
      <c r="T134" s="45" t="s">
        <v>3662</v>
      </c>
      <c r="U134" s="7" t="s">
        <v>2656</v>
      </c>
      <c r="V134" s="45" t="s">
        <v>2961</v>
      </c>
      <c r="W134" s="44" t="s">
        <v>2900</v>
      </c>
      <c r="X134" s="4" t="s">
        <v>3667</v>
      </c>
      <c r="Y134" s="46" t="s">
        <v>2473</v>
      </c>
      <c r="Z134" s="4" t="s">
        <v>3664</v>
      </c>
      <c r="AA134" s="46" t="s">
        <v>2493</v>
      </c>
      <c r="AB134" s="4" t="s">
        <v>1022</v>
      </c>
      <c r="AC134" s="7" t="s">
        <v>2656</v>
      </c>
      <c r="AD134" s="4" t="s">
        <v>2961</v>
      </c>
      <c r="AE134" s="7" t="s">
        <v>2900</v>
      </c>
      <c r="AF134" s="7" t="s">
        <v>149</v>
      </c>
      <c r="AG134" s="7" t="s">
        <v>2656</v>
      </c>
      <c r="AI134" s="7" t="s">
        <v>2463</v>
      </c>
      <c r="AJ134" s="7" t="s">
        <v>3562</v>
      </c>
      <c r="AK134" s="41">
        <f>Table43[[#This Row],[Harga Jual Pcs GT
(-PPN)]]-(Table43[[#This Row],[Harga Jual Pcs GT
(-PPN)]]*10%)</f>
        <v>0</v>
      </c>
      <c r="AL134" s="42">
        <f>Table43[[#This Row],[Harga Beli Pcs
(-PPN)]]*Table43[[#This Row],[ISI/CTN]]</f>
        <v>0</v>
      </c>
      <c r="AM134" s="42">
        <f>Table43[[#This Row],[Harga Beli Pcs
(-PPN)]]*1.11</f>
        <v>0</v>
      </c>
      <c r="AN134" s="42">
        <f>Table43[[#This Row],[Harga Beli Krt
(- PPN)]]*1.11</f>
        <v>0</v>
      </c>
      <c r="AO134" s="42"/>
      <c r="AP134" s="42">
        <f>Table43[[#This Row],[Harga Jual Pcs GT
(-PPN)]]*Table43[[#This Row],[ISI/CTN]]</f>
        <v>0</v>
      </c>
      <c r="AQ134" s="42">
        <f>Table43[[#This Row],[Harga Jual Pcs GT
(-PPN)]]*1.11</f>
        <v>0</v>
      </c>
      <c r="AR134" s="42">
        <f>Table43[[#This Row],[Harga Jual Krt GT
(- PPN)]]*1.11</f>
        <v>0</v>
      </c>
      <c r="AS134" s="42">
        <f>Table43[[#This Row],[Harga Jual Pcs GT
(-PPN)]]</f>
        <v>0</v>
      </c>
      <c r="AT134" s="42">
        <f>(Table43[[#This Row],[Harga Jual Pcs MT
(-PPN)]]*Table43[[#This Row],[ISI/CTN]])</f>
        <v>0</v>
      </c>
      <c r="AU134" s="42">
        <f>Table43[[#This Row],[Harga Jual Pcs MT
(-PPN)]]*1.11</f>
        <v>0</v>
      </c>
      <c r="AV134" s="42">
        <f>Table43[[#This Row],[Harga Jual Pcs MT
(+PPN)]]*Table43[[#This Row],[ISI/CTN]]</f>
        <v>0</v>
      </c>
      <c r="AW134" s="47"/>
      <c r="AX134" s="7"/>
      <c r="AY134" s="7" t="str">
        <f ca="1">IF(TODAY()-Table43[[#This Row],[Efektif
Pembuatan]]&gt;60,"Lama","Baru")</f>
        <v>Lama</v>
      </c>
      <c r="AZ134" s="7" t="str">
        <f ca="1">IF(TODAY()-Table43[[#This Row],[Efektif Naik Harga]]&lt;30,"Naik","Sama")</f>
        <v>Sama</v>
      </c>
      <c r="BA134" s="7" t="str">
        <f>IF(Table43[[#This Row],[Kode BARANG Win2]]&lt;&gt;"","IDR","")</f>
        <v>IDR</v>
      </c>
      <c r="BB134" s="7" t="str">
        <f>CONCATENATE(Table43[[#This Row],[kode  1 Digit
(Nomor)]],Table43[[#This Row],[kode  4 Digit                (Nomor)]])</f>
        <v>20018</v>
      </c>
      <c r="BC134" s="7" t="str">
        <f>Table43[[#This Row],[Nama            Gramasi atau Jumlah Pack per CTN]]</f>
        <v>18G</v>
      </c>
      <c r="BD134" s="7"/>
      <c r="BE134" s="7"/>
      <c r="BF134" s="4" t="str">
        <f>IF(Table43[[#This Row],[SATUAN Fix Win]]&lt;&gt;"","KRT")</f>
        <v>KRT</v>
      </c>
      <c r="BG134" s="4" t="str">
        <f>IF(Table43[[#This Row],[SATUAN Fix Win]]&lt;&gt;"","GD01")</f>
        <v>GD01</v>
      </c>
      <c r="BH134" s="4">
        <f>IF(Table43[[#This Row],[SATUAN Fix Win]]&lt;&gt;"",11611)</f>
        <v>11611</v>
      </c>
      <c r="BI134" s="4">
        <f>IF(Table43[[#This Row],[SATUAN Fix Win]]&lt;&gt;"",11612)</f>
        <v>11612</v>
      </c>
      <c r="BJ134" s="48"/>
      <c r="BK134" s="4">
        <f>IF(Table43[[#This Row],[SATUAN Fix Win]]&lt;&gt;"",1)</f>
        <v>1</v>
      </c>
    </row>
    <row r="135" spans="1:63">
      <c r="A135" s="4" t="str">
        <f>CONCATENATE(Table43[[#This Row],[Kode BARANG Win2]],Table43[[#This Row],[No. Urut
Item Sama]])</f>
        <v>K10810030120201</v>
      </c>
      <c r="B135" s="7">
        <v>1</v>
      </c>
      <c r="D135" s="28" t="s">
        <v>492</v>
      </c>
      <c r="E135" s="28"/>
      <c r="F135" s="28" t="s">
        <v>2962</v>
      </c>
      <c r="G135" s="78">
        <v>36</v>
      </c>
      <c r="H135" s="43"/>
      <c r="I135" s="28" t="str">
        <f>Table43[[#This Row],[Nama Jenis Kemasan]]</f>
        <v>TUBE</v>
      </c>
      <c r="J135" s="4" t="str">
        <f>TRIM(CONCATENATE(Table43[[#This Row],[Nama            KLP]]," ",Table43[[#This Row],[Nama            Sub KLP]]))</f>
        <v>ELLIPS H.MASK KERATIN</v>
      </c>
      <c r="K135" s="4" t="str">
        <f>CONCATENATE(Table43[[#This Row],[kode  2 Digit                (hrf+No)]],Table43[[#This Row],[kode  2 Digit                (Nomor)]],Table43[[#This Row],[kode  1 Digit                (Nomor)]])</f>
        <v>K1081</v>
      </c>
      <c r="L135" s="4" t="str">
        <f t="shared" si="3"/>
        <v>K1081003012020</v>
      </c>
      <c r="M135" s="11">
        <f t="shared" si="4"/>
        <v>14</v>
      </c>
      <c r="N135" s="14" t="str">
        <f>IF(AF135&lt;&gt;"",TRIM(UPPER(CONCATENATE(P135," ",R135," ",T135," ",V135," ",X135," ",Z135," ","X"," ",Table43[[#This Row],[ISI/CTN]]," ",AF135," ",AB135," ",AD135," ",AH135))),TRIM(UPPER(CONCATENATE(P135," ",R135," ",T135," ",V135," ",X135," ",Z135," ","X"," ",Table43[[#This Row],[ISI/CTN]]," ",AB135," ",AD135," ",AH135))))</f>
        <v>KNF ELLIPS H.MASK KERATIN SMOOTH&amp;SLKY 120G X 36 TUBE</v>
      </c>
      <c r="O135" s="11">
        <f t="shared" si="5"/>
        <v>52</v>
      </c>
      <c r="P135" s="4" t="s">
        <v>97</v>
      </c>
      <c r="Q135" s="7" t="s">
        <v>98</v>
      </c>
      <c r="R135" s="4" t="s">
        <v>3658</v>
      </c>
      <c r="S135" s="44" t="s">
        <v>2478</v>
      </c>
      <c r="T135" s="45" t="s">
        <v>3662</v>
      </c>
      <c r="U135" s="7" t="s">
        <v>2656</v>
      </c>
      <c r="V135" s="45" t="s">
        <v>2961</v>
      </c>
      <c r="W135" s="44" t="s">
        <v>2900</v>
      </c>
      <c r="X135" s="4" t="s">
        <v>3667</v>
      </c>
      <c r="Y135" s="46" t="s">
        <v>2473</v>
      </c>
      <c r="Z135" s="4" t="s">
        <v>3665</v>
      </c>
      <c r="AA135" s="46" t="s">
        <v>1025</v>
      </c>
      <c r="AB135" s="4" t="s">
        <v>1021</v>
      </c>
      <c r="AC135" s="7" t="s">
        <v>3562</v>
      </c>
      <c r="AD135" s="4" t="s">
        <v>2961</v>
      </c>
      <c r="AE135" s="7" t="s">
        <v>2900</v>
      </c>
      <c r="AF135" s="7" t="s">
        <v>2961</v>
      </c>
      <c r="AG135" s="7" t="s">
        <v>2961</v>
      </c>
      <c r="AI135" s="7" t="s">
        <v>2463</v>
      </c>
      <c r="AJ135" s="7" t="s">
        <v>3562</v>
      </c>
      <c r="AK135" s="41">
        <f>Table43[[#This Row],[Harga Jual Pcs GT
(-PPN)]]-(Table43[[#This Row],[Harga Jual Pcs GT
(-PPN)]]*10%)</f>
        <v>0</v>
      </c>
      <c r="AL135" s="42">
        <f>Table43[[#This Row],[Harga Beli Pcs
(-PPN)]]*Table43[[#This Row],[ISI/CTN]]</f>
        <v>0</v>
      </c>
      <c r="AM135" s="42">
        <f>Table43[[#This Row],[Harga Beli Pcs
(-PPN)]]*1.11</f>
        <v>0</v>
      </c>
      <c r="AN135" s="42">
        <f>Table43[[#This Row],[Harga Beli Krt
(- PPN)]]*1.11</f>
        <v>0</v>
      </c>
      <c r="AO135" s="42"/>
      <c r="AP135" s="42">
        <f>Table43[[#This Row],[Harga Jual Pcs GT
(-PPN)]]*Table43[[#This Row],[ISI/CTN]]</f>
        <v>0</v>
      </c>
      <c r="AQ135" s="42">
        <f>Table43[[#This Row],[Harga Jual Pcs GT
(-PPN)]]*1.11</f>
        <v>0</v>
      </c>
      <c r="AR135" s="42">
        <f>Table43[[#This Row],[Harga Jual Krt GT
(- PPN)]]*1.11</f>
        <v>0</v>
      </c>
      <c r="AS135" s="42">
        <f>Table43[[#This Row],[Harga Jual Pcs GT
(-PPN)]]</f>
        <v>0</v>
      </c>
      <c r="AT135" s="42">
        <f>(Table43[[#This Row],[Harga Jual Pcs MT
(-PPN)]]*Table43[[#This Row],[ISI/CTN]])</f>
        <v>0</v>
      </c>
      <c r="AU135" s="42">
        <f>Table43[[#This Row],[Harga Jual Pcs MT
(-PPN)]]*1.11</f>
        <v>0</v>
      </c>
      <c r="AV135" s="42">
        <f>Table43[[#This Row],[Harga Jual Pcs MT
(+PPN)]]*Table43[[#This Row],[ISI/CTN]]</f>
        <v>0</v>
      </c>
      <c r="AW135" s="47"/>
      <c r="AX135" s="7"/>
      <c r="AY135" s="7" t="str">
        <f ca="1">IF(TODAY()-Table43[[#This Row],[Efektif
Pembuatan]]&gt;60,"Lama","Baru")</f>
        <v>Lama</v>
      </c>
      <c r="AZ135" s="7" t="str">
        <f ca="1">IF(TODAY()-Table43[[#This Row],[Efektif Naik Harga]]&lt;30,"Naik","Sama")</f>
        <v>Sama</v>
      </c>
      <c r="BA135" s="7" t="str">
        <f>IF(Table43[[#This Row],[Kode BARANG Win2]]&lt;&gt;"","IDR","")</f>
        <v>IDR</v>
      </c>
      <c r="BB135" s="7" t="str">
        <f>CONCATENATE(Table43[[#This Row],[kode  1 Digit
(Nomor)]],Table43[[#This Row],[kode  4 Digit                (Nomor)]])</f>
        <v>20120</v>
      </c>
      <c r="BC135" s="7" t="str">
        <f>Table43[[#This Row],[Nama            Gramasi atau Jumlah Pack per CTN]]</f>
        <v>120G</v>
      </c>
      <c r="BD135" s="7"/>
      <c r="BE135" s="7"/>
      <c r="BF135" s="4" t="str">
        <f>IF(Table43[[#This Row],[SATUAN Fix Win]]&lt;&gt;"","KRT")</f>
        <v>KRT</v>
      </c>
      <c r="BG135" s="4" t="str">
        <f>IF(Table43[[#This Row],[SATUAN Fix Win]]&lt;&gt;"","GD01")</f>
        <v>GD01</v>
      </c>
      <c r="BH135" s="4">
        <f>IF(Table43[[#This Row],[SATUAN Fix Win]]&lt;&gt;"",11611)</f>
        <v>11611</v>
      </c>
      <c r="BI135" s="4">
        <f>IF(Table43[[#This Row],[SATUAN Fix Win]]&lt;&gt;"",11612)</f>
        <v>11612</v>
      </c>
      <c r="BJ135" s="48"/>
      <c r="BK135" s="4">
        <f>IF(Table43[[#This Row],[SATUAN Fix Win]]&lt;&gt;"",1)</f>
        <v>1</v>
      </c>
    </row>
    <row r="136" spans="1:63">
      <c r="A136" s="4" t="str">
        <f>CONCATENATE(Table43[[#This Row],[Kode BARANG Win2]],Table43[[#This Row],[No. Urut
Item Sama]])</f>
        <v>K10820010012111</v>
      </c>
      <c r="B136" s="7">
        <v>1</v>
      </c>
      <c r="D136" s="28" t="s">
        <v>495</v>
      </c>
      <c r="E136" s="28"/>
      <c r="F136" s="28" t="s">
        <v>2963</v>
      </c>
      <c r="G136" s="78">
        <v>144</v>
      </c>
      <c r="H136" s="43"/>
      <c r="I136" s="28" t="str">
        <f>Table43[[#This Row],[Nama Jenis Kemasan]]</f>
        <v>SCH</v>
      </c>
      <c r="J136" s="4" t="str">
        <f>TRIM(CONCATENATE(Table43[[#This Row],[Nama            KLP]]," ",Table43[[#This Row],[Nama            Sub KLP]]))</f>
        <v>ELLIPS H.MASK MOROCCAN</v>
      </c>
      <c r="K136" s="4" t="str">
        <f>CONCATENATE(Table43[[#This Row],[kode  2 Digit                (hrf+No)]],Table43[[#This Row],[kode  2 Digit                (Nomor)]],Table43[[#This Row],[kode  1 Digit                (Nomor)]])</f>
        <v>K1082</v>
      </c>
      <c r="L136" s="4" t="str">
        <f t="shared" si="3"/>
        <v>K1082001001211</v>
      </c>
      <c r="M136" s="11">
        <f t="shared" si="4"/>
        <v>14</v>
      </c>
      <c r="N136" s="14" t="str">
        <f>IF(AF136&lt;&gt;"",TRIM(UPPER(CONCATENATE(P136," ",R136," ",T136," ",V136," ",X136," ",Z136," ","X"," ",Table43[[#This Row],[ISI/CTN]]," ",AF136," ",AB136," ",AD136," ",AH136))),TRIM(UPPER(CONCATENATE(P136," ",R136," ",T136," ",V136," ",X136," ",Z136," ","X"," ",Table43[[#This Row],[ISI/CTN]]," ",AB136," ",AD136," ",AH136))))</f>
        <v>KNF ELLIPS H.MASK MOROCCAN H.TREATMENT 12G X 144 SACHET SCH</v>
      </c>
      <c r="O136" s="11">
        <f t="shared" si="5"/>
        <v>59</v>
      </c>
      <c r="P136" s="4" t="s">
        <v>97</v>
      </c>
      <c r="Q136" s="7" t="s">
        <v>98</v>
      </c>
      <c r="R136" s="4" t="s">
        <v>3658</v>
      </c>
      <c r="S136" s="44" t="s">
        <v>2478</v>
      </c>
      <c r="T136" s="45" t="s">
        <v>3668</v>
      </c>
      <c r="U136" s="7" t="s">
        <v>3562</v>
      </c>
      <c r="V136" s="45" t="s">
        <v>2961</v>
      </c>
      <c r="W136" s="44" t="s">
        <v>2900</v>
      </c>
      <c r="X136" s="4" t="s">
        <v>3669</v>
      </c>
      <c r="Y136" s="46" t="s">
        <v>0</v>
      </c>
      <c r="Z136" s="4" t="s">
        <v>3670</v>
      </c>
      <c r="AA136" s="46" t="s">
        <v>2494</v>
      </c>
      <c r="AB136" s="4" t="s">
        <v>1022</v>
      </c>
      <c r="AC136" s="7" t="s">
        <v>2656</v>
      </c>
      <c r="AD136" s="4" t="s">
        <v>2961</v>
      </c>
      <c r="AE136" s="7" t="s">
        <v>2900</v>
      </c>
      <c r="AF136" s="7" t="s">
        <v>149</v>
      </c>
      <c r="AG136" s="7" t="s">
        <v>2656</v>
      </c>
      <c r="AI136" s="7" t="s">
        <v>2463</v>
      </c>
      <c r="AJ136" s="7" t="s">
        <v>3562</v>
      </c>
      <c r="AK136" s="41">
        <f>Table43[[#This Row],[Harga Jual Pcs GT
(-PPN)]]-(Table43[[#This Row],[Harga Jual Pcs GT
(-PPN)]]*10%)</f>
        <v>0</v>
      </c>
      <c r="AL136" s="42">
        <f>Table43[[#This Row],[Harga Beli Pcs
(-PPN)]]*Table43[[#This Row],[ISI/CTN]]</f>
        <v>0</v>
      </c>
      <c r="AM136" s="42">
        <f>Table43[[#This Row],[Harga Beli Pcs
(-PPN)]]*1.11</f>
        <v>0</v>
      </c>
      <c r="AN136" s="42">
        <f>Table43[[#This Row],[Harga Beli Krt
(- PPN)]]*1.11</f>
        <v>0</v>
      </c>
      <c r="AO136" s="42"/>
      <c r="AP136" s="42">
        <f>Table43[[#This Row],[Harga Jual Pcs GT
(-PPN)]]*Table43[[#This Row],[ISI/CTN]]</f>
        <v>0</v>
      </c>
      <c r="AQ136" s="42">
        <f>Table43[[#This Row],[Harga Jual Pcs GT
(-PPN)]]*1.11</f>
        <v>0</v>
      </c>
      <c r="AR136" s="42">
        <f>Table43[[#This Row],[Harga Jual Krt GT
(- PPN)]]*1.11</f>
        <v>0</v>
      </c>
      <c r="AS136" s="42">
        <f>Table43[[#This Row],[Harga Jual Pcs GT
(-PPN)]]</f>
        <v>0</v>
      </c>
      <c r="AT136" s="42">
        <f>(Table43[[#This Row],[Harga Jual Pcs MT
(-PPN)]]*Table43[[#This Row],[ISI/CTN]])</f>
        <v>0</v>
      </c>
      <c r="AU136" s="42">
        <f>Table43[[#This Row],[Harga Jual Pcs MT
(-PPN)]]*1.11</f>
        <v>0</v>
      </c>
      <c r="AV136" s="42">
        <f>Table43[[#This Row],[Harga Jual Pcs MT
(+PPN)]]*Table43[[#This Row],[ISI/CTN]]</f>
        <v>0</v>
      </c>
      <c r="AW136" s="47"/>
      <c r="AX136" s="7"/>
      <c r="AY136" s="7" t="str">
        <f ca="1">IF(TODAY()-Table43[[#This Row],[Efektif
Pembuatan]]&gt;60,"Lama","Baru")</f>
        <v>Lama</v>
      </c>
      <c r="AZ136" s="7" t="str">
        <f ca="1">IF(TODAY()-Table43[[#This Row],[Efektif Naik Harga]]&lt;30,"Naik","Sama")</f>
        <v>Sama</v>
      </c>
      <c r="BA136" s="7" t="str">
        <f>IF(Table43[[#This Row],[Kode BARANG Win2]]&lt;&gt;"","IDR","")</f>
        <v>IDR</v>
      </c>
      <c r="BB136" s="7" t="str">
        <f>CONCATENATE(Table43[[#This Row],[kode  1 Digit
(Nomor)]],Table43[[#This Row],[kode  4 Digit                (Nomor)]])</f>
        <v>20012</v>
      </c>
      <c r="BC136" s="7" t="str">
        <f>Table43[[#This Row],[Nama            Gramasi atau Jumlah Pack per CTN]]</f>
        <v>12G</v>
      </c>
      <c r="BD136" s="7"/>
      <c r="BE136" s="7"/>
      <c r="BF136" s="4" t="str">
        <f>IF(Table43[[#This Row],[SATUAN Fix Win]]&lt;&gt;"","KRT")</f>
        <v>KRT</v>
      </c>
      <c r="BG136" s="4" t="str">
        <f>IF(Table43[[#This Row],[SATUAN Fix Win]]&lt;&gt;"","GD01")</f>
        <v>GD01</v>
      </c>
      <c r="BH136" s="4">
        <f>IF(Table43[[#This Row],[SATUAN Fix Win]]&lt;&gt;"",11611)</f>
        <v>11611</v>
      </c>
      <c r="BI136" s="4">
        <f>IF(Table43[[#This Row],[SATUAN Fix Win]]&lt;&gt;"",11612)</f>
        <v>11612</v>
      </c>
      <c r="BJ136" s="48"/>
      <c r="BK136" s="4">
        <f>IF(Table43[[#This Row],[SATUAN Fix Win]]&lt;&gt;"",1)</f>
        <v>1</v>
      </c>
    </row>
    <row r="137" spans="1:63">
      <c r="A137" s="4" t="str">
        <f>CONCATENATE(Table43[[#This Row],[Kode BARANG Win2]],Table43[[#This Row],[No. Urut
Item Sama]])</f>
        <v>K10820010020111</v>
      </c>
      <c r="B137" s="7">
        <v>1</v>
      </c>
      <c r="D137" s="28" t="s">
        <v>496</v>
      </c>
      <c r="E137" s="28"/>
      <c r="F137" s="28" t="s">
        <v>2964</v>
      </c>
      <c r="G137" s="78">
        <v>72</v>
      </c>
      <c r="H137" s="43"/>
      <c r="I137" s="28" t="str">
        <f>Table43[[#This Row],[Nama Jenis Kemasan]]</f>
        <v>SCH</v>
      </c>
      <c r="J137" s="4" t="str">
        <f>TRIM(CONCATENATE(Table43[[#This Row],[Nama            KLP]]," ",Table43[[#This Row],[Nama            Sub KLP]]))</f>
        <v>ELLIPS H.MASK MOROCCAN</v>
      </c>
      <c r="K137" s="4" t="str">
        <f>CONCATENATE(Table43[[#This Row],[kode  2 Digit                (hrf+No)]],Table43[[#This Row],[kode  2 Digit                (Nomor)]],Table43[[#This Row],[kode  1 Digit                (Nomor)]])</f>
        <v>K1082</v>
      </c>
      <c r="L137" s="4" t="str">
        <f t="shared" si="3"/>
        <v>K1082001002011</v>
      </c>
      <c r="M137" s="11">
        <f t="shared" si="4"/>
        <v>14</v>
      </c>
      <c r="N137" s="14" t="str">
        <f>IF(AF137&lt;&gt;"",TRIM(UPPER(CONCATENATE(P137," ",R137," ",T137," ",V137," ",X137," ",Z137," ","X"," ",Table43[[#This Row],[ISI/CTN]]," ",AF137," ",AB137," ",AD137," ",AH137))),TRIM(UPPER(CONCATENATE(P137," ",R137," ",T137," ",V137," ",X137," ",Z137," ","X"," ",Table43[[#This Row],[ISI/CTN]]," ",AB137," ",AD137," ",AH137))))</f>
        <v>KNF ELLIPS H.MASK MOROCCAN H.TREATMENT 20G X 72 SACHET SCH</v>
      </c>
      <c r="O137" s="11">
        <f t="shared" si="5"/>
        <v>58</v>
      </c>
      <c r="P137" s="4" t="s">
        <v>97</v>
      </c>
      <c r="Q137" s="7" t="s">
        <v>98</v>
      </c>
      <c r="R137" s="4" t="s">
        <v>3658</v>
      </c>
      <c r="S137" s="44" t="s">
        <v>2478</v>
      </c>
      <c r="T137" s="45" t="s">
        <v>3668</v>
      </c>
      <c r="U137" s="7" t="s">
        <v>3562</v>
      </c>
      <c r="V137" s="45" t="s">
        <v>2961</v>
      </c>
      <c r="W137" s="44" t="s">
        <v>2900</v>
      </c>
      <c r="X137" s="4" t="s">
        <v>3669</v>
      </c>
      <c r="Y137" s="46" t="s">
        <v>0</v>
      </c>
      <c r="Z137" s="4" t="s">
        <v>3671</v>
      </c>
      <c r="AA137" s="46" t="s">
        <v>2495</v>
      </c>
      <c r="AB137" s="4" t="s">
        <v>1022</v>
      </c>
      <c r="AC137" s="7" t="s">
        <v>2656</v>
      </c>
      <c r="AD137" s="4" t="s">
        <v>2961</v>
      </c>
      <c r="AE137" s="7" t="s">
        <v>2900</v>
      </c>
      <c r="AF137" s="7" t="s">
        <v>149</v>
      </c>
      <c r="AG137" s="7" t="s">
        <v>2656</v>
      </c>
      <c r="AI137" s="7" t="s">
        <v>2463</v>
      </c>
      <c r="AJ137" s="7" t="s">
        <v>3562</v>
      </c>
      <c r="AK137" s="41">
        <f>Table43[[#This Row],[Harga Jual Pcs GT
(-PPN)]]-(Table43[[#This Row],[Harga Jual Pcs GT
(-PPN)]]*10%)</f>
        <v>0</v>
      </c>
      <c r="AL137" s="42">
        <f>Table43[[#This Row],[Harga Beli Pcs
(-PPN)]]*Table43[[#This Row],[ISI/CTN]]</f>
        <v>0</v>
      </c>
      <c r="AM137" s="42">
        <f>Table43[[#This Row],[Harga Beli Pcs
(-PPN)]]*1.11</f>
        <v>0</v>
      </c>
      <c r="AN137" s="42">
        <f>Table43[[#This Row],[Harga Beli Krt
(- PPN)]]*1.11</f>
        <v>0</v>
      </c>
      <c r="AO137" s="42"/>
      <c r="AP137" s="42">
        <f>Table43[[#This Row],[Harga Jual Pcs GT
(-PPN)]]*Table43[[#This Row],[ISI/CTN]]</f>
        <v>0</v>
      </c>
      <c r="AQ137" s="42">
        <f>Table43[[#This Row],[Harga Jual Pcs GT
(-PPN)]]*1.11</f>
        <v>0</v>
      </c>
      <c r="AR137" s="42">
        <f>Table43[[#This Row],[Harga Jual Krt GT
(- PPN)]]*1.11</f>
        <v>0</v>
      </c>
      <c r="AS137" s="42">
        <f>Table43[[#This Row],[Harga Jual Pcs GT
(-PPN)]]</f>
        <v>0</v>
      </c>
      <c r="AT137" s="42">
        <f>(Table43[[#This Row],[Harga Jual Pcs MT
(-PPN)]]*Table43[[#This Row],[ISI/CTN]])</f>
        <v>0</v>
      </c>
      <c r="AU137" s="42">
        <f>Table43[[#This Row],[Harga Jual Pcs MT
(-PPN)]]*1.11</f>
        <v>0</v>
      </c>
      <c r="AV137" s="42">
        <f>Table43[[#This Row],[Harga Jual Pcs MT
(+PPN)]]*Table43[[#This Row],[ISI/CTN]]</f>
        <v>0</v>
      </c>
      <c r="AW137" s="47"/>
      <c r="AX137" s="7"/>
      <c r="AY137" s="7" t="str">
        <f ca="1">IF(TODAY()-Table43[[#This Row],[Efektif
Pembuatan]]&gt;60,"Lama","Baru")</f>
        <v>Lama</v>
      </c>
      <c r="AZ137" s="7" t="str">
        <f ca="1">IF(TODAY()-Table43[[#This Row],[Efektif Naik Harga]]&lt;30,"Naik","Sama")</f>
        <v>Sama</v>
      </c>
      <c r="BA137" s="7" t="str">
        <f>IF(Table43[[#This Row],[Kode BARANG Win2]]&lt;&gt;"","IDR","")</f>
        <v>IDR</v>
      </c>
      <c r="BB137" s="7" t="str">
        <f>CONCATENATE(Table43[[#This Row],[kode  1 Digit
(Nomor)]],Table43[[#This Row],[kode  4 Digit                (Nomor)]])</f>
        <v>20020</v>
      </c>
      <c r="BC137" s="7" t="str">
        <f>Table43[[#This Row],[Nama            Gramasi atau Jumlah Pack per CTN]]</f>
        <v>20G</v>
      </c>
      <c r="BD137" s="7"/>
      <c r="BE137" s="7"/>
      <c r="BF137" s="4" t="str">
        <f>IF(Table43[[#This Row],[SATUAN Fix Win]]&lt;&gt;"","KRT")</f>
        <v>KRT</v>
      </c>
      <c r="BG137" s="4" t="str">
        <f>IF(Table43[[#This Row],[SATUAN Fix Win]]&lt;&gt;"","GD01")</f>
        <v>GD01</v>
      </c>
      <c r="BH137" s="4">
        <f>IF(Table43[[#This Row],[SATUAN Fix Win]]&lt;&gt;"",11611)</f>
        <v>11611</v>
      </c>
      <c r="BI137" s="4">
        <f>IF(Table43[[#This Row],[SATUAN Fix Win]]&lt;&gt;"",11612)</f>
        <v>11612</v>
      </c>
      <c r="BJ137" s="48"/>
      <c r="BK137" s="4">
        <f>IF(Table43[[#This Row],[SATUAN Fix Win]]&lt;&gt;"",1)</f>
        <v>1</v>
      </c>
    </row>
    <row r="138" spans="1:63">
      <c r="A138" s="4" t="str">
        <f>CONCATENATE(Table43[[#This Row],[Kode BARANG Win2]],Table43[[#This Row],[No. Urut
Item Sama]])</f>
        <v>K10820020020111</v>
      </c>
      <c r="B138" s="7">
        <v>1</v>
      </c>
      <c r="D138" s="28" t="s">
        <v>499</v>
      </c>
      <c r="E138" s="28"/>
      <c r="F138" s="28" t="s">
        <v>2966</v>
      </c>
      <c r="G138" s="78">
        <v>72</v>
      </c>
      <c r="H138" s="43"/>
      <c r="I138" s="28" t="str">
        <f>Table43[[#This Row],[Nama Jenis Kemasan]]</f>
        <v>SCH</v>
      </c>
      <c r="J138" s="4" t="str">
        <f>TRIM(CONCATENATE(Table43[[#This Row],[Nama            KLP]]," ",Table43[[#This Row],[Nama            Sub KLP]]))</f>
        <v>ELLIPS H.MASK MOROCCAN</v>
      </c>
      <c r="K138" s="4" t="str">
        <f>CONCATENATE(Table43[[#This Row],[kode  2 Digit                (hrf+No)]],Table43[[#This Row],[kode  2 Digit                (Nomor)]],Table43[[#This Row],[kode  1 Digit                (Nomor)]])</f>
        <v>K1082</v>
      </c>
      <c r="L138" s="4" t="str">
        <f t="shared" si="3"/>
        <v>K1082002002011</v>
      </c>
      <c r="M138" s="11">
        <f t="shared" si="4"/>
        <v>14</v>
      </c>
      <c r="N138" s="14" t="str">
        <f>IF(AF138&lt;&gt;"",TRIM(UPPER(CONCATENATE(P138," ",R138," ",T138," ",V138," ",X138," ",Z138," ","X"," ",Table43[[#This Row],[ISI/CTN]]," ",AF138," ",AB138," ",AD138," ",AH138))),TRIM(UPPER(CONCATENATE(P138," ",R138," ",T138," ",V138," ",X138," ",Z138," ","X"," ",Table43[[#This Row],[ISI/CTN]]," ",AB138," ",AD138," ",AH138))))</f>
        <v>KNF ELLIPS H.MASK MOROCCAN NUTRICOLOR 20G X 72 SACHET SCH</v>
      </c>
      <c r="O138" s="11">
        <f t="shared" si="5"/>
        <v>57</v>
      </c>
      <c r="P138" s="4" t="s">
        <v>97</v>
      </c>
      <c r="Q138" s="7" t="s">
        <v>98</v>
      </c>
      <c r="R138" s="4" t="s">
        <v>3658</v>
      </c>
      <c r="S138" s="44" t="s">
        <v>2478</v>
      </c>
      <c r="T138" s="45" t="s">
        <v>3668</v>
      </c>
      <c r="U138" s="7" t="s">
        <v>3562</v>
      </c>
      <c r="V138" s="45" t="s">
        <v>2961</v>
      </c>
      <c r="W138" s="44" t="s">
        <v>2900</v>
      </c>
      <c r="X138" s="4" t="s">
        <v>3672</v>
      </c>
      <c r="Y138" s="46" t="s">
        <v>2472</v>
      </c>
      <c r="Z138" s="4" t="s">
        <v>3671</v>
      </c>
      <c r="AA138" s="46" t="s">
        <v>2495</v>
      </c>
      <c r="AB138" s="4" t="s">
        <v>1022</v>
      </c>
      <c r="AC138" s="7" t="s">
        <v>2656</v>
      </c>
      <c r="AD138" s="4" t="s">
        <v>2961</v>
      </c>
      <c r="AE138" s="7" t="s">
        <v>2900</v>
      </c>
      <c r="AF138" s="7" t="s">
        <v>149</v>
      </c>
      <c r="AG138" s="7" t="s">
        <v>2656</v>
      </c>
      <c r="AI138" s="7" t="s">
        <v>2463</v>
      </c>
      <c r="AJ138" s="7" t="s">
        <v>3562</v>
      </c>
      <c r="AK138" s="41">
        <f>Table43[[#This Row],[Harga Jual Pcs GT
(-PPN)]]-(Table43[[#This Row],[Harga Jual Pcs GT
(-PPN)]]*10%)</f>
        <v>0</v>
      </c>
      <c r="AL138" s="42">
        <f>Table43[[#This Row],[Harga Beli Pcs
(-PPN)]]*Table43[[#This Row],[ISI/CTN]]</f>
        <v>0</v>
      </c>
      <c r="AM138" s="42">
        <f>Table43[[#This Row],[Harga Beli Pcs
(-PPN)]]*1.11</f>
        <v>0</v>
      </c>
      <c r="AN138" s="42">
        <f>Table43[[#This Row],[Harga Beli Krt
(- PPN)]]*1.11</f>
        <v>0</v>
      </c>
      <c r="AO138" s="42"/>
      <c r="AP138" s="42">
        <f>Table43[[#This Row],[Harga Jual Pcs GT
(-PPN)]]*Table43[[#This Row],[ISI/CTN]]</f>
        <v>0</v>
      </c>
      <c r="AQ138" s="42">
        <f>Table43[[#This Row],[Harga Jual Pcs GT
(-PPN)]]*1.11</f>
        <v>0</v>
      </c>
      <c r="AR138" s="42">
        <f>Table43[[#This Row],[Harga Jual Krt GT
(- PPN)]]*1.11</f>
        <v>0</v>
      </c>
      <c r="AS138" s="42">
        <f>Table43[[#This Row],[Harga Jual Pcs GT
(-PPN)]]</f>
        <v>0</v>
      </c>
      <c r="AT138" s="42">
        <f>(Table43[[#This Row],[Harga Jual Pcs MT
(-PPN)]]*Table43[[#This Row],[ISI/CTN]])</f>
        <v>0</v>
      </c>
      <c r="AU138" s="42">
        <f>Table43[[#This Row],[Harga Jual Pcs MT
(-PPN)]]*1.11</f>
        <v>0</v>
      </c>
      <c r="AV138" s="42">
        <f>Table43[[#This Row],[Harga Jual Pcs MT
(+PPN)]]*Table43[[#This Row],[ISI/CTN]]</f>
        <v>0</v>
      </c>
      <c r="AW138" s="47"/>
      <c r="AX138" s="7"/>
      <c r="AY138" s="7" t="str">
        <f ca="1">IF(TODAY()-Table43[[#This Row],[Efektif
Pembuatan]]&gt;60,"Lama","Baru")</f>
        <v>Lama</v>
      </c>
      <c r="AZ138" s="7" t="str">
        <f ca="1">IF(TODAY()-Table43[[#This Row],[Efektif Naik Harga]]&lt;30,"Naik","Sama")</f>
        <v>Sama</v>
      </c>
      <c r="BA138" s="7" t="str">
        <f>IF(Table43[[#This Row],[Kode BARANG Win2]]&lt;&gt;"","IDR","")</f>
        <v>IDR</v>
      </c>
      <c r="BB138" s="7" t="str">
        <f>CONCATENATE(Table43[[#This Row],[kode  1 Digit
(Nomor)]],Table43[[#This Row],[kode  4 Digit                (Nomor)]])</f>
        <v>20020</v>
      </c>
      <c r="BC138" s="7" t="str">
        <f>Table43[[#This Row],[Nama            Gramasi atau Jumlah Pack per CTN]]</f>
        <v>20G</v>
      </c>
      <c r="BD138" s="7"/>
      <c r="BE138" s="7"/>
      <c r="BF138" s="4" t="str">
        <f>IF(Table43[[#This Row],[SATUAN Fix Win]]&lt;&gt;"","KRT")</f>
        <v>KRT</v>
      </c>
      <c r="BG138" s="4" t="str">
        <f>IF(Table43[[#This Row],[SATUAN Fix Win]]&lt;&gt;"","GD01")</f>
        <v>GD01</v>
      </c>
      <c r="BH138" s="4">
        <f>IF(Table43[[#This Row],[SATUAN Fix Win]]&lt;&gt;"",11611)</f>
        <v>11611</v>
      </c>
      <c r="BI138" s="4">
        <f>IF(Table43[[#This Row],[SATUAN Fix Win]]&lt;&gt;"",11612)</f>
        <v>11612</v>
      </c>
      <c r="BJ138" s="48"/>
      <c r="BK138" s="4">
        <f>IF(Table43[[#This Row],[SATUAN Fix Win]]&lt;&gt;"",1)</f>
        <v>1</v>
      </c>
    </row>
    <row r="139" spans="1:63">
      <c r="A139" s="4" t="str">
        <f>CONCATENATE(Table43[[#This Row],[Kode BARANG Win2]],Table43[[#This Row],[No. Urut
Item Sama]])</f>
        <v>K10820030020111</v>
      </c>
      <c r="B139" s="7">
        <v>1</v>
      </c>
      <c r="D139" s="28" t="s">
        <v>502</v>
      </c>
      <c r="E139" s="28"/>
      <c r="F139" s="28" t="s">
        <v>2968</v>
      </c>
      <c r="G139" s="78">
        <v>72</v>
      </c>
      <c r="H139" s="43"/>
      <c r="I139" s="28" t="str">
        <f>Table43[[#This Row],[Nama Jenis Kemasan]]</f>
        <v>SCH</v>
      </c>
      <c r="J139" s="4" t="str">
        <f>TRIM(CONCATENATE(Table43[[#This Row],[Nama            KLP]]," ",Table43[[#This Row],[Nama            Sub KLP]]))</f>
        <v>ELLIPS H.MASK MOROCCAN</v>
      </c>
      <c r="K139" s="4" t="str">
        <f>CONCATENATE(Table43[[#This Row],[kode  2 Digit                (hrf+No)]],Table43[[#This Row],[kode  2 Digit                (Nomor)]],Table43[[#This Row],[kode  1 Digit                (Nomor)]])</f>
        <v>K1082</v>
      </c>
      <c r="L139" s="4" t="str">
        <f t="shared" si="3"/>
        <v>K1082003002011</v>
      </c>
      <c r="M139" s="11">
        <f t="shared" si="4"/>
        <v>14</v>
      </c>
      <c r="N139" s="14" t="str">
        <f>IF(AF139&lt;&gt;"",TRIM(UPPER(CONCATENATE(P139," ",R139," ",T139," ",V139," ",X139," ",Z139," ","X"," ",Table43[[#This Row],[ISI/CTN]]," ",AF139," ",AB139," ",AD139," ",AH139))),TRIM(UPPER(CONCATENATE(P139," ",R139," ",T139," ",V139," ",X139," ",Z139," ","X"," ",Table43[[#This Row],[ISI/CTN]]," ",AB139," ",AD139," ",AH139))))</f>
        <v>KNF ELLIPS H.MASK MOROCCAN SMOOTH&amp;SHINY 20G X 72 SACHET SCH</v>
      </c>
      <c r="O139" s="11">
        <f t="shared" si="5"/>
        <v>59</v>
      </c>
      <c r="P139" s="4" t="s">
        <v>97</v>
      </c>
      <c r="Q139" s="7" t="s">
        <v>98</v>
      </c>
      <c r="R139" s="4" t="s">
        <v>3658</v>
      </c>
      <c r="S139" s="44" t="s">
        <v>2478</v>
      </c>
      <c r="T139" s="45" t="s">
        <v>3668</v>
      </c>
      <c r="U139" s="7" t="s">
        <v>3562</v>
      </c>
      <c r="V139" s="45" t="s">
        <v>2961</v>
      </c>
      <c r="W139" s="44" t="s">
        <v>2900</v>
      </c>
      <c r="X139" s="4" t="s">
        <v>3673</v>
      </c>
      <c r="Y139" s="46" t="s">
        <v>2473</v>
      </c>
      <c r="Z139" s="4" t="s">
        <v>3671</v>
      </c>
      <c r="AA139" s="46" t="s">
        <v>2495</v>
      </c>
      <c r="AB139" s="4" t="s">
        <v>1022</v>
      </c>
      <c r="AC139" s="7" t="s">
        <v>2656</v>
      </c>
      <c r="AD139" s="4" t="s">
        <v>2961</v>
      </c>
      <c r="AE139" s="7" t="s">
        <v>2900</v>
      </c>
      <c r="AF139" s="7" t="s">
        <v>149</v>
      </c>
      <c r="AG139" s="7" t="s">
        <v>2656</v>
      </c>
      <c r="AI139" s="7" t="s">
        <v>2463</v>
      </c>
      <c r="AJ139" s="7" t="s">
        <v>3562</v>
      </c>
      <c r="AK139" s="41">
        <f>Table43[[#This Row],[Harga Jual Pcs GT
(-PPN)]]-(Table43[[#This Row],[Harga Jual Pcs GT
(-PPN)]]*10%)</f>
        <v>0</v>
      </c>
      <c r="AL139" s="42">
        <f>Table43[[#This Row],[Harga Beli Pcs
(-PPN)]]*Table43[[#This Row],[ISI/CTN]]</f>
        <v>0</v>
      </c>
      <c r="AM139" s="42">
        <f>Table43[[#This Row],[Harga Beli Pcs
(-PPN)]]*1.11</f>
        <v>0</v>
      </c>
      <c r="AN139" s="42">
        <f>Table43[[#This Row],[Harga Beli Krt
(- PPN)]]*1.11</f>
        <v>0</v>
      </c>
      <c r="AO139" s="42"/>
      <c r="AP139" s="42">
        <f>Table43[[#This Row],[Harga Jual Pcs GT
(-PPN)]]*Table43[[#This Row],[ISI/CTN]]</f>
        <v>0</v>
      </c>
      <c r="AQ139" s="42">
        <f>Table43[[#This Row],[Harga Jual Pcs GT
(-PPN)]]*1.11</f>
        <v>0</v>
      </c>
      <c r="AR139" s="42">
        <f>Table43[[#This Row],[Harga Jual Krt GT
(- PPN)]]*1.11</f>
        <v>0</v>
      </c>
      <c r="AS139" s="42">
        <f>Table43[[#This Row],[Harga Jual Pcs GT
(-PPN)]]</f>
        <v>0</v>
      </c>
      <c r="AT139" s="42">
        <f>(Table43[[#This Row],[Harga Jual Pcs MT
(-PPN)]]*Table43[[#This Row],[ISI/CTN]])</f>
        <v>0</v>
      </c>
      <c r="AU139" s="42">
        <f>Table43[[#This Row],[Harga Jual Pcs MT
(-PPN)]]*1.11</f>
        <v>0</v>
      </c>
      <c r="AV139" s="42">
        <f>Table43[[#This Row],[Harga Jual Pcs MT
(+PPN)]]*Table43[[#This Row],[ISI/CTN]]</f>
        <v>0</v>
      </c>
      <c r="AW139" s="47"/>
      <c r="AX139" s="7"/>
      <c r="AY139" s="7" t="str">
        <f ca="1">IF(TODAY()-Table43[[#This Row],[Efektif
Pembuatan]]&gt;60,"Lama","Baru")</f>
        <v>Lama</v>
      </c>
      <c r="AZ139" s="7" t="str">
        <f ca="1">IF(TODAY()-Table43[[#This Row],[Efektif Naik Harga]]&lt;30,"Naik","Sama")</f>
        <v>Sama</v>
      </c>
      <c r="BA139" s="7" t="str">
        <f>IF(Table43[[#This Row],[Kode BARANG Win2]]&lt;&gt;"","IDR","")</f>
        <v>IDR</v>
      </c>
      <c r="BB139" s="7" t="str">
        <f>CONCATENATE(Table43[[#This Row],[kode  1 Digit
(Nomor)]],Table43[[#This Row],[kode  4 Digit                (Nomor)]])</f>
        <v>20020</v>
      </c>
      <c r="BC139" s="7" t="str">
        <f>Table43[[#This Row],[Nama            Gramasi atau Jumlah Pack per CTN]]</f>
        <v>20G</v>
      </c>
      <c r="BD139" s="7"/>
      <c r="BE139" s="7"/>
      <c r="BF139" s="4" t="str">
        <f>IF(Table43[[#This Row],[SATUAN Fix Win]]&lt;&gt;"","KRT")</f>
        <v>KRT</v>
      </c>
      <c r="BG139" s="4" t="str">
        <f>IF(Table43[[#This Row],[SATUAN Fix Win]]&lt;&gt;"","GD01")</f>
        <v>GD01</v>
      </c>
      <c r="BH139" s="4">
        <f>IF(Table43[[#This Row],[SATUAN Fix Win]]&lt;&gt;"",11611)</f>
        <v>11611</v>
      </c>
      <c r="BI139" s="4">
        <f>IF(Table43[[#This Row],[SATUAN Fix Win]]&lt;&gt;"",11612)</f>
        <v>11612</v>
      </c>
      <c r="BJ139" s="48"/>
      <c r="BK139" s="4">
        <f>IF(Table43[[#This Row],[SATUAN Fix Win]]&lt;&gt;"",1)</f>
        <v>1</v>
      </c>
    </row>
    <row r="140" spans="1:63">
      <c r="A140" s="4" t="str">
        <f>CONCATENATE(Table43[[#This Row],[Kode BARANG Win2]],Table43[[#This Row],[No. Urut
Item Sama]])</f>
        <v>K10820040020111</v>
      </c>
      <c r="B140" s="7">
        <v>1</v>
      </c>
      <c r="D140" s="28" t="s">
        <v>505</v>
      </c>
      <c r="E140" s="28"/>
      <c r="F140" s="28" t="s">
        <v>2970</v>
      </c>
      <c r="G140" s="78">
        <v>72</v>
      </c>
      <c r="H140" s="43"/>
      <c r="I140" s="28" t="str">
        <f>Table43[[#This Row],[Nama Jenis Kemasan]]</f>
        <v>SCH</v>
      </c>
      <c r="J140" s="4" t="str">
        <f>TRIM(CONCATENATE(Table43[[#This Row],[Nama            KLP]]," ",Table43[[#This Row],[Nama            Sub KLP]]))</f>
        <v>ELLIPS H.MASK MOROCCAN</v>
      </c>
      <c r="K140" s="4" t="str">
        <f>CONCATENATE(Table43[[#This Row],[kode  2 Digit                (hrf+No)]],Table43[[#This Row],[kode  2 Digit                (Nomor)]],Table43[[#This Row],[kode  1 Digit                (Nomor)]])</f>
        <v>K1082</v>
      </c>
      <c r="L140" s="4" t="str">
        <f t="shared" si="3"/>
        <v>K1082004002011</v>
      </c>
      <c r="M140" s="11">
        <f t="shared" si="4"/>
        <v>14</v>
      </c>
      <c r="N140" s="14" t="str">
        <f>IF(AF140&lt;&gt;"",TRIM(UPPER(CONCATENATE(P140," ",R140," ",T140," ",V140," ",X140," ",Z140," ","X"," ",Table43[[#This Row],[ISI/CTN]]," ",AF140," ",AB140," ",AD140," ",AH140))),TRIM(UPPER(CONCATENATE(P140," ",R140," ",T140," ",V140," ",X140," ",Z140," ","X"," ",Table43[[#This Row],[ISI/CTN]]," ",AB140," ",AD140," ",AH140))))</f>
        <v>KNF ELLIPS H.MASK MOROCCAN VOL.MIRACLE 20G X 72 SACHET SCH</v>
      </c>
      <c r="O140" s="11">
        <f t="shared" si="5"/>
        <v>58</v>
      </c>
      <c r="P140" s="4" t="s">
        <v>97</v>
      </c>
      <c r="Q140" s="7" t="s">
        <v>98</v>
      </c>
      <c r="R140" s="4" t="s">
        <v>3658</v>
      </c>
      <c r="S140" s="44" t="s">
        <v>2478</v>
      </c>
      <c r="T140" s="45" t="s">
        <v>3668</v>
      </c>
      <c r="U140" s="7" t="s">
        <v>3562</v>
      </c>
      <c r="V140" s="45" t="s">
        <v>2961</v>
      </c>
      <c r="W140" s="44" t="s">
        <v>2900</v>
      </c>
      <c r="X140" s="4" t="s">
        <v>3674</v>
      </c>
      <c r="Y140" s="46" t="s">
        <v>2474</v>
      </c>
      <c r="Z140" s="4" t="s">
        <v>3671</v>
      </c>
      <c r="AA140" s="46" t="s">
        <v>2495</v>
      </c>
      <c r="AB140" s="4" t="s">
        <v>1022</v>
      </c>
      <c r="AC140" s="7" t="s">
        <v>2656</v>
      </c>
      <c r="AD140" s="4" t="s">
        <v>2961</v>
      </c>
      <c r="AE140" s="7" t="s">
        <v>2900</v>
      </c>
      <c r="AF140" s="7" t="s">
        <v>149</v>
      </c>
      <c r="AG140" s="7" t="s">
        <v>2656</v>
      </c>
      <c r="AI140" s="7" t="s">
        <v>2463</v>
      </c>
      <c r="AJ140" s="7" t="s">
        <v>3562</v>
      </c>
      <c r="AK140" s="41">
        <f>Table43[[#This Row],[Harga Jual Pcs GT
(-PPN)]]-(Table43[[#This Row],[Harga Jual Pcs GT
(-PPN)]]*10%)</f>
        <v>0</v>
      </c>
      <c r="AL140" s="42">
        <f>Table43[[#This Row],[Harga Beli Pcs
(-PPN)]]*Table43[[#This Row],[ISI/CTN]]</f>
        <v>0</v>
      </c>
      <c r="AM140" s="42">
        <f>Table43[[#This Row],[Harga Beli Pcs
(-PPN)]]*1.11</f>
        <v>0</v>
      </c>
      <c r="AN140" s="42">
        <f>Table43[[#This Row],[Harga Beli Krt
(- PPN)]]*1.11</f>
        <v>0</v>
      </c>
      <c r="AO140" s="42"/>
      <c r="AP140" s="42">
        <f>Table43[[#This Row],[Harga Jual Pcs GT
(-PPN)]]*Table43[[#This Row],[ISI/CTN]]</f>
        <v>0</v>
      </c>
      <c r="AQ140" s="42">
        <f>Table43[[#This Row],[Harga Jual Pcs GT
(-PPN)]]*1.11</f>
        <v>0</v>
      </c>
      <c r="AR140" s="42">
        <f>Table43[[#This Row],[Harga Jual Krt GT
(- PPN)]]*1.11</f>
        <v>0</v>
      </c>
      <c r="AS140" s="42">
        <f>Table43[[#This Row],[Harga Jual Pcs GT
(-PPN)]]</f>
        <v>0</v>
      </c>
      <c r="AT140" s="42">
        <f>(Table43[[#This Row],[Harga Jual Pcs MT
(-PPN)]]*Table43[[#This Row],[ISI/CTN]])</f>
        <v>0</v>
      </c>
      <c r="AU140" s="42">
        <f>Table43[[#This Row],[Harga Jual Pcs MT
(-PPN)]]*1.11</f>
        <v>0</v>
      </c>
      <c r="AV140" s="42">
        <f>Table43[[#This Row],[Harga Jual Pcs MT
(+PPN)]]*Table43[[#This Row],[ISI/CTN]]</f>
        <v>0</v>
      </c>
      <c r="AW140" s="47"/>
      <c r="AX140" s="7"/>
      <c r="AY140" s="7" t="str">
        <f ca="1">IF(TODAY()-Table43[[#This Row],[Efektif
Pembuatan]]&gt;60,"Lama","Baru")</f>
        <v>Lama</v>
      </c>
      <c r="AZ140" s="7" t="str">
        <f ca="1">IF(TODAY()-Table43[[#This Row],[Efektif Naik Harga]]&lt;30,"Naik","Sama")</f>
        <v>Sama</v>
      </c>
      <c r="BA140" s="7" t="str">
        <f>IF(Table43[[#This Row],[Kode BARANG Win2]]&lt;&gt;"","IDR","")</f>
        <v>IDR</v>
      </c>
      <c r="BB140" s="7" t="str">
        <f>CONCATENATE(Table43[[#This Row],[kode  1 Digit
(Nomor)]],Table43[[#This Row],[kode  4 Digit                (Nomor)]])</f>
        <v>20020</v>
      </c>
      <c r="BC140" s="7" t="str">
        <f>Table43[[#This Row],[Nama            Gramasi atau Jumlah Pack per CTN]]</f>
        <v>20G</v>
      </c>
      <c r="BD140" s="7"/>
      <c r="BE140" s="7"/>
      <c r="BF140" s="4" t="str">
        <f>IF(Table43[[#This Row],[SATUAN Fix Win]]&lt;&gt;"","KRT")</f>
        <v>KRT</v>
      </c>
      <c r="BG140" s="4" t="str">
        <f>IF(Table43[[#This Row],[SATUAN Fix Win]]&lt;&gt;"","GD01")</f>
        <v>GD01</v>
      </c>
      <c r="BH140" s="4">
        <f>IF(Table43[[#This Row],[SATUAN Fix Win]]&lt;&gt;"",11611)</f>
        <v>11611</v>
      </c>
      <c r="BI140" s="4">
        <f>IF(Table43[[#This Row],[SATUAN Fix Win]]&lt;&gt;"",11612)</f>
        <v>11612</v>
      </c>
      <c r="BJ140" s="48"/>
      <c r="BK140" s="4">
        <f>IF(Table43[[#This Row],[SATUAN Fix Win]]&lt;&gt;"",1)</f>
        <v>1</v>
      </c>
    </row>
    <row r="141" spans="1:63">
      <c r="A141" s="4" t="str">
        <f>CONCATENATE(Table43[[#This Row],[Kode BARANG Win2]],Table43[[#This Row],[No. Urut
Item Sama]])</f>
        <v>K10900010100101</v>
      </c>
      <c r="B141" s="7">
        <v>1</v>
      </c>
      <c r="D141" s="28" t="s">
        <v>454</v>
      </c>
      <c r="E141" s="28"/>
      <c r="F141" s="28" t="s">
        <v>2971</v>
      </c>
      <c r="G141" s="78">
        <v>18</v>
      </c>
      <c r="H141" s="43"/>
      <c r="I141" s="28" t="str">
        <f>Table43[[#This Row],[Nama Jenis Kemasan]]</f>
        <v>BTL</v>
      </c>
      <c r="J141" s="4" t="str">
        <f>TRIM(CONCATENATE(Table43[[#This Row],[Nama            KLP]]," ",Table43[[#This Row],[Nama            Sub KLP]]))</f>
        <v>ELLIPS HAIR MIST</v>
      </c>
      <c r="K141" s="4" t="str">
        <f>CONCATENATE(Table43[[#This Row],[kode  2 Digit                (hrf+No)]],Table43[[#This Row],[kode  2 Digit                (Nomor)]],Table43[[#This Row],[kode  1 Digit                (Nomor)]])</f>
        <v>K1090</v>
      </c>
      <c r="L141" s="4" t="str">
        <f t="shared" si="3"/>
        <v>K1090001010010</v>
      </c>
      <c r="M141" s="11">
        <f t="shared" si="4"/>
        <v>14</v>
      </c>
      <c r="N141" s="14" t="str">
        <f>IF(AF141&lt;&gt;"",TRIM(UPPER(CONCATENATE(P141," ",R141," ",T141," ",V141," ",X141," ",Z141," ","X"," ",Table43[[#This Row],[ISI/CTN]]," ",AF141," ",AB141," ",AD141," ",AH141))),TRIM(UPPER(CONCATENATE(P141," ",R141," ",T141," ",V141," ",X141," ",Z141," ","X"," ",Table43[[#This Row],[ISI/CTN]]," ",AB141," ",AD141," ",AH141))))</f>
        <v>KNF ELLIPS HAIR MIST FRESH&amp;SMOOTH 100ML X 18 BTL</v>
      </c>
      <c r="O141" s="11">
        <f t="shared" si="5"/>
        <v>48</v>
      </c>
      <c r="P141" s="4" t="s">
        <v>97</v>
      </c>
      <c r="Q141" s="7" t="s">
        <v>98</v>
      </c>
      <c r="R141" s="4" t="s">
        <v>3675</v>
      </c>
      <c r="S141" s="44" t="s">
        <v>2479</v>
      </c>
      <c r="T141" s="45" t="s">
        <v>2961</v>
      </c>
      <c r="U141" s="7" t="s">
        <v>2900</v>
      </c>
      <c r="V141" s="45" t="s">
        <v>2961</v>
      </c>
      <c r="W141" s="44" t="s">
        <v>2900</v>
      </c>
      <c r="X141" s="81" t="s">
        <v>4102</v>
      </c>
      <c r="Y141" s="46" t="s">
        <v>0</v>
      </c>
      <c r="Z141" s="4" t="s">
        <v>4101</v>
      </c>
      <c r="AA141" s="46" t="s">
        <v>2487</v>
      </c>
      <c r="AB141" s="4" t="s">
        <v>357</v>
      </c>
      <c r="AC141" s="7" t="s">
        <v>2656</v>
      </c>
      <c r="AD141" s="4" t="s">
        <v>2961</v>
      </c>
      <c r="AE141" s="7" t="s">
        <v>2900</v>
      </c>
      <c r="AF141" s="7" t="s">
        <v>2961</v>
      </c>
      <c r="AG141" s="7" t="s">
        <v>2961</v>
      </c>
      <c r="AI141" s="7" t="s">
        <v>360</v>
      </c>
      <c r="AJ141" s="7" t="s">
        <v>3590</v>
      </c>
      <c r="AK141" s="41">
        <f>Table43[[#This Row],[Harga Jual Pcs GT
(-PPN)]]-(Table43[[#This Row],[Harga Jual Pcs GT
(-PPN)]]*10%)</f>
        <v>0</v>
      </c>
      <c r="AL141" s="42">
        <f>Table43[[#This Row],[Harga Beli Pcs
(-PPN)]]*Table43[[#This Row],[ISI/CTN]]</f>
        <v>0</v>
      </c>
      <c r="AM141" s="42">
        <f>Table43[[#This Row],[Harga Beli Pcs
(-PPN)]]*1.11</f>
        <v>0</v>
      </c>
      <c r="AN141" s="42">
        <f>Table43[[#This Row],[Harga Beli Krt
(- PPN)]]*1.11</f>
        <v>0</v>
      </c>
      <c r="AO141" s="42"/>
      <c r="AP141" s="42">
        <f>Table43[[#This Row],[Harga Jual Pcs GT
(-PPN)]]*Table43[[#This Row],[ISI/CTN]]</f>
        <v>0</v>
      </c>
      <c r="AQ141" s="42">
        <f>Table43[[#This Row],[Harga Jual Pcs GT
(-PPN)]]*1.11</f>
        <v>0</v>
      </c>
      <c r="AR141" s="42">
        <f>Table43[[#This Row],[Harga Jual Krt GT
(- PPN)]]*1.11</f>
        <v>0</v>
      </c>
      <c r="AS141" s="42">
        <f>Table43[[#This Row],[Harga Jual Pcs GT
(-PPN)]]</f>
        <v>0</v>
      </c>
      <c r="AT141" s="42">
        <f>(Table43[[#This Row],[Harga Jual Pcs MT
(-PPN)]]*Table43[[#This Row],[ISI/CTN]])</f>
        <v>0</v>
      </c>
      <c r="AU141" s="42">
        <f>Table43[[#This Row],[Harga Jual Pcs MT
(-PPN)]]*1.11</f>
        <v>0</v>
      </c>
      <c r="AV141" s="42">
        <f>Table43[[#This Row],[Harga Jual Pcs MT
(+PPN)]]*Table43[[#This Row],[ISI/CTN]]</f>
        <v>0</v>
      </c>
      <c r="AW141" s="47"/>
      <c r="AX141" s="7"/>
      <c r="AY141" s="7" t="str">
        <f ca="1">IF(TODAY()-Table43[[#This Row],[Efektif
Pembuatan]]&gt;60,"Lama","Baru")</f>
        <v>Lama</v>
      </c>
      <c r="AZ141" s="7" t="str">
        <f ca="1">IF(TODAY()-Table43[[#This Row],[Efektif Naik Harga]]&lt;30,"Naik","Sama")</f>
        <v>Sama</v>
      </c>
      <c r="BA141" s="7" t="str">
        <f>IF(Table43[[#This Row],[Kode BARANG Win2]]&lt;&gt;"","IDR","")</f>
        <v>IDR</v>
      </c>
      <c r="BB141" s="7" t="str">
        <f>CONCATENATE(Table43[[#This Row],[kode  1 Digit
(Nomor)]],Table43[[#This Row],[kode  4 Digit                (Nomor)]])</f>
        <v>30100</v>
      </c>
      <c r="BC141" s="7" t="str">
        <f>Table43[[#This Row],[Nama            Gramasi atau Jumlah Pack per CTN]]</f>
        <v>100ml</v>
      </c>
      <c r="BD141" s="7"/>
      <c r="BE141" s="7"/>
      <c r="BF141" s="4" t="str">
        <f>IF(Table43[[#This Row],[SATUAN Fix Win]]&lt;&gt;"","KRT")</f>
        <v>KRT</v>
      </c>
      <c r="BG141" s="4" t="str">
        <f>IF(Table43[[#This Row],[SATUAN Fix Win]]&lt;&gt;"","GD01")</f>
        <v>GD01</v>
      </c>
      <c r="BH141" s="4">
        <f>IF(Table43[[#This Row],[SATUAN Fix Win]]&lt;&gt;"",11611)</f>
        <v>11611</v>
      </c>
      <c r="BI141" s="4">
        <f>IF(Table43[[#This Row],[SATUAN Fix Win]]&lt;&gt;"",11612)</f>
        <v>11612</v>
      </c>
      <c r="BJ141" s="48"/>
      <c r="BK141" s="4">
        <f>IF(Table43[[#This Row],[SATUAN Fix Win]]&lt;&gt;"",1)</f>
        <v>1</v>
      </c>
    </row>
    <row r="142" spans="1:63">
      <c r="A142" s="4" t="str">
        <f>CONCATENATE(Table43[[#This Row],[Kode BARANG Win2]],Table43[[#This Row],[No. Urut
Item Sama]])</f>
        <v>K10900020100101</v>
      </c>
      <c r="B142" s="7">
        <v>1</v>
      </c>
      <c r="D142" s="28" t="s">
        <v>452</v>
      </c>
      <c r="E142" s="28"/>
      <c r="F142" s="28" t="s">
        <v>2972</v>
      </c>
      <c r="G142" s="78">
        <v>18</v>
      </c>
      <c r="H142" s="43"/>
      <c r="I142" s="28" t="str">
        <f>Table43[[#This Row],[Nama Jenis Kemasan]]</f>
        <v>BTL</v>
      </c>
      <c r="J142" s="4" t="str">
        <f>TRIM(CONCATENATE(Table43[[#This Row],[Nama            KLP]]," ",Table43[[#This Row],[Nama            Sub KLP]]))</f>
        <v>ELLIPS HAIR MIST</v>
      </c>
      <c r="K142" s="4" t="str">
        <f>CONCATENATE(Table43[[#This Row],[kode  2 Digit                (hrf+No)]],Table43[[#This Row],[kode  2 Digit                (Nomor)]],Table43[[#This Row],[kode  1 Digit                (Nomor)]])</f>
        <v>K1090</v>
      </c>
      <c r="L142" s="4" t="str">
        <f t="shared" ref="L142:L206" si="9">IF(AG142="",CONCATENATE(Q142,S142,U142,W142,Y142,AA142,AC142,AE142),CONCATENATE(Q142,S142,U142,W142,Y142,AA142,AC142,AG142))</f>
        <v>K1090002010010</v>
      </c>
      <c r="M142" s="11">
        <f t="shared" ref="M142:M206" si="10">LEN(L142)</f>
        <v>14</v>
      </c>
      <c r="N142" s="14" t="str">
        <f>IF(AF142&lt;&gt;"",TRIM(UPPER(CONCATENATE(P142," ",R142," ",T142," ",V142," ",X142," ",Z142," ","X"," ",Table43[[#This Row],[ISI/CTN]]," ",AF142," ",AB142," ",AD142," ",AH142))),TRIM(UPPER(CONCATENATE(P142," ",R142," ",T142," ",V142," ",X142," ",Z142," ","X"," ",Table43[[#This Row],[ISI/CTN]]," ",AB142," ",AD142," ",AH142))))</f>
        <v>KNF ELLIPS HAIR MIST SWEET&amp;SILKY 100ML X 18 BTL</v>
      </c>
      <c r="O142" s="11">
        <f t="shared" ref="O142:O206" si="11">LEN(N142)</f>
        <v>47</v>
      </c>
      <c r="P142" s="4" t="s">
        <v>97</v>
      </c>
      <c r="Q142" s="7" t="s">
        <v>98</v>
      </c>
      <c r="R142" s="4" t="s">
        <v>3675</v>
      </c>
      <c r="S142" s="44" t="s">
        <v>2479</v>
      </c>
      <c r="T142" s="45" t="s">
        <v>2961</v>
      </c>
      <c r="U142" s="7" t="s">
        <v>2900</v>
      </c>
      <c r="V142" s="45" t="s">
        <v>2961</v>
      </c>
      <c r="W142" s="44" t="s">
        <v>2900</v>
      </c>
      <c r="X142" s="4" t="s">
        <v>3676</v>
      </c>
      <c r="Y142" s="46" t="s">
        <v>2472</v>
      </c>
      <c r="Z142" s="4" t="s">
        <v>3588</v>
      </c>
      <c r="AA142" s="46" t="s">
        <v>2487</v>
      </c>
      <c r="AB142" s="4" t="s">
        <v>357</v>
      </c>
      <c r="AC142" s="7" t="s">
        <v>2656</v>
      </c>
      <c r="AD142" s="4" t="s">
        <v>2961</v>
      </c>
      <c r="AE142" s="7" t="s">
        <v>2900</v>
      </c>
      <c r="AF142" s="7" t="s">
        <v>2961</v>
      </c>
      <c r="AG142" s="7" t="s">
        <v>2961</v>
      </c>
      <c r="AI142" s="7" t="s">
        <v>4100</v>
      </c>
      <c r="AJ142" s="7" t="s">
        <v>2656</v>
      </c>
      <c r="AK142" s="41">
        <f>Table43[[#This Row],[Harga Jual Pcs GT
(-PPN)]]-(Table43[[#This Row],[Harga Jual Pcs GT
(-PPN)]]*10%)</f>
        <v>0</v>
      </c>
      <c r="AL142" s="42">
        <f>Table43[[#This Row],[Harga Beli Pcs
(-PPN)]]*Table43[[#This Row],[ISI/CTN]]</f>
        <v>0</v>
      </c>
      <c r="AM142" s="42">
        <f>Table43[[#This Row],[Harga Beli Pcs
(-PPN)]]*1.11</f>
        <v>0</v>
      </c>
      <c r="AN142" s="42">
        <f>Table43[[#This Row],[Harga Beli Krt
(- PPN)]]*1.11</f>
        <v>0</v>
      </c>
      <c r="AO142" s="42"/>
      <c r="AP142" s="42">
        <f>Table43[[#This Row],[Harga Jual Pcs GT
(-PPN)]]*Table43[[#This Row],[ISI/CTN]]</f>
        <v>0</v>
      </c>
      <c r="AQ142" s="42">
        <f>Table43[[#This Row],[Harga Jual Pcs GT
(-PPN)]]*1.11</f>
        <v>0</v>
      </c>
      <c r="AR142" s="42">
        <f>Table43[[#This Row],[Harga Jual Krt GT
(- PPN)]]*1.11</f>
        <v>0</v>
      </c>
      <c r="AS142" s="42">
        <f>Table43[[#This Row],[Harga Jual Pcs GT
(-PPN)]]</f>
        <v>0</v>
      </c>
      <c r="AT142" s="42">
        <f>(Table43[[#This Row],[Harga Jual Pcs MT
(-PPN)]]*Table43[[#This Row],[ISI/CTN]])</f>
        <v>0</v>
      </c>
      <c r="AU142" s="42">
        <f>Table43[[#This Row],[Harga Jual Pcs MT
(-PPN)]]*1.11</f>
        <v>0</v>
      </c>
      <c r="AV142" s="42">
        <f>Table43[[#This Row],[Harga Jual Pcs MT
(+PPN)]]*Table43[[#This Row],[ISI/CTN]]</f>
        <v>0</v>
      </c>
      <c r="AW142" s="47"/>
      <c r="AX142" s="7"/>
      <c r="AY142" s="7" t="str">
        <f ca="1">IF(TODAY()-Table43[[#This Row],[Efektif
Pembuatan]]&gt;60,"Lama","Baru")</f>
        <v>Lama</v>
      </c>
      <c r="AZ142" s="7" t="str">
        <f ca="1">IF(TODAY()-Table43[[#This Row],[Efektif Naik Harga]]&lt;30,"Naik","Sama")</f>
        <v>Sama</v>
      </c>
      <c r="BA142" s="7" t="str">
        <f>IF(Table43[[#This Row],[Kode BARANG Win2]]&lt;&gt;"","IDR","")</f>
        <v>IDR</v>
      </c>
      <c r="BB142" s="7" t="str">
        <f>CONCATENATE(Table43[[#This Row],[kode  1 Digit
(Nomor)]],Table43[[#This Row],[kode  4 Digit                (Nomor)]])</f>
        <v>10100</v>
      </c>
      <c r="BC142" s="7" t="str">
        <f>Table43[[#This Row],[Nama            Gramasi atau Jumlah Pack per CTN]]</f>
        <v>100ML</v>
      </c>
      <c r="BD142" s="7"/>
      <c r="BE142" s="7"/>
      <c r="BF142" s="4" t="str">
        <f>IF(Table43[[#This Row],[SATUAN Fix Win]]&lt;&gt;"","KRT")</f>
        <v>KRT</v>
      </c>
      <c r="BG142" s="4" t="str">
        <f>IF(Table43[[#This Row],[SATUAN Fix Win]]&lt;&gt;"","GD01")</f>
        <v>GD01</v>
      </c>
      <c r="BH142" s="4">
        <f>IF(Table43[[#This Row],[SATUAN Fix Win]]&lt;&gt;"",11611)</f>
        <v>11611</v>
      </c>
      <c r="BI142" s="4">
        <f>IF(Table43[[#This Row],[SATUAN Fix Win]]&lt;&gt;"",11612)</f>
        <v>11612</v>
      </c>
      <c r="BJ142" s="48"/>
      <c r="BK142" s="4">
        <f>IF(Table43[[#This Row],[SATUAN Fix Win]]&lt;&gt;"",1)</f>
        <v>1</v>
      </c>
    </row>
    <row r="143" spans="1:63">
      <c r="A143" s="4" t="str">
        <f>CONCATENATE(Table43[[#This Row],[Kode BARANG Win2]],Table43[[#This Row],[No. Urut
Item Sama]])</f>
        <v>K10900030050101</v>
      </c>
      <c r="B143" s="7">
        <v>1</v>
      </c>
      <c r="D143" s="28" t="s">
        <v>4051</v>
      </c>
      <c r="E143" s="28"/>
      <c r="F143" s="28">
        <v>0</v>
      </c>
      <c r="G143" s="78">
        <v>36</v>
      </c>
      <c r="H143" s="43"/>
      <c r="I143" s="28" t="str">
        <f>Table43[[#This Row],[Nama Jenis Kemasan]]</f>
        <v>BTL</v>
      </c>
      <c r="J143" s="4" t="str">
        <f>TRIM(CONCATENATE(Table43[[#This Row],[Nama            KLP]]," ",Table43[[#This Row],[Nama            Sub KLP]]))</f>
        <v>ELLIPS HAIR MIST</v>
      </c>
      <c r="K143" s="4" t="str">
        <f>CONCATENATE(Table43[[#This Row],[kode  2 Digit                (hrf+No)]],Table43[[#This Row],[kode  2 Digit                (Nomor)]],Table43[[#This Row],[kode  1 Digit                (Nomor)]])</f>
        <v>K1090</v>
      </c>
      <c r="L143" s="4" t="str">
        <f t="shared" si="9"/>
        <v>K1090003005010</v>
      </c>
      <c r="M143" s="11">
        <f t="shared" si="10"/>
        <v>14</v>
      </c>
      <c r="N143" s="14" t="str">
        <f>IF(AF143&lt;&gt;"",TRIM(UPPER(CONCATENATE(P143," ",R143," ",T143," ",V143," ",X143," ",Z143," ","X"," ",Table43[[#This Row],[ISI/CTN]]," ",AF143," ",AB143," ",AD143," ",AH143))),TRIM(UPPER(CONCATENATE(P143," ",R143," ",T143," ",V143," ",X143," ",Z143," ","X"," ",Table43[[#This Row],[ISI/CTN]]," ",AB143," ",AD143," ",AH143))))</f>
        <v>KNF ELLIPS HAIR MIST MIST ME UP 50ML X 36 BTL</v>
      </c>
      <c r="O143" s="11">
        <f t="shared" si="11"/>
        <v>45</v>
      </c>
      <c r="P143" s="4" t="s">
        <v>97</v>
      </c>
      <c r="Q143" s="7" t="s">
        <v>98</v>
      </c>
      <c r="R143" s="4" t="s">
        <v>3675</v>
      </c>
      <c r="S143" s="44" t="s">
        <v>2479</v>
      </c>
      <c r="T143" s="45" t="s">
        <v>2961</v>
      </c>
      <c r="U143" s="7" t="s">
        <v>2900</v>
      </c>
      <c r="V143" s="45" t="s">
        <v>2961</v>
      </c>
      <c r="W143" s="44" t="s">
        <v>2900</v>
      </c>
      <c r="X143" s="4" t="s">
        <v>3677</v>
      </c>
      <c r="Y143" s="46" t="s">
        <v>2473</v>
      </c>
      <c r="Z143" s="4" t="s">
        <v>3654</v>
      </c>
      <c r="AA143" s="46" t="s">
        <v>2490</v>
      </c>
      <c r="AB143" s="4" t="s">
        <v>357</v>
      </c>
      <c r="AC143" s="7" t="s">
        <v>2656</v>
      </c>
      <c r="AD143" s="4" t="s">
        <v>2961</v>
      </c>
      <c r="AE143" s="7" t="s">
        <v>2900</v>
      </c>
      <c r="AF143" s="7" t="s">
        <v>2961</v>
      </c>
      <c r="AG143" s="7" t="s">
        <v>2961</v>
      </c>
      <c r="AI143" s="7" t="s">
        <v>4100</v>
      </c>
      <c r="AJ143" s="7" t="s">
        <v>2656</v>
      </c>
      <c r="AK143" s="41">
        <f>Table43[[#This Row],[Harga Jual Pcs GT
(-PPN)]]-(Table43[[#This Row],[Harga Jual Pcs GT
(-PPN)]]*10%)</f>
        <v>0</v>
      </c>
      <c r="AL143" s="42">
        <f>Table43[[#This Row],[Harga Beli Pcs
(-PPN)]]*Table43[[#This Row],[ISI/CTN]]</f>
        <v>0</v>
      </c>
      <c r="AM143" s="42">
        <f>Table43[[#This Row],[Harga Beli Pcs
(-PPN)]]*1.11</f>
        <v>0</v>
      </c>
      <c r="AN143" s="42">
        <f>Table43[[#This Row],[Harga Beli Krt
(- PPN)]]*1.11</f>
        <v>0</v>
      </c>
      <c r="AO143" s="42"/>
      <c r="AP143" s="42">
        <f>Table43[[#This Row],[Harga Jual Pcs GT
(-PPN)]]*Table43[[#This Row],[ISI/CTN]]</f>
        <v>0</v>
      </c>
      <c r="AQ143" s="42">
        <f>Table43[[#This Row],[Harga Jual Pcs GT
(-PPN)]]*1.11</f>
        <v>0</v>
      </c>
      <c r="AR143" s="42">
        <f>Table43[[#This Row],[Harga Jual Krt GT
(- PPN)]]*1.11</f>
        <v>0</v>
      </c>
      <c r="AS143" s="42">
        <f>Table43[[#This Row],[Harga Jual Pcs GT
(-PPN)]]</f>
        <v>0</v>
      </c>
      <c r="AT143" s="42">
        <f>(Table43[[#This Row],[Harga Jual Pcs MT
(-PPN)]]*Table43[[#This Row],[ISI/CTN]])</f>
        <v>0</v>
      </c>
      <c r="AU143" s="42">
        <f>Table43[[#This Row],[Harga Jual Pcs MT
(-PPN)]]*1.11</f>
        <v>0</v>
      </c>
      <c r="AV143" s="42">
        <f>Table43[[#This Row],[Harga Jual Pcs MT
(+PPN)]]*Table43[[#This Row],[ISI/CTN]]</f>
        <v>0</v>
      </c>
      <c r="AW143" s="47"/>
      <c r="AX143" s="7"/>
      <c r="AY143" s="7" t="str">
        <f ca="1">IF(TODAY()-Table43[[#This Row],[Efektif
Pembuatan]]&gt;60,"Lama","Baru")</f>
        <v>Lama</v>
      </c>
      <c r="AZ143" s="7" t="str">
        <f ca="1">IF(TODAY()-Table43[[#This Row],[Efektif Naik Harga]]&lt;30,"Naik","Sama")</f>
        <v>Sama</v>
      </c>
      <c r="BA143" s="7" t="str">
        <f>IF(Table43[[#This Row],[Kode BARANG Win2]]&lt;&gt;"","IDR","")</f>
        <v>IDR</v>
      </c>
      <c r="BB143" s="7" t="str">
        <f>CONCATENATE(Table43[[#This Row],[kode  1 Digit
(Nomor)]],Table43[[#This Row],[kode  4 Digit                (Nomor)]])</f>
        <v>10050</v>
      </c>
      <c r="BC143" s="7" t="str">
        <f>Table43[[#This Row],[Nama            Gramasi atau Jumlah Pack per CTN]]</f>
        <v>50ML</v>
      </c>
      <c r="BD143" s="7"/>
      <c r="BE143" s="7"/>
      <c r="BF143" s="4" t="str">
        <f>IF(Table43[[#This Row],[SATUAN Fix Win]]&lt;&gt;"","KRT")</f>
        <v>KRT</v>
      </c>
      <c r="BG143" s="4" t="str">
        <f>IF(Table43[[#This Row],[SATUAN Fix Win]]&lt;&gt;"","GD01")</f>
        <v>GD01</v>
      </c>
      <c r="BH143" s="4">
        <f>IF(Table43[[#This Row],[SATUAN Fix Win]]&lt;&gt;"",11611)</f>
        <v>11611</v>
      </c>
      <c r="BI143" s="4">
        <f>IF(Table43[[#This Row],[SATUAN Fix Win]]&lt;&gt;"",11612)</f>
        <v>11612</v>
      </c>
      <c r="BJ143" s="48"/>
      <c r="BK143" s="4">
        <f>IF(Table43[[#This Row],[SATUAN Fix Win]]&lt;&gt;"",1)</f>
        <v>1</v>
      </c>
    </row>
    <row r="144" spans="1:63">
      <c r="A144" s="4" t="str">
        <f>CONCATENATE(Table43[[#This Row],[Kode BARANG Win2]],Table43[[#This Row],[No. Urut
Item Sama]])</f>
        <v>K11000010001101</v>
      </c>
      <c r="B144" s="7">
        <v>1</v>
      </c>
      <c r="D144" s="28" t="s">
        <v>469</v>
      </c>
      <c r="E144" s="28"/>
      <c r="F144" s="28" t="s">
        <v>2973</v>
      </c>
      <c r="G144" s="78">
        <v>72</v>
      </c>
      <c r="H144" s="43"/>
      <c r="I144" s="28" t="str">
        <f>Table43[[#This Row],[Nama Jenis Kemasan]]</f>
        <v>BLR</v>
      </c>
      <c r="J144" s="4" t="str">
        <f>TRIM(CONCATENATE(Table43[[#This Row],[Nama            KLP]]," ",Table43[[#This Row],[Nama            Sub KLP]]))</f>
        <v>ELLIPS</v>
      </c>
      <c r="K144" s="4" t="str">
        <f>CONCATENATE(Table43[[#This Row],[kode  2 Digit                (hrf+No)]],Table43[[#This Row],[kode  2 Digit                (Nomor)]],Table43[[#This Row],[kode  1 Digit                (Nomor)]])</f>
        <v>K1100</v>
      </c>
      <c r="L144" s="4" t="str">
        <f t="shared" si="9"/>
        <v>K1100001000110</v>
      </c>
      <c r="M144" s="11">
        <f t="shared" si="10"/>
        <v>14</v>
      </c>
      <c r="N144" s="14" t="str">
        <f>IF(AF144&lt;&gt;"",TRIM(UPPER(CONCATENATE(P144," ",R144," ",T144," ",V144," ",X144," ",Z144," ","X"," ",Table43[[#This Row],[ISI/CTN]]," ",AF144," ",AB144," ",AD144," ",AH144))),TRIM(UPPER(CONCATENATE(P144," ",R144," ",T144," ",V144," ",X144," ",Z144," ","X"," ",Table43[[#This Row],[ISI/CTN]]," ",AB144," ",AD144," ",AH144))))</f>
        <v>KNF ELLIPS H.VIT HAIR TREATMENT 1ML X 72 BLR</v>
      </c>
      <c r="O144" s="11">
        <f t="shared" si="11"/>
        <v>44</v>
      </c>
      <c r="P144" s="4" t="s">
        <v>97</v>
      </c>
      <c r="Q144" s="7" t="s">
        <v>98</v>
      </c>
      <c r="R144" s="4" t="s">
        <v>3658</v>
      </c>
      <c r="S144" s="44" t="s">
        <v>3564</v>
      </c>
      <c r="T144" s="45" t="s">
        <v>2961</v>
      </c>
      <c r="U144" s="7" t="s">
        <v>2900</v>
      </c>
      <c r="V144" s="45" t="s">
        <v>2961</v>
      </c>
      <c r="W144" s="44" t="s">
        <v>2900</v>
      </c>
      <c r="X144" s="4" t="s">
        <v>3678</v>
      </c>
      <c r="Y144" s="46" t="s">
        <v>0</v>
      </c>
      <c r="Z144" s="4" t="s">
        <v>3679</v>
      </c>
      <c r="AA144" s="46" t="s">
        <v>2496</v>
      </c>
      <c r="AB144" s="4" t="s">
        <v>1024</v>
      </c>
      <c r="AC144" s="7" t="s">
        <v>2656</v>
      </c>
      <c r="AD144" s="4" t="s">
        <v>2961</v>
      </c>
      <c r="AE144" s="7" t="s">
        <v>2900</v>
      </c>
      <c r="AF144" s="7" t="s">
        <v>2961</v>
      </c>
      <c r="AG144" s="7" t="s">
        <v>2961</v>
      </c>
      <c r="AI144" s="7" t="s">
        <v>4100</v>
      </c>
      <c r="AJ144" s="7" t="s">
        <v>2656</v>
      </c>
      <c r="AK144" s="41">
        <f>Table43[[#This Row],[Harga Jual Pcs GT
(-PPN)]]-(Table43[[#This Row],[Harga Jual Pcs GT
(-PPN)]]*10%)</f>
        <v>0</v>
      </c>
      <c r="AL144" s="42">
        <f>Table43[[#This Row],[Harga Beli Pcs
(-PPN)]]*Table43[[#This Row],[ISI/CTN]]</f>
        <v>0</v>
      </c>
      <c r="AM144" s="42">
        <f>Table43[[#This Row],[Harga Beli Pcs
(-PPN)]]*1.11</f>
        <v>0</v>
      </c>
      <c r="AN144" s="42">
        <f>Table43[[#This Row],[Harga Beli Krt
(- PPN)]]*1.11</f>
        <v>0</v>
      </c>
      <c r="AO144" s="42"/>
      <c r="AP144" s="42">
        <f>Table43[[#This Row],[Harga Jual Pcs GT
(-PPN)]]*Table43[[#This Row],[ISI/CTN]]</f>
        <v>0</v>
      </c>
      <c r="AQ144" s="42">
        <f>Table43[[#This Row],[Harga Jual Pcs GT
(-PPN)]]*1.11</f>
        <v>0</v>
      </c>
      <c r="AR144" s="42">
        <f>Table43[[#This Row],[Harga Jual Krt GT
(- PPN)]]*1.11</f>
        <v>0</v>
      </c>
      <c r="AS144" s="42">
        <f>Table43[[#This Row],[Harga Jual Pcs GT
(-PPN)]]</f>
        <v>0</v>
      </c>
      <c r="AT144" s="42">
        <f>(Table43[[#This Row],[Harga Jual Pcs MT
(-PPN)]]*Table43[[#This Row],[ISI/CTN]])</f>
        <v>0</v>
      </c>
      <c r="AU144" s="42">
        <f>Table43[[#This Row],[Harga Jual Pcs MT
(-PPN)]]*1.11</f>
        <v>0</v>
      </c>
      <c r="AV144" s="42">
        <f>Table43[[#This Row],[Harga Jual Pcs MT
(+PPN)]]*Table43[[#This Row],[ISI/CTN]]</f>
        <v>0</v>
      </c>
      <c r="AW144" s="47"/>
      <c r="AX144" s="7"/>
      <c r="AY144" s="7" t="str">
        <f ca="1">IF(TODAY()-Table43[[#This Row],[Efektif
Pembuatan]]&gt;60,"Lama","Baru")</f>
        <v>Lama</v>
      </c>
      <c r="AZ144" s="7" t="str">
        <f ca="1">IF(TODAY()-Table43[[#This Row],[Efektif Naik Harga]]&lt;30,"Naik","Sama")</f>
        <v>Sama</v>
      </c>
      <c r="BA144" s="7" t="str">
        <f>IF(Table43[[#This Row],[Kode BARANG Win2]]&lt;&gt;"","IDR","")</f>
        <v>IDR</v>
      </c>
      <c r="BB144" s="7" t="str">
        <f>CONCATENATE(Table43[[#This Row],[kode  1 Digit
(Nomor)]],Table43[[#This Row],[kode  4 Digit                (Nomor)]])</f>
        <v>10001</v>
      </c>
      <c r="BC144" s="7" t="str">
        <f>Table43[[#This Row],[Nama            Gramasi atau Jumlah Pack per CTN]]</f>
        <v>1ML</v>
      </c>
      <c r="BD144" s="7"/>
      <c r="BE144" s="7"/>
      <c r="BF144" s="4" t="str">
        <f>IF(Table43[[#This Row],[SATUAN Fix Win]]&lt;&gt;"","KRT")</f>
        <v>KRT</v>
      </c>
      <c r="BG144" s="4" t="str">
        <f>IF(Table43[[#This Row],[SATUAN Fix Win]]&lt;&gt;"","GD01")</f>
        <v>GD01</v>
      </c>
      <c r="BH144" s="4">
        <f>IF(Table43[[#This Row],[SATUAN Fix Win]]&lt;&gt;"",11611)</f>
        <v>11611</v>
      </c>
      <c r="BI144" s="4">
        <f>IF(Table43[[#This Row],[SATUAN Fix Win]]&lt;&gt;"",11612)</f>
        <v>11612</v>
      </c>
      <c r="BJ144" s="48"/>
      <c r="BK144" s="4">
        <f>IF(Table43[[#This Row],[SATUAN Fix Win]]&lt;&gt;"",1)</f>
        <v>1</v>
      </c>
    </row>
    <row r="145" spans="1:63">
      <c r="A145" s="4" t="str">
        <f>CONCATENATE(Table43[[#This Row],[Kode BARANG Win2]],Table43[[#This Row],[No. Urut
Item Sama]])</f>
        <v>K11000010001401</v>
      </c>
      <c r="B145" s="7">
        <v>1</v>
      </c>
      <c r="D145" s="28" t="s">
        <v>451</v>
      </c>
      <c r="E145" s="28"/>
      <c r="F145" s="28" t="s">
        <v>2974</v>
      </c>
      <c r="G145" s="78">
        <v>12</v>
      </c>
      <c r="H145" s="43"/>
      <c r="I145" s="28" t="str">
        <f>Table43[[#This Row],[Nama Jenis Kemasan]]</f>
        <v>JAR</v>
      </c>
      <c r="J145" s="4" t="str">
        <f>TRIM(CONCATENATE(Table43[[#This Row],[Nama            KLP]]," ",Table43[[#This Row],[Nama            Sub KLP]]))</f>
        <v>ELLIPS</v>
      </c>
      <c r="K145" s="4" t="str">
        <f>CONCATENATE(Table43[[#This Row],[kode  2 Digit                (hrf+No)]],Table43[[#This Row],[kode  2 Digit                (Nomor)]],Table43[[#This Row],[kode  1 Digit                (Nomor)]])</f>
        <v>K1100</v>
      </c>
      <c r="L145" s="4" t="str">
        <f t="shared" si="9"/>
        <v>K1100001000140</v>
      </c>
      <c r="M145" s="11">
        <f t="shared" si="10"/>
        <v>14</v>
      </c>
      <c r="N145" s="14" t="str">
        <f>IF(AF145&lt;&gt;"",TRIM(UPPER(CONCATENATE(P145," ",R145," ",T145," ",V145," ",X145," ",Z145," ","X"," ",Table43[[#This Row],[ISI/CTN]]," ",AF145," ",AB145," ",AD145," ",AH145))),TRIM(UPPER(CONCATENATE(P145," ",R145," ",T145," ",V145," ",X145," ",Z145," ","X"," ",Table43[[#This Row],[ISI/CTN]]," ",AB145," ",AD145," ",AH145))))</f>
        <v>KNF ELLIPS H.VIT HAIR TREATMENT 1ML X 12 JAR</v>
      </c>
      <c r="O145" s="11">
        <f t="shared" si="11"/>
        <v>44</v>
      </c>
      <c r="P145" s="4" t="s">
        <v>97</v>
      </c>
      <c r="Q145" s="7" t="s">
        <v>98</v>
      </c>
      <c r="R145" s="4" t="s">
        <v>3658</v>
      </c>
      <c r="S145" s="44" t="s">
        <v>3564</v>
      </c>
      <c r="T145" s="45" t="s">
        <v>2961</v>
      </c>
      <c r="U145" s="7" t="s">
        <v>2900</v>
      </c>
      <c r="V145" s="45" t="s">
        <v>2961</v>
      </c>
      <c r="W145" s="44" t="s">
        <v>2900</v>
      </c>
      <c r="X145" s="4" t="s">
        <v>3678</v>
      </c>
      <c r="Y145" s="46" t="s">
        <v>0</v>
      </c>
      <c r="Z145" s="4" t="s">
        <v>3679</v>
      </c>
      <c r="AA145" s="46" t="s">
        <v>2496</v>
      </c>
      <c r="AB145" s="4" t="s">
        <v>1019</v>
      </c>
      <c r="AC145" s="7" t="s">
        <v>3593</v>
      </c>
      <c r="AD145" s="4" t="s">
        <v>2961</v>
      </c>
      <c r="AE145" s="7" t="s">
        <v>2900</v>
      </c>
      <c r="AF145" s="7" t="s">
        <v>2961</v>
      </c>
      <c r="AG145" s="7" t="s">
        <v>2961</v>
      </c>
      <c r="AI145" s="7" t="s">
        <v>4100</v>
      </c>
      <c r="AJ145" s="7" t="s">
        <v>2656</v>
      </c>
      <c r="AK145" s="41">
        <f>Table43[[#This Row],[Harga Jual Pcs GT
(-PPN)]]-(Table43[[#This Row],[Harga Jual Pcs GT
(-PPN)]]*10%)</f>
        <v>0</v>
      </c>
      <c r="AL145" s="42">
        <f>Table43[[#This Row],[Harga Beli Pcs
(-PPN)]]*Table43[[#This Row],[ISI/CTN]]</f>
        <v>0</v>
      </c>
      <c r="AM145" s="42">
        <f>Table43[[#This Row],[Harga Beli Pcs
(-PPN)]]*1.11</f>
        <v>0</v>
      </c>
      <c r="AN145" s="42">
        <f>Table43[[#This Row],[Harga Beli Krt
(- PPN)]]*1.11</f>
        <v>0</v>
      </c>
      <c r="AO145" s="42"/>
      <c r="AP145" s="42">
        <f>Table43[[#This Row],[Harga Jual Pcs GT
(-PPN)]]*Table43[[#This Row],[ISI/CTN]]</f>
        <v>0</v>
      </c>
      <c r="AQ145" s="42">
        <f>Table43[[#This Row],[Harga Jual Pcs GT
(-PPN)]]*1.11</f>
        <v>0</v>
      </c>
      <c r="AR145" s="42">
        <f>Table43[[#This Row],[Harga Jual Krt GT
(- PPN)]]*1.11</f>
        <v>0</v>
      </c>
      <c r="AS145" s="42">
        <f>Table43[[#This Row],[Harga Jual Pcs GT
(-PPN)]]</f>
        <v>0</v>
      </c>
      <c r="AT145" s="42">
        <f>(Table43[[#This Row],[Harga Jual Pcs MT
(-PPN)]]*Table43[[#This Row],[ISI/CTN]])</f>
        <v>0</v>
      </c>
      <c r="AU145" s="42">
        <f>Table43[[#This Row],[Harga Jual Pcs MT
(-PPN)]]*1.11</f>
        <v>0</v>
      </c>
      <c r="AV145" s="42">
        <f>Table43[[#This Row],[Harga Jual Pcs MT
(+PPN)]]*Table43[[#This Row],[ISI/CTN]]</f>
        <v>0</v>
      </c>
      <c r="AW145" s="47"/>
      <c r="AX145" s="7"/>
      <c r="AY145" s="7" t="str">
        <f ca="1">IF(TODAY()-Table43[[#This Row],[Efektif
Pembuatan]]&gt;60,"Lama","Baru")</f>
        <v>Lama</v>
      </c>
      <c r="AZ145" s="7" t="str">
        <f ca="1">IF(TODAY()-Table43[[#This Row],[Efektif Naik Harga]]&lt;30,"Naik","Sama")</f>
        <v>Sama</v>
      </c>
      <c r="BA145" s="7" t="str">
        <f>IF(Table43[[#This Row],[Kode BARANG Win2]]&lt;&gt;"","IDR","")</f>
        <v>IDR</v>
      </c>
      <c r="BB145" s="7" t="str">
        <f>CONCATENATE(Table43[[#This Row],[kode  1 Digit
(Nomor)]],Table43[[#This Row],[kode  4 Digit                (Nomor)]])</f>
        <v>10001</v>
      </c>
      <c r="BC145" s="7" t="str">
        <f>Table43[[#This Row],[Nama            Gramasi atau Jumlah Pack per CTN]]</f>
        <v>1ML</v>
      </c>
      <c r="BD145" s="7"/>
      <c r="BE145" s="7"/>
      <c r="BF145" s="4" t="str">
        <f>IF(Table43[[#This Row],[SATUAN Fix Win]]&lt;&gt;"","KRT")</f>
        <v>KRT</v>
      </c>
      <c r="BG145" s="4" t="str">
        <f>IF(Table43[[#This Row],[SATUAN Fix Win]]&lt;&gt;"","GD01")</f>
        <v>GD01</v>
      </c>
      <c r="BH145" s="4">
        <f>IF(Table43[[#This Row],[SATUAN Fix Win]]&lt;&gt;"",11611)</f>
        <v>11611</v>
      </c>
      <c r="BI145" s="4">
        <f>IF(Table43[[#This Row],[SATUAN Fix Win]]&lt;&gt;"",11612)</f>
        <v>11612</v>
      </c>
      <c r="BJ145" s="48"/>
      <c r="BK145" s="4">
        <f>IF(Table43[[#This Row],[SATUAN Fix Win]]&lt;&gt;"",1)</f>
        <v>1</v>
      </c>
    </row>
    <row r="146" spans="1:63">
      <c r="A146" s="4" t="str">
        <f>CONCATENATE(Table43[[#This Row],[Kode BARANG Win2]],Table43[[#This Row],[No. Urut
Item Sama]])</f>
        <v>K11000020001101</v>
      </c>
      <c r="B146" s="7">
        <v>1</v>
      </c>
      <c r="D146" s="28" t="s">
        <v>474</v>
      </c>
      <c r="E146" s="28"/>
      <c r="F146" s="28" t="s">
        <v>2975</v>
      </c>
      <c r="G146" s="78">
        <v>72</v>
      </c>
      <c r="H146" s="43"/>
      <c r="I146" s="28" t="str">
        <f>Table43[[#This Row],[Nama Jenis Kemasan]]</f>
        <v>BLR</v>
      </c>
      <c r="J146" s="4" t="str">
        <f>TRIM(CONCATENATE(Table43[[#This Row],[Nama            KLP]]," ",Table43[[#This Row],[Nama            Sub KLP]]))</f>
        <v>ELLIPS</v>
      </c>
      <c r="K146" s="4" t="str">
        <f>CONCATENATE(Table43[[#This Row],[kode  2 Digit                (hrf+No)]],Table43[[#This Row],[kode  2 Digit                (Nomor)]],Table43[[#This Row],[kode  1 Digit                (Nomor)]])</f>
        <v>K1100</v>
      </c>
      <c r="L146" s="4" t="str">
        <f t="shared" si="9"/>
        <v>K1100002000110</v>
      </c>
      <c r="M146" s="11">
        <f t="shared" si="10"/>
        <v>14</v>
      </c>
      <c r="N146" s="14" t="str">
        <f>IF(AF146&lt;&gt;"",TRIM(UPPER(CONCATENATE(P146," ",R146," ",T146," ",V146," ",X146," ",Z146," ","X"," ",Table43[[#This Row],[ISI/CTN]]," ",AF146," ",AB146," ",AD146," ",AH146))),TRIM(UPPER(CONCATENATE(P146," ",R146," ",T146," ",V146," ",X146," ",Z146," ","X"," ",Table43[[#This Row],[ISI/CTN]]," ",AB146," ",AD146," ",AH146))))</f>
        <v>KNF ELLIPS H.VIT HAIR VITALITY 1ML X 72 BLR</v>
      </c>
      <c r="O146" s="11">
        <f t="shared" si="11"/>
        <v>43</v>
      </c>
      <c r="P146" s="4" t="s">
        <v>97</v>
      </c>
      <c r="Q146" s="7" t="s">
        <v>98</v>
      </c>
      <c r="R146" s="4" t="s">
        <v>3658</v>
      </c>
      <c r="S146" s="44" t="s">
        <v>3564</v>
      </c>
      <c r="T146" s="45" t="s">
        <v>2961</v>
      </c>
      <c r="U146" s="7" t="s">
        <v>2900</v>
      </c>
      <c r="V146" s="45" t="s">
        <v>2961</v>
      </c>
      <c r="W146" s="44" t="s">
        <v>2900</v>
      </c>
      <c r="X146" s="4" t="s">
        <v>3680</v>
      </c>
      <c r="Y146" s="46" t="s">
        <v>2472</v>
      </c>
      <c r="Z146" s="4" t="s">
        <v>3679</v>
      </c>
      <c r="AA146" s="46" t="s">
        <v>2496</v>
      </c>
      <c r="AB146" s="4" t="s">
        <v>1024</v>
      </c>
      <c r="AC146" s="7" t="s">
        <v>2656</v>
      </c>
      <c r="AD146" s="4" t="s">
        <v>2961</v>
      </c>
      <c r="AE146" s="7" t="s">
        <v>2900</v>
      </c>
      <c r="AF146" s="7" t="s">
        <v>2961</v>
      </c>
      <c r="AG146" s="7" t="s">
        <v>2961</v>
      </c>
      <c r="AI146" s="7" t="s">
        <v>4100</v>
      </c>
      <c r="AJ146" s="7" t="s">
        <v>2656</v>
      </c>
      <c r="AK146" s="41">
        <f>Table43[[#This Row],[Harga Jual Pcs GT
(-PPN)]]-(Table43[[#This Row],[Harga Jual Pcs GT
(-PPN)]]*10%)</f>
        <v>0</v>
      </c>
      <c r="AL146" s="42">
        <f>Table43[[#This Row],[Harga Beli Pcs
(-PPN)]]*Table43[[#This Row],[ISI/CTN]]</f>
        <v>0</v>
      </c>
      <c r="AM146" s="42">
        <f>Table43[[#This Row],[Harga Beli Pcs
(-PPN)]]*1.11</f>
        <v>0</v>
      </c>
      <c r="AN146" s="42">
        <f>Table43[[#This Row],[Harga Beli Krt
(- PPN)]]*1.11</f>
        <v>0</v>
      </c>
      <c r="AO146" s="42"/>
      <c r="AP146" s="42">
        <f>Table43[[#This Row],[Harga Jual Pcs GT
(-PPN)]]*Table43[[#This Row],[ISI/CTN]]</f>
        <v>0</v>
      </c>
      <c r="AQ146" s="42">
        <f>Table43[[#This Row],[Harga Jual Pcs GT
(-PPN)]]*1.11</f>
        <v>0</v>
      </c>
      <c r="AR146" s="42">
        <f>Table43[[#This Row],[Harga Jual Krt GT
(- PPN)]]*1.11</f>
        <v>0</v>
      </c>
      <c r="AS146" s="42">
        <f>Table43[[#This Row],[Harga Jual Pcs GT
(-PPN)]]</f>
        <v>0</v>
      </c>
      <c r="AT146" s="42">
        <f>(Table43[[#This Row],[Harga Jual Pcs MT
(-PPN)]]*Table43[[#This Row],[ISI/CTN]])</f>
        <v>0</v>
      </c>
      <c r="AU146" s="42">
        <f>Table43[[#This Row],[Harga Jual Pcs MT
(-PPN)]]*1.11</f>
        <v>0</v>
      </c>
      <c r="AV146" s="42">
        <f>Table43[[#This Row],[Harga Jual Pcs MT
(+PPN)]]*Table43[[#This Row],[ISI/CTN]]</f>
        <v>0</v>
      </c>
      <c r="AW146" s="47"/>
      <c r="AX146" s="7"/>
      <c r="AY146" s="7" t="str">
        <f ca="1">IF(TODAY()-Table43[[#This Row],[Efektif
Pembuatan]]&gt;60,"Lama","Baru")</f>
        <v>Lama</v>
      </c>
      <c r="AZ146" s="7" t="str">
        <f ca="1">IF(TODAY()-Table43[[#This Row],[Efektif Naik Harga]]&lt;30,"Naik","Sama")</f>
        <v>Sama</v>
      </c>
      <c r="BA146" s="7" t="str">
        <f>IF(Table43[[#This Row],[Kode BARANG Win2]]&lt;&gt;"","IDR","")</f>
        <v>IDR</v>
      </c>
      <c r="BB146" s="7" t="str">
        <f>CONCATENATE(Table43[[#This Row],[kode  1 Digit
(Nomor)]],Table43[[#This Row],[kode  4 Digit                (Nomor)]])</f>
        <v>10001</v>
      </c>
      <c r="BC146" s="7" t="str">
        <f>Table43[[#This Row],[Nama            Gramasi atau Jumlah Pack per CTN]]</f>
        <v>1ML</v>
      </c>
      <c r="BD146" s="7"/>
      <c r="BE146" s="7"/>
      <c r="BF146" s="4" t="str">
        <f>IF(Table43[[#This Row],[SATUAN Fix Win]]&lt;&gt;"","KRT")</f>
        <v>KRT</v>
      </c>
      <c r="BG146" s="4" t="str">
        <f>IF(Table43[[#This Row],[SATUAN Fix Win]]&lt;&gt;"","GD01")</f>
        <v>GD01</v>
      </c>
      <c r="BH146" s="4">
        <f>IF(Table43[[#This Row],[SATUAN Fix Win]]&lt;&gt;"",11611)</f>
        <v>11611</v>
      </c>
      <c r="BI146" s="4">
        <f>IF(Table43[[#This Row],[SATUAN Fix Win]]&lt;&gt;"",11612)</f>
        <v>11612</v>
      </c>
      <c r="BJ146" s="48"/>
      <c r="BK146" s="4">
        <f>IF(Table43[[#This Row],[SATUAN Fix Win]]&lt;&gt;"",1)</f>
        <v>1</v>
      </c>
    </row>
    <row r="147" spans="1:63">
      <c r="A147" s="4" t="str">
        <f>CONCATENATE(Table43[[#This Row],[Kode BARANG Win2]],Table43[[#This Row],[No. Urut
Item Sama]])</f>
        <v>K11000020001401</v>
      </c>
      <c r="B147" s="7">
        <v>1</v>
      </c>
      <c r="D147" s="28" t="s">
        <v>457</v>
      </c>
      <c r="E147" s="28"/>
      <c r="F147" s="28" t="s">
        <v>2976</v>
      </c>
      <c r="G147" s="78">
        <v>12</v>
      </c>
      <c r="H147" s="43"/>
      <c r="I147" s="28" t="str">
        <f>Table43[[#This Row],[Nama Jenis Kemasan]]</f>
        <v>JAR</v>
      </c>
      <c r="J147" s="4" t="str">
        <f>TRIM(CONCATENATE(Table43[[#This Row],[Nama            KLP]]," ",Table43[[#This Row],[Nama            Sub KLP]]))</f>
        <v>ELLIPS</v>
      </c>
      <c r="K147" s="4" t="str">
        <f>CONCATENATE(Table43[[#This Row],[kode  2 Digit                (hrf+No)]],Table43[[#This Row],[kode  2 Digit                (Nomor)]],Table43[[#This Row],[kode  1 Digit                (Nomor)]])</f>
        <v>K1100</v>
      </c>
      <c r="L147" s="4" t="str">
        <f t="shared" si="9"/>
        <v>K1100002000140</v>
      </c>
      <c r="M147" s="11">
        <f t="shared" si="10"/>
        <v>14</v>
      </c>
      <c r="N147" s="14" t="str">
        <f>IF(AF147&lt;&gt;"",TRIM(UPPER(CONCATENATE(P147," ",R147," ",T147," ",V147," ",X147," ",Z147," ","X"," ",Table43[[#This Row],[ISI/CTN]]," ",AF147," ",AB147," ",AD147," ",AH147))),TRIM(UPPER(CONCATENATE(P147," ",R147," ",T147," ",V147," ",X147," ",Z147," ","X"," ",Table43[[#This Row],[ISI/CTN]]," ",AB147," ",AD147," ",AH147))))</f>
        <v>KNF ELLIPS H.VIT HAIR VITALITY 1ML X 12 JAR</v>
      </c>
      <c r="O147" s="11">
        <f t="shared" si="11"/>
        <v>43</v>
      </c>
      <c r="P147" s="4" t="s">
        <v>97</v>
      </c>
      <c r="Q147" s="7" t="s">
        <v>98</v>
      </c>
      <c r="R147" s="4" t="s">
        <v>3658</v>
      </c>
      <c r="S147" s="44" t="s">
        <v>3564</v>
      </c>
      <c r="T147" s="45" t="s">
        <v>2961</v>
      </c>
      <c r="U147" s="7" t="s">
        <v>2900</v>
      </c>
      <c r="V147" s="45" t="s">
        <v>2961</v>
      </c>
      <c r="W147" s="44" t="s">
        <v>2900</v>
      </c>
      <c r="X147" s="4" t="s">
        <v>3680</v>
      </c>
      <c r="Y147" s="46" t="s">
        <v>2472</v>
      </c>
      <c r="Z147" s="4" t="s">
        <v>3679</v>
      </c>
      <c r="AA147" s="46" t="s">
        <v>2496</v>
      </c>
      <c r="AB147" s="4" t="s">
        <v>1019</v>
      </c>
      <c r="AC147" s="7" t="s">
        <v>3593</v>
      </c>
      <c r="AD147" s="4" t="s">
        <v>2961</v>
      </c>
      <c r="AE147" s="7" t="s">
        <v>2900</v>
      </c>
      <c r="AF147" s="7" t="s">
        <v>2961</v>
      </c>
      <c r="AG147" s="7" t="s">
        <v>2961</v>
      </c>
      <c r="AI147" s="7" t="s">
        <v>4100</v>
      </c>
      <c r="AJ147" s="7" t="s">
        <v>2656</v>
      </c>
      <c r="AK147" s="41">
        <f>Table43[[#This Row],[Harga Jual Pcs GT
(-PPN)]]-(Table43[[#This Row],[Harga Jual Pcs GT
(-PPN)]]*10%)</f>
        <v>0</v>
      </c>
      <c r="AL147" s="42">
        <f>Table43[[#This Row],[Harga Beli Pcs
(-PPN)]]*Table43[[#This Row],[ISI/CTN]]</f>
        <v>0</v>
      </c>
      <c r="AM147" s="42">
        <f>Table43[[#This Row],[Harga Beli Pcs
(-PPN)]]*1.11</f>
        <v>0</v>
      </c>
      <c r="AN147" s="42">
        <f>Table43[[#This Row],[Harga Beli Krt
(- PPN)]]*1.11</f>
        <v>0</v>
      </c>
      <c r="AO147" s="42"/>
      <c r="AP147" s="42">
        <f>Table43[[#This Row],[Harga Jual Pcs GT
(-PPN)]]*Table43[[#This Row],[ISI/CTN]]</f>
        <v>0</v>
      </c>
      <c r="AQ147" s="42">
        <f>Table43[[#This Row],[Harga Jual Pcs GT
(-PPN)]]*1.11</f>
        <v>0</v>
      </c>
      <c r="AR147" s="42">
        <f>Table43[[#This Row],[Harga Jual Krt GT
(- PPN)]]*1.11</f>
        <v>0</v>
      </c>
      <c r="AS147" s="42">
        <f>Table43[[#This Row],[Harga Jual Pcs GT
(-PPN)]]</f>
        <v>0</v>
      </c>
      <c r="AT147" s="42">
        <f>(Table43[[#This Row],[Harga Jual Pcs MT
(-PPN)]]*Table43[[#This Row],[ISI/CTN]])</f>
        <v>0</v>
      </c>
      <c r="AU147" s="42">
        <f>Table43[[#This Row],[Harga Jual Pcs MT
(-PPN)]]*1.11</f>
        <v>0</v>
      </c>
      <c r="AV147" s="42">
        <f>Table43[[#This Row],[Harga Jual Pcs MT
(+PPN)]]*Table43[[#This Row],[ISI/CTN]]</f>
        <v>0</v>
      </c>
      <c r="AW147" s="47"/>
      <c r="AX147" s="7"/>
      <c r="AY147" s="7" t="str">
        <f ca="1">IF(TODAY()-Table43[[#This Row],[Efektif
Pembuatan]]&gt;60,"Lama","Baru")</f>
        <v>Lama</v>
      </c>
      <c r="AZ147" s="7" t="str">
        <f ca="1">IF(TODAY()-Table43[[#This Row],[Efektif Naik Harga]]&lt;30,"Naik","Sama")</f>
        <v>Sama</v>
      </c>
      <c r="BA147" s="7" t="str">
        <f>IF(Table43[[#This Row],[Kode BARANG Win2]]&lt;&gt;"","IDR","")</f>
        <v>IDR</v>
      </c>
      <c r="BB147" s="7" t="str">
        <f>CONCATENATE(Table43[[#This Row],[kode  1 Digit
(Nomor)]],Table43[[#This Row],[kode  4 Digit                (Nomor)]])</f>
        <v>10001</v>
      </c>
      <c r="BC147" s="7" t="str">
        <f>Table43[[#This Row],[Nama            Gramasi atau Jumlah Pack per CTN]]</f>
        <v>1ML</v>
      </c>
      <c r="BD147" s="7"/>
      <c r="BE147" s="7"/>
      <c r="BF147" s="4" t="str">
        <f>IF(Table43[[#This Row],[SATUAN Fix Win]]&lt;&gt;"","KRT")</f>
        <v>KRT</v>
      </c>
      <c r="BG147" s="4" t="str">
        <f>IF(Table43[[#This Row],[SATUAN Fix Win]]&lt;&gt;"","GD01")</f>
        <v>GD01</v>
      </c>
      <c r="BH147" s="4">
        <f>IF(Table43[[#This Row],[SATUAN Fix Win]]&lt;&gt;"",11611)</f>
        <v>11611</v>
      </c>
      <c r="BI147" s="4">
        <f>IF(Table43[[#This Row],[SATUAN Fix Win]]&lt;&gt;"",11612)</f>
        <v>11612</v>
      </c>
      <c r="BJ147" s="48"/>
      <c r="BK147" s="4">
        <f>IF(Table43[[#This Row],[SATUAN Fix Win]]&lt;&gt;"",1)</f>
        <v>1</v>
      </c>
    </row>
    <row r="148" spans="1:63">
      <c r="A148" s="4" t="str">
        <f>CONCATENATE(Table43[[#This Row],[Kode BARANG Win2]],Table43[[#This Row],[No. Urut
Item Sama]])</f>
        <v>K11000030045201</v>
      </c>
      <c r="B148" s="7">
        <v>1</v>
      </c>
      <c r="D148" s="28" t="s">
        <v>470</v>
      </c>
      <c r="E148" s="28"/>
      <c r="F148" s="28" t="s">
        <v>2977</v>
      </c>
      <c r="G148" s="78">
        <v>36</v>
      </c>
      <c r="H148" s="43"/>
      <c r="I148" s="28" t="str">
        <f>Table43[[#This Row],[Nama Jenis Kemasan]]</f>
        <v>BTL</v>
      </c>
      <c r="J148" s="4" t="str">
        <f>TRIM(CONCATENATE(Table43[[#This Row],[Nama            KLP]]," ",Table43[[#This Row],[Nama            Sub KLP]]))</f>
        <v>ELLIPS</v>
      </c>
      <c r="K148" s="4" t="str">
        <f>CONCATENATE(Table43[[#This Row],[kode  2 Digit                (hrf+No)]],Table43[[#This Row],[kode  2 Digit                (Nomor)]],Table43[[#This Row],[kode  1 Digit                (Nomor)]])</f>
        <v>K1100</v>
      </c>
      <c r="L148" s="4" t="str">
        <f t="shared" si="9"/>
        <v>K1100003004520</v>
      </c>
      <c r="M148" s="11">
        <f t="shared" si="10"/>
        <v>14</v>
      </c>
      <c r="N148" s="14" t="str">
        <f>IF(AF148&lt;&gt;"",TRIM(UPPER(CONCATENATE(P148," ",R148," ",T148," ",V148," ",X148," ",Z148," ","X"," ",Table43[[#This Row],[ISI/CTN]]," ",AF148," ",AB148," ",AD148," ",AH148))),TRIM(UPPER(CONCATENATE(P148," ",R148," ",T148," ",V148," ",X148," ",Z148," ","X"," ",Table43[[#This Row],[ISI/CTN]]," ",AB148," ",AD148," ",AH148))))</f>
        <v>KNF ELLIPS H.VIT MILKSHAKE 45ML X 36 BTL</v>
      </c>
      <c r="O148" s="11">
        <f t="shared" si="11"/>
        <v>40</v>
      </c>
      <c r="P148" s="4" t="s">
        <v>97</v>
      </c>
      <c r="Q148" s="7" t="s">
        <v>98</v>
      </c>
      <c r="R148" s="4" t="s">
        <v>3658</v>
      </c>
      <c r="S148" s="44" t="s">
        <v>3564</v>
      </c>
      <c r="T148" s="45" t="s">
        <v>2961</v>
      </c>
      <c r="U148" s="7" t="s">
        <v>2900</v>
      </c>
      <c r="V148" s="45" t="s">
        <v>2961</v>
      </c>
      <c r="W148" s="44" t="s">
        <v>2900</v>
      </c>
      <c r="X148" s="4" t="s">
        <v>3681</v>
      </c>
      <c r="Y148" s="46" t="s">
        <v>2473</v>
      </c>
      <c r="Z148" s="4" t="s">
        <v>3682</v>
      </c>
      <c r="AA148" s="46" t="s">
        <v>2491</v>
      </c>
      <c r="AB148" s="4" t="s">
        <v>357</v>
      </c>
      <c r="AC148" s="7" t="s">
        <v>3562</v>
      </c>
      <c r="AD148" s="4" t="s">
        <v>2961</v>
      </c>
      <c r="AE148" s="7" t="s">
        <v>2900</v>
      </c>
      <c r="AF148" s="7" t="s">
        <v>2961</v>
      </c>
      <c r="AG148" s="7" t="s">
        <v>2961</v>
      </c>
      <c r="AI148" s="7" t="s">
        <v>4100</v>
      </c>
      <c r="AJ148" s="7" t="s">
        <v>2656</v>
      </c>
      <c r="AK148" s="41">
        <f>Table43[[#This Row],[Harga Jual Pcs GT
(-PPN)]]-(Table43[[#This Row],[Harga Jual Pcs GT
(-PPN)]]*10%)</f>
        <v>0</v>
      </c>
      <c r="AL148" s="42">
        <f>Table43[[#This Row],[Harga Beli Pcs
(-PPN)]]*Table43[[#This Row],[ISI/CTN]]</f>
        <v>0</v>
      </c>
      <c r="AM148" s="42">
        <f>Table43[[#This Row],[Harga Beli Pcs
(-PPN)]]*1.11</f>
        <v>0</v>
      </c>
      <c r="AN148" s="42">
        <f>Table43[[#This Row],[Harga Beli Krt
(- PPN)]]*1.11</f>
        <v>0</v>
      </c>
      <c r="AO148" s="42"/>
      <c r="AP148" s="42">
        <f>Table43[[#This Row],[Harga Jual Pcs GT
(-PPN)]]*Table43[[#This Row],[ISI/CTN]]</f>
        <v>0</v>
      </c>
      <c r="AQ148" s="42">
        <f>Table43[[#This Row],[Harga Jual Pcs GT
(-PPN)]]*1.11</f>
        <v>0</v>
      </c>
      <c r="AR148" s="42">
        <f>Table43[[#This Row],[Harga Jual Krt GT
(- PPN)]]*1.11</f>
        <v>0</v>
      </c>
      <c r="AS148" s="42">
        <f>Table43[[#This Row],[Harga Jual Pcs GT
(-PPN)]]</f>
        <v>0</v>
      </c>
      <c r="AT148" s="42">
        <f>(Table43[[#This Row],[Harga Jual Pcs MT
(-PPN)]]*Table43[[#This Row],[ISI/CTN]])</f>
        <v>0</v>
      </c>
      <c r="AU148" s="42">
        <f>Table43[[#This Row],[Harga Jual Pcs MT
(-PPN)]]*1.11</f>
        <v>0</v>
      </c>
      <c r="AV148" s="42">
        <f>Table43[[#This Row],[Harga Jual Pcs MT
(+PPN)]]*Table43[[#This Row],[ISI/CTN]]</f>
        <v>0</v>
      </c>
      <c r="AW148" s="47"/>
      <c r="AX148" s="7"/>
      <c r="AY148" s="7" t="str">
        <f ca="1">IF(TODAY()-Table43[[#This Row],[Efektif
Pembuatan]]&gt;60,"Lama","Baru")</f>
        <v>Lama</v>
      </c>
      <c r="AZ148" s="7" t="str">
        <f ca="1">IF(TODAY()-Table43[[#This Row],[Efektif Naik Harga]]&lt;30,"Naik","Sama")</f>
        <v>Sama</v>
      </c>
      <c r="BA148" s="7" t="str">
        <f>IF(Table43[[#This Row],[Kode BARANG Win2]]&lt;&gt;"","IDR","")</f>
        <v>IDR</v>
      </c>
      <c r="BB148" s="7" t="str">
        <f>CONCATENATE(Table43[[#This Row],[kode  1 Digit
(Nomor)]],Table43[[#This Row],[kode  4 Digit                (Nomor)]])</f>
        <v>10045</v>
      </c>
      <c r="BC148" s="7" t="str">
        <f>Table43[[#This Row],[Nama            Gramasi atau Jumlah Pack per CTN]]</f>
        <v>45ML</v>
      </c>
      <c r="BD148" s="7"/>
      <c r="BE148" s="7"/>
      <c r="BF148" s="4" t="str">
        <f>IF(Table43[[#This Row],[SATUAN Fix Win]]&lt;&gt;"","KRT")</f>
        <v>KRT</v>
      </c>
      <c r="BG148" s="4" t="str">
        <f>IF(Table43[[#This Row],[SATUAN Fix Win]]&lt;&gt;"","GD01")</f>
        <v>GD01</v>
      </c>
      <c r="BH148" s="4">
        <f>IF(Table43[[#This Row],[SATUAN Fix Win]]&lt;&gt;"",11611)</f>
        <v>11611</v>
      </c>
      <c r="BI148" s="4">
        <f>IF(Table43[[#This Row],[SATUAN Fix Win]]&lt;&gt;"",11612)</f>
        <v>11612</v>
      </c>
      <c r="BJ148" s="48"/>
      <c r="BK148" s="4">
        <f>IF(Table43[[#This Row],[SATUAN Fix Win]]&lt;&gt;"",1)</f>
        <v>1</v>
      </c>
    </row>
    <row r="149" spans="1:63">
      <c r="A149" s="4" t="str">
        <f>CONCATENATE(Table43[[#This Row],[Kode BARANG Win2]],Table43[[#This Row],[No. Urut
Item Sama]])</f>
        <v>K11000040001101</v>
      </c>
      <c r="B149" s="7">
        <v>1</v>
      </c>
      <c r="D149" s="28" t="s">
        <v>471</v>
      </c>
      <c r="E149" s="28"/>
      <c r="F149" s="28" t="s">
        <v>2978</v>
      </c>
      <c r="G149" s="78">
        <v>72</v>
      </c>
      <c r="H149" s="43"/>
      <c r="I149" s="28" t="str">
        <f>Table43[[#This Row],[Nama Jenis Kemasan]]</f>
        <v>BLR</v>
      </c>
      <c r="J149" s="4" t="str">
        <f>TRIM(CONCATENATE(Table43[[#This Row],[Nama            KLP]]," ",Table43[[#This Row],[Nama            Sub KLP]]))</f>
        <v>ELLIPS</v>
      </c>
      <c r="K149" s="4" t="str">
        <f>CONCATENATE(Table43[[#This Row],[kode  2 Digit                (hrf+No)]],Table43[[#This Row],[kode  2 Digit                (Nomor)]],Table43[[#This Row],[kode  1 Digit                (Nomor)]])</f>
        <v>K1100</v>
      </c>
      <c r="L149" s="4" t="str">
        <f t="shared" si="9"/>
        <v>K1100004000110</v>
      </c>
      <c r="M149" s="11">
        <f t="shared" si="10"/>
        <v>14</v>
      </c>
      <c r="N149" s="14" t="str">
        <f>IF(AF149&lt;&gt;"",TRIM(UPPER(CONCATENATE(P149," ",R149," ",T149," ",V149," ",X149," ",Z149," ","X"," ",Table43[[#This Row],[ISI/CTN]]," ",AF149," ",AB149," ",AD149," ",AH149))),TRIM(UPPER(CONCATENATE(P149," ",R149," ",T149," ",V149," ",X149," ",Z149," ","X"," ",Table43[[#This Row],[ISI/CTN]]," ",AB149," ",AD149," ",AH149))))</f>
        <v>KNF ELLIPS H.VIT NUTRI COLOR 1ML X 72 BLR</v>
      </c>
      <c r="O149" s="11">
        <f t="shared" si="11"/>
        <v>41</v>
      </c>
      <c r="P149" s="4" t="s">
        <v>97</v>
      </c>
      <c r="Q149" s="7" t="s">
        <v>98</v>
      </c>
      <c r="R149" s="4" t="s">
        <v>3658</v>
      </c>
      <c r="S149" s="44" t="s">
        <v>3564</v>
      </c>
      <c r="T149" s="45" t="s">
        <v>2961</v>
      </c>
      <c r="U149" s="7" t="s">
        <v>2900</v>
      </c>
      <c r="V149" s="45" t="s">
        <v>2961</v>
      </c>
      <c r="W149" s="44" t="s">
        <v>2900</v>
      </c>
      <c r="X149" s="4" t="s">
        <v>3683</v>
      </c>
      <c r="Y149" s="46" t="s">
        <v>2474</v>
      </c>
      <c r="Z149" s="4" t="s">
        <v>3679</v>
      </c>
      <c r="AA149" s="46" t="s">
        <v>2496</v>
      </c>
      <c r="AB149" s="4" t="s">
        <v>1024</v>
      </c>
      <c r="AC149" s="7" t="s">
        <v>2656</v>
      </c>
      <c r="AD149" s="4" t="s">
        <v>2961</v>
      </c>
      <c r="AE149" s="7" t="s">
        <v>2900</v>
      </c>
      <c r="AF149" s="7" t="s">
        <v>2961</v>
      </c>
      <c r="AG149" s="7" t="s">
        <v>2961</v>
      </c>
      <c r="AI149" s="7" t="s">
        <v>4100</v>
      </c>
      <c r="AJ149" s="7" t="s">
        <v>2656</v>
      </c>
      <c r="AK149" s="41">
        <f>Table43[[#This Row],[Harga Jual Pcs GT
(-PPN)]]-(Table43[[#This Row],[Harga Jual Pcs GT
(-PPN)]]*10%)</f>
        <v>0</v>
      </c>
      <c r="AL149" s="42">
        <f>Table43[[#This Row],[Harga Beli Pcs
(-PPN)]]*Table43[[#This Row],[ISI/CTN]]</f>
        <v>0</v>
      </c>
      <c r="AM149" s="42">
        <f>Table43[[#This Row],[Harga Beli Pcs
(-PPN)]]*1.11</f>
        <v>0</v>
      </c>
      <c r="AN149" s="42">
        <f>Table43[[#This Row],[Harga Beli Krt
(- PPN)]]*1.11</f>
        <v>0</v>
      </c>
      <c r="AO149" s="42"/>
      <c r="AP149" s="42">
        <f>Table43[[#This Row],[Harga Jual Pcs GT
(-PPN)]]*Table43[[#This Row],[ISI/CTN]]</f>
        <v>0</v>
      </c>
      <c r="AQ149" s="42">
        <f>Table43[[#This Row],[Harga Jual Pcs GT
(-PPN)]]*1.11</f>
        <v>0</v>
      </c>
      <c r="AR149" s="42">
        <f>Table43[[#This Row],[Harga Jual Krt GT
(- PPN)]]*1.11</f>
        <v>0</v>
      </c>
      <c r="AS149" s="42">
        <f>Table43[[#This Row],[Harga Jual Pcs GT
(-PPN)]]</f>
        <v>0</v>
      </c>
      <c r="AT149" s="42">
        <f>(Table43[[#This Row],[Harga Jual Pcs MT
(-PPN)]]*Table43[[#This Row],[ISI/CTN]])</f>
        <v>0</v>
      </c>
      <c r="AU149" s="42">
        <f>Table43[[#This Row],[Harga Jual Pcs MT
(-PPN)]]*1.11</f>
        <v>0</v>
      </c>
      <c r="AV149" s="42">
        <f>Table43[[#This Row],[Harga Jual Pcs MT
(+PPN)]]*Table43[[#This Row],[ISI/CTN]]</f>
        <v>0</v>
      </c>
      <c r="AW149" s="47"/>
      <c r="AX149" s="7"/>
      <c r="AY149" s="7" t="str">
        <f ca="1">IF(TODAY()-Table43[[#This Row],[Efektif
Pembuatan]]&gt;60,"Lama","Baru")</f>
        <v>Lama</v>
      </c>
      <c r="AZ149" s="7" t="str">
        <f ca="1">IF(TODAY()-Table43[[#This Row],[Efektif Naik Harga]]&lt;30,"Naik","Sama")</f>
        <v>Sama</v>
      </c>
      <c r="BA149" s="7" t="str">
        <f>IF(Table43[[#This Row],[Kode BARANG Win2]]&lt;&gt;"","IDR","")</f>
        <v>IDR</v>
      </c>
      <c r="BB149" s="7" t="str">
        <f>CONCATENATE(Table43[[#This Row],[kode  1 Digit
(Nomor)]],Table43[[#This Row],[kode  4 Digit                (Nomor)]])</f>
        <v>10001</v>
      </c>
      <c r="BC149" s="7" t="str">
        <f>Table43[[#This Row],[Nama            Gramasi atau Jumlah Pack per CTN]]</f>
        <v>1ML</v>
      </c>
      <c r="BD149" s="7"/>
      <c r="BE149" s="7"/>
      <c r="BF149" s="4" t="str">
        <f>IF(Table43[[#This Row],[SATUAN Fix Win]]&lt;&gt;"","KRT")</f>
        <v>KRT</v>
      </c>
      <c r="BG149" s="4" t="str">
        <f>IF(Table43[[#This Row],[SATUAN Fix Win]]&lt;&gt;"","GD01")</f>
        <v>GD01</v>
      </c>
      <c r="BH149" s="4">
        <f>IF(Table43[[#This Row],[SATUAN Fix Win]]&lt;&gt;"",11611)</f>
        <v>11611</v>
      </c>
      <c r="BI149" s="4">
        <f>IF(Table43[[#This Row],[SATUAN Fix Win]]&lt;&gt;"",11612)</f>
        <v>11612</v>
      </c>
      <c r="BJ149" s="48"/>
      <c r="BK149" s="4">
        <f>IF(Table43[[#This Row],[SATUAN Fix Win]]&lt;&gt;"",1)</f>
        <v>1</v>
      </c>
    </row>
    <row r="150" spans="1:63">
      <c r="A150" s="4" t="str">
        <f>CONCATENATE(Table43[[#This Row],[Kode BARANG Win2]],Table43[[#This Row],[No. Urut
Item Sama]])</f>
        <v>K11000040001401</v>
      </c>
      <c r="B150" s="7">
        <v>1</v>
      </c>
      <c r="D150" s="28" t="s">
        <v>453</v>
      </c>
      <c r="E150" s="28"/>
      <c r="F150" s="28" t="s">
        <v>2979</v>
      </c>
      <c r="G150" s="78">
        <v>12</v>
      </c>
      <c r="H150" s="43"/>
      <c r="I150" s="28" t="str">
        <f>Table43[[#This Row],[Nama Jenis Kemasan]]</f>
        <v>JAR</v>
      </c>
      <c r="J150" s="4" t="str">
        <f>TRIM(CONCATENATE(Table43[[#This Row],[Nama            KLP]]," ",Table43[[#This Row],[Nama            Sub KLP]]))</f>
        <v>ELLIPS</v>
      </c>
      <c r="K150" s="4" t="str">
        <f>CONCATENATE(Table43[[#This Row],[kode  2 Digit                (hrf+No)]],Table43[[#This Row],[kode  2 Digit                (Nomor)]],Table43[[#This Row],[kode  1 Digit                (Nomor)]])</f>
        <v>K1100</v>
      </c>
      <c r="L150" s="4" t="str">
        <f t="shared" si="9"/>
        <v>K1100004000140</v>
      </c>
      <c r="M150" s="11">
        <f t="shared" si="10"/>
        <v>14</v>
      </c>
      <c r="N150" s="14" t="str">
        <f>IF(AF150&lt;&gt;"",TRIM(UPPER(CONCATENATE(P150," ",R150," ",T150," ",V150," ",X150," ",Z150," ","X"," ",Table43[[#This Row],[ISI/CTN]]," ",AF150," ",AB150," ",AD150," ",AH150))),TRIM(UPPER(CONCATENATE(P150," ",R150," ",T150," ",V150," ",X150," ",Z150," ","X"," ",Table43[[#This Row],[ISI/CTN]]," ",AB150," ",AD150," ",AH150))))</f>
        <v>KNF ELLIPS H.VIT NUTRI COLOR 1ML X 12 JAR</v>
      </c>
      <c r="O150" s="11">
        <f t="shared" si="11"/>
        <v>41</v>
      </c>
      <c r="P150" s="4" t="s">
        <v>97</v>
      </c>
      <c r="Q150" s="7" t="s">
        <v>98</v>
      </c>
      <c r="R150" s="4" t="s">
        <v>3658</v>
      </c>
      <c r="S150" s="44" t="s">
        <v>3564</v>
      </c>
      <c r="T150" s="45" t="s">
        <v>2961</v>
      </c>
      <c r="U150" s="7" t="s">
        <v>2900</v>
      </c>
      <c r="V150" s="45" t="s">
        <v>2961</v>
      </c>
      <c r="W150" s="44" t="s">
        <v>2900</v>
      </c>
      <c r="X150" s="4" t="s">
        <v>3683</v>
      </c>
      <c r="Y150" s="46" t="s">
        <v>2474</v>
      </c>
      <c r="Z150" s="4" t="s">
        <v>3679</v>
      </c>
      <c r="AA150" s="46" t="s">
        <v>2496</v>
      </c>
      <c r="AB150" s="4" t="s">
        <v>1019</v>
      </c>
      <c r="AC150" s="7" t="s">
        <v>3593</v>
      </c>
      <c r="AD150" s="4" t="s">
        <v>2961</v>
      </c>
      <c r="AE150" s="7" t="s">
        <v>2900</v>
      </c>
      <c r="AF150" s="7" t="s">
        <v>2961</v>
      </c>
      <c r="AG150" s="7" t="s">
        <v>2961</v>
      </c>
      <c r="AI150" s="7" t="s">
        <v>4100</v>
      </c>
      <c r="AJ150" s="7" t="s">
        <v>2656</v>
      </c>
      <c r="AK150" s="41">
        <f>Table43[[#This Row],[Harga Jual Pcs GT
(-PPN)]]-(Table43[[#This Row],[Harga Jual Pcs GT
(-PPN)]]*10%)</f>
        <v>0</v>
      </c>
      <c r="AL150" s="42">
        <f>Table43[[#This Row],[Harga Beli Pcs
(-PPN)]]*Table43[[#This Row],[ISI/CTN]]</f>
        <v>0</v>
      </c>
      <c r="AM150" s="42">
        <f>Table43[[#This Row],[Harga Beli Pcs
(-PPN)]]*1.11</f>
        <v>0</v>
      </c>
      <c r="AN150" s="42">
        <f>Table43[[#This Row],[Harga Beli Krt
(- PPN)]]*1.11</f>
        <v>0</v>
      </c>
      <c r="AO150" s="42"/>
      <c r="AP150" s="42">
        <f>Table43[[#This Row],[Harga Jual Pcs GT
(-PPN)]]*Table43[[#This Row],[ISI/CTN]]</f>
        <v>0</v>
      </c>
      <c r="AQ150" s="42">
        <f>Table43[[#This Row],[Harga Jual Pcs GT
(-PPN)]]*1.11</f>
        <v>0</v>
      </c>
      <c r="AR150" s="42">
        <f>Table43[[#This Row],[Harga Jual Krt GT
(- PPN)]]*1.11</f>
        <v>0</v>
      </c>
      <c r="AS150" s="42">
        <f>Table43[[#This Row],[Harga Jual Pcs GT
(-PPN)]]</f>
        <v>0</v>
      </c>
      <c r="AT150" s="42">
        <f>(Table43[[#This Row],[Harga Jual Pcs MT
(-PPN)]]*Table43[[#This Row],[ISI/CTN]])</f>
        <v>0</v>
      </c>
      <c r="AU150" s="42">
        <f>Table43[[#This Row],[Harga Jual Pcs MT
(-PPN)]]*1.11</f>
        <v>0</v>
      </c>
      <c r="AV150" s="42">
        <f>Table43[[#This Row],[Harga Jual Pcs MT
(+PPN)]]*Table43[[#This Row],[ISI/CTN]]</f>
        <v>0</v>
      </c>
      <c r="AW150" s="47"/>
      <c r="AX150" s="7"/>
      <c r="AY150" s="7" t="str">
        <f ca="1">IF(TODAY()-Table43[[#This Row],[Efektif
Pembuatan]]&gt;60,"Lama","Baru")</f>
        <v>Lama</v>
      </c>
      <c r="AZ150" s="7" t="str">
        <f ca="1">IF(TODAY()-Table43[[#This Row],[Efektif Naik Harga]]&lt;30,"Naik","Sama")</f>
        <v>Sama</v>
      </c>
      <c r="BA150" s="7" t="str">
        <f>IF(Table43[[#This Row],[Kode BARANG Win2]]&lt;&gt;"","IDR","")</f>
        <v>IDR</v>
      </c>
      <c r="BB150" s="7" t="str">
        <f>CONCATENATE(Table43[[#This Row],[kode  1 Digit
(Nomor)]],Table43[[#This Row],[kode  4 Digit                (Nomor)]])</f>
        <v>10001</v>
      </c>
      <c r="BC150" s="7" t="str">
        <f>Table43[[#This Row],[Nama            Gramasi atau Jumlah Pack per CTN]]</f>
        <v>1ML</v>
      </c>
      <c r="BD150" s="7"/>
      <c r="BE150" s="7"/>
      <c r="BF150" s="4" t="str">
        <f>IF(Table43[[#This Row],[SATUAN Fix Win]]&lt;&gt;"","KRT")</f>
        <v>KRT</v>
      </c>
      <c r="BG150" s="4" t="str">
        <f>IF(Table43[[#This Row],[SATUAN Fix Win]]&lt;&gt;"","GD01")</f>
        <v>GD01</v>
      </c>
      <c r="BH150" s="4">
        <f>IF(Table43[[#This Row],[SATUAN Fix Win]]&lt;&gt;"",11611)</f>
        <v>11611</v>
      </c>
      <c r="BI150" s="4">
        <f>IF(Table43[[#This Row],[SATUAN Fix Win]]&lt;&gt;"",11612)</f>
        <v>11612</v>
      </c>
      <c r="BJ150" s="48"/>
      <c r="BK150" s="4">
        <f>IF(Table43[[#This Row],[SATUAN Fix Win]]&lt;&gt;"",1)</f>
        <v>1</v>
      </c>
    </row>
    <row r="151" spans="1:63">
      <c r="A151" s="4" t="str">
        <f>CONCATENATE(Table43[[#This Row],[Kode BARANG Win2]],Table43[[#This Row],[No. Urut
Item Sama]])</f>
        <v>K11000050001101</v>
      </c>
      <c r="B151" s="7">
        <v>1</v>
      </c>
      <c r="D151" s="28" t="s">
        <v>462</v>
      </c>
      <c r="E151" s="28"/>
      <c r="F151" s="28" t="s">
        <v>2980</v>
      </c>
      <c r="G151" s="78">
        <v>48</v>
      </c>
      <c r="H151" s="43"/>
      <c r="I151" s="28" t="str">
        <f>Table43[[#This Row],[Nama Jenis Kemasan]]</f>
        <v>BLR</v>
      </c>
      <c r="J151" s="4" t="str">
        <f>TRIM(CONCATENATE(Table43[[#This Row],[Nama            KLP]]," ",Table43[[#This Row],[Nama            Sub KLP]]))</f>
        <v>ELLIPS</v>
      </c>
      <c r="K151" s="4" t="str">
        <f>CONCATENATE(Table43[[#This Row],[kode  2 Digit                (hrf+No)]],Table43[[#This Row],[kode  2 Digit                (Nomor)]],Table43[[#This Row],[kode  1 Digit                (Nomor)]])</f>
        <v>K1100</v>
      </c>
      <c r="L151" s="4" t="str">
        <f t="shared" si="9"/>
        <v>K1100005000110</v>
      </c>
      <c r="M151" s="11">
        <f t="shared" si="10"/>
        <v>14</v>
      </c>
      <c r="N151" s="14" t="str">
        <f>IF(AF151&lt;&gt;"",TRIM(UPPER(CONCATENATE(P151," ",R151," ",T151," ",V151," ",X151," ",Z151," ","X"," ",Table43[[#This Row],[ISI/CTN]]," ",AF151," ",AB151," ",AD151," ",AH151))),TRIM(UPPER(CONCATENATE(P151," ",R151," ",T151," ",V151," ",X151," ",Z151," ","X"," ",Table43[[#This Row],[ISI/CTN]]," ",AB151," ",AD151," ",AH151))))</f>
        <v>KNF ELLIPS H.VIT PRWTN R.HITAM 1ML X 48 BLR</v>
      </c>
      <c r="O151" s="11">
        <f t="shared" si="11"/>
        <v>43</v>
      </c>
      <c r="P151" s="4" t="s">
        <v>97</v>
      </c>
      <c r="Q151" s="7" t="s">
        <v>98</v>
      </c>
      <c r="R151" s="4" t="s">
        <v>3658</v>
      </c>
      <c r="S151" s="44" t="s">
        <v>3564</v>
      </c>
      <c r="T151" s="45" t="s">
        <v>2961</v>
      </c>
      <c r="U151" s="7" t="s">
        <v>2900</v>
      </c>
      <c r="V151" s="45" t="s">
        <v>2961</v>
      </c>
      <c r="W151" s="44" t="s">
        <v>2900</v>
      </c>
      <c r="X151" s="4" t="s">
        <v>3684</v>
      </c>
      <c r="Y151" s="46" t="s">
        <v>2475</v>
      </c>
      <c r="Z151" s="4" t="s">
        <v>3679</v>
      </c>
      <c r="AA151" s="46" t="s">
        <v>2496</v>
      </c>
      <c r="AB151" s="4" t="s">
        <v>1024</v>
      </c>
      <c r="AC151" s="7" t="s">
        <v>2656</v>
      </c>
      <c r="AD151" s="4" t="s">
        <v>2961</v>
      </c>
      <c r="AE151" s="7" t="s">
        <v>2900</v>
      </c>
      <c r="AF151" s="7" t="s">
        <v>2961</v>
      </c>
      <c r="AG151" s="7" t="s">
        <v>2961</v>
      </c>
      <c r="AI151" s="7" t="s">
        <v>4100</v>
      </c>
      <c r="AJ151" s="7" t="s">
        <v>2656</v>
      </c>
      <c r="AK151" s="41">
        <f>Table43[[#This Row],[Harga Jual Pcs GT
(-PPN)]]-(Table43[[#This Row],[Harga Jual Pcs GT
(-PPN)]]*10%)</f>
        <v>0</v>
      </c>
      <c r="AL151" s="42">
        <f>Table43[[#This Row],[Harga Beli Pcs
(-PPN)]]*Table43[[#This Row],[ISI/CTN]]</f>
        <v>0</v>
      </c>
      <c r="AM151" s="42">
        <f>Table43[[#This Row],[Harga Beli Pcs
(-PPN)]]*1.11</f>
        <v>0</v>
      </c>
      <c r="AN151" s="42">
        <f>Table43[[#This Row],[Harga Beli Krt
(- PPN)]]*1.11</f>
        <v>0</v>
      </c>
      <c r="AO151" s="42"/>
      <c r="AP151" s="42">
        <f>Table43[[#This Row],[Harga Jual Pcs GT
(-PPN)]]*Table43[[#This Row],[ISI/CTN]]</f>
        <v>0</v>
      </c>
      <c r="AQ151" s="42">
        <f>Table43[[#This Row],[Harga Jual Pcs GT
(-PPN)]]*1.11</f>
        <v>0</v>
      </c>
      <c r="AR151" s="42">
        <f>Table43[[#This Row],[Harga Jual Krt GT
(- PPN)]]*1.11</f>
        <v>0</v>
      </c>
      <c r="AS151" s="42">
        <f>Table43[[#This Row],[Harga Jual Pcs GT
(-PPN)]]</f>
        <v>0</v>
      </c>
      <c r="AT151" s="42">
        <f>(Table43[[#This Row],[Harga Jual Pcs MT
(-PPN)]]*Table43[[#This Row],[ISI/CTN]])</f>
        <v>0</v>
      </c>
      <c r="AU151" s="42">
        <f>Table43[[#This Row],[Harga Jual Pcs MT
(-PPN)]]*1.11</f>
        <v>0</v>
      </c>
      <c r="AV151" s="42">
        <f>Table43[[#This Row],[Harga Jual Pcs MT
(+PPN)]]*Table43[[#This Row],[ISI/CTN]]</f>
        <v>0</v>
      </c>
      <c r="AW151" s="47"/>
      <c r="AX151" s="7"/>
      <c r="AY151" s="7" t="str">
        <f ca="1">IF(TODAY()-Table43[[#This Row],[Efektif
Pembuatan]]&gt;60,"Lama","Baru")</f>
        <v>Lama</v>
      </c>
      <c r="AZ151" s="7" t="str">
        <f ca="1">IF(TODAY()-Table43[[#This Row],[Efektif Naik Harga]]&lt;30,"Naik","Sama")</f>
        <v>Sama</v>
      </c>
      <c r="BA151" s="7" t="str">
        <f>IF(Table43[[#This Row],[Kode BARANG Win2]]&lt;&gt;"","IDR","")</f>
        <v>IDR</v>
      </c>
      <c r="BB151" s="7" t="str">
        <f>CONCATENATE(Table43[[#This Row],[kode  1 Digit
(Nomor)]],Table43[[#This Row],[kode  4 Digit                (Nomor)]])</f>
        <v>10001</v>
      </c>
      <c r="BC151" s="7" t="str">
        <f>Table43[[#This Row],[Nama            Gramasi atau Jumlah Pack per CTN]]</f>
        <v>1ML</v>
      </c>
      <c r="BD151" s="7"/>
      <c r="BE151" s="7"/>
      <c r="BF151" s="4" t="str">
        <f>IF(Table43[[#This Row],[SATUAN Fix Win]]&lt;&gt;"","KRT")</f>
        <v>KRT</v>
      </c>
      <c r="BG151" s="4" t="str">
        <f>IF(Table43[[#This Row],[SATUAN Fix Win]]&lt;&gt;"","GD01")</f>
        <v>GD01</v>
      </c>
      <c r="BH151" s="4">
        <f>IF(Table43[[#This Row],[SATUAN Fix Win]]&lt;&gt;"",11611)</f>
        <v>11611</v>
      </c>
      <c r="BI151" s="4">
        <f>IF(Table43[[#This Row],[SATUAN Fix Win]]&lt;&gt;"",11612)</f>
        <v>11612</v>
      </c>
      <c r="BJ151" s="48"/>
      <c r="BK151" s="4">
        <f>IF(Table43[[#This Row],[SATUAN Fix Win]]&lt;&gt;"",1)</f>
        <v>1</v>
      </c>
    </row>
    <row r="152" spans="1:63">
      <c r="A152" s="4" t="str">
        <f>CONCATENATE(Table43[[#This Row],[Kode BARANG Win2]],Table43[[#This Row],[No. Urut
Item Sama]])</f>
        <v>K11000060001101</v>
      </c>
      <c r="B152" s="7">
        <v>1</v>
      </c>
      <c r="D152" s="28" t="s">
        <v>461</v>
      </c>
      <c r="E152" s="28"/>
      <c r="F152" s="28" t="s">
        <v>2981</v>
      </c>
      <c r="G152" s="78">
        <v>48</v>
      </c>
      <c r="H152" s="43"/>
      <c r="I152" s="28" t="str">
        <f>Table43[[#This Row],[Nama Jenis Kemasan]]</f>
        <v>BLR</v>
      </c>
      <c r="J152" s="4" t="str">
        <f>TRIM(CONCATENATE(Table43[[#This Row],[Nama            KLP]]," ",Table43[[#This Row],[Nama            Sub KLP]]))</f>
        <v>ELLIPS</v>
      </c>
      <c r="K152" s="4" t="str">
        <f>CONCATENATE(Table43[[#This Row],[kode  2 Digit                (hrf+No)]],Table43[[#This Row],[kode  2 Digit                (Nomor)]],Table43[[#This Row],[kode  1 Digit                (Nomor)]])</f>
        <v>K1100</v>
      </c>
      <c r="L152" s="4" t="str">
        <f t="shared" si="9"/>
        <v>K1100006000110</v>
      </c>
      <c r="M152" s="11">
        <f t="shared" si="10"/>
        <v>14</v>
      </c>
      <c r="N152" s="14" t="str">
        <f>IF(AF152&lt;&gt;"",TRIM(UPPER(CONCATENATE(P152," ",R152," ",T152," ",V152," ",X152," ",Z152," ","X"," ",Table43[[#This Row],[ISI/CTN]]," ",AF152," ",AB152," ",AD152," ",AH152))),TRIM(UPPER(CONCATENATE(P152," ",R152," ",T152," ",V152," ",X152," ",Z152," ","X"," ",Table43[[#This Row],[ISI/CTN]]," ",AB152," ",AD152," ",AH152))))</f>
        <v>KNF ELLIPS H.VIT PRWTN R.RUSAK 1ML X 48 BLR</v>
      </c>
      <c r="O152" s="11">
        <f t="shared" si="11"/>
        <v>43</v>
      </c>
      <c r="P152" s="4" t="s">
        <v>97</v>
      </c>
      <c r="Q152" s="7" t="s">
        <v>98</v>
      </c>
      <c r="R152" s="4" t="s">
        <v>3658</v>
      </c>
      <c r="S152" s="44" t="s">
        <v>3564</v>
      </c>
      <c r="T152" s="45" t="s">
        <v>2961</v>
      </c>
      <c r="U152" s="7" t="s">
        <v>2900</v>
      </c>
      <c r="V152" s="45" t="s">
        <v>2961</v>
      </c>
      <c r="W152" s="44" t="s">
        <v>2900</v>
      </c>
      <c r="X152" s="4" t="s">
        <v>3685</v>
      </c>
      <c r="Y152" s="46" t="s">
        <v>2476</v>
      </c>
      <c r="Z152" s="4" t="s">
        <v>3679</v>
      </c>
      <c r="AA152" s="46" t="s">
        <v>2496</v>
      </c>
      <c r="AB152" s="4" t="s">
        <v>1024</v>
      </c>
      <c r="AC152" s="7" t="s">
        <v>2656</v>
      </c>
      <c r="AD152" s="4" t="s">
        <v>2961</v>
      </c>
      <c r="AE152" s="7" t="s">
        <v>2900</v>
      </c>
      <c r="AF152" s="7" t="s">
        <v>2961</v>
      </c>
      <c r="AG152" s="7" t="s">
        <v>2961</v>
      </c>
      <c r="AI152" s="7" t="s">
        <v>4100</v>
      </c>
      <c r="AJ152" s="7" t="s">
        <v>2656</v>
      </c>
      <c r="AK152" s="41">
        <f>Table43[[#This Row],[Harga Jual Pcs GT
(-PPN)]]-(Table43[[#This Row],[Harga Jual Pcs GT
(-PPN)]]*10%)</f>
        <v>0</v>
      </c>
      <c r="AL152" s="42">
        <f>Table43[[#This Row],[Harga Beli Pcs
(-PPN)]]*Table43[[#This Row],[ISI/CTN]]</f>
        <v>0</v>
      </c>
      <c r="AM152" s="42">
        <f>Table43[[#This Row],[Harga Beli Pcs
(-PPN)]]*1.11</f>
        <v>0</v>
      </c>
      <c r="AN152" s="42">
        <f>Table43[[#This Row],[Harga Beli Krt
(- PPN)]]*1.11</f>
        <v>0</v>
      </c>
      <c r="AO152" s="42"/>
      <c r="AP152" s="42">
        <f>Table43[[#This Row],[Harga Jual Pcs GT
(-PPN)]]*Table43[[#This Row],[ISI/CTN]]</f>
        <v>0</v>
      </c>
      <c r="AQ152" s="42">
        <f>Table43[[#This Row],[Harga Jual Pcs GT
(-PPN)]]*1.11</f>
        <v>0</v>
      </c>
      <c r="AR152" s="42">
        <f>Table43[[#This Row],[Harga Jual Krt GT
(- PPN)]]*1.11</f>
        <v>0</v>
      </c>
      <c r="AS152" s="42">
        <f>Table43[[#This Row],[Harga Jual Pcs GT
(-PPN)]]</f>
        <v>0</v>
      </c>
      <c r="AT152" s="42">
        <f>(Table43[[#This Row],[Harga Jual Pcs MT
(-PPN)]]*Table43[[#This Row],[ISI/CTN]])</f>
        <v>0</v>
      </c>
      <c r="AU152" s="42">
        <f>Table43[[#This Row],[Harga Jual Pcs MT
(-PPN)]]*1.11</f>
        <v>0</v>
      </c>
      <c r="AV152" s="42">
        <f>Table43[[#This Row],[Harga Jual Pcs MT
(+PPN)]]*Table43[[#This Row],[ISI/CTN]]</f>
        <v>0</v>
      </c>
      <c r="AW152" s="47"/>
      <c r="AX152" s="7"/>
      <c r="AY152" s="7" t="str">
        <f ca="1">IF(TODAY()-Table43[[#This Row],[Efektif
Pembuatan]]&gt;60,"Lama","Baru")</f>
        <v>Lama</v>
      </c>
      <c r="AZ152" s="7" t="str">
        <f ca="1">IF(TODAY()-Table43[[#This Row],[Efektif Naik Harga]]&lt;30,"Naik","Sama")</f>
        <v>Sama</v>
      </c>
      <c r="BA152" s="7" t="str">
        <f>IF(Table43[[#This Row],[Kode BARANG Win2]]&lt;&gt;"","IDR","")</f>
        <v>IDR</v>
      </c>
      <c r="BB152" s="7" t="str">
        <f>CONCATENATE(Table43[[#This Row],[kode  1 Digit
(Nomor)]],Table43[[#This Row],[kode  4 Digit                (Nomor)]])</f>
        <v>10001</v>
      </c>
      <c r="BC152" s="7" t="str">
        <f>Table43[[#This Row],[Nama            Gramasi atau Jumlah Pack per CTN]]</f>
        <v>1ML</v>
      </c>
      <c r="BD152" s="7"/>
      <c r="BE152" s="7"/>
      <c r="BF152" s="4" t="str">
        <f>IF(Table43[[#This Row],[SATUAN Fix Win]]&lt;&gt;"","KRT")</f>
        <v>KRT</v>
      </c>
      <c r="BG152" s="4" t="str">
        <f>IF(Table43[[#This Row],[SATUAN Fix Win]]&lt;&gt;"","GD01")</f>
        <v>GD01</v>
      </c>
      <c r="BH152" s="4">
        <f>IF(Table43[[#This Row],[SATUAN Fix Win]]&lt;&gt;"",11611)</f>
        <v>11611</v>
      </c>
      <c r="BI152" s="4">
        <f>IF(Table43[[#This Row],[SATUAN Fix Win]]&lt;&gt;"",11612)</f>
        <v>11612</v>
      </c>
      <c r="BJ152" s="48"/>
      <c r="BK152" s="4">
        <f>IF(Table43[[#This Row],[SATUAN Fix Win]]&lt;&gt;"",1)</f>
        <v>1</v>
      </c>
    </row>
    <row r="153" spans="1:63">
      <c r="A153" s="4" t="str">
        <f>CONCATENATE(Table43[[#This Row],[Kode BARANG Win2]],Table43[[#This Row],[No. Urut
Item Sama]])</f>
        <v>K11000070001101</v>
      </c>
      <c r="B153" s="7">
        <v>1</v>
      </c>
      <c r="D153" s="28" t="s">
        <v>472</v>
      </c>
      <c r="E153" s="28"/>
      <c r="F153" s="28" t="s">
        <v>2982</v>
      </c>
      <c r="G153" s="78">
        <v>72</v>
      </c>
      <c r="H153" s="43"/>
      <c r="I153" s="28" t="str">
        <f>Table43[[#This Row],[Nama Jenis Kemasan]]</f>
        <v>BLR</v>
      </c>
      <c r="J153" s="4" t="str">
        <f>TRIM(CONCATENATE(Table43[[#This Row],[Nama            KLP]]," ",Table43[[#This Row],[Nama            Sub KLP]]))</f>
        <v>ELLIPS</v>
      </c>
      <c r="K153" s="4" t="str">
        <f>CONCATENATE(Table43[[#This Row],[kode  2 Digit                (hrf+No)]],Table43[[#This Row],[kode  2 Digit                (Nomor)]],Table43[[#This Row],[kode  1 Digit                (Nomor)]])</f>
        <v>K1100</v>
      </c>
      <c r="L153" s="4" t="str">
        <f t="shared" si="9"/>
        <v>K1100007000110</v>
      </c>
      <c r="M153" s="11">
        <f t="shared" si="10"/>
        <v>14</v>
      </c>
      <c r="N153" s="14" t="str">
        <f>IF(AF153&lt;&gt;"",TRIM(UPPER(CONCATENATE(P153," ",R153," ",T153," ",V153," ",X153," ",Z153," ","X"," ",Table43[[#This Row],[ISI/CTN]]," ",AF153," ",AB153," ",AD153," ",AH153))),TRIM(UPPER(CONCATENATE(P153," ",R153," ",T153," ",V153," ",X153," ",Z153," ","X"," ",Table43[[#This Row],[ISI/CTN]]," ",AB153," ",AD153," ",AH153))))</f>
        <v>KNF ELLIPS H.VIT SHINY BLACK 1ML X 72 BLR</v>
      </c>
      <c r="O153" s="11">
        <f t="shared" si="11"/>
        <v>41</v>
      </c>
      <c r="P153" s="4" t="s">
        <v>97</v>
      </c>
      <c r="Q153" s="7" t="s">
        <v>98</v>
      </c>
      <c r="R153" s="4" t="s">
        <v>3658</v>
      </c>
      <c r="S153" s="44" t="s">
        <v>3564</v>
      </c>
      <c r="T153" s="45" t="s">
        <v>2961</v>
      </c>
      <c r="U153" s="7" t="s">
        <v>2900</v>
      </c>
      <c r="V153" s="45" t="s">
        <v>2961</v>
      </c>
      <c r="W153" s="44" t="s">
        <v>2900</v>
      </c>
      <c r="X153" s="4" t="s">
        <v>3686</v>
      </c>
      <c r="Y153" s="46" t="s">
        <v>2477</v>
      </c>
      <c r="Z153" s="4" t="s">
        <v>3679</v>
      </c>
      <c r="AA153" s="46" t="s">
        <v>2496</v>
      </c>
      <c r="AB153" s="4" t="s">
        <v>1024</v>
      </c>
      <c r="AC153" s="7" t="s">
        <v>2656</v>
      </c>
      <c r="AD153" s="4" t="s">
        <v>2961</v>
      </c>
      <c r="AE153" s="7" t="s">
        <v>2900</v>
      </c>
      <c r="AF153" s="7" t="s">
        <v>2961</v>
      </c>
      <c r="AG153" s="7" t="s">
        <v>2961</v>
      </c>
      <c r="AI153" s="7" t="s">
        <v>4100</v>
      </c>
      <c r="AJ153" s="7" t="s">
        <v>2656</v>
      </c>
      <c r="AK153" s="41">
        <f>Table43[[#This Row],[Harga Jual Pcs GT
(-PPN)]]-(Table43[[#This Row],[Harga Jual Pcs GT
(-PPN)]]*10%)</f>
        <v>0</v>
      </c>
      <c r="AL153" s="42">
        <f>Table43[[#This Row],[Harga Beli Pcs
(-PPN)]]*Table43[[#This Row],[ISI/CTN]]</f>
        <v>0</v>
      </c>
      <c r="AM153" s="42">
        <f>Table43[[#This Row],[Harga Beli Pcs
(-PPN)]]*1.11</f>
        <v>0</v>
      </c>
      <c r="AN153" s="42">
        <f>Table43[[#This Row],[Harga Beli Krt
(- PPN)]]*1.11</f>
        <v>0</v>
      </c>
      <c r="AO153" s="42"/>
      <c r="AP153" s="42">
        <f>Table43[[#This Row],[Harga Jual Pcs GT
(-PPN)]]*Table43[[#This Row],[ISI/CTN]]</f>
        <v>0</v>
      </c>
      <c r="AQ153" s="42">
        <f>Table43[[#This Row],[Harga Jual Pcs GT
(-PPN)]]*1.11</f>
        <v>0</v>
      </c>
      <c r="AR153" s="42">
        <f>Table43[[#This Row],[Harga Jual Krt GT
(- PPN)]]*1.11</f>
        <v>0</v>
      </c>
      <c r="AS153" s="42">
        <f>Table43[[#This Row],[Harga Jual Pcs GT
(-PPN)]]</f>
        <v>0</v>
      </c>
      <c r="AT153" s="42">
        <f>(Table43[[#This Row],[Harga Jual Pcs MT
(-PPN)]]*Table43[[#This Row],[ISI/CTN]])</f>
        <v>0</v>
      </c>
      <c r="AU153" s="42">
        <f>Table43[[#This Row],[Harga Jual Pcs MT
(-PPN)]]*1.11</f>
        <v>0</v>
      </c>
      <c r="AV153" s="42">
        <f>Table43[[#This Row],[Harga Jual Pcs MT
(+PPN)]]*Table43[[#This Row],[ISI/CTN]]</f>
        <v>0</v>
      </c>
      <c r="AW153" s="47"/>
      <c r="AX153" s="7"/>
      <c r="AY153" s="7" t="str">
        <f ca="1">IF(TODAY()-Table43[[#This Row],[Efektif
Pembuatan]]&gt;60,"Lama","Baru")</f>
        <v>Lama</v>
      </c>
      <c r="AZ153" s="7" t="str">
        <f ca="1">IF(TODAY()-Table43[[#This Row],[Efektif Naik Harga]]&lt;30,"Naik","Sama")</f>
        <v>Sama</v>
      </c>
      <c r="BA153" s="7" t="str">
        <f>IF(Table43[[#This Row],[Kode BARANG Win2]]&lt;&gt;"","IDR","")</f>
        <v>IDR</v>
      </c>
      <c r="BB153" s="7" t="str">
        <f>CONCATENATE(Table43[[#This Row],[kode  1 Digit
(Nomor)]],Table43[[#This Row],[kode  4 Digit                (Nomor)]])</f>
        <v>10001</v>
      </c>
      <c r="BC153" s="7" t="str">
        <f>Table43[[#This Row],[Nama            Gramasi atau Jumlah Pack per CTN]]</f>
        <v>1ML</v>
      </c>
      <c r="BD153" s="7"/>
      <c r="BE153" s="7"/>
      <c r="BF153" s="4" t="str">
        <f>IF(Table43[[#This Row],[SATUAN Fix Win]]&lt;&gt;"","KRT")</f>
        <v>KRT</v>
      </c>
      <c r="BG153" s="4" t="str">
        <f>IF(Table43[[#This Row],[SATUAN Fix Win]]&lt;&gt;"","GD01")</f>
        <v>GD01</v>
      </c>
      <c r="BH153" s="4">
        <f>IF(Table43[[#This Row],[SATUAN Fix Win]]&lt;&gt;"",11611)</f>
        <v>11611</v>
      </c>
      <c r="BI153" s="4">
        <f>IF(Table43[[#This Row],[SATUAN Fix Win]]&lt;&gt;"",11612)</f>
        <v>11612</v>
      </c>
      <c r="BJ153" s="48"/>
      <c r="BK153" s="4">
        <f>IF(Table43[[#This Row],[SATUAN Fix Win]]&lt;&gt;"",1)</f>
        <v>1</v>
      </c>
    </row>
    <row r="154" spans="1:63">
      <c r="A154" s="4" t="str">
        <f>CONCATENATE(Table43[[#This Row],[Kode BARANG Win2]],Table43[[#This Row],[No. Urut
Item Sama]])</f>
        <v>K11000070001401</v>
      </c>
      <c r="B154" s="7">
        <v>1</v>
      </c>
      <c r="D154" s="28" t="s">
        <v>455</v>
      </c>
      <c r="E154" s="28"/>
      <c r="F154" s="28" t="s">
        <v>2983</v>
      </c>
      <c r="G154" s="78">
        <v>12</v>
      </c>
      <c r="H154" s="43"/>
      <c r="I154" s="28" t="str">
        <f>Table43[[#This Row],[Nama Jenis Kemasan]]</f>
        <v>JAR</v>
      </c>
      <c r="J154" s="4" t="str">
        <f>TRIM(CONCATENATE(Table43[[#This Row],[Nama            KLP]]," ",Table43[[#This Row],[Nama            Sub KLP]]))</f>
        <v>ELLIPS</v>
      </c>
      <c r="K154" s="4" t="str">
        <f>CONCATENATE(Table43[[#This Row],[kode  2 Digit                (hrf+No)]],Table43[[#This Row],[kode  2 Digit                (Nomor)]],Table43[[#This Row],[kode  1 Digit                (Nomor)]])</f>
        <v>K1100</v>
      </c>
      <c r="L154" s="4" t="str">
        <f t="shared" si="9"/>
        <v>K1100007000140</v>
      </c>
      <c r="M154" s="11">
        <f t="shared" si="10"/>
        <v>14</v>
      </c>
      <c r="N154" s="14" t="str">
        <f>IF(AF154&lt;&gt;"",TRIM(UPPER(CONCATENATE(P154," ",R154," ",T154," ",V154," ",X154," ",Z154," ","X"," ",Table43[[#This Row],[ISI/CTN]]," ",AF154," ",AB154," ",AD154," ",AH154))),TRIM(UPPER(CONCATENATE(P154," ",R154," ",T154," ",V154," ",X154," ",Z154," ","X"," ",Table43[[#This Row],[ISI/CTN]]," ",AB154," ",AD154," ",AH154))))</f>
        <v>KNF ELLIPS H.VIT SHINY BLACK 1ML X 12 JAR</v>
      </c>
      <c r="O154" s="11">
        <f t="shared" si="11"/>
        <v>41</v>
      </c>
      <c r="P154" s="4" t="s">
        <v>97</v>
      </c>
      <c r="Q154" s="7" t="s">
        <v>98</v>
      </c>
      <c r="R154" s="4" t="s">
        <v>3658</v>
      </c>
      <c r="S154" s="44" t="s">
        <v>3564</v>
      </c>
      <c r="T154" s="45" t="s">
        <v>2961</v>
      </c>
      <c r="U154" s="7" t="s">
        <v>2900</v>
      </c>
      <c r="V154" s="45" t="s">
        <v>2961</v>
      </c>
      <c r="W154" s="44" t="s">
        <v>2900</v>
      </c>
      <c r="X154" s="4" t="s">
        <v>3686</v>
      </c>
      <c r="Y154" s="46" t="s">
        <v>2477</v>
      </c>
      <c r="Z154" s="4" t="s">
        <v>3679</v>
      </c>
      <c r="AA154" s="46" t="s">
        <v>2496</v>
      </c>
      <c r="AB154" s="4" t="s">
        <v>1019</v>
      </c>
      <c r="AC154" s="7" t="s">
        <v>3593</v>
      </c>
      <c r="AD154" s="4" t="s">
        <v>2961</v>
      </c>
      <c r="AE154" s="7" t="s">
        <v>2900</v>
      </c>
      <c r="AF154" s="7" t="s">
        <v>2961</v>
      </c>
      <c r="AG154" s="7" t="s">
        <v>2961</v>
      </c>
      <c r="AI154" s="7" t="s">
        <v>4100</v>
      </c>
      <c r="AJ154" s="7" t="s">
        <v>2656</v>
      </c>
      <c r="AK154" s="41">
        <f>Table43[[#This Row],[Harga Jual Pcs GT
(-PPN)]]-(Table43[[#This Row],[Harga Jual Pcs GT
(-PPN)]]*10%)</f>
        <v>0</v>
      </c>
      <c r="AL154" s="42">
        <f>Table43[[#This Row],[Harga Beli Pcs
(-PPN)]]*Table43[[#This Row],[ISI/CTN]]</f>
        <v>0</v>
      </c>
      <c r="AM154" s="42">
        <f>Table43[[#This Row],[Harga Beli Pcs
(-PPN)]]*1.11</f>
        <v>0</v>
      </c>
      <c r="AN154" s="42">
        <f>Table43[[#This Row],[Harga Beli Krt
(- PPN)]]*1.11</f>
        <v>0</v>
      </c>
      <c r="AO154" s="42"/>
      <c r="AP154" s="42">
        <f>Table43[[#This Row],[Harga Jual Pcs GT
(-PPN)]]*Table43[[#This Row],[ISI/CTN]]</f>
        <v>0</v>
      </c>
      <c r="AQ154" s="42">
        <f>Table43[[#This Row],[Harga Jual Pcs GT
(-PPN)]]*1.11</f>
        <v>0</v>
      </c>
      <c r="AR154" s="42">
        <f>Table43[[#This Row],[Harga Jual Krt GT
(- PPN)]]*1.11</f>
        <v>0</v>
      </c>
      <c r="AS154" s="42">
        <f>Table43[[#This Row],[Harga Jual Pcs GT
(-PPN)]]</f>
        <v>0</v>
      </c>
      <c r="AT154" s="42">
        <f>(Table43[[#This Row],[Harga Jual Pcs MT
(-PPN)]]*Table43[[#This Row],[ISI/CTN]])</f>
        <v>0</v>
      </c>
      <c r="AU154" s="42">
        <f>Table43[[#This Row],[Harga Jual Pcs MT
(-PPN)]]*1.11</f>
        <v>0</v>
      </c>
      <c r="AV154" s="42">
        <f>Table43[[#This Row],[Harga Jual Pcs MT
(+PPN)]]*Table43[[#This Row],[ISI/CTN]]</f>
        <v>0</v>
      </c>
      <c r="AW154" s="47"/>
      <c r="AX154" s="7"/>
      <c r="AY154" s="7" t="str">
        <f ca="1">IF(TODAY()-Table43[[#This Row],[Efektif
Pembuatan]]&gt;60,"Lama","Baru")</f>
        <v>Lama</v>
      </c>
      <c r="AZ154" s="7" t="str">
        <f ca="1">IF(TODAY()-Table43[[#This Row],[Efektif Naik Harga]]&lt;30,"Naik","Sama")</f>
        <v>Sama</v>
      </c>
      <c r="BA154" s="7" t="str">
        <f>IF(Table43[[#This Row],[Kode BARANG Win2]]&lt;&gt;"","IDR","")</f>
        <v>IDR</v>
      </c>
      <c r="BB154" s="7" t="str">
        <f>CONCATENATE(Table43[[#This Row],[kode  1 Digit
(Nomor)]],Table43[[#This Row],[kode  4 Digit                (Nomor)]])</f>
        <v>10001</v>
      </c>
      <c r="BC154" s="7" t="str">
        <f>Table43[[#This Row],[Nama            Gramasi atau Jumlah Pack per CTN]]</f>
        <v>1ML</v>
      </c>
      <c r="BD154" s="7"/>
      <c r="BE154" s="7"/>
      <c r="BF154" s="4" t="str">
        <f>IF(Table43[[#This Row],[SATUAN Fix Win]]&lt;&gt;"","KRT")</f>
        <v>KRT</v>
      </c>
      <c r="BG154" s="4" t="str">
        <f>IF(Table43[[#This Row],[SATUAN Fix Win]]&lt;&gt;"","GD01")</f>
        <v>GD01</v>
      </c>
      <c r="BH154" s="4">
        <f>IF(Table43[[#This Row],[SATUAN Fix Win]]&lt;&gt;"",11611)</f>
        <v>11611</v>
      </c>
      <c r="BI154" s="4">
        <f>IF(Table43[[#This Row],[SATUAN Fix Win]]&lt;&gt;"",11612)</f>
        <v>11612</v>
      </c>
      <c r="BJ154" s="48"/>
      <c r="BK154" s="4">
        <f>IF(Table43[[#This Row],[SATUAN Fix Win]]&lt;&gt;"",1)</f>
        <v>1</v>
      </c>
    </row>
    <row r="155" spans="1:63">
      <c r="A155" s="4" t="str">
        <f>CONCATENATE(Table43[[#This Row],[Kode BARANG Win2]],Table43[[#This Row],[No. Urut
Item Sama]])</f>
        <v>K11000080001101</v>
      </c>
      <c r="B155" s="7">
        <v>1</v>
      </c>
      <c r="D155" s="28" t="s">
        <v>473</v>
      </c>
      <c r="E155" s="28"/>
      <c r="F155" s="28" t="s">
        <v>2984</v>
      </c>
      <c r="G155" s="78">
        <v>72</v>
      </c>
      <c r="H155" s="43"/>
      <c r="I155" s="28" t="str">
        <f>Table43[[#This Row],[Nama Jenis Kemasan]]</f>
        <v>BLR</v>
      </c>
      <c r="J155" s="4" t="str">
        <f>TRIM(CONCATENATE(Table43[[#This Row],[Nama            KLP]]," ",Table43[[#This Row],[Nama            Sub KLP]]))</f>
        <v>ELLIPS</v>
      </c>
      <c r="K155" s="4" t="str">
        <f>CONCATENATE(Table43[[#This Row],[kode  2 Digit                (hrf+No)]],Table43[[#This Row],[kode  2 Digit                (Nomor)]],Table43[[#This Row],[kode  1 Digit                (Nomor)]])</f>
        <v>K1100</v>
      </c>
      <c r="L155" s="4" t="str">
        <f t="shared" si="9"/>
        <v>K1100008000110</v>
      </c>
      <c r="M155" s="11">
        <f t="shared" si="10"/>
        <v>14</v>
      </c>
      <c r="N155" s="14" t="str">
        <f>IF(AF155&lt;&gt;"",TRIM(UPPER(CONCATENATE(P155," ",R155," ",T155," ",V155," ",X155," ",Z155," ","X"," ",Table43[[#This Row],[ISI/CTN]]," ",AF155," ",AB155," ",AD155," ",AH155))),TRIM(UPPER(CONCATENATE(P155," ",R155," ",T155," ",V155," ",X155," ",Z155," ","X"," ",Table43[[#This Row],[ISI/CTN]]," ",AB155," ",AD155," ",AH155))))</f>
        <v>KNF ELLIPS H.VIT SMOOTH &amp; SHINY 1ML X 72 BLR</v>
      </c>
      <c r="O155" s="11">
        <f t="shared" si="11"/>
        <v>44</v>
      </c>
      <c r="P155" s="4" t="s">
        <v>97</v>
      </c>
      <c r="Q155" s="7" t="s">
        <v>98</v>
      </c>
      <c r="R155" s="4" t="s">
        <v>3658</v>
      </c>
      <c r="S155" s="44" t="s">
        <v>3564</v>
      </c>
      <c r="T155" s="45" t="s">
        <v>2961</v>
      </c>
      <c r="U155" s="7" t="s">
        <v>2900</v>
      </c>
      <c r="V155" s="45" t="s">
        <v>2961</v>
      </c>
      <c r="W155" s="44" t="s">
        <v>2900</v>
      </c>
      <c r="X155" s="4" t="s">
        <v>3687</v>
      </c>
      <c r="Y155" s="46" t="s">
        <v>2478</v>
      </c>
      <c r="Z155" s="4" t="s">
        <v>3679</v>
      </c>
      <c r="AA155" s="46" t="s">
        <v>2496</v>
      </c>
      <c r="AB155" s="4" t="s">
        <v>1024</v>
      </c>
      <c r="AC155" s="7" t="s">
        <v>2656</v>
      </c>
      <c r="AD155" s="4" t="s">
        <v>2961</v>
      </c>
      <c r="AE155" s="7" t="s">
        <v>2900</v>
      </c>
      <c r="AF155" s="7" t="s">
        <v>2961</v>
      </c>
      <c r="AG155" s="7" t="s">
        <v>2961</v>
      </c>
      <c r="AI155" s="7" t="s">
        <v>4100</v>
      </c>
      <c r="AJ155" s="7" t="s">
        <v>2656</v>
      </c>
      <c r="AK155" s="41">
        <f>Table43[[#This Row],[Harga Jual Pcs GT
(-PPN)]]-(Table43[[#This Row],[Harga Jual Pcs GT
(-PPN)]]*10%)</f>
        <v>0</v>
      </c>
      <c r="AL155" s="42">
        <f>Table43[[#This Row],[Harga Beli Pcs
(-PPN)]]*Table43[[#This Row],[ISI/CTN]]</f>
        <v>0</v>
      </c>
      <c r="AM155" s="42">
        <f>Table43[[#This Row],[Harga Beli Pcs
(-PPN)]]*1.11</f>
        <v>0</v>
      </c>
      <c r="AN155" s="42">
        <f>Table43[[#This Row],[Harga Beli Krt
(- PPN)]]*1.11</f>
        <v>0</v>
      </c>
      <c r="AO155" s="42"/>
      <c r="AP155" s="42">
        <f>Table43[[#This Row],[Harga Jual Pcs GT
(-PPN)]]*Table43[[#This Row],[ISI/CTN]]</f>
        <v>0</v>
      </c>
      <c r="AQ155" s="42">
        <f>Table43[[#This Row],[Harga Jual Pcs GT
(-PPN)]]*1.11</f>
        <v>0</v>
      </c>
      <c r="AR155" s="42">
        <f>Table43[[#This Row],[Harga Jual Krt GT
(- PPN)]]*1.11</f>
        <v>0</v>
      </c>
      <c r="AS155" s="42">
        <f>Table43[[#This Row],[Harga Jual Pcs GT
(-PPN)]]</f>
        <v>0</v>
      </c>
      <c r="AT155" s="42">
        <f>(Table43[[#This Row],[Harga Jual Pcs MT
(-PPN)]]*Table43[[#This Row],[ISI/CTN]])</f>
        <v>0</v>
      </c>
      <c r="AU155" s="42">
        <f>Table43[[#This Row],[Harga Jual Pcs MT
(-PPN)]]*1.11</f>
        <v>0</v>
      </c>
      <c r="AV155" s="42">
        <f>Table43[[#This Row],[Harga Jual Pcs MT
(+PPN)]]*Table43[[#This Row],[ISI/CTN]]</f>
        <v>0</v>
      </c>
      <c r="AW155" s="47"/>
      <c r="AX155" s="7"/>
      <c r="AY155" s="7" t="str">
        <f ca="1">IF(TODAY()-Table43[[#This Row],[Efektif
Pembuatan]]&gt;60,"Lama","Baru")</f>
        <v>Lama</v>
      </c>
      <c r="AZ155" s="7" t="str">
        <f ca="1">IF(TODAY()-Table43[[#This Row],[Efektif Naik Harga]]&lt;30,"Naik","Sama")</f>
        <v>Sama</v>
      </c>
      <c r="BA155" s="7" t="str">
        <f>IF(Table43[[#This Row],[Kode BARANG Win2]]&lt;&gt;"","IDR","")</f>
        <v>IDR</v>
      </c>
      <c r="BB155" s="7" t="str">
        <f>CONCATENATE(Table43[[#This Row],[kode  1 Digit
(Nomor)]],Table43[[#This Row],[kode  4 Digit                (Nomor)]])</f>
        <v>10001</v>
      </c>
      <c r="BC155" s="7" t="str">
        <f>Table43[[#This Row],[Nama            Gramasi atau Jumlah Pack per CTN]]</f>
        <v>1ML</v>
      </c>
      <c r="BD155" s="7"/>
      <c r="BE155" s="7"/>
      <c r="BF155" s="4" t="str">
        <f>IF(Table43[[#This Row],[SATUAN Fix Win]]&lt;&gt;"","KRT")</f>
        <v>KRT</v>
      </c>
      <c r="BG155" s="4" t="str">
        <f>IF(Table43[[#This Row],[SATUAN Fix Win]]&lt;&gt;"","GD01")</f>
        <v>GD01</v>
      </c>
      <c r="BH155" s="4">
        <f>IF(Table43[[#This Row],[SATUAN Fix Win]]&lt;&gt;"",11611)</f>
        <v>11611</v>
      </c>
      <c r="BI155" s="4">
        <f>IF(Table43[[#This Row],[SATUAN Fix Win]]&lt;&gt;"",11612)</f>
        <v>11612</v>
      </c>
      <c r="BJ155" s="48"/>
      <c r="BK155" s="4">
        <f>IF(Table43[[#This Row],[SATUAN Fix Win]]&lt;&gt;"",1)</f>
        <v>1</v>
      </c>
    </row>
    <row r="156" spans="1:63">
      <c r="A156" s="4" t="str">
        <f>CONCATENATE(Table43[[#This Row],[Kode BARANG Win2]],Table43[[#This Row],[No. Urut
Item Sama]])</f>
        <v>K11000080001401</v>
      </c>
      <c r="B156" s="7">
        <v>1</v>
      </c>
      <c r="D156" s="28" t="s">
        <v>456</v>
      </c>
      <c r="E156" s="28"/>
      <c r="F156" s="28" t="s">
        <v>2985</v>
      </c>
      <c r="G156" s="78">
        <v>12</v>
      </c>
      <c r="H156" s="43"/>
      <c r="I156" s="28" t="str">
        <f>Table43[[#This Row],[Nama Jenis Kemasan]]</f>
        <v>JAR</v>
      </c>
      <c r="J156" s="4" t="str">
        <f>TRIM(CONCATENATE(Table43[[#This Row],[Nama            KLP]]," ",Table43[[#This Row],[Nama            Sub KLP]]))</f>
        <v>ELLIPS</v>
      </c>
      <c r="K156" s="4" t="str">
        <f>CONCATENATE(Table43[[#This Row],[kode  2 Digit                (hrf+No)]],Table43[[#This Row],[kode  2 Digit                (Nomor)]],Table43[[#This Row],[kode  1 Digit                (Nomor)]])</f>
        <v>K1100</v>
      </c>
      <c r="L156" s="4" t="str">
        <f t="shared" si="9"/>
        <v>K1100008000140</v>
      </c>
      <c r="M156" s="11">
        <f t="shared" si="10"/>
        <v>14</v>
      </c>
      <c r="N156" s="14" t="str">
        <f>IF(AF156&lt;&gt;"",TRIM(UPPER(CONCATENATE(P156," ",R156," ",T156," ",V156," ",X156," ",Z156," ","X"," ",Table43[[#This Row],[ISI/CTN]]," ",AF156," ",AB156," ",AD156," ",AH156))),TRIM(UPPER(CONCATENATE(P156," ",R156," ",T156," ",V156," ",X156," ",Z156," ","X"," ",Table43[[#This Row],[ISI/CTN]]," ",AB156," ",AD156," ",AH156))))</f>
        <v>KNF ELLIPS H.VIT SMOOTH &amp; SHINY 1ML X 12 JAR</v>
      </c>
      <c r="O156" s="11">
        <f t="shared" si="11"/>
        <v>44</v>
      </c>
      <c r="P156" s="4" t="s">
        <v>97</v>
      </c>
      <c r="Q156" s="7" t="s">
        <v>98</v>
      </c>
      <c r="R156" s="4" t="s">
        <v>3658</v>
      </c>
      <c r="S156" s="44" t="s">
        <v>3564</v>
      </c>
      <c r="T156" s="45" t="s">
        <v>2961</v>
      </c>
      <c r="U156" s="7" t="s">
        <v>2900</v>
      </c>
      <c r="V156" s="45" t="s">
        <v>2961</v>
      </c>
      <c r="W156" s="44" t="s">
        <v>2900</v>
      </c>
      <c r="X156" s="4" t="s">
        <v>3687</v>
      </c>
      <c r="Y156" s="46" t="s">
        <v>2478</v>
      </c>
      <c r="Z156" s="4" t="s">
        <v>3679</v>
      </c>
      <c r="AA156" s="46" t="s">
        <v>2496</v>
      </c>
      <c r="AB156" s="4" t="s">
        <v>1019</v>
      </c>
      <c r="AC156" s="7" t="s">
        <v>3593</v>
      </c>
      <c r="AD156" s="4" t="s">
        <v>2961</v>
      </c>
      <c r="AE156" s="7" t="s">
        <v>2900</v>
      </c>
      <c r="AF156" s="7" t="s">
        <v>2961</v>
      </c>
      <c r="AG156" s="7" t="s">
        <v>2961</v>
      </c>
      <c r="AI156" s="7" t="s">
        <v>4100</v>
      </c>
      <c r="AJ156" s="7" t="s">
        <v>2656</v>
      </c>
      <c r="AK156" s="41">
        <f>Table43[[#This Row],[Harga Jual Pcs GT
(-PPN)]]-(Table43[[#This Row],[Harga Jual Pcs GT
(-PPN)]]*10%)</f>
        <v>0</v>
      </c>
      <c r="AL156" s="42">
        <f>Table43[[#This Row],[Harga Beli Pcs
(-PPN)]]*Table43[[#This Row],[ISI/CTN]]</f>
        <v>0</v>
      </c>
      <c r="AM156" s="42">
        <f>Table43[[#This Row],[Harga Beli Pcs
(-PPN)]]*1.11</f>
        <v>0</v>
      </c>
      <c r="AN156" s="42">
        <f>Table43[[#This Row],[Harga Beli Krt
(- PPN)]]*1.11</f>
        <v>0</v>
      </c>
      <c r="AO156" s="42"/>
      <c r="AP156" s="42">
        <f>Table43[[#This Row],[Harga Jual Pcs GT
(-PPN)]]*Table43[[#This Row],[ISI/CTN]]</f>
        <v>0</v>
      </c>
      <c r="AQ156" s="42">
        <f>Table43[[#This Row],[Harga Jual Pcs GT
(-PPN)]]*1.11</f>
        <v>0</v>
      </c>
      <c r="AR156" s="42">
        <f>Table43[[#This Row],[Harga Jual Krt GT
(- PPN)]]*1.11</f>
        <v>0</v>
      </c>
      <c r="AS156" s="42">
        <f>Table43[[#This Row],[Harga Jual Pcs GT
(-PPN)]]</f>
        <v>0</v>
      </c>
      <c r="AT156" s="42">
        <f>(Table43[[#This Row],[Harga Jual Pcs MT
(-PPN)]]*Table43[[#This Row],[ISI/CTN]])</f>
        <v>0</v>
      </c>
      <c r="AU156" s="42">
        <f>Table43[[#This Row],[Harga Jual Pcs MT
(-PPN)]]*1.11</f>
        <v>0</v>
      </c>
      <c r="AV156" s="42">
        <f>Table43[[#This Row],[Harga Jual Pcs MT
(+PPN)]]*Table43[[#This Row],[ISI/CTN]]</f>
        <v>0</v>
      </c>
      <c r="AW156" s="47"/>
      <c r="AX156" s="7"/>
      <c r="AY156" s="7" t="str">
        <f ca="1">IF(TODAY()-Table43[[#This Row],[Efektif
Pembuatan]]&gt;60,"Lama","Baru")</f>
        <v>Lama</v>
      </c>
      <c r="AZ156" s="7" t="str">
        <f ca="1">IF(TODAY()-Table43[[#This Row],[Efektif Naik Harga]]&lt;30,"Naik","Sama")</f>
        <v>Sama</v>
      </c>
      <c r="BA156" s="7" t="str">
        <f>IF(Table43[[#This Row],[Kode BARANG Win2]]&lt;&gt;"","IDR","")</f>
        <v>IDR</v>
      </c>
      <c r="BB156" s="7" t="str">
        <f>CONCATENATE(Table43[[#This Row],[kode  1 Digit
(Nomor)]],Table43[[#This Row],[kode  4 Digit                (Nomor)]])</f>
        <v>10001</v>
      </c>
      <c r="BC156" s="7" t="str">
        <f>Table43[[#This Row],[Nama            Gramasi atau Jumlah Pack per CTN]]</f>
        <v>1ML</v>
      </c>
      <c r="BD156" s="7"/>
      <c r="BE156" s="7"/>
      <c r="BF156" s="4" t="str">
        <f>IF(Table43[[#This Row],[SATUAN Fix Win]]&lt;&gt;"","KRT")</f>
        <v>KRT</v>
      </c>
      <c r="BG156" s="4" t="str">
        <f>IF(Table43[[#This Row],[SATUAN Fix Win]]&lt;&gt;"","GD01")</f>
        <v>GD01</v>
      </c>
      <c r="BH156" s="4">
        <f>IF(Table43[[#This Row],[SATUAN Fix Win]]&lt;&gt;"",11611)</f>
        <v>11611</v>
      </c>
      <c r="BI156" s="4">
        <f>IF(Table43[[#This Row],[SATUAN Fix Win]]&lt;&gt;"",11612)</f>
        <v>11612</v>
      </c>
      <c r="BJ156" s="48"/>
      <c r="BK156" s="4">
        <f>IF(Table43[[#This Row],[SATUAN Fix Win]]&lt;&gt;"",1)</f>
        <v>1</v>
      </c>
    </row>
    <row r="157" spans="1:63">
      <c r="A157" s="4" t="str">
        <f>CONCATENATE(Table43[[#This Row],[Kode BARANG Win2]],Table43[[#This Row],[No. Urut
Item Sama]])</f>
        <v>K11000090008311</v>
      </c>
      <c r="B157" s="7">
        <v>1</v>
      </c>
      <c r="D157" s="28" t="s">
        <v>467</v>
      </c>
      <c r="E157" s="28"/>
      <c r="F157" s="28" t="s">
        <v>2986</v>
      </c>
      <c r="G157" s="78">
        <v>24</v>
      </c>
      <c r="H157" s="43"/>
      <c r="I157" s="28" t="str">
        <f>Table43[[#This Row],[Nama Jenis Kemasan]]</f>
        <v>BOX</v>
      </c>
      <c r="J157" s="4" t="str">
        <f>TRIM(CONCATENATE(Table43[[#This Row],[Nama            KLP]]," ",Table43[[#This Row],[Nama            Sub KLP]]))</f>
        <v>ELLIPS</v>
      </c>
      <c r="K157" s="4" t="str">
        <f>CONCATENATE(Table43[[#This Row],[kode  2 Digit                (hrf+No)]],Table43[[#This Row],[kode  2 Digit                (Nomor)]],Table43[[#This Row],[kode  1 Digit                (Nomor)]])</f>
        <v>K1100</v>
      </c>
      <c r="L157" s="4" t="str">
        <f t="shared" si="9"/>
        <v>K1100009000831</v>
      </c>
      <c r="M157" s="11">
        <f t="shared" si="10"/>
        <v>14</v>
      </c>
      <c r="N157" s="14" t="str">
        <f>IF(AF157&lt;&gt;"",TRIM(UPPER(CONCATENATE(P157," ",R157," ",T157," ",V157," ",X157," ",Z157," ","X"," ",Table43[[#This Row],[ISI/CTN]]," ",AF157," ",AB157," ",AD157," ",AH157))),TRIM(UPPER(CONCATENATE(P157," ",R157," ",T157," ",V157," ",X157," ",Z157," ","X"," ",Table43[[#This Row],[ISI/CTN]]," ",AB157," ",AD157," ",AH157))))</f>
        <v>KNF ELLIPS H.VIT ULTRA TREATMENT 8ML X 24 BOX</v>
      </c>
      <c r="O157" s="11">
        <f t="shared" si="11"/>
        <v>45</v>
      </c>
      <c r="P157" s="4" t="s">
        <v>97</v>
      </c>
      <c r="Q157" s="7" t="s">
        <v>98</v>
      </c>
      <c r="R157" s="4" t="s">
        <v>3658</v>
      </c>
      <c r="S157" s="44" t="s">
        <v>3564</v>
      </c>
      <c r="T157" s="45" t="s">
        <v>2961</v>
      </c>
      <c r="U157" s="7" t="s">
        <v>2900</v>
      </c>
      <c r="V157" s="45" t="s">
        <v>2961</v>
      </c>
      <c r="W157" s="44" t="s">
        <v>2900</v>
      </c>
      <c r="X157" s="4" t="s">
        <v>3688</v>
      </c>
      <c r="Y157" s="46" t="s">
        <v>2479</v>
      </c>
      <c r="Z157" s="4" t="s">
        <v>3689</v>
      </c>
      <c r="AA157" s="46" t="s">
        <v>2497</v>
      </c>
      <c r="AB157" s="4" t="s">
        <v>1023</v>
      </c>
      <c r="AC157" s="7" t="s">
        <v>3590</v>
      </c>
      <c r="AD157" s="4" t="s">
        <v>2961</v>
      </c>
      <c r="AE157" s="7" t="s">
        <v>2656</v>
      </c>
      <c r="AF157" s="7" t="s">
        <v>2961</v>
      </c>
      <c r="AG157" s="7" t="s">
        <v>2961</v>
      </c>
      <c r="AI157" s="7" t="s">
        <v>4100</v>
      </c>
      <c r="AJ157" s="7" t="s">
        <v>2656</v>
      </c>
      <c r="AK157" s="41">
        <f>Table43[[#This Row],[Harga Jual Pcs GT
(-PPN)]]-(Table43[[#This Row],[Harga Jual Pcs GT
(-PPN)]]*10%)</f>
        <v>0</v>
      </c>
      <c r="AL157" s="42">
        <f>Table43[[#This Row],[Harga Beli Pcs
(-PPN)]]*Table43[[#This Row],[ISI/CTN]]</f>
        <v>0</v>
      </c>
      <c r="AM157" s="42">
        <f>Table43[[#This Row],[Harga Beli Pcs
(-PPN)]]*1.11</f>
        <v>0</v>
      </c>
      <c r="AN157" s="42">
        <f>Table43[[#This Row],[Harga Beli Krt
(- PPN)]]*1.11</f>
        <v>0</v>
      </c>
      <c r="AO157" s="42"/>
      <c r="AP157" s="42">
        <f>Table43[[#This Row],[Harga Jual Pcs GT
(-PPN)]]*Table43[[#This Row],[ISI/CTN]]</f>
        <v>0</v>
      </c>
      <c r="AQ157" s="42">
        <f>Table43[[#This Row],[Harga Jual Pcs GT
(-PPN)]]*1.11</f>
        <v>0</v>
      </c>
      <c r="AR157" s="42">
        <f>Table43[[#This Row],[Harga Jual Krt GT
(- PPN)]]*1.11</f>
        <v>0</v>
      </c>
      <c r="AS157" s="42">
        <f>Table43[[#This Row],[Harga Jual Pcs GT
(-PPN)]]</f>
        <v>0</v>
      </c>
      <c r="AT157" s="42">
        <f>(Table43[[#This Row],[Harga Jual Pcs MT
(-PPN)]]*Table43[[#This Row],[ISI/CTN]])</f>
        <v>0</v>
      </c>
      <c r="AU157" s="42">
        <f>Table43[[#This Row],[Harga Jual Pcs MT
(-PPN)]]*1.11</f>
        <v>0</v>
      </c>
      <c r="AV157" s="42">
        <f>Table43[[#This Row],[Harga Jual Pcs MT
(+PPN)]]*Table43[[#This Row],[ISI/CTN]]</f>
        <v>0</v>
      </c>
      <c r="AW157" s="47"/>
      <c r="AX157" s="7"/>
      <c r="AY157" s="7" t="str">
        <f ca="1">IF(TODAY()-Table43[[#This Row],[Efektif
Pembuatan]]&gt;60,"Lama","Baru")</f>
        <v>Lama</v>
      </c>
      <c r="AZ157" s="7" t="str">
        <f ca="1">IF(TODAY()-Table43[[#This Row],[Efektif Naik Harga]]&lt;30,"Naik","Sama")</f>
        <v>Sama</v>
      </c>
      <c r="BA157" s="7" t="str">
        <f>IF(Table43[[#This Row],[Kode BARANG Win2]]&lt;&gt;"","IDR","")</f>
        <v>IDR</v>
      </c>
      <c r="BB157" s="7" t="str">
        <f>CONCATENATE(Table43[[#This Row],[kode  1 Digit
(Nomor)]],Table43[[#This Row],[kode  4 Digit                (Nomor)]])</f>
        <v>10008</v>
      </c>
      <c r="BC157" s="7" t="str">
        <f>Table43[[#This Row],[Nama            Gramasi atau Jumlah Pack per CTN]]</f>
        <v>8ML</v>
      </c>
      <c r="BD157" s="7"/>
      <c r="BE157" s="7"/>
      <c r="BF157" s="4" t="str">
        <f>IF(Table43[[#This Row],[SATUAN Fix Win]]&lt;&gt;"","KRT")</f>
        <v>KRT</v>
      </c>
      <c r="BG157" s="4" t="str">
        <f>IF(Table43[[#This Row],[SATUAN Fix Win]]&lt;&gt;"","GD01")</f>
        <v>GD01</v>
      </c>
      <c r="BH157" s="4">
        <f>IF(Table43[[#This Row],[SATUAN Fix Win]]&lt;&gt;"",11611)</f>
        <v>11611</v>
      </c>
      <c r="BI157" s="4">
        <f>IF(Table43[[#This Row],[SATUAN Fix Win]]&lt;&gt;"",11612)</f>
        <v>11612</v>
      </c>
      <c r="BJ157" s="48"/>
      <c r="BK157" s="4">
        <f>IF(Table43[[#This Row],[SATUAN Fix Win]]&lt;&gt;"",1)</f>
        <v>1</v>
      </c>
    </row>
    <row r="158" spans="1:63">
      <c r="A158" s="4" t="str">
        <f>CONCATENATE(Table43[[#This Row],[Kode BARANG Win2]],Table43[[#This Row],[No. Urut
Item Sama]])</f>
        <v>K11000090034201</v>
      </c>
      <c r="B158" s="7">
        <v>1</v>
      </c>
      <c r="D158" s="28" t="s">
        <v>468</v>
      </c>
      <c r="E158" s="28"/>
      <c r="F158" s="28" t="s">
        <v>2987</v>
      </c>
      <c r="G158" s="78">
        <v>20</v>
      </c>
      <c r="H158" s="43"/>
      <c r="I158" s="28" t="str">
        <f>Table43[[#This Row],[Nama Jenis Kemasan]]</f>
        <v>BTL</v>
      </c>
      <c r="J158" s="4" t="str">
        <f>TRIM(CONCATENATE(Table43[[#This Row],[Nama            KLP]]," ",Table43[[#This Row],[Nama            Sub KLP]]))</f>
        <v>ELLIPS</v>
      </c>
      <c r="K158" s="4" t="str">
        <f>CONCATENATE(Table43[[#This Row],[kode  2 Digit                (hrf+No)]],Table43[[#This Row],[kode  2 Digit                (Nomor)]],Table43[[#This Row],[kode  1 Digit                (Nomor)]])</f>
        <v>K1100</v>
      </c>
      <c r="L158" s="4" t="str">
        <f t="shared" si="9"/>
        <v>K1100009003420</v>
      </c>
      <c r="M158" s="11">
        <f t="shared" si="10"/>
        <v>14</v>
      </c>
      <c r="N158" s="14" t="str">
        <f>IF(AF158&lt;&gt;"",TRIM(UPPER(CONCATENATE(P158," ",R158," ",T158," ",V158," ",X158," ",Z158," ","X"," ",Table43[[#This Row],[ISI/CTN]]," ",AF158," ",AB158," ",AD158," ",AH158))),TRIM(UPPER(CONCATENATE(P158," ",R158," ",T158," ",V158," ",X158," ",Z158," ","X"," ",Table43[[#This Row],[ISI/CTN]]," ",AB158," ",AD158," ",AH158))))</f>
        <v>KNF ELLIPS H.VIT ULTRA TREATMENT 34ML X 20 BTL</v>
      </c>
      <c r="O158" s="11">
        <f t="shared" si="11"/>
        <v>46</v>
      </c>
      <c r="P158" s="4" t="s">
        <v>97</v>
      </c>
      <c r="Q158" s="7" t="s">
        <v>98</v>
      </c>
      <c r="R158" s="4" t="s">
        <v>3658</v>
      </c>
      <c r="S158" s="44" t="s">
        <v>3564</v>
      </c>
      <c r="T158" s="45" t="s">
        <v>2961</v>
      </c>
      <c r="U158" s="7" t="s">
        <v>2900</v>
      </c>
      <c r="V158" s="45" t="s">
        <v>2961</v>
      </c>
      <c r="W158" s="44" t="s">
        <v>2900</v>
      </c>
      <c r="X158" s="4" t="s">
        <v>3688</v>
      </c>
      <c r="Y158" s="46" t="s">
        <v>2479</v>
      </c>
      <c r="Z158" s="4" t="s">
        <v>3690</v>
      </c>
      <c r="AA158" s="46" t="s">
        <v>2498</v>
      </c>
      <c r="AB158" s="4" t="s">
        <v>357</v>
      </c>
      <c r="AC158" s="7" t="s">
        <v>3562</v>
      </c>
      <c r="AD158" s="4" t="s">
        <v>2961</v>
      </c>
      <c r="AE158" s="7" t="s">
        <v>2900</v>
      </c>
      <c r="AF158" s="7" t="s">
        <v>2961</v>
      </c>
      <c r="AG158" s="7" t="s">
        <v>2961</v>
      </c>
      <c r="AI158" s="7" t="s">
        <v>4100</v>
      </c>
      <c r="AJ158" s="7" t="s">
        <v>2656</v>
      </c>
      <c r="AK158" s="41">
        <f>Table43[[#This Row],[Harga Jual Pcs GT
(-PPN)]]-(Table43[[#This Row],[Harga Jual Pcs GT
(-PPN)]]*10%)</f>
        <v>0</v>
      </c>
      <c r="AL158" s="42">
        <f>Table43[[#This Row],[Harga Beli Pcs
(-PPN)]]*Table43[[#This Row],[ISI/CTN]]</f>
        <v>0</v>
      </c>
      <c r="AM158" s="42">
        <f>Table43[[#This Row],[Harga Beli Pcs
(-PPN)]]*1.11</f>
        <v>0</v>
      </c>
      <c r="AN158" s="42">
        <f>Table43[[#This Row],[Harga Beli Krt
(- PPN)]]*1.11</f>
        <v>0</v>
      </c>
      <c r="AO158" s="42"/>
      <c r="AP158" s="42">
        <f>Table43[[#This Row],[Harga Jual Pcs GT
(-PPN)]]*Table43[[#This Row],[ISI/CTN]]</f>
        <v>0</v>
      </c>
      <c r="AQ158" s="42">
        <f>Table43[[#This Row],[Harga Jual Pcs GT
(-PPN)]]*1.11</f>
        <v>0</v>
      </c>
      <c r="AR158" s="42">
        <f>Table43[[#This Row],[Harga Jual Krt GT
(- PPN)]]*1.11</f>
        <v>0</v>
      </c>
      <c r="AS158" s="42">
        <f>Table43[[#This Row],[Harga Jual Pcs GT
(-PPN)]]</f>
        <v>0</v>
      </c>
      <c r="AT158" s="42">
        <f>(Table43[[#This Row],[Harga Jual Pcs MT
(-PPN)]]*Table43[[#This Row],[ISI/CTN]])</f>
        <v>0</v>
      </c>
      <c r="AU158" s="42">
        <f>Table43[[#This Row],[Harga Jual Pcs MT
(-PPN)]]*1.11</f>
        <v>0</v>
      </c>
      <c r="AV158" s="42">
        <f>Table43[[#This Row],[Harga Jual Pcs MT
(+PPN)]]*Table43[[#This Row],[ISI/CTN]]</f>
        <v>0</v>
      </c>
      <c r="AW158" s="47"/>
      <c r="AX158" s="7"/>
      <c r="AY158" s="7" t="str">
        <f ca="1">IF(TODAY()-Table43[[#This Row],[Efektif
Pembuatan]]&gt;60,"Lama","Baru")</f>
        <v>Lama</v>
      </c>
      <c r="AZ158" s="7" t="str">
        <f ca="1">IF(TODAY()-Table43[[#This Row],[Efektif Naik Harga]]&lt;30,"Naik","Sama")</f>
        <v>Sama</v>
      </c>
      <c r="BA158" s="7" t="str">
        <f>IF(Table43[[#This Row],[Kode BARANG Win2]]&lt;&gt;"","IDR","")</f>
        <v>IDR</v>
      </c>
      <c r="BB158" s="7" t="str">
        <f>CONCATENATE(Table43[[#This Row],[kode  1 Digit
(Nomor)]],Table43[[#This Row],[kode  4 Digit                (Nomor)]])</f>
        <v>10034</v>
      </c>
      <c r="BC158" s="7" t="str">
        <f>Table43[[#This Row],[Nama            Gramasi atau Jumlah Pack per CTN]]</f>
        <v>34ML</v>
      </c>
      <c r="BD158" s="7"/>
      <c r="BE158" s="7"/>
      <c r="BF158" s="4" t="str">
        <f>IF(Table43[[#This Row],[SATUAN Fix Win]]&lt;&gt;"","KRT")</f>
        <v>KRT</v>
      </c>
      <c r="BG158" s="4" t="str">
        <f>IF(Table43[[#This Row],[SATUAN Fix Win]]&lt;&gt;"","GD01")</f>
        <v>GD01</v>
      </c>
      <c r="BH158" s="4">
        <f>IF(Table43[[#This Row],[SATUAN Fix Win]]&lt;&gt;"",11611)</f>
        <v>11611</v>
      </c>
      <c r="BI158" s="4">
        <f>IF(Table43[[#This Row],[SATUAN Fix Win]]&lt;&gt;"",11612)</f>
        <v>11612</v>
      </c>
      <c r="BJ158" s="48"/>
      <c r="BK158" s="4">
        <f>IF(Table43[[#This Row],[SATUAN Fix Win]]&lt;&gt;"",1)</f>
        <v>1</v>
      </c>
    </row>
    <row r="159" spans="1:63">
      <c r="A159" s="4" t="str">
        <f>CONCATENATE(Table43[[#This Row],[Kode BARANG Win2]],Table43[[#This Row],[No. Urut
Item Sama]])</f>
        <v>K11010110001101</v>
      </c>
      <c r="B159" s="7">
        <v>1</v>
      </c>
      <c r="D159" s="28" t="s">
        <v>463</v>
      </c>
      <c r="E159" s="28"/>
      <c r="F159" s="28" t="s">
        <v>2988</v>
      </c>
      <c r="G159" s="78">
        <v>72</v>
      </c>
      <c r="H159" s="43"/>
      <c r="I159" s="28" t="str">
        <f>Table43[[#This Row],[Nama Jenis Kemasan]]</f>
        <v>BLR</v>
      </c>
      <c r="J159" s="4" t="str">
        <f>TRIM(CONCATENATE(Table43[[#This Row],[Nama            KLP]]," ",Table43[[#This Row],[Nama            Sub KLP]]))</f>
        <v>ELLIPS H.VIT BALI</v>
      </c>
      <c r="K159" s="4" t="str">
        <f>CONCATENATE(Table43[[#This Row],[kode  2 Digit                (hrf+No)]],Table43[[#This Row],[kode  2 Digit                (Nomor)]],Table43[[#This Row],[kode  1 Digit                (Nomor)]])</f>
        <v>K1101</v>
      </c>
      <c r="L159" s="4" t="str">
        <f t="shared" si="9"/>
        <v>K1101011000110</v>
      </c>
      <c r="M159" s="11">
        <f t="shared" si="10"/>
        <v>14</v>
      </c>
      <c r="N159" s="14" t="str">
        <f>IF(AF159&lt;&gt;"",TRIM(UPPER(CONCATENATE(P159," ",R159," ",T159," ",V159," ",X159," ",Z159," ","X"," ",Table43[[#This Row],[ISI/CTN]]," ",AF159," ",AB159," ",AD159," ",AH159))),TRIM(UPPER(CONCATENATE(P159," ",R159," ",T159," ",V159," ",X159," ",Z159," ","X"," ",Table43[[#This Row],[ISI/CTN]]," ",AB159," ",AD159," ",AH159))))</f>
        <v>KNF ELLIPS H.VIT BALI NOURISH&amp;PROTECT 1ML X 72 BLR</v>
      </c>
      <c r="O159" s="11">
        <f t="shared" si="11"/>
        <v>50</v>
      </c>
      <c r="P159" s="4" t="s">
        <v>97</v>
      </c>
      <c r="Q159" s="7" t="s">
        <v>98</v>
      </c>
      <c r="R159" s="4" t="s">
        <v>3658</v>
      </c>
      <c r="S159" s="44" t="s">
        <v>3564</v>
      </c>
      <c r="T159" s="45" t="s">
        <v>3691</v>
      </c>
      <c r="U159" s="7" t="s">
        <v>2656</v>
      </c>
      <c r="V159" s="45" t="s">
        <v>2961</v>
      </c>
      <c r="W159" s="44" t="s">
        <v>2900</v>
      </c>
      <c r="X159" s="4" t="s">
        <v>3692</v>
      </c>
      <c r="Y159" s="46" t="s">
        <v>3550</v>
      </c>
      <c r="Z159" s="4" t="s">
        <v>3679</v>
      </c>
      <c r="AA159" s="46" t="s">
        <v>2496</v>
      </c>
      <c r="AB159" s="4" t="s">
        <v>1024</v>
      </c>
      <c r="AC159" s="7" t="s">
        <v>2656</v>
      </c>
      <c r="AD159" s="4" t="s">
        <v>2961</v>
      </c>
      <c r="AE159" s="7" t="s">
        <v>2900</v>
      </c>
      <c r="AF159" s="7" t="s">
        <v>2961</v>
      </c>
      <c r="AG159" s="7" t="s">
        <v>2961</v>
      </c>
      <c r="AI159" s="7" t="s">
        <v>4100</v>
      </c>
      <c r="AJ159" s="7" t="s">
        <v>2656</v>
      </c>
      <c r="AK159" s="41">
        <f>Table43[[#This Row],[Harga Jual Pcs GT
(-PPN)]]-(Table43[[#This Row],[Harga Jual Pcs GT
(-PPN)]]*10%)</f>
        <v>0</v>
      </c>
      <c r="AL159" s="42">
        <f>Table43[[#This Row],[Harga Beli Pcs
(-PPN)]]*Table43[[#This Row],[ISI/CTN]]</f>
        <v>0</v>
      </c>
      <c r="AM159" s="42">
        <f>Table43[[#This Row],[Harga Beli Pcs
(-PPN)]]*1.11</f>
        <v>0</v>
      </c>
      <c r="AN159" s="42">
        <f>Table43[[#This Row],[Harga Beli Krt
(- PPN)]]*1.11</f>
        <v>0</v>
      </c>
      <c r="AO159" s="42"/>
      <c r="AP159" s="42">
        <f>Table43[[#This Row],[Harga Jual Pcs GT
(-PPN)]]*Table43[[#This Row],[ISI/CTN]]</f>
        <v>0</v>
      </c>
      <c r="AQ159" s="42">
        <f>Table43[[#This Row],[Harga Jual Pcs GT
(-PPN)]]*1.11</f>
        <v>0</v>
      </c>
      <c r="AR159" s="42">
        <f>Table43[[#This Row],[Harga Jual Krt GT
(- PPN)]]*1.11</f>
        <v>0</v>
      </c>
      <c r="AS159" s="42">
        <f>Table43[[#This Row],[Harga Jual Pcs GT
(-PPN)]]</f>
        <v>0</v>
      </c>
      <c r="AT159" s="42">
        <f>(Table43[[#This Row],[Harga Jual Pcs MT
(-PPN)]]*Table43[[#This Row],[ISI/CTN]])</f>
        <v>0</v>
      </c>
      <c r="AU159" s="42">
        <f>Table43[[#This Row],[Harga Jual Pcs MT
(-PPN)]]*1.11</f>
        <v>0</v>
      </c>
      <c r="AV159" s="42">
        <f>Table43[[#This Row],[Harga Jual Pcs MT
(+PPN)]]*Table43[[#This Row],[ISI/CTN]]</f>
        <v>0</v>
      </c>
      <c r="AW159" s="47"/>
      <c r="AX159" s="7"/>
      <c r="AY159" s="7" t="str">
        <f ca="1">IF(TODAY()-Table43[[#This Row],[Efektif
Pembuatan]]&gt;60,"Lama","Baru")</f>
        <v>Lama</v>
      </c>
      <c r="AZ159" s="7" t="str">
        <f ca="1">IF(TODAY()-Table43[[#This Row],[Efektif Naik Harga]]&lt;30,"Naik","Sama")</f>
        <v>Sama</v>
      </c>
      <c r="BA159" s="7" t="str">
        <f>IF(Table43[[#This Row],[Kode BARANG Win2]]&lt;&gt;"","IDR","")</f>
        <v>IDR</v>
      </c>
      <c r="BB159" s="7" t="str">
        <f>CONCATENATE(Table43[[#This Row],[kode  1 Digit
(Nomor)]],Table43[[#This Row],[kode  4 Digit                (Nomor)]])</f>
        <v>10001</v>
      </c>
      <c r="BC159" s="7" t="str">
        <f>Table43[[#This Row],[Nama            Gramasi atau Jumlah Pack per CTN]]</f>
        <v>1ML</v>
      </c>
      <c r="BD159" s="7"/>
      <c r="BE159" s="7"/>
      <c r="BF159" s="4" t="str">
        <f>IF(Table43[[#This Row],[SATUAN Fix Win]]&lt;&gt;"","KRT")</f>
        <v>KRT</v>
      </c>
      <c r="BG159" s="4" t="str">
        <f>IF(Table43[[#This Row],[SATUAN Fix Win]]&lt;&gt;"","GD01")</f>
        <v>GD01</v>
      </c>
      <c r="BH159" s="4">
        <f>IF(Table43[[#This Row],[SATUAN Fix Win]]&lt;&gt;"",11611)</f>
        <v>11611</v>
      </c>
      <c r="BI159" s="4">
        <f>IF(Table43[[#This Row],[SATUAN Fix Win]]&lt;&gt;"",11612)</f>
        <v>11612</v>
      </c>
      <c r="BJ159" s="48"/>
      <c r="BK159" s="4">
        <f>IF(Table43[[#This Row],[SATUAN Fix Win]]&lt;&gt;"",1)</f>
        <v>1</v>
      </c>
    </row>
    <row r="160" spans="1:63">
      <c r="A160" s="4" t="str">
        <f>CONCATENATE(Table43[[#This Row],[Kode BARANG Win2]],Table43[[#This Row],[No. Urut
Item Sama]])</f>
        <v>K11010110030201</v>
      </c>
      <c r="B160" s="7">
        <v>1</v>
      </c>
      <c r="D160" s="28" t="s">
        <v>464</v>
      </c>
      <c r="E160" s="28"/>
      <c r="F160" s="28" t="s">
        <v>2989</v>
      </c>
      <c r="G160" s="78">
        <v>36</v>
      </c>
      <c r="H160" s="43"/>
      <c r="I160" s="28" t="str">
        <f>Table43[[#This Row],[Nama Jenis Kemasan]]</f>
        <v>BTL</v>
      </c>
      <c r="J160" s="4" t="str">
        <f>TRIM(CONCATENATE(Table43[[#This Row],[Nama            KLP]]," ",Table43[[#This Row],[Nama            Sub KLP]]))</f>
        <v>ELLIPS H.VIT BALI</v>
      </c>
      <c r="K160" s="4" t="str">
        <f>CONCATENATE(Table43[[#This Row],[kode  2 Digit                (hrf+No)]],Table43[[#This Row],[kode  2 Digit                (Nomor)]],Table43[[#This Row],[kode  1 Digit                (Nomor)]])</f>
        <v>K1101</v>
      </c>
      <c r="L160" s="4" t="str">
        <f t="shared" si="9"/>
        <v>K1101011003020</v>
      </c>
      <c r="M160" s="11">
        <f t="shared" si="10"/>
        <v>14</v>
      </c>
      <c r="N160" s="14" t="str">
        <f>IF(AF160&lt;&gt;"",TRIM(UPPER(CONCATENATE(P160," ",R160," ",T160," ",V160," ",X160," ",Z160," ","X"," ",Table43[[#This Row],[ISI/CTN]]," ",AF160," ",AB160," ",AD160," ",AH160))),TRIM(UPPER(CONCATENATE(P160," ",R160," ",T160," ",V160," ",X160," ",Z160," ","X"," ",Table43[[#This Row],[ISI/CTN]]," ",AB160," ",AD160," ",AH160))))</f>
        <v>KNF ELLIPS H.VIT BALI NOURISH&amp;PROTECT 30ML X 36 BTL</v>
      </c>
      <c r="O160" s="11">
        <f t="shared" si="11"/>
        <v>51</v>
      </c>
      <c r="P160" s="4" t="s">
        <v>97</v>
      </c>
      <c r="Q160" s="7" t="s">
        <v>98</v>
      </c>
      <c r="R160" s="4" t="s">
        <v>3658</v>
      </c>
      <c r="S160" s="44" t="s">
        <v>3564</v>
      </c>
      <c r="T160" s="45" t="s">
        <v>3691</v>
      </c>
      <c r="U160" s="7" t="s">
        <v>2656</v>
      </c>
      <c r="V160" s="45" t="s">
        <v>2961</v>
      </c>
      <c r="W160" s="44" t="s">
        <v>2900</v>
      </c>
      <c r="X160" s="4" t="s">
        <v>3692</v>
      </c>
      <c r="Y160" s="46" t="s">
        <v>3550</v>
      </c>
      <c r="Z160" s="4" t="s">
        <v>3555</v>
      </c>
      <c r="AA160" s="46" t="s">
        <v>2499</v>
      </c>
      <c r="AB160" s="4" t="s">
        <v>357</v>
      </c>
      <c r="AC160" s="7" t="s">
        <v>3562</v>
      </c>
      <c r="AD160" s="4" t="s">
        <v>2961</v>
      </c>
      <c r="AE160" s="7" t="s">
        <v>2900</v>
      </c>
      <c r="AF160" s="7" t="s">
        <v>2961</v>
      </c>
      <c r="AG160" s="7" t="s">
        <v>2961</v>
      </c>
      <c r="AI160" s="7" t="s">
        <v>4100</v>
      </c>
      <c r="AJ160" s="7" t="s">
        <v>2656</v>
      </c>
      <c r="AK160" s="41">
        <f>Table43[[#This Row],[Harga Jual Pcs GT
(-PPN)]]-(Table43[[#This Row],[Harga Jual Pcs GT
(-PPN)]]*10%)</f>
        <v>0</v>
      </c>
      <c r="AL160" s="42">
        <f>Table43[[#This Row],[Harga Beli Pcs
(-PPN)]]*Table43[[#This Row],[ISI/CTN]]</f>
        <v>0</v>
      </c>
      <c r="AM160" s="42">
        <f>Table43[[#This Row],[Harga Beli Pcs
(-PPN)]]*1.11</f>
        <v>0</v>
      </c>
      <c r="AN160" s="42">
        <f>Table43[[#This Row],[Harga Beli Krt
(- PPN)]]*1.11</f>
        <v>0</v>
      </c>
      <c r="AO160" s="42"/>
      <c r="AP160" s="42">
        <f>Table43[[#This Row],[Harga Jual Pcs GT
(-PPN)]]*Table43[[#This Row],[ISI/CTN]]</f>
        <v>0</v>
      </c>
      <c r="AQ160" s="42">
        <f>Table43[[#This Row],[Harga Jual Pcs GT
(-PPN)]]*1.11</f>
        <v>0</v>
      </c>
      <c r="AR160" s="42">
        <f>Table43[[#This Row],[Harga Jual Krt GT
(- PPN)]]*1.11</f>
        <v>0</v>
      </c>
      <c r="AS160" s="42">
        <f>Table43[[#This Row],[Harga Jual Pcs GT
(-PPN)]]</f>
        <v>0</v>
      </c>
      <c r="AT160" s="42">
        <f>(Table43[[#This Row],[Harga Jual Pcs MT
(-PPN)]]*Table43[[#This Row],[ISI/CTN]])</f>
        <v>0</v>
      </c>
      <c r="AU160" s="42">
        <f>Table43[[#This Row],[Harga Jual Pcs MT
(-PPN)]]*1.11</f>
        <v>0</v>
      </c>
      <c r="AV160" s="42">
        <f>Table43[[#This Row],[Harga Jual Pcs MT
(+PPN)]]*Table43[[#This Row],[ISI/CTN]]</f>
        <v>0</v>
      </c>
      <c r="AW160" s="47"/>
      <c r="AX160" s="7"/>
      <c r="AY160" s="7" t="str">
        <f ca="1">IF(TODAY()-Table43[[#This Row],[Efektif
Pembuatan]]&gt;60,"Lama","Baru")</f>
        <v>Lama</v>
      </c>
      <c r="AZ160" s="7" t="str">
        <f ca="1">IF(TODAY()-Table43[[#This Row],[Efektif Naik Harga]]&lt;30,"Naik","Sama")</f>
        <v>Sama</v>
      </c>
      <c r="BA160" s="7" t="str">
        <f>IF(Table43[[#This Row],[Kode BARANG Win2]]&lt;&gt;"","IDR","")</f>
        <v>IDR</v>
      </c>
      <c r="BB160" s="7" t="str">
        <f>CONCATENATE(Table43[[#This Row],[kode  1 Digit
(Nomor)]],Table43[[#This Row],[kode  4 Digit                (Nomor)]])</f>
        <v>10030</v>
      </c>
      <c r="BC160" s="7" t="str">
        <f>Table43[[#This Row],[Nama            Gramasi atau Jumlah Pack per CTN]]</f>
        <v>30ML</v>
      </c>
      <c r="BD160" s="7"/>
      <c r="BE160" s="7"/>
      <c r="BF160" s="4" t="str">
        <f>IF(Table43[[#This Row],[SATUAN Fix Win]]&lt;&gt;"","KRT")</f>
        <v>KRT</v>
      </c>
      <c r="BG160" s="4" t="str">
        <f>IF(Table43[[#This Row],[SATUAN Fix Win]]&lt;&gt;"","GD01")</f>
        <v>GD01</v>
      </c>
      <c r="BH160" s="4">
        <f>IF(Table43[[#This Row],[SATUAN Fix Win]]&lt;&gt;"",11611)</f>
        <v>11611</v>
      </c>
      <c r="BI160" s="4">
        <f>IF(Table43[[#This Row],[SATUAN Fix Win]]&lt;&gt;"",11612)</f>
        <v>11612</v>
      </c>
      <c r="BJ160" s="48"/>
      <c r="BK160" s="4">
        <f>IF(Table43[[#This Row],[SATUAN Fix Win]]&lt;&gt;"",1)</f>
        <v>1</v>
      </c>
    </row>
    <row r="161" spans="1:63">
      <c r="A161" s="4" t="str">
        <f>CONCATENATE(Table43[[#This Row],[Kode BARANG Win2]],Table43[[#This Row],[No. Urut
Item Sama]])</f>
        <v>K11010120001101</v>
      </c>
      <c r="B161" s="7">
        <v>1</v>
      </c>
      <c r="D161" s="28" t="s">
        <v>465</v>
      </c>
      <c r="E161" s="28"/>
      <c r="F161" s="28" t="s">
        <v>2990</v>
      </c>
      <c r="G161" s="78">
        <v>72</v>
      </c>
      <c r="H161" s="43"/>
      <c r="I161" s="28" t="str">
        <f>Table43[[#This Row],[Nama Jenis Kemasan]]</f>
        <v>BLR</v>
      </c>
      <c r="J161" s="4" t="str">
        <f>TRIM(CONCATENATE(Table43[[#This Row],[Nama            KLP]]," ",Table43[[#This Row],[Nama            Sub KLP]]))</f>
        <v>ELLIPS H.VIT BALI</v>
      </c>
      <c r="K161" s="4" t="str">
        <f>CONCATENATE(Table43[[#This Row],[kode  2 Digit                (hrf+No)]],Table43[[#This Row],[kode  2 Digit                (Nomor)]],Table43[[#This Row],[kode  1 Digit                (Nomor)]])</f>
        <v>K1101</v>
      </c>
      <c r="L161" s="4" t="str">
        <f t="shared" si="9"/>
        <v>K1101012000110</v>
      </c>
      <c r="M161" s="11">
        <f t="shared" si="10"/>
        <v>14</v>
      </c>
      <c r="N161" s="14" t="str">
        <f>IF(AF161&lt;&gt;"",TRIM(UPPER(CONCATENATE(P161," ",R161," ",T161," ",V161," ",X161," ",Z161," ","X"," ",Table43[[#This Row],[ISI/CTN]]," ",AF161," ",AB161," ",AD161," ",AH161))),TRIM(UPPER(CONCATENATE(P161," ",R161," ",T161," ",V161," ",X161," ",Z161," ","X"," ",Table43[[#This Row],[ISI/CTN]]," ",AB161," ",AD161," ",AH161))))</f>
        <v>KNF ELLIPS H.VIT BALI NOURISH&amp;SOFTEN 1ML X 72 BLR</v>
      </c>
      <c r="O161" s="11">
        <f t="shared" si="11"/>
        <v>49</v>
      </c>
      <c r="P161" s="4" t="s">
        <v>97</v>
      </c>
      <c r="Q161" s="7" t="s">
        <v>98</v>
      </c>
      <c r="R161" s="4" t="s">
        <v>3658</v>
      </c>
      <c r="S161" s="44" t="s">
        <v>3564</v>
      </c>
      <c r="T161" s="45" t="s">
        <v>3691</v>
      </c>
      <c r="U161" s="7" t="s">
        <v>2656</v>
      </c>
      <c r="V161" s="45" t="s">
        <v>2961</v>
      </c>
      <c r="W161" s="44" t="s">
        <v>2900</v>
      </c>
      <c r="X161" s="4" t="s">
        <v>3693</v>
      </c>
      <c r="Y161" s="46" t="s">
        <v>3565</v>
      </c>
      <c r="Z161" s="4" t="s">
        <v>3679</v>
      </c>
      <c r="AA161" s="46" t="s">
        <v>2496</v>
      </c>
      <c r="AB161" s="4" t="s">
        <v>1024</v>
      </c>
      <c r="AC161" s="7" t="s">
        <v>2656</v>
      </c>
      <c r="AD161" s="4" t="s">
        <v>2961</v>
      </c>
      <c r="AE161" s="7" t="s">
        <v>2900</v>
      </c>
      <c r="AF161" s="7" t="s">
        <v>2961</v>
      </c>
      <c r="AG161" s="7" t="s">
        <v>2961</v>
      </c>
      <c r="AI161" s="7" t="s">
        <v>4100</v>
      </c>
      <c r="AJ161" s="7" t="s">
        <v>2656</v>
      </c>
      <c r="AK161" s="41">
        <f>Table43[[#This Row],[Harga Jual Pcs GT
(-PPN)]]-(Table43[[#This Row],[Harga Jual Pcs GT
(-PPN)]]*10%)</f>
        <v>0</v>
      </c>
      <c r="AL161" s="42">
        <f>Table43[[#This Row],[Harga Beli Pcs
(-PPN)]]*Table43[[#This Row],[ISI/CTN]]</f>
        <v>0</v>
      </c>
      <c r="AM161" s="42">
        <f>Table43[[#This Row],[Harga Beli Pcs
(-PPN)]]*1.11</f>
        <v>0</v>
      </c>
      <c r="AN161" s="42">
        <f>Table43[[#This Row],[Harga Beli Krt
(- PPN)]]*1.11</f>
        <v>0</v>
      </c>
      <c r="AO161" s="42"/>
      <c r="AP161" s="42">
        <f>Table43[[#This Row],[Harga Jual Pcs GT
(-PPN)]]*Table43[[#This Row],[ISI/CTN]]</f>
        <v>0</v>
      </c>
      <c r="AQ161" s="42">
        <f>Table43[[#This Row],[Harga Jual Pcs GT
(-PPN)]]*1.11</f>
        <v>0</v>
      </c>
      <c r="AR161" s="42">
        <f>Table43[[#This Row],[Harga Jual Krt GT
(- PPN)]]*1.11</f>
        <v>0</v>
      </c>
      <c r="AS161" s="42">
        <f>Table43[[#This Row],[Harga Jual Pcs GT
(-PPN)]]</f>
        <v>0</v>
      </c>
      <c r="AT161" s="42">
        <f>(Table43[[#This Row],[Harga Jual Pcs MT
(-PPN)]]*Table43[[#This Row],[ISI/CTN]])</f>
        <v>0</v>
      </c>
      <c r="AU161" s="42">
        <f>Table43[[#This Row],[Harga Jual Pcs MT
(-PPN)]]*1.11</f>
        <v>0</v>
      </c>
      <c r="AV161" s="42">
        <f>Table43[[#This Row],[Harga Jual Pcs MT
(+PPN)]]*Table43[[#This Row],[ISI/CTN]]</f>
        <v>0</v>
      </c>
      <c r="AW161" s="47"/>
      <c r="AX161" s="7"/>
      <c r="AY161" s="7" t="str">
        <f ca="1">IF(TODAY()-Table43[[#This Row],[Efektif
Pembuatan]]&gt;60,"Lama","Baru")</f>
        <v>Lama</v>
      </c>
      <c r="AZ161" s="7" t="str">
        <f ca="1">IF(TODAY()-Table43[[#This Row],[Efektif Naik Harga]]&lt;30,"Naik","Sama")</f>
        <v>Sama</v>
      </c>
      <c r="BA161" s="7" t="str">
        <f>IF(Table43[[#This Row],[Kode BARANG Win2]]&lt;&gt;"","IDR","")</f>
        <v>IDR</v>
      </c>
      <c r="BB161" s="7" t="str">
        <f>CONCATENATE(Table43[[#This Row],[kode  1 Digit
(Nomor)]],Table43[[#This Row],[kode  4 Digit                (Nomor)]])</f>
        <v>10001</v>
      </c>
      <c r="BC161" s="7" t="str">
        <f>Table43[[#This Row],[Nama            Gramasi atau Jumlah Pack per CTN]]</f>
        <v>1ML</v>
      </c>
      <c r="BD161" s="7"/>
      <c r="BE161" s="7"/>
      <c r="BF161" s="4" t="str">
        <f>IF(Table43[[#This Row],[SATUAN Fix Win]]&lt;&gt;"","KRT")</f>
        <v>KRT</v>
      </c>
      <c r="BG161" s="4" t="str">
        <f>IF(Table43[[#This Row],[SATUAN Fix Win]]&lt;&gt;"","GD01")</f>
        <v>GD01</v>
      </c>
      <c r="BH161" s="4">
        <f>IF(Table43[[#This Row],[SATUAN Fix Win]]&lt;&gt;"",11611)</f>
        <v>11611</v>
      </c>
      <c r="BI161" s="4">
        <f>IF(Table43[[#This Row],[SATUAN Fix Win]]&lt;&gt;"",11612)</f>
        <v>11612</v>
      </c>
      <c r="BJ161" s="48"/>
      <c r="BK161" s="4">
        <f>IF(Table43[[#This Row],[SATUAN Fix Win]]&lt;&gt;"",1)</f>
        <v>1</v>
      </c>
    </row>
    <row r="162" spans="1:63">
      <c r="A162" s="4" t="str">
        <f>CONCATENATE(Table43[[#This Row],[Kode BARANG Win2]],Table43[[#This Row],[No. Urut
Item Sama]])</f>
        <v>K11010120030201</v>
      </c>
      <c r="B162" s="7">
        <v>1</v>
      </c>
      <c r="D162" s="28" t="s">
        <v>466</v>
      </c>
      <c r="E162" s="28"/>
      <c r="F162" s="28" t="s">
        <v>2991</v>
      </c>
      <c r="G162" s="78">
        <v>36</v>
      </c>
      <c r="H162" s="43"/>
      <c r="I162" s="28" t="str">
        <f>Table43[[#This Row],[Nama Jenis Kemasan]]</f>
        <v>BTL</v>
      </c>
      <c r="J162" s="4" t="str">
        <f>TRIM(CONCATENATE(Table43[[#This Row],[Nama            KLP]]," ",Table43[[#This Row],[Nama            Sub KLP]]))</f>
        <v>ELLIPS H.VIT BALI</v>
      </c>
      <c r="K162" s="4" t="str">
        <f>CONCATENATE(Table43[[#This Row],[kode  2 Digit                (hrf+No)]],Table43[[#This Row],[kode  2 Digit                (Nomor)]],Table43[[#This Row],[kode  1 Digit                (Nomor)]])</f>
        <v>K1101</v>
      </c>
      <c r="L162" s="4" t="str">
        <f t="shared" si="9"/>
        <v>K1101012003020</v>
      </c>
      <c r="M162" s="11">
        <f t="shared" si="10"/>
        <v>14</v>
      </c>
      <c r="N162" s="14" t="str">
        <f>IF(AF162&lt;&gt;"",TRIM(UPPER(CONCATENATE(P162," ",R162," ",T162," ",V162," ",X162," ",Z162," ","X"," ",Table43[[#This Row],[ISI/CTN]]," ",AF162," ",AB162," ",AD162," ",AH162))),TRIM(UPPER(CONCATENATE(P162," ",R162," ",T162," ",V162," ",X162," ",Z162," ","X"," ",Table43[[#This Row],[ISI/CTN]]," ",AB162," ",AD162," ",AH162))))</f>
        <v>KNF ELLIPS H.VIT BALI NOURISH&amp;SOFTEN 30ML X 36 BTL</v>
      </c>
      <c r="O162" s="11">
        <f t="shared" si="11"/>
        <v>50</v>
      </c>
      <c r="P162" s="4" t="s">
        <v>97</v>
      </c>
      <c r="Q162" s="7" t="s">
        <v>98</v>
      </c>
      <c r="R162" s="4" t="s">
        <v>3658</v>
      </c>
      <c r="S162" s="44" t="s">
        <v>3564</v>
      </c>
      <c r="T162" s="45" t="s">
        <v>3691</v>
      </c>
      <c r="U162" s="7" t="s">
        <v>2656</v>
      </c>
      <c r="V162" s="45" t="s">
        <v>2961</v>
      </c>
      <c r="W162" s="44" t="s">
        <v>2900</v>
      </c>
      <c r="X162" s="4" t="s">
        <v>3693</v>
      </c>
      <c r="Y162" s="46" t="s">
        <v>3565</v>
      </c>
      <c r="Z162" s="4" t="s">
        <v>3555</v>
      </c>
      <c r="AA162" s="46" t="s">
        <v>2499</v>
      </c>
      <c r="AB162" s="4" t="s">
        <v>357</v>
      </c>
      <c r="AC162" s="7" t="s">
        <v>3562</v>
      </c>
      <c r="AD162" s="4" t="s">
        <v>2961</v>
      </c>
      <c r="AE162" s="7" t="s">
        <v>2900</v>
      </c>
      <c r="AF162" s="7" t="s">
        <v>2961</v>
      </c>
      <c r="AG162" s="7" t="s">
        <v>2961</v>
      </c>
      <c r="AI162" s="7" t="s">
        <v>4100</v>
      </c>
      <c r="AJ162" s="7" t="s">
        <v>2656</v>
      </c>
      <c r="AK162" s="41">
        <f>Table43[[#This Row],[Harga Jual Pcs GT
(-PPN)]]-(Table43[[#This Row],[Harga Jual Pcs GT
(-PPN)]]*10%)</f>
        <v>0</v>
      </c>
      <c r="AL162" s="42">
        <f>Table43[[#This Row],[Harga Beli Pcs
(-PPN)]]*Table43[[#This Row],[ISI/CTN]]</f>
        <v>0</v>
      </c>
      <c r="AM162" s="42">
        <f>Table43[[#This Row],[Harga Beli Pcs
(-PPN)]]*1.11</f>
        <v>0</v>
      </c>
      <c r="AN162" s="42">
        <f>Table43[[#This Row],[Harga Beli Krt
(- PPN)]]*1.11</f>
        <v>0</v>
      </c>
      <c r="AO162" s="42"/>
      <c r="AP162" s="42">
        <f>Table43[[#This Row],[Harga Jual Pcs GT
(-PPN)]]*Table43[[#This Row],[ISI/CTN]]</f>
        <v>0</v>
      </c>
      <c r="AQ162" s="42">
        <f>Table43[[#This Row],[Harga Jual Pcs GT
(-PPN)]]*1.11</f>
        <v>0</v>
      </c>
      <c r="AR162" s="42">
        <f>Table43[[#This Row],[Harga Jual Krt GT
(- PPN)]]*1.11</f>
        <v>0</v>
      </c>
      <c r="AS162" s="42">
        <f>Table43[[#This Row],[Harga Jual Pcs GT
(-PPN)]]</f>
        <v>0</v>
      </c>
      <c r="AT162" s="42">
        <f>(Table43[[#This Row],[Harga Jual Pcs MT
(-PPN)]]*Table43[[#This Row],[ISI/CTN]])</f>
        <v>0</v>
      </c>
      <c r="AU162" s="42">
        <f>Table43[[#This Row],[Harga Jual Pcs MT
(-PPN)]]*1.11</f>
        <v>0</v>
      </c>
      <c r="AV162" s="42">
        <f>Table43[[#This Row],[Harga Jual Pcs MT
(+PPN)]]*Table43[[#This Row],[ISI/CTN]]</f>
        <v>0</v>
      </c>
      <c r="AW162" s="47"/>
      <c r="AX162" s="7"/>
      <c r="AY162" s="7" t="str">
        <f ca="1">IF(TODAY()-Table43[[#This Row],[Efektif
Pembuatan]]&gt;60,"Lama","Baru")</f>
        <v>Lama</v>
      </c>
      <c r="AZ162" s="7" t="str">
        <f ca="1">IF(TODAY()-Table43[[#This Row],[Efektif Naik Harga]]&lt;30,"Naik","Sama")</f>
        <v>Sama</v>
      </c>
      <c r="BA162" s="7" t="str">
        <f>IF(Table43[[#This Row],[Kode BARANG Win2]]&lt;&gt;"","IDR","")</f>
        <v>IDR</v>
      </c>
      <c r="BB162" s="7" t="str">
        <f>CONCATENATE(Table43[[#This Row],[kode  1 Digit
(Nomor)]],Table43[[#This Row],[kode  4 Digit                (Nomor)]])</f>
        <v>10030</v>
      </c>
      <c r="BC162" s="7" t="str">
        <f>Table43[[#This Row],[Nama            Gramasi atau Jumlah Pack per CTN]]</f>
        <v>30ML</v>
      </c>
      <c r="BD162" s="7"/>
      <c r="BE162" s="7"/>
      <c r="BF162" s="4" t="str">
        <f>IF(Table43[[#This Row],[SATUAN Fix Win]]&lt;&gt;"","KRT")</f>
        <v>KRT</v>
      </c>
      <c r="BG162" s="4" t="str">
        <f>IF(Table43[[#This Row],[SATUAN Fix Win]]&lt;&gt;"","GD01")</f>
        <v>GD01</v>
      </c>
      <c r="BH162" s="4">
        <f>IF(Table43[[#This Row],[SATUAN Fix Win]]&lt;&gt;"",11611)</f>
        <v>11611</v>
      </c>
      <c r="BI162" s="4">
        <f>IF(Table43[[#This Row],[SATUAN Fix Win]]&lt;&gt;"",11612)</f>
        <v>11612</v>
      </c>
      <c r="BJ162" s="48"/>
      <c r="BK162" s="4">
        <f>IF(Table43[[#This Row],[SATUAN Fix Win]]&lt;&gt;"",1)</f>
        <v>1</v>
      </c>
    </row>
    <row r="163" spans="1:63">
      <c r="A163" s="4" t="str">
        <f>CONCATENATE(Table43[[#This Row],[Kode BARANG Win2]],Table43[[#This Row],[No. Urut
Item Sama]])</f>
        <v>K11020060001101</v>
      </c>
      <c r="B163" s="7">
        <v>1</v>
      </c>
      <c r="D163" s="28" t="s">
        <v>475</v>
      </c>
      <c r="E163" s="28"/>
      <c r="F163" s="28" t="s">
        <v>2992</v>
      </c>
      <c r="G163" s="78">
        <v>72</v>
      </c>
      <c r="H163" s="43"/>
      <c r="I163" s="28" t="str">
        <f>Table43[[#This Row],[Nama Jenis Kemasan]]</f>
        <v>BLR</v>
      </c>
      <c r="J163" s="4" t="str">
        <f>TRIM(CONCATENATE(Table43[[#This Row],[Nama            KLP]]," ",Table43[[#This Row],[Nama            Sub KLP]]))</f>
        <v>ELLIPS</v>
      </c>
      <c r="K163" s="4" t="str">
        <f>CONCATENATE(Table43[[#This Row],[kode  2 Digit                (hrf+No)]],Table43[[#This Row],[kode  2 Digit                (Nomor)]],Table43[[#This Row],[kode  1 Digit                (Nomor)]])</f>
        <v>K1102</v>
      </c>
      <c r="L163" s="4" t="str">
        <f t="shared" si="9"/>
        <v>K1102006000110</v>
      </c>
      <c r="M163" s="11">
        <f t="shared" si="10"/>
        <v>14</v>
      </c>
      <c r="N163" s="14" t="str">
        <f>IF(AF163&lt;&gt;"",TRIM(UPPER(CONCATENATE(P163," ",R163," ",T163," ",V163," ",X163," ",Z163," ","X"," ",Table43[[#This Row],[ISI/CTN]]," ",AF163," ",AB163," ",AD163," ",AH163))),TRIM(UPPER(CONCATENATE(P163," ",R163," ",T163," ",V163," ",X163," ",Z163," ","X"," ",Table43[[#This Row],[ISI/CTN]]," ",AB163," ",AD163," ",AH163))))</f>
        <v>KNF ELLIPS H.VIT KERATIN HAIR REPAIR 1ML X 72 BLR</v>
      </c>
      <c r="O163" s="11">
        <f t="shared" si="11"/>
        <v>49</v>
      </c>
      <c r="P163" s="4" t="s">
        <v>97</v>
      </c>
      <c r="Q163" s="7" t="s">
        <v>98</v>
      </c>
      <c r="R163" s="4" t="s">
        <v>3658</v>
      </c>
      <c r="S163" s="44" t="s">
        <v>3564</v>
      </c>
      <c r="T163" s="45" t="s">
        <v>2961</v>
      </c>
      <c r="U163" s="7" t="s">
        <v>3562</v>
      </c>
      <c r="V163" s="45" t="s">
        <v>2961</v>
      </c>
      <c r="W163" s="44" t="s">
        <v>2900</v>
      </c>
      <c r="X163" s="4" t="s">
        <v>3694</v>
      </c>
      <c r="Y163" s="46" t="s">
        <v>2476</v>
      </c>
      <c r="Z163" s="4" t="s">
        <v>3679</v>
      </c>
      <c r="AA163" s="46" t="s">
        <v>2496</v>
      </c>
      <c r="AB163" s="4" t="s">
        <v>1024</v>
      </c>
      <c r="AC163" s="7" t="s">
        <v>2656</v>
      </c>
      <c r="AD163" s="4" t="s">
        <v>2961</v>
      </c>
      <c r="AE163" s="7" t="s">
        <v>2900</v>
      </c>
      <c r="AF163" s="7" t="s">
        <v>2961</v>
      </c>
      <c r="AG163" s="7" t="s">
        <v>2961</v>
      </c>
      <c r="AI163" s="7" t="s">
        <v>4100</v>
      </c>
      <c r="AJ163" s="7" t="s">
        <v>2656</v>
      </c>
      <c r="AK163" s="41">
        <f>Table43[[#This Row],[Harga Jual Pcs GT
(-PPN)]]-(Table43[[#This Row],[Harga Jual Pcs GT
(-PPN)]]*10%)</f>
        <v>0</v>
      </c>
      <c r="AL163" s="42">
        <f>Table43[[#This Row],[Harga Beli Pcs
(-PPN)]]*Table43[[#This Row],[ISI/CTN]]</f>
        <v>0</v>
      </c>
      <c r="AM163" s="42">
        <f>Table43[[#This Row],[Harga Beli Pcs
(-PPN)]]*1.11</f>
        <v>0</v>
      </c>
      <c r="AN163" s="42">
        <f>Table43[[#This Row],[Harga Beli Krt
(- PPN)]]*1.11</f>
        <v>0</v>
      </c>
      <c r="AO163" s="42"/>
      <c r="AP163" s="42">
        <f>Table43[[#This Row],[Harga Jual Pcs GT
(-PPN)]]*Table43[[#This Row],[ISI/CTN]]</f>
        <v>0</v>
      </c>
      <c r="AQ163" s="42">
        <f>Table43[[#This Row],[Harga Jual Pcs GT
(-PPN)]]*1.11</f>
        <v>0</v>
      </c>
      <c r="AR163" s="42">
        <f>Table43[[#This Row],[Harga Jual Krt GT
(- PPN)]]*1.11</f>
        <v>0</v>
      </c>
      <c r="AS163" s="42">
        <f>Table43[[#This Row],[Harga Jual Pcs GT
(-PPN)]]</f>
        <v>0</v>
      </c>
      <c r="AT163" s="42">
        <f>(Table43[[#This Row],[Harga Jual Pcs MT
(-PPN)]]*Table43[[#This Row],[ISI/CTN]])</f>
        <v>0</v>
      </c>
      <c r="AU163" s="42">
        <f>Table43[[#This Row],[Harga Jual Pcs MT
(-PPN)]]*1.11</f>
        <v>0</v>
      </c>
      <c r="AV163" s="42">
        <f>Table43[[#This Row],[Harga Jual Pcs MT
(+PPN)]]*Table43[[#This Row],[ISI/CTN]]</f>
        <v>0</v>
      </c>
      <c r="AW163" s="47"/>
      <c r="AX163" s="7"/>
      <c r="AY163" s="7" t="str">
        <f ca="1">IF(TODAY()-Table43[[#This Row],[Efektif
Pembuatan]]&gt;60,"Lama","Baru")</f>
        <v>Lama</v>
      </c>
      <c r="AZ163" s="7" t="str">
        <f ca="1">IF(TODAY()-Table43[[#This Row],[Efektif Naik Harga]]&lt;30,"Naik","Sama")</f>
        <v>Sama</v>
      </c>
      <c r="BA163" s="7" t="str">
        <f>IF(Table43[[#This Row],[Kode BARANG Win2]]&lt;&gt;"","IDR","")</f>
        <v>IDR</v>
      </c>
      <c r="BB163" s="7" t="str">
        <f>CONCATENATE(Table43[[#This Row],[kode  1 Digit
(Nomor)]],Table43[[#This Row],[kode  4 Digit                (Nomor)]])</f>
        <v>10001</v>
      </c>
      <c r="BC163" s="7" t="str">
        <f>Table43[[#This Row],[Nama            Gramasi atau Jumlah Pack per CTN]]</f>
        <v>1ML</v>
      </c>
      <c r="BD163" s="7"/>
      <c r="BE163" s="7"/>
      <c r="BF163" s="4" t="str">
        <f>IF(Table43[[#This Row],[SATUAN Fix Win]]&lt;&gt;"","KRT")</f>
        <v>KRT</v>
      </c>
      <c r="BG163" s="4" t="str">
        <f>IF(Table43[[#This Row],[SATUAN Fix Win]]&lt;&gt;"","GD01")</f>
        <v>GD01</v>
      </c>
      <c r="BH163" s="4">
        <f>IF(Table43[[#This Row],[SATUAN Fix Win]]&lt;&gt;"",11611)</f>
        <v>11611</v>
      </c>
      <c r="BI163" s="4">
        <f>IF(Table43[[#This Row],[SATUAN Fix Win]]&lt;&gt;"",11612)</f>
        <v>11612</v>
      </c>
      <c r="BJ163" s="48"/>
      <c r="BK163" s="4">
        <f>IF(Table43[[#This Row],[SATUAN Fix Win]]&lt;&gt;"",1)</f>
        <v>1</v>
      </c>
    </row>
    <row r="164" spans="1:63">
      <c r="A164" s="4" t="str">
        <f>CONCATENATE(Table43[[#This Row],[Kode BARANG Win2]],Table43[[#This Row],[No. Urut
Item Sama]])</f>
        <v>K11020060001201</v>
      </c>
      <c r="B164" s="7">
        <v>1</v>
      </c>
      <c r="D164" s="28" t="s">
        <v>458</v>
      </c>
      <c r="E164" s="28"/>
      <c r="F164" s="28" t="s">
        <v>2993</v>
      </c>
      <c r="G164" s="78">
        <v>12</v>
      </c>
      <c r="H164" s="43"/>
      <c r="I164" s="28" t="str">
        <f>Table43[[#This Row],[Nama Jenis Kemasan]]</f>
        <v>JAR</v>
      </c>
      <c r="J164" s="4" t="str">
        <f>TRIM(CONCATENATE(Table43[[#This Row],[Nama            KLP]]," ",Table43[[#This Row],[Nama            Sub KLP]]))</f>
        <v>ELLIPS</v>
      </c>
      <c r="K164" s="4" t="str">
        <f>CONCATENATE(Table43[[#This Row],[kode  2 Digit                (hrf+No)]],Table43[[#This Row],[kode  2 Digit                (Nomor)]],Table43[[#This Row],[kode  1 Digit                (Nomor)]])</f>
        <v>K1102</v>
      </c>
      <c r="L164" s="4" t="str">
        <f t="shared" si="9"/>
        <v>K1102006000120</v>
      </c>
      <c r="M164" s="11">
        <f t="shared" si="10"/>
        <v>14</v>
      </c>
      <c r="N164" s="14" t="str">
        <f>IF(AF164&lt;&gt;"",TRIM(UPPER(CONCATENATE(P164," ",R164," ",T164," ",V164," ",X164," ",Z164," ","X"," ",Table43[[#This Row],[ISI/CTN]]," ",AF164," ",AB164," ",AD164," ",AH164))),TRIM(UPPER(CONCATENATE(P164," ",R164," ",T164," ",V164," ",X164," ",Z164," ","X"," ",Table43[[#This Row],[ISI/CTN]]," ",AB164," ",AD164," ",AH164))))</f>
        <v>KNF ELLIPS H.VIT KERATIN HAIR REPAIR 1ML X 12 JAR</v>
      </c>
      <c r="O164" s="11">
        <f t="shared" si="11"/>
        <v>49</v>
      </c>
      <c r="P164" s="4" t="s">
        <v>97</v>
      </c>
      <c r="Q164" s="7" t="s">
        <v>98</v>
      </c>
      <c r="R164" s="4" t="s">
        <v>3658</v>
      </c>
      <c r="S164" s="44" t="s">
        <v>3564</v>
      </c>
      <c r="T164" s="45" t="s">
        <v>2961</v>
      </c>
      <c r="U164" s="7" t="s">
        <v>3562</v>
      </c>
      <c r="V164" s="45" t="s">
        <v>2961</v>
      </c>
      <c r="W164" s="44" t="s">
        <v>2900</v>
      </c>
      <c r="X164" s="4" t="s">
        <v>3694</v>
      </c>
      <c r="Y164" s="46" t="s">
        <v>2476</v>
      </c>
      <c r="Z164" s="4" t="s">
        <v>3679</v>
      </c>
      <c r="AA164" s="46" t="s">
        <v>2496</v>
      </c>
      <c r="AB164" s="4" t="s">
        <v>1019</v>
      </c>
      <c r="AC164" s="7" t="s">
        <v>3562</v>
      </c>
      <c r="AD164" s="4" t="s">
        <v>2961</v>
      </c>
      <c r="AE164" s="7" t="s">
        <v>2900</v>
      </c>
      <c r="AF164" s="7" t="s">
        <v>2961</v>
      </c>
      <c r="AG164" s="7" t="s">
        <v>2961</v>
      </c>
      <c r="AI164" s="7" t="s">
        <v>4100</v>
      </c>
      <c r="AJ164" s="7" t="s">
        <v>2656</v>
      </c>
      <c r="AK164" s="41">
        <f>Table43[[#This Row],[Harga Jual Pcs GT
(-PPN)]]-(Table43[[#This Row],[Harga Jual Pcs GT
(-PPN)]]*10%)</f>
        <v>0</v>
      </c>
      <c r="AL164" s="42">
        <f>Table43[[#This Row],[Harga Beli Pcs
(-PPN)]]*Table43[[#This Row],[ISI/CTN]]</f>
        <v>0</v>
      </c>
      <c r="AM164" s="42">
        <f>Table43[[#This Row],[Harga Beli Pcs
(-PPN)]]*1.11</f>
        <v>0</v>
      </c>
      <c r="AN164" s="42">
        <f>Table43[[#This Row],[Harga Beli Krt
(- PPN)]]*1.11</f>
        <v>0</v>
      </c>
      <c r="AO164" s="42"/>
      <c r="AP164" s="42">
        <f>Table43[[#This Row],[Harga Jual Pcs GT
(-PPN)]]*Table43[[#This Row],[ISI/CTN]]</f>
        <v>0</v>
      </c>
      <c r="AQ164" s="42">
        <f>Table43[[#This Row],[Harga Jual Pcs GT
(-PPN)]]*1.11</f>
        <v>0</v>
      </c>
      <c r="AR164" s="42">
        <f>Table43[[#This Row],[Harga Jual Krt GT
(- PPN)]]*1.11</f>
        <v>0</v>
      </c>
      <c r="AS164" s="42">
        <f>Table43[[#This Row],[Harga Jual Pcs GT
(-PPN)]]</f>
        <v>0</v>
      </c>
      <c r="AT164" s="42">
        <f>(Table43[[#This Row],[Harga Jual Pcs MT
(-PPN)]]*Table43[[#This Row],[ISI/CTN]])</f>
        <v>0</v>
      </c>
      <c r="AU164" s="42">
        <f>Table43[[#This Row],[Harga Jual Pcs MT
(-PPN)]]*1.11</f>
        <v>0</v>
      </c>
      <c r="AV164" s="42">
        <f>Table43[[#This Row],[Harga Jual Pcs MT
(+PPN)]]*Table43[[#This Row],[ISI/CTN]]</f>
        <v>0</v>
      </c>
      <c r="AW164" s="47"/>
      <c r="AX164" s="7"/>
      <c r="AY164" s="7" t="str">
        <f ca="1">IF(TODAY()-Table43[[#This Row],[Efektif
Pembuatan]]&gt;60,"Lama","Baru")</f>
        <v>Lama</v>
      </c>
      <c r="AZ164" s="7" t="str">
        <f ca="1">IF(TODAY()-Table43[[#This Row],[Efektif Naik Harga]]&lt;30,"Naik","Sama")</f>
        <v>Sama</v>
      </c>
      <c r="BA164" s="7" t="str">
        <f>IF(Table43[[#This Row],[Kode BARANG Win2]]&lt;&gt;"","IDR","")</f>
        <v>IDR</v>
      </c>
      <c r="BB164" s="7" t="str">
        <f>CONCATENATE(Table43[[#This Row],[kode  1 Digit
(Nomor)]],Table43[[#This Row],[kode  4 Digit                (Nomor)]])</f>
        <v>10001</v>
      </c>
      <c r="BC164" s="7" t="str">
        <f>Table43[[#This Row],[Nama            Gramasi atau Jumlah Pack per CTN]]</f>
        <v>1ML</v>
      </c>
      <c r="BD164" s="7"/>
      <c r="BE164" s="7"/>
      <c r="BF164" s="4" t="str">
        <f>IF(Table43[[#This Row],[SATUAN Fix Win]]&lt;&gt;"","KRT")</f>
        <v>KRT</v>
      </c>
      <c r="BG164" s="4" t="str">
        <f>IF(Table43[[#This Row],[SATUAN Fix Win]]&lt;&gt;"","GD01")</f>
        <v>GD01</v>
      </c>
      <c r="BH164" s="4">
        <f>IF(Table43[[#This Row],[SATUAN Fix Win]]&lt;&gt;"",11611)</f>
        <v>11611</v>
      </c>
      <c r="BI164" s="4">
        <f>IF(Table43[[#This Row],[SATUAN Fix Win]]&lt;&gt;"",11612)</f>
        <v>11612</v>
      </c>
      <c r="BJ164" s="48"/>
      <c r="BK164" s="4">
        <f>IF(Table43[[#This Row],[SATUAN Fix Win]]&lt;&gt;"",1)</f>
        <v>1</v>
      </c>
    </row>
    <row r="165" spans="1:63">
      <c r="A165" s="4" t="str">
        <f>CONCATENATE(Table43[[#This Row],[Kode BARANG Win2]],Table43[[#This Row],[No. Urut
Item Sama]])</f>
        <v>K11020070001101</v>
      </c>
      <c r="B165" s="7">
        <v>1</v>
      </c>
      <c r="D165" s="28" t="s">
        <v>476</v>
      </c>
      <c r="E165" s="28"/>
      <c r="F165" s="28" t="s">
        <v>2994</v>
      </c>
      <c r="G165" s="78">
        <v>72</v>
      </c>
      <c r="H165" s="43"/>
      <c r="I165" s="28" t="str">
        <f>Table43[[#This Row],[Nama Jenis Kemasan]]</f>
        <v>BLR</v>
      </c>
      <c r="J165" s="4" t="str">
        <f>TRIM(CONCATENATE(Table43[[#This Row],[Nama            KLP]]," ",Table43[[#This Row],[Nama            Sub KLP]]))</f>
        <v>ELLIPS</v>
      </c>
      <c r="K165" s="4" t="str">
        <f>CONCATENATE(Table43[[#This Row],[kode  2 Digit                (hrf+No)]],Table43[[#This Row],[kode  2 Digit                (Nomor)]],Table43[[#This Row],[kode  1 Digit                (Nomor)]])</f>
        <v>K1102</v>
      </c>
      <c r="L165" s="4" t="str">
        <f t="shared" si="9"/>
        <v>K1102007000110</v>
      </c>
      <c r="M165" s="11">
        <f t="shared" si="10"/>
        <v>14</v>
      </c>
      <c r="N165" s="14" t="str">
        <f>IF(AF165&lt;&gt;"",TRIM(UPPER(CONCATENATE(P165," ",R165," ",T165," ",V165," ",X165," ",Z165," ","X"," ",Table43[[#This Row],[ISI/CTN]]," ",AF165," ",AB165," ",AD165," ",AH165))),TRIM(UPPER(CONCATENATE(P165," ",R165," ",T165," ",V165," ",X165," ",Z165," ","X"," ",Table43[[#This Row],[ISI/CTN]]," ",AB165," ",AD165," ",AH165))))</f>
        <v>KNF ELLIPS H.VIT KERATIN SMOOTH&amp;SILKY 1ML X 72 BLR</v>
      </c>
      <c r="O165" s="11">
        <f t="shared" si="11"/>
        <v>50</v>
      </c>
      <c r="P165" s="4" t="s">
        <v>97</v>
      </c>
      <c r="Q165" s="7" t="s">
        <v>98</v>
      </c>
      <c r="R165" s="4" t="s">
        <v>3658</v>
      </c>
      <c r="S165" s="44" t="s">
        <v>3564</v>
      </c>
      <c r="T165" s="45" t="s">
        <v>2961</v>
      </c>
      <c r="U165" s="7" t="s">
        <v>3562</v>
      </c>
      <c r="V165" s="45" t="s">
        <v>2961</v>
      </c>
      <c r="W165" s="44" t="s">
        <v>2900</v>
      </c>
      <c r="X165" s="4" t="s">
        <v>3695</v>
      </c>
      <c r="Y165" s="46" t="s">
        <v>2477</v>
      </c>
      <c r="Z165" s="4" t="s">
        <v>3679</v>
      </c>
      <c r="AA165" s="46" t="s">
        <v>2496</v>
      </c>
      <c r="AB165" s="4" t="s">
        <v>1024</v>
      </c>
      <c r="AC165" s="7" t="s">
        <v>2656</v>
      </c>
      <c r="AD165" s="4" t="s">
        <v>2961</v>
      </c>
      <c r="AE165" s="7" t="s">
        <v>2900</v>
      </c>
      <c r="AF165" s="7" t="s">
        <v>2961</v>
      </c>
      <c r="AG165" s="7" t="s">
        <v>2961</v>
      </c>
      <c r="AI165" s="7" t="s">
        <v>4100</v>
      </c>
      <c r="AJ165" s="7" t="s">
        <v>2656</v>
      </c>
      <c r="AK165" s="41">
        <f>Table43[[#This Row],[Harga Jual Pcs GT
(-PPN)]]-(Table43[[#This Row],[Harga Jual Pcs GT
(-PPN)]]*10%)</f>
        <v>0</v>
      </c>
      <c r="AL165" s="42">
        <f>Table43[[#This Row],[Harga Beli Pcs
(-PPN)]]*Table43[[#This Row],[ISI/CTN]]</f>
        <v>0</v>
      </c>
      <c r="AM165" s="42">
        <f>Table43[[#This Row],[Harga Beli Pcs
(-PPN)]]*1.11</f>
        <v>0</v>
      </c>
      <c r="AN165" s="42">
        <f>Table43[[#This Row],[Harga Beli Krt
(- PPN)]]*1.11</f>
        <v>0</v>
      </c>
      <c r="AO165" s="42"/>
      <c r="AP165" s="42">
        <f>Table43[[#This Row],[Harga Jual Pcs GT
(-PPN)]]*Table43[[#This Row],[ISI/CTN]]</f>
        <v>0</v>
      </c>
      <c r="AQ165" s="42">
        <f>Table43[[#This Row],[Harga Jual Pcs GT
(-PPN)]]*1.11</f>
        <v>0</v>
      </c>
      <c r="AR165" s="42">
        <f>Table43[[#This Row],[Harga Jual Krt GT
(- PPN)]]*1.11</f>
        <v>0</v>
      </c>
      <c r="AS165" s="42">
        <f>Table43[[#This Row],[Harga Jual Pcs GT
(-PPN)]]</f>
        <v>0</v>
      </c>
      <c r="AT165" s="42">
        <f>(Table43[[#This Row],[Harga Jual Pcs MT
(-PPN)]]*Table43[[#This Row],[ISI/CTN]])</f>
        <v>0</v>
      </c>
      <c r="AU165" s="42">
        <f>Table43[[#This Row],[Harga Jual Pcs MT
(-PPN)]]*1.11</f>
        <v>0</v>
      </c>
      <c r="AV165" s="42">
        <f>Table43[[#This Row],[Harga Jual Pcs MT
(+PPN)]]*Table43[[#This Row],[ISI/CTN]]</f>
        <v>0</v>
      </c>
      <c r="AW165" s="47"/>
      <c r="AX165" s="7"/>
      <c r="AY165" s="7" t="str">
        <f ca="1">IF(TODAY()-Table43[[#This Row],[Efektif
Pembuatan]]&gt;60,"Lama","Baru")</f>
        <v>Lama</v>
      </c>
      <c r="AZ165" s="7" t="str">
        <f ca="1">IF(TODAY()-Table43[[#This Row],[Efektif Naik Harga]]&lt;30,"Naik","Sama")</f>
        <v>Sama</v>
      </c>
      <c r="BA165" s="7" t="str">
        <f>IF(Table43[[#This Row],[Kode BARANG Win2]]&lt;&gt;"","IDR","")</f>
        <v>IDR</v>
      </c>
      <c r="BB165" s="7" t="str">
        <f>CONCATENATE(Table43[[#This Row],[kode  1 Digit
(Nomor)]],Table43[[#This Row],[kode  4 Digit                (Nomor)]])</f>
        <v>10001</v>
      </c>
      <c r="BC165" s="7" t="str">
        <f>Table43[[#This Row],[Nama            Gramasi atau Jumlah Pack per CTN]]</f>
        <v>1ML</v>
      </c>
      <c r="BD165" s="7"/>
      <c r="BE165" s="7"/>
      <c r="BF165" s="4" t="str">
        <f>IF(Table43[[#This Row],[SATUAN Fix Win]]&lt;&gt;"","KRT")</f>
        <v>KRT</v>
      </c>
      <c r="BG165" s="4" t="str">
        <f>IF(Table43[[#This Row],[SATUAN Fix Win]]&lt;&gt;"","GD01")</f>
        <v>GD01</v>
      </c>
      <c r="BH165" s="4">
        <f>IF(Table43[[#This Row],[SATUAN Fix Win]]&lt;&gt;"",11611)</f>
        <v>11611</v>
      </c>
      <c r="BI165" s="4">
        <f>IF(Table43[[#This Row],[SATUAN Fix Win]]&lt;&gt;"",11612)</f>
        <v>11612</v>
      </c>
      <c r="BJ165" s="48"/>
      <c r="BK165" s="4">
        <f>IF(Table43[[#This Row],[SATUAN Fix Win]]&lt;&gt;"",1)</f>
        <v>1</v>
      </c>
    </row>
    <row r="166" spans="1:63">
      <c r="A166" s="4" t="str">
        <f>CONCATENATE(Table43[[#This Row],[Kode BARANG Win2]],Table43[[#This Row],[No. Urut
Item Sama]])</f>
        <v>K11020070001201</v>
      </c>
      <c r="B166" s="7">
        <v>1</v>
      </c>
      <c r="D166" s="28" t="s">
        <v>459</v>
      </c>
      <c r="E166" s="28"/>
      <c r="F166" s="28" t="s">
        <v>2995</v>
      </c>
      <c r="G166" s="78">
        <v>12</v>
      </c>
      <c r="H166" s="43"/>
      <c r="I166" s="28" t="str">
        <f>Table43[[#This Row],[Nama Jenis Kemasan]]</f>
        <v>JAR</v>
      </c>
      <c r="J166" s="4" t="str">
        <f>TRIM(CONCATENATE(Table43[[#This Row],[Nama            KLP]]," ",Table43[[#This Row],[Nama            Sub KLP]]))</f>
        <v>ELLIPS</v>
      </c>
      <c r="K166" s="4" t="str">
        <f>CONCATENATE(Table43[[#This Row],[kode  2 Digit                (hrf+No)]],Table43[[#This Row],[kode  2 Digit                (Nomor)]],Table43[[#This Row],[kode  1 Digit                (Nomor)]])</f>
        <v>K1102</v>
      </c>
      <c r="L166" s="4" t="str">
        <f t="shared" si="9"/>
        <v>K1102007000120</v>
      </c>
      <c r="M166" s="11">
        <f t="shared" si="10"/>
        <v>14</v>
      </c>
      <c r="N166" s="14" t="str">
        <f>IF(AF166&lt;&gt;"",TRIM(UPPER(CONCATENATE(P166," ",R166," ",T166," ",V166," ",X166," ",Z166," ","X"," ",Table43[[#This Row],[ISI/CTN]]," ",AF166," ",AB166," ",AD166," ",AH166))),TRIM(UPPER(CONCATENATE(P166," ",R166," ",T166," ",V166," ",X166," ",Z166," ","X"," ",Table43[[#This Row],[ISI/CTN]]," ",AB166," ",AD166," ",AH166))))</f>
        <v>KNF ELLIPS H.VIT KERATIN SMOOTH&amp;SILKY 1ML X 12 JAR</v>
      </c>
      <c r="O166" s="11">
        <f t="shared" si="11"/>
        <v>50</v>
      </c>
      <c r="P166" s="4" t="s">
        <v>97</v>
      </c>
      <c r="Q166" s="7" t="s">
        <v>98</v>
      </c>
      <c r="R166" s="4" t="s">
        <v>3658</v>
      </c>
      <c r="S166" s="44" t="s">
        <v>3564</v>
      </c>
      <c r="T166" s="45" t="s">
        <v>2961</v>
      </c>
      <c r="U166" s="7" t="s">
        <v>3562</v>
      </c>
      <c r="V166" s="45" t="s">
        <v>2961</v>
      </c>
      <c r="W166" s="44" t="s">
        <v>2900</v>
      </c>
      <c r="X166" s="4" t="s">
        <v>3695</v>
      </c>
      <c r="Y166" s="46" t="s">
        <v>2477</v>
      </c>
      <c r="Z166" s="4" t="s">
        <v>3679</v>
      </c>
      <c r="AA166" s="46" t="s">
        <v>2496</v>
      </c>
      <c r="AB166" s="4" t="s">
        <v>1019</v>
      </c>
      <c r="AC166" s="7" t="s">
        <v>3562</v>
      </c>
      <c r="AD166" s="4" t="s">
        <v>2961</v>
      </c>
      <c r="AE166" s="7" t="s">
        <v>2900</v>
      </c>
      <c r="AF166" s="7" t="s">
        <v>2961</v>
      </c>
      <c r="AG166" s="7" t="s">
        <v>2961</v>
      </c>
      <c r="AI166" s="7" t="s">
        <v>4100</v>
      </c>
      <c r="AJ166" s="7" t="s">
        <v>2656</v>
      </c>
      <c r="AK166" s="41">
        <f>Table43[[#This Row],[Harga Jual Pcs GT
(-PPN)]]-(Table43[[#This Row],[Harga Jual Pcs GT
(-PPN)]]*10%)</f>
        <v>0</v>
      </c>
      <c r="AL166" s="42">
        <f>Table43[[#This Row],[Harga Beli Pcs
(-PPN)]]*Table43[[#This Row],[ISI/CTN]]</f>
        <v>0</v>
      </c>
      <c r="AM166" s="42">
        <f>Table43[[#This Row],[Harga Beli Pcs
(-PPN)]]*1.11</f>
        <v>0</v>
      </c>
      <c r="AN166" s="42">
        <f>Table43[[#This Row],[Harga Beli Krt
(- PPN)]]*1.11</f>
        <v>0</v>
      </c>
      <c r="AO166" s="42"/>
      <c r="AP166" s="42">
        <f>Table43[[#This Row],[Harga Jual Pcs GT
(-PPN)]]*Table43[[#This Row],[ISI/CTN]]</f>
        <v>0</v>
      </c>
      <c r="AQ166" s="42">
        <f>Table43[[#This Row],[Harga Jual Pcs GT
(-PPN)]]*1.11</f>
        <v>0</v>
      </c>
      <c r="AR166" s="42">
        <f>Table43[[#This Row],[Harga Jual Krt GT
(- PPN)]]*1.11</f>
        <v>0</v>
      </c>
      <c r="AS166" s="42">
        <f>Table43[[#This Row],[Harga Jual Pcs GT
(-PPN)]]</f>
        <v>0</v>
      </c>
      <c r="AT166" s="42">
        <f>(Table43[[#This Row],[Harga Jual Pcs MT
(-PPN)]]*Table43[[#This Row],[ISI/CTN]])</f>
        <v>0</v>
      </c>
      <c r="AU166" s="42">
        <f>Table43[[#This Row],[Harga Jual Pcs MT
(-PPN)]]*1.11</f>
        <v>0</v>
      </c>
      <c r="AV166" s="42">
        <f>Table43[[#This Row],[Harga Jual Pcs MT
(+PPN)]]*Table43[[#This Row],[ISI/CTN]]</f>
        <v>0</v>
      </c>
      <c r="AW166" s="47"/>
      <c r="AX166" s="7"/>
      <c r="AY166" s="7" t="str">
        <f ca="1">IF(TODAY()-Table43[[#This Row],[Efektif
Pembuatan]]&gt;60,"Lama","Baru")</f>
        <v>Lama</v>
      </c>
      <c r="AZ166" s="7" t="str">
        <f ca="1">IF(TODAY()-Table43[[#This Row],[Efektif Naik Harga]]&lt;30,"Naik","Sama")</f>
        <v>Sama</v>
      </c>
      <c r="BA166" s="7" t="str">
        <f>IF(Table43[[#This Row],[Kode BARANG Win2]]&lt;&gt;"","IDR","")</f>
        <v>IDR</v>
      </c>
      <c r="BB166" s="7" t="str">
        <f>CONCATENATE(Table43[[#This Row],[kode  1 Digit
(Nomor)]],Table43[[#This Row],[kode  4 Digit                (Nomor)]])</f>
        <v>10001</v>
      </c>
      <c r="BC166" s="7" t="str">
        <f>Table43[[#This Row],[Nama            Gramasi atau Jumlah Pack per CTN]]</f>
        <v>1ML</v>
      </c>
      <c r="BD166" s="7"/>
      <c r="BE166" s="7"/>
      <c r="BF166" s="4" t="str">
        <f>IF(Table43[[#This Row],[SATUAN Fix Win]]&lt;&gt;"","KRT")</f>
        <v>KRT</v>
      </c>
      <c r="BG166" s="4" t="str">
        <f>IF(Table43[[#This Row],[SATUAN Fix Win]]&lt;&gt;"","GD01")</f>
        <v>GD01</v>
      </c>
      <c r="BH166" s="4">
        <f>IF(Table43[[#This Row],[SATUAN Fix Win]]&lt;&gt;"",11611)</f>
        <v>11611</v>
      </c>
      <c r="BI166" s="4">
        <f>IF(Table43[[#This Row],[SATUAN Fix Win]]&lt;&gt;"",11612)</f>
        <v>11612</v>
      </c>
      <c r="BJ166" s="48"/>
      <c r="BK166" s="4">
        <f>IF(Table43[[#This Row],[SATUAN Fix Win]]&lt;&gt;"",1)</f>
        <v>1</v>
      </c>
    </row>
    <row r="167" spans="1:63">
      <c r="A167" s="4" t="str">
        <f>CONCATENATE(Table43[[#This Row],[Kode BARANG Win2]],Table43[[#This Row],[No. Urut
Item Sama]])</f>
        <v>K11020080001101</v>
      </c>
      <c r="B167" s="7">
        <v>1</v>
      </c>
      <c r="D167" s="28" t="s">
        <v>477</v>
      </c>
      <c r="E167" s="28"/>
      <c r="F167" s="28" t="s">
        <v>2996</v>
      </c>
      <c r="G167" s="78">
        <v>72</v>
      </c>
      <c r="H167" s="43"/>
      <c r="I167" s="28" t="str">
        <f>Table43[[#This Row],[Nama Jenis Kemasan]]</f>
        <v>BLR</v>
      </c>
      <c r="J167" s="4" t="str">
        <f>TRIM(CONCATENATE(Table43[[#This Row],[Nama            KLP]]," ",Table43[[#This Row],[Nama            Sub KLP]]))</f>
        <v>ELLIPS</v>
      </c>
      <c r="K167" s="4" t="str">
        <f>CONCATENATE(Table43[[#This Row],[kode  2 Digit                (hrf+No)]],Table43[[#This Row],[kode  2 Digit                (Nomor)]],Table43[[#This Row],[kode  1 Digit                (Nomor)]])</f>
        <v>K1102</v>
      </c>
      <c r="L167" s="4" t="str">
        <f t="shared" si="9"/>
        <v>K1102008000110</v>
      </c>
      <c r="M167" s="11">
        <f t="shared" si="10"/>
        <v>14</v>
      </c>
      <c r="N167" s="14" t="str">
        <f>IF(AF167&lt;&gt;"",TRIM(UPPER(CONCATENATE(P167," ",R167," ",T167," ",V167," ",X167," ",Z167," ","X"," ",Table43[[#This Row],[ISI/CTN]]," ",AF167," ",AB167," ",AD167," ",AH167))),TRIM(UPPER(CONCATENATE(P167," ",R167," ",T167," ",V167," ",X167," ",Z167," ","X"," ",Table43[[#This Row],[ISI/CTN]]," ",AB167," ",AD167," ",AH167))))</f>
        <v>KNF ELLIPS H.VIT KERATIN SILKY BLACK 1ML X 72 BLR</v>
      </c>
      <c r="O167" s="11">
        <f t="shared" si="11"/>
        <v>49</v>
      </c>
      <c r="P167" s="4" t="s">
        <v>97</v>
      </c>
      <c r="Q167" s="7" t="s">
        <v>98</v>
      </c>
      <c r="R167" s="4" t="s">
        <v>3658</v>
      </c>
      <c r="S167" s="44" t="s">
        <v>3564</v>
      </c>
      <c r="T167" s="45" t="s">
        <v>2961</v>
      </c>
      <c r="U167" s="7" t="s">
        <v>3562</v>
      </c>
      <c r="V167" s="45" t="s">
        <v>2961</v>
      </c>
      <c r="W167" s="44" t="s">
        <v>2900</v>
      </c>
      <c r="X167" s="4" t="s">
        <v>3696</v>
      </c>
      <c r="Y167" s="46" t="s">
        <v>2478</v>
      </c>
      <c r="Z167" s="4" t="s">
        <v>3679</v>
      </c>
      <c r="AA167" s="46" t="s">
        <v>2496</v>
      </c>
      <c r="AB167" s="4" t="s">
        <v>1024</v>
      </c>
      <c r="AC167" s="7" t="s">
        <v>2656</v>
      </c>
      <c r="AD167" s="4" t="s">
        <v>2961</v>
      </c>
      <c r="AE167" s="7" t="s">
        <v>2900</v>
      </c>
      <c r="AF167" s="7" t="s">
        <v>2961</v>
      </c>
      <c r="AG167" s="7" t="s">
        <v>2961</v>
      </c>
      <c r="AI167" s="7" t="s">
        <v>4100</v>
      </c>
      <c r="AJ167" s="7" t="s">
        <v>2656</v>
      </c>
      <c r="AK167" s="41">
        <f>Table43[[#This Row],[Harga Jual Pcs GT
(-PPN)]]-(Table43[[#This Row],[Harga Jual Pcs GT
(-PPN)]]*10%)</f>
        <v>0</v>
      </c>
      <c r="AL167" s="42">
        <f>Table43[[#This Row],[Harga Beli Pcs
(-PPN)]]*Table43[[#This Row],[ISI/CTN]]</f>
        <v>0</v>
      </c>
      <c r="AM167" s="42">
        <f>Table43[[#This Row],[Harga Beli Pcs
(-PPN)]]*1.11</f>
        <v>0</v>
      </c>
      <c r="AN167" s="42">
        <f>Table43[[#This Row],[Harga Beli Krt
(- PPN)]]*1.11</f>
        <v>0</v>
      </c>
      <c r="AO167" s="42"/>
      <c r="AP167" s="42">
        <f>Table43[[#This Row],[Harga Jual Pcs GT
(-PPN)]]*Table43[[#This Row],[ISI/CTN]]</f>
        <v>0</v>
      </c>
      <c r="AQ167" s="42">
        <f>Table43[[#This Row],[Harga Jual Pcs GT
(-PPN)]]*1.11</f>
        <v>0</v>
      </c>
      <c r="AR167" s="42">
        <f>Table43[[#This Row],[Harga Jual Krt GT
(- PPN)]]*1.11</f>
        <v>0</v>
      </c>
      <c r="AS167" s="42">
        <f>Table43[[#This Row],[Harga Jual Pcs GT
(-PPN)]]</f>
        <v>0</v>
      </c>
      <c r="AT167" s="42">
        <f>(Table43[[#This Row],[Harga Jual Pcs MT
(-PPN)]]*Table43[[#This Row],[ISI/CTN]])</f>
        <v>0</v>
      </c>
      <c r="AU167" s="42">
        <f>Table43[[#This Row],[Harga Jual Pcs MT
(-PPN)]]*1.11</f>
        <v>0</v>
      </c>
      <c r="AV167" s="42">
        <f>Table43[[#This Row],[Harga Jual Pcs MT
(+PPN)]]*Table43[[#This Row],[ISI/CTN]]</f>
        <v>0</v>
      </c>
      <c r="AW167" s="47"/>
      <c r="AX167" s="7"/>
      <c r="AY167" s="7" t="str">
        <f ca="1">IF(TODAY()-Table43[[#This Row],[Efektif
Pembuatan]]&gt;60,"Lama","Baru")</f>
        <v>Lama</v>
      </c>
      <c r="AZ167" s="7" t="str">
        <f ca="1">IF(TODAY()-Table43[[#This Row],[Efektif Naik Harga]]&lt;30,"Naik","Sama")</f>
        <v>Sama</v>
      </c>
      <c r="BA167" s="7" t="str">
        <f>IF(Table43[[#This Row],[Kode BARANG Win2]]&lt;&gt;"","IDR","")</f>
        <v>IDR</v>
      </c>
      <c r="BB167" s="7" t="str">
        <f>CONCATENATE(Table43[[#This Row],[kode  1 Digit
(Nomor)]],Table43[[#This Row],[kode  4 Digit                (Nomor)]])</f>
        <v>10001</v>
      </c>
      <c r="BC167" s="7" t="str">
        <f>Table43[[#This Row],[Nama            Gramasi atau Jumlah Pack per CTN]]</f>
        <v>1ML</v>
      </c>
      <c r="BD167" s="7"/>
      <c r="BE167" s="7"/>
      <c r="BF167" s="4" t="str">
        <f>IF(Table43[[#This Row],[SATUAN Fix Win]]&lt;&gt;"","KRT")</f>
        <v>KRT</v>
      </c>
      <c r="BG167" s="4" t="str">
        <f>IF(Table43[[#This Row],[SATUAN Fix Win]]&lt;&gt;"","GD01")</f>
        <v>GD01</v>
      </c>
      <c r="BH167" s="4">
        <f>IF(Table43[[#This Row],[SATUAN Fix Win]]&lt;&gt;"",11611)</f>
        <v>11611</v>
      </c>
      <c r="BI167" s="4">
        <f>IF(Table43[[#This Row],[SATUAN Fix Win]]&lt;&gt;"",11612)</f>
        <v>11612</v>
      </c>
      <c r="BJ167" s="48"/>
      <c r="BK167" s="4">
        <f>IF(Table43[[#This Row],[SATUAN Fix Win]]&lt;&gt;"",1)</f>
        <v>1</v>
      </c>
    </row>
    <row r="168" spans="1:63">
      <c r="A168" s="4" t="str">
        <f>CONCATENATE(Table43[[#This Row],[Kode BARANG Win2]],Table43[[#This Row],[No. Urut
Item Sama]])</f>
        <v>K11020080001201</v>
      </c>
      <c r="B168" s="7">
        <v>1</v>
      </c>
      <c r="D168" s="28" t="s">
        <v>460</v>
      </c>
      <c r="E168" s="28"/>
      <c r="F168" s="28" t="s">
        <v>2997</v>
      </c>
      <c r="G168" s="78">
        <v>12</v>
      </c>
      <c r="H168" s="43"/>
      <c r="I168" s="28" t="str">
        <f>Table43[[#This Row],[Nama Jenis Kemasan]]</f>
        <v>JAR</v>
      </c>
      <c r="J168" s="4" t="str">
        <f>TRIM(CONCATENATE(Table43[[#This Row],[Nama            KLP]]," ",Table43[[#This Row],[Nama            Sub KLP]]))</f>
        <v>ELLIPS</v>
      </c>
      <c r="K168" s="4" t="str">
        <f>CONCATENATE(Table43[[#This Row],[kode  2 Digit                (hrf+No)]],Table43[[#This Row],[kode  2 Digit                (Nomor)]],Table43[[#This Row],[kode  1 Digit                (Nomor)]])</f>
        <v>K1102</v>
      </c>
      <c r="L168" s="4" t="str">
        <f t="shared" si="9"/>
        <v>K1102008000120</v>
      </c>
      <c r="M168" s="11">
        <f t="shared" si="10"/>
        <v>14</v>
      </c>
      <c r="N168" s="14" t="str">
        <f>IF(AF168&lt;&gt;"",TRIM(UPPER(CONCATENATE(P168," ",R168," ",T168," ",V168," ",X168," ",Z168," ","X"," ",Table43[[#This Row],[ISI/CTN]]," ",AF168," ",AB168," ",AD168," ",AH168))),TRIM(UPPER(CONCATENATE(P168," ",R168," ",T168," ",V168," ",X168," ",Z168," ","X"," ",Table43[[#This Row],[ISI/CTN]]," ",AB168," ",AD168," ",AH168))))</f>
        <v>KNF ELLIPS H.VIT KERATIN SILKY BLACK 1ML X 12 JAR</v>
      </c>
      <c r="O168" s="11">
        <f t="shared" si="11"/>
        <v>49</v>
      </c>
      <c r="P168" s="4" t="s">
        <v>97</v>
      </c>
      <c r="Q168" s="7" t="s">
        <v>98</v>
      </c>
      <c r="R168" s="4" t="s">
        <v>3658</v>
      </c>
      <c r="S168" s="44" t="s">
        <v>3564</v>
      </c>
      <c r="T168" s="45" t="s">
        <v>2961</v>
      </c>
      <c r="U168" s="7" t="s">
        <v>3562</v>
      </c>
      <c r="V168" s="45" t="s">
        <v>2961</v>
      </c>
      <c r="W168" s="44" t="s">
        <v>2900</v>
      </c>
      <c r="X168" s="4" t="s">
        <v>3696</v>
      </c>
      <c r="Y168" s="46" t="s">
        <v>2478</v>
      </c>
      <c r="Z168" s="4" t="s">
        <v>3679</v>
      </c>
      <c r="AA168" s="46" t="s">
        <v>2496</v>
      </c>
      <c r="AB168" s="4" t="s">
        <v>1019</v>
      </c>
      <c r="AC168" s="7" t="s">
        <v>3562</v>
      </c>
      <c r="AD168" s="4" t="s">
        <v>2961</v>
      </c>
      <c r="AE168" s="7" t="s">
        <v>2900</v>
      </c>
      <c r="AF168" s="7" t="s">
        <v>2961</v>
      </c>
      <c r="AG168" s="7" t="s">
        <v>2961</v>
      </c>
      <c r="AI168" s="7" t="s">
        <v>4100</v>
      </c>
      <c r="AJ168" s="7" t="s">
        <v>2656</v>
      </c>
      <c r="AK168" s="41">
        <f>Table43[[#This Row],[Harga Jual Pcs GT
(-PPN)]]-(Table43[[#This Row],[Harga Jual Pcs GT
(-PPN)]]*10%)</f>
        <v>0</v>
      </c>
      <c r="AL168" s="42">
        <f>Table43[[#This Row],[Harga Beli Pcs
(-PPN)]]*Table43[[#This Row],[ISI/CTN]]</f>
        <v>0</v>
      </c>
      <c r="AM168" s="42">
        <f>Table43[[#This Row],[Harga Beli Pcs
(-PPN)]]*1.11</f>
        <v>0</v>
      </c>
      <c r="AN168" s="42">
        <f>Table43[[#This Row],[Harga Beli Krt
(- PPN)]]*1.11</f>
        <v>0</v>
      </c>
      <c r="AO168" s="42"/>
      <c r="AP168" s="42">
        <f>Table43[[#This Row],[Harga Jual Pcs GT
(-PPN)]]*Table43[[#This Row],[ISI/CTN]]</f>
        <v>0</v>
      </c>
      <c r="AQ168" s="42">
        <f>Table43[[#This Row],[Harga Jual Pcs GT
(-PPN)]]*1.11</f>
        <v>0</v>
      </c>
      <c r="AR168" s="42">
        <f>Table43[[#This Row],[Harga Jual Krt GT
(- PPN)]]*1.11</f>
        <v>0</v>
      </c>
      <c r="AS168" s="42">
        <f>Table43[[#This Row],[Harga Jual Pcs GT
(-PPN)]]</f>
        <v>0</v>
      </c>
      <c r="AT168" s="42">
        <f>(Table43[[#This Row],[Harga Jual Pcs MT
(-PPN)]]*Table43[[#This Row],[ISI/CTN]])</f>
        <v>0</v>
      </c>
      <c r="AU168" s="42">
        <f>Table43[[#This Row],[Harga Jual Pcs MT
(-PPN)]]*1.11</f>
        <v>0</v>
      </c>
      <c r="AV168" s="42">
        <f>Table43[[#This Row],[Harga Jual Pcs MT
(+PPN)]]*Table43[[#This Row],[ISI/CTN]]</f>
        <v>0</v>
      </c>
      <c r="AW168" s="47"/>
      <c r="AX168" s="7"/>
      <c r="AY168" s="7" t="str">
        <f ca="1">IF(TODAY()-Table43[[#This Row],[Efektif
Pembuatan]]&gt;60,"Lama","Baru")</f>
        <v>Lama</v>
      </c>
      <c r="AZ168" s="7" t="str">
        <f ca="1">IF(TODAY()-Table43[[#This Row],[Efektif Naik Harga]]&lt;30,"Naik","Sama")</f>
        <v>Sama</v>
      </c>
      <c r="BA168" s="7" t="str">
        <f>IF(Table43[[#This Row],[Kode BARANG Win2]]&lt;&gt;"","IDR","")</f>
        <v>IDR</v>
      </c>
      <c r="BB168" s="7" t="str">
        <f>CONCATENATE(Table43[[#This Row],[kode  1 Digit
(Nomor)]],Table43[[#This Row],[kode  4 Digit                (Nomor)]])</f>
        <v>10001</v>
      </c>
      <c r="BC168" s="7" t="str">
        <f>Table43[[#This Row],[Nama            Gramasi atau Jumlah Pack per CTN]]</f>
        <v>1ML</v>
      </c>
      <c r="BD168" s="7"/>
      <c r="BE168" s="7"/>
      <c r="BF168" s="4" t="str">
        <f>IF(Table43[[#This Row],[SATUAN Fix Win]]&lt;&gt;"","KRT")</f>
        <v>KRT</v>
      </c>
      <c r="BG168" s="4" t="str">
        <f>IF(Table43[[#This Row],[SATUAN Fix Win]]&lt;&gt;"","GD01")</f>
        <v>GD01</v>
      </c>
      <c r="BH168" s="4">
        <f>IF(Table43[[#This Row],[SATUAN Fix Win]]&lt;&gt;"",11611)</f>
        <v>11611</v>
      </c>
      <c r="BI168" s="4">
        <f>IF(Table43[[#This Row],[SATUAN Fix Win]]&lt;&gt;"",11612)</f>
        <v>11612</v>
      </c>
      <c r="BJ168" s="48"/>
      <c r="BK168" s="4">
        <f>IF(Table43[[#This Row],[SATUAN Fix Win]]&lt;&gt;"",1)</f>
        <v>1</v>
      </c>
    </row>
    <row r="169" spans="1:63">
      <c r="A169" s="4" t="str">
        <f>CONCATENATE(Table43[[#This Row],[Kode BARANG Win2]],Table43[[#This Row],[No. Urut
Item Sama]])</f>
        <v>K11021060001201</v>
      </c>
      <c r="B169" s="7">
        <v>1</v>
      </c>
      <c r="D169" s="28" t="s">
        <v>4052</v>
      </c>
      <c r="E169" s="28"/>
      <c r="F169" s="28">
        <v>0</v>
      </c>
      <c r="G169" s="78">
        <v>24</v>
      </c>
      <c r="H169" s="43"/>
      <c r="I169" s="28" t="str">
        <f>Table43[[#This Row],[Nama Jenis Kemasan]]</f>
        <v>JAR</v>
      </c>
      <c r="J169" s="4" t="str">
        <f>TRIM(CONCATENATE(Table43[[#This Row],[Nama            KLP]]," ",Table43[[#This Row],[Nama            Sub KLP]]))</f>
        <v>ELLIPS</v>
      </c>
      <c r="K169" s="4" t="str">
        <f>CONCATENATE(Table43[[#This Row],[kode  2 Digit                (hrf+No)]],Table43[[#This Row],[kode  2 Digit                (Nomor)]],Table43[[#This Row],[kode  1 Digit                (Nomor)]])</f>
        <v>K1102</v>
      </c>
      <c r="L169" s="4" t="str">
        <f t="shared" si="9"/>
        <v>K1102106000120</v>
      </c>
      <c r="M169" s="11">
        <f t="shared" si="10"/>
        <v>14</v>
      </c>
      <c r="N169" s="14" t="str">
        <f>IF(AF169&lt;&gt;"",TRIM(UPPER(CONCATENATE(P169," ",R169," ",T169," ",V169," ",X169," ",Z169," ","X"," ",Table43[[#This Row],[ISI/CTN]]," ",AF169," ",AB169," ",AD169," ",AH169))),TRIM(UPPER(CONCATENATE(P169," ",R169," ",T169," ",V169," ",X169," ",Z169," ","X"," ",Table43[[#This Row],[ISI/CTN]]," ",AB169," ",AD169," ",AH169))))</f>
        <v>KNF ELLIPS HVIT KERATIN 15C HAIR REPAIR 1ML X 24 JAR</v>
      </c>
      <c r="O169" s="11">
        <f t="shared" si="11"/>
        <v>52</v>
      </c>
      <c r="P169" s="4" t="s">
        <v>97</v>
      </c>
      <c r="Q169" s="7" t="s">
        <v>98</v>
      </c>
      <c r="R169" s="4" t="s">
        <v>3658</v>
      </c>
      <c r="S169" s="44" t="s">
        <v>3564</v>
      </c>
      <c r="T169" s="45" t="s">
        <v>2961</v>
      </c>
      <c r="U169" s="7" t="s">
        <v>3562</v>
      </c>
      <c r="V169" s="45" t="s">
        <v>3697</v>
      </c>
      <c r="W169" s="44" t="s">
        <v>2656</v>
      </c>
      <c r="X169" s="4" t="s">
        <v>3698</v>
      </c>
      <c r="Y169" s="46" t="s">
        <v>2476</v>
      </c>
      <c r="Z169" s="4" t="s">
        <v>3679</v>
      </c>
      <c r="AA169" s="46" t="s">
        <v>2496</v>
      </c>
      <c r="AB169" s="4" t="s">
        <v>1019</v>
      </c>
      <c r="AC169" s="7" t="s">
        <v>3562</v>
      </c>
      <c r="AD169" s="4" t="s">
        <v>2961</v>
      </c>
      <c r="AE169" s="7" t="s">
        <v>2900</v>
      </c>
      <c r="AF169" s="7" t="s">
        <v>2961</v>
      </c>
      <c r="AG169" s="7" t="s">
        <v>2961</v>
      </c>
      <c r="AI169" s="7" t="s">
        <v>4100</v>
      </c>
      <c r="AJ169" s="7" t="s">
        <v>2656</v>
      </c>
      <c r="AK169" s="41">
        <f>Table43[[#This Row],[Harga Jual Pcs GT
(-PPN)]]-(Table43[[#This Row],[Harga Jual Pcs GT
(-PPN)]]*10%)</f>
        <v>0</v>
      </c>
      <c r="AL169" s="42">
        <f>Table43[[#This Row],[Harga Beli Pcs
(-PPN)]]*Table43[[#This Row],[ISI/CTN]]</f>
        <v>0</v>
      </c>
      <c r="AM169" s="42">
        <f>Table43[[#This Row],[Harga Beli Pcs
(-PPN)]]*1.11</f>
        <v>0</v>
      </c>
      <c r="AN169" s="42">
        <f>Table43[[#This Row],[Harga Beli Krt
(- PPN)]]*1.11</f>
        <v>0</v>
      </c>
      <c r="AO169" s="42"/>
      <c r="AP169" s="42">
        <f>Table43[[#This Row],[Harga Jual Pcs GT
(-PPN)]]*Table43[[#This Row],[ISI/CTN]]</f>
        <v>0</v>
      </c>
      <c r="AQ169" s="42">
        <f>Table43[[#This Row],[Harga Jual Pcs GT
(-PPN)]]*1.11</f>
        <v>0</v>
      </c>
      <c r="AR169" s="42">
        <f>Table43[[#This Row],[Harga Jual Krt GT
(- PPN)]]*1.11</f>
        <v>0</v>
      </c>
      <c r="AS169" s="42">
        <f>Table43[[#This Row],[Harga Jual Pcs GT
(-PPN)]]</f>
        <v>0</v>
      </c>
      <c r="AT169" s="42">
        <f>(Table43[[#This Row],[Harga Jual Pcs MT
(-PPN)]]*Table43[[#This Row],[ISI/CTN]])</f>
        <v>0</v>
      </c>
      <c r="AU169" s="42">
        <f>Table43[[#This Row],[Harga Jual Pcs MT
(-PPN)]]*1.11</f>
        <v>0</v>
      </c>
      <c r="AV169" s="42">
        <f>Table43[[#This Row],[Harga Jual Pcs MT
(+PPN)]]*Table43[[#This Row],[ISI/CTN]]</f>
        <v>0</v>
      </c>
      <c r="AW169" s="47"/>
      <c r="AX169" s="7"/>
      <c r="AY169" s="7" t="str">
        <f ca="1">IF(TODAY()-Table43[[#This Row],[Efektif
Pembuatan]]&gt;60,"Lama","Baru")</f>
        <v>Lama</v>
      </c>
      <c r="AZ169" s="7" t="str">
        <f ca="1">IF(TODAY()-Table43[[#This Row],[Efektif Naik Harga]]&lt;30,"Naik","Sama")</f>
        <v>Sama</v>
      </c>
      <c r="BA169" s="7" t="str">
        <f>IF(Table43[[#This Row],[Kode BARANG Win2]]&lt;&gt;"","IDR","")</f>
        <v>IDR</v>
      </c>
      <c r="BB169" s="7" t="str">
        <f>CONCATENATE(Table43[[#This Row],[kode  1 Digit
(Nomor)]],Table43[[#This Row],[kode  4 Digit                (Nomor)]])</f>
        <v>10001</v>
      </c>
      <c r="BC169" s="7" t="str">
        <f>Table43[[#This Row],[Nama            Gramasi atau Jumlah Pack per CTN]]</f>
        <v>1ML</v>
      </c>
      <c r="BD169" s="7"/>
      <c r="BE169" s="7"/>
      <c r="BF169" s="4" t="str">
        <f>IF(Table43[[#This Row],[SATUAN Fix Win]]&lt;&gt;"","KRT")</f>
        <v>KRT</v>
      </c>
      <c r="BG169" s="4" t="str">
        <f>IF(Table43[[#This Row],[SATUAN Fix Win]]&lt;&gt;"","GD01")</f>
        <v>GD01</v>
      </c>
      <c r="BH169" s="4">
        <f>IF(Table43[[#This Row],[SATUAN Fix Win]]&lt;&gt;"",11611)</f>
        <v>11611</v>
      </c>
      <c r="BI169" s="4">
        <f>IF(Table43[[#This Row],[SATUAN Fix Win]]&lt;&gt;"",11612)</f>
        <v>11612</v>
      </c>
      <c r="BJ169" s="48"/>
      <c r="BK169" s="4">
        <f>IF(Table43[[#This Row],[SATUAN Fix Win]]&lt;&gt;"",1)</f>
        <v>1</v>
      </c>
    </row>
    <row r="170" spans="1:63">
      <c r="A170" s="4" t="str">
        <f>CONCATENATE(Table43[[#This Row],[Kode BARANG Win2]],Table43[[#This Row],[No. Urut
Item Sama]])</f>
        <v>K11030010048101</v>
      </c>
      <c r="B170" s="7">
        <v>1</v>
      </c>
      <c r="D170" s="28" t="s">
        <v>4053</v>
      </c>
      <c r="E170" s="28"/>
      <c r="F170" s="28">
        <v>0</v>
      </c>
      <c r="G170" s="78">
        <v>36</v>
      </c>
      <c r="H170" s="43"/>
      <c r="I170" s="28" t="str">
        <f>Table43[[#This Row],[Nama Jenis Kemasan]]</f>
        <v>BTL</v>
      </c>
      <c r="J170" s="4" t="str">
        <f>TRIM(CONCATENATE(Table43[[#This Row],[Nama            KLP]]," ",Table43[[#This Row],[Nama            Sub KLP]]))</f>
        <v>ELLIPS HAIR SERUM ULTRA</v>
      </c>
      <c r="K170" s="4" t="str">
        <f>CONCATENATE(Table43[[#This Row],[kode  2 Digit                (hrf+No)]],Table43[[#This Row],[kode  2 Digit                (Nomor)]],Table43[[#This Row],[kode  1 Digit                (Nomor)]])</f>
        <v>K1103</v>
      </c>
      <c r="L170" s="4" t="str">
        <f t="shared" si="9"/>
        <v>K1103001004810</v>
      </c>
      <c r="M170" s="11">
        <f t="shared" si="10"/>
        <v>14</v>
      </c>
      <c r="N170" s="14" t="str">
        <f>IF(AF170&lt;&gt;"",TRIM(UPPER(CONCATENATE(P170," ",R170," ",T170," ",V170," ",X170," ",Z170," ","X"," ",Table43[[#This Row],[ISI/CTN]]," ",AF170," ",AB170," ",AD170," ",AH170))),TRIM(UPPER(CONCATENATE(P170," ",R170," ",T170," ",V170," ",X170," ",Z170," ","X"," ",Table43[[#This Row],[ISI/CTN]]," ",AB170," ",AD170," ",AH170))))</f>
        <v>KNF ELLIPS HAIR SERUM ULTRA TREATMENT 48ML X 36 BTL</v>
      </c>
      <c r="O170" s="11">
        <f t="shared" si="11"/>
        <v>51</v>
      </c>
      <c r="P170" s="4" t="s">
        <v>97</v>
      </c>
      <c r="Q170" s="7" t="s">
        <v>98</v>
      </c>
      <c r="R170" s="4" t="s">
        <v>3658</v>
      </c>
      <c r="S170" s="44" t="s">
        <v>3564</v>
      </c>
      <c r="T170" s="45" t="s">
        <v>3699</v>
      </c>
      <c r="U170" s="7" t="s">
        <v>3590</v>
      </c>
      <c r="V170" s="45" t="s">
        <v>2961</v>
      </c>
      <c r="W170" s="44" t="s">
        <v>2900</v>
      </c>
      <c r="X170" s="4" t="s">
        <v>3700</v>
      </c>
      <c r="Y170" s="46" t="s">
        <v>0</v>
      </c>
      <c r="Z170" s="4" t="s">
        <v>3701</v>
      </c>
      <c r="AA170" s="46" t="s">
        <v>3702</v>
      </c>
      <c r="AB170" s="4" t="s">
        <v>357</v>
      </c>
      <c r="AC170" s="7" t="s">
        <v>2656</v>
      </c>
      <c r="AD170" s="4" t="s">
        <v>2961</v>
      </c>
      <c r="AE170" s="7" t="s">
        <v>2900</v>
      </c>
      <c r="AF170" s="7" t="s">
        <v>2961</v>
      </c>
      <c r="AG170" s="7" t="s">
        <v>2961</v>
      </c>
      <c r="AI170" s="7" t="s">
        <v>4100</v>
      </c>
      <c r="AJ170" s="7" t="s">
        <v>2656</v>
      </c>
      <c r="AK170" s="41">
        <f>Table43[[#This Row],[Harga Jual Pcs GT
(-PPN)]]-(Table43[[#This Row],[Harga Jual Pcs GT
(-PPN)]]*10%)</f>
        <v>0</v>
      </c>
      <c r="AL170" s="42">
        <f>Table43[[#This Row],[Harga Beli Pcs
(-PPN)]]*Table43[[#This Row],[ISI/CTN]]</f>
        <v>0</v>
      </c>
      <c r="AM170" s="42">
        <f>Table43[[#This Row],[Harga Beli Pcs
(-PPN)]]*1.11</f>
        <v>0</v>
      </c>
      <c r="AN170" s="42">
        <f>Table43[[#This Row],[Harga Beli Krt
(- PPN)]]*1.11</f>
        <v>0</v>
      </c>
      <c r="AO170" s="42"/>
      <c r="AP170" s="42">
        <f>Table43[[#This Row],[Harga Jual Pcs GT
(-PPN)]]*Table43[[#This Row],[ISI/CTN]]</f>
        <v>0</v>
      </c>
      <c r="AQ170" s="42">
        <f>Table43[[#This Row],[Harga Jual Pcs GT
(-PPN)]]*1.11</f>
        <v>0</v>
      </c>
      <c r="AR170" s="42">
        <f>Table43[[#This Row],[Harga Jual Krt GT
(- PPN)]]*1.11</f>
        <v>0</v>
      </c>
      <c r="AS170" s="42">
        <f>Table43[[#This Row],[Harga Jual Pcs GT
(-PPN)]]</f>
        <v>0</v>
      </c>
      <c r="AT170" s="42">
        <f>(Table43[[#This Row],[Harga Jual Pcs MT
(-PPN)]]*Table43[[#This Row],[ISI/CTN]])</f>
        <v>0</v>
      </c>
      <c r="AU170" s="42">
        <f>Table43[[#This Row],[Harga Jual Pcs MT
(-PPN)]]*1.11</f>
        <v>0</v>
      </c>
      <c r="AV170" s="42">
        <f>Table43[[#This Row],[Harga Jual Pcs MT
(+PPN)]]*Table43[[#This Row],[ISI/CTN]]</f>
        <v>0</v>
      </c>
      <c r="AW170" s="47"/>
      <c r="AX170" s="7"/>
      <c r="AY170" s="7" t="str">
        <f ca="1">IF(TODAY()-Table43[[#This Row],[Efektif
Pembuatan]]&gt;60,"Lama","Baru")</f>
        <v>Lama</v>
      </c>
      <c r="AZ170" s="7" t="str">
        <f ca="1">IF(TODAY()-Table43[[#This Row],[Efektif Naik Harga]]&lt;30,"Naik","Sama")</f>
        <v>Sama</v>
      </c>
      <c r="BA170" s="7" t="str">
        <f>IF(Table43[[#This Row],[Kode BARANG Win2]]&lt;&gt;"","IDR","")</f>
        <v>IDR</v>
      </c>
      <c r="BB170" s="7" t="str">
        <f>CONCATENATE(Table43[[#This Row],[kode  1 Digit
(Nomor)]],Table43[[#This Row],[kode  4 Digit                (Nomor)]])</f>
        <v>10048</v>
      </c>
      <c r="BC170" s="7" t="str">
        <f>Table43[[#This Row],[Nama            Gramasi atau Jumlah Pack per CTN]]</f>
        <v>48ML</v>
      </c>
      <c r="BD170" s="7"/>
      <c r="BE170" s="7"/>
      <c r="BF170" s="4" t="str">
        <f>IF(Table43[[#This Row],[SATUAN Fix Win]]&lt;&gt;"","KRT")</f>
        <v>KRT</v>
      </c>
      <c r="BG170" s="4" t="str">
        <f>IF(Table43[[#This Row],[SATUAN Fix Win]]&lt;&gt;"","GD01")</f>
        <v>GD01</v>
      </c>
      <c r="BH170" s="4">
        <f>IF(Table43[[#This Row],[SATUAN Fix Win]]&lt;&gt;"",11611)</f>
        <v>11611</v>
      </c>
      <c r="BI170" s="4">
        <f>IF(Table43[[#This Row],[SATUAN Fix Win]]&lt;&gt;"",11612)</f>
        <v>11612</v>
      </c>
      <c r="BJ170" s="48"/>
      <c r="BK170" s="4">
        <f>IF(Table43[[#This Row],[SATUAN Fix Win]]&lt;&gt;"",1)</f>
        <v>1</v>
      </c>
    </row>
    <row r="171" spans="1:63">
      <c r="A171" s="4" t="str">
        <f>CONCATENATE(Table43[[#This Row],[Kode BARANG Win2]],Table43[[#This Row],[No. Urut
Item Sama]])</f>
        <v>K11110010050101</v>
      </c>
      <c r="B171" s="7">
        <v>1</v>
      </c>
      <c r="D171" s="28" t="s">
        <v>4054</v>
      </c>
      <c r="E171" s="28"/>
      <c r="F171" s="28">
        <v>0</v>
      </c>
      <c r="G171" s="78">
        <v>36</v>
      </c>
      <c r="H171" s="43"/>
      <c r="I171" s="28" t="str">
        <f>Table43[[#This Row],[Nama Jenis Kemasan]]</f>
        <v>BTL</v>
      </c>
      <c r="J171" s="4" t="str">
        <f>TRIM(CONCATENATE(Table43[[#This Row],[Nama            KLP]]," ",Table43[[#This Row],[Nama            Sub KLP]]))</f>
        <v>ESKULIN COLOGNE</v>
      </c>
      <c r="K171" s="4" t="str">
        <f>CONCATENATE(Table43[[#This Row],[kode  2 Digit                (hrf+No)]],Table43[[#This Row],[kode  2 Digit                (Nomor)]],Table43[[#This Row],[kode  1 Digit                (Nomor)]])</f>
        <v>K1111</v>
      </c>
      <c r="L171" s="4" t="str">
        <f t="shared" si="9"/>
        <v>K1111001005010</v>
      </c>
      <c r="M171" s="11">
        <f t="shared" si="10"/>
        <v>14</v>
      </c>
      <c r="N171" s="14" t="str">
        <f>IF(AF171&lt;&gt;"",TRIM(UPPER(CONCATENATE(P171," ",R171," ",T171," ",V171," ",X171," ",Z171," ","X"," ",Table43[[#This Row],[ISI/CTN]]," ",AF171," ",AB171," ",AD171," ",AH171))),TRIM(UPPER(CONCATENATE(P171," ",R171," ",T171," ",V171," ",X171," ",Z171," ","X"," ",Table43[[#This Row],[ISI/CTN]]," ",AB171," ",AD171," ",AH171))))</f>
        <v>KNF ESKULIN COLOGNE ROMANTIC PURPLE 50ML X 36 BTL</v>
      </c>
      <c r="O171" s="11">
        <f t="shared" si="11"/>
        <v>49</v>
      </c>
      <c r="P171" s="4" t="s">
        <v>97</v>
      </c>
      <c r="Q171" s="7" t="s">
        <v>98</v>
      </c>
      <c r="R171" s="4" t="s">
        <v>3703</v>
      </c>
      <c r="S171" s="44" t="s">
        <v>3550</v>
      </c>
      <c r="T171" s="45" t="s">
        <v>3704</v>
      </c>
      <c r="U171" s="7" t="s">
        <v>2656</v>
      </c>
      <c r="V171" s="45" t="s">
        <v>2961</v>
      </c>
      <c r="W171" s="44" t="s">
        <v>2900</v>
      </c>
      <c r="X171" s="4" t="s">
        <v>3705</v>
      </c>
      <c r="Y171" s="46" t="s">
        <v>0</v>
      </c>
      <c r="Z171" s="4" t="s">
        <v>3654</v>
      </c>
      <c r="AA171" s="46" t="s">
        <v>2490</v>
      </c>
      <c r="AB171" s="4" t="s">
        <v>357</v>
      </c>
      <c r="AC171" s="7" t="s">
        <v>2656</v>
      </c>
      <c r="AD171" s="4" t="s">
        <v>2961</v>
      </c>
      <c r="AE171" s="7" t="s">
        <v>2900</v>
      </c>
      <c r="AF171" s="7" t="s">
        <v>2961</v>
      </c>
      <c r="AG171" s="7" t="s">
        <v>2961</v>
      </c>
      <c r="AI171" s="7" t="s">
        <v>4100</v>
      </c>
      <c r="AJ171" s="7" t="s">
        <v>2656</v>
      </c>
      <c r="AK171" s="41">
        <f>Table43[[#This Row],[Harga Jual Pcs GT
(-PPN)]]-(Table43[[#This Row],[Harga Jual Pcs GT
(-PPN)]]*10%)</f>
        <v>0</v>
      </c>
      <c r="AL171" s="42">
        <f>Table43[[#This Row],[Harga Beli Pcs
(-PPN)]]*Table43[[#This Row],[ISI/CTN]]</f>
        <v>0</v>
      </c>
      <c r="AM171" s="42">
        <f>Table43[[#This Row],[Harga Beli Pcs
(-PPN)]]*1.11</f>
        <v>0</v>
      </c>
      <c r="AN171" s="42">
        <f>Table43[[#This Row],[Harga Beli Krt
(- PPN)]]*1.11</f>
        <v>0</v>
      </c>
      <c r="AO171" s="42"/>
      <c r="AP171" s="42">
        <f>Table43[[#This Row],[Harga Jual Pcs GT
(-PPN)]]*Table43[[#This Row],[ISI/CTN]]</f>
        <v>0</v>
      </c>
      <c r="AQ171" s="42">
        <f>Table43[[#This Row],[Harga Jual Pcs GT
(-PPN)]]*1.11</f>
        <v>0</v>
      </c>
      <c r="AR171" s="42">
        <f>Table43[[#This Row],[Harga Jual Krt GT
(- PPN)]]*1.11</f>
        <v>0</v>
      </c>
      <c r="AS171" s="42">
        <f>Table43[[#This Row],[Harga Jual Pcs GT
(-PPN)]]</f>
        <v>0</v>
      </c>
      <c r="AT171" s="42">
        <f>(Table43[[#This Row],[Harga Jual Pcs MT
(-PPN)]]*Table43[[#This Row],[ISI/CTN]])</f>
        <v>0</v>
      </c>
      <c r="AU171" s="42">
        <f>Table43[[#This Row],[Harga Jual Pcs MT
(-PPN)]]*1.11</f>
        <v>0</v>
      </c>
      <c r="AV171" s="42">
        <f>Table43[[#This Row],[Harga Jual Pcs MT
(+PPN)]]*Table43[[#This Row],[ISI/CTN]]</f>
        <v>0</v>
      </c>
      <c r="AW171" s="47"/>
      <c r="AX171" s="7"/>
      <c r="AY171" s="7" t="str">
        <f ca="1">IF(TODAY()-Table43[[#This Row],[Efektif
Pembuatan]]&gt;60,"Lama","Baru")</f>
        <v>Lama</v>
      </c>
      <c r="AZ171" s="7" t="str">
        <f ca="1">IF(TODAY()-Table43[[#This Row],[Efektif Naik Harga]]&lt;30,"Naik","Sama")</f>
        <v>Sama</v>
      </c>
      <c r="BA171" s="7" t="str">
        <f>IF(Table43[[#This Row],[Kode BARANG Win2]]&lt;&gt;"","IDR","")</f>
        <v>IDR</v>
      </c>
      <c r="BB171" s="7" t="str">
        <f>CONCATENATE(Table43[[#This Row],[kode  1 Digit
(Nomor)]],Table43[[#This Row],[kode  4 Digit                (Nomor)]])</f>
        <v>10050</v>
      </c>
      <c r="BC171" s="7" t="str">
        <f>Table43[[#This Row],[Nama            Gramasi atau Jumlah Pack per CTN]]</f>
        <v>50ML</v>
      </c>
      <c r="BD171" s="7"/>
      <c r="BE171" s="7"/>
      <c r="BF171" s="4" t="str">
        <f>IF(Table43[[#This Row],[SATUAN Fix Win]]&lt;&gt;"","KRT")</f>
        <v>KRT</v>
      </c>
      <c r="BG171" s="4" t="str">
        <f>IF(Table43[[#This Row],[SATUAN Fix Win]]&lt;&gt;"","GD01")</f>
        <v>GD01</v>
      </c>
      <c r="BH171" s="4">
        <f>IF(Table43[[#This Row],[SATUAN Fix Win]]&lt;&gt;"",11611)</f>
        <v>11611</v>
      </c>
      <c r="BI171" s="4">
        <f>IF(Table43[[#This Row],[SATUAN Fix Win]]&lt;&gt;"",11612)</f>
        <v>11612</v>
      </c>
      <c r="BJ171" s="48"/>
      <c r="BK171" s="4">
        <f>IF(Table43[[#This Row],[SATUAN Fix Win]]&lt;&gt;"",1)</f>
        <v>1</v>
      </c>
    </row>
    <row r="172" spans="1:63">
      <c r="A172" s="4" t="str">
        <f>CONCATENATE(Table43[[#This Row],[Kode BARANG Win2]],Table43[[#This Row],[No. Urut
Item Sama]])</f>
        <v>K11110010100101</v>
      </c>
      <c r="B172" s="7">
        <v>1</v>
      </c>
      <c r="D172" s="28" t="s">
        <v>4055</v>
      </c>
      <c r="E172" s="28"/>
      <c r="F172" s="28">
        <v>0</v>
      </c>
      <c r="G172" s="78">
        <v>36</v>
      </c>
      <c r="H172" s="43"/>
      <c r="I172" s="28" t="str">
        <f>Table43[[#This Row],[Nama Jenis Kemasan]]</f>
        <v>BTL</v>
      </c>
      <c r="J172" s="4" t="str">
        <f>TRIM(CONCATENATE(Table43[[#This Row],[Nama            KLP]]," ",Table43[[#This Row],[Nama            Sub KLP]]))</f>
        <v>ESKULIN COLOGNE</v>
      </c>
      <c r="K172" s="4" t="str">
        <f>CONCATENATE(Table43[[#This Row],[kode  2 Digit                (hrf+No)]],Table43[[#This Row],[kode  2 Digit                (Nomor)]],Table43[[#This Row],[kode  1 Digit                (Nomor)]])</f>
        <v>K1111</v>
      </c>
      <c r="L172" s="4" t="str">
        <f t="shared" si="9"/>
        <v>K1111001010010</v>
      </c>
      <c r="M172" s="11">
        <f t="shared" si="10"/>
        <v>14</v>
      </c>
      <c r="N172" s="14" t="str">
        <f>IF(AF172&lt;&gt;"",TRIM(UPPER(CONCATENATE(P172," ",R172," ",T172," ",V172," ",X172," ",Z172," ","X"," ",Table43[[#This Row],[ISI/CTN]]," ",AF172," ",AB172," ",AD172," ",AH172))),TRIM(UPPER(CONCATENATE(P172," ",R172," ",T172," ",V172," ",X172," ",Z172," ","X"," ",Table43[[#This Row],[ISI/CTN]]," ",AB172," ",AD172," ",AH172))))</f>
        <v>KNF ESKULIN COLOGNE ROMANTIC PURPLE 100ML X 36 BTL</v>
      </c>
      <c r="O172" s="11">
        <f t="shared" si="11"/>
        <v>50</v>
      </c>
      <c r="P172" s="4" t="s">
        <v>97</v>
      </c>
      <c r="Q172" s="7" t="s">
        <v>98</v>
      </c>
      <c r="R172" s="4" t="s">
        <v>3703</v>
      </c>
      <c r="S172" s="44" t="s">
        <v>3550</v>
      </c>
      <c r="T172" s="45" t="s">
        <v>3704</v>
      </c>
      <c r="U172" s="7" t="s">
        <v>2656</v>
      </c>
      <c r="V172" s="45" t="s">
        <v>2961</v>
      </c>
      <c r="W172" s="44" t="s">
        <v>2900</v>
      </c>
      <c r="X172" s="4" t="s">
        <v>3705</v>
      </c>
      <c r="Y172" s="46" t="s">
        <v>0</v>
      </c>
      <c r="Z172" s="4" t="s">
        <v>3588</v>
      </c>
      <c r="AA172" s="46" t="s">
        <v>2487</v>
      </c>
      <c r="AB172" s="4" t="s">
        <v>357</v>
      </c>
      <c r="AC172" s="7" t="s">
        <v>2656</v>
      </c>
      <c r="AD172" s="4" t="s">
        <v>2961</v>
      </c>
      <c r="AE172" s="7" t="s">
        <v>2900</v>
      </c>
      <c r="AF172" s="7" t="s">
        <v>2961</v>
      </c>
      <c r="AG172" s="7" t="s">
        <v>2961</v>
      </c>
      <c r="AI172" s="7" t="s">
        <v>4100</v>
      </c>
      <c r="AJ172" s="7" t="s">
        <v>2656</v>
      </c>
      <c r="AK172" s="41">
        <f>Table43[[#This Row],[Harga Jual Pcs GT
(-PPN)]]-(Table43[[#This Row],[Harga Jual Pcs GT
(-PPN)]]*10%)</f>
        <v>0</v>
      </c>
      <c r="AL172" s="42">
        <f>Table43[[#This Row],[Harga Beli Pcs
(-PPN)]]*Table43[[#This Row],[ISI/CTN]]</f>
        <v>0</v>
      </c>
      <c r="AM172" s="42">
        <f>Table43[[#This Row],[Harga Beli Pcs
(-PPN)]]*1.11</f>
        <v>0</v>
      </c>
      <c r="AN172" s="42">
        <f>Table43[[#This Row],[Harga Beli Krt
(- PPN)]]*1.11</f>
        <v>0</v>
      </c>
      <c r="AO172" s="42"/>
      <c r="AP172" s="42">
        <f>Table43[[#This Row],[Harga Jual Pcs GT
(-PPN)]]*Table43[[#This Row],[ISI/CTN]]</f>
        <v>0</v>
      </c>
      <c r="AQ172" s="42">
        <f>Table43[[#This Row],[Harga Jual Pcs GT
(-PPN)]]*1.11</f>
        <v>0</v>
      </c>
      <c r="AR172" s="42">
        <f>Table43[[#This Row],[Harga Jual Krt GT
(- PPN)]]*1.11</f>
        <v>0</v>
      </c>
      <c r="AS172" s="42">
        <f>Table43[[#This Row],[Harga Jual Pcs GT
(-PPN)]]</f>
        <v>0</v>
      </c>
      <c r="AT172" s="42">
        <f>(Table43[[#This Row],[Harga Jual Pcs MT
(-PPN)]]*Table43[[#This Row],[ISI/CTN]])</f>
        <v>0</v>
      </c>
      <c r="AU172" s="42">
        <f>Table43[[#This Row],[Harga Jual Pcs MT
(-PPN)]]*1.11</f>
        <v>0</v>
      </c>
      <c r="AV172" s="42">
        <f>Table43[[#This Row],[Harga Jual Pcs MT
(+PPN)]]*Table43[[#This Row],[ISI/CTN]]</f>
        <v>0</v>
      </c>
      <c r="AW172" s="47"/>
      <c r="AX172" s="7"/>
      <c r="AY172" s="7" t="str">
        <f ca="1">IF(TODAY()-Table43[[#This Row],[Efektif
Pembuatan]]&gt;60,"Lama","Baru")</f>
        <v>Lama</v>
      </c>
      <c r="AZ172" s="7" t="str">
        <f ca="1">IF(TODAY()-Table43[[#This Row],[Efektif Naik Harga]]&lt;30,"Naik","Sama")</f>
        <v>Sama</v>
      </c>
      <c r="BA172" s="7" t="str">
        <f>IF(Table43[[#This Row],[Kode BARANG Win2]]&lt;&gt;"","IDR","")</f>
        <v>IDR</v>
      </c>
      <c r="BB172" s="7" t="str">
        <f>CONCATENATE(Table43[[#This Row],[kode  1 Digit
(Nomor)]],Table43[[#This Row],[kode  4 Digit                (Nomor)]])</f>
        <v>10100</v>
      </c>
      <c r="BC172" s="7" t="str">
        <f>Table43[[#This Row],[Nama            Gramasi atau Jumlah Pack per CTN]]</f>
        <v>100ML</v>
      </c>
      <c r="BD172" s="7"/>
      <c r="BE172" s="7"/>
      <c r="BF172" s="4" t="str">
        <f>IF(Table43[[#This Row],[SATUAN Fix Win]]&lt;&gt;"","KRT")</f>
        <v>KRT</v>
      </c>
      <c r="BG172" s="4" t="str">
        <f>IF(Table43[[#This Row],[SATUAN Fix Win]]&lt;&gt;"","GD01")</f>
        <v>GD01</v>
      </c>
      <c r="BH172" s="4">
        <f>IF(Table43[[#This Row],[SATUAN Fix Win]]&lt;&gt;"",11611)</f>
        <v>11611</v>
      </c>
      <c r="BI172" s="4">
        <f>IF(Table43[[#This Row],[SATUAN Fix Win]]&lt;&gt;"",11612)</f>
        <v>11612</v>
      </c>
      <c r="BJ172" s="48"/>
      <c r="BK172" s="4">
        <f>IF(Table43[[#This Row],[SATUAN Fix Win]]&lt;&gt;"",1)</f>
        <v>1</v>
      </c>
    </row>
    <row r="173" spans="1:63">
      <c r="A173" s="4" t="str">
        <f>CONCATENATE(Table43[[#This Row],[Kode BARANG Win2]],Table43[[#This Row],[No. Urut
Item Sama]])</f>
        <v>K11110020050101</v>
      </c>
      <c r="B173" s="7">
        <v>1</v>
      </c>
      <c r="D173" s="28" t="s">
        <v>4056</v>
      </c>
      <c r="E173" s="28"/>
      <c r="F173" s="28">
        <v>0</v>
      </c>
      <c r="G173" s="78">
        <v>36</v>
      </c>
      <c r="H173" s="43"/>
      <c r="I173" s="28" t="str">
        <f>Table43[[#This Row],[Nama Jenis Kemasan]]</f>
        <v>BTL</v>
      </c>
      <c r="J173" s="4" t="str">
        <f>TRIM(CONCATENATE(Table43[[#This Row],[Nama            KLP]]," ",Table43[[#This Row],[Nama            Sub KLP]]))</f>
        <v>ESKULIN COLOGNE</v>
      </c>
      <c r="K173" s="4" t="str">
        <f>CONCATENATE(Table43[[#This Row],[kode  2 Digit                (hrf+No)]],Table43[[#This Row],[kode  2 Digit                (Nomor)]],Table43[[#This Row],[kode  1 Digit                (Nomor)]])</f>
        <v>K1111</v>
      </c>
      <c r="L173" s="4" t="str">
        <f t="shared" si="9"/>
        <v>K1111002005010</v>
      </c>
      <c r="M173" s="11">
        <f t="shared" si="10"/>
        <v>14</v>
      </c>
      <c r="N173" s="14" t="str">
        <f>IF(AF173&lt;&gt;"",TRIM(UPPER(CONCATENATE(P173," ",R173," ",T173," ",V173," ",X173," ",Z173," ","X"," ",Table43[[#This Row],[ISI/CTN]]," ",AF173," ",AB173," ",AD173," ",AH173))),TRIM(UPPER(CONCATENATE(P173," ",R173," ",T173," ",V173," ",X173," ",Z173," ","X"," ",Table43[[#This Row],[ISI/CTN]]," ",AB173," ",AD173," ",AH173))))</f>
        <v>KNF ESKULIN COLOGNE DREAMY BLUE 50ML X 36 BTL</v>
      </c>
      <c r="O173" s="11">
        <f t="shared" si="11"/>
        <v>45</v>
      </c>
      <c r="P173" s="4" t="s">
        <v>97</v>
      </c>
      <c r="Q173" s="7" t="s">
        <v>98</v>
      </c>
      <c r="R173" s="4" t="s">
        <v>3703</v>
      </c>
      <c r="S173" s="44" t="s">
        <v>3550</v>
      </c>
      <c r="T173" s="45" t="s">
        <v>3704</v>
      </c>
      <c r="U173" s="7" t="s">
        <v>2656</v>
      </c>
      <c r="V173" s="45" t="s">
        <v>2961</v>
      </c>
      <c r="W173" s="44" t="s">
        <v>2900</v>
      </c>
      <c r="X173" s="4" t="s">
        <v>3706</v>
      </c>
      <c r="Y173" s="46" t="s">
        <v>2472</v>
      </c>
      <c r="Z173" s="4" t="s">
        <v>3654</v>
      </c>
      <c r="AA173" s="46" t="s">
        <v>2490</v>
      </c>
      <c r="AB173" s="4" t="s">
        <v>357</v>
      </c>
      <c r="AC173" s="7" t="s">
        <v>2656</v>
      </c>
      <c r="AD173" s="4" t="s">
        <v>2961</v>
      </c>
      <c r="AE173" s="7" t="s">
        <v>2900</v>
      </c>
      <c r="AF173" s="7" t="s">
        <v>2961</v>
      </c>
      <c r="AG173" s="7" t="s">
        <v>2961</v>
      </c>
      <c r="AI173" s="7" t="s">
        <v>4100</v>
      </c>
      <c r="AJ173" s="7" t="s">
        <v>2656</v>
      </c>
      <c r="AK173" s="41">
        <f>Table43[[#This Row],[Harga Jual Pcs GT
(-PPN)]]-(Table43[[#This Row],[Harga Jual Pcs GT
(-PPN)]]*10%)</f>
        <v>0</v>
      </c>
      <c r="AL173" s="42">
        <f>Table43[[#This Row],[Harga Beli Pcs
(-PPN)]]*Table43[[#This Row],[ISI/CTN]]</f>
        <v>0</v>
      </c>
      <c r="AM173" s="42">
        <f>Table43[[#This Row],[Harga Beli Pcs
(-PPN)]]*1.11</f>
        <v>0</v>
      </c>
      <c r="AN173" s="42">
        <f>Table43[[#This Row],[Harga Beli Krt
(- PPN)]]*1.11</f>
        <v>0</v>
      </c>
      <c r="AO173" s="42"/>
      <c r="AP173" s="42">
        <f>Table43[[#This Row],[Harga Jual Pcs GT
(-PPN)]]*Table43[[#This Row],[ISI/CTN]]</f>
        <v>0</v>
      </c>
      <c r="AQ173" s="42">
        <f>Table43[[#This Row],[Harga Jual Pcs GT
(-PPN)]]*1.11</f>
        <v>0</v>
      </c>
      <c r="AR173" s="42">
        <f>Table43[[#This Row],[Harga Jual Krt GT
(- PPN)]]*1.11</f>
        <v>0</v>
      </c>
      <c r="AS173" s="42">
        <f>Table43[[#This Row],[Harga Jual Pcs GT
(-PPN)]]</f>
        <v>0</v>
      </c>
      <c r="AT173" s="42">
        <f>(Table43[[#This Row],[Harga Jual Pcs MT
(-PPN)]]*Table43[[#This Row],[ISI/CTN]])</f>
        <v>0</v>
      </c>
      <c r="AU173" s="42">
        <f>Table43[[#This Row],[Harga Jual Pcs MT
(-PPN)]]*1.11</f>
        <v>0</v>
      </c>
      <c r="AV173" s="42">
        <f>Table43[[#This Row],[Harga Jual Pcs MT
(+PPN)]]*Table43[[#This Row],[ISI/CTN]]</f>
        <v>0</v>
      </c>
      <c r="AW173" s="47"/>
      <c r="AX173" s="7"/>
      <c r="AY173" s="7" t="str">
        <f ca="1">IF(TODAY()-Table43[[#This Row],[Efektif
Pembuatan]]&gt;60,"Lama","Baru")</f>
        <v>Lama</v>
      </c>
      <c r="AZ173" s="7" t="str">
        <f ca="1">IF(TODAY()-Table43[[#This Row],[Efektif Naik Harga]]&lt;30,"Naik","Sama")</f>
        <v>Sama</v>
      </c>
      <c r="BA173" s="7" t="str">
        <f>IF(Table43[[#This Row],[Kode BARANG Win2]]&lt;&gt;"","IDR","")</f>
        <v>IDR</v>
      </c>
      <c r="BB173" s="7" t="str">
        <f>CONCATENATE(Table43[[#This Row],[kode  1 Digit
(Nomor)]],Table43[[#This Row],[kode  4 Digit                (Nomor)]])</f>
        <v>10050</v>
      </c>
      <c r="BC173" s="7" t="str">
        <f>Table43[[#This Row],[Nama            Gramasi atau Jumlah Pack per CTN]]</f>
        <v>50ML</v>
      </c>
      <c r="BD173" s="7"/>
      <c r="BE173" s="7"/>
      <c r="BF173" s="4" t="str">
        <f>IF(Table43[[#This Row],[SATUAN Fix Win]]&lt;&gt;"","KRT")</f>
        <v>KRT</v>
      </c>
      <c r="BG173" s="4" t="str">
        <f>IF(Table43[[#This Row],[SATUAN Fix Win]]&lt;&gt;"","GD01")</f>
        <v>GD01</v>
      </c>
      <c r="BH173" s="4">
        <f>IF(Table43[[#This Row],[SATUAN Fix Win]]&lt;&gt;"",11611)</f>
        <v>11611</v>
      </c>
      <c r="BI173" s="4">
        <f>IF(Table43[[#This Row],[SATUAN Fix Win]]&lt;&gt;"",11612)</f>
        <v>11612</v>
      </c>
      <c r="BJ173" s="48"/>
      <c r="BK173" s="4">
        <f>IF(Table43[[#This Row],[SATUAN Fix Win]]&lt;&gt;"",1)</f>
        <v>1</v>
      </c>
    </row>
    <row r="174" spans="1:63">
      <c r="A174" s="4" t="str">
        <f>CONCATENATE(Table43[[#This Row],[Kode BARANG Win2]],Table43[[#This Row],[No. Urut
Item Sama]])</f>
        <v>K11110020050101</v>
      </c>
      <c r="B174" s="7">
        <v>1</v>
      </c>
      <c r="D174" s="28" t="s">
        <v>928</v>
      </c>
      <c r="E174" s="28"/>
      <c r="F174" s="28" t="s">
        <v>3000</v>
      </c>
      <c r="G174" s="78">
        <v>36</v>
      </c>
      <c r="H174" s="43"/>
      <c r="I174" s="28" t="str">
        <f>Table43[[#This Row],[Nama Jenis Kemasan]]</f>
        <v>BTL</v>
      </c>
      <c r="J174" s="4" t="str">
        <f>TRIM(CONCATENATE(Table43[[#This Row],[Nama            KLP]]," ",Table43[[#This Row],[Nama            Sub KLP]]))</f>
        <v>ESKULIN COLOGNE</v>
      </c>
      <c r="K174" s="4" t="str">
        <f>CONCATENATE(Table43[[#This Row],[kode  2 Digit                (hrf+No)]],Table43[[#This Row],[kode  2 Digit                (Nomor)]],Table43[[#This Row],[kode  1 Digit                (Nomor)]])</f>
        <v>K1111</v>
      </c>
      <c r="L174" s="4" t="str">
        <f t="shared" si="9"/>
        <v>K1111002005010</v>
      </c>
      <c r="M174" s="11">
        <f t="shared" si="10"/>
        <v>14</v>
      </c>
      <c r="N174" s="14" t="str">
        <f>IF(AF174&lt;&gt;"",TRIM(UPPER(CONCATENATE(P174," ",R174," ",T174," ",V174," ",X174," ",Z174," ","X"," ",Table43[[#This Row],[ISI/CTN]]," ",AF174," ",AB174," ",AD174," ",AH174))),TRIM(UPPER(CONCATENATE(P174," ",R174," ",T174," ",V174," ",X174," ",Z174," ","X"," ",Table43[[#This Row],[ISI/CTN]]," ",AB174," ",AD174," ",AH174))))</f>
        <v>KNF ESKULIN COLOGNE GEL MONDAY 50ML X 36 BTL</v>
      </c>
      <c r="O174" s="11">
        <f t="shared" si="11"/>
        <v>44</v>
      </c>
      <c r="P174" s="4" t="s">
        <v>97</v>
      </c>
      <c r="Q174" s="7" t="s">
        <v>98</v>
      </c>
      <c r="R174" s="4" t="s">
        <v>3703</v>
      </c>
      <c r="S174" s="44" t="s">
        <v>3550</v>
      </c>
      <c r="T174" s="45" t="s">
        <v>3704</v>
      </c>
      <c r="U174" s="7" t="s">
        <v>2656</v>
      </c>
      <c r="V174" s="45" t="s">
        <v>2961</v>
      </c>
      <c r="W174" s="44" t="s">
        <v>2900</v>
      </c>
      <c r="X174" s="4" t="s">
        <v>3707</v>
      </c>
      <c r="Y174" s="46" t="s">
        <v>2472</v>
      </c>
      <c r="Z174" s="4" t="s">
        <v>3654</v>
      </c>
      <c r="AA174" s="46" t="s">
        <v>2490</v>
      </c>
      <c r="AB174" s="4" t="s">
        <v>357</v>
      </c>
      <c r="AC174" s="7" t="s">
        <v>2656</v>
      </c>
      <c r="AD174" s="4" t="s">
        <v>2961</v>
      </c>
      <c r="AE174" s="7" t="s">
        <v>2900</v>
      </c>
      <c r="AF174" s="7" t="s">
        <v>2961</v>
      </c>
      <c r="AG174" s="7" t="s">
        <v>2961</v>
      </c>
      <c r="AI174" s="7" t="s">
        <v>4100</v>
      </c>
      <c r="AJ174" s="7" t="s">
        <v>2656</v>
      </c>
      <c r="AK174" s="41">
        <f>Table43[[#This Row],[Harga Jual Pcs GT
(-PPN)]]-(Table43[[#This Row],[Harga Jual Pcs GT
(-PPN)]]*10%)</f>
        <v>0</v>
      </c>
      <c r="AL174" s="42">
        <f>Table43[[#This Row],[Harga Beli Pcs
(-PPN)]]*Table43[[#This Row],[ISI/CTN]]</f>
        <v>0</v>
      </c>
      <c r="AM174" s="42">
        <f>Table43[[#This Row],[Harga Beli Pcs
(-PPN)]]*1.11</f>
        <v>0</v>
      </c>
      <c r="AN174" s="42">
        <f>Table43[[#This Row],[Harga Beli Krt
(- PPN)]]*1.11</f>
        <v>0</v>
      </c>
      <c r="AO174" s="42"/>
      <c r="AP174" s="42">
        <f>Table43[[#This Row],[Harga Jual Pcs GT
(-PPN)]]*Table43[[#This Row],[ISI/CTN]]</f>
        <v>0</v>
      </c>
      <c r="AQ174" s="42">
        <f>Table43[[#This Row],[Harga Jual Pcs GT
(-PPN)]]*1.11</f>
        <v>0</v>
      </c>
      <c r="AR174" s="42">
        <f>Table43[[#This Row],[Harga Jual Krt GT
(- PPN)]]*1.11</f>
        <v>0</v>
      </c>
      <c r="AS174" s="42">
        <f>Table43[[#This Row],[Harga Jual Pcs GT
(-PPN)]]</f>
        <v>0</v>
      </c>
      <c r="AT174" s="42">
        <f>(Table43[[#This Row],[Harga Jual Pcs MT
(-PPN)]]*Table43[[#This Row],[ISI/CTN]])</f>
        <v>0</v>
      </c>
      <c r="AU174" s="42">
        <f>Table43[[#This Row],[Harga Jual Pcs MT
(-PPN)]]*1.11</f>
        <v>0</v>
      </c>
      <c r="AV174" s="42">
        <f>Table43[[#This Row],[Harga Jual Pcs MT
(+PPN)]]*Table43[[#This Row],[ISI/CTN]]</f>
        <v>0</v>
      </c>
      <c r="AW174" s="47"/>
      <c r="AX174" s="7"/>
      <c r="AY174" s="7" t="str">
        <f ca="1">IF(TODAY()-Table43[[#This Row],[Efektif
Pembuatan]]&gt;60,"Lama","Baru")</f>
        <v>Lama</v>
      </c>
      <c r="AZ174" s="7" t="str">
        <f ca="1">IF(TODAY()-Table43[[#This Row],[Efektif Naik Harga]]&lt;30,"Naik","Sama")</f>
        <v>Sama</v>
      </c>
      <c r="BA174" s="7" t="str">
        <f>IF(Table43[[#This Row],[Kode BARANG Win2]]&lt;&gt;"","IDR","")</f>
        <v>IDR</v>
      </c>
      <c r="BB174" s="7" t="str">
        <f>CONCATENATE(Table43[[#This Row],[kode  1 Digit
(Nomor)]],Table43[[#This Row],[kode  4 Digit                (Nomor)]])</f>
        <v>10050</v>
      </c>
      <c r="BC174" s="7" t="str">
        <f>Table43[[#This Row],[Nama            Gramasi atau Jumlah Pack per CTN]]</f>
        <v>50ML</v>
      </c>
      <c r="BD174" s="7"/>
      <c r="BE174" s="7"/>
      <c r="BF174" s="4" t="str">
        <f>IF(Table43[[#This Row],[SATUAN Fix Win]]&lt;&gt;"","KRT")</f>
        <v>KRT</v>
      </c>
      <c r="BG174" s="4" t="str">
        <f>IF(Table43[[#This Row],[SATUAN Fix Win]]&lt;&gt;"","GD01")</f>
        <v>GD01</v>
      </c>
      <c r="BH174" s="4">
        <f>IF(Table43[[#This Row],[SATUAN Fix Win]]&lt;&gt;"",11611)</f>
        <v>11611</v>
      </c>
      <c r="BI174" s="4">
        <f>IF(Table43[[#This Row],[SATUAN Fix Win]]&lt;&gt;"",11612)</f>
        <v>11612</v>
      </c>
      <c r="BJ174" s="48"/>
      <c r="BK174" s="4">
        <f>IF(Table43[[#This Row],[SATUAN Fix Win]]&lt;&gt;"",1)</f>
        <v>1</v>
      </c>
    </row>
    <row r="175" spans="1:63">
      <c r="A175" s="4" t="str">
        <f>CONCATENATE(Table43[[#This Row],[Kode BARANG Win2]],Table43[[#This Row],[No. Urut
Item Sama]])</f>
        <v>K11110020100101</v>
      </c>
      <c r="B175" s="7">
        <v>1</v>
      </c>
      <c r="D175" s="28" t="s">
        <v>4057</v>
      </c>
      <c r="E175" s="28"/>
      <c r="F175" s="28">
        <v>0</v>
      </c>
      <c r="G175" s="78">
        <v>36</v>
      </c>
      <c r="H175" s="43"/>
      <c r="I175" s="28" t="str">
        <f>Table43[[#This Row],[Nama Jenis Kemasan]]</f>
        <v>BTL</v>
      </c>
      <c r="J175" s="4" t="str">
        <f>TRIM(CONCATENATE(Table43[[#This Row],[Nama            KLP]]," ",Table43[[#This Row],[Nama            Sub KLP]]))</f>
        <v>ESKULIN COLOGNE</v>
      </c>
      <c r="K175" s="4" t="str">
        <f>CONCATENATE(Table43[[#This Row],[kode  2 Digit                (hrf+No)]],Table43[[#This Row],[kode  2 Digit                (Nomor)]],Table43[[#This Row],[kode  1 Digit                (Nomor)]])</f>
        <v>K1111</v>
      </c>
      <c r="L175" s="4" t="str">
        <f t="shared" si="9"/>
        <v>K1111002010010</v>
      </c>
      <c r="M175" s="11">
        <f t="shared" si="10"/>
        <v>14</v>
      </c>
      <c r="N175" s="14" t="str">
        <f>IF(AF175&lt;&gt;"",TRIM(UPPER(CONCATENATE(P175," ",R175," ",T175," ",V175," ",X175," ",Z175," ","X"," ",Table43[[#This Row],[ISI/CTN]]," ",AF175," ",AB175," ",AD175," ",AH175))),TRIM(UPPER(CONCATENATE(P175," ",R175," ",T175," ",V175," ",X175," ",Z175," ","X"," ",Table43[[#This Row],[ISI/CTN]]," ",AB175," ",AD175," ",AH175))))</f>
        <v>KNF ESKULIN COLOGNE DREAMY BLUE 100ML X 36 BTL</v>
      </c>
      <c r="O175" s="11">
        <f t="shared" si="11"/>
        <v>46</v>
      </c>
      <c r="P175" s="4" t="s">
        <v>97</v>
      </c>
      <c r="Q175" s="7" t="s">
        <v>98</v>
      </c>
      <c r="R175" s="4" t="s">
        <v>3703</v>
      </c>
      <c r="S175" s="44" t="s">
        <v>3550</v>
      </c>
      <c r="T175" s="45" t="s">
        <v>3704</v>
      </c>
      <c r="U175" s="7" t="s">
        <v>2656</v>
      </c>
      <c r="V175" s="45" t="s">
        <v>2961</v>
      </c>
      <c r="W175" s="44" t="s">
        <v>2900</v>
      </c>
      <c r="X175" s="4" t="s">
        <v>3706</v>
      </c>
      <c r="Y175" s="46" t="s">
        <v>2472</v>
      </c>
      <c r="Z175" s="4" t="s">
        <v>3588</v>
      </c>
      <c r="AA175" s="46" t="s">
        <v>2487</v>
      </c>
      <c r="AB175" s="4" t="s">
        <v>357</v>
      </c>
      <c r="AC175" s="7" t="s">
        <v>2656</v>
      </c>
      <c r="AD175" s="4" t="s">
        <v>2961</v>
      </c>
      <c r="AE175" s="7" t="s">
        <v>2900</v>
      </c>
      <c r="AF175" s="7" t="s">
        <v>2961</v>
      </c>
      <c r="AG175" s="7" t="s">
        <v>2961</v>
      </c>
      <c r="AI175" s="7" t="s">
        <v>4100</v>
      </c>
      <c r="AJ175" s="7" t="s">
        <v>2656</v>
      </c>
      <c r="AK175" s="41">
        <f>Table43[[#This Row],[Harga Jual Pcs GT
(-PPN)]]-(Table43[[#This Row],[Harga Jual Pcs GT
(-PPN)]]*10%)</f>
        <v>0</v>
      </c>
      <c r="AL175" s="42">
        <f>Table43[[#This Row],[Harga Beli Pcs
(-PPN)]]*Table43[[#This Row],[ISI/CTN]]</f>
        <v>0</v>
      </c>
      <c r="AM175" s="42">
        <f>Table43[[#This Row],[Harga Beli Pcs
(-PPN)]]*1.11</f>
        <v>0</v>
      </c>
      <c r="AN175" s="42">
        <f>Table43[[#This Row],[Harga Beli Krt
(- PPN)]]*1.11</f>
        <v>0</v>
      </c>
      <c r="AO175" s="42"/>
      <c r="AP175" s="42">
        <f>Table43[[#This Row],[Harga Jual Pcs GT
(-PPN)]]*Table43[[#This Row],[ISI/CTN]]</f>
        <v>0</v>
      </c>
      <c r="AQ175" s="42">
        <f>Table43[[#This Row],[Harga Jual Pcs GT
(-PPN)]]*1.11</f>
        <v>0</v>
      </c>
      <c r="AR175" s="42">
        <f>Table43[[#This Row],[Harga Jual Krt GT
(- PPN)]]*1.11</f>
        <v>0</v>
      </c>
      <c r="AS175" s="42">
        <f>Table43[[#This Row],[Harga Jual Pcs GT
(-PPN)]]</f>
        <v>0</v>
      </c>
      <c r="AT175" s="42">
        <f>(Table43[[#This Row],[Harga Jual Pcs MT
(-PPN)]]*Table43[[#This Row],[ISI/CTN]])</f>
        <v>0</v>
      </c>
      <c r="AU175" s="42">
        <f>Table43[[#This Row],[Harga Jual Pcs MT
(-PPN)]]*1.11</f>
        <v>0</v>
      </c>
      <c r="AV175" s="42">
        <f>Table43[[#This Row],[Harga Jual Pcs MT
(+PPN)]]*Table43[[#This Row],[ISI/CTN]]</f>
        <v>0</v>
      </c>
      <c r="AW175" s="47"/>
      <c r="AX175" s="7"/>
      <c r="AY175" s="7" t="str">
        <f ca="1">IF(TODAY()-Table43[[#This Row],[Efektif
Pembuatan]]&gt;60,"Lama","Baru")</f>
        <v>Lama</v>
      </c>
      <c r="AZ175" s="7" t="str">
        <f ca="1">IF(TODAY()-Table43[[#This Row],[Efektif Naik Harga]]&lt;30,"Naik","Sama")</f>
        <v>Sama</v>
      </c>
      <c r="BA175" s="7" t="str">
        <f>IF(Table43[[#This Row],[Kode BARANG Win2]]&lt;&gt;"","IDR","")</f>
        <v>IDR</v>
      </c>
      <c r="BB175" s="7" t="str">
        <f>CONCATENATE(Table43[[#This Row],[kode  1 Digit
(Nomor)]],Table43[[#This Row],[kode  4 Digit                (Nomor)]])</f>
        <v>10100</v>
      </c>
      <c r="BC175" s="7" t="str">
        <f>Table43[[#This Row],[Nama            Gramasi atau Jumlah Pack per CTN]]</f>
        <v>100ML</v>
      </c>
      <c r="BD175" s="7"/>
      <c r="BE175" s="7"/>
      <c r="BF175" s="4" t="str">
        <f>IF(Table43[[#This Row],[SATUAN Fix Win]]&lt;&gt;"","KRT")</f>
        <v>KRT</v>
      </c>
      <c r="BG175" s="4" t="str">
        <f>IF(Table43[[#This Row],[SATUAN Fix Win]]&lt;&gt;"","GD01")</f>
        <v>GD01</v>
      </c>
      <c r="BH175" s="4">
        <f>IF(Table43[[#This Row],[SATUAN Fix Win]]&lt;&gt;"",11611)</f>
        <v>11611</v>
      </c>
      <c r="BI175" s="4">
        <f>IF(Table43[[#This Row],[SATUAN Fix Win]]&lt;&gt;"",11612)</f>
        <v>11612</v>
      </c>
      <c r="BJ175" s="48"/>
      <c r="BK175" s="4">
        <f>IF(Table43[[#This Row],[SATUAN Fix Win]]&lt;&gt;"",1)</f>
        <v>1</v>
      </c>
    </row>
    <row r="176" spans="1:63">
      <c r="A176" s="4" t="str">
        <f>CONCATENATE(Table43[[#This Row],[Kode BARANG Win2]],Table43[[#This Row],[No. Urut
Item Sama]])</f>
        <v>K11110030050101</v>
      </c>
      <c r="B176" s="7">
        <v>1</v>
      </c>
      <c r="D176" s="28" t="s">
        <v>4058</v>
      </c>
      <c r="E176" s="28"/>
      <c r="F176" s="28">
        <v>0</v>
      </c>
      <c r="G176" s="78">
        <v>36</v>
      </c>
      <c r="H176" s="43"/>
      <c r="I176" s="28" t="str">
        <f>Table43[[#This Row],[Nama Jenis Kemasan]]</f>
        <v>BTL</v>
      </c>
      <c r="J176" s="4" t="str">
        <f>TRIM(CONCATENATE(Table43[[#This Row],[Nama            KLP]]," ",Table43[[#This Row],[Nama            Sub KLP]]))</f>
        <v>ESKULIN COLOGNE</v>
      </c>
      <c r="K176" s="4" t="str">
        <f>CONCATENATE(Table43[[#This Row],[kode  2 Digit                (hrf+No)]],Table43[[#This Row],[kode  2 Digit                (Nomor)]],Table43[[#This Row],[kode  1 Digit                (Nomor)]])</f>
        <v>K1111</v>
      </c>
      <c r="L176" s="4" t="str">
        <f t="shared" si="9"/>
        <v>K1111003005010</v>
      </c>
      <c r="M176" s="11">
        <f t="shared" si="10"/>
        <v>14</v>
      </c>
      <c r="N176" s="14" t="str">
        <f>IF(AF176&lt;&gt;"",TRIM(UPPER(CONCATENATE(P176," ",R176," ",T176," ",V176," ",X176," ",Z176," ","X"," ",Table43[[#This Row],[ISI/CTN]]," ",AF176," ",AB176," ",AD176," ",AH176))),TRIM(UPPER(CONCATENATE(P176," ",R176," ",T176," ",V176," ",X176," ",Z176," ","X"," ",Table43[[#This Row],[ISI/CTN]]," ",AB176," ",AD176," ",AH176))))</f>
        <v>KNF ESKULIN COLOGNE ADORABEL PINK 50ML X 36 BTL</v>
      </c>
      <c r="O176" s="11">
        <f t="shared" si="11"/>
        <v>47</v>
      </c>
      <c r="P176" s="4" t="s">
        <v>97</v>
      </c>
      <c r="Q176" s="7" t="s">
        <v>98</v>
      </c>
      <c r="R176" s="4" t="s">
        <v>3703</v>
      </c>
      <c r="S176" s="44" t="s">
        <v>3550</v>
      </c>
      <c r="T176" s="45" t="s">
        <v>3704</v>
      </c>
      <c r="U176" s="7" t="s">
        <v>2656</v>
      </c>
      <c r="V176" s="45" t="s">
        <v>2961</v>
      </c>
      <c r="W176" s="44" t="s">
        <v>2900</v>
      </c>
      <c r="X176" s="4" t="s">
        <v>3708</v>
      </c>
      <c r="Y176" s="46" t="s">
        <v>2473</v>
      </c>
      <c r="Z176" s="4" t="s">
        <v>3654</v>
      </c>
      <c r="AA176" s="46" t="s">
        <v>2490</v>
      </c>
      <c r="AB176" s="4" t="s">
        <v>357</v>
      </c>
      <c r="AC176" s="7" t="s">
        <v>2656</v>
      </c>
      <c r="AD176" s="4" t="s">
        <v>2961</v>
      </c>
      <c r="AE176" s="7" t="s">
        <v>2900</v>
      </c>
      <c r="AF176" s="7" t="s">
        <v>2961</v>
      </c>
      <c r="AG176" s="7" t="s">
        <v>2961</v>
      </c>
      <c r="AI176" s="7" t="s">
        <v>4100</v>
      </c>
      <c r="AJ176" s="7" t="s">
        <v>2656</v>
      </c>
      <c r="AK176" s="41">
        <f>Table43[[#This Row],[Harga Jual Pcs GT
(-PPN)]]-(Table43[[#This Row],[Harga Jual Pcs GT
(-PPN)]]*10%)</f>
        <v>0</v>
      </c>
      <c r="AL176" s="42">
        <f>Table43[[#This Row],[Harga Beli Pcs
(-PPN)]]*Table43[[#This Row],[ISI/CTN]]</f>
        <v>0</v>
      </c>
      <c r="AM176" s="42">
        <f>Table43[[#This Row],[Harga Beli Pcs
(-PPN)]]*1.11</f>
        <v>0</v>
      </c>
      <c r="AN176" s="42">
        <f>Table43[[#This Row],[Harga Beli Krt
(- PPN)]]*1.11</f>
        <v>0</v>
      </c>
      <c r="AO176" s="42"/>
      <c r="AP176" s="42">
        <f>Table43[[#This Row],[Harga Jual Pcs GT
(-PPN)]]*Table43[[#This Row],[ISI/CTN]]</f>
        <v>0</v>
      </c>
      <c r="AQ176" s="42">
        <f>Table43[[#This Row],[Harga Jual Pcs GT
(-PPN)]]*1.11</f>
        <v>0</v>
      </c>
      <c r="AR176" s="42">
        <f>Table43[[#This Row],[Harga Jual Krt GT
(- PPN)]]*1.11</f>
        <v>0</v>
      </c>
      <c r="AS176" s="42">
        <f>Table43[[#This Row],[Harga Jual Pcs GT
(-PPN)]]</f>
        <v>0</v>
      </c>
      <c r="AT176" s="42">
        <f>(Table43[[#This Row],[Harga Jual Pcs MT
(-PPN)]]*Table43[[#This Row],[ISI/CTN]])</f>
        <v>0</v>
      </c>
      <c r="AU176" s="42">
        <f>Table43[[#This Row],[Harga Jual Pcs MT
(-PPN)]]*1.11</f>
        <v>0</v>
      </c>
      <c r="AV176" s="42">
        <f>Table43[[#This Row],[Harga Jual Pcs MT
(+PPN)]]*Table43[[#This Row],[ISI/CTN]]</f>
        <v>0</v>
      </c>
      <c r="AW176" s="47"/>
      <c r="AX176" s="7"/>
      <c r="AY176" s="7" t="str">
        <f ca="1">IF(TODAY()-Table43[[#This Row],[Efektif
Pembuatan]]&gt;60,"Lama","Baru")</f>
        <v>Lama</v>
      </c>
      <c r="AZ176" s="7" t="str">
        <f ca="1">IF(TODAY()-Table43[[#This Row],[Efektif Naik Harga]]&lt;30,"Naik","Sama")</f>
        <v>Sama</v>
      </c>
      <c r="BA176" s="7" t="str">
        <f>IF(Table43[[#This Row],[Kode BARANG Win2]]&lt;&gt;"","IDR","")</f>
        <v>IDR</v>
      </c>
      <c r="BB176" s="7" t="str">
        <f>CONCATENATE(Table43[[#This Row],[kode  1 Digit
(Nomor)]],Table43[[#This Row],[kode  4 Digit                (Nomor)]])</f>
        <v>10050</v>
      </c>
      <c r="BC176" s="7" t="str">
        <f>Table43[[#This Row],[Nama            Gramasi atau Jumlah Pack per CTN]]</f>
        <v>50ML</v>
      </c>
      <c r="BD176" s="7"/>
      <c r="BE176" s="7"/>
      <c r="BF176" s="4" t="str">
        <f>IF(Table43[[#This Row],[SATUAN Fix Win]]&lt;&gt;"","KRT")</f>
        <v>KRT</v>
      </c>
      <c r="BG176" s="4" t="str">
        <f>IF(Table43[[#This Row],[SATUAN Fix Win]]&lt;&gt;"","GD01")</f>
        <v>GD01</v>
      </c>
      <c r="BH176" s="4">
        <f>IF(Table43[[#This Row],[SATUAN Fix Win]]&lt;&gt;"",11611)</f>
        <v>11611</v>
      </c>
      <c r="BI176" s="4">
        <f>IF(Table43[[#This Row],[SATUAN Fix Win]]&lt;&gt;"",11612)</f>
        <v>11612</v>
      </c>
      <c r="BJ176" s="48"/>
      <c r="BK176" s="4">
        <f>IF(Table43[[#This Row],[SATUAN Fix Win]]&lt;&gt;"",1)</f>
        <v>1</v>
      </c>
    </row>
    <row r="177" spans="1:67">
      <c r="A177" s="4" t="str">
        <f>CONCATENATE(Table43[[#This Row],[Kode BARANG Win2]],Table43[[#This Row],[No. Urut
Item Sama]])</f>
        <v>K11110030050101</v>
      </c>
      <c r="B177" s="7">
        <v>1</v>
      </c>
      <c r="D177" s="28" t="s">
        <v>4059</v>
      </c>
      <c r="E177" s="28"/>
      <c r="F177" s="28">
        <v>0</v>
      </c>
      <c r="G177" s="78">
        <v>36</v>
      </c>
      <c r="H177" s="43"/>
      <c r="I177" s="28" t="str">
        <f>Table43[[#This Row],[Nama Jenis Kemasan]]</f>
        <v>BTL</v>
      </c>
      <c r="J177" s="4" t="str">
        <f>TRIM(CONCATENATE(Table43[[#This Row],[Nama            KLP]]," ",Table43[[#This Row],[Nama            Sub KLP]]))</f>
        <v>ESKULIN COLOGNE</v>
      </c>
      <c r="K177" s="4" t="str">
        <f>CONCATENATE(Table43[[#This Row],[kode  2 Digit                (hrf+No)]],Table43[[#This Row],[kode  2 Digit                (Nomor)]],Table43[[#This Row],[kode  1 Digit                (Nomor)]])</f>
        <v>K1111</v>
      </c>
      <c r="L177" s="4" t="str">
        <f t="shared" si="9"/>
        <v>K1111003005010</v>
      </c>
      <c r="M177" s="11">
        <f t="shared" si="10"/>
        <v>14</v>
      </c>
      <c r="N177" s="14" t="str">
        <f>IF(AF177&lt;&gt;"",TRIM(UPPER(CONCATENATE(P177," ",R177," ",T177," ",V177," ",X177," ",Z177," ","X"," ",Table43[[#This Row],[ISI/CTN]]," ",AF177," ",AB177," ",AD177," ",AH177))),TRIM(UPPER(CONCATENATE(P177," ",R177," ",T177," ",V177," ",X177," ",Z177," ","X"," ",Table43[[#This Row],[ISI/CTN]]," ",AB177," ",AD177," ",AH177))))</f>
        <v>KNF ESKULIN COLOGNE ADORABEL PINK 50ML X 36 BTL</v>
      </c>
      <c r="O177" s="11">
        <f t="shared" si="11"/>
        <v>47</v>
      </c>
      <c r="P177" s="4" t="s">
        <v>97</v>
      </c>
      <c r="Q177" s="7" t="s">
        <v>98</v>
      </c>
      <c r="R177" s="4" t="s">
        <v>3703</v>
      </c>
      <c r="S177" s="44" t="s">
        <v>3550</v>
      </c>
      <c r="T177" s="45" t="s">
        <v>3704</v>
      </c>
      <c r="U177" s="7" t="s">
        <v>2656</v>
      </c>
      <c r="V177" s="45" t="s">
        <v>2961</v>
      </c>
      <c r="W177" s="44" t="s">
        <v>2900</v>
      </c>
      <c r="X177" s="4" t="s">
        <v>3708</v>
      </c>
      <c r="Y177" s="46" t="s">
        <v>2473</v>
      </c>
      <c r="Z177" s="4" t="s">
        <v>3654</v>
      </c>
      <c r="AA177" s="46" t="s">
        <v>2490</v>
      </c>
      <c r="AB177" s="4" t="s">
        <v>357</v>
      </c>
      <c r="AC177" s="7" t="s">
        <v>2656</v>
      </c>
      <c r="AD177" s="4" t="s">
        <v>2961</v>
      </c>
      <c r="AE177" s="7" t="s">
        <v>2900</v>
      </c>
      <c r="AF177" s="7" t="s">
        <v>2961</v>
      </c>
      <c r="AG177" s="7" t="s">
        <v>2961</v>
      </c>
      <c r="AI177" s="7" t="s">
        <v>4100</v>
      </c>
      <c r="AJ177" s="7" t="s">
        <v>2656</v>
      </c>
      <c r="AK177" s="41">
        <f>Table43[[#This Row],[Harga Jual Pcs GT
(-PPN)]]-(Table43[[#This Row],[Harga Jual Pcs GT
(-PPN)]]*10%)</f>
        <v>0</v>
      </c>
      <c r="AL177" s="42">
        <f>Table43[[#This Row],[Harga Beli Pcs
(-PPN)]]*Table43[[#This Row],[ISI/CTN]]</f>
        <v>0</v>
      </c>
      <c r="AM177" s="42">
        <f>Table43[[#This Row],[Harga Beli Pcs
(-PPN)]]*1.11</f>
        <v>0</v>
      </c>
      <c r="AN177" s="42">
        <f>Table43[[#This Row],[Harga Beli Krt
(- PPN)]]*1.11</f>
        <v>0</v>
      </c>
      <c r="AO177" s="42"/>
      <c r="AP177" s="42">
        <f>Table43[[#This Row],[Harga Jual Pcs GT
(-PPN)]]*Table43[[#This Row],[ISI/CTN]]</f>
        <v>0</v>
      </c>
      <c r="AQ177" s="42">
        <f>Table43[[#This Row],[Harga Jual Pcs GT
(-PPN)]]*1.11</f>
        <v>0</v>
      </c>
      <c r="AR177" s="42">
        <f>Table43[[#This Row],[Harga Jual Krt GT
(- PPN)]]*1.11</f>
        <v>0</v>
      </c>
      <c r="AS177" s="42">
        <f>Table43[[#This Row],[Harga Jual Pcs GT
(-PPN)]]</f>
        <v>0</v>
      </c>
      <c r="AT177" s="42">
        <f>(Table43[[#This Row],[Harga Jual Pcs MT
(-PPN)]]*Table43[[#This Row],[ISI/CTN]])</f>
        <v>0</v>
      </c>
      <c r="AU177" s="42">
        <f>Table43[[#This Row],[Harga Jual Pcs MT
(-PPN)]]*1.11</f>
        <v>0</v>
      </c>
      <c r="AV177" s="42">
        <f>Table43[[#This Row],[Harga Jual Pcs MT
(+PPN)]]*Table43[[#This Row],[ISI/CTN]]</f>
        <v>0</v>
      </c>
      <c r="AW177" s="47"/>
      <c r="AX177" s="7"/>
      <c r="AY177" s="7" t="str">
        <f ca="1">IF(TODAY()-Table43[[#This Row],[Efektif
Pembuatan]]&gt;60,"Lama","Baru")</f>
        <v>Lama</v>
      </c>
      <c r="AZ177" s="7" t="str">
        <f ca="1">IF(TODAY()-Table43[[#This Row],[Efektif Naik Harga]]&lt;30,"Naik","Sama")</f>
        <v>Sama</v>
      </c>
      <c r="BA177" s="7" t="str">
        <f>IF(Table43[[#This Row],[Kode BARANG Win2]]&lt;&gt;"","IDR","")</f>
        <v>IDR</v>
      </c>
      <c r="BB177" s="7" t="str">
        <f>CONCATENATE(Table43[[#This Row],[kode  1 Digit
(Nomor)]],Table43[[#This Row],[kode  4 Digit                (Nomor)]])</f>
        <v>10050</v>
      </c>
      <c r="BC177" s="7" t="str">
        <f>Table43[[#This Row],[Nama            Gramasi atau Jumlah Pack per CTN]]</f>
        <v>50ML</v>
      </c>
      <c r="BD177" s="7"/>
      <c r="BE177" s="7"/>
      <c r="BF177" s="4" t="str">
        <f>IF(Table43[[#This Row],[SATUAN Fix Win]]&lt;&gt;"","KRT")</f>
        <v>KRT</v>
      </c>
      <c r="BG177" s="4" t="str">
        <f>IF(Table43[[#This Row],[SATUAN Fix Win]]&lt;&gt;"","GD01")</f>
        <v>GD01</v>
      </c>
      <c r="BH177" s="4">
        <f>IF(Table43[[#This Row],[SATUAN Fix Win]]&lt;&gt;"",11611)</f>
        <v>11611</v>
      </c>
      <c r="BI177" s="4">
        <f>IF(Table43[[#This Row],[SATUAN Fix Win]]&lt;&gt;"",11612)</f>
        <v>11612</v>
      </c>
      <c r="BJ177" s="48"/>
      <c r="BK177" s="4">
        <f>IF(Table43[[#This Row],[SATUAN Fix Win]]&lt;&gt;"",1)</f>
        <v>1</v>
      </c>
    </row>
    <row r="178" spans="1:67">
      <c r="A178" s="4" t="str">
        <f>CONCATENATE(Table43[[#This Row],[Kode BARANG Win2]],Table43[[#This Row],[No. Urut
Item Sama]])</f>
        <v>K11110030100101</v>
      </c>
      <c r="B178" s="7">
        <v>1</v>
      </c>
      <c r="D178" s="28" t="s">
        <v>939</v>
      </c>
      <c r="E178" s="28"/>
      <c r="F178" s="28" t="s">
        <v>3003</v>
      </c>
      <c r="G178" s="78">
        <v>36</v>
      </c>
      <c r="H178" s="43"/>
      <c r="I178" s="28" t="str">
        <f>Table43[[#This Row],[Nama Jenis Kemasan]]</f>
        <v>BTL</v>
      </c>
      <c r="J178" s="4" t="str">
        <f>TRIM(CONCATENATE(Table43[[#This Row],[Nama            KLP]]," ",Table43[[#This Row],[Nama            Sub KLP]]))</f>
        <v>ESKULIN COLOGNE</v>
      </c>
      <c r="K178" s="4" t="str">
        <f>CONCATENATE(Table43[[#This Row],[kode  2 Digit                (hrf+No)]],Table43[[#This Row],[kode  2 Digit                (Nomor)]],Table43[[#This Row],[kode  1 Digit                (Nomor)]])</f>
        <v>K1111</v>
      </c>
      <c r="L178" s="4" t="str">
        <f t="shared" si="9"/>
        <v>K1111003010010</v>
      </c>
      <c r="M178" s="11">
        <f t="shared" si="10"/>
        <v>14</v>
      </c>
      <c r="N178" s="14" t="str">
        <f>IF(AF178&lt;&gt;"",TRIM(UPPER(CONCATENATE(P178," ",R178," ",T178," ",V178," ",X178," ",Z178," ","X"," ",Table43[[#This Row],[ISI/CTN]]," ",AF178," ",AB178," ",AD178," ",AH178))),TRIM(UPPER(CONCATENATE(P178," ",R178," ",T178," ",V178," ",X178," ",Z178," ","X"," ",Table43[[#This Row],[ISI/CTN]]," ",AB178," ",AD178," ",AH178))))</f>
        <v>KNF ESKULIN COLOGNE GEL TUESDAY 100ML X 36 BTL</v>
      </c>
      <c r="O178" s="11">
        <f t="shared" si="11"/>
        <v>46</v>
      </c>
      <c r="P178" s="4" t="s">
        <v>97</v>
      </c>
      <c r="Q178" s="7" t="s">
        <v>98</v>
      </c>
      <c r="R178" s="4" t="s">
        <v>3703</v>
      </c>
      <c r="S178" s="44" t="s">
        <v>3550</v>
      </c>
      <c r="T178" s="45" t="s">
        <v>3704</v>
      </c>
      <c r="U178" s="7" t="s">
        <v>2656</v>
      </c>
      <c r="V178" s="45" t="s">
        <v>2961</v>
      </c>
      <c r="W178" s="44" t="s">
        <v>2900</v>
      </c>
      <c r="X178" s="4" t="s">
        <v>3709</v>
      </c>
      <c r="Y178" s="46" t="s">
        <v>2473</v>
      </c>
      <c r="Z178" s="4" t="s">
        <v>3588</v>
      </c>
      <c r="AA178" s="46" t="s">
        <v>2487</v>
      </c>
      <c r="AB178" s="4" t="s">
        <v>357</v>
      </c>
      <c r="AC178" s="7" t="s">
        <v>2656</v>
      </c>
      <c r="AD178" s="4" t="s">
        <v>2961</v>
      </c>
      <c r="AE178" s="7" t="s">
        <v>2900</v>
      </c>
      <c r="AF178" s="7" t="s">
        <v>2961</v>
      </c>
      <c r="AG178" s="7" t="s">
        <v>2961</v>
      </c>
      <c r="AI178" s="7" t="s">
        <v>4100</v>
      </c>
      <c r="AJ178" s="7" t="s">
        <v>2656</v>
      </c>
      <c r="AK178" s="41">
        <f>Table43[[#This Row],[Harga Jual Pcs GT
(-PPN)]]-(Table43[[#This Row],[Harga Jual Pcs GT
(-PPN)]]*10%)</f>
        <v>0</v>
      </c>
      <c r="AL178" s="42">
        <f>Table43[[#This Row],[Harga Beli Pcs
(-PPN)]]*Table43[[#This Row],[ISI/CTN]]</f>
        <v>0</v>
      </c>
      <c r="AM178" s="42">
        <f>Table43[[#This Row],[Harga Beli Pcs
(-PPN)]]*1.11</f>
        <v>0</v>
      </c>
      <c r="AN178" s="42">
        <f>Table43[[#This Row],[Harga Beli Krt
(- PPN)]]*1.11</f>
        <v>0</v>
      </c>
      <c r="AO178" s="42"/>
      <c r="AP178" s="42">
        <f>Table43[[#This Row],[Harga Jual Pcs GT
(-PPN)]]*Table43[[#This Row],[ISI/CTN]]</f>
        <v>0</v>
      </c>
      <c r="AQ178" s="42">
        <f>Table43[[#This Row],[Harga Jual Pcs GT
(-PPN)]]*1.11</f>
        <v>0</v>
      </c>
      <c r="AR178" s="42">
        <f>Table43[[#This Row],[Harga Jual Krt GT
(- PPN)]]*1.11</f>
        <v>0</v>
      </c>
      <c r="AS178" s="42">
        <f>Table43[[#This Row],[Harga Jual Pcs GT
(-PPN)]]</f>
        <v>0</v>
      </c>
      <c r="AT178" s="42">
        <f>(Table43[[#This Row],[Harga Jual Pcs MT
(-PPN)]]*Table43[[#This Row],[ISI/CTN]])</f>
        <v>0</v>
      </c>
      <c r="AU178" s="42">
        <f>Table43[[#This Row],[Harga Jual Pcs MT
(-PPN)]]*1.11</f>
        <v>0</v>
      </c>
      <c r="AV178" s="42">
        <f>Table43[[#This Row],[Harga Jual Pcs MT
(+PPN)]]*Table43[[#This Row],[ISI/CTN]]</f>
        <v>0</v>
      </c>
      <c r="AW178" s="47"/>
      <c r="AX178" s="7"/>
      <c r="AY178" s="7" t="str">
        <f ca="1">IF(TODAY()-Table43[[#This Row],[Efektif
Pembuatan]]&gt;60,"Lama","Baru")</f>
        <v>Lama</v>
      </c>
      <c r="AZ178" s="7" t="str">
        <f ca="1">IF(TODAY()-Table43[[#This Row],[Efektif Naik Harga]]&lt;30,"Naik","Sama")</f>
        <v>Sama</v>
      </c>
      <c r="BA178" s="7" t="str">
        <f>IF(Table43[[#This Row],[Kode BARANG Win2]]&lt;&gt;"","IDR","")</f>
        <v>IDR</v>
      </c>
      <c r="BB178" s="7" t="str">
        <f>CONCATENATE(Table43[[#This Row],[kode  1 Digit
(Nomor)]],Table43[[#This Row],[kode  4 Digit                (Nomor)]])</f>
        <v>10100</v>
      </c>
      <c r="BC178" s="7" t="str">
        <f>Table43[[#This Row],[Nama            Gramasi atau Jumlah Pack per CTN]]</f>
        <v>100ML</v>
      </c>
      <c r="BD178" s="7"/>
      <c r="BE178" s="7"/>
      <c r="BF178" s="4" t="str">
        <f>IF(Table43[[#This Row],[SATUAN Fix Win]]&lt;&gt;"","KRT")</f>
        <v>KRT</v>
      </c>
      <c r="BG178" s="4" t="str">
        <f>IF(Table43[[#This Row],[SATUAN Fix Win]]&lt;&gt;"","GD01")</f>
        <v>GD01</v>
      </c>
      <c r="BH178" s="4">
        <f>IF(Table43[[#This Row],[SATUAN Fix Win]]&lt;&gt;"",11611)</f>
        <v>11611</v>
      </c>
      <c r="BI178" s="4">
        <f>IF(Table43[[#This Row],[SATUAN Fix Win]]&lt;&gt;"",11612)</f>
        <v>11612</v>
      </c>
      <c r="BJ178" s="48"/>
      <c r="BK178" s="4">
        <f>IF(Table43[[#This Row],[SATUAN Fix Win]]&lt;&gt;"",1)</f>
        <v>1</v>
      </c>
    </row>
    <row r="179" spans="1:67" s="64" customFormat="1">
      <c r="A179" s="51" t="str">
        <f>CONCATENATE(Table43[[#This Row],[Kode BARANG Win2]],Table43[[#This Row],[No. Urut
Item Sama]])</f>
        <v>K1111004005010</v>
      </c>
      <c r="B179" s="52"/>
      <c r="C179" s="51"/>
      <c r="D179" s="53" t="s">
        <v>940</v>
      </c>
      <c r="E179" s="53"/>
      <c r="F179" s="53" t="s">
        <v>3004</v>
      </c>
      <c r="G179" s="79">
        <v>36</v>
      </c>
      <c r="H179" s="54"/>
      <c r="I179" s="53" t="str">
        <f>Table43[[#This Row],[Nama Jenis Kemasan]]</f>
        <v>BTL</v>
      </c>
      <c r="J179" s="51" t="s">
        <v>3551</v>
      </c>
      <c r="K179" s="51" t="str">
        <f>CONCATENATE(Table43[[#This Row],[kode  2 Digit                (hrf+No)]],Table43[[#This Row],[kode  2 Digit                (Nomor)]],Table43[[#This Row],[kode  1 Digit                (Nomor)]])</f>
        <v>K1111</v>
      </c>
      <c r="L179" s="51" t="str">
        <f>IF(AG179="",CONCATENATE(Q179,S179,U179,W179,Y179,AA179,AC179,AE179),CONCATENATE(Q179,S179,U179,W179,Y179,AA179,AC179,AG179))</f>
        <v>K1111004005010</v>
      </c>
      <c r="M179" s="55">
        <f>LEN(L179)</f>
        <v>14</v>
      </c>
      <c r="N179" s="56" t="str">
        <f>IF(AF179&lt;&gt;"",TRIM(UPPER(CONCATENATE(P179," ",R179," ",T179," ",V179," ",X179," ",Z179," ","X"," ",Table43[[#This Row],[ISI/CTN]]," ",AF179," ",AB179," ",AD179," ",AH179))),TRIM(UPPER(CONCATENATE(P179," ",R179," ",T179," ",V179," ",X179," ",Z179," ","X"," ",Table43[[#This Row],[ISI/CTN]]," ",AB179," ",AD179," ",AH179))))</f>
        <v>KNF ESKULIN COLOGNE GEL WEDNESDAY 50ML X 36 BTL</v>
      </c>
      <c r="O179" s="55">
        <f>LEN(N179)</f>
        <v>47</v>
      </c>
      <c r="P179" s="51" t="s">
        <v>97</v>
      </c>
      <c r="Q179" s="52" t="s">
        <v>98</v>
      </c>
      <c r="R179" s="51" t="s">
        <v>3703</v>
      </c>
      <c r="S179" s="57" t="s">
        <v>3550</v>
      </c>
      <c r="T179" s="58" t="s">
        <v>3704</v>
      </c>
      <c r="U179" s="52" t="s">
        <v>2656</v>
      </c>
      <c r="V179" s="58" t="s">
        <v>2961</v>
      </c>
      <c r="W179" s="57" t="s">
        <v>2900</v>
      </c>
      <c r="X179" s="51" t="s">
        <v>3710</v>
      </c>
      <c r="Y179" s="59" t="s">
        <v>2474</v>
      </c>
      <c r="Z179" s="51" t="s">
        <v>3654</v>
      </c>
      <c r="AA179" s="59" t="s">
        <v>2490</v>
      </c>
      <c r="AB179" s="51" t="s">
        <v>357</v>
      </c>
      <c r="AC179" s="52" t="s">
        <v>2656</v>
      </c>
      <c r="AD179" s="51" t="s">
        <v>2961</v>
      </c>
      <c r="AE179" s="52" t="s">
        <v>2900</v>
      </c>
      <c r="AF179" s="52" t="s">
        <v>2961</v>
      </c>
      <c r="AG179" s="52" t="s">
        <v>2961</v>
      </c>
      <c r="AH179" s="52"/>
      <c r="AI179" s="52" t="s">
        <v>4100</v>
      </c>
      <c r="AJ179" s="52" t="s">
        <v>2656</v>
      </c>
      <c r="AK179" s="60">
        <f>Table43[[#This Row],[Harga Jual Pcs GT
(-PPN)]]-(Table43[[#This Row],[Harga Jual Pcs GT
(-PPN)]]*10%)</f>
        <v>0</v>
      </c>
      <c r="AL179" s="61">
        <f>Table43[[#This Row],[Harga Beli Pcs
(-PPN)]]*Table43[[#This Row],[ISI/CTN]]</f>
        <v>0</v>
      </c>
      <c r="AM179" s="61">
        <f>Table43[[#This Row],[Harga Beli Pcs
(-PPN)]]*1.11</f>
        <v>0</v>
      </c>
      <c r="AN179" s="61">
        <f>Table43[[#This Row],[Harga Beli Krt
(- PPN)]]*1.11</f>
        <v>0</v>
      </c>
      <c r="AO179" s="61"/>
      <c r="AP179" s="61">
        <f>Table43[[#This Row],[Harga Jual Pcs GT
(-PPN)]]*Table43[[#This Row],[ISI/CTN]]</f>
        <v>0</v>
      </c>
      <c r="AQ179" s="61">
        <f>Table43[[#This Row],[Harga Jual Pcs GT
(-PPN)]]*1.11</f>
        <v>0</v>
      </c>
      <c r="AR179" s="61">
        <f>Table43[[#This Row],[Harga Jual Krt GT
(- PPN)]]*1.11</f>
        <v>0</v>
      </c>
      <c r="AS179" s="61">
        <f>Table43[[#This Row],[Harga Jual Pcs GT
(-PPN)]]</f>
        <v>0</v>
      </c>
      <c r="AT179" s="61">
        <f>(Table43[[#This Row],[Harga Jual Pcs MT
(-PPN)]]*Table43[[#This Row],[ISI/CTN]])</f>
        <v>0</v>
      </c>
      <c r="AU179" s="61">
        <f>Table43[[#This Row],[Harga Jual Pcs MT
(-PPN)]]*1.11</f>
        <v>0</v>
      </c>
      <c r="AV179" s="61">
        <f>Table43[[#This Row],[Harga Jual Pcs MT
(+PPN)]]*Table43[[#This Row],[ISI/CTN]]</f>
        <v>0</v>
      </c>
      <c r="AW179" s="62"/>
      <c r="AX179" s="52"/>
      <c r="AY179" s="52" t="str">
        <f ca="1">IF(TODAY()-Table43[[#This Row],[Efektif
Pembuatan]]&gt;60,"Lama","Baru")</f>
        <v>Lama</v>
      </c>
      <c r="AZ179" s="52" t="str">
        <f ca="1">IF(TODAY()-Table43[[#This Row],[Efektif Naik Harga]]&lt;30,"Naik","Sama")</f>
        <v>Sama</v>
      </c>
      <c r="BA179" s="52" t="str">
        <f>IF(Table43[[#This Row],[Kode BARANG Win2]]&lt;&gt;"","IDR","")</f>
        <v>IDR</v>
      </c>
      <c r="BB179" s="52" t="str">
        <f>CONCATENATE(Table43[[#This Row],[kode  1 Digit
(Nomor)]],Table43[[#This Row],[kode  4 Digit                (Nomor)]])</f>
        <v>10050</v>
      </c>
      <c r="BC179" s="52" t="str">
        <f>Table43[[#This Row],[Nama            Gramasi atau Jumlah Pack per CTN]]</f>
        <v>50ML</v>
      </c>
      <c r="BD179" s="52"/>
      <c r="BE179" s="52"/>
      <c r="BF179" s="51" t="str">
        <f>IF(Table43[[#This Row],[SATUAN Fix Win]]&lt;&gt;"","KRT")</f>
        <v>KRT</v>
      </c>
      <c r="BG179" s="51" t="str">
        <f>IF(Table43[[#This Row],[SATUAN Fix Win]]&lt;&gt;"","GD01")</f>
        <v>GD01</v>
      </c>
      <c r="BH179" s="51">
        <f>IF(Table43[[#This Row],[SATUAN Fix Win]]&lt;&gt;"",11611)</f>
        <v>11611</v>
      </c>
      <c r="BI179" s="51">
        <f>IF(Table43[[#This Row],[SATUAN Fix Win]]&lt;&gt;"",11612)</f>
        <v>11612</v>
      </c>
      <c r="BJ179" s="63"/>
      <c r="BK179" s="51">
        <f>IF(Table43[[#This Row],[SATUAN Fix Win]]&lt;&gt;"",1)</f>
        <v>1</v>
      </c>
      <c r="BL179" s="51"/>
      <c r="BM179" s="51"/>
      <c r="BN179" s="51"/>
      <c r="BO179" s="51"/>
    </row>
    <row r="180" spans="1:67">
      <c r="A180" s="4" t="str">
        <f>CONCATENATE(Table43[[#This Row],[Kode BARANG Win2]],Table43[[#This Row],[No. Urut
Item Sama]])</f>
        <v>K11110040100101</v>
      </c>
      <c r="B180" s="7">
        <v>1</v>
      </c>
      <c r="D180" s="28" t="s">
        <v>941</v>
      </c>
      <c r="E180" s="28"/>
      <c r="F180" s="28" t="s">
        <v>3005</v>
      </c>
      <c r="G180" s="78">
        <v>36</v>
      </c>
      <c r="H180" s="43"/>
      <c r="I180" s="28" t="str">
        <f>Table43[[#This Row],[Nama Jenis Kemasan]]</f>
        <v>BTL</v>
      </c>
      <c r="J180" s="4" t="str">
        <f>TRIM(CONCATENATE(Table43[[#This Row],[Nama            KLP]]," ",Table43[[#This Row],[Nama            Sub KLP]]))</f>
        <v>ESKULIN COLOGNE</v>
      </c>
      <c r="K180" s="4" t="str">
        <f>CONCATENATE(Table43[[#This Row],[kode  2 Digit                (hrf+No)]],Table43[[#This Row],[kode  2 Digit                (Nomor)]],Table43[[#This Row],[kode  1 Digit                (Nomor)]])</f>
        <v>K1111</v>
      </c>
      <c r="L180" s="4" t="str">
        <f t="shared" si="9"/>
        <v>K1111004010010</v>
      </c>
      <c r="M180" s="11">
        <f t="shared" si="10"/>
        <v>14</v>
      </c>
      <c r="N180" s="14" t="str">
        <f>IF(AF180&lt;&gt;"",TRIM(UPPER(CONCATENATE(P180," ",R180," ",T180," ",V180," ",X180," ",Z180," ","X"," ",Table43[[#This Row],[ISI/CTN]]," ",AF180," ",AB180," ",AD180," ",AH180))),TRIM(UPPER(CONCATENATE(P180," ",R180," ",T180," ",V180," ",X180," ",Z180," ","X"," ",Table43[[#This Row],[ISI/CTN]]," ",AB180," ",AD180," ",AH180))))</f>
        <v>KNF ESKULIN COLOGNE GEL WEDNESDAY 100ML X 36 BTL</v>
      </c>
      <c r="O180" s="11">
        <f t="shared" si="11"/>
        <v>48</v>
      </c>
      <c r="P180" s="4" t="s">
        <v>97</v>
      </c>
      <c r="Q180" s="7" t="s">
        <v>98</v>
      </c>
      <c r="R180" s="4" t="s">
        <v>3703</v>
      </c>
      <c r="S180" s="44" t="s">
        <v>3550</v>
      </c>
      <c r="T180" s="45" t="s">
        <v>3704</v>
      </c>
      <c r="U180" s="7" t="s">
        <v>2656</v>
      </c>
      <c r="V180" s="45" t="s">
        <v>2961</v>
      </c>
      <c r="W180" s="44" t="s">
        <v>2900</v>
      </c>
      <c r="X180" s="4" t="s">
        <v>3710</v>
      </c>
      <c r="Y180" s="46" t="s">
        <v>2474</v>
      </c>
      <c r="Z180" s="4" t="s">
        <v>3588</v>
      </c>
      <c r="AA180" s="46" t="s">
        <v>2487</v>
      </c>
      <c r="AB180" s="4" t="s">
        <v>357</v>
      </c>
      <c r="AC180" s="7" t="s">
        <v>2656</v>
      </c>
      <c r="AD180" s="4" t="s">
        <v>2961</v>
      </c>
      <c r="AE180" s="7" t="s">
        <v>2900</v>
      </c>
      <c r="AF180" s="7" t="s">
        <v>2961</v>
      </c>
      <c r="AG180" s="7" t="s">
        <v>2961</v>
      </c>
      <c r="AI180" s="7" t="s">
        <v>4100</v>
      </c>
      <c r="AJ180" s="7" t="s">
        <v>2656</v>
      </c>
      <c r="AK180" s="41">
        <f>Table43[[#This Row],[Harga Jual Pcs GT
(-PPN)]]-(Table43[[#This Row],[Harga Jual Pcs GT
(-PPN)]]*10%)</f>
        <v>0</v>
      </c>
      <c r="AL180" s="42">
        <f>Table43[[#This Row],[Harga Beli Pcs
(-PPN)]]*Table43[[#This Row],[ISI/CTN]]</f>
        <v>0</v>
      </c>
      <c r="AM180" s="42">
        <f>Table43[[#This Row],[Harga Beli Pcs
(-PPN)]]*1.11</f>
        <v>0</v>
      </c>
      <c r="AN180" s="42">
        <f>Table43[[#This Row],[Harga Beli Krt
(- PPN)]]*1.11</f>
        <v>0</v>
      </c>
      <c r="AO180" s="42"/>
      <c r="AP180" s="42">
        <f>Table43[[#This Row],[Harga Jual Pcs GT
(-PPN)]]*Table43[[#This Row],[ISI/CTN]]</f>
        <v>0</v>
      </c>
      <c r="AQ180" s="42">
        <f>Table43[[#This Row],[Harga Jual Pcs GT
(-PPN)]]*1.11</f>
        <v>0</v>
      </c>
      <c r="AR180" s="42">
        <f>Table43[[#This Row],[Harga Jual Krt GT
(- PPN)]]*1.11</f>
        <v>0</v>
      </c>
      <c r="AS180" s="42">
        <f>Table43[[#This Row],[Harga Jual Pcs GT
(-PPN)]]</f>
        <v>0</v>
      </c>
      <c r="AT180" s="42">
        <f>(Table43[[#This Row],[Harga Jual Pcs MT
(-PPN)]]*Table43[[#This Row],[ISI/CTN]])</f>
        <v>0</v>
      </c>
      <c r="AU180" s="42">
        <f>Table43[[#This Row],[Harga Jual Pcs MT
(-PPN)]]*1.11</f>
        <v>0</v>
      </c>
      <c r="AV180" s="42">
        <f>Table43[[#This Row],[Harga Jual Pcs MT
(+PPN)]]*Table43[[#This Row],[ISI/CTN]]</f>
        <v>0</v>
      </c>
      <c r="AW180" s="47"/>
      <c r="AX180" s="7"/>
      <c r="AY180" s="7" t="str">
        <f ca="1">IF(TODAY()-Table43[[#This Row],[Efektif
Pembuatan]]&gt;60,"Lama","Baru")</f>
        <v>Lama</v>
      </c>
      <c r="AZ180" s="7" t="str">
        <f ca="1">IF(TODAY()-Table43[[#This Row],[Efektif Naik Harga]]&lt;30,"Naik","Sama")</f>
        <v>Sama</v>
      </c>
      <c r="BA180" s="7" t="str">
        <f>IF(Table43[[#This Row],[Kode BARANG Win2]]&lt;&gt;"","IDR","")</f>
        <v>IDR</v>
      </c>
      <c r="BB180" s="7" t="str">
        <f>CONCATENATE(Table43[[#This Row],[kode  1 Digit
(Nomor)]],Table43[[#This Row],[kode  4 Digit                (Nomor)]])</f>
        <v>10100</v>
      </c>
      <c r="BC180" s="7" t="str">
        <f>Table43[[#This Row],[Nama            Gramasi atau Jumlah Pack per CTN]]</f>
        <v>100ML</v>
      </c>
      <c r="BD180" s="7"/>
      <c r="BE180" s="7"/>
      <c r="BF180" s="4" t="str">
        <f>IF(Table43[[#This Row],[SATUAN Fix Win]]&lt;&gt;"","KRT")</f>
        <v>KRT</v>
      </c>
      <c r="BG180" s="4" t="str">
        <f>IF(Table43[[#This Row],[SATUAN Fix Win]]&lt;&gt;"","GD01")</f>
        <v>GD01</v>
      </c>
      <c r="BH180" s="4">
        <f>IF(Table43[[#This Row],[SATUAN Fix Win]]&lt;&gt;"",11611)</f>
        <v>11611</v>
      </c>
      <c r="BI180" s="4">
        <f>IF(Table43[[#This Row],[SATUAN Fix Win]]&lt;&gt;"",11612)</f>
        <v>11612</v>
      </c>
      <c r="BJ180" s="48"/>
      <c r="BK180" s="4">
        <f>IF(Table43[[#This Row],[SATUAN Fix Win]]&lt;&gt;"",1)</f>
        <v>1</v>
      </c>
    </row>
    <row r="181" spans="1:67">
      <c r="A181" s="4" t="str">
        <f>CONCATENATE(Table43[[#This Row],[Kode BARANG Win2]],Table43[[#This Row],[No. Urut
Item Sama]])</f>
        <v>K11110050050101</v>
      </c>
      <c r="B181" s="7">
        <v>1</v>
      </c>
      <c r="D181" s="28" t="s">
        <v>4060</v>
      </c>
      <c r="E181" s="28"/>
      <c r="F181" s="28">
        <v>0</v>
      </c>
      <c r="G181" s="78">
        <v>36</v>
      </c>
      <c r="H181" s="43"/>
      <c r="I181" s="28" t="str">
        <f>Table43[[#This Row],[Nama Jenis Kemasan]]</f>
        <v>BTL</v>
      </c>
      <c r="J181" s="4" t="str">
        <f>TRIM(CONCATENATE(Table43[[#This Row],[Nama            KLP]]," ",Table43[[#This Row],[Nama            Sub KLP]]))</f>
        <v>ESKULIN COLOGNE</v>
      </c>
      <c r="K181" s="4" t="str">
        <f>CONCATENATE(Table43[[#This Row],[kode  2 Digit                (hrf+No)]],Table43[[#This Row],[kode  2 Digit                (Nomor)]],Table43[[#This Row],[kode  1 Digit                (Nomor)]])</f>
        <v>K1111</v>
      </c>
      <c r="L181" s="4" t="str">
        <f t="shared" si="9"/>
        <v>K1111005005010</v>
      </c>
      <c r="M181" s="11">
        <f t="shared" si="10"/>
        <v>14</v>
      </c>
      <c r="N181" s="14" t="str">
        <f>IF(AF181&lt;&gt;"",TRIM(UPPER(CONCATENATE(P181," ",R181," ",T181," ",V181," ",X181," ",Z181," ","X"," ",Table43[[#This Row],[ISI/CTN]]," ",AF181," ",AB181," ",AD181," ",AH181))),TRIM(UPPER(CONCATENATE(P181," ",R181," ",T181," ",V181," ",X181," ",Z181," ","X"," ",Table43[[#This Row],[ISI/CTN]]," ",AB181," ",AD181," ",AH181))))</f>
        <v>KNF ESKULIN COLOGNE AMUSING VANILLA 50ML X 36 BTL</v>
      </c>
      <c r="O181" s="11">
        <f t="shared" si="11"/>
        <v>49</v>
      </c>
      <c r="P181" s="4" t="s">
        <v>97</v>
      </c>
      <c r="Q181" s="7" t="s">
        <v>98</v>
      </c>
      <c r="R181" s="4" t="s">
        <v>3703</v>
      </c>
      <c r="S181" s="44" t="s">
        <v>3550</v>
      </c>
      <c r="T181" s="45" t="s">
        <v>3704</v>
      </c>
      <c r="U181" s="7" t="s">
        <v>2656</v>
      </c>
      <c r="V181" s="45" t="s">
        <v>2961</v>
      </c>
      <c r="W181" s="44" t="s">
        <v>2900</v>
      </c>
      <c r="X181" s="4" t="s">
        <v>3711</v>
      </c>
      <c r="Y181" s="46" t="s">
        <v>2475</v>
      </c>
      <c r="Z181" s="4" t="s">
        <v>3654</v>
      </c>
      <c r="AA181" s="46" t="s">
        <v>2490</v>
      </c>
      <c r="AB181" s="4" t="s">
        <v>357</v>
      </c>
      <c r="AC181" s="7" t="s">
        <v>2656</v>
      </c>
      <c r="AD181" s="4" t="s">
        <v>2961</v>
      </c>
      <c r="AE181" s="7" t="s">
        <v>2900</v>
      </c>
      <c r="AF181" s="7" t="s">
        <v>2961</v>
      </c>
      <c r="AG181" s="7" t="s">
        <v>2961</v>
      </c>
      <c r="AI181" s="7" t="s">
        <v>4100</v>
      </c>
      <c r="AJ181" s="7" t="s">
        <v>2656</v>
      </c>
      <c r="AK181" s="41">
        <f>Table43[[#This Row],[Harga Jual Pcs GT
(-PPN)]]-(Table43[[#This Row],[Harga Jual Pcs GT
(-PPN)]]*10%)</f>
        <v>0</v>
      </c>
      <c r="AL181" s="42">
        <f>Table43[[#This Row],[Harga Beli Pcs
(-PPN)]]*Table43[[#This Row],[ISI/CTN]]</f>
        <v>0</v>
      </c>
      <c r="AM181" s="42">
        <f>Table43[[#This Row],[Harga Beli Pcs
(-PPN)]]*1.11</f>
        <v>0</v>
      </c>
      <c r="AN181" s="42">
        <f>Table43[[#This Row],[Harga Beli Krt
(- PPN)]]*1.11</f>
        <v>0</v>
      </c>
      <c r="AO181" s="42"/>
      <c r="AP181" s="42">
        <f>Table43[[#This Row],[Harga Jual Pcs GT
(-PPN)]]*Table43[[#This Row],[ISI/CTN]]</f>
        <v>0</v>
      </c>
      <c r="AQ181" s="42">
        <f>Table43[[#This Row],[Harga Jual Pcs GT
(-PPN)]]*1.11</f>
        <v>0</v>
      </c>
      <c r="AR181" s="42">
        <f>Table43[[#This Row],[Harga Jual Krt GT
(- PPN)]]*1.11</f>
        <v>0</v>
      </c>
      <c r="AS181" s="42">
        <f>Table43[[#This Row],[Harga Jual Pcs GT
(-PPN)]]</f>
        <v>0</v>
      </c>
      <c r="AT181" s="42">
        <f>(Table43[[#This Row],[Harga Jual Pcs MT
(-PPN)]]*Table43[[#This Row],[ISI/CTN]])</f>
        <v>0</v>
      </c>
      <c r="AU181" s="42">
        <f>Table43[[#This Row],[Harga Jual Pcs MT
(-PPN)]]*1.11</f>
        <v>0</v>
      </c>
      <c r="AV181" s="42">
        <f>Table43[[#This Row],[Harga Jual Pcs MT
(+PPN)]]*Table43[[#This Row],[ISI/CTN]]</f>
        <v>0</v>
      </c>
      <c r="AW181" s="47"/>
      <c r="AX181" s="7"/>
      <c r="AY181" s="7" t="str">
        <f ca="1">IF(TODAY()-Table43[[#This Row],[Efektif
Pembuatan]]&gt;60,"Lama","Baru")</f>
        <v>Lama</v>
      </c>
      <c r="AZ181" s="7" t="str">
        <f ca="1">IF(TODAY()-Table43[[#This Row],[Efektif Naik Harga]]&lt;30,"Naik","Sama")</f>
        <v>Sama</v>
      </c>
      <c r="BA181" s="7" t="str">
        <f>IF(Table43[[#This Row],[Kode BARANG Win2]]&lt;&gt;"","IDR","")</f>
        <v>IDR</v>
      </c>
      <c r="BB181" s="7" t="str">
        <f>CONCATENATE(Table43[[#This Row],[kode  1 Digit
(Nomor)]],Table43[[#This Row],[kode  4 Digit                (Nomor)]])</f>
        <v>10050</v>
      </c>
      <c r="BC181" s="7" t="str">
        <f>Table43[[#This Row],[Nama            Gramasi atau Jumlah Pack per CTN]]</f>
        <v>50ML</v>
      </c>
      <c r="BD181" s="7"/>
      <c r="BE181" s="7"/>
      <c r="BF181" s="4" t="str">
        <f>IF(Table43[[#This Row],[SATUAN Fix Win]]&lt;&gt;"","KRT")</f>
        <v>KRT</v>
      </c>
      <c r="BG181" s="4" t="str">
        <f>IF(Table43[[#This Row],[SATUAN Fix Win]]&lt;&gt;"","GD01")</f>
        <v>GD01</v>
      </c>
      <c r="BH181" s="4">
        <f>IF(Table43[[#This Row],[SATUAN Fix Win]]&lt;&gt;"",11611)</f>
        <v>11611</v>
      </c>
      <c r="BI181" s="4">
        <f>IF(Table43[[#This Row],[SATUAN Fix Win]]&lt;&gt;"",11612)</f>
        <v>11612</v>
      </c>
      <c r="BJ181" s="48"/>
      <c r="BK181" s="4">
        <f>IF(Table43[[#This Row],[SATUAN Fix Win]]&lt;&gt;"",1)</f>
        <v>1</v>
      </c>
    </row>
    <row r="182" spans="1:67">
      <c r="A182" s="4" t="str">
        <f>CONCATENATE(Table43[[#This Row],[Kode BARANG Win2]],Table43[[#This Row],[No. Urut
Item Sama]])</f>
        <v>K11110050050101</v>
      </c>
      <c r="B182" s="7">
        <v>1</v>
      </c>
      <c r="D182" s="28" t="s">
        <v>4061</v>
      </c>
      <c r="E182" s="28"/>
      <c r="F182" s="28">
        <v>0</v>
      </c>
      <c r="G182" s="78">
        <v>36</v>
      </c>
      <c r="H182" s="43"/>
      <c r="I182" s="28" t="str">
        <f>Table43[[#This Row],[Nama Jenis Kemasan]]</f>
        <v>BTL</v>
      </c>
      <c r="J182" s="4" t="str">
        <f>TRIM(CONCATENATE(Table43[[#This Row],[Nama            KLP]]," ",Table43[[#This Row],[Nama            Sub KLP]]))</f>
        <v>ESKULIN COLOGNE</v>
      </c>
      <c r="K182" s="4" t="str">
        <f>CONCATENATE(Table43[[#This Row],[kode  2 Digit                (hrf+No)]],Table43[[#This Row],[kode  2 Digit                (Nomor)]],Table43[[#This Row],[kode  1 Digit                (Nomor)]])</f>
        <v>K1111</v>
      </c>
      <c r="L182" s="4" t="str">
        <f t="shared" si="9"/>
        <v>K1111005005010</v>
      </c>
      <c r="M182" s="11">
        <f t="shared" si="10"/>
        <v>14</v>
      </c>
      <c r="N182" s="14" t="str">
        <f>IF(AF182&lt;&gt;"",TRIM(UPPER(CONCATENATE(P182," ",R182," ",T182," ",V182," ",X182," ",Z182," ","X"," ",Table43[[#This Row],[ISI/CTN]]," ",AF182," ",AB182," ",AD182," ",AH182))),TRIM(UPPER(CONCATENATE(P182," ",R182," ",T182," ",V182," ",X182," ",Z182," ","X"," ",Table43[[#This Row],[ISI/CTN]]," ",AB182," ",AD182," ",AH182))))</f>
        <v>KNF ESKULIN COLOGNE AMUSING VANILLA 50ML X 36 BTL</v>
      </c>
      <c r="O182" s="11">
        <f t="shared" si="11"/>
        <v>49</v>
      </c>
      <c r="P182" s="4" t="s">
        <v>97</v>
      </c>
      <c r="Q182" s="7" t="s">
        <v>98</v>
      </c>
      <c r="R182" s="4" t="s">
        <v>3703</v>
      </c>
      <c r="S182" s="44" t="s">
        <v>3550</v>
      </c>
      <c r="T182" s="45" t="s">
        <v>3704</v>
      </c>
      <c r="U182" s="7" t="s">
        <v>2656</v>
      </c>
      <c r="V182" s="45" t="s">
        <v>2961</v>
      </c>
      <c r="W182" s="44" t="s">
        <v>2900</v>
      </c>
      <c r="X182" s="4" t="s">
        <v>3711</v>
      </c>
      <c r="Y182" s="46" t="s">
        <v>2475</v>
      </c>
      <c r="Z182" s="4" t="s">
        <v>3654</v>
      </c>
      <c r="AA182" s="46" t="s">
        <v>2490</v>
      </c>
      <c r="AB182" s="4" t="s">
        <v>357</v>
      </c>
      <c r="AC182" s="7" t="s">
        <v>2656</v>
      </c>
      <c r="AD182" s="4" t="s">
        <v>2961</v>
      </c>
      <c r="AE182" s="7" t="s">
        <v>2900</v>
      </c>
      <c r="AF182" s="7" t="s">
        <v>2961</v>
      </c>
      <c r="AG182" s="7" t="s">
        <v>2961</v>
      </c>
      <c r="AI182" s="7" t="s">
        <v>4100</v>
      </c>
      <c r="AJ182" s="7" t="s">
        <v>2656</v>
      </c>
      <c r="AK182" s="41">
        <f>Table43[[#This Row],[Harga Jual Pcs GT
(-PPN)]]-(Table43[[#This Row],[Harga Jual Pcs GT
(-PPN)]]*10%)</f>
        <v>0</v>
      </c>
      <c r="AL182" s="42">
        <f>Table43[[#This Row],[Harga Beli Pcs
(-PPN)]]*Table43[[#This Row],[ISI/CTN]]</f>
        <v>0</v>
      </c>
      <c r="AM182" s="42">
        <f>Table43[[#This Row],[Harga Beli Pcs
(-PPN)]]*1.11</f>
        <v>0</v>
      </c>
      <c r="AN182" s="42">
        <f>Table43[[#This Row],[Harga Beli Krt
(- PPN)]]*1.11</f>
        <v>0</v>
      </c>
      <c r="AO182" s="42"/>
      <c r="AP182" s="42">
        <f>Table43[[#This Row],[Harga Jual Pcs GT
(-PPN)]]*Table43[[#This Row],[ISI/CTN]]</f>
        <v>0</v>
      </c>
      <c r="AQ182" s="42">
        <f>Table43[[#This Row],[Harga Jual Pcs GT
(-PPN)]]*1.11</f>
        <v>0</v>
      </c>
      <c r="AR182" s="42">
        <f>Table43[[#This Row],[Harga Jual Krt GT
(- PPN)]]*1.11</f>
        <v>0</v>
      </c>
      <c r="AS182" s="42">
        <f>Table43[[#This Row],[Harga Jual Pcs GT
(-PPN)]]</f>
        <v>0</v>
      </c>
      <c r="AT182" s="42">
        <f>(Table43[[#This Row],[Harga Jual Pcs MT
(-PPN)]]*Table43[[#This Row],[ISI/CTN]])</f>
        <v>0</v>
      </c>
      <c r="AU182" s="42">
        <f>Table43[[#This Row],[Harga Jual Pcs MT
(-PPN)]]*1.11</f>
        <v>0</v>
      </c>
      <c r="AV182" s="42">
        <f>Table43[[#This Row],[Harga Jual Pcs MT
(+PPN)]]*Table43[[#This Row],[ISI/CTN]]</f>
        <v>0</v>
      </c>
      <c r="AW182" s="47"/>
      <c r="AX182" s="7"/>
      <c r="AY182" s="7" t="str">
        <f ca="1">IF(TODAY()-Table43[[#This Row],[Efektif
Pembuatan]]&gt;60,"Lama","Baru")</f>
        <v>Lama</v>
      </c>
      <c r="AZ182" s="7" t="str">
        <f ca="1">IF(TODAY()-Table43[[#This Row],[Efektif Naik Harga]]&lt;30,"Naik","Sama")</f>
        <v>Sama</v>
      </c>
      <c r="BA182" s="7" t="str">
        <f>IF(Table43[[#This Row],[Kode BARANG Win2]]&lt;&gt;"","IDR","")</f>
        <v>IDR</v>
      </c>
      <c r="BB182" s="7" t="str">
        <f>CONCATENATE(Table43[[#This Row],[kode  1 Digit
(Nomor)]],Table43[[#This Row],[kode  4 Digit                (Nomor)]])</f>
        <v>10050</v>
      </c>
      <c r="BC182" s="7" t="str">
        <f>Table43[[#This Row],[Nama            Gramasi atau Jumlah Pack per CTN]]</f>
        <v>50ML</v>
      </c>
      <c r="BD182" s="7"/>
      <c r="BE182" s="7"/>
      <c r="BF182" s="4" t="str">
        <f>IF(Table43[[#This Row],[SATUAN Fix Win]]&lt;&gt;"","KRT")</f>
        <v>KRT</v>
      </c>
      <c r="BG182" s="4" t="str">
        <f>IF(Table43[[#This Row],[SATUAN Fix Win]]&lt;&gt;"","GD01")</f>
        <v>GD01</v>
      </c>
      <c r="BH182" s="4">
        <f>IF(Table43[[#This Row],[SATUAN Fix Win]]&lt;&gt;"",11611)</f>
        <v>11611</v>
      </c>
      <c r="BI182" s="4">
        <f>IF(Table43[[#This Row],[SATUAN Fix Win]]&lt;&gt;"",11612)</f>
        <v>11612</v>
      </c>
      <c r="BJ182" s="48"/>
      <c r="BK182" s="4">
        <f>IF(Table43[[#This Row],[SATUAN Fix Win]]&lt;&gt;"",1)</f>
        <v>1</v>
      </c>
    </row>
    <row r="183" spans="1:67">
      <c r="A183" s="4" t="str">
        <f>CONCATENATE(Table43[[#This Row],[Kode BARANG Win2]],Table43[[#This Row],[No. Urut
Item Sama]])</f>
        <v>K11110050100101</v>
      </c>
      <c r="B183" s="7">
        <v>1</v>
      </c>
      <c r="D183" s="28" t="s">
        <v>937</v>
      </c>
      <c r="E183" s="28"/>
      <c r="F183" s="28" t="s">
        <v>3007</v>
      </c>
      <c r="G183" s="78">
        <v>36</v>
      </c>
      <c r="H183" s="43"/>
      <c r="I183" s="28" t="str">
        <f>Table43[[#This Row],[Nama Jenis Kemasan]]</f>
        <v>BTL</v>
      </c>
      <c r="J183" s="4" t="str">
        <f>TRIM(CONCATENATE(Table43[[#This Row],[Nama            KLP]]," ",Table43[[#This Row],[Nama            Sub KLP]]))</f>
        <v>ESKULIN COLOGNE</v>
      </c>
      <c r="K183" s="4" t="str">
        <f>CONCATENATE(Table43[[#This Row],[kode  2 Digit                (hrf+No)]],Table43[[#This Row],[kode  2 Digit                (Nomor)]],Table43[[#This Row],[kode  1 Digit                (Nomor)]])</f>
        <v>K1111</v>
      </c>
      <c r="L183" s="4" t="str">
        <f t="shared" si="9"/>
        <v>K1111005010010</v>
      </c>
      <c r="M183" s="11">
        <f t="shared" si="10"/>
        <v>14</v>
      </c>
      <c r="N183" s="14" t="str">
        <f>IF(AF183&lt;&gt;"",TRIM(UPPER(CONCATENATE(P183," ",R183," ",T183," ",V183," ",X183," ",Z183," ","X"," ",Table43[[#This Row],[ISI/CTN]]," ",AF183," ",AB183," ",AD183," ",AH183))),TRIM(UPPER(CONCATENATE(P183," ",R183," ",T183," ",V183," ",X183," ",Z183," ","X"," ",Table43[[#This Row],[ISI/CTN]]," ",AB183," ",AD183," ",AH183))))</f>
        <v>KNF ESKULIN COLOGNE GEL THURSDAY 100ML X 36 BTL</v>
      </c>
      <c r="O183" s="11">
        <f t="shared" si="11"/>
        <v>47</v>
      </c>
      <c r="P183" s="4" t="s">
        <v>97</v>
      </c>
      <c r="Q183" s="7" t="s">
        <v>98</v>
      </c>
      <c r="R183" s="4" t="s">
        <v>3703</v>
      </c>
      <c r="S183" s="44" t="s">
        <v>3550</v>
      </c>
      <c r="T183" s="45" t="s">
        <v>3704</v>
      </c>
      <c r="U183" s="7" t="s">
        <v>2656</v>
      </c>
      <c r="V183" s="45" t="s">
        <v>2961</v>
      </c>
      <c r="W183" s="44" t="s">
        <v>2900</v>
      </c>
      <c r="X183" s="4" t="s">
        <v>3712</v>
      </c>
      <c r="Y183" s="46" t="s">
        <v>2475</v>
      </c>
      <c r="Z183" s="4" t="s">
        <v>3588</v>
      </c>
      <c r="AA183" s="46" t="s">
        <v>2487</v>
      </c>
      <c r="AB183" s="4" t="s">
        <v>357</v>
      </c>
      <c r="AC183" s="7" t="s">
        <v>2656</v>
      </c>
      <c r="AD183" s="4" t="s">
        <v>2961</v>
      </c>
      <c r="AE183" s="7" t="s">
        <v>2900</v>
      </c>
      <c r="AF183" s="7" t="s">
        <v>2961</v>
      </c>
      <c r="AG183" s="7" t="s">
        <v>2961</v>
      </c>
      <c r="AI183" s="7" t="s">
        <v>4100</v>
      </c>
      <c r="AJ183" s="7" t="s">
        <v>2656</v>
      </c>
      <c r="AK183" s="41">
        <f>Table43[[#This Row],[Harga Jual Pcs GT
(-PPN)]]-(Table43[[#This Row],[Harga Jual Pcs GT
(-PPN)]]*10%)</f>
        <v>0</v>
      </c>
      <c r="AL183" s="42">
        <f>Table43[[#This Row],[Harga Beli Pcs
(-PPN)]]*Table43[[#This Row],[ISI/CTN]]</f>
        <v>0</v>
      </c>
      <c r="AM183" s="42">
        <f>Table43[[#This Row],[Harga Beli Pcs
(-PPN)]]*1.11</f>
        <v>0</v>
      </c>
      <c r="AN183" s="42">
        <f>Table43[[#This Row],[Harga Beli Krt
(- PPN)]]*1.11</f>
        <v>0</v>
      </c>
      <c r="AO183" s="42"/>
      <c r="AP183" s="42">
        <f>Table43[[#This Row],[Harga Jual Pcs GT
(-PPN)]]*Table43[[#This Row],[ISI/CTN]]</f>
        <v>0</v>
      </c>
      <c r="AQ183" s="42">
        <f>Table43[[#This Row],[Harga Jual Pcs GT
(-PPN)]]*1.11</f>
        <v>0</v>
      </c>
      <c r="AR183" s="42">
        <f>Table43[[#This Row],[Harga Jual Krt GT
(- PPN)]]*1.11</f>
        <v>0</v>
      </c>
      <c r="AS183" s="42">
        <f>Table43[[#This Row],[Harga Jual Pcs GT
(-PPN)]]</f>
        <v>0</v>
      </c>
      <c r="AT183" s="42">
        <f>(Table43[[#This Row],[Harga Jual Pcs MT
(-PPN)]]*Table43[[#This Row],[ISI/CTN]])</f>
        <v>0</v>
      </c>
      <c r="AU183" s="42">
        <f>Table43[[#This Row],[Harga Jual Pcs MT
(-PPN)]]*1.11</f>
        <v>0</v>
      </c>
      <c r="AV183" s="42">
        <f>Table43[[#This Row],[Harga Jual Pcs MT
(+PPN)]]*Table43[[#This Row],[ISI/CTN]]</f>
        <v>0</v>
      </c>
      <c r="AW183" s="47"/>
      <c r="AX183" s="7"/>
      <c r="AY183" s="7" t="str">
        <f ca="1">IF(TODAY()-Table43[[#This Row],[Efektif
Pembuatan]]&gt;60,"Lama","Baru")</f>
        <v>Lama</v>
      </c>
      <c r="AZ183" s="7" t="str">
        <f ca="1">IF(TODAY()-Table43[[#This Row],[Efektif Naik Harga]]&lt;30,"Naik","Sama")</f>
        <v>Sama</v>
      </c>
      <c r="BA183" s="7" t="str">
        <f>IF(Table43[[#This Row],[Kode BARANG Win2]]&lt;&gt;"","IDR","")</f>
        <v>IDR</v>
      </c>
      <c r="BB183" s="7" t="str">
        <f>CONCATENATE(Table43[[#This Row],[kode  1 Digit
(Nomor)]],Table43[[#This Row],[kode  4 Digit                (Nomor)]])</f>
        <v>10100</v>
      </c>
      <c r="BC183" s="7" t="str">
        <f>Table43[[#This Row],[Nama            Gramasi atau Jumlah Pack per CTN]]</f>
        <v>100ML</v>
      </c>
      <c r="BD183" s="7"/>
      <c r="BE183" s="7"/>
      <c r="BF183" s="4" t="str">
        <f>IF(Table43[[#This Row],[SATUAN Fix Win]]&lt;&gt;"","KRT")</f>
        <v>KRT</v>
      </c>
      <c r="BG183" s="4" t="str">
        <f>IF(Table43[[#This Row],[SATUAN Fix Win]]&lt;&gt;"","GD01")</f>
        <v>GD01</v>
      </c>
      <c r="BH183" s="4">
        <f>IF(Table43[[#This Row],[SATUAN Fix Win]]&lt;&gt;"",11611)</f>
        <v>11611</v>
      </c>
      <c r="BI183" s="4">
        <f>IF(Table43[[#This Row],[SATUAN Fix Win]]&lt;&gt;"",11612)</f>
        <v>11612</v>
      </c>
      <c r="BJ183" s="48"/>
      <c r="BK183" s="4">
        <f>IF(Table43[[#This Row],[SATUAN Fix Win]]&lt;&gt;"",1)</f>
        <v>1</v>
      </c>
    </row>
    <row r="184" spans="1:67">
      <c r="A184" s="4" t="str">
        <f>CONCATENATE(Table43[[#This Row],[Kode BARANG Win2]],Table43[[#This Row],[No. Urut
Item Sama]])</f>
        <v>K11110060050101</v>
      </c>
      <c r="B184" s="7">
        <v>1</v>
      </c>
      <c r="D184" s="28" t="s">
        <v>4062</v>
      </c>
      <c r="E184" s="28"/>
      <c r="F184" s="28">
        <v>0</v>
      </c>
      <c r="G184" s="78">
        <v>36</v>
      </c>
      <c r="H184" s="43"/>
      <c r="I184" s="28" t="str">
        <f>Table43[[#This Row],[Nama Jenis Kemasan]]</f>
        <v>BTL</v>
      </c>
      <c r="J184" s="4" t="str">
        <f>TRIM(CONCATENATE(Table43[[#This Row],[Nama            KLP]]," ",Table43[[#This Row],[Nama            Sub KLP]]))</f>
        <v>ESKULIN COLOGNE</v>
      </c>
      <c r="K184" s="4" t="str">
        <f>CONCATENATE(Table43[[#This Row],[kode  2 Digit                (hrf+No)]],Table43[[#This Row],[kode  2 Digit                (Nomor)]],Table43[[#This Row],[kode  1 Digit                (Nomor)]])</f>
        <v>K1111</v>
      </c>
      <c r="L184" s="4" t="str">
        <f t="shared" si="9"/>
        <v>K1111006005010</v>
      </c>
      <c r="M184" s="11">
        <f t="shared" si="10"/>
        <v>14</v>
      </c>
      <c r="N184" s="14" t="str">
        <f>IF(AF184&lt;&gt;"",TRIM(UPPER(CONCATENATE(P184," ",R184," ",T184," ",V184," ",X184," ",Z184," ","X"," ",Table43[[#This Row],[ISI/CTN]]," ",AF184," ",AB184," ",AD184," ",AH184))),TRIM(UPPER(CONCATENATE(P184," ",R184," ",T184," ",V184," ",X184," ",Z184," ","X"," ",Table43[[#This Row],[ISI/CTN]]," ",AB184," ",AD184," ",AH184))))</f>
        <v>KNF ESKULIN COLOGNE CONFIDENT PEACH 50ML X 36 BTL</v>
      </c>
      <c r="O184" s="11">
        <f t="shared" si="11"/>
        <v>49</v>
      </c>
      <c r="P184" s="4" t="s">
        <v>97</v>
      </c>
      <c r="Q184" s="7" t="s">
        <v>98</v>
      </c>
      <c r="R184" s="4" t="s">
        <v>3703</v>
      </c>
      <c r="S184" s="44" t="s">
        <v>3550</v>
      </c>
      <c r="T184" s="45" t="s">
        <v>3704</v>
      </c>
      <c r="U184" s="7" t="s">
        <v>2656</v>
      </c>
      <c r="V184" s="45" t="s">
        <v>2961</v>
      </c>
      <c r="W184" s="44" t="s">
        <v>2900</v>
      </c>
      <c r="X184" s="4" t="s">
        <v>3713</v>
      </c>
      <c r="Y184" s="46" t="s">
        <v>2476</v>
      </c>
      <c r="Z184" s="4" t="s">
        <v>3654</v>
      </c>
      <c r="AA184" s="46" t="s">
        <v>2490</v>
      </c>
      <c r="AB184" s="4" t="s">
        <v>357</v>
      </c>
      <c r="AC184" s="7" t="s">
        <v>2656</v>
      </c>
      <c r="AD184" s="4" t="s">
        <v>2961</v>
      </c>
      <c r="AE184" s="7" t="s">
        <v>2900</v>
      </c>
      <c r="AF184" s="7" t="s">
        <v>2961</v>
      </c>
      <c r="AG184" s="7" t="s">
        <v>2961</v>
      </c>
      <c r="AI184" s="7" t="s">
        <v>4100</v>
      </c>
      <c r="AJ184" s="7" t="s">
        <v>2656</v>
      </c>
      <c r="AK184" s="41">
        <f>Table43[[#This Row],[Harga Jual Pcs GT
(-PPN)]]-(Table43[[#This Row],[Harga Jual Pcs GT
(-PPN)]]*10%)</f>
        <v>0</v>
      </c>
      <c r="AL184" s="42">
        <f>Table43[[#This Row],[Harga Beli Pcs
(-PPN)]]*Table43[[#This Row],[ISI/CTN]]</f>
        <v>0</v>
      </c>
      <c r="AM184" s="42">
        <f>Table43[[#This Row],[Harga Beli Pcs
(-PPN)]]*1.11</f>
        <v>0</v>
      </c>
      <c r="AN184" s="42">
        <f>Table43[[#This Row],[Harga Beli Krt
(- PPN)]]*1.11</f>
        <v>0</v>
      </c>
      <c r="AO184" s="42"/>
      <c r="AP184" s="42">
        <f>Table43[[#This Row],[Harga Jual Pcs GT
(-PPN)]]*Table43[[#This Row],[ISI/CTN]]</f>
        <v>0</v>
      </c>
      <c r="AQ184" s="42">
        <f>Table43[[#This Row],[Harga Jual Pcs GT
(-PPN)]]*1.11</f>
        <v>0</v>
      </c>
      <c r="AR184" s="42">
        <f>Table43[[#This Row],[Harga Jual Krt GT
(- PPN)]]*1.11</f>
        <v>0</v>
      </c>
      <c r="AS184" s="42">
        <f>Table43[[#This Row],[Harga Jual Pcs GT
(-PPN)]]</f>
        <v>0</v>
      </c>
      <c r="AT184" s="42">
        <f>(Table43[[#This Row],[Harga Jual Pcs MT
(-PPN)]]*Table43[[#This Row],[ISI/CTN]])</f>
        <v>0</v>
      </c>
      <c r="AU184" s="42">
        <f>Table43[[#This Row],[Harga Jual Pcs MT
(-PPN)]]*1.11</f>
        <v>0</v>
      </c>
      <c r="AV184" s="42">
        <f>Table43[[#This Row],[Harga Jual Pcs MT
(+PPN)]]*Table43[[#This Row],[ISI/CTN]]</f>
        <v>0</v>
      </c>
      <c r="AW184" s="47"/>
      <c r="AX184" s="7"/>
      <c r="AY184" s="7" t="str">
        <f ca="1">IF(TODAY()-Table43[[#This Row],[Efektif
Pembuatan]]&gt;60,"Lama","Baru")</f>
        <v>Lama</v>
      </c>
      <c r="AZ184" s="7" t="str">
        <f ca="1">IF(TODAY()-Table43[[#This Row],[Efektif Naik Harga]]&lt;30,"Naik","Sama")</f>
        <v>Sama</v>
      </c>
      <c r="BA184" s="7" t="str">
        <f>IF(Table43[[#This Row],[Kode BARANG Win2]]&lt;&gt;"","IDR","")</f>
        <v>IDR</v>
      </c>
      <c r="BB184" s="7" t="str">
        <f>CONCATENATE(Table43[[#This Row],[kode  1 Digit
(Nomor)]],Table43[[#This Row],[kode  4 Digit                (Nomor)]])</f>
        <v>10050</v>
      </c>
      <c r="BC184" s="7" t="str">
        <f>Table43[[#This Row],[Nama            Gramasi atau Jumlah Pack per CTN]]</f>
        <v>50ML</v>
      </c>
      <c r="BD184" s="7"/>
      <c r="BE184" s="7"/>
      <c r="BF184" s="4" t="str">
        <f>IF(Table43[[#This Row],[SATUAN Fix Win]]&lt;&gt;"","KRT")</f>
        <v>KRT</v>
      </c>
      <c r="BG184" s="4" t="str">
        <f>IF(Table43[[#This Row],[SATUAN Fix Win]]&lt;&gt;"","GD01")</f>
        <v>GD01</v>
      </c>
      <c r="BH184" s="4">
        <f>IF(Table43[[#This Row],[SATUAN Fix Win]]&lt;&gt;"",11611)</f>
        <v>11611</v>
      </c>
      <c r="BI184" s="4">
        <f>IF(Table43[[#This Row],[SATUAN Fix Win]]&lt;&gt;"",11612)</f>
        <v>11612</v>
      </c>
      <c r="BJ184" s="48"/>
      <c r="BK184" s="4">
        <f>IF(Table43[[#This Row],[SATUAN Fix Win]]&lt;&gt;"",1)</f>
        <v>1</v>
      </c>
    </row>
    <row r="185" spans="1:67">
      <c r="A185" s="4" t="str">
        <f>CONCATENATE(Table43[[#This Row],[Kode BARANG Win2]],Table43[[#This Row],[No. Urut
Item Sama]])</f>
        <v>K11110060100101</v>
      </c>
      <c r="B185" s="7">
        <v>1</v>
      </c>
      <c r="D185" s="28" t="s">
        <v>4063</v>
      </c>
      <c r="E185" s="28"/>
      <c r="F185" s="28">
        <v>0</v>
      </c>
      <c r="G185" s="78">
        <v>36</v>
      </c>
      <c r="H185" s="43"/>
      <c r="I185" s="28" t="str">
        <f>Table43[[#This Row],[Nama Jenis Kemasan]]</f>
        <v>BTL</v>
      </c>
      <c r="J185" s="4" t="str">
        <f>TRIM(CONCATENATE(Table43[[#This Row],[Nama            KLP]]," ",Table43[[#This Row],[Nama            Sub KLP]]))</f>
        <v>ESKULIN COLOGNE</v>
      </c>
      <c r="K185" s="4" t="str">
        <f>CONCATENATE(Table43[[#This Row],[kode  2 Digit                (hrf+No)]],Table43[[#This Row],[kode  2 Digit                (Nomor)]],Table43[[#This Row],[kode  1 Digit                (Nomor)]])</f>
        <v>K1111</v>
      </c>
      <c r="L185" s="4" t="str">
        <f t="shared" si="9"/>
        <v>K1111006010010</v>
      </c>
      <c r="M185" s="11">
        <f t="shared" si="10"/>
        <v>14</v>
      </c>
      <c r="N185" s="14" t="str">
        <f>IF(AF185&lt;&gt;"",TRIM(UPPER(CONCATENATE(P185," ",R185," ",T185," ",V185," ",X185," ",Z185," ","X"," ",Table43[[#This Row],[ISI/CTN]]," ",AF185," ",AB185," ",AD185," ",AH185))),TRIM(UPPER(CONCATENATE(P185," ",R185," ",T185," ",V185," ",X185," ",Z185," ","X"," ",Table43[[#This Row],[ISI/CTN]]," ",AB185," ",AD185," ",AH185))))</f>
        <v>KNF ESKULIN COLOGNE CONFIDENT PEACH 100ML X 36 BTL</v>
      </c>
      <c r="O185" s="11">
        <f t="shared" si="11"/>
        <v>50</v>
      </c>
      <c r="P185" s="4" t="s">
        <v>97</v>
      </c>
      <c r="Q185" s="7" t="s">
        <v>98</v>
      </c>
      <c r="R185" s="4" t="s">
        <v>3703</v>
      </c>
      <c r="S185" s="44" t="s">
        <v>3550</v>
      </c>
      <c r="T185" s="45" t="s">
        <v>3704</v>
      </c>
      <c r="U185" s="7" t="s">
        <v>2656</v>
      </c>
      <c r="V185" s="45" t="s">
        <v>2961</v>
      </c>
      <c r="W185" s="44" t="s">
        <v>2900</v>
      </c>
      <c r="X185" s="4" t="s">
        <v>3713</v>
      </c>
      <c r="Y185" s="46" t="s">
        <v>2476</v>
      </c>
      <c r="Z185" s="4" t="s">
        <v>3588</v>
      </c>
      <c r="AA185" s="46" t="s">
        <v>2487</v>
      </c>
      <c r="AB185" s="4" t="s">
        <v>357</v>
      </c>
      <c r="AC185" s="7" t="s">
        <v>2656</v>
      </c>
      <c r="AD185" s="4" t="s">
        <v>2961</v>
      </c>
      <c r="AE185" s="7" t="s">
        <v>2900</v>
      </c>
      <c r="AF185" s="7" t="s">
        <v>2961</v>
      </c>
      <c r="AG185" s="7" t="s">
        <v>2961</v>
      </c>
      <c r="AI185" s="7" t="s">
        <v>4100</v>
      </c>
      <c r="AJ185" s="7" t="s">
        <v>2656</v>
      </c>
      <c r="AK185" s="41">
        <f>Table43[[#This Row],[Harga Jual Pcs GT
(-PPN)]]-(Table43[[#This Row],[Harga Jual Pcs GT
(-PPN)]]*10%)</f>
        <v>0</v>
      </c>
      <c r="AL185" s="42">
        <f>Table43[[#This Row],[Harga Beli Pcs
(-PPN)]]*Table43[[#This Row],[ISI/CTN]]</f>
        <v>0</v>
      </c>
      <c r="AM185" s="42">
        <f>Table43[[#This Row],[Harga Beli Pcs
(-PPN)]]*1.11</f>
        <v>0</v>
      </c>
      <c r="AN185" s="42">
        <f>Table43[[#This Row],[Harga Beli Krt
(- PPN)]]*1.11</f>
        <v>0</v>
      </c>
      <c r="AO185" s="42"/>
      <c r="AP185" s="42">
        <f>Table43[[#This Row],[Harga Jual Pcs GT
(-PPN)]]*Table43[[#This Row],[ISI/CTN]]</f>
        <v>0</v>
      </c>
      <c r="AQ185" s="42">
        <f>Table43[[#This Row],[Harga Jual Pcs GT
(-PPN)]]*1.11</f>
        <v>0</v>
      </c>
      <c r="AR185" s="42">
        <f>Table43[[#This Row],[Harga Jual Krt GT
(- PPN)]]*1.11</f>
        <v>0</v>
      </c>
      <c r="AS185" s="42">
        <f>Table43[[#This Row],[Harga Jual Pcs GT
(-PPN)]]</f>
        <v>0</v>
      </c>
      <c r="AT185" s="42">
        <f>(Table43[[#This Row],[Harga Jual Pcs MT
(-PPN)]]*Table43[[#This Row],[ISI/CTN]])</f>
        <v>0</v>
      </c>
      <c r="AU185" s="42">
        <f>Table43[[#This Row],[Harga Jual Pcs MT
(-PPN)]]*1.11</f>
        <v>0</v>
      </c>
      <c r="AV185" s="42">
        <f>Table43[[#This Row],[Harga Jual Pcs MT
(+PPN)]]*Table43[[#This Row],[ISI/CTN]]</f>
        <v>0</v>
      </c>
      <c r="AW185" s="47"/>
      <c r="AX185" s="7"/>
      <c r="AY185" s="7" t="str">
        <f ca="1">IF(TODAY()-Table43[[#This Row],[Efektif
Pembuatan]]&gt;60,"Lama","Baru")</f>
        <v>Lama</v>
      </c>
      <c r="AZ185" s="7" t="str">
        <f ca="1">IF(TODAY()-Table43[[#This Row],[Efektif Naik Harga]]&lt;30,"Naik","Sama")</f>
        <v>Sama</v>
      </c>
      <c r="BA185" s="7" t="str">
        <f>IF(Table43[[#This Row],[Kode BARANG Win2]]&lt;&gt;"","IDR","")</f>
        <v>IDR</v>
      </c>
      <c r="BB185" s="7" t="str">
        <f>CONCATENATE(Table43[[#This Row],[kode  1 Digit
(Nomor)]],Table43[[#This Row],[kode  4 Digit                (Nomor)]])</f>
        <v>10100</v>
      </c>
      <c r="BC185" s="7" t="str">
        <f>Table43[[#This Row],[Nama            Gramasi atau Jumlah Pack per CTN]]</f>
        <v>100ML</v>
      </c>
      <c r="BD185" s="7"/>
      <c r="BE185" s="7"/>
      <c r="BF185" s="4" t="str">
        <f>IF(Table43[[#This Row],[SATUAN Fix Win]]&lt;&gt;"","KRT")</f>
        <v>KRT</v>
      </c>
      <c r="BG185" s="4" t="str">
        <f>IF(Table43[[#This Row],[SATUAN Fix Win]]&lt;&gt;"","GD01")</f>
        <v>GD01</v>
      </c>
      <c r="BH185" s="4">
        <f>IF(Table43[[#This Row],[SATUAN Fix Win]]&lt;&gt;"",11611)</f>
        <v>11611</v>
      </c>
      <c r="BI185" s="4">
        <f>IF(Table43[[#This Row],[SATUAN Fix Win]]&lt;&gt;"",11612)</f>
        <v>11612</v>
      </c>
      <c r="BJ185" s="48"/>
      <c r="BK185" s="4">
        <f>IF(Table43[[#This Row],[SATUAN Fix Win]]&lt;&gt;"",1)</f>
        <v>1</v>
      </c>
    </row>
    <row r="186" spans="1:67">
      <c r="A186" s="4" t="str">
        <f>CONCATENATE(Table43[[#This Row],[Kode BARANG Win2]],Table43[[#This Row],[No. Urut
Item Sama]])</f>
        <v>K11110070050101</v>
      </c>
      <c r="B186" s="7">
        <v>1</v>
      </c>
      <c r="D186" s="28" t="s">
        <v>4064</v>
      </c>
      <c r="E186" s="28"/>
      <c r="F186" s="28">
        <v>0</v>
      </c>
      <c r="G186" s="78">
        <v>36</v>
      </c>
      <c r="H186" s="43"/>
      <c r="I186" s="28" t="str">
        <f>Table43[[#This Row],[Nama Jenis Kemasan]]</f>
        <v>BTL</v>
      </c>
      <c r="J186" s="4" t="str">
        <f>TRIM(CONCATENATE(Table43[[#This Row],[Nama            KLP]]," ",Table43[[#This Row],[Nama            Sub KLP]]))</f>
        <v>ESKULIN COLOGNE</v>
      </c>
      <c r="K186" s="4" t="str">
        <f>CONCATENATE(Table43[[#This Row],[kode  2 Digit                (hrf+No)]],Table43[[#This Row],[kode  2 Digit                (Nomor)]],Table43[[#This Row],[kode  1 Digit                (Nomor)]])</f>
        <v>K1111</v>
      </c>
      <c r="L186" s="4" t="str">
        <f t="shared" si="9"/>
        <v>K1111007005010</v>
      </c>
      <c r="M186" s="11">
        <f t="shared" si="10"/>
        <v>14</v>
      </c>
      <c r="N186" s="14" t="str">
        <f>IF(AF186&lt;&gt;"",TRIM(UPPER(CONCATENATE(P186," ",R186," ",T186," ",V186," ",X186," ",Z186," ","X"," ",Table43[[#This Row],[ISI/CTN]]," ",AF186," ",AB186," ",AD186," ",AH186))),TRIM(UPPER(CONCATENATE(P186," ",R186," ",T186," ",V186," ",X186," ",Z186," ","X"," ",Table43[[#This Row],[ISI/CTN]]," ",AB186," ",AD186," ",AH186))))</f>
        <v>KNF ESKULIN COLOGNE GLAMOROUS RED 50ML X 36 BTL</v>
      </c>
      <c r="O186" s="11">
        <f t="shared" si="11"/>
        <v>47</v>
      </c>
      <c r="P186" s="4" t="s">
        <v>97</v>
      </c>
      <c r="Q186" s="7" t="s">
        <v>98</v>
      </c>
      <c r="R186" s="4" t="s">
        <v>3703</v>
      </c>
      <c r="S186" s="44" t="s">
        <v>3550</v>
      </c>
      <c r="T186" s="45" t="s">
        <v>3704</v>
      </c>
      <c r="U186" s="7" t="s">
        <v>2656</v>
      </c>
      <c r="V186" s="45" t="s">
        <v>2961</v>
      </c>
      <c r="W186" s="44" t="s">
        <v>2900</v>
      </c>
      <c r="X186" s="4" t="s">
        <v>3714</v>
      </c>
      <c r="Y186" s="46" t="s">
        <v>2477</v>
      </c>
      <c r="Z186" s="4" t="s">
        <v>3654</v>
      </c>
      <c r="AA186" s="46" t="s">
        <v>2490</v>
      </c>
      <c r="AB186" s="4" t="s">
        <v>357</v>
      </c>
      <c r="AC186" s="7" t="s">
        <v>2656</v>
      </c>
      <c r="AD186" s="4" t="s">
        <v>2961</v>
      </c>
      <c r="AE186" s="7" t="s">
        <v>2900</v>
      </c>
      <c r="AF186" s="7" t="s">
        <v>2961</v>
      </c>
      <c r="AG186" s="7" t="s">
        <v>2961</v>
      </c>
      <c r="AI186" s="7" t="s">
        <v>4100</v>
      </c>
      <c r="AJ186" s="7" t="s">
        <v>2656</v>
      </c>
      <c r="AK186" s="41">
        <f>Table43[[#This Row],[Harga Jual Pcs GT
(-PPN)]]-(Table43[[#This Row],[Harga Jual Pcs GT
(-PPN)]]*10%)</f>
        <v>0</v>
      </c>
      <c r="AL186" s="42">
        <f>Table43[[#This Row],[Harga Beli Pcs
(-PPN)]]*Table43[[#This Row],[ISI/CTN]]</f>
        <v>0</v>
      </c>
      <c r="AM186" s="42">
        <f>Table43[[#This Row],[Harga Beli Pcs
(-PPN)]]*1.11</f>
        <v>0</v>
      </c>
      <c r="AN186" s="42">
        <f>Table43[[#This Row],[Harga Beli Krt
(- PPN)]]*1.11</f>
        <v>0</v>
      </c>
      <c r="AO186" s="42"/>
      <c r="AP186" s="42">
        <f>Table43[[#This Row],[Harga Jual Pcs GT
(-PPN)]]*Table43[[#This Row],[ISI/CTN]]</f>
        <v>0</v>
      </c>
      <c r="AQ186" s="42">
        <f>Table43[[#This Row],[Harga Jual Pcs GT
(-PPN)]]*1.11</f>
        <v>0</v>
      </c>
      <c r="AR186" s="42">
        <f>Table43[[#This Row],[Harga Jual Krt GT
(- PPN)]]*1.11</f>
        <v>0</v>
      </c>
      <c r="AS186" s="42">
        <f>Table43[[#This Row],[Harga Jual Pcs GT
(-PPN)]]</f>
        <v>0</v>
      </c>
      <c r="AT186" s="42">
        <f>(Table43[[#This Row],[Harga Jual Pcs MT
(-PPN)]]*Table43[[#This Row],[ISI/CTN]])</f>
        <v>0</v>
      </c>
      <c r="AU186" s="42">
        <f>Table43[[#This Row],[Harga Jual Pcs MT
(-PPN)]]*1.11</f>
        <v>0</v>
      </c>
      <c r="AV186" s="42">
        <f>Table43[[#This Row],[Harga Jual Pcs MT
(+PPN)]]*Table43[[#This Row],[ISI/CTN]]</f>
        <v>0</v>
      </c>
      <c r="AW186" s="47"/>
      <c r="AX186" s="7"/>
      <c r="AY186" s="7" t="str">
        <f ca="1">IF(TODAY()-Table43[[#This Row],[Efektif
Pembuatan]]&gt;60,"Lama","Baru")</f>
        <v>Lama</v>
      </c>
      <c r="AZ186" s="7" t="str">
        <f ca="1">IF(TODAY()-Table43[[#This Row],[Efektif Naik Harga]]&lt;30,"Naik","Sama")</f>
        <v>Sama</v>
      </c>
      <c r="BA186" s="7" t="str">
        <f>IF(Table43[[#This Row],[Kode BARANG Win2]]&lt;&gt;"","IDR","")</f>
        <v>IDR</v>
      </c>
      <c r="BB186" s="7" t="str">
        <f>CONCATENATE(Table43[[#This Row],[kode  1 Digit
(Nomor)]],Table43[[#This Row],[kode  4 Digit                (Nomor)]])</f>
        <v>10050</v>
      </c>
      <c r="BC186" s="7" t="str">
        <f>Table43[[#This Row],[Nama            Gramasi atau Jumlah Pack per CTN]]</f>
        <v>50ML</v>
      </c>
      <c r="BD186" s="7"/>
      <c r="BE186" s="7"/>
      <c r="BF186" s="4" t="str">
        <f>IF(Table43[[#This Row],[SATUAN Fix Win]]&lt;&gt;"","KRT")</f>
        <v>KRT</v>
      </c>
      <c r="BG186" s="4" t="str">
        <f>IF(Table43[[#This Row],[SATUAN Fix Win]]&lt;&gt;"","GD01")</f>
        <v>GD01</v>
      </c>
      <c r="BH186" s="4">
        <f>IF(Table43[[#This Row],[SATUAN Fix Win]]&lt;&gt;"",11611)</f>
        <v>11611</v>
      </c>
      <c r="BI186" s="4">
        <f>IF(Table43[[#This Row],[SATUAN Fix Win]]&lt;&gt;"",11612)</f>
        <v>11612</v>
      </c>
      <c r="BJ186" s="48"/>
      <c r="BK186" s="4">
        <f>IF(Table43[[#This Row],[SATUAN Fix Win]]&lt;&gt;"",1)</f>
        <v>1</v>
      </c>
    </row>
    <row r="187" spans="1:67">
      <c r="A187" s="4" t="str">
        <f>CONCATENATE(Table43[[#This Row],[Kode BARANG Win2]],Table43[[#This Row],[No. Urut
Item Sama]])</f>
        <v>K11110070050101</v>
      </c>
      <c r="B187" s="7">
        <v>1</v>
      </c>
      <c r="D187" s="28" t="s">
        <v>932</v>
      </c>
      <c r="E187" s="28"/>
      <c r="F187" s="28" t="s">
        <v>3010</v>
      </c>
      <c r="G187" s="78">
        <v>36</v>
      </c>
      <c r="H187" s="43"/>
      <c r="I187" s="28" t="str">
        <f>Table43[[#This Row],[Nama Jenis Kemasan]]</f>
        <v>BTL</v>
      </c>
      <c r="J187" s="4" t="str">
        <f>TRIM(CONCATENATE(Table43[[#This Row],[Nama            KLP]]," ",Table43[[#This Row],[Nama            Sub KLP]]))</f>
        <v>ESKULIN COLOGNE</v>
      </c>
      <c r="K187" s="4" t="str">
        <f>CONCATENATE(Table43[[#This Row],[kode  2 Digit                (hrf+No)]],Table43[[#This Row],[kode  2 Digit                (Nomor)]],Table43[[#This Row],[kode  1 Digit                (Nomor)]])</f>
        <v>K1111</v>
      </c>
      <c r="L187" s="4" t="str">
        <f t="shared" si="9"/>
        <v>K1111007005010</v>
      </c>
      <c r="M187" s="11">
        <f t="shared" si="10"/>
        <v>14</v>
      </c>
      <c r="N187" s="14" t="str">
        <f>IF(AF187&lt;&gt;"",TRIM(UPPER(CONCATENATE(P187," ",R187," ",T187," ",V187," ",X187," ",Z187," ","X"," ",Table43[[#This Row],[ISI/CTN]]," ",AF187," ",AB187," ",AD187," ",AH187))),TRIM(UPPER(CONCATENATE(P187," ",R187," ",T187," ",V187," ",X187," ",Z187," ","X"," ",Table43[[#This Row],[ISI/CTN]]," ",AB187," ",AD187," ",AH187))))</f>
        <v>KNF ESKULIN COLOGNE GEL SATURDAY 50ML X 36 BTL</v>
      </c>
      <c r="O187" s="11">
        <f t="shared" si="11"/>
        <v>46</v>
      </c>
      <c r="P187" s="4" t="s">
        <v>97</v>
      </c>
      <c r="Q187" s="7" t="s">
        <v>98</v>
      </c>
      <c r="R187" s="4" t="s">
        <v>3703</v>
      </c>
      <c r="S187" s="44" t="s">
        <v>3550</v>
      </c>
      <c r="T187" s="45" t="s">
        <v>3704</v>
      </c>
      <c r="U187" s="7" t="s">
        <v>2656</v>
      </c>
      <c r="V187" s="45" t="s">
        <v>2961</v>
      </c>
      <c r="W187" s="44" t="s">
        <v>2900</v>
      </c>
      <c r="X187" s="4" t="s">
        <v>3715</v>
      </c>
      <c r="Y187" s="46" t="s">
        <v>2477</v>
      </c>
      <c r="Z187" s="4" t="s">
        <v>3654</v>
      </c>
      <c r="AA187" s="46" t="s">
        <v>2490</v>
      </c>
      <c r="AB187" s="4" t="s">
        <v>357</v>
      </c>
      <c r="AC187" s="7" t="s">
        <v>2656</v>
      </c>
      <c r="AD187" s="4" t="s">
        <v>2961</v>
      </c>
      <c r="AE187" s="7" t="s">
        <v>2900</v>
      </c>
      <c r="AF187" s="7" t="s">
        <v>2961</v>
      </c>
      <c r="AG187" s="7" t="s">
        <v>2961</v>
      </c>
      <c r="AI187" s="7" t="s">
        <v>4100</v>
      </c>
      <c r="AJ187" s="7" t="s">
        <v>2656</v>
      </c>
      <c r="AK187" s="41">
        <f>Table43[[#This Row],[Harga Jual Pcs GT
(-PPN)]]-(Table43[[#This Row],[Harga Jual Pcs GT
(-PPN)]]*10%)</f>
        <v>0</v>
      </c>
      <c r="AL187" s="42">
        <f>Table43[[#This Row],[Harga Beli Pcs
(-PPN)]]*Table43[[#This Row],[ISI/CTN]]</f>
        <v>0</v>
      </c>
      <c r="AM187" s="42">
        <f>Table43[[#This Row],[Harga Beli Pcs
(-PPN)]]*1.11</f>
        <v>0</v>
      </c>
      <c r="AN187" s="42">
        <f>Table43[[#This Row],[Harga Beli Krt
(- PPN)]]*1.11</f>
        <v>0</v>
      </c>
      <c r="AO187" s="42"/>
      <c r="AP187" s="42">
        <f>Table43[[#This Row],[Harga Jual Pcs GT
(-PPN)]]*Table43[[#This Row],[ISI/CTN]]</f>
        <v>0</v>
      </c>
      <c r="AQ187" s="42">
        <f>Table43[[#This Row],[Harga Jual Pcs GT
(-PPN)]]*1.11</f>
        <v>0</v>
      </c>
      <c r="AR187" s="42">
        <f>Table43[[#This Row],[Harga Jual Krt GT
(- PPN)]]*1.11</f>
        <v>0</v>
      </c>
      <c r="AS187" s="42">
        <f>Table43[[#This Row],[Harga Jual Pcs GT
(-PPN)]]</f>
        <v>0</v>
      </c>
      <c r="AT187" s="42">
        <f>(Table43[[#This Row],[Harga Jual Pcs MT
(-PPN)]]*Table43[[#This Row],[ISI/CTN]])</f>
        <v>0</v>
      </c>
      <c r="AU187" s="42">
        <f>Table43[[#This Row],[Harga Jual Pcs MT
(-PPN)]]*1.11</f>
        <v>0</v>
      </c>
      <c r="AV187" s="42">
        <f>Table43[[#This Row],[Harga Jual Pcs MT
(+PPN)]]*Table43[[#This Row],[ISI/CTN]]</f>
        <v>0</v>
      </c>
      <c r="AW187" s="47"/>
      <c r="AX187" s="7"/>
      <c r="AY187" s="7" t="str">
        <f ca="1">IF(TODAY()-Table43[[#This Row],[Efektif
Pembuatan]]&gt;60,"Lama","Baru")</f>
        <v>Lama</v>
      </c>
      <c r="AZ187" s="7" t="str">
        <f ca="1">IF(TODAY()-Table43[[#This Row],[Efektif Naik Harga]]&lt;30,"Naik","Sama")</f>
        <v>Sama</v>
      </c>
      <c r="BA187" s="7" t="str">
        <f>IF(Table43[[#This Row],[Kode BARANG Win2]]&lt;&gt;"","IDR","")</f>
        <v>IDR</v>
      </c>
      <c r="BB187" s="7" t="str">
        <f>CONCATENATE(Table43[[#This Row],[kode  1 Digit
(Nomor)]],Table43[[#This Row],[kode  4 Digit                (Nomor)]])</f>
        <v>10050</v>
      </c>
      <c r="BC187" s="7" t="str">
        <f>Table43[[#This Row],[Nama            Gramasi atau Jumlah Pack per CTN]]</f>
        <v>50ML</v>
      </c>
      <c r="BD187" s="7"/>
      <c r="BE187" s="7"/>
      <c r="BF187" s="4" t="str">
        <f>IF(Table43[[#This Row],[SATUAN Fix Win]]&lt;&gt;"","KRT")</f>
        <v>KRT</v>
      </c>
      <c r="BG187" s="4" t="str">
        <f>IF(Table43[[#This Row],[SATUAN Fix Win]]&lt;&gt;"","GD01")</f>
        <v>GD01</v>
      </c>
      <c r="BH187" s="4">
        <f>IF(Table43[[#This Row],[SATUAN Fix Win]]&lt;&gt;"",11611)</f>
        <v>11611</v>
      </c>
      <c r="BI187" s="4">
        <f>IF(Table43[[#This Row],[SATUAN Fix Win]]&lt;&gt;"",11612)</f>
        <v>11612</v>
      </c>
      <c r="BJ187" s="48"/>
      <c r="BK187" s="4">
        <f>IF(Table43[[#This Row],[SATUAN Fix Win]]&lt;&gt;"",1)</f>
        <v>1</v>
      </c>
    </row>
    <row r="188" spans="1:67">
      <c r="A188" s="4" t="str">
        <f>CONCATENATE(Table43[[#This Row],[Kode BARANG Win2]],Table43[[#This Row],[No. Urut
Item Sama]])</f>
        <v>K11110070100101</v>
      </c>
      <c r="B188" s="7">
        <v>1</v>
      </c>
      <c r="D188" s="28" t="s">
        <v>4065</v>
      </c>
      <c r="E188" s="28"/>
      <c r="F188" s="28">
        <v>0</v>
      </c>
      <c r="G188" s="78">
        <v>36</v>
      </c>
      <c r="H188" s="43"/>
      <c r="I188" s="28" t="str">
        <f>Table43[[#This Row],[Nama Jenis Kemasan]]</f>
        <v>BTL</v>
      </c>
      <c r="J188" s="4" t="str">
        <f>TRIM(CONCATENATE(Table43[[#This Row],[Nama            KLP]]," ",Table43[[#This Row],[Nama            Sub KLP]]))</f>
        <v>ESKULIN COLOGNE</v>
      </c>
      <c r="K188" s="4" t="str">
        <f>CONCATENATE(Table43[[#This Row],[kode  2 Digit                (hrf+No)]],Table43[[#This Row],[kode  2 Digit                (Nomor)]],Table43[[#This Row],[kode  1 Digit                (Nomor)]])</f>
        <v>K1111</v>
      </c>
      <c r="L188" s="4" t="str">
        <f t="shared" si="9"/>
        <v>K1111007010010</v>
      </c>
      <c r="M188" s="11">
        <f t="shared" si="10"/>
        <v>14</v>
      </c>
      <c r="N188" s="14" t="str">
        <f>IF(AF188&lt;&gt;"",TRIM(UPPER(CONCATENATE(P188," ",R188," ",T188," ",V188," ",X188," ",Z188," ","X"," ",Table43[[#This Row],[ISI/CTN]]," ",AF188," ",AB188," ",AD188," ",AH188))),TRIM(UPPER(CONCATENATE(P188," ",R188," ",T188," ",V188," ",X188," ",Z188," ","X"," ",Table43[[#This Row],[ISI/CTN]]," ",AB188," ",AD188," ",AH188))))</f>
        <v>KNF ESKULIN COLOGNE GLAMOROUS RED 100ML X 36 BTL</v>
      </c>
      <c r="O188" s="11">
        <f t="shared" si="11"/>
        <v>48</v>
      </c>
      <c r="P188" s="4" t="s">
        <v>97</v>
      </c>
      <c r="Q188" s="7" t="s">
        <v>98</v>
      </c>
      <c r="R188" s="4" t="s">
        <v>3703</v>
      </c>
      <c r="S188" s="44" t="s">
        <v>3550</v>
      </c>
      <c r="T188" s="45" t="s">
        <v>3704</v>
      </c>
      <c r="U188" s="7" t="s">
        <v>2656</v>
      </c>
      <c r="V188" s="45" t="s">
        <v>2961</v>
      </c>
      <c r="W188" s="44" t="s">
        <v>2900</v>
      </c>
      <c r="X188" s="4" t="s">
        <v>3714</v>
      </c>
      <c r="Y188" s="46" t="s">
        <v>2477</v>
      </c>
      <c r="Z188" s="4" t="s">
        <v>3588</v>
      </c>
      <c r="AA188" s="46" t="s">
        <v>2487</v>
      </c>
      <c r="AB188" s="4" t="s">
        <v>357</v>
      </c>
      <c r="AC188" s="7" t="s">
        <v>2656</v>
      </c>
      <c r="AD188" s="4" t="s">
        <v>2961</v>
      </c>
      <c r="AE188" s="7" t="s">
        <v>2900</v>
      </c>
      <c r="AF188" s="7" t="s">
        <v>2961</v>
      </c>
      <c r="AG188" s="7" t="s">
        <v>2961</v>
      </c>
      <c r="AI188" s="7" t="s">
        <v>4100</v>
      </c>
      <c r="AJ188" s="7" t="s">
        <v>2656</v>
      </c>
      <c r="AK188" s="41">
        <f>Table43[[#This Row],[Harga Jual Pcs GT
(-PPN)]]-(Table43[[#This Row],[Harga Jual Pcs GT
(-PPN)]]*10%)</f>
        <v>0</v>
      </c>
      <c r="AL188" s="42">
        <f>Table43[[#This Row],[Harga Beli Pcs
(-PPN)]]*Table43[[#This Row],[ISI/CTN]]</f>
        <v>0</v>
      </c>
      <c r="AM188" s="42">
        <f>Table43[[#This Row],[Harga Beli Pcs
(-PPN)]]*1.11</f>
        <v>0</v>
      </c>
      <c r="AN188" s="42">
        <f>Table43[[#This Row],[Harga Beli Krt
(- PPN)]]*1.11</f>
        <v>0</v>
      </c>
      <c r="AO188" s="42"/>
      <c r="AP188" s="42">
        <f>Table43[[#This Row],[Harga Jual Pcs GT
(-PPN)]]*Table43[[#This Row],[ISI/CTN]]</f>
        <v>0</v>
      </c>
      <c r="AQ188" s="42">
        <f>Table43[[#This Row],[Harga Jual Pcs GT
(-PPN)]]*1.11</f>
        <v>0</v>
      </c>
      <c r="AR188" s="42">
        <f>Table43[[#This Row],[Harga Jual Krt GT
(- PPN)]]*1.11</f>
        <v>0</v>
      </c>
      <c r="AS188" s="42">
        <f>Table43[[#This Row],[Harga Jual Pcs GT
(-PPN)]]</f>
        <v>0</v>
      </c>
      <c r="AT188" s="42">
        <f>(Table43[[#This Row],[Harga Jual Pcs MT
(-PPN)]]*Table43[[#This Row],[ISI/CTN]])</f>
        <v>0</v>
      </c>
      <c r="AU188" s="42">
        <f>Table43[[#This Row],[Harga Jual Pcs MT
(-PPN)]]*1.11</f>
        <v>0</v>
      </c>
      <c r="AV188" s="42">
        <f>Table43[[#This Row],[Harga Jual Pcs MT
(+PPN)]]*Table43[[#This Row],[ISI/CTN]]</f>
        <v>0</v>
      </c>
      <c r="AW188" s="47"/>
      <c r="AX188" s="7"/>
      <c r="AY188" s="7" t="str">
        <f ca="1">IF(TODAY()-Table43[[#This Row],[Efektif
Pembuatan]]&gt;60,"Lama","Baru")</f>
        <v>Lama</v>
      </c>
      <c r="AZ188" s="7" t="str">
        <f ca="1">IF(TODAY()-Table43[[#This Row],[Efektif Naik Harga]]&lt;30,"Naik","Sama")</f>
        <v>Sama</v>
      </c>
      <c r="BA188" s="7" t="str">
        <f>IF(Table43[[#This Row],[Kode BARANG Win2]]&lt;&gt;"","IDR","")</f>
        <v>IDR</v>
      </c>
      <c r="BB188" s="7" t="str">
        <f>CONCATENATE(Table43[[#This Row],[kode  1 Digit
(Nomor)]],Table43[[#This Row],[kode  4 Digit                (Nomor)]])</f>
        <v>10100</v>
      </c>
      <c r="BC188" s="7" t="str">
        <f>Table43[[#This Row],[Nama            Gramasi atau Jumlah Pack per CTN]]</f>
        <v>100ML</v>
      </c>
      <c r="BD188" s="7"/>
      <c r="BE188" s="7"/>
      <c r="BF188" s="4" t="str">
        <f>IF(Table43[[#This Row],[SATUAN Fix Win]]&lt;&gt;"","KRT")</f>
        <v>KRT</v>
      </c>
      <c r="BG188" s="4" t="str">
        <f>IF(Table43[[#This Row],[SATUAN Fix Win]]&lt;&gt;"","GD01")</f>
        <v>GD01</v>
      </c>
      <c r="BH188" s="4">
        <f>IF(Table43[[#This Row],[SATUAN Fix Win]]&lt;&gt;"",11611)</f>
        <v>11611</v>
      </c>
      <c r="BI188" s="4">
        <f>IF(Table43[[#This Row],[SATUAN Fix Win]]&lt;&gt;"",11612)</f>
        <v>11612</v>
      </c>
      <c r="BJ188" s="48"/>
      <c r="BK188" s="4">
        <f>IF(Table43[[#This Row],[SATUAN Fix Win]]&lt;&gt;"",1)</f>
        <v>1</v>
      </c>
    </row>
    <row r="189" spans="1:67">
      <c r="A189" s="4" t="str">
        <f>CONCATENATE(Table43[[#This Row],[Kode BARANG Win2]],Table43[[#This Row],[No. Urut
Item Sama]])</f>
        <v>K11110080050101</v>
      </c>
      <c r="B189" s="7">
        <v>1</v>
      </c>
      <c r="D189" s="28" t="s">
        <v>4066</v>
      </c>
      <c r="E189" s="28"/>
      <c r="F189" s="28">
        <v>0</v>
      </c>
      <c r="G189" s="78">
        <v>36</v>
      </c>
      <c r="H189" s="43"/>
      <c r="I189" s="28" t="str">
        <f>Table43[[#This Row],[Nama Jenis Kemasan]]</f>
        <v>BTL</v>
      </c>
      <c r="J189" s="4" t="str">
        <f>TRIM(CONCATENATE(Table43[[#This Row],[Nama            KLP]]," ",Table43[[#This Row],[Nama            Sub KLP]]))</f>
        <v>ESKULIN COLOGNE</v>
      </c>
      <c r="K189" s="4" t="str">
        <f>CONCATENATE(Table43[[#This Row],[kode  2 Digit                (hrf+No)]],Table43[[#This Row],[kode  2 Digit                (Nomor)]],Table43[[#This Row],[kode  1 Digit                (Nomor)]])</f>
        <v>K1111</v>
      </c>
      <c r="L189" s="4" t="str">
        <f t="shared" si="9"/>
        <v>K1111008005010</v>
      </c>
      <c r="M189" s="11">
        <f t="shared" si="10"/>
        <v>14</v>
      </c>
      <c r="N189" s="14" t="str">
        <f>IF(AF189&lt;&gt;"",TRIM(UPPER(CONCATENATE(P189," ",R189," ",T189," ",V189," ",X189," ",Z189," ","X"," ",Table43[[#This Row],[ISI/CTN]]," ",AF189," ",AB189," ",AD189," ",AH189))),TRIM(UPPER(CONCATENATE(P189," ",R189," ",T189," ",V189," ",X189," ",Z189," ","X"," ",Table43[[#This Row],[ISI/CTN]]," ",AB189," ",AD189," ",AH189))))</f>
        <v>KNF ESKULIN COLOGNE GLEENFUL YELLOW 50ML X 36 BTL</v>
      </c>
      <c r="O189" s="11">
        <f t="shared" si="11"/>
        <v>49</v>
      </c>
      <c r="P189" s="4" t="s">
        <v>97</v>
      </c>
      <c r="Q189" s="7" t="s">
        <v>98</v>
      </c>
      <c r="R189" s="4" t="s">
        <v>3703</v>
      </c>
      <c r="S189" s="44" t="s">
        <v>3550</v>
      </c>
      <c r="T189" s="45" t="s">
        <v>3704</v>
      </c>
      <c r="U189" s="7" t="s">
        <v>2656</v>
      </c>
      <c r="V189" s="45" t="s">
        <v>2961</v>
      </c>
      <c r="W189" s="44" t="s">
        <v>2900</v>
      </c>
      <c r="X189" s="4" t="s">
        <v>3716</v>
      </c>
      <c r="Y189" s="46" t="s">
        <v>2478</v>
      </c>
      <c r="Z189" s="4" t="s">
        <v>3654</v>
      </c>
      <c r="AA189" s="46" t="s">
        <v>2490</v>
      </c>
      <c r="AB189" s="4" t="s">
        <v>357</v>
      </c>
      <c r="AC189" s="7" t="s">
        <v>2656</v>
      </c>
      <c r="AD189" s="4" t="s">
        <v>2961</v>
      </c>
      <c r="AE189" s="7" t="s">
        <v>2900</v>
      </c>
      <c r="AF189" s="7" t="s">
        <v>2961</v>
      </c>
      <c r="AG189" s="7" t="s">
        <v>2961</v>
      </c>
      <c r="AI189" s="7" t="s">
        <v>4100</v>
      </c>
      <c r="AJ189" s="7" t="s">
        <v>2656</v>
      </c>
      <c r="AK189" s="41">
        <f>Table43[[#This Row],[Harga Jual Pcs GT
(-PPN)]]-(Table43[[#This Row],[Harga Jual Pcs GT
(-PPN)]]*10%)</f>
        <v>0</v>
      </c>
      <c r="AL189" s="42">
        <f>Table43[[#This Row],[Harga Beli Pcs
(-PPN)]]*Table43[[#This Row],[ISI/CTN]]</f>
        <v>0</v>
      </c>
      <c r="AM189" s="42">
        <f>Table43[[#This Row],[Harga Beli Pcs
(-PPN)]]*1.11</f>
        <v>0</v>
      </c>
      <c r="AN189" s="42">
        <f>Table43[[#This Row],[Harga Beli Krt
(- PPN)]]*1.11</f>
        <v>0</v>
      </c>
      <c r="AO189" s="42"/>
      <c r="AP189" s="42">
        <f>Table43[[#This Row],[Harga Jual Pcs GT
(-PPN)]]*Table43[[#This Row],[ISI/CTN]]</f>
        <v>0</v>
      </c>
      <c r="AQ189" s="42">
        <f>Table43[[#This Row],[Harga Jual Pcs GT
(-PPN)]]*1.11</f>
        <v>0</v>
      </c>
      <c r="AR189" s="42">
        <f>Table43[[#This Row],[Harga Jual Krt GT
(- PPN)]]*1.11</f>
        <v>0</v>
      </c>
      <c r="AS189" s="42">
        <f>Table43[[#This Row],[Harga Jual Pcs GT
(-PPN)]]</f>
        <v>0</v>
      </c>
      <c r="AT189" s="42">
        <f>(Table43[[#This Row],[Harga Jual Pcs MT
(-PPN)]]*Table43[[#This Row],[ISI/CTN]])</f>
        <v>0</v>
      </c>
      <c r="AU189" s="42">
        <f>Table43[[#This Row],[Harga Jual Pcs MT
(-PPN)]]*1.11</f>
        <v>0</v>
      </c>
      <c r="AV189" s="42">
        <f>Table43[[#This Row],[Harga Jual Pcs MT
(+PPN)]]*Table43[[#This Row],[ISI/CTN]]</f>
        <v>0</v>
      </c>
      <c r="AW189" s="47"/>
      <c r="AX189" s="7"/>
      <c r="AY189" s="7" t="str">
        <f ca="1">IF(TODAY()-Table43[[#This Row],[Efektif
Pembuatan]]&gt;60,"Lama","Baru")</f>
        <v>Lama</v>
      </c>
      <c r="AZ189" s="7" t="str">
        <f ca="1">IF(TODAY()-Table43[[#This Row],[Efektif Naik Harga]]&lt;30,"Naik","Sama")</f>
        <v>Sama</v>
      </c>
      <c r="BA189" s="7" t="str">
        <f>IF(Table43[[#This Row],[Kode BARANG Win2]]&lt;&gt;"","IDR","")</f>
        <v>IDR</v>
      </c>
      <c r="BB189" s="7" t="str">
        <f>CONCATENATE(Table43[[#This Row],[kode  1 Digit
(Nomor)]],Table43[[#This Row],[kode  4 Digit                (Nomor)]])</f>
        <v>10050</v>
      </c>
      <c r="BC189" s="7" t="str">
        <f>Table43[[#This Row],[Nama            Gramasi atau Jumlah Pack per CTN]]</f>
        <v>50ML</v>
      </c>
      <c r="BD189" s="7"/>
      <c r="BE189" s="7"/>
      <c r="BF189" s="4" t="str">
        <f>IF(Table43[[#This Row],[SATUAN Fix Win]]&lt;&gt;"","KRT")</f>
        <v>KRT</v>
      </c>
      <c r="BG189" s="4" t="str">
        <f>IF(Table43[[#This Row],[SATUAN Fix Win]]&lt;&gt;"","GD01")</f>
        <v>GD01</v>
      </c>
      <c r="BH189" s="4">
        <f>IF(Table43[[#This Row],[SATUAN Fix Win]]&lt;&gt;"",11611)</f>
        <v>11611</v>
      </c>
      <c r="BI189" s="4">
        <f>IF(Table43[[#This Row],[SATUAN Fix Win]]&lt;&gt;"",11612)</f>
        <v>11612</v>
      </c>
      <c r="BJ189" s="48"/>
      <c r="BK189" s="4">
        <f>IF(Table43[[#This Row],[SATUAN Fix Win]]&lt;&gt;"",1)</f>
        <v>1</v>
      </c>
    </row>
    <row r="190" spans="1:67">
      <c r="A190" s="4" t="str">
        <f>CONCATENATE(Table43[[#This Row],[Kode BARANG Win2]],Table43[[#This Row],[No. Urut
Item Sama]])</f>
        <v>K11110080100101</v>
      </c>
      <c r="B190" s="7">
        <v>1</v>
      </c>
      <c r="D190" s="28" t="s">
        <v>4067</v>
      </c>
      <c r="E190" s="28"/>
      <c r="F190" s="28">
        <v>0</v>
      </c>
      <c r="G190" s="78">
        <v>36</v>
      </c>
      <c r="H190" s="43"/>
      <c r="I190" s="28" t="str">
        <f>Table43[[#This Row],[Nama Jenis Kemasan]]</f>
        <v>BTL</v>
      </c>
      <c r="J190" s="4" t="str">
        <f>TRIM(CONCATENATE(Table43[[#This Row],[Nama            KLP]]," ",Table43[[#This Row],[Nama            Sub KLP]]))</f>
        <v>ESKULIN COLOGNE</v>
      </c>
      <c r="K190" s="4" t="str">
        <f>CONCATENATE(Table43[[#This Row],[kode  2 Digit                (hrf+No)]],Table43[[#This Row],[kode  2 Digit                (Nomor)]],Table43[[#This Row],[kode  1 Digit                (Nomor)]])</f>
        <v>K1111</v>
      </c>
      <c r="L190" s="4" t="str">
        <f t="shared" si="9"/>
        <v>K1111008010010</v>
      </c>
      <c r="M190" s="11">
        <f t="shared" si="10"/>
        <v>14</v>
      </c>
      <c r="N190" s="14" t="str">
        <f>IF(AF190&lt;&gt;"",TRIM(UPPER(CONCATENATE(P190," ",R190," ",T190," ",V190," ",X190," ",Z190," ","X"," ",Table43[[#This Row],[ISI/CTN]]," ",AF190," ",AB190," ",AD190," ",AH190))),TRIM(UPPER(CONCATENATE(P190," ",R190," ",T190," ",V190," ",X190," ",Z190," ","X"," ",Table43[[#This Row],[ISI/CTN]]," ",AB190," ",AD190," ",AH190))))</f>
        <v>KNF ESKULIN COLOGNE GLEEFUL YELLOW 100ML X 36 BTL</v>
      </c>
      <c r="O190" s="11">
        <f t="shared" si="11"/>
        <v>49</v>
      </c>
      <c r="P190" s="4" t="s">
        <v>97</v>
      </c>
      <c r="Q190" s="7" t="s">
        <v>98</v>
      </c>
      <c r="R190" s="4" t="s">
        <v>3703</v>
      </c>
      <c r="S190" s="44" t="s">
        <v>3550</v>
      </c>
      <c r="T190" s="45" t="s">
        <v>3704</v>
      </c>
      <c r="U190" s="7" t="s">
        <v>2656</v>
      </c>
      <c r="V190" s="45" t="s">
        <v>2961</v>
      </c>
      <c r="W190" s="44" t="s">
        <v>2900</v>
      </c>
      <c r="X190" s="4" t="s">
        <v>3717</v>
      </c>
      <c r="Y190" s="46" t="s">
        <v>2478</v>
      </c>
      <c r="Z190" s="4" t="s">
        <v>3588</v>
      </c>
      <c r="AA190" s="46" t="s">
        <v>2487</v>
      </c>
      <c r="AB190" s="4" t="s">
        <v>357</v>
      </c>
      <c r="AC190" s="7" t="s">
        <v>2656</v>
      </c>
      <c r="AD190" s="4" t="s">
        <v>2961</v>
      </c>
      <c r="AE190" s="7" t="s">
        <v>2900</v>
      </c>
      <c r="AF190" s="7" t="s">
        <v>2961</v>
      </c>
      <c r="AG190" s="7" t="s">
        <v>2961</v>
      </c>
      <c r="AI190" s="7" t="s">
        <v>4100</v>
      </c>
      <c r="AJ190" s="7" t="s">
        <v>2656</v>
      </c>
      <c r="AK190" s="41">
        <f>Table43[[#This Row],[Harga Jual Pcs GT
(-PPN)]]-(Table43[[#This Row],[Harga Jual Pcs GT
(-PPN)]]*10%)</f>
        <v>0</v>
      </c>
      <c r="AL190" s="42">
        <f>Table43[[#This Row],[Harga Beli Pcs
(-PPN)]]*Table43[[#This Row],[ISI/CTN]]</f>
        <v>0</v>
      </c>
      <c r="AM190" s="42">
        <f>Table43[[#This Row],[Harga Beli Pcs
(-PPN)]]*1.11</f>
        <v>0</v>
      </c>
      <c r="AN190" s="42">
        <f>Table43[[#This Row],[Harga Beli Krt
(- PPN)]]*1.11</f>
        <v>0</v>
      </c>
      <c r="AO190" s="42"/>
      <c r="AP190" s="42">
        <f>Table43[[#This Row],[Harga Jual Pcs GT
(-PPN)]]*Table43[[#This Row],[ISI/CTN]]</f>
        <v>0</v>
      </c>
      <c r="AQ190" s="42">
        <f>Table43[[#This Row],[Harga Jual Pcs GT
(-PPN)]]*1.11</f>
        <v>0</v>
      </c>
      <c r="AR190" s="42">
        <f>Table43[[#This Row],[Harga Jual Krt GT
(- PPN)]]*1.11</f>
        <v>0</v>
      </c>
      <c r="AS190" s="42">
        <f>Table43[[#This Row],[Harga Jual Pcs GT
(-PPN)]]</f>
        <v>0</v>
      </c>
      <c r="AT190" s="42">
        <f>(Table43[[#This Row],[Harga Jual Pcs MT
(-PPN)]]*Table43[[#This Row],[ISI/CTN]])</f>
        <v>0</v>
      </c>
      <c r="AU190" s="42">
        <f>Table43[[#This Row],[Harga Jual Pcs MT
(-PPN)]]*1.11</f>
        <v>0</v>
      </c>
      <c r="AV190" s="42">
        <f>Table43[[#This Row],[Harga Jual Pcs MT
(+PPN)]]*Table43[[#This Row],[ISI/CTN]]</f>
        <v>0</v>
      </c>
      <c r="AW190" s="47"/>
      <c r="AX190" s="7"/>
      <c r="AY190" s="7" t="str">
        <f ca="1">IF(TODAY()-Table43[[#This Row],[Efektif
Pembuatan]]&gt;60,"Lama","Baru")</f>
        <v>Lama</v>
      </c>
      <c r="AZ190" s="7" t="str">
        <f ca="1">IF(TODAY()-Table43[[#This Row],[Efektif Naik Harga]]&lt;30,"Naik","Sama")</f>
        <v>Sama</v>
      </c>
      <c r="BA190" s="7" t="str">
        <f>IF(Table43[[#This Row],[Kode BARANG Win2]]&lt;&gt;"","IDR","")</f>
        <v>IDR</v>
      </c>
      <c r="BB190" s="7" t="str">
        <f>CONCATENATE(Table43[[#This Row],[kode  1 Digit
(Nomor)]],Table43[[#This Row],[kode  4 Digit                (Nomor)]])</f>
        <v>10100</v>
      </c>
      <c r="BC190" s="7" t="str">
        <f>Table43[[#This Row],[Nama            Gramasi atau Jumlah Pack per CTN]]</f>
        <v>100ML</v>
      </c>
      <c r="BD190" s="7"/>
      <c r="BE190" s="7"/>
      <c r="BF190" s="4" t="str">
        <f>IF(Table43[[#This Row],[SATUAN Fix Win]]&lt;&gt;"","KRT")</f>
        <v>KRT</v>
      </c>
      <c r="BG190" s="4" t="str">
        <f>IF(Table43[[#This Row],[SATUAN Fix Win]]&lt;&gt;"","GD01")</f>
        <v>GD01</v>
      </c>
      <c r="BH190" s="4">
        <f>IF(Table43[[#This Row],[SATUAN Fix Win]]&lt;&gt;"",11611)</f>
        <v>11611</v>
      </c>
      <c r="BI190" s="4">
        <f>IF(Table43[[#This Row],[SATUAN Fix Win]]&lt;&gt;"",11612)</f>
        <v>11612</v>
      </c>
      <c r="BJ190" s="48"/>
      <c r="BK190" s="4">
        <f>IF(Table43[[#This Row],[SATUAN Fix Win]]&lt;&gt;"",1)</f>
        <v>1</v>
      </c>
    </row>
    <row r="191" spans="1:67">
      <c r="A191" s="4" t="str">
        <f>CONCATENATE(Table43[[#This Row],[Kode BARANG Win2]],Table43[[#This Row],[No. Urut
Item Sama]])</f>
        <v>K11110090050101</v>
      </c>
      <c r="B191" s="7">
        <v>1</v>
      </c>
      <c r="D191" s="28" t="s">
        <v>4068</v>
      </c>
      <c r="E191" s="28"/>
      <c r="F191" s="28">
        <v>0</v>
      </c>
      <c r="G191" s="78">
        <v>36</v>
      </c>
      <c r="H191" s="43"/>
      <c r="I191" s="28" t="str">
        <f>Table43[[#This Row],[Nama Jenis Kemasan]]</f>
        <v>BTL</v>
      </c>
      <c r="J191" s="4" t="str">
        <f>TRIM(CONCATENATE(Table43[[#This Row],[Nama            KLP]]," ",Table43[[#This Row],[Nama            Sub KLP]]))</f>
        <v>ESKULIN COLOGNE</v>
      </c>
      <c r="K191" s="4" t="str">
        <f>CONCATENATE(Table43[[#This Row],[kode  2 Digit                (hrf+No)]],Table43[[#This Row],[kode  2 Digit                (Nomor)]],Table43[[#This Row],[kode  1 Digit                (Nomor)]])</f>
        <v>K1111</v>
      </c>
      <c r="L191" s="4" t="str">
        <f t="shared" si="9"/>
        <v>K1111009005010</v>
      </c>
      <c r="M191" s="11">
        <f t="shared" si="10"/>
        <v>14</v>
      </c>
      <c r="N191" s="14" t="str">
        <f>IF(AF191&lt;&gt;"",TRIM(UPPER(CONCATENATE(P191," ",R191," ",T191," ",V191," ",X191," ",Z191," ","X"," ",Table43[[#This Row],[ISI/CTN]]," ",AF191," ",AB191," ",AD191," ",AH191))),TRIM(UPPER(CONCATENATE(P191," ",R191," ",T191," ",V191," ",X191," ",Z191," ","X"," ",Table43[[#This Row],[ISI/CTN]]," ",AB191," ",AD191," ",AH191))))</f>
        <v>KNF ESKULIN COLOGNE ENCHANTING WHITE 50ML X 36 BTL</v>
      </c>
      <c r="O191" s="11">
        <f t="shared" si="11"/>
        <v>50</v>
      </c>
      <c r="P191" s="4" t="s">
        <v>97</v>
      </c>
      <c r="Q191" s="7" t="s">
        <v>98</v>
      </c>
      <c r="R191" s="4" t="s">
        <v>3703</v>
      </c>
      <c r="S191" s="44" t="s">
        <v>3550</v>
      </c>
      <c r="T191" s="45" t="s">
        <v>3704</v>
      </c>
      <c r="U191" s="7" t="s">
        <v>2656</v>
      </c>
      <c r="V191" s="45" t="s">
        <v>2961</v>
      </c>
      <c r="W191" s="44" t="s">
        <v>2900</v>
      </c>
      <c r="X191" s="4" t="s">
        <v>3718</v>
      </c>
      <c r="Y191" s="46" t="s">
        <v>2479</v>
      </c>
      <c r="Z191" s="4" t="s">
        <v>3654</v>
      </c>
      <c r="AA191" s="46" t="s">
        <v>2490</v>
      </c>
      <c r="AB191" s="4" t="s">
        <v>357</v>
      </c>
      <c r="AC191" s="7" t="s">
        <v>2656</v>
      </c>
      <c r="AD191" s="4" t="s">
        <v>2961</v>
      </c>
      <c r="AE191" s="7" t="s">
        <v>2900</v>
      </c>
      <c r="AF191" s="7" t="s">
        <v>2961</v>
      </c>
      <c r="AG191" s="7" t="s">
        <v>2961</v>
      </c>
      <c r="AI191" s="7" t="s">
        <v>4100</v>
      </c>
      <c r="AJ191" s="7" t="s">
        <v>2656</v>
      </c>
      <c r="AK191" s="41">
        <f>Table43[[#This Row],[Harga Jual Pcs GT
(-PPN)]]-(Table43[[#This Row],[Harga Jual Pcs GT
(-PPN)]]*10%)</f>
        <v>0</v>
      </c>
      <c r="AL191" s="42">
        <f>Table43[[#This Row],[Harga Beli Pcs
(-PPN)]]*Table43[[#This Row],[ISI/CTN]]</f>
        <v>0</v>
      </c>
      <c r="AM191" s="42">
        <f>Table43[[#This Row],[Harga Beli Pcs
(-PPN)]]*1.11</f>
        <v>0</v>
      </c>
      <c r="AN191" s="42">
        <f>Table43[[#This Row],[Harga Beli Krt
(- PPN)]]*1.11</f>
        <v>0</v>
      </c>
      <c r="AO191" s="42"/>
      <c r="AP191" s="42">
        <f>Table43[[#This Row],[Harga Jual Pcs GT
(-PPN)]]*Table43[[#This Row],[ISI/CTN]]</f>
        <v>0</v>
      </c>
      <c r="AQ191" s="42">
        <f>Table43[[#This Row],[Harga Jual Pcs GT
(-PPN)]]*1.11</f>
        <v>0</v>
      </c>
      <c r="AR191" s="42">
        <f>Table43[[#This Row],[Harga Jual Krt GT
(- PPN)]]*1.11</f>
        <v>0</v>
      </c>
      <c r="AS191" s="42">
        <f>Table43[[#This Row],[Harga Jual Pcs GT
(-PPN)]]</f>
        <v>0</v>
      </c>
      <c r="AT191" s="42">
        <f>(Table43[[#This Row],[Harga Jual Pcs MT
(-PPN)]]*Table43[[#This Row],[ISI/CTN]])</f>
        <v>0</v>
      </c>
      <c r="AU191" s="42">
        <f>Table43[[#This Row],[Harga Jual Pcs MT
(-PPN)]]*1.11</f>
        <v>0</v>
      </c>
      <c r="AV191" s="42">
        <f>Table43[[#This Row],[Harga Jual Pcs MT
(+PPN)]]*Table43[[#This Row],[ISI/CTN]]</f>
        <v>0</v>
      </c>
      <c r="AW191" s="47"/>
      <c r="AX191" s="7"/>
      <c r="AY191" s="7" t="str">
        <f ca="1">IF(TODAY()-Table43[[#This Row],[Efektif
Pembuatan]]&gt;60,"Lama","Baru")</f>
        <v>Lama</v>
      </c>
      <c r="AZ191" s="7" t="str">
        <f ca="1">IF(TODAY()-Table43[[#This Row],[Efektif Naik Harga]]&lt;30,"Naik","Sama")</f>
        <v>Sama</v>
      </c>
      <c r="BA191" s="7" t="str">
        <f>IF(Table43[[#This Row],[Kode BARANG Win2]]&lt;&gt;"","IDR","")</f>
        <v>IDR</v>
      </c>
      <c r="BB191" s="7" t="str">
        <f>CONCATENATE(Table43[[#This Row],[kode  1 Digit
(Nomor)]],Table43[[#This Row],[kode  4 Digit                (Nomor)]])</f>
        <v>10050</v>
      </c>
      <c r="BC191" s="7" t="str">
        <f>Table43[[#This Row],[Nama            Gramasi atau Jumlah Pack per CTN]]</f>
        <v>50ML</v>
      </c>
      <c r="BD191" s="7"/>
      <c r="BE191" s="7"/>
      <c r="BF191" s="4" t="str">
        <f>IF(Table43[[#This Row],[SATUAN Fix Win]]&lt;&gt;"","KRT")</f>
        <v>KRT</v>
      </c>
      <c r="BG191" s="4" t="str">
        <f>IF(Table43[[#This Row],[SATUAN Fix Win]]&lt;&gt;"","GD01")</f>
        <v>GD01</v>
      </c>
      <c r="BH191" s="4">
        <f>IF(Table43[[#This Row],[SATUAN Fix Win]]&lt;&gt;"",11611)</f>
        <v>11611</v>
      </c>
      <c r="BI191" s="4">
        <f>IF(Table43[[#This Row],[SATUAN Fix Win]]&lt;&gt;"",11612)</f>
        <v>11612</v>
      </c>
      <c r="BJ191" s="48"/>
      <c r="BK191" s="4">
        <f>IF(Table43[[#This Row],[SATUAN Fix Win]]&lt;&gt;"",1)</f>
        <v>1</v>
      </c>
    </row>
    <row r="192" spans="1:67">
      <c r="A192" s="4" t="str">
        <f>CONCATENATE(Table43[[#This Row],[Kode BARANG Win2]],Table43[[#This Row],[No. Urut
Item Sama]])</f>
        <v>K11110090050101</v>
      </c>
      <c r="B192" s="7">
        <v>1</v>
      </c>
      <c r="D192" s="28" t="s">
        <v>4069</v>
      </c>
      <c r="E192" s="28"/>
      <c r="F192" s="28">
        <v>0</v>
      </c>
      <c r="G192" s="78">
        <v>36</v>
      </c>
      <c r="H192" s="43"/>
      <c r="I192" s="28" t="str">
        <f>Table43[[#This Row],[Nama Jenis Kemasan]]</f>
        <v>BTL</v>
      </c>
      <c r="J192" s="4" t="str">
        <f>TRIM(CONCATENATE(Table43[[#This Row],[Nama            KLP]]," ",Table43[[#This Row],[Nama            Sub KLP]]))</f>
        <v>ESKULIN COLOGNE</v>
      </c>
      <c r="K192" s="4" t="str">
        <f>CONCATENATE(Table43[[#This Row],[kode  2 Digit                (hrf+No)]],Table43[[#This Row],[kode  2 Digit                (Nomor)]],Table43[[#This Row],[kode  1 Digit                (Nomor)]])</f>
        <v>K1111</v>
      </c>
      <c r="L192" s="4" t="str">
        <f t="shared" si="9"/>
        <v>K1111009005010</v>
      </c>
      <c r="M192" s="11">
        <f t="shared" si="10"/>
        <v>14</v>
      </c>
      <c r="N192" s="14" t="str">
        <f>IF(AF192&lt;&gt;"",TRIM(UPPER(CONCATENATE(P192," ",R192," ",T192," ",V192," ",X192," ",Z192," ","X"," ",Table43[[#This Row],[ISI/CTN]]," ",AF192," ",AB192," ",AD192," ",AH192))),TRIM(UPPER(CONCATENATE(P192," ",R192," ",T192," ",V192," ",X192," ",Z192," ","X"," ",Table43[[#This Row],[ISI/CTN]]," ",AB192," ",AD192," ",AH192))))</f>
        <v>KNF ESKULIN COLOGNE ENCHANTING WHITE 50ML X 36 BTL</v>
      </c>
      <c r="O192" s="11">
        <f t="shared" si="11"/>
        <v>50</v>
      </c>
      <c r="P192" s="4" t="s">
        <v>97</v>
      </c>
      <c r="Q192" s="7" t="s">
        <v>98</v>
      </c>
      <c r="R192" s="4" t="s">
        <v>3703</v>
      </c>
      <c r="S192" s="44" t="s">
        <v>3550</v>
      </c>
      <c r="T192" s="45" t="s">
        <v>3704</v>
      </c>
      <c r="U192" s="7" t="s">
        <v>2656</v>
      </c>
      <c r="V192" s="45" t="s">
        <v>2961</v>
      </c>
      <c r="W192" s="44" t="s">
        <v>2900</v>
      </c>
      <c r="X192" s="4" t="s">
        <v>3718</v>
      </c>
      <c r="Y192" s="46" t="s">
        <v>2479</v>
      </c>
      <c r="Z192" s="4" t="s">
        <v>3654</v>
      </c>
      <c r="AA192" s="46" t="s">
        <v>2490</v>
      </c>
      <c r="AB192" s="4" t="s">
        <v>357</v>
      </c>
      <c r="AC192" s="7" t="s">
        <v>2656</v>
      </c>
      <c r="AD192" s="4" t="s">
        <v>2961</v>
      </c>
      <c r="AE192" s="7" t="s">
        <v>2900</v>
      </c>
      <c r="AF192" s="7" t="s">
        <v>2961</v>
      </c>
      <c r="AG192" s="7" t="s">
        <v>2961</v>
      </c>
      <c r="AI192" s="7" t="s">
        <v>4100</v>
      </c>
      <c r="AJ192" s="7" t="s">
        <v>2656</v>
      </c>
      <c r="AK192" s="41">
        <f>Table43[[#This Row],[Harga Jual Pcs GT
(-PPN)]]-(Table43[[#This Row],[Harga Jual Pcs GT
(-PPN)]]*10%)</f>
        <v>0</v>
      </c>
      <c r="AL192" s="42">
        <f>Table43[[#This Row],[Harga Beli Pcs
(-PPN)]]*Table43[[#This Row],[ISI/CTN]]</f>
        <v>0</v>
      </c>
      <c r="AM192" s="42">
        <f>Table43[[#This Row],[Harga Beli Pcs
(-PPN)]]*1.11</f>
        <v>0</v>
      </c>
      <c r="AN192" s="42">
        <f>Table43[[#This Row],[Harga Beli Krt
(- PPN)]]*1.11</f>
        <v>0</v>
      </c>
      <c r="AO192" s="42"/>
      <c r="AP192" s="42">
        <f>Table43[[#This Row],[Harga Jual Pcs GT
(-PPN)]]*Table43[[#This Row],[ISI/CTN]]</f>
        <v>0</v>
      </c>
      <c r="AQ192" s="42">
        <f>Table43[[#This Row],[Harga Jual Pcs GT
(-PPN)]]*1.11</f>
        <v>0</v>
      </c>
      <c r="AR192" s="42">
        <f>Table43[[#This Row],[Harga Jual Krt GT
(- PPN)]]*1.11</f>
        <v>0</v>
      </c>
      <c r="AS192" s="42">
        <f>Table43[[#This Row],[Harga Jual Pcs GT
(-PPN)]]</f>
        <v>0</v>
      </c>
      <c r="AT192" s="42">
        <f>(Table43[[#This Row],[Harga Jual Pcs MT
(-PPN)]]*Table43[[#This Row],[ISI/CTN]])</f>
        <v>0</v>
      </c>
      <c r="AU192" s="42">
        <f>Table43[[#This Row],[Harga Jual Pcs MT
(-PPN)]]*1.11</f>
        <v>0</v>
      </c>
      <c r="AV192" s="42">
        <f>Table43[[#This Row],[Harga Jual Pcs MT
(+PPN)]]*Table43[[#This Row],[ISI/CTN]]</f>
        <v>0</v>
      </c>
      <c r="AW192" s="47"/>
      <c r="AX192" s="7"/>
      <c r="AY192" s="7" t="str">
        <f ca="1">IF(TODAY()-Table43[[#This Row],[Efektif
Pembuatan]]&gt;60,"Lama","Baru")</f>
        <v>Lama</v>
      </c>
      <c r="AZ192" s="7" t="str">
        <f ca="1">IF(TODAY()-Table43[[#This Row],[Efektif Naik Harga]]&lt;30,"Naik","Sama")</f>
        <v>Sama</v>
      </c>
      <c r="BA192" s="7" t="str">
        <f>IF(Table43[[#This Row],[Kode BARANG Win2]]&lt;&gt;"","IDR","")</f>
        <v>IDR</v>
      </c>
      <c r="BB192" s="7" t="str">
        <f>CONCATENATE(Table43[[#This Row],[kode  1 Digit
(Nomor)]],Table43[[#This Row],[kode  4 Digit                (Nomor)]])</f>
        <v>10050</v>
      </c>
      <c r="BC192" s="7" t="str">
        <f>Table43[[#This Row],[Nama            Gramasi atau Jumlah Pack per CTN]]</f>
        <v>50ML</v>
      </c>
      <c r="BD192" s="7"/>
      <c r="BE192" s="7"/>
      <c r="BF192" s="4" t="str">
        <f>IF(Table43[[#This Row],[SATUAN Fix Win]]&lt;&gt;"","KRT")</f>
        <v>KRT</v>
      </c>
      <c r="BG192" s="4" t="str">
        <f>IF(Table43[[#This Row],[SATUAN Fix Win]]&lt;&gt;"","GD01")</f>
        <v>GD01</v>
      </c>
      <c r="BH192" s="4">
        <f>IF(Table43[[#This Row],[SATUAN Fix Win]]&lt;&gt;"",11611)</f>
        <v>11611</v>
      </c>
      <c r="BI192" s="4">
        <f>IF(Table43[[#This Row],[SATUAN Fix Win]]&lt;&gt;"",11612)</f>
        <v>11612</v>
      </c>
      <c r="BJ192" s="48"/>
      <c r="BK192" s="4">
        <f>IF(Table43[[#This Row],[SATUAN Fix Win]]&lt;&gt;"",1)</f>
        <v>1</v>
      </c>
    </row>
    <row r="193" spans="1:63">
      <c r="A193" s="4" t="str">
        <f>CONCATENATE(Table43[[#This Row],[Kode BARANG Win2]],Table43[[#This Row],[No. Urut
Item Sama]])</f>
        <v>K11110090100101</v>
      </c>
      <c r="B193" s="7">
        <v>1</v>
      </c>
      <c r="D193" s="28" t="s">
        <v>931</v>
      </c>
      <c r="E193" s="28"/>
      <c r="F193" s="28" t="s">
        <v>3015</v>
      </c>
      <c r="G193" s="78">
        <v>36</v>
      </c>
      <c r="H193" s="43"/>
      <c r="I193" s="28" t="str">
        <f>Table43[[#This Row],[Nama Jenis Kemasan]]</f>
        <v>BTL</v>
      </c>
      <c r="J193" s="4" t="str">
        <f>TRIM(CONCATENATE(Table43[[#This Row],[Nama            KLP]]," ",Table43[[#This Row],[Nama            Sub KLP]]))</f>
        <v>ESKULIN COLOGNE</v>
      </c>
      <c r="K193" s="4" t="str">
        <f>CONCATENATE(Table43[[#This Row],[kode  2 Digit                (hrf+No)]],Table43[[#This Row],[kode  2 Digit                (Nomor)]],Table43[[#This Row],[kode  1 Digit                (Nomor)]])</f>
        <v>K1111</v>
      </c>
      <c r="L193" s="4" t="str">
        <f t="shared" si="9"/>
        <v>K1111009010010</v>
      </c>
      <c r="M193" s="11">
        <f t="shared" si="10"/>
        <v>14</v>
      </c>
      <c r="N193" s="14" t="str">
        <f>IF(AF193&lt;&gt;"",TRIM(UPPER(CONCATENATE(P193," ",R193," ",T193," ",V193," ",X193," ",Z193," ","X"," ",Table43[[#This Row],[ISI/CTN]]," ",AF193," ",AB193," ",AD193," ",AH193))),TRIM(UPPER(CONCATENATE(P193," ",R193," ",T193," ",V193," ",X193," ",Z193," ","X"," ",Table43[[#This Row],[ISI/CTN]]," ",AB193," ",AD193," ",AH193))))</f>
        <v>KNF ESKULIN COLOGNE GEL ENCHANTING 100ML X 36 BTL</v>
      </c>
      <c r="O193" s="11">
        <f t="shared" si="11"/>
        <v>49</v>
      </c>
      <c r="P193" s="4" t="s">
        <v>97</v>
      </c>
      <c r="Q193" s="7" t="s">
        <v>98</v>
      </c>
      <c r="R193" s="4" t="s">
        <v>3703</v>
      </c>
      <c r="S193" s="44" t="s">
        <v>3550</v>
      </c>
      <c r="T193" s="45" t="s">
        <v>3704</v>
      </c>
      <c r="U193" s="7" t="s">
        <v>2656</v>
      </c>
      <c r="V193" s="45" t="s">
        <v>2961</v>
      </c>
      <c r="W193" s="44" t="s">
        <v>2900</v>
      </c>
      <c r="X193" s="4" t="s">
        <v>3719</v>
      </c>
      <c r="Y193" s="46" t="s">
        <v>2479</v>
      </c>
      <c r="Z193" s="4" t="s">
        <v>3588</v>
      </c>
      <c r="AA193" s="46" t="s">
        <v>2487</v>
      </c>
      <c r="AB193" s="4" t="s">
        <v>357</v>
      </c>
      <c r="AC193" s="7" t="s">
        <v>2656</v>
      </c>
      <c r="AD193" s="4" t="s">
        <v>2961</v>
      </c>
      <c r="AE193" s="7" t="s">
        <v>2900</v>
      </c>
      <c r="AF193" s="7" t="s">
        <v>2961</v>
      </c>
      <c r="AG193" s="7" t="s">
        <v>2961</v>
      </c>
      <c r="AI193" s="7" t="s">
        <v>4100</v>
      </c>
      <c r="AJ193" s="7" t="s">
        <v>2656</v>
      </c>
      <c r="AK193" s="41">
        <f>Table43[[#This Row],[Harga Jual Pcs GT
(-PPN)]]-(Table43[[#This Row],[Harga Jual Pcs GT
(-PPN)]]*10%)</f>
        <v>0</v>
      </c>
      <c r="AL193" s="42">
        <f>Table43[[#This Row],[Harga Beli Pcs
(-PPN)]]*Table43[[#This Row],[ISI/CTN]]</f>
        <v>0</v>
      </c>
      <c r="AM193" s="42">
        <f>Table43[[#This Row],[Harga Beli Pcs
(-PPN)]]*1.11</f>
        <v>0</v>
      </c>
      <c r="AN193" s="42">
        <f>Table43[[#This Row],[Harga Beli Krt
(- PPN)]]*1.11</f>
        <v>0</v>
      </c>
      <c r="AO193" s="42"/>
      <c r="AP193" s="42">
        <f>Table43[[#This Row],[Harga Jual Pcs GT
(-PPN)]]*Table43[[#This Row],[ISI/CTN]]</f>
        <v>0</v>
      </c>
      <c r="AQ193" s="42">
        <f>Table43[[#This Row],[Harga Jual Pcs GT
(-PPN)]]*1.11</f>
        <v>0</v>
      </c>
      <c r="AR193" s="42">
        <f>Table43[[#This Row],[Harga Jual Krt GT
(- PPN)]]*1.11</f>
        <v>0</v>
      </c>
      <c r="AS193" s="42">
        <f>Table43[[#This Row],[Harga Jual Pcs GT
(-PPN)]]</f>
        <v>0</v>
      </c>
      <c r="AT193" s="42">
        <f>(Table43[[#This Row],[Harga Jual Pcs MT
(-PPN)]]*Table43[[#This Row],[ISI/CTN]])</f>
        <v>0</v>
      </c>
      <c r="AU193" s="42">
        <f>Table43[[#This Row],[Harga Jual Pcs MT
(-PPN)]]*1.11</f>
        <v>0</v>
      </c>
      <c r="AV193" s="42">
        <f>Table43[[#This Row],[Harga Jual Pcs MT
(+PPN)]]*Table43[[#This Row],[ISI/CTN]]</f>
        <v>0</v>
      </c>
      <c r="AW193" s="47"/>
      <c r="AX193" s="7"/>
      <c r="AY193" s="7" t="str">
        <f ca="1">IF(TODAY()-Table43[[#This Row],[Efektif
Pembuatan]]&gt;60,"Lama","Baru")</f>
        <v>Lama</v>
      </c>
      <c r="AZ193" s="7" t="str">
        <f ca="1">IF(TODAY()-Table43[[#This Row],[Efektif Naik Harga]]&lt;30,"Naik","Sama")</f>
        <v>Sama</v>
      </c>
      <c r="BA193" s="7" t="str">
        <f>IF(Table43[[#This Row],[Kode BARANG Win2]]&lt;&gt;"","IDR","")</f>
        <v>IDR</v>
      </c>
      <c r="BB193" s="7" t="str">
        <f>CONCATENATE(Table43[[#This Row],[kode  1 Digit
(Nomor)]],Table43[[#This Row],[kode  4 Digit                (Nomor)]])</f>
        <v>10100</v>
      </c>
      <c r="BC193" s="7" t="str">
        <f>Table43[[#This Row],[Nama            Gramasi atau Jumlah Pack per CTN]]</f>
        <v>100ML</v>
      </c>
      <c r="BD193" s="7"/>
      <c r="BE193" s="7"/>
      <c r="BF193" s="4" t="str">
        <f>IF(Table43[[#This Row],[SATUAN Fix Win]]&lt;&gt;"","KRT")</f>
        <v>KRT</v>
      </c>
      <c r="BG193" s="4" t="str">
        <f>IF(Table43[[#This Row],[SATUAN Fix Win]]&lt;&gt;"","GD01")</f>
        <v>GD01</v>
      </c>
      <c r="BH193" s="4">
        <f>IF(Table43[[#This Row],[SATUAN Fix Win]]&lt;&gt;"",11611)</f>
        <v>11611</v>
      </c>
      <c r="BI193" s="4">
        <f>IF(Table43[[#This Row],[SATUAN Fix Win]]&lt;&gt;"",11612)</f>
        <v>11612</v>
      </c>
      <c r="BJ193" s="48"/>
      <c r="BK193" s="4">
        <f>IF(Table43[[#This Row],[SATUAN Fix Win]]&lt;&gt;"",1)</f>
        <v>1</v>
      </c>
    </row>
    <row r="194" spans="1:63">
      <c r="A194" s="4" t="str">
        <f>CONCATENATE(Table43[[#This Row],[Kode BARANG Win2]],Table43[[#This Row],[No. Urut
Item Sama]])</f>
        <v>K11120010100101</v>
      </c>
      <c r="B194" s="7">
        <v>1</v>
      </c>
      <c r="D194" s="28" t="s">
        <v>975</v>
      </c>
      <c r="E194" s="28"/>
      <c r="F194" s="28" t="s">
        <v>3016</v>
      </c>
      <c r="G194" s="78">
        <v>24</v>
      </c>
      <c r="H194" s="43"/>
      <c r="I194" s="28" t="str">
        <f>Table43[[#This Row],[Nama Jenis Kemasan]]</f>
        <v>BTL</v>
      </c>
      <c r="J194" s="4" t="str">
        <f>TRIM(CONCATENATE(Table43[[#This Row],[Nama            KLP]]," ",Table43[[#This Row],[Nama            Sub KLP]]))</f>
        <v>ESKULIN EDP</v>
      </c>
      <c r="K194" s="4" t="str">
        <f>CONCATENATE(Table43[[#This Row],[kode  2 Digit                (hrf+No)]],Table43[[#This Row],[kode  2 Digit                (Nomor)]],Table43[[#This Row],[kode  1 Digit                (Nomor)]])</f>
        <v>K1112</v>
      </c>
      <c r="L194" s="4" t="str">
        <f t="shared" si="9"/>
        <v>K1112001010010</v>
      </c>
      <c r="M194" s="11">
        <f t="shared" si="10"/>
        <v>14</v>
      </c>
      <c r="N194" s="14" t="str">
        <f>IF(AF194&lt;&gt;"",TRIM(UPPER(CONCATENATE(P194," ",R194," ",T194," ",V194," ",X194," ",Z194," ","X"," ",Table43[[#This Row],[ISI/CTN]]," ",AF194," ",AB194," ",AD194," ",AH194))),TRIM(UPPER(CONCATENATE(P194," ",R194," ",T194," ",V194," ",X194," ",Z194," ","X"," ",Table43[[#This Row],[ISI/CTN]]," ",AB194," ",AD194," ",AH194))))</f>
        <v>KNF ESKULIN EDP BLUSHING 100ML X 24 BTL</v>
      </c>
      <c r="O194" s="11">
        <f t="shared" si="11"/>
        <v>39</v>
      </c>
      <c r="P194" s="4" t="s">
        <v>97</v>
      </c>
      <c r="Q194" s="7" t="s">
        <v>98</v>
      </c>
      <c r="R194" s="4" t="s">
        <v>3703</v>
      </c>
      <c r="S194" s="44" t="s">
        <v>3550</v>
      </c>
      <c r="T194" s="45" t="s">
        <v>3552</v>
      </c>
      <c r="U194" s="7" t="s">
        <v>3562</v>
      </c>
      <c r="V194" s="45" t="s">
        <v>2961</v>
      </c>
      <c r="W194" s="44" t="s">
        <v>2900</v>
      </c>
      <c r="X194" s="4" t="s">
        <v>3720</v>
      </c>
      <c r="Y194" s="46" t="s">
        <v>0</v>
      </c>
      <c r="Z194" s="4" t="s">
        <v>3588</v>
      </c>
      <c r="AA194" s="46" t="s">
        <v>2487</v>
      </c>
      <c r="AB194" s="4" t="s">
        <v>357</v>
      </c>
      <c r="AC194" s="7" t="s">
        <v>2656</v>
      </c>
      <c r="AD194" s="4" t="s">
        <v>2961</v>
      </c>
      <c r="AE194" s="7" t="s">
        <v>2900</v>
      </c>
      <c r="AF194" s="7" t="s">
        <v>2961</v>
      </c>
      <c r="AG194" s="7" t="s">
        <v>2961</v>
      </c>
      <c r="AI194" s="7" t="s">
        <v>4100</v>
      </c>
      <c r="AJ194" s="7" t="s">
        <v>2656</v>
      </c>
      <c r="AK194" s="41">
        <f>Table43[[#This Row],[Harga Jual Pcs GT
(-PPN)]]-(Table43[[#This Row],[Harga Jual Pcs GT
(-PPN)]]*10%)</f>
        <v>0</v>
      </c>
      <c r="AL194" s="42">
        <f>Table43[[#This Row],[Harga Beli Pcs
(-PPN)]]*Table43[[#This Row],[ISI/CTN]]</f>
        <v>0</v>
      </c>
      <c r="AM194" s="42">
        <f>Table43[[#This Row],[Harga Beli Pcs
(-PPN)]]*1.11</f>
        <v>0</v>
      </c>
      <c r="AN194" s="42">
        <f>Table43[[#This Row],[Harga Beli Krt
(- PPN)]]*1.11</f>
        <v>0</v>
      </c>
      <c r="AO194" s="42"/>
      <c r="AP194" s="42">
        <f>Table43[[#This Row],[Harga Jual Pcs GT
(-PPN)]]*Table43[[#This Row],[ISI/CTN]]</f>
        <v>0</v>
      </c>
      <c r="AQ194" s="42">
        <f>Table43[[#This Row],[Harga Jual Pcs GT
(-PPN)]]*1.11</f>
        <v>0</v>
      </c>
      <c r="AR194" s="42">
        <f>Table43[[#This Row],[Harga Jual Krt GT
(- PPN)]]*1.11</f>
        <v>0</v>
      </c>
      <c r="AS194" s="42">
        <f>Table43[[#This Row],[Harga Jual Pcs GT
(-PPN)]]</f>
        <v>0</v>
      </c>
      <c r="AT194" s="42">
        <f>(Table43[[#This Row],[Harga Jual Pcs MT
(-PPN)]]*Table43[[#This Row],[ISI/CTN]])</f>
        <v>0</v>
      </c>
      <c r="AU194" s="42">
        <f>Table43[[#This Row],[Harga Jual Pcs MT
(-PPN)]]*1.11</f>
        <v>0</v>
      </c>
      <c r="AV194" s="42">
        <f>Table43[[#This Row],[Harga Jual Pcs MT
(+PPN)]]*Table43[[#This Row],[ISI/CTN]]</f>
        <v>0</v>
      </c>
      <c r="AW194" s="47"/>
      <c r="AX194" s="7"/>
      <c r="AY194" s="7" t="str">
        <f ca="1">IF(TODAY()-Table43[[#This Row],[Efektif
Pembuatan]]&gt;60,"Lama","Baru")</f>
        <v>Lama</v>
      </c>
      <c r="AZ194" s="7" t="str">
        <f ca="1">IF(TODAY()-Table43[[#This Row],[Efektif Naik Harga]]&lt;30,"Naik","Sama")</f>
        <v>Sama</v>
      </c>
      <c r="BA194" s="7" t="str">
        <f>IF(Table43[[#This Row],[Kode BARANG Win2]]&lt;&gt;"","IDR","")</f>
        <v>IDR</v>
      </c>
      <c r="BB194" s="7" t="str">
        <f>CONCATENATE(Table43[[#This Row],[kode  1 Digit
(Nomor)]],Table43[[#This Row],[kode  4 Digit                (Nomor)]])</f>
        <v>10100</v>
      </c>
      <c r="BC194" s="7" t="str">
        <f>Table43[[#This Row],[Nama            Gramasi atau Jumlah Pack per CTN]]</f>
        <v>100ML</v>
      </c>
      <c r="BD194" s="7"/>
      <c r="BE194" s="7"/>
      <c r="BF194" s="4" t="str">
        <f>IF(Table43[[#This Row],[SATUAN Fix Win]]&lt;&gt;"","KRT")</f>
        <v>KRT</v>
      </c>
      <c r="BG194" s="4" t="str">
        <f>IF(Table43[[#This Row],[SATUAN Fix Win]]&lt;&gt;"","GD01")</f>
        <v>GD01</v>
      </c>
      <c r="BH194" s="4">
        <f>IF(Table43[[#This Row],[SATUAN Fix Win]]&lt;&gt;"",11611)</f>
        <v>11611</v>
      </c>
      <c r="BI194" s="4">
        <f>IF(Table43[[#This Row],[SATUAN Fix Win]]&lt;&gt;"",11612)</f>
        <v>11612</v>
      </c>
      <c r="BJ194" s="48"/>
      <c r="BK194" s="4">
        <f>IF(Table43[[#This Row],[SATUAN Fix Win]]&lt;&gt;"",1)</f>
        <v>1</v>
      </c>
    </row>
    <row r="195" spans="1:63">
      <c r="A195" s="4" t="str">
        <f>CONCATENATE(Table43[[#This Row],[Kode BARANG Win2]],Table43[[#This Row],[No. Urut
Item Sama]])</f>
        <v>K11120020100101</v>
      </c>
      <c r="B195" s="7">
        <v>1</v>
      </c>
      <c r="D195" s="28" t="s">
        <v>976</v>
      </c>
      <c r="E195" s="28"/>
      <c r="F195" s="28" t="s">
        <v>3017</v>
      </c>
      <c r="G195" s="78">
        <v>24</v>
      </c>
      <c r="H195" s="43"/>
      <c r="I195" s="28" t="str">
        <f>Table43[[#This Row],[Nama Jenis Kemasan]]</f>
        <v>BTL</v>
      </c>
      <c r="J195" s="4" t="str">
        <f>TRIM(CONCATENATE(Table43[[#This Row],[Nama            KLP]]," ",Table43[[#This Row],[Nama            Sub KLP]]))</f>
        <v>ESKULIN EDP</v>
      </c>
      <c r="K195" s="4" t="str">
        <f>CONCATENATE(Table43[[#This Row],[kode  2 Digit                (hrf+No)]],Table43[[#This Row],[kode  2 Digit                (Nomor)]],Table43[[#This Row],[kode  1 Digit                (Nomor)]])</f>
        <v>K1112</v>
      </c>
      <c r="L195" s="4" t="str">
        <f t="shared" si="9"/>
        <v>K1112002010010</v>
      </c>
      <c r="M195" s="11">
        <f t="shared" si="10"/>
        <v>14</v>
      </c>
      <c r="N195" s="14" t="str">
        <f>IF(AF195&lt;&gt;"",TRIM(UPPER(CONCATENATE(P195," ",R195," ",T195," ",V195," ",X195," ",Z195," ","X"," ",Table43[[#This Row],[ISI/CTN]]," ",AF195," ",AB195," ",AD195," ",AH195))),TRIM(UPPER(CONCATENATE(P195," ",R195," ",T195," ",V195," ",X195," ",Z195," ","X"," ",Table43[[#This Row],[ISI/CTN]]," ",AB195," ",AD195," ",AH195))))</f>
        <v>KNF ESKULIN EDP ENCHANTING 100ML X 24 BTL</v>
      </c>
      <c r="O195" s="11">
        <f t="shared" si="11"/>
        <v>41</v>
      </c>
      <c r="P195" s="4" t="s">
        <v>97</v>
      </c>
      <c r="Q195" s="7" t="s">
        <v>98</v>
      </c>
      <c r="R195" s="4" t="s">
        <v>3703</v>
      </c>
      <c r="S195" s="44" t="s">
        <v>3550</v>
      </c>
      <c r="T195" s="45" t="s">
        <v>3552</v>
      </c>
      <c r="U195" s="7" t="s">
        <v>3562</v>
      </c>
      <c r="V195" s="45" t="s">
        <v>2961</v>
      </c>
      <c r="W195" s="44" t="s">
        <v>2900</v>
      </c>
      <c r="X195" s="4" t="s">
        <v>3721</v>
      </c>
      <c r="Y195" s="46" t="s">
        <v>2472</v>
      </c>
      <c r="Z195" s="4" t="s">
        <v>3588</v>
      </c>
      <c r="AA195" s="46" t="s">
        <v>2487</v>
      </c>
      <c r="AB195" s="4" t="s">
        <v>357</v>
      </c>
      <c r="AC195" s="7" t="s">
        <v>2656</v>
      </c>
      <c r="AD195" s="4" t="s">
        <v>2961</v>
      </c>
      <c r="AE195" s="7" t="s">
        <v>2900</v>
      </c>
      <c r="AF195" s="7" t="s">
        <v>2961</v>
      </c>
      <c r="AG195" s="7" t="s">
        <v>2961</v>
      </c>
      <c r="AI195" s="7" t="s">
        <v>4100</v>
      </c>
      <c r="AJ195" s="7" t="s">
        <v>2656</v>
      </c>
      <c r="AK195" s="41">
        <f>Table43[[#This Row],[Harga Jual Pcs GT
(-PPN)]]-(Table43[[#This Row],[Harga Jual Pcs GT
(-PPN)]]*10%)</f>
        <v>0</v>
      </c>
      <c r="AL195" s="42">
        <f>Table43[[#This Row],[Harga Beli Pcs
(-PPN)]]*Table43[[#This Row],[ISI/CTN]]</f>
        <v>0</v>
      </c>
      <c r="AM195" s="42">
        <f>Table43[[#This Row],[Harga Beli Pcs
(-PPN)]]*1.11</f>
        <v>0</v>
      </c>
      <c r="AN195" s="42">
        <f>Table43[[#This Row],[Harga Beli Krt
(- PPN)]]*1.11</f>
        <v>0</v>
      </c>
      <c r="AO195" s="42"/>
      <c r="AP195" s="42">
        <f>Table43[[#This Row],[Harga Jual Pcs GT
(-PPN)]]*Table43[[#This Row],[ISI/CTN]]</f>
        <v>0</v>
      </c>
      <c r="AQ195" s="42">
        <f>Table43[[#This Row],[Harga Jual Pcs GT
(-PPN)]]*1.11</f>
        <v>0</v>
      </c>
      <c r="AR195" s="42">
        <f>Table43[[#This Row],[Harga Jual Krt GT
(- PPN)]]*1.11</f>
        <v>0</v>
      </c>
      <c r="AS195" s="42">
        <f>Table43[[#This Row],[Harga Jual Pcs GT
(-PPN)]]</f>
        <v>0</v>
      </c>
      <c r="AT195" s="42">
        <f>(Table43[[#This Row],[Harga Jual Pcs MT
(-PPN)]]*Table43[[#This Row],[ISI/CTN]])</f>
        <v>0</v>
      </c>
      <c r="AU195" s="42">
        <f>Table43[[#This Row],[Harga Jual Pcs MT
(-PPN)]]*1.11</f>
        <v>0</v>
      </c>
      <c r="AV195" s="42">
        <f>Table43[[#This Row],[Harga Jual Pcs MT
(+PPN)]]*Table43[[#This Row],[ISI/CTN]]</f>
        <v>0</v>
      </c>
      <c r="AW195" s="47"/>
      <c r="AX195" s="7"/>
      <c r="AY195" s="7" t="str">
        <f ca="1">IF(TODAY()-Table43[[#This Row],[Efektif
Pembuatan]]&gt;60,"Lama","Baru")</f>
        <v>Lama</v>
      </c>
      <c r="AZ195" s="7" t="str">
        <f ca="1">IF(TODAY()-Table43[[#This Row],[Efektif Naik Harga]]&lt;30,"Naik","Sama")</f>
        <v>Sama</v>
      </c>
      <c r="BA195" s="7" t="str">
        <f>IF(Table43[[#This Row],[Kode BARANG Win2]]&lt;&gt;"","IDR","")</f>
        <v>IDR</v>
      </c>
      <c r="BB195" s="7" t="str">
        <f>CONCATENATE(Table43[[#This Row],[kode  1 Digit
(Nomor)]],Table43[[#This Row],[kode  4 Digit                (Nomor)]])</f>
        <v>10100</v>
      </c>
      <c r="BC195" s="7" t="str">
        <f>Table43[[#This Row],[Nama            Gramasi atau Jumlah Pack per CTN]]</f>
        <v>100ML</v>
      </c>
      <c r="BD195" s="7"/>
      <c r="BE195" s="7"/>
      <c r="BF195" s="4" t="str">
        <f>IF(Table43[[#This Row],[SATUAN Fix Win]]&lt;&gt;"","KRT")</f>
        <v>KRT</v>
      </c>
      <c r="BG195" s="4" t="str">
        <f>IF(Table43[[#This Row],[SATUAN Fix Win]]&lt;&gt;"","GD01")</f>
        <v>GD01</v>
      </c>
      <c r="BH195" s="4">
        <f>IF(Table43[[#This Row],[SATUAN Fix Win]]&lt;&gt;"",11611)</f>
        <v>11611</v>
      </c>
      <c r="BI195" s="4">
        <f>IF(Table43[[#This Row],[SATUAN Fix Win]]&lt;&gt;"",11612)</f>
        <v>11612</v>
      </c>
      <c r="BJ195" s="48"/>
      <c r="BK195" s="4">
        <f>IF(Table43[[#This Row],[SATUAN Fix Win]]&lt;&gt;"",1)</f>
        <v>1</v>
      </c>
    </row>
    <row r="196" spans="1:63">
      <c r="A196" s="4" t="str">
        <f>CONCATENATE(Table43[[#This Row],[Kode BARANG Win2]],Table43[[#This Row],[No. Urut
Item Sama]])</f>
        <v>K11120030030101</v>
      </c>
      <c r="B196" s="7">
        <v>1</v>
      </c>
      <c r="D196" s="28" t="s">
        <v>4070</v>
      </c>
      <c r="E196" s="28"/>
      <c r="F196" s="28">
        <v>0</v>
      </c>
      <c r="G196" s="78">
        <v>36</v>
      </c>
      <c r="H196" s="43"/>
      <c r="I196" s="28" t="str">
        <f>Table43[[#This Row],[Nama Jenis Kemasan]]</f>
        <v>BTL</v>
      </c>
      <c r="J196" s="4" t="str">
        <f>TRIM(CONCATENATE(Table43[[#This Row],[Nama            KLP]]," ",Table43[[#This Row],[Nama            Sub KLP]]))</f>
        <v>ESKULIN EDP</v>
      </c>
      <c r="K196" s="4" t="str">
        <f>CONCATENATE(Table43[[#This Row],[kode  2 Digit                (hrf+No)]],Table43[[#This Row],[kode  2 Digit                (Nomor)]],Table43[[#This Row],[kode  1 Digit                (Nomor)]])</f>
        <v>K1112</v>
      </c>
      <c r="L196" s="4" t="str">
        <f t="shared" si="9"/>
        <v>K1112003003010</v>
      </c>
      <c r="M196" s="11">
        <f t="shared" si="10"/>
        <v>14</v>
      </c>
      <c r="N196" s="14" t="str">
        <f>IF(AF196&lt;&gt;"",TRIM(UPPER(CONCATENATE(P196," ",R196," ",T196," ",V196," ",X196," ",Z196," ","X"," ",Table43[[#This Row],[ISI/CTN]]," ",AF196," ",AB196," ",AD196," ",AH196))),TRIM(UPPER(CONCATENATE(P196," ",R196," ",T196," ",V196," ",X196," ",Z196," ","X"," ",Table43[[#This Row],[ISI/CTN]]," ",AB196," ",AD196," ",AH196))))</f>
        <v>KNF ESKULIN EDP ENCHANTED PETALS 30ML X 36 BTL</v>
      </c>
      <c r="O196" s="11">
        <f t="shared" si="11"/>
        <v>46</v>
      </c>
      <c r="P196" s="4" t="s">
        <v>97</v>
      </c>
      <c r="Q196" s="7" t="s">
        <v>98</v>
      </c>
      <c r="R196" s="4" t="s">
        <v>3703</v>
      </c>
      <c r="S196" s="44" t="s">
        <v>3550</v>
      </c>
      <c r="T196" s="45" t="s">
        <v>3552</v>
      </c>
      <c r="U196" s="7" t="s">
        <v>3562</v>
      </c>
      <c r="V196" s="45" t="s">
        <v>2961</v>
      </c>
      <c r="W196" s="44" t="s">
        <v>2900</v>
      </c>
      <c r="X196" s="81" t="s">
        <v>4103</v>
      </c>
      <c r="Y196" s="46" t="s">
        <v>2473</v>
      </c>
      <c r="Z196" s="4" t="s">
        <v>3555</v>
      </c>
      <c r="AA196" s="46" t="s">
        <v>2499</v>
      </c>
      <c r="AB196" s="4" t="s">
        <v>357</v>
      </c>
      <c r="AC196" s="7" t="s">
        <v>2656</v>
      </c>
      <c r="AD196" s="4" t="s">
        <v>2961</v>
      </c>
      <c r="AE196" s="7" t="s">
        <v>2900</v>
      </c>
      <c r="AF196" s="7" t="s">
        <v>2961</v>
      </c>
      <c r="AG196" s="7" t="s">
        <v>2961</v>
      </c>
      <c r="AI196" s="7" t="s">
        <v>4100</v>
      </c>
      <c r="AJ196" s="7" t="s">
        <v>2656</v>
      </c>
      <c r="AK196" s="41">
        <f>Table43[[#This Row],[Harga Jual Pcs GT
(-PPN)]]-(Table43[[#This Row],[Harga Jual Pcs GT
(-PPN)]]*10%)</f>
        <v>0</v>
      </c>
      <c r="AL196" s="42">
        <f>Table43[[#This Row],[Harga Beli Pcs
(-PPN)]]*Table43[[#This Row],[ISI/CTN]]</f>
        <v>0</v>
      </c>
      <c r="AM196" s="42">
        <f>Table43[[#This Row],[Harga Beli Pcs
(-PPN)]]*1.11</f>
        <v>0</v>
      </c>
      <c r="AN196" s="42">
        <f>Table43[[#This Row],[Harga Beli Krt
(- PPN)]]*1.11</f>
        <v>0</v>
      </c>
      <c r="AO196" s="42"/>
      <c r="AP196" s="42">
        <f>Table43[[#This Row],[Harga Jual Pcs GT
(-PPN)]]*Table43[[#This Row],[ISI/CTN]]</f>
        <v>0</v>
      </c>
      <c r="AQ196" s="42">
        <f>Table43[[#This Row],[Harga Jual Pcs GT
(-PPN)]]*1.11</f>
        <v>0</v>
      </c>
      <c r="AR196" s="42">
        <f>Table43[[#This Row],[Harga Jual Krt GT
(- PPN)]]*1.11</f>
        <v>0</v>
      </c>
      <c r="AS196" s="42">
        <f>Table43[[#This Row],[Harga Jual Pcs GT
(-PPN)]]</f>
        <v>0</v>
      </c>
      <c r="AT196" s="42">
        <f>(Table43[[#This Row],[Harga Jual Pcs MT
(-PPN)]]*Table43[[#This Row],[ISI/CTN]])</f>
        <v>0</v>
      </c>
      <c r="AU196" s="42">
        <f>Table43[[#This Row],[Harga Jual Pcs MT
(-PPN)]]*1.11</f>
        <v>0</v>
      </c>
      <c r="AV196" s="42">
        <f>Table43[[#This Row],[Harga Jual Pcs MT
(+PPN)]]*Table43[[#This Row],[ISI/CTN]]</f>
        <v>0</v>
      </c>
      <c r="AW196" s="47"/>
      <c r="AX196" s="7"/>
      <c r="AY196" s="7" t="str">
        <f ca="1">IF(TODAY()-Table43[[#This Row],[Efektif
Pembuatan]]&gt;60,"Lama","Baru")</f>
        <v>Lama</v>
      </c>
      <c r="AZ196" s="7" t="str">
        <f ca="1">IF(TODAY()-Table43[[#This Row],[Efektif Naik Harga]]&lt;30,"Naik","Sama")</f>
        <v>Sama</v>
      </c>
      <c r="BA196" s="7" t="str">
        <f>IF(Table43[[#This Row],[Kode BARANG Win2]]&lt;&gt;"","IDR","")</f>
        <v>IDR</v>
      </c>
      <c r="BB196" s="7" t="str">
        <f>CONCATENATE(Table43[[#This Row],[kode  1 Digit
(Nomor)]],Table43[[#This Row],[kode  4 Digit                (Nomor)]])</f>
        <v>10030</v>
      </c>
      <c r="BC196" s="7" t="str">
        <f>Table43[[#This Row],[Nama            Gramasi atau Jumlah Pack per CTN]]</f>
        <v>30ML</v>
      </c>
      <c r="BD196" s="7"/>
      <c r="BE196" s="7"/>
      <c r="BF196" s="4" t="str">
        <f>IF(Table43[[#This Row],[SATUAN Fix Win]]&lt;&gt;"","KRT")</f>
        <v>KRT</v>
      </c>
      <c r="BG196" s="4" t="str">
        <f>IF(Table43[[#This Row],[SATUAN Fix Win]]&lt;&gt;"","GD01")</f>
        <v>GD01</v>
      </c>
      <c r="BH196" s="4">
        <f>IF(Table43[[#This Row],[SATUAN Fix Win]]&lt;&gt;"",11611)</f>
        <v>11611</v>
      </c>
      <c r="BI196" s="4">
        <f>IF(Table43[[#This Row],[SATUAN Fix Win]]&lt;&gt;"",11612)</f>
        <v>11612</v>
      </c>
      <c r="BJ196" s="48"/>
      <c r="BK196" s="4">
        <f>IF(Table43[[#This Row],[SATUAN Fix Win]]&lt;&gt;"",1)</f>
        <v>1</v>
      </c>
    </row>
    <row r="197" spans="1:63">
      <c r="A197" s="4" t="str">
        <f>CONCATENATE(Table43[[#This Row],[Kode BARANG Win2]],Table43[[#This Row],[No. Urut
Item Sama]])</f>
        <v>K11120040030102</v>
      </c>
      <c r="B197" s="7">
        <v>2</v>
      </c>
      <c r="D197" s="28" t="s">
        <v>4071</v>
      </c>
      <c r="E197" s="28"/>
      <c r="F197" s="28">
        <v>0</v>
      </c>
      <c r="G197" s="78">
        <v>36</v>
      </c>
      <c r="H197" s="43"/>
      <c r="I197" s="28" t="str">
        <f>Table43[[#This Row],[Nama Jenis Kemasan]]</f>
        <v>BTL</v>
      </c>
      <c r="J197" s="4" t="str">
        <f>TRIM(CONCATENATE(Table43[[#This Row],[Nama            KLP]]," ",Table43[[#This Row],[Nama            Sub KLP]]))</f>
        <v>ESKULIN EDP</v>
      </c>
      <c r="K197" s="4" t="str">
        <f>CONCATENATE(Table43[[#This Row],[kode  2 Digit                (hrf+No)]],Table43[[#This Row],[kode  2 Digit                (Nomor)]],Table43[[#This Row],[kode  1 Digit                (Nomor)]])</f>
        <v>K1112</v>
      </c>
      <c r="L197" s="4" t="str">
        <f t="shared" si="9"/>
        <v>K1112004003010</v>
      </c>
      <c r="M197" s="11">
        <f t="shared" si="10"/>
        <v>14</v>
      </c>
      <c r="N197" s="14" t="str">
        <f>IF(AF197&lt;&gt;"",TRIM(UPPER(CONCATENATE(P197," ",R197," ",T197," ",V197," ",X197," ",Z197," ","X"," ",Table43[[#This Row],[ISI/CTN]]," ",AF197," ",AB197," ",AD197," ",AH197))),TRIM(UPPER(CONCATENATE(P197," ",R197," ",T197," ",V197," ",X197," ",Z197," ","X"," ",Table43[[#This Row],[ISI/CTN]]," ",AB197," ",AD197," ",AH197))))</f>
        <v>KNF ESKULIN EDP TWILIGHT AMOUR 30ML X 36 BTL</v>
      </c>
      <c r="O197" s="11">
        <f t="shared" si="11"/>
        <v>44</v>
      </c>
      <c r="P197" s="4" t="s">
        <v>97</v>
      </c>
      <c r="Q197" s="7" t="s">
        <v>98</v>
      </c>
      <c r="R197" s="4" t="s">
        <v>3703</v>
      </c>
      <c r="S197" s="44" t="s">
        <v>3550</v>
      </c>
      <c r="T197" s="45" t="s">
        <v>3552</v>
      </c>
      <c r="U197" s="7" t="s">
        <v>3562</v>
      </c>
      <c r="V197" s="45" t="s">
        <v>2961</v>
      </c>
      <c r="W197" s="44" t="s">
        <v>2900</v>
      </c>
      <c r="X197" s="81" t="s">
        <v>4104</v>
      </c>
      <c r="Y197" s="46" t="s">
        <v>2474</v>
      </c>
      <c r="Z197" s="4" t="s">
        <v>3555</v>
      </c>
      <c r="AA197" s="46" t="s">
        <v>2499</v>
      </c>
      <c r="AB197" s="4" t="s">
        <v>357</v>
      </c>
      <c r="AC197" s="7" t="s">
        <v>2656</v>
      </c>
      <c r="AD197" s="4" t="s">
        <v>2961</v>
      </c>
      <c r="AE197" s="7" t="s">
        <v>2900</v>
      </c>
      <c r="AF197" s="7" t="s">
        <v>2961</v>
      </c>
      <c r="AG197" s="7" t="s">
        <v>2961</v>
      </c>
      <c r="AI197" s="7" t="s">
        <v>4100</v>
      </c>
      <c r="AJ197" s="7" t="s">
        <v>2656</v>
      </c>
      <c r="AK197" s="41">
        <f>Table43[[#This Row],[Harga Jual Pcs GT
(-PPN)]]-(Table43[[#This Row],[Harga Jual Pcs GT
(-PPN)]]*10%)</f>
        <v>0</v>
      </c>
      <c r="AL197" s="42">
        <f>Table43[[#This Row],[Harga Beli Pcs
(-PPN)]]*Table43[[#This Row],[ISI/CTN]]</f>
        <v>0</v>
      </c>
      <c r="AM197" s="42">
        <f>Table43[[#This Row],[Harga Beli Pcs
(-PPN)]]*1.11</f>
        <v>0</v>
      </c>
      <c r="AN197" s="42">
        <f>Table43[[#This Row],[Harga Beli Krt
(- PPN)]]*1.11</f>
        <v>0</v>
      </c>
      <c r="AO197" s="42"/>
      <c r="AP197" s="42">
        <f>Table43[[#This Row],[Harga Jual Pcs GT
(-PPN)]]*Table43[[#This Row],[ISI/CTN]]</f>
        <v>0</v>
      </c>
      <c r="AQ197" s="42">
        <f>Table43[[#This Row],[Harga Jual Pcs GT
(-PPN)]]*1.11</f>
        <v>0</v>
      </c>
      <c r="AR197" s="42">
        <f>Table43[[#This Row],[Harga Jual Krt GT
(- PPN)]]*1.11</f>
        <v>0</v>
      </c>
      <c r="AS197" s="42">
        <f>Table43[[#This Row],[Harga Jual Pcs GT
(-PPN)]]</f>
        <v>0</v>
      </c>
      <c r="AT197" s="42">
        <f>(Table43[[#This Row],[Harga Jual Pcs MT
(-PPN)]]*Table43[[#This Row],[ISI/CTN]])</f>
        <v>0</v>
      </c>
      <c r="AU197" s="42">
        <f>Table43[[#This Row],[Harga Jual Pcs MT
(-PPN)]]*1.11</f>
        <v>0</v>
      </c>
      <c r="AV197" s="42">
        <f>Table43[[#This Row],[Harga Jual Pcs MT
(+PPN)]]*Table43[[#This Row],[ISI/CTN]]</f>
        <v>0</v>
      </c>
      <c r="AW197" s="47"/>
      <c r="AX197" s="7"/>
      <c r="AY197" s="7" t="str">
        <f ca="1">IF(TODAY()-Table43[[#This Row],[Efektif
Pembuatan]]&gt;60,"Lama","Baru")</f>
        <v>Lama</v>
      </c>
      <c r="AZ197" s="7" t="str">
        <f ca="1">IF(TODAY()-Table43[[#This Row],[Efektif Naik Harga]]&lt;30,"Naik","Sama")</f>
        <v>Sama</v>
      </c>
      <c r="BA197" s="7" t="str">
        <f>IF(Table43[[#This Row],[Kode BARANG Win2]]&lt;&gt;"","IDR","")</f>
        <v>IDR</v>
      </c>
      <c r="BB197" s="7" t="str">
        <f>CONCATENATE(Table43[[#This Row],[kode  1 Digit
(Nomor)]],Table43[[#This Row],[kode  4 Digit                (Nomor)]])</f>
        <v>10030</v>
      </c>
      <c r="BC197" s="7" t="str">
        <f>Table43[[#This Row],[Nama            Gramasi atau Jumlah Pack per CTN]]</f>
        <v>30ML</v>
      </c>
      <c r="BD197" s="7"/>
      <c r="BE197" s="7"/>
      <c r="BF197" s="4" t="str">
        <f>IF(Table43[[#This Row],[SATUAN Fix Win]]&lt;&gt;"","KRT")</f>
        <v>KRT</v>
      </c>
      <c r="BG197" s="4" t="str">
        <f>IF(Table43[[#This Row],[SATUAN Fix Win]]&lt;&gt;"","GD01")</f>
        <v>GD01</v>
      </c>
      <c r="BH197" s="4">
        <f>IF(Table43[[#This Row],[SATUAN Fix Win]]&lt;&gt;"",11611)</f>
        <v>11611</v>
      </c>
      <c r="BI197" s="4">
        <f>IF(Table43[[#This Row],[SATUAN Fix Win]]&lt;&gt;"",11612)</f>
        <v>11612</v>
      </c>
      <c r="BJ197" s="48"/>
      <c r="BK197" s="4">
        <f>IF(Table43[[#This Row],[SATUAN Fix Win]]&lt;&gt;"",1)</f>
        <v>1</v>
      </c>
    </row>
    <row r="198" spans="1:63">
      <c r="A198" s="4" t="str">
        <f>CONCATENATE(Table43[[#This Row],[Kode BARANG Win2]],Table43[[#This Row],[No. Urut
Item Sama]])</f>
        <v>K11120050030101</v>
      </c>
      <c r="B198" s="7">
        <v>1</v>
      </c>
      <c r="D198" s="28" t="s">
        <v>4072</v>
      </c>
      <c r="E198" s="28"/>
      <c r="F198" s="28">
        <v>0</v>
      </c>
      <c r="G198" s="78">
        <v>36</v>
      </c>
      <c r="H198" s="43"/>
      <c r="I198" s="28" t="str">
        <f>Table43[[#This Row],[Nama Jenis Kemasan]]</f>
        <v>BTL</v>
      </c>
      <c r="J198" s="4" t="str">
        <f>TRIM(CONCATENATE(Table43[[#This Row],[Nama            KLP]]," ",Table43[[#This Row],[Nama            Sub KLP]]))</f>
        <v>ESKULIN EDP</v>
      </c>
      <c r="K198" s="4" t="str">
        <f>CONCATENATE(Table43[[#This Row],[kode  2 Digit                (hrf+No)]],Table43[[#This Row],[kode  2 Digit                (Nomor)]],Table43[[#This Row],[kode  1 Digit                (Nomor)]])</f>
        <v>K1112</v>
      </c>
      <c r="L198" s="4" t="str">
        <f t="shared" si="9"/>
        <v>K1112005003010</v>
      </c>
      <c r="M198" s="11">
        <f t="shared" si="10"/>
        <v>14</v>
      </c>
      <c r="N198" s="14" t="str">
        <f>IF(AF198&lt;&gt;"",TRIM(UPPER(CONCATENATE(P198," ",R198," ",T198," ",V198," ",X198," ",Z198," ","X"," ",Table43[[#This Row],[ISI/CTN]]," ",AF198," ",AB198," ",AD198," ",AH198))),TRIM(UPPER(CONCATENATE(P198," ",R198," ",T198," ",V198," ",X198," ",Z198," ","X"," ",Table43[[#This Row],[ISI/CTN]]," ",AB198," ",AD198," ",AH198))))</f>
        <v>KNF ESKULIN EDP AURORA BLUSH 30ML X 36 BTL</v>
      </c>
      <c r="O198" s="11">
        <f t="shared" si="11"/>
        <v>42</v>
      </c>
      <c r="P198" s="4" t="s">
        <v>97</v>
      </c>
      <c r="Q198" s="7" t="s">
        <v>98</v>
      </c>
      <c r="R198" s="4" t="s">
        <v>3703</v>
      </c>
      <c r="S198" s="44" t="s">
        <v>3550</v>
      </c>
      <c r="T198" s="45" t="s">
        <v>3552</v>
      </c>
      <c r="U198" s="7" t="s">
        <v>3562</v>
      </c>
      <c r="V198" s="45" t="s">
        <v>2961</v>
      </c>
      <c r="W198" s="44" t="s">
        <v>2900</v>
      </c>
      <c r="X198" s="4" t="s">
        <v>3553</v>
      </c>
      <c r="Y198" s="46" t="s">
        <v>2475</v>
      </c>
      <c r="Z198" s="4" t="s">
        <v>3555</v>
      </c>
      <c r="AA198" s="46" t="s">
        <v>2499</v>
      </c>
      <c r="AB198" s="4" t="s">
        <v>357</v>
      </c>
      <c r="AC198" s="7" t="s">
        <v>2656</v>
      </c>
      <c r="AD198" s="4" t="s">
        <v>2961</v>
      </c>
      <c r="AE198" s="7" t="s">
        <v>2900</v>
      </c>
      <c r="AF198" s="7" t="s">
        <v>2961</v>
      </c>
      <c r="AG198" s="7" t="s">
        <v>2961</v>
      </c>
      <c r="AI198" s="7" t="s">
        <v>4100</v>
      </c>
      <c r="AJ198" s="7" t="s">
        <v>2656</v>
      </c>
      <c r="AK198" s="41">
        <f>Table43[[#This Row],[Harga Jual Pcs GT
(-PPN)]]-(Table43[[#This Row],[Harga Jual Pcs GT
(-PPN)]]*10%)</f>
        <v>0</v>
      </c>
      <c r="AL198" s="42">
        <f>Table43[[#This Row],[Harga Beli Pcs
(-PPN)]]*Table43[[#This Row],[ISI/CTN]]</f>
        <v>0</v>
      </c>
      <c r="AM198" s="42">
        <f>Table43[[#This Row],[Harga Beli Pcs
(-PPN)]]*1.11</f>
        <v>0</v>
      </c>
      <c r="AN198" s="42">
        <f>Table43[[#This Row],[Harga Beli Krt
(- PPN)]]*1.11</f>
        <v>0</v>
      </c>
      <c r="AO198" s="42"/>
      <c r="AP198" s="42">
        <f>Table43[[#This Row],[Harga Jual Pcs GT
(-PPN)]]*Table43[[#This Row],[ISI/CTN]]</f>
        <v>0</v>
      </c>
      <c r="AQ198" s="42">
        <f>Table43[[#This Row],[Harga Jual Pcs GT
(-PPN)]]*1.11</f>
        <v>0</v>
      </c>
      <c r="AR198" s="42">
        <f>Table43[[#This Row],[Harga Jual Krt GT
(- PPN)]]*1.11</f>
        <v>0</v>
      </c>
      <c r="AS198" s="42">
        <f>Table43[[#This Row],[Harga Jual Pcs GT
(-PPN)]]</f>
        <v>0</v>
      </c>
      <c r="AT198" s="42">
        <f>(Table43[[#This Row],[Harga Jual Pcs MT
(-PPN)]]*Table43[[#This Row],[ISI/CTN]])</f>
        <v>0</v>
      </c>
      <c r="AU198" s="42">
        <f>Table43[[#This Row],[Harga Jual Pcs MT
(-PPN)]]*1.11</f>
        <v>0</v>
      </c>
      <c r="AV198" s="42">
        <f>Table43[[#This Row],[Harga Jual Pcs MT
(+PPN)]]*Table43[[#This Row],[ISI/CTN]]</f>
        <v>0</v>
      </c>
      <c r="AW198" s="47"/>
      <c r="AX198" s="7"/>
      <c r="AY198" s="7" t="str">
        <f ca="1">IF(TODAY()-Table43[[#This Row],[Efektif
Pembuatan]]&gt;60,"Lama","Baru")</f>
        <v>Lama</v>
      </c>
      <c r="AZ198" s="7" t="str">
        <f ca="1">IF(TODAY()-Table43[[#This Row],[Efektif Naik Harga]]&lt;30,"Naik","Sama")</f>
        <v>Sama</v>
      </c>
      <c r="BA198" s="7" t="str">
        <f>IF(Table43[[#This Row],[Kode BARANG Win2]]&lt;&gt;"","IDR","")</f>
        <v>IDR</v>
      </c>
      <c r="BB198" s="7" t="str">
        <f>CONCATENATE(Table43[[#This Row],[kode  1 Digit
(Nomor)]],Table43[[#This Row],[kode  4 Digit                (Nomor)]])</f>
        <v>10030</v>
      </c>
      <c r="BC198" s="7" t="str">
        <f>Table43[[#This Row],[Nama            Gramasi atau Jumlah Pack per CTN]]</f>
        <v>30ML</v>
      </c>
      <c r="BD198" s="7"/>
      <c r="BE198" s="7"/>
      <c r="BF198" s="4" t="str">
        <f>IF(Table43[[#This Row],[SATUAN Fix Win]]&lt;&gt;"","KRT")</f>
        <v>KRT</v>
      </c>
      <c r="BG198" s="4" t="str">
        <f>IF(Table43[[#This Row],[SATUAN Fix Win]]&lt;&gt;"","GD01")</f>
        <v>GD01</v>
      </c>
      <c r="BH198" s="4">
        <f>IF(Table43[[#This Row],[SATUAN Fix Win]]&lt;&gt;"",11611)</f>
        <v>11611</v>
      </c>
      <c r="BI198" s="4">
        <f>IF(Table43[[#This Row],[SATUAN Fix Win]]&lt;&gt;"",11612)</f>
        <v>11612</v>
      </c>
      <c r="BJ198" s="48"/>
      <c r="BK198" s="4">
        <f>IF(Table43[[#This Row],[SATUAN Fix Win]]&lt;&gt;"",1)</f>
        <v>1</v>
      </c>
    </row>
    <row r="199" spans="1:63">
      <c r="A199" s="4" t="str">
        <f>CONCATENATE(Table43[[#This Row],[Kode BARANG Win2]],Table43[[#This Row],[No. Urut
Item Sama]])</f>
        <v>K11120060030102</v>
      </c>
      <c r="B199" s="7">
        <v>2</v>
      </c>
      <c r="D199" s="28" t="s">
        <v>4073</v>
      </c>
      <c r="E199" s="28"/>
      <c r="F199" s="28">
        <v>0</v>
      </c>
      <c r="G199" s="78">
        <v>36</v>
      </c>
      <c r="H199" s="43"/>
      <c r="I199" s="28" t="str">
        <f>Table43[[#This Row],[Nama Jenis Kemasan]]</f>
        <v>BTL</v>
      </c>
      <c r="J199" s="4" t="str">
        <f>TRIM(CONCATENATE(Table43[[#This Row],[Nama            KLP]]," ",Table43[[#This Row],[Nama            Sub KLP]]))</f>
        <v>ESKULIN EDP</v>
      </c>
      <c r="K199" s="4" t="str">
        <f>CONCATENATE(Table43[[#This Row],[kode  2 Digit                (hrf+No)]],Table43[[#This Row],[kode  2 Digit                (Nomor)]],Table43[[#This Row],[kode  1 Digit                (Nomor)]])</f>
        <v>K1112</v>
      </c>
      <c r="L199" s="4" t="str">
        <f t="shared" si="9"/>
        <v>K1112006003010</v>
      </c>
      <c r="M199" s="11">
        <f t="shared" si="10"/>
        <v>14</v>
      </c>
      <c r="N199" s="14" t="str">
        <f>IF(AF199&lt;&gt;"",TRIM(UPPER(CONCATENATE(P199," ",R199," ",T199," ",V199," ",X199," ",Z199," ","X"," ",Table43[[#This Row],[ISI/CTN]]," ",AF199," ",AB199," ",AD199," ",AH199))),TRIM(UPPER(CONCATENATE(P199," ",R199," ",T199," ",V199," ",X199," ",Z199," ","X"," ",Table43[[#This Row],[ISI/CTN]]," ",AB199," ",AD199," ",AH199))))</f>
        <v>KNF ESKULIN EDP SUMMER RHAPSODY 30ML X 36 BTL</v>
      </c>
      <c r="O199" s="11">
        <f t="shared" si="11"/>
        <v>45</v>
      </c>
      <c r="P199" s="4" t="s">
        <v>97</v>
      </c>
      <c r="Q199" s="7" t="s">
        <v>98</v>
      </c>
      <c r="R199" s="4" t="s">
        <v>3703</v>
      </c>
      <c r="S199" s="44" t="s">
        <v>3550</v>
      </c>
      <c r="T199" s="45" t="s">
        <v>3552</v>
      </c>
      <c r="U199" s="7" t="s">
        <v>3562</v>
      </c>
      <c r="V199" s="45" t="s">
        <v>2961</v>
      </c>
      <c r="W199" s="44" t="s">
        <v>2900</v>
      </c>
      <c r="X199" s="4" t="s">
        <v>3554</v>
      </c>
      <c r="Y199" s="46" t="s">
        <v>2476</v>
      </c>
      <c r="Z199" s="4" t="s">
        <v>3555</v>
      </c>
      <c r="AA199" s="46" t="s">
        <v>2499</v>
      </c>
      <c r="AB199" s="4" t="s">
        <v>357</v>
      </c>
      <c r="AC199" s="7" t="s">
        <v>2656</v>
      </c>
      <c r="AD199" s="4" t="s">
        <v>2961</v>
      </c>
      <c r="AE199" s="7" t="s">
        <v>2900</v>
      </c>
      <c r="AF199" s="7" t="s">
        <v>2961</v>
      </c>
      <c r="AG199" s="7" t="s">
        <v>2961</v>
      </c>
      <c r="AI199" s="7" t="s">
        <v>4100</v>
      </c>
      <c r="AJ199" s="7" t="s">
        <v>2656</v>
      </c>
      <c r="AK199" s="41">
        <f>Table43[[#This Row],[Harga Jual Pcs GT
(-PPN)]]-(Table43[[#This Row],[Harga Jual Pcs GT
(-PPN)]]*10%)</f>
        <v>0</v>
      </c>
      <c r="AL199" s="42">
        <f>Table43[[#This Row],[Harga Beli Pcs
(-PPN)]]*Table43[[#This Row],[ISI/CTN]]</f>
        <v>0</v>
      </c>
      <c r="AM199" s="42">
        <f>Table43[[#This Row],[Harga Beli Pcs
(-PPN)]]*1.11</f>
        <v>0</v>
      </c>
      <c r="AN199" s="42">
        <f>Table43[[#This Row],[Harga Beli Krt
(- PPN)]]*1.11</f>
        <v>0</v>
      </c>
      <c r="AO199" s="42"/>
      <c r="AP199" s="42">
        <f>Table43[[#This Row],[Harga Jual Pcs GT
(-PPN)]]*Table43[[#This Row],[ISI/CTN]]</f>
        <v>0</v>
      </c>
      <c r="AQ199" s="42">
        <f>Table43[[#This Row],[Harga Jual Pcs GT
(-PPN)]]*1.11</f>
        <v>0</v>
      </c>
      <c r="AR199" s="42">
        <f>Table43[[#This Row],[Harga Jual Krt GT
(- PPN)]]*1.11</f>
        <v>0</v>
      </c>
      <c r="AS199" s="42">
        <f>Table43[[#This Row],[Harga Jual Pcs GT
(-PPN)]]</f>
        <v>0</v>
      </c>
      <c r="AT199" s="42">
        <f>(Table43[[#This Row],[Harga Jual Pcs MT
(-PPN)]]*Table43[[#This Row],[ISI/CTN]])</f>
        <v>0</v>
      </c>
      <c r="AU199" s="42">
        <f>Table43[[#This Row],[Harga Jual Pcs MT
(-PPN)]]*1.11</f>
        <v>0</v>
      </c>
      <c r="AV199" s="42">
        <f>Table43[[#This Row],[Harga Jual Pcs MT
(+PPN)]]*Table43[[#This Row],[ISI/CTN]]</f>
        <v>0</v>
      </c>
      <c r="AW199" s="47"/>
      <c r="AX199" s="7"/>
      <c r="AY199" s="7" t="str">
        <f ca="1">IF(TODAY()-Table43[[#This Row],[Efektif
Pembuatan]]&gt;60,"Lama","Baru")</f>
        <v>Lama</v>
      </c>
      <c r="AZ199" s="7" t="str">
        <f ca="1">IF(TODAY()-Table43[[#This Row],[Efektif Naik Harga]]&lt;30,"Naik","Sama")</f>
        <v>Sama</v>
      </c>
      <c r="BA199" s="7" t="str">
        <f>IF(Table43[[#This Row],[Kode BARANG Win2]]&lt;&gt;"","IDR","")</f>
        <v>IDR</v>
      </c>
      <c r="BB199" s="7" t="str">
        <f>CONCATENATE(Table43[[#This Row],[kode  1 Digit
(Nomor)]],Table43[[#This Row],[kode  4 Digit                (Nomor)]])</f>
        <v>10030</v>
      </c>
      <c r="BC199" s="7" t="str">
        <f>Table43[[#This Row],[Nama            Gramasi atau Jumlah Pack per CTN]]</f>
        <v>30ML</v>
      </c>
      <c r="BD199" s="7"/>
      <c r="BE199" s="7"/>
      <c r="BF199" s="4" t="str">
        <f>IF(Table43[[#This Row],[SATUAN Fix Win]]&lt;&gt;"","KRT")</f>
        <v>KRT</v>
      </c>
      <c r="BG199" s="4" t="str">
        <f>IF(Table43[[#This Row],[SATUAN Fix Win]]&lt;&gt;"","GD01")</f>
        <v>GD01</v>
      </c>
      <c r="BH199" s="4">
        <f>IF(Table43[[#This Row],[SATUAN Fix Win]]&lt;&gt;"",11611)</f>
        <v>11611</v>
      </c>
      <c r="BI199" s="4">
        <f>IF(Table43[[#This Row],[SATUAN Fix Win]]&lt;&gt;"",11612)</f>
        <v>11612</v>
      </c>
      <c r="BJ199" s="48"/>
      <c r="BK199" s="4">
        <f>IF(Table43[[#This Row],[SATUAN Fix Win]]&lt;&gt;"",1)</f>
        <v>1</v>
      </c>
    </row>
    <row r="200" spans="1:63">
      <c r="A200" s="4" t="str">
        <f>CONCATENATE(Table43[[#This Row],[Kode BARANG Win2]],Table43[[#This Row],[No. Urut
Item Sama]])</f>
        <v>K11130010070101</v>
      </c>
      <c r="B200" s="7">
        <v>1</v>
      </c>
      <c r="D200" s="28" t="s">
        <v>960</v>
      </c>
      <c r="E200" s="28"/>
      <c r="F200" s="28" t="s">
        <v>3018</v>
      </c>
      <c r="G200" s="78">
        <v>36</v>
      </c>
      <c r="H200" s="43"/>
      <c r="I200" s="28" t="str">
        <f>Table43[[#This Row],[Nama Jenis Kemasan]]</f>
        <v>BTL</v>
      </c>
      <c r="J200" s="4" t="str">
        <f>TRIM(CONCATENATE(Table43[[#This Row],[Nama            KLP]]," ",Table43[[#This Row],[Nama            Sub KLP]]))</f>
        <v>ESKULIN SPLASH FIRST</v>
      </c>
      <c r="K200" s="4" t="str">
        <f>CONCATENATE(Table43[[#This Row],[kode  2 Digit                (hrf+No)]],Table43[[#This Row],[kode  2 Digit                (Nomor)]],Table43[[#This Row],[kode  1 Digit                (Nomor)]])</f>
        <v>K1113</v>
      </c>
      <c r="L200" s="4" t="str">
        <f t="shared" si="9"/>
        <v>K1113001007010</v>
      </c>
      <c r="M200" s="11">
        <f t="shared" si="10"/>
        <v>14</v>
      </c>
      <c r="N200" s="14" t="str">
        <f>IF(AF200&lt;&gt;"",TRIM(UPPER(CONCATENATE(P200," ",R200," ",T200," ",V200," ",X200," ",Z200," ","X"," ",Table43[[#This Row],[ISI/CTN]]," ",AF200," ",AB200," ",AD200," ",AH200))),TRIM(UPPER(CONCATENATE(P200," ",R200," ",T200," ",V200," ",X200," ",Z200," ","X"," ",Table43[[#This Row],[ISI/CTN]]," ",AB200," ",AD200," ",AH200))))</f>
        <v>KNF ESKULIN SPLASH FIRST SIGHT 70ML X 36 BTL</v>
      </c>
      <c r="O200" s="11">
        <f t="shared" si="11"/>
        <v>44</v>
      </c>
      <c r="P200" s="4" t="s">
        <v>97</v>
      </c>
      <c r="Q200" s="7" t="s">
        <v>98</v>
      </c>
      <c r="R200" s="4" t="s">
        <v>3703</v>
      </c>
      <c r="S200" s="44" t="s">
        <v>3550</v>
      </c>
      <c r="T200" s="45" t="s">
        <v>3722</v>
      </c>
      <c r="U200" s="7" t="s">
        <v>3590</v>
      </c>
      <c r="V200" s="45" t="s">
        <v>2961</v>
      </c>
      <c r="W200" s="44" t="s">
        <v>2900</v>
      </c>
      <c r="X200" s="4" t="s">
        <v>3723</v>
      </c>
      <c r="Y200" s="46" t="s">
        <v>0</v>
      </c>
      <c r="Z200" s="4" t="s">
        <v>3724</v>
      </c>
      <c r="AA200" s="46" t="s">
        <v>2500</v>
      </c>
      <c r="AB200" s="4" t="s">
        <v>357</v>
      </c>
      <c r="AC200" s="7" t="s">
        <v>2656</v>
      </c>
      <c r="AD200" s="4" t="s">
        <v>2961</v>
      </c>
      <c r="AE200" s="7" t="s">
        <v>2900</v>
      </c>
      <c r="AF200" s="7" t="s">
        <v>2961</v>
      </c>
      <c r="AG200" s="7" t="s">
        <v>2961</v>
      </c>
      <c r="AI200" s="7" t="s">
        <v>4100</v>
      </c>
      <c r="AJ200" s="7" t="s">
        <v>2656</v>
      </c>
      <c r="AK200" s="41">
        <f>Table43[[#This Row],[Harga Jual Pcs GT
(-PPN)]]-(Table43[[#This Row],[Harga Jual Pcs GT
(-PPN)]]*10%)</f>
        <v>0</v>
      </c>
      <c r="AL200" s="42">
        <f>Table43[[#This Row],[Harga Beli Pcs
(-PPN)]]*Table43[[#This Row],[ISI/CTN]]</f>
        <v>0</v>
      </c>
      <c r="AM200" s="42">
        <f>Table43[[#This Row],[Harga Beli Pcs
(-PPN)]]*1.11</f>
        <v>0</v>
      </c>
      <c r="AN200" s="42">
        <f>Table43[[#This Row],[Harga Beli Krt
(- PPN)]]*1.11</f>
        <v>0</v>
      </c>
      <c r="AO200" s="42"/>
      <c r="AP200" s="42">
        <f>Table43[[#This Row],[Harga Jual Pcs GT
(-PPN)]]*Table43[[#This Row],[ISI/CTN]]</f>
        <v>0</v>
      </c>
      <c r="AQ200" s="42">
        <f>Table43[[#This Row],[Harga Jual Pcs GT
(-PPN)]]*1.11</f>
        <v>0</v>
      </c>
      <c r="AR200" s="42">
        <f>Table43[[#This Row],[Harga Jual Krt GT
(- PPN)]]*1.11</f>
        <v>0</v>
      </c>
      <c r="AS200" s="42">
        <f>Table43[[#This Row],[Harga Jual Pcs GT
(-PPN)]]</f>
        <v>0</v>
      </c>
      <c r="AT200" s="42">
        <f>(Table43[[#This Row],[Harga Jual Pcs MT
(-PPN)]]*Table43[[#This Row],[ISI/CTN]])</f>
        <v>0</v>
      </c>
      <c r="AU200" s="42">
        <f>Table43[[#This Row],[Harga Jual Pcs MT
(-PPN)]]*1.11</f>
        <v>0</v>
      </c>
      <c r="AV200" s="42">
        <f>Table43[[#This Row],[Harga Jual Pcs MT
(+PPN)]]*Table43[[#This Row],[ISI/CTN]]</f>
        <v>0</v>
      </c>
      <c r="AW200" s="47"/>
      <c r="AX200" s="7"/>
      <c r="AY200" s="7" t="str">
        <f ca="1">IF(TODAY()-Table43[[#This Row],[Efektif
Pembuatan]]&gt;60,"Lama","Baru")</f>
        <v>Lama</v>
      </c>
      <c r="AZ200" s="7" t="str">
        <f ca="1">IF(TODAY()-Table43[[#This Row],[Efektif Naik Harga]]&lt;30,"Naik","Sama")</f>
        <v>Sama</v>
      </c>
      <c r="BA200" s="7" t="str">
        <f>IF(Table43[[#This Row],[Kode BARANG Win2]]&lt;&gt;"","IDR","")</f>
        <v>IDR</v>
      </c>
      <c r="BB200" s="7" t="str">
        <f>CONCATENATE(Table43[[#This Row],[kode  1 Digit
(Nomor)]],Table43[[#This Row],[kode  4 Digit                (Nomor)]])</f>
        <v>10070</v>
      </c>
      <c r="BC200" s="7" t="str">
        <f>Table43[[#This Row],[Nama            Gramasi atau Jumlah Pack per CTN]]</f>
        <v>70ML</v>
      </c>
      <c r="BD200" s="7"/>
      <c r="BE200" s="7"/>
      <c r="BF200" s="4" t="str">
        <f>IF(Table43[[#This Row],[SATUAN Fix Win]]&lt;&gt;"","KRT")</f>
        <v>KRT</v>
      </c>
      <c r="BG200" s="4" t="str">
        <f>IF(Table43[[#This Row],[SATUAN Fix Win]]&lt;&gt;"","GD01")</f>
        <v>GD01</v>
      </c>
      <c r="BH200" s="4">
        <f>IF(Table43[[#This Row],[SATUAN Fix Win]]&lt;&gt;"",11611)</f>
        <v>11611</v>
      </c>
      <c r="BI200" s="4">
        <f>IF(Table43[[#This Row],[SATUAN Fix Win]]&lt;&gt;"",11612)</f>
        <v>11612</v>
      </c>
      <c r="BJ200" s="48"/>
      <c r="BK200" s="4">
        <f>IF(Table43[[#This Row],[SATUAN Fix Win]]&lt;&gt;"",1)</f>
        <v>1</v>
      </c>
    </row>
    <row r="201" spans="1:63">
      <c r="A201" s="4" t="str">
        <f>CONCATENATE(Table43[[#This Row],[Kode BARANG Win2]],Table43[[#This Row],[No. Urut
Item Sama]])</f>
        <v>K11130010125102</v>
      </c>
      <c r="B201" s="7">
        <v>2</v>
      </c>
      <c r="D201" s="28" t="s">
        <v>961</v>
      </c>
      <c r="E201" s="28"/>
      <c r="F201" s="28" t="s">
        <v>3019</v>
      </c>
      <c r="G201" s="78">
        <v>36</v>
      </c>
      <c r="H201" s="43"/>
      <c r="I201" s="28" t="str">
        <f>Table43[[#This Row],[Nama Jenis Kemasan]]</f>
        <v>BTL</v>
      </c>
      <c r="J201" s="4" t="str">
        <f>TRIM(CONCATENATE(Table43[[#This Row],[Nama            KLP]]," ",Table43[[#This Row],[Nama            Sub KLP]]))</f>
        <v>ESKULIN SPLASH FIRST</v>
      </c>
      <c r="K201" s="4" t="str">
        <f>CONCATENATE(Table43[[#This Row],[kode  2 Digit                (hrf+No)]],Table43[[#This Row],[kode  2 Digit                (Nomor)]],Table43[[#This Row],[kode  1 Digit                (Nomor)]])</f>
        <v>K1113</v>
      </c>
      <c r="L201" s="4" t="str">
        <f t="shared" si="9"/>
        <v>K1113001012510</v>
      </c>
      <c r="M201" s="11">
        <f t="shared" si="10"/>
        <v>14</v>
      </c>
      <c r="N201" s="14" t="str">
        <f>IF(AF201&lt;&gt;"",TRIM(UPPER(CONCATENATE(P201," ",R201," ",T201," ",V201," ",X201," ",Z201," ","X"," ",Table43[[#This Row],[ISI/CTN]]," ",AF201," ",AB201," ",AD201," ",AH201))),TRIM(UPPER(CONCATENATE(P201," ",R201," ",T201," ",V201," ",X201," ",Z201," ","X"," ",Table43[[#This Row],[ISI/CTN]]," ",AB201," ",AD201," ",AH201))))</f>
        <v>KNF ESKULIN SPLASH FIRST SIGHT 125ML X 36 BTL</v>
      </c>
      <c r="O201" s="11">
        <f t="shared" si="11"/>
        <v>45</v>
      </c>
      <c r="P201" s="4" t="s">
        <v>97</v>
      </c>
      <c r="Q201" s="7" t="s">
        <v>98</v>
      </c>
      <c r="R201" s="4" t="s">
        <v>3703</v>
      </c>
      <c r="S201" s="44" t="s">
        <v>3550</v>
      </c>
      <c r="T201" s="45" t="s">
        <v>3722</v>
      </c>
      <c r="U201" s="7" t="s">
        <v>3590</v>
      </c>
      <c r="V201" s="45" t="s">
        <v>2961</v>
      </c>
      <c r="W201" s="44" t="s">
        <v>2900</v>
      </c>
      <c r="X201" s="4" t="s">
        <v>3723</v>
      </c>
      <c r="Y201" s="46" t="s">
        <v>0</v>
      </c>
      <c r="Z201" s="4" t="s">
        <v>3620</v>
      </c>
      <c r="AA201" s="46" t="s">
        <v>2489</v>
      </c>
      <c r="AB201" s="4" t="s">
        <v>357</v>
      </c>
      <c r="AC201" s="7" t="s">
        <v>2656</v>
      </c>
      <c r="AD201" s="4" t="s">
        <v>2961</v>
      </c>
      <c r="AE201" s="7" t="s">
        <v>2900</v>
      </c>
      <c r="AF201" s="7" t="s">
        <v>2961</v>
      </c>
      <c r="AG201" s="7" t="s">
        <v>2961</v>
      </c>
      <c r="AI201" s="7" t="s">
        <v>4100</v>
      </c>
      <c r="AJ201" s="7" t="s">
        <v>2656</v>
      </c>
      <c r="AK201" s="41">
        <f>Table43[[#This Row],[Harga Jual Pcs GT
(-PPN)]]-(Table43[[#This Row],[Harga Jual Pcs GT
(-PPN)]]*10%)</f>
        <v>0</v>
      </c>
      <c r="AL201" s="42">
        <f>Table43[[#This Row],[Harga Beli Pcs
(-PPN)]]*Table43[[#This Row],[ISI/CTN]]</f>
        <v>0</v>
      </c>
      <c r="AM201" s="42">
        <f>Table43[[#This Row],[Harga Beli Pcs
(-PPN)]]*1.11</f>
        <v>0</v>
      </c>
      <c r="AN201" s="42">
        <f>Table43[[#This Row],[Harga Beli Krt
(- PPN)]]*1.11</f>
        <v>0</v>
      </c>
      <c r="AO201" s="42"/>
      <c r="AP201" s="42">
        <f>Table43[[#This Row],[Harga Jual Pcs GT
(-PPN)]]*Table43[[#This Row],[ISI/CTN]]</f>
        <v>0</v>
      </c>
      <c r="AQ201" s="42">
        <f>Table43[[#This Row],[Harga Jual Pcs GT
(-PPN)]]*1.11</f>
        <v>0</v>
      </c>
      <c r="AR201" s="42">
        <f>Table43[[#This Row],[Harga Jual Krt GT
(- PPN)]]*1.11</f>
        <v>0</v>
      </c>
      <c r="AS201" s="42">
        <f>Table43[[#This Row],[Harga Jual Pcs GT
(-PPN)]]</f>
        <v>0</v>
      </c>
      <c r="AT201" s="42">
        <f>(Table43[[#This Row],[Harga Jual Pcs MT
(-PPN)]]*Table43[[#This Row],[ISI/CTN]])</f>
        <v>0</v>
      </c>
      <c r="AU201" s="42">
        <f>Table43[[#This Row],[Harga Jual Pcs MT
(-PPN)]]*1.11</f>
        <v>0</v>
      </c>
      <c r="AV201" s="42">
        <f>Table43[[#This Row],[Harga Jual Pcs MT
(+PPN)]]*Table43[[#This Row],[ISI/CTN]]</f>
        <v>0</v>
      </c>
      <c r="AW201" s="47"/>
      <c r="AX201" s="7"/>
      <c r="AY201" s="7" t="str">
        <f ca="1">IF(TODAY()-Table43[[#This Row],[Efektif
Pembuatan]]&gt;60,"Lama","Baru")</f>
        <v>Lama</v>
      </c>
      <c r="AZ201" s="7" t="str">
        <f ca="1">IF(TODAY()-Table43[[#This Row],[Efektif Naik Harga]]&lt;30,"Naik","Sama")</f>
        <v>Sama</v>
      </c>
      <c r="BA201" s="7" t="str">
        <f>IF(Table43[[#This Row],[Kode BARANG Win2]]&lt;&gt;"","IDR","")</f>
        <v>IDR</v>
      </c>
      <c r="BB201" s="7" t="str">
        <f>CONCATENATE(Table43[[#This Row],[kode  1 Digit
(Nomor)]],Table43[[#This Row],[kode  4 Digit                (Nomor)]])</f>
        <v>10125</v>
      </c>
      <c r="BC201" s="7" t="str">
        <f>Table43[[#This Row],[Nama            Gramasi atau Jumlah Pack per CTN]]</f>
        <v>125ML</v>
      </c>
      <c r="BD201" s="7"/>
      <c r="BE201" s="7"/>
      <c r="BF201" s="4" t="str">
        <f>IF(Table43[[#This Row],[SATUAN Fix Win]]&lt;&gt;"","KRT")</f>
        <v>KRT</v>
      </c>
      <c r="BG201" s="4" t="str">
        <f>IF(Table43[[#This Row],[SATUAN Fix Win]]&lt;&gt;"","GD01")</f>
        <v>GD01</v>
      </c>
      <c r="BH201" s="4">
        <f>IF(Table43[[#This Row],[SATUAN Fix Win]]&lt;&gt;"",11611)</f>
        <v>11611</v>
      </c>
      <c r="BI201" s="4">
        <f>IF(Table43[[#This Row],[SATUAN Fix Win]]&lt;&gt;"",11612)</f>
        <v>11612</v>
      </c>
      <c r="BJ201" s="48"/>
      <c r="BK201" s="4">
        <f>IF(Table43[[#This Row],[SATUAN Fix Win]]&lt;&gt;"",1)</f>
        <v>1</v>
      </c>
    </row>
    <row r="202" spans="1:63">
      <c r="A202" s="4" t="str">
        <f>CONCATENATE(Table43[[#This Row],[Kode BARANG Win2]],Table43[[#This Row],[No. Urut
Item Sama]])</f>
        <v>K11130020070101</v>
      </c>
      <c r="B202" s="7">
        <v>1</v>
      </c>
      <c r="D202" s="28" t="s">
        <v>962</v>
      </c>
      <c r="E202" s="28"/>
      <c r="F202" s="28" t="s">
        <v>3020</v>
      </c>
      <c r="G202" s="78">
        <v>36</v>
      </c>
      <c r="H202" s="43"/>
      <c r="I202" s="28" t="str">
        <f>Table43[[#This Row],[Nama Jenis Kemasan]]</f>
        <v>BTL</v>
      </c>
      <c r="J202" s="4" t="str">
        <f>TRIM(CONCATENATE(Table43[[#This Row],[Nama            KLP]]," ",Table43[[#This Row],[Nama            Sub KLP]]))</f>
        <v>ESKULIN SPLASH FIRST</v>
      </c>
      <c r="K202" s="4" t="str">
        <f>CONCATENATE(Table43[[#This Row],[kode  2 Digit                (hrf+No)]],Table43[[#This Row],[kode  2 Digit                (Nomor)]],Table43[[#This Row],[kode  1 Digit                (Nomor)]])</f>
        <v>K1113</v>
      </c>
      <c r="L202" s="4" t="str">
        <f t="shared" si="9"/>
        <v>K1113002007010</v>
      </c>
      <c r="M202" s="11">
        <f t="shared" si="10"/>
        <v>14</v>
      </c>
      <c r="N202" s="14" t="str">
        <f>IF(AF202&lt;&gt;"",TRIM(UPPER(CONCATENATE(P202," ",R202," ",T202," ",V202," ",X202," ",Z202," ","X"," ",Table43[[#This Row],[ISI/CTN]]," ",AF202," ",AB202," ",AD202," ",AH202))),TRIM(UPPER(CONCATENATE(P202," ",R202," ",T202," ",V202," ",X202," ",Z202," ","X"," ",Table43[[#This Row],[ISI/CTN]]," ",AB202," ",AD202," ",AH202))))</f>
        <v>KNF ESKULIN SPLASH FIRST LOVE 70ML X 36 BTL</v>
      </c>
      <c r="O202" s="11">
        <f t="shared" si="11"/>
        <v>43</v>
      </c>
      <c r="P202" s="4" t="s">
        <v>97</v>
      </c>
      <c r="Q202" s="7" t="s">
        <v>98</v>
      </c>
      <c r="R202" s="4" t="s">
        <v>3703</v>
      </c>
      <c r="S202" s="44" t="s">
        <v>3550</v>
      </c>
      <c r="T202" s="45" t="s">
        <v>3722</v>
      </c>
      <c r="U202" s="7" t="s">
        <v>3590</v>
      </c>
      <c r="V202" s="45" t="s">
        <v>2961</v>
      </c>
      <c r="W202" s="44" t="s">
        <v>2900</v>
      </c>
      <c r="X202" s="4" t="s">
        <v>3725</v>
      </c>
      <c r="Y202" s="46" t="s">
        <v>2472</v>
      </c>
      <c r="Z202" s="4" t="s">
        <v>3724</v>
      </c>
      <c r="AA202" s="46" t="s">
        <v>2500</v>
      </c>
      <c r="AB202" s="4" t="s">
        <v>357</v>
      </c>
      <c r="AC202" s="7" t="s">
        <v>2656</v>
      </c>
      <c r="AD202" s="4" t="s">
        <v>2961</v>
      </c>
      <c r="AE202" s="7" t="s">
        <v>2900</v>
      </c>
      <c r="AF202" s="7" t="s">
        <v>2961</v>
      </c>
      <c r="AG202" s="7" t="s">
        <v>2961</v>
      </c>
      <c r="AI202" s="7" t="s">
        <v>4100</v>
      </c>
      <c r="AJ202" s="7" t="s">
        <v>2656</v>
      </c>
      <c r="AK202" s="41">
        <f>Table43[[#This Row],[Harga Jual Pcs GT
(-PPN)]]-(Table43[[#This Row],[Harga Jual Pcs GT
(-PPN)]]*10%)</f>
        <v>0</v>
      </c>
      <c r="AL202" s="42">
        <f>Table43[[#This Row],[Harga Beli Pcs
(-PPN)]]*Table43[[#This Row],[ISI/CTN]]</f>
        <v>0</v>
      </c>
      <c r="AM202" s="42">
        <f>Table43[[#This Row],[Harga Beli Pcs
(-PPN)]]*1.11</f>
        <v>0</v>
      </c>
      <c r="AN202" s="42">
        <f>Table43[[#This Row],[Harga Beli Krt
(- PPN)]]*1.11</f>
        <v>0</v>
      </c>
      <c r="AO202" s="42"/>
      <c r="AP202" s="42">
        <f>Table43[[#This Row],[Harga Jual Pcs GT
(-PPN)]]*Table43[[#This Row],[ISI/CTN]]</f>
        <v>0</v>
      </c>
      <c r="AQ202" s="42">
        <f>Table43[[#This Row],[Harga Jual Pcs GT
(-PPN)]]*1.11</f>
        <v>0</v>
      </c>
      <c r="AR202" s="42">
        <f>Table43[[#This Row],[Harga Jual Krt GT
(- PPN)]]*1.11</f>
        <v>0</v>
      </c>
      <c r="AS202" s="42">
        <f>Table43[[#This Row],[Harga Jual Pcs GT
(-PPN)]]</f>
        <v>0</v>
      </c>
      <c r="AT202" s="42">
        <f>(Table43[[#This Row],[Harga Jual Pcs MT
(-PPN)]]*Table43[[#This Row],[ISI/CTN]])</f>
        <v>0</v>
      </c>
      <c r="AU202" s="42">
        <f>Table43[[#This Row],[Harga Jual Pcs MT
(-PPN)]]*1.11</f>
        <v>0</v>
      </c>
      <c r="AV202" s="42">
        <f>Table43[[#This Row],[Harga Jual Pcs MT
(+PPN)]]*Table43[[#This Row],[ISI/CTN]]</f>
        <v>0</v>
      </c>
      <c r="AW202" s="47"/>
      <c r="AX202" s="7"/>
      <c r="AY202" s="7" t="str">
        <f ca="1">IF(TODAY()-Table43[[#This Row],[Efektif
Pembuatan]]&gt;60,"Lama","Baru")</f>
        <v>Lama</v>
      </c>
      <c r="AZ202" s="7" t="str">
        <f ca="1">IF(TODAY()-Table43[[#This Row],[Efektif Naik Harga]]&lt;30,"Naik","Sama")</f>
        <v>Sama</v>
      </c>
      <c r="BA202" s="7" t="str">
        <f>IF(Table43[[#This Row],[Kode BARANG Win2]]&lt;&gt;"","IDR","")</f>
        <v>IDR</v>
      </c>
      <c r="BB202" s="7" t="str">
        <f>CONCATENATE(Table43[[#This Row],[kode  1 Digit
(Nomor)]],Table43[[#This Row],[kode  4 Digit                (Nomor)]])</f>
        <v>10070</v>
      </c>
      <c r="BC202" s="7" t="str">
        <f>Table43[[#This Row],[Nama            Gramasi atau Jumlah Pack per CTN]]</f>
        <v>70ML</v>
      </c>
      <c r="BD202" s="7"/>
      <c r="BE202" s="7"/>
      <c r="BF202" s="4" t="str">
        <f>IF(Table43[[#This Row],[SATUAN Fix Win]]&lt;&gt;"","KRT")</f>
        <v>KRT</v>
      </c>
      <c r="BG202" s="4" t="str">
        <f>IF(Table43[[#This Row],[SATUAN Fix Win]]&lt;&gt;"","GD01")</f>
        <v>GD01</v>
      </c>
      <c r="BH202" s="4">
        <f>IF(Table43[[#This Row],[SATUAN Fix Win]]&lt;&gt;"",11611)</f>
        <v>11611</v>
      </c>
      <c r="BI202" s="4">
        <f>IF(Table43[[#This Row],[SATUAN Fix Win]]&lt;&gt;"",11612)</f>
        <v>11612</v>
      </c>
      <c r="BJ202" s="48"/>
      <c r="BK202" s="4">
        <f>IF(Table43[[#This Row],[SATUAN Fix Win]]&lt;&gt;"",1)</f>
        <v>1</v>
      </c>
    </row>
    <row r="203" spans="1:63">
      <c r="A203" s="4" t="str">
        <f>CONCATENATE(Table43[[#This Row],[Kode BARANG Win2]],Table43[[#This Row],[No. Urut
Item Sama]])</f>
        <v>K11130020125102</v>
      </c>
      <c r="B203" s="7">
        <v>2</v>
      </c>
      <c r="D203" s="28" t="s">
        <v>963</v>
      </c>
      <c r="E203" s="28"/>
      <c r="F203" s="28" t="s">
        <v>3021</v>
      </c>
      <c r="G203" s="78">
        <v>36</v>
      </c>
      <c r="H203" s="43"/>
      <c r="I203" s="28" t="str">
        <f>Table43[[#This Row],[Nama Jenis Kemasan]]</f>
        <v>BTL</v>
      </c>
      <c r="J203" s="4" t="str">
        <f>TRIM(CONCATENATE(Table43[[#This Row],[Nama            KLP]]," ",Table43[[#This Row],[Nama            Sub KLP]]))</f>
        <v>ESKULIN SPLASH FIRST</v>
      </c>
      <c r="K203" s="4" t="str">
        <f>CONCATENATE(Table43[[#This Row],[kode  2 Digit                (hrf+No)]],Table43[[#This Row],[kode  2 Digit                (Nomor)]],Table43[[#This Row],[kode  1 Digit                (Nomor)]])</f>
        <v>K1113</v>
      </c>
      <c r="L203" s="4" t="str">
        <f t="shared" si="9"/>
        <v>K1113002012510</v>
      </c>
      <c r="M203" s="11">
        <f t="shared" si="10"/>
        <v>14</v>
      </c>
      <c r="N203" s="14" t="str">
        <f>IF(AF203&lt;&gt;"",TRIM(UPPER(CONCATENATE(P203," ",R203," ",T203," ",V203," ",X203," ",Z203," ","X"," ",Table43[[#This Row],[ISI/CTN]]," ",AF203," ",AB203," ",AD203," ",AH203))),TRIM(UPPER(CONCATENATE(P203," ",R203," ",T203," ",V203," ",X203," ",Z203," ","X"," ",Table43[[#This Row],[ISI/CTN]]," ",AB203," ",AD203," ",AH203))))</f>
        <v>KNF ESKULIN SPLASH FIRST LOVE 125ML X 36 BTL</v>
      </c>
      <c r="O203" s="11">
        <f t="shared" si="11"/>
        <v>44</v>
      </c>
      <c r="P203" s="4" t="s">
        <v>97</v>
      </c>
      <c r="Q203" s="7" t="s">
        <v>98</v>
      </c>
      <c r="R203" s="4" t="s">
        <v>3703</v>
      </c>
      <c r="S203" s="44" t="s">
        <v>3550</v>
      </c>
      <c r="T203" s="45" t="s">
        <v>3722</v>
      </c>
      <c r="U203" s="7" t="s">
        <v>3590</v>
      </c>
      <c r="V203" s="45" t="s">
        <v>2961</v>
      </c>
      <c r="W203" s="44" t="s">
        <v>2900</v>
      </c>
      <c r="X203" s="4" t="s">
        <v>3725</v>
      </c>
      <c r="Y203" s="46" t="s">
        <v>2472</v>
      </c>
      <c r="Z203" s="4" t="s">
        <v>3620</v>
      </c>
      <c r="AA203" s="46" t="s">
        <v>2489</v>
      </c>
      <c r="AB203" s="4" t="s">
        <v>357</v>
      </c>
      <c r="AC203" s="7" t="s">
        <v>2656</v>
      </c>
      <c r="AD203" s="4" t="s">
        <v>2961</v>
      </c>
      <c r="AE203" s="7" t="s">
        <v>2900</v>
      </c>
      <c r="AF203" s="7" t="s">
        <v>2961</v>
      </c>
      <c r="AG203" s="7" t="s">
        <v>2961</v>
      </c>
      <c r="AI203" s="7" t="s">
        <v>4100</v>
      </c>
      <c r="AJ203" s="7" t="s">
        <v>2656</v>
      </c>
      <c r="AK203" s="41">
        <f>Table43[[#This Row],[Harga Jual Pcs GT
(-PPN)]]-(Table43[[#This Row],[Harga Jual Pcs GT
(-PPN)]]*10%)</f>
        <v>0</v>
      </c>
      <c r="AL203" s="42">
        <f>Table43[[#This Row],[Harga Beli Pcs
(-PPN)]]*Table43[[#This Row],[ISI/CTN]]</f>
        <v>0</v>
      </c>
      <c r="AM203" s="42">
        <f>Table43[[#This Row],[Harga Beli Pcs
(-PPN)]]*1.11</f>
        <v>0</v>
      </c>
      <c r="AN203" s="42">
        <f>Table43[[#This Row],[Harga Beli Krt
(- PPN)]]*1.11</f>
        <v>0</v>
      </c>
      <c r="AO203" s="42"/>
      <c r="AP203" s="42">
        <f>Table43[[#This Row],[Harga Jual Pcs GT
(-PPN)]]*Table43[[#This Row],[ISI/CTN]]</f>
        <v>0</v>
      </c>
      <c r="AQ203" s="42">
        <f>Table43[[#This Row],[Harga Jual Pcs GT
(-PPN)]]*1.11</f>
        <v>0</v>
      </c>
      <c r="AR203" s="42">
        <f>Table43[[#This Row],[Harga Jual Krt GT
(- PPN)]]*1.11</f>
        <v>0</v>
      </c>
      <c r="AS203" s="42">
        <f>Table43[[#This Row],[Harga Jual Pcs GT
(-PPN)]]</f>
        <v>0</v>
      </c>
      <c r="AT203" s="42">
        <f>(Table43[[#This Row],[Harga Jual Pcs MT
(-PPN)]]*Table43[[#This Row],[ISI/CTN]])</f>
        <v>0</v>
      </c>
      <c r="AU203" s="42">
        <f>Table43[[#This Row],[Harga Jual Pcs MT
(-PPN)]]*1.11</f>
        <v>0</v>
      </c>
      <c r="AV203" s="42">
        <f>Table43[[#This Row],[Harga Jual Pcs MT
(+PPN)]]*Table43[[#This Row],[ISI/CTN]]</f>
        <v>0</v>
      </c>
      <c r="AW203" s="47"/>
      <c r="AX203" s="7"/>
      <c r="AY203" s="7" t="str">
        <f ca="1">IF(TODAY()-Table43[[#This Row],[Efektif
Pembuatan]]&gt;60,"Lama","Baru")</f>
        <v>Lama</v>
      </c>
      <c r="AZ203" s="7" t="str">
        <f ca="1">IF(TODAY()-Table43[[#This Row],[Efektif Naik Harga]]&lt;30,"Naik","Sama")</f>
        <v>Sama</v>
      </c>
      <c r="BA203" s="7" t="str">
        <f>IF(Table43[[#This Row],[Kode BARANG Win2]]&lt;&gt;"","IDR","")</f>
        <v>IDR</v>
      </c>
      <c r="BB203" s="7" t="str">
        <f>CONCATENATE(Table43[[#This Row],[kode  1 Digit
(Nomor)]],Table43[[#This Row],[kode  4 Digit                (Nomor)]])</f>
        <v>10125</v>
      </c>
      <c r="BC203" s="7" t="str">
        <f>Table43[[#This Row],[Nama            Gramasi atau Jumlah Pack per CTN]]</f>
        <v>125ML</v>
      </c>
      <c r="BD203" s="7"/>
      <c r="BE203" s="7"/>
      <c r="BF203" s="4" t="str">
        <f>IF(Table43[[#This Row],[SATUAN Fix Win]]&lt;&gt;"","KRT")</f>
        <v>KRT</v>
      </c>
      <c r="BG203" s="4" t="str">
        <f>IF(Table43[[#This Row],[SATUAN Fix Win]]&lt;&gt;"","GD01")</f>
        <v>GD01</v>
      </c>
      <c r="BH203" s="4">
        <f>IF(Table43[[#This Row],[SATUAN Fix Win]]&lt;&gt;"",11611)</f>
        <v>11611</v>
      </c>
      <c r="BI203" s="4">
        <f>IF(Table43[[#This Row],[SATUAN Fix Win]]&lt;&gt;"",11612)</f>
        <v>11612</v>
      </c>
      <c r="BJ203" s="48"/>
      <c r="BK203" s="4">
        <f>IF(Table43[[#This Row],[SATUAN Fix Win]]&lt;&gt;"",1)</f>
        <v>1</v>
      </c>
    </row>
    <row r="204" spans="1:63">
      <c r="A204" s="4" t="str">
        <f>CONCATENATE(Table43[[#This Row],[Kode BARANG Win2]],Table43[[#This Row],[No. Urut
Item Sama]])</f>
        <v>K11130030070101</v>
      </c>
      <c r="B204" s="7">
        <v>1</v>
      </c>
      <c r="D204" s="28" t="s">
        <v>964</v>
      </c>
      <c r="E204" s="28"/>
      <c r="F204" s="28" t="s">
        <v>3022</v>
      </c>
      <c r="G204" s="78">
        <v>36</v>
      </c>
      <c r="H204" s="43"/>
      <c r="I204" s="28" t="str">
        <f>Table43[[#This Row],[Nama Jenis Kemasan]]</f>
        <v>BTL</v>
      </c>
      <c r="J204" s="4" t="str">
        <f>TRIM(CONCATENATE(Table43[[#This Row],[Nama            KLP]]," ",Table43[[#This Row],[Nama            Sub KLP]]))</f>
        <v>ESKULIN SPLASH FIRST</v>
      </c>
      <c r="K204" s="4" t="str">
        <f>CONCATENATE(Table43[[#This Row],[kode  2 Digit                (hrf+No)]],Table43[[#This Row],[kode  2 Digit                (Nomor)]],Table43[[#This Row],[kode  1 Digit                (Nomor)]])</f>
        <v>K1113</v>
      </c>
      <c r="L204" s="4" t="str">
        <f t="shared" si="9"/>
        <v>K1113003007010</v>
      </c>
      <c r="M204" s="11">
        <f t="shared" si="10"/>
        <v>14</v>
      </c>
      <c r="N204" s="14" t="str">
        <f>IF(AF204&lt;&gt;"",TRIM(UPPER(CONCATENATE(P204," ",R204," ",T204," ",V204," ",X204," ",Z204," ","X"," ",Table43[[#This Row],[ISI/CTN]]," ",AF204," ",AB204," ",AD204," ",AH204))),TRIM(UPPER(CONCATENATE(P204," ",R204," ",T204," ",V204," ",X204," ",Z204," ","X"," ",Table43[[#This Row],[ISI/CTN]]," ",AB204," ",AD204," ",AH204))))</f>
        <v>KNF ESKULIN SPLASH FIRST DATE 70ML X 36 BTL</v>
      </c>
      <c r="O204" s="11">
        <f t="shared" si="11"/>
        <v>43</v>
      </c>
      <c r="P204" s="4" t="s">
        <v>97</v>
      </c>
      <c r="Q204" s="7" t="s">
        <v>98</v>
      </c>
      <c r="R204" s="4" t="s">
        <v>3703</v>
      </c>
      <c r="S204" s="44" t="s">
        <v>3550</v>
      </c>
      <c r="T204" s="45" t="s">
        <v>3722</v>
      </c>
      <c r="U204" s="7" t="s">
        <v>3590</v>
      </c>
      <c r="V204" s="45" t="s">
        <v>2961</v>
      </c>
      <c r="W204" s="44" t="s">
        <v>2900</v>
      </c>
      <c r="X204" s="4" t="s">
        <v>3726</v>
      </c>
      <c r="Y204" s="46" t="s">
        <v>2473</v>
      </c>
      <c r="Z204" s="4" t="s">
        <v>3724</v>
      </c>
      <c r="AA204" s="46" t="s">
        <v>2500</v>
      </c>
      <c r="AB204" s="4" t="s">
        <v>357</v>
      </c>
      <c r="AC204" s="7" t="s">
        <v>2656</v>
      </c>
      <c r="AD204" s="4" t="s">
        <v>2961</v>
      </c>
      <c r="AE204" s="7" t="s">
        <v>2900</v>
      </c>
      <c r="AF204" s="7" t="s">
        <v>2961</v>
      </c>
      <c r="AG204" s="7" t="s">
        <v>2961</v>
      </c>
      <c r="AI204" s="7" t="s">
        <v>4100</v>
      </c>
      <c r="AJ204" s="7" t="s">
        <v>2656</v>
      </c>
      <c r="AK204" s="41">
        <f>Table43[[#This Row],[Harga Jual Pcs GT
(-PPN)]]-(Table43[[#This Row],[Harga Jual Pcs GT
(-PPN)]]*10%)</f>
        <v>0</v>
      </c>
      <c r="AL204" s="42">
        <f>Table43[[#This Row],[Harga Beli Pcs
(-PPN)]]*Table43[[#This Row],[ISI/CTN]]</f>
        <v>0</v>
      </c>
      <c r="AM204" s="42">
        <f>Table43[[#This Row],[Harga Beli Pcs
(-PPN)]]*1.11</f>
        <v>0</v>
      </c>
      <c r="AN204" s="42">
        <f>Table43[[#This Row],[Harga Beli Krt
(- PPN)]]*1.11</f>
        <v>0</v>
      </c>
      <c r="AO204" s="42"/>
      <c r="AP204" s="42">
        <f>Table43[[#This Row],[Harga Jual Pcs GT
(-PPN)]]*Table43[[#This Row],[ISI/CTN]]</f>
        <v>0</v>
      </c>
      <c r="AQ204" s="42">
        <f>Table43[[#This Row],[Harga Jual Pcs GT
(-PPN)]]*1.11</f>
        <v>0</v>
      </c>
      <c r="AR204" s="42">
        <f>Table43[[#This Row],[Harga Jual Krt GT
(- PPN)]]*1.11</f>
        <v>0</v>
      </c>
      <c r="AS204" s="42">
        <f>Table43[[#This Row],[Harga Jual Pcs GT
(-PPN)]]</f>
        <v>0</v>
      </c>
      <c r="AT204" s="42">
        <f>(Table43[[#This Row],[Harga Jual Pcs MT
(-PPN)]]*Table43[[#This Row],[ISI/CTN]])</f>
        <v>0</v>
      </c>
      <c r="AU204" s="42">
        <f>Table43[[#This Row],[Harga Jual Pcs MT
(-PPN)]]*1.11</f>
        <v>0</v>
      </c>
      <c r="AV204" s="42">
        <f>Table43[[#This Row],[Harga Jual Pcs MT
(+PPN)]]*Table43[[#This Row],[ISI/CTN]]</f>
        <v>0</v>
      </c>
      <c r="AW204" s="47"/>
      <c r="AX204" s="7"/>
      <c r="AY204" s="7" t="str">
        <f ca="1">IF(TODAY()-Table43[[#This Row],[Efektif
Pembuatan]]&gt;60,"Lama","Baru")</f>
        <v>Lama</v>
      </c>
      <c r="AZ204" s="7" t="str">
        <f ca="1">IF(TODAY()-Table43[[#This Row],[Efektif Naik Harga]]&lt;30,"Naik","Sama")</f>
        <v>Sama</v>
      </c>
      <c r="BA204" s="7" t="str">
        <f>IF(Table43[[#This Row],[Kode BARANG Win2]]&lt;&gt;"","IDR","")</f>
        <v>IDR</v>
      </c>
      <c r="BB204" s="7" t="str">
        <f>CONCATENATE(Table43[[#This Row],[kode  1 Digit
(Nomor)]],Table43[[#This Row],[kode  4 Digit                (Nomor)]])</f>
        <v>10070</v>
      </c>
      <c r="BC204" s="7" t="str">
        <f>Table43[[#This Row],[Nama            Gramasi atau Jumlah Pack per CTN]]</f>
        <v>70ML</v>
      </c>
      <c r="BD204" s="7"/>
      <c r="BE204" s="7"/>
      <c r="BF204" s="4" t="str">
        <f>IF(Table43[[#This Row],[SATUAN Fix Win]]&lt;&gt;"","KRT")</f>
        <v>KRT</v>
      </c>
      <c r="BG204" s="4" t="str">
        <f>IF(Table43[[#This Row],[SATUAN Fix Win]]&lt;&gt;"","GD01")</f>
        <v>GD01</v>
      </c>
      <c r="BH204" s="4">
        <f>IF(Table43[[#This Row],[SATUAN Fix Win]]&lt;&gt;"",11611)</f>
        <v>11611</v>
      </c>
      <c r="BI204" s="4">
        <f>IF(Table43[[#This Row],[SATUAN Fix Win]]&lt;&gt;"",11612)</f>
        <v>11612</v>
      </c>
      <c r="BJ204" s="48"/>
      <c r="BK204" s="4">
        <f>IF(Table43[[#This Row],[SATUAN Fix Win]]&lt;&gt;"",1)</f>
        <v>1</v>
      </c>
    </row>
    <row r="205" spans="1:63">
      <c r="A205" s="4" t="str">
        <f>CONCATENATE(Table43[[#This Row],[Kode BARANG Win2]],Table43[[#This Row],[No. Urut
Item Sama]])</f>
        <v>K11130030125102</v>
      </c>
      <c r="B205" s="7">
        <v>2</v>
      </c>
      <c r="D205" s="28" t="s">
        <v>965</v>
      </c>
      <c r="E205" s="28"/>
      <c r="F205" s="28" t="s">
        <v>3023</v>
      </c>
      <c r="G205" s="78">
        <v>36</v>
      </c>
      <c r="H205" s="43"/>
      <c r="I205" s="28" t="str">
        <f>Table43[[#This Row],[Nama Jenis Kemasan]]</f>
        <v>BTL</v>
      </c>
      <c r="J205" s="4" t="str">
        <f>TRIM(CONCATENATE(Table43[[#This Row],[Nama            KLP]]," ",Table43[[#This Row],[Nama            Sub KLP]]))</f>
        <v>ESKULIN SPLASH FIRST</v>
      </c>
      <c r="K205" s="4" t="str">
        <f>CONCATENATE(Table43[[#This Row],[kode  2 Digit                (hrf+No)]],Table43[[#This Row],[kode  2 Digit                (Nomor)]],Table43[[#This Row],[kode  1 Digit                (Nomor)]])</f>
        <v>K1113</v>
      </c>
      <c r="L205" s="4" t="str">
        <f t="shared" si="9"/>
        <v>K1113003012510</v>
      </c>
      <c r="M205" s="11">
        <f t="shared" si="10"/>
        <v>14</v>
      </c>
      <c r="N205" s="14" t="str">
        <f>IF(AF205&lt;&gt;"",TRIM(UPPER(CONCATENATE(P205," ",R205," ",T205," ",V205," ",X205," ",Z205," ","X"," ",Table43[[#This Row],[ISI/CTN]]," ",AF205," ",AB205," ",AD205," ",AH205))),TRIM(UPPER(CONCATENATE(P205," ",R205," ",T205," ",V205," ",X205," ",Z205," ","X"," ",Table43[[#This Row],[ISI/CTN]]," ",AB205," ",AD205," ",AH205))))</f>
        <v>KNF ESKULIN SPLASH FIRST DATE 125ML X 36 BTL</v>
      </c>
      <c r="O205" s="11">
        <f t="shared" si="11"/>
        <v>44</v>
      </c>
      <c r="P205" s="4" t="s">
        <v>97</v>
      </c>
      <c r="Q205" s="7" t="s">
        <v>98</v>
      </c>
      <c r="R205" s="4" t="s">
        <v>3703</v>
      </c>
      <c r="S205" s="44" t="s">
        <v>3550</v>
      </c>
      <c r="T205" s="45" t="s">
        <v>3722</v>
      </c>
      <c r="U205" s="7" t="s">
        <v>3590</v>
      </c>
      <c r="V205" s="45" t="s">
        <v>2961</v>
      </c>
      <c r="W205" s="44" t="s">
        <v>2900</v>
      </c>
      <c r="X205" s="4" t="s">
        <v>3726</v>
      </c>
      <c r="Y205" s="46" t="s">
        <v>2473</v>
      </c>
      <c r="Z205" s="4" t="s">
        <v>3620</v>
      </c>
      <c r="AA205" s="46" t="s">
        <v>2489</v>
      </c>
      <c r="AB205" s="4" t="s">
        <v>357</v>
      </c>
      <c r="AC205" s="7" t="s">
        <v>2656</v>
      </c>
      <c r="AD205" s="4" t="s">
        <v>2961</v>
      </c>
      <c r="AE205" s="7" t="s">
        <v>2900</v>
      </c>
      <c r="AF205" s="7" t="s">
        <v>2961</v>
      </c>
      <c r="AG205" s="7" t="s">
        <v>2961</v>
      </c>
      <c r="AI205" s="7" t="s">
        <v>4100</v>
      </c>
      <c r="AJ205" s="7" t="s">
        <v>2656</v>
      </c>
      <c r="AK205" s="41">
        <f>Table43[[#This Row],[Harga Jual Pcs GT
(-PPN)]]-(Table43[[#This Row],[Harga Jual Pcs GT
(-PPN)]]*10%)</f>
        <v>0</v>
      </c>
      <c r="AL205" s="42">
        <f>Table43[[#This Row],[Harga Beli Pcs
(-PPN)]]*Table43[[#This Row],[ISI/CTN]]</f>
        <v>0</v>
      </c>
      <c r="AM205" s="42">
        <f>Table43[[#This Row],[Harga Beli Pcs
(-PPN)]]*1.11</f>
        <v>0</v>
      </c>
      <c r="AN205" s="42">
        <f>Table43[[#This Row],[Harga Beli Krt
(- PPN)]]*1.11</f>
        <v>0</v>
      </c>
      <c r="AO205" s="42"/>
      <c r="AP205" s="42">
        <f>Table43[[#This Row],[Harga Jual Pcs GT
(-PPN)]]*Table43[[#This Row],[ISI/CTN]]</f>
        <v>0</v>
      </c>
      <c r="AQ205" s="42">
        <f>Table43[[#This Row],[Harga Jual Pcs GT
(-PPN)]]*1.11</f>
        <v>0</v>
      </c>
      <c r="AR205" s="42">
        <f>Table43[[#This Row],[Harga Jual Krt GT
(- PPN)]]*1.11</f>
        <v>0</v>
      </c>
      <c r="AS205" s="42">
        <f>Table43[[#This Row],[Harga Jual Pcs GT
(-PPN)]]</f>
        <v>0</v>
      </c>
      <c r="AT205" s="42">
        <f>(Table43[[#This Row],[Harga Jual Pcs MT
(-PPN)]]*Table43[[#This Row],[ISI/CTN]])</f>
        <v>0</v>
      </c>
      <c r="AU205" s="42">
        <f>Table43[[#This Row],[Harga Jual Pcs MT
(-PPN)]]*1.11</f>
        <v>0</v>
      </c>
      <c r="AV205" s="42">
        <f>Table43[[#This Row],[Harga Jual Pcs MT
(+PPN)]]*Table43[[#This Row],[ISI/CTN]]</f>
        <v>0</v>
      </c>
      <c r="AW205" s="47"/>
      <c r="AX205" s="7"/>
      <c r="AY205" s="7" t="str">
        <f ca="1">IF(TODAY()-Table43[[#This Row],[Efektif
Pembuatan]]&gt;60,"Lama","Baru")</f>
        <v>Lama</v>
      </c>
      <c r="AZ205" s="7" t="str">
        <f ca="1">IF(TODAY()-Table43[[#This Row],[Efektif Naik Harga]]&lt;30,"Naik","Sama")</f>
        <v>Sama</v>
      </c>
      <c r="BA205" s="7" t="str">
        <f>IF(Table43[[#This Row],[Kode BARANG Win2]]&lt;&gt;"","IDR","")</f>
        <v>IDR</v>
      </c>
      <c r="BB205" s="7" t="str">
        <f>CONCATENATE(Table43[[#This Row],[kode  1 Digit
(Nomor)]],Table43[[#This Row],[kode  4 Digit                (Nomor)]])</f>
        <v>10125</v>
      </c>
      <c r="BC205" s="7" t="str">
        <f>Table43[[#This Row],[Nama            Gramasi atau Jumlah Pack per CTN]]</f>
        <v>125ML</v>
      </c>
      <c r="BD205" s="7"/>
      <c r="BE205" s="7"/>
      <c r="BF205" s="4" t="str">
        <f>IF(Table43[[#This Row],[SATUAN Fix Win]]&lt;&gt;"","KRT")</f>
        <v>KRT</v>
      </c>
      <c r="BG205" s="4" t="str">
        <f>IF(Table43[[#This Row],[SATUAN Fix Win]]&lt;&gt;"","GD01")</f>
        <v>GD01</v>
      </c>
      <c r="BH205" s="4">
        <f>IF(Table43[[#This Row],[SATUAN Fix Win]]&lt;&gt;"",11611)</f>
        <v>11611</v>
      </c>
      <c r="BI205" s="4">
        <f>IF(Table43[[#This Row],[SATUAN Fix Win]]&lt;&gt;"",11612)</f>
        <v>11612</v>
      </c>
      <c r="BJ205" s="48"/>
      <c r="BK205" s="4">
        <f>IF(Table43[[#This Row],[SATUAN Fix Win]]&lt;&gt;"",1)</f>
        <v>1</v>
      </c>
    </row>
    <row r="206" spans="1:63">
      <c r="A206" s="4" t="str">
        <f>CONCATENATE(Table43[[#This Row],[Kode BARANG Win2]],Table43[[#This Row],[No. Urut
Item Sama]])</f>
        <v>K11130040070101</v>
      </c>
      <c r="B206" s="7">
        <v>1</v>
      </c>
      <c r="D206" s="28" t="s">
        <v>966</v>
      </c>
      <c r="E206" s="28"/>
      <c r="F206" s="28" t="s">
        <v>3024</v>
      </c>
      <c r="G206" s="78">
        <v>36</v>
      </c>
      <c r="H206" s="43"/>
      <c r="I206" s="28" t="str">
        <f>Table43[[#This Row],[Nama Jenis Kemasan]]</f>
        <v>BTL</v>
      </c>
      <c r="J206" s="4" t="str">
        <f>TRIM(CONCATENATE(Table43[[#This Row],[Nama            KLP]]," ",Table43[[#This Row],[Nama            Sub KLP]]))</f>
        <v>ESKULIN SPLASH FIRST</v>
      </c>
      <c r="K206" s="4" t="str">
        <f>CONCATENATE(Table43[[#This Row],[kode  2 Digit                (hrf+No)]],Table43[[#This Row],[kode  2 Digit                (Nomor)]],Table43[[#This Row],[kode  1 Digit                (Nomor)]])</f>
        <v>K1113</v>
      </c>
      <c r="L206" s="4" t="str">
        <f t="shared" si="9"/>
        <v>K1113004007010</v>
      </c>
      <c r="M206" s="11">
        <f t="shared" si="10"/>
        <v>14</v>
      </c>
      <c r="N206" s="14" t="str">
        <f>IF(AF206&lt;&gt;"",TRIM(UPPER(CONCATENATE(P206," ",R206," ",T206," ",V206," ",X206," ",Z206," ","X"," ",Table43[[#This Row],[ISI/CTN]]," ",AF206," ",AB206," ",AD206," ",AH206))),TRIM(UPPER(CONCATENATE(P206," ",R206," ",T206," ",V206," ",X206," ",Z206," ","X"," ",Table43[[#This Row],[ISI/CTN]]," ",AB206," ",AD206," ",AH206))))</f>
        <v>KNF ESKULIN SPLASH FIRST KISS 70ML X 36 BTL</v>
      </c>
      <c r="O206" s="11">
        <f t="shared" si="11"/>
        <v>43</v>
      </c>
      <c r="P206" s="4" t="s">
        <v>97</v>
      </c>
      <c r="Q206" s="7" t="s">
        <v>98</v>
      </c>
      <c r="R206" s="4" t="s">
        <v>3703</v>
      </c>
      <c r="S206" s="44" t="s">
        <v>3550</v>
      </c>
      <c r="T206" s="45" t="s">
        <v>3722</v>
      </c>
      <c r="U206" s="7" t="s">
        <v>3590</v>
      </c>
      <c r="V206" s="45" t="s">
        <v>2961</v>
      </c>
      <c r="W206" s="44" t="s">
        <v>2900</v>
      </c>
      <c r="X206" s="4" t="s">
        <v>3727</v>
      </c>
      <c r="Y206" s="46" t="s">
        <v>2474</v>
      </c>
      <c r="Z206" s="4" t="s">
        <v>3724</v>
      </c>
      <c r="AA206" s="46" t="s">
        <v>2500</v>
      </c>
      <c r="AB206" s="4" t="s">
        <v>357</v>
      </c>
      <c r="AC206" s="7" t="s">
        <v>2656</v>
      </c>
      <c r="AD206" s="4" t="s">
        <v>2961</v>
      </c>
      <c r="AE206" s="7" t="s">
        <v>2900</v>
      </c>
      <c r="AF206" s="7" t="s">
        <v>2961</v>
      </c>
      <c r="AG206" s="7" t="s">
        <v>2961</v>
      </c>
      <c r="AI206" s="7" t="s">
        <v>4100</v>
      </c>
      <c r="AJ206" s="7" t="s">
        <v>2656</v>
      </c>
      <c r="AK206" s="41">
        <f>Table43[[#This Row],[Harga Jual Pcs GT
(-PPN)]]-(Table43[[#This Row],[Harga Jual Pcs GT
(-PPN)]]*10%)</f>
        <v>0</v>
      </c>
      <c r="AL206" s="42">
        <f>Table43[[#This Row],[Harga Beli Pcs
(-PPN)]]*Table43[[#This Row],[ISI/CTN]]</f>
        <v>0</v>
      </c>
      <c r="AM206" s="42">
        <f>Table43[[#This Row],[Harga Beli Pcs
(-PPN)]]*1.11</f>
        <v>0</v>
      </c>
      <c r="AN206" s="42">
        <f>Table43[[#This Row],[Harga Beli Krt
(- PPN)]]*1.11</f>
        <v>0</v>
      </c>
      <c r="AO206" s="42"/>
      <c r="AP206" s="42">
        <f>Table43[[#This Row],[Harga Jual Pcs GT
(-PPN)]]*Table43[[#This Row],[ISI/CTN]]</f>
        <v>0</v>
      </c>
      <c r="AQ206" s="42">
        <f>Table43[[#This Row],[Harga Jual Pcs GT
(-PPN)]]*1.11</f>
        <v>0</v>
      </c>
      <c r="AR206" s="42">
        <f>Table43[[#This Row],[Harga Jual Krt GT
(- PPN)]]*1.11</f>
        <v>0</v>
      </c>
      <c r="AS206" s="42">
        <f>Table43[[#This Row],[Harga Jual Pcs GT
(-PPN)]]</f>
        <v>0</v>
      </c>
      <c r="AT206" s="42">
        <f>(Table43[[#This Row],[Harga Jual Pcs MT
(-PPN)]]*Table43[[#This Row],[ISI/CTN]])</f>
        <v>0</v>
      </c>
      <c r="AU206" s="42">
        <f>Table43[[#This Row],[Harga Jual Pcs MT
(-PPN)]]*1.11</f>
        <v>0</v>
      </c>
      <c r="AV206" s="42">
        <f>Table43[[#This Row],[Harga Jual Pcs MT
(+PPN)]]*Table43[[#This Row],[ISI/CTN]]</f>
        <v>0</v>
      </c>
      <c r="AW206" s="47"/>
      <c r="AX206" s="7"/>
      <c r="AY206" s="7" t="str">
        <f ca="1">IF(TODAY()-Table43[[#This Row],[Efektif
Pembuatan]]&gt;60,"Lama","Baru")</f>
        <v>Lama</v>
      </c>
      <c r="AZ206" s="7" t="str">
        <f ca="1">IF(TODAY()-Table43[[#This Row],[Efektif Naik Harga]]&lt;30,"Naik","Sama")</f>
        <v>Sama</v>
      </c>
      <c r="BA206" s="7" t="str">
        <f>IF(Table43[[#This Row],[Kode BARANG Win2]]&lt;&gt;"","IDR","")</f>
        <v>IDR</v>
      </c>
      <c r="BB206" s="7" t="str">
        <f>CONCATENATE(Table43[[#This Row],[kode  1 Digit
(Nomor)]],Table43[[#This Row],[kode  4 Digit                (Nomor)]])</f>
        <v>10070</v>
      </c>
      <c r="BC206" s="7" t="str">
        <f>Table43[[#This Row],[Nama            Gramasi atau Jumlah Pack per CTN]]</f>
        <v>70ML</v>
      </c>
      <c r="BD206" s="7"/>
      <c r="BE206" s="7"/>
      <c r="BF206" s="4" t="str">
        <f>IF(Table43[[#This Row],[SATUAN Fix Win]]&lt;&gt;"","KRT")</f>
        <v>KRT</v>
      </c>
      <c r="BG206" s="4" t="str">
        <f>IF(Table43[[#This Row],[SATUAN Fix Win]]&lt;&gt;"","GD01")</f>
        <v>GD01</v>
      </c>
      <c r="BH206" s="4">
        <f>IF(Table43[[#This Row],[SATUAN Fix Win]]&lt;&gt;"",11611)</f>
        <v>11611</v>
      </c>
      <c r="BI206" s="4">
        <f>IF(Table43[[#This Row],[SATUAN Fix Win]]&lt;&gt;"",11612)</f>
        <v>11612</v>
      </c>
      <c r="BJ206" s="48"/>
      <c r="BK206" s="4">
        <f>IF(Table43[[#This Row],[SATUAN Fix Win]]&lt;&gt;"",1)</f>
        <v>1</v>
      </c>
    </row>
    <row r="207" spans="1:63">
      <c r="A207" s="4" t="str">
        <f>CONCATENATE(Table43[[#This Row],[Kode BARANG Win2]],Table43[[#This Row],[No. Urut
Item Sama]])</f>
        <v>K11130040125101</v>
      </c>
      <c r="B207" s="7">
        <v>1</v>
      </c>
      <c r="D207" s="28" t="s">
        <v>967</v>
      </c>
      <c r="E207" s="28"/>
      <c r="F207" s="28" t="s">
        <v>3025</v>
      </c>
      <c r="G207" s="78">
        <v>36</v>
      </c>
      <c r="H207" s="43"/>
      <c r="I207" s="28" t="str">
        <f>Table43[[#This Row],[Nama Jenis Kemasan]]</f>
        <v>BTL</v>
      </c>
      <c r="J207" s="4" t="str">
        <f>TRIM(CONCATENATE(Table43[[#This Row],[Nama            KLP]]," ",Table43[[#This Row],[Nama            Sub KLP]]))</f>
        <v>ESKULIN SPLASH FIRST</v>
      </c>
      <c r="K207" s="4" t="str">
        <f>CONCATENATE(Table43[[#This Row],[kode  2 Digit                (hrf+No)]],Table43[[#This Row],[kode  2 Digit                (Nomor)]],Table43[[#This Row],[kode  1 Digit                (Nomor)]])</f>
        <v>K1113</v>
      </c>
      <c r="L207" s="4" t="str">
        <f t="shared" ref="L207:L270" si="12">IF(AG207="",CONCATENATE(Q207,S207,U207,W207,Y207,AA207,AC207,AE207),CONCATENATE(Q207,S207,U207,W207,Y207,AA207,AC207,AG207))</f>
        <v>K1113004012510</v>
      </c>
      <c r="M207" s="11">
        <f t="shared" ref="M207:M270" si="13">LEN(L207)</f>
        <v>14</v>
      </c>
      <c r="N207" s="14" t="str">
        <f>IF(AF207&lt;&gt;"",TRIM(UPPER(CONCATENATE(P207," ",R207," ",T207," ",V207," ",X207," ",Z207," ","X"," ",Table43[[#This Row],[ISI/CTN]]," ",AF207," ",AB207," ",AD207," ",AH207))),TRIM(UPPER(CONCATENATE(P207," ",R207," ",T207," ",V207," ",X207," ",Z207," ","X"," ",Table43[[#This Row],[ISI/CTN]]," ",AB207," ",AD207," ",AH207))))</f>
        <v>KNF ESKULIN SPLASH FIRST KISS 125ML X 36 BTL</v>
      </c>
      <c r="O207" s="11">
        <f t="shared" ref="O207:O270" si="14">LEN(N207)</f>
        <v>44</v>
      </c>
      <c r="P207" s="4" t="s">
        <v>97</v>
      </c>
      <c r="Q207" s="7" t="s">
        <v>98</v>
      </c>
      <c r="R207" s="4" t="s">
        <v>3703</v>
      </c>
      <c r="S207" s="44" t="s">
        <v>3550</v>
      </c>
      <c r="T207" s="45" t="s">
        <v>3722</v>
      </c>
      <c r="U207" s="7" t="s">
        <v>3590</v>
      </c>
      <c r="V207" s="45" t="s">
        <v>2961</v>
      </c>
      <c r="W207" s="44" t="s">
        <v>2900</v>
      </c>
      <c r="X207" s="4" t="s">
        <v>3727</v>
      </c>
      <c r="Y207" s="46" t="s">
        <v>2474</v>
      </c>
      <c r="Z207" s="4" t="s">
        <v>3620</v>
      </c>
      <c r="AA207" s="46" t="s">
        <v>2489</v>
      </c>
      <c r="AB207" s="4" t="s">
        <v>357</v>
      </c>
      <c r="AC207" s="7" t="s">
        <v>2656</v>
      </c>
      <c r="AD207" s="4" t="s">
        <v>2961</v>
      </c>
      <c r="AE207" s="7" t="s">
        <v>2900</v>
      </c>
      <c r="AF207" s="7" t="s">
        <v>2961</v>
      </c>
      <c r="AG207" s="7" t="s">
        <v>2961</v>
      </c>
      <c r="AI207" s="7" t="s">
        <v>4100</v>
      </c>
      <c r="AJ207" s="7" t="s">
        <v>2656</v>
      </c>
      <c r="AK207" s="41">
        <f>Table43[[#This Row],[Harga Jual Pcs GT
(-PPN)]]-(Table43[[#This Row],[Harga Jual Pcs GT
(-PPN)]]*10%)</f>
        <v>0</v>
      </c>
      <c r="AL207" s="42">
        <f>Table43[[#This Row],[Harga Beli Pcs
(-PPN)]]*Table43[[#This Row],[ISI/CTN]]</f>
        <v>0</v>
      </c>
      <c r="AM207" s="42">
        <f>Table43[[#This Row],[Harga Beli Pcs
(-PPN)]]*1.11</f>
        <v>0</v>
      </c>
      <c r="AN207" s="42">
        <f>Table43[[#This Row],[Harga Beli Krt
(- PPN)]]*1.11</f>
        <v>0</v>
      </c>
      <c r="AO207" s="42"/>
      <c r="AP207" s="42">
        <f>Table43[[#This Row],[Harga Jual Pcs GT
(-PPN)]]*Table43[[#This Row],[ISI/CTN]]</f>
        <v>0</v>
      </c>
      <c r="AQ207" s="42">
        <f>Table43[[#This Row],[Harga Jual Pcs GT
(-PPN)]]*1.11</f>
        <v>0</v>
      </c>
      <c r="AR207" s="42">
        <f>Table43[[#This Row],[Harga Jual Krt GT
(- PPN)]]*1.11</f>
        <v>0</v>
      </c>
      <c r="AS207" s="42">
        <f>Table43[[#This Row],[Harga Jual Pcs GT
(-PPN)]]</f>
        <v>0</v>
      </c>
      <c r="AT207" s="42">
        <f>(Table43[[#This Row],[Harga Jual Pcs MT
(-PPN)]]*Table43[[#This Row],[ISI/CTN]])</f>
        <v>0</v>
      </c>
      <c r="AU207" s="42">
        <f>Table43[[#This Row],[Harga Jual Pcs MT
(-PPN)]]*1.11</f>
        <v>0</v>
      </c>
      <c r="AV207" s="42">
        <f>Table43[[#This Row],[Harga Jual Pcs MT
(+PPN)]]*Table43[[#This Row],[ISI/CTN]]</f>
        <v>0</v>
      </c>
      <c r="AW207" s="47"/>
      <c r="AX207" s="7"/>
      <c r="AY207" s="7" t="str">
        <f ca="1">IF(TODAY()-Table43[[#This Row],[Efektif
Pembuatan]]&gt;60,"Lama","Baru")</f>
        <v>Lama</v>
      </c>
      <c r="AZ207" s="7" t="str">
        <f ca="1">IF(TODAY()-Table43[[#This Row],[Efektif Naik Harga]]&lt;30,"Naik","Sama")</f>
        <v>Sama</v>
      </c>
      <c r="BA207" s="7" t="str">
        <f>IF(Table43[[#This Row],[Kode BARANG Win2]]&lt;&gt;"","IDR","")</f>
        <v>IDR</v>
      </c>
      <c r="BB207" s="7" t="str">
        <f>CONCATENATE(Table43[[#This Row],[kode  1 Digit
(Nomor)]],Table43[[#This Row],[kode  4 Digit                (Nomor)]])</f>
        <v>10125</v>
      </c>
      <c r="BC207" s="7" t="str">
        <f>Table43[[#This Row],[Nama            Gramasi atau Jumlah Pack per CTN]]</f>
        <v>125ML</v>
      </c>
      <c r="BD207" s="7"/>
      <c r="BE207" s="7"/>
      <c r="BF207" s="4" t="str">
        <f>IF(Table43[[#This Row],[SATUAN Fix Win]]&lt;&gt;"","KRT")</f>
        <v>KRT</v>
      </c>
      <c r="BG207" s="4" t="str">
        <f>IF(Table43[[#This Row],[SATUAN Fix Win]]&lt;&gt;"","GD01")</f>
        <v>GD01</v>
      </c>
      <c r="BH207" s="4">
        <f>IF(Table43[[#This Row],[SATUAN Fix Win]]&lt;&gt;"",11611)</f>
        <v>11611</v>
      </c>
      <c r="BI207" s="4">
        <f>IF(Table43[[#This Row],[SATUAN Fix Win]]&lt;&gt;"",11612)</f>
        <v>11612</v>
      </c>
      <c r="BJ207" s="48"/>
      <c r="BK207" s="4">
        <f>IF(Table43[[#This Row],[SATUAN Fix Win]]&lt;&gt;"",1)</f>
        <v>1</v>
      </c>
    </row>
    <row r="208" spans="1:63">
      <c r="A208" s="4" t="str">
        <f>CONCATENATE(Table43[[#This Row],[Kode BARANG Win2]],Table43[[#This Row],[No. Urut
Item Sama]])</f>
        <v>K11140010065101</v>
      </c>
      <c r="B208" s="7">
        <v>1</v>
      </c>
      <c r="D208" s="28" t="s">
        <v>952</v>
      </c>
      <c r="E208" s="28"/>
      <c r="F208" s="28" t="s">
        <v>3026</v>
      </c>
      <c r="G208" s="78">
        <v>36</v>
      </c>
      <c r="H208" s="43"/>
      <c r="I208" s="28" t="str">
        <f>Table43[[#This Row],[Nama Jenis Kemasan]]</f>
        <v>BTL</v>
      </c>
      <c r="J208" s="4" t="str">
        <f>TRIM(CONCATENATE(Table43[[#This Row],[Nama            KLP]]," ",Table43[[#This Row],[Nama            Sub KLP]]))</f>
        <v>ESKULIN SPRAY</v>
      </c>
      <c r="K208" s="4" t="str">
        <f>CONCATENATE(Table43[[#This Row],[kode  2 Digit                (hrf+No)]],Table43[[#This Row],[kode  2 Digit                (Nomor)]],Table43[[#This Row],[kode  1 Digit                (Nomor)]])</f>
        <v>K1114</v>
      </c>
      <c r="L208" s="4" t="str">
        <f t="shared" si="12"/>
        <v>K1114001006510</v>
      </c>
      <c r="M208" s="11">
        <f t="shared" si="13"/>
        <v>14</v>
      </c>
      <c r="N208" s="14" t="str">
        <f>IF(AF208&lt;&gt;"",TRIM(UPPER(CONCATENATE(P208," ",R208," ",T208," ",V208," ",X208," ",Z208," ","X"," ",Table43[[#This Row],[ISI/CTN]]," ",AF208," ",AB208," ",AD208," ",AH208))),TRIM(UPPER(CONCATENATE(P208," ",R208," ",T208," ",V208," ",X208," ",Z208," ","X"," ",Table43[[#This Row],[ISI/CTN]]," ",AB208," ",AD208," ",AH208))))</f>
        <v>KNF ESKULIN SPRAY CHEER THE WORLD 65ML X 36 BTL</v>
      </c>
      <c r="O208" s="11">
        <f t="shared" si="14"/>
        <v>47</v>
      </c>
      <c r="P208" s="4" t="s">
        <v>97</v>
      </c>
      <c r="Q208" s="7" t="s">
        <v>98</v>
      </c>
      <c r="R208" s="4" t="s">
        <v>3703</v>
      </c>
      <c r="S208" s="44" t="s">
        <v>3550</v>
      </c>
      <c r="T208" s="45" t="s">
        <v>3728</v>
      </c>
      <c r="U208" s="7" t="s">
        <v>3593</v>
      </c>
      <c r="V208" s="45" t="s">
        <v>2961</v>
      </c>
      <c r="W208" s="44" t="s">
        <v>2900</v>
      </c>
      <c r="X208" s="4" t="s">
        <v>3729</v>
      </c>
      <c r="Y208" s="46" t="s">
        <v>0</v>
      </c>
      <c r="Z208" s="4" t="s">
        <v>3730</v>
      </c>
      <c r="AA208" s="46" t="s">
        <v>2501</v>
      </c>
      <c r="AB208" s="4" t="s">
        <v>357</v>
      </c>
      <c r="AC208" s="7" t="s">
        <v>2656</v>
      </c>
      <c r="AD208" s="4" t="s">
        <v>2961</v>
      </c>
      <c r="AE208" s="7" t="s">
        <v>2900</v>
      </c>
      <c r="AF208" s="7" t="s">
        <v>2961</v>
      </c>
      <c r="AG208" s="7" t="s">
        <v>2961</v>
      </c>
      <c r="AI208" s="7" t="s">
        <v>4100</v>
      </c>
      <c r="AJ208" s="7" t="s">
        <v>2656</v>
      </c>
      <c r="AK208" s="41">
        <f>Table43[[#This Row],[Harga Jual Pcs GT
(-PPN)]]-(Table43[[#This Row],[Harga Jual Pcs GT
(-PPN)]]*10%)</f>
        <v>0</v>
      </c>
      <c r="AL208" s="42">
        <f>Table43[[#This Row],[Harga Beli Pcs
(-PPN)]]*Table43[[#This Row],[ISI/CTN]]</f>
        <v>0</v>
      </c>
      <c r="AM208" s="42">
        <f>Table43[[#This Row],[Harga Beli Pcs
(-PPN)]]*1.11</f>
        <v>0</v>
      </c>
      <c r="AN208" s="42">
        <f>Table43[[#This Row],[Harga Beli Krt
(- PPN)]]*1.11</f>
        <v>0</v>
      </c>
      <c r="AO208" s="42"/>
      <c r="AP208" s="42">
        <f>Table43[[#This Row],[Harga Jual Pcs GT
(-PPN)]]*Table43[[#This Row],[ISI/CTN]]</f>
        <v>0</v>
      </c>
      <c r="AQ208" s="42">
        <f>Table43[[#This Row],[Harga Jual Pcs GT
(-PPN)]]*1.11</f>
        <v>0</v>
      </c>
      <c r="AR208" s="42">
        <f>Table43[[#This Row],[Harga Jual Krt GT
(- PPN)]]*1.11</f>
        <v>0</v>
      </c>
      <c r="AS208" s="42">
        <f>Table43[[#This Row],[Harga Jual Pcs GT
(-PPN)]]</f>
        <v>0</v>
      </c>
      <c r="AT208" s="42">
        <f>(Table43[[#This Row],[Harga Jual Pcs MT
(-PPN)]]*Table43[[#This Row],[ISI/CTN]])</f>
        <v>0</v>
      </c>
      <c r="AU208" s="42">
        <f>Table43[[#This Row],[Harga Jual Pcs MT
(-PPN)]]*1.11</f>
        <v>0</v>
      </c>
      <c r="AV208" s="42">
        <f>Table43[[#This Row],[Harga Jual Pcs MT
(+PPN)]]*Table43[[#This Row],[ISI/CTN]]</f>
        <v>0</v>
      </c>
      <c r="AW208" s="47"/>
      <c r="AX208" s="7"/>
      <c r="AY208" s="7" t="str">
        <f ca="1">IF(TODAY()-Table43[[#This Row],[Efektif
Pembuatan]]&gt;60,"Lama","Baru")</f>
        <v>Lama</v>
      </c>
      <c r="AZ208" s="7" t="str">
        <f ca="1">IF(TODAY()-Table43[[#This Row],[Efektif Naik Harga]]&lt;30,"Naik","Sama")</f>
        <v>Sama</v>
      </c>
      <c r="BA208" s="7" t="str">
        <f>IF(Table43[[#This Row],[Kode BARANG Win2]]&lt;&gt;"","IDR","")</f>
        <v>IDR</v>
      </c>
      <c r="BB208" s="7" t="str">
        <f>CONCATENATE(Table43[[#This Row],[kode  1 Digit
(Nomor)]],Table43[[#This Row],[kode  4 Digit                (Nomor)]])</f>
        <v>10065</v>
      </c>
      <c r="BC208" s="7" t="str">
        <f>Table43[[#This Row],[Nama            Gramasi atau Jumlah Pack per CTN]]</f>
        <v>65ML</v>
      </c>
      <c r="BD208" s="7"/>
      <c r="BE208" s="7"/>
      <c r="BF208" s="4" t="str">
        <f>IF(Table43[[#This Row],[SATUAN Fix Win]]&lt;&gt;"","KRT")</f>
        <v>KRT</v>
      </c>
      <c r="BG208" s="4" t="str">
        <f>IF(Table43[[#This Row],[SATUAN Fix Win]]&lt;&gt;"","GD01")</f>
        <v>GD01</v>
      </c>
      <c r="BH208" s="4">
        <f>IF(Table43[[#This Row],[SATUAN Fix Win]]&lt;&gt;"",11611)</f>
        <v>11611</v>
      </c>
      <c r="BI208" s="4">
        <f>IF(Table43[[#This Row],[SATUAN Fix Win]]&lt;&gt;"",11612)</f>
        <v>11612</v>
      </c>
      <c r="BJ208" s="48"/>
      <c r="BK208" s="4">
        <f>IF(Table43[[#This Row],[SATUAN Fix Win]]&lt;&gt;"",1)</f>
        <v>1</v>
      </c>
    </row>
    <row r="209" spans="1:63">
      <c r="A209" s="4" t="str">
        <f>CONCATENATE(Table43[[#This Row],[Kode BARANG Win2]],Table43[[#This Row],[No. Urut
Item Sama]])</f>
        <v>K11140010105101</v>
      </c>
      <c r="B209" s="7">
        <v>1</v>
      </c>
      <c r="D209" s="28" t="s">
        <v>953</v>
      </c>
      <c r="E209" s="28"/>
      <c r="F209" s="28" t="s">
        <v>3027</v>
      </c>
      <c r="G209" s="78">
        <v>36</v>
      </c>
      <c r="H209" s="43"/>
      <c r="I209" s="28" t="str">
        <f>Table43[[#This Row],[Nama Jenis Kemasan]]</f>
        <v>BTL</v>
      </c>
      <c r="J209" s="4" t="str">
        <f>TRIM(CONCATENATE(Table43[[#This Row],[Nama            KLP]]," ",Table43[[#This Row],[Nama            Sub KLP]]))</f>
        <v>ESKULIN SPRAY</v>
      </c>
      <c r="K209" s="4" t="str">
        <f>CONCATENATE(Table43[[#This Row],[kode  2 Digit                (hrf+No)]],Table43[[#This Row],[kode  2 Digit                (Nomor)]],Table43[[#This Row],[kode  1 Digit                (Nomor)]])</f>
        <v>K1114</v>
      </c>
      <c r="L209" s="4" t="str">
        <f t="shared" si="12"/>
        <v>K1114001010510</v>
      </c>
      <c r="M209" s="11">
        <f t="shared" si="13"/>
        <v>14</v>
      </c>
      <c r="N209" s="14" t="str">
        <f>IF(AF209&lt;&gt;"",TRIM(UPPER(CONCATENATE(P209," ",R209," ",T209," ",V209," ",X209," ",Z209," ","X"," ",Table43[[#This Row],[ISI/CTN]]," ",AF209," ",AB209," ",AD209," ",AH209))),TRIM(UPPER(CONCATENATE(P209," ",R209," ",T209," ",V209," ",X209," ",Z209," ","X"," ",Table43[[#This Row],[ISI/CTN]]," ",AB209," ",AD209," ",AH209))))</f>
        <v>KNF ESKULIN SPRAY CHEER THE WORLD 105ML X 36 BTL</v>
      </c>
      <c r="O209" s="11">
        <f t="shared" si="14"/>
        <v>48</v>
      </c>
      <c r="P209" s="4" t="s">
        <v>97</v>
      </c>
      <c r="Q209" s="7" t="s">
        <v>98</v>
      </c>
      <c r="R209" s="4" t="s">
        <v>3703</v>
      </c>
      <c r="S209" s="44" t="s">
        <v>3550</v>
      </c>
      <c r="T209" s="45" t="s">
        <v>3728</v>
      </c>
      <c r="U209" s="7" t="s">
        <v>3593</v>
      </c>
      <c r="V209" s="45" t="s">
        <v>2961</v>
      </c>
      <c r="W209" s="44" t="s">
        <v>2900</v>
      </c>
      <c r="X209" s="4" t="s">
        <v>3729</v>
      </c>
      <c r="Y209" s="46" t="s">
        <v>0</v>
      </c>
      <c r="Z209" s="4" t="s">
        <v>3731</v>
      </c>
      <c r="AA209" s="46" t="s">
        <v>2502</v>
      </c>
      <c r="AB209" s="4" t="s">
        <v>357</v>
      </c>
      <c r="AC209" s="7" t="s">
        <v>2656</v>
      </c>
      <c r="AD209" s="4" t="s">
        <v>2961</v>
      </c>
      <c r="AE209" s="7" t="s">
        <v>2900</v>
      </c>
      <c r="AF209" s="7" t="s">
        <v>2961</v>
      </c>
      <c r="AG209" s="7" t="s">
        <v>2961</v>
      </c>
      <c r="AI209" s="7" t="s">
        <v>4100</v>
      </c>
      <c r="AJ209" s="7" t="s">
        <v>2656</v>
      </c>
      <c r="AK209" s="41">
        <f>Table43[[#This Row],[Harga Jual Pcs GT
(-PPN)]]-(Table43[[#This Row],[Harga Jual Pcs GT
(-PPN)]]*10%)</f>
        <v>0</v>
      </c>
      <c r="AL209" s="42">
        <f>Table43[[#This Row],[Harga Beli Pcs
(-PPN)]]*Table43[[#This Row],[ISI/CTN]]</f>
        <v>0</v>
      </c>
      <c r="AM209" s="42">
        <f>Table43[[#This Row],[Harga Beli Pcs
(-PPN)]]*1.11</f>
        <v>0</v>
      </c>
      <c r="AN209" s="42">
        <f>Table43[[#This Row],[Harga Beli Krt
(- PPN)]]*1.11</f>
        <v>0</v>
      </c>
      <c r="AO209" s="42"/>
      <c r="AP209" s="42">
        <f>Table43[[#This Row],[Harga Jual Pcs GT
(-PPN)]]*Table43[[#This Row],[ISI/CTN]]</f>
        <v>0</v>
      </c>
      <c r="AQ209" s="42">
        <f>Table43[[#This Row],[Harga Jual Pcs GT
(-PPN)]]*1.11</f>
        <v>0</v>
      </c>
      <c r="AR209" s="42">
        <f>Table43[[#This Row],[Harga Jual Krt GT
(- PPN)]]*1.11</f>
        <v>0</v>
      </c>
      <c r="AS209" s="42">
        <f>Table43[[#This Row],[Harga Jual Pcs GT
(-PPN)]]</f>
        <v>0</v>
      </c>
      <c r="AT209" s="42">
        <f>(Table43[[#This Row],[Harga Jual Pcs MT
(-PPN)]]*Table43[[#This Row],[ISI/CTN]])</f>
        <v>0</v>
      </c>
      <c r="AU209" s="42">
        <f>Table43[[#This Row],[Harga Jual Pcs MT
(-PPN)]]*1.11</f>
        <v>0</v>
      </c>
      <c r="AV209" s="42">
        <f>Table43[[#This Row],[Harga Jual Pcs MT
(+PPN)]]*Table43[[#This Row],[ISI/CTN]]</f>
        <v>0</v>
      </c>
      <c r="AW209" s="47"/>
      <c r="AX209" s="7"/>
      <c r="AY209" s="7" t="str">
        <f ca="1">IF(TODAY()-Table43[[#This Row],[Efektif
Pembuatan]]&gt;60,"Lama","Baru")</f>
        <v>Lama</v>
      </c>
      <c r="AZ209" s="7" t="str">
        <f ca="1">IF(TODAY()-Table43[[#This Row],[Efektif Naik Harga]]&lt;30,"Naik","Sama")</f>
        <v>Sama</v>
      </c>
      <c r="BA209" s="7" t="str">
        <f>IF(Table43[[#This Row],[Kode BARANG Win2]]&lt;&gt;"","IDR","")</f>
        <v>IDR</v>
      </c>
      <c r="BB209" s="7" t="str">
        <f>CONCATENATE(Table43[[#This Row],[kode  1 Digit
(Nomor)]],Table43[[#This Row],[kode  4 Digit                (Nomor)]])</f>
        <v>10105</v>
      </c>
      <c r="BC209" s="7" t="str">
        <f>Table43[[#This Row],[Nama            Gramasi atau Jumlah Pack per CTN]]</f>
        <v>105ML</v>
      </c>
      <c r="BD209" s="7"/>
      <c r="BE209" s="7"/>
      <c r="BF209" s="4" t="str">
        <f>IF(Table43[[#This Row],[SATUAN Fix Win]]&lt;&gt;"","KRT")</f>
        <v>KRT</v>
      </c>
      <c r="BG209" s="4" t="str">
        <f>IF(Table43[[#This Row],[SATUAN Fix Win]]&lt;&gt;"","GD01")</f>
        <v>GD01</v>
      </c>
      <c r="BH209" s="4">
        <f>IF(Table43[[#This Row],[SATUAN Fix Win]]&lt;&gt;"",11611)</f>
        <v>11611</v>
      </c>
      <c r="BI209" s="4">
        <f>IF(Table43[[#This Row],[SATUAN Fix Win]]&lt;&gt;"",11612)</f>
        <v>11612</v>
      </c>
      <c r="BJ209" s="48"/>
      <c r="BK209" s="4">
        <f>IF(Table43[[#This Row],[SATUAN Fix Win]]&lt;&gt;"",1)</f>
        <v>1</v>
      </c>
    </row>
    <row r="210" spans="1:63">
      <c r="A210" s="4" t="str">
        <f>CONCATENATE(Table43[[#This Row],[Kode BARANG Win2]],Table43[[#This Row],[No. Urut
Item Sama]])</f>
        <v>K11140020065101</v>
      </c>
      <c r="B210" s="7">
        <v>1</v>
      </c>
      <c r="D210" s="28" t="s">
        <v>954</v>
      </c>
      <c r="E210" s="28"/>
      <c r="F210" s="28" t="s">
        <v>3028</v>
      </c>
      <c r="G210" s="78">
        <v>36</v>
      </c>
      <c r="H210" s="43"/>
      <c r="I210" s="28" t="str">
        <f>Table43[[#This Row],[Nama Jenis Kemasan]]</f>
        <v>BTL</v>
      </c>
      <c r="J210" s="4" t="str">
        <f>TRIM(CONCATENATE(Table43[[#This Row],[Nama            KLP]]," ",Table43[[#This Row],[Nama            Sub KLP]]))</f>
        <v>ESKULIN SPRAY</v>
      </c>
      <c r="K210" s="4" t="str">
        <f>CONCATENATE(Table43[[#This Row],[kode  2 Digit                (hrf+No)]],Table43[[#This Row],[kode  2 Digit                (Nomor)]],Table43[[#This Row],[kode  1 Digit                (Nomor)]])</f>
        <v>K1114</v>
      </c>
      <c r="L210" s="4" t="str">
        <f t="shared" si="12"/>
        <v>K1114002006510</v>
      </c>
      <c r="M210" s="11">
        <f t="shared" si="13"/>
        <v>14</v>
      </c>
      <c r="N210" s="14" t="str">
        <f>IF(AF210&lt;&gt;"",TRIM(UPPER(CONCATENATE(P210," ",R210," ",T210," ",V210," ",X210," ",Z210," ","X"," ",Table43[[#This Row],[ISI/CTN]]," ",AF210," ",AB210," ",AD210," ",AH210))),TRIM(UPPER(CONCATENATE(P210," ",R210," ",T210," ",V210," ",X210," ",Z210," ","X"," ",Table43[[#This Row],[ISI/CTN]]," ",AB210," ",AD210," ",AH210))))</f>
        <v>KNF ESKULIN SPRAY GOOD NIGHT KISS 65ML X 36 BTL</v>
      </c>
      <c r="O210" s="11">
        <f t="shared" si="14"/>
        <v>47</v>
      </c>
      <c r="P210" s="4" t="s">
        <v>97</v>
      </c>
      <c r="Q210" s="7" t="s">
        <v>98</v>
      </c>
      <c r="R210" s="4" t="s">
        <v>3703</v>
      </c>
      <c r="S210" s="44" t="s">
        <v>3550</v>
      </c>
      <c r="T210" s="45" t="s">
        <v>3728</v>
      </c>
      <c r="U210" s="7" t="s">
        <v>3593</v>
      </c>
      <c r="V210" s="45" t="s">
        <v>2961</v>
      </c>
      <c r="W210" s="44" t="s">
        <v>2900</v>
      </c>
      <c r="X210" s="4" t="s">
        <v>3732</v>
      </c>
      <c r="Y210" s="46" t="s">
        <v>2472</v>
      </c>
      <c r="Z210" s="4" t="s">
        <v>3730</v>
      </c>
      <c r="AA210" s="46" t="s">
        <v>2501</v>
      </c>
      <c r="AB210" s="4" t="s">
        <v>357</v>
      </c>
      <c r="AC210" s="7" t="s">
        <v>2656</v>
      </c>
      <c r="AD210" s="4" t="s">
        <v>2961</v>
      </c>
      <c r="AE210" s="7" t="s">
        <v>2900</v>
      </c>
      <c r="AF210" s="7" t="s">
        <v>2961</v>
      </c>
      <c r="AG210" s="7" t="s">
        <v>2961</v>
      </c>
      <c r="AI210" s="7" t="s">
        <v>4100</v>
      </c>
      <c r="AJ210" s="7" t="s">
        <v>2656</v>
      </c>
      <c r="AK210" s="41">
        <f>Table43[[#This Row],[Harga Jual Pcs GT
(-PPN)]]-(Table43[[#This Row],[Harga Jual Pcs GT
(-PPN)]]*10%)</f>
        <v>0</v>
      </c>
      <c r="AL210" s="42">
        <f>Table43[[#This Row],[Harga Beli Pcs
(-PPN)]]*Table43[[#This Row],[ISI/CTN]]</f>
        <v>0</v>
      </c>
      <c r="AM210" s="42">
        <f>Table43[[#This Row],[Harga Beli Pcs
(-PPN)]]*1.11</f>
        <v>0</v>
      </c>
      <c r="AN210" s="42">
        <f>Table43[[#This Row],[Harga Beli Krt
(- PPN)]]*1.11</f>
        <v>0</v>
      </c>
      <c r="AO210" s="42"/>
      <c r="AP210" s="42">
        <f>Table43[[#This Row],[Harga Jual Pcs GT
(-PPN)]]*Table43[[#This Row],[ISI/CTN]]</f>
        <v>0</v>
      </c>
      <c r="AQ210" s="42">
        <f>Table43[[#This Row],[Harga Jual Pcs GT
(-PPN)]]*1.11</f>
        <v>0</v>
      </c>
      <c r="AR210" s="42">
        <f>Table43[[#This Row],[Harga Jual Krt GT
(- PPN)]]*1.11</f>
        <v>0</v>
      </c>
      <c r="AS210" s="42">
        <f>Table43[[#This Row],[Harga Jual Pcs GT
(-PPN)]]</f>
        <v>0</v>
      </c>
      <c r="AT210" s="42">
        <f>(Table43[[#This Row],[Harga Jual Pcs MT
(-PPN)]]*Table43[[#This Row],[ISI/CTN]])</f>
        <v>0</v>
      </c>
      <c r="AU210" s="42">
        <f>Table43[[#This Row],[Harga Jual Pcs MT
(-PPN)]]*1.11</f>
        <v>0</v>
      </c>
      <c r="AV210" s="42">
        <f>Table43[[#This Row],[Harga Jual Pcs MT
(+PPN)]]*Table43[[#This Row],[ISI/CTN]]</f>
        <v>0</v>
      </c>
      <c r="AW210" s="47"/>
      <c r="AX210" s="7"/>
      <c r="AY210" s="7" t="str">
        <f ca="1">IF(TODAY()-Table43[[#This Row],[Efektif
Pembuatan]]&gt;60,"Lama","Baru")</f>
        <v>Lama</v>
      </c>
      <c r="AZ210" s="7" t="str">
        <f ca="1">IF(TODAY()-Table43[[#This Row],[Efektif Naik Harga]]&lt;30,"Naik","Sama")</f>
        <v>Sama</v>
      </c>
      <c r="BA210" s="7" t="str">
        <f>IF(Table43[[#This Row],[Kode BARANG Win2]]&lt;&gt;"","IDR","")</f>
        <v>IDR</v>
      </c>
      <c r="BB210" s="7" t="str">
        <f>CONCATENATE(Table43[[#This Row],[kode  1 Digit
(Nomor)]],Table43[[#This Row],[kode  4 Digit                (Nomor)]])</f>
        <v>10065</v>
      </c>
      <c r="BC210" s="7" t="str">
        <f>Table43[[#This Row],[Nama            Gramasi atau Jumlah Pack per CTN]]</f>
        <v>65ML</v>
      </c>
      <c r="BD210" s="7"/>
      <c r="BE210" s="7"/>
      <c r="BF210" s="4" t="str">
        <f>IF(Table43[[#This Row],[SATUAN Fix Win]]&lt;&gt;"","KRT")</f>
        <v>KRT</v>
      </c>
      <c r="BG210" s="4" t="str">
        <f>IF(Table43[[#This Row],[SATUAN Fix Win]]&lt;&gt;"","GD01")</f>
        <v>GD01</v>
      </c>
      <c r="BH210" s="4">
        <f>IF(Table43[[#This Row],[SATUAN Fix Win]]&lt;&gt;"",11611)</f>
        <v>11611</v>
      </c>
      <c r="BI210" s="4">
        <f>IF(Table43[[#This Row],[SATUAN Fix Win]]&lt;&gt;"",11612)</f>
        <v>11612</v>
      </c>
      <c r="BJ210" s="48"/>
      <c r="BK210" s="4">
        <f>IF(Table43[[#This Row],[SATUAN Fix Win]]&lt;&gt;"",1)</f>
        <v>1</v>
      </c>
    </row>
    <row r="211" spans="1:63">
      <c r="A211" s="4" t="str">
        <f>CONCATENATE(Table43[[#This Row],[Kode BARANG Win2]],Table43[[#This Row],[No. Urut
Item Sama]])</f>
        <v>K11140020105101</v>
      </c>
      <c r="B211" s="7">
        <v>1</v>
      </c>
      <c r="D211" s="28" t="s">
        <v>955</v>
      </c>
      <c r="E211" s="28"/>
      <c r="F211" s="28" t="s">
        <v>3029</v>
      </c>
      <c r="G211" s="78">
        <v>36</v>
      </c>
      <c r="H211" s="43"/>
      <c r="I211" s="28" t="str">
        <f>Table43[[#This Row],[Nama Jenis Kemasan]]</f>
        <v>BTL</v>
      </c>
      <c r="J211" s="4" t="str">
        <f>TRIM(CONCATENATE(Table43[[#This Row],[Nama            KLP]]," ",Table43[[#This Row],[Nama            Sub KLP]]))</f>
        <v>ESKULIN SPRAY</v>
      </c>
      <c r="K211" s="4" t="str">
        <f>CONCATENATE(Table43[[#This Row],[kode  2 Digit                (hrf+No)]],Table43[[#This Row],[kode  2 Digit                (Nomor)]],Table43[[#This Row],[kode  1 Digit                (Nomor)]])</f>
        <v>K1114</v>
      </c>
      <c r="L211" s="4" t="str">
        <f t="shared" si="12"/>
        <v>K1114002010510</v>
      </c>
      <c r="M211" s="11">
        <f t="shared" si="13"/>
        <v>14</v>
      </c>
      <c r="N211" s="14" t="str">
        <f>IF(AF211&lt;&gt;"",TRIM(UPPER(CONCATENATE(P211," ",R211," ",T211," ",V211," ",X211," ",Z211," ","X"," ",Table43[[#This Row],[ISI/CTN]]," ",AF211," ",AB211," ",AD211," ",AH211))),TRIM(UPPER(CONCATENATE(P211," ",R211," ",T211," ",V211," ",X211," ",Z211," ","X"," ",Table43[[#This Row],[ISI/CTN]]," ",AB211," ",AD211," ",AH211))))</f>
        <v>KNF ESKULIN SPRAY GOOD NIGHT KISS 105ML X 36 BTL</v>
      </c>
      <c r="O211" s="11">
        <f t="shared" si="14"/>
        <v>48</v>
      </c>
      <c r="P211" s="4" t="s">
        <v>97</v>
      </c>
      <c r="Q211" s="7" t="s">
        <v>98</v>
      </c>
      <c r="R211" s="4" t="s">
        <v>3703</v>
      </c>
      <c r="S211" s="44" t="s">
        <v>3550</v>
      </c>
      <c r="T211" s="45" t="s">
        <v>3728</v>
      </c>
      <c r="U211" s="7" t="s">
        <v>3593</v>
      </c>
      <c r="V211" s="45" t="s">
        <v>2961</v>
      </c>
      <c r="W211" s="44" t="s">
        <v>2900</v>
      </c>
      <c r="X211" s="4" t="s">
        <v>3732</v>
      </c>
      <c r="Y211" s="46" t="s">
        <v>2472</v>
      </c>
      <c r="Z211" s="4" t="s">
        <v>3731</v>
      </c>
      <c r="AA211" s="46" t="s">
        <v>2502</v>
      </c>
      <c r="AB211" s="4" t="s">
        <v>357</v>
      </c>
      <c r="AC211" s="7" t="s">
        <v>2656</v>
      </c>
      <c r="AD211" s="4" t="s">
        <v>2961</v>
      </c>
      <c r="AE211" s="7" t="s">
        <v>2900</v>
      </c>
      <c r="AF211" s="7" t="s">
        <v>2961</v>
      </c>
      <c r="AG211" s="7" t="s">
        <v>2961</v>
      </c>
      <c r="AI211" s="7" t="s">
        <v>4100</v>
      </c>
      <c r="AJ211" s="7" t="s">
        <v>2656</v>
      </c>
      <c r="AK211" s="41">
        <f>Table43[[#This Row],[Harga Jual Pcs GT
(-PPN)]]-(Table43[[#This Row],[Harga Jual Pcs GT
(-PPN)]]*10%)</f>
        <v>0</v>
      </c>
      <c r="AL211" s="42">
        <f>Table43[[#This Row],[Harga Beli Pcs
(-PPN)]]*Table43[[#This Row],[ISI/CTN]]</f>
        <v>0</v>
      </c>
      <c r="AM211" s="42">
        <f>Table43[[#This Row],[Harga Beli Pcs
(-PPN)]]*1.11</f>
        <v>0</v>
      </c>
      <c r="AN211" s="42">
        <f>Table43[[#This Row],[Harga Beli Krt
(- PPN)]]*1.11</f>
        <v>0</v>
      </c>
      <c r="AO211" s="42"/>
      <c r="AP211" s="42">
        <f>Table43[[#This Row],[Harga Jual Pcs GT
(-PPN)]]*Table43[[#This Row],[ISI/CTN]]</f>
        <v>0</v>
      </c>
      <c r="AQ211" s="42">
        <f>Table43[[#This Row],[Harga Jual Pcs GT
(-PPN)]]*1.11</f>
        <v>0</v>
      </c>
      <c r="AR211" s="42">
        <f>Table43[[#This Row],[Harga Jual Krt GT
(- PPN)]]*1.11</f>
        <v>0</v>
      </c>
      <c r="AS211" s="42">
        <f>Table43[[#This Row],[Harga Jual Pcs GT
(-PPN)]]</f>
        <v>0</v>
      </c>
      <c r="AT211" s="42">
        <f>(Table43[[#This Row],[Harga Jual Pcs MT
(-PPN)]]*Table43[[#This Row],[ISI/CTN]])</f>
        <v>0</v>
      </c>
      <c r="AU211" s="42">
        <f>Table43[[#This Row],[Harga Jual Pcs MT
(-PPN)]]*1.11</f>
        <v>0</v>
      </c>
      <c r="AV211" s="42">
        <f>Table43[[#This Row],[Harga Jual Pcs MT
(+PPN)]]*Table43[[#This Row],[ISI/CTN]]</f>
        <v>0</v>
      </c>
      <c r="AW211" s="47"/>
      <c r="AX211" s="7"/>
      <c r="AY211" s="7" t="str">
        <f ca="1">IF(TODAY()-Table43[[#This Row],[Efektif
Pembuatan]]&gt;60,"Lama","Baru")</f>
        <v>Lama</v>
      </c>
      <c r="AZ211" s="7" t="str">
        <f ca="1">IF(TODAY()-Table43[[#This Row],[Efektif Naik Harga]]&lt;30,"Naik","Sama")</f>
        <v>Sama</v>
      </c>
      <c r="BA211" s="7" t="str">
        <f>IF(Table43[[#This Row],[Kode BARANG Win2]]&lt;&gt;"","IDR","")</f>
        <v>IDR</v>
      </c>
      <c r="BB211" s="7" t="str">
        <f>CONCATENATE(Table43[[#This Row],[kode  1 Digit
(Nomor)]],Table43[[#This Row],[kode  4 Digit                (Nomor)]])</f>
        <v>10105</v>
      </c>
      <c r="BC211" s="7" t="str">
        <f>Table43[[#This Row],[Nama            Gramasi atau Jumlah Pack per CTN]]</f>
        <v>105ML</v>
      </c>
      <c r="BD211" s="7"/>
      <c r="BE211" s="7"/>
      <c r="BF211" s="4" t="str">
        <f>IF(Table43[[#This Row],[SATUAN Fix Win]]&lt;&gt;"","KRT")</f>
        <v>KRT</v>
      </c>
      <c r="BG211" s="4" t="str">
        <f>IF(Table43[[#This Row],[SATUAN Fix Win]]&lt;&gt;"","GD01")</f>
        <v>GD01</v>
      </c>
      <c r="BH211" s="4">
        <f>IF(Table43[[#This Row],[SATUAN Fix Win]]&lt;&gt;"",11611)</f>
        <v>11611</v>
      </c>
      <c r="BI211" s="4">
        <f>IF(Table43[[#This Row],[SATUAN Fix Win]]&lt;&gt;"",11612)</f>
        <v>11612</v>
      </c>
      <c r="BJ211" s="48"/>
      <c r="BK211" s="4">
        <f>IF(Table43[[#This Row],[SATUAN Fix Win]]&lt;&gt;"",1)</f>
        <v>1</v>
      </c>
    </row>
    <row r="212" spans="1:63">
      <c r="A212" s="4" t="str">
        <f>CONCATENATE(Table43[[#This Row],[Kode BARANG Win2]],Table43[[#This Row],[No. Urut
Item Sama]])</f>
        <v>K11140030065101</v>
      </c>
      <c r="B212" s="7">
        <v>1</v>
      </c>
      <c r="D212" s="28" t="s">
        <v>956</v>
      </c>
      <c r="E212" s="28"/>
      <c r="F212" s="28" t="s">
        <v>3030</v>
      </c>
      <c r="G212" s="78">
        <v>36</v>
      </c>
      <c r="H212" s="43"/>
      <c r="I212" s="28" t="str">
        <f>Table43[[#This Row],[Nama Jenis Kemasan]]</f>
        <v>BTL</v>
      </c>
      <c r="J212" s="4" t="str">
        <f>TRIM(CONCATENATE(Table43[[#This Row],[Nama            KLP]]," ",Table43[[#This Row],[Nama            Sub KLP]]))</f>
        <v>ESKULIN SPRAY</v>
      </c>
      <c r="K212" s="4" t="str">
        <f>CONCATENATE(Table43[[#This Row],[kode  2 Digit                (hrf+No)]],Table43[[#This Row],[kode  2 Digit                (Nomor)]],Table43[[#This Row],[kode  1 Digit                (Nomor)]])</f>
        <v>K1114</v>
      </c>
      <c r="L212" s="4" t="str">
        <f t="shared" si="12"/>
        <v>K1114003006510</v>
      </c>
      <c r="M212" s="11">
        <f t="shared" si="13"/>
        <v>14</v>
      </c>
      <c r="N212" s="14" t="str">
        <f>IF(AF212&lt;&gt;"",TRIM(UPPER(CONCATENATE(P212," ",R212," ",T212," ",V212," ",X212," ",Z212," ","X"," ",Table43[[#This Row],[ISI/CTN]]," ",AF212," ",AB212," ",AD212," ",AH212))),TRIM(UPPER(CONCATENATE(P212," ",R212," ",T212," ",V212," ",X212," ",Z212," ","X"," ",Table43[[#This Row],[ISI/CTN]]," ",AB212," ",AD212," ",AH212))))</f>
        <v>KNF ESKULIN SPRAY SHAKE YOUR BODY 65ML X 36 BTL</v>
      </c>
      <c r="O212" s="11">
        <f t="shared" si="14"/>
        <v>47</v>
      </c>
      <c r="P212" s="4" t="s">
        <v>97</v>
      </c>
      <c r="Q212" s="7" t="s">
        <v>98</v>
      </c>
      <c r="R212" s="4" t="s">
        <v>3703</v>
      </c>
      <c r="S212" s="44" t="s">
        <v>3550</v>
      </c>
      <c r="T212" s="45" t="s">
        <v>3728</v>
      </c>
      <c r="U212" s="7" t="s">
        <v>3593</v>
      </c>
      <c r="V212" s="45" t="s">
        <v>2961</v>
      </c>
      <c r="W212" s="44" t="s">
        <v>2900</v>
      </c>
      <c r="X212" s="4" t="s">
        <v>3733</v>
      </c>
      <c r="Y212" s="46" t="s">
        <v>2473</v>
      </c>
      <c r="Z212" s="4" t="s">
        <v>3730</v>
      </c>
      <c r="AA212" s="46" t="s">
        <v>2501</v>
      </c>
      <c r="AB212" s="4" t="s">
        <v>357</v>
      </c>
      <c r="AC212" s="7" t="s">
        <v>2656</v>
      </c>
      <c r="AD212" s="4" t="s">
        <v>2961</v>
      </c>
      <c r="AE212" s="7" t="s">
        <v>2900</v>
      </c>
      <c r="AF212" s="7" t="s">
        <v>2961</v>
      </c>
      <c r="AG212" s="7" t="s">
        <v>2961</v>
      </c>
      <c r="AI212" s="7" t="s">
        <v>4100</v>
      </c>
      <c r="AJ212" s="7" t="s">
        <v>2656</v>
      </c>
      <c r="AK212" s="41">
        <f>Table43[[#This Row],[Harga Jual Pcs GT
(-PPN)]]-(Table43[[#This Row],[Harga Jual Pcs GT
(-PPN)]]*10%)</f>
        <v>0</v>
      </c>
      <c r="AL212" s="42">
        <f>Table43[[#This Row],[Harga Beli Pcs
(-PPN)]]*Table43[[#This Row],[ISI/CTN]]</f>
        <v>0</v>
      </c>
      <c r="AM212" s="42">
        <f>Table43[[#This Row],[Harga Beli Pcs
(-PPN)]]*1.11</f>
        <v>0</v>
      </c>
      <c r="AN212" s="42">
        <f>Table43[[#This Row],[Harga Beli Krt
(- PPN)]]*1.11</f>
        <v>0</v>
      </c>
      <c r="AO212" s="42"/>
      <c r="AP212" s="42">
        <f>Table43[[#This Row],[Harga Jual Pcs GT
(-PPN)]]*Table43[[#This Row],[ISI/CTN]]</f>
        <v>0</v>
      </c>
      <c r="AQ212" s="42">
        <f>Table43[[#This Row],[Harga Jual Pcs GT
(-PPN)]]*1.11</f>
        <v>0</v>
      </c>
      <c r="AR212" s="42">
        <f>Table43[[#This Row],[Harga Jual Krt GT
(- PPN)]]*1.11</f>
        <v>0</v>
      </c>
      <c r="AS212" s="42">
        <f>Table43[[#This Row],[Harga Jual Pcs GT
(-PPN)]]</f>
        <v>0</v>
      </c>
      <c r="AT212" s="42">
        <f>(Table43[[#This Row],[Harga Jual Pcs MT
(-PPN)]]*Table43[[#This Row],[ISI/CTN]])</f>
        <v>0</v>
      </c>
      <c r="AU212" s="42">
        <f>Table43[[#This Row],[Harga Jual Pcs MT
(-PPN)]]*1.11</f>
        <v>0</v>
      </c>
      <c r="AV212" s="42">
        <f>Table43[[#This Row],[Harga Jual Pcs MT
(+PPN)]]*Table43[[#This Row],[ISI/CTN]]</f>
        <v>0</v>
      </c>
      <c r="AW212" s="47"/>
      <c r="AX212" s="7"/>
      <c r="AY212" s="7" t="str">
        <f ca="1">IF(TODAY()-Table43[[#This Row],[Efektif
Pembuatan]]&gt;60,"Lama","Baru")</f>
        <v>Lama</v>
      </c>
      <c r="AZ212" s="7" t="str">
        <f ca="1">IF(TODAY()-Table43[[#This Row],[Efektif Naik Harga]]&lt;30,"Naik","Sama")</f>
        <v>Sama</v>
      </c>
      <c r="BA212" s="7" t="str">
        <f>IF(Table43[[#This Row],[Kode BARANG Win2]]&lt;&gt;"","IDR","")</f>
        <v>IDR</v>
      </c>
      <c r="BB212" s="7" t="str">
        <f>CONCATENATE(Table43[[#This Row],[kode  1 Digit
(Nomor)]],Table43[[#This Row],[kode  4 Digit                (Nomor)]])</f>
        <v>10065</v>
      </c>
      <c r="BC212" s="7" t="str">
        <f>Table43[[#This Row],[Nama            Gramasi atau Jumlah Pack per CTN]]</f>
        <v>65ML</v>
      </c>
      <c r="BD212" s="7"/>
      <c r="BE212" s="7"/>
      <c r="BF212" s="4" t="str">
        <f>IF(Table43[[#This Row],[SATUAN Fix Win]]&lt;&gt;"","KRT")</f>
        <v>KRT</v>
      </c>
      <c r="BG212" s="4" t="str">
        <f>IF(Table43[[#This Row],[SATUAN Fix Win]]&lt;&gt;"","GD01")</f>
        <v>GD01</v>
      </c>
      <c r="BH212" s="4">
        <f>IF(Table43[[#This Row],[SATUAN Fix Win]]&lt;&gt;"",11611)</f>
        <v>11611</v>
      </c>
      <c r="BI212" s="4">
        <f>IF(Table43[[#This Row],[SATUAN Fix Win]]&lt;&gt;"",11612)</f>
        <v>11612</v>
      </c>
      <c r="BJ212" s="48"/>
      <c r="BK212" s="4">
        <f>IF(Table43[[#This Row],[SATUAN Fix Win]]&lt;&gt;"",1)</f>
        <v>1</v>
      </c>
    </row>
    <row r="213" spans="1:63">
      <c r="A213" s="4" t="str">
        <f>CONCATENATE(Table43[[#This Row],[Kode BARANG Win2]],Table43[[#This Row],[No. Urut
Item Sama]])</f>
        <v>K11140030105101</v>
      </c>
      <c r="B213" s="7">
        <v>1</v>
      </c>
      <c r="D213" s="28" t="s">
        <v>957</v>
      </c>
      <c r="E213" s="28"/>
      <c r="F213" s="28" t="s">
        <v>3031</v>
      </c>
      <c r="G213" s="78">
        <v>36</v>
      </c>
      <c r="H213" s="43"/>
      <c r="I213" s="28" t="str">
        <f>Table43[[#This Row],[Nama Jenis Kemasan]]</f>
        <v>BTL</v>
      </c>
      <c r="J213" s="4" t="str">
        <f>TRIM(CONCATENATE(Table43[[#This Row],[Nama            KLP]]," ",Table43[[#This Row],[Nama            Sub KLP]]))</f>
        <v>ESKULIN SPRAY</v>
      </c>
      <c r="K213" s="4" t="str">
        <f>CONCATENATE(Table43[[#This Row],[kode  2 Digit                (hrf+No)]],Table43[[#This Row],[kode  2 Digit                (Nomor)]],Table43[[#This Row],[kode  1 Digit                (Nomor)]])</f>
        <v>K1114</v>
      </c>
      <c r="L213" s="4" t="str">
        <f t="shared" si="12"/>
        <v>K1114003010510</v>
      </c>
      <c r="M213" s="11">
        <f t="shared" si="13"/>
        <v>14</v>
      </c>
      <c r="N213" s="14" t="str">
        <f>IF(AF213&lt;&gt;"",TRIM(UPPER(CONCATENATE(P213," ",R213," ",T213," ",V213," ",X213," ",Z213," ","X"," ",Table43[[#This Row],[ISI/CTN]]," ",AF213," ",AB213," ",AD213," ",AH213))),TRIM(UPPER(CONCATENATE(P213," ",R213," ",T213," ",V213," ",X213," ",Z213," ","X"," ",Table43[[#This Row],[ISI/CTN]]," ",AB213," ",AD213," ",AH213))))</f>
        <v>KNF ESKULIN SPRAY SHAKE YOUR BODY 105ML X 36 BTL</v>
      </c>
      <c r="O213" s="11">
        <f t="shared" si="14"/>
        <v>48</v>
      </c>
      <c r="P213" s="4" t="s">
        <v>97</v>
      </c>
      <c r="Q213" s="7" t="s">
        <v>98</v>
      </c>
      <c r="R213" s="4" t="s">
        <v>3703</v>
      </c>
      <c r="S213" s="44" t="s">
        <v>3550</v>
      </c>
      <c r="T213" s="45" t="s">
        <v>3728</v>
      </c>
      <c r="U213" s="7" t="s">
        <v>3593</v>
      </c>
      <c r="V213" s="45" t="s">
        <v>2961</v>
      </c>
      <c r="W213" s="44" t="s">
        <v>2900</v>
      </c>
      <c r="X213" s="4" t="s">
        <v>3733</v>
      </c>
      <c r="Y213" s="46" t="s">
        <v>2473</v>
      </c>
      <c r="Z213" s="4" t="s">
        <v>3731</v>
      </c>
      <c r="AA213" s="46" t="s">
        <v>2502</v>
      </c>
      <c r="AB213" s="4" t="s">
        <v>357</v>
      </c>
      <c r="AC213" s="7" t="s">
        <v>2656</v>
      </c>
      <c r="AD213" s="4" t="s">
        <v>2961</v>
      </c>
      <c r="AE213" s="7" t="s">
        <v>2900</v>
      </c>
      <c r="AF213" s="7" t="s">
        <v>2961</v>
      </c>
      <c r="AG213" s="7" t="s">
        <v>2961</v>
      </c>
      <c r="AI213" s="7" t="s">
        <v>4100</v>
      </c>
      <c r="AJ213" s="7" t="s">
        <v>2656</v>
      </c>
      <c r="AK213" s="41">
        <f>Table43[[#This Row],[Harga Jual Pcs GT
(-PPN)]]-(Table43[[#This Row],[Harga Jual Pcs GT
(-PPN)]]*10%)</f>
        <v>0</v>
      </c>
      <c r="AL213" s="42">
        <f>Table43[[#This Row],[Harga Beli Pcs
(-PPN)]]*Table43[[#This Row],[ISI/CTN]]</f>
        <v>0</v>
      </c>
      <c r="AM213" s="42">
        <f>Table43[[#This Row],[Harga Beli Pcs
(-PPN)]]*1.11</f>
        <v>0</v>
      </c>
      <c r="AN213" s="42">
        <f>Table43[[#This Row],[Harga Beli Krt
(- PPN)]]*1.11</f>
        <v>0</v>
      </c>
      <c r="AO213" s="42"/>
      <c r="AP213" s="42">
        <f>Table43[[#This Row],[Harga Jual Pcs GT
(-PPN)]]*Table43[[#This Row],[ISI/CTN]]</f>
        <v>0</v>
      </c>
      <c r="AQ213" s="42">
        <f>Table43[[#This Row],[Harga Jual Pcs GT
(-PPN)]]*1.11</f>
        <v>0</v>
      </c>
      <c r="AR213" s="42">
        <f>Table43[[#This Row],[Harga Jual Krt GT
(- PPN)]]*1.11</f>
        <v>0</v>
      </c>
      <c r="AS213" s="42">
        <f>Table43[[#This Row],[Harga Jual Pcs GT
(-PPN)]]</f>
        <v>0</v>
      </c>
      <c r="AT213" s="42">
        <f>(Table43[[#This Row],[Harga Jual Pcs MT
(-PPN)]]*Table43[[#This Row],[ISI/CTN]])</f>
        <v>0</v>
      </c>
      <c r="AU213" s="42">
        <f>Table43[[#This Row],[Harga Jual Pcs MT
(-PPN)]]*1.11</f>
        <v>0</v>
      </c>
      <c r="AV213" s="42">
        <f>Table43[[#This Row],[Harga Jual Pcs MT
(+PPN)]]*Table43[[#This Row],[ISI/CTN]]</f>
        <v>0</v>
      </c>
      <c r="AW213" s="47"/>
      <c r="AX213" s="7"/>
      <c r="AY213" s="7" t="str">
        <f ca="1">IF(TODAY()-Table43[[#This Row],[Efektif
Pembuatan]]&gt;60,"Lama","Baru")</f>
        <v>Lama</v>
      </c>
      <c r="AZ213" s="7" t="str">
        <f ca="1">IF(TODAY()-Table43[[#This Row],[Efektif Naik Harga]]&lt;30,"Naik","Sama")</f>
        <v>Sama</v>
      </c>
      <c r="BA213" s="7" t="str">
        <f>IF(Table43[[#This Row],[Kode BARANG Win2]]&lt;&gt;"","IDR","")</f>
        <v>IDR</v>
      </c>
      <c r="BB213" s="7" t="str">
        <f>CONCATENATE(Table43[[#This Row],[kode  1 Digit
(Nomor)]],Table43[[#This Row],[kode  4 Digit                (Nomor)]])</f>
        <v>10105</v>
      </c>
      <c r="BC213" s="7" t="str">
        <f>Table43[[#This Row],[Nama            Gramasi atau Jumlah Pack per CTN]]</f>
        <v>105ML</v>
      </c>
      <c r="BD213" s="7"/>
      <c r="BE213" s="7"/>
      <c r="BF213" s="4" t="str">
        <f>IF(Table43[[#This Row],[SATUAN Fix Win]]&lt;&gt;"","KRT")</f>
        <v>KRT</v>
      </c>
      <c r="BG213" s="4" t="str">
        <f>IF(Table43[[#This Row],[SATUAN Fix Win]]&lt;&gt;"","GD01")</f>
        <v>GD01</v>
      </c>
      <c r="BH213" s="4">
        <f>IF(Table43[[#This Row],[SATUAN Fix Win]]&lt;&gt;"",11611)</f>
        <v>11611</v>
      </c>
      <c r="BI213" s="4">
        <f>IF(Table43[[#This Row],[SATUAN Fix Win]]&lt;&gt;"",11612)</f>
        <v>11612</v>
      </c>
      <c r="BJ213" s="48"/>
      <c r="BK213" s="4">
        <f>IF(Table43[[#This Row],[SATUAN Fix Win]]&lt;&gt;"",1)</f>
        <v>1</v>
      </c>
    </row>
    <row r="214" spans="1:63">
      <c r="A214" s="4" t="str">
        <f>CONCATENATE(Table43[[#This Row],[Kode BARANG Win2]],Table43[[#This Row],[No. Urut
Item Sama]])</f>
        <v>K11140040065101</v>
      </c>
      <c r="B214" s="7">
        <v>1</v>
      </c>
      <c r="D214" s="28" t="s">
        <v>958</v>
      </c>
      <c r="E214" s="28"/>
      <c r="F214" s="28" t="s">
        <v>3032</v>
      </c>
      <c r="G214" s="78">
        <v>36</v>
      </c>
      <c r="H214" s="43"/>
      <c r="I214" s="28" t="str">
        <f>Table43[[#This Row],[Nama Jenis Kemasan]]</f>
        <v>BTL</v>
      </c>
      <c r="J214" s="4" t="str">
        <f>TRIM(CONCATENATE(Table43[[#This Row],[Nama            KLP]]," ",Table43[[#This Row],[Nama            Sub KLP]]))</f>
        <v>ESKULIN SPRAY</v>
      </c>
      <c r="K214" s="4" t="str">
        <f>CONCATENATE(Table43[[#This Row],[kode  2 Digit                (hrf+No)]],Table43[[#This Row],[kode  2 Digit                (Nomor)]],Table43[[#This Row],[kode  1 Digit                (Nomor)]])</f>
        <v>K1114</v>
      </c>
      <c r="L214" s="4" t="str">
        <f t="shared" si="12"/>
        <v>K1114004006510</v>
      </c>
      <c r="M214" s="11">
        <f t="shared" si="13"/>
        <v>14</v>
      </c>
      <c r="N214" s="14" t="str">
        <f>IF(AF214&lt;&gt;"",TRIM(UPPER(CONCATENATE(P214," ",R214," ",T214," ",V214," ",X214," ",Z214," ","X"," ",Table43[[#This Row],[ISI/CTN]]," ",AF214," ",AB214," ",AD214," ",AH214))),TRIM(UPPER(CONCATENATE(P214," ",R214," ",T214," ",V214," ",X214," ",Z214," ","X"," ",Table43[[#This Row],[ISI/CTN]]," ",AB214," ",AD214," ",AH214))))</f>
        <v>KNF ESKULIN SPRAY WAKE UP GIRL 65ML X 36 BTL</v>
      </c>
      <c r="O214" s="11">
        <f t="shared" si="14"/>
        <v>44</v>
      </c>
      <c r="P214" s="4" t="s">
        <v>97</v>
      </c>
      <c r="Q214" s="7" t="s">
        <v>98</v>
      </c>
      <c r="R214" s="4" t="s">
        <v>3703</v>
      </c>
      <c r="S214" s="44" t="s">
        <v>3550</v>
      </c>
      <c r="T214" s="45" t="s">
        <v>3728</v>
      </c>
      <c r="U214" s="7" t="s">
        <v>3593</v>
      </c>
      <c r="V214" s="45" t="s">
        <v>2961</v>
      </c>
      <c r="W214" s="44" t="s">
        <v>2900</v>
      </c>
      <c r="X214" s="4" t="s">
        <v>3734</v>
      </c>
      <c r="Y214" s="46" t="s">
        <v>2474</v>
      </c>
      <c r="Z214" s="4" t="s">
        <v>3730</v>
      </c>
      <c r="AA214" s="46" t="s">
        <v>2501</v>
      </c>
      <c r="AB214" s="4" t="s">
        <v>357</v>
      </c>
      <c r="AC214" s="7" t="s">
        <v>2656</v>
      </c>
      <c r="AD214" s="4" t="s">
        <v>2961</v>
      </c>
      <c r="AE214" s="7" t="s">
        <v>2900</v>
      </c>
      <c r="AF214" s="7" t="s">
        <v>2961</v>
      </c>
      <c r="AG214" s="7" t="s">
        <v>2961</v>
      </c>
      <c r="AI214" s="7" t="s">
        <v>4100</v>
      </c>
      <c r="AJ214" s="7" t="s">
        <v>2656</v>
      </c>
      <c r="AK214" s="41">
        <f>Table43[[#This Row],[Harga Jual Pcs GT
(-PPN)]]-(Table43[[#This Row],[Harga Jual Pcs GT
(-PPN)]]*10%)</f>
        <v>0</v>
      </c>
      <c r="AL214" s="42">
        <f>Table43[[#This Row],[Harga Beli Pcs
(-PPN)]]*Table43[[#This Row],[ISI/CTN]]</f>
        <v>0</v>
      </c>
      <c r="AM214" s="42">
        <f>Table43[[#This Row],[Harga Beli Pcs
(-PPN)]]*1.11</f>
        <v>0</v>
      </c>
      <c r="AN214" s="42">
        <f>Table43[[#This Row],[Harga Beli Krt
(- PPN)]]*1.11</f>
        <v>0</v>
      </c>
      <c r="AO214" s="42"/>
      <c r="AP214" s="42">
        <f>Table43[[#This Row],[Harga Jual Pcs GT
(-PPN)]]*Table43[[#This Row],[ISI/CTN]]</f>
        <v>0</v>
      </c>
      <c r="AQ214" s="42">
        <f>Table43[[#This Row],[Harga Jual Pcs GT
(-PPN)]]*1.11</f>
        <v>0</v>
      </c>
      <c r="AR214" s="42">
        <f>Table43[[#This Row],[Harga Jual Krt GT
(- PPN)]]*1.11</f>
        <v>0</v>
      </c>
      <c r="AS214" s="42">
        <f>Table43[[#This Row],[Harga Jual Pcs GT
(-PPN)]]</f>
        <v>0</v>
      </c>
      <c r="AT214" s="42">
        <f>(Table43[[#This Row],[Harga Jual Pcs MT
(-PPN)]]*Table43[[#This Row],[ISI/CTN]])</f>
        <v>0</v>
      </c>
      <c r="AU214" s="42">
        <f>Table43[[#This Row],[Harga Jual Pcs MT
(-PPN)]]*1.11</f>
        <v>0</v>
      </c>
      <c r="AV214" s="42">
        <f>Table43[[#This Row],[Harga Jual Pcs MT
(+PPN)]]*Table43[[#This Row],[ISI/CTN]]</f>
        <v>0</v>
      </c>
      <c r="AW214" s="47"/>
      <c r="AX214" s="7"/>
      <c r="AY214" s="7" t="str">
        <f ca="1">IF(TODAY()-Table43[[#This Row],[Efektif
Pembuatan]]&gt;60,"Lama","Baru")</f>
        <v>Lama</v>
      </c>
      <c r="AZ214" s="7" t="str">
        <f ca="1">IF(TODAY()-Table43[[#This Row],[Efektif Naik Harga]]&lt;30,"Naik","Sama")</f>
        <v>Sama</v>
      </c>
      <c r="BA214" s="7" t="str">
        <f>IF(Table43[[#This Row],[Kode BARANG Win2]]&lt;&gt;"","IDR","")</f>
        <v>IDR</v>
      </c>
      <c r="BB214" s="7" t="str">
        <f>CONCATENATE(Table43[[#This Row],[kode  1 Digit
(Nomor)]],Table43[[#This Row],[kode  4 Digit                (Nomor)]])</f>
        <v>10065</v>
      </c>
      <c r="BC214" s="7" t="str">
        <f>Table43[[#This Row],[Nama            Gramasi atau Jumlah Pack per CTN]]</f>
        <v>65ML</v>
      </c>
      <c r="BD214" s="7"/>
      <c r="BE214" s="7"/>
      <c r="BF214" s="4" t="str">
        <f>IF(Table43[[#This Row],[SATUAN Fix Win]]&lt;&gt;"","KRT")</f>
        <v>KRT</v>
      </c>
      <c r="BG214" s="4" t="str">
        <f>IF(Table43[[#This Row],[SATUAN Fix Win]]&lt;&gt;"","GD01")</f>
        <v>GD01</v>
      </c>
      <c r="BH214" s="4">
        <f>IF(Table43[[#This Row],[SATUAN Fix Win]]&lt;&gt;"",11611)</f>
        <v>11611</v>
      </c>
      <c r="BI214" s="4">
        <f>IF(Table43[[#This Row],[SATUAN Fix Win]]&lt;&gt;"",11612)</f>
        <v>11612</v>
      </c>
      <c r="BJ214" s="48"/>
      <c r="BK214" s="4">
        <f>IF(Table43[[#This Row],[SATUAN Fix Win]]&lt;&gt;"",1)</f>
        <v>1</v>
      </c>
    </row>
    <row r="215" spans="1:63">
      <c r="A215" s="4" t="str">
        <f>CONCATENATE(Table43[[#This Row],[Kode BARANG Win2]],Table43[[#This Row],[No. Urut
Item Sama]])</f>
        <v>K11140040105101</v>
      </c>
      <c r="B215" s="7">
        <v>1</v>
      </c>
      <c r="D215" s="28" t="s">
        <v>959</v>
      </c>
      <c r="E215" s="28"/>
      <c r="F215" s="28" t="s">
        <v>3033</v>
      </c>
      <c r="G215" s="78">
        <v>36</v>
      </c>
      <c r="H215" s="43"/>
      <c r="I215" s="28" t="str">
        <f>Table43[[#This Row],[Nama Jenis Kemasan]]</f>
        <v>BTL</v>
      </c>
      <c r="J215" s="4" t="str">
        <f>TRIM(CONCATENATE(Table43[[#This Row],[Nama            KLP]]," ",Table43[[#This Row],[Nama            Sub KLP]]))</f>
        <v>ESKULIN SPRAY</v>
      </c>
      <c r="K215" s="4" t="str">
        <f>CONCATENATE(Table43[[#This Row],[kode  2 Digit                (hrf+No)]],Table43[[#This Row],[kode  2 Digit                (Nomor)]],Table43[[#This Row],[kode  1 Digit                (Nomor)]])</f>
        <v>K1114</v>
      </c>
      <c r="L215" s="4" t="str">
        <f t="shared" si="12"/>
        <v>K1114004010510</v>
      </c>
      <c r="M215" s="11">
        <f t="shared" si="13"/>
        <v>14</v>
      </c>
      <c r="N215" s="14" t="str">
        <f>IF(AF215&lt;&gt;"",TRIM(UPPER(CONCATENATE(P215," ",R215," ",T215," ",V215," ",X215," ",Z215," ","X"," ",Table43[[#This Row],[ISI/CTN]]," ",AF215," ",AB215," ",AD215," ",AH215))),TRIM(UPPER(CONCATENATE(P215," ",R215," ",T215," ",V215," ",X215," ",Z215," ","X"," ",Table43[[#This Row],[ISI/CTN]]," ",AB215," ",AD215," ",AH215))))</f>
        <v>KNF ESKULIN SPRAY WAKE UP GIRL 105ML X 36 BTL</v>
      </c>
      <c r="O215" s="11">
        <f t="shared" si="14"/>
        <v>45</v>
      </c>
      <c r="P215" s="4" t="s">
        <v>97</v>
      </c>
      <c r="Q215" s="7" t="s">
        <v>98</v>
      </c>
      <c r="R215" s="4" t="s">
        <v>3703</v>
      </c>
      <c r="S215" s="44" t="s">
        <v>3550</v>
      </c>
      <c r="T215" s="45" t="s">
        <v>3728</v>
      </c>
      <c r="U215" s="7" t="s">
        <v>3593</v>
      </c>
      <c r="V215" s="45" t="s">
        <v>2961</v>
      </c>
      <c r="W215" s="44" t="s">
        <v>2900</v>
      </c>
      <c r="X215" s="4" t="s">
        <v>3734</v>
      </c>
      <c r="Y215" s="46" t="s">
        <v>2474</v>
      </c>
      <c r="Z215" s="4" t="s">
        <v>3731</v>
      </c>
      <c r="AA215" s="46" t="s">
        <v>2502</v>
      </c>
      <c r="AB215" s="4" t="s">
        <v>357</v>
      </c>
      <c r="AC215" s="7" t="s">
        <v>2656</v>
      </c>
      <c r="AD215" s="4" t="s">
        <v>2961</v>
      </c>
      <c r="AE215" s="7" t="s">
        <v>2900</v>
      </c>
      <c r="AF215" s="7" t="s">
        <v>2961</v>
      </c>
      <c r="AG215" s="7" t="s">
        <v>2961</v>
      </c>
      <c r="AI215" s="7" t="s">
        <v>4100</v>
      </c>
      <c r="AJ215" s="7" t="s">
        <v>2656</v>
      </c>
      <c r="AK215" s="41">
        <f>Table43[[#This Row],[Harga Jual Pcs GT
(-PPN)]]-(Table43[[#This Row],[Harga Jual Pcs GT
(-PPN)]]*10%)</f>
        <v>0</v>
      </c>
      <c r="AL215" s="42">
        <f>Table43[[#This Row],[Harga Beli Pcs
(-PPN)]]*Table43[[#This Row],[ISI/CTN]]</f>
        <v>0</v>
      </c>
      <c r="AM215" s="42">
        <f>Table43[[#This Row],[Harga Beli Pcs
(-PPN)]]*1.11</f>
        <v>0</v>
      </c>
      <c r="AN215" s="42">
        <f>Table43[[#This Row],[Harga Beli Krt
(- PPN)]]*1.11</f>
        <v>0</v>
      </c>
      <c r="AO215" s="42"/>
      <c r="AP215" s="42">
        <f>Table43[[#This Row],[Harga Jual Pcs GT
(-PPN)]]*Table43[[#This Row],[ISI/CTN]]</f>
        <v>0</v>
      </c>
      <c r="AQ215" s="42">
        <f>Table43[[#This Row],[Harga Jual Pcs GT
(-PPN)]]*1.11</f>
        <v>0</v>
      </c>
      <c r="AR215" s="42">
        <f>Table43[[#This Row],[Harga Jual Krt GT
(- PPN)]]*1.11</f>
        <v>0</v>
      </c>
      <c r="AS215" s="42">
        <f>Table43[[#This Row],[Harga Jual Pcs GT
(-PPN)]]</f>
        <v>0</v>
      </c>
      <c r="AT215" s="42">
        <f>(Table43[[#This Row],[Harga Jual Pcs MT
(-PPN)]]*Table43[[#This Row],[ISI/CTN]])</f>
        <v>0</v>
      </c>
      <c r="AU215" s="42">
        <f>Table43[[#This Row],[Harga Jual Pcs MT
(-PPN)]]*1.11</f>
        <v>0</v>
      </c>
      <c r="AV215" s="42">
        <f>Table43[[#This Row],[Harga Jual Pcs MT
(+PPN)]]*Table43[[#This Row],[ISI/CTN]]</f>
        <v>0</v>
      </c>
      <c r="AW215" s="47"/>
      <c r="AX215" s="7"/>
      <c r="AY215" s="7" t="str">
        <f ca="1">IF(TODAY()-Table43[[#This Row],[Efektif
Pembuatan]]&gt;60,"Lama","Baru")</f>
        <v>Lama</v>
      </c>
      <c r="AZ215" s="7" t="str">
        <f ca="1">IF(TODAY()-Table43[[#This Row],[Efektif Naik Harga]]&lt;30,"Naik","Sama")</f>
        <v>Sama</v>
      </c>
      <c r="BA215" s="7" t="str">
        <f>IF(Table43[[#This Row],[Kode BARANG Win2]]&lt;&gt;"","IDR","")</f>
        <v>IDR</v>
      </c>
      <c r="BB215" s="7" t="str">
        <f>CONCATENATE(Table43[[#This Row],[kode  1 Digit
(Nomor)]],Table43[[#This Row],[kode  4 Digit                (Nomor)]])</f>
        <v>10105</v>
      </c>
      <c r="BC215" s="7" t="str">
        <f>Table43[[#This Row],[Nama            Gramasi atau Jumlah Pack per CTN]]</f>
        <v>105ML</v>
      </c>
      <c r="BD215" s="7"/>
      <c r="BE215" s="7"/>
      <c r="BF215" s="4" t="str">
        <f>IF(Table43[[#This Row],[SATUAN Fix Win]]&lt;&gt;"","KRT")</f>
        <v>KRT</v>
      </c>
      <c r="BG215" s="4" t="str">
        <f>IF(Table43[[#This Row],[SATUAN Fix Win]]&lt;&gt;"","GD01")</f>
        <v>GD01</v>
      </c>
      <c r="BH215" s="4">
        <f>IF(Table43[[#This Row],[SATUAN Fix Win]]&lt;&gt;"",11611)</f>
        <v>11611</v>
      </c>
      <c r="BI215" s="4">
        <f>IF(Table43[[#This Row],[SATUAN Fix Win]]&lt;&gt;"",11612)</f>
        <v>11612</v>
      </c>
      <c r="BJ215" s="48"/>
      <c r="BK215" s="4">
        <f>IF(Table43[[#This Row],[SATUAN Fix Win]]&lt;&gt;"",1)</f>
        <v>1</v>
      </c>
    </row>
    <row r="216" spans="1:63">
      <c r="A216" s="4" t="str">
        <f>CONCATENATE(Table43[[#This Row],[Kode BARANG Win2]],Table43[[#This Row],[No. Urut
Item Sama]])</f>
        <v>K11210010125101</v>
      </c>
      <c r="B216" s="7">
        <v>1</v>
      </c>
      <c r="D216" s="28" t="s">
        <v>942</v>
      </c>
      <c r="E216" s="28"/>
      <c r="F216" s="28" t="s">
        <v>3034</v>
      </c>
      <c r="G216" s="78">
        <v>36</v>
      </c>
      <c r="H216" s="43"/>
      <c r="I216" s="28" t="str">
        <f>Table43[[#This Row],[Nama Jenis Kemasan]]</f>
        <v>BTL</v>
      </c>
      <c r="J216" s="4" t="str">
        <f>TRIM(CONCATENATE(Table43[[#This Row],[Nama            KLP]]," ",Table43[[#This Row],[Nama            Sub KLP]]))</f>
        <v>ESKULIN HIJAB B.MIST</v>
      </c>
      <c r="K216" s="4" t="str">
        <f>CONCATENATE(Table43[[#This Row],[kode  2 Digit                (hrf+No)]],Table43[[#This Row],[kode  2 Digit                (Nomor)]],Table43[[#This Row],[kode  1 Digit                (Nomor)]])</f>
        <v>K1121</v>
      </c>
      <c r="L216" s="4" t="str">
        <f t="shared" si="12"/>
        <v>K1121001012510</v>
      </c>
      <c r="M216" s="11">
        <f t="shared" si="13"/>
        <v>14</v>
      </c>
      <c r="N216" s="14" t="str">
        <f>IF(AF216&lt;&gt;"",TRIM(UPPER(CONCATENATE(P216," ",R216," ",T216," ",V216," ",X216," ",Z216," ","X"," ",Table43[[#This Row],[ISI/CTN]]," ",AF216," ",AB216," ",AD216," ",AH216))),TRIM(UPPER(CONCATENATE(P216," ",R216," ",T216," ",V216," ",X216," ",Z216," ","X"," ",Table43[[#This Row],[ISI/CTN]]," ",AB216," ",AD216," ",AH216))))</f>
        <v>KNF ESKULIN HIJAB B.MIST P BLOSSOM 125ML X 36 BTL</v>
      </c>
      <c r="O216" s="11">
        <f t="shared" si="14"/>
        <v>49</v>
      </c>
      <c r="P216" s="4" t="s">
        <v>97</v>
      </c>
      <c r="Q216" s="7" t="s">
        <v>98</v>
      </c>
      <c r="R216" s="4" t="s">
        <v>3735</v>
      </c>
      <c r="S216" s="44" t="s">
        <v>3565</v>
      </c>
      <c r="T216" s="45" t="s">
        <v>3736</v>
      </c>
      <c r="U216" s="7" t="s">
        <v>2656</v>
      </c>
      <c r="V216" s="45" t="s">
        <v>2961</v>
      </c>
      <c r="W216" s="44" t="s">
        <v>2900</v>
      </c>
      <c r="X216" s="4" t="s">
        <v>3737</v>
      </c>
      <c r="Y216" s="46" t="s">
        <v>0</v>
      </c>
      <c r="Z216" s="4" t="s">
        <v>3620</v>
      </c>
      <c r="AA216" s="46" t="s">
        <v>2489</v>
      </c>
      <c r="AB216" s="4" t="s">
        <v>357</v>
      </c>
      <c r="AC216" s="7" t="s">
        <v>2656</v>
      </c>
      <c r="AD216" s="4" t="s">
        <v>2961</v>
      </c>
      <c r="AE216" s="7" t="s">
        <v>2900</v>
      </c>
      <c r="AF216" s="7" t="s">
        <v>2961</v>
      </c>
      <c r="AG216" s="7" t="s">
        <v>2961</v>
      </c>
      <c r="AI216" s="7" t="s">
        <v>4100</v>
      </c>
      <c r="AJ216" s="7" t="s">
        <v>2656</v>
      </c>
      <c r="AK216" s="41">
        <f>Table43[[#This Row],[Harga Jual Pcs GT
(-PPN)]]-(Table43[[#This Row],[Harga Jual Pcs GT
(-PPN)]]*10%)</f>
        <v>0</v>
      </c>
      <c r="AL216" s="42">
        <f>Table43[[#This Row],[Harga Beli Pcs
(-PPN)]]*Table43[[#This Row],[ISI/CTN]]</f>
        <v>0</v>
      </c>
      <c r="AM216" s="42">
        <f>Table43[[#This Row],[Harga Beli Pcs
(-PPN)]]*1.11</f>
        <v>0</v>
      </c>
      <c r="AN216" s="42">
        <f>Table43[[#This Row],[Harga Beli Krt
(- PPN)]]*1.11</f>
        <v>0</v>
      </c>
      <c r="AO216" s="42"/>
      <c r="AP216" s="42">
        <f>Table43[[#This Row],[Harga Jual Pcs GT
(-PPN)]]*Table43[[#This Row],[ISI/CTN]]</f>
        <v>0</v>
      </c>
      <c r="AQ216" s="42">
        <f>Table43[[#This Row],[Harga Jual Pcs GT
(-PPN)]]*1.11</f>
        <v>0</v>
      </c>
      <c r="AR216" s="42">
        <f>Table43[[#This Row],[Harga Jual Krt GT
(- PPN)]]*1.11</f>
        <v>0</v>
      </c>
      <c r="AS216" s="42">
        <f>Table43[[#This Row],[Harga Jual Pcs GT
(-PPN)]]</f>
        <v>0</v>
      </c>
      <c r="AT216" s="42">
        <f>(Table43[[#This Row],[Harga Jual Pcs MT
(-PPN)]]*Table43[[#This Row],[ISI/CTN]])</f>
        <v>0</v>
      </c>
      <c r="AU216" s="42">
        <f>Table43[[#This Row],[Harga Jual Pcs MT
(-PPN)]]*1.11</f>
        <v>0</v>
      </c>
      <c r="AV216" s="42">
        <f>Table43[[#This Row],[Harga Jual Pcs MT
(+PPN)]]*Table43[[#This Row],[ISI/CTN]]</f>
        <v>0</v>
      </c>
      <c r="AW216" s="47"/>
      <c r="AX216" s="7"/>
      <c r="AY216" s="7" t="str">
        <f ca="1">IF(TODAY()-Table43[[#This Row],[Efektif
Pembuatan]]&gt;60,"Lama","Baru")</f>
        <v>Lama</v>
      </c>
      <c r="AZ216" s="7" t="str">
        <f ca="1">IF(TODAY()-Table43[[#This Row],[Efektif Naik Harga]]&lt;30,"Naik","Sama")</f>
        <v>Sama</v>
      </c>
      <c r="BA216" s="7" t="str">
        <f>IF(Table43[[#This Row],[Kode BARANG Win2]]&lt;&gt;"","IDR","")</f>
        <v>IDR</v>
      </c>
      <c r="BB216" s="7" t="str">
        <f>CONCATENATE(Table43[[#This Row],[kode  1 Digit
(Nomor)]],Table43[[#This Row],[kode  4 Digit                (Nomor)]])</f>
        <v>10125</v>
      </c>
      <c r="BC216" s="7" t="str">
        <f>Table43[[#This Row],[Nama            Gramasi atau Jumlah Pack per CTN]]</f>
        <v>125ML</v>
      </c>
      <c r="BD216" s="7"/>
      <c r="BE216" s="7"/>
      <c r="BF216" s="4" t="str">
        <f>IF(Table43[[#This Row],[SATUAN Fix Win]]&lt;&gt;"","KRT")</f>
        <v>KRT</v>
      </c>
      <c r="BG216" s="4" t="str">
        <f>IF(Table43[[#This Row],[SATUAN Fix Win]]&lt;&gt;"","GD01")</f>
        <v>GD01</v>
      </c>
      <c r="BH216" s="4">
        <f>IF(Table43[[#This Row],[SATUAN Fix Win]]&lt;&gt;"",11611)</f>
        <v>11611</v>
      </c>
      <c r="BI216" s="4">
        <f>IF(Table43[[#This Row],[SATUAN Fix Win]]&lt;&gt;"",11612)</f>
        <v>11612</v>
      </c>
      <c r="BJ216" s="48"/>
      <c r="BK216" s="4">
        <f>IF(Table43[[#This Row],[SATUAN Fix Win]]&lt;&gt;"",1)</f>
        <v>1</v>
      </c>
    </row>
    <row r="217" spans="1:63">
      <c r="A217" s="4" t="str">
        <f>CONCATENATE(Table43[[#This Row],[Kode BARANG Win2]],Table43[[#This Row],[No. Urut
Item Sama]])</f>
        <v>K11210020125101</v>
      </c>
      <c r="B217" s="7">
        <v>1</v>
      </c>
      <c r="D217" s="28" t="s">
        <v>944</v>
      </c>
      <c r="E217" s="28"/>
      <c r="F217" s="28" t="s">
        <v>3035</v>
      </c>
      <c r="G217" s="78">
        <v>36</v>
      </c>
      <c r="H217" s="43"/>
      <c r="I217" s="28" t="str">
        <f>Table43[[#This Row],[Nama Jenis Kemasan]]</f>
        <v>BTL</v>
      </c>
      <c r="J217" s="4" t="str">
        <f>TRIM(CONCATENATE(Table43[[#This Row],[Nama            KLP]]," ",Table43[[#This Row],[Nama            Sub KLP]]))</f>
        <v>ESKULIN HIJAB B.MIST</v>
      </c>
      <c r="K217" s="4" t="str">
        <f>CONCATENATE(Table43[[#This Row],[kode  2 Digit                (hrf+No)]],Table43[[#This Row],[kode  2 Digit                (Nomor)]],Table43[[#This Row],[kode  1 Digit                (Nomor)]])</f>
        <v>K1121</v>
      </c>
      <c r="L217" s="4" t="str">
        <f t="shared" si="12"/>
        <v>K1121002012510</v>
      </c>
      <c r="M217" s="11">
        <f t="shared" si="13"/>
        <v>14</v>
      </c>
      <c r="N217" s="14" t="str">
        <f>IF(AF217&lt;&gt;"",TRIM(UPPER(CONCATENATE(P217," ",R217," ",T217," ",V217," ",X217," ",Z217," ","X"," ",Table43[[#This Row],[ISI/CTN]]," ",AF217," ",AB217," ",AD217," ",AH217))),TRIM(UPPER(CONCATENATE(P217," ",R217," ",T217," ",V217," ",X217," ",Z217," ","X"," ",Table43[[#This Row],[ISI/CTN]]," ",AB217," ",AD217," ",AH217))))</f>
        <v>KNF ESKULIN HIJAB B.MIST BLUE TEMPT. 125ML X 36 BTL</v>
      </c>
      <c r="O217" s="11">
        <f t="shared" si="14"/>
        <v>51</v>
      </c>
      <c r="P217" s="4" t="s">
        <v>97</v>
      </c>
      <c r="Q217" s="7" t="s">
        <v>98</v>
      </c>
      <c r="R217" s="4" t="s">
        <v>3735</v>
      </c>
      <c r="S217" s="44" t="s">
        <v>3565</v>
      </c>
      <c r="T217" s="45" t="s">
        <v>3736</v>
      </c>
      <c r="U217" s="7" t="s">
        <v>2656</v>
      </c>
      <c r="V217" s="45" t="s">
        <v>2961</v>
      </c>
      <c r="W217" s="44" t="s">
        <v>2900</v>
      </c>
      <c r="X217" s="4" t="s">
        <v>3738</v>
      </c>
      <c r="Y217" s="46" t="s">
        <v>2472</v>
      </c>
      <c r="Z217" s="4" t="s">
        <v>3620</v>
      </c>
      <c r="AA217" s="46" t="s">
        <v>2489</v>
      </c>
      <c r="AB217" s="4" t="s">
        <v>357</v>
      </c>
      <c r="AC217" s="7" t="s">
        <v>2656</v>
      </c>
      <c r="AD217" s="4" t="s">
        <v>2961</v>
      </c>
      <c r="AE217" s="7" t="s">
        <v>2900</v>
      </c>
      <c r="AF217" s="7" t="s">
        <v>2961</v>
      </c>
      <c r="AG217" s="7" t="s">
        <v>2961</v>
      </c>
      <c r="AI217" s="7" t="s">
        <v>4100</v>
      </c>
      <c r="AJ217" s="7" t="s">
        <v>2656</v>
      </c>
      <c r="AK217" s="41">
        <f>Table43[[#This Row],[Harga Jual Pcs GT
(-PPN)]]-(Table43[[#This Row],[Harga Jual Pcs GT
(-PPN)]]*10%)</f>
        <v>0</v>
      </c>
      <c r="AL217" s="42">
        <f>Table43[[#This Row],[Harga Beli Pcs
(-PPN)]]*Table43[[#This Row],[ISI/CTN]]</f>
        <v>0</v>
      </c>
      <c r="AM217" s="42">
        <f>Table43[[#This Row],[Harga Beli Pcs
(-PPN)]]*1.11</f>
        <v>0</v>
      </c>
      <c r="AN217" s="42">
        <f>Table43[[#This Row],[Harga Beli Krt
(- PPN)]]*1.11</f>
        <v>0</v>
      </c>
      <c r="AO217" s="42"/>
      <c r="AP217" s="42">
        <f>Table43[[#This Row],[Harga Jual Pcs GT
(-PPN)]]*Table43[[#This Row],[ISI/CTN]]</f>
        <v>0</v>
      </c>
      <c r="AQ217" s="42">
        <f>Table43[[#This Row],[Harga Jual Pcs GT
(-PPN)]]*1.11</f>
        <v>0</v>
      </c>
      <c r="AR217" s="42">
        <f>Table43[[#This Row],[Harga Jual Krt GT
(- PPN)]]*1.11</f>
        <v>0</v>
      </c>
      <c r="AS217" s="42">
        <f>Table43[[#This Row],[Harga Jual Pcs GT
(-PPN)]]</f>
        <v>0</v>
      </c>
      <c r="AT217" s="42">
        <f>(Table43[[#This Row],[Harga Jual Pcs MT
(-PPN)]]*Table43[[#This Row],[ISI/CTN]])</f>
        <v>0</v>
      </c>
      <c r="AU217" s="42">
        <f>Table43[[#This Row],[Harga Jual Pcs MT
(-PPN)]]*1.11</f>
        <v>0</v>
      </c>
      <c r="AV217" s="42">
        <f>Table43[[#This Row],[Harga Jual Pcs MT
(+PPN)]]*Table43[[#This Row],[ISI/CTN]]</f>
        <v>0</v>
      </c>
      <c r="AW217" s="47"/>
      <c r="AX217" s="7"/>
      <c r="AY217" s="7" t="str">
        <f ca="1">IF(TODAY()-Table43[[#This Row],[Efektif
Pembuatan]]&gt;60,"Lama","Baru")</f>
        <v>Lama</v>
      </c>
      <c r="AZ217" s="7" t="str">
        <f ca="1">IF(TODAY()-Table43[[#This Row],[Efektif Naik Harga]]&lt;30,"Naik","Sama")</f>
        <v>Sama</v>
      </c>
      <c r="BA217" s="7" t="str">
        <f>IF(Table43[[#This Row],[Kode BARANG Win2]]&lt;&gt;"","IDR","")</f>
        <v>IDR</v>
      </c>
      <c r="BB217" s="7" t="str">
        <f>CONCATENATE(Table43[[#This Row],[kode  1 Digit
(Nomor)]],Table43[[#This Row],[kode  4 Digit                (Nomor)]])</f>
        <v>10125</v>
      </c>
      <c r="BC217" s="7" t="str">
        <f>Table43[[#This Row],[Nama            Gramasi atau Jumlah Pack per CTN]]</f>
        <v>125ML</v>
      </c>
      <c r="BD217" s="7"/>
      <c r="BE217" s="7"/>
      <c r="BF217" s="4" t="str">
        <f>IF(Table43[[#This Row],[SATUAN Fix Win]]&lt;&gt;"","KRT")</f>
        <v>KRT</v>
      </c>
      <c r="BG217" s="4" t="str">
        <f>IF(Table43[[#This Row],[SATUAN Fix Win]]&lt;&gt;"","GD01")</f>
        <v>GD01</v>
      </c>
      <c r="BH217" s="4">
        <f>IF(Table43[[#This Row],[SATUAN Fix Win]]&lt;&gt;"",11611)</f>
        <v>11611</v>
      </c>
      <c r="BI217" s="4">
        <f>IF(Table43[[#This Row],[SATUAN Fix Win]]&lt;&gt;"",11612)</f>
        <v>11612</v>
      </c>
      <c r="BJ217" s="48"/>
      <c r="BK217" s="4">
        <f>IF(Table43[[#This Row],[SATUAN Fix Win]]&lt;&gt;"",1)</f>
        <v>1</v>
      </c>
    </row>
    <row r="218" spans="1:63">
      <c r="A218" s="4" t="str">
        <f>CONCATENATE(Table43[[#This Row],[Kode BARANG Win2]],Table43[[#This Row],[No. Urut
Item Sama]])</f>
        <v>K11210030125101</v>
      </c>
      <c r="B218" s="7">
        <v>1</v>
      </c>
      <c r="D218" s="28" t="s">
        <v>946</v>
      </c>
      <c r="E218" s="28"/>
      <c r="F218" s="28" t="s">
        <v>3036</v>
      </c>
      <c r="G218" s="78">
        <v>36</v>
      </c>
      <c r="H218" s="43"/>
      <c r="I218" s="28" t="str">
        <f>Table43[[#This Row],[Nama Jenis Kemasan]]</f>
        <v>BTL</v>
      </c>
      <c r="J218" s="4" t="str">
        <f>TRIM(CONCATENATE(Table43[[#This Row],[Nama            KLP]]," ",Table43[[#This Row],[Nama            Sub KLP]]))</f>
        <v>ESKULIN HIJAB B.MIST</v>
      </c>
      <c r="K218" s="4" t="str">
        <f>CONCATENATE(Table43[[#This Row],[kode  2 Digit                (hrf+No)]],Table43[[#This Row],[kode  2 Digit                (Nomor)]],Table43[[#This Row],[kode  1 Digit                (Nomor)]])</f>
        <v>K1121</v>
      </c>
      <c r="L218" s="4" t="str">
        <f t="shared" si="12"/>
        <v>K1121003012510</v>
      </c>
      <c r="M218" s="11">
        <f t="shared" si="13"/>
        <v>14</v>
      </c>
      <c r="N218" s="14" t="str">
        <f>IF(AF218&lt;&gt;"",TRIM(UPPER(CONCATENATE(P218," ",R218," ",T218," ",V218," ",X218," ",Z218," ","X"," ",Table43[[#This Row],[ISI/CTN]]," ",AF218," ",AB218," ",AD218," ",AH218))),TRIM(UPPER(CONCATENATE(P218," ",R218," ",T218," ",V218," ",X218," ",Z218," ","X"," ",Table43[[#This Row],[ISI/CTN]]," ",AB218," ",AD218," ",AH218))))</f>
        <v>KNF ESKULIN HIJAB B.MIST D PURPLE 125ML X 36 BTL</v>
      </c>
      <c r="O218" s="11">
        <f t="shared" si="14"/>
        <v>48</v>
      </c>
      <c r="P218" s="4" t="s">
        <v>97</v>
      </c>
      <c r="Q218" s="7" t="s">
        <v>98</v>
      </c>
      <c r="R218" s="4" t="s">
        <v>3735</v>
      </c>
      <c r="S218" s="44" t="s">
        <v>3565</v>
      </c>
      <c r="T218" s="45" t="s">
        <v>3736</v>
      </c>
      <c r="U218" s="7" t="s">
        <v>2656</v>
      </c>
      <c r="V218" s="45" t="s">
        <v>2961</v>
      </c>
      <c r="W218" s="44" t="s">
        <v>2900</v>
      </c>
      <c r="X218" s="4" t="s">
        <v>3739</v>
      </c>
      <c r="Y218" s="46" t="s">
        <v>2473</v>
      </c>
      <c r="Z218" s="4" t="s">
        <v>3620</v>
      </c>
      <c r="AA218" s="46" t="s">
        <v>2489</v>
      </c>
      <c r="AB218" s="4" t="s">
        <v>357</v>
      </c>
      <c r="AC218" s="7" t="s">
        <v>2656</v>
      </c>
      <c r="AD218" s="4" t="s">
        <v>2961</v>
      </c>
      <c r="AE218" s="7" t="s">
        <v>2900</v>
      </c>
      <c r="AF218" s="7" t="s">
        <v>2961</v>
      </c>
      <c r="AG218" s="7" t="s">
        <v>2961</v>
      </c>
      <c r="AI218" s="7" t="s">
        <v>4100</v>
      </c>
      <c r="AJ218" s="7" t="s">
        <v>2656</v>
      </c>
      <c r="AK218" s="41">
        <f>Table43[[#This Row],[Harga Jual Pcs GT
(-PPN)]]-(Table43[[#This Row],[Harga Jual Pcs GT
(-PPN)]]*10%)</f>
        <v>0</v>
      </c>
      <c r="AL218" s="42">
        <f>Table43[[#This Row],[Harga Beli Pcs
(-PPN)]]*Table43[[#This Row],[ISI/CTN]]</f>
        <v>0</v>
      </c>
      <c r="AM218" s="42">
        <f>Table43[[#This Row],[Harga Beli Pcs
(-PPN)]]*1.11</f>
        <v>0</v>
      </c>
      <c r="AN218" s="42">
        <f>Table43[[#This Row],[Harga Beli Krt
(- PPN)]]*1.11</f>
        <v>0</v>
      </c>
      <c r="AO218" s="42"/>
      <c r="AP218" s="42">
        <f>Table43[[#This Row],[Harga Jual Pcs GT
(-PPN)]]*Table43[[#This Row],[ISI/CTN]]</f>
        <v>0</v>
      </c>
      <c r="AQ218" s="42">
        <f>Table43[[#This Row],[Harga Jual Pcs GT
(-PPN)]]*1.11</f>
        <v>0</v>
      </c>
      <c r="AR218" s="42">
        <f>Table43[[#This Row],[Harga Jual Krt GT
(- PPN)]]*1.11</f>
        <v>0</v>
      </c>
      <c r="AS218" s="42">
        <f>Table43[[#This Row],[Harga Jual Pcs GT
(-PPN)]]</f>
        <v>0</v>
      </c>
      <c r="AT218" s="42">
        <f>(Table43[[#This Row],[Harga Jual Pcs MT
(-PPN)]]*Table43[[#This Row],[ISI/CTN]])</f>
        <v>0</v>
      </c>
      <c r="AU218" s="42">
        <f>Table43[[#This Row],[Harga Jual Pcs MT
(-PPN)]]*1.11</f>
        <v>0</v>
      </c>
      <c r="AV218" s="42">
        <f>Table43[[#This Row],[Harga Jual Pcs MT
(+PPN)]]*Table43[[#This Row],[ISI/CTN]]</f>
        <v>0</v>
      </c>
      <c r="AW218" s="47"/>
      <c r="AX218" s="7"/>
      <c r="AY218" s="7" t="str">
        <f ca="1">IF(TODAY()-Table43[[#This Row],[Efektif
Pembuatan]]&gt;60,"Lama","Baru")</f>
        <v>Lama</v>
      </c>
      <c r="AZ218" s="7" t="str">
        <f ca="1">IF(TODAY()-Table43[[#This Row],[Efektif Naik Harga]]&lt;30,"Naik","Sama")</f>
        <v>Sama</v>
      </c>
      <c r="BA218" s="7" t="str">
        <f>IF(Table43[[#This Row],[Kode BARANG Win2]]&lt;&gt;"","IDR","")</f>
        <v>IDR</v>
      </c>
      <c r="BB218" s="7" t="str">
        <f>CONCATENATE(Table43[[#This Row],[kode  1 Digit
(Nomor)]],Table43[[#This Row],[kode  4 Digit                (Nomor)]])</f>
        <v>10125</v>
      </c>
      <c r="BC218" s="7" t="str">
        <f>Table43[[#This Row],[Nama            Gramasi atau Jumlah Pack per CTN]]</f>
        <v>125ML</v>
      </c>
      <c r="BD218" s="7"/>
      <c r="BE218" s="7"/>
      <c r="BF218" s="4" t="str">
        <f>IF(Table43[[#This Row],[SATUAN Fix Win]]&lt;&gt;"","KRT")</f>
        <v>KRT</v>
      </c>
      <c r="BG218" s="4" t="str">
        <f>IF(Table43[[#This Row],[SATUAN Fix Win]]&lt;&gt;"","GD01")</f>
        <v>GD01</v>
      </c>
      <c r="BH218" s="4">
        <f>IF(Table43[[#This Row],[SATUAN Fix Win]]&lt;&gt;"",11611)</f>
        <v>11611</v>
      </c>
      <c r="BI218" s="4">
        <f>IF(Table43[[#This Row],[SATUAN Fix Win]]&lt;&gt;"",11612)</f>
        <v>11612</v>
      </c>
      <c r="BJ218" s="48"/>
      <c r="BK218" s="4">
        <f>IF(Table43[[#This Row],[SATUAN Fix Win]]&lt;&gt;"",1)</f>
        <v>1</v>
      </c>
    </row>
    <row r="219" spans="1:63">
      <c r="A219" s="4" t="str">
        <f>CONCATENATE(Table43[[#This Row],[Kode BARANG Win2]],Table43[[#This Row],[No. Urut
Item Sama]])</f>
        <v>K11210040125101</v>
      </c>
      <c r="B219" s="7">
        <v>1</v>
      </c>
      <c r="D219" s="28" t="s">
        <v>948</v>
      </c>
      <c r="E219" s="28"/>
      <c r="F219" s="28" t="s">
        <v>3037</v>
      </c>
      <c r="G219" s="78">
        <v>36</v>
      </c>
      <c r="H219" s="43"/>
      <c r="I219" s="28" t="str">
        <f>Table43[[#This Row],[Nama Jenis Kemasan]]</f>
        <v>BTL</v>
      </c>
      <c r="J219" s="4" t="str">
        <f>TRIM(CONCATENATE(Table43[[#This Row],[Nama            KLP]]," ",Table43[[#This Row],[Nama            Sub KLP]]))</f>
        <v>ESKULIN HIJAB B.MIST</v>
      </c>
      <c r="K219" s="4" t="str">
        <f>CONCATENATE(Table43[[#This Row],[kode  2 Digit                (hrf+No)]],Table43[[#This Row],[kode  2 Digit                (Nomor)]],Table43[[#This Row],[kode  1 Digit                (Nomor)]])</f>
        <v>K1121</v>
      </c>
      <c r="L219" s="4" t="str">
        <f t="shared" si="12"/>
        <v>K1121004012510</v>
      </c>
      <c r="M219" s="11">
        <f t="shared" si="13"/>
        <v>14</v>
      </c>
      <c r="N219" s="14" t="str">
        <f>IF(AF219&lt;&gt;"",TRIM(UPPER(CONCATENATE(P219," ",R219," ",T219," ",V219," ",X219," ",Z219," ","X"," ",Table43[[#This Row],[ISI/CTN]]," ",AF219," ",AB219," ",AD219," ",AH219))),TRIM(UPPER(CONCATENATE(P219," ",R219," ",T219," ",V219," ",X219," ",Z219," ","X"," ",Table43[[#This Row],[ISI/CTN]]," ",AB219," ",AD219," ",AH219))))</f>
        <v>KNF ESKULIN HIJAB B.MIST S YELLOW 125ML X 36 BTL</v>
      </c>
      <c r="O219" s="11">
        <f t="shared" si="14"/>
        <v>48</v>
      </c>
      <c r="P219" s="4" t="s">
        <v>97</v>
      </c>
      <c r="Q219" s="7" t="s">
        <v>98</v>
      </c>
      <c r="R219" s="4" t="s">
        <v>3735</v>
      </c>
      <c r="S219" s="44" t="s">
        <v>3565</v>
      </c>
      <c r="T219" s="45" t="s">
        <v>3736</v>
      </c>
      <c r="U219" s="7" t="s">
        <v>2656</v>
      </c>
      <c r="V219" s="45" t="s">
        <v>2961</v>
      </c>
      <c r="W219" s="44" t="s">
        <v>2900</v>
      </c>
      <c r="X219" s="4" t="s">
        <v>3740</v>
      </c>
      <c r="Y219" s="46" t="s">
        <v>2474</v>
      </c>
      <c r="Z219" s="4" t="s">
        <v>3620</v>
      </c>
      <c r="AA219" s="46" t="s">
        <v>2489</v>
      </c>
      <c r="AB219" s="4" t="s">
        <v>357</v>
      </c>
      <c r="AC219" s="7" t="s">
        <v>2656</v>
      </c>
      <c r="AD219" s="4" t="s">
        <v>2961</v>
      </c>
      <c r="AE219" s="7" t="s">
        <v>2900</v>
      </c>
      <c r="AF219" s="7" t="s">
        <v>2961</v>
      </c>
      <c r="AG219" s="7" t="s">
        <v>2961</v>
      </c>
      <c r="AI219" s="7" t="s">
        <v>4100</v>
      </c>
      <c r="AJ219" s="7" t="s">
        <v>2656</v>
      </c>
      <c r="AK219" s="41">
        <f>Table43[[#This Row],[Harga Jual Pcs GT
(-PPN)]]-(Table43[[#This Row],[Harga Jual Pcs GT
(-PPN)]]*10%)</f>
        <v>0</v>
      </c>
      <c r="AL219" s="42">
        <f>Table43[[#This Row],[Harga Beli Pcs
(-PPN)]]*Table43[[#This Row],[ISI/CTN]]</f>
        <v>0</v>
      </c>
      <c r="AM219" s="42">
        <f>Table43[[#This Row],[Harga Beli Pcs
(-PPN)]]*1.11</f>
        <v>0</v>
      </c>
      <c r="AN219" s="42">
        <f>Table43[[#This Row],[Harga Beli Krt
(- PPN)]]*1.11</f>
        <v>0</v>
      </c>
      <c r="AO219" s="42"/>
      <c r="AP219" s="42">
        <f>Table43[[#This Row],[Harga Jual Pcs GT
(-PPN)]]*Table43[[#This Row],[ISI/CTN]]</f>
        <v>0</v>
      </c>
      <c r="AQ219" s="42">
        <f>Table43[[#This Row],[Harga Jual Pcs GT
(-PPN)]]*1.11</f>
        <v>0</v>
      </c>
      <c r="AR219" s="42">
        <f>Table43[[#This Row],[Harga Jual Krt GT
(- PPN)]]*1.11</f>
        <v>0</v>
      </c>
      <c r="AS219" s="42">
        <f>Table43[[#This Row],[Harga Jual Pcs GT
(-PPN)]]</f>
        <v>0</v>
      </c>
      <c r="AT219" s="42">
        <f>(Table43[[#This Row],[Harga Jual Pcs MT
(-PPN)]]*Table43[[#This Row],[ISI/CTN]])</f>
        <v>0</v>
      </c>
      <c r="AU219" s="42">
        <f>Table43[[#This Row],[Harga Jual Pcs MT
(-PPN)]]*1.11</f>
        <v>0</v>
      </c>
      <c r="AV219" s="42">
        <f>Table43[[#This Row],[Harga Jual Pcs MT
(+PPN)]]*Table43[[#This Row],[ISI/CTN]]</f>
        <v>0</v>
      </c>
      <c r="AW219" s="47"/>
      <c r="AX219" s="7"/>
      <c r="AY219" s="7" t="str">
        <f ca="1">IF(TODAY()-Table43[[#This Row],[Efektif
Pembuatan]]&gt;60,"Lama","Baru")</f>
        <v>Lama</v>
      </c>
      <c r="AZ219" s="7" t="str">
        <f ca="1">IF(TODAY()-Table43[[#This Row],[Efektif Naik Harga]]&lt;30,"Naik","Sama")</f>
        <v>Sama</v>
      </c>
      <c r="BA219" s="7" t="str">
        <f>IF(Table43[[#This Row],[Kode BARANG Win2]]&lt;&gt;"","IDR","")</f>
        <v>IDR</v>
      </c>
      <c r="BB219" s="7" t="str">
        <f>CONCATENATE(Table43[[#This Row],[kode  1 Digit
(Nomor)]],Table43[[#This Row],[kode  4 Digit                (Nomor)]])</f>
        <v>10125</v>
      </c>
      <c r="BC219" s="7" t="str">
        <f>Table43[[#This Row],[Nama            Gramasi atau Jumlah Pack per CTN]]</f>
        <v>125ML</v>
      </c>
      <c r="BD219" s="7"/>
      <c r="BE219" s="7"/>
      <c r="BF219" s="4" t="str">
        <f>IF(Table43[[#This Row],[SATUAN Fix Win]]&lt;&gt;"","KRT")</f>
        <v>KRT</v>
      </c>
      <c r="BG219" s="4" t="str">
        <f>IF(Table43[[#This Row],[SATUAN Fix Win]]&lt;&gt;"","GD01")</f>
        <v>GD01</v>
      </c>
      <c r="BH219" s="4">
        <f>IF(Table43[[#This Row],[SATUAN Fix Win]]&lt;&gt;"",11611)</f>
        <v>11611</v>
      </c>
      <c r="BI219" s="4">
        <f>IF(Table43[[#This Row],[SATUAN Fix Win]]&lt;&gt;"",11612)</f>
        <v>11612</v>
      </c>
      <c r="BJ219" s="48"/>
      <c r="BK219" s="4">
        <f>IF(Table43[[#This Row],[SATUAN Fix Win]]&lt;&gt;"",1)</f>
        <v>1</v>
      </c>
    </row>
    <row r="220" spans="1:63">
      <c r="A220" s="4" t="str">
        <f>CONCATENATE(Table43[[#This Row],[Kode BARANG Win2]],Table43[[#This Row],[No. Urut
Item Sama]])</f>
        <v>K11210050125101</v>
      </c>
      <c r="B220" s="7">
        <v>1</v>
      </c>
      <c r="D220" s="28" t="s">
        <v>950</v>
      </c>
      <c r="E220" s="28"/>
      <c r="F220" s="28" t="s">
        <v>3038</v>
      </c>
      <c r="G220" s="78">
        <v>36</v>
      </c>
      <c r="H220" s="43"/>
      <c r="I220" s="28" t="str">
        <f>Table43[[#This Row],[Nama Jenis Kemasan]]</f>
        <v>BTL</v>
      </c>
      <c r="J220" s="4" t="str">
        <f>TRIM(CONCATENATE(Table43[[#This Row],[Nama            KLP]]," ",Table43[[#This Row],[Nama            Sub KLP]]))</f>
        <v>ESKULIN HIJAB B.MIST</v>
      </c>
      <c r="K220" s="4" t="str">
        <f>CONCATENATE(Table43[[#This Row],[kode  2 Digit                (hrf+No)]],Table43[[#This Row],[kode  2 Digit                (Nomor)]],Table43[[#This Row],[kode  1 Digit                (Nomor)]])</f>
        <v>K1121</v>
      </c>
      <c r="L220" s="4" t="str">
        <f t="shared" si="12"/>
        <v>K1121005012510</v>
      </c>
      <c r="M220" s="11">
        <f t="shared" si="13"/>
        <v>14</v>
      </c>
      <c r="N220" s="14" t="str">
        <f>IF(AF220&lt;&gt;"",TRIM(UPPER(CONCATENATE(P220," ",R220," ",T220," ",V220," ",X220," ",Z220," ","X"," ",Table43[[#This Row],[ISI/CTN]]," ",AF220," ",AB220," ",AD220," ",AH220))),TRIM(UPPER(CONCATENATE(P220," ",R220," ",T220," ",V220," ",X220," ",Z220," ","X"," ",Table43[[#This Row],[ISI/CTN]]," ",AB220," ",AD220," ",AH220))))</f>
        <v>KNF ESKULIN HIJAB B.MIST G FANTASY 125ML X 36 BTL</v>
      </c>
      <c r="O220" s="11">
        <f t="shared" si="14"/>
        <v>49</v>
      </c>
      <c r="P220" s="4" t="s">
        <v>97</v>
      </c>
      <c r="Q220" s="7" t="s">
        <v>98</v>
      </c>
      <c r="R220" s="4" t="s">
        <v>3735</v>
      </c>
      <c r="S220" s="44" t="s">
        <v>3565</v>
      </c>
      <c r="T220" s="45" t="s">
        <v>3736</v>
      </c>
      <c r="U220" s="7" t="s">
        <v>2656</v>
      </c>
      <c r="V220" s="45" t="s">
        <v>2961</v>
      </c>
      <c r="W220" s="44" t="s">
        <v>2900</v>
      </c>
      <c r="X220" s="4" t="s">
        <v>3741</v>
      </c>
      <c r="Y220" s="46" t="s">
        <v>2475</v>
      </c>
      <c r="Z220" s="4" t="s">
        <v>3620</v>
      </c>
      <c r="AA220" s="46" t="s">
        <v>2489</v>
      </c>
      <c r="AB220" s="4" t="s">
        <v>357</v>
      </c>
      <c r="AC220" s="7" t="s">
        <v>2656</v>
      </c>
      <c r="AD220" s="4" t="s">
        <v>2961</v>
      </c>
      <c r="AE220" s="7" t="s">
        <v>2900</v>
      </c>
      <c r="AF220" s="7" t="s">
        <v>2961</v>
      </c>
      <c r="AG220" s="7" t="s">
        <v>2961</v>
      </c>
      <c r="AI220" s="7" t="s">
        <v>4100</v>
      </c>
      <c r="AJ220" s="7" t="s">
        <v>2656</v>
      </c>
      <c r="AK220" s="41">
        <f>Table43[[#This Row],[Harga Jual Pcs GT
(-PPN)]]-(Table43[[#This Row],[Harga Jual Pcs GT
(-PPN)]]*10%)</f>
        <v>0</v>
      </c>
      <c r="AL220" s="42">
        <f>Table43[[#This Row],[Harga Beli Pcs
(-PPN)]]*Table43[[#This Row],[ISI/CTN]]</f>
        <v>0</v>
      </c>
      <c r="AM220" s="42">
        <f>Table43[[#This Row],[Harga Beli Pcs
(-PPN)]]*1.11</f>
        <v>0</v>
      </c>
      <c r="AN220" s="42">
        <f>Table43[[#This Row],[Harga Beli Krt
(- PPN)]]*1.11</f>
        <v>0</v>
      </c>
      <c r="AO220" s="42"/>
      <c r="AP220" s="42">
        <f>Table43[[#This Row],[Harga Jual Pcs GT
(-PPN)]]*Table43[[#This Row],[ISI/CTN]]</f>
        <v>0</v>
      </c>
      <c r="AQ220" s="42">
        <f>Table43[[#This Row],[Harga Jual Pcs GT
(-PPN)]]*1.11</f>
        <v>0</v>
      </c>
      <c r="AR220" s="42">
        <f>Table43[[#This Row],[Harga Jual Krt GT
(- PPN)]]*1.11</f>
        <v>0</v>
      </c>
      <c r="AS220" s="42">
        <f>Table43[[#This Row],[Harga Jual Pcs GT
(-PPN)]]</f>
        <v>0</v>
      </c>
      <c r="AT220" s="42">
        <f>(Table43[[#This Row],[Harga Jual Pcs MT
(-PPN)]]*Table43[[#This Row],[ISI/CTN]])</f>
        <v>0</v>
      </c>
      <c r="AU220" s="42">
        <f>Table43[[#This Row],[Harga Jual Pcs MT
(-PPN)]]*1.11</f>
        <v>0</v>
      </c>
      <c r="AV220" s="42">
        <f>Table43[[#This Row],[Harga Jual Pcs MT
(+PPN)]]*Table43[[#This Row],[ISI/CTN]]</f>
        <v>0</v>
      </c>
      <c r="AW220" s="47"/>
      <c r="AX220" s="7"/>
      <c r="AY220" s="7" t="str">
        <f ca="1">IF(TODAY()-Table43[[#This Row],[Efektif
Pembuatan]]&gt;60,"Lama","Baru")</f>
        <v>Lama</v>
      </c>
      <c r="AZ220" s="7" t="str">
        <f ca="1">IF(TODAY()-Table43[[#This Row],[Efektif Naik Harga]]&lt;30,"Naik","Sama")</f>
        <v>Sama</v>
      </c>
      <c r="BA220" s="7" t="str">
        <f>IF(Table43[[#This Row],[Kode BARANG Win2]]&lt;&gt;"","IDR","")</f>
        <v>IDR</v>
      </c>
      <c r="BB220" s="7" t="str">
        <f>CONCATENATE(Table43[[#This Row],[kode  1 Digit
(Nomor)]],Table43[[#This Row],[kode  4 Digit                (Nomor)]])</f>
        <v>10125</v>
      </c>
      <c r="BC220" s="7" t="str">
        <f>Table43[[#This Row],[Nama            Gramasi atau Jumlah Pack per CTN]]</f>
        <v>125ML</v>
      </c>
      <c r="BD220" s="7"/>
      <c r="BE220" s="7"/>
      <c r="BF220" s="4" t="str">
        <f>IF(Table43[[#This Row],[SATUAN Fix Win]]&lt;&gt;"","KRT")</f>
        <v>KRT</v>
      </c>
      <c r="BG220" s="4" t="str">
        <f>IF(Table43[[#This Row],[SATUAN Fix Win]]&lt;&gt;"","GD01")</f>
        <v>GD01</v>
      </c>
      <c r="BH220" s="4">
        <f>IF(Table43[[#This Row],[SATUAN Fix Win]]&lt;&gt;"",11611)</f>
        <v>11611</v>
      </c>
      <c r="BI220" s="4">
        <f>IF(Table43[[#This Row],[SATUAN Fix Win]]&lt;&gt;"",11612)</f>
        <v>11612</v>
      </c>
      <c r="BJ220" s="48"/>
      <c r="BK220" s="4">
        <f>IF(Table43[[#This Row],[SATUAN Fix Win]]&lt;&gt;"",1)</f>
        <v>1</v>
      </c>
    </row>
    <row r="221" spans="1:63">
      <c r="A221" s="4" t="str">
        <f>CONCATENATE(Table43[[#This Row],[Kode BARANG Win2]],Table43[[#This Row],[No. Urut
Item Sama]])</f>
        <v>K11220010100102</v>
      </c>
      <c r="B221" s="7">
        <v>2</v>
      </c>
      <c r="D221" s="28" t="s">
        <v>977</v>
      </c>
      <c r="E221" s="28"/>
      <c r="F221" s="28" t="s">
        <v>3039</v>
      </c>
      <c r="G221" s="78">
        <v>36</v>
      </c>
      <c r="H221" s="43"/>
      <c r="I221" s="28" t="str">
        <f>Table43[[#This Row],[Nama Jenis Kemasan]]</f>
        <v>BTL</v>
      </c>
      <c r="J221" s="4" t="str">
        <f>TRIM(CONCATENATE(Table43[[#This Row],[Nama            KLP]]," ",Table43[[#This Row],[Nama            Sub KLP]]))</f>
        <v>ESKULIN HIJAB C.GEL</v>
      </c>
      <c r="K221" s="4" t="str">
        <f>CONCATENATE(Table43[[#This Row],[kode  2 Digit                (hrf+No)]],Table43[[#This Row],[kode  2 Digit                (Nomor)]],Table43[[#This Row],[kode  1 Digit                (Nomor)]])</f>
        <v>K1122</v>
      </c>
      <c r="L221" s="4" t="str">
        <f t="shared" si="12"/>
        <v>K1122001010010</v>
      </c>
      <c r="M221" s="11">
        <f t="shared" si="13"/>
        <v>14</v>
      </c>
      <c r="N221" s="14" t="str">
        <f>IF(AF221&lt;&gt;"",TRIM(UPPER(CONCATENATE(P221," ",R221," ",T221," ",V221," ",X221," ",Z221," ","X"," ",Table43[[#This Row],[ISI/CTN]]," ",AF221," ",AB221," ",AD221," ",AH221))),TRIM(UPPER(CONCATENATE(P221," ",R221," ",T221," ",V221," ",X221," ",Z221," ","X"," ",Table43[[#This Row],[ISI/CTN]]," ",AB221," ",AD221," ",AH221))))</f>
        <v>KNF ESKULIN HIJAB C.GEL FRESH DAY 100ML X 36 BTL</v>
      </c>
      <c r="O221" s="11">
        <f t="shared" si="14"/>
        <v>48</v>
      </c>
      <c r="P221" s="4" t="s">
        <v>97</v>
      </c>
      <c r="Q221" s="7" t="s">
        <v>98</v>
      </c>
      <c r="R221" s="4" t="s">
        <v>3735</v>
      </c>
      <c r="S221" s="44" t="s">
        <v>3565</v>
      </c>
      <c r="T221" s="45" t="s">
        <v>3742</v>
      </c>
      <c r="U221" s="7" t="s">
        <v>3562</v>
      </c>
      <c r="V221" s="45" t="s">
        <v>2961</v>
      </c>
      <c r="W221" s="44" t="s">
        <v>2900</v>
      </c>
      <c r="X221" s="4" t="s">
        <v>3743</v>
      </c>
      <c r="Y221" s="46" t="s">
        <v>0</v>
      </c>
      <c r="Z221" s="4" t="s">
        <v>3588</v>
      </c>
      <c r="AA221" s="46" t="s">
        <v>2487</v>
      </c>
      <c r="AB221" s="4" t="s">
        <v>357</v>
      </c>
      <c r="AC221" s="7" t="s">
        <v>2656</v>
      </c>
      <c r="AD221" s="4" t="s">
        <v>2961</v>
      </c>
      <c r="AE221" s="7" t="s">
        <v>2900</v>
      </c>
      <c r="AF221" s="7" t="s">
        <v>2961</v>
      </c>
      <c r="AG221" s="7" t="s">
        <v>2961</v>
      </c>
      <c r="AI221" s="7" t="s">
        <v>4100</v>
      </c>
      <c r="AJ221" s="7" t="s">
        <v>2656</v>
      </c>
      <c r="AK221" s="41">
        <f>Table43[[#This Row],[Harga Jual Pcs GT
(-PPN)]]-(Table43[[#This Row],[Harga Jual Pcs GT
(-PPN)]]*10%)</f>
        <v>0</v>
      </c>
      <c r="AL221" s="42">
        <f>Table43[[#This Row],[Harga Beli Pcs
(-PPN)]]*Table43[[#This Row],[ISI/CTN]]</f>
        <v>0</v>
      </c>
      <c r="AM221" s="42">
        <f>Table43[[#This Row],[Harga Beli Pcs
(-PPN)]]*1.11</f>
        <v>0</v>
      </c>
      <c r="AN221" s="42">
        <f>Table43[[#This Row],[Harga Beli Krt
(- PPN)]]*1.11</f>
        <v>0</v>
      </c>
      <c r="AO221" s="42"/>
      <c r="AP221" s="42">
        <f>Table43[[#This Row],[Harga Jual Pcs GT
(-PPN)]]*Table43[[#This Row],[ISI/CTN]]</f>
        <v>0</v>
      </c>
      <c r="AQ221" s="42">
        <f>Table43[[#This Row],[Harga Jual Pcs GT
(-PPN)]]*1.11</f>
        <v>0</v>
      </c>
      <c r="AR221" s="42">
        <f>Table43[[#This Row],[Harga Jual Krt GT
(- PPN)]]*1.11</f>
        <v>0</v>
      </c>
      <c r="AS221" s="42">
        <f>Table43[[#This Row],[Harga Jual Pcs GT
(-PPN)]]</f>
        <v>0</v>
      </c>
      <c r="AT221" s="42">
        <f>(Table43[[#This Row],[Harga Jual Pcs MT
(-PPN)]]*Table43[[#This Row],[ISI/CTN]])</f>
        <v>0</v>
      </c>
      <c r="AU221" s="42">
        <f>Table43[[#This Row],[Harga Jual Pcs MT
(-PPN)]]*1.11</f>
        <v>0</v>
      </c>
      <c r="AV221" s="42">
        <f>Table43[[#This Row],[Harga Jual Pcs MT
(+PPN)]]*Table43[[#This Row],[ISI/CTN]]</f>
        <v>0</v>
      </c>
      <c r="AW221" s="47"/>
      <c r="AX221" s="7"/>
      <c r="AY221" s="7" t="str">
        <f ca="1">IF(TODAY()-Table43[[#This Row],[Efektif
Pembuatan]]&gt;60,"Lama","Baru")</f>
        <v>Lama</v>
      </c>
      <c r="AZ221" s="7" t="str">
        <f ca="1">IF(TODAY()-Table43[[#This Row],[Efektif Naik Harga]]&lt;30,"Naik","Sama")</f>
        <v>Sama</v>
      </c>
      <c r="BA221" s="7" t="str">
        <f>IF(Table43[[#This Row],[Kode BARANG Win2]]&lt;&gt;"","IDR","")</f>
        <v>IDR</v>
      </c>
      <c r="BB221" s="7" t="str">
        <f>CONCATENATE(Table43[[#This Row],[kode  1 Digit
(Nomor)]],Table43[[#This Row],[kode  4 Digit                (Nomor)]])</f>
        <v>10100</v>
      </c>
      <c r="BC221" s="7" t="str">
        <f>Table43[[#This Row],[Nama            Gramasi atau Jumlah Pack per CTN]]</f>
        <v>100ML</v>
      </c>
      <c r="BD221" s="7"/>
      <c r="BE221" s="7"/>
      <c r="BF221" s="4" t="str">
        <f>IF(Table43[[#This Row],[SATUAN Fix Win]]&lt;&gt;"","KRT")</f>
        <v>KRT</v>
      </c>
      <c r="BG221" s="4" t="str">
        <f>IF(Table43[[#This Row],[SATUAN Fix Win]]&lt;&gt;"","GD01")</f>
        <v>GD01</v>
      </c>
      <c r="BH221" s="4">
        <f>IF(Table43[[#This Row],[SATUAN Fix Win]]&lt;&gt;"",11611)</f>
        <v>11611</v>
      </c>
      <c r="BI221" s="4">
        <f>IF(Table43[[#This Row],[SATUAN Fix Win]]&lt;&gt;"",11612)</f>
        <v>11612</v>
      </c>
      <c r="BJ221" s="48"/>
      <c r="BK221" s="4">
        <f>IF(Table43[[#This Row],[SATUAN Fix Win]]&lt;&gt;"",1)</f>
        <v>1</v>
      </c>
    </row>
    <row r="222" spans="1:63">
      <c r="A222" s="4" t="str">
        <f>CONCATENATE(Table43[[#This Row],[Kode BARANG Win2]],Table43[[#This Row],[No. Urut
Item Sama]])</f>
        <v>K11220020100103</v>
      </c>
      <c r="B222" s="7">
        <v>3</v>
      </c>
      <c r="D222" s="28" t="s">
        <v>978</v>
      </c>
      <c r="E222" s="28"/>
      <c r="F222" s="28" t="s">
        <v>3040</v>
      </c>
      <c r="G222" s="78">
        <v>36</v>
      </c>
      <c r="H222" s="43"/>
      <c r="I222" s="28" t="str">
        <f>Table43[[#This Row],[Nama Jenis Kemasan]]</f>
        <v>BTL</v>
      </c>
      <c r="J222" s="4" t="str">
        <f>TRIM(CONCATENATE(Table43[[#This Row],[Nama            KLP]]," ",Table43[[#This Row],[Nama            Sub KLP]]))</f>
        <v>ESKULIN HIJAB C.GEL</v>
      </c>
      <c r="K222" s="4" t="str">
        <f>CONCATENATE(Table43[[#This Row],[kode  2 Digit                (hrf+No)]],Table43[[#This Row],[kode  2 Digit                (Nomor)]],Table43[[#This Row],[kode  1 Digit                (Nomor)]])</f>
        <v>K1122</v>
      </c>
      <c r="L222" s="4" t="str">
        <f t="shared" si="12"/>
        <v>K1122002010010</v>
      </c>
      <c r="M222" s="11">
        <f t="shared" si="13"/>
        <v>14</v>
      </c>
      <c r="N222" s="14" t="str">
        <f>IF(AF222&lt;&gt;"",TRIM(UPPER(CONCATENATE(P222," ",R222," ",T222," ",V222," ",X222," ",Z222," ","X"," ",Table43[[#This Row],[ISI/CTN]]," ",AF222," ",AB222," ",AD222," ",AH222))),TRIM(UPPER(CONCATENATE(P222," ",R222," ",T222," ",V222," ",X222," ",Z222," ","X"," ",Table43[[#This Row],[ISI/CTN]]," ",AB222," ",AD222," ",AH222))))</f>
        <v>KNF ESKULIN HIJAB C.GEL PERFECT DAY 100ML X 36 BTL</v>
      </c>
      <c r="O222" s="11">
        <f t="shared" si="14"/>
        <v>50</v>
      </c>
      <c r="P222" s="4" t="s">
        <v>97</v>
      </c>
      <c r="Q222" s="7" t="s">
        <v>98</v>
      </c>
      <c r="R222" s="4" t="s">
        <v>3735</v>
      </c>
      <c r="S222" s="44" t="s">
        <v>3565</v>
      </c>
      <c r="T222" s="45" t="s">
        <v>3742</v>
      </c>
      <c r="U222" s="7" t="s">
        <v>3562</v>
      </c>
      <c r="V222" s="45" t="s">
        <v>2961</v>
      </c>
      <c r="W222" s="44" t="s">
        <v>2900</v>
      </c>
      <c r="X222" s="4" t="s">
        <v>3744</v>
      </c>
      <c r="Y222" s="46" t="s">
        <v>2472</v>
      </c>
      <c r="Z222" s="4" t="s">
        <v>3588</v>
      </c>
      <c r="AA222" s="46" t="s">
        <v>2487</v>
      </c>
      <c r="AB222" s="4" t="s">
        <v>357</v>
      </c>
      <c r="AC222" s="7" t="s">
        <v>2656</v>
      </c>
      <c r="AD222" s="4" t="s">
        <v>2961</v>
      </c>
      <c r="AE222" s="7" t="s">
        <v>2900</v>
      </c>
      <c r="AF222" s="7" t="s">
        <v>2961</v>
      </c>
      <c r="AG222" s="7" t="s">
        <v>2961</v>
      </c>
      <c r="AI222" s="7" t="s">
        <v>4100</v>
      </c>
      <c r="AJ222" s="7" t="s">
        <v>2656</v>
      </c>
      <c r="AK222" s="41">
        <f>Table43[[#This Row],[Harga Jual Pcs GT
(-PPN)]]-(Table43[[#This Row],[Harga Jual Pcs GT
(-PPN)]]*10%)</f>
        <v>0</v>
      </c>
      <c r="AL222" s="42">
        <f>Table43[[#This Row],[Harga Beli Pcs
(-PPN)]]*Table43[[#This Row],[ISI/CTN]]</f>
        <v>0</v>
      </c>
      <c r="AM222" s="42">
        <f>Table43[[#This Row],[Harga Beli Pcs
(-PPN)]]*1.11</f>
        <v>0</v>
      </c>
      <c r="AN222" s="42">
        <f>Table43[[#This Row],[Harga Beli Krt
(- PPN)]]*1.11</f>
        <v>0</v>
      </c>
      <c r="AO222" s="42"/>
      <c r="AP222" s="42">
        <f>Table43[[#This Row],[Harga Jual Pcs GT
(-PPN)]]*Table43[[#This Row],[ISI/CTN]]</f>
        <v>0</v>
      </c>
      <c r="AQ222" s="42">
        <f>Table43[[#This Row],[Harga Jual Pcs GT
(-PPN)]]*1.11</f>
        <v>0</v>
      </c>
      <c r="AR222" s="42">
        <f>Table43[[#This Row],[Harga Jual Krt GT
(- PPN)]]*1.11</f>
        <v>0</v>
      </c>
      <c r="AS222" s="42">
        <f>Table43[[#This Row],[Harga Jual Pcs GT
(-PPN)]]</f>
        <v>0</v>
      </c>
      <c r="AT222" s="42">
        <f>(Table43[[#This Row],[Harga Jual Pcs MT
(-PPN)]]*Table43[[#This Row],[ISI/CTN]])</f>
        <v>0</v>
      </c>
      <c r="AU222" s="42">
        <f>Table43[[#This Row],[Harga Jual Pcs MT
(-PPN)]]*1.11</f>
        <v>0</v>
      </c>
      <c r="AV222" s="42">
        <f>Table43[[#This Row],[Harga Jual Pcs MT
(+PPN)]]*Table43[[#This Row],[ISI/CTN]]</f>
        <v>0</v>
      </c>
      <c r="AW222" s="47"/>
      <c r="AX222" s="7"/>
      <c r="AY222" s="7" t="str">
        <f ca="1">IF(TODAY()-Table43[[#This Row],[Efektif
Pembuatan]]&gt;60,"Lama","Baru")</f>
        <v>Lama</v>
      </c>
      <c r="AZ222" s="7" t="str">
        <f ca="1">IF(TODAY()-Table43[[#This Row],[Efektif Naik Harga]]&lt;30,"Naik","Sama")</f>
        <v>Sama</v>
      </c>
      <c r="BA222" s="7" t="str">
        <f>IF(Table43[[#This Row],[Kode BARANG Win2]]&lt;&gt;"","IDR","")</f>
        <v>IDR</v>
      </c>
      <c r="BB222" s="7" t="str">
        <f>CONCATENATE(Table43[[#This Row],[kode  1 Digit
(Nomor)]],Table43[[#This Row],[kode  4 Digit                (Nomor)]])</f>
        <v>10100</v>
      </c>
      <c r="BC222" s="7" t="str">
        <f>Table43[[#This Row],[Nama            Gramasi atau Jumlah Pack per CTN]]</f>
        <v>100ML</v>
      </c>
      <c r="BD222" s="7"/>
      <c r="BE222" s="7"/>
      <c r="BF222" s="4" t="str">
        <f>IF(Table43[[#This Row],[SATUAN Fix Win]]&lt;&gt;"","KRT")</f>
        <v>KRT</v>
      </c>
      <c r="BG222" s="4" t="str">
        <f>IF(Table43[[#This Row],[SATUAN Fix Win]]&lt;&gt;"","GD01")</f>
        <v>GD01</v>
      </c>
      <c r="BH222" s="4">
        <f>IF(Table43[[#This Row],[SATUAN Fix Win]]&lt;&gt;"",11611)</f>
        <v>11611</v>
      </c>
      <c r="BI222" s="4">
        <f>IF(Table43[[#This Row],[SATUAN Fix Win]]&lt;&gt;"",11612)</f>
        <v>11612</v>
      </c>
      <c r="BJ222" s="48"/>
      <c r="BK222" s="4">
        <f>IF(Table43[[#This Row],[SATUAN Fix Win]]&lt;&gt;"",1)</f>
        <v>1</v>
      </c>
    </row>
    <row r="223" spans="1:63">
      <c r="A223" s="4" t="str">
        <f>CONCATENATE(Table43[[#This Row],[Kode BARANG Win2]],Table43[[#This Row],[No. Urut
Item Sama]])</f>
        <v>K11310010110101</v>
      </c>
      <c r="B223" s="7">
        <v>1</v>
      </c>
      <c r="D223" s="28" t="s">
        <v>968</v>
      </c>
      <c r="E223" s="28"/>
      <c r="F223" s="28" t="s">
        <v>3041</v>
      </c>
      <c r="G223" s="78">
        <v>36</v>
      </c>
      <c r="H223" s="43"/>
      <c r="I223" s="28" t="str">
        <f>Table43[[#This Row],[Nama Jenis Kemasan]]</f>
        <v>BTL</v>
      </c>
      <c r="J223" s="4" t="str">
        <f>TRIM(CONCATENATE(Table43[[#This Row],[Nama            KLP]]," ",Table43[[#This Row],[Nama            Sub KLP]]))</f>
        <v>ESKULIN JAPAN SPRAY</v>
      </c>
      <c r="K223" s="4" t="str">
        <f>CONCATENATE(Table43[[#This Row],[kode  2 Digit                (hrf+No)]],Table43[[#This Row],[kode  2 Digit                (Nomor)]],Table43[[#This Row],[kode  1 Digit                (Nomor)]])</f>
        <v>K1131</v>
      </c>
      <c r="L223" s="4" t="str">
        <f t="shared" si="12"/>
        <v>K1131001011010</v>
      </c>
      <c r="M223" s="11">
        <f t="shared" si="13"/>
        <v>14</v>
      </c>
      <c r="N223" s="14" t="str">
        <f>IF(AF223&lt;&gt;"",TRIM(UPPER(CONCATENATE(P223," ",R223," ",T223," ",V223," ",X223," ",Z223," ","X"," ",Table43[[#This Row],[ISI/CTN]]," ",AF223," ",AB223," ",AD223," ",AH223))),TRIM(UPPER(CONCATENATE(P223," ",R223," ",T223," ",V223," ",X223," ",Z223," ","X"," ",Table43[[#This Row],[ISI/CTN]]," ",AB223," ",AD223," ",AH223))))</f>
        <v>KNF ESKULIN JAPAN SPRAY SUNSHINE KISS 110ML X 36 BTL</v>
      </c>
      <c r="O223" s="11">
        <f t="shared" si="14"/>
        <v>52</v>
      </c>
      <c r="P223" s="4" t="s">
        <v>97</v>
      </c>
      <c r="Q223" s="7" t="s">
        <v>98</v>
      </c>
      <c r="R223" s="4" t="s">
        <v>3745</v>
      </c>
      <c r="S223" s="44" t="s">
        <v>3566</v>
      </c>
      <c r="T223" s="45" t="s">
        <v>2961</v>
      </c>
      <c r="U223" s="7" t="s">
        <v>2656</v>
      </c>
      <c r="V223" s="45" t="s">
        <v>2961</v>
      </c>
      <c r="W223" s="44" t="s">
        <v>2900</v>
      </c>
      <c r="X223" s="4" t="s">
        <v>3746</v>
      </c>
      <c r="Y223" s="46" t="s">
        <v>0</v>
      </c>
      <c r="Z223" s="4" t="s">
        <v>3652</v>
      </c>
      <c r="AA223" s="46" t="s">
        <v>2492</v>
      </c>
      <c r="AB223" s="4" t="s">
        <v>357</v>
      </c>
      <c r="AC223" s="7" t="s">
        <v>2656</v>
      </c>
      <c r="AD223" s="4" t="s">
        <v>2961</v>
      </c>
      <c r="AE223" s="7" t="s">
        <v>2900</v>
      </c>
      <c r="AF223" s="7" t="s">
        <v>2961</v>
      </c>
      <c r="AG223" s="7" t="s">
        <v>2961</v>
      </c>
      <c r="AI223" s="7" t="s">
        <v>4100</v>
      </c>
      <c r="AJ223" s="7" t="s">
        <v>2656</v>
      </c>
      <c r="AK223" s="41">
        <f>Table43[[#This Row],[Harga Jual Pcs GT
(-PPN)]]-(Table43[[#This Row],[Harga Jual Pcs GT
(-PPN)]]*10%)</f>
        <v>0</v>
      </c>
      <c r="AL223" s="42">
        <f>Table43[[#This Row],[Harga Beli Pcs
(-PPN)]]*Table43[[#This Row],[ISI/CTN]]</f>
        <v>0</v>
      </c>
      <c r="AM223" s="42">
        <f>Table43[[#This Row],[Harga Beli Pcs
(-PPN)]]*1.11</f>
        <v>0</v>
      </c>
      <c r="AN223" s="42">
        <f>Table43[[#This Row],[Harga Beli Krt
(- PPN)]]*1.11</f>
        <v>0</v>
      </c>
      <c r="AO223" s="42"/>
      <c r="AP223" s="42">
        <f>Table43[[#This Row],[Harga Jual Pcs GT
(-PPN)]]*Table43[[#This Row],[ISI/CTN]]</f>
        <v>0</v>
      </c>
      <c r="AQ223" s="42">
        <f>Table43[[#This Row],[Harga Jual Pcs GT
(-PPN)]]*1.11</f>
        <v>0</v>
      </c>
      <c r="AR223" s="42">
        <f>Table43[[#This Row],[Harga Jual Krt GT
(- PPN)]]*1.11</f>
        <v>0</v>
      </c>
      <c r="AS223" s="42">
        <f>Table43[[#This Row],[Harga Jual Pcs GT
(-PPN)]]</f>
        <v>0</v>
      </c>
      <c r="AT223" s="42">
        <f>(Table43[[#This Row],[Harga Jual Pcs MT
(-PPN)]]*Table43[[#This Row],[ISI/CTN]])</f>
        <v>0</v>
      </c>
      <c r="AU223" s="42">
        <f>Table43[[#This Row],[Harga Jual Pcs MT
(-PPN)]]*1.11</f>
        <v>0</v>
      </c>
      <c r="AV223" s="42">
        <f>Table43[[#This Row],[Harga Jual Pcs MT
(+PPN)]]*Table43[[#This Row],[ISI/CTN]]</f>
        <v>0</v>
      </c>
      <c r="AW223" s="47"/>
      <c r="AX223" s="7"/>
      <c r="AY223" s="7" t="str">
        <f ca="1">IF(TODAY()-Table43[[#This Row],[Efektif
Pembuatan]]&gt;60,"Lama","Baru")</f>
        <v>Lama</v>
      </c>
      <c r="AZ223" s="7" t="str">
        <f ca="1">IF(TODAY()-Table43[[#This Row],[Efektif Naik Harga]]&lt;30,"Naik","Sama")</f>
        <v>Sama</v>
      </c>
      <c r="BA223" s="7" t="str">
        <f>IF(Table43[[#This Row],[Kode BARANG Win2]]&lt;&gt;"","IDR","")</f>
        <v>IDR</v>
      </c>
      <c r="BB223" s="7" t="str">
        <f>CONCATENATE(Table43[[#This Row],[kode  1 Digit
(Nomor)]],Table43[[#This Row],[kode  4 Digit                (Nomor)]])</f>
        <v>10110</v>
      </c>
      <c r="BC223" s="7" t="str">
        <f>Table43[[#This Row],[Nama            Gramasi atau Jumlah Pack per CTN]]</f>
        <v>110ML</v>
      </c>
      <c r="BD223" s="7"/>
      <c r="BE223" s="7"/>
      <c r="BF223" s="4" t="str">
        <f>IF(Table43[[#This Row],[SATUAN Fix Win]]&lt;&gt;"","KRT")</f>
        <v>KRT</v>
      </c>
      <c r="BG223" s="4" t="str">
        <f>IF(Table43[[#This Row],[SATUAN Fix Win]]&lt;&gt;"","GD01")</f>
        <v>GD01</v>
      </c>
      <c r="BH223" s="4">
        <f>IF(Table43[[#This Row],[SATUAN Fix Win]]&lt;&gt;"",11611)</f>
        <v>11611</v>
      </c>
      <c r="BI223" s="4">
        <f>IF(Table43[[#This Row],[SATUAN Fix Win]]&lt;&gt;"",11612)</f>
        <v>11612</v>
      </c>
      <c r="BJ223" s="48"/>
      <c r="BK223" s="4">
        <f>IF(Table43[[#This Row],[SATUAN Fix Win]]&lt;&gt;"",1)</f>
        <v>1</v>
      </c>
    </row>
    <row r="224" spans="1:63">
      <c r="A224" s="4" t="str">
        <f>CONCATENATE(Table43[[#This Row],[Kode BARANG Win2]],Table43[[#This Row],[No. Urut
Item Sama]])</f>
        <v>K11310020110102</v>
      </c>
      <c r="B224" s="7">
        <v>2</v>
      </c>
      <c r="D224" s="28" t="s">
        <v>969</v>
      </c>
      <c r="E224" s="28"/>
      <c r="F224" s="28" t="s">
        <v>3042</v>
      </c>
      <c r="G224" s="78">
        <v>36</v>
      </c>
      <c r="H224" s="43"/>
      <c r="I224" s="28" t="str">
        <f>Table43[[#This Row],[Nama Jenis Kemasan]]</f>
        <v>BTL</v>
      </c>
      <c r="J224" s="4" t="str">
        <f>TRIM(CONCATENATE(Table43[[#This Row],[Nama            KLP]]," ",Table43[[#This Row],[Nama            Sub KLP]]))</f>
        <v>ESKULIN JAPAN SPRAY</v>
      </c>
      <c r="K224" s="4" t="str">
        <f>CONCATENATE(Table43[[#This Row],[kode  2 Digit                (hrf+No)]],Table43[[#This Row],[kode  2 Digit                (Nomor)]],Table43[[#This Row],[kode  1 Digit                (Nomor)]])</f>
        <v>K1131</v>
      </c>
      <c r="L224" s="4" t="str">
        <f t="shared" si="12"/>
        <v>K1131002011010</v>
      </c>
      <c r="M224" s="11">
        <f t="shared" si="13"/>
        <v>14</v>
      </c>
      <c r="N224" s="14" t="str">
        <f>IF(AF224&lt;&gt;"",TRIM(UPPER(CONCATENATE(P224," ",R224," ",T224," ",V224," ",X224," ",Z224," ","X"," ",Table43[[#This Row],[ISI/CTN]]," ",AF224," ",AB224," ",AD224," ",AH224))),TRIM(UPPER(CONCATENATE(P224," ",R224," ",T224," ",V224," ",X224," ",Z224," ","X"," ",Table43[[#This Row],[ISI/CTN]]," ",AB224," ",AD224," ",AH224))))</f>
        <v>KNF ESKULIN JAPAN SPRAY SPRING MELODY 110ML X 36 BTL</v>
      </c>
      <c r="O224" s="11">
        <f t="shared" si="14"/>
        <v>52</v>
      </c>
      <c r="P224" s="4" t="s">
        <v>97</v>
      </c>
      <c r="Q224" s="7" t="s">
        <v>98</v>
      </c>
      <c r="R224" s="4" t="s">
        <v>3745</v>
      </c>
      <c r="S224" s="44" t="s">
        <v>3566</v>
      </c>
      <c r="T224" s="45" t="s">
        <v>2961</v>
      </c>
      <c r="U224" s="7" t="s">
        <v>2656</v>
      </c>
      <c r="V224" s="45" t="s">
        <v>2961</v>
      </c>
      <c r="W224" s="44" t="s">
        <v>2900</v>
      </c>
      <c r="X224" s="4" t="s">
        <v>3747</v>
      </c>
      <c r="Y224" s="46" t="s">
        <v>2472</v>
      </c>
      <c r="Z224" s="4" t="s">
        <v>3652</v>
      </c>
      <c r="AA224" s="46" t="s">
        <v>2492</v>
      </c>
      <c r="AB224" s="4" t="s">
        <v>357</v>
      </c>
      <c r="AC224" s="7" t="s">
        <v>2656</v>
      </c>
      <c r="AD224" s="4" t="s">
        <v>2961</v>
      </c>
      <c r="AE224" s="7" t="s">
        <v>2900</v>
      </c>
      <c r="AF224" s="7" t="s">
        <v>2961</v>
      </c>
      <c r="AG224" s="7" t="s">
        <v>2961</v>
      </c>
      <c r="AI224" s="7" t="s">
        <v>4100</v>
      </c>
      <c r="AJ224" s="7" t="s">
        <v>2656</v>
      </c>
      <c r="AK224" s="41">
        <f>Table43[[#This Row],[Harga Jual Pcs GT
(-PPN)]]-(Table43[[#This Row],[Harga Jual Pcs GT
(-PPN)]]*10%)</f>
        <v>0</v>
      </c>
      <c r="AL224" s="42">
        <f>Table43[[#This Row],[Harga Beli Pcs
(-PPN)]]*Table43[[#This Row],[ISI/CTN]]</f>
        <v>0</v>
      </c>
      <c r="AM224" s="42">
        <f>Table43[[#This Row],[Harga Beli Pcs
(-PPN)]]*1.11</f>
        <v>0</v>
      </c>
      <c r="AN224" s="42">
        <f>Table43[[#This Row],[Harga Beli Krt
(- PPN)]]*1.11</f>
        <v>0</v>
      </c>
      <c r="AO224" s="42"/>
      <c r="AP224" s="42">
        <f>Table43[[#This Row],[Harga Jual Pcs GT
(-PPN)]]*Table43[[#This Row],[ISI/CTN]]</f>
        <v>0</v>
      </c>
      <c r="AQ224" s="42">
        <f>Table43[[#This Row],[Harga Jual Pcs GT
(-PPN)]]*1.11</f>
        <v>0</v>
      </c>
      <c r="AR224" s="42">
        <f>Table43[[#This Row],[Harga Jual Krt GT
(- PPN)]]*1.11</f>
        <v>0</v>
      </c>
      <c r="AS224" s="42">
        <f>Table43[[#This Row],[Harga Jual Pcs GT
(-PPN)]]</f>
        <v>0</v>
      </c>
      <c r="AT224" s="42">
        <f>(Table43[[#This Row],[Harga Jual Pcs MT
(-PPN)]]*Table43[[#This Row],[ISI/CTN]])</f>
        <v>0</v>
      </c>
      <c r="AU224" s="42">
        <f>Table43[[#This Row],[Harga Jual Pcs MT
(-PPN)]]*1.11</f>
        <v>0</v>
      </c>
      <c r="AV224" s="42">
        <f>Table43[[#This Row],[Harga Jual Pcs MT
(+PPN)]]*Table43[[#This Row],[ISI/CTN]]</f>
        <v>0</v>
      </c>
      <c r="AW224" s="47"/>
      <c r="AX224" s="7"/>
      <c r="AY224" s="7" t="str">
        <f ca="1">IF(TODAY()-Table43[[#This Row],[Efektif
Pembuatan]]&gt;60,"Lama","Baru")</f>
        <v>Lama</v>
      </c>
      <c r="AZ224" s="7" t="str">
        <f ca="1">IF(TODAY()-Table43[[#This Row],[Efektif Naik Harga]]&lt;30,"Naik","Sama")</f>
        <v>Sama</v>
      </c>
      <c r="BA224" s="7" t="str">
        <f>IF(Table43[[#This Row],[Kode BARANG Win2]]&lt;&gt;"","IDR","")</f>
        <v>IDR</v>
      </c>
      <c r="BB224" s="7" t="str">
        <f>CONCATENATE(Table43[[#This Row],[kode  1 Digit
(Nomor)]],Table43[[#This Row],[kode  4 Digit                (Nomor)]])</f>
        <v>10110</v>
      </c>
      <c r="BC224" s="7" t="str">
        <f>Table43[[#This Row],[Nama            Gramasi atau Jumlah Pack per CTN]]</f>
        <v>110ML</v>
      </c>
      <c r="BD224" s="7"/>
      <c r="BE224" s="7"/>
      <c r="BF224" s="4" t="str">
        <f>IF(Table43[[#This Row],[SATUAN Fix Win]]&lt;&gt;"","KRT")</f>
        <v>KRT</v>
      </c>
      <c r="BG224" s="4" t="str">
        <f>IF(Table43[[#This Row],[SATUAN Fix Win]]&lt;&gt;"","GD01")</f>
        <v>GD01</v>
      </c>
      <c r="BH224" s="4">
        <f>IF(Table43[[#This Row],[SATUAN Fix Win]]&lt;&gt;"",11611)</f>
        <v>11611</v>
      </c>
      <c r="BI224" s="4">
        <f>IF(Table43[[#This Row],[SATUAN Fix Win]]&lt;&gt;"",11612)</f>
        <v>11612</v>
      </c>
      <c r="BJ224" s="48"/>
      <c r="BK224" s="4">
        <f>IF(Table43[[#This Row],[SATUAN Fix Win]]&lt;&gt;"",1)</f>
        <v>1</v>
      </c>
    </row>
    <row r="225" spans="1:63">
      <c r="A225" s="4" t="str">
        <f>CONCATENATE(Table43[[#This Row],[Kode BARANG Win2]],Table43[[#This Row],[No. Urut
Item Sama]])</f>
        <v>K11310030110103</v>
      </c>
      <c r="B225" s="7">
        <v>3</v>
      </c>
      <c r="D225" s="28" t="s">
        <v>970</v>
      </c>
      <c r="E225" s="28"/>
      <c r="F225" s="28" t="s">
        <v>3043</v>
      </c>
      <c r="G225" s="78">
        <v>36</v>
      </c>
      <c r="H225" s="43"/>
      <c r="I225" s="28" t="str">
        <f>Table43[[#This Row],[Nama Jenis Kemasan]]</f>
        <v>BTL</v>
      </c>
      <c r="J225" s="4" t="str">
        <f>TRIM(CONCATENATE(Table43[[#This Row],[Nama            KLP]]," ",Table43[[#This Row],[Nama            Sub KLP]]))</f>
        <v>ESKULIN JAPAN SPRAY</v>
      </c>
      <c r="K225" s="4" t="str">
        <f>CONCATENATE(Table43[[#This Row],[kode  2 Digit                (hrf+No)]],Table43[[#This Row],[kode  2 Digit                (Nomor)]],Table43[[#This Row],[kode  1 Digit                (Nomor)]])</f>
        <v>K1131</v>
      </c>
      <c r="L225" s="4" t="str">
        <f t="shared" si="12"/>
        <v>K1131003011010</v>
      </c>
      <c r="M225" s="11">
        <f t="shared" si="13"/>
        <v>14</v>
      </c>
      <c r="N225" s="14" t="str">
        <f>IF(AF225&lt;&gt;"",TRIM(UPPER(CONCATENATE(P225," ",R225," ",T225," ",V225," ",X225," ",Z225," ","X"," ",Table43[[#This Row],[ISI/CTN]]," ",AF225," ",AB225," ",AD225," ",AH225))),TRIM(UPPER(CONCATENATE(P225," ",R225," ",T225," ",V225," ",X225," ",Z225," ","X"," ",Table43[[#This Row],[ISI/CTN]]," ",AB225," ",AD225," ",AH225))))</f>
        <v>KNF ESKULIN JAPAN SPRAY CHERFUL SWING 110ML X 36 BTL</v>
      </c>
      <c r="O225" s="11">
        <f t="shared" si="14"/>
        <v>52</v>
      </c>
      <c r="P225" s="4" t="s">
        <v>97</v>
      </c>
      <c r="Q225" s="7" t="s">
        <v>98</v>
      </c>
      <c r="R225" s="4" t="s">
        <v>3745</v>
      </c>
      <c r="S225" s="44" t="s">
        <v>3566</v>
      </c>
      <c r="T225" s="45" t="s">
        <v>2961</v>
      </c>
      <c r="U225" s="7" t="s">
        <v>2656</v>
      </c>
      <c r="V225" s="45" t="s">
        <v>2961</v>
      </c>
      <c r="W225" s="44" t="s">
        <v>2900</v>
      </c>
      <c r="X225" s="4" t="s">
        <v>3748</v>
      </c>
      <c r="Y225" s="46" t="s">
        <v>2473</v>
      </c>
      <c r="Z225" s="4" t="s">
        <v>3652</v>
      </c>
      <c r="AA225" s="46" t="s">
        <v>2492</v>
      </c>
      <c r="AB225" s="4" t="s">
        <v>357</v>
      </c>
      <c r="AC225" s="7" t="s">
        <v>2656</v>
      </c>
      <c r="AD225" s="4" t="s">
        <v>2961</v>
      </c>
      <c r="AE225" s="7" t="s">
        <v>2900</v>
      </c>
      <c r="AF225" s="7" t="s">
        <v>2961</v>
      </c>
      <c r="AG225" s="7" t="s">
        <v>2961</v>
      </c>
      <c r="AI225" s="7" t="s">
        <v>4100</v>
      </c>
      <c r="AJ225" s="7" t="s">
        <v>2656</v>
      </c>
      <c r="AK225" s="41">
        <f>Table43[[#This Row],[Harga Jual Pcs GT
(-PPN)]]-(Table43[[#This Row],[Harga Jual Pcs GT
(-PPN)]]*10%)</f>
        <v>0</v>
      </c>
      <c r="AL225" s="42">
        <f>Table43[[#This Row],[Harga Beli Pcs
(-PPN)]]*Table43[[#This Row],[ISI/CTN]]</f>
        <v>0</v>
      </c>
      <c r="AM225" s="42">
        <f>Table43[[#This Row],[Harga Beli Pcs
(-PPN)]]*1.11</f>
        <v>0</v>
      </c>
      <c r="AN225" s="42">
        <f>Table43[[#This Row],[Harga Beli Krt
(- PPN)]]*1.11</f>
        <v>0</v>
      </c>
      <c r="AO225" s="42"/>
      <c r="AP225" s="42">
        <f>Table43[[#This Row],[Harga Jual Pcs GT
(-PPN)]]*Table43[[#This Row],[ISI/CTN]]</f>
        <v>0</v>
      </c>
      <c r="AQ225" s="42">
        <f>Table43[[#This Row],[Harga Jual Pcs GT
(-PPN)]]*1.11</f>
        <v>0</v>
      </c>
      <c r="AR225" s="42">
        <f>Table43[[#This Row],[Harga Jual Krt GT
(- PPN)]]*1.11</f>
        <v>0</v>
      </c>
      <c r="AS225" s="42">
        <f>Table43[[#This Row],[Harga Jual Pcs GT
(-PPN)]]</f>
        <v>0</v>
      </c>
      <c r="AT225" s="42">
        <f>(Table43[[#This Row],[Harga Jual Pcs MT
(-PPN)]]*Table43[[#This Row],[ISI/CTN]])</f>
        <v>0</v>
      </c>
      <c r="AU225" s="42">
        <f>Table43[[#This Row],[Harga Jual Pcs MT
(-PPN)]]*1.11</f>
        <v>0</v>
      </c>
      <c r="AV225" s="42">
        <f>Table43[[#This Row],[Harga Jual Pcs MT
(+PPN)]]*Table43[[#This Row],[ISI/CTN]]</f>
        <v>0</v>
      </c>
      <c r="AW225" s="47"/>
      <c r="AX225" s="7"/>
      <c r="AY225" s="7" t="str">
        <f ca="1">IF(TODAY()-Table43[[#This Row],[Efektif
Pembuatan]]&gt;60,"Lama","Baru")</f>
        <v>Lama</v>
      </c>
      <c r="AZ225" s="7" t="str">
        <f ca="1">IF(TODAY()-Table43[[#This Row],[Efektif Naik Harga]]&lt;30,"Naik","Sama")</f>
        <v>Sama</v>
      </c>
      <c r="BA225" s="7" t="str">
        <f>IF(Table43[[#This Row],[Kode BARANG Win2]]&lt;&gt;"","IDR","")</f>
        <v>IDR</v>
      </c>
      <c r="BB225" s="7" t="str">
        <f>CONCATENATE(Table43[[#This Row],[kode  1 Digit
(Nomor)]],Table43[[#This Row],[kode  4 Digit                (Nomor)]])</f>
        <v>10110</v>
      </c>
      <c r="BC225" s="7" t="str">
        <f>Table43[[#This Row],[Nama            Gramasi atau Jumlah Pack per CTN]]</f>
        <v>110ML</v>
      </c>
      <c r="BD225" s="7"/>
      <c r="BE225" s="7"/>
      <c r="BF225" s="4" t="str">
        <f>IF(Table43[[#This Row],[SATUAN Fix Win]]&lt;&gt;"","KRT")</f>
        <v>KRT</v>
      </c>
      <c r="BG225" s="4" t="str">
        <f>IF(Table43[[#This Row],[SATUAN Fix Win]]&lt;&gt;"","GD01")</f>
        <v>GD01</v>
      </c>
      <c r="BH225" s="4">
        <f>IF(Table43[[#This Row],[SATUAN Fix Win]]&lt;&gt;"",11611)</f>
        <v>11611</v>
      </c>
      <c r="BI225" s="4">
        <f>IF(Table43[[#This Row],[SATUAN Fix Win]]&lt;&gt;"",11612)</f>
        <v>11612</v>
      </c>
      <c r="BJ225" s="48"/>
      <c r="BK225" s="4">
        <f>IF(Table43[[#This Row],[SATUAN Fix Win]]&lt;&gt;"",1)</f>
        <v>1</v>
      </c>
    </row>
    <row r="226" spans="1:63">
      <c r="A226" s="4" t="str">
        <f>CONCATENATE(Table43[[#This Row],[Kode BARANG Win2]],Table43[[#This Row],[No. Urut
Item Sama]])</f>
        <v>K11310040110104</v>
      </c>
      <c r="B226" s="7">
        <v>4</v>
      </c>
      <c r="D226" s="28" t="s">
        <v>971</v>
      </c>
      <c r="E226" s="28"/>
      <c r="F226" s="28" t="s">
        <v>3044</v>
      </c>
      <c r="G226" s="78">
        <v>36</v>
      </c>
      <c r="H226" s="43"/>
      <c r="I226" s="28" t="str">
        <f>Table43[[#This Row],[Nama Jenis Kemasan]]</f>
        <v>BTL</v>
      </c>
      <c r="J226" s="4" t="str">
        <f>TRIM(CONCATENATE(Table43[[#This Row],[Nama            KLP]]," ",Table43[[#This Row],[Nama            Sub KLP]]))</f>
        <v>ESKULIN JAPAN SPRAY</v>
      </c>
      <c r="K226" s="4" t="str">
        <f>CONCATENATE(Table43[[#This Row],[kode  2 Digit                (hrf+No)]],Table43[[#This Row],[kode  2 Digit                (Nomor)]],Table43[[#This Row],[kode  1 Digit                (Nomor)]])</f>
        <v>K1131</v>
      </c>
      <c r="L226" s="4" t="str">
        <f t="shared" si="12"/>
        <v>K1131004011010</v>
      </c>
      <c r="M226" s="11">
        <f t="shared" si="13"/>
        <v>14</v>
      </c>
      <c r="N226" s="14" t="str">
        <f>IF(AF226&lt;&gt;"",TRIM(UPPER(CONCATENATE(P226," ",R226," ",T226," ",V226," ",X226," ",Z226," ","X"," ",Table43[[#This Row],[ISI/CTN]]," ",AF226," ",AB226," ",AD226," ",AH226))),TRIM(UPPER(CONCATENATE(P226," ",R226," ",T226," ",V226," ",X226," ",Z226," ","X"," ",Table43[[#This Row],[ISI/CTN]]," ",AB226," ",AD226," ",AH226))))</f>
        <v>KNF ESKULIN JAPAN SPRAY MNIGHT DREAM 110ML X 36 BTL</v>
      </c>
      <c r="O226" s="11">
        <f t="shared" si="14"/>
        <v>51</v>
      </c>
      <c r="P226" s="4" t="s">
        <v>97</v>
      </c>
      <c r="Q226" s="7" t="s">
        <v>98</v>
      </c>
      <c r="R226" s="4" t="s">
        <v>3745</v>
      </c>
      <c r="S226" s="44" t="s">
        <v>3566</v>
      </c>
      <c r="T226" s="45" t="s">
        <v>2961</v>
      </c>
      <c r="U226" s="7" t="s">
        <v>2656</v>
      </c>
      <c r="V226" s="45" t="s">
        <v>2961</v>
      </c>
      <c r="W226" s="44" t="s">
        <v>2900</v>
      </c>
      <c r="X226" s="4" t="s">
        <v>3749</v>
      </c>
      <c r="Y226" s="46" t="s">
        <v>2474</v>
      </c>
      <c r="Z226" s="4" t="s">
        <v>3652</v>
      </c>
      <c r="AA226" s="46" t="s">
        <v>2492</v>
      </c>
      <c r="AB226" s="4" t="s">
        <v>357</v>
      </c>
      <c r="AC226" s="7" t="s">
        <v>2656</v>
      </c>
      <c r="AD226" s="4" t="s">
        <v>2961</v>
      </c>
      <c r="AE226" s="7" t="s">
        <v>2900</v>
      </c>
      <c r="AF226" s="7" t="s">
        <v>2961</v>
      </c>
      <c r="AG226" s="7" t="s">
        <v>2961</v>
      </c>
      <c r="AI226" s="7" t="s">
        <v>4100</v>
      </c>
      <c r="AJ226" s="7" t="s">
        <v>2656</v>
      </c>
      <c r="AK226" s="41">
        <f>Table43[[#This Row],[Harga Jual Pcs GT
(-PPN)]]-(Table43[[#This Row],[Harga Jual Pcs GT
(-PPN)]]*10%)</f>
        <v>0</v>
      </c>
      <c r="AL226" s="42">
        <f>Table43[[#This Row],[Harga Beli Pcs
(-PPN)]]*Table43[[#This Row],[ISI/CTN]]</f>
        <v>0</v>
      </c>
      <c r="AM226" s="42">
        <f>Table43[[#This Row],[Harga Beli Pcs
(-PPN)]]*1.11</f>
        <v>0</v>
      </c>
      <c r="AN226" s="42">
        <f>Table43[[#This Row],[Harga Beli Krt
(- PPN)]]*1.11</f>
        <v>0</v>
      </c>
      <c r="AO226" s="42"/>
      <c r="AP226" s="42">
        <f>Table43[[#This Row],[Harga Jual Pcs GT
(-PPN)]]*Table43[[#This Row],[ISI/CTN]]</f>
        <v>0</v>
      </c>
      <c r="AQ226" s="42">
        <f>Table43[[#This Row],[Harga Jual Pcs GT
(-PPN)]]*1.11</f>
        <v>0</v>
      </c>
      <c r="AR226" s="42">
        <f>Table43[[#This Row],[Harga Jual Krt GT
(- PPN)]]*1.11</f>
        <v>0</v>
      </c>
      <c r="AS226" s="42">
        <f>Table43[[#This Row],[Harga Jual Pcs GT
(-PPN)]]</f>
        <v>0</v>
      </c>
      <c r="AT226" s="42">
        <f>(Table43[[#This Row],[Harga Jual Pcs MT
(-PPN)]]*Table43[[#This Row],[ISI/CTN]])</f>
        <v>0</v>
      </c>
      <c r="AU226" s="42">
        <f>Table43[[#This Row],[Harga Jual Pcs MT
(-PPN)]]*1.11</f>
        <v>0</v>
      </c>
      <c r="AV226" s="42">
        <f>Table43[[#This Row],[Harga Jual Pcs MT
(+PPN)]]*Table43[[#This Row],[ISI/CTN]]</f>
        <v>0</v>
      </c>
      <c r="AW226" s="47"/>
      <c r="AX226" s="7"/>
      <c r="AY226" s="7" t="str">
        <f ca="1">IF(TODAY()-Table43[[#This Row],[Efektif
Pembuatan]]&gt;60,"Lama","Baru")</f>
        <v>Lama</v>
      </c>
      <c r="AZ226" s="7" t="str">
        <f ca="1">IF(TODAY()-Table43[[#This Row],[Efektif Naik Harga]]&lt;30,"Naik","Sama")</f>
        <v>Sama</v>
      </c>
      <c r="BA226" s="7" t="str">
        <f>IF(Table43[[#This Row],[Kode BARANG Win2]]&lt;&gt;"","IDR","")</f>
        <v>IDR</v>
      </c>
      <c r="BB226" s="7" t="str">
        <f>CONCATENATE(Table43[[#This Row],[kode  1 Digit
(Nomor)]],Table43[[#This Row],[kode  4 Digit                (Nomor)]])</f>
        <v>10110</v>
      </c>
      <c r="BC226" s="7" t="str">
        <f>Table43[[#This Row],[Nama            Gramasi atau Jumlah Pack per CTN]]</f>
        <v>110ML</v>
      </c>
      <c r="BD226" s="7"/>
      <c r="BE226" s="7"/>
      <c r="BF226" s="4" t="str">
        <f>IF(Table43[[#This Row],[SATUAN Fix Win]]&lt;&gt;"","KRT")</f>
        <v>KRT</v>
      </c>
      <c r="BG226" s="4" t="str">
        <f>IF(Table43[[#This Row],[SATUAN Fix Win]]&lt;&gt;"","GD01")</f>
        <v>GD01</v>
      </c>
      <c r="BH226" s="4">
        <f>IF(Table43[[#This Row],[SATUAN Fix Win]]&lt;&gt;"",11611)</f>
        <v>11611</v>
      </c>
      <c r="BI226" s="4">
        <f>IF(Table43[[#This Row],[SATUAN Fix Win]]&lt;&gt;"",11612)</f>
        <v>11612</v>
      </c>
      <c r="BJ226" s="48"/>
      <c r="BK226" s="4">
        <f>IF(Table43[[#This Row],[SATUAN Fix Win]]&lt;&gt;"",1)</f>
        <v>1</v>
      </c>
    </row>
    <row r="227" spans="1:63">
      <c r="A227" s="4" t="str">
        <f>CONCATENATE(Table43[[#This Row],[Kode BARANG Win2]],Table43[[#This Row],[No. Urut
Item Sama]])</f>
        <v>K11410010110101</v>
      </c>
      <c r="B227" s="7">
        <v>1</v>
      </c>
      <c r="D227" s="28" t="s">
        <v>972</v>
      </c>
      <c r="E227" s="28"/>
      <c r="F227" s="28" t="s">
        <v>3045</v>
      </c>
      <c r="G227" s="78">
        <v>36</v>
      </c>
      <c r="H227" s="43"/>
      <c r="I227" s="28" t="str">
        <f>Table43[[#This Row],[Nama Jenis Kemasan]]</f>
        <v>BTL</v>
      </c>
      <c r="J227" s="4" t="str">
        <f>TRIM(CONCATENATE(Table43[[#This Row],[Nama            KLP]]," ",Table43[[#This Row],[Nama            Sub KLP]]))</f>
        <v>ESKULIN KOREAN SPRAY</v>
      </c>
      <c r="K227" s="4" t="str">
        <f>CONCATENATE(Table43[[#This Row],[kode  2 Digit                (hrf+No)]],Table43[[#This Row],[kode  2 Digit                (Nomor)]],Table43[[#This Row],[kode  1 Digit                (Nomor)]])</f>
        <v>K1141</v>
      </c>
      <c r="L227" s="4" t="str">
        <f t="shared" si="12"/>
        <v>K1141001011010</v>
      </c>
      <c r="M227" s="11">
        <f t="shared" si="13"/>
        <v>14</v>
      </c>
      <c r="N227" s="14" t="str">
        <f>IF(AF227&lt;&gt;"",TRIM(UPPER(CONCATENATE(P227," ",R227," ",T227," ",V227," ",X227," ",Z227," ","X"," ",Table43[[#This Row],[ISI/CTN]]," ",AF227," ",AB227," ",AD227," ",AH227))),TRIM(UPPER(CONCATENATE(P227," ",R227," ",T227," ",V227," ",X227," ",Z227," ","X"," ",Table43[[#This Row],[ISI/CTN]]," ",AB227," ",AD227," ",AH227))))</f>
        <v>KNF ESKULIN KOREAN SPRAY SPRING SEOUL 110ML X 36 BTL</v>
      </c>
      <c r="O227" s="11">
        <f t="shared" si="14"/>
        <v>52</v>
      </c>
      <c r="P227" s="4" t="s">
        <v>97</v>
      </c>
      <c r="Q227" s="7" t="s">
        <v>98</v>
      </c>
      <c r="R227" s="4" t="s">
        <v>3750</v>
      </c>
      <c r="S227" s="44" t="s">
        <v>3567</v>
      </c>
      <c r="T227" s="45" t="s">
        <v>2961</v>
      </c>
      <c r="U227" s="7" t="s">
        <v>2656</v>
      </c>
      <c r="V227" s="45" t="s">
        <v>2961</v>
      </c>
      <c r="W227" s="44" t="s">
        <v>2900</v>
      </c>
      <c r="X227" s="4" t="s">
        <v>3751</v>
      </c>
      <c r="Y227" s="46" t="s">
        <v>0</v>
      </c>
      <c r="Z227" s="4" t="s">
        <v>3652</v>
      </c>
      <c r="AA227" s="46" t="s">
        <v>2492</v>
      </c>
      <c r="AB227" s="4" t="s">
        <v>357</v>
      </c>
      <c r="AC227" s="7" t="s">
        <v>2656</v>
      </c>
      <c r="AD227" s="4" t="s">
        <v>2961</v>
      </c>
      <c r="AE227" s="7" t="s">
        <v>2900</v>
      </c>
      <c r="AF227" s="7" t="s">
        <v>2961</v>
      </c>
      <c r="AG227" s="7" t="s">
        <v>2961</v>
      </c>
      <c r="AI227" s="7" t="s">
        <v>4100</v>
      </c>
      <c r="AJ227" s="7" t="s">
        <v>2656</v>
      </c>
      <c r="AK227" s="41">
        <f>Table43[[#This Row],[Harga Jual Pcs GT
(-PPN)]]-(Table43[[#This Row],[Harga Jual Pcs GT
(-PPN)]]*10%)</f>
        <v>0</v>
      </c>
      <c r="AL227" s="42">
        <f>Table43[[#This Row],[Harga Beli Pcs
(-PPN)]]*Table43[[#This Row],[ISI/CTN]]</f>
        <v>0</v>
      </c>
      <c r="AM227" s="42">
        <f>Table43[[#This Row],[Harga Beli Pcs
(-PPN)]]*1.11</f>
        <v>0</v>
      </c>
      <c r="AN227" s="42">
        <f>Table43[[#This Row],[Harga Beli Krt
(- PPN)]]*1.11</f>
        <v>0</v>
      </c>
      <c r="AO227" s="42"/>
      <c r="AP227" s="42">
        <f>Table43[[#This Row],[Harga Jual Pcs GT
(-PPN)]]*Table43[[#This Row],[ISI/CTN]]</f>
        <v>0</v>
      </c>
      <c r="AQ227" s="42">
        <f>Table43[[#This Row],[Harga Jual Pcs GT
(-PPN)]]*1.11</f>
        <v>0</v>
      </c>
      <c r="AR227" s="42">
        <f>Table43[[#This Row],[Harga Jual Krt GT
(- PPN)]]*1.11</f>
        <v>0</v>
      </c>
      <c r="AS227" s="42">
        <f>Table43[[#This Row],[Harga Jual Pcs GT
(-PPN)]]</f>
        <v>0</v>
      </c>
      <c r="AT227" s="42">
        <f>(Table43[[#This Row],[Harga Jual Pcs MT
(-PPN)]]*Table43[[#This Row],[ISI/CTN]])</f>
        <v>0</v>
      </c>
      <c r="AU227" s="42">
        <f>Table43[[#This Row],[Harga Jual Pcs MT
(-PPN)]]*1.11</f>
        <v>0</v>
      </c>
      <c r="AV227" s="42">
        <f>Table43[[#This Row],[Harga Jual Pcs MT
(+PPN)]]*Table43[[#This Row],[ISI/CTN]]</f>
        <v>0</v>
      </c>
      <c r="AW227" s="47"/>
      <c r="AX227" s="7"/>
      <c r="AY227" s="7" t="str">
        <f ca="1">IF(TODAY()-Table43[[#This Row],[Efektif
Pembuatan]]&gt;60,"Lama","Baru")</f>
        <v>Lama</v>
      </c>
      <c r="AZ227" s="7" t="str">
        <f ca="1">IF(TODAY()-Table43[[#This Row],[Efektif Naik Harga]]&lt;30,"Naik","Sama")</f>
        <v>Sama</v>
      </c>
      <c r="BA227" s="7" t="str">
        <f>IF(Table43[[#This Row],[Kode BARANG Win2]]&lt;&gt;"","IDR","")</f>
        <v>IDR</v>
      </c>
      <c r="BB227" s="7" t="str">
        <f>CONCATENATE(Table43[[#This Row],[kode  1 Digit
(Nomor)]],Table43[[#This Row],[kode  4 Digit                (Nomor)]])</f>
        <v>10110</v>
      </c>
      <c r="BC227" s="7" t="str">
        <f>Table43[[#This Row],[Nama            Gramasi atau Jumlah Pack per CTN]]</f>
        <v>110ML</v>
      </c>
      <c r="BD227" s="7"/>
      <c r="BE227" s="7"/>
      <c r="BF227" s="4" t="str">
        <f>IF(Table43[[#This Row],[SATUAN Fix Win]]&lt;&gt;"","KRT")</f>
        <v>KRT</v>
      </c>
      <c r="BG227" s="4" t="str">
        <f>IF(Table43[[#This Row],[SATUAN Fix Win]]&lt;&gt;"","GD01")</f>
        <v>GD01</v>
      </c>
      <c r="BH227" s="4">
        <f>IF(Table43[[#This Row],[SATUAN Fix Win]]&lt;&gt;"",11611)</f>
        <v>11611</v>
      </c>
      <c r="BI227" s="4">
        <f>IF(Table43[[#This Row],[SATUAN Fix Win]]&lt;&gt;"",11612)</f>
        <v>11612</v>
      </c>
      <c r="BJ227" s="48"/>
      <c r="BK227" s="4">
        <f>IF(Table43[[#This Row],[SATUAN Fix Win]]&lt;&gt;"",1)</f>
        <v>1</v>
      </c>
    </row>
    <row r="228" spans="1:63">
      <c r="A228" s="4" t="str">
        <f>CONCATENATE(Table43[[#This Row],[Kode BARANG Win2]],Table43[[#This Row],[No. Urut
Item Sama]])</f>
        <v>K11410020110102</v>
      </c>
      <c r="B228" s="7">
        <v>2</v>
      </c>
      <c r="D228" s="28" t="s">
        <v>973</v>
      </c>
      <c r="E228" s="28"/>
      <c r="F228" s="28" t="s">
        <v>3046</v>
      </c>
      <c r="G228" s="78">
        <v>36</v>
      </c>
      <c r="H228" s="43"/>
      <c r="I228" s="28" t="str">
        <f>Table43[[#This Row],[Nama Jenis Kemasan]]</f>
        <v>BTL</v>
      </c>
      <c r="J228" s="4" t="str">
        <f>TRIM(CONCATENATE(Table43[[#This Row],[Nama            KLP]]," ",Table43[[#This Row],[Nama            Sub KLP]]))</f>
        <v>ESKULIN KOREAN SPRAY</v>
      </c>
      <c r="K228" s="4" t="str">
        <f>CONCATENATE(Table43[[#This Row],[kode  2 Digit                (hrf+No)]],Table43[[#This Row],[kode  2 Digit                (Nomor)]],Table43[[#This Row],[kode  1 Digit                (Nomor)]])</f>
        <v>K1141</v>
      </c>
      <c r="L228" s="4" t="str">
        <f t="shared" si="12"/>
        <v>K1141002011010</v>
      </c>
      <c r="M228" s="11">
        <f t="shared" si="13"/>
        <v>14</v>
      </c>
      <c r="N228" s="14" t="str">
        <f>IF(AF228&lt;&gt;"",TRIM(UPPER(CONCATENATE(P228," ",R228," ",T228," ",V228," ",X228," ",Z228," ","X"," ",Table43[[#This Row],[ISI/CTN]]," ",AF228," ",AB228," ",AD228," ",AH228))),TRIM(UPPER(CONCATENATE(P228," ",R228," ",T228," ",V228," ",X228," ",Z228," ","X"," ",Table43[[#This Row],[ISI/CTN]]," ",AB228," ",AD228," ",AH228))))</f>
        <v>KNF ESKULIN KOREAN SPRAY AUTUMN BUSAN 110ML X 36 BTL</v>
      </c>
      <c r="O228" s="11">
        <f t="shared" si="14"/>
        <v>52</v>
      </c>
      <c r="P228" s="4" t="s">
        <v>97</v>
      </c>
      <c r="Q228" s="7" t="s">
        <v>98</v>
      </c>
      <c r="R228" s="4" t="s">
        <v>3750</v>
      </c>
      <c r="S228" s="44" t="s">
        <v>3567</v>
      </c>
      <c r="T228" s="45" t="s">
        <v>2961</v>
      </c>
      <c r="U228" s="7" t="s">
        <v>2656</v>
      </c>
      <c r="V228" s="45" t="s">
        <v>2961</v>
      </c>
      <c r="W228" s="44" t="s">
        <v>2900</v>
      </c>
      <c r="X228" s="4" t="s">
        <v>3752</v>
      </c>
      <c r="Y228" s="46" t="s">
        <v>2472</v>
      </c>
      <c r="Z228" s="4" t="s">
        <v>3652</v>
      </c>
      <c r="AA228" s="46" t="s">
        <v>2492</v>
      </c>
      <c r="AB228" s="4" t="s">
        <v>357</v>
      </c>
      <c r="AC228" s="7" t="s">
        <v>2656</v>
      </c>
      <c r="AD228" s="4" t="s">
        <v>2961</v>
      </c>
      <c r="AE228" s="7" t="s">
        <v>2900</v>
      </c>
      <c r="AF228" s="7" t="s">
        <v>2961</v>
      </c>
      <c r="AG228" s="7" t="s">
        <v>2961</v>
      </c>
      <c r="AI228" s="7" t="s">
        <v>4100</v>
      </c>
      <c r="AJ228" s="7" t="s">
        <v>2656</v>
      </c>
      <c r="AK228" s="41">
        <f>Table43[[#This Row],[Harga Jual Pcs GT
(-PPN)]]-(Table43[[#This Row],[Harga Jual Pcs GT
(-PPN)]]*10%)</f>
        <v>0</v>
      </c>
      <c r="AL228" s="42">
        <f>Table43[[#This Row],[Harga Beli Pcs
(-PPN)]]*Table43[[#This Row],[ISI/CTN]]</f>
        <v>0</v>
      </c>
      <c r="AM228" s="42">
        <f>Table43[[#This Row],[Harga Beli Pcs
(-PPN)]]*1.11</f>
        <v>0</v>
      </c>
      <c r="AN228" s="42">
        <f>Table43[[#This Row],[Harga Beli Krt
(- PPN)]]*1.11</f>
        <v>0</v>
      </c>
      <c r="AO228" s="42"/>
      <c r="AP228" s="42">
        <f>Table43[[#This Row],[Harga Jual Pcs GT
(-PPN)]]*Table43[[#This Row],[ISI/CTN]]</f>
        <v>0</v>
      </c>
      <c r="AQ228" s="42">
        <f>Table43[[#This Row],[Harga Jual Pcs GT
(-PPN)]]*1.11</f>
        <v>0</v>
      </c>
      <c r="AR228" s="42">
        <f>Table43[[#This Row],[Harga Jual Krt GT
(- PPN)]]*1.11</f>
        <v>0</v>
      </c>
      <c r="AS228" s="42">
        <f>Table43[[#This Row],[Harga Jual Pcs GT
(-PPN)]]</f>
        <v>0</v>
      </c>
      <c r="AT228" s="42">
        <f>(Table43[[#This Row],[Harga Jual Pcs MT
(-PPN)]]*Table43[[#This Row],[ISI/CTN]])</f>
        <v>0</v>
      </c>
      <c r="AU228" s="42">
        <f>Table43[[#This Row],[Harga Jual Pcs MT
(-PPN)]]*1.11</f>
        <v>0</v>
      </c>
      <c r="AV228" s="42">
        <f>Table43[[#This Row],[Harga Jual Pcs MT
(+PPN)]]*Table43[[#This Row],[ISI/CTN]]</f>
        <v>0</v>
      </c>
      <c r="AW228" s="47"/>
      <c r="AX228" s="7"/>
      <c r="AY228" s="7" t="str">
        <f ca="1">IF(TODAY()-Table43[[#This Row],[Efektif
Pembuatan]]&gt;60,"Lama","Baru")</f>
        <v>Lama</v>
      </c>
      <c r="AZ228" s="7" t="str">
        <f ca="1">IF(TODAY()-Table43[[#This Row],[Efektif Naik Harga]]&lt;30,"Naik","Sama")</f>
        <v>Sama</v>
      </c>
      <c r="BA228" s="7" t="str">
        <f>IF(Table43[[#This Row],[Kode BARANG Win2]]&lt;&gt;"","IDR","")</f>
        <v>IDR</v>
      </c>
      <c r="BB228" s="7" t="str">
        <f>CONCATENATE(Table43[[#This Row],[kode  1 Digit
(Nomor)]],Table43[[#This Row],[kode  4 Digit                (Nomor)]])</f>
        <v>10110</v>
      </c>
      <c r="BC228" s="7" t="str">
        <f>Table43[[#This Row],[Nama            Gramasi atau Jumlah Pack per CTN]]</f>
        <v>110ML</v>
      </c>
      <c r="BD228" s="7"/>
      <c r="BE228" s="7"/>
      <c r="BF228" s="4" t="str">
        <f>IF(Table43[[#This Row],[SATUAN Fix Win]]&lt;&gt;"","KRT")</f>
        <v>KRT</v>
      </c>
      <c r="BG228" s="4" t="str">
        <f>IF(Table43[[#This Row],[SATUAN Fix Win]]&lt;&gt;"","GD01")</f>
        <v>GD01</v>
      </c>
      <c r="BH228" s="4">
        <f>IF(Table43[[#This Row],[SATUAN Fix Win]]&lt;&gt;"",11611)</f>
        <v>11611</v>
      </c>
      <c r="BI228" s="4">
        <f>IF(Table43[[#This Row],[SATUAN Fix Win]]&lt;&gt;"",11612)</f>
        <v>11612</v>
      </c>
      <c r="BJ228" s="48"/>
      <c r="BK228" s="4">
        <f>IF(Table43[[#This Row],[SATUAN Fix Win]]&lt;&gt;"",1)</f>
        <v>1</v>
      </c>
    </row>
    <row r="229" spans="1:63">
      <c r="A229" s="4" t="str">
        <f>CONCATENATE(Table43[[#This Row],[Kode BARANG Win2]],Table43[[#This Row],[No. Urut
Item Sama]])</f>
        <v>K11410030110103</v>
      </c>
      <c r="B229" s="7">
        <v>3</v>
      </c>
      <c r="D229" s="28" t="s">
        <v>974</v>
      </c>
      <c r="E229" s="28"/>
      <c r="F229" s="28" t="s">
        <v>3047</v>
      </c>
      <c r="G229" s="78">
        <v>36</v>
      </c>
      <c r="H229" s="43"/>
      <c r="I229" s="28" t="str">
        <f>Table43[[#This Row],[Nama Jenis Kemasan]]</f>
        <v>BTL</v>
      </c>
      <c r="J229" s="4" t="str">
        <f>TRIM(CONCATENATE(Table43[[#This Row],[Nama            KLP]]," ",Table43[[#This Row],[Nama            Sub KLP]]))</f>
        <v>ESKULIN KOREAN SPRAY</v>
      </c>
      <c r="K229" s="4" t="str">
        <f>CONCATENATE(Table43[[#This Row],[kode  2 Digit                (hrf+No)]],Table43[[#This Row],[kode  2 Digit                (Nomor)]],Table43[[#This Row],[kode  1 Digit                (Nomor)]])</f>
        <v>K1141</v>
      </c>
      <c r="L229" s="4" t="str">
        <f t="shared" si="12"/>
        <v>K1141003011010</v>
      </c>
      <c r="M229" s="11">
        <f t="shared" si="13"/>
        <v>14</v>
      </c>
      <c r="N229" s="14" t="str">
        <f>IF(AF229&lt;&gt;"",TRIM(UPPER(CONCATENATE(P229," ",R229," ",T229," ",V229," ",X229," ",Z229," ","X"," ",Table43[[#This Row],[ISI/CTN]]," ",AF229," ",AB229," ",AD229," ",AH229))),TRIM(UPPER(CONCATENATE(P229," ",R229," ",T229," ",V229," ",X229," ",Z229," ","X"," ",Table43[[#This Row],[ISI/CTN]]," ",AB229," ",AD229," ",AH229))))</f>
        <v>KNF ESKULIN KOREAN SPRAY WINTER JEJU 110ML X 36 BTL</v>
      </c>
      <c r="O229" s="11">
        <f t="shared" si="14"/>
        <v>51</v>
      </c>
      <c r="P229" s="4" t="s">
        <v>97</v>
      </c>
      <c r="Q229" s="7" t="s">
        <v>98</v>
      </c>
      <c r="R229" s="4" t="s">
        <v>3750</v>
      </c>
      <c r="S229" s="44" t="s">
        <v>3567</v>
      </c>
      <c r="T229" s="45" t="s">
        <v>2961</v>
      </c>
      <c r="U229" s="7" t="s">
        <v>2656</v>
      </c>
      <c r="V229" s="45" t="s">
        <v>2961</v>
      </c>
      <c r="W229" s="44" t="s">
        <v>2900</v>
      </c>
      <c r="X229" s="4" t="s">
        <v>3753</v>
      </c>
      <c r="Y229" s="46" t="s">
        <v>2473</v>
      </c>
      <c r="Z229" s="4" t="s">
        <v>3652</v>
      </c>
      <c r="AA229" s="46" t="s">
        <v>2492</v>
      </c>
      <c r="AB229" s="4" t="s">
        <v>357</v>
      </c>
      <c r="AC229" s="7" t="s">
        <v>2656</v>
      </c>
      <c r="AD229" s="4" t="s">
        <v>2961</v>
      </c>
      <c r="AE229" s="7" t="s">
        <v>2900</v>
      </c>
      <c r="AF229" s="7" t="s">
        <v>2961</v>
      </c>
      <c r="AG229" s="7" t="s">
        <v>2961</v>
      </c>
      <c r="AI229" s="7" t="s">
        <v>4100</v>
      </c>
      <c r="AJ229" s="7" t="s">
        <v>2656</v>
      </c>
      <c r="AK229" s="41">
        <f>Table43[[#This Row],[Harga Jual Pcs GT
(-PPN)]]-(Table43[[#This Row],[Harga Jual Pcs GT
(-PPN)]]*10%)</f>
        <v>0</v>
      </c>
      <c r="AL229" s="42">
        <f>Table43[[#This Row],[Harga Beli Pcs
(-PPN)]]*Table43[[#This Row],[ISI/CTN]]</f>
        <v>0</v>
      </c>
      <c r="AM229" s="42">
        <f>Table43[[#This Row],[Harga Beli Pcs
(-PPN)]]*1.11</f>
        <v>0</v>
      </c>
      <c r="AN229" s="42">
        <f>Table43[[#This Row],[Harga Beli Krt
(- PPN)]]*1.11</f>
        <v>0</v>
      </c>
      <c r="AO229" s="42"/>
      <c r="AP229" s="42">
        <f>Table43[[#This Row],[Harga Jual Pcs GT
(-PPN)]]*Table43[[#This Row],[ISI/CTN]]</f>
        <v>0</v>
      </c>
      <c r="AQ229" s="42">
        <f>Table43[[#This Row],[Harga Jual Pcs GT
(-PPN)]]*1.11</f>
        <v>0</v>
      </c>
      <c r="AR229" s="42">
        <f>Table43[[#This Row],[Harga Jual Krt GT
(- PPN)]]*1.11</f>
        <v>0</v>
      </c>
      <c r="AS229" s="42">
        <f>Table43[[#This Row],[Harga Jual Pcs GT
(-PPN)]]</f>
        <v>0</v>
      </c>
      <c r="AT229" s="42">
        <f>(Table43[[#This Row],[Harga Jual Pcs MT
(-PPN)]]*Table43[[#This Row],[ISI/CTN]])</f>
        <v>0</v>
      </c>
      <c r="AU229" s="42">
        <f>Table43[[#This Row],[Harga Jual Pcs MT
(-PPN)]]*1.11</f>
        <v>0</v>
      </c>
      <c r="AV229" s="42">
        <f>Table43[[#This Row],[Harga Jual Pcs MT
(+PPN)]]*Table43[[#This Row],[ISI/CTN]]</f>
        <v>0</v>
      </c>
      <c r="AW229" s="47"/>
      <c r="AX229" s="7"/>
      <c r="AY229" s="7" t="str">
        <f ca="1">IF(TODAY()-Table43[[#This Row],[Efektif
Pembuatan]]&gt;60,"Lama","Baru")</f>
        <v>Lama</v>
      </c>
      <c r="AZ229" s="7" t="str">
        <f ca="1">IF(TODAY()-Table43[[#This Row],[Efektif Naik Harga]]&lt;30,"Naik","Sama")</f>
        <v>Sama</v>
      </c>
      <c r="BA229" s="7" t="str">
        <f>IF(Table43[[#This Row],[Kode BARANG Win2]]&lt;&gt;"","IDR","")</f>
        <v>IDR</v>
      </c>
      <c r="BB229" s="7" t="str">
        <f>CONCATENATE(Table43[[#This Row],[kode  1 Digit
(Nomor)]],Table43[[#This Row],[kode  4 Digit                (Nomor)]])</f>
        <v>10110</v>
      </c>
      <c r="BC229" s="7" t="str">
        <f>Table43[[#This Row],[Nama            Gramasi atau Jumlah Pack per CTN]]</f>
        <v>110ML</v>
      </c>
      <c r="BD229" s="7"/>
      <c r="BE229" s="7"/>
      <c r="BF229" s="4" t="str">
        <f>IF(Table43[[#This Row],[SATUAN Fix Win]]&lt;&gt;"","KRT")</f>
        <v>KRT</v>
      </c>
      <c r="BG229" s="4" t="str">
        <f>IF(Table43[[#This Row],[SATUAN Fix Win]]&lt;&gt;"","GD01")</f>
        <v>GD01</v>
      </c>
      <c r="BH229" s="4">
        <f>IF(Table43[[#This Row],[SATUAN Fix Win]]&lt;&gt;"",11611)</f>
        <v>11611</v>
      </c>
      <c r="BI229" s="4">
        <f>IF(Table43[[#This Row],[SATUAN Fix Win]]&lt;&gt;"",11612)</f>
        <v>11612</v>
      </c>
      <c r="BJ229" s="48"/>
      <c r="BK229" s="4">
        <f>IF(Table43[[#This Row],[SATUAN Fix Win]]&lt;&gt;"",1)</f>
        <v>1</v>
      </c>
    </row>
    <row r="230" spans="1:63">
      <c r="A230" s="4" t="str">
        <f>CONCATENATE(Table43[[#This Row],[Kode BARANG Win2]],Table43[[#This Row],[No. Urut
Item Sama]])</f>
        <v>K11510010050101</v>
      </c>
      <c r="B230" s="7">
        <v>1</v>
      </c>
      <c r="D230" s="28" t="s">
        <v>751</v>
      </c>
      <c r="E230" s="28"/>
      <c r="F230" s="28" t="s">
        <v>3048</v>
      </c>
      <c r="G230" s="78">
        <v>36</v>
      </c>
      <c r="H230" s="43"/>
      <c r="I230" s="28" t="str">
        <f>Table43[[#This Row],[Nama Jenis Kemasan]]</f>
        <v>BTL</v>
      </c>
      <c r="J230" s="4" t="str">
        <f>TRIM(CONCATENATE(Table43[[#This Row],[Nama            KLP]]," ",Table43[[#This Row],[Nama            Sub KLP]]))</f>
        <v>ESKULIN KIDS COLOGNE GEL</v>
      </c>
      <c r="K230" s="4" t="str">
        <f>CONCATENATE(Table43[[#This Row],[kode  2 Digit                (hrf+No)]],Table43[[#This Row],[kode  2 Digit                (Nomor)]],Table43[[#This Row],[kode  1 Digit                (Nomor)]])</f>
        <v>K1151</v>
      </c>
      <c r="L230" s="4" t="str">
        <f t="shared" si="12"/>
        <v>K1151001005010</v>
      </c>
      <c r="M230" s="11">
        <f t="shared" si="13"/>
        <v>14</v>
      </c>
      <c r="N230" s="14" t="str">
        <f>IF(AF230&lt;&gt;"",TRIM(UPPER(CONCATENATE(P230," ",R230," ",T230," ",V230," ",X230," ",Z230," ","X"," ",Table43[[#This Row],[ISI/CTN]]," ",AF230," ",AB230," ",AD230," ",AH230))),TRIM(UPPER(CONCATENATE(P230," ",R230," ",T230," ",V230," ",X230," ",Z230," ","X"," ",Table43[[#This Row],[ISI/CTN]]," ",AB230," ",AD230," ",AH230))))</f>
        <v>KNF ESKULIN KIDS COLOGNE GEL H.THOUGHT 50ML X 36 BTL</v>
      </c>
      <c r="O230" s="11">
        <f t="shared" si="14"/>
        <v>52</v>
      </c>
      <c r="P230" s="4" t="s">
        <v>97</v>
      </c>
      <c r="Q230" s="7" t="s">
        <v>98</v>
      </c>
      <c r="R230" s="4" t="s">
        <v>3754</v>
      </c>
      <c r="S230" s="44" t="s">
        <v>3568</v>
      </c>
      <c r="T230" s="45" t="s">
        <v>3755</v>
      </c>
      <c r="U230" s="7" t="s">
        <v>2656</v>
      </c>
      <c r="V230" s="45" t="s">
        <v>2961</v>
      </c>
      <c r="W230" s="44" t="s">
        <v>2900</v>
      </c>
      <c r="X230" s="4" t="s">
        <v>3756</v>
      </c>
      <c r="Y230" s="46" t="s">
        <v>0</v>
      </c>
      <c r="Z230" s="4" t="s">
        <v>3654</v>
      </c>
      <c r="AA230" s="46" t="s">
        <v>2490</v>
      </c>
      <c r="AB230" s="4" t="s">
        <v>357</v>
      </c>
      <c r="AC230" s="7" t="s">
        <v>2656</v>
      </c>
      <c r="AD230" s="4" t="s">
        <v>2961</v>
      </c>
      <c r="AE230" s="7" t="s">
        <v>2900</v>
      </c>
      <c r="AF230" s="7" t="s">
        <v>2961</v>
      </c>
      <c r="AG230" s="7" t="s">
        <v>2961</v>
      </c>
      <c r="AI230" s="7" t="s">
        <v>4100</v>
      </c>
      <c r="AJ230" s="7" t="s">
        <v>2656</v>
      </c>
      <c r="AK230" s="41">
        <f>Table43[[#This Row],[Harga Jual Pcs GT
(-PPN)]]-(Table43[[#This Row],[Harga Jual Pcs GT
(-PPN)]]*10%)</f>
        <v>0</v>
      </c>
      <c r="AL230" s="42">
        <f>Table43[[#This Row],[Harga Beli Pcs
(-PPN)]]*Table43[[#This Row],[ISI/CTN]]</f>
        <v>0</v>
      </c>
      <c r="AM230" s="42">
        <f>Table43[[#This Row],[Harga Beli Pcs
(-PPN)]]*1.11</f>
        <v>0</v>
      </c>
      <c r="AN230" s="42">
        <f>Table43[[#This Row],[Harga Beli Krt
(- PPN)]]*1.11</f>
        <v>0</v>
      </c>
      <c r="AO230" s="42"/>
      <c r="AP230" s="42">
        <f>Table43[[#This Row],[Harga Jual Pcs GT
(-PPN)]]*Table43[[#This Row],[ISI/CTN]]</f>
        <v>0</v>
      </c>
      <c r="AQ230" s="42">
        <f>Table43[[#This Row],[Harga Jual Pcs GT
(-PPN)]]*1.11</f>
        <v>0</v>
      </c>
      <c r="AR230" s="42">
        <f>Table43[[#This Row],[Harga Jual Krt GT
(- PPN)]]*1.11</f>
        <v>0</v>
      </c>
      <c r="AS230" s="42">
        <f>Table43[[#This Row],[Harga Jual Pcs GT
(-PPN)]]</f>
        <v>0</v>
      </c>
      <c r="AT230" s="42">
        <f>(Table43[[#This Row],[Harga Jual Pcs MT
(-PPN)]]*Table43[[#This Row],[ISI/CTN]])</f>
        <v>0</v>
      </c>
      <c r="AU230" s="42">
        <f>Table43[[#This Row],[Harga Jual Pcs MT
(-PPN)]]*1.11</f>
        <v>0</v>
      </c>
      <c r="AV230" s="42">
        <f>Table43[[#This Row],[Harga Jual Pcs MT
(+PPN)]]*Table43[[#This Row],[ISI/CTN]]</f>
        <v>0</v>
      </c>
      <c r="AW230" s="47"/>
      <c r="AX230" s="7"/>
      <c r="AY230" s="7" t="str">
        <f ca="1">IF(TODAY()-Table43[[#This Row],[Efektif
Pembuatan]]&gt;60,"Lama","Baru")</f>
        <v>Lama</v>
      </c>
      <c r="AZ230" s="7" t="str">
        <f ca="1">IF(TODAY()-Table43[[#This Row],[Efektif Naik Harga]]&lt;30,"Naik","Sama")</f>
        <v>Sama</v>
      </c>
      <c r="BA230" s="7" t="str">
        <f>IF(Table43[[#This Row],[Kode BARANG Win2]]&lt;&gt;"","IDR","")</f>
        <v>IDR</v>
      </c>
      <c r="BB230" s="7" t="str">
        <f>CONCATENATE(Table43[[#This Row],[kode  1 Digit
(Nomor)]],Table43[[#This Row],[kode  4 Digit                (Nomor)]])</f>
        <v>10050</v>
      </c>
      <c r="BC230" s="7" t="str">
        <f>Table43[[#This Row],[Nama            Gramasi atau Jumlah Pack per CTN]]</f>
        <v>50ML</v>
      </c>
      <c r="BD230" s="7"/>
      <c r="BE230" s="7"/>
      <c r="BF230" s="4" t="str">
        <f>IF(Table43[[#This Row],[SATUAN Fix Win]]&lt;&gt;"","KRT")</f>
        <v>KRT</v>
      </c>
      <c r="BG230" s="4" t="str">
        <f>IF(Table43[[#This Row],[SATUAN Fix Win]]&lt;&gt;"","GD01")</f>
        <v>GD01</v>
      </c>
      <c r="BH230" s="4">
        <f>IF(Table43[[#This Row],[SATUAN Fix Win]]&lt;&gt;"",11611)</f>
        <v>11611</v>
      </c>
      <c r="BI230" s="4">
        <f>IF(Table43[[#This Row],[SATUAN Fix Win]]&lt;&gt;"",11612)</f>
        <v>11612</v>
      </c>
      <c r="BJ230" s="48"/>
      <c r="BK230" s="4">
        <f>IF(Table43[[#This Row],[SATUAN Fix Win]]&lt;&gt;"",1)</f>
        <v>1</v>
      </c>
    </row>
    <row r="231" spans="1:63">
      <c r="A231" s="4" t="str">
        <f>CONCATENATE(Table43[[#This Row],[Kode BARANG Win2]],Table43[[#This Row],[No. Urut
Item Sama]])</f>
        <v>K11520010200102</v>
      </c>
      <c r="B231" s="7">
        <v>2</v>
      </c>
      <c r="D231" s="28" t="s">
        <v>716</v>
      </c>
      <c r="E231" s="28"/>
      <c r="F231" s="28" t="s">
        <v>3049</v>
      </c>
      <c r="G231" s="78">
        <v>24</v>
      </c>
      <c r="H231" s="43"/>
      <c r="I231" s="28" t="str">
        <f>Table43[[#This Row],[Nama Jenis Kemasan]]</f>
        <v>BTL</v>
      </c>
      <c r="J231" s="4" t="str">
        <f>TRIM(CONCATENATE(Table43[[#This Row],[Nama            KLP]]," ",Table43[[#This Row],[Nama            Sub KLP]]))</f>
        <v>ESKULIN KIDS F.BODY WASH</v>
      </c>
      <c r="K231" s="4" t="str">
        <f>CONCATENATE(Table43[[#This Row],[kode  2 Digit                (hrf+No)]],Table43[[#This Row],[kode  2 Digit                (Nomor)]],Table43[[#This Row],[kode  1 Digit                (Nomor)]])</f>
        <v>K1152</v>
      </c>
      <c r="L231" s="4" t="str">
        <f t="shared" si="12"/>
        <v>K1152001020010</v>
      </c>
      <c r="M231" s="11">
        <f t="shared" si="13"/>
        <v>14</v>
      </c>
      <c r="N231" s="14" t="str">
        <f>IF(AF231&lt;&gt;"",TRIM(UPPER(CONCATENATE(P231," ",R231," ",T231," ",V231," ",X231," ",Z231," ","X"," ",Table43[[#This Row],[ISI/CTN]]," ",AF231," ",AB231," ",AD231," ",AH231))),TRIM(UPPER(CONCATENATE(P231," ",R231," ",T231," ",V231," ",X231," ",Z231," ","X"," ",Table43[[#This Row],[ISI/CTN]]," ",AB231," ",AD231," ",AH231))))</f>
        <v>KNF ESKULIN KIDS F.BODY WASH MICKEY 200ML X 24 BTL</v>
      </c>
      <c r="O231" s="11">
        <f t="shared" si="14"/>
        <v>50</v>
      </c>
      <c r="P231" s="4" t="s">
        <v>97</v>
      </c>
      <c r="Q231" s="7" t="s">
        <v>98</v>
      </c>
      <c r="R231" s="4" t="s">
        <v>3754</v>
      </c>
      <c r="S231" s="44" t="s">
        <v>3568</v>
      </c>
      <c r="T231" s="45" t="s">
        <v>3757</v>
      </c>
      <c r="U231" s="7" t="s">
        <v>3562</v>
      </c>
      <c r="V231" s="45" t="s">
        <v>2961</v>
      </c>
      <c r="W231" s="44" t="s">
        <v>2900</v>
      </c>
      <c r="X231" s="4" t="s">
        <v>3758</v>
      </c>
      <c r="Y231" s="46" t="s">
        <v>0</v>
      </c>
      <c r="Z231" s="4" t="s">
        <v>3582</v>
      </c>
      <c r="AA231" s="46" t="s">
        <v>2486</v>
      </c>
      <c r="AB231" s="4" t="s">
        <v>357</v>
      </c>
      <c r="AC231" s="7" t="s">
        <v>2656</v>
      </c>
      <c r="AD231" s="4" t="s">
        <v>2961</v>
      </c>
      <c r="AE231" s="7" t="s">
        <v>2900</v>
      </c>
      <c r="AF231" s="7" t="s">
        <v>2961</v>
      </c>
      <c r="AG231" s="7" t="s">
        <v>2961</v>
      </c>
      <c r="AI231" s="7" t="s">
        <v>4100</v>
      </c>
      <c r="AJ231" s="7" t="s">
        <v>2656</v>
      </c>
      <c r="AK231" s="41">
        <f>Table43[[#This Row],[Harga Jual Pcs GT
(-PPN)]]-(Table43[[#This Row],[Harga Jual Pcs GT
(-PPN)]]*10%)</f>
        <v>0</v>
      </c>
      <c r="AL231" s="42">
        <f>Table43[[#This Row],[Harga Beli Pcs
(-PPN)]]*Table43[[#This Row],[ISI/CTN]]</f>
        <v>0</v>
      </c>
      <c r="AM231" s="42">
        <f>Table43[[#This Row],[Harga Beli Pcs
(-PPN)]]*1.11</f>
        <v>0</v>
      </c>
      <c r="AN231" s="42">
        <f>Table43[[#This Row],[Harga Beli Krt
(- PPN)]]*1.11</f>
        <v>0</v>
      </c>
      <c r="AO231" s="42"/>
      <c r="AP231" s="42">
        <f>Table43[[#This Row],[Harga Jual Pcs GT
(-PPN)]]*Table43[[#This Row],[ISI/CTN]]</f>
        <v>0</v>
      </c>
      <c r="AQ231" s="42">
        <f>Table43[[#This Row],[Harga Jual Pcs GT
(-PPN)]]*1.11</f>
        <v>0</v>
      </c>
      <c r="AR231" s="42">
        <f>Table43[[#This Row],[Harga Jual Krt GT
(- PPN)]]*1.11</f>
        <v>0</v>
      </c>
      <c r="AS231" s="42">
        <f>Table43[[#This Row],[Harga Jual Pcs GT
(-PPN)]]</f>
        <v>0</v>
      </c>
      <c r="AT231" s="42">
        <f>(Table43[[#This Row],[Harga Jual Pcs MT
(-PPN)]]*Table43[[#This Row],[ISI/CTN]])</f>
        <v>0</v>
      </c>
      <c r="AU231" s="42">
        <f>Table43[[#This Row],[Harga Jual Pcs MT
(-PPN)]]*1.11</f>
        <v>0</v>
      </c>
      <c r="AV231" s="42">
        <f>Table43[[#This Row],[Harga Jual Pcs MT
(+PPN)]]*Table43[[#This Row],[ISI/CTN]]</f>
        <v>0</v>
      </c>
      <c r="AW231" s="47"/>
      <c r="AX231" s="7"/>
      <c r="AY231" s="7" t="str">
        <f ca="1">IF(TODAY()-Table43[[#This Row],[Efektif
Pembuatan]]&gt;60,"Lama","Baru")</f>
        <v>Lama</v>
      </c>
      <c r="AZ231" s="7" t="str">
        <f ca="1">IF(TODAY()-Table43[[#This Row],[Efektif Naik Harga]]&lt;30,"Naik","Sama")</f>
        <v>Sama</v>
      </c>
      <c r="BA231" s="7" t="str">
        <f>IF(Table43[[#This Row],[Kode BARANG Win2]]&lt;&gt;"","IDR","")</f>
        <v>IDR</v>
      </c>
      <c r="BB231" s="7" t="str">
        <f>CONCATENATE(Table43[[#This Row],[kode  1 Digit
(Nomor)]],Table43[[#This Row],[kode  4 Digit                (Nomor)]])</f>
        <v>10200</v>
      </c>
      <c r="BC231" s="7" t="str">
        <f>Table43[[#This Row],[Nama            Gramasi atau Jumlah Pack per CTN]]</f>
        <v>200ML</v>
      </c>
      <c r="BD231" s="7"/>
      <c r="BE231" s="7"/>
      <c r="BF231" s="4" t="str">
        <f>IF(Table43[[#This Row],[SATUAN Fix Win]]&lt;&gt;"","KRT")</f>
        <v>KRT</v>
      </c>
      <c r="BG231" s="4" t="str">
        <f>IF(Table43[[#This Row],[SATUAN Fix Win]]&lt;&gt;"","GD01")</f>
        <v>GD01</v>
      </c>
      <c r="BH231" s="4">
        <f>IF(Table43[[#This Row],[SATUAN Fix Win]]&lt;&gt;"",11611)</f>
        <v>11611</v>
      </c>
      <c r="BI231" s="4">
        <f>IF(Table43[[#This Row],[SATUAN Fix Win]]&lt;&gt;"",11612)</f>
        <v>11612</v>
      </c>
      <c r="BJ231" s="48"/>
      <c r="BK231" s="4">
        <f>IF(Table43[[#This Row],[SATUAN Fix Win]]&lt;&gt;"",1)</f>
        <v>1</v>
      </c>
    </row>
    <row r="232" spans="1:63">
      <c r="A232" s="4" t="str">
        <f>CONCATENATE(Table43[[#This Row],[Kode BARANG Win2]],Table43[[#This Row],[No. Urut
Item Sama]])</f>
        <v>K11520010200203</v>
      </c>
      <c r="B232" s="7">
        <v>3</v>
      </c>
      <c r="D232" s="28" t="s">
        <v>715</v>
      </c>
      <c r="E232" s="28"/>
      <c r="F232" s="28" t="s">
        <v>4091</v>
      </c>
      <c r="G232" s="78">
        <v>24</v>
      </c>
      <c r="H232" s="43"/>
      <c r="I232" s="28" t="str">
        <f>Table43[[#This Row],[Nama Jenis Kemasan]]</f>
        <v>PCH</v>
      </c>
      <c r="J232" s="4" t="str">
        <f>TRIM(CONCATENATE(Table43[[#This Row],[Nama            KLP]]," ",Table43[[#This Row],[Nama            Sub KLP]]))</f>
        <v>ESKULIN KIDS F.BODY WASH</v>
      </c>
      <c r="K232" s="4" t="str">
        <f>CONCATENATE(Table43[[#This Row],[kode  2 Digit                (hrf+No)]],Table43[[#This Row],[kode  2 Digit                (Nomor)]],Table43[[#This Row],[kode  1 Digit                (Nomor)]])</f>
        <v>K1152</v>
      </c>
      <c r="L232" s="4" t="str">
        <f t="shared" si="12"/>
        <v>K1152001020020</v>
      </c>
      <c r="M232" s="11">
        <f t="shared" si="13"/>
        <v>14</v>
      </c>
      <c r="N232" s="14" t="str">
        <f>IF(AF232&lt;&gt;"",TRIM(UPPER(CONCATENATE(P232," ",R232," ",T232," ",V232," ",X232," ",Z232," ","X"," ",Table43[[#This Row],[ISI/CTN]]," ",AF232," ",AB232," ",AD232," ",AH232))),TRIM(UPPER(CONCATENATE(P232," ",R232," ",T232," ",V232," ",X232," ",Z232," ","X"," ",Table43[[#This Row],[ISI/CTN]]," ",AB232," ",AD232," ",AH232))))</f>
        <v>KNF ESKULIN KIDS F.BODY WASH MICKEY 200ML X 24 PCH</v>
      </c>
      <c r="O232" s="11">
        <f t="shared" si="14"/>
        <v>50</v>
      </c>
      <c r="P232" s="4" t="s">
        <v>97</v>
      </c>
      <c r="Q232" s="7" t="s">
        <v>98</v>
      </c>
      <c r="R232" s="4" t="s">
        <v>3754</v>
      </c>
      <c r="S232" s="44" t="s">
        <v>3568</v>
      </c>
      <c r="T232" s="45" t="s">
        <v>3757</v>
      </c>
      <c r="U232" s="7" t="s">
        <v>3562</v>
      </c>
      <c r="V232" s="45" t="s">
        <v>2961</v>
      </c>
      <c r="W232" s="44" t="s">
        <v>2900</v>
      </c>
      <c r="X232" s="4" t="s">
        <v>3758</v>
      </c>
      <c r="Y232" s="46" t="s">
        <v>0</v>
      </c>
      <c r="Z232" s="4" t="s">
        <v>3582</v>
      </c>
      <c r="AA232" s="46" t="s">
        <v>2486</v>
      </c>
      <c r="AB232" s="4" t="s">
        <v>356</v>
      </c>
      <c r="AC232" s="7" t="s">
        <v>3562</v>
      </c>
      <c r="AD232" s="4" t="s">
        <v>2961</v>
      </c>
      <c r="AE232" s="7" t="s">
        <v>2900</v>
      </c>
      <c r="AF232" s="7" t="s">
        <v>2961</v>
      </c>
      <c r="AG232" s="7" t="s">
        <v>2961</v>
      </c>
      <c r="AI232" s="7" t="s">
        <v>4100</v>
      </c>
      <c r="AJ232" s="7" t="s">
        <v>2656</v>
      </c>
      <c r="AK232" s="41">
        <f>Table43[[#This Row],[Harga Jual Pcs GT
(-PPN)]]-(Table43[[#This Row],[Harga Jual Pcs GT
(-PPN)]]*10%)</f>
        <v>0</v>
      </c>
      <c r="AL232" s="42">
        <f>Table43[[#This Row],[Harga Beli Pcs
(-PPN)]]*Table43[[#This Row],[ISI/CTN]]</f>
        <v>0</v>
      </c>
      <c r="AM232" s="42">
        <f>Table43[[#This Row],[Harga Beli Pcs
(-PPN)]]*1.11</f>
        <v>0</v>
      </c>
      <c r="AN232" s="42">
        <f>Table43[[#This Row],[Harga Beli Krt
(- PPN)]]*1.11</f>
        <v>0</v>
      </c>
      <c r="AO232" s="42"/>
      <c r="AP232" s="42">
        <f>Table43[[#This Row],[Harga Jual Pcs GT
(-PPN)]]*Table43[[#This Row],[ISI/CTN]]</f>
        <v>0</v>
      </c>
      <c r="AQ232" s="42">
        <f>Table43[[#This Row],[Harga Jual Pcs GT
(-PPN)]]*1.11</f>
        <v>0</v>
      </c>
      <c r="AR232" s="42">
        <f>Table43[[#This Row],[Harga Jual Krt GT
(- PPN)]]*1.11</f>
        <v>0</v>
      </c>
      <c r="AS232" s="42">
        <f>Table43[[#This Row],[Harga Jual Pcs GT
(-PPN)]]</f>
        <v>0</v>
      </c>
      <c r="AT232" s="42">
        <f>(Table43[[#This Row],[Harga Jual Pcs MT
(-PPN)]]*Table43[[#This Row],[ISI/CTN]])</f>
        <v>0</v>
      </c>
      <c r="AU232" s="42">
        <f>Table43[[#This Row],[Harga Jual Pcs MT
(-PPN)]]*1.11</f>
        <v>0</v>
      </c>
      <c r="AV232" s="42">
        <f>Table43[[#This Row],[Harga Jual Pcs MT
(+PPN)]]*Table43[[#This Row],[ISI/CTN]]</f>
        <v>0</v>
      </c>
      <c r="AW232" s="47"/>
      <c r="AX232" s="7"/>
      <c r="AY232" s="7" t="str">
        <f ca="1">IF(TODAY()-Table43[[#This Row],[Efektif
Pembuatan]]&gt;60,"Lama","Baru")</f>
        <v>Lama</v>
      </c>
      <c r="AZ232" s="7" t="str">
        <f ca="1">IF(TODAY()-Table43[[#This Row],[Efektif Naik Harga]]&lt;30,"Naik","Sama")</f>
        <v>Sama</v>
      </c>
      <c r="BA232" s="7" t="str">
        <f>IF(Table43[[#This Row],[Kode BARANG Win2]]&lt;&gt;"","IDR","")</f>
        <v>IDR</v>
      </c>
      <c r="BB232" s="7" t="str">
        <f>CONCATENATE(Table43[[#This Row],[kode  1 Digit
(Nomor)]],Table43[[#This Row],[kode  4 Digit                (Nomor)]])</f>
        <v>10200</v>
      </c>
      <c r="BC232" s="7" t="str">
        <f>Table43[[#This Row],[Nama            Gramasi atau Jumlah Pack per CTN]]</f>
        <v>200ML</v>
      </c>
      <c r="BD232" s="7"/>
      <c r="BE232" s="7"/>
      <c r="BF232" s="4" t="str">
        <f>IF(Table43[[#This Row],[SATUAN Fix Win]]&lt;&gt;"","KRT")</f>
        <v>KRT</v>
      </c>
      <c r="BG232" s="4" t="str">
        <f>IF(Table43[[#This Row],[SATUAN Fix Win]]&lt;&gt;"","GD01")</f>
        <v>GD01</v>
      </c>
      <c r="BH232" s="4">
        <f>IF(Table43[[#This Row],[SATUAN Fix Win]]&lt;&gt;"",11611)</f>
        <v>11611</v>
      </c>
      <c r="BI232" s="4">
        <f>IF(Table43[[#This Row],[SATUAN Fix Win]]&lt;&gt;"",11612)</f>
        <v>11612</v>
      </c>
      <c r="BJ232" s="48"/>
      <c r="BK232" s="4">
        <f>IF(Table43[[#This Row],[SATUAN Fix Win]]&lt;&gt;"",1)</f>
        <v>1</v>
      </c>
    </row>
    <row r="233" spans="1:63">
      <c r="A233" s="4" t="str">
        <f>CONCATENATE(Table43[[#This Row],[Kode BARANG Win2]],Table43[[#This Row],[No. Urut
Item Sama]])</f>
        <v>K11520020200104</v>
      </c>
      <c r="B233" s="7">
        <v>4</v>
      </c>
      <c r="D233" s="28" t="s">
        <v>718</v>
      </c>
      <c r="E233" s="28"/>
      <c r="F233" s="28" t="s">
        <v>3050</v>
      </c>
      <c r="G233" s="78">
        <v>24</v>
      </c>
      <c r="H233" s="43"/>
      <c r="I233" s="28" t="str">
        <f>Table43[[#This Row],[Nama Jenis Kemasan]]</f>
        <v>BTL</v>
      </c>
      <c r="J233" s="4" t="str">
        <f>TRIM(CONCATENATE(Table43[[#This Row],[Nama            KLP]]," ",Table43[[#This Row],[Nama            Sub KLP]]))</f>
        <v>ESKULIN KIDS F.BODY WASH</v>
      </c>
      <c r="K233" s="4" t="str">
        <f>CONCATENATE(Table43[[#This Row],[kode  2 Digit                (hrf+No)]],Table43[[#This Row],[kode  2 Digit                (Nomor)]],Table43[[#This Row],[kode  1 Digit                (Nomor)]])</f>
        <v>K1152</v>
      </c>
      <c r="L233" s="4" t="str">
        <f t="shared" si="12"/>
        <v>K1152002020010</v>
      </c>
      <c r="M233" s="11">
        <f t="shared" si="13"/>
        <v>14</v>
      </c>
      <c r="N233" s="14" t="str">
        <f>IF(AF233&lt;&gt;"",TRIM(UPPER(CONCATENATE(P233," ",R233," ",T233," ",V233," ",X233," ",Z233," ","X"," ",Table43[[#This Row],[ISI/CTN]]," ",AF233," ",AB233," ",AD233," ",AH233))),TRIM(UPPER(CONCATENATE(P233," ",R233," ",T233," ",V233," ",X233," ",Z233," ","X"," ",Table43[[#This Row],[ISI/CTN]]," ",AB233," ",AD233," ",AH233))))</f>
        <v>KNF ESKULIN KIDS F.BODY WASH POOH 200ML X 24 BTL</v>
      </c>
      <c r="O233" s="11">
        <f t="shared" si="14"/>
        <v>48</v>
      </c>
      <c r="P233" s="4" t="s">
        <v>97</v>
      </c>
      <c r="Q233" s="7" t="s">
        <v>98</v>
      </c>
      <c r="R233" s="4" t="s">
        <v>3754</v>
      </c>
      <c r="S233" s="44" t="s">
        <v>3568</v>
      </c>
      <c r="T233" s="45" t="s">
        <v>3757</v>
      </c>
      <c r="U233" s="7" t="s">
        <v>3562</v>
      </c>
      <c r="V233" s="45" t="s">
        <v>2961</v>
      </c>
      <c r="W233" s="44" t="s">
        <v>2900</v>
      </c>
      <c r="X233" s="4" t="s">
        <v>3759</v>
      </c>
      <c r="Y233" s="46" t="s">
        <v>2472</v>
      </c>
      <c r="Z233" s="4" t="s">
        <v>3582</v>
      </c>
      <c r="AA233" s="46" t="s">
        <v>2486</v>
      </c>
      <c r="AB233" s="4" t="s">
        <v>357</v>
      </c>
      <c r="AC233" s="7" t="s">
        <v>2656</v>
      </c>
      <c r="AD233" s="4" t="s">
        <v>2961</v>
      </c>
      <c r="AE233" s="7" t="s">
        <v>2900</v>
      </c>
      <c r="AF233" s="7" t="s">
        <v>2961</v>
      </c>
      <c r="AG233" s="7" t="s">
        <v>2961</v>
      </c>
      <c r="AI233" s="7" t="s">
        <v>4100</v>
      </c>
      <c r="AJ233" s="7" t="s">
        <v>2656</v>
      </c>
      <c r="AK233" s="41">
        <f>Table43[[#This Row],[Harga Jual Pcs GT
(-PPN)]]-(Table43[[#This Row],[Harga Jual Pcs GT
(-PPN)]]*10%)</f>
        <v>0</v>
      </c>
      <c r="AL233" s="42">
        <f>Table43[[#This Row],[Harga Beli Pcs
(-PPN)]]*Table43[[#This Row],[ISI/CTN]]</f>
        <v>0</v>
      </c>
      <c r="AM233" s="42">
        <f>Table43[[#This Row],[Harga Beli Pcs
(-PPN)]]*1.11</f>
        <v>0</v>
      </c>
      <c r="AN233" s="42">
        <f>Table43[[#This Row],[Harga Beli Krt
(- PPN)]]*1.11</f>
        <v>0</v>
      </c>
      <c r="AO233" s="42"/>
      <c r="AP233" s="42">
        <f>Table43[[#This Row],[Harga Jual Pcs GT
(-PPN)]]*Table43[[#This Row],[ISI/CTN]]</f>
        <v>0</v>
      </c>
      <c r="AQ233" s="42">
        <f>Table43[[#This Row],[Harga Jual Pcs GT
(-PPN)]]*1.11</f>
        <v>0</v>
      </c>
      <c r="AR233" s="42">
        <f>Table43[[#This Row],[Harga Jual Krt GT
(- PPN)]]*1.11</f>
        <v>0</v>
      </c>
      <c r="AS233" s="42">
        <f>Table43[[#This Row],[Harga Jual Pcs GT
(-PPN)]]</f>
        <v>0</v>
      </c>
      <c r="AT233" s="42">
        <f>(Table43[[#This Row],[Harga Jual Pcs MT
(-PPN)]]*Table43[[#This Row],[ISI/CTN]])</f>
        <v>0</v>
      </c>
      <c r="AU233" s="42">
        <f>Table43[[#This Row],[Harga Jual Pcs MT
(-PPN)]]*1.11</f>
        <v>0</v>
      </c>
      <c r="AV233" s="42">
        <f>Table43[[#This Row],[Harga Jual Pcs MT
(+PPN)]]*Table43[[#This Row],[ISI/CTN]]</f>
        <v>0</v>
      </c>
      <c r="AW233" s="47"/>
      <c r="AX233" s="7"/>
      <c r="AY233" s="7" t="str">
        <f ca="1">IF(TODAY()-Table43[[#This Row],[Efektif
Pembuatan]]&gt;60,"Lama","Baru")</f>
        <v>Lama</v>
      </c>
      <c r="AZ233" s="7" t="str">
        <f ca="1">IF(TODAY()-Table43[[#This Row],[Efektif Naik Harga]]&lt;30,"Naik","Sama")</f>
        <v>Sama</v>
      </c>
      <c r="BA233" s="7" t="str">
        <f>IF(Table43[[#This Row],[Kode BARANG Win2]]&lt;&gt;"","IDR","")</f>
        <v>IDR</v>
      </c>
      <c r="BB233" s="7" t="str">
        <f>CONCATENATE(Table43[[#This Row],[kode  1 Digit
(Nomor)]],Table43[[#This Row],[kode  4 Digit                (Nomor)]])</f>
        <v>10200</v>
      </c>
      <c r="BC233" s="7" t="str">
        <f>Table43[[#This Row],[Nama            Gramasi atau Jumlah Pack per CTN]]</f>
        <v>200ML</v>
      </c>
      <c r="BD233" s="7"/>
      <c r="BE233" s="7"/>
      <c r="BF233" s="4" t="str">
        <f>IF(Table43[[#This Row],[SATUAN Fix Win]]&lt;&gt;"","KRT")</f>
        <v>KRT</v>
      </c>
      <c r="BG233" s="4" t="str">
        <f>IF(Table43[[#This Row],[SATUAN Fix Win]]&lt;&gt;"","GD01")</f>
        <v>GD01</v>
      </c>
      <c r="BH233" s="4">
        <f>IF(Table43[[#This Row],[SATUAN Fix Win]]&lt;&gt;"",11611)</f>
        <v>11611</v>
      </c>
      <c r="BI233" s="4">
        <f>IF(Table43[[#This Row],[SATUAN Fix Win]]&lt;&gt;"",11612)</f>
        <v>11612</v>
      </c>
      <c r="BJ233" s="48"/>
      <c r="BK233" s="4">
        <f>IF(Table43[[#This Row],[SATUAN Fix Win]]&lt;&gt;"",1)</f>
        <v>1</v>
      </c>
    </row>
    <row r="234" spans="1:63">
      <c r="A234" s="4" t="str">
        <f>CONCATENATE(Table43[[#This Row],[Kode BARANG Win2]],Table43[[#This Row],[No. Urut
Item Sama]])</f>
        <v>K11520020200201</v>
      </c>
      <c r="B234" s="7">
        <v>1</v>
      </c>
      <c r="D234" s="28" t="s">
        <v>717</v>
      </c>
      <c r="E234" s="28"/>
      <c r="F234" s="28" t="s">
        <v>3051</v>
      </c>
      <c r="G234" s="78">
        <v>24</v>
      </c>
      <c r="H234" s="43"/>
      <c r="I234" s="28" t="str">
        <f>Table43[[#This Row],[Nama Jenis Kemasan]]</f>
        <v>PCH</v>
      </c>
      <c r="J234" s="4" t="str">
        <f>TRIM(CONCATENATE(Table43[[#This Row],[Nama            KLP]]," ",Table43[[#This Row],[Nama            Sub KLP]]))</f>
        <v>ESKULIN KIDS F.BODY WASH</v>
      </c>
      <c r="K234" s="4" t="str">
        <f>CONCATENATE(Table43[[#This Row],[kode  2 Digit                (hrf+No)]],Table43[[#This Row],[kode  2 Digit                (Nomor)]],Table43[[#This Row],[kode  1 Digit                (Nomor)]])</f>
        <v>K1152</v>
      </c>
      <c r="L234" s="4" t="str">
        <f t="shared" si="12"/>
        <v>K1152002020020</v>
      </c>
      <c r="M234" s="11">
        <f t="shared" si="13"/>
        <v>14</v>
      </c>
      <c r="N234" s="14" t="str">
        <f>IF(AF234&lt;&gt;"",TRIM(UPPER(CONCATENATE(P234," ",R234," ",T234," ",V234," ",X234," ",Z234," ","X"," ",Table43[[#This Row],[ISI/CTN]]," ",AF234," ",AB234," ",AD234," ",AH234))),TRIM(UPPER(CONCATENATE(P234," ",R234," ",T234," ",V234," ",X234," ",Z234," ","X"," ",Table43[[#This Row],[ISI/CTN]]," ",AB234," ",AD234," ",AH234))))</f>
        <v>KNF ESKULIN KIDS F.BODY WASH POOH 200ML X 24 PCH</v>
      </c>
      <c r="O234" s="11">
        <f t="shared" si="14"/>
        <v>48</v>
      </c>
      <c r="P234" s="4" t="s">
        <v>97</v>
      </c>
      <c r="Q234" s="7" t="s">
        <v>98</v>
      </c>
      <c r="R234" s="4" t="s">
        <v>3754</v>
      </c>
      <c r="S234" s="44" t="s">
        <v>3568</v>
      </c>
      <c r="T234" s="45" t="s">
        <v>3757</v>
      </c>
      <c r="U234" s="7" t="s">
        <v>3562</v>
      </c>
      <c r="V234" s="45" t="s">
        <v>2961</v>
      </c>
      <c r="W234" s="44" t="s">
        <v>2900</v>
      </c>
      <c r="X234" s="4" t="s">
        <v>3759</v>
      </c>
      <c r="Y234" s="46" t="s">
        <v>2472</v>
      </c>
      <c r="Z234" s="4" t="s">
        <v>3582</v>
      </c>
      <c r="AA234" s="46" t="s">
        <v>2486</v>
      </c>
      <c r="AB234" s="4" t="s">
        <v>356</v>
      </c>
      <c r="AC234" s="7" t="s">
        <v>3562</v>
      </c>
      <c r="AD234" s="4" t="s">
        <v>2961</v>
      </c>
      <c r="AE234" s="7" t="s">
        <v>2900</v>
      </c>
      <c r="AF234" s="7" t="s">
        <v>2961</v>
      </c>
      <c r="AG234" s="7" t="s">
        <v>2961</v>
      </c>
      <c r="AI234" s="7" t="s">
        <v>4100</v>
      </c>
      <c r="AJ234" s="7" t="s">
        <v>2656</v>
      </c>
      <c r="AK234" s="41">
        <f>Table43[[#This Row],[Harga Jual Pcs GT
(-PPN)]]-(Table43[[#This Row],[Harga Jual Pcs GT
(-PPN)]]*10%)</f>
        <v>0</v>
      </c>
      <c r="AL234" s="42">
        <f>Table43[[#This Row],[Harga Beli Pcs
(-PPN)]]*Table43[[#This Row],[ISI/CTN]]</f>
        <v>0</v>
      </c>
      <c r="AM234" s="42">
        <f>Table43[[#This Row],[Harga Beli Pcs
(-PPN)]]*1.11</f>
        <v>0</v>
      </c>
      <c r="AN234" s="42">
        <f>Table43[[#This Row],[Harga Beli Krt
(- PPN)]]*1.11</f>
        <v>0</v>
      </c>
      <c r="AO234" s="42"/>
      <c r="AP234" s="42">
        <f>Table43[[#This Row],[Harga Jual Pcs GT
(-PPN)]]*Table43[[#This Row],[ISI/CTN]]</f>
        <v>0</v>
      </c>
      <c r="AQ234" s="42">
        <f>Table43[[#This Row],[Harga Jual Pcs GT
(-PPN)]]*1.11</f>
        <v>0</v>
      </c>
      <c r="AR234" s="42">
        <f>Table43[[#This Row],[Harga Jual Krt GT
(- PPN)]]*1.11</f>
        <v>0</v>
      </c>
      <c r="AS234" s="42">
        <f>Table43[[#This Row],[Harga Jual Pcs GT
(-PPN)]]</f>
        <v>0</v>
      </c>
      <c r="AT234" s="42">
        <f>(Table43[[#This Row],[Harga Jual Pcs MT
(-PPN)]]*Table43[[#This Row],[ISI/CTN]])</f>
        <v>0</v>
      </c>
      <c r="AU234" s="42">
        <f>Table43[[#This Row],[Harga Jual Pcs MT
(-PPN)]]*1.11</f>
        <v>0</v>
      </c>
      <c r="AV234" s="42">
        <f>Table43[[#This Row],[Harga Jual Pcs MT
(+PPN)]]*Table43[[#This Row],[ISI/CTN]]</f>
        <v>0</v>
      </c>
      <c r="AW234" s="47"/>
      <c r="AX234" s="7"/>
      <c r="AY234" s="7" t="str">
        <f ca="1">IF(TODAY()-Table43[[#This Row],[Efektif
Pembuatan]]&gt;60,"Lama","Baru")</f>
        <v>Lama</v>
      </c>
      <c r="AZ234" s="7" t="str">
        <f ca="1">IF(TODAY()-Table43[[#This Row],[Efektif Naik Harga]]&lt;30,"Naik","Sama")</f>
        <v>Sama</v>
      </c>
      <c r="BA234" s="7" t="str">
        <f>IF(Table43[[#This Row],[Kode BARANG Win2]]&lt;&gt;"","IDR","")</f>
        <v>IDR</v>
      </c>
      <c r="BB234" s="7" t="str">
        <f>CONCATENATE(Table43[[#This Row],[kode  1 Digit
(Nomor)]],Table43[[#This Row],[kode  4 Digit                (Nomor)]])</f>
        <v>10200</v>
      </c>
      <c r="BC234" s="7" t="str">
        <f>Table43[[#This Row],[Nama            Gramasi atau Jumlah Pack per CTN]]</f>
        <v>200ML</v>
      </c>
      <c r="BD234" s="7"/>
      <c r="BE234" s="7"/>
      <c r="BF234" s="4" t="str">
        <f>IF(Table43[[#This Row],[SATUAN Fix Win]]&lt;&gt;"","KRT")</f>
        <v>KRT</v>
      </c>
      <c r="BG234" s="4" t="str">
        <f>IF(Table43[[#This Row],[SATUAN Fix Win]]&lt;&gt;"","GD01")</f>
        <v>GD01</v>
      </c>
      <c r="BH234" s="4">
        <f>IF(Table43[[#This Row],[SATUAN Fix Win]]&lt;&gt;"",11611)</f>
        <v>11611</v>
      </c>
      <c r="BI234" s="4">
        <f>IF(Table43[[#This Row],[SATUAN Fix Win]]&lt;&gt;"",11612)</f>
        <v>11612</v>
      </c>
      <c r="BJ234" s="48"/>
      <c r="BK234" s="4">
        <f>IF(Table43[[#This Row],[SATUAN Fix Win]]&lt;&gt;"",1)</f>
        <v>1</v>
      </c>
    </row>
    <row r="235" spans="1:63">
      <c r="A235" s="4" t="str">
        <f>CONCATENATE(Table43[[#This Row],[Kode BARANG Win2]],Table43[[#This Row],[No. Urut
Item Sama]])</f>
        <v>K11530010050101</v>
      </c>
      <c r="B235" s="7">
        <v>1</v>
      </c>
      <c r="D235" s="28" t="s">
        <v>669</v>
      </c>
      <c r="E235" s="28"/>
      <c r="F235" s="28" t="s">
        <v>3052</v>
      </c>
      <c r="G235" s="78">
        <v>36</v>
      </c>
      <c r="H235" s="43"/>
      <c r="I235" s="28" t="str">
        <f>Table43[[#This Row],[Nama Jenis Kemasan]]</f>
        <v>BTL</v>
      </c>
      <c r="J235" s="4" t="str">
        <f>TRIM(CONCATENATE(Table43[[#This Row],[Nama            KLP]]," ",Table43[[#This Row],[Nama            Sub KLP]]))</f>
        <v>ESKULIN KIDS H.SANITIZER</v>
      </c>
      <c r="K235" s="4" t="str">
        <f>CONCATENATE(Table43[[#This Row],[kode  2 Digit                (hrf+No)]],Table43[[#This Row],[kode  2 Digit                (Nomor)]],Table43[[#This Row],[kode  1 Digit                (Nomor)]])</f>
        <v>K1153</v>
      </c>
      <c r="L235" s="4" t="str">
        <f t="shared" si="12"/>
        <v>K1153001005010</v>
      </c>
      <c r="M235" s="11">
        <f t="shared" si="13"/>
        <v>14</v>
      </c>
      <c r="N235" s="14" t="str">
        <f>IF(AF235&lt;&gt;"",TRIM(UPPER(CONCATENATE(P235," ",R235," ",T235," ",V235," ",X235," ",Z235," ","X"," ",Table43[[#This Row],[ISI/CTN]]," ",AF235," ",AB235," ",AD235," ",AH235))),TRIM(UPPER(CONCATENATE(P235," ",R235," ",T235," ",V235," ",X235," ",Z235," ","X"," ",Table43[[#This Row],[ISI/CTN]]," ",AB235," ",AD235," ",AH235))))</f>
        <v>KNF ESKULIN KIDS H.SANITIZER DONALD 50ML X 36 BTL</v>
      </c>
      <c r="O235" s="11">
        <f t="shared" si="14"/>
        <v>49</v>
      </c>
      <c r="P235" s="4" t="s">
        <v>97</v>
      </c>
      <c r="Q235" s="7" t="s">
        <v>98</v>
      </c>
      <c r="R235" s="4" t="s">
        <v>3754</v>
      </c>
      <c r="S235" s="44" t="s">
        <v>3568</v>
      </c>
      <c r="T235" s="45" t="s">
        <v>3760</v>
      </c>
      <c r="U235" s="7" t="s">
        <v>3590</v>
      </c>
      <c r="V235" s="45" t="s">
        <v>2961</v>
      </c>
      <c r="W235" s="44" t="s">
        <v>2900</v>
      </c>
      <c r="X235" s="4" t="s">
        <v>3761</v>
      </c>
      <c r="Y235" s="46" t="s">
        <v>0</v>
      </c>
      <c r="Z235" s="4" t="s">
        <v>3654</v>
      </c>
      <c r="AA235" s="46" t="s">
        <v>2490</v>
      </c>
      <c r="AB235" s="4" t="s">
        <v>357</v>
      </c>
      <c r="AC235" s="7" t="s">
        <v>2656</v>
      </c>
      <c r="AD235" s="4" t="s">
        <v>2961</v>
      </c>
      <c r="AE235" s="7" t="s">
        <v>2900</v>
      </c>
      <c r="AF235" s="7" t="s">
        <v>2961</v>
      </c>
      <c r="AG235" s="7" t="s">
        <v>2961</v>
      </c>
      <c r="AI235" s="7" t="s">
        <v>4100</v>
      </c>
      <c r="AJ235" s="7" t="s">
        <v>2656</v>
      </c>
      <c r="AK235" s="41">
        <f>Table43[[#This Row],[Harga Jual Pcs GT
(-PPN)]]-(Table43[[#This Row],[Harga Jual Pcs GT
(-PPN)]]*10%)</f>
        <v>0</v>
      </c>
      <c r="AL235" s="42">
        <f>Table43[[#This Row],[Harga Beli Pcs
(-PPN)]]*Table43[[#This Row],[ISI/CTN]]</f>
        <v>0</v>
      </c>
      <c r="AM235" s="42">
        <f>Table43[[#This Row],[Harga Beli Pcs
(-PPN)]]*1.11</f>
        <v>0</v>
      </c>
      <c r="AN235" s="42">
        <f>Table43[[#This Row],[Harga Beli Krt
(- PPN)]]*1.11</f>
        <v>0</v>
      </c>
      <c r="AO235" s="42"/>
      <c r="AP235" s="42">
        <f>Table43[[#This Row],[Harga Jual Pcs GT
(-PPN)]]*Table43[[#This Row],[ISI/CTN]]</f>
        <v>0</v>
      </c>
      <c r="AQ235" s="42">
        <f>Table43[[#This Row],[Harga Jual Pcs GT
(-PPN)]]*1.11</f>
        <v>0</v>
      </c>
      <c r="AR235" s="42">
        <f>Table43[[#This Row],[Harga Jual Krt GT
(- PPN)]]*1.11</f>
        <v>0</v>
      </c>
      <c r="AS235" s="42">
        <f>Table43[[#This Row],[Harga Jual Pcs GT
(-PPN)]]</f>
        <v>0</v>
      </c>
      <c r="AT235" s="42">
        <f>(Table43[[#This Row],[Harga Jual Pcs MT
(-PPN)]]*Table43[[#This Row],[ISI/CTN]])</f>
        <v>0</v>
      </c>
      <c r="AU235" s="42">
        <f>Table43[[#This Row],[Harga Jual Pcs MT
(-PPN)]]*1.11</f>
        <v>0</v>
      </c>
      <c r="AV235" s="42">
        <f>Table43[[#This Row],[Harga Jual Pcs MT
(+PPN)]]*Table43[[#This Row],[ISI/CTN]]</f>
        <v>0</v>
      </c>
      <c r="AW235" s="47"/>
      <c r="AX235" s="7"/>
      <c r="AY235" s="7" t="str">
        <f ca="1">IF(TODAY()-Table43[[#This Row],[Efektif
Pembuatan]]&gt;60,"Lama","Baru")</f>
        <v>Lama</v>
      </c>
      <c r="AZ235" s="7" t="str">
        <f ca="1">IF(TODAY()-Table43[[#This Row],[Efektif Naik Harga]]&lt;30,"Naik","Sama")</f>
        <v>Sama</v>
      </c>
      <c r="BA235" s="7" t="str">
        <f>IF(Table43[[#This Row],[Kode BARANG Win2]]&lt;&gt;"","IDR","")</f>
        <v>IDR</v>
      </c>
      <c r="BB235" s="7" t="str">
        <f>CONCATENATE(Table43[[#This Row],[kode  1 Digit
(Nomor)]],Table43[[#This Row],[kode  4 Digit                (Nomor)]])</f>
        <v>10050</v>
      </c>
      <c r="BC235" s="7" t="str">
        <f>Table43[[#This Row],[Nama            Gramasi atau Jumlah Pack per CTN]]</f>
        <v>50ML</v>
      </c>
      <c r="BD235" s="7"/>
      <c r="BE235" s="7"/>
      <c r="BF235" s="4" t="str">
        <f>IF(Table43[[#This Row],[SATUAN Fix Win]]&lt;&gt;"","KRT")</f>
        <v>KRT</v>
      </c>
      <c r="BG235" s="4" t="str">
        <f>IF(Table43[[#This Row],[SATUAN Fix Win]]&lt;&gt;"","GD01")</f>
        <v>GD01</v>
      </c>
      <c r="BH235" s="4">
        <f>IF(Table43[[#This Row],[SATUAN Fix Win]]&lt;&gt;"",11611)</f>
        <v>11611</v>
      </c>
      <c r="BI235" s="4">
        <f>IF(Table43[[#This Row],[SATUAN Fix Win]]&lt;&gt;"",11612)</f>
        <v>11612</v>
      </c>
      <c r="BJ235" s="48"/>
      <c r="BK235" s="4">
        <f>IF(Table43[[#This Row],[SATUAN Fix Win]]&lt;&gt;"",1)</f>
        <v>1</v>
      </c>
    </row>
    <row r="236" spans="1:63">
      <c r="A236" s="4" t="str">
        <f>CONCATENATE(Table43[[#This Row],[Kode BARANG Win2]],Table43[[#This Row],[No. Urut
Item Sama]])</f>
        <v>K11530020050101</v>
      </c>
      <c r="B236" s="7">
        <v>1</v>
      </c>
      <c r="D236" s="28" t="s">
        <v>674</v>
      </c>
      <c r="E236" s="28"/>
      <c r="F236" s="28" t="s">
        <v>3053</v>
      </c>
      <c r="G236" s="78">
        <v>36</v>
      </c>
      <c r="H236" s="43"/>
      <c r="I236" s="28" t="str">
        <f>Table43[[#This Row],[Nama Jenis Kemasan]]</f>
        <v>BTL</v>
      </c>
      <c r="J236" s="4" t="str">
        <f>TRIM(CONCATENATE(Table43[[#This Row],[Nama            KLP]]," ",Table43[[#This Row],[Nama            Sub KLP]]))</f>
        <v>ESKULIN KIDS H.SANITIZER</v>
      </c>
      <c r="K236" s="4" t="str">
        <f>CONCATENATE(Table43[[#This Row],[kode  2 Digit                (hrf+No)]],Table43[[#This Row],[kode  2 Digit                (Nomor)]],Table43[[#This Row],[kode  1 Digit                (Nomor)]])</f>
        <v>K1153</v>
      </c>
      <c r="L236" s="4" t="str">
        <f t="shared" si="12"/>
        <v>K1153002005010</v>
      </c>
      <c r="M236" s="11">
        <f t="shared" si="13"/>
        <v>14</v>
      </c>
      <c r="N236" s="14" t="str">
        <f>IF(AF236&lt;&gt;"",TRIM(UPPER(CONCATENATE(P236," ",R236," ",T236," ",V236," ",X236," ",Z236," ","X"," ",Table43[[#This Row],[ISI/CTN]]," ",AF236," ",AB236," ",AD236," ",AH236))),TRIM(UPPER(CONCATENATE(P236," ",R236," ",T236," ",V236," ",X236," ",Z236," ","X"," ",Table43[[#This Row],[ISI/CTN]]," ",AB236," ",AD236," ",AH236))))</f>
        <v>KNF ESKULIN KIDS H.SANITIZER MICKEY 50ML X 36 BTL</v>
      </c>
      <c r="O236" s="11">
        <f t="shared" si="14"/>
        <v>49</v>
      </c>
      <c r="P236" s="4" t="s">
        <v>97</v>
      </c>
      <c r="Q236" s="7" t="s">
        <v>98</v>
      </c>
      <c r="R236" s="4" t="s">
        <v>3754</v>
      </c>
      <c r="S236" s="44" t="s">
        <v>3568</v>
      </c>
      <c r="T236" s="45" t="s">
        <v>3760</v>
      </c>
      <c r="U236" s="7" t="s">
        <v>3590</v>
      </c>
      <c r="V236" s="45" t="s">
        <v>2961</v>
      </c>
      <c r="W236" s="44" t="s">
        <v>2900</v>
      </c>
      <c r="X236" s="4" t="s">
        <v>3758</v>
      </c>
      <c r="Y236" s="46" t="s">
        <v>2472</v>
      </c>
      <c r="Z236" s="4" t="s">
        <v>3654</v>
      </c>
      <c r="AA236" s="46" t="s">
        <v>2490</v>
      </c>
      <c r="AB236" s="4" t="s">
        <v>357</v>
      </c>
      <c r="AC236" s="7" t="s">
        <v>2656</v>
      </c>
      <c r="AD236" s="4" t="s">
        <v>2961</v>
      </c>
      <c r="AE236" s="7" t="s">
        <v>2900</v>
      </c>
      <c r="AF236" s="7" t="s">
        <v>2961</v>
      </c>
      <c r="AG236" s="7" t="s">
        <v>2961</v>
      </c>
      <c r="AI236" s="7" t="s">
        <v>4100</v>
      </c>
      <c r="AJ236" s="7" t="s">
        <v>2656</v>
      </c>
      <c r="AK236" s="41">
        <f>Table43[[#This Row],[Harga Jual Pcs GT
(-PPN)]]-(Table43[[#This Row],[Harga Jual Pcs GT
(-PPN)]]*10%)</f>
        <v>0</v>
      </c>
      <c r="AL236" s="42">
        <f>Table43[[#This Row],[Harga Beli Pcs
(-PPN)]]*Table43[[#This Row],[ISI/CTN]]</f>
        <v>0</v>
      </c>
      <c r="AM236" s="42">
        <f>Table43[[#This Row],[Harga Beli Pcs
(-PPN)]]*1.11</f>
        <v>0</v>
      </c>
      <c r="AN236" s="42">
        <f>Table43[[#This Row],[Harga Beli Krt
(- PPN)]]*1.11</f>
        <v>0</v>
      </c>
      <c r="AO236" s="42"/>
      <c r="AP236" s="42">
        <f>Table43[[#This Row],[Harga Jual Pcs GT
(-PPN)]]*Table43[[#This Row],[ISI/CTN]]</f>
        <v>0</v>
      </c>
      <c r="AQ236" s="42">
        <f>Table43[[#This Row],[Harga Jual Pcs GT
(-PPN)]]*1.11</f>
        <v>0</v>
      </c>
      <c r="AR236" s="42">
        <f>Table43[[#This Row],[Harga Jual Krt GT
(- PPN)]]*1.11</f>
        <v>0</v>
      </c>
      <c r="AS236" s="42">
        <f>Table43[[#This Row],[Harga Jual Pcs GT
(-PPN)]]</f>
        <v>0</v>
      </c>
      <c r="AT236" s="42">
        <f>(Table43[[#This Row],[Harga Jual Pcs MT
(-PPN)]]*Table43[[#This Row],[ISI/CTN]])</f>
        <v>0</v>
      </c>
      <c r="AU236" s="42">
        <f>Table43[[#This Row],[Harga Jual Pcs MT
(-PPN)]]*1.11</f>
        <v>0</v>
      </c>
      <c r="AV236" s="42">
        <f>Table43[[#This Row],[Harga Jual Pcs MT
(+PPN)]]*Table43[[#This Row],[ISI/CTN]]</f>
        <v>0</v>
      </c>
      <c r="AW236" s="47"/>
      <c r="AX236" s="7"/>
      <c r="AY236" s="7" t="str">
        <f ca="1">IF(TODAY()-Table43[[#This Row],[Efektif
Pembuatan]]&gt;60,"Lama","Baru")</f>
        <v>Lama</v>
      </c>
      <c r="AZ236" s="7" t="str">
        <f ca="1">IF(TODAY()-Table43[[#This Row],[Efektif Naik Harga]]&lt;30,"Naik","Sama")</f>
        <v>Sama</v>
      </c>
      <c r="BA236" s="7" t="str">
        <f>IF(Table43[[#This Row],[Kode BARANG Win2]]&lt;&gt;"","IDR","")</f>
        <v>IDR</v>
      </c>
      <c r="BB236" s="7" t="str">
        <f>CONCATENATE(Table43[[#This Row],[kode  1 Digit
(Nomor)]],Table43[[#This Row],[kode  4 Digit                (Nomor)]])</f>
        <v>10050</v>
      </c>
      <c r="BC236" s="7" t="str">
        <f>Table43[[#This Row],[Nama            Gramasi atau Jumlah Pack per CTN]]</f>
        <v>50ML</v>
      </c>
      <c r="BD236" s="7"/>
      <c r="BE236" s="7"/>
      <c r="BF236" s="4" t="str">
        <f>IF(Table43[[#This Row],[SATUAN Fix Win]]&lt;&gt;"","KRT")</f>
        <v>KRT</v>
      </c>
      <c r="BG236" s="4" t="str">
        <f>IF(Table43[[#This Row],[SATUAN Fix Win]]&lt;&gt;"","GD01")</f>
        <v>GD01</v>
      </c>
      <c r="BH236" s="4">
        <f>IF(Table43[[#This Row],[SATUAN Fix Win]]&lt;&gt;"",11611)</f>
        <v>11611</v>
      </c>
      <c r="BI236" s="4">
        <f>IF(Table43[[#This Row],[SATUAN Fix Win]]&lt;&gt;"",11612)</f>
        <v>11612</v>
      </c>
      <c r="BJ236" s="48"/>
      <c r="BK236" s="4">
        <f>IF(Table43[[#This Row],[SATUAN Fix Win]]&lt;&gt;"",1)</f>
        <v>1</v>
      </c>
    </row>
    <row r="237" spans="1:63">
      <c r="A237" s="4" t="str">
        <f>CONCATENATE(Table43[[#This Row],[Kode BARANG Win2]],Table43[[#This Row],[No. Urut
Item Sama]])</f>
        <v>K11530030050101</v>
      </c>
      <c r="B237" s="7">
        <v>1</v>
      </c>
      <c r="D237" s="28" t="s">
        <v>678</v>
      </c>
      <c r="E237" s="28"/>
      <c r="F237" s="28" t="s">
        <v>3055</v>
      </c>
      <c r="G237" s="78">
        <v>36</v>
      </c>
      <c r="H237" s="43"/>
      <c r="I237" s="28" t="str">
        <f>Table43[[#This Row],[Nama Jenis Kemasan]]</f>
        <v>BTL</v>
      </c>
      <c r="J237" s="4" t="str">
        <f>TRIM(CONCATENATE(Table43[[#This Row],[Nama            KLP]]," ",Table43[[#This Row],[Nama            Sub KLP]]))</f>
        <v>ESKULIN KIDS H.SANITIZER</v>
      </c>
      <c r="K237" s="4" t="str">
        <f>CONCATENATE(Table43[[#This Row],[kode  2 Digit                (hrf+No)]],Table43[[#This Row],[kode  2 Digit                (Nomor)]],Table43[[#This Row],[kode  1 Digit                (Nomor)]])</f>
        <v>K1153</v>
      </c>
      <c r="L237" s="4" t="str">
        <f t="shared" si="12"/>
        <v>K1153003005010</v>
      </c>
      <c r="M237" s="11">
        <f t="shared" si="13"/>
        <v>14</v>
      </c>
      <c r="N237" s="14" t="str">
        <f>IF(AF237&lt;&gt;"",TRIM(UPPER(CONCATENATE(P237," ",R237," ",T237," ",V237," ",X237," ",Z237," ","X"," ",Table43[[#This Row],[ISI/CTN]]," ",AF237," ",AB237," ",AD237," ",AH237))),TRIM(UPPER(CONCATENATE(P237," ",R237," ",T237," ",V237," ",X237," ",Z237," ","X"," ",Table43[[#This Row],[ISI/CTN]]," ",AB237," ",AD237," ",AH237))))</f>
        <v>KNF ESKULIN KIDS H.SANITIZER POOH 50ML X 36 BTL</v>
      </c>
      <c r="O237" s="11">
        <f t="shared" si="14"/>
        <v>47</v>
      </c>
      <c r="P237" s="4" t="s">
        <v>97</v>
      </c>
      <c r="Q237" s="7" t="s">
        <v>98</v>
      </c>
      <c r="R237" s="4" t="s">
        <v>3754</v>
      </c>
      <c r="S237" s="44" t="s">
        <v>3568</v>
      </c>
      <c r="T237" s="45" t="s">
        <v>3760</v>
      </c>
      <c r="U237" s="7" t="s">
        <v>3590</v>
      </c>
      <c r="V237" s="45" t="s">
        <v>2961</v>
      </c>
      <c r="W237" s="44" t="s">
        <v>2900</v>
      </c>
      <c r="X237" s="4" t="s">
        <v>3759</v>
      </c>
      <c r="Y237" s="46" t="s">
        <v>2473</v>
      </c>
      <c r="Z237" s="4" t="s">
        <v>3654</v>
      </c>
      <c r="AA237" s="46" t="s">
        <v>2490</v>
      </c>
      <c r="AB237" s="4" t="s">
        <v>357</v>
      </c>
      <c r="AC237" s="7" t="s">
        <v>2656</v>
      </c>
      <c r="AD237" s="4" t="s">
        <v>2961</v>
      </c>
      <c r="AE237" s="7" t="s">
        <v>2900</v>
      </c>
      <c r="AF237" s="7" t="s">
        <v>2961</v>
      </c>
      <c r="AG237" s="7" t="s">
        <v>2961</v>
      </c>
      <c r="AI237" s="7" t="s">
        <v>4100</v>
      </c>
      <c r="AJ237" s="7" t="s">
        <v>2656</v>
      </c>
      <c r="AK237" s="41">
        <f>Table43[[#This Row],[Harga Jual Pcs GT
(-PPN)]]-(Table43[[#This Row],[Harga Jual Pcs GT
(-PPN)]]*10%)</f>
        <v>0</v>
      </c>
      <c r="AL237" s="42">
        <f>Table43[[#This Row],[Harga Beli Pcs
(-PPN)]]*Table43[[#This Row],[ISI/CTN]]</f>
        <v>0</v>
      </c>
      <c r="AM237" s="42">
        <f>Table43[[#This Row],[Harga Beli Pcs
(-PPN)]]*1.11</f>
        <v>0</v>
      </c>
      <c r="AN237" s="42">
        <f>Table43[[#This Row],[Harga Beli Krt
(- PPN)]]*1.11</f>
        <v>0</v>
      </c>
      <c r="AO237" s="42"/>
      <c r="AP237" s="42">
        <f>Table43[[#This Row],[Harga Jual Pcs GT
(-PPN)]]*Table43[[#This Row],[ISI/CTN]]</f>
        <v>0</v>
      </c>
      <c r="AQ237" s="42">
        <f>Table43[[#This Row],[Harga Jual Pcs GT
(-PPN)]]*1.11</f>
        <v>0</v>
      </c>
      <c r="AR237" s="42">
        <f>Table43[[#This Row],[Harga Jual Krt GT
(- PPN)]]*1.11</f>
        <v>0</v>
      </c>
      <c r="AS237" s="42">
        <f>Table43[[#This Row],[Harga Jual Pcs GT
(-PPN)]]</f>
        <v>0</v>
      </c>
      <c r="AT237" s="42">
        <f>(Table43[[#This Row],[Harga Jual Pcs MT
(-PPN)]]*Table43[[#This Row],[ISI/CTN]])</f>
        <v>0</v>
      </c>
      <c r="AU237" s="42">
        <f>Table43[[#This Row],[Harga Jual Pcs MT
(-PPN)]]*1.11</f>
        <v>0</v>
      </c>
      <c r="AV237" s="42">
        <f>Table43[[#This Row],[Harga Jual Pcs MT
(+PPN)]]*Table43[[#This Row],[ISI/CTN]]</f>
        <v>0</v>
      </c>
      <c r="AW237" s="47"/>
      <c r="AX237" s="7"/>
      <c r="AY237" s="7" t="str">
        <f ca="1">IF(TODAY()-Table43[[#This Row],[Efektif
Pembuatan]]&gt;60,"Lama","Baru")</f>
        <v>Lama</v>
      </c>
      <c r="AZ237" s="7" t="str">
        <f ca="1">IF(TODAY()-Table43[[#This Row],[Efektif Naik Harga]]&lt;30,"Naik","Sama")</f>
        <v>Sama</v>
      </c>
      <c r="BA237" s="7" t="str">
        <f>IF(Table43[[#This Row],[Kode BARANG Win2]]&lt;&gt;"","IDR","")</f>
        <v>IDR</v>
      </c>
      <c r="BB237" s="7" t="str">
        <f>CONCATENATE(Table43[[#This Row],[kode  1 Digit
(Nomor)]],Table43[[#This Row],[kode  4 Digit                (Nomor)]])</f>
        <v>10050</v>
      </c>
      <c r="BC237" s="7" t="str">
        <f>Table43[[#This Row],[Nama            Gramasi atau Jumlah Pack per CTN]]</f>
        <v>50ML</v>
      </c>
      <c r="BD237" s="7"/>
      <c r="BE237" s="7"/>
      <c r="BF237" s="4" t="str">
        <f>IF(Table43[[#This Row],[SATUAN Fix Win]]&lt;&gt;"","KRT")</f>
        <v>KRT</v>
      </c>
      <c r="BG237" s="4" t="str">
        <f>IF(Table43[[#This Row],[SATUAN Fix Win]]&lt;&gt;"","GD01")</f>
        <v>GD01</v>
      </c>
      <c r="BH237" s="4">
        <f>IF(Table43[[#This Row],[SATUAN Fix Win]]&lt;&gt;"",11611)</f>
        <v>11611</v>
      </c>
      <c r="BI237" s="4">
        <f>IF(Table43[[#This Row],[SATUAN Fix Win]]&lt;&gt;"",11612)</f>
        <v>11612</v>
      </c>
      <c r="BJ237" s="48"/>
      <c r="BK237" s="4">
        <f>IF(Table43[[#This Row],[SATUAN Fix Win]]&lt;&gt;"",1)</f>
        <v>1</v>
      </c>
    </row>
    <row r="238" spans="1:63">
      <c r="A238" s="4" t="str">
        <f>CONCATENATE(Table43[[#This Row],[Kode BARANG Win2]],Table43[[#This Row],[No. Urut
Item Sama]])</f>
        <v>K11530040050101</v>
      </c>
      <c r="B238" s="7">
        <v>1</v>
      </c>
      <c r="D238" s="28" t="s">
        <v>681</v>
      </c>
      <c r="E238" s="28"/>
      <c r="F238" s="28" t="s">
        <v>3056</v>
      </c>
      <c r="G238" s="78">
        <v>36</v>
      </c>
      <c r="H238" s="43"/>
      <c r="I238" s="28" t="str">
        <f>Table43[[#This Row],[Nama Jenis Kemasan]]</f>
        <v>BTL</v>
      </c>
      <c r="J238" s="4" t="str">
        <f>TRIM(CONCATENATE(Table43[[#This Row],[Nama            KLP]]," ",Table43[[#This Row],[Nama            Sub KLP]]))</f>
        <v>ESKULIN KIDS H.SANITIZER</v>
      </c>
      <c r="K238" s="4" t="str">
        <f>CONCATENATE(Table43[[#This Row],[kode  2 Digit                (hrf+No)]],Table43[[#This Row],[kode  2 Digit                (Nomor)]],Table43[[#This Row],[kode  1 Digit                (Nomor)]])</f>
        <v>K1153</v>
      </c>
      <c r="L238" s="4" t="str">
        <f t="shared" si="12"/>
        <v>K1153004005010</v>
      </c>
      <c r="M238" s="11">
        <f t="shared" si="13"/>
        <v>14</v>
      </c>
      <c r="N238" s="14" t="str">
        <f>IF(AF238&lt;&gt;"",TRIM(UPPER(CONCATENATE(P238," ",R238," ",T238," ",V238," ",X238," ",Z238," ","X"," ",Table43[[#This Row],[ISI/CTN]]," ",AF238," ",AB238," ",AD238," ",AH238))),TRIM(UPPER(CONCATENATE(P238," ",R238," ",T238," ",V238," ",X238," ",Z238," ","X"," ",Table43[[#This Row],[ISI/CTN]]," ",AB238," ",AD238," ",AH238))))</f>
        <v>KNF ESKULIN KIDS H.SANITIZER TIGGER 50ML X 36 BTL</v>
      </c>
      <c r="O238" s="11">
        <f t="shared" si="14"/>
        <v>49</v>
      </c>
      <c r="P238" s="4" t="s">
        <v>97</v>
      </c>
      <c r="Q238" s="7" t="s">
        <v>98</v>
      </c>
      <c r="R238" s="4" t="s">
        <v>3754</v>
      </c>
      <c r="S238" s="44" t="s">
        <v>3568</v>
      </c>
      <c r="T238" s="45" t="s">
        <v>3760</v>
      </c>
      <c r="U238" s="7" t="s">
        <v>3590</v>
      </c>
      <c r="V238" s="45" t="s">
        <v>2961</v>
      </c>
      <c r="W238" s="44" t="s">
        <v>2900</v>
      </c>
      <c r="X238" s="4" t="s">
        <v>3762</v>
      </c>
      <c r="Y238" s="46" t="s">
        <v>2474</v>
      </c>
      <c r="Z238" s="4" t="s">
        <v>3654</v>
      </c>
      <c r="AA238" s="46" t="s">
        <v>2490</v>
      </c>
      <c r="AB238" s="4" t="s">
        <v>357</v>
      </c>
      <c r="AC238" s="7" t="s">
        <v>2656</v>
      </c>
      <c r="AD238" s="4" t="s">
        <v>2961</v>
      </c>
      <c r="AE238" s="7" t="s">
        <v>2900</v>
      </c>
      <c r="AF238" s="7" t="s">
        <v>2961</v>
      </c>
      <c r="AG238" s="7" t="s">
        <v>2961</v>
      </c>
      <c r="AI238" s="7" t="s">
        <v>4100</v>
      </c>
      <c r="AJ238" s="7" t="s">
        <v>2656</v>
      </c>
      <c r="AK238" s="41">
        <f>Table43[[#This Row],[Harga Jual Pcs GT
(-PPN)]]-(Table43[[#This Row],[Harga Jual Pcs GT
(-PPN)]]*10%)</f>
        <v>0</v>
      </c>
      <c r="AL238" s="42">
        <f>Table43[[#This Row],[Harga Beli Pcs
(-PPN)]]*Table43[[#This Row],[ISI/CTN]]</f>
        <v>0</v>
      </c>
      <c r="AM238" s="42">
        <f>Table43[[#This Row],[Harga Beli Pcs
(-PPN)]]*1.11</f>
        <v>0</v>
      </c>
      <c r="AN238" s="42">
        <f>Table43[[#This Row],[Harga Beli Krt
(- PPN)]]*1.11</f>
        <v>0</v>
      </c>
      <c r="AO238" s="42"/>
      <c r="AP238" s="42">
        <f>Table43[[#This Row],[Harga Jual Pcs GT
(-PPN)]]*Table43[[#This Row],[ISI/CTN]]</f>
        <v>0</v>
      </c>
      <c r="AQ238" s="42">
        <f>Table43[[#This Row],[Harga Jual Pcs GT
(-PPN)]]*1.11</f>
        <v>0</v>
      </c>
      <c r="AR238" s="42">
        <f>Table43[[#This Row],[Harga Jual Krt GT
(- PPN)]]*1.11</f>
        <v>0</v>
      </c>
      <c r="AS238" s="42">
        <f>Table43[[#This Row],[Harga Jual Pcs GT
(-PPN)]]</f>
        <v>0</v>
      </c>
      <c r="AT238" s="42">
        <f>(Table43[[#This Row],[Harga Jual Pcs MT
(-PPN)]]*Table43[[#This Row],[ISI/CTN]])</f>
        <v>0</v>
      </c>
      <c r="AU238" s="42">
        <f>Table43[[#This Row],[Harga Jual Pcs MT
(-PPN)]]*1.11</f>
        <v>0</v>
      </c>
      <c r="AV238" s="42">
        <f>Table43[[#This Row],[Harga Jual Pcs MT
(+PPN)]]*Table43[[#This Row],[ISI/CTN]]</f>
        <v>0</v>
      </c>
      <c r="AW238" s="47"/>
      <c r="AX238" s="7"/>
      <c r="AY238" s="7" t="str">
        <f ca="1">IF(TODAY()-Table43[[#This Row],[Efektif
Pembuatan]]&gt;60,"Lama","Baru")</f>
        <v>Lama</v>
      </c>
      <c r="AZ238" s="7" t="str">
        <f ca="1">IF(TODAY()-Table43[[#This Row],[Efektif Naik Harga]]&lt;30,"Naik","Sama")</f>
        <v>Sama</v>
      </c>
      <c r="BA238" s="7" t="str">
        <f>IF(Table43[[#This Row],[Kode BARANG Win2]]&lt;&gt;"","IDR","")</f>
        <v>IDR</v>
      </c>
      <c r="BB238" s="7" t="str">
        <f>CONCATENATE(Table43[[#This Row],[kode  1 Digit
(Nomor)]],Table43[[#This Row],[kode  4 Digit                (Nomor)]])</f>
        <v>10050</v>
      </c>
      <c r="BC238" s="7" t="str">
        <f>Table43[[#This Row],[Nama            Gramasi atau Jumlah Pack per CTN]]</f>
        <v>50ML</v>
      </c>
      <c r="BD238" s="7"/>
      <c r="BE238" s="7"/>
      <c r="BF238" s="4" t="str">
        <f>IF(Table43[[#This Row],[SATUAN Fix Win]]&lt;&gt;"","KRT")</f>
        <v>KRT</v>
      </c>
      <c r="BG238" s="4" t="str">
        <f>IF(Table43[[#This Row],[SATUAN Fix Win]]&lt;&gt;"","GD01")</f>
        <v>GD01</v>
      </c>
      <c r="BH238" s="4">
        <f>IF(Table43[[#This Row],[SATUAN Fix Win]]&lt;&gt;"",11611)</f>
        <v>11611</v>
      </c>
      <c r="BI238" s="4">
        <f>IF(Table43[[#This Row],[SATUAN Fix Win]]&lt;&gt;"",11612)</f>
        <v>11612</v>
      </c>
      <c r="BJ238" s="48"/>
      <c r="BK238" s="4">
        <f>IF(Table43[[#This Row],[SATUAN Fix Win]]&lt;&gt;"",1)</f>
        <v>1</v>
      </c>
    </row>
    <row r="239" spans="1:63">
      <c r="A239" s="4" t="str">
        <f>CONCATENATE(Table43[[#This Row],[Kode BARANG Win2]],Table43[[#This Row],[No. Urut
Item Sama]])</f>
        <v>K11530050018101</v>
      </c>
      <c r="B239" s="7">
        <v>1</v>
      </c>
      <c r="D239" s="28" t="s">
        <v>668</v>
      </c>
      <c r="E239" s="28"/>
      <c r="F239" s="28" t="s">
        <v>3057</v>
      </c>
      <c r="G239" s="78">
        <v>72</v>
      </c>
      <c r="H239" s="43"/>
      <c r="I239" s="28" t="str">
        <f>Table43[[#This Row],[Nama Jenis Kemasan]]</f>
        <v>BTL</v>
      </c>
      <c r="J239" s="4" t="str">
        <f>TRIM(CONCATENATE(Table43[[#This Row],[Nama            KLP]]," ",Table43[[#This Row],[Nama            Sub KLP]]))</f>
        <v>ESKULIN KIDS H.SANITIZER</v>
      </c>
      <c r="K239" s="4" t="str">
        <f>CONCATENATE(Table43[[#This Row],[kode  2 Digit                (hrf+No)]],Table43[[#This Row],[kode  2 Digit                (Nomor)]],Table43[[#This Row],[kode  1 Digit                (Nomor)]])</f>
        <v>K1153</v>
      </c>
      <c r="L239" s="4" t="str">
        <f t="shared" si="12"/>
        <v>K1153005001810</v>
      </c>
      <c r="M239" s="11">
        <f t="shared" si="13"/>
        <v>14</v>
      </c>
      <c r="N239" s="14" t="str">
        <f>IF(AF239&lt;&gt;"",TRIM(UPPER(CONCATENATE(P239," ",R239," ",T239," ",V239," ",X239," ",Z239," ","X"," ",Table43[[#This Row],[ISI/CTN]]," ",AF239," ",AB239," ",AD239," ",AH239))),TRIM(UPPER(CONCATENATE(P239," ",R239," ",T239," ",V239," ",X239," ",Z239," ","X"," ",Table43[[#This Row],[ISI/CTN]]," ",AB239," ",AD239," ",AH239))))</f>
        <v>KNF ESKULIN KIDS H.SANITIZER TSUMTSUM 18ML X 72 BTL</v>
      </c>
      <c r="O239" s="11">
        <f t="shared" si="14"/>
        <v>51</v>
      </c>
      <c r="P239" s="4" t="s">
        <v>97</v>
      </c>
      <c r="Q239" s="7" t="s">
        <v>98</v>
      </c>
      <c r="R239" s="4" t="s">
        <v>3754</v>
      </c>
      <c r="S239" s="44" t="s">
        <v>3568</v>
      </c>
      <c r="T239" s="45" t="s">
        <v>3760</v>
      </c>
      <c r="U239" s="7" t="s">
        <v>3590</v>
      </c>
      <c r="V239" s="45" t="s">
        <v>2961</v>
      </c>
      <c r="W239" s="44" t="s">
        <v>2900</v>
      </c>
      <c r="X239" s="4" t="s">
        <v>3763</v>
      </c>
      <c r="Y239" s="46" t="s">
        <v>2475</v>
      </c>
      <c r="Z239" s="4" t="s">
        <v>3764</v>
      </c>
      <c r="AA239" s="46" t="s">
        <v>2493</v>
      </c>
      <c r="AB239" s="4" t="s">
        <v>357</v>
      </c>
      <c r="AC239" s="7" t="s">
        <v>2656</v>
      </c>
      <c r="AD239" s="4" t="s">
        <v>2961</v>
      </c>
      <c r="AE239" s="7" t="s">
        <v>2900</v>
      </c>
      <c r="AF239" s="7" t="s">
        <v>2961</v>
      </c>
      <c r="AG239" s="7" t="s">
        <v>2961</v>
      </c>
      <c r="AI239" s="7" t="s">
        <v>4100</v>
      </c>
      <c r="AJ239" s="7" t="s">
        <v>2656</v>
      </c>
      <c r="AK239" s="41">
        <f>Table43[[#This Row],[Harga Jual Pcs GT
(-PPN)]]-(Table43[[#This Row],[Harga Jual Pcs GT
(-PPN)]]*10%)</f>
        <v>0</v>
      </c>
      <c r="AL239" s="42">
        <f>Table43[[#This Row],[Harga Beli Pcs
(-PPN)]]*Table43[[#This Row],[ISI/CTN]]</f>
        <v>0</v>
      </c>
      <c r="AM239" s="42">
        <f>Table43[[#This Row],[Harga Beli Pcs
(-PPN)]]*1.11</f>
        <v>0</v>
      </c>
      <c r="AN239" s="42">
        <f>Table43[[#This Row],[Harga Beli Krt
(- PPN)]]*1.11</f>
        <v>0</v>
      </c>
      <c r="AO239" s="42"/>
      <c r="AP239" s="42">
        <f>Table43[[#This Row],[Harga Jual Pcs GT
(-PPN)]]*Table43[[#This Row],[ISI/CTN]]</f>
        <v>0</v>
      </c>
      <c r="AQ239" s="42">
        <f>Table43[[#This Row],[Harga Jual Pcs GT
(-PPN)]]*1.11</f>
        <v>0</v>
      </c>
      <c r="AR239" s="42">
        <f>Table43[[#This Row],[Harga Jual Krt GT
(- PPN)]]*1.11</f>
        <v>0</v>
      </c>
      <c r="AS239" s="42">
        <f>Table43[[#This Row],[Harga Jual Pcs GT
(-PPN)]]</f>
        <v>0</v>
      </c>
      <c r="AT239" s="42">
        <f>(Table43[[#This Row],[Harga Jual Pcs MT
(-PPN)]]*Table43[[#This Row],[ISI/CTN]])</f>
        <v>0</v>
      </c>
      <c r="AU239" s="42">
        <f>Table43[[#This Row],[Harga Jual Pcs MT
(-PPN)]]*1.11</f>
        <v>0</v>
      </c>
      <c r="AV239" s="42">
        <f>Table43[[#This Row],[Harga Jual Pcs MT
(+PPN)]]*Table43[[#This Row],[ISI/CTN]]</f>
        <v>0</v>
      </c>
      <c r="AW239" s="47"/>
      <c r="AX239" s="7"/>
      <c r="AY239" s="7" t="str">
        <f ca="1">IF(TODAY()-Table43[[#This Row],[Efektif
Pembuatan]]&gt;60,"Lama","Baru")</f>
        <v>Lama</v>
      </c>
      <c r="AZ239" s="7" t="str">
        <f ca="1">IF(TODAY()-Table43[[#This Row],[Efektif Naik Harga]]&lt;30,"Naik","Sama")</f>
        <v>Sama</v>
      </c>
      <c r="BA239" s="7" t="str">
        <f>IF(Table43[[#This Row],[Kode BARANG Win2]]&lt;&gt;"","IDR","")</f>
        <v>IDR</v>
      </c>
      <c r="BB239" s="7" t="str">
        <f>CONCATENATE(Table43[[#This Row],[kode  1 Digit
(Nomor)]],Table43[[#This Row],[kode  4 Digit                (Nomor)]])</f>
        <v>10018</v>
      </c>
      <c r="BC239" s="7" t="str">
        <f>Table43[[#This Row],[Nama            Gramasi atau Jumlah Pack per CTN]]</f>
        <v>18ML</v>
      </c>
      <c r="BD239" s="7"/>
      <c r="BE239" s="7"/>
      <c r="BF239" s="4" t="str">
        <f>IF(Table43[[#This Row],[SATUAN Fix Win]]&lt;&gt;"","KRT")</f>
        <v>KRT</v>
      </c>
      <c r="BG239" s="4" t="str">
        <f>IF(Table43[[#This Row],[SATUAN Fix Win]]&lt;&gt;"","GD01")</f>
        <v>GD01</v>
      </c>
      <c r="BH239" s="4">
        <f>IF(Table43[[#This Row],[SATUAN Fix Win]]&lt;&gt;"",11611)</f>
        <v>11611</v>
      </c>
      <c r="BI239" s="4">
        <f>IF(Table43[[#This Row],[SATUAN Fix Win]]&lt;&gt;"",11612)</f>
        <v>11612</v>
      </c>
      <c r="BJ239" s="48"/>
      <c r="BK239" s="4">
        <f>IF(Table43[[#This Row],[SATUAN Fix Win]]&lt;&gt;"",1)</f>
        <v>1</v>
      </c>
    </row>
    <row r="240" spans="1:63">
      <c r="A240" s="4" t="str">
        <f>CONCATENATE(Table43[[#This Row],[Kode BARANG Win2]],Table43[[#This Row],[No. Urut
Item Sama]])</f>
        <v>K11530050050201</v>
      </c>
      <c r="B240" s="7">
        <v>1</v>
      </c>
      <c r="D240" s="28" t="s">
        <v>672</v>
      </c>
      <c r="E240" s="28"/>
      <c r="F240" s="28" t="s">
        <v>3058</v>
      </c>
      <c r="G240" s="78">
        <v>36</v>
      </c>
      <c r="H240" s="43"/>
      <c r="I240" s="28" t="str">
        <f>Table43[[#This Row],[Nama Jenis Kemasan]]</f>
        <v>BTL</v>
      </c>
      <c r="J240" s="4" t="str">
        <f>TRIM(CONCATENATE(Table43[[#This Row],[Nama            KLP]]," ",Table43[[#This Row],[Nama            Sub KLP]]))</f>
        <v>ESKULIN KIDS H.SANITIZER</v>
      </c>
      <c r="K240" s="4" t="str">
        <f>CONCATENATE(Table43[[#This Row],[kode  2 Digit                (hrf+No)]],Table43[[#This Row],[kode  2 Digit                (Nomor)]],Table43[[#This Row],[kode  1 Digit                (Nomor)]])</f>
        <v>K1153</v>
      </c>
      <c r="L240" s="4" t="str">
        <f t="shared" si="12"/>
        <v>K1153005005020</v>
      </c>
      <c r="M240" s="11">
        <f t="shared" si="13"/>
        <v>14</v>
      </c>
      <c r="N240" s="14" t="str">
        <f>IF(AF240&lt;&gt;"",TRIM(UPPER(CONCATENATE(P240," ",R240," ",T240," ",V240," ",X240," ",Z240," ","X"," ",Table43[[#This Row],[ISI/CTN]]," ",AF240," ",AB240," ",AD240," ",AH240))),TRIM(UPPER(CONCATENATE(P240," ",R240," ",T240," ",V240," ",X240," ",Z240," ","X"," ",Table43[[#This Row],[ISI/CTN]]," ",AB240," ",AD240," ",AH240))))</f>
        <v>KNF ESKULIN KIDS H.SANITIZER TSUMTSUM 50ML X 36 BTL</v>
      </c>
      <c r="O240" s="11">
        <f t="shared" si="14"/>
        <v>51</v>
      </c>
      <c r="P240" s="4" t="s">
        <v>97</v>
      </c>
      <c r="Q240" s="7" t="s">
        <v>98</v>
      </c>
      <c r="R240" s="4" t="s">
        <v>3754</v>
      </c>
      <c r="S240" s="44" t="s">
        <v>3568</v>
      </c>
      <c r="T240" s="45" t="s">
        <v>3760</v>
      </c>
      <c r="U240" s="7" t="s">
        <v>3590</v>
      </c>
      <c r="V240" s="45" t="s">
        <v>2961</v>
      </c>
      <c r="W240" s="44" t="s">
        <v>2900</v>
      </c>
      <c r="X240" s="4" t="s">
        <v>3763</v>
      </c>
      <c r="Y240" s="46" t="s">
        <v>2475</v>
      </c>
      <c r="Z240" s="4" t="s">
        <v>3654</v>
      </c>
      <c r="AA240" s="46" t="s">
        <v>2490</v>
      </c>
      <c r="AB240" s="4" t="s">
        <v>357</v>
      </c>
      <c r="AC240" s="7" t="s">
        <v>3562</v>
      </c>
      <c r="AD240" s="4" t="s">
        <v>2961</v>
      </c>
      <c r="AE240" s="7" t="s">
        <v>2900</v>
      </c>
      <c r="AF240" s="7" t="s">
        <v>2961</v>
      </c>
      <c r="AG240" s="7" t="s">
        <v>2961</v>
      </c>
      <c r="AI240" s="7" t="s">
        <v>4100</v>
      </c>
      <c r="AJ240" s="7" t="s">
        <v>2656</v>
      </c>
      <c r="AK240" s="41">
        <f>Table43[[#This Row],[Harga Jual Pcs GT
(-PPN)]]-(Table43[[#This Row],[Harga Jual Pcs GT
(-PPN)]]*10%)</f>
        <v>0</v>
      </c>
      <c r="AL240" s="42">
        <f>Table43[[#This Row],[Harga Beli Pcs
(-PPN)]]*Table43[[#This Row],[ISI/CTN]]</f>
        <v>0</v>
      </c>
      <c r="AM240" s="42">
        <f>Table43[[#This Row],[Harga Beli Pcs
(-PPN)]]*1.11</f>
        <v>0</v>
      </c>
      <c r="AN240" s="42">
        <f>Table43[[#This Row],[Harga Beli Krt
(- PPN)]]*1.11</f>
        <v>0</v>
      </c>
      <c r="AO240" s="42"/>
      <c r="AP240" s="42">
        <f>Table43[[#This Row],[Harga Jual Pcs GT
(-PPN)]]*Table43[[#This Row],[ISI/CTN]]</f>
        <v>0</v>
      </c>
      <c r="AQ240" s="42">
        <f>Table43[[#This Row],[Harga Jual Pcs GT
(-PPN)]]*1.11</f>
        <v>0</v>
      </c>
      <c r="AR240" s="42">
        <f>Table43[[#This Row],[Harga Jual Krt GT
(- PPN)]]*1.11</f>
        <v>0</v>
      </c>
      <c r="AS240" s="42">
        <f>Table43[[#This Row],[Harga Jual Pcs GT
(-PPN)]]</f>
        <v>0</v>
      </c>
      <c r="AT240" s="42">
        <f>(Table43[[#This Row],[Harga Jual Pcs MT
(-PPN)]]*Table43[[#This Row],[ISI/CTN]])</f>
        <v>0</v>
      </c>
      <c r="AU240" s="42">
        <f>Table43[[#This Row],[Harga Jual Pcs MT
(-PPN)]]*1.11</f>
        <v>0</v>
      </c>
      <c r="AV240" s="42">
        <f>Table43[[#This Row],[Harga Jual Pcs MT
(+PPN)]]*Table43[[#This Row],[ISI/CTN]]</f>
        <v>0</v>
      </c>
      <c r="AW240" s="47"/>
      <c r="AX240" s="7"/>
      <c r="AY240" s="7" t="str">
        <f ca="1">IF(TODAY()-Table43[[#This Row],[Efektif
Pembuatan]]&gt;60,"Lama","Baru")</f>
        <v>Lama</v>
      </c>
      <c r="AZ240" s="7" t="str">
        <f ca="1">IF(TODAY()-Table43[[#This Row],[Efektif Naik Harga]]&lt;30,"Naik","Sama")</f>
        <v>Sama</v>
      </c>
      <c r="BA240" s="7" t="str">
        <f>IF(Table43[[#This Row],[Kode BARANG Win2]]&lt;&gt;"","IDR","")</f>
        <v>IDR</v>
      </c>
      <c r="BB240" s="7" t="str">
        <f>CONCATENATE(Table43[[#This Row],[kode  1 Digit
(Nomor)]],Table43[[#This Row],[kode  4 Digit                (Nomor)]])</f>
        <v>10050</v>
      </c>
      <c r="BC240" s="7" t="str">
        <f>Table43[[#This Row],[Nama            Gramasi atau Jumlah Pack per CTN]]</f>
        <v>50ML</v>
      </c>
      <c r="BD240" s="7"/>
      <c r="BE240" s="7"/>
      <c r="BF240" s="4" t="str">
        <f>IF(Table43[[#This Row],[SATUAN Fix Win]]&lt;&gt;"","KRT")</f>
        <v>KRT</v>
      </c>
      <c r="BG240" s="4" t="str">
        <f>IF(Table43[[#This Row],[SATUAN Fix Win]]&lt;&gt;"","GD01")</f>
        <v>GD01</v>
      </c>
      <c r="BH240" s="4">
        <f>IF(Table43[[#This Row],[SATUAN Fix Win]]&lt;&gt;"",11611)</f>
        <v>11611</v>
      </c>
      <c r="BI240" s="4">
        <f>IF(Table43[[#This Row],[SATUAN Fix Win]]&lt;&gt;"",11612)</f>
        <v>11612</v>
      </c>
      <c r="BJ240" s="48"/>
      <c r="BK240" s="4">
        <f>IF(Table43[[#This Row],[SATUAN Fix Win]]&lt;&gt;"",1)</f>
        <v>1</v>
      </c>
    </row>
    <row r="241" spans="1:63">
      <c r="A241" s="4" t="str">
        <f>CONCATENATE(Table43[[#This Row],[Kode BARANG Win2]],Table43[[#This Row],[No. Urut
Item Sama]])</f>
        <v>K11540010150101</v>
      </c>
      <c r="B241" s="7">
        <v>1</v>
      </c>
      <c r="D241" s="28" t="s">
        <v>786</v>
      </c>
      <c r="E241" s="28"/>
      <c r="F241" s="28" t="s">
        <v>3059</v>
      </c>
      <c r="G241" s="78">
        <v>36</v>
      </c>
      <c r="H241" s="43"/>
      <c r="I241" s="28" t="str">
        <f>Table43[[#This Row],[Nama Jenis Kemasan]]</f>
        <v>BTL</v>
      </c>
      <c r="J241" s="4" t="str">
        <f>TRIM(CONCATENATE(Table43[[#This Row],[Nama            KLP]]," ",Table43[[#This Row],[Nama            Sub KLP]]))</f>
        <v>ESKULIN KIDS POWDER</v>
      </c>
      <c r="K241" s="4" t="str">
        <f>CONCATENATE(Table43[[#This Row],[kode  2 Digit                (hrf+No)]],Table43[[#This Row],[kode  2 Digit                (Nomor)]],Table43[[#This Row],[kode  1 Digit                (Nomor)]])</f>
        <v>K1154</v>
      </c>
      <c r="L241" s="4" t="str">
        <f t="shared" si="12"/>
        <v>K1154001015010</v>
      </c>
      <c r="M241" s="11">
        <f t="shared" si="13"/>
        <v>14</v>
      </c>
      <c r="N241" s="14" t="str">
        <f>IF(AF241&lt;&gt;"",TRIM(UPPER(CONCATENATE(P241," ",R241," ",T241," ",V241," ",X241," ",Z241," ","X"," ",Table43[[#This Row],[ISI/CTN]]," ",AF241," ",AB241," ",AD241," ",AH241))),TRIM(UPPER(CONCATENATE(P241," ",R241," ",T241," ",V241," ",X241," ",Z241," ","X"," ",Table43[[#This Row],[ISI/CTN]]," ",AB241," ",AD241," ",AH241))))</f>
        <v>KNF ESKULIN KIDS POWDER CINDERELLA 150GR X 36 BTL</v>
      </c>
      <c r="O241" s="11">
        <f t="shared" si="14"/>
        <v>49</v>
      </c>
      <c r="P241" s="4" t="s">
        <v>97</v>
      </c>
      <c r="Q241" s="7" t="s">
        <v>98</v>
      </c>
      <c r="R241" s="4" t="s">
        <v>3754</v>
      </c>
      <c r="S241" s="44" t="s">
        <v>3568</v>
      </c>
      <c r="T241" s="45" t="s">
        <v>3596</v>
      </c>
      <c r="U241" s="7" t="s">
        <v>3593</v>
      </c>
      <c r="V241" s="45" t="s">
        <v>2961</v>
      </c>
      <c r="W241" s="44" t="s">
        <v>2900</v>
      </c>
      <c r="X241" s="4" t="s">
        <v>3765</v>
      </c>
      <c r="Y241" s="46" t="s">
        <v>0</v>
      </c>
      <c r="Z241" s="4" t="s">
        <v>3600</v>
      </c>
      <c r="AA241" s="46" t="s">
        <v>2482</v>
      </c>
      <c r="AB241" s="4" t="s">
        <v>357</v>
      </c>
      <c r="AC241" s="7" t="s">
        <v>2656</v>
      </c>
      <c r="AD241" s="4" t="s">
        <v>2961</v>
      </c>
      <c r="AE241" s="7" t="s">
        <v>2900</v>
      </c>
      <c r="AF241" s="7" t="s">
        <v>2961</v>
      </c>
      <c r="AG241" s="7" t="s">
        <v>2961</v>
      </c>
      <c r="AI241" s="7" t="s">
        <v>2463</v>
      </c>
      <c r="AJ241" s="7" t="s">
        <v>3562</v>
      </c>
      <c r="AK241" s="41">
        <f>Table43[[#This Row],[Harga Jual Pcs GT
(-PPN)]]-(Table43[[#This Row],[Harga Jual Pcs GT
(-PPN)]]*10%)</f>
        <v>0</v>
      </c>
      <c r="AL241" s="42">
        <f>Table43[[#This Row],[Harga Beli Pcs
(-PPN)]]*Table43[[#This Row],[ISI/CTN]]</f>
        <v>0</v>
      </c>
      <c r="AM241" s="42">
        <f>Table43[[#This Row],[Harga Beli Pcs
(-PPN)]]*1.11</f>
        <v>0</v>
      </c>
      <c r="AN241" s="42">
        <f>Table43[[#This Row],[Harga Beli Krt
(- PPN)]]*1.11</f>
        <v>0</v>
      </c>
      <c r="AO241" s="42"/>
      <c r="AP241" s="42">
        <f>Table43[[#This Row],[Harga Jual Pcs GT
(-PPN)]]*Table43[[#This Row],[ISI/CTN]]</f>
        <v>0</v>
      </c>
      <c r="AQ241" s="42">
        <f>Table43[[#This Row],[Harga Jual Pcs GT
(-PPN)]]*1.11</f>
        <v>0</v>
      </c>
      <c r="AR241" s="42">
        <f>Table43[[#This Row],[Harga Jual Krt GT
(- PPN)]]*1.11</f>
        <v>0</v>
      </c>
      <c r="AS241" s="42">
        <f>Table43[[#This Row],[Harga Jual Pcs GT
(-PPN)]]</f>
        <v>0</v>
      </c>
      <c r="AT241" s="42">
        <f>(Table43[[#This Row],[Harga Jual Pcs MT
(-PPN)]]*Table43[[#This Row],[ISI/CTN]])</f>
        <v>0</v>
      </c>
      <c r="AU241" s="42">
        <f>Table43[[#This Row],[Harga Jual Pcs MT
(-PPN)]]*1.11</f>
        <v>0</v>
      </c>
      <c r="AV241" s="42">
        <f>Table43[[#This Row],[Harga Jual Pcs MT
(+PPN)]]*Table43[[#This Row],[ISI/CTN]]</f>
        <v>0</v>
      </c>
      <c r="AW241" s="47"/>
      <c r="AX241" s="7"/>
      <c r="AY241" s="7" t="str">
        <f ca="1">IF(TODAY()-Table43[[#This Row],[Efektif
Pembuatan]]&gt;60,"Lama","Baru")</f>
        <v>Lama</v>
      </c>
      <c r="AZ241" s="7" t="str">
        <f ca="1">IF(TODAY()-Table43[[#This Row],[Efektif Naik Harga]]&lt;30,"Naik","Sama")</f>
        <v>Sama</v>
      </c>
      <c r="BA241" s="7" t="str">
        <f>IF(Table43[[#This Row],[Kode BARANG Win2]]&lt;&gt;"","IDR","")</f>
        <v>IDR</v>
      </c>
      <c r="BB241" s="7" t="str">
        <f>CONCATENATE(Table43[[#This Row],[kode  1 Digit
(Nomor)]],Table43[[#This Row],[kode  4 Digit                (Nomor)]])</f>
        <v>20150</v>
      </c>
      <c r="BC241" s="7" t="str">
        <f>Table43[[#This Row],[Nama            Gramasi atau Jumlah Pack per CTN]]</f>
        <v>150GR</v>
      </c>
      <c r="BD241" s="7"/>
      <c r="BE241" s="7"/>
      <c r="BF241" s="4" t="str">
        <f>IF(Table43[[#This Row],[SATUAN Fix Win]]&lt;&gt;"","KRT")</f>
        <v>KRT</v>
      </c>
      <c r="BG241" s="4" t="str">
        <f>IF(Table43[[#This Row],[SATUAN Fix Win]]&lt;&gt;"","GD01")</f>
        <v>GD01</v>
      </c>
      <c r="BH241" s="4">
        <f>IF(Table43[[#This Row],[SATUAN Fix Win]]&lt;&gt;"",11611)</f>
        <v>11611</v>
      </c>
      <c r="BI241" s="4">
        <f>IF(Table43[[#This Row],[SATUAN Fix Win]]&lt;&gt;"",11612)</f>
        <v>11612</v>
      </c>
      <c r="BJ241" s="48"/>
      <c r="BK241" s="4">
        <f>IF(Table43[[#This Row],[SATUAN Fix Win]]&lt;&gt;"",1)</f>
        <v>1</v>
      </c>
    </row>
    <row r="242" spans="1:63">
      <c r="A242" s="4" t="str">
        <f>CONCATENATE(Table43[[#This Row],[Kode BARANG Win2]],Table43[[#This Row],[No. Urut
Item Sama]])</f>
        <v>K11540020150101</v>
      </c>
      <c r="B242" s="7">
        <v>1</v>
      </c>
      <c r="D242" s="28" t="s">
        <v>692</v>
      </c>
      <c r="E242" s="28"/>
      <c r="F242" s="28" t="s">
        <v>3060</v>
      </c>
      <c r="G242" s="78">
        <v>36</v>
      </c>
      <c r="H242" s="43"/>
      <c r="I242" s="28" t="str">
        <f>Table43[[#This Row],[Nama Jenis Kemasan]]</f>
        <v>BTL</v>
      </c>
      <c r="J242" s="4" t="str">
        <f>TRIM(CONCATENATE(Table43[[#This Row],[Nama            KLP]]," ",Table43[[#This Row],[Nama            Sub KLP]]))</f>
        <v>ESKULIN KIDS POWDER</v>
      </c>
      <c r="K242" s="4" t="str">
        <f>CONCATENATE(Table43[[#This Row],[kode  2 Digit                (hrf+No)]],Table43[[#This Row],[kode  2 Digit                (Nomor)]],Table43[[#This Row],[kode  1 Digit                (Nomor)]])</f>
        <v>K1154</v>
      </c>
      <c r="L242" s="4" t="str">
        <f t="shared" si="12"/>
        <v>K1154002015010</v>
      </c>
      <c r="M242" s="11">
        <f t="shared" si="13"/>
        <v>14</v>
      </c>
      <c r="N242" s="14" t="str">
        <f>IF(AF242&lt;&gt;"",TRIM(UPPER(CONCATENATE(P242," ",R242," ",T242," ",V242," ",X242," ",Z242," ","X"," ",Table43[[#This Row],[ISI/CTN]]," ",AF242," ",AB242," ",AD242," ",AH242))),TRIM(UPPER(CONCATENATE(P242," ",R242," ",T242," ",V242," ",X242," ",Z242," ","X"," ",Table43[[#This Row],[ISI/CTN]]," ",AB242," ",AD242," ",AH242))))</f>
        <v>KNF ESKULIN KIDS POWDER MINNIE 150GR X 36 BTL</v>
      </c>
      <c r="O242" s="11">
        <f t="shared" si="14"/>
        <v>45</v>
      </c>
      <c r="P242" s="4" t="s">
        <v>97</v>
      </c>
      <c r="Q242" s="7" t="s">
        <v>98</v>
      </c>
      <c r="R242" s="4" t="s">
        <v>3754</v>
      </c>
      <c r="S242" s="44" t="s">
        <v>3568</v>
      </c>
      <c r="T242" s="45" t="s">
        <v>3596</v>
      </c>
      <c r="U242" s="7" t="s">
        <v>3593</v>
      </c>
      <c r="V242" s="45" t="s">
        <v>2961</v>
      </c>
      <c r="W242" s="44" t="s">
        <v>2900</v>
      </c>
      <c r="X242" s="4" t="s">
        <v>3766</v>
      </c>
      <c r="Y242" s="46" t="s">
        <v>2472</v>
      </c>
      <c r="Z242" s="4" t="s">
        <v>3600</v>
      </c>
      <c r="AA242" s="46" t="s">
        <v>2482</v>
      </c>
      <c r="AB242" s="4" t="s">
        <v>357</v>
      </c>
      <c r="AC242" s="7" t="s">
        <v>2656</v>
      </c>
      <c r="AD242" s="4" t="s">
        <v>2961</v>
      </c>
      <c r="AE242" s="7" t="s">
        <v>2900</v>
      </c>
      <c r="AF242" s="7" t="s">
        <v>2961</v>
      </c>
      <c r="AG242" s="7" t="s">
        <v>2961</v>
      </c>
      <c r="AI242" s="7" t="s">
        <v>2463</v>
      </c>
      <c r="AJ242" s="7" t="s">
        <v>3562</v>
      </c>
      <c r="AK242" s="41">
        <f>Table43[[#This Row],[Harga Jual Pcs GT
(-PPN)]]-(Table43[[#This Row],[Harga Jual Pcs GT
(-PPN)]]*10%)</f>
        <v>0</v>
      </c>
      <c r="AL242" s="42">
        <f>Table43[[#This Row],[Harga Beli Pcs
(-PPN)]]*Table43[[#This Row],[ISI/CTN]]</f>
        <v>0</v>
      </c>
      <c r="AM242" s="42">
        <f>Table43[[#This Row],[Harga Beli Pcs
(-PPN)]]*1.11</f>
        <v>0</v>
      </c>
      <c r="AN242" s="42">
        <f>Table43[[#This Row],[Harga Beli Krt
(- PPN)]]*1.11</f>
        <v>0</v>
      </c>
      <c r="AO242" s="42"/>
      <c r="AP242" s="42">
        <f>Table43[[#This Row],[Harga Jual Pcs GT
(-PPN)]]*Table43[[#This Row],[ISI/CTN]]</f>
        <v>0</v>
      </c>
      <c r="AQ242" s="42">
        <f>Table43[[#This Row],[Harga Jual Pcs GT
(-PPN)]]*1.11</f>
        <v>0</v>
      </c>
      <c r="AR242" s="42">
        <f>Table43[[#This Row],[Harga Jual Krt GT
(- PPN)]]*1.11</f>
        <v>0</v>
      </c>
      <c r="AS242" s="42">
        <f>Table43[[#This Row],[Harga Jual Pcs GT
(-PPN)]]</f>
        <v>0</v>
      </c>
      <c r="AT242" s="42">
        <f>(Table43[[#This Row],[Harga Jual Pcs MT
(-PPN)]]*Table43[[#This Row],[ISI/CTN]])</f>
        <v>0</v>
      </c>
      <c r="AU242" s="42">
        <f>Table43[[#This Row],[Harga Jual Pcs MT
(-PPN)]]*1.11</f>
        <v>0</v>
      </c>
      <c r="AV242" s="42">
        <f>Table43[[#This Row],[Harga Jual Pcs MT
(+PPN)]]*Table43[[#This Row],[ISI/CTN]]</f>
        <v>0</v>
      </c>
      <c r="AW242" s="47"/>
      <c r="AX242" s="7"/>
      <c r="AY242" s="7" t="str">
        <f ca="1">IF(TODAY()-Table43[[#This Row],[Efektif
Pembuatan]]&gt;60,"Lama","Baru")</f>
        <v>Lama</v>
      </c>
      <c r="AZ242" s="7" t="str">
        <f ca="1">IF(TODAY()-Table43[[#This Row],[Efektif Naik Harga]]&lt;30,"Naik","Sama")</f>
        <v>Sama</v>
      </c>
      <c r="BA242" s="7" t="str">
        <f>IF(Table43[[#This Row],[Kode BARANG Win2]]&lt;&gt;"","IDR","")</f>
        <v>IDR</v>
      </c>
      <c r="BB242" s="7" t="str">
        <f>CONCATENATE(Table43[[#This Row],[kode  1 Digit
(Nomor)]],Table43[[#This Row],[kode  4 Digit                (Nomor)]])</f>
        <v>20150</v>
      </c>
      <c r="BC242" s="7" t="str">
        <f>Table43[[#This Row],[Nama            Gramasi atau Jumlah Pack per CTN]]</f>
        <v>150GR</v>
      </c>
      <c r="BD242" s="7"/>
      <c r="BE242" s="7"/>
      <c r="BF242" s="4" t="str">
        <f>IF(Table43[[#This Row],[SATUAN Fix Win]]&lt;&gt;"","KRT")</f>
        <v>KRT</v>
      </c>
      <c r="BG242" s="4" t="str">
        <f>IF(Table43[[#This Row],[SATUAN Fix Win]]&lt;&gt;"","GD01")</f>
        <v>GD01</v>
      </c>
      <c r="BH242" s="4">
        <f>IF(Table43[[#This Row],[SATUAN Fix Win]]&lt;&gt;"",11611)</f>
        <v>11611</v>
      </c>
      <c r="BI242" s="4">
        <f>IF(Table43[[#This Row],[SATUAN Fix Win]]&lt;&gt;"",11612)</f>
        <v>11612</v>
      </c>
      <c r="BJ242" s="48"/>
      <c r="BK242" s="4">
        <f>IF(Table43[[#This Row],[SATUAN Fix Win]]&lt;&gt;"",1)</f>
        <v>1</v>
      </c>
    </row>
    <row r="243" spans="1:63">
      <c r="A243" s="4" t="str">
        <f>CONCATENATE(Table43[[#This Row],[Kode BARANG Win2]],Table43[[#This Row],[No. Urut
Item Sama]])</f>
        <v>K11540030150101</v>
      </c>
      <c r="B243" s="7">
        <v>1</v>
      </c>
      <c r="D243" s="28" t="s">
        <v>693</v>
      </c>
      <c r="E243" s="28"/>
      <c r="F243" s="28" t="s">
        <v>3061</v>
      </c>
      <c r="G243" s="78">
        <v>36</v>
      </c>
      <c r="H243" s="43"/>
      <c r="I243" s="28" t="str">
        <f>Table43[[#This Row],[Nama Jenis Kemasan]]</f>
        <v>BTL</v>
      </c>
      <c r="J243" s="4" t="str">
        <f>TRIM(CONCATENATE(Table43[[#This Row],[Nama            KLP]]," ",Table43[[#This Row],[Nama            Sub KLP]]))</f>
        <v>ESKULIN KIDS POWDER</v>
      </c>
      <c r="K243" s="4" t="str">
        <f>CONCATENATE(Table43[[#This Row],[kode  2 Digit                (hrf+No)]],Table43[[#This Row],[kode  2 Digit                (Nomor)]],Table43[[#This Row],[kode  1 Digit                (Nomor)]])</f>
        <v>K1154</v>
      </c>
      <c r="L243" s="4" t="str">
        <f t="shared" si="12"/>
        <v>K1154003015010</v>
      </c>
      <c r="M243" s="11">
        <f t="shared" si="13"/>
        <v>14</v>
      </c>
      <c r="N243" s="14" t="str">
        <f>IF(AF243&lt;&gt;"",TRIM(UPPER(CONCATENATE(P243," ",R243," ",T243," ",V243," ",X243," ",Z243," ","X"," ",Table43[[#This Row],[ISI/CTN]]," ",AF243," ",AB243," ",AD243," ",AH243))),TRIM(UPPER(CONCATENATE(P243," ",R243," ",T243," ",V243," ",X243," ",Z243," ","X"," ",Table43[[#This Row],[ISI/CTN]]," ",AB243," ",AD243," ",AH243))))</f>
        <v>KNF ESKULIN KIDS POWDER POOH 150GR X 36 BTL</v>
      </c>
      <c r="O243" s="11">
        <f t="shared" si="14"/>
        <v>43</v>
      </c>
      <c r="P243" s="4" t="s">
        <v>97</v>
      </c>
      <c r="Q243" s="7" t="s">
        <v>98</v>
      </c>
      <c r="R243" s="4" t="s">
        <v>3754</v>
      </c>
      <c r="S243" s="44" t="s">
        <v>3568</v>
      </c>
      <c r="T243" s="45" t="s">
        <v>3596</v>
      </c>
      <c r="U243" s="7" t="s">
        <v>3593</v>
      </c>
      <c r="V243" s="45" t="s">
        <v>2961</v>
      </c>
      <c r="W243" s="44" t="s">
        <v>2900</v>
      </c>
      <c r="X243" s="4" t="s">
        <v>3759</v>
      </c>
      <c r="Y243" s="46" t="s">
        <v>2473</v>
      </c>
      <c r="Z243" s="4" t="s">
        <v>3600</v>
      </c>
      <c r="AA243" s="46" t="s">
        <v>2482</v>
      </c>
      <c r="AB243" s="4" t="s">
        <v>357</v>
      </c>
      <c r="AC243" s="7" t="s">
        <v>2656</v>
      </c>
      <c r="AD243" s="4" t="s">
        <v>2961</v>
      </c>
      <c r="AE243" s="7" t="s">
        <v>2900</v>
      </c>
      <c r="AF243" s="7" t="s">
        <v>2961</v>
      </c>
      <c r="AG243" s="7" t="s">
        <v>2961</v>
      </c>
      <c r="AI243" s="7" t="s">
        <v>2463</v>
      </c>
      <c r="AJ243" s="7" t="s">
        <v>3562</v>
      </c>
      <c r="AK243" s="41">
        <f>Table43[[#This Row],[Harga Jual Pcs GT
(-PPN)]]-(Table43[[#This Row],[Harga Jual Pcs GT
(-PPN)]]*10%)</f>
        <v>0</v>
      </c>
      <c r="AL243" s="42">
        <f>Table43[[#This Row],[Harga Beli Pcs
(-PPN)]]*Table43[[#This Row],[ISI/CTN]]</f>
        <v>0</v>
      </c>
      <c r="AM243" s="42">
        <f>Table43[[#This Row],[Harga Beli Pcs
(-PPN)]]*1.11</f>
        <v>0</v>
      </c>
      <c r="AN243" s="42">
        <f>Table43[[#This Row],[Harga Beli Krt
(- PPN)]]*1.11</f>
        <v>0</v>
      </c>
      <c r="AO243" s="42"/>
      <c r="AP243" s="42">
        <f>Table43[[#This Row],[Harga Jual Pcs GT
(-PPN)]]*Table43[[#This Row],[ISI/CTN]]</f>
        <v>0</v>
      </c>
      <c r="AQ243" s="42">
        <f>Table43[[#This Row],[Harga Jual Pcs GT
(-PPN)]]*1.11</f>
        <v>0</v>
      </c>
      <c r="AR243" s="42">
        <f>Table43[[#This Row],[Harga Jual Krt GT
(- PPN)]]*1.11</f>
        <v>0</v>
      </c>
      <c r="AS243" s="42">
        <f>Table43[[#This Row],[Harga Jual Pcs GT
(-PPN)]]</f>
        <v>0</v>
      </c>
      <c r="AT243" s="42">
        <f>(Table43[[#This Row],[Harga Jual Pcs MT
(-PPN)]]*Table43[[#This Row],[ISI/CTN]])</f>
        <v>0</v>
      </c>
      <c r="AU243" s="42">
        <f>Table43[[#This Row],[Harga Jual Pcs MT
(-PPN)]]*1.11</f>
        <v>0</v>
      </c>
      <c r="AV243" s="42">
        <f>Table43[[#This Row],[Harga Jual Pcs MT
(+PPN)]]*Table43[[#This Row],[ISI/CTN]]</f>
        <v>0</v>
      </c>
      <c r="AW243" s="47"/>
      <c r="AX243" s="7"/>
      <c r="AY243" s="7" t="str">
        <f ca="1">IF(TODAY()-Table43[[#This Row],[Efektif
Pembuatan]]&gt;60,"Lama","Baru")</f>
        <v>Lama</v>
      </c>
      <c r="AZ243" s="7" t="str">
        <f ca="1">IF(TODAY()-Table43[[#This Row],[Efektif Naik Harga]]&lt;30,"Naik","Sama")</f>
        <v>Sama</v>
      </c>
      <c r="BA243" s="7" t="str">
        <f>IF(Table43[[#This Row],[Kode BARANG Win2]]&lt;&gt;"","IDR","")</f>
        <v>IDR</v>
      </c>
      <c r="BB243" s="7" t="str">
        <f>CONCATENATE(Table43[[#This Row],[kode  1 Digit
(Nomor)]],Table43[[#This Row],[kode  4 Digit                (Nomor)]])</f>
        <v>20150</v>
      </c>
      <c r="BC243" s="7" t="str">
        <f>Table43[[#This Row],[Nama            Gramasi atau Jumlah Pack per CTN]]</f>
        <v>150GR</v>
      </c>
      <c r="BD243" s="7"/>
      <c r="BE243" s="7"/>
      <c r="BF243" s="4" t="str">
        <f>IF(Table43[[#This Row],[SATUAN Fix Win]]&lt;&gt;"","KRT")</f>
        <v>KRT</v>
      </c>
      <c r="BG243" s="4" t="str">
        <f>IF(Table43[[#This Row],[SATUAN Fix Win]]&lt;&gt;"","GD01")</f>
        <v>GD01</v>
      </c>
      <c r="BH243" s="4">
        <f>IF(Table43[[#This Row],[SATUAN Fix Win]]&lt;&gt;"",11611)</f>
        <v>11611</v>
      </c>
      <c r="BI243" s="4">
        <f>IF(Table43[[#This Row],[SATUAN Fix Win]]&lt;&gt;"",11612)</f>
        <v>11612</v>
      </c>
      <c r="BJ243" s="48"/>
      <c r="BK243" s="4">
        <f>IF(Table43[[#This Row],[SATUAN Fix Win]]&lt;&gt;"",1)</f>
        <v>1</v>
      </c>
    </row>
    <row r="244" spans="1:63">
      <c r="A244" s="4" t="str">
        <f>CONCATENATE(Table43[[#This Row],[Kode BARANG Win2]],Table43[[#This Row],[No. Urut
Item Sama]])</f>
        <v>K11540040150101</v>
      </c>
      <c r="B244" s="7">
        <v>1</v>
      </c>
      <c r="D244" s="28" t="s">
        <v>787</v>
      </c>
      <c r="E244" s="28"/>
      <c r="F244" s="28" t="s">
        <v>3062</v>
      </c>
      <c r="G244" s="78">
        <v>36</v>
      </c>
      <c r="H244" s="43"/>
      <c r="I244" s="28" t="str">
        <f>Table43[[#This Row],[Nama Jenis Kemasan]]</f>
        <v>BTL</v>
      </c>
      <c r="J244" s="4" t="str">
        <f>TRIM(CONCATENATE(Table43[[#This Row],[Nama            KLP]]," ",Table43[[#This Row],[Nama            Sub KLP]]))</f>
        <v>ESKULIN KIDS POWDER</v>
      </c>
      <c r="K244" s="4" t="str">
        <f>CONCATENATE(Table43[[#This Row],[kode  2 Digit                (hrf+No)]],Table43[[#This Row],[kode  2 Digit                (Nomor)]],Table43[[#This Row],[kode  1 Digit                (Nomor)]])</f>
        <v>K1154</v>
      </c>
      <c r="L244" s="4" t="str">
        <f t="shared" si="12"/>
        <v>K1154004015010</v>
      </c>
      <c r="M244" s="11">
        <f t="shared" si="13"/>
        <v>14</v>
      </c>
      <c r="N244" s="14" t="str">
        <f>IF(AF244&lt;&gt;"",TRIM(UPPER(CONCATENATE(P244," ",R244," ",T244," ",V244," ",X244," ",Z244," ","X"," ",Table43[[#This Row],[ISI/CTN]]," ",AF244," ",AB244," ",AD244," ",AH244))),TRIM(UPPER(CONCATENATE(P244," ",R244," ",T244," ",V244," ",X244," ",Z244," ","X"," ",Table43[[#This Row],[ISI/CTN]]," ",AB244," ",AD244," ",AH244))))</f>
        <v>KNF ESKULIN KIDS POWDER PURE &amp; MILD 150GR X 36 BTL</v>
      </c>
      <c r="O244" s="11">
        <f t="shared" si="14"/>
        <v>50</v>
      </c>
      <c r="P244" s="4" t="s">
        <v>97</v>
      </c>
      <c r="Q244" s="7" t="s">
        <v>98</v>
      </c>
      <c r="R244" s="4" t="s">
        <v>3754</v>
      </c>
      <c r="S244" s="44" t="s">
        <v>3568</v>
      </c>
      <c r="T244" s="45" t="s">
        <v>3596</v>
      </c>
      <c r="U244" s="7" t="s">
        <v>3593</v>
      </c>
      <c r="V244" s="45" t="s">
        <v>2961</v>
      </c>
      <c r="W244" s="44" t="s">
        <v>2900</v>
      </c>
      <c r="X244" s="4" t="s">
        <v>3767</v>
      </c>
      <c r="Y244" s="46" t="s">
        <v>2474</v>
      </c>
      <c r="Z244" s="4" t="s">
        <v>3600</v>
      </c>
      <c r="AA244" s="46" t="s">
        <v>2482</v>
      </c>
      <c r="AB244" s="4" t="s">
        <v>357</v>
      </c>
      <c r="AC244" s="7" t="s">
        <v>2656</v>
      </c>
      <c r="AD244" s="4" t="s">
        <v>2961</v>
      </c>
      <c r="AE244" s="7" t="s">
        <v>2900</v>
      </c>
      <c r="AF244" s="7" t="s">
        <v>2961</v>
      </c>
      <c r="AG244" s="7" t="s">
        <v>2961</v>
      </c>
      <c r="AI244" s="7" t="s">
        <v>2463</v>
      </c>
      <c r="AJ244" s="7" t="s">
        <v>3562</v>
      </c>
      <c r="AK244" s="41">
        <f>Table43[[#This Row],[Harga Jual Pcs GT
(-PPN)]]-(Table43[[#This Row],[Harga Jual Pcs GT
(-PPN)]]*10%)</f>
        <v>0</v>
      </c>
      <c r="AL244" s="42">
        <f>Table43[[#This Row],[Harga Beli Pcs
(-PPN)]]*Table43[[#This Row],[ISI/CTN]]</f>
        <v>0</v>
      </c>
      <c r="AM244" s="42">
        <f>Table43[[#This Row],[Harga Beli Pcs
(-PPN)]]*1.11</f>
        <v>0</v>
      </c>
      <c r="AN244" s="42">
        <f>Table43[[#This Row],[Harga Beli Krt
(- PPN)]]*1.11</f>
        <v>0</v>
      </c>
      <c r="AO244" s="42"/>
      <c r="AP244" s="42">
        <f>Table43[[#This Row],[Harga Jual Pcs GT
(-PPN)]]*Table43[[#This Row],[ISI/CTN]]</f>
        <v>0</v>
      </c>
      <c r="AQ244" s="42">
        <f>Table43[[#This Row],[Harga Jual Pcs GT
(-PPN)]]*1.11</f>
        <v>0</v>
      </c>
      <c r="AR244" s="42">
        <f>Table43[[#This Row],[Harga Jual Krt GT
(- PPN)]]*1.11</f>
        <v>0</v>
      </c>
      <c r="AS244" s="42">
        <f>Table43[[#This Row],[Harga Jual Pcs GT
(-PPN)]]</f>
        <v>0</v>
      </c>
      <c r="AT244" s="42">
        <f>(Table43[[#This Row],[Harga Jual Pcs MT
(-PPN)]]*Table43[[#This Row],[ISI/CTN]])</f>
        <v>0</v>
      </c>
      <c r="AU244" s="42">
        <f>Table43[[#This Row],[Harga Jual Pcs MT
(-PPN)]]*1.11</f>
        <v>0</v>
      </c>
      <c r="AV244" s="42">
        <f>Table43[[#This Row],[Harga Jual Pcs MT
(+PPN)]]*Table43[[#This Row],[ISI/CTN]]</f>
        <v>0</v>
      </c>
      <c r="AW244" s="47"/>
      <c r="AX244" s="7"/>
      <c r="AY244" s="7" t="str">
        <f ca="1">IF(TODAY()-Table43[[#This Row],[Efektif
Pembuatan]]&gt;60,"Lama","Baru")</f>
        <v>Lama</v>
      </c>
      <c r="AZ244" s="7" t="str">
        <f ca="1">IF(TODAY()-Table43[[#This Row],[Efektif Naik Harga]]&lt;30,"Naik","Sama")</f>
        <v>Sama</v>
      </c>
      <c r="BA244" s="7" t="str">
        <f>IF(Table43[[#This Row],[Kode BARANG Win2]]&lt;&gt;"","IDR","")</f>
        <v>IDR</v>
      </c>
      <c r="BB244" s="7" t="str">
        <f>CONCATENATE(Table43[[#This Row],[kode  1 Digit
(Nomor)]],Table43[[#This Row],[kode  4 Digit                (Nomor)]])</f>
        <v>20150</v>
      </c>
      <c r="BC244" s="7" t="str">
        <f>Table43[[#This Row],[Nama            Gramasi atau Jumlah Pack per CTN]]</f>
        <v>150GR</v>
      </c>
      <c r="BD244" s="7"/>
      <c r="BE244" s="7"/>
      <c r="BF244" s="4" t="str">
        <f>IF(Table43[[#This Row],[SATUAN Fix Win]]&lt;&gt;"","KRT")</f>
        <v>KRT</v>
      </c>
      <c r="BG244" s="4" t="str">
        <f>IF(Table43[[#This Row],[SATUAN Fix Win]]&lt;&gt;"","GD01")</f>
        <v>GD01</v>
      </c>
      <c r="BH244" s="4">
        <f>IF(Table43[[#This Row],[SATUAN Fix Win]]&lt;&gt;"",11611)</f>
        <v>11611</v>
      </c>
      <c r="BI244" s="4">
        <f>IF(Table43[[#This Row],[SATUAN Fix Win]]&lt;&gt;"",11612)</f>
        <v>11612</v>
      </c>
      <c r="BJ244" s="48"/>
      <c r="BK244" s="4">
        <f>IF(Table43[[#This Row],[SATUAN Fix Win]]&lt;&gt;"",1)</f>
        <v>1</v>
      </c>
    </row>
    <row r="245" spans="1:63">
      <c r="A245" s="4" t="str">
        <f>CONCATENATE(Table43[[#This Row],[Kode BARANG Win2]],Table43[[#This Row],[No. Urut
Item Sama]])</f>
        <v>K11540050150102</v>
      </c>
      <c r="B245" s="7">
        <v>2</v>
      </c>
      <c r="D245" s="28" t="s">
        <v>788</v>
      </c>
      <c r="E245" s="28"/>
      <c r="F245" s="28" t="s">
        <v>3063</v>
      </c>
      <c r="G245" s="78">
        <v>36</v>
      </c>
      <c r="H245" s="43"/>
      <c r="I245" s="28" t="str">
        <f>Table43[[#This Row],[Nama Jenis Kemasan]]</f>
        <v>BTL</v>
      </c>
      <c r="J245" s="4" t="str">
        <f>TRIM(CONCATENATE(Table43[[#This Row],[Nama            KLP]]," ",Table43[[#This Row],[Nama            Sub KLP]]))</f>
        <v>ESKULIN KIDS POWDER</v>
      </c>
      <c r="K245" s="4" t="str">
        <f>CONCATENATE(Table43[[#This Row],[kode  2 Digit                (hrf+No)]],Table43[[#This Row],[kode  2 Digit                (Nomor)]],Table43[[#This Row],[kode  1 Digit                (Nomor)]])</f>
        <v>K1154</v>
      </c>
      <c r="L245" s="4" t="str">
        <f t="shared" si="12"/>
        <v>K1154005015010</v>
      </c>
      <c r="M245" s="11">
        <f t="shared" si="13"/>
        <v>14</v>
      </c>
      <c r="N245" s="14" t="str">
        <f>IF(AF245&lt;&gt;"",TRIM(UPPER(CONCATENATE(P245," ",R245," ",T245," ",V245," ",X245," ",Z245," ","X"," ",Table43[[#This Row],[ISI/CTN]]," ",AF245," ",AB245," ",AD245," ",AH245))),TRIM(UPPER(CONCATENATE(P245," ",R245," ",T245," ",V245," ",X245," ",Z245," ","X"," ",Table43[[#This Row],[ISI/CTN]]," ",AB245," ",AD245," ",AH245))))</f>
        <v>KNF ESKULIN KIDS POWDER SNOW WHITE 150GR X 36 BTL</v>
      </c>
      <c r="O245" s="11">
        <f t="shared" si="14"/>
        <v>49</v>
      </c>
      <c r="P245" s="4" t="s">
        <v>97</v>
      </c>
      <c r="Q245" s="7" t="s">
        <v>98</v>
      </c>
      <c r="R245" s="4" t="s">
        <v>3754</v>
      </c>
      <c r="S245" s="44" t="s">
        <v>3568</v>
      </c>
      <c r="T245" s="45" t="s">
        <v>3596</v>
      </c>
      <c r="U245" s="7" t="s">
        <v>3593</v>
      </c>
      <c r="V245" s="45" t="s">
        <v>2961</v>
      </c>
      <c r="W245" s="44" t="s">
        <v>2900</v>
      </c>
      <c r="X245" s="4" t="s">
        <v>3768</v>
      </c>
      <c r="Y245" s="46" t="s">
        <v>2475</v>
      </c>
      <c r="Z245" s="4" t="s">
        <v>3600</v>
      </c>
      <c r="AA245" s="46" t="s">
        <v>2482</v>
      </c>
      <c r="AB245" s="4" t="s">
        <v>357</v>
      </c>
      <c r="AC245" s="7" t="s">
        <v>2656</v>
      </c>
      <c r="AD245" s="4" t="s">
        <v>2961</v>
      </c>
      <c r="AE245" s="7" t="s">
        <v>2900</v>
      </c>
      <c r="AF245" s="7" t="s">
        <v>2961</v>
      </c>
      <c r="AG245" s="7" t="s">
        <v>2961</v>
      </c>
      <c r="AI245" s="7" t="s">
        <v>2463</v>
      </c>
      <c r="AJ245" s="7" t="s">
        <v>3562</v>
      </c>
      <c r="AK245" s="41">
        <f>Table43[[#This Row],[Harga Jual Pcs GT
(-PPN)]]-(Table43[[#This Row],[Harga Jual Pcs GT
(-PPN)]]*10%)</f>
        <v>0</v>
      </c>
      <c r="AL245" s="42">
        <f>Table43[[#This Row],[Harga Beli Pcs
(-PPN)]]*Table43[[#This Row],[ISI/CTN]]</f>
        <v>0</v>
      </c>
      <c r="AM245" s="42">
        <f>Table43[[#This Row],[Harga Beli Pcs
(-PPN)]]*1.11</f>
        <v>0</v>
      </c>
      <c r="AN245" s="42">
        <f>Table43[[#This Row],[Harga Beli Krt
(- PPN)]]*1.11</f>
        <v>0</v>
      </c>
      <c r="AO245" s="42"/>
      <c r="AP245" s="42">
        <f>Table43[[#This Row],[Harga Jual Pcs GT
(-PPN)]]*Table43[[#This Row],[ISI/CTN]]</f>
        <v>0</v>
      </c>
      <c r="AQ245" s="42">
        <f>Table43[[#This Row],[Harga Jual Pcs GT
(-PPN)]]*1.11</f>
        <v>0</v>
      </c>
      <c r="AR245" s="42">
        <f>Table43[[#This Row],[Harga Jual Krt GT
(- PPN)]]*1.11</f>
        <v>0</v>
      </c>
      <c r="AS245" s="42">
        <f>Table43[[#This Row],[Harga Jual Pcs GT
(-PPN)]]</f>
        <v>0</v>
      </c>
      <c r="AT245" s="42">
        <f>(Table43[[#This Row],[Harga Jual Pcs MT
(-PPN)]]*Table43[[#This Row],[ISI/CTN]])</f>
        <v>0</v>
      </c>
      <c r="AU245" s="42">
        <f>Table43[[#This Row],[Harga Jual Pcs MT
(-PPN)]]*1.11</f>
        <v>0</v>
      </c>
      <c r="AV245" s="42">
        <f>Table43[[#This Row],[Harga Jual Pcs MT
(+PPN)]]*Table43[[#This Row],[ISI/CTN]]</f>
        <v>0</v>
      </c>
      <c r="AW245" s="47"/>
      <c r="AX245" s="7"/>
      <c r="AY245" s="7" t="str">
        <f ca="1">IF(TODAY()-Table43[[#This Row],[Efektif
Pembuatan]]&gt;60,"Lama","Baru")</f>
        <v>Lama</v>
      </c>
      <c r="AZ245" s="7" t="str">
        <f ca="1">IF(TODAY()-Table43[[#This Row],[Efektif Naik Harga]]&lt;30,"Naik","Sama")</f>
        <v>Sama</v>
      </c>
      <c r="BA245" s="7" t="str">
        <f>IF(Table43[[#This Row],[Kode BARANG Win2]]&lt;&gt;"","IDR","")</f>
        <v>IDR</v>
      </c>
      <c r="BB245" s="7" t="str">
        <f>CONCATENATE(Table43[[#This Row],[kode  1 Digit
(Nomor)]],Table43[[#This Row],[kode  4 Digit                (Nomor)]])</f>
        <v>20150</v>
      </c>
      <c r="BC245" s="7" t="str">
        <f>Table43[[#This Row],[Nama            Gramasi atau Jumlah Pack per CTN]]</f>
        <v>150GR</v>
      </c>
      <c r="BD245" s="7"/>
      <c r="BE245" s="7"/>
      <c r="BF245" s="4" t="str">
        <f>IF(Table43[[#This Row],[SATUAN Fix Win]]&lt;&gt;"","KRT")</f>
        <v>KRT</v>
      </c>
      <c r="BG245" s="4" t="str">
        <f>IF(Table43[[#This Row],[SATUAN Fix Win]]&lt;&gt;"","GD01")</f>
        <v>GD01</v>
      </c>
      <c r="BH245" s="4">
        <f>IF(Table43[[#This Row],[SATUAN Fix Win]]&lt;&gt;"",11611)</f>
        <v>11611</v>
      </c>
      <c r="BI245" s="4">
        <f>IF(Table43[[#This Row],[SATUAN Fix Win]]&lt;&gt;"",11612)</f>
        <v>11612</v>
      </c>
      <c r="BJ245" s="48"/>
      <c r="BK245" s="4">
        <f>IF(Table43[[#This Row],[SATUAN Fix Win]]&lt;&gt;"",1)</f>
        <v>1</v>
      </c>
    </row>
    <row r="246" spans="1:63">
      <c r="A246" s="4" t="str">
        <f>CONCATENATE(Table43[[#This Row],[Kode BARANG Win2]],Table43[[#This Row],[No. Urut
Item Sama]])</f>
        <v>K11550010200201</v>
      </c>
      <c r="B246" s="7">
        <v>1</v>
      </c>
      <c r="D246" s="28" t="s">
        <v>760</v>
      </c>
      <c r="E246" s="28"/>
      <c r="F246" s="28" t="s">
        <v>3408</v>
      </c>
      <c r="G246" s="78">
        <v>36</v>
      </c>
      <c r="H246" s="43"/>
      <c r="I246" s="28" t="str">
        <f>Table43[[#This Row],[Nama Jenis Kemasan]]</f>
        <v>BTL</v>
      </c>
      <c r="J246" s="4" t="str">
        <f>TRIM(CONCATENATE(Table43[[#This Row],[Nama            KLP]]," ",Table43[[#This Row],[Nama            Sub KLP]]))</f>
        <v>ESKULIN KIDS SHAMPOO</v>
      </c>
      <c r="K246" s="4" t="str">
        <f>CONCATENATE(Table43[[#This Row],[kode  2 Digit                (hrf+No)]],Table43[[#This Row],[kode  2 Digit                (Nomor)]],Table43[[#This Row],[kode  1 Digit                (Nomor)]])</f>
        <v>K1155</v>
      </c>
      <c r="L246" s="4" t="str">
        <f t="shared" si="12"/>
        <v>K1155001020020</v>
      </c>
      <c r="M246" s="11">
        <f t="shared" si="13"/>
        <v>14</v>
      </c>
      <c r="N246" s="14" t="str">
        <f>IF(AF246&lt;&gt;"",TRIM(UPPER(CONCATENATE(P246," ",R246," ",T246," ",V246," ",X246," ",Z246," ","X"," ",Table43[[#This Row],[ISI/CTN]]," ",AF246," ",AB246," ",AD246," ",AH246))),TRIM(UPPER(CONCATENATE(P246," ",R246," ",T246," ",V246," ",X246," ",Z246," ","X"," ",Table43[[#This Row],[ISI/CTN]]," ",AB246," ",AD246," ",AH246))))</f>
        <v>KNF ESKULIN KIDS SHAMPOO ANNA 200ML X 36 BTL</v>
      </c>
      <c r="O246" s="11">
        <f t="shared" si="14"/>
        <v>44</v>
      </c>
      <c r="P246" s="4" t="s">
        <v>97</v>
      </c>
      <c r="Q246" s="7" t="s">
        <v>98</v>
      </c>
      <c r="R246" s="4" t="s">
        <v>3754</v>
      </c>
      <c r="S246" s="44" t="s">
        <v>3568</v>
      </c>
      <c r="T246" s="45" t="s">
        <v>3606</v>
      </c>
      <c r="U246" s="7" t="s">
        <v>3597</v>
      </c>
      <c r="V246" s="45" t="s">
        <v>2961</v>
      </c>
      <c r="W246" s="44" t="s">
        <v>2900</v>
      </c>
      <c r="X246" s="4" t="s">
        <v>3769</v>
      </c>
      <c r="Y246" s="46" t="s">
        <v>0</v>
      </c>
      <c r="Z246" s="4" t="s">
        <v>3582</v>
      </c>
      <c r="AA246" s="46" t="s">
        <v>2486</v>
      </c>
      <c r="AB246" s="4" t="s">
        <v>357</v>
      </c>
      <c r="AC246" s="7" t="s">
        <v>3562</v>
      </c>
      <c r="AD246" s="4" t="s">
        <v>2961</v>
      </c>
      <c r="AE246" s="7" t="s">
        <v>2900</v>
      </c>
      <c r="AF246" s="7" t="s">
        <v>2961</v>
      </c>
      <c r="AG246" s="7" t="s">
        <v>2961</v>
      </c>
      <c r="AI246" s="7" t="s">
        <v>4100</v>
      </c>
      <c r="AJ246" s="7" t="s">
        <v>2656</v>
      </c>
      <c r="AK246" s="41">
        <f>Table43[[#This Row],[Harga Jual Pcs GT
(-PPN)]]-(Table43[[#This Row],[Harga Jual Pcs GT
(-PPN)]]*10%)</f>
        <v>0</v>
      </c>
      <c r="AL246" s="42">
        <f>Table43[[#This Row],[Harga Beli Pcs
(-PPN)]]*Table43[[#This Row],[ISI/CTN]]</f>
        <v>0</v>
      </c>
      <c r="AM246" s="42">
        <f>Table43[[#This Row],[Harga Beli Pcs
(-PPN)]]*1.11</f>
        <v>0</v>
      </c>
      <c r="AN246" s="42">
        <f>Table43[[#This Row],[Harga Beli Krt
(- PPN)]]*1.11</f>
        <v>0</v>
      </c>
      <c r="AO246" s="42"/>
      <c r="AP246" s="42">
        <f>Table43[[#This Row],[Harga Jual Pcs GT
(-PPN)]]*Table43[[#This Row],[ISI/CTN]]</f>
        <v>0</v>
      </c>
      <c r="AQ246" s="42">
        <f>Table43[[#This Row],[Harga Jual Pcs GT
(-PPN)]]*1.11</f>
        <v>0</v>
      </c>
      <c r="AR246" s="42">
        <f>Table43[[#This Row],[Harga Jual Krt GT
(- PPN)]]*1.11</f>
        <v>0</v>
      </c>
      <c r="AS246" s="42">
        <f>Table43[[#This Row],[Harga Jual Pcs GT
(-PPN)]]</f>
        <v>0</v>
      </c>
      <c r="AT246" s="42">
        <f>(Table43[[#This Row],[Harga Jual Pcs MT
(-PPN)]]*Table43[[#This Row],[ISI/CTN]])</f>
        <v>0</v>
      </c>
      <c r="AU246" s="42">
        <f>Table43[[#This Row],[Harga Jual Pcs MT
(-PPN)]]*1.11</f>
        <v>0</v>
      </c>
      <c r="AV246" s="42">
        <f>Table43[[#This Row],[Harga Jual Pcs MT
(+PPN)]]*Table43[[#This Row],[ISI/CTN]]</f>
        <v>0</v>
      </c>
      <c r="AW246" s="47"/>
      <c r="AX246" s="7"/>
      <c r="AY246" s="7" t="str">
        <f ca="1">IF(TODAY()-Table43[[#This Row],[Efektif
Pembuatan]]&gt;60,"Lama","Baru")</f>
        <v>Lama</v>
      </c>
      <c r="AZ246" s="7" t="str">
        <f ca="1">IF(TODAY()-Table43[[#This Row],[Efektif Naik Harga]]&lt;30,"Naik","Sama")</f>
        <v>Sama</v>
      </c>
      <c r="BA246" s="7" t="str">
        <f>IF(Table43[[#This Row],[Kode BARANG Win2]]&lt;&gt;"","IDR","")</f>
        <v>IDR</v>
      </c>
      <c r="BB246" s="7" t="str">
        <f>CONCATENATE(Table43[[#This Row],[kode  1 Digit
(Nomor)]],Table43[[#This Row],[kode  4 Digit                (Nomor)]])</f>
        <v>10200</v>
      </c>
      <c r="BC246" s="7" t="str">
        <f>Table43[[#This Row],[Nama            Gramasi atau Jumlah Pack per CTN]]</f>
        <v>200ML</v>
      </c>
      <c r="BD246" s="7"/>
      <c r="BE246" s="7"/>
      <c r="BF246" s="4" t="str">
        <f>IF(Table43[[#This Row],[SATUAN Fix Win]]&lt;&gt;"","KRT")</f>
        <v>KRT</v>
      </c>
      <c r="BG246" s="4" t="str">
        <f>IF(Table43[[#This Row],[SATUAN Fix Win]]&lt;&gt;"","GD01")</f>
        <v>GD01</v>
      </c>
      <c r="BH246" s="4">
        <f>IF(Table43[[#This Row],[SATUAN Fix Win]]&lt;&gt;"",11611)</f>
        <v>11611</v>
      </c>
      <c r="BI246" s="4">
        <f>IF(Table43[[#This Row],[SATUAN Fix Win]]&lt;&gt;"",11612)</f>
        <v>11612</v>
      </c>
      <c r="BJ246" s="48"/>
      <c r="BK246" s="4">
        <f>IF(Table43[[#This Row],[SATUAN Fix Win]]&lt;&gt;"",1)</f>
        <v>1</v>
      </c>
    </row>
    <row r="247" spans="1:63">
      <c r="A247" s="4" t="str">
        <f>CONCATENATE(Table43[[#This Row],[Kode BARANG Win2]],Table43[[#This Row],[No. Urut
Item Sama]])</f>
        <v>K11550020200201</v>
      </c>
      <c r="B247" s="7">
        <v>1</v>
      </c>
      <c r="D247" s="28" t="s">
        <v>752</v>
      </c>
      <c r="E247" s="28"/>
      <c r="F247" s="28" t="s">
        <v>3451</v>
      </c>
      <c r="G247" s="78">
        <v>36</v>
      </c>
      <c r="H247" s="43"/>
      <c r="I247" s="28" t="str">
        <f>Table43[[#This Row],[Nama Jenis Kemasan]]</f>
        <v>BTL</v>
      </c>
      <c r="J247" s="4" t="str">
        <f>TRIM(CONCATENATE(Table43[[#This Row],[Nama            KLP]]," ",Table43[[#This Row],[Nama            Sub KLP]]))</f>
        <v>ESKULIN KIDS SHAMPOO</v>
      </c>
      <c r="K247" s="4" t="str">
        <f>CONCATENATE(Table43[[#This Row],[kode  2 Digit                (hrf+No)]],Table43[[#This Row],[kode  2 Digit                (Nomor)]],Table43[[#This Row],[kode  1 Digit                (Nomor)]])</f>
        <v>K1155</v>
      </c>
      <c r="L247" s="4" t="str">
        <f t="shared" si="12"/>
        <v>K1155002020020</v>
      </c>
      <c r="M247" s="11">
        <f t="shared" si="13"/>
        <v>14</v>
      </c>
      <c r="N247" s="14" t="str">
        <f>IF(AF247&lt;&gt;"",TRIM(UPPER(CONCATENATE(P247," ",R247," ",T247," ",V247," ",X247," ",Z247," ","X"," ",Table43[[#This Row],[ISI/CTN]]," ",AF247," ",AB247," ",AD247," ",AH247))),TRIM(UPPER(CONCATENATE(P247," ",R247," ",T247," ",V247," ",X247," ",Z247," ","X"," ",Table43[[#This Row],[ISI/CTN]]," ",AB247," ",AD247," ",AH247))))</f>
        <v>KNF ESKULIN KIDS SHAMPOO ARIEL 200ML X 36 BTL</v>
      </c>
      <c r="O247" s="11">
        <f t="shared" si="14"/>
        <v>45</v>
      </c>
      <c r="P247" s="4" t="s">
        <v>97</v>
      </c>
      <c r="Q247" s="7" t="s">
        <v>98</v>
      </c>
      <c r="R247" s="4" t="s">
        <v>3754</v>
      </c>
      <c r="S247" s="44" t="s">
        <v>3568</v>
      </c>
      <c r="T247" s="45" t="s">
        <v>3606</v>
      </c>
      <c r="U247" s="7" t="s">
        <v>3597</v>
      </c>
      <c r="V247" s="45" t="s">
        <v>2961</v>
      </c>
      <c r="W247" s="44" t="s">
        <v>2900</v>
      </c>
      <c r="X247" s="4" t="s">
        <v>3770</v>
      </c>
      <c r="Y247" s="46" t="s">
        <v>2472</v>
      </c>
      <c r="Z247" s="4" t="s">
        <v>3582</v>
      </c>
      <c r="AA247" s="46" t="s">
        <v>2486</v>
      </c>
      <c r="AB247" s="4" t="s">
        <v>357</v>
      </c>
      <c r="AC247" s="7" t="s">
        <v>3562</v>
      </c>
      <c r="AD247" s="4" t="s">
        <v>2961</v>
      </c>
      <c r="AE247" s="7" t="s">
        <v>2900</v>
      </c>
      <c r="AF247" s="7" t="s">
        <v>2961</v>
      </c>
      <c r="AG247" s="7" t="s">
        <v>2961</v>
      </c>
      <c r="AI247" s="7" t="s">
        <v>4100</v>
      </c>
      <c r="AJ247" s="7" t="s">
        <v>2656</v>
      </c>
      <c r="AK247" s="41">
        <f>Table43[[#This Row],[Harga Jual Pcs GT
(-PPN)]]-(Table43[[#This Row],[Harga Jual Pcs GT
(-PPN)]]*10%)</f>
        <v>0</v>
      </c>
      <c r="AL247" s="42">
        <f>Table43[[#This Row],[Harga Beli Pcs
(-PPN)]]*Table43[[#This Row],[ISI/CTN]]</f>
        <v>0</v>
      </c>
      <c r="AM247" s="42">
        <f>Table43[[#This Row],[Harga Beli Pcs
(-PPN)]]*1.11</f>
        <v>0</v>
      </c>
      <c r="AN247" s="42">
        <f>Table43[[#This Row],[Harga Beli Krt
(- PPN)]]*1.11</f>
        <v>0</v>
      </c>
      <c r="AO247" s="42"/>
      <c r="AP247" s="42">
        <f>Table43[[#This Row],[Harga Jual Pcs GT
(-PPN)]]*Table43[[#This Row],[ISI/CTN]]</f>
        <v>0</v>
      </c>
      <c r="AQ247" s="42">
        <f>Table43[[#This Row],[Harga Jual Pcs GT
(-PPN)]]*1.11</f>
        <v>0</v>
      </c>
      <c r="AR247" s="42">
        <f>Table43[[#This Row],[Harga Jual Krt GT
(- PPN)]]*1.11</f>
        <v>0</v>
      </c>
      <c r="AS247" s="42">
        <f>Table43[[#This Row],[Harga Jual Pcs GT
(-PPN)]]</f>
        <v>0</v>
      </c>
      <c r="AT247" s="42">
        <f>(Table43[[#This Row],[Harga Jual Pcs MT
(-PPN)]]*Table43[[#This Row],[ISI/CTN]])</f>
        <v>0</v>
      </c>
      <c r="AU247" s="42">
        <f>Table43[[#This Row],[Harga Jual Pcs MT
(-PPN)]]*1.11</f>
        <v>0</v>
      </c>
      <c r="AV247" s="42">
        <f>Table43[[#This Row],[Harga Jual Pcs MT
(+PPN)]]*Table43[[#This Row],[ISI/CTN]]</f>
        <v>0</v>
      </c>
      <c r="AW247" s="47"/>
      <c r="AX247" s="7"/>
      <c r="AY247" s="7" t="str">
        <f ca="1">IF(TODAY()-Table43[[#This Row],[Efektif
Pembuatan]]&gt;60,"Lama","Baru")</f>
        <v>Lama</v>
      </c>
      <c r="AZ247" s="7" t="str">
        <f ca="1">IF(TODAY()-Table43[[#This Row],[Efektif Naik Harga]]&lt;30,"Naik","Sama")</f>
        <v>Sama</v>
      </c>
      <c r="BA247" s="7" t="str">
        <f>IF(Table43[[#This Row],[Kode BARANG Win2]]&lt;&gt;"","IDR","")</f>
        <v>IDR</v>
      </c>
      <c r="BB247" s="7" t="str">
        <f>CONCATENATE(Table43[[#This Row],[kode  1 Digit
(Nomor)]],Table43[[#This Row],[kode  4 Digit                (Nomor)]])</f>
        <v>10200</v>
      </c>
      <c r="BC247" s="7" t="str">
        <f>Table43[[#This Row],[Nama            Gramasi atau Jumlah Pack per CTN]]</f>
        <v>200ML</v>
      </c>
      <c r="BD247" s="7"/>
      <c r="BE247" s="7"/>
      <c r="BF247" s="4" t="str">
        <f>IF(Table43[[#This Row],[SATUAN Fix Win]]&lt;&gt;"","KRT")</f>
        <v>KRT</v>
      </c>
      <c r="BG247" s="4" t="str">
        <f>IF(Table43[[#This Row],[SATUAN Fix Win]]&lt;&gt;"","GD01")</f>
        <v>GD01</v>
      </c>
      <c r="BH247" s="4">
        <f>IF(Table43[[#This Row],[SATUAN Fix Win]]&lt;&gt;"",11611)</f>
        <v>11611</v>
      </c>
      <c r="BI247" s="4">
        <f>IF(Table43[[#This Row],[SATUAN Fix Win]]&lt;&gt;"",11612)</f>
        <v>11612</v>
      </c>
      <c r="BJ247" s="48"/>
      <c r="BK247" s="4">
        <f>IF(Table43[[#This Row],[SATUAN Fix Win]]&lt;&gt;"",1)</f>
        <v>1</v>
      </c>
    </row>
    <row r="248" spans="1:63">
      <c r="A248" s="4" t="str">
        <f>CONCATENATE(Table43[[#This Row],[Kode BARANG Win2]],Table43[[#This Row],[No. Urut
Item Sama]])</f>
        <v>K11550020500201</v>
      </c>
      <c r="B248" s="7">
        <v>1</v>
      </c>
      <c r="D248" s="28" t="s">
        <v>754</v>
      </c>
      <c r="E248" s="28"/>
      <c r="F248" s="28" t="s">
        <v>3409</v>
      </c>
      <c r="G248" s="78">
        <v>12</v>
      </c>
      <c r="H248" s="43"/>
      <c r="I248" s="28" t="str">
        <f>Table43[[#This Row],[Nama Jenis Kemasan]]</f>
        <v>BTL</v>
      </c>
      <c r="J248" s="4" t="str">
        <f>TRIM(CONCATENATE(Table43[[#This Row],[Nama            KLP]]," ",Table43[[#This Row],[Nama            Sub KLP]]))</f>
        <v>ESKULIN KIDS SHAMPOO</v>
      </c>
      <c r="K248" s="4" t="str">
        <f>CONCATENATE(Table43[[#This Row],[kode  2 Digit                (hrf+No)]],Table43[[#This Row],[kode  2 Digit                (Nomor)]],Table43[[#This Row],[kode  1 Digit                (Nomor)]])</f>
        <v>K1155</v>
      </c>
      <c r="L248" s="4" t="str">
        <f t="shared" si="12"/>
        <v>K1155002050020</v>
      </c>
      <c r="M248" s="11">
        <f t="shared" si="13"/>
        <v>14</v>
      </c>
      <c r="N248" s="14" t="str">
        <f>IF(AF248&lt;&gt;"",TRIM(UPPER(CONCATENATE(P248," ",R248," ",T248," ",V248," ",X248," ",Z248," ","X"," ",Table43[[#This Row],[ISI/CTN]]," ",AF248," ",AB248," ",AD248," ",AH248))),TRIM(UPPER(CONCATENATE(P248," ",R248," ",T248," ",V248," ",X248," ",Z248," ","X"," ",Table43[[#This Row],[ISI/CTN]]," ",AB248," ",AD248," ",AH248))))</f>
        <v>KNF ESKULIN KIDS SHAMPOO ARIEL 500ML X 12 BTL</v>
      </c>
      <c r="O248" s="11">
        <f t="shared" si="14"/>
        <v>45</v>
      </c>
      <c r="P248" s="4" t="s">
        <v>97</v>
      </c>
      <c r="Q248" s="7" t="s">
        <v>98</v>
      </c>
      <c r="R248" s="4" t="s">
        <v>3754</v>
      </c>
      <c r="S248" s="44" t="s">
        <v>3568</v>
      </c>
      <c r="T248" s="45" t="s">
        <v>3606</v>
      </c>
      <c r="U248" s="7" t="s">
        <v>3597</v>
      </c>
      <c r="V248" s="45" t="s">
        <v>2961</v>
      </c>
      <c r="W248" s="44" t="s">
        <v>2900</v>
      </c>
      <c r="X248" s="4" t="s">
        <v>3770</v>
      </c>
      <c r="Y248" s="46" t="s">
        <v>2472</v>
      </c>
      <c r="Z248" s="4" t="s">
        <v>3771</v>
      </c>
      <c r="AA248" s="46" t="s">
        <v>2503</v>
      </c>
      <c r="AB248" s="4" t="s">
        <v>357</v>
      </c>
      <c r="AC248" s="7" t="s">
        <v>3562</v>
      </c>
      <c r="AD248" s="4" t="s">
        <v>2961</v>
      </c>
      <c r="AE248" s="7" t="s">
        <v>2900</v>
      </c>
      <c r="AF248" s="7" t="s">
        <v>2961</v>
      </c>
      <c r="AG248" s="7" t="s">
        <v>2961</v>
      </c>
      <c r="AI248" s="7" t="s">
        <v>4100</v>
      </c>
      <c r="AJ248" s="7" t="s">
        <v>2656</v>
      </c>
      <c r="AK248" s="41">
        <f>Table43[[#This Row],[Harga Jual Pcs GT
(-PPN)]]-(Table43[[#This Row],[Harga Jual Pcs GT
(-PPN)]]*10%)</f>
        <v>0</v>
      </c>
      <c r="AL248" s="42">
        <f>Table43[[#This Row],[Harga Beli Pcs
(-PPN)]]*Table43[[#This Row],[ISI/CTN]]</f>
        <v>0</v>
      </c>
      <c r="AM248" s="42">
        <f>Table43[[#This Row],[Harga Beli Pcs
(-PPN)]]*1.11</f>
        <v>0</v>
      </c>
      <c r="AN248" s="42">
        <f>Table43[[#This Row],[Harga Beli Krt
(- PPN)]]*1.11</f>
        <v>0</v>
      </c>
      <c r="AO248" s="42"/>
      <c r="AP248" s="42">
        <f>Table43[[#This Row],[Harga Jual Pcs GT
(-PPN)]]*Table43[[#This Row],[ISI/CTN]]</f>
        <v>0</v>
      </c>
      <c r="AQ248" s="42">
        <f>Table43[[#This Row],[Harga Jual Pcs GT
(-PPN)]]*1.11</f>
        <v>0</v>
      </c>
      <c r="AR248" s="42">
        <f>Table43[[#This Row],[Harga Jual Krt GT
(- PPN)]]*1.11</f>
        <v>0</v>
      </c>
      <c r="AS248" s="42">
        <f>Table43[[#This Row],[Harga Jual Pcs GT
(-PPN)]]</f>
        <v>0</v>
      </c>
      <c r="AT248" s="42">
        <f>(Table43[[#This Row],[Harga Jual Pcs MT
(-PPN)]]*Table43[[#This Row],[ISI/CTN]])</f>
        <v>0</v>
      </c>
      <c r="AU248" s="42">
        <f>Table43[[#This Row],[Harga Jual Pcs MT
(-PPN)]]*1.11</f>
        <v>0</v>
      </c>
      <c r="AV248" s="42">
        <f>Table43[[#This Row],[Harga Jual Pcs MT
(+PPN)]]*Table43[[#This Row],[ISI/CTN]]</f>
        <v>0</v>
      </c>
      <c r="AW248" s="47"/>
      <c r="AX248" s="7"/>
      <c r="AY248" s="7" t="str">
        <f ca="1">IF(TODAY()-Table43[[#This Row],[Efektif
Pembuatan]]&gt;60,"Lama","Baru")</f>
        <v>Lama</v>
      </c>
      <c r="AZ248" s="7" t="str">
        <f ca="1">IF(TODAY()-Table43[[#This Row],[Efektif Naik Harga]]&lt;30,"Naik","Sama")</f>
        <v>Sama</v>
      </c>
      <c r="BA248" s="7" t="str">
        <f>IF(Table43[[#This Row],[Kode BARANG Win2]]&lt;&gt;"","IDR","")</f>
        <v>IDR</v>
      </c>
      <c r="BB248" s="7" t="str">
        <f>CONCATENATE(Table43[[#This Row],[kode  1 Digit
(Nomor)]],Table43[[#This Row],[kode  4 Digit                (Nomor)]])</f>
        <v>10500</v>
      </c>
      <c r="BC248" s="7" t="str">
        <f>Table43[[#This Row],[Nama            Gramasi atau Jumlah Pack per CTN]]</f>
        <v>500ML</v>
      </c>
      <c r="BD248" s="7"/>
      <c r="BE248" s="7"/>
      <c r="BF248" s="4" t="str">
        <f>IF(Table43[[#This Row],[SATUAN Fix Win]]&lt;&gt;"","KRT")</f>
        <v>KRT</v>
      </c>
      <c r="BG248" s="4" t="str">
        <f>IF(Table43[[#This Row],[SATUAN Fix Win]]&lt;&gt;"","GD01")</f>
        <v>GD01</v>
      </c>
      <c r="BH248" s="4">
        <f>IF(Table43[[#This Row],[SATUAN Fix Win]]&lt;&gt;"",11611)</f>
        <v>11611</v>
      </c>
      <c r="BI248" s="4">
        <f>IF(Table43[[#This Row],[SATUAN Fix Win]]&lt;&gt;"",11612)</f>
        <v>11612</v>
      </c>
      <c r="BJ248" s="48"/>
      <c r="BK248" s="4">
        <f>IF(Table43[[#This Row],[SATUAN Fix Win]]&lt;&gt;"",1)</f>
        <v>1</v>
      </c>
    </row>
    <row r="249" spans="1:63">
      <c r="A249" s="4" t="str">
        <f>CONCATENATE(Table43[[#This Row],[Kode BARANG Win2]],Table43[[#This Row],[No. Urut
Item Sama]])</f>
        <v>K11550030100202</v>
      </c>
      <c r="B249" s="7">
        <v>2</v>
      </c>
      <c r="D249" s="28" t="s">
        <v>772</v>
      </c>
      <c r="E249" s="28"/>
      <c r="F249" s="28" t="s">
        <v>3410</v>
      </c>
      <c r="G249" s="78">
        <v>36</v>
      </c>
      <c r="H249" s="43"/>
      <c r="I249" s="28" t="str">
        <f>Table43[[#This Row],[Nama Jenis Kemasan]]</f>
        <v>BTL</v>
      </c>
      <c r="J249" s="4" t="str">
        <f>TRIM(CONCATENATE(Table43[[#This Row],[Nama            KLP]]," ",Table43[[#This Row],[Nama            Sub KLP]]))</f>
        <v>ESKULIN KIDS SHAMPOO</v>
      </c>
      <c r="K249" s="4" t="str">
        <f>CONCATENATE(Table43[[#This Row],[kode  2 Digit                (hrf+No)]],Table43[[#This Row],[kode  2 Digit                (Nomor)]],Table43[[#This Row],[kode  1 Digit                (Nomor)]])</f>
        <v>K1155</v>
      </c>
      <c r="L249" s="4" t="str">
        <f t="shared" si="12"/>
        <v>K1155003010020</v>
      </c>
      <c r="M249" s="11">
        <f t="shared" si="13"/>
        <v>14</v>
      </c>
      <c r="N249" s="14" t="str">
        <f>IF(AF249&lt;&gt;"",TRIM(UPPER(CONCATENATE(P249," ",R249," ",T249," ",V249," ",X249," ",Z249," ","X"," ",Table43[[#This Row],[ISI/CTN]]," ",AF249," ",AB249," ",AD249," ",AH249))),TRIM(UPPER(CONCATENATE(P249," ",R249," ",T249," ",V249," ",X249," ",Z249," ","X"," ",Table43[[#This Row],[ISI/CTN]]," ",AB249," ",AD249," ",AH249))))</f>
        <v>KNF ESKULIN KIDS SHAMPOO AVOCADO 100ML X 36 BTL</v>
      </c>
      <c r="O249" s="11">
        <f t="shared" si="14"/>
        <v>47</v>
      </c>
      <c r="P249" s="4" t="s">
        <v>97</v>
      </c>
      <c r="Q249" s="7" t="s">
        <v>98</v>
      </c>
      <c r="R249" s="4" t="s">
        <v>3754</v>
      </c>
      <c r="S249" s="44" t="s">
        <v>3568</v>
      </c>
      <c r="T249" s="45" t="s">
        <v>3606</v>
      </c>
      <c r="U249" s="7" t="s">
        <v>3597</v>
      </c>
      <c r="V249" s="45" t="s">
        <v>2961</v>
      </c>
      <c r="W249" s="44" t="s">
        <v>2900</v>
      </c>
      <c r="X249" s="4" t="s">
        <v>3772</v>
      </c>
      <c r="Y249" s="46" t="s">
        <v>2473</v>
      </c>
      <c r="Z249" s="4" t="s">
        <v>3588</v>
      </c>
      <c r="AA249" s="46" t="s">
        <v>2487</v>
      </c>
      <c r="AB249" s="4" t="s">
        <v>357</v>
      </c>
      <c r="AC249" s="7" t="s">
        <v>3562</v>
      </c>
      <c r="AD249" s="4" t="s">
        <v>2961</v>
      </c>
      <c r="AE249" s="7" t="s">
        <v>2900</v>
      </c>
      <c r="AF249" s="7" t="s">
        <v>2961</v>
      </c>
      <c r="AG249" s="7" t="s">
        <v>2961</v>
      </c>
      <c r="AI249" s="7" t="s">
        <v>4100</v>
      </c>
      <c r="AJ249" s="7" t="s">
        <v>2656</v>
      </c>
      <c r="AK249" s="41">
        <f>Table43[[#This Row],[Harga Jual Pcs GT
(-PPN)]]-(Table43[[#This Row],[Harga Jual Pcs GT
(-PPN)]]*10%)</f>
        <v>0</v>
      </c>
      <c r="AL249" s="42">
        <f>Table43[[#This Row],[Harga Beli Pcs
(-PPN)]]*Table43[[#This Row],[ISI/CTN]]</f>
        <v>0</v>
      </c>
      <c r="AM249" s="42">
        <f>Table43[[#This Row],[Harga Beli Pcs
(-PPN)]]*1.11</f>
        <v>0</v>
      </c>
      <c r="AN249" s="42">
        <f>Table43[[#This Row],[Harga Beli Krt
(- PPN)]]*1.11</f>
        <v>0</v>
      </c>
      <c r="AO249" s="42"/>
      <c r="AP249" s="42">
        <f>Table43[[#This Row],[Harga Jual Pcs GT
(-PPN)]]*Table43[[#This Row],[ISI/CTN]]</f>
        <v>0</v>
      </c>
      <c r="AQ249" s="42">
        <f>Table43[[#This Row],[Harga Jual Pcs GT
(-PPN)]]*1.11</f>
        <v>0</v>
      </c>
      <c r="AR249" s="42">
        <f>Table43[[#This Row],[Harga Jual Krt GT
(- PPN)]]*1.11</f>
        <v>0</v>
      </c>
      <c r="AS249" s="42">
        <f>Table43[[#This Row],[Harga Jual Pcs GT
(-PPN)]]</f>
        <v>0</v>
      </c>
      <c r="AT249" s="42">
        <f>(Table43[[#This Row],[Harga Jual Pcs MT
(-PPN)]]*Table43[[#This Row],[ISI/CTN]])</f>
        <v>0</v>
      </c>
      <c r="AU249" s="42">
        <f>Table43[[#This Row],[Harga Jual Pcs MT
(-PPN)]]*1.11</f>
        <v>0</v>
      </c>
      <c r="AV249" s="42">
        <f>Table43[[#This Row],[Harga Jual Pcs MT
(+PPN)]]*Table43[[#This Row],[ISI/CTN]]</f>
        <v>0</v>
      </c>
      <c r="AW249" s="47"/>
      <c r="AX249" s="7"/>
      <c r="AY249" s="7" t="str">
        <f ca="1">IF(TODAY()-Table43[[#This Row],[Efektif
Pembuatan]]&gt;60,"Lama","Baru")</f>
        <v>Lama</v>
      </c>
      <c r="AZ249" s="7" t="str">
        <f ca="1">IF(TODAY()-Table43[[#This Row],[Efektif Naik Harga]]&lt;30,"Naik","Sama")</f>
        <v>Sama</v>
      </c>
      <c r="BA249" s="7" t="str">
        <f>IF(Table43[[#This Row],[Kode BARANG Win2]]&lt;&gt;"","IDR","")</f>
        <v>IDR</v>
      </c>
      <c r="BB249" s="7" t="str">
        <f>CONCATENATE(Table43[[#This Row],[kode  1 Digit
(Nomor)]],Table43[[#This Row],[kode  4 Digit                (Nomor)]])</f>
        <v>10100</v>
      </c>
      <c r="BC249" s="7" t="str">
        <f>Table43[[#This Row],[Nama            Gramasi atau Jumlah Pack per CTN]]</f>
        <v>100ML</v>
      </c>
      <c r="BD249" s="7"/>
      <c r="BE249" s="7"/>
      <c r="BF249" s="4" t="str">
        <f>IF(Table43[[#This Row],[SATUAN Fix Win]]&lt;&gt;"","KRT")</f>
        <v>KRT</v>
      </c>
      <c r="BG249" s="4" t="str">
        <f>IF(Table43[[#This Row],[SATUAN Fix Win]]&lt;&gt;"","GD01")</f>
        <v>GD01</v>
      </c>
      <c r="BH249" s="4">
        <f>IF(Table43[[#This Row],[SATUAN Fix Win]]&lt;&gt;"",11611)</f>
        <v>11611</v>
      </c>
      <c r="BI249" s="4">
        <f>IF(Table43[[#This Row],[SATUAN Fix Win]]&lt;&gt;"",11612)</f>
        <v>11612</v>
      </c>
      <c r="BJ249" s="48"/>
      <c r="BK249" s="4">
        <f>IF(Table43[[#This Row],[SATUAN Fix Win]]&lt;&gt;"",1)</f>
        <v>1</v>
      </c>
    </row>
    <row r="250" spans="1:63">
      <c r="A250" s="4" t="str">
        <f>CONCATENATE(Table43[[#This Row],[Kode BARANG Win2]],Table43[[#This Row],[No. Urut
Item Sama]])</f>
        <v>K11550030200201</v>
      </c>
      <c r="B250" s="7">
        <v>1</v>
      </c>
      <c r="D250" s="28" t="s">
        <v>773</v>
      </c>
      <c r="E250" s="28"/>
      <c r="F250" s="28" t="s">
        <v>3411</v>
      </c>
      <c r="G250" s="78">
        <v>36</v>
      </c>
      <c r="H250" s="43"/>
      <c r="I250" s="28" t="str">
        <f>Table43[[#This Row],[Nama Jenis Kemasan]]</f>
        <v>BTL</v>
      </c>
      <c r="J250" s="4" t="str">
        <f>TRIM(CONCATENATE(Table43[[#This Row],[Nama            KLP]]," ",Table43[[#This Row],[Nama            Sub KLP]]))</f>
        <v>ESKULIN KIDS SHAMPOO</v>
      </c>
      <c r="K250" s="4" t="str">
        <f>CONCATENATE(Table43[[#This Row],[kode  2 Digit                (hrf+No)]],Table43[[#This Row],[kode  2 Digit                (Nomor)]],Table43[[#This Row],[kode  1 Digit                (Nomor)]])</f>
        <v>K1155</v>
      </c>
      <c r="L250" s="4" t="str">
        <f t="shared" si="12"/>
        <v>K1155003020020</v>
      </c>
      <c r="M250" s="11">
        <f t="shared" si="13"/>
        <v>14</v>
      </c>
      <c r="N250" s="14" t="str">
        <f>IF(AF250&lt;&gt;"",TRIM(UPPER(CONCATENATE(P250," ",R250," ",T250," ",V250," ",X250," ",Z250," ","X"," ",Table43[[#This Row],[ISI/CTN]]," ",AF250," ",AB250," ",AD250," ",AH250))),TRIM(UPPER(CONCATENATE(P250," ",R250," ",T250," ",V250," ",X250," ",Z250," ","X"," ",Table43[[#This Row],[ISI/CTN]]," ",AB250," ",AD250," ",AH250))))</f>
        <v>KNF ESKULIN KIDS SHAMPOO AVOCADO 200ML X 36 BTL</v>
      </c>
      <c r="O250" s="11">
        <f t="shared" si="14"/>
        <v>47</v>
      </c>
      <c r="P250" s="4" t="s">
        <v>97</v>
      </c>
      <c r="Q250" s="7" t="s">
        <v>98</v>
      </c>
      <c r="R250" s="4" t="s">
        <v>3754</v>
      </c>
      <c r="S250" s="44" t="s">
        <v>3568</v>
      </c>
      <c r="T250" s="45" t="s">
        <v>3606</v>
      </c>
      <c r="U250" s="7" t="s">
        <v>3597</v>
      </c>
      <c r="V250" s="45" t="s">
        <v>2961</v>
      </c>
      <c r="W250" s="44" t="s">
        <v>2900</v>
      </c>
      <c r="X250" s="4" t="s">
        <v>3772</v>
      </c>
      <c r="Y250" s="46" t="s">
        <v>2473</v>
      </c>
      <c r="Z250" s="4" t="s">
        <v>3582</v>
      </c>
      <c r="AA250" s="46" t="s">
        <v>2486</v>
      </c>
      <c r="AB250" s="4" t="s">
        <v>357</v>
      </c>
      <c r="AC250" s="7" t="s">
        <v>3562</v>
      </c>
      <c r="AD250" s="4" t="s">
        <v>2961</v>
      </c>
      <c r="AE250" s="7" t="s">
        <v>2900</v>
      </c>
      <c r="AF250" s="7" t="s">
        <v>2961</v>
      </c>
      <c r="AG250" s="7" t="s">
        <v>2961</v>
      </c>
      <c r="AI250" s="7" t="s">
        <v>4100</v>
      </c>
      <c r="AJ250" s="7" t="s">
        <v>2656</v>
      </c>
      <c r="AK250" s="41">
        <f>Table43[[#This Row],[Harga Jual Pcs GT
(-PPN)]]-(Table43[[#This Row],[Harga Jual Pcs GT
(-PPN)]]*10%)</f>
        <v>0</v>
      </c>
      <c r="AL250" s="42">
        <f>Table43[[#This Row],[Harga Beli Pcs
(-PPN)]]*Table43[[#This Row],[ISI/CTN]]</f>
        <v>0</v>
      </c>
      <c r="AM250" s="42">
        <f>Table43[[#This Row],[Harga Beli Pcs
(-PPN)]]*1.11</f>
        <v>0</v>
      </c>
      <c r="AN250" s="42">
        <f>Table43[[#This Row],[Harga Beli Krt
(- PPN)]]*1.11</f>
        <v>0</v>
      </c>
      <c r="AO250" s="42"/>
      <c r="AP250" s="42">
        <f>Table43[[#This Row],[Harga Jual Pcs GT
(-PPN)]]*Table43[[#This Row],[ISI/CTN]]</f>
        <v>0</v>
      </c>
      <c r="AQ250" s="42">
        <f>Table43[[#This Row],[Harga Jual Pcs GT
(-PPN)]]*1.11</f>
        <v>0</v>
      </c>
      <c r="AR250" s="42">
        <f>Table43[[#This Row],[Harga Jual Krt GT
(- PPN)]]*1.11</f>
        <v>0</v>
      </c>
      <c r="AS250" s="42">
        <f>Table43[[#This Row],[Harga Jual Pcs GT
(-PPN)]]</f>
        <v>0</v>
      </c>
      <c r="AT250" s="42">
        <f>(Table43[[#This Row],[Harga Jual Pcs MT
(-PPN)]]*Table43[[#This Row],[ISI/CTN]])</f>
        <v>0</v>
      </c>
      <c r="AU250" s="42">
        <f>Table43[[#This Row],[Harga Jual Pcs MT
(-PPN)]]*1.11</f>
        <v>0</v>
      </c>
      <c r="AV250" s="42">
        <f>Table43[[#This Row],[Harga Jual Pcs MT
(+PPN)]]*Table43[[#This Row],[ISI/CTN]]</f>
        <v>0</v>
      </c>
      <c r="AW250" s="47"/>
      <c r="AX250" s="7"/>
      <c r="AY250" s="7" t="str">
        <f ca="1">IF(TODAY()-Table43[[#This Row],[Efektif
Pembuatan]]&gt;60,"Lama","Baru")</f>
        <v>Lama</v>
      </c>
      <c r="AZ250" s="7" t="str">
        <f ca="1">IF(TODAY()-Table43[[#This Row],[Efektif Naik Harga]]&lt;30,"Naik","Sama")</f>
        <v>Sama</v>
      </c>
      <c r="BA250" s="7" t="str">
        <f>IF(Table43[[#This Row],[Kode BARANG Win2]]&lt;&gt;"","IDR","")</f>
        <v>IDR</v>
      </c>
      <c r="BB250" s="7" t="str">
        <f>CONCATENATE(Table43[[#This Row],[kode  1 Digit
(Nomor)]],Table43[[#This Row],[kode  4 Digit                (Nomor)]])</f>
        <v>10200</v>
      </c>
      <c r="BC250" s="7" t="str">
        <f>Table43[[#This Row],[Nama            Gramasi atau Jumlah Pack per CTN]]</f>
        <v>200ML</v>
      </c>
      <c r="BD250" s="7"/>
      <c r="BE250" s="7"/>
      <c r="BF250" s="4" t="str">
        <f>IF(Table43[[#This Row],[SATUAN Fix Win]]&lt;&gt;"","KRT")</f>
        <v>KRT</v>
      </c>
      <c r="BG250" s="4" t="str">
        <f>IF(Table43[[#This Row],[SATUAN Fix Win]]&lt;&gt;"","GD01")</f>
        <v>GD01</v>
      </c>
      <c r="BH250" s="4">
        <f>IF(Table43[[#This Row],[SATUAN Fix Win]]&lt;&gt;"",11611)</f>
        <v>11611</v>
      </c>
      <c r="BI250" s="4">
        <f>IF(Table43[[#This Row],[SATUAN Fix Win]]&lt;&gt;"",11612)</f>
        <v>11612</v>
      </c>
      <c r="BJ250" s="48"/>
      <c r="BK250" s="4">
        <f>IF(Table43[[#This Row],[SATUAN Fix Win]]&lt;&gt;"",1)</f>
        <v>1</v>
      </c>
    </row>
    <row r="251" spans="1:63">
      <c r="A251" s="4" t="str">
        <f>CONCATENATE(Table43[[#This Row],[Kode BARANG Win2]],Table43[[#This Row],[No. Urut
Item Sama]])</f>
        <v>K11550040500201</v>
      </c>
      <c r="B251" s="7">
        <v>1</v>
      </c>
      <c r="D251" s="28" t="s">
        <v>771</v>
      </c>
      <c r="E251" s="28"/>
      <c r="F251" s="28" t="s">
        <v>3412</v>
      </c>
      <c r="G251" s="78">
        <v>12</v>
      </c>
      <c r="H251" s="43"/>
      <c r="I251" s="28" t="str">
        <f>Table43[[#This Row],[Nama Jenis Kemasan]]</f>
        <v>BTL</v>
      </c>
      <c r="J251" s="4" t="str">
        <f>TRIM(CONCATENATE(Table43[[#This Row],[Nama            KLP]]," ",Table43[[#This Row],[Nama            Sub KLP]]))</f>
        <v>ESKULIN KIDS SHAMPOO</v>
      </c>
      <c r="K251" s="4" t="str">
        <f>CONCATENATE(Table43[[#This Row],[kode  2 Digit                (hrf+No)]],Table43[[#This Row],[kode  2 Digit                (Nomor)]],Table43[[#This Row],[kode  1 Digit                (Nomor)]])</f>
        <v>K1155</v>
      </c>
      <c r="L251" s="4" t="str">
        <f t="shared" si="12"/>
        <v>K1155004050020</v>
      </c>
      <c r="M251" s="11">
        <f t="shared" si="13"/>
        <v>14</v>
      </c>
      <c r="N251" s="14" t="str">
        <f>IF(AF251&lt;&gt;"",TRIM(UPPER(CONCATENATE(P251," ",R251," ",T251," ",V251," ",X251," ",Z251," ","X"," ",Table43[[#This Row],[ISI/CTN]]," ",AF251," ",AB251," ",AD251," ",AH251))),TRIM(UPPER(CONCATENATE(P251," ",R251," ",T251," ",V251," ",X251," ",Z251," ","X"," ",Table43[[#This Row],[ISI/CTN]]," ",AB251," ",AD251," ",AH251))))</f>
        <v>KNF ESKULIN KIDS SHAMPOO BELLE 500ML X 12 BTL</v>
      </c>
      <c r="O251" s="11">
        <f t="shared" si="14"/>
        <v>45</v>
      </c>
      <c r="P251" s="4" t="s">
        <v>97</v>
      </c>
      <c r="Q251" s="7" t="s">
        <v>98</v>
      </c>
      <c r="R251" s="4" t="s">
        <v>3754</v>
      </c>
      <c r="S251" s="44" t="s">
        <v>3568</v>
      </c>
      <c r="T251" s="45" t="s">
        <v>3606</v>
      </c>
      <c r="U251" s="7" t="s">
        <v>3597</v>
      </c>
      <c r="V251" s="45" t="s">
        <v>2961</v>
      </c>
      <c r="W251" s="44" t="s">
        <v>2900</v>
      </c>
      <c r="X251" s="4" t="s">
        <v>3773</v>
      </c>
      <c r="Y251" s="46" t="s">
        <v>2474</v>
      </c>
      <c r="Z251" s="4" t="s">
        <v>3771</v>
      </c>
      <c r="AA251" s="46" t="s">
        <v>2503</v>
      </c>
      <c r="AB251" s="4" t="s">
        <v>357</v>
      </c>
      <c r="AC251" s="7" t="s">
        <v>3562</v>
      </c>
      <c r="AD251" s="4" t="s">
        <v>2961</v>
      </c>
      <c r="AE251" s="7" t="s">
        <v>2900</v>
      </c>
      <c r="AF251" s="7" t="s">
        <v>2961</v>
      </c>
      <c r="AG251" s="7" t="s">
        <v>2961</v>
      </c>
      <c r="AI251" s="7" t="s">
        <v>4100</v>
      </c>
      <c r="AJ251" s="7" t="s">
        <v>2656</v>
      </c>
      <c r="AK251" s="41">
        <f>Table43[[#This Row],[Harga Jual Pcs GT
(-PPN)]]-(Table43[[#This Row],[Harga Jual Pcs GT
(-PPN)]]*10%)</f>
        <v>0</v>
      </c>
      <c r="AL251" s="42">
        <f>Table43[[#This Row],[Harga Beli Pcs
(-PPN)]]*Table43[[#This Row],[ISI/CTN]]</f>
        <v>0</v>
      </c>
      <c r="AM251" s="42">
        <f>Table43[[#This Row],[Harga Beli Pcs
(-PPN)]]*1.11</f>
        <v>0</v>
      </c>
      <c r="AN251" s="42">
        <f>Table43[[#This Row],[Harga Beli Krt
(- PPN)]]*1.11</f>
        <v>0</v>
      </c>
      <c r="AO251" s="42"/>
      <c r="AP251" s="42">
        <f>Table43[[#This Row],[Harga Jual Pcs GT
(-PPN)]]*Table43[[#This Row],[ISI/CTN]]</f>
        <v>0</v>
      </c>
      <c r="AQ251" s="42">
        <f>Table43[[#This Row],[Harga Jual Pcs GT
(-PPN)]]*1.11</f>
        <v>0</v>
      </c>
      <c r="AR251" s="42">
        <f>Table43[[#This Row],[Harga Jual Krt GT
(- PPN)]]*1.11</f>
        <v>0</v>
      </c>
      <c r="AS251" s="42">
        <f>Table43[[#This Row],[Harga Jual Pcs GT
(-PPN)]]</f>
        <v>0</v>
      </c>
      <c r="AT251" s="42">
        <f>(Table43[[#This Row],[Harga Jual Pcs MT
(-PPN)]]*Table43[[#This Row],[ISI/CTN]])</f>
        <v>0</v>
      </c>
      <c r="AU251" s="42">
        <f>Table43[[#This Row],[Harga Jual Pcs MT
(-PPN)]]*1.11</f>
        <v>0</v>
      </c>
      <c r="AV251" s="42">
        <f>Table43[[#This Row],[Harga Jual Pcs MT
(+PPN)]]*Table43[[#This Row],[ISI/CTN]]</f>
        <v>0</v>
      </c>
      <c r="AW251" s="47"/>
      <c r="AX251" s="7"/>
      <c r="AY251" s="7" t="str">
        <f ca="1">IF(TODAY()-Table43[[#This Row],[Efektif
Pembuatan]]&gt;60,"Lama","Baru")</f>
        <v>Lama</v>
      </c>
      <c r="AZ251" s="7" t="str">
        <f ca="1">IF(TODAY()-Table43[[#This Row],[Efektif Naik Harga]]&lt;30,"Naik","Sama")</f>
        <v>Sama</v>
      </c>
      <c r="BA251" s="7" t="str">
        <f>IF(Table43[[#This Row],[Kode BARANG Win2]]&lt;&gt;"","IDR","")</f>
        <v>IDR</v>
      </c>
      <c r="BB251" s="7" t="str">
        <f>CONCATENATE(Table43[[#This Row],[kode  1 Digit
(Nomor)]],Table43[[#This Row],[kode  4 Digit                (Nomor)]])</f>
        <v>10500</v>
      </c>
      <c r="BC251" s="7" t="str">
        <f>Table43[[#This Row],[Nama            Gramasi atau Jumlah Pack per CTN]]</f>
        <v>500ML</v>
      </c>
      <c r="BD251" s="7"/>
      <c r="BE251" s="7"/>
      <c r="BF251" s="4" t="str">
        <f>IF(Table43[[#This Row],[SATUAN Fix Win]]&lt;&gt;"","KRT")</f>
        <v>KRT</v>
      </c>
      <c r="BG251" s="4" t="str">
        <f>IF(Table43[[#This Row],[SATUAN Fix Win]]&lt;&gt;"","GD01")</f>
        <v>GD01</v>
      </c>
      <c r="BH251" s="4">
        <f>IF(Table43[[#This Row],[SATUAN Fix Win]]&lt;&gt;"",11611)</f>
        <v>11611</v>
      </c>
      <c r="BI251" s="4">
        <f>IF(Table43[[#This Row],[SATUAN Fix Win]]&lt;&gt;"",11612)</f>
        <v>11612</v>
      </c>
      <c r="BJ251" s="48"/>
      <c r="BK251" s="4">
        <f>IF(Table43[[#This Row],[SATUAN Fix Win]]&lt;&gt;"",1)</f>
        <v>1</v>
      </c>
    </row>
    <row r="252" spans="1:63">
      <c r="A252" s="4" t="str">
        <f>CONCATENATE(Table43[[#This Row],[Kode BARANG Win2]],Table43[[#This Row],[No. Urut
Item Sama]])</f>
        <v>K11550050100201</v>
      </c>
      <c r="B252" s="7">
        <v>1</v>
      </c>
      <c r="D252" s="28" t="s">
        <v>768</v>
      </c>
      <c r="E252" s="28"/>
      <c r="F252" s="28" t="s">
        <v>3413</v>
      </c>
      <c r="G252" s="78">
        <v>36</v>
      </c>
      <c r="H252" s="43"/>
      <c r="I252" s="28" t="str">
        <f>Table43[[#This Row],[Nama Jenis Kemasan]]</f>
        <v>BTL</v>
      </c>
      <c r="J252" s="4" t="str">
        <f>TRIM(CONCATENATE(Table43[[#This Row],[Nama            KLP]]," ",Table43[[#This Row],[Nama            Sub KLP]]))</f>
        <v>ESKULIN KIDS SHAMPOO</v>
      </c>
      <c r="K252" s="4" t="str">
        <f>CONCATENATE(Table43[[#This Row],[kode  2 Digit                (hrf+No)]],Table43[[#This Row],[kode  2 Digit                (Nomor)]],Table43[[#This Row],[kode  1 Digit                (Nomor)]])</f>
        <v>K1155</v>
      </c>
      <c r="L252" s="4" t="str">
        <f t="shared" si="12"/>
        <v>K1155005010020</v>
      </c>
      <c r="M252" s="11">
        <f t="shared" si="13"/>
        <v>14</v>
      </c>
      <c r="N252" s="14" t="str">
        <f>IF(AF252&lt;&gt;"",TRIM(UPPER(CONCATENATE(P252," ",R252," ",T252," ",V252," ",X252," ",Z252," ","X"," ",Table43[[#This Row],[ISI/CTN]]," ",AF252," ",AB252," ",AD252," ",AH252))),TRIM(UPPER(CONCATENATE(P252," ",R252," ",T252," ",V252," ",X252," ",Z252," ","X"," ",Table43[[#This Row],[ISI/CTN]]," ",AB252," ",AD252," ",AH252))))</f>
        <v>KNF ESKULIN KIDS SHAMPOO CINDERELLA 100ML X 36 BTL</v>
      </c>
      <c r="O252" s="11">
        <f t="shared" si="14"/>
        <v>50</v>
      </c>
      <c r="P252" s="4" t="s">
        <v>97</v>
      </c>
      <c r="Q252" s="7" t="s">
        <v>98</v>
      </c>
      <c r="R252" s="4" t="s">
        <v>3754</v>
      </c>
      <c r="S252" s="44" t="s">
        <v>3568</v>
      </c>
      <c r="T252" s="45" t="s">
        <v>3606</v>
      </c>
      <c r="U252" s="7" t="s">
        <v>3597</v>
      </c>
      <c r="V252" s="45" t="s">
        <v>2961</v>
      </c>
      <c r="W252" s="44" t="s">
        <v>2900</v>
      </c>
      <c r="X252" s="4" t="s">
        <v>3765</v>
      </c>
      <c r="Y252" s="46" t="s">
        <v>2475</v>
      </c>
      <c r="Z252" s="4" t="s">
        <v>3588</v>
      </c>
      <c r="AA252" s="46" t="s">
        <v>2487</v>
      </c>
      <c r="AB252" s="4" t="s">
        <v>357</v>
      </c>
      <c r="AC252" s="7" t="s">
        <v>3562</v>
      </c>
      <c r="AD252" s="4" t="s">
        <v>2961</v>
      </c>
      <c r="AE252" s="7" t="s">
        <v>2900</v>
      </c>
      <c r="AF252" s="7" t="s">
        <v>2961</v>
      </c>
      <c r="AG252" s="7" t="s">
        <v>2961</v>
      </c>
      <c r="AI252" s="7" t="s">
        <v>4100</v>
      </c>
      <c r="AJ252" s="7" t="s">
        <v>2656</v>
      </c>
      <c r="AK252" s="41">
        <f>Table43[[#This Row],[Harga Jual Pcs GT
(-PPN)]]-(Table43[[#This Row],[Harga Jual Pcs GT
(-PPN)]]*10%)</f>
        <v>0</v>
      </c>
      <c r="AL252" s="42">
        <f>Table43[[#This Row],[Harga Beli Pcs
(-PPN)]]*Table43[[#This Row],[ISI/CTN]]</f>
        <v>0</v>
      </c>
      <c r="AM252" s="42">
        <f>Table43[[#This Row],[Harga Beli Pcs
(-PPN)]]*1.11</f>
        <v>0</v>
      </c>
      <c r="AN252" s="42">
        <f>Table43[[#This Row],[Harga Beli Krt
(- PPN)]]*1.11</f>
        <v>0</v>
      </c>
      <c r="AO252" s="42"/>
      <c r="AP252" s="42">
        <f>Table43[[#This Row],[Harga Jual Pcs GT
(-PPN)]]*Table43[[#This Row],[ISI/CTN]]</f>
        <v>0</v>
      </c>
      <c r="AQ252" s="42">
        <f>Table43[[#This Row],[Harga Jual Pcs GT
(-PPN)]]*1.11</f>
        <v>0</v>
      </c>
      <c r="AR252" s="42">
        <f>Table43[[#This Row],[Harga Jual Krt GT
(- PPN)]]*1.11</f>
        <v>0</v>
      </c>
      <c r="AS252" s="42">
        <f>Table43[[#This Row],[Harga Jual Pcs GT
(-PPN)]]</f>
        <v>0</v>
      </c>
      <c r="AT252" s="42">
        <f>(Table43[[#This Row],[Harga Jual Pcs MT
(-PPN)]]*Table43[[#This Row],[ISI/CTN]])</f>
        <v>0</v>
      </c>
      <c r="AU252" s="42">
        <f>Table43[[#This Row],[Harga Jual Pcs MT
(-PPN)]]*1.11</f>
        <v>0</v>
      </c>
      <c r="AV252" s="42">
        <f>Table43[[#This Row],[Harga Jual Pcs MT
(+PPN)]]*Table43[[#This Row],[ISI/CTN]]</f>
        <v>0</v>
      </c>
      <c r="AW252" s="47"/>
      <c r="AX252" s="7"/>
      <c r="AY252" s="7" t="str">
        <f ca="1">IF(TODAY()-Table43[[#This Row],[Efektif
Pembuatan]]&gt;60,"Lama","Baru")</f>
        <v>Lama</v>
      </c>
      <c r="AZ252" s="7" t="str">
        <f ca="1">IF(TODAY()-Table43[[#This Row],[Efektif Naik Harga]]&lt;30,"Naik","Sama")</f>
        <v>Sama</v>
      </c>
      <c r="BA252" s="7" t="str">
        <f>IF(Table43[[#This Row],[Kode BARANG Win2]]&lt;&gt;"","IDR","")</f>
        <v>IDR</v>
      </c>
      <c r="BB252" s="7" t="str">
        <f>CONCATENATE(Table43[[#This Row],[kode  1 Digit
(Nomor)]],Table43[[#This Row],[kode  4 Digit                (Nomor)]])</f>
        <v>10100</v>
      </c>
      <c r="BC252" s="7" t="str">
        <f>Table43[[#This Row],[Nama            Gramasi atau Jumlah Pack per CTN]]</f>
        <v>100ML</v>
      </c>
      <c r="BD252" s="7"/>
      <c r="BE252" s="7"/>
      <c r="BF252" s="4" t="str">
        <f>IF(Table43[[#This Row],[SATUAN Fix Win]]&lt;&gt;"","KRT")</f>
        <v>KRT</v>
      </c>
      <c r="BG252" s="4" t="str">
        <f>IF(Table43[[#This Row],[SATUAN Fix Win]]&lt;&gt;"","GD01")</f>
        <v>GD01</v>
      </c>
      <c r="BH252" s="4">
        <f>IF(Table43[[#This Row],[SATUAN Fix Win]]&lt;&gt;"",11611)</f>
        <v>11611</v>
      </c>
      <c r="BI252" s="4">
        <f>IF(Table43[[#This Row],[SATUAN Fix Win]]&lt;&gt;"",11612)</f>
        <v>11612</v>
      </c>
      <c r="BJ252" s="48"/>
      <c r="BK252" s="4">
        <f>IF(Table43[[#This Row],[SATUAN Fix Win]]&lt;&gt;"",1)</f>
        <v>1</v>
      </c>
    </row>
    <row r="253" spans="1:63">
      <c r="A253" s="4" t="str">
        <f>CONCATENATE(Table43[[#This Row],[Kode BARANG Win2]],Table43[[#This Row],[No. Urut
Item Sama]])</f>
        <v>K11550050200201</v>
      </c>
      <c r="B253" s="7">
        <v>1</v>
      </c>
      <c r="D253" s="28" t="s">
        <v>769</v>
      </c>
      <c r="E253" s="28"/>
      <c r="F253" s="28" t="s">
        <v>3414</v>
      </c>
      <c r="G253" s="78">
        <v>36</v>
      </c>
      <c r="H253" s="43"/>
      <c r="I253" s="28" t="str">
        <f>Table43[[#This Row],[Nama Jenis Kemasan]]</f>
        <v>BTL</v>
      </c>
      <c r="J253" s="4" t="str">
        <f>TRIM(CONCATENATE(Table43[[#This Row],[Nama            KLP]]," ",Table43[[#This Row],[Nama            Sub KLP]]))</f>
        <v>ESKULIN KIDS SHAMPOO</v>
      </c>
      <c r="K253" s="4" t="str">
        <f>CONCATENATE(Table43[[#This Row],[kode  2 Digit                (hrf+No)]],Table43[[#This Row],[kode  2 Digit                (Nomor)]],Table43[[#This Row],[kode  1 Digit                (Nomor)]])</f>
        <v>K1155</v>
      </c>
      <c r="L253" s="4" t="str">
        <f t="shared" si="12"/>
        <v>K1155005020020</v>
      </c>
      <c r="M253" s="11">
        <f t="shared" si="13"/>
        <v>14</v>
      </c>
      <c r="N253" s="14" t="str">
        <f>IF(AF253&lt;&gt;"",TRIM(UPPER(CONCATENATE(P253," ",R253," ",T253," ",V253," ",X253," ",Z253," ","X"," ",Table43[[#This Row],[ISI/CTN]]," ",AF253," ",AB253," ",AD253," ",AH253))),TRIM(UPPER(CONCATENATE(P253," ",R253," ",T253," ",V253," ",X253," ",Z253," ","X"," ",Table43[[#This Row],[ISI/CTN]]," ",AB253," ",AD253," ",AH253))))</f>
        <v>KNF ESKULIN KIDS SHAMPOO CINDERELLA 200ML X 36 BTL</v>
      </c>
      <c r="O253" s="11">
        <f t="shared" si="14"/>
        <v>50</v>
      </c>
      <c r="P253" s="4" t="s">
        <v>97</v>
      </c>
      <c r="Q253" s="7" t="s">
        <v>98</v>
      </c>
      <c r="R253" s="4" t="s">
        <v>3754</v>
      </c>
      <c r="S253" s="44" t="s">
        <v>3568</v>
      </c>
      <c r="T253" s="45" t="s">
        <v>3606</v>
      </c>
      <c r="U253" s="7" t="s">
        <v>3597</v>
      </c>
      <c r="V253" s="45" t="s">
        <v>2961</v>
      </c>
      <c r="W253" s="44" t="s">
        <v>2900</v>
      </c>
      <c r="X253" s="4" t="s">
        <v>3765</v>
      </c>
      <c r="Y253" s="46" t="s">
        <v>2475</v>
      </c>
      <c r="Z253" s="4" t="s">
        <v>3582</v>
      </c>
      <c r="AA253" s="46" t="s">
        <v>2486</v>
      </c>
      <c r="AB253" s="4" t="s">
        <v>357</v>
      </c>
      <c r="AC253" s="7" t="s">
        <v>3562</v>
      </c>
      <c r="AD253" s="4" t="s">
        <v>2961</v>
      </c>
      <c r="AE253" s="7" t="s">
        <v>2900</v>
      </c>
      <c r="AF253" s="7" t="s">
        <v>2961</v>
      </c>
      <c r="AG253" s="7" t="s">
        <v>2961</v>
      </c>
      <c r="AI253" s="7" t="s">
        <v>4100</v>
      </c>
      <c r="AJ253" s="7" t="s">
        <v>2656</v>
      </c>
      <c r="AK253" s="41">
        <f>Table43[[#This Row],[Harga Jual Pcs GT
(-PPN)]]-(Table43[[#This Row],[Harga Jual Pcs GT
(-PPN)]]*10%)</f>
        <v>0</v>
      </c>
      <c r="AL253" s="42">
        <f>Table43[[#This Row],[Harga Beli Pcs
(-PPN)]]*Table43[[#This Row],[ISI/CTN]]</f>
        <v>0</v>
      </c>
      <c r="AM253" s="42">
        <f>Table43[[#This Row],[Harga Beli Pcs
(-PPN)]]*1.11</f>
        <v>0</v>
      </c>
      <c r="AN253" s="42">
        <f>Table43[[#This Row],[Harga Beli Krt
(- PPN)]]*1.11</f>
        <v>0</v>
      </c>
      <c r="AO253" s="42"/>
      <c r="AP253" s="42">
        <f>Table43[[#This Row],[Harga Jual Pcs GT
(-PPN)]]*Table43[[#This Row],[ISI/CTN]]</f>
        <v>0</v>
      </c>
      <c r="AQ253" s="42">
        <f>Table43[[#This Row],[Harga Jual Pcs GT
(-PPN)]]*1.11</f>
        <v>0</v>
      </c>
      <c r="AR253" s="42">
        <f>Table43[[#This Row],[Harga Jual Krt GT
(- PPN)]]*1.11</f>
        <v>0</v>
      </c>
      <c r="AS253" s="42">
        <f>Table43[[#This Row],[Harga Jual Pcs GT
(-PPN)]]</f>
        <v>0</v>
      </c>
      <c r="AT253" s="42">
        <f>(Table43[[#This Row],[Harga Jual Pcs MT
(-PPN)]]*Table43[[#This Row],[ISI/CTN]])</f>
        <v>0</v>
      </c>
      <c r="AU253" s="42">
        <f>Table43[[#This Row],[Harga Jual Pcs MT
(-PPN)]]*1.11</f>
        <v>0</v>
      </c>
      <c r="AV253" s="42">
        <f>Table43[[#This Row],[Harga Jual Pcs MT
(+PPN)]]*Table43[[#This Row],[ISI/CTN]]</f>
        <v>0</v>
      </c>
      <c r="AW253" s="47"/>
      <c r="AX253" s="7"/>
      <c r="AY253" s="7" t="str">
        <f ca="1">IF(TODAY()-Table43[[#This Row],[Efektif
Pembuatan]]&gt;60,"Lama","Baru")</f>
        <v>Lama</v>
      </c>
      <c r="AZ253" s="7" t="str">
        <f ca="1">IF(TODAY()-Table43[[#This Row],[Efektif Naik Harga]]&lt;30,"Naik","Sama")</f>
        <v>Sama</v>
      </c>
      <c r="BA253" s="7" t="str">
        <f>IF(Table43[[#This Row],[Kode BARANG Win2]]&lt;&gt;"","IDR","")</f>
        <v>IDR</v>
      </c>
      <c r="BB253" s="7" t="str">
        <f>CONCATENATE(Table43[[#This Row],[kode  1 Digit
(Nomor)]],Table43[[#This Row],[kode  4 Digit                (Nomor)]])</f>
        <v>10200</v>
      </c>
      <c r="BC253" s="7" t="str">
        <f>Table43[[#This Row],[Nama            Gramasi atau Jumlah Pack per CTN]]</f>
        <v>200ML</v>
      </c>
      <c r="BD253" s="7"/>
      <c r="BE253" s="7"/>
      <c r="BF253" s="4" t="str">
        <f>IF(Table43[[#This Row],[SATUAN Fix Win]]&lt;&gt;"","KRT")</f>
        <v>KRT</v>
      </c>
      <c r="BG253" s="4" t="str">
        <f>IF(Table43[[#This Row],[SATUAN Fix Win]]&lt;&gt;"","GD01")</f>
        <v>GD01</v>
      </c>
      <c r="BH253" s="4">
        <f>IF(Table43[[#This Row],[SATUAN Fix Win]]&lt;&gt;"",11611)</f>
        <v>11611</v>
      </c>
      <c r="BI253" s="4">
        <f>IF(Table43[[#This Row],[SATUAN Fix Win]]&lt;&gt;"",11612)</f>
        <v>11612</v>
      </c>
      <c r="BJ253" s="48"/>
      <c r="BK253" s="4">
        <f>IF(Table43[[#This Row],[SATUAN Fix Win]]&lt;&gt;"",1)</f>
        <v>1</v>
      </c>
    </row>
    <row r="254" spans="1:63">
      <c r="A254" s="4" t="str">
        <f>CONCATENATE(Table43[[#This Row],[Kode BARANG Win2]],Table43[[#This Row],[No. Urut
Item Sama]])</f>
        <v>K11550050500202</v>
      </c>
      <c r="B254" s="7">
        <v>2</v>
      </c>
      <c r="D254" s="28" t="s">
        <v>770</v>
      </c>
      <c r="E254" s="28"/>
      <c r="F254" s="28" t="s">
        <v>3415</v>
      </c>
      <c r="G254" s="78">
        <v>12</v>
      </c>
      <c r="H254" s="43"/>
      <c r="I254" s="28" t="str">
        <f>Table43[[#This Row],[Nama Jenis Kemasan]]</f>
        <v>BTL</v>
      </c>
      <c r="J254" s="4" t="str">
        <f>TRIM(CONCATENATE(Table43[[#This Row],[Nama            KLP]]," ",Table43[[#This Row],[Nama            Sub KLP]]))</f>
        <v>ESKULIN KIDS SHAMPOO</v>
      </c>
      <c r="K254" s="4" t="str">
        <f>CONCATENATE(Table43[[#This Row],[kode  2 Digit                (hrf+No)]],Table43[[#This Row],[kode  2 Digit                (Nomor)]],Table43[[#This Row],[kode  1 Digit                (Nomor)]])</f>
        <v>K1155</v>
      </c>
      <c r="L254" s="4" t="str">
        <f t="shared" si="12"/>
        <v>K1155005050020</v>
      </c>
      <c r="M254" s="11">
        <f t="shared" si="13"/>
        <v>14</v>
      </c>
      <c r="N254" s="14" t="str">
        <f>IF(AF254&lt;&gt;"",TRIM(UPPER(CONCATENATE(P254," ",R254," ",T254," ",V254," ",X254," ",Z254," ","X"," ",Table43[[#This Row],[ISI/CTN]]," ",AF254," ",AB254," ",AD254," ",AH254))),TRIM(UPPER(CONCATENATE(P254," ",R254," ",T254," ",V254," ",X254," ",Z254," ","X"," ",Table43[[#This Row],[ISI/CTN]]," ",AB254," ",AD254," ",AH254))))</f>
        <v>KNF ESKULIN KIDS SHAMPOO CINDERELLA 500ML X 12 BTL</v>
      </c>
      <c r="O254" s="11">
        <f t="shared" si="14"/>
        <v>50</v>
      </c>
      <c r="P254" s="4" t="s">
        <v>97</v>
      </c>
      <c r="Q254" s="7" t="s">
        <v>98</v>
      </c>
      <c r="R254" s="4" t="s">
        <v>3754</v>
      </c>
      <c r="S254" s="44" t="s">
        <v>3568</v>
      </c>
      <c r="T254" s="45" t="s">
        <v>3606</v>
      </c>
      <c r="U254" s="7" t="s">
        <v>3597</v>
      </c>
      <c r="V254" s="45" t="s">
        <v>2961</v>
      </c>
      <c r="W254" s="44" t="s">
        <v>2900</v>
      </c>
      <c r="X254" s="4" t="s">
        <v>3765</v>
      </c>
      <c r="Y254" s="46" t="s">
        <v>2475</v>
      </c>
      <c r="Z254" s="4" t="s">
        <v>3771</v>
      </c>
      <c r="AA254" s="46" t="s">
        <v>2503</v>
      </c>
      <c r="AB254" s="4" t="s">
        <v>357</v>
      </c>
      <c r="AC254" s="7" t="s">
        <v>3562</v>
      </c>
      <c r="AD254" s="4" t="s">
        <v>2961</v>
      </c>
      <c r="AE254" s="7" t="s">
        <v>2900</v>
      </c>
      <c r="AF254" s="7" t="s">
        <v>2961</v>
      </c>
      <c r="AG254" s="7" t="s">
        <v>2961</v>
      </c>
      <c r="AI254" s="7" t="s">
        <v>4100</v>
      </c>
      <c r="AJ254" s="7" t="s">
        <v>2656</v>
      </c>
      <c r="AK254" s="41">
        <f>Table43[[#This Row],[Harga Jual Pcs GT
(-PPN)]]-(Table43[[#This Row],[Harga Jual Pcs GT
(-PPN)]]*10%)</f>
        <v>0</v>
      </c>
      <c r="AL254" s="42">
        <f>Table43[[#This Row],[Harga Beli Pcs
(-PPN)]]*Table43[[#This Row],[ISI/CTN]]</f>
        <v>0</v>
      </c>
      <c r="AM254" s="42">
        <f>Table43[[#This Row],[Harga Beli Pcs
(-PPN)]]*1.11</f>
        <v>0</v>
      </c>
      <c r="AN254" s="42">
        <f>Table43[[#This Row],[Harga Beli Krt
(- PPN)]]*1.11</f>
        <v>0</v>
      </c>
      <c r="AO254" s="42"/>
      <c r="AP254" s="42">
        <f>Table43[[#This Row],[Harga Jual Pcs GT
(-PPN)]]*Table43[[#This Row],[ISI/CTN]]</f>
        <v>0</v>
      </c>
      <c r="AQ254" s="42">
        <f>Table43[[#This Row],[Harga Jual Pcs GT
(-PPN)]]*1.11</f>
        <v>0</v>
      </c>
      <c r="AR254" s="42">
        <f>Table43[[#This Row],[Harga Jual Krt GT
(- PPN)]]*1.11</f>
        <v>0</v>
      </c>
      <c r="AS254" s="42">
        <f>Table43[[#This Row],[Harga Jual Pcs GT
(-PPN)]]</f>
        <v>0</v>
      </c>
      <c r="AT254" s="42">
        <f>(Table43[[#This Row],[Harga Jual Pcs MT
(-PPN)]]*Table43[[#This Row],[ISI/CTN]])</f>
        <v>0</v>
      </c>
      <c r="AU254" s="42">
        <f>Table43[[#This Row],[Harga Jual Pcs MT
(-PPN)]]*1.11</f>
        <v>0</v>
      </c>
      <c r="AV254" s="42">
        <f>Table43[[#This Row],[Harga Jual Pcs MT
(+PPN)]]*Table43[[#This Row],[ISI/CTN]]</f>
        <v>0</v>
      </c>
      <c r="AW254" s="47"/>
      <c r="AX254" s="7"/>
      <c r="AY254" s="7" t="str">
        <f ca="1">IF(TODAY()-Table43[[#This Row],[Efektif
Pembuatan]]&gt;60,"Lama","Baru")</f>
        <v>Lama</v>
      </c>
      <c r="AZ254" s="7" t="str">
        <f ca="1">IF(TODAY()-Table43[[#This Row],[Efektif Naik Harga]]&lt;30,"Naik","Sama")</f>
        <v>Sama</v>
      </c>
      <c r="BA254" s="7" t="str">
        <f>IF(Table43[[#This Row],[Kode BARANG Win2]]&lt;&gt;"","IDR","")</f>
        <v>IDR</v>
      </c>
      <c r="BB254" s="7" t="str">
        <f>CONCATENATE(Table43[[#This Row],[kode  1 Digit
(Nomor)]],Table43[[#This Row],[kode  4 Digit                (Nomor)]])</f>
        <v>10500</v>
      </c>
      <c r="BC254" s="7" t="str">
        <f>Table43[[#This Row],[Nama            Gramasi atau Jumlah Pack per CTN]]</f>
        <v>500ML</v>
      </c>
      <c r="BD254" s="7"/>
      <c r="BE254" s="7"/>
      <c r="BF254" s="4" t="str">
        <f>IF(Table43[[#This Row],[SATUAN Fix Win]]&lt;&gt;"","KRT")</f>
        <v>KRT</v>
      </c>
      <c r="BG254" s="4" t="str">
        <f>IF(Table43[[#This Row],[SATUAN Fix Win]]&lt;&gt;"","GD01")</f>
        <v>GD01</v>
      </c>
      <c r="BH254" s="4">
        <f>IF(Table43[[#This Row],[SATUAN Fix Win]]&lt;&gt;"",11611)</f>
        <v>11611</v>
      </c>
      <c r="BI254" s="4">
        <f>IF(Table43[[#This Row],[SATUAN Fix Win]]&lt;&gt;"",11612)</f>
        <v>11612</v>
      </c>
      <c r="BJ254" s="48"/>
      <c r="BK254" s="4">
        <f>IF(Table43[[#This Row],[SATUAN Fix Win]]&lt;&gt;"",1)</f>
        <v>1</v>
      </c>
    </row>
    <row r="255" spans="1:63">
      <c r="A255" s="4" t="str">
        <f>CONCATENATE(Table43[[#This Row],[Kode BARANG Win2]],Table43[[#This Row],[No. Urut
Item Sama]])</f>
        <v>K11550060045201</v>
      </c>
      <c r="B255" s="7">
        <v>1</v>
      </c>
      <c r="D255" s="28" t="s">
        <v>709</v>
      </c>
      <c r="E255" s="28"/>
      <c r="F255" s="28" t="s">
        <v>3416</v>
      </c>
      <c r="G255" s="78">
        <v>72</v>
      </c>
      <c r="H255" s="43"/>
      <c r="I255" s="28" t="str">
        <f>Table43[[#This Row],[Nama Jenis Kemasan]]</f>
        <v>BTL</v>
      </c>
      <c r="J255" s="4" t="str">
        <f>TRIM(CONCATENATE(Table43[[#This Row],[Nama            KLP]]," ",Table43[[#This Row],[Nama            Sub KLP]]))</f>
        <v>ESKULIN KIDS SHAMPOO</v>
      </c>
      <c r="K255" s="4" t="str">
        <f>CONCATENATE(Table43[[#This Row],[kode  2 Digit                (hrf+No)]],Table43[[#This Row],[kode  2 Digit                (Nomor)]],Table43[[#This Row],[kode  1 Digit                (Nomor)]])</f>
        <v>K1155</v>
      </c>
      <c r="L255" s="4" t="str">
        <f t="shared" si="12"/>
        <v>K1155006004520</v>
      </c>
      <c r="M255" s="11">
        <f t="shared" si="13"/>
        <v>14</v>
      </c>
      <c r="N255" s="14" t="str">
        <f>IF(AF255&lt;&gt;"",TRIM(UPPER(CONCATENATE(P255," ",R255," ",T255," ",V255," ",X255," ",Z255," ","X"," ",Table43[[#This Row],[ISI/CTN]]," ",AF255," ",AB255," ",AD255," ",AH255))),TRIM(UPPER(CONCATENATE(P255," ",R255," ",T255," ",V255," ",X255," ",Z255," ","X"," ",Table43[[#This Row],[ISI/CTN]]," ",AB255," ",AD255," ",AH255))))</f>
        <v>KNF ESKULIN KIDS SHAMPOO DONALD 45ML X 72 BTL</v>
      </c>
      <c r="O255" s="11">
        <f t="shared" si="14"/>
        <v>45</v>
      </c>
      <c r="P255" s="4" t="s">
        <v>97</v>
      </c>
      <c r="Q255" s="7" t="s">
        <v>98</v>
      </c>
      <c r="R255" s="4" t="s">
        <v>3754</v>
      </c>
      <c r="S255" s="44" t="s">
        <v>3568</v>
      </c>
      <c r="T255" s="45" t="s">
        <v>3606</v>
      </c>
      <c r="U255" s="7" t="s">
        <v>3597</v>
      </c>
      <c r="V255" s="45" t="s">
        <v>2961</v>
      </c>
      <c r="W255" s="44" t="s">
        <v>2900</v>
      </c>
      <c r="X255" s="4" t="s">
        <v>3761</v>
      </c>
      <c r="Y255" s="46" t="s">
        <v>2476</v>
      </c>
      <c r="Z255" s="4" t="s">
        <v>3682</v>
      </c>
      <c r="AA255" s="46" t="s">
        <v>2491</v>
      </c>
      <c r="AB255" s="4" t="s">
        <v>357</v>
      </c>
      <c r="AC255" s="7" t="s">
        <v>3562</v>
      </c>
      <c r="AD255" s="4" t="s">
        <v>2961</v>
      </c>
      <c r="AE255" s="7" t="s">
        <v>2900</v>
      </c>
      <c r="AF255" s="7" t="s">
        <v>2961</v>
      </c>
      <c r="AG255" s="7" t="s">
        <v>2961</v>
      </c>
      <c r="AI255" s="7" t="s">
        <v>4100</v>
      </c>
      <c r="AJ255" s="7" t="s">
        <v>2656</v>
      </c>
      <c r="AK255" s="41">
        <f>Table43[[#This Row],[Harga Jual Pcs GT
(-PPN)]]-(Table43[[#This Row],[Harga Jual Pcs GT
(-PPN)]]*10%)</f>
        <v>0</v>
      </c>
      <c r="AL255" s="42">
        <f>Table43[[#This Row],[Harga Beli Pcs
(-PPN)]]*Table43[[#This Row],[ISI/CTN]]</f>
        <v>0</v>
      </c>
      <c r="AM255" s="42">
        <f>Table43[[#This Row],[Harga Beli Pcs
(-PPN)]]*1.11</f>
        <v>0</v>
      </c>
      <c r="AN255" s="42">
        <f>Table43[[#This Row],[Harga Beli Krt
(- PPN)]]*1.11</f>
        <v>0</v>
      </c>
      <c r="AO255" s="42"/>
      <c r="AP255" s="42">
        <f>Table43[[#This Row],[Harga Jual Pcs GT
(-PPN)]]*Table43[[#This Row],[ISI/CTN]]</f>
        <v>0</v>
      </c>
      <c r="AQ255" s="42">
        <f>Table43[[#This Row],[Harga Jual Pcs GT
(-PPN)]]*1.11</f>
        <v>0</v>
      </c>
      <c r="AR255" s="42">
        <f>Table43[[#This Row],[Harga Jual Krt GT
(- PPN)]]*1.11</f>
        <v>0</v>
      </c>
      <c r="AS255" s="42">
        <f>Table43[[#This Row],[Harga Jual Pcs GT
(-PPN)]]</f>
        <v>0</v>
      </c>
      <c r="AT255" s="42">
        <f>(Table43[[#This Row],[Harga Jual Pcs MT
(-PPN)]]*Table43[[#This Row],[ISI/CTN]])</f>
        <v>0</v>
      </c>
      <c r="AU255" s="42">
        <f>Table43[[#This Row],[Harga Jual Pcs MT
(-PPN)]]*1.11</f>
        <v>0</v>
      </c>
      <c r="AV255" s="42">
        <f>Table43[[#This Row],[Harga Jual Pcs MT
(+PPN)]]*Table43[[#This Row],[ISI/CTN]]</f>
        <v>0</v>
      </c>
      <c r="AW255" s="47"/>
      <c r="AX255" s="7"/>
      <c r="AY255" s="7" t="str">
        <f ca="1">IF(TODAY()-Table43[[#This Row],[Efektif
Pembuatan]]&gt;60,"Lama","Baru")</f>
        <v>Lama</v>
      </c>
      <c r="AZ255" s="7" t="str">
        <f ca="1">IF(TODAY()-Table43[[#This Row],[Efektif Naik Harga]]&lt;30,"Naik","Sama")</f>
        <v>Sama</v>
      </c>
      <c r="BA255" s="7" t="str">
        <f>IF(Table43[[#This Row],[Kode BARANG Win2]]&lt;&gt;"","IDR","")</f>
        <v>IDR</v>
      </c>
      <c r="BB255" s="7" t="str">
        <f>CONCATENATE(Table43[[#This Row],[kode  1 Digit
(Nomor)]],Table43[[#This Row],[kode  4 Digit                (Nomor)]])</f>
        <v>10045</v>
      </c>
      <c r="BC255" s="7" t="str">
        <f>Table43[[#This Row],[Nama            Gramasi atau Jumlah Pack per CTN]]</f>
        <v>45ML</v>
      </c>
      <c r="BD255" s="7"/>
      <c r="BE255" s="7"/>
      <c r="BF255" s="4" t="str">
        <f>IF(Table43[[#This Row],[SATUAN Fix Win]]&lt;&gt;"","KRT")</f>
        <v>KRT</v>
      </c>
      <c r="BG255" s="4" t="str">
        <f>IF(Table43[[#This Row],[SATUAN Fix Win]]&lt;&gt;"","GD01")</f>
        <v>GD01</v>
      </c>
      <c r="BH255" s="4">
        <f>IF(Table43[[#This Row],[SATUAN Fix Win]]&lt;&gt;"",11611)</f>
        <v>11611</v>
      </c>
      <c r="BI255" s="4">
        <f>IF(Table43[[#This Row],[SATUAN Fix Win]]&lt;&gt;"",11612)</f>
        <v>11612</v>
      </c>
      <c r="BJ255" s="48"/>
      <c r="BK255" s="4">
        <f>IF(Table43[[#This Row],[SATUAN Fix Win]]&lt;&gt;"",1)</f>
        <v>1</v>
      </c>
    </row>
    <row r="256" spans="1:63">
      <c r="A256" s="4" t="str">
        <f>CONCATENATE(Table43[[#This Row],[Kode BARANG Win2]],Table43[[#This Row],[No. Urut
Item Sama]])</f>
        <v>K11550060100201</v>
      </c>
      <c r="B256" s="7">
        <v>1</v>
      </c>
      <c r="D256" s="28" t="s">
        <v>710</v>
      </c>
      <c r="E256" s="28"/>
      <c r="F256" s="28" t="s">
        <v>3417</v>
      </c>
      <c r="G256" s="78">
        <v>36</v>
      </c>
      <c r="H256" s="43"/>
      <c r="I256" s="28" t="str">
        <f>Table43[[#This Row],[Nama Jenis Kemasan]]</f>
        <v>BTL</v>
      </c>
      <c r="J256" s="4" t="str">
        <f>TRIM(CONCATENATE(Table43[[#This Row],[Nama            KLP]]," ",Table43[[#This Row],[Nama            Sub KLP]]))</f>
        <v>ESKULIN KIDS SHAMPOO</v>
      </c>
      <c r="K256" s="4" t="str">
        <f>CONCATENATE(Table43[[#This Row],[kode  2 Digit                (hrf+No)]],Table43[[#This Row],[kode  2 Digit                (Nomor)]],Table43[[#This Row],[kode  1 Digit                (Nomor)]])</f>
        <v>K1155</v>
      </c>
      <c r="L256" s="4" t="str">
        <f t="shared" si="12"/>
        <v>K1155006010020</v>
      </c>
      <c r="M256" s="11">
        <f t="shared" si="13"/>
        <v>14</v>
      </c>
      <c r="N256" s="14" t="str">
        <f>IF(AF256&lt;&gt;"",TRIM(UPPER(CONCATENATE(P256," ",R256," ",T256," ",V256," ",X256," ",Z256," ","X"," ",Table43[[#This Row],[ISI/CTN]]," ",AF256," ",AB256," ",AD256," ",AH256))),TRIM(UPPER(CONCATENATE(P256," ",R256," ",T256," ",V256," ",X256," ",Z256," ","X"," ",Table43[[#This Row],[ISI/CTN]]," ",AB256," ",AD256," ",AH256))))</f>
        <v>KNF ESKULIN KIDS SHAMPOO DONALD 100ML X 36 BTL</v>
      </c>
      <c r="O256" s="11">
        <f t="shared" si="14"/>
        <v>46</v>
      </c>
      <c r="P256" s="4" t="s">
        <v>97</v>
      </c>
      <c r="Q256" s="7" t="s">
        <v>98</v>
      </c>
      <c r="R256" s="4" t="s">
        <v>3754</v>
      </c>
      <c r="S256" s="44" t="s">
        <v>3568</v>
      </c>
      <c r="T256" s="45" t="s">
        <v>3606</v>
      </c>
      <c r="U256" s="7" t="s">
        <v>3597</v>
      </c>
      <c r="V256" s="45" t="s">
        <v>2961</v>
      </c>
      <c r="W256" s="44" t="s">
        <v>2900</v>
      </c>
      <c r="X256" s="4" t="s">
        <v>3761</v>
      </c>
      <c r="Y256" s="46" t="s">
        <v>2476</v>
      </c>
      <c r="Z256" s="4" t="s">
        <v>3588</v>
      </c>
      <c r="AA256" s="46" t="s">
        <v>2487</v>
      </c>
      <c r="AB256" s="4" t="s">
        <v>357</v>
      </c>
      <c r="AC256" s="7" t="s">
        <v>3562</v>
      </c>
      <c r="AD256" s="4" t="s">
        <v>2961</v>
      </c>
      <c r="AE256" s="7" t="s">
        <v>2900</v>
      </c>
      <c r="AF256" s="7" t="s">
        <v>2961</v>
      </c>
      <c r="AG256" s="7" t="s">
        <v>2961</v>
      </c>
      <c r="AI256" s="7" t="s">
        <v>4100</v>
      </c>
      <c r="AJ256" s="7" t="s">
        <v>2656</v>
      </c>
      <c r="AK256" s="41">
        <f>Table43[[#This Row],[Harga Jual Pcs GT
(-PPN)]]-(Table43[[#This Row],[Harga Jual Pcs GT
(-PPN)]]*10%)</f>
        <v>0</v>
      </c>
      <c r="AL256" s="42">
        <f>Table43[[#This Row],[Harga Beli Pcs
(-PPN)]]*Table43[[#This Row],[ISI/CTN]]</f>
        <v>0</v>
      </c>
      <c r="AM256" s="42">
        <f>Table43[[#This Row],[Harga Beli Pcs
(-PPN)]]*1.11</f>
        <v>0</v>
      </c>
      <c r="AN256" s="42">
        <f>Table43[[#This Row],[Harga Beli Krt
(- PPN)]]*1.11</f>
        <v>0</v>
      </c>
      <c r="AO256" s="42"/>
      <c r="AP256" s="42">
        <f>Table43[[#This Row],[Harga Jual Pcs GT
(-PPN)]]*Table43[[#This Row],[ISI/CTN]]</f>
        <v>0</v>
      </c>
      <c r="AQ256" s="42">
        <f>Table43[[#This Row],[Harga Jual Pcs GT
(-PPN)]]*1.11</f>
        <v>0</v>
      </c>
      <c r="AR256" s="42">
        <f>Table43[[#This Row],[Harga Jual Krt GT
(- PPN)]]*1.11</f>
        <v>0</v>
      </c>
      <c r="AS256" s="42">
        <f>Table43[[#This Row],[Harga Jual Pcs GT
(-PPN)]]</f>
        <v>0</v>
      </c>
      <c r="AT256" s="42">
        <f>(Table43[[#This Row],[Harga Jual Pcs MT
(-PPN)]]*Table43[[#This Row],[ISI/CTN]])</f>
        <v>0</v>
      </c>
      <c r="AU256" s="42">
        <f>Table43[[#This Row],[Harga Jual Pcs MT
(-PPN)]]*1.11</f>
        <v>0</v>
      </c>
      <c r="AV256" s="42">
        <f>Table43[[#This Row],[Harga Jual Pcs MT
(+PPN)]]*Table43[[#This Row],[ISI/CTN]]</f>
        <v>0</v>
      </c>
      <c r="AW256" s="47"/>
      <c r="AX256" s="7"/>
      <c r="AY256" s="7" t="str">
        <f ca="1">IF(TODAY()-Table43[[#This Row],[Efektif
Pembuatan]]&gt;60,"Lama","Baru")</f>
        <v>Lama</v>
      </c>
      <c r="AZ256" s="7" t="str">
        <f ca="1">IF(TODAY()-Table43[[#This Row],[Efektif Naik Harga]]&lt;30,"Naik","Sama")</f>
        <v>Sama</v>
      </c>
      <c r="BA256" s="7" t="str">
        <f>IF(Table43[[#This Row],[Kode BARANG Win2]]&lt;&gt;"","IDR","")</f>
        <v>IDR</v>
      </c>
      <c r="BB256" s="7" t="str">
        <f>CONCATENATE(Table43[[#This Row],[kode  1 Digit
(Nomor)]],Table43[[#This Row],[kode  4 Digit                (Nomor)]])</f>
        <v>10100</v>
      </c>
      <c r="BC256" s="7" t="str">
        <f>Table43[[#This Row],[Nama            Gramasi atau Jumlah Pack per CTN]]</f>
        <v>100ML</v>
      </c>
      <c r="BD256" s="7"/>
      <c r="BE256" s="7"/>
      <c r="BF256" s="4" t="str">
        <f>IF(Table43[[#This Row],[SATUAN Fix Win]]&lt;&gt;"","KRT")</f>
        <v>KRT</v>
      </c>
      <c r="BG256" s="4" t="str">
        <f>IF(Table43[[#This Row],[SATUAN Fix Win]]&lt;&gt;"","GD01")</f>
        <v>GD01</v>
      </c>
      <c r="BH256" s="4">
        <f>IF(Table43[[#This Row],[SATUAN Fix Win]]&lt;&gt;"",11611)</f>
        <v>11611</v>
      </c>
      <c r="BI256" s="4">
        <f>IF(Table43[[#This Row],[SATUAN Fix Win]]&lt;&gt;"",11612)</f>
        <v>11612</v>
      </c>
      <c r="BJ256" s="48"/>
      <c r="BK256" s="4">
        <f>IF(Table43[[#This Row],[SATUAN Fix Win]]&lt;&gt;"",1)</f>
        <v>1</v>
      </c>
    </row>
    <row r="257" spans="1:63">
      <c r="A257" s="4" t="str">
        <f>CONCATENATE(Table43[[#This Row],[Kode BARANG Win2]],Table43[[#This Row],[No. Urut
Item Sama]])</f>
        <v>K11550060200201</v>
      </c>
      <c r="B257" s="7">
        <v>1</v>
      </c>
      <c r="D257" s="28" t="s">
        <v>711</v>
      </c>
      <c r="E257" s="28"/>
      <c r="F257" s="28" t="s">
        <v>3418</v>
      </c>
      <c r="G257" s="78">
        <v>36</v>
      </c>
      <c r="H257" s="43"/>
      <c r="I257" s="28" t="str">
        <f>Table43[[#This Row],[Nama Jenis Kemasan]]</f>
        <v>BTL</v>
      </c>
      <c r="J257" s="4" t="str">
        <f>TRIM(CONCATENATE(Table43[[#This Row],[Nama            KLP]]," ",Table43[[#This Row],[Nama            Sub KLP]]))</f>
        <v>ESKULIN KIDS SHAMPOO</v>
      </c>
      <c r="K257" s="4" t="str">
        <f>CONCATENATE(Table43[[#This Row],[kode  2 Digit                (hrf+No)]],Table43[[#This Row],[kode  2 Digit                (Nomor)]],Table43[[#This Row],[kode  1 Digit                (Nomor)]])</f>
        <v>K1155</v>
      </c>
      <c r="L257" s="4" t="str">
        <f t="shared" si="12"/>
        <v>K1155006020020</v>
      </c>
      <c r="M257" s="11">
        <f t="shared" si="13"/>
        <v>14</v>
      </c>
      <c r="N257" s="14" t="str">
        <f>IF(AF257&lt;&gt;"",TRIM(UPPER(CONCATENATE(P257," ",R257," ",T257," ",V257," ",X257," ",Z257," ","X"," ",Table43[[#This Row],[ISI/CTN]]," ",AF257," ",AB257," ",AD257," ",AH257))),TRIM(UPPER(CONCATENATE(P257," ",R257," ",T257," ",V257," ",X257," ",Z257," ","X"," ",Table43[[#This Row],[ISI/CTN]]," ",AB257," ",AD257," ",AH257))))</f>
        <v>KNF ESKULIN KIDS SHAMPOO DONALD 200ML X 36 BTL</v>
      </c>
      <c r="O257" s="11">
        <f t="shared" si="14"/>
        <v>46</v>
      </c>
      <c r="P257" s="4" t="s">
        <v>97</v>
      </c>
      <c r="Q257" s="7" t="s">
        <v>98</v>
      </c>
      <c r="R257" s="4" t="s">
        <v>3754</v>
      </c>
      <c r="S257" s="44" t="s">
        <v>3568</v>
      </c>
      <c r="T257" s="45" t="s">
        <v>3606</v>
      </c>
      <c r="U257" s="7" t="s">
        <v>3597</v>
      </c>
      <c r="V257" s="45" t="s">
        <v>2961</v>
      </c>
      <c r="W257" s="44" t="s">
        <v>2900</v>
      </c>
      <c r="X257" s="4" t="s">
        <v>3761</v>
      </c>
      <c r="Y257" s="46" t="s">
        <v>2476</v>
      </c>
      <c r="Z257" s="4" t="s">
        <v>3582</v>
      </c>
      <c r="AA257" s="46" t="s">
        <v>2486</v>
      </c>
      <c r="AB257" s="4" t="s">
        <v>357</v>
      </c>
      <c r="AC257" s="7" t="s">
        <v>3562</v>
      </c>
      <c r="AD257" s="4" t="s">
        <v>2961</v>
      </c>
      <c r="AE257" s="7" t="s">
        <v>2900</v>
      </c>
      <c r="AF257" s="7" t="s">
        <v>2961</v>
      </c>
      <c r="AG257" s="7" t="s">
        <v>2961</v>
      </c>
      <c r="AI257" s="7" t="s">
        <v>4100</v>
      </c>
      <c r="AJ257" s="7" t="s">
        <v>2656</v>
      </c>
      <c r="AK257" s="41">
        <f>Table43[[#This Row],[Harga Jual Pcs GT
(-PPN)]]-(Table43[[#This Row],[Harga Jual Pcs GT
(-PPN)]]*10%)</f>
        <v>0</v>
      </c>
      <c r="AL257" s="42">
        <f>Table43[[#This Row],[Harga Beli Pcs
(-PPN)]]*Table43[[#This Row],[ISI/CTN]]</f>
        <v>0</v>
      </c>
      <c r="AM257" s="42">
        <f>Table43[[#This Row],[Harga Beli Pcs
(-PPN)]]*1.11</f>
        <v>0</v>
      </c>
      <c r="AN257" s="42">
        <f>Table43[[#This Row],[Harga Beli Krt
(- PPN)]]*1.11</f>
        <v>0</v>
      </c>
      <c r="AO257" s="42"/>
      <c r="AP257" s="42">
        <f>Table43[[#This Row],[Harga Jual Pcs GT
(-PPN)]]*Table43[[#This Row],[ISI/CTN]]</f>
        <v>0</v>
      </c>
      <c r="AQ257" s="42">
        <f>Table43[[#This Row],[Harga Jual Pcs GT
(-PPN)]]*1.11</f>
        <v>0</v>
      </c>
      <c r="AR257" s="42">
        <f>Table43[[#This Row],[Harga Jual Krt GT
(- PPN)]]*1.11</f>
        <v>0</v>
      </c>
      <c r="AS257" s="42">
        <f>Table43[[#This Row],[Harga Jual Pcs GT
(-PPN)]]</f>
        <v>0</v>
      </c>
      <c r="AT257" s="42">
        <f>(Table43[[#This Row],[Harga Jual Pcs MT
(-PPN)]]*Table43[[#This Row],[ISI/CTN]])</f>
        <v>0</v>
      </c>
      <c r="AU257" s="42">
        <f>Table43[[#This Row],[Harga Jual Pcs MT
(-PPN)]]*1.11</f>
        <v>0</v>
      </c>
      <c r="AV257" s="42">
        <f>Table43[[#This Row],[Harga Jual Pcs MT
(+PPN)]]*Table43[[#This Row],[ISI/CTN]]</f>
        <v>0</v>
      </c>
      <c r="AW257" s="47"/>
      <c r="AX257" s="7"/>
      <c r="AY257" s="7" t="str">
        <f ca="1">IF(TODAY()-Table43[[#This Row],[Efektif
Pembuatan]]&gt;60,"Lama","Baru")</f>
        <v>Lama</v>
      </c>
      <c r="AZ257" s="7" t="str">
        <f ca="1">IF(TODAY()-Table43[[#This Row],[Efektif Naik Harga]]&lt;30,"Naik","Sama")</f>
        <v>Sama</v>
      </c>
      <c r="BA257" s="7" t="str">
        <f>IF(Table43[[#This Row],[Kode BARANG Win2]]&lt;&gt;"","IDR","")</f>
        <v>IDR</v>
      </c>
      <c r="BB257" s="7" t="str">
        <f>CONCATENATE(Table43[[#This Row],[kode  1 Digit
(Nomor)]],Table43[[#This Row],[kode  4 Digit                (Nomor)]])</f>
        <v>10200</v>
      </c>
      <c r="BC257" s="7" t="str">
        <f>Table43[[#This Row],[Nama            Gramasi atau Jumlah Pack per CTN]]</f>
        <v>200ML</v>
      </c>
      <c r="BD257" s="7"/>
      <c r="BE257" s="7"/>
      <c r="BF257" s="4" t="str">
        <f>IF(Table43[[#This Row],[SATUAN Fix Win]]&lt;&gt;"","KRT")</f>
        <v>KRT</v>
      </c>
      <c r="BG257" s="4" t="str">
        <f>IF(Table43[[#This Row],[SATUAN Fix Win]]&lt;&gt;"","GD01")</f>
        <v>GD01</v>
      </c>
      <c r="BH257" s="4">
        <f>IF(Table43[[#This Row],[SATUAN Fix Win]]&lt;&gt;"",11611)</f>
        <v>11611</v>
      </c>
      <c r="BI257" s="4">
        <f>IF(Table43[[#This Row],[SATUAN Fix Win]]&lt;&gt;"",11612)</f>
        <v>11612</v>
      </c>
      <c r="BJ257" s="48"/>
      <c r="BK257" s="4">
        <f>IF(Table43[[#This Row],[SATUAN Fix Win]]&lt;&gt;"",1)</f>
        <v>1</v>
      </c>
    </row>
    <row r="258" spans="1:63">
      <c r="A258" s="4" t="str">
        <f>CONCATENATE(Table43[[#This Row],[Kode BARANG Win2]],Table43[[#This Row],[No. Urut
Item Sama]])</f>
        <v>K11550070200201</v>
      </c>
      <c r="B258" s="7">
        <v>1</v>
      </c>
      <c r="D258" s="28" t="s">
        <v>753</v>
      </c>
      <c r="E258" s="28"/>
      <c r="F258" s="28" t="s">
        <v>3419</v>
      </c>
      <c r="G258" s="78">
        <v>36</v>
      </c>
      <c r="H258" s="43"/>
      <c r="I258" s="28" t="str">
        <f>Table43[[#This Row],[Nama Jenis Kemasan]]</f>
        <v>BTL</v>
      </c>
      <c r="J258" s="4" t="str">
        <f>TRIM(CONCATENATE(Table43[[#This Row],[Nama            KLP]]," ",Table43[[#This Row],[Nama            Sub KLP]]))</f>
        <v>ESKULIN KIDS SHAMPOO</v>
      </c>
      <c r="K258" s="4" t="str">
        <f>CONCATENATE(Table43[[#This Row],[kode  2 Digit                (hrf+No)]],Table43[[#This Row],[kode  2 Digit                (Nomor)]],Table43[[#This Row],[kode  1 Digit                (Nomor)]])</f>
        <v>K1155</v>
      </c>
      <c r="L258" s="4" t="str">
        <f t="shared" si="12"/>
        <v>K1155007020020</v>
      </c>
      <c r="M258" s="11">
        <f t="shared" si="13"/>
        <v>14</v>
      </c>
      <c r="N258" s="14" t="str">
        <f>IF(AF258&lt;&gt;"",TRIM(UPPER(CONCATENATE(P258," ",R258," ",T258," ",V258," ",X258," ",Z258," ","X"," ",Table43[[#This Row],[ISI/CTN]]," ",AF258," ",AB258," ",AD258," ",AH258))),TRIM(UPPER(CONCATENATE(P258," ",R258," ",T258," ",V258," ",X258," ",Z258," ","X"," ",Table43[[#This Row],[ISI/CTN]]," ",AB258," ",AD258," ",AH258))))</f>
        <v>KNF ESKULIN KIDS SHAMPOO ELSA 200ML X 36 BTL</v>
      </c>
      <c r="O258" s="11">
        <f t="shared" si="14"/>
        <v>44</v>
      </c>
      <c r="P258" s="4" t="s">
        <v>97</v>
      </c>
      <c r="Q258" s="7" t="s">
        <v>98</v>
      </c>
      <c r="R258" s="4" t="s">
        <v>3754</v>
      </c>
      <c r="S258" s="44" t="s">
        <v>3568</v>
      </c>
      <c r="T258" s="45" t="s">
        <v>3606</v>
      </c>
      <c r="U258" s="7" t="s">
        <v>3597</v>
      </c>
      <c r="V258" s="45" t="s">
        <v>2961</v>
      </c>
      <c r="W258" s="44" t="s">
        <v>2900</v>
      </c>
      <c r="X258" s="4" t="s">
        <v>3774</v>
      </c>
      <c r="Y258" s="46" t="s">
        <v>2477</v>
      </c>
      <c r="Z258" s="4" t="s">
        <v>3582</v>
      </c>
      <c r="AA258" s="46" t="s">
        <v>2486</v>
      </c>
      <c r="AB258" s="4" t="s">
        <v>357</v>
      </c>
      <c r="AC258" s="7" t="s">
        <v>3562</v>
      </c>
      <c r="AD258" s="4" t="s">
        <v>2961</v>
      </c>
      <c r="AE258" s="7" t="s">
        <v>2900</v>
      </c>
      <c r="AF258" s="7" t="s">
        <v>2961</v>
      </c>
      <c r="AG258" s="7" t="s">
        <v>2961</v>
      </c>
      <c r="AI258" s="7" t="s">
        <v>4100</v>
      </c>
      <c r="AJ258" s="7" t="s">
        <v>2656</v>
      </c>
      <c r="AK258" s="41">
        <f>Table43[[#This Row],[Harga Jual Pcs GT
(-PPN)]]-(Table43[[#This Row],[Harga Jual Pcs GT
(-PPN)]]*10%)</f>
        <v>0</v>
      </c>
      <c r="AL258" s="42">
        <f>Table43[[#This Row],[Harga Beli Pcs
(-PPN)]]*Table43[[#This Row],[ISI/CTN]]</f>
        <v>0</v>
      </c>
      <c r="AM258" s="42">
        <f>Table43[[#This Row],[Harga Beli Pcs
(-PPN)]]*1.11</f>
        <v>0</v>
      </c>
      <c r="AN258" s="42">
        <f>Table43[[#This Row],[Harga Beli Krt
(- PPN)]]*1.11</f>
        <v>0</v>
      </c>
      <c r="AO258" s="42"/>
      <c r="AP258" s="42">
        <f>Table43[[#This Row],[Harga Jual Pcs GT
(-PPN)]]*Table43[[#This Row],[ISI/CTN]]</f>
        <v>0</v>
      </c>
      <c r="AQ258" s="42">
        <f>Table43[[#This Row],[Harga Jual Pcs GT
(-PPN)]]*1.11</f>
        <v>0</v>
      </c>
      <c r="AR258" s="42">
        <f>Table43[[#This Row],[Harga Jual Krt GT
(- PPN)]]*1.11</f>
        <v>0</v>
      </c>
      <c r="AS258" s="42">
        <f>Table43[[#This Row],[Harga Jual Pcs GT
(-PPN)]]</f>
        <v>0</v>
      </c>
      <c r="AT258" s="42">
        <f>(Table43[[#This Row],[Harga Jual Pcs MT
(-PPN)]]*Table43[[#This Row],[ISI/CTN]])</f>
        <v>0</v>
      </c>
      <c r="AU258" s="42">
        <f>Table43[[#This Row],[Harga Jual Pcs MT
(-PPN)]]*1.11</f>
        <v>0</v>
      </c>
      <c r="AV258" s="42">
        <f>Table43[[#This Row],[Harga Jual Pcs MT
(+PPN)]]*Table43[[#This Row],[ISI/CTN]]</f>
        <v>0</v>
      </c>
      <c r="AW258" s="47"/>
      <c r="AX258" s="7"/>
      <c r="AY258" s="7" t="str">
        <f ca="1">IF(TODAY()-Table43[[#This Row],[Efektif
Pembuatan]]&gt;60,"Lama","Baru")</f>
        <v>Lama</v>
      </c>
      <c r="AZ258" s="7" t="str">
        <f ca="1">IF(TODAY()-Table43[[#This Row],[Efektif Naik Harga]]&lt;30,"Naik","Sama")</f>
        <v>Sama</v>
      </c>
      <c r="BA258" s="7" t="str">
        <f>IF(Table43[[#This Row],[Kode BARANG Win2]]&lt;&gt;"","IDR","")</f>
        <v>IDR</v>
      </c>
      <c r="BB258" s="7" t="str">
        <f>CONCATENATE(Table43[[#This Row],[kode  1 Digit
(Nomor)]],Table43[[#This Row],[kode  4 Digit                (Nomor)]])</f>
        <v>10200</v>
      </c>
      <c r="BC258" s="7" t="str">
        <f>Table43[[#This Row],[Nama            Gramasi atau Jumlah Pack per CTN]]</f>
        <v>200ML</v>
      </c>
      <c r="BD258" s="7"/>
      <c r="BE258" s="7"/>
      <c r="BF258" s="4" t="str">
        <f>IF(Table43[[#This Row],[SATUAN Fix Win]]&lt;&gt;"","KRT")</f>
        <v>KRT</v>
      </c>
      <c r="BG258" s="4" t="str">
        <f>IF(Table43[[#This Row],[SATUAN Fix Win]]&lt;&gt;"","GD01")</f>
        <v>GD01</v>
      </c>
      <c r="BH258" s="4">
        <f>IF(Table43[[#This Row],[SATUAN Fix Win]]&lt;&gt;"",11611)</f>
        <v>11611</v>
      </c>
      <c r="BI258" s="4">
        <f>IF(Table43[[#This Row],[SATUAN Fix Win]]&lt;&gt;"",11612)</f>
        <v>11612</v>
      </c>
      <c r="BJ258" s="48"/>
      <c r="BK258" s="4">
        <f>IF(Table43[[#This Row],[SATUAN Fix Win]]&lt;&gt;"",1)</f>
        <v>1</v>
      </c>
    </row>
    <row r="259" spans="1:63">
      <c r="A259" s="4" t="str">
        <f>CONCATENATE(Table43[[#This Row],[Kode BARANG Win2]],Table43[[#This Row],[No. Urut
Item Sama]])</f>
        <v>K11550080010101</v>
      </c>
      <c r="B259" s="7">
        <v>1</v>
      </c>
      <c r="D259" s="28" t="s">
        <v>706</v>
      </c>
      <c r="E259" s="28"/>
      <c r="F259" s="28" t="s">
        <v>3064</v>
      </c>
      <c r="G259" s="78">
        <v>24</v>
      </c>
      <c r="H259" s="43"/>
      <c r="I259" s="28" t="str">
        <f>Table43[[#This Row],[Nama Jenis Kemasan]]</f>
        <v>AMP</v>
      </c>
      <c r="J259" s="4" t="str">
        <f>TRIM(CONCATENATE(Table43[[#This Row],[Nama            KLP]]," ",Table43[[#This Row],[Nama            Sub KLP]]))</f>
        <v>ESKULIN KIDS SHAMPOO</v>
      </c>
      <c r="K259" s="4" t="str">
        <f>CONCATENATE(Table43[[#This Row],[kode  2 Digit                (hrf+No)]],Table43[[#This Row],[kode  2 Digit                (Nomor)]],Table43[[#This Row],[kode  1 Digit                (Nomor)]])</f>
        <v>K1155</v>
      </c>
      <c r="L259" s="4" t="str">
        <f t="shared" si="12"/>
        <v>K1155008001010</v>
      </c>
      <c r="M259" s="11">
        <f t="shared" si="13"/>
        <v>14</v>
      </c>
      <c r="N259" s="14" t="str">
        <f>IF(AF259&lt;&gt;"",TRIM(UPPER(CONCATENATE(P259," ",R259," ",T259," ",V259," ",X259," ",Z259," ","X"," ",Table43[[#This Row],[ISI/CTN]]," ",AF259," ",AB259," ",AD259," ",AH259))),TRIM(UPPER(CONCATENATE(P259," ",R259," ",T259," ",V259," ",X259," ",Z259," ","X"," ",Table43[[#This Row],[ISI/CTN]]," ",AB259," ",AD259," ",AH259))))</f>
        <v>KNF ESKULIN KIDS SHAMPOO FROZEN 10ML X 24 AMP</v>
      </c>
      <c r="O259" s="11">
        <f t="shared" si="14"/>
        <v>45</v>
      </c>
      <c r="P259" s="4" t="s">
        <v>97</v>
      </c>
      <c r="Q259" s="7" t="s">
        <v>98</v>
      </c>
      <c r="R259" s="4" t="s">
        <v>3754</v>
      </c>
      <c r="S259" s="44" t="s">
        <v>3568</v>
      </c>
      <c r="T259" s="45" t="s">
        <v>3606</v>
      </c>
      <c r="U259" s="7" t="s">
        <v>3597</v>
      </c>
      <c r="V259" s="45" t="s">
        <v>2961</v>
      </c>
      <c r="W259" s="44" t="s">
        <v>2900</v>
      </c>
      <c r="X259" s="4" t="s">
        <v>3775</v>
      </c>
      <c r="Y259" s="46" t="s">
        <v>2478</v>
      </c>
      <c r="Z259" s="4" t="s">
        <v>3612</v>
      </c>
      <c r="AA259" s="46" t="s">
        <v>2488</v>
      </c>
      <c r="AB259" s="4" t="s">
        <v>1027</v>
      </c>
      <c r="AC259" s="7" t="s">
        <v>2656</v>
      </c>
      <c r="AD259" s="4" t="s">
        <v>2961</v>
      </c>
      <c r="AE259" s="7" t="s">
        <v>2900</v>
      </c>
      <c r="AF259" s="7" t="s">
        <v>2961</v>
      </c>
      <c r="AG259" s="7" t="s">
        <v>2961</v>
      </c>
      <c r="AI259" s="7" t="s">
        <v>4100</v>
      </c>
      <c r="AJ259" s="7" t="s">
        <v>2656</v>
      </c>
      <c r="AK259" s="41">
        <f>Table43[[#This Row],[Harga Jual Pcs GT
(-PPN)]]-(Table43[[#This Row],[Harga Jual Pcs GT
(-PPN)]]*10%)</f>
        <v>0</v>
      </c>
      <c r="AL259" s="42">
        <f>Table43[[#This Row],[Harga Beli Pcs
(-PPN)]]*Table43[[#This Row],[ISI/CTN]]</f>
        <v>0</v>
      </c>
      <c r="AM259" s="42">
        <f>Table43[[#This Row],[Harga Beli Pcs
(-PPN)]]*1.11</f>
        <v>0</v>
      </c>
      <c r="AN259" s="42">
        <f>Table43[[#This Row],[Harga Beli Krt
(- PPN)]]*1.11</f>
        <v>0</v>
      </c>
      <c r="AO259" s="42"/>
      <c r="AP259" s="42">
        <f>Table43[[#This Row],[Harga Jual Pcs GT
(-PPN)]]*Table43[[#This Row],[ISI/CTN]]</f>
        <v>0</v>
      </c>
      <c r="AQ259" s="42">
        <f>Table43[[#This Row],[Harga Jual Pcs GT
(-PPN)]]*1.11</f>
        <v>0</v>
      </c>
      <c r="AR259" s="42">
        <f>Table43[[#This Row],[Harga Jual Krt GT
(- PPN)]]*1.11</f>
        <v>0</v>
      </c>
      <c r="AS259" s="42">
        <f>Table43[[#This Row],[Harga Jual Pcs GT
(-PPN)]]</f>
        <v>0</v>
      </c>
      <c r="AT259" s="42">
        <f>(Table43[[#This Row],[Harga Jual Pcs MT
(-PPN)]]*Table43[[#This Row],[ISI/CTN]])</f>
        <v>0</v>
      </c>
      <c r="AU259" s="42">
        <f>Table43[[#This Row],[Harga Jual Pcs MT
(-PPN)]]*1.11</f>
        <v>0</v>
      </c>
      <c r="AV259" s="42">
        <f>Table43[[#This Row],[Harga Jual Pcs MT
(+PPN)]]*Table43[[#This Row],[ISI/CTN]]</f>
        <v>0</v>
      </c>
      <c r="AW259" s="47"/>
      <c r="AX259" s="7"/>
      <c r="AY259" s="7" t="str">
        <f ca="1">IF(TODAY()-Table43[[#This Row],[Efektif
Pembuatan]]&gt;60,"Lama","Baru")</f>
        <v>Lama</v>
      </c>
      <c r="AZ259" s="7" t="str">
        <f ca="1">IF(TODAY()-Table43[[#This Row],[Efektif Naik Harga]]&lt;30,"Naik","Sama")</f>
        <v>Sama</v>
      </c>
      <c r="BA259" s="7" t="str">
        <f>IF(Table43[[#This Row],[Kode BARANG Win2]]&lt;&gt;"","IDR","")</f>
        <v>IDR</v>
      </c>
      <c r="BB259" s="7" t="str">
        <f>CONCATENATE(Table43[[#This Row],[kode  1 Digit
(Nomor)]],Table43[[#This Row],[kode  4 Digit                (Nomor)]])</f>
        <v>10010</v>
      </c>
      <c r="BC259" s="7" t="str">
        <f>Table43[[#This Row],[Nama            Gramasi atau Jumlah Pack per CTN]]</f>
        <v>10ML</v>
      </c>
      <c r="BD259" s="7"/>
      <c r="BE259" s="7"/>
      <c r="BF259" s="4" t="str">
        <f>IF(Table43[[#This Row],[SATUAN Fix Win]]&lt;&gt;"","KRT")</f>
        <v>KRT</v>
      </c>
      <c r="BG259" s="4" t="str">
        <f>IF(Table43[[#This Row],[SATUAN Fix Win]]&lt;&gt;"","GD01")</f>
        <v>GD01</v>
      </c>
      <c r="BH259" s="4">
        <f>IF(Table43[[#This Row],[SATUAN Fix Win]]&lt;&gt;"",11611)</f>
        <v>11611</v>
      </c>
      <c r="BI259" s="4">
        <f>IF(Table43[[#This Row],[SATUAN Fix Win]]&lt;&gt;"",11612)</f>
        <v>11612</v>
      </c>
      <c r="BJ259" s="48"/>
      <c r="BK259" s="4">
        <f>IF(Table43[[#This Row],[SATUAN Fix Win]]&lt;&gt;"",1)</f>
        <v>1</v>
      </c>
    </row>
    <row r="260" spans="1:63">
      <c r="A260" s="4" t="str">
        <f>CONCATENATE(Table43[[#This Row],[Kode BARANG Win2]],Table43[[#This Row],[No. Urut
Item Sama]])</f>
        <v>K11550080010411</v>
      </c>
      <c r="B260" s="7">
        <v>1</v>
      </c>
      <c r="D260" s="28" t="s">
        <v>707</v>
      </c>
      <c r="E260" s="28"/>
      <c r="F260" s="28" t="s">
        <v>3420</v>
      </c>
      <c r="G260" s="78">
        <v>120</v>
      </c>
      <c r="H260" s="43"/>
      <c r="I260" s="28" t="str">
        <f>Table43[[#This Row],[Nama Jenis Kemasan]]</f>
        <v>SCH</v>
      </c>
      <c r="J260" s="4" t="str">
        <f>TRIM(CONCATENATE(Table43[[#This Row],[Nama            KLP]]," ",Table43[[#This Row],[Nama            Sub KLP]]))</f>
        <v>ESKULIN KIDS SHAMPOO</v>
      </c>
      <c r="K260" s="4" t="str">
        <f>CONCATENATE(Table43[[#This Row],[kode  2 Digit                (hrf+No)]],Table43[[#This Row],[kode  2 Digit                (Nomor)]],Table43[[#This Row],[kode  1 Digit                (Nomor)]])</f>
        <v>K1155</v>
      </c>
      <c r="L260" s="4" t="str">
        <f t="shared" si="12"/>
        <v>K1155008001041</v>
      </c>
      <c r="M260" s="11">
        <f t="shared" si="13"/>
        <v>14</v>
      </c>
      <c r="N260" s="14" t="str">
        <f>IF(AF260&lt;&gt;"",TRIM(UPPER(CONCATENATE(P260," ",R260," ",T260," ",V260," ",X260," ",Z260," ","X"," ",Table43[[#This Row],[ISI/CTN]]," ",AF260," ",AB260," ",AD260," ",AH260))),TRIM(UPPER(CONCATENATE(P260," ",R260," ",T260," ",V260," ",X260," ",Z260," ","X"," ",Table43[[#This Row],[ISI/CTN]]," ",AB260," ",AD260," ",AH260))))</f>
        <v>KNF ESKULIN KIDS SHAMPOO FROZEN 10ML X 120 SACHET SCH</v>
      </c>
      <c r="O260" s="11">
        <f t="shared" si="14"/>
        <v>53</v>
      </c>
      <c r="P260" s="4" t="s">
        <v>97</v>
      </c>
      <c r="Q260" s="7" t="s">
        <v>98</v>
      </c>
      <c r="R260" s="4" t="s">
        <v>3754</v>
      </c>
      <c r="S260" s="44" t="s">
        <v>3568</v>
      </c>
      <c r="T260" s="45" t="s">
        <v>3606</v>
      </c>
      <c r="U260" s="7" t="s">
        <v>3597</v>
      </c>
      <c r="V260" s="45" t="s">
        <v>2961</v>
      </c>
      <c r="W260" s="44" t="s">
        <v>2900</v>
      </c>
      <c r="X260" s="4" t="s">
        <v>3775</v>
      </c>
      <c r="Y260" s="46" t="s">
        <v>2478</v>
      </c>
      <c r="Z260" s="4" t="s">
        <v>3612</v>
      </c>
      <c r="AA260" s="46" t="s">
        <v>2488</v>
      </c>
      <c r="AB260" s="4" t="s">
        <v>1022</v>
      </c>
      <c r="AC260" s="7" t="s">
        <v>3593</v>
      </c>
      <c r="AD260" s="4" t="s">
        <v>2961</v>
      </c>
      <c r="AE260" s="7" t="s">
        <v>2900</v>
      </c>
      <c r="AF260" s="7" t="s">
        <v>149</v>
      </c>
      <c r="AG260" s="7" t="s">
        <v>2656</v>
      </c>
      <c r="AI260" s="7" t="s">
        <v>4100</v>
      </c>
      <c r="AJ260" s="7" t="s">
        <v>2656</v>
      </c>
      <c r="AK260" s="41">
        <f>Table43[[#This Row],[Harga Jual Pcs GT
(-PPN)]]-(Table43[[#This Row],[Harga Jual Pcs GT
(-PPN)]]*10%)</f>
        <v>0</v>
      </c>
      <c r="AL260" s="42">
        <f>Table43[[#This Row],[Harga Beli Pcs
(-PPN)]]*Table43[[#This Row],[ISI/CTN]]</f>
        <v>0</v>
      </c>
      <c r="AM260" s="42">
        <f>Table43[[#This Row],[Harga Beli Pcs
(-PPN)]]*1.11</f>
        <v>0</v>
      </c>
      <c r="AN260" s="42">
        <f>Table43[[#This Row],[Harga Beli Krt
(- PPN)]]*1.11</f>
        <v>0</v>
      </c>
      <c r="AO260" s="42"/>
      <c r="AP260" s="42">
        <f>Table43[[#This Row],[Harga Jual Pcs GT
(-PPN)]]*Table43[[#This Row],[ISI/CTN]]</f>
        <v>0</v>
      </c>
      <c r="AQ260" s="42">
        <f>Table43[[#This Row],[Harga Jual Pcs GT
(-PPN)]]*1.11</f>
        <v>0</v>
      </c>
      <c r="AR260" s="42">
        <f>Table43[[#This Row],[Harga Jual Krt GT
(- PPN)]]*1.11</f>
        <v>0</v>
      </c>
      <c r="AS260" s="42">
        <f>Table43[[#This Row],[Harga Jual Pcs GT
(-PPN)]]</f>
        <v>0</v>
      </c>
      <c r="AT260" s="42">
        <f>(Table43[[#This Row],[Harga Jual Pcs MT
(-PPN)]]*Table43[[#This Row],[ISI/CTN]])</f>
        <v>0</v>
      </c>
      <c r="AU260" s="42">
        <f>Table43[[#This Row],[Harga Jual Pcs MT
(-PPN)]]*1.11</f>
        <v>0</v>
      </c>
      <c r="AV260" s="42">
        <f>Table43[[#This Row],[Harga Jual Pcs MT
(+PPN)]]*Table43[[#This Row],[ISI/CTN]]</f>
        <v>0</v>
      </c>
      <c r="AW260" s="47"/>
      <c r="AX260" s="7"/>
      <c r="AY260" s="7" t="str">
        <f ca="1">IF(TODAY()-Table43[[#This Row],[Efektif
Pembuatan]]&gt;60,"Lama","Baru")</f>
        <v>Lama</v>
      </c>
      <c r="AZ260" s="7" t="str">
        <f ca="1">IF(TODAY()-Table43[[#This Row],[Efektif Naik Harga]]&lt;30,"Naik","Sama")</f>
        <v>Sama</v>
      </c>
      <c r="BA260" s="7" t="str">
        <f>IF(Table43[[#This Row],[Kode BARANG Win2]]&lt;&gt;"","IDR","")</f>
        <v>IDR</v>
      </c>
      <c r="BB260" s="7" t="str">
        <f>CONCATENATE(Table43[[#This Row],[kode  1 Digit
(Nomor)]],Table43[[#This Row],[kode  4 Digit                (Nomor)]])</f>
        <v>10010</v>
      </c>
      <c r="BC260" s="7" t="str">
        <f>Table43[[#This Row],[Nama            Gramasi atau Jumlah Pack per CTN]]</f>
        <v>10ML</v>
      </c>
      <c r="BD260" s="7"/>
      <c r="BE260" s="7"/>
      <c r="BF260" s="4" t="str">
        <f>IF(Table43[[#This Row],[SATUAN Fix Win]]&lt;&gt;"","KRT")</f>
        <v>KRT</v>
      </c>
      <c r="BG260" s="4" t="str">
        <f>IF(Table43[[#This Row],[SATUAN Fix Win]]&lt;&gt;"","GD01")</f>
        <v>GD01</v>
      </c>
      <c r="BH260" s="4">
        <f>IF(Table43[[#This Row],[SATUAN Fix Win]]&lt;&gt;"",11611)</f>
        <v>11611</v>
      </c>
      <c r="BI260" s="4">
        <f>IF(Table43[[#This Row],[SATUAN Fix Win]]&lt;&gt;"",11612)</f>
        <v>11612</v>
      </c>
      <c r="BJ260" s="48"/>
      <c r="BK260" s="4">
        <f>IF(Table43[[#This Row],[SATUAN Fix Win]]&lt;&gt;"",1)</f>
        <v>1</v>
      </c>
    </row>
    <row r="261" spans="1:63">
      <c r="A261" s="4" t="str">
        <f>CONCATENATE(Table43[[#This Row],[Kode BARANG Win2]],Table43[[#This Row],[No. Urut
Item Sama]])</f>
        <v>K11550090010101</v>
      </c>
      <c r="B261" s="7">
        <v>1</v>
      </c>
      <c r="D261" s="28" t="s">
        <v>694</v>
      </c>
      <c r="E261" s="28"/>
      <c r="F261" s="28" t="s">
        <v>3065</v>
      </c>
      <c r="G261" s="78">
        <v>24</v>
      </c>
      <c r="H261" s="43"/>
      <c r="I261" s="28" t="str">
        <f>Table43[[#This Row],[Nama Jenis Kemasan]]</f>
        <v>AMP</v>
      </c>
      <c r="J261" s="4" t="str">
        <f>TRIM(CONCATENATE(Table43[[#This Row],[Nama            KLP]]," ",Table43[[#This Row],[Nama            Sub KLP]]))</f>
        <v>ESKULIN KIDS SHAMPOO</v>
      </c>
      <c r="K261" s="4" t="str">
        <f>CONCATENATE(Table43[[#This Row],[kode  2 Digit                (hrf+No)]],Table43[[#This Row],[kode  2 Digit                (Nomor)]],Table43[[#This Row],[kode  1 Digit                (Nomor)]])</f>
        <v>K1155</v>
      </c>
      <c r="L261" s="4" t="str">
        <f t="shared" si="12"/>
        <v>K1155009001010</v>
      </c>
      <c r="M261" s="11">
        <f t="shared" si="13"/>
        <v>14</v>
      </c>
      <c r="N261" s="14" t="str">
        <f>IF(AF261&lt;&gt;"",TRIM(UPPER(CONCATENATE(P261," ",R261," ",T261," ",V261," ",X261," ",Z261," ","X"," ",Table43[[#This Row],[ISI/CTN]]," ",AF261," ",AB261," ",AD261," ",AH261))),TRIM(UPPER(CONCATENATE(P261," ",R261," ",T261," ",V261," ",X261," ",Z261," ","X"," ",Table43[[#This Row],[ISI/CTN]]," ",AB261," ",AD261," ",AH261))))</f>
        <v>KNF ESKULIN KIDS SHAMPOO MICKEY 10ML X 24 AMP</v>
      </c>
      <c r="O261" s="11">
        <f t="shared" si="14"/>
        <v>45</v>
      </c>
      <c r="P261" s="4" t="s">
        <v>97</v>
      </c>
      <c r="Q261" s="7" t="s">
        <v>98</v>
      </c>
      <c r="R261" s="4" t="s">
        <v>3754</v>
      </c>
      <c r="S261" s="44" t="s">
        <v>3568</v>
      </c>
      <c r="T261" s="45" t="s">
        <v>3606</v>
      </c>
      <c r="U261" s="7" t="s">
        <v>3597</v>
      </c>
      <c r="V261" s="45" t="s">
        <v>2961</v>
      </c>
      <c r="W261" s="44" t="s">
        <v>2900</v>
      </c>
      <c r="X261" s="4" t="s">
        <v>3758</v>
      </c>
      <c r="Y261" s="46" t="s">
        <v>2479</v>
      </c>
      <c r="Z261" s="4" t="s">
        <v>3612</v>
      </c>
      <c r="AA261" s="46" t="s">
        <v>2488</v>
      </c>
      <c r="AB261" s="4" t="s">
        <v>1027</v>
      </c>
      <c r="AC261" s="7" t="s">
        <v>2656</v>
      </c>
      <c r="AD261" s="4" t="s">
        <v>2961</v>
      </c>
      <c r="AE261" s="7" t="s">
        <v>2900</v>
      </c>
      <c r="AF261" s="7" t="s">
        <v>2961</v>
      </c>
      <c r="AG261" s="7" t="s">
        <v>2961</v>
      </c>
      <c r="AI261" s="7" t="s">
        <v>4100</v>
      </c>
      <c r="AJ261" s="7" t="s">
        <v>2656</v>
      </c>
      <c r="AK261" s="41">
        <f>Table43[[#This Row],[Harga Jual Pcs GT
(-PPN)]]-(Table43[[#This Row],[Harga Jual Pcs GT
(-PPN)]]*10%)</f>
        <v>0</v>
      </c>
      <c r="AL261" s="42">
        <f>Table43[[#This Row],[Harga Beli Pcs
(-PPN)]]*Table43[[#This Row],[ISI/CTN]]</f>
        <v>0</v>
      </c>
      <c r="AM261" s="42">
        <f>Table43[[#This Row],[Harga Beli Pcs
(-PPN)]]*1.11</f>
        <v>0</v>
      </c>
      <c r="AN261" s="42">
        <f>Table43[[#This Row],[Harga Beli Krt
(- PPN)]]*1.11</f>
        <v>0</v>
      </c>
      <c r="AO261" s="42"/>
      <c r="AP261" s="42">
        <f>Table43[[#This Row],[Harga Jual Pcs GT
(-PPN)]]*Table43[[#This Row],[ISI/CTN]]</f>
        <v>0</v>
      </c>
      <c r="AQ261" s="42">
        <f>Table43[[#This Row],[Harga Jual Pcs GT
(-PPN)]]*1.11</f>
        <v>0</v>
      </c>
      <c r="AR261" s="42">
        <f>Table43[[#This Row],[Harga Jual Krt GT
(- PPN)]]*1.11</f>
        <v>0</v>
      </c>
      <c r="AS261" s="42">
        <f>Table43[[#This Row],[Harga Jual Pcs GT
(-PPN)]]</f>
        <v>0</v>
      </c>
      <c r="AT261" s="42">
        <f>(Table43[[#This Row],[Harga Jual Pcs MT
(-PPN)]]*Table43[[#This Row],[ISI/CTN]])</f>
        <v>0</v>
      </c>
      <c r="AU261" s="42">
        <f>Table43[[#This Row],[Harga Jual Pcs MT
(-PPN)]]*1.11</f>
        <v>0</v>
      </c>
      <c r="AV261" s="42">
        <f>Table43[[#This Row],[Harga Jual Pcs MT
(+PPN)]]*Table43[[#This Row],[ISI/CTN]]</f>
        <v>0</v>
      </c>
      <c r="AW261" s="47"/>
      <c r="AX261" s="7"/>
      <c r="AY261" s="7" t="str">
        <f ca="1">IF(TODAY()-Table43[[#This Row],[Efektif
Pembuatan]]&gt;60,"Lama","Baru")</f>
        <v>Lama</v>
      </c>
      <c r="AZ261" s="7" t="str">
        <f ca="1">IF(TODAY()-Table43[[#This Row],[Efektif Naik Harga]]&lt;30,"Naik","Sama")</f>
        <v>Sama</v>
      </c>
      <c r="BA261" s="7" t="str">
        <f>IF(Table43[[#This Row],[Kode BARANG Win2]]&lt;&gt;"","IDR","")</f>
        <v>IDR</v>
      </c>
      <c r="BB261" s="7" t="str">
        <f>CONCATENATE(Table43[[#This Row],[kode  1 Digit
(Nomor)]],Table43[[#This Row],[kode  4 Digit                (Nomor)]])</f>
        <v>10010</v>
      </c>
      <c r="BC261" s="7" t="str">
        <f>Table43[[#This Row],[Nama            Gramasi atau Jumlah Pack per CTN]]</f>
        <v>10ML</v>
      </c>
      <c r="BD261" s="7"/>
      <c r="BE261" s="7"/>
      <c r="BF261" s="4" t="str">
        <f>IF(Table43[[#This Row],[SATUAN Fix Win]]&lt;&gt;"","KRT")</f>
        <v>KRT</v>
      </c>
      <c r="BG261" s="4" t="str">
        <f>IF(Table43[[#This Row],[SATUAN Fix Win]]&lt;&gt;"","GD01")</f>
        <v>GD01</v>
      </c>
      <c r="BH261" s="4">
        <f>IF(Table43[[#This Row],[SATUAN Fix Win]]&lt;&gt;"",11611)</f>
        <v>11611</v>
      </c>
      <c r="BI261" s="4">
        <f>IF(Table43[[#This Row],[SATUAN Fix Win]]&lt;&gt;"",11612)</f>
        <v>11612</v>
      </c>
      <c r="BJ261" s="48"/>
      <c r="BK261" s="4">
        <f>IF(Table43[[#This Row],[SATUAN Fix Win]]&lt;&gt;"",1)</f>
        <v>1</v>
      </c>
    </row>
    <row r="262" spans="1:63">
      <c r="A262" s="4" t="str">
        <f>CONCATENATE(Table43[[#This Row],[Kode BARANG Win2]],Table43[[#This Row],[No. Urut
Item Sama]])</f>
        <v>K11550090010411</v>
      </c>
      <c r="B262" s="7">
        <v>1</v>
      </c>
      <c r="D262" s="28" t="s">
        <v>695</v>
      </c>
      <c r="E262" s="28"/>
      <c r="F262" s="28" t="s">
        <v>3421</v>
      </c>
      <c r="G262" s="78">
        <v>120</v>
      </c>
      <c r="H262" s="43"/>
      <c r="I262" s="28" t="str">
        <f>Table43[[#This Row],[Nama Jenis Kemasan]]</f>
        <v>SCH</v>
      </c>
      <c r="J262" s="4" t="str">
        <f>TRIM(CONCATENATE(Table43[[#This Row],[Nama            KLP]]," ",Table43[[#This Row],[Nama            Sub KLP]]))</f>
        <v>ESKULIN KIDS SHAMPOO</v>
      </c>
      <c r="K262" s="4" t="str">
        <f>CONCATENATE(Table43[[#This Row],[kode  2 Digit                (hrf+No)]],Table43[[#This Row],[kode  2 Digit                (Nomor)]],Table43[[#This Row],[kode  1 Digit                (Nomor)]])</f>
        <v>K1155</v>
      </c>
      <c r="L262" s="4" t="str">
        <f t="shared" si="12"/>
        <v>K1155009001041</v>
      </c>
      <c r="M262" s="11">
        <f t="shared" si="13"/>
        <v>14</v>
      </c>
      <c r="N262" s="14" t="str">
        <f>IF(AF262&lt;&gt;"",TRIM(UPPER(CONCATENATE(P262," ",R262," ",T262," ",V262," ",X262," ",Z262," ","X"," ",Table43[[#This Row],[ISI/CTN]]," ",AF262," ",AB262," ",AD262," ",AH262))),TRIM(UPPER(CONCATENATE(P262," ",R262," ",T262," ",V262," ",X262," ",Z262," ","X"," ",Table43[[#This Row],[ISI/CTN]]," ",AB262," ",AD262," ",AH262))))</f>
        <v>KNF ESKULIN KIDS SHAMPOO MICKEY 10ML X 120 SACHET SCH</v>
      </c>
      <c r="O262" s="11">
        <f t="shared" si="14"/>
        <v>53</v>
      </c>
      <c r="P262" s="4" t="s">
        <v>97</v>
      </c>
      <c r="Q262" s="7" t="s">
        <v>98</v>
      </c>
      <c r="R262" s="4" t="s">
        <v>3754</v>
      </c>
      <c r="S262" s="44" t="s">
        <v>3568</v>
      </c>
      <c r="T262" s="45" t="s">
        <v>3606</v>
      </c>
      <c r="U262" s="7" t="s">
        <v>3597</v>
      </c>
      <c r="V262" s="45" t="s">
        <v>2961</v>
      </c>
      <c r="W262" s="44" t="s">
        <v>2900</v>
      </c>
      <c r="X262" s="4" t="s">
        <v>3758</v>
      </c>
      <c r="Y262" s="46" t="s">
        <v>2479</v>
      </c>
      <c r="Z262" s="4" t="s">
        <v>3612</v>
      </c>
      <c r="AA262" s="46" t="s">
        <v>2488</v>
      </c>
      <c r="AB262" s="4" t="s">
        <v>1022</v>
      </c>
      <c r="AC262" s="7" t="s">
        <v>3593</v>
      </c>
      <c r="AD262" s="4" t="s">
        <v>2961</v>
      </c>
      <c r="AE262" s="7" t="s">
        <v>2900</v>
      </c>
      <c r="AF262" s="7" t="s">
        <v>149</v>
      </c>
      <c r="AG262" s="7" t="s">
        <v>2656</v>
      </c>
      <c r="AI262" s="7" t="s">
        <v>4100</v>
      </c>
      <c r="AJ262" s="7" t="s">
        <v>2656</v>
      </c>
      <c r="AK262" s="41">
        <f>Table43[[#This Row],[Harga Jual Pcs GT
(-PPN)]]-(Table43[[#This Row],[Harga Jual Pcs GT
(-PPN)]]*10%)</f>
        <v>0</v>
      </c>
      <c r="AL262" s="42">
        <f>Table43[[#This Row],[Harga Beli Pcs
(-PPN)]]*Table43[[#This Row],[ISI/CTN]]</f>
        <v>0</v>
      </c>
      <c r="AM262" s="42">
        <f>Table43[[#This Row],[Harga Beli Pcs
(-PPN)]]*1.11</f>
        <v>0</v>
      </c>
      <c r="AN262" s="42">
        <f>Table43[[#This Row],[Harga Beli Krt
(- PPN)]]*1.11</f>
        <v>0</v>
      </c>
      <c r="AO262" s="42"/>
      <c r="AP262" s="42">
        <f>Table43[[#This Row],[Harga Jual Pcs GT
(-PPN)]]*Table43[[#This Row],[ISI/CTN]]</f>
        <v>0</v>
      </c>
      <c r="AQ262" s="42">
        <f>Table43[[#This Row],[Harga Jual Pcs GT
(-PPN)]]*1.11</f>
        <v>0</v>
      </c>
      <c r="AR262" s="42">
        <f>Table43[[#This Row],[Harga Jual Krt GT
(- PPN)]]*1.11</f>
        <v>0</v>
      </c>
      <c r="AS262" s="42">
        <f>Table43[[#This Row],[Harga Jual Pcs GT
(-PPN)]]</f>
        <v>0</v>
      </c>
      <c r="AT262" s="42">
        <f>(Table43[[#This Row],[Harga Jual Pcs MT
(-PPN)]]*Table43[[#This Row],[ISI/CTN]])</f>
        <v>0</v>
      </c>
      <c r="AU262" s="42">
        <f>Table43[[#This Row],[Harga Jual Pcs MT
(-PPN)]]*1.11</f>
        <v>0</v>
      </c>
      <c r="AV262" s="42">
        <f>Table43[[#This Row],[Harga Jual Pcs MT
(+PPN)]]*Table43[[#This Row],[ISI/CTN]]</f>
        <v>0</v>
      </c>
      <c r="AW262" s="47"/>
      <c r="AX262" s="7"/>
      <c r="AY262" s="7" t="str">
        <f ca="1">IF(TODAY()-Table43[[#This Row],[Efektif
Pembuatan]]&gt;60,"Lama","Baru")</f>
        <v>Lama</v>
      </c>
      <c r="AZ262" s="7" t="str">
        <f ca="1">IF(TODAY()-Table43[[#This Row],[Efektif Naik Harga]]&lt;30,"Naik","Sama")</f>
        <v>Sama</v>
      </c>
      <c r="BA262" s="7" t="str">
        <f>IF(Table43[[#This Row],[Kode BARANG Win2]]&lt;&gt;"","IDR","")</f>
        <v>IDR</v>
      </c>
      <c r="BB262" s="7" t="str">
        <f>CONCATENATE(Table43[[#This Row],[kode  1 Digit
(Nomor)]],Table43[[#This Row],[kode  4 Digit                (Nomor)]])</f>
        <v>10010</v>
      </c>
      <c r="BC262" s="7" t="str">
        <f>Table43[[#This Row],[Nama            Gramasi atau Jumlah Pack per CTN]]</f>
        <v>10ML</v>
      </c>
      <c r="BD262" s="7"/>
      <c r="BE262" s="7"/>
      <c r="BF262" s="4" t="str">
        <f>IF(Table43[[#This Row],[SATUAN Fix Win]]&lt;&gt;"","KRT")</f>
        <v>KRT</v>
      </c>
      <c r="BG262" s="4" t="str">
        <f>IF(Table43[[#This Row],[SATUAN Fix Win]]&lt;&gt;"","GD01")</f>
        <v>GD01</v>
      </c>
      <c r="BH262" s="4">
        <f>IF(Table43[[#This Row],[SATUAN Fix Win]]&lt;&gt;"",11611)</f>
        <v>11611</v>
      </c>
      <c r="BI262" s="4">
        <f>IF(Table43[[#This Row],[SATUAN Fix Win]]&lt;&gt;"",11612)</f>
        <v>11612</v>
      </c>
      <c r="BJ262" s="48"/>
      <c r="BK262" s="4">
        <f>IF(Table43[[#This Row],[SATUAN Fix Win]]&lt;&gt;"",1)</f>
        <v>1</v>
      </c>
    </row>
    <row r="263" spans="1:63">
      <c r="A263" s="4" t="str">
        <f>CONCATENATE(Table43[[#This Row],[Kode BARANG Win2]],Table43[[#This Row],[No. Urut
Item Sama]])</f>
        <v>K11550090045201</v>
      </c>
      <c r="B263" s="7">
        <v>1</v>
      </c>
      <c r="D263" s="28" t="s">
        <v>697</v>
      </c>
      <c r="E263" s="28"/>
      <c r="F263" s="28" t="s">
        <v>3422</v>
      </c>
      <c r="G263" s="78">
        <v>72</v>
      </c>
      <c r="H263" s="43"/>
      <c r="I263" s="28" t="str">
        <f>Table43[[#This Row],[Nama Jenis Kemasan]]</f>
        <v>BTL</v>
      </c>
      <c r="J263" s="4" t="str">
        <f>TRIM(CONCATENATE(Table43[[#This Row],[Nama            KLP]]," ",Table43[[#This Row],[Nama            Sub KLP]]))</f>
        <v>ESKULIN KIDS SHAMPOO</v>
      </c>
      <c r="K263" s="4" t="str">
        <f>CONCATENATE(Table43[[#This Row],[kode  2 Digit                (hrf+No)]],Table43[[#This Row],[kode  2 Digit                (Nomor)]],Table43[[#This Row],[kode  1 Digit                (Nomor)]])</f>
        <v>K1155</v>
      </c>
      <c r="L263" s="4" t="str">
        <f t="shared" si="12"/>
        <v>K1155009004520</v>
      </c>
      <c r="M263" s="11">
        <f t="shared" si="13"/>
        <v>14</v>
      </c>
      <c r="N263" s="14" t="str">
        <f>IF(AF263&lt;&gt;"",TRIM(UPPER(CONCATENATE(P263," ",R263," ",T263," ",V263," ",X263," ",Z263," ","X"," ",Table43[[#This Row],[ISI/CTN]]," ",AF263," ",AB263," ",AD263," ",AH263))),TRIM(UPPER(CONCATENATE(P263," ",R263," ",T263," ",V263," ",X263," ",Z263," ","X"," ",Table43[[#This Row],[ISI/CTN]]," ",AB263," ",AD263," ",AH263))))</f>
        <v>KNF ESKULIN KIDS SHAMPOO MICKEY 45ML X 72 BTL</v>
      </c>
      <c r="O263" s="11">
        <f t="shared" si="14"/>
        <v>45</v>
      </c>
      <c r="P263" s="4" t="s">
        <v>97</v>
      </c>
      <c r="Q263" s="7" t="s">
        <v>98</v>
      </c>
      <c r="R263" s="4" t="s">
        <v>3754</v>
      </c>
      <c r="S263" s="44" t="s">
        <v>3568</v>
      </c>
      <c r="T263" s="45" t="s">
        <v>3606</v>
      </c>
      <c r="U263" s="7" t="s">
        <v>3597</v>
      </c>
      <c r="V263" s="45" t="s">
        <v>2961</v>
      </c>
      <c r="W263" s="44" t="s">
        <v>2900</v>
      </c>
      <c r="X263" s="4" t="s">
        <v>3758</v>
      </c>
      <c r="Y263" s="46" t="s">
        <v>2479</v>
      </c>
      <c r="Z263" s="4" t="s">
        <v>3682</v>
      </c>
      <c r="AA263" s="46" t="s">
        <v>2491</v>
      </c>
      <c r="AB263" s="4" t="s">
        <v>357</v>
      </c>
      <c r="AC263" s="7" t="s">
        <v>3562</v>
      </c>
      <c r="AD263" s="4" t="s">
        <v>2961</v>
      </c>
      <c r="AE263" s="7" t="s">
        <v>2900</v>
      </c>
      <c r="AF263" s="7" t="s">
        <v>2961</v>
      </c>
      <c r="AG263" s="7" t="s">
        <v>2961</v>
      </c>
      <c r="AI263" s="7" t="s">
        <v>4100</v>
      </c>
      <c r="AJ263" s="7" t="s">
        <v>2656</v>
      </c>
      <c r="AK263" s="41">
        <f>Table43[[#This Row],[Harga Jual Pcs GT
(-PPN)]]-(Table43[[#This Row],[Harga Jual Pcs GT
(-PPN)]]*10%)</f>
        <v>0</v>
      </c>
      <c r="AL263" s="42">
        <f>Table43[[#This Row],[Harga Beli Pcs
(-PPN)]]*Table43[[#This Row],[ISI/CTN]]</f>
        <v>0</v>
      </c>
      <c r="AM263" s="42">
        <f>Table43[[#This Row],[Harga Beli Pcs
(-PPN)]]*1.11</f>
        <v>0</v>
      </c>
      <c r="AN263" s="42">
        <f>Table43[[#This Row],[Harga Beli Krt
(- PPN)]]*1.11</f>
        <v>0</v>
      </c>
      <c r="AO263" s="42"/>
      <c r="AP263" s="42">
        <f>Table43[[#This Row],[Harga Jual Pcs GT
(-PPN)]]*Table43[[#This Row],[ISI/CTN]]</f>
        <v>0</v>
      </c>
      <c r="AQ263" s="42">
        <f>Table43[[#This Row],[Harga Jual Pcs GT
(-PPN)]]*1.11</f>
        <v>0</v>
      </c>
      <c r="AR263" s="42">
        <f>Table43[[#This Row],[Harga Jual Krt GT
(- PPN)]]*1.11</f>
        <v>0</v>
      </c>
      <c r="AS263" s="42">
        <f>Table43[[#This Row],[Harga Jual Pcs GT
(-PPN)]]</f>
        <v>0</v>
      </c>
      <c r="AT263" s="42">
        <f>(Table43[[#This Row],[Harga Jual Pcs MT
(-PPN)]]*Table43[[#This Row],[ISI/CTN]])</f>
        <v>0</v>
      </c>
      <c r="AU263" s="42">
        <f>Table43[[#This Row],[Harga Jual Pcs MT
(-PPN)]]*1.11</f>
        <v>0</v>
      </c>
      <c r="AV263" s="42">
        <f>Table43[[#This Row],[Harga Jual Pcs MT
(+PPN)]]*Table43[[#This Row],[ISI/CTN]]</f>
        <v>0</v>
      </c>
      <c r="AW263" s="47"/>
      <c r="AX263" s="7"/>
      <c r="AY263" s="7" t="str">
        <f ca="1">IF(TODAY()-Table43[[#This Row],[Efektif
Pembuatan]]&gt;60,"Lama","Baru")</f>
        <v>Lama</v>
      </c>
      <c r="AZ263" s="7" t="str">
        <f ca="1">IF(TODAY()-Table43[[#This Row],[Efektif Naik Harga]]&lt;30,"Naik","Sama")</f>
        <v>Sama</v>
      </c>
      <c r="BA263" s="7" t="str">
        <f>IF(Table43[[#This Row],[Kode BARANG Win2]]&lt;&gt;"","IDR","")</f>
        <v>IDR</v>
      </c>
      <c r="BB263" s="7" t="str">
        <f>CONCATENATE(Table43[[#This Row],[kode  1 Digit
(Nomor)]],Table43[[#This Row],[kode  4 Digit                (Nomor)]])</f>
        <v>10045</v>
      </c>
      <c r="BC263" s="7" t="str">
        <f>Table43[[#This Row],[Nama            Gramasi atau Jumlah Pack per CTN]]</f>
        <v>45ML</v>
      </c>
      <c r="BD263" s="7"/>
      <c r="BE263" s="7"/>
      <c r="BF263" s="4" t="str">
        <f>IF(Table43[[#This Row],[SATUAN Fix Win]]&lt;&gt;"","KRT")</f>
        <v>KRT</v>
      </c>
      <c r="BG263" s="4" t="str">
        <f>IF(Table43[[#This Row],[SATUAN Fix Win]]&lt;&gt;"","GD01")</f>
        <v>GD01</v>
      </c>
      <c r="BH263" s="4">
        <f>IF(Table43[[#This Row],[SATUAN Fix Win]]&lt;&gt;"",11611)</f>
        <v>11611</v>
      </c>
      <c r="BI263" s="4">
        <f>IF(Table43[[#This Row],[SATUAN Fix Win]]&lt;&gt;"",11612)</f>
        <v>11612</v>
      </c>
      <c r="BJ263" s="48"/>
      <c r="BK263" s="4">
        <f>IF(Table43[[#This Row],[SATUAN Fix Win]]&lt;&gt;"",1)</f>
        <v>1</v>
      </c>
    </row>
    <row r="264" spans="1:63">
      <c r="A264" s="4" t="str">
        <f>CONCATENATE(Table43[[#This Row],[Kode BARANG Win2]],Table43[[#This Row],[No. Urut
Item Sama]])</f>
        <v>K11550090100201</v>
      </c>
      <c r="B264" s="7">
        <v>1</v>
      </c>
      <c r="D264" s="28" t="s">
        <v>698</v>
      </c>
      <c r="E264" s="28"/>
      <c r="F264" s="28" t="s">
        <v>3423</v>
      </c>
      <c r="G264" s="78">
        <v>36</v>
      </c>
      <c r="H264" s="43"/>
      <c r="I264" s="28" t="str">
        <f>Table43[[#This Row],[Nama Jenis Kemasan]]</f>
        <v>BTL</v>
      </c>
      <c r="J264" s="4" t="str">
        <f>TRIM(CONCATENATE(Table43[[#This Row],[Nama            KLP]]," ",Table43[[#This Row],[Nama            Sub KLP]]))</f>
        <v>ESKULIN KIDS SHAMPOO</v>
      </c>
      <c r="K264" s="4" t="str">
        <f>CONCATENATE(Table43[[#This Row],[kode  2 Digit                (hrf+No)]],Table43[[#This Row],[kode  2 Digit                (Nomor)]],Table43[[#This Row],[kode  1 Digit                (Nomor)]])</f>
        <v>K1155</v>
      </c>
      <c r="L264" s="4" t="str">
        <f t="shared" si="12"/>
        <v>K1155009010020</v>
      </c>
      <c r="M264" s="11">
        <f t="shared" si="13"/>
        <v>14</v>
      </c>
      <c r="N264" s="14" t="str">
        <f>IF(AF264&lt;&gt;"",TRIM(UPPER(CONCATENATE(P264," ",R264," ",T264," ",V264," ",X264," ",Z264," ","X"," ",Table43[[#This Row],[ISI/CTN]]," ",AF264," ",AB264," ",AD264," ",AH264))),TRIM(UPPER(CONCATENATE(P264," ",R264," ",T264," ",V264," ",X264," ",Z264," ","X"," ",Table43[[#This Row],[ISI/CTN]]," ",AB264," ",AD264," ",AH264))))</f>
        <v>KNF ESKULIN KIDS SHAMPOO MICKEY 100ML X 36 BTL</v>
      </c>
      <c r="O264" s="11">
        <f t="shared" si="14"/>
        <v>46</v>
      </c>
      <c r="P264" s="4" t="s">
        <v>97</v>
      </c>
      <c r="Q264" s="7" t="s">
        <v>98</v>
      </c>
      <c r="R264" s="4" t="s">
        <v>3754</v>
      </c>
      <c r="S264" s="44" t="s">
        <v>3568</v>
      </c>
      <c r="T264" s="45" t="s">
        <v>3606</v>
      </c>
      <c r="U264" s="7" t="s">
        <v>3597</v>
      </c>
      <c r="V264" s="45" t="s">
        <v>2961</v>
      </c>
      <c r="W264" s="44" t="s">
        <v>2900</v>
      </c>
      <c r="X264" s="4" t="s">
        <v>3758</v>
      </c>
      <c r="Y264" s="46" t="s">
        <v>2479</v>
      </c>
      <c r="Z264" s="4" t="s">
        <v>3588</v>
      </c>
      <c r="AA264" s="46" t="s">
        <v>2487</v>
      </c>
      <c r="AB264" s="4" t="s">
        <v>357</v>
      </c>
      <c r="AC264" s="7" t="s">
        <v>3562</v>
      </c>
      <c r="AD264" s="4" t="s">
        <v>2961</v>
      </c>
      <c r="AE264" s="7" t="s">
        <v>2900</v>
      </c>
      <c r="AF264" s="7" t="s">
        <v>2961</v>
      </c>
      <c r="AG264" s="7" t="s">
        <v>2961</v>
      </c>
      <c r="AI264" s="7" t="s">
        <v>4100</v>
      </c>
      <c r="AJ264" s="7" t="s">
        <v>2656</v>
      </c>
      <c r="AK264" s="41">
        <f>Table43[[#This Row],[Harga Jual Pcs GT
(-PPN)]]-(Table43[[#This Row],[Harga Jual Pcs GT
(-PPN)]]*10%)</f>
        <v>0</v>
      </c>
      <c r="AL264" s="42">
        <f>Table43[[#This Row],[Harga Beli Pcs
(-PPN)]]*Table43[[#This Row],[ISI/CTN]]</f>
        <v>0</v>
      </c>
      <c r="AM264" s="42">
        <f>Table43[[#This Row],[Harga Beli Pcs
(-PPN)]]*1.11</f>
        <v>0</v>
      </c>
      <c r="AN264" s="42">
        <f>Table43[[#This Row],[Harga Beli Krt
(- PPN)]]*1.11</f>
        <v>0</v>
      </c>
      <c r="AO264" s="42"/>
      <c r="AP264" s="42">
        <f>Table43[[#This Row],[Harga Jual Pcs GT
(-PPN)]]*Table43[[#This Row],[ISI/CTN]]</f>
        <v>0</v>
      </c>
      <c r="AQ264" s="42">
        <f>Table43[[#This Row],[Harga Jual Pcs GT
(-PPN)]]*1.11</f>
        <v>0</v>
      </c>
      <c r="AR264" s="42">
        <f>Table43[[#This Row],[Harga Jual Krt GT
(- PPN)]]*1.11</f>
        <v>0</v>
      </c>
      <c r="AS264" s="42">
        <f>Table43[[#This Row],[Harga Jual Pcs GT
(-PPN)]]</f>
        <v>0</v>
      </c>
      <c r="AT264" s="42">
        <f>(Table43[[#This Row],[Harga Jual Pcs MT
(-PPN)]]*Table43[[#This Row],[ISI/CTN]])</f>
        <v>0</v>
      </c>
      <c r="AU264" s="42">
        <f>Table43[[#This Row],[Harga Jual Pcs MT
(-PPN)]]*1.11</f>
        <v>0</v>
      </c>
      <c r="AV264" s="42">
        <f>Table43[[#This Row],[Harga Jual Pcs MT
(+PPN)]]*Table43[[#This Row],[ISI/CTN]]</f>
        <v>0</v>
      </c>
      <c r="AW264" s="47"/>
      <c r="AX264" s="7"/>
      <c r="AY264" s="7" t="str">
        <f ca="1">IF(TODAY()-Table43[[#This Row],[Efektif
Pembuatan]]&gt;60,"Lama","Baru")</f>
        <v>Lama</v>
      </c>
      <c r="AZ264" s="7" t="str">
        <f ca="1">IF(TODAY()-Table43[[#This Row],[Efektif Naik Harga]]&lt;30,"Naik","Sama")</f>
        <v>Sama</v>
      </c>
      <c r="BA264" s="7" t="str">
        <f>IF(Table43[[#This Row],[Kode BARANG Win2]]&lt;&gt;"","IDR","")</f>
        <v>IDR</v>
      </c>
      <c r="BB264" s="7" t="str">
        <f>CONCATENATE(Table43[[#This Row],[kode  1 Digit
(Nomor)]],Table43[[#This Row],[kode  4 Digit                (Nomor)]])</f>
        <v>10100</v>
      </c>
      <c r="BC264" s="7" t="str">
        <f>Table43[[#This Row],[Nama            Gramasi atau Jumlah Pack per CTN]]</f>
        <v>100ML</v>
      </c>
      <c r="BD264" s="7"/>
      <c r="BE264" s="7"/>
      <c r="BF264" s="4" t="str">
        <f>IF(Table43[[#This Row],[SATUAN Fix Win]]&lt;&gt;"","KRT")</f>
        <v>KRT</v>
      </c>
      <c r="BG264" s="4" t="str">
        <f>IF(Table43[[#This Row],[SATUAN Fix Win]]&lt;&gt;"","GD01")</f>
        <v>GD01</v>
      </c>
      <c r="BH264" s="4">
        <f>IF(Table43[[#This Row],[SATUAN Fix Win]]&lt;&gt;"",11611)</f>
        <v>11611</v>
      </c>
      <c r="BI264" s="4">
        <f>IF(Table43[[#This Row],[SATUAN Fix Win]]&lt;&gt;"",11612)</f>
        <v>11612</v>
      </c>
      <c r="BJ264" s="48"/>
      <c r="BK264" s="4">
        <f>IF(Table43[[#This Row],[SATUAN Fix Win]]&lt;&gt;"",1)</f>
        <v>1</v>
      </c>
    </row>
    <row r="265" spans="1:63">
      <c r="A265" s="4" t="str">
        <f>CONCATENATE(Table43[[#This Row],[Kode BARANG Win2]],Table43[[#This Row],[No. Urut
Item Sama]])</f>
        <v>K11550090200201</v>
      </c>
      <c r="B265" s="7">
        <v>1</v>
      </c>
      <c r="D265" s="28" t="s">
        <v>699</v>
      </c>
      <c r="E265" s="28"/>
      <c r="F265" s="28" t="s">
        <v>3424</v>
      </c>
      <c r="G265" s="78">
        <v>36</v>
      </c>
      <c r="H265" s="43"/>
      <c r="I265" s="28" t="str">
        <f>Table43[[#This Row],[Nama Jenis Kemasan]]</f>
        <v>BTL</v>
      </c>
      <c r="J265" s="4" t="str">
        <f>TRIM(CONCATENATE(Table43[[#This Row],[Nama            KLP]]," ",Table43[[#This Row],[Nama            Sub KLP]]))</f>
        <v>ESKULIN KIDS SHAMPOO</v>
      </c>
      <c r="K265" s="4" t="str">
        <f>CONCATENATE(Table43[[#This Row],[kode  2 Digit                (hrf+No)]],Table43[[#This Row],[kode  2 Digit                (Nomor)]],Table43[[#This Row],[kode  1 Digit                (Nomor)]])</f>
        <v>K1155</v>
      </c>
      <c r="L265" s="4" t="str">
        <f t="shared" si="12"/>
        <v>K1155009020020</v>
      </c>
      <c r="M265" s="11">
        <f t="shared" si="13"/>
        <v>14</v>
      </c>
      <c r="N265" s="14" t="str">
        <f>IF(AF265&lt;&gt;"",TRIM(UPPER(CONCATENATE(P265," ",R265," ",T265," ",V265," ",X265," ",Z265," ","X"," ",Table43[[#This Row],[ISI/CTN]]," ",AF265," ",AB265," ",AD265," ",AH265))),TRIM(UPPER(CONCATENATE(P265," ",R265," ",T265," ",V265," ",X265," ",Z265," ","X"," ",Table43[[#This Row],[ISI/CTN]]," ",AB265," ",AD265," ",AH265))))</f>
        <v>KNF ESKULIN KIDS SHAMPOO MICKEY 200ML X 36 BTL</v>
      </c>
      <c r="O265" s="11">
        <f t="shared" si="14"/>
        <v>46</v>
      </c>
      <c r="P265" s="4" t="s">
        <v>97</v>
      </c>
      <c r="Q265" s="7" t="s">
        <v>98</v>
      </c>
      <c r="R265" s="4" t="s">
        <v>3754</v>
      </c>
      <c r="S265" s="44" t="s">
        <v>3568</v>
      </c>
      <c r="T265" s="45" t="s">
        <v>3606</v>
      </c>
      <c r="U265" s="7" t="s">
        <v>3597</v>
      </c>
      <c r="V265" s="45" t="s">
        <v>2961</v>
      </c>
      <c r="W265" s="44" t="s">
        <v>2900</v>
      </c>
      <c r="X265" s="4" t="s">
        <v>3758</v>
      </c>
      <c r="Y265" s="46" t="s">
        <v>2479</v>
      </c>
      <c r="Z265" s="4" t="s">
        <v>3582</v>
      </c>
      <c r="AA265" s="46" t="s">
        <v>2486</v>
      </c>
      <c r="AB265" s="4" t="s">
        <v>357</v>
      </c>
      <c r="AC265" s="7" t="s">
        <v>3562</v>
      </c>
      <c r="AD265" s="4" t="s">
        <v>2961</v>
      </c>
      <c r="AE265" s="7" t="s">
        <v>2900</v>
      </c>
      <c r="AF265" s="7" t="s">
        <v>2961</v>
      </c>
      <c r="AG265" s="7" t="s">
        <v>2961</v>
      </c>
      <c r="AI265" s="7" t="s">
        <v>4100</v>
      </c>
      <c r="AJ265" s="7" t="s">
        <v>2656</v>
      </c>
      <c r="AK265" s="41">
        <f>Table43[[#This Row],[Harga Jual Pcs GT
(-PPN)]]-(Table43[[#This Row],[Harga Jual Pcs GT
(-PPN)]]*10%)</f>
        <v>0</v>
      </c>
      <c r="AL265" s="42">
        <f>Table43[[#This Row],[Harga Beli Pcs
(-PPN)]]*Table43[[#This Row],[ISI/CTN]]</f>
        <v>0</v>
      </c>
      <c r="AM265" s="42">
        <f>Table43[[#This Row],[Harga Beli Pcs
(-PPN)]]*1.11</f>
        <v>0</v>
      </c>
      <c r="AN265" s="42">
        <f>Table43[[#This Row],[Harga Beli Krt
(- PPN)]]*1.11</f>
        <v>0</v>
      </c>
      <c r="AO265" s="42"/>
      <c r="AP265" s="42">
        <f>Table43[[#This Row],[Harga Jual Pcs GT
(-PPN)]]*Table43[[#This Row],[ISI/CTN]]</f>
        <v>0</v>
      </c>
      <c r="AQ265" s="42">
        <f>Table43[[#This Row],[Harga Jual Pcs GT
(-PPN)]]*1.11</f>
        <v>0</v>
      </c>
      <c r="AR265" s="42">
        <f>Table43[[#This Row],[Harga Jual Krt GT
(- PPN)]]*1.11</f>
        <v>0</v>
      </c>
      <c r="AS265" s="42">
        <f>Table43[[#This Row],[Harga Jual Pcs GT
(-PPN)]]</f>
        <v>0</v>
      </c>
      <c r="AT265" s="42">
        <f>(Table43[[#This Row],[Harga Jual Pcs MT
(-PPN)]]*Table43[[#This Row],[ISI/CTN]])</f>
        <v>0</v>
      </c>
      <c r="AU265" s="42">
        <f>Table43[[#This Row],[Harga Jual Pcs MT
(-PPN)]]*1.11</f>
        <v>0</v>
      </c>
      <c r="AV265" s="42">
        <f>Table43[[#This Row],[Harga Jual Pcs MT
(+PPN)]]*Table43[[#This Row],[ISI/CTN]]</f>
        <v>0</v>
      </c>
      <c r="AW265" s="47"/>
      <c r="AX265" s="7"/>
      <c r="AY265" s="7" t="str">
        <f ca="1">IF(TODAY()-Table43[[#This Row],[Efektif
Pembuatan]]&gt;60,"Lama","Baru")</f>
        <v>Lama</v>
      </c>
      <c r="AZ265" s="7" t="str">
        <f ca="1">IF(TODAY()-Table43[[#This Row],[Efektif Naik Harga]]&lt;30,"Naik","Sama")</f>
        <v>Sama</v>
      </c>
      <c r="BA265" s="7" t="str">
        <f>IF(Table43[[#This Row],[Kode BARANG Win2]]&lt;&gt;"","IDR","")</f>
        <v>IDR</v>
      </c>
      <c r="BB265" s="7" t="str">
        <f>CONCATENATE(Table43[[#This Row],[kode  1 Digit
(Nomor)]],Table43[[#This Row],[kode  4 Digit                (Nomor)]])</f>
        <v>10200</v>
      </c>
      <c r="BC265" s="7" t="str">
        <f>Table43[[#This Row],[Nama            Gramasi atau Jumlah Pack per CTN]]</f>
        <v>200ML</v>
      </c>
      <c r="BD265" s="7"/>
      <c r="BE265" s="7"/>
      <c r="BF265" s="4" t="str">
        <f>IF(Table43[[#This Row],[SATUAN Fix Win]]&lt;&gt;"","KRT")</f>
        <v>KRT</v>
      </c>
      <c r="BG265" s="4" t="str">
        <f>IF(Table43[[#This Row],[SATUAN Fix Win]]&lt;&gt;"","GD01")</f>
        <v>GD01</v>
      </c>
      <c r="BH265" s="4">
        <f>IF(Table43[[#This Row],[SATUAN Fix Win]]&lt;&gt;"",11611)</f>
        <v>11611</v>
      </c>
      <c r="BI265" s="4">
        <f>IF(Table43[[#This Row],[SATUAN Fix Win]]&lt;&gt;"",11612)</f>
        <v>11612</v>
      </c>
      <c r="BJ265" s="48"/>
      <c r="BK265" s="4">
        <f>IF(Table43[[#This Row],[SATUAN Fix Win]]&lt;&gt;"",1)</f>
        <v>1</v>
      </c>
    </row>
    <row r="266" spans="1:63">
      <c r="A266" s="4" t="str">
        <f>CONCATENATE(Table43[[#This Row],[Kode BARANG Win2]],Table43[[#This Row],[No. Urut
Item Sama]])</f>
        <v>K11550090500201</v>
      </c>
      <c r="B266" s="7">
        <v>1</v>
      </c>
      <c r="D266" s="28" t="s">
        <v>755</v>
      </c>
      <c r="E266" s="28"/>
      <c r="F266" s="28" t="s">
        <v>3425</v>
      </c>
      <c r="G266" s="78">
        <v>12</v>
      </c>
      <c r="H266" s="43"/>
      <c r="I266" s="28" t="str">
        <f>Table43[[#This Row],[Nama Jenis Kemasan]]</f>
        <v>BTL</v>
      </c>
      <c r="J266" s="4" t="str">
        <f>TRIM(CONCATENATE(Table43[[#This Row],[Nama            KLP]]," ",Table43[[#This Row],[Nama            Sub KLP]]))</f>
        <v>ESKULIN KIDS SHAMPOO</v>
      </c>
      <c r="K266" s="4" t="str">
        <f>CONCATENATE(Table43[[#This Row],[kode  2 Digit                (hrf+No)]],Table43[[#This Row],[kode  2 Digit                (Nomor)]],Table43[[#This Row],[kode  1 Digit                (Nomor)]])</f>
        <v>K1155</v>
      </c>
      <c r="L266" s="4" t="str">
        <f t="shared" si="12"/>
        <v>K1155009050020</v>
      </c>
      <c r="M266" s="11">
        <f t="shared" si="13"/>
        <v>14</v>
      </c>
      <c r="N266" s="14" t="str">
        <f>IF(AF266&lt;&gt;"",TRIM(UPPER(CONCATENATE(P266," ",R266," ",T266," ",V266," ",X266," ",Z266," ","X"," ",Table43[[#This Row],[ISI/CTN]]," ",AF266," ",AB266," ",AD266," ",AH266))),TRIM(UPPER(CONCATENATE(P266," ",R266," ",T266," ",V266," ",X266," ",Z266," ","X"," ",Table43[[#This Row],[ISI/CTN]]," ",AB266," ",AD266," ",AH266))))</f>
        <v>KNF ESKULIN KIDS SHAMPOO MICKEY 500ML X 12 BTL</v>
      </c>
      <c r="O266" s="11">
        <f t="shared" si="14"/>
        <v>46</v>
      </c>
      <c r="P266" s="4" t="s">
        <v>97</v>
      </c>
      <c r="Q266" s="7" t="s">
        <v>98</v>
      </c>
      <c r="R266" s="4" t="s">
        <v>3754</v>
      </c>
      <c r="S266" s="44" t="s">
        <v>3568</v>
      </c>
      <c r="T266" s="45" t="s">
        <v>3606</v>
      </c>
      <c r="U266" s="7" t="s">
        <v>3597</v>
      </c>
      <c r="V266" s="45" t="s">
        <v>2961</v>
      </c>
      <c r="W266" s="44" t="s">
        <v>2900</v>
      </c>
      <c r="X266" s="4" t="s">
        <v>3758</v>
      </c>
      <c r="Y266" s="46" t="s">
        <v>2479</v>
      </c>
      <c r="Z266" s="4" t="s">
        <v>3771</v>
      </c>
      <c r="AA266" s="46" t="s">
        <v>2503</v>
      </c>
      <c r="AB266" s="4" t="s">
        <v>357</v>
      </c>
      <c r="AC266" s="7" t="s">
        <v>3562</v>
      </c>
      <c r="AD266" s="4" t="s">
        <v>2961</v>
      </c>
      <c r="AE266" s="7" t="s">
        <v>2900</v>
      </c>
      <c r="AF266" s="7" t="s">
        <v>2961</v>
      </c>
      <c r="AG266" s="7" t="s">
        <v>2961</v>
      </c>
      <c r="AI266" s="7" t="s">
        <v>4100</v>
      </c>
      <c r="AJ266" s="7" t="s">
        <v>2656</v>
      </c>
      <c r="AK266" s="41">
        <f>Table43[[#This Row],[Harga Jual Pcs GT
(-PPN)]]-(Table43[[#This Row],[Harga Jual Pcs GT
(-PPN)]]*10%)</f>
        <v>0</v>
      </c>
      <c r="AL266" s="42">
        <f>Table43[[#This Row],[Harga Beli Pcs
(-PPN)]]*Table43[[#This Row],[ISI/CTN]]</f>
        <v>0</v>
      </c>
      <c r="AM266" s="42">
        <f>Table43[[#This Row],[Harga Beli Pcs
(-PPN)]]*1.11</f>
        <v>0</v>
      </c>
      <c r="AN266" s="42">
        <f>Table43[[#This Row],[Harga Beli Krt
(- PPN)]]*1.11</f>
        <v>0</v>
      </c>
      <c r="AO266" s="42"/>
      <c r="AP266" s="42">
        <f>Table43[[#This Row],[Harga Jual Pcs GT
(-PPN)]]*Table43[[#This Row],[ISI/CTN]]</f>
        <v>0</v>
      </c>
      <c r="AQ266" s="42">
        <f>Table43[[#This Row],[Harga Jual Pcs GT
(-PPN)]]*1.11</f>
        <v>0</v>
      </c>
      <c r="AR266" s="42">
        <f>Table43[[#This Row],[Harga Jual Krt GT
(- PPN)]]*1.11</f>
        <v>0</v>
      </c>
      <c r="AS266" s="42">
        <f>Table43[[#This Row],[Harga Jual Pcs GT
(-PPN)]]</f>
        <v>0</v>
      </c>
      <c r="AT266" s="42">
        <f>(Table43[[#This Row],[Harga Jual Pcs MT
(-PPN)]]*Table43[[#This Row],[ISI/CTN]])</f>
        <v>0</v>
      </c>
      <c r="AU266" s="42">
        <f>Table43[[#This Row],[Harga Jual Pcs MT
(-PPN)]]*1.11</f>
        <v>0</v>
      </c>
      <c r="AV266" s="42">
        <f>Table43[[#This Row],[Harga Jual Pcs MT
(+PPN)]]*Table43[[#This Row],[ISI/CTN]]</f>
        <v>0</v>
      </c>
      <c r="AW266" s="47"/>
      <c r="AX266" s="7"/>
      <c r="AY266" s="7" t="str">
        <f ca="1">IF(TODAY()-Table43[[#This Row],[Efektif
Pembuatan]]&gt;60,"Lama","Baru")</f>
        <v>Lama</v>
      </c>
      <c r="AZ266" s="7" t="str">
        <f ca="1">IF(TODAY()-Table43[[#This Row],[Efektif Naik Harga]]&lt;30,"Naik","Sama")</f>
        <v>Sama</v>
      </c>
      <c r="BA266" s="7" t="str">
        <f>IF(Table43[[#This Row],[Kode BARANG Win2]]&lt;&gt;"","IDR","")</f>
        <v>IDR</v>
      </c>
      <c r="BB266" s="7" t="str">
        <f>CONCATENATE(Table43[[#This Row],[kode  1 Digit
(Nomor)]],Table43[[#This Row],[kode  4 Digit                (Nomor)]])</f>
        <v>10500</v>
      </c>
      <c r="BC266" s="7" t="str">
        <f>Table43[[#This Row],[Nama            Gramasi atau Jumlah Pack per CTN]]</f>
        <v>500ML</v>
      </c>
      <c r="BD266" s="7"/>
      <c r="BE266" s="7"/>
      <c r="BF266" s="4" t="str">
        <f>IF(Table43[[#This Row],[SATUAN Fix Win]]&lt;&gt;"","KRT")</f>
        <v>KRT</v>
      </c>
      <c r="BG266" s="4" t="str">
        <f>IF(Table43[[#This Row],[SATUAN Fix Win]]&lt;&gt;"","GD01")</f>
        <v>GD01</v>
      </c>
      <c r="BH266" s="4">
        <f>IF(Table43[[#This Row],[SATUAN Fix Win]]&lt;&gt;"",11611)</f>
        <v>11611</v>
      </c>
      <c r="BI266" s="4">
        <f>IF(Table43[[#This Row],[SATUAN Fix Win]]&lt;&gt;"",11612)</f>
        <v>11612</v>
      </c>
      <c r="BJ266" s="48"/>
      <c r="BK266" s="4">
        <f>IF(Table43[[#This Row],[SATUAN Fix Win]]&lt;&gt;"",1)</f>
        <v>1</v>
      </c>
    </row>
    <row r="267" spans="1:63">
      <c r="A267" s="4" t="str">
        <f>CONCATENATE(Table43[[#This Row],[Kode BARANG Win2]],Table43[[#This Row],[No. Urut
Item Sama]])</f>
        <v>K11550090500301</v>
      </c>
      <c r="B267" s="7">
        <v>1</v>
      </c>
      <c r="D267" s="28" t="s">
        <v>756</v>
      </c>
      <c r="E267" s="28"/>
      <c r="F267" s="28" t="s">
        <v>3066</v>
      </c>
      <c r="G267" s="78">
        <v>12</v>
      </c>
      <c r="H267" s="43"/>
      <c r="I267" s="28" t="str">
        <f>Table43[[#This Row],[Nama Jenis Kemasan]]</f>
        <v>PCH</v>
      </c>
      <c r="J267" s="4" t="str">
        <f>TRIM(CONCATENATE(Table43[[#This Row],[Nama            KLP]]," ",Table43[[#This Row],[Nama            Sub KLP]]))</f>
        <v>ESKULIN KIDS SHAMPOO</v>
      </c>
      <c r="K267" s="4" t="str">
        <f>CONCATENATE(Table43[[#This Row],[kode  2 Digit                (hrf+No)]],Table43[[#This Row],[kode  2 Digit                (Nomor)]],Table43[[#This Row],[kode  1 Digit                (Nomor)]])</f>
        <v>K1155</v>
      </c>
      <c r="L267" s="4" t="str">
        <f t="shared" si="12"/>
        <v>K1155009050030</v>
      </c>
      <c r="M267" s="11">
        <f t="shared" si="13"/>
        <v>14</v>
      </c>
      <c r="N267" s="14" t="str">
        <f>IF(AF267&lt;&gt;"",TRIM(UPPER(CONCATENATE(P267," ",R267," ",T267," ",V267," ",X267," ",Z267," ","X"," ",Table43[[#This Row],[ISI/CTN]]," ",AF267," ",AB267," ",AD267," ",AH267))),TRIM(UPPER(CONCATENATE(P267," ",R267," ",T267," ",V267," ",X267," ",Z267," ","X"," ",Table43[[#This Row],[ISI/CTN]]," ",AB267," ",AD267," ",AH267))))</f>
        <v>KNF ESKULIN KIDS SHAMPOO MICKEY 500ML X 12 PCH</v>
      </c>
      <c r="O267" s="11">
        <f t="shared" si="14"/>
        <v>46</v>
      </c>
      <c r="P267" s="4" t="s">
        <v>97</v>
      </c>
      <c r="Q267" s="7" t="s">
        <v>98</v>
      </c>
      <c r="R267" s="4" t="s">
        <v>3754</v>
      </c>
      <c r="S267" s="44" t="s">
        <v>3568</v>
      </c>
      <c r="T267" s="45" t="s">
        <v>3606</v>
      </c>
      <c r="U267" s="7" t="s">
        <v>3597</v>
      </c>
      <c r="V267" s="45" t="s">
        <v>2961</v>
      </c>
      <c r="W267" s="44" t="s">
        <v>2900</v>
      </c>
      <c r="X267" s="4" t="s">
        <v>3758</v>
      </c>
      <c r="Y267" s="46" t="s">
        <v>2479</v>
      </c>
      <c r="Z267" s="4" t="s">
        <v>3771</v>
      </c>
      <c r="AA267" s="46" t="s">
        <v>2503</v>
      </c>
      <c r="AB267" s="4" t="s">
        <v>356</v>
      </c>
      <c r="AC267" s="7" t="s">
        <v>3590</v>
      </c>
      <c r="AD267" s="4" t="s">
        <v>2961</v>
      </c>
      <c r="AE267" s="7" t="s">
        <v>2900</v>
      </c>
      <c r="AF267" s="7" t="s">
        <v>2961</v>
      </c>
      <c r="AG267" s="7" t="s">
        <v>2961</v>
      </c>
      <c r="AI267" s="7" t="s">
        <v>4100</v>
      </c>
      <c r="AJ267" s="7" t="s">
        <v>2656</v>
      </c>
      <c r="AK267" s="41">
        <f>Table43[[#This Row],[Harga Jual Pcs GT
(-PPN)]]-(Table43[[#This Row],[Harga Jual Pcs GT
(-PPN)]]*10%)</f>
        <v>0</v>
      </c>
      <c r="AL267" s="42">
        <f>Table43[[#This Row],[Harga Beli Pcs
(-PPN)]]*Table43[[#This Row],[ISI/CTN]]</f>
        <v>0</v>
      </c>
      <c r="AM267" s="42">
        <f>Table43[[#This Row],[Harga Beli Pcs
(-PPN)]]*1.11</f>
        <v>0</v>
      </c>
      <c r="AN267" s="42">
        <f>Table43[[#This Row],[Harga Beli Krt
(- PPN)]]*1.11</f>
        <v>0</v>
      </c>
      <c r="AO267" s="42"/>
      <c r="AP267" s="42">
        <f>Table43[[#This Row],[Harga Jual Pcs GT
(-PPN)]]*Table43[[#This Row],[ISI/CTN]]</f>
        <v>0</v>
      </c>
      <c r="AQ267" s="42">
        <f>Table43[[#This Row],[Harga Jual Pcs GT
(-PPN)]]*1.11</f>
        <v>0</v>
      </c>
      <c r="AR267" s="42">
        <f>Table43[[#This Row],[Harga Jual Krt GT
(- PPN)]]*1.11</f>
        <v>0</v>
      </c>
      <c r="AS267" s="42">
        <f>Table43[[#This Row],[Harga Jual Pcs GT
(-PPN)]]</f>
        <v>0</v>
      </c>
      <c r="AT267" s="42">
        <f>(Table43[[#This Row],[Harga Jual Pcs MT
(-PPN)]]*Table43[[#This Row],[ISI/CTN]])</f>
        <v>0</v>
      </c>
      <c r="AU267" s="42">
        <f>Table43[[#This Row],[Harga Jual Pcs MT
(-PPN)]]*1.11</f>
        <v>0</v>
      </c>
      <c r="AV267" s="42">
        <f>Table43[[#This Row],[Harga Jual Pcs MT
(+PPN)]]*Table43[[#This Row],[ISI/CTN]]</f>
        <v>0</v>
      </c>
      <c r="AW267" s="47"/>
      <c r="AX267" s="7"/>
      <c r="AY267" s="7" t="str">
        <f ca="1">IF(TODAY()-Table43[[#This Row],[Efektif
Pembuatan]]&gt;60,"Lama","Baru")</f>
        <v>Lama</v>
      </c>
      <c r="AZ267" s="7" t="str">
        <f ca="1">IF(TODAY()-Table43[[#This Row],[Efektif Naik Harga]]&lt;30,"Naik","Sama")</f>
        <v>Sama</v>
      </c>
      <c r="BA267" s="7" t="str">
        <f>IF(Table43[[#This Row],[Kode BARANG Win2]]&lt;&gt;"","IDR","")</f>
        <v>IDR</v>
      </c>
      <c r="BB267" s="7" t="str">
        <f>CONCATENATE(Table43[[#This Row],[kode  1 Digit
(Nomor)]],Table43[[#This Row],[kode  4 Digit                (Nomor)]])</f>
        <v>10500</v>
      </c>
      <c r="BC267" s="7" t="str">
        <f>Table43[[#This Row],[Nama            Gramasi atau Jumlah Pack per CTN]]</f>
        <v>500ML</v>
      </c>
      <c r="BD267" s="7"/>
      <c r="BE267" s="7"/>
      <c r="BF267" s="4" t="str">
        <f>IF(Table43[[#This Row],[SATUAN Fix Win]]&lt;&gt;"","KRT")</f>
        <v>KRT</v>
      </c>
      <c r="BG267" s="4" t="str">
        <f>IF(Table43[[#This Row],[SATUAN Fix Win]]&lt;&gt;"","GD01")</f>
        <v>GD01</v>
      </c>
      <c r="BH267" s="4">
        <f>IF(Table43[[#This Row],[SATUAN Fix Win]]&lt;&gt;"",11611)</f>
        <v>11611</v>
      </c>
      <c r="BI267" s="4">
        <f>IF(Table43[[#This Row],[SATUAN Fix Win]]&lt;&gt;"",11612)</f>
        <v>11612</v>
      </c>
      <c r="BJ267" s="48"/>
      <c r="BK267" s="4">
        <f>IF(Table43[[#This Row],[SATUAN Fix Win]]&lt;&gt;"",1)</f>
        <v>1</v>
      </c>
    </row>
    <row r="268" spans="1:63">
      <c r="A268" s="4" t="str">
        <f>CONCATENATE(Table43[[#This Row],[Kode BARANG Win2]],Table43[[#This Row],[No. Urut
Item Sama]])</f>
        <v>K11550100010101</v>
      </c>
      <c r="B268" s="7">
        <v>1</v>
      </c>
      <c r="D268" s="28" t="s">
        <v>700</v>
      </c>
      <c r="E268" s="28"/>
      <c r="F268" s="28" t="s">
        <v>3067</v>
      </c>
      <c r="G268" s="78">
        <v>24</v>
      </c>
      <c r="H268" s="43"/>
      <c r="I268" s="28" t="str">
        <f>Table43[[#This Row],[Nama Jenis Kemasan]]</f>
        <v>AMP</v>
      </c>
      <c r="J268" s="4" t="str">
        <f>TRIM(CONCATENATE(Table43[[#This Row],[Nama            KLP]]," ",Table43[[#This Row],[Nama            Sub KLP]]))</f>
        <v>ESKULIN KIDS SHAMPOO</v>
      </c>
      <c r="K268" s="4" t="str">
        <f>CONCATENATE(Table43[[#This Row],[kode  2 Digit                (hrf+No)]],Table43[[#This Row],[kode  2 Digit                (Nomor)]],Table43[[#This Row],[kode  1 Digit                (Nomor)]])</f>
        <v>K1155</v>
      </c>
      <c r="L268" s="4" t="str">
        <f t="shared" si="12"/>
        <v>K1155010001010</v>
      </c>
      <c r="M268" s="11">
        <f t="shared" si="13"/>
        <v>14</v>
      </c>
      <c r="N268" s="14" t="str">
        <f>IF(AF268&lt;&gt;"",TRIM(UPPER(CONCATENATE(P268," ",R268," ",T268," ",V268," ",X268," ",Z268," ","X"," ",Table43[[#This Row],[ISI/CTN]]," ",AF268," ",AB268," ",AD268," ",AH268))),TRIM(UPPER(CONCATENATE(P268," ",R268," ",T268," ",V268," ",X268," ",Z268," ","X"," ",Table43[[#This Row],[ISI/CTN]]," ",AB268," ",AD268," ",AH268))))</f>
        <v>KNF ESKULIN KIDS SHAMPOO MINNIE 10ML X 24 AMP</v>
      </c>
      <c r="O268" s="11">
        <f t="shared" si="14"/>
        <v>45</v>
      </c>
      <c r="P268" s="4" t="s">
        <v>97</v>
      </c>
      <c r="Q268" s="7" t="s">
        <v>98</v>
      </c>
      <c r="R268" s="4" t="s">
        <v>3754</v>
      </c>
      <c r="S268" s="44" t="s">
        <v>3568</v>
      </c>
      <c r="T268" s="45" t="s">
        <v>3606</v>
      </c>
      <c r="U268" s="7" t="s">
        <v>3597</v>
      </c>
      <c r="V268" s="45" t="s">
        <v>2961</v>
      </c>
      <c r="W268" s="44" t="s">
        <v>2900</v>
      </c>
      <c r="X268" s="4" t="s">
        <v>3766</v>
      </c>
      <c r="Y268" s="46" t="s">
        <v>3564</v>
      </c>
      <c r="Z268" s="4" t="s">
        <v>3612</v>
      </c>
      <c r="AA268" s="46" t="s">
        <v>2488</v>
      </c>
      <c r="AB268" s="4" t="s">
        <v>1027</v>
      </c>
      <c r="AC268" s="7" t="s">
        <v>2656</v>
      </c>
      <c r="AD268" s="4" t="s">
        <v>2961</v>
      </c>
      <c r="AE268" s="7" t="s">
        <v>2900</v>
      </c>
      <c r="AF268" s="7" t="s">
        <v>2961</v>
      </c>
      <c r="AG268" s="7" t="s">
        <v>2961</v>
      </c>
      <c r="AI268" s="7" t="s">
        <v>4100</v>
      </c>
      <c r="AJ268" s="7" t="s">
        <v>2656</v>
      </c>
      <c r="AK268" s="41">
        <f>Table43[[#This Row],[Harga Jual Pcs GT
(-PPN)]]-(Table43[[#This Row],[Harga Jual Pcs GT
(-PPN)]]*10%)</f>
        <v>0</v>
      </c>
      <c r="AL268" s="42">
        <f>Table43[[#This Row],[Harga Beli Pcs
(-PPN)]]*Table43[[#This Row],[ISI/CTN]]</f>
        <v>0</v>
      </c>
      <c r="AM268" s="42">
        <f>Table43[[#This Row],[Harga Beli Pcs
(-PPN)]]*1.11</f>
        <v>0</v>
      </c>
      <c r="AN268" s="42">
        <f>Table43[[#This Row],[Harga Beli Krt
(- PPN)]]*1.11</f>
        <v>0</v>
      </c>
      <c r="AO268" s="42"/>
      <c r="AP268" s="42">
        <f>Table43[[#This Row],[Harga Jual Pcs GT
(-PPN)]]*Table43[[#This Row],[ISI/CTN]]</f>
        <v>0</v>
      </c>
      <c r="AQ268" s="42">
        <f>Table43[[#This Row],[Harga Jual Pcs GT
(-PPN)]]*1.11</f>
        <v>0</v>
      </c>
      <c r="AR268" s="42">
        <f>Table43[[#This Row],[Harga Jual Krt GT
(- PPN)]]*1.11</f>
        <v>0</v>
      </c>
      <c r="AS268" s="42">
        <f>Table43[[#This Row],[Harga Jual Pcs GT
(-PPN)]]</f>
        <v>0</v>
      </c>
      <c r="AT268" s="42">
        <f>(Table43[[#This Row],[Harga Jual Pcs MT
(-PPN)]]*Table43[[#This Row],[ISI/CTN]])</f>
        <v>0</v>
      </c>
      <c r="AU268" s="42">
        <f>Table43[[#This Row],[Harga Jual Pcs MT
(-PPN)]]*1.11</f>
        <v>0</v>
      </c>
      <c r="AV268" s="42">
        <f>Table43[[#This Row],[Harga Jual Pcs MT
(+PPN)]]*Table43[[#This Row],[ISI/CTN]]</f>
        <v>0</v>
      </c>
      <c r="AW268" s="47"/>
      <c r="AX268" s="7"/>
      <c r="AY268" s="7" t="str">
        <f ca="1">IF(TODAY()-Table43[[#This Row],[Efektif
Pembuatan]]&gt;60,"Lama","Baru")</f>
        <v>Lama</v>
      </c>
      <c r="AZ268" s="7" t="str">
        <f ca="1">IF(TODAY()-Table43[[#This Row],[Efektif Naik Harga]]&lt;30,"Naik","Sama")</f>
        <v>Sama</v>
      </c>
      <c r="BA268" s="7" t="str">
        <f>IF(Table43[[#This Row],[Kode BARANG Win2]]&lt;&gt;"","IDR","")</f>
        <v>IDR</v>
      </c>
      <c r="BB268" s="7" t="str">
        <f>CONCATENATE(Table43[[#This Row],[kode  1 Digit
(Nomor)]],Table43[[#This Row],[kode  4 Digit                (Nomor)]])</f>
        <v>10010</v>
      </c>
      <c r="BC268" s="7" t="str">
        <f>Table43[[#This Row],[Nama            Gramasi atau Jumlah Pack per CTN]]</f>
        <v>10ML</v>
      </c>
      <c r="BD268" s="7"/>
      <c r="BE268" s="7"/>
      <c r="BF268" s="4" t="str">
        <f>IF(Table43[[#This Row],[SATUAN Fix Win]]&lt;&gt;"","KRT")</f>
        <v>KRT</v>
      </c>
      <c r="BG268" s="4" t="str">
        <f>IF(Table43[[#This Row],[SATUAN Fix Win]]&lt;&gt;"","GD01")</f>
        <v>GD01</v>
      </c>
      <c r="BH268" s="4">
        <f>IF(Table43[[#This Row],[SATUAN Fix Win]]&lt;&gt;"",11611)</f>
        <v>11611</v>
      </c>
      <c r="BI268" s="4">
        <f>IF(Table43[[#This Row],[SATUAN Fix Win]]&lt;&gt;"",11612)</f>
        <v>11612</v>
      </c>
      <c r="BJ268" s="48"/>
      <c r="BK268" s="4">
        <f>IF(Table43[[#This Row],[SATUAN Fix Win]]&lt;&gt;"",1)</f>
        <v>1</v>
      </c>
    </row>
    <row r="269" spans="1:63">
      <c r="A269" s="4" t="str">
        <f>CONCATENATE(Table43[[#This Row],[Kode BARANG Win2]],Table43[[#This Row],[No. Urut
Item Sama]])</f>
        <v>K11550100010411</v>
      </c>
      <c r="B269" s="7">
        <v>1</v>
      </c>
      <c r="D269" s="28" t="s">
        <v>701</v>
      </c>
      <c r="E269" s="28"/>
      <c r="F269" s="28" t="s">
        <v>3426</v>
      </c>
      <c r="G269" s="78">
        <v>120</v>
      </c>
      <c r="H269" s="43"/>
      <c r="I269" s="28" t="str">
        <f>Table43[[#This Row],[Nama Jenis Kemasan]]</f>
        <v>SCH</v>
      </c>
      <c r="J269" s="4" t="str">
        <f>TRIM(CONCATENATE(Table43[[#This Row],[Nama            KLP]]," ",Table43[[#This Row],[Nama            Sub KLP]]))</f>
        <v>ESKULIN KIDS SHAMPOO</v>
      </c>
      <c r="K269" s="4" t="str">
        <f>CONCATENATE(Table43[[#This Row],[kode  2 Digit                (hrf+No)]],Table43[[#This Row],[kode  2 Digit                (Nomor)]],Table43[[#This Row],[kode  1 Digit                (Nomor)]])</f>
        <v>K1155</v>
      </c>
      <c r="L269" s="4" t="str">
        <f t="shared" si="12"/>
        <v>K1155010001041</v>
      </c>
      <c r="M269" s="11">
        <f t="shared" si="13"/>
        <v>14</v>
      </c>
      <c r="N269" s="14" t="str">
        <f>IF(AF269&lt;&gt;"",TRIM(UPPER(CONCATENATE(P269," ",R269," ",T269," ",V269," ",X269," ",Z269," ","X"," ",Table43[[#This Row],[ISI/CTN]]," ",AF269," ",AB269," ",AD269," ",AH269))),TRIM(UPPER(CONCATENATE(P269," ",R269," ",T269," ",V269," ",X269," ",Z269," ","X"," ",Table43[[#This Row],[ISI/CTN]]," ",AB269," ",AD269," ",AH269))))</f>
        <v>KNF ESKULIN KIDS SHAMPOO MINNIE 10ML X 120 SACHET SCH</v>
      </c>
      <c r="O269" s="11">
        <f t="shared" si="14"/>
        <v>53</v>
      </c>
      <c r="P269" s="4" t="s">
        <v>97</v>
      </c>
      <c r="Q269" s="7" t="s">
        <v>98</v>
      </c>
      <c r="R269" s="4" t="s">
        <v>3754</v>
      </c>
      <c r="S269" s="44" t="s">
        <v>3568</v>
      </c>
      <c r="T269" s="45" t="s">
        <v>3606</v>
      </c>
      <c r="U269" s="7" t="s">
        <v>3597</v>
      </c>
      <c r="V269" s="45" t="s">
        <v>2961</v>
      </c>
      <c r="W269" s="44" t="s">
        <v>2900</v>
      </c>
      <c r="X269" s="4" t="s">
        <v>3766</v>
      </c>
      <c r="Y269" s="46" t="s">
        <v>3564</v>
      </c>
      <c r="Z269" s="4" t="s">
        <v>3612</v>
      </c>
      <c r="AA269" s="46" t="s">
        <v>2488</v>
      </c>
      <c r="AB269" s="4" t="s">
        <v>1022</v>
      </c>
      <c r="AC269" s="7" t="s">
        <v>3593</v>
      </c>
      <c r="AD269" s="4" t="s">
        <v>2961</v>
      </c>
      <c r="AE269" s="7" t="s">
        <v>2900</v>
      </c>
      <c r="AF269" s="7" t="s">
        <v>149</v>
      </c>
      <c r="AG269" s="7" t="s">
        <v>2656</v>
      </c>
      <c r="AI269" s="7" t="s">
        <v>4100</v>
      </c>
      <c r="AJ269" s="7" t="s">
        <v>2656</v>
      </c>
      <c r="AK269" s="41">
        <f>Table43[[#This Row],[Harga Jual Pcs GT
(-PPN)]]-(Table43[[#This Row],[Harga Jual Pcs GT
(-PPN)]]*10%)</f>
        <v>0</v>
      </c>
      <c r="AL269" s="42">
        <f>Table43[[#This Row],[Harga Beli Pcs
(-PPN)]]*Table43[[#This Row],[ISI/CTN]]</f>
        <v>0</v>
      </c>
      <c r="AM269" s="42">
        <f>Table43[[#This Row],[Harga Beli Pcs
(-PPN)]]*1.11</f>
        <v>0</v>
      </c>
      <c r="AN269" s="42">
        <f>Table43[[#This Row],[Harga Beli Krt
(- PPN)]]*1.11</f>
        <v>0</v>
      </c>
      <c r="AO269" s="42"/>
      <c r="AP269" s="42">
        <f>Table43[[#This Row],[Harga Jual Pcs GT
(-PPN)]]*Table43[[#This Row],[ISI/CTN]]</f>
        <v>0</v>
      </c>
      <c r="AQ269" s="42">
        <f>Table43[[#This Row],[Harga Jual Pcs GT
(-PPN)]]*1.11</f>
        <v>0</v>
      </c>
      <c r="AR269" s="42">
        <f>Table43[[#This Row],[Harga Jual Krt GT
(- PPN)]]*1.11</f>
        <v>0</v>
      </c>
      <c r="AS269" s="42">
        <f>Table43[[#This Row],[Harga Jual Pcs GT
(-PPN)]]</f>
        <v>0</v>
      </c>
      <c r="AT269" s="42">
        <f>(Table43[[#This Row],[Harga Jual Pcs MT
(-PPN)]]*Table43[[#This Row],[ISI/CTN]])</f>
        <v>0</v>
      </c>
      <c r="AU269" s="42">
        <f>Table43[[#This Row],[Harga Jual Pcs MT
(-PPN)]]*1.11</f>
        <v>0</v>
      </c>
      <c r="AV269" s="42">
        <f>Table43[[#This Row],[Harga Jual Pcs MT
(+PPN)]]*Table43[[#This Row],[ISI/CTN]]</f>
        <v>0</v>
      </c>
      <c r="AW269" s="47"/>
      <c r="AX269" s="7"/>
      <c r="AY269" s="7" t="str">
        <f ca="1">IF(TODAY()-Table43[[#This Row],[Efektif
Pembuatan]]&gt;60,"Lama","Baru")</f>
        <v>Lama</v>
      </c>
      <c r="AZ269" s="7" t="str">
        <f ca="1">IF(TODAY()-Table43[[#This Row],[Efektif Naik Harga]]&lt;30,"Naik","Sama")</f>
        <v>Sama</v>
      </c>
      <c r="BA269" s="7" t="str">
        <f>IF(Table43[[#This Row],[Kode BARANG Win2]]&lt;&gt;"","IDR","")</f>
        <v>IDR</v>
      </c>
      <c r="BB269" s="7" t="str">
        <f>CONCATENATE(Table43[[#This Row],[kode  1 Digit
(Nomor)]],Table43[[#This Row],[kode  4 Digit                (Nomor)]])</f>
        <v>10010</v>
      </c>
      <c r="BC269" s="7" t="str">
        <f>Table43[[#This Row],[Nama            Gramasi atau Jumlah Pack per CTN]]</f>
        <v>10ML</v>
      </c>
      <c r="BD269" s="7"/>
      <c r="BE269" s="7"/>
      <c r="BF269" s="4" t="str">
        <f>IF(Table43[[#This Row],[SATUAN Fix Win]]&lt;&gt;"","KRT")</f>
        <v>KRT</v>
      </c>
      <c r="BG269" s="4" t="str">
        <f>IF(Table43[[#This Row],[SATUAN Fix Win]]&lt;&gt;"","GD01")</f>
        <v>GD01</v>
      </c>
      <c r="BH269" s="4">
        <f>IF(Table43[[#This Row],[SATUAN Fix Win]]&lt;&gt;"",11611)</f>
        <v>11611</v>
      </c>
      <c r="BI269" s="4">
        <f>IF(Table43[[#This Row],[SATUAN Fix Win]]&lt;&gt;"",11612)</f>
        <v>11612</v>
      </c>
      <c r="BJ269" s="48"/>
      <c r="BK269" s="4">
        <f>IF(Table43[[#This Row],[SATUAN Fix Win]]&lt;&gt;"",1)</f>
        <v>1</v>
      </c>
    </row>
    <row r="270" spans="1:63">
      <c r="A270" s="4" t="str">
        <f>CONCATENATE(Table43[[#This Row],[Kode BARANG Win2]],Table43[[#This Row],[No. Urut
Item Sama]])</f>
        <v>K11550100045201</v>
      </c>
      <c r="B270" s="7">
        <v>1</v>
      </c>
      <c r="D270" s="28" t="s">
        <v>703</v>
      </c>
      <c r="E270" s="28"/>
      <c r="F270" s="28" t="s">
        <v>3427</v>
      </c>
      <c r="G270" s="78">
        <v>72</v>
      </c>
      <c r="H270" s="43"/>
      <c r="I270" s="28" t="str">
        <f>Table43[[#This Row],[Nama Jenis Kemasan]]</f>
        <v>BTL</v>
      </c>
      <c r="J270" s="4" t="str">
        <f>TRIM(CONCATENATE(Table43[[#This Row],[Nama            KLP]]," ",Table43[[#This Row],[Nama            Sub KLP]]))</f>
        <v>ESKULIN KIDS SHAMPOO</v>
      </c>
      <c r="K270" s="4" t="str">
        <f>CONCATENATE(Table43[[#This Row],[kode  2 Digit                (hrf+No)]],Table43[[#This Row],[kode  2 Digit                (Nomor)]],Table43[[#This Row],[kode  1 Digit                (Nomor)]])</f>
        <v>K1155</v>
      </c>
      <c r="L270" s="4" t="str">
        <f t="shared" si="12"/>
        <v>K1155010004520</v>
      </c>
      <c r="M270" s="11">
        <f t="shared" si="13"/>
        <v>14</v>
      </c>
      <c r="N270" s="14" t="str">
        <f>IF(AF270&lt;&gt;"",TRIM(UPPER(CONCATENATE(P270," ",R270," ",T270," ",V270," ",X270," ",Z270," ","X"," ",Table43[[#This Row],[ISI/CTN]]," ",AF270," ",AB270," ",AD270," ",AH270))),TRIM(UPPER(CONCATENATE(P270," ",R270," ",T270," ",V270," ",X270," ",Z270," ","X"," ",Table43[[#This Row],[ISI/CTN]]," ",AB270," ",AD270," ",AH270))))</f>
        <v>KNF ESKULIN KIDS SHAMPOO MINNIE 45ML X 72 BTL</v>
      </c>
      <c r="O270" s="11">
        <f t="shared" si="14"/>
        <v>45</v>
      </c>
      <c r="P270" s="4" t="s">
        <v>97</v>
      </c>
      <c r="Q270" s="7" t="s">
        <v>98</v>
      </c>
      <c r="R270" s="4" t="s">
        <v>3754</v>
      </c>
      <c r="S270" s="44" t="s">
        <v>3568</v>
      </c>
      <c r="T270" s="45" t="s">
        <v>3606</v>
      </c>
      <c r="U270" s="7" t="s">
        <v>3597</v>
      </c>
      <c r="V270" s="45" t="s">
        <v>2961</v>
      </c>
      <c r="W270" s="44" t="s">
        <v>2900</v>
      </c>
      <c r="X270" s="4" t="s">
        <v>3766</v>
      </c>
      <c r="Y270" s="46" t="s">
        <v>3564</v>
      </c>
      <c r="Z270" s="4" t="s">
        <v>3682</v>
      </c>
      <c r="AA270" s="46" t="s">
        <v>2491</v>
      </c>
      <c r="AB270" s="4" t="s">
        <v>357</v>
      </c>
      <c r="AC270" s="7" t="s">
        <v>3562</v>
      </c>
      <c r="AD270" s="4" t="s">
        <v>2961</v>
      </c>
      <c r="AE270" s="7" t="s">
        <v>2900</v>
      </c>
      <c r="AF270" s="7" t="s">
        <v>2961</v>
      </c>
      <c r="AG270" s="7" t="s">
        <v>2961</v>
      </c>
      <c r="AI270" s="7" t="s">
        <v>4100</v>
      </c>
      <c r="AJ270" s="7" t="s">
        <v>2656</v>
      </c>
      <c r="AK270" s="41">
        <f>Table43[[#This Row],[Harga Jual Pcs GT
(-PPN)]]-(Table43[[#This Row],[Harga Jual Pcs GT
(-PPN)]]*10%)</f>
        <v>0</v>
      </c>
      <c r="AL270" s="42">
        <f>Table43[[#This Row],[Harga Beli Pcs
(-PPN)]]*Table43[[#This Row],[ISI/CTN]]</f>
        <v>0</v>
      </c>
      <c r="AM270" s="42">
        <f>Table43[[#This Row],[Harga Beli Pcs
(-PPN)]]*1.11</f>
        <v>0</v>
      </c>
      <c r="AN270" s="42">
        <f>Table43[[#This Row],[Harga Beli Krt
(- PPN)]]*1.11</f>
        <v>0</v>
      </c>
      <c r="AO270" s="42"/>
      <c r="AP270" s="42">
        <f>Table43[[#This Row],[Harga Jual Pcs GT
(-PPN)]]*Table43[[#This Row],[ISI/CTN]]</f>
        <v>0</v>
      </c>
      <c r="AQ270" s="42">
        <f>Table43[[#This Row],[Harga Jual Pcs GT
(-PPN)]]*1.11</f>
        <v>0</v>
      </c>
      <c r="AR270" s="42">
        <f>Table43[[#This Row],[Harga Jual Krt GT
(- PPN)]]*1.11</f>
        <v>0</v>
      </c>
      <c r="AS270" s="42">
        <f>Table43[[#This Row],[Harga Jual Pcs GT
(-PPN)]]</f>
        <v>0</v>
      </c>
      <c r="AT270" s="42">
        <f>(Table43[[#This Row],[Harga Jual Pcs MT
(-PPN)]]*Table43[[#This Row],[ISI/CTN]])</f>
        <v>0</v>
      </c>
      <c r="AU270" s="42">
        <f>Table43[[#This Row],[Harga Jual Pcs MT
(-PPN)]]*1.11</f>
        <v>0</v>
      </c>
      <c r="AV270" s="42">
        <f>Table43[[#This Row],[Harga Jual Pcs MT
(+PPN)]]*Table43[[#This Row],[ISI/CTN]]</f>
        <v>0</v>
      </c>
      <c r="AW270" s="47"/>
      <c r="AX270" s="7"/>
      <c r="AY270" s="7" t="str">
        <f ca="1">IF(TODAY()-Table43[[#This Row],[Efektif
Pembuatan]]&gt;60,"Lama","Baru")</f>
        <v>Lama</v>
      </c>
      <c r="AZ270" s="7" t="str">
        <f ca="1">IF(TODAY()-Table43[[#This Row],[Efektif Naik Harga]]&lt;30,"Naik","Sama")</f>
        <v>Sama</v>
      </c>
      <c r="BA270" s="7" t="str">
        <f>IF(Table43[[#This Row],[Kode BARANG Win2]]&lt;&gt;"","IDR","")</f>
        <v>IDR</v>
      </c>
      <c r="BB270" s="7" t="str">
        <f>CONCATENATE(Table43[[#This Row],[kode  1 Digit
(Nomor)]],Table43[[#This Row],[kode  4 Digit                (Nomor)]])</f>
        <v>10045</v>
      </c>
      <c r="BC270" s="7" t="str">
        <f>Table43[[#This Row],[Nama            Gramasi atau Jumlah Pack per CTN]]</f>
        <v>45ML</v>
      </c>
      <c r="BD270" s="7"/>
      <c r="BE270" s="7"/>
      <c r="BF270" s="4" t="str">
        <f>IF(Table43[[#This Row],[SATUAN Fix Win]]&lt;&gt;"","KRT")</f>
        <v>KRT</v>
      </c>
      <c r="BG270" s="4" t="str">
        <f>IF(Table43[[#This Row],[SATUAN Fix Win]]&lt;&gt;"","GD01")</f>
        <v>GD01</v>
      </c>
      <c r="BH270" s="4">
        <f>IF(Table43[[#This Row],[SATUAN Fix Win]]&lt;&gt;"",11611)</f>
        <v>11611</v>
      </c>
      <c r="BI270" s="4">
        <f>IF(Table43[[#This Row],[SATUAN Fix Win]]&lt;&gt;"",11612)</f>
        <v>11612</v>
      </c>
      <c r="BJ270" s="48"/>
      <c r="BK270" s="4">
        <f>IF(Table43[[#This Row],[SATUAN Fix Win]]&lt;&gt;"",1)</f>
        <v>1</v>
      </c>
    </row>
    <row r="271" spans="1:63">
      <c r="A271" s="4" t="str">
        <f>CONCATENATE(Table43[[#This Row],[Kode BARANG Win2]],Table43[[#This Row],[No. Urut
Item Sama]])</f>
        <v>K11550100100201</v>
      </c>
      <c r="B271" s="7">
        <v>1</v>
      </c>
      <c r="D271" s="28" t="s">
        <v>704</v>
      </c>
      <c r="E271" s="28"/>
      <c r="F271" s="28" t="s">
        <v>3428</v>
      </c>
      <c r="G271" s="78">
        <v>36</v>
      </c>
      <c r="H271" s="43"/>
      <c r="I271" s="28" t="str">
        <f>Table43[[#This Row],[Nama Jenis Kemasan]]</f>
        <v>BTL</v>
      </c>
      <c r="J271" s="4" t="str">
        <f>TRIM(CONCATENATE(Table43[[#This Row],[Nama            KLP]]," ",Table43[[#This Row],[Nama            Sub KLP]]))</f>
        <v>ESKULIN KIDS SHAMPOO</v>
      </c>
      <c r="K271" s="4" t="str">
        <f>CONCATENATE(Table43[[#This Row],[kode  2 Digit                (hrf+No)]],Table43[[#This Row],[kode  2 Digit                (Nomor)]],Table43[[#This Row],[kode  1 Digit                (Nomor)]])</f>
        <v>K1155</v>
      </c>
      <c r="L271" s="4" t="str">
        <f t="shared" ref="L271:L334" si="15">IF(AG271="",CONCATENATE(Q271,S271,U271,W271,Y271,AA271,AC271,AE271),CONCATENATE(Q271,S271,U271,W271,Y271,AA271,AC271,AG271))</f>
        <v>K1155010010020</v>
      </c>
      <c r="M271" s="11">
        <f t="shared" ref="M271:M334" si="16">LEN(L271)</f>
        <v>14</v>
      </c>
      <c r="N271" s="14" t="str">
        <f>IF(AF271&lt;&gt;"",TRIM(UPPER(CONCATENATE(P271," ",R271," ",T271," ",V271," ",X271," ",Z271," ","X"," ",Table43[[#This Row],[ISI/CTN]]," ",AF271," ",AB271," ",AD271," ",AH271))),TRIM(UPPER(CONCATENATE(P271," ",R271," ",T271," ",V271," ",X271," ",Z271," ","X"," ",Table43[[#This Row],[ISI/CTN]]," ",AB271," ",AD271," ",AH271))))</f>
        <v>KNF ESKULIN KIDS SHAMPOO MINNIE 100ML X 36 BTL</v>
      </c>
      <c r="O271" s="11">
        <f t="shared" ref="O271:O334" si="17">LEN(N271)</f>
        <v>46</v>
      </c>
      <c r="P271" s="4" t="s">
        <v>97</v>
      </c>
      <c r="Q271" s="7" t="s">
        <v>98</v>
      </c>
      <c r="R271" s="4" t="s">
        <v>3754</v>
      </c>
      <c r="S271" s="44" t="s">
        <v>3568</v>
      </c>
      <c r="T271" s="45" t="s">
        <v>3606</v>
      </c>
      <c r="U271" s="7" t="s">
        <v>3597</v>
      </c>
      <c r="V271" s="45" t="s">
        <v>2961</v>
      </c>
      <c r="W271" s="44" t="s">
        <v>2900</v>
      </c>
      <c r="X271" s="4" t="s">
        <v>3766</v>
      </c>
      <c r="Y271" s="46" t="s">
        <v>3564</v>
      </c>
      <c r="Z271" s="4" t="s">
        <v>3588</v>
      </c>
      <c r="AA271" s="46" t="s">
        <v>2487</v>
      </c>
      <c r="AB271" s="4" t="s">
        <v>357</v>
      </c>
      <c r="AC271" s="7" t="s">
        <v>3562</v>
      </c>
      <c r="AD271" s="4" t="s">
        <v>2961</v>
      </c>
      <c r="AE271" s="7" t="s">
        <v>2900</v>
      </c>
      <c r="AF271" s="7" t="s">
        <v>2961</v>
      </c>
      <c r="AG271" s="7" t="s">
        <v>2961</v>
      </c>
      <c r="AI271" s="7" t="s">
        <v>4100</v>
      </c>
      <c r="AJ271" s="7" t="s">
        <v>2656</v>
      </c>
      <c r="AK271" s="41">
        <f>Table43[[#This Row],[Harga Jual Pcs GT
(-PPN)]]-(Table43[[#This Row],[Harga Jual Pcs GT
(-PPN)]]*10%)</f>
        <v>0</v>
      </c>
      <c r="AL271" s="42">
        <f>Table43[[#This Row],[Harga Beli Pcs
(-PPN)]]*Table43[[#This Row],[ISI/CTN]]</f>
        <v>0</v>
      </c>
      <c r="AM271" s="42">
        <f>Table43[[#This Row],[Harga Beli Pcs
(-PPN)]]*1.11</f>
        <v>0</v>
      </c>
      <c r="AN271" s="42">
        <f>Table43[[#This Row],[Harga Beli Krt
(- PPN)]]*1.11</f>
        <v>0</v>
      </c>
      <c r="AO271" s="42"/>
      <c r="AP271" s="42">
        <f>Table43[[#This Row],[Harga Jual Pcs GT
(-PPN)]]*Table43[[#This Row],[ISI/CTN]]</f>
        <v>0</v>
      </c>
      <c r="AQ271" s="42">
        <f>Table43[[#This Row],[Harga Jual Pcs GT
(-PPN)]]*1.11</f>
        <v>0</v>
      </c>
      <c r="AR271" s="42">
        <f>Table43[[#This Row],[Harga Jual Krt GT
(- PPN)]]*1.11</f>
        <v>0</v>
      </c>
      <c r="AS271" s="42">
        <f>Table43[[#This Row],[Harga Jual Pcs GT
(-PPN)]]</f>
        <v>0</v>
      </c>
      <c r="AT271" s="42">
        <f>(Table43[[#This Row],[Harga Jual Pcs MT
(-PPN)]]*Table43[[#This Row],[ISI/CTN]])</f>
        <v>0</v>
      </c>
      <c r="AU271" s="42">
        <f>Table43[[#This Row],[Harga Jual Pcs MT
(-PPN)]]*1.11</f>
        <v>0</v>
      </c>
      <c r="AV271" s="42">
        <f>Table43[[#This Row],[Harga Jual Pcs MT
(+PPN)]]*Table43[[#This Row],[ISI/CTN]]</f>
        <v>0</v>
      </c>
      <c r="AW271" s="47"/>
      <c r="AX271" s="7"/>
      <c r="AY271" s="7" t="str">
        <f ca="1">IF(TODAY()-Table43[[#This Row],[Efektif
Pembuatan]]&gt;60,"Lama","Baru")</f>
        <v>Lama</v>
      </c>
      <c r="AZ271" s="7" t="str">
        <f ca="1">IF(TODAY()-Table43[[#This Row],[Efektif Naik Harga]]&lt;30,"Naik","Sama")</f>
        <v>Sama</v>
      </c>
      <c r="BA271" s="7" t="str">
        <f>IF(Table43[[#This Row],[Kode BARANG Win2]]&lt;&gt;"","IDR","")</f>
        <v>IDR</v>
      </c>
      <c r="BB271" s="7" t="str">
        <f>CONCATENATE(Table43[[#This Row],[kode  1 Digit
(Nomor)]],Table43[[#This Row],[kode  4 Digit                (Nomor)]])</f>
        <v>10100</v>
      </c>
      <c r="BC271" s="7" t="str">
        <f>Table43[[#This Row],[Nama            Gramasi atau Jumlah Pack per CTN]]</f>
        <v>100ML</v>
      </c>
      <c r="BD271" s="7"/>
      <c r="BE271" s="7"/>
      <c r="BF271" s="4" t="str">
        <f>IF(Table43[[#This Row],[SATUAN Fix Win]]&lt;&gt;"","KRT")</f>
        <v>KRT</v>
      </c>
      <c r="BG271" s="4" t="str">
        <f>IF(Table43[[#This Row],[SATUAN Fix Win]]&lt;&gt;"","GD01")</f>
        <v>GD01</v>
      </c>
      <c r="BH271" s="4">
        <f>IF(Table43[[#This Row],[SATUAN Fix Win]]&lt;&gt;"",11611)</f>
        <v>11611</v>
      </c>
      <c r="BI271" s="4">
        <f>IF(Table43[[#This Row],[SATUAN Fix Win]]&lt;&gt;"",11612)</f>
        <v>11612</v>
      </c>
      <c r="BJ271" s="48"/>
      <c r="BK271" s="4">
        <f>IF(Table43[[#This Row],[SATUAN Fix Win]]&lt;&gt;"",1)</f>
        <v>1</v>
      </c>
    </row>
    <row r="272" spans="1:63">
      <c r="A272" s="4" t="str">
        <f>CONCATENATE(Table43[[#This Row],[Kode BARANG Win2]],Table43[[#This Row],[No. Urut
Item Sama]])</f>
        <v>K11550100200202</v>
      </c>
      <c r="B272" s="7">
        <v>2</v>
      </c>
      <c r="D272" s="28" t="s">
        <v>705</v>
      </c>
      <c r="E272" s="28"/>
      <c r="F272" s="28" t="s">
        <v>3429</v>
      </c>
      <c r="G272" s="78">
        <v>36</v>
      </c>
      <c r="H272" s="43"/>
      <c r="I272" s="28" t="str">
        <f>Table43[[#This Row],[Nama Jenis Kemasan]]</f>
        <v>BTL</v>
      </c>
      <c r="J272" s="4" t="str">
        <f>TRIM(CONCATENATE(Table43[[#This Row],[Nama            KLP]]," ",Table43[[#This Row],[Nama            Sub KLP]]))</f>
        <v>ESKULIN KIDS SHAMPOO</v>
      </c>
      <c r="K272" s="4" t="str">
        <f>CONCATENATE(Table43[[#This Row],[kode  2 Digit                (hrf+No)]],Table43[[#This Row],[kode  2 Digit                (Nomor)]],Table43[[#This Row],[kode  1 Digit                (Nomor)]])</f>
        <v>K1155</v>
      </c>
      <c r="L272" s="4" t="str">
        <f t="shared" si="15"/>
        <v>K1155010020020</v>
      </c>
      <c r="M272" s="11">
        <f t="shared" si="16"/>
        <v>14</v>
      </c>
      <c r="N272" s="14" t="str">
        <f>IF(AF272&lt;&gt;"",TRIM(UPPER(CONCATENATE(P272," ",R272," ",T272," ",V272," ",X272," ",Z272," ","X"," ",Table43[[#This Row],[ISI/CTN]]," ",AF272," ",AB272," ",AD272," ",AH272))),TRIM(UPPER(CONCATENATE(P272," ",R272," ",T272," ",V272," ",X272," ",Z272," ","X"," ",Table43[[#This Row],[ISI/CTN]]," ",AB272," ",AD272," ",AH272))))</f>
        <v>KNF ESKULIN KIDS SHAMPOO MINNIE 200ML X 36 BTL</v>
      </c>
      <c r="O272" s="11">
        <f t="shared" si="17"/>
        <v>46</v>
      </c>
      <c r="P272" s="4" t="s">
        <v>97</v>
      </c>
      <c r="Q272" s="7" t="s">
        <v>98</v>
      </c>
      <c r="R272" s="4" t="s">
        <v>3754</v>
      </c>
      <c r="S272" s="44" t="s">
        <v>3568</v>
      </c>
      <c r="T272" s="45" t="s">
        <v>3606</v>
      </c>
      <c r="U272" s="7" t="s">
        <v>3597</v>
      </c>
      <c r="V272" s="45" t="s">
        <v>2961</v>
      </c>
      <c r="W272" s="44" t="s">
        <v>2900</v>
      </c>
      <c r="X272" s="4" t="s">
        <v>3766</v>
      </c>
      <c r="Y272" s="46" t="s">
        <v>3564</v>
      </c>
      <c r="Z272" s="4" t="s">
        <v>3582</v>
      </c>
      <c r="AA272" s="46" t="s">
        <v>2486</v>
      </c>
      <c r="AB272" s="4" t="s">
        <v>357</v>
      </c>
      <c r="AC272" s="7" t="s">
        <v>3562</v>
      </c>
      <c r="AD272" s="4" t="s">
        <v>2961</v>
      </c>
      <c r="AE272" s="7" t="s">
        <v>2900</v>
      </c>
      <c r="AF272" s="7" t="s">
        <v>2961</v>
      </c>
      <c r="AG272" s="7" t="s">
        <v>2961</v>
      </c>
      <c r="AI272" s="7" t="s">
        <v>4100</v>
      </c>
      <c r="AJ272" s="7" t="s">
        <v>2656</v>
      </c>
      <c r="AK272" s="41">
        <f>Table43[[#This Row],[Harga Jual Pcs GT
(-PPN)]]-(Table43[[#This Row],[Harga Jual Pcs GT
(-PPN)]]*10%)</f>
        <v>0</v>
      </c>
      <c r="AL272" s="42">
        <f>Table43[[#This Row],[Harga Beli Pcs
(-PPN)]]*Table43[[#This Row],[ISI/CTN]]</f>
        <v>0</v>
      </c>
      <c r="AM272" s="42">
        <f>Table43[[#This Row],[Harga Beli Pcs
(-PPN)]]*1.11</f>
        <v>0</v>
      </c>
      <c r="AN272" s="42">
        <f>Table43[[#This Row],[Harga Beli Krt
(- PPN)]]*1.11</f>
        <v>0</v>
      </c>
      <c r="AO272" s="42"/>
      <c r="AP272" s="42">
        <f>Table43[[#This Row],[Harga Jual Pcs GT
(-PPN)]]*Table43[[#This Row],[ISI/CTN]]</f>
        <v>0</v>
      </c>
      <c r="AQ272" s="42">
        <f>Table43[[#This Row],[Harga Jual Pcs GT
(-PPN)]]*1.11</f>
        <v>0</v>
      </c>
      <c r="AR272" s="42">
        <f>Table43[[#This Row],[Harga Jual Krt GT
(- PPN)]]*1.11</f>
        <v>0</v>
      </c>
      <c r="AS272" s="42">
        <f>Table43[[#This Row],[Harga Jual Pcs GT
(-PPN)]]</f>
        <v>0</v>
      </c>
      <c r="AT272" s="42">
        <f>(Table43[[#This Row],[Harga Jual Pcs MT
(-PPN)]]*Table43[[#This Row],[ISI/CTN]])</f>
        <v>0</v>
      </c>
      <c r="AU272" s="42">
        <f>Table43[[#This Row],[Harga Jual Pcs MT
(-PPN)]]*1.11</f>
        <v>0</v>
      </c>
      <c r="AV272" s="42">
        <f>Table43[[#This Row],[Harga Jual Pcs MT
(+PPN)]]*Table43[[#This Row],[ISI/CTN]]</f>
        <v>0</v>
      </c>
      <c r="AW272" s="47"/>
      <c r="AX272" s="7"/>
      <c r="AY272" s="7" t="str">
        <f ca="1">IF(TODAY()-Table43[[#This Row],[Efektif
Pembuatan]]&gt;60,"Lama","Baru")</f>
        <v>Lama</v>
      </c>
      <c r="AZ272" s="7" t="str">
        <f ca="1">IF(TODAY()-Table43[[#This Row],[Efektif Naik Harga]]&lt;30,"Naik","Sama")</f>
        <v>Sama</v>
      </c>
      <c r="BA272" s="7" t="str">
        <f>IF(Table43[[#This Row],[Kode BARANG Win2]]&lt;&gt;"","IDR","")</f>
        <v>IDR</v>
      </c>
      <c r="BB272" s="7" t="str">
        <f>CONCATENATE(Table43[[#This Row],[kode  1 Digit
(Nomor)]],Table43[[#This Row],[kode  4 Digit                (Nomor)]])</f>
        <v>10200</v>
      </c>
      <c r="BC272" s="7" t="str">
        <f>Table43[[#This Row],[Nama            Gramasi atau Jumlah Pack per CTN]]</f>
        <v>200ML</v>
      </c>
      <c r="BD272" s="7"/>
      <c r="BE272" s="7"/>
      <c r="BF272" s="4" t="str">
        <f>IF(Table43[[#This Row],[SATUAN Fix Win]]&lt;&gt;"","KRT")</f>
        <v>KRT</v>
      </c>
      <c r="BG272" s="4" t="str">
        <f>IF(Table43[[#This Row],[SATUAN Fix Win]]&lt;&gt;"","GD01")</f>
        <v>GD01</v>
      </c>
      <c r="BH272" s="4">
        <f>IF(Table43[[#This Row],[SATUAN Fix Win]]&lt;&gt;"",11611)</f>
        <v>11611</v>
      </c>
      <c r="BI272" s="4">
        <f>IF(Table43[[#This Row],[SATUAN Fix Win]]&lt;&gt;"",11612)</f>
        <v>11612</v>
      </c>
      <c r="BJ272" s="48"/>
      <c r="BK272" s="4">
        <f>IF(Table43[[#This Row],[SATUAN Fix Win]]&lt;&gt;"",1)</f>
        <v>1</v>
      </c>
    </row>
    <row r="273" spans="1:63">
      <c r="A273" s="4" t="str">
        <f>CONCATENATE(Table43[[#This Row],[Kode BARANG Win2]],Table43[[#This Row],[No. Urut
Item Sama]])</f>
        <v>K11550100500201</v>
      </c>
      <c r="B273" s="7">
        <v>1</v>
      </c>
      <c r="D273" s="28" t="s">
        <v>761</v>
      </c>
      <c r="E273" s="28"/>
      <c r="F273" s="28" t="s">
        <v>3430</v>
      </c>
      <c r="G273" s="78">
        <v>12</v>
      </c>
      <c r="H273" s="43"/>
      <c r="I273" s="28" t="str">
        <f>Table43[[#This Row],[Nama Jenis Kemasan]]</f>
        <v>BTL</v>
      </c>
      <c r="J273" s="4" t="str">
        <f>TRIM(CONCATENATE(Table43[[#This Row],[Nama            KLP]]," ",Table43[[#This Row],[Nama            Sub KLP]]))</f>
        <v>ESKULIN KIDS SHAMPOO</v>
      </c>
      <c r="K273" s="4" t="str">
        <f>CONCATENATE(Table43[[#This Row],[kode  2 Digit                (hrf+No)]],Table43[[#This Row],[kode  2 Digit                (Nomor)]],Table43[[#This Row],[kode  1 Digit                (Nomor)]])</f>
        <v>K1155</v>
      </c>
      <c r="L273" s="4" t="str">
        <f t="shared" si="15"/>
        <v>K1155010050020</v>
      </c>
      <c r="M273" s="11">
        <f t="shared" si="16"/>
        <v>14</v>
      </c>
      <c r="N273" s="14" t="str">
        <f>IF(AF273&lt;&gt;"",TRIM(UPPER(CONCATENATE(P273," ",R273," ",T273," ",V273," ",X273," ",Z273," ","X"," ",Table43[[#This Row],[ISI/CTN]]," ",AF273," ",AB273," ",AD273," ",AH273))),TRIM(UPPER(CONCATENATE(P273," ",R273," ",T273," ",V273," ",X273," ",Z273," ","X"," ",Table43[[#This Row],[ISI/CTN]]," ",AB273," ",AD273," ",AH273))))</f>
        <v>KNF ESKULIN KIDS SHAMPOO MINNIE 500ML X 12 BTL</v>
      </c>
      <c r="O273" s="11">
        <f t="shared" si="17"/>
        <v>46</v>
      </c>
      <c r="P273" s="4" t="s">
        <v>97</v>
      </c>
      <c r="Q273" s="7" t="s">
        <v>98</v>
      </c>
      <c r="R273" s="4" t="s">
        <v>3754</v>
      </c>
      <c r="S273" s="44" t="s">
        <v>3568</v>
      </c>
      <c r="T273" s="45" t="s">
        <v>3606</v>
      </c>
      <c r="U273" s="7" t="s">
        <v>3597</v>
      </c>
      <c r="V273" s="45" t="s">
        <v>2961</v>
      </c>
      <c r="W273" s="44" t="s">
        <v>2900</v>
      </c>
      <c r="X273" s="4" t="s">
        <v>3766</v>
      </c>
      <c r="Y273" s="46" t="s">
        <v>3564</v>
      </c>
      <c r="Z273" s="4" t="s">
        <v>3771</v>
      </c>
      <c r="AA273" s="46" t="s">
        <v>2503</v>
      </c>
      <c r="AB273" s="4" t="s">
        <v>357</v>
      </c>
      <c r="AC273" s="7" t="s">
        <v>3562</v>
      </c>
      <c r="AD273" s="4" t="s">
        <v>2961</v>
      </c>
      <c r="AE273" s="7" t="s">
        <v>2900</v>
      </c>
      <c r="AF273" s="7" t="s">
        <v>2961</v>
      </c>
      <c r="AG273" s="7" t="s">
        <v>2961</v>
      </c>
      <c r="AI273" s="7" t="s">
        <v>4100</v>
      </c>
      <c r="AJ273" s="7" t="s">
        <v>2656</v>
      </c>
      <c r="AK273" s="41">
        <f>Table43[[#This Row],[Harga Jual Pcs GT
(-PPN)]]-(Table43[[#This Row],[Harga Jual Pcs GT
(-PPN)]]*10%)</f>
        <v>0</v>
      </c>
      <c r="AL273" s="42">
        <f>Table43[[#This Row],[Harga Beli Pcs
(-PPN)]]*Table43[[#This Row],[ISI/CTN]]</f>
        <v>0</v>
      </c>
      <c r="AM273" s="42">
        <f>Table43[[#This Row],[Harga Beli Pcs
(-PPN)]]*1.11</f>
        <v>0</v>
      </c>
      <c r="AN273" s="42">
        <f>Table43[[#This Row],[Harga Beli Krt
(- PPN)]]*1.11</f>
        <v>0</v>
      </c>
      <c r="AO273" s="42"/>
      <c r="AP273" s="42">
        <f>Table43[[#This Row],[Harga Jual Pcs GT
(-PPN)]]*Table43[[#This Row],[ISI/CTN]]</f>
        <v>0</v>
      </c>
      <c r="AQ273" s="42">
        <f>Table43[[#This Row],[Harga Jual Pcs GT
(-PPN)]]*1.11</f>
        <v>0</v>
      </c>
      <c r="AR273" s="42">
        <f>Table43[[#This Row],[Harga Jual Krt GT
(- PPN)]]*1.11</f>
        <v>0</v>
      </c>
      <c r="AS273" s="42">
        <f>Table43[[#This Row],[Harga Jual Pcs GT
(-PPN)]]</f>
        <v>0</v>
      </c>
      <c r="AT273" s="42">
        <f>(Table43[[#This Row],[Harga Jual Pcs MT
(-PPN)]]*Table43[[#This Row],[ISI/CTN]])</f>
        <v>0</v>
      </c>
      <c r="AU273" s="42">
        <f>Table43[[#This Row],[Harga Jual Pcs MT
(-PPN)]]*1.11</f>
        <v>0</v>
      </c>
      <c r="AV273" s="42">
        <f>Table43[[#This Row],[Harga Jual Pcs MT
(+PPN)]]*Table43[[#This Row],[ISI/CTN]]</f>
        <v>0</v>
      </c>
      <c r="AW273" s="47"/>
      <c r="AX273" s="7"/>
      <c r="AY273" s="7" t="str">
        <f ca="1">IF(TODAY()-Table43[[#This Row],[Efektif
Pembuatan]]&gt;60,"Lama","Baru")</f>
        <v>Lama</v>
      </c>
      <c r="AZ273" s="7" t="str">
        <f ca="1">IF(TODAY()-Table43[[#This Row],[Efektif Naik Harga]]&lt;30,"Naik","Sama")</f>
        <v>Sama</v>
      </c>
      <c r="BA273" s="7" t="str">
        <f>IF(Table43[[#This Row],[Kode BARANG Win2]]&lt;&gt;"","IDR","")</f>
        <v>IDR</v>
      </c>
      <c r="BB273" s="7" t="str">
        <f>CONCATENATE(Table43[[#This Row],[kode  1 Digit
(Nomor)]],Table43[[#This Row],[kode  4 Digit                (Nomor)]])</f>
        <v>10500</v>
      </c>
      <c r="BC273" s="7" t="str">
        <f>Table43[[#This Row],[Nama            Gramasi atau Jumlah Pack per CTN]]</f>
        <v>500ML</v>
      </c>
      <c r="BD273" s="7"/>
      <c r="BE273" s="7"/>
      <c r="BF273" s="4" t="str">
        <f>IF(Table43[[#This Row],[SATUAN Fix Win]]&lt;&gt;"","KRT")</f>
        <v>KRT</v>
      </c>
      <c r="BG273" s="4" t="str">
        <f>IF(Table43[[#This Row],[SATUAN Fix Win]]&lt;&gt;"","GD01")</f>
        <v>GD01</v>
      </c>
      <c r="BH273" s="4">
        <f>IF(Table43[[#This Row],[SATUAN Fix Win]]&lt;&gt;"",11611)</f>
        <v>11611</v>
      </c>
      <c r="BI273" s="4">
        <f>IF(Table43[[#This Row],[SATUAN Fix Win]]&lt;&gt;"",11612)</f>
        <v>11612</v>
      </c>
      <c r="BJ273" s="48"/>
      <c r="BK273" s="4">
        <f>IF(Table43[[#This Row],[SATUAN Fix Win]]&lt;&gt;"",1)</f>
        <v>1</v>
      </c>
    </row>
    <row r="274" spans="1:63">
      <c r="A274" s="4" t="str">
        <f>CONCATENATE(Table43[[#This Row],[Kode BARANG Win2]],Table43[[#This Row],[No. Urut
Item Sama]])</f>
        <v>K11550100500301</v>
      </c>
      <c r="B274" s="7">
        <v>1</v>
      </c>
      <c r="D274" s="28" t="s">
        <v>762</v>
      </c>
      <c r="E274" s="28"/>
      <c r="F274" s="28" t="s">
        <v>3068</v>
      </c>
      <c r="G274" s="78">
        <v>12</v>
      </c>
      <c r="H274" s="43"/>
      <c r="I274" s="28" t="str">
        <f>Table43[[#This Row],[Nama Jenis Kemasan]]</f>
        <v>PCH</v>
      </c>
      <c r="J274" s="4" t="str">
        <f>TRIM(CONCATENATE(Table43[[#This Row],[Nama            KLP]]," ",Table43[[#This Row],[Nama            Sub KLP]]))</f>
        <v>ESKULIN KIDS SHAMPOO</v>
      </c>
      <c r="K274" s="4" t="str">
        <f>CONCATENATE(Table43[[#This Row],[kode  2 Digit                (hrf+No)]],Table43[[#This Row],[kode  2 Digit                (Nomor)]],Table43[[#This Row],[kode  1 Digit                (Nomor)]])</f>
        <v>K1155</v>
      </c>
      <c r="L274" s="4" t="str">
        <f t="shared" si="15"/>
        <v>K1155010050030</v>
      </c>
      <c r="M274" s="11">
        <f t="shared" si="16"/>
        <v>14</v>
      </c>
      <c r="N274" s="14" t="str">
        <f>IF(AF274&lt;&gt;"",TRIM(UPPER(CONCATENATE(P274," ",R274," ",T274," ",V274," ",X274," ",Z274," ","X"," ",Table43[[#This Row],[ISI/CTN]]," ",AF274," ",AB274," ",AD274," ",AH274))),TRIM(UPPER(CONCATENATE(P274," ",R274," ",T274," ",V274," ",X274," ",Z274," ","X"," ",Table43[[#This Row],[ISI/CTN]]," ",AB274," ",AD274," ",AH274))))</f>
        <v>KNF ESKULIN KIDS SHAMPOO MINNIE 500ML X 12 PCH</v>
      </c>
      <c r="O274" s="11">
        <f t="shared" si="17"/>
        <v>46</v>
      </c>
      <c r="P274" s="4" t="s">
        <v>97</v>
      </c>
      <c r="Q274" s="7" t="s">
        <v>98</v>
      </c>
      <c r="R274" s="4" t="s">
        <v>3754</v>
      </c>
      <c r="S274" s="44" t="s">
        <v>3568</v>
      </c>
      <c r="T274" s="45" t="s">
        <v>3606</v>
      </c>
      <c r="U274" s="7" t="s">
        <v>3597</v>
      </c>
      <c r="V274" s="45" t="s">
        <v>2961</v>
      </c>
      <c r="W274" s="44" t="s">
        <v>2900</v>
      </c>
      <c r="X274" s="4" t="s">
        <v>3766</v>
      </c>
      <c r="Y274" s="46" t="s">
        <v>3564</v>
      </c>
      <c r="Z274" s="4" t="s">
        <v>3771</v>
      </c>
      <c r="AA274" s="46" t="s">
        <v>2503</v>
      </c>
      <c r="AB274" s="4" t="s">
        <v>356</v>
      </c>
      <c r="AC274" s="7" t="s">
        <v>3590</v>
      </c>
      <c r="AD274" s="4" t="s">
        <v>2961</v>
      </c>
      <c r="AE274" s="7" t="s">
        <v>2900</v>
      </c>
      <c r="AF274" s="7" t="s">
        <v>2961</v>
      </c>
      <c r="AG274" s="7" t="s">
        <v>2961</v>
      </c>
      <c r="AI274" s="7" t="s">
        <v>4100</v>
      </c>
      <c r="AJ274" s="7" t="s">
        <v>2656</v>
      </c>
      <c r="AK274" s="41">
        <f>Table43[[#This Row],[Harga Jual Pcs GT
(-PPN)]]-(Table43[[#This Row],[Harga Jual Pcs GT
(-PPN)]]*10%)</f>
        <v>0</v>
      </c>
      <c r="AL274" s="42">
        <f>Table43[[#This Row],[Harga Beli Pcs
(-PPN)]]*Table43[[#This Row],[ISI/CTN]]</f>
        <v>0</v>
      </c>
      <c r="AM274" s="42">
        <f>Table43[[#This Row],[Harga Beli Pcs
(-PPN)]]*1.11</f>
        <v>0</v>
      </c>
      <c r="AN274" s="42">
        <f>Table43[[#This Row],[Harga Beli Krt
(- PPN)]]*1.11</f>
        <v>0</v>
      </c>
      <c r="AO274" s="42"/>
      <c r="AP274" s="42">
        <f>Table43[[#This Row],[Harga Jual Pcs GT
(-PPN)]]*Table43[[#This Row],[ISI/CTN]]</f>
        <v>0</v>
      </c>
      <c r="AQ274" s="42">
        <f>Table43[[#This Row],[Harga Jual Pcs GT
(-PPN)]]*1.11</f>
        <v>0</v>
      </c>
      <c r="AR274" s="42">
        <f>Table43[[#This Row],[Harga Jual Krt GT
(- PPN)]]*1.11</f>
        <v>0</v>
      </c>
      <c r="AS274" s="42">
        <f>Table43[[#This Row],[Harga Jual Pcs GT
(-PPN)]]</f>
        <v>0</v>
      </c>
      <c r="AT274" s="42">
        <f>(Table43[[#This Row],[Harga Jual Pcs MT
(-PPN)]]*Table43[[#This Row],[ISI/CTN]])</f>
        <v>0</v>
      </c>
      <c r="AU274" s="42">
        <f>Table43[[#This Row],[Harga Jual Pcs MT
(-PPN)]]*1.11</f>
        <v>0</v>
      </c>
      <c r="AV274" s="42">
        <f>Table43[[#This Row],[Harga Jual Pcs MT
(+PPN)]]*Table43[[#This Row],[ISI/CTN]]</f>
        <v>0</v>
      </c>
      <c r="AW274" s="47"/>
      <c r="AX274" s="7"/>
      <c r="AY274" s="7" t="str">
        <f ca="1">IF(TODAY()-Table43[[#This Row],[Efektif
Pembuatan]]&gt;60,"Lama","Baru")</f>
        <v>Lama</v>
      </c>
      <c r="AZ274" s="7" t="str">
        <f ca="1">IF(TODAY()-Table43[[#This Row],[Efektif Naik Harga]]&lt;30,"Naik","Sama")</f>
        <v>Sama</v>
      </c>
      <c r="BA274" s="7" t="str">
        <f>IF(Table43[[#This Row],[Kode BARANG Win2]]&lt;&gt;"","IDR","")</f>
        <v>IDR</v>
      </c>
      <c r="BB274" s="7" t="str">
        <f>CONCATENATE(Table43[[#This Row],[kode  1 Digit
(Nomor)]],Table43[[#This Row],[kode  4 Digit                (Nomor)]])</f>
        <v>10500</v>
      </c>
      <c r="BC274" s="7" t="str">
        <f>Table43[[#This Row],[Nama            Gramasi atau Jumlah Pack per CTN]]</f>
        <v>500ML</v>
      </c>
      <c r="BD274" s="7"/>
      <c r="BE274" s="7"/>
      <c r="BF274" s="4" t="str">
        <f>IF(Table43[[#This Row],[SATUAN Fix Win]]&lt;&gt;"","KRT")</f>
        <v>KRT</v>
      </c>
      <c r="BG274" s="4" t="str">
        <f>IF(Table43[[#This Row],[SATUAN Fix Win]]&lt;&gt;"","GD01")</f>
        <v>GD01</v>
      </c>
      <c r="BH274" s="4">
        <f>IF(Table43[[#This Row],[SATUAN Fix Win]]&lt;&gt;"",11611)</f>
        <v>11611</v>
      </c>
      <c r="BI274" s="4">
        <f>IF(Table43[[#This Row],[SATUAN Fix Win]]&lt;&gt;"",11612)</f>
        <v>11612</v>
      </c>
      <c r="BJ274" s="48"/>
      <c r="BK274" s="4">
        <f>IF(Table43[[#This Row],[SATUAN Fix Win]]&lt;&gt;"",1)</f>
        <v>1</v>
      </c>
    </row>
    <row r="275" spans="1:63">
      <c r="A275" s="4" t="str">
        <f>CONCATENATE(Table43[[#This Row],[Kode BARANG Win2]],Table43[[#This Row],[No. Urut
Item Sama]])</f>
        <v>K11550110200202</v>
      </c>
      <c r="B275" s="7">
        <v>2</v>
      </c>
      <c r="D275" s="28" t="s">
        <v>763</v>
      </c>
      <c r="E275" s="28"/>
      <c r="F275" s="28" t="s">
        <v>3431</v>
      </c>
      <c r="G275" s="78">
        <v>36</v>
      </c>
      <c r="H275" s="43"/>
      <c r="I275" s="28" t="str">
        <f>Table43[[#This Row],[Nama Jenis Kemasan]]</f>
        <v>BTL</v>
      </c>
      <c r="J275" s="4" t="str">
        <f>TRIM(CONCATENATE(Table43[[#This Row],[Nama            KLP]]," ",Table43[[#This Row],[Nama            Sub KLP]]))</f>
        <v>ESKULIN KIDS SHAMPOO</v>
      </c>
      <c r="K275" s="4" t="str">
        <f>CONCATENATE(Table43[[#This Row],[kode  2 Digit                (hrf+No)]],Table43[[#This Row],[kode  2 Digit                (Nomor)]],Table43[[#This Row],[kode  1 Digit                (Nomor)]])</f>
        <v>K1155</v>
      </c>
      <c r="L275" s="4" t="str">
        <f t="shared" si="15"/>
        <v>K1155011020020</v>
      </c>
      <c r="M275" s="11">
        <f t="shared" si="16"/>
        <v>14</v>
      </c>
      <c r="N275" s="14" t="str">
        <f>IF(AF275&lt;&gt;"",TRIM(UPPER(CONCATENATE(P275," ",R275," ",T275," ",V275," ",X275," ",Z275," ","X"," ",Table43[[#This Row],[ISI/CTN]]," ",AF275," ",AB275," ",AD275," ",AH275))),TRIM(UPPER(CONCATENATE(P275," ",R275," ",T275," ",V275," ",X275," ",Z275," ","X"," ",Table43[[#This Row],[ISI/CTN]]," ",AB275," ",AD275," ",AH275))))</f>
        <v>KNF ESKULIN KIDS SHAMPOO NAT.SOFIA 200ML X 36 BTL</v>
      </c>
      <c r="O275" s="11">
        <f t="shared" si="17"/>
        <v>49</v>
      </c>
      <c r="P275" s="4" t="s">
        <v>97</v>
      </c>
      <c r="Q275" s="7" t="s">
        <v>98</v>
      </c>
      <c r="R275" s="4" t="s">
        <v>3754</v>
      </c>
      <c r="S275" s="44" t="s">
        <v>3568</v>
      </c>
      <c r="T275" s="45" t="s">
        <v>3606</v>
      </c>
      <c r="U275" s="7" t="s">
        <v>3597</v>
      </c>
      <c r="V275" s="45" t="s">
        <v>2961</v>
      </c>
      <c r="W275" s="44" t="s">
        <v>2900</v>
      </c>
      <c r="X275" s="4" t="s">
        <v>3776</v>
      </c>
      <c r="Y275" s="46" t="s">
        <v>3550</v>
      </c>
      <c r="Z275" s="4" t="s">
        <v>3582</v>
      </c>
      <c r="AA275" s="46" t="s">
        <v>2486</v>
      </c>
      <c r="AB275" s="4" t="s">
        <v>357</v>
      </c>
      <c r="AC275" s="7" t="s">
        <v>3562</v>
      </c>
      <c r="AD275" s="4" t="s">
        <v>2961</v>
      </c>
      <c r="AE275" s="7" t="s">
        <v>2900</v>
      </c>
      <c r="AF275" s="7" t="s">
        <v>2961</v>
      </c>
      <c r="AG275" s="7" t="s">
        <v>2961</v>
      </c>
      <c r="AI275" s="7" t="s">
        <v>4100</v>
      </c>
      <c r="AJ275" s="7" t="s">
        <v>2656</v>
      </c>
      <c r="AK275" s="41">
        <f>Table43[[#This Row],[Harga Jual Pcs GT
(-PPN)]]-(Table43[[#This Row],[Harga Jual Pcs GT
(-PPN)]]*10%)</f>
        <v>0</v>
      </c>
      <c r="AL275" s="42">
        <f>Table43[[#This Row],[Harga Beli Pcs
(-PPN)]]*Table43[[#This Row],[ISI/CTN]]</f>
        <v>0</v>
      </c>
      <c r="AM275" s="42">
        <f>Table43[[#This Row],[Harga Beli Pcs
(-PPN)]]*1.11</f>
        <v>0</v>
      </c>
      <c r="AN275" s="42">
        <f>Table43[[#This Row],[Harga Beli Krt
(- PPN)]]*1.11</f>
        <v>0</v>
      </c>
      <c r="AO275" s="42"/>
      <c r="AP275" s="42">
        <f>Table43[[#This Row],[Harga Jual Pcs GT
(-PPN)]]*Table43[[#This Row],[ISI/CTN]]</f>
        <v>0</v>
      </c>
      <c r="AQ275" s="42">
        <f>Table43[[#This Row],[Harga Jual Pcs GT
(-PPN)]]*1.11</f>
        <v>0</v>
      </c>
      <c r="AR275" s="42">
        <f>Table43[[#This Row],[Harga Jual Krt GT
(- PPN)]]*1.11</f>
        <v>0</v>
      </c>
      <c r="AS275" s="42">
        <f>Table43[[#This Row],[Harga Jual Pcs GT
(-PPN)]]</f>
        <v>0</v>
      </c>
      <c r="AT275" s="42">
        <f>(Table43[[#This Row],[Harga Jual Pcs MT
(-PPN)]]*Table43[[#This Row],[ISI/CTN]])</f>
        <v>0</v>
      </c>
      <c r="AU275" s="42">
        <f>Table43[[#This Row],[Harga Jual Pcs MT
(-PPN)]]*1.11</f>
        <v>0</v>
      </c>
      <c r="AV275" s="42">
        <f>Table43[[#This Row],[Harga Jual Pcs MT
(+PPN)]]*Table43[[#This Row],[ISI/CTN]]</f>
        <v>0</v>
      </c>
      <c r="AW275" s="47"/>
      <c r="AX275" s="7"/>
      <c r="AY275" s="7" t="str">
        <f ca="1">IF(TODAY()-Table43[[#This Row],[Efektif
Pembuatan]]&gt;60,"Lama","Baru")</f>
        <v>Lama</v>
      </c>
      <c r="AZ275" s="7" t="str">
        <f ca="1">IF(TODAY()-Table43[[#This Row],[Efektif Naik Harga]]&lt;30,"Naik","Sama")</f>
        <v>Sama</v>
      </c>
      <c r="BA275" s="7" t="str">
        <f>IF(Table43[[#This Row],[Kode BARANG Win2]]&lt;&gt;"","IDR","")</f>
        <v>IDR</v>
      </c>
      <c r="BB275" s="7" t="str">
        <f>CONCATENATE(Table43[[#This Row],[kode  1 Digit
(Nomor)]],Table43[[#This Row],[kode  4 Digit                (Nomor)]])</f>
        <v>10200</v>
      </c>
      <c r="BC275" s="7" t="str">
        <f>Table43[[#This Row],[Nama            Gramasi atau Jumlah Pack per CTN]]</f>
        <v>200ML</v>
      </c>
      <c r="BD275" s="7"/>
      <c r="BE275" s="7"/>
      <c r="BF275" s="4" t="str">
        <f>IF(Table43[[#This Row],[SATUAN Fix Win]]&lt;&gt;"","KRT")</f>
        <v>KRT</v>
      </c>
      <c r="BG275" s="4" t="str">
        <f>IF(Table43[[#This Row],[SATUAN Fix Win]]&lt;&gt;"","GD01")</f>
        <v>GD01</v>
      </c>
      <c r="BH275" s="4">
        <f>IF(Table43[[#This Row],[SATUAN Fix Win]]&lt;&gt;"",11611)</f>
        <v>11611</v>
      </c>
      <c r="BI275" s="4">
        <f>IF(Table43[[#This Row],[SATUAN Fix Win]]&lt;&gt;"",11612)</f>
        <v>11612</v>
      </c>
      <c r="BJ275" s="48"/>
      <c r="BK275" s="4">
        <f>IF(Table43[[#This Row],[SATUAN Fix Win]]&lt;&gt;"",1)</f>
        <v>1</v>
      </c>
    </row>
    <row r="276" spans="1:63">
      <c r="A276" s="4" t="str">
        <f>CONCATENATE(Table43[[#This Row],[Kode BARANG Win2]],Table43[[#This Row],[No. Urut
Item Sama]])</f>
        <v>K11550120100201</v>
      </c>
      <c r="B276" s="7">
        <v>1</v>
      </c>
      <c r="D276" s="28" t="s">
        <v>774</v>
      </c>
      <c r="E276" s="28"/>
      <c r="F276" s="28" t="s">
        <v>3432</v>
      </c>
      <c r="G276" s="78">
        <v>36</v>
      </c>
      <c r="H276" s="43"/>
      <c r="I276" s="28" t="str">
        <f>Table43[[#This Row],[Nama Jenis Kemasan]]</f>
        <v>BTL</v>
      </c>
      <c r="J276" s="4" t="str">
        <f>TRIM(CONCATENATE(Table43[[#This Row],[Nama            KLP]]," ",Table43[[#This Row],[Nama            Sub KLP]]))</f>
        <v>ESKULIN KIDS SHAMPOO</v>
      </c>
      <c r="K276" s="4" t="str">
        <f>CONCATENATE(Table43[[#This Row],[kode  2 Digit                (hrf+No)]],Table43[[#This Row],[kode  2 Digit                (Nomor)]],Table43[[#This Row],[kode  1 Digit                (Nomor)]])</f>
        <v>K1155</v>
      </c>
      <c r="L276" s="4" t="str">
        <f t="shared" si="15"/>
        <v>K1155012010020</v>
      </c>
      <c r="M276" s="11">
        <f t="shared" si="16"/>
        <v>14</v>
      </c>
      <c r="N276" s="14" t="str">
        <f>IF(AF276&lt;&gt;"",TRIM(UPPER(CONCATENATE(P276," ",R276," ",T276," ",V276," ",X276," ",Z276," ","X"," ",Table43[[#This Row],[ISI/CTN]]," ",AF276," ",AB276," ",AD276," ",AH276))),TRIM(UPPER(CONCATENATE(P276," ",R276," ",T276," ",V276," ",X276," ",Z276," ","X"," ",Table43[[#This Row],[ISI/CTN]]," ",AB276," ",AD276," ",AH276))))</f>
        <v>KNF ESKULIN KIDS SHAMPOO R JELLY 100ML X 36 BTL</v>
      </c>
      <c r="O276" s="11">
        <f t="shared" si="17"/>
        <v>47</v>
      </c>
      <c r="P276" s="4" t="s">
        <v>97</v>
      </c>
      <c r="Q276" s="7" t="s">
        <v>98</v>
      </c>
      <c r="R276" s="4" t="s">
        <v>3754</v>
      </c>
      <c r="S276" s="44" t="s">
        <v>3568</v>
      </c>
      <c r="T276" s="45" t="s">
        <v>3606</v>
      </c>
      <c r="U276" s="7" t="s">
        <v>3597</v>
      </c>
      <c r="V276" s="45" t="s">
        <v>2961</v>
      </c>
      <c r="W276" s="44" t="s">
        <v>2900</v>
      </c>
      <c r="X276" s="4" t="s">
        <v>3777</v>
      </c>
      <c r="Y276" s="46" t="s">
        <v>3565</v>
      </c>
      <c r="Z276" s="4" t="s">
        <v>3588</v>
      </c>
      <c r="AA276" s="46" t="s">
        <v>2487</v>
      </c>
      <c r="AB276" s="4" t="s">
        <v>357</v>
      </c>
      <c r="AC276" s="7" t="s">
        <v>3562</v>
      </c>
      <c r="AD276" s="4" t="s">
        <v>2961</v>
      </c>
      <c r="AE276" s="7" t="s">
        <v>2900</v>
      </c>
      <c r="AF276" s="7" t="s">
        <v>2961</v>
      </c>
      <c r="AG276" s="7" t="s">
        <v>2961</v>
      </c>
      <c r="AI276" s="7" t="s">
        <v>4100</v>
      </c>
      <c r="AJ276" s="7" t="s">
        <v>2656</v>
      </c>
      <c r="AK276" s="41">
        <f>Table43[[#This Row],[Harga Jual Pcs GT
(-PPN)]]-(Table43[[#This Row],[Harga Jual Pcs GT
(-PPN)]]*10%)</f>
        <v>0</v>
      </c>
      <c r="AL276" s="42">
        <f>Table43[[#This Row],[Harga Beli Pcs
(-PPN)]]*Table43[[#This Row],[ISI/CTN]]</f>
        <v>0</v>
      </c>
      <c r="AM276" s="42">
        <f>Table43[[#This Row],[Harga Beli Pcs
(-PPN)]]*1.11</f>
        <v>0</v>
      </c>
      <c r="AN276" s="42">
        <f>Table43[[#This Row],[Harga Beli Krt
(- PPN)]]*1.11</f>
        <v>0</v>
      </c>
      <c r="AO276" s="42"/>
      <c r="AP276" s="42">
        <f>Table43[[#This Row],[Harga Jual Pcs GT
(-PPN)]]*Table43[[#This Row],[ISI/CTN]]</f>
        <v>0</v>
      </c>
      <c r="AQ276" s="42">
        <f>Table43[[#This Row],[Harga Jual Pcs GT
(-PPN)]]*1.11</f>
        <v>0</v>
      </c>
      <c r="AR276" s="42">
        <f>Table43[[#This Row],[Harga Jual Krt GT
(- PPN)]]*1.11</f>
        <v>0</v>
      </c>
      <c r="AS276" s="42">
        <f>Table43[[#This Row],[Harga Jual Pcs GT
(-PPN)]]</f>
        <v>0</v>
      </c>
      <c r="AT276" s="42">
        <f>(Table43[[#This Row],[Harga Jual Pcs MT
(-PPN)]]*Table43[[#This Row],[ISI/CTN]])</f>
        <v>0</v>
      </c>
      <c r="AU276" s="42">
        <f>Table43[[#This Row],[Harga Jual Pcs MT
(-PPN)]]*1.11</f>
        <v>0</v>
      </c>
      <c r="AV276" s="42">
        <f>Table43[[#This Row],[Harga Jual Pcs MT
(+PPN)]]*Table43[[#This Row],[ISI/CTN]]</f>
        <v>0</v>
      </c>
      <c r="AW276" s="47"/>
      <c r="AX276" s="7"/>
      <c r="AY276" s="7" t="str">
        <f ca="1">IF(TODAY()-Table43[[#This Row],[Efektif
Pembuatan]]&gt;60,"Lama","Baru")</f>
        <v>Lama</v>
      </c>
      <c r="AZ276" s="7" t="str">
        <f ca="1">IF(TODAY()-Table43[[#This Row],[Efektif Naik Harga]]&lt;30,"Naik","Sama")</f>
        <v>Sama</v>
      </c>
      <c r="BA276" s="7" t="str">
        <f>IF(Table43[[#This Row],[Kode BARANG Win2]]&lt;&gt;"","IDR","")</f>
        <v>IDR</v>
      </c>
      <c r="BB276" s="7" t="str">
        <f>CONCATENATE(Table43[[#This Row],[kode  1 Digit
(Nomor)]],Table43[[#This Row],[kode  4 Digit                (Nomor)]])</f>
        <v>10100</v>
      </c>
      <c r="BC276" s="7" t="str">
        <f>Table43[[#This Row],[Nama            Gramasi atau Jumlah Pack per CTN]]</f>
        <v>100ML</v>
      </c>
      <c r="BD276" s="7"/>
      <c r="BE276" s="7"/>
      <c r="BF276" s="4" t="str">
        <f>IF(Table43[[#This Row],[SATUAN Fix Win]]&lt;&gt;"","KRT")</f>
        <v>KRT</v>
      </c>
      <c r="BG276" s="4" t="str">
        <f>IF(Table43[[#This Row],[SATUAN Fix Win]]&lt;&gt;"","GD01")</f>
        <v>GD01</v>
      </c>
      <c r="BH276" s="4">
        <f>IF(Table43[[#This Row],[SATUAN Fix Win]]&lt;&gt;"",11611)</f>
        <v>11611</v>
      </c>
      <c r="BI276" s="4">
        <f>IF(Table43[[#This Row],[SATUAN Fix Win]]&lt;&gt;"",11612)</f>
        <v>11612</v>
      </c>
      <c r="BJ276" s="48"/>
      <c r="BK276" s="4">
        <f>IF(Table43[[#This Row],[SATUAN Fix Win]]&lt;&gt;"",1)</f>
        <v>1</v>
      </c>
    </row>
    <row r="277" spans="1:63">
      <c r="A277" s="4" t="str">
        <f>CONCATENATE(Table43[[#This Row],[Kode BARANG Win2]],Table43[[#This Row],[No. Urut
Item Sama]])</f>
        <v>K11550120200201</v>
      </c>
      <c r="B277" s="7">
        <v>1</v>
      </c>
      <c r="D277" s="28" t="s">
        <v>775</v>
      </c>
      <c r="E277" s="28"/>
      <c r="F277" s="28" t="s">
        <v>3433</v>
      </c>
      <c r="G277" s="78">
        <v>36</v>
      </c>
      <c r="H277" s="43"/>
      <c r="I277" s="28" t="str">
        <f>Table43[[#This Row],[Nama Jenis Kemasan]]</f>
        <v>BTL</v>
      </c>
      <c r="J277" s="4" t="str">
        <f>TRIM(CONCATENATE(Table43[[#This Row],[Nama            KLP]]," ",Table43[[#This Row],[Nama            Sub KLP]]))</f>
        <v>ESKULIN KIDS SHAMPOO</v>
      </c>
      <c r="K277" s="4" t="str">
        <f>CONCATENATE(Table43[[#This Row],[kode  2 Digit                (hrf+No)]],Table43[[#This Row],[kode  2 Digit                (Nomor)]],Table43[[#This Row],[kode  1 Digit                (Nomor)]])</f>
        <v>K1155</v>
      </c>
      <c r="L277" s="4" t="str">
        <f t="shared" si="15"/>
        <v>K1155012020020</v>
      </c>
      <c r="M277" s="11">
        <f t="shared" si="16"/>
        <v>14</v>
      </c>
      <c r="N277" s="14" t="str">
        <f>IF(AF277&lt;&gt;"",TRIM(UPPER(CONCATENATE(P277," ",R277," ",T277," ",V277," ",X277," ",Z277," ","X"," ",Table43[[#This Row],[ISI/CTN]]," ",AF277," ",AB277," ",AD277," ",AH277))),TRIM(UPPER(CONCATENATE(P277," ",R277," ",T277," ",V277," ",X277," ",Z277," ","X"," ",Table43[[#This Row],[ISI/CTN]]," ",AB277," ",AD277," ",AH277))))</f>
        <v>KNF ESKULIN KIDS SHAMPOO R JELLY 200ML X 36 BTL</v>
      </c>
      <c r="O277" s="11">
        <f t="shared" si="17"/>
        <v>47</v>
      </c>
      <c r="P277" s="4" t="s">
        <v>97</v>
      </c>
      <c r="Q277" s="7" t="s">
        <v>98</v>
      </c>
      <c r="R277" s="4" t="s">
        <v>3754</v>
      </c>
      <c r="S277" s="44" t="s">
        <v>3568</v>
      </c>
      <c r="T277" s="45" t="s">
        <v>3606</v>
      </c>
      <c r="U277" s="7" t="s">
        <v>3597</v>
      </c>
      <c r="V277" s="45" t="s">
        <v>2961</v>
      </c>
      <c r="W277" s="44" t="s">
        <v>2900</v>
      </c>
      <c r="X277" s="4" t="s">
        <v>3777</v>
      </c>
      <c r="Y277" s="46" t="s">
        <v>3565</v>
      </c>
      <c r="Z277" s="4" t="s">
        <v>3582</v>
      </c>
      <c r="AA277" s="46" t="s">
        <v>2486</v>
      </c>
      <c r="AB277" s="4" t="s">
        <v>357</v>
      </c>
      <c r="AC277" s="7" t="s">
        <v>3562</v>
      </c>
      <c r="AD277" s="4" t="s">
        <v>2961</v>
      </c>
      <c r="AE277" s="7" t="s">
        <v>2900</v>
      </c>
      <c r="AF277" s="7" t="s">
        <v>2961</v>
      </c>
      <c r="AG277" s="7" t="s">
        <v>2961</v>
      </c>
      <c r="AI277" s="7" t="s">
        <v>4100</v>
      </c>
      <c r="AJ277" s="7" t="s">
        <v>2656</v>
      </c>
      <c r="AK277" s="41">
        <f>Table43[[#This Row],[Harga Jual Pcs GT
(-PPN)]]-(Table43[[#This Row],[Harga Jual Pcs GT
(-PPN)]]*10%)</f>
        <v>0</v>
      </c>
      <c r="AL277" s="42">
        <f>Table43[[#This Row],[Harga Beli Pcs
(-PPN)]]*Table43[[#This Row],[ISI/CTN]]</f>
        <v>0</v>
      </c>
      <c r="AM277" s="42">
        <f>Table43[[#This Row],[Harga Beli Pcs
(-PPN)]]*1.11</f>
        <v>0</v>
      </c>
      <c r="AN277" s="42">
        <f>Table43[[#This Row],[Harga Beli Krt
(- PPN)]]*1.11</f>
        <v>0</v>
      </c>
      <c r="AO277" s="42"/>
      <c r="AP277" s="42">
        <f>Table43[[#This Row],[Harga Jual Pcs GT
(-PPN)]]*Table43[[#This Row],[ISI/CTN]]</f>
        <v>0</v>
      </c>
      <c r="AQ277" s="42">
        <f>Table43[[#This Row],[Harga Jual Pcs GT
(-PPN)]]*1.11</f>
        <v>0</v>
      </c>
      <c r="AR277" s="42">
        <f>Table43[[#This Row],[Harga Jual Krt GT
(- PPN)]]*1.11</f>
        <v>0</v>
      </c>
      <c r="AS277" s="42">
        <f>Table43[[#This Row],[Harga Jual Pcs GT
(-PPN)]]</f>
        <v>0</v>
      </c>
      <c r="AT277" s="42">
        <f>(Table43[[#This Row],[Harga Jual Pcs MT
(-PPN)]]*Table43[[#This Row],[ISI/CTN]])</f>
        <v>0</v>
      </c>
      <c r="AU277" s="42">
        <f>Table43[[#This Row],[Harga Jual Pcs MT
(-PPN)]]*1.11</f>
        <v>0</v>
      </c>
      <c r="AV277" s="42">
        <f>Table43[[#This Row],[Harga Jual Pcs MT
(+PPN)]]*Table43[[#This Row],[ISI/CTN]]</f>
        <v>0</v>
      </c>
      <c r="AW277" s="47"/>
      <c r="AX277" s="7"/>
      <c r="AY277" s="7" t="str">
        <f ca="1">IF(TODAY()-Table43[[#This Row],[Efektif
Pembuatan]]&gt;60,"Lama","Baru")</f>
        <v>Lama</v>
      </c>
      <c r="AZ277" s="7" t="str">
        <f ca="1">IF(TODAY()-Table43[[#This Row],[Efektif Naik Harga]]&lt;30,"Naik","Sama")</f>
        <v>Sama</v>
      </c>
      <c r="BA277" s="7" t="str">
        <f>IF(Table43[[#This Row],[Kode BARANG Win2]]&lt;&gt;"","IDR","")</f>
        <v>IDR</v>
      </c>
      <c r="BB277" s="7" t="str">
        <f>CONCATENATE(Table43[[#This Row],[kode  1 Digit
(Nomor)]],Table43[[#This Row],[kode  4 Digit                (Nomor)]])</f>
        <v>10200</v>
      </c>
      <c r="BC277" s="7" t="str">
        <f>Table43[[#This Row],[Nama            Gramasi atau Jumlah Pack per CTN]]</f>
        <v>200ML</v>
      </c>
      <c r="BD277" s="7"/>
      <c r="BE277" s="7"/>
      <c r="BF277" s="4" t="str">
        <f>IF(Table43[[#This Row],[SATUAN Fix Win]]&lt;&gt;"","KRT")</f>
        <v>KRT</v>
      </c>
      <c r="BG277" s="4" t="str">
        <f>IF(Table43[[#This Row],[SATUAN Fix Win]]&lt;&gt;"","GD01")</f>
        <v>GD01</v>
      </c>
      <c r="BH277" s="4">
        <f>IF(Table43[[#This Row],[SATUAN Fix Win]]&lt;&gt;"",11611)</f>
        <v>11611</v>
      </c>
      <c r="BI277" s="4">
        <f>IF(Table43[[#This Row],[SATUAN Fix Win]]&lt;&gt;"",11612)</f>
        <v>11612</v>
      </c>
      <c r="BJ277" s="48"/>
      <c r="BK277" s="4">
        <f>IF(Table43[[#This Row],[SATUAN Fix Win]]&lt;&gt;"",1)</f>
        <v>1</v>
      </c>
    </row>
    <row r="278" spans="1:63">
      <c r="A278" s="4" t="str">
        <f>CONCATENATE(Table43[[#This Row],[Kode BARANG Win2]],Table43[[#This Row],[No. Urut
Item Sama]])</f>
        <v>K11550130200201</v>
      </c>
      <c r="B278" s="7">
        <v>1</v>
      </c>
      <c r="D278" s="28" t="s">
        <v>765</v>
      </c>
      <c r="E278" s="28"/>
      <c r="F278" s="28" t="s">
        <v>3434</v>
      </c>
      <c r="G278" s="78">
        <v>36</v>
      </c>
      <c r="H278" s="43"/>
      <c r="I278" s="28" t="str">
        <f>Table43[[#This Row],[Nama Jenis Kemasan]]</f>
        <v>BTL</v>
      </c>
      <c r="J278" s="4" t="str">
        <f>TRIM(CONCATENATE(Table43[[#This Row],[Nama            KLP]]," ",Table43[[#This Row],[Nama            Sub KLP]]))</f>
        <v>ESKULIN KIDS SHAMPOO</v>
      </c>
      <c r="K278" s="4" t="str">
        <f>CONCATENATE(Table43[[#This Row],[kode  2 Digit                (hrf+No)]],Table43[[#This Row],[kode  2 Digit                (Nomor)]],Table43[[#This Row],[kode  1 Digit                (Nomor)]])</f>
        <v>K1155</v>
      </c>
      <c r="L278" s="4" t="str">
        <f t="shared" si="15"/>
        <v>K1155013020020</v>
      </c>
      <c r="M278" s="11">
        <f t="shared" si="16"/>
        <v>14</v>
      </c>
      <c r="N278" s="14" t="str">
        <f>IF(AF278&lt;&gt;"",TRIM(UPPER(CONCATENATE(P278," ",R278," ",T278," ",V278," ",X278," ",Z278," ","X"," ",Table43[[#This Row],[ISI/CTN]]," ",AF278," ",AB278," ",AD278," ",AH278))),TRIM(UPPER(CONCATENATE(P278," ",R278," ",T278," ",V278," ",X278," ",Z278," ","X"," ",Table43[[#This Row],[ISI/CTN]]," ",AB278," ",AD278," ",AH278))))</f>
        <v>KNF ESKULIN KIDS SHAMPOO RAPUNZEL 200ML X 36 BTL</v>
      </c>
      <c r="O278" s="11">
        <f t="shared" si="17"/>
        <v>48</v>
      </c>
      <c r="P278" s="4" t="s">
        <v>97</v>
      </c>
      <c r="Q278" s="7" t="s">
        <v>98</v>
      </c>
      <c r="R278" s="4" t="s">
        <v>3754</v>
      </c>
      <c r="S278" s="44" t="s">
        <v>3568</v>
      </c>
      <c r="T278" s="45" t="s">
        <v>3606</v>
      </c>
      <c r="U278" s="7" t="s">
        <v>3597</v>
      </c>
      <c r="V278" s="45" t="s">
        <v>2961</v>
      </c>
      <c r="W278" s="44" t="s">
        <v>2900</v>
      </c>
      <c r="X278" s="4" t="s">
        <v>3778</v>
      </c>
      <c r="Y278" s="46" t="s">
        <v>3566</v>
      </c>
      <c r="Z278" s="4" t="s">
        <v>3582</v>
      </c>
      <c r="AA278" s="46" t="s">
        <v>2486</v>
      </c>
      <c r="AB278" s="4" t="s">
        <v>357</v>
      </c>
      <c r="AC278" s="7" t="s">
        <v>3562</v>
      </c>
      <c r="AD278" s="4" t="s">
        <v>2961</v>
      </c>
      <c r="AE278" s="7" t="s">
        <v>2900</v>
      </c>
      <c r="AF278" s="7" t="s">
        <v>2961</v>
      </c>
      <c r="AG278" s="7" t="s">
        <v>2961</v>
      </c>
      <c r="AI278" s="7" t="s">
        <v>4100</v>
      </c>
      <c r="AJ278" s="7" t="s">
        <v>2656</v>
      </c>
      <c r="AK278" s="41">
        <f>Table43[[#This Row],[Harga Jual Pcs GT
(-PPN)]]-(Table43[[#This Row],[Harga Jual Pcs GT
(-PPN)]]*10%)</f>
        <v>0</v>
      </c>
      <c r="AL278" s="42">
        <f>Table43[[#This Row],[Harga Beli Pcs
(-PPN)]]*Table43[[#This Row],[ISI/CTN]]</f>
        <v>0</v>
      </c>
      <c r="AM278" s="42">
        <f>Table43[[#This Row],[Harga Beli Pcs
(-PPN)]]*1.11</f>
        <v>0</v>
      </c>
      <c r="AN278" s="42">
        <f>Table43[[#This Row],[Harga Beli Krt
(- PPN)]]*1.11</f>
        <v>0</v>
      </c>
      <c r="AO278" s="42"/>
      <c r="AP278" s="42">
        <f>Table43[[#This Row],[Harga Jual Pcs GT
(-PPN)]]*Table43[[#This Row],[ISI/CTN]]</f>
        <v>0</v>
      </c>
      <c r="AQ278" s="42">
        <f>Table43[[#This Row],[Harga Jual Pcs GT
(-PPN)]]*1.11</f>
        <v>0</v>
      </c>
      <c r="AR278" s="42">
        <f>Table43[[#This Row],[Harga Jual Krt GT
(- PPN)]]*1.11</f>
        <v>0</v>
      </c>
      <c r="AS278" s="42">
        <f>Table43[[#This Row],[Harga Jual Pcs GT
(-PPN)]]</f>
        <v>0</v>
      </c>
      <c r="AT278" s="42">
        <f>(Table43[[#This Row],[Harga Jual Pcs MT
(-PPN)]]*Table43[[#This Row],[ISI/CTN]])</f>
        <v>0</v>
      </c>
      <c r="AU278" s="42">
        <f>Table43[[#This Row],[Harga Jual Pcs MT
(-PPN)]]*1.11</f>
        <v>0</v>
      </c>
      <c r="AV278" s="42">
        <f>Table43[[#This Row],[Harga Jual Pcs MT
(+PPN)]]*Table43[[#This Row],[ISI/CTN]]</f>
        <v>0</v>
      </c>
      <c r="AW278" s="47"/>
      <c r="AX278" s="7"/>
      <c r="AY278" s="7" t="str">
        <f ca="1">IF(TODAY()-Table43[[#This Row],[Efektif
Pembuatan]]&gt;60,"Lama","Baru")</f>
        <v>Lama</v>
      </c>
      <c r="AZ278" s="7" t="str">
        <f ca="1">IF(TODAY()-Table43[[#This Row],[Efektif Naik Harga]]&lt;30,"Naik","Sama")</f>
        <v>Sama</v>
      </c>
      <c r="BA278" s="7" t="str">
        <f>IF(Table43[[#This Row],[Kode BARANG Win2]]&lt;&gt;"","IDR","")</f>
        <v>IDR</v>
      </c>
      <c r="BB278" s="7" t="str">
        <f>CONCATENATE(Table43[[#This Row],[kode  1 Digit
(Nomor)]],Table43[[#This Row],[kode  4 Digit                (Nomor)]])</f>
        <v>10200</v>
      </c>
      <c r="BC278" s="7" t="str">
        <f>Table43[[#This Row],[Nama            Gramasi atau Jumlah Pack per CTN]]</f>
        <v>200ML</v>
      </c>
      <c r="BD278" s="7"/>
      <c r="BE278" s="7"/>
      <c r="BF278" s="4" t="str">
        <f>IF(Table43[[#This Row],[SATUAN Fix Win]]&lt;&gt;"","KRT")</f>
        <v>KRT</v>
      </c>
      <c r="BG278" s="4" t="str">
        <f>IF(Table43[[#This Row],[SATUAN Fix Win]]&lt;&gt;"","GD01")</f>
        <v>GD01</v>
      </c>
      <c r="BH278" s="4">
        <f>IF(Table43[[#This Row],[SATUAN Fix Win]]&lt;&gt;"",11611)</f>
        <v>11611</v>
      </c>
      <c r="BI278" s="4">
        <f>IF(Table43[[#This Row],[SATUAN Fix Win]]&lt;&gt;"",11612)</f>
        <v>11612</v>
      </c>
      <c r="BJ278" s="48"/>
      <c r="BK278" s="4">
        <f>IF(Table43[[#This Row],[SATUAN Fix Win]]&lt;&gt;"",1)</f>
        <v>1</v>
      </c>
    </row>
    <row r="279" spans="1:63">
      <c r="A279" s="4" t="str">
        <f>CONCATENATE(Table43[[#This Row],[Kode BARANG Win2]],Table43[[#This Row],[No. Urut
Item Sama]])</f>
        <v>K11550140100201</v>
      </c>
      <c r="B279" s="7">
        <v>1</v>
      </c>
      <c r="D279" s="28" t="s">
        <v>758</v>
      </c>
      <c r="E279" s="28"/>
      <c r="F279" s="28" t="s">
        <v>3435</v>
      </c>
      <c r="G279" s="78">
        <v>36</v>
      </c>
      <c r="H279" s="43"/>
      <c r="I279" s="28" t="str">
        <f>Table43[[#This Row],[Nama Jenis Kemasan]]</f>
        <v>BTL</v>
      </c>
      <c r="J279" s="4" t="str">
        <f>TRIM(CONCATENATE(Table43[[#This Row],[Nama            KLP]]," ",Table43[[#This Row],[Nama            Sub KLP]]))</f>
        <v>ESKULIN KIDS SHAMPOO</v>
      </c>
      <c r="K279" s="4" t="str">
        <f>CONCATENATE(Table43[[#This Row],[kode  2 Digit                (hrf+No)]],Table43[[#This Row],[kode  2 Digit                (Nomor)]],Table43[[#This Row],[kode  1 Digit                (Nomor)]])</f>
        <v>K1155</v>
      </c>
      <c r="L279" s="4" t="str">
        <f t="shared" si="15"/>
        <v>K1155014010020</v>
      </c>
      <c r="M279" s="11">
        <f t="shared" si="16"/>
        <v>14</v>
      </c>
      <c r="N279" s="14" t="str">
        <f>IF(AF279&lt;&gt;"",TRIM(UPPER(CONCATENATE(P279," ",R279," ",T279," ",V279," ",X279," ",Z279," ","X"," ",Table43[[#This Row],[ISI/CTN]]," ",AF279," ",AB279," ",AD279," ",AH279))),TRIM(UPPER(CONCATENATE(P279," ",R279," ",T279," ",V279," ",X279," ",Z279," ","X"," ",Table43[[#This Row],[ISI/CTN]]," ",AB279," ",AD279," ",AH279))))</f>
        <v>KNF ESKULIN KIDS SHAMPOO S.WHITE 100ML X 36 BTL</v>
      </c>
      <c r="O279" s="11">
        <f t="shared" si="17"/>
        <v>47</v>
      </c>
      <c r="P279" s="4" t="s">
        <v>97</v>
      </c>
      <c r="Q279" s="7" t="s">
        <v>98</v>
      </c>
      <c r="R279" s="4" t="s">
        <v>3754</v>
      </c>
      <c r="S279" s="44" t="s">
        <v>3568</v>
      </c>
      <c r="T279" s="45" t="s">
        <v>3606</v>
      </c>
      <c r="U279" s="7" t="s">
        <v>3597</v>
      </c>
      <c r="V279" s="45" t="s">
        <v>2961</v>
      </c>
      <c r="W279" s="44" t="s">
        <v>2900</v>
      </c>
      <c r="X279" s="4" t="s">
        <v>3779</v>
      </c>
      <c r="Y279" s="46" t="s">
        <v>3567</v>
      </c>
      <c r="Z279" s="4" t="s">
        <v>3588</v>
      </c>
      <c r="AA279" s="46" t="s">
        <v>2487</v>
      </c>
      <c r="AB279" s="4" t="s">
        <v>357</v>
      </c>
      <c r="AC279" s="7" t="s">
        <v>3562</v>
      </c>
      <c r="AD279" s="4" t="s">
        <v>2961</v>
      </c>
      <c r="AE279" s="7" t="s">
        <v>2900</v>
      </c>
      <c r="AF279" s="7" t="s">
        <v>2961</v>
      </c>
      <c r="AG279" s="7" t="s">
        <v>2961</v>
      </c>
      <c r="AI279" s="7" t="s">
        <v>4100</v>
      </c>
      <c r="AJ279" s="7" t="s">
        <v>2656</v>
      </c>
      <c r="AK279" s="41">
        <f>Table43[[#This Row],[Harga Jual Pcs GT
(-PPN)]]-(Table43[[#This Row],[Harga Jual Pcs GT
(-PPN)]]*10%)</f>
        <v>0</v>
      </c>
      <c r="AL279" s="42">
        <f>Table43[[#This Row],[Harga Beli Pcs
(-PPN)]]*Table43[[#This Row],[ISI/CTN]]</f>
        <v>0</v>
      </c>
      <c r="AM279" s="42">
        <f>Table43[[#This Row],[Harga Beli Pcs
(-PPN)]]*1.11</f>
        <v>0</v>
      </c>
      <c r="AN279" s="42">
        <f>Table43[[#This Row],[Harga Beli Krt
(- PPN)]]*1.11</f>
        <v>0</v>
      </c>
      <c r="AO279" s="42"/>
      <c r="AP279" s="42">
        <f>Table43[[#This Row],[Harga Jual Pcs GT
(-PPN)]]*Table43[[#This Row],[ISI/CTN]]</f>
        <v>0</v>
      </c>
      <c r="AQ279" s="42">
        <f>Table43[[#This Row],[Harga Jual Pcs GT
(-PPN)]]*1.11</f>
        <v>0</v>
      </c>
      <c r="AR279" s="42">
        <f>Table43[[#This Row],[Harga Jual Krt GT
(- PPN)]]*1.11</f>
        <v>0</v>
      </c>
      <c r="AS279" s="42">
        <f>Table43[[#This Row],[Harga Jual Pcs GT
(-PPN)]]</f>
        <v>0</v>
      </c>
      <c r="AT279" s="42">
        <f>(Table43[[#This Row],[Harga Jual Pcs MT
(-PPN)]]*Table43[[#This Row],[ISI/CTN]])</f>
        <v>0</v>
      </c>
      <c r="AU279" s="42">
        <f>Table43[[#This Row],[Harga Jual Pcs MT
(-PPN)]]*1.11</f>
        <v>0</v>
      </c>
      <c r="AV279" s="42">
        <f>Table43[[#This Row],[Harga Jual Pcs MT
(+PPN)]]*Table43[[#This Row],[ISI/CTN]]</f>
        <v>0</v>
      </c>
      <c r="AW279" s="47"/>
      <c r="AX279" s="7"/>
      <c r="AY279" s="7" t="str">
        <f ca="1">IF(TODAY()-Table43[[#This Row],[Efektif
Pembuatan]]&gt;60,"Lama","Baru")</f>
        <v>Lama</v>
      </c>
      <c r="AZ279" s="7" t="str">
        <f ca="1">IF(TODAY()-Table43[[#This Row],[Efektif Naik Harga]]&lt;30,"Naik","Sama")</f>
        <v>Sama</v>
      </c>
      <c r="BA279" s="7" t="str">
        <f>IF(Table43[[#This Row],[Kode BARANG Win2]]&lt;&gt;"","IDR","")</f>
        <v>IDR</v>
      </c>
      <c r="BB279" s="7" t="str">
        <f>CONCATENATE(Table43[[#This Row],[kode  1 Digit
(Nomor)]],Table43[[#This Row],[kode  4 Digit                (Nomor)]])</f>
        <v>10100</v>
      </c>
      <c r="BC279" s="7" t="str">
        <f>Table43[[#This Row],[Nama            Gramasi atau Jumlah Pack per CTN]]</f>
        <v>100ML</v>
      </c>
      <c r="BD279" s="7"/>
      <c r="BE279" s="7"/>
      <c r="BF279" s="4" t="str">
        <f>IF(Table43[[#This Row],[SATUAN Fix Win]]&lt;&gt;"","KRT")</f>
        <v>KRT</v>
      </c>
      <c r="BG279" s="4" t="str">
        <f>IF(Table43[[#This Row],[SATUAN Fix Win]]&lt;&gt;"","GD01")</f>
        <v>GD01</v>
      </c>
      <c r="BH279" s="4">
        <f>IF(Table43[[#This Row],[SATUAN Fix Win]]&lt;&gt;"",11611)</f>
        <v>11611</v>
      </c>
      <c r="BI279" s="4">
        <f>IF(Table43[[#This Row],[SATUAN Fix Win]]&lt;&gt;"",11612)</f>
        <v>11612</v>
      </c>
      <c r="BJ279" s="48"/>
      <c r="BK279" s="4">
        <f>IF(Table43[[#This Row],[SATUAN Fix Win]]&lt;&gt;"",1)</f>
        <v>1</v>
      </c>
    </row>
    <row r="280" spans="1:63">
      <c r="A280" s="4" t="str">
        <f>CONCATENATE(Table43[[#This Row],[Kode BARANG Win2]],Table43[[#This Row],[No. Urut
Item Sama]])</f>
        <v>K11550140200201</v>
      </c>
      <c r="B280" s="7">
        <v>1</v>
      </c>
      <c r="D280" s="28" t="s">
        <v>759</v>
      </c>
      <c r="E280" s="28"/>
      <c r="F280" s="28" t="s">
        <v>3436</v>
      </c>
      <c r="G280" s="78">
        <v>36</v>
      </c>
      <c r="H280" s="43"/>
      <c r="I280" s="28" t="str">
        <f>Table43[[#This Row],[Nama Jenis Kemasan]]</f>
        <v>BTL</v>
      </c>
      <c r="J280" s="4" t="str">
        <f>TRIM(CONCATENATE(Table43[[#This Row],[Nama            KLP]]," ",Table43[[#This Row],[Nama            Sub KLP]]))</f>
        <v>ESKULIN KIDS SHAMPOO</v>
      </c>
      <c r="K280" s="4" t="str">
        <f>CONCATENATE(Table43[[#This Row],[kode  2 Digit                (hrf+No)]],Table43[[#This Row],[kode  2 Digit                (Nomor)]],Table43[[#This Row],[kode  1 Digit                (Nomor)]])</f>
        <v>K1155</v>
      </c>
      <c r="L280" s="4" t="str">
        <f t="shared" si="15"/>
        <v>K1155014020020</v>
      </c>
      <c r="M280" s="11">
        <f t="shared" si="16"/>
        <v>14</v>
      </c>
      <c r="N280" s="14" t="str">
        <f>IF(AF280&lt;&gt;"",TRIM(UPPER(CONCATENATE(P280," ",R280," ",T280," ",V280," ",X280," ",Z280," ","X"," ",Table43[[#This Row],[ISI/CTN]]," ",AF280," ",AB280," ",AD280," ",AH280))),TRIM(UPPER(CONCATENATE(P280," ",R280," ",T280," ",V280," ",X280," ",Z280," ","X"," ",Table43[[#This Row],[ISI/CTN]]," ",AB280," ",AD280," ",AH280))))</f>
        <v>KNF ESKULIN KIDS SHAMPOO S.WHITE 200ML X 36 BTL</v>
      </c>
      <c r="O280" s="11">
        <f t="shared" si="17"/>
        <v>47</v>
      </c>
      <c r="P280" s="4" t="s">
        <v>97</v>
      </c>
      <c r="Q280" s="7" t="s">
        <v>98</v>
      </c>
      <c r="R280" s="4" t="s">
        <v>3754</v>
      </c>
      <c r="S280" s="44" t="s">
        <v>3568</v>
      </c>
      <c r="T280" s="45" t="s">
        <v>3606</v>
      </c>
      <c r="U280" s="7" t="s">
        <v>3597</v>
      </c>
      <c r="V280" s="45" t="s">
        <v>2961</v>
      </c>
      <c r="W280" s="44" t="s">
        <v>2900</v>
      </c>
      <c r="X280" s="4" t="s">
        <v>3779</v>
      </c>
      <c r="Y280" s="46" t="s">
        <v>3567</v>
      </c>
      <c r="Z280" s="4" t="s">
        <v>3582</v>
      </c>
      <c r="AA280" s="46" t="s">
        <v>2486</v>
      </c>
      <c r="AB280" s="4" t="s">
        <v>357</v>
      </c>
      <c r="AC280" s="7" t="s">
        <v>3562</v>
      </c>
      <c r="AD280" s="4" t="s">
        <v>2961</v>
      </c>
      <c r="AE280" s="7" t="s">
        <v>2900</v>
      </c>
      <c r="AF280" s="7" t="s">
        <v>2961</v>
      </c>
      <c r="AG280" s="7" t="s">
        <v>2961</v>
      </c>
      <c r="AI280" s="7" t="s">
        <v>4100</v>
      </c>
      <c r="AJ280" s="7" t="s">
        <v>2656</v>
      </c>
      <c r="AK280" s="41">
        <f>Table43[[#This Row],[Harga Jual Pcs GT
(-PPN)]]-(Table43[[#This Row],[Harga Jual Pcs GT
(-PPN)]]*10%)</f>
        <v>0</v>
      </c>
      <c r="AL280" s="42">
        <f>Table43[[#This Row],[Harga Beli Pcs
(-PPN)]]*Table43[[#This Row],[ISI/CTN]]</f>
        <v>0</v>
      </c>
      <c r="AM280" s="42">
        <f>Table43[[#This Row],[Harga Beli Pcs
(-PPN)]]*1.11</f>
        <v>0</v>
      </c>
      <c r="AN280" s="42">
        <f>Table43[[#This Row],[Harga Beli Krt
(- PPN)]]*1.11</f>
        <v>0</v>
      </c>
      <c r="AO280" s="42"/>
      <c r="AP280" s="42">
        <f>Table43[[#This Row],[Harga Jual Pcs GT
(-PPN)]]*Table43[[#This Row],[ISI/CTN]]</f>
        <v>0</v>
      </c>
      <c r="AQ280" s="42">
        <f>Table43[[#This Row],[Harga Jual Pcs GT
(-PPN)]]*1.11</f>
        <v>0</v>
      </c>
      <c r="AR280" s="42">
        <f>Table43[[#This Row],[Harga Jual Krt GT
(- PPN)]]*1.11</f>
        <v>0</v>
      </c>
      <c r="AS280" s="42">
        <f>Table43[[#This Row],[Harga Jual Pcs GT
(-PPN)]]</f>
        <v>0</v>
      </c>
      <c r="AT280" s="42">
        <f>(Table43[[#This Row],[Harga Jual Pcs MT
(-PPN)]]*Table43[[#This Row],[ISI/CTN]])</f>
        <v>0</v>
      </c>
      <c r="AU280" s="42">
        <f>Table43[[#This Row],[Harga Jual Pcs MT
(-PPN)]]*1.11</f>
        <v>0</v>
      </c>
      <c r="AV280" s="42">
        <f>Table43[[#This Row],[Harga Jual Pcs MT
(+PPN)]]*Table43[[#This Row],[ISI/CTN]]</f>
        <v>0</v>
      </c>
      <c r="AW280" s="47"/>
      <c r="AX280" s="7"/>
      <c r="AY280" s="7" t="str">
        <f ca="1">IF(TODAY()-Table43[[#This Row],[Efektif
Pembuatan]]&gt;60,"Lama","Baru")</f>
        <v>Lama</v>
      </c>
      <c r="AZ280" s="7" t="str">
        <f ca="1">IF(TODAY()-Table43[[#This Row],[Efektif Naik Harga]]&lt;30,"Naik","Sama")</f>
        <v>Sama</v>
      </c>
      <c r="BA280" s="7" t="str">
        <f>IF(Table43[[#This Row],[Kode BARANG Win2]]&lt;&gt;"","IDR","")</f>
        <v>IDR</v>
      </c>
      <c r="BB280" s="7" t="str">
        <f>CONCATENATE(Table43[[#This Row],[kode  1 Digit
(Nomor)]],Table43[[#This Row],[kode  4 Digit                (Nomor)]])</f>
        <v>10200</v>
      </c>
      <c r="BC280" s="7" t="str">
        <f>Table43[[#This Row],[Nama            Gramasi atau Jumlah Pack per CTN]]</f>
        <v>200ML</v>
      </c>
      <c r="BD280" s="7"/>
      <c r="BE280" s="7"/>
      <c r="BF280" s="4" t="str">
        <f>IF(Table43[[#This Row],[SATUAN Fix Win]]&lt;&gt;"","KRT")</f>
        <v>KRT</v>
      </c>
      <c r="BG280" s="4" t="str">
        <f>IF(Table43[[#This Row],[SATUAN Fix Win]]&lt;&gt;"","GD01")</f>
        <v>GD01</v>
      </c>
      <c r="BH280" s="4">
        <f>IF(Table43[[#This Row],[SATUAN Fix Win]]&lt;&gt;"",11611)</f>
        <v>11611</v>
      </c>
      <c r="BI280" s="4">
        <f>IF(Table43[[#This Row],[SATUAN Fix Win]]&lt;&gt;"",11612)</f>
        <v>11612</v>
      </c>
      <c r="BJ280" s="48"/>
      <c r="BK280" s="4">
        <f>IF(Table43[[#This Row],[SATUAN Fix Win]]&lt;&gt;"",1)</f>
        <v>1</v>
      </c>
    </row>
    <row r="281" spans="1:63">
      <c r="A281" s="4" t="str">
        <f>CONCATENATE(Table43[[#This Row],[Kode BARANG Win2]],Table43[[#This Row],[No. Urut
Item Sama]])</f>
        <v>K11560010250101</v>
      </c>
      <c r="B281" s="7">
        <v>1</v>
      </c>
      <c r="D281" s="28" t="s">
        <v>712</v>
      </c>
      <c r="E281" s="28"/>
      <c r="F281" s="28" t="s">
        <v>3069</v>
      </c>
      <c r="G281" s="78">
        <v>24</v>
      </c>
      <c r="H281" s="43"/>
      <c r="I281" s="28" t="str">
        <f>Table43[[#This Row],[Nama Jenis Kemasan]]</f>
        <v>BTL</v>
      </c>
      <c r="J281" s="4" t="str">
        <f>TRIM(CONCATENATE(Table43[[#This Row],[Nama            KLP]]," ",Table43[[#This Row],[Nama            Sub KLP]]))</f>
        <v>ESKULIN KIDS SHOWER GEL</v>
      </c>
      <c r="K281" s="4" t="str">
        <f>CONCATENATE(Table43[[#This Row],[kode  2 Digit                (hrf+No)]],Table43[[#This Row],[kode  2 Digit                (Nomor)]],Table43[[#This Row],[kode  1 Digit                (Nomor)]])</f>
        <v>K1156</v>
      </c>
      <c r="L281" s="4" t="str">
        <f t="shared" si="15"/>
        <v>K1156001025010</v>
      </c>
      <c r="M281" s="11">
        <f t="shared" si="16"/>
        <v>14</v>
      </c>
      <c r="N281" s="14" t="str">
        <f>IF(AF281&lt;&gt;"",TRIM(UPPER(CONCATENATE(P281," ",R281," ",T281," ",V281," ",X281," ",Z281," ","X"," ",Table43[[#This Row],[ISI/CTN]]," ",AF281," ",AB281," ",AD281," ",AH281))),TRIM(UPPER(CONCATENATE(P281," ",R281," ",T281," ",V281," ",X281," ",Z281," ","X"," ",Table43[[#This Row],[ISI/CTN]]," ",AB281," ",AD281," ",AH281))))</f>
        <v>KNF ESKULIN KIDS SHOWER GEL BLUE 250ML X 24 BTL</v>
      </c>
      <c r="O281" s="11">
        <f t="shared" si="17"/>
        <v>47</v>
      </c>
      <c r="P281" s="4" t="s">
        <v>97</v>
      </c>
      <c r="Q281" s="7" t="s">
        <v>98</v>
      </c>
      <c r="R281" s="4" t="s">
        <v>3754</v>
      </c>
      <c r="S281" s="44" t="s">
        <v>3568</v>
      </c>
      <c r="T281" s="45" t="s">
        <v>3780</v>
      </c>
      <c r="U281" s="7" t="s">
        <v>3607</v>
      </c>
      <c r="V281" s="45" t="s">
        <v>2961</v>
      </c>
      <c r="W281" s="44" t="s">
        <v>2900</v>
      </c>
      <c r="X281" s="4" t="s">
        <v>3781</v>
      </c>
      <c r="Y281" s="46" t="s">
        <v>0</v>
      </c>
      <c r="Z281" s="4" t="s">
        <v>3580</v>
      </c>
      <c r="AA281" s="46" t="s">
        <v>2484</v>
      </c>
      <c r="AB281" s="4" t="s">
        <v>357</v>
      </c>
      <c r="AC281" s="7" t="s">
        <v>2656</v>
      </c>
      <c r="AD281" s="4" t="s">
        <v>2961</v>
      </c>
      <c r="AE281" s="7" t="s">
        <v>2900</v>
      </c>
      <c r="AF281" s="7" t="s">
        <v>2961</v>
      </c>
      <c r="AG281" s="7" t="s">
        <v>2961</v>
      </c>
      <c r="AI281" s="7" t="s">
        <v>4100</v>
      </c>
      <c r="AJ281" s="7" t="s">
        <v>2656</v>
      </c>
      <c r="AK281" s="41">
        <f>Table43[[#This Row],[Harga Jual Pcs GT
(-PPN)]]-(Table43[[#This Row],[Harga Jual Pcs GT
(-PPN)]]*10%)</f>
        <v>0</v>
      </c>
      <c r="AL281" s="42">
        <f>Table43[[#This Row],[Harga Beli Pcs
(-PPN)]]*Table43[[#This Row],[ISI/CTN]]</f>
        <v>0</v>
      </c>
      <c r="AM281" s="42">
        <f>Table43[[#This Row],[Harga Beli Pcs
(-PPN)]]*1.11</f>
        <v>0</v>
      </c>
      <c r="AN281" s="42">
        <f>Table43[[#This Row],[Harga Beli Krt
(- PPN)]]*1.11</f>
        <v>0</v>
      </c>
      <c r="AO281" s="42"/>
      <c r="AP281" s="42">
        <f>Table43[[#This Row],[Harga Jual Pcs GT
(-PPN)]]*Table43[[#This Row],[ISI/CTN]]</f>
        <v>0</v>
      </c>
      <c r="AQ281" s="42">
        <f>Table43[[#This Row],[Harga Jual Pcs GT
(-PPN)]]*1.11</f>
        <v>0</v>
      </c>
      <c r="AR281" s="42">
        <f>Table43[[#This Row],[Harga Jual Krt GT
(- PPN)]]*1.11</f>
        <v>0</v>
      </c>
      <c r="AS281" s="42">
        <f>Table43[[#This Row],[Harga Jual Pcs GT
(-PPN)]]</f>
        <v>0</v>
      </c>
      <c r="AT281" s="42">
        <f>(Table43[[#This Row],[Harga Jual Pcs MT
(-PPN)]]*Table43[[#This Row],[ISI/CTN]])</f>
        <v>0</v>
      </c>
      <c r="AU281" s="42">
        <f>Table43[[#This Row],[Harga Jual Pcs MT
(-PPN)]]*1.11</f>
        <v>0</v>
      </c>
      <c r="AV281" s="42">
        <f>Table43[[#This Row],[Harga Jual Pcs MT
(+PPN)]]*Table43[[#This Row],[ISI/CTN]]</f>
        <v>0</v>
      </c>
      <c r="AW281" s="47"/>
      <c r="AX281" s="7"/>
      <c r="AY281" s="7" t="str">
        <f ca="1">IF(TODAY()-Table43[[#This Row],[Efektif
Pembuatan]]&gt;60,"Lama","Baru")</f>
        <v>Lama</v>
      </c>
      <c r="AZ281" s="7" t="str">
        <f ca="1">IF(TODAY()-Table43[[#This Row],[Efektif Naik Harga]]&lt;30,"Naik","Sama")</f>
        <v>Sama</v>
      </c>
      <c r="BA281" s="7" t="str">
        <f>IF(Table43[[#This Row],[Kode BARANG Win2]]&lt;&gt;"","IDR","")</f>
        <v>IDR</v>
      </c>
      <c r="BB281" s="7" t="str">
        <f>CONCATENATE(Table43[[#This Row],[kode  1 Digit
(Nomor)]],Table43[[#This Row],[kode  4 Digit                (Nomor)]])</f>
        <v>10250</v>
      </c>
      <c r="BC281" s="7" t="str">
        <f>Table43[[#This Row],[Nama            Gramasi atau Jumlah Pack per CTN]]</f>
        <v>250ML</v>
      </c>
      <c r="BD281" s="7"/>
      <c r="BE281" s="7"/>
      <c r="BF281" s="4" t="str">
        <f>IF(Table43[[#This Row],[SATUAN Fix Win]]&lt;&gt;"","KRT")</f>
        <v>KRT</v>
      </c>
      <c r="BG281" s="4" t="str">
        <f>IF(Table43[[#This Row],[SATUAN Fix Win]]&lt;&gt;"","GD01")</f>
        <v>GD01</v>
      </c>
      <c r="BH281" s="4">
        <f>IF(Table43[[#This Row],[SATUAN Fix Win]]&lt;&gt;"",11611)</f>
        <v>11611</v>
      </c>
      <c r="BI281" s="4">
        <f>IF(Table43[[#This Row],[SATUAN Fix Win]]&lt;&gt;"",11612)</f>
        <v>11612</v>
      </c>
      <c r="BJ281" s="48"/>
      <c r="BK281" s="4">
        <f>IF(Table43[[#This Row],[SATUAN Fix Win]]&lt;&gt;"",1)</f>
        <v>1</v>
      </c>
    </row>
    <row r="282" spans="1:63">
      <c r="A282" s="4" t="str">
        <f>CONCATENATE(Table43[[#This Row],[Kode BARANG Win2]],Table43[[#This Row],[No. Urut
Item Sama]])</f>
        <v>K11560020250101</v>
      </c>
      <c r="B282" s="7">
        <v>1</v>
      </c>
      <c r="D282" s="28" t="s">
        <v>777</v>
      </c>
      <c r="E282" s="28"/>
      <c r="F282" s="28" t="s">
        <v>3070</v>
      </c>
      <c r="G282" s="78">
        <v>36</v>
      </c>
      <c r="H282" s="43"/>
      <c r="I282" s="28" t="str">
        <f>Table43[[#This Row],[Nama Jenis Kemasan]]</f>
        <v>BTL</v>
      </c>
      <c r="J282" s="4" t="str">
        <f>TRIM(CONCATENATE(Table43[[#This Row],[Nama            KLP]]," ",Table43[[#This Row],[Nama            Sub KLP]]))</f>
        <v>ESKULIN KIDS SHOWER GEL</v>
      </c>
      <c r="K282" s="4" t="str">
        <f>CONCATENATE(Table43[[#This Row],[kode  2 Digit                (hrf+No)]],Table43[[#This Row],[kode  2 Digit                (Nomor)]],Table43[[#This Row],[kode  1 Digit                (Nomor)]])</f>
        <v>K1156</v>
      </c>
      <c r="L282" s="4" t="str">
        <f t="shared" si="15"/>
        <v>K1156002025010</v>
      </c>
      <c r="M282" s="11">
        <f t="shared" si="16"/>
        <v>14</v>
      </c>
      <c r="N282" s="14" t="str">
        <f>IF(AF282&lt;&gt;"",TRIM(UPPER(CONCATENATE(P282," ",R282," ",T282," ",V282," ",X282," ",Z282," ","X"," ",Table43[[#This Row],[ISI/CTN]]," ",AF282," ",AB282," ",AD282," ",AH282))),TRIM(UPPER(CONCATENATE(P282," ",R282," ",T282," ",V282," ",X282," ",Z282," ","X"," ",Table43[[#This Row],[ISI/CTN]]," ",AB282," ",AD282," ",AH282))))</f>
        <v>KNF ESKULIN KIDS SHOWER GEL CINDERELA 250ML X 36 BTL</v>
      </c>
      <c r="O282" s="11">
        <f t="shared" si="17"/>
        <v>52</v>
      </c>
      <c r="P282" s="4" t="s">
        <v>97</v>
      </c>
      <c r="Q282" s="7" t="s">
        <v>98</v>
      </c>
      <c r="R282" s="4" t="s">
        <v>3754</v>
      </c>
      <c r="S282" s="44" t="s">
        <v>3568</v>
      </c>
      <c r="T282" s="45" t="s">
        <v>3780</v>
      </c>
      <c r="U282" s="7" t="s">
        <v>3607</v>
      </c>
      <c r="V282" s="45" t="s">
        <v>2961</v>
      </c>
      <c r="W282" s="44" t="s">
        <v>2900</v>
      </c>
      <c r="X282" s="4" t="s">
        <v>3782</v>
      </c>
      <c r="Y282" s="46" t="s">
        <v>2472</v>
      </c>
      <c r="Z282" s="4" t="s">
        <v>3580</v>
      </c>
      <c r="AA282" s="46" t="s">
        <v>2484</v>
      </c>
      <c r="AB282" s="4" t="s">
        <v>357</v>
      </c>
      <c r="AC282" s="7" t="s">
        <v>2656</v>
      </c>
      <c r="AD282" s="4" t="s">
        <v>2961</v>
      </c>
      <c r="AE282" s="7" t="s">
        <v>2900</v>
      </c>
      <c r="AF282" s="7" t="s">
        <v>2961</v>
      </c>
      <c r="AG282" s="7" t="s">
        <v>2961</v>
      </c>
      <c r="AI282" s="7" t="s">
        <v>4100</v>
      </c>
      <c r="AJ282" s="7" t="s">
        <v>2656</v>
      </c>
      <c r="AK282" s="41">
        <f>Table43[[#This Row],[Harga Jual Pcs GT
(-PPN)]]-(Table43[[#This Row],[Harga Jual Pcs GT
(-PPN)]]*10%)</f>
        <v>0</v>
      </c>
      <c r="AL282" s="42">
        <f>Table43[[#This Row],[Harga Beli Pcs
(-PPN)]]*Table43[[#This Row],[ISI/CTN]]</f>
        <v>0</v>
      </c>
      <c r="AM282" s="42">
        <f>Table43[[#This Row],[Harga Beli Pcs
(-PPN)]]*1.11</f>
        <v>0</v>
      </c>
      <c r="AN282" s="42">
        <f>Table43[[#This Row],[Harga Beli Krt
(- PPN)]]*1.11</f>
        <v>0</v>
      </c>
      <c r="AO282" s="42"/>
      <c r="AP282" s="42">
        <f>Table43[[#This Row],[Harga Jual Pcs GT
(-PPN)]]*Table43[[#This Row],[ISI/CTN]]</f>
        <v>0</v>
      </c>
      <c r="AQ282" s="42">
        <f>Table43[[#This Row],[Harga Jual Pcs GT
(-PPN)]]*1.11</f>
        <v>0</v>
      </c>
      <c r="AR282" s="42">
        <f>Table43[[#This Row],[Harga Jual Krt GT
(- PPN)]]*1.11</f>
        <v>0</v>
      </c>
      <c r="AS282" s="42">
        <f>Table43[[#This Row],[Harga Jual Pcs GT
(-PPN)]]</f>
        <v>0</v>
      </c>
      <c r="AT282" s="42">
        <f>(Table43[[#This Row],[Harga Jual Pcs MT
(-PPN)]]*Table43[[#This Row],[ISI/CTN]])</f>
        <v>0</v>
      </c>
      <c r="AU282" s="42">
        <f>Table43[[#This Row],[Harga Jual Pcs MT
(-PPN)]]*1.11</f>
        <v>0</v>
      </c>
      <c r="AV282" s="42">
        <f>Table43[[#This Row],[Harga Jual Pcs MT
(+PPN)]]*Table43[[#This Row],[ISI/CTN]]</f>
        <v>0</v>
      </c>
      <c r="AW282" s="47"/>
      <c r="AX282" s="7"/>
      <c r="AY282" s="7" t="str">
        <f ca="1">IF(TODAY()-Table43[[#This Row],[Efektif
Pembuatan]]&gt;60,"Lama","Baru")</f>
        <v>Lama</v>
      </c>
      <c r="AZ282" s="7" t="str">
        <f ca="1">IF(TODAY()-Table43[[#This Row],[Efektif Naik Harga]]&lt;30,"Naik","Sama")</f>
        <v>Sama</v>
      </c>
      <c r="BA282" s="7" t="str">
        <f>IF(Table43[[#This Row],[Kode BARANG Win2]]&lt;&gt;"","IDR","")</f>
        <v>IDR</v>
      </c>
      <c r="BB282" s="7" t="str">
        <f>CONCATENATE(Table43[[#This Row],[kode  1 Digit
(Nomor)]],Table43[[#This Row],[kode  4 Digit                (Nomor)]])</f>
        <v>10250</v>
      </c>
      <c r="BC282" s="7" t="str">
        <f>Table43[[#This Row],[Nama            Gramasi atau Jumlah Pack per CTN]]</f>
        <v>250ML</v>
      </c>
      <c r="BD282" s="7"/>
      <c r="BE282" s="7"/>
      <c r="BF282" s="4" t="str">
        <f>IF(Table43[[#This Row],[SATUAN Fix Win]]&lt;&gt;"","KRT")</f>
        <v>KRT</v>
      </c>
      <c r="BG282" s="4" t="str">
        <f>IF(Table43[[#This Row],[SATUAN Fix Win]]&lt;&gt;"","GD01")</f>
        <v>GD01</v>
      </c>
      <c r="BH282" s="4">
        <f>IF(Table43[[#This Row],[SATUAN Fix Win]]&lt;&gt;"",11611)</f>
        <v>11611</v>
      </c>
      <c r="BI282" s="4">
        <f>IF(Table43[[#This Row],[SATUAN Fix Win]]&lt;&gt;"",11612)</f>
        <v>11612</v>
      </c>
      <c r="BJ282" s="48"/>
      <c r="BK282" s="4">
        <f>IF(Table43[[#This Row],[SATUAN Fix Win]]&lt;&gt;"",1)</f>
        <v>1</v>
      </c>
    </row>
    <row r="283" spans="1:63">
      <c r="A283" s="4" t="str">
        <f>CONCATENATE(Table43[[#This Row],[Kode BARANG Win2]],Table43[[#This Row],[No. Urut
Item Sama]])</f>
        <v>K11560030250101</v>
      </c>
      <c r="B283" s="7">
        <v>1</v>
      </c>
      <c r="D283" s="28" t="s">
        <v>713</v>
      </c>
      <c r="E283" s="28"/>
      <c r="F283" s="28" t="s">
        <v>3072</v>
      </c>
      <c r="G283" s="78">
        <v>24</v>
      </c>
      <c r="H283" s="43"/>
      <c r="I283" s="28" t="str">
        <f>Table43[[#This Row],[Nama Jenis Kemasan]]</f>
        <v>BTL</v>
      </c>
      <c r="J283" s="4" t="str">
        <f>TRIM(CONCATENATE(Table43[[#This Row],[Nama            KLP]]," ",Table43[[#This Row],[Nama            Sub KLP]]))</f>
        <v>ESKULIN KIDS SHOWER GEL</v>
      </c>
      <c r="K283" s="4" t="str">
        <f>CONCATENATE(Table43[[#This Row],[kode  2 Digit                (hrf+No)]],Table43[[#This Row],[kode  2 Digit                (Nomor)]],Table43[[#This Row],[kode  1 Digit                (Nomor)]])</f>
        <v>K1156</v>
      </c>
      <c r="L283" s="4" t="str">
        <f t="shared" si="15"/>
        <v>K1156003025010</v>
      </c>
      <c r="M283" s="11">
        <f t="shared" si="16"/>
        <v>14</v>
      </c>
      <c r="N283" s="14" t="str">
        <f>IF(AF283&lt;&gt;"",TRIM(UPPER(CONCATENATE(P283," ",R283," ",T283," ",V283," ",X283," ",Z283," ","X"," ",Table43[[#This Row],[ISI/CTN]]," ",AF283," ",AB283," ",AD283," ",AH283))),TRIM(UPPER(CONCATENATE(P283," ",R283," ",T283," ",V283," ",X283," ",Z283," ","X"," ",Table43[[#This Row],[ISI/CTN]]," ",AB283," ",AD283," ",AH283))))</f>
        <v>KNF ESKULIN KIDS SHOWER GEL ORANGE 250ML X 24 BTL</v>
      </c>
      <c r="O283" s="11">
        <f t="shared" si="17"/>
        <v>49</v>
      </c>
      <c r="P283" s="4" t="s">
        <v>97</v>
      </c>
      <c r="Q283" s="7" t="s">
        <v>98</v>
      </c>
      <c r="R283" s="4" t="s">
        <v>3754</v>
      </c>
      <c r="S283" s="44" t="s">
        <v>3568</v>
      </c>
      <c r="T283" s="45" t="s">
        <v>3780</v>
      </c>
      <c r="U283" s="7" t="s">
        <v>3607</v>
      </c>
      <c r="V283" s="45" t="s">
        <v>2961</v>
      </c>
      <c r="W283" s="44" t="s">
        <v>2900</v>
      </c>
      <c r="X283" s="4" t="s">
        <v>3783</v>
      </c>
      <c r="Y283" s="46" t="s">
        <v>2473</v>
      </c>
      <c r="Z283" s="4" t="s">
        <v>3580</v>
      </c>
      <c r="AA283" s="46" t="s">
        <v>2484</v>
      </c>
      <c r="AB283" s="4" t="s">
        <v>357</v>
      </c>
      <c r="AC283" s="7" t="s">
        <v>2656</v>
      </c>
      <c r="AD283" s="4" t="s">
        <v>2961</v>
      </c>
      <c r="AE283" s="7" t="s">
        <v>2900</v>
      </c>
      <c r="AF283" s="7" t="s">
        <v>2961</v>
      </c>
      <c r="AG283" s="7" t="s">
        <v>2961</v>
      </c>
      <c r="AI283" s="7" t="s">
        <v>4100</v>
      </c>
      <c r="AJ283" s="7" t="s">
        <v>2656</v>
      </c>
      <c r="AK283" s="41">
        <f>Table43[[#This Row],[Harga Jual Pcs GT
(-PPN)]]-(Table43[[#This Row],[Harga Jual Pcs GT
(-PPN)]]*10%)</f>
        <v>0</v>
      </c>
      <c r="AL283" s="42">
        <f>Table43[[#This Row],[Harga Beli Pcs
(-PPN)]]*Table43[[#This Row],[ISI/CTN]]</f>
        <v>0</v>
      </c>
      <c r="AM283" s="42">
        <f>Table43[[#This Row],[Harga Beli Pcs
(-PPN)]]*1.11</f>
        <v>0</v>
      </c>
      <c r="AN283" s="42">
        <f>Table43[[#This Row],[Harga Beli Krt
(- PPN)]]*1.11</f>
        <v>0</v>
      </c>
      <c r="AO283" s="42"/>
      <c r="AP283" s="42">
        <f>Table43[[#This Row],[Harga Jual Pcs GT
(-PPN)]]*Table43[[#This Row],[ISI/CTN]]</f>
        <v>0</v>
      </c>
      <c r="AQ283" s="42">
        <f>Table43[[#This Row],[Harga Jual Pcs GT
(-PPN)]]*1.11</f>
        <v>0</v>
      </c>
      <c r="AR283" s="42">
        <f>Table43[[#This Row],[Harga Jual Krt GT
(- PPN)]]*1.11</f>
        <v>0</v>
      </c>
      <c r="AS283" s="42">
        <f>Table43[[#This Row],[Harga Jual Pcs GT
(-PPN)]]</f>
        <v>0</v>
      </c>
      <c r="AT283" s="42">
        <f>(Table43[[#This Row],[Harga Jual Pcs MT
(-PPN)]]*Table43[[#This Row],[ISI/CTN]])</f>
        <v>0</v>
      </c>
      <c r="AU283" s="42">
        <f>Table43[[#This Row],[Harga Jual Pcs MT
(-PPN)]]*1.11</f>
        <v>0</v>
      </c>
      <c r="AV283" s="42">
        <f>Table43[[#This Row],[Harga Jual Pcs MT
(+PPN)]]*Table43[[#This Row],[ISI/CTN]]</f>
        <v>0</v>
      </c>
      <c r="AW283" s="47"/>
      <c r="AX283" s="7"/>
      <c r="AY283" s="7" t="str">
        <f ca="1">IF(TODAY()-Table43[[#This Row],[Efektif
Pembuatan]]&gt;60,"Lama","Baru")</f>
        <v>Lama</v>
      </c>
      <c r="AZ283" s="7" t="str">
        <f ca="1">IF(TODAY()-Table43[[#This Row],[Efektif Naik Harga]]&lt;30,"Naik","Sama")</f>
        <v>Sama</v>
      </c>
      <c r="BA283" s="7" t="str">
        <f>IF(Table43[[#This Row],[Kode BARANG Win2]]&lt;&gt;"","IDR","")</f>
        <v>IDR</v>
      </c>
      <c r="BB283" s="7" t="str">
        <f>CONCATENATE(Table43[[#This Row],[kode  1 Digit
(Nomor)]],Table43[[#This Row],[kode  4 Digit                (Nomor)]])</f>
        <v>10250</v>
      </c>
      <c r="BC283" s="7" t="str">
        <f>Table43[[#This Row],[Nama            Gramasi atau Jumlah Pack per CTN]]</f>
        <v>250ML</v>
      </c>
      <c r="BD283" s="7"/>
      <c r="BE283" s="7"/>
      <c r="BF283" s="4" t="str">
        <f>IF(Table43[[#This Row],[SATUAN Fix Win]]&lt;&gt;"","KRT")</f>
        <v>KRT</v>
      </c>
      <c r="BG283" s="4" t="str">
        <f>IF(Table43[[#This Row],[SATUAN Fix Win]]&lt;&gt;"","GD01")</f>
        <v>GD01</v>
      </c>
      <c r="BH283" s="4">
        <f>IF(Table43[[#This Row],[SATUAN Fix Win]]&lt;&gt;"",11611)</f>
        <v>11611</v>
      </c>
      <c r="BI283" s="4">
        <f>IF(Table43[[#This Row],[SATUAN Fix Win]]&lt;&gt;"",11612)</f>
        <v>11612</v>
      </c>
      <c r="BJ283" s="48"/>
      <c r="BK283" s="4">
        <f>IF(Table43[[#This Row],[SATUAN Fix Win]]&lt;&gt;"",1)</f>
        <v>1</v>
      </c>
    </row>
    <row r="284" spans="1:63">
      <c r="A284" s="4" t="str">
        <f>CONCATENATE(Table43[[#This Row],[Kode BARANG Win2]],Table43[[#This Row],[No. Urut
Item Sama]])</f>
        <v>K11560040250102</v>
      </c>
      <c r="B284" s="7">
        <v>2</v>
      </c>
      <c r="D284" s="28" t="s">
        <v>779</v>
      </c>
      <c r="E284" s="28"/>
      <c r="F284" s="28" t="s">
        <v>3073</v>
      </c>
      <c r="G284" s="78">
        <v>36</v>
      </c>
      <c r="H284" s="43"/>
      <c r="I284" s="28" t="str">
        <f>Table43[[#This Row],[Nama Jenis Kemasan]]</f>
        <v>BTL</v>
      </c>
      <c r="J284" s="4" t="str">
        <f>TRIM(CONCATENATE(Table43[[#This Row],[Nama            KLP]]," ",Table43[[#This Row],[Nama            Sub KLP]]))</f>
        <v>ESKULIN KIDS SHOWER GEL</v>
      </c>
      <c r="K284" s="4" t="str">
        <f>CONCATENATE(Table43[[#This Row],[kode  2 Digit                (hrf+No)]],Table43[[#This Row],[kode  2 Digit                (Nomor)]],Table43[[#This Row],[kode  1 Digit                (Nomor)]])</f>
        <v>K1156</v>
      </c>
      <c r="L284" s="4" t="str">
        <f t="shared" si="15"/>
        <v>K1156004025010</v>
      </c>
      <c r="M284" s="11">
        <f t="shared" si="16"/>
        <v>14</v>
      </c>
      <c r="N284" s="14" t="str">
        <f>IF(AF284&lt;&gt;"",TRIM(UPPER(CONCATENATE(P284," ",R284," ",T284," ",V284," ",X284," ",Z284," ","X"," ",Table43[[#This Row],[ISI/CTN]]," ",AF284," ",AB284," ",AD284," ",AH284))),TRIM(UPPER(CONCATENATE(P284," ",R284," ",T284," ",V284," ",X284," ",Z284," ","X"," ",Table43[[#This Row],[ISI/CTN]]," ",AB284," ",AD284," ",AH284))))</f>
        <v>KNF ESKULIN KIDS SHOWER GEL S.WHITE 250ML X 36 BTL</v>
      </c>
      <c r="O284" s="11">
        <f t="shared" si="17"/>
        <v>50</v>
      </c>
      <c r="P284" s="4" t="s">
        <v>97</v>
      </c>
      <c r="Q284" s="7" t="s">
        <v>98</v>
      </c>
      <c r="R284" s="4" t="s">
        <v>3754</v>
      </c>
      <c r="S284" s="44" t="s">
        <v>3568</v>
      </c>
      <c r="T284" s="45" t="s">
        <v>3780</v>
      </c>
      <c r="U284" s="7" t="s">
        <v>3607</v>
      </c>
      <c r="V284" s="45" t="s">
        <v>2961</v>
      </c>
      <c r="W284" s="44" t="s">
        <v>2900</v>
      </c>
      <c r="X284" s="4" t="s">
        <v>3779</v>
      </c>
      <c r="Y284" s="46" t="s">
        <v>2474</v>
      </c>
      <c r="Z284" s="4" t="s">
        <v>3580</v>
      </c>
      <c r="AA284" s="46" t="s">
        <v>2484</v>
      </c>
      <c r="AB284" s="4" t="s">
        <v>357</v>
      </c>
      <c r="AC284" s="7" t="s">
        <v>2656</v>
      </c>
      <c r="AD284" s="4" t="s">
        <v>2961</v>
      </c>
      <c r="AE284" s="7" t="s">
        <v>2900</v>
      </c>
      <c r="AF284" s="7" t="s">
        <v>2961</v>
      </c>
      <c r="AG284" s="7" t="s">
        <v>2961</v>
      </c>
      <c r="AI284" s="7" t="s">
        <v>4100</v>
      </c>
      <c r="AJ284" s="7" t="s">
        <v>2656</v>
      </c>
      <c r="AK284" s="41">
        <f>Table43[[#This Row],[Harga Jual Pcs GT
(-PPN)]]-(Table43[[#This Row],[Harga Jual Pcs GT
(-PPN)]]*10%)</f>
        <v>0</v>
      </c>
      <c r="AL284" s="42">
        <f>Table43[[#This Row],[Harga Beli Pcs
(-PPN)]]*Table43[[#This Row],[ISI/CTN]]</f>
        <v>0</v>
      </c>
      <c r="AM284" s="42">
        <f>Table43[[#This Row],[Harga Beli Pcs
(-PPN)]]*1.11</f>
        <v>0</v>
      </c>
      <c r="AN284" s="42">
        <f>Table43[[#This Row],[Harga Beli Krt
(- PPN)]]*1.11</f>
        <v>0</v>
      </c>
      <c r="AO284" s="42"/>
      <c r="AP284" s="42">
        <f>Table43[[#This Row],[Harga Jual Pcs GT
(-PPN)]]*Table43[[#This Row],[ISI/CTN]]</f>
        <v>0</v>
      </c>
      <c r="AQ284" s="42">
        <f>Table43[[#This Row],[Harga Jual Pcs GT
(-PPN)]]*1.11</f>
        <v>0</v>
      </c>
      <c r="AR284" s="42">
        <f>Table43[[#This Row],[Harga Jual Krt GT
(- PPN)]]*1.11</f>
        <v>0</v>
      </c>
      <c r="AS284" s="42">
        <f>Table43[[#This Row],[Harga Jual Pcs GT
(-PPN)]]</f>
        <v>0</v>
      </c>
      <c r="AT284" s="42">
        <f>(Table43[[#This Row],[Harga Jual Pcs MT
(-PPN)]]*Table43[[#This Row],[ISI/CTN]])</f>
        <v>0</v>
      </c>
      <c r="AU284" s="42">
        <f>Table43[[#This Row],[Harga Jual Pcs MT
(-PPN)]]*1.11</f>
        <v>0</v>
      </c>
      <c r="AV284" s="42">
        <f>Table43[[#This Row],[Harga Jual Pcs MT
(+PPN)]]*Table43[[#This Row],[ISI/CTN]]</f>
        <v>0</v>
      </c>
      <c r="AW284" s="47"/>
      <c r="AX284" s="7"/>
      <c r="AY284" s="7" t="str">
        <f ca="1">IF(TODAY()-Table43[[#This Row],[Efektif
Pembuatan]]&gt;60,"Lama","Baru")</f>
        <v>Lama</v>
      </c>
      <c r="AZ284" s="7" t="str">
        <f ca="1">IF(TODAY()-Table43[[#This Row],[Efektif Naik Harga]]&lt;30,"Naik","Sama")</f>
        <v>Sama</v>
      </c>
      <c r="BA284" s="7" t="str">
        <f>IF(Table43[[#This Row],[Kode BARANG Win2]]&lt;&gt;"","IDR","")</f>
        <v>IDR</v>
      </c>
      <c r="BB284" s="7" t="str">
        <f>CONCATENATE(Table43[[#This Row],[kode  1 Digit
(Nomor)]],Table43[[#This Row],[kode  4 Digit                (Nomor)]])</f>
        <v>10250</v>
      </c>
      <c r="BC284" s="7" t="str">
        <f>Table43[[#This Row],[Nama            Gramasi atau Jumlah Pack per CTN]]</f>
        <v>250ML</v>
      </c>
      <c r="BD284" s="7"/>
      <c r="BE284" s="7"/>
      <c r="BF284" s="4" t="str">
        <f>IF(Table43[[#This Row],[SATUAN Fix Win]]&lt;&gt;"","KRT")</f>
        <v>KRT</v>
      </c>
      <c r="BG284" s="4" t="str">
        <f>IF(Table43[[#This Row],[SATUAN Fix Win]]&lt;&gt;"","GD01")</f>
        <v>GD01</v>
      </c>
      <c r="BH284" s="4">
        <f>IF(Table43[[#This Row],[SATUAN Fix Win]]&lt;&gt;"",11611)</f>
        <v>11611</v>
      </c>
      <c r="BI284" s="4">
        <f>IF(Table43[[#This Row],[SATUAN Fix Win]]&lt;&gt;"",11612)</f>
        <v>11612</v>
      </c>
      <c r="BJ284" s="48"/>
      <c r="BK284" s="4">
        <f>IF(Table43[[#This Row],[SATUAN Fix Win]]&lt;&gt;"",1)</f>
        <v>1</v>
      </c>
    </row>
    <row r="285" spans="1:63">
      <c r="A285" s="4" t="str">
        <f>CONCATENATE(Table43[[#This Row],[Kode BARANG Win2]],Table43[[#This Row],[No. Urut
Item Sama]])</f>
        <v>K11560050250101</v>
      </c>
      <c r="B285" s="7">
        <v>1</v>
      </c>
      <c r="D285" s="28" t="s">
        <v>714</v>
      </c>
      <c r="E285" s="28"/>
      <c r="F285" s="28" t="s">
        <v>3074</v>
      </c>
      <c r="G285" s="78">
        <v>24</v>
      </c>
      <c r="H285" s="43"/>
      <c r="I285" s="28" t="str">
        <f>Table43[[#This Row],[Nama Jenis Kemasan]]</f>
        <v>BTL</v>
      </c>
      <c r="J285" s="4" t="str">
        <f>TRIM(CONCATENATE(Table43[[#This Row],[Nama            KLP]]," ",Table43[[#This Row],[Nama            Sub KLP]]))</f>
        <v>ESKULIN KIDS SHOWER GEL</v>
      </c>
      <c r="K285" s="4" t="str">
        <f>CONCATENATE(Table43[[#This Row],[kode  2 Digit                (hrf+No)]],Table43[[#This Row],[kode  2 Digit                (Nomor)]],Table43[[#This Row],[kode  1 Digit                (Nomor)]])</f>
        <v>K1156</v>
      </c>
      <c r="L285" s="4" t="str">
        <f t="shared" si="15"/>
        <v>K1156005025010</v>
      </c>
      <c r="M285" s="11">
        <f t="shared" si="16"/>
        <v>14</v>
      </c>
      <c r="N285" s="14" t="str">
        <f>IF(AF285&lt;&gt;"",TRIM(UPPER(CONCATENATE(P285," ",R285," ",T285," ",V285," ",X285," ",Z285," ","X"," ",Table43[[#This Row],[ISI/CTN]]," ",AF285," ",AB285," ",AD285," ",AH285))),TRIM(UPPER(CONCATENATE(P285," ",R285," ",T285," ",V285," ",X285," ",Z285," ","X"," ",Table43[[#This Row],[ISI/CTN]]," ",AB285," ",AD285," ",AH285))))</f>
        <v>KNF ESKULIN KIDS SHOWER GEL PINK 250ML X 24 BTL</v>
      </c>
      <c r="O285" s="11">
        <f t="shared" si="17"/>
        <v>47</v>
      </c>
      <c r="P285" s="4" t="s">
        <v>97</v>
      </c>
      <c r="Q285" s="7" t="s">
        <v>98</v>
      </c>
      <c r="R285" s="4" t="s">
        <v>3754</v>
      </c>
      <c r="S285" s="44" t="s">
        <v>3568</v>
      </c>
      <c r="T285" s="45" t="s">
        <v>3780</v>
      </c>
      <c r="U285" s="7" t="s">
        <v>3607</v>
      </c>
      <c r="V285" s="45" t="s">
        <v>2961</v>
      </c>
      <c r="W285" s="44" t="s">
        <v>2900</v>
      </c>
      <c r="X285" s="4" t="s">
        <v>3784</v>
      </c>
      <c r="Y285" s="46" t="s">
        <v>2475</v>
      </c>
      <c r="Z285" s="4" t="s">
        <v>3580</v>
      </c>
      <c r="AA285" s="46" t="s">
        <v>2484</v>
      </c>
      <c r="AB285" s="4" t="s">
        <v>357</v>
      </c>
      <c r="AC285" s="7" t="s">
        <v>2656</v>
      </c>
      <c r="AD285" s="4" t="s">
        <v>2961</v>
      </c>
      <c r="AE285" s="7" t="s">
        <v>2900</v>
      </c>
      <c r="AF285" s="7" t="s">
        <v>2961</v>
      </c>
      <c r="AG285" s="7" t="s">
        <v>2961</v>
      </c>
      <c r="AI285" s="7" t="s">
        <v>4100</v>
      </c>
      <c r="AJ285" s="7" t="s">
        <v>2656</v>
      </c>
      <c r="AK285" s="41">
        <f>Table43[[#This Row],[Harga Jual Pcs GT
(-PPN)]]-(Table43[[#This Row],[Harga Jual Pcs GT
(-PPN)]]*10%)</f>
        <v>0</v>
      </c>
      <c r="AL285" s="42">
        <f>Table43[[#This Row],[Harga Beli Pcs
(-PPN)]]*Table43[[#This Row],[ISI/CTN]]</f>
        <v>0</v>
      </c>
      <c r="AM285" s="42">
        <f>Table43[[#This Row],[Harga Beli Pcs
(-PPN)]]*1.11</f>
        <v>0</v>
      </c>
      <c r="AN285" s="42">
        <f>Table43[[#This Row],[Harga Beli Krt
(- PPN)]]*1.11</f>
        <v>0</v>
      </c>
      <c r="AO285" s="42"/>
      <c r="AP285" s="42">
        <f>Table43[[#This Row],[Harga Jual Pcs GT
(-PPN)]]*Table43[[#This Row],[ISI/CTN]]</f>
        <v>0</v>
      </c>
      <c r="AQ285" s="42">
        <f>Table43[[#This Row],[Harga Jual Pcs GT
(-PPN)]]*1.11</f>
        <v>0</v>
      </c>
      <c r="AR285" s="42">
        <f>Table43[[#This Row],[Harga Jual Krt GT
(- PPN)]]*1.11</f>
        <v>0</v>
      </c>
      <c r="AS285" s="42">
        <f>Table43[[#This Row],[Harga Jual Pcs GT
(-PPN)]]</f>
        <v>0</v>
      </c>
      <c r="AT285" s="42">
        <f>(Table43[[#This Row],[Harga Jual Pcs MT
(-PPN)]]*Table43[[#This Row],[ISI/CTN]])</f>
        <v>0</v>
      </c>
      <c r="AU285" s="42">
        <f>Table43[[#This Row],[Harga Jual Pcs MT
(-PPN)]]*1.11</f>
        <v>0</v>
      </c>
      <c r="AV285" s="42">
        <f>Table43[[#This Row],[Harga Jual Pcs MT
(+PPN)]]*Table43[[#This Row],[ISI/CTN]]</f>
        <v>0</v>
      </c>
      <c r="AW285" s="47"/>
      <c r="AX285" s="7"/>
      <c r="AY285" s="7" t="str">
        <f ca="1">IF(TODAY()-Table43[[#This Row],[Efektif
Pembuatan]]&gt;60,"Lama","Baru")</f>
        <v>Lama</v>
      </c>
      <c r="AZ285" s="7" t="str">
        <f ca="1">IF(TODAY()-Table43[[#This Row],[Efektif Naik Harga]]&lt;30,"Naik","Sama")</f>
        <v>Sama</v>
      </c>
      <c r="BA285" s="7" t="str">
        <f>IF(Table43[[#This Row],[Kode BARANG Win2]]&lt;&gt;"","IDR","")</f>
        <v>IDR</v>
      </c>
      <c r="BB285" s="7" t="str">
        <f>CONCATENATE(Table43[[#This Row],[kode  1 Digit
(Nomor)]],Table43[[#This Row],[kode  4 Digit                (Nomor)]])</f>
        <v>10250</v>
      </c>
      <c r="BC285" s="7" t="str">
        <f>Table43[[#This Row],[Nama            Gramasi atau Jumlah Pack per CTN]]</f>
        <v>250ML</v>
      </c>
      <c r="BD285" s="7"/>
      <c r="BE285" s="7"/>
      <c r="BF285" s="4" t="str">
        <f>IF(Table43[[#This Row],[SATUAN Fix Win]]&lt;&gt;"","KRT")</f>
        <v>KRT</v>
      </c>
      <c r="BG285" s="4" t="str">
        <f>IF(Table43[[#This Row],[SATUAN Fix Win]]&lt;&gt;"","GD01")</f>
        <v>GD01</v>
      </c>
      <c r="BH285" s="4">
        <f>IF(Table43[[#This Row],[SATUAN Fix Win]]&lt;&gt;"",11611)</f>
        <v>11611</v>
      </c>
      <c r="BI285" s="4">
        <f>IF(Table43[[#This Row],[SATUAN Fix Win]]&lt;&gt;"",11612)</f>
        <v>11612</v>
      </c>
      <c r="BJ285" s="48"/>
      <c r="BK285" s="4">
        <f>IF(Table43[[#This Row],[SATUAN Fix Win]]&lt;&gt;"",1)</f>
        <v>1</v>
      </c>
    </row>
    <row r="286" spans="1:63">
      <c r="A286" s="4" t="str">
        <f>CONCATENATE(Table43[[#This Row],[Kode BARANG Win2]],Table43[[#This Row],[No. Urut
Item Sama]])</f>
        <v>K11560060250102</v>
      </c>
      <c r="B286" s="7">
        <v>2</v>
      </c>
      <c r="D286" s="28" t="s">
        <v>780</v>
      </c>
      <c r="E286" s="28"/>
      <c r="F286" s="28" t="s">
        <v>3075</v>
      </c>
      <c r="G286" s="78">
        <v>36</v>
      </c>
      <c r="H286" s="43"/>
      <c r="I286" s="28" t="str">
        <f>Table43[[#This Row],[Nama Jenis Kemasan]]</f>
        <v>BTL</v>
      </c>
      <c r="J286" s="4" t="str">
        <f>TRIM(CONCATENATE(Table43[[#This Row],[Nama            KLP]]," ",Table43[[#This Row],[Nama            Sub KLP]]))</f>
        <v>ESKULIN KIDS SHOWER GEL</v>
      </c>
      <c r="K286" s="4" t="str">
        <f>CONCATENATE(Table43[[#This Row],[kode  2 Digit                (hrf+No)]],Table43[[#This Row],[kode  2 Digit                (Nomor)]],Table43[[#This Row],[kode  1 Digit                (Nomor)]])</f>
        <v>K1156</v>
      </c>
      <c r="L286" s="4" t="str">
        <f t="shared" si="15"/>
        <v>K1156006025010</v>
      </c>
      <c r="M286" s="11">
        <f t="shared" si="16"/>
        <v>14</v>
      </c>
      <c r="N286" s="14" t="str">
        <f>IF(AF286&lt;&gt;"",TRIM(UPPER(CONCATENATE(P286," ",R286," ",T286," ",V286," ",X286," ",Z286," ","X"," ",Table43[[#This Row],[ISI/CTN]]," ",AF286," ",AB286," ",AD286," ",AH286))),TRIM(UPPER(CONCATENATE(P286," ",R286," ",T286," ",V286," ",X286," ",Z286," ","X"," ",Table43[[#This Row],[ISI/CTN]]," ",AB286," ",AD286," ",AH286))))</f>
        <v>KNF ESKULIN KIDS SHOWER GEL RAPUNZEL 250ML X 36 BTL</v>
      </c>
      <c r="O286" s="11">
        <f t="shared" si="17"/>
        <v>51</v>
      </c>
      <c r="P286" s="4" t="s">
        <v>97</v>
      </c>
      <c r="Q286" s="7" t="s">
        <v>98</v>
      </c>
      <c r="R286" s="4" t="s">
        <v>3754</v>
      </c>
      <c r="S286" s="44" t="s">
        <v>3568</v>
      </c>
      <c r="T286" s="45" t="s">
        <v>3780</v>
      </c>
      <c r="U286" s="7" t="s">
        <v>3607</v>
      </c>
      <c r="V286" s="45" t="s">
        <v>2961</v>
      </c>
      <c r="W286" s="44" t="s">
        <v>2900</v>
      </c>
      <c r="X286" s="4" t="s">
        <v>3778</v>
      </c>
      <c r="Y286" s="46" t="s">
        <v>2476</v>
      </c>
      <c r="Z286" s="4" t="s">
        <v>3580</v>
      </c>
      <c r="AA286" s="46" t="s">
        <v>2484</v>
      </c>
      <c r="AB286" s="4" t="s">
        <v>357</v>
      </c>
      <c r="AC286" s="7" t="s">
        <v>2656</v>
      </c>
      <c r="AD286" s="4" t="s">
        <v>2961</v>
      </c>
      <c r="AE286" s="7" t="s">
        <v>2900</v>
      </c>
      <c r="AF286" s="7" t="s">
        <v>2961</v>
      </c>
      <c r="AG286" s="7" t="s">
        <v>2961</v>
      </c>
      <c r="AI286" s="7" t="s">
        <v>4100</v>
      </c>
      <c r="AJ286" s="7" t="s">
        <v>2656</v>
      </c>
      <c r="AK286" s="41">
        <f>Table43[[#This Row],[Harga Jual Pcs GT
(-PPN)]]-(Table43[[#This Row],[Harga Jual Pcs GT
(-PPN)]]*10%)</f>
        <v>0</v>
      </c>
      <c r="AL286" s="42">
        <f>Table43[[#This Row],[Harga Beli Pcs
(-PPN)]]*Table43[[#This Row],[ISI/CTN]]</f>
        <v>0</v>
      </c>
      <c r="AM286" s="42">
        <f>Table43[[#This Row],[Harga Beli Pcs
(-PPN)]]*1.11</f>
        <v>0</v>
      </c>
      <c r="AN286" s="42">
        <f>Table43[[#This Row],[Harga Beli Krt
(- PPN)]]*1.11</f>
        <v>0</v>
      </c>
      <c r="AO286" s="42"/>
      <c r="AP286" s="42">
        <f>Table43[[#This Row],[Harga Jual Pcs GT
(-PPN)]]*Table43[[#This Row],[ISI/CTN]]</f>
        <v>0</v>
      </c>
      <c r="AQ286" s="42">
        <f>Table43[[#This Row],[Harga Jual Pcs GT
(-PPN)]]*1.11</f>
        <v>0</v>
      </c>
      <c r="AR286" s="42">
        <f>Table43[[#This Row],[Harga Jual Krt GT
(- PPN)]]*1.11</f>
        <v>0</v>
      </c>
      <c r="AS286" s="42">
        <f>Table43[[#This Row],[Harga Jual Pcs GT
(-PPN)]]</f>
        <v>0</v>
      </c>
      <c r="AT286" s="42">
        <f>(Table43[[#This Row],[Harga Jual Pcs MT
(-PPN)]]*Table43[[#This Row],[ISI/CTN]])</f>
        <v>0</v>
      </c>
      <c r="AU286" s="42">
        <f>Table43[[#This Row],[Harga Jual Pcs MT
(-PPN)]]*1.11</f>
        <v>0</v>
      </c>
      <c r="AV286" s="42">
        <f>Table43[[#This Row],[Harga Jual Pcs MT
(+PPN)]]*Table43[[#This Row],[ISI/CTN]]</f>
        <v>0</v>
      </c>
      <c r="AW286" s="47"/>
      <c r="AX286" s="7"/>
      <c r="AY286" s="7" t="str">
        <f ca="1">IF(TODAY()-Table43[[#This Row],[Efektif
Pembuatan]]&gt;60,"Lama","Baru")</f>
        <v>Lama</v>
      </c>
      <c r="AZ286" s="7" t="str">
        <f ca="1">IF(TODAY()-Table43[[#This Row],[Efektif Naik Harga]]&lt;30,"Naik","Sama")</f>
        <v>Sama</v>
      </c>
      <c r="BA286" s="7" t="str">
        <f>IF(Table43[[#This Row],[Kode BARANG Win2]]&lt;&gt;"","IDR","")</f>
        <v>IDR</v>
      </c>
      <c r="BB286" s="7" t="str">
        <f>CONCATENATE(Table43[[#This Row],[kode  1 Digit
(Nomor)]],Table43[[#This Row],[kode  4 Digit                (Nomor)]])</f>
        <v>10250</v>
      </c>
      <c r="BC286" s="7" t="str">
        <f>Table43[[#This Row],[Nama            Gramasi atau Jumlah Pack per CTN]]</f>
        <v>250ML</v>
      </c>
      <c r="BD286" s="7"/>
      <c r="BE286" s="7"/>
      <c r="BF286" s="4" t="str">
        <f>IF(Table43[[#This Row],[SATUAN Fix Win]]&lt;&gt;"","KRT")</f>
        <v>KRT</v>
      </c>
      <c r="BG286" s="4" t="str">
        <f>IF(Table43[[#This Row],[SATUAN Fix Win]]&lt;&gt;"","GD01")</f>
        <v>GD01</v>
      </c>
      <c r="BH286" s="4">
        <f>IF(Table43[[#This Row],[SATUAN Fix Win]]&lt;&gt;"",11611)</f>
        <v>11611</v>
      </c>
      <c r="BI286" s="4">
        <f>IF(Table43[[#This Row],[SATUAN Fix Win]]&lt;&gt;"",11612)</f>
        <v>11612</v>
      </c>
      <c r="BJ286" s="48"/>
      <c r="BK286" s="4">
        <f>IF(Table43[[#This Row],[SATUAN Fix Win]]&lt;&gt;"",1)</f>
        <v>1</v>
      </c>
    </row>
    <row r="287" spans="1:63">
      <c r="A287" s="4" t="str">
        <f>CONCATENATE(Table43[[#This Row],[Kode BARANG Win2]],Table43[[#This Row],[No. Urut
Item Sama]])</f>
        <v>K11560070250101</v>
      </c>
      <c r="B287" s="7">
        <v>1</v>
      </c>
      <c r="D287" s="28" t="s">
        <v>782</v>
      </c>
      <c r="E287" s="28"/>
      <c r="F287" s="28" t="s">
        <v>3077</v>
      </c>
      <c r="G287" s="78">
        <v>36</v>
      </c>
      <c r="H287" s="43"/>
      <c r="I287" s="28" t="str">
        <f>Table43[[#This Row],[Nama Jenis Kemasan]]</f>
        <v>BTL</v>
      </c>
      <c r="J287" s="4" t="str">
        <f>TRIM(CONCATENATE(Table43[[#This Row],[Nama            KLP]]," ",Table43[[#This Row],[Nama            Sub KLP]]))</f>
        <v>ESKULIN KIDS SHOWER GEL</v>
      </c>
      <c r="K287" s="4" t="str">
        <f>CONCATENATE(Table43[[#This Row],[kode  2 Digit                (hrf+No)]],Table43[[#This Row],[kode  2 Digit                (Nomor)]],Table43[[#This Row],[kode  1 Digit                (Nomor)]])</f>
        <v>K1156</v>
      </c>
      <c r="L287" s="4" t="str">
        <f t="shared" si="15"/>
        <v>K1156007025010</v>
      </c>
      <c r="M287" s="11">
        <f t="shared" si="16"/>
        <v>14</v>
      </c>
      <c r="N287" s="14" t="str">
        <f>IF(AF287&lt;&gt;"",TRIM(UPPER(CONCATENATE(P287," ",R287," ",T287," ",V287," ",X287," ",Z287," ","X"," ",Table43[[#This Row],[ISI/CTN]]," ",AF287," ",AB287," ",AD287," ",AH287))),TRIM(UPPER(CONCATENATE(P287," ",R287," ",T287," ",V287," ",X287," ",Z287," ","X"," ",Table43[[#This Row],[ISI/CTN]]," ",AB287," ",AD287," ",AH287))))</f>
        <v>KNF ESKULIN KIDS SHOWER GEL F CHEER 250ML X 36 BTL</v>
      </c>
      <c r="O287" s="11">
        <f t="shared" si="17"/>
        <v>50</v>
      </c>
      <c r="P287" s="4" t="s">
        <v>97</v>
      </c>
      <c r="Q287" s="7" t="s">
        <v>98</v>
      </c>
      <c r="R287" s="4" t="s">
        <v>3754</v>
      </c>
      <c r="S287" s="44" t="s">
        <v>3568</v>
      </c>
      <c r="T287" s="45" t="s">
        <v>3780</v>
      </c>
      <c r="U287" s="7" t="s">
        <v>3607</v>
      </c>
      <c r="V287" s="45" t="s">
        <v>2961</v>
      </c>
      <c r="W287" s="44" t="s">
        <v>2900</v>
      </c>
      <c r="X287" s="4" t="s">
        <v>3785</v>
      </c>
      <c r="Y287" s="46" t="s">
        <v>2477</v>
      </c>
      <c r="Z287" s="4" t="s">
        <v>3580</v>
      </c>
      <c r="AA287" s="46" t="s">
        <v>2484</v>
      </c>
      <c r="AB287" s="4" t="s">
        <v>357</v>
      </c>
      <c r="AC287" s="7" t="s">
        <v>2656</v>
      </c>
      <c r="AD287" s="4" t="s">
        <v>2961</v>
      </c>
      <c r="AE287" s="7" t="s">
        <v>2900</v>
      </c>
      <c r="AF287" s="7" t="s">
        <v>2961</v>
      </c>
      <c r="AG287" s="7" t="s">
        <v>2961</v>
      </c>
      <c r="AI287" s="7" t="s">
        <v>4100</v>
      </c>
      <c r="AJ287" s="7" t="s">
        <v>2656</v>
      </c>
      <c r="AK287" s="41">
        <f>Table43[[#This Row],[Harga Jual Pcs GT
(-PPN)]]-(Table43[[#This Row],[Harga Jual Pcs GT
(-PPN)]]*10%)</f>
        <v>0</v>
      </c>
      <c r="AL287" s="42">
        <f>Table43[[#This Row],[Harga Beli Pcs
(-PPN)]]*Table43[[#This Row],[ISI/CTN]]</f>
        <v>0</v>
      </c>
      <c r="AM287" s="42">
        <f>Table43[[#This Row],[Harga Beli Pcs
(-PPN)]]*1.11</f>
        <v>0</v>
      </c>
      <c r="AN287" s="42">
        <f>Table43[[#This Row],[Harga Beli Krt
(- PPN)]]*1.11</f>
        <v>0</v>
      </c>
      <c r="AO287" s="42"/>
      <c r="AP287" s="42">
        <f>Table43[[#This Row],[Harga Jual Pcs GT
(-PPN)]]*Table43[[#This Row],[ISI/CTN]]</f>
        <v>0</v>
      </c>
      <c r="AQ287" s="42">
        <f>Table43[[#This Row],[Harga Jual Pcs GT
(-PPN)]]*1.11</f>
        <v>0</v>
      </c>
      <c r="AR287" s="42">
        <f>Table43[[#This Row],[Harga Jual Krt GT
(- PPN)]]*1.11</f>
        <v>0</v>
      </c>
      <c r="AS287" s="42">
        <f>Table43[[#This Row],[Harga Jual Pcs GT
(-PPN)]]</f>
        <v>0</v>
      </c>
      <c r="AT287" s="42">
        <f>(Table43[[#This Row],[Harga Jual Pcs MT
(-PPN)]]*Table43[[#This Row],[ISI/CTN]])</f>
        <v>0</v>
      </c>
      <c r="AU287" s="42">
        <f>Table43[[#This Row],[Harga Jual Pcs MT
(-PPN)]]*1.11</f>
        <v>0</v>
      </c>
      <c r="AV287" s="42">
        <f>Table43[[#This Row],[Harga Jual Pcs MT
(+PPN)]]*Table43[[#This Row],[ISI/CTN]]</f>
        <v>0</v>
      </c>
      <c r="AW287" s="47"/>
      <c r="AX287" s="7"/>
      <c r="AY287" s="7" t="str">
        <f ca="1">IF(TODAY()-Table43[[#This Row],[Efektif
Pembuatan]]&gt;60,"Lama","Baru")</f>
        <v>Lama</v>
      </c>
      <c r="AZ287" s="7" t="str">
        <f ca="1">IF(TODAY()-Table43[[#This Row],[Efektif Naik Harga]]&lt;30,"Naik","Sama")</f>
        <v>Sama</v>
      </c>
      <c r="BA287" s="7" t="str">
        <f>IF(Table43[[#This Row],[Kode BARANG Win2]]&lt;&gt;"","IDR","")</f>
        <v>IDR</v>
      </c>
      <c r="BB287" s="7" t="str">
        <f>CONCATENATE(Table43[[#This Row],[kode  1 Digit
(Nomor)]],Table43[[#This Row],[kode  4 Digit                (Nomor)]])</f>
        <v>10250</v>
      </c>
      <c r="BC287" s="7" t="str">
        <f>Table43[[#This Row],[Nama            Gramasi atau Jumlah Pack per CTN]]</f>
        <v>250ML</v>
      </c>
      <c r="BD287" s="7"/>
      <c r="BE287" s="7"/>
      <c r="BF287" s="4" t="str">
        <f>IF(Table43[[#This Row],[SATUAN Fix Win]]&lt;&gt;"","KRT")</f>
        <v>KRT</v>
      </c>
      <c r="BG287" s="4" t="str">
        <f>IF(Table43[[#This Row],[SATUAN Fix Win]]&lt;&gt;"","GD01")</f>
        <v>GD01</v>
      </c>
      <c r="BH287" s="4">
        <f>IF(Table43[[#This Row],[SATUAN Fix Win]]&lt;&gt;"",11611)</f>
        <v>11611</v>
      </c>
      <c r="BI287" s="4">
        <f>IF(Table43[[#This Row],[SATUAN Fix Win]]&lt;&gt;"",11612)</f>
        <v>11612</v>
      </c>
      <c r="BJ287" s="48"/>
      <c r="BK287" s="4">
        <f>IF(Table43[[#This Row],[SATUAN Fix Win]]&lt;&gt;"",1)</f>
        <v>1</v>
      </c>
    </row>
    <row r="288" spans="1:63">
      <c r="A288" s="4" t="str">
        <f>CONCATENATE(Table43[[#This Row],[Kode BARANG Win2]],Table43[[#This Row],[No. Urut
Item Sama]])</f>
        <v>K11560080250101</v>
      </c>
      <c r="B288" s="7">
        <v>1</v>
      </c>
      <c r="D288" s="28" t="s">
        <v>783</v>
      </c>
      <c r="E288" s="28"/>
      <c r="F288" s="28" t="s">
        <v>3446</v>
      </c>
      <c r="G288" s="78">
        <v>36</v>
      </c>
      <c r="H288" s="43"/>
      <c r="I288" s="28" t="str">
        <f>Table43[[#This Row],[Nama Jenis Kemasan]]</f>
        <v>BTL</v>
      </c>
      <c r="J288" s="4" t="str">
        <f>TRIM(CONCATENATE(Table43[[#This Row],[Nama            KLP]]," ",Table43[[#This Row],[Nama            Sub KLP]]))</f>
        <v>ESKULIN KIDS SHOWER GEL</v>
      </c>
      <c r="K288" s="4" t="str">
        <f>CONCATENATE(Table43[[#This Row],[kode  2 Digit                (hrf+No)]],Table43[[#This Row],[kode  2 Digit                (Nomor)]],Table43[[#This Row],[kode  1 Digit                (Nomor)]])</f>
        <v>K1156</v>
      </c>
      <c r="L288" s="4" t="str">
        <f t="shared" si="15"/>
        <v>K1156008025010</v>
      </c>
      <c r="M288" s="11">
        <f t="shared" si="16"/>
        <v>14</v>
      </c>
      <c r="N288" s="14" t="str">
        <f>IF(AF288&lt;&gt;"",TRIM(UPPER(CONCATENATE(P288," ",R288," ",T288," ",V288," ",X288," ",Z288," ","X"," ",Table43[[#This Row],[ISI/CTN]]," ",AF288," ",AB288," ",AD288," ",AH288))),TRIM(UPPER(CONCATENATE(P288," ",R288," ",T288," ",V288," ",X288," ",Z288," ","X"," ",Table43[[#This Row],[ISI/CTN]]," ",AB288," ",AD288," ",AH288))))</f>
        <v>KNF ESKULIN KIDS SHOWER GEL F.FRESH 250ML X 36 BTL</v>
      </c>
      <c r="O288" s="11">
        <f t="shared" si="17"/>
        <v>50</v>
      </c>
      <c r="P288" s="4" t="s">
        <v>97</v>
      </c>
      <c r="Q288" s="7" t="s">
        <v>98</v>
      </c>
      <c r="R288" s="4" t="s">
        <v>3754</v>
      </c>
      <c r="S288" s="44" t="s">
        <v>3568</v>
      </c>
      <c r="T288" s="45" t="s">
        <v>3780</v>
      </c>
      <c r="U288" s="7" t="s">
        <v>3607</v>
      </c>
      <c r="V288" s="45" t="s">
        <v>2961</v>
      </c>
      <c r="W288" s="44" t="s">
        <v>2900</v>
      </c>
      <c r="X288" s="4" t="s">
        <v>3786</v>
      </c>
      <c r="Y288" s="46" t="s">
        <v>2478</v>
      </c>
      <c r="Z288" s="4" t="s">
        <v>3580</v>
      </c>
      <c r="AA288" s="46" t="s">
        <v>2484</v>
      </c>
      <c r="AB288" s="4" t="s">
        <v>357</v>
      </c>
      <c r="AC288" s="7" t="s">
        <v>2656</v>
      </c>
      <c r="AD288" s="4" t="s">
        <v>2961</v>
      </c>
      <c r="AE288" s="7" t="s">
        <v>2900</v>
      </c>
      <c r="AF288" s="7" t="s">
        <v>2961</v>
      </c>
      <c r="AG288" s="7" t="s">
        <v>2961</v>
      </c>
      <c r="AI288" s="7" t="s">
        <v>4100</v>
      </c>
      <c r="AJ288" s="7" t="s">
        <v>2656</v>
      </c>
      <c r="AK288" s="41">
        <f>Table43[[#This Row],[Harga Jual Pcs GT
(-PPN)]]-(Table43[[#This Row],[Harga Jual Pcs GT
(-PPN)]]*10%)</f>
        <v>0</v>
      </c>
      <c r="AL288" s="42">
        <f>Table43[[#This Row],[Harga Beli Pcs
(-PPN)]]*Table43[[#This Row],[ISI/CTN]]</f>
        <v>0</v>
      </c>
      <c r="AM288" s="42">
        <f>Table43[[#This Row],[Harga Beli Pcs
(-PPN)]]*1.11</f>
        <v>0</v>
      </c>
      <c r="AN288" s="42">
        <f>Table43[[#This Row],[Harga Beli Krt
(- PPN)]]*1.11</f>
        <v>0</v>
      </c>
      <c r="AO288" s="42"/>
      <c r="AP288" s="42">
        <f>Table43[[#This Row],[Harga Jual Pcs GT
(-PPN)]]*Table43[[#This Row],[ISI/CTN]]</f>
        <v>0</v>
      </c>
      <c r="AQ288" s="42">
        <f>Table43[[#This Row],[Harga Jual Pcs GT
(-PPN)]]*1.11</f>
        <v>0</v>
      </c>
      <c r="AR288" s="42">
        <f>Table43[[#This Row],[Harga Jual Krt GT
(- PPN)]]*1.11</f>
        <v>0</v>
      </c>
      <c r="AS288" s="42">
        <f>Table43[[#This Row],[Harga Jual Pcs GT
(-PPN)]]</f>
        <v>0</v>
      </c>
      <c r="AT288" s="42">
        <f>(Table43[[#This Row],[Harga Jual Pcs MT
(-PPN)]]*Table43[[#This Row],[ISI/CTN]])</f>
        <v>0</v>
      </c>
      <c r="AU288" s="42">
        <f>Table43[[#This Row],[Harga Jual Pcs MT
(-PPN)]]*1.11</f>
        <v>0</v>
      </c>
      <c r="AV288" s="42">
        <f>Table43[[#This Row],[Harga Jual Pcs MT
(+PPN)]]*Table43[[#This Row],[ISI/CTN]]</f>
        <v>0</v>
      </c>
      <c r="AW288" s="47"/>
      <c r="AX288" s="7"/>
      <c r="AY288" s="7" t="str">
        <f ca="1">IF(TODAY()-Table43[[#This Row],[Efektif
Pembuatan]]&gt;60,"Lama","Baru")</f>
        <v>Lama</v>
      </c>
      <c r="AZ288" s="7" t="str">
        <f ca="1">IF(TODAY()-Table43[[#This Row],[Efektif Naik Harga]]&lt;30,"Naik","Sama")</f>
        <v>Sama</v>
      </c>
      <c r="BA288" s="7" t="str">
        <f>IF(Table43[[#This Row],[Kode BARANG Win2]]&lt;&gt;"","IDR","")</f>
        <v>IDR</v>
      </c>
      <c r="BB288" s="7" t="str">
        <f>CONCATENATE(Table43[[#This Row],[kode  1 Digit
(Nomor)]],Table43[[#This Row],[kode  4 Digit                (Nomor)]])</f>
        <v>10250</v>
      </c>
      <c r="BC288" s="7" t="str">
        <f>Table43[[#This Row],[Nama            Gramasi atau Jumlah Pack per CTN]]</f>
        <v>250ML</v>
      </c>
      <c r="BD288" s="7"/>
      <c r="BE288" s="7"/>
      <c r="BF288" s="4" t="str">
        <f>IF(Table43[[#This Row],[SATUAN Fix Win]]&lt;&gt;"","KRT")</f>
        <v>KRT</v>
      </c>
      <c r="BG288" s="4" t="str">
        <f>IF(Table43[[#This Row],[SATUAN Fix Win]]&lt;&gt;"","GD01")</f>
        <v>GD01</v>
      </c>
      <c r="BH288" s="4">
        <f>IF(Table43[[#This Row],[SATUAN Fix Win]]&lt;&gt;"",11611)</f>
        <v>11611</v>
      </c>
      <c r="BI288" s="4">
        <f>IF(Table43[[#This Row],[SATUAN Fix Win]]&lt;&gt;"",11612)</f>
        <v>11612</v>
      </c>
      <c r="BJ288" s="48"/>
      <c r="BK288" s="4">
        <f>IF(Table43[[#This Row],[SATUAN Fix Win]]&lt;&gt;"",1)</f>
        <v>1</v>
      </c>
    </row>
    <row r="289" spans="1:63">
      <c r="A289" s="4" t="str">
        <f>CONCATENATE(Table43[[#This Row],[Kode BARANG Win2]],Table43[[#This Row],[No. Urut
Item Sama]])</f>
        <v>K11560090250101</v>
      </c>
      <c r="B289" s="7">
        <v>1</v>
      </c>
      <c r="D289" s="28" t="s">
        <v>784</v>
      </c>
      <c r="E289" s="28"/>
      <c r="F289" s="28" t="s">
        <v>3447</v>
      </c>
      <c r="G289" s="78">
        <v>36</v>
      </c>
      <c r="H289" s="43"/>
      <c r="I289" s="28" t="str">
        <f>Table43[[#This Row],[Nama Jenis Kemasan]]</f>
        <v>BTL</v>
      </c>
      <c r="J289" s="4" t="str">
        <f>TRIM(CONCATENATE(Table43[[#This Row],[Nama            KLP]]," ",Table43[[#This Row],[Nama            Sub KLP]]))</f>
        <v>ESKULIN KIDS SHOWER GEL</v>
      </c>
      <c r="K289" s="4" t="str">
        <f>CONCATENATE(Table43[[#This Row],[kode  2 Digit                (hrf+No)]],Table43[[#This Row],[kode  2 Digit                (Nomor)]],Table43[[#This Row],[kode  1 Digit                (Nomor)]])</f>
        <v>K1156</v>
      </c>
      <c r="L289" s="4" t="str">
        <f t="shared" si="15"/>
        <v>K1156009025010</v>
      </c>
      <c r="M289" s="11">
        <f t="shared" si="16"/>
        <v>14</v>
      </c>
      <c r="N289" s="14" t="str">
        <f>IF(AF289&lt;&gt;"",TRIM(UPPER(CONCATENATE(P289," ",R289," ",T289," ",V289," ",X289," ",Z289," ","X"," ",Table43[[#This Row],[ISI/CTN]]," ",AF289," ",AB289," ",AD289," ",AH289))),TRIM(UPPER(CONCATENATE(P289," ",R289," ",T289," ",V289," ",X289," ",Z289," ","X"," ",Table43[[#This Row],[ISI/CTN]]," ",AB289," ",AD289," ",AH289))))</f>
        <v>KNF ESKULIN KIDS SHOWER GEL ELSA 250ML X 36 BTL</v>
      </c>
      <c r="O289" s="11">
        <f t="shared" si="17"/>
        <v>47</v>
      </c>
      <c r="P289" s="4" t="s">
        <v>97</v>
      </c>
      <c r="Q289" s="7" t="s">
        <v>98</v>
      </c>
      <c r="R289" s="4" t="s">
        <v>3754</v>
      </c>
      <c r="S289" s="44" t="s">
        <v>3568</v>
      </c>
      <c r="T289" s="45" t="s">
        <v>3780</v>
      </c>
      <c r="U289" s="7" t="s">
        <v>3607</v>
      </c>
      <c r="V289" s="45" t="s">
        <v>2961</v>
      </c>
      <c r="W289" s="44" t="s">
        <v>2900</v>
      </c>
      <c r="X289" s="4" t="s">
        <v>3774</v>
      </c>
      <c r="Y289" s="46" t="s">
        <v>2479</v>
      </c>
      <c r="Z289" s="4" t="s">
        <v>3580</v>
      </c>
      <c r="AA289" s="46" t="s">
        <v>2484</v>
      </c>
      <c r="AB289" s="4" t="s">
        <v>357</v>
      </c>
      <c r="AC289" s="7" t="s">
        <v>2656</v>
      </c>
      <c r="AD289" s="4" t="s">
        <v>2961</v>
      </c>
      <c r="AE289" s="7" t="s">
        <v>2900</v>
      </c>
      <c r="AF289" s="7" t="s">
        <v>2961</v>
      </c>
      <c r="AG289" s="7" t="s">
        <v>2961</v>
      </c>
      <c r="AI289" s="7" t="s">
        <v>4100</v>
      </c>
      <c r="AJ289" s="7" t="s">
        <v>2656</v>
      </c>
      <c r="AK289" s="41">
        <f>Table43[[#This Row],[Harga Jual Pcs GT
(-PPN)]]-(Table43[[#This Row],[Harga Jual Pcs GT
(-PPN)]]*10%)</f>
        <v>0</v>
      </c>
      <c r="AL289" s="42">
        <f>Table43[[#This Row],[Harga Beli Pcs
(-PPN)]]*Table43[[#This Row],[ISI/CTN]]</f>
        <v>0</v>
      </c>
      <c r="AM289" s="42">
        <f>Table43[[#This Row],[Harga Beli Pcs
(-PPN)]]*1.11</f>
        <v>0</v>
      </c>
      <c r="AN289" s="42">
        <f>Table43[[#This Row],[Harga Beli Krt
(- PPN)]]*1.11</f>
        <v>0</v>
      </c>
      <c r="AO289" s="42"/>
      <c r="AP289" s="42">
        <f>Table43[[#This Row],[Harga Jual Pcs GT
(-PPN)]]*Table43[[#This Row],[ISI/CTN]]</f>
        <v>0</v>
      </c>
      <c r="AQ289" s="42">
        <f>Table43[[#This Row],[Harga Jual Pcs GT
(-PPN)]]*1.11</f>
        <v>0</v>
      </c>
      <c r="AR289" s="42">
        <f>Table43[[#This Row],[Harga Jual Krt GT
(- PPN)]]*1.11</f>
        <v>0</v>
      </c>
      <c r="AS289" s="42">
        <f>Table43[[#This Row],[Harga Jual Pcs GT
(-PPN)]]</f>
        <v>0</v>
      </c>
      <c r="AT289" s="42">
        <f>(Table43[[#This Row],[Harga Jual Pcs MT
(-PPN)]]*Table43[[#This Row],[ISI/CTN]])</f>
        <v>0</v>
      </c>
      <c r="AU289" s="42">
        <f>Table43[[#This Row],[Harga Jual Pcs MT
(-PPN)]]*1.11</f>
        <v>0</v>
      </c>
      <c r="AV289" s="42">
        <f>Table43[[#This Row],[Harga Jual Pcs MT
(+PPN)]]*Table43[[#This Row],[ISI/CTN]]</f>
        <v>0</v>
      </c>
      <c r="AW289" s="47"/>
      <c r="AX289" s="7"/>
      <c r="AY289" s="7" t="str">
        <f ca="1">IF(TODAY()-Table43[[#This Row],[Efektif
Pembuatan]]&gt;60,"Lama","Baru")</f>
        <v>Lama</v>
      </c>
      <c r="AZ289" s="7" t="str">
        <f ca="1">IF(TODAY()-Table43[[#This Row],[Efektif Naik Harga]]&lt;30,"Naik","Sama")</f>
        <v>Sama</v>
      </c>
      <c r="BA289" s="7" t="str">
        <f>IF(Table43[[#This Row],[Kode BARANG Win2]]&lt;&gt;"","IDR","")</f>
        <v>IDR</v>
      </c>
      <c r="BB289" s="7" t="str">
        <f>CONCATENATE(Table43[[#This Row],[kode  1 Digit
(Nomor)]],Table43[[#This Row],[kode  4 Digit                (Nomor)]])</f>
        <v>10250</v>
      </c>
      <c r="BC289" s="7" t="str">
        <f>Table43[[#This Row],[Nama            Gramasi atau Jumlah Pack per CTN]]</f>
        <v>250ML</v>
      </c>
      <c r="BD289" s="7"/>
      <c r="BE289" s="7"/>
      <c r="BF289" s="4" t="str">
        <f>IF(Table43[[#This Row],[SATUAN Fix Win]]&lt;&gt;"","KRT")</f>
        <v>KRT</v>
      </c>
      <c r="BG289" s="4" t="str">
        <f>IF(Table43[[#This Row],[SATUAN Fix Win]]&lt;&gt;"","GD01")</f>
        <v>GD01</v>
      </c>
      <c r="BH289" s="4">
        <f>IF(Table43[[#This Row],[SATUAN Fix Win]]&lt;&gt;"",11611)</f>
        <v>11611</v>
      </c>
      <c r="BI289" s="4">
        <f>IF(Table43[[#This Row],[SATUAN Fix Win]]&lt;&gt;"",11612)</f>
        <v>11612</v>
      </c>
      <c r="BJ289" s="48"/>
      <c r="BK289" s="4">
        <f>IF(Table43[[#This Row],[SATUAN Fix Win]]&lt;&gt;"",1)</f>
        <v>1</v>
      </c>
    </row>
    <row r="290" spans="1:63">
      <c r="A290" s="4" t="str">
        <f>CONCATENATE(Table43[[#This Row],[Kode BARANG Win2]],Table43[[#This Row],[No. Urut
Item Sama]])</f>
        <v>K11560100250101</v>
      </c>
      <c r="B290" s="7">
        <v>1</v>
      </c>
      <c r="D290" s="28" t="s">
        <v>785</v>
      </c>
      <c r="E290" s="28"/>
      <c r="F290" s="28" t="s">
        <v>3448</v>
      </c>
      <c r="G290" s="78">
        <v>36</v>
      </c>
      <c r="H290" s="43"/>
      <c r="I290" s="28" t="str">
        <f>Table43[[#This Row],[Nama Jenis Kemasan]]</f>
        <v>BTL</v>
      </c>
      <c r="J290" s="4" t="str">
        <f>TRIM(CONCATENATE(Table43[[#This Row],[Nama            KLP]]," ",Table43[[#This Row],[Nama            Sub KLP]]))</f>
        <v>ESKULIN KIDS SHOWER GEL</v>
      </c>
      <c r="K290" s="4" t="str">
        <f>CONCATENATE(Table43[[#This Row],[kode  2 Digit                (hrf+No)]],Table43[[#This Row],[kode  2 Digit                (Nomor)]],Table43[[#This Row],[kode  1 Digit                (Nomor)]])</f>
        <v>K1156</v>
      </c>
      <c r="L290" s="4" t="str">
        <f t="shared" si="15"/>
        <v>K1156010025010</v>
      </c>
      <c r="M290" s="11">
        <f t="shared" si="16"/>
        <v>14</v>
      </c>
      <c r="N290" s="14" t="str">
        <f>IF(AF290&lt;&gt;"",TRIM(UPPER(CONCATENATE(P290," ",R290," ",T290," ",V290," ",X290," ",Z290," ","X"," ",Table43[[#This Row],[ISI/CTN]]," ",AF290," ",AB290," ",AD290," ",AH290))),TRIM(UPPER(CONCATENATE(P290," ",R290," ",T290," ",V290," ",X290," ",Z290," ","X"," ",Table43[[#This Row],[ISI/CTN]]," ",AB290," ",AD290," ",AH290))))</f>
        <v>KNF ESKULIN KIDS SHOWER GEL PROTECT 250ML X 36 BTL</v>
      </c>
      <c r="O290" s="11">
        <f t="shared" si="17"/>
        <v>50</v>
      </c>
      <c r="P290" s="4" t="s">
        <v>97</v>
      </c>
      <c r="Q290" s="7" t="s">
        <v>98</v>
      </c>
      <c r="R290" s="4" t="s">
        <v>3754</v>
      </c>
      <c r="S290" s="44" t="s">
        <v>3568</v>
      </c>
      <c r="T290" s="45" t="s">
        <v>3780</v>
      </c>
      <c r="U290" s="7" t="s">
        <v>3607</v>
      </c>
      <c r="V290" s="45" t="s">
        <v>2961</v>
      </c>
      <c r="W290" s="44" t="s">
        <v>2900</v>
      </c>
      <c r="X290" s="4" t="s">
        <v>3787</v>
      </c>
      <c r="Y290" s="46" t="s">
        <v>3564</v>
      </c>
      <c r="Z290" s="4" t="s">
        <v>3580</v>
      </c>
      <c r="AA290" s="46" t="s">
        <v>2484</v>
      </c>
      <c r="AB290" s="4" t="s">
        <v>357</v>
      </c>
      <c r="AC290" s="7" t="s">
        <v>2656</v>
      </c>
      <c r="AD290" s="4" t="s">
        <v>2961</v>
      </c>
      <c r="AE290" s="7" t="s">
        <v>2900</v>
      </c>
      <c r="AF290" s="7" t="s">
        <v>2961</v>
      </c>
      <c r="AG290" s="7" t="s">
        <v>2961</v>
      </c>
      <c r="AI290" s="7" t="s">
        <v>4100</v>
      </c>
      <c r="AJ290" s="7" t="s">
        <v>2656</v>
      </c>
      <c r="AK290" s="41">
        <f>Table43[[#This Row],[Harga Jual Pcs GT
(-PPN)]]-(Table43[[#This Row],[Harga Jual Pcs GT
(-PPN)]]*10%)</f>
        <v>0</v>
      </c>
      <c r="AL290" s="42">
        <f>Table43[[#This Row],[Harga Beli Pcs
(-PPN)]]*Table43[[#This Row],[ISI/CTN]]</f>
        <v>0</v>
      </c>
      <c r="AM290" s="42">
        <f>Table43[[#This Row],[Harga Beli Pcs
(-PPN)]]*1.11</f>
        <v>0</v>
      </c>
      <c r="AN290" s="42">
        <f>Table43[[#This Row],[Harga Beli Krt
(- PPN)]]*1.11</f>
        <v>0</v>
      </c>
      <c r="AO290" s="42"/>
      <c r="AP290" s="42">
        <f>Table43[[#This Row],[Harga Jual Pcs GT
(-PPN)]]*Table43[[#This Row],[ISI/CTN]]</f>
        <v>0</v>
      </c>
      <c r="AQ290" s="42">
        <f>Table43[[#This Row],[Harga Jual Pcs GT
(-PPN)]]*1.11</f>
        <v>0</v>
      </c>
      <c r="AR290" s="42">
        <f>Table43[[#This Row],[Harga Jual Krt GT
(- PPN)]]*1.11</f>
        <v>0</v>
      </c>
      <c r="AS290" s="42">
        <f>Table43[[#This Row],[Harga Jual Pcs GT
(-PPN)]]</f>
        <v>0</v>
      </c>
      <c r="AT290" s="42">
        <f>(Table43[[#This Row],[Harga Jual Pcs MT
(-PPN)]]*Table43[[#This Row],[ISI/CTN]])</f>
        <v>0</v>
      </c>
      <c r="AU290" s="42">
        <f>Table43[[#This Row],[Harga Jual Pcs MT
(-PPN)]]*1.11</f>
        <v>0</v>
      </c>
      <c r="AV290" s="42">
        <f>Table43[[#This Row],[Harga Jual Pcs MT
(+PPN)]]*Table43[[#This Row],[ISI/CTN]]</f>
        <v>0</v>
      </c>
      <c r="AW290" s="47"/>
      <c r="AX290" s="7"/>
      <c r="AY290" s="7" t="str">
        <f ca="1">IF(TODAY()-Table43[[#This Row],[Efektif
Pembuatan]]&gt;60,"Lama","Baru")</f>
        <v>Lama</v>
      </c>
      <c r="AZ290" s="7" t="str">
        <f ca="1">IF(TODAY()-Table43[[#This Row],[Efektif Naik Harga]]&lt;30,"Naik","Sama")</f>
        <v>Sama</v>
      </c>
      <c r="BA290" s="7" t="str">
        <f>IF(Table43[[#This Row],[Kode BARANG Win2]]&lt;&gt;"","IDR","")</f>
        <v>IDR</v>
      </c>
      <c r="BB290" s="7" t="str">
        <f>CONCATENATE(Table43[[#This Row],[kode  1 Digit
(Nomor)]],Table43[[#This Row],[kode  4 Digit                (Nomor)]])</f>
        <v>10250</v>
      </c>
      <c r="BC290" s="7" t="str">
        <f>Table43[[#This Row],[Nama            Gramasi atau Jumlah Pack per CTN]]</f>
        <v>250ML</v>
      </c>
      <c r="BD290" s="7"/>
      <c r="BE290" s="7"/>
      <c r="BF290" s="4" t="str">
        <f>IF(Table43[[#This Row],[SATUAN Fix Win]]&lt;&gt;"","KRT")</f>
        <v>KRT</v>
      </c>
      <c r="BG290" s="4" t="str">
        <f>IF(Table43[[#This Row],[SATUAN Fix Win]]&lt;&gt;"","GD01")</f>
        <v>GD01</v>
      </c>
      <c r="BH290" s="4">
        <f>IF(Table43[[#This Row],[SATUAN Fix Win]]&lt;&gt;"",11611)</f>
        <v>11611</v>
      </c>
      <c r="BI290" s="4">
        <f>IF(Table43[[#This Row],[SATUAN Fix Win]]&lt;&gt;"",11612)</f>
        <v>11612</v>
      </c>
      <c r="BJ290" s="48"/>
      <c r="BK290" s="4">
        <f>IF(Table43[[#This Row],[SATUAN Fix Win]]&lt;&gt;"",1)</f>
        <v>1</v>
      </c>
    </row>
    <row r="291" spans="1:63">
      <c r="A291" s="4" t="str">
        <f>CONCATENATE(Table43[[#This Row],[Kode BARANG Win2]],Table43[[#This Row],[No. Urut
Item Sama]])</f>
        <v>K11570010060101</v>
      </c>
      <c r="B291" s="7">
        <v>1</v>
      </c>
      <c r="D291" s="28" t="s">
        <v>744</v>
      </c>
      <c r="E291" s="28"/>
      <c r="F291" s="28" t="s">
        <v>3078</v>
      </c>
      <c r="G291" s="78">
        <v>36</v>
      </c>
      <c r="H291" s="43"/>
      <c r="I291" s="28" t="str">
        <f>Table43[[#This Row],[Nama Jenis Kemasan]]</f>
        <v>BTL</v>
      </c>
      <c r="J291" s="4" t="str">
        <f>TRIM(CONCATENATE(Table43[[#This Row],[Nama            KLP]]," ",Table43[[#This Row],[Nama            Sub KLP]]))</f>
        <v>ESKULIN KIDS SPLASH</v>
      </c>
      <c r="K291" s="4" t="str">
        <f>CONCATENATE(Table43[[#This Row],[kode  2 Digit                (hrf+No)]],Table43[[#This Row],[kode  2 Digit                (Nomor)]],Table43[[#This Row],[kode  1 Digit                (Nomor)]])</f>
        <v>K1157</v>
      </c>
      <c r="L291" s="4" t="str">
        <f t="shared" si="15"/>
        <v>K1157001006010</v>
      </c>
      <c r="M291" s="11">
        <f t="shared" si="16"/>
        <v>14</v>
      </c>
      <c r="N291" s="14" t="str">
        <f>IF(AF291&lt;&gt;"",TRIM(UPPER(CONCATENATE(P291," ",R291," ",T291," ",V291," ",X291," ",Z291," ","X"," ",Table43[[#This Row],[ISI/CTN]]," ",AF291," ",AB291," ",AD291," ",AH291))),TRIM(UPPER(CONCATENATE(P291," ",R291," ",T291," ",V291," ",X291," ",Z291," ","X"," ",Table43[[#This Row],[ISI/CTN]]," ",AB291," ",AD291," ",AH291))))</f>
        <v>KNF ESKULIN KIDS SPLASH ANNA 60ML X 36 BTL</v>
      </c>
      <c r="O291" s="11">
        <f t="shared" si="17"/>
        <v>42</v>
      </c>
      <c r="P291" s="4" t="s">
        <v>97</v>
      </c>
      <c r="Q291" s="7" t="s">
        <v>98</v>
      </c>
      <c r="R291" s="4" t="s">
        <v>3754</v>
      </c>
      <c r="S291" s="44" t="s">
        <v>3568</v>
      </c>
      <c r="T291" s="45" t="s">
        <v>3788</v>
      </c>
      <c r="U291" s="7" t="s">
        <v>3619</v>
      </c>
      <c r="V291" s="45" t="s">
        <v>2961</v>
      </c>
      <c r="W291" s="44" t="s">
        <v>2900</v>
      </c>
      <c r="X291" s="4" t="s">
        <v>3769</v>
      </c>
      <c r="Y291" s="46" t="s">
        <v>0</v>
      </c>
      <c r="Z291" s="4" t="s">
        <v>1026</v>
      </c>
      <c r="AA291" s="46" t="s">
        <v>2481</v>
      </c>
      <c r="AB291" s="4" t="s">
        <v>357</v>
      </c>
      <c r="AC291" s="7" t="s">
        <v>2656</v>
      </c>
      <c r="AD291" s="4" t="s">
        <v>2961</v>
      </c>
      <c r="AE291" s="7" t="s">
        <v>2900</v>
      </c>
      <c r="AF291" s="7" t="s">
        <v>2961</v>
      </c>
      <c r="AG291" s="7" t="s">
        <v>2961</v>
      </c>
      <c r="AI291" s="7" t="s">
        <v>4100</v>
      </c>
      <c r="AJ291" s="7" t="s">
        <v>2656</v>
      </c>
      <c r="AK291" s="41">
        <f>Table43[[#This Row],[Harga Jual Pcs GT
(-PPN)]]-(Table43[[#This Row],[Harga Jual Pcs GT
(-PPN)]]*10%)</f>
        <v>0</v>
      </c>
      <c r="AL291" s="42">
        <f>Table43[[#This Row],[Harga Beli Pcs
(-PPN)]]*Table43[[#This Row],[ISI/CTN]]</f>
        <v>0</v>
      </c>
      <c r="AM291" s="42">
        <f>Table43[[#This Row],[Harga Beli Pcs
(-PPN)]]*1.11</f>
        <v>0</v>
      </c>
      <c r="AN291" s="42">
        <f>Table43[[#This Row],[Harga Beli Krt
(- PPN)]]*1.11</f>
        <v>0</v>
      </c>
      <c r="AO291" s="42"/>
      <c r="AP291" s="42">
        <f>Table43[[#This Row],[Harga Jual Pcs GT
(-PPN)]]*Table43[[#This Row],[ISI/CTN]]</f>
        <v>0</v>
      </c>
      <c r="AQ291" s="42">
        <f>Table43[[#This Row],[Harga Jual Pcs GT
(-PPN)]]*1.11</f>
        <v>0</v>
      </c>
      <c r="AR291" s="42">
        <f>Table43[[#This Row],[Harga Jual Krt GT
(- PPN)]]*1.11</f>
        <v>0</v>
      </c>
      <c r="AS291" s="42">
        <f>Table43[[#This Row],[Harga Jual Pcs GT
(-PPN)]]</f>
        <v>0</v>
      </c>
      <c r="AT291" s="42">
        <f>(Table43[[#This Row],[Harga Jual Pcs MT
(-PPN)]]*Table43[[#This Row],[ISI/CTN]])</f>
        <v>0</v>
      </c>
      <c r="AU291" s="42">
        <f>Table43[[#This Row],[Harga Jual Pcs MT
(-PPN)]]*1.11</f>
        <v>0</v>
      </c>
      <c r="AV291" s="42">
        <f>Table43[[#This Row],[Harga Jual Pcs MT
(+PPN)]]*Table43[[#This Row],[ISI/CTN]]</f>
        <v>0</v>
      </c>
      <c r="AW291" s="47"/>
      <c r="AX291" s="7"/>
      <c r="AY291" s="7" t="str">
        <f ca="1">IF(TODAY()-Table43[[#This Row],[Efektif
Pembuatan]]&gt;60,"Lama","Baru")</f>
        <v>Lama</v>
      </c>
      <c r="AZ291" s="7" t="str">
        <f ca="1">IF(TODAY()-Table43[[#This Row],[Efektif Naik Harga]]&lt;30,"Naik","Sama")</f>
        <v>Sama</v>
      </c>
      <c r="BA291" s="7" t="str">
        <f>IF(Table43[[#This Row],[Kode BARANG Win2]]&lt;&gt;"","IDR","")</f>
        <v>IDR</v>
      </c>
      <c r="BB291" s="7" t="str">
        <f>CONCATENATE(Table43[[#This Row],[kode  1 Digit
(Nomor)]],Table43[[#This Row],[kode  4 Digit                (Nomor)]])</f>
        <v>10060</v>
      </c>
      <c r="BC291" s="7" t="str">
        <f>Table43[[#This Row],[Nama            Gramasi atau Jumlah Pack per CTN]]</f>
        <v>60ML</v>
      </c>
      <c r="BD291" s="7"/>
      <c r="BE291" s="7"/>
      <c r="BF291" s="4" t="str">
        <f>IF(Table43[[#This Row],[SATUAN Fix Win]]&lt;&gt;"","KRT")</f>
        <v>KRT</v>
      </c>
      <c r="BG291" s="4" t="str">
        <f>IF(Table43[[#This Row],[SATUAN Fix Win]]&lt;&gt;"","GD01")</f>
        <v>GD01</v>
      </c>
      <c r="BH291" s="4">
        <f>IF(Table43[[#This Row],[SATUAN Fix Win]]&lt;&gt;"",11611)</f>
        <v>11611</v>
      </c>
      <c r="BI291" s="4">
        <f>IF(Table43[[#This Row],[SATUAN Fix Win]]&lt;&gt;"",11612)</f>
        <v>11612</v>
      </c>
      <c r="BJ291" s="48"/>
      <c r="BK291" s="4">
        <f>IF(Table43[[#This Row],[SATUAN Fix Win]]&lt;&gt;"",1)</f>
        <v>1</v>
      </c>
    </row>
    <row r="292" spans="1:63">
      <c r="A292" s="4" t="str">
        <f>CONCATENATE(Table43[[#This Row],[Kode BARANG Win2]],Table43[[#This Row],[No. Urut
Item Sama]])</f>
        <v>K11570010125101</v>
      </c>
      <c r="B292" s="7">
        <v>1</v>
      </c>
      <c r="D292" s="28" t="s">
        <v>745</v>
      </c>
      <c r="E292" s="28"/>
      <c r="F292" s="28" t="s">
        <v>3079</v>
      </c>
      <c r="G292" s="78">
        <v>36</v>
      </c>
      <c r="H292" s="43"/>
      <c r="I292" s="28" t="str">
        <f>Table43[[#This Row],[Nama Jenis Kemasan]]</f>
        <v>BTL</v>
      </c>
      <c r="J292" s="4" t="str">
        <f>TRIM(CONCATENATE(Table43[[#This Row],[Nama            KLP]]," ",Table43[[#This Row],[Nama            Sub KLP]]))</f>
        <v>ESKULIN KIDS SPLASH</v>
      </c>
      <c r="K292" s="4" t="str">
        <f>CONCATENATE(Table43[[#This Row],[kode  2 Digit                (hrf+No)]],Table43[[#This Row],[kode  2 Digit                (Nomor)]],Table43[[#This Row],[kode  1 Digit                (Nomor)]])</f>
        <v>K1157</v>
      </c>
      <c r="L292" s="4" t="str">
        <f t="shared" si="15"/>
        <v>K1157001012510</v>
      </c>
      <c r="M292" s="11">
        <f t="shared" si="16"/>
        <v>14</v>
      </c>
      <c r="N292" s="14" t="str">
        <f>IF(AF292&lt;&gt;"",TRIM(UPPER(CONCATENATE(P292," ",R292," ",T292," ",V292," ",X292," ",Z292," ","X"," ",Table43[[#This Row],[ISI/CTN]]," ",AF292," ",AB292," ",AD292," ",AH292))),TRIM(UPPER(CONCATENATE(P292," ",R292," ",T292," ",V292," ",X292," ",Z292," ","X"," ",Table43[[#This Row],[ISI/CTN]]," ",AB292," ",AD292," ",AH292))))</f>
        <v>KNF ESKULIN KIDS SPLASH ANNA 125ML X 36 BTL</v>
      </c>
      <c r="O292" s="11">
        <f t="shared" si="17"/>
        <v>43</v>
      </c>
      <c r="P292" s="4" t="s">
        <v>97</v>
      </c>
      <c r="Q292" s="7" t="s">
        <v>98</v>
      </c>
      <c r="R292" s="4" t="s">
        <v>3754</v>
      </c>
      <c r="S292" s="44" t="s">
        <v>3568</v>
      </c>
      <c r="T292" s="45" t="s">
        <v>3788</v>
      </c>
      <c r="U292" s="7" t="s">
        <v>3619</v>
      </c>
      <c r="V292" s="45" t="s">
        <v>2961</v>
      </c>
      <c r="W292" s="44" t="s">
        <v>2900</v>
      </c>
      <c r="X292" s="4" t="s">
        <v>3769</v>
      </c>
      <c r="Y292" s="46" t="s">
        <v>0</v>
      </c>
      <c r="Z292" s="4" t="s">
        <v>3620</v>
      </c>
      <c r="AA292" s="46" t="s">
        <v>2489</v>
      </c>
      <c r="AB292" s="4" t="s">
        <v>357</v>
      </c>
      <c r="AC292" s="7" t="s">
        <v>2656</v>
      </c>
      <c r="AD292" s="4" t="s">
        <v>2961</v>
      </c>
      <c r="AE292" s="7" t="s">
        <v>2900</v>
      </c>
      <c r="AF292" s="7" t="s">
        <v>2961</v>
      </c>
      <c r="AG292" s="7" t="s">
        <v>2961</v>
      </c>
      <c r="AI292" s="7" t="s">
        <v>4100</v>
      </c>
      <c r="AJ292" s="7" t="s">
        <v>2656</v>
      </c>
      <c r="AK292" s="41">
        <f>Table43[[#This Row],[Harga Jual Pcs GT
(-PPN)]]-(Table43[[#This Row],[Harga Jual Pcs GT
(-PPN)]]*10%)</f>
        <v>0</v>
      </c>
      <c r="AL292" s="42">
        <f>Table43[[#This Row],[Harga Beli Pcs
(-PPN)]]*Table43[[#This Row],[ISI/CTN]]</f>
        <v>0</v>
      </c>
      <c r="AM292" s="42">
        <f>Table43[[#This Row],[Harga Beli Pcs
(-PPN)]]*1.11</f>
        <v>0</v>
      </c>
      <c r="AN292" s="42">
        <f>Table43[[#This Row],[Harga Beli Krt
(- PPN)]]*1.11</f>
        <v>0</v>
      </c>
      <c r="AO292" s="42"/>
      <c r="AP292" s="42">
        <f>Table43[[#This Row],[Harga Jual Pcs GT
(-PPN)]]*Table43[[#This Row],[ISI/CTN]]</f>
        <v>0</v>
      </c>
      <c r="AQ292" s="42">
        <f>Table43[[#This Row],[Harga Jual Pcs GT
(-PPN)]]*1.11</f>
        <v>0</v>
      </c>
      <c r="AR292" s="42">
        <f>Table43[[#This Row],[Harga Jual Krt GT
(- PPN)]]*1.11</f>
        <v>0</v>
      </c>
      <c r="AS292" s="42">
        <f>Table43[[#This Row],[Harga Jual Pcs GT
(-PPN)]]</f>
        <v>0</v>
      </c>
      <c r="AT292" s="42">
        <f>(Table43[[#This Row],[Harga Jual Pcs MT
(-PPN)]]*Table43[[#This Row],[ISI/CTN]])</f>
        <v>0</v>
      </c>
      <c r="AU292" s="42">
        <f>Table43[[#This Row],[Harga Jual Pcs MT
(-PPN)]]*1.11</f>
        <v>0</v>
      </c>
      <c r="AV292" s="42">
        <f>Table43[[#This Row],[Harga Jual Pcs MT
(+PPN)]]*Table43[[#This Row],[ISI/CTN]]</f>
        <v>0</v>
      </c>
      <c r="AW292" s="47"/>
      <c r="AX292" s="7"/>
      <c r="AY292" s="7" t="str">
        <f ca="1">IF(TODAY()-Table43[[#This Row],[Efektif
Pembuatan]]&gt;60,"Lama","Baru")</f>
        <v>Lama</v>
      </c>
      <c r="AZ292" s="7" t="str">
        <f ca="1">IF(TODAY()-Table43[[#This Row],[Efektif Naik Harga]]&lt;30,"Naik","Sama")</f>
        <v>Sama</v>
      </c>
      <c r="BA292" s="7" t="str">
        <f>IF(Table43[[#This Row],[Kode BARANG Win2]]&lt;&gt;"","IDR","")</f>
        <v>IDR</v>
      </c>
      <c r="BB292" s="7" t="str">
        <f>CONCATENATE(Table43[[#This Row],[kode  1 Digit
(Nomor)]],Table43[[#This Row],[kode  4 Digit                (Nomor)]])</f>
        <v>10125</v>
      </c>
      <c r="BC292" s="7" t="str">
        <f>Table43[[#This Row],[Nama            Gramasi atau Jumlah Pack per CTN]]</f>
        <v>125ML</v>
      </c>
      <c r="BD292" s="7"/>
      <c r="BE292" s="7"/>
      <c r="BF292" s="4" t="str">
        <f>IF(Table43[[#This Row],[SATUAN Fix Win]]&lt;&gt;"","KRT")</f>
        <v>KRT</v>
      </c>
      <c r="BG292" s="4" t="str">
        <f>IF(Table43[[#This Row],[SATUAN Fix Win]]&lt;&gt;"","GD01")</f>
        <v>GD01</v>
      </c>
      <c r="BH292" s="4">
        <f>IF(Table43[[#This Row],[SATUAN Fix Win]]&lt;&gt;"",11611)</f>
        <v>11611</v>
      </c>
      <c r="BI292" s="4">
        <f>IF(Table43[[#This Row],[SATUAN Fix Win]]&lt;&gt;"",11612)</f>
        <v>11612</v>
      </c>
      <c r="BJ292" s="48"/>
      <c r="BK292" s="4">
        <f>IF(Table43[[#This Row],[SATUAN Fix Win]]&lt;&gt;"",1)</f>
        <v>1</v>
      </c>
    </row>
    <row r="293" spans="1:63">
      <c r="A293" s="4" t="str">
        <f>CONCATENATE(Table43[[#This Row],[Kode BARANG Win2]],Table43[[#This Row],[No. Urut
Item Sama]])</f>
        <v>K11570020060101</v>
      </c>
      <c r="B293" s="7">
        <v>1</v>
      </c>
      <c r="D293" s="28" t="s">
        <v>736</v>
      </c>
      <c r="E293" s="28"/>
      <c r="F293" s="28" t="s">
        <v>3080</v>
      </c>
      <c r="G293" s="78">
        <v>36</v>
      </c>
      <c r="H293" s="43"/>
      <c r="I293" s="28" t="str">
        <f>Table43[[#This Row],[Nama Jenis Kemasan]]</f>
        <v>BTL</v>
      </c>
      <c r="J293" s="4" t="str">
        <f>TRIM(CONCATENATE(Table43[[#This Row],[Nama            KLP]]," ",Table43[[#This Row],[Nama            Sub KLP]]))</f>
        <v>ESKULIN KIDS SPLASH</v>
      </c>
      <c r="K293" s="4" t="str">
        <f>CONCATENATE(Table43[[#This Row],[kode  2 Digit                (hrf+No)]],Table43[[#This Row],[kode  2 Digit                (Nomor)]],Table43[[#This Row],[kode  1 Digit                (Nomor)]])</f>
        <v>K1157</v>
      </c>
      <c r="L293" s="4" t="str">
        <f t="shared" si="15"/>
        <v>K1157002006010</v>
      </c>
      <c r="M293" s="11">
        <f t="shared" si="16"/>
        <v>14</v>
      </c>
      <c r="N293" s="14" t="str">
        <f>IF(AF293&lt;&gt;"",TRIM(UPPER(CONCATENATE(P293," ",R293," ",T293," ",V293," ",X293," ",Z293," ","X"," ",Table43[[#This Row],[ISI/CTN]]," ",AF293," ",AB293," ",AD293," ",AH293))),TRIM(UPPER(CONCATENATE(P293," ",R293," ",T293," ",V293," ",X293," ",Z293," ","X"," ",Table43[[#This Row],[ISI/CTN]]," ",AB293," ",AD293," ",AH293))))</f>
        <v>KNF ESKULIN KIDS SPLASH ARIEL 60ML X 36 BTL</v>
      </c>
      <c r="O293" s="11">
        <f t="shared" si="17"/>
        <v>43</v>
      </c>
      <c r="P293" s="4" t="s">
        <v>97</v>
      </c>
      <c r="Q293" s="7" t="s">
        <v>98</v>
      </c>
      <c r="R293" s="4" t="s">
        <v>3754</v>
      </c>
      <c r="S293" s="44" t="s">
        <v>3568</v>
      </c>
      <c r="T293" s="45" t="s">
        <v>3788</v>
      </c>
      <c r="U293" s="7" t="s">
        <v>3619</v>
      </c>
      <c r="V293" s="45" t="s">
        <v>2961</v>
      </c>
      <c r="W293" s="44" t="s">
        <v>2900</v>
      </c>
      <c r="X293" s="4" t="s">
        <v>3770</v>
      </c>
      <c r="Y293" s="46" t="s">
        <v>2472</v>
      </c>
      <c r="Z293" s="4" t="s">
        <v>1026</v>
      </c>
      <c r="AA293" s="46" t="s">
        <v>2481</v>
      </c>
      <c r="AB293" s="4" t="s">
        <v>357</v>
      </c>
      <c r="AC293" s="7" t="s">
        <v>2656</v>
      </c>
      <c r="AD293" s="4" t="s">
        <v>2961</v>
      </c>
      <c r="AE293" s="7" t="s">
        <v>2900</v>
      </c>
      <c r="AF293" s="7" t="s">
        <v>2961</v>
      </c>
      <c r="AG293" s="7" t="s">
        <v>2961</v>
      </c>
      <c r="AI293" s="7" t="s">
        <v>4100</v>
      </c>
      <c r="AJ293" s="7" t="s">
        <v>2656</v>
      </c>
      <c r="AK293" s="41">
        <f>Table43[[#This Row],[Harga Jual Pcs GT
(-PPN)]]-(Table43[[#This Row],[Harga Jual Pcs GT
(-PPN)]]*10%)</f>
        <v>0</v>
      </c>
      <c r="AL293" s="42">
        <f>Table43[[#This Row],[Harga Beli Pcs
(-PPN)]]*Table43[[#This Row],[ISI/CTN]]</f>
        <v>0</v>
      </c>
      <c r="AM293" s="42">
        <f>Table43[[#This Row],[Harga Beli Pcs
(-PPN)]]*1.11</f>
        <v>0</v>
      </c>
      <c r="AN293" s="42">
        <f>Table43[[#This Row],[Harga Beli Krt
(- PPN)]]*1.11</f>
        <v>0</v>
      </c>
      <c r="AO293" s="42"/>
      <c r="AP293" s="42">
        <f>Table43[[#This Row],[Harga Jual Pcs GT
(-PPN)]]*Table43[[#This Row],[ISI/CTN]]</f>
        <v>0</v>
      </c>
      <c r="AQ293" s="42">
        <f>Table43[[#This Row],[Harga Jual Pcs GT
(-PPN)]]*1.11</f>
        <v>0</v>
      </c>
      <c r="AR293" s="42">
        <f>Table43[[#This Row],[Harga Jual Krt GT
(- PPN)]]*1.11</f>
        <v>0</v>
      </c>
      <c r="AS293" s="42">
        <f>Table43[[#This Row],[Harga Jual Pcs GT
(-PPN)]]</f>
        <v>0</v>
      </c>
      <c r="AT293" s="42">
        <f>(Table43[[#This Row],[Harga Jual Pcs MT
(-PPN)]]*Table43[[#This Row],[ISI/CTN]])</f>
        <v>0</v>
      </c>
      <c r="AU293" s="42">
        <f>Table43[[#This Row],[Harga Jual Pcs MT
(-PPN)]]*1.11</f>
        <v>0</v>
      </c>
      <c r="AV293" s="42">
        <f>Table43[[#This Row],[Harga Jual Pcs MT
(+PPN)]]*Table43[[#This Row],[ISI/CTN]]</f>
        <v>0</v>
      </c>
      <c r="AW293" s="47"/>
      <c r="AX293" s="7"/>
      <c r="AY293" s="7" t="str">
        <f ca="1">IF(TODAY()-Table43[[#This Row],[Efektif
Pembuatan]]&gt;60,"Lama","Baru")</f>
        <v>Lama</v>
      </c>
      <c r="AZ293" s="7" t="str">
        <f ca="1">IF(TODAY()-Table43[[#This Row],[Efektif Naik Harga]]&lt;30,"Naik","Sama")</f>
        <v>Sama</v>
      </c>
      <c r="BA293" s="7" t="str">
        <f>IF(Table43[[#This Row],[Kode BARANG Win2]]&lt;&gt;"","IDR","")</f>
        <v>IDR</v>
      </c>
      <c r="BB293" s="7" t="str">
        <f>CONCATENATE(Table43[[#This Row],[kode  1 Digit
(Nomor)]],Table43[[#This Row],[kode  4 Digit                (Nomor)]])</f>
        <v>10060</v>
      </c>
      <c r="BC293" s="7" t="str">
        <f>Table43[[#This Row],[Nama            Gramasi atau Jumlah Pack per CTN]]</f>
        <v>60ML</v>
      </c>
      <c r="BD293" s="7"/>
      <c r="BE293" s="7"/>
      <c r="BF293" s="4" t="str">
        <f>IF(Table43[[#This Row],[SATUAN Fix Win]]&lt;&gt;"","KRT")</f>
        <v>KRT</v>
      </c>
      <c r="BG293" s="4" t="str">
        <f>IF(Table43[[#This Row],[SATUAN Fix Win]]&lt;&gt;"","GD01")</f>
        <v>GD01</v>
      </c>
      <c r="BH293" s="4">
        <f>IF(Table43[[#This Row],[SATUAN Fix Win]]&lt;&gt;"",11611)</f>
        <v>11611</v>
      </c>
      <c r="BI293" s="4">
        <f>IF(Table43[[#This Row],[SATUAN Fix Win]]&lt;&gt;"",11612)</f>
        <v>11612</v>
      </c>
      <c r="BJ293" s="48"/>
      <c r="BK293" s="4">
        <f>IF(Table43[[#This Row],[SATUAN Fix Win]]&lt;&gt;"",1)</f>
        <v>1</v>
      </c>
    </row>
    <row r="294" spans="1:63">
      <c r="A294" s="4" t="str">
        <f>CONCATENATE(Table43[[#This Row],[Kode BARANG Win2]],Table43[[#This Row],[No. Urut
Item Sama]])</f>
        <v>K11570020125101</v>
      </c>
      <c r="B294" s="7">
        <v>1</v>
      </c>
      <c r="D294" s="28" t="s">
        <v>737</v>
      </c>
      <c r="E294" s="28"/>
      <c r="F294" s="28" t="s">
        <v>3081</v>
      </c>
      <c r="G294" s="78">
        <v>36</v>
      </c>
      <c r="H294" s="43"/>
      <c r="I294" s="28" t="str">
        <f>Table43[[#This Row],[Nama Jenis Kemasan]]</f>
        <v>BTL</v>
      </c>
      <c r="J294" s="4" t="str">
        <f>TRIM(CONCATENATE(Table43[[#This Row],[Nama            KLP]]," ",Table43[[#This Row],[Nama            Sub KLP]]))</f>
        <v>ESKULIN KIDS SPLASH</v>
      </c>
      <c r="K294" s="4" t="str">
        <f>CONCATENATE(Table43[[#This Row],[kode  2 Digit                (hrf+No)]],Table43[[#This Row],[kode  2 Digit                (Nomor)]],Table43[[#This Row],[kode  1 Digit                (Nomor)]])</f>
        <v>K1157</v>
      </c>
      <c r="L294" s="4" t="str">
        <f t="shared" si="15"/>
        <v>K1157002012510</v>
      </c>
      <c r="M294" s="11">
        <f t="shared" si="16"/>
        <v>14</v>
      </c>
      <c r="N294" s="14" t="str">
        <f>IF(AF294&lt;&gt;"",TRIM(UPPER(CONCATENATE(P294," ",R294," ",T294," ",V294," ",X294," ",Z294," ","X"," ",Table43[[#This Row],[ISI/CTN]]," ",AF294," ",AB294," ",AD294," ",AH294))),TRIM(UPPER(CONCATENATE(P294," ",R294," ",T294," ",V294," ",X294," ",Z294," ","X"," ",Table43[[#This Row],[ISI/CTN]]," ",AB294," ",AD294," ",AH294))))</f>
        <v>KNF ESKULIN KIDS SPLASH ARIEL 125ML X 36 BTL</v>
      </c>
      <c r="O294" s="11">
        <f t="shared" si="17"/>
        <v>44</v>
      </c>
      <c r="P294" s="4" t="s">
        <v>97</v>
      </c>
      <c r="Q294" s="7" t="s">
        <v>98</v>
      </c>
      <c r="R294" s="4" t="s">
        <v>3754</v>
      </c>
      <c r="S294" s="44" t="s">
        <v>3568</v>
      </c>
      <c r="T294" s="45" t="s">
        <v>3788</v>
      </c>
      <c r="U294" s="7" t="s">
        <v>3619</v>
      </c>
      <c r="V294" s="45" t="s">
        <v>2961</v>
      </c>
      <c r="W294" s="44" t="s">
        <v>2900</v>
      </c>
      <c r="X294" s="4" t="s">
        <v>3770</v>
      </c>
      <c r="Y294" s="46" t="s">
        <v>2472</v>
      </c>
      <c r="Z294" s="4" t="s">
        <v>3620</v>
      </c>
      <c r="AA294" s="46" t="s">
        <v>2489</v>
      </c>
      <c r="AB294" s="4" t="s">
        <v>357</v>
      </c>
      <c r="AC294" s="7" t="s">
        <v>2656</v>
      </c>
      <c r="AD294" s="4" t="s">
        <v>2961</v>
      </c>
      <c r="AE294" s="7" t="s">
        <v>2900</v>
      </c>
      <c r="AF294" s="7" t="s">
        <v>2961</v>
      </c>
      <c r="AG294" s="7" t="s">
        <v>2961</v>
      </c>
      <c r="AI294" s="7" t="s">
        <v>4100</v>
      </c>
      <c r="AJ294" s="7" t="s">
        <v>2656</v>
      </c>
      <c r="AK294" s="41">
        <f>Table43[[#This Row],[Harga Jual Pcs GT
(-PPN)]]-(Table43[[#This Row],[Harga Jual Pcs GT
(-PPN)]]*10%)</f>
        <v>0</v>
      </c>
      <c r="AL294" s="42">
        <f>Table43[[#This Row],[Harga Beli Pcs
(-PPN)]]*Table43[[#This Row],[ISI/CTN]]</f>
        <v>0</v>
      </c>
      <c r="AM294" s="42">
        <f>Table43[[#This Row],[Harga Beli Pcs
(-PPN)]]*1.11</f>
        <v>0</v>
      </c>
      <c r="AN294" s="42">
        <f>Table43[[#This Row],[Harga Beli Krt
(- PPN)]]*1.11</f>
        <v>0</v>
      </c>
      <c r="AO294" s="42"/>
      <c r="AP294" s="42">
        <f>Table43[[#This Row],[Harga Jual Pcs GT
(-PPN)]]*Table43[[#This Row],[ISI/CTN]]</f>
        <v>0</v>
      </c>
      <c r="AQ294" s="42">
        <f>Table43[[#This Row],[Harga Jual Pcs GT
(-PPN)]]*1.11</f>
        <v>0</v>
      </c>
      <c r="AR294" s="42">
        <f>Table43[[#This Row],[Harga Jual Krt GT
(- PPN)]]*1.11</f>
        <v>0</v>
      </c>
      <c r="AS294" s="42">
        <f>Table43[[#This Row],[Harga Jual Pcs GT
(-PPN)]]</f>
        <v>0</v>
      </c>
      <c r="AT294" s="42">
        <f>(Table43[[#This Row],[Harga Jual Pcs MT
(-PPN)]]*Table43[[#This Row],[ISI/CTN]])</f>
        <v>0</v>
      </c>
      <c r="AU294" s="42">
        <f>Table43[[#This Row],[Harga Jual Pcs MT
(-PPN)]]*1.11</f>
        <v>0</v>
      </c>
      <c r="AV294" s="42">
        <f>Table43[[#This Row],[Harga Jual Pcs MT
(+PPN)]]*Table43[[#This Row],[ISI/CTN]]</f>
        <v>0</v>
      </c>
      <c r="AW294" s="47"/>
      <c r="AX294" s="7"/>
      <c r="AY294" s="7" t="str">
        <f ca="1">IF(TODAY()-Table43[[#This Row],[Efektif
Pembuatan]]&gt;60,"Lama","Baru")</f>
        <v>Lama</v>
      </c>
      <c r="AZ294" s="7" t="str">
        <f ca="1">IF(TODAY()-Table43[[#This Row],[Efektif Naik Harga]]&lt;30,"Naik","Sama")</f>
        <v>Sama</v>
      </c>
      <c r="BA294" s="7" t="str">
        <f>IF(Table43[[#This Row],[Kode BARANG Win2]]&lt;&gt;"","IDR","")</f>
        <v>IDR</v>
      </c>
      <c r="BB294" s="7" t="str">
        <f>CONCATENATE(Table43[[#This Row],[kode  1 Digit
(Nomor)]],Table43[[#This Row],[kode  4 Digit                (Nomor)]])</f>
        <v>10125</v>
      </c>
      <c r="BC294" s="7" t="str">
        <f>Table43[[#This Row],[Nama            Gramasi atau Jumlah Pack per CTN]]</f>
        <v>125ML</v>
      </c>
      <c r="BD294" s="7"/>
      <c r="BE294" s="7"/>
      <c r="BF294" s="4" t="str">
        <f>IF(Table43[[#This Row],[SATUAN Fix Win]]&lt;&gt;"","KRT")</f>
        <v>KRT</v>
      </c>
      <c r="BG294" s="4" t="str">
        <f>IF(Table43[[#This Row],[SATUAN Fix Win]]&lt;&gt;"","GD01")</f>
        <v>GD01</v>
      </c>
      <c r="BH294" s="4">
        <f>IF(Table43[[#This Row],[SATUAN Fix Win]]&lt;&gt;"",11611)</f>
        <v>11611</v>
      </c>
      <c r="BI294" s="4">
        <f>IF(Table43[[#This Row],[SATUAN Fix Win]]&lt;&gt;"",11612)</f>
        <v>11612</v>
      </c>
      <c r="BJ294" s="48"/>
      <c r="BK294" s="4">
        <f>IF(Table43[[#This Row],[SATUAN Fix Win]]&lt;&gt;"",1)</f>
        <v>1</v>
      </c>
    </row>
    <row r="295" spans="1:63">
      <c r="A295" s="4" t="str">
        <f>CONCATENATE(Table43[[#This Row],[Kode BARANG Win2]],Table43[[#This Row],[No. Urut
Item Sama]])</f>
        <v>K11570030060101</v>
      </c>
      <c r="B295" s="7">
        <v>1</v>
      </c>
      <c r="D295" s="28" t="s">
        <v>748</v>
      </c>
      <c r="E295" s="28"/>
      <c r="F295" s="28" t="s">
        <v>3082</v>
      </c>
      <c r="G295" s="78">
        <v>36</v>
      </c>
      <c r="H295" s="43"/>
      <c r="I295" s="28" t="str">
        <f>Table43[[#This Row],[Nama Jenis Kemasan]]</f>
        <v>BTL</v>
      </c>
      <c r="J295" s="4" t="str">
        <f>TRIM(CONCATENATE(Table43[[#This Row],[Nama            KLP]]," ",Table43[[#This Row],[Nama            Sub KLP]]))</f>
        <v>ESKULIN KIDS SPLASH</v>
      </c>
      <c r="K295" s="4" t="str">
        <f>CONCATENATE(Table43[[#This Row],[kode  2 Digit                (hrf+No)]],Table43[[#This Row],[kode  2 Digit                (Nomor)]],Table43[[#This Row],[kode  1 Digit                (Nomor)]])</f>
        <v>K1157</v>
      </c>
      <c r="L295" s="4" t="str">
        <f t="shared" si="15"/>
        <v>K1157003006010</v>
      </c>
      <c r="M295" s="11">
        <f t="shared" si="16"/>
        <v>14</v>
      </c>
      <c r="N295" s="14" t="str">
        <f>IF(AF295&lt;&gt;"",TRIM(UPPER(CONCATENATE(P295," ",R295," ",T295," ",V295," ",X295," ",Z295," ","X"," ",Table43[[#This Row],[ISI/CTN]]," ",AF295," ",AB295," ",AD295," ",AH295))),TRIM(UPPER(CONCATENATE(P295," ",R295," ",T295," ",V295," ",X295," ",Z295," ","X"," ",Table43[[#This Row],[ISI/CTN]]," ",AB295," ",AD295," ",AH295))))</f>
        <v>KNF ESKULIN KIDS SPLASH BELLE 60ML X 36 BTL</v>
      </c>
      <c r="O295" s="11">
        <f t="shared" si="17"/>
        <v>43</v>
      </c>
      <c r="P295" s="4" t="s">
        <v>97</v>
      </c>
      <c r="Q295" s="7" t="s">
        <v>98</v>
      </c>
      <c r="R295" s="4" t="s">
        <v>3754</v>
      </c>
      <c r="S295" s="44" t="s">
        <v>3568</v>
      </c>
      <c r="T295" s="45" t="s">
        <v>3788</v>
      </c>
      <c r="U295" s="7" t="s">
        <v>3619</v>
      </c>
      <c r="V295" s="45" t="s">
        <v>2961</v>
      </c>
      <c r="W295" s="44" t="s">
        <v>2900</v>
      </c>
      <c r="X295" s="4" t="s">
        <v>3773</v>
      </c>
      <c r="Y295" s="46" t="s">
        <v>2473</v>
      </c>
      <c r="Z295" s="4" t="s">
        <v>1026</v>
      </c>
      <c r="AA295" s="46" t="s">
        <v>2481</v>
      </c>
      <c r="AB295" s="4" t="s">
        <v>357</v>
      </c>
      <c r="AC295" s="7" t="s">
        <v>2656</v>
      </c>
      <c r="AD295" s="4" t="s">
        <v>2961</v>
      </c>
      <c r="AE295" s="7" t="s">
        <v>2900</v>
      </c>
      <c r="AF295" s="7" t="s">
        <v>2961</v>
      </c>
      <c r="AG295" s="7" t="s">
        <v>2961</v>
      </c>
      <c r="AI295" s="7" t="s">
        <v>4100</v>
      </c>
      <c r="AJ295" s="7" t="s">
        <v>2656</v>
      </c>
      <c r="AK295" s="41">
        <f>Table43[[#This Row],[Harga Jual Pcs GT
(-PPN)]]-(Table43[[#This Row],[Harga Jual Pcs GT
(-PPN)]]*10%)</f>
        <v>0</v>
      </c>
      <c r="AL295" s="42">
        <f>Table43[[#This Row],[Harga Beli Pcs
(-PPN)]]*Table43[[#This Row],[ISI/CTN]]</f>
        <v>0</v>
      </c>
      <c r="AM295" s="42">
        <f>Table43[[#This Row],[Harga Beli Pcs
(-PPN)]]*1.11</f>
        <v>0</v>
      </c>
      <c r="AN295" s="42">
        <f>Table43[[#This Row],[Harga Beli Krt
(- PPN)]]*1.11</f>
        <v>0</v>
      </c>
      <c r="AO295" s="42"/>
      <c r="AP295" s="42">
        <f>Table43[[#This Row],[Harga Jual Pcs GT
(-PPN)]]*Table43[[#This Row],[ISI/CTN]]</f>
        <v>0</v>
      </c>
      <c r="AQ295" s="42">
        <f>Table43[[#This Row],[Harga Jual Pcs GT
(-PPN)]]*1.11</f>
        <v>0</v>
      </c>
      <c r="AR295" s="42">
        <f>Table43[[#This Row],[Harga Jual Krt GT
(- PPN)]]*1.11</f>
        <v>0</v>
      </c>
      <c r="AS295" s="42">
        <f>Table43[[#This Row],[Harga Jual Pcs GT
(-PPN)]]</f>
        <v>0</v>
      </c>
      <c r="AT295" s="42">
        <f>(Table43[[#This Row],[Harga Jual Pcs MT
(-PPN)]]*Table43[[#This Row],[ISI/CTN]])</f>
        <v>0</v>
      </c>
      <c r="AU295" s="42">
        <f>Table43[[#This Row],[Harga Jual Pcs MT
(-PPN)]]*1.11</f>
        <v>0</v>
      </c>
      <c r="AV295" s="42">
        <f>Table43[[#This Row],[Harga Jual Pcs MT
(+PPN)]]*Table43[[#This Row],[ISI/CTN]]</f>
        <v>0</v>
      </c>
      <c r="AW295" s="47"/>
      <c r="AX295" s="7"/>
      <c r="AY295" s="7" t="str">
        <f ca="1">IF(TODAY()-Table43[[#This Row],[Efektif
Pembuatan]]&gt;60,"Lama","Baru")</f>
        <v>Lama</v>
      </c>
      <c r="AZ295" s="7" t="str">
        <f ca="1">IF(TODAY()-Table43[[#This Row],[Efektif Naik Harga]]&lt;30,"Naik","Sama")</f>
        <v>Sama</v>
      </c>
      <c r="BA295" s="7" t="str">
        <f>IF(Table43[[#This Row],[Kode BARANG Win2]]&lt;&gt;"","IDR","")</f>
        <v>IDR</v>
      </c>
      <c r="BB295" s="7" t="str">
        <f>CONCATENATE(Table43[[#This Row],[kode  1 Digit
(Nomor)]],Table43[[#This Row],[kode  4 Digit                (Nomor)]])</f>
        <v>10060</v>
      </c>
      <c r="BC295" s="7" t="str">
        <f>Table43[[#This Row],[Nama            Gramasi atau Jumlah Pack per CTN]]</f>
        <v>60ML</v>
      </c>
      <c r="BD295" s="7"/>
      <c r="BE295" s="7"/>
      <c r="BF295" s="4" t="str">
        <f>IF(Table43[[#This Row],[SATUAN Fix Win]]&lt;&gt;"","KRT")</f>
        <v>KRT</v>
      </c>
      <c r="BG295" s="4" t="str">
        <f>IF(Table43[[#This Row],[SATUAN Fix Win]]&lt;&gt;"","GD01")</f>
        <v>GD01</v>
      </c>
      <c r="BH295" s="4">
        <f>IF(Table43[[#This Row],[SATUAN Fix Win]]&lt;&gt;"",11611)</f>
        <v>11611</v>
      </c>
      <c r="BI295" s="4">
        <f>IF(Table43[[#This Row],[SATUAN Fix Win]]&lt;&gt;"",11612)</f>
        <v>11612</v>
      </c>
      <c r="BJ295" s="48"/>
      <c r="BK295" s="4">
        <f>IF(Table43[[#This Row],[SATUAN Fix Win]]&lt;&gt;"",1)</f>
        <v>1</v>
      </c>
    </row>
    <row r="296" spans="1:63">
      <c r="A296" s="4" t="str">
        <f>CONCATENATE(Table43[[#This Row],[Kode BARANG Win2]],Table43[[#This Row],[No. Urut
Item Sama]])</f>
        <v>K11570030125101</v>
      </c>
      <c r="B296" s="7">
        <v>1</v>
      </c>
      <c r="D296" s="28" t="s">
        <v>749</v>
      </c>
      <c r="E296" s="28"/>
      <c r="F296" s="28" t="s">
        <v>3083</v>
      </c>
      <c r="G296" s="78">
        <v>36</v>
      </c>
      <c r="H296" s="43"/>
      <c r="I296" s="28" t="str">
        <f>Table43[[#This Row],[Nama Jenis Kemasan]]</f>
        <v>BTL</v>
      </c>
      <c r="J296" s="4" t="str">
        <f>TRIM(CONCATENATE(Table43[[#This Row],[Nama            KLP]]," ",Table43[[#This Row],[Nama            Sub KLP]]))</f>
        <v>ESKULIN KIDS SPLASH</v>
      </c>
      <c r="K296" s="4" t="str">
        <f>CONCATENATE(Table43[[#This Row],[kode  2 Digit                (hrf+No)]],Table43[[#This Row],[kode  2 Digit                (Nomor)]],Table43[[#This Row],[kode  1 Digit                (Nomor)]])</f>
        <v>K1157</v>
      </c>
      <c r="L296" s="4" t="str">
        <f t="shared" si="15"/>
        <v>K1157003012510</v>
      </c>
      <c r="M296" s="11">
        <f t="shared" si="16"/>
        <v>14</v>
      </c>
      <c r="N296" s="14" t="str">
        <f>IF(AF296&lt;&gt;"",TRIM(UPPER(CONCATENATE(P296," ",R296," ",T296," ",V296," ",X296," ",Z296," ","X"," ",Table43[[#This Row],[ISI/CTN]]," ",AF296," ",AB296," ",AD296," ",AH296))),TRIM(UPPER(CONCATENATE(P296," ",R296," ",T296," ",V296," ",X296," ",Z296," ","X"," ",Table43[[#This Row],[ISI/CTN]]," ",AB296," ",AD296," ",AH296))))</f>
        <v>KNF ESKULIN KIDS SPLASH BELLE 125ML X 36 BTL</v>
      </c>
      <c r="O296" s="11">
        <f t="shared" si="17"/>
        <v>44</v>
      </c>
      <c r="P296" s="4" t="s">
        <v>97</v>
      </c>
      <c r="Q296" s="7" t="s">
        <v>98</v>
      </c>
      <c r="R296" s="4" t="s">
        <v>3754</v>
      </c>
      <c r="S296" s="44" t="s">
        <v>3568</v>
      </c>
      <c r="T296" s="45" t="s">
        <v>3788</v>
      </c>
      <c r="U296" s="7" t="s">
        <v>3619</v>
      </c>
      <c r="V296" s="45" t="s">
        <v>2961</v>
      </c>
      <c r="W296" s="44" t="s">
        <v>2900</v>
      </c>
      <c r="X296" s="4" t="s">
        <v>3773</v>
      </c>
      <c r="Y296" s="46" t="s">
        <v>2473</v>
      </c>
      <c r="Z296" s="4" t="s">
        <v>3620</v>
      </c>
      <c r="AA296" s="46" t="s">
        <v>2489</v>
      </c>
      <c r="AB296" s="4" t="s">
        <v>357</v>
      </c>
      <c r="AC296" s="7" t="s">
        <v>2656</v>
      </c>
      <c r="AD296" s="4" t="s">
        <v>2961</v>
      </c>
      <c r="AE296" s="7" t="s">
        <v>2900</v>
      </c>
      <c r="AF296" s="7" t="s">
        <v>2961</v>
      </c>
      <c r="AG296" s="7" t="s">
        <v>2961</v>
      </c>
      <c r="AI296" s="7" t="s">
        <v>4100</v>
      </c>
      <c r="AJ296" s="7" t="s">
        <v>2656</v>
      </c>
      <c r="AK296" s="41">
        <f>Table43[[#This Row],[Harga Jual Pcs GT
(-PPN)]]-(Table43[[#This Row],[Harga Jual Pcs GT
(-PPN)]]*10%)</f>
        <v>0</v>
      </c>
      <c r="AL296" s="42">
        <f>Table43[[#This Row],[Harga Beli Pcs
(-PPN)]]*Table43[[#This Row],[ISI/CTN]]</f>
        <v>0</v>
      </c>
      <c r="AM296" s="42">
        <f>Table43[[#This Row],[Harga Beli Pcs
(-PPN)]]*1.11</f>
        <v>0</v>
      </c>
      <c r="AN296" s="42">
        <f>Table43[[#This Row],[Harga Beli Krt
(- PPN)]]*1.11</f>
        <v>0</v>
      </c>
      <c r="AO296" s="42"/>
      <c r="AP296" s="42">
        <f>Table43[[#This Row],[Harga Jual Pcs GT
(-PPN)]]*Table43[[#This Row],[ISI/CTN]]</f>
        <v>0</v>
      </c>
      <c r="AQ296" s="42">
        <f>Table43[[#This Row],[Harga Jual Pcs GT
(-PPN)]]*1.11</f>
        <v>0</v>
      </c>
      <c r="AR296" s="42">
        <f>Table43[[#This Row],[Harga Jual Krt GT
(- PPN)]]*1.11</f>
        <v>0</v>
      </c>
      <c r="AS296" s="42">
        <f>Table43[[#This Row],[Harga Jual Pcs GT
(-PPN)]]</f>
        <v>0</v>
      </c>
      <c r="AT296" s="42">
        <f>(Table43[[#This Row],[Harga Jual Pcs MT
(-PPN)]]*Table43[[#This Row],[ISI/CTN]])</f>
        <v>0</v>
      </c>
      <c r="AU296" s="42">
        <f>Table43[[#This Row],[Harga Jual Pcs MT
(-PPN)]]*1.11</f>
        <v>0</v>
      </c>
      <c r="AV296" s="42">
        <f>Table43[[#This Row],[Harga Jual Pcs MT
(+PPN)]]*Table43[[#This Row],[ISI/CTN]]</f>
        <v>0</v>
      </c>
      <c r="AW296" s="47"/>
      <c r="AX296" s="7"/>
      <c r="AY296" s="7" t="str">
        <f ca="1">IF(TODAY()-Table43[[#This Row],[Efektif
Pembuatan]]&gt;60,"Lama","Baru")</f>
        <v>Lama</v>
      </c>
      <c r="AZ296" s="7" t="str">
        <f ca="1">IF(TODAY()-Table43[[#This Row],[Efektif Naik Harga]]&lt;30,"Naik","Sama")</f>
        <v>Sama</v>
      </c>
      <c r="BA296" s="7" t="str">
        <f>IF(Table43[[#This Row],[Kode BARANG Win2]]&lt;&gt;"","IDR","")</f>
        <v>IDR</v>
      </c>
      <c r="BB296" s="7" t="str">
        <f>CONCATENATE(Table43[[#This Row],[kode  1 Digit
(Nomor)]],Table43[[#This Row],[kode  4 Digit                (Nomor)]])</f>
        <v>10125</v>
      </c>
      <c r="BC296" s="7" t="str">
        <f>Table43[[#This Row],[Nama            Gramasi atau Jumlah Pack per CTN]]</f>
        <v>125ML</v>
      </c>
      <c r="BD296" s="7"/>
      <c r="BE296" s="7"/>
      <c r="BF296" s="4" t="str">
        <f>IF(Table43[[#This Row],[SATUAN Fix Win]]&lt;&gt;"","KRT")</f>
        <v>KRT</v>
      </c>
      <c r="BG296" s="4" t="str">
        <f>IF(Table43[[#This Row],[SATUAN Fix Win]]&lt;&gt;"","GD01")</f>
        <v>GD01</v>
      </c>
      <c r="BH296" s="4">
        <f>IF(Table43[[#This Row],[SATUAN Fix Win]]&lt;&gt;"",11611)</f>
        <v>11611</v>
      </c>
      <c r="BI296" s="4">
        <f>IF(Table43[[#This Row],[SATUAN Fix Win]]&lt;&gt;"",11612)</f>
        <v>11612</v>
      </c>
      <c r="BJ296" s="48"/>
      <c r="BK296" s="4">
        <f>IF(Table43[[#This Row],[SATUAN Fix Win]]&lt;&gt;"",1)</f>
        <v>1</v>
      </c>
    </row>
    <row r="297" spans="1:63">
      <c r="A297" s="4" t="str">
        <f>CONCATENATE(Table43[[#This Row],[Kode BARANG Win2]],Table43[[#This Row],[No. Urut
Item Sama]])</f>
        <v>K11570040060101</v>
      </c>
      <c r="B297" s="7">
        <v>1</v>
      </c>
      <c r="D297" s="28" t="s">
        <v>738</v>
      </c>
      <c r="E297" s="28"/>
      <c r="F297" s="28" t="s">
        <v>3084</v>
      </c>
      <c r="G297" s="78">
        <v>36</v>
      </c>
      <c r="H297" s="43"/>
      <c r="I297" s="28" t="str">
        <f>Table43[[#This Row],[Nama Jenis Kemasan]]</f>
        <v>BTL</v>
      </c>
      <c r="J297" s="4" t="str">
        <f>TRIM(CONCATENATE(Table43[[#This Row],[Nama            KLP]]," ",Table43[[#This Row],[Nama            Sub KLP]]))</f>
        <v>ESKULIN KIDS SPLASH</v>
      </c>
      <c r="K297" s="4" t="str">
        <f>CONCATENATE(Table43[[#This Row],[kode  2 Digit                (hrf+No)]],Table43[[#This Row],[kode  2 Digit                (Nomor)]],Table43[[#This Row],[kode  1 Digit                (Nomor)]])</f>
        <v>K1157</v>
      </c>
      <c r="L297" s="4" t="str">
        <f t="shared" si="15"/>
        <v>K1157004006010</v>
      </c>
      <c r="M297" s="11">
        <f t="shared" si="16"/>
        <v>14</v>
      </c>
      <c r="N297" s="14" t="str">
        <f>IF(AF297&lt;&gt;"",TRIM(UPPER(CONCATENATE(P297," ",R297," ",T297," ",V297," ",X297," ",Z297," ","X"," ",Table43[[#This Row],[ISI/CTN]]," ",AF297," ",AB297," ",AD297," ",AH297))),TRIM(UPPER(CONCATENATE(P297," ",R297," ",T297," ",V297," ",X297," ",Z297," ","X"," ",Table43[[#This Row],[ISI/CTN]]," ",AB297," ",AD297," ",AH297))))</f>
        <v>KNF ESKULIN KIDS SPLASH CINDERELLA 60ML X 36 BTL</v>
      </c>
      <c r="O297" s="11">
        <f t="shared" si="17"/>
        <v>48</v>
      </c>
      <c r="P297" s="4" t="s">
        <v>97</v>
      </c>
      <c r="Q297" s="7" t="s">
        <v>98</v>
      </c>
      <c r="R297" s="4" t="s">
        <v>3754</v>
      </c>
      <c r="S297" s="44" t="s">
        <v>3568</v>
      </c>
      <c r="T297" s="45" t="s">
        <v>3788</v>
      </c>
      <c r="U297" s="7" t="s">
        <v>3619</v>
      </c>
      <c r="V297" s="45" t="s">
        <v>2961</v>
      </c>
      <c r="W297" s="44" t="s">
        <v>2900</v>
      </c>
      <c r="X297" s="4" t="s">
        <v>3765</v>
      </c>
      <c r="Y297" s="46" t="s">
        <v>2474</v>
      </c>
      <c r="Z297" s="4" t="s">
        <v>1026</v>
      </c>
      <c r="AA297" s="46" t="s">
        <v>2481</v>
      </c>
      <c r="AB297" s="4" t="s">
        <v>357</v>
      </c>
      <c r="AC297" s="7" t="s">
        <v>2656</v>
      </c>
      <c r="AD297" s="4" t="s">
        <v>2961</v>
      </c>
      <c r="AE297" s="7" t="s">
        <v>2900</v>
      </c>
      <c r="AF297" s="7" t="s">
        <v>2961</v>
      </c>
      <c r="AG297" s="7" t="s">
        <v>2961</v>
      </c>
      <c r="AI297" s="7" t="s">
        <v>4100</v>
      </c>
      <c r="AJ297" s="7" t="s">
        <v>2656</v>
      </c>
      <c r="AK297" s="41">
        <f>Table43[[#This Row],[Harga Jual Pcs GT
(-PPN)]]-(Table43[[#This Row],[Harga Jual Pcs GT
(-PPN)]]*10%)</f>
        <v>0</v>
      </c>
      <c r="AL297" s="42">
        <f>Table43[[#This Row],[Harga Beli Pcs
(-PPN)]]*Table43[[#This Row],[ISI/CTN]]</f>
        <v>0</v>
      </c>
      <c r="AM297" s="42">
        <f>Table43[[#This Row],[Harga Beli Pcs
(-PPN)]]*1.11</f>
        <v>0</v>
      </c>
      <c r="AN297" s="42">
        <f>Table43[[#This Row],[Harga Beli Krt
(- PPN)]]*1.11</f>
        <v>0</v>
      </c>
      <c r="AO297" s="42"/>
      <c r="AP297" s="42">
        <f>Table43[[#This Row],[Harga Jual Pcs GT
(-PPN)]]*Table43[[#This Row],[ISI/CTN]]</f>
        <v>0</v>
      </c>
      <c r="AQ297" s="42">
        <f>Table43[[#This Row],[Harga Jual Pcs GT
(-PPN)]]*1.11</f>
        <v>0</v>
      </c>
      <c r="AR297" s="42">
        <f>Table43[[#This Row],[Harga Jual Krt GT
(- PPN)]]*1.11</f>
        <v>0</v>
      </c>
      <c r="AS297" s="42">
        <f>Table43[[#This Row],[Harga Jual Pcs GT
(-PPN)]]</f>
        <v>0</v>
      </c>
      <c r="AT297" s="42">
        <f>(Table43[[#This Row],[Harga Jual Pcs MT
(-PPN)]]*Table43[[#This Row],[ISI/CTN]])</f>
        <v>0</v>
      </c>
      <c r="AU297" s="42">
        <f>Table43[[#This Row],[Harga Jual Pcs MT
(-PPN)]]*1.11</f>
        <v>0</v>
      </c>
      <c r="AV297" s="42">
        <f>Table43[[#This Row],[Harga Jual Pcs MT
(+PPN)]]*Table43[[#This Row],[ISI/CTN]]</f>
        <v>0</v>
      </c>
      <c r="AW297" s="47"/>
      <c r="AX297" s="7"/>
      <c r="AY297" s="7" t="str">
        <f ca="1">IF(TODAY()-Table43[[#This Row],[Efektif
Pembuatan]]&gt;60,"Lama","Baru")</f>
        <v>Lama</v>
      </c>
      <c r="AZ297" s="7" t="str">
        <f ca="1">IF(TODAY()-Table43[[#This Row],[Efektif Naik Harga]]&lt;30,"Naik","Sama")</f>
        <v>Sama</v>
      </c>
      <c r="BA297" s="7" t="str">
        <f>IF(Table43[[#This Row],[Kode BARANG Win2]]&lt;&gt;"","IDR","")</f>
        <v>IDR</v>
      </c>
      <c r="BB297" s="7" t="str">
        <f>CONCATENATE(Table43[[#This Row],[kode  1 Digit
(Nomor)]],Table43[[#This Row],[kode  4 Digit                (Nomor)]])</f>
        <v>10060</v>
      </c>
      <c r="BC297" s="7" t="str">
        <f>Table43[[#This Row],[Nama            Gramasi atau Jumlah Pack per CTN]]</f>
        <v>60ML</v>
      </c>
      <c r="BD297" s="7"/>
      <c r="BE297" s="7"/>
      <c r="BF297" s="4" t="str">
        <f>IF(Table43[[#This Row],[SATUAN Fix Win]]&lt;&gt;"","KRT")</f>
        <v>KRT</v>
      </c>
      <c r="BG297" s="4" t="str">
        <f>IF(Table43[[#This Row],[SATUAN Fix Win]]&lt;&gt;"","GD01")</f>
        <v>GD01</v>
      </c>
      <c r="BH297" s="4">
        <f>IF(Table43[[#This Row],[SATUAN Fix Win]]&lt;&gt;"",11611)</f>
        <v>11611</v>
      </c>
      <c r="BI297" s="4">
        <f>IF(Table43[[#This Row],[SATUAN Fix Win]]&lt;&gt;"",11612)</f>
        <v>11612</v>
      </c>
      <c r="BJ297" s="48"/>
      <c r="BK297" s="4">
        <f>IF(Table43[[#This Row],[SATUAN Fix Win]]&lt;&gt;"",1)</f>
        <v>1</v>
      </c>
    </row>
    <row r="298" spans="1:63">
      <c r="A298" s="4" t="str">
        <f>CONCATENATE(Table43[[#This Row],[Kode BARANG Win2]],Table43[[#This Row],[No. Urut
Item Sama]])</f>
        <v>K11570040125101</v>
      </c>
      <c r="B298" s="7">
        <v>1</v>
      </c>
      <c r="D298" s="28" t="s">
        <v>739</v>
      </c>
      <c r="E298" s="28"/>
      <c r="F298" s="28" t="s">
        <v>3085</v>
      </c>
      <c r="G298" s="78">
        <v>36</v>
      </c>
      <c r="H298" s="43"/>
      <c r="I298" s="28" t="str">
        <f>Table43[[#This Row],[Nama Jenis Kemasan]]</f>
        <v>BTL</v>
      </c>
      <c r="J298" s="4" t="str">
        <f>TRIM(CONCATENATE(Table43[[#This Row],[Nama            KLP]]," ",Table43[[#This Row],[Nama            Sub KLP]]))</f>
        <v>ESKULIN KIDS SPLASH</v>
      </c>
      <c r="K298" s="4" t="str">
        <f>CONCATENATE(Table43[[#This Row],[kode  2 Digit                (hrf+No)]],Table43[[#This Row],[kode  2 Digit                (Nomor)]],Table43[[#This Row],[kode  1 Digit                (Nomor)]])</f>
        <v>K1157</v>
      </c>
      <c r="L298" s="4" t="str">
        <f t="shared" si="15"/>
        <v>K1157004012510</v>
      </c>
      <c r="M298" s="11">
        <f t="shared" si="16"/>
        <v>14</v>
      </c>
      <c r="N298" s="14" t="str">
        <f>IF(AF298&lt;&gt;"",TRIM(UPPER(CONCATENATE(P298," ",R298," ",T298," ",V298," ",X298," ",Z298," ","X"," ",Table43[[#This Row],[ISI/CTN]]," ",AF298," ",AB298," ",AD298," ",AH298))),TRIM(UPPER(CONCATENATE(P298," ",R298," ",T298," ",V298," ",X298," ",Z298," ","X"," ",Table43[[#This Row],[ISI/CTN]]," ",AB298," ",AD298," ",AH298))))</f>
        <v>KNF ESKULIN KIDS SPLASH CINDERELLA 125ML X 36 BTL</v>
      </c>
      <c r="O298" s="11">
        <f t="shared" si="17"/>
        <v>49</v>
      </c>
      <c r="P298" s="4" t="s">
        <v>97</v>
      </c>
      <c r="Q298" s="7" t="s">
        <v>98</v>
      </c>
      <c r="R298" s="4" t="s">
        <v>3754</v>
      </c>
      <c r="S298" s="44" t="s">
        <v>3568</v>
      </c>
      <c r="T298" s="45" t="s">
        <v>3788</v>
      </c>
      <c r="U298" s="7" t="s">
        <v>3619</v>
      </c>
      <c r="V298" s="45" t="s">
        <v>2961</v>
      </c>
      <c r="W298" s="44" t="s">
        <v>2900</v>
      </c>
      <c r="X298" s="4" t="s">
        <v>3765</v>
      </c>
      <c r="Y298" s="46" t="s">
        <v>2474</v>
      </c>
      <c r="Z298" s="4" t="s">
        <v>3620</v>
      </c>
      <c r="AA298" s="46" t="s">
        <v>2489</v>
      </c>
      <c r="AB298" s="4" t="s">
        <v>357</v>
      </c>
      <c r="AC298" s="7" t="s">
        <v>2656</v>
      </c>
      <c r="AD298" s="4" t="s">
        <v>2961</v>
      </c>
      <c r="AE298" s="7" t="s">
        <v>2900</v>
      </c>
      <c r="AF298" s="7" t="s">
        <v>2961</v>
      </c>
      <c r="AG298" s="7" t="s">
        <v>2961</v>
      </c>
      <c r="AI298" s="7" t="s">
        <v>4100</v>
      </c>
      <c r="AJ298" s="7" t="s">
        <v>2656</v>
      </c>
      <c r="AK298" s="41">
        <f>Table43[[#This Row],[Harga Jual Pcs GT
(-PPN)]]-(Table43[[#This Row],[Harga Jual Pcs GT
(-PPN)]]*10%)</f>
        <v>0</v>
      </c>
      <c r="AL298" s="42">
        <f>Table43[[#This Row],[Harga Beli Pcs
(-PPN)]]*Table43[[#This Row],[ISI/CTN]]</f>
        <v>0</v>
      </c>
      <c r="AM298" s="42">
        <f>Table43[[#This Row],[Harga Beli Pcs
(-PPN)]]*1.11</f>
        <v>0</v>
      </c>
      <c r="AN298" s="42">
        <f>Table43[[#This Row],[Harga Beli Krt
(- PPN)]]*1.11</f>
        <v>0</v>
      </c>
      <c r="AO298" s="42"/>
      <c r="AP298" s="42">
        <f>Table43[[#This Row],[Harga Jual Pcs GT
(-PPN)]]*Table43[[#This Row],[ISI/CTN]]</f>
        <v>0</v>
      </c>
      <c r="AQ298" s="42">
        <f>Table43[[#This Row],[Harga Jual Pcs GT
(-PPN)]]*1.11</f>
        <v>0</v>
      </c>
      <c r="AR298" s="42">
        <f>Table43[[#This Row],[Harga Jual Krt GT
(- PPN)]]*1.11</f>
        <v>0</v>
      </c>
      <c r="AS298" s="42">
        <f>Table43[[#This Row],[Harga Jual Pcs GT
(-PPN)]]</f>
        <v>0</v>
      </c>
      <c r="AT298" s="42">
        <f>(Table43[[#This Row],[Harga Jual Pcs MT
(-PPN)]]*Table43[[#This Row],[ISI/CTN]])</f>
        <v>0</v>
      </c>
      <c r="AU298" s="42">
        <f>Table43[[#This Row],[Harga Jual Pcs MT
(-PPN)]]*1.11</f>
        <v>0</v>
      </c>
      <c r="AV298" s="42">
        <f>Table43[[#This Row],[Harga Jual Pcs MT
(+PPN)]]*Table43[[#This Row],[ISI/CTN]]</f>
        <v>0</v>
      </c>
      <c r="AW298" s="47"/>
      <c r="AX298" s="7"/>
      <c r="AY298" s="7" t="str">
        <f ca="1">IF(TODAY()-Table43[[#This Row],[Efektif
Pembuatan]]&gt;60,"Lama","Baru")</f>
        <v>Lama</v>
      </c>
      <c r="AZ298" s="7" t="str">
        <f ca="1">IF(TODAY()-Table43[[#This Row],[Efektif Naik Harga]]&lt;30,"Naik","Sama")</f>
        <v>Sama</v>
      </c>
      <c r="BA298" s="7" t="str">
        <f>IF(Table43[[#This Row],[Kode BARANG Win2]]&lt;&gt;"","IDR","")</f>
        <v>IDR</v>
      </c>
      <c r="BB298" s="7" t="str">
        <f>CONCATENATE(Table43[[#This Row],[kode  1 Digit
(Nomor)]],Table43[[#This Row],[kode  4 Digit                (Nomor)]])</f>
        <v>10125</v>
      </c>
      <c r="BC298" s="7" t="str">
        <f>Table43[[#This Row],[Nama            Gramasi atau Jumlah Pack per CTN]]</f>
        <v>125ML</v>
      </c>
      <c r="BD298" s="7"/>
      <c r="BE298" s="7"/>
      <c r="BF298" s="4" t="str">
        <f>IF(Table43[[#This Row],[SATUAN Fix Win]]&lt;&gt;"","KRT")</f>
        <v>KRT</v>
      </c>
      <c r="BG298" s="4" t="str">
        <f>IF(Table43[[#This Row],[SATUAN Fix Win]]&lt;&gt;"","GD01")</f>
        <v>GD01</v>
      </c>
      <c r="BH298" s="4">
        <f>IF(Table43[[#This Row],[SATUAN Fix Win]]&lt;&gt;"",11611)</f>
        <v>11611</v>
      </c>
      <c r="BI298" s="4">
        <f>IF(Table43[[#This Row],[SATUAN Fix Win]]&lt;&gt;"",11612)</f>
        <v>11612</v>
      </c>
      <c r="BJ298" s="48"/>
      <c r="BK298" s="4">
        <f>IF(Table43[[#This Row],[SATUAN Fix Win]]&lt;&gt;"",1)</f>
        <v>1</v>
      </c>
    </row>
    <row r="299" spans="1:63">
      <c r="A299" s="4" t="str">
        <f>CONCATENATE(Table43[[#This Row],[Kode BARANG Win2]],Table43[[#This Row],[No. Urut
Item Sama]])</f>
        <v>K11570050060101</v>
      </c>
      <c r="B299" s="7">
        <v>1</v>
      </c>
      <c r="D299" s="28" t="s">
        <v>746</v>
      </c>
      <c r="E299" s="28"/>
      <c r="F299" s="28" t="s">
        <v>3086</v>
      </c>
      <c r="G299" s="78">
        <v>36</v>
      </c>
      <c r="H299" s="43"/>
      <c r="I299" s="28" t="str">
        <f>Table43[[#This Row],[Nama Jenis Kemasan]]</f>
        <v>BTL</v>
      </c>
      <c r="J299" s="4" t="str">
        <f>TRIM(CONCATENATE(Table43[[#This Row],[Nama            KLP]]," ",Table43[[#This Row],[Nama            Sub KLP]]))</f>
        <v>ESKULIN KIDS SPLASH</v>
      </c>
      <c r="K299" s="4" t="str">
        <f>CONCATENATE(Table43[[#This Row],[kode  2 Digit                (hrf+No)]],Table43[[#This Row],[kode  2 Digit                (Nomor)]],Table43[[#This Row],[kode  1 Digit                (Nomor)]])</f>
        <v>K1157</v>
      </c>
      <c r="L299" s="4" t="str">
        <f t="shared" si="15"/>
        <v>K1157005006010</v>
      </c>
      <c r="M299" s="11">
        <f t="shared" si="16"/>
        <v>14</v>
      </c>
      <c r="N299" s="14" t="str">
        <f>IF(AF299&lt;&gt;"",TRIM(UPPER(CONCATENATE(P299," ",R299," ",T299," ",V299," ",X299," ",Z299," ","X"," ",Table43[[#This Row],[ISI/CTN]]," ",AF299," ",AB299," ",AD299," ",AH299))),TRIM(UPPER(CONCATENATE(P299," ",R299," ",T299," ",V299," ",X299," ",Z299," ","X"," ",Table43[[#This Row],[ISI/CTN]]," ",AB299," ",AD299," ",AH299))))</f>
        <v>KNF ESKULIN KIDS SPLASH ELSA 60ML X 36 BTL</v>
      </c>
      <c r="O299" s="11">
        <f t="shared" si="17"/>
        <v>42</v>
      </c>
      <c r="P299" s="4" t="s">
        <v>97</v>
      </c>
      <c r="Q299" s="7" t="s">
        <v>98</v>
      </c>
      <c r="R299" s="4" t="s">
        <v>3754</v>
      </c>
      <c r="S299" s="44" t="s">
        <v>3568</v>
      </c>
      <c r="T299" s="45" t="s">
        <v>3788</v>
      </c>
      <c r="U299" s="7" t="s">
        <v>3619</v>
      </c>
      <c r="V299" s="45" t="s">
        <v>2961</v>
      </c>
      <c r="W299" s="44" t="s">
        <v>2900</v>
      </c>
      <c r="X299" s="4" t="s">
        <v>3774</v>
      </c>
      <c r="Y299" s="46" t="s">
        <v>2475</v>
      </c>
      <c r="Z299" s="4" t="s">
        <v>1026</v>
      </c>
      <c r="AA299" s="46" t="s">
        <v>2481</v>
      </c>
      <c r="AB299" s="4" t="s">
        <v>357</v>
      </c>
      <c r="AC299" s="7" t="s">
        <v>2656</v>
      </c>
      <c r="AD299" s="4" t="s">
        <v>2961</v>
      </c>
      <c r="AE299" s="7" t="s">
        <v>2900</v>
      </c>
      <c r="AF299" s="7" t="s">
        <v>2961</v>
      </c>
      <c r="AG299" s="7" t="s">
        <v>2961</v>
      </c>
      <c r="AI299" s="7" t="s">
        <v>4100</v>
      </c>
      <c r="AJ299" s="7" t="s">
        <v>2656</v>
      </c>
      <c r="AK299" s="41">
        <f>Table43[[#This Row],[Harga Jual Pcs GT
(-PPN)]]-(Table43[[#This Row],[Harga Jual Pcs GT
(-PPN)]]*10%)</f>
        <v>0</v>
      </c>
      <c r="AL299" s="42">
        <f>Table43[[#This Row],[Harga Beli Pcs
(-PPN)]]*Table43[[#This Row],[ISI/CTN]]</f>
        <v>0</v>
      </c>
      <c r="AM299" s="42">
        <f>Table43[[#This Row],[Harga Beli Pcs
(-PPN)]]*1.11</f>
        <v>0</v>
      </c>
      <c r="AN299" s="42">
        <f>Table43[[#This Row],[Harga Beli Krt
(- PPN)]]*1.11</f>
        <v>0</v>
      </c>
      <c r="AO299" s="42"/>
      <c r="AP299" s="42">
        <f>Table43[[#This Row],[Harga Jual Pcs GT
(-PPN)]]*Table43[[#This Row],[ISI/CTN]]</f>
        <v>0</v>
      </c>
      <c r="AQ299" s="42">
        <f>Table43[[#This Row],[Harga Jual Pcs GT
(-PPN)]]*1.11</f>
        <v>0</v>
      </c>
      <c r="AR299" s="42">
        <f>Table43[[#This Row],[Harga Jual Krt GT
(- PPN)]]*1.11</f>
        <v>0</v>
      </c>
      <c r="AS299" s="42">
        <f>Table43[[#This Row],[Harga Jual Pcs GT
(-PPN)]]</f>
        <v>0</v>
      </c>
      <c r="AT299" s="42">
        <f>(Table43[[#This Row],[Harga Jual Pcs MT
(-PPN)]]*Table43[[#This Row],[ISI/CTN]])</f>
        <v>0</v>
      </c>
      <c r="AU299" s="42">
        <f>Table43[[#This Row],[Harga Jual Pcs MT
(-PPN)]]*1.11</f>
        <v>0</v>
      </c>
      <c r="AV299" s="42">
        <f>Table43[[#This Row],[Harga Jual Pcs MT
(+PPN)]]*Table43[[#This Row],[ISI/CTN]]</f>
        <v>0</v>
      </c>
      <c r="AW299" s="47"/>
      <c r="AX299" s="7"/>
      <c r="AY299" s="7" t="str">
        <f ca="1">IF(TODAY()-Table43[[#This Row],[Efektif
Pembuatan]]&gt;60,"Lama","Baru")</f>
        <v>Lama</v>
      </c>
      <c r="AZ299" s="7" t="str">
        <f ca="1">IF(TODAY()-Table43[[#This Row],[Efektif Naik Harga]]&lt;30,"Naik","Sama")</f>
        <v>Sama</v>
      </c>
      <c r="BA299" s="7" t="str">
        <f>IF(Table43[[#This Row],[Kode BARANG Win2]]&lt;&gt;"","IDR","")</f>
        <v>IDR</v>
      </c>
      <c r="BB299" s="7" t="str">
        <f>CONCATENATE(Table43[[#This Row],[kode  1 Digit
(Nomor)]],Table43[[#This Row],[kode  4 Digit                (Nomor)]])</f>
        <v>10060</v>
      </c>
      <c r="BC299" s="7" t="str">
        <f>Table43[[#This Row],[Nama            Gramasi atau Jumlah Pack per CTN]]</f>
        <v>60ML</v>
      </c>
      <c r="BD299" s="7"/>
      <c r="BE299" s="7"/>
      <c r="BF299" s="4" t="str">
        <f>IF(Table43[[#This Row],[SATUAN Fix Win]]&lt;&gt;"","KRT")</f>
        <v>KRT</v>
      </c>
      <c r="BG299" s="4" t="str">
        <f>IF(Table43[[#This Row],[SATUAN Fix Win]]&lt;&gt;"","GD01")</f>
        <v>GD01</v>
      </c>
      <c r="BH299" s="4">
        <f>IF(Table43[[#This Row],[SATUAN Fix Win]]&lt;&gt;"",11611)</f>
        <v>11611</v>
      </c>
      <c r="BI299" s="4">
        <f>IF(Table43[[#This Row],[SATUAN Fix Win]]&lt;&gt;"",11612)</f>
        <v>11612</v>
      </c>
      <c r="BJ299" s="48"/>
      <c r="BK299" s="4">
        <f>IF(Table43[[#This Row],[SATUAN Fix Win]]&lt;&gt;"",1)</f>
        <v>1</v>
      </c>
    </row>
    <row r="300" spans="1:63">
      <c r="A300" s="4" t="str">
        <f>CONCATENATE(Table43[[#This Row],[Kode BARANG Win2]],Table43[[#This Row],[No. Urut
Item Sama]])</f>
        <v>K11570050125101</v>
      </c>
      <c r="B300" s="7">
        <v>1</v>
      </c>
      <c r="D300" s="28" t="s">
        <v>747</v>
      </c>
      <c r="E300" s="28"/>
      <c r="F300" s="28" t="s">
        <v>3087</v>
      </c>
      <c r="G300" s="78">
        <v>36</v>
      </c>
      <c r="H300" s="43"/>
      <c r="I300" s="28" t="str">
        <f>Table43[[#This Row],[Nama Jenis Kemasan]]</f>
        <v>BTL</v>
      </c>
      <c r="J300" s="4" t="str">
        <f>TRIM(CONCATENATE(Table43[[#This Row],[Nama            KLP]]," ",Table43[[#This Row],[Nama            Sub KLP]]))</f>
        <v>ESKULIN KIDS SPLASH</v>
      </c>
      <c r="K300" s="4" t="str">
        <f>CONCATENATE(Table43[[#This Row],[kode  2 Digit                (hrf+No)]],Table43[[#This Row],[kode  2 Digit                (Nomor)]],Table43[[#This Row],[kode  1 Digit                (Nomor)]])</f>
        <v>K1157</v>
      </c>
      <c r="L300" s="4" t="str">
        <f t="shared" si="15"/>
        <v>K1157005012510</v>
      </c>
      <c r="M300" s="11">
        <f t="shared" si="16"/>
        <v>14</v>
      </c>
      <c r="N300" s="14" t="str">
        <f>IF(AF300&lt;&gt;"",TRIM(UPPER(CONCATENATE(P300," ",R300," ",T300," ",V300," ",X300," ",Z300," ","X"," ",Table43[[#This Row],[ISI/CTN]]," ",AF300," ",AB300," ",AD300," ",AH300))),TRIM(UPPER(CONCATENATE(P300," ",R300," ",T300," ",V300," ",X300," ",Z300," ","X"," ",Table43[[#This Row],[ISI/CTN]]," ",AB300," ",AD300," ",AH300))))</f>
        <v>KNF ESKULIN KIDS SPLASH ELSA 125ML X 36 BTL</v>
      </c>
      <c r="O300" s="11">
        <f t="shared" si="17"/>
        <v>43</v>
      </c>
      <c r="P300" s="4" t="s">
        <v>97</v>
      </c>
      <c r="Q300" s="7" t="s">
        <v>98</v>
      </c>
      <c r="R300" s="4" t="s">
        <v>3754</v>
      </c>
      <c r="S300" s="44" t="s">
        <v>3568</v>
      </c>
      <c r="T300" s="45" t="s">
        <v>3788</v>
      </c>
      <c r="U300" s="7" t="s">
        <v>3619</v>
      </c>
      <c r="V300" s="45" t="s">
        <v>2961</v>
      </c>
      <c r="W300" s="44" t="s">
        <v>2900</v>
      </c>
      <c r="X300" s="4" t="s">
        <v>3774</v>
      </c>
      <c r="Y300" s="46" t="s">
        <v>2475</v>
      </c>
      <c r="Z300" s="4" t="s">
        <v>3620</v>
      </c>
      <c r="AA300" s="46" t="s">
        <v>2489</v>
      </c>
      <c r="AB300" s="4" t="s">
        <v>357</v>
      </c>
      <c r="AC300" s="7" t="s">
        <v>2656</v>
      </c>
      <c r="AD300" s="4" t="s">
        <v>2961</v>
      </c>
      <c r="AE300" s="7" t="s">
        <v>2900</v>
      </c>
      <c r="AF300" s="7" t="s">
        <v>2961</v>
      </c>
      <c r="AG300" s="7" t="s">
        <v>2961</v>
      </c>
      <c r="AI300" s="7" t="s">
        <v>4100</v>
      </c>
      <c r="AJ300" s="7" t="s">
        <v>2656</v>
      </c>
      <c r="AK300" s="41">
        <f>Table43[[#This Row],[Harga Jual Pcs GT
(-PPN)]]-(Table43[[#This Row],[Harga Jual Pcs GT
(-PPN)]]*10%)</f>
        <v>0</v>
      </c>
      <c r="AL300" s="42">
        <f>Table43[[#This Row],[Harga Beli Pcs
(-PPN)]]*Table43[[#This Row],[ISI/CTN]]</f>
        <v>0</v>
      </c>
      <c r="AM300" s="42">
        <f>Table43[[#This Row],[Harga Beli Pcs
(-PPN)]]*1.11</f>
        <v>0</v>
      </c>
      <c r="AN300" s="42">
        <f>Table43[[#This Row],[Harga Beli Krt
(- PPN)]]*1.11</f>
        <v>0</v>
      </c>
      <c r="AO300" s="42"/>
      <c r="AP300" s="42">
        <f>Table43[[#This Row],[Harga Jual Pcs GT
(-PPN)]]*Table43[[#This Row],[ISI/CTN]]</f>
        <v>0</v>
      </c>
      <c r="AQ300" s="42">
        <f>Table43[[#This Row],[Harga Jual Pcs GT
(-PPN)]]*1.11</f>
        <v>0</v>
      </c>
      <c r="AR300" s="42">
        <f>Table43[[#This Row],[Harga Jual Krt GT
(- PPN)]]*1.11</f>
        <v>0</v>
      </c>
      <c r="AS300" s="42">
        <f>Table43[[#This Row],[Harga Jual Pcs GT
(-PPN)]]</f>
        <v>0</v>
      </c>
      <c r="AT300" s="42">
        <f>(Table43[[#This Row],[Harga Jual Pcs MT
(-PPN)]]*Table43[[#This Row],[ISI/CTN]])</f>
        <v>0</v>
      </c>
      <c r="AU300" s="42">
        <f>Table43[[#This Row],[Harga Jual Pcs MT
(-PPN)]]*1.11</f>
        <v>0</v>
      </c>
      <c r="AV300" s="42">
        <f>Table43[[#This Row],[Harga Jual Pcs MT
(+PPN)]]*Table43[[#This Row],[ISI/CTN]]</f>
        <v>0</v>
      </c>
      <c r="AW300" s="47"/>
      <c r="AX300" s="7"/>
      <c r="AY300" s="7" t="str">
        <f ca="1">IF(TODAY()-Table43[[#This Row],[Efektif
Pembuatan]]&gt;60,"Lama","Baru")</f>
        <v>Lama</v>
      </c>
      <c r="AZ300" s="7" t="str">
        <f ca="1">IF(TODAY()-Table43[[#This Row],[Efektif Naik Harga]]&lt;30,"Naik","Sama")</f>
        <v>Sama</v>
      </c>
      <c r="BA300" s="7" t="str">
        <f>IF(Table43[[#This Row],[Kode BARANG Win2]]&lt;&gt;"","IDR","")</f>
        <v>IDR</v>
      </c>
      <c r="BB300" s="7" t="str">
        <f>CONCATENATE(Table43[[#This Row],[kode  1 Digit
(Nomor)]],Table43[[#This Row],[kode  4 Digit                (Nomor)]])</f>
        <v>10125</v>
      </c>
      <c r="BC300" s="7" t="str">
        <f>Table43[[#This Row],[Nama            Gramasi atau Jumlah Pack per CTN]]</f>
        <v>125ML</v>
      </c>
      <c r="BD300" s="7"/>
      <c r="BE300" s="7"/>
      <c r="BF300" s="4" t="str">
        <f>IF(Table43[[#This Row],[SATUAN Fix Win]]&lt;&gt;"","KRT")</f>
        <v>KRT</v>
      </c>
      <c r="BG300" s="4" t="str">
        <f>IF(Table43[[#This Row],[SATUAN Fix Win]]&lt;&gt;"","GD01")</f>
        <v>GD01</v>
      </c>
      <c r="BH300" s="4">
        <f>IF(Table43[[#This Row],[SATUAN Fix Win]]&lt;&gt;"",11611)</f>
        <v>11611</v>
      </c>
      <c r="BI300" s="4">
        <f>IF(Table43[[#This Row],[SATUAN Fix Win]]&lt;&gt;"",11612)</f>
        <v>11612</v>
      </c>
      <c r="BJ300" s="48"/>
      <c r="BK300" s="4">
        <f>IF(Table43[[#This Row],[SATUAN Fix Win]]&lt;&gt;"",1)</f>
        <v>1</v>
      </c>
    </row>
    <row r="301" spans="1:63">
      <c r="A301" s="4" t="str">
        <f>CONCATENATE(Table43[[#This Row],[Kode BARANG Win2]],Table43[[#This Row],[No. Urut
Item Sama]])</f>
        <v>K11570060060101</v>
      </c>
      <c r="B301" s="7">
        <v>1</v>
      </c>
      <c r="D301" s="28" t="s">
        <v>742</v>
      </c>
      <c r="E301" s="28"/>
      <c r="F301" s="28" t="s">
        <v>3088</v>
      </c>
      <c r="G301" s="78">
        <v>36</v>
      </c>
      <c r="H301" s="43"/>
      <c r="I301" s="28" t="str">
        <f>Table43[[#This Row],[Nama Jenis Kemasan]]</f>
        <v>BTL</v>
      </c>
      <c r="J301" s="4" t="str">
        <f>TRIM(CONCATENATE(Table43[[#This Row],[Nama            KLP]]," ",Table43[[#This Row],[Nama            Sub KLP]]))</f>
        <v>ESKULIN KIDS SPLASH</v>
      </c>
      <c r="K301" s="4" t="str">
        <f>CONCATENATE(Table43[[#This Row],[kode  2 Digit                (hrf+No)]],Table43[[#This Row],[kode  2 Digit                (Nomor)]],Table43[[#This Row],[kode  1 Digit                (Nomor)]])</f>
        <v>K1157</v>
      </c>
      <c r="L301" s="4" t="str">
        <f t="shared" si="15"/>
        <v>K1157006006010</v>
      </c>
      <c r="M301" s="11">
        <f t="shared" si="16"/>
        <v>14</v>
      </c>
      <c r="N301" s="14" t="str">
        <f>IF(AF301&lt;&gt;"",TRIM(UPPER(CONCATENATE(P301," ",R301," ",T301," ",V301," ",X301," ",Z301," ","X"," ",Table43[[#This Row],[ISI/CTN]]," ",AF301," ",AB301," ",AD301," ",AH301))),TRIM(UPPER(CONCATENATE(P301," ",R301," ",T301," ",V301," ",X301," ",Z301," ","X"," ",Table43[[#This Row],[ISI/CTN]]," ",AB301," ",AD301," ",AH301))))</f>
        <v>KNF ESKULIN KIDS SPLASH RAPUNZEL 60ML X 36 BTL</v>
      </c>
      <c r="O301" s="11">
        <f t="shared" si="17"/>
        <v>46</v>
      </c>
      <c r="P301" s="4" t="s">
        <v>97</v>
      </c>
      <c r="Q301" s="7" t="s">
        <v>98</v>
      </c>
      <c r="R301" s="4" t="s">
        <v>3754</v>
      </c>
      <c r="S301" s="44" t="s">
        <v>3568</v>
      </c>
      <c r="T301" s="45" t="s">
        <v>3788</v>
      </c>
      <c r="U301" s="7" t="s">
        <v>3619</v>
      </c>
      <c r="V301" s="45" t="s">
        <v>2961</v>
      </c>
      <c r="W301" s="44" t="s">
        <v>2900</v>
      </c>
      <c r="X301" s="4" t="s">
        <v>3778</v>
      </c>
      <c r="Y301" s="46" t="s">
        <v>2476</v>
      </c>
      <c r="Z301" s="4" t="s">
        <v>1026</v>
      </c>
      <c r="AA301" s="46" t="s">
        <v>2481</v>
      </c>
      <c r="AB301" s="4" t="s">
        <v>357</v>
      </c>
      <c r="AC301" s="7" t="s">
        <v>2656</v>
      </c>
      <c r="AD301" s="4" t="s">
        <v>2961</v>
      </c>
      <c r="AE301" s="7" t="s">
        <v>2900</v>
      </c>
      <c r="AF301" s="7" t="s">
        <v>2961</v>
      </c>
      <c r="AG301" s="7" t="s">
        <v>2961</v>
      </c>
      <c r="AI301" s="7" t="s">
        <v>4100</v>
      </c>
      <c r="AJ301" s="7" t="s">
        <v>2656</v>
      </c>
      <c r="AK301" s="41">
        <f>Table43[[#This Row],[Harga Jual Pcs GT
(-PPN)]]-(Table43[[#This Row],[Harga Jual Pcs GT
(-PPN)]]*10%)</f>
        <v>0</v>
      </c>
      <c r="AL301" s="42">
        <f>Table43[[#This Row],[Harga Beli Pcs
(-PPN)]]*Table43[[#This Row],[ISI/CTN]]</f>
        <v>0</v>
      </c>
      <c r="AM301" s="42">
        <f>Table43[[#This Row],[Harga Beli Pcs
(-PPN)]]*1.11</f>
        <v>0</v>
      </c>
      <c r="AN301" s="42">
        <f>Table43[[#This Row],[Harga Beli Krt
(- PPN)]]*1.11</f>
        <v>0</v>
      </c>
      <c r="AO301" s="42"/>
      <c r="AP301" s="42">
        <f>Table43[[#This Row],[Harga Jual Pcs GT
(-PPN)]]*Table43[[#This Row],[ISI/CTN]]</f>
        <v>0</v>
      </c>
      <c r="AQ301" s="42">
        <f>Table43[[#This Row],[Harga Jual Pcs GT
(-PPN)]]*1.11</f>
        <v>0</v>
      </c>
      <c r="AR301" s="42">
        <f>Table43[[#This Row],[Harga Jual Krt GT
(- PPN)]]*1.11</f>
        <v>0</v>
      </c>
      <c r="AS301" s="42">
        <f>Table43[[#This Row],[Harga Jual Pcs GT
(-PPN)]]</f>
        <v>0</v>
      </c>
      <c r="AT301" s="42">
        <f>(Table43[[#This Row],[Harga Jual Pcs MT
(-PPN)]]*Table43[[#This Row],[ISI/CTN]])</f>
        <v>0</v>
      </c>
      <c r="AU301" s="42">
        <f>Table43[[#This Row],[Harga Jual Pcs MT
(-PPN)]]*1.11</f>
        <v>0</v>
      </c>
      <c r="AV301" s="42">
        <f>Table43[[#This Row],[Harga Jual Pcs MT
(+PPN)]]*Table43[[#This Row],[ISI/CTN]]</f>
        <v>0</v>
      </c>
      <c r="AW301" s="47"/>
      <c r="AX301" s="7"/>
      <c r="AY301" s="7" t="str">
        <f ca="1">IF(TODAY()-Table43[[#This Row],[Efektif
Pembuatan]]&gt;60,"Lama","Baru")</f>
        <v>Lama</v>
      </c>
      <c r="AZ301" s="7" t="str">
        <f ca="1">IF(TODAY()-Table43[[#This Row],[Efektif Naik Harga]]&lt;30,"Naik","Sama")</f>
        <v>Sama</v>
      </c>
      <c r="BA301" s="7" t="str">
        <f>IF(Table43[[#This Row],[Kode BARANG Win2]]&lt;&gt;"","IDR","")</f>
        <v>IDR</v>
      </c>
      <c r="BB301" s="7" t="str">
        <f>CONCATENATE(Table43[[#This Row],[kode  1 Digit
(Nomor)]],Table43[[#This Row],[kode  4 Digit                (Nomor)]])</f>
        <v>10060</v>
      </c>
      <c r="BC301" s="7" t="str">
        <f>Table43[[#This Row],[Nama            Gramasi atau Jumlah Pack per CTN]]</f>
        <v>60ML</v>
      </c>
      <c r="BD301" s="7"/>
      <c r="BE301" s="7"/>
      <c r="BF301" s="4" t="str">
        <f>IF(Table43[[#This Row],[SATUAN Fix Win]]&lt;&gt;"","KRT")</f>
        <v>KRT</v>
      </c>
      <c r="BG301" s="4" t="str">
        <f>IF(Table43[[#This Row],[SATUAN Fix Win]]&lt;&gt;"","GD01")</f>
        <v>GD01</v>
      </c>
      <c r="BH301" s="4">
        <f>IF(Table43[[#This Row],[SATUAN Fix Win]]&lt;&gt;"",11611)</f>
        <v>11611</v>
      </c>
      <c r="BI301" s="4">
        <f>IF(Table43[[#This Row],[SATUAN Fix Win]]&lt;&gt;"",11612)</f>
        <v>11612</v>
      </c>
      <c r="BJ301" s="48"/>
      <c r="BK301" s="4">
        <f>IF(Table43[[#This Row],[SATUAN Fix Win]]&lt;&gt;"",1)</f>
        <v>1</v>
      </c>
    </row>
    <row r="302" spans="1:63">
      <c r="A302" s="4" t="str">
        <f>CONCATENATE(Table43[[#This Row],[Kode BARANG Win2]],Table43[[#This Row],[No. Urut
Item Sama]])</f>
        <v>K11570060125101</v>
      </c>
      <c r="B302" s="7">
        <v>1</v>
      </c>
      <c r="D302" s="28" t="s">
        <v>743</v>
      </c>
      <c r="E302" s="28"/>
      <c r="F302" s="28" t="s">
        <v>3089</v>
      </c>
      <c r="G302" s="78">
        <v>36</v>
      </c>
      <c r="H302" s="43"/>
      <c r="I302" s="28" t="str">
        <f>Table43[[#This Row],[Nama Jenis Kemasan]]</f>
        <v>BTL</v>
      </c>
      <c r="J302" s="4" t="str">
        <f>TRIM(CONCATENATE(Table43[[#This Row],[Nama            KLP]]," ",Table43[[#This Row],[Nama            Sub KLP]]))</f>
        <v>ESKULIN KIDS SPLASH</v>
      </c>
      <c r="K302" s="4" t="str">
        <f>CONCATENATE(Table43[[#This Row],[kode  2 Digit                (hrf+No)]],Table43[[#This Row],[kode  2 Digit                (Nomor)]],Table43[[#This Row],[kode  1 Digit                (Nomor)]])</f>
        <v>K1157</v>
      </c>
      <c r="L302" s="4" t="str">
        <f t="shared" si="15"/>
        <v>K1157006012510</v>
      </c>
      <c r="M302" s="11">
        <f t="shared" si="16"/>
        <v>14</v>
      </c>
      <c r="N302" s="14" t="str">
        <f>IF(AF302&lt;&gt;"",TRIM(UPPER(CONCATENATE(P302," ",R302," ",T302," ",V302," ",X302," ",Z302," ","X"," ",Table43[[#This Row],[ISI/CTN]]," ",AF302," ",AB302," ",AD302," ",AH302))),TRIM(UPPER(CONCATENATE(P302," ",R302," ",T302," ",V302," ",X302," ",Z302," ","X"," ",Table43[[#This Row],[ISI/CTN]]," ",AB302," ",AD302," ",AH302))))</f>
        <v>KNF ESKULIN KIDS SPLASH RAPUNZEL 125ML X 36 BTL</v>
      </c>
      <c r="O302" s="11">
        <f t="shared" si="17"/>
        <v>47</v>
      </c>
      <c r="P302" s="4" t="s">
        <v>97</v>
      </c>
      <c r="Q302" s="7" t="s">
        <v>98</v>
      </c>
      <c r="R302" s="4" t="s">
        <v>3754</v>
      </c>
      <c r="S302" s="44" t="s">
        <v>3568</v>
      </c>
      <c r="T302" s="45" t="s">
        <v>3788</v>
      </c>
      <c r="U302" s="7" t="s">
        <v>3619</v>
      </c>
      <c r="V302" s="45" t="s">
        <v>2961</v>
      </c>
      <c r="W302" s="44" t="s">
        <v>2900</v>
      </c>
      <c r="X302" s="4" t="s">
        <v>3778</v>
      </c>
      <c r="Y302" s="46" t="s">
        <v>2476</v>
      </c>
      <c r="Z302" s="4" t="s">
        <v>3620</v>
      </c>
      <c r="AA302" s="46" t="s">
        <v>2489</v>
      </c>
      <c r="AB302" s="4" t="s">
        <v>357</v>
      </c>
      <c r="AC302" s="7" t="s">
        <v>2656</v>
      </c>
      <c r="AD302" s="4" t="s">
        <v>2961</v>
      </c>
      <c r="AE302" s="7" t="s">
        <v>2900</v>
      </c>
      <c r="AF302" s="7" t="s">
        <v>2961</v>
      </c>
      <c r="AG302" s="7" t="s">
        <v>2961</v>
      </c>
      <c r="AI302" s="7" t="s">
        <v>4100</v>
      </c>
      <c r="AJ302" s="7" t="s">
        <v>2656</v>
      </c>
      <c r="AK302" s="41">
        <f>Table43[[#This Row],[Harga Jual Pcs GT
(-PPN)]]-(Table43[[#This Row],[Harga Jual Pcs GT
(-PPN)]]*10%)</f>
        <v>0</v>
      </c>
      <c r="AL302" s="42">
        <f>Table43[[#This Row],[Harga Beli Pcs
(-PPN)]]*Table43[[#This Row],[ISI/CTN]]</f>
        <v>0</v>
      </c>
      <c r="AM302" s="42">
        <f>Table43[[#This Row],[Harga Beli Pcs
(-PPN)]]*1.11</f>
        <v>0</v>
      </c>
      <c r="AN302" s="42">
        <f>Table43[[#This Row],[Harga Beli Krt
(- PPN)]]*1.11</f>
        <v>0</v>
      </c>
      <c r="AO302" s="42"/>
      <c r="AP302" s="42">
        <f>Table43[[#This Row],[Harga Jual Pcs GT
(-PPN)]]*Table43[[#This Row],[ISI/CTN]]</f>
        <v>0</v>
      </c>
      <c r="AQ302" s="42">
        <f>Table43[[#This Row],[Harga Jual Pcs GT
(-PPN)]]*1.11</f>
        <v>0</v>
      </c>
      <c r="AR302" s="42">
        <f>Table43[[#This Row],[Harga Jual Krt GT
(- PPN)]]*1.11</f>
        <v>0</v>
      </c>
      <c r="AS302" s="42">
        <f>Table43[[#This Row],[Harga Jual Pcs GT
(-PPN)]]</f>
        <v>0</v>
      </c>
      <c r="AT302" s="42">
        <f>(Table43[[#This Row],[Harga Jual Pcs MT
(-PPN)]]*Table43[[#This Row],[ISI/CTN]])</f>
        <v>0</v>
      </c>
      <c r="AU302" s="42">
        <f>Table43[[#This Row],[Harga Jual Pcs MT
(-PPN)]]*1.11</f>
        <v>0</v>
      </c>
      <c r="AV302" s="42">
        <f>Table43[[#This Row],[Harga Jual Pcs MT
(+PPN)]]*Table43[[#This Row],[ISI/CTN]]</f>
        <v>0</v>
      </c>
      <c r="AW302" s="47"/>
      <c r="AX302" s="7"/>
      <c r="AY302" s="7" t="str">
        <f ca="1">IF(TODAY()-Table43[[#This Row],[Efektif
Pembuatan]]&gt;60,"Lama","Baru")</f>
        <v>Lama</v>
      </c>
      <c r="AZ302" s="7" t="str">
        <f ca="1">IF(TODAY()-Table43[[#This Row],[Efektif Naik Harga]]&lt;30,"Naik","Sama")</f>
        <v>Sama</v>
      </c>
      <c r="BA302" s="7" t="str">
        <f>IF(Table43[[#This Row],[Kode BARANG Win2]]&lt;&gt;"","IDR","")</f>
        <v>IDR</v>
      </c>
      <c r="BB302" s="7" t="str">
        <f>CONCATENATE(Table43[[#This Row],[kode  1 Digit
(Nomor)]],Table43[[#This Row],[kode  4 Digit                (Nomor)]])</f>
        <v>10125</v>
      </c>
      <c r="BC302" s="7" t="str">
        <f>Table43[[#This Row],[Nama            Gramasi atau Jumlah Pack per CTN]]</f>
        <v>125ML</v>
      </c>
      <c r="BD302" s="7"/>
      <c r="BE302" s="7"/>
      <c r="BF302" s="4" t="str">
        <f>IF(Table43[[#This Row],[SATUAN Fix Win]]&lt;&gt;"","KRT")</f>
        <v>KRT</v>
      </c>
      <c r="BG302" s="4" t="str">
        <f>IF(Table43[[#This Row],[SATUAN Fix Win]]&lt;&gt;"","GD01")</f>
        <v>GD01</v>
      </c>
      <c r="BH302" s="4">
        <f>IF(Table43[[#This Row],[SATUAN Fix Win]]&lt;&gt;"",11611)</f>
        <v>11611</v>
      </c>
      <c r="BI302" s="4">
        <f>IF(Table43[[#This Row],[SATUAN Fix Win]]&lt;&gt;"",11612)</f>
        <v>11612</v>
      </c>
      <c r="BJ302" s="48"/>
      <c r="BK302" s="4">
        <f>IF(Table43[[#This Row],[SATUAN Fix Win]]&lt;&gt;"",1)</f>
        <v>1</v>
      </c>
    </row>
    <row r="303" spans="1:63">
      <c r="A303" s="4" t="str">
        <f>CONCATENATE(Table43[[#This Row],[Kode BARANG Win2]],Table43[[#This Row],[No. Urut
Item Sama]])</f>
        <v>K11570070060101</v>
      </c>
      <c r="B303" s="7">
        <v>1</v>
      </c>
      <c r="D303" s="28" t="s">
        <v>740</v>
      </c>
      <c r="E303" s="28"/>
      <c r="F303" s="28" t="s">
        <v>3090</v>
      </c>
      <c r="G303" s="78">
        <v>36</v>
      </c>
      <c r="H303" s="43"/>
      <c r="I303" s="28" t="str">
        <f>Table43[[#This Row],[Nama Jenis Kemasan]]</f>
        <v>BTL</v>
      </c>
      <c r="J303" s="4" t="str">
        <f>TRIM(CONCATENATE(Table43[[#This Row],[Nama            KLP]]," ",Table43[[#This Row],[Nama            Sub KLP]]))</f>
        <v>ESKULIN KIDS SPLASH</v>
      </c>
      <c r="K303" s="4" t="str">
        <f>CONCATENATE(Table43[[#This Row],[kode  2 Digit                (hrf+No)]],Table43[[#This Row],[kode  2 Digit                (Nomor)]],Table43[[#This Row],[kode  1 Digit                (Nomor)]])</f>
        <v>K1157</v>
      </c>
      <c r="L303" s="4" t="str">
        <f t="shared" si="15"/>
        <v>K1157007006010</v>
      </c>
      <c r="M303" s="11">
        <f t="shared" si="16"/>
        <v>14</v>
      </c>
      <c r="N303" s="14" t="str">
        <f>IF(AF303&lt;&gt;"",TRIM(UPPER(CONCATENATE(P303," ",R303," ",T303," ",V303," ",X303," ",Z303," ","X"," ",Table43[[#This Row],[ISI/CTN]]," ",AF303," ",AB303," ",AD303," ",AH303))),TRIM(UPPER(CONCATENATE(P303," ",R303," ",T303," ",V303," ",X303," ",Z303," ","X"," ",Table43[[#This Row],[ISI/CTN]]," ",AB303," ",AD303," ",AH303))))</f>
        <v>KNF ESKULIN KIDS SPLASH S.WHITE 60ML X 36 BTL</v>
      </c>
      <c r="O303" s="11">
        <f t="shared" si="17"/>
        <v>45</v>
      </c>
      <c r="P303" s="4" t="s">
        <v>97</v>
      </c>
      <c r="Q303" s="7" t="s">
        <v>98</v>
      </c>
      <c r="R303" s="4" t="s">
        <v>3754</v>
      </c>
      <c r="S303" s="44" t="s">
        <v>3568</v>
      </c>
      <c r="T303" s="45" t="s">
        <v>3788</v>
      </c>
      <c r="U303" s="7" t="s">
        <v>3619</v>
      </c>
      <c r="V303" s="45" t="s">
        <v>2961</v>
      </c>
      <c r="W303" s="44" t="s">
        <v>2900</v>
      </c>
      <c r="X303" s="4" t="s">
        <v>3779</v>
      </c>
      <c r="Y303" s="46" t="s">
        <v>2477</v>
      </c>
      <c r="Z303" s="4" t="s">
        <v>1026</v>
      </c>
      <c r="AA303" s="46" t="s">
        <v>2481</v>
      </c>
      <c r="AB303" s="4" t="s">
        <v>357</v>
      </c>
      <c r="AC303" s="7" t="s">
        <v>2656</v>
      </c>
      <c r="AD303" s="4" t="s">
        <v>2961</v>
      </c>
      <c r="AE303" s="7" t="s">
        <v>2900</v>
      </c>
      <c r="AF303" s="7" t="s">
        <v>2961</v>
      </c>
      <c r="AG303" s="7" t="s">
        <v>2961</v>
      </c>
      <c r="AI303" s="7" t="s">
        <v>4100</v>
      </c>
      <c r="AJ303" s="7" t="s">
        <v>2656</v>
      </c>
      <c r="AK303" s="41">
        <f>Table43[[#This Row],[Harga Jual Pcs GT
(-PPN)]]-(Table43[[#This Row],[Harga Jual Pcs GT
(-PPN)]]*10%)</f>
        <v>0</v>
      </c>
      <c r="AL303" s="42">
        <f>Table43[[#This Row],[Harga Beli Pcs
(-PPN)]]*Table43[[#This Row],[ISI/CTN]]</f>
        <v>0</v>
      </c>
      <c r="AM303" s="42">
        <f>Table43[[#This Row],[Harga Beli Pcs
(-PPN)]]*1.11</f>
        <v>0</v>
      </c>
      <c r="AN303" s="42">
        <f>Table43[[#This Row],[Harga Beli Krt
(- PPN)]]*1.11</f>
        <v>0</v>
      </c>
      <c r="AO303" s="42"/>
      <c r="AP303" s="42">
        <f>Table43[[#This Row],[Harga Jual Pcs GT
(-PPN)]]*Table43[[#This Row],[ISI/CTN]]</f>
        <v>0</v>
      </c>
      <c r="AQ303" s="42">
        <f>Table43[[#This Row],[Harga Jual Pcs GT
(-PPN)]]*1.11</f>
        <v>0</v>
      </c>
      <c r="AR303" s="42">
        <f>Table43[[#This Row],[Harga Jual Krt GT
(- PPN)]]*1.11</f>
        <v>0</v>
      </c>
      <c r="AS303" s="42">
        <f>Table43[[#This Row],[Harga Jual Pcs GT
(-PPN)]]</f>
        <v>0</v>
      </c>
      <c r="AT303" s="42">
        <f>(Table43[[#This Row],[Harga Jual Pcs MT
(-PPN)]]*Table43[[#This Row],[ISI/CTN]])</f>
        <v>0</v>
      </c>
      <c r="AU303" s="42">
        <f>Table43[[#This Row],[Harga Jual Pcs MT
(-PPN)]]*1.11</f>
        <v>0</v>
      </c>
      <c r="AV303" s="42">
        <f>Table43[[#This Row],[Harga Jual Pcs MT
(+PPN)]]*Table43[[#This Row],[ISI/CTN]]</f>
        <v>0</v>
      </c>
      <c r="AW303" s="47"/>
      <c r="AX303" s="7"/>
      <c r="AY303" s="7" t="str">
        <f ca="1">IF(TODAY()-Table43[[#This Row],[Efektif
Pembuatan]]&gt;60,"Lama","Baru")</f>
        <v>Lama</v>
      </c>
      <c r="AZ303" s="7" t="str">
        <f ca="1">IF(TODAY()-Table43[[#This Row],[Efektif Naik Harga]]&lt;30,"Naik","Sama")</f>
        <v>Sama</v>
      </c>
      <c r="BA303" s="7" t="str">
        <f>IF(Table43[[#This Row],[Kode BARANG Win2]]&lt;&gt;"","IDR","")</f>
        <v>IDR</v>
      </c>
      <c r="BB303" s="7" t="str">
        <f>CONCATENATE(Table43[[#This Row],[kode  1 Digit
(Nomor)]],Table43[[#This Row],[kode  4 Digit                (Nomor)]])</f>
        <v>10060</v>
      </c>
      <c r="BC303" s="7" t="str">
        <f>Table43[[#This Row],[Nama            Gramasi atau Jumlah Pack per CTN]]</f>
        <v>60ML</v>
      </c>
      <c r="BD303" s="7"/>
      <c r="BE303" s="7"/>
      <c r="BF303" s="4" t="str">
        <f>IF(Table43[[#This Row],[SATUAN Fix Win]]&lt;&gt;"","KRT")</f>
        <v>KRT</v>
      </c>
      <c r="BG303" s="4" t="str">
        <f>IF(Table43[[#This Row],[SATUAN Fix Win]]&lt;&gt;"","GD01")</f>
        <v>GD01</v>
      </c>
      <c r="BH303" s="4">
        <f>IF(Table43[[#This Row],[SATUAN Fix Win]]&lt;&gt;"",11611)</f>
        <v>11611</v>
      </c>
      <c r="BI303" s="4">
        <f>IF(Table43[[#This Row],[SATUAN Fix Win]]&lt;&gt;"",11612)</f>
        <v>11612</v>
      </c>
      <c r="BJ303" s="48"/>
      <c r="BK303" s="4">
        <f>IF(Table43[[#This Row],[SATUAN Fix Win]]&lt;&gt;"",1)</f>
        <v>1</v>
      </c>
    </row>
    <row r="304" spans="1:63">
      <c r="A304" s="4" t="str">
        <f>CONCATENATE(Table43[[#This Row],[Kode BARANG Win2]],Table43[[#This Row],[No. Urut
Item Sama]])</f>
        <v>K11570070125101</v>
      </c>
      <c r="B304" s="7">
        <v>1</v>
      </c>
      <c r="D304" s="28" t="s">
        <v>741</v>
      </c>
      <c r="E304" s="28"/>
      <c r="F304" s="28" t="s">
        <v>3091</v>
      </c>
      <c r="G304" s="78">
        <v>36</v>
      </c>
      <c r="H304" s="43"/>
      <c r="I304" s="28" t="str">
        <f>Table43[[#This Row],[Nama Jenis Kemasan]]</f>
        <v>BTL</v>
      </c>
      <c r="J304" s="4" t="str">
        <f>TRIM(CONCATENATE(Table43[[#This Row],[Nama            KLP]]," ",Table43[[#This Row],[Nama            Sub KLP]]))</f>
        <v>ESKULIN KIDS SPLASH</v>
      </c>
      <c r="K304" s="4" t="str">
        <f>CONCATENATE(Table43[[#This Row],[kode  2 Digit                (hrf+No)]],Table43[[#This Row],[kode  2 Digit                (Nomor)]],Table43[[#This Row],[kode  1 Digit                (Nomor)]])</f>
        <v>K1157</v>
      </c>
      <c r="L304" s="4" t="str">
        <f t="shared" si="15"/>
        <v>K1157007012510</v>
      </c>
      <c r="M304" s="11">
        <f t="shared" si="16"/>
        <v>14</v>
      </c>
      <c r="N304" s="14" t="str">
        <f>IF(AF304&lt;&gt;"",TRIM(UPPER(CONCATENATE(P304," ",R304," ",T304," ",V304," ",X304," ",Z304," ","X"," ",Table43[[#This Row],[ISI/CTN]]," ",AF304," ",AB304," ",AD304," ",AH304))),TRIM(UPPER(CONCATENATE(P304," ",R304," ",T304," ",V304," ",X304," ",Z304," ","X"," ",Table43[[#This Row],[ISI/CTN]]," ",AB304," ",AD304," ",AH304))))</f>
        <v>KNF ESKULIN KIDS SPLASH S.WHITE 125ML X 36 BTL</v>
      </c>
      <c r="O304" s="11">
        <f t="shared" si="17"/>
        <v>46</v>
      </c>
      <c r="P304" s="4" t="s">
        <v>97</v>
      </c>
      <c r="Q304" s="7" t="s">
        <v>98</v>
      </c>
      <c r="R304" s="4" t="s">
        <v>3754</v>
      </c>
      <c r="S304" s="44" t="s">
        <v>3568</v>
      </c>
      <c r="T304" s="45" t="s">
        <v>3788</v>
      </c>
      <c r="U304" s="7" t="s">
        <v>3619</v>
      </c>
      <c r="V304" s="45" t="s">
        <v>2961</v>
      </c>
      <c r="W304" s="44" t="s">
        <v>2900</v>
      </c>
      <c r="X304" s="4" t="s">
        <v>3779</v>
      </c>
      <c r="Y304" s="46" t="s">
        <v>2477</v>
      </c>
      <c r="Z304" s="4" t="s">
        <v>3620</v>
      </c>
      <c r="AA304" s="46" t="s">
        <v>2489</v>
      </c>
      <c r="AB304" s="4" t="s">
        <v>357</v>
      </c>
      <c r="AC304" s="7" t="s">
        <v>2656</v>
      </c>
      <c r="AD304" s="4" t="s">
        <v>2961</v>
      </c>
      <c r="AE304" s="7" t="s">
        <v>2900</v>
      </c>
      <c r="AF304" s="7" t="s">
        <v>2961</v>
      </c>
      <c r="AG304" s="7" t="s">
        <v>2961</v>
      </c>
      <c r="AI304" s="7" t="s">
        <v>4100</v>
      </c>
      <c r="AJ304" s="7" t="s">
        <v>2656</v>
      </c>
      <c r="AK304" s="41">
        <f>Table43[[#This Row],[Harga Jual Pcs GT
(-PPN)]]-(Table43[[#This Row],[Harga Jual Pcs GT
(-PPN)]]*10%)</f>
        <v>0</v>
      </c>
      <c r="AL304" s="42">
        <f>Table43[[#This Row],[Harga Beli Pcs
(-PPN)]]*Table43[[#This Row],[ISI/CTN]]</f>
        <v>0</v>
      </c>
      <c r="AM304" s="42">
        <f>Table43[[#This Row],[Harga Beli Pcs
(-PPN)]]*1.11</f>
        <v>0</v>
      </c>
      <c r="AN304" s="42">
        <f>Table43[[#This Row],[Harga Beli Krt
(- PPN)]]*1.11</f>
        <v>0</v>
      </c>
      <c r="AO304" s="42"/>
      <c r="AP304" s="42">
        <f>Table43[[#This Row],[Harga Jual Pcs GT
(-PPN)]]*Table43[[#This Row],[ISI/CTN]]</f>
        <v>0</v>
      </c>
      <c r="AQ304" s="42">
        <f>Table43[[#This Row],[Harga Jual Pcs GT
(-PPN)]]*1.11</f>
        <v>0</v>
      </c>
      <c r="AR304" s="42">
        <f>Table43[[#This Row],[Harga Jual Krt GT
(- PPN)]]*1.11</f>
        <v>0</v>
      </c>
      <c r="AS304" s="42">
        <f>Table43[[#This Row],[Harga Jual Pcs GT
(-PPN)]]</f>
        <v>0</v>
      </c>
      <c r="AT304" s="42">
        <f>(Table43[[#This Row],[Harga Jual Pcs MT
(-PPN)]]*Table43[[#This Row],[ISI/CTN]])</f>
        <v>0</v>
      </c>
      <c r="AU304" s="42">
        <f>Table43[[#This Row],[Harga Jual Pcs MT
(-PPN)]]*1.11</f>
        <v>0</v>
      </c>
      <c r="AV304" s="42">
        <f>Table43[[#This Row],[Harga Jual Pcs MT
(+PPN)]]*Table43[[#This Row],[ISI/CTN]]</f>
        <v>0</v>
      </c>
      <c r="AW304" s="47"/>
      <c r="AX304" s="7"/>
      <c r="AY304" s="7" t="str">
        <f ca="1">IF(TODAY()-Table43[[#This Row],[Efektif
Pembuatan]]&gt;60,"Lama","Baru")</f>
        <v>Lama</v>
      </c>
      <c r="AZ304" s="7" t="str">
        <f ca="1">IF(TODAY()-Table43[[#This Row],[Efektif Naik Harga]]&lt;30,"Naik","Sama")</f>
        <v>Sama</v>
      </c>
      <c r="BA304" s="7" t="str">
        <f>IF(Table43[[#This Row],[Kode BARANG Win2]]&lt;&gt;"","IDR","")</f>
        <v>IDR</v>
      </c>
      <c r="BB304" s="7" t="str">
        <f>CONCATENATE(Table43[[#This Row],[kode  1 Digit
(Nomor)]],Table43[[#This Row],[kode  4 Digit                (Nomor)]])</f>
        <v>10125</v>
      </c>
      <c r="BC304" s="7" t="str">
        <f>Table43[[#This Row],[Nama            Gramasi atau Jumlah Pack per CTN]]</f>
        <v>125ML</v>
      </c>
      <c r="BD304" s="7"/>
      <c r="BE304" s="7"/>
      <c r="BF304" s="4" t="str">
        <f>IF(Table43[[#This Row],[SATUAN Fix Win]]&lt;&gt;"","KRT")</f>
        <v>KRT</v>
      </c>
      <c r="BG304" s="4" t="str">
        <f>IF(Table43[[#This Row],[SATUAN Fix Win]]&lt;&gt;"","GD01")</f>
        <v>GD01</v>
      </c>
      <c r="BH304" s="4">
        <f>IF(Table43[[#This Row],[SATUAN Fix Win]]&lt;&gt;"",11611)</f>
        <v>11611</v>
      </c>
      <c r="BI304" s="4">
        <f>IF(Table43[[#This Row],[SATUAN Fix Win]]&lt;&gt;"",11612)</f>
        <v>11612</v>
      </c>
      <c r="BJ304" s="48"/>
      <c r="BK304" s="4">
        <f>IF(Table43[[#This Row],[SATUAN Fix Win]]&lt;&gt;"",1)</f>
        <v>1</v>
      </c>
    </row>
    <row r="305" spans="1:63">
      <c r="A305" s="4" t="str">
        <f>CONCATENATE(Table43[[#This Row],[Kode BARANG Win2]],Table43[[#This Row],[No. Urut
Item Sama]])</f>
        <v>K11580010125101</v>
      </c>
      <c r="B305" s="7">
        <v>1</v>
      </c>
      <c r="D305" s="28" t="s">
        <v>734</v>
      </c>
      <c r="E305" s="28"/>
      <c r="F305" s="28" t="s">
        <v>3092</v>
      </c>
      <c r="G305" s="78">
        <v>36</v>
      </c>
      <c r="H305" s="43"/>
      <c r="I305" s="28" t="str">
        <f>Table43[[#This Row],[Nama Jenis Kemasan]]</f>
        <v>BTL</v>
      </c>
      <c r="J305" s="4" t="str">
        <f>TRIM(CONCATENATE(Table43[[#This Row],[Nama            KLP]]," ",Table43[[#This Row],[Nama            Sub KLP]]))</f>
        <v>ESKULIN KIDS SPRAY</v>
      </c>
      <c r="K305" s="4" t="str">
        <f>CONCATENATE(Table43[[#This Row],[kode  2 Digit                (hrf+No)]],Table43[[#This Row],[kode  2 Digit                (Nomor)]],Table43[[#This Row],[kode  1 Digit                (Nomor)]])</f>
        <v>K1158</v>
      </c>
      <c r="L305" s="4" t="str">
        <f t="shared" si="15"/>
        <v>K1158001012510</v>
      </c>
      <c r="M305" s="11">
        <f t="shared" si="16"/>
        <v>14</v>
      </c>
      <c r="N305" s="14" t="str">
        <f>IF(AF305&lt;&gt;"",TRIM(UPPER(CONCATENATE(P305," ",R305," ",T305," ",V305," ",X305," ",Z305," ","X"," ",Table43[[#This Row],[ISI/CTN]]," ",AF305," ",AB305," ",AD305," ",AH305))),TRIM(UPPER(CONCATENATE(P305," ",R305," ",T305," ",V305," ",X305," ",Z305," ","X"," ",Table43[[#This Row],[ISI/CTN]]," ",AB305," ",AD305," ",AH305))))</f>
        <v>KNF ESKULIN KIDS SPRAY ANNA 125ML X 36 BTL</v>
      </c>
      <c r="O305" s="11">
        <f t="shared" si="17"/>
        <v>42</v>
      </c>
      <c r="P305" s="4" t="s">
        <v>97</v>
      </c>
      <c r="Q305" s="7" t="s">
        <v>98</v>
      </c>
      <c r="R305" s="4" t="s">
        <v>3754</v>
      </c>
      <c r="S305" s="44" t="s">
        <v>3568</v>
      </c>
      <c r="T305" s="45" t="s">
        <v>3728</v>
      </c>
      <c r="U305" s="7" t="s">
        <v>3631</v>
      </c>
      <c r="V305" s="45" t="s">
        <v>2961</v>
      </c>
      <c r="W305" s="44" t="s">
        <v>2900</v>
      </c>
      <c r="X305" s="4" t="s">
        <v>3769</v>
      </c>
      <c r="Y305" s="46" t="s">
        <v>0</v>
      </c>
      <c r="Z305" s="4" t="s">
        <v>3620</v>
      </c>
      <c r="AA305" s="46" t="s">
        <v>2489</v>
      </c>
      <c r="AB305" s="4" t="s">
        <v>357</v>
      </c>
      <c r="AC305" s="7" t="s">
        <v>2656</v>
      </c>
      <c r="AD305" s="4" t="s">
        <v>2961</v>
      </c>
      <c r="AE305" s="7" t="s">
        <v>2900</v>
      </c>
      <c r="AF305" s="7" t="s">
        <v>2961</v>
      </c>
      <c r="AG305" s="7" t="s">
        <v>2961</v>
      </c>
      <c r="AI305" s="7" t="s">
        <v>4100</v>
      </c>
      <c r="AJ305" s="7" t="s">
        <v>2656</v>
      </c>
      <c r="AK305" s="41">
        <f>Table43[[#This Row],[Harga Jual Pcs GT
(-PPN)]]-(Table43[[#This Row],[Harga Jual Pcs GT
(-PPN)]]*10%)</f>
        <v>0</v>
      </c>
      <c r="AL305" s="42">
        <f>Table43[[#This Row],[Harga Beli Pcs
(-PPN)]]*Table43[[#This Row],[ISI/CTN]]</f>
        <v>0</v>
      </c>
      <c r="AM305" s="42">
        <f>Table43[[#This Row],[Harga Beli Pcs
(-PPN)]]*1.11</f>
        <v>0</v>
      </c>
      <c r="AN305" s="42">
        <f>Table43[[#This Row],[Harga Beli Krt
(- PPN)]]*1.11</f>
        <v>0</v>
      </c>
      <c r="AO305" s="42"/>
      <c r="AP305" s="42">
        <f>Table43[[#This Row],[Harga Jual Pcs GT
(-PPN)]]*Table43[[#This Row],[ISI/CTN]]</f>
        <v>0</v>
      </c>
      <c r="AQ305" s="42">
        <f>Table43[[#This Row],[Harga Jual Pcs GT
(-PPN)]]*1.11</f>
        <v>0</v>
      </c>
      <c r="AR305" s="42">
        <f>Table43[[#This Row],[Harga Jual Krt GT
(- PPN)]]*1.11</f>
        <v>0</v>
      </c>
      <c r="AS305" s="42">
        <f>Table43[[#This Row],[Harga Jual Pcs GT
(-PPN)]]</f>
        <v>0</v>
      </c>
      <c r="AT305" s="42">
        <f>(Table43[[#This Row],[Harga Jual Pcs MT
(-PPN)]]*Table43[[#This Row],[ISI/CTN]])</f>
        <v>0</v>
      </c>
      <c r="AU305" s="42">
        <f>Table43[[#This Row],[Harga Jual Pcs MT
(-PPN)]]*1.11</f>
        <v>0</v>
      </c>
      <c r="AV305" s="42">
        <f>Table43[[#This Row],[Harga Jual Pcs MT
(+PPN)]]*Table43[[#This Row],[ISI/CTN]]</f>
        <v>0</v>
      </c>
      <c r="AW305" s="47"/>
      <c r="AX305" s="7"/>
      <c r="AY305" s="7" t="str">
        <f ca="1">IF(TODAY()-Table43[[#This Row],[Efektif
Pembuatan]]&gt;60,"Lama","Baru")</f>
        <v>Lama</v>
      </c>
      <c r="AZ305" s="7" t="str">
        <f ca="1">IF(TODAY()-Table43[[#This Row],[Efektif Naik Harga]]&lt;30,"Naik","Sama")</f>
        <v>Sama</v>
      </c>
      <c r="BA305" s="7" t="str">
        <f>IF(Table43[[#This Row],[Kode BARANG Win2]]&lt;&gt;"","IDR","")</f>
        <v>IDR</v>
      </c>
      <c r="BB305" s="7" t="str">
        <f>CONCATENATE(Table43[[#This Row],[kode  1 Digit
(Nomor)]],Table43[[#This Row],[kode  4 Digit                (Nomor)]])</f>
        <v>10125</v>
      </c>
      <c r="BC305" s="7" t="str">
        <f>Table43[[#This Row],[Nama            Gramasi atau Jumlah Pack per CTN]]</f>
        <v>125ML</v>
      </c>
      <c r="BD305" s="7"/>
      <c r="BE305" s="7"/>
      <c r="BF305" s="4" t="str">
        <f>IF(Table43[[#This Row],[SATUAN Fix Win]]&lt;&gt;"","KRT")</f>
        <v>KRT</v>
      </c>
      <c r="BG305" s="4" t="str">
        <f>IF(Table43[[#This Row],[SATUAN Fix Win]]&lt;&gt;"","GD01")</f>
        <v>GD01</v>
      </c>
      <c r="BH305" s="4">
        <f>IF(Table43[[#This Row],[SATUAN Fix Win]]&lt;&gt;"",11611)</f>
        <v>11611</v>
      </c>
      <c r="BI305" s="4">
        <f>IF(Table43[[#This Row],[SATUAN Fix Win]]&lt;&gt;"",11612)</f>
        <v>11612</v>
      </c>
      <c r="BJ305" s="48"/>
      <c r="BK305" s="4">
        <f>IF(Table43[[#This Row],[SATUAN Fix Win]]&lt;&gt;"",1)</f>
        <v>1</v>
      </c>
    </row>
    <row r="306" spans="1:63">
      <c r="A306" s="4" t="str">
        <f>CONCATENATE(Table43[[#This Row],[Kode BARANG Win2]],Table43[[#This Row],[No. Urut
Item Sama]])</f>
        <v>K11580020125101</v>
      </c>
      <c r="B306" s="7">
        <v>1</v>
      </c>
      <c r="D306" s="28" t="s">
        <v>726</v>
      </c>
      <c r="E306" s="28"/>
      <c r="F306" s="28" t="s">
        <v>3093</v>
      </c>
      <c r="G306" s="78">
        <v>36</v>
      </c>
      <c r="H306" s="43"/>
      <c r="I306" s="28" t="str">
        <f>Table43[[#This Row],[Nama Jenis Kemasan]]</f>
        <v>BTL</v>
      </c>
      <c r="J306" s="4" t="str">
        <f>TRIM(CONCATENATE(Table43[[#This Row],[Nama            KLP]]," ",Table43[[#This Row],[Nama            Sub KLP]]))</f>
        <v>ESKULIN KIDS SPRAY</v>
      </c>
      <c r="K306" s="4" t="str">
        <f>CONCATENATE(Table43[[#This Row],[kode  2 Digit                (hrf+No)]],Table43[[#This Row],[kode  2 Digit                (Nomor)]],Table43[[#This Row],[kode  1 Digit                (Nomor)]])</f>
        <v>K1158</v>
      </c>
      <c r="L306" s="4" t="str">
        <f t="shared" si="15"/>
        <v>K1158002012510</v>
      </c>
      <c r="M306" s="11">
        <f t="shared" si="16"/>
        <v>14</v>
      </c>
      <c r="N306" s="14" t="str">
        <f>IF(AF306&lt;&gt;"",TRIM(UPPER(CONCATENATE(P306," ",R306," ",T306," ",V306," ",X306," ",Z306," ","X"," ",Table43[[#This Row],[ISI/CTN]]," ",AF306," ",AB306," ",AD306," ",AH306))),TRIM(UPPER(CONCATENATE(P306," ",R306," ",T306," ",V306," ",X306," ",Z306," ","X"," ",Table43[[#This Row],[ISI/CTN]]," ",AB306," ",AD306," ",AH306))))</f>
        <v>KNF ESKULIN KIDS SPRAY ARIEL 125ML X 36 BTL</v>
      </c>
      <c r="O306" s="11">
        <f t="shared" si="17"/>
        <v>43</v>
      </c>
      <c r="P306" s="4" t="s">
        <v>97</v>
      </c>
      <c r="Q306" s="7" t="s">
        <v>98</v>
      </c>
      <c r="R306" s="4" t="s">
        <v>3754</v>
      </c>
      <c r="S306" s="44" t="s">
        <v>3568</v>
      </c>
      <c r="T306" s="45" t="s">
        <v>3728</v>
      </c>
      <c r="U306" s="7" t="s">
        <v>3631</v>
      </c>
      <c r="V306" s="45" t="s">
        <v>2961</v>
      </c>
      <c r="W306" s="44" t="s">
        <v>2900</v>
      </c>
      <c r="X306" s="4" t="s">
        <v>3770</v>
      </c>
      <c r="Y306" s="46" t="s">
        <v>2472</v>
      </c>
      <c r="Z306" s="4" t="s">
        <v>3620</v>
      </c>
      <c r="AA306" s="46" t="s">
        <v>2489</v>
      </c>
      <c r="AB306" s="4" t="s">
        <v>357</v>
      </c>
      <c r="AC306" s="7" t="s">
        <v>2656</v>
      </c>
      <c r="AD306" s="4" t="s">
        <v>2961</v>
      </c>
      <c r="AE306" s="7" t="s">
        <v>2900</v>
      </c>
      <c r="AF306" s="7" t="s">
        <v>2961</v>
      </c>
      <c r="AG306" s="7" t="s">
        <v>2961</v>
      </c>
      <c r="AI306" s="7" t="s">
        <v>4100</v>
      </c>
      <c r="AJ306" s="7" t="s">
        <v>2656</v>
      </c>
      <c r="AK306" s="41">
        <f>Table43[[#This Row],[Harga Jual Pcs GT
(-PPN)]]-(Table43[[#This Row],[Harga Jual Pcs GT
(-PPN)]]*10%)</f>
        <v>0</v>
      </c>
      <c r="AL306" s="42">
        <f>Table43[[#This Row],[Harga Beli Pcs
(-PPN)]]*Table43[[#This Row],[ISI/CTN]]</f>
        <v>0</v>
      </c>
      <c r="AM306" s="42">
        <f>Table43[[#This Row],[Harga Beli Pcs
(-PPN)]]*1.11</f>
        <v>0</v>
      </c>
      <c r="AN306" s="42">
        <f>Table43[[#This Row],[Harga Beli Krt
(- PPN)]]*1.11</f>
        <v>0</v>
      </c>
      <c r="AO306" s="42"/>
      <c r="AP306" s="42">
        <f>Table43[[#This Row],[Harga Jual Pcs GT
(-PPN)]]*Table43[[#This Row],[ISI/CTN]]</f>
        <v>0</v>
      </c>
      <c r="AQ306" s="42">
        <f>Table43[[#This Row],[Harga Jual Pcs GT
(-PPN)]]*1.11</f>
        <v>0</v>
      </c>
      <c r="AR306" s="42">
        <f>Table43[[#This Row],[Harga Jual Krt GT
(- PPN)]]*1.11</f>
        <v>0</v>
      </c>
      <c r="AS306" s="42">
        <f>Table43[[#This Row],[Harga Jual Pcs GT
(-PPN)]]</f>
        <v>0</v>
      </c>
      <c r="AT306" s="42">
        <f>(Table43[[#This Row],[Harga Jual Pcs MT
(-PPN)]]*Table43[[#This Row],[ISI/CTN]])</f>
        <v>0</v>
      </c>
      <c r="AU306" s="42">
        <f>Table43[[#This Row],[Harga Jual Pcs MT
(-PPN)]]*1.11</f>
        <v>0</v>
      </c>
      <c r="AV306" s="42">
        <f>Table43[[#This Row],[Harga Jual Pcs MT
(+PPN)]]*Table43[[#This Row],[ISI/CTN]]</f>
        <v>0</v>
      </c>
      <c r="AW306" s="47"/>
      <c r="AX306" s="7"/>
      <c r="AY306" s="7" t="str">
        <f ca="1">IF(TODAY()-Table43[[#This Row],[Efektif
Pembuatan]]&gt;60,"Lama","Baru")</f>
        <v>Lama</v>
      </c>
      <c r="AZ306" s="7" t="str">
        <f ca="1">IF(TODAY()-Table43[[#This Row],[Efektif Naik Harga]]&lt;30,"Naik","Sama")</f>
        <v>Sama</v>
      </c>
      <c r="BA306" s="7" t="str">
        <f>IF(Table43[[#This Row],[Kode BARANG Win2]]&lt;&gt;"","IDR","")</f>
        <v>IDR</v>
      </c>
      <c r="BB306" s="7" t="str">
        <f>CONCATENATE(Table43[[#This Row],[kode  1 Digit
(Nomor)]],Table43[[#This Row],[kode  4 Digit                (Nomor)]])</f>
        <v>10125</v>
      </c>
      <c r="BC306" s="7" t="str">
        <f>Table43[[#This Row],[Nama            Gramasi atau Jumlah Pack per CTN]]</f>
        <v>125ML</v>
      </c>
      <c r="BD306" s="7"/>
      <c r="BE306" s="7"/>
      <c r="BF306" s="4" t="str">
        <f>IF(Table43[[#This Row],[SATUAN Fix Win]]&lt;&gt;"","KRT")</f>
        <v>KRT</v>
      </c>
      <c r="BG306" s="4" t="str">
        <f>IF(Table43[[#This Row],[SATUAN Fix Win]]&lt;&gt;"","GD01")</f>
        <v>GD01</v>
      </c>
      <c r="BH306" s="4">
        <f>IF(Table43[[#This Row],[SATUAN Fix Win]]&lt;&gt;"",11611)</f>
        <v>11611</v>
      </c>
      <c r="BI306" s="4">
        <f>IF(Table43[[#This Row],[SATUAN Fix Win]]&lt;&gt;"",11612)</f>
        <v>11612</v>
      </c>
      <c r="BJ306" s="48"/>
      <c r="BK306" s="4">
        <f>IF(Table43[[#This Row],[SATUAN Fix Win]]&lt;&gt;"",1)</f>
        <v>1</v>
      </c>
    </row>
    <row r="307" spans="1:63">
      <c r="A307" s="4" t="str">
        <f>CONCATENATE(Table43[[#This Row],[Kode BARANG Win2]],Table43[[#This Row],[No. Urut
Item Sama]])</f>
        <v>K11580030125101</v>
      </c>
      <c r="B307" s="7">
        <v>1</v>
      </c>
      <c r="D307" s="28" t="s">
        <v>750</v>
      </c>
      <c r="E307" s="28"/>
      <c r="F307" s="28" t="s">
        <v>3094</v>
      </c>
      <c r="G307" s="78">
        <v>36</v>
      </c>
      <c r="H307" s="43"/>
      <c r="I307" s="28" t="str">
        <f>Table43[[#This Row],[Nama Jenis Kemasan]]</f>
        <v>BTL</v>
      </c>
      <c r="J307" s="4" t="str">
        <f>TRIM(CONCATENATE(Table43[[#This Row],[Nama            KLP]]," ",Table43[[#This Row],[Nama            Sub KLP]]))</f>
        <v>ESKULIN KIDS SPRAY</v>
      </c>
      <c r="K307" s="4" t="str">
        <f>CONCATENATE(Table43[[#This Row],[kode  2 Digit                (hrf+No)]],Table43[[#This Row],[kode  2 Digit                (Nomor)]],Table43[[#This Row],[kode  1 Digit                (Nomor)]])</f>
        <v>K1158</v>
      </c>
      <c r="L307" s="4" t="str">
        <f t="shared" si="15"/>
        <v>K1158003012510</v>
      </c>
      <c r="M307" s="11">
        <f t="shared" si="16"/>
        <v>14</v>
      </c>
      <c r="N307" s="14" t="str">
        <f>IF(AF307&lt;&gt;"",TRIM(UPPER(CONCATENATE(P307," ",R307," ",T307," ",V307," ",X307," ",Z307," ","X"," ",Table43[[#This Row],[ISI/CTN]]," ",AF307," ",AB307," ",AD307," ",AH307))),TRIM(UPPER(CONCATENATE(P307," ",R307," ",T307," ",V307," ",X307," ",Z307," ","X"," ",Table43[[#This Row],[ISI/CTN]]," ",AB307," ",AD307," ",AH307))))</f>
        <v>KNF ESKULIN KIDS SPRAY BEAUTY FRESH 125ML X 36 BTL</v>
      </c>
      <c r="O307" s="11">
        <f t="shared" si="17"/>
        <v>50</v>
      </c>
      <c r="P307" s="4" t="s">
        <v>97</v>
      </c>
      <c r="Q307" s="7" t="s">
        <v>98</v>
      </c>
      <c r="R307" s="4" t="s">
        <v>3754</v>
      </c>
      <c r="S307" s="44" t="s">
        <v>3568</v>
      </c>
      <c r="T307" s="45" t="s">
        <v>3728</v>
      </c>
      <c r="U307" s="7" t="s">
        <v>3631</v>
      </c>
      <c r="V307" s="45" t="s">
        <v>2961</v>
      </c>
      <c r="W307" s="44" t="s">
        <v>2900</v>
      </c>
      <c r="X307" s="4" t="s">
        <v>3789</v>
      </c>
      <c r="Y307" s="46" t="s">
        <v>2473</v>
      </c>
      <c r="Z307" s="4" t="s">
        <v>3620</v>
      </c>
      <c r="AA307" s="46" t="s">
        <v>2489</v>
      </c>
      <c r="AB307" s="4" t="s">
        <v>357</v>
      </c>
      <c r="AC307" s="7" t="s">
        <v>2656</v>
      </c>
      <c r="AD307" s="4" t="s">
        <v>2961</v>
      </c>
      <c r="AE307" s="7" t="s">
        <v>2900</v>
      </c>
      <c r="AF307" s="7" t="s">
        <v>2961</v>
      </c>
      <c r="AG307" s="7" t="s">
        <v>2961</v>
      </c>
      <c r="AI307" s="7" t="s">
        <v>4100</v>
      </c>
      <c r="AJ307" s="7" t="s">
        <v>2656</v>
      </c>
      <c r="AK307" s="41">
        <f>Table43[[#This Row],[Harga Jual Pcs GT
(-PPN)]]-(Table43[[#This Row],[Harga Jual Pcs GT
(-PPN)]]*10%)</f>
        <v>0</v>
      </c>
      <c r="AL307" s="42">
        <f>Table43[[#This Row],[Harga Beli Pcs
(-PPN)]]*Table43[[#This Row],[ISI/CTN]]</f>
        <v>0</v>
      </c>
      <c r="AM307" s="42">
        <f>Table43[[#This Row],[Harga Beli Pcs
(-PPN)]]*1.11</f>
        <v>0</v>
      </c>
      <c r="AN307" s="42">
        <f>Table43[[#This Row],[Harga Beli Krt
(- PPN)]]*1.11</f>
        <v>0</v>
      </c>
      <c r="AO307" s="42"/>
      <c r="AP307" s="42">
        <f>Table43[[#This Row],[Harga Jual Pcs GT
(-PPN)]]*Table43[[#This Row],[ISI/CTN]]</f>
        <v>0</v>
      </c>
      <c r="AQ307" s="42">
        <f>Table43[[#This Row],[Harga Jual Pcs GT
(-PPN)]]*1.11</f>
        <v>0</v>
      </c>
      <c r="AR307" s="42">
        <f>Table43[[#This Row],[Harga Jual Krt GT
(- PPN)]]*1.11</f>
        <v>0</v>
      </c>
      <c r="AS307" s="42">
        <f>Table43[[#This Row],[Harga Jual Pcs GT
(-PPN)]]</f>
        <v>0</v>
      </c>
      <c r="AT307" s="42">
        <f>(Table43[[#This Row],[Harga Jual Pcs MT
(-PPN)]]*Table43[[#This Row],[ISI/CTN]])</f>
        <v>0</v>
      </c>
      <c r="AU307" s="42">
        <f>Table43[[#This Row],[Harga Jual Pcs MT
(-PPN)]]*1.11</f>
        <v>0</v>
      </c>
      <c r="AV307" s="42">
        <f>Table43[[#This Row],[Harga Jual Pcs MT
(+PPN)]]*Table43[[#This Row],[ISI/CTN]]</f>
        <v>0</v>
      </c>
      <c r="AW307" s="47"/>
      <c r="AX307" s="7"/>
      <c r="AY307" s="7" t="str">
        <f ca="1">IF(TODAY()-Table43[[#This Row],[Efektif
Pembuatan]]&gt;60,"Lama","Baru")</f>
        <v>Lama</v>
      </c>
      <c r="AZ307" s="7" t="str">
        <f ca="1">IF(TODAY()-Table43[[#This Row],[Efektif Naik Harga]]&lt;30,"Naik","Sama")</f>
        <v>Sama</v>
      </c>
      <c r="BA307" s="7" t="str">
        <f>IF(Table43[[#This Row],[Kode BARANG Win2]]&lt;&gt;"","IDR","")</f>
        <v>IDR</v>
      </c>
      <c r="BB307" s="7" t="str">
        <f>CONCATENATE(Table43[[#This Row],[kode  1 Digit
(Nomor)]],Table43[[#This Row],[kode  4 Digit                (Nomor)]])</f>
        <v>10125</v>
      </c>
      <c r="BC307" s="7" t="str">
        <f>Table43[[#This Row],[Nama            Gramasi atau Jumlah Pack per CTN]]</f>
        <v>125ML</v>
      </c>
      <c r="BD307" s="7"/>
      <c r="BE307" s="7"/>
      <c r="BF307" s="4" t="str">
        <f>IF(Table43[[#This Row],[SATUAN Fix Win]]&lt;&gt;"","KRT")</f>
        <v>KRT</v>
      </c>
      <c r="BG307" s="4" t="str">
        <f>IF(Table43[[#This Row],[SATUAN Fix Win]]&lt;&gt;"","GD01")</f>
        <v>GD01</v>
      </c>
      <c r="BH307" s="4">
        <f>IF(Table43[[#This Row],[SATUAN Fix Win]]&lt;&gt;"",11611)</f>
        <v>11611</v>
      </c>
      <c r="BI307" s="4">
        <f>IF(Table43[[#This Row],[SATUAN Fix Win]]&lt;&gt;"",11612)</f>
        <v>11612</v>
      </c>
      <c r="BJ307" s="48"/>
      <c r="BK307" s="4">
        <f>IF(Table43[[#This Row],[SATUAN Fix Win]]&lt;&gt;"",1)</f>
        <v>1</v>
      </c>
    </row>
    <row r="308" spans="1:63">
      <c r="A308" s="4" t="str">
        <f>CONCATENATE(Table43[[#This Row],[Kode BARANG Win2]],Table43[[#This Row],[No. Urut
Item Sama]])</f>
        <v>K11580040125101</v>
      </c>
      <c r="B308" s="7">
        <v>1</v>
      </c>
      <c r="D308" s="28" t="s">
        <v>728</v>
      </c>
      <c r="E308" s="28"/>
      <c r="F308" s="28" t="s">
        <v>3095</v>
      </c>
      <c r="G308" s="78">
        <v>36</v>
      </c>
      <c r="H308" s="43"/>
      <c r="I308" s="28" t="str">
        <f>Table43[[#This Row],[Nama Jenis Kemasan]]</f>
        <v>BTL</v>
      </c>
      <c r="J308" s="4" t="str">
        <f>TRIM(CONCATENATE(Table43[[#This Row],[Nama            KLP]]," ",Table43[[#This Row],[Nama            Sub KLP]]))</f>
        <v>ESKULIN KIDS SPRAY</v>
      </c>
      <c r="K308" s="4" t="str">
        <f>CONCATENATE(Table43[[#This Row],[kode  2 Digit                (hrf+No)]],Table43[[#This Row],[kode  2 Digit                (Nomor)]],Table43[[#This Row],[kode  1 Digit                (Nomor)]])</f>
        <v>K1158</v>
      </c>
      <c r="L308" s="4" t="str">
        <f t="shared" si="15"/>
        <v>K1158004012510</v>
      </c>
      <c r="M308" s="11">
        <f t="shared" si="16"/>
        <v>14</v>
      </c>
      <c r="N308" s="14" t="str">
        <f>IF(AF308&lt;&gt;"",TRIM(UPPER(CONCATENATE(P308," ",R308," ",T308," ",V308," ",X308," ",Z308," ","X"," ",Table43[[#This Row],[ISI/CTN]]," ",AF308," ",AB308," ",AD308," ",AH308))),TRIM(UPPER(CONCATENATE(P308," ",R308," ",T308," ",V308," ",X308," ",Z308," ","X"," ",Table43[[#This Row],[ISI/CTN]]," ",AB308," ",AD308," ",AH308))))</f>
        <v>KNF ESKULIN KIDS SPRAY CINDERELLA 125ML X 36 BTL</v>
      </c>
      <c r="O308" s="11">
        <f t="shared" si="17"/>
        <v>48</v>
      </c>
      <c r="P308" s="4" t="s">
        <v>97</v>
      </c>
      <c r="Q308" s="7" t="s">
        <v>98</v>
      </c>
      <c r="R308" s="4" t="s">
        <v>3754</v>
      </c>
      <c r="S308" s="44" t="s">
        <v>3568</v>
      </c>
      <c r="T308" s="45" t="s">
        <v>3728</v>
      </c>
      <c r="U308" s="7" t="s">
        <v>3631</v>
      </c>
      <c r="V308" s="45" t="s">
        <v>2961</v>
      </c>
      <c r="W308" s="44" t="s">
        <v>2900</v>
      </c>
      <c r="X308" s="4" t="s">
        <v>3765</v>
      </c>
      <c r="Y308" s="46" t="s">
        <v>2474</v>
      </c>
      <c r="Z308" s="4" t="s">
        <v>3620</v>
      </c>
      <c r="AA308" s="46" t="s">
        <v>2489</v>
      </c>
      <c r="AB308" s="4" t="s">
        <v>357</v>
      </c>
      <c r="AC308" s="7" t="s">
        <v>2656</v>
      </c>
      <c r="AD308" s="4" t="s">
        <v>2961</v>
      </c>
      <c r="AE308" s="7" t="s">
        <v>2900</v>
      </c>
      <c r="AF308" s="7" t="s">
        <v>2961</v>
      </c>
      <c r="AG308" s="7" t="s">
        <v>2961</v>
      </c>
      <c r="AI308" s="7" t="s">
        <v>4100</v>
      </c>
      <c r="AJ308" s="7" t="s">
        <v>2656</v>
      </c>
      <c r="AK308" s="41">
        <f>Table43[[#This Row],[Harga Jual Pcs GT
(-PPN)]]-(Table43[[#This Row],[Harga Jual Pcs GT
(-PPN)]]*10%)</f>
        <v>0</v>
      </c>
      <c r="AL308" s="42">
        <f>Table43[[#This Row],[Harga Beli Pcs
(-PPN)]]*Table43[[#This Row],[ISI/CTN]]</f>
        <v>0</v>
      </c>
      <c r="AM308" s="42">
        <f>Table43[[#This Row],[Harga Beli Pcs
(-PPN)]]*1.11</f>
        <v>0</v>
      </c>
      <c r="AN308" s="42">
        <f>Table43[[#This Row],[Harga Beli Krt
(- PPN)]]*1.11</f>
        <v>0</v>
      </c>
      <c r="AO308" s="42"/>
      <c r="AP308" s="42">
        <f>Table43[[#This Row],[Harga Jual Pcs GT
(-PPN)]]*Table43[[#This Row],[ISI/CTN]]</f>
        <v>0</v>
      </c>
      <c r="AQ308" s="42">
        <f>Table43[[#This Row],[Harga Jual Pcs GT
(-PPN)]]*1.11</f>
        <v>0</v>
      </c>
      <c r="AR308" s="42">
        <f>Table43[[#This Row],[Harga Jual Krt GT
(- PPN)]]*1.11</f>
        <v>0</v>
      </c>
      <c r="AS308" s="42">
        <f>Table43[[#This Row],[Harga Jual Pcs GT
(-PPN)]]</f>
        <v>0</v>
      </c>
      <c r="AT308" s="42">
        <f>(Table43[[#This Row],[Harga Jual Pcs MT
(-PPN)]]*Table43[[#This Row],[ISI/CTN]])</f>
        <v>0</v>
      </c>
      <c r="AU308" s="42">
        <f>Table43[[#This Row],[Harga Jual Pcs MT
(-PPN)]]*1.11</f>
        <v>0</v>
      </c>
      <c r="AV308" s="42">
        <f>Table43[[#This Row],[Harga Jual Pcs MT
(+PPN)]]*Table43[[#This Row],[ISI/CTN]]</f>
        <v>0</v>
      </c>
      <c r="AW308" s="47"/>
      <c r="AX308" s="7"/>
      <c r="AY308" s="7" t="str">
        <f ca="1">IF(TODAY()-Table43[[#This Row],[Efektif
Pembuatan]]&gt;60,"Lama","Baru")</f>
        <v>Lama</v>
      </c>
      <c r="AZ308" s="7" t="str">
        <f ca="1">IF(TODAY()-Table43[[#This Row],[Efektif Naik Harga]]&lt;30,"Naik","Sama")</f>
        <v>Sama</v>
      </c>
      <c r="BA308" s="7" t="str">
        <f>IF(Table43[[#This Row],[Kode BARANG Win2]]&lt;&gt;"","IDR","")</f>
        <v>IDR</v>
      </c>
      <c r="BB308" s="7" t="str">
        <f>CONCATENATE(Table43[[#This Row],[kode  1 Digit
(Nomor)]],Table43[[#This Row],[kode  4 Digit                (Nomor)]])</f>
        <v>10125</v>
      </c>
      <c r="BC308" s="7" t="str">
        <f>Table43[[#This Row],[Nama            Gramasi atau Jumlah Pack per CTN]]</f>
        <v>125ML</v>
      </c>
      <c r="BD308" s="7"/>
      <c r="BE308" s="7"/>
      <c r="BF308" s="4" t="str">
        <f>IF(Table43[[#This Row],[SATUAN Fix Win]]&lt;&gt;"","KRT")</f>
        <v>KRT</v>
      </c>
      <c r="BG308" s="4" t="str">
        <f>IF(Table43[[#This Row],[SATUAN Fix Win]]&lt;&gt;"","GD01")</f>
        <v>GD01</v>
      </c>
      <c r="BH308" s="4">
        <f>IF(Table43[[#This Row],[SATUAN Fix Win]]&lt;&gt;"",11611)</f>
        <v>11611</v>
      </c>
      <c r="BI308" s="4">
        <f>IF(Table43[[#This Row],[SATUAN Fix Win]]&lt;&gt;"",11612)</f>
        <v>11612</v>
      </c>
      <c r="BJ308" s="48"/>
      <c r="BK308" s="4">
        <f>IF(Table43[[#This Row],[SATUAN Fix Win]]&lt;&gt;"",1)</f>
        <v>1</v>
      </c>
    </row>
    <row r="309" spans="1:63">
      <c r="A309" s="4" t="str">
        <f>CONCATENATE(Table43[[#This Row],[Kode BARANG Win2]],Table43[[#This Row],[No. Urut
Item Sama]])</f>
        <v>K11580050060101</v>
      </c>
      <c r="B309" s="7">
        <v>1</v>
      </c>
      <c r="D309" s="28" t="s">
        <v>685</v>
      </c>
      <c r="E309" s="28"/>
      <c r="F309" s="28" t="s">
        <v>3096</v>
      </c>
      <c r="G309" s="78">
        <v>36</v>
      </c>
      <c r="H309" s="43"/>
      <c r="I309" s="28" t="str">
        <f>Table43[[#This Row],[Nama Jenis Kemasan]]</f>
        <v>BTL</v>
      </c>
      <c r="J309" s="4" t="str">
        <f>TRIM(CONCATENATE(Table43[[#This Row],[Nama            KLP]]," ",Table43[[#This Row],[Nama            Sub KLP]]))</f>
        <v>ESKULIN KIDS SPRAY</v>
      </c>
      <c r="K309" s="4" t="str">
        <f>CONCATENATE(Table43[[#This Row],[kode  2 Digit                (hrf+No)]],Table43[[#This Row],[kode  2 Digit                (Nomor)]],Table43[[#This Row],[kode  1 Digit                (Nomor)]])</f>
        <v>K1158</v>
      </c>
      <c r="L309" s="4" t="str">
        <f t="shared" si="15"/>
        <v>K1158005006010</v>
      </c>
      <c r="M309" s="11">
        <f t="shared" si="16"/>
        <v>14</v>
      </c>
      <c r="N309" s="14" t="str">
        <f>IF(AF309&lt;&gt;"",TRIM(UPPER(CONCATENATE(P309," ",R309," ",T309," ",V309," ",X309," ",Z309," ","X"," ",Table43[[#This Row],[ISI/CTN]]," ",AF309," ",AB309," ",AD309," ",AH309))),TRIM(UPPER(CONCATENATE(P309," ",R309," ",T309," ",V309," ",X309," ",Z309," ","X"," ",Table43[[#This Row],[ISI/CTN]]," ",AB309," ",AD309," ",AH309))))</f>
        <v>KNF ESKULIN KIDS SPRAY DONALD 60ML X 36 BTL</v>
      </c>
      <c r="O309" s="11">
        <f t="shared" si="17"/>
        <v>43</v>
      </c>
      <c r="P309" s="4" t="s">
        <v>97</v>
      </c>
      <c r="Q309" s="7" t="s">
        <v>98</v>
      </c>
      <c r="R309" s="4" t="s">
        <v>3754</v>
      </c>
      <c r="S309" s="44" t="s">
        <v>3568</v>
      </c>
      <c r="T309" s="45" t="s">
        <v>3728</v>
      </c>
      <c r="U309" s="7" t="s">
        <v>3631</v>
      </c>
      <c r="V309" s="45" t="s">
        <v>2961</v>
      </c>
      <c r="W309" s="44" t="s">
        <v>2900</v>
      </c>
      <c r="X309" s="4" t="s">
        <v>3761</v>
      </c>
      <c r="Y309" s="46" t="s">
        <v>2475</v>
      </c>
      <c r="Z309" s="4" t="s">
        <v>1026</v>
      </c>
      <c r="AA309" s="46" t="s">
        <v>2481</v>
      </c>
      <c r="AB309" s="4" t="s">
        <v>357</v>
      </c>
      <c r="AC309" s="7" t="s">
        <v>2656</v>
      </c>
      <c r="AD309" s="4" t="s">
        <v>2961</v>
      </c>
      <c r="AE309" s="7" t="s">
        <v>2900</v>
      </c>
      <c r="AF309" s="7" t="s">
        <v>2961</v>
      </c>
      <c r="AG309" s="7" t="s">
        <v>2961</v>
      </c>
      <c r="AI309" s="7" t="s">
        <v>4100</v>
      </c>
      <c r="AJ309" s="7" t="s">
        <v>2656</v>
      </c>
      <c r="AK309" s="41">
        <f>Table43[[#This Row],[Harga Jual Pcs GT
(-PPN)]]-(Table43[[#This Row],[Harga Jual Pcs GT
(-PPN)]]*10%)</f>
        <v>0</v>
      </c>
      <c r="AL309" s="42">
        <f>Table43[[#This Row],[Harga Beli Pcs
(-PPN)]]*Table43[[#This Row],[ISI/CTN]]</f>
        <v>0</v>
      </c>
      <c r="AM309" s="42">
        <f>Table43[[#This Row],[Harga Beli Pcs
(-PPN)]]*1.11</f>
        <v>0</v>
      </c>
      <c r="AN309" s="42">
        <f>Table43[[#This Row],[Harga Beli Krt
(- PPN)]]*1.11</f>
        <v>0</v>
      </c>
      <c r="AO309" s="42"/>
      <c r="AP309" s="42">
        <f>Table43[[#This Row],[Harga Jual Pcs GT
(-PPN)]]*Table43[[#This Row],[ISI/CTN]]</f>
        <v>0</v>
      </c>
      <c r="AQ309" s="42">
        <f>Table43[[#This Row],[Harga Jual Pcs GT
(-PPN)]]*1.11</f>
        <v>0</v>
      </c>
      <c r="AR309" s="42">
        <f>Table43[[#This Row],[Harga Jual Krt GT
(- PPN)]]*1.11</f>
        <v>0</v>
      </c>
      <c r="AS309" s="42">
        <f>Table43[[#This Row],[Harga Jual Pcs GT
(-PPN)]]</f>
        <v>0</v>
      </c>
      <c r="AT309" s="42">
        <f>(Table43[[#This Row],[Harga Jual Pcs MT
(-PPN)]]*Table43[[#This Row],[ISI/CTN]])</f>
        <v>0</v>
      </c>
      <c r="AU309" s="42">
        <f>Table43[[#This Row],[Harga Jual Pcs MT
(-PPN)]]*1.11</f>
        <v>0</v>
      </c>
      <c r="AV309" s="42">
        <f>Table43[[#This Row],[Harga Jual Pcs MT
(+PPN)]]*Table43[[#This Row],[ISI/CTN]]</f>
        <v>0</v>
      </c>
      <c r="AW309" s="47"/>
      <c r="AX309" s="7"/>
      <c r="AY309" s="7" t="str">
        <f ca="1">IF(TODAY()-Table43[[#This Row],[Efektif
Pembuatan]]&gt;60,"Lama","Baru")</f>
        <v>Lama</v>
      </c>
      <c r="AZ309" s="7" t="str">
        <f ca="1">IF(TODAY()-Table43[[#This Row],[Efektif Naik Harga]]&lt;30,"Naik","Sama")</f>
        <v>Sama</v>
      </c>
      <c r="BA309" s="7" t="str">
        <f>IF(Table43[[#This Row],[Kode BARANG Win2]]&lt;&gt;"","IDR","")</f>
        <v>IDR</v>
      </c>
      <c r="BB309" s="7" t="str">
        <f>CONCATENATE(Table43[[#This Row],[kode  1 Digit
(Nomor)]],Table43[[#This Row],[kode  4 Digit                (Nomor)]])</f>
        <v>10060</v>
      </c>
      <c r="BC309" s="7" t="str">
        <f>Table43[[#This Row],[Nama            Gramasi atau Jumlah Pack per CTN]]</f>
        <v>60ML</v>
      </c>
      <c r="BD309" s="7"/>
      <c r="BE309" s="7"/>
      <c r="BF309" s="4" t="str">
        <f>IF(Table43[[#This Row],[SATUAN Fix Win]]&lt;&gt;"","KRT")</f>
        <v>KRT</v>
      </c>
      <c r="BG309" s="4" t="str">
        <f>IF(Table43[[#This Row],[SATUAN Fix Win]]&lt;&gt;"","GD01")</f>
        <v>GD01</v>
      </c>
      <c r="BH309" s="4">
        <f>IF(Table43[[#This Row],[SATUAN Fix Win]]&lt;&gt;"",11611)</f>
        <v>11611</v>
      </c>
      <c r="BI309" s="4">
        <f>IF(Table43[[#This Row],[SATUAN Fix Win]]&lt;&gt;"",11612)</f>
        <v>11612</v>
      </c>
      <c r="BJ309" s="48"/>
      <c r="BK309" s="4">
        <f>IF(Table43[[#This Row],[SATUAN Fix Win]]&lt;&gt;"",1)</f>
        <v>1</v>
      </c>
    </row>
    <row r="310" spans="1:63">
      <c r="A310" s="4" t="str">
        <f>CONCATENATE(Table43[[#This Row],[Kode BARANG Win2]],Table43[[#This Row],[No. Urut
Item Sama]])</f>
        <v>K11580050100101</v>
      </c>
      <c r="B310" s="7">
        <v>1</v>
      </c>
      <c r="D310" s="28" t="s">
        <v>686</v>
      </c>
      <c r="E310" s="28"/>
      <c r="F310" s="28" t="s">
        <v>3097</v>
      </c>
      <c r="G310" s="78">
        <v>36</v>
      </c>
      <c r="H310" s="43"/>
      <c r="I310" s="28" t="str">
        <f>Table43[[#This Row],[Nama Jenis Kemasan]]</f>
        <v>BTL</v>
      </c>
      <c r="J310" s="4" t="str">
        <f>TRIM(CONCATENATE(Table43[[#This Row],[Nama            KLP]]," ",Table43[[#This Row],[Nama            Sub KLP]]))</f>
        <v>ESKULIN KIDS SPRAY</v>
      </c>
      <c r="K310" s="4" t="str">
        <f>CONCATENATE(Table43[[#This Row],[kode  2 Digit                (hrf+No)]],Table43[[#This Row],[kode  2 Digit                (Nomor)]],Table43[[#This Row],[kode  1 Digit                (Nomor)]])</f>
        <v>K1158</v>
      </c>
      <c r="L310" s="4" t="str">
        <f t="shared" si="15"/>
        <v>K1158005010010</v>
      </c>
      <c r="M310" s="11">
        <f t="shared" si="16"/>
        <v>14</v>
      </c>
      <c r="N310" s="14" t="str">
        <f>IF(AF310&lt;&gt;"",TRIM(UPPER(CONCATENATE(P310," ",R310," ",T310," ",V310," ",X310," ",Z310," ","X"," ",Table43[[#This Row],[ISI/CTN]]," ",AF310," ",AB310," ",AD310," ",AH310))),TRIM(UPPER(CONCATENATE(P310," ",R310," ",T310," ",V310," ",X310," ",Z310," ","X"," ",Table43[[#This Row],[ISI/CTN]]," ",AB310," ",AD310," ",AH310))))</f>
        <v>KNF ESKULIN KIDS SPRAY DONALD 100ML X 36 BTL</v>
      </c>
      <c r="O310" s="11">
        <f t="shared" si="17"/>
        <v>44</v>
      </c>
      <c r="P310" s="4" t="s">
        <v>97</v>
      </c>
      <c r="Q310" s="7" t="s">
        <v>98</v>
      </c>
      <c r="R310" s="4" t="s">
        <v>3754</v>
      </c>
      <c r="S310" s="44" t="s">
        <v>3568</v>
      </c>
      <c r="T310" s="45" t="s">
        <v>3728</v>
      </c>
      <c r="U310" s="7" t="s">
        <v>3631</v>
      </c>
      <c r="V310" s="45" t="s">
        <v>2961</v>
      </c>
      <c r="W310" s="44" t="s">
        <v>2900</v>
      </c>
      <c r="X310" s="4" t="s">
        <v>3761</v>
      </c>
      <c r="Y310" s="46" t="s">
        <v>2475</v>
      </c>
      <c r="Z310" s="4" t="s">
        <v>3588</v>
      </c>
      <c r="AA310" s="46" t="s">
        <v>2487</v>
      </c>
      <c r="AB310" s="4" t="s">
        <v>357</v>
      </c>
      <c r="AC310" s="7" t="s">
        <v>2656</v>
      </c>
      <c r="AD310" s="4" t="s">
        <v>2961</v>
      </c>
      <c r="AE310" s="7" t="s">
        <v>2900</v>
      </c>
      <c r="AF310" s="7" t="s">
        <v>2961</v>
      </c>
      <c r="AG310" s="7" t="s">
        <v>2961</v>
      </c>
      <c r="AI310" s="7" t="s">
        <v>4100</v>
      </c>
      <c r="AJ310" s="7" t="s">
        <v>2656</v>
      </c>
      <c r="AK310" s="41">
        <f>Table43[[#This Row],[Harga Jual Pcs GT
(-PPN)]]-(Table43[[#This Row],[Harga Jual Pcs GT
(-PPN)]]*10%)</f>
        <v>0</v>
      </c>
      <c r="AL310" s="42">
        <f>Table43[[#This Row],[Harga Beli Pcs
(-PPN)]]*Table43[[#This Row],[ISI/CTN]]</f>
        <v>0</v>
      </c>
      <c r="AM310" s="42">
        <f>Table43[[#This Row],[Harga Beli Pcs
(-PPN)]]*1.11</f>
        <v>0</v>
      </c>
      <c r="AN310" s="42">
        <f>Table43[[#This Row],[Harga Beli Krt
(- PPN)]]*1.11</f>
        <v>0</v>
      </c>
      <c r="AO310" s="42"/>
      <c r="AP310" s="42">
        <f>Table43[[#This Row],[Harga Jual Pcs GT
(-PPN)]]*Table43[[#This Row],[ISI/CTN]]</f>
        <v>0</v>
      </c>
      <c r="AQ310" s="42">
        <f>Table43[[#This Row],[Harga Jual Pcs GT
(-PPN)]]*1.11</f>
        <v>0</v>
      </c>
      <c r="AR310" s="42">
        <f>Table43[[#This Row],[Harga Jual Krt GT
(- PPN)]]*1.11</f>
        <v>0</v>
      </c>
      <c r="AS310" s="42">
        <f>Table43[[#This Row],[Harga Jual Pcs GT
(-PPN)]]</f>
        <v>0</v>
      </c>
      <c r="AT310" s="42">
        <f>(Table43[[#This Row],[Harga Jual Pcs MT
(-PPN)]]*Table43[[#This Row],[ISI/CTN]])</f>
        <v>0</v>
      </c>
      <c r="AU310" s="42">
        <f>Table43[[#This Row],[Harga Jual Pcs MT
(-PPN)]]*1.11</f>
        <v>0</v>
      </c>
      <c r="AV310" s="42">
        <f>Table43[[#This Row],[Harga Jual Pcs MT
(+PPN)]]*Table43[[#This Row],[ISI/CTN]]</f>
        <v>0</v>
      </c>
      <c r="AW310" s="47"/>
      <c r="AX310" s="7"/>
      <c r="AY310" s="7" t="str">
        <f ca="1">IF(TODAY()-Table43[[#This Row],[Efektif
Pembuatan]]&gt;60,"Lama","Baru")</f>
        <v>Lama</v>
      </c>
      <c r="AZ310" s="7" t="str">
        <f ca="1">IF(TODAY()-Table43[[#This Row],[Efektif Naik Harga]]&lt;30,"Naik","Sama")</f>
        <v>Sama</v>
      </c>
      <c r="BA310" s="7" t="str">
        <f>IF(Table43[[#This Row],[Kode BARANG Win2]]&lt;&gt;"","IDR","")</f>
        <v>IDR</v>
      </c>
      <c r="BB310" s="7" t="str">
        <f>CONCATENATE(Table43[[#This Row],[kode  1 Digit
(Nomor)]],Table43[[#This Row],[kode  4 Digit                (Nomor)]])</f>
        <v>10100</v>
      </c>
      <c r="BC310" s="7" t="str">
        <f>Table43[[#This Row],[Nama            Gramasi atau Jumlah Pack per CTN]]</f>
        <v>100ML</v>
      </c>
      <c r="BD310" s="7"/>
      <c r="BE310" s="7"/>
      <c r="BF310" s="4" t="str">
        <f>IF(Table43[[#This Row],[SATUAN Fix Win]]&lt;&gt;"","KRT")</f>
        <v>KRT</v>
      </c>
      <c r="BG310" s="4" t="str">
        <f>IF(Table43[[#This Row],[SATUAN Fix Win]]&lt;&gt;"","GD01")</f>
        <v>GD01</v>
      </c>
      <c r="BH310" s="4">
        <f>IF(Table43[[#This Row],[SATUAN Fix Win]]&lt;&gt;"",11611)</f>
        <v>11611</v>
      </c>
      <c r="BI310" s="4">
        <f>IF(Table43[[#This Row],[SATUAN Fix Win]]&lt;&gt;"",11612)</f>
        <v>11612</v>
      </c>
      <c r="BJ310" s="48"/>
      <c r="BK310" s="4">
        <f>IF(Table43[[#This Row],[SATUAN Fix Win]]&lt;&gt;"",1)</f>
        <v>1</v>
      </c>
    </row>
    <row r="311" spans="1:63">
      <c r="A311" s="4" t="str">
        <f>CONCATENATE(Table43[[#This Row],[Kode BARANG Win2]],Table43[[#This Row],[No. Urut
Item Sama]])</f>
        <v>K11580060125101</v>
      </c>
      <c r="B311" s="7">
        <v>1</v>
      </c>
      <c r="D311" s="28" t="s">
        <v>735</v>
      </c>
      <c r="E311" s="28"/>
      <c r="F311" s="28" t="s">
        <v>3098</v>
      </c>
      <c r="G311" s="78">
        <v>36</v>
      </c>
      <c r="H311" s="43"/>
      <c r="I311" s="28" t="str">
        <f>Table43[[#This Row],[Nama Jenis Kemasan]]</f>
        <v>BTL</v>
      </c>
      <c r="J311" s="4" t="str">
        <f>TRIM(CONCATENATE(Table43[[#This Row],[Nama            KLP]]," ",Table43[[#This Row],[Nama            Sub KLP]]))</f>
        <v>ESKULIN KIDS SPRAY</v>
      </c>
      <c r="K311" s="4" t="str">
        <f>CONCATENATE(Table43[[#This Row],[kode  2 Digit                (hrf+No)]],Table43[[#This Row],[kode  2 Digit                (Nomor)]],Table43[[#This Row],[kode  1 Digit                (Nomor)]])</f>
        <v>K1158</v>
      </c>
      <c r="L311" s="4" t="str">
        <f t="shared" si="15"/>
        <v>K1158006012510</v>
      </c>
      <c r="M311" s="11">
        <f t="shared" si="16"/>
        <v>14</v>
      </c>
      <c r="N311" s="14" t="str">
        <f>IF(AF311&lt;&gt;"",TRIM(UPPER(CONCATENATE(P311," ",R311," ",T311," ",V311," ",X311," ",Z311," ","X"," ",Table43[[#This Row],[ISI/CTN]]," ",AF311," ",AB311," ",AD311," ",AH311))),TRIM(UPPER(CONCATENATE(P311," ",R311," ",T311," ",V311," ",X311," ",Z311," ","X"," ",Table43[[#This Row],[ISI/CTN]]," ",AB311," ",AD311," ",AH311))))</f>
        <v>KNF ESKULIN KIDS SPRAY ELSA 125ML X 36 BTL</v>
      </c>
      <c r="O311" s="11">
        <f t="shared" si="17"/>
        <v>42</v>
      </c>
      <c r="P311" s="4" t="s">
        <v>97</v>
      </c>
      <c r="Q311" s="7" t="s">
        <v>98</v>
      </c>
      <c r="R311" s="4" t="s">
        <v>3754</v>
      </c>
      <c r="S311" s="44" t="s">
        <v>3568</v>
      </c>
      <c r="T311" s="45" t="s">
        <v>3728</v>
      </c>
      <c r="U311" s="7" t="s">
        <v>3631</v>
      </c>
      <c r="V311" s="45" t="s">
        <v>2961</v>
      </c>
      <c r="W311" s="44" t="s">
        <v>2900</v>
      </c>
      <c r="X311" s="4" t="s">
        <v>3774</v>
      </c>
      <c r="Y311" s="46" t="s">
        <v>2476</v>
      </c>
      <c r="Z311" s="4" t="s">
        <v>3620</v>
      </c>
      <c r="AA311" s="46" t="s">
        <v>2489</v>
      </c>
      <c r="AB311" s="4" t="s">
        <v>357</v>
      </c>
      <c r="AC311" s="7" t="s">
        <v>2656</v>
      </c>
      <c r="AD311" s="4" t="s">
        <v>2961</v>
      </c>
      <c r="AE311" s="7" t="s">
        <v>2900</v>
      </c>
      <c r="AF311" s="7" t="s">
        <v>2961</v>
      </c>
      <c r="AG311" s="7" t="s">
        <v>2961</v>
      </c>
      <c r="AI311" s="7" t="s">
        <v>4100</v>
      </c>
      <c r="AJ311" s="7" t="s">
        <v>2656</v>
      </c>
      <c r="AK311" s="41">
        <f>Table43[[#This Row],[Harga Jual Pcs GT
(-PPN)]]-(Table43[[#This Row],[Harga Jual Pcs GT
(-PPN)]]*10%)</f>
        <v>0</v>
      </c>
      <c r="AL311" s="42">
        <f>Table43[[#This Row],[Harga Beli Pcs
(-PPN)]]*Table43[[#This Row],[ISI/CTN]]</f>
        <v>0</v>
      </c>
      <c r="AM311" s="42">
        <f>Table43[[#This Row],[Harga Beli Pcs
(-PPN)]]*1.11</f>
        <v>0</v>
      </c>
      <c r="AN311" s="42">
        <f>Table43[[#This Row],[Harga Beli Krt
(- PPN)]]*1.11</f>
        <v>0</v>
      </c>
      <c r="AO311" s="42"/>
      <c r="AP311" s="42">
        <f>Table43[[#This Row],[Harga Jual Pcs GT
(-PPN)]]*Table43[[#This Row],[ISI/CTN]]</f>
        <v>0</v>
      </c>
      <c r="AQ311" s="42">
        <f>Table43[[#This Row],[Harga Jual Pcs GT
(-PPN)]]*1.11</f>
        <v>0</v>
      </c>
      <c r="AR311" s="42">
        <f>Table43[[#This Row],[Harga Jual Krt GT
(- PPN)]]*1.11</f>
        <v>0</v>
      </c>
      <c r="AS311" s="42">
        <f>Table43[[#This Row],[Harga Jual Pcs GT
(-PPN)]]</f>
        <v>0</v>
      </c>
      <c r="AT311" s="42">
        <f>(Table43[[#This Row],[Harga Jual Pcs MT
(-PPN)]]*Table43[[#This Row],[ISI/CTN]])</f>
        <v>0</v>
      </c>
      <c r="AU311" s="42">
        <f>Table43[[#This Row],[Harga Jual Pcs MT
(-PPN)]]*1.11</f>
        <v>0</v>
      </c>
      <c r="AV311" s="42">
        <f>Table43[[#This Row],[Harga Jual Pcs MT
(+PPN)]]*Table43[[#This Row],[ISI/CTN]]</f>
        <v>0</v>
      </c>
      <c r="AW311" s="47"/>
      <c r="AX311" s="7"/>
      <c r="AY311" s="7" t="str">
        <f ca="1">IF(TODAY()-Table43[[#This Row],[Efektif
Pembuatan]]&gt;60,"Lama","Baru")</f>
        <v>Lama</v>
      </c>
      <c r="AZ311" s="7" t="str">
        <f ca="1">IF(TODAY()-Table43[[#This Row],[Efektif Naik Harga]]&lt;30,"Naik","Sama")</f>
        <v>Sama</v>
      </c>
      <c r="BA311" s="7" t="str">
        <f>IF(Table43[[#This Row],[Kode BARANG Win2]]&lt;&gt;"","IDR","")</f>
        <v>IDR</v>
      </c>
      <c r="BB311" s="7" t="str">
        <f>CONCATENATE(Table43[[#This Row],[kode  1 Digit
(Nomor)]],Table43[[#This Row],[kode  4 Digit                (Nomor)]])</f>
        <v>10125</v>
      </c>
      <c r="BC311" s="7" t="str">
        <f>Table43[[#This Row],[Nama            Gramasi atau Jumlah Pack per CTN]]</f>
        <v>125ML</v>
      </c>
      <c r="BD311" s="7"/>
      <c r="BE311" s="7"/>
      <c r="BF311" s="4" t="str">
        <f>IF(Table43[[#This Row],[SATUAN Fix Win]]&lt;&gt;"","KRT")</f>
        <v>KRT</v>
      </c>
      <c r="BG311" s="4" t="str">
        <f>IF(Table43[[#This Row],[SATUAN Fix Win]]&lt;&gt;"","GD01")</f>
        <v>GD01</v>
      </c>
      <c r="BH311" s="4">
        <f>IF(Table43[[#This Row],[SATUAN Fix Win]]&lt;&gt;"",11611)</f>
        <v>11611</v>
      </c>
      <c r="BI311" s="4">
        <f>IF(Table43[[#This Row],[SATUAN Fix Win]]&lt;&gt;"",11612)</f>
        <v>11612</v>
      </c>
      <c r="BJ311" s="48"/>
      <c r="BK311" s="4">
        <f>IF(Table43[[#This Row],[SATUAN Fix Win]]&lt;&gt;"",1)</f>
        <v>1</v>
      </c>
    </row>
    <row r="312" spans="1:63">
      <c r="A312" s="4" t="str">
        <f>CONCATENATE(Table43[[#This Row],[Kode BARANG Win2]],Table43[[#This Row],[No. Urut
Item Sama]])</f>
        <v>K11580070060101</v>
      </c>
      <c r="B312" s="7">
        <v>1</v>
      </c>
      <c r="D312" s="28" t="s">
        <v>687</v>
      </c>
      <c r="E312" s="28"/>
      <c r="F312" s="28" t="s">
        <v>3099</v>
      </c>
      <c r="G312" s="78">
        <v>36</v>
      </c>
      <c r="H312" s="43"/>
      <c r="I312" s="28" t="str">
        <f>Table43[[#This Row],[Nama Jenis Kemasan]]</f>
        <v>BTL</v>
      </c>
      <c r="J312" s="4" t="str">
        <f>TRIM(CONCATENATE(Table43[[#This Row],[Nama            KLP]]," ",Table43[[#This Row],[Nama            Sub KLP]]))</f>
        <v>ESKULIN KIDS SPRAY</v>
      </c>
      <c r="K312" s="4" t="str">
        <f>CONCATENATE(Table43[[#This Row],[kode  2 Digit                (hrf+No)]],Table43[[#This Row],[kode  2 Digit                (Nomor)]],Table43[[#This Row],[kode  1 Digit                (Nomor)]])</f>
        <v>K1158</v>
      </c>
      <c r="L312" s="4" t="str">
        <f t="shared" si="15"/>
        <v>K1158007006010</v>
      </c>
      <c r="M312" s="11">
        <f t="shared" si="16"/>
        <v>14</v>
      </c>
      <c r="N312" s="14" t="str">
        <f>IF(AF312&lt;&gt;"",TRIM(UPPER(CONCATENATE(P312," ",R312," ",T312," ",V312," ",X312," ",Z312," ","X"," ",Table43[[#This Row],[ISI/CTN]]," ",AF312," ",AB312," ",AD312," ",AH312))),TRIM(UPPER(CONCATENATE(P312," ",R312," ",T312," ",V312," ",X312," ",Z312," ","X"," ",Table43[[#This Row],[ISI/CTN]]," ",AB312," ",AD312," ",AH312))))</f>
        <v>KNF ESKULIN KIDS SPRAY MICKEY 60ML X 36 BTL</v>
      </c>
      <c r="O312" s="11">
        <f t="shared" si="17"/>
        <v>43</v>
      </c>
      <c r="P312" s="4" t="s">
        <v>97</v>
      </c>
      <c r="Q312" s="7" t="s">
        <v>98</v>
      </c>
      <c r="R312" s="4" t="s">
        <v>3754</v>
      </c>
      <c r="S312" s="44" t="s">
        <v>3568</v>
      </c>
      <c r="T312" s="45" t="s">
        <v>3728</v>
      </c>
      <c r="U312" s="7" t="s">
        <v>3631</v>
      </c>
      <c r="V312" s="45" t="s">
        <v>2961</v>
      </c>
      <c r="W312" s="44" t="s">
        <v>2900</v>
      </c>
      <c r="X312" s="4" t="s">
        <v>3758</v>
      </c>
      <c r="Y312" s="46" t="s">
        <v>2477</v>
      </c>
      <c r="Z312" s="4" t="s">
        <v>1026</v>
      </c>
      <c r="AA312" s="46" t="s">
        <v>2481</v>
      </c>
      <c r="AB312" s="4" t="s">
        <v>357</v>
      </c>
      <c r="AC312" s="7" t="s">
        <v>2656</v>
      </c>
      <c r="AD312" s="4" t="s">
        <v>2961</v>
      </c>
      <c r="AE312" s="7" t="s">
        <v>2900</v>
      </c>
      <c r="AF312" s="7" t="s">
        <v>2961</v>
      </c>
      <c r="AG312" s="7" t="s">
        <v>2961</v>
      </c>
      <c r="AI312" s="7" t="s">
        <v>4100</v>
      </c>
      <c r="AJ312" s="7" t="s">
        <v>2656</v>
      </c>
      <c r="AK312" s="41">
        <f>Table43[[#This Row],[Harga Jual Pcs GT
(-PPN)]]-(Table43[[#This Row],[Harga Jual Pcs GT
(-PPN)]]*10%)</f>
        <v>0</v>
      </c>
      <c r="AL312" s="42">
        <f>Table43[[#This Row],[Harga Beli Pcs
(-PPN)]]*Table43[[#This Row],[ISI/CTN]]</f>
        <v>0</v>
      </c>
      <c r="AM312" s="42">
        <f>Table43[[#This Row],[Harga Beli Pcs
(-PPN)]]*1.11</f>
        <v>0</v>
      </c>
      <c r="AN312" s="42">
        <f>Table43[[#This Row],[Harga Beli Krt
(- PPN)]]*1.11</f>
        <v>0</v>
      </c>
      <c r="AO312" s="42"/>
      <c r="AP312" s="42">
        <f>Table43[[#This Row],[Harga Jual Pcs GT
(-PPN)]]*Table43[[#This Row],[ISI/CTN]]</f>
        <v>0</v>
      </c>
      <c r="AQ312" s="42">
        <f>Table43[[#This Row],[Harga Jual Pcs GT
(-PPN)]]*1.11</f>
        <v>0</v>
      </c>
      <c r="AR312" s="42">
        <f>Table43[[#This Row],[Harga Jual Krt GT
(- PPN)]]*1.11</f>
        <v>0</v>
      </c>
      <c r="AS312" s="42">
        <f>Table43[[#This Row],[Harga Jual Pcs GT
(-PPN)]]</f>
        <v>0</v>
      </c>
      <c r="AT312" s="42">
        <f>(Table43[[#This Row],[Harga Jual Pcs MT
(-PPN)]]*Table43[[#This Row],[ISI/CTN]])</f>
        <v>0</v>
      </c>
      <c r="AU312" s="42">
        <f>Table43[[#This Row],[Harga Jual Pcs MT
(-PPN)]]*1.11</f>
        <v>0</v>
      </c>
      <c r="AV312" s="42">
        <f>Table43[[#This Row],[Harga Jual Pcs MT
(+PPN)]]*Table43[[#This Row],[ISI/CTN]]</f>
        <v>0</v>
      </c>
      <c r="AW312" s="47"/>
      <c r="AX312" s="7"/>
      <c r="AY312" s="7" t="str">
        <f ca="1">IF(TODAY()-Table43[[#This Row],[Efektif
Pembuatan]]&gt;60,"Lama","Baru")</f>
        <v>Lama</v>
      </c>
      <c r="AZ312" s="7" t="str">
        <f ca="1">IF(TODAY()-Table43[[#This Row],[Efektif Naik Harga]]&lt;30,"Naik","Sama")</f>
        <v>Sama</v>
      </c>
      <c r="BA312" s="7" t="str">
        <f>IF(Table43[[#This Row],[Kode BARANG Win2]]&lt;&gt;"","IDR","")</f>
        <v>IDR</v>
      </c>
      <c r="BB312" s="7" t="str">
        <f>CONCATENATE(Table43[[#This Row],[kode  1 Digit
(Nomor)]],Table43[[#This Row],[kode  4 Digit                (Nomor)]])</f>
        <v>10060</v>
      </c>
      <c r="BC312" s="7" t="str">
        <f>Table43[[#This Row],[Nama            Gramasi atau Jumlah Pack per CTN]]</f>
        <v>60ML</v>
      </c>
      <c r="BD312" s="7"/>
      <c r="BE312" s="7"/>
      <c r="BF312" s="4" t="str">
        <f>IF(Table43[[#This Row],[SATUAN Fix Win]]&lt;&gt;"","KRT")</f>
        <v>KRT</v>
      </c>
      <c r="BG312" s="4" t="str">
        <f>IF(Table43[[#This Row],[SATUAN Fix Win]]&lt;&gt;"","GD01")</f>
        <v>GD01</v>
      </c>
      <c r="BH312" s="4">
        <f>IF(Table43[[#This Row],[SATUAN Fix Win]]&lt;&gt;"",11611)</f>
        <v>11611</v>
      </c>
      <c r="BI312" s="4">
        <f>IF(Table43[[#This Row],[SATUAN Fix Win]]&lt;&gt;"",11612)</f>
        <v>11612</v>
      </c>
      <c r="BJ312" s="48"/>
      <c r="BK312" s="4">
        <f>IF(Table43[[#This Row],[SATUAN Fix Win]]&lt;&gt;"",1)</f>
        <v>1</v>
      </c>
    </row>
    <row r="313" spans="1:63">
      <c r="A313" s="4" t="str">
        <f>CONCATENATE(Table43[[#This Row],[Kode BARANG Win2]],Table43[[#This Row],[No. Urut
Item Sama]])</f>
        <v>K11580070100101</v>
      </c>
      <c r="B313" s="7">
        <v>1</v>
      </c>
      <c r="D313" s="28" t="s">
        <v>688</v>
      </c>
      <c r="E313" s="28"/>
      <c r="F313" s="28" t="s">
        <v>3100</v>
      </c>
      <c r="G313" s="78">
        <v>36</v>
      </c>
      <c r="H313" s="43"/>
      <c r="I313" s="28" t="str">
        <f>Table43[[#This Row],[Nama Jenis Kemasan]]</f>
        <v>BTL</v>
      </c>
      <c r="J313" s="4" t="str">
        <f>TRIM(CONCATENATE(Table43[[#This Row],[Nama            KLP]]," ",Table43[[#This Row],[Nama            Sub KLP]]))</f>
        <v>ESKULIN KIDS SPRAY</v>
      </c>
      <c r="K313" s="4" t="str">
        <f>CONCATENATE(Table43[[#This Row],[kode  2 Digit                (hrf+No)]],Table43[[#This Row],[kode  2 Digit                (Nomor)]],Table43[[#This Row],[kode  1 Digit                (Nomor)]])</f>
        <v>K1158</v>
      </c>
      <c r="L313" s="4" t="str">
        <f t="shared" si="15"/>
        <v>K1158007010010</v>
      </c>
      <c r="M313" s="11">
        <f t="shared" si="16"/>
        <v>14</v>
      </c>
      <c r="N313" s="14" t="str">
        <f>IF(AF313&lt;&gt;"",TRIM(UPPER(CONCATENATE(P313," ",R313," ",T313," ",V313," ",X313," ",Z313," ","X"," ",Table43[[#This Row],[ISI/CTN]]," ",AF313," ",AB313," ",AD313," ",AH313))),TRIM(UPPER(CONCATENATE(P313," ",R313," ",T313," ",V313," ",X313," ",Z313," ","X"," ",Table43[[#This Row],[ISI/CTN]]," ",AB313," ",AD313," ",AH313))))</f>
        <v>KNF ESKULIN KIDS SPRAY MICKEY 100ML X 36 BTL</v>
      </c>
      <c r="O313" s="11">
        <f t="shared" si="17"/>
        <v>44</v>
      </c>
      <c r="P313" s="4" t="s">
        <v>97</v>
      </c>
      <c r="Q313" s="7" t="s">
        <v>98</v>
      </c>
      <c r="R313" s="4" t="s">
        <v>3754</v>
      </c>
      <c r="S313" s="44" t="s">
        <v>3568</v>
      </c>
      <c r="T313" s="45" t="s">
        <v>3728</v>
      </c>
      <c r="U313" s="7" t="s">
        <v>3631</v>
      </c>
      <c r="V313" s="45" t="s">
        <v>2961</v>
      </c>
      <c r="W313" s="44" t="s">
        <v>2900</v>
      </c>
      <c r="X313" s="4" t="s">
        <v>3758</v>
      </c>
      <c r="Y313" s="46" t="s">
        <v>2477</v>
      </c>
      <c r="Z313" s="4" t="s">
        <v>3588</v>
      </c>
      <c r="AA313" s="46" t="s">
        <v>2487</v>
      </c>
      <c r="AB313" s="4" t="s">
        <v>357</v>
      </c>
      <c r="AC313" s="7" t="s">
        <v>2656</v>
      </c>
      <c r="AD313" s="4" t="s">
        <v>2961</v>
      </c>
      <c r="AE313" s="7" t="s">
        <v>2900</v>
      </c>
      <c r="AF313" s="7" t="s">
        <v>2961</v>
      </c>
      <c r="AG313" s="7" t="s">
        <v>2961</v>
      </c>
      <c r="AI313" s="7" t="s">
        <v>4100</v>
      </c>
      <c r="AJ313" s="7" t="s">
        <v>2656</v>
      </c>
      <c r="AK313" s="41">
        <f>Table43[[#This Row],[Harga Jual Pcs GT
(-PPN)]]-(Table43[[#This Row],[Harga Jual Pcs GT
(-PPN)]]*10%)</f>
        <v>0</v>
      </c>
      <c r="AL313" s="42">
        <f>Table43[[#This Row],[Harga Beli Pcs
(-PPN)]]*Table43[[#This Row],[ISI/CTN]]</f>
        <v>0</v>
      </c>
      <c r="AM313" s="42">
        <f>Table43[[#This Row],[Harga Beli Pcs
(-PPN)]]*1.11</f>
        <v>0</v>
      </c>
      <c r="AN313" s="42">
        <f>Table43[[#This Row],[Harga Beli Krt
(- PPN)]]*1.11</f>
        <v>0</v>
      </c>
      <c r="AO313" s="42"/>
      <c r="AP313" s="42">
        <f>Table43[[#This Row],[Harga Jual Pcs GT
(-PPN)]]*Table43[[#This Row],[ISI/CTN]]</f>
        <v>0</v>
      </c>
      <c r="AQ313" s="42">
        <f>Table43[[#This Row],[Harga Jual Pcs GT
(-PPN)]]*1.11</f>
        <v>0</v>
      </c>
      <c r="AR313" s="42">
        <f>Table43[[#This Row],[Harga Jual Krt GT
(- PPN)]]*1.11</f>
        <v>0</v>
      </c>
      <c r="AS313" s="42">
        <f>Table43[[#This Row],[Harga Jual Pcs GT
(-PPN)]]</f>
        <v>0</v>
      </c>
      <c r="AT313" s="42">
        <f>(Table43[[#This Row],[Harga Jual Pcs MT
(-PPN)]]*Table43[[#This Row],[ISI/CTN]])</f>
        <v>0</v>
      </c>
      <c r="AU313" s="42">
        <f>Table43[[#This Row],[Harga Jual Pcs MT
(-PPN)]]*1.11</f>
        <v>0</v>
      </c>
      <c r="AV313" s="42">
        <f>Table43[[#This Row],[Harga Jual Pcs MT
(+PPN)]]*Table43[[#This Row],[ISI/CTN]]</f>
        <v>0</v>
      </c>
      <c r="AW313" s="47"/>
      <c r="AX313" s="7"/>
      <c r="AY313" s="7" t="str">
        <f ca="1">IF(TODAY()-Table43[[#This Row],[Efektif
Pembuatan]]&gt;60,"Lama","Baru")</f>
        <v>Lama</v>
      </c>
      <c r="AZ313" s="7" t="str">
        <f ca="1">IF(TODAY()-Table43[[#This Row],[Efektif Naik Harga]]&lt;30,"Naik","Sama")</f>
        <v>Sama</v>
      </c>
      <c r="BA313" s="7" t="str">
        <f>IF(Table43[[#This Row],[Kode BARANG Win2]]&lt;&gt;"","IDR","")</f>
        <v>IDR</v>
      </c>
      <c r="BB313" s="7" t="str">
        <f>CONCATENATE(Table43[[#This Row],[kode  1 Digit
(Nomor)]],Table43[[#This Row],[kode  4 Digit                (Nomor)]])</f>
        <v>10100</v>
      </c>
      <c r="BC313" s="7" t="str">
        <f>Table43[[#This Row],[Nama            Gramasi atau Jumlah Pack per CTN]]</f>
        <v>100ML</v>
      </c>
      <c r="BD313" s="7"/>
      <c r="BE313" s="7"/>
      <c r="BF313" s="4" t="str">
        <f>IF(Table43[[#This Row],[SATUAN Fix Win]]&lt;&gt;"","KRT")</f>
        <v>KRT</v>
      </c>
      <c r="BG313" s="4" t="str">
        <f>IF(Table43[[#This Row],[SATUAN Fix Win]]&lt;&gt;"","GD01")</f>
        <v>GD01</v>
      </c>
      <c r="BH313" s="4">
        <f>IF(Table43[[#This Row],[SATUAN Fix Win]]&lt;&gt;"",11611)</f>
        <v>11611</v>
      </c>
      <c r="BI313" s="4">
        <f>IF(Table43[[#This Row],[SATUAN Fix Win]]&lt;&gt;"",11612)</f>
        <v>11612</v>
      </c>
      <c r="BJ313" s="48"/>
      <c r="BK313" s="4">
        <f>IF(Table43[[#This Row],[SATUAN Fix Win]]&lt;&gt;"",1)</f>
        <v>1</v>
      </c>
    </row>
    <row r="314" spans="1:63">
      <c r="A314" s="4" t="str">
        <f>CONCATENATE(Table43[[#This Row],[Kode BARANG Win2]],Table43[[#This Row],[No. Urut
Item Sama]])</f>
        <v>K11580080060101</v>
      </c>
      <c r="B314" s="7">
        <v>1</v>
      </c>
      <c r="D314" s="28" t="s">
        <v>689</v>
      </c>
      <c r="E314" s="28"/>
      <c r="F314" s="28" t="s">
        <v>3101</v>
      </c>
      <c r="G314" s="78">
        <v>36</v>
      </c>
      <c r="H314" s="43"/>
      <c r="I314" s="28" t="str">
        <f>Table43[[#This Row],[Nama Jenis Kemasan]]</f>
        <v>BTL</v>
      </c>
      <c r="J314" s="4" t="str">
        <f>TRIM(CONCATENATE(Table43[[#This Row],[Nama            KLP]]," ",Table43[[#This Row],[Nama            Sub KLP]]))</f>
        <v>ESKULIN KIDS SPRAY</v>
      </c>
      <c r="K314" s="4" t="str">
        <f>CONCATENATE(Table43[[#This Row],[kode  2 Digit                (hrf+No)]],Table43[[#This Row],[kode  2 Digit                (Nomor)]],Table43[[#This Row],[kode  1 Digit                (Nomor)]])</f>
        <v>K1158</v>
      </c>
      <c r="L314" s="4" t="str">
        <f t="shared" si="15"/>
        <v>K1158008006010</v>
      </c>
      <c r="M314" s="11">
        <f t="shared" si="16"/>
        <v>14</v>
      </c>
      <c r="N314" s="14" t="str">
        <f>IF(AF314&lt;&gt;"",TRIM(UPPER(CONCATENATE(P314," ",R314," ",T314," ",V314," ",X314," ",Z314," ","X"," ",Table43[[#This Row],[ISI/CTN]]," ",AF314," ",AB314," ",AD314," ",AH314))),TRIM(UPPER(CONCATENATE(P314," ",R314," ",T314," ",V314," ",X314," ",Z314," ","X"," ",Table43[[#This Row],[ISI/CTN]]," ",AB314," ",AD314," ",AH314))))</f>
        <v>KNF ESKULIN KIDS SPRAY MINNIE 60ML X 36 BTL</v>
      </c>
      <c r="O314" s="11">
        <f t="shared" si="17"/>
        <v>43</v>
      </c>
      <c r="P314" s="4" t="s">
        <v>97</v>
      </c>
      <c r="Q314" s="7" t="s">
        <v>98</v>
      </c>
      <c r="R314" s="4" t="s">
        <v>3754</v>
      </c>
      <c r="S314" s="44" t="s">
        <v>3568</v>
      </c>
      <c r="T314" s="45" t="s">
        <v>3728</v>
      </c>
      <c r="U314" s="7" t="s">
        <v>3631</v>
      </c>
      <c r="V314" s="45" t="s">
        <v>2961</v>
      </c>
      <c r="W314" s="44" t="s">
        <v>2900</v>
      </c>
      <c r="X314" s="4" t="s">
        <v>3766</v>
      </c>
      <c r="Y314" s="46" t="s">
        <v>2478</v>
      </c>
      <c r="Z314" s="4" t="s">
        <v>1026</v>
      </c>
      <c r="AA314" s="46" t="s">
        <v>2481</v>
      </c>
      <c r="AB314" s="4" t="s">
        <v>357</v>
      </c>
      <c r="AC314" s="7" t="s">
        <v>2656</v>
      </c>
      <c r="AD314" s="4" t="s">
        <v>2961</v>
      </c>
      <c r="AE314" s="7" t="s">
        <v>2900</v>
      </c>
      <c r="AF314" s="7" t="s">
        <v>2961</v>
      </c>
      <c r="AG314" s="7" t="s">
        <v>2961</v>
      </c>
      <c r="AI314" s="7" t="s">
        <v>4100</v>
      </c>
      <c r="AJ314" s="7" t="s">
        <v>2656</v>
      </c>
      <c r="AK314" s="41">
        <f>Table43[[#This Row],[Harga Jual Pcs GT
(-PPN)]]-(Table43[[#This Row],[Harga Jual Pcs GT
(-PPN)]]*10%)</f>
        <v>0</v>
      </c>
      <c r="AL314" s="42">
        <f>Table43[[#This Row],[Harga Beli Pcs
(-PPN)]]*Table43[[#This Row],[ISI/CTN]]</f>
        <v>0</v>
      </c>
      <c r="AM314" s="42">
        <f>Table43[[#This Row],[Harga Beli Pcs
(-PPN)]]*1.11</f>
        <v>0</v>
      </c>
      <c r="AN314" s="42">
        <f>Table43[[#This Row],[Harga Beli Krt
(- PPN)]]*1.11</f>
        <v>0</v>
      </c>
      <c r="AO314" s="42"/>
      <c r="AP314" s="42">
        <f>Table43[[#This Row],[Harga Jual Pcs GT
(-PPN)]]*Table43[[#This Row],[ISI/CTN]]</f>
        <v>0</v>
      </c>
      <c r="AQ314" s="42">
        <f>Table43[[#This Row],[Harga Jual Pcs GT
(-PPN)]]*1.11</f>
        <v>0</v>
      </c>
      <c r="AR314" s="42">
        <f>Table43[[#This Row],[Harga Jual Krt GT
(- PPN)]]*1.11</f>
        <v>0</v>
      </c>
      <c r="AS314" s="42">
        <f>Table43[[#This Row],[Harga Jual Pcs GT
(-PPN)]]</f>
        <v>0</v>
      </c>
      <c r="AT314" s="42">
        <f>(Table43[[#This Row],[Harga Jual Pcs MT
(-PPN)]]*Table43[[#This Row],[ISI/CTN]])</f>
        <v>0</v>
      </c>
      <c r="AU314" s="42">
        <f>Table43[[#This Row],[Harga Jual Pcs MT
(-PPN)]]*1.11</f>
        <v>0</v>
      </c>
      <c r="AV314" s="42">
        <f>Table43[[#This Row],[Harga Jual Pcs MT
(+PPN)]]*Table43[[#This Row],[ISI/CTN]]</f>
        <v>0</v>
      </c>
      <c r="AW314" s="47"/>
      <c r="AX314" s="7"/>
      <c r="AY314" s="7" t="str">
        <f ca="1">IF(TODAY()-Table43[[#This Row],[Efektif
Pembuatan]]&gt;60,"Lama","Baru")</f>
        <v>Lama</v>
      </c>
      <c r="AZ314" s="7" t="str">
        <f ca="1">IF(TODAY()-Table43[[#This Row],[Efektif Naik Harga]]&lt;30,"Naik","Sama")</f>
        <v>Sama</v>
      </c>
      <c r="BA314" s="7" t="str">
        <f>IF(Table43[[#This Row],[Kode BARANG Win2]]&lt;&gt;"","IDR","")</f>
        <v>IDR</v>
      </c>
      <c r="BB314" s="7" t="str">
        <f>CONCATENATE(Table43[[#This Row],[kode  1 Digit
(Nomor)]],Table43[[#This Row],[kode  4 Digit                (Nomor)]])</f>
        <v>10060</v>
      </c>
      <c r="BC314" s="7" t="str">
        <f>Table43[[#This Row],[Nama            Gramasi atau Jumlah Pack per CTN]]</f>
        <v>60ML</v>
      </c>
      <c r="BD314" s="7"/>
      <c r="BE314" s="7"/>
      <c r="BF314" s="4" t="str">
        <f>IF(Table43[[#This Row],[SATUAN Fix Win]]&lt;&gt;"","KRT")</f>
        <v>KRT</v>
      </c>
      <c r="BG314" s="4" t="str">
        <f>IF(Table43[[#This Row],[SATUAN Fix Win]]&lt;&gt;"","GD01")</f>
        <v>GD01</v>
      </c>
      <c r="BH314" s="4">
        <f>IF(Table43[[#This Row],[SATUAN Fix Win]]&lt;&gt;"",11611)</f>
        <v>11611</v>
      </c>
      <c r="BI314" s="4">
        <f>IF(Table43[[#This Row],[SATUAN Fix Win]]&lt;&gt;"",11612)</f>
        <v>11612</v>
      </c>
      <c r="BJ314" s="48"/>
      <c r="BK314" s="4">
        <f>IF(Table43[[#This Row],[SATUAN Fix Win]]&lt;&gt;"",1)</f>
        <v>1</v>
      </c>
    </row>
    <row r="315" spans="1:63">
      <c r="A315" s="4" t="str">
        <f>CONCATENATE(Table43[[#This Row],[Kode BARANG Win2]],Table43[[#This Row],[No. Urut
Item Sama]])</f>
        <v>K11580080100101</v>
      </c>
      <c r="B315" s="7">
        <v>1</v>
      </c>
      <c r="D315" s="28" t="s">
        <v>690</v>
      </c>
      <c r="E315" s="28"/>
      <c r="F315" s="28" t="s">
        <v>3102</v>
      </c>
      <c r="G315" s="78">
        <v>36</v>
      </c>
      <c r="H315" s="43"/>
      <c r="I315" s="28" t="str">
        <f>Table43[[#This Row],[Nama Jenis Kemasan]]</f>
        <v>BTL</v>
      </c>
      <c r="J315" s="4" t="str">
        <f>TRIM(CONCATENATE(Table43[[#This Row],[Nama            KLP]]," ",Table43[[#This Row],[Nama            Sub KLP]]))</f>
        <v>ESKULIN KIDS SPRAY</v>
      </c>
      <c r="K315" s="4" t="str">
        <f>CONCATENATE(Table43[[#This Row],[kode  2 Digit                (hrf+No)]],Table43[[#This Row],[kode  2 Digit                (Nomor)]],Table43[[#This Row],[kode  1 Digit                (Nomor)]])</f>
        <v>K1158</v>
      </c>
      <c r="L315" s="4" t="str">
        <f t="shared" si="15"/>
        <v>K1158008010010</v>
      </c>
      <c r="M315" s="11">
        <f t="shared" si="16"/>
        <v>14</v>
      </c>
      <c r="N315" s="14" t="str">
        <f>IF(AF315&lt;&gt;"",TRIM(UPPER(CONCATENATE(P315," ",R315," ",T315," ",V315," ",X315," ",Z315," ","X"," ",Table43[[#This Row],[ISI/CTN]]," ",AF315," ",AB315," ",AD315," ",AH315))),TRIM(UPPER(CONCATENATE(P315," ",R315," ",T315," ",V315," ",X315," ",Z315," ","X"," ",Table43[[#This Row],[ISI/CTN]]," ",AB315," ",AD315," ",AH315))))</f>
        <v>KNF ESKULIN KIDS SPRAY MINNIE 100ML X 36 BTL</v>
      </c>
      <c r="O315" s="11">
        <f t="shared" si="17"/>
        <v>44</v>
      </c>
      <c r="P315" s="4" t="s">
        <v>97</v>
      </c>
      <c r="Q315" s="7" t="s">
        <v>98</v>
      </c>
      <c r="R315" s="4" t="s">
        <v>3754</v>
      </c>
      <c r="S315" s="44" t="s">
        <v>3568</v>
      </c>
      <c r="T315" s="45" t="s">
        <v>3728</v>
      </c>
      <c r="U315" s="7" t="s">
        <v>3631</v>
      </c>
      <c r="V315" s="45" t="s">
        <v>2961</v>
      </c>
      <c r="W315" s="44" t="s">
        <v>2900</v>
      </c>
      <c r="X315" s="4" t="s">
        <v>3766</v>
      </c>
      <c r="Y315" s="46" t="s">
        <v>2478</v>
      </c>
      <c r="Z315" s="4" t="s">
        <v>3588</v>
      </c>
      <c r="AA315" s="46" t="s">
        <v>2487</v>
      </c>
      <c r="AB315" s="4" t="s">
        <v>357</v>
      </c>
      <c r="AC315" s="7" t="s">
        <v>2656</v>
      </c>
      <c r="AD315" s="4" t="s">
        <v>2961</v>
      </c>
      <c r="AE315" s="7" t="s">
        <v>2900</v>
      </c>
      <c r="AF315" s="7" t="s">
        <v>2961</v>
      </c>
      <c r="AG315" s="7" t="s">
        <v>2961</v>
      </c>
      <c r="AI315" s="7" t="s">
        <v>4100</v>
      </c>
      <c r="AJ315" s="7" t="s">
        <v>2656</v>
      </c>
      <c r="AK315" s="41">
        <f>Table43[[#This Row],[Harga Jual Pcs GT
(-PPN)]]-(Table43[[#This Row],[Harga Jual Pcs GT
(-PPN)]]*10%)</f>
        <v>0</v>
      </c>
      <c r="AL315" s="42">
        <f>Table43[[#This Row],[Harga Beli Pcs
(-PPN)]]*Table43[[#This Row],[ISI/CTN]]</f>
        <v>0</v>
      </c>
      <c r="AM315" s="42">
        <f>Table43[[#This Row],[Harga Beli Pcs
(-PPN)]]*1.11</f>
        <v>0</v>
      </c>
      <c r="AN315" s="42">
        <f>Table43[[#This Row],[Harga Beli Krt
(- PPN)]]*1.11</f>
        <v>0</v>
      </c>
      <c r="AO315" s="42"/>
      <c r="AP315" s="42">
        <f>Table43[[#This Row],[Harga Jual Pcs GT
(-PPN)]]*Table43[[#This Row],[ISI/CTN]]</f>
        <v>0</v>
      </c>
      <c r="AQ315" s="42">
        <f>Table43[[#This Row],[Harga Jual Pcs GT
(-PPN)]]*1.11</f>
        <v>0</v>
      </c>
      <c r="AR315" s="42">
        <f>Table43[[#This Row],[Harga Jual Krt GT
(- PPN)]]*1.11</f>
        <v>0</v>
      </c>
      <c r="AS315" s="42">
        <f>Table43[[#This Row],[Harga Jual Pcs GT
(-PPN)]]</f>
        <v>0</v>
      </c>
      <c r="AT315" s="42">
        <f>(Table43[[#This Row],[Harga Jual Pcs MT
(-PPN)]]*Table43[[#This Row],[ISI/CTN]])</f>
        <v>0</v>
      </c>
      <c r="AU315" s="42">
        <f>Table43[[#This Row],[Harga Jual Pcs MT
(-PPN)]]*1.11</f>
        <v>0</v>
      </c>
      <c r="AV315" s="42">
        <f>Table43[[#This Row],[Harga Jual Pcs MT
(+PPN)]]*Table43[[#This Row],[ISI/CTN]]</f>
        <v>0</v>
      </c>
      <c r="AW315" s="47"/>
      <c r="AX315" s="7"/>
      <c r="AY315" s="7" t="str">
        <f ca="1">IF(TODAY()-Table43[[#This Row],[Efektif
Pembuatan]]&gt;60,"Lama","Baru")</f>
        <v>Lama</v>
      </c>
      <c r="AZ315" s="7" t="str">
        <f ca="1">IF(TODAY()-Table43[[#This Row],[Efektif Naik Harga]]&lt;30,"Naik","Sama")</f>
        <v>Sama</v>
      </c>
      <c r="BA315" s="7" t="str">
        <f>IF(Table43[[#This Row],[Kode BARANG Win2]]&lt;&gt;"","IDR","")</f>
        <v>IDR</v>
      </c>
      <c r="BB315" s="7" t="str">
        <f>CONCATENATE(Table43[[#This Row],[kode  1 Digit
(Nomor)]],Table43[[#This Row],[kode  4 Digit                (Nomor)]])</f>
        <v>10100</v>
      </c>
      <c r="BC315" s="7" t="str">
        <f>Table43[[#This Row],[Nama            Gramasi atau Jumlah Pack per CTN]]</f>
        <v>100ML</v>
      </c>
      <c r="BD315" s="7"/>
      <c r="BE315" s="7"/>
      <c r="BF315" s="4" t="str">
        <f>IF(Table43[[#This Row],[SATUAN Fix Win]]&lt;&gt;"","KRT")</f>
        <v>KRT</v>
      </c>
      <c r="BG315" s="4" t="str">
        <f>IF(Table43[[#This Row],[SATUAN Fix Win]]&lt;&gt;"","GD01")</f>
        <v>GD01</v>
      </c>
      <c r="BH315" s="4">
        <f>IF(Table43[[#This Row],[SATUAN Fix Win]]&lt;&gt;"",11611)</f>
        <v>11611</v>
      </c>
      <c r="BI315" s="4">
        <f>IF(Table43[[#This Row],[SATUAN Fix Win]]&lt;&gt;"",11612)</f>
        <v>11612</v>
      </c>
      <c r="BJ315" s="48"/>
      <c r="BK315" s="4">
        <f>IF(Table43[[#This Row],[SATUAN Fix Win]]&lt;&gt;"",1)</f>
        <v>1</v>
      </c>
    </row>
    <row r="316" spans="1:63">
      <c r="A316" s="4" t="str">
        <f>CONCATENATE(Table43[[#This Row],[Kode BARANG Win2]],Table43[[#This Row],[No. Urut
Item Sama]])</f>
        <v>K11580090125101</v>
      </c>
      <c r="B316" s="7">
        <v>1</v>
      </c>
      <c r="D316" s="28" t="s">
        <v>732</v>
      </c>
      <c r="E316" s="28"/>
      <c r="F316" s="28" t="s">
        <v>3103</v>
      </c>
      <c r="G316" s="78">
        <v>36</v>
      </c>
      <c r="H316" s="43"/>
      <c r="I316" s="28" t="str">
        <f>Table43[[#This Row],[Nama Jenis Kemasan]]</f>
        <v>BTL</v>
      </c>
      <c r="J316" s="4" t="str">
        <f>TRIM(CONCATENATE(Table43[[#This Row],[Nama            KLP]]," ",Table43[[#This Row],[Nama            Sub KLP]]))</f>
        <v>ESKULIN KIDS SPRAY</v>
      </c>
      <c r="K316" s="4" t="str">
        <f>CONCATENATE(Table43[[#This Row],[kode  2 Digit                (hrf+No)]],Table43[[#This Row],[kode  2 Digit                (Nomor)]],Table43[[#This Row],[kode  1 Digit                (Nomor)]])</f>
        <v>K1158</v>
      </c>
      <c r="L316" s="4" t="str">
        <f t="shared" si="15"/>
        <v>K1158009012510</v>
      </c>
      <c r="M316" s="11">
        <f t="shared" si="16"/>
        <v>14</v>
      </c>
      <c r="N316" s="14" t="str">
        <f>IF(AF316&lt;&gt;"",TRIM(UPPER(CONCATENATE(P316," ",R316," ",T316," ",V316," ",X316," ",Z316," ","X"," ",Table43[[#This Row],[ISI/CTN]]," ",AF316," ",AB316," ",AD316," ",AH316))),TRIM(UPPER(CONCATENATE(P316," ",R316," ",T316," ",V316," ",X316," ",Z316," ","X"," ",Table43[[#This Row],[ISI/CTN]]," ",AB316," ",AD316," ",AH316))))</f>
        <v>KNF ESKULIN KIDS SPRAY RAPUNZEL 125ML X 36 BTL</v>
      </c>
      <c r="O316" s="11">
        <f t="shared" si="17"/>
        <v>46</v>
      </c>
      <c r="P316" s="4" t="s">
        <v>97</v>
      </c>
      <c r="Q316" s="7" t="s">
        <v>98</v>
      </c>
      <c r="R316" s="4" t="s">
        <v>3754</v>
      </c>
      <c r="S316" s="44" t="s">
        <v>3568</v>
      </c>
      <c r="T316" s="45" t="s">
        <v>3728</v>
      </c>
      <c r="U316" s="7" t="s">
        <v>3631</v>
      </c>
      <c r="V316" s="45" t="s">
        <v>2961</v>
      </c>
      <c r="W316" s="44" t="s">
        <v>2900</v>
      </c>
      <c r="X316" s="4" t="s">
        <v>3778</v>
      </c>
      <c r="Y316" s="46" t="s">
        <v>2479</v>
      </c>
      <c r="Z316" s="4" t="s">
        <v>3620</v>
      </c>
      <c r="AA316" s="46" t="s">
        <v>2489</v>
      </c>
      <c r="AB316" s="4" t="s">
        <v>357</v>
      </c>
      <c r="AC316" s="7" t="s">
        <v>2656</v>
      </c>
      <c r="AD316" s="4" t="s">
        <v>2961</v>
      </c>
      <c r="AE316" s="7" t="s">
        <v>2900</v>
      </c>
      <c r="AF316" s="7" t="s">
        <v>2961</v>
      </c>
      <c r="AG316" s="7" t="s">
        <v>2961</v>
      </c>
      <c r="AI316" s="7" t="s">
        <v>4100</v>
      </c>
      <c r="AJ316" s="7" t="s">
        <v>2656</v>
      </c>
      <c r="AK316" s="41">
        <f>Table43[[#This Row],[Harga Jual Pcs GT
(-PPN)]]-(Table43[[#This Row],[Harga Jual Pcs GT
(-PPN)]]*10%)</f>
        <v>0</v>
      </c>
      <c r="AL316" s="42">
        <f>Table43[[#This Row],[Harga Beli Pcs
(-PPN)]]*Table43[[#This Row],[ISI/CTN]]</f>
        <v>0</v>
      </c>
      <c r="AM316" s="42">
        <f>Table43[[#This Row],[Harga Beli Pcs
(-PPN)]]*1.11</f>
        <v>0</v>
      </c>
      <c r="AN316" s="42">
        <f>Table43[[#This Row],[Harga Beli Krt
(- PPN)]]*1.11</f>
        <v>0</v>
      </c>
      <c r="AO316" s="42"/>
      <c r="AP316" s="42">
        <f>Table43[[#This Row],[Harga Jual Pcs GT
(-PPN)]]*Table43[[#This Row],[ISI/CTN]]</f>
        <v>0</v>
      </c>
      <c r="AQ316" s="42">
        <f>Table43[[#This Row],[Harga Jual Pcs GT
(-PPN)]]*1.11</f>
        <v>0</v>
      </c>
      <c r="AR316" s="42">
        <f>Table43[[#This Row],[Harga Jual Krt GT
(- PPN)]]*1.11</f>
        <v>0</v>
      </c>
      <c r="AS316" s="42">
        <f>Table43[[#This Row],[Harga Jual Pcs GT
(-PPN)]]</f>
        <v>0</v>
      </c>
      <c r="AT316" s="42">
        <f>(Table43[[#This Row],[Harga Jual Pcs MT
(-PPN)]]*Table43[[#This Row],[ISI/CTN]])</f>
        <v>0</v>
      </c>
      <c r="AU316" s="42">
        <f>Table43[[#This Row],[Harga Jual Pcs MT
(-PPN)]]*1.11</f>
        <v>0</v>
      </c>
      <c r="AV316" s="42">
        <f>Table43[[#This Row],[Harga Jual Pcs MT
(+PPN)]]*Table43[[#This Row],[ISI/CTN]]</f>
        <v>0</v>
      </c>
      <c r="AW316" s="47"/>
      <c r="AX316" s="7"/>
      <c r="AY316" s="7" t="str">
        <f ca="1">IF(TODAY()-Table43[[#This Row],[Efektif
Pembuatan]]&gt;60,"Lama","Baru")</f>
        <v>Lama</v>
      </c>
      <c r="AZ316" s="7" t="str">
        <f ca="1">IF(TODAY()-Table43[[#This Row],[Efektif Naik Harga]]&lt;30,"Naik","Sama")</f>
        <v>Sama</v>
      </c>
      <c r="BA316" s="7" t="str">
        <f>IF(Table43[[#This Row],[Kode BARANG Win2]]&lt;&gt;"","IDR","")</f>
        <v>IDR</v>
      </c>
      <c r="BB316" s="7" t="str">
        <f>CONCATENATE(Table43[[#This Row],[kode  1 Digit
(Nomor)]],Table43[[#This Row],[kode  4 Digit                (Nomor)]])</f>
        <v>10125</v>
      </c>
      <c r="BC316" s="7" t="str">
        <f>Table43[[#This Row],[Nama            Gramasi atau Jumlah Pack per CTN]]</f>
        <v>125ML</v>
      </c>
      <c r="BD316" s="7"/>
      <c r="BE316" s="7"/>
      <c r="BF316" s="4" t="str">
        <f>IF(Table43[[#This Row],[SATUAN Fix Win]]&lt;&gt;"","KRT")</f>
        <v>KRT</v>
      </c>
      <c r="BG316" s="4" t="str">
        <f>IF(Table43[[#This Row],[SATUAN Fix Win]]&lt;&gt;"","GD01")</f>
        <v>GD01</v>
      </c>
      <c r="BH316" s="4">
        <f>IF(Table43[[#This Row],[SATUAN Fix Win]]&lt;&gt;"",11611)</f>
        <v>11611</v>
      </c>
      <c r="BI316" s="4">
        <f>IF(Table43[[#This Row],[SATUAN Fix Win]]&lt;&gt;"",11612)</f>
        <v>11612</v>
      </c>
      <c r="BJ316" s="48"/>
      <c r="BK316" s="4">
        <f>IF(Table43[[#This Row],[SATUAN Fix Win]]&lt;&gt;"",1)</f>
        <v>1</v>
      </c>
    </row>
    <row r="317" spans="1:63">
      <c r="A317" s="4" t="str">
        <f>CONCATENATE(Table43[[#This Row],[Kode BARANG Win2]],Table43[[#This Row],[No. Urut
Item Sama]])</f>
        <v>K11580100125102</v>
      </c>
      <c r="B317" s="7">
        <v>2</v>
      </c>
      <c r="D317" s="28" t="s">
        <v>730</v>
      </c>
      <c r="E317" s="28"/>
      <c r="F317" s="28" t="s">
        <v>3104</v>
      </c>
      <c r="G317" s="78">
        <v>36</v>
      </c>
      <c r="H317" s="43"/>
      <c r="I317" s="28" t="str">
        <f>Table43[[#This Row],[Nama Jenis Kemasan]]</f>
        <v>BTL</v>
      </c>
      <c r="J317" s="4" t="str">
        <f>TRIM(CONCATENATE(Table43[[#This Row],[Nama            KLP]]," ",Table43[[#This Row],[Nama            Sub KLP]]))</f>
        <v>ESKULIN KIDS SPRAY</v>
      </c>
      <c r="K317" s="4" t="str">
        <f>CONCATENATE(Table43[[#This Row],[kode  2 Digit                (hrf+No)]],Table43[[#This Row],[kode  2 Digit                (Nomor)]],Table43[[#This Row],[kode  1 Digit                (Nomor)]])</f>
        <v>K1158</v>
      </c>
      <c r="L317" s="4" t="str">
        <f t="shared" si="15"/>
        <v>K1158010012510</v>
      </c>
      <c r="M317" s="11">
        <f t="shared" si="16"/>
        <v>14</v>
      </c>
      <c r="N317" s="14" t="str">
        <f>IF(AF317&lt;&gt;"",TRIM(UPPER(CONCATENATE(P317," ",R317," ",T317," ",V317," ",X317," ",Z317," ","X"," ",Table43[[#This Row],[ISI/CTN]]," ",AF317," ",AB317," ",AD317," ",AH317))),TRIM(UPPER(CONCATENATE(P317," ",R317," ",T317," ",V317," ",X317," ",Z317," ","X"," ",Table43[[#This Row],[ISI/CTN]]," ",AB317," ",AD317," ",AH317))))</f>
        <v>KNF ESKULIN KIDS SPRAY S.WHITE 125ML X 36 BTL</v>
      </c>
      <c r="O317" s="11">
        <f t="shared" si="17"/>
        <v>45</v>
      </c>
      <c r="P317" s="4" t="s">
        <v>97</v>
      </c>
      <c r="Q317" s="7" t="s">
        <v>98</v>
      </c>
      <c r="R317" s="4" t="s">
        <v>3754</v>
      </c>
      <c r="S317" s="44" t="s">
        <v>3568</v>
      </c>
      <c r="T317" s="45" t="s">
        <v>3728</v>
      </c>
      <c r="U317" s="7" t="s">
        <v>3631</v>
      </c>
      <c r="V317" s="45" t="s">
        <v>2961</v>
      </c>
      <c r="W317" s="44" t="s">
        <v>2900</v>
      </c>
      <c r="X317" s="4" t="s">
        <v>3779</v>
      </c>
      <c r="Y317" s="46" t="s">
        <v>3564</v>
      </c>
      <c r="Z317" s="4" t="s">
        <v>3620</v>
      </c>
      <c r="AA317" s="46" t="s">
        <v>2489</v>
      </c>
      <c r="AB317" s="4" t="s">
        <v>357</v>
      </c>
      <c r="AC317" s="7" t="s">
        <v>2656</v>
      </c>
      <c r="AD317" s="4" t="s">
        <v>2961</v>
      </c>
      <c r="AE317" s="7" t="s">
        <v>2900</v>
      </c>
      <c r="AF317" s="7" t="s">
        <v>2961</v>
      </c>
      <c r="AG317" s="7" t="s">
        <v>2961</v>
      </c>
      <c r="AI317" s="7" t="s">
        <v>4100</v>
      </c>
      <c r="AJ317" s="7" t="s">
        <v>2656</v>
      </c>
      <c r="AK317" s="41">
        <f>Table43[[#This Row],[Harga Jual Pcs GT
(-PPN)]]-(Table43[[#This Row],[Harga Jual Pcs GT
(-PPN)]]*10%)</f>
        <v>0</v>
      </c>
      <c r="AL317" s="42">
        <f>Table43[[#This Row],[Harga Beli Pcs
(-PPN)]]*Table43[[#This Row],[ISI/CTN]]</f>
        <v>0</v>
      </c>
      <c r="AM317" s="42">
        <f>Table43[[#This Row],[Harga Beli Pcs
(-PPN)]]*1.11</f>
        <v>0</v>
      </c>
      <c r="AN317" s="42">
        <f>Table43[[#This Row],[Harga Beli Krt
(- PPN)]]*1.11</f>
        <v>0</v>
      </c>
      <c r="AO317" s="42"/>
      <c r="AP317" s="42">
        <f>Table43[[#This Row],[Harga Jual Pcs GT
(-PPN)]]*Table43[[#This Row],[ISI/CTN]]</f>
        <v>0</v>
      </c>
      <c r="AQ317" s="42">
        <f>Table43[[#This Row],[Harga Jual Pcs GT
(-PPN)]]*1.11</f>
        <v>0</v>
      </c>
      <c r="AR317" s="42">
        <f>Table43[[#This Row],[Harga Jual Krt GT
(- PPN)]]*1.11</f>
        <v>0</v>
      </c>
      <c r="AS317" s="42">
        <f>Table43[[#This Row],[Harga Jual Pcs GT
(-PPN)]]</f>
        <v>0</v>
      </c>
      <c r="AT317" s="42">
        <f>(Table43[[#This Row],[Harga Jual Pcs MT
(-PPN)]]*Table43[[#This Row],[ISI/CTN]])</f>
        <v>0</v>
      </c>
      <c r="AU317" s="42">
        <f>Table43[[#This Row],[Harga Jual Pcs MT
(-PPN)]]*1.11</f>
        <v>0</v>
      </c>
      <c r="AV317" s="42">
        <f>Table43[[#This Row],[Harga Jual Pcs MT
(+PPN)]]*Table43[[#This Row],[ISI/CTN]]</f>
        <v>0</v>
      </c>
      <c r="AW317" s="47"/>
      <c r="AX317" s="7"/>
      <c r="AY317" s="7" t="str">
        <f ca="1">IF(TODAY()-Table43[[#This Row],[Efektif
Pembuatan]]&gt;60,"Lama","Baru")</f>
        <v>Lama</v>
      </c>
      <c r="AZ317" s="7" t="str">
        <f ca="1">IF(TODAY()-Table43[[#This Row],[Efektif Naik Harga]]&lt;30,"Naik","Sama")</f>
        <v>Sama</v>
      </c>
      <c r="BA317" s="7" t="str">
        <f>IF(Table43[[#This Row],[Kode BARANG Win2]]&lt;&gt;"","IDR","")</f>
        <v>IDR</v>
      </c>
      <c r="BB317" s="7" t="str">
        <f>CONCATENATE(Table43[[#This Row],[kode  1 Digit
(Nomor)]],Table43[[#This Row],[kode  4 Digit                (Nomor)]])</f>
        <v>10125</v>
      </c>
      <c r="BC317" s="7" t="str">
        <f>Table43[[#This Row],[Nama            Gramasi atau Jumlah Pack per CTN]]</f>
        <v>125ML</v>
      </c>
      <c r="BD317" s="7"/>
      <c r="BE317" s="7"/>
      <c r="BF317" s="4" t="str">
        <f>IF(Table43[[#This Row],[SATUAN Fix Win]]&lt;&gt;"","KRT")</f>
        <v>KRT</v>
      </c>
      <c r="BG317" s="4" t="str">
        <f>IF(Table43[[#This Row],[SATUAN Fix Win]]&lt;&gt;"","GD01")</f>
        <v>GD01</v>
      </c>
      <c r="BH317" s="4">
        <f>IF(Table43[[#This Row],[SATUAN Fix Win]]&lt;&gt;"",11611)</f>
        <v>11611</v>
      </c>
      <c r="BI317" s="4">
        <f>IF(Table43[[#This Row],[SATUAN Fix Win]]&lt;&gt;"",11612)</f>
        <v>11612</v>
      </c>
      <c r="BJ317" s="48"/>
      <c r="BK317" s="4">
        <f>IF(Table43[[#This Row],[SATUAN Fix Win]]&lt;&gt;"",1)</f>
        <v>1</v>
      </c>
    </row>
    <row r="318" spans="1:63">
      <c r="A318" s="4" t="str">
        <f>CONCATENATE(Table43[[#This Row],[Kode BARANG Win2]],Table43[[#This Row],[No. Urut
Item Sama]])</f>
        <v>K11580110009101</v>
      </c>
      <c r="B318" s="7">
        <v>1</v>
      </c>
      <c r="D318" s="28" t="s">
        <v>691</v>
      </c>
      <c r="E318" s="28"/>
      <c r="F318" s="28" t="s">
        <v>3105</v>
      </c>
      <c r="G318" s="78">
        <v>72</v>
      </c>
      <c r="H318" s="43"/>
      <c r="I318" s="28" t="str">
        <f>Table43[[#This Row],[Nama Jenis Kemasan]]</f>
        <v>BTL</v>
      </c>
      <c r="J318" s="4" t="str">
        <f>TRIM(CONCATENATE(Table43[[#This Row],[Nama            KLP]]," ",Table43[[#This Row],[Nama            Sub KLP]]))</f>
        <v>ESKULIN KIDS SPRAY</v>
      </c>
      <c r="K318" s="4" t="str">
        <f>CONCATENATE(Table43[[#This Row],[kode  2 Digit                (hrf+No)]],Table43[[#This Row],[kode  2 Digit                (Nomor)]],Table43[[#This Row],[kode  1 Digit                (Nomor)]])</f>
        <v>K1158</v>
      </c>
      <c r="L318" s="4" t="str">
        <f t="shared" si="15"/>
        <v>K1158011000910</v>
      </c>
      <c r="M318" s="11">
        <f t="shared" si="16"/>
        <v>14</v>
      </c>
      <c r="N318" s="14" t="str">
        <f>IF(AF318&lt;&gt;"",TRIM(UPPER(CONCATENATE(P318," ",R318," ",T318," ",V318," ",X318," ",Z318," ","X"," ",Table43[[#This Row],[ISI/CTN]]," ",AF318," ",AB318," ",AD318," ",AH318))),TRIM(UPPER(CONCATENATE(P318," ",R318," ",T318," ",V318," ",X318," ",Z318," ","X"," ",Table43[[#This Row],[ISI/CTN]]," ",AB318," ",AD318," ",AH318))))</f>
        <v>KNF ESKULIN KIDS SPRAY TSUMTSUM 9ML X 72 BTL</v>
      </c>
      <c r="O318" s="11">
        <f t="shared" si="17"/>
        <v>44</v>
      </c>
      <c r="P318" s="4" t="s">
        <v>97</v>
      </c>
      <c r="Q318" s="7" t="s">
        <v>98</v>
      </c>
      <c r="R318" s="4" t="s">
        <v>3754</v>
      </c>
      <c r="S318" s="44" t="s">
        <v>3568</v>
      </c>
      <c r="T318" s="45" t="s">
        <v>3728</v>
      </c>
      <c r="U318" s="7" t="s">
        <v>3631</v>
      </c>
      <c r="V318" s="45" t="s">
        <v>2961</v>
      </c>
      <c r="W318" s="44" t="s">
        <v>2900</v>
      </c>
      <c r="X318" s="4" t="s">
        <v>3763</v>
      </c>
      <c r="Y318" s="46" t="s">
        <v>3550</v>
      </c>
      <c r="Z318" s="4" t="s">
        <v>3790</v>
      </c>
      <c r="AA318" s="46" t="s">
        <v>2504</v>
      </c>
      <c r="AB318" s="4" t="s">
        <v>357</v>
      </c>
      <c r="AC318" s="7" t="s">
        <v>2656</v>
      </c>
      <c r="AD318" s="4" t="s">
        <v>2961</v>
      </c>
      <c r="AE318" s="7" t="s">
        <v>2900</v>
      </c>
      <c r="AF318" s="7" t="s">
        <v>2961</v>
      </c>
      <c r="AG318" s="7" t="s">
        <v>2961</v>
      </c>
      <c r="AI318" s="7" t="s">
        <v>4100</v>
      </c>
      <c r="AJ318" s="7" t="s">
        <v>2656</v>
      </c>
      <c r="AK318" s="41">
        <f>Table43[[#This Row],[Harga Jual Pcs GT
(-PPN)]]-(Table43[[#This Row],[Harga Jual Pcs GT
(-PPN)]]*10%)</f>
        <v>0</v>
      </c>
      <c r="AL318" s="42">
        <f>Table43[[#This Row],[Harga Beli Pcs
(-PPN)]]*Table43[[#This Row],[ISI/CTN]]</f>
        <v>0</v>
      </c>
      <c r="AM318" s="42">
        <f>Table43[[#This Row],[Harga Beli Pcs
(-PPN)]]*1.11</f>
        <v>0</v>
      </c>
      <c r="AN318" s="42">
        <f>Table43[[#This Row],[Harga Beli Krt
(- PPN)]]*1.11</f>
        <v>0</v>
      </c>
      <c r="AO318" s="42"/>
      <c r="AP318" s="42">
        <f>Table43[[#This Row],[Harga Jual Pcs GT
(-PPN)]]*Table43[[#This Row],[ISI/CTN]]</f>
        <v>0</v>
      </c>
      <c r="AQ318" s="42">
        <f>Table43[[#This Row],[Harga Jual Pcs GT
(-PPN)]]*1.11</f>
        <v>0</v>
      </c>
      <c r="AR318" s="42">
        <f>Table43[[#This Row],[Harga Jual Krt GT
(- PPN)]]*1.11</f>
        <v>0</v>
      </c>
      <c r="AS318" s="42">
        <f>Table43[[#This Row],[Harga Jual Pcs GT
(-PPN)]]</f>
        <v>0</v>
      </c>
      <c r="AT318" s="42">
        <f>(Table43[[#This Row],[Harga Jual Pcs MT
(-PPN)]]*Table43[[#This Row],[ISI/CTN]])</f>
        <v>0</v>
      </c>
      <c r="AU318" s="42">
        <f>Table43[[#This Row],[Harga Jual Pcs MT
(-PPN)]]*1.11</f>
        <v>0</v>
      </c>
      <c r="AV318" s="42">
        <f>Table43[[#This Row],[Harga Jual Pcs MT
(+PPN)]]*Table43[[#This Row],[ISI/CTN]]</f>
        <v>0</v>
      </c>
      <c r="AW318" s="47"/>
      <c r="AX318" s="7"/>
      <c r="AY318" s="7" t="str">
        <f ca="1">IF(TODAY()-Table43[[#This Row],[Efektif
Pembuatan]]&gt;60,"Lama","Baru")</f>
        <v>Lama</v>
      </c>
      <c r="AZ318" s="7" t="str">
        <f ca="1">IF(TODAY()-Table43[[#This Row],[Efektif Naik Harga]]&lt;30,"Naik","Sama")</f>
        <v>Sama</v>
      </c>
      <c r="BA318" s="7" t="str">
        <f>IF(Table43[[#This Row],[Kode BARANG Win2]]&lt;&gt;"","IDR","")</f>
        <v>IDR</v>
      </c>
      <c r="BB318" s="7" t="str">
        <f>CONCATENATE(Table43[[#This Row],[kode  1 Digit
(Nomor)]],Table43[[#This Row],[kode  4 Digit                (Nomor)]])</f>
        <v>10009</v>
      </c>
      <c r="BC318" s="7" t="str">
        <f>Table43[[#This Row],[Nama            Gramasi atau Jumlah Pack per CTN]]</f>
        <v>9ML</v>
      </c>
      <c r="BD318" s="7"/>
      <c r="BE318" s="7"/>
      <c r="BF318" s="4" t="str">
        <f>IF(Table43[[#This Row],[SATUAN Fix Win]]&lt;&gt;"","KRT")</f>
        <v>KRT</v>
      </c>
      <c r="BG318" s="4" t="str">
        <f>IF(Table43[[#This Row],[SATUAN Fix Win]]&lt;&gt;"","GD01")</f>
        <v>GD01</v>
      </c>
      <c r="BH318" s="4">
        <f>IF(Table43[[#This Row],[SATUAN Fix Win]]&lt;&gt;"",11611)</f>
        <v>11611</v>
      </c>
      <c r="BI318" s="4">
        <f>IF(Table43[[#This Row],[SATUAN Fix Win]]&lt;&gt;"",11612)</f>
        <v>11612</v>
      </c>
      <c r="BJ318" s="48"/>
      <c r="BK318" s="4">
        <f>IF(Table43[[#This Row],[SATUAN Fix Win]]&lt;&gt;"",1)</f>
        <v>1</v>
      </c>
    </row>
    <row r="319" spans="1:63">
      <c r="A319" s="4" t="str">
        <f>CONCATENATE(Table43[[#This Row],[Kode BARANG Win2]],Table43[[#This Row],[No. Urut
Item Sama]])</f>
        <v>K11610010001312</v>
      </c>
      <c r="B319" s="7">
        <v>2</v>
      </c>
      <c r="D319" s="28" t="s">
        <v>724</v>
      </c>
      <c r="E319" s="28"/>
      <c r="F319" s="28" t="s">
        <v>3437</v>
      </c>
      <c r="G319" s="78">
        <v>160</v>
      </c>
      <c r="H319" s="43"/>
      <c r="I319" s="28" t="str">
        <f>Table43[[#This Row],[Nama Jenis Kemasan]]</f>
        <v>SCH</v>
      </c>
      <c r="J319" s="4" t="str">
        <f>TRIM(CONCATENATE(Table43[[#This Row],[Nama            KLP]]," ",Table43[[#This Row],[Nama            Sub KLP]]))</f>
        <v>ESKULIN KIDS H. B.WASH</v>
      </c>
      <c r="K319" s="4" t="str">
        <f>CONCATENATE(Table43[[#This Row],[kode  2 Digit                (hrf+No)]],Table43[[#This Row],[kode  2 Digit                (Nomor)]],Table43[[#This Row],[kode  1 Digit                (Nomor)]])</f>
        <v>K1161</v>
      </c>
      <c r="L319" s="4" t="str">
        <f t="shared" si="15"/>
        <v>K1161001000131</v>
      </c>
      <c r="M319" s="11">
        <f t="shared" si="16"/>
        <v>14</v>
      </c>
      <c r="N319" s="14" t="str">
        <f>IF(AF319&lt;&gt;"",TRIM(UPPER(CONCATENATE(P319," ",R319," ",T319," ",V319," ",X319," ",Z319," ","X"," ",Table43[[#This Row],[ISI/CTN]]," ",AF319," ",AB319," ",AD319," ",AH319))),TRIM(UPPER(CONCATENATE(P319," ",R319," ",T319," ",V319," ",X319," ",Z319," ","X"," ",Table43[[#This Row],[ISI/CTN]]," ",AB319," ",AD319," ",AH319))))</f>
        <v>KNF ESKULIN KIDS H. B.WASH CLN&amp;SMOOTH 10ML X 160 SACHET SCH</v>
      </c>
      <c r="O319" s="11">
        <f t="shared" si="17"/>
        <v>59</v>
      </c>
      <c r="P319" s="4" t="s">
        <v>97</v>
      </c>
      <c r="Q319" s="7" t="s">
        <v>98</v>
      </c>
      <c r="R319" s="4" t="s">
        <v>3754</v>
      </c>
      <c r="S319" s="44" t="s">
        <v>2655</v>
      </c>
      <c r="T319" s="45" t="s">
        <v>3791</v>
      </c>
      <c r="U319" s="7" t="s">
        <v>2656</v>
      </c>
      <c r="V319" s="45" t="s">
        <v>2961</v>
      </c>
      <c r="W319" s="44" t="s">
        <v>2900</v>
      </c>
      <c r="X319" s="4" t="s">
        <v>3792</v>
      </c>
      <c r="Y319" s="46" t="s">
        <v>0</v>
      </c>
      <c r="Z319" s="4" t="s">
        <v>3612</v>
      </c>
      <c r="AA319" s="46" t="s">
        <v>2496</v>
      </c>
      <c r="AB319" s="4" t="s">
        <v>1022</v>
      </c>
      <c r="AC319" s="7" t="s">
        <v>3590</v>
      </c>
      <c r="AD319" s="4" t="s">
        <v>2961</v>
      </c>
      <c r="AE319" s="7" t="s">
        <v>2900</v>
      </c>
      <c r="AF319" s="7" t="s">
        <v>149</v>
      </c>
      <c r="AG319" s="7" t="s">
        <v>2656</v>
      </c>
      <c r="AI319" s="7" t="s">
        <v>4100</v>
      </c>
      <c r="AJ319" s="7" t="s">
        <v>2656</v>
      </c>
      <c r="AK319" s="41">
        <f>Table43[[#This Row],[Harga Jual Pcs GT
(-PPN)]]-(Table43[[#This Row],[Harga Jual Pcs GT
(-PPN)]]*10%)</f>
        <v>0</v>
      </c>
      <c r="AL319" s="42">
        <f>Table43[[#This Row],[Harga Beli Pcs
(-PPN)]]*Table43[[#This Row],[ISI/CTN]]</f>
        <v>0</v>
      </c>
      <c r="AM319" s="42">
        <f>Table43[[#This Row],[Harga Beli Pcs
(-PPN)]]*1.11</f>
        <v>0</v>
      </c>
      <c r="AN319" s="42">
        <f>Table43[[#This Row],[Harga Beli Krt
(- PPN)]]*1.11</f>
        <v>0</v>
      </c>
      <c r="AO319" s="42"/>
      <c r="AP319" s="42">
        <f>Table43[[#This Row],[Harga Jual Pcs GT
(-PPN)]]*Table43[[#This Row],[ISI/CTN]]</f>
        <v>0</v>
      </c>
      <c r="AQ319" s="42">
        <f>Table43[[#This Row],[Harga Jual Pcs GT
(-PPN)]]*1.11</f>
        <v>0</v>
      </c>
      <c r="AR319" s="42">
        <f>Table43[[#This Row],[Harga Jual Krt GT
(- PPN)]]*1.11</f>
        <v>0</v>
      </c>
      <c r="AS319" s="42">
        <f>Table43[[#This Row],[Harga Jual Pcs GT
(-PPN)]]</f>
        <v>0</v>
      </c>
      <c r="AT319" s="42">
        <f>(Table43[[#This Row],[Harga Jual Pcs MT
(-PPN)]]*Table43[[#This Row],[ISI/CTN]])</f>
        <v>0</v>
      </c>
      <c r="AU319" s="42">
        <f>Table43[[#This Row],[Harga Jual Pcs MT
(-PPN)]]*1.11</f>
        <v>0</v>
      </c>
      <c r="AV319" s="42">
        <f>Table43[[#This Row],[Harga Jual Pcs MT
(+PPN)]]*Table43[[#This Row],[ISI/CTN]]</f>
        <v>0</v>
      </c>
      <c r="AW319" s="47"/>
      <c r="AX319" s="7"/>
      <c r="AY319" s="7" t="str">
        <f ca="1">IF(TODAY()-Table43[[#This Row],[Efektif
Pembuatan]]&gt;60,"Lama","Baru")</f>
        <v>Lama</v>
      </c>
      <c r="AZ319" s="7" t="str">
        <f ca="1">IF(TODAY()-Table43[[#This Row],[Efektif Naik Harga]]&lt;30,"Naik","Sama")</f>
        <v>Sama</v>
      </c>
      <c r="BA319" s="7" t="str">
        <f>IF(Table43[[#This Row],[Kode BARANG Win2]]&lt;&gt;"","IDR","")</f>
        <v>IDR</v>
      </c>
      <c r="BB319" s="7" t="str">
        <f>CONCATENATE(Table43[[#This Row],[kode  1 Digit
(Nomor)]],Table43[[#This Row],[kode  4 Digit                (Nomor)]])</f>
        <v>10001</v>
      </c>
      <c r="BC319" s="7" t="str">
        <f>Table43[[#This Row],[Nama            Gramasi atau Jumlah Pack per CTN]]</f>
        <v>10ML</v>
      </c>
      <c r="BD319" s="7"/>
      <c r="BE319" s="7"/>
      <c r="BF319" s="4" t="str">
        <f>IF(Table43[[#This Row],[SATUAN Fix Win]]&lt;&gt;"","KRT")</f>
        <v>KRT</v>
      </c>
      <c r="BG319" s="4" t="str">
        <f>IF(Table43[[#This Row],[SATUAN Fix Win]]&lt;&gt;"","GD01")</f>
        <v>GD01</v>
      </c>
      <c r="BH319" s="4">
        <f>IF(Table43[[#This Row],[SATUAN Fix Win]]&lt;&gt;"",11611)</f>
        <v>11611</v>
      </c>
      <c r="BI319" s="4">
        <f>IF(Table43[[#This Row],[SATUAN Fix Win]]&lt;&gt;"",11612)</f>
        <v>11612</v>
      </c>
      <c r="BJ319" s="48"/>
      <c r="BK319" s="4">
        <f>IF(Table43[[#This Row],[SATUAN Fix Win]]&lt;&gt;"",1)</f>
        <v>1</v>
      </c>
    </row>
    <row r="320" spans="1:63">
      <c r="A320" s="4" t="str">
        <f>CONCATENATE(Table43[[#This Row],[Kode BARANG Win2]],Table43[[#This Row],[No. Urut
Item Sama]])</f>
        <v>K11610010280101</v>
      </c>
      <c r="B320" s="7">
        <v>1</v>
      </c>
      <c r="D320" s="28" t="s">
        <v>719</v>
      </c>
      <c r="E320" s="28"/>
      <c r="F320" s="28" t="s">
        <v>3106</v>
      </c>
      <c r="G320" s="78">
        <v>24</v>
      </c>
      <c r="H320" s="43"/>
      <c r="I320" s="28" t="str">
        <f>Table43[[#This Row],[Nama Jenis Kemasan]]</f>
        <v>BTL</v>
      </c>
      <c r="J320" s="4" t="str">
        <f>TRIM(CONCATENATE(Table43[[#This Row],[Nama            KLP]]," ",Table43[[#This Row],[Nama            Sub KLP]]))</f>
        <v>ESKULIN KIDS H. B.WASH</v>
      </c>
      <c r="K320" s="4" t="str">
        <f>CONCATENATE(Table43[[#This Row],[kode  2 Digit                (hrf+No)]],Table43[[#This Row],[kode  2 Digit                (Nomor)]],Table43[[#This Row],[kode  1 Digit                (Nomor)]])</f>
        <v>K1161</v>
      </c>
      <c r="L320" s="4" t="str">
        <f t="shared" si="15"/>
        <v>K1161001028010</v>
      </c>
      <c r="M320" s="11">
        <f t="shared" si="16"/>
        <v>14</v>
      </c>
      <c r="N320" s="14" t="str">
        <f>IF(AF320&lt;&gt;"",TRIM(UPPER(CONCATENATE(P320," ",R320," ",T320," ",V320," ",X320," ",Z320," ","X"," ",Table43[[#This Row],[ISI/CTN]]," ",AF320," ",AB320," ",AD320," ",AH320))),TRIM(UPPER(CONCATENATE(P320," ",R320," ",T320," ",V320," ",X320," ",Z320," ","X"," ",Table43[[#This Row],[ISI/CTN]]," ",AB320," ",AD320," ",AH320))))</f>
        <v>KNF ESKULIN KIDS H. B.WASH CLN&amp;SMOOTH 280ML X 24 BTL</v>
      </c>
      <c r="O320" s="11">
        <f t="shared" si="17"/>
        <v>52</v>
      </c>
      <c r="P320" s="4" t="s">
        <v>97</v>
      </c>
      <c r="Q320" s="7" t="s">
        <v>98</v>
      </c>
      <c r="R320" s="4" t="s">
        <v>3754</v>
      </c>
      <c r="S320" s="44" t="s">
        <v>2655</v>
      </c>
      <c r="T320" s="45" t="s">
        <v>3791</v>
      </c>
      <c r="U320" s="7" t="s">
        <v>2656</v>
      </c>
      <c r="V320" s="45" t="s">
        <v>2961</v>
      </c>
      <c r="W320" s="44" t="s">
        <v>2900</v>
      </c>
      <c r="X320" s="4" t="s">
        <v>3792</v>
      </c>
      <c r="Y320" s="46" t="s">
        <v>0</v>
      </c>
      <c r="Z320" s="4" t="s">
        <v>3581</v>
      </c>
      <c r="AA320" s="46" t="s">
        <v>2485</v>
      </c>
      <c r="AB320" s="4" t="s">
        <v>357</v>
      </c>
      <c r="AC320" s="7" t="s">
        <v>2656</v>
      </c>
      <c r="AD320" s="4" t="s">
        <v>2961</v>
      </c>
      <c r="AE320" s="7" t="s">
        <v>2900</v>
      </c>
      <c r="AF320" s="7" t="s">
        <v>2961</v>
      </c>
      <c r="AG320" s="7" t="s">
        <v>2961</v>
      </c>
      <c r="AI320" s="7" t="s">
        <v>4100</v>
      </c>
      <c r="AJ320" s="7" t="s">
        <v>2656</v>
      </c>
      <c r="AK320" s="41">
        <f>Table43[[#This Row],[Harga Jual Pcs GT
(-PPN)]]-(Table43[[#This Row],[Harga Jual Pcs GT
(-PPN)]]*10%)</f>
        <v>0</v>
      </c>
      <c r="AL320" s="42">
        <f>Table43[[#This Row],[Harga Beli Pcs
(-PPN)]]*Table43[[#This Row],[ISI/CTN]]</f>
        <v>0</v>
      </c>
      <c r="AM320" s="42">
        <f>Table43[[#This Row],[Harga Beli Pcs
(-PPN)]]*1.11</f>
        <v>0</v>
      </c>
      <c r="AN320" s="42">
        <f>Table43[[#This Row],[Harga Beli Krt
(- PPN)]]*1.11</f>
        <v>0</v>
      </c>
      <c r="AO320" s="42"/>
      <c r="AP320" s="42">
        <f>Table43[[#This Row],[Harga Jual Pcs GT
(-PPN)]]*Table43[[#This Row],[ISI/CTN]]</f>
        <v>0</v>
      </c>
      <c r="AQ320" s="42">
        <f>Table43[[#This Row],[Harga Jual Pcs GT
(-PPN)]]*1.11</f>
        <v>0</v>
      </c>
      <c r="AR320" s="42">
        <f>Table43[[#This Row],[Harga Jual Krt GT
(- PPN)]]*1.11</f>
        <v>0</v>
      </c>
      <c r="AS320" s="42">
        <f>Table43[[#This Row],[Harga Jual Pcs GT
(-PPN)]]</f>
        <v>0</v>
      </c>
      <c r="AT320" s="42">
        <f>(Table43[[#This Row],[Harga Jual Pcs MT
(-PPN)]]*Table43[[#This Row],[ISI/CTN]])</f>
        <v>0</v>
      </c>
      <c r="AU320" s="42">
        <f>Table43[[#This Row],[Harga Jual Pcs MT
(-PPN)]]*1.11</f>
        <v>0</v>
      </c>
      <c r="AV320" s="42">
        <f>Table43[[#This Row],[Harga Jual Pcs MT
(+PPN)]]*Table43[[#This Row],[ISI/CTN]]</f>
        <v>0</v>
      </c>
      <c r="AW320" s="47"/>
      <c r="AX320" s="7"/>
      <c r="AY320" s="7" t="str">
        <f ca="1">IF(TODAY()-Table43[[#This Row],[Efektif
Pembuatan]]&gt;60,"Lama","Baru")</f>
        <v>Lama</v>
      </c>
      <c r="AZ320" s="7" t="str">
        <f ca="1">IF(TODAY()-Table43[[#This Row],[Efektif Naik Harga]]&lt;30,"Naik","Sama")</f>
        <v>Sama</v>
      </c>
      <c r="BA320" s="7" t="str">
        <f>IF(Table43[[#This Row],[Kode BARANG Win2]]&lt;&gt;"","IDR","")</f>
        <v>IDR</v>
      </c>
      <c r="BB320" s="7" t="str">
        <f>CONCATENATE(Table43[[#This Row],[kode  1 Digit
(Nomor)]],Table43[[#This Row],[kode  4 Digit                (Nomor)]])</f>
        <v>10280</v>
      </c>
      <c r="BC320" s="7" t="str">
        <f>Table43[[#This Row],[Nama            Gramasi atau Jumlah Pack per CTN]]</f>
        <v>280ML</v>
      </c>
      <c r="BD320" s="7"/>
      <c r="BE320" s="7"/>
      <c r="BF320" s="4" t="str">
        <f>IF(Table43[[#This Row],[SATUAN Fix Win]]&lt;&gt;"","KRT")</f>
        <v>KRT</v>
      </c>
      <c r="BG320" s="4" t="str">
        <f>IF(Table43[[#This Row],[SATUAN Fix Win]]&lt;&gt;"","GD01")</f>
        <v>GD01</v>
      </c>
      <c r="BH320" s="4">
        <f>IF(Table43[[#This Row],[SATUAN Fix Win]]&lt;&gt;"",11611)</f>
        <v>11611</v>
      </c>
      <c r="BI320" s="4">
        <f>IF(Table43[[#This Row],[SATUAN Fix Win]]&lt;&gt;"",11612)</f>
        <v>11612</v>
      </c>
      <c r="BJ320" s="48"/>
      <c r="BK320" s="4">
        <f>IF(Table43[[#This Row],[SATUAN Fix Win]]&lt;&gt;"",1)</f>
        <v>1</v>
      </c>
    </row>
    <row r="321" spans="1:63">
      <c r="A321" s="4" t="str">
        <f>CONCATENATE(Table43[[#This Row],[Kode BARANG Win2]],Table43[[#This Row],[No. Urut
Item Sama]])</f>
        <v>K11610020200201</v>
      </c>
      <c r="B321" s="7">
        <v>1</v>
      </c>
      <c r="D321" s="28" t="s">
        <v>722</v>
      </c>
      <c r="E321" s="28"/>
      <c r="F321" s="28" t="s">
        <v>3438</v>
      </c>
      <c r="G321" s="78">
        <v>24</v>
      </c>
      <c r="H321" s="43"/>
      <c r="I321" s="28" t="str">
        <f>Table43[[#This Row],[Nama Jenis Kemasan]]</f>
        <v>PCH</v>
      </c>
      <c r="J321" s="4" t="str">
        <f>TRIM(CONCATENATE(Table43[[#This Row],[Nama            KLP]]," ",Table43[[#This Row],[Nama            Sub KLP]]))</f>
        <v>ESKULIN KIDS H. B.WASH</v>
      </c>
      <c r="K321" s="4" t="str">
        <f>CONCATENATE(Table43[[#This Row],[kode  2 Digit                (hrf+No)]],Table43[[#This Row],[kode  2 Digit                (Nomor)]],Table43[[#This Row],[kode  1 Digit                (Nomor)]])</f>
        <v>K1161</v>
      </c>
      <c r="L321" s="4" t="str">
        <f t="shared" si="15"/>
        <v>K1161002020020</v>
      </c>
      <c r="M321" s="11">
        <f t="shared" si="16"/>
        <v>14</v>
      </c>
      <c r="N321" s="14" t="str">
        <f>IF(AF321&lt;&gt;"",TRIM(UPPER(CONCATENATE(P321," ",R321," ",T321," ",V321," ",X321," ",Z321," ","X"," ",Table43[[#This Row],[ISI/CTN]]," ",AF321," ",AB321," ",AD321," ",AH321))),TRIM(UPPER(CONCATENATE(P321," ",R321," ",T321," ",V321," ",X321," ",Z321," ","X"," ",Table43[[#This Row],[ISI/CTN]]," ",AB321," ",AD321," ",AH321))))</f>
        <v>KNF ESKULIN KIDS H. B.WASH MICKEY 200ML X 24 PCH</v>
      </c>
      <c r="O321" s="11">
        <f t="shared" si="17"/>
        <v>48</v>
      </c>
      <c r="P321" s="4" t="s">
        <v>97</v>
      </c>
      <c r="Q321" s="7" t="s">
        <v>98</v>
      </c>
      <c r="R321" s="4" t="s">
        <v>3754</v>
      </c>
      <c r="S321" s="44" t="s">
        <v>2655</v>
      </c>
      <c r="T321" s="45" t="s">
        <v>3791</v>
      </c>
      <c r="U321" s="7" t="s">
        <v>2656</v>
      </c>
      <c r="V321" s="45" t="s">
        <v>2961</v>
      </c>
      <c r="W321" s="44" t="s">
        <v>2900</v>
      </c>
      <c r="X321" s="4" t="s">
        <v>3758</v>
      </c>
      <c r="Y321" s="46" t="s">
        <v>2472</v>
      </c>
      <c r="Z321" s="4" t="s">
        <v>3582</v>
      </c>
      <c r="AA321" s="46" t="s">
        <v>2486</v>
      </c>
      <c r="AB321" s="4" t="s">
        <v>356</v>
      </c>
      <c r="AC321" s="7" t="s">
        <v>3562</v>
      </c>
      <c r="AD321" s="4" t="s">
        <v>2961</v>
      </c>
      <c r="AE321" s="7" t="s">
        <v>2900</v>
      </c>
      <c r="AF321" s="7" t="s">
        <v>2961</v>
      </c>
      <c r="AG321" s="7" t="s">
        <v>2961</v>
      </c>
      <c r="AI321" s="7" t="s">
        <v>4100</v>
      </c>
      <c r="AJ321" s="7" t="s">
        <v>2656</v>
      </c>
      <c r="AK321" s="41">
        <f>Table43[[#This Row],[Harga Jual Pcs GT
(-PPN)]]-(Table43[[#This Row],[Harga Jual Pcs GT
(-PPN)]]*10%)</f>
        <v>0</v>
      </c>
      <c r="AL321" s="42">
        <f>Table43[[#This Row],[Harga Beli Pcs
(-PPN)]]*Table43[[#This Row],[ISI/CTN]]</f>
        <v>0</v>
      </c>
      <c r="AM321" s="42">
        <f>Table43[[#This Row],[Harga Beli Pcs
(-PPN)]]*1.11</f>
        <v>0</v>
      </c>
      <c r="AN321" s="42">
        <f>Table43[[#This Row],[Harga Beli Krt
(- PPN)]]*1.11</f>
        <v>0</v>
      </c>
      <c r="AO321" s="42"/>
      <c r="AP321" s="42">
        <f>Table43[[#This Row],[Harga Jual Pcs GT
(-PPN)]]*Table43[[#This Row],[ISI/CTN]]</f>
        <v>0</v>
      </c>
      <c r="AQ321" s="42">
        <f>Table43[[#This Row],[Harga Jual Pcs GT
(-PPN)]]*1.11</f>
        <v>0</v>
      </c>
      <c r="AR321" s="42">
        <f>Table43[[#This Row],[Harga Jual Krt GT
(- PPN)]]*1.11</f>
        <v>0</v>
      </c>
      <c r="AS321" s="42">
        <f>Table43[[#This Row],[Harga Jual Pcs GT
(-PPN)]]</f>
        <v>0</v>
      </c>
      <c r="AT321" s="42">
        <f>(Table43[[#This Row],[Harga Jual Pcs MT
(-PPN)]]*Table43[[#This Row],[ISI/CTN]])</f>
        <v>0</v>
      </c>
      <c r="AU321" s="42">
        <f>Table43[[#This Row],[Harga Jual Pcs MT
(-PPN)]]*1.11</f>
        <v>0</v>
      </c>
      <c r="AV321" s="42">
        <f>Table43[[#This Row],[Harga Jual Pcs MT
(+PPN)]]*Table43[[#This Row],[ISI/CTN]]</f>
        <v>0</v>
      </c>
      <c r="AW321" s="47"/>
      <c r="AX321" s="7"/>
      <c r="AY321" s="7" t="str">
        <f ca="1">IF(TODAY()-Table43[[#This Row],[Efektif
Pembuatan]]&gt;60,"Lama","Baru")</f>
        <v>Lama</v>
      </c>
      <c r="AZ321" s="7" t="str">
        <f ca="1">IF(TODAY()-Table43[[#This Row],[Efektif Naik Harga]]&lt;30,"Naik","Sama")</f>
        <v>Sama</v>
      </c>
      <c r="BA321" s="7" t="str">
        <f>IF(Table43[[#This Row],[Kode BARANG Win2]]&lt;&gt;"","IDR","")</f>
        <v>IDR</v>
      </c>
      <c r="BB321" s="7" t="str">
        <f>CONCATENATE(Table43[[#This Row],[kode  1 Digit
(Nomor)]],Table43[[#This Row],[kode  4 Digit                (Nomor)]])</f>
        <v>10200</v>
      </c>
      <c r="BC321" s="7" t="str">
        <f>Table43[[#This Row],[Nama            Gramasi atau Jumlah Pack per CTN]]</f>
        <v>200ML</v>
      </c>
      <c r="BD321" s="7"/>
      <c r="BE321" s="7"/>
      <c r="BF321" s="4" t="str">
        <f>IF(Table43[[#This Row],[SATUAN Fix Win]]&lt;&gt;"","KRT")</f>
        <v>KRT</v>
      </c>
      <c r="BG321" s="4" t="str">
        <f>IF(Table43[[#This Row],[SATUAN Fix Win]]&lt;&gt;"","GD01")</f>
        <v>GD01</v>
      </c>
      <c r="BH321" s="4">
        <f>IF(Table43[[#This Row],[SATUAN Fix Win]]&lt;&gt;"",11611)</f>
        <v>11611</v>
      </c>
      <c r="BI321" s="4">
        <f>IF(Table43[[#This Row],[SATUAN Fix Win]]&lt;&gt;"",11612)</f>
        <v>11612</v>
      </c>
      <c r="BJ321" s="48"/>
      <c r="BK321" s="4">
        <f>IF(Table43[[#This Row],[SATUAN Fix Win]]&lt;&gt;"",1)</f>
        <v>1</v>
      </c>
    </row>
    <row r="322" spans="1:63">
      <c r="A322" s="4" t="str">
        <f>CONCATENATE(Table43[[#This Row],[Kode BARANG Win2]],Table43[[#This Row],[No. Urut
Item Sama]])</f>
        <v>K11610020250102</v>
      </c>
      <c r="B322" s="7">
        <v>2</v>
      </c>
      <c r="D322" s="28" t="s">
        <v>723</v>
      </c>
      <c r="E322" s="28"/>
      <c r="F322" s="28" t="s">
        <v>3439</v>
      </c>
      <c r="G322" s="78">
        <v>24</v>
      </c>
      <c r="H322" s="43"/>
      <c r="I322" s="28" t="str">
        <f>Table43[[#This Row],[Nama Jenis Kemasan]]</f>
        <v>BTL</v>
      </c>
      <c r="J322" s="4" t="str">
        <f>TRIM(CONCATENATE(Table43[[#This Row],[Nama            KLP]]," ",Table43[[#This Row],[Nama            Sub KLP]]))</f>
        <v>ESKULIN KIDS H. B.WASH</v>
      </c>
      <c r="K322" s="4" t="str">
        <f>CONCATENATE(Table43[[#This Row],[kode  2 Digit                (hrf+No)]],Table43[[#This Row],[kode  2 Digit                (Nomor)]],Table43[[#This Row],[kode  1 Digit                (Nomor)]])</f>
        <v>K1161</v>
      </c>
      <c r="L322" s="4" t="str">
        <f t="shared" si="15"/>
        <v>K1161002025010</v>
      </c>
      <c r="M322" s="11">
        <f t="shared" si="16"/>
        <v>14</v>
      </c>
      <c r="N322" s="14" t="str">
        <f>IF(AF322&lt;&gt;"",TRIM(UPPER(CONCATENATE(P322," ",R322," ",T322," ",V322," ",X322," ",Z322," ","X"," ",Table43[[#This Row],[ISI/CTN]]," ",AF322," ",AB322," ",AD322," ",AH322))),TRIM(UPPER(CONCATENATE(P322," ",R322," ",T322," ",V322," ",X322," ",Z322," ","X"," ",Table43[[#This Row],[ISI/CTN]]," ",AB322," ",AD322," ",AH322))))</f>
        <v>KNF ESKULIN KIDS H. B.WASH MICKEY 250ML X 24 BTL</v>
      </c>
      <c r="O322" s="11">
        <f t="shared" si="17"/>
        <v>48</v>
      </c>
      <c r="P322" s="4" t="s">
        <v>97</v>
      </c>
      <c r="Q322" s="7" t="s">
        <v>98</v>
      </c>
      <c r="R322" s="4" t="s">
        <v>3754</v>
      </c>
      <c r="S322" s="44" t="s">
        <v>2655</v>
      </c>
      <c r="T322" s="45" t="s">
        <v>3791</v>
      </c>
      <c r="U322" s="7" t="s">
        <v>2656</v>
      </c>
      <c r="V322" s="45" t="s">
        <v>2961</v>
      </c>
      <c r="W322" s="44" t="s">
        <v>2900</v>
      </c>
      <c r="X322" s="4" t="s">
        <v>3758</v>
      </c>
      <c r="Y322" s="46" t="s">
        <v>2472</v>
      </c>
      <c r="Z322" s="4" t="s">
        <v>3580</v>
      </c>
      <c r="AA322" s="46" t="s">
        <v>2484</v>
      </c>
      <c r="AB322" s="4" t="s">
        <v>357</v>
      </c>
      <c r="AC322" s="7" t="s">
        <v>2656</v>
      </c>
      <c r="AD322" s="4" t="s">
        <v>2961</v>
      </c>
      <c r="AE322" s="7" t="s">
        <v>2900</v>
      </c>
      <c r="AF322" s="7" t="s">
        <v>2961</v>
      </c>
      <c r="AG322" s="7" t="s">
        <v>2961</v>
      </c>
      <c r="AI322" s="7" t="s">
        <v>4100</v>
      </c>
      <c r="AJ322" s="7" t="s">
        <v>2656</v>
      </c>
      <c r="AK322" s="41">
        <f>Table43[[#This Row],[Harga Jual Pcs GT
(-PPN)]]-(Table43[[#This Row],[Harga Jual Pcs GT
(-PPN)]]*10%)</f>
        <v>0</v>
      </c>
      <c r="AL322" s="42">
        <f>Table43[[#This Row],[Harga Beli Pcs
(-PPN)]]*Table43[[#This Row],[ISI/CTN]]</f>
        <v>0</v>
      </c>
      <c r="AM322" s="42">
        <f>Table43[[#This Row],[Harga Beli Pcs
(-PPN)]]*1.11</f>
        <v>0</v>
      </c>
      <c r="AN322" s="42">
        <f>Table43[[#This Row],[Harga Beli Krt
(- PPN)]]*1.11</f>
        <v>0</v>
      </c>
      <c r="AO322" s="42"/>
      <c r="AP322" s="42">
        <f>Table43[[#This Row],[Harga Jual Pcs GT
(-PPN)]]*Table43[[#This Row],[ISI/CTN]]</f>
        <v>0</v>
      </c>
      <c r="AQ322" s="42">
        <f>Table43[[#This Row],[Harga Jual Pcs GT
(-PPN)]]*1.11</f>
        <v>0</v>
      </c>
      <c r="AR322" s="42">
        <f>Table43[[#This Row],[Harga Jual Krt GT
(- PPN)]]*1.11</f>
        <v>0</v>
      </c>
      <c r="AS322" s="42">
        <f>Table43[[#This Row],[Harga Jual Pcs GT
(-PPN)]]</f>
        <v>0</v>
      </c>
      <c r="AT322" s="42">
        <f>(Table43[[#This Row],[Harga Jual Pcs MT
(-PPN)]]*Table43[[#This Row],[ISI/CTN]])</f>
        <v>0</v>
      </c>
      <c r="AU322" s="42">
        <f>Table43[[#This Row],[Harga Jual Pcs MT
(-PPN)]]*1.11</f>
        <v>0</v>
      </c>
      <c r="AV322" s="42">
        <f>Table43[[#This Row],[Harga Jual Pcs MT
(+PPN)]]*Table43[[#This Row],[ISI/CTN]]</f>
        <v>0</v>
      </c>
      <c r="AW322" s="47"/>
      <c r="AX322" s="7"/>
      <c r="AY322" s="7" t="str">
        <f ca="1">IF(TODAY()-Table43[[#This Row],[Efektif
Pembuatan]]&gt;60,"Lama","Baru")</f>
        <v>Lama</v>
      </c>
      <c r="AZ322" s="7" t="str">
        <f ca="1">IF(TODAY()-Table43[[#This Row],[Efektif Naik Harga]]&lt;30,"Naik","Sama")</f>
        <v>Sama</v>
      </c>
      <c r="BA322" s="7" t="str">
        <f>IF(Table43[[#This Row],[Kode BARANG Win2]]&lt;&gt;"","IDR","")</f>
        <v>IDR</v>
      </c>
      <c r="BB322" s="7" t="str">
        <f>CONCATENATE(Table43[[#This Row],[kode  1 Digit
(Nomor)]],Table43[[#This Row],[kode  4 Digit                (Nomor)]])</f>
        <v>10250</v>
      </c>
      <c r="BC322" s="7" t="str">
        <f>Table43[[#This Row],[Nama            Gramasi atau Jumlah Pack per CTN]]</f>
        <v>250ML</v>
      </c>
      <c r="BD322" s="7"/>
      <c r="BE322" s="7"/>
      <c r="BF322" s="4" t="str">
        <f>IF(Table43[[#This Row],[SATUAN Fix Win]]&lt;&gt;"","KRT")</f>
        <v>KRT</v>
      </c>
      <c r="BG322" s="4" t="str">
        <f>IF(Table43[[#This Row],[SATUAN Fix Win]]&lt;&gt;"","GD01")</f>
        <v>GD01</v>
      </c>
      <c r="BH322" s="4">
        <f>IF(Table43[[#This Row],[SATUAN Fix Win]]&lt;&gt;"",11611)</f>
        <v>11611</v>
      </c>
      <c r="BI322" s="4">
        <f>IF(Table43[[#This Row],[SATUAN Fix Win]]&lt;&gt;"",11612)</f>
        <v>11612</v>
      </c>
      <c r="BJ322" s="48"/>
      <c r="BK322" s="4">
        <f>IF(Table43[[#This Row],[SATUAN Fix Win]]&lt;&gt;"",1)</f>
        <v>1</v>
      </c>
    </row>
    <row r="323" spans="1:63">
      <c r="A323" s="4" t="str">
        <f>CONCATENATE(Table43[[#This Row],[Kode BARANG Win2]],Table43[[#This Row],[No. Urut
Item Sama]])</f>
        <v>K11610030280101</v>
      </c>
      <c r="B323" s="7">
        <v>1</v>
      </c>
      <c r="D323" s="28" t="s">
        <v>776</v>
      </c>
      <c r="E323" s="28"/>
      <c r="F323" s="28" t="s">
        <v>3107</v>
      </c>
      <c r="G323" s="78">
        <v>24</v>
      </c>
      <c r="H323" s="43"/>
      <c r="I323" s="28" t="str">
        <f>Table43[[#This Row],[Nama Jenis Kemasan]]</f>
        <v>BTL</v>
      </c>
      <c r="J323" s="4" t="str">
        <f>TRIM(CONCATENATE(Table43[[#This Row],[Nama            KLP]]," ",Table43[[#This Row],[Nama            Sub KLP]]))</f>
        <v>ESKULIN KIDS H. B.WASH</v>
      </c>
      <c r="K323" s="4" t="str">
        <f>CONCATENATE(Table43[[#This Row],[kode  2 Digit                (hrf+No)]],Table43[[#This Row],[kode  2 Digit                (Nomor)]],Table43[[#This Row],[kode  1 Digit                (Nomor)]])</f>
        <v>K1161</v>
      </c>
      <c r="L323" s="4" t="str">
        <f t="shared" si="15"/>
        <v>K1161003028010</v>
      </c>
      <c r="M323" s="11">
        <f t="shared" si="16"/>
        <v>14</v>
      </c>
      <c r="N323" s="14" t="str">
        <f>IF(AF323&lt;&gt;"",TRIM(UPPER(CONCATENATE(P323," ",R323," ",T323," ",V323," ",X323," ",Z323," ","X"," ",Table43[[#This Row],[ISI/CTN]]," ",AF323," ",AB323," ",AD323," ",AH323))),TRIM(UPPER(CONCATENATE(P323," ",R323," ",T323," ",V323," ",X323," ",Z323," ","X"," ",Table43[[#This Row],[ISI/CTN]]," ",AB323," ",AD323," ",AH323))))</f>
        <v>KNF ESKULIN KIDS H. B.WASH N.SMOOTH 280ML X 24 BTL</v>
      </c>
      <c r="O323" s="11">
        <f t="shared" si="17"/>
        <v>50</v>
      </c>
      <c r="P323" s="4" t="s">
        <v>97</v>
      </c>
      <c r="Q323" s="7" t="s">
        <v>98</v>
      </c>
      <c r="R323" s="4" t="s">
        <v>3754</v>
      </c>
      <c r="S323" s="44" t="s">
        <v>2655</v>
      </c>
      <c r="T323" s="45" t="s">
        <v>3791</v>
      </c>
      <c r="U323" s="7" t="s">
        <v>2656</v>
      </c>
      <c r="V323" s="45" t="s">
        <v>2961</v>
      </c>
      <c r="W323" s="44" t="s">
        <v>2900</v>
      </c>
      <c r="X323" s="4" t="s">
        <v>3793</v>
      </c>
      <c r="Y323" s="46" t="s">
        <v>2473</v>
      </c>
      <c r="Z323" s="4" t="s">
        <v>3581</v>
      </c>
      <c r="AA323" s="46" t="s">
        <v>2485</v>
      </c>
      <c r="AB323" s="4" t="s">
        <v>357</v>
      </c>
      <c r="AC323" s="7" t="s">
        <v>2656</v>
      </c>
      <c r="AD323" s="4" t="s">
        <v>2961</v>
      </c>
      <c r="AE323" s="7" t="s">
        <v>2900</v>
      </c>
      <c r="AF323" s="7" t="s">
        <v>2961</v>
      </c>
      <c r="AG323" s="7" t="s">
        <v>2961</v>
      </c>
      <c r="AI323" s="7" t="s">
        <v>4100</v>
      </c>
      <c r="AJ323" s="7" t="s">
        <v>2656</v>
      </c>
      <c r="AK323" s="41">
        <f>Table43[[#This Row],[Harga Jual Pcs GT
(-PPN)]]-(Table43[[#This Row],[Harga Jual Pcs GT
(-PPN)]]*10%)</f>
        <v>0</v>
      </c>
      <c r="AL323" s="42">
        <f>Table43[[#This Row],[Harga Beli Pcs
(-PPN)]]*Table43[[#This Row],[ISI/CTN]]</f>
        <v>0</v>
      </c>
      <c r="AM323" s="42">
        <f>Table43[[#This Row],[Harga Beli Pcs
(-PPN)]]*1.11</f>
        <v>0</v>
      </c>
      <c r="AN323" s="42">
        <f>Table43[[#This Row],[Harga Beli Krt
(- PPN)]]*1.11</f>
        <v>0</v>
      </c>
      <c r="AO323" s="42"/>
      <c r="AP323" s="42">
        <f>Table43[[#This Row],[Harga Jual Pcs GT
(-PPN)]]*Table43[[#This Row],[ISI/CTN]]</f>
        <v>0</v>
      </c>
      <c r="AQ323" s="42">
        <f>Table43[[#This Row],[Harga Jual Pcs GT
(-PPN)]]*1.11</f>
        <v>0</v>
      </c>
      <c r="AR323" s="42">
        <f>Table43[[#This Row],[Harga Jual Krt GT
(- PPN)]]*1.11</f>
        <v>0</v>
      </c>
      <c r="AS323" s="42">
        <f>Table43[[#This Row],[Harga Jual Pcs GT
(-PPN)]]</f>
        <v>0</v>
      </c>
      <c r="AT323" s="42">
        <f>(Table43[[#This Row],[Harga Jual Pcs MT
(-PPN)]]*Table43[[#This Row],[ISI/CTN]])</f>
        <v>0</v>
      </c>
      <c r="AU323" s="42">
        <f>Table43[[#This Row],[Harga Jual Pcs MT
(-PPN)]]*1.11</f>
        <v>0</v>
      </c>
      <c r="AV323" s="42">
        <f>Table43[[#This Row],[Harga Jual Pcs MT
(+PPN)]]*Table43[[#This Row],[ISI/CTN]]</f>
        <v>0</v>
      </c>
      <c r="AW323" s="47"/>
      <c r="AX323" s="7"/>
      <c r="AY323" s="7" t="str">
        <f ca="1">IF(TODAY()-Table43[[#This Row],[Efektif
Pembuatan]]&gt;60,"Lama","Baru")</f>
        <v>Lama</v>
      </c>
      <c r="AZ323" s="7" t="str">
        <f ca="1">IF(TODAY()-Table43[[#This Row],[Efektif Naik Harga]]&lt;30,"Naik","Sama")</f>
        <v>Sama</v>
      </c>
      <c r="BA323" s="7" t="str">
        <f>IF(Table43[[#This Row],[Kode BARANG Win2]]&lt;&gt;"","IDR","")</f>
        <v>IDR</v>
      </c>
      <c r="BB323" s="7" t="str">
        <f>CONCATENATE(Table43[[#This Row],[kode  1 Digit
(Nomor)]],Table43[[#This Row],[kode  4 Digit                (Nomor)]])</f>
        <v>10280</v>
      </c>
      <c r="BC323" s="7" t="str">
        <f>Table43[[#This Row],[Nama            Gramasi atau Jumlah Pack per CTN]]</f>
        <v>280ML</v>
      </c>
      <c r="BD323" s="7"/>
      <c r="BE323" s="7"/>
      <c r="BF323" s="4" t="str">
        <f>IF(Table43[[#This Row],[SATUAN Fix Win]]&lt;&gt;"","KRT")</f>
        <v>KRT</v>
      </c>
      <c r="BG323" s="4" t="str">
        <f>IF(Table43[[#This Row],[SATUAN Fix Win]]&lt;&gt;"","GD01")</f>
        <v>GD01</v>
      </c>
      <c r="BH323" s="4">
        <f>IF(Table43[[#This Row],[SATUAN Fix Win]]&lt;&gt;"",11611)</f>
        <v>11611</v>
      </c>
      <c r="BI323" s="4">
        <f>IF(Table43[[#This Row],[SATUAN Fix Win]]&lt;&gt;"",11612)</f>
        <v>11612</v>
      </c>
      <c r="BJ323" s="48"/>
      <c r="BK323" s="4">
        <f>IF(Table43[[#This Row],[SATUAN Fix Win]]&lt;&gt;"",1)</f>
        <v>1</v>
      </c>
    </row>
    <row r="324" spans="1:63">
      <c r="A324" s="4" t="str">
        <f>CONCATENATE(Table43[[#This Row],[Kode BARANG Win2]],Table43[[#This Row],[No. Urut
Item Sama]])</f>
        <v>K11610040280101</v>
      </c>
      <c r="B324" s="7">
        <v>1</v>
      </c>
      <c r="D324" s="28" t="s">
        <v>721</v>
      </c>
      <c r="E324" s="28"/>
      <c r="F324" s="28" t="s">
        <v>3108</v>
      </c>
      <c r="G324" s="78">
        <v>24</v>
      </c>
      <c r="H324" s="43"/>
      <c r="I324" s="28" t="str">
        <f>Table43[[#This Row],[Nama Jenis Kemasan]]</f>
        <v>BTL</v>
      </c>
      <c r="J324" s="4" t="str">
        <f>TRIM(CONCATENATE(Table43[[#This Row],[Nama            KLP]]," ",Table43[[#This Row],[Nama            Sub KLP]]))</f>
        <v>ESKULIN KIDS H. B.WASH</v>
      </c>
      <c r="K324" s="4" t="str">
        <f>CONCATENATE(Table43[[#This Row],[kode  2 Digit                (hrf+No)]],Table43[[#This Row],[kode  2 Digit                (Nomor)]],Table43[[#This Row],[kode  1 Digit                (Nomor)]])</f>
        <v>K1161</v>
      </c>
      <c r="L324" s="4" t="str">
        <f t="shared" si="15"/>
        <v>K1161004028010</v>
      </c>
      <c r="M324" s="11">
        <f t="shared" si="16"/>
        <v>14</v>
      </c>
      <c r="N324" s="14" t="str">
        <f>IF(AF324&lt;&gt;"",TRIM(UPPER(CONCATENATE(P324," ",R324," ",T324," ",V324," ",X324," ",Z324," ","X"," ",Table43[[#This Row],[ISI/CTN]]," ",AF324," ",AB324," ",AD324," ",AH324))),TRIM(UPPER(CONCATENATE(P324," ",R324," ",T324," ",V324," ",X324," ",Z324," ","X"," ",Table43[[#This Row],[ISI/CTN]]," ",AB324," ",AD324," ",AH324))))</f>
        <v>KNF ESKULIN KIDS H. B.WASH SOFT&amp;PROT. 280ML X 24 BTL</v>
      </c>
      <c r="O324" s="11">
        <f t="shared" si="17"/>
        <v>52</v>
      </c>
      <c r="P324" s="4" t="s">
        <v>97</v>
      </c>
      <c r="Q324" s="7" t="s">
        <v>98</v>
      </c>
      <c r="R324" s="4" t="s">
        <v>3754</v>
      </c>
      <c r="S324" s="44" t="s">
        <v>2655</v>
      </c>
      <c r="T324" s="45" t="s">
        <v>3791</v>
      </c>
      <c r="U324" s="7" t="s">
        <v>2656</v>
      </c>
      <c r="V324" s="45" t="s">
        <v>2961</v>
      </c>
      <c r="W324" s="44" t="s">
        <v>2900</v>
      </c>
      <c r="X324" s="4" t="s">
        <v>3794</v>
      </c>
      <c r="Y324" s="46" t="s">
        <v>2474</v>
      </c>
      <c r="Z324" s="4" t="s">
        <v>3581</v>
      </c>
      <c r="AA324" s="46" t="s">
        <v>2485</v>
      </c>
      <c r="AB324" s="4" t="s">
        <v>357</v>
      </c>
      <c r="AC324" s="7" t="s">
        <v>2656</v>
      </c>
      <c r="AD324" s="4" t="s">
        <v>2961</v>
      </c>
      <c r="AE324" s="7" t="s">
        <v>2900</v>
      </c>
      <c r="AF324" s="7" t="s">
        <v>2961</v>
      </c>
      <c r="AG324" s="7" t="s">
        <v>2961</v>
      </c>
      <c r="AI324" s="7" t="s">
        <v>4100</v>
      </c>
      <c r="AJ324" s="7" t="s">
        <v>2656</v>
      </c>
      <c r="AK324" s="41">
        <f>Table43[[#This Row],[Harga Jual Pcs GT
(-PPN)]]-(Table43[[#This Row],[Harga Jual Pcs GT
(-PPN)]]*10%)</f>
        <v>0</v>
      </c>
      <c r="AL324" s="42">
        <f>Table43[[#This Row],[Harga Beli Pcs
(-PPN)]]*Table43[[#This Row],[ISI/CTN]]</f>
        <v>0</v>
      </c>
      <c r="AM324" s="42">
        <f>Table43[[#This Row],[Harga Beli Pcs
(-PPN)]]*1.11</f>
        <v>0</v>
      </c>
      <c r="AN324" s="42">
        <f>Table43[[#This Row],[Harga Beli Krt
(- PPN)]]*1.11</f>
        <v>0</v>
      </c>
      <c r="AO324" s="42"/>
      <c r="AP324" s="42">
        <f>Table43[[#This Row],[Harga Jual Pcs GT
(-PPN)]]*Table43[[#This Row],[ISI/CTN]]</f>
        <v>0</v>
      </c>
      <c r="AQ324" s="42">
        <f>Table43[[#This Row],[Harga Jual Pcs GT
(-PPN)]]*1.11</f>
        <v>0</v>
      </c>
      <c r="AR324" s="42">
        <f>Table43[[#This Row],[Harga Jual Krt GT
(- PPN)]]*1.11</f>
        <v>0</v>
      </c>
      <c r="AS324" s="42">
        <f>Table43[[#This Row],[Harga Jual Pcs GT
(-PPN)]]</f>
        <v>0</v>
      </c>
      <c r="AT324" s="42">
        <f>(Table43[[#This Row],[Harga Jual Pcs MT
(-PPN)]]*Table43[[#This Row],[ISI/CTN]])</f>
        <v>0</v>
      </c>
      <c r="AU324" s="42">
        <f>Table43[[#This Row],[Harga Jual Pcs MT
(-PPN)]]*1.11</f>
        <v>0</v>
      </c>
      <c r="AV324" s="42">
        <f>Table43[[#This Row],[Harga Jual Pcs MT
(+PPN)]]*Table43[[#This Row],[ISI/CTN]]</f>
        <v>0</v>
      </c>
      <c r="AW324" s="47"/>
      <c r="AX324" s="7"/>
      <c r="AY324" s="7" t="str">
        <f ca="1">IF(TODAY()-Table43[[#This Row],[Efektif
Pembuatan]]&gt;60,"Lama","Baru")</f>
        <v>Lama</v>
      </c>
      <c r="AZ324" s="7" t="str">
        <f ca="1">IF(TODAY()-Table43[[#This Row],[Efektif Naik Harga]]&lt;30,"Naik","Sama")</f>
        <v>Sama</v>
      </c>
      <c r="BA324" s="7" t="str">
        <f>IF(Table43[[#This Row],[Kode BARANG Win2]]&lt;&gt;"","IDR","")</f>
        <v>IDR</v>
      </c>
      <c r="BB324" s="7" t="str">
        <f>CONCATENATE(Table43[[#This Row],[kode  1 Digit
(Nomor)]],Table43[[#This Row],[kode  4 Digit                (Nomor)]])</f>
        <v>10280</v>
      </c>
      <c r="BC324" s="7" t="str">
        <f>Table43[[#This Row],[Nama            Gramasi atau Jumlah Pack per CTN]]</f>
        <v>280ML</v>
      </c>
      <c r="BD324" s="7"/>
      <c r="BE324" s="7"/>
      <c r="BF324" s="4" t="str">
        <f>IF(Table43[[#This Row],[SATUAN Fix Win]]&lt;&gt;"","KRT")</f>
        <v>KRT</v>
      </c>
      <c r="BG324" s="4" t="str">
        <f>IF(Table43[[#This Row],[SATUAN Fix Win]]&lt;&gt;"","GD01")</f>
        <v>GD01</v>
      </c>
      <c r="BH324" s="4">
        <f>IF(Table43[[#This Row],[SATUAN Fix Win]]&lt;&gt;"",11611)</f>
        <v>11611</v>
      </c>
      <c r="BI324" s="4">
        <f>IF(Table43[[#This Row],[SATUAN Fix Win]]&lt;&gt;"",11612)</f>
        <v>11612</v>
      </c>
      <c r="BJ324" s="48"/>
      <c r="BK324" s="4">
        <f>IF(Table43[[#This Row],[SATUAN Fix Win]]&lt;&gt;"",1)</f>
        <v>1</v>
      </c>
    </row>
    <row r="325" spans="1:63">
      <c r="A325" s="4" t="str">
        <f>CONCATENATE(Table43[[#This Row],[Kode BARANG Win2]],Table43[[#This Row],[No. Urut
Item Sama]])</f>
        <v>K11610040280201</v>
      </c>
      <c r="B325" s="7">
        <v>1</v>
      </c>
      <c r="D325" s="28" t="s">
        <v>720</v>
      </c>
      <c r="E325" s="28"/>
      <c r="F325" s="28" t="s">
        <v>4092</v>
      </c>
      <c r="G325" s="78">
        <v>24</v>
      </c>
      <c r="H325" s="43"/>
      <c r="I325" s="28" t="str">
        <f>Table43[[#This Row],[Nama Jenis Kemasan]]</f>
        <v>PCH</v>
      </c>
      <c r="J325" s="4" t="str">
        <f>TRIM(CONCATENATE(Table43[[#This Row],[Nama            KLP]]," ",Table43[[#This Row],[Nama            Sub KLP]]))</f>
        <v>ESKULIN KIDS H. B.WASH</v>
      </c>
      <c r="K325" s="4" t="str">
        <f>CONCATENATE(Table43[[#This Row],[kode  2 Digit                (hrf+No)]],Table43[[#This Row],[kode  2 Digit                (Nomor)]],Table43[[#This Row],[kode  1 Digit                (Nomor)]])</f>
        <v>K1161</v>
      </c>
      <c r="L325" s="4" t="str">
        <f t="shared" si="15"/>
        <v>K1161004028020</v>
      </c>
      <c r="M325" s="11">
        <f t="shared" si="16"/>
        <v>14</v>
      </c>
      <c r="N325" s="14" t="str">
        <f>IF(AF325&lt;&gt;"",TRIM(UPPER(CONCATENATE(P325," ",R325," ",T325," ",V325," ",X325," ",Z325," ","X"," ",Table43[[#This Row],[ISI/CTN]]," ",AF325," ",AB325," ",AD325," ",AH325))),TRIM(UPPER(CONCATENATE(P325," ",R325," ",T325," ",V325," ",X325," ",Z325," ","X"," ",Table43[[#This Row],[ISI/CTN]]," ",AB325," ",AD325," ",AH325))))</f>
        <v>KNF ESKULIN KIDS H. B.WASH SOFT&amp;PROT. 280ML X 24 PCH</v>
      </c>
      <c r="O325" s="11">
        <f t="shared" si="17"/>
        <v>52</v>
      </c>
      <c r="P325" s="4" t="s">
        <v>97</v>
      </c>
      <c r="Q325" s="7" t="s">
        <v>98</v>
      </c>
      <c r="R325" s="4" t="s">
        <v>3754</v>
      </c>
      <c r="S325" s="44" t="s">
        <v>2655</v>
      </c>
      <c r="T325" s="45" t="s">
        <v>3791</v>
      </c>
      <c r="U325" s="7" t="s">
        <v>2656</v>
      </c>
      <c r="V325" s="45" t="s">
        <v>2961</v>
      </c>
      <c r="W325" s="44" t="s">
        <v>2900</v>
      </c>
      <c r="X325" s="4" t="s">
        <v>3794</v>
      </c>
      <c r="Y325" s="46" t="s">
        <v>2474</v>
      </c>
      <c r="Z325" s="4" t="s">
        <v>3581</v>
      </c>
      <c r="AA325" s="46" t="s">
        <v>2485</v>
      </c>
      <c r="AB325" s="4" t="s">
        <v>356</v>
      </c>
      <c r="AC325" s="7" t="s">
        <v>3562</v>
      </c>
      <c r="AD325" s="4" t="s">
        <v>2961</v>
      </c>
      <c r="AE325" s="7" t="s">
        <v>2900</v>
      </c>
      <c r="AF325" s="7" t="s">
        <v>2961</v>
      </c>
      <c r="AG325" s="7" t="s">
        <v>2961</v>
      </c>
      <c r="AI325" s="7" t="s">
        <v>4100</v>
      </c>
      <c r="AJ325" s="7" t="s">
        <v>2656</v>
      </c>
      <c r="AK325" s="41">
        <f>Table43[[#This Row],[Harga Jual Pcs GT
(-PPN)]]-(Table43[[#This Row],[Harga Jual Pcs GT
(-PPN)]]*10%)</f>
        <v>0</v>
      </c>
      <c r="AL325" s="42">
        <f>Table43[[#This Row],[Harga Beli Pcs
(-PPN)]]*Table43[[#This Row],[ISI/CTN]]</f>
        <v>0</v>
      </c>
      <c r="AM325" s="42">
        <f>Table43[[#This Row],[Harga Beli Pcs
(-PPN)]]*1.11</f>
        <v>0</v>
      </c>
      <c r="AN325" s="42">
        <f>Table43[[#This Row],[Harga Beli Krt
(- PPN)]]*1.11</f>
        <v>0</v>
      </c>
      <c r="AO325" s="42"/>
      <c r="AP325" s="42">
        <f>Table43[[#This Row],[Harga Jual Pcs GT
(-PPN)]]*Table43[[#This Row],[ISI/CTN]]</f>
        <v>0</v>
      </c>
      <c r="AQ325" s="42">
        <f>Table43[[#This Row],[Harga Jual Pcs GT
(-PPN)]]*1.11</f>
        <v>0</v>
      </c>
      <c r="AR325" s="42">
        <f>Table43[[#This Row],[Harga Jual Krt GT
(- PPN)]]*1.11</f>
        <v>0</v>
      </c>
      <c r="AS325" s="42">
        <f>Table43[[#This Row],[Harga Jual Pcs GT
(-PPN)]]</f>
        <v>0</v>
      </c>
      <c r="AT325" s="42">
        <f>(Table43[[#This Row],[Harga Jual Pcs MT
(-PPN)]]*Table43[[#This Row],[ISI/CTN]])</f>
        <v>0</v>
      </c>
      <c r="AU325" s="42">
        <f>Table43[[#This Row],[Harga Jual Pcs MT
(-PPN)]]*1.11</f>
        <v>0</v>
      </c>
      <c r="AV325" s="42">
        <f>Table43[[#This Row],[Harga Jual Pcs MT
(+PPN)]]*Table43[[#This Row],[ISI/CTN]]</f>
        <v>0</v>
      </c>
      <c r="AW325" s="47"/>
      <c r="AX325" s="7"/>
      <c r="AY325" s="7" t="str">
        <f ca="1">IF(TODAY()-Table43[[#This Row],[Efektif
Pembuatan]]&gt;60,"Lama","Baru")</f>
        <v>Lama</v>
      </c>
      <c r="AZ325" s="7" t="str">
        <f ca="1">IF(TODAY()-Table43[[#This Row],[Efektif Naik Harga]]&lt;30,"Naik","Sama")</f>
        <v>Sama</v>
      </c>
      <c r="BA325" s="7" t="str">
        <f>IF(Table43[[#This Row],[Kode BARANG Win2]]&lt;&gt;"","IDR","")</f>
        <v>IDR</v>
      </c>
      <c r="BB325" s="7" t="str">
        <f>CONCATENATE(Table43[[#This Row],[kode  1 Digit
(Nomor)]],Table43[[#This Row],[kode  4 Digit                (Nomor)]])</f>
        <v>10280</v>
      </c>
      <c r="BC325" s="7" t="str">
        <f>Table43[[#This Row],[Nama            Gramasi atau Jumlah Pack per CTN]]</f>
        <v>280ML</v>
      </c>
      <c r="BD325" s="7"/>
      <c r="BE325" s="7"/>
      <c r="BF325" s="4" t="str">
        <f>IF(Table43[[#This Row],[SATUAN Fix Win]]&lt;&gt;"","KRT")</f>
        <v>KRT</v>
      </c>
      <c r="BG325" s="4" t="str">
        <f>IF(Table43[[#This Row],[SATUAN Fix Win]]&lt;&gt;"","GD01")</f>
        <v>GD01</v>
      </c>
      <c r="BH325" s="4">
        <f>IF(Table43[[#This Row],[SATUAN Fix Win]]&lt;&gt;"",11611)</f>
        <v>11611</v>
      </c>
      <c r="BI325" s="4">
        <f>IF(Table43[[#This Row],[SATUAN Fix Win]]&lt;&gt;"",11612)</f>
        <v>11612</v>
      </c>
      <c r="BJ325" s="48"/>
      <c r="BK325" s="4">
        <f>IF(Table43[[#This Row],[SATUAN Fix Win]]&lt;&gt;"",1)</f>
        <v>1</v>
      </c>
    </row>
    <row r="326" spans="1:63">
      <c r="A326" s="4" t="str">
        <f>CONCATENATE(Table43[[#This Row],[Kode BARANG Win2]],Table43[[#This Row],[No. Urut
Item Sama]])</f>
        <v>K11620010100101</v>
      </c>
      <c r="B326" s="7">
        <v>1</v>
      </c>
      <c r="D326" s="28" t="s">
        <v>673</v>
      </c>
      <c r="E326" s="28"/>
      <c r="F326" s="28" t="s">
        <v>3440</v>
      </c>
      <c r="G326" s="78">
        <v>24</v>
      </c>
      <c r="H326" s="43"/>
      <c r="I326" s="28" t="str">
        <f>Table43[[#This Row],[Nama Jenis Kemasan]]</f>
        <v>BTL</v>
      </c>
      <c r="J326" s="4" t="str">
        <f>TRIM(CONCATENATE(Table43[[#This Row],[Nama            KLP]]," ",Table43[[#This Row],[Nama            Sub KLP]]))</f>
        <v>ESKULIN KIDS H. LOT</v>
      </c>
      <c r="K326" s="4" t="str">
        <f>CONCATENATE(Table43[[#This Row],[kode  2 Digit                (hrf+No)]],Table43[[#This Row],[kode  2 Digit                (Nomor)]],Table43[[#This Row],[kode  1 Digit                (Nomor)]])</f>
        <v>K1162</v>
      </c>
      <c r="L326" s="4" t="str">
        <f t="shared" si="15"/>
        <v>K1162001010010</v>
      </c>
      <c r="M326" s="11">
        <f t="shared" si="16"/>
        <v>14</v>
      </c>
      <c r="N326" s="14" t="str">
        <f>IF(AF326&lt;&gt;"",TRIM(UPPER(CONCATENATE(P326," ",R326," ",T326," ",V326," ",X326," ",Z326," ","X"," ",Table43[[#This Row],[ISI/CTN]]," ",AF326," ",AB326," ",AD326," ",AH326))),TRIM(UPPER(CONCATENATE(P326," ",R326," ",T326," ",V326," ",X326," ",Z326," ","X"," ",Table43[[#This Row],[ISI/CTN]]," ",AB326," ",AD326," ",AH326))))</f>
        <v>KNF ESKULIN KIDS H. LOT GENTLE CARE 100ML X 24 BTL</v>
      </c>
      <c r="O326" s="11">
        <f t="shared" si="17"/>
        <v>50</v>
      </c>
      <c r="P326" s="4" t="s">
        <v>97</v>
      </c>
      <c r="Q326" s="7" t="s">
        <v>98</v>
      </c>
      <c r="R326" s="4" t="s">
        <v>3754</v>
      </c>
      <c r="S326" s="44" t="s">
        <v>2655</v>
      </c>
      <c r="T326" s="45" t="s">
        <v>3795</v>
      </c>
      <c r="U326" s="7" t="s">
        <v>3562</v>
      </c>
      <c r="V326" s="45" t="s">
        <v>2961</v>
      </c>
      <c r="W326" s="44" t="s">
        <v>2900</v>
      </c>
      <c r="X326" s="4" t="s">
        <v>3796</v>
      </c>
      <c r="Y326" s="46" t="s">
        <v>0</v>
      </c>
      <c r="Z326" s="4" t="s">
        <v>3588</v>
      </c>
      <c r="AA326" s="46" t="s">
        <v>2487</v>
      </c>
      <c r="AB326" s="4" t="s">
        <v>357</v>
      </c>
      <c r="AC326" s="7" t="s">
        <v>2656</v>
      </c>
      <c r="AD326" s="4" t="s">
        <v>2961</v>
      </c>
      <c r="AE326" s="7" t="s">
        <v>2900</v>
      </c>
      <c r="AF326" s="7" t="s">
        <v>2961</v>
      </c>
      <c r="AG326" s="7" t="s">
        <v>2961</v>
      </c>
      <c r="AI326" s="7" t="s">
        <v>4100</v>
      </c>
      <c r="AJ326" s="7" t="s">
        <v>2656</v>
      </c>
      <c r="AK326" s="41">
        <f>Table43[[#This Row],[Harga Jual Pcs GT
(-PPN)]]-(Table43[[#This Row],[Harga Jual Pcs GT
(-PPN)]]*10%)</f>
        <v>0</v>
      </c>
      <c r="AL326" s="42">
        <f>Table43[[#This Row],[Harga Beli Pcs
(-PPN)]]*Table43[[#This Row],[ISI/CTN]]</f>
        <v>0</v>
      </c>
      <c r="AM326" s="42">
        <f>Table43[[#This Row],[Harga Beli Pcs
(-PPN)]]*1.11</f>
        <v>0</v>
      </c>
      <c r="AN326" s="42">
        <f>Table43[[#This Row],[Harga Beli Krt
(- PPN)]]*1.11</f>
        <v>0</v>
      </c>
      <c r="AO326" s="42"/>
      <c r="AP326" s="42">
        <f>Table43[[#This Row],[Harga Jual Pcs GT
(-PPN)]]*Table43[[#This Row],[ISI/CTN]]</f>
        <v>0</v>
      </c>
      <c r="AQ326" s="42">
        <f>Table43[[#This Row],[Harga Jual Pcs GT
(-PPN)]]*1.11</f>
        <v>0</v>
      </c>
      <c r="AR326" s="42">
        <f>Table43[[#This Row],[Harga Jual Krt GT
(- PPN)]]*1.11</f>
        <v>0</v>
      </c>
      <c r="AS326" s="42">
        <f>Table43[[#This Row],[Harga Jual Pcs GT
(-PPN)]]</f>
        <v>0</v>
      </c>
      <c r="AT326" s="42">
        <f>(Table43[[#This Row],[Harga Jual Pcs MT
(-PPN)]]*Table43[[#This Row],[ISI/CTN]])</f>
        <v>0</v>
      </c>
      <c r="AU326" s="42">
        <f>Table43[[#This Row],[Harga Jual Pcs MT
(-PPN)]]*1.11</f>
        <v>0</v>
      </c>
      <c r="AV326" s="42">
        <f>Table43[[#This Row],[Harga Jual Pcs MT
(+PPN)]]*Table43[[#This Row],[ISI/CTN]]</f>
        <v>0</v>
      </c>
      <c r="AW326" s="47"/>
      <c r="AX326" s="7"/>
      <c r="AY326" s="7" t="str">
        <f ca="1">IF(TODAY()-Table43[[#This Row],[Efektif
Pembuatan]]&gt;60,"Lama","Baru")</f>
        <v>Lama</v>
      </c>
      <c r="AZ326" s="7" t="str">
        <f ca="1">IF(TODAY()-Table43[[#This Row],[Efektif Naik Harga]]&lt;30,"Naik","Sama")</f>
        <v>Sama</v>
      </c>
      <c r="BA326" s="7" t="str">
        <f>IF(Table43[[#This Row],[Kode BARANG Win2]]&lt;&gt;"","IDR","")</f>
        <v>IDR</v>
      </c>
      <c r="BB326" s="7" t="str">
        <f>CONCATENATE(Table43[[#This Row],[kode  1 Digit
(Nomor)]],Table43[[#This Row],[kode  4 Digit                (Nomor)]])</f>
        <v>10100</v>
      </c>
      <c r="BC326" s="7" t="str">
        <f>Table43[[#This Row],[Nama            Gramasi atau Jumlah Pack per CTN]]</f>
        <v>100ML</v>
      </c>
      <c r="BD326" s="7"/>
      <c r="BE326" s="7"/>
      <c r="BF326" s="4" t="str">
        <f>IF(Table43[[#This Row],[SATUAN Fix Win]]&lt;&gt;"","KRT")</f>
        <v>KRT</v>
      </c>
      <c r="BG326" s="4" t="str">
        <f>IF(Table43[[#This Row],[SATUAN Fix Win]]&lt;&gt;"","GD01")</f>
        <v>GD01</v>
      </c>
      <c r="BH326" s="4">
        <f>IF(Table43[[#This Row],[SATUAN Fix Win]]&lt;&gt;"",11611)</f>
        <v>11611</v>
      </c>
      <c r="BI326" s="4">
        <f>IF(Table43[[#This Row],[SATUAN Fix Win]]&lt;&gt;"",11612)</f>
        <v>11612</v>
      </c>
      <c r="BJ326" s="48"/>
      <c r="BK326" s="4">
        <f>IF(Table43[[#This Row],[SATUAN Fix Win]]&lt;&gt;"",1)</f>
        <v>1</v>
      </c>
    </row>
    <row r="327" spans="1:63">
      <c r="A327" s="4" t="str">
        <f>CONCATENATE(Table43[[#This Row],[Kode BARANG Win2]],Table43[[#This Row],[No. Urut
Item Sama]])</f>
        <v>K11621020100101</v>
      </c>
      <c r="B327" s="7">
        <v>1</v>
      </c>
      <c r="D327" s="28" t="s">
        <v>2653</v>
      </c>
      <c r="E327" s="28"/>
      <c r="F327" s="28">
        <v>0</v>
      </c>
      <c r="G327" s="78">
        <v>24</v>
      </c>
      <c r="H327" s="43"/>
      <c r="I327" s="28" t="str">
        <f>Table43[[#This Row],[Nama Jenis Kemasan]]</f>
        <v>BTL</v>
      </c>
      <c r="J327" s="4" t="str">
        <f>TRIM(CONCATENATE(Table43[[#This Row],[Nama            KLP]]," ",Table43[[#This Row],[Nama            Sub KLP]]))</f>
        <v>ESKULIN KIDS H. LOT</v>
      </c>
      <c r="K327" s="4" t="str">
        <f>CONCATENATE(Table43[[#This Row],[kode  2 Digit                (hrf+No)]],Table43[[#This Row],[kode  2 Digit                (Nomor)]],Table43[[#This Row],[kode  1 Digit                (Nomor)]])</f>
        <v>K1162</v>
      </c>
      <c r="L327" s="4" t="str">
        <f t="shared" si="15"/>
        <v>K1162102010010</v>
      </c>
      <c r="M327" s="11">
        <f t="shared" si="16"/>
        <v>14</v>
      </c>
      <c r="N327" s="14" t="str">
        <f>IF(AF327&lt;&gt;"",TRIM(UPPER(CONCATENATE(P327," ",R327," ",T327," ",V327," ",X327," ",Z327," ","X"," ",Table43[[#This Row],[ISI/CTN]]," ",AF327," ",AB327," ",AD327," ",AH327))),TRIM(UPPER(CONCATENATE(P327," ",R327," ",T327," ",V327," ",X327," ",Z327," ","X"," ",Table43[[#This Row],[ISI/CTN]]," ",AB327," ",AD327," ",AH327))))</f>
        <v>KNF ESKULIN KIDS H. LOT SPRAY PRINC 100ML X 24 BTL</v>
      </c>
      <c r="O327" s="11">
        <f t="shared" si="17"/>
        <v>50</v>
      </c>
      <c r="P327" s="4" t="s">
        <v>97</v>
      </c>
      <c r="Q327" s="7" t="s">
        <v>98</v>
      </c>
      <c r="R327" s="4" t="s">
        <v>3754</v>
      </c>
      <c r="S327" s="44" t="s">
        <v>2655</v>
      </c>
      <c r="T327" s="45" t="s">
        <v>3795</v>
      </c>
      <c r="U327" s="7" t="s">
        <v>3562</v>
      </c>
      <c r="V327" s="45" t="s">
        <v>3728</v>
      </c>
      <c r="W327" s="44" t="s">
        <v>2656</v>
      </c>
      <c r="X327" s="4" t="s">
        <v>3797</v>
      </c>
      <c r="Y327" s="46" t="s">
        <v>2472</v>
      </c>
      <c r="Z327" s="4" t="s">
        <v>3588</v>
      </c>
      <c r="AA327" s="46" t="s">
        <v>2487</v>
      </c>
      <c r="AB327" s="4" t="s">
        <v>357</v>
      </c>
      <c r="AC327" s="7" t="s">
        <v>2656</v>
      </c>
      <c r="AD327" s="4" t="s">
        <v>2961</v>
      </c>
      <c r="AE327" s="7" t="s">
        <v>2900</v>
      </c>
      <c r="AF327" s="7" t="s">
        <v>2961</v>
      </c>
      <c r="AG327" s="7" t="s">
        <v>2961</v>
      </c>
      <c r="AI327" s="7" t="s">
        <v>4100</v>
      </c>
      <c r="AJ327" s="7" t="s">
        <v>2656</v>
      </c>
      <c r="AK327" s="41">
        <f>Table43[[#This Row],[Harga Jual Pcs GT
(-PPN)]]-(Table43[[#This Row],[Harga Jual Pcs GT
(-PPN)]]*10%)</f>
        <v>0</v>
      </c>
      <c r="AL327" s="42">
        <f>Table43[[#This Row],[Harga Beli Pcs
(-PPN)]]*Table43[[#This Row],[ISI/CTN]]</f>
        <v>0</v>
      </c>
      <c r="AM327" s="42">
        <f>Table43[[#This Row],[Harga Beli Pcs
(-PPN)]]*1.11</f>
        <v>0</v>
      </c>
      <c r="AN327" s="42">
        <f>Table43[[#This Row],[Harga Beli Krt
(- PPN)]]*1.11</f>
        <v>0</v>
      </c>
      <c r="AO327" s="42"/>
      <c r="AP327" s="42">
        <f>Table43[[#This Row],[Harga Jual Pcs GT
(-PPN)]]*Table43[[#This Row],[ISI/CTN]]</f>
        <v>0</v>
      </c>
      <c r="AQ327" s="42">
        <f>Table43[[#This Row],[Harga Jual Pcs GT
(-PPN)]]*1.11</f>
        <v>0</v>
      </c>
      <c r="AR327" s="42">
        <f>Table43[[#This Row],[Harga Jual Krt GT
(- PPN)]]*1.11</f>
        <v>0</v>
      </c>
      <c r="AS327" s="42">
        <f>Table43[[#This Row],[Harga Jual Pcs GT
(-PPN)]]</f>
        <v>0</v>
      </c>
      <c r="AT327" s="42">
        <f>(Table43[[#This Row],[Harga Jual Pcs MT
(-PPN)]]*Table43[[#This Row],[ISI/CTN]])</f>
        <v>0</v>
      </c>
      <c r="AU327" s="42">
        <f>Table43[[#This Row],[Harga Jual Pcs MT
(-PPN)]]*1.11</f>
        <v>0</v>
      </c>
      <c r="AV327" s="42">
        <f>Table43[[#This Row],[Harga Jual Pcs MT
(+PPN)]]*Table43[[#This Row],[ISI/CTN]]</f>
        <v>0</v>
      </c>
      <c r="AW327" s="47"/>
      <c r="AX327" s="7"/>
      <c r="AY327" s="7" t="str">
        <f ca="1">IF(TODAY()-Table43[[#This Row],[Efektif
Pembuatan]]&gt;60,"Lama","Baru")</f>
        <v>Lama</v>
      </c>
      <c r="AZ327" s="7" t="str">
        <f ca="1">IF(TODAY()-Table43[[#This Row],[Efektif Naik Harga]]&lt;30,"Naik","Sama")</f>
        <v>Sama</v>
      </c>
      <c r="BA327" s="7" t="str">
        <f>IF(Table43[[#This Row],[Kode BARANG Win2]]&lt;&gt;"","IDR","")</f>
        <v>IDR</v>
      </c>
      <c r="BB327" s="7" t="str">
        <f>CONCATENATE(Table43[[#This Row],[kode  1 Digit
(Nomor)]],Table43[[#This Row],[kode  4 Digit                (Nomor)]])</f>
        <v>10100</v>
      </c>
      <c r="BC327" s="7" t="str">
        <f>Table43[[#This Row],[Nama            Gramasi atau Jumlah Pack per CTN]]</f>
        <v>100ML</v>
      </c>
      <c r="BD327" s="7"/>
      <c r="BE327" s="7"/>
      <c r="BF327" s="4" t="str">
        <f>IF(Table43[[#This Row],[SATUAN Fix Win]]&lt;&gt;"","KRT")</f>
        <v>KRT</v>
      </c>
      <c r="BG327" s="4" t="str">
        <f>IF(Table43[[#This Row],[SATUAN Fix Win]]&lt;&gt;"","GD01")</f>
        <v>GD01</v>
      </c>
      <c r="BH327" s="4">
        <f>IF(Table43[[#This Row],[SATUAN Fix Win]]&lt;&gt;"",11611)</f>
        <v>11611</v>
      </c>
      <c r="BI327" s="4">
        <f>IF(Table43[[#This Row],[SATUAN Fix Win]]&lt;&gt;"",11612)</f>
        <v>11612</v>
      </c>
      <c r="BJ327" s="48"/>
      <c r="BK327" s="4">
        <f>IF(Table43[[#This Row],[SATUAN Fix Win]]&lt;&gt;"",1)</f>
        <v>1</v>
      </c>
    </row>
    <row r="328" spans="1:63">
      <c r="A328" s="4" t="str">
        <f>CONCATENATE(Table43[[#This Row],[Kode BARANG Win2]],Table43[[#This Row],[No. Urut
Item Sama]])</f>
        <v>K11630010100101</v>
      </c>
      <c r="B328" s="7">
        <v>1</v>
      </c>
      <c r="D328" s="28" t="s">
        <v>725</v>
      </c>
      <c r="E328" s="28"/>
      <c r="F328" s="28" t="s">
        <v>3109</v>
      </c>
      <c r="G328" s="78">
        <v>24</v>
      </c>
      <c r="H328" s="43"/>
      <c r="I328" s="28" t="str">
        <f>Table43[[#This Row],[Nama Jenis Kemasan]]</f>
        <v>BTL</v>
      </c>
      <c r="J328" s="4" t="str">
        <f>TRIM(CONCATENATE(Table43[[#This Row],[Nama            KLP]]," ",Table43[[#This Row],[Nama            Sub KLP]]))</f>
        <v>ESKULIN KIDS H. VIT.</v>
      </c>
      <c r="K328" s="4" t="str">
        <f>CONCATENATE(Table43[[#This Row],[kode  2 Digit                (hrf+No)]],Table43[[#This Row],[kode  2 Digit                (Nomor)]],Table43[[#This Row],[kode  1 Digit                (Nomor)]])</f>
        <v>K1163</v>
      </c>
      <c r="L328" s="4" t="str">
        <f t="shared" si="15"/>
        <v>K1163001010010</v>
      </c>
      <c r="M328" s="11">
        <f t="shared" si="16"/>
        <v>14</v>
      </c>
      <c r="N328" s="14" t="str">
        <f>IF(AF328&lt;&gt;"",TRIM(UPPER(CONCATENATE(P328," ",R328," ",T328," ",V328," ",X328," ",Z328," ","X"," ",Table43[[#This Row],[ISI/CTN]]," ",AF328," ",AB328," ",AD328," ",AH328))),TRIM(UPPER(CONCATENATE(P328," ",R328," ",T328," ",V328," ",X328," ",Z328," ","X"," ",Table43[[#This Row],[ISI/CTN]]," ",AB328," ",AD328," ",AH328))))</f>
        <v>KNF ESKULIN KIDS H. VIT. N.SMOOTH 100ML X 24 BTL</v>
      </c>
      <c r="O328" s="11">
        <f t="shared" si="17"/>
        <v>48</v>
      </c>
      <c r="P328" s="4" t="s">
        <v>97</v>
      </c>
      <c r="Q328" s="7" t="s">
        <v>98</v>
      </c>
      <c r="R328" s="4" t="s">
        <v>3754</v>
      </c>
      <c r="S328" s="44" t="s">
        <v>2655</v>
      </c>
      <c r="T328" s="45" t="s">
        <v>3798</v>
      </c>
      <c r="U328" s="7" t="s">
        <v>3590</v>
      </c>
      <c r="V328" s="45" t="s">
        <v>2961</v>
      </c>
      <c r="W328" s="44" t="s">
        <v>2900</v>
      </c>
      <c r="X328" s="4" t="s">
        <v>3793</v>
      </c>
      <c r="Y328" s="46" t="s">
        <v>0</v>
      </c>
      <c r="Z328" s="4" t="s">
        <v>3588</v>
      </c>
      <c r="AA328" s="46" t="s">
        <v>2487</v>
      </c>
      <c r="AB328" s="4" t="s">
        <v>357</v>
      </c>
      <c r="AC328" s="7" t="s">
        <v>2656</v>
      </c>
      <c r="AD328" s="4" t="s">
        <v>2961</v>
      </c>
      <c r="AE328" s="7" t="s">
        <v>2900</v>
      </c>
      <c r="AF328" s="7" t="s">
        <v>2961</v>
      </c>
      <c r="AG328" s="7" t="s">
        <v>2961</v>
      </c>
      <c r="AI328" s="7" t="s">
        <v>4100</v>
      </c>
      <c r="AJ328" s="7" t="s">
        <v>2656</v>
      </c>
      <c r="AK328" s="41">
        <f>Table43[[#This Row],[Harga Jual Pcs GT
(-PPN)]]-(Table43[[#This Row],[Harga Jual Pcs GT
(-PPN)]]*10%)</f>
        <v>0</v>
      </c>
      <c r="AL328" s="42">
        <f>Table43[[#This Row],[Harga Beli Pcs
(-PPN)]]*Table43[[#This Row],[ISI/CTN]]</f>
        <v>0</v>
      </c>
      <c r="AM328" s="42">
        <f>Table43[[#This Row],[Harga Beli Pcs
(-PPN)]]*1.11</f>
        <v>0</v>
      </c>
      <c r="AN328" s="42">
        <f>Table43[[#This Row],[Harga Beli Krt
(- PPN)]]*1.11</f>
        <v>0</v>
      </c>
      <c r="AO328" s="42"/>
      <c r="AP328" s="42">
        <f>Table43[[#This Row],[Harga Jual Pcs GT
(-PPN)]]*Table43[[#This Row],[ISI/CTN]]</f>
        <v>0</v>
      </c>
      <c r="AQ328" s="42">
        <f>Table43[[#This Row],[Harga Jual Pcs GT
(-PPN)]]*1.11</f>
        <v>0</v>
      </c>
      <c r="AR328" s="42">
        <f>Table43[[#This Row],[Harga Jual Krt GT
(- PPN)]]*1.11</f>
        <v>0</v>
      </c>
      <c r="AS328" s="42">
        <f>Table43[[#This Row],[Harga Jual Pcs GT
(-PPN)]]</f>
        <v>0</v>
      </c>
      <c r="AT328" s="42">
        <f>(Table43[[#This Row],[Harga Jual Pcs MT
(-PPN)]]*Table43[[#This Row],[ISI/CTN]])</f>
        <v>0</v>
      </c>
      <c r="AU328" s="42">
        <f>Table43[[#This Row],[Harga Jual Pcs MT
(-PPN)]]*1.11</f>
        <v>0</v>
      </c>
      <c r="AV328" s="42">
        <f>Table43[[#This Row],[Harga Jual Pcs MT
(+PPN)]]*Table43[[#This Row],[ISI/CTN]]</f>
        <v>0</v>
      </c>
      <c r="AW328" s="47"/>
      <c r="AX328" s="7"/>
      <c r="AY328" s="7" t="str">
        <f ca="1">IF(TODAY()-Table43[[#This Row],[Efektif
Pembuatan]]&gt;60,"Lama","Baru")</f>
        <v>Lama</v>
      </c>
      <c r="AZ328" s="7" t="str">
        <f ca="1">IF(TODAY()-Table43[[#This Row],[Efektif Naik Harga]]&lt;30,"Naik","Sama")</f>
        <v>Sama</v>
      </c>
      <c r="BA328" s="7" t="str">
        <f>IF(Table43[[#This Row],[Kode BARANG Win2]]&lt;&gt;"","IDR","")</f>
        <v>IDR</v>
      </c>
      <c r="BB328" s="7" t="str">
        <f>CONCATENATE(Table43[[#This Row],[kode  1 Digit
(Nomor)]],Table43[[#This Row],[kode  4 Digit                (Nomor)]])</f>
        <v>10100</v>
      </c>
      <c r="BC328" s="7" t="str">
        <f>Table43[[#This Row],[Nama            Gramasi atau Jumlah Pack per CTN]]</f>
        <v>100ML</v>
      </c>
      <c r="BD328" s="7"/>
      <c r="BE328" s="7"/>
      <c r="BF328" s="4" t="str">
        <f>IF(Table43[[#This Row],[SATUAN Fix Win]]&lt;&gt;"","KRT")</f>
        <v>KRT</v>
      </c>
      <c r="BG328" s="4" t="str">
        <f>IF(Table43[[#This Row],[SATUAN Fix Win]]&lt;&gt;"","GD01")</f>
        <v>GD01</v>
      </c>
      <c r="BH328" s="4">
        <f>IF(Table43[[#This Row],[SATUAN Fix Win]]&lt;&gt;"",11611)</f>
        <v>11611</v>
      </c>
      <c r="BI328" s="4">
        <f>IF(Table43[[#This Row],[SATUAN Fix Win]]&lt;&gt;"",11612)</f>
        <v>11612</v>
      </c>
      <c r="BJ328" s="48"/>
      <c r="BK328" s="4">
        <f>IF(Table43[[#This Row],[SATUAN Fix Win]]&lt;&gt;"",1)</f>
        <v>1</v>
      </c>
    </row>
    <row r="329" spans="1:63">
      <c r="A329" s="4" t="str">
        <f>CONCATENATE(Table43[[#This Row],[Kode BARANG Win2]],Table43[[#This Row],[No. Urut
Item Sama]])</f>
        <v>K11640010045101</v>
      </c>
      <c r="B329" s="7">
        <v>1</v>
      </c>
      <c r="D329" s="28" t="s">
        <v>4039</v>
      </c>
      <c r="E329" s="28"/>
      <c r="F329" s="28">
        <v>0</v>
      </c>
      <c r="G329" s="78">
        <v>24</v>
      </c>
      <c r="H329" s="43"/>
      <c r="I329" s="28" t="str">
        <f>Table43[[#This Row],[Nama Jenis Kemasan]]</f>
        <v>BTL</v>
      </c>
      <c r="J329" s="4" t="str">
        <f>TRIM(CONCATENATE(Table43[[#This Row],[Nama            KLP]]," ",Table43[[#This Row],[Nama            Sub KLP]]))</f>
        <v>ESKULIN KIDS SUNSCREEN</v>
      </c>
      <c r="K329" s="4" t="str">
        <f>CONCATENATE(Table43[[#This Row],[kode  2 Digit                (hrf+No)]],Table43[[#This Row],[kode  2 Digit                (Nomor)]],Table43[[#This Row],[kode  1 Digit                (Nomor)]])</f>
        <v>K1164</v>
      </c>
      <c r="L329" s="4" t="str">
        <f t="shared" si="15"/>
        <v>K1164001004510</v>
      </c>
      <c r="M329" s="11">
        <f t="shared" si="16"/>
        <v>14</v>
      </c>
      <c r="N329" s="14" t="str">
        <f>IF(AF329&lt;&gt;"",TRIM(UPPER(CONCATENATE(P329," ",R329," ",T329," ",V329," ",X329," ",Z329," ","X"," ",Table43[[#This Row],[ISI/CTN]]," ",AF329," ",AB329," ",AD329," ",AH329))),TRIM(UPPER(CONCATENATE(P329," ",R329," ",T329," ",V329," ",X329," ",Z329," ","X"," ",Table43[[#This Row],[ISI/CTN]]," ",AB329," ",AD329," ",AH329))))</f>
        <v>KNF ESKULIN KIDS SUNSCREEN STITCH 45GR X 24 BTL</v>
      </c>
      <c r="O329" s="11">
        <f t="shared" si="17"/>
        <v>47</v>
      </c>
      <c r="P329" s="4" t="s">
        <v>97</v>
      </c>
      <c r="Q329" s="7" t="s">
        <v>98</v>
      </c>
      <c r="R329" s="4" t="s">
        <v>3754</v>
      </c>
      <c r="S329" s="44" t="s">
        <v>2655</v>
      </c>
      <c r="T329" s="45" t="s">
        <v>3799</v>
      </c>
      <c r="U329" s="7" t="s">
        <v>3593</v>
      </c>
      <c r="V329" s="45" t="s">
        <v>2961</v>
      </c>
      <c r="W329" s="44" t="s">
        <v>2900</v>
      </c>
      <c r="X329" s="4" t="s">
        <v>3800</v>
      </c>
      <c r="Y329" s="46" t="s">
        <v>0</v>
      </c>
      <c r="Z329" s="4" t="s">
        <v>3637</v>
      </c>
      <c r="AA329" s="46" t="s">
        <v>2491</v>
      </c>
      <c r="AB329" s="4" t="s">
        <v>357</v>
      </c>
      <c r="AC329" s="7" t="s">
        <v>2656</v>
      </c>
      <c r="AD329" s="4" t="s">
        <v>2961</v>
      </c>
      <c r="AE329" s="7" t="s">
        <v>2900</v>
      </c>
      <c r="AF329" s="7" t="s">
        <v>2961</v>
      </c>
      <c r="AG329" s="7" t="s">
        <v>2961</v>
      </c>
      <c r="AI329" s="7" t="s">
        <v>2463</v>
      </c>
      <c r="AJ329" s="7" t="s">
        <v>3562</v>
      </c>
      <c r="AK329" s="41">
        <f>Table43[[#This Row],[Harga Jual Pcs GT
(-PPN)]]-(Table43[[#This Row],[Harga Jual Pcs GT
(-PPN)]]*10%)</f>
        <v>0</v>
      </c>
      <c r="AL329" s="42">
        <f>Table43[[#This Row],[Harga Beli Pcs
(-PPN)]]*Table43[[#This Row],[ISI/CTN]]</f>
        <v>0</v>
      </c>
      <c r="AM329" s="42">
        <f>Table43[[#This Row],[Harga Beli Pcs
(-PPN)]]*1.11</f>
        <v>0</v>
      </c>
      <c r="AN329" s="42">
        <f>Table43[[#This Row],[Harga Beli Krt
(- PPN)]]*1.11</f>
        <v>0</v>
      </c>
      <c r="AO329" s="42"/>
      <c r="AP329" s="42">
        <f>Table43[[#This Row],[Harga Jual Pcs GT
(-PPN)]]*Table43[[#This Row],[ISI/CTN]]</f>
        <v>0</v>
      </c>
      <c r="AQ329" s="42">
        <f>Table43[[#This Row],[Harga Jual Pcs GT
(-PPN)]]*1.11</f>
        <v>0</v>
      </c>
      <c r="AR329" s="42">
        <f>Table43[[#This Row],[Harga Jual Krt GT
(- PPN)]]*1.11</f>
        <v>0</v>
      </c>
      <c r="AS329" s="42">
        <f>Table43[[#This Row],[Harga Jual Pcs GT
(-PPN)]]</f>
        <v>0</v>
      </c>
      <c r="AT329" s="42">
        <f>(Table43[[#This Row],[Harga Jual Pcs MT
(-PPN)]]*Table43[[#This Row],[ISI/CTN]])</f>
        <v>0</v>
      </c>
      <c r="AU329" s="42">
        <f>Table43[[#This Row],[Harga Jual Pcs MT
(-PPN)]]*1.11</f>
        <v>0</v>
      </c>
      <c r="AV329" s="42">
        <f>Table43[[#This Row],[Harga Jual Pcs MT
(+PPN)]]*Table43[[#This Row],[ISI/CTN]]</f>
        <v>0</v>
      </c>
      <c r="AW329" s="47"/>
      <c r="AX329" s="7"/>
      <c r="AY329" s="7" t="str">
        <f ca="1">IF(TODAY()-Table43[[#This Row],[Efektif
Pembuatan]]&gt;60,"Lama","Baru")</f>
        <v>Lama</v>
      </c>
      <c r="AZ329" s="7" t="str">
        <f ca="1">IF(TODAY()-Table43[[#This Row],[Efektif Naik Harga]]&lt;30,"Naik","Sama")</f>
        <v>Sama</v>
      </c>
      <c r="BA329" s="7" t="str">
        <f>IF(Table43[[#This Row],[Kode BARANG Win2]]&lt;&gt;"","IDR","")</f>
        <v>IDR</v>
      </c>
      <c r="BB329" s="7" t="str">
        <f>CONCATENATE(Table43[[#This Row],[kode  1 Digit
(Nomor)]],Table43[[#This Row],[kode  4 Digit                (Nomor)]])</f>
        <v>20045</v>
      </c>
      <c r="BC329" s="7" t="str">
        <f>Table43[[#This Row],[Nama            Gramasi atau Jumlah Pack per CTN]]</f>
        <v>45GR</v>
      </c>
      <c r="BD329" s="7"/>
      <c r="BE329" s="7"/>
      <c r="BF329" s="4" t="str">
        <f>IF(Table43[[#This Row],[SATUAN Fix Win]]&lt;&gt;"","KRT")</f>
        <v>KRT</v>
      </c>
      <c r="BG329" s="4" t="str">
        <f>IF(Table43[[#This Row],[SATUAN Fix Win]]&lt;&gt;"","GD01")</f>
        <v>GD01</v>
      </c>
      <c r="BH329" s="4">
        <f>IF(Table43[[#This Row],[SATUAN Fix Win]]&lt;&gt;"",11611)</f>
        <v>11611</v>
      </c>
      <c r="BI329" s="4">
        <f>IF(Table43[[#This Row],[SATUAN Fix Win]]&lt;&gt;"",11612)</f>
        <v>11612</v>
      </c>
      <c r="BJ329" s="48"/>
      <c r="BK329" s="4">
        <f>IF(Table43[[#This Row],[SATUAN Fix Win]]&lt;&gt;"",1)</f>
        <v>1</v>
      </c>
    </row>
    <row r="330" spans="1:63">
      <c r="A330" s="4" t="str">
        <f>CONCATENATE(Table43[[#This Row],[Kode BARANG Win2]],Table43[[#This Row],[No. Urut
Item Sama]])</f>
        <v>K11700010030101</v>
      </c>
      <c r="B330" s="7">
        <v>1</v>
      </c>
      <c r="D330" s="28" t="s">
        <v>999</v>
      </c>
      <c r="E330" s="28"/>
      <c r="F330" s="28" t="s">
        <v>3110</v>
      </c>
      <c r="G330" s="78">
        <v>24</v>
      </c>
      <c r="H330" s="43"/>
      <c r="I330" s="28" t="str">
        <f>Table43[[#This Row],[Nama Jenis Kemasan]]</f>
        <v>BTL</v>
      </c>
      <c r="J330" s="4" t="str">
        <f>TRIM(CONCATENATE(Table43[[#This Row],[Nama            KLP]]," ",Table43[[#This Row],[Nama            Sub KLP]]))</f>
        <v>EVERGREEN AD SET</v>
      </c>
      <c r="K330" s="4" t="str">
        <f>CONCATENATE(Table43[[#This Row],[kode  2 Digit                (hrf+No)]],Table43[[#This Row],[kode  2 Digit                (Nomor)]],Table43[[#This Row],[kode  1 Digit                (Nomor)]])</f>
        <v>K1170</v>
      </c>
      <c r="L330" s="4" t="str">
        <f t="shared" si="15"/>
        <v>K1170001003010</v>
      </c>
      <c r="M330" s="11">
        <f t="shared" si="16"/>
        <v>14</v>
      </c>
      <c r="N330" s="14" t="str">
        <f>IF(AF330&lt;&gt;"",TRIM(UPPER(CONCATENATE(P330," ",R330," ",T330," ",V330," ",X330," ",Z330," ","X"," ",Table43[[#This Row],[ISI/CTN]]," ",AF330," ",AB330," ",AD330," ",AH330))),TRIM(UPPER(CONCATENATE(P330," ",R330," ",T330," ",V330," ",X330," ",Z330," ","X"," ",Table43[[#This Row],[ISI/CTN]]," ",AB330," ",AD330," ",AH330))))</f>
        <v>KNF EVERGREEN AD SET CH.BLOSSOM 30ML X 24 BTL</v>
      </c>
      <c r="O330" s="11">
        <f t="shared" si="17"/>
        <v>45</v>
      </c>
      <c r="P330" s="4" t="s">
        <v>97</v>
      </c>
      <c r="Q330" s="7" t="s">
        <v>98</v>
      </c>
      <c r="R330" s="4" t="s">
        <v>3801</v>
      </c>
      <c r="S330" s="44" t="s">
        <v>3569</v>
      </c>
      <c r="T330" s="45" t="s">
        <v>2961</v>
      </c>
      <c r="U330" s="7" t="s">
        <v>2900</v>
      </c>
      <c r="V330" s="45" t="s">
        <v>2961</v>
      </c>
      <c r="W330" s="44" t="s">
        <v>2900</v>
      </c>
      <c r="X330" s="4" t="s">
        <v>3802</v>
      </c>
      <c r="Y330" s="46" t="s">
        <v>0</v>
      </c>
      <c r="Z330" s="4" t="s">
        <v>3555</v>
      </c>
      <c r="AA330" s="46" t="s">
        <v>2499</v>
      </c>
      <c r="AB330" s="4" t="s">
        <v>357</v>
      </c>
      <c r="AC330" s="7" t="s">
        <v>2656</v>
      </c>
      <c r="AD330" s="4" t="s">
        <v>2961</v>
      </c>
      <c r="AE330" s="7" t="s">
        <v>2900</v>
      </c>
      <c r="AF330" s="7" t="s">
        <v>2961</v>
      </c>
      <c r="AG330" s="7" t="s">
        <v>2961</v>
      </c>
      <c r="AI330" s="7" t="s">
        <v>4100</v>
      </c>
      <c r="AJ330" s="7" t="s">
        <v>2656</v>
      </c>
      <c r="AK330" s="41">
        <f>Table43[[#This Row],[Harga Jual Pcs GT
(-PPN)]]-(Table43[[#This Row],[Harga Jual Pcs GT
(-PPN)]]*10%)</f>
        <v>0</v>
      </c>
      <c r="AL330" s="42">
        <f>Table43[[#This Row],[Harga Beli Pcs
(-PPN)]]*Table43[[#This Row],[ISI/CTN]]</f>
        <v>0</v>
      </c>
      <c r="AM330" s="42">
        <f>Table43[[#This Row],[Harga Beli Pcs
(-PPN)]]*1.11</f>
        <v>0</v>
      </c>
      <c r="AN330" s="42">
        <f>Table43[[#This Row],[Harga Beli Krt
(- PPN)]]*1.11</f>
        <v>0</v>
      </c>
      <c r="AO330" s="42"/>
      <c r="AP330" s="42">
        <f>Table43[[#This Row],[Harga Jual Pcs GT
(-PPN)]]*Table43[[#This Row],[ISI/CTN]]</f>
        <v>0</v>
      </c>
      <c r="AQ330" s="42">
        <f>Table43[[#This Row],[Harga Jual Pcs GT
(-PPN)]]*1.11</f>
        <v>0</v>
      </c>
      <c r="AR330" s="42">
        <f>Table43[[#This Row],[Harga Jual Krt GT
(- PPN)]]*1.11</f>
        <v>0</v>
      </c>
      <c r="AS330" s="42">
        <f>Table43[[#This Row],[Harga Jual Pcs GT
(-PPN)]]</f>
        <v>0</v>
      </c>
      <c r="AT330" s="42">
        <f>(Table43[[#This Row],[Harga Jual Pcs MT
(-PPN)]]*Table43[[#This Row],[ISI/CTN]])</f>
        <v>0</v>
      </c>
      <c r="AU330" s="42">
        <f>Table43[[#This Row],[Harga Jual Pcs MT
(-PPN)]]*1.11</f>
        <v>0</v>
      </c>
      <c r="AV330" s="42">
        <f>Table43[[#This Row],[Harga Jual Pcs MT
(+PPN)]]*Table43[[#This Row],[ISI/CTN]]</f>
        <v>0</v>
      </c>
      <c r="AW330" s="47"/>
      <c r="AX330" s="7"/>
      <c r="AY330" s="7" t="str">
        <f ca="1">IF(TODAY()-Table43[[#This Row],[Efektif
Pembuatan]]&gt;60,"Lama","Baru")</f>
        <v>Lama</v>
      </c>
      <c r="AZ330" s="7" t="str">
        <f ca="1">IF(TODAY()-Table43[[#This Row],[Efektif Naik Harga]]&lt;30,"Naik","Sama")</f>
        <v>Sama</v>
      </c>
      <c r="BA330" s="7" t="str">
        <f>IF(Table43[[#This Row],[Kode BARANG Win2]]&lt;&gt;"","IDR","")</f>
        <v>IDR</v>
      </c>
      <c r="BB330" s="7" t="str">
        <f>CONCATENATE(Table43[[#This Row],[kode  1 Digit
(Nomor)]],Table43[[#This Row],[kode  4 Digit                (Nomor)]])</f>
        <v>10030</v>
      </c>
      <c r="BC330" s="7" t="str">
        <f>Table43[[#This Row],[Nama            Gramasi atau Jumlah Pack per CTN]]</f>
        <v>30ML</v>
      </c>
      <c r="BD330" s="7"/>
      <c r="BE330" s="7"/>
      <c r="BF330" s="4" t="str">
        <f>IF(Table43[[#This Row],[SATUAN Fix Win]]&lt;&gt;"","KRT")</f>
        <v>KRT</v>
      </c>
      <c r="BG330" s="4" t="str">
        <f>IF(Table43[[#This Row],[SATUAN Fix Win]]&lt;&gt;"","GD01")</f>
        <v>GD01</v>
      </c>
      <c r="BH330" s="4">
        <f>IF(Table43[[#This Row],[SATUAN Fix Win]]&lt;&gt;"",11611)</f>
        <v>11611</v>
      </c>
      <c r="BI330" s="4">
        <f>IF(Table43[[#This Row],[SATUAN Fix Win]]&lt;&gt;"",11612)</f>
        <v>11612</v>
      </c>
      <c r="BJ330" s="48"/>
      <c r="BK330" s="4">
        <f>IF(Table43[[#This Row],[SATUAN Fix Win]]&lt;&gt;"",1)</f>
        <v>1</v>
      </c>
    </row>
    <row r="331" spans="1:63">
      <c r="A331" s="4" t="str">
        <f>CONCATENATE(Table43[[#This Row],[Kode BARANG Win2]],Table43[[#This Row],[No. Urut
Item Sama]])</f>
        <v>K11700020030101</v>
      </c>
      <c r="B331" s="7">
        <v>1</v>
      </c>
      <c r="D331" s="28" t="s">
        <v>1000</v>
      </c>
      <c r="E331" s="28"/>
      <c r="F331" s="28" t="s">
        <v>3111</v>
      </c>
      <c r="G331" s="78">
        <v>24</v>
      </c>
      <c r="H331" s="43"/>
      <c r="I331" s="28" t="str">
        <f>Table43[[#This Row],[Nama Jenis Kemasan]]</f>
        <v>BTL</v>
      </c>
      <c r="J331" s="4" t="str">
        <f>TRIM(CONCATENATE(Table43[[#This Row],[Nama            KLP]]," ",Table43[[#This Row],[Nama            Sub KLP]]))</f>
        <v>EVERGREEN AD SET</v>
      </c>
      <c r="K331" s="4" t="str">
        <f>CONCATENATE(Table43[[#This Row],[kode  2 Digit                (hrf+No)]],Table43[[#This Row],[kode  2 Digit                (Nomor)]],Table43[[#This Row],[kode  1 Digit                (Nomor)]])</f>
        <v>K1170</v>
      </c>
      <c r="L331" s="4" t="str">
        <f t="shared" si="15"/>
        <v>K1170002003010</v>
      </c>
      <c r="M331" s="11">
        <f t="shared" si="16"/>
        <v>14</v>
      </c>
      <c r="N331" s="14" t="str">
        <f>IF(AF331&lt;&gt;"",TRIM(UPPER(CONCATENATE(P331," ",R331," ",T331," ",V331," ",X331," ",Z331," ","X"," ",Table43[[#This Row],[ISI/CTN]]," ",AF331," ",AB331," ",AD331," ",AH331))),TRIM(UPPER(CONCATENATE(P331," ",R331," ",T331," ",V331," ",X331," ",Z331," ","X"," ",Table43[[#This Row],[ISI/CTN]]," ",AB331," ",AD331," ",AH331))))</f>
        <v>KNF EVERGREEN AD SET INS.NATURE 30ML X 24 BTL</v>
      </c>
      <c r="O331" s="11">
        <f t="shared" si="17"/>
        <v>45</v>
      </c>
      <c r="P331" s="4" t="s">
        <v>97</v>
      </c>
      <c r="Q331" s="7" t="s">
        <v>98</v>
      </c>
      <c r="R331" s="4" t="s">
        <v>3801</v>
      </c>
      <c r="S331" s="44" t="s">
        <v>3569</v>
      </c>
      <c r="T331" s="45" t="s">
        <v>2961</v>
      </c>
      <c r="U331" s="7" t="s">
        <v>2900</v>
      </c>
      <c r="V331" s="45" t="s">
        <v>2961</v>
      </c>
      <c r="W331" s="44" t="s">
        <v>2900</v>
      </c>
      <c r="X331" s="4" t="s">
        <v>3803</v>
      </c>
      <c r="Y331" s="46" t="s">
        <v>2472</v>
      </c>
      <c r="Z331" s="4" t="s">
        <v>3555</v>
      </c>
      <c r="AA331" s="46" t="s">
        <v>2499</v>
      </c>
      <c r="AB331" s="4" t="s">
        <v>357</v>
      </c>
      <c r="AC331" s="7" t="s">
        <v>2656</v>
      </c>
      <c r="AD331" s="4" t="s">
        <v>2961</v>
      </c>
      <c r="AE331" s="7" t="s">
        <v>2900</v>
      </c>
      <c r="AF331" s="7" t="s">
        <v>2961</v>
      </c>
      <c r="AG331" s="7" t="s">
        <v>2961</v>
      </c>
      <c r="AI331" s="7" t="s">
        <v>4100</v>
      </c>
      <c r="AJ331" s="7" t="s">
        <v>2656</v>
      </c>
      <c r="AK331" s="41">
        <f>Table43[[#This Row],[Harga Jual Pcs GT
(-PPN)]]-(Table43[[#This Row],[Harga Jual Pcs GT
(-PPN)]]*10%)</f>
        <v>0</v>
      </c>
      <c r="AL331" s="42">
        <f>Table43[[#This Row],[Harga Beli Pcs
(-PPN)]]*Table43[[#This Row],[ISI/CTN]]</f>
        <v>0</v>
      </c>
      <c r="AM331" s="42">
        <f>Table43[[#This Row],[Harga Beli Pcs
(-PPN)]]*1.11</f>
        <v>0</v>
      </c>
      <c r="AN331" s="42">
        <f>Table43[[#This Row],[Harga Beli Krt
(- PPN)]]*1.11</f>
        <v>0</v>
      </c>
      <c r="AO331" s="42"/>
      <c r="AP331" s="42">
        <f>Table43[[#This Row],[Harga Jual Pcs GT
(-PPN)]]*Table43[[#This Row],[ISI/CTN]]</f>
        <v>0</v>
      </c>
      <c r="AQ331" s="42">
        <f>Table43[[#This Row],[Harga Jual Pcs GT
(-PPN)]]*1.11</f>
        <v>0</v>
      </c>
      <c r="AR331" s="42">
        <f>Table43[[#This Row],[Harga Jual Krt GT
(- PPN)]]*1.11</f>
        <v>0</v>
      </c>
      <c r="AS331" s="42">
        <f>Table43[[#This Row],[Harga Jual Pcs GT
(-PPN)]]</f>
        <v>0</v>
      </c>
      <c r="AT331" s="42">
        <f>(Table43[[#This Row],[Harga Jual Pcs MT
(-PPN)]]*Table43[[#This Row],[ISI/CTN]])</f>
        <v>0</v>
      </c>
      <c r="AU331" s="42">
        <f>Table43[[#This Row],[Harga Jual Pcs MT
(-PPN)]]*1.11</f>
        <v>0</v>
      </c>
      <c r="AV331" s="42">
        <f>Table43[[#This Row],[Harga Jual Pcs MT
(+PPN)]]*Table43[[#This Row],[ISI/CTN]]</f>
        <v>0</v>
      </c>
      <c r="AW331" s="47"/>
      <c r="AX331" s="7"/>
      <c r="AY331" s="7" t="str">
        <f ca="1">IF(TODAY()-Table43[[#This Row],[Efektif
Pembuatan]]&gt;60,"Lama","Baru")</f>
        <v>Lama</v>
      </c>
      <c r="AZ331" s="7" t="str">
        <f ca="1">IF(TODAY()-Table43[[#This Row],[Efektif Naik Harga]]&lt;30,"Naik","Sama")</f>
        <v>Sama</v>
      </c>
      <c r="BA331" s="7" t="str">
        <f>IF(Table43[[#This Row],[Kode BARANG Win2]]&lt;&gt;"","IDR","")</f>
        <v>IDR</v>
      </c>
      <c r="BB331" s="7" t="str">
        <f>CONCATENATE(Table43[[#This Row],[kode  1 Digit
(Nomor)]],Table43[[#This Row],[kode  4 Digit                (Nomor)]])</f>
        <v>10030</v>
      </c>
      <c r="BC331" s="7" t="str">
        <f>Table43[[#This Row],[Nama            Gramasi atau Jumlah Pack per CTN]]</f>
        <v>30ML</v>
      </c>
      <c r="BD331" s="7"/>
      <c r="BE331" s="7"/>
      <c r="BF331" s="4" t="str">
        <f>IF(Table43[[#This Row],[SATUAN Fix Win]]&lt;&gt;"","KRT")</f>
        <v>KRT</v>
      </c>
      <c r="BG331" s="4" t="str">
        <f>IF(Table43[[#This Row],[SATUAN Fix Win]]&lt;&gt;"","GD01")</f>
        <v>GD01</v>
      </c>
      <c r="BH331" s="4">
        <f>IF(Table43[[#This Row],[SATUAN Fix Win]]&lt;&gt;"",11611)</f>
        <v>11611</v>
      </c>
      <c r="BI331" s="4">
        <f>IF(Table43[[#This Row],[SATUAN Fix Win]]&lt;&gt;"",11612)</f>
        <v>11612</v>
      </c>
      <c r="BJ331" s="48"/>
      <c r="BK331" s="4">
        <f>IF(Table43[[#This Row],[SATUAN Fix Win]]&lt;&gt;"",1)</f>
        <v>1</v>
      </c>
    </row>
    <row r="332" spans="1:63">
      <c r="A332" s="4" t="str">
        <f>CONCATENATE(Table43[[#This Row],[Kode BARANG Win2]],Table43[[#This Row],[No. Urut
Item Sama]])</f>
        <v>K11700030030101</v>
      </c>
      <c r="B332" s="7">
        <v>1</v>
      </c>
      <c r="D332" s="28" t="s">
        <v>1001</v>
      </c>
      <c r="E332" s="28"/>
      <c r="F332" s="28" t="s">
        <v>3112</v>
      </c>
      <c r="G332" s="78">
        <v>24</v>
      </c>
      <c r="H332" s="43"/>
      <c r="I332" s="28" t="str">
        <f>Table43[[#This Row],[Nama Jenis Kemasan]]</f>
        <v>BTL</v>
      </c>
      <c r="J332" s="4" t="str">
        <f>TRIM(CONCATENATE(Table43[[#This Row],[Nama            KLP]]," ",Table43[[#This Row],[Nama            Sub KLP]]))</f>
        <v>EVERGREEN AD SET</v>
      </c>
      <c r="K332" s="4" t="str">
        <f>CONCATENATE(Table43[[#This Row],[kode  2 Digit                (hrf+No)]],Table43[[#This Row],[kode  2 Digit                (Nomor)]],Table43[[#This Row],[kode  1 Digit                (Nomor)]])</f>
        <v>K1170</v>
      </c>
      <c r="L332" s="4" t="str">
        <f t="shared" si="15"/>
        <v>K1170003003010</v>
      </c>
      <c r="M332" s="11">
        <f t="shared" si="16"/>
        <v>14</v>
      </c>
      <c r="N332" s="14" t="str">
        <f>IF(AF332&lt;&gt;"",TRIM(UPPER(CONCATENATE(P332," ",R332," ",T332," ",V332," ",X332," ",Z332," ","X"," ",Table43[[#This Row],[ISI/CTN]]," ",AF332," ",AB332," ",AD332," ",AH332))),TRIM(UPPER(CONCATENATE(P332," ",R332," ",T332," ",V332," ",X332," ",Z332," ","X"," ",Table43[[#This Row],[ISI/CTN]]," ",AB332," ",AD332," ",AH332))))</f>
        <v>KNF EVERGREEN AD SET REF.CITRUS 30ML X 24 BTL</v>
      </c>
      <c r="O332" s="11">
        <f t="shared" si="17"/>
        <v>45</v>
      </c>
      <c r="P332" s="4" t="s">
        <v>97</v>
      </c>
      <c r="Q332" s="7" t="s">
        <v>98</v>
      </c>
      <c r="R332" s="4" t="s">
        <v>3801</v>
      </c>
      <c r="S332" s="44" t="s">
        <v>3569</v>
      </c>
      <c r="T332" s="45" t="s">
        <v>2961</v>
      </c>
      <c r="U332" s="7" t="s">
        <v>2900</v>
      </c>
      <c r="V332" s="45" t="s">
        <v>2961</v>
      </c>
      <c r="W332" s="44" t="s">
        <v>2900</v>
      </c>
      <c r="X332" s="4" t="s">
        <v>3804</v>
      </c>
      <c r="Y332" s="46" t="s">
        <v>2473</v>
      </c>
      <c r="Z332" s="4" t="s">
        <v>3555</v>
      </c>
      <c r="AA332" s="46" t="s">
        <v>2499</v>
      </c>
      <c r="AB332" s="4" t="s">
        <v>357</v>
      </c>
      <c r="AC332" s="7" t="s">
        <v>2656</v>
      </c>
      <c r="AD332" s="4" t="s">
        <v>2961</v>
      </c>
      <c r="AE332" s="7" t="s">
        <v>2900</v>
      </c>
      <c r="AF332" s="7" t="s">
        <v>2961</v>
      </c>
      <c r="AG332" s="7" t="s">
        <v>2961</v>
      </c>
      <c r="AI332" s="7" t="s">
        <v>4100</v>
      </c>
      <c r="AJ332" s="7" t="s">
        <v>2656</v>
      </c>
      <c r="AK332" s="41">
        <f>Table43[[#This Row],[Harga Jual Pcs GT
(-PPN)]]-(Table43[[#This Row],[Harga Jual Pcs GT
(-PPN)]]*10%)</f>
        <v>0</v>
      </c>
      <c r="AL332" s="42">
        <f>Table43[[#This Row],[Harga Beli Pcs
(-PPN)]]*Table43[[#This Row],[ISI/CTN]]</f>
        <v>0</v>
      </c>
      <c r="AM332" s="42">
        <f>Table43[[#This Row],[Harga Beli Pcs
(-PPN)]]*1.11</f>
        <v>0</v>
      </c>
      <c r="AN332" s="42">
        <f>Table43[[#This Row],[Harga Beli Krt
(- PPN)]]*1.11</f>
        <v>0</v>
      </c>
      <c r="AO332" s="42"/>
      <c r="AP332" s="42">
        <f>Table43[[#This Row],[Harga Jual Pcs GT
(-PPN)]]*Table43[[#This Row],[ISI/CTN]]</f>
        <v>0</v>
      </c>
      <c r="AQ332" s="42">
        <f>Table43[[#This Row],[Harga Jual Pcs GT
(-PPN)]]*1.11</f>
        <v>0</v>
      </c>
      <c r="AR332" s="42">
        <f>Table43[[#This Row],[Harga Jual Krt GT
(- PPN)]]*1.11</f>
        <v>0</v>
      </c>
      <c r="AS332" s="42">
        <f>Table43[[#This Row],[Harga Jual Pcs GT
(-PPN)]]</f>
        <v>0</v>
      </c>
      <c r="AT332" s="42">
        <f>(Table43[[#This Row],[Harga Jual Pcs MT
(-PPN)]]*Table43[[#This Row],[ISI/CTN]])</f>
        <v>0</v>
      </c>
      <c r="AU332" s="42">
        <f>Table43[[#This Row],[Harga Jual Pcs MT
(-PPN)]]*1.11</f>
        <v>0</v>
      </c>
      <c r="AV332" s="42">
        <f>Table43[[#This Row],[Harga Jual Pcs MT
(+PPN)]]*Table43[[#This Row],[ISI/CTN]]</f>
        <v>0</v>
      </c>
      <c r="AW332" s="47"/>
      <c r="AX332" s="7"/>
      <c r="AY332" s="7" t="str">
        <f ca="1">IF(TODAY()-Table43[[#This Row],[Efektif
Pembuatan]]&gt;60,"Lama","Baru")</f>
        <v>Lama</v>
      </c>
      <c r="AZ332" s="7" t="str">
        <f ca="1">IF(TODAY()-Table43[[#This Row],[Efektif Naik Harga]]&lt;30,"Naik","Sama")</f>
        <v>Sama</v>
      </c>
      <c r="BA332" s="7" t="str">
        <f>IF(Table43[[#This Row],[Kode BARANG Win2]]&lt;&gt;"","IDR","")</f>
        <v>IDR</v>
      </c>
      <c r="BB332" s="7" t="str">
        <f>CONCATENATE(Table43[[#This Row],[kode  1 Digit
(Nomor)]],Table43[[#This Row],[kode  4 Digit                (Nomor)]])</f>
        <v>10030</v>
      </c>
      <c r="BC332" s="7" t="str">
        <f>Table43[[#This Row],[Nama            Gramasi atau Jumlah Pack per CTN]]</f>
        <v>30ML</v>
      </c>
      <c r="BD332" s="7"/>
      <c r="BE332" s="7"/>
      <c r="BF332" s="4" t="str">
        <f>IF(Table43[[#This Row],[SATUAN Fix Win]]&lt;&gt;"","KRT")</f>
        <v>KRT</v>
      </c>
      <c r="BG332" s="4" t="str">
        <f>IF(Table43[[#This Row],[SATUAN Fix Win]]&lt;&gt;"","GD01")</f>
        <v>GD01</v>
      </c>
      <c r="BH332" s="4">
        <f>IF(Table43[[#This Row],[SATUAN Fix Win]]&lt;&gt;"",11611)</f>
        <v>11611</v>
      </c>
      <c r="BI332" s="4">
        <f>IF(Table43[[#This Row],[SATUAN Fix Win]]&lt;&gt;"",11612)</f>
        <v>11612</v>
      </c>
      <c r="BJ332" s="48"/>
      <c r="BK332" s="4">
        <f>IF(Table43[[#This Row],[SATUAN Fix Win]]&lt;&gt;"",1)</f>
        <v>1</v>
      </c>
    </row>
    <row r="333" spans="1:63">
      <c r="A333" s="4" t="str">
        <f>CONCATENATE(Table43[[#This Row],[Kode BARANG Win2]],Table43[[#This Row],[No. Urut
Item Sama]])</f>
        <v>K11700040030101</v>
      </c>
      <c r="B333" s="7">
        <v>1</v>
      </c>
      <c r="D333" s="28" t="s">
        <v>1002</v>
      </c>
      <c r="E333" s="28"/>
      <c r="F333" s="28" t="s">
        <v>3113</v>
      </c>
      <c r="G333" s="78">
        <v>24</v>
      </c>
      <c r="H333" s="43"/>
      <c r="I333" s="28" t="str">
        <f>Table43[[#This Row],[Nama Jenis Kemasan]]</f>
        <v>BTL</v>
      </c>
      <c r="J333" s="4" t="str">
        <f>TRIM(CONCATENATE(Table43[[#This Row],[Nama            KLP]]," ",Table43[[#This Row],[Nama            Sub KLP]]))</f>
        <v>EVERGREEN AD SET</v>
      </c>
      <c r="K333" s="4" t="str">
        <f>CONCATENATE(Table43[[#This Row],[kode  2 Digit                (hrf+No)]],Table43[[#This Row],[kode  2 Digit                (Nomor)]],Table43[[#This Row],[kode  1 Digit                (Nomor)]])</f>
        <v>K1170</v>
      </c>
      <c r="L333" s="4" t="str">
        <f t="shared" si="15"/>
        <v>K1170004003010</v>
      </c>
      <c r="M333" s="11">
        <f t="shared" si="16"/>
        <v>14</v>
      </c>
      <c r="N333" s="14" t="str">
        <f>IF(AF333&lt;&gt;"",TRIM(UPPER(CONCATENATE(P333," ",R333," ",T333," ",V333," ",X333," ",Z333," ","X"," ",Table43[[#This Row],[ISI/CTN]]," ",AF333," ",AB333," ",AD333," ",AH333))),TRIM(UPPER(CONCATENATE(P333," ",R333," ",T333," ",V333," ",X333," ",Z333," ","X"," ",Table43[[#This Row],[ISI/CTN]]," ",AB333," ",AD333," ",AH333))))</f>
        <v>KNF EVERGREEN AD SET SER.DREAM 30ML X 24 BTL</v>
      </c>
      <c r="O333" s="11">
        <f t="shared" si="17"/>
        <v>44</v>
      </c>
      <c r="P333" s="4" t="s">
        <v>97</v>
      </c>
      <c r="Q333" s="7" t="s">
        <v>98</v>
      </c>
      <c r="R333" s="4" t="s">
        <v>3801</v>
      </c>
      <c r="S333" s="44" t="s">
        <v>3569</v>
      </c>
      <c r="T333" s="45" t="s">
        <v>2961</v>
      </c>
      <c r="U333" s="7" t="s">
        <v>2900</v>
      </c>
      <c r="V333" s="45" t="s">
        <v>2961</v>
      </c>
      <c r="W333" s="44" t="s">
        <v>2900</v>
      </c>
      <c r="X333" s="4" t="s">
        <v>3805</v>
      </c>
      <c r="Y333" s="46" t="s">
        <v>2474</v>
      </c>
      <c r="Z333" s="4" t="s">
        <v>3555</v>
      </c>
      <c r="AA333" s="46" t="s">
        <v>2499</v>
      </c>
      <c r="AB333" s="4" t="s">
        <v>357</v>
      </c>
      <c r="AC333" s="7" t="s">
        <v>2656</v>
      </c>
      <c r="AD333" s="4" t="s">
        <v>2961</v>
      </c>
      <c r="AE333" s="7" t="s">
        <v>2900</v>
      </c>
      <c r="AF333" s="7" t="s">
        <v>2961</v>
      </c>
      <c r="AG333" s="7" t="s">
        <v>2961</v>
      </c>
      <c r="AI333" s="7" t="s">
        <v>4100</v>
      </c>
      <c r="AJ333" s="7" t="s">
        <v>2656</v>
      </c>
      <c r="AK333" s="41">
        <f>Table43[[#This Row],[Harga Jual Pcs GT
(-PPN)]]-(Table43[[#This Row],[Harga Jual Pcs GT
(-PPN)]]*10%)</f>
        <v>0</v>
      </c>
      <c r="AL333" s="42">
        <f>Table43[[#This Row],[Harga Beli Pcs
(-PPN)]]*Table43[[#This Row],[ISI/CTN]]</f>
        <v>0</v>
      </c>
      <c r="AM333" s="42">
        <f>Table43[[#This Row],[Harga Beli Pcs
(-PPN)]]*1.11</f>
        <v>0</v>
      </c>
      <c r="AN333" s="42">
        <f>Table43[[#This Row],[Harga Beli Krt
(- PPN)]]*1.11</f>
        <v>0</v>
      </c>
      <c r="AO333" s="42"/>
      <c r="AP333" s="42">
        <f>Table43[[#This Row],[Harga Jual Pcs GT
(-PPN)]]*Table43[[#This Row],[ISI/CTN]]</f>
        <v>0</v>
      </c>
      <c r="AQ333" s="42">
        <f>Table43[[#This Row],[Harga Jual Pcs GT
(-PPN)]]*1.11</f>
        <v>0</v>
      </c>
      <c r="AR333" s="42">
        <f>Table43[[#This Row],[Harga Jual Krt GT
(- PPN)]]*1.11</f>
        <v>0</v>
      </c>
      <c r="AS333" s="42">
        <f>Table43[[#This Row],[Harga Jual Pcs GT
(-PPN)]]</f>
        <v>0</v>
      </c>
      <c r="AT333" s="42">
        <f>(Table43[[#This Row],[Harga Jual Pcs MT
(-PPN)]]*Table43[[#This Row],[ISI/CTN]])</f>
        <v>0</v>
      </c>
      <c r="AU333" s="42">
        <f>Table43[[#This Row],[Harga Jual Pcs MT
(-PPN)]]*1.11</f>
        <v>0</v>
      </c>
      <c r="AV333" s="42">
        <f>Table43[[#This Row],[Harga Jual Pcs MT
(+PPN)]]*Table43[[#This Row],[ISI/CTN]]</f>
        <v>0</v>
      </c>
      <c r="AW333" s="47"/>
      <c r="AX333" s="7"/>
      <c r="AY333" s="7" t="str">
        <f ca="1">IF(TODAY()-Table43[[#This Row],[Efektif
Pembuatan]]&gt;60,"Lama","Baru")</f>
        <v>Lama</v>
      </c>
      <c r="AZ333" s="7" t="str">
        <f ca="1">IF(TODAY()-Table43[[#This Row],[Efektif Naik Harga]]&lt;30,"Naik","Sama")</f>
        <v>Sama</v>
      </c>
      <c r="BA333" s="7" t="str">
        <f>IF(Table43[[#This Row],[Kode BARANG Win2]]&lt;&gt;"","IDR","")</f>
        <v>IDR</v>
      </c>
      <c r="BB333" s="7" t="str">
        <f>CONCATENATE(Table43[[#This Row],[kode  1 Digit
(Nomor)]],Table43[[#This Row],[kode  4 Digit                (Nomor)]])</f>
        <v>10030</v>
      </c>
      <c r="BC333" s="7" t="str">
        <f>Table43[[#This Row],[Nama            Gramasi atau Jumlah Pack per CTN]]</f>
        <v>30ML</v>
      </c>
      <c r="BD333" s="7"/>
      <c r="BE333" s="7"/>
      <c r="BF333" s="4" t="str">
        <f>IF(Table43[[#This Row],[SATUAN Fix Win]]&lt;&gt;"","KRT")</f>
        <v>KRT</v>
      </c>
      <c r="BG333" s="4" t="str">
        <f>IF(Table43[[#This Row],[SATUAN Fix Win]]&lt;&gt;"","GD01")</f>
        <v>GD01</v>
      </c>
      <c r="BH333" s="4">
        <f>IF(Table43[[#This Row],[SATUAN Fix Win]]&lt;&gt;"",11611)</f>
        <v>11611</v>
      </c>
      <c r="BI333" s="4">
        <f>IF(Table43[[#This Row],[SATUAN Fix Win]]&lt;&gt;"",11612)</f>
        <v>11612</v>
      </c>
      <c r="BJ333" s="48"/>
      <c r="BK333" s="4">
        <f>IF(Table43[[#This Row],[SATUAN Fix Win]]&lt;&gt;"",1)</f>
        <v>1</v>
      </c>
    </row>
    <row r="334" spans="1:63">
      <c r="A334" s="4" t="str">
        <f>CONCATENATE(Table43[[#This Row],[Kode BARANG Win2]],Table43[[#This Row],[No. Urut
Item Sama]])</f>
        <v>K11800010030101</v>
      </c>
      <c r="B334" s="7">
        <v>1</v>
      </c>
      <c r="D334" s="28" t="s">
        <v>1003</v>
      </c>
      <c r="E334" s="28"/>
      <c r="F334" s="28" t="s">
        <v>3114</v>
      </c>
      <c r="G334" s="78">
        <v>36</v>
      </c>
      <c r="H334" s="43"/>
      <c r="I334" s="28" t="str">
        <f>Table43[[#This Row],[Nama Jenis Kemasan]]</f>
        <v>BTL</v>
      </c>
      <c r="J334" s="4" t="str">
        <f>TRIM(CONCATENATE(Table43[[#This Row],[Nama            KLP]]," ",Table43[[#This Row],[Nama            Sub KLP]]))</f>
        <v>EVERGREEN AD REFF</v>
      </c>
      <c r="K334" s="4" t="str">
        <f>CONCATENATE(Table43[[#This Row],[kode  2 Digit                (hrf+No)]],Table43[[#This Row],[kode  2 Digit                (Nomor)]],Table43[[#This Row],[kode  1 Digit                (Nomor)]])</f>
        <v>K1180</v>
      </c>
      <c r="L334" s="4" t="str">
        <f t="shared" si="15"/>
        <v>K1180001003010</v>
      </c>
      <c r="M334" s="11">
        <f t="shared" si="16"/>
        <v>14</v>
      </c>
      <c r="N334" s="14" t="str">
        <f>IF(AF334&lt;&gt;"",TRIM(UPPER(CONCATENATE(P334," ",R334," ",T334," ",V334," ",X334," ",Z334," ","X"," ",Table43[[#This Row],[ISI/CTN]]," ",AF334," ",AB334," ",AD334," ",AH334))),TRIM(UPPER(CONCATENATE(P334," ",R334," ",T334," ",V334," ",X334," ",Z334," ","X"," ",Table43[[#This Row],[ISI/CTN]]," ",AB334," ",AD334," ",AH334))))</f>
        <v>KNF EVERGREEN AD REFF CH.BLOSSOM 30ML X 36 BTL</v>
      </c>
      <c r="O334" s="11">
        <f t="shared" si="17"/>
        <v>46</v>
      </c>
      <c r="P334" s="4" t="s">
        <v>97</v>
      </c>
      <c r="Q334" s="7" t="s">
        <v>98</v>
      </c>
      <c r="R334" s="4" t="s">
        <v>3806</v>
      </c>
      <c r="S334" s="44" t="s">
        <v>3571</v>
      </c>
      <c r="T334" s="45" t="s">
        <v>2961</v>
      </c>
      <c r="U334" s="7" t="s">
        <v>2900</v>
      </c>
      <c r="V334" s="45" t="s">
        <v>2961</v>
      </c>
      <c r="W334" s="44" t="s">
        <v>2900</v>
      </c>
      <c r="X334" s="4" t="s">
        <v>3802</v>
      </c>
      <c r="Y334" s="46" t="s">
        <v>0</v>
      </c>
      <c r="Z334" s="4" t="s">
        <v>3555</v>
      </c>
      <c r="AA334" s="46" t="s">
        <v>2499</v>
      </c>
      <c r="AB334" s="4" t="s">
        <v>357</v>
      </c>
      <c r="AC334" s="7" t="s">
        <v>2656</v>
      </c>
      <c r="AD334" s="4" t="s">
        <v>2961</v>
      </c>
      <c r="AE334" s="7" t="s">
        <v>2900</v>
      </c>
      <c r="AF334" s="7" t="s">
        <v>2961</v>
      </c>
      <c r="AG334" s="7" t="s">
        <v>2961</v>
      </c>
      <c r="AI334" s="7" t="s">
        <v>4100</v>
      </c>
      <c r="AJ334" s="7" t="s">
        <v>2656</v>
      </c>
      <c r="AK334" s="41">
        <f>Table43[[#This Row],[Harga Jual Pcs GT
(-PPN)]]-(Table43[[#This Row],[Harga Jual Pcs GT
(-PPN)]]*10%)</f>
        <v>0</v>
      </c>
      <c r="AL334" s="42">
        <f>Table43[[#This Row],[Harga Beli Pcs
(-PPN)]]*Table43[[#This Row],[ISI/CTN]]</f>
        <v>0</v>
      </c>
      <c r="AM334" s="42">
        <f>Table43[[#This Row],[Harga Beli Pcs
(-PPN)]]*1.11</f>
        <v>0</v>
      </c>
      <c r="AN334" s="42">
        <f>Table43[[#This Row],[Harga Beli Krt
(- PPN)]]*1.11</f>
        <v>0</v>
      </c>
      <c r="AO334" s="42"/>
      <c r="AP334" s="42">
        <f>Table43[[#This Row],[Harga Jual Pcs GT
(-PPN)]]*Table43[[#This Row],[ISI/CTN]]</f>
        <v>0</v>
      </c>
      <c r="AQ334" s="42">
        <f>Table43[[#This Row],[Harga Jual Pcs GT
(-PPN)]]*1.11</f>
        <v>0</v>
      </c>
      <c r="AR334" s="42">
        <f>Table43[[#This Row],[Harga Jual Krt GT
(- PPN)]]*1.11</f>
        <v>0</v>
      </c>
      <c r="AS334" s="42">
        <f>Table43[[#This Row],[Harga Jual Pcs GT
(-PPN)]]</f>
        <v>0</v>
      </c>
      <c r="AT334" s="42">
        <f>(Table43[[#This Row],[Harga Jual Pcs MT
(-PPN)]]*Table43[[#This Row],[ISI/CTN]])</f>
        <v>0</v>
      </c>
      <c r="AU334" s="42">
        <f>Table43[[#This Row],[Harga Jual Pcs MT
(-PPN)]]*1.11</f>
        <v>0</v>
      </c>
      <c r="AV334" s="42">
        <f>Table43[[#This Row],[Harga Jual Pcs MT
(+PPN)]]*Table43[[#This Row],[ISI/CTN]]</f>
        <v>0</v>
      </c>
      <c r="AW334" s="47"/>
      <c r="AX334" s="7"/>
      <c r="AY334" s="7" t="str">
        <f ca="1">IF(TODAY()-Table43[[#This Row],[Efektif
Pembuatan]]&gt;60,"Lama","Baru")</f>
        <v>Lama</v>
      </c>
      <c r="AZ334" s="7" t="str">
        <f ca="1">IF(TODAY()-Table43[[#This Row],[Efektif Naik Harga]]&lt;30,"Naik","Sama")</f>
        <v>Sama</v>
      </c>
      <c r="BA334" s="7" t="str">
        <f>IF(Table43[[#This Row],[Kode BARANG Win2]]&lt;&gt;"","IDR","")</f>
        <v>IDR</v>
      </c>
      <c r="BB334" s="7" t="str">
        <f>CONCATENATE(Table43[[#This Row],[kode  1 Digit
(Nomor)]],Table43[[#This Row],[kode  4 Digit                (Nomor)]])</f>
        <v>10030</v>
      </c>
      <c r="BC334" s="7" t="str">
        <f>Table43[[#This Row],[Nama            Gramasi atau Jumlah Pack per CTN]]</f>
        <v>30ML</v>
      </c>
      <c r="BD334" s="7"/>
      <c r="BE334" s="7"/>
      <c r="BF334" s="4" t="str">
        <f>IF(Table43[[#This Row],[SATUAN Fix Win]]&lt;&gt;"","KRT")</f>
        <v>KRT</v>
      </c>
      <c r="BG334" s="4" t="str">
        <f>IF(Table43[[#This Row],[SATUAN Fix Win]]&lt;&gt;"","GD01")</f>
        <v>GD01</v>
      </c>
      <c r="BH334" s="4">
        <f>IF(Table43[[#This Row],[SATUAN Fix Win]]&lt;&gt;"",11611)</f>
        <v>11611</v>
      </c>
      <c r="BI334" s="4">
        <f>IF(Table43[[#This Row],[SATUAN Fix Win]]&lt;&gt;"",11612)</f>
        <v>11612</v>
      </c>
      <c r="BJ334" s="48"/>
      <c r="BK334" s="4">
        <f>IF(Table43[[#This Row],[SATUAN Fix Win]]&lt;&gt;"",1)</f>
        <v>1</v>
      </c>
    </row>
    <row r="335" spans="1:63">
      <c r="A335" s="4" t="str">
        <f>CONCATENATE(Table43[[#This Row],[Kode BARANG Win2]],Table43[[#This Row],[No. Urut
Item Sama]])</f>
        <v>K11800020030101</v>
      </c>
      <c r="B335" s="7">
        <v>1</v>
      </c>
      <c r="D335" s="28" t="s">
        <v>1004</v>
      </c>
      <c r="E335" s="28"/>
      <c r="F335" s="28" t="s">
        <v>3115</v>
      </c>
      <c r="G335" s="78">
        <v>36</v>
      </c>
      <c r="H335" s="43"/>
      <c r="I335" s="28" t="str">
        <f>Table43[[#This Row],[Nama Jenis Kemasan]]</f>
        <v>BTL</v>
      </c>
      <c r="J335" s="4" t="str">
        <f>TRIM(CONCATENATE(Table43[[#This Row],[Nama            KLP]]," ",Table43[[#This Row],[Nama            Sub KLP]]))</f>
        <v>EVERGREEN AD REFF</v>
      </c>
      <c r="K335" s="4" t="str">
        <f>CONCATENATE(Table43[[#This Row],[kode  2 Digit                (hrf+No)]],Table43[[#This Row],[kode  2 Digit                (Nomor)]],Table43[[#This Row],[kode  1 Digit                (Nomor)]])</f>
        <v>K1180</v>
      </c>
      <c r="L335" s="4" t="str">
        <f t="shared" ref="L335:L398" si="18">IF(AG335="",CONCATENATE(Q335,S335,U335,W335,Y335,AA335,AC335,AE335),CONCATENATE(Q335,S335,U335,W335,Y335,AA335,AC335,AG335))</f>
        <v>K1180002003010</v>
      </c>
      <c r="M335" s="11">
        <f t="shared" ref="M335:M398" si="19">LEN(L335)</f>
        <v>14</v>
      </c>
      <c r="N335" s="14" t="str">
        <f>IF(AF335&lt;&gt;"",TRIM(UPPER(CONCATENATE(P335," ",R335," ",T335," ",V335," ",X335," ",Z335," ","X"," ",Table43[[#This Row],[ISI/CTN]]," ",AF335," ",AB335," ",AD335," ",AH335))),TRIM(UPPER(CONCATENATE(P335," ",R335," ",T335," ",V335," ",X335," ",Z335," ","X"," ",Table43[[#This Row],[ISI/CTN]]," ",AB335," ",AD335," ",AH335))))</f>
        <v>KNF EVERGREEN AD REFF INS.NATURE 30ML X 36 BTL</v>
      </c>
      <c r="O335" s="11">
        <f t="shared" ref="O335:O398" si="20">LEN(N335)</f>
        <v>46</v>
      </c>
      <c r="P335" s="4" t="s">
        <v>97</v>
      </c>
      <c r="Q335" s="7" t="s">
        <v>98</v>
      </c>
      <c r="R335" s="4" t="s">
        <v>3806</v>
      </c>
      <c r="S335" s="44" t="s">
        <v>3571</v>
      </c>
      <c r="T335" s="45" t="s">
        <v>2961</v>
      </c>
      <c r="U335" s="7" t="s">
        <v>2900</v>
      </c>
      <c r="V335" s="45" t="s">
        <v>2961</v>
      </c>
      <c r="W335" s="44" t="s">
        <v>2900</v>
      </c>
      <c r="X335" s="4" t="s">
        <v>3803</v>
      </c>
      <c r="Y335" s="46" t="s">
        <v>2472</v>
      </c>
      <c r="Z335" s="4" t="s">
        <v>3555</v>
      </c>
      <c r="AA335" s="46" t="s">
        <v>2499</v>
      </c>
      <c r="AB335" s="4" t="s">
        <v>357</v>
      </c>
      <c r="AC335" s="7" t="s">
        <v>2656</v>
      </c>
      <c r="AD335" s="4" t="s">
        <v>2961</v>
      </c>
      <c r="AE335" s="7" t="s">
        <v>2900</v>
      </c>
      <c r="AF335" s="7" t="s">
        <v>2961</v>
      </c>
      <c r="AG335" s="7" t="s">
        <v>2961</v>
      </c>
      <c r="AI335" s="7" t="s">
        <v>4100</v>
      </c>
      <c r="AJ335" s="7" t="s">
        <v>2656</v>
      </c>
      <c r="AK335" s="41">
        <f>Table43[[#This Row],[Harga Jual Pcs GT
(-PPN)]]-(Table43[[#This Row],[Harga Jual Pcs GT
(-PPN)]]*10%)</f>
        <v>0</v>
      </c>
      <c r="AL335" s="42">
        <f>Table43[[#This Row],[Harga Beli Pcs
(-PPN)]]*Table43[[#This Row],[ISI/CTN]]</f>
        <v>0</v>
      </c>
      <c r="AM335" s="42">
        <f>Table43[[#This Row],[Harga Beli Pcs
(-PPN)]]*1.11</f>
        <v>0</v>
      </c>
      <c r="AN335" s="42">
        <f>Table43[[#This Row],[Harga Beli Krt
(- PPN)]]*1.11</f>
        <v>0</v>
      </c>
      <c r="AO335" s="42"/>
      <c r="AP335" s="42">
        <f>Table43[[#This Row],[Harga Jual Pcs GT
(-PPN)]]*Table43[[#This Row],[ISI/CTN]]</f>
        <v>0</v>
      </c>
      <c r="AQ335" s="42">
        <f>Table43[[#This Row],[Harga Jual Pcs GT
(-PPN)]]*1.11</f>
        <v>0</v>
      </c>
      <c r="AR335" s="42">
        <f>Table43[[#This Row],[Harga Jual Krt GT
(- PPN)]]*1.11</f>
        <v>0</v>
      </c>
      <c r="AS335" s="42">
        <f>Table43[[#This Row],[Harga Jual Pcs GT
(-PPN)]]</f>
        <v>0</v>
      </c>
      <c r="AT335" s="42">
        <f>(Table43[[#This Row],[Harga Jual Pcs MT
(-PPN)]]*Table43[[#This Row],[ISI/CTN]])</f>
        <v>0</v>
      </c>
      <c r="AU335" s="42">
        <f>Table43[[#This Row],[Harga Jual Pcs MT
(-PPN)]]*1.11</f>
        <v>0</v>
      </c>
      <c r="AV335" s="42">
        <f>Table43[[#This Row],[Harga Jual Pcs MT
(+PPN)]]*Table43[[#This Row],[ISI/CTN]]</f>
        <v>0</v>
      </c>
      <c r="AW335" s="47"/>
      <c r="AX335" s="7"/>
      <c r="AY335" s="7" t="str">
        <f ca="1">IF(TODAY()-Table43[[#This Row],[Efektif
Pembuatan]]&gt;60,"Lama","Baru")</f>
        <v>Lama</v>
      </c>
      <c r="AZ335" s="7" t="str">
        <f ca="1">IF(TODAY()-Table43[[#This Row],[Efektif Naik Harga]]&lt;30,"Naik","Sama")</f>
        <v>Sama</v>
      </c>
      <c r="BA335" s="7" t="str">
        <f>IF(Table43[[#This Row],[Kode BARANG Win2]]&lt;&gt;"","IDR","")</f>
        <v>IDR</v>
      </c>
      <c r="BB335" s="7" t="str">
        <f>CONCATENATE(Table43[[#This Row],[kode  1 Digit
(Nomor)]],Table43[[#This Row],[kode  4 Digit                (Nomor)]])</f>
        <v>10030</v>
      </c>
      <c r="BC335" s="7" t="str">
        <f>Table43[[#This Row],[Nama            Gramasi atau Jumlah Pack per CTN]]</f>
        <v>30ML</v>
      </c>
      <c r="BD335" s="7"/>
      <c r="BE335" s="7"/>
      <c r="BF335" s="4" t="str">
        <f>IF(Table43[[#This Row],[SATUAN Fix Win]]&lt;&gt;"","KRT")</f>
        <v>KRT</v>
      </c>
      <c r="BG335" s="4" t="str">
        <f>IF(Table43[[#This Row],[SATUAN Fix Win]]&lt;&gt;"","GD01")</f>
        <v>GD01</v>
      </c>
      <c r="BH335" s="4">
        <f>IF(Table43[[#This Row],[SATUAN Fix Win]]&lt;&gt;"",11611)</f>
        <v>11611</v>
      </c>
      <c r="BI335" s="4">
        <f>IF(Table43[[#This Row],[SATUAN Fix Win]]&lt;&gt;"",11612)</f>
        <v>11612</v>
      </c>
      <c r="BJ335" s="48"/>
      <c r="BK335" s="4">
        <f>IF(Table43[[#This Row],[SATUAN Fix Win]]&lt;&gt;"",1)</f>
        <v>1</v>
      </c>
    </row>
    <row r="336" spans="1:63">
      <c r="A336" s="4" t="str">
        <f>CONCATENATE(Table43[[#This Row],[Kode BARANG Win2]],Table43[[#This Row],[No. Urut
Item Sama]])</f>
        <v>K11800030030101</v>
      </c>
      <c r="B336" s="7">
        <v>1</v>
      </c>
      <c r="D336" s="28" t="s">
        <v>1005</v>
      </c>
      <c r="E336" s="28"/>
      <c r="F336" s="28" t="s">
        <v>3116</v>
      </c>
      <c r="G336" s="78">
        <v>36</v>
      </c>
      <c r="H336" s="43"/>
      <c r="I336" s="28" t="str">
        <f>Table43[[#This Row],[Nama Jenis Kemasan]]</f>
        <v>BTL</v>
      </c>
      <c r="J336" s="4" t="str">
        <f>TRIM(CONCATENATE(Table43[[#This Row],[Nama            KLP]]," ",Table43[[#This Row],[Nama            Sub KLP]]))</f>
        <v>EVERGREEN AD REFF</v>
      </c>
      <c r="K336" s="4" t="str">
        <f>CONCATENATE(Table43[[#This Row],[kode  2 Digit                (hrf+No)]],Table43[[#This Row],[kode  2 Digit                (Nomor)]],Table43[[#This Row],[kode  1 Digit                (Nomor)]])</f>
        <v>K1180</v>
      </c>
      <c r="L336" s="4" t="str">
        <f t="shared" si="18"/>
        <v>K1180003003010</v>
      </c>
      <c r="M336" s="11">
        <f t="shared" si="19"/>
        <v>14</v>
      </c>
      <c r="N336" s="14" t="str">
        <f>IF(AF336&lt;&gt;"",TRIM(UPPER(CONCATENATE(P336," ",R336," ",T336," ",V336," ",X336," ",Z336," ","X"," ",Table43[[#This Row],[ISI/CTN]]," ",AF336," ",AB336," ",AD336," ",AH336))),TRIM(UPPER(CONCATENATE(P336," ",R336," ",T336," ",V336," ",X336," ",Z336," ","X"," ",Table43[[#This Row],[ISI/CTN]]," ",AB336," ",AD336," ",AH336))))</f>
        <v>KNF EVERGREEN AD REFF REF.CITRUS 30ML X 36 BTL</v>
      </c>
      <c r="O336" s="11">
        <f t="shared" si="20"/>
        <v>46</v>
      </c>
      <c r="P336" s="4" t="s">
        <v>97</v>
      </c>
      <c r="Q336" s="7" t="s">
        <v>98</v>
      </c>
      <c r="R336" s="4" t="s">
        <v>3806</v>
      </c>
      <c r="S336" s="44" t="s">
        <v>3571</v>
      </c>
      <c r="T336" s="45" t="s">
        <v>2961</v>
      </c>
      <c r="U336" s="7" t="s">
        <v>2900</v>
      </c>
      <c r="V336" s="45" t="s">
        <v>2961</v>
      </c>
      <c r="W336" s="44" t="s">
        <v>2900</v>
      </c>
      <c r="X336" s="4" t="s">
        <v>3804</v>
      </c>
      <c r="Y336" s="46" t="s">
        <v>2473</v>
      </c>
      <c r="Z336" s="4" t="s">
        <v>3555</v>
      </c>
      <c r="AA336" s="46" t="s">
        <v>2499</v>
      </c>
      <c r="AB336" s="4" t="s">
        <v>357</v>
      </c>
      <c r="AC336" s="7" t="s">
        <v>2656</v>
      </c>
      <c r="AD336" s="4" t="s">
        <v>2961</v>
      </c>
      <c r="AE336" s="7" t="s">
        <v>2900</v>
      </c>
      <c r="AF336" s="7" t="s">
        <v>2961</v>
      </c>
      <c r="AG336" s="7" t="s">
        <v>2961</v>
      </c>
      <c r="AI336" s="7" t="s">
        <v>4100</v>
      </c>
      <c r="AJ336" s="7" t="s">
        <v>2656</v>
      </c>
      <c r="AK336" s="41">
        <f>Table43[[#This Row],[Harga Jual Pcs GT
(-PPN)]]-(Table43[[#This Row],[Harga Jual Pcs GT
(-PPN)]]*10%)</f>
        <v>0</v>
      </c>
      <c r="AL336" s="42">
        <f>Table43[[#This Row],[Harga Beli Pcs
(-PPN)]]*Table43[[#This Row],[ISI/CTN]]</f>
        <v>0</v>
      </c>
      <c r="AM336" s="42">
        <f>Table43[[#This Row],[Harga Beli Pcs
(-PPN)]]*1.11</f>
        <v>0</v>
      </c>
      <c r="AN336" s="42">
        <f>Table43[[#This Row],[Harga Beli Krt
(- PPN)]]*1.11</f>
        <v>0</v>
      </c>
      <c r="AO336" s="42"/>
      <c r="AP336" s="42">
        <f>Table43[[#This Row],[Harga Jual Pcs GT
(-PPN)]]*Table43[[#This Row],[ISI/CTN]]</f>
        <v>0</v>
      </c>
      <c r="AQ336" s="42">
        <f>Table43[[#This Row],[Harga Jual Pcs GT
(-PPN)]]*1.11</f>
        <v>0</v>
      </c>
      <c r="AR336" s="42">
        <f>Table43[[#This Row],[Harga Jual Krt GT
(- PPN)]]*1.11</f>
        <v>0</v>
      </c>
      <c r="AS336" s="42">
        <f>Table43[[#This Row],[Harga Jual Pcs GT
(-PPN)]]</f>
        <v>0</v>
      </c>
      <c r="AT336" s="42">
        <f>(Table43[[#This Row],[Harga Jual Pcs MT
(-PPN)]]*Table43[[#This Row],[ISI/CTN]])</f>
        <v>0</v>
      </c>
      <c r="AU336" s="42">
        <f>Table43[[#This Row],[Harga Jual Pcs MT
(-PPN)]]*1.11</f>
        <v>0</v>
      </c>
      <c r="AV336" s="42">
        <f>Table43[[#This Row],[Harga Jual Pcs MT
(+PPN)]]*Table43[[#This Row],[ISI/CTN]]</f>
        <v>0</v>
      </c>
      <c r="AW336" s="47"/>
      <c r="AX336" s="7"/>
      <c r="AY336" s="7" t="str">
        <f ca="1">IF(TODAY()-Table43[[#This Row],[Efektif
Pembuatan]]&gt;60,"Lama","Baru")</f>
        <v>Lama</v>
      </c>
      <c r="AZ336" s="7" t="str">
        <f ca="1">IF(TODAY()-Table43[[#This Row],[Efektif Naik Harga]]&lt;30,"Naik","Sama")</f>
        <v>Sama</v>
      </c>
      <c r="BA336" s="7" t="str">
        <f>IF(Table43[[#This Row],[Kode BARANG Win2]]&lt;&gt;"","IDR","")</f>
        <v>IDR</v>
      </c>
      <c r="BB336" s="7" t="str">
        <f>CONCATENATE(Table43[[#This Row],[kode  1 Digit
(Nomor)]],Table43[[#This Row],[kode  4 Digit                (Nomor)]])</f>
        <v>10030</v>
      </c>
      <c r="BC336" s="7" t="str">
        <f>Table43[[#This Row],[Nama            Gramasi atau Jumlah Pack per CTN]]</f>
        <v>30ML</v>
      </c>
      <c r="BD336" s="7"/>
      <c r="BE336" s="7"/>
      <c r="BF336" s="4" t="str">
        <f>IF(Table43[[#This Row],[SATUAN Fix Win]]&lt;&gt;"","KRT")</f>
        <v>KRT</v>
      </c>
      <c r="BG336" s="4" t="str">
        <f>IF(Table43[[#This Row],[SATUAN Fix Win]]&lt;&gt;"","GD01")</f>
        <v>GD01</v>
      </c>
      <c r="BH336" s="4">
        <f>IF(Table43[[#This Row],[SATUAN Fix Win]]&lt;&gt;"",11611)</f>
        <v>11611</v>
      </c>
      <c r="BI336" s="4">
        <f>IF(Table43[[#This Row],[SATUAN Fix Win]]&lt;&gt;"",11612)</f>
        <v>11612</v>
      </c>
      <c r="BJ336" s="48"/>
      <c r="BK336" s="4">
        <f>IF(Table43[[#This Row],[SATUAN Fix Win]]&lt;&gt;"",1)</f>
        <v>1</v>
      </c>
    </row>
    <row r="337" spans="1:63">
      <c r="A337" s="4" t="str">
        <f>CONCATENATE(Table43[[#This Row],[Kode BARANG Win2]],Table43[[#This Row],[No. Urut
Item Sama]])</f>
        <v>K11800040030101</v>
      </c>
      <c r="B337" s="7">
        <v>1</v>
      </c>
      <c r="D337" s="28" t="s">
        <v>1006</v>
      </c>
      <c r="E337" s="28"/>
      <c r="F337" s="28" t="s">
        <v>3117</v>
      </c>
      <c r="G337" s="78">
        <v>36</v>
      </c>
      <c r="H337" s="43"/>
      <c r="I337" s="28" t="str">
        <f>Table43[[#This Row],[Nama Jenis Kemasan]]</f>
        <v>BTL</v>
      </c>
      <c r="J337" s="4" t="str">
        <f>TRIM(CONCATENATE(Table43[[#This Row],[Nama            KLP]]," ",Table43[[#This Row],[Nama            Sub KLP]]))</f>
        <v>EVERGREEN AD REFF</v>
      </c>
      <c r="K337" s="4" t="str">
        <f>CONCATENATE(Table43[[#This Row],[kode  2 Digit                (hrf+No)]],Table43[[#This Row],[kode  2 Digit                (Nomor)]],Table43[[#This Row],[kode  1 Digit                (Nomor)]])</f>
        <v>K1180</v>
      </c>
      <c r="L337" s="4" t="str">
        <f t="shared" si="18"/>
        <v>K1180004003010</v>
      </c>
      <c r="M337" s="11">
        <f t="shared" si="19"/>
        <v>14</v>
      </c>
      <c r="N337" s="14" t="str">
        <f>IF(AF337&lt;&gt;"",TRIM(UPPER(CONCATENATE(P337," ",R337," ",T337," ",V337," ",X337," ",Z337," ","X"," ",Table43[[#This Row],[ISI/CTN]]," ",AF337," ",AB337," ",AD337," ",AH337))),TRIM(UPPER(CONCATENATE(P337," ",R337," ",T337," ",V337," ",X337," ",Z337," ","X"," ",Table43[[#This Row],[ISI/CTN]]," ",AB337," ",AD337," ",AH337))))</f>
        <v>KNF EVERGREEN AD REFF SER.DREAM 30ML X 36 BTL</v>
      </c>
      <c r="O337" s="11">
        <f t="shared" si="20"/>
        <v>45</v>
      </c>
      <c r="P337" s="4" t="s">
        <v>97</v>
      </c>
      <c r="Q337" s="7" t="s">
        <v>98</v>
      </c>
      <c r="R337" s="4" t="s">
        <v>3806</v>
      </c>
      <c r="S337" s="44" t="s">
        <v>3571</v>
      </c>
      <c r="T337" s="45" t="s">
        <v>2961</v>
      </c>
      <c r="U337" s="7" t="s">
        <v>2900</v>
      </c>
      <c r="V337" s="45" t="s">
        <v>2961</v>
      </c>
      <c r="W337" s="44" t="s">
        <v>2900</v>
      </c>
      <c r="X337" s="4" t="s">
        <v>3805</v>
      </c>
      <c r="Y337" s="46" t="s">
        <v>2474</v>
      </c>
      <c r="Z337" s="4" t="s">
        <v>3555</v>
      </c>
      <c r="AA337" s="46" t="s">
        <v>2499</v>
      </c>
      <c r="AB337" s="4" t="s">
        <v>357</v>
      </c>
      <c r="AC337" s="7" t="s">
        <v>2656</v>
      </c>
      <c r="AD337" s="4" t="s">
        <v>2961</v>
      </c>
      <c r="AE337" s="7" t="s">
        <v>2900</v>
      </c>
      <c r="AF337" s="7" t="s">
        <v>2961</v>
      </c>
      <c r="AG337" s="7" t="s">
        <v>2961</v>
      </c>
      <c r="AI337" s="7" t="s">
        <v>4100</v>
      </c>
      <c r="AJ337" s="7" t="s">
        <v>2656</v>
      </c>
      <c r="AK337" s="41">
        <f>Table43[[#This Row],[Harga Jual Pcs GT
(-PPN)]]-(Table43[[#This Row],[Harga Jual Pcs GT
(-PPN)]]*10%)</f>
        <v>0</v>
      </c>
      <c r="AL337" s="42">
        <f>Table43[[#This Row],[Harga Beli Pcs
(-PPN)]]*Table43[[#This Row],[ISI/CTN]]</f>
        <v>0</v>
      </c>
      <c r="AM337" s="42">
        <f>Table43[[#This Row],[Harga Beli Pcs
(-PPN)]]*1.11</f>
        <v>0</v>
      </c>
      <c r="AN337" s="42">
        <f>Table43[[#This Row],[Harga Beli Krt
(- PPN)]]*1.11</f>
        <v>0</v>
      </c>
      <c r="AO337" s="42"/>
      <c r="AP337" s="42">
        <f>Table43[[#This Row],[Harga Jual Pcs GT
(-PPN)]]*Table43[[#This Row],[ISI/CTN]]</f>
        <v>0</v>
      </c>
      <c r="AQ337" s="42">
        <f>Table43[[#This Row],[Harga Jual Pcs GT
(-PPN)]]*1.11</f>
        <v>0</v>
      </c>
      <c r="AR337" s="42">
        <f>Table43[[#This Row],[Harga Jual Krt GT
(- PPN)]]*1.11</f>
        <v>0</v>
      </c>
      <c r="AS337" s="42">
        <f>Table43[[#This Row],[Harga Jual Pcs GT
(-PPN)]]</f>
        <v>0</v>
      </c>
      <c r="AT337" s="42">
        <f>(Table43[[#This Row],[Harga Jual Pcs MT
(-PPN)]]*Table43[[#This Row],[ISI/CTN]])</f>
        <v>0</v>
      </c>
      <c r="AU337" s="42">
        <f>Table43[[#This Row],[Harga Jual Pcs MT
(-PPN)]]*1.11</f>
        <v>0</v>
      </c>
      <c r="AV337" s="42">
        <f>Table43[[#This Row],[Harga Jual Pcs MT
(+PPN)]]*Table43[[#This Row],[ISI/CTN]]</f>
        <v>0</v>
      </c>
      <c r="AW337" s="47"/>
      <c r="AX337" s="7"/>
      <c r="AY337" s="7" t="str">
        <f ca="1">IF(TODAY()-Table43[[#This Row],[Efektif
Pembuatan]]&gt;60,"Lama","Baru")</f>
        <v>Lama</v>
      </c>
      <c r="AZ337" s="7" t="str">
        <f ca="1">IF(TODAY()-Table43[[#This Row],[Efektif Naik Harga]]&lt;30,"Naik","Sama")</f>
        <v>Sama</v>
      </c>
      <c r="BA337" s="7" t="str">
        <f>IF(Table43[[#This Row],[Kode BARANG Win2]]&lt;&gt;"","IDR","")</f>
        <v>IDR</v>
      </c>
      <c r="BB337" s="7" t="str">
        <f>CONCATENATE(Table43[[#This Row],[kode  1 Digit
(Nomor)]],Table43[[#This Row],[kode  4 Digit                (Nomor)]])</f>
        <v>10030</v>
      </c>
      <c r="BC337" s="7" t="str">
        <f>Table43[[#This Row],[Nama            Gramasi atau Jumlah Pack per CTN]]</f>
        <v>30ML</v>
      </c>
      <c r="BD337" s="7"/>
      <c r="BE337" s="7"/>
      <c r="BF337" s="4" t="str">
        <f>IF(Table43[[#This Row],[SATUAN Fix Win]]&lt;&gt;"","KRT")</f>
        <v>KRT</v>
      </c>
      <c r="BG337" s="4" t="str">
        <f>IF(Table43[[#This Row],[SATUAN Fix Win]]&lt;&gt;"","GD01")</f>
        <v>GD01</v>
      </c>
      <c r="BH337" s="4">
        <f>IF(Table43[[#This Row],[SATUAN Fix Win]]&lt;&gt;"",11611)</f>
        <v>11611</v>
      </c>
      <c r="BI337" s="4">
        <f>IF(Table43[[#This Row],[SATUAN Fix Win]]&lt;&gt;"",11612)</f>
        <v>11612</v>
      </c>
      <c r="BJ337" s="48"/>
      <c r="BK337" s="4">
        <f>IF(Table43[[#This Row],[SATUAN Fix Win]]&lt;&gt;"",1)</f>
        <v>1</v>
      </c>
    </row>
    <row r="338" spans="1:63">
      <c r="A338" s="4" t="str">
        <f>CONCATENATE(Table43[[#This Row],[Kode BARANG Win2]],Table43[[#This Row],[No. Urut
Item Sama]])</f>
        <v>K11800050030101</v>
      </c>
      <c r="B338" s="7">
        <v>1</v>
      </c>
      <c r="D338" s="28" t="s">
        <v>1007</v>
      </c>
      <c r="E338" s="28"/>
      <c r="F338" s="28" t="s">
        <v>3118</v>
      </c>
      <c r="G338" s="78">
        <v>36</v>
      </c>
      <c r="H338" s="43"/>
      <c r="I338" s="28" t="str">
        <f>Table43[[#This Row],[Nama Jenis Kemasan]]</f>
        <v>BTL</v>
      </c>
      <c r="J338" s="4" t="str">
        <f>TRIM(CONCATENATE(Table43[[#This Row],[Nama            KLP]]," ",Table43[[#This Row],[Nama            Sub KLP]]))</f>
        <v>EVERGREEN AD REFF</v>
      </c>
      <c r="K338" s="4" t="str">
        <f>CONCATENATE(Table43[[#This Row],[kode  2 Digit                (hrf+No)]],Table43[[#This Row],[kode  2 Digit                (Nomor)]],Table43[[#This Row],[kode  1 Digit                (Nomor)]])</f>
        <v>K1180</v>
      </c>
      <c r="L338" s="4" t="str">
        <f t="shared" si="18"/>
        <v>K1180005003010</v>
      </c>
      <c r="M338" s="11">
        <f t="shared" si="19"/>
        <v>14</v>
      </c>
      <c r="N338" s="14" t="str">
        <f>IF(AF338&lt;&gt;"",TRIM(UPPER(CONCATENATE(P338," ",R338," ",T338," ",V338," ",X338," ",Z338," ","X"," ",Table43[[#This Row],[ISI/CTN]]," ",AF338," ",AB338," ",AD338," ",AH338))),TRIM(UPPER(CONCATENATE(P338," ",R338," ",T338," ",V338," ",X338," ",Z338," ","X"," ",Table43[[#This Row],[ISI/CTN]]," ",AB338," ",AD338," ",AH338))))</f>
        <v>KNF EVERGREEN AD REFF OC.BREEZE 30ML X 36 BTL</v>
      </c>
      <c r="O338" s="11">
        <f t="shared" si="20"/>
        <v>45</v>
      </c>
      <c r="P338" s="4" t="s">
        <v>97</v>
      </c>
      <c r="Q338" s="7" t="s">
        <v>98</v>
      </c>
      <c r="R338" s="4" t="s">
        <v>3806</v>
      </c>
      <c r="S338" s="44" t="s">
        <v>3571</v>
      </c>
      <c r="T338" s="45" t="s">
        <v>2961</v>
      </c>
      <c r="U338" s="7" t="s">
        <v>2900</v>
      </c>
      <c r="V338" s="45" t="s">
        <v>2961</v>
      </c>
      <c r="W338" s="44" t="s">
        <v>2900</v>
      </c>
      <c r="X338" s="4" t="s">
        <v>3807</v>
      </c>
      <c r="Y338" s="46" t="s">
        <v>2475</v>
      </c>
      <c r="Z338" s="4" t="s">
        <v>3555</v>
      </c>
      <c r="AA338" s="46" t="s">
        <v>2499</v>
      </c>
      <c r="AB338" s="4" t="s">
        <v>357</v>
      </c>
      <c r="AC338" s="7" t="s">
        <v>2656</v>
      </c>
      <c r="AD338" s="4" t="s">
        <v>2961</v>
      </c>
      <c r="AE338" s="7" t="s">
        <v>2900</v>
      </c>
      <c r="AF338" s="7" t="s">
        <v>2961</v>
      </c>
      <c r="AG338" s="7" t="s">
        <v>2961</v>
      </c>
      <c r="AI338" s="7" t="s">
        <v>4100</v>
      </c>
      <c r="AJ338" s="7" t="s">
        <v>2656</v>
      </c>
      <c r="AK338" s="41">
        <f>Table43[[#This Row],[Harga Jual Pcs GT
(-PPN)]]-(Table43[[#This Row],[Harga Jual Pcs GT
(-PPN)]]*10%)</f>
        <v>0</v>
      </c>
      <c r="AL338" s="42">
        <f>Table43[[#This Row],[Harga Beli Pcs
(-PPN)]]*Table43[[#This Row],[ISI/CTN]]</f>
        <v>0</v>
      </c>
      <c r="AM338" s="42">
        <f>Table43[[#This Row],[Harga Beli Pcs
(-PPN)]]*1.11</f>
        <v>0</v>
      </c>
      <c r="AN338" s="42">
        <f>Table43[[#This Row],[Harga Beli Krt
(- PPN)]]*1.11</f>
        <v>0</v>
      </c>
      <c r="AO338" s="42"/>
      <c r="AP338" s="42">
        <f>Table43[[#This Row],[Harga Jual Pcs GT
(-PPN)]]*Table43[[#This Row],[ISI/CTN]]</f>
        <v>0</v>
      </c>
      <c r="AQ338" s="42">
        <f>Table43[[#This Row],[Harga Jual Pcs GT
(-PPN)]]*1.11</f>
        <v>0</v>
      </c>
      <c r="AR338" s="42">
        <f>Table43[[#This Row],[Harga Jual Krt GT
(- PPN)]]*1.11</f>
        <v>0</v>
      </c>
      <c r="AS338" s="42">
        <f>Table43[[#This Row],[Harga Jual Pcs GT
(-PPN)]]</f>
        <v>0</v>
      </c>
      <c r="AT338" s="42">
        <f>(Table43[[#This Row],[Harga Jual Pcs MT
(-PPN)]]*Table43[[#This Row],[ISI/CTN]])</f>
        <v>0</v>
      </c>
      <c r="AU338" s="42">
        <f>Table43[[#This Row],[Harga Jual Pcs MT
(-PPN)]]*1.11</f>
        <v>0</v>
      </c>
      <c r="AV338" s="42">
        <f>Table43[[#This Row],[Harga Jual Pcs MT
(+PPN)]]*Table43[[#This Row],[ISI/CTN]]</f>
        <v>0</v>
      </c>
      <c r="AW338" s="47"/>
      <c r="AX338" s="7"/>
      <c r="AY338" s="7" t="str">
        <f ca="1">IF(TODAY()-Table43[[#This Row],[Efektif
Pembuatan]]&gt;60,"Lama","Baru")</f>
        <v>Lama</v>
      </c>
      <c r="AZ338" s="7" t="str">
        <f ca="1">IF(TODAY()-Table43[[#This Row],[Efektif Naik Harga]]&lt;30,"Naik","Sama")</f>
        <v>Sama</v>
      </c>
      <c r="BA338" s="7" t="str">
        <f>IF(Table43[[#This Row],[Kode BARANG Win2]]&lt;&gt;"","IDR","")</f>
        <v>IDR</v>
      </c>
      <c r="BB338" s="7" t="str">
        <f>CONCATENATE(Table43[[#This Row],[kode  1 Digit
(Nomor)]],Table43[[#This Row],[kode  4 Digit                (Nomor)]])</f>
        <v>10030</v>
      </c>
      <c r="BC338" s="7" t="str">
        <f>Table43[[#This Row],[Nama            Gramasi atau Jumlah Pack per CTN]]</f>
        <v>30ML</v>
      </c>
      <c r="BD338" s="7"/>
      <c r="BE338" s="7"/>
      <c r="BF338" s="4" t="str">
        <f>IF(Table43[[#This Row],[SATUAN Fix Win]]&lt;&gt;"","KRT")</f>
        <v>KRT</v>
      </c>
      <c r="BG338" s="4" t="str">
        <f>IF(Table43[[#This Row],[SATUAN Fix Win]]&lt;&gt;"","GD01")</f>
        <v>GD01</v>
      </c>
      <c r="BH338" s="4">
        <f>IF(Table43[[#This Row],[SATUAN Fix Win]]&lt;&gt;"",11611)</f>
        <v>11611</v>
      </c>
      <c r="BI338" s="4">
        <f>IF(Table43[[#This Row],[SATUAN Fix Win]]&lt;&gt;"",11612)</f>
        <v>11612</v>
      </c>
      <c r="BJ338" s="48"/>
      <c r="BK338" s="4">
        <f>IF(Table43[[#This Row],[SATUAN Fix Win]]&lt;&gt;"",1)</f>
        <v>1</v>
      </c>
    </row>
    <row r="339" spans="1:63">
      <c r="A339" s="4" t="str">
        <f>CONCATENATE(Table43[[#This Row],[Kode BARANG Win2]],Table43[[#This Row],[No. Urut
Item Sama]])</f>
        <v>K11800060030101</v>
      </c>
      <c r="B339" s="7">
        <v>1</v>
      </c>
      <c r="D339" s="28" t="s">
        <v>1008</v>
      </c>
      <c r="E339" s="28"/>
      <c r="F339" s="28" t="s">
        <v>3119</v>
      </c>
      <c r="G339" s="78">
        <v>36</v>
      </c>
      <c r="H339" s="43"/>
      <c r="I339" s="28" t="str">
        <f>Table43[[#This Row],[Nama Jenis Kemasan]]</f>
        <v>BTL</v>
      </c>
      <c r="J339" s="4" t="str">
        <f>TRIM(CONCATENATE(Table43[[#This Row],[Nama            KLP]]," ",Table43[[#This Row],[Nama            Sub KLP]]))</f>
        <v>EVERGREEN AD REFF</v>
      </c>
      <c r="K339" s="4" t="str">
        <f>CONCATENATE(Table43[[#This Row],[kode  2 Digit                (hrf+No)]],Table43[[#This Row],[kode  2 Digit                (Nomor)]],Table43[[#This Row],[kode  1 Digit                (Nomor)]])</f>
        <v>K1180</v>
      </c>
      <c r="L339" s="4" t="str">
        <f t="shared" si="18"/>
        <v>K1180006003010</v>
      </c>
      <c r="M339" s="11">
        <f t="shared" si="19"/>
        <v>14</v>
      </c>
      <c r="N339" s="14" t="str">
        <f>IF(AF339&lt;&gt;"",TRIM(UPPER(CONCATENATE(P339," ",R339," ",T339," ",V339," ",X339," ",Z339," ","X"," ",Table43[[#This Row],[ISI/CTN]]," ",AF339," ",AB339," ",AD339," ",AH339))),TRIM(UPPER(CONCATENATE(P339," ",R339," ",T339," ",V339," ",X339," ",Z339," ","X"," ",Table43[[#This Row],[ISI/CTN]]," ",AB339," ",AD339," ",AH339))))</f>
        <v>KNF EVERGREEN AD REFF S.SUNSHINE 30ML X 36 BTL</v>
      </c>
      <c r="O339" s="11">
        <f t="shared" si="20"/>
        <v>46</v>
      </c>
      <c r="P339" s="4" t="s">
        <v>97</v>
      </c>
      <c r="Q339" s="7" t="s">
        <v>98</v>
      </c>
      <c r="R339" s="4" t="s">
        <v>3806</v>
      </c>
      <c r="S339" s="44" t="s">
        <v>3571</v>
      </c>
      <c r="T339" s="45" t="s">
        <v>2961</v>
      </c>
      <c r="U339" s="7" t="s">
        <v>2900</v>
      </c>
      <c r="V339" s="45" t="s">
        <v>2961</v>
      </c>
      <c r="W339" s="44" t="s">
        <v>2900</v>
      </c>
      <c r="X339" s="4" t="s">
        <v>3808</v>
      </c>
      <c r="Y339" s="46" t="s">
        <v>2476</v>
      </c>
      <c r="Z339" s="4" t="s">
        <v>3555</v>
      </c>
      <c r="AA339" s="46" t="s">
        <v>2499</v>
      </c>
      <c r="AB339" s="4" t="s">
        <v>357</v>
      </c>
      <c r="AC339" s="7" t="s">
        <v>2656</v>
      </c>
      <c r="AD339" s="4" t="s">
        <v>2961</v>
      </c>
      <c r="AE339" s="7" t="s">
        <v>2900</v>
      </c>
      <c r="AF339" s="7" t="s">
        <v>2961</v>
      </c>
      <c r="AG339" s="7" t="s">
        <v>2961</v>
      </c>
      <c r="AI339" s="7" t="s">
        <v>4100</v>
      </c>
      <c r="AJ339" s="7" t="s">
        <v>2656</v>
      </c>
      <c r="AK339" s="41">
        <f>Table43[[#This Row],[Harga Jual Pcs GT
(-PPN)]]-(Table43[[#This Row],[Harga Jual Pcs GT
(-PPN)]]*10%)</f>
        <v>0</v>
      </c>
      <c r="AL339" s="42">
        <f>Table43[[#This Row],[Harga Beli Pcs
(-PPN)]]*Table43[[#This Row],[ISI/CTN]]</f>
        <v>0</v>
      </c>
      <c r="AM339" s="42">
        <f>Table43[[#This Row],[Harga Beli Pcs
(-PPN)]]*1.11</f>
        <v>0</v>
      </c>
      <c r="AN339" s="42">
        <f>Table43[[#This Row],[Harga Beli Krt
(- PPN)]]*1.11</f>
        <v>0</v>
      </c>
      <c r="AO339" s="42"/>
      <c r="AP339" s="42">
        <f>Table43[[#This Row],[Harga Jual Pcs GT
(-PPN)]]*Table43[[#This Row],[ISI/CTN]]</f>
        <v>0</v>
      </c>
      <c r="AQ339" s="42">
        <f>Table43[[#This Row],[Harga Jual Pcs GT
(-PPN)]]*1.11</f>
        <v>0</v>
      </c>
      <c r="AR339" s="42">
        <f>Table43[[#This Row],[Harga Jual Krt GT
(- PPN)]]*1.11</f>
        <v>0</v>
      </c>
      <c r="AS339" s="42">
        <f>Table43[[#This Row],[Harga Jual Pcs GT
(-PPN)]]</f>
        <v>0</v>
      </c>
      <c r="AT339" s="42">
        <f>(Table43[[#This Row],[Harga Jual Pcs MT
(-PPN)]]*Table43[[#This Row],[ISI/CTN]])</f>
        <v>0</v>
      </c>
      <c r="AU339" s="42">
        <f>Table43[[#This Row],[Harga Jual Pcs MT
(-PPN)]]*1.11</f>
        <v>0</v>
      </c>
      <c r="AV339" s="42">
        <f>Table43[[#This Row],[Harga Jual Pcs MT
(+PPN)]]*Table43[[#This Row],[ISI/CTN]]</f>
        <v>0</v>
      </c>
      <c r="AW339" s="47"/>
      <c r="AX339" s="7"/>
      <c r="AY339" s="7" t="str">
        <f ca="1">IF(TODAY()-Table43[[#This Row],[Efektif
Pembuatan]]&gt;60,"Lama","Baru")</f>
        <v>Lama</v>
      </c>
      <c r="AZ339" s="7" t="str">
        <f ca="1">IF(TODAY()-Table43[[#This Row],[Efektif Naik Harga]]&lt;30,"Naik","Sama")</f>
        <v>Sama</v>
      </c>
      <c r="BA339" s="7" t="str">
        <f>IF(Table43[[#This Row],[Kode BARANG Win2]]&lt;&gt;"","IDR","")</f>
        <v>IDR</v>
      </c>
      <c r="BB339" s="7" t="str">
        <f>CONCATENATE(Table43[[#This Row],[kode  1 Digit
(Nomor)]],Table43[[#This Row],[kode  4 Digit                (Nomor)]])</f>
        <v>10030</v>
      </c>
      <c r="BC339" s="7" t="str">
        <f>Table43[[#This Row],[Nama            Gramasi atau Jumlah Pack per CTN]]</f>
        <v>30ML</v>
      </c>
      <c r="BD339" s="7"/>
      <c r="BE339" s="7"/>
      <c r="BF339" s="4" t="str">
        <f>IF(Table43[[#This Row],[SATUAN Fix Win]]&lt;&gt;"","KRT")</f>
        <v>KRT</v>
      </c>
      <c r="BG339" s="4" t="str">
        <f>IF(Table43[[#This Row],[SATUAN Fix Win]]&lt;&gt;"","GD01")</f>
        <v>GD01</v>
      </c>
      <c r="BH339" s="4">
        <f>IF(Table43[[#This Row],[SATUAN Fix Win]]&lt;&gt;"",11611)</f>
        <v>11611</v>
      </c>
      <c r="BI339" s="4">
        <f>IF(Table43[[#This Row],[SATUAN Fix Win]]&lt;&gt;"",11612)</f>
        <v>11612</v>
      </c>
      <c r="BJ339" s="48"/>
      <c r="BK339" s="4">
        <f>IF(Table43[[#This Row],[SATUAN Fix Win]]&lt;&gt;"",1)</f>
        <v>1</v>
      </c>
    </row>
    <row r="340" spans="1:63">
      <c r="A340" s="4" t="str">
        <f>CONCATENATE(Table43[[#This Row],[Kode BARANG Win2]],Table43[[#This Row],[No. Urut
Item Sama]])</f>
        <v>K11800070030101</v>
      </c>
      <c r="B340" s="7">
        <v>1</v>
      </c>
      <c r="D340" s="28" t="s">
        <v>1009</v>
      </c>
      <c r="E340" s="28"/>
      <c r="F340" s="28" t="s">
        <v>3120</v>
      </c>
      <c r="G340" s="78">
        <v>36</v>
      </c>
      <c r="H340" s="43"/>
      <c r="I340" s="28" t="str">
        <f>Table43[[#This Row],[Nama Jenis Kemasan]]</f>
        <v>BTL</v>
      </c>
      <c r="J340" s="4" t="str">
        <f>TRIM(CONCATENATE(Table43[[#This Row],[Nama            KLP]]," ",Table43[[#This Row],[Nama            Sub KLP]]))</f>
        <v>EVERGREEN AD REFF</v>
      </c>
      <c r="K340" s="4" t="str">
        <f>CONCATENATE(Table43[[#This Row],[kode  2 Digit                (hrf+No)]],Table43[[#This Row],[kode  2 Digit                (Nomor)]],Table43[[#This Row],[kode  1 Digit                (Nomor)]])</f>
        <v>K1180</v>
      </c>
      <c r="L340" s="4" t="str">
        <f t="shared" si="18"/>
        <v>K1180007003010</v>
      </c>
      <c r="M340" s="11">
        <f t="shared" si="19"/>
        <v>14</v>
      </c>
      <c r="N340" s="14" t="str">
        <f>IF(AF340&lt;&gt;"",TRIM(UPPER(CONCATENATE(P340," ",R340," ",T340," ",V340," ",X340," ",Z340," ","X"," ",Table43[[#This Row],[ISI/CTN]]," ",AF340," ",AB340," ",AD340," ",AH340))),TRIM(UPPER(CONCATENATE(P340," ",R340," ",T340," ",V340," ",X340," ",Z340," ","X"," ",Table43[[#This Row],[ISI/CTN]]," ",AB340," ",AD340," ",AH340))))</f>
        <v>KNF EVERGREEN AD REFF SW.ROMANCE 30ML X 36 BTL</v>
      </c>
      <c r="O340" s="11">
        <f t="shared" si="20"/>
        <v>46</v>
      </c>
      <c r="P340" s="4" t="s">
        <v>97</v>
      </c>
      <c r="Q340" s="7" t="s">
        <v>98</v>
      </c>
      <c r="R340" s="4" t="s">
        <v>3806</v>
      </c>
      <c r="S340" s="44" t="s">
        <v>3571</v>
      </c>
      <c r="T340" s="45" t="s">
        <v>2961</v>
      </c>
      <c r="U340" s="7" t="s">
        <v>2900</v>
      </c>
      <c r="V340" s="45" t="s">
        <v>2961</v>
      </c>
      <c r="W340" s="44" t="s">
        <v>2900</v>
      </c>
      <c r="X340" s="4" t="s">
        <v>3809</v>
      </c>
      <c r="Y340" s="46" t="s">
        <v>2477</v>
      </c>
      <c r="Z340" s="4" t="s">
        <v>3555</v>
      </c>
      <c r="AA340" s="46" t="s">
        <v>2499</v>
      </c>
      <c r="AB340" s="4" t="s">
        <v>357</v>
      </c>
      <c r="AC340" s="7" t="s">
        <v>2656</v>
      </c>
      <c r="AD340" s="4" t="s">
        <v>2961</v>
      </c>
      <c r="AE340" s="7" t="s">
        <v>2900</v>
      </c>
      <c r="AF340" s="7" t="s">
        <v>2961</v>
      </c>
      <c r="AG340" s="7" t="s">
        <v>2961</v>
      </c>
      <c r="AI340" s="7" t="s">
        <v>4100</v>
      </c>
      <c r="AJ340" s="7" t="s">
        <v>2656</v>
      </c>
      <c r="AK340" s="41">
        <f>Table43[[#This Row],[Harga Jual Pcs GT
(-PPN)]]-(Table43[[#This Row],[Harga Jual Pcs GT
(-PPN)]]*10%)</f>
        <v>0</v>
      </c>
      <c r="AL340" s="42">
        <f>Table43[[#This Row],[Harga Beli Pcs
(-PPN)]]*Table43[[#This Row],[ISI/CTN]]</f>
        <v>0</v>
      </c>
      <c r="AM340" s="42">
        <f>Table43[[#This Row],[Harga Beli Pcs
(-PPN)]]*1.11</f>
        <v>0</v>
      </c>
      <c r="AN340" s="42">
        <f>Table43[[#This Row],[Harga Beli Krt
(- PPN)]]*1.11</f>
        <v>0</v>
      </c>
      <c r="AO340" s="42"/>
      <c r="AP340" s="42">
        <f>Table43[[#This Row],[Harga Jual Pcs GT
(-PPN)]]*Table43[[#This Row],[ISI/CTN]]</f>
        <v>0</v>
      </c>
      <c r="AQ340" s="42">
        <f>Table43[[#This Row],[Harga Jual Pcs GT
(-PPN)]]*1.11</f>
        <v>0</v>
      </c>
      <c r="AR340" s="42">
        <f>Table43[[#This Row],[Harga Jual Krt GT
(- PPN)]]*1.11</f>
        <v>0</v>
      </c>
      <c r="AS340" s="42">
        <f>Table43[[#This Row],[Harga Jual Pcs GT
(-PPN)]]</f>
        <v>0</v>
      </c>
      <c r="AT340" s="42">
        <f>(Table43[[#This Row],[Harga Jual Pcs MT
(-PPN)]]*Table43[[#This Row],[ISI/CTN]])</f>
        <v>0</v>
      </c>
      <c r="AU340" s="42">
        <f>Table43[[#This Row],[Harga Jual Pcs MT
(-PPN)]]*1.11</f>
        <v>0</v>
      </c>
      <c r="AV340" s="42">
        <f>Table43[[#This Row],[Harga Jual Pcs MT
(+PPN)]]*Table43[[#This Row],[ISI/CTN]]</f>
        <v>0</v>
      </c>
      <c r="AW340" s="47"/>
      <c r="AX340" s="7"/>
      <c r="AY340" s="7" t="str">
        <f ca="1">IF(TODAY()-Table43[[#This Row],[Efektif
Pembuatan]]&gt;60,"Lama","Baru")</f>
        <v>Lama</v>
      </c>
      <c r="AZ340" s="7" t="str">
        <f ca="1">IF(TODAY()-Table43[[#This Row],[Efektif Naik Harga]]&lt;30,"Naik","Sama")</f>
        <v>Sama</v>
      </c>
      <c r="BA340" s="7" t="str">
        <f>IF(Table43[[#This Row],[Kode BARANG Win2]]&lt;&gt;"","IDR","")</f>
        <v>IDR</v>
      </c>
      <c r="BB340" s="7" t="str">
        <f>CONCATENATE(Table43[[#This Row],[kode  1 Digit
(Nomor)]],Table43[[#This Row],[kode  4 Digit                (Nomor)]])</f>
        <v>10030</v>
      </c>
      <c r="BC340" s="7" t="str">
        <f>Table43[[#This Row],[Nama            Gramasi atau Jumlah Pack per CTN]]</f>
        <v>30ML</v>
      </c>
      <c r="BD340" s="7"/>
      <c r="BE340" s="7"/>
      <c r="BF340" s="4" t="str">
        <f>IF(Table43[[#This Row],[SATUAN Fix Win]]&lt;&gt;"","KRT")</f>
        <v>KRT</v>
      </c>
      <c r="BG340" s="4" t="str">
        <f>IF(Table43[[#This Row],[SATUAN Fix Win]]&lt;&gt;"","GD01")</f>
        <v>GD01</v>
      </c>
      <c r="BH340" s="4">
        <f>IF(Table43[[#This Row],[SATUAN Fix Win]]&lt;&gt;"",11611)</f>
        <v>11611</v>
      </c>
      <c r="BI340" s="4">
        <f>IF(Table43[[#This Row],[SATUAN Fix Win]]&lt;&gt;"",11612)</f>
        <v>11612</v>
      </c>
      <c r="BJ340" s="48"/>
      <c r="BK340" s="4">
        <f>IF(Table43[[#This Row],[SATUAN Fix Win]]&lt;&gt;"",1)</f>
        <v>1</v>
      </c>
    </row>
    <row r="341" spans="1:63">
      <c r="A341" s="4" t="str">
        <f>CONCATENATE(Table43[[#This Row],[Kode BARANG Win2]],Table43[[#This Row],[No. Urut
Item Sama]])</f>
        <v>K11900010050101</v>
      </c>
      <c r="B341" s="7">
        <v>1</v>
      </c>
      <c r="D341" s="28" t="s">
        <v>1010</v>
      </c>
      <c r="E341" s="28"/>
      <c r="F341" s="28" t="s">
        <v>3121</v>
      </c>
      <c r="G341" s="78">
        <v>12</v>
      </c>
      <c r="H341" s="43"/>
      <c r="I341" s="28" t="str">
        <f>Table43[[#This Row],[Nama Jenis Kemasan]]</f>
        <v>BTL</v>
      </c>
      <c r="J341" s="4" t="str">
        <f>TRIM(CONCATENATE(Table43[[#This Row],[Nama            KLP]]," ",Table43[[#This Row],[Nama            Sub KLP]]))</f>
        <v>EVERGREEN AS SET</v>
      </c>
      <c r="K341" s="4" t="str">
        <f>CONCATENATE(Table43[[#This Row],[kode  2 Digit                (hrf+No)]],Table43[[#This Row],[kode  2 Digit                (Nomor)]],Table43[[#This Row],[kode  1 Digit                (Nomor)]])</f>
        <v>K1190</v>
      </c>
      <c r="L341" s="4" t="str">
        <f t="shared" si="18"/>
        <v>K1190001005010</v>
      </c>
      <c r="M341" s="11">
        <f t="shared" si="19"/>
        <v>14</v>
      </c>
      <c r="N341" s="14" t="str">
        <f>IF(AF341&lt;&gt;"",TRIM(UPPER(CONCATENATE(P341," ",R341," ",T341," ",V341," ",X341," ",Z341," ","X"," ",Table43[[#This Row],[ISI/CTN]]," ",AF341," ",AB341," ",AD341," ",AH341))),TRIM(UPPER(CONCATENATE(P341," ",R341," ",T341," ",V341," ",X341," ",Z341," ","X"," ",Table43[[#This Row],[ISI/CTN]]," ",AB341," ",AD341," ",AH341))))</f>
        <v>KNF EVERGREEN AS SET BALANCING 50ML X 12 BTL</v>
      </c>
      <c r="O341" s="11">
        <f t="shared" si="20"/>
        <v>44</v>
      </c>
      <c r="P341" s="4" t="s">
        <v>97</v>
      </c>
      <c r="Q341" s="7" t="s">
        <v>98</v>
      </c>
      <c r="R341" s="4" t="s">
        <v>3810</v>
      </c>
      <c r="S341" s="44" t="s">
        <v>3573</v>
      </c>
      <c r="T341" s="45" t="s">
        <v>2961</v>
      </c>
      <c r="U341" s="7" t="s">
        <v>2900</v>
      </c>
      <c r="V341" s="45" t="s">
        <v>2961</v>
      </c>
      <c r="W341" s="44" t="s">
        <v>2900</v>
      </c>
      <c r="X341" s="4" t="s">
        <v>3811</v>
      </c>
      <c r="Y341" s="46" t="s">
        <v>0</v>
      </c>
      <c r="Z341" s="4" t="s">
        <v>3654</v>
      </c>
      <c r="AA341" s="46" t="s">
        <v>2490</v>
      </c>
      <c r="AB341" s="4" t="s">
        <v>357</v>
      </c>
      <c r="AC341" s="7" t="s">
        <v>2656</v>
      </c>
      <c r="AD341" s="4" t="s">
        <v>2961</v>
      </c>
      <c r="AE341" s="7" t="s">
        <v>2900</v>
      </c>
      <c r="AF341" s="7" t="s">
        <v>2961</v>
      </c>
      <c r="AG341" s="7" t="s">
        <v>2961</v>
      </c>
      <c r="AI341" s="7" t="s">
        <v>4100</v>
      </c>
      <c r="AJ341" s="7" t="s">
        <v>2656</v>
      </c>
      <c r="AK341" s="41">
        <f>Table43[[#This Row],[Harga Jual Pcs GT
(-PPN)]]-(Table43[[#This Row],[Harga Jual Pcs GT
(-PPN)]]*10%)</f>
        <v>0</v>
      </c>
      <c r="AL341" s="42">
        <f>Table43[[#This Row],[Harga Beli Pcs
(-PPN)]]*Table43[[#This Row],[ISI/CTN]]</f>
        <v>0</v>
      </c>
      <c r="AM341" s="42">
        <f>Table43[[#This Row],[Harga Beli Pcs
(-PPN)]]*1.11</f>
        <v>0</v>
      </c>
      <c r="AN341" s="42">
        <f>Table43[[#This Row],[Harga Beli Krt
(- PPN)]]*1.11</f>
        <v>0</v>
      </c>
      <c r="AO341" s="42"/>
      <c r="AP341" s="42">
        <f>Table43[[#This Row],[Harga Jual Pcs GT
(-PPN)]]*Table43[[#This Row],[ISI/CTN]]</f>
        <v>0</v>
      </c>
      <c r="AQ341" s="42">
        <f>Table43[[#This Row],[Harga Jual Pcs GT
(-PPN)]]*1.11</f>
        <v>0</v>
      </c>
      <c r="AR341" s="42">
        <f>Table43[[#This Row],[Harga Jual Krt GT
(- PPN)]]*1.11</f>
        <v>0</v>
      </c>
      <c r="AS341" s="42">
        <f>Table43[[#This Row],[Harga Jual Pcs GT
(-PPN)]]</f>
        <v>0</v>
      </c>
      <c r="AT341" s="42">
        <f>(Table43[[#This Row],[Harga Jual Pcs MT
(-PPN)]]*Table43[[#This Row],[ISI/CTN]])</f>
        <v>0</v>
      </c>
      <c r="AU341" s="42">
        <f>Table43[[#This Row],[Harga Jual Pcs MT
(-PPN)]]*1.11</f>
        <v>0</v>
      </c>
      <c r="AV341" s="42">
        <f>Table43[[#This Row],[Harga Jual Pcs MT
(+PPN)]]*Table43[[#This Row],[ISI/CTN]]</f>
        <v>0</v>
      </c>
      <c r="AW341" s="47"/>
      <c r="AX341" s="7"/>
      <c r="AY341" s="7" t="str">
        <f ca="1">IF(TODAY()-Table43[[#This Row],[Efektif
Pembuatan]]&gt;60,"Lama","Baru")</f>
        <v>Lama</v>
      </c>
      <c r="AZ341" s="7" t="str">
        <f ca="1">IF(TODAY()-Table43[[#This Row],[Efektif Naik Harga]]&lt;30,"Naik","Sama")</f>
        <v>Sama</v>
      </c>
      <c r="BA341" s="7" t="str">
        <f>IF(Table43[[#This Row],[Kode BARANG Win2]]&lt;&gt;"","IDR","")</f>
        <v>IDR</v>
      </c>
      <c r="BB341" s="7" t="str">
        <f>CONCATENATE(Table43[[#This Row],[kode  1 Digit
(Nomor)]],Table43[[#This Row],[kode  4 Digit                (Nomor)]])</f>
        <v>10050</v>
      </c>
      <c r="BC341" s="7" t="str">
        <f>Table43[[#This Row],[Nama            Gramasi atau Jumlah Pack per CTN]]</f>
        <v>50ML</v>
      </c>
      <c r="BD341" s="7"/>
      <c r="BE341" s="7"/>
      <c r="BF341" s="4" t="str">
        <f>IF(Table43[[#This Row],[SATUAN Fix Win]]&lt;&gt;"","KRT")</f>
        <v>KRT</v>
      </c>
      <c r="BG341" s="4" t="str">
        <f>IF(Table43[[#This Row],[SATUAN Fix Win]]&lt;&gt;"","GD01")</f>
        <v>GD01</v>
      </c>
      <c r="BH341" s="4">
        <f>IF(Table43[[#This Row],[SATUAN Fix Win]]&lt;&gt;"",11611)</f>
        <v>11611</v>
      </c>
      <c r="BI341" s="4">
        <f>IF(Table43[[#This Row],[SATUAN Fix Win]]&lt;&gt;"",11612)</f>
        <v>11612</v>
      </c>
      <c r="BJ341" s="48"/>
      <c r="BK341" s="4">
        <f>IF(Table43[[#This Row],[SATUAN Fix Win]]&lt;&gt;"",1)</f>
        <v>1</v>
      </c>
    </row>
    <row r="342" spans="1:63">
      <c r="A342" s="4" t="str">
        <f>CONCATENATE(Table43[[#This Row],[Kode BARANG Win2]],Table43[[#This Row],[No. Urut
Item Sama]])</f>
        <v>K11900010050111</v>
      </c>
      <c r="B342" s="7">
        <v>1</v>
      </c>
      <c r="D342" s="28" t="s">
        <v>1011</v>
      </c>
      <c r="E342" s="28"/>
      <c r="F342" s="28" t="s">
        <v>3122</v>
      </c>
      <c r="G342" s="78">
        <v>12</v>
      </c>
      <c r="H342" s="43"/>
      <c r="I342" s="28" t="str">
        <f>Table43[[#This Row],[Nama Jenis Kemasan]]</f>
        <v>BTL</v>
      </c>
      <c r="J342" s="4" t="str">
        <f>TRIM(CONCATENATE(Table43[[#This Row],[Nama            KLP]]," ",Table43[[#This Row],[Nama            Sub KLP]]))</f>
        <v>EVERGREEN AS SET</v>
      </c>
      <c r="K342" s="4" t="str">
        <f>CONCATENATE(Table43[[#This Row],[kode  2 Digit                (hrf+No)]],Table43[[#This Row],[kode  2 Digit                (Nomor)]],Table43[[#This Row],[kode  1 Digit                (Nomor)]])</f>
        <v>K1190</v>
      </c>
      <c r="L342" s="4" t="str">
        <f t="shared" si="18"/>
        <v>K1190001005011</v>
      </c>
      <c r="M342" s="11">
        <f t="shared" si="19"/>
        <v>14</v>
      </c>
      <c r="N342" s="14" t="str">
        <f>IF(AF342&lt;&gt;"",TRIM(UPPER(CONCATENATE(P342," ",R342," ",T342," ",V342," ",X342," ",Z342," ","X"," ",Table43[[#This Row],[ISI/CTN]]," ",AF342," ",AB342," ",AD342," ",AH342))),TRIM(UPPER(CONCATENATE(P342," ",R342," ",T342," ",V342," ",X342," ",Z342," ","X"," ",Table43[[#This Row],[ISI/CTN]]," ",AB342," ",AD342," ",AH342))))</f>
        <v>KNF EVERGREEN AS SET BALANCING 50ML X 12 BTL</v>
      </c>
      <c r="O342" s="11">
        <f t="shared" si="20"/>
        <v>44</v>
      </c>
      <c r="P342" s="4" t="s">
        <v>97</v>
      </c>
      <c r="Q342" s="7" t="s">
        <v>98</v>
      </c>
      <c r="R342" s="4" t="s">
        <v>3810</v>
      </c>
      <c r="S342" s="44" t="s">
        <v>3573</v>
      </c>
      <c r="T342" s="45" t="s">
        <v>2961</v>
      </c>
      <c r="U342" s="7" t="s">
        <v>2900</v>
      </c>
      <c r="V342" s="45" t="s">
        <v>2961</v>
      </c>
      <c r="W342" s="44" t="s">
        <v>2900</v>
      </c>
      <c r="X342" s="4" t="s">
        <v>3811</v>
      </c>
      <c r="Y342" s="46" t="s">
        <v>0</v>
      </c>
      <c r="Z342" s="4" t="s">
        <v>3654</v>
      </c>
      <c r="AA342" s="46" t="s">
        <v>2490</v>
      </c>
      <c r="AB342" s="4" t="s">
        <v>357</v>
      </c>
      <c r="AC342" s="7" t="s">
        <v>2656</v>
      </c>
      <c r="AD342" s="4" t="s">
        <v>2961</v>
      </c>
      <c r="AE342" s="7" t="s">
        <v>2656</v>
      </c>
      <c r="AF342" s="7" t="s">
        <v>2961</v>
      </c>
      <c r="AG342" s="7" t="s">
        <v>2961</v>
      </c>
      <c r="AI342" s="7" t="s">
        <v>4100</v>
      </c>
      <c r="AJ342" s="7" t="s">
        <v>2656</v>
      </c>
      <c r="AK342" s="41">
        <f>Table43[[#This Row],[Harga Jual Pcs GT
(-PPN)]]-(Table43[[#This Row],[Harga Jual Pcs GT
(-PPN)]]*10%)</f>
        <v>0</v>
      </c>
      <c r="AL342" s="42">
        <f>Table43[[#This Row],[Harga Beli Pcs
(-PPN)]]*Table43[[#This Row],[ISI/CTN]]</f>
        <v>0</v>
      </c>
      <c r="AM342" s="42">
        <f>Table43[[#This Row],[Harga Beli Pcs
(-PPN)]]*1.11</f>
        <v>0</v>
      </c>
      <c r="AN342" s="42">
        <f>Table43[[#This Row],[Harga Beli Krt
(- PPN)]]*1.11</f>
        <v>0</v>
      </c>
      <c r="AO342" s="42"/>
      <c r="AP342" s="42">
        <f>Table43[[#This Row],[Harga Jual Pcs GT
(-PPN)]]*Table43[[#This Row],[ISI/CTN]]</f>
        <v>0</v>
      </c>
      <c r="AQ342" s="42">
        <f>Table43[[#This Row],[Harga Jual Pcs GT
(-PPN)]]*1.11</f>
        <v>0</v>
      </c>
      <c r="AR342" s="42">
        <f>Table43[[#This Row],[Harga Jual Krt GT
(- PPN)]]*1.11</f>
        <v>0</v>
      </c>
      <c r="AS342" s="42">
        <f>Table43[[#This Row],[Harga Jual Pcs GT
(-PPN)]]</f>
        <v>0</v>
      </c>
      <c r="AT342" s="42">
        <f>(Table43[[#This Row],[Harga Jual Pcs MT
(-PPN)]]*Table43[[#This Row],[ISI/CTN]])</f>
        <v>0</v>
      </c>
      <c r="AU342" s="42">
        <f>Table43[[#This Row],[Harga Jual Pcs MT
(-PPN)]]*1.11</f>
        <v>0</v>
      </c>
      <c r="AV342" s="42">
        <f>Table43[[#This Row],[Harga Jual Pcs MT
(+PPN)]]*Table43[[#This Row],[ISI/CTN]]</f>
        <v>0</v>
      </c>
      <c r="AW342" s="47"/>
      <c r="AX342" s="7"/>
      <c r="AY342" s="7" t="str">
        <f ca="1">IF(TODAY()-Table43[[#This Row],[Efektif
Pembuatan]]&gt;60,"Lama","Baru")</f>
        <v>Lama</v>
      </c>
      <c r="AZ342" s="7" t="str">
        <f ca="1">IF(TODAY()-Table43[[#This Row],[Efektif Naik Harga]]&lt;30,"Naik","Sama")</f>
        <v>Sama</v>
      </c>
      <c r="BA342" s="7" t="str">
        <f>IF(Table43[[#This Row],[Kode BARANG Win2]]&lt;&gt;"","IDR","")</f>
        <v>IDR</v>
      </c>
      <c r="BB342" s="7" t="str">
        <f>CONCATENATE(Table43[[#This Row],[kode  1 Digit
(Nomor)]],Table43[[#This Row],[kode  4 Digit                (Nomor)]])</f>
        <v>10050</v>
      </c>
      <c r="BC342" s="7" t="str">
        <f>Table43[[#This Row],[Nama            Gramasi atau Jumlah Pack per CTN]]</f>
        <v>50ML</v>
      </c>
      <c r="BD342" s="7"/>
      <c r="BE342" s="7"/>
      <c r="BF342" s="4" t="str">
        <f>IF(Table43[[#This Row],[SATUAN Fix Win]]&lt;&gt;"","KRT")</f>
        <v>KRT</v>
      </c>
      <c r="BG342" s="4" t="str">
        <f>IF(Table43[[#This Row],[SATUAN Fix Win]]&lt;&gt;"","GD01")</f>
        <v>GD01</v>
      </c>
      <c r="BH342" s="4">
        <f>IF(Table43[[#This Row],[SATUAN Fix Win]]&lt;&gt;"",11611)</f>
        <v>11611</v>
      </c>
      <c r="BI342" s="4">
        <f>IF(Table43[[#This Row],[SATUAN Fix Win]]&lt;&gt;"",11612)</f>
        <v>11612</v>
      </c>
      <c r="BJ342" s="48"/>
      <c r="BK342" s="4">
        <f>IF(Table43[[#This Row],[SATUAN Fix Win]]&lt;&gt;"",1)</f>
        <v>1</v>
      </c>
    </row>
    <row r="343" spans="1:63">
      <c r="A343" s="4" t="str">
        <f>CONCATENATE(Table43[[#This Row],[Kode BARANG Win2]],Table43[[#This Row],[No. Urut
Item Sama]])</f>
        <v>K11900020050101</v>
      </c>
      <c r="B343" s="7">
        <v>1</v>
      </c>
      <c r="D343" s="28" t="s">
        <v>1012</v>
      </c>
      <c r="E343" s="28"/>
      <c r="F343" s="28" t="s">
        <v>3123</v>
      </c>
      <c r="G343" s="78">
        <v>12</v>
      </c>
      <c r="H343" s="43"/>
      <c r="I343" s="28" t="str">
        <f>Table43[[#This Row],[Nama Jenis Kemasan]]</f>
        <v>BTL</v>
      </c>
      <c r="J343" s="4" t="str">
        <f>TRIM(CONCATENATE(Table43[[#This Row],[Nama            KLP]]," ",Table43[[#This Row],[Nama            Sub KLP]]))</f>
        <v>EVERGREEN AS SET</v>
      </c>
      <c r="K343" s="4" t="str">
        <f>CONCATENATE(Table43[[#This Row],[kode  2 Digit                (hrf+No)]],Table43[[#This Row],[kode  2 Digit                (Nomor)]],Table43[[#This Row],[kode  1 Digit                (Nomor)]])</f>
        <v>K1190</v>
      </c>
      <c r="L343" s="4" t="str">
        <f t="shared" si="18"/>
        <v>K1190002005010</v>
      </c>
      <c r="M343" s="11">
        <f t="shared" si="19"/>
        <v>14</v>
      </c>
      <c r="N343" s="14" t="str">
        <f>IF(AF343&lt;&gt;"",TRIM(UPPER(CONCATENATE(P343," ",R343," ",T343," ",V343," ",X343," ",Z343," ","X"," ",Table43[[#This Row],[ISI/CTN]]," ",AF343," ",AB343," ",AD343," ",AH343))),TRIM(UPPER(CONCATENATE(P343," ",R343," ",T343," ",V343," ",X343," ",Z343," ","X"," ",Table43[[#This Row],[ISI/CTN]]," ",AB343," ",AD343," ",AH343))))</f>
        <v>KNF EVERGREEN AS SET ENERGIZING 50ML X 12 BTL</v>
      </c>
      <c r="O343" s="11">
        <f t="shared" si="20"/>
        <v>45</v>
      </c>
      <c r="P343" s="4" t="s">
        <v>97</v>
      </c>
      <c r="Q343" s="7" t="s">
        <v>98</v>
      </c>
      <c r="R343" s="4" t="s">
        <v>3810</v>
      </c>
      <c r="S343" s="44" t="s">
        <v>3573</v>
      </c>
      <c r="T343" s="45" t="s">
        <v>2961</v>
      </c>
      <c r="U343" s="7" t="s">
        <v>2900</v>
      </c>
      <c r="V343" s="45" t="s">
        <v>2961</v>
      </c>
      <c r="W343" s="44" t="s">
        <v>2900</v>
      </c>
      <c r="X343" s="4" t="s">
        <v>3812</v>
      </c>
      <c r="Y343" s="46" t="s">
        <v>2472</v>
      </c>
      <c r="Z343" s="4" t="s">
        <v>3654</v>
      </c>
      <c r="AA343" s="46" t="s">
        <v>2490</v>
      </c>
      <c r="AB343" s="4" t="s">
        <v>357</v>
      </c>
      <c r="AC343" s="7" t="s">
        <v>2656</v>
      </c>
      <c r="AD343" s="4" t="s">
        <v>2961</v>
      </c>
      <c r="AE343" s="7" t="s">
        <v>2900</v>
      </c>
      <c r="AF343" s="7" t="s">
        <v>2961</v>
      </c>
      <c r="AG343" s="7" t="s">
        <v>2961</v>
      </c>
      <c r="AI343" s="7" t="s">
        <v>4100</v>
      </c>
      <c r="AJ343" s="7" t="s">
        <v>2656</v>
      </c>
      <c r="AK343" s="41">
        <f>Table43[[#This Row],[Harga Jual Pcs GT
(-PPN)]]-(Table43[[#This Row],[Harga Jual Pcs GT
(-PPN)]]*10%)</f>
        <v>0</v>
      </c>
      <c r="AL343" s="42">
        <f>Table43[[#This Row],[Harga Beli Pcs
(-PPN)]]*Table43[[#This Row],[ISI/CTN]]</f>
        <v>0</v>
      </c>
      <c r="AM343" s="42">
        <f>Table43[[#This Row],[Harga Beli Pcs
(-PPN)]]*1.11</f>
        <v>0</v>
      </c>
      <c r="AN343" s="42">
        <f>Table43[[#This Row],[Harga Beli Krt
(- PPN)]]*1.11</f>
        <v>0</v>
      </c>
      <c r="AO343" s="42"/>
      <c r="AP343" s="42">
        <f>Table43[[#This Row],[Harga Jual Pcs GT
(-PPN)]]*Table43[[#This Row],[ISI/CTN]]</f>
        <v>0</v>
      </c>
      <c r="AQ343" s="42">
        <f>Table43[[#This Row],[Harga Jual Pcs GT
(-PPN)]]*1.11</f>
        <v>0</v>
      </c>
      <c r="AR343" s="42">
        <f>Table43[[#This Row],[Harga Jual Krt GT
(- PPN)]]*1.11</f>
        <v>0</v>
      </c>
      <c r="AS343" s="42">
        <f>Table43[[#This Row],[Harga Jual Pcs GT
(-PPN)]]</f>
        <v>0</v>
      </c>
      <c r="AT343" s="42">
        <f>(Table43[[#This Row],[Harga Jual Pcs MT
(-PPN)]]*Table43[[#This Row],[ISI/CTN]])</f>
        <v>0</v>
      </c>
      <c r="AU343" s="42">
        <f>Table43[[#This Row],[Harga Jual Pcs MT
(-PPN)]]*1.11</f>
        <v>0</v>
      </c>
      <c r="AV343" s="42">
        <f>Table43[[#This Row],[Harga Jual Pcs MT
(+PPN)]]*Table43[[#This Row],[ISI/CTN]]</f>
        <v>0</v>
      </c>
      <c r="AW343" s="47"/>
      <c r="AX343" s="7"/>
      <c r="AY343" s="7" t="str">
        <f ca="1">IF(TODAY()-Table43[[#This Row],[Efektif
Pembuatan]]&gt;60,"Lama","Baru")</f>
        <v>Lama</v>
      </c>
      <c r="AZ343" s="7" t="str">
        <f ca="1">IF(TODAY()-Table43[[#This Row],[Efektif Naik Harga]]&lt;30,"Naik","Sama")</f>
        <v>Sama</v>
      </c>
      <c r="BA343" s="7" t="str">
        <f>IF(Table43[[#This Row],[Kode BARANG Win2]]&lt;&gt;"","IDR","")</f>
        <v>IDR</v>
      </c>
      <c r="BB343" s="7" t="str">
        <f>CONCATENATE(Table43[[#This Row],[kode  1 Digit
(Nomor)]],Table43[[#This Row],[kode  4 Digit                (Nomor)]])</f>
        <v>10050</v>
      </c>
      <c r="BC343" s="7" t="str">
        <f>Table43[[#This Row],[Nama            Gramasi atau Jumlah Pack per CTN]]</f>
        <v>50ML</v>
      </c>
      <c r="BD343" s="7"/>
      <c r="BE343" s="7"/>
      <c r="BF343" s="4" t="str">
        <f>IF(Table43[[#This Row],[SATUAN Fix Win]]&lt;&gt;"","KRT")</f>
        <v>KRT</v>
      </c>
      <c r="BG343" s="4" t="str">
        <f>IF(Table43[[#This Row],[SATUAN Fix Win]]&lt;&gt;"","GD01")</f>
        <v>GD01</v>
      </c>
      <c r="BH343" s="4">
        <f>IF(Table43[[#This Row],[SATUAN Fix Win]]&lt;&gt;"",11611)</f>
        <v>11611</v>
      </c>
      <c r="BI343" s="4">
        <f>IF(Table43[[#This Row],[SATUAN Fix Win]]&lt;&gt;"",11612)</f>
        <v>11612</v>
      </c>
      <c r="BJ343" s="48"/>
      <c r="BK343" s="4">
        <f>IF(Table43[[#This Row],[SATUAN Fix Win]]&lt;&gt;"",1)</f>
        <v>1</v>
      </c>
    </row>
    <row r="344" spans="1:63">
      <c r="A344" s="4" t="str">
        <f>CONCATENATE(Table43[[#This Row],[Kode BARANG Win2]],Table43[[#This Row],[No. Urut
Item Sama]])</f>
        <v>K11900020050111</v>
      </c>
      <c r="B344" s="7">
        <v>1</v>
      </c>
      <c r="D344" s="28" t="s">
        <v>1013</v>
      </c>
      <c r="E344" s="28"/>
      <c r="F344" s="28" t="s">
        <v>3124</v>
      </c>
      <c r="G344" s="78">
        <v>12</v>
      </c>
      <c r="H344" s="43"/>
      <c r="I344" s="28" t="str">
        <f>Table43[[#This Row],[Nama Jenis Kemasan]]</f>
        <v>BTL</v>
      </c>
      <c r="J344" s="4" t="str">
        <f>TRIM(CONCATENATE(Table43[[#This Row],[Nama            KLP]]," ",Table43[[#This Row],[Nama            Sub KLP]]))</f>
        <v>EVERGREEN AS SET</v>
      </c>
      <c r="K344" s="4" t="str">
        <f>CONCATENATE(Table43[[#This Row],[kode  2 Digit                (hrf+No)]],Table43[[#This Row],[kode  2 Digit                (Nomor)]],Table43[[#This Row],[kode  1 Digit                (Nomor)]])</f>
        <v>K1190</v>
      </c>
      <c r="L344" s="4" t="str">
        <f t="shared" si="18"/>
        <v>K1190002005011</v>
      </c>
      <c r="M344" s="11">
        <f t="shared" si="19"/>
        <v>14</v>
      </c>
      <c r="N344" s="14" t="str">
        <f>IF(AF344&lt;&gt;"",TRIM(UPPER(CONCATENATE(P344," ",R344," ",T344," ",V344," ",X344," ",Z344," ","X"," ",Table43[[#This Row],[ISI/CTN]]," ",AF344," ",AB344," ",AD344," ",AH344))),TRIM(UPPER(CONCATENATE(P344," ",R344," ",T344," ",V344," ",X344," ",Z344," ","X"," ",Table43[[#This Row],[ISI/CTN]]," ",AB344," ",AD344," ",AH344))))</f>
        <v>KNF EVERGREEN AS SET ENERGIZING 50ML X 12 BTL</v>
      </c>
      <c r="O344" s="11">
        <f t="shared" si="20"/>
        <v>45</v>
      </c>
      <c r="P344" s="4" t="s">
        <v>97</v>
      </c>
      <c r="Q344" s="7" t="s">
        <v>98</v>
      </c>
      <c r="R344" s="4" t="s">
        <v>3810</v>
      </c>
      <c r="S344" s="44" t="s">
        <v>3573</v>
      </c>
      <c r="T344" s="45" t="s">
        <v>2961</v>
      </c>
      <c r="U344" s="7" t="s">
        <v>2900</v>
      </c>
      <c r="V344" s="45" t="s">
        <v>2961</v>
      </c>
      <c r="W344" s="44" t="s">
        <v>2900</v>
      </c>
      <c r="X344" s="4" t="s">
        <v>3812</v>
      </c>
      <c r="Y344" s="46" t="s">
        <v>2472</v>
      </c>
      <c r="Z344" s="4" t="s">
        <v>3654</v>
      </c>
      <c r="AA344" s="46" t="s">
        <v>2490</v>
      </c>
      <c r="AB344" s="4" t="s">
        <v>357</v>
      </c>
      <c r="AC344" s="7" t="s">
        <v>2656</v>
      </c>
      <c r="AD344" s="4" t="s">
        <v>2961</v>
      </c>
      <c r="AE344" s="7" t="s">
        <v>2656</v>
      </c>
      <c r="AF344" s="7" t="s">
        <v>2961</v>
      </c>
      <c r="AG344" s="7" t="s">
        <v>2961</v>
      </c>
      <c r="AI344" s="7" t="s">
        <v>4100</v>
      </c>
      <c r="AJ344" s="7" t="s">
        <v>2656</v>
      </c>
      <c r="AK344" s="41">
        <f>Table43[[#This Row],[Harga Jual Pcs GT
(-PPN)]]-(Table43[[#This Row],[Harga Jual Pcs GT
(-PPN)]]*10%)</f>
        <v>0</v>
      </c>
      <c r="AL344" s="42">
        <f>Table43[[#This Row],[Harga Beli Pcs
(-PPN)]]*Table43[[#This Row],[ISI/CTN]]</f>
        <v>0</v>
      </c>
      <c r="AM344" s="42">
        <f>Table43[[#This Row],[Harga Beli Pcs
(-PPN)]]*1.11</f>
        <v>0</v>
      </c>
      <c r="AN344" s="42">
        <f>Table43[[#This Row],[Harga Beli Krt
(- PPN)]]*1.11</f>
        <v>0</v>
      </c>
      <c r="AO344" s="42"/>
      <c r="AP344" s="42">
        <f>Table43[[#This Row],[Harga Jual Pcs GT
(-PPN)]]*Table43[[#This Row],[ISI/CTN]]</f>
        <v>0</v>
      </c>
      <c r="AQ344" s="42">
        <f>Table43[[#This Row],[Harga Jual Pcs GT
(-PPN)]]*1.11</f>
        <v>0</v>
      </c>
      <c r="AR344" s="42">
        <f>Table43[[#This Row],[Harga Jual Krt GT
(- PPN)]]*1.11</f>
        <v>0</v>
      </c>
      <c r="AS344" s="42">
        <f>Table43[[#This Row],[Harga Jual Pcs GT
(-PPN)]]</f>
        <v>0</v>
      </c>
      <c r="AT344" s="42">
        <f>(Table43[[#This Row],[Harga Jual Pcs MT
(-PPN)]]*Table43[[#This Row],[ISI/CTN]])</f>
        <v>0</v>
      </c>
      <c r="AU344" s="42">
        <f>Table43[[#This Row],[Harga Jual Pcs MT
(-PPN)]]*1.11</f>
        <v>0</v>
      </c>
      <c r="AV344" s="42">
        <f>Table43[[#This Row],[Harga Jual Pcs MT
(+PPN)]]*Table43[[#This Row],[ISI/CTN]]</f>
        <v>0</v>
      </c>
      <c r="AW344" s="47"/>
      <c r="AX344" s="7"/>
      <c r="AY344" s="7" t="str">
        <f ca="1">IF(TODAY()-Table43[[#This Row],[Efektif
Pembuatan]]&gt;60,"Lama","Baru")</f>
        <v>Lama</v>
      </c>
      <c r="AZ344" s="7" t="str">
        <f ca="1">IF(TODAY()-Table43[[#This Row],[Efektif Naik Harga]]&lt;30,"Naik","Sama")</f>
        <v>Sama</v>
      </c>
      <c r="BA344" s="7" t="str">
        <f>IF(Table43[[#This Row],[Kode BARANG Win2]]&lt;&gt;"","IDR","")</f>
        <v>IDR</v>
      </c>
      <c r="BB344" s="7" t="str">
        <f>CONCATENATE(Table43[[#This Row],[kode  1 Digit
(Nomor)]],Table43[[#This Row],[kode  4 Digit                (Nomor)]])</f>
        <v>10050</v>
      </c>
      <c r="BC344" s="7" t="str">
        <f>Table43[[#This Row],[Nama            Gramasi atau Jumlah Pack per CTN]]</f>
        <v>50ML</v>
      </c>
      <c r="BD344" s="7"/>
      <c r="BE344" s="7"/>
      <c r="BF344" s="4" t="str">
        <f>IF(Table43[[#This Row],[SATUAN Fix Win]]&lt;&gt;"","KRT")</f>
        <v>KRT</v>
      </c>
      <c r="BG344" s="4" t="str">
        <f>IF(Table43[[#This Row],[SATUAN Fix Win]]&lt;&gt;"","GD01")</f>
        <v>GD01</v>
      </c>
      <c r="BH344" s="4">
        <f>IF(Table43[[#This Row],[SATUAN Fix Win]]&lt;&gt;"",11611)</f>
        <v>11611</v>
      </c>
      <c r="BI344" s="4">
        <f>IF(Table43[[#This Row],[SATUAN Fix Win]]&lt;&gt;"",11612)</f>
        <v>11612</v>
      </c>
      <c r="BJ344" s="48"/>
      <c r="BK344" s="4">
        <f>IF(Table43[[#This Row],[SATUAN Fix Win]]&lt;&gt;"",1)</f>
        <v>1</v>
      </c>
    </row>
    <row r="345" spans="1:63">
      <c r="A345" s="4" t="str">
        <f>CONCATENATE(Table43[[#This Row],[Kode BARANG Win2]],Table43[[#This Row],[No. Urut
Item Sama]])</f>
        <v>K11900030050101</v>
      </c>
      <c r="B345" s="7">
        <v>1</v>
      </c>
      <c r="D345" s="28" t="s">
        <v>1014</v>
      </c>
      <c r="E345" s="28"/>
      <c r="F345" s="28" t="s">
        <v>3125</v>
      </c>
      <c r="G345" s="78">
        <v>12</v>
      </c>
      <c r="H345" s="43"/>
      <c r="I345" s="28" t="str">
        <f>Table43[[#This Row],[Nama Jenis Kemasan]]</f>
        <v>BTL</v>
      </c>
      <c r="J345" s="4" t="str">
        <f>TRIM(CONCATENATE(Table43[[#This Row],[Nama            KLP]]," ",Table43[[#This Row],[Nama            Sub KLP]]))</f>
        <v>EVERGREEN AS SET</v>
      </c>
      <c r="K345" s="4" t="str">
        <f>CONCATENATE(Table43[[#This Row],[kode  2 Digit                (hrf+No)]],Table43[[#This Row],[kode  2 Digit                (Nomor)]],Table43[[#This Row],[kode  1 Digit                (Nomor)]])</f>
        <v>K1190</v>
      </c>
      <c r="L345" s="4" t="str">
        <f t="shared" si="18"/>
        <v>K1190003005010</v>
      </c>
      <c r="M345" s="11">
        <f t="shared" si="19"/>
        <v>14</v>
      </c>
      <c r="N345" s="14" t="str">
        <f>IF(AF345&lt;&gt;"",TRIM(UPPER(CONCATENATE(P345," ",R345," ",T345," ",V345," ",X345," ",Z345," ","X"," ",Table43[[#This Row],[ISI/CTN]]," ",AF345," ",AB345," ",AD345," ",AH345))),TRIM(UPPER(CONCATENATE(P345," ",R345," ",T345," ",V345," ",X345," ",Z345," ","X"," ",Table43[[#This Row],[ISI/CTN]]," ",AB345," ",AD345," ",AH345))))</f>
        <v>KNF EVERGREEN AS SET RELIEVING 50ML X 12 BTL</v>
      </c>
      <c r="O345" s="11">
        <f t="shared" si="20"/>
        <v>44</v>
      </c>
      <c r="P345" s="4" t="s">
        <v>97</v>
      </c>
      <c r="Q345" s="7" t="s">
        <v>98</v>
      </c>
      <c r="R345" s="4" t="s">
        <v>3810</v>
      </c>
      <c r="S345" s="44" t="s">
        <v>3573</v>
      </c>
      <c r="T345" s="45" t="s">
        <v>2961</v>
      </c>
      <c r="U345" s="7" t="s">
        <v>2900</v>
      </c>
      <c r="V345" s="45" t="s">
        <v>2961</v>
      </c>
      <c r="W345" s="44" t="s">
        <v>2900</v>
      </c>
      <c r="X345" s="4" t="s">
        <v>3813</v>
      </c>
      <c r="Y345" s="46" t="s">
        <v>2473</v>
      </c>
      <c r="Z345" s="4" t="s">
        <v>3654</v>
      </c>
      <c r="AA345" s="46" t="s">
        <v>2490</v>
      </c>
      <c r="AB345" s="4" t="s">
        <v>357</v>
      </c>
      <c r="AC345" s="7" t="s">
        <v>2656</v>
      </c>
      <c r="AD345" s="4" t="s">
        <v>2961</v>
      </c>
      <c r="AE345" s="7" t="s">
        <v>2900</v>
      </c>
      <c r="AF345" s="7" t="s">
        <v>2961</v>
      </c>
      <c r="AG345" s="7" t="s">
        <v>2961</v>
      </c>
      <c r="AI345" s="7" t="s">
        <v>4100</v>
      </c>
      <c r="AJ345" s="7" t="s">
        <v>2656</v>
      </c>
      <c r="AK345" s="41">
        <f>Table43[[#This Row],[Harga Jual Pcs GT
(-PPN)]]-(Table43[[#This Row],[Harga Jual Pcs GT
(-PPN)]]*10%)</f>
        <v>0</v>
      </c>
      <c r="AL345" s="42">
        <f>Table43[[#This Row],[Harga Beli Pcs
(-PPN)]]*Table43[[#This Row],[ISI/CTN]]</f>
        <v>0</v>
      </c>
      <c r="AM345" s="42">
        <f>Table43[[#This Row],[Harga Beli Pcs
(-PPN)]]*1.11</f>
        <v>0</v>
      </c>
      <c r="AN345" s="42">
        <f>Table43[[#This Row],[Harga Beli Krt
(- PPN)]]*1.11</f>
        <v>0</v>
      </c>
      <c r="AO345" s="42"/>
      <c r="AP345" s="42">
        <f>Table43[[#This Row],[Harga Jual Pcs GT
(-PPN)]]*Table43[[#This Row],[ISI/CTN]]</f>
        <v>0</v>
      </c>
      <c r="AQ345" s="42">
        <f>Table43[[#This Row],[Harga Jual Pcs GT
(-PPN)]]*1.11</f>
        <v>0</v>
      </c>
      <c r="AR345" s="42">
        <f>Table43[[#This Row],[Harga Jual Krt GT
(- PPN)]]*1.11</f>
        <v>0</v>
      </c>
      <c r="AS345" s="42">
        <f>Table43[[#This Row],[Harga Jual Pcs GT
(-PPN)]]</f>
        <v>0</v>
      </c>
      <c r="AT345" s="42">
        <f>(Table43[[#This Row],[Harga Jual Pcs MT
(-PPN)]]*Table43[[#This Row],[ISI/CTN]])</f>
        <v>0</v>
      </c>
      <c r="AU345" s="42">
        <f>Table43[[#This Row],[Harga Jual Pcs MT
(-PPN)]]*1.11</f>
        <v>0</v>
      </c>
      <c r="AV345" s="42">
        <f>Table43[[#This Row],[Harga Jual Pcs MT
(+PPN)]]*Table43[[#This Row],[ISI/CTN]]</f>
        <v>0</v>
      </c>
      <c r="AW345" s="47"/>
      <c r="AX345" s="7"/>
      <c r="AY345" s="7" t="str">
        <f ca="1">IF(TODAY()-Table43[[#This Row],[Efektif
Pembuatan]]&gt;60,"Lama","Baru")</f>
        <v>Lama</v>
      </c>
      <c r="AZ345" s="7" t="str">
        <f ca="1">IF(TODAY()-Table43[[#This Row],[Efektif Naik Harga]]&lt;30,"Naik","Sama")</f>
        <v>Sama</v>
      </c>
      <c r="BA345" s="7" t="str">
        <f>IF(Table43[[#This Row],[Kode BARANG Win2]]&lt;&gt;"","IDR","")</f>
        <v>IDR</v>
      </c>
      <c r="BB345" s="7" t="str">
        <f>CONCATENATE(Table43[[#This Row],[kode  1 Digit
(Nomor)]],Table43[[#This Row],[kode  4 Digit                (Nomor)]])</f>
        <v>10050</v>
      </c>
      <c r="BC345" s="7" t="str">
        <f>Table43[[#This Row],[Nama            Gramasi atau Jumlah Pack per CTN]]</f>
        <v>50ML</v>
      </c>
      <c r="BD345" s="7"/>
      <c r="BE345" s="7"/>
      <c r="BF345" s="4" t="str">
        <f>IF(Table43[[#This Row],[SATUAN Fix Win]]&lt;&gt;"","KRT")</f>
        <v>KRT</v>
      </c>
      <c r="BG345" s="4" t="str">
        <f>IF(Table43[[#This Row],[SATUAN Fix Win]]&lt;&gt;"","GD01")</f>
        <v>GD01</v>
      </c>
      <c r="BH345" s="4">
        <f>IF(Table43[[#This Row],[SATUAN Fix Win]]&lt;&gt;"",11611)</f>
        <v>11611</v>
      </c>
      <c r="BI345" s="4">
        <f>IF(Table43[[#This Row],[SATUAN Fix Win]]&lt;&gt;"",11612)</f>
        <v>11612</v>
      </c>
      <c r="BJ345" s="48"/>
      <c r="BK345" s="4">
        <f>IF(Table43[[#This Row],[SATUAN Fix Win]]&lt;&gt;"",1)</f>
        <v>1</v>
      </c>
    </row>
    <row r="346" spans="1:63">
      <c r="A346" s="4" t="str">
        <f>CONCATENATE(Table43[[#This Row],[Kode BARANG Win2]],Table43[[#This Row],[No. Urut
Item Sama]])</f>
        <v>K11900030050111</v>
      </c>
      <c r="B346" s="7">
        <v>1</v>
      </c>
      <c r="D346" s="28" t="s">
        <v>1015</v>
      </c>
      <c r="E346" s="28"/>
      <c r="F346" s="28" t="s">
        <v>3126</v>
      </c>
      <c r="G346" s="78">
        <v>12</v>
      </c>
      <c r="H346" s="43"/>
      <c r="I346" s="28" t="str">
        <f>Table43[[#This Row],[Nama Jenis Kemasan]]</f>
        <v>BTL</v>
      </c>
      <c r="J346" s="4" t="str">
        <f>TRIM(CONCATENATE(Table43[[#This Row],[Nama            KLP]]," ",Table43[[#This Row],[Nama            Sub KLP]]))</f>
        <v>EVERGREEN AS SET</v>
      </c>
      <c r="K346" s="4" t="str">
        <f>CONCATENATE(Table43[[#This Row],[kode  2 Digit                (hrf+No)]],Table43[[#This Row],[kode  2 Digit                (Nomor)]],Table43[[#This Row],[kode  1 Digit                (Nomor)]])</f>
        <v>K1190</v>
      </c>
      <c r="L346" s="4" t="str">
        <f t="shared" si="18"/>
        <v>K1190003005011</v>
      </c>
      <c r="M346" s="11">
        <f t="shared" si="19"/>
        <v>14</v>
      </c>
      <c r="N346" s="14" t="str">
        <f>IF(AF346&lt;&gt;"",TRIM(UPPER(CONCATENATE(P346," ",R346," ",T346," ",V346," ",X346," ",Z346," ","X"," ",Table43[[#This Row],[ISI/CTN]]," ",AF346," ",AB346," ",AD346," ",AH346))),TRIM(UPPER(CONCATENATE(P346," ",R346," ",T346," ",V346," ",X346," ",Z346," ","X"," ",Table43[[#This Row],[ISI/CTN]]," ",AB346," ",AD346," ",AH346))))</f>
        <v>KNF EVERGREEN AS SET RELIEVING 50ML X 12 BTL</v>
      </c>
      <c r="O346" s="11">
        <f t="shared" si="20"/>
        <v>44</v>
      </c>
      <c r="P346" s="4" t="s">
        <v>97</v>
      </c>
      <c r="Q346" s="7" t="s">
        <v>98</v>
      </c>
      <c r="R346" s="4" t="s">
        <v>3810</v>
      </c>
      <c r="S346" s="44" t="s">
        <v>3573</v>
      </c>
      <c r="T346" s="45" t="s">
        <v>2961</v>
      </c>
      <c r="U346" s="7" t="s">
        <v>2900</v>
      </c>
      <c r="V346" s="45" t="s">
        <v>2961</v>
      </c>
      <c r="W346" s="44" t="s">
        <v>2900</v>
      </c>
      <c r="X346" s="4" t="s">
        <v>3813</v>
      </c>
      <c r="Y346" s="46" t="s">
        <v>2473</v>
      </c>
      <c r="Z346" s="4" t="s">
        <v>3654</v>
      </c>
      <c r="AA346" s="46" t="s">
        <v>2490</v>
      </c>
      <c r="AB346" s="4" t="s">
        <v>357</v>
      </c>
      <c r="AC346" s="7" t="s">
        <v>2656</v>
      </c>
      <c r="AD346" s="4" t="s">
        <v>2961</v>
      </c>
      <c r="AE346" s="7" t="s">
        <v>2656</v>
      </c>
      <c r="AF346" s="7" t="s">
        <v>2961</v>
      </c>
      <c r="AG346" s="7" t="s">
        <v>2961</v>
      </c>
      <c r="AI346" s="7" t="s">
        <v>4100</v>
      </c>
      <c r="AJ346" s="7" t="s">
        <v>2656</v>
      </c>
      <c r="AK346" s="41">
        <f>Table43[[#This Row],[Harga Jual Pcs GT
(-PPN)]]-(Table43[[#This Row],[Harga Jual Pcs GT
(-PPN)]]*10%)</f>
        <v>0</v>
      </c>
      <c r="AL346" s="42">
        <f>Table43[[#This Row],[Harga Beli Pcs
(-PPN)]]*Table43[[#This Row],[ISI/CTN]]</f>
        <v>0</v>
      </c>
      <c r="AM346" s="42">
        <f>Table43[[#This Row],[Harga Beli Pcs
(-PPN)]]*1.11</f>
        <v>0</v>
      </c>
      <c r="AN346" s="42">
        <f>Table43[[#This Row],[Harga Beli Krt
(- PPN)]]*1.11</f>
        <v>0</v>
      </c>
      <c r="AO346" s="42"/>
      <c r="AP346" s="42">
        <f>Table43[[#This Row],[Harga Jual Pcs GT
(-PPN)]]*Table43[[#This Row],[ISI/CTN]]</f>
        <v>0</v>
      </c>
      <c r="AQ346" s="42">
        <f>Table43[[#This Row],[Harga Jual Pcs GT
(-PPN)]]*1.11</f>
        <v>0</v>
      </c>
      <c r="AR346" s="42">
        <f>Table43[[#This Row],[Harga Jual Krt GT
(- PPN)]]*1.11</f>
        <v>0</v>
      </c>
      <c r="AS346" s="42">
        <f>Table43[[#This Row],[Harga Jual Pcs GT
(-PPN)]]</f>
        <v>0</v>
      </c>
      <c r="AT346" s="42">
        <f>(Table43[[#This Row],[Harga Jual Pcs MT
(-PPN)]]*Table43[[#This Row],[ISI/CTN]])</f>
        <v>0</v>
      </c>
      <c r="AU346" s="42">
        <f>Table43[[#This Row],[Harga Jual Pcs MT
(-PPN)]]*1.11</f>
        <v>0</v>
      </c>
      <c r="AV346" s="42">
        <f>Table43[[#This Row],[Harga Jual Pcs MT
(+PPN)]]*Table43[[#This Row],[ISI/CTN]]</f>
        <v>0</v>
      </c>
      <c r="AW346" s="47"/>
      <c r="AX346" s="7"/>
      <c r="AY346" s="7" t="str">
        <f ca="1">IF(TODAY()-Table43[[#This Row],[Efektif
Pembuatan]]&gt;60,"Lama","Baru")</f>
        <v>Lama</v>
      </c>
      <c r="AZ346" s="7" t="str">
        <f ca="1">IF(TODAY()-Table43[[#This Row],[Efektif Naik Harga]]&lt;30,"Naik","Sama")</f>
        <v>Sama</v>
      </c>
      <c r="BA346" s="7" t="str">
        <f>IF(Table43[[#This Row],[Kode BARANG Win2]]&lt;&gt;"","IDR","")</f>
        <v>IDR</v>
      </c>
      <c r="BB346" s="7" t="str">
        <f>CONCATENATE(Table43[[#This Row],[kode  1 Digit
(Nomor)]],Table43[[#This Row],[kode  4 Digit                (Nomor)]])</f>
        <v>10050</v>
      </c>
      <c r="BC346" s="7" t="str">
        <f>Table43[[#This Row],[Nama            Gramasi atau Jumlah Pack per CTN]]</f>
        <v>50ML</v>
      </c>
      <c r="BD346" s="7"/>
      <c r="BE346" s="7"/>
      <c r="BF346" s="4" t="str">
        <f>IF(Table43[[#This Row],[SATUAN Fix Win]]&lt;&gt;"","KRT")</f>
        <v>KRT</v>
      </c>
      <c r="BG346" s="4" t="str">
        <f>IF(Table43[[#This Row],[SATUAN Fix Win]]&lt;&gt;"","GD01")</f>
        <v>GD01</v>
      </c>
      <c r="BH346" s="4">
        <f>IF(Table43[[#This Row],[SATUAN Fix Win]]&lt;&gt;"",11611)</f>
        <v>11611</v>
      </c>
      <c r="BI346" s="4">
        <f>IF(Table43[[#This Row],[SATUAN Fix Win]]&lt;&gt;"",11612)</f>
        <v>11612</v>
      </c>
      <c r="BJ346" s="48"/>
      <c r="BK346" s="4">
        <f>IF(Table43[[#This Row],[SATUAN Fix Win]]&lt;&gt;"",1)</f>
        <v>1</v>
      </c>
    </row>
    <row r="347" spans="1:63">
      <c r="A347" s="4" t="str">
        <f>CONCATENATE(Table43[[#This Row],[Kode BARANG Win2]],Table43[[#This Row],[No. Urut
Item Sama]])</f>
        <v>K12000010050101</v>
      </c>
      <c r="B347" s="7">
        <v>1</v>
      </c>
      <c r="D347" s="28" t="s">
        <v>1016</v>
      </c>
      <c r="E347" s="28"/>
      <c r="F347" s="28" t="s">
        <v>3127</v>
      </c>
      <c r="G347" s="78">
        <v>24</v>
      </c>
      <c r="H347" s="43"/>
      <c r="I347" s="28" t="str">
        <f>Table43[[#This Row],[Nama Jenis Kemasan]]</f>
        <v>BTL</v>
      </c>
      <c r="J347" s="4" t="str">
        <f>TRIM(CONCATENATE(Table43[[#This Row],[Nama            KLP]]," ",Table43[[#This Row],[Nama            Sub KLP]]))</f>
        <v>EVERGREEN AS REFF</v>
      </c>
      <c r="K347" s="4" t="str">
        <f>CONCATENATE(Table43[[#This Row],[kode  2 Digit                (hrf+No)]],Table43[[#This Row],[kode  2 Digit                (Nomor)]],Table43[[#This Row],[kode  1 Digit                (Nomor)]])</f>
        <v>K1200</v>
      </c>
      <c r="L347" s="4" t="str">
        <f t="shared" si="18"/>
        <v>K1200001005010</v>
      </c>
      <c r="M347" s="11">
        <f t="shared" si="19"/>
        <v>14</v>
      </c>
      <c r="N347" s="14" t="str">
        <f>IF(AF347&lt;&gt;"",TRIM(UPPER(CONCATENATE(P347," ",R347," ",T347," ",V347," ",X347," ",Z347," ","X"," ",Table43[[#This Row],[ISI/CTN]]," ",AF347," ",AB347," ",AD347," ",AH347))),TRIM(UPPER(CONCATENATE(P347," ",R347," ",T347," ",V347," ",X347," ",Z347," ","X"," ",Table43[[#This Row],[ISI/CTN]]," ",AB347," ",AD347," ",AH347))))</f>
        <v>KNF EVERGREEN AS REFF BALANCING 50ML X 24 BTL</v>
      </c>
      <c r="O347" s="11">
        <f t="shared" si="20"/>
        <v>45</v>
      </c>
      <c r="P347" s="4" t="s">
        <v>97</v>
      </c>
      <c r="Q347" s="7" t="s">
        <v>98</v>
      </c>
      <c r="R347" s="4" t="s">
        <v>3814</v>
      </c>
      <c r="S347" s="44" t="s">
        <v>3575</v>
      </c>
      <c r="T347" s="45" t="s">
        <v>2961</v>
      </c>
      <c r="U347" s="7" t="s">
        <v>2900</v>
      </c>
      <c r="V347" s="45" t="s">
        <v>2961</v>
      </c>
      <c r="W347" s="44" t="s">
        <v>2900</v>
      </c>
      <c r="X347" s="4" t="s">
        <v>3811</v>
      </c>
      <c r="Y347" s="46" t="s">
        <v>0</v>
      </c>
      <c r="Z347" s="4" t="s">
        <v>3654</v>
      </c>
      <c r="AA347" s="46" t="s">
        <v>2490</v>
      </c>
      <c r="AB347" s="4" t="s">
        <v>357</v>
      </c>
      <c r="AC347" s="7" t="s">
        <v>2656</v>
      </c>
      <c r="AD347" s="4" t="s">
        <v>2961</v>
      </c>
      <c r="AE347" s="7" t="s">
        <v>2900</v>
      </c>
      <c r="AF347" s="7" t="s">
        <v>2961</v>
      </c>
      <c r="AG347" s="7" t="s">
        <v>2961</v>
      </c>
      <c r="AI347" s="7" t="s">
        <v>4100</v>
      </c>
      <c r="AJ347" s="7" t="s">
        <v>2656</v>
      </c>
      <c r="AK347" s="41">
        <f>Table43[[#This Row],[Harga Jual Pcs GT
(-PPN)]]-(Table43[[#This Row],[Harga Jual Pcs GT
(-PPN)]]*10%)</f>
        <v>0</v>
      </c>
      <c r="AL347" s="42">
        <f>Table43[[#This Row],[Harga Beli Pcs
(-PPN)]]*Table43[[#This Row],[ISI/CTN]]</f>
        <v>0</v>
      </c>
      <c r="AM347" s="42">
        <f>Table43[[#This Row],[Harga Beli Pcs
(-PPN)]]*1.11</f>
        <v>0</v>
      </c>
      <c r="AN347" s="42">
        <f>Table43[[#This Row],[Harga Beli Krt
(- PPN)]]*1.11</f>
        <v>0</v>
      </c>
      <c r="AO347" s="42"/>
      <c r="AP347" s="42">
        <f>Table43[[#This Row],[Harga Jual Pcs GT
(-PPN)]]*Table43[[#This Row],[ISI/CTN]]</f>
        <v>0</v>
      </c>
      <c r="AQ347" s="42">
        <f>Table43[[#This Row],[Harga Jual Pcs GT
(-PPN)]]*1.11</f>
        <v>0</v>
      </c>
      <c r="AR347" s="42">
        <f>Table43[[#This Row],[Harga Jual Krt GT
(- PPN)]]*1.11</f>
        <v>0</v>
      </c>
      <c r="AS347" s="42">
        <f>Table43[[#This Row],[Harga Jual Pcs GT
(-PPN)]]</f>
        <v>0</v>
      </c>
      <c r="AT347" s="42">
        <f>(Table43[[#This Row],[Harga Jual Pcs MT
(-PPN)]]*Table43[[#This Row],[ISI/CTN]])</f>
        <v>0</v>
      </c>
      <c r="AU347" s="42">
        <f>Table43[[#This Row],[Harga Jual Pcs MT
(-PPN)]]*1.11</f>
        <v>0</v>
      </c>
      <c r="AV347" s="42">
        <f>Table43[[#This Row],[Harga Jual Pcs MT
(+PPN)]]*Table43[[#This Row],[ISI/CTN]]</f>
        <v>0</v>
      </c>
      <c r="AW347" s="47"/>
      <c r="AX347" s="7"/>
      <c r="AY347" s="7" t="str">
        <f ca="1">IF(TODAY()-Table43[[#This Row],[Efektif
Pembuatan]]&gt;60,"Lama","Baru")</f>
        <v>Lama</v>
      </c>
      <c r="AZ347" s="7" t="str">
        <f ca="1">IF(TODAY()-Table43[[#This Row],[Efektif Naik Harga]]&lt;30,"Naik","Sama")</f>
        <v>Sama</v>
      </c>
      <c r="BA347" s="7" t="str">
        <f>IF(Table43[[#This Row],[Kode BARANG Win2]]&lt;&gt;"","IDR","")</f>
        <v>IDR</v>
      </c>
      <c r="BB347" s="7" t="str">
        <f>CONCATENATE(Table43[[#This Row],[kode  1 Digit
(Nomor)]],Table43[[#This Row],[kode  4 Digit                (Nomor)]])</f>
        <v>10050</v>
      </c>
      <c r="BC347" s="7" t="str">
        <f>Table43[[#This Row],[Nama            Gramasi atau Jumlah Pack per CTN]]</f>
        <v>50ML</v>
      </c>
      <c r="BD347" s="7"/>
      <c r="BE347" s="7"/>
      <c r="BF347" s="4" t="str">
        <f>IF(Table43[[#This Row],[SATUAN Fix Win]]&lt;&gt;"","KRT")</f>
        <v>KRT</v>
      </c>
      <c r="BG347" s="4" t="str">
        <f>IF(Table43[[#This Row],[SATUAN Fix Win]]&lt;&gt;"","GD01")</f>
        <v>GD01</v>
      </c>
      <c r="BH347" s="4">
        <f>IF(Table43[[#This Row],[SATUAN Fix Win]]&lt;&gt;"",11611)</f>
        <v>11611</v>
      </c>
      <c r="BI347" s="4">
        <f>IF(Table43[[#This Row],[SATUAN Fix Win]]&lt;&gt;"",11612)</f>
        <v>11612</v>
      </c>
      <c r="BJ347" s="48"/>
      <c r="BK347" s="4">
        <f>IF(Table43[[#This Row],[SATUAN Fix Win]]&lt;&gt;"",1)</f>
        <v>1</v>
      </c>
    </row>
    <row r="348" spans="1:63">
      <c r="A348" s="4" t="str">
        <f>CONCATENATE(Table43[[#This Row],[Kode BARANG Win2]],Table43[[#This Row],[No. Urut
Item Sama]])</f>
        <v>K12000020050101</v>
      </c>
      <c r="B348" s="7">
        <v>1</v>
      </c>
      <c r="D348" s="28" t="s">
        <v>1017</v>
      </c>
      <c r="E348" s="28"/>
      <c r="F348" s="28" t="s">
        <v>3128</v>
      </c>
      <c r="G348" s="78">
        <v>24</v>
      </c>
      <c r="H348" s="43"/>
      <c r="I348" s="28" t="str">
        <f>Table43[[#This Row],[Nama Jenis Kemasan]]</f>
        <v>BTL</v>
      </c>
      <c r="J348" s="4" t="str">
        <f>TRIM(CONCATENATE(Table43[[#This Row],[Nama            KLP]]," ",Table43[[#This Row],[Nama            Sub KLP]]))</f>
        <v>EVERGREEN AS REFF</v>
      </c>
      <c r="K348" s="4" t="str">
        <f>CONCATENATE(Table43[[#This Row],[kode  2 Digit                (hrf+No)]],Table43[[#This Row],[kode  2 Digit                (Nomor)]],Table43[[#This Row],[kode  1 Digit                (Nomor)]])</f>
        <v>K1200</v>
      </c>
      <c r="L348" s="4" t="str">
        <f t="shared" si="18"/>
        <v>K1200002005010</v>
      </c>
      <c r="M348" s="11">
        <f t="shared" si="19"/>
        <v>14</v>
      </c>
      <c r="N348" s="14" t="str">
        <f>IF(AF348&lt;&gt;"",TRIM(UPPER(CONCATENATE(P348," ",R348," ",T348," ",V348," ",X348," ",Z348," ","X"," ",Table43[[#This Row],[ISI/CTN]]," ",AF348," ",AB348," ",AD348," ",AH348))),TRIM(UPPER(CONCATENATE(P348," ",R348," ",T348," ",V348," ",X348," ",Z348," ","X"," ",Table43[[#This Row],[ISI/CTN]]," ",AB348," ",AD348," ",AH348))))</f>
        <v>KNF EVERGREEN AS REFF ENERGIZING 50ML X 24 BTL</v>
      </c>
      <c r="O348" s="11">
        <f t="shared" si="20"/>
        <v>46</v>
      </c>
      <c r="P348" s="4" t="s">
        <v>97</v>
      </c>
      <c r="Q348" s="7" t="s">
        <v>98</v>
      </c>
      <c r="R348" s="4" t="s">
        <v>3814</v>
      </c>
      <c r="S348" s="44" t="s">
        <v>3575</v>
      </c>
      <c r="T348" s="45" t="s">
        <v>2961</v>
      </c>
      <c r="U348" s="7" t="s">
        <v>2900</v>
      </c>
      <c r="V348" s="45" t="s">
        <v>2961</v>
      </c>
      <c r="W348" s="44" t="s">
        <v>2900</v>
      </c>
      <c r="X348" s="4" t="s">
        <v>3812</v>
      </c>
      <c r="Y348" s="46" t="s">
        <v>2472</v>
      </c>
      <c r="Z348" s="4" t="s">
        <v>3654</v>
      </c>
      <c r="AA348" s="46" t="s">
        <v>2490</v>
      </c>
      <c r="AB348" s="4" t="s">
        <v>357</v>
      </c>
      <c r="AC348" s="7" t="s">
        <v>2656</v>
      </c>
      <c r="AD348" s="4" t="s">
        <v>2961</v>
      </c>
      <c r="AE348" s="7" t="s">
        <v>2900</v>
      </c>
      <c r="AF348" s="7" t="s">
        <v>2961</v>
      </c>
      <c r="AG348" s="7" t="s">
        <v>2961</v>
      </c>
      <c r="AI348" s="7" t="s">
        <v>4100</v>
      </c>
      <c r="AJ348" s="7" t="s">
        <v>2656</v>
      </c>
      <c r="AK348" s="41">
        <f>Table43[[#This Row],[Harga Jual Pcs GT
(-PPN)]]-(Table43[[#This Row],[Harga Jual Pcs GT
(-PPN)]]*10%)</f>
        <v>0</v>
      </c>
      <c r="AL348" s="42">
        <f>Table43[[#This Row],[Harga Beli Pcs
(-PPN)]]*Table43[[#This Row],[ISI/CTN]]</f>
        <v>0</v>
      </c>
      <c r="AM348" s="42">
        <f>Table43[[#This Row],[Harga Beli Pcs
(-PPN)]]*1.11</f>
        <v>0</v>
      </c>
      <c r="AN348" s="42">
        <f>Table43[[#This Row],[Harga Beli Krt
(- PPN)]]*1.11</f>
        <v>0</v>
      </c>
      <c r="AO348" s="42"/>
      <c r="AP348" s="42">
        <f>Table43[[#This Row],[Harga Jual Pcs GT
(-PPN)]]*Table43[[#This Row],[ISI/CTN]]</f>
        <v>0</v>
      </c>
      <c r="AQ348" s="42">
        <f>Table43[[#This Row],[Harga Jual Pcs GT
(-PPN)]]*1.11</f>
        <v>0</v>
      </c>
      <c r="AR348" s="42">
        <f>Table43[[#This Row],[Harga Jual Krt GT
(- PPN)]]*1.11</f>
        <v>0</v>
      </c>
      <c r="AS348" s="42">
        <f>Table43[[#This Row],[Harga Jual Pcs GT
(-PPN)]]</f>
        <v>0</v>
      </c>
      <c r="AT348" s="42">
        <f>(Table43[[#This Row],[Harga Jual Pcs MT
(-PPN)]]*Table43[[#This Row],[ISI/CTN]])</f>
        <v>0</v>
      </c>
      <c r="AU348" s="42">
        <f>Table43[[#This Row],[Harga Jual Pcs MT
(-PPN)]]*1.11</f>
        <v>0</v>
      </c>
      <c r="AV348" s="42">
        <f>Table43[[#This Row],[Harga Jual Pcs MT
(+PPN)]]*Table43[[#This Row],[ISI/CTN]]</f>
        <v>0</v>
      </c>
      <c r="AW348" s="47"/>
      <c r="AX348" s="7"/>
      <c r="AY348" s="7" t="str">
        <f ca="1">IF(TODAY()-Table43[[#This Row],[Efektif
Pembuatan]]&gt;60,"Lama","Baru")</f>
        <v>Lama</v>
      </c>
      <c r="AZ348" s="7" t="str">
        <f ca="1">IF(TODAY()-Table43[[#This Row],[Efektif Naik Harga]]&lt;30,"Naik","Sama")</f>
        <v>Sama</v>
      </c>
      <c r="BA348" s="7" t="str">
        <f>IF(Table43[[#This Row],[Kode BARANG Win2]]&lt;&gt;"","IDR","")</f>
        <v>IDR</v>
      </c>
      <c r="BB348" s="7" t="str">
        <f>CONCATENATE(Table43[[#This Row],[kode  1 Digit
(Nomor)]],Table43[[#This Row],[kode  4 Digit                (Nomor)]])</f>
        <v>10050</v>
      </c>
      <c r="BC348" s="7" t="str">
        <f>Table43[[#This Row],[Nama            Gramasi atau Jumlah Pack per CTN]]</f>
        <v>50ML</v>
      </c>
      <c r="BD348" s="7"/>
      <c r="BE348" s="7"/>
      <c r="BF348" s="4" t="str">
        <f>IF(Table43[[#This Row],[SATUAN Fix Win]]&lt;&gt;"","KRT")</f>
        <v>KRT</v>
      </c>
      <c r="BG348" s="4" t="str">
        <f>IF(Table43[[#This Row],[SATUAN Fix Win]]&lt;&gt;"","GD01")</f>
        <v>GD01</v>
      </c>
      <c r="BH348" s="4">
        <f>IF(Table43[[#This Row],[SATUAN Fix Win]]&lt;&gt;"",11611)</f>
        <v>11611</v>
      </c>
      <c r="BI348" s="4">
        <f>IF(Table43[[#This Row],[SATUAN Fix Win]]&lt;&gt;"",11612)</f>
        <v>11612</v>
      </c>
      <c r="BJ348" s="48"/>
      <c r="BK348" s="4">
        <f>IF(Table43[[#This Row],[SATUAN Fix Win]]&lt;&gt;"",1)</f>
        <v>1</v>
      </c>
    </row>
    <row r="349" spans="1:63">
      <c r="A349" s="4" t="str">
        <f>CONCATENATE(Table43[[#This Row],[Kode BARANG Win2]],Table43[[#This Row],[No. Urut
Item Sama]])</f>
        <v>K12000030050101</v>
      </c>
      <c r="B349" s="7">
        <v>1</v>
      </c>
      <c r="D349" s="28" t="s">
        <v>1018</v>
      </c>
      <c r="E349" s="28"/>
      <c r="F349" s="28" t="s">
        <v>3129</v>
      </c>
      <c r="G349" s="78">
        <v>24</v>
      </c>
      <c r="H349" s="43"/>
      <c r="I349" s="28" t="str">
        <f>Table43[[#This Row],[Nama Jenis Kemasan]]</f>
        <v>BTL</v>
      </c>
      <c r="J349" s="4" t="str">
        <f>TRIM(CONCATENATE(Table43[[#This Row],[Nama            KLP]]," ",Table43[[#This Row],[Nama            Sub KLP]]))</f>
        <v>EVERGREEN AS REFF</v>
      </c>
      <c r="K349" s="4" t="str">
        <f>CONCATENATE(Table43[[#This Row],[kode  2 Digit                (hrf+No)]],Table43[[#This Row],[kode  2 Digit                (Nomor)]],Table43[[#This Row],[kode  1 Digit                (Nomor)]])</f>
        <v>K1200</v>
      </c>
      <c r="L349" s="4" t="str">
        <f t="shared" si="18"/>
        <v>K1200003005010</v>
      </c>
      <c r="M349" s="11">
        <f t="shared" si="19"/>
        <v>14</v>
      </c>
      <c r="N349" s="14" t="str">
        <f>IF(AF349&lt;&gt;"",TRIM(UPPER(CONCATENATE(P349," ",R349," ",T349," ",V349," ",X349," ",Z349," ","X"," ",Table43[[#This Row],[ISI/CTN]]," ",AF349," ",AB349," ",AD349," ",AH349))),TRIM(UPPER(CONCATENATE(P349," ",R349," ",T349," ",V349," ",X349," ",Z349," ","X"," ",Table43[[#This Row],[ISI/CTN]]," ",AB349," ",AD349," ",AH349))))</f>
        <v>KNF EVERGREEN AS REFF RELIEVING 50ML X 24 BTL</v>
      </c>
      <c r="O349" s="11">
        <f t="shared" si="20"/>
        <v>45</v>
      </c>
      <c r="P349" s="4" t="s">
        <v>97</v>
      </c>
      <c r="Q349" s="7" t="s">
        <v>98</v>
      </c>
      <c r="R349" s="4" t="s">
        <v>3814</v>
      </c>
      <c r="S349" s="44" t="s">
        <v>3575</v>
      </c>
      <c r="T349" s="45" t="s">
        <v>2961</v>
      </c>
      <c r="U349" s="7" t="s">
        <v>2900</v>
      </c>
      <c r="V349" s="45" t="s">
        <v>2961</v>
      </c>
      <c r="W349" s="44" t="s">
        <v>2900</v>
      </c>
      <c r="X349" s="4" t="s">
        <v>3813</v>
      </c>
      <c r="Y349" s="46" t="s">
        <v>2473</v>
      </c>
      <c r="Z349" s="4" t="s">
        <v>3654</v>
      </c>
      <c r="AA349" s="46" t="s">
        <v>2490</v>
      </c>
      <c r="AB349" s="4" t="s">
        <v>357</v>
      </c>
      <c r="AC349" s="7" t="s">
        <v>2656</v>
      </c>
      <c r="AD349" s="4" t="s">
        <v>2961</v>
      </c>
      <c r="AE349" s="7" t="s">
        <v>2900</v>
      </c>
      <c r="AF349" s="7" t="s">
        <v>2961</v>
      </c>
      <c r="AG349" s="7" t="s">
        <v>2961</v>
      </c>
      <c r="AI349" s="7" t="s">
        <v>4100</v>
      </c>
      <c r="AJ349" s="7" t="s">
        <v>2656</v>
      </c>
      <c r="AK349" s="41">
        <f>Table43[[#This Row],[Harga Jual Pcs GT
(-PPN)]]-(Table43[[#This Row],[Harga Jual Pcs GT
(-PPN)]]*10%)</f>
        <v>0</v>
      </c>
      <c r="AL349" s="42">
        <f>Table43[[#This Row],[Harga Beli Pcs
(-PPN)]]*Table43[[#This Row],[ISI/CTN]]</f>
        <v>0</v>
      </c>
      <c r="AM349" s="42">
        <f>Table43[[#This Row],[Harga Beli Pcs
(-PPN)]]*1.11</f>
        <v>0</v>
      </c>
      <c r="AN349" s="42">
        <f>Table43[[#This Row],[Harga Beli Krt
(- PPN)]]*1.11</f>
        <v>0</v>
      </c>
      <c r="AO349" s="42"/>
      <c r="AP349" s="42">
        <f>Table43[[#This Row],[Harga Jual Pcs GT
(-PPN)]]*Table43[[#This Row],[ISI/CTN]]</f>
        <v>0</v>
      </c>
      <c r="AQ349" s="42">
        <f>Table43[[#This Row],[Harga Jual Pcs GT
(-PPN)]]*1.11</f>
        <v>0</v>
      </c>
      <c r="AR349" s="42">
        <f>Table43[[#This Row],[Harga Jual Krt GT
(- PPN)]]*1.11</f>
        <v>0</v>
      </c>
      <c r="AS349" s="42">
        <f>Table43[[#This Row],[Harga Jual Pcs GT
(-PPN)]]</f>
        <v>0</v>
      </c>
      <c r="AT349" s="42">
        <f>(Table43[[#This Row],[Harga Jual Pcs MT
(-PPN)]]*Table43[[#This Row],[ISI/CTN]])</f>
        <v>0</v>
      </c>
      <c r="AU349" s="42">
        <f>Table43[[#This Row],[Harga Jual Pcs MT
(-PPN)]]*1.11</f>
        <v>0</v>
      </c>
      <c r="AV349" s="42">
        <f>Table43[[#This Row],[Harga Jual Pcs MT
(+PPN)]]*Table43[[#This Row],[ISI/CTN]]</f>
        <v>0</v>
      </c>
      <c r="AW349" s="47"/>
      <c r="AX349" s="7"/>
      <c r="AY349" s="7" t="str">
        <f ca="1">IF(TODAY()-Table43[[#This Row],[Efektif
Pembuatan]]&gt;60,"Lama","Baru")</f>
        <v>Lama</v>
      </c>
      <c r="AZ349" s="7" t="str">
        <f ca="1">IF(TODAY()-Table43[[#This Row],[Efektif Naik Harga]]&lt;30,"Naik","Sama")</f>
        <v>Sama</v>
      </c>
      <c r="BA349" s="7" t="str">
        <f>IF(Table43[[#This Row],[Kode BARANG Win2]]&lt;&gt;"","IDR","")</f>
        <v>IDR</v>
      </c>
      <c r="BB349" s="7" t="str">
        <f>CONCATENATE(Table43[[#This Row],[kode  1 Digit
(Nomor)]],Table43[[#This Row],[kode  4 Digit                (Nomor)]])</f>
        <v>10050</v>
      </c>
      <c r="BC349" s="7" t="str">
        <f>Table43[[#This Row],[Nama            Gramasi atau Jumlah Pack per CTN]]</f>
        <v>50ML</v>
      </c>
      <c r="BD349" s="7"/>
      <c r="BE349" s="7"/>
      <c r="BF349" s="4" t="str">
        <f>IF(Table43[[#This Row],[SATUAN Fix Win]]&lt;&gt;"","KRT")</f>
        <v>KRT</v>
      </c>
      <c r="BG349" s="4" t="str">
        <f>IF(Table43[[#This Row],[SATUAN Fix Win]]&lt;&gt;"","GD01")</f>
        <v>GD01</v>
      </c>
      <c r="BH349" s="4">
        <f>IF(Table43[[#This Row],[SATUAN Fix Win]]&lt;&gt;"",11611)</f>
        <v>11611</v>
      </c>
      <c r="BI349" s="4">
        <f>IF(Table43[[#This Row],[SATUAN Fix Win]]&lt;&gt;"",11612)</f>
        <v>11612</v>
      </c>
      <c r="BJ349" s="48"/>
      <c r="BK349" s="4">
        <f>IF(Table43[[#This Row],[SATUAN Fix Win]]&lt;&gt;"",1)</f>
        <v>1</v>
      </c>
    </row>
    <row r="350" spans="1:63">
      <c r="A350" s="4" t="str">
        <f>CONCATENATE(Table43[[#This Row],[Kode BARANG Win2]],Table43[[#This Row],[No. Urut
Item Sama]])</f>
        <v>K12100010050101</v>
      </c>
      <c r="B350" s="7">
        <v>1</v>
      </c>
      <c r="D350" s="28" t="s">
        <v>439</v>
      </c>
      <c r="E350" s="28"/>
      <c r="F350" s="28" t="s">
        <v>3130</v>
      </c>
      <c r="G350" s="78">
        <v>36</v>
      </c>
      <c r="H350" s="43"/>
      <c r="I350" s="28" t="str">
        <f>Table43[[#This Row],[Nama Jenis Kemasan]]</f>
        <v>BTL</v>
      </c>
      <c r="J350" s="4" t="str">
        <f>TRIM(CONCATENATE(Table43[[#This Row],[Nama            KLP]]," ",Table43[[#This Row],[Nama            Sub KLP]]))</f>
        <v>INSTANCE GEL HAND</v>
      </c>
      <c r="K350" s="4" t="str">
        <f>CONCATENATE(Table43[[#This Row],[kode  2 Digit                (hrf+No)]],Table43[[#This Row],[kode  2 Digit                (Nomor)]],Table43[[#This Row],[kode  1 Digit                (Nomor)]])</f>
        <v>K1210</v>
      </c>
      <c r="L350" s="4" t="str">
        <f t="shared" si="18"/>
        <v>K1210001005010</v>
      </c>
      <c r="M350" s="11">
        <f t="shared" si="19"/>
        <v>14</v>
      </c>
      <c r="N350" s="14" t="str">
        <f>IF(AF350&lt;&gt;"",TRIM(UPPER(CONCATENATE(P350," ",R350," ",T350," ",V350," ",X350," ",Z350," ","X"," ",Table43[[#This Row],[ISI/CTN]]," ",AF350," ",AB350," ",AD350," ",AH350))),TRIM(UPPER(CONCATENATE(P350," ",R350," ",T350," ",V350," ",X350," ",Z350," ","X"," ",Table43[[#This Row],[ISI/CTN]]," ",AB350," ",AD350," ",AH350))))</f>
        <v>KNF INSTANCE GEL HAND SANITIZER 50ML X 36 BTL</v>
      </c>
      <c r="O350" s="11">
        <f t="shared" si="20"/>
        <v>45</v>
      </c>
      <c r="P350" s="4" t="s">
        <v>97</v>
      </c>
      <c r="Q350" s="7" t="s">
        <v>98</v>
      </c>
      <c r="R350" s="4" t="s">
        <v>3815</v>
      </c>
      <c r="S350" s="44" t="s">
        <v>3577</v>
      </c>
      <c r="T350" s="45" t="s">
        <v>2961</v>
      </c>
      <c r="U350" s="7" t="s">
        <v>2900</v>
      </c>
      <c r="V350" s="45" t="s">
        <v>2961</v>
      </c>
      <c r="W350" s="44" t="s">
        <v>2900</v>
      </c>
      <c r="X350" s="4" t="s">
        <v>3816</v>
      </c>
      <c r="Y350" s="46" t="s">
        <v>0</v>
      </c>
      <c r="Z350" s="4" t="s">
        <v>3654</v>
      </c>
      <c r="AA350" s="46" t="s">
        <v>2490</v>
      </c>
      <c r="AB350" s="4" t="s">
        <v>357</v>
      </c>
      <c r="AC350" s="7" t="s">
        <v>2656</v>
      </c>
      <c r="AD350" s="4" t="s">
        <v>2961</v>
      </c>
      <c r="AE350" s="7" t="s">
        <v>2900</v>
      </c>
      <c r="AF350" s="7" t="s">
        <v>2961</v>
      </c>
      <c r="AG350" s="7" t="s">
        <v>2961</v>
      </c>
      <c r="AI350" s="7" t="s">
        <v>4100</v>
      </c>
      <c r="AJ350" s="7" t="s">
        <v>2656</v>
      </c>
      <c r="AK350" s="41">
        <f>Table43[[#This Row],[Harga Jual Pcs GT
(-PPN)]]-(Table43[[#This Row],[Harga Jual Pcs GT
(-PPN)]]*10%)</f>
        <v>0</v>
      </c>
      <c r="AL350" s="42">
        <f>Table43[[#This Row],[Harga Beli Pcs
(-PPN)]]*Table43[[#This Row],[ISI/CTN]]</f>
        <v>0</v>
      </c>
      <c r="AM350" s="42">
        <f>Table43[[#This Row],[Harga Beli Pcs
(-PPN)]]*1.11</f>
        <v>0</v>
      </c>
      <c r="AN350" s="42">
        <f>Table43[[#This Row],[Harga Beli Krt
(- PPN)]]*1.11</f>
        <v>0</v>
      </c>
      <c r="AO350" s="42"/>
      <c r="AP350" s="42">
        <f>Table43[[#This Row],[Harga Jual Pcs GT
(-PPN)]]*Table43[[#This Row],[ISI/CTN]]</f>
        <v>0</v>
      </c>
      <c r="AQ350" s="42">
        <f>Table43[[#This Row],[Harga Jual Pcs GT
(-PPN)]]*1.11</f>
        <v>0</v>
      </c>
      <c r="AR350" s="42">
        <f>Table43[[#This Row],[Harga Jual Krt GT
(- PPN)]]*1.11</f>
        <v>0</v>
      </c>
      <c r="AS350" s="42">
        <f>Table43[[#This Row],[Harga Jual Pcs GT
(-PPN)]]</f>
        <v>0</v>
      </c>
      <c r="AT350" s="42">
        <f>(Table43[[#This Row],[Harga Jual Pcs MT
(-PPN)]]*Table43[[#This Row],[ISI/CTN]])</f>
        <v>0</v>
      </c>
      <c r="AU350" s="42">
        <f>Table43[[#This Row],[Harga Jual Pcs MT
(-PPN)]]*1.11</f>
        <v>0</v>
      </c>
      <c r="AV350" s="42">
        <f>Table43[[#This Row],[Harga Jual Pcs MT
(+PPN)]]*Table43[[#This Row],[ISI/CTN]]</f>
        <v>0</v>
      </c>
      <c r="AW350" s="47"/>
      <c r="AX350" s="7"/>
      <c r="AY350" s="7" t="str">
        <f ca="1">IF(TODAY()-Table43[[#This Row],[Efektif
Pembuatan]]&gt;60,"Lama","Baru")</f>
        <v>Lama</v>
      </c>
      <c r="AZ350" s="7" t="str">
        <f ca="1">IF(TODAY()-Table43[[#This Row],[Efektif Naik Harga]]&lt;30,"Naik","Sama")</f>
        <v>Sama</v>
      </c>
      <c r="BA350" s="7" t="str">
        <f>IF(Table43[[#This Row],[Kode BARANG Win2]]&lt;&gt;"","IDR","")</f>
        <v>IDR</v>
      </c>
      <c r="BB350" s="7" t="str">
        <f>CONCATENATE(Table43[[#This Row],[kode  1 Digit
(Nomor)]],Table43[[#This Row],[kode  4 Digit                (Nomor)]])</f>
        <v>10050</v>
      </c>
      <c r="BC350" s="7" t="str">
        <f>Table43[[#This Row],[Nama            Gramasi atau Jumlah Pack per CTN]]</f>
        <v>50ML</v>
      </c>
      <c r="BD350" s="7"/>
      <c r="BE350" s="7"/>
      <c r="BF350" s="4" t="str">
        <f>IF(Table43[[#This Row],[SATUAN Fix Win]]&lt;&gt;"","KRT")</f>
        <v>KRT</v>
      </c>
      <c r="BG350" s="4" t="str">
        <f>IF(Table43[[#This Row],[SATUAN Fix Win]]&lt;&gt;"","GD01")</f>
        <v>GD01</v>
      </c>
      <c r="BH350" s="4">
        <f>IF(Table43[[#This Row],[SATUAN Fix Win]]&lt;&gt;"",11611)</f>
        <v>11611</v>
      </c>
      <c r="BI350" s="4">
        <f>IF(Table43[[#This Row],[SATUAN Fix Win]]&lt;&gt;"",11612)</f>
        <v>11612</v>
      </c>
      <c r="BJ350" s="48"/>
      <c r="BK350" s="4">
        <f>IF(Table43[[#This Row],[SATUAN Fix Win]]&lt;&gt;"",1)</f>
        <v>1</v>
      </c>
    </row>
    <row r="351" spans="1:63">
      <c r="A351" s="4" t="str">
        <f>CONCATENATE(Table43[[#This Row],[Kode BARANG Win2]],Table43[[#This Row],[No. Urut
Item Sama]])</f>
        <v>K12100010100101</v>
      </c>
      <c r="B351" s="7">
        <v>1</v>
      </c>
      <c r="D351" s="28" t="s">
        <v>440</v>
      </c>
      <c r="E351" s="28"/>
      <c r="F351" s="28" t="s">
        <v>3131</v>
      </c>
      <c r="G351" s="78">
        <v>36</v>
      </c>
      <c r="H351" s="43"/>
      <c r="I351" s="28" t="str">
        <f>Table43[[#This Row],[Nama Jenis Kemasan]]</f>
        <v>BTL</v>
      </c>
      <c r="J351" s="4" t="str">
        <f>TRIM(CONCATENATE(Table43[[#This Row],[Nama            KLP]]," ",Table43[[#This Row],[Nama            Sub KLP]]))</f>
        <v>INSTANCE GEL HAND</v>
      </c>
      <c r="K351" s="4" t="str">
        <f>CONCATENATE(Table43[[#This Row],[kode  2 Digit                (hrf+No)]],Table43[[#This Row],[kode  2 Digit                (Nomor)]],Table43[[#This Row],[kode  1 Digit                (Nomor)]])</f>
        <v>K1210</v>
      </c>
      <c r="L351" s="4" t="str">
        <f t="shared" si="18"/>
        <v>K1210001010010</v>
      </c>
      <c r="M351" s="11">
        <f t="shared" si="19"/>
        <v>14</v>
      </c>
      <c r="N351" s="14" t="str">
        <f>IF(AF351&lt;&gt;"",TRIM(UPPER(CONCATENATE(P351," ",R351," ",T351," ",V351," ",X351," ",Z351," ","X"," ",Table43[[#This Row],[ISI/CTN]]," ",AF351," ",AB351," ",AD351," ",AH351))),TRIM(UPPER(CONCATENATE(P351," ",R351," ",T351," ",V351," ",X351," ",Z351," ","X"," ",Table43[[#This Row],[ISI/CTN]]," ",AB351," ",AD351," ",AH351))))</f>
        <v>KNF INSTANCE GEL HAND SANITIZER 100ML X 36 BTL</v>
      </c>
      <c r="O351" s="11">
        <f t="shared" si="20"/>
        <v>46</v>
      </c>
      <c r="P351" s="4" t="s">
        <v>97</v>
      </c>
      <c r="Q351" s="7" t="s">
        <v>98</v>
      </c>
      <c r="R351" s="4" t="s">
        <v>3815</v>
      </c>
      <c r="S351" s="44" t="s">
        <v>3577</v>
      </c>
      <c r="T351" s="45" t="s">
        <v>2961</v>
      </c>
      <c r="U351" s="7" t="s">
        <v>2900</v>
      </c>
      <c r="V351" s="45" t="s">
        <v>2961</v>
      </c>
      <c r="W351" s="44" t="s">
        <v>2900</v>
      </c>
      <c r="X351" s="4" t="s">
        <v>3816</v>
      </c>
      <c r="Y351" s="46" t="s">
        <v>0</v>
      </c>
      <c r="Z351" s="4" t="s">
        <v>3588</v>
      </c>
      <c r="AA351" s="46" t="s">
        <v>2487</v>
      </c>
      <c r="AB351" s="4" t="s">
        <v>357</v>
      </c>
      <c r="AC351" s="7" t="s">
        <v>2656</v>
      </c>
      <c r="AD351" s="4" t="s">
        <v>2961</v>
      </c>
      <c r="AE351" s="7" t="s">
        <v>2900</v>
      </c>
      <c r="AF351" s="7" t="s">
        <v>2961</v>
      </c>
      <c r="AG351" s="7" t="s">
        <v>2961</v>
      </c>
      <c r="AI351" s="7" t="s">
        <v>4100</v>
      </c>
      <c r="AJ351" s="7" t="s">
        <v>2656</v>
      </c>
      <c r="AK351" s="41">
        <f>Table43[[#This Row],[Harga Jual Pcs GT
(-PPN)]]-(Table43[[#This Row],[Harga Jual Pcs GT
(-PPN)]]*10%)</f>
        <v>0</v>
      </c>
      <c r="AL351" s="42">
        <f>Table43[[#This Row],[Harga Beli Pcs
(-PPN)]]*Table43[[#This Row],[ISI/CTN]]</f>
        <v>0</v>
      </c>
      <c r="AM351" s="42">
        <f>Table43[[#This Row],[Harga Beli Pcs
(-PPN)]]*1.11</f>
        <v>0</v>
      </c>
      <c r="AN351" s="42">
        <f>Table43[[#This Row],[Harga Beli Krt
(- PPN)]]*1.11</f>
        <v>0</v>
      </c>
      <c r="AO351" s="42"/>
      <c r="AP351" s="42">
        <f>Table43[[#This Row],[Harga Jual Pcs GT
(-PPN)]]*Table43[[#This Row],[ISI/CTN]]</f>
        <v>0</v>
      </c>
      <c r="AQ351" s="42">
        <f>Table43[[#This Row],[Harga Jual Pcs GT
(-PPN)]]*1.11</f>
        <v>0</v>
      </c>
      <c r="AR351" s="42">
        <f>Table43[[#This Row],[Harga Jual Krt GT
(- PPN)]]*1.11</f>
        <v>0</v>
      </c>
      <c r="AS351" s="42">
        <f>Table43[[#This Row],[Harga Jual Pcs GT
(-PPN)]]</f>
        <v>0</v>
      </c>
      <c r="AT351" s="42">
        <f>(Table43[[#This Row],[Harga Jual Pcs MT
(-PPN)]]*Table43[[#This Row],[ISI/CTN]])</f>
        <v>0</v>
      </c>
      <c r="AU351" s="42">
        <f>Table43[[#This Row],[Harga Jual Pcs MT
(-PPN)]]*1.11</f>
        <v>0</v>
      </c>
      <c r="AV351" s="42">
        <f>Table43[[#This Row],[Harga Jual Pcs MT
(+PPN)]]*Table43[[#This Row],[ISI/CTN]]</f>
        <v>0</v>
      </c>
      <c r="AW351" s="47"/>
      <c r="AX351" s="7"/>
      <c r="AY351" s="7" t="str">
        <f ca="1">IF(TODAY()-Table43[[#This Row],[Efektif
Pembuatan]]&gt;60,"Lama","Baru")</f>
        <v>Lama</v>
      </c>
      <c r="AZ351" s="7" t="str">
        <f ca="1">IF(TODAY()-Table43[[#This Row],[Efektif Naik Harga]]&lt;30,"Naik","Sama")</f>
        <v>Sama</v>
      </c>
      <c r="BA351" s="7" t="str">
        <f>IF(Table43[[#This Row],[Kode BARANG Win2]]&lt;&gt;"","IDR","")</f>
        <v>IDR</v>
      </c>
      <c r="BB351" s="7" t="str">
        <f>CONCATENATE(Table43[[#This Row],[kode  1 Digit
(Nomor)]],Table43[[#This Row],[kode  4 Digit                (Nomor)]])</f>
        <v>10100</v>
      </c>
      <c r="BC351" s="7" t="str">
        <f>Table43[[#This Row],[Nama            Gramasi atau Jumlah Pack per CTN]]</f>
        <v>100ML</v>
      </c>
      <c r="BD351" s="7"/>
      <c r="BE351" s="7"/>
      <c r="BF351" s="4" t="str">
        <f>IF(Table43[[#This Row],[SATUAN Fix Win]]&lt;&gt;"","KRT")</f>
        <v>KRT</v>
      </c>
      <c r="BG351" s="4" t="str">
        <f>IF(Table43[[#This Row],[SATUAN Fix Win]]&lt;&gt;"","GD01")</f>
        <v>GD01</v>
      </c>
      <c r="BH351" s="4">
        <f>IF(Table43[[#This Row],[SATUAN Fix Win]]&lt;&gt;"",11611)</f>
        <v>11611</v>
      </c>
      <c r="BI351" s="4">
        <f>IF(Table43[[#This Row],[SATUAN Fix Win]]&lt;&gt;"",11612)</f>
        <v>11612</v>
      </c>
      <c r="BJ351" s="48"/>
      <c r="BK351" s="4">
        <f>IF(Table43[[#This Row],[SATUAN Fix Win]]&lt;&gt;"",1)</f>
        <v>1</v>
      </c>
    </row>
    <row r="352" spans="1:63">
      <c r="A352" s="4" t="str">
        <f>CONCATENATE(Table43[[#This Row],[Kode BARANG Win2]],Table43[[#This Row],[No. Urut
Item Sama]])</f>
        <v>K12100010500101</v>
      </c>
      <c r="B352" s="7">
        <v>1</v>
      </c>
      <c r="D352" s="28" t="s">
        <v>441</v>
      </c>
      <c r="E352" s="28"/>
      <c r="F352" s="28" t="s">
        <v>3132</v>
      </c>
      <c r="G352" s="78">
        <v>12</v>
      </c>
      <c r="H352" s="43"/>
      <c r="I352" s="28" t="str">
        <f>Table43[[#This Row],[Nama Jenis Kemasan]]</f>
        <v>BTL</v>
      </c>
      <c r="J352" s="4" t="str">
        <f>TRIM(CONCATENATE(Table43[[#This Row],[Nama            KLP]]," ",Table43[[#This Row],[Nama            Sub KLP]]))</f>
        <v>INSTANCE GEL HAND</v>
      </c>
      <c r="K352" s="4" t="str">
        <f>CONCATENATE(Table43[[#This Row],[kode  2 Digit                (hrf+No)]],Table43[[#This Row],[kode  2 Digit                (Nomor)]],Table43[[#This Row],[kode  1 Digit                (Nomor)]])</f>
        <v>K1210</v>
      </c>
      <c r="L352" s="4" t="str">
        <f t="shared" si="18"/>
        <v>K1210001050010</v>
      </c>
      <c r="M352" s="11">
        <f t="shared" si="19"/>
        <v>14</v>
      </c>
      <c r="N352" s="14" t="str">
        <f>IF(AF352&lt;&gt;"",TRIM(UPPER(CONCATENATE(P352," ",R352," ",T352," ",V352," ",X352," ",Z352," ","X"," ",Table43[[#This Row],[ISI/CTN]]," ",AF352," ",AB352," ",AD352," ",AH352))),TRIM(UPPER(CONCATENATE(P352," ",R352," ",T352," ",V352," ",X352," ",Z352," ","X"," ",Table43[[#This Row],[ISI/CTN]]," ",AB352," ",AD352," ",AH352))))</f>
        <v>KNF INSTANCE GEL HAND SANITIZER 500ML X 12 BTL</v>
      </c>
      <c r="O352" s="11">
        <f t="shared" si="20"/>
        <v>46</v>
      </c>
      <c r="P352" s="4" t="s">
        <v>97</v>
      </c>
      <c r="Q352" s="7" t="s">
        <v>98</v>
      </c>
      <c r="R352" s="4" t="s">
        <v>3815</v>
      </c>
      <c r="S352" s="44" t="s">
        <v>3577</v>
      </c>
      <c r="T352" s="45" t="s">
        <v>2961</v>
      </c>
      <c r="U352" s="7" t="s">
        <v>2900</v>
      </c>
      <c r="V352" s="45" t="s">
        <v>2961</v>
      </c>
      <c r="W352" s="44" t="s">
        <v>2900</v>
      </c>
      <c r="X352" s="4" t="s">
        <v>3816</v>
      </c>
      <c r="Y352" s="46" t="s">
        <v>0</v>
      </c>
      <c r="Z352" s="4" t="s">
        <v>3771</v>
      </c>
      <c r="AA352" s="46" t="s">
        <v>2503</v>
      </c>
      <c r="AB352" s="4" t="s">
        <v>357</v>
      </c>
      <c r="AC352" s="7" t="s">
        <v>2656</v>
      </c>
      <c r="AD352" s="4" t="s">
        <v>2961</v>
      </c>
      <c r="AE352" s="7" t="s">
        <v>2900</v>
      </c>
      <c r="AF352" s="7" t="s">
        <v>2961</v>
      </c>
      <c r="AG352" s="7" t="s">
        <v>2961</v>
      </c>
      <c r="AI352" s="7" t="s">
        <v>4100</v>
      </c>
      <c r="AJ352" s="7" t="s">
        <v>2656</v>
      </c>
      <c r="AK352" s="41">
        <f>Table43[[#This Row],[Harga Jual Pcs GT
(-PPN)]]-(Table43[[#This Row],[Harga Jual Pcs GT
(-PPN)]]*10%)</f>
        <v>0</v>
      </c>
      <c r="AL352" s="42">
        <f>Table43[[#This Row],[Harga Beli Pcs
(-PPN)]]*Table43[[#This Row],[ISI/CTN]]</f>
        <v>0</v>
      </c>
      <c r="AM352" s="42">
        <f>Table43[[#This Row],[Harga Beli Pcs
(-PPN)]]*1.11</f>
        <v>0</v>
      </c>
      <c r="AN352" s="42">
        <f>Table43[[#This Row],[Harga Beli Krt
(- PPN)]]*1.11</f>
        <v>0</v>
      </c>
      <c r="AO352" s="42"/>
      <c r="AP352" s="42">
        <f>Table43[[#This Row],[Harga Jual Pcs GT
(-PPN)]]*Table43[[#This Row],[ISI/CTN]]</f>
        <v>0</v>
      </c>
      <c r="AQ352" s="42">
        <f>Table43[[#This Row],[Harga Jual Pcs GT
(-PPN)]]*1.11</f>
        <v>0</v>
      </c>
      <c r="AR352" s="42">
        <f>Table43[[#This Row],[Harga Jual Krt GT
(- PPN)]]*1.11</f>
        <v>0</v>
      </c>
      <c r="AS352" s="42">
        <f>Table43[[#This Row],[Harga Jual Pcs GT
(-PPN)]]</f>
        <v>0</v>
      </c>
      <c r="AT352" s="42">
        <f>(Table43[[#This Row],[Harga Jual Pcs MT
(-PPN)]]*Table43[[#This Row],[ISI/CTN]])</f>
        <v>0</v>
      </c>
      <c r="AU352" s="42">
        <f>Table43[[#This Row],[Harga Jual Pcs MT
(-PPN)]]*1.11</f>
        <v>0</v>
      </c>
      <c r="AV352" s="42">
        <f>Table43[[#This Row],[Harga Jual Pcs MT
(+PPN)]]*Table43[[#This Row],[ISI/CTN]]</f>
        <v>0</v>
      </c>
      <c r="AW352" s="47"/>
      <c r="AX352" s="7"/>
      <c r="AY352" s="7" t="str">
        <f ca="1">IF(TODAY()-Table43[[#This Row],[Efektif
Pembuatan]]&gt;60,"Lama","Baru")</f>
        <v>Lama</v>
      </c>
      <c r="AZ352" s="7" t="str">
        <f ca="1">IF(TODAY()-Table43[[#This Row],[Efektif Naik Harga]]&lt;30,"Naik","Sama")</f>
        <v>Sama</v>
      </c>
      <c r="BA352" s="7" t="str">
        <f>IF(Table43[[#This Row],[Kode BARANG Win2]]&lt;&gt;"","IDR","")</f>
        <v>IDR</v>
      </c>
      <c r="BB352" s="7" t="str">
        <f>CONCATENATE(Table43[[#This Row],[kode  1 Digit
(Nomor)]],Table43[[#This Row],[kode  4 Digit                (Nomor)]])</f>
        <v>10500</v>
      </c>
      <c r="BC352" s="7" t="str">
        <f>Table43[[#This Row],[Nama            Gramasi atau Jumlah Pack per CTN]]</f>
        <v>500ML</v>
      </c>
      <c r="BD352" s="7"/>
      <c r="BE352" s="7"/>
      <c r="BF352" s="4" t="str">
        <f>IF(Table43[[#This Row],[SATUAN Fix Win]]&lt;&gt;"","KRT")</f>
        <v>KRT</v>
      </c>
      <c r="BG352" s="4" t="str">
        <f>IF(Table43[[#This Row],[SATUAN Fix Win]]&lt;&gt;"","GD01")</f>
        <v>GD01</v>
      </c>
      <c r="BH352" s="4">
        <f>IF(Table43[[#This Row],[SATUAN Fix Win]]&lt;&gt;"",11611)</f>
        <v>11611</v>
      </c>
      <c r="BI352" s="4">
        <f>IF(Table43[[#This Row],[SATUAN Fix Win]]&lt;&gt;"",11612)</f>
        <v>11612</v>
      </c>
      <c r="BJ352" s="48"/>
      <c r="BK352" s="4">
        <f>IF(Table43[[#This Row],[SATUAN Fix Win]]&lt;&gt;"",1)</f>
        <v>1</v>
      </c>
    </row>
    <row r="353" spans="1:63">
      <c r="A353" s="4" t="str">
        <f>CONCATENATE(Table43[[#This Row],[Kode BARANG Win2]],Table43[[#This Row],[No. Urut
Item Sama]])</f>
        <v>K12100011004201</v>
      </c>
      <c r="B353" s="7">
        <v>1</v>
      </c>
      <c r="D353" s="28" t="s">
        <v>443</v>
      </c>
      <c r="E353" s="28"/>
      <c r="F353" s="28" t="s">
        <v>3133</v>
      </c>
      <c r="G353" s="78">
        <v>4</v>
      </c>
      <c r="H353" s="43"/>
      <c r="I353" s="28" t="str">
        <f>Table43[[#This Row],[Nama Jenis Kemasan]]</f>
        <v>JRG</v>
      </c>
      <c r="J353" s="4" t="str">
        <f>TRIM(CONCATENATE(Table43[[#This Row],[Nama            KLP]]," ",Table43[[#This Row],[Nama            Sub KLP]]))</f>
        <v>INSTANCE GEL HAND</v>
      </c>
      <c r="K353" s="4" t="str">
        <f>CONCATENATE(Table43[[#This Row],[kode  2 Digit                (hrf+No)]],Table43[[#This Row],[kode  2 Digit                (Nomor)]],Table43[[#This Row],[kode  1 Digit                (Nomor)]])</f>
        <v>K1210</v>
      </c>
      <c r="L353" s="4" t="str">
        <f t="shared" si="18"/>
        <v>K1210001100420</v>
      </c>
      <c r="M353" s="11">
        <f t="shared" si="19"/>
        <v>14</v>
      </c>
      <c r="N353" s="14" t="str">
        <f>IF(AF353&lt;&gt;"",TRIM(UPPER(CONCATENATE(P353," ",R353," ",T353," ",V353," ",X353," ",Z353," ","X"," ",Table43[[#This Row],[ISI/CTN]]," ",AF353," ",AB353," ",AD353," ",AH353))),TRIM(UPPER(CONCATENATE(P353," ",R353," ",T353," ",V353," ",X353," ",Z353," ","X"," ",Table43[[#This Row],[ISI/CTN]]," ",AB353," ",AD353," ",AH353))))</f>
        <v>KNF INSTANCE GEL HAND SANITIZER 4L X 4 JRG</v>
      </c>
      <c r="O353" s="11">
        <f t="shared" si="20"/>
        <v>42</v>
      </c>
      <c r="P353" s="4" t="s">
        <v>97</v>
      </c>
      <c r="Q353" s="7" t="s">
        <v>98</v>
      </c>
      <c r="R353" s="4" t="s">
        <v>3815</v>
      </c>
      <c r="S353" s="44" t="s">
        <v>3577</v>
      </c>
      <c r="T353" s="45" t="s">
        <v>2961</v>
      </c>
      <c r="U353" s="7" t="s">
        <v>2900</v>
      </c>
      <c r="V353" s="45" t="s">
        <v>2961</v>
      </c>
      <c r="W353" s="44" t="s">
        <v>2900</v>
      </c>
      <c r="X353" s="4" t="s">
        <v>3816</v>
      </c>
      <c r="Y353" s="46" t="s">
        <v>0</v>
      </c>
      <c r="Z353" s="4" t="s">
        <v>3817</v>
      </c>
      <c r="AA353" s="46" t="s">
        <v>3818</v>
      </c>
      <c r="AB353" s="4" t="s">
        <v>358</v>
      </c>
      <c r="AC353" s="7" t="s">
        <v>3562</v>
      </c>
      <c r="AD353" s="4" t="s">
        <v>2961</v>
      </c>
      <c r="AE353" s="7" t="s">
        <v>2900</v>
      </c>
      <c r="AF353" s="7" t="s">
        <v>2961</v>
      </c>
      <c r="AG353" s="7" t="s">
        <v>2961</v>
      </c>
      <c r="AI353" s="7" t="s">
        <v>4100</v>
      </c>
      <c r="AJ353" s="7" t="s">
        <v>2656</v>
      </c>
      <c r="AK353" s="41">
        <f>Table43[[#This Row],[Harga Jual Pcs GT
(-PPN)]]-(Table43[[#This Row],[Harga Jual Pcs GT
(-PPN)]]*10%)</f>
        <v>0</v>
      </c>
      <c r="AL353" s="42">
        <f>Table43[[#This Row],[Harga Beli Pcs
(-PPN)]]*Table43[[#This Row],[ISI/CTN]]</f>
        <v>0</v>
      </c>
      <c r="AM353" s="42">
        <f>Table43[[#This Row],[Harga Beli Pcs
(-PPN)]]*1.11</f>
        <v>0</v>
      </c>
      <c r="AN353" s="42">
        <f>Table43[[#This Row],[Harga Beli Krt
(- PPN)]]*1.11</f>
        <v>0</v>
      </c>
      <c r="AO353" s="42"/>
      <c r="AP353" s="42">
        <f>Table43[[#This Row],[Harga Jual Pcs GT
(-PPN)]]*Table43[[#This Row],[ISI/CTN]]</f>
        <v>0</v>
      </c>
      <c r="AQ353" s="42">
        <f>Table43[[#This Row],[Harga Jual Pcs GT
(-PPN)]]*1.11</f>
        <v>0</v>
      </c>
      <c r="AR353" s="42">
        <f>Table43[[#This Row],[Harga Jual Krt GT
(- PPN)]]*1.11</f>
        <v>0</v>
      </c>
      <c r="AS353" s="42">
        <f>Table43[[#This Row],[Harga Jual Pcs GT
(-PPN)]]</f>
        <v>0</v>
      </c>
      <c r="AT353" s="42">
        <f>(Table43[[#This Row],[Harga Jual Pcs MT
(-PPN)]]*Table43[[#This Row],[ISI/CTN]])</f>
        <v>0</v>
      </c>
      <c r="AU353" s="42">
        <f>Table43[[#This Row],[Harga Jual Pcs MT
(-PPN)]]*1.11</f>
        <v>0</v>
      </c>
      <c r="AV353" s="42">
        <f>Table43[[#This Row],[Harga Jual Pcs MT
(+PPN)]]*Table43[[#This Row],[ISI/CTN]]</f>
        <v>0</v>
      </c>
      <c r="AW353" s="47"/>
      <c r="AX353" s="7"/>
      <c r="AY353" s="7" t="str">
        <f ca="1">IF(TODAY()-Table43[[#This Row],[Efektif
Pembuatan]]&gt;60,"Lama","Baru")</f>
        <v>Lama</v>
      </c>
      <c r="AZ353" s="7" t="str">
        <f ca="1">IF(TODAY()-Table43[[#This Row],[Efektif Naik Harga]]&lt;30,"Naik","Sama")</f>
        <v>Sama</v>
      </c>
      <c r="BA353" s="7" t="str">
        <f>IF(Table43[[#This Row],[Kode BARANG Win2]]&lt;&gt;"","IDR","")</f>
        <v>IDR</v>
      </c>
      <c r="BB353" s="7" t="str">
        <f>CONCATENATE(Table43[[#This Row],[kode  1 Digit
(Nomor)]],Table43[[#This Row],[kode  4 Digit                (Nomor)]])</f>
        <v>11004</v>
      </c>
      <c r="BC353" s="7" t="str">
        <f>Table43[[#This Row],[Nama            Gramasi atau Jumlah Pack per CTN]]</f>
        <v>4L</v>
      </c>
      <c r="BD353" s="7"/>
      <c r="BE353" s="7"/>
      <c r="BF353" s="4" t="str">
        <f>IF(Table43[[#This Row],[SATUAN Fix Win]]&lt;&gt;"","KRT")</f>
        <v>KRT</v>
      </c>
      <c r="BG353" s="4" t="str">
        <f>IF(Table43[[#This Row],[SATUAN Fix Win]]&lt;&gt;"","GD01")</f>
        <v>GD01</v>
      </c>
      <c r="BH353" s="4">
        <f>IF(Table43[[#This Row],[SATUAN Fix Win]]&lt;&gt;"",11611)</f>
        <v>11611</v>
      </c>
      <c r="BI353" s="4">
        <f>IF(Table43[[#This Row],[SATUAN Fix Win]]&lt;&gt;"",11612)</f>
        <v>11612</v>
      </c>
      <c r="BJ353" s="48"/>
      <c r="BK353" s="4">
        <f>IF(Table43[[#This Row],[SATUAN Fix Win]]&lt;&gt;"",1)</f>
        <v>1</v>
      </c>
    </row>
    <row r="354" spans="1:63">
      <c r="A354" s="4" t="str">
        <f>CONCATENATE(Table43[[#This Row],[Kode BARANG Win2]],Table43[[#This Row],[No. Urut
Item Sama]])</f>
        <v>K12200010018101</v>
      </c>
      <c r="B354" s="7">
        <v>1</v>
      </c>
      <c r="D354" s="28" t="s">
        <v>444</v>
      </c>
      <c r="E354" s="28"/>
      <c r="F354" s="28" t="s">
        <v>3134</v>
      </c>
      <c r="G354" s="78">
        <v>72</v>
      </c>
      <c r="H354" s="43"/>
      <c r="I354" s="28" t="str">
        <f>Table43[[#This Row],[Nama Jenis Kemasan]]</f>
        <v>BTL</v>
      </c>
      <c r="J354" s="4" t="str">
        <f>TRIM(CONCATENATE(Table43[[#This Row],[Nama            KLP]]," ",Table43[[#This Row],[Nama            Sub KLP]]))</f>
        <v>INSTANCE LIQ HAND</v>
      </c>
      <c r="K354" s="4" t="str">
        <f>CONCATENATE(Table43[[#This Row],[kode  2 Digit                (hrf+No)]],Table43[[#This Row],[kode  2 Digit                (Nomor)]],Table43[[#This Row],[kode  1 Digit                (Nomor)]])</f>
        <v>K1220</v>
      </c>
      <c r="L354" s="4" t="str">
        <f t="shared" si="18"/>
        <v>K1220001001810</v>
      </c>
      <c r="M354" s="11">
        <f t="shared" si="19"/>
        <v>14</v>
      </c>
      <c r="N354" s="14" t="str">
        <f>IF(AF354&lt;&gt;"",TRIM(UPPER(CONCATENATE(P354," ",R354," ",T354," ",V354," ",X354," ",Z354," ","X"," ",Table43[[#This Row],[ISI/CTN]]," ",AF354," ",AB354," ",AD354," ",AH354))),TRIM(UPPER(CONCATENATE(P354," ",R354," ",T354," ",V354," ",X354," ",Z354," ","X"," ",Table43[[#This Row],[ISI/CTN]]," ",AB354," ",AD354," ",AH354))))</f>
        <v>KNF INSTANCE LIQ HAND SANITIZER 18ML X 72 BTL</v>
      </c>
      <c r="O354" s="11">
        <f t="shared" si="20"/>
        <v>45</v>
      </c>
      <c r="P354" s="4" t="s">
        <v>97</v>
      </c>
      <c r="Q354" s="7" t="s">
        <v>98</v>
      </c>
      <c r="R354" s="4" t="s">
        <v>3819</v>
      </c>
      <c r="S354" s="44" t="s">
        <v>3578</v>
      </c>
      <c r="T354" s="45" t="s">
        <v>2961</v>
      </c>
      <c r="U354" s="7" t="s">
        <v>2900</v>
      </c>
      <c r="V354" s="45" t="s">
        <v>2961</v>
      </c>
      <c r="W354" s="44" t="s">
        <v>2900</v>
      </c>
      <c r="X354" s="4" t="s">
        <v>3816</v>
      </c>
      <c r="Y354" s="46" t="s">
        <v>0</v>
      </c>
      <c r="Z354" s="4" t="s">
        <v>3764</v>
      </c>
      <c r="AA354" s="46" t="s">
        <v>2493</v>
      </c>
      <c r="AB354" s="4" t="s">
        <v>357</v>
      </c>
      <c r="AC354" s="7" t="s">
        <v>2656</v>
      </c>
      <c r="AD354" s="4" t="s">
        <v>2961</v>
      </c>
      <c r="AE354" s="7" t="s">
        <v>2900</v>
      </c>
      <c r="AF354" s="7" t="s">
        <v>2961</v>
      </c>
      <c r="AG354" s="7" t="s">
        <v>2961</v>
      </c>
      <c r="AI354" s="7" t="s">
        <v>4100</v>
      </c>
      <c r="AJ354" s="7" t="s">
        <v>2656</v>
      </c>
      <c r="AK354" s="41">
        <f>Table43[[#This Row],[Harga Jual Pcs GT
(-PPN)]]-(Table43[[#This Row],[Harga Jual Pcs GT
(-PPN)]]*10%)</f>
        <v>0</v>
      </c>
      <c r="AL354" s="42">
        <f>Table43[[#This Row],[Harga Beli Pcs
(-PPN)]]*Table43[[#This Row],[ISI/CTN]]</f>
        <v>0</v>
      </c>
      <c r="AM354" s="42">
        <f>Table43[[#This Row],[Harga Beli Pcs
(-PPN)]]*1.11</f>
        <v>0</v>
      </c>
      <c r="AN354" s="42">
        <f>Table43[[#This Row],[Harga Beli Krt
(- PPN)]]*1.11</f>
        <v>0</v>
      </c>
      <c r="AO354" s="42"/>
      <c r="AP354" s="42">
        <f>Table43[[#This Row],[Harga Jual Pcs GT
(-PPN)]]*Table43[[#This Row],[ISI/CTN]]</f>
        <v>0</v>
      </c>
      <c r="AQ354" s="42">
        <f>Table43[[#This Row],[Harga Jual Pcs GT
(-PPN)]]*1.11</f>
        <v>0</v>
      </c>
      <c r="AR354" s="42">
        <f>Table43[[#This Row],[Harga Jual Krt GT
(- PPN)]]*1.11</f>
        <v>0</v>
      </c>
      <c r="AS354" s="42">
        <f>Table43[[#This Row],[Harga Jual Pcs GT
(-PPN)]]</f>
        <v>0</v>
      </c>
      <c r="AT354" s="42">
        <f>(Table43[[#This Row],[Harga Jual Pcs MT
(-PPN)]]*Table43[[#This Row],[ISI/CTN]])</f>
        <v>0</v>
      </c>
      <c r="AU354" s="42">
        <f>Table43[[#This Row],[Harga Jual Pcs MT
(-PPN)]]*1.11</f>
        <v>0</v>
      </c>
      <c r="AV354" s="42">
        <f>Table43[[#This Row],[Harga Jual Pcs MT
(+PPN)]]*Table43[[#This Row],[ISI/CTN]]</f>
        <v>0</v>
      </c>
      <c r="AW354" s="47"/>
      <c r="AX354" s="7"/>
      <c r="AY354" s="7" t="str">
        <f ca="1">IF(TODAY()-Table43[[#This Row],[Efektif
Pembuatan]]&gt;60,"Lama","Baru")</f>
        <v>Lama</v>
      </c>
      <c r="AZ354" s="7" t="str">
        <f ca="1">IF(TODAY()-Table43[[#This Row],[Efektif Naik Harga]]&lt;30,"Naik","Sama")</f>
        <v>Sama</v>
      </c>
      <c r="BA354" s="7" t="str">
        <f>IF(Table43[[#This Row],[Kode BARANG Win2]]&lt;&gt;"","IDR","")</f>
        <v>IDR</v>
      </c>
      <c r="BB354" s="7" t="str">
        <f>CONCATENATE(Table43[[#This Row],[kode  1 Digit
(Nomor)]],Table43[[#This Row],[kode  4 Digit                (Nomor)]])</f>
        <v>10018</v>
      </c>
      <c r="BC354" s="7" t="str">
        <f>Table43[[#This Row],[Nama            Gramasi atau Jumlah Pack per CTN]]</f>
        <v>18ML</v>
      </c>
      <c r="BD354" s="7"/>
      <c r="BE354" s="7"/>
      <c r="BF354" s="4" t="str">
        <f>IF(Table43[[#This Row],[SATUAN Fix Win]]&lt;&gt;"","KRT")</f>
        <v>KRT</v>
      </c>
      <c r="BG354" s="4" t="str">
        <f>IF(Table43[[#This Row],[SATUAN Fix Win]]&lt;&gt;"","GD01")</f>
        <v>GD01</v>
      </c>
      <c r="BH354" s="4">
        <f>IF(Table43[[#This Row],[SATUAN Fix Win]]&lt;&gt;"",11611)</f>
        <v>11611</v>
      </c>
      <c r="BI354" s="4">
        <f>IF(Table43[[#This Row],[SATUAN Fix Win]]&lt;&gt;"",11612)</f>
        <v>11612</v>
      </c>
      <c r="BJ354" s="48"/>
      <c r="BK354" s="4">
        <f>IF(Table43[[#This Row],[SATUAN Fix Win]]&lt;&gt;"",1)</f>
        <v>1</v>
      </c>
    </row>
    <row r="355" spans="1:63">
      <c r="A355" s="4" t="str">
        <f>CONCATENATE(Table43[[#This Row],[Kode BARANG Win2]],Table43[[#This Row],[No. Urut
Item Sama]])</f>
        <v>K12200010060101</v>
      </c>
      <c r="B355" s="7">
        <v>1</v>
      </c>
      <c r="D355" s="28" t="s">
        <v>446</v>
      </c>
      <c r="E355" s="28"/>
      <c r="F355" s="28" t="s">
        <v>3135</v>
      </c>
      <c r="G355" s="78">
        <v>36</v>
      </c>
      <c r="H355" s="43"/>
      <c r="I355" s="28" t="str">
        <f>Table43[[#This Row],[Nama Jenis Kemasan]]</f>
        <v>BTL</v>
      </c>
      <c r="J355" s="4" t="str">
        <f>TRIM(CONCATENATE(Table43[[#This Row],[Nama            KLP]]," ",Table43[[#This Row],[Nama            Sub KLP]]))</f>
        <v>INSTANCE LIQ HAND</v>
      </c>
      <c r="K355" s="4" t="str">
        <f>CONCATENATE(Table43[[#This Row],[kode  2 Digit                (hrf+No)]],Table43[[#This Row],[kode  2 Digit                (Nomor)]],Table43[[#This Row],[kode  1 Digit                (Nomor)]])</f>
        <v>K1220</v>
      </c>
      <c r="L355" s="4" t="str">
        <f t="shared" si="18"/>
        <v>K1220001006010</v>
      </c>
      <c r="M355" s="11">
        <f t="shared" si="19"/>
        <v>14</v>
      </c>
      <c r="N355" s="14" t="str">
        <f>IF(AF355&lt;&gt;"",TRIM(UPPER(CONCATENATE(P355," ",R355," ",T355," ",V355," ",X355," ",Z355," ","X"," ",Table43[[#This Row],[ISI/CTN]]," ",AF355," ",AB355," ",AD355," ",AH355))),TRIM(UPPER(CONCATENATE(P355," ",R355," ",T355," ",V355," ",X355," ",Z355," ","X"," ",Table43[[#This Row],[ISI/CTN]]," ",AB355," ",AD355," ",AH355))))</f>
        <v>KNF INSTANCE LIQ HAND SANITIZER 60ML X 36 BTL</v>
      </c>
      <c r="O355" s="11">
        <f t="shared" si="20"/>
        <v>45</v>
      </c>
      <c r="P355" s="4" t="s">
        <v>97</v>
      </c>
      <c r="Q355" s="7" t="s">
        <v>98</v>
      </c>
      <c r="R355" s="4" t="s">
        <v>3819</v>
      </c>
      <c r="S355" s="44" t="s">
        <v>3578</v>
      </c>
      <c r="T355" s="45" t="s">
        <v>2961</v>
      </c>
      <c r="U355" s="7" t="s">
        <v>2900</v>
      </c>
      <c r="V355" s="45" t="s">
        <v>2961</v>
      </c>
      <c r="W355" s="44" t="s">
        <v>2900</v>
      </c>
      <c r="X355" s="4" t="s">
        <v>3816</v>
      </c>
      <c r="Y355" s="46" t="s">
        <v>0</v>
      </c>
      <c r="Z355" s="4" t="s">
        <v>1026</v>
      </c>
      <c r="AA355" s="46" t="s">
        <v>2481</v>
      </c>
      <c r="AB355" s="4" t="s">
        <v>357</v>
      </c>
      <c r="AC355" s="7" t="s">
        <v>2656</v>
      </c>
      <c r="AD355" s="4" t="s">
        <v>2961</v>
      </c>
      <c r="AE355" s="7" t="s">
        <v>2900</v>
      </c>
      <c r="AF355" s="7" t="s">
        <v>2961</v>
      </c>
      <c r="AG355" s="7" t="s">
        <v>2961</v>
      </c>
      <c r="AI355" s="7" t="s">
        <v>4100</v>
      </c>
      <c r="AJ355" s="7" t="s">
        <v>2656</v>
      </c>
      <c r="AK355" s="41">
        <f>Table43[[#This Row],[Harga Jual Pcs GT
(-PPN)]]-(Table43[[#This Row],[Harga Jual Pcs GT
(-PPN)]]*10%)</f>
        <v>0</v>
      </c>
      <c r="AL355" s="42">
        <f>Table43[[#This Row],[Harga Beli Pcs
(-PPN)]]*Table43[[#This Row],[ISI/CTN]]</f>
        <v>0</v>
      </c>
      <c r="AM355" s="42">
        <f>Table43[[#This Row],[Harga Beli Pcs
(-PPN)]]*1.11</f>
        <v>0</v>
      </c>
      <c r="AN355" s="42">
        <f>Table43[[#This Row],[Harga Beli Krt
(- PPN)]]*1.11</f>
        <v>0</v>
      </c>
      <c r="AO355" s="42"/>
      <c r="AP355" s="42">
        <f>Table43[[#This Row],[Harga Jual Pcs GT
(-PPN)]]*Table43[[#This Row],[ISI/CTN]]</f>
        <v>0</v>
      </c>
      <c r="AQ355" s="42">
        <f>Table43[[#This Row],[Harga Jual Pcs GT
(-PPN)]]*1.11</f>
        <v>0</v>
      </c>
      <c r="AR355" s="42">
        <f>Table43[[#This Row],[Harga Jual Krt GT
(- PPN)]]*1.11</f>
        <v>0</v>
      </c>
      <c r="AS355" s="42">
        <f>Table43[[#This Row],[Harga Jual Pcs GT
(-PPN)]]</f>
        <v>0</v>
      </c>
      <c r="AT355" s="42">
        <f>(Table43[[#This Row],[Harga Jual Pcs MT
(-PPN)]]*Table43[[#This Row],[ISI/CTN]])</f>
        <v>0</v>
      </c>
      <c r="AU355" s="42">
        <f>Table43[[#This Row],[Harga Jual Pcs MT
(-PPN)]]*1.11</f>
        <v>0</v>
      </c>
      <c r="AV355" s="42">
        <f>Table43[[#This Row],[Harga Jual Pcs MT
(+PPN)]]*Table43[[#This Row],[ISI/CTN]]</f>
        <v>0</v>
      </c>
      <c r="AW355" s="47"/>
      <c r="AX355" s="7"/>
      <c r="AY355" s="7" t="str">
        <f ca="1">IF(TODAY()-Table43[[#This Row],[Efektif
Pembuatan]]&gt;60,"Lama","Baru")</f>
        <v>Lama</v>
      </c>
      <c r="AZ355" s="7" t="str">
        <f ca="1">IF(TODAY()-Table43[[#This Row],[Efektif Naik Harga]]&lt;30,"Naik","Sama")</f>
        <v>Sama</v>
      </c>
      <c r="BA355" s="7" t="str">
        <f>IF(Table43[[#This Row],[Kode BARANG Win2]]&lt;&gt;"","IDR","")</f>
        <v>IDR</v>
      </c>
      <c r="BB355" s="7" t="str">
        <f>CONCATENATE(Table43[[#This Row],[kode  1 Digit
(Nomor)]],Table43[[#This Row],[kode  4 Digit                (Nomor)]])</f>
        <v>10060</v>
      </c>
      <c r="BC355" s="7" t="str">
        <f>Table43[[#This Row],[Nama            Gramasi atau Jumlah Pack per CTN]]</f>
        <v>60ML</v>
      </c>
      <c r="BD355" s="7"/>
      <c r="BE355" s="7"/>
      <c r="BF355" s="4" t="str">
        <f>IF(Table43[[#This Row],[SATUAN Fix Win]]&lt;&gt;"","KRT")</f>
        <v>KRT</v>
      </c>
      <c r="BG355" s="4" t="str">
        <f>IF(Table43[[#This Row],[SATUAN Fix Win]]&lt;&gt;"","GD01")</f>
        <v>GD01</v>
      </c>
      <c r="BH355" s="4">
        <f>IF(Table43[[#This Row],[SATUAN Fix Win]]&lt;&gt;"",11611)</f>
        <v>11611</v>
      </c>
      <c r="BI355" s="4">
        <f>IF(Table43[[#This Row],[SATUAN Fix Win]]&lt;&gt;"",11612)</f>
        <v>11612</v>
      </c>
      <c r="BJ355" s="48"/>
      <c r="BK355" s="4">
        <f>IF(Table43[[#This Row],[SATUAN Fix Win]]&lt;&gt;"",1)</f>
        <v>1</v>
      </c>
    </row>
    <row r="356" spans="1:63">
      <c r="A356" s="4" t="str">
        <f>CONCATENATE(Table43[[#This Row],[Kode BARANG Win2]],Table43[[#This Row],[No. Urut
Item Sama]])</f>
        <v>K12200010100101</v>
      </c>
      <c r="B356" s="7">
        <v>1</v>
      </c>
      <c r="D356" s="28" t="s">
        <v>447</v>
      </c>
      <c r="E356" s="28"/>
      <c r="F356" s="28" t="s">
        <v>3136</v>
      </c>
      <c r="G356" s="78">
        <v>24</v>
      </c>
      <c r="H356" s="43"/>
      <c r="I356" s="28" t="str">
        <f>Table43[[#This Row],[Nama Jenis Kemasan]]</f>
        <v>BTL</v>
      </c>
      <c r="J356" s="4" t="str">
        <f>TRIM(CONCATENATE(Table43[[#This Row],[Nama            KLP]]," ",Table43[[#This Row],[Nama            Sub KLP]]))</f>
        <v>INSTANCE LIQ HAND</v>
      </c>
      <c r="K356" s="4" t="str">
        <f>CONCATENATE(Table43[[#This Row],[kode  2 Digit                (hrf+No)]],Table43[[#This Row],[kode  2 Digit                (Nomor)]],Table43[[#This Row],[kode  1 Digit                (Nomor)]])</f>
        <v>K1220</v>
      </c>
      <c r="L356" s="4" t="str">
        <f t="shared" si="18"/>
        <v>K1220001010010</v>
      </c>
      <c r="M356" s="11">
        <f t="shared" si="19"/>
        <v>14</v>
      </c>
      <c r="N356" s="14" t="str">
        <f>IF(AF356&lt;&gt;"",TRIM(UPPER(CONCATENATE(P356," ",R356," ",T356," ",V356," ",X356," ",Z356," ","X"," ",Table43[[#This Row],[ISI/CTN]]," ",AF356," ",AB356," ",AD356," ",AH356))),TRIM(UPPER(CONCATENATE(P356," ",R356," ",T356," ",V356," ",X356," ",Z356," ","X"," ",Table43[[#This Row],[ISI/CTN]]," ",AB356," ",AD356," ",AH356))))</f>
        <v>KNF INSTANCE LIQ HAND SANITIZER 100ML X 24 BTL</v>
      </c>
      <c r="O356" s="11">
        <f t="shared" si="20"/>
        <v>46</v>
      </c>
      <c r="P356" s="4" t="s">
        <v>97</v>
      </c>
      <c r="Q356" s="7" t="s">
        <v>98</v>
      </c>
      <c r="R356" s="4" t="s">
        <v>3819</v>
      </c>
      <c r="S356" s="44" t="s">
        <v>3578</v>
      </c>
      <c r="T356" s="45" t="s">
        <v>2961</v>
      </c>
      <c r="U356" s="7" t="s">
        <v>2900</v>
      </c>
      <c r="V356" s="45" t="s">
        <v>2961</v>
      </c>
      <c r="W356" s="44" t="s">
        <v>2900</v>
      </c>
      <c r="X356" s="4" t="s">
        <v>3816</v>
      </c>
      <c r="Y356" s="46" t="s">
        <v>0</v>
      </c>
      <c r="Z356" s="4" t="s">
        <v>3588</v>
      </c>
      <c r="AA356" s="46" t="s">
        <v>2487</v>
      </c>
      <c r="AB356" s="4" t="s">
        <v>357</v>
      </c>
      <c r="AC356" s="7" t="s">
        <v>2656</v>
      </c>
      <c r="AD356" s="4" t="s">
        <v>2961</v>
      </c>
      <c r="AE356" s="7" t="s">
        <v>2900</v>
      </c>
      <c r="AF356" s="7" t="s">
        <v>2961</v>
      </c>
      <c r="AG356" s="7" t="s">
        <v>2961</v>
      </c>
      <c r="AI356" s="7" t="s">
        <v>4100</v>
      </c>
      <c r="AJ356" s="7" t="s">
        <v>2656</v>
      </c>
      <c r="AK356" s="41">
        <f>Table43[[#This Row],[Harga Jual Pcs GT
(-PPN)]]-(Table43[[#This Row],[Harga Jual Pcs GT
(-PPN)]]*10%)</f>
        <v>0</v>
      </c>
      <c r="AL356" s="42">
        <f>Table43[[#This Row],[Harga Beli Pcs
(-PPN)]]*Table43[[#This Row],[ISI/CTN]]</f>
        <v>0</v>
      </c>
      <c r="AM356" s="42">
        <f>Table43[[#This Row],[Harga Beli Pcs
(-PPN)]]*1.11</f>
        <v>0</v>
      </c>
      <c r="AN356" s="42">
        <f>Table43[[#This Row],[Harga Beli Krt
(- PPN)]]*1.11</f>
        <v>0</v>
      </c>
      <c r="AO356" s="42"/>
      <c r="AP356" s="42">
        <f>Table43[[#This Row],[Harga Jual Pcs GT
(-PPN)]]*Table43[[#This Row],[ISI/CTN]]</f>
        <v>0</v>
      </c>
      <c r="AQ356" s="42">
        <f>Table43[[#This Row],[Harga Jual Pcs GT
(-PPN)]]*1.11</f>
        <v>0</v>
      </c>
      <c r="AR356" s="42">
        <f>Table43[[#This Row],[Harga Jual Krt GT
(- PPN)]]*1.11</f>
        <v>0</v>
      </c>
      <c r="AS356" s="42">
        <f>Table43[[#This Row],[Harga Jual Pcs GT
(-PPN)]]</f>
        <v>0</v>
      </c>
      <c r="AT356" s="42">
        <f>(Table43[[#This Row],[Harga Jual Pcs MT
(-PPN)]]*Table43[[#This Row],[ISI/CTN]])</f>
        <v>0</v>
      </c>
      <c r="AU356" s="42">
        <f>Table43[[#This Row],[Harga Jual Pcs MT
(-PPN)]]*1.11</f>
        <v>0</v>
      </c>
      <c r="AV356" s="42">
        <f>Table43[[#This Row],[Harga Jual Pcs MT
(+PPN)]]*Table43[[#This Row],[ISI/CTN]]</f>
        <v>0</v>
      </c>
      <c r="AW356" s="47"/>
      <c r="AX356" s="7"/>
      <c r="AY356" s="7" t="str">
        <f ca="1">IF(TODAY()-Table43[[#This Row],[Efektif
Pembuatan]]&gt;60,"Lama","Baru")</f>
        <v>Lama</v>
      </c>
      <c r="AZ356" s="7" t="str">
        <f ca="1">IF(TODAY()-Table43[[#This Row],[Efektif Naik Harga]]&lt;30,"Naik","Sama")</f>
        <v>Sama</v>
      </c>
      <c r="BA356" s="7" t="str">
        <f>IF(Table43[[#This Row],[Kode BARANG Win2]]&lt;&gt;"","IDR","")</f>
        <v>IDR</v>
      </c>
      <c r="BB356" s="7" t="str">
        <f>CONCATENATE(Table43[[#This Row],[kode  1 Digit
(Nomor)]],Table43[[#This Row],[kode  4 Digit                (Nomor)]])</f>
        <v>10100</v>
      </c>
      <c r="BC356" s="7" t="str">
        <f>Table43[[#This Row],[Nama            Gramasi atau Jumlah Pack per CTN]]</f>
        <v>100ML</v>
      </c>
      <c r="BD356" s="7"/>
      <c r="BE356" s="7"/>
      <c r="BF356" s="4" t="str">
        <f>IF(Table43[[#This Row],[SATUAN Fix Win]]&lt;&gt;"","KRT")</f>
        <v>KRT</v>
      </c>
      <c r="BG356" s="4" t="str">
        <f>IF(Table43[[#This Row],[SATUAN Fix Win]]&lt;&gt;"","GD01")</f>
        <v>GD01</v>
      </c>
      <c r="BH356" s="4">
        <f>IF(Table43[[#This Row],[SATUAN Fix Win]]&lt;&gt;"",11611)</f>
        <v>11611</v>
      </c>
      <c r="BI356" s="4">
        <f>IF(Table43[[#This Row],[SATUAN Fix Win]]&lt;&gt;"",11612)</f>
        <v>11612</v>
      </c>
      <c r="BJ356" s="48"/>
      <c r="BK356" s="4">
        <f>IF(Table43[[#This Row],[SATUAN Fix Win]]&lt;&gt;"",1)</f>
        <v>1</v>
      </c>
    </row>
    <row r="357" spans="1:63">
      <c r="A357" s="4" t="str">
        <f>CONCATENATE(Table43[[#This Row],[Kode BARANG Win2]],Table43[[#This Row],[No. Urut
Item Sama]])</f>
        <v>K12200011004201</v>
      </c>
      <c r="B357" s="7">
        <v>1</v>
      </c>
      <c r="D357" s="28" t="s">
        <v>449</v>
      </c>
      <c r="E357" s="28"/>
      <c r="F357" s="28" t="s">
        <v>3137</v>
      </c>
      <c r="G357" s="78">
        <v>4</v>
      </c>
      <c r="H357" s="43"/>
      <c r="I357" s="28" t="str">
        <f>Table43[[#This Row],[Nama Jenis Kemasan]]</f>
        <v>JRG</v>
      </c>
      <c r="J357" s="4" t="str">
        <f>TRIM(CONCATENATE(Table43[[#This Row],[Nama            KLP]]," ",Table43[[#This Row],[Nama            Sub KLP]]))</f>
        <v>INSTANCE LIQ HAND</v>
      </c>
      <c r="K357" s="4" t="str">
        <f>CONCATENATE(Table43[[#This Row],[kode  2 Digit                (hrf+No)]],Table43[[#This Row],[kode  2 Digit                (Nomor)]],Table43[[#This Row],[kode  1 Digit                (Nomor)]])</f>
        <v>K1220</v>
      </c>
      <c r="L357" s="4" t="str">
        <f t="shared" si="18"/>
        <v>K1220001100420</v>
      </c>
      <c r="M357" s="11">
        <f t="shared" si="19"/>
        <v>14</v>
      </c>
      <c r="N357" s="14" t="str">
        <f>IF(AF357&lt;&gt;"",TRIM(UPPER(CONCATENATE(P357," ",R357," ",T357," ",V357," ",X357," ",Z357," ","X"," ",Table43[[#This Row],[ISI/CTN]]," ",AF357," ",AB357," ",AD357," ",AH357))),TRIM(UPPER(CONCATENATE(P357," ",R357," ",T357," ",V357," ",X357," ",Z357," ","X"," ",Table43[[#This Row],[ISI/CTN]]," ",AB357," ",AD357," ",AH357))))</f>
        <v>KNF INSTANCE LIQ HAND SANITIZER 4L X 4 JRG</v>
      </c>
      <c r="O357" s="11">
        <f t="shared" si="20"/>
        <v>42</v>
      </c>
      <c r="P357" s="4" t="s">
        <v>97</v>
      </c>
      <c r="Q357" s="7" t="s">
        <v>98</v>
      </c>
      <c r="R357" s="4" t="s">
        <v>3819</v>
      </c>
      <c r="S357" s="44" t="s">
        <v>3578</v>
      </c>
      <c r="T357" s="45" t="s">
        <v>2961</v>
      </c>
      <c r="U357" s="7" t="s">
        <v>2900</v>
      </c>
      <c r="V357" s="45" t="s">
        <v>2961</v>
      </c>
      <c r="W357" s="44" t="s">
        <v>2900</v>
      </c>
      <c r="X357" s="4" t="s">
        <v>3816</v>
      </c>
      <c r="Y357" s="46" t="s">
        <v>0</v>
      </c>
      <c r="Z357" s="4" t="s">
        <v>3817</v>
      </c>
      <c r="AA357" s="46" t="s">
        <v>3818</v>
      </c>
      <c r="AB357" s="4" t="s">
        <v>358</v>
      </c>
      <c r="AC357" s="7" t="s">
        <v>3562</v>
      </c>
      <c r="AD357" s="4" t="s">
        <v>2961</v>
      </c>
      <c r="AE357" s="7" t="s">
        <v>2900</v>
      </c>
      <c r="AF357" s="7" t="s">
        <v>2961</v>
      </c>
      <c r="AG357" s="7" t="s">
        <v>2961</v>
      </c>
      <c r="AI357" s="7" t="s">
        <v>4100</v>
      </c>
      <c r="AJ357" s="7" t="s">
        <v>2656</v>
      </c>
      <c r="AK357" s="41">
        <f>Table43[[#This Row],[Harga Jual Pcs GT
(-PPN)]]-(Table43[[#This Row],[Harga Jual Pcs GT
(-PPN)]]*10%)</f>
        <v>0</v>
      </c>
      <c r="AL357" s="42">
        <f>Table43[[#This Row],[Harga Beli Pcs
(-PPN)]]*Table43[[#This Row],[ISI/CTN]]</f>
        <v>0</v>
      </c>
      <c r="AM357" s="42">
        <f>Table43[[#This Row],[Harga Beli Pcs
(-PPN)]]*1.11</f>
        <v>0</v>
      </c>
      <c r="AN357" s="42">
        <f>Table43[[#This Row],[Harga Beli Krt
(- PPN)]]*1.11</f>
        <v>0</v>
      </c>
      <c r="AO357" s="42"/>
      <c r="AP357" s="42">
        <f>Table43[[#This Row],[Harga Jual Pcs GT
(-PPN)]]*Table43[[#This Row],[ISI/CTN]]</f>
        <v>0</v>
      </c>
      <c r="AQ357" s="42">
        <f>Table43[[#This Row],[Harga Jual Pcs GT
(-PPN)]]*1.11</f>
        <v>0</v>
      </c>
      <c r="AR357" s="42">
        <f>Table43[[#This Row],[Harga Jual Krt GT
(- PPN)]]*1.11</f>
        <v>0</v>
      </c>
      <c r="AS357" s="42">
        <f>Table43[[#This Row],[Harga Jual Pcs GT
(-PPN)]]</f>
        <v>0</v>
      </c>
      <c r="AT357" s="42">
        <f>(Table43[[#This Row],[Harga Jual Pcs MT
(-PPN)]]*Table43[[#This Row],[ISI/CTN]])</f>
        <v>0</v>
      </c>
      <c r="AU357" s="42">
        <f>Table43[[#This Row],[Harga Jual Pcs MT
(-PPN)]]*1.11</f>
        <v>0</v>
      </c>
      <c r="AV357" s="42">
        <f>Table43[[#This Row],[Harga Jual Pcs MT
(+PPN)]]*Table43[[#This Row],[ISI/CTN]]</f>
        <v>0</v>
      </c>
      <c r="AW357" s="47"/>
      <c r="AX357" s="7"/>
      <c r="AY357" s="7" t="str">
        <f ca="1">IF(TODAY()-Table43[[#This Row],[Efektif
Pembuatan]]&gt;60,"Lama","Baru")</f>
        <v>Lama</v>
      </c>
      <c r="AZ357" s="7" t="str">
        <f ca="1">IF(TODAY()-Table43[[#This Row],[Efektif Naik Harga]]&lt;30,"Naik","Sama")</f>
        <v>Sama</v>
      </c>
      <c r="BA357" s="7" t="str">
        <f>IF(Table43[[#This Row],[Kode BARANG Win2]]&lt;&gt;"","IDR","")</f>
        <v>IDR</v>
      </c>
      <c r="BB357" s="7" t="str">
        <f>CONCATENATE(Table43[[#This Row],[kode  1 Digit
(Nomor)]],Table43[[#This Row],[kode  4 Digit                (Nomor)]])</f>
        <v>11004</v>
      </c>
      <c r="BC357" s="7" t="str">
        <f>Table43[[#This Row],[Nama            Gramasi atau Jumlah Pack per CTN]]</f>
        <v>4L</v>
      </c>
      <c r="BD357" s="7"/>
      <c r="BE357" s="7"/>
      <c r="BF357" s="4" t="str">
        <f>IF(Table43[[#This Row],[SATUAN Fix Win]]&lt;&gt;"","KRT")</f>
        <v>KRT</v>
      </c>
      <c r="BG357" s="4" t="str">
        <f>IF(Table43[[#This Row],[SATUAN Fix Win]]&lt;&gt;"","GD01")</f>
        <v>GD01</v>
      </c>
      <c r="BH357" s="4">
        <f>IF(Table43[[#This Row],[SATUAN Fix Win]]&lt;&gt;"",11611)</f>
        <v>11611</v>
      </c>
      <c r="BI357" s="4">
        <f>IF(Table43[[#This Row],[SATUAN Fix Win]]&lt;&gt;"",11612)</f>
        <v>11612</v>
      </c>
      <c r="BJ357" s="48"/>
      <c r="BK357" s="4">
        <f>IF(Table43[[#This Row],[SATUAN Fix Win]]&lt;&gt;"",1)</f>
        <v>1</v>
      </c>
    </row>
    <row r="358" spans="1:63">
      <c r="A358" s="4" t="str">
        <f>CONCATENATE(Table43[[#This Row],[Kode BARANG Win2]],Table43[[#This Row],[No. Urut
Item Sama]])</f>
        <v>K12300010000101</v>
      </c>
      <c r="B358" s="7">
        <v>1</v>
      </c>
      <c r="D358" s="28" t="s">
        <v>450</v>
      </c>
      <c r="E358" s="28"/>
      <c r="F358" s="28" t="s">
        <v>3138</v>
      </c>
      <c r="G358" s="78">
        <v>60</v>
      </c>
      <c r="H358" s="43"/>
      <c r="I358" s="28" t="str">
        <f>Table43[[#This Row],[Nama Jenis Kemasan]]</f>
        <v>BOX</v>
      </c>
      <c r="J358" s="4" t="str">
        <f>TRIM(CONCATENATE(Table43[[#This Row],[Nama            KLP]]," ",Table43[[#This Row],[Nama            Sub KLP]]))</f>
        <v>INSTANCE WIPES</v>
      </c>
      <c r="K358" s="4" t="str">
        <f>CONCATENATE(Table43[[#This Row],[kode  2 Digit                (hrf+No)]],Table43[[#This Row],[kode  2 Digit                (Nomor)]],Table43[[#This Row],[kode  1 Digit                (Nomor)]])</f>
        <v>K1230</v>
      </c>
      <c r="L358" s="4" t="str">
        <f t="shared" si="18"/>
        <v>K1230001000010</v>
      </c>
      <c r="M358" s="11">
        <f t="shared" si="19"/>
        <v>14</v>
      </c>
      <c r="N358" s="14" t="str">
        <f>IF(AF358&lt;&gt;"",TRIM(UPPER(CONCATENATE(P358," ",R358," ",T358," ",V358," ",X358," ",Z358," ","X"," ",Table43[[#This Row],[ISI/CTN]]," ",AF358," ",AB358," ",AD358," ",AH358))),TRIM(UPPER(CONCATENATE(P358," ",R358," ",T358," ",V358," ",X358," ",Z358," ","X"," ",Table43[[#This Row],[ISI/CTN]]," ",AB358," ",AD358," ",AH358))))</f>
        <v>KNF INSTANCE WIPES ANTISEPTIC X 60 BOX</v>
      </c>
      <c r="O358" s="11">
        <f t="shared" si="20"/>
        <v>38</v>
      </c>
      <c r="P358" s="4" t="s">
        <v>97</v>
      </c>
      <c r="Q358" s="7" t="s">
        <v>98</v>
      </c>
      <c r="R358" s="4" t="s">
        <v>3820</v>
      </c>
      <c r="S358" s="44" t="s">
        <v>3579</v>
      </c>
      <c r="T358" s="45" t="s">
        <v>2961</v>
      </c>
      <c r="U358" s="7" t="s">
        <v>2900</v>
      </c>
      <c r="V358" s="45" t="s">
        <v>2961</v>
      </c>
      <c r="W358" s="44" t="s">
        <v>2900</v>
      </c>
      <c r="X358" s="4" t="s">
        <v>3821</v>
      </c>
      <c r="Y358" s="46" t="s">
        <v>0</v>
      </c>
      <c r="Z358" s="4" t="s">
        <v>2961</v>
      </c>
      <c r="AA358" s="46" t="s">
        <v>2483</v>
      </c>
      <c r="AB358" s="4" t="s">
        <v>1023</v>
      </c>
      <c r="AC358" s="7" t="s">
        <v>2656</v>
      </c>
      <c r="AD358" s="4" t="s">
        <v>2961</v>
      </c>
      <c r="AE358" s="7" t="s">
        <v>2900</v>
      </c>
      <c r="AF358" s="7" t="s">
        <v>2961</v>
      </c>
      <c r="AG358" s="7" t="s">
        <v>2961</v>
      </c>
      <c r="AI358" s="7" t="s">
        <v>360</v>
      </c>
      <c r="AJ358" s="7" t="s">
        <v>3590</v>
      </c>
      <c r="AK358" s="41">
        <f>Table43[[#This Row],[Harga Jual Pcs GT
(-PPN)]]-(Table43[[#This Row],[Harga Jual Pcs GT
(-PPN)]]*10%)</f>
        <v>0</v>
      </c>
      <c r="AL358" s="42">
        <f>Table43[[#This Row],[Harga Beli Pcs
(-PPN)]]*Table43[[#This Row],[ISI/CTN]]</f>
        <v>0</v>
      </c>
      <c r="AM358" s="42">
        <f>Table43[[#This Row],[Harga Beli Pcs
(-PPN)]]*1.11</f>
        <v>0</v>
      </c>
      <c r="AN358" s="42">
        <f>Table43[[#This Row],[Harga Beli Krt
(- PPN)]]*1.11</f>
        <v>0</v>
      </c>
      <c r="AO358" s="42"/>
      <c r="AP358" s="42">
        <f>Table43[[#This Row],[Harga Jual Pcs GT
(-PPN)]]*Table43[[#This Row],[ISI/CTN]]</f>
        <v>0</v>
      </c>
      <c r="AQ358" s="42">
        <f>Table43[[#This Row],[Harga Jual Pcs GT
(-PPN)]]*1.11</f>
        <v>0</v>
      </c>
      <c r="AR358" s="42">
        <f>Table43[[#This Row],[Harga Jual Krt GT
(- PPN)]]*1.11</f>
        <v>0</v>
      </c>
      <c r="AS358" s="42">
        <f>Table43[[#This Row],[Harga Jual Pcs GT
(-PPN)]]</f>
        <v>0</v>
      </c>
      <c r="AT358" s="42">
        <f>(Table43[[#This Row],[Harga Jual Pcs MT
(-PPN)]]*Table43[[#This Row],[ISI/CTN]])</f>
        <v>0</v>
      </c>
      <c r="AU358" s="42">
        <f>Table43[[#This Row],[Harga Jual Pcs MT
(-PPN)]]*1.11</f>
        <v>0</v>
      </c>
      <c r="AV358" s="42">
        <f>Table43[[#This Row],[Harga Jual Pcs MT
(+PPN)]]*Table43[[#This Row],[ISI/CTN]]</f>
        <v>0</v>
      </c>
      <c r="AW358" s="47"/>
      <c r="AX358" s="7"/>
      <c r="AY358" s="7" t="str">
        <f ca="1">IF(TODAY()-Table43[[#This Row],[Efektif
Pembuatan]]&gt;60,"Lama","Baru")</f>
        <v>Lama</v>
      </c>
      <c r="AZ358" s="7" t="str">
        <f ca="1">IF(TODAY()-Table43[[#This Row],[Efektif Naik Harga]]&lt;30,"Naik","Sama")</f>
        <v>Sama</v>
      </c>
      <c r="BA358" s="7" t="str">
        <f>IF(Table43[[#This Row],[Kode BARANG Win2]]&lt;&gt;"","IDR","")</f>
        <v>IDR</v>
      </c>
      <c r="BB358" s="7" t="str">
        <f>CONCATENATE(Table43[[#This Row],[kode  1 Digit
(Nomor)]],Table43[[#This Row],[kode  4 Digit                (Nomor)]])</f>
        <v>30000</v>
      </c>
      <c r="BC358" s="7" t="str">
        <f>Table43[[#This Row],[Nama            Gramasi atau Jumlah Pack per CTN]]</f>
        <v/>
      </c>
      <c r="BD358" s="7"/>
      <c r="BE358" s="7"/>
      <c r="BF358" s="4" t="str">
        <f>IF(Table43[[#This Row],[SATUAN Fix Win]]&lt;&gt;"","KRT")</f>
        <v>KRT</v>
      </c>
      <c r="BG358" s="4" t="str">
        <f>IF(Table43[[#This Row],[SATUAN Fix Win]]&lt;&gt;"","GD01")</f>
        <v>GD01</v>
      </c>
      <c r="BH358" s="4">
        <f>IF(Table43[[#This Row],[SATUAN Fix Win]]&lt;&gt;"",11611)</f>
        <v>11611</v>
      </c>
      <c r="BI358" s="4">
        <f>IF(Table43[[#This Row],[SATUAN Fix Win]]&lt;&gt;"",11612)</f>
        <v>11612</v>
      </c>
      <c r="BJ358" s="48"/>
      <c r="BK358" s="4">
        <f>IF(Table43[[#This Row],[SATUAN Fix Win]]&lt;&gt;"",1)</f>
        <v>1</v>
      </c>
    </row>
    <row r="359" spans="1:63">
      <c r="A359" s="4" t="str">
        <f>CONCATENATE(Table43[[#This Row],[Kode BARANG Win2]],Table43[[#This Row],[No. Urut
Item Sama]])</f>
        <v>K12410010075101</v>
      </c>
      <c r="B359" s="7">
        <v>1</v>
      </c>
      <c r="D359" s="28" t="s">
        <v>612</v>
      </c>
      <c r="E359" s="28"/>
      <c r="F359" s="28" t="s">
        <v>3139</v>
      </c>
      <c r="G359" s="78">
        <v>36</v>
      </c>
      <c r="H359" s="43"/>
      <c r="I359" s="28" t="str">
        <f>Table43[[#This Row],[Nama Jenis Kemasan]]</f>
        <v>BTL</v>
      </c>
      <c r="J359" s="4" t="str">
        <f>TRIM(CONCATENATE(Table43[[#This Row],[Nama            KLP]]," ",Table43[[#This Row],[Nama            Sub KLP]]))</f>
        <v>MASTER SPLASH COLOGNE</v>
      </c>
      <c r="K359" s="4" t="str">
        <f>CONCATENATE(Table43[[#This Row],[kode  2 Digit                (hrf+No)]],Table43[[#This Row],[kode  2 Digit                (Nomor)]],Table43[[#This Row],[kode  1 Digit                (Nomor)]])</f>
        <v>K1241</v>
      </c>
      <c r="L359" s="4" t="str">
        <f t="shared" si="18"/>
        <v>K1241001007510</v>
      </c>
      <c r="M359" s="11">
        <f t="shared" si="19"/>
        <v>14</v>
      </c>
      <c r="N359" s="14" t="str">
        <f>IF(AF359&lt;&gt;"",TRIM(UPPER(CONCATENATE(P359," ",R359," ",T359," ",V359," ",X359," ",Z359," ","X"," ",Table43[[#This Row],[ISI/CTN]]," ",AF359," ",AB359," ",AD359," ",AH359))),TRIM(UPPER(CONCATENATE(P359," ",R359," ",T359," ",V359," ",X359," ",Z359," ","X"," ",Table43[[#This Row],[ISI/CTN]]," ",AB359," ",AD359," ",AH359))))</f>
        <v>KNF MASTER SPLASH COLOGNE COOL 75ML X 36 BTL</v>
      </c>
      <c r="O359" s="11">
        <f t="shared" si="20"/>
        <v>44</v>
      </c>
      <c r="P359" s="4" t="s">
        <v>97</v>
      </c>
      <c r="Q359" s="7" t="s">
        <v>98</v>
      </c>
      <c r="R359" s="4" t="s">
        <v>3822</v>
      </c>
      <c r="S359" s="44" t="s">
        <v>3823</v>
      </c>
      <c r="T359" s="45" t="s">
        <v>3824</v>
      </c>
      <c r="U359" s="7" t="s">
        <v>2656</v>
      </c>
      <c r="V359" s="45" t="s">
        <v>2961</v>
      </c>
      <c r="W359" s="44" t="s">
        <v>2900</v>
      </c>
      <c r="X359" s="4" t="s">
        <v>3825</v>
      </c>
      <c r="Y359" s="46" t="s">
        <v>0</v>
      </c>
      <c r="Z359" s="4" t="s">
        <v>3826</v>
      </c>
      <c r="AA359" s="46" t="s">
        <v>2505</v>
      </c>
      <c r="AB359" s="4" t="s">
        <v>357</v>
      </c>
      <c r="AC359" s="7" t="s">
        <v>2656</v>
      </c>
      <c r="AD359" s="4" t="s">
        <v>2961</v>
      </c>
      <c r="AE359" s="7" t="s">
        <v>2900</v>
      </c>
      <c r="AF359" s="7" t="s">
        <v>2961</v>
      </c>
      <c r="AG359" s="7" t="s">
        <v>2961</v>
      </c>
      <c r="AI359" s="7" t="s">
        <v>4100</v>
      </c>
      <c r="AJ359" s="7" t="s">
        <v>2656</v>
      </c>
      <c r="AK359" s="41">
        <f>Table43[[#This Row],[Harga Jual Pcs GT
(-PPN)]]-(Table43[[#This Row],[Harga Jual Pcs GT
(-PPN)]]*10%)</f>
        <v>0</v>
      </c>
      <c r="AL359" s="42">
        <f>Table43[[#This Row],[Harga Beli Pcs
(-PPN)]]*Table43[[#This Row],[ISI/CTN]]</f>
        <v>0</v>
      </c>
      <c r="AM359" s="42">
        <f>Table43[[#This Row],[Harga Beli Pcs
(-PPN)]]*1.11</f>
        <v>0</v>
      </c>
      <c r="AN359" s="42">
        <f>Table43[[#This Row],[Harga Beli Krt
(- PPN)]]*1.11</f>
        <v>0</v>
      </c>
      <c r="AO359" s="42"/>
      <c r="AP359" s="42">
        <f>Table43[[#This Row],[Harga Jual Pcs GT
(-PPN)]]*Table43[[#This Row],[ISI/CTN]]</f>
        <v>0</v>
      </c>
      <c r="AQ359" s="42">
        <f>Table43[[#This Row],[Harga Jual Pcs GT
(-PPN)]]*1.11</f>
        <v>0</v>
      </c>
      <c r="AR359" s="42">
        <f>Table43[[#This Row],[Harga Jual Krt GT
(- PPN)]]*1.11</f>
        <v>0</v>
      </c>
      <c r="AS359" s="42">
        <f>Table43[[#This Row],[Harga Jual Pcs GT
(-PPN)]]</f>
        <v>0</v>
      </c>
      <c r="AT359" s="42">
        <f>(Table43[[#This Row],[Harga Jual Pcs MT
(-PPN)]]*Table43[[#This Row],[ISI/CTN]])</f>
        <v>0</v>
      </c>
      <c r="AU359" s="42">
        <f>Table43[[#This Row],[Harga Jual Pcs MT
(-PPN)]]*1.11</f>
        <v>0</v>
      </c>
      <c r="AV359" s="42">
        <f>Table43[[#This Row],[Harga Jual Pcs MT
(+PPN)]]*Table43[[#This Row],[ISI/CTN]]</f>
        <v>0</v>
      </c>
      <c r="AW359" s="47"/>
      <c r="AX359" s="7"/>
      <c r="AY359" s="7" t="str">
        <f ca="1">IF(TODAY()-Table43[[#This Row],[Efektif
Pembuatan]]&gt;60,"Lama","Baru")</f>
        <v>Lama</v>
      </c>
      <c r="AZ359" s="7" t="str">
        <f ca="1">IF(TODAY()-Table43[[#This Row],[Efektif Naik Harga]]&lt;30,"Naik","Sama")</f>
        <v>Sama</v>
      </c>
      <c r="BA359" s="7" t="str">
        <f>IF(Table43[[#This Row],[Kode BARANG Win2]]&lt;&gt;"","IDR","")</f>
        <v>IDR</v>
      </c>
      <c r="BB359" s="7" t="str">
        <f>CONCATENATE(Table43[[#This Row],[kode  1 Digit
(Nomor)]],Table43[[#This Row],[kode  4 Digit                (Nomor)]])</f>
        <v>10075</v>
      </c>
      <c r="BC359" s="7" t="str">
        <f>Table43[[#This Row],[Nama            Gramasi atau Jumlah Pack per CTN]]</f>
        <v>75ML</v>
      </c>
      <c r="BD359" s="7"/>
      <c r="BE359" s="7"/>
      <c r="BF359" s="4" t="str">
        <f>IF(Table43[[#This Row],[SATUAN Fix Win]]&lt;&gt;"","KRT")</f>
        <v>KRT</v>
      </c>
      <c r="BG359" s="4" t="str">
        <f>IF(Table43[[#This Row],[SATUAN Fix Win]]&lt;&gt;"","GD01")</f>
        <v>GD01</v>
      </c>
      <c r="BH359" s="4">
        <f>IF(Table43[[#This Row],[SATUAN Fix Win]]&lt;&gt;"",11611)</f>
        <v>11611</v>
      </c>
      <c r="BI359" s="4">
        <f>IF(Table43[[#This Row],[SATUAN Fix Win]]&lt;&gt;"",11612)</f>
        <v>11612</v>
      </c>
      <c r="BJ359" s="48"/>
      <c r="BK359" s="4">
        <f>IF(Table43[[#This Row],[SATUAN Fix Win]]&lt;&gt;"",1)</f>
        <v>1</v>
      </c>
    </row>
    <row r="360" spans="1:63">
      <c r="A360" s="4" t="str">
        <f>CONCATENATE(Table43[[#This Row],[Kode BARANG Win2]],Table43[[#This Row],[No. Urut
Item Sama]])</f>
        <v>K12410010150101</v>
      </c>
      <c r="B360" s="7">
        <v>1</v>
      </c>
      <c r="D360" s="28" t="s">
        <v>613</v>
      </c>
      <c r="E360" s="28"/>
      <c r="F360" s="28" t="s">
        <v>3140</v>
      </c>
      <c r="G360" s="78">
        <v>36</v>
      </c>
      <c r="H360" s="43"/>
      <c r="I360" s="28" t="str">
        <f>Table43[[#This Row],[Nama Jenis Kemasan]]</f>
        <v>BTL</v>
      </c>
      <c r="J360" s="4" t="str">
        <f>TRIM(CONCATENATE(Table43[[#This Row],[Nama            KLP]]," ",Table43[[#This Row],[Nama            Sub KLP]]))</f>
        <v>MASTER SPLASH COLOGNE</v>
      </c>
      <c r="K360" s="4" t="str">
        <f>CONCATENATE(Table43[[#This Row],[kode  2 Digit                (hrf+No)]],Table43[[#This Row],[kode  2 Digit                (Nomor)]],Table43[[#This Row],[kode  1 Digit                (Nomor)]])</f>
        <v>K1241</v>
      </c>
      <c r="L360" s="4" t="str">
        <f t="shared" si="18"/>
        <v>K1241001015010</v>
      </c>
      <c r="M360" s="11">
        <f t="shared" si="19"/>
        <v>14</v>
      </c>
      <c r="N360" s="14" t="str">
        <f>IF(AF360&lt;&gt;"",TRIM(UPPER(CONCATENATE(P360," ",R360," ",T360," ",V360," ",X360," ",Z360," ","X"," ",Table43[[#This Row],[ISI/CTN]]," ",AF360," ",AB360," ",AD360," ",AH360))),TRIM(UPPER(CONCATENATE(P360," ",R360," ",T360," ",V360," ",X360," ",Z360," ","X"," ",Table43[[#This Row],[ISI/CTN]]," ",AB360," ",AD360," ",AH360))))</f>
        <v>KNF MASTER SPLASH COLOGNE COOL 150ML X 36 BTL</v>
      </c>
      <c r="O360" s="11">
        <f t="shared" si="20"/>
        <v>45</v>
      </c>
      <c r="P360" s="4" t="s">
        <v>97</v>
      </c>
      <c r="Q360" s="7" t="s">
        <v>98</v>
      </c>
      <c r="R360" s="4" t="s">
        <v>3822</v>
      </c>
      <c r="S360" s="44" t="s">
        <v>3823</v>
      </c>
      <c r="T360" s="45" t="s">
        <v>3824</v>
      </c>
      <c r="U360" s="7" t="s">
        <v>2656</v>
      </c>
      <c r="V360" s="45" t="s">
        <v>2961</v>
      </c>
      <c r="W360" s="44" t="s">
        <v>2900</v>
      </c>
      <c r="X360" s="4" t="s">
        <v>3825</v>
      </c>
      <c r="Y360" s="46" t="s">
        <v>0</v>
      </c>
      <c r="Z360" s="4" t="s">
        <v>2464</v>
      </c>
      <c r="AA360" s="46" t="s">
        <v>2482</v>
      </c>
      <c r="AB360" s="4" t="s">
        <v>357</v>
      </c>
      <c r="AC360" s="7" t="s">
        <v>2656</v>
      </c>
      <c r="AD360" s="4" t="s">
        <v>2961</v>
      </c>
      <c r="AE360" s="7" t="s">
        <v>2900</v>
      </c>
      <c r="AF360" s="7" t="s">
        <v>2961</v>
      </c>
      <c r="AG360" s="7" t="s">
        <v>2961</v>
      </c>
      <c r="AI360" s="7" t="s">
        <v>4100</v>
      </c>
      <c r="AJ360" s="7" t="s">
        <v>2656</v>
      </c>
      <c r="AK360" s="41">
        <f>Table43[[#This Row],[Harga Jual Pcs GT
(-PPN)]]-(Table43[[#This Row],[Harga Jual Pcs GT
(-PPN)]]*10%)</f>
        <v>0</v>
      </c>
      <c r="AL360" s="42">
        <f>Table43[[#This Row],[Harga Beli Pcs
(-PPN)]]*Table43[[#This Row],[ISI/CTN]]</f>
        <v>0</v>
      </c>
      <c r="AM360" s="42">
        <f>Table43[[#This Row],[Harga Beli Pcs
(-PPN)]]*1.11</f>
        <v>0</v>
      </c>
      <c r="AN360" s="42">
        <f>Table43[[#This Row],[Harga Beli Krt
(- PPN)]]*1.11</f>
        <v>0</v>
      </c>
      <c r="AO360" s="42"/>
      <c r="AP360" s="42">
        <f>Table43[[#This Row],[Harga Jual Pcs GT
(-PPN)]]*Table43[[#This Row],[ISI/CTN]]</f>
        <v>0</v>
      </c>
      <c r="AQ360" s="42">
        <f>Table43[[#This Row],[Harga Jual Pcs GT
(-PPN)]]*1.11</f>
        <v>0</v>
      </c>
      <c r="AR360" s="42">
        <f>Table43[[#This Row],[Harga Jual Krt GT
(- PPN)]]*1.11</f>
        <v>0</v>
      </c>
      <c r="AS360" s="42">
        <f>Table43[[#This Row],[Harga Jual Pcs GT
(-PPN)]]</f>
        <v>0</v>
      </c>
      <c r="AT360" s="42">
        <f>(Table43[[#This Row],[Harga Jual Pcs MT
(-PPN)]]*Table43[[#This Row],[ISI/CTN]])</f>
        <v>0</v>
      </c>
      <c r="AU360" s="42">
        <f>Table43[[#This Row],[Harga Jual Pcs MT
(-PPN)]]*1.11</f>
        <v>0</v>
      </c>
      <c r="AV360" s="42">
        <f>Table43[[#This Row],[Harga Jual Pcs MT
(+PPN)]]*Table43[[#This Row],[ISI/CTN]]</f>
        <v>0</v>
      </c>
      <c r="AW360" s="47"/>
      <c r="AX360" s="7"/>
      <c r="AY360" s="7" t="str">
        <f ca="1">IF(TODAY()-Table43[[#This Row],[Efektif
Pembuatan]]&gt;60,"Lama","Baru")</f>
        <v>Lama</v>
      </c>
      <c r="AZ360" s="7" t="str">
        <f ca="1">IF(TODAY()-Table43[[#This Row],[Efektif Naik Harga]]&lt;30,"Naik","Sama")</f>
        <v>Sama</v>
      </c>
      <c r="BA360" s="7" t="str">
        <f>IF(Table43[[#This Row],[Kode BARANG Win2]]&lt;&gt;"","IDR","")</f>
        <v>IDR</v>
      </c>
      <c r="BB360" s="7" t="str">
        <f>CONCATENATE(Table43[[#This Row],[kode  1 Digit
(Nomor)]],Table43[[#This Row],[kode  4 Digit                (Nomor)]])</f>
        <v>10150</v>
      </c>
      <c r="BC360" s="7" t="str">
        <f>Table43[[#This Row],[Nama            Gramasi atau Jumlah Pack per CTN]]</f>
        <v>150ML</v>
      </c>
      <c r="BD360" s="7"/>
      <c r="BE360" s="7"/>
      <c r="BF360" s="4" t="str">
        <f>IF(Table43[[#This Row],[SATUAN Fix Win]]&lt;&gt;"","KRT")</f>
        <v>KRT</v>
      </c>
      <c r="BG360" s="4" t="str">
        <f>IF(Table43[[#This Row],[SATUAN Fix Win]]&lt;&gt;"","GD01")</f>
        <v>GD01</v>
      </c>
      <c r="BH360" s="4">
        <f>IF(Table43[[#This Row],[SATUAN Fix Win]]&lt;&gt;"",11611)</f>
        <v>11611</v>
      </c>
      <c r="BI360" s="4">
        <f>IF(Table43[[#This Row],[SATUAN Fix Win]]&lt;&gt;"",11612)</f>
        <v>11612</v>
      </c>
      <c r="BJ360" s="48"/>
      <c r="BK360" s="4">
        <f>IF(Table43[[#This Row],[SATUAN Fix Win]]&lt;&gt;"",1)</f>
        <v>1</v>
      </c>
    </row>
    <row r="361" spans="1:63">
      <c r="A361" s="4" t="str">
        <f>CONCATENATE(Table43[[#This Row],[Kode BARANG Win2]],Table43[[#This Row],[No. Urut
Item Sama]])</f>
        <v>K12410020075101</v>
      </c>
      <c r="B361" s="7">
        <v>1</v>
      </c>
      <c r="D361" s="28" t="s">
        <v>614</v>
      </c>
      <c r="E361" s="28"/>
      <c r="F361" s="28" t="s">
        <v>3141</v>
      </c>
      <c r="G361" s="78">
        <v>36</v>
      </c>
      <c r="H361" s="43"/>
      <c r="I361" s="28" t="str">
        <f>Table43[[#This Row],[Nama Jenis Kemasan]]</f>
        <v>BTL</v>
      </c>
      <c r="J361" s="4" t="str">
        <f>TRIM(CONCATENATE(Table43[[#This Row],[Nama            KLP]]," ",Table43[[#This Row],[Nama            Sub KLP]]))</f>
        <v>MASTER SPLASH COLOGNE</v>
      </c>
      <c r="K361" s="4" t="str">
        <f>CONCATENATE(Table43[[#This Row],[kode  2 Digit                (hrf+No)]],Table43[[#This Row],[kode  2 Digit                (Nomor)]],Table43[[#This Row],[kode  1 Digit                (Nomor)]])</f>
        <v>K1241</v>
      </c>
      <c r="L361" s="4" t="str">
        <f t="shared" si="18"/>
        <v>K1241002007510</v>
      </c>
      <c r="M361" s="11">
        <f t="shared" si="19"/>
        <v>14</v>
      </c>
      <c r="N361" s="14" t="str">
        <f>IF(AF361&lt;&gt;"",TRIM(UPPER(CONCATENATE(P361," ",R361," ",T361," ",V361," ",X361," ",Z361," ","X"," ",Table43[[#This Row],[ISI/CTN]]," ",AF361," ",AB361," ",AD361," ",AH361))),TRIM(UPPER(CONCATENATE(P361," ",R361," ",T361," ",V361," ",X361," ",Z361," ","X"," ",Table43[[#This Row],[ISI/CTN]]," ",AB361," ",AD361," ",AH361))))</f>
        <v>KNF MASTER SPLASH COLOGNE DYNAMIC 75ML X 36 BTL</v>
      </c>
      <c r="O361" s="11">
        <f t="shared" si="20"/>
        <v>47</v>
      </c>
      <c r="P361" s="4" t="s">
        <v>97</v>
      </c>
      <c r="Q361" s="7" t="s">
        <v>98</v>
      </c>
      <c r="R361" s="4" t="s">
        <v>3822</v>
      </c>
      <c r="S361" s="44" t="s">
        <v>3823</v>
      </c>
      <c r="T361" s="45" t="s">
        <v>3824</v>
      </c>
      <c r="U361" s="7" t="s">
        <v>2656</v>
      </c>
      <c r="V361" s="45" t="s">
        <v>2961</v>
      </c>
      <c r="W361" s="44" t="s">
        <v>2900</v>
      </c>
      <c r="X361" s="4" t="s">
        <v>3827</v>
      </c>
      <c r="Y361" s="46" t="s">
        <v>2472</v>
      </c>
      <c r="Z361" s="4" t="s">
        <v>3826</v>
      </c>
      <c r="AA361" s="46" t="s">
        <v>2505</v>
      </c>
      <c r="AB361" s="4" t="s">
        <v>357</v>
      </c>
      <c r="AC361" s="7" t="s">
        <v>2656</v>
      </c>
      <c r="AD361" s="4" t="s">
        <v>2961</v>
      </c>
      <c r="AE361" s="7" t="s">
        <v>2900</v>
      </c>
      <c r="AF361" s="7" t="s">
        <v>2961</v>
      </c>
      <c r="AG361" s="7" t="s">
        <v>2961</v>
      </c>
      <c r="AI361" s="7" t="s">
        <v>4100</v>
      </c>
      <c r="AJ361" s="7" t="s">
        <v>2656</v>
      </c>
      <c r="AK361" s="41">
        <f>Table43[[#This Row],[Harga Jual Pcs GT
(-PPN)]]-(Table43[[#This Row],[Harga Jual Pcs GT
(-PPN)]]*10%)</f>
        <v>0</v>
      </c>
      <c r="AL361" s="42">
        <f>Table43[[#This Row],[Harga Beli Pcs
(-PPN)]]*Table43[[#This Row],[ISI/CTN]]</f>
        <v>0</v>
      </c>
      <c r="AM361" s="42">
        <f>Table43[[#This Row],[Harga Beli Pcs
(-PPN)]]*1.11</f>
        <v>0</v>
      </c>
      <c r="AN361" s="42">
        <f>Table43[[#This Row],[Harga Beli Krt
(- PPN)]]*1.11</f>
        <v>0</v>
      </c>
      <c r="AO361" s="42"/>
      <c r="AP361" s="42">
        <f>Table43[[#This Row],[Harga Jual Pcs GT
(-PPN)]]*Table43[[#This Row],[ISI/CTN]]</f>
        <v>0</v>
      </c>
      <c r="AQ361" s="42">
        <f>Table43[[#This Row],[Harga Jual Pcs GT
(-PPN)]]*1.11</f>
        <v>0</v>
      </c>
      <c r="AR361" s="42">
        <f>Table43[[#This Row],[Harga Jual Krt GT
(- PPN)]]*1.11</f>
        <v>0</v>
      </c>
      <c r="AS361" s="42">
        <f>Table43[[#This Row],[Harga Jual Pcs GT
(-PPN)]]</f>
        <v>0</v>
      </c>
      <c r="AT361" s="42">
        <f>(Table43[[#This Row],[Harga Jual Pcs MT
(-PPN)]]*Table43[[#This Row],[ISI/CTN]])</f>
        <v>0</v>
      </c>
      <c r="AU361" s="42">
        <f>Table43[[#This Row],[Harga Jual Pcs MT
(-PPN)]]*1.11</f>
        <v>0</v>
      </c>
      <c r="AV361" s="42">
        <f>Table43[[#This Row],[Harga Jual Pcs MT
(+PPN)]]*Table43[[#This Row],[ISI/CTN]]</f>
        <v>0</v>
      </c>
      <c r="AW361" s="47"/>
      <c r="AX361" s="7"/>
      <c r="AY361" s="7" t="str">
        <f ca="1">IF(TODAY()-Table43[[#This Row],[Efektif
Pembuatan]]&gt;60,"Lama","Baru")</f>
        <v>Lama</v>
      </c>
      <c r="AZ361" s="7" t="str">
        <f ca="1">IF(TODAY()-Table43[[#This Row],[Efektif Naik Harga]]&lt;30,"Naik","Sama")</f>
        <v>Sama</v>
      </c>
      <c r="BA361" s="7" t="str">
        <f>IF(Table43[[#This Row],[Kode BARANG Win2]]&lt;&gt;"","IDR","")</f>
        <v>IDR</v>
      </c>
      <c r="BB361" s="7" t="str">
        <f>CONCATENATE(Table43[[#This Row],[kode  1 Digit
(Nomor)]],Table43[[#This Row],[kode  4 Digit                (Nomor)]])</f>
        <v>10075</v>
      </c>
      <c r="BC361" s="7" t="str">
        <f>Table43[[#This Row],[Nama            Gramasi atau Jumlah Pack per CTN]]</f>
        <v>75ML</v>
      </c>
      <c r="BD361" s="7"/>
      <c r="BE361" s="7"/>
      <c r="BF361" s="4" t="str">
        <f>IF(Table43[[#This Row],[SATUAN Fix Win]]&lt;&gt;"","KRT")</f>
        <v>KRT</v>
      </c>
      <c r="BG361" s="4" t="str">
        <f>IF(Table43[[#This Row],[SATUAN Fix Win]]&lt;&gt;"","GD01")</f>
        <v>GD01</v>
      </c>
      <c r="BH361" s="4">
        <f>IF(Table43[[#This Row],[SATUAN Fix Win]]&lt;&gt;"",11611)</f>
        <v>11611</v>
      </c>
      <c r="BI361" s="4">
        <f>IF(Table43[[#This Row],[SATUAN Fix Win]]&lt;&gt;"",11612)</f>
        <v>11612</v>
      </c>
      <c r="BJ361" s="48"/>
      <c r="BK361" s="4">
        <f>IF(Table43[[#This Row],[SATUAN Fix Win]]&lt;&gt;"",1)</f>
        <v>1</v>
      </c>
    </row>
    <row r="362" spans="1:63">
      <c r="A362" s="4" t="str">
        <f>CONCATENATE(Table43[[#This Row],[Kode BARANG Win2]],Table43[[#This Row],[No. Urut
Item Sama]])</f>
        <v>K12410020150101</v>
      </c>
      <c r="B362" s="7">
        <v>1</v>
      </c>
      <c r="D362" s="28" t="s">
        <v>615</v>
      </c>
      <c r="E362" s="28"/>
      <c r="F362" s="28" t="s">
        <v>3142</v>
      </c>
      <c r="G362" s="78">
        <v>36</v>
      </c>
      <c r="H362" s="43"/>
      <c r="I362" s="28" t="str">
        <f>Table43[[#This Row],[Nama Jenis Kemasan]]</f>
        <v>BTL</v>
      </c>
      <c r="J362" s="4" t="str">
        <f>TRIM(CONCATENATE(Table43[[#This Row],[Nama            KLP]]," ",Table43[[#This Row],[Nama            Sub KLP]]))</f>
        <v>MASTER SPLASH COLOGNE</v>
      </c>
      <c r="K362" s="4" t="str">
        <f>CONCATENATE(Table43[[#This Row],[kode  2 Digit                (hrf+No)]],Table43[[#This Row],[kode  2 Digit                (Nomor)]],Table43[[#This Row],[kode  1 Digit                (Nomor)]])</f>
        <v>K1241</v>
      </c>
      <c r="L362" s="4" t="str">
        <f t="shared" si="18"/>
        <v>K1241002015010</v>
      </c>
      <c r="M362" s="11">
        <f t="shared" si="19"/>
        <v>14</v>
      </c>
      <c r="N362" s="14" t="str">
        <f>IF(AF362&lt;&gt;"",TRIM(UPPER(CONCATENATE(P362," ",R362," ",T362," ",V362," ",X362," ",Z362," ","X"," ",Table43[[#This Row],[ISI/CTN]]," ",AF362," ",AB362," ",AD362," ",AH362))),TRIM(UPPER(CONCATENATE(P362," ",R362," ",T362," ",V362," ",X362," ",Z362," ","X"," ",Table43[[#This Row],[ISI/CTN]]," ",AB362," ",AD362," ",AH362))))</f>
        <v>KNF MASTER SPLASH COLOGNE DYNAMIC 150ML X 36 BTL</v>
      </c>
      <c r="O362" s="11">
        <f t="shared" si="20"/>
        <v>48</v>
      </c>
      <c r="P362" s="4" t="s">
        <v>97</v>
      </c>
      <c r="Q362" s="7" t="s">
        <v>98</v>
      </c>
      <c r="R362" s="4" t="s">
        <v>3822</v>
      </c>
      <c r="S362" s="44" t="s">
        <v>3823</v>
      </c>
      <c r="T362" s="45" t="s">
        <v>3824</v>
      </c>
      <c r="U362" s="7" t="s">
        <v>2656</v>
      </c>
      <c r="V362" s="45" t="s">
        <v>2961</v>
      </c>
      <c r="W362" s="44" t="s">
        <v>2900</v>
      </c>
      <c r="X362" s="4" t="s">
        <v>3827</v>
      </c>
      <c r="Y362" s="46" t="s">
        <v>2472</v>
      </c>
      <c r="Z362" s="4" t="s">
        <v>2464</v>
      </c>
      <c r="AA362" s="46" t="s">
        <v>2482</v>
      </c>
      <c r="AB362" s="4" t="s">
        <v>357</v>
      </c>
      <c r="AC362" s="7" t="s">
        <v>2656</v>
      </c>
      <c r="AD362" s="4" t="s">
        <v>2961</v>
      </c>
      <c r="AE362" s="7" t="s">
        <v>2900</v>
      </c>
      <c r="AF362" s="7" t="s">
        <v>2961</v>
      </c>
      <c r="AG362" s="7" t="s">
        <v>2961</v>
      </c>
      <c r="AI362" s="7" t="s">
        <v>4100</v>
      </c>
      <c r="AJ362" s="7" t="s">
        <v>2656</v>
      </c>
      <c r="AK362" s="41">
        <f>Table43[[#This Row],[Harga Jual Pcs GT
(-PPN)]]-(Table43[[#This Row],[Harga Jual Pcs GT
(-PPN)]]*10%)</f>
        <v>0</v>
      </c>
      <c r="AL362" s="42">
        <f>Table43[[#This Row],[Harga Beli Pcs
(-PPN)]]*Table43[[#This Row],[ISI/CTN]]</f>
        <v>0</v>
      </c>
      <c r="AM362" s="42">
        <f>Table43[[#This Row],[Harga Beli Pcs
(-PPN)]]*1.11</f>
        <v>0</v>
      </c>
      <c r="AN362" s="42">
        <f>Table43[[#This Row],[Harga Beli Krt
(- PPN)]]*1.11</f>
        <v>0</v>
      </c>
      <c r="AO362" s="42"/>
      <c r="AP362" s="42">
        <f>Table43[[#This Row],[Harga Jual Pcs GT
(-PPN)]]*Table43[[#This Row],[ISI/CTN]]</f>
        <v>0</v>
      </c>
      <c r="AQ362" s="42">
        <f>Table43[[#This Row],[Harga Jual Pcs GT
(-PPN)]]*1.11</f>
        <v>0</v>
      </c>
      <c r="AR362" s="42">
        <f>Table43[[#This Row],[Harga Jual Krt GT
(- PPN)]]*1.11</f>
        <v>0</v>
      </c>
      <c r="AS362" s="42">
        <f>Table43[[#This Row],[Harga Jual Pcs GT
(-PPN)]]</f>
        <v>0</v>
      </c>
      <c r="AT362" s="42">
        <f>(Table43[[#This Row],[Harga Jual Pcs MT
(-PPN)]]*Table43[[#This Row],[ISI/CTN]])</f>
        <v>0</v>
      </c>
      <c r="AU362" s="42">
        <f>Table43[[#This Row],[Harga Jual Pcs MT
(-PPN)]]*1.11</f>
        <v>0</v>
      </c>
      <c r="AV362" s="42">
        <f>Table43[[#This Row],[Harga Jual Pcs MT
(+PPN)]]*Table43[[#This Row],[ISI/CTN]]</f>
        <v>0</v>
      </c>
      <c r="AW362" s="47"/>
      <c r="AX362" s="7"/>
      <c r="AY362" s="7" t="str">
        <f ca="1">IF(TODAY()-Table43[[#This Row],[Efektif
Pembuatan]]&gt;60,"Lama","Baru")</f>
        <v>Lama</v>
      </c>
      <c r="AZ362" s="7" t="str">
        <f ca="1">IF(TODAY()-Table43[[#This Row],[Efektif Naik Harga]]&lt;30,"Naik","Sama")</f>
        <v>Sama</v>
      </c>
      <c r="BA362" s="7" t="str">
        <f>IF(Table43[[#This Row],[Kode BARANG Win2]]&lt;&gt;"","IDR","")</f>
        <v>IDR</v>
      </c>
      <c r="BB362" s="7" t="str">
        <f>CONCATENATE(Table43[[#This Row],[kode  1 Digit
(Nomor)]],Table43[[#This Row],[kode  4 Digit                (Nomor)]])</f>
        <v>10150</v>
      </c>
      <c r="BC362" s="7" t="str">
        <f>Table43[[#This Row],[Nama            Gramasi atau Jumlah Pack per CTN]]</f>
        <v>150ML</v>
      </c>
      <c r="BD362" s="7"/>
      <c r="BE362" s="7"/>
      <c r="BF362" s="4" t="str">
        <f>IF(Table43[[#This Row],[SATUAN Fix Win]]&lt;&gt;"","KRT")</f>
        <v>KRT</v>
      </c>
      <c r="BG362" s="4" t="str">
        <f>IF(Table43[[#This Row],[SATUAN Fix Win]]&lt;&gt;"","GD01")</f>
        <v>GD01</v>
      </c>
      <c r="BH362" s="4">
        <f>IF(Table43[[#This Row],[SATUAN Fix Win]]&lt;&gt;"",11611)</f>
        <v>11611</v>
      </c>
      <c r="BI362" s="4">
        <f>IF(Table43[[#This Row],[SATUAN Fix Win]]&lt;&gt;"",11612)</f>
        <v>11612</v>
      </c>
      <c r="BJ362" s="48"/>
      <c r="BK362" s="4">
        <f>IF(Table43[[#This Row],[SATUAN Fix Win]]&lt;&gt;"",1)</f>
        <v>1</v>
      </c>
    </row>
    <row r="363" spans="1:63">
      <c r="A363" s="4" t="str">
        <f>CONCATENATE(Table43[[#This Row],[Kode BARANG Win2]],Table43[[#This Row],[No. Urut
Item Sama]])</f>
        <v>K12410030075101</v>
      </c>
      <c r="B363" s="7">
        <v>1</v>
      </c>
      <c r="D363" s="28" t="s">
        <v>616</v>
      </c>
      <c r="E363" s="28"/>
      <c r="F363" s="28" t="s">
        <v>3143</v>
      </c>
      <c r="G363" s="78">
        <v>36</v>
      </c>
      <c r="H363" s="43"/>
      <c r="I363" s="28" t="str">
        <f>Table43[[#This Row],[Nama Jenis Kemasan]]</f>
        <v>BTL</v>
      </c>
      <c r="J363" s="4" t="str">
        <f>TRIM(CONCATENATE(Table43[[#This Row],[Nama            KLP]]," ",Table43[[#This Row],[Nama            Sub KLP]]))</f>
        <v>MASTER SPLASH COLOGNE</v>
      </c>
      <c r="K363" s="4" t="str">
        <f>CONCATENATE(Table43[[#This Row],[kode  2 Digit                (hrf+No)]],Table43[[#This Row],[kode  2 Digit                (Nomor)]],Table43[[#This Row],[kode  1 Digit                (Nomor)]])</f>
        <v>K1241</v>
      </c>
      <c r="L363" s="4" t="str">
        <f t="shared" si="18"/>
        <v>K1241003007510</v>
      </c>
      <c r="M363" s="11">
        <f t="shared" si="19"/>
        <v>14</v>
      </c>
      <c r="N363" s="14" t="str">
        <f>IF(AF363&lt;&gt;"",TRIM(UPPER(CONCATENATE(P363," ",R363," ",T363," ",V363," ",X363," ",Z363," ","X"," ",Table43[[#This Row],[ISI/CTN]]," ",AF363," ",AB363," ",AD363," ",AH363))),TRIM(UPPER(CONCATENATE(P363," ",R363," ",T363," ",V363," ",X363," ",Z363," ","X"," ",Table43[[#This Row],[ISI/CTN]]," ",AB363," ",AD363," ",AH363))))</f>
        <v>KNF MASTER SPLASH COLOGNE FREEDOM 75ML X 36 BTL</v>
      </c>
      <c r="O363" s="11">
        <f t="shared" si="20"/>
        <v>47</v>
      </c>
      <c r="P363" s="4" t="s">
        <v>97</v>
      </c>
      <c r="Q363" s="7" t="s">
        <v>98</v>
      </c>
      <c r="R363" s="4" t="s">
        <v>3822</v>
      </c>
      <c r="S363" s="44" t="s">
        <v>3823</v>
      </c>
      <c r="T363" s="45" t="s">
        <v>3824</v>
      </c>
      <c r="U363" s="7" t="s">
        <v>2656</v>
      </c>
      <c r="V363" s="45" t="s">
        <v>2961</v>
      </c>
      <c r="W363" s="44" t="s">
        <v>2900</v>
      </c>
      <c r="X363" s="4" t="s">
        <v>3828</v>
      </c>
      <c r="Y363" s="46" t="s">
        <v>2473</v>
      </c>
      <c r="Z363" s="4" t="s">
        <v>3826</v>
      </c>
      <c r="AA363" s="46" t="s">
        <v>2505</v>
      </c>
      <c r="AB363" s="4" t="s">
        <v>357</v>
      </c>
      <c r="AC363" s="7" t="s">
        <v>2656</v>
      </c>
      <c r="AD363" s="4" t="s">
        <v>2961</v>
      </c>
      <c r="AE363" s="7" t="s">
        <v>2900</v>
      </c>
      <c r="AF363" s="7" t="s">
        <v>2961</v>
      </c>
      <c r="AG363" s="7" t="s">
        <v>2961</v>
      </c>
      <c r="AI363" s="7" t="s">
        <v>4100</v>
      </c>
      <c r="AJ363" s="7" t="s">
        <v>2656</v>
      </c>
      <c r="AK363" s="41">
        <f>Table43[[#This Row],[Harga Jual Pcs GT
(-PPN)]]-(Table43[[#This Row],[Harga Jual Pcs GT
(-PPN)]]*10%)</f>
        <v>0</v>
      </c>
      <c r="AL363" s="42">
        <f>Table43[[#This Row],[Harga Beli Pcs
(-PPN)]]*Table43[[#This Row],[ISI/CTN]]</f>
        <v>0</v>
      </c>
      <c r="AM363" s="42">
        <f>Table43[[#This Row],[Harga Beli Pcs
(-PPN)]]*1.11</f>
        <v>0</v>
      </c>
      <c r="AN363" s="42">
        <f>Table43[[#This Row],[Harga Beli Krt
(- PPN)]]*1.11</f>
        <v>0</v>
      </c>
      <c r="AO363" s="42"/>
      <c r="AP363" s="42">
        <f>Table43[[#This Row],[Harga Jual Pcs GT
(-PPN)]]*Table43[[#This Row],[ISI/CTN]]</f>
        <v>0</v>
      </c>
      <c r="AQ363" s="42">
        <f>Table43[[#This Row],[Harga Jual Pcs GT
(-PPN)]]*1.11</f>
        <v>0</v>
      </c>
      <c r="AR363" s="42">
        <f>Table43[[#This Row],[Harga Jual Krt GT
(- PPN)]]*1.11</f>
        <v>0</v>
      </c>
      <c r="AS363" s="42">
        <f>Table43[[#This Row],[Harga Jual Pcs GT
(-PPN)]]</f>
        <v>0</v>
      </c>
      <c r="AT363" s="42">
        <f>(Table43[[#This Row],[Harga Jual Pcs MT
(-PPN)]]*Table43[[#This Row],[ISI/CTN]])</f>
        <v>0</v>
      </c>
      <c r="AU363" s="42">
        <f>Table43[[#This Row],[Harga Jual Pcs MT
(-PPN)]]*1.11</f>
        <v>0</v>
      </c>
      <c r="AV363" s="42">
        <f>Table43[[#This Row],[Harga Jual Pcs MT
(+PPN)]]*Table43[[#This Row],[ISI/CTN]]</f>
        <v>0</v>
      </c>
      <c r="AW363" s="47"/>
      <c r="AX363" s="7"/>
      <c r="AY363" s="7" t="str">
        <f ca="1">IF(TODAY()-Table43[[#This Row],[Efektif
Pembuatan]]&gt;60,"Lama","Baru")</f>
        <v>Lama</v>
      </c>
      <c r="AZ363" s="7" t="str">
        <f ca="1">IF(TODAY()-Table43[[#This Row],[Efektif Naik Harga]]&lt;30,"Naik","Sama")</f>
        <v>Sama</v>
      </c>
      <c r="BA363" s="7" t="str">
        <f>IF(Table43[[#This Row],[Kode BARANG Win2]]&lt;&gt;"","IDR","")</f>
        <v>IDR</v>
      </c>
      <c r="BB363" s="7" t="str">
        <f>CONCATENATE(Table43[[#This Row],[kode  1 Digit
(Nomor)]],Table43[[#This Row],[kode  4 Digit                (Nomor)]])</f>
        <v>10075</v>
      </c>
      <c r="BC363" s="7" t="str">
        <f>Table43[[#This Row],[Nama            Gramasi atau Jumlah Pack per CTN]]</f>
        <v>75ML</v>
      </c>
      <c r="BD363" s="7"/>
      <c r="BE363" s="7"/>
      <c r="BF363" s="4" t="str">
        <f>IF(Table43[[#This Row],[SATUAN Fix Win]]&lt;&gt;"","KRT")</f>
        <v>KRT</v>
      </c>
      <c r="BG363" s="4" t="str">
        <f>IF(Table43[[#This Row],[SATUAN Fix Win]]&lt;&gt;"","GD01")</f>
        <v>GD01</v>
      </c>
      <c r="BH363" s="4">
        <f>IF(Table43[[#This Row],[SATUAN Fix Win]]&lt;&gt;"",11611)</f>
        <v>11611</v>
      </c>
      <c r="BI363" s="4">
        <f>IF(Table43[[#This Row],[SATUAN Fix Win]]&lt;&gt;"",11612)</f>
        <v>11612</v>
      </c>
      <c r="BJ363" s="48"/>
      <c r="BK363" s="4">
        <f>IF(Table43[[#This Row],[SATUAN Fix Win]]&lt;&gt;"",1)</f>
        <v>1</v>
      </c>
    </row>
    <row r="364" spans="1:63">
      <c r="A364" s="4" t="str">
        <f>CONCATENATE(Table43[[#This Row],[Kode BARANG Win2]],Table43[[#This Row],[No. Urut
Item Sama]])</f>
        <v>K12410030150101</v>
      </c>
      <c r="B364" s="7">
        <v>1</v>
      </c>
      <c r="D364" s="28" t="s">
        <v>617</v>
      </c>
      <c r="E364" s="28"/>
      <c r="F364" s="28" t="s">
        <v>3144</v>
      </c>
      <c r="G364" s="78">
        <v>36</v>
      </c>
      <c r="H364" s="43"/>
      <c r="I364" s="28" t="str">
        <f>Table43[[#This Row],[Nama Jenis Kemasan]]</f>
        <v>BTL</v>
      </c>
      <c r="J364" s="4" t="str">
        <f>TRIM(CONCATENATE(Table43[[#This Row],[Nama            KLP]]," ",Table43[[#This Row],[Nama            Sub KLP]]))</f>
        <v>MASTER SPLASH COLOGNE</v>
      </c>
      <c r="K364" s="4" t="str">
        <f>CONCATENATE(Table43[[#This Row],[kode  2 Digit                (hrf+No)]],Table43[[#This Row],[kode  2 Digit                (Nomor)]],Table43[[#This Row],[kode  1 Digit                (Nomor)]])</f>
        <v>K1241</v>
      </c>
      <c r="L364" s="4" t="str">
        <f t="shared" si="18"/>
        <v>K1241003015010</v>
      </c>
      <c r="M364" s="11">
        <f t="shared" si="19"/>
        <v>14</v>
      </c>
      <c r="N364" s="14" t="str">
        <f>IF(AF364&lt;&gt;"",TRIM(UPPER(CONCATENATE(P364," ",R364," ",T364," ",V364," ",X364," ",Z364," ","X"," ",Table43[[#This Row],[ISI/CTN]]," ",AF364," ",AB364," ",AD364," ",AH364))),TRIM(UPPER(CONCATENATE(P364," ",R364," ",T364," ",V364," ",X364," ",Z364," ","X"," ",Table43[[#This Row],[ISI/CTN]]," ",AB364," ",AD364," ",AH364))))</f>
        <v>KNF MASTER SPLASH COLOGNE FREEDOM 150ML X 36 BTL</v>
      </c>
      <c r="O364" s="11">
        <f t="shared" si="20"/>
        <v>48</v>
      </c>
      <c r="P364" s="4" t="s">
        <v>97</v>
      </c>
      <c r="Q364" s="7" t="s">
        <v>98</v>
      </c>
      <c r="R364" s="4" t="s">
        <v>3822</v>
      </c>
      <c r="S364" s="44" t="s">
        <v>3823</v>
      </c>
      <c r="T364" s="45" t="s">
        <v>3824</v>
      </c>
      <c r="U364" s="7" t="s">
        <v>2656</v>
      </c>
      <c r="V364" s="45" t="s">
        <v>2961</v>
      </c>
      <c r="W364" s="44" t="s">
        <v>2900</v>
      </c>
      <c r="X364" s="4" t="s">
        <v>3828</v>
      </c>
      <c r="Y364" s="46" t="s">
        <v>2473</v>
      </c>
      <c r="Z364" s="4" t="s">
        <v>2464</v>
      </c>
      <c r="AA364" s="46" t="s">
        <v>2482</v>
      </c>
      <c r="AB364" s="4" t="s">
        <v>357</v>
      </c>
      <c r="AC364" s="7" t="s">
        <v>2656</v>
      </c>
      <c r="AD364" s="4" t="s">
        <v>2961</v>
      </c>
      <c r="AE364" s="7" t="s">
        <v>2900</v>
      </c>
      <c r="AF364" s="7" t="s">
        <v>2961</v>
      </c>
      <c r="AG364" s="7" t="s">
        <v>2961</v>
      </c>
      <c r="AI364" s="7" t="s">
        <v>4100</v>
      </c>
      <c r="AJ364" s="7" t="s">
        <v>2656</v>
      </c>
      <c r="AK364" s="41">
        <f>Table43[[#This Row],[Harga Jual Pcs GT
(-PPN)]]-(Table43[[#This Row],[Harga Jual Pcs GT
(-PPN)]]*10%)</f>
        <v>0</v>
      </c>
      <c r="AL364" s="42">
        <f>Table43[[#This Row],[Harga Beli Pcs
(-PPN)]]*Table43[[#This Row],[ISI/CTN]]</f>
        <v>0</v>
      </c>
      <c r="AM364" s="42">
        <f>Table43[[#This Row],[Harga Beli Pcs
(-PPN)]]*1.11</f>
        <v>0</v>
      </c>
      <c r="AN364" s="42">
        <f>Table43[[#This Row],[Harga Beli Krt
(- PPN)]]*1.11</f>
        <v>0</v>
      </c>
      <c r="AO364" s="42"/>
      <c r="AP364" s="42">
        <f>Table43[[#This Row],[Harga Jual Pcs GT
(-PPN)]]*Table43[[#This Row],[ISI/CTN]]</f>
        <v>0</v>
      </c>
      <c r="AQ364" s="42">
        <f>Table43[[#This Row],[Harga Jual Pcs GT
(-PPN)]]*1.11</f>
        <v>0</v>
      </c>
      <c r="AR364" s="42">
        <f>Table43[[#This Row],[Harga Jual Krt GT
(- PPN)]]*1.11</f>
        <v>0</v>
      </c>
      <c r="AS364" s="42">
        <f>Table43[[#This Row],[Harga Jual Pcs GT
(-PPN)]]</f>
        <v>0</v>
      </c>
      <c r="AT364" s="42">
        <f>(Table43[[#This Row],[Harga Jual Pcs MT
(-PPN)]]*Table43[[#This Row],[ISI/CTN]])</f>
        <v>0</v>
      </c>
      <c r="AU364" s="42">
        <f>Table43[[#This Row],[Harga Jual Pcs MT
(-PPN)]]*1.11</f>
        <v>0</v>
      </c>
      <c r="AV364" s="42">
        <f>Table43[[#This Row],[Harga Jual Pcs MT
(+PPN)]]*Table43[[#This Row],[ISI/CTN]]</f>
        <v>0</v>
      </c>
      <c r="AW364" s="47"/>
      <c r="AX364" s="7"/>
      <c r="AY364" s="7" t="str">
        <f ca="1">IF(TODAY()-Table43[[#This Row],[Efektif
Pembuatan]]&gt;60,"Lama","Baru")</f>
        <v>Lama</v>
      </c>
      <c r="AZ364" s="7" t="str">
        <f ca="1">IF(TODAY()-Table43[[#This Row],[Efektif Naik Harga]]&lt;30,"Naik","Sama")</f>
        <v>Sama</v>
      </c>
      <c r="BA364" s="7" t="str">
        <f>IF(Table43[[#This Row],[Kode BARANG Win2]]&lt;&gt;"","IDR","")</f>
        <v>IDR</v>
      </c>
      <c r="BB364" s="7" t="str">
        <f>CONCATENATE(Table43[[#This Row],[kode  1 Digit
(Nomor)]],Table43[[#This Row],[kode  4 Digit                (Nomor)]])</f>
        <v>10150</v>
      </c>
      <c r="BC364" s="7" t="str">
        <f>Table43[[#This Row],[Nama            Gramasi atau Jumlah Pack per CTN]]</f>
        <v>150ML</v>
      </c>
      <c r="BD364" s="7"/>
      <c r="BE364" s="7"/>
      <c r="BF364" s="4" t="str">
        <f>IF(Table43[[#This Row],[SATUAN Fix Win]]&lt;&gt;"","KRT")</f>
        <v>KRT</v>
      </c>
      <c r="BG364" s="4" t="str">
        <f>IF(Table43[[#This Row],[SATUAN Fix Win]]&lt;&gt;"","GD01")</f>
        <v>GD01</v>
      </c>
      <c r="BH364" s="4">
        <f>IF(Table43[[#This Row],[SATUAN Fix Win]]&lt;&gt;"",11611)</f>
        <v>11611</v>
      </c>
      <c r="BI364" s="4">
        <f>IF(Table43[[#This Row],[SATUAN Fix Win]]&lt;&gt;"",11612)</f>
        <v>11612</v>
      </c>
      <c r="BJ364" s="48"/>
      <c r="BK364" s="4">
        <f>IF(Table43[[#This Row],[SATUAN Fix Win]]&lt;&gt;"",1)</f>
        <v>1</v>
      </c>
    </row>
    <row r="365" spans="1:63">
      <c r="A365" s="4" t="str">
        <f>CONCATENATE(Table43[[#This Row],[Kode BARANG Win2]],Table43[[#This Row],[No. Urut
Item Sama]])</f>
        <v>K12410040075101</v>
      </c>
      <c r="B365" s="7">
        <v>1</v>
      </c>
      <c r="D365" s="28" t="s">
        <v>618</v>
      </c>
      <c r="E365" s="28"/>
      <c r="F365" s="28" t="s">
        <v>3145</v>
      </c>
      <c r="G365" s="78">
        <v>36</v>
      </c>
      <c r="H365" s="43"/>
      <c r="I365" s="28" t="str">
        <f>Table43[[#This Row],[Nama Jenis Kemasan]]</f>
        <v>BTL</v>
      </c>
      <c r="J365" s="4" t="str">
        <f>TRIM(CONCATENATE(Table43[[#This Row],[Nama            KLP]]," ",Table43[[#This Row],[Nama            Sub KLP]]))</f>
        <v>MASTER SPLASH COLOGNE</v>
      </c>
      <c r="K365" s="4" t="str">
        <f>CONCATENATE(Table43[[#This Row],[kode  2 Digit                (hrf+No)]],Table43[[#This Row],[kode  2 Digit                (Nomor)]],Table43[[#This Row],[kode  1 Digit                (Nomor)]])</f>
        <v>K1241</v>
      </c>
      <c r="L365" s="4" t="str">
        <f t="shared" si="18"/>
        <v>K1241004007510</v>
      </c>
      <c r="M365" s="11">
        <f t="shared" si="19"/>
        <v>14</v>
      </c>
      <c r="N365" s="14" t="str">
        <f>IF(AF365&lt;&gt;"",TRIM(UPPER(CONCATENATE(P365," ",R365," ",T365," ",V365," ",X365," ",Z365," ","X"," ",Table43[[#This Row],[ISI/CTN]]," ",AF365," ",AB365," ",AD365," ",AH365))),TRIM(UPPER(CONCATENATE(P365," ",R365," ",T365," ",V365," ",X365," ",Z365," ","X"," ",Table43[[#This Row],[ISI/CTN]]," ",AB365," ",AD365," ",AH365))))</f>
        <v>KNF MASTER SPLASH COLOGNE PASSION 75ML X 36 BTL</v>
      </c>
      <c r="O365" s="11">
        <f t="shared" si="20"/>
        <v>47</v>
      </c>
      <c r="P365" s="4" t="s">
        <v>97</v>
      </c>
      <c r="Q365" s="7" t="s">
        <v>98</v>
      </c>
      <c r="R365" s="4" t="s">
        <v>3822</v>
      </c>
      <c r="S365" s="44" t="s">
        <v>3823</v>
      </c>
      <c r="T365" s="45" t="s">
        <v>3824</v>
      </c>
      <c r="U365" s="7" t="s">
        <v>2656</v>
      </c>
      <c r="V365" s="45" t="s">
        <v>2961</v>
      </c>
      <c r="W365" s="44" t="s">
        <v>2900</v>
      </c>
      <c r="X365" s="4" t="s">
        <v>3829</v>
      </c>
      <c r="Y365" s="46" t="s">
        <v>2474</v>
      </c>
      <c r="Z365" s="4" t="s">
        <v>3826</v>
      </c>
      <c r="AA365" s="46" t="s">
        <v>2505</v>
      </c>
      <c r="AB365" s="4" t="s">
        <v>357</v>
      </c>
      <c r="AC365" s="7" t="s">
        <v>2656</v>
      </c>
      <c r="AD365" s="4" t="s">
        <v>2961</v>
      </c>
      <c r="AE365" s="7" t="s">
        <v>2900</v>
      </c>
      <c r="AF365" s="7" t="s">
        <v>2961</v>
      </c>
      <c r="AG365" s="7" t="s">
        <v>2961</v>
      </c>
      <c r="AI365" s="7" t="s">
        <v>4100</v>
      </c>
      <c r="AJ365" s="7" t="s">
        <v>2656</v>
      </c>
      <c r="AK365" s="41">
        <f>Table43[[#This Row],[Harga Jual Pcs GT
(-PPN)]]-(Table43[[#This Row],[Harga Jual Pcs GT
(-PPN)]]*10%)</f>
        <v>0</v>
      </c>
      <c r="AL365" s="42">
        <f>Table43[[#This Row],[Harga Beli Pcs
(-PPN)]]*Table43[[#This Row],[ISI/CTN]]</f>
        <v>0</v>
      </c>
      <c r="AM365" s="42">
        <f>Table43[[#This Row],[Harga Beli Pcs
(-PPN)]]*1.11</f>
        <v>0</v>
      </c>
      <c r="AN365" s="42">
        <f>Table43[[#This Row],[Harga Beli Krt
(- PPN)]]*1.11</f>
        <v>0</v>
      </c>
      <c r="AO365" s="42"/>
      <c r="AP365" s="42">
        <f>Table43[[#This Row],[Harga Jual Pcs GT
(-PPN)]]*Table43[[#This Row],[ISI/CTN]]</f>
        <v>0</v>
      </c>
      <c r="AQ365" s="42">
        <f>Table43[[#This Row],[Harga Jual Pcs GT
(-PPN)]]*1.11</f>
        <v>0</v>
      </c>
      <c r="AR365" s="42">
        <f>Table43[[#This Row],[Harga Jual Krt GT
(- PPN)]]*1.11</f>
        <v>0</v>
      </c>
      <c r="AS365" s="42">
        <f>Table43[[#This Row],[Harga Jual Pcs GT
(-PPN)]]</f>
        <v>0</v>
      </c>
      <c r="AT365" s="42">
        <f>(Table43[[#This Row],[Harga Jual Pcs MT
(-PPN)]]*Table43[[#This Row],[ISI/CTN]])</f>
        <v>0</v>
      </c>
      <c r="AU365" s="42">
        <f>Table43[[#This Row],[Harga Jual Pcs MT
(-PPN)]]*1.11</f>
        <v>0</v>
      </c>
      <c r="AV365" s="42">
        <f>Table43[[#This Row],[Harga Jual Pcs MT
(+PPN)]]*Table43[[#This Row],[ISI/CTN]]</f>
        <v>0</v>
      </c>
      <c r="AW365" s="47"/>
      <c r="AX365" s="7"/>
      <c r="AY365" s="7" t="str">
        <f ca="1">IF(TODAY()-Table43[[#This Row],[Efektif
Pembuatan]]&gt;60,"Lama","Baru")</f>
        <v>Lama</v>
      </c>
      <c r="AZ365" s="7" t="str">
        <f ca="1">IF(TODAY()-Table43[[#This Row],[Efektif Naik Harga]]&lt;30,"Naik","Sama")</f>
        <v>Sama</v>
      </c>
      <c r="BA365" s="7" t="str">
        <f>IF(Table43[[#This Row],[Kode BARANG Win2]]&lt;&gt;"","IDR","")</f>
        <v>IDR</v>
      </c>
      <c r="BB365" s="7" t="str">
        <f>CONCATENATE(Table43[[#This Row],[kode  1 Digit
(Nomor)]],Table43[[#This Row],[kode  4 Digit                (Nomor)]])</f>
        <v>10075</v>
      </c>
      <c r="BC365" s="7" t="str">
        <f>Table43[[#This Row],[Nama            Gramasi atau Jumlah Pack per CTN]]</f>
        <v>75ML</v>
      </c>
      <c r="BD365" s="7"/>
      <c r="BE365" s="7"/>
      <c r="BF365" s="4" t="str">
        <f>IF(Table43[[#This Row],[SATUAN Fix Win]]&lt;&gt;"","KRT")</f>
        <v>KRT</v>
      </c>
      <c r="BG365" s="4" t="str">
        <f>IF(Table43[[#This Row],[SATUAN Fix Win]]&lt;&gt;"","GD01")</f>
        <v>GD01</v>
      </c>
      <c r="BH365" s="4">
        <f>IF(Table43[[#This Row],[SATUAN Fix Win]]&lt;&gt;"",11611)</f>
        <v>11611</v>
      </c>
      <c r="BI365" s="4">
        <f>IF(Table43[[#This Row],[SATUAN Fix Win]]&lt;&gt;"",11612)</f>
        <v>11612</v>
      </c>
      <c r="BJ365" s="48"/>
      <c r="BK365" s="4">
        <f>IF(Table43[[#This Row],[SATUAN Fix Win]]&lt;&gt;"",1)</f>
        <v>1</v>
      </c>
    </row>
    <row r="366" spans="1:63">
      <c r="A366" s="4" t="str">
        <f>CONCATENATE(Table43[[#This Row],[Kode BARANG Win2]],Table43[[#This Row],[No. Urut
Item Sama]])</f>
        <v>K12410040150101</v>
      </c>
      <c r="B366" s="7">
        <v>1</v>
      </c>
      <c r="D366" s="28" t="s">
        <v>619</v>
      </c>
      <c r="E366" s="28"/>
      <c r="F366" s="28" t="s">
        <v>3146</v>
      </c>
      <c r="G366" s="78">
        <v>36</v>
      </c>
      <c r="H366" s="43"/>
      <c r="I366" s="28" t="str">
        <f>Table43[[#This Row],[Nama Jenis Kemasan]]</f>
        <v>BTL</v>
      </c>
      <c r="J366" s="4" t="str">
        <f>TRIM(CONCATENATE(Table43[[#This Row],[Nama            KLP]]," ",Table43[[#This Row],[Nama            Sub KLP]]))</f>
        <v>MASTER SPLASH COLOGNE</v>
      </c>
      <c r="K366" s="4" t="str">
        <f>CONCATENATE(Table43[[#This Row],[kode  2 Digit                (hrf+No)]],Table43[[#This Row],[kode  2 Digit                (Nomor)]],Table43[[#This Row],[kode  1 Digit                (Nomor)]])</f>
        <v>K1241</v>
      </c>
      <c r="L366" s="4" t="str">
        <f t="shared" si="18"/>
        <v>K1241004015010</v>
      </c>
      <c r="M366" s="11">
        <f t="shared" si="19"/>
        <v>14</v>
      </c>
      <c r="N366" s="14" t="str">
        <f>IF(AF366&lt;&gt;"",TRIM(UPPER(CONCATENATE(P366," ",R366," ",T366," ",V366," ",X366," ",Z366," ","X"," ",Table43[[#This Row],[ISI/CTN]]," ",AF366," ",AB366," ",AD366," ",AH366))),TRIM(UPPER(CONCATENATE(P366," ",R366," ",T366," ",V366," ",X366," ",Z366," ","X"," ",Table43[[#This Row],[ISI/CTN]]," ",AB366," ",AD366," ",AH366))))</f>
        <v>KNF MASTER SPLASH COLOGNE PASSION 150ML X 36 BTL</v>
      </c>
      <c r="O366" s="11">
        <f t="shared" si="20"/>
        <v>48</v>
      </c>
      <c r="P366" s="4" t="s">
        <v>97</v>
      </c>
      <c r="Q366" s="7" t="s">
        <v>98</v>
      </c>
      <c r="R366" s="4" t="s">
        <v>3822</v>
      </c>
      <c r="S366" s="44" t="s">
        <v>3823</v>
      </c>
      <c r="T366" s="45" t="s">
        <v>3824</v>
      </c>
      <c r="U366" s="7" t="s">
        <v>2656</v>
      </c>
      <c r="V366" s="45" t="s">
        <v>2961</v>
      </c>
      <c r="W366" s="44" t="s">
        <v>2900</v>
      </c>
      <c r="X366" s="4" t="s">
        <v>3829</v>
      </c>
      <c r="Y366" s="46" t="s">
        <v>2474</v>
      </c>
      <c r="Z366" s="4" t="s">
        <v>2464</v>
      </c>
      <c r="AA366" s="46" t="s">
        <v>2482</v>
      </c>
      <c r="AB366" s="4" t="s">
        <v>357</v>
      </c>
      <c r="AC366" s="7" t="s">
        <v>2656</v>
      </c>
      <c r="AD366" s="4" t="s">
        <v>2961</v>
      </c>
      <c r="AE366" s="7" t="s">
        <v>2900</v>
      </c>
      <c r="AF366" s="7" t="s">
        <v>2961</v>
      </c>
      <c r="AG366" s="7" t="s">
        <v>2961</v>
      </c>
      <c r="AI366" s="7" t="s">
        <v>4100</v>
      </c>
      <c r="AJ366" s="7" t="s">
        <v>2656</v>
      </c>
      <c r="AK366" s="41">
        <f>Table43[[#This Row],[Harga Jual Pcs GT
(-PPN)]]-(Table43[[#This Row],[Harga Jual Pcs GT
(-PPN)]]*10%)</f>
        <v>0</v>
      </c>
      <c r="AL366" s="42">
        <f>Table43[[#This Row],[Harga Beli Pcs
(-PPN)]]*Table43[[#This Row],[ISI/CTN]]</f>
        <v>0</v>
      </c>
      <c r="AM366" s="42">
        <f>Table43[[#This Row],[Harga Beli Pcs
(-PPN)]]*1.11</f>
        <v>0</v>
      </c>
      <c r="AN366" s="42">
        <f>Table43[[#This Row],[Harga Beli Krt
(- PPN)]]*1.11</f>
        <v>0</v>
      </c>
      <c r="AO366" s="42"/>
      <c r="AP366" s="42">
        <f>Table43[[#This Row],[Harga Jual Pcs GT
(-PPN)]]*Table43[[#This Row],[ISI/CTN]]</f>
        <v>0</v>
      </c>
      <c r="AQ366" s="42">
        <f>Table43[[#This Row],[Harga Jual Pcs GT
(-PPN)]]*1.11</f>
        <v>0</v>
      </c>
      <c r="AR366" s="42">
        <f>Table43[[#This Row],[Harga Jual Krt GT
(- PPN)]]*1.11</f>
        <v>0</v>
      </c>
      <c r="AS366" s="42">
        <f>Table43[[#This Row],[Harga Jual Pcs GT
(-PPN)]]</f>
        <v>0</v>
      </c>
      <c r="AT366" s="42">
        <f>(Table43[[#This Row],[Harga Jual Pcs MT
(-PPN)]]*Table43[[#This Row],[ISI/CTN]])</f>
        <v>0</v>
      </c>
      <c r="AU366" s="42">
        <f>Table43[[#This Row],[Harga Jual Pcs MT
(-PPN)]]*1.11</f>
        <v>0</v>
      </c>
      <c r="AV366" s="42">
        <f>Table43[[#This Row],[Harga Jual Pcs MT
(+PPN)]]*Table43[[#This Row],[ISI/CTN]]</f>
        <v>0</v>
      </c>
      <c r="AW366" s="47"/>
      <c r="AX366" s="7"/>
      <c r="AY366" s="7" t="str">
        <f ca="1">IF(TODAY()-Table43[[#This Row],[Efektif
Pembuatan]]&gt;60,"Lama","Baru")</f>
        <v>Lama</v>
      </c>
      <c r="AZ366" s="7" t="str">
        <f ca="1">IF(TODAY()-Table43[[#This Row],[Efektif Naik Harga]]&lt;30,"Naik","Sama")</f>
        <v>Sama</v>
      </c>
      <c r="BA366" s="7" t="str">
        <f>IF(Table43[[#This Row],[Kode BARANG Win2]]&lt;&gt;"","IDR","")</f>
        <v>IDR</v>
      </c>
      <c r="BB366" s="7" t="str">
        <f>CONCATENATE(Table43[[#This Row],[kode  1 Digit
(Nomor)]],Table43[[#This Row],[kode  4 Digit                (Nomor)]])</f>
        <v>10150</v>
      </c>
      <c r="BC366" s="7" t="str">
        <f>Table43[[#This Row],[Nama            Gramasi atau Jumlah Pack per CTN]]</f>
        <v>150ML</v>
      </c>
      <c r="BD366" s="7"/>
      <c r="BE366" s="7"/>
      <c r="BF366" s="4" t="str">
        <f>IF(Table43[[#This Row],[SATUAN Fix Win]]&lt;&gt;"","KRT")</f>
        <v>KRT</v>
      </c>
      <c r="BG366" s="4" t="str">
        <f>IF(Table43[[#This Row],[SATUAN Fix Win]]&lt;&gt;"","GD01")</f>
        <v>GD01</v>
      </c>
      <c r="BH366" s="4">
        <f>IF(Table43[[#This Row],[SATUAN Fix Win]]&lt;&gt;"",11611)</f>
        <v>11611</v>
      </c>
      <c r="BI366" s="4">
        <f>IF(Table43[[#This Row],[SATUAN Fix Win]]&lt;&gt;"",11612)</f>
        <v>11612</v>
      </c>
      <c r="BJ366" s="48"/>
      <c r="BK366" s="4">
        <f>IF(Table43[[#This Row],[SATUAN Fix Win]]&lt;&gt;"",1)</f>
        <v>1</v>
      </c>
    </row>
    <row r="367" spans="1:63">
      <c r="A367" s="4" t="str">
        <f>CONCATENATE(Table43[[#This Row],[Kode BARANG Win2]],Table43[[#This Row],[No. Urut
Item Sama]])</f>
        <v>K12410050075101</v>
      </c>
      <c r="B367" s="7">
        <v>1</v>
      </c>
      <c r="D367" s="28" t="s">
        <v>620</v>
      </c>
      <c r="E367" s="28"/>
      <c r="F367" s="28" t="s">
        <v>3147</v>
      </c>
      <c r="G367" s="78">
        <v>36</v>
      </c>
      <c r="H367" s="43"/>
      <c r="I367" s="28" t="str">
        <f>Table43[[#This Row],[Nama Jenis Kemasan]]</f>
        <v>BTL</v>
      </c>
      <c r="J367" s="4" t="str">
        <f>TRIM(CONCATENATE(Table43[[#This Row],[Nama            KLP]]," ",Table43[[#This Row],[Nama            Sub KLP]]))</f>
        <v>MASTER SPLASH COLOGNE</v>
      </c>
      <c r="K367" s="4" t="str">
        <f>CONCATENATE(Table43[[#This Row],[kode  2 Digit                (hrf+No)]],Table43[[#This Row],[kode  2 Digit                (Nomor)]],Table43[[#This Row],[kode  1 Digit                (Nomor)]])</f>
        <v>K1241</v>
      </c>
      <c r="L367" s="4" t="str">
        <f t="shared" si="18"/>
        <v>K1241005007510</v>
      </c>
      <c r="M367" s="11">
        <f t="shared" si="19"/>
        <v>14</v>
      </c>
      <c r="N367" s="14" t="str">
        <f>IF(AF367&lt;&gt;"",TRIM(UPPER(CONCATENATE(P367," ",R367," ",T367," ",V367," ",X367," ",Z367," ","X"," ",Table43[[#This Row],[ISI/CTN]]," ",AF367," ",AB367," ",AD367," ",AH367))),TRIM(UPPER(CONCATENATE(P367," ",R367," ",T367," ",V367," ",X367," ",Z367," ","X"," ",Table43[[#This Row],[ISI/CTN]]," ",AB367," ",AD367," ",AH367))))</f>
        <v>KNF MASTER SPLASH COLOGNE POWER 75ML X 36 BTL</v>
      </c>
      <c r="O367" s="11">
        <f t="shared" si="20"/>
        <v>45</v>
      </c>
      <c r="P367" s="4" t="s">
        <v>97</v>
      </c>
      <c r="Q367" s="7" t="s">
        <v>98</v>
      </c>
      <c r="R367" s="4" t="s">
        <v>3822</v>
      </c>
      <c r="S367" s="44" t="s">
        <v>3823</v>
      </c>
      <c r="T367" s="45" t="s">
        <v>3824</v>
      </c>
      <c r="U367" s="7" t="s">
        <v>2656</v>
      </c>
      <c r="V367" s="45" t="s">
        <v>2961</v>
      </c>
      <c r="W367" s="44" t="s">
        <v>2900</v>
      </c>
      <c r="X367" s="4" t="s">
        <v>3830</v>
      </c>
      <c r="Y367" s="46" t="s">
        <v>2475</v>
      </c>
      <c r="Z367" s="4" t="s">
        <v>3826</v>
      </c>
      <c r="AA367" s="46" t="s">
        <v>2505</v>
      </c>
      <c r="AB367" s="4" t="s">
        <v>357</v>
      </c>
      <c r="AC367" s="7" t="s">
        <v>2656</v>
      </c>
      <c r="AD367" s="4" t="s">
        <v>2961</v>
      </c>
      <c r="AE367" s="7" t="s">
        <v>2900</v>
      </c>
      <c r="AF367" s="7" t="s">
        <v>2961</v>
      </c>
      <c r="AG367" s="7" t="s">
        <v>2961</v>
      </c>
      <c r="AI367" s="7" t="s">
        <v>4100</v>
      </c>
      <c r="AJ367" s="7" t="s">
        <v>2656</v>
      </c>
      <c r="AK367" s="41">
        <f>Table43[[#This Row],[Harga Jual Pcs GT
(-PPN)]]-(Table43[[#This Row],[Harga Jual Pcs GT
(-PPN)]]*10%)</f>
        <v>0</v>
      </c>
      <c r="AL367" s="42">
        <f>Table43[[#This Row],[Harga Beli Pcs
(-PPN)]]*Table43[[#This Row],[ISI/CTN]]</f>
        <v>0</v>
      </c>
      <c r="AM367" s="42">
        <f>Table43[[#This Row],[Harga Beli Pcs
(-PPN)]]*1.11</f>
        <v>0</v>
      </c>
      <c r="AN367" s="42">
        <f>Table43[[#This Row],[Harga Beli Krt
(- PPN)]]*1.11</f>
        <v>0</v>
      </c>
      <c r="AO367" s="42"/>
      <c r="AP367" s="42">
        <f>Table43[[#This Row],[Harga Jual Pcs GT
(-PPN)]]*Table43[[#This Row],[ISI/CTN]]</f>
        <v>0</v>
      </c>
      <c r="AQ367" s="42">
        <f>Table43[[#This Row],[Harga Jual Pcs GT
(-PPN)]]*1.11</f>
        <v>0</v>
      </c>
      <c r="AR367" s="42">
        <f>Table43[[#This Row],[Harga Jual Krt GT
(- PPN)]]*1.11</f>
        <v>0</v>
      </c>
      <c r="AS367" s="42">
        <f>Table43[[#This Row],[Harga Jual Pcs GT
(-PPN)]]</f>
        <v>0</v>
      </c>
      <c r="AT367" s="42">
        <f>(Table43[[#This Row],[Harga Jual Pcs MT
(-PPN)]]*Table43[[#This Row],[ISI/CTN]])</f>
        <v>0</v>
      </c>
      <c r="AU367" s="42">
        <f>Table43[[#This Row],[Harga Jual Pcs MT
(-PPN)]]*1.11</f>
        <v>0</v>
      </c>
      <c r="AV367" s="42">
        <f>Table43[[#This Row],[Harga Jual Pcs MT
(+PPN)]]*Table43[[#This Row],[ISI/CTN]]</f>
        <v>0</v>
      </c>
      <c r="AW367" s="47"/>
      <c r="AX367" s="7"/>
      <c r="AY367" s="7" t="str">
        <f ca="1">IF(TODAY()-Table43[[#This Row],[Efektif
Pembuatan]]&gt;60,"Lama","Baru")</f>
        <v>Lama</v>
      </c>
      <c r="AZ367" s="7" t="str">
        <f ca="1">IF(TODAY()-Table43[[#This Row],[Efektif Naik Harga]]&lt;30,"Naik","Sama")</f>
        <v>Sama</v>
      </c>
      <c r="BA367" s="7" t="str">
        <f>IF(Table43[[#This Row],[Kode BARANG Win2]]&lt;&gt;"","IDR","")</f>
        <v>IDR</v>
      </c>
      <c r="BB367" s="7" t="str">
        <f>CONCATENATE(Table43[[#This Row],[kode  1 Digit
(Nomor)]],Table43[[#This Row],[kode  4 Digit                (Nomor)]])</f>
        <v>10075</v>
      </c>
      <c r="BC367" s="7" t="str">
        <f>Table43[[#This Row],[Nama            Gramasi atau Jumlah Pack per CTN]]</f>
        <v>75ML</v>
      </c>
      <c r="BD367" s="7"/>
      <c r="BE367" s="7"/>
      <c r="BF367" s="4" t="str">
        <f>IF(Table43[[#This Row],[SATUAN Fix Win]]&lt;&gt;"","KRT")</f>
        <v>KRT</v>
      </c>
      <c r="BG367" s="4" t="str">
        <f>IF(Table43[[#This Row],[SATUAN Fix Win]]&lt;&gt;"","GD01")</f>
        <v>GD01</v>
      </c>
      <c r="BH367" s="4">
        <f>IF(Table43[[#This Row],[SATUAN Fix Win]]&lt;&gt;"",11611)</f>
        <v>11611</v>
      </c>
      <c r="BI367" s="4">
        <f>IF(Table43[[#This Row],[SATUAN Fix Win]]&lt;&gt;"",11612)</f>
        <v>11612</v>
      </c>
      <c r="BJ367" s="48"/>
      <c r="BK367" s="4">
        <f>IF(Table43[[#This Row],[SATUAN Fix Win]]&lt;&gt;"",1)</f>
        <v>1</v>
      </c>
    </row>
    <row r="368" spans="1:63">
      <c r="A368" s="4" t="str">
        <f>CONCATENATE(Table43[[#This Row],[Kode BARANG Win2]],Table43[[#This Row],[No. Urut
Item Sama]])</f>
        <v>K12410050150101</v>
      </c>
      <c r="B368" s="7">
        <v>1</v>
      </c>
      <c r="D368" s="28" t="s">
        <v>621</v>
      </c>
      <c r="E368" s="28"/>
      <c r="F368" s="28" t="s">
        <v>3148</v>
      </c>
      <c r="G368" s="78">
        <v>36</v>
      </c>
      <c r="H368" s="43"/>
      <c r="I368" s="28" t="str">
        <f>Table43[[#This Row],[Nama Jenis Kemasan]]</f>
        <v>BTL</v>
      </c>
      <c r="J368" s="4" t="str">
        <f>TRIM(CONCATENATE(Table43[[#This Row],[Nama            KLP]]," ",Table43[[#This Row],[Nama            Sub KLP]]))</f>
        <v>MASTER SPLASH COLOGNE</v>
      </c>
      <c r="K368" s="4" t="str">
        <f>CONCATENATE(Table43[[#This Row],[kode  2 Digit                (hrf+No)]],Table43[[#This Row],[kode  2 Digit                (Nomor)]],Table43[[#This Row],[kode  1 Digit                (Nomor)]])</f>
        <v>K1241</v>
      </c>
      <c r="L368" s="4" t="str">
        <f t="shared" si="18"/>
        <v>K1241005015010</v>
      </c>
      <c r="M368" s="11">
        <f t="shared" si="19"/>
        <v>14</v>
      </c>
      <c r="N368" s="14" t="str">
        <f>IF(AF368&lt;&gt;"",TRIM(UPPER(CONCATENATE(P368," ",R368," ",T368," ",V368," ",X368," ",Z368," ","X"," ",Table43[[#This Row],[ISI/CTN]]," ",AF368," ",AB368," ",AD368," ",AH368))),TRIM(UPPER(CONCATENATE(P368," ",R368," ",T368," ",V368," ",X368," ",Z368," ","X"," ",Table43[[#This Row],[ISI/CTN]]," ",AB368," ",AD368," ",AH368))))</f>
        <v>KNF MASTER SPLASH COLOGNE POWER 150ML X 36 BTL</v>
      </c>
      <c r="O368" s="11">
        <f t="shared" si="20"/>
        <v>46</v>
      </c>
      <c r="P368" s="4" t="s">
        <v>97</v>
      </c>
      <c r="Q368" s="7" t="s">
        <v>98</v>
      </c>
      <c r="R368" s="4" t="s">
        <v>3822</v>
      </c>
      <c r="S368" s="44" t="s">
        <v>3823</v>
      </c>
      <c r="T368" s="45" t="s">
        <v>3824</v>
      </c>
      <c r="U368" s="7" t="s">
        <v>2656</v>
      </c>
      <c r="V368" s="45" t="s">
        <v>2961</v>
      </c>
      <c r="W368" s="44" t="s">
        <v>2900</v>
      </c>
      <c r="X368" s="4" t="s">
        <v>3830</v>
      </c>
      <c r="Y368" s="46" t="s">
        <v>2475</v>
      </c>
      <c r="Z368" s="4" t="s">
        <v>2464</v>
      </c>
      <c r="AA368" s="46" t="s">
        <v>2482</v>
      </c>
      <c r="AB368" s="4" t="s">
        <v>357</v>
      </c>
      <c r="AC368" s="7" t="s">
        <v>2656</v>
      </c>
      <c r="AD368" s="4" t="s">
        <v>2961</v>
      </c>
      <c r="AE368" s="7" t="s">
        <v>2900</v>
      </c>
      <c r="AF368" s="7" t="s">
        <v>2961</v>
      </c>
      <c r="AG368" s="7" t="s">
        <v>2961</v>
      </c>
      <c r="AI368" s="7" t="s">
        <v>4100</v>
      </c>
      <c r="AJ368" s="7" t="s">
        <v>2656</v>
      </c>
      <c r="AK368" s="41">
        <f>Table43[[#This Row],[Harga Jual Pcs GT
(-PPN)]]-(Table43[[#This Row],[Harga Jual Pcs GT
(-PPN)]]*10%)</f>
        <v>0</v>
      </c>
      <c r="AL368" s="42">
        <f>Table43[[#This Row],[Harga Beli Pcs
(-PPN)]]*Table43[[#This Row],[ISI/CTN]]</f>
        <v>0</v>
      </c>
      <c r="AM368" s="42">
        <f>Table43[[#This Row],[Harga Beli Pcs
(-PPN)]]*1.11</f>
        <v>0</v>
      </c>
      <c r="AN368" s="42">
        <f>Table43[[#This Row],[Harga Beli Krt
(- PPN)]]*1.11</f>
        <v>0</v>
      </c>
      <c r="AO368" s="42"/>
      <c r="AP368" s="42">
        <f>Table43[[#This Row],[Harga Jual Pcs GT
(-PPN)]]*Table43[[#This Row],[ISI/CTN]]</f>
        <v>0</v>
      </c>
      <c r="AQ368" s="42">
        <f>Table43[[#This Row],[Harga Jual Pcs GT
(-PPN)]]*1.11</f>
        <v>0</v>
      </c>
      <c r="AR368" s="42">
        <f>Table43[[#This Row],[Harga Jual Krt GT
(- PPN)]]*1.11</f>
        <v>0</v>
      </c>
      <c r="AS368" s="42">
        <f>Table43[[#This Row],[Harga Jual Pcs GT
(-PPN)]]</f>
        <v>0</v>
      </c>
      <c r="AT368" s="42">
        <f>(Table43[[#This Row],[Harga Jual Pcs MT
(-PPN)]]*Table43[[#This Row],[ISI/CTN]])</f>
        <v>0</v>
      </c>
      <c r="AU368" s="42">
        <f>Table43[[#This Row],[Harga Jual Pcs MT
(-PPN)]]*1.11</f>
        <v>0</v>
      </c>
      <c r="AV368" s="42">
        <f>Table43[[#This Row],[Harga Jual Pcs MT
(+PPN)]]*Table43[[#This Row],[ISI/CTN]]</f>
        <v>0</v>
      </c>
      <c r="AW368" s="47"/>
      <c r="AX368" s="7"/>
      <c r="AY368" s="7" t="str">
        <f ca="1">IF(TODAY()-Table43[[#This Row],[Efektif
Pembuatan]]&gt;60,"Lama","Baru")</f>
        <v>Lama</v>
      </c>
      <c r="AZ368" s="7" t="str">
        <f ca="1">IF(TODAY()-Table43[[#This Row],[Efektif Naik Harga]]&lt;30,"Naik","Sama")</f>
        <v>Sama</v>
      </c>
      <c r="BA368" s="7" t="str">
        <f>IF(Table43[[#This Row],[Kode BARANG Win2]]&lt;&gt;"","IDR","")</f>
        <v>IDR</v>
      </c>
      <c r="BB368" s="7" t="str">
        <f>CONCATENATE(Table43[[#This Row],[kode  1 Digit
(Nomor)]],Table43[[#This Row],[kode  4 Digit                (Nomor)]])</f>
        <v>10150</v>
      </c>
      <c r="BC368" s="7" t="str">
        <f>Table43[[#This Row],[Nama            Gramasi atau Jumlah Pack per CTN]]</f>
        <v>150ML</v>
      </c>
      <c r="BD368" s="7"/>
      <c r="BE368" s="7"/>
      <c r="BF368" s="4" t="str">
        <f>IF(Table43[[#This Row],[SATUAN Fix Win]]&lt;&gt;"","KRT")</f>
        <v>KRT</v>
      </c>
      <c r="BG368" s="4" t="str">
        <f>IF(Table43[[#This Row],[SATUAN Fix Win]]&lt;&gt;"","GD01")</f>
        <v>GD01</v>
      </c>
      <c r="BH368" s="4">
        <f>IF(Table43[[#This Row],[SATUAN Fix Win]]&lt;&gt;"",11611)</f>
        <v>11611</v>
      </c>
      <c r="BI368" s="4">
        <f>IF(Table43[[#This Row],[SATUAN Fix Win]]&lt;&gt;"",11612)</f>
        <v>11612</v>
      </c>
      <c r="BJ368" s="48"/>
      <c r="BK368" s="4">
        <f>IF(Table43[[#This Row],[SATUAN Fix Win]]&lt;&gt;"",1)</f>
        <v>1</v>
      </c>
    </row>
    <row r="369" spans="1:63">
      <c r="A369" s="4" t="str">
        <f>CONCATENATE(Table43[[#This Row],[Kode BARANG Win2]],Table43[[#This Row],[No. Urut
Item Sama]])</f>
        <v>K12410060075101</v>
      </c>
      <c r="B369" s="7">
        <v>1</v>
      </c>
      <c r="D369" s="28" t="s">
        <v>622</v>
      </c>
      <c r="E369" s="28"/>
      <c r="F369" s="28" t="s">
        <v>3149</v>
      </c>
      <c r="G369" s="78">
        <v>36</v>
      </c>
      <c r="H369" s="43"/>
      <c r="I369" s="28" t="str">
        <f>Table43[[#This Row],[Nama Jenis Kemasan]]</f>
        <v>BTL</v>
      </c>
      <c r="J369" s="4" t="str">
        <f>TRIM(CONCATENATE(Table43[[#This Row],[Nama            KLP]]," ",Table43[[#This Row],[Nama            Sub KLP]]))</f>
        <v>MASTER SPLASH COLOGNE</v>
      </c>
      <c r="K369" s="4" t="str">
        <f>CONCATENATE(Table43[[#This Row],[kode  2 Digit                (hrf+No)]],Table43[[#This Row],[kode  2 Digit                (Nomor)]],Table43[[#This Row],[kode  1 Digit                (Nomor)]])</f>
        <v>K1241</v>
      </c>
      <c r="L369" s="4" t="str">
        <f t="shared" si="18"/>
        <v>K1241006007510</v>
      </c>
      <c r="M369" s="11">
        <f t="shared" si="19"/>
        <v>14</v>
      </c>
      <c r="N369" s="14" t="str">
        <f>IF(AF369&lt;&gt;"",TRIM(UPPER(CONCATENATE(P369," ",R369," ",T369," ",V369," ",X369," ",Z369," ","X"," ",Table43[[#This Row],[ISI/CTN]]," ",AF369," ",AB369," ",AD369," ",AH369))),TRIM(UPPER(CONCATENATE(P369," ",R369," ",T369," ",V369," ",X369," ",Z369," ","X"," ",Table43[[#This Row],[ISI/CTN]]," ",AB369," ",AD369," ",AH369))))</f>
        <v>KNF MASTER SPLASH COLOGNE SPIRIT 75ML X 36 BTL</v>
      </c>
      <c r="O369" s="11">
        <f t="shared" si="20"/>
        <v>46</v>
      </c>
      <c r="P369" s="4" t="s">
        <v>97</v>
      </c>
      <c r="Q369" s="7" t="s">
        <v>98</v>
      </c>
      <c r="R369" s="4" t="s">
        <v>3822</v>
      </c>
      <c r="S369" s="44" t="s">
        <v>3823</v>
      </c>
      <c r="T369" s="45" t="s">
        <v>3824</v>
      </c>
      <c r="U369" s="7" t="s">
        <v>2656</v>
      </c>
      <c r="V369" s="45" t="s">
        <v>2961</v>
      </c>
      <c r="W369" s="44" t="s">
        <v>2900</v>
      </c>
      <c r="X369" s="4" t="s">
        <v>3831</v>
      </c>
      <c r="Y369" s="46" t="s">
        <v>2476</v>
      </c>
      <c r="Z369" s="4" t="s">
        <v>3826</v>
      </c>
      <c r="AA369" s="46" t="s">
        <v>2505</v>
      </c>
      <c r="AB369" s="4" t="s">
        <v>357</v>
      </c>
      <c r="AC369" s="7" t="s">
        <v>2656</v>
      </c>
      <c r="AD369" s="4" t="s">
        <v>2961</v>
      </c>
      <c r="AE369" s="7" t="s">
        <v>2900</v>
      </c>
      <c r="AF369" s="7" t="s">
        <v>2961</v>
      </c>
      <c r="AG369" s="7" t="s">
        <v>2961</v>
      </c>
      <c r="AI369" s="7" t="s">
        <v>4100</v>
      </c>
      <c r="AJ369" s="7" t="s">
        <v>2656</v>
      </c>
      <c r="AK369" s="41">
        <f>Table43[[#This Row],[Harga Jual Pcs GT
(-PPN)]]-(Table43[[#This Row],[Harga Jual Pcs GT
(-PPN)]]*10%)</f>
        <v>0</v>
      </c>
      <c r="AL369" s="42">
        <f>Table43[[#This Row],[Harga Beli Pcs
(-PPN)]]*Table43[[#This Row],[ISI/CTN]]</f>
        <v>0</v>
      </c>
      <c r="AM369" s="42">
        <f>Table43[[#This Row],[Harga Beli Pcs
(-PPN)]]*1.11</f>
        <v>0</v>
      </c>
      <c r="AN369" s="42">
        <f>Table43[[#This Row],[Harga Beli Krt
(- PPN)]]*1.11</f>
        <v>0</v>
      </c>
      <c r="AO369" s="42"/>
      <c r="AP369" s="42">
        <f>Table43[[#This Row],[Harga Jual Pcs GT
(-PPN)]]*Table43[[#This Row],[ISI/CTN]]</f>
        <v>0</v>
      </c>
      <c r="AQ369" s="42">
        <f>Table43[[#This Row],[Harga Jual Pcs GT
(-PPN)]]*1.11</f>
        <v>0</v>
      </c>
      <c r="AR369" s="42">
        <f>Table43[[#This Row],[Harga Jual Krt GT
(- PPN)]]*1.11</f>
        <v>0</v>
      </c>
      <c r="AS369" s="42">
        <f>Table43[[#This Row],[Harga Jual Pcs GT
(-PPN)]]</f>
        <v>0</v>
      </c>
      <c r="AT369" s="42">
        <f>(Table43[[#This Row],[Harga Jual Pcs MT
(-PPN)]]*Table43[[#This Row],[ISI/CTN]])</f>
        <v>0</v>
      </c>
      <c r="AU369" s="42">
        <f>Table43[[#This Row],[Harga Jual Pcs MT
(-PPN)]]*1.11</f>
        <v>0</v>
      </c>
      <c r="AV369" s="42">
        <f>Table43[[#This Row],[Harga Jual Pcs MT
(+PPN)]]*Table43[[#This Row],[ISI/CTN]]</f>
        <v>0</v>
      </c>
      <c r="AW369" s="47"/>
      <c r="AX369" s="7"/>
      <c r="AY369" s="7" t="str">
        <f ca="1">IF(TODAY()-Table43[[#This Row],[Efektif
Pembuatan]]&gt;60,"Lama","Baru")</f>
        <v>Lama</v>
      </c>
      <c r="AZ369" s="7" t="str">
        <f ca="1">IF(TODAY()-Table43[[#This Row],[Efektif Naik Harga]]&lt;30,"Naik","Sama")</f>
        <v>Sama</v>
      </c>
      <c r="BA369" s="7" t="str">
        <f>IF(Table43[[#This Row],[Kode BARANG Win2]]&lt;&gt;"","IDR","")</f>
        <v>IDR</v>
      </c>
      <c r="BB369" s="7" t="str">
        <f>CONCATENATE(Table43[[#This Row],[kode  1 Digit
(Nomor)]],Table43[[#This Row],[kode  4 Digit                (Nomor)]])</f>
        <v>10075</v>
      </c>
      <c r="BC369" s="7" t="str">
        <f>Table43[[#This Row],[Nama            Gramasi atau Jumlah Pack per CTN]]</f>
        <v>75ML</v>
      </c>
      <c r="BD369" s="7"/>
      <c r="BE369" s="7"/>
      <c r="BF369" s="4" t="str">
        <f>IF(Table43[[#This Row],[SATUAN Fix Win]]&lt;&gt;"","KRT")</f>
        <v>KRT</v>
      </c>
      <c r="BG369" s="4" t="str">
        <f>IF(Table43[[#This Row],[SATUAN Fix Win]]&lt;&gt;"","GD01")</f>
        <v>GD01</v>
      </c>
      <c r="BH369" s="4">
        <f>IF(Table43[[#This Row],[SATUAN Fix Win]]&lt;&gt;"",11611)</f>
        <v>11611</v>
      </c>
      <c r="BI369" s="4">
        <f>IF(Table43[[#This Row],[SATUAN Fix Win]]&lt;&gt;"",11612)</f>
        <v>11612</v>
      </c>
      <c r="BJ369" s="48"/>
      <c r="BK369" s="4">
        <f>IF(Table43[[#This Row],[SATUAN Fix Win]]&lt;&gt;"",1)</f>
        <v>1</v>
      </c>
    </row>
    <row r="370" spans="1:63">
      <c r="A370" s="4" t="str">
        <f>CONCATENATE(Table43[[#This Row],[Kode BARANG Win2]],Table43[[#This Row],[No. Urut
Item Sama]])</f>
        <v>K12410060150101</v>
      </c>
      <c r="B370" s="7">
        <v>1</v>
      </c>
      <c r="D370" s="28" t="s">
        <v>623</v>
      </c>
      <c r="E370" s="28"/>
      <c r="F370" s="28" t="s">
        <v>3150</v>
      </c>
      <c r="G370" s="78">
        <v>36</v>
      </c>
      <c r="H370" s="43"/>
      <c r="I370" s="28" t="str">
        <f>Table43[[#This Row],[Nama Jenis Kemasan]]</f>
        <v>BTL</v>
      </c>
      <c r="J370" s="4" t="str">
        <f>TRIM(CONCATENATE(Table43[[#This Row],[Nama            KLP]]," ",Table43[[#This Row],[Nama            Sub KLP]]))</f>
        <v>MASTER SPLASH COLOGNE</v>
      </c>
      <c r="K370" s="4" t="str">
        <f>CONCATENATE(Table43[[#This Row],[kode  2 Digit                (hrf+No)]],Table43[[#This Row],[kode  2 Digit                (Nomor)]],Table43[[#This Row],[kode  1 Digit                (Nomor)]])</f>
        <v>K1241</v>
      </c>
      <c r="L370" s="4" t="str">
        <f t="shared" si="18"/>
        <v>K1241006015010</v>
      </c>
      <c r="M370" s="11">
        <f t="shared" si="19"/>
        <v>14</v>
      </c>
      <c r="N370" s="14" t="str">
        <f>IF(AF370&lt;&gt;"",TRIM(UPPER(CONCATENATE(P370," ",R370," ",T370," ",V370," ",X370," ",Z370," ","X"," ",Table43[[#This Row],[ISI/CTN]]," ",AF370," ",AB370," ",AD370," ",AH370))),TRIM(UPPER(CONCATENATE(P370," ",R370," ",T370," ",V370," ",X370," ",Z370," ","X"," ",Table43[[#This Row],[ISI/CTN]]," ",AB370," ",AD370," ",AH370))))</f>
        <v>KNF MASTER SPLASH COLOGNE SPIRIT 150ML X 36 BTL</v>
      </c>
      <c r="O370" s="11">
        <f t="shared" si="20"/>
        <v>47</v>
      </c>
      <c r="P370" s="4" t="s">
        <v>97</v>
      </c>
      <c r="Q370" s="7" t="s">
        <v>98</v>
      </c>
      <c r="R370" s="4" t="s">
        <v>3822</v>
      </c>
      <c r="S370" s="44" t="s">
        <v>3823</v>
      </c>
      <c r="T370" s="45" t="s">
        <v>3824</v>
      </c>
      <c r="U370" s="7" t="s">
        <v>2656</v>
      </c>
      <c r="V370" s="45" t="s">
        <v>2961</v>
      </c>
      <c r="W370" s="44" t="s">
        <v>2900</v>
      </c>
      <c r="X370" s="4" t="s">
        <v>3831</v>
      </c>
      <c r="Y370" s="46" t="s">
        <v>2476</v>
      </c>
      <c r="Z370" s="4" t="s">
        <v>2464</v>
      </c>
      <c r="AA370" s="46" t="s">
        <v>2482</v>
      </c>
      <c r="AB370" s="4" t="s">
        <v>357</v>
      </c>
      <c r="AC370" s="7" t="s">
        <v>2656</v>
      </c>
      <c r="AD370" s="4" t="s">
        <v>2961</v>
      </c>
      <c r="AE370" s="7" t="s">
        <v>2900</v>
      </c>
      <c r="AF370" s="7" t="s">
        <v>2961</v>
      </c>
      <c r="AG370" s="7" t="s">
        <v>2961</v>
      </c>
      <c r="AI370" s="7" t="s">
        <v>4100</v>
      </c>
      <c r="AJ370" s="7" t="s">
        <v>2656</v>
      </c>
      <c r="AK370" s="41">
        <f>Table43[[#This Row],[Harga Jual Pcs GT
(-PPN)]]-(Table43[[#This Row],[Harga Jual Pcs GT
(-PPN)]]*10%)</f>
        <v>0</v>
      </c>
      <c r="AL370" s="42">
        <f>Table43[[#This Row],[Harga Beli Pcs
(-PPN)]]*Table43[[#This Row],[ISI/CTN]]</f>
        <v>0</v>
      </c>
      <c r="AM370" s="42">
        <f>Table43[[#This Row],[Harga Beli Pcs
(-PPN)]]*1.11</f>
        <v>0</v>
      </c>
      <c r="AN370" s="42">
        <f>Table43[[#This Row],[Harga Beli Krt
(- PPN)]]*1.11</f>
        <v>0</v>
      </c>
      <c r="AO370" s="42"/>
      <c r="AP370" s="42">
        <f>Table43[[#This Row],[Harga Jual Pcs GT
(-PPN)]]*Table43[[#This Row],[ISI/CTN]]</f>
        <v>0</v>
      </c>
      <c r="AQ370" s="42">
        <f>Table43[[#This Row],[Harga Jual Pcs GT
(-PPN)]]*1.11</f>
        <v>0</v>
      </c>
      <c r="AR370" s="42">
        <f>Table43[[#This Row],[Harga Jual Krt GT
(- PPN)]]*1.11</f>
        <v>0</v>
      </c>
      <c r="AS370" s="42">
        <f>Table43[[#This Row],[Harga Jual Pcs GT
(-PPN)]]</f>
        <v>0</v>
      </c>
      <c r="AT370" s="42">
        <f>(Table43[[#This Row],[Harga Jual Pcs MT
(-PPN)]]*Table43[[#This Row],[ISI/CTN]])</f>
        <v>0</v>
      </c>
      <c r="AU370" s="42">
        <f>Table43[[#This Row],[Harga Jual Pcs MT
(-PPN)]]*1.11</f>
        <v>0</v>
      </c>
      <c r="AV370" s="42">
        <f>Table43[[#This Row],[Harga Jual Pcs MT
(+PPN)]]*Table43[[#This Row],[ISI/CTN]]</f>
        <v>0</v>
      </c>
      <c r="AW370" s="47"/>
      <c r="AX370" s="7"/>
      <c r="AY370" s="7" t="str">
        <f ca="1">IF(TODAY()-Table43[[#This Row],[Efektif
Pembuatan]]&gt;60,"Lama","Baru")</f>
        <v>Lama</v>
      </c>
      <c r="AZ370" s="7" t="str">
        <f ca="1">IF(TODAY()-Table43[[#This Row],[Efektif Naik Harga]]&lt;30,"Naik","Sama")</f>
        <v>Sama</v>
      </c>
      <c r="BA370" s="7" t="str">
        <f>IF(Table43[[#This Row],[Kode BARANG Win2]]&lt;&gt;"","IDR","")</f>
        <v>IDR</v>
      </c>
      <c r="BB370" s="7" t="str">
        <f>CONCATENATE(Table43[[#This Row],[kode  1 Digit
(Nomor)]],Table43[[#This Row],[kode  4 Digit                (Nomor)]])</f>
        <v>10150</v>
      </c>
      <c r="BC370" s="7" t="str">
        <f>Table43[[#This Row],[Nama            Gramasi atau Jumlah Pack per CTN]]</f>
        <v>150ML</v>
      </c>
      <c r="BD370" s="7"/>
      <c r="BE370" s="7"/>
      <c r="BF370" s="4" t="str">
        <f>IF(Table43[[#This Row],[SATUAN Fix Win]]&lt;&gt;"","KRT")</f>
        <v>KRT</v>
      </c>
      <c r="BG370" s="4" t="str">
        <f>IF(Table43[[#This Row],[SATUAN Fix Win]]&lt;&gt;"","GD01")</f>
        <v>GD01</v>
      </c>
      <c r="BH370" s="4">
        <f>IF(Table43[[#This Row],[SATUAN Fix Win]]&lt;&gt;"",11611)</f>
        <v>11611</v>
      </c>
      <c r="BI370" s="4">
        <f>IF(Table43[[#This Row],[SATUAN Fix Win]]&lt;&gt;"",11612)</f>
        <v>11612</v>
      </c>
      <c r="BJ370" s="48"/>
      <c r="BK370" s="4">
        <f>IF(Table43[[#This Row],[SATUAN Fix Win]]&lt;&gt;"",1)</f>
        <v>1</v>
      </c>
    </row>
    <row r="371" spans="1:63">
      <c r="A371" s="4" t="str">
        <f>CONCATENATE(Table43[[#This Row],[Kode BARANG Win2]],Table43[[#This Row],[No. Urut
Item Sama]])</f>
        <v>K12410070075101</v>
      </c>
      <c r="B371" s="7">
        <v>1</v>
      </c>
      <c r="D371" s="28" t="s">
        <v>624</v>
      </c>
      <c r="E371" s="28"/>
      <c r="F371" s="28" t="s">
        <v>3151</v>
      </c>
      <c r="G371" s="78">
        <v>36</v>
      </c>
      <c r="H371" s="43"/>
      <c r="I371" s="28" t="str">
        <f>Table43[[#This Row],[Nama Jenis Kemasan]]</f>
        <v>BTL</v>
      </c>
      <c r="J371" s="4" t="str">
        <f>TRIM(CONCATENATE(Table43[[#This Row],[Nama            KLP]]," ",Table43[[#This Row],[Nama            Sub KLP]]))</f>
        <v>MASTER SPLASH COLOGNE</v>
      </c>
      <c r="K371" s="4" t="str">
        <f>CONCATENATE(Table43[[#This Row],[kode  2 Digit                (hrf+No)]],Table43[[#This Row],[kode  2 Digit                (Nomor)]],Table43[[#This Row],[kode  1 Digit                (Nomor)]])</f>
        <v>K1241</v>
      </c>
      <c r="L371" s="4" t="str">
        <f t="shared" si="18"/>
        <v>K1241007007510</v>
      </c>
      <c r="M371" s="11">
        <f t="shared" si="19"/>
        <v>14</v>
      </c>
      <c r="N371" s="14" t="str">
        <f>IF(AF371&lt;&gt;"",TRIM(UPPER(CONCATENATE(P371," ",R371," ",T371," ",V371," ",X371," ",Z371," ","X"," ",Table43[[#This Row],[ISI/CTN]]," ",AF371," ",AB371," ",AD371," ",AH371))),TRIM(UPPER(CONCATENATE(P371," ",R371," ",T371," ",V371," ",X371," ",Z371," ","X"," ",Table43[[#This Row],[ISI/CTN]]," ",AB371," ",AD371," ",AH371))))</f>
        <v>KNF MASTER SPLASH COLOGNE SPORTY 75ML X 36 BTL</v>
      </c>
      <c r="O371" s="11">
        <f t="shared" si="20"/>
        <v>46</v>
      </c>
      <c r="P371" s="4" t="s">
        <v>97</v>
      </c>
      <c r="Q371" s="7" t="s">
        <v>98</v>
      </c>
      <c r="R371" s="4" t="s">
        <v>3822</v>
      </c>
      <c r="S371" s="44" t="s">
        <v>3823</v>
      </c>
      <c r="T371" s="45" t="s">
        <v>3824</v>
      </c>
      <c r="U371" s="7" t="s">
        <v>2656</v>
      </c>
      <c r="V371" s="45" t="s">
        <v>2961</v>
      </c>
      <c r="W371" s="44" t="s">
        <v>2900</v>
      </c>
      <c r="X371" s="4" t="s">
        <v>3832</v>
      </c>
      <c r="Y371" s="46" t="s">
        <v>2477</v>
      </c>
      <c r="Z371" s="4" t="s">
        <v>3826</v>
      </c>
      <c r="AA371" s="46" t="s">
        <v>2505</v>
      </c>
      <c r="AB371" s="4" t="s">
        <v>357</v>
      </c>
      <c r="AC371" s="7" t="s">
        <v>2656</v>
      </c>
      <c r="AD371" s="4" t="s">
        <v>2961</v>
      </c>
      <c r="AE371" s="7" t="s">
        <v>2900</v>
      </c>
      <c r="AF371" s="7" t="s">
        <v>2961</v>
      </c>
      <c r="AG371" s="7" t="s">
        <v>2961</v>
      </c>
      <c r="AI371" s="7" t="s">
        <v>4100</v>
      </c>
      <c r="AJ371" s="7" t="s">
        <v>2656</v>
      </c>
      <c r="AK371" s="41">
        <f>Table43[[#This Row],[Harga Jual Pcs GT
(-PPN)]]-(Table43[[#This Row],[Harga Jual Pcs GT
(-PPN)]]*10%)</f>
        <v>0</v>
      </c>
      <c r="AL371" s="42">
        <f>Table43[[#This Row],[Harga Beli Pcs
(-PPN)]]*Table43[[#This Row],[ISI/CTN]]</f>
        <v>0</v>
      </c>
      <c r="AM371" s="42">
        <f>Table43[[#This Row],[Harga Beli Pcs
(-PPN)]]*1.11</f>
        <v>0</v>
      </c>
      <c r="AN371" s="42">
        <f>Table43[[#This Row],[Harga Beli Krt
(- PPN)]]*1.11</f>
        <v>0</v>
      </c>
      <c r="AO371" s="42"/>
      <c r="AP371" s="42">
        <f>Table43[[#This Row],[Harga Jual Pcs GT
(-PPN)]]*Table43[[#This Row],[ISI/CTN]]</f>
        <v>0</v>
      </c>
      <c r="AQ371" s="42">
        <f>Table43[[#This Row],[Harga Jual Pcs GT
(-PPN)]]*1.11</f>
        <v>0</v>
      </c>
      <c r="AR371" s="42">
        <f>Table43[[#This Row],[Harga Jual Krt GT
(- PPN)]]*1.11</f>
        <v>0</v>
      </c>
      <c r="AS371" s="42">
        <f>Table43[[#This Row],[Harga Jual Pcs GT
(-PPN)]]</f>
        <v>0</v>
      </c>
      <c r="AT371" s="42">
        <f>(Table43[[#This Row],[Harga Jual Pcs MT
(-PPN)]]*Table43[[#This Row],[ISI/CTN]])</f>
        <v>0</v>
      </c>
      <c r="AU371" s="42">
        <f>Table43[[#This Row],[Harga Jual Pcs MT
(-PPN)]]*1.11</f>
        <v>0</v>
      </c>
      <c r="AV371" s="42">
        <f>Table43[[#This Row],[Harga Jual Pcs MT
(+PPN)]]*Table43[[#This Row],[ISI/CTN]]</f>
        <v>0</v>
      </c>
      <c r="AW371" s="47"/>
      <c r="AX371" s="7"/>
      <c r="AY371" s="7" t="str">
        <f ca="1">IF(TODAY()-Table43[[#This Row],[Efektif
Pembuatan]]&gt;60,"Lama","Baru")</f>
        <v>Lama</v>
      </c>
      <c r="AZ371" s="7" t="str">
        <f ca="1">IF(TODAY()-Table43[[#This Row],[Efektif Naik Harga]]&lt;30,"Naik","Sama")</f>
        <v>Sama</v>
      </c>
      <c r="BA371" s="7" t="str">
        <f>IF(Table43[[#This Row],[Kode BARANG Win2]]&lt;&gt;"","IDR","")</f>
        <v>IDR</v>
      </c>
      <c r="BB371" s="7" t="str">
        <f>CONCATENATE(Table43[[#This Row],[kode  1 Digit
(Nomor)]],Table43[[#This Row],[kode  4 Digit                (Nomor)]])</f>
        <v>10075</v>
      </c>
      <c r="BC371" s="7" t="str">
        <f>Table43[[#This Row],[Nama            Gramasi atau Jumlah Pack per CTN]]</f>
        <v>75ML</v>
      </c>
      <c r="BD371" s="7"/>
      <c r="BE371" s="7"/>
      <c r="BF371" s="4" t="str">
        <f>IF(Table43[[#This Row],[SATUAN Fix Win]]&lt;&gt;"","KRT")</f>
        <v>KRT</v>
      </c>
      <c r="BG371" s="4" t="str">
        <f>IF(Table43[[#This Row],[SATUAN Fix Win]]&lt;&gt;"","GD01")</f>
        <v>GD01</v>
      </c>
      <c r="BH371" s="4">
        <f>IF(Table43[[#This Row],[SATUAN Fix Win]]&lt;&gt;"",11611)</f>
        <v>11611</v>
      </c>
      <c r="BI371" s="4">
        <f>IF(Table43[[#This Row],[SATUAN Fix Win]]&lt;&gt;"",11612)</f>
        <v>11612</v>
      </c>
      <c r="BJ371" s="48"/>
      <c r="BK371" s="4">
        <f>IF(Table43[[#This Row],[SATUAN Fix Win]]&lt;&gt;"",1)</f>
        <v>1</v>
      </c>
    </row>
    <row r="372" spans="1:63">
      <c r="A372" s="4" t="str">
        <f>CONCATENATE(Table43[[#This Row],[Kode BARANG Win2]],Table43[[#This Row],[No. Urut
Item Sama]])</f>
        <v>K12410070150102</v>
      </c>
      <c r="B372" s="7">
        <v>2</v>
      </c>
      <c r="D372" s="28" t="s">
        <v>625</v>
      </c>
      <c r="E372" s="28"/>
      <c r="F372" s="28" t="s">
        <v>3152</v>
      </c>
      <c r="G372" s="78">
        <v>36</v>
      </c>
      <c r="H372" s="43"/>
      <c r="I372" s="28" t="str">
        <f>Table43[[#This Row],[Nama Jenis Kemasan]]</f>
        <v>BTL</v>
      </c>
      <c r="J372" s="4" t="str">
        <f>TRIM(CONCATENATE(Table43[[#This Row],[Nama            KLP]]," ",Table43[[#This Row],[Nama            Sub KLP]]))</f>
        <v>MASTER SPLASH COLOGNE</v>
      </c>
      <c r="K372" s="4" t="str">
        <f>CONCATENATE(Table43[[#This Row],[kode  2 Digit                (hrf+No)]],Table43[[#This Row],[kode  2 Digit                (Nomor)]],Table43[[#This Row],[kode  1 Digit                (Nomor)]])</f>
        <v>K1241</v>
      </c>
      <c r="L372" s="4" t="str">
        <f t="shared" si="18"/>
        <v>K1241007015010</v>
      </c>
      <c r="M372" s="11">
        <f t="shared" si="19"/>
        <v>14</v>
      </c>
      <c r="N372" s="14" t="str">
        <f>IF(AF372&lt;&gt;"",TRIM(UPPER(CONCATENATE(P372," ",R372," ",T372," ",V372," ",X372," ",Z372," ","X"," ",Table43[[#This Row],[ISI/CTN]]," ",AF372," ",AB372," ",AD372," ",AH372))),TRIM(UPPER(CONCATENATE(P372," ",R372," ",T372," ",V372," ",X372," ",Z372," ","X"," ",Table43[[#This Row],[ISI/CTN]]," ",AB372," ",AD372," ",AH372))))</f>
        <v>KNF MASTER SPLASH COLOGNE SPORTY 150ML X 36 BTL</v>
      </c>
      <c r="O372" s="11">
        <f t="shared" si="20"/>
        <v>47</v>
      </c>
      <c r="P372" s="4" t="s">
        <v>97</v>
      </c>
      <c r="Q372" s="7" t="s">
        <v>98</v>
      </c>
      <c r="R372" s="4" t="s">
        <v>3822</v>
      </c>
      <c r="S372" s="44" t="s">
        <v>3823</v>
      </c>
      <c r="T372" s="45" t="s">
        <v>3824</v>
      </c>
      <c r="U372" s="7" t="s">
        <v>2656</v>
      </c>
      <c r="V372" s="45" t="s">
        <v>2961</v>
      </c>
      <c r="W372" s="44" t="s">
        <v>2900</v>
      </c>
      <c r="X372" s="4" t="s">
        <v>3832</v>
      </c>
      <c r="Y372" s="46" t="s">
        <v>2477</v>
      </c>
      <c r="Z372" s="4" t="s">
        <v>2464</v>
      </c>
      <c r="AA372" s="46" t="s">
        <v>2482</v>
      </c>
      <c r="AB372" s="4" t="s">
        <v>357</v>
      </c>
      <c r="AC372" s="7" t="s">
        <v>2656</v>
      </c>
      <c r="AD372" s="4" t="s">
        <v>2961</v>
      </c>
      <c r="AE372" s="7" t="s">
        <v>2900</v>
      </c>
      <c r="AF372" s="7" t="s">
        <v>2961</v>
      </c>
      <c r="AG372" s="7" t="s">
        <v>2961</v>
      </c>
      <c r="AI372" s="7" t="s">
        <v>4100</v>
      </c>
      <c r="AJ372" s="7" t="s">
        <v>2656</v>
      </c>
      <c r="AK372" s="41">
        <f>Table43[[#This Row],[Harga Jual Pcs GT
(-PPN)]]-(Table43[[#This Row],[Harga Jual Pcs GT
(-PPN)]]*10%)</f>
        <v>0</v>
      </c>
      <c r="AL372" s="42">
        <f>Table43[[#This Row],[Harga Beli Pcs
(-PPN)]]*Table43[[#This Row],[ISI/CTN]]</f>
        <v>0</v>
      </c>
      <c r="AM372" s="42">
        <f>Table43[[#This Row],[Harga Beli Pcs
(-PPN)]]*1.11</f>
        <v>0</v>
      </c>
      <c r="AN372" s="42">
        <f>Table43[[#This Row],[Harga Beli Krt
(- PPN)]]*1.11</f>
        <v>0</v>
      </c>
      <c r="AO372" s="42"/>
      <c r="AP372" s="42">
        <f>Table43[[#This Row],[Harga Jual Pcs GT
(-PPN)]]*Table43[[#This Row],[ISI/CTN]]</f>
        <v>0</v>
      </c>
      <c r="AQ372" s="42">
        <f>Table43[[#This Row],[Harga Jual Pcs GT
(-PPN)]]*1.11</f>
        <v>0</v>
      </c>
      <c r="AR372" s="42">
        <f>Table43[[#This Row],[Harga Jual Krt GT
(- PPN)]]*1.11</f>
        <v>0</v>
      </c>
      <c r="AS372" s="42">
        <f>Table43[[#This Row],[Harga Jual Pcs GT
(-PPN)]]</f>
        <v>0</v>
      </c>
      <c r="AT372" s="42">
        <f>(Table43[[#This Row],[Harga Jual Pcs MT
(-PPN)]]*Table43[[#This Row],[ISI/CTN]])</f>
        <v>0</v>
      </c>
      <c r="AU372" s="42">
        <f>Table43[[#This Row],[Harga Jual Pcs MT
(-PPN)]]*1.11</f>
        <v>0</v>
      </c>
      <c r="AV372" s="42">
        <f>Table43[[#This Row],[Harga Jual Pcs MT
(+PPN)]]*Table43[[#This Row],[ISI/CTN]]</f>
        <v>0</v>
      </c>
      <c r="AW372" s="47"/>
      <c r="AX372" s="7"/>
      <c r="AY372" s="7" t="str">
        <f ca="1">IF(TODAY()-Table43[[#This Row],[Efektif
Pembuatan]]&gt;60,"Lama","Baru")</f>
        <v>Lama</v>
      </c>
      <c r="AZ372" s="7" t="str">
        <f ca="1">IF(TODAY()-Table43[[#This Row],[Efektif Naik Harga]]&lt;30,"Naik","Sama")</f>
        <v>Sama</v>
      </c>
      <c r="BA372" s="7" t="str">
        <f>IF(Table43[[#This Row],[Kode BARANG Win2]]&lt;&gt;"","IDR","")</f>
        <v>IDR</v>
      </c>
      <c r="BB372" s="7" t="str">
        <f>CONCATENATE(Table43[[#This Row],[kode  1 Digit
(Nomor)]],Table43[[#This Row],[kode  4 Digit                (Nomor)]])</f>
        <v>10150</v>
      </c>
      <c r="BC372" s="7" t="str">
        <f>Table43[[#This Row],[Nama            Gramasi atau Jumlah Pack per CTN]]</f>
        <v>150ML</v>
      </c>
      <c r="BD372" s="7"/>
      <c r="BE372" s="7"/>
      <c r="BF372" s="4" t="str">
        <f>IF(Table43[[#This Row],[SATUAN Fix Win]]&lt;&gt;"","KRT")</f>
        <v>KRT</v>
      </c>
      <c r="BG372" s="4" t="str">
        <f>IF(Table43[[#This Row],[SATUAN Fix Win]]&lt;&gt;"","GD01")</f>
        <v>GD01</v>
      </c>
      <c r="BH372" s="4">
        <f>IF(Table43[[#This Row],[SATUAN Fix Win]]&lt;&gt;"",11611)</f>
        <v>11611</v>
      </c>
      <c r="BI372" s="4">
        <f>IF(Table43[[#This Row],[SATUAN Fix Win]]&lt;&gt;"",11612)</f>
        <v>11612</v>
      </c>
      <c r="BJ372" s="48"/>
      <c r="BK372" s="4">
        <f>IF(Table43[[#This Row],[SATUAN Fix Win]]&lt;&gt;"",1)</f>
        <v>1</v>
      </c>
    </row>
    <row r="373" spans="1:63">
      <c r="A373" s="4" t="str">
        <f>CONCATENATE(Table43[[#This Row],[Kode BARANG Win2]],Table43[[#This Row],[No. Urut
Item Sama]])</f>
        <v>K12420010050101</v>
      </c>
      <c r="B373" s="7">
        <v>1</v>
      </c>
      <c r="D373" s="28" t="s">
        <v>626</v>
      </c>
      <c r="E373" s="28"/>
      <c r="F373" s="28" t="s">
        <v>3153</v>
      </c>
      <c r="G373" s="78">
        <v>36</v>
      </c>
      <c r="H373" s="43"/>
      <c r="I373" s="28" t="str">
        <f>Table43[[#This Row],[Nama Jenis Kemasan]]</f>
        <v>BTL</v>
      </c>
      <c r="J373" s="4" t="str">
        <f>TRIM(CONCATENATE(Table43[[#This Row],[Nama            KLP]]," ",Table43[[#This Row],[Nama            Sub KLP]]))</f>
        <v>MASTER SPRAY COLOGNE</v>
      </c>
      <c r="K373" s="4" t="str">
        <f>CONCATENATE(Table43[[#This Row],[kode  2 Digit                (hrf+No)]],Table43[[#This Row],[kode  2 Digit                (Nomor)]],Table43[[#This Row],[kode  1 Digit                (Nomor)]])</f>
        <v>K1242</v>
      </c>
      <c r="L373" s="4" t="str">
        <f t="shared" si="18"/>
        <v>K1242001005010</v>
      </c>
      <c r="M373" s="11">
        <f t="shared" si="19"/>
        <v>14</v>
      </c>
      <c r="N373" s="14" t="str">
        <f>IF(AF373&lt;&gt;"",TRIM(UPPER(CONCATENATE(P373," ",R373," ",T373," ",V373," ",X373," ",Z373," ","X"," ",Table43[[#This Row],[ISI/CTN]]," ",AF373," ",AB373," ",AD373," ",AH373))),TRIM(UPPER(CONCATENATE(P373," ",R373," ",T373," ",V373," ",X373," ",Z373," ","X"," ",Table43[[#This Row],[ISI/CTN]]," ",AB373," ",AD373," ",AH373))))</f>
        <v>KNF MASTER SPRAY COLOGNE AQUA BLUE 50ML X 36 BTL</v>
      </c>
      <c r="O373" s="11">
        <f t="shared" si="20"/>
        <v>48</v>
      </c>
      <c r="P373" s="4" t="s">
        <v>97</v>
      </c>
      <c r="Q373" s="7" t="s">
        <v>98</v>
      </c>
      <c r="R373" s="4" t="s">
        <v>3822</v>
      </c>
      <c r="S373" s="44" t="s">
        <v>3823</v>
      </c>
      <c r="T373" s="45" t="s">
        <v>3618</v>
      </c>
      <c r="U373" s="7" t="s">
        <v>3562</v>
      </c>
      <c r="V373" s="45" t="s">
        <v>2961</v>
      </c>
      <c r="W373" s="44" t="s">
        <v>2900</v>
      </c>
      <c r="X373" s="4" t="s">
        <v>3833</v>
      </c>
      <c r="Y373" s="46" t="s">
        <v>0</v>
      </c>
      <c r="Z373" s="4" t="s">
        <v>3654</v>
      </c>
      <c r="AA373" s="46" t="s">
        <v>2490</v>
      </c>
      <c r="AB373" s="4" t="s">
        <v>357</v>
      </c>
      <c r="AC373" s="7" t="s">
        <v>2656</v>
      </c>
      <c r="AD373" s="4" t="s">
        <v>2961</v>
      </c>
      <c r="AE373" s="7" t="s">
        <v>2900</v>
      </c>
      <c r="AF373" s="7" t="s">
        <v>2961</v>
      </c>
      <c r="AG373" s="7" t="s">
        <v>2961</v>
      </c>
      <c r="AI373" s="7" t="s">
        <v>4100</v>
      </c>
      <c r="AJ373" s="7" t="s">
        <v>2656</v>
      </c>
      <c r="AK373" s="41">
        <f>Table43[[#This Row],[Harga Jual Pcs GT
(-PPN)]]-(Table43[[#This Row],[Harga Jual Pcs GT
(-PPN)]]*10%)</f>
        <v>0</v>
      </c>
      <c r="AL373" s="42">
        <f>Table43[[#This Row],[Harga Beli Pcs
(-PPN)]]*Table43[[#This Row],[ISI/CTN]]</f>
        <v>0</v>
      </c>
      <c r="AM373" s="42">
        <f>Table43[[#This Row],[Harga Beli Pcs
(-PPN)]]*1.11</f>
        <v>0</v>
      </c>
      <c r="AN373" s="42">
        <f>Table43[[#This Row],[Harga Beli Krt
(- PPN)]]*1.11</f>
        <v>0</v>
      </c>
      <c r="AO373" s="42"/>
      <c r="AP373" s="42">
        <f>Table43[[#This Row],[Harga Jual Pcs GT
(-PPN)]]*Table43[[#This Row],[ISI/CTN]]</f>
        <v>0</v>
      </c>
      <c r="AQ373" s="42">
        <f>Table43[[#This Row],[Harga Jual Pcs GT
(-PPN)]]*1.11</f>
        <v>0</v>
      </c>
      <c r="AR373" s="42">
        <f>Table43[[#This Row],[Harga Jual Krt GT
(- PPN)]]*1.11</f>
        <v>0</v>
      </c>
      <c r="AS373" s="42">
        <f>Table43[[#This Row],[Harga Jual Pcs GT
(-PPN)]]</f>
        <v>0</v>
      </c>
      <c r="AT373" s="42">
        <f>(Table43[[#This Row],[Harga Jual Pcs MT
(-PPN)]]*Table43[[#This Row],[ISI/CTN]])</f>
        <v>0</v>
      </c>
      <c r="AU373" s="42">
        <f>Table43[[#This Row],[Harga Jual Pcs MT
(-PPN)]]*1.11</f>
        <v>0</v>
      </c>
      <c r="AV373" s="42">
        <f>Table43[[#This Row],[Harga Jual Pcs MT
(+PPN)]]*Table43[[#This Row],[ISI/CTN]]</f>
        <v>0</v>
      </c>
      <c r="AW373" s="47"/>
      <c r="AX373" s="7"/>
      <c r="AY373" s="7" t="str">
        <f ca="1">IF(TODAY()-Table43[[#This Row],[Efektif
Pembuatan]]&gt;60,"Lama","Baru")</f>
        <v>Lama</v>
      </c>
      <c r="AZ373" s="7" t="str">
        <f ca="1">IF(TODAY()-Table43[[#This Row],[Efektif Naik Harga]]&lt;30,"Naik","Sama")</f>
        <v>Sama</v>
      </c>
      <c r="BA373" s="7" t="str">
        <f>IF(Table43[[#This Row],[Kode BARANG Win2]]&lt;&gt;"","IDR","")</f>
        <v>IDR</v>
      </c>
      <c r="BB373" s="7" t="str">
        <f>CONCATENATE(Table43[[#This Row],[kode  1 Digit
(Nomor)]],Table43[[#This Row],[kode  4 Digit                (Nomor)]])</f>
        <v>10050</v>
      </c>
      <c r="BC373" s="7" t="str">
        <f>Table43[[#This Row],[Nama            Gramasi atau Jumlah Pack per CTN]]</f>
        <v>50ML</v>
      </c>
      <c r="BD373" s="7"/>
      <c r="BE373" s="7"/>
      <c r="BF373" s="4" t="str">
        <f>IF(Table43[[#This Row],[SATUAN Fix Win]]&lt;&gt;"","KRT")</f>
        <v>KRT</v>
      </c>
      <c r="BG373" s="4" t="str">
        <f>IF(Table43[[#This Row],[SATUAN Fix Win]]&lt;&gt;"","GD01")</f>
        <v>GD01</v>
      </c>
      <c r="BH373" s="4">
        <f>IF(Table43[[#This Row],[SATUAN Fix Win]]&lt;&gt;"",11611)</f>
        <v>11611</v>
      </c>
      <c r="BI373" s="4">
        <f>IF(Table43[[#This Row],[SATUAN Fix Win]]&lt;&gt;"",11612)</f>
        <v>11612</v>
      </c>
      <c r="BJ373" s="48"/>
      <c r="BK373" s="4">
        <f>IF(Table43[[#This Row],[SATUAN Fix Win]]&lt;&gt;"",1)</f>
        <v>1</v>
      </c>
    </row>
    <row r="374" spans="1:63">
      <c r="A374" s="4" t="str">
        <f>CONCATENATE(Table43[[#This Row],[Kode BARANG Win2]],Table43[[#This Row],[No. Urut
Item Sama]])</f>
        <v>K12420010100102</v>
      </c>
      <c r="B374" s="7">
        <v>2</v>
      </c>
      <c r="D374" s="28" t="s">
        <v>627</v>
      </c>
      <c r="E374" s="28"/>
      <c r="F374" s="28" t="s">
        <v>3154</v>
      </c>
      <c r="G374" s="78">
        <v>36</v>
      </c>
      <c r="H374" s="43"/>
      <c r="I374" s="28" t="str">
        <f>Table43[[#This Row],[Nama Jenis Kemasan]]</f>
        <v>BTL</v>
      </c>
      <c r="J374" s="4" t="str">
        <f>TRIM(CONCATENATE(Table43[[#This Row],[Nama            KLP]]," ",Table43[[#This Row],[Nama            Sub KLP]]))</f>
        <v>MASTER SPRAY COLOGNE</v>
      </c>
      <c r="K374" s="4" t="str">
        <f>CONCATENATE(Table43[[#This Row],[kode  2 Digit                (hrf+No)]],Table43[[#This Row],[kode  2 Digit                (Nomor)]],Table43[[#This Row],[kode  1 Digit                (Nomor)]])</f>
        <v>K1242</v>
      </c>
      <c r="L374" s="4" t="str">
        <f t="shared" si="18"/>
        <v>K1242001010010</v>
      </c>
      <c r="M374" s="11">
        <f t="shared" si="19"/>
        <v>14</v>
      </c>
      <c r="N374" s="14" t="str">
        <f>IF(AF374&lt;&gt;"",TRIM(UPPER(CONCATENATE(P374," ",R374," ",T374," ",V374," ",X374," ",Z374," ","X"," ",Table43[[#This Row],[ISI/CTN]]," ",AF374," ",AB374," ",AD374," ",AH374))),TRIM(UPPER(CONCATENATE(P374," ",R374," ",T374," ",V374," ",X374," ",Z374," ","X"," ",Table43[[#This Row],[ISI/CTN]]," ",AB374," ",AD374," ",AH374))))</f>
        <v>KNF MASTER SPRAY COLOGNE AQUA BLUE 100ML X 36 BTL</v>
      </c>
      <c r="O374" s="11">
        <f t="shared" si="20"/>
        <v>49</v>
      </c>
      <c r="P374" s="4" t="s">
        <v>97</v>
      </c>
      <c r="Q374" s="7" t="s">
        <v>98</v>
      </c>
      <c r="R374" s="4" t="s">
        <v>3822</v>
      </c>
      <c r="S374" s="44" t="s">
        <v>3823</v>
      </c>
      <c r="T374" s="45" t="s">
        <v>3618</v>
      </c>
      <c r="U374" s="7" t="s">
        <v>3562</v>
      </c>
      <c r="V374" s="45" t="s">
        <v>2961</v>
      </c>
      <c r="W374" s="44" t="s">
        <v>2900</v>
      </c>
      <c r="X374" s="4" t="s">
        <v>3833</v>
      </c>
      <c r="Y374" s="46" t="s">
        <v>0</v>
      </c>
      <c r="Z374" s="4" t="s">
        <v>3588</v>
      </c>
      <c r="AA374" s="46" t="s">
        <v>2487</v>
      </c>
      <c r="AB374" s="4" t="s">
        <v>357</v>
      </c>
      <c r="AC374" s="7" t="s">
        <v>2656</v>
      </c>
      <c r="AD374" s="4" t="s">
        <v>2961</v>
      </c>
      <c r="AE374" s="7" t="s">
        <v>2900</v>
      </c>
      <c r="AF374" s="7" t="s">
        <v>2961</v>
      </c>
      <c r="AG374" s="7" t="s">
        <v>2961</v>
      </c>
      <c r="AI374" s="7" t="s">
        <v>4100</v>
      </c>
      <c r="AJ374" s="7" t="s">
        <v>2656</v>
      </c>
      <c r="AK374" s="41">
        <f>Table43[[#This Row],[Harga Jual Pcs GT
(-PPN)]]-(Table43[[#This Row],[Harga Jual Pcs GT
(-PPN)]]*10%)</f>
        <v>0</v>
      </c>
      <c r="AL374" s="42">
        <f>Table43[[#This Row],[Harga Beli Pcs
(-PPN)]]*Table43[[#This Row],[ISI/CTN]]</f>
        <v>0</v>
      </c>
      <c r="AM374" s="42">
        <f>Table43[[#This Row],[Harga Beli Pcs
(-PPN)]]*1.11</f>
        <v>0</v>
      </c>
      <c r="AN374" s="42">
        <f>Table43[[#This Row],[Harga Beli Krt
(- PPN)]]*1.11</f>
        <v>0</v>
      </c>
      <c r="AO374" s="42"/>
      <c r="AP374" s="42">
        <f>Table43[[#This Row],[Harga Jual Pcs GT
(-PPN)]]*Table43[[#This Row],[ISI/CTN]]</f>
        <v>0</v>
      </c>
      <c r="AQ374" s="42">
        <f>Table43[[#This Row],[Harga Jual Pcs GT
(-PPN)]]*1.11</f>
        <v>0</v>
      </c>
      <c r="AR374" s="42">
        <f>Table43[[#This Row],[Harga Jual Krt GT
(- PPN)]]*1.11</f>
        <v>0</v>
      </c>
      <c r="AS374" s="42">
        <f>Table43[[#This Row],[Harga Jual Pcs GT
(-PPN)]]</f>
        <v>0</v>
      </c>
      <c r="AT374" s="42">
        <f>(Table43[[#This Row],[Harga Jual Pcs MT
(-PPN)]]*Table43[[#This Row],[ISI/CTN]])</f>
        <v>0</v>
      </c>
      <c r="AU374" s="42">
        <f>Table43[[#This Row],[Harga Jual Pcs MT
(-PPN)]]*1.11</f>
        <v>0</v>
      </c>
      <c r="AV374" s="42">
        <f>Table43[[#This Row],[Harga Jual Pcs MT
(+PPN)]]*Table43[[#This Row],[ISI/CTN]]</f>
        <v>0</v>
      </c>
      <c r="AW374" s="47"/>
      <c r="AX374" s="7"/>
      <c r="AY374" s="7" t="str">
        <f ca="1">IF(TODAY()-Table43[[#This Row],[Efektif
Pembuatan]]&gt;60,"Lama","Baru")</f>
        <v>Lama</v>
      </c>
      <c r="AZ374" s="7" t="str">
        <f ca="1">IF(TODAY()-Table43[[#This Row],[Efektif Naik Harga]]&lt;30,"Naik","Sama")</f>
        <v>Sama</v>
      </c>
      <c r="BA374" s="7" t="str">
        <f>IF(Table43[[#This Row],[Kode BARANG Win2]]&lt;&gt;"","IDR","")</f>
        <v>IDR</v>
      </c>
      <c r="BB374" s="7" t="str">
        <f>CONCATENATE(Table43[[#This Row],[kode  1 Digit
(Nomor)]],Table43[[#This Row],[kode  4 Digit                (Nomor)]])</f>
        <v>10100</v>
      </c>
      <c r="BC374" s="7" t="str">
        <f>Table43[[#This Row],[Nama            Gramasi atau Jumlah Pack per CTN]]</f>
        <v>100ML</v>
      </c>
      <c r="BD374" s="7"/>
      <c r="BE374" s="7"/>
      <c r="BF374" s="4" t="str">
        <f>IF(Table43[[#This Row],[SATUAN Fix Win]]&lt;&gt;"","KRT")</f>
        <v>KRT</v>
      </c>
      <c r="BG374" s="4" t="str">
        <f>IF(Table43[[#This Row],[SATUAN Fix Win]]&lt;&gt;"","GD01")</f>
        <v>GD01</v>
      </c>
      <c r="BH374" s="4">
        <f>IF(Table43[[#This Row],[SATUAN Fix Win]]&lt;&gt;"",11611)</f>
        <v>11611</v>
      </c>
      <c r="BI374" s="4">
        <f>IF(Table43[[#This Row],[SATUAN Fix Win]]&lt;&gt;"",11612)</f>
        <v>11612</v>
      </c>
      <c r="BJ374" s="48"/>
      <c r="BK374" s="4">
        <f>IF(Table43[[#This Row],[SATUAN Fix Win]]&lt;&gt;"",1)</f>
        <v>1</v>
      </c>
    </row>
    <row r="375" spans="1:63">
      <c r="A375" s="4" t="str">
        <f>CONCATENATE(Table43[[#This Row],[Kode BARANG Win2]],Table43[[#This Row],[No. Urut
Item Sama]])</f>
        <v>K12420020050101</v>
      </c>
      <c r="B375" s="7">
        <v>1</v>
      </c>
      <c r="D375" s="28" t="s">
        <v>628</v>
      </c>
      <c r="E375" s="28"/>
      <c r="F375" s="28" t="s">
        <v>3155</v>
      </c>
      <c r="G375" s="78">
        <v>36</v>
      </c>
      <c r="H375" s="43"/>
      <c r="I375" s="28" t="str">
        <f>Table43[[#This Row],[Nama Jenis Kemasan]]</f>
        <v>BTL</v>
      </c>
      <c r="J375" s="4" t="str">
        <f>TRIM(CONCATENATE(Table43[[#This Row],[Nama            KLP]]," ",Table43[[#This Row],[Nama            Sub KLP]]))</f>
        <v>MASTER SPRAY COLOGNE</v>
      </c>
      <c r="K375" s="4" t="str">
        <f>CONCATENATE(Table43[[#This Row],[kode  2 Digit                (hrf+No)]],Table43[[#This Row],[kode  2 Digit                (Nomor)]],Table43[[#This Row],[kode  1 Digit                (Nomor)]])</f>
        <v>K1242</v>
      </c>
      <c r="L375" s="4" t="str">
        <f t="shared" si="18"/>
        <v>K1242002005010</v>
      </c>
      <c r="M375" s="11">
        <f t="shared" si="19"/>
        <v>14</v>
      </c>
      <c r="N375" s="14" t="str">
        <f>IF(AF375&lt;&gt;"",TRIM(UPPER(CONCATENATE(P375," ",R375," ",T375," ",V375," ",X375," ",Z375," ","X"," ",Table43[[#This Row],[ISI/CTN]]," ",AF375," ",AB375," ",AD375," ",AH375))),TRIM(UPPER(CONCATENATE(P375," ",R375," ",T375," ",V375," ",X375," ",Z375," ","X"," ",Table43[[#This Row],[ISI/CTN]]," ",AB375," ",AD375," ",AH375))))</f>
        <v>KNF MASTER SPRAY COLOGNE BLACK MUSK 50ML X 36 BTL</v>
      </c>
      <c r="O375" s="11">
        <f t="shared" si="20"/>
        <v>49</v>
      </c>
      <c r="P375" s="4" t="s">
        <v>97</v>
      </c>
      <c r="Q375" s="7" t="s">
        <v>98</v>
      </c>
      <c r="R375" s="4" t="s">
        <v>3822</v>
      </c>
      <c r="S375" s="44" t="s">
        <v>3823</v>
      </c>
      <c r="T375" s="45" t="s">
        <v>3618</v>
      </c>
      <c r="U375" s="7" t="s">
        <v>3562</v>
      </c>
      <c r="V375" s="45" t="s">
        <v>2961</v>
      </c>
      <c r="W375" s="44" t="s">
        <v>2900</v>
      </c>
      <c r="X375" s="4" t="s">
        <v>3834</v>
      </c>
      <c r="Y375" s="46" t="s">
        <v>2472</v>
      </c>
      <c r="Z375" s="4" t="s">
        <v>3654</v>
      </c>
      <c r="AA375" s="46" t="s">
        <v>2490</v>
      </c>
      <c r="AB375" s="4" t="s">
        <v>357</v>
      </c>
      <c r="AC375" s="7" t="s">
        <v>2656</v>
      </c>
      <c r="AD375" s="4" t="s">
        <v>2961</v>
      </c>
      <c r="AE375" s="7" t="s">
        <v>2900</v>
      </c>
      <c r="AF375" s="7" t="s">
        <v>2961</v>
      </c>
      <c r="AG375" s="7" t="s">
        <v>2961</v>
      </c>
      <c r="AI375" s="7" t="s">
        <v>4100</v>
      </c>
      <c r="AJ375" s="7" t="s">
        <v>2656</v>
      </c>
      <c r="AK375" s="41">
        <f>Table43[[#This Row],[Harga Jual Pcs GT
(-PPN)]]-(Table43[[#This Row],[Harga Jual Pcs GT
(-PPN)]]*10%)</f>
        <v>0</v>
      </c>
      <c r="AL375" s="42">
        <f>Table43[[#This Row],[Harga Beli Pcs
(-PPN)]]*Table43[[#This Row],[ISI/CTN]]</f>
        <v>0</v>
      </c>
      <c r="AM375" s="42">
        <f>Table43[[#This Row],[Harga Beli Pcs
(-PPN)]]*1.11</f>
        <v>0</v>
      </c>
      <c r="AN375" s="42">
        <f>Table43[[#This Row],[Harga Beli Krt
(- PPN)]]*1.11</f>
        <v>0</v>
      </c>
      <c r="AO375" s="42"/>
      <c r="AP375" s="42">
        <f>Table43[[#This Row],[Harga Jual Pcs GT
(-PPN)]]*Table43[[#This Row],[ISI/CTN]]</f>
        <v>0</v>
      </c>
      <c r="AQ375" s="42">
        <f>Table43[[#This Row],[Harga Jual Pcs GT
(-PPN)]]*1.11</f>
        <v>0</v>
      </c>
      <c r="AR375" s="42">
        <f>Table43[[#This Row],[Harga Jual Krt GT
(- PPN)]]*1.11</f>
        <v>0</v>
      </c>
      <c r="AS375" s="42">
        <f>Table43[[#This Row],[Harga Jual Pcs GT
(-PPN)]]</f>
        <v>0</v>
      </c>
      <c r="AT375" s="42">
        <f>(Table43[[#This Row],[Harga Jual Pcs MT
(-PPN)]]*Table43[[#This Row],[ISI/CTN]])</f>
        <v>0</v>
      </c>
      <c r="AU375" s="42">
        <f>Table43[[#This Row],[Harga Jual Pcs MT
(-PPN)]]*1.11</f>
        <v>0</v>
      </c>
      <c r="AV375" s="42">
        <f>Table43[[#This Row],[Harga Jual Pcs MT
(+PPN)]]*Table43[[#This Row],[ISI/CTN]]</f>
        <v>0</v>
      </c>
      <c r="AW375" s="47"/>
      <c r="AX375" s="7"/>
      <c r="AY375" s="7" t="str">
        <f ca="1">IF(TODAY()-Table43[[#This Row],[Efektif
Pembuatan]]&gt;60,"Lama","Baru")</f>
        <v>Lama</v>
      </c>
      <c r="AZ375" s="7" t="str">
        <f ca="1">IF(TODAY()-Table43[[#This Row],[Efektif Naik Harga]]&lt;30,"Naik","Sama")</f>
        <v>Sama</v>
      </c>
      <c r="BA375" s="7" t="str">
        <f>IF(Table43[[#This Row],[Kode BARANG Win2]]&lt;&gt;"","IDR","")</f>
        <v>IDR</v>
      </c>
      <c r="BB375" s="7" t="str">
        <f>CONCATENATE(Table43[[#This Row],[kode  1 Digit
(Nomor)]],Table43[[#This Row],[kode  4 Digit                (Nomor)]])</f>
        <v>10050</v>
      </c>
      <c r="BC375" s="7" t="str">
        <f>Table43[[#This Row],[Nama            Gramasi atau Jumlah Pack per CTN]]</f>
        <v>50ML</v>
      </c>
      <c r="BD375" s="7"/>
      <c r="BE375" s="7"/>
      <c r="BF375" s="4" t="str">
        <f>IF(Table43[[#This Row],[SATUAN Fix Win]]&lt;&gt;"","KRT")</f>
        <v>KRT</v>
      </c>
      <c r="BG375" s="4" t="str">
        <f>IF(Table43[[#This Row],[SATUAN Fix Win]]&lt;&gt;"","GD01")</f>
        <v>GD01</v>
      </c>
      <c r="BH375" s="4">
        <f>IF(Table43[[#This Row],[SATUAN Fix Win]]&lt;&gt;"",11611)</f>
        <v>11611</v>
      </c>
      <c r="BI375" s="4">
        <f>IF(Table43[[#This Row],[SATUAN Fix Win]]&lt;&gt;"",11612)</f>
        <v>11612</v>
      </c>
      <c r="BJ375" s="48"/>
      <c r="BK375" s="4">
        <f>IF(Table43[[#This Row],[SATUAN Fix Win]]&lt;&gt;"",1)</f>
        <v>1</v>
      </c>
    </row>
    <row r="376" spans="1:63">
      <c r="A376" s="4" t="str">
        <f>CONCATENATE(Table43[[#This Row],[Kode BARANG Win2]],Table43[[#This Row],[No. Urut
Item Sama]])</f>
        <v>K12420020100101</v>
      </c>
      <c r="B376" s="7">
        <v>1</v>
      </c>
      <c r="D376" s="28" t="s">
        <v>629</v>
      </c>
      <c r="E376" s="28"/>
      <c r="F376" s="28" t="s">
        <v>3156</v>
      </c>
      <c r="G376" s="78">
        <v>36</v>
      </c>
      <c r="H376" s="43"/>
      <c r="I376" s="28" t="str">
        <f>Table43[[#This Row],[Nama Jenis Kemasan]]</f>
        <v>BTL</v>
      </c>
      <c r="J376" s="4" t="str">
        <f>TRIM(CONCATENATE(Table43[[#This Row],[Nama            KLP]]," ",Table43[[#This Row],[Nama            Sub KLP]]))</f>
        <v>MASTER SPRAY COLOGNE</v>
      </c>
      <c r="K376" s="4" t="str">
        <f>CONCATENATE(Table43[[#This Row],[kode  2 Digit                (hrf+No)]],Table43[[#This Row],[kode  2 Digit                (Nomor)]],Table43[[#This Row],[kode  1 Digit                (Nomor)]])</f>
        <v>K1242</v>
      </c>
      <c r="L376" s="4" t="str">
        <f t="shared" si="18"/>
        <v>K1242002010010</v>
      </c>
      <c r="M376" s="11">
        <f t="shared" si="19"/>
        <v>14</v>
      </c>
      <c r="N376" s="14" t="str">
        <f>IF(AF376&lt;&gt;"",TRIM(UPPER(CONCATENATE(P376," ",R376," ",T376," ",V376," ",X376," ",Z376," ","X"," ",Table43[[#This Row],[ISI/CTN]]," ",AF376," ",AB376," ",AD376," ",AH376))),TRIM(UPPER(CONCATENATE(P376," ",R376," ",T376," ",V376," ",X376," ",Z376," ","X"," ",Table43[[#This Row],[ISI/CTN]]," ",AB376," ",AD376," ",AH376))))</f>
        <v>KNF MASTER SPRAY COLOGNE BLACK MUSK 100ML X 36 BTL</v>
      </c>
      <c r="O376" s="11">
        <f t="shared" si="20"/>
        <v>50</v>
      </c>
      <c r="P376" s="4" t="s">
        <v>97</v>
      </c>
      <c r="Q376" s="7" t="s">
        <v>98</v>
      </c>
      <c r="R376" s="4" t="s">
        <v>3822</v>
      </c>
      <c r="S376" s="44" t="s">
        <v>3823</v>
      </c>
      <c r="T376" s="45" t="s">
        <v>3618</v>
      </c>
      <c r="U376" s="7" t="s">
        <v>3562</v>
      </c>
      <c r="V376" s="45" t="s">
        <v>2961</v>
      </c>
      <c r="W376" s="44" t="s">
        <v>2900</v>
      </c>
      <c r="X376" s="4" t="s">
        <v>3834</v>
      </c>
      <c r="Y376" s="46" t="s">
        <v>2472</v>
      </c>
      <c r="Z376" s="4" t="s">
        <v>3588</v>
      </c>
      <c r="AA376" s="46" t="s">
        <v>2487</v>
      </c>
      <c r="AB376" s="4" t="s">
        <v>357</v>
      </c>
      <c r="AC376" s="7" t="s">
        <v>2656</v>
      </c>
      <c r="AD376" s="4" t="s">
        <v>2961</v>
      </c>
      <c r="AE376" s="7" t="s">
        <v>2900</v>
      </c>
      <c r="AF376" s="7" t="s">
        <v>2961</v>
      </c>
      <c r="AG376" s="7" t="s">
        <v>2961</v>
      </c>
      <c r="AI376" s="7" t="s">
        <v>4100</v>
      </c>
      <c r="AJ376" s="7" t="s">
        <v>2656</v>
      </c>
      <c r="AK376" s="41">
        <f>Table43[[#This Row],[Harga Jual Pcs GT
(-PPN)]]-(Table43[[#This Row],[Harga Jual Pcs GT
(-PPN)]]*10%)</f>
        <v>0</v>
      </c>
      <c r="AL376" s="42">
        <f>Table43[[#This Row],[Harga Beli Pcs
(-PPN)]]*Table43[[#This Row],[ISI/CTN]]</f>
        <v>0</v>
      </c>
      <c r="AM376" s="42">
        <f>Table43[[#This Row],[Harga Beli Pcs
(-PPN)]]*1.11</f>
        <v>0</v>
      </c>
      <c r="AN376" s="42">
        <f>Table43[[#This Row],[Harga Beli Krt
(- PPN)]]*1.11</f>
        <v>0</v>
      </c>
      <c r="AO376" s="42"/>
      <c r="AP376" s="42">
        <f>Table43[[#This Row],[Harga Jual Pcs GT
(-PPN)]]*Table43[[#This Row],[ISI/CTN]]</f>
        <v>0</v>
      </c>
      <c r="AQ376" s="42">
        <f>Table43[[#This Row],[Harga Jual Pcs GT
(-PPN)]]*1.11</f>
        <v>0</v>
      </c>
      <c r="AR376" s="42">
        <f>Table43[[#This Row],[Harga Jual Krt GT
(- PPN)]]*1.11</f>
        <v>0</v>
      </c>
      <c r="AS376" s="42">
        <f>Table43[[#This Row],[Harga Jual Pcs GT
(-PPN)]]</f>
        <v>0</v>
      </c>
      <c r="AT376" s="42">
        <f>(Table43[[#This Row],[Harga Jual Pcs MT
(-PPN)]]*Table43[[#This Row],[ISI/CTN]])</f>
        <v>0</v>
      </c>
      <c r="AU376" s="42">
        <f>Table43[[#This Row],[Harga Jual Pcs MT
(-PPN)]]*1.11</f>
        <v>0</v>
      </c>
      <c r="AV376" s="42">
        <f>Table43[[#This Row],[Harga Jual Pcs MT
(+PPN)]]*Table43[[#This Row],[ISI/CTN]]</f>
        <v>0</v>
      </c>
      <c r="AW376" s="47"/>
      <c r="AX376" s="7"/>
      <c r="AY376" s="7" t="str">
        <f ca="1">IF(TODAY()-Table43[[#This Row],[Efektif
Pembuatan]]&gt;60,"Lama","Baru")</f>
        <v>Lama</v>
      </c>
      <c r="AZ376" s="7" t="str">
        <f ca="1">IF(TODAY()-Table43[[#This Row],[Efektif Naik Harga]]&lt;30,"Naik","Sama")</f>
        <v>Sama</v>
      </c>
      <c r="BA376" s="7" t="str">
        <f>IF(Table43[[#This Row],[Kode BARANG Win2]]&lt;&gt;"","IDR","")</f>
        <v>IDR</v>
      </c>
      <c r="BB376" s="7" t="str">
        <f>CONCATENATE(Table43[[#This Row],[kode  1 Digit
(Nomor)]],Table43[[#This Row],[kode  4 Digit                (Nomor)]])</f>
        <v>10100</v>
      </c>
      <c r="BC376" s="7" t="str">
        <f>Table43[[#This Row],[Nama            Gramasi atau Jumlah Pack per CTN]]</f>
        <v>100ML</v>
      </c>
      <c r="BD376" s="7"/>
      <c r="BE376" s="7"/>
      <c r="BF376" s="4" t="str">
        <f>IF(Table43[[#This Row],[SATUAN Fix Win]]&lt;&gt;"","KRT")</f>
        <v>KRT</v>
      </c>
      <c r="BG376" s="4" t="str">
        <f>IF(Table43[[#This Row],[SATUAN Fix Win]]&lt;&gt;"","GD01")</f>
        <v>GD01</v>
      </c>
      <c r="BH376" s="4">
        <f>IF(Table43[[#This Row],[SATUAN Fix Win]]&lt;&gt;"",11611)</f>
        <v>11611</v>
      </c>
      <c r="BI376" s="4">
        <f>IF(Table43[[#This Row],[SATUAN Fix Win]]&lt;&gt;"",11612)</f>
        <v>11612</v>
      </c>
      <c r="BJ376" s="48"/>
      <c r="BK376" s="4">
        <f>IF(Table43[[#This Row],[SATUAN Fix Win]]&lt;&gt;"",1)</f>
        <v>1</v>
      </c>
    </row>
    <row r="377" spans="1:63">
      <c r="A377" s="4" t="str">
        <f>CONCATENATE(Table43[[#This Row],[Kode BARANG Win2]],Table43[[#This Row],[No. Urut
Item Sama]])</f>
        <v>K12420030050101</v>
      </c>
      <c r="B377" s="7">
        <v>1</v>
      </c>
      <c r="D377" s="28" t="s">
        <v>630</v>
      </c>
      <c r="E377" s="28"/>
      <c r="F377" s="28" t="s">
        <v>3157</v>
      </c>
      <c r="G377" s="78">
        <v>36</v>
      </c>
      <c r="H377" s="43"/>
      <c r="I377" s="28" t="str">
        <f>Table43[[#This Row],[Nama Jenis Kemasan]]</f>
        <v>BTL</v>
      </c>
      <c r="J377" s="4" t="str">
        <f>TRIM(CONCATENATE(Table43[[#This Row],[Nama            KLP]]," ",Table43[[#This Row],[Nama            Sub KLP]]))</f>
        <v>MASTER SPRAY COLOGNE</v>
      </c>
      <c r="K377" s="4" t="str">
        <f>CONCATENATE(Table43[[#This Row],[kode  2 Digit                (hrf+No)]],Table43[[#This Row],[kode  2 Digit                (Nomor)]],Table43[[#This Row],[kode  1 Digit                (Nomor)]])</f>
        <v>K1242</v>
      </c>
      <c r="L377" s="4" t="str">
        <f t="shared" si="18"/>
        <v>K1242003005010</v>
      </c>
      <c r="M377" s="11">
        <f t="shared" si="19"/>
        <v>14</v>
      </c>
      <c r="N377" s="14" t="str">
        <f>IF(AF377&lt;&gt;"",TRIM(UPPER(CONCATENATE(P377," ",R377," ",T377," ",V377," ",X377," ",Z377," ","X"," ",Table43[[#This Row],[ISI/CTN]]," ",AF377," ",AB377," ",AD377," ",AH377))),TRIM(UPPER(CONCATENATE(P377," ",R377," ",T377," ",V377," ",X377," ",Z377," ","X"," ",Table43[[#This Row],[ISI/CTN]]," ",AB377," ",AD377," ",AH377))))</f>
        <v>KNF MASTER SPRAY COLOGNE E.AMBER 50ML X 36 BTL</v>
      </c>
      <c r="O377" s="11">
        <f t="shared" si="20"/>
        <v>46</v>
      </c>
      <c r="P377" s="4" t="s">
        <v>97</v>
      </c>
      <c r="Q377" s="7" t="s">
        <v>98</v>
      </c>
      <c r="R377" s="4" t="s">
        <v>3822</v>
      </c>
      <c r="S377" s="44" t="s">
        <v>3823</v>
      </c>
      <c r="T377" s="45" t="s">
        <v>3618</v>
      </c>
      <c r="U377" s="7" t="s">
        <v>3562</v>
      </c>
      <c r="V377" s="45" t="s">
        <v>2961</v>
      </c>
      <c r="W377" s="44" t="s">
        <v>2900</v>
      </c>
      <c r="X377" s="4" t="s">
        <v>3835</v>
      </c>
      <c r="Y377" s="46" t="s">
        <v>2473</v>
      </c>
      <c r="Z377" s="4" t="s">
        <v>3654</v>
      </c>
      <c r="AA377" s="46" t="s">
        <v>2490</v>
      </c>
      <c r="AB377" s="4" t="s">
        <v>357</v>
      </c>
      <c r="AC377" s="7" t="s">
        <v>2656</v>
      </c>
      <c r="AD377" s="4" t="s">
        <v>2961</v>
      </c>
      <c r="AE377" s="7" t="s">
        <v>2900</v>
      </c>
      <c r="AF377" s="7" t="s">
        <v>2961</v>
      </c>
      <c r="AG377" s="7" t="s">
        <v>2961</v>
      </c>
      <c r="AI377" s="7" t="s">
        <v>4100</v>
      </c>
      <c r="AJ377" s="7" t="s">
        <v>2656</v>
      </c>
      <c r="AK377" s="41">
        <f>Table43[[#This Row],[Harga Jual Pcs GT
(-PPN)]]-(Table43[[#This Row],[Harga Jual Pcs GT
(-PPN)]]*10%)</f>
        <v>0</v>
      </c>
      <c r="AL377" s="42">
        <f>Table43[[#This Row],[Harga Beli Pcs
(-PPN)]]*Table43[[#This Row],[ISI/CTN]]</f>
        <v>0</v>
      </c>
      <c r="AM377" s="42">
        <f>Table43[[#This Row],[Harga Beli Pcs
(-PPN)]]*1.11</f>
        <v>0</v>
      </c>
      <c r="AN377" s="42">
        <f>Table43[[#This Row],[Harga Beli Krt
(- PPN)]]*1.11</f>
        <v>0</v>
      </c>
      <c r="AO377" s="42"/>
      <c r="AP377" s="42">
        <f>Table43[[#This Row],[Harga Jual Pcs GT
(-PPN)]]*Table43[[#This Row],[ISI/CTN]]</f>
        <v>0</v>
      </c>
      <c r="AQ377" s="42">
        <f>Table43[[#This Row],[Harga Jual Pcs GT
(-PPN)]]*1.11</f>
        <v>0</v>
      </c>
      <c r="AR377" s="42">
        <f>Table43[[#This Row],[Harga Jual Krt GT
(- PPN)]]*1.11</f>
        <v>0</v>
      </c>
      <c r="AS377" s="42">
        <f>Table43[[#This Row],[Harga Jual Pcs GT
(-PPN)]]</f>
        <v>0</v>
      </c>
      <c r="AT377" s="42">
        <f>(Table43[[#This Row],[Harga Jual Pcs MT
(-PPN)]]*Table43[[#This Row],[ISI/CTN]])</f>
        <v>0</v>
      </c>
      <c r="AU377" s="42">
        <f>Table43[[#This Row],[Harga Jual Pcs MT
(-PPN)]]*1.11</f>
        <v>0</v>
      </c>
      <c r="AV377" s="42">
        <f>Table43[[#This Row],[Harga Jual Pcs MT
(+PPN)]]*Table43[[#This Row],[ISI/CTN]]</f>
        <v>0</v>
      </c>
      <c r="AW377" s="47"/>
      <c r="AX377" s="7"/>
      <c r="AY377" s="7" t="str">
        <f ca="1">IF(TODAY()-Table43[[#This Row],[Efektif
Pembuatan]]&gt;60,"Lama","Baru")</f>
        <v>Lama</v>
      </c>
      <c r="AZ377" s="7" t="str">
        <f ca="1">IF(TODAY()-Table43[[#This Row],[Efektif Naik Harga]]&lt;30,"Naik","Sama")</f>
        <v>Sama</v>
      </c>
      <c r="BA377" s="7" t="str">
        <f>IF(Table43[[#This Row],[Kode BARANG Win2]]&lt;&gt;"","IDR","")</f>
        <v>IDR</v>
      </c>
      <c r="BB377" s="7" t="str">
        <f>CONCATENATE(Table43[[#This Row],[kode  1 Digit
(Nomor)]],Table43[[#This Row],[kode  4 Digit                (Nomor)]])</f>
        <v>10050</v>
      </c>
      <c r="BC377" s="7" t="str">
        <f>Table43[[#This Row],[Nama            Gramasi atau Jumlah Pack per CTN]]</f>
        <v>50ML</v>
      </c>
      <c r="BD377" s="7"/>
      <c r="BE377" s="7"/>
      <c r="BF377" s="4" t="str">
        <f>IF(Table43[[#This Row],[SATUAN Fix Win]]&lt;&gt;"","KRT")</f>
        <v>KRT</v>
      </c>
      <c r="BG377" s="4" t="str">
        <f>IF(Table43[[#This Row],[SATUAN Fix Win]]&lt;&gt;"","GD01")</f>
        <v>GD01</v>
      </c>
      <c r="BH377" s="4">
        <f>IF(Table43[[#This Row],[SATUAN Fix Win]]&lt;&gt;"",11611)</f>
        <v>11611</v>
      </c>
      <c r="BI377" s="4">
        <f>IF(Table43[[#This Row],[SATUAN Fix Win]]&lt;&gt;"",11612)</f>
        <v>11612</v>
      </c>
      <c r="BJ377" s="48"/>
      <c r="BK377" s="4">
        <f>IF(Table43[[#This Row],[SATUAN Fix Win]]&lt;&gt;"",1)</f>
        <v>1</v>
      </c>
    </row>
    <row r="378" spans="1:63">
      <c r="A378" s="4" t="str">
        <f>CONCATENATE(Table43[[#This Row],[Kode BARANG Win2]],Table43[[#This Row],[No. Urut
Item Sama]])</f>
        <v>K12420030100102</v>
      </c>
      <c r="B378" s="7">
        <v>2</v>
      </c>
      <c r="D378" s="28" t="s">
        <v>631</v>
      </c>
      <c r="E378" s="28"/>
      <c r="F378" s="28" t="s">
        <v>3158</v>
      </c>
      <c r="G378" s="78">
        <v>36</v>
      </c>
      <c r="H378" s="43"/>
      <c r="I378" s="28" t="str">
        <f>Table43[[#This Row],[Nama Jenis Kemasan]]</f>
        <v>BTL</v>
      </c>
      <c r="J378" s="4" t="str">
        <f>TRIM(CONCATENATE(Table43[[#This Row],[Nama            KLP]]," ",Table43[[#This Row],[Nama            Sub KLP]]))</f>
        <v>MASTER SPRAY COLOGNE</v>
      </c>
      <c r="K378" s="4" t="str">
        <f>CONCATENATE(Table43[[#This Row],[kode  2 Digit                (hrf+No)]],Table43[[#This Row],[kode  2 Digit                (Nomor)]],Table43[[#This Row],[kode  1 Digit                (Nomor)]])</f>
        <v>K1242</v>
      </c>
      <c r="L378" s="4" t="str">
        <f t="shared" si="18"/>
        <v>K1242003010010</v>
      </c>
      <c r="M378" s="11">
        <f t="shared" si="19"/>
        <v>14</v>
      </c>
      <c r="N378" s="14" t="str">
        <f>IF(AF378&lt;&gt;"",TRIM(UPPER(CONCATENATE(P378," ",R378," ",T378," ",V378," ",X378," ",Z378," ","X"," ",Table43[[#This Row],[ISI/CTN]]," ",AF378," ",AB378," ",AD378," ",AH378))),TRIM(UPPER(CONCATENATE(P378," ",R378," ",T378," ",V378," ",X378," ",Z378," ","X"," ",Table43[[#This Row],[ISI/CTN]]," ",AB378," ",AD378," ",AH378))))</f>
        <v>KNF MASTER SPRAY COLOGNE E.AMBER 100ML X 36 BTL</v>
      </c>
      <c r="O378" s="11">
        <f t="shared" si="20"/>
        <v>47</v>
      </c>
      <c r="P378" s="4" t="s">
        <v>97</v>
      </c>
      <c r="Q378" s="7" t="s">
        <v>98</v>
      </c>
      <c r="R378" s="4" t="s">
        <v>3822</v>
      </c>
      <c r="S378" s="44" t="s">
        <v>3823</v>
      </c>
      <c r="T378" s="45" t="s">
        <v>3618</v>
      </c>
      <c r="U378" s="7" t="s">
        <v>3562</v>
      </c>
      <c r="V378" s="45" t="s">
        <v>2961</v>
      </c>
      <c r="W378" s="44" t="s">
        <v>2900</v>
      </c>
      <c r="X378" s="4" t="s">
        <v>3835</v>
      </c>
      <c r="Y378" s="46" t="s">
        <v>2473</v>
      </c>
      <c r="Z378" s="4" t="s">
        <v>3588</v>
      </c>
      <c r="AA378" s="46" t="s">
        <v>2487</v>
      </c>
      <c r="AB378" s="4" t="s">
        <v>357</v>
      </c>
      <c r="AC378" s="7" t="s">
        <v>2656</v>
      </c>
      <c r="AD378" s="4" t="s">
        <v>2961</v>
      </c>
      <c r="AE378" s="7" t="s">
        <v>2900</v>
      </c>
      <c r="AF378" s="7" t="s">
        <v>2961</v>
      </c>
      <c r="AG378" s="7" t="s">
        <v>2961</v>
      </c>
      <c r="AI378" s="7" t="s">
        <v>4100</v>
      </c>
      <c r="AJ378" s="7" t="s">
        <v>2656</v>
      </c>
      <c r="AK378" s="41">
        <f>Table43[[#This Row],[Harga Jual Pcs GT
(-PPN)]]-(Table43[[#This Row],[Harga Jual Pcs GT
(-PPN)]]*10%)</f>
        <v>0</v>
      </c>
      <c r="AL378" s="42">
        <f>Table43[[#This Row],[Harga Beli Pcs
(-PPN)]]*Table43[[#This Row],[ISI/CTN]]</f>
        <v>0</v>
      </c>
      <c r="AM378" s="42">
        <f>Table43[[#This Row],[Harga Beli Pcs
(-PPN)]]*1.11</f>
        <v>0</v>
      </c>
      <c r="AN378" s="42">
        <f>Table43[[#This Row],[Harga Beli Krt
(- PPN)]]*1.11</f>
        <v>0</v>
      </c>
      <c r="AO378" s="42"/>
      <c r="AP378" s="42">
        <f>Table43[[#This Row],[Harga Jual Pcs GT
(-PPN)]]*Table43[[#This Row],[ISI/CTN]]</f>
        <v>0</v>
      </c>
      <c r="AQ378" s="42">
        <f>Table43[[#This Row],[Harga Jual Pcs GT
(-PPN)]]*1.11</f>
        <v>0</v>
      </c>
      <c r="AR378" s="42">
        <f>Table43[[#This Row],[Harga Jual Krt GT
(- PPN)]]*1.11</f>
        <v>0</v>
      </c>
      <c r="AS378" s="42">
        <f>Table43[[#This Row],[Harga Jual Pcs GT
(-PPN)]]</f>
        <v>0</v>
      </c>
      <c r="AT378" s="42">
        <f>(Table43[[#This Row],[Harga Jual Pcs MT
(-PPN)]]*Table43[[#This Row],[ISI/CTN]])</f>
        <v>0</v>
      </c>
      <c r="AU378" s="42">
        <f>Table43[[#This Row],[Harga Jual Pcs MT
(-PPN)]]*1.11</f>
        <v>0</v>
      </c>
      <c r="AV378" s="42">
        <f>Table43[[#This Row],[Harga Jual Pcs MT
(+PPN)]]*Table43[[#This Row],[ISI/CTN]]</f>
        <v>0</v>
      </c>
      <c r="AW378" s="47"/>
      <c r="AX378" s="7"/>
      <c r="AY378" s="7" t="str">
        <f ca="1">IF(TODAY()-Table43[[#This Row],[Efektif
Pembuatan]]&gt;60,"Lama","Baru")</f>
        <v>Lama</v>
      </c>
      <c r="AZ378" s="7" t="str">
        <f ca="1">IF(TODAY()-Table43[[#This Row],[Efektif Naik Harga]]&lt;30,"Naik","Sama")</f>
        <v>Sama</v>
      </c>
      <c r="BA378" s="7" t="str">
        <f>IF(Table43[[#This Row],[Kode BARANG Win2]]&lt;&gt;"","IDR","")</f>
        <v>IDR</v>
      </c>
      <c r="BB378" s="7" t="str">
        <f>CONCATENATE(Table43[[#This Row],[kode  1 Digit
(Nomor)]],Table43[[#This Row],[kode  4 Digit                (Nomor)]])</f>
        <v>10100</v>
      </c>
      <c r="BC378" s="7" t="str">
        <f>Table43[[#This Row],[Nama            Gramasi atau Jumlah Pack per CTN]]</f>
        <v>100ML</v>
      </c>
      <c r="BD378" s="7"/>
      <c r="BE378" s="7"/>
      <c r="BF378" s="4" t="str">
        <f>IF(Table43[[#This Row],[SATUAN Fix Win]]&lt;&gt;"","KRT")</f>
        <v>KRT</v>
      </c>
      <c r="BG378" s="4" t="str">
        <f>IF(Table43[[#This Row],[SATUAN Fix Win]]&lt;&gt;"","GD01")</f>
        <v>GD01</v>
      </c>
      <c r="BH378" s="4">
        <f>IF(Table43[[#This Row],[SATUAN Fix Win]]&lt;&gt;"",11611)</f>
        <v>11611</v>
      </c>
      <c r="BI378" s="4">
        <f>IF(Table43[[#This Row],[SATUAN Fix Win]]&lt;&gt;"",11612)</f>
        <v>11612</v>
      </c>
      <c r="BJ378" s="48"/>
      <c r="BK378" s="4">
        <f>IF(Table43[[#This Row],[SATUAN Fix Win]]&lt;&gt;"",1)</f>
        <v>1</v>
      </c>
    </row>
    <row r="379" spans="1:63">
      <c r="A379" s="4" t="str">
        <f>CONCATENATE(Table43[[#This Row],[Kode BARANG Win2]],Table43[[#This Row],[No. Urut
Item Sama]])</f>
        <v>K12420040050101</v>
      </c>
      <c r="B379" s="7">
        <v>1</v>
      </c>
      <c r="D379" s="28" t="s">
        <v>632</v>
      </c>
      <c r="E379" s="28"/>
      <c r="F379" s="28" t="s">
        <v>3159</v>
      </c>
      <c r="G379" s="78">
        <v>36</v>
      </c>
      <c r="H379" s="43"/>
      <c r="I379" s="28" t="str">
        <f>Table43[[#This Row],[Nama Jenis Kemasan]]</f>
        <v>BTL</v>
      </c>
      <c r="J379" s="4" t="str">
        <f>TRIM(CONCATENATE(Table43[[#This Row],[Nama            KLP]]," ",Table43[[#This Row],[Nama            Sub KLP]]))</f>
        <v>MASTER SPRAY COLOGNE</v>
      </c>
      <c r="K379" s="4" t="str">
        <f>CONCATENATE(Table43[[#This Row],[kode  2 Digit                (hrf+No)]],Table43[[#This Row],[kode  2 Digit                (Nomor)]],Table43[[#This Row],[kode  1 Digit                (Nomor)]])</f>
        <v>K1242</v>
      </c>
      <c r="L379" s="4" t="str">
        <f t="shared" si="18"/>
        <v>K1242004005010</v>
      </c>
      <c r="M379" s="11">
        <f t="shared" si="19"/>
        <v>14</v>
      </c>
      <c r="N379" s="14" t="str">
        <f>IF(AF379&lt;&gt;"",TRIM(UPPER(CONCATENATE(P379," ",R379," ",T379," ",V379," ",X379," ",Z379," ","X"," ",Table43[[#This Row],[ISI/CTN]]," ",AF379," ",AB379," ",AD379," ",AH379))),TRIM(UPPER(CONCATENATE(P379," ",R379," ",T379," ",V379," ",X379," ",Z379," ","X"," ",Table43[[#This Row],[ISI/CTN]]," ",AB379," ",AD379," ",AH379))))</f>
        <v>KNF MASTER SPRAY COLOGNE GREEN FOUGERE 50ML X 36 BTL</v>
      </c>
      <c r="O379" s="11">
        <f t="shared" si="20"/>
        <v>52</v>
      </c>
      <c r="P379" s="4" t="s">
        <v>97</v>
      </c>
      <c r="Q379" s="7" t="s">
        <v>98</v>
      </c>
      <c r="R379" s="4" t="s">
        <v>3822</v>
      </c>
      <c r="S379" s="44" t="s">
        <v>3823</v>
      </c>
      <c r="T379" s="45" t="s">
        <v>3618</v>
      </c>
      <c r="U379" s="7" t="s">
        <v>3562</v>
      </c>
      <c r="V379" s="45" t="s">
        <v>2961</v>
      </c>
      <c r="W379" s="44" t="s">
        <v>2900</v>
      </c>
      <c r="X379" s="4" t="s">
        <v>3836</v>
      </c>
      <c r="Y379" s="46" t="s">
        <v>2474</v>
      </c>
      <c r="Z379" s="4" t="s">
        <v>3654</v>
      </c>
      <c r="AA379" s="46" t="s">
        <v>2490</v>
      </c>
      <c r="AB379" s="4" t="s">
        <v>357</v>
      </c>
      <c r="AC379" s="7" t="s">
        <v>2656</v>
      </c>
      <c r="AD379" s="4" t="s">
        <v>2961</v>
      </c>
      <c r="AE379" s="7" t="s">
        <v>2900</v>
      </c>
      <c r="AF379" s="7" t="s">
        <v>2961</v>
      </c>
      <c r="AG379" s="7" t="s">
        <v>2961</v>
      </c>
      <c r="AI379" s="7" t="s">
        <v>4100</v>
      </c>
      <c r="AJ379" s="7" t="s">
        <v>2656</v>
      </c>
      <c r="AK379" s="41">
        <f>Table43[[#This Row],[Harga Jual Pcs GT
(-PPN)]]-(Table43[[#This Row],[Harga Jual Pcs GT
(-PPN)]]*10%)</f>
        <v>0</v>
      </c>
      <c r="AL379" s="42">
        <f>Table43[[#This Row],[Harga Beli Pcs
(-PPN)]]*Table43[[#This Row],[ISI/CTN]]</f>
        <v>0</v>
      </c>
      <c r="AM379" s="42">
        <f>Table43[[#This Row],[Harga Beli Pcs
(-PPN)]]*1.11</f>
        <v>0</v>
      </c>
      <c r="AN379" s="42">
        <f>Table43[[#This Row],[Harga Beli Krt
(- PPN)]]*1.11</f>
        <v>0</v>
      </c>
      <c r="AO379" s="42"/>
      <c r="AP379" s="42">
        <f>Table43[[#This Row],[Harga Jual Pcs GT
(-PPN)]]*Table43[[#This Row],[ISI/CTN]]</f>
        <v>0</v>
      </c>
      <c r="AQ379" s="42">
        <f>Table43[[#This Row],[Harga Jual Pcs GT
(-PPN)]]*1.11</f>
        <v>0</v>
      </c>
      <c r="AR379" s="42">
        <f>Table43[[#This Row],[Harga Jual Krt GT
(- PPN)]]*1.11</f>
        <v>0</v>
      </c>
      <c r="AS379" s="42">
        <f>Table43[[#This Row],[Harga Jual Pcs GT
(-PPN)]]</f>
        <v>0</v>
      </c>
      <c r="AT379" s="42">
        <f>(Table43[[#This Row],[Harga Jual Pcs MT
(-PPN)]]*Table43[[#This Row],[ISI/CTN]])</f>
        <v>0</v>
      </c>
      <c r="AU379" s="42">
        <f>Table43[[#This Row],[Harga Jual Pcs MT
(-PPN)]]*1.11</f>
        <v>0</v>
      </c>
      <c r="AV379" s="42">
        <f>Table43[[#This Row],[Harga Jual Pcs MT
(+PPN)]]*Table43[[#This Row],[ISI/CTN]]</f>
        <v>0</v>
      </c>
      <c r="AW379" s="47"/>
      <c r="AX379" s="7"/>
      <c r="AY379" s="7" t="str">
        <f ca="1">IF(TODAY()-Table43[[#This Row],[Efektif
Pembuatan]]&gt;60,"Lama","Baru")</f>
        <v>Lama</v>
      </c>
      <c r="AZ379" s="7" t="str">
        <f ca="1">IF(TODAY()-Table43[[#This Row],[Efektif Naik Harga]]&lt;30,"Naik","Sama")</f>
        <v>Sama</v>
      </c>
      <c r="BA379" s="7" t="str">
        <f>IF(Table43[[#This Row],[Kode BARANG Win2]]&lt;&gt;"","IDR","")</f>
        <v>IDR</v>
      </c>
      <c r="BB379" s="7" t="str">
        <f>CONCATENATE(Table43[[#This Row],[kode  1 Digit
(Nomor)]],Table43[[#This Row],[kode  4 Digit                (Nomor)]])</f>
        <v>10050</v>
      </c>
      <c r="BC379" s="7" t="str">
        <f>Table43[[#This Row],[Nama            Gramasi atau Jumlah Pack per CTN]]</f>
        <v>50ML</v>
      </c>
      <c r="BD379" s="7"/>
      <c r="BE379" s="7"/>
      <c r="BF379" s="4" t="str">
        <f>IF(Table43[[#This Row],[SATUAN Fix Win]]&lt;&gt;"","KRT")</f>
        <v>KRT</v>
      </c>
      <c r="BG379" s="4" t="str">
        <f>IF(Table43[[#This Row],[SATUAN Fix Win]]&lt;&gt;"","GD01")</f>
        <v>GD01</v>
      </c>
      <c r="BH379" s="4">
        <f>IF(Table43[[#This Row],[SATUAN Fix Win]]&lt;&gt;"",11611)</f>
        <v>11611</v>
      </c>
      <c r="BI379" s="4">
        <f>IF(Table43[[#This Row],[SATUAN Fix Win]]&lt;&gt;"",11612)</f>
        <v>11612</v>
      </c>
      <c r="BJ379" s="48"/>
      <c r="BK379" s="4">
        <f>IF(Table43[[#This Row],[SATUAN Fix Win]]&lt;&gt;"",1)</f>
        <v>1</v>
      </c>
    </row>
    <row r="380" spans="1:63">
      <c r="A380" s="4" t="str">
        <f>CONCATENATE(Table43[[#This Row],[Kode BARANG Win2]],Table43[[#This Row],[No. Urut
Item Sama]])</f>
        <v>K12420040100102</v>
      </c>
      <c r="B380" s="7">
        <v>2</v>
      </c>
      <c r="D380" s="28" t="s">
        <v>633</v>
      </c>
      <c r="E380" s="28"/>
      <c r="F380" s="28" t="s">
        <v>3160</v>
      </c>
      <c r="G380" s="78">
        <v>36</v>
      </c>
      <c r="H380" s="43"/>
      <c r="I380" s="28" t="str">
        <f>Table43[[#This Row],[Nama Jenis Kemasan]]</f>
        <v>BTL</v>
      </c>
      <c r="J380" s="4" t="str">
        <f>TRIM(CONCATENATE(Table43[[#This Row],[Nama            KLP]]," ",Table43[[#This Row],[Nama            Sub KLP]]))</f>
        <v>MASTER SPRAY COLOGNE</v>
      </c>
      <c r="K380" s="4" t="str">
        <f>CONCATENATE(Table43[[#This Row],[kode  2 Digit                (hrf+No)]],Table43[[#This Row],[kode  2 Digit                (Nomor)]],Table43[[#This Row],[kode  1 Digit                (Nomor)]])</f>
        <v>K1242</v>
      </c>
      <c r="L380" s="4" t="str">
        <f t="shared" si="18"/>
        <v>K1242004010010</v>
      </c>
      <c r="M380" s="11">
        <f t="shared" si="19"/>
        <v>14</v>
      </c>
      <c r="N380" s="14" t="str">
        <f>IF(AF380&lt;&gt;"",TRIM(UPPER(CONCATENATE(P380," ",R380," ",T380," ",V380," ",X380," ",Z380," ","X"," ",Table43[[#This Row],[ISI/CTN]]," ",AF380," ",AB380," ",AD380," ",AH380))),TRIM(UPPER(CONCATENATE(P380," ",R380," ",T380," ",V380," ",X380," ",Z380," ","X"," ",Table43[[#This Row],[ISI/CTN]]," ",AB380," ",AD380," ",AH380))))</f>
        <v>KNF MASTER SPRAY COLOGNE G.FOUGERE 100ML X 36 BTL</v>
      </c>
      <c r="O380" s="11">
        <f t="shared" si="20"/>
        <v>49</v>
      </c>
      <c r="P380" s="4" t="s">
        <v>97</v>
      </c>
      <c r="Q380" s="7" t="s">
        <v>98</v>
      </c>
      <c r="R380" s="4" t="s">
        <v>3822</v>
      </c>
      <c r="S380" s="44" t="s">
        <v>3823</v>
      </c>
      <c r="T380" s="45" t="s">
        <v>3618</v>
      </c>
      <c r="U380" s="7" t="s">
        <v>3562</v>
      </c>
      <c r="V380" s="45" t="s">
        <v>2961</v>
      </c>
      <c r="W380" s="44" t="s">
        <v>2900</v>
      </c>
      <c r="X380" s="4" t="s">
        <v>3837</v>
      </c>
      <c r="Y380" s="46" t="s">
        <v>2474</v>
      </c>
      <c r="Z380" s="4" t="s">
        <v>3588</v>
      </c>
      <c r="AA380" s="46" t="s">
        <v>2487</v>
      </c>
      <c r="AB380" s="4" t="s">
        <v>357</v>
      </c>
      <c r="AC380" s="7" t="s">
        <v>2656</v>
      </c>
      <c r="AD380" s="4" t="s">
        <v>2961</v>
      </c>
      <c r="AE380" s="7" t="s">
        <v>2900</v>
      </c>
      <c r="AF380" s="7" t="s">
        <v>2961</v>
      </c>
      <c r="AG380" s="7" t="s">
        <v>2961</v>
      </c>
      <c r="AI380" s="7" t="s">
        <v>4100</v>
      </c>
      <c r="AJ380" s="7" t="s">
        <v>2656</v>
      </c>
      <c r="AK380" s="41">
        <f>Table43[[#This Row],[Harga Jual Pcs GT
(-PPN)]]-(Table43[[#This Row],[Harga Jual Pcs GT
(-PPN)]]*10%)</f>
        <v>0</v>
      </c>
      <c r="AL380" s="42">
        <f>Table43[[#This Row],[Harga Beli Pcs
(-PPN)]]*Table43[[#This Row],[ISI/CTN]]</f>
        <v>0</v>
      </c>
      <c r="AM380" s="42">
        <f>Table43[[#This Row],[Harga Beli Pcs
(-PPN)]]*1.11</f>
        <v>0</v>
      </c>
      <c r="AN380" s="42">
        <f>Table43[[#This Row],[Harga Beli Krt
(- PPN)]]*1.11</f>
        <v>0</v>
      </c>
      <c r="AO380" s="42"/>
      <c r="AP380" s="42">
        <f>Table43[[#This Row],[Harga Jual Pcs GT
(-PPN)]]*Table43[[#This Row],[ISI/CTN]]</f>
        <v>0</v>
      </c>
      <c r="AQ380" s="42">
        <f>Table43[[#This Row],[Harga Jual Pcs GT
(-PPN)]]*1.11</f>
        <v>0</v>
      </c>
      <c r="AR380" s="42">
        <f>Table43[[#This Row],[Harga Jual Krt GT
(- PPN)]]*1.11</f>
        <v>0</v>
      </c>
      <c r="AS380" s="42">
        <f>Table43[[#This Row],[Harga Jual Pcs GT
(-PPN)]]</f>
        <v>0</v>
      </c>
      <c r="AT380" s="42">
        <f>(Table43[[#This Row],[Harga Jual Pcs MT
(-PPN)]]*Table43[[#This Row],[ISI/CTN]])</f>
        <v>0</v>
      </c>
      <c r="AU380" s="42">
        <f>Table43[[#This Row],[Harga Jual Pcs MT
(-PPN)]]*1.11</f>
        <v>0</v>
      </c>
      <c r="AV380" s="42">
        <f>Table43[[#This Row],[Harga Jual Pcs MT
(+PPN)]]*Table43[[#This Row],[ISI/CTN]]</f>
        <v>0</v>
      </c>
      <c r="AW380" s="47"/>
      <c r="AX380" s="7"/>
      <c r="AY380" s="7" t="str">
        <f ca="1">IF(TODAY()-Table43[[#This Row],[Efektif
Pembuatan]]&gt;60,"Lama","Baru")</f>
        <v>Lama</v>
      </c>
      <c r="AZ380" s="7" t="str">
        <f ca="1">IF(TODAY()-Table43[[#This Row],[Efektif Naik Harga]]&lt;30,"Naik","Sama")</f>
        <v>Sama</v>
      </c>
      <c r="BA380" s="7" t="str">
        <f>IF(Table43[[#This Row],[Kode BARANG Win2]]&lt;&gt;"","IDR","")</f>
        <v>IDR</v>
      </c>
      <c r="BB380" s="7" t="str">
        <f>CONCATENATE(Table43[[#This Row],[kode  1 Digit
(Nomor)]],Table43[[#This Row],[kode  4 Digit                (Nomor)]])</f>
        <v>10100</v>
      </c>
      <c r="BC380" s="7" t="str">
        <f>Table43[[#This Row],[Nama            Gramasi atau Jumlah Pack per CTN]]</f>
        <v>100ML</v>
      </c>
      <c r="BD380" s="7"/>
      <c r="BE380" s="7"/>
      <c r="BF380" s="4" t="str">
        <f>IF(Table43[[#This Row],[SATUAN Fix Win]]&lt;&gt;"","KRT")</f>
        <v>KRT</v>
      </c>
      <c r="BG380" s="4" t="str">
        <f>IF(Table43[[#This Row],[SATUAN Fix Win]]&lt;&gt;"","GD01")</f>
        <v>GD01</v>
      </c>
      <c r="BH380" s="4">
        <f>IF(Table43[[#This Row],[SATUAN Fix Win]]&lt;&gt;"",11611)</f>
        <v>11611</v>
      </c>
      <c r="BI380" s="4">
        <f>IF(Table43[[#This Row],[SATUAN Fix Win]]&lt;&gt;"",11612)</f>
        <v>11612</v>
      </c>
      <c r="BJ380" s="48"/>
      <c r="BK380" s="4">
        <f>IF(Table43[[#This Row],[SATUAN Fix Win]]&lt;&gt;"",1)</f>
        <v>1</v>
      </c>
    </row>
    <row r="381" spans="1:63">
      <c r="A381" s="4" t="str">
        <f>CONCATENATE(Table43[[#This Row],[Kode BARANG Win2]],Table43[[#This Row],[No. Urut
Item Sama]])</f>
        <v>K12420050050101</v>
      </c>
      <c r="B381" s="7">
        <v>1</v>
      </c>
      <c r="D381" s="28" t="s">
        <v>634</v>
      </c>
      <c r="E381" s="28"/>
      <c r="F381" s="28" t="s">
        <v>3161</v>
      </c>
      <c r="G381" s="78">
        <v>36</v>
      </c>
      <c r="H381" s="43"/>
      <c r="I381" s="28" t="str">
        <f>Table43[[#This Row],[Nama Jenis Kemasan]]</f>
        <v>BTL</v>
      </c>
      <c r="J381" s="4" t="str">
        <f>TRIM(CONCATENATE(Table43[[#This Row],[Nama            KLP]]," ",Table43[[#This Row],[Nama            Sub KLP]]))</f>
        <v>MASTER SPRAY COLOGNE</v>
      </c>
      <c r="K381" s="4" t="str">
        <f>CONCATENATE(Table43[[#This Row],[kode  2 Digit                (hrf+No)]],Table43[[#This Row],[kode  2 Digit                (Nomor)]],Table43[[#This Row],[kode  1 Digit                (Nomor)]])</f>
        <v>K1242</v>
      </c>
      <c r="L381" s="4" t="str">
        <f t="shared" si="18"/>
        <v>K1242005005010</v>
      </c>
      <c r="M381" s="11">
        <f t="shared" si="19"/>
        <v>14</v>
      </c>
      <c r="N381" s="14" t="str">
        <f>IF(AF381&lt;&gt;"",TRIM(UPPER(CONCATENATE(P381," ",R381," ",T381," ",V381," ",X381," ",Z381," ","X"," ",Table43[[#This Row],[ISI/CTN]]," ",AF381," ",AB381," ",AD381," ",AH381))),TRIM(UPPER(CONCATENATE(P381," ",R381," ",T381," ",V381," ",X381," ",Z381," ","X"," ",Table43[[#This Row],[ISI/CTN]]," ",AB381," ",AD381," ",AH381))))</f>
        <v>KNF MASTER SPRAY COLOGNE RED WOOD 50ML X 36 BTL</v>
      </c>
      <c r="O381" s="11">
        <f t="shared" si="20"/>
        <v>47</v>
      </c>
      <c r="P381" s="4" t="s">
        <v>97</v>
      </c>
      <c r="Q381" s="7" t="s">
        <v>98</v>
      </c>
      <c r="R381" s="4" t="s">
        <v>3822</v>
      </c>
      <c r="S381" s="44" t="s">
        <v>3823</v>
      </c>
      <c r="T381" s="45" t="s">
        <v>3618</v>
      </c>
      <c r="U381" s="7" t="s">
        <v>3562</v>
      </c>
      <c r="V381" s="45" t="s">
        <v>2961</v>
      </c>
      <c r="W381" s="44" t="s">
        <v>2900</v>
      </c>
      <c r="X381" s="4" t="s">
        <v>3838</v>
      </c>
      <c r="Y381" s="46" t="s">
        <v>2475</v>
      </c>
      <c r="Z381" s="4" t="s">
        <v>3654</v>
      </c>
      <c r="AA381" s="46" t="s">
        <v>2490</v>
      </c>
      <c r="AB381" s="4" t="s">
        <v>357</v>
      </c>
      <c r="AC381" s="7" t="s">
        <v>2656</v>
      </c>
      <c r="AD381" s="4" t="s">
        <v>2961</v>
      </c>
      <c r="AE381" s="7" t="s">
        <v>2900</v>
      </c>
      <c r="AF381" s="7" t="s">
        <v>2961</v>
      </c>
      <c r="AG381" s="7" t="s">
        <v>2961</v>
      </c>
      <c r="AI381" s="7" t="s">
        <v>4100</v>
      </c>
      <c r="AJ381" s="7" t="s">
        <v>2656</v>
      </c>
      <c r="AK381" s="41">
        <f>Table43[[#This Row],[Harga Jual Pcs GT
(-PPN)]]-(Table43[[#This Row],[Harga Jual Pcs GT
(-PPN)]]*10%)</f>
        <v>0</v>
      </c>
      <c r="AL381" s="42">
        <f>Table43[[#This Row],[Harga Beli Pcs
(-PPN)]]*Table43[[#This Row],[ISI/CTN]]</f>
        <v>0</v>
      </c>
      <c r="AM381" s="42">
        <f>Table43[[#This Row],[Harga Beli Pcs
(-PPN)]]*1.11</f>
        <v>0</v>
      </c>
      <c r="AN381" s="42">
        <f>Table43[[#This Row],[Harga Beli Krt
(- PPN)]]*1.11</f>
        <v>0</v>
      </c>
      <c r="AO381" s="42"/>
      <c r="AP381" s="42">
        <f>Table43[[#This Row],[Harga Jual Pcs GT
(-PPN)]]*Table43[[#This Row],[ISI/CTN]]</f>
        <v>0</v>
      </c>
      <c r="AQ381" s="42">
        <f>Table43[[#This Row],[Harga Jual Pcs GT
(-PPN)]]*1.11</f>
        <v>0</v>
      </c>
      <c r="AR381" s="42">
        <f>Table43[[#This Row],[Harga Jual Krt GT
(- PPN)]]*1.11</f>
        <v>0</v>
      </c>
      <c r="AS381" s="42">
        <f>Table43[[#This Row],[Harga Jual Pcs GT
(-PPN)]]</f>
        <v>0</v>
      </c>
      <c r="AT381" s="42">
        <f>(Table43[[#This Row],[Harga Jual Pcs MT
(-PPN)]]*Table43[[#This Row],[ISI/CTN]])</f>
        <v>0</v>
      </c>
      <c r="AU381" s="42">
        <f>Table43[[#This Row],[Harga Jual Pcs MT
(-PPN)]]*1.11</f>
        <v>0</v>
      </c>
      <c r="AV381" s="42">
        <f>Table43[[#This Row],[Harga Jual Pcs MT
(+PPN)]]*Table43[[#This Row],[ISI/CTN]]</f>
        <v>0</v>
      </c>
      <c r="AW381" s="47"/>
      <c r="AX381" s="7"/>
      <c r="AY381" s="7" t="str">
        <f ca="1">IF(TODAY()-Table43[[#This Row],[Efektif
Pembuatan]]&gt;60,"Lama","Baru")</f>
        <v>Lama</v>
      </c>
      <c r="AZ381" s="7" t="str">
        <f ca="1">IF(TODAY()-Table43[[#This Row],[Efektif Naik Harga]]&lt;30,"Naik","Sama")</f>
        <v>Sama</v>
      </c>
      <c r="BA381" s="7" t="str">
        <f>IF(Table43[[#This Row],[Kode BARANG Win2]]&lt;&gt;"","IDR","")</f>
        <v>IDR</v>
      </c>
      <c r="BB381" s="7" t="str">
        <f>CONCATENATE(Table43[[#This Row],[kode  1 Digit
(Nomor)]],Table43[[#This Row],[kode  4 Digit                (Nomor)]])</f>
        <v>10050</v>
      </c>
      <c r="BC381" s="7" t="str">
        <f>Table43[[#This Row],[Nama            Gramasi atau Jumlah Pack per CTN]]</f>
        <v>50ML</v>
      </c>
      <c r="BD381" s="7"/>
      <c r="BE381" s="7"/>
      <c r="BF381" s="4" t="str">
        <f>IF(Table43[[#This Row],[SATUAN Fix Win]]&lt;&gt;"","KRT")</f>
        <v>KRT</v>
      </c>
      <c r="BG381" s="4" t="str">
        <f>IF(Table43[[#This Row],[SATUAN Fix Win]]&lt;&gt;"","GD01")</f>
        <v>GD01</v>
      </c>
      <c r="BH381" s="4">
        <f>IF(Table43[[#This Row],[SATUAN Fix Win]]&lt;&gt;"",11611)</f>
        <v>11611</v>
      </c>
      <c r="BI381" s="4">
        <f>IF(Table43[[#This Row],[SATUAN Fix Win]]&lt;&gt;"",11612)</f>
        <v>11612</v>
      </c>
      <c r="BJ381" s="48"/>
      <c r="BK381" s="4">
        <f>IF(Table43[[#This Row],[SATUAN Fix Win]]&lt;&gt;"",1)</f>
        <v>1</v>
      </c>
    </row>
    <row r="382" spans="1:63">
      <c r="A382" s="4" t="str">
        <f>CONCATENATE(Table43[[#This Row],[Kode BARANG Win2]],Table43[[#This Row],[No. Urut
Item Sama]])</f>
        <v>K12420050100101</v>
      </c>
      <c r="B382" s="7">
        <v>1</v>
      </c>
      <c r="D382" s="28" t="s">
        <v>635</v>
      </c>
      <c r="E382" s="28"/>
      <c r="F382" s="28" t="s">
        <v>3162</v>
      </c>
      <c r="G382" s="78">
        <v>36</v>
      </c>
      <c r="H382" s="43"/>
      <c r="I382" s="28" t="str">
        <f>Table43[[#This Row],[Nama Jenis Kemasan]]</f>
        <v>BTL</v>
      </c>
      <c r="J382" s="4" t="str">
        <f>TRIM(CONCATENATE(Table43[[#This Row],[Nama            KLP]]," ",Table43[[#This Row],[Nama            Sub KLP]]))</f>
        <v>MASTER SPRAY COLOGNE</v>
      </c>
      <c r="K382" s="4" t="str">
        <f>CONCATENATE(Table43[[#This Row],[kode  2 Digit                (hrf+No)]],Table43[[#This Row],[kode  2 Digit                (Nomor)]],Table43[[#This Row],[kode  1 Digit                (Nomor)]])</f>
        <v>K1242</v>
      </c>
      <c r="L382" s="4" t="str">
        <f t="shared" si="18"/>
        <v>K1242005010010</v>
      </c>
      <c r="M382" s="11">
        <f t="shared" si="19"/>
        <v>14</v>
      </c>
      <c r="N382" s="14" t="str">
        <f>IF(AF382&lt;&gt;"",TRIM(UPPER(CONCATENATE(P382," ",R382," ",T382," ",V382," ",X382," ",Z382," ","X"," ",Table43[[#This Row],[ISI/CTN]]," ",AF382," ",AB382," ",AD382," ",AH382))),TRIM(UPPER(CONCATENATE(P382," ",R382," ",T382," ",V382," ",X382," ",Z382," ","X"," ",Table43[[#This Row],[ISI/CTN]]," ",AB382," ",AD382," ",AH382))))</f>
        <v>KNF MASTER SPRAY COLOGNE RED WOOD 100ML X 36 BTL</v>
      </c>
      <c r="O382" s="11">
        <f t="shared" si="20"/>
        <v>48</v>
      </c>
      <c r="P382" s="4" t="s">
        <v>97</v>
      </c>
      <c r="Q382" s="7" t="s">
        <v>98</v>
      </c>
      <c r="R382" s="4" t="s">
        <v>3822</v>
      </c>
      <c r="S382" s="44" t="s">
        <v>3823</v>
      </c>
      <c r="T382" s="45" t="s">
        <v>3618</v>
      </c>
      <c r="U382" s="7" t="s">
        <v>3562</v>
      </c>
      <c r="V382" s="45" t="s">
        <v>2961</v>
      </c>
      <c r="W382" s="44" t="s">
        <v>2900</v>
      </c>
      <c r="X382" s="4" t="s">
        <v>3838</v>
      </c>
      <c r="Y382" s="46" t="s">
        <v>2475</v>
      </c>
      <c r="Z382" s="4" t="s">
        <v>3588</v>
      </c>
      <c r="AA382" s="46" t="s">
        <v>2487</v>
      </c>
      <c r="AB382" s="4" t="s">
        <v>357</v>
      </c>
      <c r="AC382" s="7" t="s">
        <v>2656</v>
      </c>
      <c r="AD382" s="4" t="s">
        <v>2961</v>
      </c>
      <c r="AE382" s="7" t="s">
        <v>2900</v>
      </c>
      <c r="AF382" s="7" t="s">
        <v>2961</v>
      </c>
      <c r="AG382" s="7" t="s">
        <v>2961</v>
      </c>
      <c r="AI382" s="7" t="s">
        <v>4100</v>
      </c>
      <c r="AJ382" s="7" t="s">
        <v>2656</v>
      </c>
      <c r="AK382" s="41">
        <f>Table43[[#This Row],[Harga Jual Pcs GT
(-PPN)]]-(Table43[[#This Row],[Harga Jual Pcs GT
(-PPN)]]*10%)</f>
        <v>0</v>
      </c>
      <c r="AL382" s="42">
        <f>Table43[[#This Row],[Harga Beli Pcs
(-PPN)]]*Table43[[#This Row],[ISI/CTN]]</f>
        <v>0</v>
      </c>
      <c r="AM382" s="42">
        <f>Table43[[#This Row],[Harga Beli Pcs
(-PPN)]]*1.11</f>
        <v>0</v>
      </c>
      <c r="AN382" s="42">
        <f>Table43[[#This Row],[Harga Beli Krt
(- PPN)]]*1.11</f>
        <v>0</v>
      </c>
      <c r="AO382" s="42"/>
      <c r="AP382" s="42">
        <f>Table43[[#This Row],[Harga Jual Pcs GT
(-PPN)]]*Table43[[#This Row],[ISI/CTN]]</f>
        <v>0</v>
      </c>
      <c r="AQ382" s="42">
        <f>Table43[[#This Row],[Harga Jual Pcs GT
(-PPN)]]*1.11</f>
        <v>0</v>
      </c>
      <c r="AR382" s="42">
        <f>Table43[[#This Row],[Harga Jual Krt GT
(- PPN)]]*1.11</f>
        <v>0</v>
      </c>
      <c r="AS382" s="42">
        <f>Table43[[#This Row],[Harga Jual Pcs GT
(-PPN)]]</f>
        <v>0</v>
      </c>
      <c r="AT382" s="42">
        <f>(Table43[[#This Row],[Harga Jual Pcs MT
(-PPN)]]*Table43[[#This Row],[ISI/CTN]])</f>
        <v>0</v>
      </c>
      <c r="AU382" s="42">
        <f>Table43[[#This Row],[Harga Jual Pcs MT
(-PPN)]]*1.11</f>
        <v>0</v>
      </c>
      <c r="AV382" s="42">
        <f>Table43[[#This Row],[Harga Jual Pcs MT
(+PPN)]]*Table43[[#This Row],[ISI/CTN]]</f>
        <v>0</v>
      </c>
      <c r="AW382" s="47"/>
      <c r="AX382" s="7"/>
      <c r="AY382" s="7" t="str">
        <f ca="1">IF(TODAY()-Table43[[#This Row],[Efektif
Pembuatan]]&gt;60,"Lama","Baru")</f>
        <v>Lama</v>
      </c>
      <c r="AZ382" s="7" t="str">
        <f ca="1">IF(TODAY()-Table43[[#This Row],[Efektif Naik Harga]]&lt;30,"Naik","Sama")</f>
        <v>Sama</v>
      </c>
      <c r="BA382" s="7" t="str">
        <f>IF(Table43[[#This Row],[Kode BARANG Win2]]&lt;&gt;"","IDR","")</f>
        <v>IDR</v>
      </c>
      <c r="BB382" s="7" t="str">
        <f>CONCATENATE(Table43[[#This Row],[kode  1 Digit
(Nomor)]],Table43[[#This Row],[kode  4 Digit                (Nomor)]])</f>
        <v>10100</v>
      </c>
      <c r="BC382" s="7" t="str">
        <f>Table43[[#This Row],[Nama            Gramasi atau Jumlah Pack per CTN]]</f>
        <v>100ML</v>
      </c>
      <c r="BD382" s="7"/>
      <c r="BE382" s="7"/>
      <c r="BF382" s="4" t="str">
        <f>IF(Table43[[#This Row],[SATUAN Fix Win]]&lt;&gt;"","KRT")</f>
        <v>KRT</v>
      </c>
      <c r="BG382" s="4" t="str">
        <f>IF(Table43[[#This Row],[SATUAN Fix Win]]&lt;&gt;"","GD01")</f>
        <v>GD01</v>
      </c>
      <c r="BH382" s="4">
        <f>IF(Table43[[#This Row],[SATUAN Fix Win]]&lt;&gt;"",11611)</f>
        <v>11611</v>
      </c>
      <c r="BI382" s="4">
        <f>IF(Table43[[#This Row],[SATUAN Fix Win]]&lt;&gt;"",11612)</f>
        <v>11612</v>
      </c>
      <c r="BJ382" s="48"/>
      <c r="BK382" s="4">
        <f>IF(Table43[[#This Row],[SATUAN Fix Win]]&lt;&gt;"",1)</f>
        <v>1</v>
      </c>
    </row>
    <row r="383" spans="1:63">
      <c r="A383" s="4" t="str">
        <f>CONCATENATE(Table43[[#This Row],[Kode BARANG Win2]],Table43[[#This Row],[No. Urut
Item Sama]])</f>
        <v>K12510010150101</v>
      </c>
      <c r="B383" s="7">
        <v>1</v>
      </c>
      <c r="D383" s="28" t="s">
        <v>646</v>
      </c>
      <c r="E383" s="28"/>
      <c r="F383" s="28" t="s">
        <v>3163</v>
      </c>
      <c r="G383" s="78">
        <v>36</v>
      </c>
      <c r="H383" s="43"/>
      <c r="I383" s="28" t="str">
        <f>Table43[[#This Row],[Nama Jenis Kemasan]]</f>
        <v>BTL</v>
      </c>
      <c r="J383" s="4" t="str">
        <f>TRIM(CONCATENATE(Table43[[#This Row],[Nama            KLP]]," ",Table43[[#This Row],[Nama            Sub KLP]]))</f>
        <v>MASTER KIDS SHAMPOO</v>
      </c>
      <c r="K383" s="4" t="str">
        <f>CONCATENATE(Table43[[#This Row],[kode  2 Digit                (hrf+No)]],Table43[[#This Row],[kode  2 Digit                (Nomor)]],Table43[[#This Row],[kode  1 Digit                (Nomor)]])</f>
        <v>K1251</v>
      </c>
      <c r="L383" s="4" t="str">
        <f t="shared" si="18"/>
        <v>K1251001015010</v>
      </c>
      <c r="M383" s="11">
        <f t="shared" si="19"/>
        <v>14</v>
      </c>
      <c r="N383" s="14" t="str">
        <f>IF(AF383&lt;&gt;"",TRIM(UPPER(CONCATENATE(P383," ",R383," ",T383," ",V383," ",X383," ",Z383," ","X"," ",Table43[[#This Row],[ISI/CTN]]," ",AF383," ",AB383," ",AD383," ",AH383))),TRIM(UPPER(CONCATENATE(P383," ",R383," ",T383," ",V383," ",X383," ",Z383," ","X"," ",Table43[[#This Row],[ISI/CTN]]," ",AB383," ",AD383," ",AH383))))</f>
        <v>KNF MASTER KIDS SHAMPOO BATMAN 150ML X 36 BTL</v>
      </c>
      <c r="O383" s="11">
        <f t="shared" si="20"/>
        <v>45</v>
      </c>
      <c r="P383" s="4" t="s">
        <v>97</v>
      </c>
      <c r="Q383" s="7" t="s">
        <v>98</v>
      </c>
      <c r="R383" s="4" t="s">
        <v>3839</v>
      </c>
      <c r="S383" s="44" t="s">
        <v>3840</v>
      </c>
      <c r="T383" s="45" t="s">
        <v>3606</v>
      </c>
      <c r="U383" s="7" t="s">
        <v>2656</v>
      </c>
      <c r="V383" s="45" t="s">
        <v>2961</v>
      </c>
      <c r="W383" s="44" t="s">
        <v>2900</v>
      </c>
      <c r="X383" s="4" t="s">
        <v>3841</v>
      </c>
      <c r="Y383" s="46" t="s">
        <v>0</v>
      </c>
      <c r="Z383" s="4" t="s">
        <v>2464</v>
      </c>
      <c r="AA383" s="46" t="s">
        <v>2482</v>
      </c>
      <c r="AB383" s="4" t="s">
        <v>357</v>
      </c>
      <c r="AC383" s="7" t="s">
        <v>2656</v>
      </c>
      <c r="AD383" s="4" t="s">
        <v>2961</v>
      </c>
      <c r="AE383" s="7" t="s">
        <v>2900</v>
      </c>
      <c r="AF383" s="7" t="s">
        <v>2961</v>
      </c>
      <c r="AG383" s="7" t="s">
        <v>2961</v>
      </c>
      <c r="AI383" s="7" t="s">
        <v>4100</v>
      </c>
      <c r="AJ383" s="7" t="s">
        <v>2656</v>
      </c>
      <c r="AK383" s="41">
        <f>Table43[[#This Row],[Harga Jual Pcs GT
(-PPN)]]-(Table43[[#This Row],[Harga Jual Pcs GT
(-PPN)]]*10%)</f>
        <v>0</v>
      </c>
      <c r="AL383" s="42">
        <f>Table43[[#This Row],[Harga Beli Pcs
(-PPN)]]*Table43[[#This Row],[ISI/CTN]]</f>
        <v>0</v>
      </c>
      <c r="AM383" s="42">
        <f>Table43[[#This Row],[Harga Beli Pcs
(-PPN)]]*1.11</f>
        <v>0</v>
      </c>
      <c r="AN383" s="42">
        <f>Table43[[#This Row],[Harga Beli Krt
(- PPN)]]*1.11</f>
        <v>0</v>
      </c>
      <c r="AO383" s="42"/>
      <c r="AP383" s="42">
        <f>Table43[[#This Row],[Harga Jual Pcs GT
(-PPN)]]*Table43[[#This Row],[ISI/CTN]]</f>
        <v>0</v>
      </c>
      <c r="AQ383" s="42">
        <f>Table43[[#This Row],[Harga Jual Pcs GT
(-PPN)]]*1.11</f>
        <v>0</v>
      </c>
      <c r="AR383" s="42">
        <f>Table43[[#This Row],[Harga Jual Krt GT
(- PPN)]]*1.11</f>
        <v>0</v>
      </c>
      <c r="AS383" s="42">
        <f>Table43[[#This Row],[Harga Jual Pcs GT
(-PPN)]]</f>
        <v>0</v>
      </c>
      <c r="AT383" s="42">
        <f>(Table43[[#This Row],[Harga Jual Pcs MT
(-PPN)]]*Table43[[#This Row],[ISI/CTN]])</f>
        <v>0</v>
      </c>
      <c r="AU383" s="42">
        <f>Table43[[#This Row],[Harga Jual Pcs MT
(-PPN)]]*1.11</f>
        <v>0</v>
      </c>
      <c r="AV383" s="42">
        <f>Table43[[#This Row],[Harga Jual Pcs MT
(+PPN)]]*Table43[[#This Row],[ISI/CTN]]</f>
        <v>0</v>
      </c>
      <c r="AW383" s="47"/>
      <c r="AX383" s="7"/>
      <c r="AY383" s="7" t="str">
        <f ca="1">IF(TODAY()-Table43[[#This Row],[Efektif
Pembuatan]]&gt;60,"Lama","Baru")</f>
        <v>Lama</v>
      </c>
      <c r="AZ383" s="7" t="str">
        <f ca="1">IF(TODAY()-Table43[[#This Row],[Efektif Naik Harga]]&lt;30,"Naik","Sama")</f>
        <v>Sama</v>
      </c>
      <c r="BA383" s="7" t="str">
        <f>IF(Table43[[#This Row],[Kode BARANG Win2]]&lt;&gt;"","IDR","")</f>
        <v>IDR</v>
      </c>
      <c r="BB383" s="7" t="str">
        <f>CONCATENATE(Table43[[#This Row],[kode  1 Digit
(Nomor)]],Table43[[#This Row],[kode  4 Digit                (Nomor)]])</f>
        <v>10150</v>
      </c>
      <c r="BC383" s="7" t="str">
        <f>Table43[[#This Row],[Nama            Gramasi atau Jumlah Pack per CTN]]</f>
        <v>150ML</v>
      </c>
      <c r="BD383" s="7"/>
      <c r="BE383" s="7"/>
      <c r="BF383" s="4" t="str">
        <f>IF(Table43[[#This Row],[SATUAN Fix Win]]&lt;&gt;"","KRT")</f>
        <v>KRT</v>
      </c>
      <c r="BG383" s="4" t="str">
        <f>IF(Table43[[#This Row],[SATUAN Fix Win]]&lt;&gt;"","GD01")</f>
        <v>GD01</v>
      </c>
      <c r="BH383" s="4">
        <f>IF(Table43[[#This Row],[SATUAN Fix Win]]&lt;&gt;"",11611)</f>
        <v>11611</v>
      </c>
      <c r="BI383" s="4">
        <f>IF(Table43[[#This Row],[SATUAN Fix Win]]&lt;&gt;"",11612)</f>
        <v>11612</v>
      </c>
      <c r="BJ383" s="48"/>
      <c r="BK383" s="4">
        <f>IF(Table43[[#This Row],[SATUAN Fix Win]]&lt;&gt;"",1)</f>
        <v>1</v>
      </c>
    </row>
    <row r="384" spans="1:63">
      <c r="A384" s="4" t="str">
        <f>CONCATENATE(Table43[[#This Row],[Kode BARANG Win2]],Table43[[#This Row],[No. Urut
Item Sama]])</f>
        <v>K12510020150101</v>
      </c>
      <c r="B384" s="7">
        <v>1</v>
      </c>
      <c r="D384" s="28" t="s">
        <v>649</v>
      </c>
      <c r="E384" s="28"/>
      <c r="F384" s="28" t="s">
        <v>3164</v>
      </c>
      <c r="G384" s="78">
        <v>36</v>
      </c>
      <c r="H384" s="43"/>
      <c r="I384" s="28" t="str">
        <f>Table43[[#This Row],[Nama Jenis Kemasan]]</f>
        <v>BTL</v>
      </c>
      <c r="J384" s="4" t="str">
        <f>TRIM(CONCATENATE(Table43[[#This Row],[Nama            KLP]]," ",Table43[[#This Row],[Nama            Sub KLP]]))</f>
        <v>MASTER KIDS SHAMPOO</v>
      </c>
      <c r="K384" s="4" t="str">
        <f>CONCATENATE(Table43[[#This Row],[kode  2 Digit                (hrf+No)]],Table43[[#This Row],[kode  2 Digit                (Nomor)]],Table43[[#This Row],[kode  1 Digit                (Nomor)]])</f>
        <v>K1251</v>
      </c>
      <c r="L384" s="4" t="str">
        <f t="shared" si="18"/>
        <v>K1251002015010</v>
      </c>
      <c r="M384" s="11">
        <f t="shared" si="19"/>
        <v>14</v>
      </c>
      <c r="N384" s="14" t="str">
        <f>IF(AF384&lt;&gt;"",TRIM(UPPER(CONCATENATE(P384," ",R384," ",T384," ",V384," ",X384," ",Z384," ","X"," ",Table43[[#This Row],[ISI/CTN]]," ",AF384," ",AB384," ",AD384," ",AH384))),TRIM(UPPER(CONCATENATE(P384," ",R384," ",T384," ",V384," ",X384," ",Z384," ","X"," ",Table43[[#This Row],[ISI/CTN]]," ",AB384," ",AD384," ",AH384))))</f>
        <v>KNF MASTER KIDS SHAMPOO BEN-10 150ML X 36 BTL</v>
      </c>
      <c r="O384" s="11">
        <f t="shared" si="20"/>
        <v>45</v>
      </c>
      <c r="P384" s="4" t="s">
        <v>97</v>
      </c>
      <c r="Q384" s="7" t="s">
        <v>98</v>
      </c>
      <c r="R384" s="4" t="s">
        <v>3839</v>
      </c>
      <c r="S384" s="44" t="s">
        <v>3840</v>
      </c>
      <c r="T384" s="45" t="s">
        <v>3606</v>
      </c>
      <c r="U384" s="7" t="s">
        <v>2656</v>
      </c>
      <c r="V384" s="45" t="s">
        <v>2961</v>
      </c>
      <c r="W384" s="44" t="s">
        <v>2900</v>
      </c>
      <c r="X384" s="4" t="s">
        <v>3842</v>
      </c>
      <c r="Y384" s="46" t="s">
        <v>2472</v>
      </c>
      <c r="Z384" s="4" t="s">
        <v>2464</v>
      </c>
      <c r="AA384" s="46" t="s">
        <v>2482</v>
      </c>
      <c r="AB384" s="4" t="s">
        <v>357</v>
      </c>
      <c r="AC384" s="7" t="s">
        <v>2656</v>
      </c>
      <c r="AD384" s="4" t="s">
        <v>2961</v>
      </c>
      <c r="AE384" s="7" t="s">
        <v>2900</v>
      </c>
      <c r="AF384" s="7" t="s">
        <v>2961</v>
      </c>
      <c r="AG384" s="7" t="s">
        <v>2961</v>
      </c>
      <c r="AI384" s="7" t="s">
        <v>4100</v>
      </c>
      <c r="AJ384" s="7" t="s">
        <v>2656</v>
      </c>
      <c r="AK384" s="41">
        <f>Table43[[#This Row],[Harga Jual Pcs GT
(-PPN)]]-(Table43[[#This Row],[Harga Jual Pcs GT
(-PPN)]]*10%)</f>
        <v>0</v>
      </c>
      <c r="AL384" s="42">
        <f>Table43[[#This Row],[Harga Beli Pcs
(-PPN)]]*Table43[[#This Row],[ISI/CTN]]</f>
        <v>0</v>
      </c>
      <c r="AM384" s="42">
        <f>Table43[[#This Row],[Harga Beli Pcs
(-PPN)]]*1.11</f>
        <v>0</v>
      </c>
      <c r="AN384" s="42">
        <f>Table43[[#This Row],[Harga Beli Krt
(- PPN)]]*1.11</f>
        <v>0</v>
      </c>
      <c r="AO384" s="42"/>
      <c r="AP384" s="42">
        <f>Table43[[#This Row],[Harga Jual Pcs GT
(-PPN)]]*Table43[[#This Row],[ISI/CTN]]</f>
        <v>0</v>
      </c>
      <c r="AQ384" s="42">
        <f>Table43[[#This Row],[Harga Jual Pcs GT
(-PPN)]]*1.11</f>
        <v>0</v>
      </c>
      <c r="AR384" s="42">
        <f>Table43[[#This Row],[Harga Jual Krt GT
(- PPN)]]*1.11</f>
        <v>0</v>
      </c>
      <c r="AS384" s="42">
        <f>Table43[[#This Row],[Harga Jual Pcs GT
(-PPN)]]</f>
        <v>0</v>
      </c>
      <c r="AT384" s="42">
        <f>(Table43[[#This Row],[Harga Jual Pcs MT
(-PPN)]]*Table43[[#This Row],[ISI/CTN]])</f>
        <v>0</v>
      </c>
      <c r="AU384" s="42">
        <f>Table43[[#This Row],[Harga Jual Pcs MT
(-PPN)]]*1.11</f>
        <v>0</v>
      </c>
      <c r="AV384" s="42">
        <f>Table43[[#This Row],[Harga Jual Pcs MT
(+PPN)]]*Table43[[#This Row],[ISI/CTN]]</f>
        <v>0</v>
      </c>
      <c r="AW384" s="47"/>
      <c r="AX384" s="7"/>
      <c r="AY384" s="7" t="str">
        <f ca="1">IF(TODAY()-Table43[[#This Row],[Efektif
Pembuatan]]&gt;60,"Lama","Baru")</f>
        <v>Lama</v>
      </c>
      <c r="AZ384" s="7" t="str">
        <f ca="1">IF(TODAY()-Table43[[#This Row],[Efektif Naik Harga]]&lt;30,"Naik","Sama")</f>
        <v>Sama</v>
      </c>
      <c r="BA384" s="7" t="str">
        <f>IF(Table43[[#This Row],[Kode BARANG Win2]]&lt;&gt;"","IDR","")</f>
        <v>IDR</v>
      </c>
      <c r="BB384" s="7" t="str">
        <f>CONCATENATE(Table43[[#This Row],[kode  1 Digit
(Nomor)]],Table43[[#This Row],[kode  4 Digit                (Nomor)]])</f>
        <v>10150</v>
      </c>
      <c r="BC384" s="7" t="str">
        <f>Table43[[#This Row],[Nama            Gramasi atau Jumlah Pack per CTN]]</f>
        <v>150ML</v>
      </c>
      <c r="BD384" s="7"/>
      <c r="BE384" s="7"/>
      <c r="BF384" s="4" t="str">
        <f>IF(Table43[[#This Row],[SATUAN Fix Win]]&lt;&gt;"","KRT")</f>
        <v>KRT</v>
      </c>
      <c r="BG384" s="4" t="str">
        <f>IF(Table43[[#This Row],[SATUAN Fix Win]]&lt;&gt;"","GD01")</f>
        <v>GD01</v>
      </c>
      <c r="BH384" s="4">
        <f>IF(Table43[[#This Row],[SATUAN Fix Win]]&lt;&gt;"",11611)</f>
        <v>11611</v>
      </c>
      <c r="BI384" s="4">
        <f>IF(Table43[[#This Row],[SATUAN Fix Win]]&lt;&gt;"",11612)</f>
        <v>11612</v>
      </c>
      <c r="BJ384" s="48"/>
      <c r="BK384" s="4">
        <f>IF(Table43[[#This Row],[SATUAN Fix Win]]&lt;&gt;"",1)</f>
        <v>1</v>
      </c>
    </row>
    <row r="385" spans="1:63">
      <c r="A385" s="4" t="str">
        <f>CONCATENATE(Table43[[#This Row],[Kode BARANG Win2]],Table43[[#This Row],[No. Urut
Item Sama]])</f>
        <v>K12510030150101</v>
      </c>
      <c r="B385" s="7">
        <v>1</v>
      </c>
      <c r="D385" s="28" t="s">
        <v>652</v>
      </c>
      <c r="E385" s="28"/>
      <c r="F385" s="28" t="s">
        <v>3165</v>
      </c>
      <c r="G385" s="78">
        <v>36</v>
      </c>
      <c r="H385" s="43"/>
      <c r="I385" s="28" t="str">
        <f>Table43[[#This Row],[Nama Jenis Kemasan]]</f>
        <v>BTL</v>
      </c>
      <c r="J385" s="4" t="str">
        <f>TRIM(CONCATENATE(Table43[[#This Row],[Nama            KLP]]," ",Table43[[#This Row],[Nama            Sub KLP]]))</f>
        <v>MASTER KIDS SHAMPOO</v>
      </c>
      <c r="K385" s="4" t="str">
        <f>CONCATENATE(Table43[[#This Row],[kode  2 Digit                (hrf+No)]],Table43[[#This Row],[kode  2 Digit                (Nomor)]],Table43[[#This Row],[kode  1 Digit                (Nomor)]])</f>
        <v>K1251</v>
      </c>
      <c r="L385" s="4" t="str">
        <f t="shared" si="18"/>
        <v>K1251003015010</v>
      </c>
      <c r="M385" s="11">
        <f t="shared" si="19"/>
        <v>14</v>
      </c>
      <c r="N385" s="14" t="str">
        <f>IF(AF385&lt;&gt;"",TRIM(UPPER(CONCATENATE(P385," ",R385," ",T385," ",V385," ",X385," ",Z385," ","X"," ",Table43[[#This Row],[ISI/CTN]]," ",AF385," ",AB385," ",AD385," ",AH385))),TRIM(UPPER(CONCATENATE(P385," ",R385," ",T385," ",V385," ",X385," ",Z385," ","X"," ",Table43[[#This Row],[ISI/CTN]]," ",AB385," ",AD385," ",AH385))))</f>
        <v>KNF MASTER KIDS SHAMPOO BUMBLEBEE 150ML X 36 BTL</v>
      </c>
      <c r="O385" s="11">
        <f t="shared" si="20"/>
        <v>48</v>
      </c>
      <c r="P385" s="4" t="s">
        <v>97</v>
      </c>
      <c r="Q385" s="7" t="s">
        <v>98</v>
      </c>
      <c r="R385" s="4" t="s">
        <v>3839</v>
      </c>
      <c r="S385" s="44" t="s">
        <v>3840</v>
      </c>
      <c r="T385" s="45" t="s">
        <v>3606</v>
      </c>
      <c r="U385" s="7" t="s">
        <v>2656</v>
      </c>
      <c r="V385" s="45" t="s">
        <v>2961</v>
      </c>
      <c r="W385" s="44" t="s">
        <v>2900</v>
      </c>
      <c r="X385" s="4" t="s">
        <v>3633</v>
      </c>
      <c r="Y385" s="46" t="s">
        <v>2473</v>
      </c>
      <c r="Z385" s="4" t="s">
        <v>2464</v>
      </c>
      <c r="AA385" s="46" t="s">
        <v>2482</v>
      </c>
      <c r="AB385" s="4" t="s">
        <v>357</v>
      </c>
      <c r="AC385" s="7" t="s">
        <v>2656</v>
      </c>
      <c r="AD385" s="4" t="s">
        <v>2961</v>
      </c>
      <c r="AE385" s="7" t="s">
        <v>2900</v>
      </c>
      <c r="AF385" s="7" t="s">
        <v>2961</v>
      </c>
      <c r="AG385" s="7" t="s">
        <v>2961</v>
      </c>
      <c r="AI385" s="7" t="s">
        <v>4100</v>
      </c>
      <c r="AJ385" s="7" t="s">
        <v>2656</v>
      </c>
      <c r="AK385" s="41">
        <f>Table43[[#This Row],[Harga Jual Pcs GT
(-PPN)]]-(Table43[[#This Row],[Harga Jual Pcs GT
(-PPN)]]*10%)</f>
        <v>0</v>
      </c>
      <c r="AL385" s="42">
        <f>Table43[[#This Row],[Harga Beli Pcs
(-PPN)]]*Table43[[#This Row],[ISI/CTN]]</f>
        <v>0</v>
      </c>
      <c r="AM385" s="42">
        <f>Table43[[#This Row],[Harga Beli Pcs
(-PPN)]]*1.11</f>
        <v>0</v>
      </c>
      <c r="AN385" s="42">
        <f>Table43[[#This Row],[Harga Beli Krt
(- PPN)]]*1.11</f>
        <v>0</v>
      </c>
      <c r="AO385" s="42"/>
      <c r="AP385" s="42">
        <f>Table43[[#This Row],[Harga Jual Pcs GT
(-PPN)]]*Table43[[#This Row],[ISI/CTN]]</f>
        <v>0</v>
      </c>
      <c r="AQ385" s="42">
        <f>Table43[[#This Row],[Harga Jual Pcs GT
(-PPN)]]*1.11</f>
        <v>0</v>
      </c>
      <c r="AR385" s="42">
        <f>Table43[[#This Row],[Harga Jual Krt GT
(- PPN)]]*1.11</f>
        <v>0</v>
      </c>
      <c r="AS385" s="42">
        <f>Table43[[#This Row],[Harga Jual Pcs GT
(-PPN)]]</f>
        <v>0</v>
      </c>
      <c r="AT385" s="42">
        <f>(Table43[[#This Row],[Harga Jual Pcs MT
(-PPN)]]*Table43[[#This Row],[ISI/CTN]])</f>
        <v>0</v>
      </c>
      <c r="AU385" s="42">
        <f>Table43[[#This Row],[Harga Jual Pcs MT
(-PPN)]]*1.11</f>
        <v>0</v>
      </c>
      <c r="AV385" s="42">
        <f>Table43[[#This Row],[Harga Jual Pcs MT
(+PPN)]]*Table43[[#This Row],[ISI/CTN]]</f>
        <v>0</v>
      </c>
      <c r="AW385" s="47"/>
      <c r="AX385" s="7"/>
      <c r="AY385" s="7" t="str">
        <f ca="1">IF(TODAY()-Table43[[#This Row],[Efektif
Pembuatan]]&gt;60,"Lama","Baru")</f>
        <v>Lama</v>
      </c>
      <c r="AZ385" s="7" t="str">
        <f ca="1">IF(TODAY()-Table43[[#This Row],[Efektif Naik Harga]]&lt;30,"Naik","Sama")</f>
        <v>Sama</v>
      </c>
      <c r="BA385" s="7" t="str">
        <f>IF(Table43[[#This Row],[Kode BARANG Win2]]&lt;&gt;"","IDR","")</f>
        <v>IDR</v>
      </c>
      <c r="BB385" s="7" t="str">
        <f>CONCATENATE(Table43[[#This Row],[kode  1 Digit
(Nomor)]],Table43[[#This Row],[kode  4 Digit                (Nomor)]])</f>
        <v>10150</v>
      </c>
      <c r="BC385" s="7" t="str">
        <f>Table43[[#This Row],[Nama            Gramasi atau Jumlah Pack per CTN]]</f>
        <v>150ML</v>
      </c>
      <c r="BD385" s="7"/>
      <c r="BE385" s="7"/>
      <c r="BF385" s="4" t="str">
        <f>IF(Table43[[#This Row],[SATUAN Fix Win]]&lt;&gt;"","KRT")</f>
        <v>KRT</v>
      </c>
      <c r="BG385" s="4" t="str">
        <f>IF(Table43[[#This Row],[SATUAN Fix Win]]&lt;&gt;"","GD01")</f>
        <v>GD01</v>
      </c>
      <c r="BH385" s="4">
        <f>IF(Table43[[#This Row],[SATUAN Fix Win]]&lt;&gt;"",11611)</f>
        <v>11611</v>
      </c>
      <c r="BI385" s="4">
        <f>IF(Table43[[#This Row],[SATUAN Fix Win]]&lt;&gt;"",11612)</f>
        <v>11612</v>
      </c>
      <c r="BJ385" s="48"/>
      <c r="BK385" s="4">
        <f>IF(Table43[[#This Row],[SATUAN Fix Win]]&lt;&gt;"",1)</f>
        <v>1</v>
      </c>
    </row>
    <row r="386" spans="1:63">
      <c r="A386" s="4" t="str">
        <f>CONCATENATE(Table43[[#This Row],[Kode BARANG Win2]],Table43[[#This Row],[No. Urut
Item Sama]])</f>
        <v>K12510040150101</v>
      </c>
      <c r="B386" s="7">
        <v>1</v>
      </c>
      <c r="D386" s="28" t="s">
        <v>650</v>
      </c>
      <c r="E386" s="28"/>
      <c r="F386" s="28" t="s">
        <v>3166</v>
      </c>
      <c r="G386" s="78">
        <v>36</v>
      </c>
      <c r="H386" s="43"/>
      <c r="I386" s="28" t="str">
        <f>Table43[[#This Row],[Nama Jenis Kemasan]]</f>
        <v>BTL</v>
      </c>
      <c r="J386" s="4" t="str">
        <f>TRIM(CONCATENATE(Table43[[#This Row],[Nama            KLP]]," ",Table43[[#This Row],[Nama            Sub KLP]]))</f>
        <v>MASTER KIDS SHAMPOO</v>
      </c>
      <c r="K386" s="4" t="str">
        <f>CONCATENATE(Table43[[#This Row],[kode  2 Digit                (hrf+No)]],Table43[[#This Row],[kode  2 Digit                (Nomor)]],Table43[[#This Row],[kode  1 Digit                (Nomor)]])</f>
        <v>K1251</v>
      </c>
      <c r="L386" s="4" t="str">
        <f t="shared" si="18"/>
        <v>K1251004015010</v>
      </c>
      <c r="M386" s="11">
        <f t="shared" si="19"/>
        <v>14</v>
      </c>
      <c r="N386" s="14" t="str">
        <f>IF(AF386&lt;&gt;"",TRIM(UPPER(CONCATENATE(P386," ",R386," ",T386," ",V386," ",X386," ",Z386," ","X"," ",Table43[[#This Row],[ISI/CTN]]," ",AF386," ",AB386," ",AD386," ",AH386))),TRIM(UPPER(CONCATENATE(P386," ",R386," ",T386," ",V386," ",X386," ",Z386," ","X"," ",Table43[[#This Row],[ISI/CTN]]," ",AB386," ",AD386," ",AH386))))</f>
        <v>KNF MASTER KIDS SHAMPOO CAPT. AMERICA 150ML X 36 BTL</v>
      </c>
      <c r="O386" s="11">
        <f t="shared" si="20"/>
        <v>52</v>
      </c>
      <c r="P386" s="4" t="s">
        <v>97</v>
      </c>
      <c r="Q386" s="7" t="s">
        <v>98</v>
      </c>
      <c r="R386" s="4" t="s">
        <v>3839</v>
      </c>
      <c r="S386" s="44" t="s">
        <v>3840</v>
      </c>
      <c r="T386" s="45" t="s">
        <v>3606</v>
      </c>
      <c r="U386" s="7" t="s">
        <v>2656</v>
      </c>
      <c r="V386" s="45" t="s">
        <v>2961</v>
      </c>
      <c r="W386" s="44" t="s">
        <v>2900</v>
      </c>
      <c r="X386" s="4" t="s">
        <v>3843</v>
      </c>
      <c r="Y386" s="46" t="s">
        <v>2474</v>
      </c>
      <c r="Z386" s="4" t="s">
        <v>2464</v>
      </c>
      <c r="AA386" s="46" t="s">
        <v>2482</v>
      </c>
      <c r="AB386" s="4" t="s">
        <v>357</v>
      </c>
      <c r="AC386" s="7" t="s">
        <v>2656</v>
      </c>
      <c r="AD386" s="4" t="s">
        <v>2961</v>
      </c>
      <c r="AE386" s="7" t="s">
        <v>2900</v>
      </c>
      <c r="AF386" s="7" t="s">
        <v>2961</v>
      </c>
      <c r="AG386" s="7" t="s">
        <v>2961</v>
      </c>
      <c r="AI386" s="7" t="s">
        <v>4100</v>
      </c>
      <c r="AJ386" s="7" t="s">
        <v>2656</v>
      </c>
      <c r="AK386" s="41">
        <f>Table43[[#This Row],[Harga Jual Pcs GT
(-PPN)]]-(Table43[[#This Row],[Harga Jual Pcs GT
(-PPN)]]*10%)</f>
        <v>0</v>
      </c>
      <c r="AL386" s="42">
        <f>Table43[[#This Row],[Harga Beli Pcs
(-PPN)]]*Table43[[#This Row],[ISI/CTN]]</f>
        <v>0</v>
      </c>
      <c r="AM386" s="42">
        <f>Table43[[#This Row],[Harga Beli Pcs
(-PPN)]]*1.11</f>
        <v>0</v>
      </c>
      <c r="AN386" s="42">
        <f>Table43[[#This Row],[Harga Beli Krt
(- PPN)]]*1.11</f>
        <v>0</v>
      </c>
      <c r="AO386" s="42"/>
      <c r="AP386" s="42">
        <f>Table43[[#This Row],[Harga Jual Pcs GT
(-PPN)]]*Table43[[#This Row],[ISI/CTN]]</f>
        <v>0</v>
      </c>
      <c r="AQ386" s="42">
        <f>Table43[[#This Row],[Harga Jual Pcs GT
(-PPN)]]*1.11</f>
        <v>0</v>
      </c>
      <c r="AR386" s="42">
        <f>Table43[[#This Row],[Harga Jual Krt GT
(- PPN)]]*1.11</f>
        <v>0</v>
      </c>
      <c r="AS386" s="42">
        <f>Table43[[#This Row],[Harga Jual Pcs GT
(-PPN)]]</f>
        <v>0</v>
      </c>
      <c r="AT386" s="42">
        <f>(Table43[[#This Row],[Harga Jual Pcs MT
(-PPN)]]*Table43[[#This Row],[ISI/CTN]])</f>
        <v>0</v>
      </c>
      <c r="AU386" s="42">
        <f>Table43[[#This Row],[Harga Jual Pcs MT
(-PPN)]]*1.11</f>
        <v>0</v>
      </c>
      <c r="AV386" s="42">
        <f>Table43[[#This Row],[Harga Jual Pcs MT
(+PPN)]]*Table43[[#This Row],[ISI/CTN]]</f>
        <v>0</v>
      </c>
      <c r="AW386" s="47"/>
      <c r="AX386" s="7"/>
      <c r="AY386" s="7" t="str">
        <f ca="1">IF(TODAY()-Table43[[#This Row],[Efektif
Pembuatan]]&gt;60,"Lama","Baru")</f>
        <v>Lama</v>
      </c>
      <c r="AZ386" s="7" t="str">
        <f ca="1">IF(TODAY()-Table43[[#This Row],[Efektif Naik Harga]]&lt;30,"Naik","Sama")</f>
        <v>Sama</v>
      </c>
      <c r="BA386" s="7" t="str">
        <f>IF(Table43[[#This Row],[Kode BARANG Win2]]&lt;&gt;"","IDR","")</f>
        <v>IDR</v>
      </c>
      <c r="BB386" s="7" t="str">
        <f>CONCATENATE(Table43[[#This Row],[kode  1 Digit
(Nomor)]],Table43[[#This Row],[kode  4 Digit                (Nomor)]])</f>
        <v>10150</v>
      </c>
      <c r="BC386" s="7" t="str">
        <f>Table43[[#This Row],[Nama            Gramasi atau Jumlah Pack per CTN]]</f>
        <v>150ML</v>
      </c>
      <c r="BD386" s="7"/>
      <c r="BE386" s="7"/>
      <c r="BF386" s="4" t="str">
        <f>IF(Table43[[#This Row],[SATUAN Fix Win]]&lt;&gt;"","KRT")</f>
        <v>KRT</v>
      </c>
      <c r="BG386" s="4" t="str">
        <f>IF(Table43[[#This Row],[SATUAN Fix Win]]&lt;&gt;"","GD01")</f>
        <v>GD01</v>
      </c>
      <c r="BH386" s="4">
        <f>IF(Table43[[#This Row],[SATUAN Fix Win]]&lt;&gt;"",11611)</f>
        <v>11611</v>
      </c>
      <c r="BI386" s="4">
        <f>IF(Table43[[#This Row],[SATUAN Fix Win]]&lt;&gt;"",11612)</f>
        <v>11612</v>
      </c>
      <c r="BJ386" s="48"/>
      <c r="BK386" s="4">
        <f>IF(Table43[[#This Row],[SATUAN Fix Win]]&lt;&gt;"",1)</f>
        <v>1</v>
      </c>
    </row>
    <row r="387" spans="1:63">
      <c r="A387" s="4" t="str">
        <f>CONCATENATE(Table43[[#This Row],[Kode BARANG Win2]],Table43[[#This Row],[No. Urut
Item Sama]])</f>
        <v>K12510050150102</v>
      </c>
      <c r="B387" s="7">
        <v>2</v>
      </c>
      <c r="D387" s="28" t="s">
        <v>651</v>
      </c>
      <c r="E387" s="28"/>
      <c r="F387" s="28" t="s">
        <v>3167</v>
      </c>
      <c r="G387" s="78">
        <v>36</v>
      </c>
      <c r="H387" s="43"/>
      <c r="I387" s="28" t="str">
        <f>Table43[[#This Row],[Nama Jenis Kemasan]]</f>
        <v>BTL</v>
      </c>
      <c r="J387" s="4" t="str">
        <f>TRIM(CONCATENATE(Table43[[#This Row],[Nama            KLP]]," ",Table43[[#This Row],[Nama            Sub KLP]]))</f>
        <v>MASTER KIDS SHAMPOO</v>
      </c>
      <c r="K387" s="4" t="str">
        <f>CONCATENATE(Table43[[#This Row],[kode  2 Digit                (hrf+No)]],Table43[[#This Row],[kode  2 Digit                (Nomor)]],Table43[[#This Row],[kode  1 Digit                (Nomor)]])</f>
        <v>K1251</v>
      </c>
      <c r="L387" s="4" t="str">
        <f t="shared" si="18"/>
        <v>K1251005015010</v>
      </c>
      <c r="M387" s="11">
        <f t="shared" si="19"/>
        <v>14</v>
      </c>
      <c r="N387" s="14" t="str">
        <f>IF(AF387&lt;&gt;"",TRIM(UPPER(CONCATENATE(P387," ",R387," ",T387," ",V387," ",X387," ",Z387," ","X"," ",Table43[[#This Row],[ISI/CTN]]," ",AF387," ",AB387," ",AD387," ",AH387))),TRIM(UPPER(CONCATENATE(P387," ",R387," ",T387," ",V387," ",X387," ",Z387," ","X"," ",Table43[[#This Row],[ISI/CTN]]," ",AB387," ",AD387," ",AH387))))</f>
        <v>KNF MASTER KIDS SHAMPOO IRON MAN 150ML X 36 BTL</v>
      </c>
      <c r="O387" s="11">
        <f t="shared" si="20"/>
        <v>47</v>
      </c>
      <c r="P387" s="4" t="s">
        <v>97</v>
      </c>
      <c r="Q387" s="7" t="s">
        <v>98</v>
      </c>
      <c r="R387" s="4" t="s">
        <v>3839</v>
      </c>
      <c r="S387" s="44" t="s">
        <v>3840</v>
      </c>
      <c r="T387" s="45" t="s">
        <v>3606</v>
      </c>
      <c r="U387" s="7" t="s">
        <v>2656</v>
      </c>
      <c r="V387" s="45" t="s">
        <v>2961</v>
      </c>
      <c r="W387" s="44" t="s">
        <v>2900</v>
      </c>
      <c r="X387" s="4" t="s">
        <v>3844</v>
      </c>
      <c r="Y387" s="46" t="s">
        <v>2475</v>
      </c>
      <c r="Z387" s="4" t="s">
        <v>2464</v>
      </c>
      <c r="AA387" s="46" t="s">
        <v>2482</v>
      </c>
      <c r="AB387" s="4" t="s">
        <v>357</v>
      </c>
      <c r="AC387" s="7" t="s">
        <v>2656</v>
      </c>
      <c r="AD387" s="4" t="s">
        <v>2961</v>
      </c>
      <c r="AE387" s="7" t="s">
        <v>2900</v>
      </c>
      <c r="AF387" s="7" t="s">
        <v>2961</v>
      </c>
      <c r="AG387" s="7" t="s">
        <v>2961</v>
      </c>
      <c r="AI387" s="7" t="s">
        <v>4100</v>
      </c>
      <c r="AJ387" s="7" t="s">
        <v>2656</v>
      </c>
      <c r="AK387" s="41">
        <f>Table43[[#This Row],[Harga Jual Pcs GT
(-PPN)]]-(Table43[[#This Row],[Harga Jual Pcs GT
(-PPN)]]*10%)</f>
        <v>0</v>
      </c>
      <c r="AL387" s="42">
        <f>Table43[[#This Row],[Harga Beli Pcs
(-PPN)]]*Table43[[#This Row],[ISI/CTN]]</f>
        <v>0</v>
      </c>
      <c r="AM387" s="42">
        <f>Table43[[#This Row],[Harga Beli Pcs
(-PPN)]]*1.11</f>
        <v>0</v>
      </c>
      <c r="AN387" s="42">
        <f>Table43[[#This Row],[Harga Beli Krt
(- PPN)]]*1.11</f>
        <v>0</v>
      </c>
      <c r="AO387" s="42"/>
      <c r="AP387" s="42">
        <f>Table43[[#This Row],[Harga Jual Pcs GT
(-PPN)]]*Table43[[#This Row],[ISI/CTN]]</f>
        <v>0</v>
      </c>
      <c r="AQ387" s="42">
        <f>Table43[[#This Row],[Harga Jual Pcs GT
(-PPN)]]*1.11</f>
        <v>0</v>
      </c>
      <c r="AR387" s="42">
        <f>Table43[[#This Row],[Harga Jual Krt GT
(- PPN)]]*1.11</f>
        <v>0</v>
      </c>
      <c r="AS387" s="42">
        <f>Table43[[#This Row],[Harga Jual Pcs GT
(-PPN)]]</f>
        <v>0</v>
      </c>
      <c r="AT387" s="42">
        <f>(Table43[[#This Row],[Harga Jual Pcs MT
(-PPN)]]*Table43[[#This Row],[ISI/CTN]])</f>
        <v>0</v>
      </c>
      <c r="AU387" s="42">
        <f>Table43[[#This Row],[Harga Jual Pcs MT
(-PPN)]]*1.11</f>
        <v>0</v>
      </c>
      <c r="AV387" s="42">
        <f>Table43[[#This Row],[Harga Jual Pcs MT
(+PPN)]]*Table43[[#This Row],[ISI/CTN]]</f>
        <v>0</v>
      </c>
      <c r="AW387" s="47"/>
      <c r="AX387" s="7"/>
      <c r="AY387" s="7" t="str">
        <f ca="1">IF(TODAY()-Table43[[#This Row],[Efektif
Pembuatan]]&gt;60,"Lama","Baru")</f>
        <v>Lama</v>
      </c>
      <c r="AZ387" s="7" t="str">
        <f ca="1">IF(TODAY()-Table43[[#This Row],[Efektif Naik Harga]]&lt;30,"Naik","Sama")</f>
        <v>Sama</v>
      </c>
      <c r="BA387" s="7" t="str">
        <f>IF(Table43[[#This Row],[Kode BARANG Win2]]&lt;&gt;"","IDR","")</f>
        <v>IDR</v>
      </c>
      <c r="BB387" s="7" t="str">
        <f>CONCATENATE(Table43[[#This Row],[kode  1 Digit
(Nomor)]],Table43[[#This Row],[kode  4 Digit                (Nomor)]])</f>
        <v>10150</v>
      </c>
      <c r="BC387" s="7" t="str">
        <f>Table43[[#This Row],[Nama            Gramasi atau Jumlah Pack per CTN]]</f>
        <v>150ML</v>
      </c>
      <c r="BD387" s="7"/>
      <c r="BE387" s="7"/>
      <c r="BF387" s="4" t="str">
        <f>IF(Table43[[#This Row],[SATUAN Fix Win]]&lt;&gt;"","KRT")</f>
        <v>KRT</v>
      </c>
      <c r="BG387" s="4" t="str">
        <f>IF(Table43[[#This Row],[SATUAN Fix Win]]&lt;&gt;"","GD01")</f>
        <v>GD01</v>
      </c>
      <c r="BH387" s="4">
        <f>IF(Table43[[#This Row],[SATUAN Fix Win]]&lt;&gt;"",11611)</f>
        <v>11611</v>
      </c>
      <c r="BI387" s="4">
        <f>IF(Table43[[#This Row],[SATUAN Fix Win]]&lt;&gt;"",11612)</f>
        <v>11612</v>
      </c>
      <c r="BJ387" s="48"/>
      <c r="BK387" s="4">
        <f>IF(Table43[[#This Row],[SATUAN Fix Win]]&lt;&gt;"",1)</f>
        <v>1</v>
      </c>
    </row>
    <row r="388" spans="1:63">
      <c r="A388" s="4" t="str">
        <f>CONCATENATE(Table43[[#This Row],[Kode BARANG Win2]],Table43[[#This Row],[No. Urut
Item Sama]])</f>
        <v>K12510060150101</v>
      </c>
      <c r="B388" s="7">
        <v>1</v>
      </c>
      <c r="D388" s="28" t="s">
        <v>653</v>
      </c>
      <c r="E388" s="28"/>
      <c r="F388" s="28" t="s">
        <v>3168</v>
      </c>
      <c r="G388" s="78">
        <v>36</v>
      </c>
      <c r="H388" s="43"/>
      <c r="I388" s="28" t="str">
        <f>Table43[[#This Row],[Nama Jenis Kemasan]]</f>
        <v>BTL</v>
      </c>
      <c r="J388" s="4" t="str">
        <f>TRIM(CONCATENATE(Table43[[#This Row],[Nama            KLP]]," ",Table43[[#This Row],[Nama            Sub KLP]]))</f>
        <v>MASTER KIDS SHAMPOO</v>
      </c>
      <c r="K388" s="4" t="str">
        <f>CONCATENATE(Table43[[#This Row],[kode  2 Digit                (hrf+No)]],Table43[[#This Row],[kode  2 Digit                (Nomor)]],Table43[[#This Row],[kode  1 Digit                (Nomor)]])</f>
        <v>K1251</v>
      </c>
      <c r="L388" s="4" t="str">
        <f t="shared" si="18"/>
        <v>K1251006015010</v>
      </c>
      <c r="M388" s="11">
        <f t="shared" si="19"/>
        <v>14</v>
      </c>
      <c r="N388" s="14" t="str">
        <f>IF(AF388&lt;&gt;"",TRIM(UPPER(CONCATENATE(P388," ",R388," ",T388," ",V388," ",X388," ",Z388," ","X"," ",Table43[[#This Row],[ISI/CTN]]," ",AF388," ",AB388," ",AD388," ",AH388))),TRIM(UPPER(CONCATENATE(P388," ",R388," ",T388," ",V388," ",X388," ",Z388," ","X"," ",Table43[[#This Row],[ISI/CTN]]," ",AB388," ",AD388," ",AH388))))</f>
        <v>KNF MASTER KIDS SHAMPOO OPTIMUS PRIME 150ML X 36 BTL</v>
      </c>
      <c r="O388" s="11">
        <f t="shared" si="20"/>
        <v>52</v>
      </c>
      <c r="P388" s="4" t="s">
        <v>97</v>
      </c>
      <c r="Q388" s="7" t="s">
        <v>98</v>
      </c>
      <c r="R388" s="4" t="s">
        <v>3839</v>
      </c>
      <c r="S388" s="44" t="s">
        <v>3840</v>
      </c>
      <c r="T388" s="45" t="s">
        <v>3606</v>
      </c>
      <c r="U388" s="7" t="s">
        <v>2656</v>
      </c>
      <c r="V388" s="45" t="s">
        <v>2961</v>
      </c>
      <c r="W388" s="44" t="s">
        <v>2900</v>
      </c>
      <c r="X388" s="4" t="s">
        <v>3845</v>
      </c>
      <c r="Y388" s="46" t="s">
        <v>2476</v>
      </c>
      <c r="Z388" s="4" t="s">
        <v>2464</v>
      </c>
      <c r="AA388" s="46" t="s">
        <v>2482</v>
      </c>
      <c r="AB388" s="4" t="s">
        <v>357</v>
      </c>
      <c r="AC388" s="7" t="s">
        <v>2656</v>
      </c>
      <c r="AD388" s="4" t="s">
        <v>2961</v>
      </c>
      <c r="AE388" s="7" t="s">
        <v>2900</v>
      </c>
      <c r="AF388" s="7" t="s">
        <v>2961</v>
      </c>
      <c r="AG388" s="7" t="s">
        <v>2961</v>
      </c>
      <c r="AI388" s="7" t="s">
        <v>4100</v>
      </c>
      <c r="AJ388" s="7" t="s">
        <v>2656</v>
      </c>
      <c r="AK388" s="41">
        <f>Table43[[#This Row],[Harga Jual Pcs GT
(-PPN)]]-(Table43[[#This Row],[Harga Jual Pcs GT
(-PPN)]]*10%)</f>
        <v>0</v>
      </c>
      <c r="AL388" s="42">
        <f>Table43[[#This Row],[Harga Beli Pcs
(-PPN)]]*Table43[[#This Row],[ISI/CTN]]</f>
        <v>0</v>
      </c>
      <c r="AM388" s="42">
        <f>Table43[[#This Row],[Harga Beli Pcs
(-PPN)]]*1.11</f>
        <v>0</v>
      </c>
      <c r="AN388" s="42">
        <f>Table43[[#This Row],[Harga Beli Krt
(- PPN)]]*1.11</f>
        <v>0</v>
      </c>
      <c r="AO388" s="42"/>
      <c r="AP388" s="42">
        <f>Table43[[#This Row],[Harga Jual Pcs GT
(-PPN)]]*Table43[[#This Row],[ISI/CTN]]</f>
        <v>0</v>
      </c>
      <c r="AQ388" s="42">
        <f>Table43[[#This Row],[Harga Jual Pcs GT
(-PPN)]]*1.11</f>
        <v>0</v>
      </c>
      <c r="AR388" s="42">
        <f>Table43[[#This Row],[Harga Jual Krt GT
(- PPN)]]*1.11</f>
        <v>0</v>
      </c>
      <c r="AS388" s="42">
        <f>Table43[[#This Row],[Harga Jual Pcs GT
(-PPN)]]</f>
        <v>0</v>
      </c>
      <c r="AT388" s="42">
        <f>(Table43[[#This Row],[Harga Jual Pcs MT
(-PPN)]]*Table43[[#This Row],[ISI/CTN]])</f>
        <v>0</v>
      </c>
      <c r="AU388" s="42">
        <f>Table43[[#This Row],[Harga Jual Pcs MT
(-PPN)]]*1.11</f>
        <v>0</v>
      </c>
      <c r="AV388" s="42">
        <f>Table43[[#This Row],[Harga Jual Pcs MT
(+PPN)]]*Table43[[#This Row],[ISI/CTN]]</f>
        <v>0</v>
      </c>
      <c r="AW388" s="47"/>
      <c r="AX388" s="7"/>
      <c r="AY388" s="7" t="str">
        <f ca="1">IF(TODAY()-Table43[[#This Row],[Efektif
Pembuatan]]&gt;60,"Lama","Baru")</f>
        <v>Lama</v>
      </c>
      <c r="AZ388" s="7" t="str">
        <f ca="1">IF(TODAY()-Table43[[#This Row],[Efektif Naik Harga]]&lt;30,"Naik","Sama")</f>
        <v>Sama</v>
      </c>
      <c r="BA388" s="7" t="str">
        <f>IF(Table43[[#This Row],[Kode BARANG Win2]]&lt;&gt;"","IDR","")</f>
        <v>IDR</v>
      </c>
      <c r="BB388" s="7" t="str">
        <f>CONCATENATE(Table43[[#This Row],[kode  1 Digit
(Nomor)]],Table43[[#This Row],[kode  4 Digit                (Nomor)]])</f>
        <v>10150</v>
      </c>
      <c r="BC388" s="7" t="str">
        <f>Table43[[#This Row],[Nama            Gramasi atau Jumlah Pack per CTN]]</f>
        <v>150ML</v>
      </c>
      <c r="BD388" s="7"/>
      <c r="BE388" s="7"/>
      <c r="BF388" s="4" t="str">
        <f>IF(Table43[[#This Row],[SATUAN Fix Win]]&lt;&gt;"","KRT")</f>
        <v>KRT</v>
      </c>
      <c r="BG388" s="4" t="str">
        <f>IF(Table43[[#This Row],[SATUAN Fix Win]]&lt;&gt;"","GD01")</f>
        <v>GD01</v>
      </c>
      <c r="BH388" s="4">
        <f>IF(Table43[[#This Row],[SATUAN Fix Win]]&lt;&gt;"",11611)</f>
        <v>11611</v>
      </c>
      <c r="BI388" s="4">
        <f>IF(Table43[[#This Row],[SATUAN Fix Win]]&lt;&gt;"",11612)</f>
        <v>11612</v>
      </c>
      <c r="BJ388" s="48"/>
      <c r="BK388" s="4">
        <f>IF(Table43[[#This Row],[SATUAN Fix Win]]&lt;&gt;"",1)</f>
        <v>1</v>
      </c>
    </row>
    <row r="389" spans="1:63">
      <c r="A389" s="4" t="str">
        <f>CONCATENATE(Table43[[#This Row],[Kode BARANG Win2]],Table43[[#This Row],[No. Urut
Item Sama]])</f>
        <v>K12510070150101</v>
      </c>
      <c r="B389" s="7">
        <v>1</v>
      </c>
      <c r="D389" s="28" t="s">
        <v>647</v>
      </c>
      <c r="E389" s="28"/>
      <c r="F389" s="28" t="s">
        <v>3169</v>
      </c>
      <c r="G389" s="78">
        <v>36</v>
      </c>
      <c r="H389" s="43"/>
      <c r="I389" s="28" t="str">
        <f>Table43[[#This Row],[Nama Jenis Kemasan]]</f>
        <v>BTL</v>
      </c>
      <c r="J389" s="4" t="str">
        <f>TRIM(CONCATENATE(Table43[[#This Row],[Nama            KLP]]," ",Table43[[#This Row],[Nama            Sub KLP]]))</f>
        <v>MASTER KIDS SHAMPOO</v>
      </c>
      <c r="K389" s="4" t="str">
        <f>CONCATENATE(Table43[[#This Row],[kode  2 Digit                (hrf+No)]],Table43[[#This Row],[kode  2 Digit                (Nomor)]],Table43[[#This Row],[kode  1 Digit                (Nomor)]])</f>
        <v>K1251</v>
      </c>
      <c r="L389" s="4" t="str">
        <f t="shared" si="18"/>
        <v>K1251007015010</v>
      </c>
      <c r="M389" s="11">
        <f t="shared" si="19"/>
        <v>14</v>
      </c>
      <c r="N389" s="14" t="str">
        <f>IF(AF389&lt;&gt;"",TRIM(UPPER(CONCATENATE(P389," ",R389," ",T389," ",V389," ",X389," ",Z389," ","X"," ",Table43[[#This Row],[ISI/CTN]]," ",AF389," ",AB389," ",AD389," ",AH389))),TRIM(UPPER(CONCATENATE(P389," ",R389," ",T389," ",V389," ",X389," ",Z389," ","X"," ",Table43[[#This Row],[ISI/CTN]]," ",AB389," ",AD389," ",AH389))))</f>
        <v>KNF MASTER KIDS SHAMPOO SPIDERMAN 150ML X 36 BTL</v>
      </c>
      <c r="O389" s="11">
        <f t="shared" si="20"/>
        <v>48</v>
      </c>
      <c r="P389" s="4" t="s">
        <v>97</v>
      </c>
      <c r="Q389" s="7" t="s">
        <v>98</v>
      </c>
      <c r="R389" s="4" t="s">
        <v>3839</v>
      </c>
      <c r="S389" s="44" t="s">
        <v>3840</v>
      </c>
      <c r="T389" s="45" t="s">
        <v>3606</v>
      </c>
      <c r="U389" s="7" t="s">
        <v>2656</v>
      </c>
      <c r="V389" s="45" t="s">
        <v>2961</v>
      </c>
      <c r="W389" s="44" t="s">
        <v>2900</v>
      </c>
      <c r="X389" s="4" t="s">
        <v>3846</v>
      </c>
      <c r="Y389" s="46" t="s">
        <v>2477</v>
      </c>
      <c r="Z389" s="4" t="s">
        <v>2464</v>
      </c>
      <c r="AA389" s="46" t="s">
        <v>2482</v>
      </c>
      <c r="AB389" s="4" t="s">
        <v>357</v>
      </c>
      <c r="AC389" s="7" t="s">
        <v>2656</v>
      </c>
      <c r="AD389" s="4" t="s">
        <v>2961</v>
      </c>
      <c r="AE389" s="7" t="s">
        <v>2900</v>
      </c>
      <c r="AF389" s="7" t="s">
        <v>2961</v>
      </c>
      <c r="AG389" s="7" t="s">
        <v>2961</v>
      </c>
      <c r="AI389" s="7" t="s">
        <v>4100</v>
      </c>
      <c r="AJ389" s="7" t="s">
        <v>2656</v>
      </c>
      <c r="AK389" s="41">
        <f>Table43[[#This Row],[Harga Jual Pcs GT
(-PPN)]]-(Table43[[#This Row],[Harga Jual Pcs GT
(-PPN)]]*10%)</f>
        <v>0</v>
      </c>
      <c r="AL389" s="42">
        <f>Table43[[#This Row],[Harga Beli Pcs
(-PPN)]]*Table43[[#This Row],[ISI/CTN]]</f>
        <v>0</v>
      </c>
      <c r="AM389" s="42">
        <f>Table43[[#This Row],[Harga Beli Pcs
(-PPN)]]*1.11</f>
        <v>0</v>
      </c>
      <c r="AN389" s="42">
        <f>Table43[[#This Row],[Harga Beli Krt
(- PPN)]]*1.11</f>
        <v>0</v>
      </c>
      <c r="AO389" s="42"/>
      <c r="AP389" s="42">
        <f>Table43[[#This Row],[Harga Jual Pcs GT
(-PPN)]]*Table43[[#This Row],[ISI/CTN]]</f>
        <v>0</v>
      </c>
      <c r="AQ389" s="42">
        <f>Table43[[#This Row],[Harga Jual Pcs GT
(-PPN)]]*1.11</f>
        <v>0</v>
      </c>
      <c r="AR389" s="42">
        <f>Table43[[#This Row],[Harga Jual Krt GT
(- PPN)]]*1.11</f>
        <v>0</v>
      </c>
      <c r="AS389" s="42">
        <f>Table43[[#This Row],[Harga Jual Pcs GT
(-PPN)]]</f>
        <v>0</v>
      </c>
      <c r="AT389" s="42">
        <f>(Table43[[#This Row],[Harga Jual Pcs MT
(-PPN)]]*Table43[[#This Row],[ISI/CTN]])</f>
        <v>0</v>
      </c>
      <c r="AU389" s="42">
        <f>Table43[[#This Row],[Harga Jual Pcs MT
(-PPN)]]*1.11</f>
        <v>0</v>
      </c>
      <c r="AV389" s="42">
        <f>Table43[[#This Row],[Harga Jual Pcs MT
(+PPN)]]*Table43[[#This Row],[ISI/CTN]]</f>
        <v>0</v>
      </c>
      <c r="AW389" s="47"/>
      <c r="AX389" s="7"/>
      <c r="AY389" s="7" t="str">
        <f ca="1">IF(TODAY()-Table43[[#This Row],[Efektif
Pembuatan]]&gt;60,"Lama","Baru")</f>
        <v>Lama</v>
      </c>
      <c r="AZ389" s="7" t="str">
        <f ca="1">IF(TODAY()-Table43[[#This Row],[Efektif Naik Harga]]&lt;30,"Naik","Sama")</f>
        <v>Sama</v>
      </c>
      <c r="BA389" s="7" t="str">
        <f>IF(Table43[[#This Row],[Kode BARANG Win2]]&lt;&gt;"","IDR","")</f>
        <v>IDR</v>
      </c>
      <c r="BB389" s="7" t="str">
        <f>CONCATENATE(Table43[[#This Row],[kode  1 Digit
(Nomor)]],Table43[[#This Row],[kode  4 Digit                (Nomor)]])</f>
        <v>10150</v>
      </c>
      <c r="BC389" s="7" t="str">
        <f>Table43[[#This Row],[Nama            Gramasi atau Jumlah Pack per CTN]]</f>
        <v>150ML</v>
      </c>
      <c r="BD389" s="7"/>
      <c r="BE389" s="7"/>
      <c r="BF389" s="4" t="str">
        <f>IF(Table43[[#This Row],[SATUAN Fix Win]]&lt;&gt;"","KRT")</f>
        <v>KRT</v>
      </c>
      <c r="BG389" s="4" t="str">
        <f>IF(Table43[[#This Row],[SATUAN Fix Win]]&lt;&gt;"","GD01")</f>
        <v>GD01</v>
      </c>
      <c r="BH389" s="4">
        <f>IF(Table43[[#This Row],[SATUAN Fix Win]]&lt;&gt;"",11611)</f>
        <v>11611</v>
      </c>
      <c r="BI389" s="4">
        <f>IF(Table43[[#This Row],[SATUAN Fix Win]]&lt;&gt;"",11612)</f>
        <v>11612</v>
      </c>
      <c r="BJ389" s="48"/>
      <c r="BK389" s="4">
        <f>IF(Table43[[#This Row],[SATUAN Fix Win]]&lt;&gt;"",1)</f>
        <v>1</v>
      </c>
    </row>
    <row r="390" spans="1:63">
      <c r="A390" s="4" t="str">
        <f>CONCATENATE(Table43[[#This Row],[Kode BARANG Win2]],Table43[[#This Row],[No. Urut
Item Sama]])</f>
        <v>K12510080150101</v>
      </c>
      <c r="B390" s="7">
        <v>1</v>
      </c>
      <c r="D390" s="28" t="s">
        <v>648</v>
      </c>
      <c r="E390" s="28"/>
      <c r="F390" s="28" t="s">
        <v>3170</v>
      </c>
      <c r="G390" s="78">
        <v>36</v>
      </c>
      <c r="H390" s="43"/>
      <c r="I390" s="28" t="str">
        <f>Table43[[#This Row],[Nama Jenis Kemasan]]</f>
        <v>BTL</v>
      </c>
      <c r="J390" s="4" t="str">
        <f>TRIM(CONCATENATE(Table43[[#This Row],[Nama            KLP]]," ",Table43[[#This Row],[Nama            Sub KLP]]))</f>
        <v>MASTER KIDS SHAMPOO</v>
      </c>
      <c r="K390" s="4" t="str">
        <f>CONCATENATE(Table43[[#This Row],[kode  2 Digit                (hrf+No)]],Table43[[#This Row],[kode  2 Digit                (Nomor)]],Table43[[#This Row],[kode  1 Digit                (Nomor)]])</f>
        <v>K1251</v>
      </c>
      <c r="L390" s="4" t="str">
        <f t="shared" si="18"/>
        <v>K1251008015010</v>
      </c>
      <c r="M390" s="11">
        <f t="shared" si="19"/>
        <v>14</v>
      </c>
      <c r="N390" s="14" t="str">
        <f>IF(AF390&lt;&gt;"",TRIM(UPPER(CONCATENATE(P390," ",R390," ",T390," ",V390," ",X390," ",Z390," ","X"," ",Table43[[#This Row],[ISI/CTN]]," ",AF390," ",AB390," ",AD390," ",AH390))),TRIM(UPPER(CONCATENATE(P390," ",R390," ",T390," ",V390," ",X390," ",Z390," ","X"," ",Table43[[#This Row],[ISI/CTN]]," ",AB390," ",AD390," ",AH390))))</f>
        <v>KNF MASTER KIDS SHAMPOO SUPERMAN 150ML X 36 BTL</v>
      </c>
      <c r="O390" s="11">
        <f t="shared" si="20"/>
        <v>47</v>
      </c>
      <c r="P390" s="4" t="s">
        <v>97</v>
      </c>
      <c r="Q390" s="7" t="s">
        <v>98</v>
      </c>
      <c r="R390" s="4" t="s">
        <v>3839</v>
      </c>
      <c r="S390" s="44" t="s">
        <v>3840</v>
      </c>
      <c r="T390" s="45" t="s">
        <v>3606</v>
      </c>
      <c r="U390" s="7" t="s">
        <v>2656</v>
      </c>
      <c r="V390" s="45" t="s">
        <v>2961</v>
      </c>
      <c r="W390" s="44" t="s">
        <v>2900</v>
      </c>
      <c r="X390" s="4" t="s">
        <v>3847</v>
      </c>
      <c r="Y390" s="46" t="s">
        <v>2478</v>
      </c>
      <c r="Z390" s="4" t="s">
        <v>2464</v>
      </c>
      <c r="AA390" s="46" t="s">
        <v>2482</v>
      </c>
      <c r="AB390" s="4" t="s">
        <v>357</v>
      </c>
      <c r="AC390" s="7" t="s">
        <v>2656</v>
      </c>
      <c r="AD390" s="4" t="s">
        <v>2961</v>
      </c>
      <c r="AE390" s="7" t="s">
        <v>2900</v>
      </c>
      <c r="AF390" s="7" t="s">
        <v>2961</v>
      </c>
      <c r="AG390" s="7" t="s">
        <v>2961</v>
      </c>
      <c r="AI390" s="7" t="s">
        <v>4100</v>
      </c>
      <c r="AJ390" s="7" t="s">
        <v>2656</v>
      </c>
      <c r="AK390" s="41">
        <f>Table43[[#This Row],[Harga Jual Pcs GT
(-PPN)]]-(Table43[[#This Row],[Harga Jual Pcs GT
(-PPN)]]*10%)</f>
        <v>0</v>
      </c>
      <c r="AL390" s="42">
        <f>Table43[[#This Row],[Harga Beli Pcs
(-PPN)]]*Table43[[#This Row],[ISI/CTN]]</f>
        <v>0</v>
      </c>
      <c r="AM390" s="42">
        <f>Table43[[#This Row],[Harga Beli Pcs
(-PPN)]]*1.11</f>
        <v>0</v>
      </c>
      <c r="AN390" s="42">
        <f>Table43[[#This Row],[Harga Beli Krt
(- PPN)]]*1.11</f>
        <v>0</v>
      </c>
      <c r="AO390" s="42"/>
      <c r="AP390" s="42">
        <f>Table43[[#This Row],[Harga Jual Pcs GT
(-PPN)]]*Table43[[#This Row],[ISI/CTN]]</f>
        <v>0</v>
      </c>
      <c r="AQ390" s="42">
        <f>Table43[[#This Row],[Harga Jual Pcs GT
(-PPN)]]*1.11</f>
        <v>0</v>
      </c>
      <c r="AR390" s="42">
        <f>Table43[[#This Row],[Harga Jual Krt GT
(- PPN)]]*1.11</f>
        <v>0</v>
      </c>
      <c r="AS390" s="42">
        <f>Table43[[#This Row],[Harga Jual Pcs GT
(-PPN)]]</f>
        <v>0</v>
      </c>
      <c r="AT390" s="42">
        <f>(Table43[[#This Row],[Harga Jual Pcs MT
(-PPN)]]*Table43[[#This Row],[ISI/CTN]])</f>
        <v>0</v>
      </c>
      <c r="AU390" s="42">
        <f>Table43[[#This Row],[Harga Jual Pcs MT
(-PPN)]]*1.11</f>
        <v>0</v>
      </c>
      <c r="AV390" s="42">
        <f>Table43[[#This Row],[Harga Jual Pcs MT
(+PPN)]]*Table43[[#This Row],[ISI/CTN]]</f>
        <v>0</v>
      </c>
      <c r="AW390" s="47"/>
      <c r="AX390" s="7"/>
      <c r="AY390" s="7" t="str">
        <f ca="1">IF(TODAY()-Table43[[#This Row],[Efektif
Pembuatan]]&gt;60,"Lama","Baru")</f>
        <v>Lama</v>
      </c>
      <c r="AZ390" s="7" t="str">
        <f ca="1">IF(TODAY()-Table43[[#This Row],[Efektif Naik Harga]]&lt;30,"Naik","Sama")</f>
        <v>Sama</v>
      </c>
      <c r="BA390" s="7" t="str">
        <f>IF(Table43[[#This Row],[Kode BARANG Win2]]&lt;&gt;"","IDR","")</f>
        <v>IDR</v>
      </c>
      <c r="BB390" s="7" t="str">
        <f>CONCATENATE(Table43[[#This Row],[kode  1 Digit
(Nomor)]],Table43[[#This Row],[kode  4 Digit                (Nomor)]])</f>
        <v>10150</v>
      </c>
      <c r="BC390" s="7" t="str">
        <f>Table43[[#This Row],[Nama            Gramasi atau Jumlah Pack per CTN]]</f>
        <v>150ML</v>
      </c>
      <c r="BD390" s="7"/>
      <c r="BE390" s="7"/>
      <c r="BF390" s="4" t="str">
        <f>IF(Table43[[#This Row],[SATUAN Fix Win]]&lt;&gt;"","KRT")</f>
        <v>KRT</v>
      </c>
      <c r="BG390" s="4" t="str">
        <f>IF(Table43[[#This Row],[SATUAN Fix Win]]&lt;&gt;"","GD01")</f>
        <v>GD01</v>
      </c>
      <c r="BH390" s="4">
        <f>IF(Table43[[#This Row],[SATUAN Fix Win]]&lt;&gt;"",11611)</f>
        <v>11611</v>
      </c>
      <c r="BI390" s="4">
        <f>IF(Table43[[#This Row],[SATUAN Fix Win]]&lt;&gt;"",11612)</f>
        <v>11612</v>
      </c>
      <c r="BJ390" s="48"/>
      <c r="BK390" s="4">
        <f>IF(Table43[[#This Row],[SATUAN Fix Win]]&lt;&gt;"",1)</f>
        <v>1</v>
      </c>
    </row>
    <row r="391" spans="1:63">
      <c r="A391" s="4" t="str">
        <f>CONCATENATE(Table43[[#This Row],[Kode BARANG Win2]],Table43[[#This Row],[No. Urut
Item Sama]])</f>
        <v>K12520010175101</v>
      </c>
      <c r="B391" s="7">
        <v>1</v>
      </c>
      <c r="D391" s="28" t="s">
        <v>644</v>
      </c>
      <c r="E391" s="28"/>
      <c r="F391" s="28" t="s">
        <v>3171</v>
      </c>
      <c r="G391" s="78">
        <v>36</v>
      </c>
      <c r="H391" s="43"/>
      <c r="I391" s="28" t="str">
        <f>Table43[[#This Row],[Nama Jenis Kemasan]]</f>
        <v>BTL</v>
      </c>
      <c r="J391" s="4" t="str">
        <f>TRIM(CONCATENATE(Table43[[#This Row],[Nama            KLP]]," ",Table43[[#This Row],[Nama            Sub KLP]]))</f>
        <v>MASTER KIDS SHOWER GEL</v>
      </c>
      <c r="K391" s="4" t="str">
        <f>CONCATENATE(Table43[[#This Row],[kode  2 Digit                (hrf+No)]],Table43[[#This Row],[kode  2 Digit                (Nomor)]],Table43[[#This Row],[kode  1 Digit                (Nomor)]])</f>
        <v>K1252</v>
      </c>
      <c r="L391" s="4" t="str">
        <f t="shared" si="18"/>
        <v>K1252001017510</v>
      </c>
      <c r="M391" s="11">
        <f t="shared" si="19"/>
        <v>14</v>
      </c>
      <c r="N391" s="14" t="str">
        <f>IF(AF391&lt;&gt;"",TRIM(UPPER(CONCATENATE(P391," ",R391," ",T391," ",V391," ",X391," ",Z391," ","X"," ",Table43[[#This Row],[ISI/CTN]]," ",AF391," ",AB391," ",AD391," ",AH391))),TRIM(UPPER(CONCATENATE(P391," ",R391," ",T391," ",V391," ",X391," ",Z391," ","X"," ",Table43[[#This Row],[ISI/CTN]]," ",AB391," ",AD391," ",AH391))))</f>
        <v>KNF MASTER KIDS SHOWER GEL C- AMERICA 175ML X 36 BTL</v>
      </c>
      <c r="O391" s="11">
        <f t="shared" si="20"/>
        <v>52</v>
      </c>
      <c r="P391" s="4" t="s">
        <v>97</v>
      </c>
      <c r="Q391" s="7" t="s">
        <v>98</v>
      </c>
      <c r="R391" s="4" t="s">
        <v>3839</v>
      </c>
      <c r="S391" s="44" t="s">
        <v>3840</v>
      </c>
      <c r="T391" s="45" t="s">
        <v>3780</v>
      </c>
      <c r="U391" s="7" t="s">
        <v>3562</v>
      </c>
      <c r="V391" s="45" t="s">
        <v>2961</v>
      </c>
      <c r="W391" s="44" t="s">
        <v>2900</v>
      </c>
      <c r="X391" s="4" t="s">
        <v>3848</v>
      </c>
      <c r="Y391" s="46" t="s">
        <v>0</v>
      </c>
      <c r="Z391" s="4" t="s">
        <v>3849</v>
      </c>
      <c r="AA391" s="46" t="s">
        <v>2506</v>
      </c>
      <c r="AB391" s="4" t="s">
        <v>357</v>
      </c>
      <c r="AC391" s="7" t="s">
        <v>2656</v>
      </c>
      <c r="AD391" s="4" t="s">
        <v>2961</v>
      </c>
      <c r="AE391" s="7" t="s">
        <v>2900</v>
      </c>
      <c r="AF391" s="7" t="s">
        <v>2961</v>
      </c>
      <c r="AG391" s="7" t="s">
        <v>2961</v>
      </c>
      <c r="AI391" s="7" t="s">
        <v>4100</v>
      </c>
      <c r="AJ391" s="7" t="s">
        <v>2656</v>
      </c>
      <c r="AK391" s="41">
        <f>Table43[[#This Row],[Harga Jual Pcs GT
(-PPN)]]-(Table43[[#This Row],[Harga Jual Pcs GT
(-PPN)]]*10%)</f>
        <v>0</v>
      </c>
      <c r="AL391" s="42">
        <f>Table43[[#This Row],[Harga Beli Pcs
(-PPN)]]*Table43[[#This Row],[ISI/CTN]]</f>
        <v>0</v>
      </c>
      <c r="AM391" s="42">
        <f>Table43[[#This Row],[Harga Beli Pcs
(-PPN)]]*1.11</f>
        <v>0</v>
      </c>
      <c r="AN391" s="42">
        <f>Table43[[#This Row],[Harga Beli Krt
(- PPN)]]*1.11</f>
        <v>0</v>
      </c>
      <c r="AO391" s="42"/>
      <c r="AP391" s="42">
        <f>Table43[[#This Row],[Harga Jual Pcs GT
(-PPN)]]*Table43[[#This Row],[ISI/CTN]]</f>
        <v>0</v>
      </c>
      <c r="AQ391" s="42">
        <f>Table43[[#This Row],[Harga Jual Pcs GT
(-PPN)]]*1.11</f>
        <v>0</v>
      </c>
      <c r="AR391" s="42">
        <f>Table43[[#This Row],[Harga Jual Krt GT
(- PPN)]]*1.11</f>
        <v>0</v>
      </c>
      <c r="AS391" s="42">
        <f>Table43[[#This Row],[Harga Jual Pcs GT
(-PPN)]]</f>
        <v>0</v>
      </c>
      <c r="AT391" s="42">
        <f>(Table43[[#This Row],[Harga Jual Pcs MT
(-PPN)]]*Table43[[#This Row],[ISI/CTN]])</f>
        <v>0</v>
      </c>
      <c r="AU391" s="42">
        <f>Table43[[#This Row],[Harga Jual Pcs MT
(-PPN)]]*1.11</f>
        <v>0</v>
      </c>
      <c r="AV391" s="42">
        <f>Table43[[#This Row],[Harga Jual Pcs MT
(+PPN)]]*Table43[[#This Row],[ISI/CTN]]</f>
        <v>0</v>
      </c>
      <c r="AW391" s="47"/>
      <c r="AX391" s="7"/>
      <c r="AY391" s="7" t="str">
        <f ca="1">IF(TODAY()-Table43[[#This Row],[Efektif
Pembuatan]]&gt;60,"Lama","Baru")</f>
        <v>Lama</v>
      </c>
      <c r="AZ391" s="7" t="str">
        <f ca="1">IF(TODAY()-Table43[[#This Row],[Efektif Naik Harga]]&lt;30,"Naik","Sama")</f>
        <v>Sama</v>
      </c>
      <c r="BA391" s="7" t="str">
        <f>IF(Table43[[#This Row],[Kode BARANG Win2]]&lt;&gt;"","IDR","")</f>
        <v>IDR</v>
      </c>
      <c r="BB391" s="7" t="str">
        <f>CONCATENATE(Table43[[#This Row],[kode  1 Digit
(Nomor)]],Table43[[#This Row],[kode  4 Digit                (Nomor)]])</f>
        <v>10175</v>
      </c>
      <c r="BC391" s="7" t="str">
        <f>Table43[[#This Row],[Nama            Gramasi atau Jumlah Pack per CTN]]</f>
        <v>175ML</v>
      </c>
      <c r="BD391" s="7"/>
      <c r="BE391" s="7"/>
      <c r="BF391" s="4" t="str">
        <f>IF(Table43[[#This Row],[SATUAN Fix Win]]&lt;&gt;"","KRT")</f>
        <v>KRT</v>
      </c>
      <c r="BG391" s="4" t="str">
        <f>IF(Table43[[#This Row],[SATUAN Fix Win]]&lt;&gt;"","GD01")</f>
        <v>GD01</v>
      </c>
      <c r="BH391" s="4">
        <f>IF(Table43[[#This Row],[SATUAN Fix Win]]&lt;&gt;"",11611)</f>
        <v>11611</v>
      </c>
      <c r="BI391" s="4">
        <f>IF(Table43[[#This Row],[SATUAN Fix Win]]&lt;&gt;"",11612)</f>
        <v>11612</v>
      </c>
      <c r="BJ391" s="48"/>
      <c r="BK391" s="4">
        <f>IF(Table43[[#This Row],[SATUAN Fix Win]]&lt;&gt;"",1)</f>
        <v>1</v>
      </c>
    </row>
    <row r="392" spans="1:63">
      <c r="A392" s="4" t="str">
        <f>CONCATENATE(Table43[[#This Row],[Kode BARANG Win2]],Table43[[#This Row],[No. Urut
Item Sama]])</f>
        <v>K12520020175101</v>
      </c>
      <c r="B392" s="7">
        <v>1</v>
      </c>
      <c r="D392" s="28" t="s">
        <v>645</v>
      </c>
      <c r="E392" s="28"/>
      <c r="F392" s="28" t="s">
        <v>3172</v>
      </c>
      <c r="G392" s="78">
        <v>36</v>
      </c>
      <c r="H392" s="43"/>
      <c r="I392" s="28" t="str">
        <f>Table43[[#This Row],[Nama Jenis Kemasan]]</f>
        <v>BTL</v>
      </c>
      <c r="J392" s="4" t="str">
        <f>TRIM(CONCATENATE(Table43[[#This Row],[Nama            KLP]]," ",Table43[[#This Row],[Nama            Sub KLP]]))</f>
        <v>MASTER KIDS SHOWER GEL</v>
      </c>
      <c r="K392" s="4" t="str">
        <f>CONCATENATE(Table43[[#This Row],[kode  2 Digit                (hrf+No)]],Table43[[#This Row],[kode  2 Digit                (Nomor)]],Table43[[#This Row],[kode  1 Digit                (Nomor)]])</f>
        <v>K1252</v>
      </c>
      <c r="L392" s="4" t="str">
        <f t="shared" si="18"/>
        <v>K1252002017510</v>
      </c>
      <c r="M392" s="11">
        <f t="shared" si="19"/>
        <v>14</v>
      </c>
      <c r="N392" s="14" t="str">
        <f>IF(AF392&lt;&gt;"",TRIM(UPPER(CONCATENATE(P392," ",R392," ",T392," ",V392," ",X392," ",Z392," ","X"," ",Table43[[#This Row],[ISI/CTN]]," ",AF392," ",AB392," ",AD392," ",AH392))),TRIM(UPPER(CONCATENATE(P392," ",R392," ",T392," ",V392," ",X392," ",Z392," ","X"," ",Table43[[#This Row],[ISI/CTN]]," ",AB392," ",AD392," ",AH392))))</f>
        <v>KNF MASTER KIDS SHOWER GEL IRON MAN 175ML X 36 BTL</v>
      </c>
      <c r="O392" s="11">
        <f t="shared" si="20"/>
        <v>50</v>
      </c>
      <c r="P392" s="4" t="s">
        <v>97</v>
      </c>
      <c r="Q392" s="7" t="s">
        <v>98</v>
      </c>
      <c r="R392" s="4" t="s">
        <v>3839</v>
      </c>
      <c r="S392" s="44" t="s">
        <v>3840</v>
      </c>
      <c r="T392" s="45" t="s">
        <v>3780</v>
      </c>
      <c r="U392" s="7" t="s">
        <v>3562</v>
      </c>
      <c r="V392" s="45" t="s">
        <v>2961</v>
      </c>
      <c r="W392" s="44" t="s">
        <v>2900</v>
      </c>
      <c r="X392" s="4" t="s">
        <v>3844</v>
      </c>
      <c r="Y392" s="46" t="s">
        <v>2472</v>
      </c>
      <c r="Z392" s="4" t="s">
        <v>3849</v>
      </c>
      <c r="AA392" s="46" t="s">
        <v>2506</v>
      </c>
      <c r="AB392" s="4" t="s">
        <v>357</v>
      </c>
      <c r="AC392" s="7" t="s">
        <v>2656</v>
      </c>
      <c r="AD392" s="4" t="s">
        <v>2961</v>
      </c>
      <c r="AE392" s="7" t="s">
        <v>2900</v>
      </c>
      <c r="AF392" s="7" t="s">
        <v>2961</v>
      </c>
      <c r="AG392" s="7" t="s">
        <v>2961</v>
      </c>
      <c r="AI392" s="7" t="s">
        <v>4100</v>
      </c>
      <c r="AJ392" s="7" t="s">
        <v>2656</v>
      </c>
      <c r="AK392" s="41">
        <f>Table43[[#This Row],[Harga Jual Pcs GT
(-PPN)]]-(Table43[[#This Row],[Harga Jual Pcs GT
(-PPN)]]*10%)</f>
        <v>0</v>
      </c>
      <c r="AL392" s="42">
        <f>Table43[[#This Row],[Harga Beli Pcs
(-PPN)]]*Table43[[#This Row],[ISI/CTN]]</f>
        <v>0</v>
      </c>
      <c r="AM392" s="42">
        <f>Table43[[#This Row],[Harga Beli Pcs
(-PPN)]]*1.11</f>
        <v>0</v>
      </c>
      <c r="AN392" s="42">
        <f>Table43[[#This Row],[Harga Beli Krt
(- PPN)]]*1.11</f>
        <v>0</v>
      </c>
      <c r="AO392" s="42"/>
      <c r="AP392" s="42">
        <f>Table43[[#This Row],[Harga Jual Pcs GT
(-PPN)]]*Table43[[#This Row],[ISI/CTN]]</f>
        <v>0</v>
      </c>
      <c r="AQ392" s="42">
        <f>Table43[[#This Row],[Harga Jual Pcs GT
(-PPN)]]*1.11</f>
        <v>0</v>
      </c>
      <c r="AR392" s="42">
        <f>Table43[[#This Row],[Harga Jual Krt GT
(- PPN)]]*1.11</f>
        <v>0</v>
      </c>
      <c r="AS392" s="42">
        <f>Table43[[#This Row],[Harga Jual Pcs GT
(-PPN)]]</f>
        <v>0</v>
      </c>
      <c r="AT392" s="42">
        <f>(Table43[[#This Row],[Harga Jual Pcs MT
(-PPN)]]*Table43[[#This Row],[ISI/CTN]])</f>
        <v>0</v>
      </c>
      <c r="AU392" s="42">
        <f>Table43[[#This Row],[Harga Jual Pcs MT
(-PPN)]]*1.11</f>
        <v>0</v>
      </c>
      <c r="AV392" s="42">
        <f>Table43[[#This Row],[Harga Jual Pcs MT
(+PPN)]]*Table43[[#This Row],[ISI/CTN]]</f>
        <v>0</v>
      </c>
      <c r="AW392" s="47"/>
      <c r="AX392" s="7"/>
      <c r="AY392" s="7" t="str">
        <f ca="1">IF(TODAY()-Table43[[#This Row],[Efektif
Pembuatan]]&gt;60,"Lama","Baru")</f>
        <v>Lama</v>
      </c>
      <c r="AZ392" s="7" t="str">
        <f ca="1">IF(TODAY()-Table43[[#This Row],[Efektif Naik Harga]]&lt;30,"Naik","Sama")</f>
        <v>Sama</v>
      </c>
      <c r="BA392" s="7" t="str">
        <f>IF(Table43[[#This Row],[Kode BARANG Win2]]&lt;&gt;"","IDR","")</f>
        <v>IDR</v>
      </c>
      <c r="BB392" s="7" t="str">
        <f>CONCATENATE(Table43[[#This Row],[kode  1 Digit
(Nomor)]],Table43[[#This Row],[kode  4 Digit                (Nomor)]])</f>
        <v>10175</v>
      </c>
      <c r="BC392" s="7" t="str">
        <f>Table43[[#This Row],[Nama            Gramasi atau Jumlah Pack per CTN]]</f>
        <v>175ML</v>
      </c>
      <c r="BD392" s="7"/>
      <c r="BE392" s="7"/>
      <c r="BF392" s="4" t="str">
        <f>IF(Table43[[#This Row],[SATUAN Fix Win]]&lt;&gt;"","KRT")</f>
        <v>KRT</v>
      </c>
      <c r="BG392" s="4" t="str">
        <f>IF(Table43[[#This Row],[SATUAN Fix Win]]&lt;&gt;"","GD01")</f>
        <v>GD01</v>
      </c>
      <c r="BH392" s="4">
        <f>IF(Table43[[#This Row],[SATUAN Fix Win]]&lt;&gt;"",11611)</f>
        <v>11611</v>
      </c>
      <c r="BI392" s="4">
        <f>IF(Table43[[#This Row],[SATUAN Fix Win]]&lt;&gt;"",11612)</f>
        <v>11612</v>
      </c>
      <c r="BJ392" s="48"/>
      <c r="BK392" s="4">
        <f>IF(Table43[[#This Row],[SATUAN Fix Win]]&lt;&gt;"",1)</f>
        <v>1</v>
      </c>
    </row>
    <row r="393" spans="1:63">
      <c r="A393" s="4" t="str">
        <f>CONCATENATE(Table43[[#This Row],[Kode BARANG Win2]],Table43[[#This Row],[No. Urut
Item Sama]])</f>
        <v>K12530010100101</v>
      </c>
      <c r="B393" s="7">
        <v>1</v>
      </c>
      <c r="D393" s="28" t="s">
        <v>636</v>
      </c>
      <c r="E393" s="28"/>
      <c r="F393" s="28" t="s">
        <v>3173</v>
      </c>
      <c r="G393" s="78">
        <v>36</v>
      </c>
      <c r="H393" s="43"/>
      <c r="I393" s="28" t="str">
        <f>Table43[[#This Row],[Nama Jenis Kemasan]]</f>
        <v>BTL</v>
      </c>
      <c r="J393" s="4" t="str">
        <f>TRIM(CONCATENATE(Table43[[#This Row],[Nama            KLP]]," ",Table43[[#This Row],[Nama            Sub KLP]]))</f>
        <v>MASTER KIDS SPRAY COL.</v>
      </c>
      <c r="K393" s="4" t="str">
        <f>CONCATENATE(Table43[[#This Row],[kode  2 Digit                (hrf+No)]],Table43[[#This Row],[kode  2 Digit                (Nomor)]],Table43[[#This Row],[kode  1 Digit                (Nomor)]])</f>
        <v>K1253</v>
      </c>
      <c r="L393" s="4" t="str">
        <f t="shared" si="18"/>
        <v>K1253001010010</v>
      </c>
      <c r="M393" s="11">
        <f t="shared" si="19"/>
        <v>14</v>
      </c>
      <c r="N393" s="14" t="str">
        <f>IF(AF393&lt;&gt;"",TRIM(UPPER(CONCATENATE(P393," ",R393," ",T393," ",V393," ",X393," ",Z393," ","X"," ",Table43[[#This Row],[ISI/CTN]]," ",AF393," ",AB393," ",AD393," ",AH393))),TRIM(UPPER(CONCATENATE(P393," ",R393," ",T393," ",V393," ",X393," ",Z393," ","X"," ",Table43[[#This Row],[ISI/CTN]]," ",AB393," ",AD393," ",AH393))))</f>
        <v>KNF MASTER KIDS SPRAY COL. BATMAN 100ML X 36 BTL</v>
      </c>
      <c r="O393" s="11">
        <f t="shared" si="20"/>
        <v>48</v>
      </c>
      <c r="P393" s="4" t="s">
        <v>97</v>
      </c>
      <c r="Q393" s="7" t="s">
        <v>98</v>
      </c>
      <c r="R393" s="4" t="s">
        <v>3839</v>
      </c>
      <c r="S393" s="44" t="s">
        <v>3840</v>
      </c>
      <c r="T393" s="45" t="s">
        <v>3850</v>
      </c>
      <c r="U393" s="7" t="s">
        <v>3590</v>
      </c>
      <c r="V393" s="45" t="s">
        <v>2961</v>
      </c>
      <c r="W393" s="44" t="s">
        <v>2900</v>
      </c>
      <c r="X393" s="4" t="s">
        <v>3841</v>
      </c>
      <c r="Y393" s="46" t="s">
        <v>0</v>
      </c>
      <c r="Z393" s="4" t="s">
        <v>3588</v>
      </c>
      <c r="AA393" s="46" t="s">
        <v>2487</v>
      </c>
      <c r="AB393" s="4" t="s">
        <v>357</v>
      </c>
      <c r="AC393" s="7" t="s">
        <v>2656</v>
      </c>
      <c r="AD393" s="4" t="s">
        <v>2961</v>
      </c>
      <c r="AE393" s="7" t="s">
        <v>2900</v>
      </c>
      <c r="AF393" s="7" t="s">
        <v>2961</v>
      </c>
      <c r="AG393" s="7" t="s">
        <v>2961</v>
      </c>
      <c r="AI393" s="7" t="s">
        <v>4100</v>
      </c>
      <c r="AJ393" s="7" t="s">
        <v>2656</v>
      </c>
      <c r="AK393" s="41">
        <f>Table43[[#This Row],[Harga Jual Pcs GT
(-PPN)]]-(Table43[[#This Row],[Harga Jual Pcs GT
(-PPN)]]*10%)</f>
        <v>0</v>
      </c>
      <c r="AL393" s="42">
        <f>Table43[[#This Row],[Harga Beli Pcs
(-PPN)]]*Table43[[#This Row],[ISI/CTN]]</f>
        <v>0</v>
      </c>
      <c r="AM393" s="42">
        <f>Table43[[#This Row],[Harga Beli Pcs
(-PPN)]]*1.11</f>
        <v>0</v>
      </c>
      <c r="AN393" s="42">
        <f>Table43[[#This Row],[Harga Beli Krt
(- PPN)]]*1.11</f>
        <v>0</v>
      </c>
      <c r="AO393" s="42"/>
      <c r="AP393" s="42">
        <f>Table43[[#This Row],[Harga Jual Pcs GT
(-PPN)]]*Table43[[#This Row],[ISI/CTN]]</f>
        <v>0</v>
      </c>
      <c r="AQ393" s="42">
        <f>Table43[[#This Row],[Harga Jual Pcs GT
(-PPN)]]*1.11</f>
        <v>0</v>
      </c>
      <c r="AR393" s="42">
        <f>Table43[[#This Row],[Harga Jual Krt GT
(- PPN)]]*1.11</f>
        <v>0</v>
      </c>
      <c r="AS393" s="42">
        <f>Table43[[#This Row],[Harga Jual Pcs GT
(-PPN)]]</f>
        <v>0</v>
      </c>
      <c r="AT393" s="42">
        <f>(Table43[[#This Row],[Harga Jual Pcs MT
(-PPN)]]*Table43[[#This Row],[ISI/CTN]])</f>
        <v>0</v>
      </c>
      <c r="AU393" s="42">
        <f>Table43[[#This Row],[Harga Jual Pcs MT
(-PPN)]]*1.11</f>
        <v>0</v>
      </c>
      <c r="AV393" s="42">
        <f>Table43[[#This Row],[Harga Jual Pcs MT
(+PPN)]]*Table43[[#This Row],[ISI/CTN]]</f>
        <v>0</v>
      </c>
      <c r="AW393" s="47"/>
      <c r="AX393" s="7"/>
      <c r="AY393" s="7" t="str">
        <f ca="1">IF(TODAY()-Table43[[#This Row],[Efektif
Pembuatan]]&gt;60,"Lama","Baru")</f>
        <v>Lama</v>
      </c>
      <c r="AZ393" s="7" t="str">
        <f ca="1">IF(TODAY()-Table43[[#This Row],[Efektif Naik Harga]]&lt;30,"Naik","Sama")</f>
        <v>Sama</v>
      </c>
      <c r="BA393" s="7" t="str">
        <f>IF(Table43[[#This Row],[Kode BARANG Win2]]&lt;&gt;"","IDR","")</f>
        <v>IDR</v>
      </c>
      <c r="BB393" s="7" t="str">
        <f>CONCATENATE(Table43[[#This Row],[kode  1 Digit
(Nomor)]],Table43[[#This Row],[kode  4 Digit                (Nomor)]])</f>
        <v>10100</v>
      </c>
      <c r="BC393" s="7" t="str">
        <f>Table43[[#This Row],[Nama            Gramasi atau Jumlah Pack per CTN]]</f>
        <v>100ML</v>
      </c>
      <c r="BD393" s="7"/>
      <c r="BE393" s="7"/>
      <c r="BF393" s="4" t="str">
        <f>IF(Table43[[#This Row],[SATUAN Fix Win]]&lt;&gt;"","KRT")</f>
        <v>KRT</v>
      </c>
      <c r="BG393" s="4" t="str">
        <f>IF(Table43[[#This Row],[SATUAN Fix Win]]&lt;&gt;"","GD01")</f>
        <v>GD01</v>
      </c>
      <c r="BH393" s="4">
        <f>IF(Table43[[#This Row],[SATUAN Fix Win]]&lt;&gt;"",11611)</f>
        <v>11611</v>
      </c>
      <c r="BI393" s="4">
        <f>IF(Table43[[#This Row],[SATUAN Fix Win]]&lt;&gt;"",11612)</f>
        <v>11612</v>
      </c>
      <c r="BJ393" s="48"/>
      <c r="BK393" s="4">
        <f>IF(Table43[[#This Row],[SATUAN Fix Win]]&lt;&gt;"",1)</f>
        <v>1</v>
      </c>
    </row>
    <row r="394" spans="1:63">
      <c r="A394" s="4" t="str">
        <f>CONCATENATE(Table43[[#This Row],[Kode BARANG Win2]],Table43[[#This Row],[No. Urut
Item Sama]])</f>
        <v>K12530020100101</v>
      </c>
      <c r="B394" s="7">
        <v>1</v>
      </c>
      <c r="D394" s="28" t="s">
        <v>639</v>
      </c>
      <c r="E394" s="28"/>
      <c r="F394" s="28" t="s">
        <v>3174</v>
      </c>
      <c r="G394" s="78">
        <v>36</v>
      </c>
      <c r="H394" s="43"/>
      <c r="I394" s="28" t="str">
        <f>Table43[[#This Row],[Nama Jenis Kemasan]]</f>
        <v>BTL</v>
      </c>
      <c r="J394" s="4" t="str">
        <f>TRIM(CONCATENATE(Table43[[#This Row],[Nama            KLP]]," ",Table43[[#This Row],[Nama            Sub KLP]]))</f>
        <v>MASTER KIDS SPRAY COL.</v>
      </c>
      <c r="K394" s="4" t="str">
        <f>CONCATENATE(Table43[[#This Row],[kode  2 Digit                (hrf+No)]],Table43[[#This Row],[kode  2 Digit                (Nomor)]],Table43[[#This Row],[kode  1 Digit                (Nomor)]])</f>
        <v>K1253</v>
      </c>
      <c r="L394" s="4" t="str">
        <f t="shared" si="18"/>
        <v>K1253002010010</v>
      </c>
      <c r="M394" s="11">
        <f t="shared" si="19"/>
        <v>14</v>
      </c>
      <c r="N394" s="14" t="str">
        <f>IF(AF394&lt;&gt;"",TRIM(UPPER(CONCATENATE(P394," ",R394," ",T394," ",V394," ",X394," ",Z394," ","X"," ",Table43[[#This Row],[ISI/CTN]]," ",AF394," ",AB394," ",AD394," ",AH394))),TRIM(UPPER(CONCATENATE(P394," ",R394," ",T394," ",V394," ",X394," ",Z394," ","X"," ",Table43[[#This Row],[ISI/CTN]]," ",AB394," ",AD394," ",AH394))))</f>
        <v>KNF MASTER KIDS SPRAY COL. BEN-10 100ML X 36 BTL</v>
      </c>
      <c r="O394" s="11">
        <f t="shared" si="20"/>
        <v>48</v>
      </c>
      <c r="P394" s="4" t="s">
        <v>97</v>
      </c>
      <c r="Q394" s="7" t="s">
        <v>98</v>
      </c>
      <c r="R394" s="4" t="s">
        <v>3839</v>
      </c>
      <c r="S394" s="44" t="s">
        <v>3840</v>
      </c>
      <c r="T394" s="45" t="s">
        <v>3850</v>
      </c>
      <c r="U394" s="7" t="s">
        <v>3590</v>
      </c>
      <c r="V394" s="45" t="s">
        <v>2961</v>
      </c>
      <c r="W394" s="44" t="s">
        <v>2900</v>
      </c>
      <c r="X394" s="4" t="s">
        <v>3842</v>
      </c>
      <c r="Y394" s="46" t="s">
        <v>2472</v>
      </c>
      <c r="Z394" s="4" t="s">
        <v>3588</v>
      </c>
      <c r="AA394" s="46" t="s">
        <v>2487</v>
      </c>
      <c r="AB394" s="4" t="s">
        <v>357</v>
      </c>
      <c r="AC394" s="7" t="s">
        <v>2656</v>
      </c>
      <c r="AD394" s="4" t="s">
        <v>2961</v>
      </c>
      <c r="AE394" s="7" t="s">
        <v>2900</v>
      </c>
      <c r="AF394" s="7" t="s">
        <v>2961</v>
      </c>
      <c r="AG394" s="7" t="s">
        <v>2961</v>
      </c>
      <c r="AI394" s="7" t="s">
        <v>4100</v>
      </c>
      <c r="AJ394" s="7" t="s">
        <v>2656</v>
      </c>
      <c r="AK394" s="41">
        <f>Table43[[#This Row],[Harga Jual Pcs GT
(-PPN)]]-(Table43[[#This Row],[Harga Jual Pcs GT
(-PPN)]]*10%)</f>
        <v>0</v>
      </c>
      <c r="AL394" s="42">
        <f>Table43[[#This Row],[Harga Beli Pcs
(-PPN)]]*Table43[[#This Row],[ISI/CTN]]</f>
        <v>0</v>
      </c>
      <c r="AM394" s="42">
        <f>Table43[[#This Row],[Harga Beli Pcs
(-PPN)]]*1.11</f>
        <v>0</v>
      </c>
      <c r="AN394" s="42">
        <f>Table43[[#This Row],[Harga Beli Krt
(- PPN)]]*1.11</f>
        <v>0</v>
      </c>
      <c r="AO394" s="42"/>
      <c r="AP394" s="42">
        <f>Table43[[#This Row],[Harga Jual Pcs GT
(-PPN)]]*Table43[[#This Row],[ISI/CTN]]</f>
        <v>0</v>
      </c>
      <c r="AQ394" s="42">
        <f>Table43[[#This Row],[Harga Jual Pcs GT
(-PPN)]]*1.11</f>
        <v>0</v>
      </c>
      <c r="AR394" s="42">
        <f>Table43[[#This Row],[Harga Jual Krt GT
(- PPN)]]*1.11</f>
        <v>0</v>
      </c>
      <c r="AS394" s="42">
        <f>Table43[[#This Row],[Harga Jual Pcs GT
(-PPN)]]</f>
        <v>0</v>
      </c>
      <c r="AT394" s="42">
        <f>(Table43[[#This Row],[Harga Jual Pcs MT
(-PPN)]]*Table43[[#This Row],[ISI/CTN]])</f>
        <v>0</v>
      </c>
      <c r="AU394" s="42">
        <f>Table43[[#This Row],[Harga Jual Pcs MT
(-PPN)]]*1.11</f>
        <v>0</v>
      </c>
      <c r="AV394" s="42">
        <f>Table43[[#This Row],[Harga Jual Pcs MT
(+PPN)]]*Table43[[#This Row],[ISI/CTN]]</f>
        <v>0</v>
      </c>
      <c r="AW394" s="47"/>
      <c r="AX394" s="7"/>
      <c r="AY394" s="7" t="str">
        <f ca="1">IF(TODAY()-Table43[[#This Row],[Efektif
Pembuatan]]&gt;60,"Lama","Baru")</f>
        <v>Lama</v>
      </c>
      <c r="AZ394" s="7" t="str">
        <f ca="1">IF(TODAY()-Table43[[#This Row],[Efektif Naik Harga]]&lt;30,"Naik","Sama")</f>
        <v>Sama</v>
      </c>
      <c r="BA394" s="7" t="str">
        <f>IF(Table43[[#This Row],[Kode BARANG Win2]]&lt;&gt;"","IDR","")</f>
        <v>IDR</v>
      </c>
      <c r="BB394" s="7" t="str">
        <f>CONCATENATE(Table43[[#This Row],[kode  1 Digit
(Nomor)]],Table43[[#This Row],[kode  4 Digit                (Nomor)]])</f>
        <v>10100</v>
      </c>
      <c r="BC394" s="7" t="str">
        <f>Table43[[#This Row],[Nama            Gramasi atau Jumlah Pack per CTN]]</f>
        <v>100ML</v>
      </c>
      <c r="BD394" s="7"/>
      <c r="BE394" s="7"/>
      <c r="BF394" s="4" t="str">
        <f>IF(Table43[[#This Row],[SATUAN Fix Win]]&lt;&gt;"","KRT")</f>
        <v>KRT</v>
      </c>
      <c r="BG394" s="4" t="str">
        <f>IF(Table43[[#This Row],[SATUAN Fix Win]]&lt;&gt;"","GD01")</f>
        <v>GD01</v>
      </c>
      <c r="BH394" s="4">
        <f>IF(Table43[[#This Row],[SATUAN Fix Win]]&lt;&gt;"",11611)</f>
        <v>11611</v>
      </c>
      <c r="BI394" s="4">
        <f>IF(Table43[[#This Row],[SATUAN Fix Win]]&lt;&gt;"",11612)</f>
        <v>11612</v>
      </c>
      <c r="BJ394" s="48"/>
      <c r="BK394" s="4">
        <f>IF(Table43[[#This Row],[SATUAN Fix Win]]&lt;&gt;"",1)</f>
        <v>1</v>
      </c>
    </row>
    <row r="395" spans="1:63">
      <c r="A395" s="4" t="str">
        <f>CONCATENATE(Table43[[#This Row],[Kode BARANG Win2]],Table43[[#This Row],[No. Urut
Item Sama]])</f>
        <v>K12530030100101</v>
      </c>
      <c r="B395" s="7">
        <v>1</v>
      </c>
      <c r="D395" s="28" t="s">
        <v>642</v>
      </c>
      <c r="E395" s="28"/>
      <c r="F395" s="28" t="s">
        <v>3175</v>
      </c>
      <c r="G395" s="78">
        <v>36</v>
      </c>
      <c r="H395" s="43"/>
      <c r="I395" s="28" t="str">
        <f>Table43[[#This Row],[Nama Jenis Kemasan]]</f>
        <v>BTL</v>
      </c>
      <c r="J395" s="4" t="str">
        <f>TRIM(CONCATENATE(Table43[[#This Row],[Nama            KLP]]," ",Table43[[#This Row],[Nama            Sub KLP]]))</f>
        <v>MASTER KIDS SPRAY COL.</v>
      </c>
      <c r="K395" s="4" t="str">
        <f>CONCATENATE(Table43[[#This Row],[kode  2 Digit                (hrf+No)]],Table43[[#This Row],[kode  2 Digit                (Nomor)]],Table43[[#This Row],[kode  1 Digit                (Nomor)]])</f>
        <v>K1253</v>
      </c>
      <c r="L395" s="4" t="str">
        <f t="shared" si="18"/>
        <v>K1253003010010</v>
      </c>
      <c r="M395" s="11">
        <f t="shared" si="19"/>
        <v>14</v>
      </c>
      <c r="N395" s="14" t="str">
        <f>IF(AF395&lt;&gt;"",TRIM(UPPER(CONCATENATE(P395," ",R395," ",T395," ",V395," ",X395," ",Z395," ","X"," ",Table43[[#This Row],[ISI/CTN]]," ",AF395," ",AB395," ",AD395," ",AH395))),TRIM(UPPER(CONCATENATE(P395," ",R395," ",T395," ",V395," ",X395," ",Z395," ","X"," ",Table43[[#This Row],[ISI/CTN]]," ",AB395," ",AD395," ",AH395))))</f>
        <v>KNF MASTER KIDS SPRAY COL. BUMBLEBEE 100ML X 36 BTL</v>
      </c>
      <c r="O395" s="11">
        <f t="shared" si="20"/>
        <v>51</v>
      </c>
      <c r="P395" s="4" t="s">
        <v>97</v>
      </c>
      <c r="Q395" s="7" t="s">
        <v>98</v>
      </c>
      <c r="R395" s="4" t="s">
        <v>3839</v>
      </c>
      <c r="S395" s="44" t="s">
        <v>3840</v>
      </c>
      <c r="T395" s="45" t="s">
        <v>3850</v>
      </c>
      <c r="U395" s="7" t="s">
        <v>3590</v>
      </c>
      <c r="V395" s="45" t="s">
        <v>2961</v>
      </c>
      <c r="W395" s="44" t="s">
        <v>2900</v>
      </c>
      <c r="X395" s="4" t="s">
        <v>3633</v>
      </c>
      <c r="Y395" s="46" t="s">
        <v>2473</v>
      </c>
      <c r="Z395" s="4" t="s">
        <v>3588</v>
      </c>
      <c r="AA395" s="46" t="s">
        <v>2487</v>
      </c>
      <c r="AB395" s="4" t="s">
        <v>357</v>
      </c>
      <c r="AC395" s="7" t="s">
        <v>2656</v>
      </c>
      <c r="AD395" s="4" t="s">
        <v>2961</v>
      </c>
      <c r="AE395" s="7" t="s">
        <v>2900</v>
      </c>
      <c r="AF395" s="7" t="s">
        <v>2961</v>
      </c>
      <c r="AG395" s="7" t="s">
        <v>2961</v>
      </c>
      <c r="AI395" s="7" t="s">
        <v>4100</v>
      </c>
      <c r="AJ395" s="7" t="s">
        <v>2656</v>
      </c>
      <c r="AK395" s="41">
        <f>Table43[[#This Row],[Harga Jual Pcs GT
(-PPN)]]-(Table43[[#This Row],[Harga Jual Pcs GT
(-PPN)]]*10%)</f>
        <v>0</v>
      </c>
      <c r="AL395" s="42">
        <f>Table43[[#This Row],[Harga Beli Pcs
(-PPN)]]*Table43[[#This Row],[ISI/CTN]]</f>
        <v>0</v>
      </c>
      <c r="AM395" s="42">
        <f>Table43[[#This Row],[Harga Beli Pcs
(-PPN)]]*1.11</f>
        <v>0</v>
      </c>
      <c r="AN395" s="42">
        <f>Table43[[#This Row],[Harga Beli Krt
(- PPN)]]*1.11</f>
        <v>0</v>
      </c>
      <c r="AO395" s="42"/>
      <c r="AP395" s="42">
        <f>Table43[[#This Row],[Harga Jual Pcs GT
(-PPN)]]*Table43[[#This Row],[ISI/CTN]]</f>
        <v>0</v>
      </c>
      <c r="AQ395" s="42">
        <f>Table43[[#This Row],[Harga Jual Pcs GT
(-PPN)]]*1.11</f>
        <v>0</v>
      </c>
      <c r="AR395" s="42">
        <f>Table43[[#This Row],[Harga Jual Krt GT
(- PPN)]]*1.11</f>
        <v>0</v>
      </c>
      <c r="AS395" s="42">
        <f>Table43[[#This Row],[Harga Jual Pcs GT
(-PPN)]]</f>
        <v>0</v>
      </c>
      <c r="AT395" s="42">
        <f>(Table43[[#This Row],[Harga Jual Pcs MT
(-PPN)]]*Table43[[#This Row],[ISI/CTN]])</f>
        <v>0</v>
      </c>
      <c r="AU395" s="42">
        <f>Table43[[#This Row],[Harga Jual Pcs MT
(-PPN)]]*1.11</f>
        <v>0</v>
      </c>
      <c r="AV395" s="42">
        <f>Table43[[#This Row],[Harga Jual Pcs MT
(+PPN)]]*Table43[[#This Row],[ISI/CTN]]</f>
        <v>0</v>
      </c>
      <c r="AW395" s="47"/>
      <c r="AX395" s="7"/>
      <c r="AY395" s="7" t="str">
        <f ca="1">IF(TODAY()-Table43[[#This Row],[Efektif
Pembuatan]]&gt;60,"Lama","Baru")</f>
        <v>Lama</v>
      </c>
      <c r="AZ395" s="7" t="str">
        <f ca="1">IF(TODAY()-Table43[[#This Row],[Efektif Naik Harga]]&lt;30,"Naik","Sama")</f>
        <v>Sama</v>
      </c>
      <c r="BA395" s="7" t="str">
        <f>IF(Table43[[#This Row],[Kode BARANG Win2]]&lt;&gt;"","IDR","")</f>
        <v>IDR</v>
      </c>
      <c r="BB395" s="7" t="str">
        <f>CONCATENATE(Table43[[#This Row],[kode  1 Digit
(Nomor)]],Table43[[#This Row],[kode  4 Digit                (Nomor)]])</f>
        <v>10100</v>
      </c>
      <c r="BC395" s="7" t="str">
        <f>Table43[[#This Row],[Nama            Gramasi atau Jumlah Pack per CTN]]</f>
        <v>100ML</v>
      </c>
      <c r="BD395" s="7"/>
      <c r="BE395" s="7"/>
      <c r="BF395" s="4" t="str">
        <f>IF(Table43[[#This Row],[SATUAN Fix Win]]&lt;&gt;"","KRT")</f>
        <v>KRT</v>
      </c>
      <c r="BG395" s="4" t="str">
        <f>IF(Table43[[#This Row],[SATUAN Fix Win]]&lt;&gt;"","GD01")</f>
        <v>GD01</v>
      </c>
      <c r="BH395" s="4">
        <f>IF(Table43[[#This Row],[SATUAN Fix Win]]&lt;&gt;"",11611)</f>
        <v>11611</v>
      </c>
      <c r="BI395" s="4">
        <f>IF(Table43[[#This Row],[SATUAN Fix Win]]&lt;&gt;"",11612)</f>
        <v>11612</v>
      </c>
      <c r="BJ395" s="48"/>
      <c r="BK395" s="4">
        <f>IF(Table43[[#This Row],[SATUAN Fix Win]]&lt;&gt;"",1)</f>
        <v>1</v>
      </c>
    </row>
    <row r="396" spans="1:63">
      <c r="A396" s="4" t="str">
        <f>CONCATENATE(Table43[[#This Row],[Kode BARANG Win2]],Table43[[#This Row],[No. Urut
Item Sama]])</f>
        <v>K12530040100101</v>
      </c>
      <c r="B396" s="7">
        <v>1</v>
      </c>
      <c r="D396" s="28" t="s">
        <v>640</v>
      </c>
      <c r="E396" s="28"/>
      <c r="F396" s="28" t="s">
        <v>3176</v>
      </c>
      <c r="G396" s="78">
        <v>36</v>
      </c>
      <c r="H396" s="43"/>
      <c r="I396" s="28" t="str">
        <f>Table43[[#This Row],[Nama Jenis Kemasan]]</f>
        <v>BTL</v>
      </c>
      <c r="J396" s="4" t="str">
        <f>TRIM(CONCATENATE(Table43[[#This Row],[Nama            KLP]]," ",Table43[[#This Row],[Nama            Sub KLP]]))</f>
        <v>MASTER KIDS SPRAY COL.</v>
      </c>
      <c r="K396" s="4" t="str">
        <f>CONCATENATE(Table43[[#This Row],[kode  2 Digit                (hrf+No)]],Table43[[#This Row],[kode  2 Digit                (Nomor)]],Table43[[#This Row],[kode  1 Digit                (Nomor)]])</f>
        <v>K1253</v>
      </c>
      <c r="L396" s="4" t="str">
        <f t="shared" si="18"/>
        <v>K1253004010010</v>
      </c>
      <c r="M396" s="11">
        <f t="shared" si="19"/>
        <v>14</v>
      </c>
      <c r="N396" s="14" t="str">
        <f>IF(AF396&lt;&gt;"",TRIM(UPPER(CONCATENATE(P396," ",R396," ",T396," ",V396," ",X396," ",Z396," ","X"," ",Table43[[#This Row],[ISI/CTN]]," ",AF396," ",AB396," ",AD396," ",AH396))),TRIM(UPPER(CONCATENATE(P396," ",R396," ",T396," ",V396," ",X396," ",Z396," ","X"," ",Table43[[#This Row],[ISI/CTN]]," ",AB396," ",AD396," ",AH396))))</f>
        <v>KNF MASTER KIDS SPRAY COL. C.AMERICA 100ML X 36 BTL</v>
      </c>
      <c r="O396" s="11">
        <f t="shared" si="20"/>
        <v>51</v>
      </c>
      <c r="P396" s="4" t="s">
        <v>97</v>
      </c>
      <c r="Q396" s="7" t="s">
        <v>98</v>
      </c>
      <c r="R396" s="4" t="s">
        <v>3839</v>
      </c>
      <c r="S396" s="44" t="s">
        <v>3840</v>
      </c>
      <c r="T396" s="45" t="s">
        <v>3850</v>
      </c>
      <c r="U396" s="7" t="s">
        <v>3590</v>
      </c>
      <c r="V396" s="45" t="s">
        <v>2961</v>
      </c>
      <c r="W396" s="44" t="s">
        <v>2900</v>
      </c>
      <c r="X396" s="4" t="s">
        <v>3851</v>
      </c>
      <c r="Y396" s="46" t="s">
        <v>2474</v>
      </c>
      <c r="Z396" s="4" t="s">
        <v>3588</v>
      </c>
      <c r="AA396" s="46" t="s">
        <v>2487</v>
      </c>
      <c r="AB396" s="4" t="s">
        <v>357</v>
      </c>
      <c r="AC396" s="7" t="s">
        <v>2656</v>
      </c>
      <c r="AD396" s="4" t="s">
        <v>2961</v>
      </c>
      <c r="AE396" s="7" t="s">
        <v>2900</v>
      </c>
      <c r="AF396" s="7" t="s">
        <v>2961</v>
      </c>
      <c r="AG396" s="7" t="s">
        <v>2961</v>
      </c>
      <c r="AI396" s="7" t="s">
        <v>4100</v>
      </c>
      <c r="AJ396" s="7" t="s">
        <v>2656</v>
      </c>
      <c r="AK396" s="41">
        <f>Table43[[#This Row],[Harga Jual Pcs GT
(-PPN)]]-(Table43[[#This Row],[Harga Jual Pcs GT
(-PPN)]]*10%)</f>
        <v>0</v>
      </c>
      <c r="AL396" s="42">
        <f>Table43[[#This Row],[Harga Beli Pcs
(-PPN)]]*Table43[[#This Row],[ISI/CTN]]</f>
        <v>0</v>
      </c>
      <c r="AM396" s="42">
        <f>Table43[[#This Row],[Harga Beli Pcs
(-PPN)]]*1.11</f>
        <v>0</v>
      </c>
      <c r="AN396" s="42">
        <f>Table43[[#This Row],[Harga Beli Krt
(- PPN)]]*1.11</f>
        <v>0</v>
      </c>
      <c r="AO396" s="42"/>
      <c r="AP396" s="42">
        <f>Table43[[#This Row],[Harga Jual Pcs GT
(-PPN)]]*Table43[[#This Row],[ISI/CTN]]</f>
        <v>0</v>
      </c>
      <c r="AQ396" s="42">
        <f>Table43[[#This Row],[Harga Jual Pcs GT
(-PPN)]]*1.11</f>
        <v>0</v>
      </c>
      <c r="AR396" s="42">
        <f>Table43[[#This Row],[Harga Jual Krt GT
(- PPN)]]*1.11</f>
        <v>0</v>
      </c>
      <c r="AS396" s="42">
        <f>Table43[[#This Row],[Harga Jual Pcs GT
(-PPN)]]</f>
        <v>0</v>
      </c>
      <c r="AT396" s="42">
        <f>(Table43[[#This Row],[Harga Jual Pcs MT
(-PPN)]]*Table43[[#This Row],[ISI/CTN]])</f>
        <v>0</v>
      </c>
      <c r="AU396" s="42">
        <f>Table43[[#This Row],[Harga Jual Pcs MT
(-PPN)]]*1.11</f>
        <v>0</v>
      </c>
      <c r="AV396" s="42">
        <f>Table43[[#This Row],[Harga Jual Pcs MT
(+PPN)]]*Table43[[#This Row],[ISI/CTN]]</f>
        <v>0</v>
      </c>
      <c r="AW396" s="47"/>
      <c r="AX396" s="7"/>
      <c r="AY396" s="7" t="str">
        <f ca="1">IF(TODAY()-Table43[[#This Row],[Efektif
Pembuatan]]&gt;60,"Lama","Baru")</f>
        <v>Lama</v>
      </c>
      <c r="AZ396" s="7" t="str">
        <f ca="1">IF(TODAY()-Table43[[#This Row],[Efektif Naik Harga]]&lt;30,"Naik","Sama")</f>
        <v>Sama</v>
      </c>
      <c r="BA396" s="7" t="str">
        <f>IF(Table43[[#This Row],[Kode BARANG Win2]]&lt;&gt;"","IDR","")</f>
        <v>IDR</v>
      </c>
      <c r="BB396" s="7" t="str">
        <f>CONCATENATE(Table43[[#This Row],[kode  1 Digit
(Nomor)]],Table43[[#This Row],[kode  4 Digit                (Nomor)]])</f>
        <v>10100</v>
      </c>
      <c r="BC396" s="7" t="str">
        <f>Table43[[#This Row],[Nama            Gramasi atau Jumlah Pack per CTN]]</f>
        <v>100ML</v>
      </c>
      <c r="BD396" s="7"/>
      <c r="BE396" s="7"/>
      <c r="BF396" s="4" t="str">
        <f>IF(Table43[[#This Row],[SATUAN Fix Win]]&lt;&gt;"","KRT")</f>
        <v>KRT</v>
      </c>
      <c r="BG396" s="4" t="str">
        <f>IF(Table43[[#This Row],[SATUAN Fix Win]]&lt;&gt;"","GD01")</f>
        <v>GD01</v>
      </c>
      <c r="BH396" s="4">
        <f>IF(Table43[[#This Row],[SATUAN Fix Win]]&lt;&gt;"",11611)</f>
        <v>11611</v>
      </c>
      <c r="BI396" s="4">
        <f>IF(Table43[[#This Row],[SATUAN Fix Win]]&lt;&gt;"",11612)</f>
        <v>11612</v>
      </c>
      <c r="BJ396" s="48"/>
      <c r="BK396" s="4">
        <f>IF(Table43[[#This Row],[SATUAN Fix Win]]&lt;&gt;"",1)</f>
        <v>1</v>
      </c>
    </row>
    <row r="397" spans="1:63">
      <c r="A397" s="4" t="str">
        <f>CONCATENATE(Table43[[#This Row],[Kode BARANG Win2]],Table43[[#This Row],[No. Urut
Item Sama]])</f>
        <v>K12530050100101</v>
      </c>
      <c r="B397" s="7">
        <v>1</v>
      </c>
      <c r="D397" s="28" t="s">
        <v>641</v>
      </c>
      <c r="E397" s="28"/>
      <c r="F397" s="28" t="s">
        <v>3177</v>
      </c>
      <c r="G397" s="78">
        <v>36</v>
      </c>
      <c r="H397" s="43"/>
      <c r="I397" s="28" t="str">
        <f>Table43[[#This Row],[Nama Jenis Kemasan]]</f>
        <v>BTL</v>
      </c>
      <c r="J397" s="4" t="str">
        <f>TRIM(CONCATENATE(Table43[[#This Row],[Nama            KLP]]," ",Table43[[#This Row],[Nama            Sub KLP]]))</f>
        <v>MASTER KIDS SPRAY COL.</v>
      </c>
      <c r="K397" s="4" t="str">
        <f>CONCATENATE(Table43[[#This Row],[kode  2 Digit                (hrf+No)]],Table43[[#This Row],[kode  2 Digit                (Nomor)]],Table43[[#This Row],[kode  1 Digit                (Nomor)]])</f>
        <v>K1253</v>
      </c>
      <c r="L397" s="4" t="str">
        <f t="shared" si="18"/>
        <v>K1253005010010</v>
      </c>
      <c r="M397" s="11">
        <f t="shared" si="19"/>
        <v>14</v>
      </c>
      <c r="N397" s="14" t="str">
        <f>IF(AF397&lt;&gt;"",TRIM(UPPER(CONCATENATE(P397," ",R397," ",T397," ",V397," ",X397," ",Z397," ","X"," ",Table43[[#This Row],[ISI/CTN]]," ",AF397," ",AB397," ",AD397," ",AH397))),TRIM(UPPER(CONCATENATE(P397," ",R397," ",T397," ",V397," ",X397," ",Z397," ","X"," ",Table43[[#This Row],[ISI/CTN]]," ",AB397," ",AD397," ",AH397))))</f>
        <v>KNF MASTER KIDS SPRAY COL. IRON MAN 100ML X 36 BTL</v>
      </c>
      <c r="O397" s="11">
        <f t="shared" si="20"/>
        <v>50</v>
      </c>
      <c r="P397" s="4" t="s">
        <v>97</v>
      </c>
      <c r="Q397" s="7" t="s">
        <v>98</v>
      </c>
      <c r="R397" s="4" t="s">
        <v>3839</v>
      </c>
      <c r="S397" s="44" t="s">
        <v>3840</v>
      </c>
      <c r="T397" s="45" t="s">
        <v>3850</v>
      </c>
      <c r="U397" s="7" t="s">
        <v>3590</v>
      </c>
      <c r="V397" s="45" t="s">
        <v>2961</v>
      </c>
      <c r="W397" s="44" t="s">
        <v>2900</v>
      </c>
      <c r="X397" s="4" t="s">
        <v>3844</v>
      </c>
      <c r="Y397" s="46" t="s">
        <v>2475</v>
      </c>
      <c r="Z397" s="4" t="s">
        <v>3588</v>
      </c>
      <c r="AA397" s="46" t="s">
        <v>2487</v>
      </c>
      <c r="AB397" s="4" t="s">
        <v>357</v>
      </c>
      <c r="AC397" s="7" t="s">
        <v>2656</v>
      </c>
      <c r="AD397" s="4" t="s">
        <v>2961</v>
      </c>
      <c r="AE397" s="7" t="s">
        <v>2900</v>
      </c>
      <c r="AF397" s="7" t="s">
        <v>2961</v>
      </c>
      <c r="AG397" s="7" t="s">
        <v>2961</v>
      </c>
      <c r="AI397" s="7" t="s">
        <v>4100</v>
      </c>
      <c r="AJ397" s="7" t="s">
        <v>2656</v>
      </c>
      <c r="AK397" s="41">
        <f>Table43[[#This Row],[Harga Jual Pcs GT
(-PPN)]]-(Table43[[#This Row],[Harga Jual Pcs GT
(-PPN)]]*10%)</f>
        <v>0</v>
      </c>
      <c r="AL397" s="42">
        <f>Table43[[#This Row],[Harga Beli Pcs
(-PPN)]]*Table43[[#This Row],[ISI/CTN]]</f>
        <v>0</v>
      </c>
      <c r="AM397" s="42">
        <f>Table43[[#This Row],[Harga Beli Pcs
(-PPN)]]*1.11</f>
        <v>0</v>
      </c>
      <c r="AN397" s="42">
        <f>Table43[[#This Row],[Harga Beli Krt
(- PPN)]]*1.11</f>
        <v>0</v>
      </c>
      <c r="AO397" s="42"/>
      <c r="AP397" s="42">
        <f>Table43[[#This Row],[Harga Jual Pcs GT
(-PPN)]]*Table43[[#This Row],[ISI/CTN]]</f>
        <v>0</v>
      </c>
      <c r="AQ397" s="42">
        <f>Table43[[#This Row],[Harga Jual Pcs GT
(-PPN)]]*1.11</f>
        <v>0</v>
      </c>
      <c r="AR397" s="42">
        <f>Table43[[#This Row],[Harga Jual Krt GT
(- PPN)]]*1.11</f>
        <v>0</v>
      </c>
      <c r="AS397" s="42">
        <f>Table43[[#This Row],[Harga Jual Pcs GT
(-PPN)]]</f>
        <v>0</v>
      </c>
      <c r="AT397" s="42">
        <f>(Table43[[#This Row],[Harga Jual Pcs MT
(-PPN)]]*Table43[[#This Row],[ISI/CTN]])</f>
        <v>0</v>
      </c>
      <c r="AU397" s="42">
        <f>Table43[[#This Row],[Harga Jual Pcs MT
(-PPN)]]*1.11</f>
        <v>0</v>
      </c>
      <c r="AV397" s="42">
        <f>Table43[[#This Row],[Harga Jual Pcs MT
(+PPN)]]*Table43[[#This Row],[ISI/CTN]]</f>
        <v>0</v>
      </c>
      <c r="AW397" s="47"/>
      <c r="AX397" s="7"/>
      <c r="AY397" s="7" t="str">
        <f ca="1">IF(TODAY()-Table43[[#This Row],[Efektif
Pembuatan]]&gt;60,"Lama","Baru")</f>
        <v>Lama</v>
      </c>
      <c r="AZ397" s="7" t="str">
        <f ca="1">IF(TODAY()-Table43[[#This Row],[Efektif Naik Harga]]&lt;30,"Naik","Sama")</f>
        <v>Sama</v>
      </c>
      <c r="BA397" s="7" t="str">
        <f>IF(Table43[[#This Row],[Kode BARANG Win2]]&lt;&gt;"","IDR","")</f>
        <v>IDR</v>
      </c>
      <c r="BB397" s="7" t="str">
        <f>CONCATENATE(Table43[[#This Row],[kode  1 Digit
(Nomor)]],Table43[[#This Row],[kode  4 Digit                (Nomor)]])</f>
        <v>10100</v>
      </c>
      <c r="BC397" s="7" t="str">
        <f>Table43[[#This Row],[Nama            Gramasi atau Jumlah Pack per CTN]]</f>
        <v>100ML</v>
      </c>
      <c r="BD397" s="7"/>
      <c r="BE397" s="7"/>
      <c r="BF397" s="4" t="str">
        <f>IF(Table43[[#This Row],[SATUAN Fix Win]]&lt;&gt;"","KRT")</f>
        <v>KRT</v>
      </c>
      <c r="BG397" s="4" t="str">
        <f>IF(Table43[[#This Row],[SATUAN Fix Win]]&lt;&gt;"","GD01")</f>
        <v>GD01</v>
      </c>
      <c r="BH397" s="4">
        <f>IF(Table43[[#This Row],[SATUAN Fix Win]]&lt;&gt;"",11611)</f>
        <v>11611</v>
      </c>
      <c r="BI397" s="4">
        <f>IF(Table43[[#This Row],[SATUAN Fix Win]]&lt;&gt;"",11612)</f>
        <v>11612</v>
      </c>
      <c r="BJ397" s="48"/>
      <c r="BK397" s="4">
        <f>IF(Table43[[#This Row],[SATUAN Fix Win]]&lt;&gt;"",1)</f>
        <v>1</v>
      </c>
    </row>
    <row r="398" spans="1:63">
      <c r="A398" s="4" t="str">
        <f>CONCATENATE(Table43[[#This Row],[Kode BARANG Win2]],Table43[[#This Row],[No. Urut
Item Sama]])</f>
        <v>K12530060100101</v>
      </c>
      <c r="B398" s="7">
        <v>1</v>
      </c>
      <c r="D398" s="28" t="s">
        <v>643</v>
      </c>
      <c r="E398" s="28"/>
      <c r="F398" s="28" t="s">
        <v>3178</v>
      </c>
      <c r="G398" s="78">
        <v>36</v>
      </c>
      <c r="H398" s="43"/>
      <c r="I398" s="28" t="str">
        <f>Table43[[#This Row],[Nama Jenis Kemasan]]</f>
        <v>BTL</v>
      </c>
      <c r="J398" s="4" t="str">
        <f>TRIM(CONCATENATE(Table43[[#This Row],[Nama            KLP]]," ",Table43[[#This Row],[Nama            Sub KLP]]))</f>
        <v>MASTER KIDS SPRAY COL.</v>
      </c>
      <c r="K398" s="4" t="str">
        <f>CONCATENATE(Table43[[#This Row],[kode  2 Digit                (hrf+No)]],Table43[[#This Row],[kode  2 Digit                (Nomor)]],Table43[[#This Row],[kode  1 Digit                (Nomor)]])</f>
        <v>K1253</v>
      </c>
      <c r="L398" s="4" t="str">
        <f t="shared" si="18"/>
        <v>K1253006010010</v>
      </c>
      <c r="M398" s="11">
        <f t="shared" si="19"/>
        <v>14</v>
      </c>
      <c r="N398" s="14" t="str">
        <f>IF(AF398&lt;&gt;"",TRIM(UPPER(CONCATENATE(P398," ",R398," ",T398," ",V398," ",X398," ",Z398," ","X"," ",Table43[[#This Row],[ISI/CTN]]," ",AF398," ",AB398," ",AD398," ",AH398))),TRIM(UPPER(CONCATENATE(P398," ",R398," ",T398," ",V398," ",X398," ",Z398," ","X"," ",Table43[[#This Row],[ISI/CTN]]," ",AB398," ",AD398," ",AH398))))</f>
        <v>KNF MASTER KIDS SPRAY COL. OPT-PRIME 100ML X 36 BTL</v>
      </c>
      <c r="O398" s="11">
        <f t="shared" si="20"/>
        <v>51</v>
      </c>
      <c r="P398" s="4" t="s">
        <v>97</v>
      </c>
      <c r="Q398" s="7" t="s">
        <v>98</v>
      </c>
      <c r="R398" s="4" t="s">
        <v>3839</v>
      </c>
      <c r="S398" s="44" t="s">
        <v>3840</v>
      </c>
      <c r="T398" s="45" t="s">
        <v>3850</v>
      </c>
      <c r="U398" s="7" t="s">
        <v>3590</v>
      </c>
      <c r="V398" s="45" t="s">
        <v>2961</v>
      </c>
      <c r="W398" s="44" t="s">
        <v>2900</v>
      </c>
      <c r="X398" s="4" t="s">
        <v>3852</v>
      </c>
      <c r="Y398" s="46" t="s">
        <v>2476</v>
      </c>
      <c r="Z398" s="4" t="s">
        <v>3588</v>
      </c>
      <c r="AA398" s="46" t="s">
        <v>2487</v>
      </c>
      <c r="AB398" s="4" t="s">
        <v>357</v>
      </c>
      <c r="AC398" s="7" t="s">
        <v>2656</v>
      </c>
      <c r="AD398" s="4" t="s">
        <v>2961</v>
      </c>
      <c r="AE398" s="7" t="s">
        <v>2900</v>
      </c>
      <c r="AF398" s="7" t="s">
        <v>2961</v>
      </c>
      <c r="AG398" s="7" t="s">
        <v>2961</v>
      </c>
      <c r="AI398" s="7" t="s">
        <v>4100</v>
      </c>
      <c r="AJ398" s="7" t="s">
        <v>2656</v>
      </c>
      <c r="AK398" s="41">
        <f>Table43[[#This Row],[Harga Jual Pcs GT
(-PPN)]]-(Table43[[#This Row],[Harga Jual Pcs GT
(-PPN)]]*10%)</f>
        <v>0</v>
      </c>
      <c r="AL398" s="42">
        <f>Table43[[#This Row],[Harga Beli Pcs
(-PPN)]]*Table43[[#This Row],[ISI/CTN]]</f>
        <v>0</v>
      </c>
      <c r="AM398" s="42">
        <f>Table43[[#This Row],[Harga Beli Pcs
(-PPN)]]*1.11</f>
        <v>0</v>
      </c>
      <c r="AN398" s="42">
        <f>Table43[[#This Row],[Harga Beli Krt
(- PPN)]]*1.11</f>
        <v>0</v>
      </c>
      <c r="AO398" s="42"/>
      <c r="AP398" s="42">
        <f>Table43[[#This Row],[Harga Jual Pcs GT
(-PPN)]]*Table43[[#This Row],[ISI/CTN]]</f>
        <v>0</v>
      </c>
      <c r="AQ398" s="42">
        <f>Table43[[#This Row],[Harga Jual Pcs GT
(-PPN)]]*1.11</f>
        <v>0</v>
      </c>
      <c r="AR398" s="42">
        <f>Table43[[#This Row],[Harga Jual Krt GT
(- PPN)]]*1.11</f>
        <v>0</v>
      </c>
      <c r="AS398" s="42">
        <f>Table43[[#This Row],[Harga Jual Pcs GT
(-PPN)]]</f>
        <v>0</v>
      </c>
      <c r="AT398" s="42">
        <f>(Table43[[#This Row],[Harga Jual Pcs MT
(-PPN)]]*Table43[[#This Row],[ISI/CTN]])</f>
        <v>0</v>
      </c>
      <c r="AU398" s="42">
        <f>Table43[[#This Row],[Harga Jual Pcs MT
(-PPN)]]*1.11</f>
        <v>0</v>
      </c>
      <c r="AV398" s="42">
        <f>Table43[[#This Row],[Harga Jual Pcs MT
(+PPN)]]*Table43[[#This Row],[ISI/CTN]]</f>
        <v>0</v>
      </c>
      <c r="AW398" s="47"/>
      <c r="AX398" s="7"/>
      <c r="AY398" s="7" t="str">
        <f ca="1">IF(TODAY()-Table43[[#This Row],[Efektif
Pembuatan]]&gt;60,"Lama","Baru")</f>
        <v>Lama</v>
      </c>
      <c r="AZ398" s="7" t="str">
        <f ca="1">IF(TODAY()-Table43[[#This Row],[Efektif Naik Harga]]&lt;30,"Naik","Sama")</f>
        <v>Sama</v>
      </c>
      <c r="BA398" s="7" t="str">
        <f>IF(Table43[[#This Row],[Kode BARANG Win2]]&lt;&gt;"","IDR","")</f>
        <v>IDR</v>
      </c>
      <c r="BB398" s="7" t="str">
        <f>CONCATENATE(Table43[[#This Row],[kode  1 Digit
(Nomor)]],Table43[[#This Row],[kode  4 Digit                (Nomor)]])</f>
        <v>10100</v>
      </c>
      <c r="BC398" s="7" t="str">
        <f>Table43[[#This Row],[Nama            Gramasi atau Jumlah Pack per CTN]]</f>
        <v>100ML</v>
      </c>
      <c r="BD398" s="7"/>
      <c r="BE398" s="7"/>
      <c r="BF398" s="4" t="str">
        <f>IF(Table43[[#This Row],[SATUAN Fix Win]]&lt;&gt;"","KRT")</f>
        <v>KRT</v>
      </c>
      <c r="BG398" s="4" t="str">
        <f>IF(Table43[[#This Row],[SATUAN Fix Win]]&lt;&gt;"","GD01")</f>
        <v>GD01</v>
      </c>
      <c r="BH398" s="4">
        <f>IF(Table43[[#This Row],[SATUAN Fix Win]]&lt;&gt;"",11611)</f>
        <v>11611</v>
      </c>
      <c r="BI398" s="4">
        <f>IF(Table43[[#This Row],[SATUAN Fix Win]]&lt;&gt;"",11612)</f>
        <v>11612</v>
      </c>
      <c r="BJ398" s="48"/>
      <c r="BK398" s="4">
        <f>IF(Table43[[#This Row],[SATUAN Fix Win]]&lt;&gt;"",1)</f>
        <v>1</v>
      </c>
    </row>
    <row r="399" spans="1:63">
      <c r="A399" s="4" t="str">
        <f>CONCATENATE(Table43[[#This Row],[Kode BARANG Win2]],Table43[[#This Row],[No. Urut
Item Sama]])</f>
        <v>K12530070100101</v>
      </c>
      <c r="B399" s="7">
        <v>1</v>
      </c>
      <c r="D399" s="28" t="s">
        <v>637</v>
      </c>
      <c r="E399" s="28"/>
      <c r="F399" s="28" t="s">
        <v>3179</v>
      </c>
      <c r="G399" s="78">
        <v>36</v>
      </c>
      <c r="H399" s="43"/>
      <c r="I399" s="28" t="str">
        <f>Table43[[#This Row],[Nama Jenis Kemasan]]</f>
        <v>BTL</v>
      </c>
      <c r="J399" s="4" t="str">
        <f>TRIM(CONCATENATE(Table43[[#This Row],[Nama            KLP]]," ",Table43[[#This Row],[Nama            Sub KLP]]))</f>
        <v>MASTER KIDS SPRAY COL.</v>
      </c>
      <c r="K399" s="4" t="str">
        <f>CONCATENATE(Table43[[#This Row],[kode  2 Digit                (hrf+No)]],Table43[[#This Row],[kode  2 Digit                (Nomor)]],Table43[[#This Row],[kode  1 Digit                (Nomor)]])</f>
        <v>K1253</v>
      </c>
      <c r="L399" s="4" t="str">
        <f t="shared" ref="L399:L463" si="21">IF(AG399="",CONCATENATE(Q399,S399,U399,W399,Y399,AA399,AC399,AE399),CONCATENATE(Q399,S399,U399,W399,Y399,AA399,AC399,AG399))</f>
        <v>K1253007010010</v>
      </c>
      <c r="M399" s="11">
        <f t="shared" ref="M399:M463" si="22">LEN(L399)</f>
        <v>14</v>
      </c>
      <c r="N399" s="14" t="str">
        <f>IF(AF399&lt;&gt;"",TRIM(UPPER(CONCATENATE(P399," ",R399," ",T399," ",V399," ",X399," ",Z399," ","X"," ",Table43[[#This Row],[ISI/CTN]]," ",AF399," ",AB399," ",AD399," ",AH399))),TRIM(UPPER(CONCATENATE(P399," ",R399," ",T399," ",V399," ",X399," ",Z399," ","X"," ",Table43[[#This Row],[ISI/CTN]]," ",AB399," ",AD399," ",AH399))))</f>
        <v>KNF MASTER KIDS SPRAY COL. SPIDERMAN 100ML X 36 BTL</v>
      </c>
      <c r="O399" s="11">
        <f t="shared" ref="O399:O463" si="23">LEN(N399)</f>
        <v>51</v>
      </c>
      <c r="P399" s="4" t="s">
        <v>97</v>
      </c>
      <c r="Q399" s="7" t="s">
        <v>98</v>
      </c>
      <c r="R399" s="4" t="s">
        <v>3839</v>
      </c>
      <c r="S399" s="44" t="s">
        <v>3840</v>
      </c>
      <c r="T399" s="45" t="s">
        <v>3850</v>
      </c>
      <c r="U399" s="7" t="s">
        <v>3590</v>
      </c>
      <c r="V399" s="45" t="s">
        <v>2961</v>
      </c>
      <c r="W399" s="44" t="s">
        <v>2900</v>
      </c>
      <c r="X399" s="4" t="s">
        <v>3846</v>
      </c>
      <c r="Y399" s="46" t="s">
        <v>2477</v>
      </c>
      <c r="Z399" s="4" t="s">
        <v>3588</v>
      </c>
      <c r="AA399" s="46" t="s">
        <v>2487</v>
      </c>
      <c r="AB399" s="4" t="s">
        <v>357</v>
      </c>
      <c r="AC399" s="7" t="s">
        <v>2656</v>
      </c>
      <c r="AD399" s="4" t="s">
        <v>2961</v>
      </c>
      <c r="AE399" s="7" t="s">
        <v>2900</v>
      </c>
      <c r="AF399" s="7" t="s">
        <v>2961</v>
      </c>
      <c r="AG399" s="7" t="s">
        <v>2961</v>
      </c>
      <c r="AI399" s="7" t="s">
        <v>4100</v>
      </c>
      <c r="AJ399" s="7" t="s">
        <v>2656</v>
      </c>
      <c r="AK399" s="41">
        <f>Table43[[#This Row],[Harga Jual Pcs GT
(-PPN)]]-(Table43[[#This Row],[Harga Jual Pcs GT
(-PPN)]]*10%)</f>
        <v>0</v>
      </c>
      <c r="AL399" s="42">
        <f>Table43[[#This Row],[Harga Beli Pcs
(-PPN)]]*Table43[[#This Row],[ISI/CTN]]</f>
        <v>0</v>
      </c>
      <c r="AM399" s="42">
        <f>Table43[[#This Row],[Harga Beli Pcs
(-PPN)]]*1.11</f>
        <v>0</v>
      </c>
      <c r="AN399" s="42">
        <f>Table43[[#This Row],[Harga Beli Krt
(- PPN)]]*1.11</f>
        <v>0</v>
      </c>
      <c r="AO399" s="42"/>
      <c r="AP399" s="42">
        <f>Table43[[#This Row],[Harga Jual Pcs GT
(-PPN)]]*Table43[[#This Row],[ISI/CTN]]</f>
        <v>0</v>
      </c>
      <c r="AQ399" s="42">
        <f>Table43[[#This Row],[Harga Jual Pcs GT
(-PPN)]]*1.11</f>
        <v>0</v>
      </c>
      <c r="AR399" s="42">
        <f>Table43[[#This Row],[Harga Jual Krt GT
(- PPN)]]*1.11</f>
        <v>0</v>
      </c>
      <c r="AS399" s="42">
        <f>Table43[[#This Row],[Harga Jual Pcs GT
(-PPN)]]</f>
        <v>0</v>
      </c>
      <c r="AT399" s="42">
        <f>(Table43[[#This Row],[Harga Jual Pcs MT
(-PPN)]]*Table43[[#This Row],[ISI/CTN]])</f>
        <v>0</v>
      </c>
      <c r="AU399" s="42">
        <f>Table43[[#This Row],[Harga Jual Pcs MT
(-PPN)]]*1.11</f>
        <v>0</v>
      </c>
      <c r="AV399" s="42">
        <f>Table43[[#This Row],[Harga Jual Pcs MT
(+PPN)]]*Table43[[#This Row],[ISI/CTN]]</f>
        <v>0</v>
      </c>
      <c r="AW399" s="47"/>
      <c r="AX399" s="7"/>
      <c r="AY399" s="7" t="str">
        <f ca="1">IF(TODAY()-Table43[[#This Row],[Efektif
Pembuatan]]&gt;60,"Lama","Baru")</f>
        <v>Lama</v>
      </c>
      <c r="AZ399" s="7" t="str">
        <f ca="1">IF(TODAY()-Table43[[#This Row],[Efektif Naik Harga]]&lt;30,"Naik","Sama")</f>
        <v>Sama</v>
      </c>
      <c r="BA399" s="7" t="str">
        <f>IF(Table43[[#This Row],[Kode BARANG Win2]]&lt;&gt;"","IDR","")</f>
        <v>IDR</v>
      </c>
      <c r="BB399" s="7" t="str">
        <f>CONCATENATE(Table43[[#This Row],[kode  1 Digit
(Nomor)]],Table43[[#This Row],[kode  4 Digit                (Nomor)]])</f>
        <v>10100</v>
      </c>
      <c r="BC399" s="7" t="str">
        <f>Table43[[#This Row],[Nama            Gramasi atau Jumlah Pack per CTN]]</f>
        <v>100ML</v>
      </c>
      <c r="BD399" s="7"/>
      <c r="BE399" s="7"/>
      <c r="BF399" s="4" t="str">
        <f>IF(Table43[[#This Row],[SATUAN Fix Win]]&lt;&gt;"","KRT")</f>
        <v>KRT</v>
      </c>
      <c r="BG399" s="4" t="str">
        <f>IF(Table43[[#This Row],[SATUAN Fix Win]]&lt;&gt;"","GD01")</f>
        <v>GD01</v>
      </c>
      <c r="BH399" s="4">
        <f>IF(Table43[[#This Row],[SATUAN Fix Win]]&lt;&gt;"",11611)</f>
        <v>11611</v>
      </c>
      <c r="BI399" s="4">
        <f>IF(Table43[[#This Row],[SATUAN Fix Win]]&lt;&gt;"",11612)</f>
        <v>11612</v>
      </c>
      <c r="BJ399" s="48"/>
      <c r="BK399" s="4">
        <f>IF(Table43[[#This Row],[SATUAN Fix Win]]&lt;&gt;"",1)</f>
        <v>1</v>
      </c>
    </row>
    <row r="400" spans="1:63">
      <c r="A400" s="4" t="str">
        <f>CONCATENATE(Table43[[#This Row],[Kode BARANG Win2]],Table43[[#This Row],[No. Urut
Item Sama]])</f>
        <v>K12530080100101</v>
      </c>
      <c r="B400" s="7">
        <v>1</v>
      </c>
      <c r="D400" s="28" t="s">
        <v>638</v>
      </c>
      <c r="E400" s="28"/>
      <c r="F400" s="28" t="s">
        <v>3180</v>
      </c>
      <c r="G400" s="78">
        <v>36</v>
      </c>
      <c r="H400" s="43"/>
      <c r="I400" s="28" t="str">
        <f>Table43[[#This Row],[Nama Jenis Kemasan]]</f>
        <v>BTL</v>
      </c>
      <c r="J400" s="4" t="str">
        <f>TRIM(CONCATENATE(Table43[[#This Row],[Nama            KLP]]," ",Table43[[#This Row],[Nama            Sub KLP]]))</f>
        <v>MASTER KIDS SPRAY COL.</v>
      </c>
      <c r="K400" s="4" t="str">
        <f>CONCATENATE(Table43[[#This Row],[kode  2 Digit                (hrf+No)]],Table43[[#This Row],[kode  2 Digit                (Nomor)]],Table43[[#This Row],[kode  1 Digit                (Nomor)]])</f>
        <v>K1253</v>
      </c>
      <c r="L400" s="4" t="str">
        <f t="shared" si="21"/>
        <v>K1253008010010</v>
      </c>
      <c r="M400" s="11">
        <f t="shared" si="22"/>
        <v>14</v>
      </c>
      <c r="N400" s="14" t="str">
        <f>IF(AF400&lt;&gt;"",TRIM(UPPER(CONCATENATE(P400," ",R400," ",T400," ",V400," ",X400," ",Z400," ","X"," ",Table43[[#This Row],[ISI/CTN]]," ",AF400," ",AB400," ",AD400," ",AH400))),TRIM(UPPER(CONCATENATE(P400," ",R400," ",T400," ",V400," ",X400," ",Z400," ","X"," ",Table43[[#This Row],[ISI/CTN]]," ",AB400," ",AD400," ",AH400))))</f>
        <v>KNF MASTER KIDS SPRAY COL. SUPERMAN 100ML X 36 BTL</v>
      </c>
      <c r="O400" s="11">
        <f t="shared" si="23"/>
        <v>50</v>
      </c>
      <c r="P400" s="4" t="s">
        <v>97</v>
      </c>
      <c r="Q400" s="7" t="s">
        <v>98</v>
      </c>
      <c r="R400" s="4" t="s">
        <v>3839</v>
      </c>
      <c r="S400" s="44" t="s">
        <v>3840</v>
      </c>
      <c r="T400" s="45" t="s">
        <v>3850</v>
      </c>
      <c r="U400" s="7" t="s">
        <v>3590</v>
      </c>
      <c r="V400" s="45" t="s">
        <v>2961</v>
      </c>
      <c r="W400" s="44" t="s">
        <v>2900</v>
      </c>
      <c r="X400" s="4" t="s">
        <v>3847</v>
      </c>
      <c r="Y400" s="46" t="s">
        <v>2478</v>
      </c>
      <c r="Z400" s="4" t="s">
        <v>3588</v>
      </c>
      <c r="AA400" s="46" t="s">
        <v>2487</v>
      </c>
      <c r="AB400" s="4" t="s">
        <v>357</v>
      </c>
      <c r="AC400" s="7" t="s">
        <v>2656</v>
      </c>
      <c r="AD400" s="4" t="s">
        <v>2961</v>
      </c>
      <c r="AE400" s="7" t="s">
        <v>2900</v>
      </c>
      <c r="AF400" s="7" t="s">
        <v>2961</v>
      </c>
      <c r="AG400" s="7" t="s">
        <v>2961</v>
      </c>
      <c r="AI400" s="7" t="s">
        <v>4100</v>
      </c>
      <c r="AJ400" s="7" t="s">
        <v>2656</v>
      </c>
      <c r="AK400" s="41">
        <f>Table43[[#This Row],[Harga Jual Pcs GT
(-PPN)]]-(Table43[[#This Row],[Harga Jual Pcs GT
(-PPN)]]*10%)</f>
        <v>0</v>
      </c>
      <c r="AL400" s="42">
        <f>Table43[[#This Row],[Harga Beli Pcs
(-PPN)]]*Table43[[#This Row],[ISI/CTN]]</f>
        <v>0</v>
      </c>
      <c r="AM400" s="42">
        <f>Table43[[#This Row],[Harga Beli Pcs
(-PPN)]]*1.11</f>
        <v>0</v>
      </c>
      <c r="AN400" s="42">
        <f>Table43[[#This Row],[Harga Beli Krt
(- PPN)]]*1.11</f>
        <v>0</v>
      </c>
      <c r="AO400" s="42"/>
      <c r="AP400" s="42">
        <f>Table43[[#This Row],[Harga Jual Pcs GT
(-PPN)]]*Table43[[#This Row],[ISI/CTN]]</f>
        <v>0</v>
      </c>
      <c r="AQ400" s="42">
        <f>Table43[[#This Row],[Harga Jual Pcs GT
(-PPN)]]*1.11</f>
        <v>0</v>
      </c>
      <c r="AR400" s="42">
        <f>Table43[[#This Row],[Harga Jual Krt GT
(- PPN)]]*1.11</f>
        <v>0</v>
      </c>
      <c r="AS400" s="42">
        <f>Table43[[#This Row],[Harga Jual Pcs GT
(-PPN)]]</f>
        <v>0</v>
      </c>
      <c r="AT400" s="42">
        <f>(Table43[[#This Row],[Harga Jual Pcs MT
(-PPN)]]*Table43[[#This Row],[ISI/CTN]])</f>
        <v>0</v>
      </c>
      <c r="AU400" s="42">
        <f>Table43[[#This Row],[Harga Jual Pcs MT
(-PPN)]]*1.11</f>
        <v>0</v>
      </c>
      <c r="AV400" s="42">
        <f>Table43[[#This Row],[Harga Jual Pcs MT
(+PPN)]]*Table43[[#This Row],[ISI/CTN]]</f>
        <v>0</v>
      </c>
      <c r="AW400" s="47"/>
      <c r="AX400" s="7"/>
      <c r="AY400" s="7" t="str">
        <f ca="1">IF(TODAY()-Table43[[#This Row],[Efektif
Pembuatan]]&gt;60,"Lama","Baru")</f>
        <v>Lama</v>
      </c>
      <c r="AZ400" s="7" t="str">
        <f ca="1">IF(TODAY()-Table43[[#This Row],[Efektif Naik Harga]]&lt;30,"Naik","Sama")</f>
        <v>Sama</v>
      </c>
      <c r="BA400" s="7" t="str">
        <f>IF(Table43[[#This Row],[Kode BARANG Win2]]&lt;&gt;"","IDR","")</f>
        <v>IDR</v>
      </c>
      <c r="BB400" s="7" t="str">
        <f>CONCATENATE(Table43[[#This Row],[kode  1 Digit
(Nomor)]],Table43[[#This Row],[kode  4 Digit                (Nomor)]])</f>
        <v>10100</v>
      </c>
      <c r="BC400" s="7" t="str">
        <f>Table43[[#This Row],[Nama            Gramasi atau Jumlah Pack per CTN]]</f>
        <v>100ML</v>
      </c>
      <c r="BD400" s="7"/>
      <c r="BE400" s="7"/>
      <c r="BF400" s="4" t="str">
        <f>IF(Table43[[#This Row],[SATUAN Fix Win]]&lt;&gt;"","KRT")</f>
        <v>KRT</v>
      </c>
      <c r="BG400" s="4" t="str">
        <f>IF(Table43[[#This Row],[SATUAN Fix Win]]&lt;&gt;"","GD01")</f>
        <v>GD01</v>
      </c>
      <c r="BH400" s="4">
        <f>IF(Table43[[#This Row],[SATUAN Fix Win]]&lt;&gt;"",11611)</f>
        <v>11611</v>
      </c>
      <c r="BI400" s="4">
        <f>IF(Table43[[#This Row],[SATUAN Fix Win]]&lt;&gt;"",11612)</f>
        <v>11612</v>
      </c>
      <c r="BJ400" s="48"/>
      <c r="BK400" s="4">
        <f>IF(Table43[[#This Row],[SATUAN Fix Win]]&lt;&gt;"",1)</f>
        <v>1</v>
      </c>
    </row>
    <row r="401" spans="1:63">
      <c r="A401" s="4" t="str">
        <f>CONCATENATE(Table43[[#This Row],[Kode BARANG Win2]],Table43[[#This Row],[No. Urut
Item Sama]])</f>
        <v>K12540010075101</v>
      </c>
      <c r="B401" s="7">
        <v>1</v>
      </c>
      <c r="D401" s="28" t="s">
        <v>665</v>
      </c>
      <c r="E401" s="28"/>
      <c r="F401" s="28" t="s">
        <v>3181</v>
      </c>
      <c r="G401" s="78">
        <v>48</v>
      </c>
      <c r="H401" s="43"/>
      <c r="I401" s="28" t="str">
        <f>Table43[[#This Row],[Nama Jenis Kemasan]]</f>
        <v>JAR</v>
      </c>
      <c r="J401" s="4" t="str">
        <f>TRIM(CONCATENATE(Table43[[#This Row],[Nama            KLP]]," ",Table43[[#This Row],[Nama            Sub KLP]]))</f>
        <v>MASTER KIDS STYLISH GEL</v>
      </c>
      <c r="K401" s="4" t="str">
        <f>CONCATENATE(Table43[[#This Row],[kode  2 Digit                (hrf+No)]],Table43[[#This Row],[kode  2 Digit                (Nomor)]],Table43[[#This Row],[kode  1 Digit                (Nomor)]])</f>
        <v>K1254</v>
      </c>
      <c r="L401" s="4" t="str">
        <f t="shared" si="21"/>
        <v>K1254001007510</v>
      </c>
      <c r="M401" s="11">
        <f t="shared" si="22"/>
        <v>14</v>
      </c>
      <c r="N401" s="14" t="str">
        <f>IF(AF401&lt;&gt;"",TRIM(UPPER(CONCATENATE(P401," ",R401," ",T401," ",V401," ",X401," ",Z401," ","X"," ",Table43[[#This Row],[ISI/CTN]]," ",AF401," ",AB401," ",AD401," ",AH401))),TRIM(UPPER(CONCATENATE(P401," ",R401," ",T401," ",V401," ",X401," ",Z401," ","X"," ",Table43[[#This Row],[ISI/CTN]]," ",AB401," ",AD401," ",AH401))))</f>
        <v>KNF MASTER KIDS STYLISH GEL BATMAN 75GR X 48 JAR</v>
      </c>
      <c r="O401" s="11">
        <f t="shared" si="23"/>
        <v>48</v>
      </c>
      <c r="P401" s="4" t="s">
        <v>97</v>
      </c>
      <c r="Q401" s="7" t="s">
        <v>98</v>
      </c>
      <c r="R401" s="4" t="s">
        <v>3839</v>
      </c>
      <c r="S401" s="44" t="s">
        <v>3840</v>
      </c>
      <c r="T401" s="45" t="s">
        <v>3853</v>
      </c>
      <c r="U401" s="7" t="s">
        <v>3593</v>
      </c>
      <c r="V401" s="45" t="s">
        <v>2961</v>
      </c>
      <c r="W401" s="44" t="s">
        <v>2900</v>
      </c>
      <c r="X401" s="4" t="s">
        <v>3841</v>
      </c>
      <c r="Y401" s="46" t="s">
        <v>0</v>
      </c>
      <c r="Z401" s="4" t="s">
        <v>3854</v>
      </c>
      <c r="AA401" s="46" t="s">
        <v>2505</v>
      </c>
      <c r="AB401" s="4" t="s">
        <v>1019</v>
      </c>
      <c r="AC401" s="7" t="s">
        <v>2656</v>
      </c>
      <c r="AD401" s="4" t="s">
        <v>2961</v>
      </c>
      <c r="AE401" s="7" t="s">
        <v>2900</v>
      </c>
      <c r="AF401" s="7" t="s">
        <v>2961</v>
      </c>
      <c r="AG401" s="7" t="s">
        <v>2961</v>
      </c>
      <c r="AI401" s="7" t="s">
        <v>2463</v>
      </c>
      <c r="AJ401" s="7" t="s">
        <v>3562</v>
      </c>
      <c r="AK401" s="41">
        <f>Table43[[#This Row],[Harga Jual Pcs GT
(-PPN)]]-(Table43[[#This Row],[Harga Jual Pcs GT
(-PPN)]]*10%)</f>
        <v>0</v>
      </c>
      <c r="AL401" s="42">
        <f>Table43[[#This Row],[Harga Beli Pcs
(-PPN)]]*Table43[[#This Row],[ISI/CTN]]</f>
        <v>0</v>
      </c>
      <c r="AM401" s="42">
        <f>Table43[[#This Row],[Harga Beli Pcs
(-PPN)]]*1.11</f>
        <v>0</v>
      </c>
      <c r="AN401" s="42">
        <f>Table43[[#This Row],[Harga Beli Krt
(- PPN)]]*1.11</f>
        <v>0</v>
      </c>
      <c r="AO401" s="42"/>
      <c r="AP401" s="42">
        <f>Table43[[#This Row],[Harga Jual Pcs GT
(-PPN)]]*Table43[[#This Row],[ISI/CTN]]</f>
        <v>0</v>
      </c>
      <c r="AQ401" s="42">
        <f>Table43[[#This Row],[Harga Jual Pcs GT
(-PPN)]]*1.11</f>
        <v>0</v>
      </c>
      <c r="AR401" s="42">
        <f>Table43[[#This Row],[Harga Jual Krt GT
(- PPN)]]*1.11</f>
        <v>0</v>
      </c>
      <c r="AS401" s="42">
        <f>Table43[[#This Row],[Harga Jual Pcs GT
(-PPN)]]</f>
        <v>0</v>
      </c>
      <c r="AT401" s="42">
        <f>(Table43[[#This Row],[Harga Jual Pcs MT
(-PPN)]]*Table43[[#This Row],[ISI/CTN]])</f>
        <v>0</v>
      </c>
      <c r="AU401" s="42">
        <f>Table43[[#This Row],[Harga Jual Pcs MT
(-PPN)]]*1.11</f>
        <v>0</v>
      </c>
      <c r="AV401" s="42">
        <f>Table43[[#This Row],[Harga Jual Pcs MT
(+PPN)]]*Table43[[#This Row],[ISI/CTN]]</f>
        <v>0</v>
      </c>
      <c r="AW401" s="47"/>
      <c r="AX401" s="7"/>
      <c r="AY401" s="7" t="str">
        <f ca="1">IF(TODAY()-Table43[[#This Row],[Efektif
Pembuatan]]&gt;60,"Lama","Baru")</f>
        <v>Lama</v>
      </c>
      <c r="AZ401" s="7" t="str">
        <f ca="1">IF(TODAY()-Table43[[#This Row],[Efektif Naik Harga]]&lt;30,"Naik","Sama")</f>
        <v>Sama</v>
      </c>
      <c r="BA401" s="7" t="str">
        <f>IF(Table43[[#This Row],[Kode BARANG Win2]]&lt;&gt;"","IDR","")</f>
        <v>IDR</v>
      </c>
      <c r="BB401" s="7" t="str">
        <f>CONCATENATE(Table43[[#This Row],[kode  1 Digit
(Nomor)]],Table43[[#This Row],[kode  4 Digit                (Nomor)]])</f>
        <v>20075</v>
      </c>
      <c r="BC401" s="7" t="str">
        <f>Table43[[#This Row],[Nama            Gramasi atau Jumlah Pack per CTN]]</f>
        <v>75GR</v>
      </c>
      <c r="BD401" s="7"/>
      <c r="BE401" s="7"/>
      <c r="BF401" s="4" t="str">
        <f>IF(Table43[[#This Row],[SATUAN Fix Win]]&lt;&gt;"","KRT")</f>
        <v>KRT</v>
      </c>
      <c r="BG401" s="4" t="str">
        <f>IF(Table43[[#This Row],[SATUAN Fix Win]]&lt;&gt;"","GD01")</f>
        <v>GD01</v>
      </c>
      <c r="BH401" s="4">
        <f>IF(Table43[[#This Row],[SATUAN Fix Win]]&lt;&gt;"",11611)</f>
        <v>11611</v>
      </c>
      <c r="BI401" s="4">
        <f>IF(Table43[[#This Row],[SATUAN Fix Win]]&lt;&gt;"",11612)</f>
        <v>11612</v>
      </c>
      <c r="BJ401" s="48"/>
      <c r="BK401" s="4">
        <f>IF(Table43[[#This Row],[SATUAN Fix Win]]&lt;&gt;"",1)</f>
        <v>1</v>
      </c>
    </row>
    <row r="402" spans="1:63">
      <c r="A402" s="4" t="str">
        <f>CONCATENATE(Table43[[#This Row],[Kode BARANG Win2]],Table43[[#This Row],[No. Urut
Item Sama]])</f>
        <v>K12540020075101</v>
      </c>
      <c r="B402" s="7">
        <v>1</v>
      </c>
      <c r="D402" s="28" t="s">
        <v>666</v>
      </c>
      <c r="E402" s="28"/>
      <c r="F402" s="28" t="s">
        <v>3182</v>
      </c>
      <c r="G402" s="78">
        <v>48</v>
      </c>
      <c r="H402" s="43"/>
      <c r="I402" s="28" t="str">
        <f>Table43[[#This Row],[Nama Jenis Kemasan]]</f>
        <v>JAR</v>
      </c>
      <c r="J402" s="4" t="str">
        <f>TRIM(CONCATENATE(Table43[[#This Row],[Nama            KLP]]," ",Table43[[#This Row],[Nama            Sub KLP]]))</f>
        <v>MASTER KIDS STYLISH GEL</v>
      </c>
      <c r="K402" s="4" t="str">
        <f>CONCATENATE(Table43[[#This Row],[kode  2 Digit                (hrf+No)]],Table43[[#This Row],[kode  2 Digit                (Nomor)]],Table43[[#This Row],[kode  1 Digit                (Nomor)]])</f>
        <v>K1254</v>
      </c>
      <c r="L402" s="4" t="str">
        <f t="shared" si="21"/>
        <v>K1254002007510</v>
      </c>
      <c r="M402" s="11">
        <f t="shared" si="22"/>
        <v>14</v>
      </c>
      <c r="N402" s="14" t="str">
        <f>IF(AF402&lt;&gt;"",TRIM(UPPER(CONCATENATE(P402," ",R402," ",T402," ",V402," ",X402," ",Z402," ","X"," ",Table43[[#This Row],[ISI/CTN]]," ",AF402," ",AB402," ",AD402," ",AH402))),TRIM(UPPER(CONCATENATE(P402," ",R402," ",T402," ",V402," ",X402," ",Z402," ","X"," ",Table43[[#This Row],[ISI/CTN]]," ",AB402," ",AD402," ",AH402))))</f>
        <v>KNF MASTER KIDS STYLISH GEL SPIDERMAN 75GR X 48 JAR</v>
      </c>
      <c r="O402" s="11">
        <f t="shared" si="23"/>
        <v>51</v>
      </c>
      <c r="P402" s="4" t="s">
        <v>97</v>
      </c>
      <c r="Q402" s="7" t="s">
        <v>98</v>
      </c>
      <c r="R402" s="4" t="s">
        <v>3839</v>
      </c>
      <c r="S402" s="44" t="s">
        <v>3840</v>
      </c>
      <c r="T402" s="45" t="s">
        <v>3853</v>
      </c>
      <c r="U402" s="7" t="s">
        <v>3593</v>
      </c>
      <c r="V402" s="45" t="s">
        <v>2961</v>
      </c>
      <c r="W402" s="44" t="s">
        <v>2900</v>
      </c>
      <c r="X402" s="4" t="s">
        <v>3846</v>
      </c>
      <c r="Y402" s="46" t="s">
        <v>2472</v>
      </c>
      <c r="Z402" s="4" t="s">
        <v>3854</v>
      </c>
      <c r="AA402" s="46" t="s">
        <v>2505</v>
      </c>
      <c r="AB402" s="4" t="s">
        <v>1019</v>
      </c>
      <c r="AC402" s="7" t="s">
        <v>2656</v>
      </c>
      <c r="AD402" s="4" t="s">
        <v>2961</v>
      </c>
      <c r="AE402" s="7" t="s">
        <v>2900</v>
      </c>
      <c r="AF402" s="7" t="s">
        <v>2961</v>
      </c>
      <c r="AG402" s="7" t="s">
        <v>2961</v>
      </c>
      <c r="AI402" s="7" t="s">
        <v>2463</v>
      </c>
      <c r="AJ402" s="7" t="s">
        <v>3562</v>
      </c>
      <c r="AK402" s="41">
        <f>Table43[[#This Row],[Harga Jual Pcs GT
(-PPN)]]-(Table43[[#This Row],[Harga Jual Pcs GT
(-PPN)]]*10%)</f>
        <v>0</v>
      </c>
      <c r="AL402" s="42">
        <f>Table43[[#This Row],[Harga Beli Pcs
(-PPN)]]*Table43[[#This Row],[ISI/CTN]]</f>
        <v>0</v>
      </c>
      <c r="AM402" s="42">
        <f>Table43[[#This Row],[Harga Beli Pcs
(-PPN)]]*1.11</f>
        <v>0</v>
      </c>
      <c r="AN402" s="42">
        <f>Table43[[#This Row],[Harga Beli Krt
(- PPN)]]*1.11</f>
        <v>0</v>
      </c>
      <c r="AO402" s="42"/>
      <c r="AP402" s="42">
        <f>Table43[[#This Row],[Harga Jual Pcs GT
(-PPN)]]*Table43[[#This Row],[ISI/CTN]]</f>
        <v>0</v>
      </c>
      <c r="AQ402" s="42">
        <f>Table43[[#This Row],[Harga Jual Pcs GT
(-PPN)]]*1.11</f>
        <v>0</v>
      </c>
      <c r="AR402" s="42">
        <f>Table43[[#This Row],[Harga Jual Krt GT
(- PPN)]]*1.11</f>
        <v>0</v>
      </c>
      <c r="AS402" s="42">
        <f>Table43[[#This Row],[Harga Jual Pcs GT
(-PPN)]]</f>
        <v>0</v>
      </c>
      <c r="AT402" s="42">
        <f>(Table43[[#This Row],[Harga Jual Pcs MT
(-PPN)]]*Table43[[#This Row],[ISI/CTN]])</f>
        <v>0</v>
      </c>
      <c r="AU402" s="42">
        <f>Table43[[#This Row],[Harga Jual Pcs MT
(-PPN)]]*1.11</f>
        <v>0</v>
      </c>
      <c r="AV402" s="42">
        <f>Table43[[#This Row],[Harga Jual Pcs MT
(+PPN)]]*Table43[[#This Row],[ISI/CTN]]</f>
        <v>0</v>
      </c>
      <c r="AW402" s="47"/>
      <c r="AX402" s="7"/>
      <c r="AY402" s="7" t="str">
        <f ca="1">IF(TODAY()-Table43[[#This Row],[Efektif
Pembuatan]]&gt;60,"Lama","Baru")</f>
        <v>Lama</v>
      </c>
      <c r="AZ402" s="7" t="str">
        <f ca="1">IF(TODAY()-Table43[[#This Row],[Efektif Naik Harga]]&lt;30,"Naik","Sama")</f>
        <v>Sama</v>
      </c>
      <c r="BA402" s="7" t="str">
        <f>IF(Table43[[#This Row],[Kode BARANG Win2]]&lt;&gt;"","IDR","")</f>
        <v>IDR</v>
      </c>
      <c r="BB402" s="7" t="str">
        <f>CONCATENATE(Table43[[#This Row],[kode  1 Digit
(Nomor)]],Table43[[#This Row],[kode  4 Digit                (Nomor)]])</f>
        <v>20075</v>
      </c>
      <c r="BC402" s="7" t="str">
        <f>Table43[[#This Row],[Nama            Gramasi atau Jumlah Pack per CTN]]</f>
        <v>75GR</v>
      </c>
      <c r="BD402" s="7"/>
      <c r="BE402" s="7"/>
      <c r="BF402" s="4" t="str">
        <f>IF(Table43[[#This Row],[SATUAN Fix Win]]&lt;&gt;"","KRT")</f>
        <v>KRT</v>
      </c>
      <c r="BG402" s="4" t="str">
        <f>IF(Table43[[#This Row],[SATUAN Fix Win]]&lt;&gt;"","GD01")</f>
        <v>GD01</v>
      </c>
      <c r="BH402" s="4">
        <f>IF(Table43[[#This Row],[SATUAN Fix Win]]&lt;&gt;"",11611)</f>
        <v>11611</v>
      </c>
      <c r="BI402" s="4">
        <f>IF(Table43[[#This Row],[SATUAN Fix Win]]&lt;&gt;"",11612)</f>
        <v>11612</v>
      </c>
      <c r="BJ402" s="48"/>
      <c r="BK402" s="4">
        <f>IF(Table43[[#This Row],[SATUAN Fix Win]]&lt;&gt;"",1)</f>
        <v>1</v>
      </c>
    </row>
    <row r="403" spans="1:63">
      <c r="A403" s="4" t="str">
        <f>CONCATENATE(Table43[[#This Row],[Kode BARANG Win2]],Table43[[#This Row],[No. Urut
Item Sama]])</f>
        <v>K12540030075101</v>
      </c>
      <c r="B403" s="7">
        <v>1</v>
      </c>
      <c r="D403" s="28" t="s">
        <v>667</v>
      </c>
      <c r="E403" s="28"/>
      <c r="F403" s="28" t="s">
        <v>3183</v>
      </c>
      <c r="G403" s="78">
        <v>48</v>
      </c>
      <c r="H403" s="43"/>
      <c r="I403" s="28" t="str">
        <f>Table43[[#This Row],[Nama Jenis Kemasan]]</f>
        <v>JAR</v>
      </c>
      <c r="J403" s="4" t="str">
        <f>TRIM(CONCATENATE(Table43[[#This Row],[Nama            KLP]]," ",Table43[[#This Row],[Nama            Sub KLP]]))</f>
        <v>MASTER KIDS STYLISH GEL</v>
      </c>
      <c r="K403" s="4" t="str">
        <f>CONCATENATE(Table43[[#This Row],[kode  2 Digit                (hrf+No)]],Table43[[#This Row],[kode  2 Digit                (Nomor)]],Table43[[#This Row],[kode  1 Digit                (Nomor)]])</f>
        <v>K1254</v>
      </c>
      <c r="L403" s="4" t="str">
        <f t="shared" si="21"/>
        <v>K1254003007510</v>
      </c>
      <c r="M403" s="11">
        <f t="shared" si="22"/>
        <v>14</v>
      </c>
      <c r="N403" s="14" t="str">
        <f>IF(AF403&lt;&gt;"",TRIM(UPPER(CONCATENATE(P403," ",R403," ",T403," ",V403," ",X403," ",Z403," ","X"," ",Table43[[#This Row],[ISI/CTN]]," ",AF403," ",AB403," ",AD403," ",AH403))),TRIM(UPPER(CONCATENATE(P403," ",R403," ",T403," ",V403," ",X403," ",Z403," ","X"," ",Table43[[#This Row],[ISI/CTN]]," ",AB403," ",AD403," ",AH403))))</f>
        <v>KNF MASTER KIDS STYLISH GEL SUPERMAN 75GR X 48 JAR</v>
      </c>
      <c r="O403" s="11">
        <f t="shared" si="23"/>
        <v>50</v>
      </c>
      <c r="P403" s="4" t="s">
        <v>97</v>
      </c>
      <c r="Q403" s="7" t="s">
        <v>98</v>
      </c>
      <c r="R403" s="4" t="s">
        <v>3839</v>
      </c>
      <c r="S403" s="44" t="s">
        <v>3840</v>
      </c>
      <c r="T403" s="45" t="s">
        <v>3853</v>
      </c>
      <c r="U403" s="7" t="s">
        <v>3593</v>
      </c>
      <c r="V403" s="45" t="s">
        <v>2961</v>
      </c>
      <c r="W403" s="44" t="s">
        <v>2900</v>
      </c>
      <c r="X403" s="4" t="s">
        <v>3847</v>
      </c>
      <c r="Y403" s="46" t="s">
        <v>2473</v>
      </c>
      <c r="Z403" s="4" t="s">
        <v>3854</v>
      </c>
      <c r="AA403" s="46" t="s">
        <v>2505</v>
      </c>
      <c r="AB403" s="4" t="s">
        <v>1019</v>
      </c>
      <c r="AC403" s="7" t="s">
        <v>2656</v>
      </c>
      <c r="AD403" s="4" t="s">
        <v>2961</v>
      </c>
      <c r="AE403" s="7" t="s">
        <v>2900</v>
      </c>
      <c r="AF403" s="7" t="s">
        <v>2961</v>
      </c>
      <c r="AG403" s="7" t="s">
        <v>2961</v>
      </c>
      <c r="AI403" s="7" t="s">
        <v>2463</v>
      </c>
      <c r="AJ403" s="7" t="s">
        <v>3562</v>
      </c>
      <c r="AK403" s="41">
        <f>Table43[[#This Row],[Harga Jual Pcs GT
(-PPN)]]-(Table43[[#This Row],[Harga Jual Pcs GT
(-PPN)]]*10%)</f>
        <v>0</v>
      </c>
      <c r="AL403" s="42">
        <f>Table43[[#This Row],[Harga Beli Pcs
(-PPN)]]*Table43[[#This Row],[ISI/CTN]]</f>
        <v>0</v>
      </c>
      <c r="AM403" s="42">
        <f>Table43[[#This Row],[Harga Beli Pcs
(-PPN)]]*1.11</f>
        <v>0</v>
      </c>
      <c r="AN403" s="42">
        <f>Table43[[#This Row],[Harga Beli Krt
(- PPN)]]*1.11</f>
        <v>0</v>
      </c>
      <c r="AO403" s="42"/>
      <c r="AP403" s="42">
        <f>Table43[[#This Row],[Harga Jual Pcs GT
(-PPN)]]*Table43[[#This Row],[ISI/CTN]]</f>
        <v>0</v>
      </c>
      <c r="AQ403" s="42">
        <f>Table43[[#This Row],[Harga Jual Pcs GT
(-PPN)]]*1.11</f>
        <v>0</v>
      </c>
      <c r="AR403" s="42">
        <f>Table43[[#This Row],[Harga Jual Krt GT
(- PPN)]]*1.11</f>
        <v>0</v>
      </c>
      <c r="AS403" s="42">
        <f>Table43[[#This Row],[Harga Jual Pcs GT
(-PPN)]]</f>
        <v>0</v>
      </c>
      <c r="AT403" s="42">
        <f>(Table43[[#This Row],[Harga Jual Pcs MT
(-PPN)]]*Table43[[#This Row],[ISI/CTN]])</f>
        <v>0</v>
      </c>
      <c r="AU403" s="42">
        <f>Table43[[#This Row],[Harga Jual Pcs MT
(-PPN)]]*1.11</f>
        <v>0</v>
      </c>
      <c r="AV403" s="42">
        <f>Table43[[#This Row],[Harga Jual Pcs MT
(+PPN)]]*Table43[[#This Row],[ISI/CTN]]</f>
        <v>0</v>
      </c>
      <c r="AW403" s="47"/>
      <c r="AX403" s="7"/>
      <c r="AY403" s="7" t="str">
        <f ca="1">IF(TODAY()-Table43[[#This Row],[Efektif
Pembuatan]]&gt;60,"Lama","Baru")</f>
        <v>Lama</v>
      </c>
      <c r="AZ403" s="7" t="str">
        <f ca="1">IF(TODAY()-Table43[[#This Row],[Efektif Naik Harga]]&lt;30,"Naik","Sama")</f>
        <v>Sama</v>
      </c>
      <c r="BA403" s="7" t="str">
        <f>IF(Table43[[#This Row],[Kode BARANG Win2]]&lt;&gt;"","IDR","")</f>
        <v>IDR</v>
      </c>
      <c r="BB403" s="7" t="str">
        <f>CONCATENATE(Table43[[#This Row],[kode  1 Digit
(Nomor)]],Table43[[#This Row],[kode  4 Digit                (Nomor)]])</f>
        <v>20075</v>
      </c>
      <c r="BC403" s="7" t="str">
        <f>Table43[[#This Row],[Nama            Gramasi atau Jumlah Pack per CTN]]</f>
        <v>75GR</v>
      </c>
      <c r="BD403" s="7"/>
      <c r="BE403" s="7"/>
      <c r="BF403" s="4" t="str">
        <f>IF(Table43[[#This Row],[SATUAN Fix Win]]&lt;&gt;"","KRT")</f>
        <v>KRT</v>
      </c>
      <c r="BG403" s="4" t="str">
        <f>IF(Table43[[#This Row],[SATUAN Fix Win]]&lt;&gt;"","GD01")</f>
        <v>GD01</v>
      </c>
      <c r="BH403" s="4">
        <f>IF(Table43[[#This Row],[SATUAN Fix Win]]&lt;&gt;"",11611)</f>
        <v>11611</v>
      </c>
      <c r="BI403" s="4">
        <f>IF(Table43[[#This Row],[SATUAN Fix Win]]&lt;&gt;"",11612)</f>
        <v>11612</v>
      </c>
      <c r="BJ403" s="48"/>
      <c r="BK403" s="4">
        <f>IF(Table43[[#This Row],[SATUAN Fix Win]]&lt;&gt;"",1)</f>
        <v>1</v>
      </c>
    </row>
    <row r="404" spans="1:63">
      <c r="A404" s="4" t="str">
        <f>CONCATENATE(Table43[[#This Row],[Kode BARANG Win2]],Table43[[#This Row],[No. Urut
Item Sama]])</f>
        <v>K12550010050101</v>
      </c>
      <c r="B404" s="7">
        <v>1</v>
      </c>
      <c r="D404" s="28" t="s">
        <v>654</v>
      </c>
      <c r="E404" s="28"/>
      <c r="F404" s="28" t="s">
        <v>3184</v>
      </c>
      <c r="G404" s="78">
        <v>48</v>
      </c>
      <c r="H404" s="43"/>
      <c r="I404" s="28" t="str">
        <f>Table43[[#This Row],[Nama Jenis Kemasan]]</f>
        <v>TUBE</v>
      </c>
      <c r="J404" s="4" t="str">
        <f>TRIM(CONCATENATE(Table43[[#This Row],[Nama            KLP]]," ",Table43[[#This Row],[Nama            Sub KLP]]))</f>
        <v>MASTER KIDS TOOTH PASTE</v>
      </c>
      <c r="K404" s="4" t="str">
        <f>CONCATENATE(Table43[[#This Row],[kode  2 Digit                (hrf+No)]],Table43[[#This Row],[kode  2 Digit                (Nomor)]],Table43[[#This Row],[kode  1 Digit                (Nomor)]])</f>
        <v>K1255</v>
      </c>
      <c r="L404" s="4" t="str">
        <f t="shared" si="21"/>
        <v>K1255001005010</v>
      </c>
      <c r="M404" s="11">
        <f t="shared" si="22"/>
        <v>14</v>
      </c>
      <c r="N404" s="14" t="str">
        <f>IF(AF404&lt;&gt;"",TRIM(UPPER(CONCATENATE(P404," ",R404," ",T404," ",V404," ",X404," ",Z404," ","X"," ",Table43[[#This Row],[ISI/CTN]]," ",AF404," ",AB404," ",AD404," ",AH404))),TRIM(UPPER(CONCATENATE(P404," ",R404," ",T404," ",V404," ",X404," ",Z404," ","X"," ",Table43[[#This Row],[ISI/CTN]]," ",AB404," ",AD404," ",AH404))))</f>
        <v>KNF MASTER KIDS TOOTH PASTE BATMAN 50GR X 48 TUBE</v>
      </c>
      <c r="O404" s="11">
        <f t="shared" si="23"/>
        <v>49</v>
      </c>
      <c r="P404" s="4" t="s">
        <v>97</v>
      </c>
      <c r="Q404" s="7" t="s">
        <v>98</v>
      </c>
      <c r="R404" s="4" t="s">
        <v>3839</v>
      </c>
      <c r="S404" s="44" t="s">
        <v>3840</v>
      </c>
      <c r="T404" s="45" t="s">
        <v>3630</v>
      </c>
      <c r="U404" s="7" t="s">
        <v>3597</v>
      </c>
      <c r="V404" s="45" t="s">
        <v>2961</v>
      </c>
      <c r="W404" s="44" t="s">
        <v>2900</v>
      </c>
      <c r="X404" s="4" t="s">
        <v>3841</v>
      </c>
      <c r="Y404" s="46" t="s">
        <v>0</v>
      </c>
      <c r="Z404" s="4" t="s">
        <v>3632</v>
      </c>
      <c r="AA404" s="46" t="s">
        <v>2490</v>
      </c>
      <c r="AB404" s="4" t="s">
        <v>1021</v>
      </c>
      <c r="AC404" s="7" t="s">
        <v>2656</v>
      </c>
      <c r="AD404" s="4" t="s">
        <v>2961</v>
      </c>
      <c r="AE404" s="7" t="s">
        <v>2900</v>
      </c>
      <c r="AF404" s="7" t="s">
        <v>2961</v>
      </c>
      <c r="AG404" s="7" t="s">
        <v>2961</v>
      </c>
      <c r="AI404" s="7" t="s">
        <v>2463</v>
      </c>
      <c r="AJ404" s="7" t="s">
        <v>3562</v>
      </c>
      <c r="AK404" s="41">
        <f>Table43[[#This Row],[Harga Jual Pcs GT
(-PPN)]]-(Table43[[#This Row],[Harga Jual Pcs GT
(-PPN)]]*10%)</f>
        <v>0</v>
      </c>
      <c r="AL404" s="42">
        <f>Table43[[#This Row],[Harga Beli Pcs
(-PPN)]]*Table43[[#This Row],[ISI/CTN]]</f>
        <v>0</v>
      </c>
      <c r="AM404" s="42">
        <f>Table43[[#This Row],[Harga Beli Pcs
(-PPN)]]*1.11</f>
        <v>0</v>
      </c>
      <c r="AN404" s="42">
        <f>Table43[[#This Row],[Harga Beli Krt
(- PPN)]]*1.11</f>
        <v>0</v>
      </c>
      <c r="AO404" s="42"/>
      <c r="AP404" s="42">
        <f>Table43[[#This Row],[Harga Jual Pcs GT
(-PPN)]]*Table43[[#This Row],[ISI/CTN]]</f>
        <v>0</v>
      </c>
      <c r="AQ404" s="42">
        <f>Table43[[#This Row],[Harga Jual Pcs GT
(-PPN)]]*1.11</f>
        <v>0</v>
      </c>
      <c r="AR404" s="42">
        <f>Table43[[#This Row],[Harga Jual Krt GT
(- PPN)]]*1.11</f>
        <v>0</v>
      </c>
      <c r="AS404" s="42">
        <f>Table43[[#This Row],[Harga Jual Pcs GT
(-PPN)]]</f>
        <v>0</v>
      </c>
      <c r="AT404" s="42">
        <f>(Table43[[#This Row],[Harga Jual Pcs MT
(-PPN)]]*Table43[[#This Row],[ISI/CTN]])</f>
        <v>0</v>
      </c>
      <c r="AU404" s="42">
        <f>Table43[[#This Row],[Harga Jual Pcs MT
(-PPN)]]*1.11</f>
        <v>0</v>
      </c>
      <c r="AV404" s="42">
        <f>Table43[[#This Row],[Harga Jual Pcs MT
(+PPN)]]*Table43[[#This Row],[ISI/CTN]]</f>
        <v>0</v>
      </c>
      <c r="AW404" s="47"/>
      <c r="AX404" s="7"/>
      <c r="AY404" s="7" t="str">
        <f ca="1">IF(TODAY()-Table43[[#This Row],[Efektif
Pembuatan]]&gt;60,"Lama","Baru")</f>
        <v>Lama</v>
      </c>
      <c r="AZ404" s="7" t="str">
        <f ca="1">IF(TODAY()-Table43[[#This Row],[Efektif Naik Harga]]&lt;30,"Naik","Sama")</f>
        <v>Sama</v>
      </c>
      <c r="BA404" s="7" t="str">
        <f>IF(Table43[[#This Row],[Kode BARANG Win2]]&lt;&gt;"","IDR","")</f>
        <v>IDR</v>
      </c>
      <c r="BB404" s="7" t="str">
        <f>CONCATENATE(Table43[[#This Row],[kode  1 Digit
(Nomor)]],Table43[[#This Row],[kode  4 Digit                (Nomor)]])</f>
        <v>20050</v>
      </c>
      <c r="BC404" s="7" t="str">
        <f>Table43[[#This Row],[Nama            Gramasi atau Jumlah Pack per CTN]]</f>
        <v>50GR</v>
      </c>
      <c r="BD404" s="7"/>
      <c r="BE404" s="7"/>
      <c r="BF404" s="4" t="str">
        <f>IF(Table43[[#This Row],[SATUAN Fix Win]]&lt;&gt;"","KRT")</f>
        <v>KRT</v>
      </c>
      <c r="BG404" s="4" t="str">
        <f>IF(Table43[[#This Row],[SATUAN Fix Win]]&lt;&gt;"","GD01")</f>
        <v>GD01</v>
      </c>
      <c r="BH404" s="4">
        <f>IF(Table43[[#This Row],[SATUAN Fix Win]]&lt;&gt;"",11611)</f>
        <v>11611</v>
      </c>
      <c r="BI404" s="4">
        <f>IF(Table43[[#This Row],[SATUAN Fix Win]]&lt;&gt;"",11612)</f>
        <v>11612</v>
      </c>
      <c r="BJ404" s="48"/>
      <c r="BK404" s="4">
        <f>IF(Table43[[#This Row],[SATUAN Fix Win]]&lt;&gt;"",1)</f>
        <v>1</v>
      </c>
    </row>
    <row r="405" spans="1:63">
      <c r="A405" s="4" t="str">
        <f>CONCATENATE(Table43[[#This Row],[Kode BARANG Win2]],Table43[[#This Row],[No. Urut
Item Sama]])</f>
        <v>K12550020050101</v>
      </c>
      <c r="B405" s="7">
        <v>1</v>
      </c>
      <c r="D405" s="28" t="s">
        <v>657</v>
      </c>
      <c r="E405" s="28"/>
      <c r="F405" s="28" t="s">
        <v>3185</v>
      </c>
      <c r="G405" s="78">
        <v>48</v>
      </c>
      <c r="H405" s="43"/>
      <c r="I405" s="28" t="str">
        <f>Table43[[#This Row],[Nama Jenis Kemasan]]</f>
        <v>TUBE</v>
      </c>
      <c r="J405" s="4" t="str">
        <f>TRIM(CONCATENATE(Table43[[#This Row],[Nama            KLP]]," ",Table43[[#This Row],[Nama            Sub KLP]]))</f>
        <v>MASTER KIDS TOOTH PASTE</v>
      </c>
      <c r="K405" s="4" t="str">
        <f>CONCATENATE(Table43[[#This Row],[kode  2 Digit                (hrf+No)]],Table43[[#This Row],[kode  2 Digit                (Nomor)]],Table43[[#This Row],[kode  1 Digit                (Nomor)]])</f>
        <v>K1255</v>
      </c>
      <c r="L405" s="4" t="str">
        <f t="shared" si="21"/>
        <v>K1255002005010</v>
      </c>
      <c r="M405" s="11">
        <f t="shared" si="22"/>
        <v>14</v>
      </c>
      <c r="N405" s="14" t="str">
        <f>IF(AF405&lt;&gt;"",TRIM(UPPER(CONCATENATE(P405," ",R405," ",T405," ",V405," ",X405," ",Z405," ","X"," ",Table43[[#This Row],[ISI/CTN]]," ",AF405," ",AB405," ",AD405," ",AH405))),TRIM(UPPER(CONCATENATE(P405," ",R405," ",T405," ",V405," ",X405," ",Z405," ","X"," ",Table43[[#This Row],[ISI/CTN]]," ",AB405," ",AD405," ",AH405))))</f>
        <v>KNF MASTER KIDS TOOTH PASTE BEN-10 50GR X 48 TUBE</v>
      </c>
      <c r="O405" s="11">
        <f t="shared" si="23"/>
        <v>49</v>
      </c>
      <c r="P405" s="4" t="s">
        <v>97</v>
      </c>
      <c r="Q405" s="7" t="s">
        <v>98</v>
      </c>
      <c r="R405" s="4" t="s">
        <v>3839</v>
      </c>
      <c r="S405" s="44" t="s">
        <v>3840</v>
      </c>
      <c r="T405" s="45" t="s">
        <v>3630</v>
      </c>
      <c r="U405" s="7" t="s">
        <v>3597</v>
      </c>
      <c r="V405" s="45" t="s">
        <v>2961</v>
      </c>
      <c r="W405" s="44" t="s">
        <v>2900</v>
      </c>
      <c r="X405" s="4" t="s">
        <v>3842</v>
      </c>
      <c r="Y405" s="46" t="s">
        <v>2472</v>
      </c>
      <c r="Z405" s="4" t="s">
        <v>3632</v>
      </c>
      <c r="AA405" s="46" t="s">
        <v>2490</v>
      </c>
      <c r="AB405" s="4" t="s">
        <v>1021</v>
      </c>
      <c r="AC405" s="7" t="s">
        <v>2656</v>
      </c>
      <c r="AD405" s="4" t="s">
        <v>2961</v>
      </c>
      <c r="AE405" s="7" t="s">
        <v>2900</v>
      </c>
      <c r="AF405" s="7" t="s">
        <v>2961</v>
      </c>
      <c r="AG405" s="7" t="s">
        <v>2961</v>
      </c>
      <c r="AI405" s="7" t="s">
        <v>2463</v>
      </c>
      <c r="AJ405" s="7" t="s">
        <v>3562</v>
      </c>
      <c r="AK405" s="41">
        <f>Table43[[#This Row],[Harga Jual Pcs GT
(-PPN)]]-(Table43[[#This Row],[Harga Jual Pcs GT
(-PPN)]]*10%)</f>
        <v>0</v>
      </c>
      <c r="AL405" s="42">
        <f>Table43[[#This Row],[Harga Beli Pcs
(-PPN)]]*Table43[[#This Row],[ISI/CTN]]</f>
        <v>0</v>
      </c>
      <c r="AM405" s="42">
        <f>Table43[[#This Row],[Harga Beli Pcs
(-PPN)]]*1.11</f>
        <v>0</v>
      </c>
      <c r="AN405" s="42">
        <f>Table43[[#This Row],[Harga Beli Krt
(- PPN)]]*1.11</f>
        <v>0</v>
      </c>
      <c r="AO405" s="42"/>
      <c r="AP405" s="42">
        <f>Table43[[#This Row],[Harga Jual Pcs GT
(-PPN)]]*Table43[[#This Row],[ISI/CTN]]</f>
        <v>0</v>
      </c>
      <c r="AQ405" s="42">
        <f>Table43[[#This Row],[Harga Jual Pcs GT
(-PPN)]]*1.11</f>
        <v>0</v>
      </c>
      <c r="AR405" s="42">
        <f>Table43[[#This Row],[Harga Jual Krt GT
(- PPN)]]*1.11</f>
        <v>0</v>
      </c>
      <c r="AS405" s="42">
        <f>Table43[[#This Row],[Harga Jual Pcs GT
(-PPN)]]</f>
        <v>0</v>
      </c>
      <c r="AT405" s="42">
        <f>(Table43[[#This Row],[Harga Jual Pcs MT
(-PPN)]]*Table43[[#This Row],[ISI/CTN]])</f>
        <v>0</v>
      </c>
      <c r="AU405" s="42">
        <f>Table43[[#This Row],[Harga Jual Pcs MT
(-PPN)]]*1.11</f>
        <v>0</v>
      </c>
      <c r="AV405" s="42">
        <f>Table43[[#This Row],[Harga Jual Pcs MT
(+PPN)]]*Table43[[#This Row],[ISI/CTN]]</f>
        <v>0</v>
      </c>
      <c r="AW405" s="47"/>
      <c r="AX405" s="7"/>
      <c r="AY405" s="7" t="str">
        <f ca="1">IF(TODAY()-Table43[[#This Row],[Efektif
Pembuatan]]&gt;60,"Lama","Baru")</f>
        <v>Lama</v>
      </c>
      <c r="AZ405" s="7" t="str">
        <f ca="1">IF(TODAY()-Table43[[#This Row],[Efektif Naik Harga]]&lt;30,"Naik","Sama")</f>
        <v>Sama</v>
      </c>
      <c r="BA405" s="7" t="str">
        <f>IF(Table43[[#This Row],[Kode BARANG Win2]]&lt;&gt;"","IDR","")</f>
        <v>IDR</v>
      </c>
      <c r="BB405" s="7" t="str">
        <f>CONCATENATE(Table43[[#This Row],[kode  1 Digit
(Nomor)]],Table43[[#This Row],[kode  4 Digit                (Nomor)]])</f>
        <v>20050</v>
      </c>
      <c r="BC405" s="7" t="str">
        <f>Table43[[#This Row],[Nama            Gramasi atau Jumlah Pack per CTN]]</f>
        <v>50GR</v>
      </c>
      <c r="BD405" s="7"/>
      <c r="BE405" s="7"/>
      <c r="BF405" s="4" t="str">
        <f>IF(Table43[[#This Row],[SATUAN Fix Win]]&lt;&gt;"","KRT")</f>
        <v>KRT</v>
      </c>
      <c r="BG405" s="4" t="str">
        <f>IF(Table43[[#This Row],[SATUAN Fix Win]]&lt;&gt;"","GD01")</f>
        <v>GD01</v>
      </c>
      <c r="BH405" s="4">
        <f>IF(Table43[[#This Row],[SATUAN Fix Win]]&lt;&gt;"",11611)</f>
        <v>11611</v>
      </c>
      <c r="BI405" s="4">
        <f>IF(Table43[[#This Row],[SATUAN Fix Win]]&lt;&gt;"",11612)</f>
        <v>11612</v>
      </c>
      <c r="BJ405" s="48"/>
      <c r="BK405" s="4">
        <f>IF(Table43[[#This Row],[SATUAN Fix Win]]&lt;&gt;"",1)</f>
        <v>1</v>
      </c>
    </row>
    <row r="406" spans="1:63">
      <c r="A406" s="4" t="str">
        <f>CONCATENATE(Table43[[#This Row],[Kode BARANG Win2]],Table43[[#This Row],[No. Urut
Item Sama]])</f>
        <v>K12550030050101</v>
      </c>
      <c r="B406" s="7">
        <v>1</v>
      </c>
      <c r="D406" s="28" t="s">
        <v>660</v>
      </c>
      <c r="E406" s="28"/>
      <c r="F406" s="28" t="s">
        <v>3186</v>
      </c>
      <c r="G406" s="78">
        <v>48</v>
      </c>
      <c r="H406" s="43"/>
      <c r="I406" s="28" t="str">
        <f>Table43[[#This Row],[Nama Jenis Kemasan]]</f>
        <v>TUBE</v>
      </c>
      <c r="J406" s="4" t="str">
        <f>TRIM(CONCATENATE(Table43[[#This Row],[Nama            KLP]]," ",Table43[[#This Row],[Nama            Sub KLP]]))</f>
        <v>MASTER KIDS TOOTH PASTE</v>
      </c>
      <c r="K406" s="4" t="str">
        <f>CONCATENATE(Table43[[#This Row],[kode  2 Digit                (hrf+No)]],Table43[[#This Row],[kode  2 Digit                (Nomor)]],Table43[[#This Row],[kode  1 Digit                (Nomor)]])</f>
        <v>K1255</v>
      </c>
      <c r="L406" s="4" t="str">
        <f t="shared" si="21"/>
        <v>K1255003005010</v>
      </c>
      <c r="M406" s="11">
        <f t="shared" si="22"/>
        <v>14</v>
      </c>
      <c r="N406" s="14" t="str">
        <f>IF(AF406&lt;&gt;"",TRIM(UPPER(CONCATENATE(P406," ",R406," ",T406," ",V406," ",X406," ",Z406," ","X"," ",Table43[[#This Row],[ISI/CTN]]," ",AF406," ",AB406," ",AD406," ",AH406))),TRIM(UPPER(CONCATENATE(P406," ",R406," ",T406," ",V406," ",X406," ",Z406," ","X"," ",Table43[[#This Row],[ISI/CTN]]," ",AB406," ",AD406," ",AH406))))</f>
        <v>KNF MASTER KIDS TOOTH PASTE IRON MAN 50GR X 48 TUBE</v>
      </c>
      <c r="O406" s="11">
        <f t="shared" si="23"/>
        <v>51</v>
      </c>
      <c r="P406" s="4" t="s">
        <v>97</v>
      </c>
      <c r="Q406" s="7" t="s">
        <v>98</v>
      </c>
      <c r="R406" s="4" t="s">
        <v>3839</v>
      </c>
      <c r="S406" s="44" t="s">
        <v>3840</v>
      </c>
      <c r="T406" s="45" t="s">
        <v>3630</v>
      </c>
      <c r="U406" s="7" t="s">
        <v>3597</v>
      </c>
      <c r="V406" s="45" t="s">
        <v>2961</v>
      </c>
      <c r="W406" s="44" t="s">
        <v>2900</v>
      </c>
      <c r="X406" s="4" t="s">
        <v>3844</v>
      </c>
      <c r="Y406" s="46" t="s">
        <v>2473</v>
      </c>
      <c r="Z406" s="4" t="s">
        <v>3632</v>
      </c>
      <c r="AA406" s="46" t="s">
        <v>2490</v>
      </c>
      <c r="AB406" s="4" t="s">
        <v>1021</v>
      </c>
      <c r="AC406" s="7" t="s">
        <v>2656</v>
      </c>
      <c r="AD406" s="4" t="s">
        <v>2961</v>
      </c>
      <c r="AE406" s="7" t="s">
        <v>2900</v>
      </c>
      <c r="AF406" s="7" t="s">
        <v>2961</v>
      </c>
      <c r="AG406" s="7" t="s">
        <v>2961</v>
      </c>
      <c r="AI406" s="7" t="s">
        <v>2463</v>
      </c>
      <c r="AJ406" s="7" t="s">
        <v>3562</v>
      </c>
      <c r="AK406" s="41">
        <f>Table43[[#This Row],[Harga Jual Pcs GT
(-PPN)]]-(Table43[[#This Row],[Harga Jual Pcs GT
(-PPN)]]*10%)</f>
        <v>0</v>
      </c>
      <c r="AL406" s="42">
        <f>Table43[[#This Row],[Harga Beli Pcs
(-PPN)]]*Table43[[#This Row],[ISI/CTN]]</f>
        <v>0</v>
      </c>
      <c r="AM406" s="42">
        <f>Table43[[#This Row],[Harga Beli Pcs
(-PPN)]]*1.11</f>
        <v>0</v>
      </c>
      <c r="AN406" s="42">
        <f>Table43[[#This Row],[Harga Beli Krt
(- PPN)]]*1.11</f>
        <v>0</v>
      </c>
      <c r="AO406" s="42"/>
      <c r="AP406" s="42">
        <f>Table43[[#This Row],[Harga Jual Pcs GT
(-PPN)]]*Table43[[#This Row],[ISI/CTN]]</f>
        <v>0</v>
      </c>
      <c r="AQ406" s="42">
        <f>Table43[[#This Row],[Harga Jual Pcs GT
(-PPN)]]*1.11</f>
        <v>0</v>
      </c>
      <c r="AR406" s="42">
        <f>Table43[[#This Row],[Harga Jual Krt GT
(- PPN)]]*1.11</f>
        <v>0</v>
      </c>
      <c r="AS406" s="42">
        <f>Table43[[#This Row],[Harga Jual Pcs GT
(-PPN)]]</f>
        <v>0</v>
      </c>
      <c r="AT406" s="42">
        <f>(Table43[[#This Row],[Harga Jual Pcs MT
(-PPN)]]*Table43[[#This Row],[ISI/CTN]])</f>
        <v>0</v>
      </c>
      <c r="AU406" s="42">
        <f>Table43[[#This Row],[Harga Jual Pcs MT
(-PPN)]]*1.11</f>
        <v>0</v>
      </c>
      <c r="AV406" s="42">
        <f>Table43[[#This Row],[Harga Jual Pcs MT
(+PPN)]]*Table43[[#This Row],[ISI/CTN]]</f>
        <v>0</v>
      </c>
      <c r="AW406" s="47"/>
      <c r="AX406" s="7"/>
      <c r="AY406" s="7" t="str">
        <f ca="1">IF(TODAY()-Table43[[#This Row],[Efektif
Pembuatan]]&gt;60,"Lama","Baru")</f>
        <v>Lama</v>
      </c>
      <c r="AZ406" s="7" t="str">
        <f ca="1">IF(TODAY()-Table43[[#This Row],[Efektif Naik Harga]]&lt;30,"Naik","Sama")</f>
        <v>Sama</v>
      </c>
      <c r="BA406" s="7" t="str">
        <f>IF(Table43[[#This Row],[Kode BARANG Win2]]&lt;&gt;"","IDR","")</f>
        <v>IDR</v>
      </c>
      <c r="BB406" s="7" t="str">
        <f>CONCATENATE(Table43[[#This Row],[kode  1 Digit
(Nomor)]],Table43[[#This Row],[kode  4 Digit                (Nomor)]])</f>
        <v>20050</v>
      </c>
      <c r="BC406" s="7" t="str">
        <f>Table43[[#This Row],[Nama            Gramasi atau Jumlah Pack per CTN]]</f>
        <v>50GR</v>
      </c>
      <c r="BD406" s="7"/>
      <c r="BE406" s="7"/>
      <c r="BF406" s="4" t="str">
        <f>IF(Table43[[#This Row],[SATUAN Fix Win]]&lt;&gt;"","KRT")</f>
        <v>KRT</v>
      </c>
      <c r="BG406" s="4" t="str">
        <f>IF(Table43[[#This Row],[SATUAN Fix Win]]&lt;&gt;"","GD01")</f>
        <v>GD01</v>
      </c>
      <c r="BH406" s="4">
        <f>IF(Table43[[#This Row],[SATUAN Fix Win]]&lt;&gt;"",11611)</f>
        <v>11611</v>
      </c>
      <c r="BI406" s="4">
        <f>IF(Table43[[#This Row],[SATUAN Fix Win]]&lt;&gt;"",11612)</f>
        <v>11612</v>
      </c>
      <c r="BJ406" s="48"/>
      <c r="BK406" s="4">
        <f>IF(Table43[[#This Row],[SATUAN Fix Win]]&lt;&gt;"",1)</f>
        <v>1</v>
      </c>
    </row>
    <row r="407" spans="1:63">
      <c r="A407" s="4" t="str">
        <f>CONCATENATE(Table43[[#This Row],[Kode BARANG Win2]],Table43[[#This Row],[No. Urut
Item Sama]])</f>
        <v>K12550040050101</v>
      </c>
      <c r="B407" s="7">
        <v>1</v>
      </c>
      <c r="D407" s="28" t="s">
        <v>655</v>
      </c>
      <c r="E407" s="28"/>
      <c r="F407" s="28" t="s">
        <v>3187</v>
      </c>
      <c r="G407" s="78">
        <v>48</v>
      </c>
      <c r="H407" s="43"/>
      <c r="I407" s="28" t="str">
        <f>Table43[[#This Row],[Nama Jenis Kemasan]]</f>
        <v>TUBE</v>
      </c>
      <c r="J407" s="4" t="str">
        <f>TRIM(CONCATENATE(Table43[[#This Row],[Nama            KLP]]," ",Table43[[#This Row],[Nama            Sub KLP]]))</f>
        <v>MASTER KIDS TOOTH PASTE</v>
      </c>
      <c r="K407" s="4" t="str">
        <f>CONCATENATE(Table43[[#This Row],[kode  2 Digit                (hrf+No)]],Table43[[#This Row],[kode  2 Digit                (Nomor)]],Table43[[#This Row],[kode  1 Digit                (Nomor)]])</f>
        <v>K1255</v>
      </c>
      <c r="L407" s="4" t="str">
        <f t="shared" si="21"/>
        <v>K1255004005010</v>
      </c>
      <c r="M407" s="11">
        <f t="shared" si="22"/>
        <v>14</v>
      </c>
      <c r="N407" s="14" t="str">
        <f>IF(AF407&lt;&gt;"",TRIM(UPPER(CONCATENATE(P407," ",R407," ",T407," ",V407," ",X407," ",Z407," ","X"," ",Table43[[#This Row],[ISI/CTN]]," ",AF407," ",AB407," ",AD407," ",AH407))),TRIM(UPPER(CONCATENATE(P407," ",R407," ",T407," ",V407," ",X407," ",Z407," ","X"," ",Table43[[#This Row],[ISI/CTN]]," ",AB407," ",AD407," ",AH407))))</f>
        <v>KNF MASTER KIDS TOOTH PASTE SPIDERMAN 50GR X 48 TUBE</v>
      </c>
      <c r="O407" s="11">
        <f t="shared" si="23"/>
        <v>52</v>
      </c>
      <c r="P407" s="4" t="s">
        <v>97</v>
      </c>
      <c r="Q407" s="7" t="s">
        <v>98</v>
      </c>
      <c r="R407" s="4" t="s">
        <v>3839</v>
      </c>
      <c r="S407" s="44" t="s">
        <v>3840</v>
      </c>
      <c r="T407" s="45" t="s">
        <v>3630</v>
      </c>
      <c r="U407" s="7" t="s">
        <v>3597</v>
      </c>
      <c r="V407" s="45" t="s">
        <v>2961</v>
      </c>
      <c r="W407" s="44" t="s">
        <v>2900</v>
      </c>
      <c r="X407" s="4" t="s">
        <v>3846</v>
      </c>
      <c r="Y407" s="46" t="s">
        <v>2474</v>
      </c>
      <c r="Z407" s="4" t="s">
        <v>3632</v>
      </c>
      <c r="AA407" s="46" t="s">
        <v>2490</v>
      </c>
      <c r="AB407" s="4" t="s">
        <v>1021</v>
      </c>
      <c r="AC407" s="7" t="s">
        <v>2656</v>
      </c>
      <c r="AD407" s="4" t="s">
        <v>2961</v>
      </c>
      <c r="AE407" s="7" t="s">
        <v>2900</v>
      </c>
      <c r="AF407" s="7" t="s">
        <v>2961</v>
      </c>
      <c r="AG407" s="7" t="s">
        <v>2961</v>
      </c>
      <c r="AI407" s="7" t="s">
        <v>2463</v>
      </c>
      <c r="AJ407" s="7" t="s">
        <v>3562</v>
      </c>
      <c r="AK407" s="41">
        <f>Table43[[#This Row],[Harga Jual Pcs GT
(-PPN)]]-(Table43[[#This Row],[Harga Jual Pcs GT
(-PPN)]]*10%)</f>
        <v>0</v>
      </c>
      <c r="AL407" s="42">
        <f>Table43[[#This Row],[Harga Beli Pcs
(-PPN)]]*Table43[[#This Row],[ISI/CTN]]</f>
        <v>0</v>
      </c>
      <c r="AM407" s="42">
        <f>Table43[[#This Row],[Harga Beli Pcs
(-PPN)]]*1.11</f>
        <v>0</v>
      </c>
      <c r="AN407" s="42">
        <f>Table43[[#This Row],[Harga Beli Krt
(- PPN)]]*1.11</f>
        <v>0</v>
      </c>
      <c r="AO407" s="42"/>
      <c r="AP407" s="42">
        <f>Table43[[#This Row],[Harga Jual Pcs GT
(-PPN)]]*Table43[[#This Row],[ISI/CTN]]</f>
        <v>0</v>
      </c>
      <c r="AQ407" s="42">
        <f>Table43[[#This Row],[Harga Jual Pcs GT
(-PPN)]]*1.11</f>
        <v>0</v>
      </c>
      <c r="AR407" s="42">
        <f>Table43[[#This Row],[Harga Jual Krt GT
(- PPN)]]*1.11</f>
        <v>0</v>
      </c>
      <c r="AS407" s="42">
        <f>Table43[[#This Row],[Harga Jual Pcs GT
(-PPN)]]</f>
        <v>0</v>
      </c>
      <c r="AT407" s="42">
        <f>(Table43[[#This Row],[Harga Jual Pcs MT
(-PPN)]]*Table43[[#This Row],[ISI/CTN]])</f>
        <v>0</v>
      </c>
      <c r="AU407" s="42">
        <f>Table43[[#This Row],[Harga Jual Pcs MT
(-PPN)]]*1.11</f>
        <v>0</v>
      </c>
      <c r="AV407" s="42">
        <f>Table43[[#This Row],[Harga Jual Pcs MT
(+PPN)]]*Table43[[#This Row],[ISI/CTN]]</f>
        <v>0</v>
      </c>
      <c r="AW407" s="47"/>
      <c r="AX407" s="7"/>
      <c r="AY407" s="7" t="str">
        <f ca="1">IF(TODAY()-Table43[[#This Row],[Efektif
Pembuatan]]&gt;60,"Lama","Baru")</f>
        <v>Lama</v>
      </c>
      <c r="AZ407" s="7" t="str">
        <f ca="1">IF(TODAY()-Table43[[#This Row],[Efektif Naik Harga]]&lt;30,"Naik","Sama")</f>
        <v>Sama</v>
      </c>
      <c r="BA407" s="7" t="str">
        <f>IF(Table43[[#This Row],[Kode BARANG Win2]]&lt;&gt;"","IDR","")</f>
        <v>IDR</v>
      </c>
      <c r="BB407" s="7" t="str">
        <f>CONCATENATE(Table43[[#This Row],[kode  1 Digit
(Nomor)]],Table43[[#This Row],[kode  4 Digit                (Nomor)]])</f>
        <v>20050</v>
      </c>
      <c r="BC407" s="7" t="str">
        <f>Table43[[#This Row],[Nama            Gramasi atau Jumlah Pack per CTN]]</f>
        <v>50GR</v>
      </c>
      <c r="BD407" s="7"/>
      <c r="BE407" s="7"/>
      <c r="BF407" s="4" t="str">
        <f>IF(Table43[[#This Row],[SATUAN Fix Win]]&lt;&gt;"","KRT")</f>
        <v>KRT</v>
      </c>
      <c r="BG407" s="4" t="str">
        <f>IF(Table43[[#This Row],[SATUAN Fix Win]]&lt;&gt;"","GD01")</f>
        <v>GD01</v>
      </c>
      <c r="BH407" s="4">
        <f>IF(Table43[[#This Row],[SATUAN Fix Win]]&lt;&gt;"",11611)</f>
        <v>11611</v>
      </c>
      <c r="BI407" s="4">
        <f>IF(Table43[[#This Row],[SATUAN Fix Win]]&lt;&gt;"",11612)</f>
        <v>11612</v>
      </c>
      <c r="BJ407" s="48"/>
      <c r="BK407" s="4">
        <f>IF(Table43[[#This Row],[SATUAN Fix Win]]&lt;&gt;"",1)</f>
        <v>1</v>
      </c>
    </row>
    <row r="408" spans="1:63">
      <c r="A408" s="4" t="str">
        <f>CONCATENATE(Table43[[#This Row],[Kode BARANG Win2]],Table43[[#This Row],[No. Urut
Item Sama]])</f>
        <v>K12550050050101</v>
      </c>
      <c r="B408" s="7">
        <v>1</v>
      </c>
      <c r="D408" s="28" t="s">
        <v>656</v>
      </c>
      <c r="E408" s="28"/>
      <c r="F408" s="28" t="s">
        <v>3188</v>
      </c>
      <c r="G408" s="78">
        <v>48</v>
      </c>
      <c r="H408" s="43"/>
      <c r="I408" s="28" t="str">
        <f>Table43[[#This Row],[Nama Jenis Kemasan]]</f>
        <v>TUBE</v>
      </c>
      <c r="J408" s="4" t="str">
        <f>TRIM(CONCATENATE(Table43[[#This Row],[Nama            KLP]]," ",Table43[[#This Row],[Nama            Sub KLP]]))</f>
        <v>MASTER KIDS TOOTH PASTE</v>
      </c>
      <c r="K408" s="4" t="str">
        <f>CONCATENATE(Table43[[#This Row],[kode  2 Digit                (hrf+No)]],Table43[[#This Row],[kode  2 Digit                (Nomor)]],Table43[[#This Row],[kode  1 Digit                (Nomor)]])</f>
        <v>K1255</v>
      </c>
      <c r="L408" s="4" t="str">
        <f t="shared" si="21"/>
        <v>K1255005005010</v>
      </c>
      <c r="M408" s="11">
        <f t="shared" si="22"/>
        <v>14</v>
      </c>
      <c r="N408" s="14" t="str">
        <f>IF(AF408&lt;&gt;"",TRIM(UPPER(CONCATENATE(P408," ",R408," ",T408," ",V408," ",X408," ",Z408," ","X"," ",Table43[[#This Row],[ISI/CTN]]," ",AF408," ",AB408," ",AD408," ",AH408))),TRIM(UPPER(CONCATENATE(P408," ",R408," ",T408," ",V408," ",X408," ",Z408," ","X"," ",Table43[[#This Row],[ISI/CTN]]," ",AB408," ",AD408," ",AH408))))</f>
        <v>KNF MASTER KIDS TOOTH PASTE SUPERMAN 50GR X 48 TUBE</v>
      </c>
      <c r="O408" s="11">
        <f t="shared" si="23"/>
        <v>51</v>
      </c>
      <c r="P408" s="4" t="s">
        <v>97</v>
      </c>
      <c r="Q408" s="7" t="s">
        <v>98</v>
      </c>
      <c r="R408" s="4" t="s">
        <v>3839</v>
      </c>
      <c r="S408" s="44" t="s">
        <v>3840</v>
      </c>
      <c r="T408" s="45" t="s">
        <v>3630</v>
      </c>
      <c r="U408" s="7" t="s">
        <v>3597</v>
      </c>
      <c r="V408" s="45" t="s">
        <v>2961</v>
      </c>
      <c r="W408" s="44" t="s">
        <v>2900</v>
      </c>
      <c r="X408" s="4" t="s">
        <v>3847</v>
      </c>
      <c r="Y408" s="46" t="s">
        <v>2475</v>
      </c>
      <c r="Z408" s="4" t="s">
        <v>3632</v>
      </c>
      <c r="AA408" s="46" t="s">
        <v>2490</v>
      </c>
      <c r="AB408" s="4" t="s">
        <v>1021</v>
      </c>
      <c r="AC408" s="7" t="s">
        <v>2656</v>
      </c>
      <c r="AD408" s="4" t="s">
        <v>2961</v>
      </c>
      <c r="AE408" s="7" t="s">
        <v>2900</v>
      </c>
      <c r="AF408" s="7" t="s">
        <v>2961</v>
      </c>
      <c r="AG408" s="7" t="s">
        <v>2961</v>
      </c>
      <c r="AI408" s="7" t="s">
        <v>2463</v>
      </c>
      <c r="AJ408" s="7" t="s">
        <v>3562</v>
      </c>
      <c r="AK408" s="41">
        <f>Table43[[#This Row],[Harga Jual Pcs GT
(-PPN)]]-(Table43[[#This Row],[Harga Jual Pcs GT
(-PPN)]]*10%)</f>
        <v>0</v>
      </c>
      <c r="AL408" s="42">
        <f>Table43[[#This Row],[Harga Beli Pcs
(-PPN)]]*Table43[[#This Row],[ISI/CTN]]</f>
        <v>0</v>
      </c>
      <c r="AM408" s="42">
        <f>Table43[[#This Row],[Harga Beli Pcs
(-PPN)]]*1.11</f>
        <v>0</v>
      </c>
      <c r="AN408" s="42">
        <f>Table43[[#This Row],[Harga Beli Krt
(- PPN)]]*1.11</f>
        <v>0</v>
      </c>
      <c r="AO408" s="42"/>
      <c r="AP408" s="42">
        <f>Table43[[#This Row],[Harga Jual Pcs GT
(-PPN)]]*Table43[[#This Row],[ISI/CTN]]</f>
        <v>0</v>
      </c>
      <c r="AQ408" s="42">
        <f>Table43[[#This Row],[Harga Jual Pcs GT
(-PPN)]]*1.11</f>
        <v>0</v>
      </c>
      <c r="AR408" s="42">
        <f>Table43[[#This Row],[Harga Jual Krt GT
(- PPN)]]*1.11</f>
        <v>0</v>
      </c>
      <c r="AS408" s="42">
        <f>Table43[[#This Row],[Harga Jual Pcs GT
(-PPN)]]</f>
        <v>0</v>
      </c>
      <c r="AT408" s="42">
        <f>(Table43[[#This Row],[Harga Jual Pcs MT
(-PPN)]]*Table43[[#This Row],[ISI/CTN]])</f>
        <v>0</v>
      </c>
      <c r="AU408" s="42">
        <f>Table43[[#This Row],[Harga Jual Pcs MT
(-PPN)]]*1.11</f>
        <v>0</v>
      </c>
      <c r="AV408" s="42">
        <f>Table43[[#This Row],[Harga Jual Pcs MT
(+PPN)]]*Table43[[#This Row],[ISI/CTN]]</f>
        <v>0</v>
      </c>
      <c r="AW408" s="47"/>
      <c r="AX408" s="7"/>
      <c r="AY408" s="7" t="str">
        <f ca="1">IF(TODAY()-Table43[[#This Row],[Efektif
Pembuatan]]&gt;60,"Lama","Baru")</f>
        <v>Lama</v>
      </c>
      <c r="AZ408" s="7" t="str">
        <f ca="1">IF(TODAY()-Table43[[#This Row],[Efektif Naik Harga]]&lt;30,"Naik","Sama")</f>
        <v>Sama</v>
      </c>
      <c r="BA408" s="7" t="str">
        <f>IF(Table43[[#This Row],[Kode BARANG Win2]]&lt;&gt;"","IDR","")</f>
        <v>IDR</v>
      </c>
      <c r="BB408" s="7" t="str">
        <f>CONCATENATE(Table43[[#This Row],[kode  1 Digit
(Nomor)]],Table43[[#This Row],[kode  4 Digit                (Nomor)]])</f>
        <v>20050</v>
      </c>
      <c r="BC408" s="7" t="str">
        <f>Table43[[#This Row],[Nama            Gramasi atau Jumlah Pack per CTN]]</f>
        <v>50GR</v>
      </c>
      <c r="BD408" s="7"/>
      <c r="BE408" s="7"/>
      <c r="BF408" s="4" t="str">
        <f>IF(Table43[[#This Row],[SATUAN Fix Win]]&lt;&gt;"","KRT")</f>
        <v>KRT</v>
      </c>
      <c r="BG408" s="4" t="str">
        <f>IF(Table43[[#This Row],[SATUAN Fix Win]]&lt;&gt;"","GD01")</f>
        <v>GD01</v>
      </c>
      <c r="BH408" s="4">
        <f>IF(Table43[[#This Row],[SATUAN Fix Win]]&lt;&gt;"",11611)</f>
        <v>11611</v>
      </c>
      <c r="BI408" s="4">
        <f>IF(Table43[[#This Row],[SATUAN Fix Win]]&lt;&gt;"",11612)</f>
        <v>11612</v>
      </c>
      <c r="BJ408" s="48"/>
      <c r="BK408" s="4">
        <f>IF(Table43[[#This Row],[SATUAN Fix Win]]&lt;&gt;"",1)</f>
        <v>1</v>
      </c>
    </row>
    <row r="409" spans="1:63">
      <c r="A409" s="4" t="str">
        <f>CONCATENATE(Table43[[#This Row],[Kode BARANG Win2]],Table43[[#This Row],[No. Urut
Item Sama]])</f>
        <v>K12560010050101</v>
      </c>
      <c r="B409" s="7">
        <v>1</v>
      </c>
      <c r="D409" s="28" t="s">
        <v>661</v>
      </c>
      <c r="E409" s="28"/>
      <c r="F409" s="28" t="s">
        <v>3189</v>
      </c>
      <c r="G409" s="78">
        <v>24</v>
      </c>
      <c r="H409" s="43"/>
      <c r="I409" s="28" t="str">
        <f>Table43[[#This Row],[Nama Jenis Kemasan]]</f>
        <v>PACK</v>
      </c>
      <c r="J409" s="4" t="str">
        <f>TRIM(CONCATENATE(Table43[[#This Row],[Nama            KLP]]," ",Table43[[#This Row],[Nama            Sub KLP]]))</f>
        <v>MASTER KIDS T.P&amp;T.BRUSH</v>
      </c>
      <c r="K409" s="4" t="str">
        <f>CONCATENATE(Table43[[#This Row],[kode  2 Digit                (hrf+No)]],Table43[[#This Row],[kode  2 Digit                (Nomor)]],Table43[[#This Row],[kode  1 Digit                (Nomor)]])</f>
        <v>K1256</v>
      </c>
      <c r="L409" s="4" t="str">
        <f t="shared" si="21"/>
        <v>K1256001005010</v>
      </c>
      <c r="M409" s="11">
        <f t="shared" si="22"/>
        <v>14</v>
      </c>
      <c r="N409" s="14" t="str">
        <f>IF(AF409&lt;&gt;"",TRIM(UPPER(CONCATENATE(P409," ",R409," ",T409," ",V409," ",X409," ",Z409," ","X"," ",Table43[[#This Row],[ISI/CTN]]," ",AF409," ",AB409," ",AD409," ",AH409))),TRIM(UPPER(CONCATENATE(P409," ",R409," ",T409," ",V409," ",X409," ",Z409," ","X"," ",Table43[[#This Row],[ISI/CTN]]," ",AB409," ",AD409," ",AH409))))</f>
        <v>KNF MASTER KIDS T.P&amp;T.BRUSH C.AMERICA 50GR X 24 PACK</v>
      </c>
      <c r="O409" s="11">
        <f t="shared" si="23"/>
        <v>52</v>
      </c>
      <c r="P409" s="4" t="s">
        <v>97</v>
      </c>
      <c r="Q409" s="7" t="s">
        <v>98</v>
      </c>
      <c r="R409" s="4" t="s">
        <v>3839</v>
      </c>
      <c r="S409" s="44" t="s">
        <v>3840</v>
      </c>
      <c r="T409" s="45" t="s">
        <v>3855</v>
      </c>
      <c r="U409" s="7" t="s">
        <v>3607</v>
      </c>
      <c r="V409" s="45" t="s">
        <v>2961</v>
      </c>
      <c r="W409" s="44" t="s">
        <v>2900</v>
      </c>
      <c r="X409" s="4" t="s">
        <v>3851</v>
      </c>
      <c r="Y409" s="46" t="s">
        <v>0</v>
      </c>
      <c r="Z409" s="4" t="s">
        <v>3632</v>
      </c>
      <c r="AA409" s="46" t="s">
        <v>2490</v>
      </c>
      <c r="AB409" s="4" t="s">
        <v>360</v>
      </c>
      <c r="AC409" s="7" t="s">
        <v>2656</v>
      </c>
      <c r="AD409" s="4" t="s">
        <v>2961</v>
      </c>
      <c r="AE409" s="7" t="s">
        <v>2900</v>
      </c>
      <c r="AF409" s="7" t="s">
        <v>2961</v>
      </c>
      <c r="AG409" s="7" t="s">
        <v>2961</v>
      </c>
      <c r="AI409" s="7" t="s">
        <v>2463</v>
      </c>
      <c r="AJ409" s="7" t="s">
        <v>3562</v>
      </c>
      <c r="AK409" s="41">
        <f>Table43[[#This Row],[Harga Jual Pcs GT
(-PPN)]]-(Table43[[#This Row],[Harga Jual Pcs GT
(-PPN)]]*10%)</f>
        <v>0</v>
      </c>
      <c r="AL409" s="42">
        <f>Table43[[#This Row],[Harga Beli Pcs
(-PPN)]]*Table43[[#This Row],[ISI/CTN]]</f>
        <v>0</v>
      </c>
      <c r="AM409" s="42">
        <f>Table43[[#This Row],[Harga Beli Pcs
(-PPN)]]*1.11</f>
        <v>0</v>
      </c>
      <c r="AN409" s="42">
        <f>Table43[[#This Row],[Harga Beli Krt
(- PPN)]]*1.11</f>
        <v>0</v>
      </c>
      <c r="AO409" s="42"/>
      <c r="AP409" s="42">
        <f>Table43[[#This Row],[Harga Jual Pcs GT
(-PPN)]]*Table43[[#This Row],[ISI/CTN]]</f>
        <v>0</v>
      </c>
      <c r="AQ409" s="42">
        <f>Table43[[#This Row],[Harga Jual Pcs GT
(-PPN)]]*1.11</f>
        <v>0</v>
      </c>
      <c r="AR409" s="42">
        <f>Table43[[#This Row],[Harga Jual Krt GT
(- PPN)]]*1.11</f>
        <v>0</v>
      </c>
      <c r="AS409" s="42">
        <f>Table43[[#This Row],[Harga Jual Pcs GT
(-PPN)]]</f>
        <v>0</v>
      </c>
      <c r="AT409" s="42">
        <f>(Table43[[#This Row],[Harga Jual Pcs MT
(-PPN)]]*Table43[[#This Row],[ISI/CTN]])</f>
        <v>0</v>
      </c>
      <c r="AU409" s="42">
        <f>Table43[[#This Row],[Harga Jual Pcs MT
(-PPN)]]*1.11</f>
        <v>0</v>
      </c>
      <c r="AV409" s="42">
        <f>Table43[[#This Row],[Harga Jual Pcs MT
(+PPN)]]*Table43[[#This Row],[ISI/CTN]]</f>
        <v>0</v>
      </c>
      <c r="AW409" s="47"/>
      <c r="AX409" s="7"/>
      <c r="AY409" s="7" t="str">
        <f ca="1">IF(TODAY()-Table43[[#This Row],[Efektif
Pembuatan]]&gt;60,"Lama","Baru")</f>
        <v>Lama</v>
      </c>
      <c r="AZ409" s="7" t="str">
        <f ca="1">IF(TODAY()-Table43[[#This Row],[Efektif Naik Harga]]&lt;30,"Naik","Sama")</f>
        <v>Sama</v>
      </c>
      <c r="BA409" s="7" t="str">
        <f>IF(Table43[[#This Row],[Kode BARANG Win2]]&lt;&gt;"","IDR","")</f>
        <v>IDR</v>
      </c>
      <c r="BB409" s="7" t="str">
        <f>CONCATENATE(Table43[[#This Row],[kode  1 Digit
(Nomor)]],Table43[[#This Row],[kode  4 Digit                (Nomor)]])</f>
        <v>20050</v>
      </c>
      <c r="BC409" s="7" t="str">
        <f>Table43[[#This Row],[Nama            Gramasi atau Jumlah Pack per CTN]]</f>
        <v>50GR</v>
      </c>
      <c r="BD409" s="7"/>
      <c r="BE409" s="7"/>
      <c r="BF409" s="4" t="str">
        <f>IF(Table43[[#This Row],[SATUAN Fix Win]]&lt;&gt;"","KRT")</f>
        <v>KRT</v>
      </c>
      <c r="BG409" s="4" t="str">
        <f>IF(Table43[[#This Row],[SATUAN Fix Win]]&lt;&gt;"","GD01")</f>
        <v>GD01</v>
      </c>
      <c r="BH409" s="4">
        <f>IF(Table43[[#This Row],[SATUAN Fix Win]]&lt;&gt;"",11611)</f>
        <v>11611</v>
      </c>
      <c r="BI409" s="4">
        <f>IF(Table43[[#This Row],[SATUAN Fix Win]]&lt;&gt;"",11612)</f>
        <v>11612</v>
      </c>
      <c r="BJ409" s="48"/>
      <c r="BK409" s="4">
        <f>IF(Table43[[#This Row],[SATUAN Fix Win]]&lt;&gt;"",1)</f>
        <v>1</v>
      </c>
    </row>
    <row r="410" spans="1:63">
      <c r="A410" s="4" t="str">
        <f>CONCATENATE(Table43[[#This Row],[Kode BARANG Win2]],Table43[[#This Row],[No. Urut
Item Sama]])</f>
        <v>K12560020050101</v>
      </c>
      <c r="B410" s="7">
        <v>1</v>
      </c>
      <c r="D410" s="28" t="s">
        <v>664</v>
      </c>
      <c r="E410" s="28"/>
      <c r="F410" s="28" t="s">
        <v>3190</v>
      </c>
      <c r="G410" s="78">
        <v>24</v>
      </c>
      <c r="H410" s="43"/>
      <c r="I410" s="28" t="str">
        <f>Table43[[#This Row],[Nama Jenis Kemasan]]</f>
        <v>PACK</v>
      </c>
      <c r="J410" s="4" t="str">
        <f>TRIM(CONCATENATE(Table43[[#This Row],[Nama            KLP]]," ",Table43[[#This Row],[Nama            Sub KLP]]))</f>
        <v>MASTER KIDS T.P&amp;T.BRUSH</v>
      </c>
      <c r="K410" s="4" t="str">
        <f>CONCATENATE(Table43[[#This Row],[kode  2 Digit                (hrf+No)]],Table43[[#This Row],[kode  2 Digit                (Nomor)]],Table43[[#This Row],[kode  1 Digit                (Nomor)]])</f>
        <v>K1256</v>
      </c>
      <c r="L410" s="4" t="str">
        <f t="shared" si="21"/>
        <v>K1256002005010</v>
      </c>
      <c r="M410" s="11">
        <f t="shared" si="22"/>
        <v>14</v>
      </c>
      <c r="N410" s="14" t="str">
        <f>IF(AF410&lt;&gt;"",TRIM(UPPER(CONCATENATE(P410," ",R410," ",T410," ",V410," ",X410," ",Z410," ","X"," ",Table43[[#This Row],[ISI/CTN]]," ",AF410," ",AB410," ",AD410," ",AH410))),TRIM(UPPER(CONCATENATE(P410," ",R410," ",T410," ",V410," ",X410," ",Z410," ","X"," ",Table43[[#This Row],[ISI/CTN]]," ",AB410," ",AD410," ",AH410))))</f>
        <v>KNF MASTER KIDS T.P&amp;T.BRUSH IRON MAN 50GR X 24 PACK</v>
      </c>
      <c r="O410" s="11">
        <f t="shared" si="23"/>
        <v>51</v>
      </c>
      <c r="P410" s="4" t="s">
        <v>97</v>
      </c>
      <c r="Q410" s="7" t="s">
        <v>98</v>
      </c>
      <c r="R410" s="4" t="s">
        <v>3839</v>
      </c>
      <c r="S410" s="44" t="s">
        <v>3840</v>
      </c>
      <c r="T410" s="45" t="s">
        <v>3855</v>
      </c>
      <c r="U410" s="7" t="s">
        <v>3607</v>
      </c>
      <c r="V410" s="45" t="s">
        <v>2961</v>
      </c>
      <c r="W410" s="44" t="s">
        <v>2900</v>
      </c>
      <c r="X410" s="4" t="s">
        <v>3844</v>
      </c>
      <c r="Y410" s="46" t="s">
        <v>2472</v>
      </c>
      <c r="Z410" s="4" t="s">
        <v>3632</v>
      </c>
      <c r="AA410" s="46" t="s">
        <v>2490</v>
      </c>
      <c r="AB410" s="4" t="s">
        <v>360</v>
      </c>
      <c r="AC410" s="7" t="s">
        <v>2656</v>
      </c>
      <c r="AD410" s="4" t="s">
        <v>2961</v>
      </c>
      <c r="AE410" s="7" t="s">
        <v>2900</v>
      </c>
      <c r="AF410" s="7" t="s">
        <v>2961</v>
      </c>
      <c r="AG410" s="7" t="s">
        <v>2961</v>
      </c>
      <c r="AI410" s="7" t="s">
        <v>2463</v>
      </c>
      <c r="AJ410" s="7" t="s">
        <v>3562</v>
      </c>
      <c r="AK410" s="41">
        <f>Table43[[#This Row],[Harga Jual Pcs GT
(-PPN)]]-(Table43[[#This Row],[Harga Jual Pcs GT
(-PPN)]]*10%)</f>
        <v>0</v>
      </c>
      <c r="AL410" s="42">
        <f>Table43[[#This Row],[Harga Beli Pcs
(-PPN)]]*Table43[[#This Row],[ISI/CTN]]</f>
        <v>0</v>
      </c>
      <c r="AM410" s="42">
        <f>Table43[[#This Row],[Harga Beli Pcs
(-PPN)]]*1.11</f>
        <v>0</v>
      </c>
      <c r="AN410" s="42">
        <f>Table43[[#This Row],[Harga Beli Krt
(- PPN)]]*1.11</f>
        <v>0</v>
      </c>
      <c r="AO410" s="42"/>
      <c r="AP410" s="42">
        <f>Table43[[#This Row],[Harga Jual Pcs GT
(-PPN)]]*Table43[[#This Row],[ISI/CTN]]</f>
        <v>0</v>
      </c>
      <c r="AQ410" s="42">
        <f>Table43[[#This Row],[Harga Jual Pcs GT
(-PPN)]]*1.11</f>
        <v>0</v>
      </c>
      <c r="AR410" s="42">
        <f>Table43[[#This Row],[Harga Jual Krt GT
(- PPN)]]*1.11</f>
        <v>0</v>
      </c>
      <c r="AS410" s="42">
        <f>Table43[[#This Row],[Harga Jual Pcs GT
(-PPN)]]</f>
        <v>0</v>
      </c>
      <c r="AT410" s="42">
        <f>(Table43[[#This Row],[Harga Jual Pcs MT
(-PPN)]]*Table43[[#This Row],[ISI/CTN]])</f>
        <v>0</v>
      </c>
      <c r="AU410" s="42">
        <f>Table43[[#This Row],[Harga Jual Pcs MT
(-PPN)]]*1.11</f>
        <v>0</v>
      </c>
      <c r="AV410" s="42">
        <f>Table43[[#This Row],[Harga Jual Pcs MT
(+PPN)]]*Table43[[#This Row],[ISI/CTN]]</f>
        <v>0</v>
      </c>
      <c r="AW410" s="47"/>
      <c r="AX410" s="7"/>
      <c r="AY410" s="7" t="str">
        <f ca="1">IF(TODAY()-Table43[[#This Row],[Efektif
Pembuatan]]&gt;60,"Lama","Baru")</f>
        <v>Lama</v>
      </c>
      <c r="AZ410" s="7" t="str">
        <f ca="1">IF(TODAY()-Table43[[#This Row],[Efektif Naik Harga]]&lt;30,"Naik","Sama")</f>
        <v>Sama</v>
      </c>
      <c r="BA410" s="7" t="str">
        <f>IF(Table43[[#This Row],[Kode BARANG Win2]]&lt;&gt;"","IDR","")</f>
        <v>IDR</v>
      </c>
      <c r="BB410" s="7" t="str">
        <f>CONCATENATE(Table43[[#This Row],[kode  1 Digit
(Nomor)]],Table43[[#This Row],[kode  4 Digit                (Nomor)]])</f>
        <v>20050</v>
      </c>
      <c r="BC410" s="7" t="str">
        <f>Table43[[#This Row],[Nama            Gramasi atau Jumlah Pack per CTN]]</f>
        <v>50GR</v>
      </c>
      <c r="BD410" s="7"/>
      <c r="BE410" s="7"/>
      <c r="BF410" s="4" t="str">
        <f>IF(Table43[[#This Row],[SATUAN Fix Win]]&lt;&gt;"","KRT")</f>
        <v>KRT</v>
      </c>
      <c r="BG410" s="4" t="str">
        <f>IF(Table43[[#This Row],[SATUAN Fix Win]]&lt;&gt;"","GD01")</f>
        <v>GD01</v>
      </c>
      <c r="BH410" s="4">
        <f>IF(Table43[[#This Row],[SATUAN Fix Win]]&lt;&gt;"",11611)</f>
        <v>11611</v>
      </c>
      <c r="BI410" s="4">
        <f>IF(Table43[[#This Row],[SATUAN Fix Win]]&lt;&gt;"",11612)</f>
        <v>11612</v>
      </c>
      <c r="BJ410" s="48"/>
      <c r="BK410" s="4">
        <f>IF(Table43[[#This Row],[SATUAN Fix Win]]&lt;&gt;"",1)</f>
        <v>1</v>
      </c>
    </row>
    <row r="411" spans="1:63">
      <c r="A411" s="4" t="str">
        <f>CONCATENATE(Table43[[#This Row],[Kode BARANG Win2]],Table43[[#This Row],[No. Urut
Item Sama]])</f>
        <v>K12600010100101</v>
      </c>
      <c r="B411" s="7">
        <v>1</v>
      </c>
      <c r="D411" s="28" t="s">
        <v>875</v>
      </c>
      <c r="E411" s="28"/>
      <c r="F411" s="28" t="s">
        <v>3191</v>
      </c>
      <c r="G411" s="78">
        <v>24</v>
      </c>
      <c r="H411" s="43"/>
      <c r="I411" s="28" t="str">
        <f>Table43[[#This Row],[Nama Jenis Kemasan]]</f>
        <v>BTL</v>
      </c>
      <c r="J411" s="4" t="str">
        <f>TRIM(CONCATENATE(Table43[[#This Row],[Nama            KLP]]," ",Table43[[#This Row],[Nama            Sub KLP]]))</f>
        <v>OVALE OLIVE</v>
      </c>
      <c r="K411" s="4" t="str">
        <f>CONCATENATE(Table43[[#This Row],[kode  2 Digit                (hrf+No)]],Table43[[#This Row],[kode  2 Digit                (Nomor)]],Table43[[#This Row],[kode  1 Digit                (Nomor)]])</f>
        <v>K1260</v>
      </c>
      <c r="L411" s="4" t="str">
        <f t="shared" si="21"/>
        <v>K1260001010010</v>
      </c>
      <c r="M411" s="11">
        <f t="shared" si="22"/>
        <v>14</v>
      </c>
      <c r="N411" s="14" t="str">
        <f>IF(AF411&lt;&gt;"",TRIM(UPPER(CONCATENATE(P411," ",R411," ",T411," ",V411," ",X411," ",Z411," ","X"," ",Table43[[#This Row],[ISI/CTN]]," ",AF411," ",AB411," ",AD411," ",AH411))),TRIM(UPPER(CONCATENATE(P411," ",R411," ",T411," ",V411," ",X411," ",Z411," ","X"," ",Table43[[#This Row],[ISI/CTN]]," ",AB411," ",AD411," ",AH411))))</f>
        <v>KNF OVALE OLIVE OIL 100ML X 24 BTL</v>
      </c>
      <c r="O411" s="11">
        <f t="shared" si="23"/>
        <v>34</v>
      </c>
      <c r="P411" s="4" t="s">
        <v>97</v>
      </c>
      <c r="Q411" s="7" t="s">
        <v>98</v>
      </c>
      <c r="R411" s="4" t="s">
        <v>3856</v>
      </c>
      <c r="S411" s="44" t="s">
        <v>3857</v>
      </c>
      <c r="T411" s="45" t="s">
        <v>2961</v>
      </c>
      <c r="U411" s="7" t="s">
        <v>2900</v>
      </c>
      <c r="V411" s="45" t="s">
        <v>2961</v>
      </c>
      <c r="W411" s="44" t="s">
        <v>2900</v>
      </c>
      <c r="X411" s="4" t="s">
        <v>3858</v>
      </c>
      <c r="Y411" s="46" t="s">
        <v>0</v>
      </c>
      <c r="Z411" s="4" t="s">
        <v>3588</v>
      </c>
      <c r="AA411" s="46" t="s">
        <v>2487</v>
      </c>
      <c r="AB411" s="4" t="s">
        <v>357</v>
      </c>
      <c r="AC411" s="7" t="s">
        <v>2656</v>
      </c>
      <c r="AD411" s="4" t="s">
        <v>2961</v>
      </c>
      <c r="AE411" s="7" t="s">
        <v>2900</v>
      </c>
      <c r="AF411" s="7" t="s">
        <v>2961</v>
      </c>
      <c r="AG411" s="7" t="s">
        <v>2961</v>
      </c>
      <c r="AI411" s="7" t="s">
        <v>4100</v>
      </c>
      <c r="AJ411" s="7" t="s">
        <v>2656</v>
      </c>
      <c r="AK411" s="41">
        <f>Table43[[#This Row],[Harga Jual Pcs GT
(-PPN)]]-(Table43[[#This Row],[Harga Jual Pcs GT
(-PPN)]]*10%)</f>
        <v>0</v>
      </c>
      <c r="AL411" s="42">
        <f>Table43[[#This Row],[Harga Beli Pcs
(-PPN)]]*Table43[[#This Row],[ISI/CTN]]</f>
        <v>0</v>
      </c>
      <c r="AM411" s="42">
        <f>Table43[[#This Row],[Harga Beli Pcs
(-PPN)]]*1.11</f>
        <v>0</v>
      </c>
      <c r="AN411" s="42">
        <f>Table43[[#This Row],[Harga Beli Krt
(- PPN)]]*1.11</f>
        <v>0</v>
      </c>
      <c r="AO411" s="42"/>
      <c r="AP411" s="42">
        <f>Table43[[#This Row],[Harga Jual Pcs GT
(-PPN)]]*Table43[[#This Row],[ISI/CTN]]</f>
        <v>0</v>
      </c>
      <c r="AQ411" s="42">
        <f>Table43[[#This Row],[Harga Jual Pcs GT
(-PPN)]]*1.11</f>
        <v>0</v>
      </c>
      <c r="AR411" s="42">
        <f>Table43[[#This Row],[Harga Jual Krt GT
(- PPN)]]*1.11</f>
        <v>0</v>
      </c>
      <c r="AS411" s="42">
        <f>Table43[[#This Row],[Harga Jual Pcs GT
(-PPN)]]</f>
        <v>0</v>
      </c>
      <c r="AT411" s="42">
        <f>(Table43[[#This Row],[Harga Jual Pcs MT
(-PPN)]]*Table43[[#This Row],[ISI/CTN]])</f>
        <v>0</v>
      </c>
      <c r="AU411" s="42">
        <f>Table43[[#This Row],[Harga Jual Pcs MT
(-PPN)]]*1.11</f>
        <v>0</v>
      </c>
      <c r="AV411" s="42">
        <f>Table43[[#This Row],[Harga Jual Pcs MT
(+PPN)]]*Table43[[#This Row],[ISI/CTN]]</f>
        <v>0</v>
      </c>
      <c r="AW411" s="47"/>
      <c r="AX411" s="7"/>
      <c r="AY411" s="7" t="str">
        <f ca="1">IF(TODAY()-Table43[[#This Row],[Efektif
Pembuatan]]&gt;60,"Lama","Baru")</f>
        <v>Lama</v>
      </c>
      <c r="AZ411" s="7" t="str">
        <f ca="1">IF(TODAY()-Table43[[#This Row],[Efektif Naik Harga]]&lt;30,"Naik","Sama")</f>
        <v>Sama</v>
      </c>
      <c r="BA411" s="7" t="str">
        <f>IF(Table43[[#This Row],[Kode BARANG Win2]]&lt;&gt;"","IDR","")</f>
        <v>IDR</v>
      </c>
      <c r="BB411" s="7" t="str">
        <f>CONCATENATE(Table43[[#This Row],[kode  1 Digit
(Nomor)]],Table43[[#This Row],[kode  4 Digit                (Nomor)]])</f>
        <v>10100</v>
      </c>
      <c r="BC411" s="7" t="str">
        <f>Table43[[#This Row],[Nama            Gramasi atau Jumlah Pack per CTN]]</f>
        <v>100ML</v>
      </c>
      <c r="BD411" s="7"/>
      <c r="BE411" s="7"/>
      <c r="BF411" s="4" t="str">
        <f>IF(Table43[[#This Row],[SATUAN Fix Win]]&lt;&gt;"","KRT")</f>
        <v>KRT</v>
      </c>
      <c r="BG411" s="4" t="str">
        <f>IF(Table43[[#This Row],[SATUAN Fix Win]]&lt;&gt;"","GD01")</f>
        <v>GD01</v>
      </c>
      <c r="BH411" s="4">
        <f>IF(Table43[[#This Row],[SATUAN Fix Win]]&lt;&gt;"",11611)</f>
        <v>11611</v>
      </c>
      <c r="BI411" s="4">
        <f>IF(Table43[[#This Row],[SATUAN Fix Win]]&lt;&gt;"",11612)</f>
        <v>11612</v>
      </c>
      <c r="BJ411" s="48"/>
      <c r="BK411" s="4">
        <f>IF(Table43[[#This Row],[SATUAN Fix Win]]&lt;&gt;"",1)</f>
        <v>1</v>
      </c>
    </row>
    <row r="412" spans="1:63">
      <c r="A412" s="4" t="str">
        <f>CONCATENATE(Table43[[#This Row],[Kode BARANG Win2]],Table43[[#This Row],[No. Urut
Item Sama]])</f>
        <v>K12700010010111</v>
      </c>
      <c r="B412" s="7">
        <v>1</v>
      </c>
      <c r="D412" s="28" t="s">
        <v>885</v>
      </c>
      <c r="E412" s="28"/>
      <c r="F412" s="28" t="s">
        <v>3192</v>
      </c>
      <c r="G412" s="78">
        <v>144</v>
      </c>
      <c r="H412" s="43"/>
      <c r="I412" s="28" t="str">
        <f>Table43[[#This Row],[Nama Jenis Kemasan]]</f>
        <v>SCH</v>
      </c>
      <c r="J412" s="4" t="str">
        <f>TRIM(CONCATENATE(Table43[[#This Row],[Nama            KLP]]," ",Table43[[#This Row],[Nama            Sub KLP]]))</f>
        <v>OVALE CLAY MASK</v>
      </c>
      <c r="K412" s="4" t="str">
        <f>CONCATENATE(Table43[[#This Row],[kode  2 Digit                (hrf+No)]],Table43[[#This Row],[kode  2 Digit                (Nomor)]],Table43[[#This Row],[kode  1 Digit                (Nomor)]])</f>
        <v>K1270</v>
      </c>
      <c r="L412" s="4" t="str">
        <f t="shared" si="21"/>
        <v>K1270001001011</v>
      </c>
      <c r="M412" s="11">
        <f t="shared" si="22"/>
        <v>14</v>
      </c>
      <c r="N412" s="14" t="str">
        <f>IF(AF412&lt;&gt;"",TRIM(UPPER(CONCATENATE(P412," ",R412," ",T412," ",V412," ",X412," ",Z412," ","X"," ",Table43[[#This Row],[ISI/CTN]]," ",AF412," ",AB412," ",AD412," ",AH412))),TRIM(UPPER(CONCATENATE(P412," ",R412," ",T412," ",V412," ",X412," ",Z412," ","X"," ",Table43[[#This Row],[ISI/CTN]]," ",AB412," ",AD412," ",AH412))))</f>
        <v>KNF OVALE CLAY MASK ACNE PRONE 10GR X 144 SACHET SCH</v>
      </c>
      <c r="O412" s="11">
        <f t="shared" si="23"/>
        <v>52</v>
      </c>
      <c r="P412" s="4" t="s">
        <v>97</v>
      </c>
      <c r="Q412" s="7" t="s">
        <v>98</v>
      </c>
      <c r="R412" s="4" t="s">
        <v>3859</v>
      </c>
      <c r="S412" s="44" t="s">
        <v>3860</v>
      </c>
      <c r="T412" s="45" t="s">
        <v>2961</v>
      </c>
      <c r="U412" s="7" t="s">
        <v>2900</v>
      </c>
      <c r="V412" s="45" t="s">
        <v>2961</v>
      </c>
      <c r="W412" s="44" t="s">
        <v>2900</v>
      </c>
      <c r="X412" s="4" t="s">
        <v>3861</v>
      </c>
      <c r="Y412" s="46" t="s">
        <v>0</v>
      </c>
      <c r="Z412" s="4" t="s">
        <v>3862</v>
      </c>
      <c r="AA412" s="46" t="s">
        <v>2488</v>
      </c>
      <c r="AB412" s="4" t="s">
        <v>1022</v>
      </c>
      <c r="AC412" s="7" t="s">
        <v>2656</v>
      </c>
      <c r="AD412" s="4" t="s">
        <v>2961</v>
      </c>
      <c r="AE412" s="7" t="s">
        <v>2900</v>
      </c>
      <c r="AF412" s="7" t="s">
        <v>149</v>
      </c>
      <c r="AG412" s="7" t="s">
        <v>2656</v>
      </c>
      <c r="AI412" s="7" t="s">
        <v>2463</v>
      </c>
      <c r="AJ412" s="7" t="s">
        <v>3562</v>
      </c>
      <c r="AK412" s="41">
        <f>Table43[[#This Row],[Harga Jual Pcs GT
(-PPN)]]-(Table43[[#This Row],[Harga Jual Pcs GT
(-PPN)]]*10%)</f>
        <v>0</v>
      </c>
      <c r="AL412" s="42">
        <f>Table43[[#This Row],[Harga Beli Pcs
(-PPN)]]*Table43[[#This Row],[ISI/CTN]]</f>
        <v>0</v>
      </c>
      <c r="AM412" s="42">
        <f>Table43[[#This Row],[Harga Beli Pcs
(-PPN)]]*1.11</f>
        <v>0</v>
      </c>
      <c r="AN412" s="42">
        <f>Table43[[#This Row],[Harga Beli Krt
(- PPN)]]*1.11</f>
        <v>0</v>
      </c>
      <c r="AO412" s="42"/>
      <c r="AP412" s="42">
        <f>Table43[[#This Row],[Harga Jual Pcs GT
(-PPN)]]*Table43[[#This Row],[ISI/CTN]]</f>
        <v>0</v>
      </c>
      <c r="AQ412" s="42">
        <f>Table43[[#This Row],[Harga Jual Pcs GT
(-PPN)]]*1.11</f>
        <v>0</v>
      </c>
      <c r="AR412" s="42">
        <f>Table43[[#This Row],[Harga Jual Krt GT
(- PPN)]]*1.11</f>
        <v>0</v>
      </c>
      <c r="AS412" s="42">
        <f>Table43[[#This Row],[Harga Jual Pcs GT
(-PPN)]]</f>
        <v>0</v>
      </c>
      <c r="AT412" s="42">
        <f>(Table43[[#This Row],[Harga Jual Pcs MT
(-PPN)]]*Table43[[#This Row],[ISI/CTN]])</f>
        <v>0</v>
      </c>
      <c r="AU412" s="42">
        <f>Table43[[#This Row],[Harga Jual Pcs MT
(-PPN)]]*1.11</f>
        <v>0</v>
      </c>
      <c r="AV412" s="42">
        <f>Table43[[#This Row],[Harga Jual Pcs MT
(+PPN)]]*Table43[[#This Row],[ISI/CTN]]</f>
        <v>0</v>
      </c>
      <c r="AW412" s="47"/>
      <c r="AX412" s="7"/>
      <c r="AY412" s="7" t="str">
        <f ca="1">IF(TODAY()-Table43[[#This Row],[Efektif
Pembuatan]]&gt;60,"Lama","Baru")</f>
        <v>Lama</v>
      </c>
      <c r="AZ412" s="7" t="str">
        <f ca="1">IF(TODAY()-Table43[[#This Row],[Efektif Naik Harga]]&lt;30,"Naik","Sama")</f>
        <v>Sama</v>
      </c>
      <c r="BA412" s="7" t="str">
        <f>IF(Table43[[#This Row],[Kode BARANG Win2]]&lt;&gt;"","IDR","")</f>
        <v>IDR</v>
      </c>
      <c r="BB412" s="7" t="str">
        <f>CONCATENATE(Table43[[#This Row],[kode  1 Digit
(Nomor)]],Table43[[#This Row],[kode  4 Digit                (Nomor)]])</f>
        <v>20010</v>
      </c>
      <c r="BC412" s="7" t="str">
        <f>Table43[[#This Row],[Nama            Gramasi atau Jumlah Pack per CTN]]</f>
        <v>10GR</v>
      </c>
      <c r="BD412" s="7"/>
      <c r="BE412" s="7"/>
      <c r="BF412" s="4" t="str">
        <f>IF(Table43[[#This Row],[SATUAN Fix Win]]&lt;&gt;"","KRT")</f>
        <v>KRT</v>
      </c>
      <c r="BG412" s="4" t="str">
        <f>IF(Table43[[#This Row],[SATUAN Fix Win]]&lt;&gt;"","GD01")</f>
        <v>GD01</v>
      </c>
      <c r="BH412" s="4">
        <f>IF(Table43[[#This Row],[SATUAN Fix Win]]&lt;&gt;"",11611)</f>
        <v>11611</v>
      </c>
      <c r="BI412" s="4">
        <f>IF(Table43[[#This Row],[SATUAN Fix Win]]&lt;&gt;"",11612)</f>
        <v>11612</v>
      </c>
      <c r="BJ412" s="48"/>
      <c r="BK412" s="4">
        <f>IF(Table43[[#This Row],[SATUAN Fix Win]]&lt;&gt;"",1)</f>
        <v>1</v>
      </c>
    </row>
    <row r="413" spans="1:63">
      <c r="A413" s="4" t="str">
        <f>CONCATENATE(Table43[[#This Row],[Kode BARANG Win2]],Table43[[#This Row],[No. Urut
Item Sama]])</f>
        <v>K12700020015111</v>
      </c>
      <c r="B413" s="7">
        <v>1</v>
      </c>
      <c r="D413" s="28" t="s">
        <v>915</v>
      </c>
      <c r="E413" s="28"/>
      <c r="F413" s="28" t="s">
        <v>3193</v>
      </c>
      <c r="G413" s="78">
        <v>144</v>
      </c>
      <c r="H413" s="43"/>
      <c r="I413" s="28" t="str">
        <f>Table43[[#This Row],[Nama Jenis Kemasan]]</f>
        <v>SCH</v>
      </c>
      <c r="J413" s="4" t="str">
        <f>TRIM(CONCATENATE(Table43[[#This Row],[Nama            KLP]]," ",Table43[[#This Row],[Nama            Sub KLP]]))</f>
        <v>OVALE CLAY MASK</v>
      </c>
      <c r="K413" s="4" t="str">
        <f>CONCATENATE(Table43[[#This Row],[kode  2 Digit                (hrf+No)]],Table43[[#This Row],[kode  2 Digit                (Nomor)]],Table43[[#This Row],[kode  1 Digit                (Nomor)]])</f>
        <v>K1270</v>
      </c>
      <c r="L413" s="4" t="str">
        <f t="shared" si="21"/>
        <v>K1270002001511</v>
      </c>
      <c r="M413" s="11">
        <f t="shared" si="22"/>
        <v>14</v>
      </c>
      <c r="N413" s="14" t="str">
        <f>IF(AF413&lt;&gt;"",TRIM(UPPER(CONCATENATE(P413," ",R413," ",T413," ",V413," ",X413," ",Z413," ","X"," ",Table43[[#This Row],[ISI/CTN]]," ",AF413," ",AB413," ",AD413," ",AH413))),TRIM(UPPER(CONCATENATE(P413," ",R413," ",T413," ",V413," ",X413," ",Z413," ","X"," ",Table43[[#This Row],[ISI/CTN]]," ",AB413," ",AD413," ",AH413))))</f>
        <v>KNF OVALE CLAY MASK DEEP HYDRA 15GR X 144 SACHET SCH</v>
      </c>
      <c r="O413" s="11">
        <f t="shared" si="23"/>
        <v>52</v>
      </c>
      <c r="P413" s="4" t="s">
        <v>97</v>
      </c>
      <c r="Q413" s="7" t="s">
        <v>98</v>
      </c>
      <c r="R413" s="4" t="s">
        <v>3859</v>
      </c>
      <c r="S413" s="44" t="s">
        <v>3860</v>
      </c>
      <c r="T413" s="45" t="s">
        <v>2961</v>
      </c>
      <c r="U413" s="7" t="s">
        <v>2900</v>
      </c>
      <c r="V413" s="45" t="s">
        <v>2961</v>
      </c>
      <c r="W413" s="44" t="s">
        <v>2900</v>
      </c>
      <c r="X413" s="4" t="s">
        <v>3863</v>
      </c>
      <c r="Y413" s="46" t="s">
        <v>2472</v>
      </c>
      <c r="Z413" s="4" t="s">
        <v>3864</v>
      </c>
      <c r="AA413" s="46" t="s">
        <v>2507</v>
      </c>
      <c r="AB413" s="4" t="s">
        <v>1022</v>
      </c>
      <c r="AC413" s="7" t="s">
        <v>2656</v>
      </c>
      <c r="AD413" s="4" t="s">
        <v>2961</v>
      </c>
      <c r="AE413" s="7" t="s">
        <v>2900</v>
      </c>
      <c r="AF413" s="7" t="s">
        <v>149</v>
      </c>
      <c r="AG413" s="7" t="s">
        <v>2656</v>
      </c>
      <c r="AI413" s="7" t="s">
        <v>2463</v>
      </c>
      <c r="AJ413" s="7" t="s">
        <v>3562</v>
      </c>
      <c r="AK413" s="41">
        <f>Table43[[#This Row],[Harga Jual Pcs GT
(-PPN)]]-(Table43[[#This Row],[Harga Jual Pcs GT
(-PPN)]]*10%)</f>
        <v>0</v>
      </c>
      <c r="AL413" s="42">
        <f>Table43[[#This Row],[Harga Beli Pcs
(-PPN)]]*Table43[[#This Row],[ISI/CTN]]</f>
        <v>0</v>
      </c>
      <c r="AM413" s="42">
        <f>Table43[[#This Row],[Harga Beli Pcs
(-PPN)]]*1.11</f>
        <v>0</v>
      </c>
      <c r="AN413" s="42">
        <f>Table43[[#This Row],[Harga Beli Krt
(- PPN)]]*1.11</f>
        <v>0</v>
      </c>
      <c r="AO413" s="42"/>
      <c r="AP413" s="42">
        <f>Table43[[#This Row],[Harga Jual Pcs GT
(-PPN)]]*Table43[[#This Row],[ISI/CTN]]</f>
        <v>0</v>
      </c>
      <c r="AQ413" s="42">
        <f>Table43[[#This Row],[Harga Jual Pcs GT
(-PPN)]]*1.11</f>
        <v>0</v>
      </c>
      <c r="AR413" s="42">
        <f>Table43[[#This Row],[Harga Jual Krt GT
(- PPN)]]*1.11</f>
        <v>0</v>
      </c>
      <c r="AS413" s="42">
        <f>Table43[[#This Row],[Harga Jual Pcs GT
(-PPN)]]</f>
        <v>0</v>
      </c>
      <c r="AT413" s="42">
        <f>(Table43[[#This Row],[Harga Jual Pcs MT
(-PPN)]]*Table43[[#This Row],[ISI/CTN]])</f>
        <v>0</v>
      </c>
      <c r="AU413" s="42">
        <f>Table43[[#This Row],[Harga Jual Pcs MT
(-PPN)]]*1.11</f>
        <v>0</v>
      </c>
      <c r="AV413" s="42">
        <f>Table43[[#This Row],[Harga Jual Pcs MT
(+PPN)]]*Table43[[#This Row],[ISI/CTN]]</f>
        <v>0</v>
      </c>
      <c r="AW413" s="47"/>
      <c r="AX413" s="7"/>
      <c r="AY413" s="7" t="str">
        <f ca="1">IF(TODAY()-Table43[[#This Row],[Efektif
Pembuatan]]&gt;60,"Lama","Baru")</f>
        <v>Lama</v>
      </c>
      <c r="AZ413" s="7" t="str">
        <f ca="1">IF(TODAY()-Table43[[#This Row],[Efektif Naik Harga]]&lt;30,"Naik","Sama")</f>
        <v>Sama</v>
      </c>
      <c r="BA413" s="7" t="str">
        <f>IF(Table43[[#This Row],[Kode BARANG Win2]]&lt;&gt;"","IDR","")</f>
        <v>IDR</v>
      </c>
      <c r="BB413" s="7" t="str">
        <f>CONCATENATE(Table43[[#This Row],[kode  1 Digit
(Nomor)]],Table43[[#This Row],[kode  4 Digit                (Nomor)]])</f>
        <v>20015</v>
      </c>
      <c r="BC413" s="7" t="str">
        <f>Table43[[#This Row],[Nama            Gramasi atau Jumlah Pack per CTN]]</f>
        <v>15GR</v>
      </c>
      <c r="BD413" s="7"/>
      <c r="BE413" s="7"/>
      <c r="BF413" s="4" t="str">
        <f>IF(Table43[[#This Row],[SATUAN Fix Win]]&lt;&gt;"","KRT")</f>
        <v>KRT</v>
      </c>
      <c r="BG413" s="4" t="str">
        <f>IF(Table43[[#This Row],[SATUAN Fix Win]]&lt;&gt;"","GD01")</f>
        <v>GD01</v>
      </c>
      <c r="BH413" s="4">
        <f>IF(Table43[[#This Row],[SATUAN Fix Win]]&lt;&gt;"",11611)</f>
        <v>11611</v>
      </c>
      <c r="BI413" s="4">
        <f>IF(Table43[[#This Row],[SATUAN Fix Win]]&lt;&gt;"",11612)</f>
        <v>11612</v>
      </c>
      <c r="BJ413" s="48"/>
      <c r="BK413" s="4">
        <f>IF(Table43[[#This Row],[SATUAN Fix Win]]&lt;&gt;"",1)</f>
        <v>1</v>
      </c>
    </row>
    <row r="414" spans="1:63">
      <c r="A414" s="4" t="str">
        <f>CONCATENATE(Table43[[#This Row],[Kode BARANG Win2]],Table43[[#This Row],[No. Urut
Item Sama]])</f>
        <v>K12700030015111</v>
      </c>
      <c r="B414" s="7">
        <v>1</v>
      </c>
      <c r="D414" s="28" t="s">
        <v>901</v>
      </c>
      <c r="E414" s="28"/>
      <c r="F414" s="28" t="s">
        <v>3194</v>
      </c>
      <c r="G414" s="78">
        <v>144</v>
      </c>
      <c r="H414" s="43"/>
      <c r="I414" s="28" t="str">
        <f>Table43[[#This Row],[Nama Jenis Kemasan]]</f>
        <v>SCH</v>
      </c>
      <c r="J414" s="4" t="str">
        <f>TRIM(CONCATENATE(Table43[[#This Row],[Nama            KLP]]," ",Table43[[#This Row],[Nama            Sub KLP]]))</f>
        <v>OVALE CLAY MASK</v>
      </c>
      <c r="K414" s="4" t="str">
        <f>CONCATENATE(Table43[[#This Row],[kode  2 Digit                (hrf+No)]],Table43[[#This Row],[kode  2 Digit                (Nomor)]],Table43[[#This Row],[kode  1 Digit                (Nomor)]])</f>
        <v>K1270</v>
      </c>
      <c r="L414" s="4" t="str">
        <f t="shared" si="21"/>
        <v>K1270003001511</v>
      </c>
      <c r="M414" s="11">
        <f t="shared" si="22"/>
        <v>14</v>
      </c>
      <c r="N414" s="14" t="str">
        <f>IF(AF414&lt;&gt;"",TRIM(UPPER(CONCATENATE(P414," ",R414," ",T414," ",V414," ",X414," ",Z414," ","X"," ",Table43[[#This Row],[ISI/CTN]]," ",AF414," ",AB414," ",AD414," ",AH414))),TRIM(UPPER(CONCATENATE(P414," ",R414," ",T414," ",V414," ",X414," ",Z414," ","X"," ",Table43[[#This Row],[ISI/CTN]]," ",AB414," ",AD414," ",AH414))))</f>
        <v>KNF OVALE CLAY MASK HEALTHY GLOW 15GR X 144 SACHET SCH</v>
      </c>
      <c r="O414" s="11">
        <f t="shared" si="23"/>
        <v>54</v>
      </c>
      <c r="P414" s="4" t="s">
        <v>97</v>
      </c>
      <c r="Q414" s="7" t="s">
        <v>98</v>
      </c>
      <c r="R414" s="4" t="s">
        <v>3859</v>
      </c>
      <c r="S414" s="44" t="s">
        <v>3860</v>
      </c>
      <c r="T414" s="45" t="s">
        <v>2961</v>
      </c>
      <c r="U414" s="7" t="s">
        <v>2900</v>
      </c>
      <c r="V414" s="45" t="s">
        <v>2961</v>
      </c>
      <c r="W414" s="44" t="s">
        <v>2900</v>
      </c>
      <c r="X414" s="4" t="s">
        <v>3865</v>
      </c>
      <c r="Y414" s="46" t="s">
        <v>2473</v>
      </c>
      <c r="Z414" s="4" t="s">
        <v>3864</v>
      </c>
      <c r="AA414" s="46" t="s">
        <v>2507</v>
      </c>
      <c r="AB414" s="4" t="s">
        <v>1022</v>
      </c>
      <c r="AC414" s="7" t="s">
        <v>2656</v>
      </c>
      <c r="AD414" s="4" t="s">
        <v>2961</v>
      </c>
      <c r="AE414" s="7" t="s">
        <v>2900</v>
      </c>
      <c r="AF414" s="7" t="s">
        <v>149</v>
      </c>
      <c r="AG414" s="7" t="s">
        <v>2656</v>
      </c>
      <c r="AI414" s="7" t="s">
        <v>2463</v>
      </c>
      <c r="AJ414" s="7" t="s">
        <v>3562</v>
      </c>
      <c r="AK414" s="41">
        <f>Table43[[#This Row],[Harga Jual Pcs GT
(-PPN)]]-(Table43[[#This Row],[Harga Jual Pcs GT
(-PPN)]]*10%)</f>
        <v>0</v>
      </c>
      <c r="AL414" s="42">
        <f>Table43[[#This Row],[Harga Beli Pcs
(-PPN)]]*Table43[[#This Row],[ISI/CTN]]</f>
        <v>0</v>
      </c>
      <c r="AM414" s="42">
        <f>Table43[[#This Row],[Harga Beli Pcs
(-PPN)]]*1.11</f>
        <v>0</v>
      </c>
      <c r="AN414" s="42">
        <f>Table43[[#This Row],[Harga Beli Krt
(- PPN)]]*1.11</f>
        <v>0</v>
      </c>
      <c r="AO414" s="42"/>
      <c r="AP414" s="42">
        <f>Table43[[#This Row],[Harga Jual Pcs GT
(-PPN)]]*Table43[[#This Row],[ISI/CTN]]</f>
        <v>0</v>
      </c>
      <c r="AQ414" s="42">
        <f>Table43[[#This Row],[Harga Jual Pcs GT
(-PPN)]]*1.11</f>
        <v>0</v>
      </c>
      <c r="AR414" s="42">
        <f>Table43[[#This Row],[Harga Jual Krt GT
(- PPN)]]*1.11</f>
        <v>0</v>
      </c>
      <c r="AS414" s="42">
        <f>Table43[[#This Row],[Harga Jual Pcs GT
(-PPN)]]</f>
        <v>0</v>
      </c>
      <c r="AT414" s="42">
        <f>(Table43[[#This Row],[Harga Jual Pcs MT
(-PPN)]]*Table43[[#This Row],[ISI/CTN]])</f>
        <v>0</v>
      </c>
      <c r="AU414" s="42">
        <f>Table43[[#This Row],[Harga Jual Pcs MT
(-PPN)]]*1.11</f>
        <v>0</v>
      </c>
      <c r="AV414" s="42">
        <f>Table43[[#This Row],[Harga Jual Pcs MT
(+PPN)]]*Table43[[#This Row],[ISI/CTN]]</f>
        <v>0</v>
      </c>
      <c r="AW414" s="47"/>
      <c r="AX414" s="7"/>
      <c r="AY414" s="7" t="str">
        <f ca="1">IF(TODAY()-Table43[[#This Row],[Efektif
Pembuatan]]&gt;60,"Lama","Baru")</f>
        <v>Lama</v>
      </c>
      <c r="AZ414" s="7" t="str">
        <f ca="1">IF(TODAY()-Table43[[#This Row],[Efektif Naik Harga]]&lt;30,"Naik","Sama")</f>
        <v>Sama</v>
      </c>
      <c r="BA414" s="7" t="str">
        <f>IF(Table43[[#This Row],[Kode BARANG Win2]]&lt;&gt;"","IDR","")</f>
        <v>IDR</v>
      </c>
      <c r="BB414" s="7" t="str">
        <f>CONCATENATE(Table43[[#This Row],[kode  1 Digit
(Nomor)]],Table43[[#This Row],[kode  4 Digit                (Nomor)]])</f>
        <v>20015</v>
      </c>
      <c r="BC414" s="7" t="str">
        <f>Table43[[#This Row],[Nama            Gramasi atau Jumlah Pack per CTN]]</f>
        <v>15GR</v>
      </c>
      <c r="BD414" s="7"/>
      <c r="BE414" s="7"/>
      <c r="BF414" s="4" t="str">
        <f>IF(Table43[[#This Row],[SATUAN Fix Win]]&lt;&gt;"","KRT")</f>
        <v>KRT</v>
      </c>
      <c r="BG414" s="4" t="str">
        <f>IF(Table43[[#This Row],[SATUAN Fix Win]]&lt;&gt;"","GD01")</f>
        <v>GD01</v>
      </c>
      <c r="BH414" s="4">
        <f>IF(Table43[[#This Row],[SATUAN Fix Win]]&lt;&gt;"",11611)</f>
        <v>11611</v>
      </c>
      <c r="BI414" s="4">
        <f>IF(Table43[[#This Row],[SATUAN Fix Win]]&lt;&gt;"",11612)</f>
        <v>11612</v>
      </c>
      <c r="BJ414" s="48"/>
      <c r="BK414" s="4">
        <f>IF(Table43[[#This Row],[SATUAN Fix Win]]&lt;&gt;"",1)</f>
        <v>1</v>
      </c>
    </row>
    <row r="415" spans="1:63">
      <c r="A415" s="4" t="str">
        <f>CONCATENATE(Table43[[#This Row],[Kode BARANG Win2]],Table43[[#This Row],[No. Urut
Item Sama]])</f>
        <v>K12700030075201</v>
      </c>
      <c r="B415" s="7">
        <v>1</v>
      </c>
      <c r="D415" s="28" t="s">
        <v>2437</v>
      </c>
      <c r="E415" s="28"/>
      <c r="F415" s="28">
        <v>0</v>
      </c>
      <c r="G415" s="78">
        <v>24</v>
      </c>
      <c r="H415" s="43"/>
      <c r="I415" s="28" t="str">
        <f>Table43[[#This Row],[Nama Jenis Kemasan]]</f>
        <v>TUBE</v>
      </c>
      <c r="J415" s="4" t="str">
        <f>TRIM(CONCATENATE(Table43[[#This Row],[Nama            KLP]]," ",Table43[[#This Row],[Nama            Sub KLP]]))</f>
        <v>OVALE CLAY MASK</v>
      </c>
      <c r="K415" s="4" t="str">
        <f>CONCATENATE(Table43[[#This Row],[kode  2 Digit                (hrf+No)]],Table43[[#This Row],[kode  2 Digit                (Nomor)]],Table43[[#This Row],[kode  1 Digit                (Nomor)]])</f>
        <v>K1270</v>
      </c>
      <c r="L415" s="4" t="str">
        <f t="shared" si="21"/>
        <v>K1270003007520</v>
      </c>
      <c r="M415" s="11">
        <f t="shared" si="22"/>
        <v>14</v>
      </c>
      <c r="N415" s="14" t="str">
        <f>IF(AF415&lt;&gt;"",TRIM(UPPER(CONCATENATE(P415," ",R415," ",T415," ",V415," ",X415," ",Z415," ","X"," ",Table43[[#This Row],[ISI/CTN]]," ",AF415," ",AB415," ",AD415," ",AH415))),TRIM(UPPER(CONCATENATE(P415," ",R415," ",T415," ",V415," ",X415," ",Z415," ","X"," ",Table43[[#This Row],[ISI/CTN]]," ",AB415," ",AD415," ",AH415))))</f>
        <v>KNF OVALE CLAY MASK HEALTHY GLOW 75GR X 24 TUBE</v>
      </c>
      <c r="O415" s="11">
        <f t="shared" si="23"/>
        <v>47</v>
      </c>
      <c r="P415" s="4" t="s">
        <v>97</v>
      </c>
      <c r="Q415" s="7" t="s">
        <v>98</v>
      </c>
      <c r="R415" s="4" t="s">
        <v>3859</v>
      </c>
      <c r="S415" s="44" t="s">
        <v>3860</v>
      </c>
      <c r="T415" s="45" t="s">
        <v>2961</v>
      </c>
      <c r="U415" s="7" t="s">
        <v>2900</v>
      </c>
      <c r="V415" s="45" t="s">
        <v>2961</v>
      </c>
      <c r="W415" s="44" t="s">
        <v>2900</v>
      </c>
      <c r="X415" s="4" t="s">
        <v>3865</v>
      </c>
      <c r="Y415" s="46" t="s">
        <v>2473</v>
      </c>
      <c r="Z415" s="4" t="s">
        <v>3854</v>
      </c>
      <c r="AA415" s="46" t="s">
        <v>2505</v>
      </c>
      <c r="AB415" s="4" t="s">
        <v>1021</v>
      </c>
      <c r="AC415" s="7" t="s">
        <v>3562</v>
      </c>
      <c r="AD415" s="4" t="s">
        <v>2961</v>
      </c>
      <c r="AE415" s="7" t="s">
        <v>2900</v>
      </c>
      <c r="AF415" s="7" t="s">
        <v>2961</v>
      </c>
      <c r="AG415" s="7" t="s">
        <v>2961</v>
      </c>
      <c r="AI415" s="7" t="s">
        <v>2463</v>
      </c>
      <c r="AJ415" s="7" t="s">
        <v>3562</v>
      </c>
      <c r="AK415" s="41">
        <f>Table43[[#This Row],[Harga Jual Pcs GT
(-PPN)]]-(Table43[[#This Row],[Harga Jual Pcs GT
(-PPN)]]*10%)</f>
        <v>0</v>
      </c>
      <c r="AL415" s="42">
        <f>Table43[[#This Row],[Harga Beli Pcs
(-PPN)]]*Table43[[#This Row],[ISI/CTN]]</f>
        <v>0</v>
      </c>
      <c r="AM415" s="42">
        <f>Table43[[#This Row],[Harga Beli Pcs
(-PPN)]]*1.11</f>
        <v>0</v>
      </c>
      <c r="AN415" s="42">
        <f>Table43[[#This Row],[Harga Beli Krt
(- PPN)]]*1.11</f>
        <v>0</v>
      </c>
      <c r="AO415" s="42"/>
      <c r="AP415" s="42">
        <f>Table43[[#This Row],[Harga Jual Pcs GT
(-PPN)]]*Table43[[#This Row],[ISI/CTN]]</f>
        <v>0</v>
      </c>
      <c r="AQ415" s="42">
        <f>Table43[[#This Row],[Harga Jual Pcs GT
(-PPN)]]*1.11</f>
        <v>0</v>
      </c>
      <c r="AR415" s="42">
        <f>Table43[[#This Row],[Harga Jual Krt GT
(- PPN)]]*1.11</f>
        <v>0</v>
      </c>
      <c r="AS415" s="42">
        <f>Table43[[#This Row],[Harga Jual Pcs GT
(-PPN)]]</f>
        <v>0</v>
      </c>
      <c r="AT415" s="42">
        <f>(Table43[[#This Row],[Harga Jual Pcs MT
(-PPN)]]*Table43[[#This Row],[ISI/CTN]])</f>
        <v>0</v>
      </c>
      <c r="AU415" s="42">
        <f>Table43[[#This Row],[Harga Jual Pcs MT
(-PPN)]]*1.11</f>
        <v>0</v>
      </c>
      <c r="AV415" s="42">
        <f>Table43[[#This Row],[Harga Jual Pcs MT
(+PPN)]]*Table43[[#This Row],[ISI/CTN]]</f>
        <v>0</v>
      </c>
      <c r="AW415" s="47"/>
      <c r="AX415" s="7"/>
      <c r="AY415" s="7" t="str">
        <f ca="1">IF(TODAY()-Table43[[#This Row],[Efektif
Pembuatan]]&gt;60,"Lama","Baru")</f>
        <v>Lama</v>
      </c>
      <c r="AZ415" s="7" t="str">
        <f ca="1">IF(TODAY()-Table43[[#This Row],[Efektif Naik Harga]]&lt;30,"Naik","Sama")</f>
        <v>Sama</v>
      </c>
      <c r="BA415" s="7" t="str">
        <f>IF(Table43[[#This Row],[Kode BARANG Win2]]&lt;&gt;"","IDR","")</f>
        <v>IDR</v>
      </c>
      <c r="BB415" s="7" t="str">
        <f>CONCATENATE(Table43[[#This Row],[kode  1 Digit
(Nomor)]],Table43[[#This Row],[kode  4 Digit                (Nomor)]])</f>
        <v>20075</v>
      </c>
      <c r="BC415" s="7" t="str">
        <f>Table43[[#This Row],[Nama            Gramasi atau Jumlah Pack per CTN]]</f>
        <v>75GR</v>
      </c>
      <c r="BD415" s="7"/>
      <c r="BE415" s="7"/>
      <c r="BF415" s="4" t="str">
        <f>IF(Table43[[#This Row],[SATUAN Fix Win]]&lt;&gt;"","KRT")</f>
        <v>KRT</v>
      </c>
      <c r="BG415" s="4" t="str">
        <f>IF(Table43[[#This Row],[SATUAN Fix Win]]&lt;&gt;"","GD01")</f>
        <v>GD01</v>
      </c>
      <c r="BH415" s="4">
        <f>IF(Table43[[#This Row],[SATUAN Fix Win]]&lt;&gt;"",11611)</f>
        <v>11611</v>
      </c>
      <c r="BI415" s="4">
        <f>IF(Table43[[#This Row],[SATUAN Fix Win]]&lt;&gt;"",11612)</f>
        <v>11612</v>
      </c>
      <c r="BJ415" s="48"/>
      <c r="BK415" s="4">
        <f>IF(Table43[[#This Row],[SATUAN Fix Win]]&lt;&gt;"",1)</f>
        <v>1</v>
      </c>
    </row>
    <row r="416" spans="1:63">
      <c r="A416" s="4" t="str">
        <f>CONCATENATE(Table43[[#This Row],[Kode BARANG Win2]],Table43[[#This Row],[No. Urut
Item Sama]])</f>
        <v>K12700040015111</v>
      </c>
      <c r="B416" s="7">
        <v>1</v>
      </c>
      <c r="D416" s="28" t="s">
        <v>909</v>
      </c>
      <c r="E416" s="28"/>
      <c r="F416" s="28" t="s">
        <v>3195</v>
      </c>
      <c r="G416" s="78">
        <v>144</v>
      </c>
      <c r="H416" s="43"/>
      <c r="I416" s="28" t="str">
        <f>Table43[[#This Row],[Nama Jenis Kemasan]]</f>
        <v>SCH</v>
      </c>
      <c r="J416" s="4" t="str">
        <f>TRIM(CONCATENATE(Table43[[#This Row],[Nama            KLP]]," ",Table43[[#This Row],[Nama            Sub KLP]]))</f>
        <v>OVALE CLAY MASK</v>
      </c>
      <c r="K416" s="4" t="str">
        <f>CONCATENATE(Table43[[#This Row],[kode  2 Digit                (hrf+No)]],Table43[[#This Row],[kode  2 Digit                (Nomor)]],Table43[[#This Row],[kode  1 Digit                (Nomor)]])</f>
        <v>K1270</v>
      </c>
      <c r="L416" s="4" t="str">
        <f t="shared" si="21"/>
        <v>K1270004001511</v>
      </c>
      <c r="M416" s="11">
        <f t="shared" si="22"/>
        <v>14</v>
      </c>
      <c r="N416" s="14" t="str">
        <f>IF(AF416&lt;&gt;"",TRIM(UPPER(CONCATENATE(P416," ",R416," ",T416," ",V416," ",X416," ",Z416," ","X"," ",Table43[[#This Row],[ISI/CTN]]," ",AF416," ",AB416," ",AD416," ",AH416))),TRIM(UPPER(CONCATENATE(P416," ",R416," ",T416," ",V416," ",X416," ",Z416," ","X"," ",Table43[[#This Row],[ISI/CTN]]," ",AB416," ",AD416," ",AH416))))</f>
        <v>KNF OVALE CLAY MASK OIL CONTROL 15GR X 144 SACHET SCH</v>
      </c>
      <c r="O416" s="11">
        <f t="shared" si="23"/>
        <v>53</v>
      </c>
      <c r="P416" s="4" t="s">
        <v>97</v>
      </c>
      <c r="Q416" s="7" t="s">
        <v>98</v>
      </c>
      <c r="R416" s="4" t="s">
        <v>3859</v>
      </c>
      <c r="S416" s="44" t="s">
        <v>3860</v>
      </c>
      <c r="T416" s="45" t="s">
        <v>2961</v>
      </c>
      <c r="U416" s="7" t="s">
        <v>2900</v>
      </c>
      <c r="V416" s="45" t="s">
        <v>2961</v>
      </c>
      <c r="W416" s="44" t="s">
        <v>2900</v>
      </c>
      <c r="X416" s="4" t="s">
        <v>3866</v>
      </c>
      <c r="Y416" s="46" t="s">
        <v>2474</v>
      </c>
      <c r="Z416" s="4" t="s">
        <v>3864</v>
      </c>
      <c r="AA416" s="46" t="s">
        <v>2507</v>
      </c>
      <c r="AB416" s="4" t="s">
        <v>1022</v>
      </c>
      <c r="AC416" s="7" t="s">
        <v>2656</v>
      </c>
      <c r="AD416" s="4" t="s">
        <v>2961</v>
      </c>
      <c r="AE416" s="7" t="s">
        <v>2900</v>
      </c>
      <c r="AF416" s="7" t="s">
        <v>149</v>
      </c>
      <c r="AG416" s="7" t="s">
        <v>2656</v>
      </c>
      <c r="AI416" s="7" t="s">
        <v>2463</v>
      </c>
      <c r="AJ416" s="7" t="s">
        <v>3562</v>
      </c>
      <c r="AK416" s="41">
        <f>Table43[[#This Row],[Harga Jual Pcs GT
(-PPN)]]-(Table43[[#This Row],[Harga Jual Pcs GT
(-PPN)]]*10%)</f>
        <v>0</v>
      </c>
      <c r="AL416" s="42">
        <f>Table43[[#This Row],[Harga Beli Pcs
(-PPN)]]*Table43[[#This Row],[ISI/CTN]]</f>
        <v>0</v>
      </c>
      <c r="AM416" s="42">
        <f>Table43[[#This Row],[Harga Beli Pcs
(-PPN)]]*1.11</f>
        <v>0</v>
      </c>
      <c r="AN416" s="42">
        <f>Table43[[#This Row],[Harga Beli Krt
(- PPN)]]*1.11</f>
        <v>0</v>
      </c>
      <c r="AO416" s="42"/>
      <c r="AP416" s="42">
        <f>Table43[[#This Row],[Harga Jual Pcs GT
(-PPN)]]*Table43[[#This Row],[ISI/CTN]]</f>
        <v>0</v>
      </c>
      <c r="AQ416" s="42">
        <f>Table43[[#This Row],[Harga Jual Pcs GT
(-PPN)]]*1.11</f>
        <v>0</v>
      </c>
      <c r="AR416" s="42">
        <f>Table43[[#This Row],[Harga Jual Krt GT
(- PPN)]]*1.11</f>
        <v>0</v>
      </c>
      <c r="AS416" s="42">
        <f>Table43[[#This Row],[Harga Jual Pcs GT
(-PPN)]]</f>
        <v>0</v>
      </c>
      <c r="AT416" s="42">
        <f>(Table43[[#This Row],[Harga Jual Pcs MT
(-PPN)]]*Table43[[#This Row],[ISI/CTN]])</f>
        <v>0</v>
      </c>
      <c r="AU416" s="42">
        <f>Table43[[#This Row],[Harga Jual Pcs MT
(-PPN)]]*1.11</f>
        <v>0</v>
      </c>
      <c r="AV416" s="42">
        <f>Table43[[#This Row],[Harga Jual Pcs MT
(+PPN)]]*Table43[[#This Row],[ISI/CTN]]</f>
        <v>0</v>
      </c>
      <c r="AW416" s="47"/>
      <c r="AX416" s="7"/>
      <c r="AY416" s="7" t="str">
        <f ca="1">IF(TODAY()-Table43[[#This Row],[Efektif
Pembuatan]]&gt;60,"Lama","Baru")</f>
        <v>Lama</v>
      </c>
      <c r="AZ416" s="7" t="str">
        <f ca="1">IF(TODAY()-Table43[[#This Row],[Efektif Naik Harga]]&lt;30,"Naik","Sama")</f>
        <v>Sama</v>
      </c>
      <c r="BA416" s="7" t="str">
        <f>IF(Table43[[#This Row],[Kode BARANG Win2]]&lt;&gt;"","IDR","")</f>
        <v>IDR</v>
      </c>
      <c r="BB416" s="7" t="str">
        <f>CONCATENATE(Table43[[#This Row],[kode  1 Digit
(Nomor)]],Table43[[#This Row],[kode  4 Digit                (Nomor)]])</f>
        <v>20015</v>
      </c>
      <c r="BC416" s="7" t="str">
        <f>Table43[[#This Row],[Nama            Gramasi atau Jumlah Pack per CTN]]</f>
        <v>15GR</v>
      </c>
      <c r="BD416" s="7"/>
      <c r="BE416" s="7"/>
      <c r="BF416" s="4" t="str">
        <f>IF(Table43[[#This Row],[SATUAN Fix Win]]&lt;&gt;"","KRT")</f>
        <v>KRT</v>
      </c>
      <c r="BG416" s="4" t="str">
        <f>IF(Table43[[#This Row],[SATUAN Fix Win]]&lt;&gt;"","GD01")</f>
        <v>GD01</v>
      </c>
      <c r="BH416" s="4">
        <f>IF(Table43[[#This Row],[SATUAN Fix Win]]&lt;&gt;"",11611)</f>
        <v>11611</v>
      </c>
      <c r="BI416" s="4">
        <f>IF(Table43[[#This Row],[SATUAN Fix Win]]&lt;&gt;"",11612)</f>
        <v>11612</v>
      </c>
      <c r="BJ416" s="48"/>
      <c r="BK416" s="4">
        <f>IF(Table43[[#This Row],[SATUAN Fix Win]]&lt;&gt;"",1)</f>
        <v>1</v>
      </c>
    </row>
    <row r="417" spans="1:63">
      <c r="A417" s="4" t="str">
        <f>CONCATENATE(Table43[[#This Row],[Kode BARANG Win2]],Table43[[#This Row],[No. Urut
Item Sama]])</f>
        <v>K12700050010111</v>
      </c>
      <c r="B417" s="7">
        <v>1</v>
      </c>
      <c r="D417" s="28" t="s">
        <v>860</v>
      </c>
      <c r="E417" s="28"/>
      <c r="F417" s="28" t="s">
        <v>3196</v>
      </c>
      <c r="G417" s="78">
        <v>144</v>
      </c>
      <c r="H417" s="43"/>
      <c r="I417" s="28" t="str">
        <f>Table43[[#This Row],[Nama Jenis Kemasan]]</f>
        <v>SCH</v>
      </c>
      <c r="J417" s="4" t="str">
        <f>TRIM(CONCATENATE(Table43[[#This Row],[Nama            KLP]]," ",Table43[[#This Row],[Nama            Sub KLP]]))</f>
        <v>OVALE CLAY MASK</v>
      </c>
      <c r="K417" s="4" t="str">
        <f>CONCATENATE(Table43[[#This Row],[kode  2 Digit                (hrf+No)]],Table43[[#This Row],[kode  2 Digit                (Nomor)]],Table43[[#This Row],[kode  1 Digit                (Nomor)]])</f>
        <v>K1270</v>
      </c>
      <c r="L417" s="4" t="str">
        <f t="shared" si="21"/>
        <v>K1270005001011</v>
      </c>
      <c r="M417" s="11">
        <f t="shared" si="22"/>
        <v>14</v>
      </c>
      <c r="N417" s="14" t="str">
        <f>IF(AF417&lt;&gt;"",TRIM(UPPER(CONCATENATE(P417," ",R417," ",T417," ",V417," ",X417," ",Z417," ","X"," ",Table43[[#This Row],[ISI/CTN]]," ",AF417," ",AB417," ",AD417," ",AH417))),TRIM(UPPER(CONCATENATE(P417," ",R417," ",T417," ",V417," ",X417," ",Z417," ","X"," ",Table43[[#This Row],[ISI/CTN]]," ",AB417," ",AD417," ",AH417))))</f>
        <v>KNF OVALE CLAY MASK PURIFYING 10GR X 144 SACHET SCH</v>
      </c>
      <c r="O417" s="11">
        <f t="shared" si="23"/>
        <v>51</v>
      </c>
      <c r="P417" s="4" t="s">
        <v>97</v>
      </c>
      <c r="Q417" s="7" t="s">
        <v>98</v>
      </c>
      <c r="R417" s="4" t="s">
        <v>3859</v>
      </c>
      <c r="S417" s="44" t="s">
        <v>3860</v>
      </c>
      <c r="T417" s="45" t="s">
        <v>2961</v>
      </c>
      <c r="U417" s="7" t="s">
        <v>2900</v>
      </c>
      <c r="V417" s="45" t="s">
        <v>2961</v>
      </c>
      <c r="W417" s="44" t="s">
        <v>2900</v>
      </c>
      <c r="X417" s="4" t="s">
        <v>3867</v>
      </c>
      <c r="Y417" s="46" t="s">
        <v>2475</v>
      </c>
      <c r="Z417" s="4" t="s">
        <v>3862</v>
      </c>
      <c r="AA417" s="46" t="s">
        <v>2488</v>
      </c>
      <c r="AB417" s="4" t="s">
        <v>1022</v>
      </c>
      <c r="AC417" s="7" t="s">
        <v>2656</v>
      </c>
      <c r="AD417" s="4" t="s">
        <v>2961</v>
      </c>
      <c r="AE417" s="7" t="s">
        <v>2900</v>
      </c>
      <c r="AF417" s="7" t="s">
        <v>149</v>
      </c>
      <c r="AG417" s="7" t="s">
        <v>2656</v>
      </c>
      <c r="AI417" s="7" t="s">
        <v>2463</v>
      </c>
      <c r="AJ417" s="7" t="s">
        <v>3562</v>
      </c>
      <c r="AK417" s="41">
        <f>Table43[[#This Row],[Harga Jual Pcs GT
(-PPN)]]-(Table43[[#This Row],[Harga Jual Pcs GT
(-PPN)]]*10%)</f>
        <v>0</v>
      </c>
      <c r="AL417" s="42">
        <f>Table43[[#This Row],[Harga Beli Pcs
(-PPN)]]*Table43[[#This Row],[ISI/CTN]]</f>
        <v>0</v>
      </c>
      <c r="AM417" s="42">
        <f>Table43[[#This Row],[Harga Beli Pcs
(-PPN)]]*1.11</f>
        <v>0</v>
      </c>
      <c r="AN417" s="42">
        <f>Table43[[#This Row],[Harga Beli Krt
(- PPN)]]*1.11</f>
        <v>0</v>
      </c>
      <c r="AO417" s="42"/>
      <c r="AP417" s="42">
        <f>Table43[[#This Row],[Harga Jual Pcs GT
(-PPN)]]*Table43[[#This Row],[ISI/CTN]]</f>
        <v>0</v>
      </c>
      <c r="AQ417" s="42">
        <f>Table43[[#This Row],[Harga Jual Pcs GT
(-PPN)]]*1.11</f>
        <v>0</v>
      </c>
      <c r="AR417" s="42">
        <f>Table43[[#This Row],[Harga Jual Krt GT
(- PPN)]]*1.11</f>
        <v>0</v>
      </c>
      <c r="AS417" s="42">
        <f>Table43[[#This Row],[Harga Jual Pcs GT
(-PPN)]]</f>
        <v>0</v>
      </c>
      <c r="AT417" s="42">
        <f>(Table43[[#This Row],[Harga Jual Pcs MT
(-PPN)]]*Table43[[#This Row],[ISI/CTN]])</f>
        <v>0</v>
      </c>
      <c r="AU417" s="42">
        <f>Table43[[#This Row],[Harga Jual Pcs MT
(-PPN)]]*1.11</f>
        <v>0</v>
      </c>
      <c r="AV417" s="42">
        <f>Table43[[#This Row],[Harga Jual Pcs MT
(+PPN)]]*Table43[[#This Row],[ISI/CTN]]</f>
        <v>0</v>
      </c>
      <c r="AW417" s="47"/>
      <c r="AX417" s="7"/>
      <c r="AY417" s="7" t="str">
        <f ca="1">IF(TODAY()-Table43[[#This Row],[Efektif
Pembuatan]]&gt;60,"Lama","Baru")</f>
        <v>Lama</v>
      </c>
      <c r="AZ417" s="7" t="str">
        <f ca="1">IF(TODAY()-Table43[[#This Row],[Efektif Naik Harga]]&lt;30,"Naik","Sama")</f>
        <v>Sama</v>
      </c>
      <c r="BA417" s="7" t="str">
        <f>IF(Table43[[#This Row],[Kode BARANG Win2]]&lt;&gt;"","IDR","")</f>
        <v>IDR</v>
      </c>
      <c r="BB417" s="7" t="str">
        <f>CONCATENATE(Table43[[#This Row],[kode  1 Digit
(Nomor)]],Table43[[#This Row],[kode  4 Digit                (Nomor)]])</f>
        <v>20010</v>
      </c>
      <c r="BC417" s="7" t="str">
        <f>Table43[[#This Row],[Nama            Gramasi atau Jumlah Pack per CTN]]</f>
        <v>10GR</v>
      </c>
      <c r="BD417" s="7"/>
      <c r="BE417" s="7"/>
      <c r="BF417" s="4" t="str">
        <f>IF(Table43[[#This Row],[SATUAN Fix Win]]&lt;&gt;"","KRT")</f>
        <v>KRT</v>
      </c>
      <c r="BG417" s="4" t="str">
        <f>IF(Table43[[#This Row],[SATUAN Fix Win]]&lt;&gt;"","GD01")</f>
        <v>GD01</v>
      </c>
      <c r="BH417" s="4">
        <f>IF(Table43[[#This Row],[SATUAN Fix Win]]&lt;&gt;"",11611)</f>
        <v>11611</v>
      </c>
      <c r="BI417" s="4">
        <f>IF(Table43[[#This Row],[SATUAN Fix Win]]&lt;&gt;"",11612)</f>
        <v>11612</v>
      </c>
      <c r="BJ417" s="48"/>
      <c r="BK417" s="4">
        <f>IF(Table43[[#This Row],[SATUAN Fix Win]]&lt;&gt;"",1)</f>
        <v>1</v>
      </c>
    </row>
    <row r="418" spans="1:63">
      <c r="A418" s="4" t="str">
        <f>CONCATENATE(Table43[[#This Row],[Kode BARANG Win2]],Table43[[#This Row],[No. Urut
Item Sama]])</f>
        <v>K12700050050201</v>
      </c>
      <c r="B418" s="7">
        <v>1</v>
      </c>
      <c r="D418" s="28" t="s">
        <v>866</v>
      </c>
      <c r="E418" s="28"/>
      <c r="F418" s="28" t="s">
        <v>3441</v>
      </c>
      <c r="G418" s="78">
        <v>24</v>
      </c>
      <c r="H418" s="43"/>
      <c r="I418" s="28" t="str">
        <f>Table43[[#This Row],[Nama Jenis Kemasan]]</f>
        <v>TUBE</v>
      </c>
      <c r="J418" s="4" t="str">
        <f>TRIM(CONCATENATE(Table43[[#This Row],[Nama            KLP]]," ",Table43[[#This Row],[Nama            Sub KLP]]))</f>
        <v>OVALE CLAY MASK</v>
      </c>
      <c r="K418" s="4" t="str">
        <f>CONCATENATE(Table43[[#This Row],[kode  2 Digit                (hrf+No)]],Table43[[#This Row],[kode  2 Digit                (Nomor)]],Table43[[#This Row],[kode  1 Digit                (Nomor)]])</f>
        <v>K1270</v>
      </c>
      <c r="L418" s="4" t="str">
        <f t="shared" si="21"/>
        <v>K1270005005020</v>
      </c>
      <c r="M418" s="11">
        <f t="shared" si="22"/>
        <v>14</v>
      </c>
      <c r="N418" s="14" t="str">
        <f>IF(AF418&lt;&gt;"",TRIM(UPPER(CONCATENATE(P418," ",R418," ",T418," ",V418," ",X418," ",Z418," ","X"," ",Table43[[#This Row],[ISI/CTN]]," ",AF418," ",AB418," ",AD418," ",AH418))),TRIM(UPPER(CONCATENATE(P418," ",R418," ",T418," ",V418," ",X418," ",Z418," ","X"," ",Table43[[#This Row],[ISI/CTN]]," ",AB418," ",AD418," ",AH418))))</f>
        <v>KNF OVALE CLAY MASK PURIFYING 50GR X 24 TUBE</v>
      </c>
      <c r="O418" s="11">
        <f t="shared" si="23"/>
        <v>44</v>
      </c>
      <c r="P418" s="4" t="s">
        <v>97</v>
      </c>
      <c r="Q418" s="7" t="s">
        <v>98</v>
      </c>
      <c r="R418" s="4" t="s">
        <v>3859</v>
      </c>
      <c r="S418" s="44" t="s">
        <v>3860</v>
      </c>
      <c r="T418" s="45" t="s">
        <v>2961</v>
      </c>
      <c r="U418" s="7" t="s">
        <v>2900</v>
      </c>
      <c r="V418" s="45" t="s">
        <v>2961</v>
      </c>
      <c r="W418" s="44" t="s">
        <v>2900</v>
      </c>
      <c r="X418" s="4" t="s">
        <v>3867</v>
      </c>
      <c r="Y418" s="46" t="s">
        <v>2475</v>
      </c>
      <c r="Z418" s="4" t="s">
        <v>3632</v>
      </c>
      <c r="AA418" s="46" t="s">
        <v>2490</v>
      </c>
      <c r="AB418" s="4" t="s">
        <v>1021</v>
      </c>
      <c r="AC418" s="7" t="s">
        <v>3562</v>
      </c>
      <c r="AD418" s="4" t="s">
        <v>2961</v>
      </c>
      <c r="AE418" s="7" t="s">
        <v>2900</v>
      </c>
      <c r="AF418" s="7" t="s">
        <v>2961</v>
      </c>
      <c r="AG418" s="7" t="s">
        <v>2961</v>
      </c>
      <c r="AI418" s="7" t="s">
        <v>2463</v>
      </c>
      <c r="AJ418" s="7" t="s">
        <v>3562</v>
      </c>
      <c r="AK418" s="41">
        <f>Table43[[#This Row],[Harga Jual Pcs GT
(-PPN)]]-(Table43[[#This Row],[Harga Jual Pcs GT
(-PPN)]]*10%)</f>
        <v>0</v>
      </c>
      <c r="AL418" s="42">
        <f>Table43[[#This Row],[Harga Beli Pcs
(-PPN)]]*Table43[[#This Row],[ISI/CTN]]</f>
        <v>0</v>
      </c>
      <c r="AM418" s="42">
        <f>Table43[[#This Row],[Harga Beli Pcs
(-PPN)]]*1.11</f>
        <v>0</v>
      </c>
      <c r="AN418" s="42">
        <f>Table43[[#This Row],[Harga Beli Krt
(- PPN)]]*1.11</f>
        <v>0</v>
      </c>
      <c r="AO418" s="42"/>
      <c r="AP418" s="42">
        <f>Table43[[#This Row],[Harga Jual Pcs GT
(-PPN)]]*Table43[[#This Row],[ISI/CTN]]</f>
        <v>0</v>
      </c>
      <c r="AQ418" s="42">
        <f>Table43[[#This Row],[Harga Jual Pcs GT
(-PPN)]]*1.11</f>
        <v>0</v>
      </c>
      <c r="AR418" s="42">
        <f>Table43[[#This Row],[Harga Jual Krt GT
(- PPN)]]*1.11</f>
        <v>0</v>
      </c>
      <c r="AS418" s="42">
        <f>Table43[[#This Row],[Harga Jual Pcs GT
(-PPN)]]</f>
        <v>0</v>
      </c>
      <c r="AT418" s="42">
        <f>(Table43[[#This Row],[Harga Jual Pcs MT
(-PPN)]]*Table43[[#This Row],[ISI/CTN]])</f>
        <v>0</v>
      </c>
      <c r="AU418" s="42">
        <f>Table43[[#This Row],[Harga Jual Pcs MT
(-PPN)]]*1.11</f>
        <v>0</v>
      </c>
      <c r="AV418" s="42">
        <f>Table43[[#This Row],[Harga Jual Pcs MT
(+PPN)]]*Table43[[#This Row],[ISI/CTN]]</f>
        <v>0</v>
      </c>
      <c r="AW418" s="47"/>
      <c r="AX418" s="7"/>
      <c r="AY418" s="7" t="str">
        <f ca="1">IF(TODAY()-Table43[[#This Row],[Efektif
Pembuatan]]&gt;60,"Lama","Baru")</f>
        <v>Lama</v>
      </c>
      <c r="AZ418" s="7" t="str">
        <f ca="1">IF(TODAY()-Table43[[#This Row],[Efektif Naik Harga]]&lt;30,"Naik","Sama")</f>
        <v>Sama</v>
      </c>
      <c r="BA418" s="7" t="str">
        <f>IF(Table43[[#This Row],[Kode BARANG Win2]]&lt;&gt;"","IDR","")</f>
        <v>IDR</v>
      </c>
      <c r="BB418" s="7" t="str">
        <f>CONCATENATE(Table43[[#This Row],[kode  1 Digit
(Nomor)]],Table43[[#This Row],[kode  4 Digit                (Nomor)]])</f>
        <v>20050</v>
      </c>
      <c r="BC418" s="7" t="str">
        <f>Table43[[#This Row],[Nama            Gramasi atau Jumlah Pack per CTN]]</f>
        <v>50GR</v>
      </c>
      <c r="BD418" s="7"/>
      <c r="BE418" s="7"/>
      <c r="BF418" s="4" t="str">
        <f>IF(Table43[[#This Row],[SATUAN Fix Win]]&lt;&gt;"","KRT")</f>
        <v>KRT</v>
      </c>
      <c r="BG418" s="4" t="str">
        <f>IF(Table43[[#This Row],[SATUAN Fix Win]]&lt;&gt;"","GD01")</f>
        <v>GD01</v>
      </c>
      <c r="BH418" s="4">
        <f>IF(Table43[[#This Row],[SATUAN Fix Win]]&lt;&gt;"",11611)</f>
        <v>11611</v>
      </c>
      <c r="BI418" s="4">
        <f>IF(Table43[[#This Row],[SATUAN Fix Win]]&lt;&gt;"",11612)</f>
        <v>11612</v>
      </c>
      <c r="BJ418" s="48"/>
      <c r="BK418" s="4">
        <f>IF(Table43[[#This Row],[SATUAN Fix Win]]&lt;&gt;"",1)</f>
        <v>1</v>
      </c>
    </row>
    <row r="419" spans="1:63">
      <c r="A419" s="4" t="str">
        <f>CONCATENATE(Table43[[#This Row],[Kode BARANG Win2]],Table43[[#This Row],[No. Urut
Item Sama]])</f>
        <v>K12800010060101</v>
      </c>
      <c r="B419" s="7">
        <v>1</v>
      </c>
      <c r="D419" s="28" t="s">
        <v>891</v>
      </c>
      <c r="E419" s="28"/>
      <c r="F419" s="28" t="s">
        <v>3197</v>
      </c>
      <c r="G419" s="78">
        <v>36</v>
      </c>
      <c r="H419" s="43"/>
      <c r="I419" s="28" t="str">
        <f>Table43[[#This Row],[Nama Jenis Kemasan]]</f>
        <v>BTL</v>
      </c>
      <c r="J419" s="4" t="str">
        <f>TRIM(CONCATENATE(Table43[[#This Row],[Nama            KLP]]," ",Table43[[#This Row],[Nama            Sub KLP]]))</f>
        <v>OVALE CLEANSING GEL</v>
      </c>
      <c r="K419" s="4" t="str">
        <f>CONCATENATE(Table43[[#This Row],[kode  2 Digit                (hrf+No)]],Table43[[#This Row],[kode  2 Digit                (Nomor)]],Table43[[#This Row],[kode  1 Digit                (Nomor)]])</f>
        <v>K1280</v>
      </c>
      <c r="L419" s="4" t="str">
        <f t="shared" si="21"/>
        <v>K1280001006010</v>
      </c>
      <c r="M419" s="11">
        <f t="shared" si="22"/>
        <v>14</v>
      </c>
      <c r="N419" s="14" t="str">
        <f>IF(AF419&lt;&gt;"",TRIM(UPPER(CONCATENATE(P419," ",R419," ",T419," ",V419," ",X419," ",Z419," ","X"," ",Table43[[#This Row],[ISI/CTN]]," ",AF419," ",AB419," ",AD419," ",AH419))),TRIM(UPPER(CONCATENATE(P419," ",R419," ",T419," ",V419," ",X419," ",Z419," ","X"," ",Table43[[#This Row],[ISI/CTN]]," ",AB419," ",AD419," ",AH419))))</f>
        <v>KNF OVALE CLEANSING GEL ACNE CARE 60ML X 36 BTL</v>
      </c>
      <c r="O419" s="11">
        <f t="shared" si="23"/>
        <v>47</v>
      </c>
      <c r="P419" s="4" t="s">
        <v>97</v>
      </c>
      <c r="Q419" s="7" t="s">
        <v>98</v>
      </c>
      <c r="R419" s="4" t="s">
        <v>3868</v>
      </c>
      <c r="S419" s="44" t="s">
        <v>3869</v>
      </c>
      <c r="T419" s="45" t="s">
        <v>2961</v>
      </c>
      <c r="U419" s="7" t="s">
        <v>2900</v>
      </c>
      <c r="V419" s="45" t="s">
        <v>2961</v>
      </c>
      <c r="W419" s="44" t="s">
        <v>2900</v>
      </c>
      <c r="X419" s="4" t="s">
        <v>3870</v>
      </c>
      <c r="Y419" s="46" t="s">
        <v>0</v>
      </c>
      <c r="Z419" s="4" t="s">
        <v>1026</v>
      </c>
      <c r="AA419" s="46" t="s">
        <v>2481</v>
      </c>
      <c r="AB419" s="4" t="s">
        <v>357</v>
      </c>
      <c r="AC419" s="7" t="s">
        <v>2656</v>
      </c>
      <c r="AD419" s="4" t="s">
        <v>2961</v>
      </c>
      <c r="AE419" s="7" t="s">
        <v>2900</v>
      </c>
      <c r="AF419" s="7" t="s">
        <v>2961</v>
      </c>
      <c r="AG419" s="7" t="s">
        <v>2961</v>
      </c>
      <c r="AI419" s="7" t="s">
        <v>4100</v>
      </c>
      <c r="AJ419" s="7" t="s">
        <v>2656</v>
      </c>
      <c r="AK419" s="41">
        <f>Table43[[#This Row],[Harga Jual Pcs GT
(-PPN)]]-(Table43[[#This Row],[Harga Jual Pcs GT
(-PPN)]]*10%)</f>
        <v>0</v>
      </c>
      <c r="AL419" s="42">
        <f>Table43[[#This Row],[Harga Beli Pcs
(-PPN)]]*Table43[[#This Row],[ISI/CTN]]</f>
        <v>0</v>
      </c>
      <c r="AM419" s="42">
        <f>Table43[[#This Row],[Harga Beli Pcs
(-PPN)]]*1.11</f>
        <v>0</v>
      </c>
      <c r="AN419" s="42">
        <f>Table43[[#This Row],[Harga Beli Krt
(- PPN)]]*1.11</f>
        <v>0</v>
      </c>
      <c r="AO419" s="42"/>
      <c r="AP419" s="42">
        <f>Table43[[#This Row],[Harga Jual Pcs GT
(-PPN)]]*Table43[[#This Row],[ISI/CTN]]</f>
        <v>0</v>
      </c>
      <c r="AQ419" s="42">
        <f>Table43[[#This Row],[Harga Jual Pcs GT
(-PPN)]]*1.11</f>
        <v>0</v>
      </c>
      <c r="AR419" s="42">
        <f>Table43[[#This Row],[Harga Jual Krt GT
(- PPN)]]*1.11</f>
        <v>0</v>
      </c>
      <c r="AS419" s="42">
        <f>Table43[[#This Row],[Harga Jual Pcs GT
(-PPN)]]</f>
        <v>0</v>
      </c>
      <c r="AT419" s="42">
        <f>(Table43[[#This Row],[Harga Jual Pcs MT
(-PPN)]]*Table43[[#This Row],[ISI/CTN]])</f>
        <v>0</v>
      </c>
      <c r="AU419" s="42">
        <f>Table43[[#This Row],[Harga Jual Pcs MT
(-PPN)]]*1.11</f>
        <v>0</v>
      </c>
      <c r="AV419" s="42">
        <f>Table43[[#This Row],[Harga Jual Pcs MT
(+PPN)]]*Table43[[#This Row],[ISI/CTN]]</f>
        <v>0</v>
      </c>
      <c r="AW419" s="47"/>
      <c r="AX419" s="7"/>
      <c r="AY419" s="7" t="str">
        <f ca="1">IF(TODAY()-Table43[[#This Row],[Efektif
Pembuatan]]&gt;60,"Lama","Baru")</f>
        <v>Lama</v>
      </c>
      <c r="AZ419" s="7" t="str">
        <f ca="1">IF(TODAY()-Table43[[#This Row],[Efektif Naik Harga]]&lt;30,"Naik","Sama")</f>
        <v>Sama</v>
      </c>
      <c r="BA419" s="7" t="str">
        <f>IF(Table43[[#This Row],[Kode BARANG Win2]]&lt;&gt;"","IDR","")</f>
        <v>IDR</v>
      </c>
      <c r="BB419" s="7" t="str">
        <f>CONCATENATE(Table43[[#This Row],[kode  1 Digit
(Nomor)]],Table43[[#This Row],[kode  4 Digit                (Nomor)]])</f>
        <v>10060</v>
      </c>
      <c r="BC419" s="7" t="str">
        <f>Table43[[#This Row],[Nama            Gramasi atau Jumlah Pack per CTN]]</f>
        <v>60ML</v>
      </c>
      <c r="BD419" s="7"/>
      <c r="BE419" s="7"/>
      <c r="BF419" s="4" t="str">
        <f>IF(Table43[[#This Row],[SATUAN Fix Win]]&lt;&gt;"","KRT")</f>
        <v>KRT</v>
      </c>
      <c r="BG419" s="4" t="str">
        <f>IF(Table43[[#This Row],[SATUAN Fix Win]]&lt;&gt;"","GD01")</f>
        <v>GD01</v>
      </c>
      <c r="BH419" s="4">
        <f>IF(Table43[[#This Row],[SATUAN Fix Win]]&lt;&gt;"",11611)</f>
        <v>11611</v>
      </c>
      <c r="BI419" s="4">
        <f>IF(Table43[[#This Row],[SATUAN Fix Win]]&lt;&gt;"",11612)</f>
        <v>11612</v>
      </c>
      <c r="BJ419" s="48"/>
      <c r="BK419" s="4">
        <f>IF(Table43[[#This Row],[SATUAN Fix Win]]&lt;&gt;"",1)</f>
        <v>1</v>
      </c>
    </row>
    <row r="420" spans="1:63">
      <c r="A420" s="4" t="str">
        <f>CONCATENATE(Table43[[#This Row],[Kode BARANG Win2]],Table43[[#This Row],[No. Urut
Item Sama]])</f>
        <v>K12800010100101</v>
      </c>
      <c r="B420" s="7">
        <v>1</v>
      </c>
      <c r="D420" s="28" t="s">
        <v>895</v>
      </c>
      <c r="E420" s="28"/>
      <c r="F420" s="28" t="s">
        <v>3198</v>
      </c>
      <c r="G420" s="78">
        <v>36</v>
      </c>
      <c r="H420" s="43"/>
      <c r="I420" s="28" t="str">
        <f>Table43[[#This Row],[Nama Jenis Kemasan]]</f>
        <v>BTL</v>
      </c>
      <c r="J420" s="4" t="str">
        <f>TRIM(CONCATENATE(Table43[[#This Row],[Nama            KLP]]," ",Table43[[#This Row],[Nama            Sub KLP]]))</f>
        <v>OVALE CLEANSING GEL</v>
      </c>
      <c r="K420" s="4" t="str">
        <f>CONCATENATE(Table43[[#This Row],[kode  2 Digit                (hrf+No)]],Table43[[#This Row],[kode  2 Digit                (Nomor)]],Table43[[#This Row],[kode  1 Digit                (Nomor)]])</f>
        <v>K1280</v>
      </c>
      <c r="L420" s="4" t="str">
        <f t="shared" si="21"/>
        <v>K1280001010010</v>
      </c>
      <c r="M420" s="11">
        <f t="shared" si="22"/>
        <v>14</v>
      </c>
      <c r="N420" s="14" t="str">
        <f>IF(AF420&lt;&gt;"",TRIM(UPPER(CONCATENATE(P420," ",R420," ",T420," ",V420," ",X420," ",Z420," ","X"," ",Table43[[#This Row],[ISI/CTN]]," ",AF420," ",AB420," ",AD420," ",AH420))),TRIM(UPPER(CONCATENATE(P420," ",R420," ",T420," ",V420," ",X420," ",Z420," ","X"," ",Table43[[#This Row],[ISI/CTN]]," ",AB420," ",AD420," ",AH420))))</f>
        <v>KNF OVALE CLEANSING GEL ACNE CARE 100ML X 36 BTL</v>
      </c>
      <c r="O420" s="11">
        <f t="shared" si="23"/>
        <v>48</v>
      </c>
      <c r="P420" s="4" t="s">
        <v>97</v>
      </c>
      <c r="Q420" s="7" t="s">
        <v>98</v>
      </c>
      <c r="R420" s="4" t="s">
        <v>3868</v>
      </c>
      <c r="S420" s="44" t="s">
        <v>3869</v>
      </c>
      <c r="T420" s="45" t="s">
        <v>2961</v>
      </c>
      <c r="U420" s="7" t="s">
        <v>2900</v>
      </c>
      <c r="V420" s="45" t="s">
        <v>2961</v>
      </c>
      <c r="W420" s="44" t="s">
        <v>2900</v>
      </c>
      <c r="X420" s="4" t="s">
        <v>3870</v>
      </c>
      <c r="Y420" s="46" t="s">
        <v>0</v>
      </c>
      <c r="Z420" s="4" t="s">
        <v>3588</v>
      </c>
      <c r="AA420" s="46" t="s">
        <v>2487</v>
      </c>
      <c r="AB420" s="4" t="s">
        <v>357</v>
      </c>
      <c r="AC420" s="7" t="s">
        <v>2656</v>
      </c>
      <c r="AD420" s="4" t="s">
        <v>2961</v>
      </c>
      <c r="AE420" s="7" t="s">
        <v>2900</v>
      </c>
      <c r="AF420" s="7" t="s">
        <v>2961</v>
      </c>
      <c r="AG420" s="7" t="s">
        <v>2961</v>
      </c>
      <c r="AI420" s="7" t="s">
        <v>4100</v>
      </c>
      <c r="AJ420" s="7" t="s">
        <v>2656</v>
      </c>
      <c r="AK420" s="41">
        <f>Table43[[#This Row],[Harga Jual Pcs GT
(-PPN)]]-(Table43[[#This Row],[Harga Jual Pcs GT
(-PPN)]]*10%)</f>
        <v>0</v>
      </c>
      <c r="AL420" s="42">
        <f>Table43[[#This Row],[Harga Beli Pcs
(-PPN)]]*Table43[[#This Row],[ISI/CTN]]</f>
        <v>0</v>
      </c>
      <c r="AM420" s="42">
        <f>Table43[[#This Row],[Harga Beli Pcs
(-PPN)]]*1.11</f>
        <v>0</v>
      </c>
      <c r="AN420" s="42">
        <f>Table43[[#This Row],[Harga Beli Krt
(- PPN)]]*1.11</f>
        <v>0</v>
      </c>
      <c r="AO420" s="42"/>
      <c r="AP420" s="42">
        <f>Table43[[#This Row],[Harga Jual Pcs GT
(-PPN)]]*Table43[[#This Row],[ISI/CTN]]</f>
        <v>0</v>
      </c>
      <c r="AQ420" s="42">
        <f>Table43[[#This Row],[Harga Jual Pcs GT
(-PPN)]]*1.11</f>
        <v>0</v>
      </c>
      <c r="AR420" s="42">
        <f>Table43[[#This Row],[Harga Jual Krt GT
(- PPN)]]*1.11</f>
        <v>0</v>
      </c>
      <c r="AS420" s="42">
        <f>Table43[[#This Row],[Harga Jual Pcs GT
(-PPN)]]</f>
        <v>0</v>
      </c>
      <c r="AT420" s="42">
        <f>(Table43[[#This Row],[Harga Jual Pcs MT
(-PPN)]]*Table43[[#This Row],[ISI/CTN]])</f>
        <v>0</v>
      </c>
      <c r="AU420" s="42">
        <f>Table43[[#This Row],[Harga Jual Pcs MT
(-PPN)]]*1.11</f>
        <v>0</v>
      </c>
      <c r="AV420" s="42">
        <f>Table43[[#This Row],[Harga Jual Pcs MT
(+PPN)]]*Table43[[#This Row],[ISI/CTN]]</f>
        <v>0</v>
      </c>
      <c r="AW420" s="47"/>
      <c r="AX420" s="7"/>
      <c r="AY420" s="7" t="str">
        <f ca="1">IF(TODAY()-Table43[[#This Row],[Efektif
Pembuatan]]&gt;60,"Lama","Baru")</f>
        <v>Lama</v>
      </c>
      <c r="AZ420" s="7" t="str">
        <f ca="1">IF(TODAY()-Table43[[#This Row],[Efektif Naik Harga]]&lt;30,"Naik","Sama")</f>
        <v>Sama</v>
      </c>
      <c r="BA420" s="7" t="str">
        <f>IF(Table43[[#This Row],[Kode BARANG Win2]]&lt;&gt;"","IDR","")</f>
        <v>IDR</v>
      </c>
      <c r="BB420" s="7" t="str">
        <f>CONCATENATE(Table43[[#This Row],[kode  1 Digit
(Nomor)]],Table43[[#This Row],[kode  4 Digit                (Nomor)]])</f>
        <v>10100</v>
      </c>
      <c r="BC420" s="7" t="str">
        <f>Table43[[#This Row],[Nama            Gramasi atau Jumlah Pack per CTN]]</f>
        <v>100ML</v>
      </c>
      <c r="BD420" s="7"/>
      <c r="BE420" s="7"/>
      <c r="BF420" s="4" t="str">
        <f>IF(Table43[[#This Row],[SATUAN Fix Win]]&lt;&gt;"","KRT")</f>
        <v>KRT</v>
      </c>
      <c r="BG420" s="4" t="str">
        <f>IF(Table43[[#This Row],[SATUAN Fix Win]]&lt;&gt;"","GD01")</f>
        <v>GD01</v>
      </c>
      <c r="BH420" s="4">
        <f>IF(Table43[[#This Row],[SATUAN Fix Win]]&lt;&gt;"",11611)</f>
        <v>11611</v>
      </c>
      <c r="BI420" s="4">
        <f>IF(Table43[[#This Row],[SATUAN Fix Win]]&lt;&gt;"",11612)</f>
        <v>11612</v>
      </c>
      <c r="BJ420" s="48"/>
      <c r="BK420" s="4">
        <f>IF(Table43[[#This Row],[SATUAN Fix Win]]&lt;&gt;"",1)</f>
        <v>1</v>
      </c>
    </row>
    <row r="421" spans="1:63">
      <c r="A421" s="4" t="str">
        <f>CONCATENATE(Table43[[#This Row],[Kode BARANG Win2]],Table43[[#This Row],[No. Urut
Item Sama]])</f>
        <v>K12800020060102</v>
      </c>
      <c r="B421" s="7">
        <v>2</v>
      </c>
      <c r="D421" s="28" t="s">
        <v>869</v>
      </c>
      <c r="E421" s="28"/>
      <c r="F421" s="28" t="s">
        <v>3199</v>
      </c>
      <c r="G421" s="78">
        <v>36</v>
      </c>
      <c r="H421" s="43"/>
      <c r="I421" s="28" t="str">
        <f>Table43[[#This Row],[Nama Jenis Kemasan]]</f>
        <v>BTL</v>
      </c>
      <c r="J421" s="4" t="str">
        <f>TRIM(CONCATENATE(Table43[[#This Row],[Nama            KLP]]," ",Table43[[#This Row],[Nama            Sub KLP]]))</f>
        <v>OVALE CLEANSING GEL</v>
      </c>
      <c r="K421" s="4" t="str">
        <f>CONCATENATE(Table43[[#This Row],[kode  2 Digit                (hrf+No)]],Table43[[#This Row],[kode  2 Digit                (Nomor)]],Table43[[#This Row],[kode  1 Digit                (Nomor)]])</f>
        <v>K1280</v>
      </c>
      <c r="L421" s="4" t="str">
        <f t="shared" si="21"/>
        <v>K1280002006010</v>
      </c>
      <c r="M421" s="11">
        <f t="shared" si="22"/>
        <v>14</v>
      </c>
      <c r="N421" s="14" t="str">
        <f>IF(AF421&lt;&gt;"",TRIM(UPPER(CONCATENATE(P421," ",R421," ",T421," ",V421," ",X421," ",Z421," ","X"," ",Table43[[#This Row],[ISI/CTN]]," ",AF421," ",AB421," ",AD421," ",AH421))),TRIM(UPPER(CONCATENATE(P421," ",R421," ",T421," ",V421," ",X421," ",Z421," ","X"," ",Table43[[#This Row],[ISI/CTN]]," ",AB421," ",AD421," ",AH421))))</f>
        <v>KNF OVALE CLEANSING GEL WHITENING 60ML X 36 BTL</v>
      </c>
      <c r="O421" s="11">
        <f t="shared" si="23"/>
        <v>47</v>
      </c>
      <c r="P421" s="4" t="s">
        <v>97</v>
      </c>
      <c r="Q421" s="7" t="s">
        <v>98</v>
      </c>
      <c r="R421" s="4" t="s">
        <v>3868</v>
      </c>
      <c r="S421" s="44" t="s">
        <v>3869</v>
      </c>
      <c r="T421" s="45" t="s">
        <v>2961</v>
      </c>
      <c r="U421" s="7" t="s">
        <v>2900</v>
      </c>
      <c r="V421" s="45" t="s">
        <v>2961</v>
      </c>
      <c r="W421" s="44" t="s">
        <v>2900</v>
      </c>
      <c r="X421" s="4" t="s">
        <v>3871</v>
      </c>
      <c r="Y421" s="46" t="s">
        <v>2472</v>
      </c>
      <c r="Z421" s="4" t="s">
        <v>1026</v>
      </c>
      <c r="AA421" s="46" t="s">
        <v>2481</v>
      </c>
      <c r="AB421" s="4" t="s">
        <v>357</v>
      </c>
      <c r="AC421" s="7" t="s">
        <v>2656</v>
      </c>
      <c r="AD421" s="4" t="s">
        <v>2961</v>
      </c>
      <c r="AE421" s="7" t="s">
        <v>2900</v>
      </c>
      <c r="AF421" s="7" t="s">
        <v>2961</v>
      </c>
      <c r="AG421" s="7" t="s">
        <v>2961</v>
      </c>
      <c r="AI421" s="7" t="s">
        <v>4100</v>
      </c>
      <c r="AJ421" s="7" t="s">
        <v>2656</v>
      </c>
      <c r="AK421" s="41">
        <f>Table43[[#This Row],[Harga Jual Pcs GT
(-PPN)]]-(Table43[[#This Row],[Harga Jual Pcs GT
(-PPN)]]*10%)</f>
        <v>0</v>
      </c>
      <c r="AL421" s="42">
        <f>Table43[[#This Row],[Harga Beli Pcs
(-PPN)]]*Table43[[#This Row],[ISI/CTN]]</f>
        <v>0</v>
      </c>
      <c r="AM421" s="42">
        <f>Table43[[#This Row],[Harga Beli Pcs
(-PPN)]]*1.11</f>
        <v>0</v>
      </c>
      <c r="AN421" s="42">
        <f>Table43[[#This Row],[Harga Beli Krt
(- PPN)]]*1.11</f>
        <v>0</v>
      </c>
      <c r="AO421" s="42"/>
      <c r="AP421" s="42">
        <f>Table43[[#This Row],[Harga Jual Pcs GT
(-PPN)]]*Table43[[#This Row],[ISI/CTN]]</f>
        <v>0</v>
      </c>
      <c r="AQ421" s="42">
        <f>Table43[[#This Row],[Harga Jual Pcs GT
(-PPN)]]*1.11</f>
        <v>0</v>
      </c>
      <c r="AR421" s="42">
        <f>Table43[[#This Row],[Harga Jual Krt GT
(- PPN)]]*1.11</f>
        <v>0</v>
      </c>
      <c r="AS421" s="42">
        <f>Table43[[#This Row],[Harga Jual Pcs GT
(-PPN)]]</f>
        <v>0</v>
      </c>
      <c r="AT421" s="42">
        <f>(Table43[[#This Row],[Harga Jual Pcs MT
(-PPN)]]*Table43[[#This Row],[ISI/CTN]])</f>
        <v>0</v>
      </c>
      <c r="AU421" s="42">
        <f>Table43[[#This Row],[Harga Jual Pcs MT
(-PPN)]]*1.11</f>
        <v>0</v>
      </c>
      <c r="AV421" s="42">
        <f>Table43[[#This Row],[Harga Jual Pcs MT
(+PPN)]]*Table43[[#This Row],[ISI/CTN]]</f>
        <v>0</v>
      </c>
      <c r="AW421" s="47"/>
      <c r="AX421" s="7"/>
      <c r="AY421" s="7" t="str">
        <f ca="1">IF(TODAY()-Table43[[#This Row],[Efektif
Pembuatan]]&gt;60,"Lama","Baru")</f>
        <v>Lama</v>
      </c>
      <c r="AZ421" s="7" t="str">
        <f ca="1">IF(TODAY()-Table43[[#This Row],[Efektif Naik Harga]]&lt;30,"Naik","Sama")</f>
        <v>Sama</v>
      </c>
      <c r="BA421" s="7" t="str">
        <f>IF(Table43[[#This Row],[Kode BARANG Win2]]&lt;&gt;"","IDR","")</f>
        <v>IDR</v>
      </c>
      <c r="BB421" s="7" t="str">
        <f>CONCATENATE(Table43[[#This Row],[kode  1 Digit
(Nomor)]],Table43[[#This Row],[kode  4 Digit                (Nomor)]])</f>
        <v>10060</v>
      </c>
      <c r="BC421" s="7" t="str">
        <f>Table43[[#This Row],[Nama            Gramasi atau Jumlah Pack per CTN]]</f>
        <v>60ML</v>
      </c>
      <c r="BD421" s="7"/>
      <c r="BE421" s="7"/>
      <c r="BF421" s="4" t="str">
        <f>IF(Table43[[#This Row],[SATUAN Fix Win]]&lt;&gt;"","KRT")</f>
        <v>KRT</v>
      </c>
      <c r="BG421" s="4" t="str">
        <f>IF(Table43[[#This Row],[SATUAN Fix Win]]&lt;&gt;"","GD01")</f>
        <v>GD01</v>
      </c>
      <c r="BH421" s="4">
        <f>IF(Table43[[#This Row],[SATUAN Fix Win]]&lt;&gt;"",11611)</f>
        <v>11611</v>
      </c>
      <c r="BI421" s="4">
        <f>IF(Table43[[#This Row],[SATUAN Fix Win]]&lt;&gt;"",11612)</f>
        <v>11612</v>
      </c>
      <c r="BJ421" s="48"/>
      <c r="BK421" s="4">
        <f>IF(Table43[[#This Row],[SATUAN Fix Win]]&lt;&gt;"",1)</f>
        <v>1</v>
      </c>
    </row>
    <row r="422" spans="1:63">
      <c r="A422" s="4" t="str">
        <f>CONCATENATE(Table43[[#This Row],[Kode BARANG Win2]],Table43[[#This Row],[No. Urut
Item Sama]])</f>
        <v>K12800020100101</v>
      </c>
      <c r="B422" s="7">
        <v>1</v>
      </c>
      <c r="D422" s="28" t="s">
        <v>876</v>
      </c>
      <c r="E422" s="28"/>
      <c r="F422" s="28" t="s">
        <v>3200</v>
      </c>
      <c r="G422" s="78">
        <v>36</v>
      </c>
      <c r="H422" s="43"/>
      <c r="I422" s="28" t="str">
        <f>Table43[[#This Row],[Nama Jenis Kemasan]]</f>
        <v>BTL</v>
      </c>
      <c r="J422" s="4" t="str">
        <f>TRIM(CONCATENATE(Table43[[#This Row],[Nama            KLP]]," ",Table43[[#This Row],[Nama            Sub KLP]]))</f>
        <v>OVALE CLEANSING GEL</v>
      </c>
      <c r="K422" s="4" t="str">
        <f>CONCATENATE(Table43[[#This Row],[kode  2 Digit                (hrf+No)]],Table43[[#This Row],[kode  2 Digit                (Nomor)]],Table43[[#This Row],[kode  1 Digit                (Nomor)]])</f>
        <v>K1280</v>
      </c>
      <c r="L422" s="4" t="str">
        <f t="shared" si="21"/>
        <v>K1280002010010</v>
      </c>
      <c r="M422" s="11">
        <f t="shared" si="22"/>
        <v>14</v>
      </c>
      <c r="N422" s="14" t="str">
        <f>IF(AF422&lt;&gt;"",TRIM(UPPER(CONCATENATE(P422," ",R422," ",T422," ",V422," ",X422," ",Z422," ","X"," ",Table43[[#This Row],[ISI/CTN]]," ",AF422," ",AB422," ",AD422," ",AH422))),TRIM(UPPER(CONCATENATE(P422," ",R422," ",T422," ",V422," ",X422," ",Z422," ","X"," ",Table43[[#This Row],[ISI/CTN]]," ",AB422," ",AD422," ",AH422))))</f>
        <v>KNF OVALE CLEANSING GEL WHITENING 100ML X 36 BTL</v>
      </c>
      <c r="O422" s="11">
        <f t="shared" si="23"/>
        <v>48</v>
      </c>
      <c r="P422" s="4" t="s">
        <v>97</v>
      </c>
      <c r="Q422" s="7" t="s">
        <v>98</v>
      </c>
      <c r="R422" s="4" t="s">
        <v>3868</v>
      </c>
      <c r="S422" s="44" t="s">
        <v>3869</v>
      </c>
      <c r="T422" s="45" t="s">
        <v>2961</v>
      </c>
      <c r="U422" s="7" t="s">
        <v>2900</v>
      </c>
      <c r="V422" s="45" t="s">
        <v>2961</v>
      </c>
      <c r="W422" s="44" t="s">
        <v>2900</v>
      </c>
      <c r="X422" s="4" t="s">
        <v>3871</v>
      </c>
      <c r="Y422" s="46" t="s">
        <v>2472</v>
      </c>
      <c r="Z422" s="4" t="s">
        <v>3588</v>
      </c>
      <c r="AA422" s="46" t="s">
        <v>2487</v>
      </c>
      <c r="AB422" s="4" t="s">
        <v>357</v>
      </c>
      <c r="AC422" s="7" t="s">
        <v>2656</v>
      </c>
      <c r="AD422" s="4" t="s">
        <v>2961</v>
      </c>
      <c r="AE422" s="7" t="s">
        <v>2900</v>
      </c>
      <c r="AF422" s="7" t="s">
        <v>2961</v>
      </c>
      <c r="AG422" s="7" t="s">
        <v>2961</v>
      </c>
      <c r="AI422" s="7" t="s">
        <v>4100</v>
      </c>
      <c r="AJ422" s="7" t="s">
        <v>2656</v>
      </c>
      <c r="AK422" s="41">
        <f>Table43[[#This Row],[Harga Jual Pcs GT
(-PPN)]]-(Table43[[#This Row],[Harga Jual Pcs GT
(-PPN)]]*10%)</f>
        <v>0</v>
      </c>
      <c r="AL422" s="42">
        <f>Table43[[#This Row],[Harga Beli Pcs
(-PPN)]]*Table43[[#This Row],[ISI/CTN]]</f>
        <v>0</v>
      </c>
      <c r="AM422" s="42">
        <f>Table43[[#This Row],[Harga Beli Pcs
(-PPN)]]*1.11</f>
        <v>0</v>
      </c>
      <c r="AN422" s="42">
        <f>Table43[[#This Row],[Harga Beli Krt
(- PPN)]]*1.11</f>
        <v>0</v>
      </c>
      <c r="AO422" s="42"/>
      <c r="AP422" s="42">
        <f>Table43[[#This Row],[Harga Jual Pcs GT
(-PPN)]]*Table43[[#This Row],[ISI/CTN]]</f>
        <v>0</v>
      </c>
      <c r="AQ422" s="42">
        <f>Table43[[#This Row],[Harga Jual Pcs GT
(-PPN)]]*1.11</f>
        <v>0</v>
      </c>
      <c r="AR422" s="42">
        <f>Table43[[#This Row],[Harga Jual Krt GT
(- PPN)]]*1.11</f>
        <v>0</v>
      </c>
      <c r="AS422" s="42">
        <f>Table43[[#This Row],[Harga Jual Pcs GT
(-PPN)]]</f>
        <v>0</v>
      </c>
      <c r="AT422" s="42">
        <f>(Table43[[#This Row],[Harga Jual Pcs MT
(-PPN)]]*Table43[[#This Row],[ISI/CTN]])</f>
        <v>0</v>
      </c>
      <c r="AU422" s="42">
        <f>Table43[[#This Row],[Harga Jual Pcs MT
(-PPN)]]*1.11</f>
        <v>0</v>
      </c>
      <c r="AV422" s="42">
        <f>Table43[[#This Row],[Harga Jual Pcs MT
(+PPN)]]*Table43[[#This Row],[ISI/CTN]]</f>
        <v>0</v>
      </c>
      <c r="AW422" s="47"/>
      <c r="AX422" s="7"/>
      <c r="AY422" s="7" t="str">
        <f ca="1">IF(TODAY()-Table43[[#This Row],[Efektif
Pembuatan]]&gt;60,"Lama","Baru")</f>
        <v>Lama</v>
      </c>
      <c r="AZ422" s="7" t="str">
        <f ca="1">IF(TODAY()-Table43[[#This Row],[Efektif Naik Harga]]&lt;30,"Naik","Sama")</f>
        <v>Sama</v>
      </c>
      <c r="BA422" s="7" t="str">
        <f>IF(Table43[[#This Row],[Kode BARANG Win2]]&lt;&gt;"","IDR","")</f>
        <v>IDR</v>
      </c>
      <c r="BB422" s="7" t="str">
        <f>CONCATENATE(Table43[[#This Row],[kode  1 Digit
(Nomor)]],Table43[[#This Row],[kode  4 Digit                (Nomor)]])</f>
        <v>10100</v>
      </c>
      <c r="BC422" s="7" t="str">
        <f>Table43[[#This Row],[Nama            Gramasi atau Jumlah Pack per CTN]]</f>
        <v>100ML</v>
      </c>
      <c r="BD422" s="7"/>
      <c r="BE422" s="7"/>
      <c r="BF422" s="4" t="str">
        <f>IF(Table43[[#This Row],[SATUAN Fix Win]]&lt;&gt;"","KRT")</f>
        <v>KRT</v>
      </c>
      <c r="BG422" s="4" t="str">
        <f>IF(Table43[[#This Row],[SATUAN Fix Win]]&lt;&gt;"","GD01")</f>
        <v>GD01</v>
      </c>
      <c r="BH422" s="4">
        <f>IF(Table43[[#This Row],[SATUAN Fix Win]]&lt;&gt;"",11611)</f>
        <v>11611</v>
      </c>
      <c r="BI422" s="4">
        <f>IF(Table43[[#This Row],[SATUAN Fix Win]]&lt;&gt;"",11612)</f>
        <v>11612</v>
      </c>
      <c r="BJ422" s="48"/>
      <c r="BK422" s="4">
        <f>IF(Table43[[#This Row],[SATUAN Fix Win]]&lt;&gt;"",1)</f>
        <v>1</v>
      </c>
    </row>
    <row r="423" spans="1:63">
      <c r="A423" s="4" t="str">
        <f>CONCATENATE(Table43[[#This Row],[Kode BARANG Win2]],Table43[[#This Row],[No. Urut
Item Sama]])</f>
        <v>K12900010003102</v>
      </c>
      <c r="B423" s="7">
        <v>2</v>
      </c>
      <c r="D423" s="28" t="s">
        <v>858</v>
      </c>
      <c r="E423" s="28"/>
      <c r="F423" s="28" t="s">
        <v>3201</v>
      </c>
      <c r="G423" s="78">
        <v>48</v>
      </c>
      <c r="H423" s="43"/>
      <c r="I423" s="28" t="str">
        <f>Table43[[#This Row],[Nama Jenis Kemasan]]</f>
        <v>BLR</v>
      </c>
      <c r="J423" s="4" t="str">
        <f>TRIM(CONCATENATE(Table43[[#This Row],[Nama            KLP]]," ",Table43[[#This Row],[Nama            Sub KLP]]))</f>
        <v>OVALE ESST VIT FACE</v>
      </c>
      <c r="K423" s="4" t="str">
        <f>CONCATENATE(Table43[[#This Row],[kode  2 Digit                (hrf+No)]],Table43[[#This Row],[kode  2 Digit                (Nomor)]],Table43[[#This Row],[kode  1 Digit                (Nomor)]])</f>
        <v>K1290</v>
      </c>
      <c r="L423" s="4" t="str">
        <f t="shared" si="21"/>
        <v>K1290001000310</v>
      </c>
      <c r="M423" s="11">
        <f t="shared" si="22"/>
        <v>14</v>
      </c>
      <c r="N423" s="14" t="str">
        <f>IF(AF423&lt;&gt;"",TRIM(UPPER(CONCATENATE(P423," ",R423," ",T423," ",V423," ",X423," ",Z423," ","X"," ",Table43[[#This Row],[ISI/CTN]]," ",AF423," ",AB423," ",AD423," ",AH423))),TRIM(UPPER(CONCATENATE(P423," ",R423," ",T423," ",V423," ",X423," ",Z423," ","X"," ",Table43[[#This Row],[ISI/CTN]]," ",AB423," ",AD423," ",AH423))))</f>
        <v>KNF OVALE ESST VIT FACE LIGHT 0,3ML X 48 BLR</v>
      </c>
      <c r="O423" s="11">
        <f t="shared" si="23"/>
        <v>44</v>
      </c>
      <c r="P423" s="4" t="s">
        <v>97</v>
      </c>
      <c r="Q423" s="7" t="s">
        <v>98</v>
      </c>
      <c r="R423" s="4" t="s">
        <v>3872</v>
      </c>
      <c r="S423" s="44" t="s">
        <v>3873</v>
      </c>
      <c r="T423" s="45" t="s">
        <v>2961</v>
      </c>
      <c r="U423" s="7" t="s">
        <v>2900</v>
      </c>
      <c r="V423" s="45" t="s">
        <v>2961</v>
      </c>
      <c r="W423" s="44" t="s">
        <v>2900</v>
      </c>
      <c r="X423" s="4" t="s">
        <v>3874</v>
      </c>
      <c r="Y423" s="46" t="s">
        <v>0</v>
      </c>
      <c r="Z423" s="4" t="s">
        <v>3875</v>
      </c>
      <c r="AA423" s="46" t="s">
        <v>2508</v>
      </c>
      <c r="AB423" s="4" t="s">
        <v>1024</v>
      </c>
      <c r="AC423" s="7" t="s">
        <v>2656</v>
      </c>
      <c r="AD423" s="4" t="s">
        <v>2961</v>
      </c>
      <c r="AE423" s="7" t="s">
        <v>2900</v>
      </c>
      <c r="AF423" s="7" t="s">
        <v>2961</v>
      </c>
      <c r="AG423" s="7" t="s">
        <v>2961</v>
      </c>
      <c r="AI423" s="7" t="s">
        <v>4100</v>
      </c>
      <c r="AJ423" s="7" t="s">
        <v>2656</v>
      </c>
      <c r="AK423" s="41">
        <f>Table43[[#This Row],[Harga Jual Pcs GT
(-PPN)]]-(Table43[[#This Row],[Harga Jual Pcs GT
(-PPN)]]*10%)</f>
        <v>0</v>
      </c>
      <c r="AL423" s="42">
        <f>Table43[[#This Row],[Harga Beli Pcs
(-PPN)]]*Table43[[#This Row],[ISI/CTN]]</f>
        <v>0</v>
      </c>
      <c r="AM423" s="42">
        <f>Table43[[#This Row],[Harga Beli Pcs
(-PPN)]]*1.11</f>
        <v>0</v>
      </c>
      <c r="AN423" s="42">
        <f>Table43[[#This Row],[Harga Beli Krt
(- PPN)]]*1.11</f>
        <v>0</v>
      </c>
      <c r="AO423" s="42"/>
      <c r="AP423" s="42">
        <f>Table43[[#This Row],[Harga Jual Pcs GT
(-PPN)]]*Table43[[#This Row],[ISI/CTN]]</f>
        <v>0</v>
      </c>
      <c r="AQ423" s="42">
        <f>Table43[[#This Row],[Harga Jual Pcs GT
(-PPN)]]*1.11</f>
        <v>0</v>
      </c>
      <c r="AR423" s="42">
        <f>Table43[[#This Row],[Harga Jual Krt GT
(- PPN)]]*1.11</f>
        <v>0</v>
      </c>
      <c r="AS423" s="42">
        <f>Table43[[#This Row],[Harga Jual Pcs GT
(-PPN)]]</f>
        <v>0</v>
      </c>
      <c r="AT423" s="42">
        <f>(Table43[[#This Row],[Harga Jual Pcs MT
(-PPN)]]*Table43[[#This Row],[ISI/CTN]])</f>
        <v>0</v>
      </c>
      <c r="AU423" s="42">
        <f>Table43[[#This Row],[Harga Jual Pcs MT
(-PPN)]]*1.11</f>
        <v>0</v>
      </c>
      <c r="AV423" s="42">
        <f>Table43[[#This Row],[Harga Jual Pcs MT
(+PPN)]]*Table43[[#This Row],[ISI/CTN]]</f>
        <v>0</v>
      </c>
      <c r="AW423" s="47"/>
      <c r="AX423" s="7"/>
      <c r="AY423" s="7" t="str">
        <f ca="1">IF(TODAY()-Table43[[#This Row],[Efektif
Pembuatan]]&gt;60,"Lama","Baru")</f>
        <v>Lama</v>
      </c>
      <c r="AZ423" s="7" t="str">
        <f ca="1">IF(TODAY()-Table43[[#This Row],[Efektif Naik Harga]]&lt;30,"Naik","Sama")</f>
        <v>Sama</v>
      </c>
      <c r="BA423" s="7" t="str">
        <f>IF(Table43[[#This Row],[Kode BARANG Win2]]&lt;&gt;"","IDR","")</f>
        <v>IDR</v>
      </c>
      <c r="BB423" s="7" t="str">
        <f>CONCATENATE(Table43[[#This Row],[kode  1 Digit
(Nomor)]],Table43[[#This Row],[kode  4 Digit                (Nomor)]])</f>
        <v>10003</v>
      </c>
      <c r="BC423" s="7" t="str">
        <f>Table43[[#This Row],[Nama            Gramasi atau Jumlah Pack per CTN]]</f>
        <v>0,3ML</v>
      </c>
      <c r="BD423" s="7"/>
      <c r="BE423" s="7"/>
      <c r="BF423" s="4" t="str">
        <f>IF(Table43[[#This Row],[SATUAN Fix Win]]&lt;&gt;"","KRT")</f>
        <v>KRT</v>
      </c>
      <c r="BG423" s="4" t="str">
        <f>IF(Table43[[#This Row],[SATUAN Fix Win]]&lt;&gt;"","GD01")</f>
        <v>GD01</v>
      </c>
      <c r="BH423" s="4">
        <f>IF(Table43[[#This Row],[SATUAN Fix Win]]&lt;&gt;"",11611)</f>
        <v>11611</v>
      </c>
      <c r="BI423" s="4">
        <f>IF(Table43[[#This Row],[SATUAN Fix Win]]&lt;&gt;"",11612)</f>
        <v>11612</v>
      </c>
      <c r="BJ423" s="48"/>
      <c r="BK423" s="4">
        <f>IF(Table43[[#This Row],[SATUAN Fix Win]]&lt;&gt;"",1)</f>
        <v>1</v>
      </c>
    </row>
    <row r="424" spans="1:63">
      <c r="A424" s="4" t="str">
        <f>CONCATENATE(Table43[[#This Row],[Kode BARANG Win2]],Table43[[#This Row],[No. Urut
Item Sama]])</f>
        <v>K12900010003201</v>
      </c>
      <c r="B424" s="7">
        <v>1</v>
      </c>
      <c r="D424" s="28" t="s">
        <v>859</v>
      </c>
      <c r="E424" s="28"/>
      <c r="F424" s="28" t="s">
        <v>4093</v>
      </c>
      <c r="G424" s="78">
        <v>24</v>
      </c>
      <c r="H424" s="43"/>
      <c r="I424" s="28" t="str">
        <f>Table43[[#This Row],[Nama Jenis Kemasan]]</f>
        <v>JAR</v>
      </c>
      <c r="J424" s="4" t="str">
        <f>TRIM(CONCATENATE(Table43[[#This Row],[Nama            KLP]]," ",Table43[[#This Row],[Nama            Sub KLP]]))</f>
        <v>OVALE ESST VIT FACE</v>
      </c>
      <c r="K424" s="4" t="str">
        <f>CONCATENATE(Table43[[#This Row],[kode  2 Digit                (hrf+No)]],Table43[[#This Row],[kode  2 Digit                (Nomor)]],Table43[[#This Row],[kode  1 Digit                (Nomor)]])</f>
        <v>K1290</v>
      </c>
      <c r="L424" s="4" t="str">
        <f t="shared" si="21"/>
        <v>K1290001000320</v>
      </c>
      <c r="M424" s="11">
        <f t="shared" si="22"/>
        <v>14</v>
      </c>
      <c r="N424" s="14" t="str">
        <f>IF(AF424&lt;&gt;"",TRIM(UPPER(CONCATENATE(P424," ",R424," ",T424," ",V424," ",X424," ",Z424," ","X"," ",Table43[[#This Row],[ISI/CTN]]," ",AF424," ",AB424," ",AD424," ",AH424))),TRIM(UPPER(CONCATENATE(P424," ",R424," ",T424," ",V424," ",X424," ",Z424," ","X"," ",Table43[[#This Row],[ISI/CTN]]," ",AB424," ",AD424," ",AH424))))</f>
        <v>KNF OVALE ESST VIT FACE LIGHT 0,3ML X 24 JAR</v>
      </c>
      <c r="O424" s="11">
        <f t="shared" si="23"/>
        <v>44</v>
      </c>
      <c r="P424" s="4" t="s">
        <v>97</v>
      </c>
      <c r="Q424" s="7" t="s">
        <v>98</v>
      </c>
      <c r="R424" s="4" t="s">
        <v>3872</v>
      </c>
      <c r="S424" s="44" t="s">
        <v>3873</v>
      </c>
      <c r="T424" s="45" t="s">
        <v>2961</v>
      </c>
      <c r="U424" s="7" t="s">
        <v>2900</v>
      </c>
      <c r="V424" s="45" t="s">
        <v>2961</v>
      </c>
      <c r="W424" s="44" t="s">
        <v>2900</v>
      </c>
      <c r="X424" s="4" t="s">
        <v>3874</v>
      </c>
      <c r="Y424" s="46" t="s">
        <v>0</v>
      </c>
      <c r="Z424" s="4" t="s">
        <v>3875</v>
      </c>
      <c r="AA424" s="46" t="s">
        <v>2508</v>
      </c>
      <c r="AB424" s="4" t="s">
        <v>1019</v>
      </c>
      <c r="AC424" s="7" t="s">
        <v>3562</v>
      </c>
      <c r="AD424" s="4" t="s">
        <v>2961</v>
      </c>
      <c r="AE424" s="7" t="s">
        <v>2900</v>
      </c>
      <c r="AF424" s="7" t="s">
        <v>2961</v>
      </c>
      <c r="AG424" s="7" t="s">
        <v>2961</v>
      </c>
      <c r="AI424" s="7" t="s">
        <v>4100</v>
      </c>
      <c r="AJ424" s="7" t="s">
        <v>2656</v>
      </c>
      <c r="AK424" s="41">
        <f>Table43[[#This Row],[Harga Jual Pcs GT
(-PPN)]]-(Table43[[#This Row],[Harga Jual Pcs GT
(-PPN)]]*10%)</f>
        <v>0</v>
      </c>
      <c r="AL424" s="42">
        <f>Table43[[#This Row],[Harga Beli Pcs
(-PPN)]]*Table43[[#This Row],[ISI/CTN]]</f>
        <v>0</v>
      </c>
      <c r="AM424" s="42">
        <f>Table43[[#This Row],[Harga Beli Pcs
(-PPN)]]*1.11</f>
        <v>0</v>
      </c>
      <c r="AN424" s="42">
        <f>Table43[[#This Row],[Harga Beli Krt
(- PPN)]]*1.11</f>
        <v>0</v>
      </c>
      <c r="AO424" s="42"/>
      <c r="AP424" s="42">
        <f>Table43[[#This Row],[Harga Jual Pcs GT
(-PPN)]]*Table43[[#This Row],[ISI/CTN]]</f>
        <v>0</v>
      </c>
      <c r="AQ424" s="42">
        <f>Table43[[#This Row],[Harga Jual Pcs GT
(-PPN)]]*1.11</f>
        <v>0</v>
      </c>
      <c r="AR424" s="42">
        <f>Table43[[#This Row],[Harga Jual Krt GT
(- PPN)]]*1.11</f>
        <v>0</v>
      </c>
      <c r="AS424" s="42">
        <f>Table43[[#This Row],[Harga Jual Pcs GT
(-PPN)]]</f>
        <v>0</v>
      </c>
      <c r="AT424" s="42">
        <f>(Table43[[#This Row],[Harga Jual Pcs MT
(-PPN)]]*Table43[[#This Row],[ISI/CTN]])</f>
        <v>0</v>
      </c>
      <c r="AU424" s="42">
        <f>Table43[[#This Row],[Harga Jual Pcs MT
(-PPN)]]*1.11</f>
        <v>0</v>
      </c>
      <c r="AV424" s="42">
        <f>Table43[[#This Row],[Harga Jual Pcs MT
(+PPN)]]*Table43[[#This Row],[ISI/CTN]]</f>
        <v>0</v>
      </c>
      <c r="AW424" s="47"/>
      <c r="AX424" s="7"/>
      <c r="AY424" s="7" t="str">
        <f ca="1">IF(TODAY()-Table43[[#This Row],[Efektif
Pembuatan]]&gt;60,"Lama","Baru")</f>
        <v>Lama</v>
      </c>
      <c r="AZ424" s="7" t="str">
        <f ca="1">IF(TODAY()-Table43[[#This Row],[Efektif Naik Harga]]&lt;30,"Naik","Sama")</f>
        <v>Sama</v>
      </c>
      <c r="BA424" s="7" t="str">
        <f>IF(Table43[[#This Row],[Kode BARANG Win2]]&lt;&gt;"","IDR","")</f>
        <v>IDR</v>
      </c>
      <c r="BB424" s="7" t="str">
        <f>CONCATENATE(Table43[[#This Row],[kode  1 Digit
(Nomor)]],Table43[[#This Row],[kode  4 Digit                (Nomor)]])</f>
        <v>10003</v>
      </c>
      <c r="BC424" s="7" t="str">
        <f>Table43[[#This Row],[Nama            Gramasi atau Jumlah Pack per CTN]]</f>
        <v>0,3ML</v>
      </c>
      <c r="BD424" s="7"/>
      <c r="BE424" s="7"/>
      <c r="BF424" s="4" t="str">
        <f>IF(Table43[[#This Row],[SATUAN Fix Win]]&lt;&gt;"","KRT")</f>
        <v>KRT</v>
      </c>
      <c r="BG424" s="4" t="str">
        <f>IF(Table43[[#This Row],[SATUAN Fix Win]]&lt;&gt;"","GD01")</f>
        <v>GD01</v>
      </c>
      <c r="BH424" s="4">
        <f>IF(Table43[[#This Row],[SATUAN Fix Win]]&lt;&gt;"",11611)</f>
        <v>11611</v>
      </c>
      <c r="BI424" s="4">
        <f>IF(Table43[[#This Row],[SATUAN Fix Win]]&lt;&gt;"",11612)</f>
        <v>11612</v>
      </c>
      <c r="BJ424" s="48"/>
      <c r="BK424" s="4">
        <f>IF(Table43[[#This Row],[SATUAN Fix Win]]&lt;&gt;"",1)</f>
        <v>1</v>
      </c>
    </row>
    <row r="425" spans="1:63">
      <c r="A425" s="4" t="str">
        <f>CONCATENATE(Table43[[#This Row],[Kode BARANG Win2]],Table43[[#This Row],[No. Urut
Item Sama]])</f>
        <v>K12900020003102</v>
      </c>
      <c r="B425" s="7">
        <v>2</v>
      </c>
      <c r="D425" s="28" t="s">
        <v>883</v>
      </c>
      <c r="E425" s="28"/>
      <c r="F425" s="28" t="s">
        <v>3202</v>
      </c>
      <c r="G425" s="78">
        <v>48</v>
      </c>
      <c r="H425" s="43"/>
      <c r="I425" s="28" t="str">
        <f>Table43[[#This Row],[Nama Jenis Kemasan]]</f>
        <v>BLR</v>
      </c>
      <c r="J425" s="4" t="str">
        <f>TRIM(CONCATENATE(Table43[[#This Row],[Nama            KLP]]," ",Table43[[#This Row],[Nama            Sub KLP]]))</f>
        <v>OVALE ESST VIT FACE</v>
      </c>
      <c r="K425" s="4" t="str">
        <f>CONCATENATE(Table43[[#This Row],[kode  2 Digit                (hrf+No)]],Table43[[#This Row],[kode  2 Digit                (Nomor)]],Table43[[#This Row],[kode  1 Digit                (Nomor)]])</f>
        <v>K1290</v>
      </c>
      <c r="L425" s="4" t="str">
        <f t="shared" si="21"/>
        <v>K1290002000310</v>
      </c>
      <c r="M425" s="11">
        <f t="shared" si="22"/>
        <v>14</v>
      </c>
      <c r="N425" s="14" t="str">
        <f>IF(AF425&lt;&gt;"",TRIM(UPPER(CONCATENATE(P425," ",R425," ",T425," ",V425," ",X425," ",Z425," ","X"," ",Table43[[#This Row],[ISI/CTN]]," ",AF425," ",AB425," ",AD425," ",AH425))),TRIM(UPPER(CONCATENATE(P425," ",R425," ",T425," ",V425," ",X425," ",Z425," ","X"," ",Table43[[#This Row],[ISI/CTN]]," ",AB425," ",AD425," ",AH425))))</f>
        <v>KNF OVALE ESST VIT FACE REJUVE 0,3ML X 48 BLR</v>
      </c>
      <c r="O425" s="11">
        <f t="shared" si="23"/>
        <v>45</v>
      </c>
      <c r="P425" s="4" t="s">
        <v>97</v>
      </c>
      <c r="Q425" s="7" t="s">
        <v>98</v>
      </c>
      <c r="R425" s="4" t="s">
        <v>3872</v>
      </c>
      <c r="S425" s="44" t="s">
        <v>3873</v>
      </c>
      <c r="T425" s="45" t="s">
        <v>2961</v>
      </c>
      <c r="U425" s="7" t="s">
        <v>2900</v>
      </c>
      <c r="V425" s="45" t="s">
        <v>2961</v>
      </c>
      <c r="W425" s="44" t="s">
        <v>2900</v>
      </c>
      <c r="X425" s="4" t="s">
        <v>3876</v>
      </c>
      <c r="Y425" s="46" t="s">
        <v>2472</v>
      </c>
      <c r="Z425" s="4" t="s">
        <v>3875</v>
      </c>
      <c r="AA425" s="46" t="s">
        <v>2508</v>
      </c>
      <c r="AB425" s="4" t="s">
        <v>1024</v>
      </c>
      <c r="AC425" s="7" t="s">
        <v>2656</v>
      </c>
      <c r="AD425" s="4" t="s">
        <v>2961</v>
      </c>
      <c r="AE425" s="7" t="s">
        <v>2900</v>
      </c>
      <c r="AF425" s="7" t="s">
        <v>2961</v>
      </c>
      <c r="AG425" s="7" t="s">
        <v>2961</v>
      </c>
      <c r="AI425" s="7" t="s">
        <v>4100</v>
      </c>
      <c r="AJ425" s="7" t="s">
        <v>2656</v>
      </c>
      <c r="AK425" s="41">
        <f>Table43[[#This Row],[Harga Jual Pcs GT
(-PPN)]]-(Table43[[#This Row],[Harga Jual Pcs GT
(-PPN)]]*10%)</f>
        <v>0</v>
      </c>
      <c r="AL425" s="42">
        <f>Table43[[#This Row],[Harga Beli Pcs
(-PPN)]]*Table43[[#This Row],[ISI/CTN]]</f>
        <v>0</v>
      </c>
      <c r="AM425" s="42">
        <f>Table43[[#This Row],[Harga Beli Pcs
(-PPN)]]*1.11</f>
        <v>0</v>
      </c>
      <c r="AN425" s="42">
        <f>Table43[[#This Row],[Harga Beli Krt
(- PPN)]]*1.11</f>
        <v>0</v>
      </c>
      <c r="AO425" s="42"/>
      <c r="AP425" s="42">
        <f>Table43[[#This Row],[Harga Jual Pcs GT
(-PPN)]]*Table43[[#This Row],[ISI/CTN]]</f>
        <v>0</v>
      </c>
      <c r="AQ425" s="42">
        <f>Table43[[#This Row],[Harga Jual Pcs GT
(-PPN)]]*1.11</f>
        <v>0</v>
      </c>
      <c r="AR425" s="42">
        <f>Table43[[#This Row],[Harga Jual Krt GT
(- PPN)]]*1.11</f>
        <v>0</v>
      </c>
      <c r="AS425" s="42">
        <f>Table43[[#This Row],[Harga Jual Pcs GT
(-PPN)]]</f>
        <v>0</v>
      </c>
      <c r="AT425" s="42">
        <f>(Table43[[#This Row],[Harga Jual Pcs MT
(-PPN)]]*Table43[[#This Row],[ISI/CTN]])</f>
        <v>0</v>
      </c>
      <c r="AU425" s="42">
        <f>Table43[[#This Row],[Harga Jual Pcs MT
(-PPN)]]*1.11</f>
        <v>0</v>
      </c>
      <c r="AV425" s="42">
        <f>Table43[[#This Row],[Harga Jual Pcs MT
(+PPN)]]*Table43[[#This Row],[ISI/CTN]]</f>
        <v>0</v>
      </c>
      <c r="AW425" s="47"/>
      <c r="AX425" s="7"/>
      <c r="AY425" s="7" t="str">
        <f ca="1">IF(TODAY()-Table43[[#This Row],[Efektif
Pembuatan]]&gt;60,"Lama","Baru")</f>
        <v>Lama</v>
      </c>
      <c r="AZ425" s="7" t="str">
        <f ca="1">IF(TODAY()-Table43[[#This Row],[Efektif Naik Harga]]&lt;30,"Naik","Sama")</f>
        <v>Sama</v>
      </c>
      <c r="BA425" s="7" t="str">
        <f>IF(Table43[[#This Row],[Kode BARANG Win2]]&lt;&gt;"","IDR","")</f>
        <v>IDR</v>
      </c>
      <c r="BB425" s="7" t="str">
        <f>CONCATENATE(Table43[[#This Row],[kode  1 Digit
(Nomor)]],Table43[[#This Row],[kode  4 Digit                (Nomor)]])</f>
        <v>10003</v>
      </c>
      <c r="BC425" s="7" t="str">
        <f>Table43[[#This Row],[Nama            Gramasi atau Jumlah Pack per CTN]]</f>
        <v>0,3ML</v>
      </c>
      <c r="BD425" s="7"/>
      <c r="BE425" s="7"/>
      <c r="BF425" s="4" t="str">
        <f>IF(Table43[[#This Row],[SATUAN Fix Win]]&lt;&gt;"","KRT")</f>
        <v>KRT</v>
      </c>
      <c r="BG425" s="4" t="str">
        <f>IF(Table43[[#This Row],[SATUAN Fix Win]]&lt;&gt;"","GD01")</f>
        <v>GD01</v>
      </c>
      <c r="BH425" s="4">
        <f>IF(Table43[[#This Row],[SATUAN Fix Win]]&lt;&gt;"",11611)</f>
        <v>11611</v>
      </c>
      <c r="BI425" s="4">
        <f>IF(Table43[[#This Row],[SATUAN Fix Win]]&lt;&gt;"",11612)</f>
        <v>11612</v>
      </c>
      <c r="BJ425" s="48"/>
      <c r="BK425" s="4">
        <f>IF(Table43[[#This Row],[SATUAN Fix Win]]&lt;&gt;"",1)</f>
        <v>1</v>
      </c>
    </row>
    <row r="426" spans="1:63">
      <c r="A426" s="4" t="str">
        <f>CONCATENATE(Table43[[#This Row],[Kode BARANG Win2]],Table43[[#This Row],[No. Urut
Item Sama]])</f>
        <v>K12900020003201</v>
      </c>
      <c r="B426" s="7">
        <v>1</v>
      </c>
      <c r="D426" s="28" t="s">
        <v>884</v>
      </c>
      <c r="E426" s="28"/>
      <c r="F426" s="28" t="s">
        <v>3203</v>
      </c>
      <c r="G426" s="78">
        <v>24</v>
      </c>
      <c r="H426" s="43"/>
      <c r="I426" s="28" t="str">
        <f>Table43[[#This Row],[Nama Jenis Kemasan]]</f>
        <v>JAR</v>
      </c>
      <c r="J426" s="4" t="str">
        <f>TRIM(CONCATENATE(Table43[[#This Row],[Nama            KLP]]," ",Table43[[#This Row],[Nama            Sub KLP]]))</f>
        <v>OVALE ESST VIT FACE</v>
      </c>
      <c r="K426" s="4" t="str">
        <f>CONCATENATE(Table43[[#This Row],[kode  2 Digit                (hrf+No)]],Table43[[#This Row],[kode  2 Digit                (Nomor)]],Table43[[#This Row],[kode  1 Digit                (Nomor)]])</f>
        <v>K1290</v>
      </c>
      <c r="L426" s="4" t="str">
        <f t="shared" si="21"/>
        <v>K1290002000320</v>
      </c>
      <c r="M426" s="11">
        <f t="shared" si="22"/>
        <v>14</v>
      </c>
      <c r="N426" s="14" t="str">
        <f>IF(AF426&lt;&gt;"",TRIM(UPPER(CONCATENATE(P426," ",R426," ",T426," ",V426," ",X426," ",Z426," ","X"," ",Table43[[#This Row],[ISI/CTN]]," ",AF426," ",AB426," ",AD426," ",AH426))),TRIM(UPPER(CONCATENATE(P426," ",R426," ",T426," ",V426," ",X426," ",Z426," ","X"," ",Table43[[#This Row],[ISI/CTN]]," ",AB426," ",AD426," ",AH426))))</f>
        <v>KNF OVALE ESST VIT FACE REJUVE 0,3ML X 24 JAR</v>
      </c>
      <c r="O426" s="11">
        <f t="shared" si="23"/>
        <v>45</v>
      </c>
      <c r="P426" s="4" t="s">
        <v>97</v>
      </c>
      <c r="Q426" s="7" t="s">
        <v>98</v>
      </c>
      <c r="R426" s="4" t="s">
        <v>3872</v>
      </c>
      <c r="S426" s="44" t="s">
        <v>3873</v>
      </c>
      <c r="T426" s="45" t="s">
        <v>2961</v>
      </c>
      <c r="U426" s="7" t="s">
        <v>2900</v>
      </c>
      <c r="V426" s="45" t="s">
        <v>2961</v>
      </c>
      <c r="W426" s="44" t="s">
        <v>2900</v>
      </c>
      <c r="X426" s="4" t="s">
        <v>3876</v>
      </c>
      <c r="Y426" s="46" t="s">
        <v>2472</v>
      </c>
      <c r="Z426" s="4" t="s">
        <v>3875</v>
      </c>
      <c r="AA426" s="46" t="s">
        <v>2508</v>
      </c>
      <c r="AB426" s="4" t="s">
        <v>1019</v>
      </c>
      <c r="AC426" s="7" t="s">
        <v>3562</v>
      </c>
      <c r="AD426" s="4" t="s">
        <v>2961</v>
      </c>
      <c r="AE426" s="7" t="s">
        <v>2900</v>
      </c>
      <c r="AF426" s="7" t="s">
        <v>2961</v>
      </c>
      <c r="AG426" s="7" t="s">
        <v>2961</v>
      </c>
      <c r="AI426" s="7" t="s">
        <v>4100</v>
      </c>
      <c r="AJ426" s="7" t="s">
        <v>2656</v>
      </c>
      <c r="AK426" s="41">
        <f>Table43[[#This Row],[Harga Jual Pcs GT
(-PPN)]]-(Table43[[#This Row],[Harga Jual Pcs GT
(-PPN)]]*10%)</f>
        <v>0</v>
      </c>
      <c r="AL426" s="42">
        <f>Table43[[#This Row],[Harga Beli Pcs
(-PPN)]]*Table43[[#This Row],[ISI/CTN]]</f>
        <v>0</v>
      </c>
      <c r="AM426" s="42">
        <f>Table43[[#This Row],[Harga Beli Pcs
(-PPN)]]*1.11</f>
        <v>0</v>
      </c>
      <c r="AN426" s="42">
        <f>Table43[[#This Row],[Harga Beli Krt
(- PPN)]]*1.11</f>
        <v>0</v>
      </c>
      <c r="AO426" s="42"/>
      <c r="AP426" s="42">
        <f>Table43[[#This Row],[Harga Jual Pcs GT
(-PPN)]]*Table43[[#This Row],[ISI/CTN]]</f>
        <v>0</v>
      </c>
      <c r="AQ426" s="42">
        <f>Table43[[#This Row],[Harga Jual Pcs GT
(-PPN)]]*1.11</f>
        <v>0</v>
      </c>
      <c r="AR426" s="42">
        <f>Table43[[#This Row],[Harga Jual Krt GT
(- PPN)]]*1.11</f>
        <v>0</v>
      </c>
      <c r="AS426" s="42">
        <f>Table43[[#This Row],[Harga Jual Pcs GT
(-PPN)]]</f>
        <v>0</v>
      </c>
      <c r="AT426" s="42">
        <f>(Table43[[#This Row],[Harga Jual Pcs MT
(-PPN)]]*Table43[[#This Row],[ISI/CTN]])</f>
        <v>0</v>
      </c>
      <c r="AU426" s="42">
        <f>Table43[[#This Row],[Harga Jual Pcs MT
(-PPN)]]*1.11</f>
        <v>0</v>
      </c>
      <c r="AV426" s="42">
        <f>Table43[[#This Row],[Harga Jual Pcs MT
(+PPN)]]*Table43[[#This Row],[ISI/CTN]]</f>
        <v>0</v>
      </c>
      <c r="AW426" s="47"/>
      <c r="AX426" s="7"/>
      <c r="AY426" s="7" t="str">
        <f ca="1">IF(TODAY()-Table43[[#This Row],[Efektif
Pembuatan]]&gt;60,"Lama","Baru")</f>
        <v>Lama</v>
      </c>
      <c r="AZ426" s="7" t="str">
        <f ca="1">IF(TODAY()-Table43[[#This Row],[Efektif Naik Harga]]&lt;30,"Naik","Sama")</f>
        <v>Sama</v>
      </c>
      <c r="BA426" s="7" t="str">
        <f>IF(Table43[[#This Row],[Kode BARANG Win2]]&lt;&gt;"","IDR","")</f>
        <v>IDR</v>
      </c>
      <c r="BB426" s="7" t="str">
        <f>CONCATENATE(Table43[[#This Row],[kode  1 Digit
(Nomor)]],Table43[[#This Row],[kode  4 Digit                (Nomor)]])</f>
        <v>10003</v>
      </c>
      <c r="BC426" s="7" t="str">
        <f>Table43[[#This Row],[Nama            Gramasi atau Jumlah Pack per CTN]]</f>
        <v>0,3ML</v>
      </c>
      <c r="BD426" s="7"/>
      <c r="BE426" s="7"/>
      <c r="BF426" s="4" t="str">
        <f>IF(Table43[[#This Row],[SATUAN Fix Win]]&lt;&gt;"","KRT")</f>
        <v>KRT</v>
      </c>
      <c r="BG426" s="4" t="str">
        <f>IF(Table43[[#This Row],[SATUAN Fix Win]]&lt;&gt;"","GD01")</f>
        <v>GD01</v>
      </c>
      <c r="BH426" s="4">
        <f>IF(Table43[[#This Row],[SATUAN Fix Win]]&lt;&gt;"",11611)</f>
        <v>11611</v>
      </c>
      <c r="BI426" s="4">
        <f>IF(Table43[[#This Row],[SATUAN Fix Win]]&lt;&gt;"",11612)</f>
        <v>11612</v>
      </c>
      <c r="BJ426" s="48"/>
      <c r="BK426" s="4">
        <f>IF(Table43[[#This Row],[SATUAN Fix Win]]&lt;&gt;"",1)</f>
        <v>1</v>
      </c>
    </row>
    <row r="427" spans="1:63">
      <c r="A427" s="4" t="str">
        <f>CONCATENATE(Table43[[#This Row],[Kode BARANG Win2]],Table43[[#This Row],[No. Urut
Item Sama]])</f>
        <v>K13000010015111</v>
      </c>
      <c r="B427" s="7">
        <v>1</v>
      </c>
      <c r="D427" s="28" t="s">
        <v>886</v>
      </c>
      <c r="E427" s="28"/>
      <c r="F427" s="28" t="s">
        <v>3204</v>
      </c>
      <c r="G427" s="78">
        <v>144</v>
      </c>
      <c r="H427" s="43"/>
      <c r="I427" s="28" t="str">
        <f>Table43[[#This Row],[Nama Jenis Kemasan]]</f>
        <v>SCH</v>
      </c>
      <c r="J427" s="4" t="str">
        <f>TRIM(CONCATENATE(Table43[[#This Row],[Nama            KLP]]," ",Table43[[#This Row],[Nama            Sub KLP]]))</f>
        <v>OVALE FACE MASK</v>
      </c>
      <c r="K427" s="4" t="str">
        <f>CONCATENATE(Table43[[#This Row],[kode  2 Digit                (hrf+No)]],Table43[[#This Row],[kode  2 Digit                (Nomor)]],Table43[[#This Row],[kode  1 Digit                (Nomor)]])</f>
        <v>K1300</v>
      </c>
      <c r="L427" s="4" t="str">
        <f t="shared" si="21"/>
        <v>K1300001001511</v>
      </c>
      <c r="M427" s="11">
        <f t="shared" si="22"/>
        <v>14</v>
      </c>
      <c r="N427" s="14" t="str">
        <f>IF(AF427&lt;&gt;"",TRIM(UPPER(CONCATENATE(P427," ",R427," ",T427," ",V427," ",X427," ",Z427," ","X"," ",Table43[[#This Row],[ISI/CTN]]," ",AF427," ",AB427," ",AD427," ",AH427))),TRIM(UPPER(CONCATENATE(P427," ",R427," ",T427," ",V427," ",X427," ",Z427," ","X"," ",Table43[[#This Row],[ISI/CTN]]," ",AB427," ",AD427," ",AH427))))</f>
        <v>KNF OVALE FACE MASK BENGKOANG 15GR X 144 SACHET SCH</v>
      </c>
      <c r="O427" s="11">
        <f t="shared" si="23"/>
        <v>51</v>
      </c>
      <c r="P427" s="4" t="s">
        <v>97</v>
      </c>
      <c r="Q427" s="7" t="s">
        <v>98</v>
      </c>
      <c r="R427" s="4" t="s">
        <v>3877</v>
      </c>
      <c r="S427" s="44" t="s">
        <v>3878</v>
      </c>
      <c r="T427" s="45" t="s">
        <v>2961</v>
      </c>
      <c r="U427" s="7" t="s">
        <v>2900</v>
      </c>
      <c r="V427" s="45" t="s">
        <v>2961</v>
      </c>
      <c r="W427" s="44" t="s">
        <v>2900</v>
      </c>
      <c r="X427" s="4" t="s">
        <v>3879</v>
      </c>
      <c r="Y427" s="46" t="s">
        <v>0</v>
      </c>
      <c r="Z427" s="4" t="s">
        <v>3864</v>
      </c>
      <c r="AA427" s="46" t="s">
        <v>2507</v>
      </c>
      <c r="AB427" s="4" t="s">
        <v>1022</v>
      </c>
      <c r="AC427" s="7" t="s">
        <v>2656</v>
      </c>
      <c r="AD427" s="4" t="s">
        <v>2961</v>
      </c>
      <c r="AE427" s="7" t="s">
        <v>2900</v>
      </c>
      <c r="AF427" s="7" t="s">
        <v>149</v>
      </c>
      <c r="AG427" s="7" t="s">
        <v>2656</v>
      </c>
      <c r="AI427" s="7" t="s">
        <v>2463</v>
      </c>
      <c r="AJ427" s="7" t="s">
        <v>3562</v>
      </c>
      <c r="AK427" s="41">
        <f>Table43[[#This Row],[Harga Jual Pcs GT
(-PPN)]]-(Table43[[#This Row],[Harga Jual Pcs GT
(-PPN)]]*10%)</f>
        <v>0</v>
      </c>
      <c r="AL427" s="42">
        <f>Table43[[#This Row],[Harga Beli Pcs
(-PPN)]]*Table43[[#This Row],[ISI/CTN]]</f>
        <v>0</v>
      </c>
      <c r="AM427" s="42">
        <f>Table43[[#This Row],[Harga Beli Pcs
(-PPN)]]*1.11</f>
        <v>0</v>
      </c>
      <c r="AN427" s="42">
        <f>Table43[[#This Row],[Harga Beli Krt
(- PPN)]]*1.11</f>
        <v>0</v>
      </c>
      <c r="AO427" s="42"/>
      <c r="AP427" s="42">
        <f>Table43[[#This Row],[Harga Jual Pcs GT
(-PPN)]]*Table43[[#This Row],[ISI/CTN]]</f>
        <v>0</v>
      </c>
      <c r="AQ427" s="42">
        <f>Table43[[#This Row],[Harga Jual Pcs GT
(-PPN)]]*1.11</f>
        <v>0</v>
      </c>
      <c r="AR427" s="42">
        <f>Table43[[#This Row],[Harga Jual Krt GT
(- PPN)]]*1.11</f>
        <v>0</v>
      </c>
      <c r="AS427" s="42">
        <f>Table43[[#This Row],[Harga Jual Pcs GT
(-PPN)]]</f>
        <v>0</v>
      </c>
      <c r="AT427" s="42">
        <f>(Table43[[#This Row],[Harga Jual Pcs MT
(-PPN)]]*Table43[[#This Row],[ISI/CTN]])</f>
        <v>0</v>
      </c>
      <c r="AU427" s="42">
        <f>Table43[[#This Row],[Harga Jual Pcs MT
(-PPN)]]*1.11</f>
        <v>0</v>
      </c>
      <c r="AV427" s="42">
        <f>Table43[[#This Row],[Harga Jual Pcs MT
(+PPN)]]*Table43[[#This Row],[ISI/CTN]]</f>
        <v>0</v>
      </c>
      <c r="AW427" s="47"/>
      <c r="AX427" s="7"/>
      <c r="AY427" s="7" t="str">
        <f ca="1">IF(TODAY()-Table43[[#This Row],[Efektif
Pembuatan]]&gt;60,"Lama","Baru")</f>
        <v>Lama</v>
      </c>
      <c r="AZ427" s="7" t="str">
        <f ca="1">IF(TODAY()-Table43[[#This Row],[Efektif Naik Harga]]&lt;30,"Naik","Sama")</f>
        <v>Sama</v>
      </c>
      <c r="BA427" s="7" t="str">
        <f>IF(Table43[[#This Row],[Kode BARANG Win2]]&lt;&gt;"","IDR","")</f>
        <v>IDR</v>
      </c>
      <c r="BB427" s="7" t="str">
        <f>CONCATENATE(Table43[[#This Row],[kode  1 Digit
(Nomor)]],Table43[[#This Row],[kode  4 Digit                (Nomor)]])</f>
        <v>20015</v>
      </c>
      <c r="BC427" s="7" t="str">
        <f>Table43[[#This Row],[Nama            Gramasi atau Jumlah Pack per CTN]]</f>
        <v>15GR</v>
      </c>
      <c r="BD427" s="7"/>
      <c r="BE427" s="7"/>
      <c r="BF427" s="4" t="str">
        <f>IF(Table43[[#This Row],[SATUAN Fix Win]]&lt;&gt;"","KRT")</f>
        <v>KRT</v>
      </c>
      <c r="BG427" s="4" t="str">
        <f>IF(Table43[[#This Row],[SATUAN Fix Win]]&lt;&gt;"","GD01")</f>
        <v>GD01</v>
      </c>
      <c r="BH427" s="4">
        <f>IF(Table43[[#This Row],[SATUAN Fix Win]]&lt;&gt;"",11611)</f>
        <v>11611</v>
      </c>
      <c r="BI427" s="4">
        <f>IF(Table43[[#This Row],[SATUAN Fix Win]]&lt;&gt;"",11612)</f>
        <v>11612</v>
      </c>
      <c r="BJ427" s="48"/>
      <c r="BK427" s="4">
        <f>IF(Table43[[#This Row],[SATUAN Fix Win]]&lt;&gt;"",1)</f>
        <v>1</v>
      </c>
    </row>
    <row r="428" spans="1:63">
      <c r="A428" s="4" t="str">
        <f>CONCATENATE(Table43[[#This Row],[Kode BARANG Win2]],Table43[[#This Row],[No. Urut
Item Sama]])</f>
        <v>K13000010075201</v>
      </c>
      <c r="B428" s="7">
        <v>1</v>
      </c>
      <c r="D428" s="28" t="s">
        <v>870</v>
      </c>
      <c r="E428" s="28"/>
      <c r="F428" s="28" t="s">
        <v>3442</v>
      </c>
      <c r="G428" s="78">
        <v>24</v>
      </c>
      <c r="H428" s="43"/>
      <c r="I428" s="28" t="str">
        <f>Table43[[#This Row],[Nama Jenis Kemasan]]</f>
        <v>TUBE</v>
      </c>
      <c r="J428" s="4" t="str">
        <f>TRIM(CONCATENATE(Table43[[#This Row],[Nama            KLP]]," ",Table43[[#This Row],[Nama            Sub KLP]]))</f>
        <v>OVALE FACE MASK</v>
      </c>
      <c r="K428" s="4" t="str">
        <f>CONCATENATE(Table43[[#This Row],[kode  2 Digit                (hrf+No)]],Table43[[#This Row],[kode  2 Digit                (Nomor)]],Table43[[#This Row],[kode  1 Digit                (Nomor)]])</f>
        <v>K1300</v>
      </c>
      <c r="L428" s="4" t="str">
        <f t="shared" si="21"/>
        <v>K1300001007520</v>
      </c>
      <c r="M428" s="11">
        <f t="shared" si="22"/>
        <v>14</v>
      </c>
      <c r="N428" s="14" t="str">
        <f>IF(AF428&lt;&gt;"",TRIM(UPPER(CONCATENATE(P428," ",R428," ",T428," ",V428," ",X428," ",Z428," ","X"," ",Table43[[#This Row],[ISI/CTN]]," ",AF428," ",AB428," ",AD428," ",AH428))),TRIM(UPPER(CONCATENATE(P428," ",R428," ",T428," ",V428," ",X428," ",Z428," ","X"," ",Table43[[#This Row],[ISI/CTN]]," ",AB428," ",AD428," ",AH428))))</f>
        <v>KNF OVALE FACE MASK BENGKOANG 75GR X 24 TUBE</v>
      </c>
      <c r="O428" s="11">
        <f t="shared" si="23"/>
        <v>44</v>
      </c>
      <c r="P428" s="4" t="s">
        <v>97</v>
      </c>
      <c r="Q428" s="7" t="s">
        <v>98</v>
      </c>
      <c r="R428" s="4" t="s">
        <v>3877</v>
      </c>
      <c r="S428" s="44" t="s">
        <v>3878</v>
      </c>
      <c r="T428" s="45" t="s">
        <v>2961</v>
      </c>
      <c r="U428" s="7" t="s">
        <v>2900</v>
      </c>
      <c r="V428" s="45" t="s">
        <v>2961</v>
      </c>
      <c r="W428" s="44" t="s">
        <v>2900</v>
      </c>
      <c r="X428" s="4" t="s">
        <v>3879</v>
      </c>
      <c r="Y428" s="46" t="s">
        <v>0</v>
      </c>
      <c r="Z428" s="4" t="s">
        <v>3854</v>
      </c>
      <c r="AA428" s="46" t="s">
        <v>2505</v>
      </c>
      <c r="AB428" s="4" t="s">
        <v>1021</v>
      </c>
      <c r="AC428" s="7" t="s">
        <v>3562</v>
      </c>
      <c r="AD428" s="4" t="s">
        <v>2961</v>
      </c>
      <c r="AE428" s="7" t="s">
        <v>2900</v>
      </c>
      <c r="AF428" s="7" t="s">
        <v>2961</v>
      </c>
      <c r="AG428" s="7" t="s">
        <v>2961</v>
      </c>
      <c r="AI428" s="7" t="s">
        <v>2463</v>
      </c>
      <c r="AJ428" s="7" t="s">
        <v>3562</v>
      </c>
      <c r="AK428" s="41">
        <f>Table43[[#This Row],[Harga Jual Pcs GT
(-PPN)]]-(Table43[[#This Row],[Harga Jual Pcs GT
(-PPN)]]*10%)</f>
        <v>0</v>
      </c>
      <c r="AL428" s="42">
        <f>Table43[[#This Row],[Harga Beli Pcs
(-PPN)]]*Table43[[#This Row],[ISI/CTN]]</f>
        <v>0</v>
      </c>
      <c r="AM428" s="42">
        <f>Table43[[#This Row],[Harga Beli Pcs
(-PPN)]]*1.11</f>
        <v>0</v>
      </c>
      <c r="AN428" s="42">
        <f>Table43[[#This Row],[Harga Beli Krt
(- PPN)]]*1.11</f>
        <v>0</v>
      </c>
      <c r="AO428" s="42"/>
      <c r="AP428" s="42">
        <f>Table43[[#This Row],[Harga Jual Pcs GT
(-PPN)]]*Table43[[#This Row],[ISI/CTN]]</f>
        <v>0</v>
      </c>
      <c r="AQ428" s="42">
        <f>Table43[[#This Row],[Harga Jual Pcs GT
(-PPN)]]*1.11</f>
        <v>0</v>
      </c>
      <c r="AR428" s="42">
        <f>Table43[[#This Row],[Harga Jual Krt GT
(- PPN)]]*1.11</f>
        <v>0</v>
      </c>
      <c r="AS428" s="42">
        <f>Table43[[#This Row],[Harga Jual Pcs GT
(-PPN)]]</f>
        <v>0</v>
      </c>
      <c r="AT428" s="42">
        <f>(Table43[[#This Row],[Harga Jual Pcs MT
(-PPN)]]*Table43[[#This Row],[ISI/CTN]])</f>
        <v>0</v>
      </c>
      <c r="AU428" s="42">
        <f>Table43[[#This Row],[Harga Jual Pcs MT
(-PPN)]]*1.11</f>
        <v>0</v>
      </c>
      <c r="AV428" s="42">
        <f>Table43[[#This Row],[Harga Jual Pcs MT
(+PPN)]]*Table43[[#This Row],[ISI/CTN]]</f>
        <v>0</v>
      </c>
      <c r="AW428" s="47"/>
      <c r="AX428" s="7"/>
      <c r="AY428" s="7" t="str">
        <f ca="1">IF(TODAY()-Table43[[#This Row],[Efektif
Pembuatan]]&gt;60,"Lama","Baru")</f>
        <v>Lama</v>
      </c>
      <c r="AZ428" s="7" t="str">
        <f ca="1">IF(TODAY()-Table43[[#This Row],[Efektif Naik Harga]]&lt;30,"Naik","Sama")</f>
        <v>Sama</v>
      </c>
      <c r="BA428" s="7" t="str">
        <f>IF(Table43[[#This Row],[Kode BARANG Win2]]&lt;&gt;"","IDR","")</f>
        <v>IDR</v>
      </c>
      <c r="BB428" s="7" t="str">
        <f>CONCATENATE(Table43[[#This Row],[kode  1 Digit
(Nomor)]],Table43[[#This Row],[kode  4 Digit                (Nomor)]])</f>
        <v>20075</v>
      </c>
      <c r="BC428" s="7" t="str">
        <f>Table43[[#This Row],[Nama            Gramasi atau Jumlah Pack per CTN]]</f>
        <v>75GR</v>
      </c>
      <c r="BD428" s="7"/>
      <c r="BE428" s="7"/>
      <c r="BF428" s="4" t="str">
        <f>IF(Table43[[#This Row],[SATUAN Fix Win]]&lt;&gt;"","KRT")</f>
        <v>KRT</v>
      </c>
      <c r="BG428" s="4" t="str">
        <f>IF(Table43[[#This Row],[SATUAN Fix Win]]&lt;&gt;"","GD01")</f>
        <v>GD01</v>
      </c>
      <c r="BH428" s="4">
        <f>IF(Table43[[#This Row],[SATUAN Fix Win]]&lt;&gt;"",11611)</f>
        <v>11611</v>
      </c>
      <c r="BI428" s="4">
        <f>IF(Table43[[#This Row],[SATUAN Fix Win]]&lt;&gt;"",11612)</f>
        <v>11612</v>
      </c>
      <c r="BJ428" s="48"/>
      <c r="BK428" s="4">
        <f>IF(Table43[[#This Row],[SATUAN Fix Win]]&lt;&gt;"",1)</f>
        <v>1</v>
      </c>
    </row>
    <row r="429" spans="1:63">
      <c r="A429" s="4" t="str">
        <f>CONCATENATE(Table43[[#This Row],[Kode BARANG Win2]],Table43[[#This Row],[No. Urut
Item Sama]])</f>
        <v>K13000020015111</v>
      </c>
      <c r="B429" s="7">
        <v>1</v>
      </c>
      <c r="D429" s="28" t="s">
        <v>900</v>
      </c>
      <c r="E429" s="28"/>
      <c r="F429" s="28" t="s">
        <v>3205</v>
      </c>
      <c r="G429" s="78">
        <v>144</v>
      </c>
      <c r="H429" s="43"/>
      <c r="I429" s="28" t="str">
        <f>Table43[[#This Row],[Nama Jenis Kemasan]]</f>
        <v>SCH</v>
      </c>
      <c r="J429" s="4" t="str">
        <f>TRIM(CONCATENATE(Table43[[#This Row],[Nama            KLP]]," ",Table43[[#This Row],[Nama            Sub KLP]]))</f>
        <v>OVALE FACE MASK</v>
      </c>
      <c r="K429" s="4" t="str">
        <f>CONCATENATE(Table43[[#This Row],[kode  2 Digit                (hrf+No)]],Table43[[#This Row],[kode  2 Digit                (Nomor)]],Table43[[#This Row],[kode  1 Digit                (Nomor)]])</f>
        <v>K1300</v>
      </c>
      <c r="L429" s="4" t="str">
        <f t="shared" si="21"/>
        <v>K1300002001511</v>
      </c>
      <c r="M429" s="11">
        <f t="shared" si="22"/>
        <v>14</v>
      </c>
      <c r="N429" s="14" t="str">
        <f>IF(AF429&lt;&gt;"",TRIM(UPPER(CONCATENATE(P429," ",R429," ",T429," ",V429," ",X429," ",Z429," ","X"," ",Table43[[#This Row],[ISI/CTN]]," ",AF429," ",AB429," ",AD429," ",AH429))),TRIM(UPPER(CONCATENATE(P429," ",R429," ",T429," ",V429," ",X429," ",Z429," ","X"," ",Table43[[#This Row],[ISI/CTN]]," ",AB429," ",AD429," ",AH429))))</f>
        <v>KNF OVALE FACE MASK CUCUMBER 15GR X 144 SACHET SCH</v>
      </c>
      <c r="O429" s="11">
        <f t="shared" si="23"/>
        <v>50</v>
      </c>
      <c r="P429" s="4" t="s">
        <v>97</v>
      </c>
      <c r="Q429" s="7" t="s">
        <v>98</v>
      </c>
      <c r="R429" s="4" t="s">
        <v>3877</v>
      </c>
      <c r="S429" s="44" t="s">
        <v>3878</v>
      </c>
      <c r="T429" s="45" t="s">
        <v>2961</v>
      </c>
      <c r="U429" s="7" t="s">
        <v>2900</v>
      </c>
      <c r="V429" s="45" t="s">
        <v>2961</v>
      </c>
      <c r="W429" s="44" t="s">
        <v>2900</v>
      </c>
      <c r="X429" s="4" t="s">
        <v>3880</v>
      </c>
      <c r="Y429" s="46" t="s">
        <v>2472</v>
      </c>
      <c r="Z429" s="4" t="s">
        <v>3864</v>
      </c>
      <c r="AA429" s="46" t="s">
        <v>2507</v>
      </c>
      <c r="AB429" s="4" t="s">
        <v>1022</v>
      </c>
      <c r="AC429" s="7" t="s">
        <v>2656</v>
      </c>
      <c r="AD429" s="4" t="s">
        <v>2961</v>
      </c>
      <c r="AE429" s="7" t="s">
        <v>2900</v>
      </c>
      <c r="AF429" s="7" t="s">
        <v>149</v>
      </c>
      <c r="AG429" s="7" t="s">
        <v>2656</v>
      </c>
      <c r="AI429" s="7" t="s">
        <v>2463</v>
      </c>
      <c r="AJ429" s="7" t="s">
        <v>3562</v>
      </c>
      <c r="AK429" s="41">
        <f>Table43[[#This Row],[Harga Jual Pcs GT
(-PPN)]]-(Table43[[#This Row],[Harga Jual Pcs GT
(-PPN)]]*10%)</f>
        <v>0</v>
      </c>
      <c r="AL429" s="42">
        <f>Table43[[#This Row],[Harga Beli Pcs
(-PPN)]]*Table43[[#This Row],[ISI/CTN]]</f>
        <v>0</v>
      </c>
      <c r="AM429" s="42">
        <f>Table43[[#This Row],[Harga Beli Pcs
(-PPN)]]*1.11</f>
        <v>0</v>
      </c>
      <c r="AN429" s="42">
        <f>Table43[[#This Row],[Harga Beli Krt
(- PPN)]]*1.11</f>
        <v>0</v>
      </c>
      <c r="AO429" s="42"/>
      <c r="AP429" s="42">
        <f>Table43[[#This Row],[Harga Jual Pcs GT
(-PPN)]]*Table43[[#This Row],[ISI/CTN]]</f>
        <v>0</v>
      </c>
      <c r="AQ429" s="42">
        <f>Table43[[#This Row],[Harga Jual Pcs GT
(-PPN)]]*1.11</f>
        <v>0</v>
      </c>
      <c r="AR429" s="42">
        <f>Table43[[#This Row],[Harga Jual Krt GT
(- PPN)]]*1.11</f>
        <v>0</v>
      </c>
      <c r="AS429" s="42">
        <f>Table43[[#This Row],[Harga Jual Pcs GT
(-PPN)]]</f>
        <v>0</v>
      </c>
      <c r="AT429" s="42">
        <f>(Table43[[#This Row],[Harga Jual Pcs MT
(-PPN)]]*Table43[[#This Row],[ISI/CTN]])</f>
        <v>0</v>
      </c>
      <c r="AU429" s="42">
        <f>Table43[[#This Row],[Harga Jual Pcs MT
(-PPN)]]*1.11</f>
        <v>0</v>
      </c>
      <c r="AV429" s="42">
        <f>Table43[[#This Row],[Harga Jual Pcs MT
(+PPN)]]*Table43[[#This Row],[ISI/CTN]]</f>
        <v>0</v>
      </c>
      <c r="AW429" s="47"/>
      <c r="AX429" s="7"/>
      <c r="AY429" s="7" t="str">
        <f ca="1">IF(TODAY()-Table43[[#This Row],[Efektif
Pembuatan]]&gt;60,"Lama","Baru")</f>
        <v>Lama</v>
      </c>
      <c r="AZ429" s="7" t="str">
        <f ca="1">IF(TODAY()-Table43[[#This Row],[Efektif Naik Harga]]&lt;30,"Naik","Sama")</f>
        <v>Sama</v>
      </c>
      <c r="BA429" s="7" t="str">
        <f>IF(Table43[[#This Row],[Kode BARANG Win2]]&lt;&gt;"","IDR","")</f>
        <v>IDR</v>
      </c>
      <c r="BB429" s="7" t="str">
        <f>CONCATENATE(Table43[[#This Row],[kode  1 Digit
(Nomor)]],Table43[[#This Row],[kode  4 Digit                (Nomor)]])</f>
        <v>20015</v>
      </c>
      <c r="BC429" s="7" t="str">
        <f>Table43[[#This Row],[Nama            Gramasi atau Jumlah Pack per CTN]]</f>
        <v>15GR</v>
      </c>
      <c r="BD429" s="7"/>
      <c r="BE429" s="7"/>
      <c r="BF429" s="4" t="str">
        <f>IF(Table43[[#This Row],[SATUAN Fix Win]]&lt;&gt;"","KRT")</f>
        <v>KRT</v>
      </c>
      <c r="BG429" s="4" t="str">
        <f>IF(Table43[[#This Row],[SATUAN Fix Win]]&lt;&gt;"","GD01")</f>
        <v>GD01</v>
      </c>
      <c r="BH429" s="4">
        <f>IF(Table43[[#This Row],[SATUAN Fix Win]]&lt;&gt;"",11611)</f>
        <v>11611</v>
      </c>
      <c r="BI429" s="4">
        <f>IF(Table43[[#This Row],[SATUAN Fix Win]]&lt;&gt;"",11612)</f>
        <v>11612</v>
      </c>
      <c r="BJ429" s="48"/>
      <c r="BK429" s="4">
        <f>IF(Table43[[#This Row],[SATUAN Fix Win]]&lt;&gt;"",1)</f>
        <v>1</v>
      </c>
    </row>
    <row r="430" spans="1:63">
      <c r="A430" s="4" t="str">
        <f>CONCATENATE(Table43[[#This Row],[Kode BARANG Win2]],Table43[[#This Row],[No. Urut
Item Sama]])</f>
        <v>K13000030015111</v>
      </c>
      <c r="B430" s="7">
        <v>1</v>
      </c>
      <c r="D430" s="28" t="s">
        <v>908</v>
      </c>
      <c r="E430" s="28"/>
      <c r="F430" s="28" t="s">
        <v>3206</v>
      </c>
      <c r="G430" s="78">
        <v>144</v>
      </c>
      <c r="H430" s="43"/>
      <c r="I430" s="28" t="str">
        <f>Table43[[#This Row],[Nama Jenis Kemasan]]</f>
        <v>SCH</v>
      </c>
      <c r="J430" s="4" t="str">
        <f>TRIM(CONCATENATE(Table43[[#This Row],[Nama            KLP]]," ",Table43[[#This Row],[Nama            Sub KLP]]))</f>
        <v>OVALE FACE MASK</v>
      </c>
      <c r="K430" s="4" t="str">
        <f>CONCATENATE(Table43[[#This Row],[kode  2 Digit                (hrf+No)]],Table43[[#This Row],[kode  2 Digit                (Nomor)]],Table43[[#This Row],[kode  1 Digit                (Nomor)]])</f>
        <v>K1300</v>
      </c>
      <c r="L430" s="4" t="str">
        <f t="shared" si="21"/>
        <v>K1300003001511</v>
      </c>
      <c r="M430" s="11">
        <f t="shared" si="22"/>
        <v>14</v>
      </c>
      <c r="N430" s="14" t="str">
        <f>IF(AF430&lt;&gt;"",TRIM(UPPER(CONCATENATE(P430," ",R430," ",T430," ",V430," ",X430," ",Z430," ","X"," ",Table43[[#This Row],[ISI/CTN]]," ",AF430," ",AB430," ",AD430," ",AH430))),TRIM(UPPER(CONCATENATE(P430," ",R430," ",T430," ",V430," ",X430," ",Z430," ","X"," ",Table43[[#This Row],[ISI/CTN]]," ",AB430," ",AD430," ",AH430))))</f>
        <v>KNF OVALE FACE MASK LEMON 15GR X 144 SACHET SCH</v>
      </c>
      <c r="O430" s="11">
        <f t="shared" si="23"/>
        <v>47</v>
      </c>
      <c r="P430" s="4" t="s">
        <v>97</v>
      </c>
      <c r="Q430" s="7" t="s">
        <v>98</v>
      </c>
      <c r="R430" s="4" t="s">
        <v>3877</v>
      </c>
      <c r="S430" s="44" t="s">
        <v>3878</v>
      </c>
      <c r="T430" s="45" t="s">
        <v>2961</v>
      </c>
      <c r="U430" s="7" t="s">
        <v>2900</v>
      </c>
      <c r="V430" s="45" t="s">
        <v>2961</v>
      </c>
      <c r="W430" s="44" t="s">
        <v>2900</v>
      </c>
      <c r="X430" s="4" t="s">
        <v>3881</v>
      </c>
      <c r="Y430" s="46" t="s">
        <v>2473</v>
      </c>
      <c r="Z430" s="4" t="s">
        <v>3864</v>
      </c>
      <c r="AA430" s="46" t="s">
        <v>2507</v>
      </c>
      <c r="AB430" s="4" t="s">
        <v>1022</v>
      </c>
      <c r="AC430" s="7" t="s">
        <v>2656</v>
      </c>
      <c r="AD430" s="4" t="s">
        <v>2961</v>
      </c>
      <c r="AE430" s="7" t="s">
        <v>2900</v>
      </c>
      <c r="AF430" s="7" t="s">
        <v>149</v>
      </c>
      <c r="AG430" s="7" t="s">
        <v>2656</v>
      </c>
      <c r="AI430" s="7" t="s">
        <v>2463</v>
      </c>
      <c r="AJ430" s="7" t="s">
        <v>3562</v>
      </c>
      <c r="AK430" s="41">
        <f>Table43[[#This Row],[Harga Jual Pcs GT
(-PPN)]]-(Table43[[#This Row],[Harga Jual Pcs GT
(-PPN)]]*10%)</f>
        <v>0</v>
      </c>
      <c r="AL430" s="42">
        <f>Table43[[#This Row],[Harga Beli Pcs
(-PPN)]]*Table43[[#This Row],[ISI/CTN]]</f>
        <v>0</v>
      </c>
      <c r="AM430" s="42">
        <f>Table43[[#This Row],[Harga Beli Pcs
(-PPN)]]*1.11</f>
        <v>0</v>
      </c>
      <c r="AN430" s="42">
        <f>Table43[[#This Row],[Harga Beli Krt
(- PPN)]]*1.11</f>
        <v>0</v>
      </c>
      <c r="AO430" s="42"/>
      <c r="AP430" s="42">
        <f>Table43[[#This Row],[Harga Jual Pcs GT
(-PPN)]]*Table43[[#This Row],[ISI/CTN]]</f>
        <v>0</v>
      </c>
      <c r="AQ430" s="42">
        <f>Table43[[#This Row],[Harga Jual Pcs GT
(-PPN)]]*1.11</f>
        <v>0</v>
      </c>
      <c r="AR430" s="42">
        <f>Table43[[#This Row],[Harga Jual Krt GT
(- PPN)]]*1.11</f>
        <v>0</v>
      </c>
      <c r="AS430" s="42">
        <f>Table43[[#This Row],[Harga Jual Pcs GT
(-PPN)]]</f>
        <v>0</v>
      </c>
      <c r="AT430" s="42">
        <f>(Table43[[#This Row],[Harga Jual Pcs MT
(-PPN)]]*Table43[[#This Row],[ISI/CTN]])</f>
        <v>0</v>
      </c>
      <c r="AU430" s="42">
        <f>Table43[[#This Row],[Harga Jual Pcs MT
(-PPN)]]*1.11</f>
        <v>0</v>
      </c>
      <c r="AV430" s="42">
        <f>Table43[[#This Row],[Harga Jual Pcs MT
(+PPN)]]*Table43[[#This Row],[ISI/CTN]]</f>
        <v>0</v>
      </c>
      <c r="AW430" s="47"/>
      <c r="AX430" s="7"/>
      <c r="AY430" s="7" t="str">
        <f ca="1">IF(TODAY()-Table43[[#This Row],[Efektif
Pembuatan]]&gt;60,"Lama","Baru")</f>
        <v>Lama</v>
      </c>
      <c r="AZ430" s="7" t="str">
        <f ca="1">IF(TODAY()-Table43[[#This Row],[Efektif Naik Harga]]&lt;30,"Naik","Sama")</f>
        <v>Sama</v>
      </c>
      <c r="BA430" s="7" t="str">
        <f>IF(Table43[[#This Row],[Kode BARANG Win2]]&lt;&gt;"","IDR","")</f>
        <v>IDR</v>
      </c>
      <c r="BB430" s="7" t="str">
        <f>CONCATENATE(Table43[[#This Row],[kode  1 Digit
(Nomor)]],Table43[[#This Row],[kode  4 Digit                (Nomor)]])</f>
        <v>20015</v>
      </c>
      <c r="BC430" s="7" t="str">
        <f>Table43[[#This Row],[Nama            Gramasi atau Jumlah Pack per CTN]]</f>
        <v>15GR</v>
      </c>
      <c r="BD430" s="7"/>
      <c r="BE430" s="7"/>
      <c r="BF430" s="4" t="str">
        <f>IF(Table43[[#This Row],[SATUAN Fix Win]]&lt;&gt;"","KRT")</f>
        <v>KRT</v>
      </c>
      <c r="BG430" s="4" t="str">
        <f>IF(Table43[[#This Row],[SATUAN Fix Win]]&lt;&gt;"","GD01")</f>
        <v>GD01</v>
      </c>
      <c r="BH430" s="4">
        <f>IF(Table43[[#This Row],[SATUAN Fix Win]]&lt;&gt;"",11611)</f>
        <v>11611</v>
      </c>
      <c r="BI430" s="4">
        <f>IF(Table43[[#This Row],[SATUAN Fix Win]]&lt;&gt;"",11612)</f>
        <v>11612</v>
      </c>
      <c r="BJ430" s="48"/>
      <c r="BK430" s="4">
        <f>IF(Table43[[#This Row],[SATUAN Fix Win]]&lt;&gt;"",1)</f>
        <v>1</v>
      </c>
    </row>
    <row r="431" spans="1:63">
      <c r="A431" s="4" t="str">
        <f>CONCATENATE(Table43[[#This Row],[Kode BARANG Win2]],Table43[[#This Row],[No. Urut
Item Sama]])</f>
        <v>K13000030075201</v>
      </c>
      <c r="B431" s="7">
        <v>1</v>
      </c>
      <c r="D431" s="28" t="s">
        <v>892</v>
      </c>
      <c r="E431" s="28"/>
      <c r="F431" s="28" t="s">
        <v>3443</v>
      </c>
      <c r="G431" s="78">
        <v>24</v>
      </c>
      <c r="H431" s="43"/>
      <c r="I431" s="28" t="str">
        <f>Table43[[#This Row],[Nama Jenis Kemasan]]</f>
        <v>TUBE</v>
      </c>
      <c r="J431" s="4" t="str">
        <f>TRIM(CONCATENATE(Table43[[#This Row],[Nama            KLP]]," ",Table43[[#This Row],[Nama            Sub KLP]]))</f>
        <v>OVALE FACE MASK</v>
      </c>
      <c r="K431" s="4" t="str">
        <f>CONCATENATE(Table43[[#This Row],[kode  2 Digit                (hrf+No)]],Table43[[#This Row],[kode  2 Digit                (Nomor)]],Table43[[#This Row],[kode  1 Digit                (Nomor)]])</f>
        <v>K1300</v>
      </c>
      <c r="L431" s="4" t="str">
        <f t="shared" si="21"/>
        <v>K1300003007520</v>
      </c>
      <c r="M431" s="11">
        <f t="shared" si="22"/>
        <v>14</v>
      </c>
      <c r="N431" s="14" t="str">
        <f>IF(AF431&lt;&gt;"",TRIM(UPPER(CONCATENATE(P431," ",R431," ",T431," ",V431," ",X431," ",Z431," ","X"," ",Table43[[#This Row],[ISI/CTN]]," ",AF431," ",AB431," ",AD431," ",AH431))),TRIM(UPPER(CONCATENATE(P431," ",R431," ",T431," ",V431," ",X431," ",Z431," ","X"," ",Table43[[#This Row],[ISI/CTN]]," ",AB431," ",AD431," ",AH431))))</f>
        <v>KNF OVALE FACE MASK LEMON 75GR X 24 TUBE</v>
      </c>
      <c r="O431" s="11">
        <f t="shared" si="23"/>
        <v>40</v>
      </c>
      <c r="P431" s="4" t="s">
        <v>97</v>
      </c>
      <c r="Q431" s="7" t="s">
        <v>98</v>
      </c>
      <c r="R431" s="4" t="s">
        <v>3877</v>
      </c>
      <c r="S431" s="44" t="s">
        <v>3878</v>
      </c>
      <c r="T431" s="45" t="s">
        <v>2961</v>
      </c>
      <c r="U431" s="7" t="s">
        <v>2900</v>
      </c>
      <c r="V431" s="45" t="s">
        <v>2961</v>
      </c>
      <c r="W431" s="44" t="s">
        <v>2900</v>
      </c>
      <c r="X431" s="4" t="s">
        <v>3881</v>
      </c>
      <c r="Y431" s="46" t="s">
        <v>2473</v>
      </c>
      <c r="Z431" s="4" t="s">
        <v>3854</v>
      </c>
      <c r="AA431" s="46" t="s">
        <v>2505</v>
      </c>
      <c r="AB431" s="4" t="s">
        <v>1021</v>
      </c>
      <c r="AC431" s="7" t="s">
        <v>3562</v>
      </c>
      <c r="AD431" s="4" t="s">
        <v>2961</v>
      </c>
      <c r="AE431" s="7" t="s">
        <v>2900</v>
      </c>
      <c r="AF431" s="7" t="s">
        <v>2961</v>
      </c>
      <c r="AG431" s="7" t="s">
        <v>2961</v>
      </c>
      <c r="AI431" s="7" t="s">
        <v>2463</v>
      </c>
      <c r="AJ431" s="7" t="s">
        <v>3562</v>
      </c>
      <c r="AK431" s="41">
        <f>Table43[[#This Row],[Harga Jual Pcs GT
(-PPN)]]-(Table43[[#This Row],[Harga Jual Pcs GT
(-PPN)]]*10%)</f>
        <v>0</v>
      </c>
      <c r="AL431" s="42">
        <f>Table43[[#This Row],[Harga Beli Pcs
(-PPN)]]*Table43[[#This Row],[ISI/CTN]]</f>
        <v>0</v>
      </c>
      <c r="AM431" s="42">
        <f>Table43[[#This Row],[Harga Beli Pcs
(-PPN)]]*1.11</f>
        <v>0</v>
      </c>
      <c r="AN431" s="42">
        <f>Table43[[#This Row],[Harga Beli Krt
(- PPN)]]*1.11</f>
        <v>0</v>
      </c>
      <c r="AO431" s="42"/>
      <c r="AP431" s="42">
        <f>Table43[[#This Row],[Harga Jual Pcs GT
(-PPN)]]*Table43[[#This Row],[ISI/CTN]]</f>
        <v>0</v>
      </c>
      <c r="AQ431" s="42">
        <f>Table43[[#This Row],[Harga Jual Pcs GT
(-PPN)]]*1.11</f>
        <v>0</v>
      </c>
      <c r="AR431" s="42">
        <f>Table43[[#This Row],[Harga Jual Krt GT
(- PPN)]]*1.11</f>
        <v>0</v>
      </c>
      <c r="AS431" s="42">
        <f>Table43[[#This Row],[Harga Jual Pcs GT
(-PPN)]]</f>
        <v>0</v>
      </c>
      <c r="AT431" s="42">
        <f>(Table43[[#This Row],[Harga Jual Pcs MT
(-PPN)]]*Table43[[#This Row],[ISI/CTN]])</f>
        <v>0</v>
      </c>
      <c r="AU431" s="42">
        <f>Table43[[#This Row],[Harga Jual Pcs MT
(-PPN)]]*1.11</f>
        <v>0</v>
      </c>
      <c r="AV431" s="42">
        <f>Table43[[#This Row],[Harga Jual Pcs MT
(+PPN)]]*Table43[[#This Row],[ISI/CTN]]</f>
        <v>0</v>
      </c>
      <c r="AW431" s="47"/>
      <c r="AX431" s="7"/>
      <c r="AY431" s="7" t="str">
        <f ca="1">IF(TODAY()-Table43[[#This Row],[Efektif
Pembuatan]]&gt;60,"Lama","Baru")</f>
        <v>Lama</v>
      </c>
      <c r="AZ431" s="7" t="str">
        <f ca="1">IF(TODAY()-Table43[[#This Row],[Efektif Naik Harga]]&lt;30,"Naik","Sama")</f>
        <v>Sama</v>
      </c>
      <c r="BA431" s="7" t="str">
        <f>IF(Table43[[#This Row],[Kode BARANG Win2]]&lt;&gt;"","IDR","")</f>
        <v>IDR</v>
      </c>
      <c r="BB431" s="7" t="str">
        <f>CONCATENATE(Table43[[#This Row],[kode  1 Digit
(Nomor)]],Table43[[#This Row],[kode  4 Digit                (Nomor)]])</f>
        <v>20075</v>
      </c>
      <c r="BC431" s="7" t="str">
        <f>Table43[[#This Row],[Nama            Gramasi atau Jumlah Pack per CTN]]</f>
        <v>75GR</v>
      </c>
      <c r="BD431" s="7"/>
      <c r="BE431" s="7"/>
      <c r="BF431" s="4" t="str">
        <f>IF(Table43[[#This Row],[SATUAN Fix Win]]&lt;&gt;"","KRT")</f>
        <v>KRT</v>
      </c>
      <c r="BG431" s="4" t="str">
        <f>IF(Table43[[#This Row],[SATUAN Fix Win]]&lt;&gt;"","GD01")</f>
        <v>GD01</v>
      </c>
      <c r="BH431" s="4">
        <f>IF(Table43[[#This Row],[SATUAN Fix Win]]&lt;&gt;"",11611)</f>
        <v>11611</v>
      </c>
      <c r="BI431" s="4">
        <f>IF(Table43[[#This Row],[SATUAN Fix Win]]&lt;&gt;"",11612)</f>
        <v>11612</v>
      </c>
      <c r="BJ431" s="48"/>
      <c r="BK431" s="4">
        <f>IF(Table43[[#This Row],[SATUAN Fix Win]]&lt;&gt;"",1)</f>
        <v>1</v>
      </c>
    </row>
    <row r="432" spans="1:63">
      <c r="A432" s="4" t="str">
        <f>CONCATENATE(Table43[[#This Row],[Kode BARANG Win2]],Table43[[#This Row],[No. Urut
Item Sama]])</f>
        <v>K13000040015111</v>
      </c>
      <c r="B432" s="7">
        <v>1</v>
      </c>
      <c r="D432" s="28" t="s">
        <v>914</v>
      </c>
      <c r="E432" s="28"/>
      <c r="F432" s="28" t="s">
        <v>3207</v>
      </c>
      <c r="G432" s="78">
        <v>144</v>
      </c>
      <c r="H432" s="43"/>
      <c r="I432" s="28" t="str">
        <f>Table43[[#This Row],[Nama Jenis Kemasan]]</f>
        <v>SCH</v>
      </c>
      <c r="J432" s="4" t="str">
        <f>TRIM(CONCATENATE(Table43[[#This Row],[Nama            KLP]]," ",Table43[[#This Row],[Nama            Sub KLP]]))</f>
        <v>OVALE FACE MASK</v>
      </c>
      <c r="K432" s="4" t="str">
        <f>CONCATENATE(Table43[[#This Row],[kode  2 Digit                (hrf+No)]],Table43[[#This Row],[kode  2 Digit                (Nomor)]],Table43[[#This Row],[kode  1 Digit                (Nomor)]])</f>
        <v>K1300</v>
      </c>
      <c r="L432" s="4" t="str">
        <f t="shared" si="21"/>
        <v>K1300004001511</v>
      </c>
      <c r="M432" s="11">
        <f t="shared" si="22"/>
        <v>14</v>
      </c>
      <c r="N432" s="14" t="str">
        <f>IF(AF432&lt;&gt;"",TRIM(UPPER(CONCATENATE(P432," ",R432," ",T432," ",V432," ",X432," ",Z432," ","X"," ",Table43[[#This Row],[ISI/CTN]]," ",AF432," ",AB432," ",AD432," ",AH432))),TRIM(UPPER(CONCATENATE(P432," ",R432," ",T432," ",V432," ",X432," ",Z432," ","X"," ",Table43[[#This Row],[ISI/CTN]]," ",AB432," ",AD432," ",AH432))))</f>
        <v>KNF OVALE FACE MASK TOMATO 15GR X 144 SACHET SCH</v>
      </c>
      <c r="O432" s="11">
        <f t="shared" si="23"/>
        <v>48</v>
      </c>
      <c r="P432" s="4" t="s">
        <v>97</v>
      </c>
      <c r="Q432" s="7" t="s">
        <v>98</v>
      </c>
      <c r="R432" s="4" t="s">
        <v>3877</v>
      </c>
      <c r="S432" s="44" t="s">
        <v>3878</v>
      </c>
      <c r="T432" s="45" t="s">
        <v>2961</v>
      </c>
      <c r="U432" s="7" t="s">
        <v>2900</v>
      </c>
      <c r="V432" s="45" t="s">
        <v>2961</v>
      </c>
      <c r="W432" s="44" t="s">
        <v>2900</v>
      </c>
      <c r="X432" s="4" t="s">
        <v>3882</v>
      </c>
      <c r="Y432" s="46" t="s">
        <v>2474</v>
      </c>
      <c r="Z432" s="4" t="s">
        <v>3864</v>
      </c>
      <c r="AA432" s="46" t="s">
        <v>2507</v>
      </c>
      <c r="AB432" s="4" t="s">
        <v>1022</v>
      </c>
      <c r="AC432" s="7" t="s">
        <v>2656</v>
      </c>
      <c r="AD432" s="4" t="s">
        <v>2961</v>
      </c>
      <c r="AE432" s="7" t="s">
        <v>2900</v>
      </c>
      <c r="AF432" s="7" t="s">
        <v>149</v>
      </c>
      <c r="AG432" s="7" t="s">
        <v>2656</v>
      </c>
      <c r="AI432" s="7" t="s">
        <v>2463</v>
      </c>
      <c r="AJ432" s="7" t="s">
        <v>3562</v>
      </c>
      <c r="AK432" s="41">
        <f>Table43[[#This Row],[Harga Jual Pcs GT
(-PPN)]]-(Table43[[#This Row],[Harga Jual Pcs GT
(-PPN)]]*10%)</f>
        <v>0</v>
      </c>
      <c r="AL432" s="42">
        <f>Table43[[#This Row],[Harga Beli Pcs
(-PPN)]]*Table43[[#This Row],[ISI/CTN]]</f>
        <v>0</v>
      </c>
      <c r="AM432" s="42">
        <f>Table43[[#This Row],[Harga Beli Pcs
(-PPN)]]*1.11</f>
        <v>0</v>
      </c>
      <c r="AN432" s="42">
        <f>Table43[[#This Row],[Harga Beli Krt
(- PPN)]]*1.11</f>
        <v>0</v>
      </c>
      <c r="AO432" s="42"/>
      <c r="AP432" s="42">
        <f>Table43[[#This Row],[Harga Jual Pcs GT
(-PPN)]]*Table43[[#This Row],[ISI/CTN]]</f>
        <v>0</v>
      </c>
      <c r="AQ432" s="42">
        <f>Table43[[#This Row],[Harga Jual Pcs GT
(-PPN)]]*1.11</f>
        <v>0</v>
      </c>
      <c r="AR432" s="42">
        <f>Table43[[#This Row],[Harga Jual Krt GT
(- PPN)]]*1.11</f>
        <v>0</v>
      </c>
      <c r="AS432" s="42">
        <f>Table43[[#This Row],[Harga Jual Pcs GT
(-PPN)]]</f>
        <v>0</v>
      </c>
      <c r="AT432" s="42">
        <f>(Table43[[#This Row],[Harga Jual Pcs MT
(-PPN)]]*Table43[[#This Row],[ISI/CTN]])</f>
        <v>0</v>
      </c>
      <c r="AU432" s="42">
        <f>Table43[[#This Row],[Harga Jual Pcs MT
(-PPN)]]*1.11</f>
        <v>0</v>
      </c>
      <c r="AV432" s="42">
        <f>Table43[[#This Row],[Harga Jual Pcs MT
(+PPN)]]*Table43[[#This Row],[ISI/CTN]]</f>
        <v>0</v>
      </c>
      <c r="AW432" s="47"/>
      <c r="AX432" s="7"/>
      <c r="AY432" s="7" t="str">
        <f ca="1">IF(TODAY()-Table43[[#This Row],[Efektif
Pembuatan]]&gt;60,"Lama","Baru")</f>
        <v>Lama</v>
      </c>
      <c r="AZ432" s="7" t="str">
        <f ca="1">IF(TODAY()-Table43[[#This Row],[Efektif Naik Harga]]&lt;30,"Naik","Sama")</f>
        <v>Sama</v>
      </c>
      <c r="BA432" s="7" t="str">
        <f>IF(Table43[[#This Row],[Kode BARANG Win2]]&lt;&gt;"","IDR","")</f>
        <v>IDR</v>
      </c>
      <c r="BB432" s="7" t="str">
        <f>CONCATENATE(Table43[[#This Row],[kode  1 Digit
(Nomor)]],Table43[[#This Row],[kode  4 Digit                (Nomor)]])</f>
        <v>20015</v>
      </c>
      <c r="BC432" s="7" t="str">
        <f>Table43[[#This Row],[Nama            Gramasi atau Jumlah Pack per CTN]]</f>
        <v>15GR</v>
      </c>
      <c r="BD432" s="7"/>
      <c r="BE432" s="7"/>
      <c r="BF432" s="4" t="str">
        <f>IF(Table43[[#This Row],[SATUAN Fix Win]]&lt;&gt;"","KRT")</f>
        <v>KRT</v>
      </c>
      <c r="BG432" s="4" t="str">
        <f>IF(Table43[[#This Row],[SATUAN Fix Win]]&lt;&gt;"","GD01")</f>
        <v>GD01</v>
      </c>
      <c r="BH432" s="4">
        <f>IF(Table43[[#This Row],[SATUAN Fix Win]]&lt;&gt;"",11611)</f>
        <v>11611</v>
      </c>
      <c r="BI432" s="4">
        <f>IF(Table43[[#This Row],[SATUAN Fix Win]]&lt;&gt;"",11612)</f>
        <v>11612</v>
      </c>
      <c r="BJ432" s="48"/>
      <c r="BK432" s="4">
        <f>IF(Table43[[#This Row],[SATUAN Fix Win]]&lt;&gt;"",1)</f>
        <v>1</v>
      </c>
    </row>
    <row r="433" spans="1:67">
      <c r="A433" s="4" t="str">
        <f>CONCATENATE(Table43[[#This Row],[Kode BARANG Win2]],Table43[[#This Row],[No. Urut
Item Sama]])</f>
        <v>K13010010015111</v>
      </c>
      <c r="B433" s="7">
        <v>1</v>
      </c>
      <c r="D433" s="28" t="s">
        <v>887</v>
      </c>
      <c r="E433" s="28"/>
      <c r="F433" s="28" t="s">
        <v>3208</v>
      </c>
      <c r="G433" s="78">
        <v>72</v>
      </c>
      <c r="H433" s="43"/>
      <c r="I433" s="28" t="str">
        <f>Table43[[#This Row],[Nama Jenis Kemasan]]</f>
        <v>SCH</v>
      </c>
      <c r="J433" s="4" t="str">
        <f>TRIM(CONCATENATE(Table43[[#This Row],[Nama            KLP]]," ",Table43[[#This Row],[Nama            Sub KLP]]))</f>
        <v>OVALE FACE MASK BEDAK D.</v>
      </c>
      <c r="K433" s="4" t="str">
        <f>CONCATENATE(Table43[[#This Row],[kode  2 Digit                (hrf+No)]],Table43[[#This Row],[kode  2 Digit                (Nomor)]],Table43[[#This Row],[kode  1 Digit                (Nomor)]])</f>
        <v>K1301</v>
      </c>
      <c r="L433" s="4" t="str">
        <f t="shared" si="21"/>
        <v>K1301001001511</v>
      </c>
      <c r="M433" s="11">
        <f t="shared" si="22"/>
        <v>14</v>
      </c>
      <c r="N433" s="14" t="str">
        <f>IF(AF433&lt;&gt;"",TRIM(UPPER(CONCATENATE(P433," ",R433," ",T433," ",V433," ",X433," ",Z433," ","X"," ",Table43[[#This Row],[ISI/CTN]]," ",AF433," ",AB433," ",AD433," ",AH433))),TRIM(UPPER(CONCATENATE(P433," ",R433," ",T433," ",V433," ",X433," ",Z433," ","X"," ",Table43[[#This Row],[ISI/CTN]]," ",AB433," ",AD433," ",AH433))))</f>
        <v>KNF OVALE FACE MASK BEDAK D. MUTIARA 15GR X 72 SACHET SCH</v>
      </c>
      <c r="O433" s="11">
        <f t="shared" si="23"/>
        <v>57</v>
      </c>
      <c r="P433" s="4" t="s">
        <v>97</v>
      </c>
      <c r="Q433" s="7" t="s">
        <v>98</v>
      </c>
      <c r="R433" s="4" t="s">
        <v>3877</v>
      </c>
      <c r="S433" s="44" t="s">
        <v>3878</v>
      </c>
      <c r="T433" s="45" t="s">
        <v>3883</v>
      </c>
      <c r="U433" s="7" t="s">
        <v>2656</v>
      </c>
      <c r="V433" s="45" t="s">
        <v>2961</v>
      </c>
      <c r="W433" s="44" t="s">
        <v>2900</v>
      </c>
      <c r="X433" s="4" t="s">
        <v>3884</v>
      </c>
      <c r="Y433" s="46" t="s">
        <v>0</v>
      </c>
      <c r="Z433" s="4" t="s">
        <v>3864</v>
      </c>
      <c r="AA433" s="46" t="s">
        <v>2507</v>
      </c>
      <c r="AB433" s="4" t="s">
        <v>1022</v>
      </c>
      <c r="AC433" s="7" t="s">
        <v>2656</v>
      </c>
      <c r="AD433" s="4" t="s">
        <v>2961</v>
      </c>
      <c r="AE433" s="7" t="s">
        <v>2900</v>
      </c>
      <c r="AF433" s="7" t="s">
        <v>149</v>
      </c>
      <c r="AG433" s="7" t="s">
        <v>2656</v>
      </c>
      <c r="AI433" s="7" t="s">
        <v>2463</v>
      </c>
      <c r="AJ433" s="7" t="s">
        <v>3562</v>
      </c>
      <c r="AK433" s="41">
        <f>Table43[[#This Row],[Harga Jual Pcs GT
(-PPN)]]-(Table43[[#This Row],[Harga Jual Pcs GT
(-PPN)]]*10%)</f>
        <v>0</v>
      </c>
      <c r="AL433" s="42">
        <f>Table43[[#This Row],[Harga Beli Pcs
(-PPN)]]*Table43[[#This Row],[ISI/CTN]]</f>
        <v>0</v>
      </c>
      <c r="AM433" s="42">
        <f>Table43[[#This Row],[Harga Beli Pcs
(-PPN)]]*1.11</f>
        <v>0</v>
      </c>
      <c r="AN433" s="42">
        <f>Table43[[#This Row],[Harga Beli Krt
(- PPN)]]*1.11</f>
        <v>0</v>
      </c>
      <c r="AO433" s="42"/>
      <c r="AP433" s="42">
        <f>Table43[[#This Row],[Harga Jual Pcs GT
(-PPN)]]*Table43[[#This Row],[ISI/CTN]]</f>
        <v>0</v>
      </c>
      <c r="AQ433" s="42">
        <f>Table43[[#This Row],[Harga Jual Pcs GT
(-PPN)]]*1.11</f>
        <v>0</v>
      </c>
      <c r="AR433" s="42">
        <f>Table43[[#This Row],[Harga Jual Krt GT
(- PPN)]]*1.11</f>
        <v>0</v>
      </c>
      <c r="AS433" s="42">
        <f>Table43[[#This Row],[Harga Jual Pcs GT
(-PPN)]]</f>
        <v>0</v>
      </c>
      <c r="AT433" s="42">
        <f>(Table43[[#This Row],[Harga Jual Pcs MT
(-PPN)]]*Table43[[#This Row],[ISI/CTN]])</f>
        <v>0</v>
      </c>
      <c r="AU433" s="42">
        <f>Table43[[#This Row],[Harga Jual Pcs MT
(-PPN)]]*1.11</f>
        <v>0</v>
      </c>
      <c r="AV433" s="42">
        <f>Table43[[#This Row],[Harga Jual Pcs MT
(+PPN)]]*Table43[[#This Row],[ISI/CTN]]</f>
        <v>0</v>
      </c>
      <c r="AW433" s="47"/>
      <c r="AX433" s="7"/>
      <c r="AY433" s="7" t="str">
        <f ca="1">IF(TODAY()-Table43[[#This Row],[Efektif
Pembuatan]]&gt;60,"Lama","Baru")</f>
        <v>Lama</v>
      </c>
      <c r="AZ433" s="7" t="str">
        <f ca="1">IF(TODAY()-Table43[[#This Row],[Efektif Naik Harga]]&lt;30,"Naik","Sama")</f>
        <v>Sama</v>
      </c>
      <c r="BA433" s="7" t="str">
        <f>IF(Table43[[#This Row],[Kode BARANG Win2]]&lt;&gt;"","IDR","")</f>
        <v>IDR</v>
      </c>
      <c r="BB433" s="7" t="str">
        <f>CONCATENATE(Table43[[#This Row],[kode  1 Digit
(Nomor)]],Table43[[#This Row],[kode  4 Digit                (Nomor)]])</f>
        <v>20015</v>
      </c>
      <c r="BC433" s="7" t="str">
        <f>Table43[[#This Row],[Nama            Gramasi atau Jumlah Pack per CTN]]</f>
        <v>15GR</v>
      </c>
      <c r="BD433" s="7"/>
      <c r="BE433" s="7"/>
      <c r="BF433" s="4" t="str">
        <f>IF(Table43[[#This Row],[SATUAN Fix Win]]&lt;&gt;"","KRT")</f>
        <v>KRT</v>
      </c>
      <c r="BG433" s="4" t="str">
        <f>IF(Table43[[#This Row],[SATUAN Fix Win]]&lt;&gt;"","GD01")</f>
        <v>GD01</v>
      </c>
      <c r="BH433" s="4">
        <f>IF(Table43[[#This Row],[SATUAN Fix Win]]&lt;&gt;"",11611)</f>
        <v>11611</v>
      </c>
      <c r="BI433" s="4">
        <f>IF(Table43[[#This Row],[SATUAN Fix Win]]&lt;&gt;"",11612)</f>
        <v>11612</v>
      </c>
      <c r="BJ433" s="48"/>
      <c r="BK433" s="4">
        <f>IF(Table43[[#This Row],[SATUAN Fix Win]]&lt;&gt;"",1)</f>
        <v>1</v>
      </c>
    </row>
    <row r="434" spans="1:67">
      <c r="A434" s="4" t="str">
        <f>CONCATENATE(Table43[[#This Row],[Kode BARANG Win2]],Table43[[#This Row],[No. Urut
Item Sama]])</f>
        <v>K13010020015111</v>
      </c>
      <c r="B434" s="7">
        <v>1</v>
      </c>
      <c r="D434" s="28" t="s">
        <v>863</v>
      </c>
      <c r="E434" s="28"/>
      <c r="F434" s="28" t="s">
        <v>3209</v>
      </c>
      <c r="G434" s="78">
        <v>72</v>
      </c>
      <c r="H434" s="43"/>
      <c r="I434" s="28" t="str">
        <f>Table43[[#This Row],[Nama Jenis Kemasan]]</f>
        <v>SCH</v>
      </c>
      <c r="J434" s="4" t="str">
        <f>TRIM(CONCATENATE(Table43[[#This Row],[Nama            KLP]]," ",Table43[[#This Row],[Nama            Sub KLP]]))</f>
        <v>OVALE FACE MASK BEDAK D.</v>
      </c>
      <c r="K434" s="4" t="str">
        <f>CONCATENATE(Table43[[#This Row],[kode  2 Digit                (hrf+No)]],Table43[[#This Row],[kode  2 Digit                (Nomor)]],Table43[[#This Row],[kode  1 Digit                (Nomor)]])</f>
        <v>K1301</v>
      </c>
      <c r="L434" s="4" t="str">
        <f t="shared" si="21"/>
        <v>K1301002001511</v>
      </c>
      <c r="M434" s="11">
        <f t="shared" si="22"/>
        <v>14</v>
      </c>
      <c r="N434" s="14" t="str">
        <f>IF(AF434&lt;&gt;"",TRIM(UPPER(CONCATENATE(P434," ",R434," ",T434," ",V434," ",X434," ",Z434," ","X"," ",Table43[[#This Row],[ISI/CTN]]," ",AF434," ",AB434," ",AD434," ",AH434))),TRIM(UPPER(CONCATENATE(P434," ",R434," ",T434," ",V434," ",X434," ",Z434," ","X"," ",Table43[[#This Row],[ISI/CTN]]," ",AB434," ",AD434," ",AH434))))</f>
        <v>KNF OVALE FACE MASK BEDAK D. TEH HIJAU 15GR X 72 SACHET SCH</v>
      </c>
      <c r="O434" s="11">
        <f t="shared" si="23"/>
        <v>59</v>
      </c>
      <c r="P434" s="4" t="s">
        <v>97</v>
      </c>
      <c r="Q434" s="7" t="s">
        <v>98</v>
      </c>
      <c r="R434" s="4" t="s">
        <v>3877</v>
      </c>
      <c r="S434" s="44" t="s">
        <v>3878</v>
      </c>
      <c r="T434" s="45" t="s">
        <v>3883</v>
      </c>
      <c r="U434" s="7" t="s">
        <v>2656</v>
      </c>
      <c r="V434" s="45" t="s">
        <v>2961</v>
      </c>
      <c r="W434" s="44" t="s">
        <v>2900</v>
      </c>
      <c r="X434" s="4" t="s">
        <v>3885</v>
      </c>
      <c r="Y434" s="46" t="s">
        <v>2472</v>
      </c>
      <c r="Z434" s="4" t="s">
        <v>3864</v>
      </c>
      <c r="AA434" s="46" t="s">
        <v>2507</v>
      </c>
      <c r="AB434" s="4" t="s">
        <v>1022</v>
      </c>
      <c r="AC434" s="7" t="s">
        <v>2656</v>
      </c>
      <c r="AD434" s="4" t="s">
        <v>2961</v>
      </c>
      <c r="AE434" s="7" t="s">
        <v>2900</v>
      </c>
      <c r="AF434" s="7" t="s">
        <v>149</v>
      </c>
      <c r="AG434" s="7" t="s">
        <v>2656</v>
      </c>
      <c r="AI434" s="7" t="s">
        <v>2463</v>
      </c>
      <c r="AJ434" s="7" t="s">
        <v>3562</v>
      </c>
      <c r="AK434" s="41">
        <f>Table43[[#This Row],[Harga Jual Pcs GT
(-PPN)]]-(Table43[[#This Row],[Harga Jual Pcs GT
(-PPN)]]*10%)</f>
        <v>0</v>
      </c>
      <c r="AL434" s="42">
        <f>Table43[[#This Row],[Harga Beli Pcs
(-PPN)]]*Table43[[#This Row],[ISI/CTN]]</f>
        <v>0</v>
      </c>
      <c r="AM434" s="42">
        <f>Table43[[#This Row],[Harga Beli Pcs
(-PPN)]]*1.11</f>
        <v>0</v>
      </c>
      <c r="AN434" s="42">
        <f>Table43[[#This Row],[Harga Beli Krt
(- PPN)]]*1.11</f>
        <v>0</v>
      </c>
      <c r="AO434" s="42"/>
      <c r="AP434" s="42">
        <f>Table43[[#This Row],[Harga Jual Pcs GT
(-PPN)]]*Table43[[#This Row],[ISI/CTN]]</f>
        <v>0</v>
      </c>
      <c r="AQ434" s="42">
        <f>Table43[[#This Row],[Harga Jual Pcs GT
(-PPN)]]*1.11</f>
        <v>0</v>
      </c>
      <c r="AR434" s="42">
        <f>Table43[[#This Row],[Harga Jual Krt GT
(- PPN)]]*1.11</f>
        <v>0</v>
      </c>
      <c r="AS434" s="42">
        <f>Table43[[#This Row],[Harga Jual Pcs GT
(-PPN)]]</f>
        <v>0</v>
      </c>
      <c r="AT434" s="42">
        <f>(Table43[[#This Row],[Harga Jual Pcs MT
(-PPN)]]*Table43[[#This Row],[ISI/CTN]])</f>
        <v>0</v>
      </c>
      <c r="AU434" s="42">
        <f>Table43[[#This Row],[Harga Jual Pcs MT
(-PPN)]]*1.11</f>
        <v>0</v>
      </c>
      <c r="AV434" s="42">
        <f>Table43[[#This Row],[Harga Jual Pcs MT
(+PPN)]]*Table43[[#This Row],[ISI/CTN]]</f>
        <v>0</v>
      </c>
      <c r="AW434" s="47"/>
      <c r="AX434" s="7"/>
      <c r="AY434" s="7" t="str">
        <f ca="1">IF(TODAY()-Table43[[#This Row],[Efektif
Pembuatan]]&gt;60,"Lama","Baru")</f>
        <v>Lama</v>
      </c>
      <c r="AZ434" s="7" t="str">
        <f ca="1">IF(TODAY()-Table43[[#This Row],[Efektif Naik Harga]]&lt;30,"Naik","Sama")</f>
        <v>Sama</v>
      </c>
      <c r="BA434" s="7" t="str">
        <f>IF(Table43[[#This Row],[Kode BARANG Win2]]&lt;&gt;"","IDR","")</f>
        <v>IDR</v>
      </c>
      <c r="BB434" s="7" t="str">
        <f>CONCATENATE(Table43[[#This Row],[kode  1 Digit
(Nomor)]],Table43[[#This Row],[kode  4 Digit                (Nomor)]])</f>
        <v>20015</v>
      </c>
      <c r="BC434" s="7" t="str">
        <f>Table43[[#This Row],[Nama            Gramasi atau Jumlah Pack per CTN]]</f>
        <v>15GR</v>
      </c>
      <c r="BD434" s="7"/>
      <c r="BE434" s="7"/>
      <c r="BF434" s="4" t="str">
        <f>IF(Table43[[#This Row],[SATUAN Fix Win]]&lt;&gt;"","KRT")</f>
        <v>KRT</v>
      </c>
      <c r="BG434" s="4" t="str">
        <f>IF(Table43[[#This Row],[SATUAN Fix Win]]&lt;&gt;"","GD01")</f>
        <v>GD01</v>
      </c>
      <c r="BH434" s="4">
        <f>IF(Table43[[#This Row],[SATUAN Fix Win]]&lt;&gt;"",11611)</f>
        <v>11611</v>
      </c>
      <c r="BI434" s="4">
        <f>IF(Table43[[#This Row],[SATUAN Fix Win]]&lt;&gt;"",11612)</f>
        <v>11612</v>
      </c>
      <c r="BJ434" s="48"/>
      <c r="BK434" s="4">
        <f>IF(Table43[[#This Row],[SATUAN Fix Win]]&lt;&gt;"",1)</f>
        <v>1</v>
      </c>
    </row>
    <row r="435" spans="1:67">
      <c r="A435" s="4" t="str">
        <f>CONCATENATE(Table43[[#This Row],[Kode BARANG Win2]],Table43[[#This Row],[No. Urut
Item Sama]])</f>
        <v>K13020010015111</v>
      </c>
      <c r="B435" s="7">
        <v>1</v>
      </c>
      <c r="D435" s="28" t="s">
        <v>862</v>
      </c>
      <c r="E435" s="28"/>
      <c r="F435" s="28" t="s">
        <v>3210</v>
      </c>
      <c r="G435" s="78">
        <v>144</v>
      </c>
      <c r="H435" s="43"/>
      <c r="I435" s="28" t="str">
        <f>Table43[[#This Row],[Nama Jenis Kemasan]]</f>
        <v>SCH</v>
      </c>
      <c r="J435" s="4" t="str">
        <f>TRIM(CONCATENATE(Table43[[#This Row],[Nama            KLP]]," ",Table43[[#This Row],[Nama            Sub KLP]]))</f>
        <v>OVALE FACE MASK POWDER</v>
      </c>
      <c r="K435" s="4" t="str">
        <f>CONCATENATE(Table43[[#This Row],[kode  2 Digit                (hrf+No)]],Table43[[#This Row],[kode  2 Digit                (Nomor)]],Table43[[#This Row],[kode  1 Digit                (Nomor)]])</f>
        <v>K1302</v>
      </c>
      <c r="L435" s="4" t="str">
        <f t="shared" si="21"/>
        <v>K1302001001511</v>
      </c>
      <c r="M435" s="11">
        <f t="shared" si="22"/>
        <v>14</v>
      </c>
      <c r="N435" s="14" t="str">
        <f>IF(AF435&lt;&gt;"",TRIM(UPPER(CONCATENATE(P435," ",R435," ",T435," ",V435," ",X435," ",Z435," ","X"," ",Table43[[#This Row],[ISI/CTN]]," ",AF435," ",AB435," ",AD435," ",AH435))),TRIM(UPPER(CONCATENATE(P435," ",R435," ",T435," ",V435," ",X435," ",Z435," ","X"," ",Table43[[#This Row],[ISI/CTN]]," ",AB435," ",AD435," ",AH435))))</f>
        <v>KNF OVALE FACE MASK POWDER AVOCADO 15GR X 144 SACHET SCH</v>
      </c>
      <c r="O435" s="11">
        <f t="shared" si="23"/>
        <v>56</v>
      </c>
      <c r="P435" s="4" t="s">
        <v>97</v>
      </c>
      <c r="Q435" s="7" t="s">
        <v>98</v>
      </c>
      <c r="R435" s="4" t="s">
        <v>3877</v>
      </c>
      <c r="S435" s="44" t="s">
        <v>3878</v>
      </c>
      <c r="T435" s="45" t="s">
        <v>3596</v>
      </c>
      <c r="U435" s="7" t="s">
        <v>3562</v>
      </c>
      <c r="V435" s="45" t="s">
        <v>2961</v>
      </c>
      <c r="W435" s="44" t="s">
        <v>2900</v>
      </c>
      <c r="X435" s="4" t="s">
        <v>3772</v>
      </c>
      <c r="Y435" s="46" t="s">
        <v>0</v>
      </c>
      <c r="Z435" s="4" t="s">
        <v>3864</v>
      </c>
      <c r="AA435" s="46" t="s">
        <v>2507</v>
      </c>
      <c r="AB435" s="4" t="s">
        <v>1022</v>
      </c>
      <c r="AC435" s="7" t="s">
        <v>2656</v>
      </c>
      <c r="AD435" s="4" t="s">
        <v>2961</v>
      </c>
      <c r="AE435" s="7" t="s">
        <v>2900</v>
      </c>
      <c r="AF435" s="7" t="s">
        <v>149</v>
      </c>
      <c r="AG435" s="7" t="s">
        <v>2656</v>
      </c>
      <c r="AI435" s="7" t="s">
        <v>2463</v>
      </c>
      <c r="AJ435" s="7" t="s">
        <v>3562</v>
      </c>
      <c r="AK435" s="41">
        <f>Table43[[#This Row],[Harga Jual Pcs GT
(-PPN)]]-(Table43[[#This Row],[Harga Jual Pcs GT
(-PPN)]]*10%)</f>
        <v>0</v>
      </c>
      <c r="AL435" s="42">
        <f>Table43[[#This Row],[Harga Beli Pcs
(-PPN)]]*Table43[[#This Row],[ISI/CTN]]</f>
        <v>0</v>
      </c>
      <c r="AM435" s="42">
        <f>Table43[[#This Row],[Harga Beli Pcs
(-PPN)]]*1.11</f>
        <v>0</v>
      </c>
      <c r="AN435" s="42">
        <f>Table43[[#This Row],[Harga Beli Krt
(- PPN)]]*1.11</f>
        <v>0</v>
      </c>
      <c r="AO435" s="42"/>
      <c r="AP435" s="42">
        <f>Table43[[#This Row],[Harga Jual Pcs GT
(-PPN)]]*Table43[[#This Row],[ISI/CTN]]</f>
        <v>0</v>
      </c>
      <c r="AQ435" s="42">
        <f>Table43[[#This Row],[Harga Jual Pcs GT
(-PPN)]]*1.11</f>
        <v>0</v>
      </c>
      <c r="AR435" s="42">
        <f>Table43[[#This Row],[Harga Jual Krt GT
(- PPN)]]*1.11</f>
        <v>0</v>
      </c>
      <c r="AS435" s="42">
        <f>Table43[[#This Row],[Harga Jual Pcs GT
(-PPN)]]</f>
        <v>0</v>
      </c>
      <c r="AT435" s="42">
        <f>(Table43[[#This Row],[Harga Jual Pcs MT
(-PPN)]]*Table43[[#This Row],[ISI/CTN]])</f>
        <v>0</v>
      </c>
      <c r="AU435" s="42">
        <f>Table43[[#This Row],[Harga Jual Pcs MT
(-PPN)]]*1.11</f>
        <v>0</v>
      </c>
      <c r="AV435" s="42">
        <f>Table43[[#This Row],[Harga Jual Pcs MT
(+PPN)]]*Table43[[#This Row],[ISI/CTN]]</f>
        <v>0</v>
      </c>
      <c r="AW435" s="47"/>
      <c r="AX435" s="7"/>
      <c r="AY435" s="7" t="str">
        <f ca="1">IF(TODAY()-Table43[[#This Row],[Efektif
Pembuatan]]&gt;60,"Lama","Baru")</f>
        <v>Lama</v>
      </c>
      <c r="AZ435" s="7" t="str">
        <f ca="1">IF(TODAY()-Table43[[#This Row],[Efektif Naik Harga]]&lt;30,"Naik","Sama")</f>
        <v>Sama</v>
      </c>
      <c r="BA435" s="7" t="str">
        <f>IF(Table43[[#This Row],[Kode BARANG Win2]]&lt;&gt;"","IDR","")</f>
        <v>IDR</v>
      </c>
      <c r="BB435" s="7" t="str">
        <f>CONCATENATE(Table43[[#This Row],[kode  1 Digit
(Nomor)]],Table43[[#This Row],[kode  4 Digit                (Nomor)]])</f>
        <v>20015</v>
      </c>
      <c r="BC435" s="7" t="str">
        <f>Table43[[#This Row],[Nama            Gramasi atau Jumlah Pack per CTN]]</f>
        <v>15GR</v>
      </c>
      <c r="BD435" s="7"/>
      <c r="BE435" s="7"/>
      <c r="BF435" s="4" t="str">
        <f>IF(Table43[[#This Row],[SATUAN Fix Win]]&lt;&gt;"","KRT")</f>
        <v>KRT</v>
      </c>
      <c r="BG435" s="4" t="str">
        <f>IF(Table43[[#This Row],[SATUAN Fix Win]]&lt;&gt;"","GD01")</f>
        <v>GD01</v>
      </c>
      <c r="BH435" s="4">
        <f>IF(Table43[[#This Row],[SATUAN Fix Win]]&lt;&gt;"",11611)</f>
        <v>11611</v>
      </c>
      <c r="BI435" s="4">
        <f>IF(Table43[[#This Row],[SATUAN Fix Win]]&lt;&gt;"",11612)</f>
        <v>11612</v>
      </c>
      <c r="BJ435" s="48"/>
      <c r="BK435" s="4">
        <f>IF(Table43[[#This Row],[SATUAN Fix Win]]&lt;&gt;"",1)</f>
        <v>1</v>
      </c>
    </row>
    <row r="436" spans="1:67">
      <c r="A436" s="4" t="str">
        <f>CONCATENATE(Table43[[#This Row],[Kode BARANG Win2]],Table43[[#This Row],[No. Urut
Item Sama]])</f>
        <v>K13020020015111</v>
      </c>
      <c r="B436" s="7">
        <v>1</v>
      </c>
      <c r="D436" s="28" t="s">
        <v>864</v>
      </c>
      <c r="E436" s="28"/>
      <c r="F436" s="28" t="s">
        <v>3211</v>
      </c>
      <c r="G436" s="78">
        <v>144</v>
      </c>
      <c r="H436" s="43"/>
      <c r="I436" s="28" t="str">
        <f>Table43[[#This Row],[Nama Jenis Kemasan]]</f>
        <v>SCH</v>
      </c>
      <c r="J436" s="4" t="str">
        <f>TRIM(CONCATENATE(Table43[[#This Row],[Nama            KLP]]," ",Table43[[#This Row],[Nama            Sub KLP]]))</f>
        <v>OVALE FACE MASK POWDER</v>
      </c>
      <c r="K436" s="4" t="str">
        <f>CONCATENATE(Table43[[#This Row],[kode  2 Digit                (hrf+No)]],Table43[[#This Row],[kode  2 Digit                (Nomor)]],Table43[[#This Row],[kode  1 Digit                (Nomor)]])</f>
        <v>K1302</v>
      </c>
      <c r="L436" s="4" t="str">
        <f t="shared" si="21"/>
        <v>K1302002001511</v>
      </c>
      <c r="M436" s="11">
        <f t="shared" si="22"/>
        <v>14</v>
      </c>
      <c r="N436" s="14" t="str">
        <f>IF(AF436&lt;&gt;"",TRIM(UPPER(CONCATENATE(P436," ",R436," ",T436," ",V436," ",X436," ",Z436," ","X"," ",Table43[[#This Row],[ISI/CTN]]," ",AF436," ",AB436," ",AD436," ",AH436))),TRIM(UPPER(CONCATENATE(P436," ",R436," ",T436," ",V436," ",X436," ",Z436," ","X"," ",Table43[[#This Row],[ISI/CTN]]," ",AB436," ",AD436," ",AH436))))</f>
        <v>KNF OVALE FACE MASK POWDER BENGKOANG 15GR X 144 SACHET SCH</v>
      </c>
      <c r="O436" s="11">
        <f t="shared" si="23"/>
        <v>58</v>
      </c>
      <c r="P436" s="4" t="s">
        <v>97</v>
      </c>
      <c r="Q436" s="7" t="s">
        <v>98</v>
      </c>
      <c r="R436" s="4" t="s">
        <v>3877</v>
      </c>
      <c r="S436" s="44" t="s">
        <v>3878</v>
      </c>
      <c r="T436" s="45" t="s">
        <v>3596</v>
      </c>
      <c r="U436" s="7" t="s">
        <v>3562</v>
      </c>
      <c r="V436" s="45" t="s">
        <v>2961</v>
      </c>
      <c r="W436" s="44" t="s">
        <v>2900</v>
      </c>
      <c r="X436" s="4" t="s">
        <v>3879</v>
      </c>
      <c r="Y436" s="46" t="s">
        <v>2472</v>
      </c>
      <c r="Z436" s="4" t="s">
        <v>3864</v>
      </c>
      <c r="AA436" s="46" t="s">
        <v>2507</v>
      </c>
      <c r="AB436" s="4" t="s">
        <v>1022</v>
      </c>
      <c r="AC436" s="7" t="s">
        <v>2656</v>
      </c>
      <c r="AD436" s="4" t="s">
        <v>2961</v>
      </c>
      <c r="AE436" s="7" t="s">
        <v>2900</v>
      </c>
      <c r="AF436" s="7" t="s">
        <v>149</v>
      </c>
      <c r="AG436" s="7" t="s">
        <v>2656</v>
      </c>
      <c r="AI436" s="7" t="s">
        <v>2463</v>
      </c>
      <c r="AJ436" s="7" t="s">
        <v>3562</v>
      </c>
      <c r="AK436" s="41">
        <f>Table43[[#This Row],[Harga Jual Pcs GT
(-PPN)]]-(Table43[[#This Row],[Harga Jual Pcs GT
(-PPN)]]*10%)</f>
        <v>0</v>
      </c>
      <c r="AL436" s="42">
        <f>Table43[[#This Row],[Harga Beli Pcs
(-PPN)]]*Table43[[#This Row],[ISI/CTN]]</f>
        <v>0</v>
      </c>
      <c r="AM436" s="42">
        <f>Table43[[#This Row],[Harga Beli Pcs
(-PPN)]]*1.11</f>
        <v>0</v>
      </c>
      <c r="AN436" s="42">
        <f>Table43[[#This Row],[Harga Beli Krt
(- PPN)]]*1.11</f>
        <v>0</v>
      </c>
      <c r="AO436" s="42"/>
      <c r="AP436" s="42">
        <f>Table43[[#This Row],[Harga Jual Pcs GT
(-PPN)]]*Table43[[#This Row],[ISI/CTN]]</f>
        <v>0</v>
      </c>
      <c r="AQ436" s="42">
        <f>Table43[[#This Row],[Harga Jual Pcs GT
(-PPN)]]*1.11</f>
        <v>0</v>
      </c>
      <c r="AR436" s="42">
        <f>Table43[[#This Row],[Harga Jual Krt GT
(- PPN)]]*1.11</f>
        <v>0</v>
      </c>
      <c r="AS436" s="42">
        <f>Table43[[#This Row],[Harga Jual Pcs GT
(-PPN)]]</f>
        <v>0</v>
      </c>
      <c r="AT436" s="42">
        <f>(Table43[[#This Row],[Harga Jual Pcs MT
(-PPN)]]*Table43[[#This Row],[ISI/CTN]])</f>
        <v>0</v>
      </c>
      <c r="AU436" s="42">
        <f>Table43[[#This Row],[Harga Jual Pcs MT
(-PPN)]]*1.11</f>
        <v>0</v>
      </c>
      <c r="AV436" s="42">
        <f>Table43[[#This Row],[Harga Jual Pcs MT
(+PPN)]]*Table43[[#This Row],[ISI/CTN]]</f>
        <v>0</v>
      </c>
      <c r="AW436" s="47"/>
      <c r="AX436" s="7"/>
      <c r="AY436" s="7" t="str">
        <f ca="1">IF(TODAY()-Table43[[#This Row],[Efektif
Pembuatan]]&gt;60,"Lama","Baru")</f>
        <v>Lama</v>
      </c>
      <c r="AZ436" s="7" t="str">
        <f ca="1">IF(TODAY()-Table43[[#This Row],[Efektif Naik Harga]]&lt;30,"Naik","Sama")</f>
        <v>Sama</v>
      </c>
      <c r="BA436" s="7" t="str">
        <f>IF(Table43[[#This Row],[Kode BARANG Win2]]&lt;&gt;"","IDR","")</f>
        <v>IDR</v>
      </c>
      <c r="BB436" s="7" t="str">
        <f>CONCATENATE(Table43[[#This Row],[kode  1 Digit
(Nomor)]],Table43[[#This Row],[kode  4 Digit                (Nomor)]])</f>
        <v>20015</v>
      </c>
      <c r="BC436" s="7" t="str">
        <f>Table43[[#This Row],[Nama            Gramasi atau Jumlah Pack per CTN]]</f>
        <v>15GR</v>
      </c>
      <c r="BD436" s="7"/>
      <c r="BE436" s="7"/>
      <c r="BF436" s="4" t="str">
        <f>IF(Table43[[#This Row],[SATUAN Fix Win]]&lt;&gt;"","KRT")</f>
        <v>KRT</v>
      </c>
      <c r="BG436" s="4" t="str">
        <f>IF(Table43[[#This Row],[SATUAN Fix Win]]&lt;&gt;"","GD01")</f>
        <v>GD01</v>
      </c>
      <c r="BH436" s="4">
        <f>IF(Table43[[#This Row],[SATUAN Fix Win]]&lt;&gt;"",11611)</f>
        <v>11611</v>
      </c>
      <c r="BI436" s="4">
        <f>IF(Table43[[#This Row],[SATUAN Fix Win]]&lt;&gt;"",11612)</f>
        <v>11612</v>
      </c>
      <c r="BJ436" s="48"/>
      <c r="BK436" s="4">
        <f>IF(Table43[[#This Row],[SATUAN Fix Win]]&lt;&gt;"",1)</f>
        <v>1</v>
      </c>
    </row>
    <row r="437" spans="1:67">
      <c r="A437" s="4" t="str">
        <f>CONCATENATE(Table43[[#This Row],[Kode BARANG Win2]],Table43[[#This Row],[No. Urut
Item Sama]])</f>
        <v>K13020030015111</v>
      </c>
      <c r="B437" s="7">
        <v>1</v>
      </c>
      <c r="D437" s="28" t="s">
        <v>902</v>
      </c>
      <c r="E437" s="28"/>
      <c r="F437" s="28" t="s">
        <v>3212</v>
      </c>
      <c r="G437" s="78">
        <v>144</v>
      </c>
      <c r="H437" s="43"/>
      <c r="I437" s="28" t="str">
        <f>Table43[[#This Row],[Nama Jenis Kemasan]]</f>
        <v>SCH</v>
      </c>
      <c r="J437" s="4" t="str">
        <f>TRIM(CONCATENATE(Table43[[#This Row],[Nama            KLP]]," ",Table43[[#This Row],[Nama            Sub KLP]]))</f>
        <v>OVALE FACE MASK POWDER</v>
      </c>
      <c r="K437" s="4" t="str">
        <f>CONCATENATE(Table43[[#This Row],[kode  2 Digit                (hrf+No)]],Table43[[#This Row],[kode  2 Digit                (Nomor)]],Table43[[#This Row],[kode  1 Digit                (Nomor)]])</f>
        <v>K1302</v>
      </c>
      <c r="L437" s="4" t="str">
        <f t="shared" si="21"/>
        <v>K1302003001511</v>
      </c>
      <c r="M437" s="11">
        <f t="shared" si="22"/>
        <v>14</v>
      </c>
      <c r="N437" s="14" t="str">
        <f>IF(AF437&lt;&gt;"",TRIM(UPPER(CONCATENATE(P437," ",R437," ",T437," ",V437," ",X437," ",Z437," ","X"," ",Table43[[#This Row],[ISI/CTN]]," ",AF437," ",AB437," ",AD437," ",AH437))),TRIM(UPPER(CONCATENATE(P437," ",R437," ",T437," ",V437," ",X437," ",Z437," ","X"," ",Table43[[#This Row],[ISI/CTN]]," ",AB437," ",AD437," ",AH437))))</f>
        <v>KNF OVALE FACE MASK POWDER BLACK TEA 15GR X 144 SACHET SCH</v>
      </c>
      <c r="O437" s="11">
        <f t="shared" si="23"/>
        <v>58</v>
      </c>
      <c r="P437" s="4" t="s">
        <v>97</v>
      </c>
      <c r="Q437" s="7" t="s">
        <v>98</v>
      </c>
      <c r="R437" s="4" t="s">
        <v>3877</v>
      </c>
      <c r="S437" s="44" t="s">
        <v>3878</v>
      </c>
      <c r="T437" s="45" t="s">
        <v>3596</v>
      </c>
      <c r="U437" s="7" t="s">
        <v>3562</v>
      </c>
      <c r="V437" s="45" t="s">
        <v>2961</v>
      </c>
      <c r="W437" s="44" t="s">
        <v>2900</v>
      </c>
      <c r="X437" s="4" t="s">
        <v>3886</v>
      </c>
      <c r="Y437" s="46" t="s">
        <v>2473</v>
      </c>
      <c r="Z437" s="4" t="s">
        <v>3864</v>
      </c>
      <c r="AA437" s="46" t="s">
        <v>2507</v>
      </c>
      <c r="AB437" s="4" t="s">
        <v>1022</v>
      </c>
      <c r="AC437" s="7" t="s">
        <v>2656</v>
      </c>
      <c r="AD437" s="4" t="s">
        <v>2961</v>
      </c>
      <c r="AE437" s="7" t="s">
        <v>2900</v>
      </c>
      <c r="AF437" s="7" t="s">
        <v>149</v>
      </c>
      <c r="AG437" s="7" t="s">
        <v>2656</v>
      </c>
      <c r="AI437" s="7" t="s">
        <v>2463</v>
      </c>
      <c r="AJ437" s="7" t="s">
        <v>3562</v>
      </c>
      <c r="AK437" s="41">
        <f>Table43[[#This Row],[Harga Jual Pcs GT
(-PPN)]]-(Table43[[#This Row],[Harga Jual Pcs GT
(-PPN)]]*10%)</f>
        <v>0</v>
      </c>
      <c r="AL437" s="42">
        <f>Table43[[#This Row],[Harga Beli Pcs
(-PPN)]]*Table43[[#This Row],[ISI/CTN]]</f>
        <v>0</v>
      </c>
      <c r="AM437" s="42">
        <f>Table43[[#This Row],[Harga Beli Pcs
(-PPN)]]*1.11</f>
        <v>0</v>
      </c>
      <c r="AN437" s="42">
        <f>Table43[[#This Row],[Harga Beli Krt
(- PPN)]]*1.11</f>
        <v>0</v>
      </c>
      <c r="AO437" s="42"/>
      <c r="AP437" s="42">
        <f>Table43[[#This Row],[Harga Jual Pcs GT
(-PPN)]]*Table43[[#This Row],[ISI/CTN]]</f>
        <v>0</v>
      </c>
      <c r="AQ437" s="42">
        <f>Table43[[#This Row],[Harga Jual Pcs GT
(-PPN)]]*1.11</f>
        <v>0</v>
      </c>
      <c r="AR437" s="42">
        <f>Table43[[#This Row],[Harga Jual Krt GT
(- PPN)]]*1.11</f>
        <v>0</v>
      </c>
      <c r="AS437" s="42">
        <f>Table43[[#This Row],[Harga Jual Pcs GT
(-PPN)]]</f>
        <v>0</v>
      </c>
      <c r="AT437" s="42">
        <f>(Table43[[#This Row],[Harga Jual Pcs MT
(-PPN)]]*Table43[[#This Row],[ISI/CTN]])</f>
        <v>0</v>
      </c>
      <c r="AU437" s="42">
        <f>Table43[[#This Row],[Harga Jual Pcs MT
(-PPN)]]*1.11</f>
        <v>0</v>
      </c>
      <c r="AV437" s="42">
        <f>Table43[[#This Row],[Harga Jual Pcs MT
(+PPN)]]*Table43[[#This Row],[ISI/CTN]]</f>
        <v>0</v>
      </c>
      <c r="AW437" s="47"/>
      <c r="AX437" s="7"/>
      <c r="AY437" s="7" t="str">
        <f ca="1">IF(TODAY()-Table43[[#This Row],[Efektif
Pembuatan]]&gt;60,"Lama","Baru")</f>
        <v>Lama</v>
      </c>
      <c r="AZ437" s="7" t="str">
        <f ca="1">IF(TODAY()-Table43[[#This Row],[Efektif Naik Harga]]&lt;30,"Naik","Sama")</f>
        <v>Sama</v>
      </c>
      <c r="BA437" s="7" t="str">
        <f>IF(Table43[[#This Row],[Kode BARANG Win2]]&lt;&gt;"","IDR","")</f>
        <v>IDR</v>
      </c>
      <c r="BB437" s="7" t="str">
        <f>CONCATENATE(Table43[[#This Row],[kode  1 Digit
(Nomor)]],Table43[[#This Row],[kode  4 Digit                (Nomor)]])</f>
        <v>20015</v>
      </c>
      <c r="BC437" s="7" t="str">
        <f>Table43[[#This Row],[Nama            Gramasi atau Jumlah Pack per CTN]]</f>
        <v>15GR</v>
      </c>
      <c r="BD437" s="7"/>
      <c r="BE437" s="7"/>
      <c r="BF437" s="4" t="str">
        <f>IF(Table43[[#This Row],[SATUAN Fix Win]]&lt;&gt;"","KRT")</f>
        <v>KRT</v>
      </c>
      <c r="BG437" s="4" t="str">
        <f>IF(Table43[[#This Row],[SATUAN Fix Win]]&lt;&gt;"","GD01")</f>
        <v>GD01</v>
      </c>
      <c r="BH437" s="4">
        <f>IF(Table43[[#This Row],[SATUAN Fix Win]]&lt;&gt;"",11611)</f>
        <v>11611</v>
      </c>
      <c r="BI437" s="4">
        <f>IF(Table43[[#This Row],[SATUAN Fix Win]]&lt;&gt;"",11612)</f>
        <v>11612</v>
      </c>
      <c r="BJ437" s="48"/>
      <c r="BK437" s="4">
        <f>IF(Table43[[#This Row],[SATUAN Fix Win]]&lt;&gt;"",1)</f>
        <v>1</v>
      </c>
    </row>
    <row r="438" spans="1:67">
      <c r="A438" s="4" t="str">
        <f>CONCATENATE(Table43[[#This Row],[Kode BARANG Win2]],Table43[[#This Row],[No. Urut
Item Sama]])</f>
        <v>K13020040015111</v>
      </c>
      <c r="B438" s="7">
        <v>1</v>
      </c>
      <c r="D438" s="28" t="s">
        <v>888</v>
      </c>
      <c r="E438" s="28"/>
      <c r="F438" s="28" t="s">
        <v>3213</v>
      </c>
      <c r="G438" s="78">
        <v>144</v>
      </c>
      <c r="H438" s="43"/>
      <c r="I438" s="28" t="str">
        <f>Table43[[#This Row],[Nama Jenis Kemasan]]</f>
        <v>SCH</v>
      </c>
      <c r="J438" s="4" t="str">
        <f>TRIM(CONCATENATE(Table43[[#This Row],[Nama            KLP]]," ",Table43[[#This Row],[Nama            Sub KLP]]))</f>
        <v>OVALE FACE MASK POWDER</v>
      </c>
      <c r="K438" s="4" t="str">
        <f>CONCATENATE(Table43[[#This Row],[kode  2 Digit                (hrf+No)]],Table43[[#This Row],[kode  2 Digit                (Nomor)]],Table43[[#This Row],[kode  1 Digit                (Nomor)]])</f>
        <v>K1302</v>
      </c>
      <c r="L438" s="4" t="str">
        <f t="shared" si="21"/>
        <v>K1302004001511</v>
      </c>
      <c r="M438" s="11">
        <f t="shared" si="22"/>
        <v>14</v>
      </c>
      <c r="N438" s="14" t="str">
        <f>IF(AF438&lt;&gt;"",TRIM(UPPER(CONCATENATE(P438," ",R438," ",T438," ",V438," ",X438," ",Z438," ","X"," ",Table43[[#This Row],[ISI/CTN]]," ",AF438," ",AB438," ",AD438," ",AH438))),TRIM(UPPER(CONCATENATE(P438," ",R438," ",T438," ",V438," ",X438," ",Z438," ","X"," ",Table43[[#This Row],[ISI/CTN]]," ",AB438," ",AD438," ",AH438))))</f>
        <v>KNF OVALE FACE MASK POWDER PEARL 15GR X 144 SACHET SCH</v>
      </c>
      <c r="O438" s="11">
        <f t="shared" si="23"/>
        <v>54</v>
      </c>
      <c r="P438" s="4" t="s">
        <v>97</v>
      </c>
      <c r="Q438" s="7" t="s">
        <v>98</v>
      </c>
      <c r="R438" s="4" t="s">
        <v>3877</v>
      </c>
      <c r="S438" s="44" t="s">
        <v>3878</v>
      </c>
      <c r="T438" s="45" t="s">
        <v>3596</v>
      </c>
      <c r="U438" s="7" t="s">
        <v>3562</v>
      </c>
      <c r="V438" s="45" t="s">
        <v>2961</v>
      </c>
      <c r="W438" s="44" t="s">
        <v>2900</v>
      </c>
      <c r="X438" s="4" t="s">
        <v>3887</v>
      </c>
      <c r="Y438" s="46" t="s">
        <v>2474</v>
      </c>
      <c r="Z438" s="4" t="s">
        <v>3864</v>
      </c>
      <c r="AA438" s="46" t="s">
        <v>2507</v>
      </c>
      <c r="AB438" s="4" t="s">
        <v>1022</v>
      </c>
      <c r="AC438" s="7" t="s">
        <v>2656</v>
      </c>
      <c r="AD438" s="4" t="s">
        <v>2961</v>
      </c>
      <c r="AE438" s="7" t="s">
        <v>2900</v>
      </c>
      <c r="AF438" s="7" t="s">
        <v>149</v>
      </c>
      <c r="AG438" s="7" t="s">
        <v>2656</v>
      </c>
      <c r="AI438" s="7" t="s">
        <v>2463</v>
      </c>
      <c r="AJ438" s="7" t="s">
        <v>3562</v>
      </c>
      <c r="AK438" s="41">
        <f>Table43[[#This Row],[Harga Jual Pcs GT
(-PPN)]]-(Table43[[#This Row],[Harga Jual Pcs GT
(-PPN)]]*10%)</f>
        <v>0</v>
      </c>
      <c r="AL438" s="42">
        <f>Table43[[#This Row],[Harga Beli Pcs
(-PPN)]]*Table43[[#This Row],[ISI/CTN]]</f>
        <v>0</v>
      </c>
      <c r="AM438" s="42">
        <f>Table43[[#This Row],[Harga Beli Pcs
(-PPN)]]*1.11</f>
        <v>0</v>
      </c>
      <c r="AN438" s="42">
        <f>Table43[[#This Row],[Harga Beli Krt
(- PPN)]]*1.11</f>
        <v>0</v>
      </c>
      <c r="AO438" s="42"/>
      <c r="AP438" s="42">
        <f>Table43[[#This Row],[Harga Jual Pcs GT
(-PPN)]]*Table43[[#This Row],[ISI/CTN]]</f>
        <v>0</v>
      </c>
      <c r="AQ438" s="42">
        <f>Table43[[#This Row],[Harga Jual Pcs GT
(-PPN)]]*1.11</f>
        <v>0</v>
      </c>
      <c r="AR438" s="42">
        <f>Table43[[#This Row],[Harga Jual Krt GT
(- PPN)]]*1.11</f>
        <v>0</v>
      </c>
      <c r="AS438" s="42">
        <f>Table43[[#This Row],[Harga Jual Pcs GT
(-PPN)]]</f>
        <v>0</v>
      </c>
      <c r="AT438" s="42">
        <f>(Table43[[#This Row],[Harga Jual Pcs MT
(-PPN)]]*Table43[[#This Row],[ISI/CTN]])</f>
        <v>0</v>
      </c>
      <c r="AU438" s="42">
        <f>Table43[[#This Row],[Harga Jual Pcs MT
(-PPN)]]*1.11</f>
        <v>0</v>
      </c>
      <c r="AV438" s="42">
        <f>Table43[[#This Row],[Harga Jual Pcs MT
(+PPN)]]*Table43[[#This Row],[ISI/CTN]]</f>
        <v>0</v>
      </c>
      <c r="AW438" s="47"/>
      <c r="AX438" s="7"/>
      <c r="AY438" s="7" t="str">
        <f ca="1">IF(TODAY()-Table43[[#This Row],[Efektif
Pembuatan]]&gt;60,"Lama","Baru")</f>
        <v>Lama</v>
      </c>
      <c r="AZ438" s="7" t="str">
        <f ca="1">IF(TODAY()-Table43[[#This Row],[Efektif Naik Harga]]&lt;30,"Naik","Sama")</f>
        <v>Sama</v>
      </c>
      <c r="BA438" s="7" t="str">
        <f>IF(Table43[[#This Row],[Kode BARANG Win2]]&lt;&gt;"","IDR","")</f>
        <v>IDR</v>
      </c>
      <c r="BB438" s="7" t="str">
        <f>CONCATENATE(Table43[[#This Row],[kode  1 Digit
(Nomor)]],Table43[[#This Row],[kode  4 Digit                (Nomor)]])</f>
        <v>20015</v>
      </c>
      <c r="BC438" s="7" t="str">
        <f>Table43[[#This Row],[Nama            Gramasi atau Jumlah Pack per CTN]]</f>
        <v>15GR</v>
      </c>
      <c r="BD438" s="7"/>
      <c r="BE438" s="7"/>
      <c r="BF438" s="4" t="str">
        <f>IF(Table43[[#This Row],[SATUAN Fix Win]]&lt;&gt;"","KRT")</f>
        <v>KRT</v>
      </c>
      <c r="BG438" s="4" t="str">
        <f>IF(Table43[[#This Row],[SATUAN Fix Win]]&lt;&gt;"","GD01")</f>
        <v>GD01</v>
      </c>
      <c r="BH438" s="4">
        <f>IF(Table43[[#This Row],[SATUAN Fix Win]]&lt;&gt;"",11611)</f>
        <v>11611</v>
      </c>
      <c r="BI438" s="4">
        <f>IF(Table43[[#This Row],[SATUAN Fix Win]]&lt;&gt;"",11612)</f>
        <v>11612</v>
      </c>
      <c r="BJ438" s="48"/>
      <c r="BK438" s="4">
        <f>IF(Table43[[#This Row],[SATUAN Fix Win]]&lt;&gt;"",1)</f>
        <v>1</v>
      </c>
    </row>
    <row r="439" spans="1:67">
      <c r="A439" s="4" t="str">
        <f>CONCATENATE(Table43[[#This Row],[Kode BARANG Win2]],Table43[[#This Row],[No. Urut
Item Sama]])</f>
        <v>K13100010000101</v>
      </c>
      <c r="B439" s="7">
        <v>1</v>
      </c>
      <c r="D439" s="28" t="s">
        <v>857</v>
      </c>
      <c r="E439" s="28"/>
      <c r="F439" s="28" t="s">
        <v>3214</v>
      </c>
      <c r="G439" s="78">
        <v>144</v>
      </c>
      <c r="H439" s="43"/>
      <c r="I439" s="28" t="str">
        <f>Table43[[#This Row],[Nama Jenis Kemasan]]</f>
        <v>BOX</v>
      </c>
      <c r="J439" s="4" t="str">
        <f>TRIM(CONCATENATE(Table43[[#This Row],[Nama            KLP]]," ",Table43[[#This Row],[Nama            Sub KLP]]))</f>
        <v>OVALE FACE PAPER EXTRA</v>
      </c>
      <c r="K439" s="4" t="str">
        <f>CONCATENATE(Table43[[#This Row],[kode  2 Digit                (hrf+No)]],Table43[[#This Row],[kode  2 Digit                (Nomor)]],Table43[[#This Row],[kode  1 Digit                (Nomor)]])</f>
        <v>K1310</v>
      </c>
      <c r="L439" s="4" t="str">
        <f t="shared" si="21"/>
        <v>K1310001000010</v>
      </c>
      <c r="M439" s="11">
        <f t="shared" si="22"/>
        <v>14</v>
      </c>
      <c r="N439" s="14" t="str">
        <f>IF(AF439&lt;&gt;"",TRIM(UPPER(CONCATENATE(P439," ",R439," ",T439," ",V439," ",X439," ",Z439," ","X"," ",Table43[[#This Row],[ISI/CTN]]," ",AF439," ",AB439," ",AD439," ",AH439))),TRIM(UPPER(CONCATENATE(P439," ",R439," ",T439," ",V439," ",X439," ",Z439," ","X"," ",Table43[[#This Row],[ISI/CTN]]," ",AB439," ",AD439," ",AH439))))</f>
        <v>KNF OVALE FACE PAPER EXTRA BIG X 144 BOX</v>
      </c>
      <c r="O439" s="11">
        <f t="shared" si="23"/>
        <v>40</v>
      </c>
      <c r="P439" s="4" t="s">
        <v>97</v>
      </c>
      <c r="Q439" s="7" t="s">
        <v>98</v>
      </c>
      <c r="R439" s="4" t="s">
        <v>3888</v>
      </c>
      <c r="S439" s="44" t="s">
        <v>3889</v>
      </c>
      <c r="T439" s="45" t="s">
        <v>2961</v>
      </c>
      <c r="U439" s="7" t="s">
        <v>2900</v>
      </c>
      <c r="V439" s="45" t="s">
        <v>2961</v>
      </c>
      <c r="W439" s="44" t="s">
        <v>2900</v>
      </c>
      <c r="X439" s="4" t="s">
        <v>3890</v>
      </c>
      <c r="Y439" s="46" t="s">
        <v>0</v>
      </c>
      <c r="Z439" s="4" t="s">
        <v>2961</v>
      </c>
      <c r="AA439" s="46" t="s">
        <v>2483</v>
      </c>
      <c r="AB439" s="4" t="s">
        <v>1023</v>
      </c>
      <c r="AC439" s="7" t="s">
        <v>2656</v>
      </c>
      <c r="AD439" s="4" t="s">
        <v>2961</v>
      </c>
      <c r="AE439" s="7" t="s">
        <v>2900</v>
      </c>
      <c r="AF439" s="7" t="s">
        <v>2961</v>
      </c>
      <c r="AG439" s="7" t="s">
        <v>2961</v>
      </c>
      <c r="AI439" s="7" t="s">
        <v>360</v>
      </c>
      <c r="AJ439" s="7" t="s">
        <v>3590</v>
      </c>
      <c r="AK439" s="41">
        <f>Table43[[#This Row],[Harga Jual Pcs GT
(-PPN)]]-(Table43[[#This Row],[Harga Jual Pcs GT
(-PPN)]]*10%)</f>
        <v>0</v>
      </c>
      <c r="AL439" s="42">
        <f>Table43[[#This Row],[Harga Beli Pcs
(-PPN)]]*Table43[[#This Row],[ISI/CTN]]</f>
        <v>0</v>
      </c>
      <c r="AM439" s="42">
        <f>Table43[[#This Row],[Harga Beli Pcs
(-PPN)]]*1.11</f>
        <v>0</v>
      </c>
      <c r="AN439" s="42">
        <f>Table43[[#This Row],[Harga Beli Krt
(- PPN)]]*1.11</f>
        <v>0</v>
      </c>
      <c r="AO439" s="42"/>
      <c r="AP439" s="42">
        <f>Table43[[#This Row],[Harga Jual Pcs GT
(-PPN)]]*Table43[[#This Row],[ISI/CTN]]</f>
        <v>0</v>
      </c>
      <c r="AQ439" s="42">
        <f>Table43[[#This Row],[Harga Jual Pcs GT
(-PPN)]]*1.11</f>
        <v>0</v>
      </c>
      <c r="AR439" s="42">
        <f>Table43[[#This Row],[Harga Jual Krt GT
(- PPN)]]*1.11</f>
        <v>0</v>
      </c>
      <c r="AS439" s="42">
        <f>Table43[[#This Row],[Harga Jual Pcs GT
(-PPN)]]</f>
        <v>0</v>
      </c>
      <c r="AT439" s="42">
        <f>(Table43[[#This Row],[Harga Jual Pcs MT
(-PPN)]]*Table43[[#This Row],[ISI/CTN]])</f>
        <v>0</v>
      </c>
      <c r="AU439" s="42">
        <f>Table43[[#This Row],[Harga Jual Pcs MT
(-PPN)]]*1.11</f>
        <v>0</v>
      </c>
      <c r="AV439" s="42">
        <f>Table43[[#This Row],[Harga Jual Pcs MT
(+PPN)]]*Table43[[#This Row],[ISI/CTN]]</f>
        <v>0</v>
      </c>
      <c r="AW439" s="47"/>
      <c r="AX439" s="7"/>
      <c r="AY439" s="7" t="str">
        <f ca="1">IF(TODAY()-Table43[[#This Row],[Efektif
Pembuatan]]&gt;60,"Lama","Baru")</f>
        <v>Lama</v>
      </c>
      <c r="AZ439" s="7" t="str">
        <f ca="1">IF(TODAY()-Table43[[#This Row],[Efektif Naik Harga]]&lt;30,"Naik","Sama")</f>
        <v>Sama</v>
      </c>
      <c r="BA439" s="7" t="str">
        <f>IF(Table43[[#This Row],[Kode BARANG Win2]]&lt;&gt;"","IDR","")</f>
        <v>IDR</v>
      </c>
      <c r="BB439" s="7" t="str">
        <f>CONCATENATE(Table43[[#This Row],[kode  1 Digit
(Nomor)]],Table43[[#This Row],[kode  4 Digit                (Nomor)]])</f>
        <v>30000</v>
      </c>
      <c r="BC439" s="7" t="str">
        <f>Table43[[#This Row],[Nama            Gramasi atau Jumlah Pack per CTN]]</f>
        <v/>
      </c>
      <c r="BD439" s="7"/>
      <c r="BE439" s="7"/>
      <c r="BF439" s="4" t="str">
        <f>IF(Table43[[#This Row],[SATUAN Fix Win]]&lt;&gt;"","KRT")</f>
        <v>KRT</v>
      </c>
      <c r="BG439" s="4" t="str">
        <f>IF(Table43[[#This Row],[SATUAN Fix Win]]&lt;&gt;"","GD01")</f>
        <v>GD01</v>
      </c>
      <c r="BH439" s="4">
        <f>IF(Table43[[#This Row],[SATUAN Fix Win]]&lt;&gt;"",11611)</f>
        <v>11611</v>
      </c>
      <c r="BI439" s="4">
        <f>IF(Table43[[#This Row],[SATUAN Fix Win]]&lt;&gt;"",11612)</f>
        <v>11612</v>
      </c>
      <c r="BJ439" s="48"/>
      <c r="BK439" s="4">
        <f>IF(Table43[[#This Row],[SATUAN Fix Win]]&lt;&gt;"",1)</f>
        <v>1</v>
      </c>
    </row>
    <row r="440" spans="1:67">
      <c r="A440" s="4" t="str">
        <f>CONCATENATE(Table43[[#This Row],[Kode BARANG Win2]],Table43[[#This Row],[No. Urut
Item Sama]])</f>
        <v>K13100020000101</v>
      </c>
      <c r="B440" s="7">
        <v>1</v>
      </c>
      <c r="D440" s="28" t="s">
        <v>882</v>
      </c>
      <c r="E440" s="28"/>
      <c r="F440" s="28" t="s">
        <v>3215</v>
      </c>
      <c r="G440" s="78">
        <v>288</v>
      </c>
      <c r="H440" s="43"/>
      <c r="I440" s="28" t="str">
        <f>Table43[[#This Row],[Nama Jenis Kemasan]]</f>
        <v>BOX</v>
      </c>
      <c r="J440" s="4" t="str">
        <f>TRIM(CONCATENATE(Table43[[#This Row],[Nama            KLP]]," ",Table43[[#This Row],[Nama            Sub KLP]]))</f>
        <v>OVALE FACE PAPER EXTRA</v>
      </c>
      <c r="K440" s="4" t="str">
        <f>CONCATENATE(Table43[[#This Row],[kode  2 Digit                (hrf+No)]],Table43[[#This Row],[kode  2 Digit                (Nomor)]],Table43[[#This Row],[kode  1 Digit                (Nomor)]])</f>
        <v>K1310</v>
      </c>
      <c r="L440" s="4" t="str">
        <f t="shared" si="21"/>
        <v>K1310002000010</v>
      </c>
      <c r="M440" s="11">
        <f t="shared" si="22"/>
        <v>14</v>
      </c>
      <c r="N440" s="14" t="str">
        <f>IF(AF440&lt;&gt;"",TRIM(UPPER(CONCATENATE(P440," ",R440," ",T440," ",V440," ",X440," ",Z440," ","X"," ",Table43[[#This Row],[ISI/CTN]]," ",AF440," ",AB440," ",AD440," ",AH440))),TRIM(UPPER(CONCATENATE(P440," ",R440," ",T440," ",V440," ",X440," ",Z440," ","X"," ",Table43[[#This Row],[ISI/CTN]]," ",AB440," ",AD440," ",AH440))))</f>
        <v>KNF OVALE FACE PAPER EXTRA SMALL X 288 BOX</v>
      </c>
      <c r="O440" s="11">
        <f t="shared" si="23"/>
        <v>42</v>
      </c>
      <c r="P440" s="4" t="s">
        <v>97</v>
      </c>
      <c r="Q440" s="7" t="s">
        <v>98</v>
      </c>
      <c r="R440" s="4" t="s">
        <v>3888</v>
      </c>
      <c r="S440" s="44" t="s">
        <v>3889</v>
      </c>
      <c r="T440" s="45" t="s">
        <v>2961</v>
      </c>
      <c r="U440" s="7" t="s">
        <v>2900</v>
      </c>
      <c r="V440" s="45" t="s">
        <v>2961</v>
      </c>
      <c r="W440" s="44" t="s">
        <v>2900</v>
      </c>
      <c r="X440" s="4" t="s">
        <v>3891</v>
      </c>
      <c r="Y440" s="46" t="s">
        <v>2472</v>
      </c>
      <c r="Z440" s="4" t="s">
        <v>2961</v>
      </c>
      <c r="AA440" s="46" t="s">
        <v>2483</v>
      </c>
      <c r="AB440" s="4" t="s">
        <v>1023</v>
      </c>
      <c r="AC440" s="7" t="s">
        <v>2656</v>
      </c>
      <c r="AD440" s="4" t="s">
        <v>2961</v>
      </c>
      <c r="AE440" s="7" t="s">
        <v>2900</v>
      </c>
      <c r="AF440" s="7" t="s">
        <v>2961</v>
      </c>
      <c r="AG440" s="7" t="s">
        <v>2961</v>
      </c>
      <c r="AI440" s="7" t="s">
        <v>360</v>
      </c>
      <c r="AJ440" s="7" t="s">
        <v>3590</v>
      </c>
      <c r="AK440" s="41">
        <f>Table43[[#This Row],[Harga Jual Pcs GT
(-PPN)]]-(Table43[[#This Row],[Harga Jual Pcs GT
(-PPN)]]*10%)</f>
        <v>0</v>
      </c>
      <c r="AL440" s="42">
        <f>Table43[[#This Row],[Harga Beli Pcs
(-PPN)]]*Table43[[#This Row],[ISI/CTN]]</f>
        <v>0</v>
      </c>
      <c r="AM440" s="42">
        <f>Table43[[#This Row],[Harga Beli Pcs
(-PPN)]]*1.11</f>
        <v>0</v>
      </c>
      <c r="AN440" s="42">
        <f>Table43[[#This Row],[Harga Beli Krt
(- PPN)]]*1.11</f>
        <v>0</v>
      </c>
      <c r="AO440" s="42"/>
      <c r="AP440" s="42">
        <f>Table43[[#This Row],[Harga Jual Pcs GT
(-PPN)]]*Table43[[#This Row],[ISI/CTN]]</f>
        <v>0</v>
      </c>
      <c r="AQ440" s="42">
        <f>Table43[[#This Row],[Harga Jual Pcs GT
(-PPN)]]*1.11</f>
        <v>0</v>
      </c>
      <c r="AR440" s="42">
        <f>Table43[[#This Row],[Harga Jual Krt GT
(- PPN)]]*1.11</f>
        <v>0</v>
      </c>
      <c r="AS440" s="42">
        <f>Table43[[#This Row],[Harga Jual Pcs GT
(-PPN)]]</f>
        <v>0</v>
      </c>
      <c r="AT440" s="42">
        <f>(Table43[[#This Row],[Harga Jual Pcs MT
(-PPN)]]*Table43[[#This Row],[ISI/CTN]])</f>
        <v>0</v>
      </c>
      <c r="AU440" s="42">
        <f>Table43[[#This Row],[Harga Jual Pcs MT
(-PPN)]]*1.11</f>
        <v>0</v>
      </c>
      <c r="AV440" s="42">
        <f>Table43[[#This Row],[Harga Jual Pcs MT
(+PPN)]]*Table43[[#This Row],[ISI/CTN]]</f>
        <v>0</v>
      </c>
      <c r="AW440" s="47"/>
      <c r="AX440" s="7"/>
      <c r="AY440" s="7" t="str">
        <f ca="1">IF(TODAY()-Table43[[#This Row],[Efektif
Pembuatan]]&gt;60,"Lama","Baru")</f>
        <v>Lama</v>
      </c>
      <c r="AZ440" s="7" t="str">
        <f ca="1">IF(TODAY()-Table43[[#This Row],[Efektif Naik Harga]]&lt;30,"Naik","Sama")</f>
        <v>Sama</v>
      </c>
      <c r="BA440" s="7" t="str">
        <f>IF(Table43[[#This Row],[Kode BARANG Win2]]&lt;&gt;"","IDR","")</f>
        <v>IDR</v>
      </c>
      <c r="BB440" s="7" t="str">
        <f>CONCATENATE(Table43[[#This Row],[kode  1 Digit
(Nomor)]],Table43[[#This Row],[kode  4 Digit                (Nomor)]])</f>
        <v>30000</v>
      </c>
      <c r="BC440" s="7" t="str">
        <f>Table43[[#This Row],[Nama            Gramasi atau Jumlah Pack per CTN]]</f>
        <v/>
      </c>
      <c r="BD440" s="7"/>
      <c r="BE440" s="7"/>
      <c r="BF440" s="4" t="str">
        <f>IF(Table43[[#This Row],[SATUAN Fix Win]]&lt;&gt;"","KRT")</f>
        <v>KRT</v>
      </c>
      <c r="BG440" s="4" t="str">
        <f>IF(Table43[[#This Row],[SATUAN Fix Win]]&lt;&gt;"","GD01")</f>
        <v>GD01</v>
      </c>
      <c r="BH440" s="4">
        <f>IF(Table43[[#This Row],[SATUAN Fix Win]]&lt;&gt;"",11611)</f>
        <v>11611</v>
      </c>
      <c r="BI440" s="4">
        <f>IF(Table43[[#This Row],[SATUAN Fix Win]]&lt;&gt;"",11612)</f>
        <v>11612</v>
      </c>
      <c r="BJ440" s="48"/>
      <c r="BK440" s="4">
        <f>IF(Table43[[#This Row],[SATUAN Fix Win]]&lt;&gt;"",1)</f>
        <v>1</v>
      </c>
    </row>
    <row r="441" spans="1:67">
      <c r="A441" s="4" t="str">
        <f>CONCATENATE(Table43[[#This Row],[Kode BARANG Win2]],Table43[[#This Row],[No. Urut
Item Sama]])</f>
        <v>K13200010030101</v>
      </c>
      <c r="B441" s="7">
        <v>1</v>
      </c>
      <c r="D441" s="28" t="s">
        <v>889</v>
      </c>
      <c r="E441" s="28"/>
      <c r="F441" s="28" t="s">
        <v>3216</v>
      </c>
      <c r="G441" s="78">
        <v>24</v>
      </c>
      <c r="H441" s="43"/>
      <c r="I441" s="28" t="str">
        <f>Table43[[#This Row],[Nama Jenis Kemasan]]</f>
        <v>BTL</v>
      </c>
      <c r="J441" s="4" t="str">
        <f>TRIM(CONCATENATE(Table43[[#This Row],[Nama            KLP]]," ",Table43[[#This Row],[Nama            Sub KLP]]))</f>
        <v>OVALE FACE SERUM</v>
      </c>
      <c r="K441" s="4" t="str">
        <f>CONCATENATE(Table43[[#This Row],[kode  2 Digit                (hrf+No)]],Table43[[#This Row],[kode  2 Digit                (Nomor)]],Table43[[#This Row],[kode  1 Digit                (Nomor)]])</f>
        <v>K1320</v>
      </c>
      <c r="L441" s="4" t="str">
        <f t="shared" si="21"/>
        <v>K1320001003010</v>
      </c>
      <c r="M441" s="11">
        <f t="shared" si="22"/>
        <v>14</v>
      </c>
      <c r="N441" s="14" t="str">
        <f>IF(AF441&lt;&gt;"",TRIM(UPPER(CONCATENATE(P441," ",R441," ",T441," ",V441," ",X441," ",Z441," ","X"," ",Table43[[#This Row],[ISI/CTN]]," ",AF441," ",AB441," ",AD441," ",AH441))),TRIM(UPPER(CONCATENATE(P441," ",R441," ",T441," ",V441," ",X441," ",Z441," ","X"," ",Table43[[#This Row],[ISI/CTN]]," ",AB441," ",AD441," ",AH441))))</f>
        <v>KNF OVALE FACE SERUM ANTI AGING 30ML X 24 BTL</v>
      </c>
      <c r="O441" s="11">
        <f t="shared" si="23"/>
        <v>45</v>
      </c>
      <c r="P441" s="4" t="s">
        <v>97</v>
      </c>
      <c r="Q441" s="7" t="s">
        <v>98</v>
      </c>
      <c r="R441" s="4" t="s">
        <v>3892</v>
      </c>
      <c r="S441" s="44" t="s">
        <v>3893</v>
      </c>
      <c r="T441" s="45" t="s">
        <v>2961</v>
      </c>
      <c r="U441" s="7" t="s">
        <v>2900</v>
      </c>
      <c r="V441" s="45" t="s">
        <v>2961</v>
      </c>
      <c r="W441" s="44" t="s">
        <v>2900</v>
      </c>
      <c r="X441" s="4" t="s">
        <v>3894</v>
      </c>
      <c r="Y441" s="46" t="s">
        <v>0</v>
      </c>
      <c r="Z441" s="4" t="s">
        <v>3555</v>
      </c>
      <c r="AA441" s="46" t="s">
        <v>2499</v>
      </c>
      <c r="AB441" s="4" t="s">
        <v>357</v>
      </c>
      <c r="AC441" s="7" t="s">
        <v>2656</v>
      </c>
      <c r="AD441" s="4" t="s">
        <v>2961</v>
      </c>
      <c r="AE441" s="7" t="s">
        <v>2900</v>
      </c>
      <c r="AF441" s="7" t="s">
        <v>2961</v>
      </c>
      <c r="AG441" s="7" t="s">
        <v>2961</v>
      </c>
      <c r="AI441" s="7" t="s">
        <v>4100</v>
      </c>
      <c r="AJ441" s="7" t="s">
        <v>2656</v>
      </c>
      <c r="AK441" s="41">
        <f>Table43[[#This Row],[Harga Jual Pcs GT
(-PPN)]]-(Table43[[#This Row],[Harga Jual Pcs GT
(-PPN)]]*10%)</f>
        <v>0</v>
      </c>
      <c r="AL441" s="42">
        <f>Table43[[#This Row],[Harga Beli Pcs
(-PPN)]]*Table43[[#This Row],[ISI/CTN]]</f>
        <v>0</v>
      </c>
      <c r="AM441" s="42">
        <f>Table43[[#This Row],[Harga Beli Pcs
(-PPN)]]*1.11</f>
        <v>0</v>
      </c>
      <c r="AN441" s="42">
        <f>Table43[[#This Row],[Harga Beli Krt
(- PPN)]]*1.11</f>
        <v>0</v>
      </c>
      <c r="AO441" s="42"/>
      <c r="AP441" s="42">
        <f>Table43[[#This Row],[Harga Jual Pcs GT
(-PPN)]]*Table43[[#This Row],[ISI/CTN]]</f>
        <v>0</v>
      </c>
      <c r="AQ441" s="42">
        <f>Table43[[#This Row],[Harga Jual Pcs GT
(-PPN)]]*1.11</f>
        <v>0</v>
      </c>
      <c r="AR441" s="42">
        <f>Table43[[#This Row],[Harga Jual Krt GT
(- PPN)]]*1.11</f>
        <v>0</v>
      </c>
      <c r="AS441" s="42">
        <f>Table43[[#This Row],[Harga Jual Pcs GT
(-PPN)]]</f>
        <v>0</v>
      </c>
      <c r="AT441" s="42">
        <f>(Table43[[#This Row],[Harga Jual Pcs MT
(-PPN)]]*Table43[[#This Row],[ISI/CTN]])</f>
        <v>0</v>
      </c>
      <c r="AU441" s="42">
        <f>Table43[[#This Row],[Harga Jual Pcs MT
(-PPN)]]*1.11</f>
        <v>0</v>
      </c>
      <c r="AV441" s="42">
        <f>Table43[[#This Row],[Harga Jual Pcs MT
(+PPN)]]*Table43[[#This Row],[ISI/CTN]]</f>
        <v>0</v>
      </c>
      <c r="AW441" s="47"/>
      <c r="AX441" s="7"/>
      <c r="AY441" s="7" t="str">
        <f ca="1">IF(TODAY()-Table43[[#This Row],[Efektif
Pembuatan]]&gt;60,"Lama","Baru")</f>
        <v>Lama</v>
      </c>
      <c r="AZ441" s="7" t="str">
        <f ca="1">IF(TODAY()-Table43[[#This Row],[Efektif Naik Harga]]&lt;30,"Naik","Sama")</f>
        <v>Sama</v>
      </c>
      <c r="BA441" s="7" t="str">
        <f>IF(Table43[[#This Row],[Kode BARANG Win2]]&lt;&gt;"","IDR","")</f>
        <v>IDR</v>
      </c>
      <c r="BB441" s="7" t="str">
        <f>CONCATENATE(Table43[[#This Row],[kode  1 Digit
(Nomor)]],Table43[[#This Row],[kode  4 Digit                (Nomor)]])</f>
        <v>10030</v>
      </c>
      <c r="BC441" s="7" t="str">
        <f>Table43[[#This Row],[Nama            Gramasi atau Jumlah Pack per CTN]]</f>
        <v>30ML</v>
      </c>
      <c r="BD441" s="7"/>
      <c r="BE441" s="7"/>
      <c r="BF441" s="4" t="str">
        <f>IF(Table43[[#This Row],[SATUAN Fix Win]]&lt;&gt;"","KRT")</f>
        <v>KRT</v>
      </c>
      <c r="BG441" s="4" t="str">
        <f>IF(Table43[[#This Row],[SATUAN Fix Win]]&lt;&gt;"","GD01")</f>
        <v>GD01</v>
      </c>
      <c r="BH441" s="4">
        <f>IF(Table43[[#This Row],[SATUAN Fix Win]]&lt;&gt;"",11611)</f>
        <v>11611</v>
      </c>
      <c r="BI441" s="4">
        <f>IF(Table43[[#This Row],[SATUAN Fix Win]]&lt;&gt;"",11612)</f>
        <v>11612</v>
      </c>
      <c r="BJ441" s="48"/>
      <c r="BK441" s="4">
        <f>IF(Table43[[#This Row],[SATUAN Fix Win]]&lt;&gt;"",1)</f>
        <v>1</v>
      </c>
    </row>
    <row r="442" spans="1:67">
      <c r="A442" s="4" t="str">
        <f>CONCATENATE(Table43[[#This Row],[Kode BARANG Win2]],Table43[[#This Row],[No. Urut
Item Sama]])</f>
        <v>K13200020030101</v>
      </c>
      <c r="B442" s="7">
        <v>1</v>
      </c>
      <c r="D442" s="28" t="s">
        <v>903</v>
      </c>
      <c r="E442" s="28"/>
      <c r="F442" s="28" t="s">
        <v>3217</v>
      </c>
      <c r="G442" s="78">
        <v>24</v>
      </c>
      <c r="H442" s="43"/>
      <c r="I442" s="28" t="str">
        <f>Table43[[#This Row],[Nama Jenis Kemasan]]</f>
        <v>BTL</v>
      </c>
      <c r="J442" s="4" t="str">
        <f>TRIM(CONCATENATE(Table43[[#This Row],[Nama            KLP]]," ",Table43[[#This Row],[Nama            Sub KLP]]))</f>
        <v>OVALE FACE SERUM</v>
      </c>
      <c r="K442" s="4" t="str">
        <f>CONCATENATE(Table43[[#This Row],[kode  2 Digit                (hrf+No)]],Table43[[#This Row],[kode  2 Digit                (Nomor)]],Table43[[#This Row],[kode  1 Digit                (Nomor)]])</f>
        <v>K1320</v>
      </c>
      <c r="L442" s="4" t="str">
        <f t="shared" si="21"/>
        <v>K1320002003010</v>
      </c>
      <c r="M442" s="11">
        <f t="shared" si="22"/>
        <v>14</v>
      </c>
      <c r="N442" s="14" t="str">
        <f>IF(AF442&lt;&gt;"",TRIM(UPPER(CONCATENATE(P442," ",R442," ",T442," ",V442," ",X442," ",Z442," ","X"," ",Table43[[#This Row],[ISI/CTN]]," ",AF442," ",AB442," ",AD442," ",AH442))),TRIM(UPPER(CONCATENATE(P442," ",R442," ",T442," ",V442," ",X442," ",Z442," ","X"," ",Table43[[#This Row],[ISI/CTN]]," ",AB442," ",AD442," ",AH442))))</f>
        <v>KNF OVALE FACE SERUM MOISTURIZING 30ML X 24 BTL</v>
      </c>
      <c r="O442" s="11">
        <f t="shared" si="23"/>
        <v>47</v>
      </c>
      <c r="P442" s="4" t="s">
        <v>97</v>
      </c>
      <c r="Q442" s="7" t="s">
        <v>98</v>
      </c>
      <c r="R442" s="4" t="s">
        <v>3892</v>
      </c>
      <c r="S442" s="44" t="s">
        <v>3893</v>
      </c>
      <c r="T442" s="45" t="s">
        <v>2961</v>
      </c>
      <c r="U442" s="7" t="s">
        <v>2900</v>
      </c>
      <c r="V442" s="45" t="s">
        <v>2961</v>
      </c>
      <c r="W442" s="44" t="s">
        <v>2900</v>
      </c>
      <c r="X442" s="4" t="s">
        <v>3895</v>
      </c>
      <c r="Y442" s="46" t="s">
        <v>2472</v>
      </c>
      <c r="Z442" s="4" t="s">
        <v>3555</v>
      </c>
      <c r="AA442" s="46" t="s">
        <v>2499</v>
      </c>
      <c r="AB442" s="4" t="s">
        <v>357</v>
      </c>
      <c r="AC442" s="7" t="s">
        <v>2656</v>
      </c>
      <c r="AD442" s="4" t="s">
        <v>2961</v>
      </c>
      <c r="AE442" s="7" t="s">
        <v>2900</v>
      </c>
      <c r="AF442" s="7" t="s">
        <v>2961</v>
      </c>
      <c r="AG442" s="7" t="s">
        <v>2961</v>
      </c>
      <c r="AI442" s="7" t="s">
        <v>4100</v>
      </c>
      <c r="AJ442" s="7" t="s">
        <v>2656</v>
      </c>
      <c r="AK442" s="41">
        <f>Table43[[#This Row],[Harga Jual Pcs GT
(-PPN)]]-(Table43[[#This Row],[Harga Jual Pcs GT
(-PPN)]]*10%)</f>
        <v>0</v>
      </c>
      <c r="AL442" s="42">
        <f>Table43[[#This Row],[Harga Beli Pcs
(-PPN)]]*Table43[[#This Row],[ISI/CTN]]</f>
        <v>0</v>
      </c>
      <c r="AM442" s="42">
        <f>Table43[[#This Row],[Harga Beli Pcs
(-PPN)]]*1.11</f>
        <v>0</v>
      </c>
      <c r="AN442" s="42">
        <f>Table43[[#This Row],[Harga Beli Krt
(- PPN)]]*1.11</f>
        <v>0</v>
      </c>
      <c r="AO442" s="42"/>
      <c r="AP442" s="42">
        <f>Table43[[#This Row],[Harga Jual Pcs GT
(-PPN)]]*Table43[[#This Row],[ISI/CTN]]</f>
        <v>0</v>
      </c>
      <c r="AQ442" s="42">
        <f>Table43[[#This Row],[Harga Jual Pcs GT
(-PPN)]]*1.11</f>
        <v>0</v>
      </c>
      <c r="AR442" s="42">
        <f>Table43[[#This Row],[Harga Jual Krt GT
(- PPN)]]*1.11</f>
        <v>0</v>
      </c>
      <c r="AS442" s="42">
        <f>Table43[[#This Row],[Harga Jual Pcs GT
(-PPN)]]</f>
        <v>0</v>
      </c>
      <c r="AT442" s="42">
        <f>(Table43[[#This Row],[Harga Jual Pcs MT
(-PPN)]]*Table43[[#This Row],[ISI/CTN]])</f>
        <v>0</v>
      </c>
      <c r="AU442" s="42">
        <f>Table43[[#This Row],[Harga Jual Pcs MT
(-PPN)]]*1.11</f>
        <v>0</v>
      </c>
      <c r="AV442" s="42">
        <f>Table43[[#This Row],[Harga Jual Pcs MT
(+PPN)]]*Table43[[#This Row],[ISI/CTN]]</f>
        <v>0</v>
      </c>
      <c r="AW442" s="47"/>
      <c r="AX442" s="7"/>
      <c r="AY442" s="7" t="str">
        <f ca="1">IF(TODAY()-Table43[[#This Row],[Efektif
Pembuatan]]&gt;60,"Lama","Baru")</f>
        <v>Lama</v>
      </c>
      <c r="AZ442" s="7" t="str">
        <f ca="1">IF(TODAY()-Table43[[#This Row],[Efektif Naik Harga]]&lt;30,"Naik","Sama")</f>
        <v>Sama</v>
      </c>
      <c r="BA442" s="7" t="str">
        <f>IF(Table43[[#This Row],[Kode BARANG Win2]]&lt;&gt;"","IDR","")</f>
        <v>IDR</v>
      </c>
      <c r="BB442" s="7" t="str">
        <f>CONCATENATE(Table43[[#This Row],[kode  1 Digit
(Nomor)]],Table43[[#This Row],[kode  4 Digit                (Nomor)]])</f>
        <v>10030</v>
      </c>
      <c r="BC442" s="7" t="str">
        <f>Table43[[#This Row],[Nama            Gramasi atau Jumlah Pack per CTN]]</f>
        <v>30ML</v>
      </c>
      <c r="BD442" s="7"/>
      <c r="BE442" s="7"/>
      <c r="BF442" s="4" t="str">
        <f>IF(Table43[[#This Row],[SATUAN Fix Win]]&lt;&gt;"","KRT")</f>
        <v>KRT</v>
      </c>
      <c r="BG442" s="4" t="str">
        <f>IF(Table43[[#This Row],[SATUAN Fix Win]]&lt;&gt;"","GD01")</f>
        <v>GD01</v>
      </c>
      <c r="BH442" s="4">
        <f>IF(Table43[[#This Row],[SATUAN Fix Win]]&lt;&gt;"",11611)</f>
        <v>11611</v>
      </c>
      <c r="BI442" s="4">
        <f>IF(Table43[[#This Row],[SATUAN Fix Win]]&lt;&gt;"",11612)</f>
        <v>11612</v>
      </c>
      <c r="BJ442" s="48"/>
      <c r="BK442" s="4">
        <f>IF(Table43[[#This Row],[SATUAN Fix Win]]&lt;&gt;"",1)</f>
        <v>1</v>
      </c>
    </row>
    <row r="443" spans="1:67">
      <c r="A443" s="4" t="str">
        <f>CONCATENATE(Table43[[#This Row],[Kode BARANG Win2]],Table43[[#This Row],[No. Urut
Item Sama]])</f>
        <v>K13200030030101</v>
      </c>
      <c r="B443" s="7">
        <v>1</v>
      </c>
      <c r="D443" s="28" t="s">
        <v>865</v>
      </c>
      <c r="E443" s="28"/>
      <c r="F443" s="28" t="s">
        <v>3218</v>
      </c>
      <c r="G443" s="78">
        <v>24</v>
      </c>
      <c r="H443" s="43"/>
      <c r="I443" s="28" t="str">
        <f>Table43[[#This Row],[Nama Jenis Kemasan]]</f>
        <v>BTL</v>
      </c>
      <c r="J443" s="4" t="str">
        <f>TRIM(CONCATENATE(Table43[[#This Row],[Nama            KLP]]," ",Table43[[#This Row],[Nama            Sub KLP]]))</f>
        <v>OVALE FACE SERUM</v>
      </c>
      <c r="K443" s="4" t="str">
        <f>CONCATENATE(Table43[[#This Row],[kode  2 Digit                (hrf+No)]],Table43[[#This Row],[kode  2 Digit                (Nomor)]],Table43[[#This Row],[kode  1 Digit                (Nomor)]])</f>
        <v>K1320</v>
      </c>
      <c r="L443" s="4" t="str">
        <f t="shared" si="21"/>
        <v>K1320003003010</v>
      </c>
      <c r="M443" s="11">
        <f t="shared" si="22"/>
        <v>14</v>
      </c>
      <c r="N443" s="14" t="str">
        <f>IF(AF443&lt;&gt;"",TRIM(UPPER(CONCATENATE(P443," ",R443," ",T443," ",V443," ",X443," ",Z443," ","X"," ",Table43[[#This Row],[ISI/CTN]]," ",AF443," ",AB443," ",AD443," ",AH443))),TRIM(UPPER(CONCATENATE(P443," ",R443," ",T443," ",V443," ",X443," ",Z443," ","X"," ",Table43[[#This Row],[ISI/CTN]]," ",AB443," ",AD443," ",AH443))))</f>
        <v>KNF OVALE FACE SERUM WHITENING 30ML X 24 BTL</v>
      </c>
      <c r="O443" s="11">
        <f t="shared" si="23"/>
        <v>44</v>
      </c>
      <c r="P443" s="4" t="s">
        <v>97</v>
      </c>
      <c r="Q443" s="7" t="s">
        <v>98</v>
      </c>
      <c r="R443" s="4" t="s">
        <v>3892</v>
      </c>
      <c r="S443" s="44" t="s">
        <v>3893</v>
      </c>
      <c r="T443" s="45" t="s">
        <v>2961</v>
      </c>
      <c r="U443" s="7" t="s">
        <v>2900</v>
      </c>
      <c r="V443" s="45" t="s">
        <v>2961</v>
      </c>
      <c r="W443" s="44" t="s">
        <v>2900</v>
      </c>
      <c r="X443" s="4" t="s">
        <v>3871</v>
      </c>
      <c r="Y443" s="46" t="s">
        <v>2473</v>
      </c>
      <c r="Z443" s="4" t="s">
        <v>3555</v>
      </c>
      <c r="AA443" s="46" t="s">
        <v>2499</v>
      </c>
      <c r="AB443" s="4" t="s">
        <v>357</v>
      </c>
      <c r="AC443" s="7" t="s">
        <v>2656</v>
      </c>
      <c r="AD443" s="4" t="s">
        <v>2961</v>
      </c>
      <c r="AE443" s="7" t="s">
        <v>2900</v>
      </c>
      <c r="AF443" s="7" t="s">
        <v>2961</v>
      </c>
      <c r="AG443" s="7" t="s">
        <v>2961</v>
      </c>
      <c r="AI443" s="7" t="s">
        <v>4100</v>
      </c>
      <c r="AJ443" s="7" t="s">
        <v>2656</v>
      </c>
      <c r="AK443" s="41">
        <f>Table43[[#This Row],[Harga Jual Pcs GT
(-PPN)]]-(Table43[[#This Row],[Harga Jual Pcs GT
(-PPN)]]*10%)</f>
        <v>0</v>
      </c>
      <c r="AL443" s="42">
        <f>Table43[[#This Row],[Harga Beli Pcs
(-PPN)]]*Table43[[#This Row],[ISI/CTN]]</f>
        <v>0</v>
      </c>
      <c r="AM443" s="42">
        <f>Table43[[#This Row],[Harga Beli Pcs
(-PPN)]]*1.11</f>
        <v>0</v>
      </c>
      <c r="AN443" s="42">
        <f>Table43[[#This Row],[Harga Beli Krt
(- PPN)]]*1.11</f>
        <v>0</v>
      </c>
      <c r="AO443" s="42"/>
      <c r="AP443" s="42">
        <f>Table43[[#This Row],[Harga Jual Pcs GT
(-PPN)]]*Table43[[#This Row],[ISI/CTN]]</f>
        <v>0</v>
      </c>
      <c r="AQ443" s="42">
        <f>Table43[[#This Row],[Harga Jual Pcs GT
(-PPN)]]*1.11</f>
        <v>0</v>
      </c>
      <c r="AR443" s="42">
        <f>Table43[[#This Row],[Harga Jual Krt GT
(- PPN)]]*1.11</f>
        <v>0</v>
      </c>
      <c r="AS443" s="42">
        <f>Table43[[#This Row],[Harga Jual Pcs GT
(-PPN)]]</f>
        <v>0</v>
      </c>
      <c r="AT443" s="42">
        <f>(Table43[[#This Row],[Harga Jual Pcs MT
(-PPN)]]*Table43[[#This Row],[ISI/CTN]])</f>
        <v>0</v>
      </c>
      <c r="AU443" s="42">
        <f>Table43[[#This Row],[Harga Jual Pcs MT
(-PPN)]]*1.11</f>
        <v>0</v>
      </c>
      <c r="AV443" s="42">
        <f>Table43[[#This Row],[Harga Jual Pcs MT
(+PPN)]]*Table43[[#This Row],[ISI/CTN]]</f>
        <v>0</v>
      </c>
      <c r="AW443" s="47"/>
      <c r="AX443" s="7"/>
      <c r="AY443" s="7" t="str">
        <f ca="1">IF(TODAY()-Table43[[#This Row],[Efektif
Pembuatan]]&gt;60,"Lama","Baru")</f>
        <v>Lama</v>
      </c>
      <c r="AZ443" s="7" t="str">
        <f ca="1">IF(TODAY()-Table43[[#This Row],[Efektif Naik Harga]]&lt;30,"Naik","Sama")</f>
        <v>Sama</v>
      </c>
      <c r="BA443" s="7" t="str">
        <f>IF(Table43[[#This Row],[Kode BARANG Win2]]&lt;&gt;"","IDR","")</f>
        <v>IDR</v>
      </c>
      <c r="BB443" s="7" t="str">
        <f>CONCATENATE(Table43[[#This Row],[kode  1 Digit
(Nomor)]],Table43[[#This Row],[kode  4 Digit                (Nomor)]])</f>
        <v>10030</v>
      </c>
      <c r="BC443" s="7" t="str">
        <f>Table43[[#This Row],[Nama            Gramasi atau Jumlah Pack per CTN]]</f>
        <v>30ML</v>
      </c>
      <c r="BD443" s="7"/>
      <c r="BE443" s="7"/>
      <c r="BF443" s="4" t="str">
        <f>IF(Table43[[#This Row],[SATUAN Fix Win]]&lt;&gt;"","KRT")</f>
        <v>KRT</v>
      </c>
      <c r="BG443" s="4" t="str">
        <f>IF(Table43[[#This Row],[SATUAN Fix Win]]&lt;&gt;"","GD01")</f>
        <v>GD01</v>
      </c>
      <c r="BH443" s="4">
        <f>IF(Table43[[#This Row],[SATUAN Fix Win]]&lt;&gt;"",11611)</f>
        <v>11611</v>
      </c>
      <c r="BI443" s="4">
        <f>IF(Table43[[#This Row],[SATUAN Fix Win]]&lt;&gt;"",11612)</f>
        <v>11612</v>
      </c>
      <c r="BJ443" s="48"/>
      <c r="BK443" s="4">
        <f>IF(Table43[[#This Row],[SATUAN Fix Win]]&lt;&gt;"",1)</f>
        <v>1</v>
      </c>
    </row>
    <row r="444" spans="1:67" s="50" customFormat="1">
      <c r="A444" s="65" t="str">
        <f>CONCATENATE(Table43[[#This Row],[Kode BARANG Win2]],Table43[[#This Row],[No. Urut
Item Sama]])</f>
        <v>K13300010060101</v>
      </c>
      <c r="B444" s="66">
        <v>1</v>
      </c>
      <c r="C444" s="65"/>
      <c r="D444" s="67" t="s">
        <v>904</v>
      </c>
      <c r="E444" s="67"/>
      <c r="F444" s="67" t="s">
        <v>3219</v>
      </c>
      <c r="G444" s="80">
        <v>36</v>
      </c>
      <c r="H444" s="68"/>
      <c r="I444" s="67" t="str">
        <f>Table43[[#This Row],[Nama Jenis Kemasan]]</f>
        <v>BTL</v>
      </c>
      <c r="J444" s="65" t="str">
        <f>TRIM(CONCATENATE(Table43[[#This Row],[Nama            KLP]]," ",Table43[[#This Row],[Nama            Sub KLP]]))</f>
        <v>OVALE FACIAL</v>
      </c>
      <c r="K444" s="65" t="str">
        <f>CONCATENATE(Table43[[#This Row],[kode  2 Digit                (hrf+No)]],Table43[[#This Row],[kode  2 Digit                (Nomor)]],Table43[[#This Row],[kode  1 Digit                (Nomor)]])</f>
        <v>K1330</v>
      </c>
      <c r="L444" s="65" t="str">
        <f>IF(AG444="",CONCATENATE(Q444,S444,U444,W444,Y444,AA444,AC444,AE444),CONCATENATE(Q444,S444,U444,W444,Y444,AA444,AC444,AG444))</f>
        <v>K1330001006010</v>
      </c>
      <c r="M444" s="69">
        <f>LEN(L444)</f>
        <v>14</v>
      </c>
      <c r="N444" s="70" t="str">
        <f>IF(AF444&lt;&gt;"",TRIM(UPPER(CONCATENATE(P444," ",R444," ",T444," ",V444," ",X444," ",Z444," ","X"," ",Table43[[#This Row],[ISI/CTN]]," ",AF444," ",AB444," ",AD444," ",AH444))),TRIM(UPPER(CONCATENATE(P444," ",R444," ",T444," ",V444," ",X444," ",Z444," ","X"," ",Table43[[#This Row],[ISI/CTN]]," ",AB444," ",AD444," ",AH444))))</f>
        <v>KNF OVALE FACIAL LOTION ANTI ACNE 60ML X 36 BTL</v>
      </c>
      <c r="O444" s="69">
        <f>LEN(N444)</f>
        <v>47</v>
      </c>
      <c r="P444" s="65" t="s">
        <v>97</v>
      </c>
      <c r="Q444" s="66" t="s">
        <v>98</v>
      </c>
      <c r="R444" s="65" t="s">
        <v>3896</v>
      </c>
      <c r="S444" s="71" t="s">
        <v>3897</v>
      </c>
      <c r="T444" s="72" t="s">
        <v>2961</v>
      </c>
      <c r="U444" s="66" t="s">
        <v>2900</v>
      </c>
      <c r="V444" s="72" t="s">
        <v>2961</v>
      </c>
      <c r="W444" s="71" t="s">
        <v>2900</v>
      </c>
      <c r="X444" s="65" t="s">
        <v>3898</v>
      </c>
      <c r="Y444" s="73" t="s">
        <v>0</v>
      </c>
      <c r="Z444" s="65" t="s">
        <v>1026</v>
      </c>
      <c r="AA444" s="73" t="s">
        <v>2481</v>
      </c>
      <c r="AB444" s="65" t="s">
        <v>357</v>
      </c>
      <c r="AC444" s="66" t="s">
        <v>2656</v>
      </c>
      <c r="AD444" s="65" t="s">
        <v>2961</v>
      </c>
      <c r="AE444" s="66" t="s">
        <v>2900</v>
      </c>
      <c r="AF444" s="66" t="s">
        <v>2961</v>
      </c>
      <c r="AG444" s="66" t="s">
        <v>2961</v>
      </c>
      <c r="AH444" s="66"/>
      <c r="AI444" s="66" t="s">
        <v>4100</v>
      </c>
      <c r="AJ444" s="66" t="s">
        <v>2656</v>
      </c>
      <c r="AK444" s="74">
        <f>Table43[[#This Row],[Harga Jual Pcs GT
(-PPN)]]-(Table43[[#This Row],[Harga Jual Pcs GT
(-PPN)]]*10%)</f>
        <v>0</v>
      </c>
      <c r="AL444" s="75">
        <f>Table43[[#This Row],[Harga Beli Pcs
(-PPN)]]*Table43[[#This Row],[ISI/CTN]]</f>
        <v>0</v>
      </c>
      <c r="AM444" s="75">
        <f>Table43[[#This Row],[Harga Beli Pcs
(-PPN)]]*1.11</f>
        <v>0</v>
      </c>
      <c r="AN444" s="75">
        <f>Table43[[#This Row],[Harga Beli Krt
(- PPN)]]*1.11</f>
        <v>0</v>
      </c>
      <c r="AO444" s="75"/>
      <c r="AP444" s="75">
        <f>Table43[[#This Row],[Harga Jual Pcs GT
(-PPN)]]*Table43[[#This Row],[ISI/CTN]]</f>
        <v>0</v>
      </c>
      <c r="AQ444" s="75">
        <f>Table43[[#This Row],[Harga Jual Pcs GT
(-PPN)]]*1.11</f>
        <v>0</v>
      </c>
      <c r="AR444" s="75">
        <f>Table43[[#This Row],[Harga Jual Krt GT
(- PPN)]]*1.11</f>
        <v>0</v>
      </c>
      <c r="AS444" s="75">
        <f>Table43[[#This Row],[Harga Jual Pcs GT
(-PPN)]]</f>
        <v>0</v>
      </c>
      <c r="AT444" s="75">
        <f>(Table43[[#This Row],[Harga Jual Pcs MT
(-PPN)]]*Table43[[#This Row],[ISI/CTN]])</f>
        <v>0</v>
      </c>
      <c r="AU444" s="75">
        <f>Table43[[#This Row],[Harga Jual Pcs MT
(-PPN)]]*1.11</f>
        <v>0</v>
      </c>
      <c r="AV444" s="75">
        <f>Table43[[#This Row],[Harga Jual Pcs MT
(+PPN)]]*Table43[[#This Row],[ISI/CTN]]</f>
        <v>0</v>
      </c>
      <c r="AW444" s="76"/>
      <c r="AX444" s="66"/>
      <c r="AY444" s="66" t="s">
        <v>326</v>
      </c>
      <c r="AZ444" s="66" t="str">
        <f ca="1">IF(TODAY()-Table43[[#This Row],[Efektif Naik Harga]]&lt;30,"Naik","Sama")</f>
        <v>Sama</v>
      </c>
      <c r="BA444" s="66" t="str">
        <f>IF(Table43[[#This Row],[Kode BARANG Win2]]&lt;&gt;"","IDR","")</f>
        <v>IDR</v>
      </c>
      <c r="BB444" s="66" t="str">
        <f>CONCATENATE(Table43[[#This Row],[kode  1 Digit
(Nomor)]],Table43[[#This Row],[kode  4 Digit                (Nomor)]])</f>
        <v>10060</v>
      </c>
      <c r="BC444" s="66" t="str">
        <f>Table43[[#This Row],[Nama            Gramasi atau Jumlah Pack per CTN]]</f>
        <v>60ML</v>
      </c>
      <c r="BD444" s="66"/>
      <c r="BE444" s="66"/>
      <c r="BF444" s="65" t="str">
        <f>IF(Table43[[#This Row],[SATUAN Fix Win]]&lt;&gt;"","KRT")</f>
        <v>KRT</v>
      </c>
      <c r="BG444" s="65" t="str">
        <f>IF(Table43[[#This Row],[SATUAN Fix Win]]&lt;&gt;"","GD01")</f>
        <v>GD01</v>
      </c>
      <c r="BH444" s="65">
        <f>IF(Table43[[#This Row],[SATUAN Fix Win]]&lt;&gt;"",11611)</f>
        <v>11611</v>
      </c>
      <c r="BI444" s="65">
        <f>IF(Table43[[#This Row],[SATUAN Fix Win]]&lt;&gt;"",11612)</f>
        <v>11612</v>
      </c>
      <c r="BJ444" s="77"/>
      <c r="BK444" s="65">
        <f>IF(Table43[[#This Row],[SATUAN Fix Win]]&lt;&gt;"",1)</f>
        <v>1</v>
      </c>
      <c r="BL444" s="65"/>
      <c r="BM444" s="65"/>
      <c r="BN444" s="65"/>
      <c r="BO444" s="65"/>
    </row>
    <row r="445" spans="1:67">
      <c r="A445" s="4" t="str">
        <f>CONCATENATE(Table43[[#This Row],[Kode BARANG Win2]],Table43[[#This Row],[No. Urut
Item Sama]])</f>
        <v>K13300010060101</v>
      </c>
      <c r="B445" s="7">
        <v>1</v>
      </c>
      <c r="D445" s="28" t="s">
        <v>4074</v>
      </c>
      <c r="E445" s="28"/>
      <c r="F445" s="28">
        <v>0</v>
      </c>
      <c r="G445" s="78">
        <v>36</v>
      </c>
      <c r="H445" s="43"/>
      <c r="I445" s="28" t="str">
        <f>Table43[[#This Row],[Nama Jenis Kemasan]]</f>
        <v>BTL</v>
      </c>
      <c r="J445" s="4" t="str">
        <f>TRIM(CONCATENATE(Table43[[#This Row],[Nama            KLP]]," ",Table43[[#This Row],[Nama            Sub KLP]]))</f>
        <v>OVALE FACIAL</v>
      </c>
      <c r="K445" s="4" t="str">
        <f>CONCATENATE(Table43[[#This Row],[kode  2 Digit                (hrf+No)]],Table43[[#This Row],[kode  2 Digit                (Nomor)]],Table43[[#This Row],[kode  1 Digit                (Nomor)]])</f>
        <v>K1330</v>
      </c>
      <c r="L445" s="4" t="str">
        <f t="shared" si="21"/>
        <v>K1330001006010</v>
      </c>
      <c r="M445" s="11">
        <f t="shared" si="22"/>
        <v>14</v>
      </c>
      <c r="N445" s="14" t="str">
        <f>IF(AF445&lt;&gt;"",TRIM(UPPER(CONCATENATE(P445," ",R445," ",T445," ",V445," ",X445," ",Z445," ","X"," ",Table43[[#This Row],[ISI/CTN]]," ",AF445," ",AB445," ",AD445," ",AH445))),TRIM(UPPER(CONCATENATE(P445," ",R445," ",T445," ",V445," ",X445," ",Z445," ","X"," ",Table43[[#This Row],[ISI/CTN]]," ",AB445," ",AD445," ",AH445))))</f>
        <v>KNF OVALE FACIAL LOTION ANTI ACNE 60ML X 36 BTL</v>
      </c>
      <c r="O445" s="11">
        <f t="shared" si="23"/>
        <v>47</v>
      </c>
      <c r="P445" s="4" t="s">
        <v>97</v>
      </c>
      <c r="Q445" s="7" t="s">
        <v>98</v>
      </c>
      <c r="R445" s="4" t="s">
        <v>3896</v>
      </c>
      <c r="S445" s="44" t="s">
        <v>3897</v>
      </c>
      <c r="T445" s="45" t="s">
        <v>2961</v>
      </c>
      <c r="U445" s="7" t="s">
        <v>2900</v>
      </c>
      <c r="V445" s="45" t="s">
        <v>2961</v>
      </c>
      <c r="W445" s="44" t="s">
        <v>2900</v>
      </c>
      <c r="X445" s="4" t="s">
        <v>3898</v>
      </c>
      <c r="Y445" s="46" t="s">
        <v>0</v>
      </c>
      <c r="Z445" s="4" t="s">
        <v>1026</v>
      </c>
      <c r="AA445" s="46" t="s">
        <v>2481</v>
      </c>
      <c r="AB445" s="4" t="s">
        <v>357</v>
      </c>
      <c r="AC445" s="7" t="s">
        <v>2656</v>
      </c>
      <c r="AD445" s="4" t="s">
        <v>2961</v>
      </c>
      <c r="AE445" s="7" t="s">
        <v>2900</v>
      </c>
      <c r="AF445" s="7" t="s">
        <v>2961</v>
      </c>
      <c r="AG445" s="7" t="s">
        <v>2961</v>
      </c>
      <c r="AI445" s="7" t="s">
        <v>4100</v>
      </c>
      <c r="AJ445" s="7" t="s">
        <v>2656</v>
      </c>
      <c r="AK445" s="41">
        <f>Table43[[#This Row],[Harga Jual Pcs GT
(-PPN)]]-(Table43[[#This Row],[Harga Jual Pcs GT
(-PPN)]]*10%)</f>
        <v>0</v>
      </c>
      <c r="AL445" s="42">
        <f>Table43[[#This Row],[Harga Beli Pcs
(-PPN)]]*Table43[[#This Row],[ISI/CTN]]</f>
        <v>0</v>
      </c>
      <c r="AM445" s="42">
        <f>Table43[[#This Row],[Harga Beli Pcs
(-PPN)]]*1.11</f>
        <v>0</v>
      </c>
      <c r="AN445" s="42">
        <f>Table43[[#This Row],[Harga Beli Krt
(- PPN)]]*1.11</f>
        <v>0</v>
      </c>
      <c r="AO445" s="42"/>
      <c r="AP445" s="42">
        <f>Table43[[#This Row],[Harga Jual Pcs GT
(-PPN)]]*Table43[[#This Row],[ISI/CTN]]</f>
        <v>0</v>
      </c>
      <c r="AQ445" s="42">
        <f>Table43[[#This Row],[Harga Jual Pcs GT
(-PPN)]]*1.11</f>
        <v>0</v>
      </c>
      <c r="AR445" s="42">
        <f>Table43[[#This Row],[Harga Jual Krt GT
(- PPN)]]*1.11</f>
        <v>0</v>
      </c>
      <c r="AS445" s="42">
        <f>Table43[[#This Row],[Harga Jual Pcs GT
(-PPN)]]</f>
        <v>0</v>
      </c>
      <c r="AT445" s="42">
        <f>(Table43[[#This Row],[Harga Jual Pcs MT
(-PPN)]]*Table43[[#This Row],[ISI/CTN]])</f>
        <v>0</v>
      </c>
      <c r="AU445" s="42">
        <f>Table43[[#This Row],[Harga Jual Pcs MT
(-PPN)]]*1.11</f>
        <v>0</v>
      </c>
      <c r="AV445" s="42">
        <f>Table43[[#This Row],[Harga Jual Pcs MT
(+PPN)]]*Table43[[#This Row],[ISI/CTN]]</f>
        <v>0</v>
      </c>
      <c r="AW445" s="47"/>
      <c r="AX445" s="7"/>
      <c r="AY445" s="7" t="str">
        <f ca="1">IF(TODAY()-Table43[[#This Row],[Efektif
Pembuatan]]&gt;60,"Lama","Baru")</f>
        <v>Lama</v>
      </c>
      <c r="AZ445" s="7" t="str">
        <f ca="1">IF(TODAY()-Table43[[#This Row],[Efektif Naik Harga]]&lt;30,"Naik","Sama")</f>
        <v>Sama</v>
      </c>
      <c r="BA445" s="7" t="str">
        <f>IF(Table43[[#This Row],[Kode BARANG Win2]]&lt;&gt;"","IDR","")</f>
        <v>IDR</v>
      </c>
      <c r="BB445" s="7" t="str">
        <f>CONCATENATE(Table43[[#This Row],[kode  1 Digit
(Nomor)]],Table43[[#This Row],[kode  4 Digit                (Nomor)]])</f>
        <v>10060</v>
      </c>
      <c r="BC445" s="7" t="str">
        <f>Table43[[#This Row],[Nama            Gramasi atau Jumlah Pack per CTN]]</f>
        <v>60ML</v>
      </c>
      <c r="BD445" s="7"/>
      <c r="BE445" s="7"/>
      <c r="BF445" s="4" t="str">
        <f>IF(Table43[[#This Row],[SATUAN Fix Win]]&lt;&gt;"","KRT")</f>
        <v>KRT</v>
      </c>
      <c r="BG445" s="4" t="str">
        <f>IF(Table43[[#This Row],[SATUAN Fix Win]]&lt;&gt;"","GD01")</f>
        <v>GD01</v>
      </c>
      <c r="BH445" s="4">
        <f>IF(Table43[[#This Row],[SATUAN Fix Win]]&lt;&gt;"",11611)</f>
        <v>11611</v>
      </c>
      <c r="BI445" s="4">
        <f>IF(Table43[[#This Row],[SATUAN Fix Win]]&lt;&gt;"",11612)</f>
        <v>11612</v>
      </c>
      <c r="BJ445" s="48"/>
      <c r="BK445" s="4">
        <f>IF(Table43[[#This Row],[SATUAN Fix Win]]&lt;&gt;"",1)</f>
        <v>1</v>
      </c>
    </row>
    <row r="446" spans="1:67">
      <c r="A446" s="4" t="str">
        <f>CONCATENATE(Table43[[#This Row],[Kode BARANG Win2]],Table43[[#This Row],[No. Urut
Item Sama]])</f>
        <v>K13300010100102</v>
      </c>
      <c r="B446" s="7">
        <v>2</v>
      </c>
      <c r="D446" s="28" t="s">
        <v>905</v>
      </c>
      <c r="E446" s="28"/>
      <c r="F446" s="28" t="s">
        <v>3220</v>
      </c>
      <c r="G446" s="78">
        <v>36</v>
      </c>
      <c r="H446" s="43"/>
      <c r="I446" s="28" t="str">
        <f>Table43[[#This Row],[Nama Jenis Kemasan]]</f>
        <v>BTL</v>
      </c>
      <c r="J446" s="4" t="str">
        <f>TRIM(CONCATENATE(Table43[[#This Row],[Nama            KLP]]," ",Table43[[#This Row],[Nama            Sub KLP]]))</f>
        <v>OVALE FACIAL</v>
      </c>
      <c r="K446" s="4" t="str">
        <f>CONCATENATE(Table43[[#This Row],[kode  2 Digit                (hrf+No)]],Table43[[#This Row],[kode  2 Digit                (Nomor)]],Table43[[#This Row],[kode  1 Digit                (Nomor)]])</f>
        <v>K1330</v>
      </c>
      <c r="L446" s="4" t="str">
        <f t="shared" si="21"/>
        <v>K1330001010010</v>
      </c>
      <c r="M446" s="11">
        <f t="shared" si="22"/>
        <v>14</v>
      </c>
      <c r="N446" s="14" t="str">
        <f>IF(AF446&lt;&gt;"",TRIM(UPPER(CONCATENATE(P446," ",R446," ",T446," ",V446," ",X446," ",Z446," ","X"," ",Table43[[#This Row],[ISI/CTN]]," ",AF446," ",AB446," ",AD446," ",AH446))),TRIM(UPPER(CONCATENATE(P446," ",R446," ",T446," ",V446," ",X446," ",Z446," ","X"," ",Table43[[#This Row],[ISI/CTN]]," ",AB446," ",AD446," ",AH446))))</f>
        <v>KNF OVALE FACIAL LOTION ANTI ACNE 100ML X 36 BTL</v>
      </c>
      <c r="O446" s="11">
        <f t="shared" si="23"/>
        <v>48</v>
      </c>
      <c r="P446" s="4" t="s">
        <v>97</v>
      </c>
      <c r="Q446" s="7" t="s">
        <v>98</v>
      </c>
      <c r="R446" s="4" t="s">
        <v>3896</v>
      </c>
      <c r="S446" s="44" t="s">
        <v>3897</v>
      </c>
      <c r="T446" s="45" t="s">
        <v>2961</v>
      </c>
      <c r="U446" s="7" t="s">
        <v>2900</v>
      </c>
      <c r="V446" s="45" t="s">
        <v>2961</v>
      </c>
      <c r="W446" s="44" t="s">
        <v>2900</v>
      </c>
      <c r="X446" s="4" t="s">
        <v>3898</v>
      </c>
      <c r="Y446" s="46" t="s">
        <v>0</v>
      </c>
      <c r="Z446" s="4" t="s">
        <v>3588</v>
      </c>
      <c r="AA446" s="46" t="s">
        <v>2487</v>
      </c>
      <c r="AB446" s="4" t="s">
        <v>357</v>
      </c>
      <c r="AC446" s="7" t="s">
        <v>2656</v>
      </c>
      <c r="AD446" s="4" t="s">
        <v>2961</v>
      </c>
      <c r="AE446" s="7" t="s">
        <v>2900</v>
      </c>
      <c r="AF446" s="7" t="s">
        <v>2961</v>
      </c>
      <c r="AG446" s="7" t="s">
        <v>2961</v>
      </c>
      <c r="AI446" s="7" t="s">
        <v>4100</v>
      </c>
      <c r="AJ446" s="7" t="s">
        <v>2656</v>
      </c>
      <c r="AK446" s="41">
        <f>Table43[[#This Row],[Harga Jual Pcs GT
(-PPN)]]-(Table43[[#This Row],[Harga Jual Pcs GT
(-PPN)]]*10%)</f>
        <v>0</v>
      </c>
      <c r="AL446" s="42">
        <f>Table43[[#This Row],[Harga Beli Pcs
(-PPN)]]*Table43[[#This Row],[ISI/CTN]]</f>
        <v>0</v>
      </c>
      <c r="AM446" s="42">
        <f>Table43[[#This Row],[Harga Beli Pcs
(-PPN)]]*1.11</f>
        <v>0</v>
      </c>
      <c r="AN446" s="42">
        <f>Table43[[#This Row],[Harga Beli Krt
(- PPN)]]*1.11</f>
        <v>0</v>
      </c>
      <c r="AO446" s="42"/>
      <c r="AP446" s="42">
        <f>Table43[[#This Row],[Harga Jual Pcs GT
(-PPN)]]*Table43[[#This Row],[ISI/CTN]]</f>
        <v>0</v>
      </c>
      <c r="AQ446" s="42">
        <f>Table43[[#This Row],[Harga Jual Pcs GT
(-PPN)]]*1.11</f>
        <v>0</v>
      </c>
      <c r="AR446" s="42">
        <f>Table43[[#This Row],[Harga Jual Krt GT
(- PPN)]]*1.11</f>
        <v>0</v>
      </c>
      <c r="AS446" s="42">
        <f>Table43[[#This Row],[Harga Jual Pcs GT
(-PPN)]]</f>
        <v>0</v>
      </c>
      <c r="AT446" s="42">
        <f>(Table43[[#This Row],[Harga Jual Pcs MT
(-PPN)]]*Table43[[#This Row],[ISI/CTN]])</f>
        <v>0</v>
      </c>
      <c r="AU446" s="42">
        <f>Table43[[#This Row],[Harga Jual Pcs MT
(-PPN)]]*1.11</f>
        <v>0</v>
      </c>
      <c r="AV446" s="42">
        <f>Table43[[#This Row],[Harga Jual Pcs MT
(+PPN)]]*Table43[[#This Row],[ISI/CTN]]</f>
        <v>0</v>
      </c>
      <c r="AW446" s="47"/>
      <c r="AX446" s="7"/>
      <c r="AY446" s="7" t="str">
        <f ca="1">IF(TODAY()-Table43[[#This Row],[Efektif
Pembuatan]]&gt;60,"Lama","Baru")</f>
        <v>Lama</v>
      </c>
      <c r="AZ446" s="7" t="str">
        <f ca="1">IF(TODAY()-Table43[[#This Row],[Efektif Naik Harga]]&lt;30,"Naik","Sama")</f>
        <v>Sama</v>
      </c>
      <c r="BA446" s="7" t="str">
        <f>IF(Table43[[#This Row],[Kode BARANG Win2]]&lt;&gt;"","IDR","")</f>
        <v>IDR</v>
      </c>
      <c r="BB446" s="7" t="str">
        <f>CONCATENATE(Table43[[#This Row],[kode  1 Digit
(Nomor)]],Table43[[#This Row],[kode  4 Digit                (Nomor)]])</f>
        <v>10100</v>
      </c>
      <c r="BC446" s="7" t="str">
        <f>Table43[[#This Row],[Nama            Gramasi atau Jumlah Pack per CTN]]</f>
        <v>100ML</v>
      </c>
      <c r="BD446" s="7"/>
      <c r="BE446" s="7"/>
      <c r="BF446" s="4" t="str">
        <f>IF(Table43[[#This Row],[SATUAN Fix Win]]&lt;&gt;"","KRT")</f>
        <v>KRT</v>
      </c>
      <c r="BG446" s="4" t="str">
        <f>IF(Table43[[#This Row],[SATUAN Fix Win]]&lt;&gt;"","GD01")</f>
        <v>GD01</v>
      </c>
      <c r="BH446" s="4">
        <f>IF(Table43[[#This Row],[SATUAN Fix Win]]&lt;&gt;"",11611)</f>
        <v>11611</v>
      </c>
      <c r="BI446" s="4">
        <f>IF(Table43[[#This Row],[SATUAN Fix Win]]&lt;&gt;"",11612)</f>
        <v>11612</v>
      </c>
      <c r="BJ446" s="48"/>
      <c r="BK446" s="4">
        <f>IF(Table43[[#This Row],[SATUAN Fix Win]]&lt;&gt;"",1)</f>
        <v>1</v>
      </c>
    </row>
    <row r="447" spans="1:67">
      <c r="A447" s="4" t="str">
        <f>CONCATENATE(Table43[[#This Row],[Kode BARANG Win2]],Table43[[#This Row],[No. Urut
Item Sama]])</f>
        <v>K13300010100101</v>
      </c>
      <c r="B447" s="7">
        <v>1</v>
      </c>
      <c r="D447" s="28" t="s">
        <v>4075</v>
      </c>
      <c r="E447" s="28"/>
      <c r="F447" s="28">
        <v>0</v>
      </c>
      <c r="G447" s="78">
        <v>36</v>
      </c>
      <c r="H447" s="43"/>
      <c r="I447" s="28" t="str">
        <f>Table43[[#This Row],[Nama Jenis Kemasan]]</f>
        <v>BTL</v>
      </c>
      <c r="J447" s="4" t="str">
        <f>TRIM(CONCATENATE(Table43[[#This Row],[Nama            KLP]]," ",Table43[[#This Row],[Nama            Sub KLP]]))</f>
        <v>OVALE FACIAL</v>
      </c>
      <c r="K447" s="4" t="str">
        <f>CONCATENATE(Table43[[#This Row],[kode  2 Digit                (hrf+No)]],Table43[[#This Row],[kode  2 Digit                (Nomor)]],Table43[[#This Row],[kode  1 Digit                (Nomor)]])</f>
        <v>K1330</v>
      </c>
      <c r="L447" s="4" t="str">
        <f t="shared" si="21"/>
        <v>K1330001010010</v>
      </c>
      <c r="M447" s="11">
        <f t="shared" si="22"/>
        <v>14</v>
      </c>
      <c r="N447" s="14" t="str">
        <f>IF(AF447&lt;&gt;"",TRIM(UPPER(CONCATENATE(P447," ",R447," ",T447," ",V447," ",X447," ",Z447," ","X"," ",Table43[[#This Row],[ISI/CTN]]," ",AF447," ",AB447," ",AD447," ",AH447))),TRIM(UPPER(CONCATENATE(P447," ",R447," ",T447," ",V447," ",X447," ",Z447," ","X"," ",Table43[[#This Row],[ISI/CTN]]," ",AB447," ",AD447," ",AH447))))</f>
        <v>KNF OVALE FACIAL LOTION ANTI ACNE 100ML X 36 BTL</v>
      </c>
      <c r="O447" s="11">
        <f t="shared" si="23"/>
        <v>48</v>
      </c>
      <c r="P447" s="4" t="s">
        <v>97</v>
      </c>
      <c r="Q447" s="7" t="s">
        <v>98</v>
      </c>
      <c r="R447" s="4" t="s">
        <v>3896</v>
      </c>
      <c r="S447" s="44" t="s">
        <v>3897</v>
      </c>
      <c r="T447" s="45" t="s">
        <v>2961</v>
      </c>
      <c r="U447" s="7" t="s">
        <v>2900</v>
      </c>
      <c r="V447" s="45" t="s">
        <v>2961</v>
      </c>
      <c r="W447" s="44" t="s">
        <v>2900</v>
      </c>
      <c r="X447" s="4" t="s">
        <v>3898</v>
      </c>
      <c r="Y447" s="46" t="s">
        <v>0</v>
      </c>
      <c r="Z447" s="4" t="s">
        <v>3588</v>
      </c>
      <c r="AA447" s="46" t="s">
        <v>2487</v>
      </c>
      <c r="AB447" s="4" t="s">
        <v>357</v>
      </c>
      <c r="AC447" s="7" t="s">
        <v>2656</v>
      </c>
      <c r="AD447" s="4" t="s">
        <v>2961</v>
      </c>
      <c r="AE447" s="7" t="s">
        <v>2900</v>
      </c>
      <c r="AF447" s="7" t="s">
        <v>2961</v>
      </c>
      <c r="AG447" s="7" t="s">
        <v>2961</v>
      </c>
      <c r="AI447" s="7" t="s">
        <v>4100</v>
      </c>
      <c r="AJ447" s="7" t="s">
        <v>2656</v>
      </c>
      <c r="AK447" s="41">
        <f>Table43[[#This Row],[Harga Jual Pcs GT
(-PPN)]]-(Table43[[#This Row],[Harga Jual Pcs GT
(-PPN)]]*10%)</f>
        <v>0</v>
      </c>
      <c r="AL447" s="42">
        <f>Table43[[#This Row],[Harga Beli Pcs
(-PPN)]]*Table43[[#This Row],[ISI/CTN]]</f>
        <v>0</v>
      </c>
      <c r="AM447" s="42">
        <f>Table43[[#This Row],[Harga Beli Pcs
(-PPN)]]*1.11</f>
        <v>0</v>
      </c>
      <c r="AN447" s="42">
        <f>Table43[[#This Row],[Harga Beli Krt
(- PPN)]]*1.11</f>
        <v>0</v>
      </c>
      <c r="AO447" s="42"/>
      <c r="AP447" s="42">
        <f>Table43[[#This Row],[Harga Jual Pcs GT
(-PPN)]]*Table43[[#This Row],[ISI/CTN]]</f>
        <v>0</v>
      </c>
      <c r="AQ447" s="42">
        <f>Table43[[#This Row],[Harga Jual Pcs GT
(-PPN)]]*1.11</f>
        <v>0</v>
      </c>
      <c r="AR447" s="42">
        <f>Table43[[#This Row],[Harga Jual Krt GT
(- PPN)]]*1.11</f>
        <v>0</v>
      </c>
      <c r="AS447" s="42">
        <f>Table43[[#This Row],[Harga Jual Pcs GT
(-PPN)]]</f>
        <v>0</v>
      </c>
      <c r="AT447" s="42">
        <f>(Table43[[#This Row],[Harga Jual Pcs MT
(-PPN)]]*Table43[[#This Row],[ISI/CTN]])</f>
        <v>0</v>
      </c>
      <c r="AU447" s="42">
        <f>Table43[[#This Row],[Harga Jual Pcs MT
(-PPN)]]*1.11</f>
        <v>0</v>
      </c>
      <c r="AV447" s="42">
        <f>Table43[[#This Row],[Harga Jual Pcs MT
(+PPN)]]*Table43[[#This Row],[ISI/CTN]]</f>
        <v>0</v>
      </c>
      <c r="AW447" s="47"/>
      <c r="AX447" s="7"/>
      <c r="AY447" s="7" t="str">
        <f ca="1">IF(TODAY()-Table43[[#This Row],[Efektif
Pembuatan]]&gt;60,"Lama","Baru")</f>
        <v>Lama</v>
      </c>
      <c r="AZ447" s="7" t="str">
        <f ca="1">IF(TODAY()-Table43[[#This Row],[Efektif Naik Harga]]&lt;30,"Naik","Sama")</f>
        <v>Sama</v>
      </c>
      <c r="BA447" s="7" t="str">
        <f>IF(Table43[[#This Row],[Kode BARANG Win2]]&lt;&gt;"","IDR","")</f>
        <v>IDR</v>
      </c>
      <c r="BB447" s="7" t="str">
        <f>CONCATENATE(Table43[[#This Row],[kode  1 Digit
(Nomor)]],Table43[[#This Row],[kode  4 Digit                (Nomor)]])</f>
        <v>10100</v>
      </c>
      <c r="BC447" s="7" t="str">
        <f>Table43[[#This Row],[Nama            Gramasi atau Jumlah Pack per CTN]]</f>
        <v>100ML</v>
      </c>
      <c r="BD447" s="7"/>
      <c r="BE447" s="7"/>
      <c r="BF447" s="4" t="str">
        <f>IF(Table43[[#This Row],[SATUAN Fix Win]]&lt;&gt;"","KRT")</f>
        <v>KRT</v>
      </c>
      <c r="BG447" s="4" t="str">
        <f>IF(Table43[[#This Row],[SATUAN Fix Win]]&lt;&gt;"","GD01")</f>
        <v>GD01</v>
      </c>
      <c r="BH447" s="4">
        <f>IF(Table43[[#This Row],[SATUAN Fix Win]]&lt;&gt;"",11611)</f>
        <v>11611</v>
      </c>
      <c r="BI447" s="4">
        <f>IF(Table43[[#This Row],[SATUAN Fix Win]]&lt;&gt;"",11612)</f>
        <v>11612</v>
      </c>
      <c r="BJ447" s="48"/>
      <c r="BK447" s="4">
        <f>IF(Table43[[#This Row],[SATUAN Fix Win]]&lt;&gt;"",1)</f>
        <v>1</v>
      </c>
    </row>
    <row r="448" spans="1:67">
      <c r="A448" s="4" t="str">
        <f>CONCATENATE(Table43[[#This Row],[Kode BARANG Win2]],Table43[[#This Row],[No. Urut
Item Sama]])</f>
        <v>K13300010200101</v>
      </c>
      <c r="B448" s="7">
        <v>1</v>
      </c>
      <c r="D448" s="28" t="s">
        <v>907</v>
      </c>
      <c r="E448" s="28"/>
      <c r="F448" s="28" t="s">
        <v>3221</v>
      </c>
      <c r="G448" s="78">
        <v>36</v>
      </c>
      <c r="H448" s="43"/>
      <c r="I448" s="28" t="str">
        <f>Table43[[#This Row],[Nama Jenis Kemasan]]</f>
        <v>BTL</v>
      </c>
      <c r="J448" s="4" t="str">
        <f>TRIM(CONCATENATE(Table43[[#This Row],[Nama            KLP]]," ",Table43[[#This Row],[Nama            Sub KLP]]))</f>
        <v>OVALE FACIAL</v>
      </c>
      <c r="K448" s="4" t="str">
        <f>CONCATENATE(Table43[[#This Row],[kode  2 Digit                (hrf+No)]],Table43[[#This Row],[kode  2 Digit                (Nomor)]],Table43[[#This Row],[kode  1 Digit                (Nomor)]])</f>
        <v>K1330</v>
      </c>
      <c r="L448" s="4" t="str">
        <f t="shared" si="21"/>
        <v>K1330001020010</v>
      </c>
      <c r="M448" s="11">
        <f t="shared" si="22"/>
        <v>14</v>
      </c>
      <c r="N448" s="14" t="str">
        <f>IF(AF448&lt;&gt;"",TRIM(UPPER(CONCATENATE(P448," ",R448," ",T448," ",V448," ",X448," ",Z448," ","X"," ",Table43[[#This Row],[ISI/CTN]]," ",AF448," ",AB448," ",AD448," ",AH448))),TRIM(UPPER(CONCATENATE(P448," ",R448," ",T448," ",V448," ",X448," ",Z448," ","X"," ",Table43[[#This Row],[ISI/CTN]]," ",AB448," ",AD448," ",AH448))))</f>
        <v>KNF OVALE FACIAL LOTION ANTI ACNE 200ML X 36 BTL</v>
      </c>
      <c r="O448" s="11">
        <f t="shared" si="23"/>
        <v>48</v>
      </c>
      <c r="P448" s="4" t="s">
        <v>97</v>
      </c>
      <c r="Q448" s="7" t="s">
        <v>98</v>
      </c>
      <c r="R448" s="4" t="s">
        <v>3896</v>
      </c>
      <c r="S448" s="44" t="s">
        <v>3897</v>
      </c>
      <c r="T448" s="45" t="s">
        <v>2961</v>
      </c>
      <c r="U448" s="7" t="s">
        <v>2900</v>
      </c>
      <c r="V448" s="45" t="s">
        <v>2961</v>
      </c>
      <c r="W448" s="44" t="s">
        <v>2900</v>
      </c>
      <c r="X448" s="4" t="s">
        <v>3898</v>
      </c>
      <c r="Y448" s="46" t="s">
        <v>0</v>
      </c>
      <c r="Z448" s="4" t="s">
        <v>3582</v>
      </c>
      <c r="AA448" s="46" t="s">
        <v>2486</v>
      </c>
      <c r="AB448" s="4" t="s">
        <v>357</v>
      </c>
      <c r="AC448" s="7" t="s">
        <v>2656</v>
      </c>
      <c r="AD448" s="4" t="s">
        <v>2961</v>
      </c>
      <c r="AE448" s="7" t="s">
        <v>2900</v>
      </c>
      <c r="AF448" s="7" t="s">
        <v>2961</v>
      </c>
      <c r="AG448" s="7" t="s">
        <v>2961</v>
      </c>
      <c r="AI448" s="7" t="s">
        <v>4100</v>
      </c>
      <c r="AJ448" s="7" t="s">
        <v>2656</v>
      </c>
      <c r="AK448" s="41">
        <f>Table43[[#This Row],[Harga Jual Pcs GT
(-PPN)]]-(Table43[[#This Row],[Harga Jual Pcs GT
(-PPN)]]*10%)</f>
        <v>0</v>
      </c>
      <c r="AL448" s="42">
        <f>Table43[[#This Row],[Harga Beli Pcs
(-PPN)]]*Table43[[#This Row],[ISI/CTN]]</f>
        <v>0</v>
      </c>
      <c r="AM448" s="42">
        <f>Table43[[#This Row],[Harga Beli Pcs
(-PPN)]]*1.11</f>
        <v>0</v>
      </c>
      <c r="AN448" s="42">
        <f>Table43[[#This Row],[Harga Beli Krt
(- PPN)]]*1.11</f>
        <v>0</v>
      </c>
      <c r="AO448" s="42"/>
      <c r="AP448" s="42">
        <f>Table43[[#This Row],[Harga Jual Pcs GT
(-PPN)]]*Table43[[#This Row],[ISI/CTN]]</f>
        <v>0</v>
      </c>
      <c r="AQ448" s="42">
        <f>Table43[[#This Row],[Harga Jual Pcs GT
(-PPN)]]*1.11</f>
        <v>0</v>
      </c>
      <c r="AR448" s="42">
        <f>Table43[[#This Row],[Harga Jual Krt GT
(- PPN)]]*1.11</f>
        <v>0</v>
      </c>
      <c r="AS448" s="42">
        <f>Table43[[#This Row],[Harga Jual Pcs GT
(-PPN)]]</f>
        <v>0</v>
      </c>
      <c r="AT448" s="42">
        <f>(Table43[[#This Row],[Harga Jual Pcs MT
(-PPN)]]*Table43[[#This Row],[ISI/CTN]])</f>
        <v>0</v>
      </c>
      <c r="AU448" s="42">
        <f>Table43[[#This Row],[Harga Jual Pcs MT
(-PPN)]]*1.11</f>
        <v>0</v>
      </c>
      <c r="AV448" s="42">
        <f>Table43[[#This Row],[Harga Jual Pcs MT
(+PPN)]]*Table43[[#This Row],[ISI/CTN]]</f>
        <v>0</v>
      </c>
      <c r="AW448" s="47"/>
      <c r="AX448" s="7"/>
      <c r="AY448" s="7" t="str">
        <f ca="1">IF(TODAY()-Table43[[#This Row],[Efektif
Pembuatan]]&gt;60,"Lama","Baru")</f>
        <v>Lama</v>
      </c>
      <c r="AZ448" s="7" t="str">
        <f ca="1">IF(TODAY()-Table43[[#This Row],[Efektif Naik Harga]]&lt;30,"Naik","Sama")</f>
        <v>Sama</v>
      </c>
      <c r="BA448" s="7" t="str">
        <f>IF(Table43[[#This Row],[Kode BARANG Win2]]&lt;&gt;"","IDR","")</f>
        <v>IDR</v>
      </c>
      <c r="BB448" s="7" t="str">
        <f>CONCATENATE(Table43[[#This Row],[kode  1 Digit
(Nomor)]],Table43[[#This Row],[kode  4 Digit                (Nomor)]])</f>
        <v>10200</v>
      </c>
      <c r="BC448" s="7" t="str">
        <f>Table43[[#This Row],[Nama            Gramasi atau Jumlah Pack per CTN]]</f>
        <v>200ML</v>
      </c>
      <c r="BD448" s="7"/>
      <c r="BE448" s="7"/>
      <c r="BF448" s="4" t="str">
        <f>IF(Table43[[#This Row],[SATUAN Fix Win]]&lt;&gt;"","KRT")</f>
        <v>KRT</v>
      </c>
      <c r="BG448" s="4" t="str">
        <f>IF(Table43[[#This Row],[SATUAN Fix Win]]&lt;&gt;"","GD01")</f>
        <v>GD01</v>
      </c>
      <c r="BH448" s="4">
        <f>IF(Table43[[#This Row],[SATUAN Fix Win]]&lt;&gt;"",11611)</f>
        <v>11611</v>
      </c>
      <c r="BI448" s="4">
        <f>IF(Table43[[#This Row],[SATUAN Fix Win]]&lt;&gt;"",11612)</f>
        <v>11612</v>
      </c>
      <c r="BJ448" s="48"/>
      <c r="BK448" s="4">
        <f>IF(Table43[[#This Row],[SATUAN Fix Win]]&lt;&gt;"",1)</f>
        <v>1</v>
      </c>
    </row>
    <row r="449" spans="1:63">
      <c r="A449" s="4" t="str">
        <f>CONCATENATE(Table43[[#This Row],[Kode BARANG Win2]],Table43[[#This Row],[No. Urut
Item Sama]])</f>
        <v>K13300020060101</v>
      </c>
      <c r="B449" s="7">
        <v>1</v>
      </c>
      <c r="D449" s="28" t="s">
        <v>910</v>
      </c>
      <c r="E449" s="28"/>
      <c r="F449" s="28" t="s">
        <v>3222</v>
      </c>
      <c r="G449" s="78">
        <v>36</v>
      </c>
      <c r="H449" s="43"/>
      <c r="I449" s="28" t="str">
        <f>Table43[[#This Row],[Nama Jenis Kemasan]]</f>
        <v>BTL</v>
      </c>
      <c r="J449" s="4" t="str">
        <f>TRIM(CONCATENATE(Table43[[#This Row],[Nama            KLP]]," ",Table43[[#This Row],[Nama            Sub KLP]]))</f>
        <v>OVALE FACIAL</v>
      </c>
      <c r="K449" s="4" t="str">
        <f>CONCATENATE(Table43[[#This Row],[kode  2 Digit                (hrf+No)]],Table43[[#This Row],[kode  2 Digit                (Nomor)]],Table43[[#This Row],[kode  1 Digit                (Nomor)]])</f>
        <v>K1330</v>
      </c>
      <c r="L449" s="4" t="str">
        <f t="shared" si="21"/>
        <v>K1330002006010</v>
      </c>
      <c r="M449" s="11">
        <f t="shared" si="22"/>
        <v>14</v>
      </c>
      <c r="N449" s="14" t="str">
        <f>IF(AF449&lt;&gt;"",TRIM(UPPER(CONCATENATE(P449," ",R449," ",T449," ",V449," ",X449," ",Z449," ","X"," ",Table43[[#This Row],[ISI/CTN]]," ",AF449," ",AB449," ",AD449," ",AH449))),TRIM(UPPER(CONCATENATE(P449," ",R449," ",T449," ",V449," ",X449," ",Z449," ","X"," ",Table43[[#This Row],[ISI/CTN]]," ",AB449," ",AD449," ",AH449))))</f>
        <v>KNF OVALE FACIAL LOTION EXTRA MILD 60ML X 36 BTL</v>
      </c>
      <c r="O449" s="11">
        <f t="shared" si="23"/>
        <v>48</v>
      </c>
      <c r="P449" s="4" t="s">
        <v>97</v>
      </c>
      <c r="Q449" s="7" t="s">
        <v>98</v>
      </c>
      <c r="R449" s="4" t="s">
        <v>3896</v>
      </c>
      <c r="S449" s="44" t="s">
        <v>3897</v>
      </c>
      <c r="T449" s="45" t="s">
        <v>2961</v>
      </c>
      <c r="U449" s="7" t="s">
        <v>2900</v>
      </c>
      <c r="V449" s="45" t="s">
        <v>2961</v>
      </c>
      <c r="W449" s="44" t="s">
        <v>2900</v>
      </c>
      <c r="X449" s="4" t="s">
        <v>3899</v>
      </c>
      <c r="Y449" s="46" t="s">
        <v>2472</v>
      </c>
      <c r="Z449" s="4" t="s">
        <v>1026</v>
      </c>
      <c r="AA449" s="46" t="s">
        <v>2481</v>
      </c>
      <c r="AB449" s="4" t="s">
        <v>357</v>
      </c>
      <c r="AC449" s="7" t="s">
        <v>2656</v>
      </c>
      <c r="AD449" s="4" t="s">
        <v>2961</v>
      </c>
      <c r="AE449" s="7" t="s">
        <v>2900</v>
      </c>
      <c r="AF449" s="7" t="s">
        <v>2961</v>
      </c>
      <c r="AG449" s="7" t="s">
        <v>2961</v>
      </c>
      <c r="AI449" s="7" t="s">
        <v>4100</v>
      </c>
      <c r="AJ449" s="7" t="s">
        <v>2656</v>
      </c>
      <c r="AK449" s="41">
        <f>Table43[[#This Row],[Harga Jual Pcs GT
(-PPN)]]-(Table43[[#This Row],[Harga Jual Pcs GT
(-PPN)]]*10%)</f>
        <v>0</v>
      </c>
      <c r="AL449" s="42">
        <f>Table43[[#This Row],[Harga Beli Pcs
(-PPN)]]*Table43[[#This Row],[ISI/CTN]]</f>
        <v>0</v>
      </c>
      <c r="AM449" s="42">
        <f>Table43[[#This Row],[Harga Beli Pcs
(-PPN)]]*1.11</f>
        <v>0</v>
      </c>
      <c r="AN449" s="42">
        <f>Table43[[#This Row],[Harga Beli Krt
(- PPN)]]*1.11</f>
        <v>0</v>
      </c>
      <c r="AO449" s="42"/>
      <c r="AP449" s="42">
        <f>Table43[[#This Row],[Harga Jual Pcs GT
(-PPN)]]*Table43[[#This Row],[ISI/CTN]]</f>
        <v>0</v>
      </c>
      <c r="AQ449" s="42">
        <f>Table43[[#This Row],[Harga Jual Pcs GT
(-PPN)]]*1.11</f>
        <v>0</v>
      </c>
      <c r="AR449" s="42">
        <f>Table43[[#This Row],[Harga Jual Krt GT
(- PPN)]]*1.11</f>
        <v>0</v>
      </c>
      <c r="AS449" s="42">
        <f>Table43[[#This Row],[Harga Jual Pcs GT
(-PPN)]]</f>
        <v>0</v>
      </c>
      <c r="AT449" s="42">
        <f>(Table43[[#This Row],[Harga Jual Pcs MT
(-PPN)]]*Table43[[#This Row],[ISI/CTN]])</f>
        <v>0</v>
      </c>
      <c r="AU449" s="42">
        <f>Table43[[#This Row],[Harga Jual Pcs MT
(-PPN)]]*1.11</f>
        <v>0</v>
      </c>
      <c r="AV449" s="42">
        <f>Table43[[#This Row],[Harga Jual Pcs MT
(+PPN)]]*Table43[[#This Row],[ISI/CTN]]</f>
        <v>0</v>
      </c>
      <c r="AW449" s="47"/>
      <c r="AX449" s="7"/>
      <c r="AY449" s="7" t="str">
        <f ca="1">IF(TODAY()-Table43[[#This Row],[Efektif
Pembuatan]]&gt;60,"Lama","Baru")</f>
        <v>Lama</v>
      </c>
      <c r="AZ449" s="7" t="str">
        <f ca="1">IF(TODAY()-Table43[[#This Row],[Efektif Naik Harga]]&lt;30,"Naik","Sama")</f>
        <v>Sama</v>
      </c>
      <c r="BA449" s="7" t="str">
        <f>IF(Table43[[#This Row],[Kode BARANG Win2]]&lt;&gt;"","IDR","")</f>
        <v>IDR</v>
      </c>
      <c r="BB449" s="7" t="str">
        <f>CONCATENATE(Table43[[#This Row],[kode  1 Digit
(Nomor)]],Table43[[#This Row],[kode  4 Digit                (Nomor)]])</f>
        <v>10060</v>
      </c>
      <c r="BC449" s="7" t="str">
        <f>Table43[[#This Row],[Nama            Gramasi atau Jumlah Pack per CTN]]</f>
        <v>60ML</v>
      </c>
      <c r="BD449" s="7"/>
      <c r="BE449" s="7"/>
      <c r="BF449" s="4" t="str">
        <f>IF(Table43[[#This Row],[SATUAN Fix Win]]&lt;&gt;"","KRT")</f>
        <v>KRT</v>
      </c>
      <c r="BG449" s="4" t="str">
        <f>IF(Table43[[#This Row],[SATUAN Fix Win]]&lt;&gt;"","GD01")</f>
        <v>GD01</v>
      </c>
      <c r="BH449" s="4">
        <f>IF(Table43[[#This Row],[SATUAN Fix Win]]&lt;&gt;"",11611)</f>
        <v>11611</v>
      </c>
      <c r="BI449" s="4">
        <f>IF(Table43[[#This Row],[SATUAN Fix Win]]&lt;&gt;"",11612)</f>
        <v>11612</v>
      </c>
      <c r="BJ449" s="48"/>
      <c r="BK449" s="4">
        <f>IF(Table43[[#This Row],[SATUAN Fix Win]]&lt;&gt;"",1)</f>
        <v>1</v>
      </c>
    </row>
    <row r="450" spans="1:63">
      <c r="A450" s="4" t="str">
        <f>CONCATENATE(Table43[[#This Row],[Kode BARANG Win2]],Table43[[#This Row],[No. Urut
Item Sama]])</f>
        <v>K13300020100101</v>
      </c>
      <c r="B450" s="7">
        <v>1</v>
      </c>
      <c r="D450" s="28" t="s">
        <v>911</v>
      </c>
      <c r="E450" s="28"/>
      <c r="F450" s="28" t="s">
        <v>3223</v>
      </c>
      <c r="G450" s="78">
        <v>36</v>
      </c>
      <c r="H450" s="43"/>
      <c r="I450" s="28" t="str">
        <f>Table43[[#This Row],[Nama Jenis Kemasan]]</f>
        <v>BTL</v>
      </c>
      <c r="J450" s="4" t="str">
        <f>TRIM(CONCATENATE(Table43[[#This Row],[Nama            KLP]]," ",Table43[[#This Row],[Nama            Sub KLP]]))</f>
        <v>OVALE FACIAL</v>
      </c>
      <c r="K450" s="4" t="str">
        <f>CONCATENATE(Table43[[#This Row],[kode  2 Digit                (hrf+No)]],Table43[[#This Row],[kode  2 Digit                (Nomor)]],Table43[[#This Row],[kode  1 Digit                (Nomor)]])</f>
        <v>K1330</v>
      </c>
      <c r="L450" s="4" t="str">
        <f t="shared" si="21"/>
        <v>K1330002010010</v>
      </c>
      <c r="M450" s="11">
        <f t="shared" si="22"/>
        <v>14</v>
      </c>
      <c r="N450" s="14" t="str">
        <f>IF(AF450&lt;&gt;"",TRIM(UPPER(CONCATENATE(P450," ",R450," ",T450," ",V450," ",X450," ",Z450," ","X"," ",Table43[[#This Row],[ISI/CTN]]," ",AF450," ",AB450," ",AD450," ",AH450))),TRIM(UPPER(CONCATENATE(P450," ",R450," ",T450," ",V450," ",X450," ",Z450," ","X"," ",Table43[[#This Row],[ISI/CTN]]," ",AB450," ",AD450," ",AH450))))</f>
        <v>KNF OVALE FACIAL LOTION EXTRA MILD 100ML X 36 BTL</v>
      </c>
      <c r="O450" s="11">
        <f t="shared" si="23"/>
        <v>49</v>
      </c>
      <c r="P450" s="4" t="s">
        <v>97</v>
      </c>
      <c r="Q450" s="7" t="s">
        <v>98</v>
      </c>
      <c r="R450" s="4" t="s">
        <v>3896</v>
      </c>
      <c r="S450" s="44" t="s">
        <v>3897</v>
      </c>
      <c r="T450" s="45" t="s">
        <v>2961</v>
      </c>
      <c r="U450" s="7" t="s">
        <v>2900</v>
      </c>
      <c r="V450" s="45" t="s">
        <v>2961</v>
      </c>
      <c r="W450" s="44" t="s">
        <v>2900</v>
      </c>
      <c r="X450" s="4" t="s">
        <v>3899</v>
      </c>
      <c r="Y450" s="46" t="s">
        <v>2472</v>
      </c>
      <c r="Z450" s="4" t="s">
        <v>3588</v>
      </c>
      <c r="AA450" s="46" t="s">
        <v>2487</v>
      </c>
      <c r="AB450" s="4" t="s">
        <v>357</v>
      </c>
      <c r="AC450" s="7" t="s">
        <v>2656</v>
      </c>
      <c r="AD450" s="4" t="s">
        <v>2961</v>
      </c>
      <c r="AE450" s="7" t="s">
        <v>2900</v>
      </c>
      <c r="AF450" s="7" t="s">
        <v>2961</v>
      </c>
      <c r="AG450" s="7" t="s">
        <v>2961</v>
      </c>
      <c r="AI450" s="7" t="s">
        <v>4100</v>
      </c>
      <c r="AJ450" s="7" t="s">
        <v>2656</v>
      </c>
      <c r="AK450" s="41">
        <f>Table43[[#This Row],[Harga Jual Pcs GT
(-PPN)]]-(Table43[[#This Row],[Harga Jual Pcs GT
(-PPN)]]*10%)</f>
        <v>0</v>
      </c>
      <c r="AL450" s="42">
        <f>Table43[[#This Row],[Harga Beli Pcs
(-PPN)]]*Table43[[#This Row],[ISI/CTN]]</f>
        <v>0</v>
      </c>
      <c r="AM450" s="42">
        <f>Table43[[#This Row],[Harga Beli Pcs
(-PPN)]]*1.11</f>
        <v>0</v>
      </c>
      <c r="AN450" s="42">
        <f>Table43[[#This Row],[Harga Beli Krt
(- PPN)]]*1.11</f>
        <v>0</v>
      </c>
      <c r="AO450" s="42"/>
      <c r="AP450" s="42">
        <f>Table43[[#This Row],[Harga Jual Pcs GT
(-PPN)]]*Table43[[#This Row],[ISI/CTN]]</f>
        <v>0</v>
      </c>
      <c r="AQ450" s="42">
        <f>Table43[[#This Row],[Harga Jual Pcs GT
(-PPN)]]*1.11</f>
        <v>0</v>
      </c>
      <c r="AR450" s="42">
        <f>Table43[[#This Row],[Harga Jual Krt GT
(- PPN)]]*1.11</f>
        <v>0</v>
      </c>
      <c r="AS450" s="42">
        <f>Table43[[#This Row],[Harga Jual Pcs GT
(-PPN)]]</f>
        <v>0</v>
      </c>
      <c r="AT450" s="42">
        <f>(Table43[[#This Row],[Harga Jual Pcs MT
(-PPN)]]*Table43[[#This Row],[ISI/CTN]])</f>
        <v>0</v>
      </c>
      <c r="AU450" s="42">
        <f>Table43[[#This Row],[Harga Jual Pcs MT
(-PPN)]]*1.11</f>
        <v>0</v>
      </c>
      <c r="AV450" s="42">
        <f>Table43[[#This Row],[Harga Jual Pcs MT
(+PPN)]]*Table43[[#This Row],[ISI/CTN]]</f>
        <v>0</v>
      </c>
      <c r="AW450" s="47"/>
      <c r="AX450" s="7"/>
      <c r="AY450" s="7" t="str">
        <f ca="1">IF(TODAY()-Table43[[#This Row],[Efektif
Pembuatan]]&gt;60,"Lama","Baru")</f>
        <v>Lama</v>
      </c>
      <c r="AZ450" s="7" t="str">
        <f ca="1">IF(TODAY()-Table43[[#This Row],[Efektif Naik Harga]]&lt;30,"Naik","Sama")</f>
        <v>Sama</v>
      </c>
      <c r="BA450" s="7" t="str">
        <f>IF(Table43[[#This Row],[Kode BARANG Win2]]&lt;&gt;"","IDR","")</f>
        <v>IDR</v>
      </c>
      <c r="BB450" s="7" t="str">
        <f>CONCATENATE(Table43[[#This Row],[kode  1 Digit
(Nomor)]],Table43[[#This Row],[kode  4 Digit                (Nomor)]])</f>
        <v>10100</v>
      </c>
      <c r="BC450" s="7" t="str">
        <f>Table43[[#This Row],[Nama            Gramasi atau Jumlah Pack per CTN]]</f>
        <v>100ML</v>
      </c>
      <c r="BD450" s="7"/>
      <c r="BE450" s="7"/>
      <c r="BF450" s="4" t="str">
        <f>IF(Table43[[#This Row],[SATUAN Fix Win]]&lt;&gt;"","KRT")</f>
        <v>KRT</v>
      </c>
      <c r="BG450" s="4" t="str">
        <f>IF(Table43[[#This Row],[SATUAN Fix Win]]&lt;&gt;"","GD01")</f>
        <v>GD01</v>
      </c>
      <c r="BH450" s="4">
        <f>IF(Table43[[#This Row],[SATUAN Fix Win]]&lt;&gt;"",11611)</f>
        <v>11611</v>
      </c>
      <c r="BI450" s="4">
        <f>IF(Table43[[#This Row],[SATUAN Fix Win]]&lt;&gt;"",11612)</f>
        <v>11612</v>
      </c>
      <c r="BJ450" s="48"/>
      <c r="BK450" s="4">
        <f>IF(Table43[[#This Row],[SATUAN Fix Win]]&lt;&gt;"",1)</f>
        <v>1</v>
      </c>
    </row>
    <row r="451" spans="1:63">
      <c r="A451" s="4" t="str">
        <f>CONCATENATE(Table43[[#This Row],[Kode BARANG Win2]],Table43[[#This Row],[No. Urut
Item Sama]])</f>
        <v>K13300020200101</v>
      </c>
      <c r="B451" s="7">
        <v>1</v>
      </c>
      <c r="D451" s="28" t="s">
        <v>913</v>
      </c>
      <c r="E451" s="28"/>
      <c r="F451" s="28" t="s">
        <v>3224</v>
      </c>
      <c r="G451" s="78">
        <v>36</v>
      </c>
      <c r="H451" s="43"/>
      <c r="I451" s="28" t="str">
        <f>Table43[[#This Row],[Nama Jenis Kemasan]]</f>
        <v>BTL</v>
      </c>
      <c r="J451" s="4" t="str">
        <f>TRIM(CONCATENATE(Table43[[#This Row],[Nama            KLP]]," ",Table43[[#This Row],[Nama            Sub KLP]]))</f>
        <v>OVALE FACIAL</v>
      </c>
      <c r="K451" s="4" t="str">
        <f>CONCATENATE(Table43[[#This Row],[kode  2 Digit                (hrf+No)]],Table43[[#This Row],[kode  2 Digit                (Nomor)]],Table43[[#This Row],[kode  1 Digit                (Nomor)]])</f>
        <v>K1330</v>
      </c>
      <c r="L451" s="4" t="str">
        <f t="shared" si="21"/>
        <v>K1330002020010</v>
      </c>
      <c r="M451" s="11">
        <f t="shared" si="22"/>
        <v>14</v>
      </c>
      <c r="N451" s="14" t="str">
        <f>IF(AF451&lt;&gt;"",TRIM(UPPER(CONCATENATE(P451," ",R451," ",T451," ",V451," ",X451," ",Z451," ","X"," ",Table43[[#This Row],[ISI/CTN]]," ",AF451," ",AB451," ",AD451," ",AH451))),TRIM(UPPER(CONCATENATE(P451," ",R451," ",T451," ",V451," ",X451," ",Z451," ","X"," ",Table43[[#This Row],[ISI/CTN]]," ",AB451," ",AD451," ",AH451))))</f>
        <v>KNF OVALE FACIAL LOTION EXTRA MILD 200ML X 36 BTL</v>
      </c>
      <c r="O451" s="11">
        <f t="shared" si="23"/>
        <v>49</v>
      </c>
      <c r="P451" s="4" t="s">
        <v>97</v>
      </c>
      <c r="Q451" s="7" t="s">
        <v>98</v>
      </c>
      <c r="R451" s="4" t="s">
        <v>3896</v>
      </c>
      <c r="S451" s="44" t="s">
        <v>3897</v>
      </c>
      <c r="T451" s="45" t="s">
        <v>2961</v>
      </c>
      <c r="U451" s="7" t="s">
        <v>2900</v>
      </c>
      <c r="V451" s="45" t="s">
        <v>2961</v>
      </c>
      <c r="W451" s="44" t="s">
        <v>2900</v>
      </c>
      <c r="X451" s="4" t="s">
        <v>3899</v>
      </c>
      <c r="Y451" s="46" t="s">
        <v>2472</v>
      </c>
      <c r="Z451" s="4" t="s">
        <v>3582</v>
      </c>
      <c r="AA451" s="46" t="s">
        <v>2486</v>
      </c>
      <c r="AB451" s="4" t="s">
        <v>357</v>
      </c>
      <c r="AC451" s="7" t="s">
        <v>2656</v>
      </c>
      <c r="AD451" s="4" t="s">
        <v>2961</v>
      </c>
      <c r="AE451" s="7" t="s">
        <v>2900</v>
      </c>
      <c r="AF451" s="7" t="s">
        <v>2961</v>
      </c>
      <c r="AG451" s="7" t="s">
        <v>2961</v>
      </c>
      <c r="AI451" s="7" t="s">
        <v>4100</v>
      </c>
      <c r="AJ451" s="7" t="s">
        <v>2656</v>
      </c>
      <c r="AK451" s="41">
        <f>Table43[[#This Row],[Harga Jual Pcs GT
(-PPN)]]-(Table43[[#This Row],[Harga Jual Pcs GT
(-PPN)]]*10%)</f>
        <v>0</v>
      </c>
      <c r="AL451" s="42">
        <f>Table43[[#This Row],[Harga Beli Pcs
(-PPN)]]*Table43[[#This Row],[ISI/CTN]]</f>
        <v>0</v>
      </c>
      <c r="AM451" s="42">
        <f>Table43[[#This Row],[Harga Beli Pcs
(-PPN)]]*1.11</f>
        <v>0</v>
      </c>
      <c r="AN451" s="42">
        <f>Table43[[#This Row],[Harga Beli Krt
(- PPN)]]*1.11</f>
        <v>0</v>
      </c>
      <c r="AO451" s="42"/>
      <c r="AP451" s="42">
        <f>Table43[[#This Row],[Harga Jual Pcs GT
(-PPN)]]*Table43[[#This Row],[ISI/CTN]]</f>
        <v>0</v>
      </c>
      <c r="AQ451" s="42">
        <f>Table43[[#This Row],[Harga Jual Pcs GT
(-PPN)]]*1.11</f>
        <v>0</v>
      </c>
      <c r="AR451" s="42">
        <f>Table43[[#This Row],[Harga Jual Krt GT
(- PPN)]]*1.11</f>
        <v>0</v>
      </c>
      <c r="AS451" s="42">
        <f>Table43[[#This Row],[Harga Jual Pcs GT
(-PPN)]]</f>
        <v>0</v>
      </c>
      <c r="AT451" s="42">
        <f>(Table43[[#This Row],[Harga Jual Pcs MT
(-PPN)]]*Table43[[#This Row],[ISI/CTN]])</f>
        <v>0</v>
      </c>
      <c r="AU451" s="42">
        <f>Table43[[#This Row],[Harga Jual Pcs MT
(-PPN)]]*1.11</f>
        <v>0</v>
      </c>
      <c r="AV451" s="42">
        <f>Table43[[#This Row],[Harga Jual Pcs MT
(+PPN)]]*Table43[[#This Row],[ISI/CTN]]</f>
        <v>0</v>
      </c>
      <c r="AW451" s="47"/>
      <c r="AX451" s="7"/>
      <c r="AY451" s="7" t="str">
        <f ca="1">IF(TODAY()-Table43[[#This Row],[Efektif
Pembuatan]]&gt;60,"Lama","Baru")</f>
        <v>Lama</v>
      </c>
      <c r="AZ451" s="7" t="str">
        <f ca="1">IF(TODAY()-Table43[[#This Row],[Efektif Naik Harga]]&lt;30,"Naik","Sama")</f>
        <v>Sama</v>
      </c>
      <c r="BA451" s="7" t="str">
        <f>IF(Table43[[#This Row],[Kode BARANG Win2]]&lt;&gt;"","IDR","")</f>
        <v>IDR</v>
      </c>
      <c r="BB451" s="7" t="str">
        <f>CONCATENATE(Table43[[#This Row],[kode  1 Digit
(Nomor)]],Table43[[#This Row],[kode  4 Digit                (Nomor)]])</f>
        <v>10200</v>
      </c>
      <c r="BC451" s="7" t="str">
        <f>Table43[[#This Row],[Nama            Gramasi atau Jumlah Pack per CTN]]</f>
        <v>200ML</v>
      </c>
      <c r="BD451" s="7"/>
      <c r="BE451" s="7"/>
      <c r="BF451" s="4" t="str">
        <f>IF(Table43[[#This Row],[SATUAN Fix Win]]&lt;&gt;"","KRT")</f>
        <v>KRT</v>
      </c>
      <c r="BG451" s="4" t="str">
        <f>IF(Table43[[#This Row],[SATUAN Fix Win]]&lt;&gt;"","GD01")</f>
        <v>GD01</v>
      </c>
      <c r="BH451" s="4">
        <f>IF(Table43[[#This Row],[SATUAN Fix Win]]&lt;&gt;"",11611)</f>
        <v>11611</v>
      </c>
      <c r="BI451" s="4">
        <f>IF(Table43[[#This Row],[SATUAN Fix Win]]&lt;&gt;"",11612)</f>
        <v>11612</v>
      </c>
      <c r="BJ451" s="48"/>
      <c r="BK451" s="4">
        <f>IF(Table43[[#This Row],[SATUAN Fix Win]]&lt;&gt;"",1)</f>
        <v>1</v>
      </c>
    </row>
    <row r="452" spans="1:63">
      <c r="A452" s="4" t="str">
        <f>CONCATENATE(Table43[[#This Row],[Kode BARANG Win2]],Table43[[#This Row],[No. Urut
Item Sama]])</f>
        <v>K13300030060101</v>
      </c>
      <c r="B452" s="7">
        <v>1</v>
      </c>
      <c r="D452" s="28" t="s">
        <v>890</v>
      </c>
      <c r="E452" s="28"/>
      <c r="F452" s="28" t="s">
        <v>3225</v>
      </c>
      <c r="G452" s="78">
        <v>36</v>
      </c>
      <c r="H452" s="43"/>
      <c r="I452" s="28" t="str">
        <f>Table43[[#This Row],[Nama Jenis Kemasan]]</f>
        <v>BTL</v>
      </c>
      <c r="J452" s="4" t="str">
        <f>TRIM(CONCATENATE(Table43[[#This Row],[Nama            KLP]]," ",Table43[[#This Row],[Nama            Sub KLP]]))</f>
        <v>OVALE FACIAL</v>
      </c>
      <c r="K452" s="4" t="str">
        <f>CONCATENATE(Table43[[#This Row],[kode  2 Digit                (hrf+No)]],Table43[[#This Row],[kode  2 Digit                (Nomor)]],Table43[[#This Row],[kode  1 Digit                (Nomor)]])</f>
        <v>K1330</v>
      </c>
      <c r="L452" s="4" t="str">
        <f t="shared" si="21"/>
        <v>K1330003006010</v>
      </c>
      <c r="M452" s="11">
        <f t="shared" si="22"/>
        <v>14</v>
      </c>
      <c r="N452" s="14" t="str">
        <f>IF(AF452&lt;&gt;"",TRIM(UPPER(CONCATENATE(P452," ",R452," ",T452," ",V452," ",X452," ",Z452," ","X"," ",Table43[[#This Row],[ISI/CTN]]," ",AF452," ",AB452," ",AD452," ",AH452))),TRIM(UPPER(CONCATENATE(P452," ",R452," ",T452," ",V452," ",X452," ",Z452," ","X"," ",Table43[[#This Row],[ISI/CTN]]," ",AB452," ",AD452," ",AH452))))</f>
        <v>KNF OVALE FACIAL LOTION LEMON 60ML X 36 BTL</v>
      </c>
      <c r="O452" s="11">
        <f t="shared" si="23"/>
        <v>43</v>
      </c>
      <c r="P452" s="4" t="s">
        <v>97</v>
      </c>
      <c r="Q452" s="7" t="s">
        <v>98</v>
      </c>
      <c r="R452" s="4" t="s">
        <v>3896</v>
      </c>
      <c r="S452" s="44" t="s">
        <v>3897</v>
      </c>
      <c r="T452" s="45" t="s">
        <v>2961</v>
      </c>
      <c r="U452" s="7" t="s">
        <v>2900</v>
      </c>
      <c r="V452" s="45" t="s">
        <v>2961</v>
      </c>
      <c r="W452" s="44" t="s">
        <v>2900</v>
      </c>
      <c r="X452" s="4" t="s">
        <v>3900</v>
      </c>
      <c r="Y452" s="46" t="s">
        <v>2473</v>
      </c>
      <c r="Z452" s="4" t="s">
        <v>1026</v>
      </c>
      <c r="AA452" s="46" t="s">
        <v>2481</v>
      </c>
      <c r="AB452" s="4" t="s">
        <v>357</v>
      </c>
      <c r="AC452" s="7" t="s">
        <v>2656</v>
      </c>
      <c r="AD452" s="4" t="s">
        <v>2961</v>
      </c>
      <c r="AE452" s="7" t="s">
        <v>2900</v>
      </c>
      <c r="AF452" s="7" t="s">
        <v>2961</v>
      </c>
      <c r="AG452" s="7" t="s">
        <v>2961</v>
      </c>
      <c r="AI452" s="7" t="s">
        <v>4100</v>
      </c>
      <c r="AJ452" s="7" t="s">
        <v>2656</v>
      </c>
      <c r="AK452" s="41">
        <f>Table43[[#This Row],[Harga Jual Pcs GT
(-PPN)]]-(Table43[[#This Row],[Harga Jual Pcs GT
(-PPN)]]*10%)</f>
        <v>0</v>
      </c>
      <c r="AL452" s="42">
        <f>Table43[[#This Row],[Harga Beli Pcs
(-PPN)]]*Table43[[#This Row],[ISI/CTN]]</f>
        <v>0</v>
      </c>
      <c r="AM452" s="42">
        <f>Table43[[#This Row],[Harga Beli Pcs
(-PPN)]]*1.11</f>
        <v>0</v>
      </c>
      <c r="AN452" s="42">
        <f>Table43[[#This Row],[Harga Beli Krt
(- PPN)]]*1.11</f>
        <v>0</v>
      </c>
      <c r="AO452" s="42"/>
      <c r="AP452" s="42">
        <f>Table43[[#This Row],[Harga Jual Pcs GT
(-PPN)]]*Table43[[#This Row],[ISI/CTN]]</f>
        <v>0</v>
      </c>
      <c r="AQ452" s="42">
        <f>Table43[[#This Row],[Harga Jual Pcs GT
(-PPN)]]*1.11</f>
        <v>0</v>
      </c>
      <c r="AR452" s="42">
        <f>Table43[[#This Row],[Harga Jual Krt GT
(- PPN)]]*1.11</f>
        <v>0</v>
      </c>
      <c r="AS452" s="42">
        <f>Table43[[#This Row],[Harga Jual Pcs GT
(-PPN)]]</f>
        <v>0</v>
      </c>
      <c r="AT452" s="42">
        <f>(Table43[[#This Row],[Harga Jual Pcs MT
(-PPN)]]*Table43[[#This Row],[ISI/CTN]])</f>
        <v>0</v>
      </c>
      <c r="AU452" s="42">
        <f>Table43[[#This Row],[Harga Jual Pcs MT
(-PPN)]]*1.11</f>
        <v>0</v>
      </c>
      <c r="AV452" s="42">
        <f>Table43[[#This Row],[Harga Jual Pcs MT
(+PPN)]]*Table43[[#This Row],[ISI/CTN]]</f>
        <v>0</v>
      </c>
      <c r="AW452" s="47"/>
      <c r="AX452" s="7"/>
      <c r="AY452" s="7" t="str">
        <f ca="1">IF(TODAY()-Table43[[#This Row],[Efektif
Pembuatan]]&gt;60,"Lama","Baru")</f>
        <v>Lama</v>
      </c>
      <c r="AZ452" s="7" t="str">
        <f ca="1">IF(TODAY()-Table43[[#This Row],[Efektif Naik Harga]]&lt;30,"Naik","Sama")</f>
        <v>Sama</v>
      </c>
      <c r="BA452" s="7" t="str">
        <f>IF(Table43[[#This Row],[Kode BARANG Win2]]&lt;&gt;"","IDR","")</f>
        <v>IDR</v>
      </c>
      <c r="BB452" s="7" t="str">
        <f>CONCATENATE(Table43[[#This Row],[kode  1 Digit
(Nomor)]],Table43[[#This Row],[kode  4 Digit                (Nomor)]])</f>
        <v>10060</v>
      </c>
      <c r="BC452" s="7" t="str">
        <f>Table43[[#This Row],[Nama            Gramasi atau Jumlah Pack per CTN]]</f>
        <v>60ML</v>
      </c>
      <c r="BD452" s="7"/>
      <c r="BE452" s="7"/>
      <c r="BF452" s="4" t="str">
        <f>IF(Table43[[#This Row],[SATUAN Fix Win]]&lt;&gt;"","KRT")</f>
        <v>KRT</v>
      </c>
      <c r="BG452" s="4" t="str">
        <f>IF(Table43[[#This Row],[SATUAN Fix Win]]&lt;&gt;"","GD01")</f>
        <v>GD01</v>
      </c>
      <c r="BH452" s="4">
        <f>IF(Table43[[#This Row],[SATUAN Fix Win]]&lt;&gt;"",11611)</f>
        <v>11611</v>
      </c>
      <c r="BI452" s="4">
        <f>IF(Table43[[#This Row],[SATUAN Fix Win]]&lt;&gt;"",11612)</f>
        <v>11612</v>
      </c>
      <c r="BJ452" s="48"/>
      <c r="BK452" s="4">
        <f>IF(Table43[[#This Row],[SATUAN Fix Win]]&lt;&gt;"",1)</f>
        <v>1</v>
      </c>
    </row>
    <row r="453" spans="1:63">
      <c r="A453" s="4" t="str">
        <f>CONCATENATE(Table43[[#This Row],[Kode BARANG Win2]],Table43[[#This Row],[No. Urut
Item Sama]])</f>
        <v>K13300030060101</v>
      </c>
      <c r="B453" s="7">
        <v>1</v>
      </c>
      <c r="D453" s="28" t="s">
        <v>4076</v>
      </c>
      <c r="E453" s="28"/>
      <c r="F453" s="28">
        <v>0</v>
      </c>
      <c r="G453" s="78">
        <v>36</v>
      </c>
      <c r="H453" s="43"/>
      <c r="I453" s="28" t="str">
        <f>Table43[[#This Row],[Nama Jenis Kemasan]]</f>
        <v>BTL</v>
      </c>
      <c r="J453" s="4" t="str">
        <f>TRIM(CONCATENATE(Table43[[#This Row],[Nama            KLP]]," ",Table43[[#This Row],[Nama            Sub KLP]]))</f>
        <v>OVALE FACIAL</v>
      </c>
      <c r="K453" s="4" t="str">
        <f>CONCATENATE(Table43[[#This Row],[kode  2 Digit                (hrf+No)]],Table43[[#This Row],[kode  2 Digit                (Nomor)]],Table43[[#This Row],[kode  1 Digit                (Nomor)]])</f>
        <v>K1330</v>
      </c>
      <c r="L453" s="4" t="str">
        <f t="shared" si="21"/>
        <v>K1330003006010</v>
      </c>
      <c r="M453" s="11">
        <f t="shared" si="22"/>
        <v>14</v>
      </c>
      <c r="N453" s="14" t="str">
        <f>IF(AF453&lt;&gt;"",TRIM(UPPER(CONCATENATE(P453," ",R453," ",T453," ",V453," ",X453," ",Z453," ","X"," ",Table43[[#This Row],[ISI/CTN]]," ",AF453," ",AB453," ",AD453," ",AH453))),TRIM(UPPER(CONCATENATE(P453," ",R453," ",T453," ",V453," ",X453," ",Z453," ","X"," ",Table43[[#This Row],[ISI/CTN]]," ",AB453," ",AD453," ",AH453))))</f>
        <v>KNF OVALE FACIAL LOTION LEMON 60ML X 36 BTL</v>
      </c>
      <c r="O453" s="11">
        <f t="shared" si="23"/>
        <v>43</v>
      </c>
      <c r="P453" s="4" t="s">
        <v>97</v>
      </c>
      <c r="Q453" s="7" t="s">
        <v>98</v>
      </c>
      <c r="R453" s="4" t="s">
        <v>3896</v>
      </c>
      <c r="S453" s="44" t="s">
        <v>3897</v>
      </c>
      <c r="T453" s="45" t="s">
        <v>2961</v>
      </c>
      <c r="U453" s="7" t="s">
        <v>2900</v>
      </c>
      <c r="V453" s="45" t="s">
        <v>2961</v>
      </c>
      <c r="W453" s="44" t="s">
        <v>2900</v>
      </c>
      <c r="X453" s="4" t="s">
        <v>3900</v>
      </c>
      <c r="Y453" s="46" t="s">
        <v>2473</v>
      </c>
      <c r="Z453" s="4" t="s">
        <v>1026</v>
      </c>
      <c r="AA453" s="46" t="s">
        <v>2481</v>
      </c>
      <c r="AB453" s="4" t="s">
        <v>357</v>
      </c>
      <c r="AC453" s="7" t="s">
        <v>2656</v>
      </c>
      <c r="AD453" s="4" t="s">
        <v>2961</v>
      </c>
      <c r="AE453" s="7" t="s">
        <v>2900</v>
      </c>
      <c r="AF453" s="7" t="s">
        <v>2961</v>
      </c>
      <c r="AG453" s="7" t="s">
        <v>2961</v>
      </c>
      <c r="AI453" s="7" t="s">
        <v>4100</v>
      </c>
      <c r="AJ453" s="7" t="s">
        <v>2656</v>
      </c>
      <c r="AK453" s="41">
        <f>Table43[[#This Row],[Harga Jual Pcs GT
(-PPN)]]-(Table43[[#This Row],[Harga Jual Pcs GT
(-PPN)]]*10%)</f>
        <v>0</v>
      </c>
      <c r="AL453" s="42">
        <f>Table43[[#This Row],[Harga Beli Pcs
(-PPN)]]*Table43[[#This Row],[ISI/CTN]]</f>
        <v>0</v>
      </c>
      <c r="AM453" s="42">
        <f>Table43[[#This Row],[Harga Beli Pcs
(-PPN)]]*1.11</f>
        <v>0</v>
      </c>
      <c r="AN453" s="42">
        <f>Table43[[#This Row],[Harga Beli Krt
(- PPN)]]*1.11</f>
        <v>0</v>
      </c>
      <c r="AO453" s="42"/>
      <c r="AP453" s="42">
        <f>Table43[[#This Row],[Harga Jual Pcs GT
(-PPN)]]*Table43[[#This Row],[ISI/CTN]]</f>
        <v>0</v>
      </c>
      <c r="AQ453" s="42">
        <f>Table43[[#This Row],[Harga Jual Pcs GT
(-PPN)]]*1.11</f>
        <v>0</v>
      </c>
      <c r="AR453" s="42">
        <f>Table43[[#This Row],[Harga Jual Krt GT
(- PPN)]]*1.11</f>
        <v>0</v>
      </c>
      <c r="AS453" s="42">
        <f>Table43[[#This Row],[Harga Jual Pcs GT
(-PPN)]]</f>
        <v>0</v>
      </c>
      <c r="AT453" s="42">
        <f>(Table43[[#This Row],[Harga Jual Pcs MT
(-PPN)]]*Table43[[#This Row],[ISI/CTN]])</f>
        <v>0</v>
      </c>
      <c r="AU453" s="42">
        <f>Table43[[#This Row],[Harga Jual Pcs MT
(-PPN)]]*1.11</f>
        <v>0</v>
      </c>
      <c r="AV453" s="42">
        <f>Table43[[#This Row],[Harga Jual Pcs MT
(+PPN)]]*Table43[[#This Row],[ISI/CTN]]</f>
        <v>0</v>
      </c>
      <c r="AW453" s="47"/>
      <c r="AX453" s="7"/>
      <c r="AY453" s="7" t="str">
        <f ca="1">IF(TODAY()-Table43[[#This Row],[Efektif
Pembuatan]]&gt;60,"Lama","Baru")</f>
        <v>Lama</v>
      </c>
      <c r="AZ453" s="7" t="str">
        <f ca="1">IF(TODAY()-Table43[[#This Row],[Efektif Naik Harga]]&lt;30,"Naik","Sama")</f>
        <v>Sama</v>
      </c>
      <c r="BA453" s="7" t="str">
        <f>IF(Table43[[#This Row],[Kode BARANG Win2]]&lt;&gt;"","IDR","")</f>
        <v>IDR</v>
      </c>
      <c r="BB453" s="7" t="str">
        <f>CONCATENATE(Table43[[#This Row],[kode  1 Digit
(Nomor)]],Table43[[#This Row],[kode  4 Digit                (Nomor)]])</f>
        <v>10060</v>
      </c>
      <c r="BC453" s="7" t="str">
        <f>Table43[[#This Row],[Nama            Gramasi atau Jumlah Pack per CTN]]</f>
        <v>60ML</v>
      </c>
      <c r="BD453" s="7"/>
      <c r="BE453" s="7"/>
      <c r="BF453" s="4" t="str">
        <f>IF(Table43[[#This Row],[SATUAN Fix Win]]&lt;&gt;"","KRT")</f>
        <v>KRT</v>
      </c>
      <c r="BG453" s="4" t="str">
        <f>IF(Table43[[#This Row],[SATUAN Fix Win]]&lt;&gt;"","GD01")</f>
        <v>GD01</v>
      </c>
      <c r="BH453" s="4">
        <f>IF(Table43[[#This Row],[SATUAN Fix Win]]&lt;&gt;"",11611)</f>
        <v>11611</v>
      </c>
      <c r="BI453" s="4">
        <f>IF(Table43[[#This Row],[SATUAN Fix Win]]&lt;&gt;"",11612)</f>
        <v>11612</v>
      </c>
      <c r="BJ453" s="48"/>
      <c r="BK453" s="4">
        <f>IF(Table43[[#This Row],[SATUAN Fix Win]]&lt;&gt;"",1)</f>
        <v>1</v>
      </c>
    </row>
    <row r="454" spans="1:63">
      <c r="A454" s="4" t="str">
        <f>CONCATENATE(Table43[[#This Row],[Kode BARANG Win2]],Table43[[#This Row],[No. Urut
Item Sama]])</f>
        <v>K13300030100101</v>
      </c>
      <c r="B454" s="7">
        <v>1</v>
      </c>
      <c r="D454" s="28" t="s">
        <v>893</v>
      </c>
      <c r="E454" s="28"/>
      <c r="F454" s="28" t="s">
        <v>3226</v>
      </c>
      <c r="G454" s="78">
        <v>36</v>
      </c>
      <c r="H454" s="43"/>
      <c r="I454" s="28" t="str">
        <f>Table43[[#This Row],[Nama Jenis Kemasan]]</f>
        <v>BTL</v>
      </c>
      <c r="J454" s="4" t="str">
        <f>TRIM(CONCATENATE(Table43[[#This Row],[Nama            KLP]]," ",Table43[[#This Row],[Nama            Sub KLP]]))</f>
        <v>OVALE FACIAL</v>
      </c>
      <c r="K454" s="4" t="str">
        <f>CONCATENATE(Table43[[#This Row],[kode  2 Digit                (hrf+No)]],Table43[[#This Row],[kode  2 Digit                (Nomor)]],Table43[[#This Row],[kode  1 Digit                (Nomor)]])</f>
        <v>K1330</v>
      </c>
      <c r="L454" s="4" t="str">
        <f t="shared" si="21"/>
        <v>K1330003010010</v>
      </c>
      <c r="M454" s="11">
        <f t="shared" si="22"/>
        <v>14</v>
      </c>
      <c r="N454" s="14" t="str">
        <f>IF(AF454&lt;&gt;"",TRIM(UPPER(CONCATENATE(P454," ",R454," ",T454," ",V454," ",X454," ",Z454," ","X"," ",Table43[[#This Row],[ISI/CTN]]," ",AF454," ",AB454," ",AD454," ",AH454))),TRIM(UPPER(CONCATENATE(P454," ",R454," ",T454," ",V454," ",X454," ",Z454," ","X"," ",Table43[[#This Row],[ISI/CTN]]," ",AB454," ",AD454," ",AH454))))</f>
        <v>KNF OVALE FACIAL LOTION LEMON 100ML X 36 BTL</v>
      </c>
      <c r="O454" s="11">
        <f t="shared" si="23"/>
        <v>44</v>
      </c>
      <c r="P454" s="4" t="s">
        <v>97</v>
      </c>
      <c r="Q454" s="7" t="s">
        <v>98</v>
      </c>
      <c r="R454" s="4" t="s">
        <v>3896</v>
      </c>
      <c r="S454" s="44" t="s">
        <v>3897</v>
      </c>
      <c r="T454" s="45" t="s">
        <v>2961</v>
      </c>
      <c r="U454" s="7" t="s">
        <v>2900</v>
      </c>
      <c r="V454" s="45" t="s">
        <v>2961</v>
      </c>
      <c r="W454" s="44" t="s">
        <v>2900</v>
      </c>
      <c r="X454" s="4" t="s">
        <v>3900</v>
      </c>
      <c r="Y454" s="46" t="s">
        <v>2473</v>
      </c>
      <c r="Z454" s="4" t="s">
        <v>3588</v>
      </c>
      <c r="AA454" s="46" t="s">
        <v>2487</v>
      </c>
      <c r="AB454" s="4" t="s">
        <v>357</v>
      </c>
      <c r="AC454" s="7" t="s">
        <v>2656</v>
      </c>
      <c r="AD454" s="4" t="s">
        <v>2961</v>
      </c>
      <c r="AE454" s="7" t="s">
        <v>2900</v>
      </c>
      <c r="AF454" s="7" t="s">
        <v>2961</v>
      </c>
      <c r="AG454" s="7" t="s">
        <v>2961</v>
      </c>
      <c r="AI454" s="7" t="s">
        <v>4100</v>
      </c>
      <c r="AJ454" s="7" t="s">
        <v>2656</v>
      </c>
      <c r="AK454" s="41">
        <f>Table43[[#This Row],[Harga Jual Pcs GT
(-PPN)]]-(Table43[[#This Row],[Harga Jual Pcs GT
(-PPN)]]*10%)</f>
        <v>0</v>
      </c>
      <c r="AL454" s="42">
        <f>Table43[[#This Row],[Harga Beli Pcs
(-PPN)]]*Table43[[#This Row],[ISI/CTN]]</f>
        <v>0</v>
      </c>
      <c r="AM454" s="42">
        <f>Table43[[#This Row],[Harga Beli Pcs
(-PPN)]]*1.11</f>
        <v>0</v>
      </c>
      <c r="AN454" s="42">
        <f>Table43[[#This Row],[Harga Beli Krt
(- PPN)]]*1.11</f>
        <v>0</v>
      </c>
      <c r="AO454" s="42"/>
      <c r="AP454" s="42">
        <f>Table43[[#This Row],[Harga Jual Pcs GT
(-PPN)]]*Table43[[#This Row],[ISI/CTN]]</f>
        <v>0</v>
      </c>
      <c r="AQ454" s="42">
        <f>Table43[[#This Row],[Harga Jual Pcs GT
(-PPN)]]*1.11</f>
        <v>0</v>
      </c>
      <c r="AR454" s="42">
        <f>Table43[[#This Row],[Harga Jual Krt GT
(- PPN)]]*1.11</f>
        <v>0</v>
      </c>
      <c r="AS454" s="42">
        <f>Table43[[#This Row],[Harga Jual Pcs GT
(-PPN)]]</f>
        <v>0</v>
      </c>
      <c r="AT454" s="42">
        <f>(Table43[[#This Row],[Harga Jual Pcs MT
(-PPN)]]*Table43[[#This Row],[ISI/CTN]])</f>
        <v>0</v>
      </c>
      <c r="AU454" s="42">
        <f>Table43[[#This Row],[Harga Jual Pcs MT
(-PPN)]]*1.11</f>
        <v>0</v>
      </c>
      <c r="AV454" s="42">
        <f>Table43[[#This Row],[Harga Jual Pcs MT
(+PPN)]]*Table43[[#This Row],[ISI/CTN]]</f>
        <v>0</v>
      </c>
      <c r="AW454" s="47"/>
      <c r="AX454" s="7"/>
      <c r="AY454" s="7" t="str">
        <f ca="1">IF(TODAY()-Table43[[#This Row],[Efektif
Pembuatan]]&gt;60,"Lama","Baru")</f>
        <v>Lama</v>
      </c>
      <c r="AZ454" s="7" t="str">
        <f ca="1">IF(TODAY()-Table43[[#This Row],[Efektif Naik Harga]]&lt;30,"Naik","Sama")</f>
        <v>Sama</v>
      </c>
      <c r="BA454" s="7" t="str">
        <f>IF(Table43[[#This Row],[Kode BARANG Win2]]&lt;&gt;"","IDR","")</f>
        <v>IDR</v>
      </c>
      <c r="BB454" s="7" t="str">
        <f>CONCATENATE(Table43[[#This Row],[kode  1 Digit
(Nomor)]],Table43[[#This Row],[kode  4 Digit                (Nomor)]])</f>
        <v>10100</v>
      </c>
      <c r="BC454" s="7" t="str">
        <f>Table43[[#This Row],[Nama            Gramasi atau Jumlah Pack per CTN]]</f>
        <v>100ML</v>
      </c>
      <c r="BD454" s="7"/>
      <c r="BE454" s="7"/>
      <c r="BF454" s="4" t="str">
        <f>IF(Table43[[#This Row],[SATUAN Fix Win]]&lt;&gt;"","KRT")</f>
        <v>KRT</v>
      </c>
      <c r="BG454" s="4" t="str">
        <f>IF(Table43[[#This Row],[SATUAN Fix Win]]&lt;&gt;"","GD01")</f>
        <v>GD01</v>
      </c>
      <c r="BH454" s="4">
        <f>IF(Table43[[#This Row],[SATUAN Fix Win]]&lt;&gt;"",11611)</f>
        <v>11611</v>
      </c>
      <c r="BI454" s="4">
        <f>IF(Table43[[#This Row],[SATUAN Fix Win]]&lt;&gt;"",11612)</f>
        <v>11612</v>
      </c>
      <c r="BJ454" s="48"/>
      <c r="BK454" s="4">
        <f>IF(Table43[[#This Row],[SATUAN Fix Win]]&lt;&gt;"",1)</f>
        <v>1</v>
      </c>
    </row>
    <row r="455" spans="1:63">
      <c r="A455" s="4" t="str">
        <f>CONCATENATE(Table43[[#This Row],[Kode BARANG Win2]],Table43[[#This Row],[No. Urut
Item Sama]])</f>
        <v>K13300030100101</v>
      </c>
      <c r="B455" s="7">
        <v>1</v>
      </c>
      <c r="D455" s="28" t="s">
        <v>4077</v>
      </c>
      <c r="E455" s="28"/>
      <c r="F455" s="28">
        <v>0</v>
      </c>
      <c r="G455" s="78">
        <v>36</v>
      </c>
      <c r="H455" s="43"/>
      <c r="I455" s="28" t="str">
        <f>Table43[[#This Row],[Nama Jenis Kemasan]]</f>
        <v>BTL</v>
      </c>
      <c r="J455" s="4" t="str">
        <f>TRIM(CONCATENATE(Table43[[#This Row],[Nama            KLP]]," ",Table43[[#This Row],[Nama            Sub KLP]]))</f>
        <v>OVALE FACIAL</v>
      </c>
      <c r="K455" s="4" t="str">
        <f>CONCATENATE(Table43[[#This Row],[kode  2 Digit                (hrf+No)]],Table43[[#This Row],[kode  2 Digit                (Nomor)]],Table43[[#This Row],[kode  1 Digit                (Nomor)]])</f>
        <v>K1330</v>
      </c>
      <c r="L455" s="4" t="str">
        <f t="shared" si="21"/>
        <v>K1330003010010</v>
      </c>
      <c r="M455" s="11">
        <f t="shared" si="22"/>
        <v>14</v>
      </c>
      <c r="N455" s="14" t="str">
        <f>IF(AF455&lt;&gt;"",TRIM(UPPER(CONCATENATE(P455," ",R455," ",T455," ",V455," ",X455," ",Z455," ","X"," ",Table43[[#This Row],[ISI/CTN]]," ",AF455," ",AB455," ",AD455," ",AH455))),TRIM(UPPER(CONCATENATE(P455," ",R455," ",T455," ",V455," ",X455," ",Z455," ","X"," ",Table43[[#This Row],[ISI/CTN]]," ",AB455," ",AD455," ",AH455))))</f>
        <v>KNF OVALE FACIAL LOTION LEMON 100ML X 36 BTL</v>
      </c>
      <c r="O455" s="11">
        <f t="shared" si="23"/>
        <v>44</v>
      </c>
      <c r="P455" s="4" t="s">
        <v>97</v>
      </c>
      <c r="Q455" s="7" t="s">
        <v>98</v>
      </c>
      <c r="R455" s="4" t="s">
        <v>3896</v>
      </c>
      <c r="S455" s="44" t="s">
        <v>3897</v>
      </c>
      <c r="T455" s="45" t="s">
        <v>2961</v>
      </c>
      <c r="U455" s="7" t="s">
        <v>2900</v>
      </c>
      <c r="V455" s="45" t="s">
        <v>2961</v>
      </c>
      <c r="W455" s="44" t="s">
        <v>2900</v>
      </c>
      <c r="X455" s="4" t="s">
        <v>3900</v>
      </c>
      <c r="Y455" s="46" t="s">
        <v>2473</v>
      </c>
      <c r="Z455" s="4" t="s">
        <v>3588</v>
      </c>
      <c r="AA455" s="46" t="s">
        <v>2487</v>
      </c>
      <c r="AB455" s="4" t="s">
        <v>357</v>
      </c>
      <c r="AC455" s="7" t="s">
        <v>2656</v>
      </c>
      <c r="AD455" s="4" t="s">
        <v>2961</v>
      </c>
      <c r="AE455" s="7" t="s">
        <v>2900</v>
      </c>
      <c r="AF455" s="7" t="s">
        <v>2961</v>
      </c>
      <c r="AG455" s="7" t="s">
        <v>2961</v>
      </c>
      <c r="AI455" s="7" t="s">
        <v>4100</v>
      </c>
      <c r="AJ455" s="7" t="s">
        <v>2656</v>
      </c>
      <c r="AK455" s="41">
        <f>Table43[[#This Row],[Harga Jual Pcs GT
(-PPN)]]-(Table43[[#This Row],[Harga Jual Pcs GT
(-PPN)]]*10%)</f>
        <v>0</v>
      </c>
      <c r="AL455" s="42">
        <f>Table43[[#This Row],[Harga Beli Pcs
(-PPN)]]*Table43[[#This Row],[ISI/CTN]]</f>
        <v>0</v>
      </c>
      <c r="AM455" s="42">
        <f>Table43[[#This Row],[Harga Beli Pcs
(-PPN)]]*1.11</f>
        <v>0</v>
      </c>
      <c r="AN455" s="42">
        <f>Table43[[#This Row],[Harga Beli Krt
(- PPN)]]*1.11</f>
        <v>0</v>
      </c>
      <c r="AO455" s="42"/>
      <c r="AP455" s="42">
        <f>Table43[[#This Row],[Harga Jual Pcs GT
(-PPN)]]*Table43[[#This Row],[ISI/CTN]]</f>
        <v>0</v>
      </c>
      <c r="AQ455" s="42">
        <f>Table43[[#This Row],[Harga Jual Pcs GT
(-PPN)]]*1.11</f>
        <v>0</v>
      </c>
      <c r="AR455" s="42">
        <f>Table43[[#This Row],[Harga Jual Krt GT
(- PPN)]]*1.11</f>
        <v>0</v>
      </c>
      <c r="AS455" s="42">
        <f>Table43[[#This Row],[Harga Jual Pcs GT
(-PPN)]]</f>
        <v>0</v>
      </c>
      <c r="AT455" s="42">
        <f>(Table43[[#This Row],[Harga Jual Pcs MT
(-PPN)]]*Table43[[#This Row],[ISI/CTN]])</f>
        <v>0</v>
      </c>
      <c r="AU455" s="42">
        <f>Table43[[#This Row],[Harga Jual Pcs MT
(-PPN)]]*1.11</f>
        <v>0</v>
      </c>
      <c r="AV455" s="42">
        <f>Table43[[#This Row],[Harga Jual Pcs MT
(+PPN)]]*Table43[[#This Row],[ISI/CTN]]</f>
        <v>0</v>
      </c>
      <c r="AW455" s="47"/>
      <c r="AX455" s="7"/>
      <c r="AY455" s="7" t="str">
        <f ca="1">IF(TODAY()-Table43[[#This Row],[Efektif
Pembuatan]]&gt;60,"Lama","Baru")</f>
        <v>Lama</v>
      </c>
      <c r="AZ455" s="7" t="str">
        <f ca="1">IF(TODAY()-Table43[[#This Row],[Efektif Naik Harga]]&lt;30,"Naik","Sama")</f>
        <v>Sama</v>
      </c>
      <c r="BA455" s="7" t="str">
        <f>IF(Table43[[#This Row],[Kode BARANG Win2]]&lt;&gt;"","IDR","")</f>
        <v>IDR</v>
      </c>
      <c r="BB455" s="7" t="str">
        <f>CONCATENATE(Table43[[#This Row],[kode  1 Digit
(Nomor)]],Table43[[#This Row],[kode  4 Digit                (Nomor)]])</f>
        <v>10100</v>
      </c>
      <c r="BC455" s="7" t="str">
        <f>Table43[[#This Row],[Nama            Gramasi atau Jumlah Pack per CTN]]</f>
        <v>100ML</v>
      </c>
      <c r="BD455" s="7"/>
      <c r="BE455" s="7"/>
      <c r="BF455" s="4" t="str">
        <f>IF(Table43[[#This Row],[SATUAN Fix Win]]&lt;&gt;"","KRT")</f>
        <v>KRT</v>
      </c>
      <c r="BG455" s="4" t="str">
        <f>IF(Table43[[#This Row],[SATUAN Fix Win]]&lt;&gt;"","GD01")</f>
        <v>GD01</v>
      </c>
      <c r="BH455" s="4">
        <f>IF(Table43[[#This Row],[SATUAN Fix Win]]&lt;&gt;"",11611)</f>
        <v>11611</v>
      </c>
      <c r="BI455" s="4">
        <f>IF(Table43[[#This Row],[SATUAN Fix Win]]&lt;&gt;"",11612)</f>
        <v>11612</v>
      </c>
      <c r="BJ455" s="48"/>
      <c r="BK455" s="4">
        <f>IF(Table43[[#This Row],[SATUAN Fix Win]]&lt;&gt;"",1)</f>
        <v>1</v>
      </c>
    </row>
    <row r="456" spans="1:63">
      <c r="A456" s="4" t="str">
        <f>CONCATENATE(Table43[[#This Row],[Kode BARANG Win2]],Table43[[#This Row],[No. Urut
Item Sama]])</f>
        <v>K13300030200101</v>
      </c>
      <c r="B456" s="7">
        <v>1</v>
      </c>
      <c r="D456" s="28" t="s">
        <v>898</v>
      </c>
      <c r="E456" s="28"/>
      <c r="F456" s="28" t="s">
        <v>3227</v>
      </c>
      <c r="G456" s="78">
        <v>36</v>
      </c>
      <c r="H456" s="43"/>
      <c r="I456" s="28" t="str">
        <f>Table43[[#This Row],[Nama Jenis Kemasan]]</f>
        <v>BTL</v>
      </c>
      <c r="J456" s="4" t="str">
        <f>TRIM(CONCATENATE(Table43[[#This Row],[Nama            KLP]]," ",Table43[[#This Row],[Nama            Sub KLP]]))</f>
        <v>OVALE FACIAL</v>
      </c>
      <c r="K456" s="4" t="str">
        <f>CONCATENATE(Table43[[#This Row],[kode  2 Digit                (hrf+No)]],Table43[[#This Row],[kode  2 Digit                (Nomor)]],Table43[[#This Row],[kode  1 Digit                (Nomor)]])</f>
        <v>K1330</v>
      </c>
      <c r="L456" s="4" t="str">
        <f t="shared" si="21"/>
        <v>K1330003020010</v>
      </c>
      <c r="M456" s="11">
        <f t="shared" si="22"/>
        <v>14</v>
      </c>
      <c r="N456" s="14" t="str">
        <f>IF(AF456&lt;&gt;"",TRIM(UPPER(CONCATENATE(P456," ",R456," ",T456," ",V456," ",X456," ",Z456," ","X"," ",Table43[[#This Row],[ISI/CTN]]," ",AF456," ",AB456," ",AD456," ",AH456))),TRIM(UPPER(CONCATENATE(P456," ",R456," ",T456," ",V456," ",X456," ",Z456," ","X"," ",Table43[[#This Row],[ISI/CTN]]," ",AB456," ",AD456," ",AH456))))</f>
        <v>KNF OVALE FACIAL LOTION LEMON 200ML X 36 BTL</v>
      </c>
      <c r="O456" s="11">
        <f t="shared" si="23"/>
        <v>44</v>
      </c>
      <c r="P456" s="4" t="s">
        <v>97</v>
      </c>
      <c r="Q456" s="7" t="s">
        <v>98</v>
      </c>
      <c r="R456" s="4" t="s">
        <v>3896</v>
      </c>
      <c r="S456" s="44" t="s">
        <v>3897</v>
      </c>
      <c r="T456" s="45" t="s">
        <v>2961</v>
      </c>
      <c r="U456" s="7" t="s">
        <v>2900</v>
      </c>
      <c r="V456" s="45" t="s">
        <v>2961</v>
      </c>
      <c r="W456" s="44" t="s">
        <v>2900</v>
      </c>
      <c r="X456" s="4" t="s">
        <v>3900</v>
      </c>
      <c r="Y456" s="46" t="s">
        <v>2473</v>
      </c>
      <c r="Z456" s="4" t="s">
        <v>3582</v>
      </c>
      <c r="AA456" s="46" t="s">
        <v>2486</v>
      </c>
      <c r="AB456" s="4" t="s">
        <v>357</v>
      </c>
      <c r="AC456" s="7" t="s">
        <v>2656</v>
      </c>
      <c r="AD456" s="4" t="s">
        <v>2961</v>
      </c>
      <c r="AE456" s="7" t="s">
        <v>2900</v>
      </c>
      <c r="AF456" s="7" t="s">
        <v>2961</v>
      </c>
      <c r="AG456" s="7" t="s">
        <v>2961</v>
      </c>
      <c r="AI456" s="7" t="s">
        <v>4100</v>
      </c>
      <c r="AJ456" s="7" t="s">
        <v>2656</v>
      </c>
      <c r="AK456" s="41">
        <f>Table43[[#This Row],[Harga Jual Pcs GT
(-PPN)]]-(Table43[[#This Row],[Harga Jual Pcs GT
(-PPN)]]*10%)</f>
        <v>0</v>
      </c>
      <c r="AL456" s="42">
        <f>Table43[[#This Row],[Harga Beli Pcs
(-PPN)]]*Table43[[#This Row],[ISI/CTN]]</f>
        <v>0</v>
      </c>
      <c r="AM456" s="42">
        <f>Table43[[#This Row],[Harga Beli Pcs
(-PPN)]]*1.11</f>
        <v>0</v>
      </c>
      <c r="AN456" s="42">
        <f>Table43[[#This Row],[Harga Beli Krt
(- PPN)]]*1.11</f>
        <v>0</v>
      </c>
      <c r="AO456" s="42"/>
      <c r="AP456" s="42">
        <f>Table43[[#This Row],[Harga Jual Pcs GT
(-PPN)]]*Table43[[#This Row],[ISI/CTN]]</f>
        <v>0</v>
      </c>
      <c r="AQ456" s="42">
        <f>Table43[[#This Row],[Harga Jual Pcs GT
(-PPN)]]*1.11</f>
        <v>0</v>
      </c>
      <c r="AR456" s="42">
        <f>Table43[[#This Row],[Harga Jual Krt GT
(- PPN)]]*1.11</f>
        <v>0</v>
      </c>
      <c r="AS456" s="42">
        <f>Table43[[#This Row],[Harga Jual Pcs GT
(-PPN)]]</f>
        <v>0</v>
      </c>
      <c r="AT456" s="42">
        <f>(Table43[[#This Row],[Harga Jual Pcs MT
(-PPN)]]*Table43[[#This Row],[ISI/CTN]])</f>
        <v>0</v>
      </c>
      <c r="AU456" s="42">
        <f>Table43[[#This Row],[Harga Jual Pcs MT
(-PPN)]]*1.11</f>
        <v>0</v>
      </c>
      <c r="AV456" s="42">
        <f>Table43[[#This Row],[Harga Jual Pcs MT
(+PPN)]]*Table43[[#This Row],[ISI/CTN]]</f>
        <v>0</v>
      </c>
      <c r="AW456" s="47"/>
      <c r="AX456" s="7"/>
      <c r="AY456" s="7" t="str">
        <f ca="1">IF(TODAY()-Table43[[#This Row],[Efektif
Pembuatan]]&gt;60,"Lama","Baru")</f>
        <v>Lama</v>
      </c>
      <c r="AZ456" s="7" t="str">
        <f ca="1">IF(TODAY()-Table43[[#This Row],[Efektif Naik Harga]]&lt;30,"Naik","Sama")</f>
        <v>Sama</v>
      </c>
      <c r="BA456" s="7" t="str">
        <f>IF(Table43[[#This Row],[Kode BARANG Win2]]&lt;&gt;"","IDR","")</f>
        <v>IDR</v>
      </c>
      <c r="BB456" s="7" t="str">
        <f>CONCATENATE(Table43[[#This Row],[kode  1 Digit
(Nomor)]],Table43[[#This Row],[kode  4 Digit                (Nomor)]])</f>
        <v>10200</v>
      </c>
      <c r="BC456" s="7" t="str">
        <f>Table43[[#This Row],[Nama            Gramasi atau Jumlah Pack per CTN]]</f>
        <v>200ML</v>
      </c>
      <c r="BD456" s="7"/>
      <c r="BE456" s="7"/>
      <c r="BF456" s="4" t="str">
        <f>IF(Table43[[#This Row],[SATUAN Fix Win]]&lt;&gt;"","KRT")</f>
        <v>KRT</v>
      </c>
      <c r="BG456" s="4" t="str">
        <f>IF(Table43[[#This Row],[SATUAN Fix Win]]&lt;&gt;"","GD01")</f>
        <v>GD01</v>
      </c>
      <c r="BH456" s="4">
        <f>IF(Table43[[#This Row],[SATUAN Fix Win]]&lt;&gt;"",11611)</f>
        <v>11611</v>
      </c>
      <c r="BI456" s="4">
        <f>IF(Table43[[#This Row],[SATUAN Fix Win]]&lt;&gt;"",11612)</f>
        <v>11612</v>
      </c>
      <c r="BJ456" s="48"/>
      <c r="BK456" s="4">
        <f>IF(Table43[[#This Row],[SATUAN Fix Win]]&lt;&gt;"",1)</f>
        <v>1</v>
      </c>
    </row>
    <row r="457" spans="1:63">
      <c r="A457" s="4" t="str">
        <f>CONCATENATE(Table43[[#This Row],[Kode BARANG Win2]],Table43[[#This Row],[No. Urut
Item Sama]])</f>
        <v>K13300040060101</v>
      </c>
      <c r="B457" s="7">
        <v>1</v>
      </c>
      <c r="D457" s="28" t="s">
        <v>867</v>
      </c>
      <c r="E457" s="28"/>
      <c r="F457" s="28" t="s">
        <v>3228</v>
      </c>
      <c r="G457" s="78">
        <v>36</v>
      </c>
      <c r="H457" s="43"/>
      <c r="I457" s="28" t="str">
        <f>Table43[[#This Row],[Nama Jenis Kemasan]]</f>
        <v>BTL</v>
      </c>
      <c r="J457" s="4" t="str">
        <f>TRIM(CONCATENATE(Table43[[#This Row],[Nama            KLP]]," ",Table43[[#This Row],[Nama            Sub KLP]]))</f>
        <v>OVALE FACIAL</v>
      </c>
      <c r="K457" s="4" t="str">
        <f>CONCATENATE(Table43[[#This Row],[kode  2 Digit                (hrf+No)]],Table43[[#This Row],[kode  2 Digit                (Nomor)]],Table43[[#This Row],[kode  1 Digit                (Nomor)]])</f>
        <v>K1330</v>
      </c>
      <c r="L457" s="4" t="str">
        <f t="shared" si="21"/>
        <v>K1330004006010</v>
      </c>
      <c r="M457" s="11">
        <f t="shared" si="22"/>
        <v>14</v>
      </c>
      <c r="N457" s="14" t="str">
        <f>IF(AF457&lt;&gt;"",TRIM(UPPER(CONCATENATE(P457," ",R457," ",T457," ",V457," ",X457," ",Z457," ","X"," ",Table43[[#This Row],[ISI/CTN]]," ",AF457," ",AB457," ",AD457," ",AH457))),TRIM(UPPER(CONCATENATE(P457," ",R457," ",T457," ",V457," ",X457," ",Z457," ","X"," ",Table43[[#This Row],[ISI/CTN]]," ",AB457," ",AD457," ",AH457))))</f>
        <v>KNF OVALE FACIAL LOTION LUMI YAMBEAN 60ML X 36 BTL</v>
      </c>
      <c r="O457" s="11">
        <f t="shared" si="23"/>
        <v>50</v>
      </c>
      <c r="P457" s="4" t="s">
        <v>97</v>
      </c>
      <c r="Q457" s="7" t="s">
        <v>98</v>
      </c>
      <c r="R457" s="4" t="s">
        <v>3896</v>
      </c>
      <c r="S457" s="44" t="s">
        <v>3897</v>
      </c>
      <c r="T457" s="45" t="s">
        <v>2961</v>
      </c>
      <c r="U457" s="7" t="s">
        <v>2900</v>
      </c>
      <c r="V457" s="45" t="s">
        <v>2961</v>
      </c>
      <c r="W457" s="44" t="s">
        <v>2900</v>
      </c>
      <c r="X457" s="4" t="s">
        <v>3901</v>
      </c>
      <c r="Y457" s="46" t="s">
        <v>2474</v>
      </c>
      <c r="Z457" s="4" t="s">
        <v>1026</v>
      </c>
      <c r="AA457" s="46" t="s">
        <v>2481</v>
      </c>
      <c r="AB457" s="4" t="s">
        <v>357</v>
      </c>
      <c r="AC457" s="7" t="s">
        <v>2656</v>
      </c>
      <c r="AD457" s="4" t="s">
        <v>2961</v>
      </c>
      <c r="AE457" s="7" t="s">
        <v>2900</v>
      </c>
      <c r="AF457" s="7" t="s">
        <v>2961</v>
      </c>
      <c r="AG457" s="7" t="s">
        <v>2961</v>
      </c>
      <c r="AI457" s="7" t="s">
        <v>4100</v>
      </c>
      <c r="AJ457" s="7" t="s">
        <v>2656</v>
      </c>
      <c r="AK457" s="41">
        <f>Table43[[#This Row],[Harga Jual Pcs GT
(-PPN)]]-(Table43[[#This Row],[Harga Jual Pcs GT
(-PPN)]]*10%)</f>
        <v>0</v>
      </c>
      <c r="AL457" s="42">
        <f>Table43[[#This Row],[Harga Beli Pcs
(-PPN)]]*Table43[[#This Row],[ISI/CTN]]</f>
        <v>0</v>
      </c>
      <c r="AM457" s="42">
        <f>Table43[[#This Row],[Harga Beli Pcs
(-PPN)]]*1.11</f>
        <v>0</v>
      </c>
      <c r="AN457" s="42">
        <f>Table43[[#This Row],[Harga Beli Krt
(- PPN)]]*1.11</f>
        <v>0</v>
      </c>
      <c r="AO457" s="42"/>
      <c r="AP457" s="42">
        <f>Table43[[#This Row],[Harga Jual Pcs GT
(-PPN)]]*Table43[[#This Row],[ISI/CTN]]</f>
        <v>0</v>
      </c>
      <c r="AQ457" s="42">
        <f>Table43[[#This Row],[Harga Jual Pcs GT
(-PPN)]]*1.11</f>
        <v>0</v>
      </c>
      <c r="AR457" s="42">
        <f>Table43[[#This Row],[Harga Jual Krt GT
(- PPN)]]*1.11</f>
        <v>0</v>
      </c>
      <c r="AS457" s="42">
        <f>Table43[[#This Row],[Harga Jual Pcs GT
(-PPN)]]</f>
        <v>0</v>
      </c>
      <c r="AT457" s="42">
        <f>(Table43[[#This Row],[Harga Jual Pcs MT
(-PPN)]]*Table43[[#This Row],[ISI/CTN]])</f>
        <v>0</v>
      </c>
      <c r="AU457" s="42">
        <f>Table43[[#This Row],[Harga Jual Pcs MT
(-PPN)]]*1.11</f>
        <v>0</v>
      </c>
      <c r="AV457" s="42">
        <f>Table43[[#This Row],[Harga Jual Pcs MT
(+PPN)]]*Table43[[#This Row],[ISI/CTN]]</f>
        <v>0</v>
      </c>
      <c r="AW457" s="47"/>
      <c r="AX457" s="7"/>
      <c r="AY457" s="7" t="str">
        <f ca="1">IF(TODAY()-Table43[[#This Row],[Efektif
Pembuatan]]&gt;60,"Lama","Baru")</f>
        <v>Lama</v>
      </c>
      <c r="AZ457" s="7" t="str">
        <f ca="1">IF(TODAY()-Table43[[#This Row],[Efektif Naik Harga]]&lt;30,"Naik","Sama")</f>
        <v>Sama</v>
      </c>
      <c r="BA457" s="7" t="str">
        <f>IF(Table43[[#This Row],[Kode BARANG Win2]]&lt;&gt;"","IDR","")</f>
        <v>IDR</v>
      </c>
      <c r="BB457" s="7" t="str">
        <f>CONCATENATE(Table43[[#This Row],[kode  1 Digit
(Nomor)]],Table43[[#This Row],[kode  4 Digit                (Nomor)]])</f>
        <v>10060</v>
      </c>
      <c r="BC457" s="7" t="str">
        <f>Table43[[#This Row],[Nama            Gramasi atau Jumlah Pack per CTN]]</f>
        <v>60ML</v>
      </c>
      <c r="BD457" s="7"/>
      <c r="BE457" s="7"/>
      <c r="BF457" s="4" t="str">
        <f>IF(Table43[[#This Row],[SATUAN Fix Win]]&lt;&gt;"","KRT")</f>
        <v>KRT</v>
      </c>
      <c r="BG457" s="4" t="str">
        <f>IF(Table43[[#This Row],[SATUAN Fix Win]]&lt;&gt;"","GD01")</f>
        <v>GD01</v>
      </c>
      <c r="BH457" s="4">
        <f>IF(Table43[[#This Row],[SATUAN Fix Win]]&lt;&gt;"",11611)</f>
        <v>11611</v>
      </c>
      <c r="BI457" s="4">
        <f>IF(Table43[[#This Row],[SATUAN Fix Win]]&lt;&gt;"",11612)</f>
        <v>11612</v>
      </c>
      <c r="BJ457" s="48"/>
      <c r="BK457" s="4">
        <f>IF(Table43[[#This Row],[SATUAN Fix Win]]&lt;&gt;"",1)</f>
        <v>1</v>
      </c>
    </row>
    <row r="458" spans="1:63">
      <c r="A458" s="4" t="str">
        <f>CONCATENATE(Table43[[#This Row],[Kode BARANG Win2]],Table43[[#This Row],[No. Urut
Item Sama]])</f>
        <v>K13300040060101</v>
      </c>
      <c r="B458" s="7">
        <v>1</v>
      </c>
      <c r="D458" s="28" t="s">
        <v>4078</v>
      </c>
      <c r="E458" s="28"/>
      <c r="F458" s="28">
        <v>0</v>
      </c>
      <c r="G458" s="78">
        <v>36</v>
      </c>
      <c r="H458" s="43"/>
      <c r="I458" s="28" t="str">
        <f>Table43[[#This Row],[Nama Jenis Kemasan]]</f>
        <v>BTL</v>
      </c>
      <c r="J458" s="4" t="str">
        <f>TRIM(CONCATENATE(Table43[[#This Row],[Nama            KLP]]," ",Table43[[#This Row],[Nama            Sub KLP]]))</f>
        <v>OVALE FACIAL</v>
      </c>
      <c r="K458" s="4" t="str">
        <f>CONCATENATE(Table43[[#This Row],[kode  2 Digit                (hrf+No)]],Table43[[#This Row],[kode  2 Digit                (Nomor)]],Table43[[#This Row],[kode  1 Digit                (Nomor)]])</f>
        <v>K1330</v>
      </c>
      <c r="L458" s="4" t="str">
        <f t="shared" si="21"/>
        <v>K1330004006010</v>
      </c>
      <c r="M458" s="11">
        <f t="shared" si="22"/>
        <v>14</v>
      </c>
      <c r="N458" s="14" t="str">
        <f>IF(AF458&lt;&gt;"",TRIM(UPPER(CONCATENATE(P458," ",R458," ",T458," ",V458," ",X458," ",Z458," ","X"," ",Table43[[#This Row],[ISI/CTN]]," ",AF458," ",AB458," ",AD458," ",AH458))),TRIM(UPPER(CONCATENATE(P458," ",R458," ",T458," ",V458," ",X458," ",Z458," ","X"," ",Table43[[#This Row],[ISI/CTN]]," ",AB458," ",AD458," ",AH458))))</f>
        <v>KNF OVALE FACIAL LOTION LUMI YAMBEAN 60ML X 36 BTL</v>
      </c>
      <c r="O458" s="11">
        <f t="shared" si="23"/>
        <v>50</v>
      </c>
      <c r="P458" s="4" t="s">
        <v>97</v>
      </c>
      <c r="Q458" s="7" t="s">
        <v>98</v>
      </c>
      <c r="R458" s="4" t="s">
        <v>3896</v>
      </c>
      <c r="S458" s="44" t="s">
        <v>3897</v>
      </c>
      <c r="T458" s="45" t="s">
        <v>2961</v>
      </c>
      <c r="U458" s="7" t="s">
        <v>2900</v>
      </c>
      <c r="V458" s="45" t="s">
        <v>2961</v>
      </c>
      <c r="W458" s="44" t="s">
        <v>2900</v>
      </c>
      <c r="X458" s="4" t="s">
        <v>3901</v>
      </c>
      <c r="Y458" s="46" t="s">
        <v>2474</v>
      </c>
      <c r="Z458" s="4" t="s">
        <v>1026</v>
      </c>
      <c r="AA458" s="46" t="s">
        <v>2481</v>
      </c>
      <c r="AB458" s="4" t="s">
        <v>357</v>
      </c>
      <c r="AC458" s="7" t="s">
        <v>2656</v>
      </c>
      <c r="AD458" s="4" t="s">
        <v>2961</v>
      </c>
      <c r="AE458" s="7" t="s">
        <v>2900</v>
      </c>
      <c r="AF458" s="7" t="s">
        <v>2961</v>
      </c>
      <c r="AG458" s="7" t="s">
        <v>2961</v>
      </c>
      <c r="AI458" s="7" t="s">
        <v>4100</v>
      </c>
      <c r="AJ458" s="7" t="s">
        <v>2656</v>
      </c>
      <c r="AK458" s="41">
        <f>Table43[[#This Row],[Harga Jual Pcs GT
(-PPN)]]-(Table43[[#This Row],[Harga Jual Pcs GT
(-PPN)]]*10%)</f>
        <v>0</v>
      </c>
      <c r="AL458" s="42">
        <f>Table43[[#This Row],[Harga Beli Pcs
(-PPN)]]*Table43[[#This Row],[ISI/CTN]]</f>
        <v>0</v>
      </c>
      <c r="AM458" s="42">
        <f>Table43[[#This Row],[Harga Beli Pcs
(-PPN)]]*1.11</f>
        <v>0</v>
      </c>
      <c r="AN458" s="42">
        <f>Table43[[#This Row],[Harga Beli Krt
(- PPN)]]*1.11</f>
        <v>0</v>
      </c>
      <c r="AO458" s="42"/>
      <c r="AP458" s="42">
        <f>Table43[[#This Row],[Harga Jual Pcs GT
(-PPN)]]*Table43[[#This Row],[ISI/CTN]]</f>
        <v>0</v>
      </c>
      <c r="AQ458" s="42">
        <f>Table43[[#This Row],[Harga Jual Pcs GT
(-PPN)]]*1.11</f>
        <v>0</v>
      </c>
      <c r="AR458" s="42">
        <f>Table43[[#This Row],[Harga Jual Krt GT
(- PPN)]]*1.11</f>
        <v>0</v>
      </c>
      <c r="AS458" s="42">
        <f>Table43[[#This Row],[Harga Jual Pcs GT
(-PPN)]]</f>
        <v>0</v>
      </c>
      <c r="AT458" s="42">
        <f>(Table43[[#This Row],[Harga Jual Pcs MT
(-PPN)]]*Table43[[#This Row],[ISI/CTN]])</f>
        <v>0</v>
      </c>
      <c r="AU458" s="42">
        <f>Table43[[#This Row],[Harga Jual Pcs MT
(-PPN)]]*1.11</f>
        <v>0</v>
      </c>
      <c r="AV458" s="42">
        <f>Table43[[#This Row],[Harga Jual Pcs MT
(+PPN)]]*Table43[[#This Row],[ISI/CTN]]</f>
        <v>0</v>
      </c>
      <c r="AW458" s="47"/>
      <c r="AX458" s="7"/>
      <c r="AY458" s="7" t="str">
        <f ca="1">IF(TODAY()-Table43[[#This Row],[Efektif
Pembuatan]]&gt;60,"Lama","Baru")</f>
        <v>Lama</v>
      </c>
      <c r="AZ458" s="7" t="str">
        <f ca="1">IF(TODAY()-Table43[[#This Row],[Efektif Naik Harga]]&lt;30,"Naik","Sama")</f>
        <v>Sama</v>
      </c>
      <c r="BA458" s="7" t="str">
        <f>IF(Table43[[#This Row],[Kode BARANG Win2]]&lt;&gt;"","IDR","")</f>
        <v>IDR</v>
      </c>
      <c r="BB458" s="7" t="str">
        <f>CONCATENATE(Table43[[#This Row],[kode  1 Digit
(Nomor)]],Table43[[#This Row],[kode  4 Digit                (Nomor)]])</f>
        <v>10060</v>
      </c>
      <c r="BC458" s="7" t="str">
        <f>Table43[[#This Row],[Nama            Gramasi atau Jumlah Pack per CTN]]</f>
        <v>60ML</v>
      </c>
      <c r="BD458" s="7"/>
      <c r="BE458" s="7"/>
      <c r="BF458" s="4" t="str">
        <f>IF(Table43[[#This Row],[SATUAN Fix Win]]&lt;&gt;"","KRT")</f>
        <v>KRT</v>
      </c>
      <c r="BG458" s="4" t="str">
        <f>IF(Table43[[#This Row],[SATUAN Fix Win]]&lt;&gt;"","GD01")</f>
        <v>GD01</v>
      </c>
      <c r="BH458" s="4">
        <f>IF(Table43[[#This Row],[SATUAN Fix Win]]&lt;&gt;"",11611)</f>
        <v>11611</v>
      </c>
      <c r="BI458" s="4">
        <f>IF(Table43[[#This Row],[SATUAN Fix Win]]&lt;&gt;"",11612)</f>
        <v>11612</v>
      </c>
      <c r="BJ458" s="48"/>
      <c r="BK458" s="4">
        <f>IF(Table43[[#This Row],[SATUAN Fix Win]]&lt;&gt;"",1)</f>
        <v>1</v>
      </c>
    </row>
    <row r="459" spans="1:63">
      <c r="A459" s="4" t="str">
        <f>CONCATENATE(Table43[[#This Row],[Kode BARANG Win2]],Table43[[#This Row],[No. Urut
Item Sama]])</f>
        <v>K13300040100101</v>
      </c>
      <c r="B459" s="7">
        <v>1</v>
      </c>
      <c r="D459" s="28" t="s">
        <v>872</v>
      </c>
      <c r="E459" s="28"/>
      <c r="F459" s="28" t="s">
        <v>3229</v>
      </c>
      <c r="G459" s="78">
        <v>36</v>
      </c>
      <c r="H459" s="43"/>
      <c r="I459" s="28" t="str">
        <f>Table43[[#This Row],[Nama Jenis Kemasan]]</f>
        <v>BTL</v>
      </c>
      <c r="J459" s="4" t="str">
        <f>TRIM(CONCATENATE(Table43[[#This Row],[Nama            KLP]]," ",Table43[[#This Row],[Nama            Sub KLP]]))</f>
        <v>OVALE FACIAL</v>
      </c>
      <c r="K459" s="4" t="str">
        <f>CONCATENATE(Table43[[#This Row],[kode  2 Digit                (hrf+No)]],Table43[[#This Row],[kode  2 Digit                (Nomor)]],Table43[[#This Row],[kode  1 Digit                (Nomor)]])</f>
        <v>K1330</v>
      </c>
      <c r="L459" s="4" t="str">
        <f t="shared" si="21"/>
        <v>K1330004010010</v>
      </c>
      <c r="M459" s="11">
        <f t="shared" si="22"/>
        <v>14</v>
      </c>
      <c r="N459" s="14" t="str">
        <f>IF(AF459&lt;&gt;"",TRIM(UPPER(CONCATENATE(P459," ",R459," ",T459," ",V459," ",X459," ",Z459," ","X"," ",Table43[[#This Row],[ISI/CTN]]," ",AF459," ",AB459," ",AD459," ",AH459))),TRIM(UPPER(CONCATENATE(P459," ",R459," ",T459," ",V459," ",X459," ",Z459," ","X"," ",Table43[[#This Row],[ISI/CTN]]," ",AB459," ",AD459," ",AH459))))</f>
        <v>KNF OVALE FACIAL LOTION LUMI YAMBEAN 100ML X 36 BTL</v>
      </c>
      <c r="O459" s="11">
        <f t="shared" si="23"/>
        <v>51</v>
      </c>
      <c r="P459" s="4" t="s">
        <v>97</v>
      </c>
      <c r="Q459" s="7" t="s">
        <v>98</v>
      </c>
      <c r="R459" s="4" t="s">
        <v>3896</v>
      </c>
      <c r="S459" s="44" t="s">
        <v>3897</v>
      </c>
      <c r="T459" s="45" t="s">
        <v>2961</v>
      </c>
      <c r="U459" s="7" t="s">
        <v>2900</v>
      </c>
      <c r="V459" s="45" t="s">
        <v>2961</v>
      </c>
      <c r="W459" s="44" t="s">
        <v>2900</v>
      </c>
      <c r="X459" s="4" t="s">
        <v>3901</v>
      </c>
      <c r="Y459" s="46" t="s">
        <v>2474</v>
      </c>
      <c r="Z459" s="4" t="s">
        <v>3588</v>
      </c>
      <c r="AA459" s="46" t="s">
        <v>2487</v>
      </c>
      <c r="AB459" s="4" t="s">
        <v>357</v>
      </c>
      <c r="AC459" s="7" t="s">
        <v>2656</v>
      </c>
      <c r="AD459" s="4" t="s">
        <v>2961</v>
      </c>
      <c r="AE459" s="7" t="s">
        <v>2900</v>
      </c>
      <c r="AF459" s="7" t="s">
        <v>2961</v>
      </c>
      <c r="AG459" s="7" t="s">
        <v>2961</v>
      </c>
      <c r="AI459" s="7" t="s">
        <v>4100</v>
      </c>
      <c r="AJ459" s="7" t="s">
        <v>2656</v>
      </c>
      <c r="AK459" s="41">
        <f>Table43[[#This Row],[Harga Jual Pcs GT
(-PPN)]]-(Table43[[#This Row],[Harga Jual Pcs GT
(-PPN)]]*10%)</f>
        <v>0</v>
      </c>
      <c r="AL459" s="42">
        <f>Table43[[#This Row],[Harga Beli Pcs
(-PPN)]]*Table43[[#This Row],[ISI/CTN]]</f>
        <v>0</v>
      </c>
      <c r="AM459" s="42">
        <f>Table43[[#This Row],[Harga Beli Pcs
(-PPN)]]*1.11</f>
        <v>0</v>
      </c>
      <c r="AN459" s="42">
        <f>Table43[[#This Row],[Harga Beli Krt
(- PPN)]]*1.11</f>
        <v>0</v>
      </c>
      <c r="AO459" s="42"/>
      <c r="AP459" s="42">
        <f>Table43[[#This Row],[Harga Jual Pcs GT
(-PPN)]]*Table43[[#This Row],[ISI/CTN]]</f>
        <v>0</v>
      </c>
      <c r="AQ459" s="42">
        <f>Table43[[#This Row],[Harga Jual Pcs GT
(-PPN)]]*1.11</f>
        <v>0</v>
      </c>
      <c r="AR459" s="42">
        <f>Table43[[#This Row],[Harga Jual Krt GT
(- PPN)]]*1.11</f>
        <v>0</v>
      </c>
      <c r="AS459" s="42">
        <f>Table43[[#This Row],[Harga Jual Pcs GT
(-PPN)]]</f>
        <v>0</v>
      </c>
      <c r="AT459" s="42">
        <f>(Table43[[#This Row],[Harga Jual Pcs MT
(-PPN)]]*Table43[[#This Row],[ISI/CTN]])</f>
        <v>0</v>
      </c>
      <c r="AU459" s="42">
        <f>Table43[[#This Row],[Harga Jual Pcs MT
(-PPN)]]*1.11</f>
        <v>0</v>
      </c>
      <c r="AV459" s="42">
        <f>Table43[[#This Row],[Harga Jual Pcs MT
(+PPN)]]*Table43[[#This Row],[ISI/CTN]]</f>
        <v>0</v>
      </c>
      <c r="AW459" s="47"/>
      <c r="AX459" s="7"/>
      <c r="AY459" s="7" t="str">
        <f ca="1">IF(TODAY()-Table43[[#This Row],[Efektif
Pembuatan]]&gt;60,"Lama","Baru")</f>
        <v>Lama</v>
      </c>
      <c r="AZ459" s="7" t="str">
        <f ca="1">IF(TODAY()-Table43[[#This Row],[Efektif Naik Harga]]&lt;30,"Naik","Sama")</f>
        <v>Sama</v>
      </c>
      <c r="BA459" s="7" t="str">
        <f>IF(Table43[[#This Row],[Kode BARANG Win2]]&lt;&gt;"","IDR","")</f>
        <v>IDR</v>
      </c>
      <c r="BB459" s="7" t="str">
        <f>CONCATENATE(Table43[[#This Row],[kode  1 Digit
(Nomor)]],Table43[[#This Row],[kode  4 Digit                (Nomor)]])</f>
        <v>10100</v>
      </c>
      <c r="BC459" s="7" t="str">
        <f>Table43[[#This Row],[Nama            Gramasi atau Jumlah Pack per CTN]]</f>
        <v>100ML</v>
      </c>
      <c r="BD459" s="7"/>
      <c r="BE459" s="7"/>
      <c r="BF459" s="4" t="str">
        <f>IF(Table43[[#This Row],[SATUAN Fix Win]]&lt;&gt;"","KRT")</f>
        <v>KRT</v>
      </c>
      <c r="BG459" s="4" t="str">
        <f>IF(Table43[[#This Row],[SATUAN Fix Win]]&lt;&gt;"","GD01")</f>
        <v>GD01</v>
      </c>
      <c r="BH459" s="4">
        <f>IF(Table43[[#This Row],[SATUAN Fix Win]]&lt;&gt;"",11611)</f>
        <v>11611</v>
      </c>
      <c r="BI459" s="4">
        <f>IF(Table43[[#This Row],[SATUAN Fix Win]]&lt;&gt;"",11612)</f>
        <v>11612</v>
      </c>
      <c r="BJ459" s="48"/>
      <c r="BK459" s="4">
        <f>IF(Table43[[#This Row],[SATUAN Fix Win]]&lt;&gt;"",1)</f>
        <v>1</v>
      </c>
    </row>
    <row r="460" spans="1:63">
      <c r="A460" s="4" t="str">
        <f>CONCATENATE(Table43[[#This Row],[Kode BARANG Win2]],Table43[[#This Row],[No. Urut
Item Sama]])</f>
        <v>K13300040100101</v>
      </c>
      <c r="B460" s="7">
        <v>1</v>
      </c>
      <c r="D460" s="28" t="s">
        <v>4079</v>
      </c>
      <c r="E460" s="28"/>
      <c r="F460" s="28">
        <v>0</v>
      </c>
      <c r="G460" s="78">
        <v>36</v>
      </c>
      <c r="H460" s="43"/>
      <c r="I460" s="28" t="str">
        <f>Table43[[#This Row],[Nama Jenis Kemasan]]</f>
        <v>BTL</v>
      </c>
      <c r="J460" s="4" t="str">
        <f>TRIM(CONCATENATE(Table43[[#This Row],[Nama            KLP]]," ",Table43[[#This Row],[Nama            Sub KLP]]))</f>
        <v>OVALE FACIAL</v>
      </c>
      <c r="K460" s="4" t="str">
        <f>CONCATENATE(Table43[[#This Row],[kode  2 Digit                (hrf+No)]],Table43[[#This Row],[kode  2 Digit                (Nomor)]],Table43[[#This Row],[kode  1 Digit                (Nomor)]])</f>
        <v>K1330</v>
      </c>
      <c r="L460" s="4" t="str">
        <f t="shared" si="21"/>
        <v>K1330004010010</v>
      </c>
      <c r="M460" s="11">
        <f t="shared" si="22"/>
        <v>14</v>
      </c>
      <c r="N460" s="14" t="str">
        <f>IF(AF460&lt;&gt;"",TRIM(UPPER(CONCATENATE(P460," ",R460," ",T460," ",V460," ",X460," ",Z460," ","X"," ",Table43[[#This Row],[ISI/CTN]]," ",AF460," ",AB460," ",AD460," ",AH460))),TRIM(UPPER(CONCATENATE(P460," ",R460," ",T460," ",V460," ",X460," ",Z460," ","X"," ",Table43[[#This Row],[ISI/CTN]]," ",AB460," ",AD460," ",AH460))))</f>
        <v>KNF OVALE FACIAL LOTION LUMI YAMBEAN 100ML X 36 BTL</v>
      </c>
      <c r="O460" s="11">
        <f t="shared" si="23"/>
        <v>51</v>
      </c>
      <c r="P460" s="4" t="s">
        <v>97</v>
      </c>
      <c r="Q460" s="7" t="s">
        <v>98</v>
      </c>
      <c r="R460" s="4" t="s">
        <v>3896</v>
      </c>
      <c r="S460" s="44" t="s">
        <v>3897</v>
      </c>
      <c r="T460" s="45" t="s">
        <v>2961</v>
      </c>
      <c r="U460" s="7" t="s">
        <v>2900</v>
      </c>
      <c r="V460" s="45" t="s">
        <v>2961</v>
      </c>
      <c r="W460" s="44" t="s">
        <v>2900</v>
      </c>
      <c r="X460" s="4" t="s">
        <v>3901</v>
      </c>
      <c r="Y460" s="46" t="s">
        <v>2474</v>
      </c>
      <c r="Z460" s="4" t="s">
        <v>3588</v>
      </c>
      <c r="AA460" s="46" t="s">
        <v>2487</v>
      </c>
      <c r="AB460" s="4" t="s">
        <v>357</v>
      </c>
      <c r="AC460" s="7" t="s">
        <v>2656</v>
      </c>
      <c r="AD460" s="4" t="s">
        <v>2961</v>
      </c>
      <c r="AE460" s="7" t="s">
        <v>2900</v>
      </c>
      <c r="AF460" s="7" t="s">
        <v>2961</v>
      </c>
      <c r="AG460" s="7" t="s">
        <v>2961</v>
      </c>
      <c r="AI460" s="7" t="s">
        <v>4100</v>
      </c>
      <c r="AJ460" s="7" t="s">
        <v>2656</v>
      </c>
      <c r="AK460" s="41">
        <f>Table43[[#This Row],[Harga Jual Pcs GT
(-PPN)]]-(Table43[[#This Row],[Harga Jual Pcs GT
(-PPN)]]*10%)</f>
        <v>0</v>
      </c>
      <c r="AL460" s="42">
        <f>Table43[[#This Row],[Harga Beli Pcs
(-PPN)]]*Table43[[#This Row],[ISI/CTN]]</f>
        <v>0</v>
      </c>
      <c r="AM460" s="42">
        <f>Table43[[#This Row],[Harga Beli Pcs
(-PPN)]]*1.11</f>
        <v>0</v>
      </c>
      <c r="AN460" s="42">
        <f>Table43[[#This Row],[Harga Beli Krt
(- PPN)]]*1.11</f>
        <v>0</v>
      </c>
      <c r="AO460" s="42"/>
      <c r="AP460" s="42">
        <f>Table43[[#This Row],[Harga Jual Pcs GT
(-PPN)]]*Table43[[#This Row],[ISI/CTN]]</f>
        <v>0</v>
      </c>
      <c r="AQ460" s="42">
        <f>Table43[[#This Row],[Harga Jual Pcs GT
(-PPN)]]*1.11</f>
        <v>0</v>
      </c>
      <c r="AR460" s="42">
        <f>Table43[[#This Row],[Harga Jual Krt GT
(- PPN)]]*1.11</f>
        <v>0</v>
      </c>
      <c r="AS460" s="42">
        <f>Table43[[#This Row],[Harga Jual Pcs GT
(-PPN)]]</f>
        <v>0</v>
      </c>
      <c r="AT460" s="42">
        <f>(Table43[[#This Row],[Harga Jual Pcs MT
(-PPN)]]*Table43[[#This Row],[ISI/CTN]])</f>
        <v>0</v>
      </c>
      <c r="AU460" s="42">
        <f>Table43[[#This Row],[Harga Jual Pcs MT
(-PPN)]]*1.11</f>
        <v>0</v>
      </c>
      <c r="AV460" s="42">
        <f>Table43[[#This Row],[Harga Jual Pcs MT
(+PPN)]]*Table43[[#This Row],[ISI/CTN]]</f>
        <v>0</v>
      </c>
      <c r="AW460" s="47"/>
      <c r="AX460" s="7"/>
      <c r="AY460" s="7" t="str">
        <f ca="1">IF(TODAY()-Table43[[#This Row],[Efektif
Pembuatan]]&gt;60,"Lama","Baru")</f>
        <v>Lama</v>
      </c>
      <c r="AZ460" s="7" t="str">
        <f ca="1">IF(TODAY()-Table43[[#This Row],[Efektif Naik Harga]]&lt;30,"Naik","Sama")</f>
        <v>Sama</v>
      </c>
      <c r="BA460" s="7" t="str">
        <f>IF(Table43[[#This Row],[Kode BARANG Win2]]&lt;&gt;"","IDR","")</f>
        <v>IDR</v>
      </c>
      <c r="BB460" s="7" t="str">
        <f>CONCATENATE(Table43[[#This Row],[kode  1 Digit
(Nomor)]],Table43[[#This Row],[kode  4 Digit                (Nomor)]])</f>
        <v>10100</v>
      </c>
      <c r="BC460" s="7" t="str">
        <f>Table43[[#This Row],[Nama            Gramasi atau Jumlah Pack per CTN]]</f>
        <v>100ML</v>
      </c>
      <c r="BD460" s="7"/>
      <c r="BE460" s="7"/>
      <c r="BF460" s="4" t="str">
        <f>IF(Table43[[#This Row],[SATUAN Fix Win]]&lt;&gt;"","KRT")</f>
        <v>KRT</v>
      </c>
      <c r="BG460" s="4" t="str">
        <f>IF(Table43[[#This Row],[SATUAN Fix Win]]&lt;&gt;"","GD01")</f>
        <v>GD01</v>
      </c>
      <c r="BH460" s="4">
        <f>IF(Table43[[#This Row],[SATUAN Fix Win]]&lt;&gt;"",11611)</f>
        <v>11611</v>
      </c>
      <c r="BI460" s="4">
        <f>IF(Table43[[#This Row],[SATUAN Fix Win]]&lt;&gt;"",11612)</f>
        <v>11612</v>
      </c>
      <c r="BJ460" s="48"/>
      <c r="BK460" s="4">
        <f>IF(Table43[[#This Row],[SATUAN Fix Win]]&lt;&gt;"",1)</f>
        <v>1</v>
      </c>
    </row>
    <row r="461" spans="1:63">
      <c r="A461" s="4" t="str">
        <f>CONCATENATE(Table43[[#This Row],[Kode BARANG Win2]],Table43[[#This Row],[No. Urut
Item Sama]])</f>
        <v>K13300040200101</v>
      </c>
      <c r="B461" s="7">
        <v>1</v>
      </c>
      <c r="D461" s="28" t="s">
        <v>879</v>
      </c>
      <c r="E461" s="28"/>
      <c r="F461" s="28" t="s">
        <v>3230</v>
      </c>
      <c r="G461" s="78">
        <v>36</v>
      </c>
      <c r="H461" s="43"/>
      <c r="I461" s="28" t="str">
        <f>Table43[[#This Row],[Nama Jenis Kemasan]]</f>
        <v>BTL</v>
      </c>
      <c r="J461" s="4" t="str">
        <f>TRIM(CONCATENATE(Table43[[#This Row],[Nama            KLP]]," ",Table43[[#This Row],[Nama            Sub KLP]]))</f>
        <v>OVALE FACIAL</v>
      </c>
      <c r="K461" s="4" t="str">
        <f>CONCATENATE(Table43[[#This Row],[kode  2 Digit                (hrf+No)]],Table43[[#This Row],[kode  2 Digit                (Nomor)]],Table43[[#This Row],[kode  1 Digit                (Nomor)]])</f>
        <v>K1330</v>
      </c>
      <c r="L461" s="4" t="str">
        <f t="shared" si="21"/>
        <v>K1330004020010</v>
      </c>
      <c r="M461" s="11">
        <f t="shared" si="22"/>
        <v>14</v>
      </c>
      <c r="N461" s="14" t="str">
        <f>IF(AF461&lt;&gt;"",TRIM(UPPER(CONCATENATE(P461," ",R461," ",T461," ",V461," ",X461," ",Z461," ","X"," ",Table43[[#This Row],[ISI/CTN]]," ",AF461," ",AB461," ",AD461," ",AH461))),TRIM(UPPER(CONCATENATE(P461," ",R461," ",T461," ",V461," ",X461," ",Z461," ","X"," ",Table43[[#This Row],[ISI/CTN]]," ",AB461," ",AD461," ",AH461))))</f>
        <v>KNF OVALE FACIAL LOTION LUMI YAMBEAN 200ML X 36 BTL</v>
      </c>
      <c r="O461" s="11">
        <f t="shared" si="23"/>
        <v>51</v>
      </c>
      <c r="P461" s="4" t="s">
        <v>97</v>
      </c>
      <c r="Q461" s="7" t="s">
        <v>98</v>
      </c>
      <c r="R461" s="4" t="s">
        <v>3896</v>
      </c>
      <c r="S461" s="44" t="s">
        <v>3897</v>
      </c>
      <c r="T461" s="45" t="s">
        <v>2961</v>
      </c>
      <c r="U461" s="7" t="s">
        <v>2900</v>
      </c>
      <c r="V461" s="45" t="s">
        <v>2961</v>
      </c>
      <c r="W461" s="44" t="s">
        <v>2900</v>
      </c>
      <c r="X461" s="4" t="s">
        <v>3901</v>
      </c>
      <c r="Y461" s="46" t="s">
        <v>2474</v>
      </c>
      <c r="Z461" s="4" t="s">
        <v>3582</v>
      </c>
      <c r="AA461" s="46" t="s">
        <v>2486</v>
      </c>
      <c r="AB461" s="4" t="s">
        <v>357</v>
      </c>
      <c r="AC461" s="7" t="s">
        <v>2656</v>
      </c>
      <c r="AD461" s="4" t="s">
        <v>2961</v>
      </c>
      <c r="AE461" s="7" t="s">
        <v>2900</v>
      </c>
      <c r="AF461" s="7" t="s">
        <v>2961</v>
      </c>
      <c r="AG461" s="7" t="s">
        <v>2961</v>
      </c>
      <c r="AI461" s="7" t="s">
        <v>4100</v>
      </c>
      <c r="AJ461" s="7" t="s">
        <v>2656</v>
      </c>
      <c r="AK461" s="41">
        <f>Table43[[#This Row],[Harga Jual Pcs GT
(-PPN)]]-(Table43[[#This Row],[Harga Jual Pcs GT
(-PPN)]]*10%)</f>
        <v>0</v>
      </c>
      <c r="AL461" s="42">
        <f>Table43[[#This Row],[Harga Beli Pcs
(-PPN)]]*Table43[[#This Row],[ISI/CTN]]</f>
        <v>0</v>
      </c>
      <c r="AM461" s="42">
        <f>Table43[[#This Row],[Harga Beli Pcs
(-PPN)]]*1.11</f>
        <v>0</v>
      </c>
      <c r="AN461" s="42">
        <f>Table43[[#This Row],[Harga Beli Krt
(- PPN)]]*1.11</f>
        <v>0</v>
      </c>
      <c r="AO461" s="42"/>
      <c r="AP461" s="42">
        <f>Table43[[#This Row],[Harga Jual Pcs GT
(-PPN)]]*Table43[[#This Row],[ISI/CTN]]</f>
        <v>0</v>
      </c>
      <c r="AQ461" s="42">
        <f>Table43[[#This Row],[Harga Jual Pcs GT
(-PPN)]]*1.11</f>
        <v>0</v>
      </c>
      <c r="AR461" s="42">
        <f>Table43[[#This Row],[Harga Jual Krt GT
(- PPN)]]*1.11</f>
        <v>0</v>
      </c>
      <c r="AS461" s="42">
        <f>Table43[[#This Row],[Harga Jual Pcs GT
(-PPN)]]</f>
        <v>0</v>
      </c>
      <c r="AT461" s="42">
        <f>(Table43[[#This Row],[Harga Jual Pcs MT
(-PPN)]]*Table43[[#This Row],[ISI/CTN]])</f>
        <v>0</v>
      </c>
      <c r="AU461" s="42">
        <f>Table43[[#This Row],[Harga Jual Pcs MT
(-PPN)]]*1.11</f>
        <v>0</v>
      </c>
      <c r="AV461" s="42">
        <f>Table43[[#This Row],[Harga Jual Pcs MT
(+PPN)]]*Table43[[#This Row],[ISI/CTN]]</f>
        <v>0</v>
      </c>
      <c r="AW461" s="47"/>
      <c r="AX461" s="7"/>
      <c r="AY461" s="7" t="str">
        <f ca="1">IF(TODAY()-Table43[[#This Row],[Efektif
Pembuatan]]&gt;60,"Lama","Baru")</f>
        <v>Lama</v>
      </c>
      <c r="AZ461" s="7" t="str">
        <f ca="1">IF(TODAY()-Table43[[#This Row],[Efektif Naik Harga]]&lt;30,"Naik","Sama")</f>
        <v>Sama</v>
      </c>
      <c r="BA461" s="7" t="str">
        <f>IF(Table43[[#This Row],[Kode BARANG Win2]]&lt;&gt;"","IDR","")</f>
        <v>IDR</v>
      </c>
      <c r="BB461" s="7" t="str">
        <f>CONCATENATE(Table43[[#This Row],[kode  1 Digit
(Nomor)]],Table43[[#This Row],[kode  4 Digit                (Nomor)]])</f>
        <v>10200</v>
      </c>
      <c r="BC461" s="7" t="str">
        <f>Table43[[#This Row],[Nama            Gramasi atau Jumlah Pack per CTN]]</f>
        <v>200ML</v>
      </c>
      <c r="BD461" s="7"/>
      <c r="BE461" s="7"/>
      <c r="BF461" s="4" t="str">
        <f>IF(Table43[[#This Row],[SATUAN Fix Win]]&lt;&gt;"","KRT")</f>
        <v>KRT</v>
      </c>
      <c r="BG461" s="4" t="str">
        <f>IF(Table43[[#This Row],[SATUAN Fix Win]]&lt;&gt;"","GD01")</f>
        <v>GD01</v>
      </c>
      <c r="BH461" s="4">
        <f>IF(Table43[[#This Row],[SATUAN Fix Win]]&lt;&gt;"",11611)</f>
        <v>11611</v>
      </c>
      <c r="BI461" s="4">
        <f>IF(Table43[[#This Row],[SATUAN Fix Win]]&lt;&gt;"",11612)</f>
        <v>11612</v>
      </c>
      <c r="BJ461" s="48"/>
      <c r="BK461" s="4">
        <f>IF(Table43[[#This Row],[SATUAN Fix Win]]&lt;&gt;"",1)</f>
        <v>1</v>
      </c>
    </row>
    <row r="462" spans="1:63">
      <c r="A462" s="4" t="str">
        <f>CONCATENATE(Table43[[#This Row],[Kode BARANG Win2]],Table43[[#This Row],[No. Urut
Item Sama]])</f>
        <v>K13300050060101</v>
      </c>
      <c r="B462" s="7">
        <v>1</v>
      </c>
      <c r="D462" s="28" t="s">
        <v>916</v>
      </c>
      <c r="E462" s="28"/>
      <c r="F462" s="28" t="s">
        <v>3231</v>
      </c>
      <c r="G462" s="78">
        <v>36</v>
      </c>
      <c r="H462" s="43"/>
      <c r="I462" s="28" t="str">
        <f>Table43[[#This Row],[Nama Jenis Kemasan]]</f>
        <v>BTL</v>
      </c>
      <c r="J462" s="4" t="str">
        <f>TRIM(CONCATENATE(Table43[[#This Row],[Nama            KLP]]," ",Table43[[#This Row],[Nama            Sub KLP]]))</f>
        <v>OVALE FACIAL</v>
      </c>
      <c r="K462" s="4" t="str">
        <f>CONCATENATE(Table43[[#This Row],[kode  2 Digit                (hrf+No)]],Table43[[#This Row],[kode  2 Digit                (Nomor)]],Table43[[#This Row],[kode  1 Digit                (Nomor)]])</f>
        <v>K1330</v>
      </c>
      <c r="L462" s="4" t="str">
        <f t="shared" si="21"/>
        <v>K1330005006010</v>
      </c>
      <c r="M462" s="11">
        <f t="shared" si="22"/>
        <v>14</v>
      </c>
      <c r="N462" s="14" t="str">
        <f>IF(AF462&lt;&gt;"",TRIM(UPPER(CONCATENATE(P462," ",R462," ",T462," ",V462," ",X462," ",Z462," ","X"," ",Table43[[#This Row],[ISI/CTN]]," ",AF462," ",AB462," ",AD462," ",AH462))),TRIM(UPPER(CONCATENATE(P462," ",R462," ",T462," ",V462," ",X462," ",Z462," ","X"," ",Table43[[#This Row],[ISI/CTN]]," ",AB462," ",AD462," ",AH462))))</f>
        <v>KNF OVALE FACIAL LOTION PAPAYA 60ML X 36 BTL</v>
      </c>
      <c r="O462" s="11">
        <f t="shared" si="23"/>
        <v>44</v>
      </c>
      <c r="P462" s="4" t="s">
        <v>97</v>
      </c>
      <c r="Q462" s="7" t="s">
        <v>98</v>
      </c>
      <c r="R462" s="4" t="s">
        <v>3896</v>
      </c>
      <c r="S462" s="44" t="s">
        <v>3897</v>
      </c>
      <c r="T462" s="45" t="s">
        <v>2961</v>
      </c>
      <c r="U462" s="7" t="s">
        <v>2900</v>
      </c>
      <c r="V462" s="45" t="s">
        <v>2961</v>
      </c>
      <c r="W462" s="44" t="s">
        <v>2900</v>
      </c>
      <c r="X462" s="4" t="s">
        <v>3902</v>
      </c>
      <c r="Y462" s="46" t="s">
        <v>2475</v>
      </c>
      <c r="Z462" s="4" t="s">
        <v>1026</v>
      </c>
      <c r="AA462" s="46" t="s">
        <v>2481</v>
      </c>
      <c r="AB462" s="4" t="s">
        <v>357</v>
      </c>
      <c r="AC462" s="7" t="s">
        <v>2656</v>
      </c>
      <c r="AD462" s="4" t="s">
        <v>2961</v>
      </c>
      <c r="AE462" s="7" t="s">
        <v>2900</v>
      </c>
      <c r="AF462" s="7" t="s">
        <v>2961</v>
      </c>
      <c r="AG462" s="7" t="s">
        <v>2961</v>
      </c>
      <c r="AI462" s="7" t="s">
        <v>4100</v>
      </c>
      <c r="AJ462" s="7" t="s">
        <v>2656</v>
      </c>
      <c r="AK462" s="41">
        <f>Table43[[#This Row],[Harga Jual Pcs GT
(-PPN)]]-(Table43[[#This Row],[Harga Jual Pcs GT
(-PPN)]]*10%)</f>
        <v>0</v>
      </c>
      <c r="AL462" s="42">
        <f>Table43[[#This Row],[Harga Beli Pcs
(-PPN)]]*Table43[[#This Row],[ISI/CTN]]</f>
        <v>0</v>
      </c>
      <c r="AM462" s="42">
        <f>Table43[[#This Row],[Harga Beli Pcs
(-PPN)]]*1.11</f>
        <v>0</v>
      </c>
      <c r="AN462" s="42">
        <f>Table43[[#This Row],[Harga Beli Krt
(- PPN)]]*1.11</f>
        <v>0</v>
      </c>
      <c r="AO462" s="42"/>
      <c r="AP462" s="42">
        <f>Table43[[#This Row],[Harga Jual Pcs GT
(-PPN)]]*Table43[[#This Row],[ISI/CTN]]</f>
        <v>0</v>
      </c>
      <c r="AQ462" s="42">
        <f>Table43[[#This Row],[Harga Jual Pcs GT
(-PPN)]]*1.11</f>
        <v>0</v>
      </c>
      <c r="AR462" s="42">
        <f>Table43[[#This Row],[Harga Jual Krt GT
(- PPN)]]*1.11</f>
        <v>0</v>
      </c>
      <c r="AS462" s="42">
        <f>Table43[[#This Row],[Harga Jual Pcs GT
(-PPN)]]</f>
        <v>0</v>
      </c>
      <c r="AT462" s="42">
        <f>(Table43[[#This Row],[Harga Jual Pcs MT
(-PPN)]]*Table43[[#This Row],[ISI/CTN]])</f>
        <v>0</v>
      </c>
      <c r="AU462" s="42">
        <f>Table43[[#This Row],[Harga Jual Pcs MT
(-PPN)]]*1.11</f>
        <v>0</v>
      </c>
      <c r="AV462" s="42">
        <f>Table43[[#This Row],[Harga Jual Pcs MT
(+PPN)]]*Table43[[#This Row],[ISI/CTN]]</f>
        <v>0</v>
      </c>
      <c r="AW462" s="47"/>
      <c r="AX462" s="7"/>
      <c r="AY462" s="7" t="str">
        <f ca="1">IF(TODAY()-Table43[[#This Row],[Efektif
Pembuatan]]&gt;60,"Lama","Baru")</f>
        <v>Lama</v>
      </c>
      <c r="AZ462" s="7" t="str">
        <f ca="1">IF(TODAY()-Table43[[#This Row],[Efektif Naik Harga]]&lt;30,"Naik","Sama")</f>
        <v>Sama</v>
      </c>
      <c r="BA462" s="7" t="str">
        <f>IF(Table43[[#This Row],[Kode BARANG Win2]]&lt;&gt;"","IDR","")</f>
        <v>IDR</v>
      </c>
      <c r="BB462" s="7" t="str">
        <f>CONCATENATE(Table43[[#This Row],[kode  1 Digit
(Nomor)]],Table43[[#This Row],[kode  4 Digit                (Nomor)]])</f>
        <v>10060</v>
      </c>
      <c r="BC462" s="7" t="str">
        <f>Table43[[#This Row],[Nama            Gramasi atau Jumlah Pack per CTN]]</f>
        <v>60ML</v>
      </c>
      <c r="BD462" s="7"/>
      <c r="BE462" s="7"/>
      <c r="BF462" s="4" t="str">
        <f>IF(Table43[[#This Row],[SATUAN Fix Win]]&lt;&gt;"","KRT")</f>
        <v>KRT</v>
      </c>
      <c r="BG462" s="4" t="str">
        <f>IF(Table43[[#This Row],[SATUAN Fix Win]]&lt;&gt;"","GD01")</f>
        <v>GD01</v>
      </c>
      <c r="BH462" s="4">
        <f>IF(Table43[[#This Row],[SATUAN Fix Win]]&lt;&gt;"",11611)</f>
        <v>11611</v>
      </c>
      <c r="BI462" s="4">
        <f>IF(Table43[[#This Row],[SATUAN Fix Win]]&lt;&gt;"",11612)</f>
        <v>11612</v>
      </c>
      <c r="BJ462" s="48"/>
      <c r="BK462" s="4">
        <f>IF(Table43[[#This Row],[SATUAN Fix Win]]&lt;&gt;"",1)</f>
        <v>1</v>
      </c>
    </row>
    <row r="463" spans="1:63">
      <c r="A463" s="4" t="str">
        <f>CONCATENATE(Table43[[#This Row],[Kode BARANG Win2]],Table43[[#This Row],[No. Urut
Item Sama]])</f>
        <v>K13300050100101</v>
      </c>
      <c r="B463" s="7">
        <v>1</v>
      </c>
      <c r="D463" s="28" t="s">
        <v>917</v>
      </c>
      <c r="E463" s="28"/>
      <c r="F463" s="28" t="s">
        <v>3232</v>
      </c>
      <c r="G463" s="78">
        <v>36</v>
      </c>
      <c r="H463" s="43"/>
      <c r="I463" s="28" t="str">
        <f>Table43[[#This Row],[Nama Jenis Kemasan]]</f>
        <v>BTL</v>
      </c>
      <c r="J463" s="4" t="str">
        <f>TRIM(CONCATENATE(Table43[[#This Row],[Nama            KLP]]," ",Table43[[#This Row],[Nama            Sub KLP]]))</f>
        <v>OVALE FACIAL</v>
      </c>
      <c r="K463" s="4" t="str">
        <f>CONCATENATE(Table43[[#This Row],[kode  2 Digit                (hrf+No)]],Table43[[#This Row],[kode  2 Digit                (Nomor)]],Table43[[#This Row],[kode  1 Digit                (Nomor)]])</f>
        <v>K1330</v>
      </c>
      <c r="L463" s="4" t="str">
        <f t="shared" si="21"/>
        <v>K1330005010010</v>
      </c>
      <c r="M463" s="11">
        <f t="shared" si="22"/>
        <v>14</v>
      </c>
      <c r="N463" s="14" t="str">
        <f>IF(AF463&lt;&gt;"",TRIM(UPPER(CONCATENATE(P463," ",R463," ",T463," ",V463," ",X463," ",Z463," ","X"," ",Table43[[#This Row],[ISI/CTN]]," ",AF463," ",AB463," ",AD463," ",AH463))),TRIM(UPPER(CONCATENATE(P463," ",R463," ",T463," ",V463," ",X463," ",Z463," ","X"," ",Table43[[#This Row],[ISI/CTN]]," ",AB463," ",AD463," ",AH463))))</f>
        <v>KNF OVALE FACIAL LOTION PAPAYA 100ML X 36 BTL</v>
      </c>
      <c r="O463" s="11">
        <f t="shared" si="23"/>
        <v>45</v>
      </c>
      <c r="P463" s="4" t="s">
        <v>97</v>
      </c>
      <c r="Q463" s="7" t="s">
        <v>98</v>
      </c>
      <c r="R463" s="4" t="s">
        <v>3896</v>
      </c>
      <c r="S463" s="44" t="s">
        <v>3897</v>
      </c>
      <c r="T463" s="45" t="s">
        <v>2961</v>
      </c>
      <c r="U463" s="7" t="s">
        <v>2900</v>
      </c>
      <c r="V463" s="45" t="s">
        <v>2961</v>
      </c>
      <c r="W463" s="44" t="s">
        <v>2900</v>
      </c>
      <c r="X463" s="4" t="s">
        <v>3902</v>
      </c>
      <c r="Y463" s="46" t="s">
        <v>2475</v>
      </c>
      <c r="Z463" s="4" t="s">
        <v>3588</v>
      </c>
      <c r="AA463" s="46" t="s">
        <v>2487</v>
      </c>
      <c r="AB463" s="4" t="s">
        <v>357</v>
      </c>
      <c r="AC463" s="7" t="s">
        <v>2656</v>
      </c>
      <c r="AD463" s="4" t="s">
        <v>2961</v>
      </c>
      <c r="AE463" s="7" t="s">
        <v>2900</v>
      </c>
      <c r="AF463" s="7" t="s">
        <v>2961</v>
      </c>
      <c r="AG463" s="7" t="s">
        <v>2961</v>
      </c>
      <c r="AI463" s="7" t="s">
        <v>4100</v>
      </c>
      <c r="AJ463" s="7" t="s">
        <v>2656</v>
      </c>
      <c r="AK463" s="41">
        <f>Table43[[#This Row],[Harga Jual Pcs GT
(-PPN)]]-(Table43[[#This Row],[Harga Jual Pcs GT
(-PPN)]]*10%)</f>
        <v>0</v>
      </c>
      <c r="AL463" s="42">
        <f>Table43[[#This Row],[Harga Beli Pcs
(-PPN)]]*Table43[[#This Row],[ISI/CTN]]</f>
        <v>0</v>
      </c>
      <c r="AM463" s="42">
        <f>Table43[[#This Row],[Harga Beli Pcs
(-PPN)]]*1.11</f>
        <v>0</v>
      </c>
      <c r="AN463" s="42">
        <f>Table43[[#This Row],[Harga Beli Krt
(- PPN)]]*1.11</f>
        <v>0</v>
      </c>
      <c r="AO463" s="42"/>
      <c r="AP463" s="42">
        <f>Table43[[#This Row],[Harga Jual Pcs GT
(-PPN)]]*Table43[[#This Row],[ISI/CTN]]</f>
        <v>0</v>
      </c>
      <c r="AQ463" s="42">
        <f>Table43[[#This Row],[Harga Jual Pcs GT
(-PPN)]]*1.11</f>
        <v>0</v>
      </c>
      <c r="AR463" s="42">
        <f>Table43[[#This Row],[Harga Jual Krt GT
(- PPN)]]*1.11</f>
        <v>0</v>
      </c>
      <c r="AS463" s="42">
        <f>Table43[[#This Row],[Harga Jual Pcs GT
(-PPN)]]</f>
        <v>0</v>
      </c>
      <c r="AT463" s="42">
        <f>(Table43[[#This Row],[Harga Jual Pcs MT
(-PPN)]]*Table43[[#This Row],[ISI/CTN]])</f>
        <v>0</v>
      </c>
      <c r="AU463" s="42">
        <f>Table43[[#This Row],[Harga Jual Pcs MT
(-PPN)]]*1.11</f>
        <v>0</v>
      </c>
      <c r="AV463" s="42">
        <f>Table43[[#This Row],[Harga Jual Pcs MT
(+PPN)]]*Table43[[#This Row],[ISI/CTN]]</f>
        <v>0</v>
      </c>
      <c r="AW463" s="47"/>
      <c r="AX463" s="7"/>
      <c r="AY463" s="7" t="str">
        <f ca="1">IF(TODAY()-Table43[[#This Row],[Efektif
Pembuatan]]&gt;60,"Lama","Baru")</f>
        <v>Lama</v>
      </c>
      <c r="AZ463" s="7" t="str">
        <f ca="1">IF(TODAY()-Table43[[#This Row],[Efektif Naik Harga]]&lt;30,"Naik","Sama")</f>
        <v>Sama</v>
      </c>
      <c r="BA463" s="7" t="str">
        <f>IF(Table43[[#This Row],[Kode BARANG Win2]]&lt;&gt;"","IDR","")</f>
        <v>IDR</v>
      </c>
      <c r="BB463" s="7" t="str">
        <f>CONCATENATE(Table43[[#This Row],[kode  1 Digit
(Nomor)]],Table43[[#This Row],[kode  4 Digit                (Nomor)]])</f>
        <v>10100</v>
      </c>
      <c r="BC463" s="7" t="str">
        <f>Table43[[#This Row],[Nama            Gramasi atau Jumlah Pack per CTN]]</f>
        <v>100ML</v>
      </c>
      <c r="BD463" s="7"/>
      <c r="BE463" s="7"/>
      <c r="BF463" s="4" t="str">
        <f>IF(Table43[[#This Row],[SATUAN Fix Win]]&lt;&gt;"","KRT")</f>
        <v>KRT</v>
      </c>
      <c r="BG463" s="4" t="str">
        <f>IF(Table43[[#This Row],[SATUAN Fix Win]]&lt;&gt;"","GD01")</f>
        <v>GD01</v>
      </c>
      <c r="BH463" s="4">
        <f>IF(Table43[[#This Row],[SATUAN Fix Win]]&lt;&gt;"",11611)</f>
        <v>11611</v>
      </c>
      <c r="BI463" s="4">
        <f>IF(Table43[[#This Row],[SATUAN Fix Win]]&lt;&gt;"",11612)</f>
        <v>11612</v>
      </c>
      <c r="BJ463" s="48"/>
      <c r="BK463" s="4">
        <f>IF(Table43[[#This Row],[SATUAN Fix Win]]&lt;&gt;"",1)</f>
        <v>1</v>
      </c>
    </row>
    <row r="464" spans="1:63">
      <c r="A464" s="4" t="str">
        <f>CONCATENATE(Table43[[#This Row],[Kode BARANG Win2]],Table43[[#This Row],[No. Urut
Item Sama]])</f>
        <v>K13300050200101</v>
      </c>
      <c r="B464" s="7">
        <v>1</v>
      </c>
      <c r="D464" s="28" t="s">
        <v>919</v>
      </c>
      <c r="E464" s="28"/>
      <c r="F464" s="28" t="s">
        <v>3233</v>
      </c>
      <c r="G464" s="78">
        <v>36</v>
      </c>
      <c r="H464" s="43"/>
      <c r="I464" s="28" t="str">
        <f>Table43[[#This Row],[Nama Jenis Kemasan]]</f>
        <v>BTL</v>
      </c>
      <c r="J464" s="4" t="str">
        <f>TRIM(CONCATENATE(Table43[[#This Row],[Nama            KLP]]," ",Table43[[#This Row],[Nama            Sub KLP]]))</f>
        <v>OVALE FACIAL</v>
      </c>
      <c r="K464" s="4" t="str">
        <f>CONCATENATE(Table43[[#This Row],[kode  2 Digit                (hrf+No)]],Table43[[#This Row],[kode  2 Digit                (Nomor)]],Table43[[#This Row],[kode  1 Digit                (Nomor)]])</f>
        <v>K1330</v>
      </c>
      <c r="L464" s="4" t="str">
        <f t="shared" ref="L464:L527" si="24">IF(AG464="",CONCATENATE(Q464,S464,U464,W464,Y464,AA464,AC464,AE464),CONCATENATE(Q464,S464,U464,W464,Y464,AA464,AC464,AG464))</f>
        <v>K1330005020010</v>
      </c>
      <c r="M464" s="11">
        <f t="shared" ref="M464:M527" si="25">LEN(L464)</f>
        <v>14</v>
      </c>
      <c r="N464" s="14" t="str">
        <f>IF(AF464&lt;&gt;"",TRIM(UPPER(CONCATENATE(P464," ",R464," ",T464," ",V464," ",X464," ",Z464," ","X"," ",Table43[[#This Row],[ISI/CTN]]," ",AF464," ",AB464," ",AD464," ",AH464))),TRIM(UPPER(CONCATENATE(P464," ",R464," ",T464," ",V464," ",X464," ",Z464," ","X"," ",Table43[[#This Row],[ISI/CTN]]," ",AB464," ",AD464," ",AH464))))</f>
        <v>KNF OVALE FACIAL LOTION PAPAYA 200ML X 36 BTL</v>
      </c>
      <c r="O464" s="11">
        <f t="shared" ref="O464:O527" si="26">LEN(N464)</f>
        <v>45</v>
      </c>
      <c r="P464" s="4" t="s">
        <v>97</v>
      </c>
      <c r="Q464" s="7" t="s">
        <v>98</v>
      </c>
      <c r="R464" s="4" t="s">
        <v>3896</v>
      </c>
      <c r="S464" s="44" t="s">
        <v>3897</v>
      </c>
      <c r="T464" s="45" t="s">
        <v>2961</v>
      </c>
      <c r="U464" s="7" t="s">
        <v>2900</v>
      </c>
      <c r="V464" s="45" t="s">
        <v>2961</v>
      </c>
      <c r="W464" s="44" t="s">
        <v>2900</v>
      </c>
      <c r="X464" s="4" t="s">
        <v>3902</v>
      </c>
      <c r="Y464" s="46" t="s">
        <v>2475</v>
      </c>
      <c r="Z464" s="4" t="s">
        <v>3582</v>
      </c>
      <c r="AA464" s="46" t="s">
        <v>2486</v>
      </c>
      <c r="AB464" s="4" t="s">
        <v>357</v>
      </c>
      <c r="AC464" s="7" t="s">
        <v>2656</v>
      </c>
      <c r="AD464" s="4" t="s">
        <v>2961</v>
      </c>
      <c r="AE464" s="7" t="s">
        <v>2900</v>
      </c>
      <c r="AF464" s="7" t="s">
        <v>2961</v>
      </c>
      <c r="AG464" s="7" t="s">
        <v>2961</v>
      </c>
      <c r="AI464" s="7" t="s">
        <v>4100</v>
      </c>
      <c r="AJ464" s="7" t="s">
        <v>2656</v>
      </c>
      <c r="AK464" s="41">
        <f>Table43[[#This Row],[Harga Jual Pcs GT
(-PPN)]]-(Table43[[#This Row],[Harga Jual Pcs GT
(-PPN)]]*10%)</f>
        <v>0</v>
      </c>
      <c r="AL464" s="42">
        <f>Table43[[#This Row],[Harga Beli Pcs
(-PPN)]]*Table43[[#This Row],[ISI/CTN]]</f>
        <v>0</v>
      </c>
      <c r="AM464" s="42">
        <f>Table43[[#This Row],[Harga Beli Pcs
(-PPN)]]*1.11</f>
        <v>0</v>
      </c>
      <c r="AN464" s="42">
        <f>Table43[[#This Row],[Harga Beli Krt
(- PPN)]]*1.11</f>
        <v>0</v>
      </c>
      <c r="AO464" s="42"/>
      <c r="AP464" s="42">
        <f>Table43[[#This Row],[Harga Jual Pcs GT
(-PPN)]]*Table43[[#This Row],[ISI/CTN]]</f>
        <v>0</v>
      </c>
      <c r="AQ464" s="42">
        <f>Table43[[#This Row],[Harga Jual Pcs GT
(-PPN)]]*1.11</f>
        <v>0</v>
      </c>
      <c r="AR464" s="42">
        <f>Table43[[#This Row],[Harga Jual Krt GT
(- PPN)]]*1.11</f>
        <v>0</v>
      </c>
      <c r="AS464" s="42">
        <f>Table43[[#This Row],[Harga Jual Pcs GT
(-PPN)]]</f>
        <v>0</v>
      </c>
      <c r="AT464" s="42">
        <f>(Table43[[#This Row],[Harga Jual Pcs MT
(-PPN)]]*Table43[[#This Row],[ISI/CTN]])</f>
        <v>0</v>
      </c>
      <c r="AU464" s="42">
        <f>Table43[[#This Row],[Harga Jual Pcs MT
(-PPN)]]*1.11</f>
        <v>0</v>
      </c>
      <c r="AV464" s="42">
        <f>Table43[[#This Row],[Harga Jual Pcs MT
(+PPN)]]*Table43[[#This Row],[ISI/CTN]]</f>
        <v>0</v>
      </c>
      <c r="AW464" s="47"/>
      <c r="AX464" s="7"/>
      <c r="AY464" s="7" t="str">
        <f ca="1">IF(TODAY()-Table43[[#This Row],[Efektif
Pembuatan]]&gt;60,"Lama","Baru")</f>
        <v>Lama</v>
      </c>
      <c r="AZ464" s="7" t="str">
        <f ca="1">IF(TODAY()-Table43[[#This Row],[Efektif Naik Harga]]&lt;30,"Naik","Sama")</f>
        <v>Sama</v>
      </c>
      <c r="BA464" s="7" t="str">
        <f>IF(Table43[[#This Row],[Kode BARANG Win2]]&lt;&gt;"","IDR","")</f>
        <v>IDR</v>
      </c>
      <c r="BB464" s="7" t="str">
        <f>CONCATENATE(Table43[[#This Row],[kode  1 Digit
(Nomor)]],Table43[[#This Row],[kode  4 Digit                (Nomor)]])</f>
        <v>10200</v>
      </c>
      <c r="BC464" s="7" t="str">
        <f>Table43[[#This Row],[Nama            Gramasi atau Jumlah Pack per CTN]]</f>
        <v>200ML</v>
      </c>
      <c r="BD464" s="7"/>
      <c r="BE464" s="7"/>
      <c r="BF464" s="4" t="str">
        <f>IF(Table43[[#This Row],[SATUAN Fix Win]]&lt;&gt;"","KRT")</f>
        <v>KRT</v>
      </c>
      <c r="BG464" s="4" t="str">
        <f>IF(Table43[[#This Row],[SATUAN Fix Win]]&lt;&gt;"","GD01")</f>
        <v>GD01</v>
      </c>
      <c r="BH464" s="4">
        <f>IF(Table43[[#This Row],[SATUAN Fix Win]]&lt;&gt;"",11611)</f>
        <v>11611</v>
      </c>
      <c r="BI464" s="4">
        <f>IF(Table43[[#This Row],[SATUAN Fix Win]]&lt;&gt;"",11612)</f>
        <v>11612</v>
      </c>
      <c r="BJ464" s="48"/>
      <c r="BK464" s="4">
        <f>IF(Table43[[#This Row],[SATUAN Fix Win]]&lt;&gt;"",1)</f>
        <v>1</v>
      </c>
    </row>
    <row r="465" spans="1:63">
      <c r="A465" s="4" t="str">
        <f>CONCATENATE(Table43[[#This Row],[Kode BARANG Win2]],Table43[[#This Row],[No. Urut
Item Sama]])</f>
        <v>K13300060060101</v>
      </c>
      <c r="B465" s="7">
        <v>1</v>
      </c>
      <c r="D465" s="28" t="s">
        <v>920</v>
      </c>
      <c r="E465" s="28"/>
      <c r="F465" s="28" t="s">
        <v>3234</v>
      </c>
      <c r="G465" s="78">
        <v>36</v>
      </c>
      <c r="H465" s="43"/>
      <c r="I465" s="28" t="str">
        <f>Table43[[#This Row],[Nama Jenis Kemasan]]</f>
        <v>BTL</v>
      </c>
      <c r="J465" s="4" t="str">
        <f>TRIM(CONCATENATE(Table43[[#This Row],[Nama            KLP]]," ",Table43[[#This Row],[Nama            Sub KLP]]))</f>
        <v>OVALE FACIAL</v>
      </c>
      <c r="K465" s="4" t="str">
        <f>CONCATENATE(Table43[[#This Row],[kode  2 Digit                (hrf+No)]],Table43[[#This Row],[kode  2 Digit                (Nomor)]],Table43[[#This Row],[kode  1 Digit                (Nomor)]])</f>
        <v>K1330</v>
      </c>
      <c r="L465" s="4" t="str">
        <f t="shared" si="24"/>
        <v>K1330006006010</v>
      </c>
      <c r="M465" s="11">
        <f t="shared" si="25"/>
        <v>14</v>
      </c>
      <c r="N465" s="14" t="str">
        <f>IF(AF465&lt;&gt;"",TRIM(UPPER(CONCATENATE(P465," ",R465," ",T465," ",V465," ",X465," ",Z465," ","X"," ",Table43[[#This Row],[ISI/CTN]]," ",AF465," ",AB465," ",AD465," ",AH465))),TRIM(UPPER(CONCATENATE(P465," ",R465," ",T465," ",V465," ",X465," ",Z465," ","X"," ",Table43[[#This Row],[ISI/CTN]]," ",AB465," ",AD465," ",AH465))))</f>
        <v>KNF OVALE FACIAL LOTION PORE MIN 60ML X 36 BTL</v>
      </c>
      <c r="O465" s="11">
        <f t="shared" si="26"/>
        <v>46</v>
      </c>
      <c r="P465" s="4" t="s">
        <v>97</v>
      </c>
      <c r="Q465" s="7" t="s">
        <v>98</v>
      </c>
      <c r="R465" s="4" t="s">
        <v>3896</v>
      </c>
      <c r="S465" s="44" t="s">
        <v>3897</v>
      </c>
      <c r="T465" s="45" t="s">
        <v>2961</v>
      </c>
      <c r="U465" s="7" t="s">
        <v>2900</v>
      </c>
      <c r="V465" s="45" t="s">
        <v>2961</v>
      </c>
      <c r="W465" s="44" t="s">
        <v>2900</v>
      </c>
      <c r="X465" s="4" t="s">
        <v>3903</v>
      </c>
      <c r="Y465" s="46" t="s">
        <v>2476</v>
      </c>
      <c r="Z465" s="4" t="s">
        <v>1026</v>
      </c>
      <c r="AA465" s="46" t="s">
        <v>2481</v>
      </c>
      <c r="AB465" s="4" t="s">
        <v>357</v>
      </c>
      <c r="AC465" s="7" t="s">
        <v>2656</v>
      </c>
      <c r="AD465" s="4" t="s">
        <v>2961</v>
      </c>
      <c r="AE465" s="7" t="s">
        <v>2900</v>
      </c>
      <c r="AF465" s="7" t="s">
        <v>2961</v>
      </c>
      <c r="AG465" s="7" t="s">
        <v>2961</v>
      </c>
      <c r="AI465" s="7" t="s">
        <v>4100</v>
      </c>
      <c r="AJ465" s="7" t="s">
        <v>2656</v>
      </c>
      <c r="AK465" s="41">
        <f>Table43[[#This Row],[Harga Jual Pcs GT
(-PPN)]]-(Table43[[#This Row],[Harga Jual Pcs GT
(-PPN)]]*10%)</f>
        <v>0</v>
      </c>
      <c r="AL465" s="42">
        <f>Table43[[#This Row],[Harga Beli Pcs
(-PPN)]]*Table43[[#This Row],[ISI/CTN]]</f>
        <v>0</v>
      </c>
      <c r="AM465" s="42">
        <f>Table43[[#This Row],[Harga Beli Pcs
(-PPN)]]*1.11</f>
        <v>0</v>
      </c>
      <c r="AN465" s="42">
        <f>Table43[[#This Row],[Harga Beli Krt
(- PPN)]]*1.11</f>
        <v>0</v>
      </c>
      <c r="AO465" s="42"/>
      <c r="AP465" s="42">
        <f>Table43[[#This Row],[Harga Jual Pcs GT
(-PPN)]]*Table43[[#This Row],[ISI/CTN]]</f>
        <v>0</v>
      </c>
      <c r="AQ465" s="42">
        <f>Table43[[#This Row],[Harga Jual Pcs GT
(-PPN)]]*1.11</f>
        <v>0</v>
      </c>
      <c r="AR465" s="42">
        <f>Table43[[#This Row],[Harga Jual Krt GT
(- PPN)]]*1.11</f>
        <v>0</v>
      </c>
      <c r="AS465" s="42">
        <f>Table43[[#This Row],[Harga Jual Pcs GT
(-PPN)]]</f>
        <v>0</v>
      </c>
      <c r="AT465" s="42">
        <f>(Table43[[#This Row],[Harga Jual Pcs MT
(-PPN)]]*Table43[[#This Row],[ISI/CTN]])</f>
        <v>0</v>
      </c>
      <c r="AU465" s="42">
        <f>Table43[[#This Row],[Harga Jual Pcs MT
(-PPN)]]*1.11</f>
        <v>0</v>
      </c>
      <c r="AV465" s="42">
        <f>Table43[[#This Row],[Harga Jual Pcs MT
(+PPN)]]*Table43[[#This Row],[ISI/CTN]]</f>
        <v>0</v>
      </c>
      <c r="AW465" s="47"/>
      <c r="AX465" s="7"/>
      <c r="AY465" s="7" t="str">
        <f ca="1">IF(TODAY()-Table43[[#This Row],[Efektif
Pembuatan]]&gt;60,"Lama","Baru")</f>
        <v>Lama</v>
      </c>
      <c r="AZ465" s="7" t="str">
        <f ca="1">IF(TODAY()-Table43[[#This Row],[Efektif Naik Harga]]&lt;30,"Naik","Sama")</f>
        <v>Sama</v>
      </c>
      <c r="BA465" s="7" t="str">
        <f>IF(Table43[[#This Row],[Kode BARANG Win2]]&lt;&gt;"","IDR","")</f>
        <v>IDR</v>
      </c>
      <c r="BB465" s="7" t="str">
        <f>CONCATENATE(Table43[[#This Row],[kode  1 Digit
(Nomor)]],Table43[[#This Row],[kode  4 Digit                (Nomor)]])</f>
        <v>10060</v>
      </c>
      <c r="BC465" s="7" t="str">
        <f>Table43[[#This Row],[Nama            Gramasi atau Jumlah Pack per CTN]]</f>
        <v>60ML</v>
      </c>
      <c r="BD465" s="7"/>
      <c r="BE465" s="7"/>
      <c r="BF465" s="4" t="str">
        <f>IF(Table43[[#This Row],[SATUAN Fix Win]]&lt;&gt;"","KRT")</f>
        <v>KRT</v>
      </c>
      <c r="BG465" s="4" t="str">
        <f>IF(Table43[[#This Row],[SATUAN Fix Win]]&lt;&gt;"","GD01")</f>
        <v>GD01</v>
      </c>
      <c r="BH465" s="4">
        <f>IF(Table43[[#This Row],[SATUAN Fix Win]]&lt;&gt;"",11611)</f>
        <v>11611</v>
      </c>
      <c r="BI465" s="4">
        <f>IF(Table43[[#This Row],[SATUAN Fix Win]]&lt;&gt;"",11612)</f>
        <v>11612</v>
      </c>
      <c r="BJ465" s="48"/>
      <c r="BK465" s="4">
        <f>IF(Table43[[#This Row],[SATUAN Fix Win]]&lt;&gt;"",1)</f>
        <v>1</v>
      </c>
    </row>
    <row r="466" spans="1:63">
      <c r="A466" s="4" t="str">
        <f>CONCATENATE(Table43[[#This Row],[Kode BARANG Win2]],Table43[[#This Row],[No. Urut
Item Sama]])</f>
        <v>K13300060100101</v>
      </c>
      <c r="B466" s="7">
        <v>1</v>
      </c>
      <c r="D466" s="28" t="s">
        <v>921</v>
      </c>
      <c r="E466" s="28"/>
      <c r="F466" s="28" t="s">
        <v>3235</v>
      </c>
      <c r="G466" s="78">
        <v>36</v>
      </c>
      <c r="H466" s="43"/>
      <c r="I466" s="28" t="str">
        <f>Table43[[#This Row],[Nama Jenis Kemasan]]</f>
        <v>BTL</v>
      </c>
      <c r="J466" s="4" t="str">
        <f>TRIM(CONCATENATE(Table43[[#This Row],[Nama            KLP]]," ",Table43[[#This Row],[Nama            Sub KLP]]))</f>
        <v>OVALE FACIAL</v>
      </c>
      <c r="K466" s="4" t="str">
        <f>CONCATENATE(Table43[[#This Row],[kode  2 Digit                (hrf+No)]],Table43[[#This Row],[kode  2 Digit                (Nomor)]],Table43[[#This Row],[kode  1 Digit                (Nomor)]])</f>
        <v>K1330</v>
      </c>
      <c r="L466" s="4" t="str">
        <f t="shared" si="24"/>
        <v>K1330006010010</v>
      </c>
      <c r="M466" s="11">
        <f t="shared" si="25"/>
        <v>14</v>
      </c>
      <c r="N466" s="14" t="str">
        <f>IF(AF466&lt;&gt;"",TRIM(UPPER(CONCATENATE(P466," ",R466," ",T466," ",V466," ",X466," ",Z466," ","X"," ",Table43[[#This Row],[ISI/CTN]]," ",AF466," ",AB466," ",AD466," ",AH466))),TRIM(UPPER(CONCATENATE(P466," ",R466," ",T466," ",V466," ",X466," ",Z466," ","X"," ",Table43[[#This Row],[ISI/CTN]]," ",AB466," ",AD466," ",AH466))))</f>
        <v>KNF OVALE FACIAL LOTION PORE MIN 100ML X 36 BTL</v>
      </c>
      <c r="O466" s="11">
        <f t="shared" si="26"/>
        <v>47</v>
      </c>
      <c r="P466" s="4" t="s">
        <v>97</v>
      </c>
      <c r="Q466" s="7" t="s">
        <v>98</v>
      </c>
      <c r="R466" s="4" t="s">
        <v>3896</v>
      </c>
      <c r="S466" s="44" t="s">
        <v>3897</v>
      </c>
      <c r="T466" s="45" t="s">
        <v>2961</v>
      </c>
      <c r="U466" s="7" t="s">
        <v>2900</v>
      </c>
      <c r="V466" s="45" t="s">
        <v>2961</v>
      </c>
      <c r="W466" s="44" t="s">
        <v>2900</v>
      </c>
      <c r="X466" s="4" t="s">
        <v>3903</v>
      </c>
      <c r="Y466" s="46" t="s">
        <v>2476</v>
      </c>
      <c r="Z466" s="4" t="s">
        <v>3588</v>
      </c>
      <c r="AA466" s="46" t="s">
        <v>2487</v>
      </c>
      <c r="AB466" s="4" t="s">
        <v>357</v>
      </c>
      <c r="AC466" s="7" t="s">
        <v>2656</v>
      </c>
      <c r="AD466" s="4" t="s">
        <v>2961</v>
      </c>
      <c r="AE466" s="7" t="s">
        <v>2900</v>
      </c>
      <c r="AF466" s="7" t="s">
        <v>2961</v>
      </c>
      <c r="AG466" s="7" t="s">
        <v>2961</v>
      </c>
      <c r="AI466" s="7" t="s">
        <v>4100</v>
      </c>
      <c r="AJ466" s="7" t="s">
        <v>2656</v>
      </c>
      <c r="AK466" s="41">
        <f>Table43[[#This Row],[Harga Jual Pcs GT
(-PPN)]]-(Table43[[#This Row],[Harga Jual Pcs GT
(-PPN)]]*10%)</f>
        <v>0</v>
      </c>
      <c r="AL466" s="42">
        <f>Table43[[#This Row],[Harga Beli Pcs
(-PPN)]]*Table43[[#This Row],[ISI/CTN]]</f>
        <v>0</v>
      </c>
      <c r="AM466" s="42">
        <f>Table43[[#This Row],[Harga Beli Pcs
(-PPN)]]*1.11</f>
        <v>0</v>
      </c>
      <c r="AN466" s="42">
        <f>Table43[[#This Row],[Harga Beli Krt
(- PPN)]]*1.11</f>
        <v>0</v>
      </c>
      <c r="AO466" s="42"/>
      <c r="AP466" s="42">
        <f>Table43[[#This Row],[Harga Jual Pcs GT
(-PPN)]]*Table43[[#This Row],[ISI/CTN]]</f>
        <v>0</v>
      </c>
      <c r="AQ466" s="42">
        <f>Table43[[#This Row],[Harga Jual Pcs GT
(-PPN)]]*1.11</f>
        <v>0</v>
      </c>
      <c r="AR466" s="42">
        <f>Table43[[#This Row],[Harga Jual Krt GT
(- PPN)]]*1.11</f>
        <v>0</v>
      </c>
      <c r="AS466" s="42">
        <f>Table43[[#This Row],[Harga Jual Pcs GT
(-PPN)]]</f>
        <v>0</v>
      </c>
      <c r="AT466" s="42">
        <f>(Table43[[#This Row],[Harga Jual Pcs MT
(-PPN)]]*Table43[[#This Row],[ISI/CTN]])</f>
        <v>0</v>
      </c>
      <c r="AU466" s="42">
        <f>Table43[[#This Row],[Harga Jual Pcs MT
(-PPN)]]*1.11</f>
        <v>0</v>
      </c>
      <c r="AV466" s="42">
        <f>Table43[[#This Row],[Harga Jual Pcs MT
(+PPN)]]*Table43[[#This Row],[ISI/CTN]]</f>
        <v>0</v>
      </c>
      <c r="AW466" s="47"/>
      <c r="AX466" s="7"/>
      <c r="AY466" s="7" t="str">
        <f ca="1">IF(TODAY()-Table43[[#This Row],[Efektif
Pembuatan]]&gt;60,"Lama","Baru")</f>
        <v>Lama</v>
      </c>
      <c r="AZ466" s="7" t="str">
        <f ca="1">IF(TODAY()-Table43[[#This Row],[Efektif Naik Harga]]&lt;30,"Naik","Sama")</f>
        <v>Sama</v>
      </c>
      <c r="BA466" s="7" t="str">
        <f>IF(Table43[[#This Row],[Kode BARANG Win2]]&lt;&gt;"","IDR","")</f>
        <v>IDR</v>
      </c>
      <c r="BB466" s="7" t="str">
        <f>CONCATENATE(Table43[[#This Row],[kode  1 Digit
(Nomor)]],Table43[[#This Row],[kode  4 Digit                (Nomor)]])</f>
        <v>10100</v>
      </c>
      <c r="BC466" s="7" t="str">
        <f>Table43[[#This Row],[Nama            Gramasi atau Jumlah Pack per CTN]]</f>
        <v>100ML</v>
      </c>
      <c r="BD466" s="7"/>
      <c r="BE466" s="7"/>
      <c r="BF466" s="4" t="str">
        <f>IF(Table43[[#This Row],[SATUAN Fix Win]]&lt;&gt;"","KRT")</f>
        <v>KRT</v>
      </c>
      <c r="BG466" s="4" t="str">
        <f>IF(Table43[[#This Row],[SATUAN Fix Win]]&lt;&gt;"","GD01")</f>
        <v>GD01</v>
      </c>
      <c r="BH466" s="4">
        <f>IF(Table43[[#This Row],[SATUAN Fix Win]]&lt;&gt;"",11611)</f>
        <v>11611</v>
      </c>
      <c r="BI466" s="4">
        <f>IF(Table43[[#This Row],[SATUAN Fix Win]]&lt;&gt;"",11612)</f>
        <v>11612</v>
      </c>
      <c r="BJ466" s="48"/>
      <c r="BK466" s="4">
        <f>IF(Table43[[#This Row],[SATUAN Fix Win]]&lt;&gt;"",1)</f>
        <v>1</v>
      </c>
    </row>
    <row r="467" spans="1:63">
      <c r="A467" s="4" t="str">
        <f>CONCATENATE(Table43[[#This Row],[Kode BARANG Win2]],Table43[[#This Row],[No. Urut
Item Sama]])</f>
        <v>K13300060200101</v>
      </c>
      <c r="B467" s="7">
        <v>1</v>
      </c>
      <c r="D467" s="28" t="s">
        <v>923</v>
      </c>
      <c r="E467" s="28"/>
      <c r="F467" s="28" t="s">
        <v>3236</v>
      </c>
      <c r="G467" s="78">
        <v>36</v>
      </c>
      <c r="H467" s="43"/>
      <c r="I467" s="28" t="str">
        <f>Table43[[#This Row],[Nama Jenis Kemasan]]</f>
        <v>BTL</v>
      </c>
      <c r="J467" s="4" t="str">
        <f>TRIM(CONCATENATE(Table43[[#This Row],[Nama            KLP]]," ",Table43[[#This Row],[Nama            Sub KLP]]))</f>
        <v>OVALE FACIAL</v>
      </c>
      <c r="K467" s="4" t="str">
        <f>CONCATENATE(Table43[[#This Row],[kode  2 Digit                (hrf+No)]],Table43[[#This Row],[kode  2 Digit                (Nomor)]],Table43[[#This Row],[kode  1 Digit                (Nomor)]])</f>
        <v>K1330</v>
      </c>
      <c r="L467" s="4" t="str">
        <f t="shared" si="24"/>
        <v>K1330006020010</v>
      </c>
      <c r="M467" s="11">
        <f t="shared" si="25"/>
        <v>14</v>
      </c>
      <c r="N467" s="14" t="str">
        <f>IF(AF467&lt;&gt;"",TRIM(UPPER(CONCATENATE(P467," ",R467," ",T467," ",V467," ",X467," ",Z467," ","X"," ",Table43[[#This Row],[ISI/CTN]]," ",AF467," ",AB467," ",AD467," ",AH467))),TRIM(UPPER(CONCATENATE(P467," ",R467," ",T467," ",V467," ",X467," ",Z467," ","X"," ",Table43[[#This Row],[ISI/CTN]]," ",AB467," ",AD467," ",AH467))))</f>
        <v>KNF OVALE FACIAL LOTION PORE MIN 200ML X 36 BTL</v>
      </c>
      <c r="O467" s="11">
        <f t="shared" si="26"/>
        <v>47</v>
      </c>
      <c r="P467" s="4" t="s">
        <v>97</v>
      </c>
      <c r="Q467" s="7" t="s">
        <v>98</v>
      </c>
      <c r="R467" s="4" t="s">
        <v>3896</v>
      </c>
      <c r="S467" s="44" t="s">
        <v>3897</v>
      </c>
      <c r="T467" s="45" t="s">
        <v>2961</v>
      </c>
      <c r="U467" s="7" t="s">
        <v>2900</v>
      </c>
      <c r="V467" s="45" t="s">
        <v>2961</v>
      </c>
      <c r="W467" s="44" t="s">
        <v>2900</v>
      </c>
      <c r="X467" s="4" t="s">
        <v>3903</v>
      </c>
      <c r="Y467" s="46" t="s">
        <v>2476</v>
      </c>
      <c r="Z467" s="4" t="s">
        <v>3582</v>
      </c>
      <c r="AA467" s="46" t="s">
        <v>2486</v>
      </c>
      <c r="AB467" s="4" t="s">
        <v>357</v>
      </c>
      <c r="AC467" s="7" t="s">
        <v>2656</v>
      </c>
      <c r="AD467" s="4" t="s">
        <v>2961</v>
      </c>
      <c r="AE467" s="7" t="s">
        <v>2900</v>
      </c>
      <c r="AF467" s="7" t="s">
        <v>2961</v>
      </c>
      <c r="AG467" s="7" t="s">
        <v>2961</v>
      </c>
      <c r="AI467" s="7" t="s">
        <v>4100</v>
      </c>
      <c r="AJ467" s="7" t="s">
        <v>2656</v>
      </c>
      <c r="AK467" s="41">
        <f>Table43[[#This Row],[Harga Jual Pcs GT
(-PPN)]]-(Table43[[#This Row],[Harga Jual Pcs GT
(-PPN)]]*10%)</f>
        <v>0</v>
      </c>
      <c r="AL467" s="42">
        <f>Table43[[#This Row],[Harga Beli Pcs
(-PPN)]]*Table43[[#This Row],[ISI/CTN]]</f>
        <v>0</v>
      </c>
      <c r="AM467" s="42">
        <f>Table43[[#This Row],[Harga Beli Pcs
(-PPN)]]*1.11</f>
        <v>0</v>
      </c>
      <c r="AN467" s="42">
        <f>Table43[[#This Row],[Harga Beli Krt
(- PPN)]]*1.11</f>
        <v>0</v>
      </c>
      <c r="AO467" s="42"/>
      <c r="AP467" s="42">
        <f>Table43[[#This Row],[Harga Jual Pcs GT
(-PPN)]]*Table43[[#This Row],[ISI/CTN]]</f>
        <v>0</v>
      </c>
      <c r="AQ467" s="42">
        <f>Table43[[#This Row],[Harga Jual Pcs GT
(-PPN)]]*1.11</f>
        <v>0</v>
      </c>
      <c r="AR467" s="42">
        <f>Table43[[#This Row],[Harga Jual Krt GT
(- PPN)]]*1.11</f>
        <v>0</v>
      </c>
      <c r="AS467" s="42">
        <f>Table43[[#This Row],[Harga Jual Pcs GT
(-PPN)]]</f>
        <v>0</v>
      </c>
      <c r="AT467" s="42">
        <f>(Table43[[#This Row],[Harga Jual Pcs MT
(-PPN)]]*Table43[[#This Row],[ISI/CTN]])</f>
        <v>0</v>
      </c>
      <c r="AU467" s="42">
        <f>Table43[[#This Row],[Harga Jual Pcs MT
(-PPN)]]*1.11</f>
        <v>0</v>
      </c>
      <c r="AV467" s="42">
        <f>Table43[[#This Row],[Harga Jual Pcs MT
(+PPN)]]*Table43[[#This Row],[ISI/CTN]]</f>
        <v>0</v>
      </c>
      <c r="AW467" s="47"/>
      <c r="AX467" s="7"/>
      <c r="AY467" s="7" t="str">
        <f ca="1">IF(TODAY()-Table43[[#This Row],[Efektif
Pembuatan]]&gt;60,"Lama","Baru")</f>
        <v>Lama</v>
      </c>
      <c r="AZ467" s="7" t="str">
        <f ca="1">IF(TODAY()-Table43[[#This Row],[Efektif Naik Harga]]&lt;30,"Naik","Sama")</f>
        <v>Sama</v>
      </c>
      <c r="BA467" s="7" t="str">
        <f>IF(Table43[[#This Row],[Kode BARANG Win2]]&lt;&gt;"","IDR","")</f>
        <v>IDR</v>
      </c>
      <c r="BB467" s="7" t="str">
        <f>CONCATENATE(Table43[[#This Row],[kode  1 Digit
(Nomor)]],Table43[[#This Row],[kode  4 Digit                (Nomor)]])</f>
        <v>10200</v>
      </c>
      <c r="BC467" s="7" t="str">
        <f>Table43[[#This Row],[Nama            Gramasi atau Jumlah Pack per CTN]]</f>
        <v>200ML</v>
      </c>
      <c r="BD467" s="7"/>
      <c r="BE467" s="7"/>
      <c r="BF467" s="4" t="str">
        <f>IF(Table43[[#This Row],[SATUAN Fix Win]]&lt;&gt;"","KRT")</f>
        <v>KRT</v>
      </c>
      <c r="BG467" s="4" t="str">
        <f>IF(Table43[[#This Row],[SATUAN Fix Win]]&lt;&gt;"","GD01")</f>
        <v>GD01</v>
      </c>
      <c r="BH467" s="4">
        <f>IF(Table43[[#This Row],[SATUAN Fix Win]]&lt;&gt;"",11611)</f>
        <v>11611</v>
      </c>
      <c r="BI467" s="4">
        <f>IF(Table43[[#This Row],[SATUAN Fix Win]]&lt;&gt;"",11612)</f>
        <v>11612</v>
      </c>
      <c r="BJ467" s="48"/>
      <c r="BK467" s="4">
        <f>IF(Table43[[#This Row],[SATUAN Fix Win]]&lt;&gt;"",1)</f>
        <v>1</v>
      </c>
    </row>
    <row r="468" spans="1:63">
      <c r="A468" s="4" t="str">
        <f>CONCATENATE(Table43[[#This Row],[Kode BARANG Win2]],Table43[[#This Row],[No. Urut
Item Sama]])</f>
        <v>K13400010100101</v>
      </c>
      <c r="B468" s="7">
        <v>1</v>
      </c>
      <c r="D468" s="28" t="s">
        <v>874</v>
      </c>
      <c r="E468" s="28"/>
      <c r="F468" s="28" t="s">
        <v>3237</v>
      </c>
      <c r="G468" s="78">
        <v>24</v>
      </c>
      <c r="H468" s="43"/>
      <c r="I468" s="28" t="str">
        <f>Table43[[#This Row],[Nama Jenis Kemasan]]</f>
        <v>JAR</v>
      </c>
      <c r="J468" s="4" t="str">
        <f>TRIM(CONCATENATE(Table43[[#This Row],[Nama            KLP]]," ",Table43[[#This Row],[Nama            Sub KLP]]))</f>
        <v>OVALE LULUR BALI</v>
      </c>
      <c r="K468" s="4" t="str">
        <f>CONCATENATE(Table43[[#This Row],[kode  2 Digit                (hrf+No)]],Table43[[#This Row],[kode  2 Digit                (Nomor)]],Table43[[#This Row],[kode  1 Digit                (Nomor)]])</f>
        <v>K1340</v>
      </c>
      <c r="L468" s="4" t="str">
        <f t="shared" si="24"/>
        <v>K1340001010010</v>
      </c>
      <c r="M468" s="11">
        <f t="shared" si="25"/>
        <v>14</v>
      </c>
      <c r="N468" s="14" t="str">
        <f>IF(AF468&lt;&gt;"",TRIM(UPPER(CONCATENATE(P468," ",R468," ",T468," ",V468," ",X468," ",Z468," ","X"," ",Table43[[#This Row],[ISI/CTN]]," ",AF468," ",AB468," ",AD468," ",AH468))),TRIM(UPPER(CONCATENATE(P468," ",R468," ",T468," ",V468," ",X468," ",Z468," ","X"," ",Table43[[#This Row],[ISI/CTN]]," ",AB468," ",AD468," ",AH468))))</f>
        <v>KNF OVALE LULUR BALI BENGKOANG 100GR X 24 JAR</v>
      </c>
      <c r="O468" s="11">
        <f t="shared" si="26"/>
        <v>45</v>
      </c>
      <c r="P468" s="4" t="s">
        <v>97</v>
      </c>
      <c r="Q468" s="7" t="s">
        <v>98</v>
      </c>
      <c r="R468" s="4" t="s">
        <v>3904</v>
      </c>
      <c r="S468" s="44" t="s">
        <v>3905</v>
      </c>
      <c r="T468" s="45" t="s">
        <v>2961</v>
      </c>
      <c r="U468" s="7" t="s">
        <v>2900</v>
      </c>
      <c r="V468" s="45" t="s">
        <v>2961</v>
      </c>
      <c r="W468" s="44" t="s">
        <v>2900</v>
      </c>
      <c r="X468" s="4" t="s">
        <v>3879</v>
      </c>
      <c r="Y468" s="46" t="s">
        <v>0</v>
      </c>
      <c r="Z468" s="4" t="s">
        <v>3642</v>
      </c>
      <c r="AA468" s="46" t="s">
        <v>2487</v>
      </c>
      <c r="AB468" s="4" t="s">
        <v>1019</v>
      </c>
      <c r="AC468" s="7" t="s">
        <v>2656</v>
      </c>
      <c r="AD468" s="4" t="s">
        <v>2961</v>
      </c>
      <c r="AE468" s="7" t="s">
        <v>2900</v>
      </c>
      <c r="AF468" s="7" t="s">
        <v>2961</v>
      </c>
      <c r="AG468" s="7" t="s">
        <v>2961</v>
      </c>
      <c r="AI468" s="7" t="s">
        <v>2463</v>
      </c>
      <c r="AJ468" s="7" t="s">
        <v>3562</v>
      </c>
      <c r="AK468" s="41">
        <f>Table43[[#This Row],[Harga Jual Pcs GT
(-PPN)]]-(Table43[[#This Row],[Harga Jual Pcs GT
(-PPN)]]*10%)</f>
        <v>0</v>
      </c>
      <c r="AL468" s="42">
        <f>Table43[[#This Row],[Harga Beli Pcs
(-PPN)]]*Table43[[#This Row],[ISI/CTN]]</f>
        <v>0</v>
      </c>
      <c r="AM468" s="42">
        <f>Table43[[#This Row],[Harga Beli Pcs
(-PPN)]]*1.11</f>
        <v>0</v>
      </c>
      <c r="AN468" s="42">
        <f>Table43[[#This Row],[Harga Beli Krt
(- PPN)]]*1.11</f>
        <v>0</v>
      </c>
      <c r="AO468" s="42"/>
      <c r="AP468" s="42">
        <f>Table43[[#This Row],[Harga Jual Pcs GT
(-PPN)]]*Table43[[#This Row],[ISI/CTN]]</f>
        <v>0</v>
      </c>
      <c r="AQ468" s="42">
        <f>Table43[[#This Row],[Harga Jual Pcs GT
(-PPN)]]*1.11</f>
        <v>0</v>
      </c>
      <c r="AR468" s="42">
        <f>Table43[[#This Row],[Harga Jual Krt GT
(- PPN)]]*1.11</f>
        <v>0</v>
      </c>
      <c r="AS468" s="42">
        <f>Table43[[#This Row],[Harga Jual Pcs GT
(-PPN)]]</f>
        <v>0</v>
      </c>
      <c r="AT468" s="42">
        <f>(Table43[[#This Row],[Harga Jual Pcs MT
(-PPN)]]*Table43[[#This Row],[ISI/CTN]])</f>
        <v>0</v>
      </c>
      <c r="AU468" s="42">
        <f>Table43[[#This Row],[Harga Jual Pcs MT
(-PPN)]]*1.11</f>
        <v>0</v>
      </c>
      <c r="AV468" s="42">
        <f>Table43[[#This Row],[Harga Jual Pcs MT
(+PPN)]]*Table43[[#This Row],[ISI/CTN]]</f>
        <v>0</v>
      </c>
      <c r="AW468" s="47"/>
      <c r="AX468" s="7"/>
      <c r="AY468" s="7" t="str">
        <f ca="1">IF(TODAY()-Table43[[#This Row],[Efektif
Pembuatan]]&gt;60,"Lama","Baru")</f>
        <v>Lama</v>
      </c>
      <c r="AZ468" s="7" t="str">
        <f ca="1">IF(TODAY()-Table43[[#This Row],[Efektif Naik Harga]]&lt;30,"Naik","Sama")</f>
        <v>Sama</v>
      </c>
      <c r="BA468" s="7" t="str">
        <f>IF(Table43[[#This Row],[Kode BARANG Win2]]&lt;&gt;"","IDR","")</f>
        <v>IDR</v>
      </c>
      <c r="BB468" s="7" t="str">
        <f>CONCATENATE(Table43[[#This Row],[kode  1 Digit
(Nomor)]],Table43[[#This Row],[kode  4 Digit                (Nomor)]])</f>
        <v>20100</v>
      </c>
      <c r="BC468" s="7" t="str">
        <f>Table43[[#This Row],[Nama            Gramasi atau Jumlah Pack per CTN]]</f>
        <v>100GR</v>
      </c>
      <c r="BD468" s="7"/>
      <c r="BE468" s="7"/>
      <c r="BF468" s="4" t="str">
        <f>IF(Table43[[#This Row],[SATUAN Fix Win]]&lt;&gt;"","KRT")</f>
        <v>KRT</v>
      </c>
      <c r="BG468" s="4" t="str">
        <f>IF(Table43[[#This Row],[SATUAN Fix Win]]&lt;&gt;"","GD01")</f>
        <v>GD01</v>
      </c>
      <c r="BH468" s="4">
        <f>IF(Table43[[#This Row],[SATUAN Fix Win]]&lt;&gt;"",11611)</f>
        <v>11611</v>
      </c>
      <c r="BI468" s="4">
        <f>IF(Table43[[#This Row],[SATUAN Fix Win]]&lt;&gt;"",11612)</f>
        <v>11612</v>
      </c>
      <c r="BJ468" s="48"/>
      <c r="BK468" s="4">
        <f>IF(Table43[[#This Row],[SATUAN Fix Win]]&lt;&gt;"",1)</f>
        <v>1</v>
      </c>
    </row>
    <row r="469" spans="1:63">
      <c r="A469" s="4" t="str">
        <f>CONCATENATE(Table43[[#This Row],[Kode BARANG Win2]],Table43[[#This Row],[No. Urut
Item Sama]])</f>
        <v>K13400020100101</v>
      </c>
      <c r="B469" s="7">
        <v>1</v>
      </c>
      <c r="D469" s="28" t="s">
        <v>922</v>
      </c>
      <c r="E469" s="28"/>
      <c r="F469" s="28" t="s">
        <v>3238</v>
      </c>
      <c r="G469" s="78">
        <v>24</v>
      </c>
      <c r="H469" s="43"/>
      <c r="I469" s="28" t="str">
        <f>Table43[[#This Row],[Nama Jenis Kemasan]]</f>
        <v>JAR</v>
      </c>
      <c r="J469" s="4" t="str">
        <f>TRIM(CONCATENATE(Table43[[#This Row],[Nama            KLP]]," ",Table43[[#This Row],[Nama            Sub KLP]]))</f>
        <v>OVALE LULUR BALI</v>
      </c>
      <c r="K469" s="4" t="str">
        <f>CONCATENATE(Table43[[#This Row],[kode  2 Digit                (hrf+No)]],Table43[[#This Row],[kode  2 Digit                (Nomor)]],Table43[[#This Row],[kode  1 Digit                (Nomor)]])</f>
        <v>K1340</v>
      </c>
      <c r="L469" s="4" t="str">
        <f t="shared" si="24"/>
        <v>K1340002010010</v>
      </c>
      <c r="M469" s="11">
        <f t="shared" si="25"/>
        <v>14</v>
      </c>
      <c r="N469" s="14" t="str">
        <f>IF(AF469&lt;&gt;"",TRIM(UPPER(CONCATENATE(P469," ",R469," ",T469," ",V469," ",X469," ",Z469," ","X"," ",Table43[[#This Row],[ISI/CTN]]," ",AF469," ",AB469," ",AD469," ",AH469))),TRIM(UPPER(CONCATENATE(P469," ",R469," ",T469," ",V469," ",X469," ",Z469," ","X"," ",Table43[[#This Row],[ISI/CTN]]," ",AB469," ",AD469," ",AH469))))</f>
        <v>KNF OVALE LULUR BALI BOREH 100GR X 24 JAR</v>
      </c>
      <c r="O469" s="11">
        <f t="shared" si="26"/>
        <v>41</v>
      </c>
      <c r="P469" s="4" t="s">
        <v>97</v>
      </c>
      <c r="Q469" s="7" t="s">
        <v>98</v>
      </c>
      <c r="R469" s="4" t="s">
        <v>3904</v>
      </c>
      <c r="S469" s="44" t="s">
        <v>3905</v>
      </c>
      <c r="T469" s="45" t="s">
        <v>2961</v>
      </c>
      <c r="U469" s="7" t="s">
        <v>2900</v>
      </c>
      <c r="V469" s="45" t="s">
        <v>2961</v>
      </c>
      <c r="W469" s="44" t="s">
        <v>2900</v>
      </c>
      <c r="X469" s="4" t="s">
        <v>3906</v>
      </c>
      <c r="Y469" s="46" t="s">
        <v>2472</v>
      </c>
      <c r="Z469" s="4" t="s">
        <v>3642</v>
      </c>
      <c r="AA469" s="46" t="s">
        <v>2487</v>
      </c>
      <c r="AB469" s="4" t="s">
        <v>1019</v>
      </c>
      <c r="AC469" s="7" t="s">
        <v>2656</v>
      </c>
      <c r="AD469" s="4" t="s">
        <v>2961</v>
      </c>
      <c r="AE469" s="7" t="s">
        <v>2900</v>
      </c>
      <c r="AF469" s="7" t="s">
        <v>2961</v>
      </c>
      <c r="AG469" s="7" t="s">
        <v>2961</v>
      </c>
      <c r="AI469" s="7" t="s">
        <v>2463</v>
      </c>
      <c r="AJ469" s="7" t="s">
        <v>3562</v>
      </c>
      <c r="AK469" s="41">
        <f>Table43[[#This Row],[Harga Jual Pcs GT
(-PPN)]]-(Table43[[#This Row],[Harga Jual Pcs GT
(-PPN)]]*10%)</f>
        <v>0</v>
      </c>
      <c r="AL469" s="42">
        <f>Table43[[#This Row],[Harga Beli Pcs
(-PPN)]]*Table43[[#This Row],[ISI/CTN]]</f>
        <v>0</v>
      </c>
      <c r="AM469" s="42">
        <f>Table43[[#This Row],[Harga Beli Pcs
(-PPN)]]*1.11</f>
        <v>0</v>
      </c>
      <c r="AN469" s="42">
        <f>Table43[[#This Row],[Harga Beli Krt
(- PPN)]]*1.11</f>
        <v>0</v>
      </c>
      <c r="AO469" s="42"/>
      <c r="AP469" s="42">
        <f>Table43[[#This Row],[Harga Jual Pcs GT
(-PPN)]]*Table43[[#This Row],[ISI/CTN]]</f>
        <v>0</v>
      </c>
      <c r="AQ469" s="42">
        <f>Table43[[#This Row],[Harga Jual Pcs GT
(-PPN)]]*1.11</f>
        <v>0</v>
      </c>
      <c r="AR469" s="42">
        <f>Table43[[#This Row],[Harga Jual Krt GT
(- PPN)]]*1.11</f>
        <v>0</v>
      </c>
      <c r="AS469" s="42">
        <f>Table43[[#This Row],[Harga Jual Pcs GT
(-PPN)]]</f>
        <v>0</v>
      </c>
      <c r="AT469" s="42">
        <f>(Table43[[#This Row],[Harga Jual Pcs MT
(-PPN)]]*Table43[[#This Row],[ISI/CTN]])</f>
        <v>0</v>
      </c>
      <c r="AU469" s="42">
        <f>Table43[[#This Row],[Harga Jual Pcs MT
(-PPN)]]*1.11</f>
        <v>0</v>
      </c>
      <c r="AV469" s="42">
        <f>Table43[[#This Row],[Harga Jual Pcs MT
(+PPN)]]*Table43[[#This Row],[ISI/CTN]]</f>
        <v>0</v>
      </c>
      <c r="AW469" s="47"/>
      <c r="AX469" s="7"/>
      <c r="AY469" s="7" t="str">
        <f ca="1">IF(TODAY()-Table43[[#This Row],[Efektif
Pembuatan]]&gt;60,"Lama","Baru")</f>
        <v>Lama</v>
      </c>
      <c r="AZ469" s="7" t="str">
        <f ca="1">IF(TODAY()-Table43[[#This Row],[Efektif Naik Harga]]&lt;30,"Naik","Sama")</f>
        <v>Sama</v>
      </c>
      <c r="BA469" s="7" t="str">
        <f>IF(Table43[[#This Row],[Kode BARANG Win2]]&lt;&gt;"","IDR","")</f>
        <v>IDR</v>
      </c>
      <c r="BB469" s="7" t="str">
        <f>CONCATENATE(Table43[[#This Row],[kode  1 Digit
(Nomor)]],Table43[[#This Row],[kode  4 Digit                (Nomor)]])</f>
        <v>20100</v>
      </c>
      <c r="BC469" s="7" t="str">
        <f>Table43[[#This Row],[Nama            Gramasi atau Jumlah Pack per CTN]]</f>
        <v>100GR</v>
      </c>
      <c r="BD469" s="7"/>
      <c r="BE469" s="7"/>
      <c r="BF469" s="4" t="str">
        <f>IF(Table43[[#This Row],[SATUAN Fix Win]]&lt;&gt;"","KRT")</f>
        <v>KRT</v>
      </c>
      <c r="BG469" s="4" t="str">
        <f>IF(Table43[[#This Row],[SATUAN Fix Win]]&lt;&gt;"","GD01")</f>
        <v>GD01</v>
      </c>
      <c r="BH469" s="4">
        <f>IF(Table43[[#This Row],[SATUAN Fix Win]]&lt;&gt;"",11611)</f>
        <v>11611</v>
      </c>
      <c r="BI469" s="4">
        <f>IF(Table43[[#This Row],[SATUAN Fix Win]]&lt;&gt;"",11612)</f>
        <v>11612</v>
      </c>
      <c r="BJ469" s="48"/>
      <c r="BK469" s="4">
        <f>IF(Table43[[#This Row],[SATUAN Fix Win]]&lt;&gt;"",1)</f>
        <v>1</v>
      </c>
    </row>
    <row r="470" spans="1:63">
      <c r="A470" s="4" t="str">
        <f>CONCATENATE(Table43[[#This Row],[Kode BARANG Win2]],Table43[[#This Row],[No. Urut
Item Sama]])</f>
        <v>K13400020100101</v>
      </c>
      <c r="B470" s="7">
        <v>1</v>
      </c>
      <c r="D470" s="28" t="s">
        <v>4080</v>
      </c>
      <c r="E470" s="28"/>
      <c r="F470" s="28">
        <v>0</v>
      </c>
      <c r="G470" s="78">
        <v>24</v>
      </c>
      <c r="H470" s="43"/>
      <c r="I470" s="28" t="str">
        <f>Table43[[#This Row],[Nama Jenis Kemasan]]</f>
        <v>JAR</v>
      </c>
      <c r="J470" s="4" t="str">
        <f>TRIM(CONCATENATE(Table43[[#This Row],[Nama            KLP]]," ",Table43[[#This Row],[Nama            Sub KLP]]))</f>
        <v>OVALE LULUR BALI</v>
      </c>
      <c r="K470" s="4" t="str">
        <f>CONCATENATE(Table43[[#This Row],[kode  2 Digit                (hrf+No)]],Table43[[#This Row],[kode  2 Digit                (Nomor)]],Table43[[#This Row],[kode  1 Digit                (Nomor)]])</f>
        <v>K1340</v>
      </c>
      <c r="L470" s="4" t="str">
        <f t="shared" si="24"/>
        <v>K1340002010010</v>
      </c>
      <c r="M470" s="11">
        <f t="shared" si="25"/>
        <v>14</v>
      </c>
      <c r="N470" s="14" t="str">
        <f>IF(AF470&lt;&gt;"",TRIM(UPPER(CONCATENATE(P470," ",R470," ",T470," ",V470," ",X470," ",Z470," ","X"," ",Table43[[#This Row],[ISI/CTN]]," ",AF470," ",AB470," ",AD470," ",AH470))),TRIM(UPPER(CONCATENATE(P470," ",R470," ",T470," ",V470," ",X470," ",Z470," ","X"," ",Table43[[#This Row],[ISI/CTN]]," ",AB470," ",AD470," ",AH470))))</f>
        <v>KNF OVALE LULUR BALI BOREH 100GR X 24 JAR</v>
      </c>
      <c r="O470" s="11">
        <f t="shared" si="26"/>
        <v>41</v>
      </c>
      <c r="P470" s="4" t="s">
        <v>97</v>
      </c>
      <c r="Q470" s="7" t="s">
        <v>98</v>
      </c>
      <c r="R470" s="4" t="s">
        <v>3904</v>
      </c>
      <c r="S470" s="44" t="s">
        <v>3905</v>
      </c>
      <c r="T470" s="45" t="s">
        <v>2961</v>
      </c>
      <c r="U470" s="7" t="s">
        <v>2900</v>
      </c>
      <c r="V470" s="45" t="s">
        <v>2961</v>
      </c>
      <c r="W470" s="44" t="s">
        <v>2900</v>
      </c>
      <c r="X470" s="4" t="s">
        <v>3906</v>
      </c>
      <c r="Y470" s="46" t="s">
        <v>2472</v>
      </c>
      <c r="Z470" s="4" t="s">
        <v>3642</v>
      </c>
      <c r="AA470" s="46" t="s">
        <v>2487</v>
      </c>
      <c r="AB470" s="4" t="s">
        <v>1019</v>
      </c>
      <c r="AC470" s="7" t="s">
        <v>2656</v>
      </c>
      <c r="AD470" s="4" t="s">
        <v>2961</v>
      </c>
      <c r="AE470" s="7" t="s">
        <v>2900</v>
      </c>
      <c r="AF470" s="7" t="s">
        <v>2961</v>
      </c>
      <c r="AG470" s="7" t="s">
        <v>2961</v>
      </c>
      <c r="AI470" s="7" t="s">
        <v>2463</v>
      </c>
      <c r="AJ470" s="7" t="s">
        <v>3562</v>
      </c>
      <c r="AK470" s="41">
        <f>Table43[[#This Row],[Harga Jual Pcs GT
(-PPN)]]-(Table43[[#This Row],[Harga Jual Pcs GT
(-PPN)]]*10%)</f>
        <v>0</v>
      </c>
      <c r="AL470" s="42">
        <f>Table43[[#This Row],[Harga Beli Pcs
(-PPN)]]*Table43[[#This Row],[ISI/CTN]]</f>
        <v>0</v>
      </c>
      <c r="AM470" s="42">
        <f>Table43[[#This Row],[Harga Beli Pcs
(-PPN)]]*1.11</f>
        <v>0</v>
      </c>
      <c r="AN470" s="42">
        <f>Table43[[#This Row],[Harga Beli Krt
(- PPN)]]*1.11</f>
        <v>0</v>
      </c>
      <c r="AO470" s="42"/>
      <c r="AP470" s="42">
        <f>Table43[[#This Row],[Harga Jual Pcs GT
(-PPN)]]*Table43[[#This Row],[ISI/CTN]]</f>
        <v>0</v>
      </c>
      <c r="AQ470" s="42">
        <f>Table43[[#This Row],[Harga Jual Pcs GT
(-PPN)]]*1.11</f>
        <v>0</v>
      </c>
      <c r="AR470" s="42">
        <f>Table43[[#This Row],[Harga Jual Krt GT
(- PPN)]]*1.11</f>
        <v>0</v>
      </c>
      <c r="AS470" s="42">
        <f>Table43[[#This Row],[Harga Jual Pcs GT
(-PPN)]]</f>
        <v>0</v>
      </c>
      <c r="AT470" s="42">
        <f>(Table43[[#This Row],[Harga Jual Pcs MT
(-PPN)]]*Table43[[#This Row],[ISI/CTN]])</f>
        <v>0</v>
      </c>
      <c r="AU470" s="42">
        <f>Table43[[#This Row],[Harga Jual Pcs MT
(-PPN)]]*1.11</f>
        <v>0</v>
      </c>
      <c r="AV470" s="42">
        <f>Table43[[#This Row],[Harga Jual Pcs MT
(+PPN)]]*Table43[[#This Row],[ISI/CTN]]</f>
        <v>0</v>
      </c>
      <c r="AW470" s="47"/>
      <c r="AX470" s="7"/>
      <c r="AY470" s="7" t="str">
        <f ca="1">IF(TODAY()-Table43[[#This Row],[Efektif
Pembuatan]]&gt;60,"Lama","Baru")</f>
        <v>Lama</v>
      </c>
      <c r="AZ470" s="7" t="str">
        <f ca="1">IF(TODAY()-Table43[[#This Row],[Efektif Naik Harga]]&lt;30,"Naik","Sama")</f>
        <v>Sama</v>
      </c>
      <c r="BA470" s="7" t="str">
        <f>IF(Table43[[#This Row],[Kode BARANG Win2]]&lt;&gt;"","IDR","")</f>
        <v>IDR</v>
      </c>
      <c r="BB470" s="7" t="str">
        <f>CONCATENATE(Table43[[#This Row],[kode  1 Digit
(Nomor)]],Table43[[#This Row],[kode  4 Digit                (Nomor)]])</f>
        <v>20100</v>
      </c>
      <c r="BC470" s="7" t="str">
        <f>Table43[[#This Row],[Nama            Gramasi atau Jumlah Pack per CTN]]</f>
        <v>100GR</v>
      </c>
      <c r="BD470" s="7"/>
      <c r="BE470" s="7"/>
      <c r="BF470" s="4" t="str">
        <f>IF(Table43[[#This Row],[SATUAN Fix Win]]&lt;&gt;"","KRT")</f>
        <v>KRT</v>
      </c>
      <c r="BG470" s="4" t="str">
        <f>IF(Table43[[#This Row],[SATUAN Fix Win]]&lt;&gt;"","GD01")</f>
        <v>GD01</v>
      </c>
      <c r="BH470" s="4">
        <f>IF(Table43[[#This Row],[SATUAN Fix Win]]&lt;&gt;"",11611)</f>
        <v>11611</v>
      </c>
      <c r="BI470" s="4">
        <f>IF(Table43[[#This Row],[SATUAN Fix Win]]&lt;&gt;"",11612)</f>
        <v>11612</v>
      </c>
      <c r="BJ470" s="48"/>
      <c r="BK470" s="4">
        <f>IF(Table43[[#This Row],[SATUAN Fix Win]]&lt;&gt;"",1)</f>
        <v>1</v>
      </c>
    </row>
    <row r="471" spans="1:63">
      <c r="A471" s="4" t="str">
        <f>CONCATENATE(Table43[[#This Row],[Kode BARANG Win2]],Table43[[#This Row],[No. Urut
Item Sama]])</f>
        <v>K13400030100101</v>
      </c>
      <c r="B471" s="7">
        <v>1</v>
      </c>
      <c r="D471" s="28" t="s">
        <v>918</v>
      </c>
      <c r="E471" s="28"/>
      <c r="F471" s="28" t="s">
        <v>3239</v>
      </c>
      <c r="G471" s="78">
        <v>24</v>
      </c>
      <c r="H471" s="43"/>
      <c r="I471" s="28" t="str">
        <f>Table43[[#This Row],[Nama Jenis Kemasan]]</f>
        <v>JAR</v>
      </c>
      <c r="J471" s="4" t="str">
        <f>TRIM(CONCATENATE(Table43[[#This Row],[Nama            KLP]]," ",Table43[[#This Row],[Nama            Sub KLP]]))</f>
        <v>OVALE LULUR BALI</v>
      </c>
      <c r="K471" s="4" t="str">
        <f>CONCATENATE(Table43[[#This Row],[kode  2 Digit                (hrf+No)]],Table43[[#This Row],[kode  2 Digit                (Nomor)]],Table43[[#This Row],[kode  1 Digit                (Nomor)]])</f>
        <v>K1340</v>
      </c>
      <c r="L471" s="4" t="str">
        <f t="shared" si="24"/>
        <v>K1340003010010</v>
      </c>
      <c r="M471" s="11">
        <f t="shared" si="25"/>
        <v>14</v>
      </c>
      <c r="N471" s="14" t="str">
        <f>IF(AF471&lt;&gt;"",TRIM(UPPER(CONCATENATE(P471," ",R471," ",T471," ",V471," ",X471," ",Z471," ","X"," ",Table43[[#This Row],[ISI/CTN]]," ",AF471," ",AB471," ",AD471," ",AH471))),TRIM(UPPER(CONCATENATE(P471," ",R471," ",T471," ",V471," ",X471," ",Z471," ","X"," ",Table43[[#This Row],[ISI/CTN]]," ",AB471," ",AD471," ",AH471))))</f>
        <v>KNF OVALE LULUR BALI CHOCOLATE 100GR X 24 JAR</v>
      </c>
      <c r="O471" s="11">
        <f t="shared" si="26"/>
        <v>45</v>
      </c>
      <c r="P471" s="4" t="s">
        <v>97</v>
      </c>
      <c r="Q471" s="7" t="s">
        <v>98</v>
      </c>
      <c r="R471" s="4" t="s">
        <v>3904</v>
      </c>
      <c r="S471" s="44" t="s">
        <v>3905</v>
      </c>
      <c r="T471" s="45" t="s">
        <v>2961</v>
      </c>
      <c r="U471" s="7" t="s">
        <v>2900</v>
      </c>
      <c r="V471" s="45" t="s">
        <v>2961</v>
      </c>
      <c r="W471" s="44" t="s">
        <v>2900</v>
      </c>
      <c r="X471" s="4" t="s">
        <v>3907</v>
      </c>
      <c r="Y471" s="46" t="s">
        <v>2473</v>
      </c>
      <c r="Z471" s="4" t="s">
        <v>3642</v>
      </c>
      <c r="AA471" s="46" t="s">
        <v>2487</v>
      </c>
      <c r="AB471" s="4" t="s">
        <v>1019</v>
      </c>
      <c r="AC471" s="7" t="s">
        <v>2656</v>
      </c>
      <c r="AD471" s="4" t="s">
        <v>2961</v>
      </c>
      <c r="AE471" s="7" t="s">
        <v>2900</v>
      </c>
      <c r="AF471" s="7" t="s">
        <v>2961</v>
      </c>
      <c r="AG471" s="7" t="s">
        <v>2961</v>
      </c>
      <c r="AI471" s="7" t="s">
        <v>2463</v>
      </c>
      <c r="AJ471" s="7" t="s">
        <v>3562</v>
      </c>
      <c r="AK471" s="41">
        <f>Table43[[#This Row],[Harga Jual Pcs GT
(-PPN)]]-(Table43[[#This Row],[Harga Jual Pcs GT
(-PPN)]]*10%)</f>
        <v>0</v>
      </c>
      <c r="AL471" s="42">
        <f>Table43[[#This Row],[Harga Beli Pcs
(-PPN)]]*Table43[[#This Row],[ISI/CTN]]</f>
        <v>0</v>
      </c>
      <c r="AM471" s="42">
        <f>Table43[[#This Row],[Harga Beli Pcs
(-PPN)]]*1.11</f>
        <v>0</v>
      </c>
      <c r="AN471" s="42">
        <f>Table43[[#This Row],[Harga Beli Krt
(- PPN)]]*1.11</f>
        <v>0</v>
      </c>
      <c r="AO471" s="42"/>
      <c r="AP471" s="42">
        <f>Table43[[#This Row],[Harga Jual Pcs GT
(-PPN)]]*Table43[[#This Row],[ISI/CTN]]</f>
        <v>0</v>
      </c>
      <c r="AQ471" s="42">
        <f>Table43[[#This Row],[Harga Jual Pcs GT
(-PPN)]]*1.11</f>
        <v>0</v>
      </c>
      <c r="AR471" s="42">
        <f>Table43[[#This Row],[Harga Jual Krt GT
(- PPN)]]*1.11</f>
        <v>0</v>
      </c>
      <c r="AS471" s="42">
        <f>Table43[[#This Row],[Harga Jual Pcs GT
(-PPN)]]</f>
        <v>0</v>
      </c>
      <c r="AT471" s="42">
        <f>(Table43[[#This Row],[Harga Jual Pcs MT
(-PPN)]]*Table43[[#This Row],[ISI/CTN]])</f>
        <v>0</v>
      </c>
      <c r="AU471" s="42">
        <f>Table43[[#This Row],[Harga Jual Pcs MT
(-PPN)]]*1.11</f>
        <v>0</v>
      </c>
      <c r="AV471" s="42">
        <f>Table43[[#This Row],[Harga Jual Pcs MT
(+PPN)]]*Table43[[#This Row],[ISI/CTN]]</f>
        <v>0</v>
      </c>
      <c r="AW471" s="47"/>
      <c r="AX471" s="7"/>
      <c r="AY471" s="7" t="str">
        <f ca="1">IF(TODAY()-Table43[[#This Row],[Efektif
Pembuatan]]&gt;60,"Lama","Baru")</f>
        <v>Lama</v>
      </c>
      <c r="AZ471" s="7" t="str">
        <f ca="1">IF(TODAY()-Table43[[#This Row],[Efektif Naik Harga]]&lt;30,"Naik","Sama")</f>
        <v>Sama</v>
      </c>
      <c r="BA471" s="7" t="str">
        <f>IF(Table43[[#This Row],[Kode BARANG Win2]]&lt;&gt;"","IDR","")</f>
        <v>IDR</v>
      </c>
      <c r="BB471" s="7" t="str">
        <f>CONCATENATE(Table43[[#This Row],[kode  1 Digit
(Nomor)]],Table43[[#This Row],[kode  4 Digit                (Nomor)]])</f>
        <v>20100</v>
      </c>
      <c r="BC471" s="7" t="str">
        <f>Table43[[#This Row],[Nama            Gramasi atau Jumlah Pack per CTN]]</f>
        <v>100GR</v>
      </c>
      <c r="BD471" s="7"/>
      <c r="BE471" s="7"/>
      <c r="BF471" s="4" t="str">
        <f>IF(Table43[[#This Row],[SATUAN Fix Win]]&lt;&gt;"","KRT")</f>
        <v>KRT</v>
      </c>
      <c r="BG471" s="4" t="str">
        <f>IF(Table43[[#This Row],[SATUAN Fix Win]]&lt;&gt;"","GD01")</f>
        <v>GD01</v>
      </c>
      <c r="BH471" s="4">
        <f>IF(Table43[[#This Row],[SATUAN Fix Win]]&lt;&gt;"",11611)</f>
        <v>11611</v>
      </c>
      <c r="BI471" s="4">
        <f>IF(Table43[[#This Row],[SATUAN Fix Win]]&lt;&gt;"",11612)</f>
        <v>11612</v>
      </c>
      <c r="BJ471" s="48"/>
      <c r="BK471" s="4">
        <f>IF(Table43[[#This Row],[SATUAN Fix Win]]&lt;&gt;"",1)</f>
        <v>1</v>
      </c>
    </row>
    <row r="472" spans="1:63">
      <c r="A472" s="4" t="str">
        <f>CONCATENATE(Table43[[#This Row],[Kode BARANG Win2]],Table43[[#This Row],[No. Urut
Item Sama]])</f>
        <v>K13400040100101</v>
      </c>
      <c r="B472" s="7">
        <v>1</v>
      </c>
      <c r="D472" s="28" t="s">
        <v>912</v>
      </c>
      <c r="E472" s="28"/>
      <c r="F472" s="28" t="s">
        <v>3240</v>
      </c>
      <c r="G472" s="78">
        <v>24</v>
      </c>
      <c r="H472" s="43"/>
      <c r="I472" s="28" t="str">
        <f>Table43[[#This Row],[Nama Jenis Kemasan]]</f>
        <v>JAR</v>
      </c>
      <c r="J472" s="4" t="str">
        <f>TRIM(CONCATENATE(Table43[[#This Row],[Nama            KLP]]," ",Table43[[#This Row],[Nama            Sub KLP]]))</f>
        <v>OVALE LULUR BALI</v>
      </c>
      <c r="K472" s="4" t="str">
        <f>CONCATENATE(Table43[[#This Row],[kode  2 Digit                (hrf+No)]],Table43[[#This Row],[kode  2 Digit                (Nomor)]],Table43[[#This Row],[kode  1 Digit                (Nomor)]])</f>
        <v>K1340</v>
      </c>
      <c r="L472" s="4" t="str">
        <f t="shared" si="24"/>
        <v>K1340004010010</v>
      </c>
      <c r="M472" s="11">
        <f t="shared" si="25"/>
        <v>14</v>
      </c>
      <c r="N472" s="14" t="str">
        <f>IF(AF472&lt;&gt;"",TRIM(UPPER(CONCATENATE(P472," ",R472," ",T472," ",V472," ",X472," ",Z472," ","X"," ",Table43[[#This Row],[ISI/CTN]]," ",AF472," ",AB472," ",AD472," ",AH472))),TRIM(UPPER(CONCATENATE(P472," ",R472," ",T472," ",V472," ",X472," ",Z472," ","X"," ",Table43[[#This Row],[ISI/CTN]]," ",AB472," ",AD472," ",AH472))))</f>
        <v>KNF OVALE LULUR BALI COFFEE 100GR X 24 JAR</v>
      </c>
      <c r="O472" s="11">
        <f t="shared" si="26"/>
        <v>42</v>
      </c>
      <c r="P472" s="4" t="s">
        <v>97</v>
      </c>
      <c r="Q472" s="7" t="s">
        <v>98</v>
      </c>
      <c r="R472" s="4" t="s">
        <v>3904</v>
      </c>
      <c r="S472" s="44" t="s">
        <v>3905</v>
      </c>
      <c r="T472" s="45" t="s">
        <v>2961</v>
      </c>
      <c r="U472" s="7" t="s">
        <v>2900</v>
      </c>
      <c r="V472" s="45" t="s">
        <v>2961</v>
      </c>
      <c r="W472" s="44" t="s">
        <v>2900</v>
      </c>
      <c r="X472" s="4" t="s">
        <v>3908</v>
      </c>
      <c r="Y472" s="46" t="s">
        <v>2474</v>
      </c>
      <c r="Z472" s="4" t="s">
        <v>3642</v>
      </c>
      <c r="AA472" s="46" t="s">
        <v>2487</v>
      </c>
      <c r="AB472" s="4" t="s">
        <v>1019</v>
      </c>
      <c r="AC472" s="7" t="s">
        <v>2656</v>
      </c>
      <c r="AD472" s="4" t="s">
        <v>2961</v>
      </c>
      <c r="AE472" s="7" t="s">
        <v>2900</v>
      </c>
      <c r="AF472" s="7" t="s">
        <v>2961</v>
      </c>
      <c r="AG472" s="7" t="s">
        <v>2961</v>
      </c>
      <c r="AI472" s="7" t="s">
        <v>2463</v>
      </c>
      <c r="AJ472" s="7" t="s">
        <v>3562</v>
      </c>
      <c r="AK472" s="41">
        <f>Table43[[#This Row],[Harga Jual Pcs GT
(-PPN)]]-(Table43[[#This Row],[Harga Jual Pcs GT
(-PPN)]]*10%)</f>
        <v>0</v>
      </c>
      <c r="AL472" s="42">
        <f>Table43[[#This Row],[Harga Beli Pcs
(-PPN)]]*Table43[[#This Row],[ISI/CTN]]</f>
        <v>0</v>
      </c>
      <c r="AM472" s="42">
        <f>Table43[[#This Row],[Harga Beli Pcs
(-PPN)]]*1.11</f>
        <v>0</v>
      </c>
      <c r="AN472" s="42">
        <f>Table43[[#This Row],[Harga Beli Krt
(- PPN)]]*1.11</f>
        <v>0</v>
      </c>
      <c r="AO472" s="42"/>
      <c r="AP472" s="42">
        <f>Table43[[#This Row],[Harga Jual Pcs GT
(-PPN)]]*Table43[[#This Row],[ISI/CTN]]</f>
        <v>0</v>
      </c>
      <c r="AQ472" s="42">
        <f>Table43[[#This Row],[Harga Jual Pcs GT
(-PPN)]]*1.11</f>
        <v>0</v>
      </c>
      <c r="AR472" s="42">
        <f>Table43[[#This Row],[Harga Jual Krt GT
(- PPN)]]*1.11</f>
        <v>0</v>
      </c>
      <c r="AS472" s="42">
        <f>Table43[[#This Row],[Harga Jual Pcs GT
(-PPN)]]</f>
        <v>0</v>
      </c>
      <c r="AT472" s="42">
        <f>(Table43[[#This Row],[Harga Jual Pcs MT
(-PPN)]]*Table43[[#This Row],[ISI/CTN]])</f>
        <v>0</v>
      </c>
      <c r="AU472" s="42">
        <f>Table43[[#This Row],[Harga Jual Pcs MT
(-PPN)]]*1.11</f>
        <v>0</v>
      </c>
      <c r="AV472" s="42">
        <f>Table43[[#This Row],[Harga Jual Pcs MT
(+PPN)]]*Table43[[#This Row],[ISI/CTN]]</f>
        <v>0</v>
      </c>
      <c r="AW472" s="47"/>
      <c r="AX472" s="7"/>
      <c r="AY472" s="7" t="str">
        <f ca="1">IF(TODAY()-Table43[[#This Row],[Efektif
Pembuatan]]&gt;60,"Lama","Baru")</f>
        <v>Lama</v>
      </c>
      <c r="AZ472" s="7" t="str">
        <f ca="1">IF(TODAY()-Table43[[#This Row],[Efektif Naik Harga]]&lt;30,"Naik","Sama")</f>
        <v>Sama</v>
      </c>
      <c r="BA472" s="7" t="str">
        <f>IF(Table43[[#This Row],[Kode BARANG Win2]]&lt;&gt;"","IDR","")</f>
        <v>IDR</v>
      </c>
      <c r="BB472" s="7" t="str">
        <f>CONCATENATE(Table43[[#This Row],[kode  1 Digit
(Nomor)]],Table43[[#This Row],[kode  4 Digit                (Nomor)]])</f>
        <v>20100</v>
      </c>
      <c r="BC472" s="7" t="str">
        <f>Table43[[#This Row],[Nama            Gramasi atau Jumlah Pack per CTN]]</f>
        <v>100GR</v>
      </c>
      <c r="BD472" s="7"/>
      <c r="BE472" s="7"/>
      <c r="BF472" s="4" t="str">
        <f>IF(Table43[[#This Row],[SATUAN Fix Win]]&lt;&gt;"","KRT")</f>
        <v>KRT</v>
      </c>
      <c r="BG472" s="4" t="str">
        <f>IF(Table43[[#This Row],[SATUAN Fix Win]]&lt;&gt;"","GD01")</f>
        <v>GD01</v>
      </c>
      <c r="BH472" s="4">
        <f>IF(Table43[[#This Row],[SATUAN Fix Win]]&lt;&gt;"",11611)</f>
        <v>11611</v>
      </c>
      <c r="BI472" s="4">
        <f>IF(Table43[[#This Row],[SATUAN Fix Win]]&lt;&gt;"",11612)</f>
        <v>11612</v>
      </c>
      <c r="BJ472" s="48"/>
      <c r="BK472" s="4">
        <f>IF(Table43[[#This Row],[SATUAN Fix Win]]&lt;&gt;"",1)</f>
        <v>1</v>
      </c>
    </row>
    <row r="473" spans="1:63">
      <c r="A473" s="4" t="str">
        <f>CONCATENATE(Table43[[#This Row],[Kode BARANG Win2]],Table43[[#This Row],[No. Urut
Item Sama]])</f>
        <v>K13400040100101</v>
      </c>
      <c r="B473" s="7">
        <v>1</v>
      </c>
      <c r="D473" s="28" t="s">
        <v>4081</v>
      </c>
      <c r="E473" s="28"/>
      <c r="F473" s="28">
        <v>0</v>
      </c>
      <c r="G473" s="78">
        <v>24</v>
      </c>
      <c r="H473" s="43"/>
      <c r="I473" s="28" t="str">
        <f>Table43[[#This Row],[Nama Jenis Kemasan]]</f>
        <v>JAR</v>
      </c>
      <c r="J473" s="4" t="str">
        <f>TRIM(CONCATENATE(Table43[[#This Row],[Nama            KLP]]," ",Table43[[#This Row],[Nama            Sub KLP]]))</f>
        <v>OVALE LULUR BALI</v>
      </c>
      <c r="K473" s="4" t="str">
        <f>CONCATENATE(Table43[[#This Row],[kode  2 Digit                (hrf+No)]],Table43[[#This Row],[kode  2 Digit                (Nomor)]],Table43[[#This Row],[kode  1 Digit                (Nomor)]])</f>
        <v>K1340</v>
      </c>
      <c r="L473" s="4" t="str">
        <f t="shared" si="24"/>
        <v>K1340004010010</v>
      </c>
      <c r="M473" s="11">
        <f t="shared" si="25"/>
        <v>14</v>
      </c>
      <c r="N473" s="14" t="str">
        <f>IF(AF473&lt;&gt;"",TRIM(UPPER(CONCATENATE(P473," ",R473," ",T473," ",V473," ",X473," ",Z473," ","X"," ",Table43[[#This Row],[ISI/CTN]]," ",AF473," ",AB473," ",AD473," ",AH473))),TRIM(UPPER(CONCATENATE(P473," ",R473," ",T473," ",V473," ",X473," ",Z473," ","X"," ",Table43[[#This Row],[ISI/CTN]]," ",AB473," ",AD473," ",AH473))))</f>
        <v>KNF OVALE LULUR BALI COFFEE 100GR X 24 JAR</v>
      </c>
      <c r="O473" s="11">
        <f t="shared" si="26"/>
        <v>42</v>
      </c>
      <c r="P473" s="4" t="s">
        <v>97</v>
      </c>
      <c r="Q473" s="7" t="s">
        <v>98</v>
      </c>
      <c r="R473" s="4" t="s">
        <v>3904</v>
      </c>
      <c r="S473" s="44" t="s">
        <v>3905</v>
      </c>
      <c r="T473" s="45" t="s">
        <v>2961</v>
      </c>
      <c r="U473" s="7" t="s">
        <v>2900</v>
      </c>
      <c r="V473" s="45" t="s">
        <v>2961</v>
      </c>
      <c r="W473" s="44" t="s">
        <v>2900</v>
      </c>
      <c r="X473" s="4" t="s">
        <v>3908</v>
      </c>
      <c r="Y473" s="46" t="s">
        <v>2474</v>
      </c>
      <c r="Z473" s="4" t="s">
        <v>3642</v>
      </c>
      <c r="AA473" s="46" t="s">
        <v>2487</v>
      </c>
      <c r="AB473" s="4" t="s">
        <v>1019</v>
      </c>
      <c r="AC473" s="7" t="s">
        <v>2656</v>
      </c>
      <c r="AD473" s="4" t="s">
        <v>2961</v>
      </c>
      <c r="AE473" s="7" t="s">
        <v>2900</v>
      </c>
      <c r="AF473" s="7" t="s">
        <v>2961</v>
      </c>
      <c r="AG473" s="7" t="s">
        <v>2961</v>
      </c>
      <c r="AI473" s="7" t="s">
        <v>2463</v>
      </c>
      <c r="AJ473" s="7" t="s">
        <v>3562</v>
      </c>
      <c r="AK473" s="41">
        <f>Table43[[#This Row],[Harga Jual Pcs GT
(-PPN)]]-(Table43[[#This Row],[Harga Jual Pcs GT
(-PPN)]]*10%)</f>
        <v>0</v>
      </c>
      <c r="AL473" s="42">
        <f>Table43[[#This Row],[Harga Beli Pcs
(-PPN)]]*Table43[[#This Row],[ISI/CTN]]</f>
        <v>0</v>
      </c>
      <c r="AM473" s="42">
        <f>Table43[[#This Row],[Harga Beli Pcs
(-PPN)]]*1.11</f>
        <v>0</v>
      </c>
      <c r="AN473" s="42">
        <f>Table43[[#This Row],[Harga Beli Krt
(- PPN)]]*1.11</f>
        <v>0</v>
      </c>
      <c r="AO473" s="42"/>
      <c r="AP473" s="42">
        <f>Table43[[#This Row],[Harga Jual Pcs GT
(-PPN)]]*Table43[[#This Row],[ISI/CTN]]</f>
        <v>0</v>
      </c>
      <c r="AQ473" s="42">
        <f>Table43[[#This Row],[Harga Jual Pcs GT
(-PPN)]]*1.11</f>
        <v>0</v>
      </c>
      <c r="AR473" s="42">
        <f>Table43[[#This Row],[Harga Jual Krt GT
(- PPN)]]*1.11</f>
        <v>0</v>
      </c>
      <c r="AS473" s="42">
        <f>Table43[[#This Row],[Harga Jual Pcs GT
(-PPN)]]</f>
        <v>0</v>
      </c>
      <c r="AT473" s="42">
        <f>(Table43[[#This Row],[Harga Jual Pcs MT
(-PPN)]]*Table43[[#This Row],[ISI/CTN]])</f>
        <v>0</v>
      </c>
      <c r="AU473" s="42">
        <f>Table43[[#This Row],[Harga Jual Pcs MT
(-PPN)]]*1.11</f>
        <v>0</v>
      </c>
      <c r="AV473" s="42">
        <f>Table43[[#This Row],[Harga Jual Pcs MT
(+PPN)]]*Table43[[#This Row],[ISI/CTN]]</f>
        <v>0</v>
      </c>
      <c r="AW473" s="47"/>
      <c r="AX473" s="7"/>
      <c r="AY473" s="7" t="str">
        <f ca="1">IF(TODAY()-Table43[[#This Row],[Efektif
Pembuatan]]&gt;60,"Lama","Baru")</f>
        <v>Lama</v>
      </c>
      <c r="AZ473" s="7" t="str">
        <f ca="1">IF(TODAY()-Table43[[#This Row],[Efektif Naik Harga]]&lt;30,"Naik","Sama")</f>
        <v>Sama</v>
      </c>
      <c r="BA473" s="7" t="str">
        <f>IF(Table43[[#This Row],[Kode BARANG Win2]]&lt;&gt;"","IDR","")</f>
        <v>IDR</v>
      </c>
      <c r="BB473" s="7" t="str">
        <f>CONCATENATE(Table43[[#This Row],[kode  1 Digit
(Nomor)]],Table43[[#This Row],[kode  4 Digit                (Nomor)]])</f>
        <v>20100</v>
      </c>
      <c r="BC473" s="7" t="str">
        <f>Table43[[#This Row],[Nama            Gramasi atau Jumlah Pack per CTN]]</f>
        <v>100GR</v>
      </c>
      <c r="BD473" s="7"/>
      <c r="BE473" s="7"/>
      <c r="BF473" s="4" t="str">
        <f>IF(Table43[[#This Row],[SATUAN Fix Win]]&lt;&gt;"","KRT")</f>
        <v>KRT</v>
      </c>
      <c r="BG473" s="4" t="str">
        <f>IF(Table43[[#This Row],[SATUAN Fix Win]]&lt;&gt;"","GD01")</f>
        <v>GD01</v>
      </c>
      <c r="BH473" s="4">
        <f>IF(Table43[[#This Row],[SATUAN Fix Win]]&lt;&gt;"",11611)</f>
        <v>11611</v>
      </c>
      <c r="BI473" s="4">
        <f>IF(Table43[[#This Row],[SATUAN Fix Win]]&lt;&gt;"",11612)</f>
        <v>11612</v>
      </c>
      <c r="BJ473" s="48"/>
      <c r="BK473" s="4">
        <f>IF(Table43[[#This Row],[SATUAN Fix Win]]&lt;&gt;"",1)</f>
        <v>1</v>
      </c>
    </row>
    <row r="474" spans="1:63">
      <c r="A474" s="4" t="str">
        <f>CONCATENATE(Table43[[#This Row],[Kode BARANG Win2]],Table43[[#This Row],[No. Urut
Item Sama]])</f>
        <v>K13400050100101</v>
      </c>
      <c r="B474" s="7">
        <v>1</v>
      </c>
      <c r="D474" s="28" t="s">
        <v>894</v>
      </c>
      <c r="E474" s="28"/>
      <c r="F474" s="28" t="s">
        <v>3241</v>
      </c>
      <c r="G474" s="78">
        <v>24</v>
      </c>
      <c r="H474" s="43"/>
      <c r="I474" s="28" t="str">
        <f>Table43[[#This Row],[Nama Jenis Kemasan]]</f>
        <v>JAR</v>
      </c>
      <c r="J474" s="4" t="str">
        <f>TRIM(CONCATENATE(Table43[[#This Row],[Nama            KLP]]," ",Table43[[#This Row],[Nama            Sub KLP]]))</f>
        <v>OVALE LULUR BALI</v>
      </c>
      <c r="K474" s="4" t="str">
        <f>CONCATENATE(Table43[[#This Row],[kode  2 Digit                (hrf+No)]],Table43[[#This Row],[kode  2 Digit                (Nomor)]],Table43[[#This Row],[kode  1 Digit                (Nomor)]])</f>
        <v>K1340</v>
      </c>
      <c r="L474" s="4" t="str">
        <f t="shared" si="24"/>
        <v>K1340005010010</v>
      </c>
      <c r="M474" s="11">
        <f t="shared" si="25"/>
        <v>14</v>
      </c>
      <c r="N474" s="14" t="str">
        <f>IF(AF474&lt;&gt;"",TRIM(UPPER(CONCATENATE(P474," ",R474," ",T474," ",V474," ",X474," ",Z474," ","X"," ",Table43[[#This Row],[ISI/CTN]]," ",AF474," ",AB474," ",AD474," ",AH474))),TRIM(UPPER(CONCATENATE(P474," ",R474," ",T474," ",V474," ",X474," ",Z474," ","X"," ",Table43[[#This Row],[ISI/CTN]]," ",AB474," ",AD474," ",AH474))))</f>
        <v>KNF OVALE LULUR BALI HONEY COCONUT 100GR X 24 JAR</v>
      </c>
      <c r="O474" s="11">
        <f t="shared" si="26"/>
        <v>49</v>
      </c>
      <c r="P474" s="4" t="s">
        <v>97</v>
      </c>
      <c r="Q474" s="7" t="s">
        <v>98</v>
      </c>
      <c r="R474" s="4" t="s">
        <v>3904</v>
      </c>
      <c r="S474" s="44" t="s">
        <v>3905</v>
      </c>
      <c r="T474" s="45" t="s">
        <v>2961</v>
      </c>
      <c r="U474" s="7" t="s">
        <v>2900</v>
      </c>
      <c r="V474" s="45" t="s">
        <v>2961</v>
      </c>
      <c r="W474" s="44" t="s">
        <v>2900</v>
      </c>
      <c r="X474" s="4" t="s">
        <v>3909</v>
      </c>
      <c r="Y474" s="46" t="s">
        <v>2475</v>
      </c>
      <c r="Z474" s="4" t="s">
        <v>3642</v>
      </c>
      <c r="AA474" s="46" t="s">
        <v>2487</v>
      </c>
      <c r="AB474" s="4" t="s">
        <v>1019</v>
      </c>
      <c r="AC474" s="7" t="s">
        <v>2656</v>
      </c>
      <c r="AD474" s="4" t="s">
        <v>2961</v>
      </c>
      <c r="AE474" s="7" t="s">
        <v>2900</v>
      </c>
      <c r="AF474" s="7" t="s">
        <v>2961</v>
      </c>
      <c r="AG474" s="7" t="s">
        <v>2961</v>
      </c>
      <c r="AI474" s="7" t="s">
        <v>2463</v>
      </c>
      <c r="AJ474" s="7" t="s">
        <v>3562</v>
      </c>
      <c r="AK474" s="41">
        <f>Table43[[#This Row],[Harga Jual Pcs GT
(-PPN)]]-(Table43[[#This Row],[Harga Jual Pcs GT
(-PPN)]]*10%)</f>
        <v>0</v>
      </c>
      <c r="AL474" s="42">
        <f>Table43[[#This Row],[Harga Beli Pcs
(-PPN)]]*Table43[[#This Row],[ISI/CTN]]</f>
        <v>0</v>
      </c>
      <c r="AM474" s="42">
        <f>Table43[[#This Row],[Harga Beli Pcs
(-PPN)]]*1.11</f>
        <v>0</v>
      </c>
      <c r="AN474" s="42">
        <f>Table43[[#This Row],[Harga Beli Krt
(- PPN)]]*1.11</f>
        <v>0</v>
      </c>
      <c r="AO474" s="42"/>
      <c r="AP474" s="42">
        <f>Table43[[#This Row],[Harga Jual Pcs GT
(-PPN)]]*Table43[[#This Row],[ISI/CTN]]</f>
        <v>0</v>
      </c>
      <c r="AQ474" s="42">
        <f>Table43[[#This Row],[Harga Jual Pcs GT
(-PPN)]]*1.11</f>
        <v>0</v>
      </c>
      <c r="AR474" s="42">
        <f>Table43[[#This Row],[Harga Jual Krt GT
(- PPN)]]*1.11</f>
        <v>0</v>
      </c>
      <c r="AS474" s="42">
        <f>Table43[[#This Row],[Harga Jual Pcs GT
(-PPN)]]</f>
        <v>0</v>
      </c>
      <c r="AT474" s="42">
        <f>(Table43[[#This Row],[Harga Jual Pcs MT
(-PPN)]]*Table43[[#This Row],[ISI/CTN]])</f>
        <v>0</v>
      </c>
      <c r="AU474" s="42">
        <f>Table43[[#This Row],[Harga Jual Pcs MT
(-PPN)]]*1.11</f>
        <v>0</v>
      </c>
      <c r="AV474" s="42">
        <f>Table43[[#This Row],[Harga Jual Pcs MT
(+PPN)]]*Table43[[#This Row],[ISI/CTN]]</f>
        <v>0</v>
      </c>
      <c r="AW474" s="47"/>
      <c r="AX474" s="7"/>
      <c r="AY474" s="7" t="str">
        <f ca="1">IF(TODAY()-Table43[[#This Row],[Efektif
Pembuatan]]&gt;60,"Lama","Baru")</f>
        <v>Lama</v>
      </c>
      <c r="AZ474" s="7" t="str">
        <f ca="1">IF(TODAY()-Table43[[#This Row],[Efektif Naik Harga]]&lt;30,"Naik","Sama")</f>
        <v>Sama</v>
      </c>
      <c r="BA474" s="7" t="str">
        <f>IF(Table43[[#This Row],[Kode BARANG Win2]]&lt;&gt;"","IDR","")</f>
        <v>IDR</v>
      </c>
      <c r="BB474" s="7" t="str">
        <f>CONCATENATE(Table43[[#This Row],[kode  1 Digit
(Nomor)]],Table43[[#This Row],[kode  4 Digit                (Nomor)]])</f>
        <v>20100</v>
      </c>
      <c r="BC474" s="7" t="str">
        <f>Table43[[#This Row],[Nama            Gramasi atau Jumlah Pack per CTN]]</f>
        <v>100GR</v>
      </c>
      <c r="BD474" s="7"/>
      <c r="BE474" s="7"/>
      <c r="BF474" s="4" t="str">
        <f>IF(Table43[[#This Row],[SATUAN Fix Win]]&lt;&gt;"","KRT")</f>
        <v>KRT</v>
      </c>
      <c r="BG474" s="4" t="str">
        <f>IF(Table43[[#This Row],[SATUAN Fix Win]]&lt;&gt;"","GD01")</f>
        <v>GD01</v>
      </c>
      <c r="BH474" s="4">
        <f>IF(Table43[[#This Row],[SATUAN Fix Win]]&lt;&gt;"",11611)</f>
        <v>11611</v>
      </c>
      <c r="BI474" s="4">
        <f>IF(Table43[[#This Row],[SATUAN Fix Win]]&lt;&gt;"",11612)</f>
        <v>11612</v>
      </c>
      <c r="BJ474" s="48"/>
      <c r="BK474" s="4">
        <f>IF(Table43[[#This Row],[SATUAN Fix Win]]&lt;&gt;"",1)</f>
        <v>1</v>
      </c>
    </row>
    <row r="475" spans="1:63">
      <c r="A475" s="4" t="str">
        <f>CONCATENATE(Table43[[#This Row],[Kode BARANG Win2]],Table43[[#This Row],[No. Urut
Item Sama]])</f>
        <v>K13400050100101</v>
      </c>
      <c r="B475" s="7">
        <v>1</v>
      </c>
      <c r="D475" s="28" t="s">
        <v>4082</v>
      </c>
      <c r="E475" s="28"/>
      <c r="F475" s="28">
        <v>0</v>
      </c>
      <c r="G475" s="78">
        <v>24</v>
      </c>
      <c r="H475" s="43"/>
      <c r="I475" s="28" t="str">
        <f>Table43[[#This Row],[Nama Jenis Kemasan]]</f>
        <v>JAR</v>
      </c>
      <c r="J475" s="4" t="str">
        <f>TRIM(CONCATENATE(Table43[[#This Row],[Nama            KLP]]," ",Table43[[#This Row],[Nama            Sub KLP]]))</f>
        <v>OVALE LULUR BALI</v>
      </c>
      <c r="K475" s="4" t="str">
        <f>CONCATENATE(Table43[[#This Row],[kode  2 Digit                (hrf+No)]],Table43[[#This Row],[kode  2 Digit                (Nomor)]],Table43[[#This Row],[kode  1 Digit                (Nomor)]])</f>
        <v>K1340</v>
      </c>
      <c r="L475" s="4" t="str">
        <f t="shared" si="24"/>
        <v>K1340005010010</v>
      </c>
      <c r="M475" s="11">
        <f t="shared" si="25"/>
        <v>14</v>
      </c>
      <c r="N475" s="14" t="str">
        <f>IF(AF475&lt;&gt;"",TRIM(UPPER(CONCATENATE(P475," ",R475," ",T475," ",V475," ",X475," ",Z475," ","X"," ",Table43[[#This Row],[ISI/CTN]]," ",AF475," ",AB475," ",AD475," ",AH475))),TRIM(UPPER(CONCATENATE(P475," ",R475," ",T475," ",V475," ",X475," ",Z475," ","X"," ",Table43[[#This Row],[ISI/CTN]]," ",AB475," ",AD475," ",AH475))))</f>
        <v>KNF OVALE LULUR BALI HONEY COCONUT 100GR X 24 JAR</v>
      </c>
      <c r="O475" s="11">
        <f t="shared" si="26"/>
        <v>49</v>
      </c>
      <c r="P475" s="4" t="s">
        <v>97</v>
      </c>
      <c r="Q475" s="7" t="s">
        <v>98</v>
      </c>
      <c r="R475" s="4" t="s">
        <v>3904</v>
      </c>
      <c r="S475" s="44" t="s">
        <v>3905</v>
      </c>
      <c r="T475" s="45" t="s">
        <v>2961</v>
      </c>
      <c r="U475" s="7" t="s">
        <v>2900</v>
      </c>
      <c r="V475" s="45" t="s">
        <v>2961</v>
      </c>
      <c r="W475" s="44" t="s">
        <v>2900</v>
      </c>
      <c r="X475" s="4" t="s">
        <v>3909</v>
      </c>
      <c r="Y475" s="46" t="s">
        <v>2475</v>
      </c>
      <c r="Z475" s="4" t="s">
        <v>3642</v>
      </c>
      <c r="AA475" s="46" t="s">
        <v>2487</v>
      </c>
      <c r="AB475" s="4" t="s">
        <v>1019</v>
      </c>
      <c r="AC475" s="7" t="s">
        <v>2656</v>
      </c>
      <c r="AD475" s="4" t="s">
        <v>2961</v>
      </c>
      <c r="AE475" s="7" t="s">
        <v>2900</v>
      </c>
      <c r="AF475" s="7" t="s">
        <v>2961</v>
      </c>
      <c r="AG475" s="7" t="s">
        <v>2961</v>
      </c>
      <c r="AI475" s="7" t="s">
        <v>360</v>
      </c>
      <c r="AJ475" s="7" t="s">
        <v>3590</v>
      </c>
      <c r="AK475" s="41">
        <f>Table43[[#This Row],[Harga Jual Pcs GT
(-PPN)]]-(Table43[[#This Row],[Harga Jual Pcs GT
(-PPN)]]*10%)</f>
        <v>0</v>
      </c>
      <c r="AL475" s="42">
        <f>Table43[[#This Row],[Harga Beli Pcs
(-PPN)]]*Table43[[#This Row],[ISI/CTN]]</f>
        <v>0</v>
      </c>
      <c r="AM475" s="42">
        <f>Table43[[#This Row],[Harga Beli Pcs
(-PPN)]]*1.11</f>
        <v>0</v>
      </c>
      <c r="AN475" s="42">
        <f>Table43[[#This Row],[Harga Beli Krt
(- PPN)]]*1.11</f>
        <v>0</v>
      </c>
      <c r="AO475" s="42"/>
      <c r="AP475" s="42">
        <f>Table43[[#This Row],[Harga Jual Pcs GT
(-PPN)]]*Table43[[#This Row],[ISI/CTN]]</f>
        <v>0</v>
      </c>
      <c r="AQ475" s="42">
        <f>Table43[[#This Row],[Harga Jual Pcs GT
(-PPN)]]*1.11</f>
        <v>0</v>
      </c>
      <c r="AR475" s="42">
        <f>Table43[[#This Row],[Harga Jual Krt GT
(- PPN)]]*1.11</f>
        <v>0</v>
      </c>
      <c r="AS475" s="42">
        <f>Table43[[#This Row],[Harga Jual Pcs GT
(-PPN)]]</f>
        <v>0</v>
      </c>
      <c r="AT475" s="42">
        <f>(Table43[[#This Row],[Harga Jual Pcs MT
(-PPN)]]*Table43[[#This Row],[ISI/CTN]])</f>
        <v>0</v>
      </c>
      <c r="AU475" s="42">
        <f>Table43[[#This Row],[Harga Jual Pcs MT
(-PPN)]]*1.11</f>
        <v>0</v>
      </c>
      <c r="AV475" s="42">
        <f>Table43[[#This Row],[Harga Jual Pcs MT
(+PPN)]]*Table43[[#This Row],[ISI/CTN]]</f>
        <v>0</v>
      </c>
      <c r="AW475" s="47"/>
      <c r="AX475" s="7"/>
      <c r="AY475" s="7" t="str">
        <f ca="1">IF(TODAY()-Table43[[#This Row],[Efektif
Pembuatan]]&gt;60,"Lama","Baru")</f>
        <v>Lama</v>
      </c>
      <c r="AZ475" s="7" t="str">
        <f ca="1">IF(TODAY()-Table43[[#This Row],[Efektif Naik Harga]]&lt;30,"Naik","Sama")</f>
        <v>Sama</v>
      </c>
      <c r="BA475" s="7" t="str">
        <f>IF(Table43[[#This Row],[Kode BARANG Win2]]&lt;&gt;"","IDR","")</f>
        <v>IDR</v>
      </c>
      <c r="BB475" s="7" t="str">
        <f>CONCATENATE(Table43[[#This Row],[kode  1 Digit
(Nomor)]],Table43[[#This Row],[kode  4 Digit                (Nomor)]])</f>
        <v>30100</v>
      </c>
      <c r="BC475" s="7" t="str">
        <f>Table43[[#This Row],[Nama            Gramasi atau Jumlah Pack per CTN]]</f>
        <v>100GR</v>
      </c>
      <c r="BD475" s="7"/>
      <c r="BE475" s="7"/>
      <c r="BF475" s="4" t="str">
        <f>IF(Table43[[#This Row],[SATUAN Fix Win]]&lt;&gt;"","KRT")</f>
        <v>KRT</v>
      </c>
      <c r="BG475" s="4" t="str">
        <f>IF(Table43[[#This Row],[SATUAN Fix Win]]&lt;&gt;"","GD01")</f>
        <v>GD01</v>
      </c>
      <c r="BH475" s="4">
        <f>IF(Table43[[#This Row],[SATUAN Fix Win]]&lt;&gt;"",11611)</f>
        <v>11611</v>
      </c>
      <c r="BI475" s="4">
        <f>IF(Table43[[#This Row],[SATUAN Fix Win]]&lt;&gt;"",11612)</f>
        <v>11612</v>
      </c>
      <c r="BJ475" s="48"/>
      <c r="BK475" s="4">
        <f>IF(Table43[[#This Row],[SATUAN Fix Win]]&lt;&gt;"",1)</f>
        <v>1</v>
      </c>
    </row>
    <row r="476" spans="1:63">
      <c r="A476" s="4" t="str">
        <f>CONCATENATE(Table43[[#This Row],[Kode BARANG Win2]],Table43[[#This Row],[No. Urut
Item Sama]])</f>
        <v>K13400060100101</v>
      </c>
      <c r="B476" s="7">
        <v>1</v>
      </c>
      <c r="D476" s="28" t="s">
        <v>906</v>
      </c>
      <c r="E476" s="28"/>
      <c r="F476" s="28" t="s">
        <v>3242</v>
      </c>
      <c r="G476" s="78">
        <v>24</v>
      </c>
      <c r="H476" s="43"/>
      <c r="I476" s="28" t="str">
        <f>Table43[[#This Row],[Nama Jenis Kemasan]]</f>
        <v>JAR</v>
      </c>
      <c r="J476" s="4" t="str">
        <f>TRIM(CONCATENATE(Table43[[#This Row],[Nama            KLP]]," ",Table43[[#This Row],[Nama            Sub KLP]]))</f>
        <v>OVALE LULUR BALI</v>
      </c>
      <c r="K476" s="4" t="str">
        <f>CONCATENATE(Table43[[#This Row],[kode  2 Digit                (hrf+No)]],Table43[[#This Row],[kode  2 Digit                (Nomor)]],Table43[[#This Row],[kode  1 Digit                (Nomor)]])</f>
        <v>K1340</v>
      </c>
      <c r="L476" s="4" t="str">
        <f t="shared" si="24"/>
        <v>K1340006010010</v>
      </c>
      <c r="M476" s="11">
        <f t="shared" si="25"/>
        <v>14</v>
      </c>
      <c r="N476" s="14" t="str">
        <f>IF(AF476&lt;&gt;"",TRIM(UPPER(CONCATENATE(P476," ",R476," ",T476," ",V476," ",X476," ",Z476," ","X"," ",Table43[[#This Row],[ISI/CTN]]," ",AF476," ",AB476," ",AD476," ",AH476))),TRIM(UPPER(CONCATENATE(P476," ",R476," ",T476," ",V476," ",X476," ",Z476," ","X"," ",Table43[[#This Row],[ISI/CTN]]," ",AB476," ",AD476," ",AH476))))</f>
        <v>KNF OVALE LULUR BALI MILK 100GR X 24 JAR</v>
      </c>
      <c r="O476" s="11">
        <f t="shared" si="26"/>
        <v>40</v>
      </c>
      <c r="P476" s="4" t="s">
        <v>97</v>
      </c>
      <c r="Q476" s="7" t="s">
        <v>98</v>
      </c>
      <c r="R476" s="4" t="s">
        <v>3904</v>
      </c>
      <c r="S476" s="44" t="s">
        <v>3905</v>
      </c>
      <c r="T476" s="45" t="s">
        <v>2961</v>
      </c>
      <c r="U476" s="7" t="s">
        <v>2900</v>
      </c>
      <c r="V476" s="45" t="s">
        <v>2961</v>
      </c>
      <c r="W476" s="44" t="s">
        <v>2900</v>
      </c>
      <c r="X476" s="4" t="s">
        <v>3910</v>
      </c>
      <c r="Y476" s="46" t="s">
        <v>2476</v>
      </c>
      <c r="Z476" s="4" t="s">
        <v>3642</v>
      </c>
      <c r="AA476" s="46" t="s">
        <v>2487</v>
      </c>
      <c r="AB476" s="4" t="s">
        <v>1019</v>
      </c>
      <c r="AC476" s="7" t="s">
        <v>2656</v>
      </c>
      <c r="AD476" s="4" t="s">
        <v>2961</v>
      </c>
      <c r="AE476" s="7" t="s">
        <v>2900</v>
      </c>
      <c r="AF476" s="7" t="s">
        <v>2961</v>
      </c>
      <c r="AG476" s="7" t="s">
        <v>2961</v>
      </c>
      <c r="AI476" s="7" t="s">
        <v>2463</v>
      </c>
      <c r="AJ476" s="7" t="s">
        <v>3562</v>
      </c>
      <c r="AK476" s="41">
        <f>Table43[[#This Row],[Harga Jual Pcs GT
(-PPN)]]-(Table43[[#This Row],[Harga Jual Pcs GT
(-PPN)]]*10%)</f>
        <v>0</v>
      </c>
      <c r="AL476" s="42">
        <f>Table43[[#This Row],[Harga Beli Pcs
(-PPN)]]*Table43[[#This Row],[ISI/CTN]]</f>
        <v>0</v>
      </c>
      <c r="AM476" s="42">
        <f>Table43[[#This Row],[Harga Beli Pcs
(-PPN)]]*1.11</f>
        <v>0</v>
      </c>
      <c r="AN476" s="42">
        <f>Table43[[#This Row],[Harga Beli Krt
(- PPN)]]*1.11</f>
        <v>0</v>
      </c>
      <c r="AO476" s="42"/>
      <c r="AP476" s="42">
        <f>Table43[[#This Row],[Harga Jual Pcs GT
(-PPN)]]*Table43[[#This Row],[ISI/CTN]]</f>
        <v>0</v>
      </c>
      <c r="AQ476" s="42">
        <f>Table43[[#This Row],[Harga Jual Pcs GT
(-PPN)]]*1.11</f>
        <v>0</v>
      </c>
      <c r="AR476" s="42">
        <f>Table43[[#This Row],[Harga Jual Krt GT
(- PPN)]]*1.11</f>
        <v>0</v>
      </c>
      <c r="AS476" s="42">
        <f>Table43[[#This Row],[Harga Jual Pcs GT
(-PPN)]]</f>
        <v>0</v>
      </c>
      <c r="AT476" s="42">
        <f>(Table43[[#This Row],[Harga Jual Pcs MT
(-PPN)]]*Table43[[#This Row],[ISI/CTN]])</f>
        <v>0</v>
      </c>
      <c r="AU476" s="42">
        <f>Table43[[#This Row],[Harga Jual Pcs MT
(-PPN)]]*1.11</f>
        <v>0</v>
      </c>
      <c r="AV476" s="42">
        <f>Table43[[#This Row],[Harga Jual Pcs MT
(+PPN)]]*Table43[[#This Row],[ISI/CTN]]</f>
        <v>0</v>
      </c>
      <c r="AW476" s="47"/>
      <c r="AX476" s="7"/>
      <c r="AY476" s="7" t="str">
        <f ca="1">IF(TODAY()-Table43[[#This Row],[Efektif
Pembuatan]]&gt;60,"Lama","Baru")</f>
        <v>Lama</v>
      </c>
      <c r="AZ476" s="7" t="str">
        <f ca="1">IF(TODAY()-Table43[[#This Row],[Efektif Naik Harga]]&lt;30,"Naik","Sama")</f>
        <v>Sama</v>
      </c>
      <c r="BA476" s="7" t="str">
        <f>IF(Table43[[#This Row],[Kode BARANG Win2]]&lt;&gt;"","IDR","")</f>
        <v>IDR</v>
      </c>
      <c r="BB476" s="7" t="str">
        <f>CONCATENATE(Table43[[#This Row],[kode  1 Digit
(Nomor)]],Table43[[#This Row],[kode  4 Digit                (Nomor)]])</f>
        <v>20100</v>
      </c>
      <c r="BC476" s="7" t="str">
        <f>Table43[[#This Row],[Nama            Gramasi atau Jumlah Pack per CTN]]</f>
        <v>100GR</v>
      </c>
      <c r="BD476" s="7"/>
      <c r="BE476" s="7"/>
      <c r="BF476" s="4" t="str">
        <f>IF(Table43[[#This Row],[SATUAN Fix Win]]&lt;&gt;"","KRT")</f>
        <v>KRT</v>
      </c>
      <c r="BG476" s="4" t="str">
        <f>IF(Table43[[#This Row],[SATUAN Fix Win]]&lt;&gt;"","GD01")</f>
        <v>GD01</v>
      </c>
      <c r="BH476" s="4">
        <f>IF(Table43[[#This Row],[SATUAN Fix Win]]&lt;&gt;"",11611)</f>
        <v>11611</v>
      </c>
      <c r="BI476" s="4">
        <f>IF(Table43[[#This Row],[SATUAN Fix Win]]&lt;&gt;"",11612)</f>
        <v>11612</v>
      </c>
      <c r="BJ476" s="48"/>
      <c r="BK476" s="4">
        <f>IF(Table43[[#This Row],[SATUAN Fix Win]]&lt;&gt;"",1)</f>
        <v>1</v>
      </c>
    </row>
    <row r="477" spans="1:63">
      <c r="A477" s="4" t="str">
        <f>CONCATENATE(Table43[[#This Row],[Kode BARANG Win2]],Table43[[#This Row],[No. Urut
Item Sama]])</f>
        <v>K13400060100101</v>
      </c>
      <c r="B477" s="7">
        <v>1</v>
      </c>
      <c r="D477" s="28" t="s">
        <v>4083</v>
      </c>
      <c r="E477" s="28"/>
      <c r="F477" s="28">
        <v>0</v>
      </c>
      <c r="G477" s="78">
        <v>24</v>
      </c>
      <c r="H477" s="43"/>
      <c r="I477" s="28" t="str">
        <f>Table43[[#This Row],[Nama Jenis Kemasan]]</f>
        <v>JAR</v>
      </c>
      <c r="J477" s="4" t="str">
        <f>TRIM(CONCATENATE(Table43[[#This Row],[Nama            KLP]]," ",Table43[[#This Row],[Nama            Sub KLP]]))</f>
        <v>OVALE LULUR BALI</v>
      </c>
      <c r="K477" s="4" t="str">
        <f>CONCATENATE(Table43[[#This Row],[kode  2 Digit                (hrf+No)]],Table43[[#This Row],[kode  2 Digit                (Nomor)]],Table43[[#This Row],[kode  1 Digit                (Nomor)]])</f>
        <v>K1340</v>
      </c>
      <c r="L477" s="4" t="str">
        <f t="shared" si="24"/>
        <v>K1340006010010</v>
      </c>
      <c r="M477" s="11">
        <f t="shared" si="25"/>
        <v>14</v>
      </c>
      <c r="N477" s="14" t="str">
        <f>IF(AF477&lt;&gt;"",TRIM(UPPER(CONCATENATE(P477," ",R477," ",T477," ",V477," ",X477," ",Z477," ","X"," ",Table43[[#This Row],[ISI/CTN]]," ",AF477," ",AB477," ",AD477," ",AH477))),TRIM(UPPER(CONCATENATE(P477," ",R477," ",T477," ",V477," ",X477," ",Z477," ","X"," ",Table43[[#This Row],[ISI/CTN]]," ",AB477," ",AD477," ",AH477))))</f>
        <v>KNF OVALE LULUR BALI MILK 100GR X 24 JAR</v>
      </c>
      <c r="O477" s="11">
        <f t="shared" si="26"/>
        <v>40</v>
      </c>
      <c r="P477" s="4" t="s">
        <v>97</v>
      </c>
      <c r="Q477" s="7" t="s">
        <v>98</v>
      </c>
      <c r="R477" s="4" t="s">
        <v>3904</v>
      </c>
      <c r="S477" s="44" t="s">
        <v>3905</v>
      </c>
      <c r="T477" s="45" t="s">
        <v>2961</v>
      </c>
      <c r="U477" s="7" t="s">
        <v>2900</v>
      </c>
      <c r="V477" s="45" t="s">
        <v>2961</v>
      </c>
      <c r="W477" s="44" t="s">
        <v>2900</v>
      </c>
      <c r="X477" s="4" t="s">
        <v>3910</v>
      </c>
      <c r="Y477" s="46" t="s">
        <v>2476</v>
      </c>
      <c r="Z477" s="4" t="s">
        <v>3642</v>
      </c>
      <c r="AA477" s="46" t="s">
        <v>2487</v>
      </c>
      <c r="AB477" s="4" t="s">
        <v>1019</v>
      </c>
      <c r="AC477" s="7" t="s">
        <v>2656</v>
      </c>
      <c r="AD477" s="4" t="s">
        <v>2961</v>
      </c>
      <c r="AE477" s="7" t="s">
        <v>2900</v>
      </c>
      <c r="AF477" s="7" t="s">
        <v>2961</v>
      </c>
      <c r="AG477" s="7" t="s">
        <v>2961</v>
      </c>
      <c r="AI477" s="7" t="s">
        <v>2463</v>
      </c>
      <c r="AJ477" s="7" t="s">
        <v>3562</v>
      </c>
      <c r="AK477" s="41">
        <f>Table43[[#This Row],[Harga Jual Pcs GT
(-PPN)]]-(Table43[[#This Row],[Harga Jual Pcs GT
(-PPN)]]*10%)</f>
        <v>0</v>
      </c>
      <c r="AL477" s="42">
        <f>Table43[[#This Row],[Harga Beli Pcs
(-PPN)]]*Table43[[#This Row],[ISI/CTN]]</f>
        <v>0</v>
      </c>
      <c r="AM477" s="42">
        <f>Table43[[#This Row],[Harga Beli Pcs
(-PPN)]]*1.11</f>
        <v>0</v>
      </c>
      <c r="AN477" s="42">
        <f>Table43[[#This Row],[Harga Beli Krt
(- PPN)]]*1.11</f>
        <v>0</v>
      </c>
      <c r="AO477" s="42"/>
      <c r="AP477" s="42">
        <f>Table43[[#This Row],[Harga Jual Pcs GT
(-PPN)]]*Table43[[#This Row],[ISI/CTN]]</f>
        <v>0</v>
      </c>
      <c r="AQ477" s="42">
        <f>Table43[[#This Row],[Harga Jual Pcs GT
(-PPN)]]*1.11</f>
        <v>0</v>
      </c>
      <c r="AR477" s="42">
        <f>Table43[[#This Row],[Harga Jual Krt GT
(- PPN)]]*1.11</f>
        <v>0</v>
      </c>
      <c r="AS477" s="42">
        <f>Table43[[#This Row],[Harga Jual Pcs GT
(-PPN)]]</f>
        <v>0</v>
      </c>
      <c r="AT477" s="42">
        <f>(Table43[[#This Row],[Harga Jual Pcs MT
(-PPN)]]*Table43[[#This Row],[ISI/CTN]])</f>
        <v>0</v>
      </c>
      <c r="AU477" s="42">
        <f>Table43[[#This Row],[Harga Jual Pcs MT
(-PPN)]]*1.11</f>
        <v>0</v>
      </c>
      <c r="AV477" s="42">
        <f>Table43[[#This Row],[Harga Jual Pcs MT
(+PPN)]]*Table43[[#This Row],[ISI/CTN]]</f>
        <v>0</v>
      </c>
      <c r="AW477" s="47"/>
      <c r="AX477" s="7"/>
      <c r="AY477" s="7" t="str">
        <f ca="1">IF(TODAY()-Table43[[#This Row],[Efektif
Pembuatan]]&gt;60,"Lama","Baru")</f>
        <v>Lama</v>
      </c>
      <c r="AZ477" s="7" t="str">
        <f ca="1">IF(TODAY()-Table43[[#This Row],[Efektif Naik Harga]]&lt;30,"Naik","Sama")</f>
        <v>Sama</v>
      </c>
      <c r="BA477" s="7" t="str">
        <f>IF(Table43[[#This Row],[Kode BARANG Win2]]&lt;&gt;"","IDR","")</f>
        <v>IDR</v>
      </c>
      <c r="BB477" s="7" t="str">
        <f>CONCATENATE(Table43[[#This Row],[kode  1 Digit
(Nomor)]],Table43[[#This Row],[kode  4 Digit                (Nomor)]])</f>
        <v>20100</v>
      </c>
      <c r="BC477" s="7" t="str">
        <f>Table43[[#This Row],[Nama            Gramasi atau Jumlah Pack per CTN]]</f>
        <v>100GR</v>
      </c>
      <c r="BD477" s="7"/>
      <c r="BE477" s="7"/>
      <c r="BF477" s="4" t="str">
        <f>IF(Table43[[#This Row],[SATUAN Fix Win]]&lt;&gt;"","KRT")</f>
        <v>KRT</v>
      </c>
      <c r="BG477" s="4" t="str">
        <f>IF(Table43[[#This Row],[SATUAN Fix Win]]&lt;&gt;"","GD01")</f>
        <v>GD01</v>
      </c>
      <c r="BH477" s="4">
        <f>IF(Table43[[#This Row],[SATUAN Fix Win]]&lt;&gt;"",11611)</f>
        <v>11611</v>
      </c>
      <c r="BI477" s="4">
        <f>IF(Table43[[#This Row],[SATUAN Fix Win]]&lt;&gt;"",11612)</f>
        <v>11612</v>
      </c>
      <c r="BJ477" s="48"/>
      <c r="BK477" s="4">
        <f>IF(Table43[[#This Row],[SATUAN Fix Win]]&lt;&gt;"",1)</f>
        <v>1</v>
      </c>
    </row>
    <row r="478" spans="1:63">
      <c r="A478" s="4" t="str">
        <f>CONCATENATE(Table43[[#This Row],[Kode BARANG Win2]],Table43[[#This Row],[No. Urut
Item Sama]])</f>
        <v>K13500010100101</v>
      </c>
      <c r="B478" s="7">
        <v>1</v>
      </c>
      <c r="D478" s="28" t="s">
        <v>877</v>
      </c>
      <c r="E478" s="28"/>
      <c r="F478" s="28" t="s">
        <v>3243</v>
      </c>
      <c r="G478" s="78">
        <v>36</v>
      </c>
      <c r="H478" s="43"/>
      <c r="I478" s="28" t="str">
        <f>Table43[[#This Row],[Nama Jenis Kemasan]]</f>
        <v>BTL</v>
      </c>
      <c r="J478" s="4" t="str">
        <f>TRIM(CONCATENATE(Table43[[#This Row],[Nama            KLP]]," ",Table43[[#This Row],[Nama            Sub KLP]]))</f>
        <v>OVALE MICELLAR WATER</v>
      </c>
      <c r="K478" s="4" t="str">
        <f>CONCATENATE(Table43[[#This Row],[kode  2 Digit                (hrf+No)]],Table43[[#This Row],[kode  2 Digit                (Nomor)]],Table43[[#This Row],[kode  1 Digit                (Nomor)]])</f>
        <v>K1350</v>
      </c>
      <c r="L478" s="4" t="str">
        <f t="shared" si="24"/>
        <v>K1350001010010</v>
      </c>
      <c r="M478" s="11">
        <f t="shared" si="25"/>
        <v>14</v>
      </c>
      <c r="N478" s="14" t="str">
        <f>IF(AF478&lt;&gt;"",TRIM(UPPER(CONCATENATE(P478," ",R478," ",T478," ",V478," ",X478," ",Z478," ","X"," ",Table43[[#This Row],[ISI/CTN]]," ",AF478," ",AB478," ",AD478," ",AH478))),TRIM(UPPER(CONCATENATE(P478," ",R478," ",T478," ",V478," ",X478," ",Z478," ","X"," ",Table43[[#This Row],[ISI/CTN]]," ",AB478," ",AD478," ",AH478))))</f>
        <v>KNF OVALE MICELLAR WATER BRIGHTENING 100ML X 36 BTL</v>
      </c>
      <c r="O478" s="11">
        <f t="shared" si="26"/>
        <v>51</v>
      </c>
      <c r="P478" s="4" t="s">
        <v>97</v>
      </c>
      <c r="Q478" s="7" t="s">
        <v>98</v>
      </c>
      <c r="R478" s="4" t="s">
        <v>4105</v>
      </c>
      <c r="S478" s="44" t="s">
        <v>3556</v>
      </c>
      <c r="T478" s="45" t="s">
        <v>2961</v>
      </c>
      <c r="U478" s="7" t="s">
        <v>2900</v>
      </c>
      <c r="V478" s="45" t="s">
        <v>2961</v>
      </c>
      <c r="W478" s="44" t="s">
        <v>2900</v>
      </c>
      <c r="X478" s="81" t="s">
        <v>4107</v>
      </c>
      <c r="Y478" s="46" t="s">
        <v>0</v>
      </c>
      <c r="Z478" s="4" t="s">
        <v>3588</v>
      </c>
      <c r="AA478" s="46" t="s">
        <v>2487</v>
      </c>
      <c r="AB478" s="4" t="s">
        <v>357</v>
      </c>
      <c r="AC478" s="7" t="s">
        <v>2656</v>
      </c>
      <c r="AD478" s="4" t="s">
        <v>2961</v>
      </c>
      <c r="AE478" s="7" t="s">
        <v>2900</v>
      </c>
      <c r="AF478" s="7" t="s">
        <v>2961</v>
      </c>
      <c r="AG478" s="7" t="s">
        <v>2961</v>
      </c>
      <c r="AI478" s="7" t="s">
        <v>4100</v>
      </c>
      <c r="AJ478" s="7" t="s">
        <v>2656</v>
      </c>
      <c r="AK478" s="41">
        <f>Table43[[#This Row],[Harga Jual Pcs GT
(-PPN)]]-(Table43[[#This Row],[Harga Jual Pcs GT
(-PPN)]]*10%)</f>
        <v>0</v>
      </c>
      <c r="AL478" s="42">
        <f>Table43[[#This Row],[Harga Beli Pcs
(-PPN)]]*Table43[[#This Row],[ISI/CTN]]</f>
        <v>0</v>
      </c>
      <c r="AM478" s="42">
        <f>Table43[[#This Row],[Harga Beli Pcs
(-PPN)]]*1.11</f>
        <v>0</v>
      </c>
      <c r="AN478" s="42">
        <f>Table43[[#This Row],[Harga Beli Krt
(- PPN)]]*1.11</f>
        <v>0</v>
      </c>
      <c r="AO478" s="42"/>
      <c r="AP478" s="42">
        <f>Table43[[#This Row],[Harga Jual Pcs GT
(-PPN)]]*Table43[[#This Row],[ISI/CTN]]</f>
        <v>0</v>
      </c>
      <c r="AQ478" s="42">
        <f>Table43[[#This Row],[Harga Jual Pcs GT
(-PPN)]]*1.11</f>
        <v>0</v>
      </c>
      <c r="AR478" s="42">
        <f>Table43[[#This Row],[Harga Jual Krt GT
(- PPN)]]*1.11</f>
        <v>0</v>
      </c>
      <c r="AS478" s="42">
        <f>Table43[[#This Row],[Harga Jual Pcs GT
(-PPN)]]</f>
        <v>0</v>
      </c>
      <c r="AT478" s="42">
        <f>(Table43[[#This Row],[Harga Jual Pcs MT
(-PPN)]]*Table43[[#This Row],[ISI/CTN]])</f>
        <v>0</v>
      </c>
      <c r="AU478" s="42">
        <f>Table43[[#This Row],[Harga Jual Pcs MT
(-PPN)]]*1.11</f>
        <v>0</v>
      </c>
      <c r="AV478" s="42">
        <f>Table43[[#This Row],[Harga Jual Pcs MT
(+PPN)]]*Table43[[#This Row],[ISI/CTN]]</f>
        <v>0</v>
      </c>
      <c r="AW478" s="47"/>
      <c r="AX478" s="7"/>
      <c r="AY478" s="7" t="str">
        <f ca="1">IF(TODAY()-Table43[[#This Row],[Efektif
Pembuatan]]&gt;60,"Lama","Baru")</f>
        <v>Lama</v>
      </c>
      <c r="AZ478" s="7" t="str">
        <f ca="1">IF(TODAY()-Table43[[#This Row],[Efektif Naik Harga]]&lt;30,"Naik","Sama")</f>
        <v>Sama</v>
      </c>
      <c r="BA478" s="7" t="str">
        <f>IF(Table43[[#This Row],[Kode BARANG Win2]]&lt;&gt;"","IDR","")</f>
        <v>IDR</v>
      </c>
      <c r="BB478" s="7" t="str">
        <f>CONCATENATE(Table43[[#This Row],[kode  1 Digit
(Nomor)]],Table43[[#This Row],[kode  4 Digit                (Nomor)]])</f>
        <v>10100</v>
      </c>
      <c r="BC478" s="7" t="str">
        <f>Table43[[#This Row],[Nama            Gramasi atau Jumlah Pack per CTN]]</f>
        <v>100ML</v>
      </c>
      <c r="BD478" s="7"/>
      <c r="BE478" s="7"/>
      <c r="BF478" s="4" t="str">
        <f>IF(Table43[[#This Row],[SATUAN Fix Win]]&lt;&gt;"","KRT")</f>
        <v>KRT</v>
      </c>
      <c r="BG478" s="4" t="str">
        <f>IF(Table43[[#This Row],[SATUAN Fix Win]]&lt;&gt;"","GD01")</f>
        <v>GD01</v>
      </c>
      <c r="BH478" s="4">
        <f>IF(Table43[[#This Row],[SATUAN Fix Win]]&lt;&gt;"",11611)</f>
        <v>11611</v>
      </c>
      <c r="BI478" s="4">
        <f>IF(Table43[[#This Row],[SATUAN Fix Win]]&lt;&gt;"",11612)</f>
        <v>11612</v>
      </c>
      <c r="BJ478" s="48"/>
      <c r="BK478" s="4">
        <f>IF(Table43[[#This Row],[SATUAN Fix Win]]&lt;&gt;"",1)</f>
        <v>1</v>
      </c>
    </row>
    <row r="479" spans="1:63">
      <c r="A479" s="4" t="str">
        <f>CONCATENATE(Table43[[#This Row],[Kode BARANG Win2]],Table43[[#This Row],[No. Urut
Item Sama]])</f>
        <v>K13500010200101</v>
      </c>
      <c r="B479" s="7">
        <v>1</v>
      </c>
      <c r="D479" s="28" t="s">
        <v>881</v>
      </c>
      <c r="E479" s="28"/>
      <c r="F479" s="28" t="s">
        <v>3244</v>
      </c>
      <c r="G479" s="78">
        <v>36</v>
      </c>
      <c r="H479" s="43"/>
      <c r="I479" s="28" t="str">
        <f>Table43[[#This Row],[Nama Jenis Kemasan]]</f>
        <v>BTL</v>
      </c>
      <c r="J479" s="4" t="str">
        <f>TRIM(CONCATENATE(Table43[[#This Row],[Nama            KLP]]," ",Table43[[#This Row],[Nama            Sub KLP]]))</f>
        <v>OVALE MICELLAR WATER</v>
      </c>
      <c r="K479" s="4" t="str">
        <f>CONCATENATE(Table43[[#This Row],[kode  2 Digit                (hrf+No)]],Table43[[#This Row],[kode  2 Digit                (Nomor)]],Table43[[#This Row],[kode  1 Digit                (Nomor)]])</f>
        <v>K1350</v>
      </c>
      <c r="L479" s="4" t="str">
        <f t="shared" si="24"/>
        <v>K1350001020010</v>
      </c>
      <c r="M479" s="11">
        <f t="shared" si="25"/>
        <v>14</v>
      </c>
      <c r="N479" s="14" t="str">
        <f>IF(AF479&lt;&gt;"",TRIM(UPPER(CONCATENATE(P479," ",R479," ",T479," ",V479," ",X479," ",Z479," ","X"," ",Table43[[#This Row],[ISI/CTN]]," ",AF479," ",AB479," ",AD479," ",AH479))),TRIM(UPPER(CONCATENATE(P479," ",R479," ",T479," ",V479," ",X479," ",Z479," ","X"," ",Table43[[#This Row],[ISI/CTN]]," ",AB479," ",AD479," ",AH479))))</f>
        <v>KNF OVALE MICELLAR WATER BRIGHTENING 200ML X 36 BTL</v>
      </c>
      <c r="O479" s="11">
        <f t="shared" si="26"/>
        <v>51</v>
      </c>
      <c r="P479" s="4" t="s">
        <v>97</v>
      </c>
      <c r="Q479" s="7" t="s">
        <v>98</v>
      </c>
      <c r="R479" s="4" t="s">
        <v>4105</v>
      </c>
      <c r="S479" s="44" t="s">
        <v>3556</v>
      </c>
      <c r="T479" s="45" t="s">
        <v>2961</v>
      </c>
      <c r="U479" s="7" t="s">
        <v>2900</v>
      </c>
      <c r="V479" s="45" t="s">
        <v>2961</v>
      </c>
      <c r="W479" s="44" t="s">
        <v>2900</v>
      </c>
      <c r="X479" s="81" t="s">
        <v>4107</v>
      </c>
      <c r="Y479" s="46" t="s">
        <v>0</v>
      </c>
      <c r="Z479" s="4" t="s">
        <v>3582</v>
      </c>
      <c r="AA479" s="46" t="s">
        <v>2486</v>
      </c>
      <c r="AB479" s="4" t="s">
        <v>357</v>
      </c>
      <c r="AC479" s="7" t="s">
        <v>2656</v>
      </c>
      <c r="AD479" s="4" t="s">
        <v>2961</v>
      </c>
      <c r="AE479" s="7" t="s">
        <v>2900</v>
      </c>
      <c r="AF479" s="7" t="s">
        <v>2961</v>
      </c>
      <c r="AG479" s="7" t="s">
        <v>2961</v>
      </c>
      <c r="AI479" s="7" t="s">
        <v>4100</v>
      </c>
      <c r="AJ479" s="7" t="s">
        <v>2656</v>
      </c>
      <c r="AK479" s="41">
        <f>Table43[[#This Row],[Harga Jual Pcs GT
(-PPN)]]-(Table43[[#This Row],[Harga Jual Pcs GT
(-PPN)]]*10%)</f>
        <v>0</v>
      </c>
      <c r="AL479" s="42">
        <f>Table43[[#This Row],[Harga Beli Pcs
(-PPN)]]*Table43[[#This Row],[ISI/CTN]]</f>
        <v>0</v>
      </c>
      <c r="AM479" s="42">
        <f>Table43[[#This Row],[Harga Beli Pcs
(-PPN)]]*1.11</f>
        <v>0</v>
      </c>
      <c r="AN479" s="42">
        <f>Table43[[#This Row],[Harga Beli Krt
(- PPN)]]*1.11</f>
        <v>0</v>
      </c>
      <c r="AO479" s="42"/>
      <c r="AP479" s="42">
        <f>Table43[[#This Row],[Harga Jual Pcs GT
(-PPN)]]*Table43[[#This Row],[ISI/CTN]]</f>
        <v>0</v>
      </c>
      <c r="AQ479" s="42">
        <f>Table43[[#This Row],[Harga Jual Pcs GT
(-PPN)]]*1.11</f>
        <v>0</v>
      </c>
      <c r="AR479" s="42">
        <f>Table43[[#This Row],[Harga Jual Krt GT
(- PPN)]]*1.11</f>
        <v>0</v>
      </c>
      <c r="AS479" s="42">
        <f>Table43[[#This Row],[Harga Jual Pcs GT
(-PPN)]]</f>
        <v>0</v>
      </c>
      <c r="AT479" s="42">
        <f>(Table43[[#This Row],[Harga Jual Pcs MT
(-PPN)]]*Table43[[#This Row],[ISI/CTN]])</f>
        <v>0</v>
      </c>
      <c r="AU479" s="42">
        <f>Table43[[#This Row],[Harga Jual Pcs MT
(-PPN)]]*1.11</f>
        <v>0</v>
      </c>
      <c r="AV479" s="42">
        <f>Table43[[#This Row],[Harga Jual Pcs MT
(+PPN)]]*Table43[[#This Row],[ISI/CTN]]</f>
        <v>0</v>
      </c>
      <c r="AW479" s="47"/>
      <c r="AX479" s="7"/>
      <c r="AY479" s="7" t="str">
        <f ca="1">IF(TODAY()-Table43[[#This Row],[Efektif
Pembuatan]]&gt;60,"Lama","Baru")</f>
        <v>Lama</v>
      </c>
      <c r="AZ479" s="7" t="str">
        <f ca="1">IF(TODAY()-Table43[[#This Row],[Efektif Naik Harga]]&lt;30,"Naik","Sama")</f>
        <v>Sama</v>
      </c>
      <c r="BA479" s="7" t="str">
        <f>IF(Table43[[#This Row],[Kode BARANG Win2]]&lt;&gt;"","IDR","")</f>
        <v>IDR</v>
      </c>
      <c r="BB479" s="7" t="str">
        <f>CONCATENATE(Table43[[#This Row],[kode  1 Digit
(Nomor)]],Table43[[#This Row],[kode  4 Digit                (Nomor)]])</f>
        <v>10200</v>
      </c>
      <c r="BC479" s="7" t="str">
        <f>Table43[[#This Row],[Nama            Gramasi atau Jumlah Pack per CTN]]</f>
        <v>200ML</v>
      </c>
      <c r="BD479" s="7"/>
      <c r="BE479" s="7"/>
      <c r="BF479" s="4" t="str">
        <f>IF(Table43[[#This Row],[SATUAN Fix Win]]&lt;&gt;"","KRT")</f>
        <v>KRT</v>
      </c>
      <c r="BG479" s="4" t="str">
        <f>IF(Table43[[#This Row],[SATUAN Fix Win]]&lt;&gt;"","GD01")</f>
        <v>GD01</v>
      </c>
      <c r="BH479" s="4">
        <f>IF(Table43[[#This Row],[SATUAN Fix Win]]&lt;&gt;"",11611)</f>
        <v>11611</v>
      </c>
      <c r="BI479" s="4">
        <f>IF(Table43[[#This Row],[SATUAN Fix Win]]&lt;&gt;"",11612)</f>
        <v>11612</v>
      </c>
      <c r="BJ479" s="48"/>
      <c r="BK479" s="4">
        <f>IF(Table43[[#This Row],[SATUAN Fix Win]]&lt;&gt;"",1)</f>
        <v>1</v>
      </c>
    </row>
    <row r="480" spans="1:63">
      <c r="A480" s="4" t="str">
        <f>CONCATENATE(Table43[[#This Row],[Kode BARANG Win2]],Table43[[#This Row],[No. Urut
Item Sama]])</f>
        <v>K13500020100101</v>
      </c>
      <c r="B480" s="7">
        <v>1</v>
      </c>
      <c r="D480" s="28" t="s">
        <v>896</v>
      </c>
      <c r="E480" s="28"/>
      <c r="F480" s="28" t="s">
        <v>3245</v>
      </c>
      <c r="G480" s="78">
        <v>36</v>
      </c>
      <c r="H480" s="43"/>
      <c r="I480" s="28" t="str">
        <f>Table43[[#This Row],[Nama Jenis Kemasan]]</f>
        <v>BTL</v>
      </c>
      <c r="J480" s="4" t="str">
        <f>TRIM(CONCATENATE(Table43[[#This Row],[Nama            KLP]]," ",Table43[[#This Row],[Nama            Sub KLP]]))</f>
        <v>OVALE MICELLAR WATER</v>
      </c>
      <c r="K480" s="4" t="str">
        <f>CONCATENATE(Table43[[#This Row],[kode  2 Digit                (hrf+No)]],Table43[[#This Row],[kode  2 Digit                (Nomor)]],Table43[[#This Row],[kode  1 Digit                (Nomor)]])</f>
        <v>K1350</v>
      </c>
      <c r="L480" s="4" t="str">
        <f t="shared" si="24"/>
        <v>K1350002010010</v>
      </c>
      <c r="M480" s="11">
        <f t="shared" si="25"/>
        <v>14</v>
      </c>
      <c r="N480" s="14" t="str">
        <f>IF(AF480&lt;&gt;"",TRIM(UPPER(CONCATENATE(P480," ",R480," ",T480," ",V480," ",X480," ",Z480," ","X"," ",Table43[[#This Row],[ISI/CTN]]," ",AF480," ",AB480," ",AD480," ",AH480))),TRIM(UPPER(CONCATENATE(P480," ",R480," ",T480," ",V480," ",X480," ",Z480," ","X"," ",Table43[[#This Row],[ISI/CTN]]," ",AB480," ",AD480," ",AH480))))</f>
        <v>KNF OVALE MICELLAR WATER WATER ACNE SKIN 100ML X 36 BTL</v>
      </c>
      <c r="O480" s="11">
        <f t="shared" si="26"/>
        <v>55</v>
      </c>
      <c r="P480" s="4" t="s">
        <v>97</v>
      </c>
      <c r="Q480" s="7" t="s">
        <v>98</v>
      </c>
      <c r="R480" s="4" t="s">
        <v>4105</v>
      </c>
      <c r="S480" s="44" t="s">
        <v>3556</v>
      </c>
      <c r="T480" s="45" t="s">
        <v>2961</v>
      </c>
      <c r="U480" s="7" t="s">
        <v>2900</v>
      </c>
      <c r="V480" s="45" t="s">
        <v>2961</v>
      </c>
      <c r="W480" s="44" t="s">
        <v>2900</v>
      </c>
      <c r="X480" s="81" t="s">
        <v>4108</v>
      </c>
      <c r="Y480" s="46" t="s">
        <v>2472</v>
      </c>
      <c r="Z480" s="4" t="s">
        <v>3588</v>
      </c>
      <c r="AA480" s="46" t="s">
        <v>2487</v>
      </c>
      <c r="AB480" s="4" t="s">
        <v>357</v>
      </c>
      <c r="AC480" s="7" t="s">
        <v>2656</v>
      </c>
      <c r="AD480" s="4" t="s">
        <v>2961</v>
      </c>
      <c r="AE480" s="7" t="s">
        <v>2900</v>
      </c>
      <c r="AF480" s="7" t="s">
        <v>2961</v>
      </c>
      <c r="AG480" s="7" t="s">
        <v>2961</v>
      </c>
      <c r="AI480" s="7" t="s">
        <v>4100</v>
      </c>
      <c r="AJ480" s="7" t="s">
        <v>2656</v>
      </c>
      <c r="AK480" s="41">
        <f>Table43[[#This Row],[Harga Jual Pcs GT
(-PPN)]]-(Table43[[#This Row],[Harga Jual Pcs GT
(-PPN)]]*10%)</f>
        <v>0</v>
      </c>
      <c r="AL480" s="42">
        <f>Table43[[#This Row],[Harga Beli Pcs
(-PPN)]]*Table43[[#This Row],[ISI/CTN]]</f>
        <v>0</v>
      </c>
      <c r="AM480" s="42">
        <f>Table43[[#This Row],[Harga Beli Pcs
(-PPN)]]*1.11</f>
        <v>0</v>
      </c>
      <c r="AN480" s="42">
        <f>Table43[[#This Row],[Harga Beli Krt
(- PPN)]]*1.11</f>
        <v>0</v>
      </c>
      <c r="AO480" s="42"/>
      <c r="AP480" s="42">
        <f>Table43[[#This Row],[Harga Jual Pcs GT
(-PPN)]]*Table43[[#This Row],[ISI/CTN]]</f>
        <v>0</v>
      </c>
      <c r="AQ480" s="42">
        <f>Table43[[#This Row],[Harga Jual Pcs GT
(-PPN)]]*1.11</f>
        <v>0</v>
      </c>
      <c r="AR480" s="42">
        <f>Table43[[#This Row],[Harga Jual Krt GT
(- PPN)]]*1.11</f>
        <v>0</v>
      </c>
      <c r="AS480" s="42">
        <f>Table43[[#This Row],[Harga Jual Pcs GT
(-PPN)]]</f>
        <v>0</v>
      </c>
      <c r="AT480" s="42">
        <f>(Table43[[#This Row],[Harga Jual Pcs MT
(-PPN)]]*Table43[[#This Row],[ISI/CTN]])</f>
        <v>0</v>
      </c>
      <c r="AU480" s="42">
        <f>Table43[[#This Row],[Harga Jual Pcs MT
(-PPN)]]*1.11</f>
        <v>0</v>
      </c>
      <c r="AV480" s="42">
        <f>Table43[[#This Row],[Harga Jual Pcs MT
(+PPN)]]*Table43[[#This Row],[ISI/CTN]]</f>
        <v>0</v>
      </c>
      <c r="AW480" s="47"/>
      <c r="AX480" s="7"/>
      <c r="AY480" s="7" t="str">
        <f ca="1">IF(TODAY()-Table43[[#This Row],[Efektif
Pembuatan]]&gt;60,"Lama","Baru")</f>
        <v>Lama</v>
      </c>
      <c r="AZ480" s="7" t="str">
        <f ca="1">IF(TODAY()-Table43[[#This Row],[Efektif Naik Harga]]&lt;30,"Naik","Sama")</f>
        <v>Sama</v>
      </c>
      <c r="BA480" s="7" t="str">
        <f>IF(Table43[[#This Row],[Kode BARANG Win2]]&lt;&gt;"","IDR","")</f>
        <v>IDR</v>
      </c>
      <c r="BB480" s="7" t="str">
        <f>CONCATENATE(Table43[[#This Row],[kode  1 Digit
(Nomor)]],Table43[[#This Row],[kode  4 Digit                (Nomor)]])</f>
        <v>10100</v>
      </c>
      <c r="BC480" s="7" t="str">
        <f>Table43[[#This Row],[Nama            Gramasi atau Jumlah Pack per CTN]]</f>
        <v>100ML</v>
      </c>
      <c r="BD480" s="7"/>
      <c r="BE480" s="7"/>
      <c r="BF480" s="4" t="str">
        <f>IF(Table43[[#This Row],[SATUAN Fix Win]]&lt;&gt;"","KRT")</f>
        <v>KRT</v>
      </c>
      <c r="BG480" s="4" t="str">
        <f>IF(Table43[[#This Row],[SATUAN Fix Win]]&lt;&gt;"","GD01")</f>
        <v>GD01</v>
      </c>
      <c r="BH480" s="4">
        <f>IF(Table43[[#This Row],[SATUAN Fix Win]]&lt;&gt;"",11611)</f>
        <v>11611</v>
      </c>
      <c r="BI480" s="4">
        <f>IF(Table43[[#This Row],[SATUAN Fix Win]]&lt;&gt;"",11612)</f>
        <v>11612</v>
      </c>
      <c r="BJ480" s="48"/>
      <c r="BK480" s="4">
        <f>IF(Table43[[#This Row],[SATUAN Fix Win]]&lt;&gt;"",1)</f>
        <v>1</v>
      </c>
    </row>
    <row r="481" spans="1:63">
      <c r="A481" s="4" t="str">
        <f>CONCATENATE(Table43[[#This Row],[Kode BARANG Win2]],Table43[[#This Row],[No. Urut
Item Sama]])</f>
        <v>K13500020200101</v>
      </c>
      <c r="B481" s="7">
        <v>1</v>
      </c>
      <c r="D481" s="28" t="s">
        <v>899</v>
      </c>
      <c r="E481" s="28"/>
      <c r="F481" s="28" t="s">
        <v>3246</v>
      </c>
      <c r="G481" s="78">
        <v>36</v>
      </c>
      <c r="H481" s="43"/>
      <c r="I481" s="28" t="str">
        <f>Table43[[#This Row],[Nama Jenis Kemasan]]</f>
        <v>BTL</v>
      </c>
      <c r="J481" s="4" t="str">
        <f>TRIM(CONCATENATE(Table43[[#This Row],[Nama            KLP]]," ",Table43[[#This Row],[Nama            Sub KLP]]))</f>
        <v>OVALE MICELLAR WATER</v>
      </c>
      <c r="K481" s="4" t="str">
        <f>CONCATENATE(Table43[[#This Row],[kode  2 Digit                (hrf+No)]],Table43[[#This Row],[kode  2 Digit                (Nomor)]],Table43[[#This Row],[kode  1 Digit                (Nomor)]])</f>
        <v>K1350</v>
      </c>
      <c r="L481" s="4" t="str">
        <f t="shared" si="24"/>
        <v>K1350002020010</v>
      </c>
      <c r="M481" s="11">
        <f t="shared" si="25"/>
        <v>14</v>
      </c>
      <c r="N481" s="14" t="str">
        <f>IF(AF481&lt;&gt;"",TRIM(UPPER(CONCATENATE(P481," ",R481," ",T481," ",V481," ",X481," ",Z481," ","X"," ",Table43[[#This Row],[ISI/CTN]]," ",AF481," ",AB481," ",AD481," ",AH481))),TRIM(UPPER(CONCATENATE(P481," ",R481," ",T481," ",V481," ",X481," ",Z481," ","X"," ",Table43[[#This Row],[ISI/CTN]]," ",AB481," ",AD481," ",AH481))))</f>
        <v>KNF OVALE MICELLAR WATER WATER ACNE SKIN 200ML X 36 BTL</v>
      </c>
      <c r="O481" s="11">
        <f t="shared" si="26"/>
        <v>55</v>
      </c>
      <c r="P481" s="4" t="s">
        <v>97</v>
      </c>
      <c r="Q481" s="7" t="s">
        <v>98</v>
      </c>
      <c r="R481" s="4" t="s">
        <v>4105</v>
      </c>
      <c r="S481" s="44" t="s">
        <v>3556</v>
      </c>
      <c r="T481" s="45" t="s">
        <v>2961</v>
      </c>
      <c r="U481" s="7" t="s">
        <v>2900</v>
      </c>
      <c r="V481" s="45" t="s">
        <v>2961</v>
      </c>
      <c r="W481" s="44" t="s">
        <v>2900</v>
      </c>
      <c r="X481" s="81" t="s">
        <v>4108</v>
      </c>
      <c r="Y481" s="46" t="s">
        <v>2472</v>
      </c>
      <c r="Z481" s="4" t="s">
        <v>3582</v>
      </c>
      <c r="AA481" s="46" t="s">
        <v>2486</v>
      </c>
      <c r="AB481" s="4" t="s">
        <v>357</v>
      </c>
      <c r="AC481" s="7" t="s">
        <v>2656</v>
      </c>
      <c r="AD481" s="4" t="s">
        <v>2961</v>
      </c>
      <c r="AE481" s="7" t="s">
        <v>2900</v>
      </c>
      <c r="AF481" s="7" t="s">
        <v>2961</v>
      </c>
      <c r="AG481" s="7" t="s">
        <v>2961</v>
      </c>
      <c r="AI481" s="7" t="s">
        <v>4100</v>
      </c>
      <c r="AJ481" s="7" t="s">
        <v>2656</v>
      </c>
      <c r="AK481" s="41">
        <f>Table43[[#This Row],[Harga Jual Pcs GT
(-PPN)]]-(Table43[[#This Row],[Harga Jual Pcs GT
(-PPN)]]*10%)</f>
        <v>0</v>
      </c>
      <c r="AL481" s="42">
        <f>Table43[[#This Row],[Harga Beli Pcs
(-PPN)]]*Table43[[#This Row],[ISI/CTN]]</f>
        <v>0</v>
      </c>
      <c r="AM481" s="42">
        <f>Table43[[#This Row],[Harga Beli Pcs
(-PPN)]]*1.11</f>
        <v>0</v>
      </c>
      <c r="AN481" s="42">
        <f>Table43[[#This Row],[Harga Beli Krt
(- PPN)]]*1.11</f>
        <v>0</v>
      </c>
      <c r="AO481" s="42"/>
      <c r="AP481" s="42">
        <f>Table43[[#This Row],[Harga Jual Pcs GT
(-PPN)]]*Table43[[#This Row],[ISI/CTN]]</f>
        <v>0</v>
      </c>
      <c r="AQ481" s="42">
        <f>Table43[[#This Row],[Harga Jual Pcs GT
(-PPN)]]*1.11</f>
        <v>0</v>
      </c>
      <c r="AR481" s="42">
        <f>Table43[[#This Row],[Harga Jual Krt GT
(- PPN)]]*1.11</f>
        <v>0</v>
      </c>
      <c r="AS481" s="42">
        <f>Table43[[#This Row],[Harga Jual Pcs GT
(-PPN)]]</f>
        <v>0</v>
      </c>
      <c r="AT481" s="42">
        <f>(Table43[[#This Row],[Harga Jual Pcs MT
(-PPN)]]*Table43[[#This Row],[ISI/CTN]])</f>
        <v>0</v>
      </c>
      <c r="AU481" s="42">
        <f>Table43[[#This Row],[Harga Jual Pcs MT
(-PPN)]]*1.11</f>
        <v>0</v>
      </c>
      <c r="AV481" s="42">
        <f>Table43[[#This Row],[Harga Jual Pcs MT
(+PPN)]]*Table43[[#This Row],[ISI/CTN]]</f>
        <v>0</v>
      </c>
      <c r="AW481" s="47"/>
      <c r="AX481" s="7"/>
      <c r="AY481" s="7" t="str">
        <f ca="1">IF(TODAY()-Table43[[#This Row],[Efektif
Pembuatan]]&gt;60,"Lama","Baru")</f>
        <v>Lama</v>
      </c>
      <c r="AZ481" s="7" t="str">
        <f ca="1">IF(TODAY()-Table43[[#This Row],[Efektif Naik Harga]]&lt;30,"Naik","Sama")</f>
        <v>Sama</v>
      </c>
      <c r="BA481" s="7" t="str">
        <f>IF(Table43[[#This Row],[Kode BARANG Win2]]&lt;&gt;"","IDR","")</f>
        <v>IDR</v>
      </c>
      <c r="BB481" s="7" t="str">
        <f>CONCATENATE(Table43[[#This Row],[kode  1 Digit
(Nomor)]],Table43[[#This Row],[kode  4 Digit                (Nomor)]])</f>
        <v>10200</v>
      </c>
      <c r="BC481" s="7" t="str">
        <f>Table43[[#This Row],[Nama            Gramasi atau Jumlah Pack per CTN]]</f>
        <v>200ML</v>
      </c>
      <c r="BD481" s="7"/>
      <c r="BE481" s="7"/>
      <c r="BF481" s="4" t="str">
        <f>IF(Table43[[#This Row],[SATUAN Fix Win]]&lt;&gt;"","KRT")</f>
        <v>KRT</v>
      </c>
      <c r="BG481" s="4" t="str">
        <f>IF(Table43[[#This Row],[SATUAN Fix Win]]&lt;&gt;"","GD01")</f>
        <v>GD01</v>
      </c>
      <c r="BH481" s="4">
        <f>IF(Table43[[#This Row],[SATUAN Fix Win]]&lt;&gt;"",11611)</f>
        <v>11611</v>
      </c>
      <c r="BI481" s="4">
        <f>IF(Table43[[#This Row],[SATUAN Fix Win]]&lt;&gt;"",11612)</f>
        <v>11612</v>
      </c>
      <c r="BJ481" s="48"/>
      <c r="BK481" s="4">
        <f>IF(Table43[[#This Row],[SATUAN Fix Win]]&lt;&gt;"",1)</f>
        <v>1</v>
      </c>
    </row>
    <row r="482" spans="1:63">
      <c r="A482" s="4" t="str">
        <f>CONCATENATE(Table43[[#This Row],[Kode BARANG Win2]],Table43[[#This Row],[No. Urut
Item Sama]])</f>
        <v>K13510010100101</v>
      </c>
      <c r="B482" s="7">
        <v>1</v>
      </c>
      <c r="D482" s="28" t="s">
        <v>878</v>
      </c>
      <c r="E482" s="28"/>
      <c r="F482" s="28" t="s">
        <v>3247</v>
      </c>
      <c r="G482" s="78">
        <v>36</v>
      </c>
      <c r="H482" s="43"/>
      <c r="I482" s="28" t="str">
        <f>Table43[[#This Row],[Nama Jenis Kemasan]]</f>
        <v>BTL</v>
      </c>
      <c r="J482" s="4" t="str">
        <f>TRIM(CONCATENATE(Table43[[#This Row],[Nama            KLP]]," ",Table43[[#This Row],[Nama            Sub KLP]]))</f>
        <v>OVALE MICELLAR WATER H2O</v>
      </c>
      <c r="K482" s="4" t="str">
        <f>CONCATENATE(Table43[[#This Row],[kode  2 Digit                (hrf+No)]],Table43[[#This Row],[kode  2 Digit                (Nomor)]],Table43[[#This Row],[kode  1 Digit                (Nomor)]])</f>
        <v>K1351</v>
      </c>
      <c r="L482" s="4" t="str">
        <f t="shared" si="24"/>
        <v>K1351001010010</v>
      </c>
      <c r="M482" s="11">
        <f t="shared" si="25"/>
        <v>14</v>
      </c>
      <c r="N482" s="14" t="str">
        <f>IF(AF482&lt;&gt;"",TRIM(UPPER(CONCATENATE(P482," ",R482," ",T482," ",V482," ",X482," ",Z482," ","X"," ",Table43[[#This Row],[ISI/CTN]]," ",AF482," ",AB482," ",AD482," ",AH482))),TRIM(UPPER(CONCATENATE(P482," ",R482," ",T482," ",V482," ",X482," ",Z482," ","X"," ",Table43[[#This Row],[ISI/CTN]]," ",AB482," ",AD482," ",AH482))))</f>
        <v>KNF OVALE MICELLAR WATER H2O BRIGHTENING 100ML X 36 BTL</v>
      </c>
      <c r="O482" s="11">
        <f t="shared" si="26"/>
        <v>55</v>
      </c>
      <c r="P482" s="4" t="s">
        <v>97</v>
      </c>
      <c r="Q482" s="7" t="s">
        <v>98</v>
      </c>
      <c r="R482" s="4" t="s">
        <v>4105</v>
      </c>
      <c r="S482" s="44" t="s">
        <v>3556</v>
      </c>
      <c r="T482" s="45" t="s">
        <v>3557</v>
      </c>
      <c r="U482" s="7" t="s">
        <v>2656</v>
      </c>
      <c r="V482" s="45" t="s">
        <v>2961</v>
      </c>
      <c r="W482" s="44" t="s">
        <v>2900</v>
      </c>
      <c r="X482" s="81" t="s">
        <v>4107</v>
      </c>
      <c r="Y482" s="46" t="s">
        <v>0</v>
      </c>
      <c r="Z482" s="4" t="s">
        <v>3588</v>
      </c>
      <c r="AA482" s="46" t="s">
        <v>2487</v>
      </c>
      <c r="AB482" s="4" t="s">
        <v>357</v>
      </c>
      <c r="AC482" s="7" t="s">
        <v>2656</v>
      </c>
      <c r="AD482" s="4" t="s">
        <v>2961</v>
      </c>
      <c r="AE482" s="7" t="s">
        <v>2900</v>
      </c>
      <c r="AF482" s="7" t="s">
        <v>2961</v>
      </c>
      <c r="AG482" s="7" t="s">
        <v>2961</v>
      </c>
      <c r="AI482" s="7" t="s">
        <v>4100</v>
      </c>
      <c r="AJ482" s="7" t="s">
        <v>2656</v>
      </c>
      <c r="AK482" s="41">
        <f>Table43[[#This Row],[Harga Jual Pcs GT
(-PPN)]]-(Table43[[#This Row],[Harga Jual Pcs GT
(-PPN)]]*10%)</f>
        <v>0</v>
      </c>
      <c r="AL482" s="42">
        <f>Table43[[#This Row],[Harga Beli Pcs
(-PPN)]]*Table43[[#This Row],[ISI/CTN]]</f>
        <v>0</v>
      </c>
      <c r="AM482" s="42">
        <f>Table43[[#This Row],[Harga Beli Pcs
(-PPN)]]*1.11</f>
        <v>0</v>
      </c>
      <c r="AN482" s="42">
        <f>Table43[[#This Row],[Harga Beli Krt
(- PPN)]]*1.11</f>
        <v>0</v>
      </c>
      <c r="AO482" s="42"/>
      <c r="AP482" s="42">
        <f>Table43[[#This Row],[Harga Jual Pcs GT
(-PPN)]]*Table43[[#This Row],[ISI/CTN]]</f>
        <v>0</v>
      </c>
      <c r="AQ482" s="42">
        <f>Table43[[#This Row],[Harga Jual Pcs GT
(-PPN)]]*1.11</f>
        <v>0</v>
      </c>
      <c r="AR482" s="42">
        <f>Table43[[#This Row],[Harga Jual Krt GT
(- PPN)]]*1.11</f>
        <v>0</v>
      </c>
      <c r="AS482" s="42">
        <f>Table43[[#This Row],[Harga Jual Pcs GT
(-PPN)]]</f>
        <v>0</v>
      </c>
      <c r="AT482" s="42">
        <f>(Table43[[#This Row],[Harga Jual Pcs MT
(-PPN)]]*Table43[[#This Row],[ISI/CTN]])</f>
        <v>0</v>
      </c>
      <c r="AU482" s="42">
        <f>Table43[[#This Row],[Harga Jual Pcs MT
(-PPN)]]*1.11</f>
        <v>0</v>
      </c>
      <c r="AV482" s="42">
        <f>Table43[[#This Row],[Harga Jual Pcs MT
(+PPN)]]*Table43[[#This Row],[ISI/CTN]]</f>
        <v>0</v>
      </c>
      <c r="AW482" s="47"/>
      <c r="AX482" s="7"/>
      <c r="AY482" s="7" t="str">
        <f ca="1">IF(TODAY()-Table43[[#This Row],[Efektif
Pembuatan]]&gt;60,"Lama","Baru")</f>
        <v>Lama</v>
      </c>
      <c r="AZ482" s="7" t="str">
        <f ca="1">IF(TODAY()-Table43[[#This Row],[Efektif Naik Harga]]&lt;30,"Naik","Sama")</f>
        <v>Sama</v>
      </c>
      <c r="BA482" s="7" t="str">
        <f>IF(Table43[[#This Row],[Kode BARANG Win2]]&lt;&gt;"","IDR","")</f>
        <v>IDR</v>
      </c>
      <c r="BB482" s="7" t="str">
        <f>CONCATENATE(Table43[[#This Row],[kode  1 Digit
(Nomor)]],Table43[[#This Row],[kode  4 Digit                (Nomor)]])</f>
        <v>10100</v>
      </c>
      <c r="BC482" s="7" t="str">
        <f>Table43[[#This Row],[Nama            Gramasi atau Jumlah Pack per CTN]]</f>
        <v>100ML</v>
      </c>
      <c r="BD482" s="7"/>
      <c r="BE482" s="7"/>
      <c r="BF482" s="4" t="str">
        <f>IF(Table43[[#This Row],[SATUAN Fix Win]]&lt;&gt;"","KRT")</f>
        <v>KRT</v>
      </c>
      <c r="BG482" s="4" t="str">
        <f>IF(Table43[[#This Row],[SATUAN Fix Win]]&lt;&gt;"","GD01")</f>
        <v>GD01</v>
      </c>
      <c r="BH482" s="4">
        <f>IF(Table43[[#This Row],[SATUAN Fix Win]]&lt;&gt;"",11611)</f>
        <v>11611</v>
      </c>
      <c r="BI482" s="4">
        <f>IF(Table43[[#This Row],[SATUAN Fix Win]]&lt;&gt;"",11612)</f>
        <v>11612</v>
      </c>
      <c r="BJ482" s="48"/>
      <c r="BK482" s="4">
        <f>IF(Table43[[#This Row],[SATUAN Fix Win]]&lt;&gt;"",1)</f>
        <v>1</v>
      </c>
    </row>
    <row r="483" spans="1:63">
      <c r="A483" s="4" t="str">
        <f>CONCATENATE(Table43[[#This Row],[Kode BARANG Win2]],Table43[[#This Row],[No. Urut
Item Sama]])</f>
        <v>K13510020100101</v>
      </c>
      <c r="B483" s="7">
        <v>1</v>
      </c>
      <c r="D483" s="28" t="s">
        <v>897</v>
      </c>
      <c r="E483" s="28"/>
      <c r="F483" s="28" t="s">
        <v>3248</v>
      </c>
      <c r="G483" s="78">
        <v>36</v>
      </c>
      <c r="H483" s="43"/>
      <c r="I483" s="28" t="str">
        <f>Table43[[#This Row],[Nama Jenis Kemasan]]</f>
        <v>BTL</v>
      </c>
      <c r="J483" s="4" t="str">
        <f>TRIM(CONCATENATE(Table43[[#This Row],[Nama            KLP]]," ",Table43[[#This Row],[Nama            Sub KLP]]))</f>
        <v>OVALE MICELLAR WATER H2O</v>
      </c>
      <c r="K483" s="4" t="str">
        <f>CONCATENATE(Table43[[#This Row],[kode  2 Digit                (hrf+No)]],Table43[[#This Row],[kode  2 Digit                (Nomor)]],Table43[[#This Row],[kode  1 Digit                (Nomor)]])</f>
        <v>K1351</v>
      </c>
      <c r="L483" s="4" t="str">
        <f t="shared" si="24"/>
        <v>K1351002010010</v>
      </c>
      <c r="M483" s="11">
        <f t="shared" si="25"/>
        <v>14</v>
      </c>
      <c r="N483" s="14" t="str">
        <f>IF(AF483&lt;&gt;"",TRIM(UPPER(CONCATENATE(P483," ",R483," ",T483," ",V483," ",X483," ",Z483," ","X"," ",Table43[[#This Row],[ISI/CTN]]," ",AF483," ",AB483," ",AD483," ",AH483))),TRIM(UPPER(CONCATENATE(P483," ",R483," ",T483," ",V483," ",X483," ",Z483," ","X"," ",Table43[[#This Row],[ISI/CTN]]," ",AB483," ",AD483," ",AH483))))</f>
        <v>KNF OVALE MICELLAR WATER H2O BRIGHTENING 100ML X 36 BTL</v>
      </c>
      <c r="O483" s="11">
        <f t="shared" si="26"/>
        <v>55</v>
      </c>
      <c r="P483" s="4" t="s">
        <v>97</v>
      </c>
      <c r="Q483" s="7" t="s">
        <v>98</v>
      </c>
      <c r="R483" s="4" t="s">
        <v>4105</v>
      </c>
      <c r="S483" s="44" t="s">
        <v>3556</v>
      </c>
      <c r="T483" s="45" t="s">
        <v>3557</v>
      </c>
      <c r="U483" s="7" t="s">
        <v>2656</v>
      </c>
      <c r="V483" s="45" t="s">
        <v>2961</v>
      </c>
      <c r="W483" s="44" t="s">
        <v>2900</v>
      </c>
      <c r="X483" s="81" t="s">
        <v>4107</v>
      </c>
      <c r="Y483" s="46" t="s">
        <v>2472</v>
      </c>
      <c r="Z483" s="4" t="s">
        <v>3588</v>
      </c>
      <c r="AA483" s="46" t="s">
        <v>2487</v>
      </c>
      <c r="AB483" s="4" t="s">
        <v>357</v>
      </c>
      <c r="AC483" s="7" t="s">
        <v>2656</v>
      </c>
      <c r="AD483" s="4" t="s">
        <v>2961</v>
      </c>
      <c r="AE483" s="7" t="s">
        <v>2900</v>
      </c>
      <c r="AF483" s="7" t="s">
        <v>2961</v>
      </c>
      <c r="AG483" s="7" t="s">
        <v>2961</v>
      </c>
      <c r="AI483" s="7" t="s">
        <v>4100</v>
      </c>
      <c r="AJ483" s="7" t="s">
        <v>2656</v>
      </c>
      <c r="AK483" s="41">
        <f>Table43[[#This Row],[Harga Jual Pcs GT
(-PPN)]]-(Table43[[#This Row],[Harga Jual Pcs GT
(-PPN)]]*10%)</f>
        <v>0</v>
      </c>
      <c r="AL483" s="42">
        <f>Table43[[#This Row],[Harga Beli Pcs
(-PPN)]]*Table43[[#This Row],[ISI/CTN]]</f>
        <v>0</v>
      </c>
      <c r="AM483" s="42">
        <f>Table43[[#This Row],[Harga Beli Pcs
(-PPN)]]*1.11</f>
        <v>0</v>
      </c>
      <c r="AN483" s="42">
        <f>Table43[[#This Row],[Harga Beli Krt
(- PPN)]]*1.11</f>
        <v>0</v>
      </c>
      <c r="AO483" s="42"/>
      <c r="AP483" s="42">
        <f>Table43[[#This Row],[Harga Jual Pcs GT
(-PPN)]]*Table43[[#This Row],[ISI/CTN]]</f>
        <v>0</v>
      </c>
      <c r="AQ483" s="42">
        <f>Table43[[#This Row],[Harga Jual Pcs GT
(-PPN)]]*1.11</f>
        <v>0</v>
      </c>
      <c r="AR483" s="42">
        <f>Table43[[#This Row],[Harga Jual Krt GT
(- PPN)]]*1.11</f>
        <v>0</v>
      </c>
      <c r="AS483" s="42">
        <f>Table43[[#This Row],[Harga Jual Pcs GT
(-PPN)]]</f>
        <v>0</v>
      </c>
      <c r="AT483" s="42">
        <f>(Table43[[#This Row],[Harga Jual Pcs MT
(-PPN)]]*Table43[[#This Row],[ISI/CTN]])</f>
        <v>0</v>
      </c>
      <c r="AU483" s="42">
        <f>Table43[[#This Row],[Harga Jual Pcs MT
(-PPN)]]*1.11</f>
        <v>0</v>
      </c>
      <c r="AV483" s="42">
        <f>Table43[[#This Row],[Harga Jual Pcs MT
(+PPN)]]*Table43[[#This Row],[ISI/CTN]]</f>
        <v>0</v>
      </c>
      <c r="AW483" s="47"/>
      <c r="AX483" s="7"/>
      <c r="AY483" s="7" t="str">
        <f ca="1">IF(TODAY()-Table43[[#This Row],[Efektif
Pembuatan]]&gt;60,"Lama","Baru")</f>
        <v>Lama</v>
      </c>
      <c r="AZ483" s="7" t="str">
        <f ca="1">IF(TODAY()-Table43[[#This Row],[Efektif Naik Harga]]&lt;30,"Naik","Sama")</f>
        <v>Sama</v>
      </c>
      <c r="BA483" s="7" t="str">
        <f>IF(Table43[[#This Row],[Kode BARANG Win2]]&lt;&gt;"","IDR","")</f>
        <v>IDR</v>
      </c>
      <c r="BB483" s="7" t="str">
        <f>CONCATENATE(Table43[[#This Row],[kode  1 Digit
(Nomor)]],Table43[[#This Row],[kode  4 Digit                (Nomor)]])</f>
        <v>10100</v>
      </c>
      <c r="BC483" s="7" t="str">
        <f>Table43[[#This Row],[Nama            Gramasi atau Jumlah Pack per CTN]]</f>
        <v>100ML</v>
      </c>
      <c r="BD483" s="7"/>
      <c r="BE483" s="7"/>
      <c r="BF483" s="4" t="str">
        <f>IF(Table43[[#This Row],[SATUAN Fix Win]]&lt;&gt;"","KRT")</f>
        <v>KRT</v>
      </c>
      <c r="BG483" s="4" t="str">
        <f>IF(Table43[[#This Row],[SATUAN Fix Win]]&lt;&gt;"","GD01")</f>
        <v>GD01</v>
      </c>
      <c r="BH483" s="4">
        <f>IF(Table43[[#This Row],[SATUAN Fix Win]]&lt;&gt;"",11611)</f>
        <v>11611</v>
      </c>
      <c r="BI483" s="4">
        <f>IF(Table43[[#This Row],[SATUAN Fix Win]]&lt;&gt;"",11612)</f>
        <v>11612</v>
      </c>
      <c r="BJ483" s="48"/>
      <c r="BK483" s="4">
        <f>IF(Table43[[#This Row],[SATUAN Fix Win]]&lt;&gt;"",1)</f>
        <v>1</v>
      </c>
    </row>
    <row r="484" spans="1:63">
      <c r="A484" s="4" t="str">
        <f>CONCATENATE(Table43[[#This Row],[Kode BARANG Win2]],Table43[[#This Row],[No. Urut
Item Sama]])</f>
        <v>K13510030300101</v>
      </c>
      <c r="B484" s="7">
        <v>1</v>
      </c>
      <c r="D484" s="28" t="s">
        <v>4084</v>
      </c>
      <c r="E484" s="28"/>
      <c r="F484" s="28">
        <v>0</v>
      </c>
      <c r="G484" s="78">
        <v>24</v>
      </c>
      <c r="H484" s="43"/>
      <c r="I484" s="28" t="str">
        <f>Table43[[#This Row],[Nama Jenis Kemasan]]</f>
        <v>BTL</v>
      </c>
      <c r="J484" s="4" t="str">
        <f>TRIM(CONCATENATE(Table43[[#This Row],[Nama            KLP]]," ",Table43[[#This Row],[Nama            Sub KLP]]))</f>
        <v>OVALE MICELLAR WATER H2O</v>
      </c>
      <c r="K484" s="4" t="str">
        <f>CONCATENATE(Table43[[#This Row],[kode  2 Digit                (hrf+No)]],Table43[[#This Row],[kode  2 Digit                (Nomor)]],Table43[[#This Row],[kode  1 Digit                (Nomor)]])</f>
        <v>K1351</v>
      </c>
      <c r="L484" s="4" t="str">
        <f t="shared" si="24"/>
        <v>K1351003030010</v>
      </c>
      <c r="M484" s="11">
        <f t="shared" si="25"/>
        <v>14</v>
      </c>
      <c r="N484" s="14" t="str">
        <f>IF(AF484&lt;&gt;"",TRIM(UPPER(CONCATENATE(P484," ",R484," ",T484," ",V484," ",X484," ",Z484," ","X"," ",Table43[[#This Row],[ISI/CTN]]," ",AF484," ",AB484," ",AD484," ",AH484))),TRIM(UPPER(CONCATENATE(P484," ",R484," ",T484," ",V484," ",X484," ",Z484," ","X"," ",Table43[[#This Row],[ISI/CTN]]," ",AB484," ",AD484," ",AH484))))</f>
        <v>KNF OVALE MICELLAR WATER H2O HYDRATE 300ML X 24 BTL</v>
      </c>
      <c r="O484" s="11">
        <f t="shared" si="26"/>
        <v>51</v>
      </c>
      <c r="P484" s="4" t="s">
        <v>97</v>
      </c>
      <c r="Q484" s="7" t="s">
        <v>98</v>
      </c>
      <c r="R484" s="4" t="s">
        <v>4105</v>
      </c>
      <c r="S484" s="44" t="s">
        <v>3556</v>
      </c>
      <c r="T484" s="45" t="s">
        <v>3557</v>
      </c>
      <c r="U484" s="7" t="s">
        <v>2656</v>
      </c>
      <c r="V484" s="45" t="s">
        <v>2961</v>
      </c>
      <c r="W484" s="44" t="s">
        <v>2900</v>
      </c>
      <c r="X484" s="81" t="s">
        <v>3911</v>
      </c>
      <c r="Y484" s="46" t="s">
        <v>2473</v>
      </c>
      <c r="Z484" s="4" t="s">
        <v>3558</v>
      </c>
      <c r="AA484" s="46" t="s">
        <v>2515</v>
      </c>
      <c r="AB484" s="4" t="s">
        <v>357</v>
      </c>
      <c r="AC484" s="7" t="s">
        <v>2656</v>
      </c>
      <c r="AD484" s="4" t="s">
        <v>2961</v>
      </c>
      <c r="AE484" s="7" t="s">
        <v>2900</v>
      </c>
      <c r="AF484" s="7" t="s">
        <v>2961</v>
      </c>
      <c r="AG484" s="7" t="s">
        <v>2961</v>
      </c>
      <c r="AI484" s="7" t="s">
        <v>4100</v>
      </c>
      <c r="AJ484" s="7" t="s">
        <v>2656</v>
      </c>
      <c r="AK484" s="41">
        <f>Table43[[#This Row],[Harga Jual Pcs GT
(-PPN)]]-(Table43[[#This Row],[Harga Jual Pcs GT
(-PPN)]]*10%)</f>
        <v>0</v>
      </c>
      <c r="AL484" s="42">
        <f>Table43[[#This Row],[Harga Beli Pcs
(-PPN)]]*Table43[[#This Row],[ISI/CTN]]</f>
        <v>0</v>
      </c>
      <c r="AM484" s="42">
        <f>Table43[[#This Row],[Harga Beli Pcs
(-PPN)]]*1.11</f>
        <v>0</v>
      </c>
      <c r="AN484" s="42">
        <f>Table43[[#This Row],[Harga Beli Krt
(- PPN)]]*1.11</f>
        <v>0</v>
      </c>
      <c r="AO484" s="42"/>
      <c r="AP484" s="42">
        <f>Table43[[#This Row],[Harga Jual Pcs GT
(-PPN)]]*Table43[[#This Row],[ISI/CTN]]</f>
        <v>0</v>
      </c>
      <c r="AQ484" s="42">
        <f>Table43[[#This Row],[Harga Jual Pcs GT
(-PPN)]]*1.11</f>
        <v>0</v>
      </c>
      <c r="AR484" s="42">
        <f>Table43[[#This Row],[Harga Jual Krt GT
(- PPN)]]*1.11</f>
        <v>0</v>
      </c>
      <c r="AS484" s="42">
        <f>Table43[[#This Row],[Harga Jual Pcs GT
(-PPN)]]</f>
        <v>0</v>
      </c>
      <c r="AT484" s="42">
        <f>(Table43[[#This Row],[Harga Jual Pcs MT
(-PPN)]]*Table43[[#This Row],[ISI/CTN]])</f>
        <v>0</v>
      </c>
      <c r="AU484" s="42">
        <f>Table43[[#This Row],[Harga Jual Pcs MT
(-PPN)]]*1.11</f>
        <v>0</v>
      </c>
      <c r="AV484" s="42">
        <f>Table43[[#This Row],[Harga Jual Pcs MT
(+PPN)]]*Table43[[#This Row],[ISI/CTN]]</f>
        <v>0</v>
      </c>
      <c r="AW484" s="47"/>
      <c r="AX484" s="7"/>
      <c r="AY484" s="7" t="str">
        <f ca="1">IF(TODAY()-Table43[[#This Row],[Efektif
Pembuatan]]&gt;60,"Lama","Baru")</f>
        <v>Lama</v>
      </c>
      <c r="AZ484" s="7" t="str">
        <f ca="1">IF(TODAY()-Table43[[#This Row],[Efektif Naik Harga]]&lt;30,"Naik","Sama")</f>
        <v>Sama</v>
      </c>
      <c r="BA484" s="7" t="str">
        <f>IF(Table43[[#This Row],[Kode BARANG Win2]]&lt;&gt;"","IDR","")</f>
        <v>IDR</v>
      </c>
      <c r="BB484" s="7" t="str">
        <f>CONCATENATE(Table43[[#This Row],[kode  1 Digit
(Nomor)]],Table43[[#This Row],[kode  4 Digit                (Nomor)]])</f>
        <v>10300</v>
      </c>
      <c r="BC484" s="7" t="str">
        <f>Table43[[#This Row],[Nama            Gramasi atau Jumlah Pack per CTN]]</f>
        <v>300ML</v>
      </c>
      <c r="BD484" s="7"/>
      <c r="BE484" s="7"/>
      <c r="BF484" s="4" t="str">
        <f>IF(Table43[[#This Row],[SATUAN Fix Win]]&lt;&gt;"","KRT")</f>
        <v>KRT</v>
      </c>
      <c r="BG484" s="4" t="str">
        <f>IF(Table43[[#This Row],[SATUAN Fix Win]]&lt;&gt;"","GD01")</f>
        <v>GD01</v>
      </c>
      <c r="BH484" s="4">
        <f>IF(Table43[[#This Row],[SATUAN Fix Win]]&lt;&gt;"",11611)</f>
        <v>11611</v>
      </c>
      <c r="BI484" s="4">
        <f>IF(Table43[[#This Row],[SATUAN Fix Win]]&lt;&gt;"",11612)</f>
        <v>11612</v>
      </c>
      <c r="BJ484" s="48"/>
      <c r="BK484" s="4">
        <f>IF(Table43[[#This Row],[SATUAN Fix Win]]&lt;&gt;"",1)</f>
        <v>1</v>
      </c>
    </row>
    <row r="485" spans="1:63">
      <c r="A485" s="4" t="str">
        <f>CONCATENATE(Table43[[#This Row],[Kode BARANG Win2]],Table43[[#This Row],[No. Urut
Item Sama]])</f>
        <v>K13511030300101</v>
      </c>
      <c r="B485" s="7">
        <v>1</v>
      </c>
      <c r="D485" s="28" t="s">
        <v>4085</v>
      </c>
      <c r="E485" s="28"/>
      <c r="F485" s="28">
        <v>0</v>
      </c>
      <c r="G485" s="78">
        <v>24</v>
      </c>
      <c r="H485" s="43"/>
      <c r="I485" s="28" t="str">
        <f>Table43[[#This Row],[Nama Jenis Kemasan]]</f>
        <v>BTL</v>
      </c>
      <c r="J485" s="4" t="str">
        <f>TRIM(CONCATENATE(Table43[[#This Row],[Nama            KLP]]," ",Table43[[#This Row],[Nama            Sub KLP]]))</f>
        <v>OVALE MICELLAR WATER H2O</v>
      </c>
      <c r="K485" s="4" t="str">
        <f>CONCATENATE(Table43[[#This Row],[kode  2 Digit                (hrf+No)]],Table43[[#This Row],[kode  2 Digit                (Nomor)]],Table43[[#This Row],[kode  1 Digit                (Nomor)]])</f>
        <v>K1351</v>
      </c>
      <c r="L485" s="4" t="str">
        <f t="shared" si="24"/>
        <v>K1351103030010</v>
      </c>
      <c r="M485" s="11">
        <f t="shared" si="25"/>
        <v>14</v>
      </c>
      <c r="N485" s="14" t="str">
        <f>IF(AF485&lt;&gt;"",TRIM(UPPER(CONCATENATE(P485," ",R485," ",T485," ",V485," ",X485," ",Z485," ","X"," ",Table43[[#This Row],[ISI/CTN]]," ",AF485," ",AB485," ",AD485," ",AH485))),TRIM(UPPER(CONCATENATE(P485," ",R485," ",T485," ",V485," ",X485," ",Z485," ","X"," ",Table43[[#This Row],[ISI/CTN]]," ",AB485," ",AD485," ",AH485))))</f>
        <v>KNF OVALE MICELLAR WATER H2O ACNE C. HYDRATE 300ML X 24 BTL</v>
      </c>
      <c r="O485" s="11">
        <f t="shared" si="26"/>
        <v>59</v>
      </c>
      <c r="P485" s="4" t="s">
        <v>97</v>
      </c>
      <c r="Q485" s="7" t="s">
        <v>98</v>
      </c>
      <c r="R485" s="4" t="s">
        <v>4105</v>
      </c>
      <c r="S485" s="44" t="s">
        <v>3556</v>
      </c>
      <c r="T485" s="45" t="s">
        <v>3557</v>
      </c>
      <c r="U485" s="7" t="s">
        <v>2656</v>
      </c>
      <c r="V485" s="45" t="s">
        <v>4106</v>
      </c>
      <c r="W485" s="44" t="s">
        <v>2656</v>
      </c>
      <c r="X485" s="81" t="s">
        <v>3911</v>
      </c>
      <c r="Y485" s="46" t="s">
        <v>2473</v>
      </c>
      <c r="Z485" s="4" t="s">
        <v>3558</v>
      </c>
      <c r="AA485" s="46" t="s">
        <v>2515</v>
      </c>
      <c r="AB485" s="4" t="s">
        <v>357</v>
      </c>
      <c r="AC485" s="7" t="s">
        <v>2656</v>
      </c>
      <c r="AD485" s="4" t="s">
        <v>2961</v>
      </c>
      <c r="AE485" s="7" t="s">
        <v>2900</v>
      </c>
      <c r="AF485" s="7" t="s">
        <v>2961</v>
      </c>
      <c r="AG485" s="7" t="s">
        <v>2961</v>
      </c>
      <c r="AI485" s="7" t="s">
        <v>4100</v>
      </c>
      <c r="AJ485" s="7" t="s">
        <v>2656</v>
      </c>
      <c r="AK485" s="41">
        <f>Table43[[#This Row],[Harga Jual Pcs GT
(-PPN)]]-(Table43[[#This Row],[Harga Jual Pcs GT
(-PPN)]]*10%)</f>
        <v>0</v>
      </c>
      <c r="AL485" s="42">
        <f>Table43[[#This Row],[Harga Beli Pcs
(-PPN)]]*Table43[[#This Row],[ISI/CTN]]</f>
        <v>0</v>
      </c>
      <c r="AM485" s="42">
        <f>Table43[[#This Row],[Harga Beli Pcs
(-PPN)]]*1.11</f>
        <v>0</v>
      </c>
      <c r="AN485" s="42">
        <f>Table43[[#This Row],[Harga Beli Krt
(- PPN)]]*1.11</f>
        <v>0</v>
      </c>
      <c r="AO485" s="42"/>
      <c r="AP485" s="42">
        <f>Table43[[#This Row],[Harga Jual Pcs GT
(-PPN)]]*Table43[[#This Row],[ISI/CTN]]</f>
        <v>0</v>
      </c>
      <c r="AQ485" s="42">
        <f>Table43[[#This Row],[Harga Jual Pcs GT
(-PPN)]]*1.11</f>
        <v>0</v>
      </c>
      <c r="AR485" s="42">
        <f>Table43[[#This Row],[Harga Jual Krt GT
(- PPN)]]*1.11</f>
        <v>0</v>
      </c>
      <c r="AS485" s="42">
        <f>Table43[[#This Row],[Harga Jual Pcs GT
(-PPN)]]</f>
        <v>0</v>
      </c>
      <c r="AT485" s="42">
        <f>(Table43[[#This Row],[Harga Jual Pcs MT
(-PPN)]]*Table43[[#This Row],[ISI/CTN]])</f>
        <v>0</v>
      </c>
      <c r="AU485" s="42">
        <f>Table43[[#This Row],[Harga Jual Pcs MT
(-PPN)]]*1.11</f>
        <v>0</v>
      </c>
      <c r="AV485" s="42">
        <f>Table43[[#This Row],[Harga Jual Pcs MT
(+PPN)]]*Table43[[#This Row],[ISI/CTN]]</f>
        <v>0</v>
      </c>
      <c r="AW485" s="47"/>
      <c r="AX485" s="7"/>
      <c r="AY485" s="7" t="str">
        <f ca="1">IF(TODAY()-Table43[[#This Row],[Efektif
Pembuatan]]&gt;60,"Lama","Baru")</f>
        <v>Lama</v>
      </c>
      <c r="AZ485" s="7" t="str">
        <f ca="1">IF(TODAY()-Table43[[#This Row],[Efektif Naik Harga]]&lt;30,"Naik","Sama")</f>
        <v>Sama</v>
      </c>
      <c r="BA485" s="7" t="str">
        <f>IF(Table43[[#This Row],[Kode BARANG Win2]]&lt;&gt;"","IDR","")</f>
        <v>IDR</v>
      </c>
      <c r="BB485" s="7" t="str">
        <f>CONCATENATE(Table43[[#This Row],[kode  1 Digit
(Nomor)]],Table43[[#This Row],[kode  4 Digit                (Nomor)]])</f>
        <v>10300</v>
      </c>
      <c r="BC485" s="7" t="str">
        <f>Table43[[#This Row],[Nama            Gramasi atau Jumlah Pack per CTN]]</f>
        <v>300ML</v>
      </c>
      <c r="BD485" s="7"/>
      <c r="BE485" s="7"/>
      <c r="BF485" s="4" t="str">
        <f>IF(Table43[[#This Row],[SATUAN Fix Win]]&lt;&gt;"","KRT")</f>
        <v>KRT</v>
      </c>
      <c r="BG485" s="4" t="str">
        <f>IF(Table43[[#This Row],[SATUAN Fix Win]]&lt;&gt;"","GD01")</f>
        <v>GD01</v>
      </c>
      <c r="BH485" s="4">
        <f>IF(Table43[[#This Row],[SATUAN Fix Win]]&lt;&gt;"",11611)</f>
        <v>11611</v>
      </c>
      <c r="BI485" s="4">
        <f>IF(Table43[[#This Row],[SATUAN Fix Win]]&lt;&gt;"",11612)</f>
        <v>11612</v>
      </c>
      <c r="BJ485" s="48"/>
      <c r="BK485" s="4">
        <f>IF(Table43[[#This Row],[SATUAN Fix Win]]&lt;&gt;"",1)</f>
        <v>1</v>
      </c>
    </row>
    <row r="486" spans="1:63">
      <c r="A486" s="4" t="str">
        <f>CONCATENATE(Table43[[#This Row],[Kode BARANG Win2]],Table43[[#This Row],[No. Urut
Item Sama]])</f>
        <v>K13600010100101</v>
      </c>
      <c r="B486" s="7">
        <v>1</v>
      </c>
      <c r="D486" s="28" t="s">
        <v>597</v>
      </c>
      <c r="E486" s="28"/>
      <c r="F486" s="28" t="s">
        <v>3249</v>
      </c>
      <c r="G486" s="78">
        <v>36</v>
      </c>
      <c r="H486" s="43"/>
      <c r="I486" s="28" t="str">
        <f>Table43[[#This Row],[Nama Jenis Kemasan]]</f>
        <v>BTL</v>
      </c>
      <c r="J486" s="4" t="str">
        <f>TRIM(CONCATENATE(Table43[[#This Row],[Nama            KLP]]," ",Table43[[#This Row],[Nama            Sub KLP]]))</f>
        <v>RESIK V GODOKAN</v>
      </c>
      <c r="K486" s="4" t="str">
        <f>CONCATENATE(Table43[[#This Row],[kode  2 Digit                (hrf+No)]],Table43[[#This Row],[kode  2 Digit                (Nomor)]],Table43[[#This Row],[kode  1 Digit                (Nomor)]])</f>
        <v>K1360</v>
      </c>
      <c r="L486" s="4" t="str">
        <f t="shared" si="24"/>
        <v>K1360001010010</v>
      </c>
      <c r="M486" s="11">
        <f t="shared" si="25"/>
        <v>14</v>
      </c>
      <c r="N486" s="14" t="str">
        <f>IF(AF486&lt;&gt;"",TRIM(UPPER(CONCATENATE(P486," ",R486," ",T486," ",V486," ",X486," ",Z486," ","X"," ",Table43[[#This Row],[ISI/CTN]]," ",AF486," ",AB486," ",AD486," ",AH486))),TRIM(UPPER(CONCATENATE(P486," ",R486," ",T486," ",V486," ",X486," ",Z486," ","X"," ",Table43[[#This Row],[ISI/CTN]]," ",AB486," ",AD486," ",AH486))))</f>
        <v>KNF RESIK V GODOKAN SIRIH 100ML X 36 BTL</v>
      </c>
      <c r="O486" s="11">
        <f t="shared" si="26"/>
        <v>40</v>
      </c>
      <c r="P486" s="4" t="s">
        <v>97</v>
      </c>
      <c r="Q486" s="7" t="s">
        <v>98</v>
      </c>
      <c r="R486" s="4" t="s">
        <v>3912</v>
      </c>
      <c r="S486" s="44" t="s">
        <v>3913</v>
      </c>
      <c r="T486" s="45" t="s">
        <v>2961</v>
      </c>
      <c r="U486" s="7" t="s">
        <v>2900</v>
      </c>
      <c r="V486" s="45" t="s">
        <v>2961</v>
      </c>
      <c r="W486" s="44" t="s">
        <v>2900</v>
      </c>
      <c r="X486" s="4" t="s">
        <v>3914</v>
      </c>
      <c r="Y486" s="46" t="s">
        <v>0</v>
      </c>
      <c r="Z486" s="4" t="s">
        <v>3588</v>
      </c>
      <c r="AA486" s="46" t="s">
        <v>2487</v>
      </c>
      <c r="AB486" s="4" t="s">
        <v>357</v>
      </c>
      <c r="AC486" s="7" t="s">
        <v>2656</v>
      </c>
      <c r="AD486" s="4" t="s">
        <v>2961</v>
      </c>
      <c r="AE486" s="7" t="s">
        <v>2900</v>
      </c>
      <c r="AF486" s="7" t="s">
        <v>2961</v>
      </c>
      <c r="AG486" s="7" t="s">
        <v>2961</v>
      </c>
      <c r="AI486" s="7" t="s">
        <v>4100</v>
      </c>
      <c r="AJ486" s="7" t="s">
        <v>2656</v>
      </c>
      <c r="AK486" s="41">
        <f>Table43[[#This Row],[Harga Jual Pcs GT
(-PPN)]]-(Table43[[#This Row],[Harga Jual Pcs GT
(-PPN)]]*10%)</f>
        <v>0</v>
      </c>
      <c r="AL486" s="42">
        <f>Table43[[#This Row],[Harga Beli Pcs
(-PPN)]]*Table43[[#This Row],[ISI/CTN]]</f>
        <v>0</v>
      </c>
      <c r="AM486" s="42">
        <f>Table43[[#This Row],[Harga Beli Pcs
(-PPN)]]*1.11</f>
        <v>0</v>
      </c>
      <c r="AN486" s="42">
        <f>Table43[[#This Row],[Harga Beli Krt
(- PPN)]]*1.11</f>
        <v>0</v>
      </c>
      <c r="AO486" s="42"/>
      <c r="AP486" s="42">
        <f>Table43[[#This Row],[Harga Jual Pcs GT
(-PPN)]]*Table43[[#This Row],[ISI/CTN]]</f>
        <v>0</v>
      </c>
      <c r="AQ486" s="42">
        <f>Table43[[#This Row],[Harga Jual Pcs GT
(-PPN)]]*1.11</f>
        <v>0</v>
      </c>
      <c r="AR486" s="42">
        <f>Table43[[#This Row],[Harga Jual Krt GT
(- PPN)]]*1.11</f>
        <v>0</v>
      </c>
      <c r="AS486" s="42">
        <f>Table43[[#This Row],[Harga Jual Pcs GT
(-PPN)]]</f>
        <v>0</v>
      </c>
      <c r="AT486" s="42">
        <f>(Table43[[#This Row],[Harga Jual Pcs MT
(-PPN)]]*Table43[[#This Row],[ISI/CTN]])</f>
        <v>0</v>
      </c>
      <c r="AU486" s="42">
        <f>Table43[[#This Row],[Harga Jual Pcs MT
(-PPN)]]*1.11</f>
        <v>0</v>
      </c>
      <c r="AV486" s="42">
        <f>Table43[[#This Row],[Harga Jual Pcs MT
(+PPN)]]*Table43[[#This Row],[ISI/CTN]]</f>
        <v>0</v>
      </c>
      <c r="AW486" s="47"/>
      <c r="AX486" s="7"/>
      <c r="AY486" s="7" t="str">
        <f ca="1">IF(TODAY()-Table43[[#This Row],[Efektif
Pembuatan]]&gt;60,"Lama","Baru")</f>
        <v>Lama</v>
      </c>
      <c r="AZ486" s="7" t="str">
        <f ca="1">IF(TODAY()-Table43[[#This Row],[Efektif Naik Harga]]&lt;30,"Naik","Sama")</f>
        <v>Sama</v>
      </c>
      <c r="BA486" s="7" t="str">
        <f>IF(Table43[[#This Row],[Kode BARANG Win2]]&lt;&gt;"","IDR","")</f>
        <v>IDR</v>
      </c>
      <c r="BB486" s="7" t="str">
        <f>CONCATENATE(Table43[[#This Row],[kode  1 Digit
(Nomor)]],Table43[[#This Row],[kode  4 Digit                (Nomor)]])</f>
        <v>10100</v>
      </c>
      <c r="BC486" s="7" t="str">
        <f>Table43[[#This Row],[Nama            Gramasi atau Jumlah Pack per CTN]]</f>
        <v>100ML</v>
      </c>
      <c r="BD486" s="7"/>
      <c r="BE486" s="7"/>
      <c r="BF486" s="4" t="str">
        <f>IF(Table43[[#This Row],[SATUAN Fix Win]]&lt;&gt;"","KRT")</f>
        <v>KRT</v>
      </c>
      <c r="BG486" s="4" t="str">
        <f>IF(Table43[[#This Row],[SATUAN Fix Win]]&lt;&gt;"","GD01")</f>
        <v>GD01</v>
      </c>
      <c r="BH486" s="4">
        <f>IF(Table43[[#This Row],[SATUAN Fix Win]]&lt;&gt;"",11611)</f>
        <v>11611</v>
      </c>
      <c r="BI486" s="4">
        <f>IF(Table43[[#This Row],[SATUAN Fix Win]]&lt;&gt;"",11612)</f>
        <v>11612</v>
      </c>
      <c r="BJ486" s="48"/>
      <c r="BK486" s="4">
        <f>IF(Table43[[#This Row],[SATUAN Fix Win]]&lt;&gt;"",1)</f>
        <v>1</v>
      </c>
    </row>
    <row r="487" spans="1:63">
      <c r="A487" s="4" t="str">
        <f>CONCATENATE(Table43[[#This Row],[Kode BARANG Win2]],Table43[[#This Row],[No. Urut
Item Sama]])</f>
        <v>K13610000100101</v>
      </c>
      <c r="B487" s="7">
        <v>1</v>
      </c>
      <c r="D487" s="28" t="s">
        <v>598</v>
      </c>
      <c r="E487" s="28"/>
      <c r="F487" s="28" t="s">
        <v>3250</v>
      </c>
      <c r="G487" s="78">
        <v>36</v>
      </c>
      <c r="H487" s="43"/>
      <c r="I487" s="28" t="str">
        <f>Table43[[#This Row],[Nama Jenis Kemasan]]</f>
        <v>BTL</v>
      </c>
      <c r="J487" s="4" t="str">
        <f>TRIM(CONCATENATE(Table43[[#This Row],[Nama            KLP]]," ",Table43[[#This Row],[Nama            Sub KLP]]))</f>
        <v>RESIK V GODOKAN RAMUAN MADURA</v>
      </c>
      <c r="K487" s="4" t="str">
        <f>CONCATENATE(Table43[[#This Row],[kode  2 Digit                (hrf+No)]],Table43[[#This Row],[kode  2 Digit                (Nomor)]],Table43[[#This Row],[kode  1 Digit                (Nomor)]])</f>
        <v>K1361</v>
      </c>
      <c r="L487" s="4" t="str">
        <f t="shared" si="24"/>
        <v>K1361000010010</v>
      </c>
      <c r="M487" s="11">
        <f t="shared" si="25"/>
        <v>14</v>
      </c>
      <c r="N487" s="14" t="str">
        <f>IF(AF487&lt;&gt;"",TRIM(UPPER(CONCATENATE(P487," ",R487," ",T487," ",V487," ",X487," ",Z487," ","X"," ",Table43[[#This Row],[ISI/CTN]]," ",AF487," ",AB487," ",AD487," ",AH487))),TRIM(UPPER(CONCATENATE(P487," ",R487," ",T487," ",V487," ",X487," ",Z487," ","X"," ",Table43[[#This Row],[ISI/CTN]]," ",AB487," ",AD487," ",AH487))))</f>
        <v>KNF RESIK V GODOKAN RAMUAN MADURA 100ML X 36 BTL</v>
      </c>
      <c r="O487" s="11">
        <f t="shared" si="26"/>
        <v>48</v>
      </c>
      <c r="P487" s="4" t="s">
        <v>97</v>
      </c>
      <c r="Q487" s="7" t="s">
        <v>98</v>
      </c>
      <c r="R487" s="4" t="s">
        <v>3912</v>
      </c>
      <c r="S487" s="44" t="s">
        <v>3913</v>
      </c>
      <c r="T487" s="45" t="s">
        <v>3915</v>
      </c>
      <c r="U487" s="7" t="s">
        <v>2656</v>
      </c>
      <c r="V487" s="45" t="s">
        <v>2961</v>
      </c>
      <c r="W487" s="44" t="s">
        <v>2900</v>
      </c>
      <c r="X487" s="4" t="s">
        <v>2961</v>
      </c>
      <c r="Y487" s="46" t="s">
        <v>2480</v>
      </c>
      <c r="Z487" s="4" t="s">
        <v>3588</v>
      </c>
      <c r="AA487" s="46" t="s">
        <v>2487</v>
      </c>
      <c r="AB487" s="4" t="s">
        <v>357</v>
      </c>
      <c r="AC487" s="7" t="s">
        <v>2656</v>
      </c>
      <c r="AD487" s="4" t="s">
        <v>2961</v>
      </c>
      <c r="AE487" s="7" t="s">
        <v>2900</v>
      </c>
      <c r="AF487" s="7" t="s">
        <v>2961</v>
      </c>
      <c r="AG487" s="7" t="s">
        <v>2961</v>
      </c>
      <c r="AI487" s="7" t="s">
        <v>4100</v>
      </c>
      <c r="AJ487" s="7" t="s">
        <v>2656</v>
      </c>
      <c r="AK487" s="41">
        <f>Table43[[#This Row],[Harga Jual Pcs GT
(-PPN)]]-(Table43[[#This Row],[Harga Jual Pcs GT
(-PPN)]]*10%)</f>
        <v>0</v>
      </c>
      <c r="AL487" s="42">
        <f>Table43[[#This Row],[Harga Beli Pcs
(-PPN)]]*Table43[[#This Row],[ISI/CTN]]</f>
        <v>0</v>
      </c>
      <c r="AM487" s="42">
        <f>Table43[[#This Row],[Harga Beli Pcs
(-PPN)]]*1.11</f>
        <v>0</v>
      </c>
      <c r="AN487" s="42">
        <f>Table43[[#This Row],[Harga Beli Krt
(- PPN)]]*1.11</f>
        <v>0</v>
      </c>
      <c r="AO487" s="42"/>
      <c r="AP487" s="42">
        <f>Table43[[#This Row],[Harga Jual Pcs GT
(-PPN)]]*Table43[[#This Row],[ISI/CTN]]</f>
        <v>0</v>
      </c>
      <c r="AQ487" s="42">
        <f>Table43[[#This Row],[Harga Jual Pcs GT
(-PPN)]]*1.11</f>
        <v>0</v>
      </c>
      <c r="AR487" s="42">
        <f>Table43[[#This Row],[Harga Jual Krt GT
(- PPN)]]*1.11</f>
        <v>0</v>
      </c>
      <c r="AS487" s="42">
        <f>Table43[[#This Row],[Harga Jual Pcs GT
(-PPN)]]</f>
        <v>0</v>
      </c>
      <c r="AT487" s="42">
        <f>(Table43[[#This Row],[Harga Jual Pcs MT
(-PPN)]]*Table43[[#This Row],[ISI/CTN]])</f>
        <v>0</v>
      </c>
      <c r="AU487" s="42">
        <f>Table43[[#This Row],[Harga Jual Pcs MT
(-PPN)]]*1.11</f>
        <v>0</v>
      </c>
      <c r="AV487" s="42">
        <f>Table43[[#This Row],[Harga Jual Pcs MT
(+PPN)]]*Table43[[#This Row],[ISI/CTN]]</f>
        <v>0</v>
      </c>
      <c r="AW487" s="47"/>
      <c r="AX487" s="7"/>
      <c r="AY487" s="7" t="str">
        <f ca="1">IF(TODAY()-Table43[[#This Row],[Efektif
Pembuatan]]&gt;60,"Lama","Baru")</f>
        <v>Lama</v>
      </c>
      <c r="AZ487" s="7" t="str">
        <f ca="1">IF(TODAY()-Table43[[#This Row],[Efektif Naik Harga]]&lt;30,"Naik","Sama")</f>
        <v>Sama</v>
      </c>
      <c r="BA487" s="7" t="str">
        <f>IF(Table43[[#This Row],[Kode BARANG Win2]]&lt;&gt;"","IDR","")</f>
        <v>IDR</v>
      </c>
      <c r="BB487" s="7" t="str">
        <f>CONCATENATE(Table43[[#This Row],[kode  1 Digit
(Nomor)]],Table43[[#This Row],[kode  4 Digit                (Nomor)]])</f>
        <v>10100</v>
      </c>
      <c r="BC487" s="7" t="str">
        <f>Table43[[#This Row],[Nama            Gramasi atau Jumlah Pack per CTN]]</f>
        <v>100ML</v>
      </c>
      <c r="BD487" s="7"/>
      <c r="BE487" s="7"/>
      <c r="BF487" s="4" t="str">
        <f>IF(Table43[[#This Row],[SATUAN Fix Win]]&lt;&gt;"","KRT")</f>
        <v>KRT</v>
      </c>
      <c r="BG487" s="4" t="str">
        <f>IF(Table43[[#This Row],[SATUAN Fix Win]]&lt;&gt;"","GD01")</f>
        <v>GD01</v>
      </c>
      <c r="BH487" s="4">
        <f>IF(Table43[[#This Row],[SATUAN Fix Win]]&lt;&gt;"",11611)</f>
        <v>11611</v>
      </c>
      <c r="BI487" s="4">
        <f>IF(Table43[[#This Row],[SATUAN Fix Win]]&lt;&gt;"",11612)</f>
        <v>11612</v>
      </c>
      <c r="BJ487" s="48"/>
      <c r="BK487" s="4">
        <f>IF(Table43[[#This Row],[SATUAN Fix Win]]&lt;&gt;"",1)</f>
        <v>1</v>
      </c>
    </row>
    <row r="488" spans="1:63">
      <c r="A488" s="4" t="str">
        <f>CONCATENATE(Table43[[#This Row],[Kode BARANG Win2]],Table43[[#This Row],[No. Urut
Item Sama]])</f>
        <v>K13700000050101</v>
      </c>
      <c r="B488" s="7">
        <v>1</v>
      </c>
      <c r="D488" s="28" t="s">
        <v>584</v>
      </c>
      <c r="E488" s="28"/>
      <c r="F488" s="28" t="s">
        <v>3251</v>
      </c>
      <c r="G488" s="78">
        <v>72</v>
      </c>
      <c r="H488" s="43"/>
      <c r="I488" s="28" t="str">
        <f>Table43[[#This Row],[Nama Jenis Kemasan]]</f>
        <v>BTL</v>
      </c>
      <c r="J488" s="4" t="str">
        <f>TRIM(CONCATENATE(Table43[[#This Row],[Nama            KLP]]," ",Table43[[#This Row],[Nama            Sub KLP]]))</f>
        <v>RESIK V MANJAKANI</v>
      </c>
      <c r="K488" s="4" t="str">
        <f>CONCATENATE(Table43[[#This Row],[kode  2 Digit                (hrf+No)]],Table43[[#This Row],[kode  2 Digit                (Nomor)]],Table43[[#This Row],[kode  1 Digit                (Nomor)]])</f>
        <v>K1370</v>
      </c>
      <c r="L488" s="4" t="str">
        <f t="shared" si="24"/>
        <v>K1370000005010</v>
      </c>
      <c r="M488" s="11">
        <f t="shared" si="25"/>
        <v>14</v>
      </c>
      <c r="N488" s="14" t="str">
        <f>IF(AF488&lt;&gt;"",TRIM(UPPER(CONCATENATE(P488," ",R488," ",T488," ",V488," ",X488," ",Z488," ","X"," ",Table43[[#This Row],[ISI/CTN]]," ",AF488," ",AB488," ",AD488," ",AH488))),TRIM(UPPER(CONCATENATE(P488," ",R488," ",T488," ",V488," ",X488," ",Z488," ","X"," ",Table43[[#This Row],[ISI/CTN]]," ",AB488," ",AD488," ",AH488))))</f>
        <v>KNF RESIK V MANJAKANI 50ML X 72 BTL</v>
      </c>
      <c r="O488" s="11">
        <f t="shared" si="26"/>
        <v>35</v>
      </c>
      <c r="P488" s="4" t="s">
        <v>97</v>
      </c>
      <c r="Q488" s="7" t="s">
        <v>98</v>
      </c>
      <c r="R488" s="4" t="s">
        <v>3916</v>
      </c>
      <c r="S488" s="44" t="s">
        <v>3917</v>
      </c>
      <c r="T488" s="45" t="s">
        <v>2961</v>
      </c>
      <c r="U488" s="7" t="s">
        <v>2900</v>
      </c>
      <c r="V488" s="45" t="s">
        <v>2961</v>
      </c>
      <c r="W488" s="44" t="s">
        <v>2900</v>
      </c>
      <c r="X488" s="4" t="s">
        <v>2961</v>
      </c>
      <c r="Y488" s="46" t="s">
        <v>2480</v>
      </c>
      <c r="Z488" s="4" t="s">
        <v>3654</v>
      </c>
      <c r="AA488" s="46" t="s">
        <v>2490</v>
      </c>
      <c r="AB488" s="4" t="s">
        <v>357</v>
      </c>
      <c r="AC488" s="7" t="s">
        <v>2656</v>
      </c>
      <c r="AD488" s="4" t="s">
        <v>2961</v>
      </c>
      <c r="AE488" s="7" t="s">
        <v>2900</v>
      </c>
      <c r="AF488" s="7" t="s">
        <v>2961</v>
      </c>
      <c r="AG488" s="7" t="s">
        <v>2961</v>
      </c>
      <c r="AI488" s="7" t="s">
        <v>4100</v>
      </c>
      <c r="AJ488" s="7" t="s">
        <v>2656</v>
      </c>
      <c r="AK488" s="41">
        <f>Table43[[#This Row],[Harga Jual Pcs GT
(-PPN)]]-(Table43[[#This Row],[Harga Jual Pcs GT
(-PPN)]]*10%)</f>
        <v>0</v>
      </c>
      <c r="AL488" s="42">
        <f>Table43[[#This Row],[Harga Beli Pcs
(-PPN)]]*Table43[[#This Row],[ISI/CTN]]</f>
        <v>0</v>
      </c>
      <c r="AM488" s="42">
        <f>Table43[[#This Row],[Harga Beli Pcs
(-PPN)]]*1.11</f>
        <v>0</v>
      </c>
      <c r="AN488" s="42">
        <f>Table43[[#This Row],[Harga Beli Krt
(- PPN)]]*1.11</f>
        <v>0</v>
      </c>
      <c r="AO488" s="42"/>
      <c r="AP488" s="42">
        <f>Table43[[#This Row],[Harga Jual Pcs GT
(-PPN)]]*Table43[[#This Row],[ISI/CTN]]</f>
        <v>0</v>
      </c>
      <c r="AQ488" s="42">
        <f>Table43[[#This Row],[Harga Jual Pcs GT
(-PPN)]]*1.11</f>
        <v>0</v>
      </c>
      <c r="AR488" s="42">
        <f>Table43[[#This Row],[Harga Jual Krt GT
(- PPN)]]*1.11</f>
        <v>0</v>
      </c>
      <c r="AS488" s="42">
        <f>Table43[[#This Row],[Harga Jual Pcs GT
(-PPN)]]</f>
        <v>0</v>
      </c>
      <c r="AT488" s="42">
        <f>(Table43[[#This Row],[Harga Jual Pcs MT
(-PPN)]]*Table43[[#This Row],[ISI/CTN]])</f>
        <v>0</v>
      </c>
      <c r="AU488" s="42">
        <f>Table43[[#This Row],[Harga Jual Pcs MT
(-PPN)]]*1.11</f>
        <v>0</v>
      </c>
      <c r="AV488" s="42">
        <f>Table43[[#This Row],[Harga Jual Pcs MT
(+PPN)]]*Table43[[#This Row],[ISI/CTN]]</f>
        <v>0</v>
      </c>
      <c r="AW488" s="47"/>
      <c r="AX488" s="7"/>
      <c r="AY488" s="7" t="str">
        <f ca="1">IF(TODAY()-Table43[[#This Row],[Efektif
Pembuatan]]&gt;60,"Lama","Baru")</f>
        <v>Lama</v>
      </c>
      <c r="AZ488" s="7" t="str">
        <f ca="1">IF(TODAY()-Table43[[#This Row],[Efektif Naik Harga]]&lt;30,"Naik","Sama")</f>
        <v>Sama</v>
      </c>
      <c r="BA488" s="7" t="str">
        <f>IF(Table43[[#This Row],[Kode BARANG Win2]]&lt;&gt;"","IDR","")</f>
        <v>IDR</v>
      </c>
      <c r="BB488" s="7" t="str">
        <f>CONCATENATE(Table43[[#This Row],[kode  1 Digit
(Nomor)]],Table43[[#This Row],[kode  4 Digit                (Nomor)]])</f>
        <v>10050</v>
      </c>
      <c r="BC488" s="7" t="str">
        <f>Table43[[#This Row],[Nama            Gramasi atau Jumlah Pack per CTN]]</f>
        <v>50ML</v>
      </c>
      <c r="BD488" s="7"/>
      <c r="BE488" s="7"/>
      <c r="BF488" s="4" t="str">
        <f>IF(Table43[[#This Row],[SATUAN Fix Win]]&lt;&gt;"","KRT")</f>
        <v>KRT</v>
      </c>
      <c r="BG488" s="4" t="str">
        <f>IF(Table43[[#This Row],[SATUAN Fix Win]]&lt;&gt;"","GD01")</f>
        <v>GD01</v>
      </c>
      <c r="BH488" s="4">
        <f>IF(Table43[[#This Row],[SATUAN Fix Win]]&lt;&gt;"",11611)</f>
        <v>11611</v>
      </c>
      <c r="BI488" s="4">
        <f>IF(Table43[[#This Row],[SATUAN Fix Win]]&lt;&gt;"",11612)</f>
        <v>11612</v>
      </c>
      <c r="BJ488" s="48"/>
      <c r="BK488" s="4">
        <f>IF(Table43[[#This Row],[SATUAN Fix Win]]&lt;&gt;"",1)</f>
        <v>1</v>
      </c>
    </row>
    <row r="489" spans="1:63">
      <c r="A489" s="4" t="str">
        <f>CONCATENATE(Table43[[#This Row],[Kode BARANG Win2]],Table43[[#This Row],[No. Urut
Item Sama]])</f>
        <v>K13700000090101</v>
      </c>
      <c r="B489" s="7">
        <v>1</v>
      </c>
      <c r="D489" s="28" t="s">
        <v>585</v>
      </c>
      <c r="E489" s="28"/>
      <c r="F489" s="28" t="s">
        <v>3252</v>
      </c>
      <c r="G489" s="78">
        <v>36</v>
      </c>
      <c r="H489" s="43"/>
      <c r="I489" s="28" t="str">
        <f>Table43[[#This Row],[Nama Jenis Kemasan]]</f>
        <v>BTL</v>
      </c>
      <c r="J489" s="4" t="str">
        <f>TRIM(CONCATENATE(Table43[[#This Row],[Nama            KLP]]," ",Table43[[#This Row],[Nama            Sub KLP]]))</f>
        <v>RESIK V MANJAKANI</v>
      </c>
      <c r="K489" s="4" t="str">
        <f>CONCATENATE(Table43[[#This Row],[kode  2 Digit                (hrf+No)]],Table43[[#This Row],[kode  2 Digit                (Nomor)]],Table43[[#This Row],[kode  1 Digit                (Nomor)]])</f>
        <v>K1370</v>
      </c>
      <c r="L489" s="4" t="str">
        <f t="shared" si="24"/>
        <v>K1370000009010</v>
      </c>
      <c r="M489" s="11">
        <f t="shared" si="25"/>
        <v>14</v>
      </c>
      <c r="N489" s="14" t="str">
        <f>IF(AF489&lt;&gt;"",TRIM(UPPER(CONCATENATE(P489," ",R489," ",T489," ",V489," ",X489," ",Z489," ","X"," ",Table43[[#This Row],[ISI/CTN]]," ",AF489," ",AB489," ",AD489," ",AH489))),TRIM(UPPER(CONCATENATE(P489," ",R489," ",T489," ",V489," ",X489," ",Z489," ","X"," ",Table43[[#This Row],[ISI/CTN]]," ",AB489," ",AD489," ",AH489))))</f>
        <v>KNF RESIK V MANJAKANI 90ML X 36 BTL</v>
      </c>
      <c r="O489" s="11">
        <f t="shared" si="26"/>
        <v>35</v>
      </c>
      <c r="P489" s="4" t="s">
        <v>97</v>
      </c>
      <c r="Q489" s="7" t="s">
        <v>98</v>
      </c>
      <c r="R489" s="4" t="s">
        <v>3916</v>
      </c>
      <c r="S489" s="44" t="s">
        <v>3917</v>
      </c>
      <c r="T489" s="45" t="s">
        <v>2961</v>
      </c>
      <c r="U489" s="7" t="s">
        <v>2900</v>
      </c>
      <c r="V489" s="45" t="s">
        <v>2961</v>
      </c>
      <c r="W489" s="44" t="s">
        <v>2900</v>
      </c>
      <c r="X489" s="4" t="s">
        <v>2961</v>
      </c>
      <c r="Y489" s="46" t="s">
        <v>2480</v>
      </c>
      <c r="Z489" s="4" t="s">
        <v>3918</v>
      </c>
      <c r="AA489" s="46" t="s">
        <v>2509</v>
      </c>
      <c r="AB489" s="4" t="s">
        <v>357</v>
      </c>
      <c r="AC489" s="7" t="s">
        <v>2656</v>
      </c>
      <c r="AD489" s="4" t="s">
        <v>2961</v>
      </c>
      <c r="AE489" s="7" t="s">
        <v>2900</v>
      </c>
      <c r="AF489" s="7" t="s">
        <v>2961</v>
      </c>
      <c r="AG489" s="7" t="s">
        <v>2961</v>
      </c>
      <c r="AI489" s="7" t="s">
        <v>4100</v>
      </c>
      <c r="AJ489" s="7" t="s">
        <v>2656</v>
      </c>
      <c r="AK489" s="41">
        <f>Table43[[#This Row],[Harga Jual Pcs GT
(-PPN)]]-(Table43[[#This Row],[Harga Jual Pcs GT
(-PPN)]]*10%)</f>
        <v>0</v>
      </c>
      <c r="AL489" s="42">
        <f>Table43[[#This Row],[Harga Beli Pcs
(-PPN)]]*Table43[[#This Row],[ISI/CTN]]</f>
        <v>0</v>
      </c>
      <c r="AM489" s="42">
        <f>Table43[[#This Row],[Harga Beli Pcs
(-PPN)]]*1.11</f>
        <v>0</v>
      </c>
      <c r="AN489" s="42">
        <f>Table43[[#This Row],[Harga Beli Krt
(- PPN)]]*1.11</f>
        <v>0</v>
      </c>
      <c r="AO489" s="42"/>
      <c r="AP489" s="42">
        <f>Table43[[#This Row],[Harga Jual Pcs GT
(-PPN)]]*Table43[[#This Row],[ISI/CTN]]</f>
        <v>0</v>
      </c>
      <c r="AQ489" s="42">
        <f>Table43[[#This Row],[Harga Jual Pcs GT
(-PPN)]]*1.11</f>
        <v>0</v>
      </c>
      <c r="AR489" s="42">
        <f>Table43[[#This Row],[Harga Jual Krt GT
(- PPN)]]*1.11</f>
        <v>0</v>
      </c>
      <c r="AS489" s="42">
        <f>Table43[[#This Row],[Harga Jual Pcs GT
(-PPN)]]</f>
        <v>0</v>
      </c>
      <c r="AT489" s="42">
        <f>(Table43[[#This Row],[Harga Jual Pcs MT
(-PPN)]]*Table43[[#This Row],[ISI/CTN]])</f>
        <v>0</v>
      </c>
      <c r="AU489" s="42">
        <f>Table43[[#This Row],[Harga Jual Pcs MT
(-PPN)]]*1.11</f>
        <v>0</v>
      </c>
      <c r="AV489" s="42">
        <f>Table43[[#This Row],[Harga Jual Pcs MT
(+PPN)]]*Table43[[#This Row],[ISI/CTN]]</f>
        <v>0</v>
      </c>
      <c r="AW489" s="47"/>
      <c r="AX489" s="7"/>
      <c r="AY489" s="7" t="str">
        <f ca="1">IF(TODAY()-Table43[[#This Row],[Efektif
Pembuatan]]&gt;60,"Lama","Baru")</f>
        <v>Lama</v>
      </c>
      <c r="AZ489" s="7" t="str">
        <f ca="1">IF(TODAY()-Table43[[#This Row],[Efektif Naik Harga]]&lt;30,"Naik","Sama")</f>
        <v>Sama</v>
      </c>
      <c r="BA489" s="7" t="str">
        <f>IF(Table43[[#This Row],[Kode BARANG Win2]]&lt;&gt;"","IDR","")</f>
        <v>IDR</v>
      </c>
      <c r="BB489" s="7" t="str">
        <f>CONCATENATE(Table43[[#This Row],[kode  1 Digit
(Nomor)]],Table43[[#This Row],[kode  4 Digit                (Nomor)]])</f>
        <v>10090</v>
      </c>
      <c r="BC489" s="7" t="str">
        <f>Table43[[#This Row],[Nama            Gramasi atau Jumlah Pack per CTN]]</f>
        <v>90ML</v>
      </c>
      <c r="BD489" s="7"/>
      <c r="BE489" s="7"/>
      <c r="BF489" s="4" t="str">
        <f>IF(Table43[[#This Row],[SATUAN Fix Win]]&lt;&gt;"","KRT")</f>
        <v>KRT</v>
      </c>
      <c r="BG489" s="4" t="str">
        <f>IF(Table43[[#This Row],[SATUAN Fix Win]]&lt;&gt;"","GD01")</f>
        <v>GD01</v>
      </c>
      <c r="BH489" s="4">
        <f>IF(Table43[[#This Row],[SATUAN Fix Win]]&lt;&gt;"",11611)</f>
        <v>11611</v>
      </c>
      <c r="BI489" s="4">
        <f>IF(Table43[[#This Row],[SATUAN Fix Win]]&lt;&gt;"",11612)</f>
        <v>11612</v>
      </c>
      <c r="BJ489" s="48"/>
      <c r="BK489" s="4">
        <f>IF(Table43[[#This Row],[SATUAN Fix Win]]&lt;&gt;"",1)</f>
        <v>1</v>
      </c>
    </row>
    <row r="490" spans="1:63">
      <c r="A490" s="4" t="str">
        <f>CONCATENATE(Table43[[#This Row],[Kode BARANG Win2]],Table43[[#This Row],[No. Urut
Item Sama]])</f>
        <v>K13700000200101</v>
      </c>
      <c r="B490" s="7">
        <v>1</v>
      </c>
      <c r="D490" s="28" t="s">
        <v>586</v>
      </c>
      <c r="E490" s="28"/>
      <c r="F490" s="28" t="s">
        <v>3253</v>
      </c>
      <c r="G490" s="78">
        <v>36</v>
      </c>
      <c r="H490" s="43"/>
      <c r="I490" s="28" t="str">
        <f>Table43[[#This Row],[Nama Jenis Kemasan]]</f>
        <v>BTL</v>
      </c>
      <c r="J490" s="4" t="str">
        <f>TRIM(CONCATENATE(Table43[[#This Row],[Nama            KLP]]," ",Table43[[#This Row],[Nama            Sub KLP]]))</f>
        <v>RESIK V MANJAKANI</v>
      </c>
      <c r="K490" s="4" t="str">
        <f>CONCATENATE(Table43[[#This Row],[kode  2 Digit                (hrf+No)]],Table43[[#This Row],[kode  2 Digit                (Nomor)]],Table43[[#This Row],[kode  1 Digit                (Nomor)]])</f>
        <v>K1370</v>
      </c>
      <c r="L490" s="4" t="str">
        <f t="shared" si="24"/>
        <v>K1370000020010</v>
      </c>
      <c r="M490" s="11">
        <f t="shared" si="25"/>
        <v>14</v>
      </c>
      <c r="N490" s="14" t="str">
        <f>IF(AF490&lt;&gt;"",TRIM(UPPER(CONCATENATE(P490," ",R490," ",T490," ",V490," ",X490," ",Z490," ","X"," ",Table43[[#This Row],[ISI/CTN]]," ",AF490," ",AB490," ",AD490," ",AH490))),TRIM(UPPER(CONCATENATE(P490," ",R490," ",T490," ",V490," ",X490," ",Z490," ","X"," ",Table43[[#This Row],[ISI/CTN]]," ",AB490," ",AD490," ",AH490))))</f>
        <v>KNF RESIK V MANJAKANI 200ML X 36 BTL</v>
      </c>
      <c r="O490" s="11">
        <f t="shared" si="26"/>
        <v>36</v>
      </c>
      <c r="P490" s="4" t="s">
        <v>97</v>
      </c>
      <c r="Q490" s="7" t="s">
        <v>98</v>
      </c>
      <c r="R490" s="4" t="s">
        <v>3916</v>
      </c>
      <c r="S490" s="44" t="s">
        <v>3917</v>
      </c>
      <c r="T490" s="45" t="s">
        <v>2961</v>
      </c>
      <c r="U490" s="7" t="s">
        <v>2900</v>
      </c>
      <c r="V490" s="45" t="s">
        <v>2961</v>
      </c>
      <c r="W490" s="44" t="s">
        <v>2900</v>
      </c>
      <c r="X490" s="4" t="s">
        <v>2961</v>
      </c>
      <c r="Y490" s="46" t="s">
        <v>2480</v>
      </c>
      <c r="Z490" s="4" t="s">
        <v>3582</v>
      </c>
      <c r="AA490" s="46" t="s">
        <v>2486</v>
      </c>
      <c r="AB490" s="4" t="s">
        <v>357</v>
      </c>
      <c r="AC490" s="7" t="s">
        <v>2656</v>
      </c>
      <c r="AD490" s="4" t="s">
        <v>2961</v>
      </c>
      <c r="AE490" s="7" t="s">
        <v>2900</v>
      </c>
      <c r="AF490" s="7" t="s">
        <v>2961</v>
      </c>
      <c r="AG490" s="7" t="s">
        <v>2961</v>
      </c>
      <c r="AI490" s="7" t="s">
        <v>4100</v>
      </c>
      <c r="AJ490" s="7" t="s">
        <v>2656</v>
      </c>
      <c r="AK490" s="41">
        <f>Table43[[#This Row],[Harga Jual Pcs GT
(-PPN)]]-(Table43[[#This Row],[Harga Jual Pcs GT
(-PPN)]]*10%)</f>
        <v>0</v>
      </c>
      <c r="AL490" s="42">
        <f>Table43[[#This Row],[Harga Beli Pcs
(-PPN)]]*Table43[[#This Row],[ISI/CTN]]</f>
        <v>0</v>
      </c>
      <c r="AM490" s="42">
        <f>Table43[[#This Row],[Harga Beli Pcs
(-PPN)]]*1.11</f>
        <v>0</v>
      </c>
      <c r="AN490" s="42">
        <f>Table43[[#This Row],[Harga Beli Krt
(- PPN)]]*1.11</f>
        <v>0</v>
      </c>
      <c r="AO490" s="42"/>
      <c r="AP490" s="42">
        <f>Table43[[#This Row],[Harga Jual Pcs GT
(-PPN)]]*Table43[[#This Row],[ISI/CTN]]</f>
        <v>0</v>
      </c>
      <c r="AQ490" s="42">
        <f>Table43[[#This Row],[Harga Jual Pcs GT
(-PPN)]]*1.11</f>
        <v>0</v>
      </c>
      <c r="AR490" s="42">
        <f>Table43[[#This Row],[Harga Jual Krt GT
(- PPN)]]*1.11</f>
        <v>0</v>
      </c>
      <c r="AS490" s="42">
        <f>Table43[[#This Row],[Harga Jual Pcs GT
(-PPN)]]</f>
        <v>0</v>
      </c>
      <c r="AT490" s="42">
        <f>(Table43[[#This Row],[Harga Jual Pcs MT
(-PPN)]]*Table43[[#This Row],[ISI/CTN]])</f>
        <v>0</v>
      </c>
      <c r="AU490" s="42">
        <f>Table43[[#This Row],[Harga Jual Pcs MT
(-PPN)]]*1.11</f>
        <v>0</v>
      </c>
      <c r="AV490" s="42">
        <f>Table43[[#This Row],[Harga Jual Pcs MT
(+PPN)]]*Table43[[#This Row],[ISI/CTN]]</f>
        <v>0</v>
      </c>
      <c r="AW490" s="47"/>
      <c r="AX490" s="7"/>
      <c r="AY490" s="7" t="str">
        <f ca="1">IF(TODAY()-Table43[[#This Row],[Efektif
Pembuatan]]&gt;60,"Lama","Baru")</f>
        <v>Lama</v>
      </c>
      <c r="AZ490" s="7" t="str">
        <f ca="1">IF(TODAY()-Table43[[#This Row],[Efektif Naik Harga]]&lt;30,"Naik","Sama")</f>
        <v>Sama</v>
      </c>
      <c r="BA490" s="7" t="str">
        <f>IF(Table43[[#This Row],[Kode BARANG Win2]]&lt;&gt;"","IDR","")</f>
        <v>IDR</v>
      </c>
      <c r="BB490" s="7" t="str">
        <f>CONCATENATE(Table43[[#This Row],[kode  1 Digit
(Nomor)]],Table43[[#This Row],[kode  4 Digit                (Nomor)]])</f>
        <v>10200</v>
      </c>
      <c r="BC490" s="7" t="str">
        <f>Table43[[#This Row],[Nama            Gramasi atau Jumlah Pack per CTN]]</f>
        <v>200ML</v>
      </c>
      <c r="BD490" s="7"/>
      <c r="BE490" s="7"/>
      <c r="BF490" s="4" t="str">
        <f>IF(Table43[[#This Row],[SATUAN Fix Win]]&lt;&gt;"","KRT")</f>
        <v>KRT</v>
      </c>
      <c r="BG490" s="4" t="str">
        <f>IF(Table43[[#This Row],[SATUAN Fix Win]]&lt;&gt;"","GD01")</f>
        <v>GD01</v>
      </c>
      <c r="BH490" s="4">
        <f>IF(Table43[[#This Row],[SATUAN Fix Win]]&lt;&gt;"",11611)</f>
        <v>11611</v>
      </c>
      <c r="BI490" s="4">
        <f>IF(Table43[[#This Row],[SATUAN Fix Win]]&lt;&gt;"",11612)</f>
        <v>11612</v>
      </c>
      <c r="BJ490" s="48"/>
      <c r="BK490" s="4">
        <f>IF(Table43[[#This Row],[SATUAN Fix Win]]&lt;&gt;"",1)</f>
        <v>1</v>
      </c>
    </row>
    <row r="491" spans="1:63">
      <c r="A491" s="4" t="str">
        <f>CONCATENATE(Table43[[#This Row],[Kode BARANG Win2]],Table43[[#This Row],[No. Urut
Item Sama]])</f>
        <v>K13700010050101</v>
      </c>
      <c r="B491" s="7">
        <v>1</v>
      </c>
      <c r="D491" s="28" t="s">
        <v>587</v>
      </c>
      <c r="E491" s="28"/>
      <c r="F491" s="28" t="s">
        <v>3254</v>
      </c>
      <c r="G491" s="78">
        <v>72</v>
      </c>
      <c r="H491" s="43"/>
      <c r="I491" s="28" t="str">
        <f>Table43[[#This Row],[Nama Jenis Kemasan]]</f>
        <v>BTL</v>
      </c>
      <c r="J491" s="4" t="str">
        <f>TRIM(CONCATENATE(Table43[[#This Row],[Nama            KLP]]," ",Table43[[#This Row],[Nama            Sub KLP]]))</f>
        <v>RESIK V</v>
      </c>
      <c r="K491" s="4" t="str">
        <f>CONCATENATE(Table43[[#This Row],[kode  2 Digit                (hrf+No)]],Table43[[#This Row],[kode  2 Digit                (Nomor)]],Table43[[#This Row],[kode  1 Digit                (Nomor)]])</f>
        <v>K1370</v>
      </c>
      <c r="L491" s="4" t="str">
        <f t="shared" si="24"/>
        <v>K1370001005010</v>
      </c>
      <c r="M491" s="11">
        <f t="shared" si="25"/>
        <v>14</v>
      </c>
      <c r="N491" s="14" t="str">
        <f>IF(AF491&lt;&gt;"",TRIM(UPPER(CONCATENATE(P491," ",R491," ",T491," ",V491," ",X491," ",Z491," ","X"," ",Table43[[#This Row],[ISI/CTN]]," ",AF491," ",AB491," ",AD491," ",AH491))),TRIM(UPPER(CONCATENATE(P491," ",R491," ",T491," ",V491," ",X491," ",Z491," ","X"," ",Table43[[#This Row],[ISI/CTN]]," ",AB491," ",AD491," ",AH491))))</f>
        <v>KNF RESIK V MANJAKANI WHITENING 50ML X 72 BTL</v>
      </c>
      <c r="O491" s="11">
        <f t="shared" si="26"/>
        <v>45</v>
      </c>
      <c r="P491" s="4" t="s">
        <v>97</v>
      </c>
      <c r="Q491" s="7" t="s">
        <v>98</v>
      </c>
      <c r="R491" s="4" t="s">
        <v>3919</v>
      </c>
      <c r="S491" s="44" t="s">
        <v>3917</v>
      </c>
      <c r="T491" s="45" t="s">
        <v>2961</v>
      </c>
      <c r="U491" s="7" t="s">
        <v>2900</v>
      </c>
      <c r="V491" s="45" t="s">
        <v>2961</v>
      </c>
      <c r="W491" s="44" t="s">
        <v>2900</v>
      </c>
      <c r="X491" s="4" t="s">
        <v>3920</v>
      </c>
      <c r="Y491" s="46" t="s">
        <v>0</v>
      </c>
      <c r="Z491" s="4" t="s">
        <v>3654</v>
      </c>
      <c r="AA491" s="46" t="s">
        <v>2490</v>
      </c>
      <c r="AB491" s="4" t="s">
        <v>357</v>
      </c>
      <c r="AC491" s="7" t="s">
        <v>2656</v>
      </c>
      <c r="AD491" s="4" t="s">
        <v>2961</v>
      </c>
      <c r="AE491" s="7" t="s">
        <v>2900</v>
      </c>
      <c r="AF491" s="7" t="s">
        <v>2961</v>
      </c>
      <c r="AG491" s="7" t="s">
        <v>2961</v>
      </c>
      <c r="AI491" s="7" t="s">
        <v>4100</v>
      </c>
      <c r="AJ491" s="7" t="s">
        <v>2656</v>
      </c>
      <c r="AK491" s="41">
        <f>Table43[[#This Row],[Harga Jual Pcs GT
(-PPN)]]-(Table43[[#This Row],[Harga Jual Pcs GT
(-PPN)]]*10%)</f>
        <v>0</v>
      </c>
      <c r="AL491" s="42">
        <f>Table43[[#This Row],[Harga Beli Pcs
(-PPN)]]*Table43[[#This Row],[ISI/CTN]]</f>
        <v>0</v>
      </c>
      <c r="AM491" s="42">
        <f>Table43[[#This Row],[Harga Beli Pcs
(-PPN)]]*1.11</f>
        <v>0</v>
      </c>
      <c r="AN491" s="42">
        <f>Table43[[#This Row],[Harga Beli Krt
(- PPN)]]*1.11</f>
        <v>0</v>
      </c>
      <c r="AO491" s="42"/>
      <c r="AP491" s="42">
        <f>Table43[[#This Row],[Harga Jual Pcs GT
(-PPN)]]*Table43[[#This Row],[ISI/CTN]]</f>
        <v>0</v>
      </c>
      <c r="AQ491" s="42">
        <f>Table43[[#This Row],[Harga Jual Pcs GT
(-PPN)]]*1.11</f>
        <v>0</v>
      </c>
      <c r="AR491" s="42">
        <f>Table43[[#This Row],[Harga Jual Krt GT
(- PPN)]]*1.11</f>
        <v>0</v>
      </c>
      <c r="AS491" s="42">
        <f>Table43[[#This Row],[Harga Jual Pcs GT
(-PPN)]]</f>
        <v>0</v>
      </c>
      <c r="AT491" s="42">
        <f>(Table43[[#This Row],[Harga Jual Pcs MT
(-PPN)]]*Table43[[#This Row],[ISI/CTN]])</f>
        <v>0</v>
      </c>
      <c r="AU491" s="42">
        <f>Table43[[#This Row],[Harga Jual Pcs MT
(-PPN)]]*1.11</f>
        <v>0</v>
      </c>
      <c r="AV491" s="42">
        <f>Table43[[#This Row],[Harga Jual Pcs MT
(+PPN)]]*Table43[[#This Row],[ISI/CTN]]</f>
        <v>0</v>
      </c>
      <c r="AW491" s="47"/>
      <c r="AX491" s="7"/>
      <c r="AY491" s="7" t="str">
        <f ca="1">IF(TODAY()-Table43[[#This Row],[Efektif
Pembuatan]]&gt;60,"Lama","Baru")</f>
        <v>Lama</v>
      </c>
      <c r="AZ491" s="7" t="str">
        <f ca="1">IF(TODAY()-Table43[[#This Row],[Efektif Naik Harga]]&lt;30,"Naik","Sama")</f>
        <v>Sama</v>
      </c>
      <c r="BA491" s="7" t="str">
        <f>IF(Table43[[#This Row],[Kode BARANG Win2]]&lt;&gt;"","IDR","")</f>
        <v>IDR</v>
      </c>
      <c r="BB491" s="7" t="str">
        <f>CONCATENATE(Table43[[#This Row],[kode  1 Digit
(Nomor)]],Table43[[#This Row],[kode  4 Digit                (Nomor)]])</f>
        <v>10050</v>
      </c>
      <c r="BC491" s="7" t="str">
        <f>Table43[[#This Row],[Nama            Gramasi atau Jumlah Pack per CTN]]</f>
        <v>50ML</v>
      </c>
      <c r="BD491" s="7"/>
      <c r="BE491" s="7"/>
      <c r="BF491" s="4" t="str">
        <f>IF(Table43[[#This Row],[SATUAN Fix Win]]&lt;&gt;"","KRT")</f>
        <v>KRT</v>
      </c>
      <c r="BG491" s="4" t="str">
        <f>IF(Table43[[#This Row],[SATUAN Fix Win]]&lt;&gt;"","GD01")</f>
        <v>GD01</v>
      </c>
      <c r="BH491" s="4">
        <f>IF(Table43[[#This Row],[SATUAN Fix Win]]&lt;&gt;"",11611)</f>
        <v>11611</v>
      </c>
      <c r="BI491" s="4">
        <f>IF(Table43[[#This Row],[SATUAN Fix Win]]&lt;&gt;"",11612)</f>
        <v>11612</v>
      </c>
      <c r="BJ491" s="48"/>
      <c r="BK491" s="4">
        <f>IF(Table43[[#This Row],[SATUAN Fix Win]]&lt;&gt;"",1)</f>
        <v>1</v>
      </c>
    </row>
    <row r="492" spans="1:63">
      <c r="A492" s="4" t="str">
        <f>CONCATENATE(Table43[[#This Row],[Kode BARANG Win2]],Table43[[#This Row],[No. Urut
Item Sama]])</f>
        <v>K13700010090101</v>
      </c>
      <c r="B492" s="7">
        <v>1</v>
      </c>
      <c r="D492" s="28" t="s">
        <v>588</v>
      </c>
      <c r="E492" s="28"/>
      <c r="F492" s="28" t="s">
        <v>3255</v>
      </c>
      <c r="G492" s="78">
        <v>36</v>
      </c>
      <c r="H492" s="43"/>
      <c r="I492" s="28" t="str">
        <f>Table43[[#This Row],[Nama Jenis Kemasan]]</f>
        <v>BTL</v>
      </c>
      <c r="J492" s="4" t="str">
        <f>TRIM(CONCATENATE(Table43[[#This Row],[Nama            KLP]]," ",Table43[[#This Row],[Nama            Sub KLP]]))</f>
        <v>RESIK V</v>
      </c>
      <c r="K492" s="4" t="str">
        <f>CONCATENATE(Table43[[#This Row],[kode  2 Digit                (hrf+No)]],Table43[[#This Row],[kode  2 Digit                (Nomor)]],Table43[[#This Row],[kode  1 Digit                (Nomor)]])</f>
        <v>K1370</v>
      </c>
      <c r="L492" s="4" t="str">
        <f t="shared" si="24"/>
        <v>K1370001009010</v>
      </c>
      <c r="M492" s="11">
        <f t="shared" si="25"/>
        <v>14</v>
      </c>
      <c r="N492" s="14" t="str">
        <f>IF(AF492&lt;&gt;"",TRIM(UPPER(CONCATENATE(P492," ",R492," ",T492," ",V492," ",X492," ",Z492," ","X"," ",Table43[[#This Row],[ISI/CTN]]," ",AF492," ",AB492," ",AD492," ",AH492))),TRIM(UPPER(CONCATENATE(P492," ",R492," ",T492," ",V492," ",X492," ",Z492," ","X"," ",Table43[[#This Row],[ISI/CTN]]," ",AB492," ",AD492," ",AH492))))</f>
        <v>KNF RESIK V MANJAKANI WHITENING 90ML X 36 BTL</v>
      </c>
      <c r="O492" s="11">
        <f t="shared" si="26"/>
        <v>45</v>
      </c>
      <c r="P492" s="4" t="s">
        <v>97</v>
      </c>
      <c r="Q492" s="7" t="s">
        <v>98</v>
      </c>
      <c r="R492" s="4" t="s">
        <v>3919</v>
      </c>
      <c r="S492" s="44" t="s">
        <v>3917</v>
      </c>
      <c r="T492" s="45" t="s">
        <v>2961</v>
      </c>
      <c r="U492" s="7" t="s">
        <v>2900</v>
      </c>
      <c r="V492" s="45" t="s">
        <v>2961</v>
      </c>
      <c r="W492" s="44" t="s">
        <v>2900</v>
      </c>
      <c r="X492" s="4" t="s">
        <v>3920</v>
      </c>
      <c r="Y492" s="46" t="s">
        <v>0</v>
      </c>
      <c r="Z492" s="4" t="s">
        <v>3918</v>
      </c>
      <c r="AA492" s="46" t="s">
        <v>2509</v>
      </c>
      <c r="AB492" s="4" t="s">
        <v>357</v>
      </c>
      <c r="AC492" s="7" t="s">
        <v>2656</v>
      </c>
      <c r="AD492" s="4" t="s">
        <v>2961</v>
      </c>
      <c r="AE492" s="7" t="s">
        <v>2900</v>
      </c>
      <c r="AF492" s="7" t="s">
        <v>2961</v>
      </c>
      <c r="AG492" s="7" t="s">
        <v>2961</v>
      </c>
      <c r="AI492" s="7" t="s">
        <v>4100</v>
      </c>
      <c r="AJ492" s="7" t="s">
        <v>2656</v>
      </c>
      <c r="AK492" s="41">
        <f>Table43[[#This Row],[Harga Jual Pcs GT
(-PPN)]]-(Table43[[#This Row],[Harga Jual Pcs GT
(-PPN)]]*10%)</f>
        <v>0</v>
      </c>
      <c r="AL492" s="42">
        <f>Table43[[#This Row],[Harga Beli Pcs
(-PPN)]]*Table43[[#This Row],[ISI/CTN]]</f>
        <v>0</v>
      </c>
      <c r="AM492" s="42">
        <f>Table43[[#This Row],[Harga Beli Pcs
(-PPN)]]*1.11</f>
        <v>0</v>
      </c>
      <c r="AN492" s="42">
        <f>Table43[[#This Row],[Harga Beli Krt
(- PPN)]]*1.11</f>
        <v>0</v>
      </c>
      <c r="AO492" s="42"/>
      <c r="AP492" s="42">
        <f>Table43[[#This Row],[Harga Jual Pcs GT
(-PPN)]]*Table43[[#This Row],[ISI/CTN]]</f>
        <v>0</v>
      </c>
      <c r="AQ492" s="42">
        <f>Table43[[#This Row],[Harga Jual Pcs GT
(-PPN)]]*1.11</f>
        <v>0</v>
      </c>
      <c r="AR492" s="42">
        <f>Table43[[#This Row],[Harga Jual Krt GT
(- PPN)]]*1.11</f>
        <v>0</v>
      </c>
      <c r="AS492" s="42">
        <f>Table43[[#This Row],[Harga Jual Pcs GT
(-PPN)]]</f>
        <v>0</v>
      </c>
      <c r="AT492" s="42">
        <f>(Table43[[#This Row],[Harga Jual Pcs MT
(-PPN)]]*Table43[[#This Row],[ISI/CTN]])</f>
        <v>0</v>
      </c>
      <c r="AU492" s="42">
        <f>Table43[[#This Row],[Harga Jual Pcs MT
(-PPN)]]*1.11</f>
        <v>0</v>
      </c>
      <c r="AV492" s="42">
        <f>Table43[[#This Row],[Harga Jual Pcs MT
(+PPN)]]*Table43[[#This Row],[ISI/CTN]]</f>
        <v>0</v>
      </c>
      <c r="AW492" s="47"/>
      <c r="AX492" s="7"/>
      <c r="AY492" s="7" t="str">
        <f ca="1">IF(TODAY()-Table43[[#This Row],[Efektif
Pembuatan]]&gt;60,"Lama","Baru")</f>
        <v>Lama</v>
      </c>
      <c r="AZ492" s="7" t="str">
        <f ca="1">IF(TODAY()-Table43[[#This Row],[Efektif Naik Harga]]&lt;30,"Naik","Sama")</f>
        <v>Sama</v>
      </c>
      <c r="BA492" s="7" t="str">
        <f>IF(Table43[[#This Row],[Kode BARANG Win2]]&lt;&gt;"","IDR","")</f>
        <v>IDR</v>
      </c>
      <c r="BB492" s="7" t="str">
        <f>CONCATENATE(Table43[[#This Row],[kode  1 Digit
(Nomor)]],Table43[[#This Row],[kode  4 Digit                (Nomor)]])</f>
        <v>10090</v>
      </c>
      <c r="BC492" s="7" t="str">
        <f>Table43[[#This Row],[Nama            Gramasi atau Jumlah Pack per CTN]]</f>
        <v>90ML</v>
      </c>
      <c r="BD492" s="7"/>
      <c r="BE492" s="7"/>
      <c r="BF492" s="4" t="str">
        <f>IF(Table43[[#This Row],[SATUAN Fix Win]]&lt;&gt;"","KRT")</f>
        <v>KRT</v>
      </c>
      <c r="BG492" s="4" t="str">
        <f>IF(Table43[[#This Row],[SATUAN Fix Win]]&lt;&gt;"","GD01")</f>
        <v>GD01</v>
      </c>
      <c r="BH492" s="4">
        <f>IF(Table43[[#This Row],[SATUAN Fix Win]]&lt;&gt;"",11611)</f>
        <v>11611</v>
      </c>
      <c r="BI492" s="4">
        <f>IF(Table43[[#This Row],[SATUAN Fix Win]]&lt;&gt;"",11612)</f>
        <v>11612</v>
      </c>
      <c r="BJ492" s="48"/>
      <c r="BK492" s="4">
        <f>IF(Table43[[#This Row],[SATUAN Fix Win]]&lt;&gt;"",1)</f>
        <v>1</v>
      </c>
    </row>
    <row r="493" spans="1:63">
      <c r="A493" s="4" t="str">
        <f>CONCATENATE(Table43[[#This Row],[Kode BARANG Win2]],Table43[[#This Row],[No. Urut
Item Sama]])</f>
        <v>K13700010200101</v>
      </c>
      <c r="B493" s="7">
        <v>1</v>
      </c>
      <c r="D493" s="28" t="s">
        <v>589</v>
      </c>
      <c r="E493" s="28"/>
      <c r="F493" s="28" t="s">
        <v>3256</v>
      </c>
      <c r="G493" s="78">
        <v>36</v>
      </c>
      <c r="H493" s="43"/>
      <c r="I493" s="28" t="str">
        <f>Table43[[#This Row],[Nama Jenis Kemasan]]</f>
        <v>BTL</v>
      </c>
      <c r="J493" s="4" t="str">
        <f>TRIM(CONCATENATE(Table43[[#This Row],[Nama            KLP]]," ",Table43[[#This Row],[Nama            Sub KLP]]))</f>
        <v>RESIK V</v>
      </c>
      <c r="K493" s="4" t="str">
        <f>CONCATENATE(Table43[[#This Row],[kode  2 Digit                (hrf+No)]],Table43[[#This Row],[kode  2 Digit                (Nomor)]],Table43[[#This Row],[kode  1 Digit                (Nomor)]])</f>
        <v>K1370</v>
      </c>
      <c r="L493" s="4" t="str">
        <f t="shared" si="24"/>
        <v>K1370001020010</v>
      </c>
      <c r="M493" s="11">
        <f t="shared" si="25"/>
        <v>14</v>
      </c>
      <c r="N493" s="14" t="str">
        <f>IF(AF493&lt;&gt;"",TRIM(UPPER(CONCATENATE(P493," ",R493," ",T493," ",V493," ",X493," ",Z493," ","X"," ",Table43[[#This Row],[ISI/CTN]]," ",AF493," ",AB493," ",AD493," ",AH493))),TRIM(UPPER(CONCATENATE(P493," ",R493," ",T493," ",V493," ",X493," ",Z493," ","X"," ",Table43[[#This Row],[ISI/CTN]]," ",AB493," ",AD493," ",AH493))))</f>
        <v>KNF RESIK V MANJAKANI WHITENING 200ML X 36 BTL</v>
      </c>
      <c r="O493" s="11">
        <f t="shared" si="26"/>
        <v>46</v>
      </c>
      <c r="P493" s="4" t="s">
        <v>97</v>
      </c>
      <c r="Q493" s="7" t="s">
        <v>98</v>
      </c>
      <c r="R493" s="4" t="s">
        <v>3919</v>
      </c>
      <c r="S493" s="44" t="s">
        <v>3917</v>
      </c>
      <c r="T493" s="45" t="s">
        <v>2961</v>
      </c>
      <c r="U493" s="7" t="s">
        <v>2900</v>
      </c>
      <c r="V493" s="45" t="s">
        <v>2961</v>
      </c>
      <c r="W493" s="44" t="s">
        <v>2900</v>
      </c>
      <c r="X493" s="4" t="s">
        <v>3920</v>
      </c>
      <c r="Y493" s="46" t="s">
        <v>0</v>
      </c>
      <c r="Z493" s="4" t="s">
        <v>3582</v>
      </c>
      <c r="AA493" s="46" t="s">
        <v>2486</v>
      </c>
      <c r="AB493" s="4" t="s">
        <v>357</v>
      </c>
      <c r="AC493" s="7" t="s">
        <v>2656</v>
      </c>
      <c r="AD493" s="4" t="s">
        <v>2961</v>
      </c>
      <c r="AE493" s="7" t="s">
        <v>2900</v>
      </c>
      <c r="AF493" s="7" t="s">
        <v>2961</v>
      </c>
      <c r="AG493" s="7" t="s">
        <v>2961</v>
      </c>
      <c r="AI493" s="7" t="s">
        <v>4100</v>
      </c>
      <c r="AJ493" s="7" t="s">
        <v>2656</v>
      </c>
      <c r="AK493" s="41">
        <f>Table43[[#This Row],[Harga Jual Pcs GT
(-PPN)]]-(Table43[[#This Row],[Harga Jual Pcs GT
(-PPN)]]*10%)</f>
        <v>0</v>
      </c>
      <c r="AL493" s="42">
        <f>Table43[[#This Row],[Harga Beli Pcs
(-PPN)]]*Table43[[#This Row],[ISI/CTN]]</f>
        <v>0</v>
      </c>
      <c r="AM493" s="42">
        <f>Table43[[#This Row],[Harga Beli Pcs
(-PPN)]]*1.11</f>
        <v>0</v>
      </c>
      <c r="AN493" s="42">
        <f>Table43[[#This Row],[Harga Beli Krt
(- PPN)]]*1.11</f>
        <v>0</v>
      </c>
      <c r="AO493" s="42"/>
      <c r="AP493" s="42">
        <f>Table43[[#This Row],[Harga Jual Pcs GT
(-PPN)]]*Table43[[#This Row],[ISI/CTN]]</f>
        <v>0</v>
      </c>
      <c r="AQ493" s="42">
        <f>Table43[[#This Row],[Harga Jual Pcs GT
(-PPN)]]*1.11</f>
        <v>0</v>
      </c>
      <c r="AR493" s="42">
        <f>Table43[[#This Row],[Harga Jual Krt GT
(- PPN)]]*1.11</f>
        <v>0</v>
      </c>
      <c r="AS493" s="42">
        <f>Table43[[#This Row],[Harga Jual Pcs GT
(-PPN)]]</f>
        <v>0</v>
      </c>
      <c r="AT493" s="42">
        <f>(Table43[[#This Row],[Harga Jual Pcs MT
(-PPN)]]*Table43[[#This Row],[ISI/CTN]])</f>
        <v>0</v>
      </c>
      <c r="AU493" s="42">
        <f>Table43[[#This Row],[Harga Jual Pcs MT
(-PPN)]]*1.11</f>
        <v>0</v>
      </c>
      <c r="AV493" s="42">
        <f>Table43[[#This Row],[Harga Jual Pcs MT
(+PPN)]]*Table43[[#This Row],[ISI/CTN]]</f>
        <v>0</v>
      </c>
      <c r="AW493" s="47"/>
      <c r="AX493" s="7"/>
      <c r="AY493" s="7" t="str">
        <f ca="1">IF(TODAY()-Table43[[#This Row],[Efektif
Pembuatan]]&gt;60,"Lama","Baru")</f>
        <v>Lama</v>
      </c>
      <c r="AZ493" s="7" t="str">
        <f ca="1">IF(TODAY()-Table43[[#This Row],[Efektif Naik Harga]]&lt;30,"Naik","Sama")</f>
        <v>Sama</v>
      </c>
      <c r="BA493" s="7" t="str">
        <f>IF(Table43[[#This Row],[Kode BARANG Win2]]&lt;&gt;"","IDR","")</f>
        <v>IDR</v>
      </c>
      <c r="BB493" s="7" t="str">
        <f>CONCATENATE(Table43[[#This Row],[kode  1 Digit
(Nomor)]],Table43[[#This Row],[kode  4 Digit                (Nomor)]])</f>
        <v>10200</v>
      </c>
      <c r="BC493" s="7" t="str">
        <f>Table43[[#This Row],[Nama            Gramasi atau Jumlah Pack per CTN]]</f>
        <v>200ML</v>
      </c>
      <c r="BD493" s="7"/>
      <c r="BE493" s="7"/>
      <c r="BF493" s="4" t="str">
        <f>IF(Table43[[#This Row],[SATUAN Fix Win]]&lt;&gt;"","KRT")</f>
        <v>KRT</v>
      </c>
      <c r="BG493" s="4" t="str">
        <f>IF(Table43[[#This Row],[SATUAN Fix Win]]&lt;&gt;"","GD01")</f>
        <v>GD01</v>
      </c>
      <c r="BH493" s="4">
        <f>IF(Table43[[#This Row],[SATUAN Fix Win]]&lt;&gt;"",11611)</f>
        <v>11611</v>
      </c>
      <c r="BI493" s="4">
        <f>IF(Table43[[#This Row],[SATUAN Fix Win]]&lt;&gt;"",11612)</f>
        <v>11612</v>
      </c>
      <c r="BJ493" s="48"/>
      <c r="BK493" s="4">
        <f>IF(Table43[[#This Row],[SATUAN Fix Win]]&lt;&gt;"",1)</f>
        <v>1</v>
      </c>
    </row>
    <row r="494" spans="1:63">
      <c r="A494" s="4" t="str">
        <f>CONCATENATE(Table43[[#This Row],[Kode BARANG Win2]],Table43[[#This Row],[No. Urut
Item Sama]])</f>
        <v>K13800010060101</v>
      </c>
      <c r="B494" s="7">
        <v>1</v>
      </c>
      <c r="D494" s="28" t="s">
        <v>574</v>
      </c>
      <c r="E494" s="28"/>
      <c r="F494" s="28" t="s">
        <v>3257</v>
      </c>
      <c r="G494" s="78">
        <v>72</v>
      </c>
      <c r="H494" s="43"/>
      <c r="I494" s="28" t="str">
        <f>Table43[[#This Row],[Nama Jenis Kemasan]]</f>
        <v>BTL</v>
      </c>
      <c r="J494" s="4" t="str">
        <f>TRIM(CONCATENATE(Table43[[#This Row],[Nama            KLP]]," ",Table43[[#This Row],[Nama            Sub KLP]]))</f>
        <v>RESIK V PKW</v>
      </c>
      <c r="K494" s="4" t="str">
        <f>CONCATENATE(Table43[[#This Row],[kode  2 Digit                (hrf+No)]],Table43[[#This Row],[kode  2 Digit                (Nomor)]],Table43[[#This Row],[kode  1 Digit                (Nomor)]])</f>
        <v>K1380</v>
      </c>
      <c r="L494" s="4" t="str">
        <f t="shared" si="24"/>
        <v>K1380001006010</v>
      </c>
      <c r="M494" s="11">
        <f t="shared" si="25"/>
        <v>14</v>
      </c>
      <c r="N494" s="14" t="str">
        <f>IF(AF494&lt;&gt;"",TRIM(UPPER(CONCATENATE(P494," ",R494," ",T494," ",V494," ",X494," ",Z494," ","X"," ",Table43[[#This Row],[ISI/CTN]]," ",AF494," ",AB494," ",AD494," ",AH494))),TRIM(UPPER(CONCATENATE(P494," ",R494," ",T494," ",V494," ",X494," ",Z494," ","X"," ",Table43[[#This Row],[ISI/CTN]]," ",AB494," ",AD494," ",AH494))))</f>
        <v>KNF RESIK V PKW SIRIH ANGGREK 60ML X 72 BTL</v>
      </c>
      <c r="O494" s="11">
        <f t="shared" si="26"/>
        <v>43</v>
      </c>
      <c r="P494" s="4" t="s">
        <v>97</v>
      </c>
      <c r="Q494" s="7" t="s">
        <v>98</v>
      </c>
      <c r="R494" s="4" t="s">
        <v>3921</v>
      </c>
      <c r="S494" s="44" t="s">
        <v>3922</v>
      </c>
      <c r="T494" s="45" t="s">
        <v>2961</v>
      </c>
      <c r="U494" s="7" t="s">
        <v>2900</v>
      </c>
      <c r="V494" s="45" t="s">
        <v>2961</v>
      </c>
      <c r="W494" s="44" t="s">
        <v>2900</v>
      </c>
      <c r="X494" s="4" t="s">
        <v>3923</v>
      </c>
      <c r="Y494" s="46" t="s">
        <v>0</v>
      </c>
      <c r="Z494" s="4" t="s">
        <v>1026</v>
      </c>
      <c r="AA494" s="46" t="s">
        <v>2481</v>
      </c>
      <c r="AB494" s="4" t="s">
        <v>357</v>
      </c>
      <c r="AC494" s="7" t="s">
        <v>2656</v>
      </c>
      <c r="AD494" s="4" t="s">
        <v>2961</v>
      </c>
      <c r="AE494" s="7" t="s">
        <v>2900</v>
      </c>
      <c r="AF494" s="7" t="s">
        <v>2961</v>
      </c>
      <c r="AG494" s="7" t="s">
        <v>2961</v>
      </c>
      <c r="AI494" s="7" t="s">
        <v>4100</v>
      </c>
      <c r="AJ494" s="7" t="s">
        <v>2656</v>
      </c>
      <c r="AK494" s="41">
        <f>Table43[[#This Row],[Harga Jual Pcs GT
(-PPN)]]-(Table43[[#This Row],[Harga Jual Pcs GT
(-PPN)]]*10%)</f>
        <v>0</v>
      </c>
      <c r="AL494" s="42">
        <f>Table43[[#This Row],[Harga Beli Pcs
(-PPN)]]*Table43[[#This Row],[ISI/CTN]]</f>
        <v>0</v>
      </c>
      <c r="AM494" s="42">
        <f>Table43[[#This Row],[Harga Beli Pcs
(-PPN)]]*1.11</f>
        <v>0</v>
      </c>
      <c r="AN494" s="42">
        <f>Table43[[#This Row],[Harga Beli Krt
(- PPN)]]*1.11</f>
        <v>0</v>
      </c>
      <c r="AO494" s="42"/>
      <c r="AP494" s="42">
        <f>Table43[[#This Row],[Harga Jual Pcs GT
(-PPN)]]*Table43[[#This Row],[ISI/CTN]]</f>
        <v>0</v>
      </c>
      <c r="AQ494" s="42">
        <f>Table43[[#This Row],[Harga Jual Pcs GT
(-PPN)]]*1.11</f>
        <v>0</v>
      </c>
      <c r="AR494" s="42">
        <f>Table43[[#This Row],[Harga Jual Krt GT
(- PPN)]]*1.11</f>
        <v>0</v>
      </c>
      <c r="AS494" s="42">
        <f>Table43[[#This Row],[Harga Jual Pcs GT
(-PPN)]]</f>
        <v>0</v>
      </c>
      <c r="AT494" s="42">
        <f>(Table43[[#This Row],[Harga Jual Pcs MT
(-PPN)]]*Table43[[#This Row],[ISI/CTN]])</f>
        <v>0</v>
      </c>
      <c r="AU494" s="42">
        <f>Table43[[#This Row],[Harga Jual Pcs MT
(-PPN)]]*1.11</f>
        <v>0</v>
      </c>
      <c r="AV494" s="42">
        <f>Table43[[#This Row],[Harga Jual Pcs MT
(+PPN)]]*Table43[[#This Row],[ISI/CTN]]</f>
        <v>0</v>
      </c>
      <c r="AW494" s="47"/>
      <c r="AX494" s="7"/>
      <c r="AY494" s="7" t="str">
        <f ca="1">IF(TODAY()-Table43[[#This Row],[Efektif
Pembuatan]]&gt;60,"Lama","Baru")</f>
        <v>Lama</v>
      </c>
      <c r="AZ494" s="7" t="str">
        <f ca="1">IF(TODAY()-Table43[[#This Row],[Efektif Naik Harga]]&lt;30,"Naik","Sama")</f>
        <v>Sama</v>
      </c>
      <c r="BA494" s="7" t="str">
        <f>IF(Table43[[#This Row],[Kode BARANG Win2]]&lt;&gt;"","IDR","")</f>
        <v>IDR</v>
      </c>
      <c r="BB494" s="7" t="str">
        <f>CONCATENATE(Table43[[#This Row],[kode  1 Digit
(Nomor)]],Table43[[#This Row],[kode  4 Digit                (Nomor)]])</f>
        <v>10060</v>
      </c>
      <c r="BC494" s="7" t="str">
        <f>Table43[[#This Row],[Nama            Gramasi atau Jumlah Pack per CTN]]</f>
        <v>60ML</v>
      </c>
      <c r="BD494" s="7"/>
      <c r="BE494" s="7"/>
      <c r="BF494" s="4" t="str">
        <f>IF(Table43[[#This Row],[SATUAN Fix Win]]&lt;&gt;"","KRT")</f>
        <v>KRT</v>
      </c>
      <c r="BG494" s="4" t="str">
        <f>IF(Table43[[#This Row],[SATUAN Fix Win]]&lt;&gt;"","GD01")</f>
        <v>GD01</v>
      </c>
      <c r="BH494" s="4">
        <f>IF(Table43[[#This Row],[SATUAN Fix Win]]&lt;&gt;"",11611)</f>
        <v>11611</v>
      </c>
      <c r="BI494" s="4">
        <f>IF(Table43[[#This Row],[SATUAN Fix Win]]&lt;&gt;"",11612)</f>
        <v>11612</v>
      </c>
      <c r="BJ494" s="48"/>
      <c r="BK494" s="4">
        <f>IF(Table43[[#This Row],[SATUAN Fix Win]]&lt;&gt;"",1)</f>
        <v>1</v>
      </c>
    </row>
    <row r="495" spans="1:63">
      <c r="A495" s="4" t="str">
        <f>CONCATENATE(Table43[[#This Row],[Kode BARANG Win2]],Table43[[#This Row],[No. Urut
Item Sama]])</f>
        <v>K13800010090101</v>
      </c>
      <c r="B495" s="7">
        <v>1</v>
      </c>
      <c r="D495" s="28" t="s">
        <v>575</v>
      </c>
      <c r="E495" s="28"/>
      <c r="F495" s="28" t="s">
        <v>3258</v>
      </c>
      <c r="G495" s="78">
        <v>36</v>
      </c>
      <c r="H495" s="43"/>
      <c r="I495" s="28" t="str">
        <f>Table43[[#This Row],[Nama Jenis Kemasan]]</f>
        <v>BTL</v>
      </c>
      <c r="J495" s="4" t="str">
        <f>TRIM(CONCATENATE(Table43[[#This Row],[Nama            KLP]]," ",Table43[[#This Row],[Nama            Sub KLP]]))</f>
        <v>RESIK V PKW</v>
      </c>
      <c r="K495" s="4" t="str">
        <f>CONCATENATE(Table43[[#This Row],[kode  2 Digit                (hrf+No)]],Table43[[#This Row],[kode  2 Digit                (Nomor)]],Table43[[#This Row],[kode  1 Digit                (Nomor)]])</f>
        <v>K1380</v>
      </c>
      <c r="L495" s="4" t="str">
        <f t="shared" si="24"/>
        <v>K1380001009010</v>
      </c>
      <c r="M495" s="11">
        <f t="shared" si="25"/>
        <v>14</v>
      </c>
      <c r="N495" s="14" t="str">
        <f>IF(AF495&lt;&gt;"",TRIM(UPPER(CONCATENATE(P495," ",R495," ",T495," ",V495," ",X495," ",Z495," ","X"," ",Table43[[#This Row],[ISI/CTN]]," ",AF495," ",AB495," ",AD495," ",AH495))),TRIM(UPPER(CONCATENATE(P495," ",R495," ",T495," ",V495," ",X495," ",Z495," ","X"," ",Table43[[#This Row],[ISI/CTN]]," ",AB495," ",AD495," ",AH495))))</f>
        <v>KNF RESIK V PKW SIRIH ANGGREK 90ML X 36 BTL</v>
      </c>
      <c r="O495" s="11">
        <f t="shared" si="26"/>
        <v>43</v>
      </c>
      <c r="P495" s="4" t="s">
        <v>97</v>
      </c>
      <c r="Q495" s="7" t="s">
        <v>98</v>
      </c>
      <c r="R495" s="4" t="s">
        <v>3921</v>
      </c>
      <c r="S495" s="44" t="s">
        <v>3922</v>
      </c>
      <c r="T495" s="45" t="s">
        <v>2961</v>
      </c>
      <c r="U495" s="7" t="s">
        <v>2900</v>
      </c>
      <c r="V495" s="45" t="s">
        <v>2961</v>
      </c>
      <c r="W495" s="44" t="s">
        <v>2900</v>
      </c>
      <c r="X495" s="4" t="s">
        <v>3923</v>
      </c>
      <c r="Y495" s="46" t="s">
        <v>0</v>
      </c>
      <c r="Z495" s="4" t="s">
        <v>3918</v>
      </c>
      <c r="AA495" s="46" t="s">
        <v>2509</v>
      </c>
      <c r="AB495" s="4" t="s">
        <v>357</v>
      </c>
      <c r="AC495" s="7" t="s">
        <v>2656</v>
      </c>
      <c r="AD495" s="4" t="s">
        <v>2961</v>
      </c>
      <c r="AE495" s="7" t="s">
        <v>2900</v>
      </c>
      <c r="AF495" s="7" t="s">
        <v>2961</v>
      </c>
      <c r="AG495" s="7" t="s">
        <v>2961</v>
      </c>
      <c r="AI495" s="7" t="s">
        <v>4100</v>
      </c>
      <c r="AJ495" s="7" t="s">
        <v>2656</v>
      </c>
      <c r="AK495" s="41">
        <f>Table43[[#This Row],[Harga Jual Pcs GT
(-PPN)]]-(Table43[[#This Row],[Harga Jual Pcs GT
(-PPN)]]*10%)</f>
        <v>0</v>
      </c>
      <c r="AL495" s="42">
        <f>Table43[[#This Row],[Harga Beli Pcs
(-PPN)]]*Table43[[#This Row],[ISI/CTN]]</f>
        <v>0</v>
      </c>
      <c r="AM495" s="42">
        <f>Table43[[#This Row],[Harga Beli Pcs
(-PPN)]]*1.11</f>
        <v>0</v>
      </c>
      <c r="AN495" s="42">
        <f>Table43[[#This Row],[Harga Beli Krt
(- PPN)]]*1.11</f>
        <v>0</v>
      </c>
      <c r="AO495" s="42"/>
      <c r="AP495" s="42">
        <f>Table43[[#This Row],[Harga Jual Pcs GT
(-PPN)]]*Table43[[#This Row],[ISI/CTN]]</f>
        <v>0</v>
      </c>
      <c r="AQ495" s="42">
        <f>Table43[[#This Row],[Harga Jual Pcs GT
(-PPN)]]*1.11</f>
        <v>0</v>
      </c>
      <c r="AR495" s="42">
        <f>Table43[[#This Row],[Harga Jual Krt GT
(- PPN)]]*1.11</f>
        <v>0</v>
      </c>
      <c r="AS495" s="42">
        <f>Table43[[#This Row],[Harga Jual Pcs GT
(-PPN)]]</f>
        <v>0</v>
      </c>
      <c r="AT495" s="42">
        <f>(Table43[[#This Row],[Harga Jual Pcs MT
(-PPN)]]*Table43[[#This Row],[ISI/CTN]])</f>
        <v>0</v>
      </c>
      <c r="AU495" s="42">
        <f>Table43[[#This Row],[Harga Jual Pcs MT
(-PPN)]]*1.11</f>
        <v>0</v>
      </c>
      <c r="AV495" s="42">
        <f>Table43[[#This Row],[Harga Jual Pcs MT
(+PPN)]]*Table43[[#This Row],[ISI/CTN]]</f>
        <v>0</v>
      </c>
      <c r="AW495" s="47"/>
      <c r="AX495" s="7"/>
      <c r="AY495" s="7" t="str">
        <f ca="1">IF(TODAY()-Table43[[#This Row],[Efektif
Pembuatan]]&gt;60,"Lama","Baru")</f>
        <v>Lama</v>
      </c>
      <c r="AZ495" s="7" t="str">
        <f ca="1">IF(TODAY()-Table43[[#This Row],[Efektif Naik Harga]]&lt;30,"Naik","Sama")</f>
        <v>Sama</v>
      </c>
      <c r="BA495" s="7" t="str">
        <f>IF(Table43[[#This Row],[Kode BARANG Win2]]&lt;&gt;"","IDR","")</f>
        <v>IDR</v>
      </c>
      <c r="BB495" s="7" t="str">
        <f>CONCATENATE(Table43[[#This Row],[kode  1 Digit
(Nomor)]],Table43[[#This Row],[kode  4 Digit                (Nomor)]])</f>
        <v>10090</v>
      </c>
      <c r="BC495" s="7" t="str">
        <f>Table43[[#This Row],[Nama            Gramasi atau Jumlah Pack per CTN]]</f>
        <v>90ML</v>
      </c>
      <c r="BD495" s="7"/>
      <c r="BE495" s="7"/>
      <c r="BF495" s="4" t="str">
        <f>IF(Table43[[#This Row],[SATUAN Fix Win]]&lt;&gt;"","KRT")</f>
        <v>KRT</v>
      </c>
      <c r="BG495" s="4" t="str">
        <f>IF(Table43[[#This Row],[SATUAN Fix Win]]&lt;&gt;"","GD01")</f>
        <v>GD01</v>
      </c>
      <c r="BH495" s="4">
        <f>IF(Table43[[#This Row],[SATUAN Fix Win]]&lt;&gt;"",11611)</f>
        <v>11611</v>
      </c>
      <c r="BI495" s="4">
        <f>IF(Table43[[#This Row],[SATUAN Fix Win]]&lt;&gt;"",11612)</f>
        <v>11612</v>
      </c>
      <c r="BJ495" s="48"/>
      <c r="BK495" s="4">
        <f>IF(Table43[[#This Row],[SATUAN Fix Win]]&lt;&gt;"",1)</f>
        <v>1</v>
      </c>
    </row>
    <row r="496" spans="1:63">
      <c r="A496" s="4" t="str">
        <f>CONCATENATE(Table43[[#This Row],[Kode BARANG Win2]],Table43[[#This Row],[No. Urut
Item Sama]])</f>
        <v>K13800010200101</v>
      </c>
      <c r="B496" s="7">
        <v>1</v>
      </c>
      <c r="D496" s="28" t="s">
        <v>576</v>
      </c>
      <c r="E496" s="28"/>
      <c r="F496" s="28" t="s">
        <v>3259</v>
      </c>
      <c r="G496" s="78">
        <v>36</v>
      </c>
      <c r="H496" s="43"/>
      <c r="I496" s="28" t="str">
        <f>Table43[[#This Row],[Nama Jenis Kemasan]]</f>
        <v>BTL</v>
      </c>
      <c r="J496" s="4" t="str">
        <f>TRIM(CONCATENATE(Table43[[#This Row],[Nama            KLP]]," ",Table43[[#This Row],[Nama            Sub KLP]]))</f>
        <v>RESIK V PKW</v>
      </c>
      <c r="K496" s="4" t="str">
        <f>CONCATENATE(Table43[[#This Row],[kode  2 Digit                (hrf+No)]],Table43[[#This Row],[kode  2 Digit                (Nomor)]],Table43[[#This Row],[kode  1 Digit                (Nomor)]])</f>
        <v>K1380</v>
      </c>
      <c r="L496" s="4" t="str">
        <f t="shared" si="24"/>
        <v>K1380001020010</v>
      </c>
      <c r="M496" s="11">
        <f t="shared" si="25"/>
        <v>14</v>
      </c>
      <c r="N496" s="14" t="str">
        <f>IF(AF496&lt;&gt;"",TRIM(UPPER(CONCATENATE(P496," ",R496," ",T496," ",V496," ",X496," ",Z496," ","X"," ",Table43[[#This Row],[ISI/CTN]]," ",AF496," ",AB496," ",AD496," ",AH496))),TRIM(UPPER(CONCATENATE(P496," ",R496," ",T496," ",V496," ",X496," ",Z496," ","X"," ",Table43[[#This Row],[ISI/CTN]]," ",AB496," ",AD496," ",AH496))))</f>
        <v>KNF RESIK V PKW SIRIH ANGGREK 200ML X 36 BTL</v>
      </c>
      <c r="O496" s="11">
        <f t="shared" si="26"/>
        <v>44</v>
      </c>
      <c r="P496" s="4" t="s">
        <v>97</v>
      </c>
      <c r="Q496" s="7" t="s">
        <v>98</v>
      </c>
      <c r="R496" s="4" t="s">
        <v>3921</v>
      </c>
      <c r="S496" s="44" t="s">
        <v>3922</v>
      </c>
      <c r="T496" s="45" t="s">
        <v>2961</v>
      </c>
      <c r="U496" s="7" t="s">
        <v>2900</v>
      </c>
      <c r="V496" s="45" t="s">
        <v>2961</v>
      </c>
      <c r="W496" s="44" t="s">
        <v>2900</v>
      </c>
      <c r="X496" s="4" t="s">
        <v>3923</v>
      </c>
      <c r="Y496" s="46" t="s">
        <v>0</v>
      </c>
      <c r="Z496" s="4" t="s">
        <v>3582</v>
      </c>
      <c r="AA496" s="46" t="s">
        <v>2486</v>
      </c>
      <c r="AB496" s="4" t="s">
        <v>357</v>
      </c>
      <c r="AC496" s="7" t="s">
        <v>2656</v>
      </c>
      <c r="AD496" s="4" t="s">
        <v>2961</v>
      </c>
      <c r="AE496" s="7" t="s">
        <v>2900</v>
      </c>
      <c r="AF496" s="7" t="s">
        <v>2961</v>
      </c>
      <c r="AG496" s="7" t="s">
        <v>2961</v>
      </c>
      <c r="AI496" s="7" t="s">
        <v>4100</v>
      </c>
      <c r="AJ496" s="7" t="s">
        <v>2656</v>
      </c>
      <c r="AK496" s="41">
        <f>Table43[[#This Row],[Harga Jual Pcs GT
(-PPN)]]-(Table43[[#This Row],[Harga Jual Pcs GT
(-PPN)]]*10%)</f>
        <v>0</v>
      </c>
      <c r="AL496" s="42">
        <f>Table43[[#This Row],[Harga Beli Pcs
(-PPN)]]*Table43[[#This Row],[ISI/CTN]]</f>
        <v>0</v>
      </c>
      <c r="AM496" s="42">
        <f>Table43[[#This Row],[Harga Beli Pcs
(-PPN)]]*1.11</f>
        <v>0</v>
      </c>
      <c r="AN496" s="42">
        <f>Table43[[#This Row],[Harga Beli Krt
(- PPN)]]*1.11</f>
        <v>0</v>
      </c>
      <c r="AO496" s="42"/>
      <c r="AP496" s="42">
        <f>Table43[[#This Row],[Harga Jual Pcs GT
(-PPN)]]*Table43[[#This Row],[ISI/CTN]]</f>
        <v>0</v>
      </c>
      <c r="AQ496" s="42">
        <f>Table43[[#This Row],[Harga Jual Pcs GT
(-PPN)]]*1.11</f>
        <v>0</v>
      </c>
      <c r="AR496" s="42">
        <f>Table43[[#This Row],[Harga Jual Krt GT
(- PPN)]]*1.11</f>
        <v>0</v>
      </c>
      <c r="AS496" s="42">
        <f>Table43[[#This Row],[Harga Jual Pcs GT
(-PPN)]]</f>
        <v>0</v>
      </c>
      <c r="AT496" s="42">
        <f>(Table43[[#This Row],[Harga Jual Pcs MT
(-PPN)]]*Table43[[#This Row],[ISI/CTN]])</f>
        <v>0</v>
      </c>
      <c r="AU496" s="42">
        <f>Table43[[#This Row],[Harga Jual Pcs MT
(-PPN)]]*1.11</f>
        <v>0</v>
      </c>
      <c r="AV496" s="42">
        <f>Table43[[#This Row],[Harga Jual Pcs MT
(+PPN)]]*Table43[[#This Row],[ISI/CTN]]</f>
        <v>0</v>
      </c>
      <c r="AW496" s="47"/>
      <c r="AX496" s="7"/>
      <c r="AY496" s="7" t="str">
        <f ca="1">IF(TODAY()-Table43[[#This Row],[Efektif
Pembuatan]]&gt;60,"Lama","Baru")</f>
        <v>Lama</v>
      </c>
      <c r="AZ496" s="7" t="str">
        <f ca="1">IF(TODAY()-Table43[[#This Row],[Efektif Naik Harga]]&lt;30,"Naik","Sama")</f>
        <v>Sama</v>
      </c>
      <c r="BA496" s="7" t="str">
        <f>IF(Table43[[#This Row],[Kode BARANG Win2]]&lt;&gt;"","IDR","")</f>
        <v>IDR</v>
      </c>
      <c r="BB496" s="7" t="str">
        <f>CONCATENATE(Table43[[#This Row],[kode  1 Digit
(Nomor)]],Table43[[#This Row],[kode  4 Digit                (Nomor)]])</f>
        <v>10200</v>
      </c>
      <c r="BC496" s="7" t="str">
        <f>Table43[[#This Row],[Nama            Gramasi atau Jumlah Pack per CTN]]</f>
        <v>200ML</v>
      </c>
      <c r="BD496" s="7"/>
      <c r="BE496" s="7"/>
      <c r="BF496" s="4" t="str">
        <f>IF(Table43[[#This Row],[SATUAN Fix Win]]&lt;&gt;"","KRT")</f>
        <v>KRT</v>
      </c>
      <c r="BG496" s="4" t="str">
        <f>IF(Table43[[#This Row],[SATUAN Fix Win]]&lt;&gt;"","GD01")</f>
        <v>GD01</v>
      </c>
      <c r="BH496" s="4">
        <f>IF(Table43[[#This Row],[SATUAN Fix Win]]&lt;&gt;"",11611)</f>
        <v>11611</v>
      </c>
      <c r="BI496" s="4">
        <f>IF(Table43[[#This Row],[SATUAN Fix Win]]&lt;&gt;"",11612)</f>
        <v>11612</v>
      </c>
      <c r="BJ496" s="48"/>
      <c r="BK496" s="4">
        <f>IF(Table43[[#This Row],[SATUAN Fix Win]]&lt;&gt;"",1)</f>
        <v>1</v>
      </c>
    </row>
    <row r="497" spans="1:63">
      <c r="A497" s="4" t="str">
        <f>CONCATENATE(Table43[[#This Row],[Kode BARANG Win2]],Table43[[#This Row],[No. Urut
Item Sama]])</f>
        <v>K13800020090101</v>
      </c>
      <c r="B497" s="7">
        <v>1</v>
      </c>
      <c r="D497" s="28" t="s">
        <v>578</v>
      </c>
      <c r="E497" s="28"/>
      <c r="F497" s="28" t="s">
        <v>3260</v>
      </c>
      <c r="G497" s="78">
        <v>36</v>
      </c>
      <c r="H497" s="43"/>
      <c r="I497" s="28" t="str">
        <f>Table43[[#This Row],[Nama Jenis Kemasan]]</f>
        <v>BTL</v>
      </c>
      <c r="J497" s="4" t="str">
        <f>TRIM(CONCATENATE(Table43[[#This Row],[Nama            KLP]]," ",Table43[[#This Row],[Nama            Sub KLP]]))</f>
        <v>RESIK V PKW</v>
      </c>
      <c r="K497" s="4" t="str">
        <f>CONCATENATE(Table43[[#This Row],[kode  2 Digit                (hrf+No)]],Table43[[#This Row],[kode  2 Digit                (Nomor)]],Table43[[#This Row],[kode  1 Digit                (Nomor)]])</f>
        <v>K1380</v>
      </c>
      <c r="L497" s="4" t="str">
        <f t="shared" si="24"/>
        <v>K1380002009010</v>
      </c>
      <c r="M497" s="11">
        <f t="shared" si="25"/>
        <v>14</v>
      </c>
      <c r="N497" s="14" t="str">
        <f>IF(AF497&lt;&gt;"",TRIM(UPPER(CONCATENATE(P497," ",R497," ",T497," ",V497," ",X497," ",Z497," ","X"," ",Table43[[#This Row],[ISI/CTN]]," ",AF497," ",AB497," ",AD497," ",AH497))),TRIM(UPPER(CONCATENATE(P497," ",R497," ",T497," ",V497," ",X497," ",Z497," ","X"," ",Table43[[#This Row],[ISI/CTN]]," ",AB497," ",AD497," ",AH497))))</f>
        <v>KNF RESIK V PKW SIRIH KENANGA 90ML X 36 BTL</v>
      </c>
      <c r="O497" s="11">
        <f t="shared" si="26"/>
        <v>43</v>
      </c>
      <c r="P497" s="4" t="s">
        <v>97</v>
      </c>
      <c r="Q497" s="7" t="s">
        <v>98</v>
      </c>
      <c r="R497" s="4" t="s">
        <v>3921</v>
      </c>
      <c r="S497" s="44" t="s">
        <v>3922</v>
      </c>
      <c r="T497" s="45" t="s">
        <v>2961</v>
      </c>
      <c r="U497" s="7" t="s">
        <v>2900</v>
      </c>
      <c r="V497" s="45" t="s">
        <v>2961</v>
      </c>
      <c r="W497" s="44" t="s">
        <v>2900</v>
      </c>
      <c r="X497" s="4" t="s">
        <v>3924</v>
      </c>
      <c r="Y497" s="46" t="s">
        <v>2472</v>
      </c>
      <c r="Z497" s="4" t="s">
        <v>3918</v>
      </c>
      <c r="AA497" s="46" t="s">
        <v>2509</v>
      </c>
      <c r="AB497" s="4" t="s">
        <v>357</v>
      </c>
      <c r="AC497" s="7" t="s">
        <v>2656</v>
      </c>
      <c r="AD497" s="4" t="s">
        <v>2961</v>
      </c>
      <c r="AE497" s="7" t="s">
        <v>2900</v>
      </c>
      <c r="AF497" s="7" t="s">
        <v>2961</v>
      </c>
      <c r="AG497" s="7" t="s">
        <v>2961</v>
      </c>
      <c r="AI497" s="7" t="s">
        <v>4100</v>
      </c>
      <c r="AJ497" s="7" t="s">
        <v>2656</v>
      </c>
      <c r="AK497" s="41">
        <f>Table43[[#This Row],[Harga Jual Pcs GT
(-PPN)]]-(Table43[[#This Row],[Harga Jual Pcs GT
(-PPN)]]*10%)</f>
        <v>0</v>
      </c>
      <c r="AL497" s="42">
        <f>Table43[[#This Row],[Harga Beli Pcs
(-PPN)]]*Table43[[#This Row],[ISI/CTN]]</f>
        <v>0</v>
      </c>
      <c r="AM497" s="42">
        <f>Table43[[#This Row],[Harga Beli Pcs
(-PPN)]]*1.11</f>
        <v>0</v>
      </c>
      <c r="AN497" s="42">
        <f>Table43[[#This Row],[Harga Beli Krt
(- PPN)]]*1.11</f>
        <v>0</v>
      </c>
      <c r="AO497" s="42"/>
      <c r="AP497" s="42">
        <f>Table43[[#This Row],[Harga Jual Pcs GT
(-PPN)]]*Table43[[#This Row],[ISI/CTN]]</f>
        <v>0</v>
      </c>
      <c r="AQ497" s="42">
        <f>Table43[[#This Row],[Harga Jual Pcs GT
(-PPN)]]*1.11</f>
        <v>0</v>
      </c>
      <c r="AR497" s="42">
        <f>Table43[[#This Row],[Harga Jual Krt GT
(- PPN)]]*1.11</f>
        <v>0</v>
      </c>
      <c r="AS497" s="42">
        <f>Table43[[#This Row],[Harga Jual Pcs GT
(-PPN)]]</f>
        <v>0</v>
      </c>
      <c r="AT497" s="42">
        <f>(Table43[[#This Row],[Harga Jual Pcs MT
(-PPN)]]*Table43[[#This Row],[ISI/CTN]])</f>
        <v>0</v>
      </c>
      <c r="AU497" s="42">
        <f>Table43[[#This Row],[Harga Jual Pcs MT
(-PPN)]]*1.11</f>
        <v>0</v>
      </c>
      <c r="AV497" s="42">
        <f>Table43[[#This Row],[Harga Jual Pcs MT
(+PPN)]]*Table43[[#This Row],[ISI/CTN]]</f>
        <v>0</v>
      </c>
      <c r="AW497" s="47"/>
      <c r="AX497" s="7"/>
      <c r="AY497" s="7" t="str">
        <f ca="1">IF(TODAY()-Table43[[#This Row],[Efektif
Pembuatan]]&gt;60,"Lama","Baru")</f>
        <v>Lama</v>
      </c>
      <c r="AZ497" s="7" t="str">
        <f ca="1">IF(TODAY()-Table43[[#This Row],[Efektif Naik Harga]]&lt;30,"Naik","Sama")</f>
        <v>Sama</v>
      </c>
      <c r="BA497" s="7" t="str">
        <f>IF(Table43[[#This Row],[Kode BARANG Win2]]&lt;&gt;"","IDR","")</f>
        <v>IDR</v>
      </c>
      <c r="BB497" s="7" t="str">
        <f>CONCATENATE(Table43[[#This Row],[kode  1 Digit
(Nomor)]],Table43[[#This Row],[kode  4 Digit                (Nomor)]])</f>
        <v>10090</v>
      </c>
      <c r="BC497" s="7" t="str">
        <f>Table43[[#This Row],[Nama            Gramasi atau Jumlah Pack per CTN]]</f>
        <v>90ML</v>
      </c>
      <c r="BD497" s="7"/>
      <c r="BE497" s="7"/>
      <c r="BF497" s="4" t="str">
        <f>IF(Table43[[#This Row],[SATUAN Fix Win]]&lt;&gt;"","KRT")</f>
        <v>KRT</v>
      </c>
      <c r="BG497" s="4" t="str">
        <f>IF(Table43[[#This Row],[SATUAN Fix Win]]&lt;&gt;"","GD01")</f>
        <v>GD01</v>
      </c>
      <c r="BH497" s="4">
        <f>IF(Table43[[#This Row],[SATUAN Fix Win]]&lt;&gt;"",11611)</f>
        <v>11611</v>
      </c>
      <c r="BI497" s="4">
        <f>IF(Table43[[#This Row],[SATUAN Fix Win]]&lt;&gt;"",11612)</f>
        <v>11612</v>
      </c>
      <c r="BJ497" s="48"/>
      <c r="BK497" s="4">
        <f>IF(Table43[[#This Row],[SATUAN Fix Win]]&lt;&gt;"",1)</f>
        <v>1</v>
      </c>
    </row>
    <row r="498" spans="1:63">
      <c r="A498" s="4" t="str">
        <f>CONCATENATE(Table43[[#This Row],[Kode BARANG Win2]],Table43[[#This Row],[No. Urut
Item Sama]])</f>
        <v>K13800020200101</v>
      </c>
      <c r="B498" s="7">
        <v>1</v>
      </c>
      <c r="D498" s="28" t="s">
        <v>579</v>
      </c>
      <c r="E498" s="28"/>
      <c r="F498" s="28" t="s">
        <v>3261</v>
      </c>
      <c r="G498" s="78">
        <v>36</v>
      </c>
      <c r="H498" s="43"/>
      <c r="I498" s="28" t="str">
        <f>Table43[[#This Row],[Nama Jenis Kemasan]]</f>
        <v>BTL</v>
      </c>
      <c r="J498" s="4" t="str">
        <f>TRIM(CONCATENATE(Table43[[#This Row],[Nama            KLP]]," ",Table43[[#This Row],[Nama            Sub KLP]]))</f>
        <v>RESIK V PKW</v>
      </c>
      <c r="K498" s="4" t="str">
        <f>CONCATENATE(Table43[[#This Row],[kode  2 Digit                (hrf+No)]],Table43[[#This Row],[kode  2 Digit                (Nomor)]],Table43[[#This Row],[kode  1 Digit                (Nomor)]])</f>
        <v>K1380</v>
      </c>
      <c r="L498" s="4" t="str">
        <f t="shared" si="24"/>
        <v>K1380002020010</v>
      </c>
      <c r="M498" s="11">
        <f t="shared" si="25"/>
        <v>14</v>
      </c>
      <c r="N498" s="14" t="str">
        <f>IF(AF498&lt;&gt;"",TRIM(UPPER(CONCATENATE(P498," ",R498," ",T498," ",V498," ",X498," ",Z498," ","X"," ",Table43[[#This Row],[ISI/CTN]]," ",AF498," ",AB498," ",AD498," ",AH498))),TRIM(UPPER(CONCATENATE(P498," ",R498," ",T498," ",V498," ",X498," ",Z498," ","X"," ",Table43[[#This Row],[ISI/CTN]]," ",AB498," ",AD498," ",AH498))))</f>
        <v>KNF RESIK V PKW SIRIH KENANGA 200ML X 36 BTL</v>
      </c>
      <c r="O498" s="11">
        <f t="shared" si="26"/>
        <v>44</v>
      </c>
      <c r="P498" s="4" t="s">
        <v>97</v>
      </c>
      <c r="Q498" s="7" t="s">
        <v>98</v>
      </c>
      <c r="R498" s="4" t="s">
        <v>3921</v>
      </c>
      <c r="S498" s="44" t="s">
        <v>3922</v>
      </c>
      <c r="T498" s="45" t="s">
        <v>2961</v>
      </c>
      <c r="U498" s="7" t="s">
        <v>2900</v>
      </c>
      <c r="V498" s="45" t="s">
        <v>2961</v>
      </c>
      <c r="W498" s="44" t="s">
        <v>2900</v>
      </c>
      <c r="X498" s="4" t="s">
        <v>3924</v>
      </c>
      <c r="Y498" s="46" t="s">
        <v>2472</v>
      </c>
      <c r="Z498" s="4" t="s">
        <v>3582</v>
      </c>
      <c r="AA498" s="46" t="s">
        <v>2486</v>
      </c>
      <c r="AB498" s="4" t="s">
        <v>357</v>
      </c>
      <c r="AC498" s="7" t="s">
        <v>2656</v>
      </c>
      <c r="AD498" s="4" t="s">
        <v>2961</v>
      </c>
      <c r="AE498" s="7" t="s">
        <v>2900</v>
      </c>
      <c r="AF498" s="7" t="s">
        <v>2961</v>
      </c>
      <c r="AG498" s="7" t="s">
        <v>2961</v>
      </c>
      <c r="AI498" s="7" t="s">
        <v>4100</v>
      </c>
      <c r="AJ498" s="7" t="s">
        <v>2656</v>
      </c>
      <c r="AK498" s="41">
        <f>Table43[[#This Row],[Harga Jual Pcs GT
(-PPN)]]-(Table43[[#This Row],[Harga Jual Pcs GT
(-PPN)]]*10%)</f>
        <v>0</v>
      </c>
      <c r="AL498" s="42">
        <f>Table43[[#This Row],[Harga Beli Pcs
(-PPN)]]*Table43[[#This Row],[ISI/CTN]]</f>
        <v>0</v>
      </c>
      <c r="AM498" s="42">
        <f>Table43[[#This Row],[Harga Beli Pcs
(-PPN)]]*1.11</f>
        <v>0</v>
      </c>
      <c r="AN498" s="42">
        <f>Table43[[#This Row],[Harga Beli Krt
(- PPN)]]*1.11</f>
        <v>0</v>
      </c>
      <c r="AO498" s="42"/>
      <c r="AP498" s="42">
        <f>Table43[[#This Row],[Harga Jual Pcs GT
(-PPN)]]*Table43[[#This Row],[ISI/CTN]]</f>
        <v>0</v>
      </c>
      <c r="AQ498" s="42">
        <f>Table43[[#This Row],[Harga Jual Pcs GT
(-PPN)]]*1.11</f>
        <v>0</v>
      </c>
      <c r="AR498" s="42">
        <f>Table43[[#This Row],[Harga Jual Krt GT
(- PPN)]]*1.11</f>
        <v>0</v>
      </c>
      <c r="AS498" s="42">
        <f>Table43[[#This Row],[Harga Jual Pcs GT
(-PPN)]]</f>
        <v>0</v>
      </c>
      <c r="AT498" s="42">
        <f>(Table43[[#This Row],[Harga Jual Pcs MT
(-PPN)]]*Table43[[#This Row],[ISI/CTN]])</f>
        <v>0</v>
      </c>
      <c r="AU498" s="42">
        <f>Table43[[#This Row],[Harga Jual Pcs MT
(-PPN)]]*1.11</f>
        <v>0</v>
      </c>
      <c r="AV498" s="42">
        <f>Table43[[#This Row],[Harga Jual Pcs MT
(+PPN)]]*Table43[[#This Row],[ISI/CTN]]</f>
        <v>0</v>
      </c>
      <c r="AW498" s="47"/>
      <c r="AX498" s="7"/>
      <c r="AY498" s="7" t="str">
        <f ca="1">IF(TODAY()-Table43[[#This Row],[Efektif
Pembuatan]]&gt;60,"Lama","Baru")</f>
        <v>Lama</v>
      </c>
      <c r="AZ498" s="7" t="str">
        <f ca="1">IF(TODAY()-Table43[[#This Row],[Efektif Naik Harga]]&lt;30,"Naik","Sama")</f>
        <v>Sama</v>
      </c>
      <c r="BA498" s="7" t="str">
        <f>IF(Table43[[#This Row],[Kode BARANG Win2]]&lt;&gt;"","IDR","")</f>
        <v>IDR</v>
      </c>
      <c r="BB498" s="7" t="str">
        <f>CONCATENATE(Table43[[#This Row],[kode  1 Digit
(Nomor)]],Table43[[#This Row],[kode  4 Digit                (Nomor)]])</f>
        <v>10200</v>
      </c>
      <c r="BC498" s="7" t="str">
        <f>Table43[[#This Row],[Nama            Gramasi atau Jumlah Pack per CTN]]</f>
        <v>200ML</v>
      </c>
      <c r="BD498" s="7"/>
      <c r="BE498" s="7"/>
      <c r="BF498" s="4" t="str">
        <f>IF(Table43[[#This Row],[SATUAN Fix Win]]&lt;&gt;"","KRT")</f>
        <v>KRT</v>
      </c>
      <c r="BG498" s="4" t="str">
        <f>IF(Table43[[#This Row],[SATUAN Fix Win]]&lt;&gt;"","GD01")</f>
        <v>GD01</v>
      </c>
      <c r="BH498" s="4">
        <f>IF(Table43[[#This Row],[SATUAN Fix Win]]&lt;&gt;"",11611)</f>
        <v>11611</v>
      </c>
      <c r="BI498" s="4">
        <f>IF(Table43[[#This Row],[SATUAN Fix Win]]&lt;&gt;"",11612)</f>
        <v>11612</v>
      </c>
      <c r="BJ498" s="48"/>
      <c r="BK498" s="4">
        <f>IF(Table43[[#This Row],[SATUAN Fix Win]]&lt;&gt;"",1)</f>
        <v>1</v>
      </c>
    </row>
    <row r="499" spans="1:63">
      <c r="A499" s="4" t="str">
        <f>CONCATENATE(Table43[[#This Row],[Kode BARANG Win2]],Table43[[#This Row],[No. Urut
Item Sama]])</f>
        <v>K13800030060101</v>
      </c>
      <c r="B499" s="7">
        <v>1</v>
      </c>
      <c r="D499" s="28" t="s">
        <v>577</v>
      </c>
      <c r="E499" s="28"/>
      <c r="F499" s="28" t="s">
        <v>3262</v>
      </c>
      <c r="G499" s="78">
        <v>72</v>
      </c>
      <c r="H499" s="43"/>
      <c r="I499" s="28" t="str">
        <f>Table43[[#This Row],[Nama Jenis Kemasan]]</f>
        <v>BTL</v>
      </c>
      <c r="J499" s="4" t="str">
        <f>TRIM(CONCATENATE(Table43[[#This Row],[Nama            KLP]]," ",Table43[[#This Row],[Nama            Sub KLP]]))</f>
        <v>RESIK V PKW</v>
      </c>
      <c r="K499" s="4" t="str">
        <f>CONCATENATE(Table43[[#This Row],[kode  2 Digit                (hrf+No)]],Table43[[#This Row],[kode  2 Digit                (Nomor)]],Table43[[#This Row],[kode  1 Digit                (Nomor)]])</f>
        <v>K1380</v>
      </c>
      <c r="L499" s="4" t="str">
        <f t="shared" si="24"/>
        <v>K1380003006010</v>
      </c>
      <c r="M499" s="11">
        <f t="shared" si="25"/>
        <v>14</v>
      </c>
      <c r="N499" s="14" t="str">
        <f>IF(AF499&lt;&gt;"",TRIM(UPPER(CONCATENATE(P499," ",R499," ",T499," ",V499," ",X499," ",Z499," ","X"," ",Table43[[#This Row],[ISI/CTN]]," ",AF499," ",AB499," ",AD499," ",AH499))),TRIM(UPPER(CONCATENATE(P499," ",R499," ",T499," ",V499," ",X499," ",Z499," ","X"," ",Table43[[#This Row],[ISI/CTN]]," ",AB499," ",AD499," ",AH499))))</f>
        <v>KNF RESIK V PKW SIRIH MAWAR 60ML X 72 BTL</v>
      </c>
      <c r="O499" s="11">
        <f t="shared" si="26"/>
        <v>41</v>
      </c>
      <c r="P499" s="4" t="s">
        <v>97</v>
      </c>
      <c r="Q499" s="7" t="s">
        <v>98</v>
      </c>
      <c r="R499" s="4" t="s">
        <v>3921</v>
      </c>
      <c r="S499" s="44" t="s">
        <v>3922</v>
      </c>
      <c r="T499" s="45" t="s">
        <v>2961</v>
      </c>
      <c r="U499" s="7" t="s">
        <v>2900</v>
      </c>
      <c r="V499" s="45" t="s">
        <v>2961</v>
      </c>
      <c r="W499" s="44" t="s">
        <v>2900</v>
      </c>
      <c r="X499" s="4" t="s">
        <v>3925</v>
      </c>
      <c r="Y499" s="46" t="s">
        <v>2473</v>
      </c>
      <c r="Z499" s="4" t="s">
        <v>1026</v>
      </c>
      <c r="AA499" s="46" t="s">
        <v>2481</v>
      </c>
      <c r="AB499" s="4" t="s">
        <v>357</v>
      </c>
      <c r="AC499" s="7" t="s">
        <v>2656</v>
      </c>
      <c r="AD499" s="4" t="s">
        <v>2961</v>
      </c>
      <c r="AE499" s="7" t="s">
        <v>2900</v>
      </c>
      <c r="AF499" s="7" t="s">
        <v>2961</v>
      </c>
      <c r="AG499" s="7" t="s">
        <v>2961</v>
      </c>
      <c r="AI499" s="7" t="s">
        <v>4100</v>
      </c>
      <c r="AJ499" s="7" t="s">
        <v>2656</v>
      </c>
      <c r="AK499" s="41">
        <f>Table43[[#This Row],[Harga Jual Pcs GT
(-PPN)]]-(Table43[[#This Row],[Harga Jual Pcs GT
(-PPN)]]*10%)</f>
        <v>0</v>
      </c>
      <c r="AL499" s="42">
        <f>Table43[[#This Row],[Harga Beli Pcs
(-PPN)]]*Table43[[#This Row],[ISI/CTN]]</f>
        <v>0</v>
      </c>
      <c r="AM499" s="42">
        <f>Table43[[#This Row],[Harga Beli Pcs
(-PPN)]]*1.11</f>
        <v>0</v>
      </c>
      <c r="AN499" s="42">
        <f>Table43[[#This Row],[Harga Beli Krt
(- PPN)]]*1.11</f>
        <v>0</v>
      </c>
      <c r="AO499" s="42"/>
      <c r="AP499" s="42">
        <f>Table43[[#This Row],[Harga Jual Pcs GT
(-PPN)]]*Table43[[#This Row],[ISI/CTN]]</f>
        <v>0</v>
      </c>
      <c r="AQ499" s="42">
        <f>Table43[[#This Row],[Harga Jual Pcs GT
(-PPN)]]*1.11</f>
        <v>0</v>
      </c>
      <c r="AR499" s="42">
        <f>Table43[[#This Row],[Harga Jual Krt GT
(- PPN)]]*1.11</f>
        <v>0</v>
      </c>
      <c r="AS499" s="42">
        <f>Table43[[#This Row],[Harga Jual Pcs GT
(-PPN)]]</f>
        <v>0</v>
      </c>
      <c r="AT499" s="42">
        <f>(Table43[[#This Row],[Harga Jual Pcs MT
(-PPN)]]*Table43[[#This Row],[ISI/CTN]])</f>
        <v>0</v>
      </c>
      <c r="AU499" s="42">
        <f>Table43[[#This Row],[Harga Jual Pcs MT
(-PPN)]]*1.11</f>
        <v>0</v>
      </c>
      <c r="AV499" s="42">
        <f>Table43[[#This Row],[Harga Jual Pcs MT
(+PPN)]]*Table43[[#This Row],[ISI/CTN]]</f>
        <v>0</v>
      </c>
      <c r="AW499" s="47"/>
      <c r="AX499" s="7"/>
      <c r="AY499" s="7" t="str">
        <f ca="1">IF(TODAY()-Table43[[#This Row],[Efektif
Pembuatan]]&gt;60,"Lama","Baru")</f>
        <v>Lama</v>
      </c>
      <c r="AZ499" s="7" t="str">
        <f ca="1">IF(TODAY()-Table43[[#This Row],[Efektif Naik Harga]]&lt;30,"Naik","Sama")</f>
        <v>Sama</v>
      </c>
      <c r="BA499" s="7" t="str">
        <f>IF(Table43[[#This Row],[Kode BARANG Win2]]&lt;&gt;"","IDR","")</f>
        <v>IDR</v>
      </c>
      <c r="BB499" s="7" t="str">
        <f>CONCATENATE(Table43[[#This Row],[kode  1 Digit
(Nomor)]],Table43[[#This Row],[kode  4 Digit                (Nomor)]])</f>
        <v>10060</v>
      </c>
      <c r="BC499" s="7" t="str">
        <f>Table43[[#This Row],[Nama            Gramasi atau Jumlah Pack per CTN]]</f>
        <v>60ML</v>
      </c>
      <c r="BD499" s="7"/>
      <c r="BE499" s="7"/>
      <c r="BF499" s="4" t="str">
        <f>IF(Table43[[#This Row],[SATUAN Fix Win]]&lt;&gt;"","KRT")</f>
        <v>KRT</v>
      </c>
      <c r="BG499" s="4" t="str">
        <f>IF(Table43[[#This Row],[SATUAN Fix Win]]&lt;&gt;"","GD01")</f>
        <v>GD01</v>
      </c>
      <c r="BH499" s="4">
        <f>IF(Table43[[#This Row],[SATUAN Fix Win]]&lt;&gt;"",11611)</f>
        <v>11611</v>
      </c>
      <c r="BI499" s="4">
        <f>IF(Table43[[#This Row],[SATUAN Fix Win]]&lt;&gt;"",11612)</f>
        <v>11612</v>
      </c>
      <c r="BJ499" s="48"/>
      <c r="BK499" s="4">
        <f>IF(Table43[[#This Row],[SATUAN Fix Win]]&lt;&gt;"",1)</f>
        <v>1</v>
      </c>
    </row>
    <row r="500" spans="1:63">
      <c r="A500" s="4" t="str">
        <f>CONCATENATE(Table43[[#This Row],[Kode BARANG Win2]],Table43[[#This Row],[No. Urut
Item Sama]])</f>
        <v>K13800030090101</v>
      </c>
      <c r="B500" s="7">
        <v>1</v>
      </c>
      <c r="D500" s="28" t="s">
        <v>580</v>
      </c>
      <c r="E500" s="28"/>
      <c r="F500" s="28" t="s">
        <v>3263</v>
      </c>
      <c r="G500" s="78">
        <v>36</v>
      </c>
      <c r="H500" s="43"/>
      <c r="I500" s="28" t="str">
        <f>Table43[[#This Row],[Nama Jenis Kemasan]]</f>
        <v>BTL</v>
      </c>
      <c r="J500" s="4" t="str">
        <f>TRIM(CONCATENATE(Table43[[#This Row],[Nama            KLP]]," ",Table43[[#This Row],[Nama            Sub KLP]]))</f>
        <v>RESIK V PKW</v>
      </c>
      <c r="K500" s="4" t="str">
        <f>CONCATENATE(Table43[[#This Row],[kode  2 Digit                (hrf+No)]],Table43[[#This Row],[kode  2 Digit                (Nomor)]],Table43[[#This Row],[kode  1 Digit                (Nomor)]])</f>
        <v>K1380</v>
      </c>
      <c r="L500" s="4" t="str">
        <f t="shared" si="24"/>
        <v>K1380003009010</v>
      </c>
      <c r="M500" s="11">
        <f t="shared" si="25"/>
        <v>14</v>
      </c>
      <c r="N500" s="14" t="str">
        <f>IF(AF500&lt;&gt;"",TRIM(UPPER(CONCATENATE(P500," ",R500," ",T500," ",V500," ",X500," ",Z500," ","X"," ",Table43[[#This Row],[ISI/CTN]]," ",AF500," ",AB500," ",AD500," ",AH500))),TRIM(UPPER(CONCATENATE(P500," ",R500," ",T500," ",V500," ",X500," ",Z500," ","X"," ",Table43[[#This Row],[ISI/CTN]]," ",AB500," ",AD500," ",AH500))))</f>
        <v>KNF RESIK V PKW SIRIH MAWAR 90ML X 36 BTL</v>
      </c>
      <c r="O500" s="11">
        <f t="shared" si="26"/>
        <v>41</v>
      </c>
      <c r="P500" s="4" t="s">
        <v>97</v>
      </c>
      <c r="Q500" s="7" t="s">
        <v>98</v>
      </c>
      <c r="R500" s="4" t="s">
        <v>3921</v>
      </c>
      <c r="S500" s="44" t="s">
        <v>3922</v>
      </c>
      <c r="T500" s="45" t="s">
        <v>2961</v>
      </c>
      <c r="U500" s="7" t="s">
        <v>2900</v>
      </c>
      <c r="V500" s="45" t="s">
        <v>2961</v>
      </c>
      <c r="W500" s="44" t="s">
        <v>2900</v>
      </c>
      <c r="X500" s="4" t="s">
        <v>3925</v>
      </c>
      <c r="Y500" s="46" t="s">
        <v>2473</v>
      </c>
      <c r="Z500" s="4" t="s">
        <v>3918</v>
      </c>
      <c r="AA500" s="46" t="s">
        <v>2509</v>
      </c>
      <c r="AB500" s="4" t="s">
        <v>357</v>
      </c>
      <c r="AC500" s="7" t="s">
        <v>2656</v>
      </c>
      <c r="AD500" s="4" t="s">
        <v>2961</v>
      </c>
      <c r="AE500" s="7" t="s">
        <v>2900</v>
      </c>
      <c r="AF500" s="7" t="s">
        <v>2961</v>
      </c>
      <c r="AG500" s="7" t="s">
        <v>2961</v>
      </c>
      <c r="AI500" s="7" t="s">
        <v>4100</v>
      </c>
      <c r="AJ500" s="7" t="s">
        <v>2656</v>
      </c>
      <c r="AK500" s="41">
        <f>Table43[[#This Row],[Harga Jual Pcs GT
(-PPN)]]-(Table43[[#This Row],[Harga Jual Pcs GT
(-PPN)]]*10%)</f>
        <v>0</v>
      </c>
      <c r="AL500" s="42">
        <f>Table43[[#This Row],[Harga Beli Pcs
(-PPN)]]*Table43[[#This Row],[ISI/CTN]]</f>
        <v>0</v>
      </c>
      <c r="AM500" s="42">
        <f>Table43[[#This Row],[Harga Beli Pcs
(-PPN)]]*1.11</f>
        <v>0</v>
      </c>
      <c r="AN500" s="42">
        <f>Table43[[#This Row],[Harga Beli Krt
(- PPN)]]*1.11</f>
        <v>0</v>
      </c>
      <c r="AO500" s="42"/>
      <c r="AP500" s="42">
        <f>Table43[[#This Row],[Harga Jual Pcs GT
(-PPN)]]*Table43[[#This Row],[ISI/CTN]]</f>
        <v>0</v>
      </c>
      <c r="AQ500" s="42">
        <f>Table43[[#This Row],[Harga Jual Pcs GT
(-PPN)]]*1.11</f>
        <v>0</v>
      </c>
      <c r="AR500" s="42">
        <f>Table43[[#This Row],[Harga Jual Krt GT
(- PPN)]]*1.11</f>
        <v>0</v>
      </c>
      <c r="AS500" s="42">
        <f>Table43[[#This Row],[Harga Jual Pcs GT
(-PPN)]]</f>
        <v>0</v>
      </c>
      <c r="AT500" s="42">
        <f>(Table43[[#This Row],[Harga Jual Pcs MT
(-PPN)]]*Table43[[#This Row],[ISI/CTN]])</f>
        <v>0</v>
      </c>
      <c r="AU500" s="42">
        <f>Table43[[#This Row],[Harga Jual Pcs MT
(-PPN)]]*1.11</f>
        <v>0</v>
      </c>
      <c r="AV500" s="42">
        <f>Table43[[#This Row],[Harga Jual Pcs MT
(+PPN)]]*Table43[[#This Row],[ISI/CTN]]</f>
        <v>0</v>
      </c>
      <c r="AW500" s="47"/>
      <c r="AX500" s="7"/>
      <c r="AY500" s="7" t="str">
        <f ca="1">IF(TODAY()-Table43[[#This Row],[Efektif
Pembuatan]]&gt;60,"Lama","Baru")</f>
        <v>Lama</v>
      </c>
      <c r="AZ500" s="7" t="str">
        <f ca="1">IF(TODAY()-Table43[[#This Row],[Efektif Naik Harga]]&lt;30,"Naik","Sama")</f>
        <v>Sama</v>
      </c>
      <c r="BA500" s="7" t="str">
        <f>IF(Table43[[#This Row],[Kode BARANG Win2]]&lt;&gt;"","IDR","")</f>
        <v>IDR</v>
      </c>
      <c r="BB500" s="7" t="str">
        <f>CONCATENATE(Table43[[#This Row],[kode  1 Digit
(Nomor)]],Table43[[#This Row],[kode  4 Digit                (Nomor)]])</f>
        <v>10090</v>
      </c>
      <c r="BC500" s="7" t="str">
        <f>Table43[[#This Row],[Nama            Gramasi atau Jumlah Pack per CTN]]</f>
        <v>90ML</v>
      </c>
      <c r="BD500" s="7"/>
      <c r="BE500" s="7"/>
      <c r="BF500" s="4" t="str">
        <f>IF(Table43[[#This Row],[SATUAN Fix Win]]&lt;&gt;"","KRT")</f>
        <v>KRT</v>
      </c>
      <c r="BG500" s="4" t="str">
        <f>IF(Table43[[#This Row],[SATUAN Fix Win]]&lt;&gt;"","GD01")</f>
        <v>GD01</v>
      </c>
      <c r="BH500" s="4">
        <f>IF(Table43[[#This Row],[SATUAN Fix Win]]&lt;&gt;"",11611)</f>
        <v>11611</v>
      </c>
      <c r="BI500" s="4">
        <f>IF(Table43[[#This Row],[SATUAN Fix Win]]&lt;&gt;"",11612)</f>
        <v>11612</v>
      </c>
      <c r="BJ500" s="48"/>
      <c r="BK500" s="4">
        <f>IF(Table43[[#This Row],[SATUAN Fix Win]]&lt;&gt;"",1)</f>
        <v>1</v>
      </c>
    </row>
    <row r="501" spans="1:63">
      <c r="A501" s="4" t="str">
        <f>CONCATENATE(Table43[[#This Row],[Kode BARANG Win2]],Table43[[#This Row],[No. Urut
Item Sama]])</f>
        <v>K13800030200101</v>
      </c>
      <c r="B501" s="7">
        <v>1</v>
      </c>
      <c r="D501" s="28" t="s">
        <v>581</v>
      </c>
      <c r="E501" s="28"/>
      <c r="F501" s="28" t="s">
        <v>3264</v>
      </c>
      <c r="G501" s="78">
        <v>36</v>
      </c>
      <c r="H501" s="43"/>
      <c r="I501" s="28" t="str">
        <f>Table43[[#This Row],[Nama Jenis Kemasan]]</f>
        <v>BTL</v>
      </c>
      <c r="J501" s="4" t="str">
        <f>TRIM(CONCATENATE(Table43[[#This Row],[Nama            KLP]]," ",Table43[[#This Row],[Nama            Sub KLP]]))</f>
        <v>RESIK V PKW</v>
      </c>
      <c r="K501" s="4" t="str">
        <f>CONCATENATE(Table43[[#This Row],[kode  2 Digit                (hrf+No)]],Table43[[#This Row],[kode  2 Digit                (Nomor)]],Table43[[#This Row],[kode  1 Digit                (Nomor)]])</f>
        <v>K1380</v>
      </c>
      <c r="L501" s="4" t="str">
        <f t="shared" si="24"/>
        <v>K1380003020010</v>
      </c>
      <c r="M501" s="11">
        <f t="shared" si="25"/>
        <v>14</v>
      </c>
      <c r="N501" s="14" t="str">
        <f>IF(AF501&lt;&gt;"",TRIM(UPPER(CONCATENATE(P501," ",R501," ",T501," ",V501," ",X501," ",Z501," ","X"," ",Table43[[#This Row],[ISI/CTN]]," ",AF501," ",AB501," ",AD501," ",AH501))),TRIM(UPPER(CONCATENATE(P501," ",R501," ",T501," ",V501," ",X501," ",Z501," ","X"," ",Table43[[#This Row],[ISI/CTN]]," ",AB501," ",AD501," ",AH501))))</f>
        <v>KNF RESIK V PKW SIRIH MAWAR 200ML X 36 BTL</v>
      </c>
      <c r="O501" s="11">
        <f t="shared" si="26"/>
        <v>42</v>
      </c>
      <c r="P501" s="4" t="s">
        <v>97</v>
      </c>
      <c r="Q501" s="7" t="s">
        <v>98</v>
      </c>
      <c r="R501" s="4" t="s">
        <v>3921</v>
      </c>
      <c r="S501" s="44" t="s">
        <v>3922</v>
      </c>
      <c r="T501" s="45" t="s">
        <v>2961</v>
      </c>
      <c r="U501" s="7" t="s">
        <v>2900</v>
      </c>
      <c r="V501" s="45" t="s">
        <v>2961</v>
      </c>
      <c r="W501" s="44" t="s">
        <v>2900</v>
      </c>
      <c r="X501" s="4" t="s">
        <v>3925</v>
      </c>
      <c r="Y501" s="46" t="s">
        <v>2473</v>
      </c>
      <c r="Z501" s="4" t="s">
        <v>3582</v>
      </c>
      <c r="AA501" s="46" t="s">
        <v>2486</v>
      </c>
      <c r="AB501" s="4" t="s">
        <v>357</v>
      </c>
      <c r="AC501" s="7" t="s">
        <v>2656</v>
      </c>
      <c r="AD501" s="4" t="s">
        <v>2961</v>
      </c>
      <c r="AE501" s="7" t="s">
        <v>2900</v>
      </c>
      <c r="AF501" s="7" t="s">
        <v>2961</v>
      </c>
      <c r="AG501" s="7" t="s">
        <v>2961</v>
      </c>
      <c r="AI501" s="7" t="s">
        <v>4100</v>
      </c>
      <c r="AJ501" s="7" t="s">
        <v>2656</v>
      </c>
      <c r="AK501" s="41">
        <f>Table43[[#This Row],[Harga Jual Pcs GT
(-PPN)]]-(Table43[[#This Row],[Harga Jual Pcs GT
(-PPN)]]*10%)</f>
        <v>0</v>
      </c>
      <c r="AL501" s="42">
        <f>Table43[[#This Row],[Harga Beli Pcs
(-PPN)]]*Table43[[#This Row],[ISI/CTN]]</f>
        <v>0</v>
      </c>
      <c r="AM501" s="42">
        <f>Table43[[#This Row],[Harga Beli Pcs
(-PPN)]]*1.11</f>
        <v>0</v>
      </c>
      <c r="AN501" s="42">
        <f>Table43[[#This Row],[Harga Beli Krt
(- PPN)]]*1.11</f>
        <v>0</v>
      </c>
      <c r="AO501" s="42"/>
      <c r="AP501" s="42">
        <f>Table43[[#This Row],[Harga Jual Pcs GT
(-PPN)]]*Table43[[#This Row],[ISI/CTN]]</f>
        <v>0</v>
      </c>
      <c r="AQ501" s="42">
        <f>Table43[[#This Row],[Harga Jual Pcs GT
(-PPN)]]*1.11</f>
        <v>0</v>
      </c>
      <c r="AR501" s="42">
        <f>Table43[[#This Row],[Harga Jual Krt GT
(- PPN)]]*1.11</f>
        <v>0</v>
      </c>
      <c r="AS501" s="42">
        <f>Table43[[#This Row],[Harga Jual Pcs GT
(-PPN)]]</f>
        <v>0</v>
      </c>
      <c r="AT501" s="42">
        <f>(Table43[[#This Row],[Harga Jual Pcs MT
(-PPN)]]*Table43[[#This Row],[ISI/CTN]])</f>
        <v>0</v>
      </c>
      <c r="AU501" s="42">
        <f>Table43[[#This Row],[Harga Jual Pcs MT
(-PPN)]]*1.11</f>
        <v>0</v>
      </c>
      <c r="AV501" s="42">
        <f>Table43[[#This Row],[Harga Jual Pcs MT
(+PPN)]]*Table43[[#This Row],[ISI/CTN]]</f>
        <v>0</v>
      </c>
      <c r="AW501" s="47"/>
      <c r="AX501" s="7"/>
      <c r="AY501" s="7" t="str">
        <f ca="1">IF(TODAY()-Table43[[#This Row],[Efektif
Pembuatan]]&gt;60,"Lama","Baru")</f>
        <v>Lama</v>
      </c>
      <c r="AZ501" s="7" t="str">
        <f ca="1">IF(TODAY()-Table43[[#This Row],[Efektif Naik Harga]]&lt;30,"Naik","Sama")</f>
        <v>Sama</v>
      </c>
      <c r="BA501" s="7" t="str">
        <f>IF(Table43[[#This Row],[Kode BARANG Win2]]&lt;&gt;"","IDR","")</f>
        <v>IDR</v>
      </c>
      <c r="BB501" s="7" t="str">
        <f>CONCATENATE(Table43[[#This Row],[kode  1 Digit
(Nomor)]],Table43[[#This Row],[kode  4 Digit                (Nomor)]])</f>
        <v>10200</v>
      </c>
      <c r="BC501" s="7" t="str">
        <f>Table43[[#This Row],[Nama            Gramasi atau Jumlah Pack per CTN]]</f>
        <v>200ML</v>
      </c>
      <c r="BD501" s="7"/>
      <c r="BE501" s="7"/>
      <c r="BF501" s="4" t="str">
        <f>IF(Table43[[#This Row],[SATUAN Fix Win]]&lt;&gt;"","KRT")</f>
        <v>KRT</v>
      </c>
      <c r="BG501" s="4" t="str">
        <f>IF(Table43[[#This Row],[SATUAN Fix Win]]&lt;&gt;"","GD01")</f>
        <v>GD01</v>
      </c>
      <c r="BH501" s="4">
        <f>IF(Table43[[#This Row],[SATUAN Fix Win]]&lt;&gt;"",11611)</f>
        <v>11611</v>
      </c>
      <c r="BI501" s="4">
        <f>IF(Table43[[#This Row],[SATUAN Fix Win]]&lt;&gt;"",11612)</f>
        <v>11612</v>
      </c>
      <c r="BJ501" s="48"/>
      <c r="BK501" s="4">
        <f>IF(Table43[[#This Row],[SATUAN Fix Win]]&lt;&gt;"",1)</f>
        <v>1</v>
      </c>
    </row>
    <row r="502" spans="1:63">
      <c r="A502" s="4" t="str">
        <f>CONCATENATE(Table43[[#This Row],[Kode BARANG Win2]],Table43[[#This Row],[No. Urut
Item Sama]])</f>
        <v>K13800040090101</v>
      </c>
      <c r="B502" s="7">
        <v>1</v>
      </c>
      <c r="D502" s="28" t="s">
        <v>582</v>
      </c>
      <c r="E502" s="28"/>
      <c r="F502" s="28" t="s">
        <v>3265</v>
      </c>
      <c r="G502" s="78">
        <v>36</v>
      </c>
      <c r="H502" s="43"/>
      <c r="I502" s="28" t="str">
        <f>Table43[[#This Row],[Nama Jenis Kemasan]]</f>
        <v>BTL</v>
      </c>
      <c r="J502" s="4" t="str">
        <f>TRIM(CONCATENATE(Table43[[#This Row],[Nama            KLP]]," ",Table43[[#This Row],[Nama            Sub KLP]]))</f>
        <v>RESIK V PKW</v>
      </c>
      <c r="K502" s="4" t="str">
        <f>CONCATENATE(Table43[[#This Row],[kode  2 Digit                (hrf+No)]],Table43[[#This Row],[kode  2 Digit                (Nomor)]],Table43[[#This Row],[kode  1 Digit                (Nomor)]])</f>
        <v>K1380</v>
      </c>
      <c r="L502" s="4" t="str">
        <f t="shared" si="24"/>
        <v>K1380004009010</v>
      </c>
      <c r="M502" s="11">
        <f t="shared" si="25"/>
        <v>14</v>
      </c>
      <c r="N502" s="14" t="str">
        <f>IF(AF502&lt;&gt;"",TRIM(UPPER(CONCATENATE(P502," ",R502," ",T502," ",V502," ",X502," ",Z502," ","X"," ",Table43[[#This Row],[ISI/CTN]]," ",AF502," ",AB502," ",AD502," ",AH502))),TRIM(UPPER(CONCATENATE(P502," ",R502," ",T502," ",V502," ",X502," ",Z502," ","X"," ",Table43[[#This Row],[ISI/CTN]]," ",AB502," ",AD502," ",AH502))))</f>
        <v>KNF RESIK V PKW SIRIH WANGI 90ML X 36 BTL</v>
      </c>
      <c r="O502" s="11">
        <f t="shared" si="26"/>
        <v>41</v>
      </c>
      <c r="P502" s="4" t="s">
        <v>97</v>
      </c>
      <c r="Q502" s="7" t="s">
        <v>98</v>
      </c>
      <c r="R502" s="4" t="s">
        <v>3921</v>
      </c>
      <c r="S502" s="44" t="s">
        <v>3922</v>
      </c>
      <c r="T502" s="45" t="s">
        <v>2961</v>
      </c>
      <c r="U502" s="7" t="s">
        <v>2900</v>
      </c>
      <c r="V502" s="45" t="s">
        <v>2961</v>
      </c>
      <c r="W502" s="44" t="s">
        <v>2900</v>
      </c>
      <c r="X502" s="4" t="s">
        <v>3926</v>
      </c>
      <c r="Y502" s="46" t="s">
        <v>2474</v>
      </c>
      <c r="Z502" s="4" t="s">
        <v>3918</v>
      </c>
      <c r="AA502" s="46" t="s">
        <v>2509</v>
      </c>
      <c r="AB502" s="4" t="s">
        <v>357</v>
      </c>
      <c r="AC502" s="7" t="s">
        <v>2656</v>
      </c>
      <c r="AD502" s="4" t="s">
        <v>2961</v>
      </c>
      <c r="AE502" s="7" t="s">
        <v>2900</v>
      </c>
      <c r="AF502" s="7" t="s">
        <v>2961</v>
      </c>
      <c r="AG502" s="7" t="s">
        <v>2961</v>
      </c>
      <c r="AI502" s="7" t="s">
        <v>4100</v>
      </c>
      <c r="AJ502" s="7" t="s">
        <v>2656</v>
      </c>
      <c r="AK502" s="41">
        <f>Table43[[#This Row],[Harga Jual Pcs GT
(-PPN)]]-(Table43[[#This Row],[Harga Jual Pcs GT
(-PPN)]]*10%)</f>
        <v>0</v>
      </c>
      <c r="AL502" s="42">
        <f>Table43[[#This Row],[Harga Beli Pcs
(-PPN)]]*Table43[[#This Row],[ISI/CTN]]</f>
        <v>0</v>
      </c>
      <c r="AM502" s="42">
        <f>Table43[[#This Row],[Harga Beli Pcs
(-PPN)]]*1.11</f>
        <v>0</v>
      </c>
      <c r="AN502" s="42">
        <f>Table43[[#This Row],[Harga Beli Krt
(- PPN)]]*1.11</f>
        <v>0</v>
      </c>
      <c r="AO502" s="42"/>
      <c r="AP502" s="42">
        <f>Table43[[#This Row],[Harga Jual Pcs GT
(-PPN)]]*Table43[[#This Row],[ISI/CTN]]</f>
        <v>0</v>
      </c>
      <c r="AQ502" s="42">
        <f>Table43[[#This Row],[Harga Jual Pcs GT
(-PPN)]]*1.11</f>
        <v>0</v>
      </c>
      <c r="AR502" s="42">
        <f>Table43[[#This Row],[Harga Jual Krt GT
(- PPN)]]*1.11</f>
        <v>0</v>
      </c>
      <c r="AS502" s="42">
        <f>Table43[[#This Row],[Harga Jual Pcs GT
(-PPN)]]</f>
        <v>0</v>
      </c>
      <c r="AT502" s="42">
        <f>(Table43[[#This Row],[Harga Jual Pcs MT
(-PPN)]]*Table43[[#This Row],[ISI/CTN]])</f>
        <v>0</v>
      </c>
      <c r="AU502" s="42">
        <f>Table43[[#This Row],[Harga Jual Pcs MT
(-PPN)]]*1.11</f>
        <v>0</v>
      </c>
      <c r="AV502" s="42">
        <f>Table43[[#This Row],[Harga Jual Pcs MT
(+PPN)]]*Table43[[#This Row],[ISI/CTN]]</f>
        <v>0</v>
      </c>
      <c r="AW502" s="47"/>
      <c r="AX502" s="7"/>
      <c r="AY502" s="7" t="str">
        <f ca="1">IF(TODAY()-Table43[[#This Row],[Efektif
Pembuatan]]&gt;60,"Lama","Baru")</f>
        <v>Lama</v>
      </c>
      <c r="AZ502" s="7" t="str">
        <f ca="1">IF(TODAY()-Table43[[#This Row],[Efektif Naik Harga]]&lt;30,"Naik","Sama")</f>
        <v>Sama</v>
      </c>
      <c r="BA502" s="7" t="str">
        <f>IF(Table43[[#This Row],[Kode BARANG Win2]]&lt;&gt;"","IDR","")</f>
        <v>IDR</v>
      </c>
      <c r="BB502" s="7" t="str">
        <f>CONCATENATE(Table43[[#This Row],[kode  1 Digit
(Nomor)]],Table43[[#This Row],[kode  4 Digit                (Nomor)]])</f>
        <v>10090</v>
      </c>
      <c r="BC502" s="7" t="str">
        <f>Table43[[#This Row],[Nama            Gramasi atau Jumlah Pack per CTN]]</f>
        <v>90ML</v>
      </c>
      <c r="BD502" s="7"/>
      <c r="BE502" s="7"/>
      <c r="BF502" s="4" t="str">
        <f>IF(Table43[[#This Row],[SATUAN Fix Win]]&lt;&gt;"","KRT")</f>
        <v>KRT</v>
      </c>
      <c r="BG502" s="4" t="str">
        <f>IF(Table43[[#This Row],[SATUAN Fix Win]]&lt;&gt;"","GD01")</f>
        <v>GD01</v>
      </c>
      <c r="BH502" s="4">
        <f>IF(Table43[[#This Row],[SATUAN Fix Win]]&lt;&gt;"",11611)</f>
        <v>11611</v>
      </c>
      <c r="BI502" s="4">
        <f>IF(Table43[[#This Row],[SATUAN Fix Win]]&lt;&gt;"",11612)</f>
        <v>11612</v>
      </c>
      <c r="BJ502" s="48"/>
      <c r="BK502" s="4">
        <f>IF(Table43[[#This Row],[SATUAN Fix Win]]&lt;&gt;"",1)</f>
        <v>1</v>
      </c>
    </row>
    <row r="503" spans="1:63">
      <c r="A503" s="4" t="str">
        <f>CONCATENATE(Table43[[#This Row],[Kode BARANG Win2]],Table43[[#This Row],[No. Urut
Item Sama]])</f>
        <v>K13800040200101</v>
      </c>
      <c r="B503" s="7">
        <v>1</v>
      </c>
      <c r="D503" s="28" t="s">
        <v>583</v>
      </c>
      <c r="E503" s="28"/>
      <c r="F503" s="28" t="s">
        <v>3266</v>
      </c>
      <c r="G503" s="78">
        <v>36</v>
      </c>
      <c r="H503" s="43"/>
      <c r="I503" s="28" t="str">
        <f>Table43[[#This Row],[Nama Jenis Kemasan]]</f>
        <v>BTL</v>
      </c>
      <c r="J503" s="4" t="str">
        <f>TRIM(CONCATENATE(Table43[[#This Row],[Nama            KLP]]," ",Table43[[#This Row],[Nama            Sub KLP]]))</f>
        <v>RESIK V PKW</v>
      </c>
      <c r="K503" s="4" t="str">
        <f>CONCATENATE(Table43[[#This Row],[kode  2 Digit                (hrf+No)]],Table43[[#This Row],[kode  2 Digit                (Nomor)]],Table43[[#This Row],[kode  1 Digit                (Nomor)]])</f>
        <v>K1380</v>
      </c>
      <c r="L503" s="4" t="str">
        <f t="shared" si="24"/>
        <v>K1380004020010</v>
      </c>
      <c r="M503" s="11">
        <f t="shared" si="25"/>
        <v>14</v>
      </c>
      <c r="N503" s="14" t="str">
        <f>IF(AF503&lt;&gt;"",TRIM(UPPER(CONCATENATE(P503," ",R503," ",T503," ",V503," ",X503," ",Z503," ","X"," ",Table43[[#This Row],[ISI/CTN]]," ",AF503," ",AB503," ",AD503," ",AH503))),TRIM(UPPER(CONCATENATE(P503," ",R503," ",T503," ",V503," ",X503," ",Z503," ","X"," ",Table43[[#This Row],[ISI/CTN]]," ",AB503," ",AD503," ",AH503))))</f>
        <v>KNF RESIK V PKW SIRIH WANGI 200ML X 36 BTL</v>
      </c>
      <c r="O503" s="11">
        <f t="shared" si="26"/>
        <v>42</v>
      </c>
      <c r="P503" s="4" t="s">
        <v>97</v>
      </c>
      <c r="Q503" s="7" t="s">
        <v>98</v>
      </c>
      <c r="R503" s="4" t="s">
        <v>3921</v>
      </c>
      <c r="S503" s="44" t="s">
        <v>3922</v>
      </c>
      <c r="T503" s="45" t="s">
        <v>2961</v>
      </c>
      <c r="U503" s="7" t="s">
        <v>2900</v>
      </c>
      <c r="V503" s="45" t="s">
        <v>2961</v>
      </c>
      <c r="W503" s="44" t="s">
        <v>2900</v>
      </c>
      <c r="X503" s="4" t="s">
        <v>3926</v>
      </c>
      <c r="Y503" s="46" t="s">
        <v>2474</v>
      </c>
      <c r="Z503" s="4" t="s">
        <v>3582</v>
      </c>
      <c r="AA503" s="46" t="s">
        <v>2486</v>
      </c>
      <c r="AB503" s="4" t="s">
        <v>357</v>
      </c>
      <c r="AC503" s="7" t="s">
        <v>2656</v>
      </c>
      <c r="AD503" s="4" t="s">
        <v>2961</v>
      </c>
      <c r="AE503" s="7" t="s">
        <v>2900</v>
      </c>
      <c r="AF503" s="7" t="s">
        <v>2961</v>
      </c>
      <c r="AG503" s="7" t="s">
        <v>2961</v>
      </c>
      <c r="AI503" s="7" t="s">
        <v>4100</v>
      </c>
      <c r="AJ503" s="7" t="s">
        <v>2656</v>
      </c>
      <c r="AK503" s="41">
        <f>Table43[[#This Row],[Harga Jual Pcs GT
(-PPN)]]-(Table43[[#This Row],[Harga Jual Pcs GT
(-PPN)]]*10%)</f>
        <v>0</v>
      </c>
      <c r="AL503" s="42">
        <f>Table43[[#This Row],[Harga Beli Pcs
(-PPN)]]*Table43[[#This Row],[ISI/CTN]]</f>
        <v>0</v>
      </c>
      <c r="AM503" s="42">
        <f>Table43[[#This Row],[Harga Beli Pcs
(-PPN)]]*1.11</f>
        <v>0</v>
      </c>
      <c r="AN503" s="42">
        <f>Table43[[#This Row],[Harga Beli Krt
(- PPN)]]*1.11</f>
        <v>0</v>
      </c>
      <c r="AO503" s="42"/>
      <c r="AP503" s="42">
        <f>Table43[[#This Row],[Harga Jual Pcs GT
(-PPN)]]*Table43[[#This Row],[ISI/CTN]]</f>
        <v>0</v>
      </c>
      <c r="AQ503" s="42">
        <f>Table43[[#This Row],[Harga Jual Pcs GT
(-PPN)]]*1.11</f>
        <v>0</v>
      </c>
      <c r="AR503" s="42">
        <f>Table43[[#This Row],[Harga Jual Krt GT
(- PPN)]]*1.11</f>
        <v>0</v>
      </c>
      <c r="AS503" s="42">
        <f>Table43[[#This Row],[Harga Jual Pcs GT
(-PPN)]]</f>
        <v>0</v>
      </c>
      <c r="AT503" s="42">
        <f>(Table43[[#This Row],[Harga Jual Pcs MT
(-PPN)]]*Table43[[#This Row],[ISI/CTN]])</f>
        <v>0</v>
      </c>
      <c r="AU503" s="42">
        <f>Table43[[#This Row],[Harga Jual Pcs MT
(-PPN)]]*1.11</f>
        <v>0</v>
      </c>
      <c r="AV503" s="42">
        <f>Table43[[#This Row],[Harga Jual Pcs MT
(+PPN)]]*Table43[[#This Row],[ISI/CTN]]</f>
        <v>0</v>
      </c>
      <c r="AW503" s="47"/>
      <c r="AX503" s="7"/>
      <c r="AY503" s="7" t="str">
        <f ca="1">IF(TODAY()-Table43[[#This Row],[Efektif
Pembuatan]]&gt;60,"Lama","Baru")</f>
        <v>Lama</v>
      </c>
      <c r="AZ503" s="7" t="str">
        <f ca="1">IF(TODAY()-Table43[[#This Row],[Efektif Naik Harga]]&lt;30,"Naik","Sama")</f>
        <v>Sama</v>
      </c>
      <c r="BA503" s="7" t="str">
        <f>IF(Table43[[#This Row],[Kode BARANG Win2]]&lt;&gt;"","IDR","")</f>
        <v>IDR</v>
      </c>
      <c r="BB503" s="7" t="str">
        <f>CONCATENATE(Table43[[#This Row],[kode  1 Digit
(Nomor)]],Table43[[#This Row],[kode  4 Digit                (Nomor)]])</f>
        <v>10200</v>
      </c>
      <c r="BC503" s="7" t="str">
        <f>Table43[[#This Row],[Nama            Gramasi atau Jumlah Pack per CTN]]</f>
        <v>200ML</v>
      </c>
      <c r="BD503" s="7"/>
      <c r="BE503" s="7"/>
      <c r="BF503" s="4" t="str">
        <f>IF(Table43[[#This Row],[SATUAN Fix Win]]&lt;&gt;"","KRT")</f>
        <v>KRT</v>
      </c>
      <c r="BG503" s="4" t="str">
        <f>IF(Table43[[#This Row],[SATUAN Fix Win]]&lt;&gt;"","GD01")</f>
        <v>GD01</v>
      </c>
      <c r="BH503" s="4">
        <f>IF(Table43[[#This Row],[SATUAN Fix Win]]&lt;&gt;"",11611)</f>
        <v>11611</v>
      </c>
      <c r="BI503" s="4">
        <f>IF(Table43[[#This Row],[SATUAN Fix Win]]&lt;&gt;"",11612)</f>
        <v>11612</v>
      </c>
      <c r="BJ503" s="48"/>
      <c r="BK503" s="4">
        <f>IF(Table43[[#This Row],[SATUAN Fix Win]]&lt;&gt;"",1)</f>
        <v>1</v>
      </c>
    </row>
    <row r="504" spans="1:63">
      <c r="A504" s="4" t="str">
        <f>CONCATENATE(Table43[[#This Row],[Kode BARANG Win2]],Table43[[#This Row],[No. Urut
Item Sama]])</f>
        <v>K13810010060101</v>
      </c>
      <c r="B504" s="7">
        <v>1</v>
      </c>
      <c r="D504" s="28" t="s">
        <v>593</v>
      </c>
      <c r="E504" s="28"/>
      <c r="F504" s="28" t="s">
        <v>3267</v>
      </c>
      <c r="G504" s="78">
        <v>72</v>
      </c>
      <c r="H504" s="43"/>
      <c r="I504" s="28" t="str">
        <f>Table43[[#This Row],[Nama Jenis Kemasan]]</f>
        <v>BTL</v>
      </c>
      <c r="J504" s="4" t="str">
        <f>TRIM(CONCATENATE(Table43[[#This Row],[Nama            KLP]]," ",Table43[[#This Row],[Nama            Sub KLP]]))</f>
        <v>RESIK V PKW SPA</v>
      </c>
      <c r="K504" s="4" t="str">
        <f>CONCATENATE(Table43[[#This Row],[kode  2 Digit                (hrf+No)]],Table43[[#This Row],[kode  2 Digit                (Nomor)]],Table43[[#This Row],[kode  1 Digit                (Nomor)]])</f>
        <v>K1381</v>
      </c>
      <c r="L504" s="4" t="str">
        <f t="shared" si="24"/>
        <v>K1381001006010</v>
      </c>
      <c r="M504" s="11">
        <f t="shared" si="25"/>
        <v>14</v>
      </c>
      <c r="N504" s="14" t="str">
        <f>IF(AF504&lt;&gt;"",TRIM(UPPER(CONCATENATE(P504," ",R504," ",T504," ",V504," ",X504," ",Z504," ","X"," ",Table43[[#This Row],[ISI/CTN]]," ",AF504," ",AB504," ",AD504," ",AH504))),TRIM(UPPER(CONCATENATE(P504," ",R504," ",T504," ",V504," ",X504," ",Z504," ","X"," ",Table43[[#This Row],[ISI/CTN]]," ",AB504," ",AD504," ",AH504))))</f>
        <v>KNF RESIK V PKW SPA AKAR WANGI 60ML X 72 BTL</v>
      </c>
      <c r="O504" s="11">
        <f t="shared" si="26"/>
        <v>44</v>
      </c>
      <c r="P504" s="4" t="s">
        <v>97</v>
      </c>
      <c r="Q504" s="7" t="s">
        <v>98</v>
      </c>
      <c r="R504" s="4" t="s">
        <v>3921</v>
      </c>
      <c r="S504" s="44" t="s">
        <v>3922</v>
      </c>
      <c r="T504" s="45" t="s">
        <v>3927</v>
      </c>
      <c r="U504" s="7" t="s">
        <v>2656</v>
      </c>
      <c r="V504" s="45" t="s">
        <v>2961</v>
      </c>
      <c r="W504" s="44" t="s">
        <v>2900</v>
      </c>
      <c r="X504" s="4" t="s">
        <v>3928</v>
      </c>
      <c r="Y504" s="46" t="s">
        <v>0</v>
      </c>
      <c r="Z504" s="4" t="s">
        <v>1026</v>
      </c>
      <c r="AA504" s="46" t="s">
        <v>2481</v>
      </c>
      <c r="AB504" s="4" t="s">
        <v>357</v>
      </c>
      <c r="AC504" s="7" t="s">
        <v>2656</v>
      </c>
      <c r="AD504" s="4" t="s">
        <v>2961</v>
      </c>
      <c r="AE504" s="7" t="s">
        <v>2900</v>
      </c>
      <c r="AF504" s="7" t="s">
        <v>2961</v>
      </c>
      <c r="AG504" s="7" t="s">
        <v>2961</v>
      </c>
      <c r="AI504" s="7" t="s">
        <v>4100</v>
      </c>
      <c r="AJ504" s="7" t="s">
        <v>2656</v>
      </c>
      <c r="AK504" s="41">
        <f>Table43[[#This Row],[Harga Jual Pcs GT
(-PPN)]]-(Table43[[#This Row],[Harga Jual Pcs GT
(-PPN)]]*10%)</f>
        <v>0</v>
      </c>
      <c r="AL504" s="42">
        <f>Table43[[#This Row],[Harga Beli Pcs
(-PPN)]]*Table43[[#This Row],[ISI/CTN]]</f>
        <v>0</v>
      </c>
      <c r="AM504" s="42">
        <f>Table43[[#This Row],[Harga Beli Pcs
(-PPN)]]*1.11</f>
        <v>0</v>
      </c>
      <c r="AN504" s="42">
        <f>Table43[[#This Row],[Harga Beli Krt
(- PPN)]]*1.11</f>
        <v>0</v>
      </c>
      <c r="AO504" s="42"/>
      <c r="AP504" s="42">
        <f>Table43[[#This Row],[Harga Jual Pcs GT
(-PPN)]]*Table43[[#This Row],[ISI/CTN]]</f>
        <v>0</v>
      </c>
      <c r="AQ504" s="42">
        <f>Table43[[#This Row],[Harga Jual Pcs GT
(-PPN)]]*1.11</f>
        <v>0</v>
      </c>
      <c r="AR504" s="42">
        <f>Table43[[#This Row],[Harga Jual Krt GT
(- PPN)]]*1.11</f>
        <v>0</v>
      </c>
      <c r="AS504" s="42">
        <f>Table43[[#This Row],[Harga Jual Pcs GT
(-PPN)]]</f>
        <v>0</v>
      </c>
      <c r="AT504" s="42">
        <f>(Table43[[#This Row],[Harga Jual Pcs MT
(-PPN)]]*Table43[[#This Row],[ISI/CTN]])</f>
        <v>0</v>
      </c>
      <c r="AU504" s="42">
        <f>Table43[[#This Row],[Harga Jual Pcs MT
(-PPN)]]*1.11</f>
        <v>0</v>
      </c>
      <c r="AV504" s="42">
        <f>Table43[[#This Row],[Harga Jual Pcs MT
(+PPN)]]*Table43[[#This Row],[ISI/CTN]]</f>
        <v>0</v>
      </c>
      <c r="AW504" s="47"/>
      <c r="AX504" s="7"/>
      <c r="AY504" s="7" t="str">
        <f ca="1">IF(TODAY()-Table43[[#This Row],[Efektif
Pembuatan]]&gt;60,"Lama","Baru")</f>
        <v>Lama</v>
      </c>
      <c r="AZ504" s="7" t="str">
        <f ca="1">IF(TODAY()-Table43[[#This Row],[Efektif Naik Harga]]&lt;30,"Naik","Sama")</f>
        <v>Sama</v>
      </c>
      <c r="BA504" s="7" t="str">
        <f>IF(Table43[[#This Row],[Kode BARANG Win2]]&lt;&gt;"","IDR","")</f>
        <v>IDR</v>
      </c>
      <c r="BB504" s="7" t="str">
        <f>CONCATENATE(Table43[[#This Row],[kode  1 Digit
(Nomor)]],Table43[[#This Row],[kode  4 Digit                (Nomor)]])</f>
        <v>10060</v>
      </c>
      <c r="BC504" s="7" t="str">
        <f>Table43[[#This Row],[Nama            Gramasi atau Jumlah Pack per CTN]]</f>
        <v>60ML</v>
      </c>
      <c r="BD504" s="7"/>
      <c r="BE504" s="7"/>
      <c r="BF504" s="4" t="str">
        <f>IF(Table43[[#This Row],[SATUAN Fix Win]]&lt;&gt;"","KRT")</f>
        <v>KRT</v>
      </c>
      <c r="BG504" s="4" t="str">
        <f>IF(Table43[[#This Row],[SATUAN Fix Win]]&lt;&gt;"","GD01")</f>
        <v>GD01</v>
      </c>
      <c r="BH504" s="4">
        <f>IF(Table43[[#This Row],[SATUAN Fix Win]]&lt;&gt;"",11611)</f>
        <v>11611</v>
      </c>
      <c r="BI504" s="4">
        <f>IF(Table43[[#This Row],[SATUAN Fix Win]]&lt;&gt;"",11612)</f>
        <v>11612</v>
      </c>
      <c r="BJ504" s="48"/>
      <c r="BK504" s="4">
        <f>IF(Table43[[#This Row],[SATUAN Fix Win]]&lt;&gt;"",1)</f>
        <v>1</v>
      </c>
    </row>
    <row r="505" spans="1:63">
      <c r="A505" s="4" t="str">
        <f>CONCATENATE(Table43[[#This Row],[Kode BARANG Win2]],Table43[[#This Row],[No. Urut
Item Sama]])</f>
        <v>K13810010090101</v>
      </c>
      <c r="B505" s="7">
        <v>1</v>
      </c>
      <c r="D505" s="28" t="s">
        <v>594</v>
      </c>
      <c r="E505" s="28"/>
      <c r="F505" s="28" t="s">
        <v>3268</v>
      </c>
      <c r="G505" s="78">
        <v>36</v>
      </c>
      <c r="H505" s="43"/>
      <c r="I505" s="28" t="str">
        <f>Table43[[#This Row],[Nama Jenis Kemasan]]</f>
        <v>BTL</v>
      </c>
      <c r="J505" s="4" t="str">
        <f>TRIM(CONCATENATE(Table43[[#This Row],[Nama            KLP]]," ",Table43[[#This Row],[Nama            Sub KLP]]))</f>
        <v>RESIK V PKW SPA</v>
      </c>
      <c r="K505" s="4" t="str">
        <f>CONCATENATE(Table43[[#This Row],[kode  2 Digit                (hrf+No)]],Table43[[#This Row],[kode  2 Digit                (Nomor)]],Table43[[#This Row],[kode  1 Digit                (Nomor)]])</f>
        <v>K1381</v>
      </c>
      <c r="L505" s="4" t="str">
        <f t="shared" si="24"/>
        <v>K1381001009010</v>
      </c>
      <c r="M505" s="11">
        <f t="shared" si="25"/>
        <v>14</v>
      </c>
      <c r="N505" s="14" t="str">
        <f>IF(AF505&lt;&gt;"",TRIM(UPPER(CONCATENATE(P505," ",R505," ",T505," ",V505," ",X505," ",Z505," ","X"," ",Table43[[#This Row],[ISI/CTN]]," ",AF505," ",AB505," ",AD505," ",AH505))),TRIM(UPPER(CONCATENATE(P505," ",R505," ",T505," ",V505," ",X505," ",Z505," ","X"," ",Table43[[#This Row],[ISI/CTN]]," ",AB505," ",AD505," ",AH505))))</f>
        <v>KNF RESIK V PKW SPA AKAR WANGI 90ML X 36 BTL</v>
      </c>
      <c r="O505" s="11">
        <f t="shared" si="26"/>
        <v>44</v>
      </c>
      <c r="P505" s="4" t="s">
        <v>97</v>
      </c>
      <c r="Q505" s="7" t="s">
        <v>98</v>
      </c>
      <c r="R505" s="4" t="s">
        <v>3921</v>
      </c>
      <c r="S505" s="44" t="s">
        <v>3922</v>
      </c>
      <c r="T505" s="45" t="s">
        <v>3927</v>
      </c>
      <c r="U505" s="7" t="s">
        <v>2656</v>
      </c>
      <c r="V505" s="45" t="s">
        <v>2961</v>
      </c>
      <c r="W505" s="44" t="s">
        <v>2900</v>
      </c>
      <c r="X505" s="4" t="s">
        <v>3928</v>
      </c>
      <c r="Y505" s="46" t="s">
        <v>0</v>
      </c>
      <c r="Z505" s="4" t="s">
        <v>3918</v>
      </c>
      <c r="AA505" s="46" t="s">
        <v>2509</v>
      </c>
      <c r="AB505" s="4" t="s">
        <v>357</v>
      </c>
      <c r="AC505" s="7" t="s">
        <v>2656</v>
      </c>
      <c r="AD505" s="4" t="s">
        <v>2961</v>
      </c>
      <c r="AE505" s="7" t="s">
        <v>2900</v>
      </c>
      <c r="AF505" s="7" t="s">
        <v>2961</v>
      </c>
      <c r="AG505" s="7" t="s">
        <v>2961</v>
      </c>
      <c r="AI505" s="7" t="s">
        <v>4100</v>
      </c>
      <c r="AJ505" s="7" t="s">
        <v>2656</v>
      </c>
      <c r="AK505" s="41">
        <f>Table43[[#This Row],[Harga Jual Pcs GT
(-PPN)]]-(Table43[[#This Row],[Harga Jual Pcs GT
(-PPN)]]*10%)</f>
        <v>0</v>
      </c>
      <c r="AL505" s="42">
        <f>Table43[[#This Row],[Harga Beli Pcs
(-PPN)]]*Table43[[#This Row],[ISI/CTN]]</f>
        <v>0</v>
      </c>
      <c r="AM505" s="42">
        <f>Table43[[#This Row],[Harga Beli Pcs
(-PPN)]]*1.11</f>
        <v>0</v>
      </c>
      <c r="AN505" s="42">
        <f>Table43[[#This Row],[Harga Beli Krt
(- PPN)]]*1.11</f>
        <v>0</v>
      </c>
      <c r="AO505" s="42"/>
      <c r="AP505" s="42">
        <f>Table43[[#This Row],[Harga Jual Pcs GT
(-PPN)]]*Table43[[#This Row],[ISI/CTN]]</f>
        <v>0</v>
      </c>
      <c r="AQ505" s="42">
        <f>Table43[[#This Row],[Harga Jual Pcs GT
(-PPN)]]*1.11</f>
        <v>0</v>
      </c>
      <c r="AR505" s="42">
        <f>Table43[[#This Row],[Harga Jual Krt GT
(- PPN)]]*1.11</f>
        <v>0</v>
      </c>
      <c r="AS505" s="42">
        <f>Table43[[#This Row],[Harga Jual Pcs GT
(-PPN)]]</f>
        <v>0</v>
      </c>
      <c r="AT505" s="42">
        <f>(Table43[[#This Row],[Harga Jual Pcs MT
(-PPN)]]*Table43[[#This Row],[ISI/CTN]])</f>
        <v>0</v>
      </c>
      <c r="AU505" s="42">
        <f>Table43[[#This Row],[Harga Jual Pcs MT
(-PPN)]]*1.11</f>
        <v>0</v>
      </c>
      <c r="AV505" s="42">
        <f>Table43[[#This Row],[Harga Jual Pcs MT
(+PPN)]]*Table43[[#This Row],[ISI/CTN]]</f>
        <v>0</v>
      </c>
      <c r="AW505" s="47"/>
      <c r="AX505" s="7"/>
      <c r="AY505" s="7" t="str">
        <f ca="1">IF(TODAY()-Table43[[#This Row],[Efektif
Pembuatan]]&gt;60,"Lama","Baru")</f>
        <v>Lama</v>
      </c>
      <c r="AZ505" s="7" t="str">
        <f ca="1">IF(TODAY()-Table43[[#This Row],[Efektif Naik Harga]]&lt;30,"Naik","Sama")</f>
        <v>Sama</v>
      </c>
      <c r="BA505" s="7" t="str">
        <f>IF(Table43[[#This Row],[Kode BARANG Win2]]&lt;&gt;"","IDR","")</f>
        <v>IDR</v>
      </c>
      <c r="BB505" s="7" t="str">
        <f>CONCATENATE(Table43[[#This Row],[kode  1 Digit
(Nomor)]],Table43[[#This Row],[kode  4 Digit                (Nomor)]])</f>
        <v>10090</v>
      </c>
      <c r="BC505" s="7" t="str">
        <f>Table43[[#This Row],[Nama            Gramasi atau Jumlah Pack per CTN]]</f>
        <v>90ML</v>
      </c>
      <c r="BD505" s="7"/>
      <c r="BE505" s="7"/>
      <c r="BF505" s="4" t="str">
        <f>IF(Table43[[#This Row],[SATUAN Fix Win]]&lt;&gt;"","KRT")</f>
        <v>KRT</v>
      </c>
      <c r="BG505" s="4" t="str">
        <f>IF(Table43[[#This Row],[SATUAN Fix Win]]&lt;&gt;"","GD01")</f>
        <v>GD01</v>
      </c>
      <c r="BH505" s="4">
        <f>IF(Table43[[#This Row],[SATUAN Fix Win]]&lt;&gt;"",11611)</f>
        <v>11611</v>
      </c>
      <c r="BI505" s="4">
        <f>IF(Table43[[#This Row],[SATUAN Fix Win]]&lt;&gt;"",11612)</f>
        <v>11612</v>
      </c>
      <c r="BJ505" s="48"/>
      <c r="BK505" s="4">
        <f>IF(Table43[[#This Row],[SATUAN Fix Win]]&lt;&gt;"",1)</f>
        <v>1</v>
      </c>
    </row>
    <row r="506" spans="1:63">
      <c r="A506" s="4" t="str">
        <f>CONCATENATE(Table43[[#This Row],[Kode BARANG Win2]],Table43[[#This Row],[No. Urut
Item Sama]])</f>
        <v>K13810010200101</v>
      </c>
      <c r="B506" s="7">
        <v>1</v>
      </c>
      <c r="D506" s="28" t="s">
        <v>595</v>
      </c>
      <c r="E506" s="28"/>
      <c r="F506" s="28" t="s">
        <v>3269</v>
      </c>
      <c r="G506" s="78">
        <v>36</v>
      </c>
      <c r="H506" s="43"/>
      <c r="I506" s="28" t="str">
        <f>Table43[[#This Row],[Nama Jenis Kemasan]]</f>
        <v>BTL</v>
      </c>
      <c r="J506" s="4" t="str">
        <f>TRIM(CONCATENATE(Table43[[#This Row],[Nama            KLP]]," ",Table43[[#This Row],[Nama            Sub KLP]]))</f>
        <v>RESIK V PKW SPA</v>
      </c>
      <c r="K506" s="4" t="str">
        <f>CONCATENATE(Table43[[#This Row],[kode  2 Digit                (hrf+No)]],Table43[[#This Row],[kode  2 Digit                (Nomor)]],Table43[[#This Row],[kode  1 Digit                (Nomor)]])</f>
        <v>K1381</v>
      </c>
      <c r="L506" s="4" t="str">
        <f t="shared" si="24"/>
        <v>K1381001020010</v>
      </c>
      <c r="M506" s="11">
        <f t="shared" si="25"/>
        <v>14</v>
      </c>
      <c r="N506" s="14" t="str">
        <f>IF(AF506&lt;&gt;"",TRIM(UPPER(CONCATENATE(P506," ",R506," ",T506," ",V506," ",X506," ",Z506," ","X"," ",Table43[[#This Row],[ISI/CTN]]," ",AF506," ",AB506," ",AD506," ",AH506))),TRIM(UPPER(CONCATENATE(P506," ",R506," ",T506," ",V506," ",X506," ",Z506," ","X"," ",Table43[[#This Row],[ISI/CTN]]," ",AB506," ",AD506," ",AH506))))</f>
        <v>KNF RESIK V PKW SPA AKAR WANGI 200ML X 36 BTL</v>
      </c>
      <c r="O506" s="11">
        <f t="shared" si="26"/>
        <v>45</v>
      </c>
      <c r="P506" s="4" t="s">
        <v>97</v>
      </c>
      <c r="Q506" s="7" t="s">
        <v>98</v>
      </c>
      <c r="R506" s="4" t="s">
        <v>3921</v>
      </c>
      <c r="S506" s="44" t="s">
        <v>3922</v>
      </c>
      <c r="T506" s="45" t="s">
        <v>3927</v>
      </c>
      <c r="U506" s="7" t="s">
        <v>2656</v>
      </c>
      <c r="V506" s="45" t="s">
        <v>2961</v>
      </c>
      <c r="W506" s="44" t="s">
        <v>2900</v>
      </c>
      <c r="X506" s="4" t="s">
        <v>3928</v>
      </c>
      <c r="Y506" s="46" t="s">
        <v>0</v>
      </c>
      <c r="Z506" s="4" t="s">
        <v>3582</v>
      </c>
      <c r="AA506" s="46" t="s">
        <v>2486</v>
      </c>
      <c r="AB506" s="4" t="s">
        <v>357</v>
      </c>
      <c r="AC506" s="7" t="s">
        <v>2656</v>
      </c>
      <c r="AD506" s="4" t="s">
        <v>2961</v>
      </c>
      <c r="AE506" s="7" t="s">
        <v>2900</v>
      </c>
      <c r="AF506" s="7" t="s">
        <v>2961</v>
      </c>
      <c r="AG506" s="7" t="s">
        <v>2961</v>
      </c>
      <c r="AI506" s="7" t="s">
        <v>4100</v>
      </c>
      <c r="AJ506" s="7" t="s">
        <v>2656</v>
      </c>
      <c r="AK506" s="41">
        <f>Table43[[#This Row],[Harga Jual Pcs GT
(-PPN)]]-(Table43[[#This Row],[Harga Jual Pcs GT
(-PPN)]]*10%)</f>
        <v>0</v>
      </c>
      <c r="AL506" s="42">
        <f>Table43[[#This Row],[Harga Beli Pcs
(-PPN)]]*Table43[[#This Row],[ISI/CTN]]</f>
        <v>0</v>
      </c>
      <c r="AM506" s="42">
        <f>Table43[[#This Row],[Harga Beli Pcs
(-PPN)]]*1.11</f>
        <v>0</v>
      </c>
      <c r="AN506" s="42">
        <f>Table43[[#This Row],[Harga Beli Krt
(- PPN)]]*1.11</f>
        <v>0</v>
      </c>
      <c r="AO506" s="42"/>
      <c r="AP506" s="42">
        <f>Table43[[#This Row],[Harga Jual Pcs GT
(-PPN)]]*Table43[[#This Row],[ISI/CTN]]</f>
        <v>0</v>
      </c>
      <c r="AQ506" s="42">
        <f>Table43[[#This Row],[Harga Jual Pcs GT
(-PPN)]]*1.11</f>
        <v>0</v>
      </c>
      <c r="AR506" s="42">
        <f>Table43[[#This Row],[Harga Jual Krt GT
(- PPN)]]*1.11</f>
        <v>0</v>
      </c>
      <c r="AS506" s="42">
        <f>Table43[[#This Row],[Harga Jual Pcs GT
(-PPN)]]</f>
        <v>0</v>
      </c>
      <c r="AT506" s="42">
        <f>(Table43[[#This Row],[Harga Jual Pcs MT
(-PPN)]]*Table43[[#This Row],[ISI/CTN]])</f>
        <v>0</v>
      </c>
      <c r="AU506" s="42">
        <f>Table43[[#This Row],[Harga Jual Pcs MT
(-PPN)]]*1.11</f>
        <v>0</v>
      </c>
      <c r="AV506" s="42">
        <f>Table43[[#This Row],[Harga Jual Pcs MT
(+PPN)]]*Table43[[#This Row],[ISI/CTN]]</f>
        <v>0</v>
      </c>
      <c r="AW506" s="47"/>
      <c r="AX506" s="7"/>
      <c r="AY506" s="7" t="str">
        <f ca="1">IF(TODAY()-Table43[[#This Row],[Efektif
Pembuatan]]&gt;60,"Lama","Baru")</f>
        <v>Lama</v>
      </c>
      <c r="AZ506" s="7" t="str">
        <f ca="1">IF(TODAY()-Table43[[#This Row],[Efektif Naik Harga]]&lt;30,"Naik","Sama")</f>
        <v>Sama</v>
      </c>
      <c r="BA506" s="7" t="str">
        <f>IF(Table43[[#This Row],[Kode BARANG Win2]]&lt;&gt;"","IDR","")</f>
        <v>IDR</v>
      </c>
      <c r="BB506" s="7" t="str">
        <f>CONCATENATE(Table43[[#This Row],[kode  1 Digit
(Nomor)]],Table43[[#This Row],[kode  4 Digit                (Nomor)]])</f>
        <v>10200</v>
      </c>
      <c r="BC506" s="7" t="str">
        <f>Table43[[#This Row],[Nama            Gramasi atau Jumlah Pack per CTN]]</f>
        <v>200ML</v>
      </c>
      <c r="BD506" s="7"/>
      <c r="BE506" s="7"/>
      <c r="BF506" s="4" t="str">
        <f>IF(Table43[[#This Row],[SATUAN Fix Win]]&lt;&gt;"","KRT")</f>
        <v>KRT</v>
      </c>
      <c r="BG506" s="4" t="str">
        <f>IF(Table43[[#This Row],[SATUAN Fix Win]]&lt;&gt;"","GD01")</f>
        <v>GD01</v>
      </c>
      <c r="BH506" s="4">
        <f>IF(Table43[[#This Row],[SATUAN Fix Win]]&lt;&gt;"",11611)</f>
        <v>11611</v>
      </c>
      <c r="BI506" s="4">
        <f>IF(Table43[[#This Row],[SATUAN Fix Win]]&lt;&gt;"",11612)</f>
        <v>11612</v>
      </c>
      <c r="BJ506" s="48"/>
      <c r="BK506" s="4">
        <f>IF(Table43[[#This Row],[SATUAN Fix Win]]&lt;&gt;"",1)</f>
        <v>1</v>
      </c>
    </row>
    <row r="507" spans="1:63">
      <c r="A507" s="4" t="str">
        <f>CONCATENATE(Table43[[#This Row],[Kode BARANG Win2]],Table43[[#This Row],[No. Urut
Item Sama]])</f>
        <v>K13810020060101</v>
      </c>
      <c r="B507" s="7">
        <v>1</v>
      </c>
      <c r="D507" s="28" t="s">
        <v>590</v>
      </c>
      <c r="E507" s="28"/>
      <c r="F507" s="28" t="s">
        <v>3270</v>
      </c>
      <c r="G507" s="78">
        <v>72</v>
      </c>
      <c r="H507" s="43"/>
      <c r="I507" s="28" t="str">
        <f>Table43[[#This Row],[Nama Jenis Kemasan]]</f>
        <v>BTL</v>
      </c>
      <c r="J507" s="4" t="str">
        <f>TRIM(CONCATENATE(Table43[[#This Row],[Nama            KLP]]," ",Table43[[#This Row],[Nama            Sub KLP]]))</f>
        <v>RESIK V PKW SPA</v>
      </c>
      <c r="K507" s="4" t="str">
        <f>CONCATENATE(Table43[[#This Row],[kode  2 Digit                (hrf+No)]],Table43[[#This Row],[kode  2 Digit                (Nomor)]],Table43[[#This Row],[kode  1 Digit                (Nomor)]])</f>
        <v>K1381</v>
      </c>
      <c r="L507" s="4" t="str">
        <f t="shared" si="24"/>
        <v>K1381002006010</v>
      </c>
      <c r="M507" s="11">
        <f t="shared" si="25"/>
        <v>14</v>
      </c>
      <c r="N507" s="14" t="str">
        <f>IF(AF507&lt;&gt;"",TRIM(UPPER(CONCATENATE(P507," ",R507," ",T507," ",V507," ",X507," ",Z507," ","X"," ",Table43[[#This Row],[ISI/CTN]]," ",AF507," ",AB507," ",AD507," ",AH507))),TRIM(UPPER(CONCATENATE(P507," ",R507," ",T507," ",V507," ",X507," ",Z507," ","X"," ",Table43[[#This Row],[ISI/CTN]]," ",AB507," ",AD507," ",AH507))))</f>
        <v>KNF RESIK V PKW SPA FRANGIPANI 60ML X 72 BTL</v>
      </c>
      <c r="O507" s="11">
        <f t="shared" si="26"/>
        <v>44</v>
      </c>
      <c r="P507" s="4" t="s">
        <v>97</v>
      </c>
      <c r="Q507" s="7" t="s">
        <v>98</v>
      </c>
      <c r="R507" s="4" t="s">
        <v>3921</v>
      </c>
      <c r="S507" s="44" t="s">
        <v>3922</v>
      </c>
      <c r="T507" s="45" t="s">
        <v>3927</v>
      </c>
      <c r="U507" s="7" t="s">
        <v>2656</v>
      </c>
      <c r="V507" s="45" t="s">
        <v>2961</v>
      </c>
      <c r="W507" s="44" t="s">
        <v>2900</v>
      </c>
      <c r="X507" s="4" t="s">
        <v>3929</v>
      </c>
      <c r="Y507" s="46" t="s">
        <v>2472</v>
      </c>
      <c r="Z507" s="4" t="s">
        <v>1026</v>
      </c>
      <c r="AA507" s="46" t="s">
        <v>2481</v>
      </c>
      <c r="AB507" s="4" t="s">
        <v>357</v>
      </c>
      <c r="AC507" s="7" t="s">
        <v>2656</v>
      </c>
      <c r="AD507" s="4" t="s">
        <v>2961</v>
      </c>
      <c r="AE507" s="7" t="s">
        <v>2900</v>
      </c>
      <c r="AF507" s="7" t="s">
        <v>2961</v>
      </c>
      <c r="AG507" s="7" t="s">
        <v>2961</v>
      </c>
      <c r="AI507" s="7" t="s">
        <v>4100</v>
      </c>
      <c r="AJ507" s="7" t="s">
        <v>2656</v>
      </c>
      <c r="AK507" s="41">
        <f>Table43[[#This Row],[Harga Jual Pcs GT
(-PPN)]]-(Table43[[#This Row],[Harga Jual Pcs GT
(-PPN)]]*10%)</f>
        <v>0</v>
      </c>
      <c r="AL507" s="42">
        <f>Table43[[#This Row],[Harga Beli Pcs
(-PPN)]]*Table43[[#This Row],[ISI/CTN]]</f>
        <v>0</v>
      </c>
      <c r="AM507" s="42">
        <f>Table43[[#This Row],[Harga Beli Pcs
(-PPN)]]*1.11</f>
        <v>0</v>
      </c>
      <c r="AN507" s="42">
        <f>Table43[[#This Row],[Harga Beli Krt
(- PPN)]]*1.11</f>
        <v>0</v>
      </c>
      <c r="AO507" s="42"/>
      <c r="AP507" s="42">
        <f>Table43[[#This Row],[Harga Jual Pcs GT
(-PPN)]]*Table43[[#This Row],[ISI/CTN]]</f>
        <v>0</v>
      </c>
      <c r="AQ507" s="42">
        <f>Table43[[#This Row],[Harga Jual Pcs GT
(-PPN)]]*1.11</f>
        <v>0</v>
      </c>
      <c r="AR507" s="42">
        <f>Table43[[#This Row],[Harga Jual Krt GT
(- PPN)]]*1.11</f>
        <v>0</v>
      </c>
      <c r="AS507" s="42">
        <f>Table43[[#This Row],[Harga Jual Pcs GT
(-PPN)]]</f>
        <v>0</v>
      </c>
      <c r="AT507" s="42">
        <f>(Table43[[#This Row],[Harga Jual Pcs MT
(-PPN)]]*Table43[[#This Row],[ISI/CTN]])</f>
        <v>0</v>
      </c>
      <c r="AU507" s="42">
        <f>Table43[[#This Row],[Harga Jual Pcs MT
(-PPN)]]*1.11</f>
        <v>0</v>
      </c>
      <c r="AV507" s="42">
        <f>Table43[[#This Row],[Harga Jual Pcs MT
(+PPN)]]*Table43[[#This Row],[ISI/CTN]]</f>
        <v>0</v>
      </c>
      <c r="AW507" s="47"/>
      <c r="AX507" s="7"/>
      <c r="AY507" s="7" t="str">
        <f ca="1">IF(TODAY()-Table43[[#This Row],[Efektif
Pembuatan]]&gt;60,"Lama","Baru")</f>
        <v>Lama</v>
      </c>
      <c r="AZ507" s="7" t="str">
        <f ca="1">IF(TODAY()-Table43[[#This Row],[Efektif Naik Harga]]&lt;30,"Naik","Sama")</f>
        <v>Sama</v>
      </c>
      <c r="BA507" s="7" t="str">
        <f>IF(Table43[[#This Row],[Kode BARANG Win2]]&lt;&gt;"","IDR","")</f>
        <v>IDR</v>
      </c>
      <c r="BB507" s="7" t="str">
        <f>CONCATENATE(Table43[[#This Row],[kode  1 Digit
(Nomor)]],Table43[[#This Row],[kode  4 Digit                (Nomor)]])</f>
        <v>10060</v>
      </c>
      <c r="BC507" s="7" t="str">
        <f>Table43[[#This Row],[Nama            Gramasi atau Jumlah Pack per CTN]]</f>
        <v>60ML</v>
      </c>
      <c r="BD507" s="7"/>
      <c r="BE507" s="7"/>
      <c r="BF507" s="4" t="str">
        <f>IF(Table43[[#This Row],[SATUAN Fix Win]]&lt;&gt;"","KRT")</f>
        <v>KRT</v>
      </c>
      <c r="BG507" s="4" t="str">
        <f>IF(Table43[[#This Row],[SATUAN Fix Win]]&lt;&gt;"","GD01")</f>
        <v>GD01</v>
      </c>
      <c r="BH507" s="4">
        <f>IF(Table43[[#This Row],[SATUAN Fix Win]]&lt;&gt;"",11611)</f>
        <v>11611</v>
      </c>
      <c r="BI507" s="4">
        <f>IF(Table43[[#This Row],[SATUAN Fix Win]]&lt;&gt;"",11612)</f>
        <v>11612</v>
      </c>
      <c r="BJ507" s="48"/>
      <c r="BK507" s="4">
        <f>IF(Table43[[#This Row],[SATUAN Fix Win]]&lt;&gt;"",1)</f>
        <v>1</v>
      </c>
    </row>
    <row r="508" spans="1:63">
      <c r="A508" s="4" t="str">
        <f>CONCATENATE(Table43[[#This Row],[Kode BARANG Win2]],Table43[[#This Row],[No. Urut
Item Sama]])</f>
        <v>K13810020090101</v>
      </c>
      <c r="B508" s="7">
        <v>1</v>
      </c>
      <c r="D508" s="28" t="s">
        <v>591</v>
      </c>
      <c r="E508" s="28"/>
      <c r="F508" s="28" t="s">
        <v>3271</v>
      </c>
      <c r="G508" s="78">
        <v>36</v>
      </c>
      <c r="H508" s="43"/>
      <c r="I508" s="28" t="str">
        <f>Table43[[#This Row],[Nama Jenis Kemasan]]</f>
        <v>BTL</v>
      </c>
      <c r="J508" s="4" t="str">
        <f>TRIM(CONCATENATE(Table43[[#This Row],[Nama            KLP]]," ",Table43[[#This Row],[Nama            Sub KLP]]))</f>
        <v>RESIK V PKW SPA</v>
      </c>
      <c r="K508" s="4" t="str">
        <f>CONCATENATE(Table43[[#This Row],[kode  2 Digit                (hrf+No)]],Table43[[#This Row],[kode  2 Digit                (Nomor)]],Table43[[#This Row],[kode  1 Digit                (Nomor)]])</f>
        <v>K1381</v>
      </c>
      <c r="L508" s="4" t="str">
        <f t="shared" si="24"/>
        <v>K1381002009010</v>
      </c>
      <c r="M508" s="11">
        <f t="shared" si="25"/>
        <v>14</v>
      </c>
      <c r="N508" s="14" t="str">
        <f>IF(AF508&lt;&gt;"",TRIM(UPPER(CONCATENATE(P508," ",R508," ",T508," ",V508," ",X508," ",Z508," ","X"," ",Table43[[#This Row],[ISI/CTN]]," ",AF508," ",AB508," ",AD508," ",AH508))),TRIM(UPPER(CONCATENATE(P508," ",R508," ",T508," ",V508," ",X508," ",Z508," ","X"," ",Table43[[#This Row],[ISI/CTN]]," ",AB508," ",AD508," ",AH508))))</f>
        <v>KNF RESIK V PKW SPA FRANGIPANI 90ML X 36 BTL</v>
      </c>
      <c r="O508" s="11">
        <f t="shared" si="26"/>
        <v>44</v>
      </c>
      <c r="P508" s="4" t="s">
        <v>97</v>
      </c>
      <c r="Q508" s="7" t="s">
        <v>98</v>
      </c>
      <c r="R508" s="4" t="s">
        <v>3921</v>
      </c>
      <c r="S508" s="44" t="s">
        <v>3922</v>
      </c>
      <c r="T508" s="45" t="s">
        <v>3927</v>
      </c>
      <c r="U508" s="7" t="s">
        <v>2656</v>
      </c>
      <c r="V508" s="45" t="s">
        <v>2961</v>
      </c>
      <c r="W508" s="44" t="s">
        <v>2900</v>
      </c>
      <c r="X508" s="4" t="s">
        <v>3929</v>
      </c>
      <c r="Y508" s="46" t="s">
        <v>2472</v>
      </c>
      <c r="Z508" s="4" t="s">
        <v>3918</v>
      </c>
      <c r="AA508" s="46" t="s">
        <v>2509</v>
      </c>
      <c r="AB508" s="4" t="s">
        <v>357</v>
      </c>
      <c r="AC508" s="7" t="s">
        <v>2656</v>
      </c>
      <c r="AD508" s="4" t="s">
        <v>2961</v>
      </c>
      <c r="AE508" s="7" t="s">
        <v>2900</v>
      </c>
      <c r="AF508" s="7" t="s">
        <v>2961</v>
      </c>
      <c r="AG508" s="7" t="s">
        <v>2961</v>
      </c>
      <c r="AI508" s="7" t="s">
        <v>4100</v>
      </c>
      <c r="AJ508" s="7" t="s">
        <v>2656</v>
      </c>
      <c r="AK508" s="41">
        <f>Table43[[#This Row],[Harga Jual Pcs GT
(-PPN)]]-(Table43[[#This Row],[Harga Jual Pcs GT
(-PPN)]]*10%)</f>
        <v>0</v>
      </c>
      <c r="AL508" s="42">
        <f>Table43[[#This Row],[Harga Beli Pcs
(-PPN)]]*Table43[[#This Row],[ISI/CTN]]</f>
        <v>0</v>
      </c>
      <c r="AM508" s="42">
        <f>Table43[[#This Row],[Harga Beli Pcs
(-PPN)]]*1.11</f>
        <v>0</v>
      </c>
      <c r="AN508" s="42">
        <f>Table43[[#This Row],[Harga Beli Krt
(- PPN)]]*1.11</f>
        <v>0</v>
      </c>
      <c r="AO508" s="42"/>
      <c r="AP508" s="42">
        <f>Table43[[#This Row],[Harga Jual Pcs GT
(-PPN)]]*Table43[[#This Row],[ISI/CTN]]</f>
        <v>0</v>
      </c>
      <c r="AQ508" s="42">
        <f>Table43[[#This Row],[Harga Jual Pcs GT
(-PPN)]]*1.11</f>
        <v>0</v>
      </c>
      <c r="AR508" s="42">
        <f>Table43[[#This Row],[Harga Jual Krt GT
(- PPN)]]*1.11</f>
        <v>0</v>
      </c>
      <c r="AS508" s="42">
        <f>Table43[[#This Row],[Harga Jual Pcs GT
(-PPN)]]</f>
        <v>0</v>
      </c>
      <c r="AT508" s="42">
        <f>(Table43[[#This Row],[Harga Jual Pcs MT
(-PPN)]]*Table43[[#This Row],[ISI/CTN]])</f>
        <v>0</v>
      </c>
      <c r="AU508" s="42">
        <f>Table43[[#This Row],[Harga Jual Pcs MT
(-PPN)]]*1.11</f>
        <v>0</v>
      </c>
      <c r="AV508" s="42">
        <f>Table43[[#This Row],[Harga Jual Pcs MT
(+PPN)]]*Table43[[#This Row],[ISI/CTN]]</f>
        <v>0</v>
      </c>
      <c r="AW508" s="47"/>
      <c r="AX508" s="7"/>
      <c r="AY508" s="7" t="str">
        <f ca="1">IF(TODAY()-Table43[[#This Row],[Efektif
Pembuatan]]&gt;60,"Lama","Baru")</f>
        <v>Lama</v>
      </c>
      <c r="AZ508" s="7" t="str">
        <f ca="1">IF(TODAY()-Table43[[#This Row],[Efektif Naik Harga]]&lt;30,"Naik","Sama")</f>
        <v>Sama</v>
      </c>
      <c r="BA508" s="7" t="str">
        <f>IF(Table43[[#This Row],[Kode BARANG Win2]]&lt;&gt;"","IDR","")</f>
        <v>IDR</v>
      </c>
      <c r="BB508" s="7" t="str">
        <f>CONCATENATE(Table43[[#This Row],[kode  1 Digit
(Nomor)]],Table43[[#This Row],[kode  4 Digit                (Nomor)]])</f>
        <v>10090</v>
      </c>
      <c r="BC508" s="7" t="str">
        <f>Table43[[#This Row],[Nama            Gramasi atau Jumlah Pack per CTN]]</f>
        <v>90ML</v>
      </c>
      <c r="BD508" s="7"/>
      <c r="BE508" s="7"/>
      <c r="BF508" s="4" t="str">
        <f>IF(Table43[[#This Row],[SATUAN Fix Win]]&lt;&gt;"","KRT")</f>
        <v>KRT</v>
      </c>
      <c r="BG508" s="4" t="str">
        <f>IF(Table43[[#This Row],[SATUAN Fix Win]]&lt;&gt;"","GD01")</f>
        <v>GD01</v>
      </c>
      <c r="BH508" s="4">
        <f>IF(Table43[[#This Row],[SATUAN Fix Win]]&lt;&gt;"",11611)</f>
        <v>11611</v>
      </c>
      <c r="BI508" s="4">
        <f>IF(Table43[[#This Row],[SATUAN Fix Win]]&lt;&gt;"",11612)</f>
        <v>11612</v>
      </c>
      <c r="BJ508" s="48"/>
      <c r="BK508" s="4">
        <f>IF(Table43[[#This Row],[SATUAN Fix Win]]&lt;&gt;"",1)</f>
        <v>1</v>
      </c>
    </row>
    <row r="509" spans="1:63">
      <c r="A509" s="4" t="str">
        <f>CONCATENATE(Table43[[#This Row],[Kode BARANG Win2]],Table43[[#This Row],[No. Urut
Item Sama]])</f>
        <v>K13810020200101</v>
      </c>
      <c r="B509" s="7">
        <v>1</v>
      </c>
      <c r="D509" s="28" t="s">
        <v>592</v>
      </c>
      <c r="E509" s="28"/>
      <c r="F509" s="28" t="s">
        <v>3272</v>
      </c>
      <c r="G509" s="78">
        <v>36</v>
      </c>
      <c r="H509" s="43"/>
      <c r="I509" s="28" t="str">
        <f>Table43[[#This Row],[Nama Jenis Kemasan]]</f>
        <v>BTL</v>
      </c>
      <c r="J509" s="4" t="str">
        <f>TRIM(CONCATENATE(Table43[[#This Row],[Nama            KLP]]," ",Table43[[#This Row],[Nama            Sub KLP]]))</f>
        <v>RESIK V PKW SPA</v>
      </c>
      <c r="K509" s="4" t="str">
        <f>CONCATENATE(Table43[[#This Row],[kode  2 Digit                (hrf+No)]],Table43[[#This Row],[kode  2 Digit                (Nomor)]],Table43[[#This Row],[kode  1 Digit                (Nomor)]])</f>
        <v>K1381</v>
      </c>
      <c r="L509" s="4" t="str">
        <f t="shared" si="24"/>
        <v>K1381002020010</v>
      </c>
      <c r="M509" s="11">
        <f t="shared" si="25"/>
        <v>14</v>
      </c>
      <c r="N509" s="14" t="str">
        <f>IF(AF509&lt;&gt;"",TRIM(UPPER(CONCATENATE(P509," ",R509," ",T509," ",V509," ",X509," ",Z509," ","X"," ",Table43[[#This Row],[ISI/CTN]]," ",AF509," ",AB509," ",AD509," ",AH509))),TRIM(UPPER(CONCATENATE(P509," ",R509," ",T509," ",V509," ",X509," ",Z509," ","X"," ",Table43[[#This Row],[ISI/CTN]]," ",AB509," ",AD509," ",AH509))))</f>
        <v>KNF RESIK V PKW SPA FRANGIPANI 200ML X 36 BTL</v>
      </c>
      <c r="O509" s="11">
        <f t="shared" si="26"/>
        <v>45</v>
      </c>
      <c r="P509" s="4" t="s">
        <v>97</v>
      </c>
      <c r="Q509" s="7" t="s">
        <v>98</v>
      </c>
      <c r="R509" s="4" t="s">
        <v>3921</v>
      </c>
      <c r="S509" s="44" t="s">
        <v>3922</v>
      </c>
      <c r="T509" s="45" t="s">
        <v>3927</v>
      </c>
      <c r="U509" s="7" t="s">
        <v>2656</v>
      </c>
      <c r="V509" s="45" t="s">
        <v>2961</v>
      </c>
      <c r="W509" s="44" t="s">
        <v>2900</v>
      </c>
      <c r="X509" s="4" t="s">
        <v>3929</v>
      </c>
      <c r="Y509" s="46" t="s">
        <v>2472</v>
      </c>
      <c r="Z509" s="4" t="s">
        <v>3582</v>
      </c>
      <c r="AA509" s="46" t="s">
        <v>2486</v>
      </c>
      <c r="AB509" s="4" t="s">
        <v>357</v>
      </c>
      <c r="AC509" s="7" t="s">
        <v>2656</v>
      </c>
      <c r="AD509" s="4" t="s">
        <v>2961</v>
      </c>
      <c r="AE509" s="7" t="s">
        <v>2900</v>
      </c>
      <c r="AF509" s="7" t="s">
        <v>2961</v>
      </c>
      <c r="AG509" s="7" t="s">
        <v>2961</v>
      </c>
      <c r="AI509" s="7" t="s">
        <v>4100</v>
      </c>
      <c r="AJ509" s="7" t="s">
        <v>2656</v>
      </c>
      <c r="AK509" s="41">
        <f>Table43[[#This Row],[Harga Jual Pcs GT
(-PPN)]]-(Table43[[#This Row],[Harga Jual Pcs GT
(-PPN)]]*10%)</f>
        <v>0</v>
      </c>
      <c r="AL509" s="42">
        <f>Table43[[#This Row],[Harga Beli Pcs
(-PPN)]]*Table43[[#This Row],[ISI/CTN]]</f>
        <v>0</v>
      </c>
      <c r="AM509" s="42">
        <f>Table43[[#This Row],[Harga Beli Pcs
(-PPN)]]*1.11</f>
        <v>0</v>
      </c>
      <c r="AN509" s="42">
        <f>Table43[[#This Row],[Harga Beli Krt
(- PPN)]]*1.11</f>
        <v>0</v>
      </c>
      <c r="AO509" s="42"/>
      <c r="AP509" s="42">
        <f>Table43[[#This Row],[Harga Jual Pcs GT
(-PPN)]]*Table43[[#This Row],[ISI/CTN]]</f>
        <v>0</v>
      </c>
      <c r="AQ509" s="42">
        <f>Table43[[#This Row],[Harga Jual Pcs GT
(-PPN)]]*1.11</f>
        <v>0</v>
      </c>
      <c r="AR509" s="42">
        <f>Table43[[#This Row],[Harga Jual Krt GT
(- PPN)]]*1.11</f>
        <v>0</v>
      </c>
      <c r="AS509" s="42">
        <f>Table43[[#This Row],[Harga Jual Pcs GT
(-PPN)]]</f>
        <v>0</v>
      </c>
      <c r="AT509" s="42">
        <f>(Table43[[#This Row],[Harga Jual Pcs MT
(-PPN)]]*Table43[[#This Row],[ISI/CTN]])</f>
        <v>0</v>
      </c>
      <c r="AU509" s="42">
        <f>Table43[[#This Row],[Harga Jual Pcs MT
(-PPN)]]*1.11</f>
        <v>0</v>
      </c>
      <c r="AV509" s="42">
        <f>Table43[[#This Row],[Harga Jual Pcs MT
(+PPN)]]*Table43[[#This Row],[ISI/CTN]]</f>
        <v>0</v>
      </c>
      <c r="AW509" s="47"/>
      <c r="AX509" s="7"/>
      <c r="AY509" s="7" t="str">
        <f ca="1">IF(TODAY()-Table43[[#This Row],[Efektif
Pembuatan]]&gt;60,"Lama","Baru")</f>
        <v>Lama</v>
      </c>
      <c r="AZ509" s="7" t="str">
        <f ca="1">IF(TODAY()-Table43[[#This Row],[Efektif Naik Harga]]&lt;30,"Naik","Sama")</f>
        <v>Sama</v>
      </c>
      <c r="BA509" s="7" t="str">
        <f>IF(Table43[[#This Row],[Kode BARANG Win2]]&lt;&gt;"","IDR","")</f>
        <v>IDR</v>
      </c>
      <c r="BB509" s="7" t="str">
        <f>CONCATENATE(Table43[[#This Row],[kode  1 Digit
(Nomor)]],Table43[[#This Row],[kode  4 Digit                (Nomor)]])</f>
        <v>10200</v>
      </c>
      <c r="BC509" s="7" t="str">
        <f>Table43[[#This Row],[Nama            Gramasi atau Jumlah Pack per CTN]]</f>
        <v>200ML</v>
      </c>
      <c r="BD509" s="7"/>
      <c r="BE509" s="7"/>
      <c r="BF509" s="4" t="str">
        <f>IF(Table43[[#This Row],[SATUAN Fix Win]]&lt;&gt;"","KRT")</f>
        <v>KRT</v>
      </c>
      <c r="BG509" s="4" t="str">
        <f>IF(Table43[[#This Row],[SATUAN Fix Win]]&lt;&gt;"","GD01")</f>
        <v>GD01</v>
      </c>
      <c r="BH509" s="4">
        <f>IF(Table43[[#This Row],[SATUAN Fix Win]]&lt;&gt;"",11611)</f>
        <v>11611</v>
      </c>
      <c r="BI509" s="4">
        <f>IF(Table43[[#This Row],[SATUAN Fix Win]]&lt;&gt;"",11612)</f>
        <v>11612</v>
      </c>
      <c r="BJ509" s="48"/>
      <c r="BK509" s="4">
        <f>IF(Table43[[#This Row],[SATUAN Fix Win]]&lt;&gt;"",1)</f>
        <v>1</v>
      </c>
    </row>
    <row r="510" spans="1:63">
      <c r="A510" s="4" t="str">
        <f>CONCATENATE(Table43[[#This Row],[Kode BARANG Win2]],Table43[[#This Row],[No. Urut
Item Sama]])</f>
        <v>K13900010050101</v>
      </c>
      <c r="B510" s="7">
        <v>1</v>
      </c>
      <c r="D510" s="28" t="s">
        <v>599</v>
      </c>
      <c r="E510" s="28"/>
      <c r="F510" s="28" t="s">
        <v>3273</v>
      </c>
      <c r="G510" s="78">
        <v>72</v>
      </c>
      <c r="H510" s="43"/>
      <c r="I510" s="28" t="str">
        <f>Table43[[#This Row],[Nama Jenis Kemasan]]</f>
        <v>BTL</v>
      </c>
      <c r="J510" s="4" t="str">
        <f>TRIM(CONCATENATE(Table43[[#This Row],[Nama            KLP]]," ",Table43[[#This Row],[Nama            Sub KLP]]))</f>
        <v>RESIK V RAMUAN MADURA</v>
      </c>
      <c r="K510" s="4" t="str">
        <f>CONCATENATE(Table43[[#This Row],[kode  2 Digit                (hrf+No)]],Table43[[#This Row],[kode  2 Digit                (Nomor)]],Table43[[#This Row],[kode  1 Digit                (Nomor)]])</f>
        <v>K1390</v>
      </c>
      <c r="L510" s="4" t="str">
        <f t="shared" si="24"/>
        <v>K1390001005010</v>
      </c>
      <c r="M510" s="11">
        <f t="shared" si="25"/>
        <v>14</v>
      </c>
      <c r="N510" s="14" t="str">
        <f>IF(AF510&lt;&gt;"",TRIM(UPPER(CONCATENATE(P510," ",R510," ",T510," ",V510," ",X510," ",Z510," ","X"," ",Table43[[#This Row],[ISI/CTN]]," ",AF510," ",AB510," ",AD510," ",AH510))),TRIM(UPPER(CONCATENATE(P510," ",R510," ",T510," ",V510," ",X510," ",Z510," ","X"," ",Table43[[#This Row],[ISI/CTN]]," ",AB510," ",AD510," ",AH510))))</f>
        <v>KNF RESIK V RAMUAN MADURA WHITENING 50ML X 72 BTL</v>
      </c>
      <c r="O510" s="11">
        <f t="shared" si="26"/>
        <v>49</v>
      </c>
      <c r="P510" s="4" t="s">
        <v>97</v>
      </c>
      <c r="Q510" s="7" t="s">
        <v>98</v>
      </c>
      <c r="R510" s="4" t="s">
        <v>3930</v>
      </c>
      <c r="S510" s="44" t="s">
        <v>3931</v>
      </c>
      <c r="T510" s="45" t="s">
        <v>2961</v>
      </c>
      <c r="U510" s="7" t="s">
        <v>2900</v>
      </c>
      <c r="V510" s="45" t="s">
        <v>2961</v>
      </c>
      <c r="W510" s="44" t="s">
        <v>2900</v>
      </c>
      <c r="X510" s="4" t="s">
        <v>3871</v>
      </c>
      <c r="Y510" s="46" t="s">
        <v>0</v>
      </c>
      <c r="Z510" s="4" t="s">
        <v>3654</v>
      </c>
      <c r="AA510" s="46" t="s">
        <v>2490</v>
      </c>
      <c r="AB510" s="4" t="s">
        <v>357</v>
      </c>
      <c r="AC510" s="7" t="s">
        <v>2656</v>
      </c>
      <c r="AD510" s="4" t="s">
        <v>2961</v>
      </c>
      <c r="AE510" s="7" t="s">
        <v>2900</v>
      </c>
      <c r="AF510" s="7" t="s">
        <v>2961</v>
      </c>
      <c r="AG510" s="7" t="s">
        <v>2961</v>
      </c>
      <c r="AI510" s="7" t="s">
        <v>4100</v>
      </c>
      <c r="AJ510" s="7" t="s">
        <v>2656</v>
      </c>
      <c r="AK510" s="41">
        <f>Table43[[#This Row],[Harga Jual Pcs GT
(-PPN)]]-(Table43[[#This Row],[Harga Jual Pcs GT
(-PPN)]]*10%)</f>
        <v>0</v>
      </c>
      <c r="AL510" s="42">
        <f>Table43[[#This Row],[Harga Beli Pcs
(-PPN)]]*Table43[[#This Row],[ISI/CTN]]</f>
        <v>0</v>
      </c>
      <c r="AM510" s="42">
        <f>Table43[[#This Row],[Harga Beli Pcs
(-PPN)]]*1.11</f>
        <v>0</v>
      </c>
      <c r="AN510" s="42">
        <f>Table43[[#This Row],[Harga Beli Krt
(- PPN)]]*1.11</f>
        <v>0</v>
      </c>
      <c r="AO510" s="42"/>
      <c r="AP510" s="42">
        <f>Table43[[#This Row],[Harga Jual Pcs GT
(-PPN)]]*Table43[[#This Row],[ISI/CTN]]</f>
        <v>0</v>
      </c>
      <c r="AQ510" s="42">
        <f>Table43[[#This Row],[Harga Jual Pcs GT
(-PPN)]]*1.11</f>
        <v>0</v>
      </c>
      <c r="AR510" s="42">
        <f>Table43[[#This Row],[Harga Jual Krt GT
(- PPN)]]*1.11</f>
        <v>0</v>
      </c>
      <c r="AS510" s="42">
        <f>Table43[[#This Row],[Harga Jual Pcs GT
(-PPN)]]</f>
        <v>0</v>
      </c>
      <c r="AT510" s="42">
        <f>(Table43[[#This Row],[Harga Jual Pcs MT
(-PPN)]]*Table43[[#This Row],[ISI/CTN]])</f>
        <v>0</v>
      </c>
      <c r="AU510" s="42">
        <f>Table43[[#This Row],[Harga Jual Pcs MT
(-PPN)]]*1.11</f>
        <v>0</v>
      </c>
      <c r="AV510" s="42">
        <f>Table43[[#This Row],[Harga Jual Pcs MT
(+PPN)]]*Table43[[#This Row],[ISI/CTN]]</f>
        <v>0</v>
      </c>
      <c r="AW510" s="47"/>
      <c r="AX510" s="7"/>
      <c r="AY510" s="7" t="str">
        <f ca="1">IF(TODAY()-Table43[[#This Row],[Efektif
Pembuatan]]&gt;60,"Lama","Baru")</f>
        <v>Lama</v>
      </c>
      <c r="AZ510" s="7" t="str">
        <f ca="1">IF(TODAY()-Table43[[#This Row],[Efektif Naik Harga]]&lt;30,"Naik","Sama")</f>
        <v>Sama</v>
      </c>
      <c r="BA510" s="7" t="str">
        <f>IF(Table43[[#This Row],[Kode BARANG Win2]]&lt;&gt;"","IDR","")</f>
        <v>IDR</v>
      </c>
      <c r="BB510" s="7" t="str">
        <f>CONCATENATE(Table43[[#This Row],[kode  1 Digit
(Nomor)]],Table43[[#This Row],[kode  4 Digit                (Nomor)]])</f>
        <v>10050</v>
      </c>
      <c r="BC510" s="7" t="str">
        <f>Table43[[#This Row],[Nama            Gramasi atau Jumlah Pack per CTN]]</f>
        <v>50ML</v>
      </c>
      <c r="BD510" s="7"/>
      <c r="BE510" s="7"/>
      <c r="BF510" s="4" t="str">
        <f>IF(Table43[[#This Row],[SATUAN Fix Win]]&lt;&gt;"","KRT")</f>
        <v>KRT</v>
      </c>
      <c r="BG510" s="4" t="str">
        <f>IF(Table43[[#This Row],[SATUAN Fix Win]]&lt;&gt;"","GD01")</f>
        <v>GD01</v>
      </c>
      <c r="BH510" s="4">
        <f>IF(Table43[[#This Row],[SATUAN Fix Win]]&lt;&gt;"",11611)</f>
        <v>11611</v>
      </c>
      <c r="BI510" s="4">
        <f>IF(Table43[[#This Row],[SATUAN Fix Win]]&lt;&gt;"",11612)</f>
        <v>11612</v>
      </c>
      <c r="BJ510" s="48"/>
      <c r="BK510" s="4">
        <f>IF(Table43[[#This Row],[SATUAN Fix Win]]&lt;&gt;"",1)</f>
        <v>1</v>
      </c>
    </row>
    <row r="511" spans="1:63">
      <c r="A511" s="4" t="str">
        <f>CONCATENATE(Table43[[#This Row],[Kode BARANG Win2]],Table43[[#This Row],[No. Urut
Item Sama]])</f>
        <v>K13900010090101</v>
      </c>
      <c r="B511" s="7">
        <v>1</v>
      </c>
      <c r="D511" s="28" t="s">
        <v>600</v>
      </c>
      <c r="E511" s="28"/>
      <c r="F511" s="28" t="s">
        <v>3274</v>
      </c>
      <c r="G511" s="78">
        <v>36</v>
      </c>
      <c r="H511" s="43"/>
      <c r="I511" s="28" t="str">
        <f>Table43[[#This Row],[Nama Jenis Kemasan]]</f>
        <v>BTL</v>
      </c>
      <c r="J511" s="4" t="str">
        <f>TRIM(CONCATENATE(Table43[[#This Row],[Nama            KLP]]," ",Table43[[#This Row],[Nama            Sub KLP]]))</f>
        <v>RESIK V RAMUAN MADURA</v>
      </c>
      <c r="K511" s="4" t="str">
        <f>CONCATENATE(Table43[[#This Row],[kode  2 Digit                (hrf+No)]],Table43[[#This Row],[kode  2 Digit                (Nomor)]],Table43[[#This Row],[kode  1 Digit                (Nomor)]])</f>
        <v>K1390</v>
      </c>
      <c r="L511" s="4" t="str">
        <f t="shared" si="24"/>
        <v>K1390001009010</v>
      </c>
      <c r="M511" s="11">
        <f t="shared" si="25"/>
        <v>14</v>
      </c>
      <c r="N511" s="14" t="str">
        <f>IF(AF511&lt;&gt;"",TRIM(UPPER(CONCATENATE(P511," ",R511," ",T511," ",V511," ",X511," ",Z511," ","X"," ",Table43[[#This Row],[ISI/CTN]]," ",AF511," ",AB511," ",AD511," ",AH511))),TRIM(UPPER(CONCATENATE(P511," ",R511," ",T511," ",V511," ",X511," ",Z511," ","X"," ",Table43[[#This Row],[ISI/CTN]]," ",AB511," ",AD511," ",AH511))))</f>
        <v>KNF RESIK V RAMUAN MADURA WHITENING 90ML X 36 BTL</v>
      </c>
      <c r="O511" s="11">
        <f t="shared" si="26"/>
        <v>49</v>
      </c>
      <c r="P511" s="4" t="s">
        <v>97</v>
      </c>
      <c r="Q511" s="7" t="s">
        <v>98</v>
      </c>
      <c r="R511" s="4" t="s">
        <v>3930</v>
      </c>
      <c r="S511" s="44" t="s">
        <v>3931</v>
      </c>
      <c r="T511" s="45" t="s">
        <v>2961</v>
      </c>
      <c r="U511" s="7" t="s">
        <v>2900</v>
      </c>
      <c r="V511" s="45" t="s">
        <v>2961</v>
      </c>
      <c r="W511" s="44" t="s">
        <v>2900</v>
      </c>
      <c r="X511" s="4" t="s">
        <v>3871</v>
      </c>
      <c r="Y511" s="46" t="s">
        <v>0</v>
      </c>
      <c r="Z511" s="4" t="s">
        <v>3918</v>
      </c>
      <c r="AA511" s="46" t="s">
        <v>2509</v>
      </c>
      <c r="AB511" s="4" t="s">
        <v>357</v>
      </c>
      <c r="AC511" s="7" t="s">
        <v>2656</v>
      </c>
      <c r="AD511" s="4" t="s">
        <v>2961</v>
      </c>
      <c r="AE511" s="7" t="s">
        <v>2900</v>
      </c>
      <c r="AF511" s="7" t="s">
        <v>2961</v>
      </c>
      <c r="AG511" s="7" t="s">
        <v>2961</v>
      </c>
      <c r="AI511" s="7" t="s">
        <v>4100</v>
      </c>
      <c r="AJ511" s="7" t="s">
        <v>2656</v>
      </c>
      <c r="AK511" s="41">
        <f>Table43[[#This Row],[Harga Jual Pcs GT
(-PPN)]]-(Table43[[#This Row],[Harga Jual Pcs GT
(-PPN)]]*10%)</f>
        <v>0</v>
      </c>
      <c r="AL511" s="42">
        <f>Table43[[#This Row],[Harga Beli Pcs
(-PPN)]]*Table43[[#This Row],[ISI/CTN]]</f>
        <v>0</v>
      </c>
      <c r="AM511" s="42">
        <f>Table43[[#This Row],[Harga Beli Pcs
(-PPN)]]*1.11</f>
        <v>0</v>
      </c>
      <c r="AN511" s="42">
        <f>Table43[[#This Row],[Harga Beli Krt
(- PPN)]]*1.11</f>
        <v>0</v>
      </c>
      <c r="AO511" s="42"/>
      <c r="AP511" s="42">
        <f>Table43[[#This Row],[Harga Jual Pcs GT
(-PPN)]]*Table43[[#This Row],[ISI/CTN]]</f>
        <v>0</v>
      </c>
      <c r="AQ511" s="42">
        <f>Table43[[#This Row],[Harga Jual Pcs GT
(-PPN)]]*1.11</f>
        <v>0</v>
      </c>
      <c r="AR511" s="42">
        <f>Table43[[#This Row],[Harga Jual Krt GT
(- PPN)]]*1.11</f>
        <v>0</v>
      </c>
      <c r="AS511" s="42">
        <f>Table43[[#This Row],[Harga Jual Pcs GT
(-PPN)]]</f>
        <v>0</v>
      </c>
      <c r="AT511" s="42">
        <f>(Table43[[#This Row],[Harga Jual Pcs MT
(-PPN)]]*Table43[[#This Row],[ISI/CTN]])</f>
        <v>0</v>
      </c>
      <c r="AU511" s="42">
        <f>Table43[[#This Row],[Harga Jual Pcs MT
(-PPN)]]*1.11</f>
        <v>0</v>
      </c>
      <c r="AV511" s="42">
        <f>Table43[[#This Row],[Harga Jual Pcs MT
(+PPN)]]*Table43[[#This Row],[ISI/CTN]]</f>
        <v>0</v>
      </c>
      <c r="AW511" s="47"/>
      <c r="AX511" s="7"/>
      <c r="AY511" s="7" t="str">
        <f ca="1">IF(TODAY()-Table43[[#This Row],[Efektif
Pembuatan]]&gt;60,"Lama","Baru")</f>
        <v>Lama</v>
      </c>
      <c r="AZ511" s="7" t="str">
        <f ca="1">IF(TODAY()-Table43[[#This Row],[Efektif Naik Harga]]&lt;30,"Naik","Sama")</f>
        <v>Sama</v>
      </c>
      <c r="BA511" s="7" t="str">
        <f>IF(Table43[[#This Row],[Kode BARANG Win2]]&lt;&gt;"","IDR","")</f>
        <v>IDR</v>
      </c>
      <c r="BB511" s="7" t="str">
        <f>CONCATENATE(Table43[[#This Row],[kode  1 Digit
(Nomor)]],Table43[[#This Row],[kode  4 Digit                (Nomor)]])</f>
        <v>10090</v>
      </c>
      <c r="BC511" s="7" t="str">
        <f>Table43[[#This Row],[Nama            Gramasi atau Jumlah Pack per CTN]]</f>
        <v>90ML</v>
      </c>
      <c r="BD511" s="7"/>
      <c r="BE511" s="7"/>
      <c r="BF511" s="4" t="str">
        <f>IF(Table43[[#This Row],[SATUAN Fix Win]]&lt;&gt;"","KRT")</f>
        <v>KRT</v>
      </c>
      <c r="BG511" s="4" t="str">
        <f>IF(Table43[[#This Row],[SATUAN Fix Win]]&lt;&gt;"","GD01")</f>
        <v>GD01</v>
      </c>
      <c r="BH511" s="4">
        <f>IF(Table43[[#This Row],[SATUAN Fix Win]]&lt;&gt;"",11611)</f>
        <v>11611</v>
      </c>
      <c r="BI511" s="4">
        <f>IF(Table43[[#This Row],[SATUAN Fix Win]]&lt;&gt;"",11612)</f>
        <v>11612</v>
      </c>
      <c r="BJ511" s="48"/>
      <c r="BK511" s="4">
        <f>IF(Table43[[#This Row],[SATUAN Fix Win]]&lt;&gt;"",1)</f>
        <v>1</v>
      </c>
    </row>
    <row r="512" spans="1:63">
      <c r="A512" s="4" t="str">
        <f>CONCATENATE(Table43[[#This Row],[Kode BARANG Win2]],Table43[[#This Row],[No. Urut
Item Sama]])</f>
        <v>K13900010200101</v>
      </c>
      <c r="B512" s="7">
        <v>1</v>
      </c>
      <c r="D512" s="28" t="s">
        <v>601</v>
      </c>
      <c r="E512" s="28"/>
      <c r="F512" s="28" t="s">
        <v>3275</v>
      </c>
      <c r="G512" s="78">
        <v>36</v>
      </c>
      <c r="H512" s="43"/>
      <c r="I512" s="28" t="str">
        <f>Table43[[#This Row],[Nama Jenis Kemasan]]</f>
        <v>BTL</v>
      </c>
      <c r="J512" s="4" t="str">
        <f>TRIM(CONCATENATE(Table43[[#This Row],[Nama            KLP]]," ",Table43[[#This Row],[Nama            Sub KLP]]))</f>
        <v>RESIK V RAMUAN MADURA</v>
      </c>
      <c r="K512" s="4" t="str">
        <f>CONCATENATE(Table43[[#This Row],[kode  2 Digit                (hrf+No)]],Table43[[#This Row],[kode  2 Digit                (Nomor)]],Table43[[#This Row],[kode  1 Digit                (Nomor)]])</f>
        <v>K1390</v>
      </c>
      <c r="L512" s="4" t="str">
        <f t="shared" si="24"/>
        <v>K1390001020010</v>
      </c>
      <c r="M512" s="11">
        <f t="shared" si="25"/>
        <v>14</v>
      </c>
      <c r="N512" s="14" t="str">
        <f>IF(AF512&lt;&gt;"",TRIM(UPPER(CONCATENATE(P512," ",R512," ",T512," ",V512," ",X512," ",Z512," ","X"," ",Table43[[#This Row],[ISI/CTN]]," ",AF512," ",AB512," ",AD512," ",AH512))),TRIM(UPPER(CONCATENATE(P512," ",R512," ",T512," ",V512," ",X512," ",Z512," ","X"," ",Table43[[#This Row],[ISI/CTN]]," ",AB512," ",AD512," ",AH512))))</f>
        <v>KNF RESIK V RAMUAN MADURA WHITENING 200ML X 36 BTL</v>
      </c>
      <c r="O512" s="11">
        <f t="shared" si="26"/>
        <v>50</v>
      </c>
      <c r="P512" s="4" t="s">
        <v>97</v>
      </c>
      <c r="Q512" s="7" t="s">
        <v>98</v>
      </c>
      <c r="R512" s="4" t="s">
        <v>3930</v>
      </c>
      <c r="S512" s="44" t="s">
        <v>3931</v>
      </c>
      <c r="T512" s="45" t="s">
        <v>2961</v>
      </c>
      <c r="U512" s="7" t="s">
        <v>2900</v>
      </c>
      <c r="V512" s="45" t="s">
        <v>2961</v>
      </c>
      <c r="W512" s="44" t="s">
        <v>2900</v>
      </c>
      <c r="X512" s="4" t="s">
        <v>3871</v>
      </c>
      <c r="Y512" s="46" t="s">
        <v>0</v>
      </c>
      <c r="Z512" s="4" t="s">
        <v>3582</v>
      </c>
      <c r="AA512" s="46" t="s">
        <v>2486</v>
      </c>
      <c r="AB512" s="4" t="s">
        <v>357</v>
      </c>
      <c r="AC512" s="7" t="s">
        <v>2656</v>
      </c>
      <c r="AD512" s="4" t="s">
        <v>2961</v>
      </c>
      <c r="AE512" s="7" t="s">
        <v>2900</v>
      </c>
      <c r="AF512" s="7" t="s">
        <v>2961</v>
      </c>
      <c r="AG512" s="7" t="s">
        <v>2961</v>
      </c>
      <c r="AI512" s="7" t="s">
        <v>4100</v>
      </c>
      <c r="AJ512" s="7" t="s">
        <v>2656</v>
      </c>
      <c r="AK512" s="41">
        <f>Table43[[#This Row],[Harga Jual Pcs GT
(-PPN)]]-(Table43[[#This Row],[Harga Jual Pcs GT
(-PPN)]]*10%)</f>
        <v>0</v>
      </c>
      <c r="AL512" s="42">
        <f>Table43[[#This Row],[Harga Beli Pcs
(-PPN)]]*Table43[[#This Row],[ISI/CTN]]</f>
        <v>0</v>
      </c>
      <c r="AM512" s="42">
        <f>Table43[[#This Row],[Harga Beli Pcs
(-PPN)]]*1.11</f>
        <v>0</v>
      </c>
      <c r="AN512" s="42">
        <f>Table43[[#This Row],[Harga Beli Krt
(- PPN)]]*1.11</f>
        <v>0</v>
      </c>
      <c r="AO512" s="42"/>
      <c r="AP512" s="42">
        <f>Table43[[#This Row],[Harga Jual Pcs GT
(-PPN)]]*Table43[[#This Row],[ISI/CTN]]</f>
        <v>0</v>
      </c>
      <c r="AQ512" s="42">
        <f>Table43[[#This Row],[Harga Jual Pcs GT
(-PPN)]]*1.11</f>
        <v>0</v>
      </c>
      <c r="AR512" s="42">
        <f>Table43[[#This Row],[Harga Jual Krt GT
(- PPN)]]*1.11</f>
        <v>0</v>
      </c>
      <c r="AS512" s="42">
        <f>Table43[[#This Row],[Harga Jual Pcs GT
(-PPN)]]</f>
        <v>0</v>
      </c>
      <c r="AT512" s="42">
        <f>(Table43[[#This Row],[Harga Jual Pcs MT
(-PPN)]]*Table43[[#This Row],[ISI/CTN]])</f>
        <v>0</v>
      </c>
      <c r="AU512" s="42">
        <f>Table43[[#This Row],[Harga Jual Pcs MT
(-PPN)]]*1.11</f>
        <v>0</v>
      </c>
      <c r="AV512" s="42">
        <f>Table43[[#This Row],[Harga Jual Pcs MT
(+PPN)]]*Table43[[#This Row],[ISI/CTN]]</f>
        <v>0</v>
      </c>
      <c r="AW512" s="47"/>
      <c r="AX512" s="7"/>
      <c r="AY512" s="7" t="str">
        <f ca="1">IF(TODAY()-Table43[[#This Row],[Efektif
Pembuatan]]&gt;60,"Lama","Baru")</f>
        <v>Lama</v>
      </c>
      <c r="AZ512" s="7" t="str">
        <f ca="1">IF(TODAY()-Table43[[#This Row],[Efektif Naik Harga]]&lt;30,"Naik","Sama")</f>
        <v>Sama</v>
      </c>
      <c r="BA512" s="7" t="str">
        <f>IF(Table43[[#This Row],[Kode BARANG Win2]]&lt;&gt;"","IDR","")</f>
        <v>IDR</v>
      </c>
      <c r="BB512" s="7" t="str">
        <f>CONCATENATE(Table43[[#This Row],[kode  1 Digit
(Nomor)]],Table43[[#This Row],[kode  4 Digit                (Nomor)]])</f>
        <v>10200</v>
      </c>
      <c r="BC512" s="7" t="str">
        <f>Table43[[#This Row],[Nama            Gramasi atau Jumlah Pack per CTN]]</f>
        <v>200ML</v>
      </c>
      <c r="BD512" s="7"/>
      <c r="BE512" s="7"/>
      <c r="BF512" s="4" t="str">
        <f>IF(Table43[[#This Row],[SATUAN Fix Win]]&lt;&gt;"","KRT")</f>
        <v>KRT</v>
      </c>
      <c r="BG512" s="4" t="str">
        <f>IF(Table43[[#This Row],[SATUAN Fix Win]]&lt;&gt;"","GD01")</f>
        <v>GD01</v>
      </c>
      <c r="BH512" s="4">
        <f>IF(Table43[[#This Row],[SATUAN Fix Win]]&lt;&gt;"",11611)</f>
        <v>11611</v>
      </c>
      <c r="BI512" s="4">
        <f>IF(Table43[[#This Row],[SATUAN Fix Win]]&lt;&gt;"",11612)</f>
        <v>11612</v>
      </c>
      <c r="BJ512" s="48"/>
      <c r="BK512" s="4">
        <f>IF(Table43[[#This Row],[SATUAN Fix Win]]&lt;&gt;"",1)</f>
        <v>1</v>
      </c>
    </row>
    <row r="513" spans="1:63">
      <c r="A513" s="4" t="str">
        <f>CONCATENATE(Table43[[#This Row],[Kode BARANG Win2]],Table43[[#This Row],[No. Urut
Item Sama]])</f>
        <v>K14000010050101</v>
      </c>
      <c r="B513" s="7">
        <v>1</v>
      </c>
      <c r="D513" s="28" t="s">
        <v>602</v>
      </c>
      <c r="E513" s="28"/>
      <c r="F513" s="28" t="s">
        <v>3276</v>
      </c>
      <c r="G513" s="78">
        <v>72</v>
      </c>
      <c r="H513" s="43"/>
      <c r="I513" s="28" t="str">
        <f>Table43[[#This Row],[Nama Jenis Kemasan]]</f>
        <v>BTL</v>
      </c>
      <c r="J513" s="4" t="str">
        <f>TRIM(CONCATENATE(Table43[[#This Row],[Nama            KLP]]," ",Table43[[#This Row],[Nama            Sub KLP]]))</f>
        <v>RESIK V SKW</v>
      </c>
      <c r="K513" s="4" t="str">
        <f>CONCATENATE(Table43[[#This Row],[kode  2 Digit                (hrf+No)]],Table43[[#This Row],[kode  2 Digit                (Nomor)]],Table43[[#This Row],[kode  1 Digit                (Nomor)]])</f>
        <v>K1400</v>
      </c>
      <c r="L513" s="4" t="str">
        <f t="shared" si="24"/>
        <v>K1400001005010</v>
      </c>
      <c r="M513" s="11">
        <f t="shared" si="25"/>
        <v>14</v>
      </c>
      <c r="N513" s="14" t="str">
        <f>IF(AF513&lt;&gt;"",TRIM(UPPER(CONCATENATE(P513," ",R513," ",T513," ",V513," ",X513," ",Z513," ","X"," ",Table43[[#This Row],[ISI/CTN]]," ",AF513," ",AB513," ",AD513," ",AH513))),TRIM(UPPER(CONCATENATE(P513," ",R513," ",T513," ",V513," ",X513," ",Z513," ","X"," ",Table43[[#This Row],[ISI/CTN]]," ",AB513," ",AD513," ",AH513))))</f>
        <v>KNF RESIK V SKW ANGGREK 50ML X 72 BTL</v>
      </c>
      <c r="O513" s="11">
        <f t="shared" si="26"/>
        <v>37</v>
      </c>
      <c r="P513" s="4" t="s">
        <v>97</v>
      </c>
      <c r="Q513" s="7" t="s">
        <v>98</v>
      </c>
      <c r="R513" s="4" t="s">
        <v>3932</v>
      </c>
      <c r="S513" s="44" t="s">
        <v>3933</v>
      </c>
      <c r="T513" s="45" t="s">
        <v>2961</v>
      </c>
      <c r="U513" s="7" t="s">
        <v>2900</v>
      </c>
      <c r="V513" s="45" t="s">
        <v>2961</v>
      </c>
      <c r="W513" s="44" t="s">
        <v>2900</v>
      </c>
      <c r="X513" s="4" t="s">
        <v>3934</v>
      </c>
      <c r="Y513" s="46" t="s">
        <v>0</v>
      </c>
      <c r="Z513" s="4" t="s">
        <v>3654</v>
      </c>
      <c r="AA513" s="46" t="s">
        <v>2490</v>
      </c>
      <c r="AB513" s="4" t="s">
        <v>357</v>
      </c>
      <c r="AC513" s="7" t="s">
        <v>2656</v>
      </c>
      <c r="AD513" s="4" t="s">
        <v>2961</v>
      </c>
      <c r="AE513" s="7" t="s">
        <v>2900</v>
      </c>
      <c r="AF513" s="7" t="s">
        <v>2961</v>
      </c>
      <c r="AG513" s="7" t="s">
        <v>2961</v>
      </c>
      <c r="AI513" s="7" t="s">
        <v>4100</v>
      </c>
      <c r="AJ513" s="7" t="s">
        <v>2656</v>
      </c>
      <c r="AK513" s="41">
        <f>Table43[[#This Row],[Harga Jual Pcs GT
(-PPN)]]-(Table43[[#This Row],[Harga Jual Pcs GT
(-PPN)]]*10%)</f>
        <v>0</v>
      </c>
      <c r="AL513" s="42">
        <f>Table43[[#This Row],[Harga Beli Pcs
(-PPN)]]*Table43[[#This Row],[ISI/CTN]]</f>
        <v>0</v>
      </c>
      <c r="AM513" s="42">
        <f>Table43[[#This Row],[Harga Beli Pcs
(-PPN)]]*1.11</f>
        <v>0</v>
      </c>
      <c r="AN513" s="42">
        <f>Table43[[#This Row],[Harga Beli Krt
(- PPN)]]*1.11</f>
        <v>0</v>
      </c>
      <c r="AO513" s="42"/>
      <c r="AP513" s="42">
        <f>Table43[[#This Row],[Harga Jual Pcs GT
(-PPN)]]*Table43[[#This Row],[ISI/CTN]]</f>
        <v>0</v>
      </c>
      <c r="AQ513" s="42">
        <f>Table43[[#This Row],[Harga Jual Pcs GT
(-PPN)]]*1.11</f>
        <v>0</v>
      </c>
      <c r="AR513" s="42">
        <f>Table43[[#This Row],[Harga Jual Krt GT
(- PPN)]]*1.11</f>
        <v>0</v>
      </c>
      <c r="AS513" s="42">
        <f>Table43[[#This Row],[Harga Jual Pcs GT
(-PPN)]]</f>
        <v>0</v>
      </c>
      <c r="AT513" s="42">
        <f>(Table43[[#This Row],[Harga Jual Pcs MT
(-PPN)]]*Table43[[#This Row],[ISI/CTN]])</f>
        <v>0</v>
      </c>
      <c r="AU513" s="42">
        <f>Table43[[#This Row],[Harga Jual Pcs MT
(-PPN)]]*1.11</f>
        <v>0</v>
      </c>
      <c r="AV513" s="42">
        <f>Table43[[#This Row],[Harga Jual Pcs MT
(+PPN)]]*Table43[[#This Row],[ISI/CTN]]</f>
        <v>0</v>
      </c>
      <c r="AW513" s="47"/>
      <c r="AX513" s="7"/>
      <c r="AY513" s="7" t="str">
        <f ca="1">IF(TODAY()-Table43[[#This Row],[Efektif
Pembuatan]]&gt;60,"Lama","Baru")</f>
        <v>Lama</v>
      </c>
      <c r="AZ513" s="7" t="str">
        <f ca="1">IF(TODAY()-Table43[[#This Row],[Efektif Naik Harga]]&lt;30,"Naik","Sama")</f>
        <v>Sama</v>
      </c>
      <c r="BA513" s="7" t="str">
        <f>IF(Table43[[#This Row],[Kode BARANG Win2]]&lt;&gt;"","IDR","")</f>
        <v>IDR</v>
      </c>
      <c r="BB513" s="7" t="str">
        <f>CONCATENATE(Table43[[#This Row],[kode  1 Digit
(Nomor)]],Table43[[#This Row],[kode  4 Digit                (Nomor)]])</f>
        <v>10050</v>
      </c>
      <c r="BC513" s="7" t="str">
        <f>Table43[[#This Row],[Nama            Gramasi atau Jumlah Pack per CTN]]</f>
        <v>50ML</v>
      </c>
      <c r="BD513" s="7"/>
      <c r="BE513" s="7"/>
      <c r="BF513" s="4" t="str">
        <f>IF(Table43[[#This Row],[SATUAN Fix Win]]&lt;&gt;"","KRT")</f>
        <v>KRT</v>
      </c>
      <c r="BG513" s="4" t="str">
        <f>IF(Table43[[#This Row],[SATUAN Fix Win]]&lt;&gt;"","GD01")</f>
        <v>GD01</v>
      </c>
      <c r="BH513" s="4">
        <f>IF(Table43[[#This Row],[SATUAN Fix Win]]&lt;&gt;"",11611)</f>
        <v>11611</v>
      </c>
      <c r="BI513" s="4">
        <f>IF(Table43[[#This Row],[SATUAN Fix Win]]&lt;&gt;"",11612)</f>
        <v>11612</v>
      </c>
      <c r="BJ513" s="48"/>
      <c r="BK513" s="4">
        <f>IF(Table43[[#This Row],[SATUAN Fix Win]]&lt;&gt;"",1)</f>
        <v>1</v>
      </c>
    </row>
    <row r="514" spans="1:63">
      <c r="A514" s="4" t="str">
        <f>CONCATENATE(Table43[[#This Row],[Kode BARANG Win2]],Table43[[#This Row],[No. Urut
Item Sama]])</f>
        <v>K14000010125101</v>
      </c>
      <c r="B514" s="7">
        <v>1</v>
      </c>
      <c r="D514" s="28" t="s">
        <v>603</v>
      </c>
      <c r="E514" s="28"/>
      <c r="F514" s="28" t="s">
        <v>3277</v>
      </c>
      <c r="G514" s="78">
        <v>36</v>
      </c>
      <c r="H514" s="43"/>
      <c r="I514" s="28" t="str">
        <f>Table43[[#This Row],[Nama Jenis Kemasan]]</f>
        <v>BTL</v>
      </c>
      <c r="J514" s="4" t="str">
        <f>TRIM(CONCATENATE(Table43[[#This Row],[Nama            KLP]]," ",Table43[[#This Row],[Nama            Sub KLP]]))</f>
        <v>RESIK V SKW</v>
      </c>
      <c r="K514" s="4" t="str">
        <f>CONCATENATE(Table43[[#This Row],[kode  2 Digit                (hrf+No)]],Table43[[#This Row],[kode  2 Digit                (Nomor)]],Table43[[#This Row],[kode  1 Digit                (Nomor)]])</f>
        <v>K1400</v>
      </c>
      <c r="L514" s="4" t="str">
        <f t="shared" si="24"/>
        <v>K1400001012510</v>
      </c>
      <c r="M514" s="11">
        <f t="shared" si="25"/>
        <v>14</v>
      </c>
      <c r="N514" s="14" t="str">
        <f>IF(AF514&lt;&gt;"",TRIM(UPPER(CONCATENATE(P514," ",R514," ",T514," ",V514," ",X514," ",Z514," ","X"," ",Table43[[#This Row],[ISI/CTN]]," ",AF514," ",AB514," ",AD514," ",AH514))),TRIM(UPPER(CONCATENATE(P514," ",R514," ",T514," ",V514," ",X514," ",Z514," ","X"," ",Table43[[#This Row],[ISI/CTN]]," ",AB514," ",AD514," ",AH514))))</f>
        <v>KNF RESIK V SKW ANGGREK 125ML X 36 BTL</v>
      </c>
      <c r="O514" s="11">
        <f t="shared" si="26"/>
        <v>38</v>
      </c>
      <c r="P514" s="4" t="s">
        <v>97</v>
      </c>
      <c r="Q514" s="7" t="s">
        <v>98</v>
      </c>
      <c r="R514" s="4" t="s">
        <v>3932</v>
      </c>
      <c r="S514" s="44" t="s">
        <v>3933</v>
      </c>
      <c r="T514" s="45" t="s">
        <v>2961</v>
      </c>
      <c r="U514" s="7" t="s">
        <v>2900</v>
      </c>
      <c r="V514" s="45" t="s">
        <v>2961</v>
      </c>
      <c r="W514" s="44" t="s">
        <v>2900</v>
      </c>
      <c r="X514" s="4" t="s">
        <v>3934</v>
      </c>
      <c r="Y514" s="46" t="s">
        <v>0</v>
      </c>
      <c r="Z514" s="4" t="s">
        <v>3620</v>
      </c>
      <c r="AA514" s="46" t="s">
        <v>2489</v>
      </c>
      <c r="AB514" s="4" t="s">
        <v>357</v>
      </c>
      <c r="AC514" s="7" t="s">
        <v>2656</v>
      </c>
      <c r="AD514" s="4" t="s">
        <v>2961</v>
      </c>
      <c r="AE514" s="7" t="s">
        <v>2900</v>
      </c>
      <c r="AF514" s="7" t="s">
        <v>2961</v>
      </c>
      <c r="AG514" s="7" t="s">
        <v>2961</v>
      </c>
      <c r="AI514" s="7" t="s">
        <v>4100</v>
      </c>
      <c r="AJ514" s="7" t="s">
        <v>2656</v>
      </c>
      <c r="AK514" s="41">
        <f>Table43[[#This Row],[Harga Jual Pcs GT
(-PPN)]]-(Table43[[#This Row],[Harga Jual Pcs GT
(-PPN)]]*10%)</f>
        <v>0</v>
      </c>
      <c r="AL514" s="42">
        <f>Table43[[#This Row],[Harga Beli Pcs
(-PPN)]]*Table43[[#This Row],[ISI/CTN]]</f>
        <v>0</v>
      </c>
      <c r="AM514" s="42">
        <f>Table43[[#This Row],[Harga Beli Pcs
(-PPN)]]*1.11</f>
        <v>0</v>
      </c>
      <c r="AN514" s="42">
        <f>Table43[[#This Row],[Harga Beli Krt
(- PPN)]]*1.11</f>
        <v>0</v>
      </c>
      <c r="AO514" s="42"/>
      <c r="AP514" s="42">
        <f>Table43[[#This Row],[Harga Jual Pcs GT
(-PPN)]]*Table43[[#This Row],[ISI/CTN]]</f>
        <v>0</v>
      </c>
      <c r="AQ514" s="42">
        <f>Table43[[#This Row],[Harga Jual Pcs GT
(-PPN)]]*1.11</f>
        <v>0</v>
      </c>
      <c r="AR514" s="42">
        <f>Table43[[#This Row],[Harga Jual Krt GT
(- PPN)]]*1.11</f>
        <v>0</v>
      </c>
      <c r="AS514" s="42">
        <f>Table43[[#This Row],[Harga Jual Pcs GT
(-PPN)]]</f>
        <v>0</v>
      </c>
      <c r="AT514" s="42">
        <f>(Table43[[#This Row],[Harga Jual Pcs MT
(-PPN)]]*Table43[[#This Row],[ISI/CTN]])</f>
        <v>0</v>
      </c>
      <c r="AU514" s="42">
        <f>Table43[[#This Row],[Harga Jual Pcs MT
(-PPN)]]*1.11</f>
        <v>0</v>
      </c>
      <c r="AV514" s="42">
        <f>Table43[[#This Row],[Harga Jual Pcs MT
(+PPN)]]*Table43[[#This Row],[ISI/CTN]]</f>
        <v>0</v>
      </c>
      <c r="AW514" s="47"/>
      <c r="AX514" s="7"/>
      <c r="AY514" s="7" t="str">
        <f ca="1">IF(TODAY()-Table43[[#This Row],[Efektif
Pembuatan]]&gt;60,"Lama","Baru")</f>
        <v>Lama</v>
      </c>
      <c r="AZ514" s="7" t="str">
        <f ca="1">IF(TODAY()-Table43[[#This Row],[Efektif Naik Harga]]&lt;30,"Naik","Sama")</f>
        <v>Sama</v>
      </c>
      <c r="BA514" s="7" t="str">
        <f>IF(Table43[[#This Row],[Kode BARANG Win2]]&lt;&gt;"","IDR","")</f>
        <v>IDR</v>
      </c>
      <c r="BB514" s="7" t="str">
        <f>CONCATENATE(Table43[[#This Row],[kode  1 Digit
(Nomor)]],Table43[[#This Row],[kode  4 Digit                (Nomor)]])</f>
        <v>10125</v>
      </c>
      <c r="BC514" s="7" t="str">
        <f>Table43[[#This Row],[Nama            Gramasi atau Jumlah Pack per CTN]]</f>
        <v>125ML</v>
      </c>
      <c r="BD514" s="7"/>
      <c r="BE514" s="7"/>
      <c r="BF514" s="4" t="str">
        <f>IF(Table43[[#This Row],[SATUAN Fix Win]]&lt;&gt;"","KRT")</f>
        <v>KRT</v>
      </c>
      <c r="BG514" s="4" t="str">
        <f>IF(Table43[[#This Row],[SATUAN Fix Win]]&lt;&gt;"","GD01")</f>
        <v>GD01</v>
      </c>
      <c r="BH514" s="4">
        <f>IF(Table43[[#This Row],[SATUAN Fix Win]]&lt;&gt;"",11611)</f>
        <v>11611</v>
      </c>
      <c r="BI514" s="4">
        <f>IF(Table43[[#This Row],[SATUAN Fix Win]]&lt;&gt;"",11612)</f>
        <v>11612</v>
      </c>
      <c r="BJ514" s="48"/>
      <c r="BK514" s="4">
        <f>IF(Table43[[#This Row],[SATUAN Fix Win]]&lt;&gt;"",1)</f>
        <v>1</v>
      </c>
    </row>
    <row r="515" spans="1:63">
      <c r="A515" s="4" t="str">
        <f>CONCATENATE(Table43[[#This Row],[Kode BARANG Win2]],Table43[[#This Row],[No. Urut
Item Sama]])</f>
        <v>K14000020125101</v>
      </c>
      <c r="B515" s="7">
        <v>1</v>
      </c>
      <c r="D515" s="28" t="s">
        <v>610</v>
      </c>
      <c r="E515" s="28"/>
      <c r="F515" s="28" t="s">
        <v>3278</v>
      </c>
      <c r="G515" s="78">
        <v>36</v>
      </c>
      <c r="H515" s="43"/>
      <c r="I515" s="28" t="str">
        <f>Table43[[#This Row],[Nama Jenis Kemasan]]</f>
        <v>BTL</v>
      </c>
      <c r="J515" s="4" t="str">
        <f>TRIM(CONCATENATE(Table43[[#This Row],[Nama            KLP]]," ",Table43[[#This Row],[Nama            Sub KLP]]))</f>
        <v>RESIK V SKW</v>
      </c>
      <c r="K515" s="4" t="str">
        <f>CONCATENATE(Table43[[#This Row],[kode  2 Digit                (hrf+No)]],Table43[[#This Row],[kode  2 Digit                (Nomor)]],Table43[[#This Row],[kode  1 Digit                (Nomor)]])</f>
        <v>K1400</v>
      </c>
      <c r="L515" s="4" t="str">
        <f t="shared" si="24"/>
        <v>K1400002012510</v>
      </c>
      <c r="M515" s="11">
        <f t="shared" si="25"/>
        <v>14</v>
      </c>
      <c r="N515" s="14" t="str">
        <f>IF(AF515&lt;&gt;"",TRIM(UPPER(CONCATENATE(P515," ",R515," ",T515," ",V515," ",X515," ",Z515," ","X"," ",Table43[[#This Row],[ISI/CTN]]," ",AF515," ",AB515," ",AD515," ",AH515))),TRIM(UPPER(CONCATENATE(P515," ",R515," ",T515," ",V515," ",X515," ",Z515," ","X"," ",Table43[[#This Row],[ISI/CTN]]," ",AB515," ",AD515," ",AH515))))</f>
        <v>KNF RESIK V SKW LILY 125ML X 36 BTL</v>
      </c>
      <c r="O515" s="11">
        <f t="shared" si="26"/>
        <v>35</v>
      </c>
      <c r="P515" s="4" t="s">
        <v>97</v>
      </c>
      <c r="Q515" s="7" t="s">
        <v>98</v>
      </c>
      <c r="R515" s="4" t="s">
        <v>3932</v>
      </c>
      <c r="S515" s="44" t="s">
        <v>3933</v>
      </c>
      <c r="T515" s="45" t="s">
        <v>2961</v>
      </c>
      <c r="U515" s="7" t="s">
        <v>2900</v>
      </c>
      <c r="V515" s="45" t="s">
        <v>2961</v>
      </c>
      <c r="W515" s="44" t="s">
        <v>2900</v>
      </c>
      <c r="X515" s="4" t="s">
        <v>3935</v>
      </c>
      <c r="Y515" s="46" t="s">
        <v>2472</v>
      </c>
      <c r="Z515" s="4" t="s">
        <v>3620</v>
      </c>
      <c r="AA515" s="46" t="s">
        <v>2489</v>
      </c>
      <c r="AB515" s="4" t="s">
        <v>357</v>
      </c>
      <c r="AC515" s="7" t="s">
        <v>2656</v>
      </c>
      <c r="AD515" s="4" t="s">
        <v>2961</v>
      </c>
      <c r="AE515" s="7" t="s">
        <v>2900</v>
      </c>
      <c r="AF515" s="7" t="s">
        <v>2961</v>
      </c>
      <c r="AG515" s="7" t="s">
        <v>2961</v>
      </c>
      <c r="AI515" s="7" t="s">
        <v>4100</v>
      </c>
      <c r="AJ515" s="7" t="s">
        <v>2656</v>
      </c>
      <c r="AK515" s="41">
        <f>Table43[[#This Row],[Harga Jual Pcs GT
(-PPN)]]-(Table43[[#This Row],[Harga Jual Pcs GT
(-PPN)]]*10%)</f>
        <v>0</v>
      </c>
      <c r="AL515" s="42">
        <f>Table43[[#This Row],[Harga Beli Pcs
(-PPN)]]*Table43[[#This Row],[ISI/CTN]]</f>
        <v>0</v>
      </c>
      <c r="AM515" s="42">
        <f>Table43[[#This Row],[Harga Beli Pcs
(-PPN)]]*1.11</f>
        <v>0</v>
      </c>
      <c r="AN515" s="42">
        <f>Table43[[#This Row],[Harga Beli Krt
(- PPN)]]*1.11</f>
        <v>0</v>
      </c>
      <c r="AO515" s="42"/>
      <c r="AP515" s="42">
        <f>Table43[[#This Row],[Harga Jual Pcs GT
(-PPN)]]*Table43[[#This Row],[ISI/CTN]]</f>
        <v>0</v>
      </c>
      <c r="AQ515" s="42">
        <f>Table43[[#This Row],[Harga Jual Pcs GT
(-PPN)]]*1.11</f>
        <v>0</v>
      </c>
      <c r="AR515" s="42">
        <f>Table43[[#This Row],[Harga Jual Krt GT
(- PPN)]]*1.11</f>
        <v>0</v>
      </c>
      <c r="AS515" s="42">
        <f>Table43[[#This Row],[Harga Jual Pcs GT
(-PPN)]]</f>
        <v>0</v>
      </c>
      <c r="AT515" s="42">
        <f>(Table43[[#This Row],[Harga Jual Pcs MT
(-PPN)]]*Table43[[#This Row],[ISI/CTN]])</f>
        <v>0</v>
      </c>
      <c r="AU515" s="42">
        <f>Table43[[#This Row],[Harga Jual Pcs MT
(-PPN)]]*1.11</f>
        <v>0</v>
      </c>
      <c r="AV515" s="42">
        <f>Table43[[#This Row],[Harga Jual Pcs MT
(+PPN)]]*Table43[[#This Row],[ISI/CTN]]</f>
        <v>0</v>
      </c>
      <c r="AW515" s="47"/>
      <c r="AX515" s="7"/>
      <c r="AY515" s="7" t="str">
        <f ca="1">IF(TODAY()-Table43[[#This Row],[Efektif
Pembuatan]]&gt;60,"Lama","Baru")</f>
        <v>Lama</v>
      </c>
      <c r="AZ515" s="7" t="str">
        <f ca="1">IF(TODAY()-Table43[[#This Row],[Efektif Naik Harga]]&lt;30,"Naik","Sama")</f>
        <v>Sama</v>
      </c>
      <c r="BA515" s="7" t="str">
        <f>IF(Table43[[#This Row],[Kode BARANG Win2]]&lt;&gt;"","IDR","")</f>
        <v>IDR</v>
      </c>
      <c r="BB515" s="7" t="str">
        <f>CONCATENATE(Table43[[#This Row],[kode  1 Digit
(Nomor)]],Table43[[#This Row],[kode  4 Digit                (Nomor)]])</f>
        <v>10125</v>
      </c>
      <c r="BC515" s="7" t="str">
        <f>Table43[[#This Row],[Nama            Gramasi atau Jumlah Pack per CTN]]</f>
        <v>125ML</v>
      </c>
      <c r="BD515" s="7"/>
      <c r="BE515" s="7"/>
      <c r="BF515" s="4" t="str">
        <f>IF(Table43[[#This Row],[SATUAN Fix Win]]&lt;&gt;"","KRT")</f>
        <v>KRT</v>
      </c>
      <c r="BG515" s="4" t="str">
        <f>IF(Table43[[#This Row],[SATUAN Fix Win]]&lt;&gt;"","GD01")</f>
        <v>GD01</v>
      </c>
      <c r="BH515" s="4">
        <f>IF(Table43[[#This Row],[SATUAN Fix Win]]&lt;&gt;"",11611)</f>
        <v>11611</v>
      </c>
      <c r="BI515" s="4">
        <f>IF(Table43[[#This Row],[SATUAN Fix Win]]&lt;&gt;"",11612)</f>
        <v>11612</v>
      </c>
      <c r="BJ515" s="48"/>
      <c r="BK515" s="4">
        <f>IF(Table43[[#This Row],[SATUAN Fix Win]]&lt;&gt;"",1)</f>
        <v>1</v>
      </c>
    </row>
    <row r="516" spans="1:63">
      <c r="A516" s="4" t="str">
        <f>CONCATENATE(Table43[[#This Row],[Kode BARANG Win2]],Table43[[#This Row],[No. Urut
Item Sama]])</f>
        <v>K14000030050101</v>
      </c>
      <c r="B516" s="7">
        <v>1</v>
      </c>
      <c r="D516" s="28" t="s">
        <v>604</v>
      </c>
      <c r="E516" s="28"/>
      <c r="F516" s="28" t="s">
        <v>3279</v>
      </c>
      <c r="G516" s="78">
        <v>72</v>
      </c>
      <c r="H516" s="43"/>
      <c r="I516" s="28" t="str">
        <f>Table43[[#This Row],[Nama Jenis Kemasan]]</f>
        <v>BTL</v>
      </c>
      <c r="J516" s="4" t="str">
        <f>TRIM(CONCATENATE(Table43[[#This Row],[Nama            KLP]]," ",Table43[[#This Row],[Nama            Sub KLP]]))</f>
        <v>RESIK V SKW</v>
      </c>
      <c r="K516" s="4" t="str">
        <f>CONCATENATE(Table43[[#This Row],[kode  2 Digit                (hrf+No)]],Table43[[#This Row],[kode  2 Digit                (Nomor)]],Table43[[#This Row],[kode  1 Digit                (Nomor)]])</f>
        <v>K1400</v>
      </c>
      <c r="L516" s="4" t="str">
        <f t="shared" si="24"/>
        <v>K1400003005010</v>
      </c>
      <c r="M516" s="11">
        <f t="shared" si="25"/>
        <v>14</v>
      </c>
      <c r="N516" s="14" t="str">
        <f>IF(AF516&lt;&gt;"",TRIM(UPPER(CONCATENATE(P516," ",R516," ",T516," ",V516," ",X516," ",Z516," ","X"," ",Table43[[#This Row],[ISI/CTN]]," ",AF516," ",AB516," ",AD516," ",AH516))),TRIM(UPPER(CONCATENATE(P516," ",R516," ",T516," ",V516," ",X516," ",Z516," ","X"," ",Table43[[#This Row],[ISI/CTN]]," ",AB516," ",AD516," ",AH516))))</f>
        <v>KNF RESIK V SKW MANJAKANI 50ML X 72 BTL</v>
      </c>
      <c r="O516" s="11">
        <f t="shared" si="26"/>
        <v>39</v>
      </c>
      <c r="P516" s="4" t="s">
        <v>97</v>
      </c>
      <c r="Q516" s="7" t="s">
        <v>98</v>
      </c>
      <c r="R516" s="4" t="s">
        <v>3932</v>
      </c>
      <c r="S516" s="44" t="s">
        <v>3933</v>
      </c>
      <c r="T516" s="45" t="s">
        <v>2961</v>
      </c>
      <c r="U516" s="7" t="s">
        <v>2900</v>
      </c>
      <c r="V516" s="45" t="s">
        <v>2961</v>
      </c>
      <c r="W516" s="44" t="s">
        <v>2900</v>
      </c>
      <c r="X516" s="4" t="s">
        <v>3936</v>
      </c>
      <c r="Y516" s="46" t="s">
        <v>2473</v>
      </c>
      <c r="Z516" s="4" t="s">
        <v>3654</v>
      </c>
      <c r="AA516" s="46" t="s">
        <v>2490</v>
      </c>
      <c r="AB516" s="4" t="s">
        <v>357</v>
      </c>
      <c r="AC516" s="7" t="s">
        <v>2656</v>
      </c>
      <c r="AD516" s="4" t="s">
        <v>2961</v>
      </c>
      <c r="AE516" s="7" t="s">
        <v>2900</v>
      </c>
      <c r="AF516" s="7" t="s">
        <v>2961</v>
      </c>
      <c r="AG516" s="7" t="s">
        <v>2961</v>
      </c>
      <c r="AI516" s="7" t="s">
        <v>4100</v>
      </c>
      <c r="AJ516" s="7" t="s">
        <v>2656</v>
      </c>
      <c r="AK516" s="41">
        <f>Table43[[#This Row],[Harga Jual Pcs GT
(-PPN)]]-(Table43[[#This Row],[Harga Jual Pcs GT
(-PPN)]]*10%)</f>
        <v>0</v>
      </c>
      <c r="AL516" s="42">
        <f>Table43[[#This Row],[Harga Beli Pcs
(-PPN)]]*Table43[[#This Row],[ISI/CTN]]</f>
        <v>0</v>
      </c>
      <c r="AM516" s="42">
        <f>Table43[[#This Row],[Harga Beli Pcs
(-PPN)]]*1.11</f>
        <v>0</v>
      </c>
      <c r="AN516" s="42">
        <f>Table43[[#This Row],[Harga Beli Krt
(- PPN)]]*1.11</f>
        <v>0</v>
      </c>
      <c r="AO516" s="42"/>
      <c r="AP516" s="42">
        <f>Table43[[#This Row],[Harga Jual Pcs GT
(-PPN)]]*Table43[[#This Row],[ISI/CTN]]</f>
        <v>0</v>
      </c>
      <c r="AQ516" s="42">
        <f>Table43[[#This Row],[Harga Jual Pcs GT
(-PPN)]]*1.11</f>
        <v>0</v>
      </c>
      <c r="AR516" s="42">
        <f>Table43[[#This Row],[Harga Jual Krt GT
(- PPN)]]*1.11</f>
        <v>0</v>
      </c>
      <c r="AS516" s="42">
        <f>Table43[[#This Row],[Harga Jual Pcs GT
(-PPN)]]</f>
        <v>0</v>
      </c>
      <c r="AT516" s="42">
        <f>(Table43[[#This Row],[Harga Jual Pcs MT
(-PPN)]]*Table43[[#This Row],[ISI/CTN]])</f>
        <v>0</v>
      </c>
      <c r="AU516" s="42">
        <f>Table43[[#This Row],[Harga Jual Pcs MT
(-PPN)]]*1.11</f>
        <v>0</v>
      </c>
      <c r="AV516" s="42">
        <f>Table43[[#This Row],[Harga Jual Pcs MT
(+PPN)]]*Table43[[#This Row],[ISI/CTN]]</f>
        <v>0</v>
      </c>
      <c r="AW516" s="47"/>
      <c r="AX516" s="7"/>
      <c r="AY516" s="7" t="str">
        <f ca="1">IF(TODAY()-Table43[[#This Row],[Efektif
Pembuatan]]&gt;60,"Lama","Baru")</f>
        <v>Lama</v>
      </c>
      <c r="AZ516" s="7" t="str">
        <f ca="1">IF(TODAY()-Table43[[#This Row],[Efektif Naik Harga]]&lt;30,"Naik","Sama")</f>
        <v>Sama</v>
      </c>
      <c r="BA516" s="7" t="str">
        <f>IF(Table43[[#This Row],[Kode BARANG Win2]]&lt;&gt;"","IDR","")</f>
        <v>IDR</v>
      </c>
      <c r="BB516" s="7" t="str">
        <f>CONCATENATE(Table43[[#This Row],[kode  1 Digit
(Nomor)]],Table43[[#This Row],[kode  4 Digit                (Nomor)]])</f>
        <v>10050</v>
      </c>
      <c r="BC516" s="7" t="str">
        <f>Table43[[#This Row],[Nama            Gramasi atau Jumlah Pack per CTN]]</f>
        <v>50ML</v>
      </c>
      <c r="BD516" s="7"/>
      <c r="BE516" s="7"/>
      <c r="BF516" s="4" t="str">
        <f>IF(Table43[[#This Row],[SATUAN Fix Win]]&lt;&gt;"","KRT")</f>
        <v>KRT</v>
      </c>
      <c r="BG516" s="4" t="str">
        <f>IF(Table43[[#This Row],[SATUAN Fix Win]]&lt;&gt;"","GD01")</f>
        <v>GD01</v>
      </c>
      <c r="BH516" s="4">
        <f>IF(Table43[[#This Row],[SATUAN Fix Win]]&lt;&gt;"",11611)</f>
        <v>11611</v>
      </c>
      <c r="BI516" s="4">
        <f>IF(Table43[[#This Row],[SATUAN Fix Win]]&lt;&gt;"",11612)</f>
        <v>11612</v>
      </c>
      <c r="BJ516" s="48"/>
      <c r="BK516" s="4">
        <f>IF(Table43[[#This Row],[SATUAN Fix Win]]&lt;&gt;"",1)</f>
        <v>1</v>
      </c>
    </row>
    <row r="517" spans="1:63">
      <c r="A517" s="4" t="str">
        <f>CONCATENATE(Table43[[#This Row],[Kode BARANG Win2]],Table43[[#This Row],[No. Urut
Item Sama]])</f>
        <v>K14000030125101</v>
      </c>
      <c r="B517" s="7">
        <v>1</v>
      </c>
      <c r="D517" s="28" t="s">
        <v>605</v>
      </c>
      <c r="E517" s="28"/>
      <c r="F517" s="28" t="s">
        <v>3280</v>
      </c>
      <c r="G517" s="78">
        <v>36</v>
      </c>
      <c r="H517" s="43"/>
      <c r="I517" s="28" t="str">
        <f>Table43[[#This Row],[Nama Jenis Kemasan]]</f>
        <v>BTL</v>
      </c>
      <c r="J517" s="4" t="str">
        <f>TRIM(CONCATENATE(Table43[[#This Row],[Nama            KLP]]," ",Table43[[#This Row],[Nama            Sub KLP]]))</f>
        <v>RESIK V SKW</v>
      </c>
      <c r="K517" s="4" t="str">
        <f>CONCATENATE(Table43[[#This Row],[kode  2 Digit                (hrf+No)]],Table43[[#This Row],[kode  2 Digit                (Nomor)]],Table43[[#This Row],[kode  1 Digit                (Nomor)]])</f>
        <v>K1400</v>
      </c>
      <c r="L517" s="4" t="str">
        <f t="shared" si="24"/>
        <v>K1400003012510</v>
      </c>
      <c r="M517" s="11">
        <f t="shared" si="25"/>
        <v>14</v>
      </c>
      <c r="N517" s="14" t="str">
        <f>IF(AF517&lt;&gt;"",TRIM(UPPER(CONCATENATE(P517," ",R517," ",T517," ",V517," ",X517," ",Z517," ","X"," ",Table43[[#This Row],[ISI/CTN]]," ",AF517," ",AB517," ",AD517," ",AH517))),TRIM(UPPER(CONCATENATE(P517," ",R517," ",T517," ",V517," ",X517," ",Z517," ","X"," ",Table43[[#This Row],[ISI/CTN]]," ",AB517," ",AD517," ",AH517))))</f>
        <v>KNF RESIK V SKW MANJAKANI 125ML X 36 BTL</v>
      </c>
      <c r="O517" s="11">
        <f t="shared" si="26"/>
        <v>40</v>
      </c>
      <c r="P517" s="4" t="s">
        <v>97</v>
      </c>
      <c r="Q517" s="7" t="s">
        <v>98</v>
      </c>
      <c r="R517" s="4" t="s">
        <v>3932</v>
      </c>
      <c r="S517" s="44" t="s">
        <v>3933</v>
      </c>
      <c r="T517" s="45" t="s">
        <v>2961</v>
      </c>
      <c r="U517" s="7" t="s">
        <v>2900</v>
      </c>
      <c r="V517" s="45" t="s">
        <v>2961</v>
      </c>
      <c r="W517" s="44" t="s">
        <v>2900</v>
      </c>
      <c r="X517" s="4" t="s">
        <v>3936</v>
      </c>
      <c r="Y517" s="46" t="s">
        <v>2473</v>
      </c>
      <c r="Z517" s="4" t="s">
        <v>3620</v>
      </c>
      <c r="AA517" s="46" t="s">
        <v>2489</v>
      </c>
      <c r="AB517" s="4" t="s">
        <v>357</v>
      </c>
      <c r="AC517" s="7" t="s">
        <v>2656</v>
      </c>
      <c r="AD517" s="4" t="s">
        <v>2961</v>
      </c>
      <c r="AE517" s="7" t="s">
        <v>2900</v>
      </c>
      <c r="AF517" s="7" t="s">
        <v>2961</v>
      </c>
      <c r="AG517" s="7" t="s">
        <v>2961</v>
      </c>
      <c r="AI517" s="7" t="s">
        <v>4100</v>
      </c>
      <c r="AJ517" s="7" t="s">
        <v>2656</v>
      </c>
      <c r="AK517" s="41">
        <f>Table43[[#This Row],[Harga Jual Pcs GT
(-PPN)]]-(Table43[[#This Row],[Harga Jual Pcs GT
(-PPN)]]*10%)</f>
        <v>0</v>
      </c>
      <c r="AL517" s="42">
        <f>Table43[[#This Row],[Harga Beli Pcs
(-PPN)]]*Table43[[#This Row],[ISI/CTN]]</f>
        <v>0</v>
      </c>
      <c r="AM517" s="42">
        <f>Table43[[#This Row],[Harga Beli Pcs
(-PPN)]]*1.11</f>
        <v>0</v>
      </c>
      <c r="AN517" s="42">
        <f>Table43[[#This Row],[Harga Beli Krt
(- PPN)]]*1.11</f>
        <v>0</v>
      </c>
      <c r="AO517" s="42"/>
      <c r="AP517" s="42">
        <f>Table43[[#This Row],[Harga Jual Pcs GT
(-PPN)]]*Table43[[#This Row],[ISI/CTN]]</f>
        <v>0</v>
      </c>
      <c r="AQ517" s="42">
        <f>Table43[[#This Row],[Harga Jual Pcs GT
(-PPN)]]*1.11</f>
        <v>0</v>
      </c>
      <c r="AR517" s="42">
        <f>Table43[[#This Row],[Harga Jual Krt GT
(- PPN)]]*1.11</f>
        <v>0</v>
      </c>
      <c r="AS517" s="42">
        <f>Table43[[#This Row],[Harga Jual Pcs GT
(-PPN)]]</f>
        <v>0</v>
      </c>
      <c r="AT517" s="42">
        <f>(Table43[[#This Row],[Harga Jual Pcs MT
(-PPN)]]*Table43[[#This Row],[ISI/CTN]])</f>
        <v>0</v>
      </c>
      <c r="AU517" s="42">
        <f>Table43[[#This Row],[Harga Jual Pcs MT
(-PPN)]]*1.11</f>
        <v>0</v>
      </c>
      <c r="AV517" s="42">
        <f>Table43[[#This Row],[Harga Jual Pcs MT
(+PPN)]]*Table43[[#This Row],[ISI/CTN]]</f>
        <v>0</v>
      </c>
      <c r="AW517" s="47"/>
      <c r="AX517" s="7"/>
      <c r="AY517" s="7" t="str">
        <f ca="1">IF(TODAY()-Table43[[#This Row],[Efektif
Pembuatan]]&gt;60,"Lama","Baru")</f>
        <v>Lama</v>
      </c>
      <c r="AZ517" s="7" t="str">
        <f ca="1">IF(TODAY()-Table43[[#This Row],[Efektif Naik Harga]]&lt;30,"Naik","Sama")</f>
        <v>Sama</v>
      </c>
      <c r="BA517" s="7" t="str">
        <f>IF(Table43[[#This Row],[Kode BARANG Win2]]&lt;&gt;"","IDR","")</f>
        <v>IDR</v>
      </c>
      <c r="BB517" s="7" t="str">
        <f>CONCATENATE(Table43[[#This Row],[kode  1 Digit
(Nomor)]],Table43[[#This Row],[kode  4 Digit                (Nomor)]])</f>
        <v>10125</v>
      </c>
      <c r="BC517" s="7" t="str">
        <f>Table43[[#This Row],[Nama            Gramasi atau Jumlah Pack per CTN]]</f>
        <v>125ML</v>
      </c>
      <c r="BD517" s="7"/>
      <c r="BE517" s="7"/>
      <c r="BF517" s="4" t="str">
        <f>IF(Table43[[#This Row],[SATUAN Fix Win]]&lt;&gt;"","KRT")</f>
        <v>KRT</v>
      </c>
      <c r="BG517" s="4" t="str">
        <f>IF(Table43[[#This Row],[SATUAN Fix Win]]&lt;&gt;"","GD01")</f>
        <v>GD01</v>
      </c>
      <c r="BH517" s="4">
        <f>IF(Table43[[#This Row],[SATUAN Fix Win]]&lt;&gt;"",11611)</f>
        <v>11611</v>
      </c>
      <c r="BI517" s="4">
        <f>IF(Table43[[#This Row],[SATUAN Fix Win]]&lt;&gt;"",11612)</f>
        <v>11612</v>
      </c>
      <c r="BJ517" s="48"/>
      <c r="BK517" s="4">
        <f>IF(Table43[[#This Row],[SATUAN Fix Win]]&lt;&gt;"",1)</f>
        <v>1</v>
      </c>
    </row>
    <row r="518" spans="1:63">
      <c r="A518" s="4" t="str">
        <f>CONCATENATE(Table43[[#This Row],[Kode BARANG Win2]],Table43[[#This Row],[No. Urut
Item Sama]])</f>
        <v>K14000040050101</v>
      </c>
      <c r="B518" s="7">
        <v>1</v>
      </c>
      <c r="D518" s="28" t="s">
        <v>606</v>
      </c>
      <c r="E518" s="28"/>
      <c r="F518" s="28" t="s">
        <v>3281</v>
      </c>
      <c r="G518" s="78">
        <v>72</v>
      </c>
      <c r="H518" s="43"/>
      <c r="I518" s="28" t="str">
        <f>Table43[[#This Row],[Nama Jenis Kemasan]]</f>
        <v>BTL</v>
      </c>
      <c r="J518" s="4" t="str">
        <f>TRIM(CONCATENATE(Table43[[#This Row],[Nama            KLP]]," ",Table43[[#This Row],[Nama            Sub KLP]]))</f>
        <v>RESIK V SKW</v>
      </c>
      <c r="K518" s="4" t="str">
        <f>CONCATENATE(Table43[[#This Row],[kode  2 Digit                (hrf+No)]],Table43[[#This Row],[kode  2 Digit                (Nomor)]],Table43[[#This Row],[kode  1 Digit                (Nomor)]])</f>
        <v>K1400</v>
      </c>
      <c r="L518" s="4" t="str">
        <f t="shared" si="24"/>
        <v>K1400004005010</v>
      </c>
      <c r="M518" s="11">
        <f t="shared" si="25"/>
        <v>14</v>
      </c>
      <c r="N518" s="14" t="str">
        <f>IF(AF518&lt;&gt;"",TRIM(UPPER(CONCATENATE(P518," ",R518," ",T518," ",V518," ",X518," ",Z518," ","X"," ",Table43[[#This Row],[ISI/CTN]]," ",AF518," ",AB518," ",AD518," ",AH518))),TRIM(UPPER(CONCATENATE(P518," ",R518," ",T518," ",V518," ",X518," ",Z518," ","X"," ",Table43[[#This Row],[ISI/CTN]]," ",AB518," ",AD518," ",AH518))))</f>
        <v>KNF RESIK V SKW MAWAR 50ML X 72 BTL</v>
      </c>
      <c r="O518" s="11">
        <f t="shared" si="26"/>
        <v>35</v>
      </c>
      <c r="P518" s="4" t="s">
        <v>97</v>
      </c>
      <c r="Q518" s="7" t="s">
        <v>98</v>
      </c>
      <c r="R518" s="4" t="s">
        <v>3932</v>
      </c>
      <c r="S518" s="44" t="s">
        <v>3933</v>
      </c>
      <c r="T518" s="45" t="s">
        <v>2961</v>
      </c>
      <c r="U518" s="7" t="s">
        <v>2900</v>
      </c>
      <c r="V518" s="45" t="s">
        <v>2961</v>
      </c>
      <c r="W518" s="44" t="s">
        <v>2900</v>
      </c>
      <c r="X518" s="4" t="s">
        <v>3937</v>
      </c>
      <c r="Y518" s="46" t="s">
        <v>2474</v>
      </c>
      <c r="Z518" s="4" t="s">
        <v>3654</v>
      </c>
      <c r="AA518" s="46" t="s">
        <v>2490</v>
      </c>
      <c r="AB518" s="4" t="s">
        <v>357</v>
      </c>
      <c r="AC518" s="7" t="s">
        <v>2656</v>
      </c>
      <c r="AD518" s="4" t="s">
        <v>2961</v>
      </c>
      <c r="AE518" s="7" t="s">
        <v>2900</v>
      </c>
      <c r="AF518" s="7" t="s">
        <v>2961</v>
      </c>
      <c r="AG518" s="7" t="s">
        <v>2961</v>
      </c>
      <c r="AI518" s="7" t="s">
        <v>4100</v>
      </c>
      <c r="AJ518" s="7" t="s">
        <v>2656</v>
      </c>
      <c r="AK518" s="41">
        <f>Table43[[#This Row],[Harga Jual Pcs GT
(-PPN)]]-(Table43[[#This Row],[Harga Jual Pcs GT
(-PPN)]]*10%)</f>
        <v>0</v>
      </c>
      <c r="AL518" s="42">
        <f>Table43[[#This Row],[Harga Beli Pcs
(-PPN)]]*Table43[[#This Row],[ISI/CTN]]</f>
        <v>0</v>
      </c>
      <c r="AM518" s="42">
        <f>Table43[[#This Row],[Harga Beli Pcs
(-PPN)]]*1.11</f>
        <v>0</v>
      </c>
      <c r="AN518" s="42">
        <f>Table43[[#This Row],[Harga Beli Krt
(- PPN)]]*1.11</f>
        <v>0</v>
      </c>
      <c r="AO518" s="42"/>
      <c r="AP518" s="42">
        <f>Table43[[#This Row],[Harga Jual Pcs GT
(-PPN)]]*Table43[[#This Row],[ISI/CTN]]</f>
        <v>0</v>
      </c>
      <c r="AQ518" s="42">
        <f>Table43[[#This Row],[Harga Jual Pcs GT
(-PPN)]]*1.11</f>
        <v>0</v>
      </c>
      <c r="AR518" s="42">
        <f>Table43[[#This Row],[Harga Jual Krt GT
(- PPN)]]*1.11</f>
        <v>0</v>
      </c>
      <c r="AS518" s="42">
        <f>Table43[[#This Row],[Harga Jual Pcs GT
(-PPN)]]</f>
        <v>0</v>
      </c>
      <c r="AT518" s="42">
        <f>(Table43[[#This Row],[Harga Jual Pcs MT
(-PPN)]]*Table43[[#This Row],[ISI/CTN]])</f>
        <v>0</v>
      </c>
      <c r="AU518" s="42">
        <f>Table43[[#This Row],[Harga Jual Pcs MT
(-PPN)]]*1.11</f>
        <v>0</v>
      </c>
      <c r="AV518" s="42">
        <f>Table43[[#This Row],[Harga Jual Pcs MT
(+PPN)]]*Table43[[#This Row],[ISI/CTN]]</f>
        <v>0</v>
      </c>
      <c r="AW518" s="47"/>
      <c r="AX518" s="7"/>
      <c r="AY518" s="7" t="str">
        <f ca="1">IF(TODAY()-Table43[[#This Row],[Efektif
Pembuatan]]&gt;60,"Lama","Baru")</f>
        <v>Lama</v>
      </c>
      <c r="AZ518" s="7" t="str">
        <f ca="1">IF(TODAY()-Table43[[#This Row],[Efektif Naik Harga]]&lt;30,"Naik","Sama")</f>
        <v>Sama</v>
      </c>
      <c r="BA518" s="7" t="str">
        <f>IF(Table43[[#This Row],[Kode BARANG Win2]]&lt;&gt;"","IDR","")</f>
        <v>IDR</v>
      </c>
      <c r="BB518" s="7" t="str">
        <f>CONCATENATE(Table43[[#This Row],[kode  1 Digit
(Nomor)]],Table43[[#This Row],[kode  4 Digit                (Nomor)]])</f>
        <v>10050</v>
      </c>
      <c r="BC518" s="7" t="str">
        <f>Table43[[#This Row],[Nama            Gramasi atau Jumlah Pack per CTN]]</f>
        <v>50ML</v>
      </c>
      <c r="BD518" s="7"/>
      <c r="BE518" s="7"/>
      <c r="BF518" s="4" t="str">
        <f>IF(Table43[[#This Row],[SATUAN Fix Win]]&lt;&gt;"","KRT")</f>
        <v>KRT</v>
      </c>
      <c r="BG518" s="4" t="str">
        <f>IF(Table43[[#This Row],[SATUAN Fix Win]]&lt;&gt;"","GD01")</f>
        <v>GD01</v>
      </c>
      <c r="BH518" s="4">
        <f>IF(Table43[[#This Row],[SATUAN Fix Win]]&lt;&gt;"",11611)</f>
        <v>11611</v>
      </c>
      <c r="BI518" s="4">
        <f>IF(Table43[[#This Row],[SATUAN Fix Win]]&lt;&gt;"",11612)</f>
        <v>11612</v>
      </c>
      <c r="BJ518" s="48"/>
      <c r="BK518" s="4">
        <f>IF(Table43[[#This Row],[SATUAN Fix Win]]&lt;&gt;"",1)</f>
        <v>1</v>
      </c>
    </row>
    <row r="519" spans="1:63">
      <c r="A519" s="4" t="str">
        <f>CONCATENATE(Table43[[#This Row],[Kode BARANG Win2]],Table43[[#This Row],[No. Urut
Item Sama]])</f>
        <v>K14000040125101</v>
      </c>
      <c r="B519" s="7">
        <v>1</v>
      </c>
      <c r="D519" s="28" t="s">
        <v>607</v>
      </c>
      <c r="E519" s="28"/>
      <c r="F519" s="28" t="s">
        <v>3282</v>
      </c>
      <c r="G519" s="78">
        <v>36</v>
      </c>
      <c r="H519" s="43"/>
      <c r="I519" s="28" t="str">
        <f>Table43[[#This Row],[Nama Jenis Kemasan]]</f>
        <v>BTL</v>
      </c>
      <c r="J519" s="4" t="str">
        <f>TRIM(CONCATENATE(Table43[[#This Row],[Nama            KLP]]," ",Table43[[#This Row],[Nama            Sub KLP]]))</f>
        <v>RESIK V SKW</v>
      </c>
      <c r="K519" s="4" t="str">
        <f>CONCATENATE(Table43[[#This Row],[kode  2 Digit                (hrf+No)]],Table43[[#This Row],[kode  2 Digit                (Nomor)]],Table43[[#This Row],[kode  1 Digit                (Nomor)]])</f>
        <v>K1400</v>
      </c>
      <c r="L519" s="4" t="str">
        <f t="shared" si="24"/>
        <v>K1400004012510</v>
      </c>
      <c r="M519" s="11">
        <f t="shared" si="25"/>
        <v>14</v>
      </c>
      <c r="N519" s="14" t="str">
        <f>IF(AF519&lt;&gt;"",TRIM(UPPER(CONCATENATE(P519," ",R519," ",T519," ",V519," ",X519," ",Z519," ","X"," ",Table43[[#This Row],[ISI/CTN]]," ",AF519," ",AB519," ",AD519," ",AH519))),TRIM(UPPER(CONCATENATE(P519," ",R519," ",T519," ",V519," ",X519," ",Z519," ","X"," ",Table43[[#This Row],[ISI/CTN]]," ",AB519," ",AD519," ",AH519))))</f>
        <v>KNF RESIK V SKW MAWAR 125ML X 36 BTL</v>
      </c>
      <c r="O519" s="11">
        <f t="shared" si="26"/>
        <v>36</v>
      </c>
      <c r="P519" s="4" t="s">
        <v>97</v>
      </c>
      <c r="Q519" s="7" t="s">
        <v>98</v>
      </c>
      <c r="R519" s="4" t="s">
        <v>3932</v>
      </c>
      <c r="S519" s="44" t="s">
        <v>3933</v>
      </c>
      <c r="T519" s="45" t="s">
        <v>2961</v>
      </c>
      <c r="U519" s="7" t="s">
        <v>2900</v>
      </c>
      <c r="V519" s="45" t="s">
        <v>2961</v>
      </c>
      <c r="W519" s="44" t="s">
        <v>2900</v>
      </c>
      <c r="X519" s="4" t="s">
        <v>3937</v>
      </c>
      <c r="Y519" s="46" t="s">
        <v>2474</v>
      </c>
      <c r="Z519" s="4" t="s">
        <v>3620</v>
      </c>
      <c r="AA519" s="46" t="s">
        <v>2489</v>
      </c>
      <c r="AB519" s="4" t="s">
        <v>357</v>
      </c>
      <c r="AC519" s="7" t="s">
        <v>2656</v>
      </c>
      <c r="AD519" s="4" t="s">
        <v>2961</v>
      </c>
      <c r="AE519" s="7" t="s">
        <v>2900</v>
      </c>
      <c r="AF519" s="7" t="s">
        <v>2961</v>
      </c>
      <c r="AG519" s="7" t="s">
        <v>2961</v>
      </c>
      <c r="AI519" s="7" t="s">
        <v>4100</v>
      </c>
      <c r="AJ519" s="7" t="s">
        <v>2656</v>
      </c>
      <c r="AK519" s="41">
        <f>Table43[[#This Row],[Harga Jual Pcs GT
(-PPN)]]-(Table43[[#This Row],[Harga Jual Pcs GT
(-PPN)]]*10%)</f>
        <v>0</v>
      </c>
      <c r="AL519" s="42">
        <f>Table43[[#This Row],[Harga Beli Pcs
(-PPN)]]*Table43[[#This Row],[ISI/CTN]]</f>
        <v>0</v>
      </c>
      <c r="AM519" s="42">
        <f>Table43[[#This Row],[Harga Beli Pcs
(-PPN)]]*1.11</f>
        <v>0</v>
      </c>
      <c r="AN519" s="42">
        <f>Table43[[#This Row],[Harga Beli Krt
(- PPN)]]*1.11</f>
        <v>0</v>
      </c>
      <c r="AO519" s="42"/>
      <c r="AP519" s="42">
        <f>Table43[[#This Row],[Harga Jual Pcs GT
(-PPN)]]*Table43[[#This Row],[ISI/CTN]]</f>
        <v>0</v>
      </c>
      <c r="AQ519" s="42">
        <f>Table43[[#This Row],[Harga Jual Pcs GT
(-PPN)]]*1.11</f>
        <v>0</v>
      </c>
      <c r="AR519" s="42">
        <f>Table43[[#This Row],[Harga Jual Krt GT
(- PPN)]]*1.11</f>
        <v>0</v>
      </c>
      <c r="AS519" s="42">
        <f>Table43[[#This Row],[Harga Jual Pcs GT
(-PPN)]]</f>
        <v>0</v>
      </c>
      <c r="AT519" s="42">
        <f>(Table43[[#This Row],[Harga Jual Pcs MT
(-PPN)]]*Table43[[#This Row],[ISI/CTN]])</f>
        <v>0</v>
      </c>
      <c r="AU519" s="42">
        <f>Table43[[#This Row],[Harga Jual Pcs MT
(-PPN)]]*1.11</f>
        <v>0</v>
      </c>
      <c r="AV519" s="42">
        <f>Table43[[#This Row],[Harga Jual Pcs MT
(+PPN)]]*Table43[[#This Row],[ISI/CTN]]</f>
        <v>0</v>
      </c>
      <c r="AW519" s="47"/>
      <c r="AX519" s="7"/>
      <c r="AY519" s="7" t="str">
        <f ca="1">IF(TODAY()-Table43[[#This Row],[Efektif
Pembuatan]]&gt;60,"Lama","Baru")</f>
        <v>Lama</v>
      </c>
      <c r="AZ519" s="7" t="str">
        <f ca="1">IF(TODAY()-Table43[[#This Row],[Efektif Naik Harga]]&lt;30,"Naik","Sama")</f>
        <v>Sama</v>
      </c>
      <c r="BA519" s="7" t="str">
        <f>IF(Table43[[#This Row],[Kode BARANG Win2]]&lt;&gt;"","IDR","")</f>
        <v>IDR</v>
      </c>
      <c r="BB519" s="7" t="str">
        <f>CONCATENATE(Table43[[#This Row],[kode  1 Digit
(Nomor)]],Table43[[#This Row],[kode  4 Digit                (Nomor)]])</f>
        <v>10125</v>
      </c>
      <c r="BC519" s="7" t="str">
        <f>Table43[[#This Row],[Nama            Gramasi atau Jumlah Pack per CTN]]</f>
        <v>125ML</v>
      </c>
      <c r="BD519" s="7"/>
      <c r="BE519" s="7"/>
      <c r="BF519" s="4" t="str">
        <f>IF(Table43[[#This Row],[SATUAN Fix Win]]&lt;&gt;"","KRT")</f>
        <v>KRT</v>
      </c>
      <c r="BG519" s="4" t="str">
        <f>IF(Table43[[#This Row],[SATUAN Fix Win]]&lt;&gt;"","GD01")</f>
        <v>GD01</v>
      </c>
      <c r="BH519" s="4">
        <f>IF(Table43[[#This Row],[SATUAN Fix Win]]&lt;&gt;"",11611)</f>
        <v>11611</v>
      </c>
      <c r="BI519" s="4">
        <f>IF(Table43[[#This Row],[SATUAN Fix Win]]&lt;&gt;"",11612)</f>
        <v>11612</v>
      </c>
      <c r="BJ519" s="48"/>
      <c r="BK519" s="4">
        <f>IF(Table43[[#This Row],[SATUAN Fix Win]]&lt;&gt;"",1)</f>
        <v>1</v>
      </c>
    </row>
    <row r="520" spans="1:63">
      <c r="A520" s="4" t="str">
        <f>CONCATENATE(Table43[[#This Row],[Kode BARANG Win2]],Table43[[#This Row],[No. Urut
Item Sama]])</f>
        <v>K14000050125101</v>
      </c>
      <c r="B520" s="7">
        <v>1</v>
      </c>
      <c r="D520" s="28" t="s">
        <v>611</v>
      </c>
      <c r="E520" s="28"/>
      <c r="F520" s="28" t="s">
        <v>3283</v>
      </c>
      <c r="G520" s="78">
        <v>36</v>
      </c>
      <c r="H520" s="43"/>
      <c r="I520" s="28" t="str">
        <f>Table43[[#This Row],[Nama Jenis Kemasan]]</f>
        <v>BTL</v>
      </c>
      <c r="J520" s="4" t="str">
        <f>TRIM(CONCATENATE(Table43[[#This Row],[Nama            KLP]]," ",Table43[[#This Row],[Nama            Sub KLP]]))</f>
        <v>RESIK V SKW</v>
      </c>
      <c r="K520" s="4" t="str">
        <f>CONCATENATE(Table43[[#This Row],[kode  2 Digit                (hrf+No)]],Table43[[#This Row],[kode  2 Digit                (Nomor)]],Table43[[#This Row],[kode  1 Digit                (Nomor)]])</f>
        <v>K1400</v>
      </c>
      <c r="L520" s="4" t="str">
        <f t="shared" si="24"/>
        <v>K1400005012510</v>
      </c>
      <c r="M520" s="11">
        <f t="shared" si="25"/>
        <v>14</v>
      </c>
      <c r="N520" s="14" t="str">
        <f>IF(AF520&lt;&gt;"",TRIM(UPPER(CONCATENATE(P520," ",R520," ",T520," ",V520," ",X520," ",Z520," ","X"," ",Table43[[#This Row],[ISI/CTN]]," ",AF520," ",AB520," ",AD520," ",AH520))),TRIM(UPPER(CONCATENATE(P520," ",R520," ",T520," ",V520," ",X520," ",Z520," ","X"," ",Table43[[#This Row],[ISI/CTN]]," ",AB520," ",AD520," ",AH520))))</f>
        <v>KNF RESIK V SKW MELATI 125ML X 36 BTL</v>
      </c>
      <c r="O520" s="11">
        <f t="shared" si="26"/>
        <v>37</v>
      </c>
      <c r="P520" s="4" t="s">
        <v>97</v>
      </c>
      <c r="Q520" s="7" t="s">
        <v>98</v>
      </c>
      <c r="R520" s="4" t="s">
        <v>3932</v>
      </c>
      <c r="S520" s="44" t="s">
        <v>3933</v>
      </c>
      <c r="T520" s="45" t="s">
        <v>2961</v>
      </c>
      <c r="U520" s="7" t="s">
        <v>2900</v>
      </c>
      <c r="V520" s="45" t="s">
        <v>2961</v>
      </c>
      <c r="W520" s="44" t="s">
        <v>2900</v>
      </c>
      <c r="X520" s="4" t="s">
        <v>3938</v>
      </c>
      <c r="Y520" s="46" t="s">
        <v>2475</v>
      </c>
      <c r="Z520" s="4" t="s">
        <v>3620</v>
      </c>
      <c r="AA520" s="46" t="s">
        <v>2489</v>
      </c>
      <c r="AB520" s="4" t="s">
        <v>357</v>
      </c>
      <c r="AC520" s="7" t="s">
        <v>2656</v>
      </c>
      <c r="AD520" s="4" t="s">
        <v>2961</v>
      </c>
      <c r="AE520" s="7" t="s">
        <v>2900</v>
      </c>
      <c r="AF520" s="7" t="s">
        <v>2961</v>
      </c>
      <c r="AG520" s="7" t="s">
        <v>2961</v>
      </c>
      <c r="AI520" s="7" t="s">
        <v>4100</v>
      </c>
      <c r="AJ520" s="7" t="s">
        <v>2656</v>
      </c>
      <c r="AK520" s="41">
        <f>Table43[[#This Row],[Harga Jual Pcs GT
(-PPN)]]-(Table43[[#This Row],[Harga Jual Pcs GT
(-PPN)]]*10%)</f>
        <v>0</v>
      </c>
      <c r="AL520" s="42">
        <f>Table43[[#This Row],[Harga Beli Pcs
(-PPN)]]*Table43[[#This Row],[ISI/CTN]]</f>
        <v>0</v>
      </c>
      <c r="AM520" s="42">
        <f>Table43[[#This Row],[Harga Beli Pcs
(-PPN)]]*1.11</f>
        <v>0</v>
      </c>
      <c r="AN520" s="42">
        <f>Table43[[#This Row],[Harga Beli Krt
(- PPN)]]*1.11</f>
        <v>0</v>
      </c>
      <c r="AO520" s="42"/>
      <c r="AP520" s="42">
        <f>Table43[[#This Row],[Harga Jual Pcs GT
(-PPN)]]*Table43[[#This Row],[ISI/CTN]]</f>
        <v>0</v>
      </c>
      <c r="AQ520" s="42">
        <f>Table43[[#This Row],[Harga Jual Pcs GT
(-PPN)]]*1.11</f>
        <v>0</v>
      </c>
      <c r="AR520" s="42">
        <f>Table43[[#This Row],[Harga Jual Krt GT
(- PPN)]]*1.11</f>
        <v>0</v>
      </c>
      <c r="AS520" s="42">
        <f>Table43[[#This Row],[Harga Jual Pcs GT
(-PPN)]]</f>
        <v>0</v>
      </c>
      <c r="AT520" s="42">
        <f>(Table43[[#This Row],[Harga Jual Pcs MT
(-PPN)]]*Table43[[#This Row],[ISI/CTN]])</f>
        <v>0</v>
      </c>
      <c r="AU520" s="42">
        <f>Table43[[#This Row],[Harga Jual Pcs MT
(-PPN)]]*1.11</f>
        <v>0</v>
      </c>
      <c r="AV520" s="42">
        <f>Table43[[#This Row],[Harga Jual Pcs MT
(+PPN)]]*Table43[[#This Row],[ISI/CTN]]</f>
        <v>0</v>
      </c>
      <c r="AW520" s="47"/>
      <c r="AX520" s="7"/>
      <c r="AY520" s="7" t="str">
        <f ca="1">IF(TODAY()-Table43[[#This Row],[Efektif
Pembuatan]]&gt;60,"Lama","Baru")</f>
        <v>Lama</v>
      </c>
      <c r="AZ520" s="7" t="str">
        <f ca="1">IF(TODAY()-Table43[[#This Row],[Efektif Naik Harga]]&lt;30,"Naik","Sama")</f>
        <v>Sama</v>
      </c>
      <c r="BA520" s="7" t="str">
        <f>IF(Table43[[#This Row],[Kode BARANG Win2]]&lt;&gt;"","IDR","")</f>
        <v>IDR</v>
      </c>
      <c r="BB520" s="7" t="str">
        <f>CONCATENATE(Table43[[#This Row],[kode  1 Digit
(Nomor)]],Table43[[#This Row],[kode  4 Digit                (Nomor)]])</f>
        <v>10125</v>
      </c>
      <c r="BC520" s="7" t="str">
        <f>Table43[[#This Row],[Nama            Gramasi atau Jumlah Pack per CTN]]</f>
        <v>125ML</v>
      </c>
      <c r="BD520" s="7"/>
      <c r="BE520" s="7"/>
      <c r="BF520" s="4" t="str">
        <f>IF(Table43[[#This Row],[SATUAN Fix Win]]&lt;&gt;"","KRT")</f>
        <v>KRT</v>
      </c>
      <c r="BG520" s="4" t="str">
        <f>IF(Table43[[#This Row],[SATUAN Fix Win]]&lt;&gt;"","GD01")</f>
        <v>GD01</v>
      </c>
      <c r="BH520" s="4">
        <f>IF(Table43[[#This Row],[SATUAN Fix Win]]&lt;&gt;"",11611)</f>
        <v>11611</v>
      </c>
      <c r="BI520" s="4">
        <f>IF(Table43[[#This Row],[SATUAN Fix Win]]&lt;&gt;"",11612)</f>
        <v>11612</v>
      </c>
      <c r="BJ520" s="48"/>
      <c r="BK520" s="4">
        <f>IF(Table43[[#This Row],[SATUAN Fix Win]]&lt;&gt;"",1)</f>
        <v>1</v>
      </c>
    </row>
    <row r="521" spans="1:63">
      <c r="A521" s="4" t="str">
        <f>CONCATENATE(Table43[[#This Row],[Kode BARANG Win2]],Table43[[#This Row],[No. Urut
Item Sama]])</f>
        <v>K14000060050101</v>
      </c>
      <c r="B521" s="7">
        <v>1</v>
      </c>
      <c r="D521" s="28" t="s">
        <v>608</v>
      </c>
      <c r="E521" s="28"/>
      <c r="F521" s="28" t="s">
        <v>3284</v>
      </c>
      <c r="G521" s="78">
        <v>72</v>
      </c>
      <c r="H521" s="43"/>
      <c r="I521" s="28" t="str">
        <f>Table43[[#This Row],[Nama Jenis Kemasan]]</f>
        <v>BTL</v>
      </c>
      <c r="J521" s="4" t="str">
        <f>TRIM(CONCATENATE(Table43[[#This Row],[Nama            KLP]]," ",Table43[[#This Row],[Nama            Sub KLP]]))</f>
        <v>RESIK V SKW</v>
      </c>
      <c r="K521" s="4" t="str">
        <f>CONCATENATE(Table43[[#This Row],[kode  2 Digit                (hrf+No)]],Table43[[#This Row],[kode  2 Digit                (Nomor)]],Table43[[#This Row],[kode  1 Digit                (Nomor)]])</f>
        <v>K1400</v>
      </c>
      <c r="L521" s="4" t="str">
        <f t="shared" si="24"/>
        <v>K1400006005010</v>
      </c>
      <c r="M521" s="11">
        <f t="shared" si="25"/>
        <v>14</v>
      </c>
      <c r="N521" s="14" t="str">
        <f>IF(AF521&lt;&gt;"",TRIM(UPPER(CONCATENATE(P521," ",R521," ",T521," ",V521," ",X521," ",Z521," ","X"," ",Table43[[#This Row],[ISI/CTN]]," ",AF521," ",AB521," ",AD521," ",AH521))),TRIM(UPPER(CONCATENATE(P521," ",R521," ",T521," ",V521," ",X521," ",Z521," ","X"," ",Table43[[#This Row],[ISI/CTN]]," ",AB521," ",AD521," ",AH521))))</f>
        <v>KNF RESIK V SKW SIRIH WANGI 50ML X 72 BTL</v>
      </c>
      <c r="O521" s="11">
        <f t="shared" si="26"/>
        <v>41</v>
      </c>
      <c r="P521" s="4" t="s">
        <v>97</v>
      </c>
      <c r="Q521" s="7" t="s">
        <v>98</v>
      </c>
      <c r="R521" s="4" t="s">
        <v>3932</v>
      </c>
      <c r="S521" s="44" t="s">
        <v>3933</v>
      </c>
      <c r="T521" s="45" t="s">
        <v>2961</v>
      </c>
      <c r="U521" s="7" t="s">
        <v>2900</v>
      </c>
      <c r="V521" s="45" t="s">
        <v>2961</v>
      </c>
      <c r="W521" s="44" t="s">
        <v>2900</v>
      </c>
      <c r="X521" s="4" t="s">
        <v>3926</v>
      </c>
      <c r="Y521" s="46" t="s">
        <v>2476</v>
      </c>
      <c r="Z521" s="4" t="s">
        <v>3654</v>
      </c>
      <c r="AA521" s="46" t="s">
        <v>2490</v>
      </c>
      <c r="AB521" s="4" t="s">
        <v>357</v>
      </c>
      <c r="AC521" s="7" t="s">
        <v>2656</v>
      </c>
      <c r="AD521" s="4" t="s">
        <v>2961</v>
      </c>
      <c r="AE521" s="7" t="s">
        <v>2900</v>
      </c>
      <c r="AF521" s="7" t="s">
        <v>2961</v>
      </c>
      <c r="AG521" s="7" t="s">
        <v>2961</v>
      </c>
      <c r="AI521" s="7" t="s">
        <v>4100</v>
      </c>
      <c r="AJ521" s="7" t="s">
        <v>2656</v>
      </c>
      <c r="AK521" s="41">
        <f>Table43[[#This Row],[Harga Jual Pcs GT
(-PPN)]]-(Table43[[#This Row],[Harga Jual Pcs GT
(-PPN)]]*10%)</f>
        <v>0</v>
      </c>
      <c r="AL521" s="42">
        <f>Table43[[#This Row],[Harga Beli Pcs
(-PPN)]]*Table43[[#This Row],[ISI/CTN]]</f>
        <v>0</v>
      </c>
      <c r="AM521" s="42">
        <f>Table43[[#This Row],[Harga Beli Pcs
(-PPN)]]*1.11</f>
        <v>0</v>
      </c>
      <c r="AN521" s="42">
        <f>Table43[[#This Row],[Harga Beli Krt
(- PPN)]]*1.11</f>
        <v>0</v>
      </c>
      <c r="AO521" s="42"/>
      <c r="AP521" s="42">
        <f>Table43[[#This Row],[Harga Jual Pcs GT
(-PPN)]]*Table43[[#This Row],[ISI/CTN]]</f>
        <v>0</v>
      </c>
      <c r="AQ521" s="42">
        <f>Table43[[#This Row],[Harga Jual Pcs GT
(-PPN)]]*1.11</f>
        <v>0</v>
      </c>
      <c r="AR521" s="42">
        <f>Table43[[#This Row],[Harga Jual Krt GT
(- PPN)]]*1.11</f>
        <v>0</v>
      </c>
      <c r="AS521" s="42">
        <f>Table43[[#This Row],[Harga Jual Pcs GT
(-PPN)]]</f>
        <v>0</v>
      </c>
      <c r="AT521" s="42">
        <f>(Table43[[#This Row],[Harga Jual Pcs MT
(-PPN)]]*Table43[[#This Row],[ISI/CTN]])</f>
        <v>0</v>
      </c>
      <c r="AU521" s="42">
        <f>Table43[[#This Row],[Harga Jual Pcs MT
(-PPN)]]*1.11</f>
        <v>0</v>
      </c>
      <c r="AV521" s="42">
        <f>Table43[[#This Row],[Harga Jual Pcs MT
(+PPN)]]*Table43[[#This Row],[ISI/CTN]]</f>
        <v>0</v>
      </c>
      <c r="AW521" s="47"/>
      <c r="AX521" s="7"/>
      <c r="AY521" s="7" t="str">
        <f ca="1">IF(TODAY()-Table43[[#This Row],[Efektif
Pembuatan]]&gt;60,"Lama","Baru")</f>
        <v>Lama</v>
      </c>
      <c r="AZ521" s="7" t="str">
        <f ca="1">IF(TODAY()-Table43[[#This Row],[Efektif Naik Harga]]&lt;30,"Naik","Sama")</f>
        <v>Sama</v>
      </c>
      <c r="BA521" s="7" t="str">
        <f>IF(Table43[[#This Row],[Kode BARANG Win2]]&lt;&gt;"","IDR","")</f>
        <v>IDR</v>
      </c>
      <c r="BB521" s="7" t="str">
        <f>CONCATENATE(Table43[[#This Row],[kode  1 Digit
(Nomor)]],Table43[[#This Row],[kode  4 Digit                (Nomor)]])</f>
        <v>10050</v>
      </c>
      <c r="BC521" s="7" t="str">
        <f>Table43[[#This Row],[Nama            Gramasi atau Jumlah Pack per CTN]]</f>
        <v>50ML</v>
      </c>
      <c r="BD521" s="7"/>
      <c r="BE521" s="7"/>
      <c r="BF521" s="4" t="str">
        <f>IF(Table43[[#This Row],[SATUAN Fix Win]]&lt;&gt;"","KRT")</f>
        <v>KRT</v>
      </c>
      <c r="BG521" s="4" t="str">
        <f>IF(Table43[[#This Row],[SATUAN Fix Win]]&lt;&gt;"","GD01")</f>
        <v>GD01</v>
      </c>
      <c r="BH521" s="4">
        <f>IF(Table43[[#This Row],[SATUAN Fix Win]]&lt;&gt;"",11611)</f>
        <v>11611</v>
      </c>
      <c r="BI521" s="4">
        <f>IF(Table43[[#This Row],[SATUAN Fix Win]]&lt;&gt;"",11612)</f>
        <v>11612</v>
      </c>
      <c r="BJ521" s="48"/>
      <c r="BK521" s="4">
        <f>IF(Table43[[#This Row],[SATUAN Fix Win]]&lt;&gt;"",1)</f>
        <v>1</v>
      </c>
    </row>
    <row r="522" spans="1:63">
      <c r="A522" s="4" t="str">
        <f>CONCATENATE(Table43[[#This Row],[Kode BARANG Win2]],Table43[[#This Row],[No. Urut
Item Sama]])</f>
        <v>K14000060125101</v>
      </c>
      <c r="B522" s="7">
        <v>1</v>
      </c>
      <c r="D522" s="28" t="s">
        <v>609</v>
      </c>
      <c r="E522" s="28"/>
      <c r="F522" s="28" t="s">
        <v>3285</v>
      </c>
      <c r="G522" s="78">
        <v>36</v>
      </c>
      <c r="H522" s="43"/>
      <c r="I522" s="28" t="str">
        <f>Table43[[#This Row],[Nama Jenis Kemasan]]</f>
        <v>BTL</v>
      </c>
      <c r="J522" s="4" t="str">
        <f>TRIM(CONCATENATE(Table43[[#This Row],[Nama            KLP]]," ",Table43[[#This Row],[Nama            Sub KLP]]))</f>
        <v>RESIK V SKW</v>
      </c>
      <c r="K522" s="4" t="str">
        <f>CONCATENATE(Table43[[#This Row],[kode  2 Digit                (hrf+No)]],Table43[[#This Row],[kode  2 Digit                (Nomor)]],Table43[[#This Row],[kode  1 Digit                (Nomor)]])</f>
        <v>K1400</v>
      </c>
      <c r="L522" s="4" t="str">
        <f t="shared" si="24"/>
        <v>K1400006012510</v>
      </c>
      <c r="M522" s="11">
        <f t="shared" si="25"/>
        <v>14</v>
      </c>
      <c r="N522" s="14" t="str">
        <f>IF(AF522&lt;&gt;"",TRIM(UPPER(CONCATENATE(P522," ",R522," ",T522," ",V522," ",X522," ",Z522," ","X"," ",Table43[[#This Row],[ISI/CTN]]," ",AF522," ",AB522," ",AD522," ",AH522))),TRIM(UPPER(CONCATENATE(P522," ",R522," ",T522," ",V522," ",X522," ",Z522," ","X"," ",Table43[[#This Row],[ISI/CTN]]," ",AB522," ",AD522," ",AH522))))</f>
        <v>KNF RESIK V SKW SIRIH WANGI 125ML X 36 BTL</v>
      </c>
      <c r="O522" s="11">
        <f t="shared" si="26"/>
        <v>42</v>
      </c>
      <c r="P522" s="4" t="s">
        <v>97</v>
      </c>
      <c r="Q522" s="7" t="s">
        <v>98</v>
      </c>
      <c r="R522" s="4" t="s">
        <v>3932</v>
      </c>
      <c r="S522" s="44" t="s">
        <v>3933</v>
      </c>
      <c r="T522" s="45" t="s">
        <v>2961</v>
      </c>
      <c r="U522" s="7" t="s">
        <v>2900</v>
      </c>
      <c r="V522" s="45" t="s">
        <v>2961</v>
      </c>
      <c r="W522" s="44" t="s">
        <v>2900</v>
      </c>
      <c r="X522" s="4" t="s">
        <v>3926</v>
      </c>
      <c r="Y522" s="46" t="s">
        <v>2476</v>
      </c>
      <c r="Z522" s="4" t="s">
        <v>3620</v>
      </c>
      <c r="AA522" s="46" t="s">
        <v>2489</v>
      </c>
      <c r="AB522" s="4" t="s">
        <v>357</v>
      </c>
      <c r="AC522" s="7" t="s">
        <v>2656</v>
      </c>
      <c r="AD522" s="4" t="s">
        <v>2961</v>
      </c>
      <c r="AE522" s="7" t="s">
        <v>2900</v>
      </c>
      <c r="AF522" s="7" t="s">
        <v>2961</v>
      </c>
      <c r="AG522" s="7" t="s">
        <v>2961</v>
      </c>
      <c r="AI522" s="7" t="s">
        <v>4100</v>
      </c>
      <c r="AJ522" s="7" t="s">
        <v>2656</v>
      </c>
      <c r="AK522" s="41">
        <f>Table43[[#This Row],[Harga Jual Pcs GT
(-PPN)]]-(Table43[[#This Row],[Harga Jual Pcs GT
(-PPN)]]*10%)</f>
        <v>0</v>
      </c>
      <c r="AL522" s="42">
        <f>Table43[[#This Row],[Harga Beli Pcs
(-PPN)]]*Table43[[#This Row],[ISI/CTN]]</f>
        <v>0</v>
      </c>
      <c r="AM522" s="42">
        <f>Table43[[#This Row],[Harga Beli Pcs
(-PPN)]]*1.11</f>
        <v>0</v>
      </c>
      <c r="AN522" s="42">
        <f>Table43[[#This Row],[Harga Beli Krt
(- PPN)]]*1.11</f>
        <v>0</v>
      </c>
      <c r="AO522" s="42"/>
      <c r="AP522" s="42">
        <f>Table43[[#This Row],[Harga Jual Pcs GT
(-PPN)]]*Table43[[#This Row],[ISI/CTN]]</f>
        <v>0</v>
      </c>
      <c r="AQ522" s="42">
        <f>Table43[[#This Row],[Harga Jual Pcs GT
(-PPN)]]*1.11</f>
        <v>0</v>
      </c>
      <c r="AR522" s="42">
        <f>Table43[[#This Row],[Harga Jual Krt GT
(- PPN)]]*1.11</f>
        <v>0</v>
      </c>
      <c r="AS522" s="42">
        <f>Table43[[#This Row],[Harga Jual Pcs GT
(-PPN)]]</f>
        <v>0</v>
      </c>
      <c r="AT522" s="42">
        <f>(Table43[[#This Row],[Harga Jual Pcs MT
(-PPN)]]*Table43[[#This Row],[ISI/CTN]])</f>
        <v>0</v>
      </c>
      <c r="AU522" s="42">
        <f>Table43[[#This Row],[Harga Jual Pcs MT
(-PPN)]]*1.11</f>
        <v>0</v>
      </c>
      <c r="AV522" s="42">
        <f>Table43[[#This Row],[Harga Jual Pcs MT
(+PPN)]]*Table43[[#This Row],[ISI/CTN]]</f>
        <v>0</v>
      </c>
      <c r="AW522" s="47"/>
      <c r="AX522" s="7"/>
      <c r="AY522" s="7" t="str">
        <f ca="1">IF(TODAY()-Table43[[#This Row],[Efektif
Pembuatan]]&gt;60,"Lama","Baru")</f>
        <v>Lama</v>
      </c>
      <c r="AZ522" s="7" t="str">
        <f ca="1">IF(TODAY()-Table43[[#This Row],[Efektif Naik Harga]]&lt;30,"Naik","Sama")</f>
        <v>Sama</v>
      </c>
      <c r="BA522" s="7" t="str">
        <f>IF(Table43[[#This Row],[Kode BARANG Win2]]&lt;&gt;"","IDR","")</f>
        <v>IDR</v>
      </c>
      <c r="BB522" s="7" t="str">
        <f>CONCATENATE(Table43[[#This Row],[kode  1 Digit
(Nomor)]],Table43[[#This Row],[kode  4 Digit                (Nomor)]])</f>
        <v>10125</v>
      </c>
      <c r="BC522" s="7" t="str">
        <f>Table43[[#This Row],[Nama            Gramasi atau Jumlah Pack per CTN]]</f>
        <v>125ML</v>
      </c>
      <c r="BD522" s="7"/>
      <c r="BE522" s="7"/>
      <c r="BF522" s="4" t="str">
        <f>IF(Table43[[#This Row],[SATUAN Fix Win]]&lt;&gt;"","KRT")</f>
        <v>KRT</v>
      </c>
      <c r="BG522" s="4" t="str">
        <f>IF(Table43[[#This Row],[SATUAN Fix Win]]&lt;&gt;"","GD01")</f>
        <v>GD01</v>
      </c>
      <c r="BH522" s="4">
        <f>IF(Table43[[#This Row],[SATUAN Fix Win]]&lt;&gt;"",11611)</f>
        <v>11611</v>
      </c>
      <c r="BI522" s="4">
        <f>IF(Table43[[#This Row],[SATUAN Fix Win]]&lt;&gt;"",11612)</f>
        <v>11612</v>
      </c>
      <c r="BJ522" s="48"/>
      <c r="BK522" s="4">
        <f>IF(Table43[[#This Row],[SATUAN Fix Win]]&lt;&gt;"",1)</f>
        <v>1</v>
      </c>
    </row>
    <row r="523" spans="1:63">
      <c r="A523" s="4" t="str">
        <f>CONCATENATE(Table43[[#This Row],[Kode BARANG Win2]],Table43[[#This Row],[No. Urut
Item Sama]])</f>
        <v>K14100010030111</v>
      </c>
      <c r="B523" s="7">
        <v>1</v>
      </c>
      <c r="D523" s="28" t="s">
        <v>571</v>
      </c>
      <c r="E523" s="28"/>
      <c r="F523" s="28" t="s">
        <v>3286</v>
      </c>
      <c r="G523" s="78">
        <v>72</v>
      </c>
      <c r="H523" s="43"/>
      <c r="I523" s="28" t="str">
        <f>Table43[[#This Row],[Nama Jenis Kemasan]]</f>
        <v>SCH</v>
      </c>
      <c r="J523" s="4" t="str">
        <f>TRIM(CONCATENATE(Table43[[#This Row],[Nama            KLP]]," ",Table43[[#This Row],[Nama            Sub KLP]]))</f>
        <v>SAMANTHA CREAMBATH</v>
      </c>
      <c r="K523" s="4" t="str">
        <f>CONCATENATE(Table43[[#This Row],[kode  2 Digit                (hrf+No)]],Table43[[#This Row],[kode  2 Digit                (Nomor)]],Table43[[#This Row],[kode  1 Digit                (Nomor)]])</f>
        <v>K1410</v>
      </c>
      <c r="L523" s="4" t="str">
        <f t="shared" si="24"/>
        <v>K1410001003011</v>
      </c>
      <c r="M523" s="11">
        <f t="shared" si="25"/>
        <v>14</v>
      </c>
      <c r="N523" s="14" t="str">
        <f>IF(AF523&lt;&gt;"",TRIM(UPPER(CONCATENATE(P523," ",R523," ",T523," ",V523," ",X523," ",Z523," ","X"," ",Table43[[#This Row],[ISI/CTN]]," ",AF523," ",AB523," ",AD523," ",AH523))),TRIM(UPPER(CONCATENATE(P523," ",R523," ",T523," ",V523," ",X523," ",Z523," ","X"," ",Table43[[#This Row],[ISI/CTN]]," ",AB523," ",AD523," ",AH523))))</f>
        <v>KNF SAMANTHA CREAMBATH ALOE VERA 30GR X 72 SACHET SCH</v>
      </c>
      <c r="O523" s="11">
        <f t="shared" si="26"/>
        <v>53</v>
      </c>
      <c r="P523" s="4" t="s">
        <v>97</v>
      </c>
      <c r="Q523" s="7" t="s">
        <v>98</v>
      </c>
      <c r="R523" s="4" t="s">
        <v>3939</v>
      </c>
      <c r="S523" s="44" t="s">
        <v>3940</v>
      </c>
      <c r="T523" s="45" t="s">
        <v>2961</v>
      </c>
      <c r="U523" s="7" t="s">
        <v>2900</v>
      </c>
      <c r="V523" s="45" t="s">
        <v>2961</v>
      </c>
      <c r="W523" s="44" t="s">
        <v>2900</v>
      </c>
      <c r="X523" s="4" t="s">
        <v>3941</v>
      </c>
      <c r="Y523" s="46" t="s">
        <v>0</v>
      </c>
      <c r="Z523" s="4" t="s">
        <v>3942</v>
      </c>
      <c r="AA523" s="46" t="s">
        <v>2499</v>
      </c>
      <c r="AB523" s="4" t="s">
        <v>1022</v>
      </c>
      <c r="AC523" s="7" t="s">
        <v>2656</v>
      </c>
      <c r="AD523" s="4" t="s">
        <v>2961</v>
      </c>
      <c r="AE523" s="7" t="s">
        <v>2900</v>
      </c>
      <c r="AF523" s="7" t="s">
        <v>149</v>
      </c>
      <c r="AG523" s="7" t="s">
        <v>2656</v>
      </c>
      <c r="AI523" s="7" t="s">
        <v>2463</v>
      </c>
      <c r="AJ523" s="7" t="s">
        <v>3562</v>
      </c>
      <c r="AK523" s="41">
        <f>Table43[[#This Row],[Harga Jual Pcs GT
(-PPN)]]-(Table43[[#This Row],[Harga Jual Pcs GT
(-PPN)]]*10%)</f>
        <v>0</v>
      </c>
      <c r="AL523" s="42">
        <f>Table43[[#This Row],[Harga Beli Pcs
(-PPN)]]*Table43[[#This Row],[ISI/CTN]]</f>
        <v>0</v>
      </c>
      <c r="AM523" s="42">
        <f>Table43[[#This Row],[Harga Beli Pcs
(-PPN)]]*1.11</f>
        <v>0</v>
      </c>
      <c r="AN523" s="42">
        <f>Table43[[#This Row],[Harga Beli Krt
(- PPN)]]*1.11</f>
        <v>0</v>
      </c>
      <c r="AO523" s="42"/>
      <c r="AP523" s="42">
        <f>Table43[[#This Row],[Harga Jual Pcs GT
(-PPN)]]*Table43[[#This Row],[ISI/CTN]]</f>
        <v>0</v>
      </c>
      <c r="AQ523" s="42">
        <f>Table43[[#This Row],[Harga Jual Pcs GT
(-PPN)]]*1.11</f>
        <v>0</v>
      </c>
      <c r="AR523" s="42">
        <f>Table43[[#This Row],[Harga Jual Krt GT
(- PPN)]]*1.11</f>
        <v>0</v>
      </c>
      <c r="AS523" s="42">
        <f>Table43[[#This Row],[Harga Jual Pcs GT
(-PPN)]]</f>
        <v>0</v>
      </c>
      <c r="AT523" s="42">
        <f>(Table43[[#This Row],[Harga Jual Pcs MT
(-PPN)]]*Table43[[#This Row],[ISI/CTN]])</f>
        <v>0</v>
      </c>
      <c r="AU523" s="42">
        <f>Table43[[#This Row],[Harga Jual Pcs MT
(-PPN)]]*1.11</f>
        <v>0</v>
      </c>
      <c r="AV523" s="42">
        <f>Table43[[#This Row],[Harga Jual Pcs MT
(+PPN)]]*Table43[[#This Row],[ISI/CTN]]</f>
        <v>0</v>
      </c>
      <c r="AW523" s="47"/>
      <c r="AX523" s="7"/>
      <c r="AY523" s="7" t="str">
        <f ca="1">IF(TODAY()-Table43[[#This Row],[Efektif
Pembuatan]]&gt;60,"Lama","Baru")</f>
        <v>Lama</v>
      </c>
      <c r="AZ523" s="7" t="str">
        <f ca="1">IF(TODAY()-Table43[[#This Row],[Efektif Naik Harga]]&lt;30,"Naik","Sama")</f>
        <v>Sama</v>
      </c>
      <c r="BA523" s="7" t="str">
        <f>IF(Table43[[#This Row],[Kode BARANG Win2]]&lt;&gt;"","IDR","")</f>
        <v>IDR</v>
      </c>
      <c r="BB523" s="7" t="str">
        <f>CONCATENATE(Table43[[#This Row],[kode  1 Digit
(Nomor)]],Table43[[#This Row],[kode  4 Digit                (Nomor)]])</f>
        <v>20030</v>
      </c>
      <c r="BC523" s="7" t="str">
        <f>Table43[[#This Row],[Nama            Gramasi atau Jumlah Pack per CTN]]</f>
        <v>30GR</v>
      </c>
      <c r="BD523" s="7"/>
      <c r="BE523" s="7"/>
      <c r="BF523" s="4" t="str">
        <f>IF(Table43[[#This Row],[SATUAN Fix Win]]&lt;&gt;"","KRT")</f>
        <v>KRT</v>
      </c>
      <c r="BG523" s="4" t="str">
        <f>IF(Table43[[#This Row],[SATUAN Fix Win]]&lt;&gt;"","GD01")</f>
        <v>GD01</v>
      </c>
      <c r="BH523" s="4">
        <f>IF(Table43[[#This Row],[SATUAN Fix Win]]&lt;&gt;"",11611)</f>
        <v>11611</v>
      </c>
      <c r="BI523" s="4">
        <f>IF(Table43[[#This Row],[SATUAN Fix Win]]&lt;&gt;"",11612)</f>
        <v>11612</v>
      </c>
      <c r="BJ523" s="48"/>
      <c r="BK523" s="4">
        <f>IF(Table43[[#This Row],[SATUAN Fix Win]]&lt;&gt;"",1)</f>
        <v>1</v>
      </c>
    </row>
    <row r="524" spans="1:63">
      <c r="A524" s="4" t="str">
        <f>CONCATENATE(Table43[[#This Row],[Kode BARANG Win2]],Table43[[#This Row],[No. Urut
Item Sama]])</f>
        <v>K14100020030111</v>
      </c>
      <c r="B524" s="7">
        <v>1</v>
      </c>
      <c r="D524" s="28" t="s">
        <v>569</v>
      </c>
      <c r="E524" s="28"/>
      <c r="F524" s="28" t="s">
        <v>3287</v>
      </c>
      <c r="G524" s="78">
        <v>72</v>
      </c>
      <c r="H524" s="43"/>
      <c r="I524" s="28" t="str">
        <f>Table43[[#This Row],[Nama Jenis Kemasan]]</f>
        <v>SCH</v>
      </c>
      <c r="J524" s="4" t="str">
        <f>TRIM(CONCATENATE(Table43[[#This Row],[Nama            KLP]]," ",Table43[[#This Row],[Nama            Sub KLP]]))</f>
        <v>SAMANTHA CREAMBATH</v>
      </c>
      <c r="K524" s="4" t="str">
        <f>CONCATENATE(Table43[[#This Row],[kode  2 Digit                (hrf+No)]],Table43[[#This Row],[kode  2 Digit                (Nomor)]],Table43[[#This Row],[kode  1 Digit                (Nomor)]])</f>
        <v>K1410</v>
      </c>
      <c r="L524" s="4" t="str">
        <f t="shared" si="24"/>
        <v>K1410002003011</v>
      </c>
      <c r="M524" s="11">
        <f t="shared" si="25"/>
        <v>14</v>
      </c>
      <c r="N524" s="14" t="str">
        <f>IF(AF524&lt;&gt;"",TRIM(UPPER(CONCATENATE(P524," ",R524," ",T524," ",V524," ",X524," ",Z524," ","X"," ",Table43[[#This Row],[ISI/CTN]]," ",AF524," ",AB524," ",AD524," ",AH524))),TRIM(UPPER(CONCATENATE(P524," ",R524," ",T524," ",V524," ",X524," ",Z524," ","X"," ",Table43[[#This Row],[ISI/CTN]]," ",AB524," ",AD524," ",AH524))))</f>
        <v>KNF SAMANTHA CREAMBATH AVOCADO 30GR X 72 SACHET SCH</v>
      </c>
      <c r="O524" s="11">
        <f t="shared" si="26"/>
        <v>51</v>
      </c>
      <c r="P524" s="4" t="s">
        <v>97</v>
      </c>
      <c r="Q524" s="7" t="s">
        <v>98</v>
      </c>
      <c r="R524" s="4" t="s">
        <v>3939</v>
      </c>
      <c r="S524" s="44" t="s">
        <v>3940</v>
      </c>
      <c r="T524" s="45" t="s">
        <v>2961</v>
      </c>
      <c r="U524" s="7" t="s">
        <v>2900</v>
      </c>
      <c r="V524" s="45" t="s">
        <v>2961</v>
      </c>
      <c r="W524" s="44" t="s">
        <v>2900</v>
      </c>
      <c r="X524" s="4" t="s">
        <v>3772</v>
      </c>
      <c r="Y524" s="46" t="s">
        <v>2472</v>
      </c>
      <c r="Z524" s="4" t="s">
        <v>3942</v>
      </c>
      <c r="AA524" s="46" t="s">
        <v>2499</v>
      </c>
      <c r="AB524" s="4" t="s">
        <v>1022</v>
      </c>
      <c r="AC524" s="7" t="s">
        <v>2656</v>
      </c>
      <c r="AD524" s="4" t="s">
        <v>2961</v>
      </c>
      <c r="AE524" s="7" t="s">
        <v>2900</v>
      </c>
      <c r="AF524" s="7" t="s">
        <v>149</v>
      </c>
      <c r="AG524" s="7" t="s">
        <v>2656</v>
      </c>
      <c r="AI524" s="7" t="s">
        <v>2463</v>
      </c>
      <c r="AJ524" s="7" t="s">
        <v>3562</v>
      </c>
      <c r="AK524" s="41">
        <f>Table43[[#This Row],[Harga Jual Pcs GT
(-PPN)]]-(Table43[[#This Row],[Harga Jual Pcs GT
(-PPN)]]*10%)</f>
        <v>0</v>
      </c>
      <c r="AL524" s="42">
        <f>Table43[[#This Row],[Harga Beli Pcs
(-PPN)]]*Table43[[#This Row],[ISI/CTN]]</f>
        <v>0</v>
      </c>
      <c r="AM524" s="42">
        <f>Table43[[#This Row],[Harga Beli Pcs
(-PPN)]]*1.11</f>
        <v>0</v>
      </c>
      <c r="AN524" s="42">
        <f>Table43[[#This Row],[Harga Beli Krt
(- PPN)]]*1.11</f>
        <v>0</v>
      </c>
      <c r="AO524" s="42"/>
      <c r="AP524" s="42">
        <f>Table43[[#This Row],[Harga Jual Pcs GT
(-PPN)]]*Table43[[#This Row],[ISI/CTN]]</f>
        <v>0</v>
      </c>
      <c r="AQ524" s="42">
        <f>Table43[[#This Row],[Harga Jual Pcs GT
(-PPN)]]*1.11</f>
        <v>0</v>
      </c>
      <c r="AR524" s="42">
        <f>Table43[[#This Row],[Harga Jual Krt GT
(- PPN)]]*1.11</f>
        <v>0</v>
      </c>
      <c r="AS524" s="42">
        <f>Table43[[#This Row],[Harga Jual Pcs GT
(-PPN)]]</f>
        <v>0</v>
      </c>
      <c r="AT524" s="42">
        <f>(Table43[[#This Row],[Harga Jual Pcs MT
(-PPN)]]*Table43[[#This Row],[ISI/CTN]])</f>
        <v>0</v>
      </c>
      <c r="AU524" s="42">
        <f>Table43[[#This Row],[Harga Jual Pcs MT
(-PPN)]]*1.11</f>
        <v>0</v>
      </c>
      <c r="AV524" s="42">
        <f>Table43[[#This Row],[Harga Jual Pcs MT
(+PPN)]]*Table43[[#This Row],[ISI/CTN]]</f>
        <v>0</v>
      </c>
      <c r="AW524" s="47"/>
      <c r="AX524" s="7"/>
      <c r="AY524" s="7" t="str">
        <f ca="1">IF(TODAY()-Table43[[#This Row],[Efektif
Pembuatan]]&gt;60,"Lama","Baru")</f>
        <v>Lama</v>
      </c>
      <c r="AZ524" s="7" t="str">
        <f ca="1">IF(TODAY()-Table43[[#This Row],[Efektif Naik Harga]]&lt;30,"Naik","Sama")</f>
        <v>Sama</v>
      </c>
      <c r="BA524" s="7" t="str">
        <f>IF(Table43[[#This Row],[Kode BARANG Win2]]&lt;&gt;"","IDR","")</f>
        <v>IDR</v>
      </c>
      <c r="BB524" s="7" t="str">
        <f>CONCATENATE(Table43[[#This Row],[kode  1 Digit
(Nomor)]],Table43[[#This Row],[kode  4 Digit                (Nomor)]])</f>
        <v>20030</v>
      </c>
      <c r="BC524" s="7" t="str">
        <f>Table43[[#This Row],[Nama            Gramasi atau Jumlah Pack per CTN]]</f>
        <v>30GR</v>
      </c>
      <c r="BD524" s="7"/>
      <c r="BE524" s="7"/>
      <c r="BF524" s="4" t="str">
        <f>IF(Table43[[#This Row],[SATUAN Fix Win]]&lt;&gt;"","KRT")</f>
        <v>KRT</v>
      </c>
      <c r="BG524" s="4" t="str">
        <f>IF(Table43[[#This Row],[SATUAN Fix Win]]&lt;&gt;"","GD01")</f>
        <v>GD01</v>
      </c>
      <c r="BH524" s="4">
        <f>IF(Table43[[#This Row],[SATUAN Fix Win]]&lt;&gt;"",11611)</f>
        <v>11611</v>
      </c>
      <c r="BI524" s="4">
        <f>IF(Table43[[#This Row],[SATUAN Fix Win]]&lt;&gt;"",11612)</f>
        <v>11612</v>
      </c>
      <c r="BJ524" s="48"/>
      <c r="BK524" s="4">
        <f>IF(Table43[[#This Row],[SATUAN Fix Win]]&lt;&gt;"",1)</f>
        <v>1</v>
      </c>
    </row>
    <row r="525" spans="1:63">
      <c r="A525" s="4" t="str">
        <f>CONCATENATE(Table43[[#This Row],[Kode BARANG Win2]],Table43[[#This Row],[No. Urut
Item Sama]])</f>
        <v>K14100040030111</v>
      </c>
      <c r="B525" s="7">
        <v>1</v>
      </c>
      <c r="D525" s="28" t="s">
        <v>572</v>
      </c>
      <c r="E525" s="28"/>
      <c r="F525" s="28" t="s">
        <v>3288</v>
      </c>
      <c r="G525" s="78">
        <v>72</v>
      </c>
      <c r="H525" s="43"/>
      <c r="I525" s="28" t="str">
        <f>Table43[[#This Row],[Nama Jenis Kemasan]]</f>
        <v>SCH</v>
      </c>
      <c r="J525" s="4" t="str">
        <f>TRIM(CONCATENATE(Table43[[#This Row],[Nama            KLP]]," ",Table43[[#This Row],[Nama            Sub KLP]]))</f>
        <v>SAMANTHA CREAMBATH</v>
      </c>
      <c r="K525" s="4" t="str">
        <f>CONCATENATE(Table43[[#This Row],[kode  2 Digit                (hrf+No)]],Table43[[#This Row],[kode  2 Digit                (Nomor)]],Table43[[#This Row],[kode  1 Digit                (Nomor)]])</f>
        <v>K1410</v>
      </c>
      <c r="L525" s="4" t="str">
        <f t="shared" si="24"/>
        <v>K1410004003011</v>
      </c>
      <c r="M525" s="11">
        <f t="shared" si="25"/>
        <v>14</v>
      </c>
      <c r="N525" s="14" t="str">
        <f>IF(AF525&lt;&gt;"",TRIM(UPPER(CONCATENATE(P525," ",R525," ",T525," ",V525," ",X525," ",Z525," ","X"," ",Table43[[#This Row],[ISI/CTN]]," ",AF525," ",AB525," ",AD525," ",AH525))),TRIM(UPPER(CONCATENATE(P525," ",R525," ",T525," ",V525," ",X525," ",Z525," ","X"," ",Table43[[#This Row],[ISI/CTN]]," ",AB525," ",AD525," ",AH525))))</f>
        <v>KNF SAMANTHA CREAMBATH GINSENG 30GR X 72 SACHET SCH</v>
      </c>
      <c r="O525" s="11">
        <f t="shared" si="26"/>
        <v>51</v>
      </c>
      <c r="P525" s="4" t="s">
        <v>97</v>
      </c>
      <c r="Q525" s="7" t="s">
        <v>98</v>
      </c>
      <c r="R525" s="4" t="s">
        <v>3939</v>
      </c>
      <c r="S525" s="44" t="s">
        <v>3940</v>
      </c>
      <c r="T525" s="45" t="s">
        <v>2961</v>
      </c>
      <c r="U525" s="7" t="s">
        <v>2900</v>
      </c>
      <c r="V525" s="45" t="s">
        <v>2961</v>
      </c>
      <c r="W525" s="44" t="s">
        <v>2900</v>
      </c>
      <c r="X525" s="4" t="s">
        <v>3943</v>
      </c>
      <c r="Y525" s="46" t="s">
        <v>2474</v>
      </c>
      <c r="Z525" s="4" t="s">
        <v>3942</v>
      </c>
      <c r="AA525" s="46" t="s">
        <v>2499</v>
      </c>
      <c r="AB525" s="4" t="s">
        <v>1022</v>
      </c>
      <c r="AC525" s="7" t="s">
        <v>2656</v>
      </c>
      <c r="AD525" s="4" t="s">
        <v>2961</v>
      </c>
      <c r="AE525" s="7" t="s">
        <v>2900</v>
      </c>
      <c r="AF525" s="7" t="s">
        <v>149</v>
      </c>
      <c r="AG525" s="7" t="s">
        <v>2656</v>
      </c>
      <c r="AI525" s="7" t="s">
        <v>2463</v>
      </c>
      <c r="AJ525" s="7" t="s">
        <v>3562</v>
      </c>
      <c r="AK525" s="41">
        <f>Table43[[#This Row],[Harga Jual Pcs GT
(-PPN)]]-(Table43[[#This Row],[Harga Jual Pcs GT
(-PPN)]]*10%)</f>
        <v>0</v>
      </c>
      <c r="AL525" s="42">
        <f>Table43[[#This Row],[Harga Beli Pcs
(-PPN)]]*Table43[[#This Row],[ISI/CTN]]</f>
        <v>0</v>
      </c>
      <c r="AM525" s="42">
        <f>Table43[[#This Row],[Harga Beli Pcs
(-PPN)]]*1.11</f>
        <v>0</v>
      </c>
      <c r="AN525" s="42">
        <f>Table43[[#This Row],[Harga Beli Krt
(- PPN)]]*1.11</f>
        <v>0</v>
      </c>
      <c r="AO525" s="42"/>
      <c r="AP525" s="42">
        <f>Table43[[#This Row],[Harga Jual Pcs GT
(-PPN)]]*Table43[[#This Row],[ISI/CTN]]</f>
        <v>0</v>
      </c>
      <c r="AQ525" s="42">
        <f>Table43[[#This Row],[Harga Jual Pcs GT
(-PPN)]]*1.11</f>
        <v>0</v>
      </c>
      <c r="AR525" s="42">
        <f>Table43[[#This Row],[Harga Jual Krt GT
(- PPN)]]*1.11</f>
        <v>0</v>
      </c>
      <c r="AS525" s="42">
        <f>Table43[[#This Row],[Harga Jual Pcs GT
(-PPN)]]</f>
        <v>0</v>
      </c>
      <c r="AT525" s="42">
        <f>(Table43[[#This Row],[Harga Jual Pcs MT
(-PPN)]]*Table43[[#This Row],[ISI/CTN]])</f>
        <v>0</v>
      </c>
      <c r="AU525" s="42">
        <f>Table43[[#This Row],[Harga Jual Pcs MT
(-PPN)]]*1.11</f>
        <v>0</v>
      </c>
      <c r="AV525" s="42">
        <f>Table43[[#This Row],[Harga Jual Pcs MT
(+PPN)]]*Table43[[#This Row],[ISI/CTN]]</f>
        <v>0</v>
      </c>
      <c r="AW525" s="47"/>
      <c r="AX525" s="7"/>
      <c r="AY525" s="7" t="str">
        <f ca="1">IF(TODAY()-Table43[[#This Row],[Efektif
Pembuatan]]&gt;60,"Lama","Baru")</f>
        <v>Lama</v>
      </c>
      <c r="AZ525" s="7" t="str">
        <f ca="1">IF(TODAY()-Table43[[#This Row],[Efektif Naik Harga]]&lt;30,"Naik","Sama")</f>
        <v>Sama</v>
      </c>
      <c r="BA525" s="7" t="str">
        <f>IF(Table43[[#This Row],[Kode BARANG Win2]]&lt;&gt;"","IDR","")</f>
        <v>IDR</v>
      </c>
      <c r="BB525" s="7" t="str">
        <f>CONCATENATE(Table43[[#This Row],[kode  1 Digit
(Nomor)]],Table43[[#This Row],[kode  4 Digit                (Nomor)]])</f>
        <v>20030</v>
      </c>
      <c r="BC525" s="7" t="str">
        <f>Table43[[#This Row],[Nama            Gramasi atau Jumlah Pack per CTN]]</f>
        <v>30GR</v>
      </c>
      <c r="BD525" s="7"/>
      <c r="BE525" s="7"/>
      <c r="BF525" s="4" t="str">
        <f>IF(Table43[[#This Row],[SATUAN Fix Win]]&lt;&gt;"","KRT")</f>
        <v>KRT</v>
      </c>
      <c r="BG525" s="4" t="str">
        <f>IF(Table43[[#This Row],[SATUAN Fix Win]]&lt;&gt;"","GD01")</f>
        <v>GD01</v>
      </c>
      <c r="BH525" s="4">
        <f>IF(Table43[[#This Row],[SATUAN Fix Win]]&lt;&gt;"",11611)</f>
        <v>11611</v>
      </c>
      <c r="BI525" s="4">
        <f>IF(Table43[[#This Row],[SATUAN Fix Win]]&lt;&gt;"",11612)</f>
        <v>11612</v>
      </c>
      <c r="BJ525" s="48"/>
      <c r="BK525" s="4">
        <f>IF(Table43[[#This Row],[SATUAN Fix Win]]&lt;&gt;"",1)</f>
        <v>1</v>
      </c>
    </row>
    <row r="526" spans="1:63">
      <c r="A526" s="4" t="str">
        <f>CONCATENATE(Table43[[#This Row],[Kode BARANG Win2]],Table43[[#This Row],[No. Urut
Item Sama]])</f>
        <v>K14100050030111</v>
      </c>
      <c r="B526" s="7">
        <v>1</v>
      </c>
      <c r="D526" s="28" t="s">
        <v>570</v>
      </c>
      <c r="E526" s="28"/>
      <c r="F526" s="28" t="s">
        <v>3289</v>
      </c>
      <c r="G526" s="78">
        <v>72</v>
      </c>
      <c r="H526" s="43"/>
      <c r="I526" s="28" t="str">
        <f>Table43[[#This Row],[Nama Jenis Kemasan]]</f>
        <v>SCH</v>
      </c>
      <c r="J526" s="4" t="str">
        <f>TRIM(CONCATENATE(Table43[[#This Row],[Nama            KLP]]," ",Table43[[#This Row],[Nama            Sub KLP]]))</f>
        <v>SAMANTHA CREAMBATH</v>
      </c>
      <c r="K526" s="4" t="str">
        <f>CONCATENATE(Table43[[#This Row],[kode  2 Digit                (hrf+No)]],Table43[[#This Row],[kode  2 Digit                (Nomor)]],Table43[[#This Row],[kode  1 Digit                (Nomor)]])</f>
        <v>K1410</v>
      </c>
      <c r="L526" s="4" t="str">
        <f t="shared" si="24"/>
        <v>K1410005003011</v>
      </c>
      <c r="M526" s="11">
        <f t="shared" si="25"/>
        <v>14</v>
      </c>
      <c r="N526" s="14" t="str">
        <f>IF(AF526&lt;&gt;"",TRIM(UPPER(CONCATENATE(P526," ",R526," ",T526," ",V526," ",X526," ",Z526," ","X"," ",Table43[[#This Row],[ISI/CTN]]," ",AF526," ",AB526," ",AD526," ",AH526))),TRIM(UPPER(CONCATENATE(P526," ",R526," ",T526," ",V526," ",X526," ",Z526," ","X"," ",Table43[[#This Row],[ISI/CTN]]," ",AB526," ",AD526," ",AH526))))</f>
        <v>KNF SAMANTHA CREAMBATH ROYAL JELLY 30GR X 72 SACHET SCH</v>
      </c>
      <c r="O526" s="11">
        <f t="shared" si="26"/>
        <v>55</v>
      </c>
      <c r="P526" s="4" t="s">
        <v>97</v>
      </c>
      <c r="Q526" s="7" t="s">
        <v>98</v>
      </c>
      <c r="R526" s="4" t="s">
        <v>3939</v>
      </c>
      <c r="S526" s="44" t="s">
        <v>3940</v>
      </c>
      <c r="T526" s="45" t="s">
        <v>2961</v>
      </c>
      <c r="U526" s="7" t="s">
        <v>2900</v>
      </c>
      <c r="V526" s="45" t="s">
        <v>2961</v>
      </c>
      <c r="W526" s="44" t="s">
        <v>2900</v>
      </c>
      <c r="X526" s="4" t="s">
        <v>3944</v>
      </c>
      <c r="Y526" s="46" t="s">
        <v>2475</v>
      </c>
      <c r="Z526" s="4" t="s">
        <v>3942</v>
      </c>
      <c r="AA526" s="46" t="s">
        <v>2499</v>
      </c>
      <c r="AB526" s="4" t="s">
        <v>1022</v>
      </c>
      <c r="AC526" s="7" t="s">
        <v>2656</v>
      </c>
      <c r="AD526" s="4" t="s">
        <v>2961</v>
      </c>
      <c r="AE526" s="7" t="s">
        <v>2900</v>
      </c>
      <c r="AF526" s="7" t="s">
        <v>149</v>
      </c>
      <c r="AG526" s="7" t="s">
        <v>2656</v>
      </c>
      <c r="AI526" s="7" t="s">
        <v>2463</v>
      </c>
      <c r="AJ526" s="7" t="s">
        <v>3562</v>
      </c>
      <c r="AK526" s="41">
        <f>Table43[[#This Row],[Harga Jual Pcs GT
(-PPN)]]-(Table43[[#This Row],[Harga Jual Pcs GT
(-PPN)]]*10%)</f>
        <v>0</v>
      </c>
      <c r="AL526" s="42">
        <f>Table43[[#This Row],[Harga Beli Pcs
(-PPN)]]*Table43[[#This Row],[ISI/CTN]]</f>
        <v>0</v>
      </c>
      <c r="AM526" s="42">
        <f>Table43[[#This Row],[Harga Beli Pcs
(-PPN)]]*1.11</f>
        <v>0</v>
      </c>
      <c r="AN526" s="42">
        <f>Table43[[#This Row],[Harga Beli Krt
(- PPN)]]*1.11</f>
        <v>0</v>
      </c>
      <c r="AO526" s="42"/>
      <c r="AP526" s="42">
        <f>Table43[[#This Row],[Harga Jual Pcs GT
(-PPN)]]*Table43[[#This Row],[ISI/CTN]]</f>
        <v>0</v>
      </c>
      <c r="AQ526" s="42">
        <f>Table43[[#This Row],[Harga Jual Pcs GT
(-PPN)]]*1.11</f>
        <v>0</v>
      </c>
      <c r="AR526" s="42">
        <f>Table43[[#This Row],[Harga Jual Krt GT
(- PPN)]]*1.11</f>
        <v>0</v>
      </c>
      <c r="AS526" s="42">
        <f>Table43[[#This Row],[Harga Jual Pcs GT
(-PPN)]]</f>
        <v>0</v>
      </c>
      <c r="AT526" s="42">
        <f>(Table43[[#This Row],[Harga Jual Pcs MT
(-PPN)]]*Table43[[#This Row],[ISI/CTN]])</f>
        <v>0</v>
      </c>
      <c r="AU526" s="42">
        <f>Table43[[#This Row],[Harga Jual Pcs MT
(-PPN)]]*1.11</f>
        <v>0</v>
      </c>
      <c r="AV526" s="42">
        <f>Table43[[#This Row],[Harga Jual Pcs MT
(+PPN)]]*Table43[[#This Row],[ISI/CTN]]</f>
        <v>0</v>
      </c>
      <c r="AW526" s="47"/>
      <c r="AX526" s="7"/>
      <c r="AY526" s="7" t="str">
        <f ca="1">IF(TODAY()-Table43[[#This Row],[Efektif
Pembuatan]]&gt;60,"Lama","Baru")</f>
        <v>Lama</v>
      </c>
      <c r="AZ526" s="7" t="str">
        <f ca="1">IF(TODAY()-Table43[[#This Row],[Efektif Naik Harga]]&lt;30,"Naik","Sama")</f>
        <v>Sama</v>
      </c>
      <c r="BA526" s="7" t="str">
        <f>IF(Table43[[#This Row],[Kode BARANG Win2]]&lt;&gt;"","IDR","")</f>
        <v>IDR</v>
      </c>
      <c r="BB526" s="7" t="str">
        <f>CONCATENATE(Table43[[#This Row],[kode  1 Digit
(Nomor)]],Table43[[#This Row],[kode  4 Digit                (Nomor)]])</f>
        <v>20030</v>
      </c>
      <c r="BC526" s="7" t="str">
        <f>Table43[[#This Row],[Nama            Gramasi atau Jumlah Pack per CTN]]</f>
        <v>30GR</v>
      </c>
      <c r="BD526" s="7"/>
      <c r="BE526" s="7"/>
      <c r="BF526" s="4" t="str">
        <f>IF(Table43[[#This Row],[SATUAN Fix Win]]&lt;&gt;"","KRT")</f>
        <v>KRT</v>
      </c>
      <c r="BG526" s="4" t="str">
        <f>IF(Table43[[#This Row],[SATUAN Fix Win]]&lt;&gt;"","GD01")</f>
        <v>GD01</v>
      </c>
      <c r="BH526" s="4">
        <f>IF(Table43[[#This Row],[SATUAN Fix Win]]&lt;&gt;"",11611)</f>
        <v>11611</v>
      </c>
      <c r="BI526" s="4">
        <f>IF(Table43[[#This Row],[SATUAN Fix Win]]&lt;&gt;"",11612)</f>
        <v>11612</v>
      </c>
      <c r="BJ526" s="48"/>
      <c r="BK526" s="4">
        <f>IF(Table43[[#This Row],[SATUAN Fix Win]]&lt;&gt;"",1)</f>
        <v>1</v>
      </c>
    </row>
    <row r="527" spans="1:63">
      <c r="A527" s="4" t="str">
        <f>CONCATENATE(Table43[[#This Row],[Kode BARANG Win2]],Table43[[#This Row],[No. Urut
Item Sama]])</f>
        <v>K14200010010101</v>
      </c>
      <c r="B527" s="7">
        <v>1</v>
      </c>
      <c r="D527" s="28" t="s">
        <v>573</v>
      </c>
      <c r="E527" s="28"/>
      <c r="F527" s="28" t="s">
        <v>3290</v>
      </c>
      <c r="G527" s="78">
        <v>72</v>
      </c>
      <c r="H527" s="43"/>
      <c r="I527" s="28" t="str">
        <f>Table43[[#This Row],[Nama Jenis Kemasan]]</f>
        <v>BOX</v>
      </c>
      <c r="J527" s="4" t="str">
        <f>TRIM(CONCATENATE(Table43[[#This Row],[Nama            KLP]]," ",Table43[[#This Row],[Nama            Sub KLP]]))</f>
        <v>SAMANTHA HC</v>
      </c>
      <c r="K527" s="4" t="str">
        <f>CONCATENATE(Table43[[#This Row],[kode  2 Digit                (hrf+No)]],Table43[[#This Row],[kode  2 Digit                (Nomor)]],Table43[[#This Row],[kode  1 Digit                (Nomor)]])</f>
        <v>K1420</v>
      </c>
      <c r="L527" s="4" t="str">
        <f t="shared" si="24"/>
        <v>K1420001001010</v>
      </c>
      <c r="M527" s="11">
        <f t="shared" si="25"/>
        <v>14</v>
      </c>
      <c r="N527" s="14" t="str">
        <f>IF(AF527&lt;&gt;"",TRIM(UPPER(CONCATENATE(P527," ",R527," ",T527," ",V527," ",X527," ",Z527," ","X"," ",Table43[[#This Row],[ISI/CTN]]," ",AF527," ",AB527," ",AD527," ",AH527))),TRIM(UPPER(CONCATENATE(P527," ",R527," ",T527," ",V527," ",X527," ",Z527," ","X"," ",Table43[[#This Row],[ISI/CTN]]," ",AB527," ",AD527," ",AH527))))</f>
        <v>KNF SAMANTHA HC BLEACHING 10GR X 72 BOX</v>
      </c>
      <c r="O527" s="11">
        <f t="shared" si="26"/>
        <v>39</v>
      </c>
      <c r="P527" s="4" t="s">
        <v>97</v>
      </c>
      <c r="Q527" s="7" t="s">
        <v>98</v>
      </c>
      <c r="R527" s="4" t="s">
        <v>3945</v>
      </c>
      <c r="S527" s="44" t="s">
        <v>3946</v>
      </c>
      <c r="T527" s="45" t="s">
        <v>2961</v>
      </c>
      <c r="U527" s="7" t="s">
        <v>2900</v>
      </c>
      <c r="V527" s="45" t="s">
        <v>2961</v>
      </c>
      <c r="W527" s="44" t="s">
        <v>2900</v>
      </c>
      <c r="X527" s="4" t="s">
        <v>3947</v>
      </c>
      <c r="Y527" s="46" t="s">
        <v>0</v>
      </c>
      <c r="Z527" s="4" t="s">
        <v>3862</v>
      </c>
      <c r="AA527" s="46" t="s">
        <v>2488</v>
      </c>
      <c r="AB527" s="4" t="s">
        <v>1023</v>
      </c>
      <c r="AC527" s="7" t="s">
        <v>2656</v>
      </c>
      <c r="AD527" s="4" t="s">
        <v>2961</v>
      </c>
      <c r="AE527" s="7" t="s">
        <v>2900</v>
      </c>
      <c r="AF527" s="7" t="s">
        <v>2961</v>
      </c>
      <c r="AG527" s="7" t="s">
        <v>2961</v>
      </c>
      <c r="AI527" s="7" t="s">
        <v>2463</v>
      </c>
      <c r="AJ527" s="7" t="s">
        <v>3562</v>
      </c>
      <c r="AK527" s="41">
        <f>Table43[[#This Row],[Harga Jual Pcs GT
(-PPN)]]-(Table43[[#This Row],[Harga Jual Pcs GT
(-PPN)]]*10%)</f>
        <v>0</v>
      </c>
      <c r="AL527" s="42">
        <f>Table43[[#This Row],[Harga Beli Pcs
(-PPN)]]*Table43[[#This Row],[ISI/CTN]]</f>
        <v>0</v>
      </c>
      <c r="AM527" s="42">
        <f>Table43[[#This Row],[Harga Beli Pcs
(-PPN)]]*1.11</f>
        <v>0</v>
      </c>
      <c r="AN527" s="42">
        <f>Table43[[#This Row],[Harga Beli Krt
(- PPN)]]*1.11</f>
        <v>0</v>
      </c>
      <c r="AO527" s="42"/>
      <c r="AP527" s="42">
        <f>Table43[[#This Row],[Harga Jual Pcs GT
(-PPN)]]*Table43[[#This Row],[ISI/CTN]]</f>
        <v>0</v>
      </c>
      <c r="AQ527" s="42">
        <f>Table43[[#This Row],[Harga Jual Pcs GT
(-PPN)]]*1.11</f>
        <v>0</v>
      </c>
      <c r="AR527" s="42">
        <f>Table43[[#This Row],[Harga Jual Krt GT
(- PPN)]]*1.11</f>
        <v>0</v>
      </c>
      <c r="AS527" s="42">
        <f>Table43[[#This Row],[Harga Jual Pcs GT
(-PPN)]]</f>
        <v>0</v>
      </c>
      <c r="AT527" s="42">
        <f>(Table43[[#This Row],[Harga Jual Pcs MT
(-PPN)]]*Table43[[#This Row],[ISI/CTN]])</f>
        <v>0</v>
      </c>
      <c r="AU527" s="42">
        <f>Table43[[#This Row],[Harga Jual Pcs MT
(-PPN)]]*1.11</f>
        <v>0</v>
      </c>
      <c r="AV527" s="42">
        <f>Table43[[#This Row],[Harga Jual Pcs MT
(+PPN)]]*Table43[[#This Row],[ISI/CTN]]</f>
        <v>0</v>
      </c>
      <c r="AW527" s="47"/>
      <c r="AX527" s="7"/>
      <c r="AY527" s="7" t="str">
        <f ca="1">IF(TODAY()-Table43[[#This Row],[Efektif
Pembuatan]]&gt;60,"Lama","Baru")</f>
        <v>Lama</v>
      </c>
      <c r="AZ527" s="7" t="str">
        <f ca="1">IF(TODAY()-Table43[[#This Row],[Efektif Naik Harga]]&lt;30,"Naik","Sama")</f>
        <v>Sama</v>
      </c>
      <c r="BA527" s="7" t="str">
        <f>IF(Table43[[#This Row],[Kode BARANG Win2]]&lt;&gt;"","IDR","")</f>
        <v>IDR</v>
      </c>
      <c r="BB527" s="7" t="str">
        <f>CONCATENATE(Table43[[#This Row],[kode  1 Digit
(Nomor)]],Table43[[#This Row],[kode  4 Digit                (Nomor)]])</f>
        <v>20010</v>
      </c>
      <c r="BC527" s="7" t="str">
        <f>Table43[[#This Row],[Nama            Gramasi atau Jumlah Pack per CTN]]</f>
        <v>10GR</v>
      </c>
      <c r="BD527" s="7"/>
      <c r="BE527" s="7"/>
      <c r="BF527" s="4" t="str">
        <f>IF(Table43[[#This Row],[SATUAN Fix Win]]&lt;&gt;"","KRT")</f>
        <v>KRT</v>
      </c>
      <c r="BG527" s="4" t="str">
        <f>IF(Table43[[#This Row],[SATUAN Fix Win]]&lt;&gt;"","GD01")</f>
        <v>GD01</v>
      </c>
      <c r="BH527" s="4">
        <f>IF(Table43[[#This Row],[SATUAN Fix Win]]&lt;&gt;"",11611)</f>
        <v>11611</v>
      </c>
      <c r="BI527" s="4">
        <f>IF(Table43[[#This Row],[SATUAN Fix Win]]&lt;&gt;"",11612)</f>
        <v>11612</v>
      </c>
      <c r="BJ527" s="48"/>
      <c r="BK527" s="4">
        <f>IF(Table43[[#This Row],[SATUAN Fix Win]]&lt;&gt;"",1)</f>
        <v>1</v>
      </c>
    </row>
    <row r="528" spans="1:63">
      <c r="A528" s="4" t="str">
        <f>CONCATENATE(Table43[[#This Row],[Kode BARANG Win2]],Table43[[#This Row],[No. Urut
Item Sama]])</f>
        <v>K14200020025101</v>
      </c>
      <c r="B528" s="7">
        <v>1</v>
      </c>
      <c r="D528" s="28" t="s">
        <v>553</v>
      </c>
      <c r="E528" s="28"/>
      <c r="F528" s="28" t="s">
        <v>3291</v>
      </c>
      <c r="G528" s="78">
        <v>72</v>
      </c>
      <c r="H528" s="43"/>
      <c r="I528" s="28" t="str">
        <f>Table43[[#This Row],[Nama Jenis Kemasan]]</f>
        <v>BOX</v>
      </c>
      <c r="J528" s="4" t="str">
        <f>TRIM(CONCATENATE(Table43[[#This Row],[Nama            KLP]]," ",Table43[[#This Row],[Nama            Sub KLP]]))</f>
        <v>SAMANTHA HC</v>
      </c>
      <c r="K528" s="4" t="str">
        <f>CONCATENATE(Table43[[#This Row],[kode  2 Digit                (hrf+No)]],Table43[[#This Row],[kode  2 Digit                (Nomor)]],Table43[[#This Row],[kode  1 Digit                (Nomor)]])</f>
        <v>K1420</v>
      </c>
      <c r="L528" s="4" t="str">
        <f t="shared" ref="L528:L591" si="27">IF(AG528="",CONCATENATE(Q528,S528,U528,W528,Y528,AA528,AC528,AE528),CONCATENATE(Q528,S528,U528,W528,Y528,AA528,AC528,AG528))</f>
        <v>K1420002002510</v>
      </c>
      <c r="M528" s="11">
        <f t="shared" ref="M528:M591" si="28">LEN(L528)</f>
        <v>14</v>
      </c>
      <c r="N528" s="14" t="str">
        <f>IF(AF528&lt;&gt;"",TRIM(UPPER(CONCATENATE(P528," ",R528," ",T528," ",V528," ",X528," ",Z528," ","X"," ",Table43[[#This Row],[ISI/CTN]]," ",AF528," ",AB528," ",AD528," ",AH528))),TRIM(UPPER(CONCATENATE(P528," ",R528," ",T528," ",V528," ",X528," ",Z528," ","X"," ",Table43[[#This Row],[ISI/CTN]]," ",AB528," ",AD528," ",AH528))))</f>
        <v>KNF SAMANTHA HC BLUE BLACK 25GR X 72 BOX</v>
      </c>
      <c r="O528" s="11">
        <f t="shared" ref="O528:O591" si="29">LEN(N528)</f>
        <v>40</v>
      </c>
      <c r="P528" s="4" t="s">
        <v>97</v>
      </c>
      <c r="Q528" s="7" t="s">
        <v>98</v>
      </c>
      <c r="R528" s="4" t="s">
        <v>3945</v>
      </c>
      <c r="S528" s="44" t="s">
        <v>3946</v>
      </c>
      <c r="T528" s="45" t="s">
        <v>2961</v>
      </c>
      <c r="U528" s="7" t="s">
        <v>2900</v>
      </c>
      <c r="V528" s="45" t="s">
        <v>2961</v>
      </c>
      <c r="W528" s="44" t="s">
        <v>2900</v>
      </c>
      <c r="X528" s="4" t="s">
        <v>3948</v>
      </c>
      <c r="Y528" s="46" t="s">
        <v>2472</v>
      </c>
      <c r="Z528" s="4" t="s">
        <v>3949</v>
      </c>
      <c r="AA528" s="46" t="s">
        <v>2510</v>
      </c>
      <c r="AB528" s="4" t="s">
        <v>1023</v>
      </c>
      <c r="AC528" s="7" t="s">
        <v>2656</v>
      </c>
      <c r="AD528" s="4" t="s">
        <v>2961</v>
      </c>
      <c r="AE528" s="7" t="s">
        <v>2900</v>
      </c>
      <c r="AF528" s="7" t="s">
        <v>2961</v>
      </c>
      <c r="AG528" s="7" t="s">
        <v>2961</v>
      </c>
      <c r="AI528" s="7" t="s">
        <v>2463</v>
      </c>
      <c r="AJ528" s="7" t="s">
        <v>3562</v>
      </c>
      <c r="AK528" s="41">
        <f>Table43[[#This Row],[Harga Jual Pcs GT
(-PPN)]]-(Table43[[#This Row],[Harga Jual Pcs GT
(-PPN)]]*10%)</f>
        <v>0</v>
      </c>
      <c r="AL528" s="42">
        <f>Table43[[#This Row],[Harga Beli Pcs
(-PPN)]]*Table43[[#This Row],[ISI/CTN]]</f>
        <v>0</v>
      </c>
      <c r="AM528" s="42">
        <f>Table43[[#This Row],[Harga Beli Pcs
(-PPN)]]*1.11</f>
        <v>0</v>
      </c>
      <c r="AN528" s="42">
        <f>Table43[[#This Row],[Harga Beli Krt
(- PPN)]]*1.11</f>
        <v>0</v>
      </c>
      <c r="AO528" s="42"/>
      <c r="AP528" s="42">
        <f>Table43[[#This Row],[Harga Jual Pcs GT
(-PPN)]]*Table43[[#This Row],[ISI/CTN]]</f>
        <v>0</v>
      </c>
      <c r="AQ528" s="42">
        <f>Table43[[#This Row],[Harga Jual Pcs GT
(-PPN)]]*1.11</f>
        <v>0</v>
      </c>
      <c r="AR528" s="42">
        <f>Table43[[#This Row],[Harga Jual Krt GT
(- PPN)]]*1.11</f>
        <v>0</v>
      </c>
      <c r="AS528" s="42">
        <f>Table43[[#This Row],[Harga Jual Pcs GT
(-PPN)]]</f>
        <v>0</v>
      </c>
      <c r="AT528" s="42">
        <f>(Table43[[#This Row],[Harga Jual Pcs MT
(-PPN)]]*Table43[[#This Row],[ISI/CTN]])</f>
        <v>0</v>
      </c>
      <c r="AU528" s="42">
        <f>Table43[[#This Row],[Harga Jual Pcs MT
(-PPN)]]*1.11</f>
        <v>0</v>
      </c>
      <c r="AV528" s="42">
        <f>Table43[[#This Row],[Harga Jual Pcs MT
(+PPN)]]*Table43[[#This Row],[ISI/CTN]]</f>
        <v>0</v>
      </c>
      <c r="AW528" s="47"/>
      <c r="AX528" s="7"/>
      <c r="AY528" s="7" t="str">
        <f ca="1">IF(TODAY()-Table43[[#This Row],[Efektif
Pembuatan]]&gt;60,"Lama","Baru")</f>
        <v>Lama</v>
      </c>
      <c r="AZ528" s="7" t="str">
        <f ca="1">IF(TODAY()-Table43[[#This Row],[Efektif Naik Harga]]&lt;30,"Naik","Sama")</f>
        <v>Sama</v>
      </c>
      <c r="BA528" s="7" t="str">
        <f>IF(Table43[[#This Row],[Kode BARANG Win2]]&lt;&gt;"","IDR","")</f>
        <v>IDR</v>
      </c>
      <c r="BB528" s="7" t="str">
        <f>CONCATENATE(Table43[[#This Row],[kode  1 Digit
(Nomor)]],Table43[[#This Row],[kode  4 Digit                (Nomor)]])</f>
        <v>20025</v>
      </c>
      <c r="BC528" s="7" t="str">
        <f>Table43[[#This Row],[Nama            Gramasi atau Jumlah Pack per CTN]]</f>
        <v>25GR</v>
      </c>
      <c r="BD528" s="7"/>
      <c r="BE528" s="7"/>
      <c r="BF528" s="4" t="str">
        <f>IF(Table43[[#This Row],[SATUAN Fix Win]]&lt;&gt;"","KRT")</f>
        <v>KRT</v>
      </c>
      <c r="BG528" s="4" t="str">
        <f>IF(Table43[[#This Row],[SATUAN Fix Win]]&lt;&gt;"","GD01")</f>
        <v>GD01</v>
      </c>
      <c r="BH528" s="4">
        <f>IF(Table43[[#This Row],[SATUAN Fix Win]]&lt;&gt;"",11611)</f>
        <v>11611</v>
      </c>
      <c r="BI528" s="4">
        <f>IF(Table43[[#This Row],[SATUAN Fix Win]]&lt;&gt;"",11612)</f>
        <v>11612</v>
      </c>
      <c r="BJ528" s="48"/>
      <c r="BK528" s="4">
        <f>IF(Table43[[#This Row],[SATUAN Fix Win]]&lt;&gt;"",1)</f>
        <v>1</v>
      </c>
    </row>
    <row r="529" spans="1:63">
      <c r="A529" s="4" t="str">
        <f>CONCATENATE(Table43[[#This Row],[Kode BARANG Win2]],Table43[[#This Row],[No. Urut
Item Sama]])</f>
        <v>K14200030025101</v>
      </c>
      <c r="B529" s="7">
        <v>1</v>
      </c>
      <c r="D529" s="28" t="s">
        <v>554</v>
      </c>
      <c r="E529" s="28"/>
      <c r="F529" s="28" t="s">
        <v>3292</v>
      </c>
      <c r="G529" s="78">
        <v>72</v>
      </c>
      <c r="H529" s="43"/>
      <c r="I529" s="28" t="str">
        <f>Table43[[#This Row],[Nama Jenis Kemasan]]</f>
        <v>BOX</v>
      </c>
      <c r="J529" s="4" t="str">
        <f>TRIM(CONCATENATE(Table43[[#This Row],[Nama            KLP]]," ",Table43[[#This Row],[Nama            Sub KLP]]))</f>
        <v>SAMANTHA HC</v>
      </c>
      <c r="K529" s="4" t="str">
        <f>CONCATENATE(Table43[[#This Row],[kode  2 Digit                (hrf+No)]],Table43[[#This Row],[kode  2 Digit                (Nomor)]],Table43[[#This Row],[kode  1 Digit                (Nomor)]])</f>
        <v>K1420</v>
      </c>
      <c r="L529" s="4" t="str">
        <f t="shared" si="27"/>
        <v>K1420003002510</v>
      </c>
      <c r="M529" s="11">
        <f t="shared" si="28"/>
        <v>14</v>
      </c>
      <c r="N529" s="14" t="str">
        <f>IF(AF529&lt;&gt;"",TRIM(UPPER(CONCATENATE(P529," ",R529," ",T529," ",V529," ",X529," ",Z529," ","X"," ",Table43[[#This Row],[ISI/CTN]]," ",AF529," ",AB529," ",AD529," ",AH529))),TRIM(UPPER(CONCATENATE(P529," ",R529," ",T529," ",V529," ",X529," ",Z529," ","X"," ",Table43[[#This Row],[ISI/CTN]]," ",AB529," ",AD529," ",AH529))))</f>
        <v>KNF SAMANTHA HC CHOCOLATE BROWN 25GR X 72 BOX</v>
      </c>
      <c r="O529" s="11">
        <f t="shared" si="29"/>
        <v>45</v>
      </c>
      <c r="P529" s="4" t="s">
        <v>97</v>
      </c>
      <c r="Q529" s="7" t="s">
        <v>98</v>
      </c>
      <c r="R529" s="4" t="s">
        <v>3945</v>
      </c>
      <c r="S529" s="44" t="s">
        <v>3946</v>
      </c>
      <c r="T529" s="45" t="s">
        <v>2961</v>
      </c>
      <c r="U529" s="7" t="s">
        <v>2900</v>
      </c>
      <c r="V529" s="45" t="s">
        <v>2961</v>
      </c>
      <c r="W529" s="44" t="s">
        <v>2900</v>
      </c>
      <c r="X529" s="4" t="s">
        <v>3950</v>
      </c>
      <c r="Y529" s="46" t="s">
        <v>2473</v>
      </c>
      <c r="Z529" s="4" t="s">
        <v>3949</v>
      </c>
      <c r="AA529" s="46" t="s">
        <v>2510</v>
      </c>
      <c r="AB529" s="4" t="s">
        <v>1023</v>
      </c>
      <c r="AC529" s="7" t="s">
        <v>2656</v>
      </c>
      <c r="AD529" s="4" t="s">
        <v>2961</v>
      </c>
      <c r="AE529" s="7" t="s">
        <v>2900</v>
      </c>
      <c r="AF529" s="7" t="s">
        <v>2961</v>
      </c>
      <c r="AG529" s="7" t="s">
        <v>2961</v>
      </c>
      <c r="AI529" s="7" t="s">
        <v>2463</v>
      </c>
      <c r="AJ529" s="7" t="s">
        <v>3562</v>
      </c>
      <c r="AK529" s="41">
        <f>Table43[[#This Row],[Harga Jual Pcs GT
(-PPN)]]-(Table43[[#This Row],[Harga Jual Pcs GT
(-PPN)]]*10%)</f>
        <v>0</v>
      </c>
      <c r="AL529" s="42">
        <f>Table43[[#This Row],[Harga Beli Pcs
(-PPN)]]*Table43[[#This Row],[ISI/CTN]]</f>
        <v>0</v>
      </c>
      <c r="AM529" s="42">
        <f>Table43[[#This Row],[Harga Beli Pcs
(-PPN)]]*1.11</f>
        <v>0</v>
      </c>
      <c r="AN529" s="42">
        <f>Table43[[#This Row],[Harga Beli Krt
(- PPN)]]*1.11</f>
        <v>0</v>
      </c>
      <c r="AO529" s="42"/>
      <c r="AP529" s="42">
        <f>Table43[[#This Row],[Harga Jual Pcs GT
(-PPN)]]*Table43[[#This Row],[ISI/CTN]]</f>
        <v>0</v>
      </c>
      <c r="AQ529" s="42">
        <f>Table43[[#This Row],[Harga Jual Pcs GT
(-PPN)]]*1.11</f>
        <v>0</v>
      </c>
      <c r="AR529" s="42">
        <f>Table43[[#This Row],[Harga Jual Krt GT
(- PPN)]]*1.11</f>
        <v>0</v>
      </c>
      <c r="AS529" s="42">
        <f>Table43[[#This Row],[Harga Jual Pcs GT
(-PPN)]]</f>
        <v>0</v>
      </c>
      <c r="AT529" s="42">
        <f>(Table43[[#This Row],[Harga Jual Pcs MT
(-PPN)]]*Table43[[#This Row],[ISI/CTN]])</f>
        <v>0</v>
      </c>
      <c r="AU529" s="42">
        <f>Table43[[#This Row],[Harga Jual Pcs MT
(-PPN)]]*1.11</f>
        <v>0</v>
      </c>
      <c r="AV529" s="42">
        <f>Table43[[#This Row],[Harga Jual Pcs MT
(+PPN)]]*Table43[[#This Row],[ISI/CTN]]</f>
        <v>0</v>
      </c>
      <c r="AW529" s="47"/>
      <c r="AX529" s="7"/>
      <c r="AY529" s="7" t="str">
        <f ca="1">IF(TODAY()-Table43[[#This Row],[Efektif
Pembuatan]]&gt;60,"Lama","Baru")</f>
        <v>Lama</v>
      </c>
      <c r="AZ529" s="7" t="str">
        <f ca="1">IF(TODAY()-Table43[[#This Row],[Efektif Naik Harga]]&lt;30,"Naik","Sama")</f>
        <v>Sama</v>
      </c>
      <c r="BA529" s="7" t="str">
        <f>IF(Table43[[#This Row],[Kode BARANG Win2]]&lt;&gt;"","IDR","")</f>
        <v>IDR</v>
      </c>
      <c r="BB529" s="7" t="str">
        <f>CONCATENATE(Table43[[#This Row],[kode  1 Digit
(Nomor)]],Table43[[#This Row],[kode  4 Digit                (Nomor)]])</f>
        <v>20025</v>
      </c>
      <c r="BC529" s="7" t="str">
        <f>Table43[[#This Row],[Nama            Gramasi atau Jumlah Pack per CTN]]</f>
        <v>25GR</v>
      </c>
      <c r="BD529" s="7"/>
      <c r="BE529" s="7"/>
      <c r="BF529" s="4" t="str">
        <f>IF(Table43[[#This Row],[SATUAN Fix Win]]&lt;&gt;"","KRT")</f>
        <v>KRT</v>
      </c>
      <c r="BG529" s="4" t="str">
        <f>IF(Table43[[#This Row],[SATUAN Fix Win]]&lt;&gt;"","GD01")</f>
        <v>GD01</v>
      </c>
      <c r="BH529" s="4">
        <f>IF(Table43[[#This Row],[SATUAN Fix Win]]&lt;&gt;"",11611)</f>
        <v>11611</v>
      </c>
      <c r="BI529" s="4">
        <f>IF(Table43[[#This Row],[SATUAN Fix Win]]&lt;&gt;"",11612)</f>
        <v>11612</v>
      </c>
      <c r="BJ529" s="48"/>
      <c r="BK529" s="4">
        <f>IF(Table43[[#This Row],[SATUAN Fix Win]]&lt;&gt;"",1)</f>
        <v>1</v>
      </c>
    </row>
    <row r="530" spans="1:63">
      <c r="A530" s="4" t="str">
        <f>CONCATENATE(Table43[[#This Row],[Kode BARANG Win2]],Table43[[#This Row],[No. Urut
Item Sama]])</f>
        <v>K14200040025101</v>
      </c>
      <c r="B530" s="7">
        <v>1</v>
      </c>
      <c r="D530" s="28" t="s">
        <v>555</v>
      </c>
      <c r="E530" s="28"/>
      <c r="F530" s="28" t="s">
        <v>3293</v>
      </c>
      <c r="G530" s="78">
        <v>72</v>
      </c>
      <c r="H530" s="43"/>
      <c r="I530" s="28" t="str">
        <f>Table43[[#This Row],[Nama Jenis Kemasan]]</f>
        <v>BOX</v>
      </c>
      <c r="J530" s="4" t="str">
        <f>TRIM(CONCATENATE(Table43[[#This Row],[Nama            KLP]]," ",Table43[[#This Row],[Nama            Sub KLP]]))</f>
        <v>SAMANTHA HC</v>
      </c>
      <c r="K530" s="4" t="str">
        <f>CONCATENATE(Table43[[#This Row],[kode  2 Digit                (hrf+No)]],Table43[[#This Row],[kode  2 Digit                (Nomor)]],Table43[[#This Row],[kode  1 Digit                (Nomor)]])</f>
        <v>K1420</v>
      </c>
      <c r="L530" s="4" t="str">
        <f t="shared" si="27"/>
        <v>K1420004002510</v>
      </c>
      <c r="M530" s="11">
        <f t="shared" si="28"/>
        <v>14</v>
      </c>
      <c r="N530" s="14" t="str">
        <f>IF(AF530&lt;&gt;"",TRIM(UPPER(CONCATENATE(P530," ",R530," ",T530," ",V530," ",X530," ",Z530," ","X"," ",Table43[[#This Row],[ISI/CTN]]," ",AF530," ",AB530," ",AD530," ",AH530))),TRIM(UPPER(CONCATENATE(P530," ",R530," ",T530," ",V530," ",X530," ",Z530," ","X"," ",Table43[[#This Row],[ISI/CTN]]," ",AB530," ",AD530," ",AH530))))</f>
        <v>KNF SAMANTHA HC COFFEE PURPLE 25GR X 72 BOX</v>
      </c>
      <c r="O530" s="11">
        <f t="shared" si="29"/>
        <v>43</v>
      </c>
      <c r="P530" s="4" t="s">
        <v>97</v>
      </c>
      <c r="Q530" s="7" t="s">
        <v>98</v>
      </c>
      <c r="R530" s="4" t="s">
        <v>3945</v>
      </c>
      <c r="S530" s="44" t="s">
        <v>3946</v>
      </c>
      <c r="T530" s="45" t="s">
        <v>2961</v>
      </c>
      <c r="U530" s="7" t="s">
        <v>2900</v>
      </c>
      <c r="V530" s="45" t="s">
        <v>2961</v>
      </c>
      <c r="W530" s="44" t="s">
        <v>2900</v>
      </c>
      <c r="X530" s="4" t="s">
        <v>3951</v>
      </c>
      <c r="Y530" s="46" t="s">
        <v>2474</v>
      </c>
      <c r="Z530" s="4" t="s">
        <v>3949</v>
      </c>
      <c r="AA530" s="46" t="s">
        <v>2510</v>
      </c>
      <c r="AB530" s="4" t="s">
        <v>1023</v>
      </c>
      <c r="AC530" s="7" t="s">
        <v>2656</v>
      </c>
      <c r="AD530" s="4" t="s">
        <v>2961</v>
      </c>
      <c r="AE530" s="7" t="s">
        <v>2900</v>
      </c>
      <c r="AF530" s="7" t="s">
        <v>2961</v>
      </c>
      <c r="AG530" s="7" t="s">
        <v>2961</v>
      </c>
      <c r="AI530" s="7" t="s">
        <v>2463</v>
      </c>
      <c r="AJ530" s="7" t="s">
        <v>3562</v>
      </c>
      <c r="AK530" s="41">
        <f>Table43[[#This Row],[Harga Jual Pcs GT
(-PPN)]]-(Table43[[#This Row],[Harga Jual Pcs GT
(-PPN)]]*10%)</f>
        <v>0</v>
      </c>
      <c r="AL530" s="42">
        <f>Table43[[#This Row],[Harga Beli Pcs
(-PPN)]]*Table43[[#This Row],[ISI/CTN]]</f>
        <v>0</v>
      </c>
      <c r="AM530" s="42">
        <f>Table43[[#This Row],[Harga Beli Pcs
(-PPN)]]*1.11</f>
        <v>0</v>
      </c>
      <c r="AN530" s="42">
        <f>Table43[[#This Row],[Harga Beli Krt
(- PPN)]]*1.11</f>
        <v>0</v>
      </c>
      <c r="AO530" s="42"/>
      <c r="AP530" s="42">
        <f>Table43[[#This Row],[Harga Jual Pcs GT
(-PPN)]]*Table43[[#This Row],[ISI/CTN]]</f>
        <v>0</v>
      </c>
      <c r="AQ530" s="42">
        <f>Table43[[#This Row],[Harga Jual Pcs GT
(-PPN)]]*1.11</f>
        <v>0</v>
      </c>
      <c r="AR530" s="42">
        <f>Table43[[#This Row],[Harga Jual Krt GT
(- PPN)]]*1.11</f>
        <v>0</v>
      </c>
      <c r="AS530" s="42">
        <f>Table43[[#This Row],[Harga Jual Pcs GT
(-PPN)]]</f>
        <v>0</v>
      </c>
      <c r="AT530" s="42">
        <f>(Table43[[#This Row],[Harga Jual Pcs MT
(-PPN)]]*Table43[[#This Row],[ISI/CTN]])</f>
        <v>0</v>
      </c>
      <c r="AU530" s="42">
        <f>Table43[[#This Row],[Harga Jual Pcs MT
(-PPN)]]*1.11</f>
        <v>0</v>
      </c>
      <c r="AV530" s="42">
        <f>Table43[[#This Row],[Harga Jual Pcs MT
(+PPN)]]*Table43[[#This Row],[ISI/CTN]]</f>
        <v>0</v>
      </c>
      <c r="AW530" s="47"/>
      <c r="AX530" s="7"/>
      <c r="AY530" s="7" t="str">
        <f ca="1">IF(TODAY()-Table43[[#This Row],[Efektif
Pembuatan]]&gt;60,"Lama","Baru")</f>
        <v>Lama</v>
      </c>
      <c r="AZ530" s="7" t="str">
        <f ca="1">IF(TODAY()-Table43[[#This Row],[Efektif Naik Harga]]&lt;30,"Naik","Sama")</f>
        <v>Sama</v>
      </c>
      <c r="BA530" s="7" t="str">
        <f>IF(Table43[[#This Row],[Kode BARANG Win2]]&lt;&gt;"","IDR","")</f>
        <v>IDR</v>
      </c>
      <c r="BB530" s="7" t="str">
        <f>CONCATENATE(Table43[[#This Row],[kode  1 Digit
(Nomor)]],Table43[[#This Row],[kode  4 Digit                (Nomor)]])</f>
        <v>20025</v>
      </c>
      <c r="BC530" s="7" t="str">
        <f>Table43[[#This Row],[Nama            Gramasi atau Jumlah Pack per CTN]]</f>
        <v>25GR</v>
      </c>
      <c r="BD530" s="7"/>
      <c r="BE530" s="7"/>
      <c r="BF530" s="4" t="str">
        <f>IF(Table43[[#This Row],[SATUAN Fix Win]]&lt;&gt;"","KRT")</f>
        <v>KRT</v>
      </c>
      <c r="BG530" s="4" t="str">
        <f>IF(Table43[[#This Row],[SATUAN Fix Win]]&lt;&gt;"","GD01")</f>
        <v>GD01</v>
      </c>
      <c r="BH530" s="4">
        <f>IF(Table43[[#This Row],[SATUAN Fix Win]]&lt;&gt;"",11611)</f>
        <v>11611</v>
      </c>
      <c r="BI530" s="4">
        <f>IF(Table43[[#This Row],[SATUAN Fix Win]]&lt;&gt;"",11612)</f>
        <v>11612</v>
      </c>
      <c r="BJ530" s="48"/>
      <c r="BK530" s="4">
        <f>IF(Table43[[#This Row],[SATUAN Fix Win]]&lt;&gt;"",1)</f>
        <v>1</v>
      </c>
    </row>
    <row r="531" spans="1:63">
      <c r="A531" s="4" t="str">
        <f>CONCATENATE(Table43[[#This Row],[Kode BARANG Win2]],Table43[[#This Row],[No. Urut
Item Sama]])</f>
        <v>K14200050025101</v>
      </c>
      <c r="B531" s="7">
        <v>1</v>
      </c>
      <c r="D531" s="28" t="s">
        <v>556</v>
      </c>
      <c r="E531" s="28"/>
      <c r="F531" s="28" t="s">
        <v>3294</v>
      </c>
      <c r="G531" s="78">
        <v>72</v>
      </c>
      <c r="H531" s="43"/>
      <c r="I531" s="28" t="str">
        <f>Table43[[#This Row],[Nama Jenis Kemasan]]</f>
        <v>BOX</v>
      </c>
      <c r="J531" s="4" t="str">
        <f>TRIM(CONCATENATE(Table43[[#This Row],[Nama            KLP]]," ",Table43[[#This Row],[Nama            Sub KLP]]))</f>
        <v>SAMANTHA HC</v>
      </c>
      <c r="K531" s="4" t="str">
        <f>CONCATENATE(Table43[[#This Row],[kode  2 Digit                (hrf+No)]],Table43[[#This Row],[kode  2 Digit                (Nomor)]],Table43[[#This Row],[kode  1 Digit                (Nomor)]])</f>
        <v>K1420</v>
      </c>
      <c r="L531" s="4" t="str">
        <f t="shared" si="27"/>
        <v>K1420005002510</v>
      </c>
      <c r="M531" s="11">
        <f t="shared" si="28"/>
        <v>14</v>
      </c>
      <c r="N531" s="14" t="str">
        <f>IF(AF531&lt;&gt;"",TRIM(UPPER(CONCATENATE(P531," ",R531," ",T531," ",V531," ",X531," ",Z531," ","X"," ",Table43[[#This Row],[ISI/CTN]]," ",AF531," ",AB531," ",AD531," ",AH531))),TRIM(UPPER(CONCATENATE(P531," ",R531," ",T531," ",V531," ",X531," ",Z531," ","X"," ",Table43[[#This Row],[ISI/CTN]]," ",AB531," ",AD531," ",AH531))))</f>
        <v>KNF SAMANTHA HC COP GOLD BLONDE 25GR X 72 BOX</v>
      </c>
      <c r="O531" s="11">
        <f t="shared" si="29"/>
        <v>45</v>
      </c>
      <c r="P531" s="4" t="s">
        <v>97</v>
      </c>
      <c r="Q531" s="7" t="s">
        <v>98</v>
      </c>
      <c r="R531" s="4" t="s">
        <v>3945</v>
      </c>
      <c r="S531" s="44" t="s">
        <v>3946</v>
      </c>
      <c r="T531" s="45" t="s">
        <v>2961</v>
      </c>
      <c r="U531" s="7" t="s">
        <v>2900</v>
      </c>
      <c r="V531" s="45" t="s">
        <v>2961</v>
      </c>
      <c r="W531" s="44" t="s">
        <v>2900</v>
      </c>
      <c r="X531" s="4" t="s">
        <v>3952</v>
      </c>
      <c r="Y531" s="46" t="s">
        <v>2475</v>
      </c>
      <c r="Z531" s="4" t="s">
        <v>3949</v>
      </c>
      <c r="AA531" s="46" t="s">
        <v>2510</v>
      </c>
      <c r="AB531" s="4" t="s">
        <v>1023</v>
      </c>
      <c r="AC531" s="7" t="s">
        <v>2656</v>
      </c>
      <c r="AD531" s="4" t="s">
        <v>2961</v>
      </c>
      <c r="AE531" s="7" t="s">
        <v>2900</v>
      </c>
      <c r="AF531" s="7" t="s">
        <v>2961</v>
      </c>
      <c r="AG531" s="7" t="s">
        <v>2961</v>
      </c>
      <c r="AI531" s="7" t="s">
        <v>2463</v>
      </c>
      <c r="AJ531" s="7" t="s">
        <v>3562</v>
      </c>
      <c r="AK531" s="41">
        <f>Table43[[#This Row],[Harga Jual Pcs GT
(-PPN)]]-(Table43[[#This Row],[Harga Jual Pcs GT
(-PPN)]]*10%)</f>
        <v>0</v>
      </c>
      <c r="AL531" s="42">
        <f>Table43[[#This Row],[Harga Beli Pcs
(-PPN)]]*Table43[[#This Row],[ISI/CTN]]</f>
        <v>0</v>
      </c>
      <c r="AM531" s="42">
        <f>Table43[[#This Row],[Harga Beli Pcs
(-PPN)]]*1.11</f>
        <v>0</v>
      </c>
      <c r="AN531" s="42">
        <f>Table43[[#This Row],[Harga Beli Krt
(- PPN)]]*1.11</f>
        <v>0</v>
      </c>
      <c r="AO531" s="42"/>
      <c r="AP531" s="42">
        <f>Table43[[#This Row],[Harga Jual Pcs GT
(-PPN)]]*Table43[[#This Row],[ISI/CTN]]</f>
        <v>0</v>
      </c>
      <c r="AQ531" s="42">
        <f>Table43[[#This Row],[Harga Jual Pcs GT
(-PPN)]]*1.11</f>
        <v>0</v>
      </c>
      <c r="AR531" s="42">
        <f>Table43[[#This Row],[Harga Jual Krt GT
(- PPN)]]*1.11</f>
        <v>0</v>
      </c>
      <c r="AS531" s="42">
        <f>Table43[[#This Row],[Harga Jual Pcs GT
(-PPN)]]</f>
        <v>0</v>
      </c>
      <c r="AT531" s="42">
        <f>(Table43[[#This Row],[Harga Jual Pcs MT
(-PPN)]]*Table43[[#This Row],[ISI/CTN]])</f>
        <v>0</v>
      </c>
      <c r="AU531" s="42">
        <f>Table43[[#This Row],[Harga Jual Pcs MT
(-PPN)]]*1.11</f>
        <v>0</v>
      </c>
      <c r="AV531" s="42">
        <f>Table43[[#This Row],[Harga Jual Pcs MT
(+PPN)]]*Table43[[#This Row],[ISI/CTN]]</f>
        <v>0</v>
      </c>
      <c r="AW531" s="47"/>
      <c r="AX531" s="7"/>
      <c r="AY531" s="7" t="str">
        <f ca="1">IF(TODAY()-Table43[[#This Row],[Efektif
Pembuatan]]&gt;60,"Lama","Baru")</f>
        <v>Lama</v>
      </c>
      <c r="AZ531" s="7" t="str">
        <f ca="1">IF(TODAY()-Table43[[#This Row],[Efektif Naik Harga]]&lt;30,"Naik","Sama")</f>
        <v>Sama</v>
      </c>
      <c r="BA531" s="7" t="str">
        <f>IF(Table43[[#This Row],[Kode BARANG Win2]]&lt;&gt;"","IDR","")</f>
        <v>IDR</v>
      </c>
      <c r="BB531" s="7" t="str">
        <f>CONCATENATE(Table43[[#This Row],[kode  1 Digit
(Nomor)]],Table43[[#This Row],[kode  4 Digit                (Nomor)]])</f>
        <v>20025</v>
      </c>
      <c r="BC531" s="7" t="str">
        <f>Table43[[#This Row],[Nama            Gramasi atau Jumlah Pack per CTN]]</f>
        <v>25GR</v>
      </c>
      <c r="BD531" s="7"/>
      <c r="BE531" s="7"/>
      <c r="BF531" s="4" t="str">
        <f>IF(Table43[[#This Row],[SATUAN Fix Win]]&lt;&gt;"","KRT")</f>
        <v>KRT</v>
      </c>
      <c r="BG531" s="4" t="str">
        <f>IF(Table43[[#This Row],[SATUAN Fix Win]]&lt;&gt;"","GD01")</f>
        <v>GD01</v>
      </c>
      <c r="BH531" s="4">
        <f>IF(Table43[[#This Row],[SATUAN Fix Win]]&lt;&gt;"",11611)</f>
        <v>11611</v>
      </c>
      <c r="BI531" s="4">
        <f>IF(Table43[[#This Row],[SATUAN Fix Win]]&lt;&gt;"",11612)</f>
        <v>11612</v>
      </c>
      <c r="BJ531" s="48"/>
      <c r="BK531" s="4">
        <f>IF(Table43[[#This Row],[SATUAN Fix Win]]&lt;&gt;"",1)</f>
        <v>1</v>
      </c>
    </row>
    <row r="532" spans="1:63">
      <c r="A532" s="4" t="str">
        <f>CONCATENATE(Table43[[#This Row],[Kode BARANG Win2]],Table43[[#This Row],[No. Urut
Item Sama]])</f>
        <v>K14200060025101</v>
      </c>
      <c r="B532" s="7">
        <v>1</v>
      </c>
      <c r="D532" s="28" t="s">
        <v>557</v>
      </c>
      <c r="E532" s="28"/>
      <c r="F532" s="28" t="s">
        <v>3295</v>
      </c>
      <c r="G532" s="78">
        <v>72</v>
      </c>
      <c r="H532" s="43"/>
      <c r="I532" s="28" t="str">
        <f>Table43[[#This Row],[Nama Jenis Kemasan]]</f>
        <v>BOX</v>
      </c>
      <c r="J532" s="4" t="str">
        <f>TRIM(CONCATENATE(Table43[[#This Row],[Nama            KLP]]," ",Table43[[#This Row],[Nama            Sub KLP]]))</f>
        <v>SAMANTHA HC</v>
      </c>
      <c r="K532" s="4" t="str">
        <f>CONCATENATE(Table43[[#This Row],[kode  2 Digit                (hrf+No)]],Table43[[#This Row],[kode  2 Digit                (Nomor)]],Table43[[#This Row],[kode  1 Digit                (Nomor)]])</f>
        <v>K1420</v>
      </c>
      <c r="L532" s="4" t="str">
        <f t="shared" si="27"/>
        <v>K1420006002510</v>
      </c>
      <c r="M532" s="11">
        <f t="shared" si="28"/>
        <v>14</v>
      </c>
      <c r="N532" s="14" t="str">
        <f>IF(AF532&lt;&gt;"",TRIM(UPPER(CONCATENATE(P532," ",R532," ",T532," ",V532," ",X532," ",Z532," ","X"," ",Table43[[#This Row],[ISI/CTN]]," ",AF532," ",AB532," ",AD532," ",AH532))),TRIM(UPPER(CONCATENATE(P532," ",R532," ",T532," ",V532," ",X532," ",Z532," ","X"," ",Table43[[#This Row],[ISI/CTN]]," ",AB532," ",AD532," ",AH532))))</f>
        <v>KNF SAMANTHA HC COPPER HAZEL 25GR X 72 BOX</v>
      </c>
      <c r="O532" s="11">
        <f t="shared" si="29"/>
        <v>42</v>
      </c>
      <c r="P532" s="4" t="s">
        <v>97</v>
      </c>
      <c r="Q532" s="7" t="s">
        <v>98</v>
      </c>
      <c r="R532" s="4" t="s">
        <v>3945</v>
      </c>
      <c r="S532" s="44" t="s">
        <v>3946</v>
      </c>
      <c r="T532" s="45" t="s">
        <v>2961</v>
      </c>
      <c r="U532" s="7" t="s">
        <v>2900</v>
      </c>
      <c r="V532" s="45" t="s">
        <v>2961</v>
      </c>
      <c r="W532" s="44" t="s">
        <v>2900</v>
      </c>
      <c r="X532" s="4" t="s">
        <v>3953</v>
      </c>
      <c r="Y532" s="46" t="s">
        <v>2476</v>
      </c>
      <c r="Z532" s="4" t="s">
        <v>3949</v>
      </c>
      <c r="AA532" s="46" t="s">
        <v>2510</v>
      </c>
      <c r="AB532" s="4" t="s">
        <v>1023</v>
      </c>
      <c r="AC532" s="7" t="s">
        <v>2656</v>
      </c>
      <c r="AD532" s="4" t="s">
        <v>2961</v>
      </c>
      <c r="AE532" s="7" t="s">
        <v>2900</v>
      </c>
      <c r="AF532" s="7" t="s">
        <v>2961</v>
      </c>
      <c r="AG532" s="7" t="s">
        <v>2961</v>
      </c>
      <c r="AI532" s="7" t="s">
        <v>2463</v>
      </c>
      <c r="AJ532" s="7" t="s">
        <v>3562</v>
      </c>
      <c r="AK532" s="41">
        <f>Table43[[#This Row],[Harga Jual Pcs GT
(-PPN)]]-(Table43[[#This Row],[Harga Jual Pcs GT
(-PPN)]]*10%)</f>
        <v>0</v>
      </c>
      <c r="AL532" s="42">
        <f>Table43[[#This Row],[Harga Beli Pcs
(-PPN)]]*Table43[[#This Row],[ISI/CTN]]</f>
        <v>0</v>
      </c>
      <c r="AM532" s="42">
        <f>Table43[[#This Row],[Harga Beli Pcs
(-PPN)]]*1.11</f>
        <v>0</v>
      </c>
      <c r="AN532" s="42">
        <f>Table43[[#This Row],[Harga Beli Krt
(- PPN)]]*1.11</f>
        <v>0</v>
      </c>
      <c r="AO532" s="42"/>
      <c r="AP532" s="42">
        <f>Table43[[#This Row],[Harga Jual Pcs GT
(-PPN)]]*Table43[[#This Row],[ISI/CTN]]</f>
        <v>0</v>
      </c>
      <c r="AQ532" s="42">
        <f>Table43[[#This Row],[Harga Jual Pcs GT
(-PPN)]]*1.11</f>
        <v>0</v>
      </c>
      <c r="AR532" s="42">
        <f>Table43[[#This Row],[Harga Jual Krt GT
(- PPN)]]*1.11</f>
        <v>0</v>
      </c>
      <c r="AS532" s="42">
        <f>Table43[[#This Row],[Harga Jual Pcs GT
(-PPN)]]</f>
        <v>0</v>
      </c>
      <c r="AT532" s="42">
        <f>(Table43[[#This Row],[Harga Jual Pcs MT
(-PPN)]]*Table43[[#This Row],[ISI/CTN]])</f>
        <v>0</v>
      </c>
      <c r="AU532" s="42">
        <f>Table43[[#This Row],[Harga Jual Pcs MT
(-PPN)]]*1.11</f>
        <v>0</v>
      </c>
      <c r="AV532" s="42">
        <f>Table43[[#This Row],[Harga Jual Pcs MT
(+PPN)]]*Table43[[#This Row],[ISI/CTN]]</f>
        <v>0</v>
      </c>
      <c r="AW532" s="47"/>
      <c r="AX532" s="7"/>
      <c r="AY532" s="7" t="str">
        <f ca="1">IF(TODAY()-Table43[[#This Row],[Efektif
Pembuatan]]&gt;60,"Lama","Baru")</f>
        <v>Lama</v>
      </c>
      <c r="AZ532" s="7" t="str">
        <f ca="1">IF(TODAY()-Table43[[#This Row],[Efektif Naik Harga]]&lt;30,"Naik","Sama")</f>
        <v>Sama</v>
      </c>
      <c r="BA532" s="7" t="str">
        <f>IF(Table43[[#This Row],[Kode BARANG Win2]]&lt;&gt;"","IDR","")</f>
        <v>IDR</v>
      </c>
      <c r="BB532" s="7" t="str">
        <f>CONCATENATE(Table43[[#This Row],[kode  1 Digit
(Nomor)]],Table43[[#This Row],[kode  4 Digit                (Nomor)]])</f>
        <v>20025</v>
      </c>
      <c r="BC532" s="7" t="str">
        <f>Table43[[#This Row],[Nama            Gramasi atau Jumlah Pack per CTN]]</f>
        <v>25GR</v>
      </c>
      <c r="BD532" s="7"/>
      <c r="BE532" s="7"/>
      <c r="BF532" s="4" t="str">
        <f>IF(Table43[[#This Row],[SATUAN Fix Win]]&lt;&gt;"","KRT")</f>
        <v>KRT</v>
      </c>
      <c r="BG532" s="4" t="str">
        <f>IF(Table43[[#This Row],[SATUAN Fix Win]]&lt;&gt;"","GD01")</f>
        <v>GD01</v>
      </c>
      <c r="BH532" s="4">
        <f>IF(Table43[[#This Row],[SATUAN Fix Win]]&lt;&gt;"",11611)</f>
        <v>11611</v>
      </c>
      <c r="BI532" s="4">
        <f>IF(Table43[[#This Row],[SATUAN Fix Win]]&lt;&gt;"",11612)</f>
        <v>11612</v>
      </c>
      <c r="BJ532" s="48"/>
      <c r="BK532" s="4">
        <f>IF(Table43[[#This Row],[SATUAN Fix Win]]&lt;&gt;"",1)</f>
        <v>1</v>
      </c>
    </row>
    <row r="533" spans="1:63">
      <c r="A533" s="4" t="str">
        <f>CONCATENATE(Table43[[#This Row],[Kode BARANG Win2]],Table43[[#This Row],[No. Urut
Item Sama]])</f>
        <v>K14200070025101</v>
      </c>
      <c r="B533" s="7">
        <v>1</v>
      </c>
      <c r="D533" s="28" t="s">
        <v>558</v>
      </c>
      <c r="E533" s="28"/>
      <c r="F533" s="28" t="s">
        <v>3296</v>
      </c>
      <c r="G533" s="78">
        <v>72</v>
      </c>
      <c r="H533" s="43"/>
      <c r="I533" s="28" t="str">
        <f>Table43[[#This Row],[Nama Jenis Kemasan]]</f>
        <v>BOX</v>
      </c>
      <c r="J533" s="4" t="str">
        <f>TRIM(CONCATENATE(Table43[[#This Row],[Nama            KLP]]," ",Table43[[#This Row],[Nama            Sub KLP]]))</f>
        <v>SAMANTHA HC</v>
      </c>
      <c r="K533" s="4" t="str">
        <f>CONCATENATE(Table43[[#This Row],[kode  2 Digit                (hrf+No)]],Table43[[#This Row],[kode  2 Digit                (Nomor)]],Table43[[#This Row],[kode  1 Digit                (Nomor)]])</f>
        <v>K1420</v>
      </c>
      <c r="L533" s="4" t="str">
        <f t="shared" si="27"/>
        <v>K1420007002510</v>
      </c>
      <c r="M533" s="11">
        <f t="shared" si="28"/>
        <v>14</v>
      </c>
      <c r="N533" s="14" t="str">
        <f>IF(AF533&lt;&gt;"",TRIM(UPPER(CONCATENATE(P533," ",R533," ",T533," ",V533," ",X533," ",Z533," ","X"," ",Table43[[#This Row],[ISI/CTN]]," ",AF533," ",AB533," ",AD533," ",AH533))),TRIM(UPPER(CONCATENATE(P533," ",R533," ",T533," ",V533," ",X533," ",Z533," ","X"," ",Table43[[#This Row],[ISI/CTN]]," ",AB533," ",AD533," ",AH533))))</f>
        <v>KNF SAMANTHA HC DARK BLUE 25GR X 72 BOX</v>
      </c>
      <c r="O533" s="11">
        <f t="shared" si="29"/>
        <v>39</v>
      </c>
      <c r="P533" s="4" t="s">
        <v>97</v>
      </c>
      <c r="Q533" s="7" t="s">
        <v>98</v>
      </c>
      <c r="R533" s="4" t="s">
        <v>3945</v>
      </c>
      <c r="S533" s="44" t="s">
        <v>3946</v>
      </c>
      <c r="T533" s="45" t="s">
        <v>2961</v>
      </c>
      <c r="U533" s="7" t="s">
        <v>2900</v>
      </c>
      <c r="V533" s="45" t="s">
        <v>2961</v>
      </c>
      <c r="W533" s="44" t="s">
        <v>2900</v>
      </c>
      <c r="X533" s="4" t="s">
        <v>3954</v>
      </c>
      <c r="Y533" s="46" t="s">
        <v>2477</v>
      </c>
      <c r="Z533" s="4" t="s">
        <v>3949</v>
      </c>
      <c r="AA533" s="46" t="s">
        <v>2510</v>
      </c>
      <c r="AB533" s="4" t="s">
        <v>1023</v>
      </c>
      <c r="AC533" s="7" t="s">
        <v>2656</v>
      </c>
      <c r="AD533" s="4" t="s">
        <v>2961</v>
      </c>
      <c r="AE533" s="7" t="s">
        <v>2900</v>
      </c>
      <c r="AF533" s="7" t="s">
        <v>2961</v>
      </c>
      <c r="AG533" s="7" t="s">
        <v>2961</v>
      </c>
      <c r="AI533" s="7" t="s">
        <v>2463</v>
      </c>
      <c r="AJ533" s="7" t="s">
        <v>3562</v>
      </c>
      <c r="AK533" s="41">
        <f>Table43[[#This Row],[Harga Jual Pcs GT
(-PPN)]]-(Table43[[#This Row],[Harga Jual Pcs GT
(-PPN)]]*10%)</f>
        <v>0</v>
      </c>
      <c r="AL533" s="42">
        <f>Table43[[#This Row],[Harga Beli Pcs
(-PPN)]]*Table43[[#This Row],[ISI/CTN]]</f>
        <v>0</v>
      </c>
      <c r="AM533" s="42">
        <f>Table43[[#This Row],[Harga Beli Pcs
(-PPN)]]*1.11</f>
        <v>0</v>
      </c>
      <c r="AN533" s="42">
        <f>Table43[[#This Row],[Harga Beli Krt
(- PPN)]]*1.11</f>
        <v>0</v>
      </c>
      <c r="AO533" s="42"/>
      <c r="AP533" s="42">
        <f>Table43[[#This Row],[Harga Jual Pcs GT
(-PPN)]]*Table43[[#This Row],[ISI/CTN]]</f>
        <v>0</v>
      </c>
      <c r="AQ533" s="42">
        <f>Table43[[#This Row],[Harga Jual Pcs GT
(-PPN)]]*1.11</f>
        <v>0</v>
      </c>
      <c r="AR533" s="42">
        <f>Table43[[#This Row],[Harga Jual Krt GT
(- PPN)]]*1.11</f>
        <v>0</v>
      </c>
      <c r="AS533" s="42">
        <f>Table43[[#This Row],[Harga Jual Pcs GT
(-PPN)]]</f>
        <v>0</v>
      </c>
      <c r="AT533" s="42">
        <f>(Table43[[#This Row],[Harga Jual Pcs MT
(-PPN)]]*Table43[[#This Row],[ISI/CTN]])</f>
        <v>0</v>
      </c>
      <c r="AU533" s="42">
        <f>Table43[[#This Row],[Harga Jual Pcs MT
(-PPN)]]*1.11</f>
        <v>0</v>
      </c>
      <c r="AV533" s="42">
        <f>Table43[[#This Row],[Harga Jual Pcs MT
(+PPN)]]*Table43[[#This Row],[ISI/CTN]]</f>
        <v>0</v>
      </c>
      <c r="AW533" s="47"/>
      <c r="AX533" s="7"/>
      <c r="AY533" s="7" t="str">
        <f ca="1">IF(TODAY()-Table43[[#This Row],[Efektif
Pembuatan]]&gt;60,"Lama","Baru")</f>
        <v>Lama</v>
      </c>
      <c r="AZ533" s="7" t="str">
        <f ca="1">IF(TODAY()-Table43[[#This Row],[Efektif Naik Harga]]&lt;30,"Naik","Sama")</f>
        <v>Sama</v>
      </c>
      <c r="BA533" s="7" t="str">
        <f>IF(Table43[[#This Row],[Kode BARANG Win2]]&lt;&gt;"","IDR","")</f>
        <v>IDR</v>
      </c>
      <c r="BB533" s="7" t="str">
        <f>CONCATENATE(Table43[[#This Row],[kode  1 Digit
(Nomor)]],Table43[[#This Row],[kode  4 Digit                (Nomor)]])</f>
        <v>20025</v>
      </c>
      <c r="BC533" s="7" t="str">
        <f>Table43[[#This Row],[Nama            Gramasi atau Jumlah Pack per CTN]]</f>
        <v>25GR</v>
      </c>
      <c r="BD533" s="7"/>
      <c r="BE533" s="7"/>
      <c r="BF533" s="4" t="str">
        <f>IF(Table43[[#This Row],[SATUAN Fix Win]]&lt;&gt;"","KRT")</f>
        <v>KRT</v>
      </c>
      <c r="BG533" s="4" t="str">
        <f>IF(Table43[[#This Row],[SATUAN Fix Win]]&lt;&gt;"","GD01")</f>
        <v>GD01</v>
      </c>
      <c r="BH533" s="4">
        <f>IF(Table43[[#This Row],[SATUAN Fix Win]]&lt;&gt;"",11611)</f>
        <v>11611</v>
      </c>
      <c r="BI533" s="4">
        <f>IF(Table43[[#This Row],[SATUAN Fix Win]]&lt;&gt;"",11612)</f>
        <v>11612</v>
      </c>
      <c r="BJ533" s="48"/>
      <c r="BK533" s="4">
        <f>IF(Table43[[#This Row],[SATUAN Fix Win]]&lt;&gt;"",1)</f>
        <v>1</v>
      </c>
    </row>
    <row r="534" spans="1:63">
      <c r="A534" s="4" t="str">
        <f>CONCATENATE(Table43[[#This Row],[Kode BARANG Win2]],Table43[[#This Row],[No. Urut
Item Sama]])</f>
        <v>K14200080025101</v>
      </c>
      <c r="B534" s="7">
        <v>1</v>
      </c>
      <c r="D534" s="28" t="s">
        <v>559</v>
      </c>
      <c r="E534" s="28"/>
      <c r="F534" s="28" t="s">
        <v>3297</v>
      </c>
      <c r="G534" s="78">
        <v>72</v>
      </c>
      <c r="H534" s="43"/>
      <c r="I534" s="28" t="str">
        <f>Table43[[#This Row],[Nama Jenis Kemasan]]</f>
        <v>BOX</v>
      </c>
      <c r="J534" s="4" t="str">
        <f>TRIM(CONCATENATE(Table43[[#This Row],[Nama            KLP]]," ",Table43[[#This Row],[Nama            Sub KLP]]))</f>
        <v>SAMANTHA HC</v>
      </c>
      <c r="K534" s="4" t="str">
        <f>CONCATENATE(Table43[[#This Row],[kode  2 Digit                (hrf+No)]],Table43[[#This Row],[kode  2 Digit                (Nomor)]],Table43[[#This Row],[kode  1 Digit                (Nomor)]])</f>
        <v>K1420</v>
      </c>
      <c r="L534" s="4" t="str">
        <f t="shared" si="27"/>
        <v>K1420008002510</v>
      </c>
      <c r="M534" s="11">
        <f t="shared" si="28"/>
        <v>14</v>
      </c>
      <c r="N534" s="14" t="str">
        <f>IF(AF534&lt;&gt;"",TRIM(UPPER(CONCATENATE(P534," ",R534," ",T534," ",V534," ",X534," ",Z534," ","X"," ",Table43[[#This Row],[ISI/CTN]]," ",AF534," ",AB534," ",AD534," ",AH534))),TRIM(UPPER(CONCATENATE(P534," ",R534," ",T534," ",V534," ",X534," ",Z534," ","X"," ",Table43[[#This Row],[ISI/CTN]]," ",AB534," ",AD534," ",AH534))))</f>
        <v>KNF SAMANTHA HC DARK MHGN BROWN 25GR X 72 BOX</v>
      </c>
      <c r="O534" s="11">
        <f t="shared" si="29"/>
        <v>45</v>
      </c>
      <c r="P534" s="4" t="s">
        <v>97</v>
      </c>
      <c r="Q534" s="7" t="s">
        <v>98</v>
      </c>
      <c r="R534" s="4" t="s">
        <v>3945</v>
      </c>
      <c r="S534" s="44" t="s">
        <v>3946</v>
      </c>
      <c r="T534" s="45" t="s">
        <v>2961</v>
      </c>
      <c r="U534" s="7" t="s">
        <v>2900</v>
      </c>
      <c r="V534" s="45" t="s">
        <v>2961</v>
      </c>
      <c r="W534" s="44" t="s">
        <v>2900</v>
      </c>
      <c r="X534" s="4" t="s">
        <v>3955</v>
      </c>
      <c r="Y534" s="46" t="s">
        <v>2478</v>
      </c>
      <c r="Z534" s="4" t="s">
        <v>3949</v>
      </c>
      <c r="AA534" s="46" t="s">
        <v>2510</v>
      </c>
      <c r="AB534" s="4" t="s">
        <v>1023</v>
      </c>
      <c r="AC534" s="7" t="s">
        <v>2656</v>
      </c>
      <c r="AD534" s="4" t="s">
        <v>2961</v>
      </c>
      <c r="AE534" s="7" t="s">
        <v>2900</v>
      </c>
      <c r="AF534" s="7" t="s">
        <v>2961</v>
      </c>
      <c r="AG534" s="7" t="s">
        <v>2961</v>
      </c>
      <c r="AI534" s="7" t="s">
        <v>2463</v>
      </c>
      <c r="AJ534" s="7" t="s">
        <v>3562</v>
      </c>
      <c r="AK534" s="41">
        <f>Table43[[#This Row],[Harga Jual Pcs GT
(-PPN)]]-(Table43[[#This Row],[Harga Jual Pcs GT
(-PPN)]]*10%)</f>
        <v>0</v>
      </c>
      <c r="AL534" s="42">
        <f>Table43[[#This Row],[Harga Beli Pcs
(-PPN)]]*Table43[[#This Row],[ISI/CTN]]</f>
        <v>0</v>
      </c>
      <c r="AM534" s="42">
        <f>Table43[[#This Row],[Harga Beli Pcs
(-PPN)]]*1.11</f>
        <v>0</v>
      </c>
      <c r="AN534" s="42">
        <f>Table43[[#This Row],[Harga Beli Krt
(- PPN)]]*1.11</f>
        <v>0</v>
      </c>
      <c r="AO534" s="42"/>
      <c r="AP534" s="42">
        <f>Table43[[#This Row],[Harga Jual Pcs GT
(-PPN)]]*Table43[[#This Row],[ISI/CTN]]</f>
        <v>0</v>
      </c>
      <c r="AQ534" s="42">
        <f>Table43[[#This Row],[Harga Jual Pcs GT
(-PPN)]]*1.11</f>
        <v>0</v>
      </c>
      <c r="AR534" s="42">
        <f>Table43[[#This Row],[Harga Jual Krt GT
(- PPN)]]*1.11</f>
        <v>0</v>
      </c>
      <c r="AS534" s="42">
        <f>Table43[[#This Row],[Harga Jual Pcs GT
(-PPN)]]</f>
        <v>0</v>
      </c>
      <c r="AT534" s="42">
        <f>(Table43[[#This Row],[Harga Jual Pcs MT
(-PPN)]]*Table43[[#This Row],[ISI/CTN]])</f>
        <v>0</v>
      </c>
      <c r="AU534" s="42">
        <f>Table43[[#This Row],[Harga Jual Pcs MT
(-PPN)]]*1.11</f>
        <v>0</v>
      </c>
      <c r="AV534" s="42">
        <f>Table43[[#This Row],[Harga Jual Pcs MT
(+PPN)]]*Table43[[#This Row],[ISI/CTN]]</f>
        <v>0</v>
      </c>
      <c r="AW534" s="47"/>
      <c r="AX534" s="7"/>
      <c r="AY534" s="7" t="str">
        <f ca="1">IF(TODAY()-Table43[[#This Row],[Efektif
Pembuatan]]&gt;60,"Lama","Baru")</f>
        <v>Lama</v>
      </c>
      <c r="AZ534" s="7" t="str">
        <f ca="1">IF(TODAY()-Table43[[#This Row],[Efektif Naik Harga]]&lt;30,"Naik","Sama")</f>
        <v>Sama</v>
      </c>
      <c r="BA534" s="7" t="str">
        <f>IF(Table43[[#This Row],[Kode BARANG Win2]]&lt;&gt;"","IDR","")</f>
        <v>IDR</v>
      </c>
      <c r="BB534" s="7" t="str">
        <f>CONCATENATE(Table43[[#This Row],[kode  1 Digit
(Nomor)]],Table43[[#This Row],[kode  4 Digit                (Nomor)]])</f>
        <v>20025</v>
      </c>
      <c r="BC534" s="7" t="str">
        <f>Table43[[#This Row],[Nama            Gramasi atau Jumlah Pack per CTN]]</f>
        <v>25GR</v>
      </c>
      <c r="BD534" s="7"/>
      <c r="BE534" s="7"/>
      <c r="BF534" s="4" t="str">
        <f>IF(Table43[[#This Row],[SATUAN Fix Win]]&lt;&gt;"","KRT")</f>
        <v>KRT</v>
      </c>
      <c r="BG534" s="4" t="str">
        <f>IF(Table43[[#This Row],[SATUAN Fix Win]]&lt;&gt;"","GD01")</f>
        <v>GD01</v>
      </c>
      <c r="BH534" s="4">
        <f>IF(Table43[[#This Row],[SATUAN Fix Win]]&lt;&gt;"",11611)</f>
        <v>11611</v>
      </c>
      <c r="BI534" s="4">
        <f>IF(Table43[[#This Row],[SATUAN Fix Win]]&lt;&gt;"",11612)</f>
        <v>11612</v>
      </c>
      <c r="BJ534" s="48"/>
      <c r="BK534" s="4">
        <f>IF(Table43[[#This Row],[SATUAN Fix Win]]&lt;&gt;"",1)</f>
        <v>1</v>
      </c>
    </row>
    <row r="535" spans="1:63">
      <c r="A535" s="4" t="str">
        <f>CONCATENATE(Table43[[#This Row],[Kode BARANG Win2]],Table43[[#This Row],[No. Urut
Item Sama]])</f>
        <v>K14200090025101</v>
      </c>
      <c r="B535" s="7">
        <v>1</v>
      </c>
      <c r="D535" s="28" t="s">
        <v>560</v>
      </c>
      <c r="E535" s="28"/>
      <c r="F535" s="28" t="s">
        <v>3298</v>
      </c>
      <c r="G535" s="78">
        <v>72</v>
      </c>
      <c r="H535" s="43"/>
      <c r="I535" s="28" t="str">
        <f>Table43[[#This Row],[Nama Jenis Kemasan]]</f>
        <v>BOX</v>
      </c>
      <c r="J535" s="4" t="str">
        <f>TRIM(CONCATENATE(Table43[[#This Row],[Nama            KLP]]," ",Table43[[#This Row],[Nama            Sub KLP]]))</f>
        <v>SAMANTHA HC</v>
      </c>
      <c r="K535" s="4" t="str">
        <f>CONCATENATE(Table43[[#This Row],[kode  2 Digit                (hrf+No)]],Table43[[#This Row],[kode  2 Digit                (Nomor)]],Table43[[#This Row],[kode  1 Digit                (Nomor)]])</f>
        <v>K1420</v>
      </c>
      <c r="L535" s="4" t="str">
        <f t="shared" si="27"/>
        <v>K1420009002510</v>
      </c>
      <c r="M535" s="11">
        <f t="shared" si="28"/>
        <v>14</v>
      </c>
      <c r="N535" s="14" t="str">
        <f>IF(AF535&lt;&gt;"",TRIM(UPPER(CONCATENATE(P535," ",R535," ",T535," ",V535," ",X535," ",Z535," ","X"," ",Table43[[#This Row],[ISI/CTN]]," ",AF535," ",AB535," ",AD535," ",AH535))),TRIM(UPPER(CONCATENATE(P535," ",R535," ",T535," ",V535," ",X535," ",Z535," ","X"," ",Table43[[#This Row],[ISI/CTN]]," ",AB535," ",AD535," ",AH535))))</f>
        <v>KNF SAMANTHA HC GOLDEN 25GR X 72 BOX</v>
      </c>
      <c r="O535" s="11">
        <f t="shared" si="29"/>
        <v>36</v>
      </c>
      <c r="P535" s="4" t="s">
        <v>97</v>
      </c>
      <c r="Q535" s="7" t="s">
        <v>98</v>
      </c>
      <c r="R535" s="4" t="s">
        <v>3945</v>
      </c>
      <c r="S535" s="44" t="s">
        <v>3946</v>
      </c>
      <c r="T535" s="45" t="s">
        <v>2961</v>
      </c>
      <c r="U535" s="7" t="s">
        <v>2900</v>
      </c>
      <c r="V535" s="45" t="s">
        <v>2961</v>
      </c>
      <c r="W535" s="44" t="s">
        <v>2900</v>
      </c>
      <c r="X535" s="4" t="s">
        <v>3956</v>
      </c>
      <c r="Y535" s="46" t="s">
        <v>2479</v>
      </c>
      <c r="Z535" s="4" t="s">
        <v>3949</v>
      </c>
      <c r="AA535" s="46" t="s">
        <v>2510</v>
      </c>
      <c r="AB535" s="4" t="s">
        <v>1023</v>
      </c>
      <c r="AC535" s="7" t="s">
        <v>2656</v>
      </c>
      <c r="AD535" s="4" t="s">
        <v>2961</v>
      </c>
      <c r="AE535" s="7" t="s">
        <v>2900</v>
      </c>
      <c r="AF535" s="7" t="s">
        <v>2961</v>
      </c>
      <c r="AG535" s="7" t="s">
        <v>2961</v>
      </c>
      <c r="AI535" s="7" t="s">
        <v>2463</v>
      </c>
      <c r="AJ535" s="7" t="s">
        <v>3562</v>
      </c>
      <c r="AK535" s="41">
        <f>Table43[[#This Row],[Harga Jual Pcs GT
(-PPN)]]-(Table43[[#This Row],[Harga Jual Pcs GT
(-PPN)]]*10%)</f>
        <v>0</v>
      </c>
      <c r="AL535" s="42">
        <f>Table43[[#This Row],[Harga Beli Pcs
(-PPN)]]*Table43[[#This Row],[ISI/CTN]]</f>
        <v>0</v>
      </c>
      <c r="AM535" s="42">
        <f>Table43[[#This Row],[Harga Beli Pcs
(-PPN)]]*1.11</f>
        <v>0</v>
      </c>
      <c r="AN535" s="42">
        <f>Table43[[#This Row],[Harga Beli Krt
(- PPN)]]*1.11</f>
        <v>0</v>
      </c>
      <c r="AO535" s="42"/>
      <c r="AP535" s="42">
        <f>Table43[[#This Row],[Harga Jual Pcs GT
(-PPN)]]*Table43[[#This Row],[ISI/CTN]]</f>
        <v>0</v>
      </c>
      <c r="AQ535" s="42">
        <f>Table43[[#This Row],[Harga Jual Pcs GT
(-PPN)]]*1.11</f>
        <v>0</v>
      </c>
      <c r="AR535" s="42">
        <f>Table43[[#This Row],[Harga Jual Krt GT
(- PPN)]]*1.11</f>
        <v>0</v>
      </c>
      <c r="AS535" s="42">
        <f>Table43[[#This Row],[Harga Jual Pcs GT
(-PPN)]]</f>
        <v>0</v>
      </c>
      <c r="AT535" s="42">
        <f>(Table43[[#This Row],[Harga Jual Pcs MT
(-PPN)]]*Table43[[#This Row],[ISI/CTN]])</f>
        <v>0</v>
      </c>
      <c r="AU535" s="42">
        <f>Table43[[#This Row],[Harga Jual Pcs MT
(-PPN)]]*1.11</f>
        <v>0</v>
      </c>
      <c r="AV535" s="42">
        <f>Table43[[#This Row],[Harga Jual Pcs MT
(+PPN)]]*Table43[[#This Row],[ISI/CTN]]</f>
        <v>0</v>
      </c>
      <c r="AW535" s="47"/>
      <c r="AX535" s="7"/>
      <c r="AY535" s="7" t="str">
        <f ca="1">IF(TODAY()-Table43[[#This Row],[Efektif
Pembuatan]]&gt;60,"Lama","Baru")</f>
        <v>Lama</v>
      </c>
      <c r="AZ535" s="7" t="str">
        <f ca="1">IF(TODAY()-Table43[[#This Row],[Efektif Naik Harga]]&lt;30,"Naik","Sama")</f>
        <v>Sama</v>
      </c>
      <c r="BA535" s="7" t="str">
        <f>IF(Table43[[#This Row],[Kode BARANG Win2]]&lt;&gt;"","IDR","")</f>
        <v>IDR</v>
      </c>
      <c r="BB535" s="7" t="str">
        <f>CONCATENATE(Table43[[#This Row],[kode  1 Digit
(Nomor)]],Table43[[#This Row],[kode  4 Digit                (Nomor)]])</f>
        <v>20025</v>
      </c>
      <c r="BC535" s="7" t="str">
        <f>Table43[[#This Row],[Nama            Gramasi atau Jumlah Pack per CTN]]</f>
        <v>25GR</v>
      </c>
      <c r="BD535" s="7"/>
      <c r="BE535" s="7"/>
      <c r="BF535" s="4" t="str">
        <f>IF(Table43[[#This Row],[SATUAN Fix Win]]&lt;&gt;"","KRT")</f>
        <v>KRT</v>
      </c>
      <c r="BG535" s="4" t="str">
        <f>IF(Table43[[#This Row],[SATUAN Fix Win]]&lt;&gt;"","GD01")</f>
        <v>GD01</v>
      </c>
      <c r="BH535" s="4">
        <f>IF(Table43[[#This Row],[SATUAN Fix Win]]&lt;&gt;"",11611)</f>
        <v>11611</v>
      </c>
      <c r="BI535" s="4">
        <f>IF(Table43[[#This Row],[SATUAN Fix Win]]&lt;&gt;"",11612)</f>
        <v>11612</v>
      </c>
      <c r="BJ535" s="48"/>
      <c r="BK535" s="4">
        <f>IF(Table43[[#This Row],[SATUAN Fix Win]]&lt;&gt;"",1)</f>
        <v>1</v>
      </c>
    </row>
    <row r="536" spans="1:63">
      <c r="A536" s="4" t="str">
        <f>CONCATENATE(Table43[[#This Row],[Kode BARANG Win2]],Table43[[#This Row],[No. Urut
Item Sama]])</f>
        <v>K14200100025101</v>
      </c>
      <c r="B536" s="7">
        <v>1</v>
      </c>
      <c r="D536" s="28" t="s">
        <v>561</v>
      </c>
      <c r="E536" s="28"/>
      <c r="F536" s="28" t="s">
        <v>3299</v>
      </c>
      <c r="G536" s="78">
        <v>72</v>
      </c>
      <c r="H536" s="43"/>
      <c r="I536" s="28" t="str">
        <f>Table43[[#This Row],[Nama Jenis Kemasan]]</f>
        <v>BOX</v>
      </c>
      <c r="J536" s="4" t="str">
        <f>TRIM(CONCATENATE(Table43[[#This Row],[Nama            KLP]]," ",Table43[[#This Row],[Nama            Sub KLP]]))</f>
        <v>SAMANTHA HC</v>
      </c>
      <c r="K536" s="4" t="str">
        <f>CONCATENATE(Table43[[#This Row],[kode  2 Digit                (hrf+No)]],Table43[[#This Row],[kode  2 Digit                (Nomor)]],Table43[[#This Row],[kode  1 Digit                (Nomor)]])</f>
        <v>K1420</v>
      </c>
      <c r="L536" s="4" t="str">
        <f t="shared" si="27"/>
        <v>K1420010002510</v>
      </c>
      <c r="M536" s="11">
        <f t="shared" si="28"/>
        <v>14</v>
      </c>
      <c r="N536" s="14" t="str">
        <f>IF(AF536&lt;&gt;"",TRIM(UPPER(CONCATENATE(P536," ",R536," ",T536," ",V536," ",X536," ",Z536," ","X"," ",Table43[[#This Row],[ISI/CTN]]," ",AF536," ",AB536," ",AD536," ",AH536))),TRIM(UPPER(CONCATENATE(P536," ",R536," ",T536," ",V536," ",X536," ",Z536," ","X"," ",Table43[[#This Row],[ISI/CTN]]," ",AB536," ",AD536," ",AH536))))</f>
        <v>KNF SAMANTHA HC IRISE RED 25GR X 72 BOX</v>
      </c>
      <c r="O536" s="11">
        <f t="shared" si="29"/>
        <v>39</v>
      </c>
      <c r="P536" s="4" t="s">
        <v>97</v>
      </c>
      <c r="Q536" s="7" t="s">
        <v>98</v>
      </c>
      <c r="R536" s="4" t="s">
        <v>3945</v>
      </c>
      <c r="S536" s="44" t="s">
        <v>3946</v>
      </c>
      <c r="T536" s="45" t="s">
        <v>2961</v>
      </c>
      <c r="U536" s="7" t="s">
        <v>2900</v>
      </c>
      <c r="V536" s="45" t="s">
        <v>2961</v>
      </c>
      <c r="W536" s="44" t="s">
        <v>2900</v>
      </c>
      <c r="X536" s="4" t="s">
        <v>3957</v>
      </c>
      <c r="Y536" s="46" t="s">
        <v>3564</v>
      </c>
      <c r="Z536" s="4" t="s">
        <v>3949</v>
      </c>
      <c r="AA536" s="46" t="s">
        <v>2510</v>
      </c>
      <c r="AB536" s="4" t="s">
        <v>1023</v>
      </c>
      <c r="AC536" s="7" t="s">
        <v>2656</v>
      </c>
      <c r="AD536" s="4" t="s">
        <v>2961</v>
      </c>
      <c r="AE536" s="7" t="s">
        <v>2900</v>
      </c>
      <c r="AF536" s="7" t="s">
        <v>2961</v>
      </c>
      <c r="AG536" s="7" t="s">
        <v>2961</v>
      </c>
      <c r="AI536" s="7" t="s">
        <v>2463</v>
      </c>
      <c r="AJ536" s="7" t="s">
        <v>3562</v>
      </c>
      <c r="AK536" s="41">
        <f>Table43[[#This Row],[Harga Jual Pcs GT
(-PPN)]]-(Table43[[#This Row],[Harga Jual Pcs GT
(-PPN)]]*10%)</f>
        <v>0</v>
      </c>
      <c r="AL536" s="42">
        <f>Table43[[#This Row],[Harga Beli Pcs
(-PPN)]]*Table43[[#This Row],[ISI/CTN]]</f>
        <v>0</v>
      </c>
      <c r="AM536" s="42">
        <f>Table43[[#This Row],[Harga Beli Pcs
(-PPN)]]*1.11</f>
        <v>0</v>
      </c>
      <c r="AN536" s="42">
        <f>Table43[[#This Row],[Harga Beli Krt
(- PPN)]]*1.11</f>
        <v>0</v>
      </c>
      <c r="AO536" s="42"/>
      <c r="AP536" s="42">
        <f>Table43[[#This Row],[Harga Jual Pcs GT
(-PPN)]]*Table43[[#This Row],[ISI/CTN]]</f>
        <v>0</v>
      </c>
      <c r="AQ536" s="42">
        <f>Table43[[#This Row],[Harga Jual Pcs GT
(-PPN)]]*1.11</f>
        <v>0</v>
      </c>
      <c r="AR536" s="42">
        <f>Table43[[#This Row],[Harga Jual Krt GT
(- PPN)]]*1.11</f>
        <v>0</v>
      </c>
      <c r="AS536" s="42">
        <f>Table43[[#This Row],[Harga Jual Pcs GT
(-PPN)]]</f>
        <v>0</v>
      </c>
      <c r="AT536" s="42">
        <f>(Table43[[#This Row],[Harga Jual Pcs MT
(-PPN)]]*Table43[[#This Row],[ISI/CTN]])</f>
        <v>0</v>
      </c>
      <c r="AU536" s="42">
        <f>Table43[[#This Row],[Harga Jual Pcs MT
(-PPN)]]*1.11</f>
        <v>0</v>
      </c>
      <c r="AV536" s="42">
        <f>Table43[[#This Row],[Harga Jual Pcs MT
(+PPN)]]*Table43[[#This Row],[ISI/CTN]]</f>
        <v>0</v>
      </c>
      <c r="AW536" s="47"/>
      <c r="AX536" s="7"/>
      <c r="AY536" s="7" t="str">
        <f ca="1">IF(TODAY()-Table43[[#This Row],[Efektif
Pembuatan]]&gt;60,"Lama","Baru")</f>
        <v>Lama</v>
      </c>
      <c r="AZ536" s="7" t="str">
        <f ca="1">IF(TODAY()-Table43[[#This Row],[Efektif Naik Harga]]&lt;30,"Naik","Sama")</f>
        <v>Sama</v>
      </c>
      <c r="BA536" s="7" t="str">
        <f>IF(Table43[[#This Row],[Kode BARANG Win2]]&lt;&gt;"","IDR","")</f>
        <v>IDR</v>
      </c>
      <c r="BB536" s="7" t="str">
        <f>CONCATENATE(Table43[[#This Row],[kode  1 Digit
(Nomor)]],Table43[[#This Row],[kode  4 Digit                (Nomor)]])</f>
        <v>20025</v>
      </c>
      <c r="BC536" s="7" t="str">
        <f>Table43[[#This Row],[Nama            Gramasi atau Jumlah Pack per CTN]]</f>
        <v>25GR</v>
      </c>
      <c r="BD536" s="7"/>
      <c r="BE536" s="7"/>
      <c r="BF536" s="4" t="str">
        <f>IF(Table43[[#This Row],[SATUAN Fix Win]]&lt;&gt;"","KRT")</f>
        <v>KRT</v>
      </c>
      <c r="BG536" s="4" t="str">
        <f>IF(Table43[[#This Row],[SATUAN Fix Win]]&lt;&gt;"","GD01")</f>
        <v>GD01</v>
      </c>
      <c r="BH536" s="4">
        <f>IF(Table43[[#This Row],[SATUAN Fix Win]]&lt;&gt;"",11611)</f>
        <v>11611</v>
      </c>
      <c r="BI536" s="4">
        <f>IF(Table43[[#This Row],[SATUAN Fix Win]]&lt;&gt;"",11612)</f>
        <v>11612</v>
      </c>
      <c r="BJ536" s="48"/>
      <c r="BK536" s="4">
        <f>IF(Table43[[#This Row],[SATUAN Fix Win]]&lt;&gt;"",1)</f>
        <v>1</v>
      </c>
    </row>
    <row r="537" spans="1:63">
      <c r="A537" s="4" t="str">
        <f>CONCATENATE(Table43[[#This Row],[Kode BARANG Win2]],Table43[[#This Row],[No. Urut
Item Sama]])</f>
        <v>K14200110025101</v>
      </c>
      <c r="B537" s="7">
        <v>1</v>
      </c>
      <c r="D537" s="28" t="s">
        <v>562</v>
      </c>
      <c r="E537" s="28"/>
      <c r="F537" s="28" t="s">
        <v>3300</v>
      </c>
      <c r="G537" s="78">
        <v>72</v>
      </c>
      <c r="H537" s="43"/>
      <c r="I537" s="28" t="str">
        <f>Table43[[#This Row],[Nama Jenis Kemasan]]</f>
        <v>BOX</v>
      </c>
      <c r="J537" s="4" t="str">
        <f>TRIM(CONCATENATE(Table43[[#This Row],[Nama            KLP]]," ",Table43[[#This Row],[Nama            Sub KLP]]))</f>
        <v>SAMANTHA HC</v>
      </c>
      <c r="K537" s="4" t="str">
        <f>CONCATENATE(Table43[[#This Row],[kode  2 Digit                (hrf+No)]],Table43[[#This Row],[kode  2 Digit                (Nomor)]],Table43[[#This Row],[kode  1 Digit                (Nomor)]])</f>
        <v>K1420</v>
      </c>
      <c r="L537" s="4" t="str">
        <f t="shared" si="27"/>
        <v>K1420011002510</v>
      </c>
      <c r="M537" s="11">
        <f t="shared" si="28"/>
        <v>14</v>
      </c>
      <c r="N537" s="14" t="str">
        <f>IF(AF537&lt;&gt;"",TRIM(UPPER(CONCATENATE(P537," ",R537," ",T537," ",V537," ",X537," ",Z537," ","X"," ",Table43[[#This Row],[ISI/CTN]]," ",AF537," ",AB537," ",AD537," ",AH537))),TRIM(UPPER(CONCATENATE(P537," ",R537," ",T537," ",V537," ",X537," ",Z537," ","X"," ",Table43[[#This Row],[ISI/CTN]]," ",AB537," ",AD537," ",AH537))))</f>
        <v>KNF SAMANTHA HC M.POLI RED 25GR X 72 BOX</v>
      </c>
      <c r="O537" s="11">
        <f t="shared" si="29"/>
        <v>40</v>
      </c>
      <c r="P537" s="4" t="s">
        <v>97</v>
      </c>
      <c r="Q537" s="7" t="s">
        <v>98</v>
      </c>
      <c r="R537" s="4" t="s">
        <v>3945</v>
      </c>
      <c r="S537" s="44" t="s">
        <v>3946</v>
      </c>
      <c r="T537" s="45" t="s">
        <v>2961</v>
      </c>
      <c r="U537" s="7" t="s">
        <v>2900</v>
      </c>
      <c r="V537" s="45" t="s">
        <v>2961</v>
      </c>
      <c r="W537" s="44" t="s">
        <v>2900</v>
      </c>
      <c r="X537" s="4" t="s">
        <v>3958</v>
      </c>
      <c r="Y537" s="46" t="s">
        <v>3550</v>
      </c>
      <c r="Z537" s="4" t="s">
        <v>3949</v>
      </c>
      <c r="AA537" s="46" t="s">
        <v>2510</v>
      </c>
      <c r="AB537" s="4" t="s">
        <v>1023</v>
      </c>
      <c r="AC537" s="7" t="s">
        <v>2656</v>
      </c>
      <c r="AD537" s="4" t="s">
        <v>2961</v>
      </c>
      <c r="AE537" s="7" t="s">
        <v>2900</v>
      </c>
      <c r="AF537" s="7" t="s">
        <v>2961</v>
      </c>
      <c r="AG537" s="7" t="s">
        <v>2961</v>
      </c>
      <c r="AI537" s="7" t="s">
        <v>2463</v>
      </c>
      <c r="AJ537" s="7" t="s">
        <v>3562</v>
      </c>
      <c r="AK537" s="41">
        <f>Table43[[#This Row],[Harga Jual Pcs GT
(-PPN)]]-(Table43[[#This Row],[Harga Jual Pcs GT
(-PPN)]]*10%)</f>
        <v>0</v>
      </c>
      <c r="AL537" s="42">
        <f>Table43[[#This Row],[Harga Beli Pcs
(-PPN)]]*Table43[[#This Row],[ISI/CTN]]</f>
        <v>0</v>
      </c>
      <c r="AM537" s="42">
        <f>Table43[[#This Row],[Harga Beli Pcs
(-PPN)]]*1.11</f>
        <v>0</v>
      </c>
      <c r="AN537" s="42">
        <f>Table43[[#This Row],[Harga Beli Krt
(- PPN)]]*1.11</f>
        <v>0</v>
      </c>
      <c r="AO537" s="42"/>
      <c r="AP537" s="42">
        <f>Table43[[#This Row],[Harga Jual Pcs GT
(-PPN)]]*Table43[[#This Row],[ISI/CTN]]</f>
        <v>0</v>
      </c>
      <c r="AQ537" s="42">
        <f>Table43[[#This Row],[Harga Jual Pcs GT
(-PPN)]]*1.11</f>
        <v>0</v>
      </c>
      <c r="AR537" s="42">
        <f>Table43[[#This Row],[Harga Jual Krt GT
(- PPN)]]*1.11</f>
        <v>0</v>
      </c>
      <c r="AS537" s="42">
        <f>Table43[[#This Row],[Harga Jual Pcs GT
(-PPN)]]</f>
        <v>0</v>
      </c>
      <c r="AT537" s="42">
        <f>(Table43[[#This Row],[Harga Jual Pcs MT
(-PPN)]]*Table43[[#This Row],[ISI/CTN]])</f>
        <v>0</v>
      </c>
      <c r="AU537" s="42">
        <f>Table43[[#This Row],[Harga Jual Pcs MT
(-PPN)]]*1.11</f>
        <v>0</v>
      </c>
      <c r="AV537" s="42">
        <f>Table43[[#This Row],[Harga Jual Pcs MT
(+PPN)]]*Table43[[#This Row],[ISI/CTN]]</f>
        <v>0</v>
      </c>
      <c r="AW537" s="47"/>
      <c r="AX537" s="7"/>
      <c r="AY537" s="7" t="str">
        <f ca="1">IF(TODAY()-Table43[[#This Row],[Efektif
Pembuatan]]&gt;60,"Lama","Baru")</f>
        <v>Lama</v>
      </c>
      <c r="AZ537" s="7" t="str">
        <f ca="1">IF(TODAY()-Table43[[#This Row],[Efektif Naik Harga]]&lt;30,"Naik","Sama")</f>
        <v>Sama</v>
      </c>
      <c r="BA537" s="7" t="str">
        <f>IF(Table43[[#This Row],[Kode BARANG Win2]]&lt;&gt;"","IDR","")</f>
        <v>IDR</v>
      </c>
      <c r="BB537" s="7" t="str">
        <f>CONCATENATE(Table43[[#This Row],[kode  1 Digit
(Nomor)]],Table43[[#This Row],[kode  4 Digit                (Nomor)]])</f>
        <v>20025</v>
      </c>
      <c r="BC537" s="7" t="str">
        <f>Table43[[#This Row],[Nama            Gramasi atau Jumlah Pack per CTN]]</f>
        <v>25GR</v>
      </c>
      <c r="BD537" s="7"/>
      <c r="BE537" s="7"/>
      <c r="BF537" s="4" t="str">
        <f>IF(Table43[[#This Row],[SATUAN Fix Win]]&lt;&gt;"","KRT")</f>
        <v>KRT</v>
      </c>
      <c r="BG537" s="4" t="str">
        <f>IF(Table43[[#This Row],[SATUAN Fix Win]]&lt;&gt;"","GD01")</f>
        <v>GD01</v>
      </c>
      <c r="BH537" s="4">
        <f>IF(Table43[[#This Row],[SATUAN Fix Win]]&lt;&gt;"",11611)</f>
        <v>11611</v>
      </c>
      <c r="BI537" s="4">
        <f>IF(Table43[[#This Row],[SATUAN Fix Win]]&lt;&gt;"",11612)</f>
        <v>11612</v>
      </c>
      <c r="BJ537" s="48"/>
      <c r="BK537" s="4">
        <f>IF(Table43[[#This Row],[SATUAN Fix Win]]&lt;&gt;"",1)</f>
        <v>1</v>
      </c>
    </row>
    <row r="538" spans="1:63">
      <c r="A538" s="4" t="str">
        <f>CONCATENATE(Table43[[#This Row],[Kode BARANG Win2]],Table43[[#This Row],[No. Urut
Item Sama]])</f>
        <v>K14200120025101</v>
      </c>
      <c r="B538" s="7">
        <v>1</v>
      </c>
      <c r="D538" s="28" t="s">
        <v>563</v>
      </c>
      <c r="E538" s="28"/>
      <c r="F538" s="28" t="s">
        <v>3301</v>
      </c>
      <c r="G538" s="78">
        <v>72</v>
      </c>
      <c r="H538" s="43"/>
      <c r="I538" s="28" t="str">
        <f>Table43[[#This Row],[Nama Jenis Kemasan]]</f>
        <v>BOX</v>
      </c>
      <c r="J538" s="4" t="str">
        <f>TRIM(CONCATENATE(Table43[[#This Row],[Nama            KLP]]," ",Table43[[#This Row],[Nama            Sub KLP]]))</f>
        <v>SAMANTHA HC</v>
      </c>
      <c r="K538" s="4" t="str">
        <f>CONCATENATE(Table43[[#This Row],[kode  2 Digit                (hrf+No)]],Table43[[#This Row],[kode  2 Digit                (Nomor)]],Table43[[#This Row],[kode  1 Digit                (Nomor)]])</f>
        <v>K1420</v>
      </c>
      <c r="L538" s="4" t="str">
        <f t="shared" si="27"/>
        <v>K1420012002510</v>
      </c>
      <c r="M538" s="11">
        <f t="shared" si="28"/>
        <v>14</v>
      </c>
      <c r="N538" s="14" t="str">
        <f>IF(AF538&lt;&gt;"",TRIM(UPPER(CONCATENATE(P538," ",R538," ",T538," ",V538," ",X538," ",Z538," ","X"," ",Table43[[#This Row],[ISI/CTN]]," ",AF538," ",AB538," ",AD538," ",AH538))),TRIM(UPPER(CONCATENATE(P538," ",R538," ",T538," ",V538," ",X538," ",Z538," ","X"," ",Table43[[#This Row],[ISI/CTN]]," ",AB538," ",AD538," ",AH538))))</f>
        <v>KNF SAMANTHA HC N.BLACK 25GR X 72 BOX</v>
      </c>
      <c r="O538" s="11">
        <f t="shared" si="29"/>
        <v>37</v>
      </c>
      <c r="P538" s="4" t="s">
        <v>97</v>
      </c>
      <c r="Q538" s="7" t="s">
        <v>98</v>
      </c>
      <c r="R538" s="4" t="s">
        <v>3945</v>
      </c>
      <c r="S538" s="44" t="s">
        <v>3946</v>
      </c>
      <c r="T538" s="45" t="s">
        <v>2961</v>
      </c>
      <c r="U538" s="7" t="s">
        <v>2900</v>
      </c>
      <c r="V538" s="45" t="s">
        <v>2961</v>
      </c>
      <c r="W538" s="44" t="s">
        <v>2900</v>
      </c>
      <c r="X538" s="4" t="s">
        <v>3959</v>
      </c>
      <c r="Y538" s="46" t="s">
        <v>3565</v>
      </c>
      <c r="Z538" s="4" t="s">
        <v>3949</v>
      </c>
      <c r="AA538" s="46" t="s">
        <v>2510</v>
      </c>
      <c r="AB538" s="4" t="s">
        <v>1023</v>
      </c>
      <c r="AC538" s="7" t="s">
        <v>2656</v>
      </c>
      <c r="AD538" s="4" t="s">
        <v>2961</v>
      </c>
      <c r="AE538" s="7" t="s">
        <v>2900</v>
      </c>
      <c r="AF538" s="7" t="s">
        <v>2961</v>
      </c>
      <c r="AG538" s="7" t="s">
        <v>2961</v>
      </c>
      <c r="AI538" s="7" t="s">
        <v>2463</v>
      </c>
      <c r="AJ538" s="7" t="s">
        <v>3562</v>
      </c>
      <c r="AK538" s="41">
        <f>Table43[[#This Row],[Harga Jual Pcs GT
(-PPN)]]-(Table43[[#This Row],[Harga Jual Pcs GT
(-PPN)]]*10%)</f>
        <v>0</v>
      </c>
      <c r="AL538" s="42">
        <f>Table43[[#This Row],[Harga Beli Pcs
(-PPN)]]*Table43[[#This Row],[ISI/CTN]]</f>
        <v>0</v>
      </c>
      <c r="AM538" s="42">
        <f>Table43[[#This Row],[Harga Beli Pcs
(-PPN)]]*1.11</f>
        <v>0</v>
      </c>
      <c r="AN538" s="42">
        <f>Table43[[#This Row],[Harga Beli Krt
(- PPN)]]*1.11</f>
        <v>0</v>
      </c>
      <c r="AO538" s="42"/>
      <c r="AP538" s="42">
        <f>Table43[[#This Row],[Harga Jual Pcs GT
(-PPN)]]*Table43[[#This Row],[ISI/CTN]]</f>
        <v>0</v>
      </c>
      <c r="AQ538" s="42">
        <f>Table43[[#This Row],[Harga Jual Pcs GT
(-PPN)]]*1.11</f>
        <v>0</v>
      </c>
      <c r="AR538" s="42">
        <f>Table43[[#This Row],[Harga Jual Krt GT
(- PPN)]]*1.11</f>
        <v>0</v>
      </c>
      <c r="AS538" s="42">
        <f>Table43[[#This Row],[Harga Jual Pcs GT
(-PPN)]]</f>
        <v>0</v>
      </c>
      <c r="AT538" s="42">
        <f>(Table43[[#This Row],[Harga Jual Pcs MT
(-PPN)]]*Table43[[#This Row],[ISI/CTN]])</f>
        <v>0</v>
      </c>
      <c r="AU538" s="42">
        <f>Table43[[#This Row],[Harga Jual Pcs MT
(-PPN)]]*1.11</f>
        <v>0</v>
      </c>
      <c r="AV538" s="42">
        <f>Table43[[#This Row],[Harga Jual Pcs MT
(+PPN)]]*Table43[[#This Row],[ISI/CTN]]</f>
        <v>0</v>
      </c>
      <c r="AW538" s="47"/>
      <c r="AX538" s="7"/>
      <c r="AY538" s="7" t="str">
        <f ca="1">IF(TODAY()-Table43[[#This Row],[Efektif
Pembuatan]]&gt;60,"Lama","Baru")</f>
        <v>Lama</v>
      </c>
      <c r="AZ538" s="7" t="str">
        <f ca="1">IF(TODAY()-Table43[[#This Row],[Efektif Naik Harga]]&lt;30,"Naik","Sama")</f>
        <v>Sama</v>
      </c>
      <c r="BA538" s="7" t="str">
        <f>IF(Table43[[#This Row],[Kode BARANG Win2]]&lt;&gt;"","IDR","")</f>
        <v>IDR</v>
      </c>
      <c r="BB538" s="7" t="str">
        <f>CONCATENATE(Table43[[#This Row],[kode  1 Digit
(Nomor)]],Table43[[#This Row],[kode  4 Digit                (Nomor)]])</f>
        <v>20025</v>
      </c>
      <c r="BC538" s="7" t="str">
        <f>Table43[[#This Row],[Nama            Gramasi atau Jumlah Pack per CTN]]</f>
        <v>25GR</v>
      </c>
      <c r="BD538" s="7"/>
      <c r="BE538" s="7"/>
      <c r="BF538" s="4" t="str">
        <f>IF(Table43[[#This Row],[SATUAN Fix Win]]&lt;&gt;"","KRT")</f>
        <v>KRT</v>
      </c>
      <c r="BG538" s="4" t="str">
        <f>IF(Table43[[#This Row],[SATUAN Fix Win]]&lt;&gt;"","GD01")</f>
        <v>GD01</v>
      </c>
      <c r="BH538" s="4">
        <f>IF(Table43[[#This Row],[SATUAN Fix Win]]&lt;&gt;"",11611)</f>
        <v>11611</v>
      </c>
      <c r="BI538" s="4">
        <f>IF(Table43[[#This Row],[SATUAN Fix Win]]&lt;&gt;"",11612)</f>
        <v>11612</v>
      </c>
      <c r="BJ538" s="48"/>
      <c r="BK538" s="4">
        <f>IF(Table43[[#This Row],[SATUAN Fix Win]]&lt;&gt;"",1)</f>
        <v>1</v>
      </c>
    </row>
    <row r="539" spans="1:63">
      <c r="A539" s="4" t="str">
        <f>CONCATENATE(Table43[[#This Row],[Kode BARANG Win2]],Table43[[#This Row],[No. Urut
Item Sama]])</f>
        <v>K14200130025101</v>
      </c>
      <c r="B539" s="7">
        <v>1</v>
      </c>
      <c r="D539" s="28" t="s">
        <v>564</v>
      </c>
      <c r="E539" s="28"/>
      <c r="F539" s="28" t="s">
        <v>3302</v>
      </c>
      <c r="G539" s="78">
        <v>72</v>
      </c>
      <c r="H539" s="43"/>
      <c r="I539" s="28" t="str">
        <f>Table43[[#This Row],[Nama Jenis Kemasan]]</f>
        <v>BOX</v>
      </c>
      <c r="J539" s="4" t="str">
        <f>TRIM(CONCATENATE(Table43[[#This Row],[Nama            KLP]]," ",Table43[[#This Row],[Nama            Sub KLP]]))</f>
        <v>SAMANTHA HC</v>
      </c>
      <c r="K539" s="4" t="str">
        <f>CONCATENATE(Table43[[#This Row],[kode  2 Digit                (hrf+No)]],Table43[[#This Row],[kode  2 Digit                (Nomor)]],Table43[[#This Row],[kode  1 Digit                (Nomor)]])</f>
        <v>K1420</v>
      </c>
      <c r="L539" s="4" t="str">
        <f t="shared" si="27"/>
        <v>K1420013002510</v>
      </c>
      <c r="M539" s="11">
        <f t="shared" si="28"/>
        <v>14</v>
      </c>
      <c r="N539" s="14" t="str">
        <f>IF(AF539&lt;&gt;"",TRIM(UPPER(CONCATENATE(P539," ",R539," ",T539," ",V539," ",X539," ",Z539," ","X"," ",Table43[[#This Row],[ISI/CTN]]," ",AF539," ",AB539," ",AD539," ",AH539))),TRIM(UPPER(CONCATENATE(P539," ",R539," ",T539," ",V539," ",X539," ",Z539," ","X"," ",Table43[[#This Row],[ISI/CTN]]," ",AB539," ",AD539," ",AH539))))</f>
        <v>KNF SAMANTHA HC PASSION RED 25GR X 72 BOX</v>
      </c>
      <c r="O539" s="11">
        <f t="shared" si="29"/>
        <v>41</v>
      </c>
      <c r="P539" s="4" t="s">
        <v>97</v>
      </c>
      <c r="Q539" s="7" t="s">
        <v>98</v>
      </c>
      <c r="R539" s="4" t="s">
        <v>3945</v>
      </c>
      <c r="S539" s="44" t="s">
        <v>3946</v>
      </c>
      <c r="T539" s="45" t="s">
        <v>2961</v>
      </c>
      <c r="U539" s="7" t="s">
        <v>2900</v>
      </c>
      <c r="V539" s="45" t="s">
        <v>2961</v>
      </c>
      <c r="W539" s="44" t="s">
        <v>2900</v>
      </c>
      <c r="X539" s="4" t="s">
        <v>3960</v>
      </c>
      <c r="Y539" s="46" t="s">
        <v>3566</v>
      </c>
      <c r="Z539" s="4" t="s">
        <v>3949</v>
      </c>
      <c r="AA539" s="46" t="s">
        <v>2510</v>
      </c>
      <c r="AB539" s="4" t="s">
        <v>1023</v>
      </c>
      <c r="AC539" s="7" t="s">
        <v>2656</v>
      </c>
      <c r="AD539" s="4" t="s">
        <v>2961</v>
      </c>
      <c r="AE539" s="7" t="s">
        <v>2900</v>
      </c>
      <c r="AF539" s="7" t="s">
        <v>2961</v>
      </c>
      <c r="AG539" s="7" t="s">
        <v>2961</v>
      </c>
      <c r="AI539" s="7" t="s">
        <v>2463</v>
      </c>
      <c r="AJ539" s="7" t="s">
        <v>3562</v>
      </c>
      <c r="AK539" s="41">
        <f>Table43[[#This Row],[Harga Jual Pcs GT
(-PPN)]]-(Table43[[#This Row],[Harga Jual Pcs GT
(-PPN)]]*10%)</f>
        <v>0</v>
      </c>
      <c r="AL539" s="42">
        <f>Table43[[#This Row],[Harga Beli Pcs
(-PPN)]]*Table43[[#This Row],[ISI/CTN]]</f>
        <v>0</v>
      </c>
      <c r="AM539" s="42">
        <f>Table43[[#This Row],[Harga Beli Pcs
(-PPN)]]*1.11</f>
        <v>0</v>
      </c>
      <c r="AN539" s="42">
        <f>Table43[[#This Row],[Harga Beli Krt
(- PPN)]]*1.11</f>
        <v>0</v>
      </c>
      <c r="AO539" s="42"/>
      <c r="AP539" s="42">
        <f>Table43[[#This Row],[Harga Jual Pcs GT
(-PPN)]]*Table43[[#This Row],[ISI/CTN]]</f>
        <v>0</v>
      </c>
      <c r="AQ539" s="42">
        <f>Table43[[#This Row],[Harga Jual Pcs GT
(-PPN)]]*1.11</f>
        <v>0</v>
      </c>
      <c r="AR539" s="42">
        <f>Table43[[#This Row],[Harga Jual Krt GT
(- PPN)]]*1.11</f>
        <v>0</v>
      </c>
      <c r="AS539" s="42">
        <f>Table43[[#This Row],[Harga Jual Pcs GT
(-PPN)]]</f>
        <v>0</v>
      </c>
      <c r="AT539" s="42">
        <f>(Table43[[#This Row],[Harga Jual Pcs MT
(-PPN)]]*Table43[[#This Row],[ISI/CTN]])</f>
        <v>0</v>
      </c>
      <c r="AU539" s="42">
        <f>Table43[[#This Row],[Harga Jual Pcs MT
(-PPN)]]*1.11</f>
        <v>0</v>
      </c>
      <c r="AV539" s="42">
        <f>Table43[[#This Row],[Harga Jual Pcs MT
(+PPN)]]*Table43[[#This Row],[ISI/CTN]]</f>
        <v>0</v>
      </c>
      <c r="AW539" s="47"/>
      <c r="AX539" s="7"/>
      <c r="AY539" s="7" t="str">
        <f ca="1">IF(TODAY()-Table43[[#This Row],[Efektif
Pembuatan]]&gt;60,"Lama","Baru")</f>
        <v>Lama</v>
      </c>
      <c r="AZ539" s="7" t="str">
        <f ca="1">IF(TODAY()-Table43[[#This Row],[Efektif Naik Harga]]&lt;30,"Naik","Sama")</f>
        <v>Sama</v>
      </c>
      <c r="BA539" s="7" t="str">
        <f>IF(Table43[[#This Row],[Kode BARANG Win2]]&lt;&gt;"","IDR","")</f>
        <v>IDR</v>
      </c>
      <c r="BB539" s="7" t="str">
        <f>CONCATENATE(Table43[[#This Row],[kode  1 Digit
(Nomor)]],Table43[[#This Row],[kode  4 Digit                (Nomor)]])</f>
        <v>20025</v>
      </c>
      <c r="BC539" s="7" t="str">
        <f>Table43[[#This Row],[Nama            Gramasi atau Jumlah Pack per CTN]]</f>
        <v>25GR</v>
      </c>
      <c r="BD539" s="7"/>
      <c r="BE539" s="7"/>
      <c r="BF539" s="4" t="str">
        <f>IF(Table43[[#This Row],[SATUAN Fix Win]]&lt;&gt;"","KRT")</f>
        <v>KRT</v>
      </c>
      <c r="BG539" s="4" t="str">
        <f>IF(Table43[[#This Row],[SATUAN Fix Win]]&lt;&gt;"","GD01")</f>
        <v>GD01</v>
      </c>
      <c r="BH539" s="4">
        <f>IF(Table43[[#This Row],[SATUAN Fix Win]]&lt;&gt;"",11611)</f>
        <v>11611</v>
      </c>
      <c r="BI539" s="4">
        <f>IF(Table43[[#This Row],[SATUAN Fix Win]]&lt;&gt;"",11612)</f>
        <v>11612</v>
      </c>
      <c r="BJ539" s="48"/>
      <c r="BK539" s="4">
        <f>IF(Table43[[#This Row],[SATUAN Fix Win]]&lt;&gt;"",1)</f>
        <v>1</v>
      </c>
    </row>
    <row r="540" spans="1:63">
      <c r="A540" s="4" t="str">
        <f>CONCATENATE(Table43[[#This Row],[Kode BARANG Win2]],Table43[[#This Row],[No. Urut
Item Sama]])</f>
        <v>K14200140025101</v>
      </c>
      <c r="B540" s="7">
        <v>1</v>
      </c>
      <c r="D540" s="28" t="s">
        <v>565</v>
      </c>
      <c r="E540" s="28"/>
      <c r="F540" s="28" t="s">
        <v>3303</v>
      </c>
      <c r="G540" s="78">
        <v>72</v>
      </c>
      <c r="H540" s="43"/>
      <c r="I540" s="28" t="str">
        <f>Table43[[#This Row],[Nama Jenis Kemasan]]</f>
        <v>BOX</v>
      </c>
      <c r="J540" s="4" t="str">
        <f>TRIM(CONCATENATE(Table43[[#This Row],[Nama            KLP]]," ",Table43[[#This Row],[Nama            Sub KLP]]))</f>
        <v>SAMANTHA HC</v>
      </c>
      <c r="K540" s="4" t="str">
        <f>CONCATENATE(Table43[[#This Row],[kode  2 Digit                (hrf+No)]],Table43[[#This Row],[kode  2 Digit                (Nomor)]],Table43[[#This Row],[kode  1 Digit                (Nomor)]])</f>
        <v>K1420</v>
      </c>
      <c r="L540" s="4" t="str">
        <f t="shared" si="27"/>
        <v>K1420014002510</v>
      </c>
      <c r="M540" s="11">
        <f t="shared" si="28"/>
        <v>14</v>
      </c>
      <c r="N540" s="14" t="str">
        <f>IF(AF540&lt;&gt;"",TRIM(UPPER(CONCATENATE(P540," ",R540," ",T540," ",V540," ",X540," ",Z540," ","X"," ",Table43[[#This Row],[ISI/CTN]]," ",AF540," ",AB540," ",AD540," ",AH540))),TRIM(UPPER(CONCATENATE(P540," ",R540," ",T540," ",V540," ",X540," ",Z540," ","X"," ",Table43[[#This Row],[ISI/CTN]]," ",AB540," ",AD540," ",AH540))))</f>
        <v>KNF SAMANTHA HC PURPLE RED 25GR X 72 BOX</v>
      </c>
      <c r="O540" s="11">
        <f t="shared" si="29"/>
        <v>40</v>
      </c>
      <c r="P540" s="4" t="s">
        <v>97</v>
      </c>
      <c r="Q540" s="7" t="s">
        <v>98</v>
      </c>
      <c r="R540" s="4" t="s">
        <v>3945</v>
      </c>
      <c r="S540" s="44" t="s">
        <v>3946</v>
      </c>
      <c r="T540" s="45" t="s">
        <v>2961</v>
      </c>
      <c r="U540" s="7" t="s">
        <v>2900</v>
      </c>
      <c r="V540" s="45" t="s">
        <v>2961</v>
      </c>
      <c r="W540" s="44" t="s">
        <v>2900</v>
      </c>
      <c r="X540" s="4" t="s">
        <v>3961</v>
      </c>
      <c r="Y540" s="46" t="s">
        <v>3567</v>
      </c>
      <c r="Z540" s="4" t="s">
        <v>3949</v>
      </c>
      <c r="AA540" s="46" t="s">
        <v>2510</v>
      </c>
      <c r="AB540" s="4" t="s">
        <v>1023</v>
      </c>
      <c r="AC540" s="7" t="s">
        <v>2656</v>
      </c>
      <c r="AD540" s="4" t="s">
        <v>2961</v>
      </c>
      <c r="AE540" s="7" t="s">
        <v>2900</v>
      </c>
      <c r="AF540" s="7" t="s">
        <v>2961</v>
      </c>
      <c r="AG540" s="7" t="s">
        <v>2961</v>
      </c>
      <c r="AI540" s="7" t="s">
        <v>2463</v>
      </c>
      <c r="AJ540" s="7" t="s">
        <v>3562</v>
      </c>
      <c r="AK540" s="41">
        <f>Table43[[#This Row],[Harga Jual Pcs GT
(-PPN)]]-(Table43[[#This Row],[Harga Jual Pcs GT
(-PPN)]]*10%)</f>
        <v>0</v>
      </c>
      <c r="AL540" s="42">
        <f>Table43[[#This Row],[Harga Beli Pcs
(-PPN)]]*Table43[[#This Row],[ISI/CTN]]</f>
        <v>0</v>
      </c>
      <c r="AM540" s="42">
        <f>Table43[[#This Row],[Harga Beli Pcs
(-PPN)]]*1.11</f>
        <v>0</v>
      </c>
      <c r="AN540" s="42">
        <f>Table43[[#This Row],[Harga Beli Krt
(- PPN)]]*1.11</f>
        <v>0</v>
      </c>
      <c r="AO540" s="42"/>
      <c r="AP540" s="42">
        <f>Table43[[#This Row],[Harga Jual Pcs GT
(-PPN)]]*Table43[[#This Row],[ISI/CTN]]</f>
        <v>0</v>
      </c>
      <c r="AQ540" s="42">
        <f>Table43[[#This Row],[Harga Jual Pcs GT
(-PPN)]]*1.11</f>
        <v>0</v>
      </c>
      <c r="AR540" s="42">
        <f>Table43[[#This Row],[Harga Jual Krt GT
(- PPN)]]*1.11</f>
        <v>0</v>
      </c>
      <c r="AS540" s="42">
        <f>Table43[[#This Row],[Harga Jual Pcs GT
(-PPN)]]</f>
        <v>0</v>
      </c>
      <c r="AT540" s="42">
        <f>(Table43[[#This Row],[Harga Jual Pcs MT
(-PPN)]]*Table43[[#This Row],[ISI/CTN]])</f>
        <v>0</v>
      </c>
      <c r="AU540" s="42">
        <f>Table43[[#This Row],[Harga Jual Pcs MT
(-PPN)]]*1.11</f>
        <v>0</v>
      </c>
      <c r="AV540" s="42">
        <f>Table43[[#This Row],[Harga Jual Pcs MT
(+PPN)]]*Table43[[#This Row],[ISI/CTN]]</f>
        <v>0</v>
      </c>
      <c r="AW540" s="47"/>
      <c r="AX540" s="7"/>
      <c r="AY540" s="7" t="str">
        <f ca="1">IF(TODAY()-Table43[[#This Row],[Efektif
Pembuatan]]&gt;60,"Lama","Baru")</f>
        <v>Lama</v>
      </c>
      <c r="AZ540" s="7" t="str">
        <f ca="1">IF(TODAY()-Table43[[#This Row],[Efektif Naik Harga]]&lt;30,"Naik","Sama")</f>
        <v>Sama</v>
      </c>
      <c r="BA540" s="7" t="str">
        <f>IF(Table43[[#This Row],[Kode BARANG Win2]]&lt;&gt;"","IDR","")</f>
        <v>IDR</v>
      </c>
      <c r="BB540" s="7" t="str">
        <f>CONCATENATE(Table43[[#This Row],[kode  1 Digit
(Nomor)]],Table43[[#This Row],[kode  4 Digit                (Nomor)]])</f>
        <v>20025</v>
      </c>
      <c r="BC540" s="7" t="str">
        <f>Table43[[#This Row],[Nama            Gramasi atau Jumlah Pack per CTN]]</f>
        <v>25GR</v>
      </c>
      <c r="BD540" s="7"/>
      <c r="BE540" s="7"/>
      <c r="BF540" s="4" t="str">
        <f>IF(Table43[[#This Row],[SATUAN Fix Win]]&lt;&gt;"","KRT")</f>
        <v>KRT</v>
      </c>
      <c r="BG540" s="4" t="str">
        <f>IF(Table43[[#This Row],[SATUAN Fix Win]]&lt;&gt;"","GD01")</f>
        <v>GD01</v>
      </c>
      <c r="BH540" s="4">
        <f>IF(Table43[[#This Row],[SATUAN Fix Win]]&lt;&gt;"",11611)</f>
        <v>11611</v>
      </c>
      <c r="BI540" s="4">
        <f>IF(Table43[[#This Row],[SATUAN Fix Win]]&lt;&gt;"",11612)</f>
        <v>11612</v>
      </c>
      <c r="BJ540" s="48"/>
      <c r="BK540" s="4">
        <f>IF(Table43[[#This Row],[SATUAN Fix Win]]&lt;&gt;"",1)</f>
        <v>1</v>
      </c>
    </row>
    <row r="541" spans="1:63">
      <c r="A541" s="4" t="str">
        <f>CONCATENATE(Table43[[#This Row],[Kode BARANG Win2]],Table43[[#This Row],[No. Urut
Item Sama]])</f>
        <v>K14200150025101</v>
      </c>
      <c r="B541" s="7">
        <v>1</v>
      </c>
      <c r="D541" s="28" t="s">
        <v>566</v>
      </c>
      <c r="E541" s="28"/>
      <c r="F541" s="28" t="s">
        <v>3304</v>
      </c>
      <c r="G541" s="78">
        <v>72</v>
      </c>
      <c r="H541" s="43"/>
      <c r="I541" s="28" t="str">
        <f>Table43[[#This Row],[Nama Jenis Kemasan]]</f>
        <v>BOX</v>
      </c>
      <c r="J541" s="4" t="str">
        <f>TRIM(CONCATENATE(Table43[[#This Row],[Nama            KLP]]," ",Table43[[#This Row],[Nama            Sub KLP]]))</f>
        <v>SAMANTHA HC</v>
      </c>
      <c r="K541" s="4" t="str">
        <f>CONCATENATE(Table43[[#This Row],[kode  2 Digit                (hrf+No)]],Table43[[#This Row],[kode  2 Digit                (Nomor)]],Table43[[#This Row],[kode  1 Digit                (Nomor)]])</f>
        <v>K1420</v>
      </c>
      <c r="L541" s="4" t="str">
        <f t="shared" si="27"/>
        <v>K1420015002510</v>
      </c>
      <c r="M541" s="11">
        <f t="shared" si="28"/>
        <v>14</v>
      </c>
      <c r="N541" s="14" t="str">
        <f>IF(AF541&lt;&gt;"",TRIM(UPPER(CONCATENATE(P541," ",R541," ",T541," ",V541," ",X541," ",Z541," ","X"," ",Table43[[#This Row],[ISI/CTN]]," ",AF541," ",AB541," ",AD541," ",AH541))),TRIM(UPPER(CONCATENATE(P541," ",R541," ",T541," ",V541," ",X541," ",Z541," ","X"," ",Table43[[#This Row],[ISI/CTN]]," ",AB541," ",AD541," ",AH541))))</f>
        <v>KNF SAMANTHA HC WILD BERRY 25GR X 72 BOX</v>
      </c>
      <c r="O541" s="11">
        <f t="shared" si="29"/>
        <v>40</v>
      </c>
      <c r="P541" s="4" t="s">
        <v>97</v>
      </c>
      <c r="Q541" s="7" t="s">
        <v>98</v>
      </c>
      <c r="R541" s="4" t="s">
        <v>3945</v>
      </c>
      <c r="S541" s="44" t="s">
        <v>3946</v>
      </c>
      <c r="T541" s="45" t="s">
        <v>2961</v>
      </c>
      <c r="U541" s="7" t="s">
        <v>2900</v>
      </c>
      <c r="V541" s="45" t="s">
        <v>2961</v>
      </c>
      <c r="W541" s="44" t="s">
        <v>2900</v>
      </c>
      <c r="X541" s="4" t="s">
        <v>3962</v>
      </c>
      <c r="Y541" s="46" t="s">
        <v>3568</v>
      </c>
      <c r="Z541" s="4" t="s">
        <v>3949</v>
      </c>
      <c r="AA541" s="46" t="s">
        <v>2510</v>
      </c>
      <c r="AB541" s="4" t="s">
        <v>1023</v>
      </c>
      <c r="AC541" s="7" t="s">
        <v>2656</v>
      </c>
      <c r="AD541" s="4" t="s">
        <v>2961</v>
      </c>
      <c r="AE541" s="7" t="s">
        <v>2900</v>
      </c>
      <c r="AF541" s="7" t="s">
        <v>2961</v>
      </c>
      <c r="AG541" s="7" t="s">
        <v>2961</v>
      </c>
      <c r="AI541" s="7" t="s">
        <v>2463</v>
      </c>
      <c r="AJ541" s="7" t="s">
        <v>3562</v>
      </c>
      <c r="AK541" s="41">
        <f>Table43[[#This Row],[Harga Jual Pcs GT
(-PPN)]]-(Table43[[#This Row],[Harga Jual Pcs GT
(-PPN)]]*10%)</f>
        <v>0</v>
      </c>
      <c r="AL541" s="42">
        <f>Table43[[#This Row],[Harga Beli Pcs
(-PPN)]]*Table43[[#This Row],[ISI/CTN]]</f>
        <v>0</v>
      </c>
      <c r="AM541" s="42">
        <f>Table43[[#This Row],[Harga Beli Pcs
(-PPN)]]*1.11</f>
        <v>0</v>
      </c>
      <c r="AN541" s="42">
        <f>Table43[[#This Row],[Harga Beli Krt
(- PPN)]]*1.11</f>
        <v>0</v>
      </c>
      <c r="AO541" s="42"/>
      <c r="AP541" s="42">
        <f>Table43[[#This Row],[Harga Jual Pcs GT
(-PPN)]]*Table43[[#This Row],[ISI/CTN]]</f>
        <v>0</v>
      </c>
      <c r="AQ541" s="42">
        <f>Table43[[#This Row],[Harga Jual Pcs GT
(-PPN)]]*1.11</f>
        <v>0</v>
      </c>
      <c r="AR541" s="42">
        <f>Table43[[#This Row],[Harga Jual Krt GT
(- PPN)]]*1.11</f>
        <v>0</v>
      </c>
      <c r="AS541" s="42">
        <f>Table43[[#This Row],[Harga Jual Pcs GT
(-PPN)]]</f>
        <v>0</v>
      </c>
      <c r="AT541" s="42">
        <f>(Table43[[#This Row],[Harga Jual Pcs MT
(-PPN)]]*Table43[[#This Row],[ISI/CTN]])</f>
        <v>0</v>
      </c>
      <c r="AU541" s="42">
        <f>Table43[[#This Row],[Harga Jual Pcs MT
(-PPN)]]*1.11</f>
        <v>0</v>
      </c>
      <c r="AV541" s="42">
        <f>Table43[[#This Row],[Harga Jual Pcs MT
(+PPN)]]*Table43[[#This Row],[ISI/CTN]]</f>
        <v>0</v>
      </c>
      <c r="AW541" s="47"/>
      <c r="AX541" s="7"/>
      <c r="AY541" s="7" t="str">
        <f ca="1">IF(TODAY()-Table43[[#This Row],[Efektif
Pembuatan]]&gt;60,"Lama","Baru")</f>
        <v>Lama</v>
      </c>
      <c r="AZ541" s="7" t="str">
        <f ca="1">IF(TODAY()-Table43[[#This Row],[Efektif Naik Harga]]&lt;30,"Naik","Sama")</f>
        <v>Sama</v>
      </c>
      <c r="BA541" s="7" t="str">
        <f>IF(Table43[[#This Row],[Kode BARANG Win2]]&lt;&gt;"","IDR","")</f>
        <v>IDR</v>
      </c>
      <c r="BB541" s="7" t="str">
        <f>CONCATENATE(Table43[[#This Row],[kode  1 Digit
(Nomor)]],Table43[[#This Row],[kode  4 Digit                (Nomor)]])</f>
        <v>20025</v>
      </c>
      <c r="BC541" s="7" t="str">
        <f>Table43[[#This Row],[Nama            Gramasi atau Jumlah Pack per CTN]]</f>
        <v>25GR</v>
      </c>
      <c r="BD541" s="7"/>
      <c r="BE541" s="7"/>
      <c r="BF541" s="4" t="str">
        <f>IF(Table43[[#This Row],[SATUAN Fix Win]]&lt;&gt;"","KRT")</f>
        <v>KRT</v>
      </c>
      <c r="BG541" s="4" t="str">
        <f>IF(Table43[[#This Row],[SATUAN Fix Win]]&lt;&gt;"","GD01")</f>
        <v>GD01</v>
      </c>
      <c r="BH541" s="4">
        <f>IF(Table43[[#This Row],[SATUAN Fix Win]]&lt;&gt;"",11611)</f>
        <v>11611</v>
      </c>
      <c r="BI541" s="4">
        <f>IF(Table43[[#This Row],[SATUAN Fix Win]]&lt;&gt;"",11612)</f>
        <v>11612</v>
      </c>
      <c r="BJ541" s="48"/>
      <c r="BK541" s="4">
        <f>IF(Table43[[#This Row],[SATUAN Fix Win]]&lt;&gt;"",1)</f>
        <v>1</v>
      </c>
    </row>
    <row r="542" spans="1:63">
      <c r="A542" s="4" t="str">
        <f>CONCATENATE(Table43[[#This Row],[Kode BARANG Win2]],Table43[[#This Row],[No. Urut
Item Sama]])</f>
        <v>K14200160025101</v>
      </c>
      <c r="B542" s="7">
        <v>1</v>
      </c>
      <c r="D542" s="28" t="s">
        <v>567</v>
      </c>
      <c r="E542" s="28"/>
      <c r="F542" s="28" t="s">
        <v>3305</v>
      </c>
      <c r="G542" s="78">
        <v>72</v>
      </c>
      <c r="H542" s="43"/>
      <c r="I542" s="28" t="str">
        <f>Table43[[#This Row],[Nama Jenis Kemasan]]</f>
        <v>BOX</v>
      </c>
      <c r="J542" s="4" t="str">
        <f>TRIM(CONCATENATE(Table43[[#This Row],[Nama            KLP]]," ",Table43[[#This Row],[Nama            Sub KLP]]))</f>
        <v>SAMANTHA HC</v>
      </c>
      <c r="K542" s="4" t="str">
        <f>CONCATENATE(Table43[[#This Row],[kode  2 Digit                (hrf+No)]],Table43[[#This Row],[kode  2 Digit                (Nomor)]],Table43[[#This Row],[kode  1 Digit                (Nomor)]])</f>
        <v>K1420</v>
      </c>
      <c r="L542" s="4" t="str">
        <f t="shared" si="27"/>
        <v>K1420016002510</v>
      </c>
      <c r="M542" s="11">
        <f t="shared" si="28"/>
        <v>14</v>
      </c>
      <c r="N542" s="14" t="str">
        <f>IF(AF542&lt;&gt;"",TRIM(UPPER(CONCATENATE(P542," ",R542," ",T542," ",V542," ",X542," ",Z542," ","X"," ",Table43[[#This Row],[ISI/CTN]]," ",AF542," ",AB542," ",AD542," ",AH542))),TRIM(UPPER(CONCATENATE(P542," ",R542," ",T542," ",V542," ",X542," ",Z542," ","X"," ",Table43[[#This Row],[ISI/CTN]]," ",AB542," ",AD542," ",AH542))))</f>
        <v>KNF SAMANTHA HC ASH GREY 25GR X 72 BOX</v>
      </c>
      <c r="O542" s="11">
        <f t="shared" si="29"/>
        <v>38</v>
      </c>
      <c r="P542" s="4" t="s">
        <v>97</v>
      </c>
      <c r="Q542" s="7" t="s">
        <v>98</v>
      </c>
      <c r="R542" s="4" t="s">
        <v>3945</v>
      </c>
      <c r="S542" s="44" t="s">
        <v>3946</v>
      </c>
      <c r="T542" s="45" t="s">
        <v>2961</v>
      </c>
      <c r="U542" s="7" t="s">
        <v>2900</v>
      </c>
      <c r="V542" s="45" t="s">
        <v>2961</v>
      </c>
      <c r="W542" s="44" t="s">
        <v>2900</v>
      </c>
      <c r="X542" s="4" t="s">
        <v>3963</v>
      </c>
      <c r="Y542" s="46" t="s">
        <v>2655</v>
      </c>
      <c r="Z542" s="4" t="s">
        <v>3949</v>
      </c>
      <c r="AA542" s="46" t="s">
        <v>2510</v>
      </c>
      <c r="AB542" s="4" t="s">
        <v>1023</v>
      </c>
      <c r="AC542" s="7" t="s">
        <v>2656</v>
      </c>
      <c r="AD542" s="4" t="s">
        <v>2961</v>
      </c>
      <c r="AE542" s="7" t="s">
        <v>2900</v>
      </c>
      <c r="AF542" s="7" t="s">
        <v>2961</v>
      </c>
      <c r="AG542" s="7" t="s">
        <v>2961</v>
      </c>
      <c r="AI542" s="7" t="s">
        <v>2463</v>
      </c>
      <c r="AJ542" s="7" t="s">
        <v>3562</v>
      </c>
      <c r="AK542" s="41">
        <f>Table43[[#This Row],[Harga Jual Pcs GT
(-PPN)]]-(Table43[[#This Row],[Harga Jual Pcs GT
(-PPN)]]*10%)</f>
        <v>0</v>
      </c>
      <c r="AL542" s="42">
        <f>Table43[[#This Row],[Harga Beli Pcs
(-PPN)]]*Table43[[#This Row],[ISI/CTN]]</f>
        <v>0</v>
      </c>
      <c r="AM542" s="42">
        <f>Table43[[#This Row],[Harga Beli Pcs
(-PPN)]]*1.11</f>
        <v>0</v>
      </c>
      <c r="AN542" s="42">
        <f>Table43[[#This Row],[Harga Beli Krt
(- PPN)]]*1.11</f>
        <v>0</v>
      </c>
      <c r="AO542" s="42"/>
      <c r="AP542" s="42">
        <f>Table43[[#This Row],[Harga Jual Pcs GT
(-PPN)]]*Table43[[#This Row],[ISI/CTN]]</f>
        <v>0</v>
      </c>
      <c r="AQ542" s="42">
        <f>Table43[[#This Row],[Harga Jual Pcs GT
(-PPN)]]*1.11</f>
        <v>0</v>
      </c>
      <c r="AR542" s="42">
        <f>Table43[[#This Row],[Harga Jual Krt GT
(- PPN)]]*1.11</f>
        <v>0</v>
      </c>
      <c r="AS542" s="42">
        <f>Table43[[#This Row],[Harga Jual Pcs GT
(-PPN)]]</f>
        <v>0</v>
      </c>
      <c r="AT542" s="42">
        <f>(Table43[[#This Row],[Harga Jual Pcs MT
(-PPN)]]*Table43[[#This Row],[ISI/CTN]])</f>
        <v>0</v>
      </c>
      <c r="AU542" s="42">
        <f>Table43[[#This Row],[Harga Jual Pcs MT
(-PPN)]]*1.11</f>
        <v>0</v>
      </c>
      <c r="AV542" s="42">
        <f>Table43[[#This Row],[Harga Jual Pcs MT
(+PPN)]]*Table43[[#This Row],[ISI/CTN]]</f>
        <v>0</v>
      </c>
      <c r="AW542" s="47"/>
      <c r="AX542" s="7"/>
      <c r="AY542" s="7" t="str">
        <f ca="1">IF(TODAY()-Table43[[#This Row],[Efektif
Pembuatan]]&gt;60,"Lama","Baru")</f>
        <v>Lama</v>
      </c>
      <c r="AZ542" s="7" t="str">
        <f ca="1">IF(TODAY()-Table43[[#This Row],[Efektif Naik Harga]]&lt;30,"Naik","Sama")</f>
        <v>Sama</v>
      </c>
      <c r="BA542" s="7" t="str">
        <f>IF(Table43[[#This Row],[Kode BARANG Win2]]&lt;&gt;"","IDR","")</f>
        <v>IDR</v>
      </c>
      <c r="BB542" s="7" t="str">
        <f>CONCATENATE(Table43[[#This Row],[kode  1 Digit
(Nomor)]],Table43[[#This Row],[kode  4 Digit                (Nomor)]])</f>
        <v>20025</v>
      </c>
      <c r="BC542" s="7" t="str">
        <f>Table43[[#This Row],[Nama            Gramasi atau Jumlah Pack per CTN]]</f>
        <v>25GR</v>
      </c>
      <c r="BD542" s="7"/>
      <c r="BE542" s="7"/>
      <c r="BF542" s="4" t="str">
        <f>IF(Table43[[#This Row],[SATUAN Fix Win]]&lt;&gt;"","KRT")</f>
        <v>KRT</v>
      </c>
      <c r="BG542" s="4" t="str">
        <f>IF(Table43[[#This Row],[SATUAN Fix Win]]&lt;&gt;"","GD01")</f>
        <v>GD01</v>
      </c>
      <c r="BH542" s="4">
        <f>IF(Table43[[#This Row],[SATUAN Fix Win]]&lt;&gt;"",11611)</f>
        <v>11611</v>
      </c>
      <c r="BI542" s="4">
        <f>IF(Table43[[#This Row],[SATUAN Fix Win]]&lt;&gt;"",11612)</f>
        <v>11612</v>
      </c>
      <c r="BJ542" s="48"/>
      <c r="BK542" s="4">
        <f>IF(Table43[[#This Row],[SATUAN Fix Win]]&lt;&gt;"",1)</f>
        <v>1</v>
      </c>
    </row>
    <row r="543" spans="1:63">
      <c r="A543" s="4" t="str">
        <f>CONCATENATE(Table43[[#This Row],[Kode BARANG Win2]],Table43[[#This Row],[No. Urut
Item Sama]])</f>
        <v>K14200170025101</v>
      </c>
      <c r="B543" s="7">
        <v>1</v>
      </c>
      <c r="D543" s="28" t="s">
        <v>568</v>
      </c>
      <c r="E543" s="28"/>
      <c r="F543" s="28" t="s">
        <v>3306</v>
      </c>
      <c r="G543" s="78">
        <v>72</v>
      </c>
      <c r="H543" s="43"/>
      <c r="I543" s="28" t="str">
        <f>Table43[[#This Row],[Nama Jenis Kemasan]]</f>
        <v>BOX</v>
      </c>
      <c r="J543" s="4" t="str">
        <f>TRIM(CONCATENATE(Table43[[#This Row],[Nama            KLP]]," ",Table43[[#This Row],[Nama            Sub KLP]]))</f>
        <v>SAMANTHA HC</v>
      </c>
      <c r="K543" s="4" t="str">
        <f>CONCATENATE(Table43[[#This Row],[kode  2 Digit                (hrf+No)]],Table43[[#This Row],[kode  2 Digit                (Nomor)]],Table43[[#This Row],[kode  1 Digit                (Nomor)]])</f>
        <v>K1420</v>
      </c>
      <c r="L543" s="4" t="str">
        <f t="shared" si="27"/>
        <v>K1420017002510</v>
      </c>
      <c r="M543" s="11">
        <f t="shared" si="28"/>
        <v>14</v>
      </c>
      <c r="N543" s="14" t="str">
        <f>IF(AF543&lt;&gt;"",TRIM(UPPER(CONCATENATE(P543," ",R543," ",T543," ",V543," ",X543," ",Z543," ","X"," ",Table43[[#This Row],[ISI/CTN]]," ",AF543," ",AB543," ",AD543," ",AH543))),TRIM(UPPER(CONCATENATE(P543," ",R543," ",T543," ",V543," ",X543," ",Z543," ","X"," ",Table43[[#This Row],[ISI/CTN]]," ",AB543," ",AD543," ",AH543))))</f>
        <v>KNF SAMANTHA HC GREEN TOSCA 25GR X 72 BOX</v>
      </c>
      <c r="O543" s="11">
        <f t="shared" si="29"/>
        <v>41</v>
      </c>
      <c r="P543" s="4" t="s">
        <v>97</v>
      </c>
      <c r="Q543" s="7" t="s">
        <v>98</v>
      </c>
      <c r="R543" s="4" t="s">
        <v>3945</v>
      </c>
      <c r="S543" s="44" t="s">
        <v>3946</v>
      </c>
      <c r="T543" s="45" t="s">
        <v>2961</v>
      </c>
      <c r="U543" s="7" t="s">
        <v>2900</v>
      </c>
      <c r="V543" s="45" t="s">
        <v>2961</v>
      </c>
      <c r="W543" s="44" t="s">
        <v>2900</v>
      </c>
      <c r="X543" s="4" t="s">
        <v>3964</v>
      </c>
      <c r="Y543" s="46" t="s">
        <v>3569</v>
      </c>
      <c r="Z543" s="4" t="s">
        <v>3949</v>
      </c>
      <c r="AA543" s="46" t="s">
        <v>2510</v>
      </c>
      <c r="AB543" s="4" t="s">
        <v>1023</v>
      </c>
      <c r="AC543" s="7" t="s">
        <v>2656</v>
      </c>
      <c r="AD543" s="4" t="s">
        <v>2961</v>
      </c>
      <c r="AE543" s="7" t="s">
        <v>2900</v>
      </c>
      <c r="AF543" s="7" t="s">
        <v>2961</v>
      </c>
      <c r="AG543" s="7" t="s">
        <v>2961</v>
      </c>
      <c r="AI543" s="7" t="s">
        <v>2463</v>
      </c>
      <c r="AJ543" s="7" t="s">
        <v>3562</v>
      </c>
      <c r="AK543" s="41">
        <f>Table43[[#This Row],[Harga Jual Pcs GT
(-PPN)]]-(Table43[[#This Row],[Harga Jual Pcs GT
(-PPN)]]*10%)</f>
        <v>0</v>
      </c>
      <c r="AL543" s="42">
        <f>Table43[[#This Row],[Harga Beli Pcs
(-PPN)]]*Table43[[#This Row],[ISI/CTN]]</f>
        <v>0</v>
      </c>
      <c r="AM543" s="42">
        <f>Table43[[#This Row],[Harga Beli Pcs
(-PPN)]]*1.11</f>
        <v>0</v>
      </c>
      <c r="AN543" s="42">
        <f>Table43[[#This Row],[Harga Beli Krt
(- PPN)]]*1.11</f>
        <v>0</v>
      </c>
      <c r="AO543" s="42"/>
      <c r="AP543" s="42">
        <f>Table43[[#This Row],[Harga Jual Pcs GT
(-PPN)]]*Table43[[#This Row],[ISI/CTN]]</f>
        <v>0</v>
      </c>
      <c r="AQ543" s="42">
        <f>Table43[[#This Row],[Harga Jual Pcs GT
(-PPN)]]*1.11</f>
        <v>0</v>
      </c>
      <c r="AR543" s="42">
        <f>Table43[[#This Row],[Harga Jual Krt GT
(- PPN)]]*1.11</f>
        <v>0</v>
      </c>
      <c r="AS543" s="42">
        <f>Table43[[#This Row],[Harga Jual Pcs GT
(-PPN)]]</f>
        <v>0</v>
      </c>
      <c r="AT543" s="42">
        <f>(Table43[[#This Row],[Harga Jual Pcs MT
(-PPN)]]*Table43[[#This Row],[ISI/CTN]])</f>
        <v>0</v>
      </c>
      <c r="AU543" s="42">
        <f>Table43[[#This Row],[Harga Jual Pcs MT
(-PPN)]]*1.11</f>
        <v>0</v>
      </c>
      <c r="AV543" s="42">
        <f>Table43[[#This Row],[Harga Jual Pcs MT
(+PPN)]]*Table43[[#This Row],[ISI/CTN]]</f>
        <v>0</v>
      </c>
      <c r="AW543" s="47"/>
      <c r="AX543" s="7"/>
      <c r="AY543" s="7" t="str">
        <f ca="1">IF(TODAY()-Table43[[#This Row],[Efektif
Pembuatan]]&gt;60,"Lama","Baru")</f>
        <v>Lama</v>
      </c>
      <c r="AZ543" s="7" t="str">
        <f ca="1">IF(TODAY()-Table43[[#This Row],[Efektif Naik Harga]]&lt;30,"Naik","Sama")</f>
        <v>Sama</v>
      </c>
      <c r="BA543" s="7" t="str">
        <f>IF(Table43[[#This Row],[Kode BARANG Win2]]&lt;&gt;"","IDR","")</f>
        <v>IDR</v>
      </c>
      <c r="BB543" s="7" t="str">
        <f>CONCATENATE(Table43[[#This Row],[kode  1 Digit
(Nomor)]],Table43[[#This Row],[kode  4 Digit                (Nomor)]])</f>
        <v>20025</v>
      </c>
      <c r="BC543" s="7" t="str">
        <f>Table43[[#This Row],[Nama            Gramasi atau Jumlah Pack per CTN]]</f>
        <v>25GR</v>
      </c>
      <c r="BD543" s="7"/>
      <c r="BE543" s="7"/>
      <c r="BF543" s="4" t="str">
        <f>IF(Table43[[#This Row],[SATUAN Fix Win]]&lt;&gt;"","KRT")</f>
        <v>KRT</v>
      </c>
      <c r="BG543" s="4" t="str">
        <f>IF(Table43[[#This Row],[SATUAN Fix Win]]&lt;&gt;"","GD01")</f>
        <v>GD01</v>
      </c>
      <c r="BH543" s="4">
        <f>IF(Table43[[#This Row],[SATUAN Fix Win]]&lt;&gt;"",11611)</f>
        <v>11611</v>
      </c>
      <c r="BI543" s="4">
        <f>IF(Table43[[#This Row],[SATUAN Fix Win]]&lt;&gt;"",11612)</f>
        <v>11612</v>
      </c>
      <c r="BJ543" s="48"/>
      <c r="BK543" s="4">
        <f>IF(Table43[[#This Row],[SATUAN Fix Win]]&lt;&gt;"",1)</f>
        <v>1</v>
      </c>
    </row>
    <row r="544" spans="1:63">
      <c r="A544" s="4" t="str">
        <f>CONCATENATE(Table43[[#This Row],[Kode BARANG Win2]],Table43[[#This Row],[No. Urut
Item Sama]])</f>
        <v>K14310010100101</v>
      </c>
      <c r="B544" s="7">
        <v>1</v>
      </c>
      <c r="D544" s="28" t="s">
        <v>533</v>
      </c>
      <c r="E544" s="28"/>
      <c r="F544" s="28" t="s">
        <v>3307</v>
      </c>
      <c r="G544" s="78">
        <v>24</v>
      </c>
      <c r="H544" s="43"/>
      <c r="I544" s="28" t="str">
        <f>Table43[[#This Row],[Nama Jenis Kemasan]]</f>
        <v>JAR</v>
      </c>
      <c r="J544" s="4" t="str">
        <f>TRIM(CONCATENATE(Table43[[#This Row],[Nama            KLP]]," ",Table43[[#This Row],[Nama            Sub KLP]]))</f>
        <v>SAMANTHA POP B.SCRUB</v>
      </c>
      <c r="K544" s="4" t="str">
        <f>CONCATENATE(Table43[[#This Row],[kode  2 Digit                (hrf+No)]],Table43[[#This Row],[kode  2 Digit                (Nomor)]],Table43[[#This Row],[kode  1 Digit                (Nomor)]])</f>
        <v>K1431</v>
      </c>
      <c r="L544" s="4" t="str">
        <f t="shared" si="27"/>
        <v>K1431001010010</v>
      </c>
      <c r="M544" s="11">
        <f t="shared" si="28"/>
        <v>14</v>
      </c>
      <c r="N544" s="14" t="str">
        <f>IF(AF544&lt;&gt;"",TRIM(UPPER(CONCATENATE(P544," ",R544," ",T544," ",V544," ",X544," ",Z544," ","X"," ",Table43[[#This Row],[ISI/CTN]]," ",AF544," ",AB544," ",AD544," ",AH544))),TRIM(UPPER(CONCATENATE(P544," ",R544," ",T544," ",V544," ",X544," ",Z544," ","X"," ",Table43[[#This Row],[ISI/CTN]]," ",AB544," ",AD544," ",AH544))))</f>
        <v>KNF SAMANTHA POP B.SCRUB BIKIN BAPER 100GR X 24 JAR</v>
      </c>
      <c r="O544" s="11">
        <f t="shared" si="29"/>
        <v>51</v>
      </c>
      <c r="P544" s="4" t="s">
        <v>97</v>
      </c>
      <c r="Q544" s="7" t="s">
        <v>98</v>
      </c>
      <c r="R544" s="4" t="s">
        <v>3965</v>
      </c>
      <c r="S544" s="44" t="s">
        <v>3966</v>
      </c>
      <c r="T544" s="45" t="s">
        <v>3967</v>
      </c>
      <c r="U544" s="7" t="s">
        <v>2656</v>
      </c>
      <c r="V544" s="45" t="s">
        <v>2961</v>
      </c>
      <c r="W544" s="44" t="s">
        <v>2900</v>
      </c>
      <c r="X544" s="4" t="s">
        <v>3968</v>
      </c>
      <c r="Y544" s="46" t="s">
        <v>0</v>
      </c>
      <c r="Z544" s="4" t="s">
        <v>3642</v>
      </c>
      <c r="AA544" s="46" t="s">
        <v>2487</v>
      </c>
      <c r="AB544" s="4" t="s">
        <v>1019</v>
      </c>
      <c r="AC544" s="7" t="s">
        <v>2656</v>
      </c>
      <c r="AD544" s="4" t="s">
        <v>2961</v>
      </c>
      <c r="AE544" s="7" t="s">
        <v>2900</v>
      </c>
      <c r="AF544" s="7" t="s">
        <v>2961</v>
      </c>
      <c r="AG544" s="7" t="s">
        <v>2961</v>
      </c>
      <c r="AI544" s="7" t="s">
        <v>2463</v>
      </c>
      <c r="AJ544" s="7" t="s">
        <v>3562</v>
      </c>
      <c r="AK544" s="41">
        <f>Table43[[#This Row],[Harga Jual Pcs GT
(-PPN)]]-(Table43[[#This Row],[Harga Jual Pcs GT
(-PPN)]]*10%)</f>
        <v>0</v>
      </c>
      <c r="AL544" s="42">
        <f>Table43[[#This Row],[Harga Beli Pcs
(-PPN)]]*Table43[[#This Row],[ISI/CTN]]</f>
        <v>0</v>
      </c>
      <c r="AM544" s="42">
        <f>Table43[[#This Row],[Harga Beli Pcs
(-PPN)]]*1.11</f>
        <v>0</v>
      </c>
      <c r="AN544" s="42">
        <f>Table43[[#This Row],[Harga Beli Krt
(- PPN)]]*1.11</f>
        <v>0</v>
      </c>
      <c r="AO544" s="42"/>
      <c r="AP544" s="42">
        <f>Table43[[#This Row],[Harga Jual Pcs GT
(-PPN)]]*Table43[[#This Row],[ISI/CTN]]</f>
        <v>0</v>
      </c>
      <c r="AQ544" s="42">
        <f>Table43[[#This Row],[Harga Jual Pcs GT
(-PPN)]]*1.11</f>
        <v>0</v>
      </c>
      <c r="AR544" s="42">
        <f>Table43[[#This Row],[Harga Jual Krt GT
(- PPN)]]*1.11</f>
        <v>0</v>
      </c>
      <c r="AS544" s="42">
        <f>Table43[[#This Row],[Harga Jual Pcs GT
(-PPN)]]</f>
        <v>0</v>
      </c>
      <c r="AT544" s="42">
        <f>(Table43[[#This Row],[Harga Jual Pcs MT
(-PPN)]]*Table43[[#This Row],[ISI/CTN]])</f>
        <v>0</v>
      </c>
      <c r="AU544" s="42">
        <f>Table43[[#This Row],[Harga Jual Pcs MT
(-PPN)]]*1.11</f>
        <v>0</v>
      </c>
      <c r="AV544" s="42">
        <f>Table43[[#This Row],[Harga Jual Pcs MT
(+PPN)]]*Table43[[#This Row],[ISI/CTN]]</f>
        <v>0</v>
      </c>
      <c r="AW544" s="47"/>
      <c r="AX544" s="7"/>
      <c r="AY544" s="7" t="str">
        <f ca="1">IF(TODAY()-Table43[[#This Row],[Efektif
Pembuatan]]&gt;60,"Lama","Baru")</f>
        <v>Lama</v>
      </c>
      <c r="AZ544" s="7" t="str">
        <f ca="1">IF(TODAY()-Table43[[#This Row],[Efektif Naik Harga]]&lt;30,"Naik","Sama")</f>
        <v>Sama</v>
      </c>
      <c r="BA544" s="7" t="str">
        <f>IF(Table43[[#This Row],[Kode BARANG Win2]]&lt;&gt;"","IDR","")</f>
        <v>IDR</v>
      </c>
      <c r="BB544" s="7" t="str">
        <f>CONCATENATE(Table43[[#This Row],[kode  1 Digit
(Nomor)]],Table43[[#This Row],[kode  4 Digit                (Nomor)]])</f>
        <v>20100</v>
      </c>
      <c r="BC544" s="7" t="str">
        <f>Table43[[#This Row],[Nama            Gramasi atau Jumlah Pack per CTN]]</f>
        <v>100GR</v>
      </c>
      <c r="BD544" s="7"/>
      <c r="BE544" s="7"/>
      <c r="BF544" s="4" t="str">
        <f>IF(Table43[[#This Row],[SATUAN Fix Win]]&lt;&gt;"","KRT")</f>
        <v>KRT</v>
      </c>
      <c r="BG544" s="4" t="str">
        <f>IF(Table43[[#This Row],[SATUAN Fix Win]]&lt;&gt;"","GD01")</f>
        <v>GD01</v>
      </c>
      <c r="BH544" s="4">
        <f>IF(Table43[[#This Row],[SATUAN Fix Win]]&lt;&gt;"",11611)</f>
        <v>11611</v>
      </c>
      <c r="BI544" s="4">
        <f>IF(Table43[[#This Row],[SATUAN Fix Win]]&lt;&gt;"",11612)</f>
        <v>11612</v>
      </c>
      <c r="BJ544" s="48"/>
      <c r="BK544" s="4">
        <f>IF(Table43[[#This Row],[SATUAN Fix Win]]&lt;&gt;"",1)</f>
        <v>1</v>
      </c>
    </row>
    <row r="545" spans="1:63">
      <c r="A545" s="4" t="str">
        <f>CONCATENATE(Table43[[#This Row],[Kode BARANG Win2]],Table43[[#This Row],[No. Urut
Item Sama]])</f>
        <v>K14310020100101</v>
      </c>
      <c r="B545" s="7">
        <v>1</v>
      </c>
      <c r="D545" s="28" t="s">
        <v>540</v>
      </c>
      <c r="E545" s="28"/>
      <c r="F545" s="28" t="s">
        <v>3308</v>
      </c>
      <c r="G545" s="78">
        <v>24</v>
      </c>
      <c r="H545" s="43"/>
      <c r="I545" s="28" t="str">
        <f>Table43[[#This Row],[Nama Jenis Kemasan]]</f>
        <v>JAR</v>
      </c>
      <c r="J545" s="4" t="str">
        <f>TRIM(CONCATENATE(Table43[[#This Row],[Nama            KLP]]," ",Table43[[#This Row],[Nama            Sub KLP]]))</f>
        <v>SAMANTHA POP B.SCRUB</v>
      </c>
      <c r="K545" s="4" t="str">
        <f>CONCATENATE(Table43[[#This Row],[kode  2 Digit                (hrf+No)]],Table43[[#This Row],[kode  2 Digit                (Nomor)]],Table43[[#This Row],[kode  1 Digit                (Nomor)]])</f>
        <v>K1431</v>
      </c>
      <c r="L545" s="4" t="str">
        <f t="shared" si="27"/>
        <v>K1431002010010</v>
      </c>
      <c r="M545" s="11">
        <f t="shared" si="28"/>
        <v>14</v>
      </c>
      <c r="N545" s="14" t="str">
        <f>IF(AF545&lt;&gt;"",TRIM(UPPER(CONCATENATE(P545," ",R545," ",T545," ",V545," ",X545," ",Z545," ","X"," ",Table43[[#This Row],[ISI/CTN]]," ",AF545," ",AB545," ",AD545," ",AH545))),TRIM(UPPER(CONCATENATE(P545," ",R545," ",T545," ",V545," ",X545," ",Z545," ","X"," ",Table43[[#This Row],[ISI/CTN]]," ",AB545," ",AD545," ",AH545))))</f>
        <v>KNF SAMANTHA POP B.SCRUB JANJI MANIS 100GR X 24 JAR</v>
      </c>
      <c r="O545" s="11">
        <f t="shared" si="29"/>
        <v>51</v>
      </c>
      <c r="P545" s="4" t="s">
        <v>97</v>
      </c>
      <c r="Q545" s="7" t="s">
        <v>98</v>
      </c>
      <c r="R545" s="4" t="s">
        <v>3965</v>
      </c>
      <c r="S545" s="44" t="s">
        <v>3966</v>
      </c>
      <c r="T545" s="45" t="s">
        <v>3967</v>
      </c>
      <c r="U545" s="7" t="s">
        <v>2656</v>
      </c>
      <c r="V545" s="45" t="s">
        <v>2961</v>
      </c>
      <c r="W545" s="44" t="s">
        <v>2900</v>
      </c>
      <c r="X545" s="4" t="s">
        <v>3969</v>
      </c>
      <c r="Y545" s="46" t="s">
        <v>2472</v>
      </c>
      <c r="Z545" s="4" t="s">
        <v>3642</v>
      </c>
      <c r="AA545" s="46" t="s">
        <v>2487</v>
      </c>
      <c r="AB545" s="4" t="s">
        <v>1019</v>
      </c>
      <c r="AC545" s="7" t="s">
        <v>2656</v>
      </c>
      <c r="AD545" s="4" t="s">
        <v>2961</v>
      </c>
      <c r="AE545" s="7" t="s">
        <v>2900</v>
      </c>
      <c r="AF545" s="7" t="s">
        <v>2961</v>
      </c>
      <c r="AG545" s="7" t="s">
        <v>2961</v>
      </c>
      <c r="AI545" s="7" t="s">
        <v>2463</v>
      </c>
      <c r="AJ545" s="7" t="s">
        <v>3562</v>
      </c>
      <c r="AK545" s="41">
        <f>Table43[[#This Row],[Harga Jual Pcs GT
(-PPN)]]-(Table43[[#This Row],[Harga Jual Pcs GT
(-PPN)]]*10%)</f>
        <v>0</v>
      </c>
      <c r="AL545" s="42">
        <f>Table43[[#This Row],[Harga Beli Pcs
(-PPN)]]*Table43[[#This Row],[ISI/CTN]]</f>
        <v>0</v>
      </c>
      <c r="AM545" s="42">
        <f>Table43[[#This Row],[Harga Beli Pcs
(-PPN)]]*1.11</f>
        <v>0</v>
      </c>
      <c r="AN545" s="42">
        <f>Table43[[#This Row],[Harga Beli Krt
(- PPN)]]*1.11</f>
        <v>0</v>
      </c>
      <c r="AO545" s="42"/>
      <c r="AP545" s="42">
        <f>Table43[[#This Row],[Harga Jual Pcs GT
(-PPN)]]*Table43[[#This Row],[ISI/CTN]]</f>
        <v>0</v>
      </c>
      <c r="AQ545" s="42">
        <f>Table43[[#This Row],[Harga Jual Pcs GT
(-PPN)]]*1.11</f>
        <v>0</v>
      </c>
      <c r="AR545" s="42">
        <f>Table43[[#This Row],[Harga Jual Krt GT
(- PPN)]]*1.11</f>
        <v>0</v>
      </c>
      <c r="AS545" s="42">
        <f>Table43[[#This Row],[Harga Jual Pcs GT
(-PPN)]]</f>
        <v>0</v>
      </c>
      <c r="AT545" s="42">
        <f>(Table43[[#This Row],[Harga Jual Pcs MT
(-PPN)]]*Table43[[#This Row],[ISI/CTN]])</f>
        <v>0</v>
      </c>
      <c r="AU545" s="42">
        <f>Table43[[#This Row],[Harga Jual Pcs MT
(-PPN)]]*1.11</f>
        <v>0</v>
      </c>
      <c r="AV545" s="42">
        <f>Table43[[#This Row],[Harga Jual Pcs MT
(+PPN)]]*Table43[[#This Row],[ISI/CTN]]</f>
        <v>0</v>
      </c>
      <c r="AW545" s="47"/>
      <c r="AX545" s="7"/>
      <c r="AY545" s="7" t="str">
        <f ca="1">IF(TODAY()-Table43[[#This Row],[Efektif
Pembuatan]]&gt;60,"Lama","Baru")</f>
        <v>Lama</v>
      </c>
      <c r="AZ545" s="7" t="str">
        <f ca="1">IF(TODAY()-Table43[[#This Row],[Efektif Naik Harga]]&lt;30,"Naik","Sama")</f>
        <v>Sama</v>
      </c>
      <c r="BA545" s="7" t="str">
        <f>IF(Table43[[#This Row],[Kode BARANG Win2]]&lt;&gt;"","IDR","")</f>
        <v>IDR</v>
      </c>
      <c r="BB545" s="7" t="str">
        <f>CONCATENATE(Table43[[#This Row],[kode  1 Digit
(Nomor)]],Table43[[#This Row],[kode  4 Digit                (Nomor)]])</f>
        <v>20100</v>
      </c>
      <c r="BC545" s="7" t="str">
        <f>Table43[[#This Row],[Nama            Gramasi atau Jumlah Pack per CTN]]</f>
        <v>100GR</v>
      </c>
      <c r="BD545" s="7"/>
      <c r="BE545" s="7"/>
      <c r="BF545" s="4" t="str">
        <f>IF(Table43[[#This Row],[SATUAN Fix Win]]&lt;&gt;"","KRT")</f>
        <v>KRT</v>
      </c>
      <c r="BG545" s="4" t="str">
        <f>IF(Table43[[#This Row],[SATUAN Fix Win]]&lt;&gt;"","GD01")</f>
        <v>GD01</v>
      </c>
      <c r="BH545" s="4">
        <f>IF(Table43[[#This Row],[SATUAN Fix Win]]&lt;&gt;"",11611)</f>
        <v>11611</v>
      </c>
      <c r="BI545" s="4">
        <f>IF(Table43[[#This Row],[SATUAN Fix Win]]&lt;&gt;"",11612)</f>
        <v>11612</v>
      </c>
      <c r="BJ545" s="48"/>
      <c r="BK545" s="4">
        <f>IF(Table43[[#This Row],[SATUAN Fix Win]]&lt;&gt;"",1)</f>
        <v>1</v>
      </c>
    </row>
    <row r="546" spans="1:63">
      <c r="A546" s="4" t="str">
        <f>CONCATENATE(Table43[[#This Row],[Kode BARANG Win2]],Table43[[#This Row],[No. Urut
Item Sama]])</f>
        <v>K14310030100101</v>
      </c>
      <c r="B546" s="7">
        <v>1</v>
      </c>
      <c r="D546" s="28" t="s">
        <v>546</v>
      </c>
      <c r="E546" s="28"/>
      <c r="F546" s="28" t="s">
        <v>3309</v>
      </c>
      <c r="G546" s="78">
        <v>24</v>
      </c>
      <c r="H546" s="43"/>
      <c r="I546" s="28" t="str">
        <f>Table43[[#This Row],[Nama Jenis Kemasan]]</f>
        <v>JAR</v>
      </c>
      <c r="J546" s="4" t="str">
        <f>TRIM(CONCATENATE(Table43[[#This Row],[Nama            KLP]]," ",Table43[[#This Row],[Nama            Sub KLP]]))</f>
        <v>SAMANTHA POP B.SCRUB</v>
      </c>
      <c r="K546" s="4" t="str">
        <f>CONCATENATE(Table43[[#This Row],[kode  2 Digit                (hrf+No)]],Table43[[#This Row],[kode  2 Digit                (Nomor)]],Table43[[#This Row],[kode  1 Digit                (Nomor)]])</f>
        <v>K1431</v>
      </c>
      <c r="L546" s="4" t="str">
        <f t="shared" si="27"/>
        <v>K1431003010010</v>
      </c>
      <c r="M546" s="11">
        <f t="shared" si="28"/>
        <v>14</v>
      </c>
      <c r="N546" s="14" t="str">
        <f>IF(AF546&lt;&gt;"",TRIM(UPPER(CONCATENATE(P546," ",R546," ",T546," ",V546," ",X546," ",Z546," ","X"," ",Table43[[#This Row],[ISI/CTN]]," ",AF546," ",AB546," ",AD546," ",AH546))),TRIM(UPPER(CONCATENATE(P546," ",R546," ",T546," ",V546," ",X546," ",Z546," ","X"," ",Table43[[#This Row],[ISI/CTN]]," ",AB546," ",AD546," ",AH546))))</f>
        <v>KNF SAMANTHA POP B.SCRUB SENYUM DOI 100GR X 24 JAR</v>
      </c>
      <c r="O546" s="11">
        <f t="shared" si="29"/>
        <v>50</v>
      </c>
      <c r="P546" s="4" t="s">
        <v>97</v>
      </c>
      <c r="Q546" s="7" t="s">
        <v>98</v>
      </c>
      <c r="R546" s="4" t="s">
        <v>3965</v>
      </c>
      <c r="S546" s="44" t="s">
        <v>3966</v>
      </c>
      <c r="T546" s="45" t="s">
        <v>3967</v>
      </c>
      <c r="U546" s="7" t="s">
        <v>2656</v>
      </c>
      <c r="V546" s="45" t="s">
        <v>2961</v>
      </c>
      <c r="W546" s="44" t="s">
        <v>2900</v>
      </c>
      <c r="X546" s="4" t="s">
        <v>3970</v>
      </c>
      <c r="Y546" s="46" t="s">
        <v>2473</v>
      </c>
      <c r="Z546" s="4" t="s">
        <v>3642</v>
      </c>
      <c r="AA546" s="46" t="s">
        <v>2487</v>
      </c>
      <c r="AB546" s="4" t="s">
        <v>1019</v>
      </c>
      <c r="AC546" s="7" t="s">
        <v>2656</v>
      </c>
      <c r="AD546" s="4" t="s">
        <v>2961</v>
      </c>
      <c r="AE546" s="7" t="s">
        <v>2900</v>
      </c>
      <c r="AF546" s="7" t="s">
        <v>2961</v>
      </c>
      <c r="AG546" s="7" t="s">
        <v>2961</v>
      </c>
      <c r="AI546" s="7" t="s">
        <v>2463</v>
      </c>
      <c r="AJ546" s="7" t="s">
        <v>3562</v>
      </c>
      <c r="AK546" s="41">
        <f>Table43[[#This Row],[Harga Jual Pcs GT
(-PPN)]]-(Table43[[#This Row],[Harga Jual Pcs GT
(-PPN)]]*10%)</f>
        <v>0</v>
      </c>
      <c r="AL546" s="42">
        <f>Table43[[#This Row],[Harga Beli Pcs
(-PPN)]]*Table43[[#This Row],[ISI/CTN]]</f>
        <v>0</v>
      </c>
      <c r="AM546" s="42">
        <f>Table43[[#This Row],[Harga Beli Pcs
(-PPN)]]*1.11</f>
        <v>0</v>
      </c>
      <c r="AN546" s="42">
        <f>Table43[[#This Row],[Harga Beli Krt
(- PPN)]]*1.11</f>
        <v>0</v>
      </c>
      <c r="AO546" s="42"/>
      <c r="AP546" s="42">
        <f>Table43[[#This Row],[Harga Jual Pcs GT
(-PPN)]]*Table43[[#This Row],[ISI/CTN]]</f>
        <v>0</v>
      </c>
      <c r="AQ546" s="42">
        <f>Table43[[#This Row],[Harga Jual Pcs GT
(-PPN)]]*1.11</f>
        <v>0</v>
      </c>
      <c r="AR546" s="42">
        <f>Table43[[#This Row],[Harga Jual Krt GT
(- PPN)]]*1.11</f>
        <v>0</v>
      </c>
      <c r="AS546" s="42">
        <f>Table43[[#This Row],[Harga Jual Pcs GT
(-PPN)]]</f>
        <v>0</v>
      </c>
      <c r="AT546" s="42">
        <f>(Table43[[#This Row],[Harga Jual Pcs MT
(-PPN)]]*Table43[[#This Row],[ISI/CTN]])</f>
        <v>0</v>
      </c>
      <c r="AU546" s="42">
        <f>Table43[[#This Row],[Harga Jual Pcs MT
(-PPN)]]*1.11</f>
        <v>0</v>
      </c>
      <c r="AV546" s="42">
        <f>Table43[[#This Row],[Harga Jual Pcs MT
(+PPN)]]*Table43[[#This Row],[ISI/CTN]]</f>
        <v>0</v>
      </c>
      <c r="AW546" s="47"/>
      <c r="AX546" s="7"/>
      <c r="AY546" s="7" t="str">
        <f ca="1">IF(TODAY()-Table43[[#This Row],[Efektif
Pembuatan]]&gt;60,"Lama","Baru")</f>
        <v>Lama</v>
      </c>
      <c r="AZ546" s="7" t="str">
        <f ca="1">IF(TODAY()-Table43[[#This Row],[Efektif Naik Harga]]&lt;30,"Naik","Sama")</f>
        <v>Sama</v>
      </c>
      <c r="BA546" s="7" t="str">
        <f>IF(Table43[[#This Row],[Kode BARANG Win2]]&lt;&gt;"","IDR","")</f>
        <v>IDR</v>
      </c>
      <c r="BB546" s="7" t="str">
        <f>CONCATENATE(Table43[[#This Row],[kode  1 Digit
(Nomor)]],Table43[[#This Row],[kode  4 Digit                (Nomor)]])</f>
        <v>20100</v>
      </c>
      <c r="BC546" s="7" t="str">
        <f>Table43[[#This Row],[Nama            Gramasi atau Jumlah Pack per CTN]]</f>
        <v>100GR</v>
      </c>
      <c r="BD546" s="7"/>
      <c r="BE546" s="7"/>
      <c r="BF546" s="4" t="str">
        <f>IF(Table43[[#This Row],[SATUAN Fix Win]]&lt;&gt;"","KRT")</f>
        <v>KRT</v>
      </c>
      <c r="BG546" s="4" t="str">
        <f>IF(Table43[[#This Row],[SATUAN Fix Win]]&lt;&gt;"","GD01")</f>
        <v>GD01</v>
      </c>
      <c r="BH546" s="4">
        <f>IF(Table43[[#This Row],[SATUAN Fix Win]]&lt;&gt;"",11611)</f>
        <v>11611</v>
      </c>
      <c r="BI546" s="4">
        <f>IF(Table43[[#This Row],[SATUAN Fix Win]]&lt;&gt;"",11612)</f>
        <v>11612</v>
      </c>
      <c r="BJ546" s="48"/>
      <c r="BK546" s="4">
        <f>IF(Table43[[#This Row],[SATUAN Fix Win]]&lt;&gt;"",1)</f>
        <v>1</v>
      </c>
    </row>
    <row r="547" spans="1:63">
      <c r="A547" s="4" t="str">
        <f>CONCATENATE(Table43[[#This Row],[Kode BARANG Win2]],Table43[[#This Row],[No. Urut
Item Sama]])</f>
        <v>K14320010100201</v>
      </c>
      <c r="B547" s="7">
        <v>1</v>
      </c>
      <c r="D547" s="28" t="s">
        <v>534</v>
      </c>
      <c r="E547" s="28"/>
      <c r="F547" s="28" t="s">
        <v>3310</v>
      </c>
      <c r="G547" s="78">
        <v>36</v>
      </c>
      <c r="H547" s="43"/>
      <c r="I547" s="28" t="str">
        <f>Table43[[#This Row],[Nama Jenis Kemasan]]</f>
        <v>BTL</v>
      </c>
      <c r="J547" s="4" t="str">
        <f>TRIM(CONCATENATE(Table43[[#This Row],[Nama            KLP]]," ",Table43[[#This Row],[Nama            Sub KLP]]))</f>
        <v>SAMANTHA POP C.GEL</v>
      </c>
      <c r="K547" s="4" t="str">
        <f>CONCATENATE(Table43[[#This Row],[kode  2 Digit                (hrf+No)]],Table43[[#This Row],[kode  2 Digit                (Nomor)]],Table43[[#This Row],[kode  1 Digit                (Nomor)]])</f>
        <v>K1432</v>
      </c>
      <c r="L547" s="4" t="str">
        <f t="shared" si="27"/>
        <v>K1432001010020</v>
      </c>
      <c r="M547" s="11">
        <f t="shared" si="28"/>
        <v>14</v>
      </c>
      <c r="N547" s="14" t="str">
        <f>IF(AF547&lt;&gt;"",TRIM(UPPER(CONCATENATE(P547," ",R547," ",T547," ",V547," ",X547," ",Z547," ","X"," ",Table43[[#This Row],[ISI/CTN]]," ",AF547," ",AB547," ",AD547," ",AH547))),TRIM(UPPER(CONCATENATE(P547," ",R547," ",T547," ",V547," ",X547," ",Z547," ","X"," ",Table43[[#This Row],[ISI/CTN]]," ",AB547," ",AD547," ",AH547))))</f>
        <v>KNF SAMANTHA POP C.GEL BIKIN BAPER 100ML X 36 BTL</v>
      </c>
      <c r="O547" s="11">
        <f t="shared" si="29"/>
        <v>49</v>
      </c>
      <c r="P547" s="4" t="s">
        <v>97</v>
      </c>
      <c r="Q547" s="7" t="s">
        <v>98</v>
      </c>
      <c r="R547" s="4" t="s">
        <v>3965</v>
      </c>
      <c r="S547" s="44" t="s">
        <v>3966</v>
      </c>
      <c r="T547" s="45" t="s">
        <v>3742</v>
      </c>
      <c r="U547" s="7" t="s">
        <v>3562</v>
      </c>
      <c r="V547" s="45" t="s">
        <v>2961</v>
      </c>
      <c r="W547" s="44" t="s">
        <v>2900</v>
      </c>
      <c r="X547" s="4" t="s">
        <v>3968</v>
      </c>
      <c r="Y547" s="46" t="s">
        <v>0</v>
      </c>
      <c r="Z547" s="4" t="s">
        <v>3588</v>
      </c>
      <c r="AA547" s="46" t="s">
        <v>2487</v>
      </c>
      <c r="AB547" s="4" t="s">
        <v>357</v>
      </c>
      <c r="AC547" s="7" t="s">
        <v>3562</v>
      </c>
      <c r="AD547" s="4" t="s">
        <v>2961</v>
      </c>
      <c r="AE547" s="7" t="s">
        <v>2900</v>
      </c>
      <c r="AF547" s="7" t="s">
        <v>2961</v>
      </c>
      <c r="AG547" s="7" t="s">
        <v>2961</v>
      </c>
      <c r="AI547" s="7" t="s">
        <v>4100</v>
      </c>
      <c r="AJ547" s="7" t="s">
        <v>2656</v>
      </c>
      <c r="AK547" s="41">
        <f>Table43[[#This Row],[Harga Jual Pcs GT
(-PPN)]]-(Table43[[#This Row],[Harga Jual Pcs GT
(-PPN)]]*10%)</f>
        <v>0</v>
      </c>
      <c r="AL547" s="42">
        <f>Table43[[#This Row],[Harga Beli Pcs
(-PPN)]]*Table43[[#This Row],[ISI/CTN]]</f>
        <v>0</v>
      </c>
      <c r="AM547" s="42">
        <f>Table43[[#This Row],[Harga Beli Pcs
(-PPN)]]*1.11</f>
        <v>0</v>
      </c>
      <c r="AN547" s="42">
        <f>Table43[[#This Row],[Harga Beli Krt
(- PPN)]]*1.11</f>
        <v>0</v>
      </c>
      <c r="AO547" s="42"/>
      <c r="AP547" s="42">
        <f>Table43[[#This Row],[Harga Jual Pcs GT
(-PPN)]]*Table43[[#This Row],[ISI/CTN]]</f>
        <v>0</v>
      </c>
      <c r="AQ547" s="42">
        <f>Table43[[#This Row],[Harga Jual Pcs GT
(-PPN)]]*1.11</f>
        <v>0</v>
      </c>
      <c r="AR547" s="42">
        <f>Table43[[#This Row],[Harga Jual Krt GT
(- PPN)]]*1.11</f>
        <v>0</v>
      </c>
      <c r="AS547" s="42">
        <f>Table43[[#This Row],[Harga Jual Pcs GT
(-PPN)]]</f>
        <v>0</v>
      </c>
      <c r="AT547" s="42">
        <f>(Table43[[#This Row],[Harga Jual Pcs MT
(-PPN)]]*Table43[[#This Row],[ISI/CTN]])</f>
        <v>0</v>
      </c>
      <c r="AU547" s="42">
        <f>Table43[[#This Row],[Harga Jual Pcs MT
(-PPN)]]*1.11</f>
        <v>0</v>
      </c>
      <c r="AV547" s="42">
        <f>Table43[[#This Row],[Harga Jual Pcs MT
(+PPN)]]*Table43[[#This Row],[ISI/CTN]]</f>
        <v>0</v>
      </c>
      <c r="AW547" s="47"/>
      <c r="AX547" s="7"/>
      <c r="AY547" s="7" t="str">
        <f ca="1">IF(TODAY()-Table43[[#This Row],[Efektif
Pembuatan]]&gt;60,"Lama","Baru")</f>
        <v>Lama</v>
      </c>
      <c r="AZ547" s="7" t="str">
        <f ca="1">IF(TODAY()-Table43[[#This Row],[Efektif Naik Harga]]&lt;30,"Naik","Sama")</f>
        <v>Sama</v>
      </c>
      <c r="BA547" s="7" t="str">
        <f>IF(Table43[[#This Row],[Kode BARANG Win2]]&lt;&gt;"","IDR","")</f>
        <v>IDR</v>
      </c>
      <c r="BB547" s="7" t="str">
        <f>CONCATENATE(Table43[[#This Row],[kode  1 Digit
(Nomor)]],Table43[[#This Row],[kode  4 Digit                (Nomor)]])</f>
        <v>10100</v>
      </c>
      <c r="BC547" s="7" t="str">
        <f>Table43[[#This Row],[Nama            Gramasi atau Jumlah Pack per CTN]]</f>
        <v>100ML</v>
      </c>
      <c r="BD547" s="7"/>
      <c r="BE547" s="7"/>
      <c r="BF547" s="4" t="str">
        <f>IF(Table43[[#This Row],[SATUAN Fix Win]]&lt;&gt;"","KRT")</f>
        <v>KRT</v>
      </c>
      <c r="BG547" s="4" t="str">
        <f>IF(Table43[[#This Row],[SATUAN Fix Win]]&lt;&gt;"","GD01")</f>
        <v>GD01</v>
      </c>
      <c r="BH547" s="4">
        <f>IF(Table43[[#This Row],[SATUAN Fix Win]]&lt;&gt;"",11611)</f>
        <v>11611</v>
      </c>
      <c r="BI547" s="4">
        <f>IF(Table43[[#This Row],[SATUAN Fix Win]]&lt;&gt;"",11612)</f>
        <v>11612</v>
      </c>
      <c r="BJ547" s="48"/>
      <c r="BK547" s="4">
        <f>IF(Table43[[#This Row],[SATUAN Fix Win]]&lt;&gt;"",1)</f>
        <v>1</v>
      </c>
    </row>
    <row r="548" spans="1:63">
      <c r="A548" s="4" t="str">
        <f>CONCATENATE(Table43[[#This Row],[Kode BARANG Win2]],Table43[[#This Row],[No. Urut
Item Sama]])</f>
        <v>K14320020100202</v>
      </c>
      <c r="B548" s="7">
        <v>2</v>
      </c>
      <c r="D548" s="28" t="s">
        <v>541</v>
      </c>
      <c r="E548" s="28"/>
      <c r="F548" s="28" t="s">
        <v>3311</v>
      </c>
      <c r="G548" s="78">
        <v>36</v>
      </c>
      <c r="H548" s="43"/>
      <c r="I548" s="28" t="str">
        <f>Table43[[#This Row],[Nama Jenis Kemasan]]</f>
        <v>BTL</v>
      </c>
      <c r="J548" s="4" t="str">
        <f>TRIM(CONCATENATE(Table43[[#This Row],[Nama            KLP]]," ",Table43[[#This Row],[Nama            Sub KLP]]))</f>
        <v>SAMANTHA POP C.GEL</v>
      </c>
      <c r="K548" s="4" t="str">
        <f>CONCATENATE(Table43[[#This Row],[kode  2 Digit                (hrf+No)]],Table43[[#This Row],[kode  2 Digit                (Nomor)]],Table43[[#This Row],[kode  1 Digit                (Nomor)]])</f>
        <v>K1432</v>
      </c>
      <c r="L548" s="4" t="str">
        <f t="shared" si="27"/>
        <v>K1432002010020</v>
      </c>
      <c r="M548" s="11">
        <f t="shared" si="28"/>
        <v>14</v>
      </c>
      <c r="N548" s="14" t="str">
        <f>IF(AF548&lt;&gt;"",TRIM(UPPER(CONCATENATE(P548," ",R548," ",T548," ",V548," ",X548," ",Z548," ","X"," ",Table43[[#This Row],[ISI/CTN]]," ",AF548," ",AB548," ",AD548," ",AH548))),TRIM(UPPER(CONCATENATE(P548," ",R548," ",T548," ",V548," ",X548," ",Z548," ","X"," ",Table43[[#This Row],[ISI/CTN]]," ",AB548," ",AD548," ",AH548))))</f>
        <v>KNF SAMANTHA POP C.GEL JANJI MANIS 100ML X 36 BTL</v>
      </c>
      <c r="O548" s="11">
        <f t="shared" si="29"/>
        <v>49</v>
      </c>
      <c r="P548" s="4" t="s">
        <v>97</v>
      </c>
      <c r="Q548" s="7" t="s">
        <v>98</v>
      </c>
      <c r="R548" s="4" t="s">
        <v>3965</v>
      </c>
      <c r="S548" s="44" t="s">
        <v>3966</v>
      </c>
      <c r="T548" s="45" t="s">
        <v>3742</v>
      </c>
      <c r="U548" s="7" t="s">
        <v>3562</v>
      </c>
      <c r="V548" s="45" t="s">
        <v>2961</v>
      </c>
      <c r="W548" s="44" t="s">
        <v>2900</v>
      </c>
      <c r="X548" s="4" t="s">
        <v>3969</v>
      </c>
      <c r="Y548" s="46" t="s">
        <v>2472</v>
      </c>
      <c r="Z548" s="4" t="s">
        <v>3588</v>
      </c>
      <c r="AA548" s="46" t="s">
        <v>2487</v>
      </c>
      <c r="AB548" s="4" t="s">
        <v>357</v>
      </c>
      <c r="AC548" s="7" t="s">
        <v>3562</v>
      </c>
      <c r="AD548" s="4" t="s">
        <v>2961</v>
      </c>
      <c r="AE548" s="7" t="s">
        <v>2900</v>
      </c>
      <c r="AF548" s="7" t="s">
        <v>2961</v>
      </c>
      <c r="AG548" s="7" t="s">
        <v>2961</v>
      </c>
      <c r="AI548" s="7" t="s">
        <v>4100</v>
      </c>
      <c r="AJ548" s="7" t="s">
        <v>2656</v>
      </c>
      <c r="AK548" s="41">
        <f>Table43[[#This Row],[Harga Jual Pcs GT
(-PPN)]]-(Table43[[#This Row],[Harga Jual Pcs GT
(-PPN)]]*10%)</f>
        <v>0</v>
      </c>
      <c r="AL548" s="42">
        <f>Table43[[#This Row],[Harga Beli Pcs
(-PPN)]]*Table43[[#This Row],[ISI/CTN]]</f>
        <v>0</v>
      </c>
      <c r="AM548" s="42">
        <f>Table43[[#This Row],[Harga Beli Pcs
(-PPN)]]*1.11</f>
        <v>0</v>
      </c>
      <c r="AN548" s="42">
        <f>Table43[[#This Row],[Harga Beli Krt
(- PPN)]]*1.11</f>
        <v>0</v>
      </c>
      <c r="AO548" s="42"/>
      <c r="AP548" s="42">
        <f>Table43[[#This Row],[Harga Jual Pcs GT
(-PPN)]]*Table43[[#This Row],[ISI/CTN]]</f>
        <v>0</v>
      </c>
      <c r="AQ548" s="42">
        <f>Table43[[#This Row],[Harga Jual Pcs GT
(-PPN)]]*1.11</f>
        <v>0</v>
      </c>
      <c r="AR548" s="42">
        <f>Table43[[#This Row],[Harga Jual Krt GT
(- PPN)]]*1.11</f>
        <v>0</v>
      </c>
      <c r="AS548" s="42">
        <f>Table43[[#This Row],[Harga Jual Pcs GT
(-PPN)]]</f>
        <v>0</v>
      </c>
      <c r="AT548" s="42">
        <f>(Table43[[#This Row],[Harga Jual Pcs MT
(-PPN)]]*Table43[[#This Row],[ISI/CTN]])</f>
        <v>0</v>
      </c>
      <c r="AU548" s="42">
        <f>Table43[[#This Row],[Harga Jual Pcs MT
(-PPN)]]*1.11</f>
        <v>0</v>
      </c>
      <c r="AV548" s="42">
        <f>Table43[[#This Row],[Harga Jual Pcs MT
(+PPN)]]*Table43[[#This Row],[ISI/CTN]]</f>
        <v>0</v>
      </c>
      <c r="AW548" s="47"/>
      <c r="AX548" s="7"/>
      <c r="AY548" s="7" t="str">
        <f ca="1">IF(TODAY()-Table43[[#This Row],[Efektif
Pembuatan]]&gt;60,"Lama","Baru")</f>
        <v>Lama</v>
      </c>
      <c r="AZ548" s="7" t="str">
        <f ca="1">IF(TODAY()-Table43[[#This Row],[Efektif Naik Harga]]&lt;30,"Naik","Sama")</f>
        <v>Sama</v>
      </c>
      <c r="BA548" s="7" t="str">
        <f>IF(Table43[[#This Row],[Kode BARANG Win2]]&lt;&gt;"","IDR","")</f>
        <v>IDR</v>
      </c>
      <c r="BB548" s="7" t="str">
        <f>CONCATENATE(Table43[[#This Row],[kode  1 Digit
(Nomor)]],Table43[[#This Row],[kode  4 Digit                (Nomor)]])</f>
        <v>10100</v>
      </c>
      <c r="BC548" s="7" t="str">
        <f>Table43[[#This Row],[Nama            Gramasi atau Jumlah Pack per CTN]]</f>
        <v>100ML</v>
      </c>
      <c r="BD548" s="7"/>
      <c r="BE548" s="7"/>
      <c r="BF548" s="4" t="str">
        <f>IF(Table43[[#This Row],[SATUAN Fix Win]]&lt;&gt;"","KRT")</f>
        <v>KRT</v>
      </c>
      <c r="BG548" s="4" t="str">
        <f>IF(Table43[[#This Row],[SATUAN Fix Win]]&lt;&gt;"","GD01")</f>
        <v>GD01</v>
      </c>
      <c r="BH548" s="4">
        <f>IF(Table43[[#This Row],[SATUAN Fix Win]]&lt;&gt;"",11611)</f>
        <v>11611</v>
      </c>
      <c r="BI548" s="4">
        <f>IF(Table43[[#This Row],[SATUAN Fix Win]]&lt;&gt;"",11612)</f>
        <v>11612</v>
      </c>
      <c r="BJ548" s="48"/>
      <c r="BK548" s="4">
        <f>IF(Table43[[#This Row],[SATUAN Fix Win]]&lt;&gt;"",1)</f>
        <v>1</v>
      </c>
    </row>
    <row r="549" spans="1:63">
      <c r="A549" s="4" t="str">
        <f>CONCATENATE(Table43[[#This Row],[Kode BARANG Win2]],Table43[[#This Row],[No. Urut
Item Sama]])</f>
        <v>K14330010150101</v>
      </c>
      <c r="B549" s="7">
        <v>1</v>
      </c>
      <c r="D549" s="28" t="s">
        <v>537</v>
      </c>
      <c r="E549" s="28"/>
      <c r="F549" s="28" t="s">
        <v>3312</v>
      </c>
      <c r="G549" s="78">
        <v>36</v>
      </c>
      <c r="H549" s="43"/>
      <c r="I549" s="28" t="str">
        <f>Table43[[#This Row],[Nama Jenis Kemasan]]</f>
        <v>BTL</v>
      </c>
      <c r="J549" s="4" t="str">
        <f>TRIM(CONCATENATE(Table43[[#This Row],[Nama            KLP]]," ",Table43[[#This Row],[Nama            Sub KLP]]))</f>
        <v>SAMANTHA POP HBL</v>
      </c>
      <c r="K549" s="4" t="str">
        <f>CONCATENATE(Table43[[#This Row],[kode  2 Digit                (hrf+No)]],Table43[[#This Row],[kode  2 Digit                (Nomor)]],Table43[[#This Row],[kode  1 Digit                (Nomor)]])</f>
        <v>K1433</v>
      </c>
      <c r="L549" s="4" t="str">
        <f t="shared" si="27"/>
        <v>K1433001015010</v>
      </c>
      <c r="M549" s="11">
        <f t="shared" si="28"/>
        <v>14</v>
      </c>
      <c r="N549" s="14" t="str">
        <f>IF(AF549&lt;&gt;"",TRIM(UPPER(CONCATENATE(P549," ",R549," ",T549," ",V549," ",X549," ",Z549," ","X"," ",Table43[[#This Row],[ISI/CTN]]," ",AF549," ",AB549," ",AD549," ",AH549))),TRIM(UPPER(CONCATENATE(P549," ",R549," ",T549," ",V549," ",X549," ",Z549," ","X"," ",Table43[[#This Row],[ISI/CTN]]," ",AB549," ",AD549," ",AH549))))</f>
        <v>KNF SAMANTHA POP HBL BIKIN BAPER 150ML X 36 BTL</v>
      </c>
      <c r="O549" s="11">
        <f t="shared" si="29"/>
        <v>47</v>
      </c>
      <c r="P549" s="4" t="s">
        <v>97</v>
      </c>
      <c r="Q549" s="7" t="s">
        <v>98</v>
      </c>
      <c r="R549" s="4" t="s">
        <v>3965</v>
      </c>
      <c r="S549" s="44" t="s">
        <v>3966</v>
      </c>
      <c r="T549" s="45" t="s">
        <v>3971</v>
      </c>
      <c r="U549" s="7" t="s">
        <v>3590</v>
      </c>
      <c r="V549" s="45" t="s">
        <v>2961</v>
      </c>
      <c r="W549" s="44" t="s">
        <v>2900</v>
      </c>
      <c r="X549" s="4" t="s">
        <v>3968</v>
      </c>
      <c r="Y549" s="46" t="s">
        <v>0</v>
      </c>
      <c r="Z549" s="4" t="s">
        <v>2464</v>
      </c>
      <c r="AA549" s="46" t="s">
        <v>2482</v>
      </c>
      <c r="AB549" s="4" t="s">
        <v>357</v>
      </c>
      <c r="AC549" s="7" t="s">
        <v>2656</v>
      </c>
      <c r="AD549" s="4" t="s">
        <v>2961</v>
      </c>
      <c r="AE549" s="7" t="s">
        <v>2900</v>
      </c>
      <c r="AF549" s="7" t="s">
        <v>2961</v>
      </c>
      <c r="AG549" s="7" t="s">
        <v>2961</v>
      </c>
      <c r="AI549" s="7" t="s">
        <v>4100</v>
      </c>
      <c r="AJ549" s="7" t="s">
        <v>2656</v>
      </c>
      <c r="AK549" s="41">
        <f>Table43[[#This Row],[Harga Jual Pcs GT
(-PPN)]]-(Table43[[#This Row],[Harga Jual Pcs GT
(-PPN)]]*10%)</f>
        <v>0</v>
      </c>
      <c r="AL549" s="42">
        <f>Table43[[#This Row],[Harga Beli Pcs
(-PPN)]]*Table43[[#This Row],[ISI/CTN]]</f>
        <v>0</v>
      </c>
      <c r="AM549" s="42">
        <f>Table43[[#This Row],[Harga Beli Pcs
(-PPN)]]*1.11</f>
        <v>0</v>
      </c>
      <c r="AN549" s="42">
        <f>Table43[[#This Row],[Harga Beli Krt
(- PPN)]]*1.11</f>
        <v>0</v>
      </c>
      <c r="AO549" s="42"/>
      <c r="AP549" s="42">
        <f>Table43[[#This Row],[Harga Jual Pcs GT
(-PPN)]]*Table43[[#This Row],[ISI/CTN]]</f>
        <v>0</v>
      </c>
      <c r="AQ549" s="42">
        <f>Table43[[#This Row],[Harga Jual Pcs GT
(-PPN)]]*1.11</f>
        <v>0</v>
      </c>
      <c r="AR549" s="42">
        <f>Table43[[#This Row],[Harga Jual Krt GT
(- PPN)]]*1.11</f>
        <v>0</v>
      </c>
      <c r="AS549" s="42">
        <f>Table43[[#This Row],[Harga Jual Pcs GT
(-PPN)]]</f>
        <v>0</v>
      </c>
      <c r="AT549" s="42">
        <f>(Table43[[#This Row],[Harga Jual Pcs MT
(-PPN)]]*Table43[[#This Row],[ISI/CTN]])</f>
        <v>0</v>
      </c>
      <c r="AU549" s="42">
        <f>Table43[[#This Row],[Harga Jual Pcs MT
(-PPN)]]*1.11</f>
        <v>0</v>
      </c>
      <c r="AV549" s="42">
        <f>Table43[[#This Row],[Harga Jual Pcs MT
(+PPN)]]*Table43[[#This Row],[ISI/CTN]]</f>
        <v>0</v>
      </c>
      <c r="AW549" s="47"/>
      <c r="AX549" s="7"/>
      <c r="AY549" s="7" t="str">
        <f ca="1">IF(TODAY()-Table43[[#This Row],[Efektif
Pembuatan]]&gt;60,"Lama","Baru")</f>
        <v>Lama</v>
      </c>
      <c r="AZ549" s="7" t="str">
        <f ca="1">IF(TODAY()-Table43[[#This Row],[Efektif Naik Harga]]&lt;30,"Naik","Sama")</f>
        <v>Sama</v>
      </c>
      <c r="BA549" s="7" t="str">
        <f>IF(Table43[[#This Row],[Kode BARANG Win2]]&lt;&gt;"","IDR","")</f>
        <v>IDR</v>
      </c>
      <c r="BB549" s="7" t="str">
        <f>CONCATENATE(Table43[[#This Row],[kode  1 Digit
(Nomor)]],Table43[[#This Row],[kode  4 Digit                (Nomor)]])</f>
        <v>10150</v>
      </c>
      <c r="BC549" s="7" t="str">
        <f>Table43[[#This Row],[Nama            Gramasi atau Jumlah Pack per CTN]]</f>
        <v>150ML</v>
      </c>
      <c r="BD549" s="7"/>
      <c r="BE549" s="7"/>
      <c r="BF549" s="4" t="str">
        <f>IF(Table43[[#This Row],[SATUAN Fix Win]]&lt;&gt;"","KRT")</f>
        <v>KRT</v>
      </c>
      <c r="BG549" s="4" t="str">
        <f>IF(Table43[[#This Row],[SATUAN Fix Win]]&lt;&gt;"","GD01")</f>
        <v>GD01</v>
      </c>
      <c r="BH549" s="4">
        <f>IF(Table43[[#This Row],[SATUAN Fix Win]]&lt;&gt;"",11611)</f>
        <v>11611</v>
      </c>
      <c r="BI549" s="4">
        <f>IF(Table43[[#This Row],[SATUAN Fix Win]]&lt;&gt;"",11612)</f>
        <v>11612</v>
      </c>
      <c r="BJ549" s="48"/>
      <c r="BK549" s="4">
        <f>IF(Table43[[#This Row],[SATUAN Fix Win]]&lt;&gt;"",1)</f>
        <v>1</v>
      </c>
    </row>
    <row r="550" spans="1:63">
      <c r="A550" s="4" t="str">
        <f>CONCATENATE(Table43[[#This Row],[Kode BARANG Win2]],Table43[[#This Row],[No. Urut
Item Sama]])</f>
        <v>K14330020150102</v>
      </c>
      <c r="B550" s="7">
        <v>2</v>
      </c>
      <c r="D550" s="28" t="s">
        <v>544</v>
      </c>
      <c r="E550" s="28"/>
      <c r="F550" s="28" t="s">
        <v>3313</v>
      </c>
      <c r="G550" s="78">
        <v>36</v>
      </c>
      <c r="H550" s="43"/>
      <c r="I550" s="28" t="str">
        <f>Table43[[#This Row],[Nama Jenis Kemasan]]</f>
        <v>BTL</v>
      </c>
      <c r="J550" s="4" t="str">
        <f>TRIM(CONCATENATE(Table43[[#This Row],[Nama            KLP]]," ",Table43[[#This Row],[Nama            Sub KLP]]))</f>
        <v>SAMANTHA POP HBL</v>
      </c>
      <c r="K550" s="4" t="str">
        <f>CONCATENATE(Table43[[#This Row],[kode  2 Digit                (hrf+No)]],Table43[[#This Row],[kode  2 Digit                (Nomor)]],Table43[[#This Row],[kode  1 Digit                (Nomor)]])</f>
        <v>K1433</v>
      </c>
      <c r="L550" s="4" t="str">
        <f t="shared" si="27"/>
        <v>K1433002015010</v>
      </c>
      <c r="M550" s="11">
        <f t="shared" si="28"/>
        <v>14</v>
      </c>
      <c r="N550" s="14" t="str">
        <f>IF(AF550&lt;&gt;"",TRIM(UPPER(CONCATENATE(P550," ",R550," ",T550," ",V550," ",X550," ",Z550," ","X"," ",Table43[[#This Row],[ISI/CTN]]," ",AF550," ",AB550," ",AD550," ",AH550))),TRIM(UPPER(CONCATENATE(P550," ",R550," ",T550," ",V550," ",X550," ",Z550," ","X"," ",Table43[[#This Row],[ISI/CTN]]," ",AB550," ",AD550," ",AH550))))</f>
        <v>KNF SAMANTHA POP HBL JANJI MANIS 150ML X 36 BTL</v>
      </c>
      <c r="O550" s="11">
        <f t="shared" si="29"/>
        <v>47</v>
      </c>
      <c r="P550" s="4" t="s">
        <v>97</v>
      </c>
      <c r="Q550" s="7" t="s">
        <v>98</v>
      </c>
      <c r="R550" s="4" t="s">
        <v>3965</v>
      </c>
      <c r="S550" s="44" t="s">
        <v>3966</v>
      </c>
      <c r="T550" s="45" t="s">
        <v>3971</v>
      </c>
      <c r="U550" s="7" t="s">
        <v>3590</v>
      </c>
      <c r="V550" s="45" t="s">
        <v>2961</v>
      </c>
      <c r="W550" s="44" t="s">
        <v>2900</v>
      </c>
      <c r="X550" s="4" t="s">
        <v>3969</v>
      </c>
      <c r="Y550" s="46" t="s">
        <v>2472</v>
      </c>
      <c r="Z550" s="4" t="s">
        <v>2464</v>
      </c>
      <c r="AA550" s="46" t="s">
        <v>2482</v>
      </c>
      <c r="AB550" s="4" t="s">
        <v>357</v>
      </c>
      <c r="AC550" s="7" t="s">
        <v>2656</v>
      </c>
      <c r="AD550" s="4" t="s">
        <v>2961</v>
      </c>
      <c r="AE550" s="7" t="s">
        <v>2900</v>
      </c>
      <c r="AF550" s="7" t="s">
        <v>2961</v>
      </c>
      <c r="AG550" s="7" t="s">
        <v>2961</v>
      </c>
      <c r="AI550" s="7" t="s">
        <v>4100</v>
      </c>
      <c r="AJ550" s="7" t="s">
        <v>2656</v>
      </c>
      <c r="AK550" s="41">
        <f>Table43[[#This Row],[Harga Jual Pcs GT
(-PPN)]]-(Table43[[#This Row],[Harga Jual Pcs GT
(-PPN)]]*10%)</f>
        <v>0</v>
      </c>
      <c r="AL550" s="42">
        <f>Table43[[#This Row],[Harga Beli Pcs
(-PPN)]]*Table43[[#This Row],[ISI/CTN]]</f>
        <v>0</v>
      </c>
      <c r="AM550" s="42">
        <f>Table43[[#This Row],[Harga Beli Pcs
(-PPN)]]*1.11</f>
        <v>0</v>
      </c>
      <c r="AN550" s="42">
        <f>Table43[[#This Row],[Harga Beli Krt
(- PPN)]]*1.11</f>
        <v>0</v>
      </c>
      <c r="AO550" s="42"/>
      <c r="AP550" s="42">
        <f>Table43[[#This Row],[Harga Jual Pcs GT
(-PPN)]]*Table43[[#This Row],[ISI/CTN]]</f>
        <v>0</v>
      </c>
      <c r="AQ550" s="42">
        <f>Table43[[#This Row],[Harga Jual Pcs GT
(-PPN)]]*1.11</f>
        <v>0</v>
      </c>
      <c r="AR550" s="42">
        <f>Table43[[#This Row],[Harga Jual Krt GT
(- PPN)]]*1.11</f>
        <v>0</v>
      </c>
      <c r="AS550" s="42">
        <f>Table43[[#This Row],[Harga Jual Pcs GT
(-PPN)]]</f>
        <v>0</v>
      </c>
      <c r="AT550" s="42">
        <f>(Table43[[#This Row],[Harga Jual Pcs MT
(-PPN)]]*Table43[[#This Row],[ISI/CTN]])</f>
        <v>0</v>
      </c>
      <c r="AU550" s="42">
        <f>Table43[[#This Row],[Harga Jual Pcs MT
(-PPN)]]*1.11</f>
        <v>0</v>
      </c>
      <c r="AV550" s="42">
        <f>Table43[[#This Row],[Harga Jual Pcs MT
(+PPN)]]*Table43[[#This Row],[ISI/CTN]]</f>
        <v>0</v>
      </c>
      <c r="AW550" s="47"/>
      <c r="AX550" s="7"/>
      <c r="AY550" s="7" t="str">
        <f ca="1">IF(TODAY()-Table43[[#This Row],[Efektif
Pembuatan]]&gt;60,"Lama","Baru")</f>
        <v>Lama</v>
      </c>
      <c r="AZ550" s="7" t="str">
        <f ca="1">IF(TODAY()-Table43[[#This Row],[Efektif Naik Harga]]&lt;30,"Naik","Sama")</f>
        <v>Sama</v>
      </c>
      <c r="BA550" s="7" t="str">
        <f>IF(Table43[[#This Row],[Kode BARANG Win2]]&lt;&gt;"","IDR","")</f>
        <v>IDR</v>
      </c>
      <c r="BB550" s="7" t="str">
        <f>CONCATENATE(Table43[[#This Row],[kode  1 Digit
(Nomor)]],Table43[[#This Row],[kode  4 Digit                (Nomor)]])</f>
        <v>10150</v>
      </c>
      <c r="BC550" s="7" t="str">
        <f>Table43[[#This Row],[Nama            Gramasi atau Jumlah Pack per CTN]]</f>
        <v>150ML</v>
      </c>
      <c r="BD550" s="7"/>
      <c r="BE550" s="7"/>
      <c r="BF550" s="4" t="str">
        <f>IF(Table43[[#This Row],[SATUAN Fix Win]]&lt;&gt;"","KRT")</f>
        <v>KRT</v>
      </c>
      <c r="BG550" s="4" t="str">
        <f>IF(Table43[[#This Row],[SATUAN Fix Win]]&lt;&gt;"","GD01")</f>
        <v>GD01</v>
      </c>
      <c r="BH550" s="4">
        <f>IF(Table43[[#This Row],[SATUAN Fix Win]]&lt;&gt;"",11611)</f>
        <v>11611</v>
      </c>
      <c r="BI550" s="4">
        <f>IF(Table43[[#This Row],[SATUAN Fix Win]]&lt;&gt;"",11612)</f>
        <v>11612</v>
      </c>
      <c r="BJ550" s="48"/>
      <c r="BK550" s="4">
        <f>IF(Table43[[#This Row],[SATUAN Fix Win]]&lt;&gt;"",1)</f>
        <v>1</v>
      </c>
    </row>
    <row r="551" spans="1:63">
      <c r="A551" s="4" t="str">
        <f>CONCATENATE(Table43[[#This Row],[Kode BARANG Win2]],Table43[[#This Row],[No. Urut
Item Sama]])</f>
        <v>K14340010065101</v>
      </c>
      <c r="B551" s="7">
        <v>1</v>
      </c>
      <c r="D551" s="28" t="s">
        <v>532</v>
      </c>
      <c r="E551" s="28"/>
      <c r="F551" s="28" t="s">
        <v>3314</v>
      </c>
      <c r="G551" s="78">
        <v>36</v>
      </c>
      <c r="H551" s="43"/>
      <c r="I551" s="28" t="str">
        <f>Table43[[#This Row],[Nama Jenis Kemasan]]</f>
        <v>BTL</v>
      </c>
      <c r="J551" s="4" t="str">
        <f>TRIM(CONCATENATE(Table43[[#This Row],[Nama            KLP]]," ",Table43[[#This Row],[Nama            Sub KLP]]))</f>
        <v>SAMANTHA POP</v>
      </c>
      <c r="K551" s="4" t="str">
        <f>CONCATENATE(Table43[[#This Row],[kode  2 Digit                (hrf+No)]],Table43[[#This Row],[kode  2 Digit                (Nomor)]],Table43[[#This Row],[kode  1 Digit                (Nomor)]])</f>
        <v>K1434</v>
      </c>
      <c r="L551" s="4" t="str">
        <f t="shared" si="27"/>
        <v>K1434001006510</v>
      </c>
      <c r="M551" s="11">
        <f t="shared" si="28"/>
        <v>14</v>
      </c>
      <c r="N551" s="14" t="str">
        <f>IF(AF551&lt;&gt;"",TRIM(UPPER(CONCATENATE(P551," ",R551," ",T551," ",V551," ",X551," ",Z551," ","X"," ",Table43[[#This Row],[ISI/CTN]]," ",AF551," ",AB551," ",AD551," ",AH551))),TRIM(UPPER(CONCATENATE(P551," ",R551," ",T551," ",V551," ",X551," ",Z551," ","X"," ",Table43[[#This Row],[ISI/CTN]]," ",AB551," ",AD551," ",AH551))))</f>
        <v>KNF SAMANTHA POP HAIR MIST BIKIN BAPER 65ML X 36 BTL</v>
      </c>
      <c r="O551" s="11">
        <f t="shared" si="29"/>
        <v>52</v>
      </c>
      <c r="P551" s="4" t="s">
        <v>97</v>
      </c>
      <c r="Q551" s="7" t="s">
        <v>98</v>
      </c>
      <c r="R551" s="4" t="s">
        <v>3965</v>
      </c>
      <c r="S551" s="44" t="s">
        <v>3966</v>
      </c>
      <c r="T551" s="45" t="s">
        <v>2961</v>
      </c>
      <c r="U551" s="7" t="s">
        <v>3593</v>
      </c>
      <c r="V551" s="45" t="s">
        <v>2961</v>
      </c>
      <c r="W551" s="44" t="s">
        <v>2900</v>
      </c>
      <c r="X551" s="4" t="s">
        <v>3972</v>
      </c>
      <c r="Y551" s="46" t="s">
        <v>0</v>
      </c>
      <c r="Z551" s="4" t="s">
        <v>3730</v>
      </c>
      <c r="AA551" s="46" t="s">
        <v>2501</v>
      </c>
      <c r="AB551" s="4" t="s">
        <v>357</v>
      </c>
      <c r="AC551" s="7" t="s">
        <v>2656</v>
      </c>
      <c r="AD551" s="4" t="s">
        <v>2961</v>
      </c>
      <c r="AE551" s="7" t="s">
        <v>2900</v>
      </c>
      <c r="AF551" s="7" t="s">
        <v>2961</v>
      </c>
      <c r="AG551" s="7" t="s">
        <v>2961</v>
      </c>
      <c r="AI551" s="7" t="s">
        <v>4100</v>
      </c>
      <c r="AJ551" s="7" t="s">
        <v>2656</v>
      </c>
      <c r="AK551" s="41">
        <f>Table43[[#This Row],[Harga Jual Pcs GT
(-PPN)]]-(Table43[[#This Row],[Harga Jual Pcs GT
(-PPN)]]*10%)</f>
        <v>0</v>
      </c>
      <c r="AL551" s="42">
        <f>Table43[[#This Row],[Harga Beli Pcs
(-PPN)]]*Table43[[#This Row],[ISI/CTN]]</f>
        <v>0</v>
      </c>
      <c r="AM551" s="42">
        <f>Table43[[#This Row],[Harga Beli Pcs
(-PPN)]]*1.11</f>
        <v>0</v>
      </c>
      <c r="AN551" s="42">
        <f>Table43[[#This Row],[Harga Beli Krt
(- PPN)]]*1.11</f>
        <v>0</v>
      </c>
      <c r="AO551" s="42"/>
      <c r="AP551" s="42">
        <f>Table43[[#This Row],[Harga Jual Pcs GT
(-PPN)]]*Table43[[#This Row],[ISI/CTN]]</f>
        <v>0</v>
      </c>
      <c r="AQ551" s="42">
        <f>Table43[[#This Row],[Harga Jual Pcs GT
(-PPN)]]*1.11</f>
        <v>0</v>
      </c>
      <c r="AR551" s="42">
        <f>Table43[[#This Row],[Harga Jual Krt GT
(- PPN)]]*1.11</f>
        <v>0</v>
      </c>
      <c r="AS551" s="42">
        <f>Table43[[#This Row],[Harga Jual Pcs GT
(-PPN)]]</f>
        <v>0</v>
      </c>
      <c r="AT551" s="42">
        <f>(Table43[[#This Row],[Harga Jual Pcs MT
(-PPN)]]*Table43[[#This Row],[ISI/CTN]])</f>
        <v>0</v>
      </c>
      <c r="AU551" s="42">
        <f>Table43[[#This Row],[Harga Jual Pcs MT
(-PPN)]]*1.11</f>
        <v>0</v>
      </c>
      <c r="AV551" s="42">
        <f>Table43[[#This Row],[Harga Jual Pcs MT
(+PPN)]]*Table43[[#This Row],[ISI/CTN]]</f>
        <v>0</v>
      </c>
      <c r="AW551" s="47"/>
      <c r="AX551" s="7"/>
      <c r="AY551" s="7" t="str">
        <f ca="1">IF(TODAY()-Table43[[#This Row],[Efektif
Pembuatan]]&gt;60,"Lama","Baru")</f>
        <v>Lama</v>
      </c>
      <c r="AZ551" s="7" t="str">
        <f ca="1">IF(TODAY()-Table43[[#This Row],[Efektif Naik Harga]]&lt;30,"Naik","Sama")</f>
        <v>Sama</v>
      </c>
      <c r="BA551" s="7" t="str">
        <f>IF(Table43[[#This Row],[Kode BARANG Win2]]&lt;&gt;"","IDR","")</f>
        <v>IDR</v>
      </c>
      <c r="BB551" s="7" t="str">
        <f>CONCATENATE(Table43[[#This Row],[kode  1 Digit
(Nomor)]],Table43[[#This Row],[kode  4 Digit                (Nomor)]])</f>
        <v>10065</v>
      </c>
      <c r="BC551" s="7" t="str">
        <f>Table43[[#This Row],[Nama            Gramasi atau Jumlah Pack per CTN]]</f>
        <v>65ML</v>
      </c>
      <c r="BD551" s="7"/>
      <c r="BE551" s="7"/>
      <c r="BF551" s="4" t="str">
        <f>IF(Table43[[#This Row],[SATUAN Fix Win]]&lt;&gt;"","KRT")</f>
        <v>KRT</v>
      </c>
      <c r="BG551" s="4" t="str">
        <f>IF(Table43[[#This Row],[SATUAN Fix Win]]&lt;&gt;"","GD01")</f>
        <v>GD01</v>
      </c>
      <c r="BH551" s="4">
        <f>IF(Table43[[#This Row],[SATUAN Fix Win]]&lt;&gt;"",11611)</f>
        <v>11611</v>
      </c>
      <c r="BI551" s="4">
        <f>IF(Table43[[#This Row],[SATUAN Fix Win]]&lt;&gt;"",11612)</f>
        <v>11612</v>
      </c>
      <c r="BJ551" s="48"/>
      <c r="BK551" s="4">
        <f>IF(Table43[[#This Row],[SATUAN Fix Win]]&lt;&gt;"",1)</f>
        <v>1</v>
      </c>
    </row>
    <row r="552" spans="1:63">
      <c r="A552" s="4" t="str">
        <f>CONCATENATE(Table43[[#This Row],[Kode BARANG Win2]],Table43[[#This Row],[No. Urut
Item Sama]])</f>
        <v>K14340010500102</v>
      </c>
      <c r="B552" s="7">
        <v>2</v>
      </c>
      <c r="D552" s="28" t="s">
        <v>538</v>
      </c>
      <c r="E552" s="28"/>
      <c r="F552" s="28" t="s">
        <v>3452</v>
      </c>
      <c r="G552" s="78">
        <v>12</v>
      </c>
      <c r="H552" s="43"/>
      <c r="I552" s="28" t="str">
        <f>Table43[[#This Row],[Nama Jenis Kemasan]]</f>
        <v>BTL</v>
      </c>
      <c r="J552" s="4" t="str">
        <f>TRIM(CONCATENATE(Table43[[#This Row],[Nama            KLP]]," ",Table43[[#This Row],[Nama            Sub KLP]]))</f>
        <v>SAMANTHA POP</v>
      </c>
      <c r="K552" s="4" t="str">
        <f>CONCATENATE(Table43[[#This Row],[kode  2 Digit                (hrf+No)]],Table43[[#This Row],[kode  2 Digit                (Nomor)]],Table43[[#This Row],[kode  1 Digit                (Nomor)]])</f>
        <v>K1434</v>
      </c>
      <c r="L552" s="4" t="str">
        <f t="shared" si="27"/>
        <v>K1434001050010</v>
      </c>
      <c r="M552" s="11">
        <f t="shared" si="28"/>
        <v>14</v>
      </c>
      <c r="N552" s="14" t="str">
        <f>IF(AF552&lt;&gt;"",TRIM(UPPER(CONCATENATE(P552," ",R552," ",T552," ",V552," ",X552," ",Z552," ","X"," ",Table43[[#This Row],[ISI/CTN]]," ",AF552," ",AB552," ",AD552," ",AH552))),TRIM(UPPER(CONCATENATE(P552," ",R552," ",T552," ",V552," ",X552," ",Z552," ","X"," ",Table43[[#This Row],[ISI/CTN]]," ",AB552," ",AD552," ",AH552))))</f>
        <v>KNF SAMANTHA POP S.GEL BIKIN BAPER 500ML X 12 BTL</v>
      </c>
      <c r="O552" s="11">
        <f t="shared" si="29"/>
        <v>49</v>
      </c>
      <c r="P552" s="4" t="s">
        <v>97</v>
      </c>
      <c r="Q552" s="7" t="s">
        <v>98</v>
      </c>
      <c r="R552" s="4" t="s">
        <v>3965</v>
      </c>
      <c r="S552" s="44" t="s">
        <v>3966</v>
      </c>
      <c r="T552" s="45" t="s">
        <v>2961</v>
      </c>
      <c r="U552" s="7" t="s">
        <v>3593</v>
      </c>
      <c r="V552" s="45" t="s">
        <v>2961</v>
      </c>
      <c r="W552" s="44" t="s">
        <v>2900</v>
      </c>
      <c r="X552" s="4" t="s">
        <v>3973</v>
      </c>
      <c r="Y552" s="46" t="s">
        <v>0</v>
      </c>
      <c r="Z552" s="4" t="s">
        <v>3771</v>
      </c>
      <c r="AA552" s="46" t="s">
        <v>2503</v>
      </c>
      <c r="AB552" s="4" t="s">
        <v>357</v>
      </c>
      <c r="AC552" s="7" t="s">
        <v>2656</v>
      </c>
      <c r="AD552" s="4" t="s">
        <v>2961</v>
      </c>
      <c r="AE552" s="7" t="s">
        <v>2900</v>
      </c>
      <c r="AF552" s="7" t="s">
        <v>2961</v>
      </c>
      <c r="AG552" s="7" t="s">
        <v>2961</v>
      </c>
      <c r="AI552" s="7" t="s">
        <v>4100</v>
      </c>
      <c r="AJ552" s="7" t="s">
        <v>2656</v>
      </c>
      <c r="AK552" s="41">
        <f>Table43[[#This Row],[Harga Jual Pcs GT
(-PPN)]]-(Table43[[#This Row],[Harga Jual Pcs GT
(-PPN)]]*10%)</f>
        <v>0</v>
      </c>
      <c r="AL552" s="42">
        <f>Table43[[#This Row],[Harga Beli Pcs
(-PPN)]]*Table43[[#This Row],[ISI/CTN]]</f>
        <v>0</v>
      </c>
      <c r="AM552" s="42">
        <f>Table43[[#This Row],[Harga Beli Pcs
(-PPN)]]*1.11</f>
        <v>0</v>
      </c>
      <c r="AN552" s="42">
        <f>Table43[[#This Row],[Harga Beli Krt
(- PPN)]]*1.11</f>
        <v>0</v>
      </c>
      <c r="AO552" s="42"/>
      <c r="AP552" s="42">
        <f>Table43[[#This Row],[Harga Jual Pcs GT
(-PPN)]]*Table43[[#This Row],[ISI/CTN]]</f>
        <v>0</v>
      </c>
      <c r="AQ552" s="42">
        <f>Table43[[#This Row],[Harga Jual Pcs GT
(-PPN)]]*1.11</f>
        <v>0</v>
      </c>
      <c r="AR552" s="42">
        <f>Table43[[#This Row],[Harga Jual Krt GT
(- PPN)]]*1.11</f>
        <v>0</v>
      </c>
      <c r="AS552" s="42">
        <f>Table43[[#This Row],[Harga Jual Pcs GT
(-PPN)]]</f>
        <v>0</v>
      </c>
      <c r="AT552" s="42">
        <f>(Table43[[#This Row],[Harga Jual Pcs MT
(-PPN)]]*Table43[[#This Row],[ISI/CTN]])</f>
        <v>0</v>
      </c>
      <c r="AU552" s="42">
        <f>Table43[[#This Row],[Harga Jual Pcs MT
(-PPN)]]*1.11</f>
        <v>0</v>
      </c>
      <c r="AV552" s="42">
        <f>Table43[[#This Row],[Harga Jual Pcs MT
(+PPN)]]*Table43[[#This Row],[ISI/CTN]]</f>
        <v>0</v>
      </c>
      <c r="AW552" s="47"/>
      <c r="AX552" s="7"/>
      <c r="AY552" s="7" t="str">
        <f ca="1">IF(TODAY()-Table43[[#This Row],[Efektif
Pembuatan]]&gt;60,"Lama","Baru")</f>
        <v>Lama</v>
      </c>
      <c r="AZ552" s="7" t="str">
        <f ca="1">IF(TODAY()-Table43[[#This Row],[Efektif Naik Harga]]&lt;30,"Naik","Sama")</f>
        <v>Sama</v>
      </c>
      <c r="BA552" s="7" t="str">
        <f>IF(Table43[[#This Row],[Kode BARANG Win2]]&lt;&gt;"","IDR","")</f>
        <v>IDR</v>
      </c>
      <c r="BB552" s="7" t="str">
        <f>CONCATENATE(Table43[[#This Row],[kode  1 Digit
(Nomor)]],Table43[[#This Row],[kode  4 Digit                (Nomor)]])</f>
        <v>10500</v>
      </c>
      <c r="BC552" s="7" t="str">
        <f>Table43[[#This Row],[Nama            Gramasi atau Jumlah Pack per CTN]]</f>
        <v>500ML</v>
      </c>
      <c r="BD552" s="7"/>
      <c r="BE552" s="7"/>
      <c r="BF552" s="4" t="str">
        <f>IF(Table43[[#This Row],[SATUAN Fix Win]]&lt;&gt;"","KRT")</f>
        <v>KRT</v>
      </c>
      <c r="BG552" s="4" t="str">
        <f>IF(Table43[[#This Row],[SATUAN Fix Win]]&lt;&gt;"","GD01")</f>
        <v>GD01</v>
      </c>
      <c r="BH552" s="4">
        <f>IF(Table43[[#This Row],[SATUAN Fix Win]]&lt;&gt;"",11611)</f>
        <v>11611</v>
      </c>
      <c r="BI552" s="4">
        <f>IF(Table43[[#This Row],[SATUAN Fix Win]]&lt;&gt;"",11612)</f>
        <v>11612</v>
      </c>
      <c r="BJ552" s="48"/>
      <c r="BK552" s="4">
        <f>IF(Table43[[#This Row],[SATUAN Fix Win]]&lt;&gt;"",1)</f>
        <v>1</v>
      </c>
    </row>
    <row r="553" spans="1:63">
      <c r="A553" s="4" t="str">
        <f>CONCATENATE(Table43[[#This Row],[Kode BARANG Win2]],Table43[[#This Row],[No. Urut
Item Sama]])</f>
        <v>K14340020065101</v>
      </c>
      <c r="B553" s="7">
        <v>1</v>
      </c>
      <c r="D553" s="28" t="s">
        <v>539</v>
      </c>
      <c r="E553" s="28"/>
      <c r="F553" s="28" t="s">
        <v>3315</v>
      </c>
      <c r="G553" s="78">
        <v>36</v>
      </c>
      <c r="H553" s="43"/>
      <c r="I553" s="28" t="str">
        <f>Table43[[#This Row],[Nama Jenis Kemasan]]</f>
        <v>BTL</v>
      </c>
      <c r="J553" s="4" t="str">
        <f>TRIM(CONCATENATE(Table43[[#This Row],[Nama            KLP]]," ",Table43[[#This Row],[Nama            Sub KLP]]))</f>
        <v>SAMANTHA POP</v>
      </c>
      <c r="K553" s="4" t="str">
        <f>CONCATENATE(Table43[[#This Row],[kode  2 Digit                (hrf+No)]],Table43[[#This Row],[kode  2 Digit                (Nomor)]],Table43[[#This Row],[kode  1 Digit                (Nomor)]])</f>
        <v>K1434</v>
      </c>
      <c r="L553" s="4" t="str">
        <f t="shared" si="27"/>
        <v>K1434002006510</v>
      </c>
      <c r="M553" s="11">
        <f t="shared" si="28"/>
        <v>14</v>
      </c>
      <c r="N553" s="14" t="str">
        <f>IF(AF553&lt;&gt;"",TRIM(UPPER(CONCATENATE(P553," ",R553," ",T553," ",V553," ",X553," ",Z553," ","X"," ",Table43[[#This Row],[ISI/CTN]]," ",AF553," ",AB553," ",AD553," ",AH553))),TRIM(UPPER(CONCATENATE(P553," ",R553," ",T553," ",V553," ",X553," ",Z553," ","X"," ",Table43[[#This Row],[ISI/CTN]]," ",AB553," ",AD553," ",AH553))))</f>
        <v>KNF SAMANTHA POP HAIR MIST JANJI MANIS 65ML X 36 BTL</v>
      </c>
      <c r="O553" s="11">
        <f t="shared" si="29"/>
        <v>52</v>
      </c>
      <c r="P553" s="4" t="s">
        <v>97</v>
      </c>
      <c r="Q553" s="7" t="s">
        <v>98</v>
      </c>
      <c r="R553" s="4" t="s">
        <v>3965</v>
      </c>
      <c r="S553" s="44" t="s">
        <v>3966</v>
      </c>
      <c r="T553" s="45" t="s">
        <v>2961</v>
      </c>
      <c r="U553" s="7" t="s">
        <v>3593</v>
      </c>
      <c r="V553" s="45" t="s">
        <v>2961</v>
      </c>
      <c r="W553" s="44" t="s">
        <v>2900</v>
      </c>
      <c r="X553" s="4" t="s">
        <v>3974</v>
      </c>
      <c r="Y553" s="46" t="s">
        <v>2472</v>
      </c>
      <c r="Z553" s="4" t="s">
        <v>3730</v>
      </c>
      <c r="AA553" s="46" t="s">
        <v>2501</v>
      </c>
      <c r="AB553" s="4" t="s">
        <v>357</v>
      </c>
      <c r="AC553" s="7" t="s">
        <v>2656</v>
      </c>
      <c r="AD553" s="4" t="s">
        <v>2961</v>
      </c>
      <c r="AE553" s="7" t="s">
        <v>2900</v>
      </c>
      <c r="AF553" s="7" t="s">
        <v>2961</v>
      </c>
      <c r="AG553" s="7" t="s">
        <v>2961</v>
      </c>
      <c r="AI553" s="7" t="s">
        <v>4100</v>
      </c>
      <c r="AJ553" s="7" t="s">
        <v>2656</v>
      </c>
      <c r="AK553" s="41">
        <f>Table43[[#This Row],[Harga Jual Pcs GT
(-PPN)]]-(Table43[[#This Row],[Harga Jual Pcs GT
(-PPN)]]*10%)</f>
        <v>0</v>
      </c>
      <c r="AL553" s="42">
        <f>Table43[[#This Row],[Harga Beli Pcs
(-PPN)]]*Table43[[#This Row],[ISI/CTN]]</f>
        <v>0</v>
      </c>
      <c r="AM553" s="42">
        <f>Table43[[#This Row],[Harga Beli Pcs
(-PPN)]]*1.11</f>
        <v>0</v>
      </c>
      <c r="AN553" s="42">
        <f>Table43[[#This Row],[Harga Beli Krt
(- PPN)]]*1.11</f>
        <v>0</v>
      </c>
      <c r="AO553" s="42"/>
      <c r="AP553" s="42">
        <f>Table43[[#This Row],[Harga Jual Pcs GT
(-PPN)]]*Table43[[#This Row],[ISI/CTN]]</f>
        <v>0</v>
      </c>
      <c r="AQ553" s="42">
        <f>Table43[[#This Row],[Harga Jual Pcs GT
(-PPN)]]*1.11</f>
        <v>0</v>
      </c>
      <c r="AR553" s="42">
        <f>Table43[[#This Row],[Harga Jual Krt GT
(- PPN)]]*1.11</f>
        <v>0</v>
      </c>
      <c r="AS553" s="42">
        <f>Table43[[#This Row],[Harga Jual Pcs GT
(-PPN)]]</f>
        <v>0</v>
      </c>
      <c r="AT553" s="42">
        <f>(Table43[[#This Row],[Harga Jual Pcs MT
(-PPN)]]*Table43[[#This Row],[ISI/CTN]])</f>
        <v>0</v>
      </c>
      <c r="AU553" s="42">
        <f>Table43[[#This Row],[Harga Jual Pcs MT
(-PPN)]]*1.11</f>
        <v>0</v>
      </c>
      <c r="AV553" s="42">
        <f>Table43[[#This Row],[Harga Jual Pcs MT
(+PPN)]]*Table43[[#This Row],[ISI/CTN]]</f>
        <v>0</v>
      </c>
      <c r="AW553" s="47"/>
      <c r="AX553" s="7"/>
      <c r="AY553" s="7" t="str">
        <f ca="1">IF(TODAY()-Table43[[#This Row],[Efektif
Pembuatan]]&gt;60,"Lama","Baru")</f>
        <v>Lama</v>
      </c>
      <c r="AZ553" s="7" t="str">
        <f ca="1">IF(TODAY()-Table43[[#This Row],[Efektif Naik Harga]]&lt;30,"Naik","Sama")</f>
        <v>Sama</v>
      </c>
      <c r="BA553" s="7" t="str">
        <f>IF(Table43[[#This Row],[Kode BARANG Win2]]&lt;&gt;"","IDR","")</f>
        <v>IDR</v>
      </c>
      <c r="BB553" s="7" t="str">
        <f>CONCATENATE(Table43[[#This Row],[kode  1 Digit
(Nomor)]],Table43[[#This Row],[kode  4 Digit                (Nomor)]])</f>
        <v>10065</v>
      </c>
      <c r="BC553" s="7" t="str">
        <f>Table43[[#This Row],[Nama            Gramasi atau Jumlah Pack per CTN]]</f>
        <v>65ML</v>
      </c>
      <c r="BD553" s="7"/>
      <c r="BE553" s="7"/>
      <c r="BF553" s="4" t="str">
        <f>IF(Table43[[#This Row],[SATUAN Fix Win]]&lt;&gt;"","KRT")</f>
        <v>KRT</v>
      </c>
      <c r="BG553" s="4" t="str">
        <f>IF(Table43[[#This Row],[SATUAN Fix Win]]&lt;&gt;"","GD01")</f>
        <v>GD01</v>
      </c>
      <c r="BH553" s="4">
        <f>IF(Table43[[#This Row],[SATUAN Fix Win]]&lt;&gt;"",11611)</f>
        <v>11611</v>
      </c>
      <c r="BI553" s="4">
        <f>IF(Table43[[#This Row],[SATUAN Fix Win]]&lt;&gt;"",11612)</f>
        <v>11612</v>
      </c>
      <c r="BJ553" s="48"/>
      <c r="BK553" s="4">
        <f>IF(Table43[[#This Row],[SATUAN Fix Win]]&lt;&gt;"",1)</f>
        <v>1</v>
      </c>
    </row>
    <row r="554" spans="1:63">
      <c r="A554" s="4" t="str">
        <f>CONCATENATE(Table43[[#This Row],[Kode BARANG Win2]],Table43[[#This Row],[No. Urut
Item Sama]])</f>
        <v>K14340020500101</v>
      </c>
      <c r="B554" s="7">
        <v>1</v>
      </c>
      <c r="D554" s="28" t="s">
        <v>545</v>
      </c>
      <c r="E554" s="28"/>
      <c r="F554" s="28" t="s">
        <v>3453</v>
      </c>
      <c r="G554" s="78">
        <v>12</v>
      </c>
      <c r="H554" s="43"/>
      <c r="I554" s="28" t="str">
        <f>Table43[[#This Row],[Nama Jenis Kemasan]]</f>
        <v>BTL</v>
      </c>
      <c r="J554" s="4" t="str">
        <f>TRIM(CONCATENATE(Table43[[#This Row],[Nama            KLP]]," ",Table43[[#This Row],[Nama            Sub KLP]]))</f>
        <v>SAMANTHA POP</v>
      </c>
      <c r="K554" s="4" t="str">
        <f>CONCATENATE(Table43[[#This Row],[kode  2 Digit                (hrf+No)]],Table43[[#This Row],[kode  2 Digit                (Nomor)]],Table43[[#This Row],[kode  1 Digit                (Nomor)]])</f>
        <v>K1434</v>
      </c>
      <c r="L554" s="4" t="str">
        <f t="shared" si="27"/>
        <v>K1434002050010</v>
      </c>
      <c r="M554" s="11">
        <f t="shared" si="28"/>
        <v>14</v>
      </c>
      <c r="N554" s="14" t="str">
        <f>IF(AF554&lt;&gt;"",TRIM(UPPER(CONCATENATE(P554," ",R554," ",T554," ",V554," ",X554," ",Z554," ","X"," ",Table43[[#This Row],[ISI/CTN]]," ",AF554," ",AB554," ",AD554," ",AH554))),TRIM(UPPER(CONCATENATE(P554," ",R554," ",T554," ",V554," ",X554," ",Z554," ","X"," ",Table43[[#This Row],[ISI/CTN]]," ",AB554," ",AD554," ",AH554))))</f>
        <v>KNF SAMANTHA POP S.GEL JANJI MANIS 500ML X 12 BTL</v>
      </c>
      <c r="O554" s="11">
        <f t="shared" si="29"/>
        <v>49</v>
      </c>
      <c r="P554" s="4" t="s">
        <v>97</v>
      </c>
      <c r="Q554" s="7" t="s">
        <v>98</v>
      </c>
      <c r="R554" s="4" t="s">
        <v>3965</v>
      </c>
      <c r="S554" s="44" t="s">
        <v>3966</v>
      </c>
      <c r="T554" s="45" t="s">
        <v>2961</v>
      </c>
      <c r="U554" s="7" t="s">
        <v>3593</v>
      </c>
      <c r="V554" s="45" t="s">
        <v>2961</v>
      </c>
      <c r="W554" s="44" t="s">
        <v>2900</v>
      </c>
      <c r="X554" s="4" t="s">
        <v>3975</v>
      </c>
      <c r="Y554" s="46" t="s">
        <v>2472</v>
      </c>
      <c r="Z554" s="4" t="s">
        <v>3771</v>
      </c>
      <c r="AA554" s="46" t="s">
        <v>2503</v>
      </c>
      <c r="AB554" s="4" t="s">
        <v>357</v>
      </c>
      <c r="AC554" s="7" t="s">
        <v>2656</v>
      </c>
      <c r="AD554" s="4" t="s">
        <v>2961</v>
      </c>
      <c r="AE554" s="7" t="s">
        <v>2900</v>
      </c>
      <c r="AF554" s="7" t="s">
        <v>2961</v>
      </c>
      <c r="AG554" s="7" t="s">
        <v>2961</v>
      </c>
      <c r="AI554" s="7" t="s">
        <v>4100</v>
      </c>
      <c r="AJ554" s="7" t="s">
        <v>2656</v>
      </c>
      <c r="AK554" s="41">
        <f>Table43[[#This Row],[Harga Jual Pcs GT
(-PPN)]]-(Table43[[#This Row],[Harga Jual Pcs GT
(-PPN)]]*10%)</f>
        <v>0</v>
      </c>
      <c r="AL554" s="42">
        <f>Table43[[#This Row],[Harga Beli Pcs
(-PPN)]]*Table43[[#This Row],[ISI/CTN]]</f>
        <v>0</v>
      </c>
      <c r="AM554" s="42">
        <f>Table43[[#This Row],[Harga Beli Pcs
(-PPN)]]*1.11</f>
        <v>0</v>
      </c>
      <c r="AN554" s="42">
        <f>Table43[[#This Row],[Harga Beli Krt
(- PPN)]]*1.11</f>
        <v>0</v>
      </c>
      <c r="AO554" s="42"/>
      <c r="AP554" s="42">
        <f>Table43[[#This Row],[Harga Jual Pcs GT
(-PPN)]]*Table43[[#This Row],[ISI/CTN]]</f>
        <v>0</v>
      </c>
      <c r="AQ554" s="42">
        <f>Table43[[#This Row],[Harga Jual Pcs GT
(-PPN)]]*1.11</f>
        <v>0</v>
      </c>
      <c r="AR554" s="42">
        <f>Table43[[#This Row],[Harga Jual Krt GT
(- PPN)]]*1.11</f>
        <v>0</v>
      </c>
      <c r="AS554" s="42">
        <f>Table43[[#This Row],[Harga Jual Pcs GT
(-PPN)]]</f>
        <v>0</v>
      </c>
      <c r="AT554" s="42">
        <f>(Table43[[#This Row],[Harga Jual Pcs MT
(-PPN)]]*Table43[[#This Row],[ISI/CTN]])</f>
        <v>0</v>
      </c>
      <c r="AU554" s="42">
        <f>Table43[[#This Row],[Harga Jual Pcs MT
(-PPN)]]*1.11</f>
        <v>0</v>
      </c>
      <c r="AV554" s="42">
        <f>Table43[[#This Row],[Harga Jual Pcs MT
(+PPN)]]*Table43[[#This Row],[ISI/CTN]]</f>
        <v>0</v>
      </c>
      <c r="AW554" s="47"/>
      <c r="AX554" s="7"/>
      <c r="AY554" s="7" t="str">
        <f ca="1">IF(TODAY()-Table43[[#This Row],[Efektif
Pembuatan]]&gt;60,"Lama","Baru")</f>
        <v>Lama</v>
      </c>
      <c r="AZ554" s="7" t="str">
        <f ca="1">IF(TODAY()-Table43[[#This Row],[Efektif Naik Harga]]&lt;30,"Naik","Sama")</f>
        <v>Sama</v>
      </c>
      <c r="BA554" s="7" t="str">
        <f>IF(Table43[[#This Row],[Kode BARANG Win2]]&lt;&gt;"","IDR","")</f>
        <v>IDR</v>
      </c>
      <c r="BB554" s="7" t="str">
        <f>CONCATENATE(Table43[[#This Row],[kode  1 Digit
(Nomor)]],Table43[[#This Row],[kode  4 Digit                (Nomor)]])</f>
        <v>10500</v>
      </c>
      <c r="BC554" s="7" t="str">
        <f>Table43[[#This Row],[Nama            Gramasi atau Jumlah Pack per CTN]]</f>
        <v>500ML</v>
      </c>
      <c r="BD554" s="7"/>
      <c r="BE554" s="7"/>
      <c r="BF554" s="4" t="str">
        <f>IF(Table43[[#This Row],[SATUAN Fix Win]]&lt;&gt;"","KRT")</f>
        <v>KRT</v>
      </c>
      <c r="BG554" s="4" t="str">
        <f>IF(Table43[[#This Row],[SATUAN Fix Win]]&lt;&gt;"","GD01")</f>
        <v>GD01</v>
      </c>
      <c r="BH554" s="4">
        <f>IF(Table43[[#This Row],[SATUAN Fix Win]]&lt;&gt;"",11611)</f>
        <v>11611</v>
      </c>
      <c r="BI554" s="4">
        <f>IF(Table43[[#This Row],[SATUAN Fix Win]]&lt;&gt;"",11612)</f>
        <v>11612</v>
      </c>
      <c r="BJ554" s="48"/>
      <c r="BK554" s="4">
        <f>IF(Table43[[#This Row],[SATUAN Fix Win]]&lt;&gt;"",1)</f>
        <v>1</v>
      </c>
    </row>
    <row r="555" spans="1:63">
      <c r="A555" s="4" t="str">
        <f>CONCATENATE(Table43[[#This Row],[Kode BARANG Win2]],Table43[[#This Row],[No. Urut
Item Sama]])</f>
        <v>K14340030500101</v>
      </c>
      <c r="B555" s="7">
        <v>1</v>
      </c>
      <c r="D555" s="28" t="s">
        <v>550</v>
      </c>
      <c r="E555" s="28"/>
      <c r="F555" s="28" t="s">
        <v>3454</v>
      </c>
      <c r="G555" s="78">
        <v>12</v>
      </c>
      <c r="H555" s="43"/>
      <c r="I555" s="28" t="str">
        <f>Table43[[#This Row],[Nama Jenis Kemasan]]</f>
        <v>BTL</v>
      </c>
      <c r="J555" s="4" t="str">
        <f>TRIM(CONCATENATE(Table43[[#This Row],[Nama            KLP]]," ",Table43[[#This Row],[Nama            Sub KLP]]))</f>
        <v>SAMANTHA POP</v>
      </c>
      <c r="K555" s="4" t="str">
        <f>CONCATENATE(Table43[[#This Row],[kode  2 Digit                (hrf+No)]],Table43[[#This Row],[kode  2 Digit                (Nomor)]],Table43[[#This Row],[kode  1 Digit                (Nomor)]])</f>
        <v>K1434</v>
      </c>
      <c r="L555" s="4" t="str">
        <f t="shared" si="27"/>
        <v>K1434003050010</v>
      </c>
      <c r="M555" s="11">
        <f t="shared" si="28"/>
        <v>14</v>
      </c>
      <c r="N555" s="14" t="str">
        <f>IF(AF555&lt;&gt;"",TRIM(UPPER(CONCATENATE(P555," ",R555," ",T555," ",V555," ",X555," ",Z555," ","X"," ",Table43[[#This Row],[ISI/CTN]]," ",AF555," ",AB555," ",AD555," ",AH555))),TRIM(UPPER(CONCATENATE(P555," ",R555," ",T555," ",V555," ",X555," ",Z555," ","X"," ",Table43[[#This Row],[ISI/CTN]]," ",AB555," ",AD555," ",AH555))))</f>
        <v>KNF SAMANTHA POP S.GEL SENYUM DOI 500ML X 12 BTL</v>
      </c>
      <c r="O555" s="11">
        <f t="shared" si="29"/>
        <v>48</v>
      </c>
      <c r="P555" s="4" t="s">
        <v>97</v>
      </c>
      <c r="Q555" s="7" t="s">
        <v>98</v>
      </c>
      <c r="R555" s="4" t="s">
        <v>3965</v>
      </c>
      <c r="S555" s="44" t="s">
        <v>3966</v>
      </c>
      <c r="T555" s="45" t="s">
        <v>2961</v>
      </c>
      <c r="U555" s="7" t="s">
        <v>3593</v>
      </c>
      <c r="V555" s="45" t="s">
        <v>2961</v>
      </c>
      <c r="W555" s="44" t="s">
        <v>2900</v>
      </c>
      <c r="X555" s="4" t="s">
        <v>3976</v>
      </c>
      <c r="Y555" s="46" t="s">
        <v>2473</v>
      </c>
      <c r="Z555" s="4" t="s">
        <v>3771</v>
      </c>
      <c r="AA555" s="46" t="s">
        <v>2503</v>
      </c>
      <c r="AB555" s="4" t="s">
        <v>357</v>
      </c>
      <c r="AC555" s="7" t="s">
        <v>2656</v>
      </c>
      <c r="AD555" s="4" t="s">
        <v>2961</v>
      </c>
      <c r="AE555" s="7" t="s">
        <v>2900</v>
      </c>
      <c r="AF555" s="7" t="s">
        <v>2961</v>
      </c>
      <c r="AG555" s="7" t="s">
        <v>2961</v>
      </c>
      <c r="AI555" s="7" t="s">
        <v>4100</v>
      </c>
      <c r="AJ555" s="7" t="s">
        <v>2656</v>
      </c>
      <c r="AK555" s="41">
        <f>Table43[[#This Row],[Harga Jual Pcs GT
(-PPN)]]-(Table43[[#This Row],[Harga Jual Pcs GT
(-PPN)]]*10%)</f>
        <v>0</v>
      </c>
      <c r="AL555" s="42">
        <f>Table43[[#This Row],[Harga Beli Pcs
(-PPN)]]*Table43[[#This Row],[ISI/CTN]]</f>
        <v>0</v>
      </c>
      <c r="AM555" s="42">
        <f>Table43[[#This Row],[Harga Beli Pcs
(-PPN)]]*1.11</f>
        <v>0</v>
      </c>
      <c r="AN555" s="42">
        <f>Table43[[#This Row],[Harga Beli Krt
(- PPN)]]*1.11</f>
        <v>0</v>
      </c>
      <c r="AO555" s="42"/>
      <c r="AP555" s="42">
        <f>Table43[[#This Row],[Harga Jual Pcs GT
(-PPN)]]*Table43[[#This Row],[ISI/CTN]]</f>
        <v>0</v>
      </c>
      <c r="AQ555" s="42">
        <f>Table43[[#This Row],[Harga Jual Pcs GT
(-PPN)]]*1.11</f>
        <v>0</v>
      </c>
      <c r="AR555" s="42">
        <f>Table43[[#This Row],[Harga Jual Krt GT
(- PPN)]]*1.11</f>
        <v>0</v>
      </c>
      <c r="AS555" s="42">
        <f>Table43[[#This Row],[Harga Jual Pcs GT
(-PPN)]]</f>
        <v>0</v>
      </c>
      <c r="AT555" s="42">
        <f>(Table43[[#This Row],[Harga Jual Pcs MT
(-PPN)]]*Table43[[#This Row],[ISI/CTN]])</f>
        <v>0</v>
      </c>
      <c r="AU555" s="42">
        <f>Table43[[#This Row],[Harga Jual Pcs MT
(-PPN)]]*1.11</f>
        <v>0</v>
      </c>
      <c r="AV555" s="42">
        <f>Table43[[#This Row],[Harga Jual Pcs MT
(+PPN)]]*Table43[[#This Row],[ISI/CTN]]</f>
        <v>0</v>
      </c>
      <c r="AW555" s="47"/>
      <c r="AX555" s="7"/>
      <c r="AY555" s="7" t="str">
        <f ca="1">IF(TODAY()-Table43[[#This Row],[Efektif
Pembuatan]]&gt;60,"Lama","Baru")</f>
        <v>Lama</v>
      </c>
      <c r="AZ555" s="7" t="str">
        <f ca="1">IF(TODAY()-Table43[[#This Row],[Efektif Naik Harga]]&lt;30,"Naik","Sama")</f>
        <v>Sama</v>
      </c>
      <c r="BA555" s="7" t="str">
        <f>IF(Table43[[#This Row],[Kode BARANG Win2]]&lt;&gt;"","IDR","")</f>
        <v>IDR</v>
      </c>
      <c r="BB555" s="7" t="str">
        <f>CONCATENATE(Table43[[#This Row],[kode  1 Digit
(Nomor)]],Table43[[#This Row],[kode  4 Digit                (Nomor)]])</f>
        <v>10500</v>
      </c>
      <c r="BC555" s="7" t="str">
        <f>Table43[[#This Row],[Nama            Gramasi atau Jumlah Pack per CTN]]</f>
        <v>500ML</v>
      </c>
      <c r="BD555" s="7"/>
      <c r="BE555" s="7"/>
      <c r="BF555" s="4" t="str">
        <f>IF(Table43[[#This Row],[SATUAN Fix Win]]&lt;&gt;"","KRT")</f>
        <v>KRT</v>
      </c>
      <c r="BG555" s="4" t="str">
        <f>IF(Table43[[#This Row],[SATUAN Fix Win]]&lt;&gt;"","GD01")</f>
        <v>GD01</v>
      </c>
      <c r="BH555" s="4">
        <f>IF(Table43[[#This Row],[SATUAN Fix Win]]&lt;&gt;"",11611)</f>
        <v>11611</v>
      </c>
      <c r="BI555" s="4">
        <f>IF(Table43[[#This Row],[SATUAN Fix Win]]&lt;&gt;"",11612)</f>
        <v>11612</v>
      </c>
      <c r="BJ555" s="48"/>
      <c r="BK555" s="4">
        <f>IF(Table43[[#This Row],[SATUAN Fix Win]]&lt;&gt;"",1)</f>
        <v>1</v>
      </c>
    </row>
    <row r="556" spans="1:63">
      <c r="A556" s="4" t="str">
        <f>CONCATENATE(Table43[[#This Row],[Kode BARANG Win2]],Table43[[#This Row],[No. Urut
Item Sama]])</f>
        <v>K14350010125101</v>
      </c>
      <c r="B556" s="7">
        <v>1</v>
      </c>
      <c r="D556" s="28" t="s">
        <v>536</v>
      </c>
      <c r="E556" s="28"/>
      <c r="F556" s="28" t="s">
        <v>3316</v>
      </c>
      <c r="G556" s="78">
        <v>36</v>
      </c>
      <c r="H556" s="43"/>
      <c r="I556" s="28" t="str">
        <f>Table43[[#This Row],[Nama Jenis Kemasan]]</f>
        <v>BTL</v>
      </c>
      <c r="J556" s="4" t="str">
        <f>TRIM(CONCATENATE(Table43[[#This Row],[Nama            KLP]]," ",Table43[[#This Row],[Nama            Sub KLP]]))</f>
        <v>SAMANTHA POP SPLASH</v>
      </c>
      <c r="K556" s="4" t="str">
        <f>CONCATENATE(Table43[[#This Row],[kode  2 Digit                (hrf+No)]],Table43[[#This Row],[kode  2 Digit                (Nomor)]],Table43[[#This Row],[kode  1 Digit                (Nomor)]])</f>
        <v>K1435</v>
      </c>
      <c r="L556" s="4" t="str">
        <f t="shared" si="27"/>
        <v>K1435001012510</v>
      </c>
      <c r="M556" s="11">
        <f t="shared" si="28"/>
        <v>14</v>
      </c>
      <c r="N556" s="14" t="str">
        <f>IF(AF556&lt;&gt;"",TRIM(UPPER(CONCATENATE(P556," ",R556," ",T556," ",V556," ",X556," ",Z556," ","X"," ",Table43[[#This Row],[ISI/CTN]]," ",AF556," ",AB556," ",AD556," ",AH556))),TRIM(UPPER(CONCATENATE(P556," ",R556," ",T556," ",V556," ",X556," ",Z556," ","X"," ",Table43[[#This Row],[ISI/CTN]]," ",AB556," ",AD556," ",AH556))))</f>
        <v>KNF SAMANTHA POP SPLASH BIKIN BAPER 125ML X 36 BTL</v>
      </c>
      <c r="O556" s="11">
        <f t="shared" si="29"/>
        <v>50</v>
      </c>
      <c r="P556" s="4" t="s">
        <v>97</v>
      </c>
      <c r="Q556" s="7" t="s">
        <v>98</v>
      </c>
      <c r="R556" s="4" t="s">
        <v>3965</v>
      </c>
      <c r="S556" s="44" t="s">
        <v>3966</v>
      </c>
      <c r="T556" s="45" t="s">
        <v>3788</v>
      </c>
      <c r="U556" s="7" t="s">
        <v>3597</v>
      </c>
      <c r="V556" s="45" t="s">
        <v>2961</v>
      </c>
      <c r="W556" s="44" t="s">
        <v>2900</v>
      </c>
      <c r="X556" s="4" t="s">
        <v>3968</v>
      </c>
      <c r="Y556" s="46" t="s">
        <v>0</v>
      </c>
      <c r="Z556" s="4" t="s">
        <v>3620</v>
      </c>
      <c r="AA556" s="46" t="s">
        <v>2489</v>
      </c>
      <c r="AB556" s="4" t="s">
        <v>357</v>
      </c>
      <c r="AC556" s="7" t="s">
        <v>2656</v>
      </c>
      <c r="AD556" s="4" t="s">
        <v>2961</v>
      </c>
      <c r="AE556" s="7" t="s">
        <v>2900</v>
      </c>
      <c r="AF556" s="7" t="s">
        <v>2961</v>
      </c>
      <c r="AG556" s="7" t="s">
        <v>2961</v>
      </c>
      <c r="AI556" s="7" t="s">
        <v>4100</v>
      </c>
      <c r="AJ556" s="7" t="s">
        <v>2656</v>
      </c>
      <c r="AK556" s="41">
        <f>Table43[[#This Row],[Harga Jual Pcs GT
(-PPN)]]-(Table43[[#This Row],[Harga Jual Pcs GT
(-PPN)]]*10%)</f>
        <v>0</v>
      </c>
      <c r="AL556" s="42">
        <f>Table43[[#This Row],[Harga Beli Pcs
(-PPN)]]*Table43[[#This Row],[ISI/CTN]]</f>
        <v>0</v>
      </c>
      <c r="AM556" s="42">
        <f>Table43[[#This Row],[Harga Beli Pcs
(-PPN)]]*1.11</f>
        <v>0</v>
      </c>
      <c r="AN556" s="42">
        <f>Table43[[#This Row],[Harga Beli Krt
(- PPN)]]*1.11</f>
        <v>0</v>
      </c>
      <c r="AO556" s="42"/>
      <c r="AP556" s="42">
        <f>Table43[[#This Row],[Harga Jual Pcs GT
(-PPN)]]*Table43[[#This Row],[ISI/CTN]]</f>
        <v>0</v>
      </c>
      <c r="AQ556" s="42">
        <f>Table43[[#This Row],[Harga Jual Pcs GT
(-PPN)]]*1.11</f>
        <v>0</v>
      </c>
      <c r="AR556" s="42">
        <f>Table43[[#This Row],[Harga Jual Krt GT
(- PPN)]]*1.11</f>
        <v>0</v>
      </c>
      <c r="AS556" s="42">
        <f>Table43[[#This Row],[Harga Jual Pcs GT
(-PPN)]]</f>
        <v>0</v>
      </c>
      <c r="AT556" s="42">
        <f>(Table43[[#This Row],[Harga Jual Pcs MT
(-PPN)]]*Table43[[#This Row],[ISI/CTN]])</f>
        <v>0</v>
      </c>
      <c r="AU556" s="42">
        <f>Table43[[#This Row],[Harga Jual Pcs MT
(-PPN)]]*1.11</f>
        <v>0</v>
      </c>
      <c r="AV556" s="42">
        <f>Table43[[#This Row],[Harga Jual Pcs MT
(+PPN)]]*Table43[[#This Row],[ISI/CTN]]</f>
        <v>0</v>
      </c>
      <c r="AW556" s="47"/>
      <c r="AX556" s="7"/>
      <c r="AY556" s="7" t="str">
        <f ca="1">IF(TODAY()-Table43[[#This Row],[Efektif
Pembuatan]]&gt;60,"Lama","Baru")</f>
        <v>Lama</v>
      </c>
      <c r="AZ556" s="7" t="str">
        <f ca="1">IF(TODAY()-Table43[[#This Row],[Efektif Naik Harga]]&lt;30,"Naik","Sama")</f>
        <v>Sama</v>
      </c>
      <c r="BA556" s="7" t="str">
        <f>IF(Table43[[#This Row],[Kode BARANG Win2]]&lt;&gt;"","IDR","")</f>
        <v>IDR</v>
      </c>
      <c r="BB556" s="7" t="str">
        <f>CONCATENATE(Table43[[#This Row],[kode  1 Digit
(Nomor)]],Table43[[#This Row],[kode  4 Digit                (Nomor)]])</f>
        <v>10125</v>
      </c>
      <c r="BC556" s="7" t="str">
        <f>Table43[[#This Row],[Nama            Gramasi atau Jumlah Pack per CTN]]</f>
        <v>125ML</v>
      </c>
      <c r="BD556" s="7"/>
      <c r="BE556" s="7"/>
      <c r="BF556" s="4" t="str">
        <f>IF(Table43[[#This Row],[SATUAN Fix Win]]&lt;&gt;"","KRT")</f>
        <v>KRT</v>
      </c>
      <c r="BG556" s="4" t="str">
        <f>IF(Table43[[#This Row],[SATUAN Fix Win]]&lt;&gt;"","GD01")</f>
        <v>GD01</v>
      </c>
      <c r="BH556" s="4">
        <f>IF(Table43[[#This Row],[SATUAN Fix Win]]&lt;&gt;"",11611)</f>
        <v>11611</v>
      </c>
      <c r="BI556" s="4">
        <f>IF(Table43[[#This Row],[SATUAN Fix Win]]&lt;&gt;"",11612)</f>
        <v>11612</v>
      </c>
      <c r="BJ556" s="48"/>
      <c r="BK556" s="4">
        <f>IF(Table43[[#This Row],[SATUAN Fix Win]]&lt;&gt;"",1)</f>
        <v>1</v>
      </c>
    </row>
    <row r="557" spans="1:63">
      <c r="A557" s="4" t="str">
        <f>CONCATENATE(Table43[[#This Row],[Kode BARANG Win2]],Table43[[#This Row],[No. Urut
Item Sama]])</f>
        <v>K14350020125101</v>
      </c>
      <c r="B557" s="7">
        <v>1</v>
      </c>
      <c r="D557" s="28" t="s">
        <v>543</v>
      </c>
      <c r="E557" s="28"/>
      <c r="F557" s="28" t="s">
        <v>3317</v>
      </c>
      <c r="G557" s="78">
        <v>36</v>
      </c>
      <c r="H557" s="43"/>
      <c r="I557" s="28" t="str">
        <f>Table43[[#This Row],[Nama Jenis Kemasan]]</f>
        <v>BTL</v>
      </c>
      <c r="J557" s="4" t="str">
        <f>TRIM(CONCATENATE(Table43[[#This Row],[Nama            KLP]]," ",Table43[[#This Row],[Nama            Sub KLP]]))</f>
        <v>SAMANTHA POP SPLASH</v>
      </c>
      <c r="K557" s="4" t="str">
        <f>CONCATENATE(Table43[[#This Row],[kode  2 Digit                (hrf+No)]],Table43[[#This Row],[kode  2 Digit                (Nomor)]],Table43[[#This Row],[kode  1 Digit                (Nomor)]])</f>
        <v>K1435</v>
      </c>
      <c r="L557" s="4" t="str">
        <f t="shared" si="27"/>
        <v>K1435002012510</v>
      </c>
      <c r="M557" s="11">
        <f t="shared" si="28"/>
        <v>14</v>
      </c>
      <c r="N557" s="14" t="str">
        <f>IF(AF557&lt;&gt;"",TRIM(UPPER(CONCATENATE(P557," ",R557," ",T557," ",V557," ",X557," ",Z557," ","X"," ",Table43[[#This Row],[ISI/CTN]]," ",AF557," ",AB557," ",AD557," ",AH557))),TRIM(UPPER(CONCATENATE(P557," ",R557," ",T557," ",V557," ",X557," ",Z557," ","X"," ",Table43[[#This Row],[ISI/CTN]]," ",AB557," ",AD557," ",AH557))))</f>
        <v>KNF SAMANTHA POP SPLASH JANJI MANIS 125ML X 36 BTL</v>
      </c>
      <c r="O557" s="11">
        <f t="shared" si="29"/>
        <v>50</v>
      </c>
      <c r="P557" s="4" t="s">
        <v>97</v>
      </c>
      <c r="Q557" s="7" t="s">
        <v>98</v>
      </c>
      <c r="R557" s="4" t="s">
        <v>3965</v>
      </c>
      <c r="S557" s="44" t="s">
        <v>3966</v>
      </c>
      <c r="T557" s="45" t="s">
        <v>3788</v>
      </c>
      <c r="U557" s="7" t="s">
        <v>3597</v>
      </c>
      <c r="V557" s="45" t="s">
        <v>2961</v>
      </c>
      <c r="W557" s="44" t="s">
        <v>2900</v>
      </c>
      <c r="X557" s="4" t="s">
        <v>3969</v>
      </c>
      <c r="Y557" s="46" t="s">
        <v>2472</v>
      </c>
      <c r="Z557" s="4" t="s">
        <v>3620</v>
      </c>
      <c r="AA557" s="46" t="s">
        <v>2489</v>
      </c>
      <c r="AB557" s="4" t="s">
        <v>357</v>
      </c>
      <c r="AC557" s="7" t="s">
        <v>2656</v>
      </c>
      <c r="AD557" s="4" t="s">
        <v>2961</v>
      </c>
      <c r="AE557" s="7" t="s">
        <v>2900</v>
      </c>
      <c r="AF557" s="7" t="s">
        <v>2961</v>
      </c>
      <c r="AG557" s="7" t="s">
        <v>2961</v>
      </c>
      <c r="AI557" s="7" t="s">
        <v>4100</v>
      </c>
      <c r="AJ557" s="7" t="s">
        <v>2656</v>
      </c>
      <c r="AK557" s="41">
        <f>Table43[[#This Row],[Harga Jual Pcs GT
(-PPN)]]-(Table43[[#This Row],[Harga Jual Pcs GT
(-PPN)]]*10%)</f>
        <v>0</v>
      </c>
      <c r="AL557" s="42">
        <f>Table43[[#This Row],[Harga Beli Pcs
(-PPN)]]*Table43[[#This Row],[ISI/CTN]]</f>
        <v>0</v>
      </c>
      <c r="AM557" s="42">
        <f>Table43[[#This Row],[Harga Beli Pcs
(-PPN)]]*1.11</f>
        <v>0</v>
      </c>
      <c r="AN557" s="42">
        <f>Table43[[#This Row],[Harga Beli Krt
(- PPN)]]*1.11</f>
        <v>0</v>
      </c>
      <c r="AO557" s="42"/>
      <c r="AP557" s="42">
        <f>Table43[[#This Row],[Harga Jual Pcs GT
(-PPN)]]*Table43[[#This Row],[ISI/CTN]]</f>
        <v>0</v>
      </c>
      <c r="AQ557" s="42">
        <f>Table43[[#This Row],[Harga Jual Pcs GT
(-PPN)]]*1.11</f>
        <v>0</v>
      </c>
      <c r="AR557" s="42">
        <f>Table43[[#This Row],[Harga Jual Krt GT
(- PPN)]]*1.11</f>
        <v>0</v>
      </c>
      <c r="AS557" s="42">
        <f>Table43[[#This Row],[Harga Jual Pcs GT
(-PPN)]]</f>
        <v>0</v>
      </c>
      <c r="AT557" s="42">
        <f>(Table43[[#This Row],[Harga Jual Pcs MT
(-PPN)]]*Table43[[#This Row],[ISI/CTN]])</f>
        <v>0</v>
      </c>
      <c r="AU557" s="42">
        <f>Table43[[#This Row],[Harga Jual Pcs MT
(-PPN)]]*1.11</f>
        <v>0</v>
      </c>
      <c r="AV557" s="42">
        <f>Table43[[#This Row],[Harga Jual Pcs MT
(+PPN)]]*Table43[[#This Row],[ISI/CTN]]</f>
        <v>0</v>
      </c>
      <c r="AW557" s="47"/>
      <c r="AX557" s="7"/>
      <c r="AY557" s="7" t="str">
        <f ca="1">IF(TODAY()-Table43[[#This Row],[Efektif
Pembuatan]]&gt;60,"Lama","Baru")</f>
        <v>Lama</v>
      </c>
      <c r="AZ557" s="7" t="str">
        <f ca="1">IF(TODAY()-Table43[[#This Row],[Efektif Naik Harga]]&lt;30,"Naik","Sama")</f>
        <v>Sama</v>
      </c>
      <c r="BA557" s="7" t="str">
        <f>IF(Table43[[#This Row],[Kode BARANG Win2]]&lt;&gt;"","IDR","")</f>
        <v>IDR</v>
      </c>
      <c r="BB557" s="7" t="str">
        <f>CONCATENATE(Table43[[#This Row],[kode  1 Digit
(Nomor)]],Table43[[#This Row],[kode  4 Digit                (Nomor)]])</f>
        <v>10125</v>
      </c>
      <c r="BC557" s="7" t="str">
        <f>Table43[[#This Row],[Nama            Gramasi atau Jumlah Pack per CTN]]</f>
        <v>125ML</v>
      </c>
      <c r="BD557" s="7"/>
      <c r="BE557" s="7"/>
      <c r="BF557" s="4" t="str">
        <f>IF(Table43[[#This Row],[SATUAN Fix Win]]&lt;&gt;"","KRT")</f>
        <v>KRT</v>
      </c>
      <c r="BG557" s="4" t="str">
        <f>IF(Table43[[#This Row],[SATUAN Fix Win]]&lt;&gt;"","GD01")</f>
        <v>GD01</v>
      </c>
      <c r="BH557" s="4">
        <f>IF(Table43[[#This Row],[SATUAN Fix Win]]&lt;&gt;"",11611)</f>
        <v>11611</v>
      </c>
      <c r="BI557" s="4">
        <f>IF(Table43[[#This Row],[SATUAN Fix Win]]&lt;&gt;"",11612)</f>
        <v>11612</v>
      </c>
      <c r="BJ557" s="48"/>
      <c r="BK557" s="4">
        <f>IF(Table43[[#This Row],[SATUAN Fix Win]]&lt;&gt;"",1)</f>
        <v>1</v>
      </c>
    </row>
    <row r="558" spans="1:63">
      <c r="A558" s="4" t="str">
        <f>CONCATENATE(Table43[[#This Row],[Kode BARANG Win2]],Table43[[#This Row],[No. Urut
Item Sama]])</f>
        <v>K14350030125101</v>
      </c>
      <c r="B558" s="7">
        <v>1</v>
      </c>
      <c r="D558" s="28" t="s">
        <v>548</v>
      </c>
      <c r="E558" s="28"/>
      <c r="F558" s="28" t="s">
        <v>3318</v>
      </c>
      <c r="G558" s="78">
        <v>36</v>
      </c>
      <c r="H558" s="43"/>
      <c r="I558" s="28" t="str">
        <f>Table43[[#This Row],[Nama Jenis Kemasan]]</f>
        <v>BTL</v>
      </c>
      <c r="J558" s="4" t="str">
        <f>TRIM(CONCATENATE(Table43[[#This Row],[Nama            KLP]]," ",Table43[[#This Row],[Nama            Sub KLP]]))</f>
        <v>SAMANTHA POP SPLASH</v>
      </c>
      <c r="K558" s="4" t="str">
        <f>CONCATENATE(Table43[[#This Row],[kode  2 Digit                (hrf+No)]],Table43[[#This Row],[kode  2 Digit                (Nomor)]],Table43[[#This Row],[kode  1 Digit                (Nomor)]])</f>
        <v>K1435</v>
      </c>
      <c r="L558" s="4" t="str">
        <f t="shared" si="27"/>
        <v>K1435003012510</v>
      </c>
      <c r="M558" s="11">
        <f t="shared" si="28"/>
        <v>14</v>
      </c>
      <c r="N558" s="14" t="str">
        <f>IF(AF558&lt;&gt;"",TRIM(UPPER(CONCATENATE(P558," ",R558," ",T558," ",V558," ",X558," ",Z558," ","X"," ",Table43[[#This Row],[ISI/CTN]]," ",AF558," ",AB558," ",AD558," ",AH558))),TRIM(UPPER(CONCATENATE(P558," ",R558," ",T558," ",V558," ",X558," ",Z558," ","X"," ",Table43[[#This Row],[ISI/CTN]]," ",AB558," ",AD558," ",AH558))))</f>
        <v>KNF SAMANTHA POP SPLASH SENYUM DOI 125ML X 36 BTL</v>
      </c>
      <c r="O558" s="11">
        <f t="shared" si="29"/>
        <v>49</v>
      </c>
      <c r="P558" s="4" t="s">
        <v>97</v>
      </c>
      <c r="Q558" s="7" t="s">
        <v>98</v>
      </c>
      <c r="R558" s="4" t="s">
        <v>3965</v>
      </c>
      <c r="S558" s="44" t="s">
        <v>3966</v>
      </c>
      <c r="T558" s="45" t="s">
        <v>3788</v>
      </c>
      <c r="U558" s="7" t="s">
        <v>3597</v>
      </c>
      <c r="V558" s="45" t="s">
        <v>2961</v>
      </c>
      <c r="W558" s="44" t="s">
        <v>2900</v>
      </c>
      <c r="X558" s="4" t="s">
        <v>3970</v>
      </c>
      <c r="Y558" s="46" t="s">
        <v>2473</v>
      </c>
      <c r="Z558" s="4" t="s">
        <v>3620</v>
      </c>
      <c r="AA558" s="46" t="s">
        <v>2489</v>
      </c>
      <c r="AB558" s="4" t="s">
        <v>357</v>
      </c>
      <c r="AC558" s="7" t="s">
        <v>2656</v>
      </c>
      <c r="AD558" s="4" t="s">
        <v>2961</v>
      </c>
      <c r="AE558" s="7" t="s">
        <v>2900</v>
      </c>
      <c r="AF558" s="7" t="s">
        <v>2961</v>
      </c>
      <c r="AG558" s="7" t="s">
        <v>2961</v>
      </c>
      <c r="AI558" s="7" t="s">
        <v>4100</v>
      </c>
      <c r="AJ558" s="7" t="s">
        <v>2656</v>
      </c>
      <c r="AK558" s="41">
        <f>Table43[[#This Row],[Harga Jual Pcs GT
(-PPN)]]-(Table43[[#This Row],[Harga Jual Pcs GT
(-PPN)]]*10%)</f>
        <v>0</v>
      </c>
      <c r="AL558" s="42">
        <f>Table43[[#This Row],[Harga Beli Pcs
(-PPN)]]*Table43[[#This Row],[ISI/CTN]]</f>
        <v>0</v>
      </c>
      <c r="AM558" s="42">
        <f>Table43[[#This Row],[Harga Beli Pcs
(-PPN)]]*1.11</f>
        <v>0</v>
      </c>
      <c r="AN558" s="42">
        <f>Table43[[#This Row],[Harga Beli Krt
(- PPN)]]*1.11</f>
        <v>0</v>
      </c>
      <c r="AO558" s="42"/>
      <c r="AP558" s="42">
        <f>Table43[[#This Row],[Harga Jual Pcs GT
(-PPN)]]*Table43[[#This Row],[ISI/CTN]]</f>
        <v>0</v>
      </c>
      <c r="AQ558" s="42">
        <f>Table43[[#This Row],[Harga Jual Pcs GT
(-PPN)]]*1.11</f>
        <v>0</v>
      </c>
      <c r="AR558" s="42">
        <f>Table43[[#This Row],[Harga Jual Krt GT
(- PPN)]]*1.11</f>
        <v>0</v>
      </c>
      <c r="AS558" s="42">
        <f>Table43[[#This Row],[Harga Jual Pcs GT
(-PPN)]]</f>
        <v>0</v>
      </c>
      <c r="AT558" s="42">
        <f>(Table43[[#This Row],[Harga Jual Pcs MT
(-PPN)]]*Table43[[#This Row],[ISI/CTN]])</f>
        <v>0</v>
      </c>
      <c r="AU558" s="42">
        <f>Table43[[#This Row],[Harga Jual Pcs MT
(-PPN)]]*1.11</f>
        <v>0</v>
      </c>
      <c r="AV558" s="42">
        <f>Table43[[#This Row],[Harga Jual Pcs MT
(+PPN)]]*Table43[[#This Row],[ISI/CTN]]</f>
        <v>0</v>
      </c>
      <c r="AW558" s="47"/>
      <c r="AX558" s="7"/>
      <c r="AY558" s="7" t="str">
        <f ca="1">IF(TODAY()-Table43[[#This Row],[Efektif
Pembuatan]]&gt;60,"Lama","Baru")</f>
        <v>Lama</v>
      </c>
      <c r="AZ558" s="7" t="str">
        <f ca="1">IF(TODAY()-Table43[[#This Row],[Efektif Naik Harga]]&lt;30,"Naik","Sama")</f>
        <v>Sama</v>
      </c>
      <c r="BA558" s="7" t="str">
        <f>IF(Table43[[#This Row],[Kode BARANG Win2]]&lt;&gt;"","IDR","")</f>
        <v>IDR</v>
      </c>
      <c r="BB558" s="7" t="str">
        <f>CONCATENATE(Table43[[#This Row],[kode  1 Digit
(Nomor)]],Table43[[#This Row],[kode  4 Digit                (Nomor)]])</f>
        <v>10125</v>
      </c>
      <c r="BC558" s="7" t="str">
        <f>Table43[[#This Row],[Nama            Gramasi atau Jumlah Pack per CTN]]</f>
        <v>125ML</v>
      </c>
      <c r="BD558" s="7"/>
      <c r="BE558" s="7"/>
      <c r="BF558" s="4" t="str">
        <f>IF(Table43[[#This Row],[SATUAN Fix Win]]&lt;&gt;"","KRT")</f>
        <v>KRT</v>
      </c>
      <c r="BG558" s="4" t="str">
        <f>IF(Table43[[#This Row],[SATUAN Fix Win]]&lt;&gt;"","GD01")</f>
        <v>GD01</v>
      </c>
      <c r="BH558" s="4">
        <f>IF(Table43[[#This Row],[SATUAN Fix Win]]&lt;&gt;"",11611)</f>
        <v>11611</v>
      </c>
      <c r="BI558" s="4">
        <f>IF(Table43[[#This Row],[SATUAN Fix Win]]&lt;&gt;"",11612)</f>
        <v>11612</v>
      </c>
      <c r="BJ558" s="48"/>
      <c r="BK558" s="4">
        <f>IF(Table43[[#This Row],[SATUAN Fix Win]]&lt;&gt;"",1)</f>
        <v>1</v>
      </c>
    </row>
    <row r="559" spans="1:63">
      <c r="A559" s="4" t="str">
        <f>CONCATENATE(Table43[[#This Row],[Kode BARANG Win2]],Table43[[#This Row],[No. Urut
Item Sama]])</f>
        <v>K14360010105102</v>
      </c>
      <c r="B559" s="7">
        <v>2</v>
      </c>
      <c r="D559" s="28" t="s">
        <v>535</v>
      </c>
      <c r="E559" s="28"/>
      <c r="F559" s="28" t="s">
        <v>3319</v>
      </c>
      <c r="G559" s="78">
        <v>36</v>
      </c>
      <c r="H559" s="43"/>
      <c r="I559" s="28" t="str">
        <f>Table43[[#This Row],[Nama Jenis Kemasan]]</f>
        <v>BTL</v>
      </c>
      <c r="J559" s="4" t="str">
        <f>TRIM(CONCATENATE(Table43[[#This Row],[Nama            KLP]]," ",Table43[[#This Row],[Nama            Sub KLP]]))</f>
        <v>SAMANTHA POP SPRAY</v>
      </c>
      <c r="K559" s="4" t="str">
        <f>CONCATENATE(Table43[[#This Row],[kode  2 Digit                (hrf+No)]],Table43[[#This Row],[kode  2 Digit                (Nomor)]],Table43[[#This Row],[kode  1 Digit                (Nomor)]])</f>
        <v>K1436</v>
      </c>
      <c r="L559" s="4" t="str">
        <f t="shared" si="27"/>
        <v>K1436001010510</v>
      </c>
      <c r="M559" s="11">
        <f t="shared" si="28"/>
        <v>14</v>
      </c>
      <c r="N559" s="14" t="str">
        <f>IF(AF559&lt;&gt;"",TRIM(UPPER(CONCATENATE(P559," ",R559," ",T559," ",V559," ",X559," ",Z559," ","X"," ",Table43[[#This Row],[ISI/CTN]]," ",AF559," ",AB559," ",AD559," ",AH559))),TRIM(UPPER(CONCATENATE(P559," ",R559," ",T559," ",V559," ",X559," ",Z559," ","X"," ",Table43[[#This Row],[ISI/CTN]]," ",AB559," ",AD559," ",AH559))))</f>
        <v>KNF SAMANTHA POP SPRAY BIKIN BAPER 105ML X 36 BTL</v>
      </c>
      <c r="O559" s="11">
        <f t="shared" si="29"/>
        <v>49</v>
      </c>
      <c r="P559" s="4" t="s">
        <v>97</v>
      </c>
      <c r="Q559" s="7" t="s">
        <v>98</v>
      </c>
      <c r="R559" s="4" t="s">
        <v>3965</v>
      </c>
      <c r="S559" s="44" t="s">
        <v>3966</v>
      </c>
      <c r="T559" s="45" t="s">
        <v>3728</v>
      </c>
      <c r="U559" s="7" t="s">
        <v>3607</v>
      </c>
      <c r="V559" s="45" t="s">
        <v>2961</v>
      </c>
      <c r="W559" s="44" t="s">
        <v>2900</v>
      </c>
      <c r="X559" s="4" t="s">
        <v>3968</v>
      </c>
      <c r="Y559" s="46" t="s">
        <v>0</v>
      </c>
      <c r="Z559" s="4" t="s">
        <v>3731</v>
      </c>
      <c r="AA559" s="46" t="s">
        <v>2502</v>
      </c>
      <c r="AB559" s="4" t="s">
        <v>357</v>
      </c>
      <c r="AC559" s="7" t="s">
        <v>2656</v>
      </c>
      <c r="AD559" s="4" t="s">
        <v>2961</v>
      </c>
      <c r="AE559" s="7" t="s">
        <v>2900</v>
      </c>
      <c r="AF559" s="7" t="s">
        <v>2961</v>
      </c>
      <c r="AG559" s="7" t="s">
        <v>2961</v>
      </c>
      <c r="AI559" s="7" t="s">
        <v>4100</v>
      </c>
      <c r="AJ559" s="7" t="s">
        <v>2656</v>
      </c>
      <c r="AK559" s="41">
        <f>Table43[[#This Row],[Harga Jual Pcs GT
(-PPN)]]-(Table43[[#This Row],[Harga Jual Pcs GT
(-PPN)]]*10%)</f>
        <v>0</v>
      </c>
      <c r="AL559" s="42">
        <f>Table43[[#This Row],[Harga Beli Pcs
(-PPN)]]*Table43[[#This Row],[ISI/CTN]]</f>
        <v>0</v>
      </c>
      <c r="AM559" s="42">
        <f>Table43[[#This Row],[Harga Beli Pcs
(-PPN)]]*1.11</f>
        <v>0</v>
      </c>
      <c r="AN559" s="42">
        <f>Table43[[#This Row],[Harga Beli Krt
(- PPN)]]*1.11</f>
        <v>0</v>
      </c>
      <c r="AO559" s="42"/>
      <c r="AP559" s="42">
        <f>Table43[[#This Row],[Harga Jual Pcs GT
(-PPN)]]*Table43[[#This Row],[ISI/CTN]]</f>
        <v>0</v>
      </c>
      <c r="AQ559" s="42">
        <f>Table43[[#This Row],[Harga Jual Pcs GT
(-PPN)]]*1.11</f>
        <v>0</v>
      </c>
      <c r="AR559" s="42">
        <f>Table43[[#This Row],[Harga Jual Krt GT
(- PPN)]]*1.11</f>
        <v>0</v>
      </c>
      <c r="AS559" s="42">
        <f>Table43[[#This Row],[Harga Jual Pcs GT
(-PPN)]]</f>
        <v>0</v>
      </c>
      <c r="AT559" s="42">
        <f>(Table43[[#This Row],[Harga Jual Pcs MT
(-PPN)]]*Table43[[#This Row],[ISI/CTN]])</f>
        <v>0</v>
      </c>
      <c r="AU559" s="42">
        <f>Table43[[#This Row],[Harga Jual Pcs MT
(-PPN)]]*1.11</f>
        <v>0</v>
      </c>
      <c r="AV559" s="42">
        <f>Table43[[#This Row],[Harga Jual Pcs MT
(+PPN)]]*Table43[[#This Row],[ISI/CTN]]</f>
        <v>0</v>
      </c>
      <c r="AW559" s="47"/>
      <c r="AX559" s="7"/>
      <c r="AY559" s="7" t="str">
        <f ca="1">IF(TODAY()-Table43[[#This Row],[Efektif
Pembuatan]]&gt;60,"Lama","Baru")</f>
        <v>Lama</v>
      </c>
      <c r="AZ559" s="7" t="str">
        <f ca="1">IF(TODAY()-Table43[[#This Row],[Efektif Naik Harga]]&lt;30,"Naik","Sama")</f>
        <v>Sama</v>
      </c>
      <c r="BA559" s="7" t="str">
        <f>IF(Table43[[#This Row],[Kode BARANG Win2]]&lt;&gt;"","IDR","")</f>
        <v>IDR</v>
      </c>
      <c r="BB559" s="7" t="str">
        <f>CONCATENATE(Table43[[#This Row],[kode  1 Digit
(Nomor)]],Table43[[#This Row],[kode  4 Digit                (Nomor)]])</f>
        <v>10105</v>
      </c>
      <c r="BC559" s="7" t="str">
        <f>Table43[[#This Row],[Nama            Gramasi atau Jumlah Pack per CTN]]</f>
        <v>105ML</v>
      </c>
      <c r="BD559" s="7"/>
      <c r="BE559" s="7"/>
      <c r="BF559" s="4" t="str">
        <f>IF(Table43[[#This Row],[SATUAN Fix Win]]&lt;&gt;"","KRT")</f>
        <v>KRT</v>
      </c>
      <c r="BG559" s="4" t="str">
        <f>IF(Table43[[#This Row],[SATUAN Fix Win]]&lt;&gt;"","GD01")</f>
        <v>GD01</v>
      </c>
      <c r="BH559" s="4">
        <f>IF(Table43[[#This Row],[SATUAN Fix Win]]&lt;&gt;"",11611)</f>
        <v>11611</v>
      </c>
      <c r="BI559" s="4">
        <f>IF(Table43[[#This Row],[SATUAN Fix Win]]&lt;&gt;"",11612)</f>
        <v>11612</v>
      </c>
      <c r="BJ559" s="48"/>
      <c r="BK559" s="4">
        <f>IF(Table43[[#This Row],[SATUAN Fix Win]]&lt;&gt;"",1)</f>
        <v>1</v>
      </c>
    </row>
    <row r="560" spans="1:63">
      <c r="A560" s="4" t="str">
        <f>CONCATENATE(Table43[[#This Row],[Kode BARANG Win2]],Table43[[#This Row],[No. Urut
Item Sama]])</f>
        <v>K14360020105101</v>
      </c>
      <c r="B560" s="7">
        <v>1</v>
      </c>
      <c r="D560" s="28" t="s">
        <v>542</v>
      </c>
      <c r="E560" s="28"/>
      <c r="F560" s="28" t="s">
        <v>3320</v>
      </c>
      <c r="G560" s="78">
        <v>36</v>
      </c>
      <c r="H560" s="43"/>
      <c r="I560" s="28" t="str">
        <f>Table43[[#This Row],[Nama Jenis Kemasan]]</f>
        <v>BTL</v>
      </c>
      <c r="J560" s="4" t="str">
        <f>TRIM(CONCATENATE(Table43[[#This Row],[Nama            KLP]]," ",Table43[[#This Row],[Nama            Sub KLP]]))</f>
        <v>SAMANTHA POP SPRAY</v>
      </c>
      <c r="K560" s="4" t="str">
        <f>CONCATENATE(Table43[[#This Row],[kode  2 Digit                (hrf+No)]],Table43[[#This Row],[kode  2 Digit                (Nomor)]],Table43[[#This Row],[kode  1 Digit                (Nomor)]])</f>
        <v>K1436</v>
      </c>
      <c r="L560" s="4" t="str">
        <f t="shared" si="27"/>
        <v>K1436002010510</v>
      </c>
      <c r="M560" s="11">
        <f t="shared" si="28"/>
        <v>14</v>
      </c>
      <c r="N560" s="14" t="str">
        <f>IF(AF560&lt;&gt;"",TRIM(UPPER(CONCATENATE(P560," ",R560," ",T560," ",V560," ",X560," ",Z560," ","X"," ",Table43[[#This Row],[ISI/CTN]]," ",AF560," ",AB560," ",AD560," ",AH560))),TRIM(UPPER(CONCATENATE(P560," ",R560," ",T560," ",V560," ",X560," ",Z560," ","X"," ",Table43[[#This Row],[ISI/CTN]]," ",AB560," ",AD560," ",AH560))))</f>
        <v>KNF SAMANTHA POP SPRAY JANJI MANIS 105ML X 36 BTL</v>
      </c>
      <c r="O560" s="11">
        <f t="shared" si="29"/>
        <v>49</v>
      </c>
      <c r="P560" s="4" t="s">
        <v>97</v>
      </c>
      <c r="Q560" s="7" t="s">
        <v>98</v>
      </c>
      <c r="R560" s="4" t="s">
        <v>3965</v>
      </c>
      <c r="S560" s="44" t="s">
        <v>3966</v>
      </c>
      <c r="T560" s="45" t="s">
        <v>3728</v>
      </c>
      <c r="U560" s="7" t="s">
        <v>3607</v>
      </c>
      <c r="V560" s="45" t="s">
        <v>2961</v>
      </c>
      <c r="W560" s="44" t="s">
        <v>2900</v>
      </c>
      <c r="X560" s="4" t="s">
        <v>3969</v>
      </c>
      <c r="Y560" s="46" t="s">
        <v>2472</v>
      </c>
      <c r="Z560" s="4" t="s">
        <v>3731</v>
      </c>
      <c r="AA560" s="46" t="s">
        <v>2502</v>
      </c>
      <c r="AB560" s="4" t="s">
        <v>357</v>
      </c>
      <c r="AC560" s="7" t="s">
        <v>2656</v>
      </c>
      <c r="AD560" s="4" t="s">
        <v>2961</v>
      </c>
      <c r="AE560" s="7" t="s">
        <v>2900</v>
      </c>
      <c r="AF560" s="7" t="s">
        <v>2961</v>
      </c>
      <c r="AG560" s="7" t="s">
        <v>2961</v>
      </c>
      <c r="AI560" s="7" t="s">
        <v>4100</v>
      </c>
      <c r="AJ560" s="7" t="s">
        <v>2656</v>
      </c>
      <c r="AK560" s="41">
        <f>Table43[[#This Row],[Harga Jual Pcs GT
(-PPN)]]-(Table43[[#This Row],[Harga Jual Pcs GT
(-PPN)]]*10%)</f>
        <v>0</v>
      </c>
      <c r="AL560" s="42">
        <f>Table43[[#This Row],[Harga Beli Pcs
(-PPN)]]*Table43[[#This Row],[ISI/CTN]]</f>
        <v>0</v>
      </c>
      <c r="AM560" s="42">
        <f>Table43[[#This Row],[Harga Beli Pcs
(-PPN)]]*1.11</f>
        <v>0</v>
      </c>
      <c r="AN560" s="42">
        <f>Table43[[#This Row],[Harga Beli Krt
(- PPN)]]*1.11</f>
        <v>0</v>
      </c>
      <c r="AO560" s="42"/>
      <c r="AP560" s="42">
        <f>Table43[[#This Row],[Harga Jual Pcs GT
(-PPN)]]*Table43[[#This Row],[ISI/CTN]]</f>
        <v>0</v>
      </c>
      <c r="AQ560" s="42">
        <f>Table43[[#This Row],[Harga Jual Pcs GT
(-PPN)]]*1.11</f>
        <v>0</v>
      </c>
      <c r="AR560" s="42">
        <f>Table43[[#This Row],[Harga Jual Krt GT
(- PPN)]]*1.11</f>
        <v>0</v>
      </c>
      <c r="AS560" s="42">
        <f>Table43[[#This Row],[Harga Jual Pcs GT
(-PPN)]]</f>
        <v>0</v>
      </c>
      <c r="AT560" s="42">
        <f>(Table43[[#This Row],[Harga Jual Pcs MT
(-PPN)]]*Table43[[#This Row],[ISI/CTN]])</f>
        <v>0</v>
      </c>
      <c r="AU560" s="42">
        <f>Table43[[#This Row],[Harga Jual Pcs MT
(-PPN)]]*1.11</f>
        <v>0</v>
      </c>
      <c r="AV560" s="42">
        <f>Table43[[#This Row],[Harga Jual Pcs MT
(+PPN)]]*Table43[[#This Row],[ISI/CTN]]</f>
        <v>0</v>
      </c>
      <c r="AW560" s="47"/>
      <c r="AX560" s="7"/>
      <c r="AY560" s="7" t="str">
        <f ca="1">IF(TODAY()-Table43[[#This Row],[Efektif
Pembuatan]]&gt;60,"Lama","Baru")</f>
        <v>Lama</v>
      </c>
      <c r="AZ560" s="7" t="str">
        <f ca="1">IF(TODAY()-Table43[[#This Row],[Efektif Naik Harga]]&lt;30,"Naik","Sama")</f>
        <v>Sama</v>
      </c>
      <c r="BA560" s="7" t="str">
        <f>IF(Table43[[#This Row],[Kode BARANG Win2]]&lt;&gt;"","IDR","")</f>
        <v>IDR</v>
      </c>
      <c r="BB560" s="7" t="str">
        <f>CONCATENATE(Table43[[#This Row],[kode  1 Digit
(Nomor)]],Table43[[#This Row],[kode  4 Digit                (Nomor)]])</f>
        <v>10105</v>
      </c>
      <c r="BC560" s="7" t="str">
        <f>Table43[[#This Row],[Nama            Gramasi atau Jumlah Pack per CTN]]</f>
        <v>105ML</v>
      </c>
      <c r="BD560" s="7"/>
      <c r="BE560" s="7"/>
      <c r="BF560" s="4" t="str">
        <f>IF(Table43[[#This Row],[SATUAN Fix Win]]&lt;&gt;"","KRT")</f>
        <v>KRT</v>
      </c>
      <c r="BG560" s="4" t="str">
        <f>IF(Table43[[#This Row],[SATUAN Fix Win]]&lt;&gt;"","GD01")</f>
        <v>GD01</v>
      </c>
      <c r="BH560" s="4">
        <f>IF(Table43[[#This Row],[SATUAN Fix Win]]&lt;&gt;"",11611)</f>
        <v>11611</v>
      </c>
      <c r="BI560" s="4">
        <f>IF(Table43[[#This Row],[SATUAN Fix Win]]&lt;&gt;"",11612)</f>
        <v>11612</v>
      </c>
      <c r="BJ560" s="48"/>
      <c r="BK560" s="4">
        <f>IF(Table43[[#This Row],[SATUAN Fix Win]]&lt;&gt;"",1)</f>
        <v>1</v>
      </c>
    </row>
    <row r="561" spans="1:63">
      <c r="A561" s="4" t="str">
        <f>CONCATENATE(Table43[[#This Row],[Kode BARANG Win2]],Table43[[#This Row],[No. Urut
Item Sama]])</f>
        <v>K14360030105101</v>
      </c>
      <c r="B561" s="7">
        <v>1</v>
      </c>
      <c r="D561" s="28" t="s">
        <v>547</v>
      </c>
      <c r="E561" s="28"/>
      <c r="F561" s="28" t="s">
        <v>3321</v>
      </c>
      <c r="G561" s="78">
        <v>36</v>
      </c>
      <c r="H561" s="43"/>
      <c r="I561" s="28" t="str">
        <f>Table43[[#This Row],[Nama Jenis Kemasan]]</f>
        <v>BTL</v>
      </c>
      <c r="J561" s="4" t="str">
        <f>TRIM(CONCATENATE(Table43[[#This Row],[Nama            KLP]]," ",Table43[[#This Row],[Nama            Sub KLP]]))</f>
        <v>SAMANTHA POP SPRAY</v>
      </c>
      <c r="K561" s="4" t="str">
        <f>CONCATENATE(Table43[[#This Row],[kode  2 Digit                (hrf+No)]],Table43[[#This Row],[kode  2 Digit                (Nomor)]],Table43[[#This Row],[kode  1 Digit                (Nomor)]])</f>
        <v>K1436</v>
      </c>
      <c r="L561" s="4" t="str">
        <f t="shared" si="27"/>
        <v>K1436003010510</v>
      </c>
      <c r="M561" s="11">
        <f t="shared" si="28"/>
        <v>14</v>
      </c>
      <c r="N561" s="14" t="str">
        <f>IF(AF561&lt;&gt;"",TRIM(UPPER(CONCATENATE(P561," ",R561," ",T561," ",V561," ",X561," ",Z561," ","X"," ",Table43[[#This Row],[ISI/CTN]]," ",AF561," ",AB561," ",AD561," ",AH561))),TRIM(UPPER(CONCATENATE(P561," ",R561," ",T561," ",V561," ",X561," ",Z561," ","X"," ",Table43[[#This Row],[ISI/CTN]]," ",AB561," ",AD561," ",AH561))))</f>
        <v>KNF SAMANTHA POP SPRAY SENYUM DOI 105ML X 36 BTL</v>
      </c>
      <c r="O561" s="11">
        <f t="shared" si="29"/>
        <v>48</v>
      </c>
      <c r="P561" s="4" t="s">
        <v>97</v>
      </c>
      <c r="Q561" s="7" t="s">
        <v>98</v>
      </c>
      <c r="R561" s="4" t="s">
        <v>3965</v>
      </c>
      <c r="S561" s="44" t="s">
        <v>3966</v>
      </c>
      <c r="T561" s="45" t="s">
        <v>3728</v>
      </c>
      <c r="U561" s="7" t="s">
        <v>3607</v>
      </c>
      <c r="V561" s="45" t="s">
        <v>2961</v>
      </c>
      <c r="W561" s="44" t="s">
        <v>2900</v>
      </c>
      <c r="X561" s="4" t="s">
        <v>3970</v>
      </c>
      <c r="Y561" s="46" t="s">
        <v>2473</v>
      </c>
      <c r="Z561" s="4" t="s">
        <v>3731</v>
      </c>
      <c r="AA561" s="46" t="s">
        <v>2502</v>
      </c>
      <c r="AB561" s="4" t="s">
        <v>357</v>
      </c>
      <c r="AC561" s="7" t="s">
        <v>2656</v>
      </c>
      <c r="AD561" s="4" t="s">
        <v>2961</v>
      </c>
      <c r="AE561" s="7" t="s">
        <v>2900</v>
      </c>
      <c r="AF561" s="7" t="s">
        <v>2961</v>
      </c>
      <c r="AG561" s="7" t="s">
        <v>2961</v>
      </c>
      <c r="AI561" s="7" t="s">
        <v>4100</v>
      </c>
      <c r="AJ561" s="7" t="s">
        <v>2656</v>
      </c>
      <c r="AK561" s="41">
        <f>Table43[[#This Row],[Harga Jual Pcs GT
(-PPN)]]-(Table43[[#This Row],[Harga Jual Pcs GT
(-PPN)]]*10%)</f>
        <v>0</v>
      </c>
      <c r="AL561" s="42">
        <f>Table43[[#This Row],[Harga Beli Pcs
(-PPN)]]*Table43[[#This Row],[ISI/CTN]]</f>
        <v>0</v>
      </c>
      <c r="AM561" s="42">
        <f>Table43[[#This Row],[Harga Beli Pcs
(-PPN)]]*1.11</f>
        <v>0</v>
      </c>
      <c r="AN561" s="42">
        <f>Table43[[#This Row],[Harga Beli Krt
(- PPN)]]*1.11</f>
        <v>0</v>
      </c>
      <c r="AO561" s="42"/>
      <c r="AP561" s="42">
        <f>Table43[[#This Row],[Harga Jual Pcs GT
(-PPN)]]*Table43[[#This Row],[ISI/CTN]]</f>
        <v>0</v>
      </c>
      <c r="AQ561" s="42">
        <f>Table43[[#This Row],[Harga Jual Pcs GT
(-PPN)]]*1.11</f>
        <v>0</v>
      </c>
      <c r="AR561" s="42">
        <f>Table43[[#This Row],[Harga Jual Krt GT
(- PPN)]]*1.11</f>
        <v>0</v>
      </c>
      <c r="AS561" s="42">
        <f>Table43[[#This Row],[Harga Jual Pcs GT
(-PPN)]]</f>
        <v>0</v>
      </c>
      <c r="AT561" s="42">
        <f>(Table43[[#This Row],[Harga Jual Pcs MT
(-PPN)]]*Table43[[#This Row],[ISI/CTN]])</f>
        <v>0</v>
      </c>
      <c r="AU561" s="42">
        <f>Table43[[#This Row],[Harga Jual Pcs MT
(-PPN)]]*1.11</f>
        <v>0</v>
      </c>
      <c r="AV561" s="42">
        <f>Table43[[#This Row],[Harga Jual Pcs MT
(+PPN)]]*Table43[[#This Row],[ISI/CTN]]</f>
        <v>0</v>
      </c>
      <c r="AW561" s="47"/>
      <c r="AX561" s="7"/>
      <c r="AY561" s="7" t="str">
        <f ca="1">IF(TODAY()-Table43[[#This Row],[Efektif
Pembuatan]]&gt;60,"Lama","Baru")</f>
        <v>Lama</v>
      </c>
      <c r="AZ561" s="7" t="str">
        <f ca="1">IF(TODAY()-Table43[[#This Row],[Efektif Naik Harga]]&lt;30,"Naik","Sama")</f>
        <v>Sama</v>
      </c>
      <c r="BA561" s="7" t="str">
        <f>IF(Table43[[#This Row],[Kode BARANG Win2]]&lt;&gt;"","IDR","")</f>
        <v>IDR</v>
      </c>
      <c r="BB561" s="7" t="str">
        <f>CONCATENATE(Table43[[#This Row],[kode  1 Digit
(Nomor)]],Table43[[#This Row],[kode  4 Digit                (Nomor)]])</f>
        <v>10105</v>
      </c>
      <c r="BC561" s="7" t="str">
        <f>Table43[[#This Row],[Nama            Gramasi atau Jumlah Pack per CTN]]</f>
        <v>105ML</v>
      </c>
      <c r="BD561" s="7"/>
      <c r="BE561" s="7"/>
      <c r="BF561" s="4" t="str">
        <f>IF(Table43[[#This Row],[SATUAN Fix Win]]&lt;&gt;"","KRT")</f>
        <v>KRT</v>
      </c>
      <c r="BG561" s="4" t="str">
        <f>IF(Table43[[#This Row],[SATUAN Fix Win]]&lt;&gt;"","GD01")</f>
        <v>GD01</v>
      </c>
      <c r="BH561" s="4">
        <f>IF(Table43[[#This Row],[SATUAN Fix Win]]&lt;&gt;"",11611)</f>
        <v>11611</v>
      </c>
      <c r="BI561" s="4">
        <f>IF(Table43[[#This Row],[SATUAN Fix Win]]&lt;&gt;"",11612)</f>
        <v>11612</v>
      </c>
      <c r="BJ561" s="48"/>
      <c r="BK561" s="4">
        <f>IF(Table43[[#This Row],[SATUAN Fix Win]]&lt;&gt;"",1)</f>
        <v>1</v>
      </c>
    </row>
    <row r="562" spans="1:63">
      <c r="A562" s="4" t="str">
        <f>CONCATENATE(Table43[[#This Row],[Kode BARANG Win2]],Table43[[#This Row],[No. Urut
Item Sama]])</f>
        <v>K14360040105102</v>
      </c>
      <c r="B562" s="7">
        <v>2</v>
      </c>
      <c r="D562" s="28" t="s">
        <v>551</v>
      </c>
      <c r="E562" s="28"/>
      <c r="F562" s="28" t="s">
        <v>3322</v>
      </c>
      <c r="G562" s="78">
        <v>36</v>
      </c>
      <c r="H562" s="43"/>
      <c r="I562" s="28" t="str">
        <f>Table43[[#This Row],[Nama Jenis Kemasan]]</f>
        <v>BTL</v>
      </c>
      <c r="J562" s="4" t="str">
        <f>TRIM(CONCATENATE(Table43[[#This Row],[Nama            KLP]]," ",Table43[[#This Row],[Nama            Sub KLP]]))</f>
        <v>SAMANTHA POP SPRAY</v>
      </c>
      <c r="K562" s="4" t="str">
        <f>CONCATENATE(Table43[[#This Row],[kode  2 Digit                (hrf+No)]],Table43[[#This Row],[kode  2 Digit                (Nomor)]],Table43[[#This Row],[kode  1 Digit                (Nomor)]])</f>
        <v>K1436</v>
      </c>
      <c r="L562" s="4" t="str">
        <f t="shared" si="27"/>
        <v>K1436004010510</v>
      </c>
      <c r="M562" s="11">
        <f t="shared" si="28"/>
        <v>14</v>
      </c>
      <c r="N562" s="14" t="str">
        <f>IF(AF562&lt;&gt;"",TRIM(UPPER(CONCATENATE(P562," ",R562," ",T562," ",V562," ",X562," ",Z562," ","X"," ",Table43[[#This Row],[ISI/CTN]]," ",AF562," ",AB562," ",AD562," ",AH562))),TRIM(UPPER(CONCATENATE(P562," ",R562," ",T562," ",V562," ",X562," ",Z562," ","X"," ",Table43[[#This Row],[ISI/CTN]]," ",AB562," ",AD562," ",AH562))))</f>
        <v>KNF SAMANTHA POP SPRAY INGAT GEBETAN 105ML X 36 BTL</v>
      </c>
      <c r="O562" s="11">
        <f t="shared" si="29"/>
        <v>51</v>
      </c>
      <c r="P562" s="4" t="s">
        <v>97</v>
      </c>
      <c r="Q562" s="7" t="s">
        <v>98</v>
      </c>
      <c r="R562" s="4" t="s">
        <v>3965</v>
      </c>
      <c r="S562" s="44" t="s">
        <v>3966</v>
      </c>
      <c r="T562" s="45" t="s">
        <v>3728</v>
      </c>
      <c r="U562" s="7" t="s">
        <v>3607</v>
      </c>
      <c r="V562" s="45" t="s">
        <v>2961</v>
      </c>
      <c r="W562" s="44" t="s">
        <v>2900</v>
      </c>
      <c r="X562" s="4" t="s">
        <v>3977</v>
      </c>
      <c r="Y562" s="46" t="s">
        <v>2474</v>
      </c>
      <c r="Z562" s="4" t="s">
        <v>3731</v>
      </c>
      <c r="AA562" s="46" t="s">
        <v>2502</v>
      </c>
      <c r="AB562" s="4" t="s">
        <v>357</v>
      </c>
      <c r="AC562" s="7" t="s">
        <v>2656</v>
      </c>
      <c r="AD562" s="4" t="s">
        <v>2961</v>
      </c>
      <c r="AE562" s="7" t="s">
        <v>2900</v>
      </c>
      <c r="AF562" s="7" t="s">
        <v>2961</v>
      </c>
      <c r="AG562" s="7" t="s">
        <v>2961</v>
      </c>
      <c r="AI562" s="7" t="s">
        <v>4100</v>
      </c>
      <c r="AJ562" s="7" t="s">
        <v>2656</v>
      </c>
      <c r="AK562" s="41">
        <f>Table43[[#This Row],[Harga Jual Pcs GT
(-PPN)]]-(Table43[[#This Row],[Harga Jual Pcs GT
(-PPN)]]*10%)</f>
        <v>0</v>
      </c>
      <c r="AL562" s="42">
        <f>Table43[[#This Row],[Harga Beli Pcs
(-PPN)]]*Table43[[#This Row],[ISI/CTN]]</f>
        <v>0</v>
      </c>
      <c r="AM562" s="42">
        <f>Table43[[#This Row],[Harga Beli Pcs
(-PPN)]]*1.11</f>
        <v>0</v>
      </c>
      <c r="AN562" s="42">
        <f>Table43[[#This Row],[Harga Beli Krt
(- PPN)]]*1.11</f>
        <v>0</v>
      </c>
      <c r="AO562" s="42"/>
      <c r="AP562" s="42">
        <f>Table43[[#This Row],[Harga Jual Pcs GT
(-PPN)]]*Table43[[#This Row],[ISI/CTN]]</f>
        <v>0</v>
      </c>
      <c r="AQ562" s="42">
        <f>Table43[[#This Row],[Harga Jual Pcs GT
(-PPN)]]*1.11</f>
        <v>0</v>
      </c>
      <c r="AR562" s="42">
        <f>Table43[[#This Row],[Harga Jual Krt GT
(- PPN)]]*1.11</f>
        <v>0</v>
      </c>
      <c r="AS562" s="42">
        <f>Table43[[#This Row],[Harga Jual Pcs GT
(-PPN)]]</f>
        <v>0</v>
      </c>
      <c r="AT562" s="42">
        <f>(Table43[[#This Row],[Harga Jual Pcs MT
(-PPN)]]*Table43[[#This Row],[ISI/CTN]])</f>
        <v>0</v>
      </c>
      <c r="AU562" s="42">
        <f>Table43[[#This Row],[Harga Jual Pcs MT
(-PPN)]]*1.11</f>
        <v>0</v>
      </c>
      <c r="AV562" s="42">
        <f>Table43[[#This Row],[Harga Jual Pcs MT
(+PPN)]]*Table43[[#This Row],[ISI/CTN]]</f>
        <v>0</v>
      </c>
      <c r="AW562" s="47"/>
      <c r="AX562" s="7"/>
      <c r="AY562" s="7" t="str">
        <f ca="1">IF(TODAY()-Table43[[#This Row],[Efektif
Pembuatan]]&gt;60,"Lama","Baru")</f>
        <v>Lama</v>
      </c>
      <c r="AZ562" s="7" t="str">
        <f ca="1">IF(TODAY()-Table43[[#This Row],[Efektif Naik Harga]]&lt;30,"Naik","Sama")</f>
        <v>Sama</v>
      </c>
      <c r="BA562" s="7" t="str">
        <f>IF(Table43[[#This Row],[Kode BARANG Win2]]&lt;&gt;"","IDR","")</f>
        <v>IDR</v>
      </c>
      <c r="BB562" s="7" t="str">
        <f>CONCATENATE(Table43[[#This Row],[kode  1 Digit
(Nomor)]],Table43[[#This Row],[kode  4 Digit                (Nomor)]])</f>
        <v>10105</v>
      </c>
      <c r="BC562" s="7" t="str">
        <f>Table43[[#This Row],[Nama            Gramasi atau Jumlah Pack per CTN]]</f>
        <v>105ML</v>
      </c>
      <c r="BD562" s="7"/>
      <c r="BE562" s="7"/>
      <c r="BF562" s="4" t="str">
        <f>IF(Table43[[#This Row],[SATUAN Fix Win]]&lt;&gt;"","KRT")</f>
        <v>KRT</v>
      </c>
      <c r="BG562" s="4" t="str">
        <f>IF(Table43[[#This Row],[SATUAN Fix Win]]&lt;&gt;"","GD01")</f>
        <v>GD01</v>
      </c>
      <c r="BH562" s="4">
        <f>IF(Table43[[#This Row],[SATUAN Fix Win]]&lt;&gt;"",11611)</f>
        <v>11611</v>
      </c>
      <c r="BI562" s="4">
        <f>IF(Table43[[#This Row],[SATUAN Fix Win]]&lt;&gt;"",11612)</f>
        <v>11612</v>
      </c>
      <c r="BJ562" s="48"/>
      <c r="BK562" s="4">
        <f>IF(Table43[[#This Row],[SATUAN Fix Win]]&lt;&gt;"",1)</f>
        <v>1</v>
      </c>
    </row>
    <row r="563" spans="1:63">
      <c r="A563" s="4" t="str">
        <f>CONCATENATE(Table43[[#This Row],[Kode BARANG Win2]],Table43[[#This Row],[No. Urut
Item Sama]])</f>
        <v>K14370020180101</v>
      </c>
      <c r="B563" s="7">
        <v>1</v>
      </c>
      <c r="D563" s="28" t="s">
        <v>552</v>
      </c>
      <c r="E563" s="28"/>
      <c r="F563" s="28" t="s">
        <v>3323</v>
      </c>
      <c r="G563" s="78">
        <v>36</v>
      </c>
      <c r="H563" s="43"/>
      <c r="I563" s="28" t="str">
        <f>Table43[[#This Row],[Nama Jenis Kemasan]]</f>
        <v>BTL</v>
      </c>
      <c r="J563" s="4" t="str">
        <f>TRIM(CONCATENATE(Table43[[#This Row],[Nama            KLP]]," ",Table43[[#This Row],[Nama            Sub KLP]]))</f>
        <v>SAMANTHA POP SHAMPO</v>
      </c>
      <c r="K563" s="4" t="str">
        <f>CONCATENATE(Table43[[#This Row],[kode  2 Digit                (hrf+No)]],Table43[[#This Row],[kode  2 Digit                (Nomor)]],Table43[[#This Row],[kode  1 Digit                (Nomor)]])</f>
        <v>K1437</v>
      </c>
      <c r="L563" s="4" t="str">
        <f t="shared" si="27"/>
        <v>K1437002018010</v>
      </c>
      <c r="M563" s="11">
        <f t="shared" si="28"/>
        <v>14</v>
      </c>
      <c r="N563" s="14" t="str">
        <f>IF(AF563&lt;&gt;"",TRIM(UPPER(CONCATENATE(P563," ",R563," ",T563," ",V563," ",X563," ",Z563," ","X"," ",Table43[[#This Row],[ISI/CTN]]," ",AF563," ",AB563," ",AD563," ",AH563))),TRIM(UPPER(CONCATENATE(P563," ",R563," ",T563," ",V563," ",X563," ",Z563," ","X"," ",Table43[[#This Row],[ISI/CTN]]," ",AB563," ",AD563," ",AH563))))</f>
        <v>KNF SAMANTHA POP SHAMPO JANJI MANIS 180ML X 36 BTL</v>
      </c>
      <c r="O563" s="11">
        <f t="shared" si="29"/>
        <v>50</v>
      </c>
      <c r="P563" s="4" t="s">
        <v>97</v>
      </c>
      <c r="Q563" s="7" t="s">
        <v>98</v>
      </c>
      <c r="R563" s="4" t="s">
        <v>3965</v>
      </c>
      <c r="S563" s="44" t="s">
        <v>3966</v>
      </c>
      <c r="T563" s="45" t="s">
        <v>3978</v>
      </c>
      <c r="U563" s="7" t="s">
        <v>3619</v>
      </c>
      <c r="V563" s="45" t="s">
        <v>2961</v>
      </c>
      <c r="W563" s="44" t="s">
        <v>2900</v>
      </c>
      <c r="X563" s="4" t="s">
        <v>3969</v>
      </c>
      <c r="Y563" s="46" t="s">
        <v>2472</v>
      </c>
      <c r="Z563" s="4" t="s">
        <v>3979</v>
      </c>
      <c r="AA563" s="46" t="s">
        <v>2511</v>
      </c>
      <c r="AB563" s="4" t="s">
        <v>357</v>
      </c>
      <c r="AC563" s="7" t="s">
        <v>2656</v>
      </c>
      <c r="AD563" s="4" t="s">
        <v>2961</v>
      </c>
      <c r="AE563" s="7" t="s">
        <v>2900</v>
      </c>
      <c r="AF563" s="7" t="s">
        <v>2961</v>
      </c>
      <c r="AG563" s="7" t="s">
        <v>2961</v>
      </c>
      <c r="AI563" s="7" t="s">
        <v>4100</v>
      </c>
      <c r="AJ563" s="7" t="s">
        <v>2656</v>
      </c>
      <c r="AK563" s="41">
        <f>Table43[[#This Row],[Harga Jual Pcs GT
(-PPN)]]-(Table43[[#This Row],[Harga Jual Pcs GT
(-PPN)]]*10%)</f>
        <v>0</v>
      </c>
      <c r="AL563" s="42">
        <f>Table43[[#This Row],[Harga Beli Pcs
(-PPN)]]*Table43[[#This Row],[ISI/CTN]]</f>
        <v>0</v>
      </c>
      <c r="AM563" s="42">
        <f>Table43[[#This Row],[Harga Beli Pcs
(-PPN)]]*1.11</f>
        <v>0</v>
      </c>
      <c r="AN563" s="42">
        <f>Table43[[#This Row],[Harga Beli Krt
(- PPN)]]*1.11</f>
        <v>0</v>
      </c>
      <c r="AO563" s="42"/>
      <c r="AP563" s="42">
        <f>Table43[[#This Row],[Harga Jual Pcs GT
(-PPN)]]*Table43[[#This Row],[ISI/CTN]]</f>
        <v>0</v>
      </c>
      <c r="AQ563" s="42">
        <f>Table43[[#This Row],[Harga Jual Pcs GT
(-PPN)]]*1.11</f>
        <v>0</v>
      </c>
      <c r="AR563" s="42">
        <f>Table43[[#This Row],[Harga Jual Krt GT
(- PPN)]]*1.11</f>
        <v>0</v>
      </c>
      <c r="AS563" s="42">
        <f>Table43[[#This Row],[Harga Jual Pcs GT
(-PPN)]]</f>
        <v>0</v>
      </c>
      <c r="AT563" s="42">
        <f>(Table43[[#This Row],[Harga Jual Pcs MT
(-PPN)]]*Table43[[#This Row],[ISI/CTN]])</f>
        <v>0</v>
      </c>
      <c r="AU563" s="42">
        <f>Table43[[#This Row],[Harga Jual Pcs MT
(-PPN)]]*1.11</f>
        <v>0</v>
      </c>
      <c r="AV563" s="42">
        <f>Table43[[#This Row],[Harga Jual Pcs MT
(+PPN)]]*Table43[[#This Row],[ISI/CTN]]</f>
        <v>0</v>
      </c>
      <c r="AW563" s="47"/>
      <c r="AX563" s="7"/>
      <c r="AY563" s="7" t="str">
        <f ca="1">IF(TODAY()-Table43[[#This Row],[Efektif
Pembuatan]]&gt;60,"Lama","Baru")</f>
        <v>Lama</v>
      </c>
      <c r="AZ563" s="7" t="str">
        <f ca="1">IF(TODAY()-Table43[[#This Row],[Efektif Naik Harga]]&lt;30,"Naik","Sama")</f>
        <v>Sama</v>
      </c>
      <c r="BA563" s="7" t="str">
        <f>IF(Table43[[#This Row],[Kode BARANG Win2]]&lt;&gt;"","IDR","")</f>
        <v>IDR</v>
      </c>
      <c r="BB563" s="7" t="str">
        <f>CONCATENATE(Table43[[#This Row],[kode  1 Digit
(Nomor)]],Table43[[#This Row],[kode  4 Digit                (Nomor)]])</f>
        <v>10180</v>
      </c>
      <c r="BC563" s="7" t="str">
        <f>Table43[[#This Row],[Nama            Gramasi atau Jumlah Pack per CTN]]</f>
        <v>180ML</v>
      </c>
      <c r="BD563" s="7"/>
      <c r="BE563" s="7"/>
      <c r="BF563" s="4" t="str">
        <f>IF(Table43[[#This Row],[SATUAN Fix Win]]&lt;&gt;"","KRT")</f>
        <v>KRT</v>
      </c>
      <c r="BG563" s="4" t="str">
        <f>IF(Table43[[#This Row],[SATUAN Fix Win]]&lt;&gt;"","GD01")</f>
        <v>GD01</v>
      </c>
      <c r="BH563" s="4">
        <f>IF(Table43[[#This Row],[SATUAN Fix Win]]&lt;&gt;"",11611)</f>
        <v>11611</v>
      </c>
      <c r="BI563" s="4">
        <f>IF(Table43[[#This Row],[SATUAN Fix Win]]&lt;&gt;"",11612)</f>
        <v>11612</v>
      </c>
      <c r="BJ563" s="48"/>
      <c r="BK563" s="4">
        <f>IF(Table43[[#This Row],[SATUAN Fix Win]]&lt;&gt;"",1)</f>
        <v>1</v>
      </c>
    </row>
    <row r="564" spans="1:63">
      <c r="A564" s="4" t="str">
        <f>CONCATENATE(Table43[[#This Row],[Kode BARANG Win2]],Table43[[#This Row],[No. Urut
Item Sama]])</f>
        <v>K14370030180101</v>
      </c>
      <c r="B564" s="7">
        <v>1</v>
      </c>
      <c r="D564" s="28" t="s">
        <v>549</v>
      </c>
      <c r="E564" s="28"/>
      <c r="F564" s="28" t="s">
        <v>3324</v>
      </c>
      <c r="G564" s="78">
        <v>36</v>
      </c>
      <c r="H564" s="43"/>
      <c r="I564" s="28" t="str">
        <f>Table43[[#This Row],[Nama Jenis Kemasan]]</f>
        <v>BTL</v>
      </c>
      <c r="J564" s="4" t="str">
        <f>TRIM(CONCATENATE(Table43[[#This Row],[Nama            KLP]]," ",Table43[[#This Row],[Nama            Sub KLP]]))</f>
        <v>SAMANTHA POP SHAMPO</v>
      </c>
      <c r="K564" s="4" t="str">
        <f>CONCATENATE(Table43[[#This Row],[kode  2 Digit                (hrf+No)]],Table43[[#This Row],[kode  2 Digit                (Nomor)]],Table43[[#This Row],[kode  1 Digit                (Nomor)]])</f>
        <v>K1437</v>
      </c>
      <c r="L564" s="4" t="str">
        <f t="shared" si="27"/>
        <v>K1437003018010</v>
      </c>
      <c r="M564" s="11">
        <f t="shared" si="28"/>
        <v>14</v>
      </c>
      <c r="N564" s="14" t="str">
        <f>IF(AF564&lt;&gt;"",TRIM(UPPER(CONCATENATE(P564," ",R564," ",T564," ",V564," ",X564," ",Z564," ","X"," ",Table43[[#This Row],[ISI/CTN]]," ",AF564," ",AB564," ",AD564," ",AH564))),TRIM(UPPER(CONCATENATE(P564," ",R564," ",T564," ",V564," ",X564," ",Z564," ","X"," ",Table43[[#This Row],[ISI/CTN]]," ",AB564," ",AD564," ",AH564))))</f>
        <v>KNF SAMANTHA POP SHAMPO BIKIN BAPER 180ML X 36 BTL</v>
      </c>
      <c r="O564" s="11">
        <f t="shared" si="29"/>
        <v>50</v>
      </c>
      <c r="P564" s="4" t="s">
        <v>97</v>
      </c>
      <c r="Q564" s="7" t="s">
        <v>98</v>
      </c>
      <c r="R564" s="4" t="s">
        <v>3965</v>
      </c>
      <c r="S564" s="44" t="s">
        <v>3966</v>
      </c>
      <c r="T564" s="45" t="s">
        <v>3978</v>
      </c>
      <c r="U564" s="7" t="s">
        <v>3619</v>
      </c>
      <c r="V564" s="45" t="s">
        <v>2961</v>
      </c>
      <c r="W564" s="44" t="s">
        <v>2900</v>
      </c>
      <c r="X564" s="4" t="s">
        <v>3968</v>
      </c>
      <c r="Y564" s="46" t="s">
        <v>2473</v>
      </c>
      <c r="Z564" s="4" t="s">
        <v>3979</v>
      </c>
      <c r="AA564" s="46" t="s">
        <v>2511</v>
      </c>
      <c r="AB564" s="4" t="s">
        <v>357</v>
      </c>
      <c r="AC564" s="7" t="s">
        <v>2656</v>
      </c>
      <c r="AD564" s="4" t="s">
        <v>2961</v>
      </c>
      <c r="AE564" s="7" t="s">
        <v>2900</v>
      </c>
      <c r="AF564" s="7" t="s">
        <v>2961</v>
      </c>
      <c r="AG564" s="7" t="s">
        <v>2961</v>
      </c>
      <c r="AI564" s="7" t="s">
        <v>4100</v>
      </c>
      <c r="AJ564" s="7" t="s">
        <v>2656</v>
      </c>
      <c r="AK564" s="41">
        <f>Table43[[#This Row],[Harga Jual Pcs GT
(-PPN)]]-(Table43[[#This Row],[Harga Jual Pcs GT
(-PPN)]]*10%)</f>
        <v>0</v>
      </c>
      <c r="AL564" s="42">
        <f>Table43[[#This Row],[Harga Beli Pcs
(-PPN)]]*Table43[[#This Row],[ISI/CTN]]</f>
        <v>0</v>
      </c>
      <c r="AM564" s="42">
        <f>Table43[[#This Row],[Harga Beli Pcs
(-PPN)]]*1.11</f>
        <v>0</v>
      </c>
      <c r="AN564" s="42">
        <f>Table43[[#This Row],[Harga Beli Krt
(- PPN)]]*1.11</f>
        <v>0</v>
      </c>
      <c r="AO564" s="42"/>
      <c r="AP564" s="42">
        <f>Table43[[#This Row],[Harga Jual Pcs GT
(-PPN)]]*Table43[[#This Row],[ISI/CTN]]</f>
        <v>0</v>
      </c>
      <c r="AQ564" s="42">
        <f>Table43[[#This Row],[Harga Jual Pcs GT
(-PPN)]]*1.11</f>
        <v>0</v>
      </c>
      <c r="AR564" s="42">
        <f>Table43[[#This Row],[Harga Jual Krt GT
(- PPN)]]*1.11</f>
        <v>0</v>
      </c>
      <c r="AS564" s="42">
        <f>Table43[[#This Row],[Harga Jual Pcs GT
(-PPN)]]</f>
        <v>0</v>
      </c>
      <c r="AT564" s="42">
        <f>(Table43[[#This Row],[Harga Jual Pcs MT
(-PPN)]]*Table43[[#This Row],[ISI/CTN]])</f>
        <v>0</v>
      </c>
      <c r="AU564" s="42">
        <f>Table43[[#This Row],[Harga Jual Pcs MT
(-PPN)]]*1.11</f>
        <v>0</v>
      </c>
      <c r="AV564" s="42">
        <f>Table43[[#This Row],[Harga Jual Pcs MT
(+PPN)]]*Table43[[#This Row],[ISI/CTN]]</f>
        <v>0</v>
      </c>
      <c r="AW564" s="47"/>
      <c r="AX564" s="7"/>
      <c r="AY564" s="7" t="str">
        <f ca="1">IF(TODAY()-Table43[[#This Row],[Efektif
Pembuatan]]&gt;60,"Lama","Baru")</f>
        <v>Lama</v>
      </c>
      <c r="AZ564" s="7" t="str">
        <f ca="1">IF(TODAY()-Table43[[#This Row],[Efektif Naik Harga]]&lt;30,"Naik","Sama")</f>
        <v>Sama</v>
      </c>
      <c r="BA564" s="7" t="str">
        <f>IF(Table43[[#This Row],[Kode BARANG Win2]]&lt;&gt;"","IDR","")</f>
        <v>IDR</v>
      </c>
      <c r="BB564" s="7" t="str">
        <f>CONCATENATE(Table43[[#This Row],[kode  1 Digit
(Nomor)]],Table43[[#This Row],[kode  4 Digit                (Nomor)]])</f>
        <v>10180</v>
      </c>
      <c r="BC564" s="7" t="str">
        <f>Table43[[#This Row],[Nama            Gramasi atau Jumlah Pack per CTN]]</f>
        <v>180ML</v>
      </c>
      <c r="BD564" s="7"/>
      <c r="BE564" s="7"/>
      <c r="BF564" s="4" t="str">
        <f>IF(Table43[[#This Row],[SATUAN Fix Win]]&lt;&gt;"","KRT")</f>
        <v>KRT</v>
      </c>
      <c r="BG564" s="4" t="str">
        <f>IF(Table43[[#This Row],[SATUAN Fix Win]]&lt;&gt;"","GD01")</f>
        <v>GD01</v>
      </c>
      <c r="BH564" s="4">
        <f>IF(Table43[[#This Row],[SATUAN Fix Win]]&lt;&gt;"",11611)</f>
        <v>11611</v>
      </c>
      <c r="BI564" s="4">
        <f>IF(Table43[[#This Row],[SATUAN Fix Win]]&lt;&gt;"",11612)</f>
        <v>11612</v>
      </c>
      <c r="BJ564" s="48"/>
      <c r="BK564" s="4">
        <f>IF(Table43[[#This Row],[SATUAN Fix Win]]&lt;&gt;"",1)</f>
        <v>1</v>
      </c>
    </row>
    <row r="565" spans="1:63">
      <c r="A565" s="4" t="str">
        <f>CONCATENATE(Table43[[#This Row],[Kode BARANG Win2]],Table43[[#This Row],[No. Urut
Item Sama]])</f>
        <v>K14400010030102</v>
      </c>
      <c r="B565" s="7">
        <v>2</v>
      </c>
      <c r="D565" s="28" t="s">
        <v>2432</v>
      </c>
      <c r="E565" s="28"/>
      <c r="F565" s="28">
        <v>0</v>
      </c>
      <c r="G565" s="78">
        <v>72</v>
      </c>
      <c r="H565" s="43"/>
      <c r="I565" s="28" t="str">
        <f>Table43[[#This Row],[Nama Jenis Kemasan]]</f>
        <v>BOX</v>
      </c>
      <c r="J565" s="4" t="str">
        <f>TRIM(CONCATENATE(Table43[[#This Row],[Nama            KLP]]," ",Table43[[#This Row],[Nama            Sub KLP]]))</f>
        <v>SASHA CREAMBATH</v>
      </c>
      <c r="K565" s="4" t="str">
        <f>CONCATENATE(Table43[[#This Row],[kode  2 Digit                (hrf+No)]],Table43[[#This Row],[kode  2 Digit                (Nomor)]],Table43[[#This Row],[kode  1 Digit                (Nomor)]])</f>
        <v>K1440</v>
      </c>
      <c r="L565" s="4" t="str">
        <f t="shared" si="27"/>
        <v>K1440001003010</v>
      </c>
      <c r="M565" s="11">
        <f t="shared" si="28"/>
        <v>14</v>
      </c>
      <c r="N565" s="14" t="str">
        <f>IF(AF565&lt;&gt;"",TRIM(UPPER(CONCATENATE(P565," ",R565," ",T565," ",V565," ",X565," ",Z565," ","X"," ",Table43[[#This Row],[ISI/CTN]]," ",AF565," ",AB565," ",AD565," ",AH565))),TRIM(UPPER(CONCATENATE(P565," ",R565," ",T565," ",V565," ",X565," ",Z565," ","X"," ",Table43[[#This Row],[ISI/CTN]]," ",AB565," ",AD565," ",AH565))))</f>
        <v>KNF SASHA CREAMBATH AVOCADO 30GR X 72 BOX</v>
      </c>
      <c r="O565" s="11">
        <f t="shared" si="29"/>
        <v>41</v>
      </c>
      <c r="P565" s="4" t="s">
        <v>97</v>
      </c>
      <c r="Q565" s="7" t="s">
        <v>98</v>
      </c>
      <c r="R565" s="4" t="s">
        <v>3980</v>
      </c>
      <c r="S565" s="44" t="s">
        <v>3981</v>
      </c>
      <c r="T565" s="45" t="s">
        <v>2961</v>
      </c>
      <c r="U565" s="7" t="s">
        <v>2900</v>
      </c>
      <c r="V565" s="45" t="s">
        <v>2961</v>
      </c>
      <c r="W565" s="44" t="s">
        <v>2900</v>
      </c>
      <c r="X565" s="4" t="s">
        <v>3772</v>
      </c>
      <c r="Y565" s="46" t="s">
        <v>0</v>
      </c>
      <c r="Z565" s="4" t="s">
        <v>3942</v>
      </c>
      <c r="AA565" s="46" t="s">
        <v>2499</v>
      </c>
      <c r="AB565" s="4" t="s">
        <v>1023</v>
      </c>
      <c r="AC565" s="7" t="s">
        <v>2656</v>
      </c>
      <c r="AD565" s="4" t="s">
        <v>2961</v>
      </c>
      <c r="AE565" s="7" t="s">
        <v>2900</v>
      </c>
      <c r="AF565" s="7" t="s">
        <v>2961</v>
      </c>
      <c r="AG565" s="7" t="s">
        <v>2961</v>
      </c>
      <c r="AI565" s="7" t="s">
        <v>2463</v>
      </c>
      <c r="AJ565" s="7" t="s">
        <v>3562</v>
      </c>
      <c r="AK565" s="41">
        <f>Table43[[#This Row],[Harga Jual Pcs GT
(-PPN)]]-(Table43[[#This Row],[Harga Jual Pcs GT
(-PPN)]]*10%)</f>
        <v>0</v>
      </c>
      <c r="AL565" s="42">
        <f>Table43[[#This Row],[Harga Beli Pcs
(-PPN)]]*Table43[[#This Row],[ISI/CTN]]</f>
        <v>0</v>
      </c>
      <c r="AM565" s="42">
        <f>Table43[[#This Row],[Harga Beli Pcs
(-PPN)]]*1.11</f>
        <v>0</v>
      </c>
      <c r="AN565" s="42">
        <f>Table43[[#This Row],[Harga Beli Krt
(- PPN)]]*1.11</f>
        <v>0</v>
      </c>
      <c r="AO565" s="42"/>
      <c r="AP565" s="42">
        <f>Table43[[#This Row],[Harga Jual Pcs GT
(-PPN)]]*Table43[[#This Row],[ISI/CTN]]</f>
        <v>0</v>
      </c>
      <c r="AQ565" s="42">
        <f>Table43[[#This Row],[Harga Jual Pcs GT
(-PPN)]]*1.11</f>
        <v>0</v>
      </c>
      <c r="AR565" s="42">
        <f>Table43[[#This Row],[Harga Jual Krt GT
(- PPN)]]*1.11</f>
        <v>0</v>
      </c>
      <c r="AS565" s="42">
        <f>Table43[[#This Row],[Harga Jual Pcs GT
(-PPN)]]</f>
        <v>0</v>
      </c>
      <c r="AT565" s="42">
        <f>(Table43[[#This Row],[Harga Jual Pcs MT
(-PPN)]]*Table43[[#This Row],[ISI/CTN]])</f>
        <v>0</v>
      </c>
      <c r="AU565" s="42">
        <f>Table43[[#This Row],[Harga Jual Pcs MT
(-PPN)]]*1.11</f>
        <v>0</v>
      </c>
      <c r="AV565" s="42">
        <f>Table43[[#This Row],[Harga Jual Pcs MT
(+PPN)]]*Table43[[#This Row],[ISI/CTN]]</f>
        <v>0</v>
      </c>
      <c r="AW565" s="47"/>
      <c r="AX565" s="7"/>
      <c r="AY565" s="7" t="str">
        <f ca="1">IF(TODAY()-Table43[[#This Row],[Efektif
Pembuatan]]&gt;60,"Lama","Baru")</f>
        <v>Lama</v>
      </c>
      <c r="AZ565" s="7" t="str">
        <f ca="1">IF(TODAY()-Table43[[#This Row],[Efektif Naik Harga]]&lt;30,"Naik","Sama")</f>
        <v>Sama</v>
      </c>
      <c r="BA565" s="7" t="str">
        <f>IF(Table43[[#This Row],[Kode BARANG Win2]]&lt;&gt;"","IDR","")</f>
        <v>IDR</v>
      </c>
      <c r="BB565" s="7" t="str">
        <f>CONCATENATE(Table43[[#This Row],[kode  1 Digit
(Nomor)]],Table43[[#This Row],[kode  4 Digit                (Nomor)]])</f>
        <v>20030</v>
      </c>
      <c r="BC565" s="7" t="str">
        <f>Table43[[#This Row],[Nama            Gramasi atau Jumlah Pack per CTN]]</f>
        <v>30GR</v>
      </c>
      <c r="BD565" s="7"/>
      <c r="BE565" s="7"/>
      <c r="BF565" s="4" t="str">
        <f>IF(Table43[[#This Row],[SATUAN Fix Win]]&lt;&gt;"","KRT")</f>
        <v>KRT</v>
      </c>
      <c r="BG565" s="4" t="str">
        <f>IF(Table43[[#This Row],[SATUAN Fix Win]]&lt;&gt;"","GD01")</f>
        <v>GD01</v>
      </c>
      <c r="BH565" s="4">
        <f>IF(Table43[[#This Row],[SATUAN Fix Win]]&lt;&gt;"",11611)</f>
        <v>11611</v>
      </c>
      <c r="BI565" s="4">
        <f>IF(Table43[[#This Row],[SATUAN Fix Win]]&lt;&gt;"",11612)</f>
        <v>11612</v>
      </c>
      <c r="BJ565" s="48"/>
      <c r="BK565" s="4">
        <f>IF(Table43[[#This Row],[SATUAN Fix Win]]&lt;&gt;"",1)</f>
        <v>1</v>
      </c>
    </row>
    <row r="566" spans="1:63">
      <c r="A566" s="4" t="str">
        <f>CONCATENATE(Table43[[#This Row],[Kode BARANG Win2]],Table43[[#This Row],[No. Urut
Item Sama]])</f>
        <v>K14400020030101</v>
      </c>
      <c r="B566" s="7">
        <v>1</v>
      </c>
      <c r="D566" s="28" t="s">
        <v>2431</v>
      </c>
      <c r="E566" s="28"/>
      <c r="F566" s="28">
        <v>0</v>
      </c>
      <c r="G566" s="78">
        <v>72</v>
      </c>
      <c r="H566" s="43"/>
      <c r="I566" s="28" t="str">
        <f>Table43[[#This Row],[Nama Jenis Kemasan]]</f>
        <v>BOX</v>
      </c>
      <c r="J566" s="4" t="str">
        <f>TRIM(CONCATENATE(Table43[[#This Row],[Nama            KLP]]," ",Table43[[#This Row],[Nama            Sub KLP]]))</f>
        <v>SASHA CREAMBATH</v>
      </c>
      <c r="K566" s="4" t="str">
        <f>CONCATENATE(Table43[[#This Row],[kode  2 Digit                (hrf+No)]],Table43[[#This Row],[kode  2 Digit                (Nomor)]],Table43[[#This Row],[kode  1 Digit                (Nomor)]])</f>
        <v>K1440</v>
      </c>
      <c r="L566" s="4" t="str">
        <f t="shared" si="27"/>
        <v>K1440002003010</v>
      </c>
      <c r="M566" s="11">
        <f t="shared" si="28"/>
        <v>14</v>
      </c>
      <c r="N566" s="14" t="str">
        <f>IF(AF566&lt;&gt;"",TRIM(UPPER(CONCATENATE(P566," ",R566," ",T566," ",V566," ",X566," ",Z566," ","X"," ",Table43[[#This Row],[ISI/CTN]]," ",AF566," ",AB566," ",AD566," ",AH566))),TRIM(UPPER(CONCATENATE(P566," ",R566," ",T566," ",V566," ",X566," ",Z566," ","X"," ",Table43[[#This Row],[ISI/CTN]]," ",AB566," ",AD566," ",AH566))))</f>
        <v>KNF SASHA CREAMBATH ROYAL JELLY 30GR X 72 BOX</v>
      </c>
      <c r="O566" s="11">
        <f t="shared" si="29"/>
        <v>45</v>
      </c>
      <c r="P566" s="4" t="s">
        <v>97</v>
      </c>
      <c r="Q566" s="7" t="s">
        <v>98</v>
      </c>
      <c r="R566" s="4" t="s">
        <v>3980</v>
      </c>
      <c r="S566" s="44" t="s">
        <v>3981</v>
      </c>
      <c r="T566" s="45" t="s">
        <v>2961</v>
      </c>
      <c r="U566" s="7" t="s">
        <v>2900</v>
      </c>
      <c r="V566" s="45" t="s">
        <v>2961</v>
      </c>
      <c r="W566" s="44" t="s">
        <v>2900</v>
      </c>
      <c r="X566" s="4" t="s">
        <v>3944</v>
      </c>
      <c r="Y566" s="46" t="s">
        <v>2472</v>
      </c>
      <c r="Z566" s="4" t="s">
        <v>3942</v>
      </c>
      <c r="AA566" s="46" t="s">
        <v>2499</v>
      </c>
      <c r="AB566" s="4" t="s">
        <v>1023</v>
      </c>
      <c r="AC566" s="7" t="s">
        <v>2656</v>
      </c>
      <c r="AD566" s="4" t="s">
        <v>2961</v>
      </c>
      <c r="AE566" s="7" t="s">
        <v>2900</v>
      </c>
      <c r="AF566" s="7" t="s">
        <v>2961</v>
      </c>
      <c r="AG566" s="7" t="s">
        <v>2961</v>
      </c>
      <c r="AI566" s="7" t="s">
        <v>2463</v>
      </c>
      <c r="AJ566" s="7" t="s">
        <v>3562</v>
      </c>
      <c r="AK566" s="41">
        <f>Table43[[#This Row],[Harga Jual Pcs GT
(-PPN)]]-(Table43[[#This Row],[Harga Jual Pcs GT
(-PPN)]]*10%)</f>
        <v>0</v>
      </c>
      <c r="AL566" s="42">
        <f>Table43[[#This Row],[Harga Beli Pcs
(-PPN)]]*Table43[[#This Row],[ISI/CTN]]</f>
        <v>0</v>
      </c>
      <c r="AM566" s="42">
        <f>Table43[[#This Row],[Harga Beli Pcs
(-PPN)]]*1.11</f>
        <v>0</v>
      </c>
      <c r="AN566" s="42">
        <f>Table43[[#This Row],[Harga Beli Krt
(- PPN)]]*1.11</f>
        <v>0</v>
      </c>
      <c r="AO566" s="42"/>
      <c r="AP566" s="42">
        <f>Table43[[#This Row],[Harga Jual Pcs GT
(-PPN)]]*Table43[[#This Row],[ISI/CTN]]</f>
        <v>0</v>
      </c>
      <c r="AQ566" s="42">
        <f>Table43[[#This Row],[Harga Jual Pcs GT
(-PPN)]]*1.11</f>
        <v>0</v>
      </c>
      <c r="AR566" s="42">
        <f>Table43[[#This Row],[Harga Jual Krt GT
(- PPN)]]*1.11</f>
        <v>0</v>
      </c>
      <c r="AS566" s="42">
        <f>Table43[[#This Row],[Harga Jual Pcs GT
(-PPN)]]</f>
        <v>0</v>
      </c>
      <c r="AT566" s="42">
        <f>(Table43[[#This Row],[Harga Jual Pcs MT
(-PPN)]]*Table43[[#This Row],[ISI/CTN]])</f>
        <v>0</v>
      </c>
      <c r="AU566" s="42">
        <f>Table43[[#This Row],[Harga Jual Pcs MT
(-PPN)]]*1.11</f>
        <v>0</v>
      </c>
      <c r="AV566" s="42">
        <f>Table43[[#This Row],[Harga Jual Pcs MT
(+PPN)]]*Table43[[#This Row],[ISI/CTN]]</f>
        <v>0</v>
      </c>
      <c r="AW566" s="47"/>
      <c r="AX566" s="7"/>
      <c r="AY566" s="7" t="str">
        <f ca="1">IF(TODAY()-Table43[[#This Row],[Efektif
Pembuatan]]&gt;60,"Lama","Baru")</f>
        <v>Lama</v>
      </c>
      <c r="AZ566" s="7" t="str">
        <f ca="1">IF(TODAY()-Table43[[#This Row],[Efektif Naik Harga]]&lt;30,"Naik","Sama")</f>
        <v>Sama</v>
      </c>
      <c r="BA566" s="7" t="str">
        <f>IF(Table43[[#This Row],[Kode BARANG Win2]]&lt;&gt;"","IDR","")</f>
        <v>IDR</v>
      </c>
      <c r="BB566" s="7" t="str">
        <f>CONCATENATE(Table43[[#This Row],[kode  1 Digit
(Nomor)]],Table43[[#This Row],[kode  4 Digit                (Nomor)]])</f>
        <v>20030</v>
      </c>
      <c r="BC566" s="7" t="str">
        <f>Table43[[#This Row],[Nama            Gramasi atau Jumlah Pack per CTN]]</f>
        <v>30GR</v>
      </c>
      <c r="BD566" s="7"/>
      <c r="BE566" s="7"/>
      <c r="BF566" s="4" t="str">
        <f>IF(Table43[[#This Row],[SATUAN Fix Win]]&lt;&gt;"","KRT")</f>
        <v>KRT</v>
      </c>
      <c r="BG566" s="4" t="str">
        <f>IF(Table43[[#This Row],[SATUAN Fix Win]]&lt;&gt;"","GD01")</f>
        <v>GD01</v>
      </c>
      <c r="BH566" s="4">
        <f>IF(Table43[[#This Row],[SATUAN Fix Win]]&lt;&gt;"",11611)</f>
        <v>11611</v>
      </c>
      <c r="BI566" s="4">
        <f>IF(Table43[[#This Row],[SATUAN Fix Win]]&lt;&gt;"",11612)</f>
        <v>11612</v>
      </c>
      <c r="BJ566" s="48"/>
      <c r="BK566" s="4">
        <f>IF(Table43[[#This Row],[SATUAN Fix Win]]&lt;&gt;"",1)</f>
        <v>1</v>
      </c>
    </row>
    <row r="567" spans="1:63">
      <c r="A567" s="4" t="str">
        <f>CONCATENATE(Table43[[#This Row],[Kode BARANG Win2]],Table43[[#This Row],[No. Urut
Item Sama]])</f>
        <v>K14500010025101</v>
      </c>
      <c r="B567" s="7">
        <v>1</v>
      </c>
      <c r="D567" s="28" t="s">
        <v>1037</v>
      </c>
      <c r="E567" s="28"/>
      <c r="F567" s="28">
        <v>0</v>
      </c>
      <c r="G567" s="78">
        <v>72</v>
      </c>
      <c r="H567" s="43"/>
      <c r="I567" s="28" t="str">
        <f>Table43[[#This Row],[Nama Jenis Kemasan]]</f>
        <v>BOX</v>
      </c>
      <c r="J567" s="4" t="str">
        <f>TRIM(CONCATENATE(Table43[[#This Row],[Nama            KLP]]," ",Table43[[#This Row],[Nama            Sub KLP]]))</f>
        <v>SASHA HAIR COLORANT</v>
      </c>
      <c r="K567" s="4" t="str">
        <f>CONCATENATE(Table43[[#This Row],[kode  2 Digit                (hrf+No)]],Table43[[#This Row],[kode  2 Digit                (Nomor)]],Table43[[#This Row],[kode  1 Digit                (Nomor)]])</f>
        <v>K1450</v>
      </c>
      <c r="L567" s="4" t="str">
        <f t="shared" si="27"/>
        <v>K1450001002510</v>
      </c>
      <c r="M567" s="11">
        <f t="shared" si="28"/>
        <v>14</v>
      </c>
      <c r="N567" s="14" t="str">
        <f>IF(AF567&lt;&gt;"",TRIM(UPPER(CONCATENATE(P567," ",R567," ",T567," ",V567," ",X567," ",Z567," ","X"," ",Table43[[#This Row],[ISI/CTN]]," ",AF567," ",AB567," ",AD567," ",AH567))),TRIM(UPPER(CONCATENATE(P567," ",R567," ",T567," ",V567," ",X567," ",Z567," ","X"," ",Table43[[#This Row],[ISI/CTN]]," ",AB567," ",AD567," ",AH567))))</f>
        <v>KNF SASHA HAIR COLORANT ASH GREY 25GR X 72 BOX</v>
      </c>
      <c r="O567" s="11">
        <f t="shared" si="29"/>
        <v>46</v>
      </c>
      <c r="P567" s="4" t="s">
        <v>97</v>
      </c>
      <c r="Q567" s="7" t="s">
        <v>98</v>
      </c>
      <c r="R567" s="4" t="s">
        <v>3982</v>
      </c>
      <c r="S567" s="44" t="s">
        <v>3983</v>
      </c>
      <c r="T567" s="45" t="s">
        <v>2961</v>
      </c>
      <c r="U567" s="7" t="s">
        <v>2900</v>
      </c>
      <c r="V567" s="45" t="s">
        <v>2961</v>
      </c>
      <c r="W567" s="44" t="s">
        <v>2900</v>
      </c>
      <c r="X567" s="4" t="s">
        <v>3963</v>
      </c>
      <c r="Y567" s="46" t="s">
        <v>0</v>
      </c>
      <c r="Z567" s="4" t="s">
        <v>3949</v>
      </c>
      <c r="AA567" s="46" t="s">
        <v>2510</v>
      </c>
      <c r="AB567" s="4" t="s">
        <v>1023</v>
      </c>
      <c r="AC567" s="7" t="s">
        <v>2656</v>
      </c>
      <c r="AD567" s="4" t="s">
        <v>2961</v>
      </c>
      <c r="AE567" s="7" t="s">
        <v>2900</v>
      </c>
      <c r="AF567" s="7" t="s">
        <v>2961</v>
      </c>
      <c r="AG567" s="7" t="s">
        <v>2961</v>
      </c>
      <c r="AI567" s="7" t="s">
        <v>2463</v>
      </c>
      <c r="AJ567" s="7" t="s">
        <v>3562</v>
      </c>
      <c r="AK567" s="41">
        <f>Table43[[#This Row],[Harga Jual Pcs GT
(-PPN)]]-(Table43[[#This Row],[Harga Jual Pcs GT
(-PPN)]]*10%)</f>
        <v>0</v>
      </c>
      <c r="AL567" s="42">
        <f>Table43[[#This Row],[Harga Beli Pcs
(-PPN)]]*Table43[[#This Row],[ISI/CTN]]</f>
        <v>0</v>
      </c>
      <c r="AM567" s="42">
        <f>Table43[[#This Row],[Harga Beli Pcs
(-PPN)]]*1.11</f>
        <v>0</v>
      </c>
      <c r="AN567" s="42">
        <f>Table43[[#This Row],[Harga Beli Krt
(- PPN)]]*1.11</f>
        <v>0</v>
      </c>
      <c r="AO567" s="42"/>
      <c r="AP567" s="42">
        <f>Table43[[#This Row],[Harga Jual Pcs GT
(-PPN)]]*Table43[[#This Row],[ISI/CTN]]</f>
        <v>0</v>
      </c>
      <c r="AQ567" s="42">
        <f>Table43[[#This Row],[Harga Jual Pcs GT
(-PPN)]]*1.11</f>
        <v>0</v>
      </c>
      <c r="AR567" s="42">
        <f>Table43[[#This Row],[Harga Jual Krt GT
(- PPN)]]*1.11</f>
        <v>0</v>
      </c>
      <c r="AS567" s="42">
        <f>Table43[[#This Row],[Harga Jual Pcs GT
(-PPN)]]</f>
        <v>0</v>
      </c>
      <c r="AT567" s="42">
        <f>(Table43[[#This Row],[Harga Jual Pcs MT
(-PPN)]]*Table43[[#This Row],[ISI/CTN]])</f>
        <v>0</v>
      </c>
      <c r="AU567" s="42">
        <f>Table43[[#This Row],[Harga Jual Pcs MT
(-PPN)]]*1.11</f>
        <v>0</v>
      </c>
      <c r="AV567" s="42">
        <f>Table43[[#This Row],[Harga Jual Pcs MT
(+PPN)]]*Table43[[#This Row],[ISI/CTN]]</f>
        <v>0</v>
      </c>
      <c r="AW567" s="47"/>
      <c r="AX567" s="7"/>
      <c r="AY567" s="7" t="str">
        <f ca="1">IF(TODAY()-Table43[[#This Row],[Efektif
Pembuatan]]&gt;60,"Lama","Baru")</f>
        <v>Lama</v>
      </c>
      <c r="AZ567" s="7" t="str">
        <f ca="1">IF(TODAY()-Table43[[#This Row],[Efektif Naik Harga]]&lt;30,"Naik","Sama")</f>
        <v>Sama</v>
      </c>
      <c r="BA567" s="7" t="str">
        <f>IF(Table43[[#This Row],[Kode BARANG Win2]]&lt;&gt;"","IDR","")</f>
        <v>IDR</v>
      </c>
      <c r="BB567" s="7" t="str">
        <f>CONCATENATE(Table43[[#This Row],[kode  1 Digit
(Nomor)]],Table43[[#This Row],[kode  4 Digit                (Nomor)]])</f>
        <v>20025</v>
      </c>
      <c r="BC567" s="7" t="str">
        <f>Table43[[#This Row],[Nama            Gramasi atau Jumlah Pack per CTN]]</f>
        <v>25GR</v>
      </c>
      <c r="BD567" s="7"/>
      <c r="BE567" s="7"/>
      <c r="BF567" s="4" t="str">
        <f>IF(Table43[[#This Row],[SATUAN Fix Win]]&lt;&gt;"","KRT")</f>
        <v>KRT</v>
      </c>
      <c r="BG567" s="4" t="str">
        <f>IF(Table43[[#This Row],[SATUAN Fix Win]]&lt;&gt;"","GD01")</f>
        <v>GD01</v>
      </c>
      <c r="BH567" s="4">
        <f>IF(Table43[[#This Row],[SATUAN Fix Win]]&lt;&gt;"",11611)</f>
        <v>11611</v>
      </c>
      <c r="BI567" s="4">
        <f>IF(Table43[[#This Row],[SATUAN Fix Win]]&lt;&gt;"",11612)</f>
        <v>11612</v>
      </c>
      <c r="BJ567" s="48"/>
      <c r="BK567" s="4">
        <f>IF(Table43[[#This Row],[SATUAN Fix Win]]&lt;&gt;"",1)</f>
        <v>1</v>
      </c>
    </row>
    <row r="568" spans="1:63">
      <c r="A568" s="4" t="str">
        <f>CONCATENATE(Table43[[#This Row],[Kode BARANG Win2]],Table43[[#This Row],[No. Urut
Item Sama]])</f>
        <v>K14500020010101</v>
      </c>
      <c r="B568" s="7">
        <v>1</v>
      </c>
      <c r="D568" s="28" t="s">
        <v>1028</v>
      </c>
      <c r="E568" s="28"/>
      <c r="F568" s="28">
        <v>0</v>
      </c>
      <c r="G568" s="78">
        <v>72</v>
      </c>
      <c r="H568" s="43"/>
      <c r="I568" s="28" t="str">
        <f>Table43[[#This Row],[Nama Jenis Kemasan]]</f>
        <v>BOX</v>
      </c>
      <c r="J568" s="4" t="str">
        <f>TRIM(CONCATENATE(Table43[[#This Row],[Nama            KLP]]," ",Table43[[#This Row],[Nama            Sub KLP]]))</f>
        <v>SASHA HAIR COLORANT</v>
      </c>
      <c r="K568" s="4" t="str">
        <f>CONCATENATE(Table43[[#This Row],[kode  2 Digit                (hrf+No)]],Table43[[#This Row],[kode  2 Digit                (Nomor)]],Table43[[#This Row],[kode  1 Digit                (Nomor)]])</f>
        <v>K1450</v>
      </c>
      <c r="L568" s="4" t="str">
        <f t="shared" si="27"/>
        <v>K1450002001010</v>
      </c>
      <c r="M568" s="11">
        <f t="shared" si="28"/>
        <v>14</v>
      </c>
      <c r="N568" s="14" t="str">
        <f>IF(AF568&lt;&gt;"",TRIM(UPPER(CONCATENATE(P568," ",R568," ",T568," ",V568," ",X568," ",Z568," ","X"," ",Table43[[#This Row],[ISI/CTN]]," ",AF568," ",AB568," ",AD568," ",AH568))),TRIM(UPPER(CONCATENATE(P568," ",R568," ",T568," ",V568," ",X568," ",Z568," ","X"," ",Table43[[#This Row],[ISI/CTN]]," ",AB568," ",AD568," ",AH568))))</f>
        <v>KNF SASHA HAIR COLORANT BLEACHING 10GR X 72 BOX</v>
      </c>
      <c r="O568" s="11">
        <f t="shared" si="29"/>
        <v>47</v>
      </c>
      <c r="P568" s="4" t="s">
        <v>97</v>
      </c>
      <c r="Q568" s="7" t="s">
        <v>98</v>
      </c>
      <c r="R568" s="4" t="s">
        <v>3982</v>
      </c>
      <c r="S568" s="44" t="s">
        <v>3983</v>
      </c>
      <c r="T568" s="45" t="s">
        <v>2961</v>
      </c>
      <c r="U568" s="7" t="s">
        <v>2900</v>
      </c>
      <c r="V568" s="45" t="s">
        <v>2961</v>
      </c>
      <c r="W568" s="44" t="s">
        <v>2900</v>
      </c>
      <c r="X568" s="4" t="s">
        <v>3947</v>
      </c>
      <c r="Y568" s="46" t="s">
        <v>2472</v>
      </c>
      <c r="Z568" s="4" t="s">
        <v>3862</v>
      </c>
      <c r="AA568" s="46" t="s">
        <v>2488</v>
      </c>
      <c r="AB568" s="4" t="s">
        <v>1023</v>
      </c>
      <c r="AC568" s="7" t="s">
        <v>2656</v>
      </c>
      <c r="AD568" s="4" t="s">
        <v>2961</v>
      </c>
      <c r="AE568" s="7" t="s">
        <v>2900</v>
      </c>
      <c r="AF568" s="7" t="s">
        <v>2961</v>
      </c>
      <c r="AG568" s="7" t="s">
        <v>2961</v>
      </c>
      <c r="AI568" s="7" t="s">
        <v>2463</v>
      </c>
      <c r="AJ568" s="7" t="s">
        <v>3562</v>
      </c>
      <c r="AK568" s="41">
        <f>Table43[[#This Row],[Harga Jual Pcs GT
(-PPN)]]-(Table43[[#This Row],[Harga Jual Pcs GT
(-PPN)]]*10%)</f>
        <v>0</v>
      </c>
      <c r="AL568" s="42">
        <f>Table43[[#This Row],[Harga Beli Pcs
(-PPN)]]*Table43[[#This Row],[ISI/CTN]]</f>
        <v>0</v>
      </c>
      <c r="AM568" s="42">
        <f>Table43[[#This Row],[Harga Beli Pcs
(-PPN)]]*1.11</f>
        <v>0</v>
      </c>
      <c r="AN568" s="42">
        <f>Table43[[#This Row],[Harga Beli Krt
(- PPN)]]*1.11</f>
        <v>0</v>
      </c>
      <c r="AO568" s="42"/>
      <c r="AP568" s="42">
        <f>Table43[[#This Row],[Harga Jual Pcs GT
(-PPN)]]*Table43[[#This Row],[ISI/CTN]]</f>
        <v>0</v>
      </c>
      <c r="AQ568" s="42">
        <f>Table43[[#This Row],[Harga Jual Pcs GT
(-PPN)]]*1.11</f>
        <v>0</v>
      </c>
      <c r="AR568" s="42">
        <f>Table43[[#This Row],[Harga Jual Krt GT
(- PPN)]]*1.11</f>
        <v>0</v>
      </c>
      <c r="AS568" s="42">
        <f>Table43[[#This Row],[Harga Jual Pcs GT
(-PPN)]]</f>
        <v>0</v>
      </c>
      <c r="AT568" s="42">
        <f>(Table43[[#This Row],[Harga Jual Pcs MT
(-PPN)]]*Table43[[#This Row],[ISI/CTN]])</f>
        <v>0</v>
      </c>
      <c r="AU568" s="42">
        <f>Table43[[#This Row],[Harga Jual Pcs MT
(-PPN)]]*1.11</f>
        <v>0</v>
      </c>
      <c r="AV568" s="42">
        <f>Table43[[#This Row],[Harga Jual Pcs MT
(+PPN)]]*Table43[[#This Row],[ISI/CTN]]</f>
        <v>0</v>
      </c>
      <c r="AW568" s="47"/>
      <c r="AX568" s="7"/>
      <c r="AY568" s="7" t="str">
        <f ca="1">IF(TODAY()-Table43[[#This Row],[Efektif
Pembuatan]]&gt;60,"Lama","Baru")</f>
        <v>Lama</v>
      </c>
      <c r="AZ568" s="7" t="str">
        <f ca="1">IF(TODAY()-Table43[[#This Row],[Efektif Naik Harga]]&lt;30,"Naik","Sama")</f>
        <v>Sama</v>
      </c>
      <c r="BA568" s="7" t="str">
        <f>IF(Table43[[#This Row],[Kode BARANG Win2]]&lt;&gt;"","IDR","")</f>
        <v>IDR</v>
      </c>
      <c r="BB568" s="7" t="str">
        <f>CONCATENATE(Table43[[#This Row],[kode  1 Digit
(Nomor)]],Table43[[#This Row],[kode  4 Digit                (Nomor)]])</f>
        <v>20010</v>
      </c>
      <c r="BC568" s="7" t="str">
        <f>Table43[[#This Row],[Nama            Gramasi atau Jumlah Pack per CTN]]</f>
        <v>10GR</v>
      </c>
      <c r="BD568" s="7"/>
      <c r="BE568" s="7"/>
      <c r="BF568" s="4" t="str">
        <f>IF(Table43[[#This Row],[SATUAN Fix Win]]&lt;&gt;"","KRT")</f>
        <v>KRT</v>
      </c>
      <c r="BG568" s="4" t="str">
        <f>IF(Table43[[#This Row],[SATUAN Fix Win]]&lt;&gt;"","GD01")</f>
        <v>GD01</v>
      </c>
      <c r="BH568" s="4">
        <f>IF(Table43[[#This Row],[SATUAN Fix Win]]&lt;&gt;"",11611)</f>
        <v>11611</v>
      </c>
      <c r="BI568" s="4">
        <f>IF(Table43[[#This Row],[SATUAN Fix Win]]&lt;&gt;"",11612)</f>
        <v>11612</v>
      </c>
      <c r="BJ568" s="48"/>
      <c r="BK568" s="4">
        <f>IF(Table43[[#This Row],[SATUAN Fix Win]]&lt;&gt;"",1)</f>
        <v>1</v>
      </c>
    </row>
    <row r="569" spans="1:63">
      <c r="A569" s="4" t="str">
        <f>CONCATENATE(Table43[[#This Row],[Kode BARANG Win2]],Table43[[#This Row],[No. Urut
Item Sama]])</f>
        <v>K14500030025102</v>
      </c>
      <c r="B569" s="7">
        <v>2</v>
      </c>
      <c r="D569" s="28" t="s">
        <v>1029</v>
      </c>
      <c r="E569" s="28"/>
      <c r="F569" s="28">
        <v>0</v>
      </c>
      <c r="G569" s="78">
        <v>72</v>
      </c>
      <c r="H569" s="43"/>
      <c r="I569" s="28" t="str">
        <f>Table43[[#This Row],[Nama Jenis Kemasan]]</f>
        <v>BOX</v>
      </c>
      <c r="J569" s="4" t="str">
        <f>TRIM(CONCATENATE(Table43[[#This Row],[Nama            KLP]]," ",Table43[[#This Row],[Nama            Sub KLP]]))</f>
        <v>SASHA HAIR COLORANT</v>
      </c>
      <c r="K569" s="4" t="str">
        <f>CONCATENATE(Table43[[#This Row],[kode  2 Digit                (hrf+No)]],Table43[[#This Row],[kode  2 Digit                (Nomor)]],Table43[[#This Row],[kode  1 Digit                (Nomor)]])</f>
        <v>K1450</v>
      </c>
      <c r="L569" s="4" t="str">
        <f t="shared" si="27"/>
        <v>K1450003002510</v>
      </c>
      <c r="M569" s="11">
        <f t="shared" si="28"/>
        <v>14</v>
      </c>
      <c r="N569" s="14" t="str">
        <f>IF(AF569&lt;&gt;"",TRIM(UPPER(CONCATENATE(P569," ",R569," ",T569," ",V569," ",X569," ",Z569," ","X"," ",Table43[[#This Row],[ISI/CTN]]," ",AF569," ",AB569," ",AD569," ",AH569))),TRIM(UPPER(CONCATENATE(P569," ",R569," ",T569," ",V569," ",X569," ",Z569," ","X"," ",Table43[[#This Row],[ISI/CTN]]," ",AB569," ",AD569," ",AH569))))</f>
        <v>KNF SASHA HAIR COLORANT BLUE BLACK 25GR X 72 BOX</v>
      </c>
      <c r="O569" s="11">
        <f t="shared" si="29"/>
        <v>48</v>
      </c>
      <c r="P569" s="4" t="s">
        <v>97</v>
      </c>
      <c r="Q569" s="7" t="s">
        <v>98</v>
      </c>
      <c r="R569" s="4" t="s">
        <v>3982</v>
      </c>
      <c r="S569" s="44" t="s">
        <v>3983</v>
      </c>
      <c r="T569" s="45" t="s">
        <v>2961</v>
      </c>
      <c r="U569" s="7" t="s">
        <v>2900</v>
      </c>
      <c r="V569" s="45" t="s">
        <v>2961</v>
      </c>
      <c r="W569" s="44" t="s">
        <v>2900</v>
      </c>
      <c r="X569" s="4" t="s">
        <v>3948</v>
      </c>
      <c r="Y569" s="46" t="s">
        <v>2473</v>
      </c>
      <c r="Z569" s="4" t="s">
        <v>3949</v>
      </c>
      <c r="AA569" s="46" t="s">
        <v>2510</v>
      </c>
      <c r="AB569" s="4" t="s">
        <v>1023</v>
      </c>
      <c r="AC569" s="7" t="s">
        <v>2656</v>
      </c>
      <c r="AD569" s="4" t="s">
        <v>2961</v>
      </c>
      <c r="AE569" s="7" t="s">
        <v>2900</v>
      </c>
      <c r="AF569" s="7" t="s">
        <v>2961</v>
      </c>
      <c r="AG569" s="7" t="s">
        <v>2961</v>
      </c>
      <c r="AI569" s="7" t="s">
        <v>2463</v>
      </c>
      <c r="AJ569" s="7" t="s">
        <v>3562</v>
      </c>
      <c r="AK569" s="41">
        <f>Table43[[#This Row],[Harga Jual Pcs GT
(-PPN)]]-(Table43[[#This Row],[Harga Jual Pcs GT
(-PPN)]]*10%)</f>
        <v>0</v>
      </c>
      <c r="AL569" s="42">
        <f>Table43[[#This Row],[Harga Beli Pcs
(-PPN)]]*Table43[[#This Row],[ISI/CTN]]</f>
        <v>0</v>
      </c>
      <c r="AM569" s="42">
        <f>Table43[[#This Row],[Harga Beli Pcs
(-PPN)]]*1.11</f>
        <v>0</v>
      </c>
      <c r="AN569" s="42">
        <f>Table43[[#This Row],[Harga Beli Krt
(- PPN)]]*1.11</f>
        <v>0</v>
      </c>
      <c r="AO569" s="42"/>
      <c r="AP569" s="42">
        <f>Table43[[#This Row],[Harga Jual Pcs GT
(-PPN)]]*Table43[[#This Row],[ISI/CTN]]</f>
        <v>0</v>
      </c>
      <c r="AQ569" s="42">
        <f>Table43[[#This Row],[Harga Jual Pcs GT
(-PPN)]]*1.11</f>
        <v>0</v>
      </c>
      <c r="AR569" s="42">
        <f>Table43[[#This Row],[Harga Jual Krt GT
(- PPN)]]*1.11</f>
        <v>0</v>
      </c>
      <c r="AS569" s="42">
        <f>Table43[[#This Row],[Harga Jual Pcs GT
(-PPN)]]</f>
        <v>0</v>
      </c>
      <c r="AT569" s="42">
        <f>(Table43[[#This Row],[Harga Jual Pcs MT
(-PPN)]]*Table43[[#This Row],[ISI/CTN]])</f>
        <v>0</v>
      </c>
      <c r="AU569" s="42">
        <f>Table43[[#This Row],[Harga Jual Pcs MT
(-PPN)]]*1.11</f>
        <v>0</v>
      </c>
      <c r="AV569" s="42">
        <f>Table43[[#This Row],[Harga Jual Pcs MT
(+PPN)]]*Table43[[#This Row],[ISI/CTN]]</f>
        <v>0</v>
      </c>
      <c r="AW569" s="47"/>
      <c r="AX569" s="7"/>
      <c r="AY569" s="7" t="str">
        <f ca="1">IF(TODAY()-Table43[[#This Row],[Efektif
Pembuatan]]&gt;60,"Lama","Baru")</f>
        <v>Lama</v>
      </c>
      <c r="AZ569" s="7" t="str">
        <f ca="1">IF(TODAY()-Table43[[#This Row],[Efektif Naik Harga]]&lt;30,"Naik","Sama")</f>
        <v>Sama</v>
      </c>
      <c r="BA569" s="7" t="str">
        <f>IF(Table43[[#This Row],[Kode BARANG Win2]]&lt;&gt;"","IDR","")</f>
        <v>IDR</v>
      </c>
      <c r="BB569" s="7" t="str">
        <f>CONCATENATE(Table43[[#This Row],[kode  1 Digit
(Nomor)]],Table43[[#This Row],[kode  4 Digit                (Nomor)]])</f>
        <v>20025</v>
      </c>
      <c r="BC569" s="7" t="str">
        <f>Table43[[#This Row],[Nama            Gramasi atau Jumlah Pack per CTN]]</f>
        <v>25GR</v>
      </c>
      <c r="BD569" s="7"/>
      <c r="BE569" s="7"/>
      <c r="BF569" s="4" t="str">
        <f>IF(Table43[[#This Row],[SATUAN Fix Win]]&lt;&gt;"","KRT")</f>
        <v>KRT</v>
      </c>
      <c r="BG569" s="4" t="str">
        <f>IF(Table43[[#This Row],[SATUAN Fix Win]]&lt;&gt;"","GD01")</f>
        <v>GD01</v>
      </c>
      <c r="BH569" s="4">
        <f>IF(Table43[[#This Row],[SATUAN Fix Win]]&lt;&gt;"",11611)</f>
        <v>11611</v>
      </c>
      <c r="BI569" s="4">
        <f>IF(Table43[[#This Row],[SATUAN Fix Win]]&lt;&gt;"",11612)</f>
        <v>11612</v>
      </c>
      <c r="BJ569" s="48"/>
      <c r="BK569" s="4">
        <f>IF(Table43[[#This Row],[SATUAN Fix Win]]&lt;&gt;"",1)</f>
        <v>1</v>
      </c>
    </row>
    <row r="570" spans="1:63">
      <c r="A570" s="4" t="str">
        <f>CONCATENATE(Table43[[#This Row],[Kode BARANG Win2]],Table43[[#This Row],[No. Urut
Item Sama]])</f>
        <v>K14500040025101</v>
      </c>
      <c r="B570" s="7">
        <v>1</v>
      </c>
      <c r="D570" s="28" t="s">
        <v>1030</v>
      </c>
      <c r="E570" s="28"/>
      <c r="F570" s="28">
        <v>0</v>
      </c>
      <c r="G570" s="78">
        <v>72</v>
      </c>
      <c r="H570" s="43"/>
      <c r="I570" s="28" t="str">
        <f>Table43[[#This Row],[Nama Jenis Kemasan]]</f>
        <v>BOX</v>
      </c>
      <c r="J570" s="4" t="str">
        <f>TRIM(CONCATENATE(Table43[[#This Row],[Nama            KLP]]," ",Table43[[#This Row],[Nama            Sub KLP]]))</f>
        <v>SASHA HAIR COLORANT</v>
      </c>
      <c r="K570" s="4" t="str">
        <f>CONCATENATE(Table43[[#This Row],[kode  2 Digit                (hrf+No)]],Table43[[#This Row],[kode  2 Digit                (Nomor)]],Table43[[#This Row],[kode  1 Digit                (Nomor)]])</f>
        <v>K1450</v>
      </c>
      <c r="L570" s="4" t="str">
        <f t="shared" si="27"/>
        <v>K1450004002510</v>
      </c>
      <c r="M570" s="11">
        <f t="shared" si="28"/>
        <v>14</v>
      </c>
      <c r="N570" s="14" t="str">
        <f>IF(AF570&lt;&gt;"",TRIM(UPPER(CONCATENATE(P570," ",R570," ",T570," ",V570," ",X570," ",Z570," ","X"," ",Table43[[#This Row],[ISI/CTN]]," ",AF570," ",AB570," ",AD570," ",AH570))),TRIM(UPPER(CONCATENATE(P570," ",R570," ",T570," ",V570," ",X570," ",Z570," ","X"," ",Table43[[#This Row],[ISI/CTN]]," ",AB570," ",AD570," ",AH570))))</f>
        <v>KNF SASHA HAIR COLORANT CHOCO BROWN 25GR X 72 BOX</v>
      </c>
      <c r="O570" s="11">
        <f t="shared" si="29"/>
        <v>49</v>
      </c>
      <c r="P570" s="4" t="s">
        <v>97</v>
      </c>
      <c r="Q570" s="7" t="s">
        <v>98</v>
      </c>
      <c r="R570" s="4" t="s">
        <v>3982</v>
      </c>
      <c r="S570" s="44" t="s">
        <v>3983</v>
      </c>
      <c r="T570" s="45" t="s">
        <v>2961</v>
      </c>
      <c r="U570" s="7" t="s">
        <v>2900</v>
      </c>
      <c r="V570" s="45" t="s">
        <v>2961</v>
      </c>
      <c r="W570" s="44" t="s">
        <v>2900</v>
      </c>
      <c r="X570" s="4" t="s">
        <v>3984</v>
      </c>
      <c r="Y570" s="46" t="s">
        <v>2474</v>
      </c>
      <c r="Z570" s="4" t="s">
        <v>3949</v>
      </c>
      <c r="AA570" s="46" t="s">
        <v>2510</v>
      </c>
      <c r="AB570" s="4" t="s">
        <v>1023</v>
      </c>
      <c r="AC570" s="7" t="s">
        <v>2656</v>
      </c>
      <c r="AD570" s="4" t="s">
        <v>2961</v>
      </c>
      <c r="AE570" s="7" t="s">
        <v>2900</v>
      </c>
      <c r="AF570" s="7" t="s">
        <v>2961</v>
      </c>
      <c r="AG570" s="7" t="s">
        <v>2961</v>
      </c>
      <c r="AI570" s="7" t="s">
        <v>2463</v>
      </c>
      <c r="AJ570" s="7" t="s">
        <v>3562</v>
      </c>
      <c r="AK570" s="41">
        <f>Table43[[#This Row],[Harga Jual Pcs GT
(-PPN)]]-(Table43[[#This Row],[Harga Jual Pcs GT
(-PPN)]]*10%)</f>
        <v>0</v>
      </c>
      <c r="AL570" s="42">
        <f>Table43[[#This Row],[Harga Beli Pcs
(-PPN)]]*Table43[[#This Row],[ISI/CTN]]</f>
        <v>0</v>
      </c>
      <c r="AM570" s="42">
        <f>Table43[[#This Row],[Harga Beli Pcs
(-PPN)]]*1.11</f>
        <v>0</v>
      </c>
      <c r="AN570" s="42">
        <f>Table43[[#This Row],[Harga Beli Krt
(- PPN)]]*1.11</f>
        <v>0</v>
      </c>
      <c r="AO570" s="42"/>
      <c r="AP570" s="42">
        <f>Table43[[#This Row],[Harga Jual Pcs GT
(-PPN)]]*Table43[[#This Row],[ISI/CTN]]</f>
        <v>0</v>
      </c>
      <c r="AQ570" s="42">
        <f>Table43[[#This Row],[Harga Jual Pcs GT
(-PPN)]]*1.11</f>
        <v>0</v>
      </c>
      <c r="AR570" s="42">
        <f>Table43[[#This Row],[Harga Jual Krt GT
(- PPN)]]*1.11</f>
        <v>0</v>
      </c>
      <c r="AS570" s="42">
        <f>Table43[[#This Row],[Harga Jual Pcs GT
(-PPN)]]</f>
        <v>0</v>
      </c>
      <c r="AT570" s="42">
        <f>(Table43[[#This Row],[Harga Jual Pcs MT
(-PPN)]]*Table43[[#This Row],[ISI/CTN]])</f>
        <v>0</v>
      </c>
      <c r="AU570" s="42">
        <f>Table43[[#This Row],[Harga Jual Pcs MT
(-PPN)]]*1.11</f>
        <v>0</v>
      </c>
      <c r="AV570" s="42">
        <f>Table43[[#This Row],[Harga Jual Pcs MT
(+PPN)]]*Table43[[#This Row],[ISI/CTN]]</f>
        <v>0</v>
      </c>
      <c r="AW570" s="47"/>
      <c r="AX570" s="7"/>
      <c r="AY570" s="7" t="str">
        <f ca="1">IF(TODAY()-Table43[[#This Row],[Efektif
Pembuatan]]&gt;60,"Lama","Baru")</f>
        <v>Lama</v>
      </c>
      <c r="AZ570" s="7" t="str">
        <f ca="1">IF(TODAY()-Table43[[#This Row],[Efektif Naik Harga]]&lt;30,"Naik","Sama")</f>
        <v>Sama</v>
      </c>
      <c r="BA570" s="7" t="str">
        <f>IF(Table43[[#This Row],[Kode BARANG Win2]]&lt;&gt;"","IDR","")</f>
        <v>IDR</v>
      </c>
      <c r="BB570" s="7" t="str">
        <f>CONCATENATE(Table43[[#This Row],[kode  1 Digit
(Nomor)]],Table43[[#This Row],[kode  4 Digit                (Nomor)]])</f>
        <v>20025</v>
      </c>
      <c r="BC570" s="7" t="str">
        <f>Table43[[#This Row],[Nama            Gramasi atau Jumlah Pack per CTN]]</f>
        <v>25GR</v>
      </c>
      <c r="BD570" s="7"/>
      <c r="BE570" s="7"/>
      <c r="BF570" s="4" t="str">
        <f>IF(Table43[[#This Row],[SATUAN Fix Win]]&lt;&gt;"","KRT")</f>
        <v>KRT</v>
      </c>
      <c r="BG570" s="4" t="str">
        <f>IF(Table43[[#This Row],[SATUAN Fix Win]]&lt;&gt;"","GD01")</f>
        <v>GD01</v>
      </c>
      <c r="BH570" s="4">
        <f>IF(Table43[[#This Row],[SATUAN Fix Win]]&lt;&gt;"",11611)</f>
        <v>11611</v>
      </c>
      <c r="BI570" s="4">
        <f>IF(Table43[[#This Row],[SATUAN Fix Win]]&lt;&gt;"",11612)</f>
        <v>11612</v>
      </c>
      <c r="BJ570" s="48"/>
      <c r="BK570" s="4">
        <f>IF(Table43[[#This Row],[SATUAN Fix Win]]&lt;&gt;"",1)</f>
        <v>1</v>
      </c>
    </row>
    <row r="571" spans="1:63">
      <c r="A571" s="4" t="str">
        <f>CONCATENATE(Table43[[#This Row],[Kode BARANG Win2]],Table43[[#This Row],[No. Urut
Item Sama]])</f>
        <v>K14500050025101</v>
      </c>
      <c r="B571" s="7">
        <v>1</v>
      </c>
      <c r="D571" s="28" t="s">
        <v>1039</v>
      </c>
      <c r="E571" s="28"/>
      <c r="F571" s="28">
        <v>0</v>
      </c>
      <c r="G571" s="78">
        <v>72</v>
      </c>
      <c r="H571" s="43"/>
      <c r="I571" s="28" t="str">
        <f>Table43[[#This Row],[Nama Jenis Kemasan]]</f>
        <v>BOX</v>
      </c>
      <c r="J571" s="4" t="str">
        <f>TRIM(CONCATENATE(Table43[[#This Row],[Nama            KLP]]," ",Table43[[#This Row],[Nama            Sub KLP]]))</f>
        <v>SASHA HAIR COLORANT</v>
      </c>
      <c r="K571" s="4" t="str">
        <f>CONCATENATE(Table43[[#This Row],[kode  2 Digit                (hrf+No)]],Table43[[#This Row],[kode  2 Digit                (Nomor)]],Table43[[#This Row],[kode  1 Digit                (Nomor)]])</f>
        <v>K1450</v>
      </c>
      <c r="L571" s="4" t="str">
        <f t="shared" si="27"/>
        <v>K1450005002510</v>
      </c>
      <c r="M571" s="11">
        <f t="shared" si="28"/>
        <v>14</v>
      </c>
      <c r="N571" s="14" t="str">
        <f>IF(AF571&lt;&gt;"",TRIM(UPPER(CONCATENATE(P571," ",R571," ",T571," ",V571," ",X571," ",Z571," ","X"," ",Table43[[#This Row],[ISI/CTN]]," ",AF571," ",AB571," ",AD571," ",AH571))),TRIM(UPPER(CONCATENATE(P571," ",R571," ",T571," ",V571," ",X571," ",Z571," ","X"," ",Table43[[#This Row],[ISI/CTN]]," ",AB571," ",AD571," ",AH571))))</f>
        <v>KNF SASHA HAIR COLORANT DUSTY PHINE 25GR X 72 BOX</v>
      </c>
      <c r="O571" s="11">
        <f t="shared" si="29"/>
        <v>49</v>
      </c>
      <c r="P571" s="4" t="s">
        <v>97</v>
      </c>
      <c r="Q571" s="7" t="s">
        <v>98</v>
      </c>
      <c r="R571" s="4" t="s">
        <v>3982</v>
      </c>
      <c r="S571" s="44" t="s">
        <v>3983</v>
      </c>
      <c r="T571" s="45" t="s">
        <v>2961</v>
      </c>
      <c r="U571" s="7" t="s">
        <v>2900</v>
      </c>
      <c r="V571" s="45" t="s">
        <v>2961</v>
      </c>
      <c r="W571" s="44" t="s">
        <v>2900</v>
      </c>
      <c r="X571" s="4" t="s">
        <v>3985</v>
      </c>
      <c r="Y571" s="46" t="s">
        <v>2475</v>
      </c>
      <c r="Z571" s="4" t="s">
        <v>3949</v>
      </c>
      <c r="AA571" s="46" t="s">
        <v>2510</v>
      </c>
      <c r="AB571" s="4" t="s">
        <v>1023</v>
      </c>
      <c r="AC571" s="7" t="s">
        <v>2656</v>
      </c>
      <c r="AD571" s="4" t="s">
        <v>2961</v>
      </c>
      <c r="AE571" s="7" t="s">
        <v>2900</v>
      </c>
      <c r="AF571" s="7" t="s">
        <v>2961</v>
      </c>
      <c r="AG571" s="7" t="s">
        <v>2961</v>
      </c>
      <c r="AI571" s="7" t="s">
        <v>2463</v>
      </c>
      <c r="AJ571" s="7" t="s">
        <v>3562</v>
      </c>
      <c r="AK571" s="41">
        <f>Table43[[#This Row],[Harga Jual Pcs GT
(-PPN)]]-(Table43[[#This Row],[Harga Jual Pcs GT
(-PPN)]]*10%)</f>
        <v>0</v>
      </c>
      <c r="AL571" s="42">
        <f>Table43[[#This Row],[Harga Beli Pcs
(-PPN)]]*Table43[[#This Row],[ISI/CTN]]</f>
        <v>0</v>
      </c>
      <c r="AM571" s="42">
        <f>Table43[[#This Row],[Harga Beli Pcs
(-PPN)]]*1.11</f>
        <v>0</v>
      </c>
      <c r="AN571" s="42">
        <f>Table43[[#This Row],[Harga Beli Krt
(- PPN)]]*1.11</f>
        <v>0</v>
      </c>
      <c r="AO571" s="42"/>
      <c r="AP571" s="42">
        <f>Table43[[#This Row],[Harga Jual Pcs GT
(-PPN)]]*Table43[[#This Row],[ISI/CTN]]</f>
        <v>0</v>
      </c>
      <c r="AQ571" s="42">
        <f>Table43[[#This Row],[Harga Jual Pcs GT
(-PPN)]]*1.11</f>
        <v>0</v>
      </c>
      <c r="AR571" s="42">
        <f>Table43[[#This Row],[Harga Jual Krt GT
(- PPN)]]*1.11</f>
        <v>0</v>
      </c>
      <c r="AS571" s="42">
        <f>Table43[[#This Row],[Harga Jual Pcs GT
(-PPN)]]</f>
        <v>0</v>
      </c>
      <c r="AT571" s="42">
        <f>(Table43[[#This Row],[Harga Jual Pcs MT
(-PPN)]]*Table43[[#This Row],[ISI/CTN]])</f>
        <v>0</v>
      </c>
      <c r="AU571" s="42">
        <f>Table43[[#This Row],[Harga Jual Pcs MT
(-PPN)]]*1.11</f>
        <v>0</v>
      </c>
      <c r="AV571" s="42">
        <f>Table43[[#This Row],[Harga Jual Pcs MT
(+PPN)]]*Table43[[#This Row],[ISI/CTN]]</f>
        <v>0</v>
      </c>
      <c r="AW571" s="47"/>
      <c r="AX571" s="7"/>
      <c r="AY571" s="7" t="str">
        <f ca="1">IF(TODAY()-Table43[[#This Row],[Efektif
Pembuatan]]&gt;60,"Lama","Baru")</f>
        <v>Lama</v>
      </c>
      <c r="AZ571" s="7" t="str">
        <f ca="1">IF(TODAY()-Table43[[#This Row],[Efektif Naik Harga]]&lt;30,"Naik","Sama")</f>
        <v>Sama</v>
      </c>
      <c r="BA571" s="7" t="str">
        <f>IF(Table43[[#This Row],[Kode BARANG Win2]]&lt;&gt;"","IDR","")</f>
        <v>IDR</v>
      </c>
      <c r="BB571" s="7" t="str">
        <f>CONCATENATE(Table43[[#This Row],[kode  1 Digit
(Nomor)]],Table43[[#This Row],[kode  4 Digit                (Nomor)]])</f>
        <v>20025</v>
      </c>
      <c r="BC571" s="7" t="str">
        <f>Table43[[#This Row],[Nama            Gramasi atau Jumlah Pack per CTN]]</f>
        <v>25GR</v>
      </c>
      <c r="BD571" s="7"/>
      <c r="BE571" s="7"/>
      <c r="BF571" s="4" t="str">
        <f>IF(Table43[[#This Row],[SATUAN Fix Win]]&lt;&gt;"","KRT")</f>
        <v>KRT</v>
      </c>
      <c r="BG571" s="4" t="str">
        <f>IF(Table43[[#This Row],[SATUAN Fix Win]]&lt;&gt;"","GD01")</f>
        <v>GD01</v>
      </c>
      <c r="BH571" s="4">
        <f>IF(Table43[[#This Row],[SATUAN Fix Win]]&lt;&gt;"",11611)</f>
        <v>11611</v>
      </c>
      <c r="BI571" s="4">
        <f>IF(Table43[[#This Row],[SATUAN Fix Win]]&lt;&gt;"",11612)</f>
        <v>11612</v>
      </c>
      <c r="BJ571" s="48"/>
      <c r="BK571" s="4">
        <f>IF(Table43[[#This Row],[SATUAN Fix Win]]&lt;&gt;"",1)</f>
        <v>1</v>
      </c>
    </row>
    <row r="572" spans="1:63">
      <c r="A572" s="4" t="str">
        <f>CONCATENATE(Table43[[#This Row],[Kode BARANG Win2]],Table43[[#This Row],[No. Urut
Item Sama]])</f>
        <v>K14500060025101</v>
      </c>
      <c r="B572" s="7">
        <v>1</v>
      </c>
      <c r="D572" s="28" t="s">
        <v>1032</v>
      </c>
      <c r="E572" s="28"/>
      <c r="F572" s="28">
        <v>0</v>
      </c>
      <c r="G572" s="78">
        <v>72</v>
      </c>
      <c r="H572" s="43"/>
      <c r="I572" s="28" t="str">
        <f>Table43[[#This Row],[Nama Jenis Kemasan]]</f>
        <v>BOX</v>
      </c>
      <c r="J572" s="4" t="str">
        <f>TRIM(CONCATENATE(Table43[[#This Row],[Nama            KLP]]," ",Table43[[#This Row],[Nama            Sub KLP]]))</f>
        <v>SASHA HAIR COLORANT</v>
      </c>
      <c r="K572" s="4" t="str">
        <f>CONCATENATE(Table43[[#This Row],[kode  2 Digit                (hrf+No)]],Table43[[#This Row],[kode  2 Digit                (Nomor)]],Table43[[#This Row],[kode  1 Digit                (Nomor)]])</f>
        <v>K1450</v>
      </c>
      <c r="L572" s="4" t="str">
        <f t="shared" si="27"/>
        <v>K1450006002510</v>
      </c>
      <c r="M572" s="11">
        <f t="shared" si="28"/>
        <v>14</v>
      </c>
      <c r="N572" s="14" t="str">
        <f>IF(AF572&lt;&gt;"",TRIM(UPPER(CONCATENATE(P572," ",R572," ",T572," ",V572," ",X572," ",Z572," ","X"," ",Table43[[#This Row],[ISI/CTN]]," ",AF572," ",AB572," ",AD572," ",AH572))),TRIM(UPPER(CONCATENATE(P572," ",R572," ",T572," ",V572," ",X572," ",Z572," ","X"," ",Table43[[#This Row],[ISI/CTN]]," ",AB572," ",AD572," ",AH572))))</f>
        <v>KNF SASHA HAIR COLORANT GOLDEN 25GR X 72 BOX</v>
      </c>
      <c r="O572" s="11">
        <f t="shared" si="29"/>
        <v>44</v>
      </c>
      <c r="P572" s="4" t="s">
        <v>97</v>
      </c>
      <c r="Q572" s="7" t="s">
        <v>98</v>
      </c>
      <c r="R572" s="4" t="s">
        <v>3982</v>
      </c>
      <c r="S572" s="44" t="s">
        <v>3983</v>
      </c>
      <c r="T572" s="45" t="s">
        <v>2961</v>
      </c>
      <c r="U572" s="7" t="s">
        <v>2900</v>
      </c>
      <c r="V572" s="45" t="s">
        <v>2961</v>
      </c>
      <c r="W572" s="44" t="s">
        <v>2900</v>
      </c>
      <c r="X572" s="4" t="s">
        <v>3956</v>
      </c>
      <c r="Y572" s="46" t="s">
        <v>2476</v>
      </c>
      <c r="Z572" s="4" t="s">
        <v>3949</v>
      </c>
      <c r="AA572" s="46" t="s">
        <v>2510</v>
      </c>
      <c r="AB572" s="4" t="s">
        <v>1023</v>
      </c>
      <c r="AC572" s="7" t="s">
        <v>2656</v>
      </c>
      <c r="AD572" s="4" t="s">
        <v>2961</v>
      </c>
      <c r="AE572" s="7" t="s">
        <v>2900</v>
      </c>
      <c r="AF572" s="7" t="s">
        <v>2961</v>
      </c>
      <c r="AG572" s="7" t="s">
        <v>2961</v>
      </c>
      <c r="AI572" s="7" t="s">
        <v>2463</v>
      </c>
      <c r="AJ572" s="7" t="s">
        <v>3562</v>
      </c>
      <c r="AK572" s="41">
        <f>Table43[[#This Row],[Harga Jual Pcs GT
(-PPN)]]-(Table43[[#This Row],[Harga Jual Pcs GT
(-PPN)]]*10%)</f>
        <v>0</v>
      </c>
      <c r="AL572" s="42">
        <f>Table43[[#This Row],[Harga Beli Pcs
(-PPN)]]*Table43[[#This Row],[ISI/CTN]]</f>
        <v>0</v>
      </c>
      <c r="AM572" s="42">
        <f>Table43[[#This Row],[Harga Beli Pcs
(-PPN)]]*1.11</f>
        <v>0</v>
      </c>
      <c r="AN572" s="42">
        <f>Table43[[#This Row],[Harga Beli Krt
(- PPN)]]*1.11</f>
        <v>0</v>
      </c>
      <c r="AO572" s="42"/>
      <c r="AP572" s="42">
        <f>Table43[[#This Row],[Harga Jual Pcs GT
(-PPN)]]*Table43[[#This Row],[ISI/CTN]]</f>
        <v>0</v>
      </c>
      <c r="AQ572" s="42">
        <f>Table43[[#This Row],[Harga Jual Pcs GT
(-PPN)]]*1.11</f>
        <v>0</v>
      </c>
      <c r="AR572" s="42">
        <f>Table43[[#This Row],[Harga Jual Krt GT
(- PPN)]]*1.11</f>
        <v>0</v>
      </c>
      <c r="AS572" s="42">
        <f>Table43[[#This Row],[Harga Jual Pcs GT
(-PPN)]]</f>
        <v>0</v>
      </c>
      <c r="AT572" s="42">
        <f>(Table43[[#This Row],[Harga Jual Pcs MT
(-PPN)]]*Table43[[#This Row],[ISI/CTN]])</f>
        <v>0</v>
      </c>
      <c r="AU572" s="42">
        <f>Table43[[#This Row],[Harga Jual Pcs MT
(-PPN)]]*1.11</f>
        <v>0</v>
      </c>
      <c r="AV572" s="42">
        <f>Table43[[#This Row],[Harga Jual Pcs MT
(+PPN)]]*Table43[[#This Row],[ISI/CTN]]</f>
        <v>0</v>
      </c>
      <c r="AW572" s="47"/>
      <c r="AX572" s="7"/>
      <c r="AY572" s="7" t="str">
        <f ca="1">IF(TODAY()-Table43[[#This Row],[Efektif
Pembuatan]]&gt;60,"Lama","Baru")</f>
        <v>Lama</v>
      </c>
      <c r="AZ572" s="7" t="str">
        <f ca="1">IF(TODAY()-Table43[[#This Row],[Efektif Naik Harga]]&lt;30,"Naik","Sama")</f>
        <v>Sama</v>
      </c>
      <c r="BA572" s="7" t="str">
        <f>IF(Table43[[#This Row],[Kode BARANG Win2]]&lt;&gt;"","IDR","")</f>
        <v>IDR</v>
      </c>
      <c r="BB572" s="7" t="str">
        <f>CONCATENATE(Table43[[#This Row],[kode  1 Digit
(Nomor)]],Table43[[#This Row],[kode  4 Digit                (Nomor)]])</f>
        <v>20025</v>
      </c>
      <c r="BC572" s="7" t="str">
        <f>Table43[[#This Row],[Nama            Gramasi atau Jumlah Pack per CTN]]</f>
        <v>25GR</v>
      </c>
      <c r="BD572" s="7"/>
      <c r="BE572" s="7"/>
      <c r="BF572" s="4" t="str">
        <f>IF(Table43[[#This Row],[SATUAN Fix Win]]&lt;&gt;"","KRT")</f>
        <v>KRT</v>
      </c>
      <c r="BG572" s="4" t="str">
        <f>IF(Table43[[#This Row],[SATUAN Fix Win]]&lt;&gt;"","GD01")</f>
        <v>GD01</v>
      </c>
      <c r="BH572" s="4">
        <f>IF(Table43[[#This Row],[SATUAN Fix Win]]&lt;&gt;"",11611)</f>
        <v>11611</v>
      </c>
      <c r="BI572" s="4">
        <f>IF(Table43[[#This Row],[SATUAN Fix Win]]&lt;&gt;"",11612)</f>
        <v>11612</v>
      </c>
      <c r="BJ572" s="48"/>
      <c r="BK572" s="4">
        <f>IF(Table43[[#This Row],[SATUAN Fix Win]]&lt;&gt;"",1)</f>
        <v>1</v>
      </c>
    </row>
    <row r="573" spans="1:63">
      <c r="A573" s="4" t="str">
        <f>CONCATENATE(Table43[[#This Row],[Kode BARANG Win2]],Table43[[#This Row],[No. Urut
Item Sama]])</f>
        <v>K14500070025102</v>
      </c>
      <c r="B573" s="7">
        <v>2</v>
      </c>
      <c r="D573" s="28" t="s">
        <v>1031</v>
      </c>
      <c r="E573" s="28"/>
      <c r="F573" s="28">
        <v>0</v>
      </c>
      <c r="G573" s="78">
        <v>72</v>
      </c>
      <c r="H573" s="43"/>
      <c r="I573" s="28" t="str">
        <f>Table43[[#This Row],[Nama Jenis Kemasan]]</f>
        <v>BOX</v>
      </c>
      <c r="J573" s="4" t="str">
        <f>TRIM(CONCATENATE(Table43[[#This Row],[Nama            KLP]]," ",Table43[[#This Row],[Nama            Sub KLP]]))</f>
        <v>SASHA HAIR COLORANT</v>
      </c>
      <c r="K573" s="4" t="str">
        <f>CONCATENATE(Table43[[#This Row],[kode  2 Digit                (hrf+No)]],Table43[[#This Row],[kode  2 Digit                (Nomor)]],Table43[[#This Row],[kode  1 Digit                (Nomor)]])</f>
        <v>K1450</v>
      </c>
      <c r="L573" s="4" t="str">
        <f t="shared" si="27"/>
        <v>K1450007002510</v>
      </c>
      <c r="M573" s="11">
        <f t="shared" si="28"/>
        <v>14</v>
      </c>
      <c r="N573" s="14" t="str">
        <f>IF(AF573&lt;&gt;"",TRIM(UPPER(CONCATENATE(P573," ",R573," ",T573," ",V573," ",X573," ",Z573," ","X"," ",Table43[[#This Row],[ISI/CTN]]," ",AF573," ",AB573," ",AD573," ",AH573))),TRIM(UPPER(CONCATENATE(P573," ",R573," ",T573," ",V573," ",X573," ",Z573," ","X"," ",Table43[[#This Row],[ISI/CTN]]," ",AB573," ",AD573," ",AH573))))</f>
        <v>KNF SASHA HAIR COLORANT GOLDEN BLONDE 25GR X 72 BOX</v>
      </c>
      <c r="O573" s="11">
        <f t="shared" si="29"/>
        <v>51</v>
      </c>
      <c r="P573" s="4" t="s">
        <v>97</v>
      </c>
      <c r="Q573" s="7" t="s">
        <v>98</v>
      </c>
      <c r="R573" s="4" t="s">
        <v>3982</v>
      </c>
      <c r="S573" s="44" t="s">
        <v>3983</v>
      </c>
      <c r="T573" s="45" t="s">
        <v>2961</v>
      </c>
      <c r="U573" s="7" t="s">
        <v>2900</v>
      </c>
      <c r="V573" s="45" t="s">
        <v>2961</v>
      </c>
      <c r="W573" s="44" t="s">
        <v>2900</v>
      </c>
      <c r="X573" s="4" t="s">
        <v>3986</v>
      </c>
      <c r="Y573" s="46" t="s">
        <v>2477</v>
      </c>
      <c r="Z573" s="4" t="s">
        <v>3949</v>
      </c>
      <c r="AA573" s="46" t="s">
        <v>2510</v>
      </c>
      <c r="AB573" s="4" t="s">
        <v>1023</v>
      </c>
      <c r="AC573" s="7" t="s">
        <v>2656</v>
      </c>
      <c r="AD573" s="4" t="s">
        <v>2961</v>
      </c>
      <c r="AE573" s="7" t="s">
        <v>2900</v>
      </c>
      <c r="AF573" s="7" t="s">
        <v>2961</v>
      </c>
      <c r="AG573" s="7" t="s">
        <v>2961</v>
      </c>
      <c r="AI573" s="7" t="s">
        <v>2463</v>
      </c>
      <c r="AJ573" s="7" t="s">
        <v>3562</v>
      </c>
      <c r="AK573" s="41">
        <f>Table43[[#This Row],[Harga Jual Pcs GT
(-PPN)]]-(Table43[[#This Row],[Harga Jual Pcs GT
(-PPN)]]*10%)</f>
        <v>0</v>
      </c>
      <c r="AL573" s="42">
        <f>Table43[[#This Row],[Harga Beli Pcs
(-PPN)]]*Table43[[#This Row],[ISI/CTN]]</f>
        <v>0</v>
      </c>
      <c r="AM573" s="42">
        <f>Table43[[#This Row],[Harga Beli Pcs
(-PPN)]]*1.11</f>
        <v>0</v>
      </c>
      <c r="AN573" s="42">
        <f>Table43[[#This Row],[Harga Beli Krt
(- PPN)]]*1.11</f>
        <v>0</v>
      </c>
      <c r="AO573" s="42"/>
      <c r="AP573" s="42">
        <f>Table43[[#This Row],[Harga Jual Pcs GT
(-PPN)]]*Table43[[#This Row],[ISI/CTN]]</f>
        <v>0</v>
      </c>
      <c r="AQ573" s="42">
        <f>Table43[[#This Row],[Harga Jual Pcs GT
(-PPN)]]*1.11</f>
        <v>0</v>
      </c>
      <c r="AR573" s="42">
        <f>Table43[[#This Row],[Harga Jual Krt GT
(- PPN)]]*1.11</f>
        <v>0</v>
      </c>
      <c r="AS573" s="42">
        <f>Table43[[#This Row],[Harga Jual Pcs GT
(-PPN)]]</f>
        <v>0</v>
      </c>
      <c r="AT573" s="42">
        <f>(Table43[[#This Row],[Harga Jual Pcs MT
(-PPN)]]*Table43[[#This Row],[ISI/CTN]])</f>
        <v>0</v>
      </c>
      <c r="AU573" s="42">
        <f>Table43[[#This Row],[Harga Jual Pcs MT
(-PPN)]]*1.11</f>
        <v>0</v>
      </c>
      <c r="AV573" s="42">
        <f>Table43[[#This Row],[Harga Jual Pcs MT
(+PPN)]]*Table43[[#This Row],[ISI/CTN]]</f>
        <v>0</v>
      </c>
      <c r="AW573" s="47"/>
      <c r="AX573" s="7"/>
      <c r="AY573" s="7" t="str">
        <f ca="1">IF(TODAY()-Table43[[#This Row],[Efektif
Pembuatan]]&gt;60,"Lama","Baru")</f>
        <v>Lama</v>
      </c>
      <c r="AZ573" s="7" t="str">
        <f ca="1">IF(TODAY()-Table43[[#This Row],[Efektif Naik Harga]]&lt;30,"Naik","Sama")</f>
        <v>Sama</v>
      </c>
      <c r="BA573" s="7" t="str">
        <f>IF(Table43[[#This Row],[Kode BARANG Win2]]&lt;&gt;"","IDR","")</f>
        <v>IDR</v>
      </c>
      <c r="BB573" s="7" t="str">
        <f>CONCATENATE(Table43[[#This Row],[kode  1 Digit
(Nomor)]],Table43[[#This Row],[kode  4 Digit                (Nomor)]])</f>
        <v>20025</v>
      </c>
      <c r="BC573" s="7" t="str">
        <f>Table43[[#This Row],[Nama            Gramasi atau Jumlah Pack per CTN]]</f>
        <v>25GR</v>
      </c>
      <c r="BD573" s="7"/>
      <c r="BE573" s="7"/>
      <c r="BF573" s="4" t="str">
        <f>IF(Table43[[#This Row],[SATUAN Fix Win]]&lt;&gt;"","KRT")</f>
        <v>KRT</v>
      </c>
      <c r="BG573" s="4" t="str">
        <f>IF(Table43[[#This Row],[SATUAN Fix Win]]&lt;&gt;"","GD01")</f>
        <v>GD01</v>
      </c>
      <c r="BH573" s="4">
        <f>IF(Table43[[#This Row],[SATUAN Fix Win]]&lt;&gt;"",11611)</f>
        <v>11611</v>
      </c>
      <c r="BI573" s="4">
        <f>IF(Table43[[#This Row],[SATUAN Fix Win]]&lt;&gt;"",11612)</f>
        <v>11612</v>
      </c>
      <c r="BJ573" s="48"/>
      <c r="BK573" s="4">
        <f>IF(Table43[[#This Row],[SATUAN Fix Win]]&lt;&gt;"",1)</f>
        <v>1</v>
      </c>
    </row>
    <row r="574" spans="1:63">
      <c r="A574" s="4" t="str">
        <f>CONCATENATE(Table43[[#This Row],[Kode BARANG Win2]],Table43[[#This Row],[No. Urut
Item Sama]])</f>
        <v>K14500080025101</v>
      </c>
      <c r="B574" s="7">
        <v>1</v>
      </c>
      <c r="D574" s="28" t="s">
        <v>1038</v>
      </c>
      <c r="E574" s="28"/>
      <c r="F574" s="28">
        <v>0</v>
      </c>
      <c r="G574" s="78">
        <v>72</v>
      </c>
      <c r="H574" s="43"/>
      <c r="I574" s="28" t="str">
        <f>Table43[[#This Row],[Nama Jenis Kemasan]]</f>
        <v>BOX</v>
      </c>
      <c r="J574" s="4" t="str">
        <f>TRIM(CONCATENATE(Table43[[#This Row],[Nama            KLP]]," ",Table43[[#This Row],[Nama            Sub KLP]]))</f>
        <v>SASHA HAIR COLORANT</v>
      </c>
      <c r="K574" s="4" t="str">
        <f>CONCATENATE(Table43[[#This Row],[kode  2 Digit                (hrf+No)]],Table43[[#This Row],[kode  2 Digit                (Nomor)]],Table43[[#This Row],[kode  1 Digit                (Nomor)]])</f>
        <v>K1450</v>
      </c>
      <c r="L574" s="4" t="str">
        <f t="shared" si="27"/>
        <v>K1450008002510</v>
      </c>
      <c r="M574" s="11">
        <f t="shared" si="28"/>
        <v>14</v>
      </c>
      <c r="N574" s="14" t="str">
        <f>IF(AF574&lt;&gt;"",TRIM(UPPER(CONCATENATE(P574," ",R574," ",T574," ",V574," ",X574," ",Z574," ","X"," ",Table43[[#This Row],[ISI/CTN]]," ",AF574," ",AB574," ",AD574," ",AH574))),TRIM(UPPER(CONCATENATE(P574," ",R574," ",T574," ",V574," ",X574," ",Z574," ","X"," ",Table43[[#This Row],[ISI/CTN]]," ",AB574," ",AD574," ",AH574))))</f>
        <v>KNF SASHA HAIR COLORANT GREEN TOSCA 25GR X 72 BOX</v>
      </c>
      <c r="O574" s="11">
        <f t="shared" si="29"/>
        <v>49</v>
      </c>
      <c r="P574" s="4" t="s">
        <v>97</v>
      </c>
      <c r="Q574" s="7" t="s">
        <v>98</v>
      </c>
      <c r="R574" s="4" t="s">
        <v>3982</v>
      </c>
      <c r="S574" s="44" t="s">
        <v>3983</v>
      </c>
      <c r="T574" s="45" t="s">
        <v>2961</v>
      </c>
      <c r="U574" s="7" t="s">
        <v>2900</v>
      </c>
      <c r="V574" s="45" t="s">
        <v>2961</v>
      </c>
      <c r="W574" s="44" t="s">
        <v>2900</v>
      </c>
      <c r="X574" s="4" t="s">
        <v>3964</v>
      </c>
      <c r="Y574" s="46" t="s">
        <v>2478</v>
      </c>
      <c r="Z574" s="4" t="s">
        <v>3949</v>
      </c>
      <c r="AA574" s="46" t="s">
        <v>2510</v>
      </c>
      <c r="AB574" s="4" t="s">
        <v>1023</v>
      </c>
      <c r="AC574" s="7" t="s">
        <v>2656</v>
      </c>
      <c r="AD574" s="4" t="s">
        <v>2961</v>
      </c>
      <c r="AE574" s="7" t="s">
        <v>2900</v>
      </c>
      <c r="AF574" s="7" t="s">
        <v>2961</v>
      </c>
      <c r="AG574" s="7" t="s">
        <v>2961</v>
      </c>
      <c r="AI574" s="7" t="s">
        <v>2463</v>
      </c>
      <c r="AJ574" s="7" t="s">
        <v>3562</v>
      </c>
      <c r="AK574" s="41">
        <f>Table43[[#This Row],[Harga Jual Pcs GT
(-PPN)]]-(Table43[[#This Row],[Harga Jual Pcs GT
(-PPN)]]*10%)</f>
        <v>0</v>
      </c>
      <c r="AL574" s="42">
        <f>Table43[[#This Row],[Harga Beli Pcs
(-PPN)]]*Table43[[#This Row],[ISI/CTN]]</f>
        <v>0</v>
      </c>
      <c r="AM574" s="42">
        <f>Table43[[#This Row],[Harga Beli Pcs
(-PPN)]]*1.11</f>
        <v>0</v>
      </c>
      <c r="AN574" s="42">
        <f>Table43[[#This Row],[Harga Beli Krt
(- PPN)]]*1.11</f>
        <v>0</v>
      </c>
      <c r="AO574" s="42"/>
      <c r="AP574" s="42">
        <f>Table43[[#This Row],[Harga Jual Pcs GT
(-PPN)]]*Table43[[#This Row],[ISI/CTN]]</f>
        <v>0</v>
      </c>
      <c r="AQ574" s="42">
        <f>Table43[[#This Row],[Harga Jual Pcs GT
(-PPN)]]*1.11</f>
        <v>0</v>
      </c>
      <c r="AR574" s="42">
        <f>Table43[[#This Row],[Harga Jual Krt GT
(- PPN)]]*1.11</f>
        <v>0</v>
      </c>
      <c r="AS574" s="42">
        <f>Table43[[#This Row],[Harga Jual Pcs GT
(-PPN)]]</f>
        <v>0</v>
      </c>
      <c r="AT574" s="42">
        <f>(Table43[[#This Row],[Harga Jual Pcs MT
(-PPN)]]*Table43[[#This Row],[ISI/CTN]])</f>
        <v>0</v>
      </c>
      <c r="AU574" s="42">
        <f>Table43[[#This Row],[Harga Jual Pcs MT
(-PPN)]]*1.11</f>
        <v>0</v>
      </c>
      <c r="AV574" s="42">
        <f>Table43[[#This Row],[Harga Jual Pcs MT
(+PPN)]]*Table43[[#This Row],[ISI/CTN]]</f>
        <v>0</v>
      </c>
      <c r="AW574" s="47"/>
      <c r="AX574" s="7"/>
      <c r="AY574" s="7" t="str">
        <f ca="1">IF(TODAY()-Table43[[#This Row],[Efektif
Pembuatan]]&gt;60,"Lama","Baru")</f>
        <v>Lama</v>
      </c>
      <c r="AZ574" s="7" t="str">
        <f ca="1">IF(TODAY()-Table43[[#This Row],[Efektif Naik Harga]]&lt;30,"Naik","Sama")</f>
        <v>Sama</v>
      </c>
      <c r="BA574" s="7" t="str">
        <f>IF(Table43[[#This Row],[Kode BARANG Win2]]&lt;&gt;"","IDR","")</f>
        <v>IDR</v>
      </c>
      <c r="BB574" s="7" t="str">
        <f>CONCATENATE(Table43[[#This Row],[kode  1 Digit
(Nomor)]],Table43[[#This Row],[kode  4 Digit                (Nomor)]])</f>
        <v>20025</v>
      </c>
      <c r="BC574" s="7" t="str">
        <f>Table43[[#This Row],[Nama            Gramasi atau Jumlah Pack per CTN]]</f>
        <v>25GR</v>
      </c>
      <c r="BD574" s="7"/>
      <c r="BE574" s="7"/>
      <c r="BF574" s="4" t="str">
        <f>IF(Table43[[#This Row],[SATUAN Fix Win]]&lt;&gt;"","KRT")</f>
        <v>KRT</v>
      </c>
      <c r="BG574" s="4" t="str">
        <f>IF(Table43[[#This Row],[SATUAN Fix Win]]&lt;&gt;"","GD01")</f>
        <v>GD01</v>
      </c>
      <c r="BH574" s="4">
        <f>IF(Table43[[#This Row],[SATUAN Fix Win]]&lt;&gt;"",11611)</f>
        <v>11611</v>
      </c>
      <c r="BI574" s="4">
        <f>IF(Table43[[#This Row],[SATUAN Fix Win]]&lt;&gt;"",11612)</f>
        <v>11612</v>
      </c>
      <c r="BJ574" s="48"/>
      <c r="BK574" s="4">
        <f>IF(Table43[[#This Row],[SATUAN Fix Win]]&lt;&gt;"",1)</f>
        <v>1</v>
      </c>
    </row>
    <row r="575" spans="1:63">
      <c r="A575" s="4" t="str">
        <f>CONCATENATE(Table43[[#This Row],[Kode BARANG Win2]],Table43[[#This Row],[No. Urut
Item Sama]])</f>
        <v>K14500090025101</v>
      </c>
      <c r="B575" s="7">
        <v>1</v>
      </c>
      <c r="D575" s="28" t="s">
        <v>1033</v>
      </c>
      <c r="E575" s="28"/>
      <c r="F575" s="28">
        <v>0</v>
      </c>
      <c r="G575" s="78">
        <v>72</v>
      </c>
      <c r="H575" s="43"/>
      <c r="I575" s="28" t="str">
        <f>Table43[[#This Row],[Nama Jenis Kemasan]]</f>
        <v>BOX</v>
      </c>
      <c r="J575" s="4" t="str">
        <f>TRIM(CONCATENATE(Table43[[#This Row],[Nama            KLP]]," ",Table43[[#This Row],[Nama            Sub KLP]]))</f>
        <v>SASHA HAIR COLORANT</v>
      </c>
      <c r="K575" s="4" t="str">
        <f>CONCATENATE(Table43[[#This Row],[kode  2 Digit                (hrf+No)]],Table43[[#This Row],[kode  2 Digit                (Nomor)]],Table43[[#This Row],[kode  1 Digit                (Nomor)]])</f>
        <v>K1450</v>
      </c>
      <c r="L575" s="4" t="str">
        <f t="shared" si="27"/>
        <v>K1450009002510</v>
      </c>
      <c r="M575" s="11">
        <f t="shared" si="28"/>
        <v>14</v>
      </c>
      <c r="N575" s="14" t="str">
        <f>IF(AF575&lt;&gt;"",TRIM(UPPER(CONCATENATE(P575," ",R575," ",T575," ",V575," ",X575," ",Z575," ","X"," ",Table43[[#This Row],[ISI/CTN]]," ",AF575," ",AB575," ",AD575," ",AH575))),TRIM(UPPER(CONCATENATE(P575," ",R575," ",T575," ",V575," ",X575," ",Z575," ","X"," ",Table43[[#This Row],[ISI/CTN]]," ",AB575," ",AD575," ",AH575))))</f>
        <v>KNF SASHA HAIR COLORANT NATURAL BLACK 25GR X 72 BOX</v>
      </c>
      <c r="O575" s="11">
        <f t="shared" si="29"/>
        <v>51</v>
      </c>
      <c r="P575" s="4" t="s">
        <v>97</v>
      </c>
      <c r="Q575" s="7" t="s">
        <v>98</v>
      </c>
      <c r="R575" s="4" t="s">
        <v>3982</v>
      </c>
      <c r="S575" s="44" t="s">
        <v>3983</v>
      </c>
      <c r="T575" s="45" t="s">
        <v>2961</v>
      </c>
      <c r="U575" s="7" t="s">
        <v>2900</v>
      </c>
      <c r="V575" s="45" t="s">
        <v>2961</v>
      </c>
      <c r="W575" s="44" t="s">
        <v>2900</v>
      </c>
      <c r="X575" s="4" t="s">
        <v>3987</v>
      </c>
      <c r="Y575" s="46" t="s">
        <v>2479</v>
      </c>
      <c r="Z575" s="4" t="s">
        <v>3949</v>
      </c>
      <c r="AA575" s="46" t="s">
        <v>2510</v>
      </c>
      <c r="AB575" s="4" t="s">
        <v>1023</v>
      </c>
      <c r="AC575" s="7" t="s">
        <v>2656</v>
      </c>
      <c r="AD575" s="4" t="s">
        <v>2961</v>
      </c>
      <c r="AE575" s="7" t="s">
        <v>2900</v>
      </c>
      <c r="AF575" s="7" t="s">
        <v>2961</v>
      </c>
      <c r="AG575" s="7" t="s">
        <v>2961</v>
      </c>
      <c r="AI575" s="7" t="s">
        <v>2463</v>
      </c>
      <c r="AJ575" s="7" t="s">
        <v>3562</v>
      </c>
      <c r="AK575" s="41">
        <f>Table43[[#This Row],[Harga Jual Pcs GT
(-PPN)]]-(Table43[[#This Row],[Harga Jual Pcs GT
(-PPN)]]*10%)</f>
        <v>0</v>
      </c>
      <c r="AL575" s="42">
        <f>Table43[[#This Row],[Harga Beli Pcs
(-PPN)]]*Table43[[#This Row],[ISI/CTN]]</f>
        <v>0</v>
      </c>
      <c r="AM575" s="42">
        <f>Table43[[#This Row],[Harga Beli Pcs
(-PPN)]]*1.11</f>
        <v>0</v>
      </c>
      <c r="AN575" s="42">
        <f>Table43[[#This Row],[Harga Beli Krt
(- PPN)]]*1.11</f>
        <v>0</v>
      </c>
      <c r="AO575" s="42"/>
      <c r="AP575" s="42">
        <f>Table43[[#This Row],[Harga Jual Pcs GT
(-PPN)]]*Table43[[#This Row],[ISI/CTN]]</f>
        <v>0</v>
      </c>
      <c r="AQ575" s="42">
        <f>Table43[[#This Row],[Harga Jual Pcs GT
(-PPN)]]*1.11</f>
        <v>0</v>
      </c>
      <c r="AR575" s="42">
        <f>Table43[[#This Row],[Harga Jual Krt GT
(- PPN)]]*1.11</f>
        <v>0</v>
      </c>
      <c r="AS575" s="42">
        <f>Table43[[#This Row],[Harga Jual Pcs GT
(-PPN)]]</f>
        <v>0</v>
      </c>
      <c r="AT575" s="42">
        <f>(Table43[[#This Row],[Harga Jual Pcs MT
(-PPN)]]*Table43[[#This Row],[ISI/CTN]])</f>
        <v>0</v>
      </c>
      <c r="AU575" s="42">
        <f>Table43[[#This Row],[Harga Jual Pcs MT
(-PPN)]]*1.11</f>
        <v>0</v>
      </c>
      <c r="AV575" s="42">
        <f>Table43[[#This Row],[Harga Jual Pcs MT
(+PPN)]]*Table43[[#This Row],[ISI/CTN]]</f>
        <v>0</v>
      </c>
      <c r="AW575" s="47"/>
      <c r="AX575" s="7"/>
      <c r="AY575" s="7" t="str">
        <f ca="1">IF(TODAY()-Table43[[#This Row],[Efektif
Pembuatan]]&gt;60,"Lama","Baru")</f>
        <v>Lama</v>
      </c>
      <c r="AZ575" s="7" t="str">
        <f ca="1">IF(TODAY()-Table43[[#This Row],[Efektif Naik Harga]]&lt;30,"Naik","Sama")</f>
        <v>Sama</v>
      </c>
      <c r="BA575" s="7" t="str">
        <f>IF(Table43[[#This Row],[Kode BARANG Win2]]&lt;&gt;"","IDR","")</f>
        <v>IDR</v>
      </c>
      <c r="BB575" s="7" t="str">
        <f>CONCATENATE(Table43[[#This Row],[kode  1 Digit
(Nomor)]],Table43[[#This Row],[kode  4 Digit                (Nomor)]])</f>
        <v>20025</v>
      </c>
      <c r="BC575" s="7" t="str">
        <f>Table43[[#This Row],[Nama            Gramasi atau Jumlah Pack per CTN]]</f>
        <v>25GR</v>
      </c>
      <c r="BD575" s="7"/>
      <c r="BE575" s="7"/>
      <c r="BF575" s="4" t="str">
        <f>IF(Table43[[#This Row],[SATUAN Fix Win]]&lt;&gt;"","KRT")</f>
        <v>KRT</v>
      </c>
      <c r="BG575" s="4" t="str">
        <f>IF(Table43[[#This Row],[SATUAN Fix Win]]&lt;&gt;"","GD01")</f>
        <v>GD01</v>
      </c>
      <c r="BH575" s="4">
        <f>IF(Table43[[#This Row],[SATUAN Fix Win]]&lt;&gt;"",11611)</f>
        <v>11611</v>
      </c>
      <c r="BI575" s="4">
        <f>IF(Table43[[#This Row],[SATUAN Fix Win]]&lt;&gt;"",11612)</f>
        <v>11612</v>
      </c>
      <c r="BJ575" s="48"/>
      <c r="BK575" s="4">
        <f>IF(Table43[[#This Row],[SATUAN Fix Win]]&lt;&gt;"",1)</f>
        <v>1</v>
      </c>
    </row>
    <row r="576" spans="1:63">
      <c r="A576" s="4" t="str">
        <f>CONCATENATE(Table43[[#This Row],[Kode BARANG Win2]],Table43[[#This Row],[No. Urut
Item Sama]])</f>
        <v>K14500100025101</v>
      </c>
      <c r="B576" s="7">
        <v>1</v>
      </c>
      <c r="D576" s="28" t="s">
        <v>1034</v>
      </c>
      <c r="E576" s="28"/>
      <c r="F576" s="28">
        <v>0</v>
      </c>
      <c r="G576" s="78">
        <v>72</v>
      </c>
      <c r="H576" s="43"/>
      <c r="I576" s="28" t="str">
        <f>Table43[[#This Row],[Nama Jenis Kemasan]]</f>
        <v>BOX</v>
      </c>
      <c r="J576" s="4" t="str">
        <f>TRIM(CONCATENATE(Table43[[#This Row],[Nama            KLP]]," ",Table43[[#This Row],[Nama            Sub KLP]]))</f>
        <v>SASHA HAIR COLORANT</v>
      </c>
      <c r="K576" s="4" t="str">
        <f>CONCATENATE(Table43[[#This Row],[kode  2 Digit                (hrf+No)]],Table43[[#This Row],[kode  2 Digit                (Nomor)]],Table43[[#This Row],[kode  1 Digit                (Nomor)]])</f>
        <v>K1450</v>
      </c>
      <c r="L576" s="4" t="str">
        <f t="shared" si="27"/>
        <v>K1450010002510</v>
      </c>
      <c r="M576" s="11">
        <f t="shared" si="28"/>
        <v>14</v>
      </c>
      <c r="N576" s="14" t="str">
        <f>IF(AF576&lt;&gt;"",TRIM(UPPER(CONCATENATE(P576," ",R576," ",T576," ",V576," ",X576," ",Z576," ","X"," ",Table43[[#This Row],[ISI/CTN]]," ",AF576," ",AB576," ",AD576," ",AH576))),TRIM(UPPER(CONCATENATE(P576," ",R576," ",T576," ",V576," ",X576," ",Z576," ","X"," ",Table43[[#This Row],[ISI/CTN]]," ",AB576," ",AD576," ",AH576))))</f>
        <v>KNF SASHA HAIR COLORANT PASSION RED 25GR X 72 BOX</v>
      </c>
      <c r="O576" s="11">
        <f t="shared" si="29"/>
        <v>49</v>
      </c>
      <c r="P576" s="4" t="s">
        <v>97</v>
      </c>
      <c r="Q576" s="7" t="s">
        <v>98</v>
      </c>
      <c r="R576" s="4" t="s">
        <v>3982</v>
      </c>
      <c r="S576" s="44" t="s">
        <v>3983</v>
      </c>
      <c r="T576" s="45" t="s">
        <v>2961</v>
      </c>
      <c r="U576" s="7" t="s">
        <v>2900</v>
      </c>
      <c r="V576" s="45" t="s">
        <v>2961</v>
      </c>
      <c r="W576" s="44" t="s">
        <v>2900</v>
      </c>
      <c r="X576" s="4" t="s">
        <v>3960</v>
      </c>
      <c r="Y576" s="46" t="s">
        <v>3564</v>
      </c>
      <c r="Z576" s="4" t="s">
        <v>3949</v>
      </c>
      <c r="AA576" s="46" t="s">
        <v>2510</v>
      </c>
      <c r="AB576" s="4" t="s">
        <v>1023</v>
      </c>
      <c r="AC576" s="7" t="s">
        <v>2656</v>
      </c>
      <c r="AD576" s="4" t="s">
        <v>2961</v>
      </c>
      <c r="AE576" s="7" t="s">
        <v>2900</v>
      </c>
      <c r="AF576" s="7" t="s">
        <v>2961</v>
      </c>
      <c r="AG576" s="7" t="s">
        <v>2961</v>
      </c>
      <c r="AI576" s="7" t="s">
        <v>2463</v>
      </c>
      <c r="AJ576" s="7" t="s">
        <v>3562</v>
      </c>
      <c r="AK576" s="41">
        <f>Table43[[#This Row],[Harga Jual Pcs GT
(-PPN)]]-(Table43[[#This Row],[Harga Jual Pcs GT
(-PPN)]]*10%)</f>
        <v>0</v>
      </c>
      <c r="AL576" s="42">
        <f>Table43[[#This Row],[Harga Beli Pcs
(-PPN)]]*Table43[[#This Row],[ISI/CTN]]</f>
        <v>0</v>
      </c>
      <c r="AM576" s="42">
        <f>Table43[[#This Row],[Harga Beli Pcs
(-PPN)]]*1.11</f>
        <v>0</v>
      </c>
      <c r="AN576" s="42">
        <f>Table43[[#This Row],[Harga Beli Krt
(- PPN)]]*1.11</f>
        <v>0</v>
      </c>
      <c r="AO576" s="42"/>
      <c r="AP576" s="42">
        <f>Table43[[#This Row],[Harga Jual Pcs GT
(-PPN)]]*Table43[[#This Row],[ISI/CTN]]</f>
        <v>0</v>
      </c>
      <c r="AQ576" s="42">
        <f>Table43[[#This Row],[Harga Jual Pcs GT
(-PPN)]]*1.11</f>
        <v>0</v>
      </c>
      <c r="AR576" s="42">
        <f>Table43[[#This Row],[Harga Jual Krt GT
(- PPN)]]*1.11</f>
        <v>0</v>
      </c>
      <c r="AS576" s="42">
        <f>Table43[[#This Row],[Harga Jual Pcs GT
(-PPN)]]</f>
        <v>0</v>
      </c>
      <c r="AT576" s="42">
        <f>(Table43[[#This Row],[Harga Jual Pcs MT
(-PPN)]]*Table43[[#This Row],[ISI/CTN]])</f>
        <v>0</v>
      </c>
      <c r="AU576" s="42">
        <f>Table43[[#This Row],[Harga Jual Pcs MT
(-PPN)]]*1.11</f>
        <v>0</v>
      </c>
      <c r="AV576" s="42">
        <f>Table43[[#This Row],[Harga Jual Pcs MT
(+PPN)]]*Table43[[#This Row],[ISI/CTN]]</f>
        <v>0</v>
      </c>
      <c r="AW576" s="47"/>
      <c r="AX576" s="7"/>
      <c r="AY576" s="7" t="str">
        <f ca="1">IF(TODAY()-Table43[[#This Row],[Efektif
Pembuatan]]&gt;60,"Lama","Baru")</f>
        <v>Lama</v>
      </c>
      <c r="AZ576" s="7" t="str">
        <f ca="1">IF(TODAY()-Table43[[#This Row],[Efektif Naik Harga]]&lt;30,"Naik","Sama")</f>
        <v>Sama</v>
      </c>
      <c r="BA576" s="7" t="str">
        <f>IF(Table43[[#This Row],[Kode BARANG Win2]]&lt;&gt;"","IDR","")</f>
        <v>IDR</v>
      </c>
      <c r="BB576" s="7" t="str">
        <f>CONCATENATE(Table43[[#This Row],[kode  1 Digit
(Nomor)]],Table43[[#This Row],[kode  4 Digit                (Nomor)]])</f>
        <v>20025</v>
      </c>
      <c r="BC576" s="7" t="str">
        <f>Table43[[#This Row],[Nama            Gramasi atau Jumlah Pack per CTN]]</f>
        <v>25GR</v>
      </c>
      <c r="BD576" s="7"/>
      <c r="BE576" s="7"/>
      <c r="BF576" s="4" t="str">
        <f>IF(Table43[[#This Row],[SATUAN Fix Win]]&lt;&gt;"","KRT")</f>
        <v>KRT</v>
      </c>
      <c r="BG576" s="4" t="str">
        <f>IF(Table43[[#This Row],[SATUAN Fix Win]]&lt;&gt;"","GD01")</f>
        <v>GD01</v>
      </c>
      <c r="BH576" s="4">
        <f>IF(Table43[[#This Row],[SATUAN Fix Win]]&lt;&gt;"",11611)</f>
        <v>11611</v>
      </c>
      <c r="BI576" s="4">
        <f>IF(Table43[[#This Row],[SATUAN Fix Win]]&lt;&gt;"",11612)</f>
        <v>11612</v>
      </c>
      <c r="BJ576" s="48"/>
      <c r="BK576" s="4">
        <f>IF(Table43[[#This Row],[SATUAN Fix Win]]&lt;&gt;"",1)</f>
        <v>1</v>
      </c>
    </row>
    <row r="577" spans="1:63">
      <c r="A577" s="4" t="str">
        <f>CONCATENATE(Table43[[#This Row],[Kode BARANG Win2]],Table43[[#This Row],[No. Urut
Item Sama]])</f>
        <v>K14500110025101</v>
      </c>
      <c r="B577" s="7">
        <v>1</v>
      </c>
      <c r="D577" s="28" t="s">
        <v>1036</v>
      </c>
      <c r="E577" s="28"/>
      <c r="F577" s="28">
        <v>0</v>
      </c>
      <c r="G577" s="78">
        <v>72</v>
      </c>
      <c r="H577" s="43"/>
      <c r="I577" s="28" t="str">
        <f>Table43[[#This Row],[Nama Jenis Kemasan]]</f>
        <v>BOX</v>
      </c>
      <c r="J577" s="4" t="str">
        <f>TRIM(CONCATENATE(Table43[[#This Row],[Nama            KLP]]," ",Table43[[#This Row],[Nama            Sub KLP]]))</f>
        <v>SASHA HAIR COLORANT</v>
      </c>
      <c r="K577" s="4" t="str">
        <f>CONCATENATE(Table43[[#This Row],[kode  2 Digit                (hrf+No)]],Table43[[#This Row],[kode  2 Digit                (Nomor)]],Table43[[#This Row],[kode  1 Digit                (Nomor)]])</f>
        <v>K1450</v>
      </c>
      <c r="L577" s="4" t="str">
        <f t="shared" si="27"/>
        <v>K1450011002510</v>
      </c>
      <c r="M577" s="11">
        <f t="shared" si="28"/>
        <v>14</v>
      </c>
      <c r="N577" s="14" t="str">
        <f>IF(AF577&lt;&gt;"",TRIM(UPPER(CONCATENATE(P577," ",R577," ",T577," ",V577," ",X577," ",Z577," ","X"," ",Table43[[#This Row],[ISI/CTN]]," ",AF577," ",AB577," ",AD577," ",AH577))),TRIM(UPPER(CONCATENATE(P577," ",R577," ",T577," ",V577," ",X577," ",Z577," ","X"," ",Table43[[#This Row],[ISI/CTN]]," ",AB577," ",AD577," ",AH577))))</f>
        <v>KNF SASHA HAIR COLORANT SKY BLUE 25GR X 72 BOX</v>
      </c>
      <c r="O577" s="11">
        <f t="shared" si="29"/>
        <v>46</v>
      </c>
      <c r="P577" s="4" t="s">
        <v>97</v>
      </c>
      <c r="Q577" s="7" t="s">
        <v>98</v>
      </c>
      <c r="R577" s="4" t="s">
        <v>3982</v>
      </c>
      <c r="S577" s="44" t="s">
        <v>3983</v>
      </c>
      <c r="T577" s="45" t="s">
        <v>2961</v>
      </c>
      <c r="U577" s="7" t="s">
        <v>2900</v>
      </c>
      <c r="V577" s="45" t="s">
        <v>2961</v>
      </c>
      <c r="W577" s="44" t="s">
        <v>2900</v>
      </c>
      <c r="X577" s="4" t="s">
        <v>3988</v>
      </c>
      <c r="Y577" s="46" t="s">
        <v>3550</v>
      </c>
      <c r="Z577" s="4" t="s">
        <v>3949</v>
      </c>
      <c r="AA577" s="46" t="s">
        <v>2510</v>
      </c>
      <c r="AB577" s="4" t="s">
        <v>1023</v>
      </c>
      <c r="AC577" s="7" t="s">
        <v>2656</v>
      </c>
      <c r="AD577" s="4" t="s">
        <v>2961</v>
      </c>
      <c r="AE577" s="7" t="s">
        <v>2900</v>
      </c>
      <c r="AF577" s="7" t="s">
        <v>2961</v>
      </c>
      <c r="AG577" s="7" t="s">
        <v>2961</v>
      </c>
      <c r="AI577" s="7" t="s">
        <v>2463</v>
      </c>
      <c r="AJ577" s="7" t="s">
        <v>3562</v>
      </c>
      <c r="AK577" s="41">
        <f>Table43[[#This Row],[Harga Jual Pcs GT
(-PPN)]]-(Table43[[#This Row],[Harga Jual Pcs GT
(-PPN)]]*10%)</f>
        <v>0</v>
      </c>
      <c r="AL577" s="42">
        <f>Table43[[#This Row],[Harga Beli Pcs
(-PPN)]]*Table43[[#This Row],[ISI/CTN]]</f>
        <v>0</v>
      </c>
      <c r="AM577" s="42">
        <f>Table43[[#This Row],[Harga Beli Pcs
(-PPN)]]*1.11</f>
        <v>0</v>
      </c>
      <c r="AN577" s="42">
        <f>Table43[[#This Row],[Harga Beli Krt
(- PPN)]]*1.11</f>
        <v>0</v>
      </c>
      <c r="AO577" s="42"/>
      <c r="AP577" s="42">
        <f>Table43[[#This Row],[Harga Jual Pcs GT
(-PPN)]]*Table43[[#This Row],[ISI/CTN]]</f>
        <v>0</v>
      </c>
      <c r="AQ577" s="42">
        <f>Table43[[#This Row],[Harga Jual Pcs GT
(-PPN)]]*1.11</f>
        <v>0</v>
      </c>
      <c r="AR577" s="42">
        <f>Table43[[#This Row],[Harga Jual Krt GT
(- PPN)]]*1.11</f>
        <v>0</v>
      </c>
      <c r="AS577" s="42">
        <f>Table43[[#This Row],[Harga Jual Pcs GT
(-PPN)]]</f>
        <v>0</v>
      </c>
      <c r="AT577" s="42">
        <f>(Table43[[#This Row],[Harga Jual Pcs MT
(-PPN)]]*Table43[[#This Row],[ISI/CTN]])</f>
        <v>0</v>
      </c>
      <c r="AU577" s="42">
        <f>Table43[[#This Row],[Harga Jual Pcs MT
(-PPN)]]*1.11</f>
        <v>0</v>
      </c>
      <c r="AV577" s="42">
        <f>Table43[[#This Row],[Harga Jual Pcs MT
(+PPN)]]*Table43[[#This Row],[ISI/CTN]]</f>
        <v>0</v>
      </c>
      <c r="AW577" s="47"/>
      <c r="AX577" s="7"/>
      <c r="AY577" s="7" t="str">
        <f ca="1">IF(TODAY()-Table43[[#This Row],[Efektif
Pembuatan]]&gt;60,"Lama","Baru")</f>
        <v>Lama</v>
      </c>
      <c r="AZ577" s="7" t="str">
        <f ca="1">IF(TODAY()-Table43[[#This Row],[Efektif Naik Harga]]&lt;30,"Naik","Sama")</f>
        <v>Sama</v>
      </c>
      <c r="BA577" s="7" t="str">
        <f>IF(Table43[[#This Row],[Kode BARANG Win2]]&lt;&gt;"","IDR","")</f>
        <v>IDR</v>
      </c>
      <c r="BB577" s="7" t="str">
        <f>CONCATENATE(Table43[[#This Row],[kode  1 Digit
(Nomor)]],Table43[[#This Row],[kode  4 Digit                (Nomor)]])</f>
        <v>20025</v>
      </c>
      <c r="BC577" s="7" t="str">
        <f>Table43[[#This Row],[Nama            Gramasi atau Jumlah Pack per CTN]]</f>
        <v>25GR</v>
      </c>
      <c r="BD577" s="7"/>
      <c r="BE577" s="7"/>
      <c r="BF577" s="4" t="str">
        <f>IF(Table43[[#This Row],[SATUAN Fix Win]]&lt;&gt;"","KRT")</f>
        <v>KRT</v>
      </c>
      <c r="BG577" s="4" t="str">
        <f>IF(Table43[[#This Row],[SATUAN Fix Win]]&lt;&gt;"","GD01")</f>
        <v>GD01</v>
      </c>
      <c r="BH577" s="4">
        <f>IF(Table43[[#This Row],[SATUAN Fix Win]]&lt;&gt;"",11611)</f>
        <v>11611</v>
      </c>
      <c r="BI577" s="4">
        <f>IF(Table43[[#This Row],[SATUAN Fix Win]]&lt;&gt;"",11612)</f>
        <v>11612</v>
      </c>
      <c r="BJ577" s="48"/>
      <c r="BK577" s="4">
        <f>IF(Table43[[#This Row],[SATUAN Fix Win]]&lt;&gt;"",1)</f>
        <v>1</v>
      </c>
    </row>
    <row r="578" spans="1:63">
      <c r="A578" s="4" t="str">
        <f>CONCATENATE(Table43[[#This Row],[Kode BARANG Win2]],Table43[[#This Row],[No. Urut
Item Sama]])</f>
        <v>K14500120025101</v>
      </c>
      <c r="B578" s="7">
        <v>1</v>
      </c>
      <c r="D578" s="28" t="s">
        <v>1035</v>
      </c>
      <c r="E578" s="28"/>
      <c r="F578" s="28">
        <v>0</v>
      </c>
      <c r="G578" s="78">
        <v>72</v>
      </c>
      <c r="H578" s="43"/>
      <c r="I578" s="28" t="str">
        <f>Table43[[#This Row],[Nama Jenis Kemasan]]</f>
        <v>BOX</v>
      </c>
      <c r="J578" s="4" t="str">
        <f>TRIM(CONCATENATE(Table43[[#This Row],[Nama            KLP]]," ",Table43[[#This Row],[Nama            Sub KLP]]))</f>
        <v>SASHA HAIR COLORANT</v>
      </c>
      <c r="K578" s="4" t="str">
        <f>CONCATENATE(Table43[[#This Row],[kode  2 Digit                (hrf+No)]],Table43[[#This Row],[kode  2 Digit                (Nomor)]],Table43[[#This Row],[kode  1 Digit                (Nomor)]])</f>
        <v>K1450</v>
      </c>
      <c r="L578" s="4" t="str">
        <f t="shared" si="27"/>
        <v>K1450012002510</v>
      </c>
      <c r="M578" s="11">
        <f t="shared" si="28"/>
        <v>14</v>
      </c>
      <c r="N578" s="14" t="str">
        <f>IF(AF578&lt;&gt;"",TRIM(UPPER(CONCATENATE(P578," ",R578," ",T578," ",V578," ",X578," ",Z578," ","X"," ",Table43[[#This Row],[ISI/CTN]]," ",AF578," ",AB578," ",AD578," ",AH578))),TRIM(UPPER(CONCATENATE(P578," ",R578," ",T578," ",V578," ",X578," ",Z578," ","X"," ",Table43[[#This Row],[ISI/CTN]]," ",AB578," ",AD578," ",AH578))))</f>
        <v>KNF SASHA HAIR COLORANT SMOKEY LILAC 25GR X 72 BOX</v>
      </c>
      <c r="O578" s="11">
        <f t="shared" si="29"/>
        <v>50</v>
      </c>
      <c r="P578" s="4" t="s">
        <v>97</v>
      </c>
      <c r="Q578" s="7" t="s">
        <v>98</v>
      </c>
      <c r="R578" s="4" t="s">
        <v>3982</v>
      </c>
      <c r="S578" s="44" t="s">
        <v>3983</v>
      </c>
      <c r="T578" s="45" t="s">
        <v>2961</v>
      </c>
      <c r="U578" s="7" t="s">
        <v>2900</v>
      </c>
      <c r="V578" s="45" t="s">
        <v>2961</v>
      </c>
      <c r="W578" s="44" t="s">
        <v>2900</v>
      </c>
      <c r="X578" s="4" t="s">
        <v>3989</v>
      </c>
      <c r="Y578" s="46" t="s">
        <v>3565</v>
      </c>
      <c r="Z578" s="4" t="s">
        <v>3949</v>
      </c>
      <c r="AA578" s="46" t="s">
        <v>2510</v>
      </c>
      <c r="AB578" s="4" t="s">
        <v>1023</v>
      </c>
      <c r="AC578" s="7" t="s">
        <v>2656</v>
      </c>
      <c r="AD578" s="4" t="s">
        <v>2961</v>
      </c>
      <c r="AE578" s="7" t="s">
        <v>2900</v>
      </c>
      <c r="AF578" s="7" t="s">
        <v>2961</v>
      </c>
      <c r="AG578" s="7" t="s">
        <v>2961</v>
      </c>
      <c r="AI578" s="7" t="s">
        <v>2463</v>
      </c>
      <c r="AJ578" s="7" t="s">
        <v>3562</v>
      </c>
      <c r="AK578" s="41">
        <f>Table43[[#This Row],[Harga Jual Pcs GT
(-PPN)]]-(Table43[[#This Row],[Harga Jual Pcs GT
(-PPN)]]*10%)</f>
        <v>0</v>
      </c>
      <c r="AL578" s="42">
        <f>Table43[[#This Row],[Harga Beli Pcs
(-PPN)]]*Table43[[#This Row],[ISI/CTN]]</f>
        <v>0</v>
      </c>
      <c r="AM578" s="42">
        <f>Table43[[#This Row],[Harga Beli Pcs
(-PPN)]]*1.11</f>
        <v>0</v>
      </c>
      <c r="AN578" s="42">
        <f>Table43[[#This Row],[Harga Beli Krt
(- PPN)]]*1.11</f>
        <v>0</v>
      </c>
      <c r="AO578" s="42"/>
      <c r="AP578" s="42">
        <f>Table43[[#This Row],[Harga Jual Pcs GT
(-PPN)]]*Table43[[#This Row],[ISI/CTN]]</f>
        <v>0</v>
      </c>
      <c r="AQ578" s="42">
        <f>Table43[[#This Row],[Harga Jual Pcs GT
(-PPN)]]*1.11</f>
        <v>0</v>
      </c>
      <c r="AR578" s="42">
        <f>Table43[[#This Row],[Harga Jual Krt GT
(- PPN)]]*1.11</f>
        <v>0</v>
      </c>
      <c r="AS578" s="42">
        <f>Table43[[#This Row],[Harga Jual Pcs GT
(-PPN)]]</f>
        <v>0</v>
      </c>
      <c r="AT578" s="42">
        <f>(Table43[[#This Row],[Harga Jual Pcs MT
(-PPN)]]*Table43[[#This Row],[ISI/CTN]])</f>
        <v>0</v>
      </c>
      <c r="AU578" s="42">
        <f>Table43[[#This Row],[Harga Jual Pcs MT
(-PPN)]]*1.11</f>
        <v>0</v>
      </c>
      <c r="AV578" s="42">
        <f>Table43[[#This Row],[Harga Jual Pcs MT
(+PPN)]]*Table43[[#This Row],[ISI/CTN]]</f>
        <v>0</v>
      </c>
      <c r="AW578" s="47"/>
      <c r="AX578" s="7"/>
      <c r="AY578" s="7" t="str">
        <f ca="1">IF(TODAY()-Table43[[#This Row],[Efektif
Pembuatan]]&gt;60,"Lama","Baru")</f>
        <v>Lama</v>
      </c>
      <c r="AZ578" s="7" t="str">
        <f ca="1">IF(TODAY()-Table43[[#This Row],[Efektif Naik Harga]]&lt;30,"Naik","Sama")</f>
        <v>Sama</v>
      </c>
      <c r="BA578" s="7" t="str">
        <f>IF(Table43[[#This Row],[Kode BARANG Win2]]&lt;&gt;"","IDR","")</f>
        <v>IDR</v>
      </c>
      <c r="BB578" s="7" t="str">
        <f>CONCATENATE(Table43[[#This Row],[kode  1 Digit
(Nomor)]],Table43[[#This Row],[kode  4 Digit                (Nomor)]])</f>
        <v>20025</v>
      </c>
      <c r="BC578" s="7" t="str">
        <f>Table43[[#This Row],[Nama            Gramasi atau Jumlah Pack per CTN]]</f>
        <v>25GR</v>
      </c>
      <c r="BD578" s="7"/>
      <c r="BE578" s="7"/>
      <c r="BF578" s="4" t="str">
        <f>IF(Table43[[#This Row],[SATUAN Fix Win]]&lt;&gt;"","KRT")</f>
        <v>KRT</v>
      </c>
      <c r="BG578" s="4" t="str">
        <f>IF(Table43[[#This Row],[SATUAN Fix Win]]&lt;&gt;"","GD01")</f>
        <v>GD01</v>
      </c>
      <c r="BH578" s="4">
        <f>IF(Table43[[#This Row],[SATUAN Fix Win]]&lt;&gt;"",11611)</f>
        <v>11611</v>
      </c>
      <c r="BI578" s="4">
        <f>IF(Table43[[#This Row],[SATUAN Fix Win]]&lt;&gt;"",11612)</f>
        <v>11612</v>
      </c>
      <c r="BJ578" s="48"/>
      <c r="BK578" s="4">
        <f>IF(Table43[[#This Row],[SATUAN Fix Win]]&lt;&gt;"",1)</f>
        <v>1</v>
      </c>
    </row>
    <row r="579" spans="1:63">
      <c r="A579" s="4" t="str">
        <f>CONCATENATE(Table43[[#This Row],[Kode BARANG Win2]],Table43[[#This Row],[No. Urut
Item Sama]])</f>
        <v>K14500130025101</v>
      </c>
      <c r="B579" s="7">
        <v>1</v>
      </c>
      <c r="D579" s="28" t="s">
        <v>4086</v>
      </c>
      <c r="E579" s="28"/>
      <c r="F579" s="28">
        <v>0</v>
      </c>
      <c r="G579" s="78">
        <v>72</v>
      </c>
      <c r="H579" s="43"/>
      <c r="I579" s="28" t="str">
        <f>Table43[[#This Row],[Nama Jenis Kemasan]]</f>
        <v>BOX</v>
      </c>
      <c r="J579" s="4" t="str">
        <f>TRIM(CONCATENATE(Table43[[#This Row],[Nama            KLP]]," ",Table43[[#This Row],[Nama            Sub KLP]]))</f>
        <v>SASHA HAIR COLORANT</v>
      </c>
      <c r="K579" s="4" t="str">
        <f>CONCATENATE(Table43[[#This Row],[kode  2 Digit                (hrf+No)]],Table43[[#This Row],[kode  2 Digit                (Nomor)]],Table43[[#This Row],[kode  1 Digit                (Nomor)]])</f>
        <v>K1450</v>
      </c>
      <c r="L579" s="4" t="str">
        <f t="shared" si="27"/>
        <v>K1450013002510</v>
      </c>
      <c r="M579" s="11">
        <f t="shared" si="28"/>
        <v>14</v>
      </c>
      <c r="N579" s="14" t="str">
        <f>IF(AF579&lt;&gt;"",TRIM(UPPER(CONCATENATE(P579," ",R579," ",T579," ",V579," ",X579," ",Z579," ","X"," ",Table43[[#This Row],[ISI/CTN]]," ",AF579," ",AB579," ",AD579," ",AH579))),TRIM(UPPER(CONCATENATE(P579," ",R579," ",T579," ",V579," ",X579," ",Z579," ","X"," ",Table43[[#This Row],[ISI/CTN]]," ",AB579," ",AD579," ",AH579))))</f>
        <v>KNF SASHA HAIR COLORANT COPPER HAZEL 25GR X 72 BOX</v>
      </c>
      <c r="O579" s="11">
        <f t="shared" si="29"/>
        <v>50</v>
      </c>
      <c r="P579" s="4" t="s">
        <v>97</v>
      </c>
      <c r="Q579" s="7" t="s">
        <v>98</v>
      </c>
      <c r="R579" s="4" t="s">
        <v>3982</v>
      </c>
      <c r="S579" s="44" t="s">
        <v>3983</v>
      </c>
      <c r="T579" s="45" t="s">
        <v>2961</v>
      </c>
      <c r="U579" s="7" t="s">
        <v>2900</v>
      </c>
      <c r="V579" s="45" t="s">
        <v>2961</v>
      </c>
      <c r="W579" s="44" t="s">
        <v>2900</v>
      </c>
      <c r="X579" s="4" t="s">
        <v>3953</v>
      </c>
      <c r="Y579" s="46" t="s">
        <v>3566</v>
      </c>
      <c r="Z579" s="4" t="s">
        <v>3949</v>
      </c>
      <c r="AA579" s="46" t="s">
        <v>2510</v>
      </c>
      <c r="AB579" s="4" t="s">
        <v>1023</v>
      </c>
      <c r="AC579" s="7" t="s">
        <v>2656</v>
      </c>
      <c r="AD579" s="4" t="s">
        <v>2961</v>
      </c>
      <c r="AE579" s="7" t="s">
        <v>2900</v>
      </c>
      <c r="AF579" s="7" t="s">
        <v>2961</v>
      </c>
      <c r="AG579" s="7" t="s">
        <v>2961</v>
      </c>
      <c r="AI579" s="7" t="s">
        <v>2463</v>
      </c>
      <c r="AJ579" s="7" t="s">
        <v>3562</v>
      </c>
      <c r="AK579" s="41">
        <f>Table43[[#This Row],[Harga Jual Pcs GT
(-PPN)]]-(Table43[[#This Row],[Harga Jual Pcs GT
(-PPN)]]*10%)</f>
        <v>0</v>
      </c>
      <c r="AL579" s="42">
        <f>Table43[[#This Row],[Harga Beli Pcs
(-PPN)]]*Table43[[#This Row],[ISI/CTN]]</f>
        <v>0</v>
      </c>
      <c r="AM579" s="42">
        <f>Table43[[#This Row],[Harga Beli Pcs
(-PPN)]]*1.11</f>
        <v>0</v>
      </c>
      <c r="AN579" s="42">
        <f>Table43[[#This Row],[Harga Beli Krt
(- PPN)]]*1.11</f>
        <v>0</v>
      </c>
      <c r="AO579" s="42"/>
      <c r="AP579" s="42">
        <f>Table43[[#This Row],[Harga Jual Pcs GT
(-PPN)]]*Table43[[#This Row],[ISI/CTN]]</f>
        <v>0</v>
      </c>
      <c r="AQ579" s="42">
        <f>Table43[[#This Row],[Harga Jual Pcs GT
(-PPN)]]*1.11</f>
        <v>0</v>
      </c>
      <c r="AR579" s="42">
        <f>Table43[[#This Row],[Harga Jual Krt GT
(- PPN)]]*1.11</f>
        <v>0</v>
      </c>
      <c r="AS579" s="42">
        <f>Table43[[#This Row],[Harga Jual Pcs GT
(-PPN)]]</f>
        <v>0</v>
      </c>
      <c r="AT579" s="42">
        <f>(Table43[[#This Row],[Harga Jual Pcs MT
(-PPN)]]*Table43[[#This Row],[ISI/CTN]])</f>
        <v>0</v>
      </c>
      <c r="AU579" s="42">
        <f>Table43[[#This Row],[Harga Jual Pcs MT
(-PPN)]]*1.11</f>
        <v>0</v>
      </c>
      <c r="AV579" s="42">
        <f>Table43[[#This Row],[Harga Jual Pcs MT
(+PPN)]]*Table43[[#This Row],[ISI/CTN]]</f>
        <v>0</v>
      </c>
      <c r="AW579" s="47"/>
      <c r="AX579" s="7"/>
      <c r="AY579" s="7" t="str">
        <f ca="1">IF(TODAY()-Table43[[#This Row],[Efektif
Pembuatan]]&gt;60,"Lama","Baru")</f>
        <v>Lama</v>
      </c>
      <c r="AZ579" s="7" t="str">
        <f ca="1">IF(TODAY()-Table43[[#This Row],[Efektif Naik Harga]]&lt;30,"Naik","Sama")</f>
        <v>Sama</v>
      </c>
      <c r="BA579" s="7" t="str">
        <f>IF(Table43[[#This Row],[Kode BARANG Win2]]&lt;&gt;"","IDR","")</f>
        <v>IDR</v>
      </c>
      <c r="BB579" s="7" t="str">
        <f>CONCATENATE(Table43[[#This Row],[kode  1 Digit
(Nomor)]],Table43[[#This Row],[kode  4 Digit                (Nomor)]])</f>
        <v>20025</v>
      </c>
      <c r="BC579" s="7" t="str">
        <f>Table43[[#This Row],[Nama            Gramasi atau Jumlah Pack per CTN]]</f>
        <v>25GR</v>
      </c>
      <c r="BD579" s="7"/>
      <c r="BE579" s="7"/>
      <c r="BF579" s="4" t="str">
        <f>IF(Table43[[#This Row],[SATUAN Fix Win]]&lt;&gt;"","KRT")</f>
        <v>KRT</v>
      </c>
      <c r="BG579" s="4" t="str">
        <f>IF(Table43[[#This Row],[SATUAN Fix Win]]&lt;&gt;"","GD01")</f>
        <v>GD01</v>
      </c>
      <c r="BH579" s="4">
        <f>IF(Table43[[#This Row],[SATUAN Fix Win]]&lt;&gt;"",11611)</f>
        <v>11611</v>
      </c>
      <c r="BI579" s="4">
        <f>IF(Table43[[#This Row],[SATUAN Fix Win]]&lt;&gt;"",11612)</f>
        <v>11612</v>
      </c>
      <c r="BJ579" s="48"/>
      <c r="BK579" s="4">
        <f>IF(Table43[[#This Row],[SATUAN Fix Win]]&lt;&gt;"",1)</f>
        <v>1</v>
      </c>
    </row>
    <row r="580" spans="1:63">
      <c r="A580" s="4" t="str">
        <f>CONCATENATE(Table43[[#This Row],[Kode BARANG Win2]],Table43[[#This Row],[No. Urut
Item Sama]])</f>
        <v>K14500140025101</v>
      </c>
      <c r="B580" s="7">
        <v>1</v>
      </c>
      <c r="D580" s="28" t="s">
        <v>4087</v>
      </c>
      <c r="E580" s="28"/>
      <c r="F580" s="28">
        <v>0</v>
      </c>
      <c r="G580" s="78">
        <v>72</v>
      </c>
      <c r="H580" s="43"/>
      <c r="I580" s="28" t="str">
        <f>Table43[[#This Row],[Nama Jenis Kemasan]]</f>
        <v>BOX</v>
      </c>
      <c r="J580" s="4" t="str">
        <f>TRIM(CONCATENATE(Table43[[#This Row],[Nama            KLP]]," ",Table43[[#This Row],[Nama            Sub KLP]]))</f>
        <v>SASHA HAIR COLORANT</v>
      </c>
      <c r="K580" s="4" t="str">
        <f>CONCATENATE(Table43[[#This Row],[kode  2 Digit                (hrf+No)]],Table43[[#This Row],[kode  2 Digit                (Nomor)]],Table43[[#This Row],[kode  1 Digit                (Nomor)]])</f>
        <v>K1450</v>
      </c>
      <c r="L580" s="4" t="str">
        <f t="shared" si="27"/>
        <v>K1450014002510</v>
      </c>
      <c r="M580" s="11">
        <f t="shared" si="28"/>
        <v>14</v>
      </c>
      <c r="N580" s="14" t="str">
        <f>IF(AF580&lt;&gt;"",TRIM(UPPER(CONCATENATE(P580," ",R580," ",T580," ",V580," ",X580," ",Z580," ","X"," ",Table43[[#This Row],[ISI/CTN]]," ",AF580," ",AB580," ",AD580," ",AH580))),TRIM(UPPER(CONCATENATE(P580," ",R580," ",T580," ",V580," ",X580," ",Z580," ","X"," ",Table43[[#This Row],[ISI/CTN]]," ",AB580," ",AD580," ",AH580))))</f>
        <v>KNF SASHA HAIR COLORANT DARK BLUE 25GR X 72 BOX</v>
      </c>
      <c r="O580" s="11">
        <f t="shared" si="29"/>
        <v>47</v>
      </c>
      <c r="P580" s="4" t="s">
        <v>97</v>
      </c>
      <c r="Q580" s="7" t="s">
        <v>98</v>
      </c>
      <c r="R580" s="4" t="s">
        <v>3982</v>
      </c>
      <c r="S580" s="44" t="s">
        <v>3983</v>
      </c>
      <c r="T580" s="45" t="s">
        <v>2961</v>
      </c>
      <c r="U580" s="7" t="s">
        <v>2900</v>
      </c>
      <c r="V580" s="45" t="s">
        <v>2961</v>
      </c>
      <c r="W580" s="44" t="s">
        <v>2900</v>
      </c>
      <c r="X580" s="4" t="s">
        <v>3954</v>
      </c>
      <c r="Y580" s="46" t="s">
        <v>3567</v>
      </c>
      <c r="Z580" s="4" t="s">
        <v>3949</v>
      </c>
      <c r="AA580" s="46" t="s">
        <v>2510</v>
      </c>
      <c r="AB580" s="4" t="s">
        <v>1023</v>
      </c>
      <c r="AC580" s="7" t="s">
        <v>2656</v>
      </c>
      <c r="AD580" s="4" t="s">
        <v>2961</v>
      </c>
      <c r="AE580" s="7" t="s">
        <v>2900</v>
      </c>
      <c r="AF580" s="7" t="s">
        <v>2961</v>
      </c>
      <c r="AG580" s="7" t="s">
        <v>2961</v>
      </c>
      <c r="AI580" s="7" t="s">
        <v>2463</v>
      </c>
      <c r="AJ580" s="7" t="s">
        <v>3562</v>
      </c>
      <c r="AK580" s="41">
        <f>Table43[[#This Row],[Harga Jual Pcs GT
(-PPN)]]-(Table43[[#This Row],[Harga Jual Pcs GT
(-PPN)]]*10%)</f>
        <v>0</v>
      </c>
      <c r="AL580" s="42">
        <f>Table43[[#This Row],[Harga Beli Pcs
(-PPN)]]*Table43[[#This Row],[ISI/CTN]]</f>
        <v>0</v>
      </c>
      <c r="AM580" s="42">
        <f>Table43[[#This Row],[Harga Beli Pcs
(-PPN)]]*1.11</f>
        <v>0</v>
      </c>
      <c r="AN580" s="42">
        <f>Table43[[#This Row],[Harga Beli Krt
(- PPN)]]*1.11</f>
        <v>0</v>
      </c>
      <c r="AO580" s="42"/>
      <c r="AP580" s="42">
        <f>Table43[[#This Row],[Harga Jual Pcs GT
(-PPN)]]*Table43[[#This Row],[ISI/CTN]]</f>
        <v>0</v>
      </c>
      <c r="AQ580" s="42">
        <f>Table43[[#This Row],[Harga Jual Pcs GT
(-PPN)]]*1.11</f>
        <v>0</v>
      </c>
      <c r="AR580" s="42">
        <f>Table43[[#This Row],[Harga Jual Krt GT
(- PPN)]]*1.11</f>
        <v>0</v>
      </c>
      <c r="AS580" s="42">
        <f>Table43[[#This Row],[Harga Jual Pcs GT
(-PPN)]]</f>
        <v>0</v>
      </c>
      <c r="AT580" s="42">
        <f>(Table43[[#This Row],[Harga Jual Pcs MT
(-PPN)]]*Table43[[#This Row],[ISI/CTN]])</f>
        <v>0</v>
      </c>
      <c r="AU580" s="42">
        <f>Table43[[#This Row],[Harga Jual Pcs MT
(-PPN)]]*1.11</f>
        <v>0</v>
      </c>
      <c r="AV580" s="42">
        <f>Table43[[#This Row],[Harga Jual Pcs MT
(+PPN)]]*Table43[[#This Row],[ISI/CTN]]</f>
        <v>0</v>
      </c>
      <c r="AW580" s="47"/>
      <c r="AX580" s="7"/>
      <c r="AY580" s="7" t="str">
        <f ca="1">IF(TODAY()-Table43[[#This Row],[Efektif
Pembuatan]]&gt;60,"Lama","Baru")</f>
        <v>Lama</v>
      </c>
      <c r="AZ580" s="7" t="str">
        <f ca="1">IF(TODAY()-Table43[[#This Row],[Efektif Naik Harga]]&lt;30,"Naik","Sama")</f>
        <v>Sama</v>
      </c>
      <c r="BA580" s="7" t="str">
        <f>IF(Table43[[#This Row],[Kode BARANG Win2]]&lt;&gt;"","IDR","")</f>
        <v>IDR</v>
      </c>
      <c r="BB580" s="7" t="str">
        <f>CONCATENATE(Table43[[#This Row],[kode  1 Digit
(Nomor)]],Table43[[#This Row],[kode  4 Digit                (Nomor)]])</f>
        <v>20025</v>
      </c>
      <c r="BC580" s="7" t="str">
        <f>Table43[[#This Row],[Nama            Gramasi atau Jumlah Pack per CTN]]</f>
        <v>25GR</v>
      </c>
      <c r="BD580" s="7"/>
      <c r="BE580" s="7"/>
      <c r="BF580" s="4" t="str">
        <f>IF(Table43[[#This Row],[SATUAN Fix Win]]&lt;&gt;"","KRT")</f>
        <v>KRT</v>
      </c>
      <c r="BG580" s="4" t="str">
        <f>IF(Table43[[#This Row],[SATUAN Fix Win]]&lt;&gt;"","GD01")</f>
        <v>GD01</v>
      </c>
      <c r="BH580" s="4">
        <f>IF(Table43[[#This Row],[SATUAN Fix Win]]&lt;&gt;"",11611)</f>
        <v>11611</v>
      </c>
      <c r="BI580" s="4">
        <f>IF(Table43[[#This Row],[SATUAN Fix Win]]&lt;&gt;"",11612)</f>
        <v>11612</v>
      </c>
      <c r="BJ580" s="48"/>
      <c r="BK580" s="4">
        <f>IF(Table43[[#This Row],[SATUAN Fix Win]]&lt;&gt;"",1)</f>
        <v>1</v>
      </c>
    </row>
    <row r="581" spans="1:63">
      <c r="A581" s="4" t="str">
        <f>CONCATENATE(Table43[[#This Row],[Kode BARANG Win2]],Table43[[#This Row],[No. Urut
Item Sama]])</f>
        <v>K14500150025101</v>
      </c>
      <c r="B581" s="7">
        <v>1</v>
      </c>
      <c r="D581" s="28" t="s">
        <v>4088</v>
      </c>
      <c r="E581" s="28"/>
      <c r="F581" s="28">
        <v>0</v>
      </c>
      <c r="G581" s="78">
        <v>72</v>
      </c>
      <c r="H581" s="43"/>
      <c r="I581" s="28" t="str">
        <f>Table43[[#This Row],[Nama Jenis Kemasan]]</f>
        <v>BOX</v>
      </c>
      <c r="J581" s="4" t="str">
        <f>TRIM(CONCATENATE(Table43[[#This Row],[Nama            KLP]]," ",Table43[[#This Row],[Nama            Sub KLP]]))</f>
        <v>SASHA HAIR COLORANT</v>
      </c>
      <c r="K581" s="4" t="str">
        <f>CONCATENATE(Table43[[#This Row],[kode  2 Digit                (hrf+No)]],Table43[[#This Row],[kode  2 Digit                (Nomor)]],Table43[[#This Row],[kode  1 Digit                (Nomor)]])</f>
        <v>K1450</v>
      </c>
      <c r="L581" s="4" t="str">
        <f t="shared" si="27"/>
        <v>K1450015002510</v>
      </c>
      <c r="M581" s="11">
        <f t="shared" si="28"/>
        <v>14</v>
      </c>
      <c r="N581" s="14" t="str">
        <f>IF(AF581&lt;&gt;"",TRIM(UPPER(CONCATENATE(P581," ",R581," ",T581," ",V581," ",X581," ",Z581," ","X"," ",Table43[[#This Row],[ISI/CTN]]," ",AF581," ",AB581," ",AD581," ",AH581))),TRIM(UPPER(CONCATENATE(P581," ",R581," ",T581," ",V581," ",X581," ",Z581," ","X"," ",Table43[[#This Row],[ISI/CTN]]," ",AB581," ",AD581," ",AH581))))</f>
        <v>KNF SASHA HAIR COLORANT DARK BROWN 25GR X 72 BOX</v>
      </c>
      <c r="O581" s="11">
        <f t="shared" si="29"/>
        <v>48</v>
      </c>
      <c r="P581" s="4" t="s">
        <v>97</v>
      </c>
      <c r="Q581" s="7" t="s">
        <v>98</v>
      </c>
      <c r="R581" s="4" t="s">
        <v>3982</v>
      </c>
      <c r="S581" s="44" t="s">
        <v>3983</v>
      </c>
      <c r="T581" s="45" t="s">
        <v>2961</v>
      </c>
      <c r="U581" s="7" t="s">
        <v>2900</v>
      </c>
      <c r="V581" s="45" t="s">
        <v>2961</v>
      </c>
      <c r="W581" s="44" t="s">
        <v>2900</v>
      </c>
      <c r="X581" s="4" t="s">
        <v>3990</v>
      </c>
      <c r="Y581" s="46" t="s">
        <v>3568</v>
      </c>
      <c r="Z581" s="4" t="s">
        <v>3949</v>
      </c>
      <c r="AA581" s="46" t="s">
        <v>2510</v>
      </c>
      <c r="AB581" s="4" t="s">
        <v>1023</v>
      </c>
      <c r="AC581" s="7" t="s">
        <v>2656</v>
      </c>
      <c r="AD581" s="4" t="s">
        <v>2961</v>
      </c>
      <c r="AE581" s="7" t="s">
        <v>2900</v>
      </c>
      <c r="AF581" s="7" t="s">
        <v>2961</v>
      </c>
      <c r="AG581" s="7" t="s">
        <v>2961</v>
      </c>
      <c r="AI581" s="7" t="s">
        <v>2463</v>
      </c>
      <c r="AJ581" s="7" t="s">
        <v>3562</v>
      </c>
      <c r="AK581" s="41">
        <f>Table43[[#This Row],[Harga Jual Pcs GT
(-PPN)]]-(Table43[[#This Row],[Harga Jual Pcs GT
(-PPN)]]*10%)</f>
        <v>0</v>
      </c>
      <c r="AL581" s="42">
        <f>Table43[[#This Row],[Harga Beli Pcs
(-PPN)]]*Table43[[#This Row],[ISI/CTN]]</f>
        <v>0</v>
      </c>
      <c r="AM581" s="42">
        <f>Table43[[#This Row],[Harga Beli Pcs
(-PPN)]]*1.11</f>
        <v>0</v>
      </c>
      <c r="AN581" s="42">
        <f>Table43[[#This Row],[Harga Beli Krt
(- PPN)]]*1.11</f>
        <v>0</v>
      </c>
      <c r="AO581" s="42"/>
      <c r="AP581" s="42">
        <f>Table43[[#This Row],[Harga Jual Pcs GT
(-PPN)]]*Table43[[#This Row],[ISI/CTN]]</f>
        <v>0</v>
      </c>
      <c r="AQ581" s="42">
        <f>Table43[[#This Row],[Harga Jual Pcs GT
(-PPN)]]*1.11</f>
        <v>0</v>
      </c>
      <c r="AR581" s="42">
        <f>Table43[[#This Row],[Harga Jual Krt GT
(- PPN)]]*1.11</f>
        <v>0</v>
      </c>
      <c r="AS581" s="42">
        <f>Table43[[#This Row],[Harga Jual Pcs GT
(-PPN)]]</f>
        <v>0</v>
      </c>
      <c r="AT581" s="42">
        <f>(Table43[[#This Row],[Harga Jual Pcs MT
(-PPN)]]*Table43[[#This Row],[ISI/CTN]])</f>
        <v>0</v>
      </c>
      <c r="AU581" s="42">
        <f>Table43[[#This Row],[Harga Jual Pcs MT
(-PPN)]]*1.11</f>
        <v>0</v>
      </c>
      <c r="AV581" s="42">
        <f>Table43[[#This Row],[Harga Jual Pcs MT
(+PPN)]]*Table43[[#This Row],[ISI/CTN]]</f>
        <v>0</v>
      </c>
      <c r="AW581" s="47"/>
      <c r="AX581" s="7"/>
      <c r="AY581" s="7" t="str">
        <f ca="1">IF(TODAY()-Table43[[#This Row],[Efektif
Pembuatan]]&gt;60,"Lama","Baru")</f>
        <v>Lama</v>
      </c>
      <c r="AZ581" s="7" t="str">
        <f ca="1">IF(TODAY()-Table43[[#This Row],[Efektif Naik Harga]]&lt;30,"Naik","Sama")</f>
        <v>Sama</v>
      </c>
      <c r="BA581" s="7" t="str">
        <f>IF(Table43[[#This Row],[Kode BARANG Win2]]&lt;&gt;"","IDR","")</f>
        <v>IDR</v>
      </c>
      <c r="BB581" s="7" t="str">
        <f>CONCATENATE(Table43[[#This Row],[kode  1 Digit
(Nomor)]],Table43[[#This Row],[kode  4 Digit                (Nomor)]])</f>
        <v>20025</v>
      </c>
      <c r="BC581" s="7" t="str">
        <f>Table43[[#This Row],[Nama            Gramasi atau Jumlah Pack per CTN]]</f>
        <v>25GR</v>
      </c>
      <c r="BD581" s="7"/>
      <c r="BE581" s="7"/>
      <c r="BF581" s="4" t="str">
        <f>IF(Table43[[#This Row],[SATUAN Fix Win]]&lt;&gt;"","KRT")</f>
        <v>KRT</v>
      </c>
      <c r="BG581" s="4" t="str">
        <f>IF(Table43[[#This Row],[SATUAN Fix Win]]&lt;&gt;"","GD01")</f>
        <v>GD01</v>
      </c>
      <c r="BH581" s="4">
        <f>IF(Table43[[#This Row],[SATUAN Fix Win]]&lt;&gt;"",11611)</f>
        <v>11611</v>
      </c>
      <c r="BI581" s="4">
        <f>IF(Table43[[#This Row],[SATUAN Fix Win]]&lt;&gt;"",11612)</f>
        <v>11612</v>
      </c>
      <c r="BJ581" s="48"/>
      <c r="BK581" s="4">
        <f>IF(Table43[[#This Row],[SATUAN Fix Win]]&lt;&gt;"",1)</f>
        <v>1</v>
      </c>
    </row>
    <row r="582" spans="1:63">
      <c r="A582" s="4" t="str">
        <f>CONCATENATE(Table43[[#This Row],[Kode BARANG Win2]],Table43[[#This Row],[No. Urut
Item Sama]])</f>
        <v>K14500160025101</v>
      </c>
      <c r="B582" s="7">
        <v>1</v>
      </c>
      <c r="D582" s="28" t="s">
        <v>4089</v>
      </c>
      <c r="E582" s="28"/>
      <c r="F582" s="28">
        <v>0</v>
      </c>
      <c r="G582" s="78">
        <v>72</v>
      </c>
      <c r="H582" s="43"/>
      <c r="I582" s="28" t="str">
        <f>Table43[[#This Row],[Nama Jenis Kemasan]]</f>
        <v>BOX</v>
      </c>
      <c r="J582" s="4" t="str">
        <f>TRIM(CONCATENATE(Table43[[#This Row],[Nama            KLP]]," ",Table43[[#This Row],[Nama            Sub KLP]]))</f>
        <v>SASHA HAIR COLORANT</v>
      </c>
      <c r="K582" s="4" t="str">
        <f>CONCATENATE(Table43[[#This Row],[kode  2 Digit                (hrf+No)]],Table43[[#This Row],[kode  2 Digit                (Nomor)]],Table43[[#This Row],[kode  1 Digit                (Nomor)]])</f>
        <v>K1450</v>
      </c>
      <c r="L582" s="4" t="str">
        <f t="shared" si="27"/>
        <v>K1450016002510</v>
      </c>
      <c r="M582" s="11">
        <f t="shared" si="28"/>
        <v>14</v>
      </c>
      <c r="N582" s="14" t="str">
        <f>IF(AF582&lt;&gt;"",TRIM(UPPER(CONCATENATE(P582," ",R582," ",T582," ",V582," ",X582," ",Z582," ","X"," ",Table43[[#This Row],[ISI/CTN]]," ",AF582," ",AB582," ",AD582," ",AH582))),TRIM(UPPER(CONCATENATE(P582," ",R582," ",T582," ",V582," ",X582," ",Z582," ","X"," ",Table43[[#This Row],[ISI/CTN]]," ",AB582," ",AD582," ",AH582))))</f>
        <v>KNF SASHA HAIR COLORANT BURGUNDY 25GR X 72 BOX</v>
      </c>
      <c r="O582" s="11">
        <f t="shared" si="29"/>
        <v>46</v>
      </c>
      <c r="P582" s="4" t="s">
        <v>97</v>
      </c>
      <c r="Q582" s="7" t="s">
        <v>98</v>
      </c>
      <c r="R582" s="4" t="s">
        <v>3982</v>
      </c>
      <c r="S582" s="44" t="s">
        <v>3983</v>
      </c>
      <c r="T582" s="45" t="s">
        <v>2961</v>
      </c>
      <c r="U582" s="7" t="s">
        <v>2900</v>
      </c>
      <c r="V582" s="45" t="s">
        <v>2961</v>
      </c>
      <c r="W582" s="44" t="s">
        <v>2900</v>
      </c>
      <c r="X582" s="4" t="s">
        <v>3991</v>
      </c>
      <c r="Y582" s="46" t="s">
        <v>2655</v>
      </c>
      <c r="Z582" s="4" t="s">
        <v>3949</v>
      </c>
      <c r="AA582" s="46" t="s">
        <v>2510</v>
      </c>
      <c r="AB582" s="4" t="s">
        <v>1023</v>
      </c>
      <c r="AC582" s="7" t="s">
        <v>2656</v>
      </c>
      <c r="AD582" s="4" t="s">
        <v>2961</v>
      </c>
      <c r="AE582" s="7" t="s">
        <v>2900</v>
      </c>
      <c r="AF582" s="7" t="s">
        <v>2961</v>
      </c>
      <c r="AG582" s="7" t="s">
        <v>2961</v>
      </c>
      <c r="AI582" s="7" t="s">
        <v>2463</v>
      </c>
      <c r="AJ582" s="7" t="s">
        <v>3562</v>
      </c>
      <c r="AK582" s="41">
        <f>Table43[[#This Row],[Harga Jual Pcs GT
(-PPN)]]-(Table43[[#This Row],[Harga Jual Pcs GT
(-PPN)]]*10%)</f>
        <v>0</v>
      </c>
      <c r="AL582" s="42">
        <f>Table43[[#This Row],[Harga Beli Pcs
(-PPN)]]*Table43[[#This Row],[ISI/CTN]]</f>
        <v>0</v>
      </c>
      <c r="AM582" s="42">
        <f>Table43[[#This Row],[Harga Beli Pcs
(-PPN)]]*1.11</f>
        <v>0</v>
      </c>
      <c r="AN582" s="42">
        <f>Table43[[#This Row],[Harga Beli Krt
(- PPN)]]*1.11</f>
        <v>0</v>
      </c>
      <c r="AO582" s="42"/>
      <c r="AP582" s="42">
        <f>Table43[[#This Row],[Harga Jual Pcs GT
(-PPN)]]*Table43[[#This Row],[ISI/CTN]]</f>
        <v>0</v>
      </c>
      <c r="AQ582" s="42">
        <f>Table43[[#This Row],[Harga Jual Pcs GT
(-PPN)]]*1.11</f>
        <v>0</v>
      </c>
      <c r="AR582" s="42">
        <f>Table43[[#This Row],[Harga Jual Krt GT
(- PPN)]]*1.11</f>
        <v>0</v>
      </c>
      <c r="AS582" s="42">
        <f>Table43[[#This Row],[Harga Jual Pcs GT
(-PPN)]]</f>
        <v>0</v>
      </c>
      <c r="AT582" s="42">
        <f>(Table43[[#This Row],[Harga Jual Pcs MT
(-PPN)]]*Table43[[#This Row],[ISI/CTN]])</f>
        <v>0</v>
      </c>
      <c r="AU582" s="42">
        <f>Table43[[#This Row],[Harga Jual Pcs MT
(-PPN)]]*1.11</f>
        <v>0</v>
      </c>
      <c r="AV582" s="42">
        <f>Table43[[#This Row],[Harga Jual Pcs MT
(+PPN)]]*Table43[[#This Row],[ISI/CTN]]</f>
        <v>0</v>
      </c>
      <c r="AW582" s="47"/>
      <c r="AX582" s="7"/>
      <c r="AY582" s="7" t="str">
        <f ca="1">IF(TODAY()-Table43[[#This Row],[Efektif
Pembuatan]]&gt;60,"Lama","Baru")</f>
        <v>Lama</v>
      </c>
      <c r="AZ582" s="7" t="str">
        <f ca="1">IF(TODAY()-Table43[[#This Row],[Efektif Naik Harga]]&lt;30,"Naik","Sama")</f>
        <v>Sama</v>
      </c>
      <c r="BA582" s="7" t="str">
        <f>IF(Table43[[#This Row],[Kode BARANG Win2]]&lt;&gt;"","IDR","")</f>
        <v>IDR</v>
      </c>
      <c r="BB582" s="7" t="str">
        <f>CONCATENATE(Table43[[#This Row],[kode  1 Digit
(Nomor)]],Table43[[#This Row],[kode  4 Digit                (Nomor)]])</f>
        <v>20025</v>
      </c>
      <c r="BC582" s="7" t="str">
        <f>Table43[[#This Row],[Nama            Gramasi atau Jumlah Pack per CTN]]</f>
        <v>25GR</v>
      </c>
      <c r="BD582" s="7"/>
      <c r="BE582" s="7"/>
      <c r="BF582" s="4" t="str">
        <f>IF(Table43[[#This Row],[SATUAN Fix Win]]&lt;&gt;"","KRT")</f>
        <v>KRT</v>
      </c>
      <c r="BG582" s="4" t="str">
        <f>IF(Table43[[#This Row],[SATUAN Fix Win]]&lt;&gt;"","GD01")</f>
        <v>GD01</v>
      </c>
      <c r="BH582" s="4">
        <f>IF(Table43[[#This Row],[SATUAN Fix Win]]&lt;&gt;"",11611)</f>
        <v>11611</v>
      </c>
      <c r="BI582" s="4">
        <f>IF(Table43[[#This Row],[SATUAN Fix Win]]&lt;&gt;"",11612)</f>
        <v>11612</v>
      </c>
      <c r="BJ582" s="48"/>
      <c r="BK582" s="4">
        <f>IF(Table43[[#This Row],[SATUAN Fix Win]]&lt;&gt;"",1)</f>
        <v>1</v>
      </c>
    </row>
    <row r="583" spans="1:63">
      <c r="A583" s="4" t="str">
        <f>CONCATENATE(Table43[[#This Row],[Kode BARANG Win2]],Table43[[#This Row],[No. Urut
Item Sama]])</f>
        <v>K14600010001101</v>
      </c>
      <c r="B583" s="7">
        <v>1</v>
      </c>
      <c r="D583" s="28" t="s">
        <v>362</v>
      </c>
      <c r="E583" s="28"/>
      <c r="F583" s="28" t="s">
        <v>3325</v>
      </c>
      <c r="G583" s="78">
        <v>72</v>
      </c>
      <c r="H583" s="43"/>
      <c r="I583" s="28" t="str">
        <f>Table43[[#This Row],[Nama Jenis Kemasan]]</f>
        <v>BLR</v>
      </c>
      <c r="J583" s="4" t="str">
        <f>TRIM(CONCATENATE(Table43[[#This Row],[Nama            KLP]]," ",Table43[[#This Row],[Nama            Sub KLP]]))</f>
        <v>SASHA HAIR VITAMIN</v>
      </c>
      <c r="K583" s="4" t="str">
        <f>CONCATENATE(Table43[[#This Row],[kode  2 Digit                (hrf+No)]],Table43[[#This Row],[kode  2 Digit                (Nomor)]],Table43[[#This Row],[kode  1 Digit                (Nomor)]])</f>
        <v>K1460</v>
      </c>
      <c r="L583" s="4" t="str">
        <f t="shared" si="27"/>
        <v>K1460001000110</v>
      </c>
      <c r="M583" s="11">
        <f t="shared" si="28"/>
        <v>14</v>
      </c>
      <c r="N583" s="14" t="str">
        <f>IF(AF583&lt;&gt;"",TRIM(UPPER(CONCATENATE(P583," ",R583," ",T583," ",V583," ",X583," ",Z583," ","X"," ",Table43[[#This Row],[ISI/CTN]]," ",AF583," ",AB583," ",AD583," ",AH583))),TRIM(UPPER(CONCATENATE(P583," ",R583," ",T583," ",V583," ",X583," ",Z583," ","X"," ",Table43[[#This Row],[ISI/CTN]]," ",AB583," ",AD583," ",AH583))))</f>
        <v>KNF SASHA HAIR VITAMIN BLACK SHINE 1ML X 72 BLR</v>
      </c>
      <c r="O583" s="11">
        <f t="shared" si="29"/>
        <v>47</v>
      </c>
      <c r="P583" s="4" t="s">
        <v>97</v>
      </c>
      <c r="Q583" s="7" t="s">
        <v>98</v>
      </c>
      <c r="R583" s="4" t="s">
        <v>3992</v>
      </c>
      <c r="S583" s="44" t="s">
        <v>3993</v>
      </c>
      <c r="T583" s="45" t="s">
        <v>2961</v>
      </c>
      <c r="U583" s="7" t="s">
        <v>2900</v>
      </c>
      <c r="V583" s="45" t="s">
        <v>2961</v>
      </c>
      <c r="W583" s="44" t="s">
        <v>2900</v>
      </c>
      <c r="X583" s="4" t="s">
        <v>3994</v>
      </c>
      <c r="Y583" s="46" t="s">
        <v>0</v>
      </c>
      <c r="Z583" s="4" t="s">
        <v>3679</v>
      </c>
      <c r="AA583" s="46" t="s">
        <v>2496</v>
      </c>
      <c r="AB583" s="4" t="s">
        <v>1024</v>
      </c>
      <c r="AC583" s="7" t="s">
        <v>2656</v>
      </c>
      <c r="AD583" s="4" t="s">
        <v>2961</v>
      </c>
      <c r="AE583" s="7" t="s">
        <v>2900</v>
      </c>
      <c r="AF583" s="7" t="s">
        <v>2961</v>
      </c>
      <c r="AG583" s="7" t="s">
        <v>2961</v>
      </c>
      <c r="AI583" s="7" t="s">
        <v>4100</v>
      </c>
      <c r="AJ583" s="7" t="s">
        <v>2656</v>
      </c>
      <c r="AK583" s="41">
        <f>Table43[[#This Row],[Harga Jual Pcs GT
(-PPN)]]-(Table43[[#This Row],[Harga Jual Pcs GT
(-PPN)]]*10%)</f>
        <v>0</v>
      </c>
      <c r="AL583" s="42">
        <f>Table43[[#This Row],[Harga Beli Pcs
(-PPN)]]*Table43[[#This Row],[ISI/CTN]]</f>
        <v>0</v>
      </c>
      <c r="AM583" s="42">
        <f>Table43[[#This Row],[Harga Beli Pcs
(-PPN)]]*1.11</f>
        <v>0</v>
      </c>
      <c r="AN583" s="42">
        <f>Table43[[#This Row],[Harga Beli Krt
(- PPN)]]*1.11</f>
        <v>0</v>
      </c>
      <c r="AO583" s="42"/>
      <c r="AP583" s="42">
        <f>Table43[[#This Row],[Harga Jual Pcs GT
(-PPN)]]*Table43[[#This Row],[ISI/CTN]]</f>
        <v>0</v>
      </c>
      <c r="AQ583" s="42">
        <f>Table43[[#This Row],[Harga Jual Pcs GT
(-PPN)]]*1.11</f>
        <v>0</v>
      </c>
      <c r="AR583" s="42">
        <f>Table43[[#This Row],[Harga Jual Krt GT
(- PPN)]]*1.11</f>
        <v>0</v>
      </c>
      <c r="AS583" s="42">
        <f>Table43[[#This Row],[Harga Jual Pcs GT
(-PPN)]]</f>
        <v>0</v>
      </c>
      <c r="AT583" s="42">
        <f>(Table43[[#This Row],[Harga Jual Pcs MT
(-PPN)]]*Table43[[#This Row],[ISI/CTN]])</f>
        <v>0</v>
      </c>
      <c r="AU583" s="42">
        <f>Table43[[#This Row],[Harga Jual Pcs MT
(-PPN)]]*1.11</f>
        <v>0</v>
      </c>
      <c r="AV583" s="42">
        <f>Table43[[#This Row],[Harga Jual Pcs MT
(+PPN)]]*Table43[[#This Row],[ISI/CTN]]</f>
        <v>0</v>
      </c>
      <c r="AW583" s="47"/>
      <c r="AX583" s="7"/>
      <c r="AY583" s="7" t="str">
        <f ca="1">IF(TODAY()-Table43[[#This Row],[Efektif
Pembuatan]]&gt;60,"Lama","Baru")</f>
        <v>Lama</v>
      </c>
      <c r="AZ583" s="7" t="str">
        <f ca="1">IF(TODAY()-Table43[[#This Row],[Efektif Naik Harga]]&lt;30,"Naik","Sama")</f>
        <v>Sama</v>
      </c>
      <c r="BA583" s="7" t="str">
        <f>IF(Table43[[#This Row],[Kode BARANG Win2]]&lt;&gt;"","IDR","")</f>
        <v>IDR</v>
      </c>
      <c r="BB583" s="7" t="str">
        <f>CONCATENATE(Table43[[#This Row],[kode  1 Digit
(Nomor)]],Table43[[#This Row],[kode  4 Digit                (Nomor)]])</f>
        <v>10001</v>
      </c>
      <c r="BC583" s="7" t="str">
        <f>Table43[[#This Row],[Nama            Gramasi atau Jumlah Pack per CTN]]</f>
        <v>1ML</v>
      </c>
      <c r="BD583" s="7"/>
      <c r="BE583" s="7"/>
      <c r="BF583" s="4" t="str">
        <f>IF(Table43[[#This Row],[SATUAN Fix Win]]&lt;&gt;"","KRT")</f>
        <v>KRT</v>
      </c>
      <c r="BG583" s="4" t="str">
        <f>IF(Table43[[#This Row],[SATUAN Fix Win]]&lt;&gt;"","GD01")</f>
        <v>GD01</v>
      </c>
      <c r="BH583" s="4">
        <f>IF(Table43[[#This Row],[SATUAN Fix Win]]&lt;&gt;"",11611)</f>
        <v>11611</v>
      </c>
      <c r="BI583" s="4">
        <f>IF(Table43[[#This Row],[SATUAN Fix Win]]&lt;&gt;"",11612)</f>
        <v>11612</v>
      </c>
      <c r="BJ583" s="48"/>
      <c r="BK583" s="4">
        <f>IF(Table43[[#This Row],[SATUAN Fix Win]]&lt;&gt;"",1)</f>
        <v>1</v>
      </c>
    </row>
    <row r="584" spans="1:63">
      <c r="A584" s="4" t="str">
        <f>CONCATENATE(Table43[[#This Row],[Kode BARANG Win2]],Table43[[#This Row],[No. Urut
Item Sama]])</f>
        <v>K14600010001201</v>
      </c>
      <c r="B584" s="7">
        <v>1</v>
      </c>
      <c r="D584" s="28" t="s">
        <v>363</v>
      </c>
      <c r="E584" s="28"/>
      <c r="F584" s="28" t="s">
        <v>4094</v>
      </c>
      <c r="G584" s="78">
        <v>24</v>
      </c>
      <c r="H584" s="43"/>
      <c r="I584" s="28" t="str">
        <f>Table43[[#This Row],[Nama Jenis Kemasan]]</f>
        <v>JAR</v>
      </c>
      <c r="J584" s="4" t="str">
        <f>TRIM(CONCATENATE(Table43[[#This Row],[Nama            KLP]]," ",Table43[[#This Row],[Nama            Sub KLP]]))</f>
        <v>SASHA HAIR VITAMIN</v>
      </c>
      <c r="K584" s="4" t="str">
        <f>CONCATENATE(Table43[[#This Row],[kode  2 Digit                (hrf+No)]],Table43[[#This Row],[kode  2 Digit                (Nomor)]],Table43[[#This Row],[kode  1 Digit                (Nomor)]])</f>
        <v>K1460</v>
      </c>
      <c r="L584" s="4" t="str">
        <f t="shared" si="27"/>
        <v>K1460001000120</v>
      </c>
      <c r="M584" s="11">
        <f t="shared" si="28"/>
        <v>14</v>
      </c>
      <c r="N584" s="14" t="str">
        <f>IF(AF584&lt;&gt;"",TRIM(UPPER(CONCATENATE(P584," ",R584," ",T584," ",V584," ",X584," ",Z584," ","X"," ",Table43[[#This Row],[ISI/CTN]]," ",AF584," ",AB584," ",AD584," ",AH584))),TRIM(UPPER(CONCATENATE(P584," ",R584," ",T584," ",V584," ",X584," ",Z584," ","X"," ",Table43[[#This Row],[ISI/CTN]]," ",AB584," ",AD584," ",AH584))))</f>
        <v>KNF SASHA HAIR VITAMIN BLACK SHINE 1ML X 24 JAR</v>
      </c>
      <c r="O584" s="11">
        <f t="shared" si="29"/>
        <v>47</v>
      </c>
      <c r="P584" s="4" t="s">
        <v>97</v>
      </c>
      <c r="Q584" s="7" t="s">
        <v>98</v>
      </c>
      <c r="R584" s="4" t="s">
        <v>3992</v>
      </c>
      <c r="S584" s="44" t="s">
        <v>3993</v>
      </c>
      <c r="T584" s="45" t="s">
        <v>2961</v>
      </c>
      <c r="U584" s="7" t="s">
        <v>2900</v>
      </c>
      <c r="V584" s="45" t="s">
        <v>2961</v>
      </c>
      <c r="W584" s="44" t="s">
        <v>2900</v>
      </c>
      <c r="X584" s="4" t="s">
        <v>3994</v>
      </c>
      <c r="Y584" s="46" t="s">
        <v>0</v>
      </c>
      <c r="Z584" s="4" t="s">
        <v>3679</v>
      </c>
      <c r="AA584" s="46" t="s">
        <v>2496</v>
      </c>
      <c r="AB584" s="4" t="s">
        <v>1019</v>
      </c>
      <c r="AC584" s="7" t="s">
        <v>3562</v>
      </c>
      <c r="AD584" s="4" t="s">
        <v>2961</v>
      </c>
      <c r="AE584" s="7" t="s">
        <v>2900</v>
      </c>
      <c r="AF584" s="7" t="s">
        <v>2961</v>
      </c>
      <c r="AG584" s="7" t="s">
        <v>2961</v>
      </c>
      <c r="AI584" s="7" t="s">
        <v>4100</v>
      </c>
      <c r="AJ584" s="7" t="s">
        <v>2656</v>
      </c>
      <c r="AK584" s="41">
        <f>Table43[[#This Row],[Harga Jual Pcs GT
(-PPN)]]-(Table43[[#This Row],[Harga Jual Pcs GT
(-PPN)]]*10%)</f>
        <v>0</v>
      </c>
      <c r="AL584" s="42">
        <f>Table43[[#This Row],[Harga Beli Pcs
(-PPN)]]*Table43[[#This Row],[ISI/CTN]]</f>
        <v>0</v>
      </c>
      <c r="AM584" s="42">
        <f>Table43[[#This Row],[Harga Beli Pcs
(-PPN)]]*1.11</f>
        <v>0</v>
      </c>
      <c r="AN584" s="42">
        <f>Table43[[#This Row],[Harga Beli Krt
(- PPN)]]*1.11</f>
        <v>0</v>
      </c>
      <c r="AO584" s="42"/>
      <c r="AP584" s="42">
        <f>Table43[[#This Row],[Harga Jual Pcs GT
(-PPN)]]*Table43[[#This Row],[ISI/CTN]]</f>
        <v>0</v>
      </c>
      <c r="AQ584" s="42">
        <f>Table43[[#This Row],[Harga Jual Pcs GT
(-PPN)]]*1.11</f>
        <v>0</v>
      </c>
      <c r="AR584" s="42">
        <f>Table43[[#This Row],[Harga Jual Krt GT
(- PPN)]]*1.11</f>
        <v>0</v>
      </c>
      <c r="AS584" s="42">
        <f>Table43[[#This Row],[Harga Jual Pcs GT
(-PPN)]]</f>
        <v>0</v>
      </c>
      <c r="AT584" s="42">
        <f>(Table43[[#This Row],[Harga Jual Pcs MT
(-PPN)]]*Table43[[#This Row],[ISI/CTN]])</f>
        <v>0</v>
      </c>
      <c r="AU584" s="42">
        <f>Table43[[#This Row],[Harga Jual Pcs MT
(-PPN)]]*1.11</f>
        <v>0</v>
      </c>
      <c r="AV584" s="42">
        <f>Table43[[#This Row],[Harga Jual Pcs MT
(+PPN)]]*Table43[[#This Row],[ISI/CTN]]</f>
        <v>0</v>
      </c>
      <c r="AW584" s="47"/>
      <c r="AX584" s="7"/>
      <c r="AY584" s="7" t="str">
        <f ca="1">IF(TODAY()-Table43[[#This Row],[Efektif
Pembuatan]]&gt;60,"Lama","Baru")</f>
        <v>Lama</v>
      </c>
      <c r="AZ584" s="7" t="str">
        <f ca="1">IF(TODAY()-Table43[[#This Row],[Efektif Naik Harga]]&lt;30,"Naik","Sama")</f>
        <v>Sama</v>
      </c>
      <c r="BA584" s="7" t="str">
        <f>IF(Table43[[#This Row],[Kode BARANG Win2]]&lt;&gt;"","IDR","")</f>
        <v>IDR</v>
      </c>
      <c r="BB584" s="7" t="str">
        <f>CONCATENATE(Table43[[#This Row],[kode  1 Digit
(Nomor)]],Table43[[#This Row],[kode  4 Digit                (Nomor)]])</f>
        <v>10001</v>
      </c>
      <c r="BC584" s="7" t="str">
        <f>Table43[[#This Row],[Nama            Gramasi atau Jumlah Pack per CTN]]</f>
        <v>1ML</v>
      </c>
      <c r="BD584" s="7"/>
      <c r="BE584" s="7"/>
      <c r="BF584" s="4" t="str">
        <f>IF(Table43[[#This Row],[SATUAN Fix Win]]&lt;&gt;"","KRT")</f>
        <v>KRT</v>
      </c>
      <c r="BG584" s="4" t="str">
        <f>IF(Table43[[#This Row],[SATUAN Fix Win]]&lt;&gt;"","GD01")</f>
        <v>GD01</v>
      </c>
      <c r="BH584" s="4">
        <f>IF(Table43[[#This Row],[SATUAN Fix Win]]&lt;&gt;"",11611)</f>
        <v>11611</v>
      </c>
      <c r="BI584" s="4">
        <f>IF(Table43[[#This Row],[SATUAN Fix Win]]&lt;&gt;"",11612)</f>
        <v>11612</v>
      </c>
      <c r="BJ584" s="48"/>
      <c r="BK584" s="4">
        <f>IF(Table43[[#This Row],[SATUAN Fix Win]]&lt;&gt;"",1)</f>
        <v>1</v>
      </c>
    </row>
    <row r="585" spans="1:63">
      <c r="A585" s="4" t="str">
        <f>CONCATENATE(Table43[[#This Row],[Kode BARANG Win2]],Table43[[#This Row],[No. Urut
Item Sama]])</f>
        <v>K14600020001101</v>
      </c>
      <c r="B585" s="7">
        <v>1</v>
      </c>
      <c r="D585" s="28" t="s">
        <v>1040</v>
      </c>
      <c r="E585" s="28"/>
      <c r="F585" s="28">
        <v>0</v>
      </c>
      <c r="G585" s="78">
        <v>72</v>
      </c>
      <c r="H585" s="43"/>
      <c r="I585" s="28" t="str">
        <f>Table43[[#This Row],[Nama Jenis Kemasan]]</f>
        <v>BLR</v>
      </c>
      <c r="J585" s="4" t="str">
        <f>TRIM(CONCATENATE(Table43[[#This Row],[Nama            KLP]]," ",Table43[[#This Row],[Nama            Sub KLP]]))</f>
        <v>SASHA HAIR VITAMIN</v>
      </c>
      <c r="K585" s="4" t="str">
        <f>CONCATENATE(Table43[[#This Row],[kode  2 Digit                (hrf+No)]],Table43[[#This Row],[kode  2 Digit                (Nomor)]],Table43[[#This Row],[kode  1 Digit                (Nomor)]])</f>
        <v>K1460</v>
      </c>
      <c r="L585" s="4" t="str">
        <f t="shared" si="27"/>
        <v>K1460002000110</v>
      </c>
      <c r="M585" s="11">
        <f t="shared" si="28"/>
        <v>14</v>
      </c>
      <c r="N585" s="14" t="str">
        <f>IF(AF585&lt;&gt;"",TRIM(UPPER(CONCATENATE(P585," ",R585," ",T585," ",V585," ",X585," ",Z585," ","X"," ",Table43[[#This Row],[ISI/CTN]]," ",AF585," ",AB585," ",AD585," ",AH585))),TRIM(UPPER(CONCATENATE(P585," ",R585," ",T585," ",V585," ",X585," ",Z585," ","X"," ",Table43[[#This Row],[ISI/CTN]]," ",AB585," ",AD585," ",AH585))))</f>
        <v>KNF SASHA HAIR VITAMIN COLOR GLOW 1ML X 72 BLR</v>
      </c>
      <c r="O585" s="11">
        <f t="shared" si="29"/>
        <v>46</v>
      </c>
      <c r="P585" s="4" t="s">
        <v>97</v>
      </c>
      <c r="Q585" s="7" t="s">
        <v>98</v>
      </c>
      <c r="R585" s="4" t="s">
        <v>3992</v>
      </c>
      <c r="S585" s="44" t="s">
        <v>3993</v>
      </c>
      <c r="T585" s="45" t="s">
        <v>2961</v>
      </c>
      <c r="U585" s="7" t="s">
        <v>2900</v>
      </c>
      <c r="V585" s="45" t="s">
        <v>2961</v>
      </c>
      <c r="W585" s="44" t="s">
        <v>2900</v>
      </c>
      <c r="X585" s="4" t="s">
        <v>3995</v>
      </c>
      <c r="Y585" s="46" t="s">
        <v>2472</v>
      </c>
      <c r="Z585" s="4" t="s">
        <v>3679</v>
      </c>
      <c r="AA585" s="46" t="s">
        <v>2496</v>
      </c>
      <c r="AB585" s="4" t="s">
        <v>1024</v>
      </c>
      <c r="AC585" s="7" t="s">
        <v>2656</v>
      </c>
      <c r="AD585" s="4" t="s">
        <v>2961</v>
      </c>
      <c r="AE585" s="7" t="s">
        <v>2900</v>
      </c>
      <c r="AF585" s="7" t="s">
        <v>2961</v>
      </c>
      <c r="AG585" s="7" t="s">
        <v>2961</v>
      </c>
      <c r="AI585" s="7" t="s">
        <v>4100</v>
      </c>
      <c r="AJ585" s="7" t="s">
        <v>2656</v>
      </c>
      <c r="AK585" s="41">
        <f>Table43[[#This Row],[Harga Jual Pcs GT
(-PPN)]]-(Table43[[#This Row],[Harga Jual Pcs GT
(-PPN)]]*10%)</f>
        <v>0</v>
      </c>
      <c r="AL585" s="42">
        <f>Table43[[#This Row],[Harga Beli Pcs
(-PPN)]]*Table43[[#This Row],[ISI/CTN]]</f>
        <v>0</v>
      </c>
      <c r="AM585" s="42">
        <f>Table43[[#This Row],[Harga Beli Pcs
(-PPN)]]*1.11</f>
        <v>0</v>
      </c>
      <c r="AN585" s="42">
        <f>Table43[[#This Row],[Harga Beli Krt
(- PPN)]]*1.11</f>
        <v>0</v>
      </c>
      <c r="AO585" s="42"/>
      <c r="AP585" s="42">
        <f>Table43[[#This Row],[Harga Jual Pcs GT
(-PPN)]]*Table43[[#This Row],[ISI/CTN]]</f>
        <v>0</v>
      </c>
      <c r="AQ585" s="42">
        <f>Table43[[#This Row],[Harga Jual Pcs GT
(-PPN)]]*1.11</f>
        <v>0</v>
      </c>
      <c r="AR585" s="42">
        <f>Table43[[#This Row],[Harga Jual Krt GT
(- PPN)]]*1.11</f>
        <v>0</v>
      </c>
      <c r="AS585" s="42">
        <f>Table43[[#This Row],[Harga Jual Pcs GT
(-PPN)]]</f>
        <v>0</v>
      </c>
      <c r="AT585" s="42">
        <f>(Table43[[#This Row],[Harga Jual Pcs MT
(-PPN)]]*Table43[[#This Row],[ISI/CTN]])</f>
        <v>0</v>
      </c>
      <c r="AU585" s="42">
        <f>Table43[[#This Row],[Harga Jual Pcs MT
(-PPN)]]*1.11</f>
        <v>0</v>
      </c>
      <c r="AV585" s="42">
        <f>Table43[[#This Row],[Harga Jual Pcs MT
(+PPN)]]*Table43[[#This Row],[ISI/CTN]]</f>
        <v>0</v>
      </c>
      <c r="AW585" s="47"/>
      <c r="AX585" s="7"/>
      <c r="AY585" s="7" t="str">
        <f ca="1">IF(TODAY()-Table43[[#This Row],[Efektif
Pembuatan]]&gt;60,"Lama","Baru")</f>
        <v>Lama</v>
      </c>
      <c r="AZ585" s="7" t="str">
        <f ca="1">IF(TODAY()-Table43[[#This Row],[Efektif Naik Harga]]&lt;30,"Naik","Sama")</f>
        <v>Sama</v>
      </c>
      <c r="BA585" s="7" t="str">
        <f>IF(Table43[[#This Row],[Kode BARANG Win2]]&lt;&gt;"","IDR","")</f>
        <v>IDR</v>
      </c>
      <c r="BB585" s="7" t="str">
        <f>CONCATENATE(Table43[[#This Row],[kode  1 Digit
(Nomor)]],Table43[[#This Row],[kode  4 Digit                (Nomor)]])</f>
        <v>10001</v>
      </c>
      <c r="BC585" s="7" t="str">
        <f>Table43[[#This Row],[Nama            Gramasi atau Jumlah Pack per CTN]]</f>
        <v>1ML</v>
      </c>
      <c r="BD585" s="7"/>
      <c r="BE585" s="7"/>
      <c r="BF585" s="4" t="str">
        <f>IF(Table43[[#This Row],[SATUAN Fix Win]]&lt;&gt;"","KRT")</f>
        <v>KRT</v>
      </c>
      <c r="BG585" s="4" t="str">
        <f>IF(Table43[[#This Row],[SATUAN Fix Win]]&lt;&gt;"","GD01")</f>
        <v>GD01</v>
      </c>
      <c r="BH585" s="4">
        <f>IF(Table43[[#This Row],[SATUAN Fix Win]]&lt;&gt;"",11611)</f>
        <v>11611</v>
      </c>
      <c r="BI585" s="4">
        <f>IF(Table43[[#This Row],[SATUAN Fix Win]]&lt;&gt;"",11612)</f>
        <v>11612</v>
      </c>
      <c r="BJ585" s="48"/>
      <c r="BK585" s="4">
        <f>IF(Table43[[#This Row],[SATUAN Fix Win]]&lt;&gt;"",1)</f>
        <v>1</v>
      </c>
    </row>
    <row r="586" spans="1:63">
      <c r="A586" s="4" t="str">
        <f>CONCATENATE(Table43[[#This Row],[Kode BARANG Win2]],Table43[[#This Row],[No. Urut
Item Sama]])</f>
        <v>K14600020001401</v>
      </c>
      <c r="B586" s="7">
        <v>1</v>
      </c>
      <c r="D586" s="28" t="s">
        <v>2436</v>
      </c>
      <c r="E586" s="28"/>
      <c r="F586" s="28">
        <v>0</v>
      </c>
      <c r="G586" s="78">
        <v>12</v>
      </c>
      <c r="H586" s="43"/>
      <c r="I586" s="28" t="str">
        <f>Table43[[#This Row],[Nama Jenis Kemasan]]</f>
        <v>BAG</v>
      </c>
      <c r="J586" s="4" t="str">
        <f>TRIM(CONCATENATE(Table43[[#This Row],[Nama            KLP]]," ",Table43[[#This Row],[Nama            Sub KLP]]))</f>
        <v>SASHA HAIR VITAMIN</v>
      </c>
      <c r="K586" s="4" t="str">
        <f>CONCATENATE(Table43[[#This Row],[kode  2 Digit                (hrf+No)]],Table43[[#This Row],[kode  2 Digit                (Nomor)]],Table43[[#This Row],[kode  1 Digit                (Nomor)]])</f>
        <v>K1460</v>
      </c>
      <c r="L586" s="4" t="str">
        <f t="shared" si="27"/>
        <v>K1460002000140</v>
      </c>
      <c r="M586" s="11">
        <f t="shared" si="28"/>
        <v>14</v>
      </c>
      <c r="N586" s="14" t="str">
        <f>IF(AF586&lt;&gt;"",TRIM(UPPER(CONCATENATE(P586," ",R586," ",T586," ",V586," ",X586," ",Z586," ","X"," ",Table43[[#This Row],[ISI/CTN]]," ",AF586," ",AB586," ",AD586," ",AH586))),TRIM(UPPER(CONCATENATE(P586," ",R586," ",T586," ",V586," ",X586," ",Z586," ","X"," ",Table43[[#This Row],[ISI/CTN]]," ",AB586," ",AD586," ",AH586))))</f>
        <v>KNF SASHA HAIR VITAMIN COLOR GLOW 1ML X 12 BAG</v>
      </c>
      <c r="O586" s="11">
        <f t="shared" si="29"/>
        <v>46</v>
      </c>
      <c r="P586" s="4" t="s">
        <v>97</v>
      </c>
      <c r="Q586" s="7" t="s">
        <v>98</v>
      </c>
      <c r="R586" s="4" t="s">
        <v>3992</v>
      </c>
      <c r="S586" s="44" t="s">
        <v>3993</v>
      </c>
      <c r="T586" s="45" t="s">
        <v>2961</v>
      </c>
      <c r="U586" s="7" t="s">
        <v>2900</v>
      </c>
      <c r="V586" s="45" t="s">
        <v>2961</v>
      </c>
      <c r="W586" s="44" t="s">
        <v>2900</v>
      </c>
      <c r="X586" s="4" t="s">
        <v>3995</v>
      </c>
      <c r="Y586" s="46" t="s">
        <v>2472</v>
      </c>
      <c r="Z586" s="4" t="s">
        <v>3679</v>
      </c>
      <c r="AA586" s="46" t="s">
        <v>2496</v>
      </c>
      <c r="AB586" s="4" t="s">
        <v>2433</v>
      </c>
      <c r="AC586" s="7" t="s">
        <v>3593</v>
      </c>
      <c r="AD586" s="4" t="s">
        <v>2961</v>
      </c>
      <c r="AE586" s="7" t="s">
        <v>2900</v>
      </c>
      <c r="AF586" s="7" t="s">
        <v>2961</v>
      </c>
      <c r="AG586" s="7" t="s">
        <v>2961</v>
      </c>
      <c r="AI586" s="7" t="s">
        <v>4100</v>
      </c>
      <c r="AJ586" s="7" t="s">
        <v>2656</v>
      </c>
      <c r="AK586" s="41">
        <f>Table43[[#This Row],[Harga Jual Pcs GT
(-PPN)]]-(Table43[[#This Row],[Harga Jual Pcs GT
(-PPN)]]*10%)</f>
        <v>0</v>
      </c>
      <c r="AL586" s="42">
        <f>Table43[[#This Row],[Harga Beli Pcs
(-PPN)]]*Table43[[#This Row],[ISI/CTN]]</f>
        <v>0</v>
      </c>
      <c r="AM586" s="42">
        <f>Table43[[#This Row],[Harga Beli Pcs
(-PPN)]]*1.11</f>
        <v>0</v>
      </c>
      <c r="AN586" s="42">
        <f>Table43[[#This Row],[Harga Beli Krt
(- PPN)]]*1.11</f>
        <v>0</v>
      </c>
      <c r="AO586" s="42"/>
      <c r="AP586" s="42">
        <f>Table43[[#This Row],[Harga Jual Pcs GT
(-PPN)]]*Table43[[#This Row],[ISI/CTN]]</f>
        <v>0</v>
      </c>
      <c r="AQ586" s="42">
        <f>Table43[[#This Row],[Harga Jual Pcs GT
(-PPN)]]*1.11</f>
        <v>0</v>
      </c>
      <c r="AR586" s="42">
        <f>Table43[[#This Row],[Harga Jual Krt GT
(- PPN)]]*1.11</f>
        <v>0</v>
      </c>
      <c r="AS586" s="42">
        <f>Table43[[#This Row],[Harga Jual Pcs GT
(-PPN)]]</f>
        <v>0</v>
      </c>
      <c r="AT586" s="42">
        <f>(Table43[[#This Row],[Harga Jual Pcs MT
(-PPN)]]*Table43[[#This Row],[ISI/CTN]])</f>
        <v>0</v>
      </c>
      <c r="AU586" s="42">
        <f>Table43[[#This Row],[Harga Jual Pcs MT
(-PPN)]]*1.11</f>
        <v>0</v>
      </c>
      <c r="AV586" s="42">
        <f>Table43[[#This Row],[Harga Jual Pcs MT
(+PPN)]]*Table43[[#This Row],[ISI/CTN]]</f>
        <v>0</v>
      </c>
      <c r="AW586" s="47"/>
      <c r="AX586" s="7"/>
      <c r="AY586" s="7" t="str">
        <f ca="1">IF(TODAY()-Table43[[#This Row],[Efektif
Pembuatan]]&gt;60,"Lama","Baru")</f>
        <v>Lama</v>
      </c>
      <c r="AZ586" s="7" t="str">
        <f ca="1">IF(TODAY()-Table43[[#This Row],[Efektif Naik Harga]]&lt;30,"Naik","Sama")</f>
        <v>Sama</v>
      </c>
      <c r="BA586" s="7" t="str">
        <f>IF(Table43[[#This Row],[Kode BARANG Win2]]&lt;&gt;"","IDR","")</f>
        <v>IDR</v>
      </c>
      <c r="BB586" s="7" t="str">
        <f>CONCATENATE(Table43[[#This Row],[kode  1 Digit
(Nomor)]],Table43[[#This Row],[kode  4 Digit                (Nomor)]])</f>
        <v>10001</v>
      </c>
      <c r="BC586" s="7" t="str">
        <f>Table43[[#This Row],[Nama            Gramasi atau Jumlah Pack per CTN]]</f>
        <v>1ML</v>
      </c>
      <c r="BD586" s="7"/>
      <c r="BE586" s="7"/>
      <c r="BF586" s="4" t="str">
        <f>IF(Table43[[#This Row],[SATUAN Fix Win]]&lt;&gt;"","KRT")</f>
        <v>KRT</v>
      </c>
      <c r="BG586" s="4" t="str">
        <f>IF(Table43[[#This Row],[SATUAN Fix Win]]&lt;&gt;"","GD01")</f>
        <v>GD01</v>
      </c>
      <c r="BH586" s="4">
        <f>IF(Table43[[#This Row],[SATUAN Fix Win]]&lt;&gt;"",11611)</f>
        <v>11611</v>
      </c>
      <c r="BI586" s="4">
        <f>IF(Table43[[#This Row],[SATUAN Fix Win]]&lt;&gt;"",11612)</f>
        <v>11612</v>
      </c>
      <c r="BJ586" s="48"/>
      <c r="BK586" s="4">
        <f>IF(Table43[[#This Row],[SATUAN Fix Win]]&lt;&gt;"",1)</f>
        <v>1</v>
      </c>
    </row>
    <row r="587" spans="1:63">
      <c r="A587" s="4" t="str">
        <f>CONCATENATE(Table43[[#This Row],[Kode BARANG Win2]],Table43[[#This Row],[No. Urut
Item Sama]])</f>
        <v>K14600030001101</v>
      </c>
      <c r="B587" s="7">
        <v>1</v>
      </c>
      <c r="D587" s="28" t="s">
        <v>364</v>
      </c>
      <c r="E587" s="28"/>
      <c r="F587" s="28" t="s">
        <v>3326</v>
      </c>
      <c r="G587" s="78">
        <v>72</v>
      </c>
      <c r="H587" s="43"/>
      <c r="I587" s="28" t="str">
        <f>Table43[[#This Row],[Nama Jenis Kemasan]]</f>
        <v>BLR</v>
      </c>
      <c r="J587" s="4" t="str">
        <f>TRIM(CONCATENATE(Table43[[#This Row],[Nama            KLP]]," ",Table43[[#This Row],[Nama            Sub KLP]]))</f>
        <v>SASHA HAIR VITAMIN</v>
      </c>
      <c r="K587" s="4" t="str">
        <f>CONCATENATE(Table43[[#This Row],[kode  2 Digit                (hrf+No)]],Table43[[#This Row],[kode  2 Digit                (Nomor)]],Table43[[#This Row],[kode  1 Digit                (Nomor)]])</f>
        <v>K1460</v>
      </c>
      <c r="L587" s="4" t="str">
        <f t="shared" si="27"/>
        <v>K1460003000110</v>
      </c>
      <c r="M587" s="11">
        <f t="shared" si="28"/>
        <v>14</v>
      </c>
      <c r="N587" s="14" t="str">
        <f>IF(AF587&lt;&gt;"",TRIM(UPPER(CONCATENATE(P587," ",R587," ",T587," ",V587," ",X587," ",Z587," ","X"," ",Table43[[#This Row],[ISI/CTN]]," ",AF587," ",AB587," ",AD587," ",AH587))),TRIM(UPPER(CONCATENATE(P587," ",R587," ",T587," ",V587," ",X587," ",Z587," ","X"," ",Table43[[#This Row],[ISI/CTN]]," ",AB587," ",AD587," ",AH587))))</f>
        <v>KNF SASHA HAIR VITAMIN DAMAGE CARE 1ML X 72 BLR</v>
      </c>
      <c r="O587" s="11">
        <f t="shared" si="29"/>
        <v>47</v>
      </c>
      <c r="P587" s="4" t="s">
        <v>97</v>
      </c>
      <c r="Q587" s="7" t="s">
        <v>98</v>
      </c>
      <c r="R587" s="4" t="s">
        <v>3992</v>
      </c>
      <c r="S587" s="44" t="s">
        <v>3993</v>
      </c>
      <c r="T587" s="45" t="s">
        <v>2961</v>
      </c>
      <c r="U587" s="7" t="s">
        <v>2900</v>
      </c>
      <c r="V587" s="45" t="s">
        <v>2961</v>
      </c>
      <c r="W587" s="44" t="s">
        <v>2900</v>
      </c>
      <c r="X587" s="4" t="s">
        <v>3996</v>
      </c>
      <c r="Y587" s="46" t="s">
        <v>2473</v>
      </c>
      <c r="Z587" s="4" t="s">
        <v>3679</v>
      </c>
      <c r="AA587" s="46" t="s">
        <v>2496</v>
      </c>
      <c r="AB587" s="4" t="s">
        <v>1024</v>
      </c>
      <c r="AC587" s="7" t="s">
        <v>2656</v>
      </c>
      <c r="AD587" s="4" t="s">
        <v>2961</v>
      </c>
      <c r="AE587" s="7" t="s">
        <v>2900</v>
      </c>
      <c r="AF587" s="7" t="s">
        <v>2961</v>
      </c>
      <c r="AG587" s="7" t="s">
        <v>2961</v>
      </c>
      <c r="AI587" s="7" t="s">
        <v>4100</v>
      </c>
      <c r="AJ587" s="7" t="s">
        <v>2656</v>
      </c>
      <c r="AK587" s="41">
        <f>Table43[[#This Row],[Harga Jual Pcs GT
(-PPN)]]-(Table43[[#This Row],[Harga Jual Pcs GT
(-PPN)]]*10%)</f>
        <v>0</v>
      </c>
      <c r="AL587" s="42">
        <f>Table43[[#This Row],[Harga Beli Pcs
(-PPN)]]*Table43[[#This Row],[ISI/CTN]]</f>
        <v>0</v>
      </c>
      <c r="AM587" s="42">
        <f>Table43[[#This Row],[Harga Beli Pcs
(-PPN)]]*1.11</f>
        <v>0</v>
      </c>
      <c r="AN587" s="42">
        <f>Table43[[#This Row],[Harga Beli Krt
(- PPN)]]*1.11</f>
        <v>0</v>
      </c>
      <c r="AO587" s="42"/>
      <c r="AP587" s="42">
        <f>Table43[[#This Row],[Harga Jual Pcs GT
(-PPN)]]*Table43[[#This Row],[ISI/CTN]]</f>
        <v>0</v>
      </c>
      <c r="AQ587" s="42">
        <f>Table43[[#This Row],[Harga Jual Pcs GT
(-PPN)]]*1.11</f>
        <v>0</v>
      </c>
      <c r="AR587" s="42">
        <f>Table43[[#This Row],[Harga Jual Krt GT
(- PPN)]]*1.11</f>
        <v>0</v>
      </c>
      <c r="AS587" s="42">
        <f>Table43[[#This Row],[Harga Jual Pcs GT
(-PPN)]]</f>
        <v>0</v>
      </c>
      <c r="AT587" s="42">
        <f>(Table43[[#This Row],[Harga Jual Pcs MT
(-PPN)]]*Table43[[#This Row],[ISI/CTN]])</f>
        <v>0</v>
      </c>
      <c r="AU587" s="42">
        <f>Table43[[#This Row],[Harga Jual Pcs MT
(-PPN)]]*1.11</f>
        <v>0</v>
      </c>
      <c r="AV587" s="42">
        <f>Table43[[#This Row],[Harga Jual Pcs MT
(+PPN)]]*Table43[[#This Row],[ISI/CTN]]</f>
        <v>0</v>
      </c>
      <c r="AW587" s="47"/>
      <c r="AX587" s="7"/>
      <c r="AY587" s="7" t="str">
        <f ca="1">IF(TODAY()-Table43[[#This Row],[Efektif
Pembuatan]]&gt;60,"Lama","Baru")</f>
        <v>Lama</v>
      </c>
      <c r="AZ587" s="7" t="str">
        <f ca="1">IF(TODAY()-Table43[[#This Row],[Efektif Naik Harga]]&lt;30,"Naik","Sama")</f>
        <v>Sama</v>
      </c>
      <c r="BA587" s="7" t="str">
        <f>IF(Table43[[#This Row],[Kode BARANG Win2]]&lt;&gt;"","IDR","")</f>
        <v>IDR</v>
      </c>
      <c r="BB587" s="7" t="str">
        <f>CONCATENATE(Table43[[#This Row],[kode  1 Digit
(Nomor)]],Table43[[#This Row],[kode  4 Digit                (Nomor)]])</f>
        <v>10001</v>
      </c>
      <c r="BC587" s="7" t="str">
        <f>Table43[[#This Row],[Nama            Gramasi atau Jumlah Pack per CTN]]</f>
        <v>1ML</v>
      </c>
      <c r="BD587" s="7"/>
      <c r="BE587" s="7"/>
      <c r="BF587" s="4" t="str">
        <f>IF(Table43[[#This Row],[SATUAN Fix Win]]&lt;&gt;"","KRT")</f>
        <v>KRT</v>
      </c>
      <c r="BG587" s="4" t="str">
        <f>IF(Table43[[#This Row],[SATUAN Fix Win]]&lt;&gt;"","GD01")</f>
        <v>GD01</v>
      </c>
      <c r="BH587" s="4">
        <f>IF(Table43[[#This Row],[SATUAN Fix Win]]&lt;&gt;"",11611)</f>
        <v>11611</v>
      </c>
      <c r="BI587" s="4">
        <f>IF(Table43[[#This Row],[SATUAN Fix Win]]&lt;&gt;"",11612)</f>
        <v>11612</v>
      </c>
      <c r="BJ587" s="48"/>
      <c r="BK587" s="4">
        <f>IF(Table43[[#This Row],[SATUAN Fix Win]]&lt;&gt;"",1)</f>
        <v>1</v>
      </c>
    </row>
    <row r="588" spans="1:63">
      <c r="A588" s="4" t="str">
        <f>CONCATENATE(Table43[[#This Row],[Kode BARANG Win2]],Table43[[#This Row],[No. Urut
Item Sama]])</f>
        <v>K14600030001201</v>
      </c>
      <c r="B588" s="7">
        <v>1</v>
      </c>
      <c r="D588" s="28" t="s">
        <v>365</v>
      </c>
      <c r="E588" s="28"/>
      <c r="F588" s="28" t="s">
        <v>4095</v>
      </c>
      <c r="G588" s="78">
        <v>24</v>
      </c>
      <c r="H588" s="43"/>
      <c r="I588" s="28" t="str">
        <f>Table43[[#This Row],[Nama Jenis Kemasan]]</f>
        <v>JAR</v>
      </c>
      <c r="J588" s="4" t="str">
        <f>TRIM(CONCATENATE(Table43[[#This Row],[Nama            KLP]]," ",Table43[[#This Row],[Nama            Sub KLP]]))</f>
        <v>SASHA HAIR VITAMIN</v>
      </c>
      <c r="K588" s="4" t="str">
        <f>CONCATENATE(Table43[[#This Row],[kode  2 Digit                (hrf+No)]],Table43[[#This Row],[kode  2 Digit                (Nomor)]],Table43[[#This Row],[kode  1 Digit                (Nomor)]])</f>
        <v>K1460</v>
      </c>
      <c r="L588" s="4" t="str">
        <f t="shared" si="27"/>
        <v>K1460003000120</v>
      </c>
      <c r="M588" s="11">
        <f t="shared" si="28"/>
        <v>14</v>
      </c>
      <c r="N588" s="14" t="str">
        <f>IF(AF588&lt;&gt;"",TRIM(UPPER(CONCATENATE(P588," ",R588," ",T588," ",V588," ",X588," ",Z588," ","X"," ",Table43[[#This Row],[ISI/CTN]]," ",AF588," ",AB588," ",AD588," ",AH588))),TRIM(UPPER(CONCATENATE(P588," ",R588," ",T588," ",V588," ",X588," ",Z588," ","X"," ",Table43[[#This Row],[ISI/CTN]]," ",AB588," ",AD588," ",AH588))))</f>
        <v>KNF SASHA HAIR VITAMIN DAMAGE CARE 1ML X 24 JAR</v>
      </c>
      <c r="O588" s="11">
        <f t="shared" si="29"/>
        <v>47</v>
      </c>
      <c r="P588" s="4" t="s">
        <v>97</v>
      </c>
      <c r="Q588" s="7" t="s">
        <v>98</v>
      </c>
      <c r="R588" s="4" t="s">
        <v>3992</v>
      </c>
      <c r="S588" s="44" t="s">
        <v>3993</v>
      </c>
      <c r="T588" s="45" t="s">
        <v>2961</v>
      </c>
      <c r="U588" s="7" t="s">
        <v>2900</v>
      </c>
      <c r="V588" s="45" t="s">
        <v>2961</v>
      </c>
      <c r="W588" s="44" t="s">
        <v>2900</v>
      </c>
      <c r="X588" s="4" t="s">
        <v>3996</v>
      </c>
      <c r="Y588" s="46" t="s">
        <v>2473</v>
      </c>
      <c r="Z588" s="4" t="s">
        <v>3679</v>
      </c>
      <c r="AA588" s="46" t="s">
        <v>2496</v>
      </c>
      <c r="AB588" s="4" t="s">
        <v>1019</v>
      </c>
      <c r="AC588" s="7" t="s">
        <v>3562</v>
      </c>
      <c r="AD588" s="4" t="s">
        <v>2961</v>
      </c>
      <c r="AE588" s="7" t="s">
        <v>2900</v>
      </c>
      <c r="AF588" s="7" t="s">
        <v>2961</v>
      </c>
      <c r="AG588" s="7" t="s">
        <v>2961</v>
      </c>
      <c r="AI588" s="7" t="s">
        <v>4100</v>
      </c>
      <c r="AJ588" s="7" t="s">
        <v>2656</v>
      </c>
      <c r="AK588" s="41">
        <f>Table43[[#This Row],[Harga Jual Pcs GT
(-PPN)]]-(Table43[[#This Row],[Harga Jual Pcs GT
(-PPN)]]*10%)</f>
        <v>0</v>
      </c>
      <c r="AL588" s="42">
        <f>Table43[[#This Row],[Harga Beli Pcs
(-PPN)]]*Table43[[#This Row],[ISI/CTN]]</f>
        <v>0</v>
      </c>
      <c r="AM588" s="42">
        <f>Table43[[#This Row],[Harga Beli Pcs
(-PPN)]]*1.11</f>
        <v>0</v>
      </c>
      <c r="AN588" s="42">
        <f>Table43[[#This Row],[Harga Beli Krt
(- PPN)]]*1.11</f>
        <v>0</v>
      </c>
      <c r="AO588" s="42"/>
      <c r="AP588" s="42">
        <f>Table43[[#This Row],[Harga Jual Pcs GT
(-PPN)]]*Table43[[#This Row],[ISI/CTN]]</f>
        <v>0</v>
      </c>
      <c r="AQ588" s="42">
        <f>Table43[[#This Row],[Harga Jual Pcs GT
(-PPN)]]*1.11</f>
        <v>0</v>
      </c>
      <c r="AR588" s="42">
        <f>Table43[[#This Row],[Harga Jual Krt GT
(- PPN)]]*1.11</f>
        <v>0</v>
      </c>
      <c r="AS588" s="42">
        <f>Table43[[#This Row],[Harga Jual Pcs GT
(-PPN)]]</f>
        <v>0</v>
      </c>
      <c r="AT588" s="42">
        <f>(Table43[[#This Row],[Harga Jual Pcs MT
(-PPN)]]*Table43[[#This Row],[ISI/CTN]])</f>
        <v>0</v>
      </c>
      <c r="AU588" s="42">
        <f>Table43[[#This Row],[Harga Jual Pcs MT
(-PPN)]]*1.11</f>
        <v>0</v>
      </c>
      <c r="AV588" s="42">
        <f>Table43[[#This Row],[Harga Jual Pcs MT
(+PPN)]]*Table43[[#This Row],[ISI/CTN]]</f>
        <v>0</v>
      </c>
      <c r="AW588" s="47"/>
      <c r="AX588" s="7"/>
      <c r="AY588" s="7" t="str">
        <f ca="1">IF(TODAY()-Table43[[#This Row],[Efektif
Pembuatan]]&gt;60,"Lama","Baru")</f>
        <v>Lama</v>
      </c>
      <c r="AZ588" s="7" t="str">
        <f ca="1">IF(TODAY()-Table43[[#This Row],[Efektif Naik Harga]]&lt;30,"Naik","Sama")</f>
        <v>Sama</v>
      </c>
      <c r="BA588" s="7" t="str">
        <f>IF(Table43[[#This Row],[Kode BARANG Win2]]&lt;&gt;"","IDR","")</f>
        <v>IDR</v>
      </c>
      <c r="BB588" s="7" t="str">
        <f>CONCATENATE(Table43[[#This Row],[kode  1 Digit
(Nomor)]],Table43[[#This Row],[kode  4 Digit                (Nomor)]])</f>
        <v>10001</v>
      </c>
      <c r="BC588" s="7" t="str">
        <f>Table43[[#This Row],[Nama            Gramasi atau Jumlah Pack per CTN]]</f>
        <v>1ML</v>
      </c>
      <c r="BD588" s="7"/>
      <c r="BE588" s="7"/>
      <c r="BF588" s="4" t="str">
        <f>IF(Table43[[#This Row],[SATUAN Fix Win]]&lt;&gt;"","KRT")</f>
        <v>KRT</v>
      </c>
      <c r="BG588" s="4" t="str">
        <f>IF(Table43[[#This Row],[SATUAN Fix Win]]&lt;&gt;"","GD01")</f>
        <v>GD01</v>
      </c>
      <c r="BH588" s="4">
        <f>IF(Table43[[#This Row],[SATUAN Fix Win]]&lt;&gt;"",11611)</f>
        <v>11611</v>
      </c>
      <c r="BI588" s="4">
        <f>IF(Table43[[#This Row],[SATUAN Fix Win]]&lt;&gt;"",11612)</f>
        <v>11612</v>
      </c>
      <c r="BJ588" s="48"/>
      <c r="BK588" s="4">
        <f>IF(Table43[[#This Row],[SATUAN Fix Win]]&lt;&gt;"",1)</f>
        <v>1</v>
      </c>
    </row>
    <row r="589" spans="1:63">
      <c r="A589" s="4" t="str">
        <f>CONCATENATE(Table43[[#This Row],[Kode BARANG Win2]],Table43[[#This Row],[No. Urut
Item Sama]])</f>
        <v>K14600030001301</v>
      </c>
      <c r="B589" s="7">
        <v>1</v>
      </c>
      <c r="D589" s="28" t="s">
        <v>366</v>
      </c>
      <c r="E589" s="28"/>
      <c r="F589" s="28" t="s">
        <v>4096</v>
      </c>
      <c r="G589" s="78">
        <v>48</v>
      </c>
      <c r="H589" s="43"/>
      <c r="I589" s="28" t="str">
        <f>Table43[[#This Row],[Nama Jenis Kemasan]]</f>
        <v>MINIBLR</v>
      </c>
      <c r="J589" s="4" t="str">
        <f>TRIM(CONCATENATE(Table43[[#This Row],[Nama            KLP]]," ",Table43[[#This Row],[Nama            Sub KLP]]))</f>
        <v>SASHA HAIR VITAMIN</v>
      </c>
      <c r="K589" s="4" t="str">
        <f>CONCATENATE(Table43[[#This Row],[kode  2 Digit                (hrf+No)]],Table43[[#This Row],[kode  2 Digit                (Nomor)]],Table43[[#This Row],[kode  1 Digit                (Nomor)]])</f>
        <v>K1460</v>
      </c>
      <c r="L589" s="4" t="str">
        <f t="shared" si="27"/>
        <v>K1460003000130</v>
      </c>
      <c r="M589" s="11">
        <f t="shared" si="28"/>
        <v>14</v>
      </c>
      <c r="N589" s="14" t="str">
        <f>IF(AF589&lt;&gt;"",TRIM(UPPER(CONCATENATE(P589," ",R589," ",T589," ",V589," ",X589," ",Z589," ","X"," ",Table43[[#This Row],[ISI/CTN]]," ",AF589," ",AB589," ",AD589," ",AH589))),TRIM(UPPER(CONCATENATE(P589," ",R589," ",T589," ",V589," ",X589," ",Z589," ","X"," ",Table43[[#This Row],[ISI/CTN]]," ",AB589," ",AD589," ",AH589))))</f>
        <v>KNF SASHA HAIR VITAMIN DAMAGE CARE 1ML X 48 MINIBLR</v>
      </c>
      <c r="O589" s="11">
        <f t="shared" si="29"/>
        <v>51</v>
      </c>
      <c r="P589" s="4" t="s">
        <v>97</v>
      </c>
      <c r="Q589" s="7" t="s">
        <v>98</v>
      </c>
      <c r="R589" s="4" t="s">
        <v>3992</v>
      </c>
      <c r="S589" s="44" t="s">
        <v>3993</v>
      </c>
      <c r="T589" s="45" t="s">
        <v>2961</v>
      </c>
      <c r="U589" s="7" t="s">
        <v>2900</v>
      </c>
      <c r="V589" s="45" t="s">
        <v>2961</v>
      </c>
      <c r="W589" s="44" t="s">
        <v>2900</v>
      </c>
      <c r="X589" s="4" t="s">
        <v>3996</v>
      </c>
      <c r="Y589" s="46" t="s">
        <v>2473</v>
      </c>
      <c r="Z589" s="4" t="s">
        <v>3679</v>
      </c>
      <c r="AA589" s="46" t="s">
        <v>2496</v>
      </c>
      <c r="AB589" s="4" t="s">
        <v>1020</v>
      </c>
      <c r="AC589" s="7" t="s">
        <v>3590</v>
      </c>
      <c r="AD589" s="4" t="s">
        <v>2961</v>
      </c>
      <c r="AE589" s="7" t="s">
        <v>2900</v>
      </c>
      <c r="AF589" s="7" t="s">
        <v>2961</v>
      </c>
      <c r="AG589" s="7" t="s">
        <v>2961</v>
      </c>
      <c r="AI589" s="7" t="s">
        <v>4100</v>
      </c>
      <c r="AJ589" s="7" t="s">
        <v>2656</v>
      </c>
      <c r="AK589" s="41">
        <f>Table43[[#This Row],[Harga Jual Pcs GT
(-PPN)]]-(Table43[[#This Row],[Harga Jual Pcs GT
(-PPN)]]*10%)</f>
        <v>0</v>
      </c>
      <c r="AL589" s="42">
        <f>Table43[[#This Row],[Harga Beli Pcs
(-PPN)]]*Table43[[#This Row],[ISI/CTN]]</f>
        <v>0</v>
      </c>
      <c r="AM589" s="42">
        <f>Table43[[#This Row],[Harga Beli Pcs
(-PPN)]]*1.11</f>
        <v>0</v>
      </c>
      <c r="AN589" s="42">
        <f>Table43[[#This Row],[Harga Beli Krt
(- PPN)]]*1.11</f>
        <v>0</v>
      </c>
      <c r="AO589" s="42"/>
      <c r="AP589" s="42">
        <f>Table43[[#This Row],[Harga Jual Pcs GT
(-PPN)]]*Table43[[#This Row],[ISI/CTN]]</f>
        <v>0</v>
      </c>
      <c r="AQ589" s="42">
        <f>Table43[[#This Row],[Harga Jual Pcs GT
(-PPN)]]*1.11</f>
        <v>0</v>
      </c>
      <c r="AR589" s="42">
        <f>Table43[[#This Row],[Harga Jual Krt GT
(- PPN)]]*1.11</f>
        <v>0</v>
      </c>
      <c r="AS589" s="42">
        <f>Table43[[#This Row],[Harga Jual Pcs GT
(-PPN)]]</f>
        <v>0</v>
      </c>
      <c r="AT589" s="42">
        <f>(Table43[[#This Row],[Harga Jual Pcs MT
(-PPN)]]*Table43[[#This Row],[ISI/CTN]])</f>
        <v>0</v>
      </c>
      <c r="AU589" s="42">
        <f>Table43[[#This Row],[Harga Jual Pcs MT
(-PPN)]]*1.11</f>
        <v>0</v>
      </c>
      <c r="AV589" s="42">
        <f>Table43[[#This Row],[Harga Jual Pcs MT
(+PPN)]]*Table43[[#This Row],[ISI/CTN]]</f>
        <v>0</v>
      </c>
      <c r="AW589" s="47"/>
      <c r="AX589" s="7"/>
      <c r="AY589" s="7" t="str">
        <f ca="1">IF(TODAY()-Table43[[#This Row],[Efektif
Pembuatan]]&gt;60,"Lama","Baru")</f>
        <v>Lama</v>
      </c>
      <c r="AZ589" s="7" t="str">
        <f ca="1">IF(TODAY()-Table43[[#This Row],[Efektif Naik Harga]]&lt;30,"Naik","Sama")</f>
        <v>Sama</v>
      </c>
      <c r="BA589" s="7" t="str">
        <f>IF(Table43[[#This Row],[Kode BARANG Win2]]&lt;&gt;"","IDR","")</f>
        <v>IDR</v>
      </c>
      <c r="BB589" s="7" t="str">
        <f>CONCATENATE(Table43[[#This Row],[kode  1 Digit
(Nomor)]],Table43[[#This Row],[kode  4 Digit                (Nomor)]])</f>
        <v>10001</v>
      </c>
      <c r="BC589" s="7" t="str">
        <f>Table43[[#This Row],[Nama            Gramasi atau Jumlah Pack per CTN]]</f>
        <v>1ML</v>
      </c>
      <c r="BD589" s="7"/>
      <c r="BE589" s="7"/>
      <c r="BF589" s="4" t="str">
        <f>IF(Table43[[#This Row],[SATUAN Fix Win]]&lt;&gt;"","KRT")</f>
        <v>KRT</v>
      </c>
      <c r="BG589" s="4" t="str">
        <f>IF(Table43[[#This Row],[SATUAN Fix Win]]&lt;&gt;"","GD01")</f>
        <v>GD01</v>
      </c>
      <c r="BH589" s="4">
        <f>IF(Table43[[#This Row],[SATUAN Fix Win]]&lt;&gt;"",11611)</f>
        <v>11611</v>
      </c>
      <c r="BI589" s="4">
        <f>IF(Table43[[#This Row],[SATUAN Fix Win]]&lt;&gt;"",11612)</f>
        <v>11612</v>
      </c>
      <c r="BJ589" s="48"/>
      <c r="BK589" s="4">
        <f>IF(Table43[[#This Row],[SATUAN Fix Win]]&lt;&gt;"",1)</f>
        <v>1</v>
      </c>
    </row>
    <row r="590" spans="1:63">
      <c r="A590" s="4" t="str">
        <f>CONCATENATE(Table43[[#This Row],[Kode BARANG Win2]],Table43[[#This Row],[No. Urut
Item Sama]])</f>
        <v>K14600030001401</v>
      </c>
      <c r="B590" s="7">
        <v>1</v>
      </c>
      <c r="D590" s="28" t="s">
        <v>2434</v>
      </c>
      <c r="E590" s="28"/>
      <c r="F590" s="28" t="s">
        <v>3450</v>
      </c>
      <c r="G590" s="78">
        <v>12</v>
      </c>
      <c r="H590" s="43"/>
      <c r="I590" s="28" t="str">
        <f>Table43[[#This Row],[Nama Jenis Kemasan]]</f>
        <v>BAG</v>
      </c>
      <c r="J590" s="4" t="str">
        <f>TRIM(CONCATENATE(Table43[[#This Row],[Nama            KLP]]," ",Table43[[#This Row],[Nama            Sub KLP]]))</f>
        <v>SASHA HAIR VITAMIN</v>
      </c>
      <c r="K590" s="4" t="str">
        <f>CONCATENATE(Table43[[#This Row],[kode  2 Digit                (hrf+No)]],Table43[[#This Row],[kode  2 Digit                (Nomor)]],Table43[[#This Row],[kode  1 Digit                (Nomor)]])</f>
        <v>K1460</v>
      </c>
      <c r="L590" s="4" t="str">
        <f t="shared" si="27"/>
        <v>K1460003000140</v>
      </c>
      <c r="M590" s="11">
        <f t="shared" si="28"/>
        <v>14</v>
      </c>
      <c r="N590" s="14" t="str">
        <f>IF(AF590&lt;&gt;"",TRIM(UPPER(CONCATENATE(P590," ",R590," ",T590," ",V590," ",X590," ",Z590," ","X"," ",Table43[[#This Row],[ISI/CTN]]," ",AF590," ",AB590," ",AD590," ",AH590))),TRIM(UPPER(CONCATENATE(P590," ",R590," ",T590," ",V590," ",X590," ",Z590," ","X"," ",Table43[[#This Row],[ISI/CTN]]," ",AB590," ",AD590," ",AH590))))</f>
        <v>KNF SASHA HAIR VITAMIN DAMAGE CARE 1ML X 12 BAG</v>
      </c>
      <c r="O590" s="11">
        <f t="shared" si="29"/>
        <v>47</v>
      </c>
      <c r="P590" s="4" t="s">
        <v>97</v>
      </c>
      <c r="Q590" s="7" t="s">
        <v>98</v>
      </c>
      <c r="R590" s="4" t="s">
        <v>3992</v>
      </c>
      <c r="S590" s="44" t="s">
        <v>3993</v>
      </c>
      <c r="T590" s="45" t="s">
        <v>2961</v>
      </c>
      <c r="U590" s="7" t="s">
        <v>2900</v>
      </c>
      <c r="V590" s="45" t="s">
        <v>2961</v>
      </c>
      <c r="W590" s="44" t="s">
        <v>2900</v>
      </c>
      <c r="X590" s="4" t="s">
        <v>3996</v>
      </c>
      <c r="Y590" s="46" t="s">
        <v>2473</v>
      </c>
      <c r="Z590" s="4" t="s">
        <v>3679</v>
      </c>
      <c r="AA590" s="46" t="s">
        <v>2496</v>
      </c>
      <c r="AB590" s="4" t="s">
        <v>2433</v>
      </c>
      <c r="AC590" s="7" t="s">
        <v>3593</v>
      </c>
      <c r="AD590" s="4" t="s">
        <v>2961</v>
      </c>
      <c r="AE590" s="7" t="s">
        <v>2900</v>
      </c>
      <c r="AF590" s="7" t="s">
        <v>2961</v>
      </c>
      <c r="AG590" s="7" t="s">
        <v>2961</v>
      </c>
      <c r="AI590" s="7" t="s">
        <v>4100</v>
      </c>
      <c r="AJ590" s="7" t="s">
        <v>2656</v>
      </c>
      <c r="AK590" s="41">
        <f>Table43[[#This Row],[Harga Jual Pcs GT
(-PPN)]]-(Table43[[#This Row],[Harga Jual Pcs GT
(-PPN)]]*10%)</f>
        <v>0</v>
      </c>
      <c r="AL590" s="42">
        <f>Table43[[#This Row],[Harga Beli Pcs
(-PPN)]]*Table43[[#This Row],[ISI/CTN]]</f>
        <v>0</v>
      </c>
      <c r="AM590" s="42">
        <f>Table43[[#This Row],[Harga Beli Pcs
(-PPN)]]*1.11</f>
        <v>0</v>
      </c>
      <c r="AN590" s="42">
        <f>Table43[[#This Row],[Harga Beli Krt
(- PPN)]]*1.11</f>
        <v>0</v>
      </c>
      <c r="AO590" s="42"/>
      <c r="AP590" s="42">
        <f>Table43[[#This Row],[Harga Jual Pcs GT
(-PPN)]]*Table43[[#This Row],[ISI/CTN]]</f>
        <v>0</v>
      </c>
      <c r="AQ590" s="42">
        <f>Table43[[#This Row],[Harga Jual Pcs GT
(-PPN)]]*1.11</f>
        <v>0</v>
      </c>
      <c r="AR590" s="42">
        <f>Table43[[#This Row],[Harga Jual Krt GT
(- PPN)]]*1.11</f>
        <v>0</v>
      </c>
      <c r="AS590" s="42">
        <f>Table43[[#This Row],[Harga Jual Pcs GT
(-PPN)]]</f>
        <v>0</v>
      </c>
      <c r="AT590" s="42">
        <f>(Table43[[#This Row],[Harga Jual Pcs MT
(-PPN)]]*Table43[[#This Row],[ISI/CTN]])</f>
        <v>0</v>
      </c>
      <c r="AU590" s="42">
        <f>Table43[[#This Row],[Harga Jual Pcs MT
(-PPN)]]*1.11</f>
        <v>0</v>
      </c>
      <c r="AV590" s="42">
        <f>Table43[[#This Row],[Harga Jual Pcs MT
(+PPN)]]*Table43[[#This Row],[ISI/CTN]]</f>
        <v>0</v>
      </c>
      <c r="AW590" s="47"/>
      <c r="AX590" s="7"/>
      <c r="AY590" s="7" t="str">
        <f ca="1">IF(TODAY()-Table43[[#This Row],[Efektif
Pembuatan]]&gt;60,"Lama","Baru")</f>
        <v>Lama</v>
      </c>
      <c r="AZ590" s="7" t="str">
        <f ca="1">IF(TODAY()-Table43[[#This Row],[Efektif Naik Harga]]&lt;30,"Naik","Sama")</f>
        <v>Sama</v>
      </c>
      <c r="BA590" s="7" t="str">
        <f>IF(Table43[[#This Row],[Kode BARANG Win2]]&lt;&gt;"","IDR","")</f>
        <v>IDR</v>
      </c>
      <c r="BB590" s="7" t="str">
        <f>CONCATENATE(Table43[[#This Row],[kode  1 Digit
(Nomor)]],Table43[[#This Row],[kode  4 Digit                (Nomor)]])</f>
        <v>10001</v>
      </c>
      <c r="BC590" s="7" t="str">
        <f>Table43[[#This Row],[Nama            Gramasi atau Jumlah Pack per CTN]]</f>
        <v>1ML</v>
      </c>
      <c r="BD590" s="7"/>
      <c r="BE590" s="7"/>
      <c r="BF590" s="4" t="str">
        <f>IF(Table43[[#This Row],[SATUAN Fix Win]]&lt;&gt;"","KRT")</f>
        <v>KRT</v>
      </c>
      <c r="BG590" s="4" t="str">
        <f>IF(Table43[[#This Row],[SATUAN Fix Win]]&lt;&gt;"","GD01")</f>
        <v>GD01</v>
      </c>
      <c r="BH590" s="4">
        <f>IF(Table43[[#This Row],[SATUAN Fix Win]]&lt;&gt;"",11611)</f>
        <v>11611</v>
      </c>
      <c r="BI590" s="4">
        <f>IF(Table43[[#This Row],[SATUAN Fix Win]]&lt;&gt;"",11612)</f>
        <v>11612</v>
      </c>
      <c r="BJ590" s="48"/>
      <c r="BK590" s="4">
        <f>IF(Table43[[#This Row],[SATUAN Fix Win]]&lt;&gt;"",1)</f>
        <v>1</v>
      </c>
    </row>
    <row r="591" spans="1:63">
      <c r="A591" s="4" t="str">
        <f>CONCATENATE(Table43[[#This Row],[Kode BARANG Win2]],Table43[[#This Row],[No. Urut
Item Sama]])</f>
        <v>K14600040001101</v>
      </c>
      <c r="B591" s="7">
        <v>1</v>
      </c>
      <c r="D591" s="28" t="s">
        <v>367</v>
      </c>
      <c r="E591" s="28"/>
      <c r="F591" s="28" t="s">
        <v>3327</v>
      </c>
      <c r="G591" s="78">
        <v>72</v>
      </c>
      <c r="H591" s="43"/>
      <c r="I591" s="28" t="str">
        <f>Table43[[#This Row],[Nama Jenis Kemasan]]</f>
        <v>BLR</v>
      </c>
      <c r="J591" s="4" t="str">
        <f>TRIM(CONCATENATE(Table43[[#This Row],[Nama            KLP]]," ",Table43[[#This Row],[Nama            Sub KLP]]))</f>
        <v>SASHA HAIR VITAMIN</v>
      </c>
      <c r="K591" s="4" t="str">
        <f>CONCATENATE(Table43[[#This Row],[kode  2 Digit                (hrf+No)]],Table43[[#This Row],[kode  2 Digit                (Nomor)]],Table43[[#This Row],[kode  1 Digit                (Nomor)]])</f>
        <v>K1460</v>
      </c>
      <c r="L591" s="4" t="str">
        <f t="shared" si="27"/>
        <v>K1460004000110</v>
      </c>
      <c r="M591" s="11">
        <f t="shared" si="28"/>
        <v>14</v>
      </c>
      <c r="N591" s="14" t="str">
        <f>IF(AF591&lt;&gt;"",TRIM(UPPER(CONCATENATE(P591," ",R591," ",T591," ",V591," ",X591," ",Z591," ","X"," ",Table43[[#This Row],[ISI/CTN]]," ",AF591," ",AB591," ",AD591," ",AH591))),TRIM(UPPER(CONCATENATE(P591," ",R591," ",T591," ",V591," ",X591," ",Z591," ","X"," ",Table43[[#This Row],[ISI/CTN]]," ",AB591," ",AD591," ",AH591))))</f>
        <v>KNF SASHA HAIR VITAMIN SILKY SHINE 1ML X 72 BLR</v>
      </c>
      <c r="O591" s="11">
        <f t="shared" si="29"/>
        <v>47</v>
      </c>
      <c r="P591" s="4" t="s">
        <v>97</v>
      </c>
      <c r="Q591" s="7" t="s">
        <v>98</v>
      </c>
      <c r="R591" s="4" t="s">
        <v>3992</v>
      </c>
      <c r="S591" s="44" t="s">
        <v>3993</v>
      </c>
      <c r="T591" s="45" t="s">
        <v>2961</v>
      </c>
      <c r="U591" s="7" t="s">
        <v>2900</v>
      </c>
      <c r="V591" s="45" t="s">
        <v>2961</v>
      </c>
      <c r="W591" s="44" t="s">
        <v>2900</v>
      </c>
      <c r="X591" s="4" t="s">
        <v>3997</v>
      </c>
      <c r="Y591" s="46" t="s">
        <v>2474</v>
      </c>
      <c r="Z591" s="4" t="s">
        <v>3679</v>
      </c>
      <c r="AA591" s="46" t="s">
        <v>2496</v>
      </c>
      <c r="AB591" s="4" t="s">
        <v>1024</v>
      </c>
      <c r="AC591" s="7" t="s">
        <v>2656</v>
      </c>
      <c r="AD591" s="4" t="s">
        <v>2961</v>
      </c>
      <c r="AE591" s="7" t="s">
        <v>2900</v>
      </c>
      <c r="AF591" s="7" t="s">
        <v>2961</v>
      </c>
      <c r="AG591" s="7" t="s">
        <v>2961</v>
      </c>
      <c r="AI591" s="7" t="s">
        <v>4100</v>
      </c>
      <c r="AJ591" s="7" t="s">
        <v>2656</v>
      </c>
      <c r="AK591" s="41">
        <f>Table43[[#This Row],[Harga Jual Pcs GT
(-PPN)]]-(Table43[[#This Row],[Harga Jual Pcs GT
(-PPN)]]*10%)</f>
        <v>0</v>
      </c>
      <c r="AL591" s="42">
        <f>Table43[[#This Row],[Harga Beli Pcs
(-PPN)]]*Table43[[#This Row],[ISI/CTN]]</f>
        <v>0</v>
      </c>
      <c r="AM591" s="42">
        <f>Table43[[#This Row],[Harga Beli Pcs
(-PPN)]]*1.11</f>
        <v>0</v>
      </c>
      <c r="AN591" s="42">
        <f>Table43[[#This Row],[Harga Beli Krt
(- PPN)]]*1.11</f>
        <v>0</v>
      </c>
      <c r="AO591" s="42"/>
      <c r="AP591" s="42">
        <f>Table43[[#This Row],[Harga Jual Pcs GT
(-PPN)]]*Table43[[#This Row],[ISI/CTN]]</f>
        <v>0</v>
      </c>
      <c r="AQ591" s="42">
        <f>Table43[[#This Row],[Harga Jual Pcs GT
(-PPN)]]*1.11</f>
        <v>0</v>
      </c>
      <c r="AR591" s="42">
        <f>Table43[[#This Row],[Harga Jual Krt GT
(- PPN)]]*1.11</f>
        <v>0</v>
      </c>
      <c r="AS591" s="42">
        <f>Table43[[#This Row],[Harga Jual Pcs GT
(-PPN)]]</f>
        <v>0</v>
      </c>
      <c r="AT591" s="42">
        <f>(Table43[[#This Row],[Harga Jual Pcs MT
(-PPN)]]*Table43[[#This Row],[ISI/CTN]])</f>
        <v>0</v>
      </c>
      <c r="AU591" s="42">
        <f>Table43[[#This Row],[Harga Jual Pcs MT
(-PPN)]]*1.11</f>
        <v>0</v>
      </c>
      <c r="AV591" s="42">
        <f>Table43[[#This Row],[Harga Jual Pcs MT
(+PPN)]]*Table43[[#This Row],[ISI/CTN]]</f>
        <v>0</v>
      </c>
      <c r="AW591" s="47"/>
      <c r="AX591" s="7"/>
      <c r="AY591" s="7" t="str">
        <f ca="1">IF(TODAY()-Table43[[#This Row],[Efektif
Pembuatan]]&gt;60,"Lama","Baru")</f>
        <v>Lama</v>
      </c>
      <c r="AZ591" s="7" t="str">
        <f ca="1">IF(TODAY()-Table43[[#This Row],[Efektif Naik Harga]]&lt;30,"Naik","Sama")</f>
        <v>Sama</v>
      </c>
      <c r="BA591" s="7" t="str">
        <f>IF(Table43[[#This Row],[Kode BARANG Win2]]&lt;&gt;"","IDR","")</f>
        <v>IDR</v>
      </c>
      <c r="BB591" s="7" t="str">
        <f>CONCATENATE(Table43[[#This Row],[kode  1 Digit
(Nomor)]],Table43[[#This Row],[kode  4 Digit                (Nomor)]])</f>
        <v>10001</v>
      </c>
      <c r="BC591" s="7" t="str">
        <f>Table43[[#This Row],[Nama            Gramasi atau Jumlah Pack per CTN]]</f>
        <v>1ML</v>
      </c>
      <c r="BD591" s="7"/>
      <c r="BE591" s="7"/>
      <c r="BF591" s="4" t="str">
        <f>IF(Table43[[#This Row],[SATUAN Fix Win]]&lt;&gt;"","KRT")</f>
        <v>KRT</v>
      </c>
      <c r="BG591" s="4" t="str">
        <f>IF(Table43[[#This Row],[SATUAN Fix Win]]&lt;&gt;"","GD01")</f>
        <v>GD01</v>
      </c>
      <c r="BH591" s="4">
        <f>IF(Table43[[#This Row],[SATUAN Fix Win]]&lt;&gt;"",11611)</f>
        <v>11611</v>
      </c>
      <c r="BI591" s="4">
        <f>IF(Table43[[#This Row],[SATUAN Fix Win]]&lt;&gt;"",11612)</f>
        <v>11612</v>
      </c>
      <c r="BJ591" s="48"/>
      <c r="BK591" s="4">
        <f>IF(Table43[[#This Row],[SATUAN Fix Win]]&lt;&gt;"",1)</f>
        <v>1</v>
      </c>
    </row>
    <row r="592" spans="1:63">
      <c r="A592" s="4" t="str">
        <f>CONCATENATE(Table43[[#This Row],[Kode BARANG Win2]],Table43[[#This Row],[No. Urut
Item Sama]])</f>
        <v>K14600040001202</v>
      </c>
      <c r="B592" s="7">
        <v>2</v>
      </c>
      <c r="D592" s="28" t="s">
        <v>368</v>
      </c>
      <c r="E592" s="28"/>
      <c r="F592" s="28" t="s">
        <v>4097</v>
      </c>
      <c r="G592" s="78">
        <v>24</v>
      </c>
      <c r="H592" s="43"/>
      <c r="I592" s="28" t="str">
        <f>Table43[[#This Row],[Nama Jenis Kemasan]]</f>
        <v>JAR</v>
      </c>
      <c r="J592" s="4" t="str">
        <f>TRIM(CONCATENATE(Table43[[#This Row],[Nama            KLP]]," ",Table43[[#This Row],[Nama            Sub KLP]]))</f>
        <v>SASHA HAIR VITAMIN</v>
      </c>
      <c r="K592" s="4" t="str">
        <f>CONCATENATE(Table43[[#This Row],[kode  2 Digit                (hrf+No)]],Table43[[#This Row],[kode  2 Digit                (Nomor)]],Table43[[#This Row],[kode  1 Digit                (Nomor)]])</f>
        <v>K1460</v>
      </c>
      <c r="L592" s="4" t="str">
        <f t="shared" ref="L592:L653" si="30">IF(AG592="",CONCATENATE(Q592,S592,U592,W592,Y592,AA592,AC592,AE592),CONCATENATE(Q592,S592,U592,W592,Y592,AA592,AC592,AG592))</f>
        <v>K1460004000120</v>
      </c>
      <c r="M592" s="11">
        <f t="shared" ref="M592:M653" si="31">LEN(L592)</f>
        <v>14</v>
      </c>
      <c r="N592" s="14" t="str">
        <f>IF(AF592&lt;&gt;"",TRIM(UPPER(CONCATENATE(P592," ",R592," ",T592," ",V592," ",X592," ",Z592," ","X"," ",Table43[[#This Row],[ISI/CTN]]," ",AF592," ",AB592," ",AD592," ",AH592))),TRIM(UPPER(CONCATENATE(P592," ",R592," ",T592," ",V592," ",X592," ",Z592," ","X"," ",Table43[[#This Row],[ISI/CTN]]," ",AB592," ",AD592," ",AH592))))</f>
        <v>KNF SASHA HAIR VITAMIN SILKY SHINE 1ML X 24 JAR</v>
      </c>
      <c r="O592" s="11">
        <f t="shared" ref="O592:O653" si="32">LEN(N592)</f>
        <v>47</v>
      </c>
      <c r="P592" s="4" t="s">
        <v>97</v>
      </c>
      <c r="Q592" s="7" t="s">
        <v>98</v>
      </c>
      <c r="R592" s="4" t="s">
        <v>3992</v>
      </c>
      <c r="S592" s="44" t="s">
        <v>3993</v>
      </c>
      <c r="T592" s="45" t="s">
        <v>2961</v>
      </c>
      <c r="U592" s="7" t="s">
        <v>2900</v>
      </c>
      <c r="V592" s="45" t="s">
        <v>2961</v>
      </c>
      <c r="W592" s="44" t="s">
        <v>2900</v>
      </c>
      <c r="X592" s="4" t="s">
        <v>3997</v>
      </c>
      <c r="Y592" s="46" t="s">
        <v>2474</v>
      </c>
      <c r="Z592" s="4" t="s">
        <v>3679</v>
      </c>
      <c r="AA592" s="46" t="s">
        <v>2496</v>
      </c>
      <c r="AB592" s="4" t="s">
        <v>1019</v>
      </c>
      <c r="AC592" s="7" t="s">
        <v>3562</v>
      </c>
      <c r="AD592" s="4" t="s">
        <v>2961</v>
      </c>
      <c r="AE592" s="7" t="s">
        <v>2900</v>
      </c>
      <c r="AF592" s="7" t="s">
        <v>2961</v>
      </c>
      <c r="AG592" s="7" t="s">
        <v>2961</v>
      </c>
      <c r="AI592" s="7" t="s">
        <v>4100</v>
      </c>
      <c r="AJ592" s="7" t="s">
        <v>2656</v>
      </c>
      <c r="AK592" s="41">
        <f>Table43[[#This Row],[Harga Jual Pcs GT
(-PPN)]]-(Table43[[#This Row],[Harga Jual Pcs GT
(-PPN)]]*10%)</f>
        <v>0</v>
      </c>
      <c r="AL592" s="42">
        <f>Table43[[#This Row],[Harga Beli Pcs
(-PPN)]]*Table43[[#This Row],[ISI/CTN]]</f>
        <v>0</v>
      </c>
      <c r="AM592" s="42">
        <f>Table43[[#This Row],[Harga Beli Pcs
(-PPN)]]*1.11</f>
        <v>0</v>
      </c>
      <c r="AN592" s="42">
        <f>Table43[[#This Row],[Harga Beli Krt
(- PPN)]]*1.11</f>
        <v>0</v>
      </c>
      <c r="AO592" s="42"/>
      <c r="AP592" s="42">
        <f>Table43[[#This Row],[Harga Jual Pcs GT
(-PPN)]]*Table43[[#This Row],[ISI/CTN]]</f>
        <v>0</v>
      </c>
      <c r="AQ592" s="42">
        <f>Table43[[#This Row],[Harga Jual Pcs GT
(-PPN)]]*1.11</f>
        <v>0</v>
      </c>
      <c r="AR592" s="42">
        <f>Table43[[#This Row],[Harga Jual Krt GT
(- PPN)]]*1.11</f>
        <v>0</v>
      </c>
      <c r="AS592" s="42">
        <f>Table43[[#This Row],[Harga Jual Pcs GT
(-PPN)]]</f>
        <v>0</v>
      </c>
      <c r="AT592" s="42">
        <f>(Table43[[#This Row],[Harga Jual Pcs MT
(-PPN)]]*Table43[[#This Row],[ISI/CTN]])</f>
        <v>0</v>
      </c>
      <c r="AU592" s="42">
        <f>Table43[[#This Row],[Harga Jual Pcs MT
(-PPN)]]*1.11</f>
        <v>0</v>
      </c>
      <c r="AV592" s="42">
        <f>Table43[[#This Row],[Harga Jual Pcs MT
(+PPN)]]*Table43[[#This Row],[ISI/CTN]]</f>
        <v>0</v>
      </c>
      <c r="AW592" s="47"/>
      <c r="AX592" s="7"/>
      <c r="AY592" s="7" t="str">
        <f ca="1">IF(TODAY()-Table43[[#This Row],[Efektif
Pembuatan]]&gt;60,"Lama","Baru")</f>
        <v>Lama</v>
      </c>
      <c r="AZ592" s="7" t="str">
        <f ca="1">IF(TODAY()-Table43[[#This Row],[Efektif Naik Harga]]&lt;30,"Naik","Sama")</f>
        <v>Sama</v>
      </c>
      <c r="BA592" s="7" t="str">
        <f>IF(Table43[[#This Row],[Kode BARANG Win2]]&lt;&gt;"","IDR","")</f>
        <v>IDR</v>
      </c>
      <c r="BB592" s="7" t="str">
        <f>CONCATENATE(Table43[[#This Row],[kode  1 Digit
(Nomor)]],Table43[[#This Row],[kode  4 Digit                (Nomor)]])</f>
        <v>10001</v>
      </c>
      <c r="BC592" s="7" t="str">
        <f>Table43[[#This Row],[Nama            Gramasi atau Jumlah Pack per CTN]]</f>
        <v>1ML</v>
      </c>
      <c r="BD592" s="7"/>
      <c r="BE592" s="7"/>
      <c r="BF592" s="4" t="str">
        <f>IF(Table43[[#This Row],[SATUAN Fix Win]]&lt;&gt;"","KRT")</f>
        <v>KRT</v>
      </c>
      <c r="BG592" s="4" t="str">
        <f>IF(Table43[[#This Row],[SATUAN Fix Win]]&lt;&gt;"","GD01")</f>
        <v>GD01</v>
      </c>
      <c r="BH592" s="4">
        <f>IF(Table43[[#This Row],[SATUAN Fix Win]]&lt;&gt;"",11611)</f>
        <v>11611</v>
      </c>
      <c r="BI592" s="4">
        <f>IF(Table43[[#This Row],[SATUAN Fix Win]]&lt;&gt;"",11612)</f>
        <v>11612</v>
      </c>
      <c r="BJ592" s="48"/>
      <c r="BK592" s="4">
        <f>IF(Table43[[#This Row],[SATUAN Fix Win]]&lt;&gt;"",1)</f>
        <v>1</v>
      </c>
    </row>
    <row r="593" spans="1:63">
      <c r="A593" s="4" t="str">
        <f>CONCATENATE(Table43[[#This Row],[Kode BARANG Win2]],Table43[[#This Row],[No. Urut
Item Sama]])</f>
        <v>K14600040001301</v>
      </c>
      <c r="B593" s="7">
        <v>1</v>
      </c>
      <c r="D593" s="28" t="s">
        <v>369</v>
      </c>
      <c r="E593" s="28"/>
      <c r="F593" s="28" t="s">
        <v>4098</v>
      </c>
      <c r="G593" s="78">
        <v>48</v>
      </c>
      <c r="H593" s="43"/>
      <c r="I593" s="28" t="str">
        <f>Table43[[#This Row],[Nama Jenis Kemasan]]</f>
        <v>MINIBLR</v>
      </c>
      <c r="J593" s="4" t="str">
        <f>TRIM(CONCATENATE(Table43[[#This Row],[Nama            KLP]]," ",Table43[[#This Row],[Nama            Sub KLP]]))</f>
        <v>SASHA HAIR VITAMIN</v>
      </c>
      <c r="K593" s="4" t="str">
        <f>CONCATENATE(Table43[[#This Row],[kode  2 Digit                (hrf+No)]],Table43[[#This Row],[kode  2 Digit                (Nomor)]],Table43[[#This Row],[kode  1 Digit                (Nomor)]])</f>
        <v>K1460</v>
      </c>
      <c r="L593" s="4" t="str">
        <f t="shared" si="30"/>
        <v>K1460004000130</v>
      </c>
      <c r="M593" s="11">
        <f t="shared" si="31"/>
        <v>14</v>
      </c>
      <c r="N593" s="14" t="str">
        <f>IF(AF593&lt;&gt;"",TRIM(UPPER(CONCATENATE(P593," ",R593," ",T593," ",V593," ",X593," ",Z593," ","X"," ",Table43[[#This Row],[ISI/CTN]]," ",AF593," ",AB593," ",AD593," ",AH593))),TRIM(UPPER(CONCATENATE(P593," ",R593," ",T593," ",V593," ",X593," ",Z593," ","X"," ",Table43[[#This Row],[ISI/CTN]]," ",AB593," ",AD593," ",AH593))))</f>
        <v>KNF SASHA HAIR VITAMIN SILKY SHINE 1ML X 48 MINIBLR</v>
      </c>
      <c r="O593" s="11">
        <f t="shared" si="32"/>
        <v>51</v>
      </c>
      <c r="P593" s="4" t="s">
        <v>97</v>
      </c>
      <c r="Q593" s="7" t="s">
        <v>98</v>
      </c>
      <c r="R593" s="4" t="s">
        <v>3992</v>
      </c>
      <c r="S593" s="44" t="s">
        <v>3993</v>
      </c>
      <c r="T593" s="45" t="s">
        <v>2961</v>
      </c>
      <c r="U593" s="7" t="s">
        <v>2900</v>
      </c>
      <c r="V593" s="45" t="s">
        <v>2961</v>
      </c>
      <c r="W593" s="44" t="s">
        <v>2900</v>
      </c>
      <c r="X593" s="4" t="s">
        <v>3997</v>
      </c>
      <c r="Y593" s="46" t="s">
        <v>2474</v>
      </c>
      <c r="Z593" s="4" t="s">
        <v>3679</v>
      </c>
      <c r="AA593" s="46" t="s">
        <v>2496</v>
      </c>
      <c r="AB593" s="4" t="s">
        <v>1020</v>
      </c>
      <c r="AC593" s="7" t="s">
        <v>3590</v>
      </c>
      <c r="AD593" s="4" t="s">
        <v>2961</v>
      </c>
      <c r="AE593" s="7" t="s">
        <v>2900</v>
      </c>
      <c r="AF593" s="7" t="s">
        <v>2961</v>
      </c>
      <c r="AG593" s="7" t="s">
        <v>2961</v>
      </c>
      <c r="AI593" s="7" t="s">
        <v>4100</v>
      </c>
      <c r="AJ593" s="7" t="s">
        <v>2656</v>
      </c>
      <c r="AK593" s="41">
        <f>Table43[[#This Row],[Harga Jual Pcs GT
(-PPN)]]-(Table43[[#This Row],[Harga Jual Pcs GT
(-PPN)]]*10%)</f>
        <v>0</v>
      </c>
      <c r="AL593" s="42">
        <f>Table43[[#This Row],[Harga Beli Pcs
(-PPN)]]*Table43[[#This Row],[ISI/CTN]]</f>
        <v>0</v>
      </c>
      <c r="AM593" s="42">
        <f>Table43[[#This Row],[Harga Beli Pcs
(-PPN)]]*1.11</f>
        <v>0</v>
      </c>
      <c r="AN593" s="42">
        <f>Table43[[#This Row],[Harga Beli Krt
(- PPN)]]*1.11</f>
        <v>0</v>
      </c>
      <c r="AO593" s="42"/>
      <c r="AP593" s="42">
        <f>Table43[[#This Row],[Harga Jual Pcs GT
(-PPN)]]*Table43[[#This Row],[ISI/CTN]]</f>
        <v>0</v>
      </c>
      <c r="AQ593" s="42">
        <f>Table43[[#This Row],[Harga Jual Pcs GT
(-PPN)]]*1.11</f>
        <v>0</v>
      </c>
      <c r="AR593" s="42">
        <f>Table43[[#This Row],[Harga Jual Krt GT
(- PPN)]]*1.11</f>
        <v>0</v>
      </c>
      <c r="AS593" s="42">
        <f>Table43[[#This Row],[Harga Jual Pcs GT
(-PPN)]]</f>
        <v>0</v>
      </c>
      <c r="AT593" s="42">
        <f>(Table43[[#This Row],[Harga Jual Pcs MT
(-PPN)]]*Table43[[#This Row],[ISI/CTN]])</f>
        <v>0</v>
      </c>
      <c r="AU593" s="42">
        <f>Table43[[#This Row],[Harga Jual Pcs MT
(-PPN)]]*1.11</f>
        <v>0</v>
      </c>
      <c r="AV593" s="42">
        <f>Table43[[#This Row],[Harga Jual Pcs MT
(+PPN)]]*Table43[[#This Row],[ISI/CTN]]</f>
        <v>0</v>
      </c>
      <c r="AW593" s="47"/>
      <c r="AX593" s="7"/>
      <c r="AY593" s="7" t="str">
        <f ca="1">IF(TODAY()-Table43[[#This Row],[Efektif
Pembuatan]]&gt;60,"Lama","Baru")</f>
        <v>Lama</v>
      </c>
      <c r="AZ593" s="7" t="str">
        <f ca="1">IF(TODAY()-Table43[[#This Row],[Efektif Naik Harga]]&lt;30,"Naik","Sama")</f>
        <v>Sama</v>
      </c>
      <c r="BA593" s="7" t="str">
        <f>IF(Table43[[#This Row],[Kode BARANG Win2]]&lt;&gt;"","IDR","")</f>
        <v>IDR</v>
      </c>
      <c r="BB593" s="7" t="str">
        <f>CONCATENATE(Table43[[#This Row],[kode  1 Digit
(Nomor)]],Table43[[#This Row],[kode  4 Digit                (Nomor)]])</f>
        <v>10001</v>
      </c>
      <c r="BC593" s="7" t="str">
        <f>Table43[[#This Row],[Nama            Gramasi atau Jumlah Pack per CTN]]</f>
        <v>1ML</v>
      </c>
      <c r="BD593" s="7"/>
      <c r="BE593" s="7"/>
      <c r="BF593" s="4" t="str">
        <f>IF(Table43[[#This Row],[SATUAN Fix Win]]&lt;&gt;"","KRT")</f>
        <v>KRT</v>
      </c>
      <c r="BG593" s="4" t="str">
        <f>IF(Table43[[#This Row],[SATUAN Fix Win]]&lt;&gt;"","GD01")</f>
        <v>GD01</v>
      </c>
      <c r="BH593" s="4">
        <f>IF(Table43[[#This Row],[SATUAN Fix Win]]&lt;&gt;"",11611)</f>
        <v>11611</v>
      </c>
      <c r="BI593" s="4">
        <f>IF(Table43[[#This Row],[SATUAN Fix Win]]&lt;&gt;"",11612)</f>
        <v>11612</v>
      </c>
      <c r="BJ593" s="48"/>
      <c r="BK593" s="4">
        <f>IF(Table43[[#This Row],[SATUAN Fix Win]]&lt;&gt;"",1)</f>
        <v>1</v>
      </c>
    </row>
    <row r="594" spans="1:63">
      <c r="A594" s="4" t="str">
        <f>CONCATENATE(Table43[[#This Row],[Kode BARANG Win2]],Table43[[#This Row],[No. Urut
Item Sama]])</f>
        <v>K14700010065102</v>
      </c>
      <c r="B594" s="7">
        <v>2</v>
      </c>
      <c r="D594" s="28" t="s">
        <v>370</v>
      </c>
      <c r="E594" s="28"/>
      <c r="F594" s="28" t="s">
        <v>3328</v>
      </c>
      <c r="G594" s="78">
        <v>48</v>
      </c>
      <c r="H594" s="43"/>
      <c r="I594" s="28" t="str">
        <f>Table43[[#This Row],[Nama Jenis Kemasan]]</f>
        <v>TUBE</v>
      </c>
      <c r="J594" s="4" t="str">
        <f>TRIM(CONCATENATE(Table43[[#This Row],[Nama            KLP]]," ",Table43[[#This Row],[Nama            Sub KLP]]))</f>
        <v>SASHA PASTA</v>
      </c>
      <c r="K594" s="4" t="str">
        <f>CONCATENATE(Table43[[#This Row],[kode  2 Digit                (hrf+No)]],Table43[[#This Row],[kode  2 Digit                (Nomor)]],Table43[[#This Row],[kode  1 Digit                (Nomor)]])</f>
        <v>K1470</v>
      </c>
      <c r="L594" s="4" t="str">
        <f t="shared" si="30"/>
        <v>K1470001006510</v>
      </c>
      <c r="M594" s="11">
        <f t="shared" si="31"/>
        <v>14</v>
      </c>
      <c r="N594" s="14" t="str">
        <f>IF(AF594&lt;&gt;"",TRIM(UPPER(CONCATENATE(P594," ",R594," ",T594," ",V594," ",X594," ",Z594," ","X"," ",Table43[[#This Row],[ISI/CTN]]," ",AF594," ",AB594," ",AD594," ",AH594))),TRIM(UPPER(CONCATENATE(P594," ",R594," ",T594," ",V594," ",X594," ",Z594," ","X"," ",Table43[[#This Row],[ISI/CTN]]," ",AB594," ",AD594," ",AH594))))</f>
        <v>KNF SASHA PASTA ANTIBACTERIAL 65GR X 48 TUBE</v>
      </c>
      <c r="O594" s="11">
        <f t="shared" si="32"/>
        <v>44</v>
      </c>
      <c r="P594" s="4" t="s">
        <v>97</v>
      </c>
      <c r="Q594" s="7" t="s">
        <v>98</v>
      </c>
      <c r="R594" s="4" t="s">
        <v>3998</v>
      </c>
      <c r="S594" s="44" t="s">
        <v>3999</v>
      </c>
      <c r="T594" s="45" t="s">
        <v>2961</v>
      </c>
      <c r="U594" s="7" t="s">
        <v>2900</v>
      </c>
      <c r="V594" s="45" t="s">
        <v>2961</v>
      </c>
      <c r="W594" s="44" t="s">
        <v>2900</v>
      </c>
      <c r="X594" s="4" t="s">
        <v>4000</v>
      </c>
      <c r="Y594" s="46" t="s">
        <v>0</v>
      </c>
      <c r="Z594" s="4" t="s">
        <v>4001</v>
      </c>
      <c r="AA594" s="46" t="s">
        <v>2501</v>
      </c>
      <c r="AB594" s="4" t="s">
        <v>1021</v>
      </c>
      <c r="AC594" s="7" t="s">
        <v>2656</v>
      </c>
      <c r="AD594" s="4" t="s">
        <v>2961</v>
      </c>
      <c r="AE594" s="7" t="s">
        <v>2900</v>
      </c>
      <c r="AF594" s="7" t="s">
        <v>2961</v>
      </c>
      <c r="AG594" s="7" t="s">
        <v>2961</v>
      </c>
      <c r="AI594" s="7" t="s">
        <v>2463</v>
      </c>
      <c r="AJ594" s="7" t="s">
        <v>3562</v>
      </c>
      <c r="AK594" s="41">
        <f>Table43[[#This Row],[Harga Jual Pcs GT
(-PPN)]]-(Table43[[#This Row],[Harga Jual Pcs GT
(-PPN)]]*10%)</f>
        <v>0</v>
      </c>
      <c r="AL594" s="42">
        <f>Table43[[#This Row],[Harga Beli Pcs
(-PPN)]]*Table43[[#This Row],[ISI/CTN]]</f>
        <v>0</v>
      </c>
      <c r="AM594" s="42">
        <f>Table43[[#This Row],[Harga Beli Pcs
(-PPN)]]*1.11</f>
        <v>0</v>
      </c>
      <c r="AN594" s="42">
        <f>Table43[[#This Row],[Harga Beli Krt
(- PPN)]]*1.11</f>
        <v>0</v>
      </c>
      <c r="AO594" s="42"/>
      <c r="AP594" s="42">
        <f>Table43[[#This Row],[Harga Jual Pcs GT
(-PPN)]]*Table43[[#This Row],[ISI/CTN]]</f>
        <v>0</v>
      </c>
      <c r="AQ594" s="42">
        <f>Table43[[#This Row],[Harga Jual Pcs GT
(-PPN)]]*1.11</f>
        <v>0</v>
      </c>
      <c r="AR594" s="42">
        <f>Table43[[#This Row],[Harga Jual Krt GT
(- PPN)]]*1.11</f>
        <v>0</v>
      </c>
      <c r="AS594" s="42">
        <f>Table43[[#This Row],[Harga Jual Pcs GT
(-PPN)]]</f>
        <v>0</v>
      </c>
      <c r="AT594" s="42">
        <f>(Table43[[#This Row],[Harga Jual Pcs MT
(-PPN)]]*Table43[[#This Row],[ISI/CTN]])</f>
        <v>0</v>
      </c>
      <c r="AU594" s="42">
        <f>Table43[[#This Row],[Harga Jual Pcs MT
(-PPN)]]*1.11</f>
        <v>0</v>
      </c>
      <c r="AV594" s="42">
        <f>Table43[[#This Row],[Harga Jual Pcs MT
(+PPN)]]*Table43[[#This Row],[ISI/CTN]]</f>
        <v>0</v>
      </c>
      <c r="AW594" s="47"/>
      <c r="AX594" s="7"/>
      <c r="AY594" s="7" t="str">
        <f ca="1">IF(TODAY()-Table43[[#This Row],[Efektif
Pembuatan]]&gt;60,"Lama","Baru")</f>
        <v>Lama</v>
      </c>
      <c r="AZ594" s="7" t="str">
        <f ca="1">IF(TODAY()-Table43[[#This Row],[Efektif Naik Harga]]&lt;30,"Naik","Sama")</f>
        <v>Sama</v>
      </c>
      <c r="BA594" s="7" t="str">
        <f>IF(Table43[[#This Row],[Kode BARANG Win2]]&lt;&gt;"","IDR","")</f>
        <v>IDR</v>
      </c>
      <c r="BB594" s="7" t="str">
        <f>CONCATENATE(Table43[[#This Row],[kode  1 Digit
(Nomor)]],Table43[[#This Row],[kode  4 Digit                (Nomor)]])</f>
        <v>20065</v>
      </c>
      <c r="BC594" s="7" t="str">
        <f>Table43[[#This Row],[Nama            Gramasi atau Jumlah Pack per CTN]]</f>
        <v>65GR</v>
      </c>
      <c r="BD594" s="7"/>
      <c r="BE594" s="7"/>
      <c r="BF594" s="4" t="str">
        <f>IF(Table43[[#This Row],[SATUAN Fix Win]]&lt;&gt;"","KRT")</f>
        <v>KRT</v>
      </c>
      <c r="BG594" s="4" t="str">
        <f>IF(Table43[[#This Row],[SATUAN Fix Win]]&lt;&gt;"","GD01")</f>
        <v>GD01</v>
      </c>
      <c r="BH594" s="4">
        <f>IF(Table43[[#This Row],[SATUAN Fix Win]]&lt;&gt;"",11611)</f>
        <v>11611</v>
      </c>
      <c r="BI594" s="4">
        <f>IF(Table43[[#This Row],[SATUAN Fix Win]]&lt;&gt;"",11612)</f>
        <v>11612</v>
      </c>
      <c r="BJ594" s="48"/>
      <c r="BK594" s="4">
        <f>IF(Table43[[#This Row],[SATUAN Fix Win]]&lt;&gt;"",1)</f>
        <v>1</v>
      </c>
    </row>
    <row r="595" spans="1:63">
      <c r="A595" s="4" t="str">
        <f>CONCATENATE(Table43[[#This Row],[Kode BARANG Win2]],Table43[[#This Row],[No. Urut
Item Sama]])</f>
        <v>K14700010065111</v>
      </c>
      <c r="B595" s="7">
        <v>1</v>
      </c>
      <c r="D595" s="28" t="s">
        <v>371</v>
      </c>
      <c r="E595" s="28"/>
      <c r="F595" s="28" t="s">
        <v>3329</v>
      </c>
      <c r="G595" s="78">
        <v>48</v>
      </c>
      <c r="H595" s="43"/>
      <c r="I595" s="28" t="str">
        <f>Table43[[#This Row],[Nama Jenis Kemasan]]</f>
        <v>TUBE</v>
      </c>
      <c r="J595" s="4" t="str">
        <f>TRIM(CONCATENATE(Table43[[#This Row],[Nama            KLP]]," ",Table43[[#This Row],[Nama            Sub KLP]]))</f>
        <v>SASHA PASTA</v>
      </c>
      <c r="K595" s="4" t="str">
        <f>CONCATENATE(Table43[[#This Row],[kode  2 Digit                (hrf+No)]],Table43[[#This Row],[kode  2 Digit                (Nomor)]],Table43[[#This Row],[kode  1 Digit                (Nomor)]])</f>
        <v>K1470</v>
      </c>
      <c r="L595" s="4" t="str">
        <f t="shared" si="30"/>
        <v>K1470001006511</v>
      </c>
      <c r="M595" s="11">
        <f t="shared" si="31"/>
        <v>14</v>
      </c>
      <c r="N595" s="14" t="str">
        <f>IF(AF595&lt;&gt;"",TRIM(UPPER(CONCATENATE(P595," ",R595," ",T595," ",V595," ",X595," ",Z595," ","X"," ",Table43[[#This Row],[ISI/CTN]]," ",AF595," ",AB595," ",AD595," ",AH595))),TRIM(UPPER(CONCATENATE(P595," ",R595," ",T595," ",V595," ",X595," ",Z595," ","X"," ",Table43[[#This Row],[ISI/CTN]]," ",AB595," ",AD595," ",AH595))))</f>
        <v>KNF SASHA PASTA ANTIBACTERIAL 65GR X 48 TUBE</v>
      </c>
      <c r="O595" s="11">
        <f t="shared" si="32"/>
        <v>44</v>
      </c>
      <c r="P595" s="4" t="s">
        <v>97</v>
      </c>
      <c r="Q595" s="7" t="s">
        <v>98</v>
      </c>
      <c r="R595" s="4" t="s">
        <v>3998</v>
      </c>
      <c r="S595" s="44" t="s">
        <v>3999</v>
      </c>
      <c r="T595" s="45" t="s">
        <v>2961</v>
      </c>
      <c r="U595" s="7" t="s">
        <v>2900</v>
      </c>
      <c r="V595" s="45" t="s">
        <v>2961</v>
      </c>
      <c r="W595" s="44" t="s">
        <v>2900</v>
      </c>
      <c r="X595" s="4" t="s">
        <v>4000</v>
      </c>
      <c r="Y595" s="46" t="s">
        <v>0</v>
      </c>
      <c r="Z595" s="4" t="s">
        <v>4001</v>
      </c>
      <c r="AA595" s="46" t="s">
        <v>2501</v>
      </c>
      <c r="AB595" s="4" t="s">
        <v>1021</v>
      </c>
      <c r="AC595" s="7" t="s">
        <v>2656</v>
      </c>
      <c r="AD595" s="4" t="s">
        <v>2961</v>
      </c>
      <c r="AE595" s="7" t="s">
        <v>2656</v>
      </c>
      <c r="AF595" s="7" t="s">
        <v>2961</v>
      </c>
      <c r="AG595" s="7" t="s">
        <v>2961</v>
      </c>
      <c r="AI595" s="7" t="s">
        <v>2463</v>
      </c>
      <c r="AJ595" s="7" t="s">
        <v>3562</v>
      </c>
      <c r="AK595" s="41">
        <f>Table43[[#This Row],[Harga Jual Pcs GT
(-PPN)]]-(Table43[[#This Row],[Harga Jual Pcs GT
(-PPN)]]*10%)</f>
        <v>0</v>
      </c>
      <c r="AL595" s="42">
        <f>Table43[[#This Row],[Harga Beli Pcs
(-PPN)]]*Table43[[#This Row],[ISI/CTN]]</f>
        <v>0</v>
      </c>
      <c r="AM595" s="42">
        <f>Table43[[#This Row],[Harga Beli Pcs
(-PPN)]]*1.11</f>
        <v>0</v>
      </c>
      <c r="AN595" s="42">
        <f>Table43[[#This Row],[Harga Beli Krt
(- PPN)]]*1.11</f>
        <v>0</v>
      </c>
      <c r="AO595" s="42"/>
      <c r="AP595" s="42">
        <f>Table43[[#This Row],[Harga Jual Pcs GT
(-PPN)]]*Table43[[#This Row],[ISI/CTN]]</f>
        <v>0</v>
      </c>
      <c r="AQ595" s="42">
        <f>Table43[[#This Row],[Harga Jual Pcs GT
(-PPN)]]*1.11</f>
        <v>0</v>
      </c>
      <c r="AR595" s="42">
        <f>Table43[[#This Row],[Harga Jual Krt GT
(- PPN)]]*1.11</f>
        <v>0</v>
      </c>
      <c r="AS595" s="42">
        <f>Table43[[#This Row],[Harga Jual Pcs GT
(-PPN)]]</f>
        <v>0</v>
      </c>
      <c r="AT595" s="42">
        <f>(Table43[[#This Row],[Harga Jual Pcs MT
(-PPN)]]*Table43[[#This Row],[ISI/CTN]])</f>
        <v>0</v>
      </c>
      <c r="AU595" s="42">
        <f>Table43[[#This Row],[Harga Jual Pcs MT
(-PPN)]]*1.11</f>
        <v>0</v>
      </c>
      <c r="AV595" s="42">
        <f>Table43[[#This Row],[Harga Jual Pcs MT
(+PPN)]]*Table43[[#This Row],[ISI/CTN]]</f>
        <v>0</v>
      </c>
      <c r="AW595" s="47"/>
      <c r="AX595" s="7"/>
      <c r="AY595" s="7" t="str">
        <f ca="1">IF(TODAY()-Table43[[#This Row],[Efektif
Pembuatan]]&gt;60,"Lama","Baru")</f>
        <v>Lama</v>
      </c>
      <c r="AZ595" s="7" t="str">
        <f ca="1">IF(TODAY()-Table43[[#This Row],[Efektif Naik Harga]]&lt;30,"Naik","Sama")</f>
        <v>Sama</v>
      </c>
      <c r="BA595" s="7" t="str">
        <f>IF(Table43[[#This Row],[Kode BARANG Win2]]&lt;&gt;"","IDR","")</f>
        <v>IDR</v>
      </c>
      <c r="BB595" s="7" t="str">
        <f>CONCATENATE(Table43[[#This Row],[kode  1 Digit
(Nomor)]],Table43[[#This Row],[kode  4 Digit                (Nomor)]])</f>
        <v>20065</v>
      </c>
      <c r="BC595" s="7" t="str">
        <f>Table43[[#This Row],[Nama            Gramasi atau Jumlah Pack per CTN]]</f>
        <v>65GR</v>
      </c>
      <c r="BD595" s="7"/>
      <c r="BE595" s="7"/>
      <c r="BF595" s="4" t="str">
        <f>IF(Table43[[#This Row],[SATUAN Fix Win]]&lt;&gt;"","KRT")</f>
        <v>KRT</v>
      </c>
      <c r="BG595" s="4" t="str">
        <f>IF(Table43[[#This Row],[SATUAN Fix Win]]&lt;&gt;"","GD01")</f>
        <v>GD01</v>
      </c>
      <c r="BH595" s="4">
        <f>IF(Table43[[#This Row],[SATUAN Fix Win]]&lt;&gt;"",11611)</f>
        <v>11611</v>
      </c>
      <c r="BI595" s="4">
        <f>IF(Table43[[#This Row],[SATUAN Fix Win]]&lt;&gt;"",11612)</f>
        <v>11612</v>
      </c>
      <c r="BJ595" s="48"/>
      <c r="BK595" s="4">
        <f>IF(Table43[[#This Row],[SATUAN Fix Win]]&lt;&gt;"",1)</f>
        <v>1</v>
      </c>
    </row>
    <row r="596" spans="1:63">
      <c r="A596" s="4" t="str">
        <f>CONCATENATE(Table43[[#This Row],[Kode BARANG Win2]],Table43[[#This Row],[No. Urut
Item Sama]])</f>
        <v>K14700010150101</v>
      </c>
      <c r="B596" s="7">
        <v>1</v>
      </c>
      <c r="D596" s="28" t="s">
        <v>373</v>
      </c>
      <c r="E596" s="28"/>
      <c r="F596" s="28" t="s">
        <v>3330</v>
      </c>
      <c r="G596" s="78">
        <v>36</v>
      </c>
      <c r="H596" s="43"/>
      <c r="I596" s="28" t="str">
        <f>Table43[[#This Row],[Nama Jenis Kemasan]]</f>
        <v>TUBE</v>
      </c>
      <c r="J596" s="4" t="str">
        <f>TRIM(CONCATENATE(Table43[[#This Row],[Nama            KLP]]," ",Table43[[#This Row],[Nama            Sub KLP]]))</f>
        <v>SASHA PASTA</v>
      </c>
      <c r="K596" s="4" t="str">
        <f>CONCATENATE(Table43[[#This Row],[kode  2 Digit                (hrf+No)]],Table43[[#This Row],[kode  2 Digit                (Nomor)]],Table43[[#This Row],[kode  1 Digit                (Nomor)]])</f>
        <v>K1470</v>
      </c>
      <c r="L596" s="4" t="str">
        <f t="shared" si="30"/>
        <v>K1470001015010</v>
      </c>
      <c r="M596" s="11">
        <f t="shared" si="31"/>
        <v>14</v>
      </c>
      <c r="N596" s="14" t="str">
        <f>IF(AF596&lt;&gt;"",TRIM(UPPER(CONCATENATE(P596," ",R596," ",T596," ",V596," ",X596," ",Z596," ","X"," ",Table43[[#This Row],[ISI/CTN]]," ",AF596," ",AB596," ",AD596," ",AH596))),TRIM(UPPER(CONCATENATE(P596," ",R596," ",T596," ",V596," ",X596," ",Z596," ","X"," ",Table43[[#This Row],[ISI/CTN]]," ",AB596," ",AD596," ",AH596))))</f>
        <v>KNF SASHA PASTA ANTIBACTERIAL 150GR X 36 TUBE</v>
      </c>
      <c r="O596" s="11">
        <f t="shared" si="32"/>
        <v>45</v>
      </c>
      <c r="P596" s="4" t="s">
        <v>97</v>
      </c>
      <c r="Q596" s="7" t="s">
        <v>98</v>
      </c>
      <c r="R596" s="4" t="s">
        <v>3998</v>
      </c>
      <c r="S596" s="44" t="s">
        <v>3999</v>
      </c>
      <c r="T596" s="45" t="s">
        <v>2961</v>
      </c>
      <c r="U596" s="7" t="s">
        <v>2900</v>
      </c>
      <c r="V596" s="45" t="s">
        <v>2961</v>
      </c>
      <c r="W596" s="44" t="s">
        <v>2900</v>
      </c>
      <c r="X596" s="4" t="s">
        <v>4000</v>
      </c>
      <c r="Y596" s="46" t="s">
        <v>0</v>
      </c>
      <c r="Z596" s="4" t="s">
        <v>3600</v>
      </c>
      <c r="AA596" s="46" t="s">
        <v>2482</v>
      </c>
      <c r="AB596" s="4" t="s">
        <v>1021</v>
      </c>
      <c r="AC596" s="7" t="s">
        <v>2656</v>
      </c>
      <c r="AD596" s="4" t="s">
        <v>2961</v>
      </c>
      <c r="AE596" s="7" t="s">
        <v>2900</v>
      </c>
      <c r="AF596" s="7" t="s">
        <v>2961</v>
      </c>
      <c r="AG596" s="7" t="s">
        <v>2961</v>
      </c>
      <c r="AI596" s="7" t="s">
        <v>2463</v>
      </c>
      <c r="AJ596" s="7" t="s">
        <v>3562</v>
      </c>
      <c r="AK596" s="41">
        <f>Table43[[#This Row],[Harga Jual Pcs GT
(-PPN)]]-(Table43[[#This Row],[Harga Jual Pcs GT
(-PPN)]]*10%)</f>
        <v>0</v>
      </c>
      <c r="AL596" s="42">
        <f>Table43[[#This Row],[Harga Beli Pcs
(-PPN)]]*Table43[[#This Row],[ISI/CTN]]</f>
        <v>0</v>
      </c>
      <c r="AM596" s="42">
        <f>Table43[[#This Row],[Harga Beli Pcs
(-PPN)]]*1.11</f>
        <v>0</v>
      </c>
      <c r="AN596" s="42">
        <f>Table43[[#This Row],[Harga Beli Krt
(- PPN)]]*1.11</f>
        <v>0</v>
      </c>
      <c r="AO596" s="42"/>
      <c r="AP596" s="42">
        <f>Table43[[#This Row],[Harga Jual Pcs GT
(-PPN)]]*Table43[[#This Row],[ISI/CTN]]</f>
        <v>0</v>
      </c>
      <c r="AQ596" s="42">
        <f>Table43[[#This Row],[Harga Jual Pcs GT
(-PPN)]]*1.11</f>
        <v>0</v>
      </c>
      <c r="AR596" s="42">
        <f>Table43[[#This Row],[Harga Jual Krt GT
(- PPN)]]*1.11</f>
        <v>0</v>
      </c>
      <c r="AS596" s="42">
        <f>Table43[[#This Row],[Harga Jual Pcs GT
(-PPN)]]</f>
        <v>0</v>
      </c>
      <c r="AT596" s="42">
        <f>(Table43[[#This Row],[Harga Jual Pcs MT
(-PPN)]]*Table43[[#This Row],[ISI/CTN]])</f>
        <v>0</v>
      </c>
      <c r="AU596" s="42">
        <f>Table43[[#This Row],[Harga Jual Pcs MT
(-PPN)]]*1.11</f>
        <v>0</v>
      </c>
      <c r="AV596" s="42">
        <f>Table43[[#This Row],[Harga Jual Pcs MT
(+PPN)]]*Table43[[#This Row],[ISI/CTN]]</f>
        <v>0</v>
      </c>
      <c r="AW596" s="47"/>
      <c r="AX596" s="7"/>
      <c r="AY596" s="7" t="str">
        <f ca="1">IF(TODAY()-Table43[[#This Row],[Efektif
Pembuatan]]&gt;60,"Lama","Baru")</f>
        <v>Lama</v>
      </c>
      <c r="AZ596" s="7" t="str">
        <f ca="1">IF(TODAY()-Table43[[#This Row],[Efektif Naik Harga]]&lt;30,"Naik","Sama")</f>
        <v>Sama</v>
      </c>
      <c r="BA596" s="7" t="str">
        <f>IF(Table43[[#This Row],[Kode BARANG Win2]]&lt;&gt;"","IDR","")</f>
        <v>IDR</v>
      </c>
      <c r="BB596" s="7" t="str">
        <f>CONCATENATE(Table43[[#This Row],[kode  1 Digit
(Nomor)]],Table43[[#This Row],[kode  4 Digit                (Nomor)]])</f>
        <v>20150</v>
      </c>
      <c r="BC596" s="7" t="str">
        <f>Table43[[#This Row],[Nama            Gramasi atau Jumlah Pack per CTN]]</f>
        <v>150GR</v>
      </c>
      <c r="BD596" s="7"/>
      <c r="BE596" s="7"/>
      <c r="BF596" s="4" t="str">
        <f>IF(Table43[[#This Row],[SATUAN Fix Win]]&lt;&gt;"","KRT")</f>
        <v>KRT</v>
      </c>
      <c r="BG596" s="4" t="str">
        <f>IF(Table43[[#This Row],[SATUAN Fix Win]]&lt;&gt;"","GD01")</f>
        <v>GD01</v>
      </c>
      <c r="BH596" s="4">
        <f>IF(Table43[[#This Row],[SATUAN Fix Win]]&lt;&gt;"",11611)</f>
        <v>11611</v>
      </c>
      <c r="BI596" s="4">
        <f>IF(Table43[[#This Row],[SATUAN Fix Win]]&lt;&gt;"",11612)</f>
        <v>11612</v>
      </c>
      <c r="BJ596" s="48"/>
      <c r="BK596" s="4">
        <f>IF(Table43[[#This Row],[SATUAN Fix Win]]&lt;&gt;"",1)</f>
        <v>1</v>
      </c>
    </row>
    <row r="597" spans="1:63">
      <c r="A597" s="4" t="str">
        <f>CONCATENATE(Table43[[#This Row],[Kode BARANG Win2]],Table43[[#This Row],[No. Urut
Item Sama]])</f>
        <v>K14700010150111</v>
      </c>
      <c r="B597" s="7">
        <v>1</v>
      </c>
      <c r="D597" s="28" t="s">
        <v>375</v>
      </c>
      <c r="E597" s="28"/>
      <c r="F597" s="28" t="s">
        <v>3332</v>
      </c>
      <c r="G597" s="78">
        <v>36</v>
      </c>
      <c r="H597" s="43"/>
      <c r="I597" s="28" t="str">
        <f>Table43[[#This Row],[Nama Jenis Kemasan]]</f>
        <v>TUBE</v>
      </c>
      <c r="J597" s="4" t="str">
        <f>TRIM(CONCATENATE(Table43[[#This Row],[Nama            KLP]]," ",Table43[[#This Row],[Nama            Sub KLP]]))</f>
        <v>SASHA PASTA</v>
      </c>
      <c r="K597" s="4" t="str">
        <f>CONCATENATE(Table43[[#This Row],[kode  2 Digit                (hrf+No)]],Table43[[#This Row],[kode  2 Digit                (Nomor)]],Table43[[#This Row],[kode  1 Digit                (Nomor)]])</f>
        <v>K1470</v>
      </c>
      <c r="L597" s="4" t="str">
        <f>IF(AG597="",CONCATENATE(Q597,S597,U597,W597,Y597,AA597,AC597,AE597),CONCATENATE(Q597,S597,U597,W597,Y597,AA597,AC597,AG597))</f>
        <v>K1470001015011</v>
      </c>
      <c r="M597" s="11">
        <f>LEN(L597)</f>
        <v>14</v>
      </c>
      <c r="N597" s="14" t="str">
        <f>IF(AF597&lt;&gt;"",TRIM(UPPER(CONCATENATE(P597," ",R597," ",T597," ",V597," ",X597," ",Z597," ","X"," ",Table43[[#This Row],[ISI/CTN]]," ",AF597," ",AB597," ",AD597," ",AH597))),TRIM(UPPER(CONCATENATE(P597," ",R597," ",T597," ",V597," ",X597," ",Z597," ","X"," ",Table43[[#This Row],[ISI/CTN]]," ",AB597," ",AD597," ",AH597))))</f>
        <v>KNF SASHA PASTA ANTIBACTERIAL 150GR X 36 TUBE</v>
      </c>
      <c r="O597" s="11">
        <f>LEN(N597)</f>
        <v>45</v>
      </c>
      <c r="P597" s="4" t="s">
        <v>97</v>
      </c>
      <c r="Q597" s="7" t="s">
        <v>98</v>
      </c>
      <c r="R597" s="4" t="s">
        <v>3998</v>
      </c>
      <c r="S597" s="44" t="s">
        <v>3999</v>
      </c>
      <c r="T597" s="45" t="s">
        <v>2961</v>
      </c>
      <c r="U597" s="7" t="s">
        <v>2900</v>
      </c>
      <c r="V597" s="45" t="s">
        <v>2961</v>
      </c>
      <c r="W597" s="44" t="s">
        <v>2900</v>
      </c>
      <c r="X597" s="4" t="s">
        <v>4000</v>
      </c>
      <c r="Y597" s="46" t="s">
        <v>0</v>
      </c>
      <c r="Z597" s="4" t="s">
        <v>3600</v>
      </c>
      <c r="AA597" s="46" t="s">
        <v>2482</v>
      </c>
      <c r="AB597" s="4" t="s">
        <v>1021</v>
      </c>
      <c r="AC597" s="7" t="s">
        <v>2656</v>
      </c>
      <c r="AD597" s="4" t="s">
        <v>2961</v>
      </c>
      <c r="AE597" s="7" t="s">
        <v>2656</v>
      </c>
      <c r="AF597" s="7" t="s">
        <v>2961</v>
      </c>
      <c r="AG597" s="7" t="s">
        <v>2961</v>
      </c>
      <c r="AI597" s="7" t="s">
        <v>2463</v>
      </c>
      <c r="AJ597" s="7" t="s">
        <v>3562</v>
      </c>
      <c r="AK597" s="41">
        <f>Table43[[#This Row],[Harga Jual Pcs GT
(-PPN)]]-(Table43[[#This Row],[Harga Jual Pcs GT
(-PPN)]]*10%)</f>
        <v>0</v>
      </c>
      <c r="AL597" s="42">
        <f>Table43[[#This Row],[Harga Beli Pcs
(-PPN)]]*Table43[[#This Row],[ISI/CTN]]</f>
        <v>0</v>
      </c>
      <c r="AM597" s="42">
        <f>Table43[[#This Row],[Harga Beli Pcs
(-PPN)]]*1.11</f>
        <v>0</v>
      </c>
      <c r="AN597" s="42">
        <f>Table43[[#This Row],[Harga Beli Krt
(- PPN)]]*1.11</f>
        <v>0</v>
      </c>
      <c r="AO597" s="42"/>
      <c r="AP597" s="42">
        <f>Table43[[#This Row],[Harga Jual Pcs GT
(-PPN)]]*Table43[[#This Row],[ISI/CTN]]</f>
        <v>0</v>
      </c>
      <c r="AQ597" s="42">
        <f>Table43[[#This Row],[Harga Jual Pcs GT
(-PPN)]]*1.11</f>
        <v>0</v>
      </c>
      <c r="AR597" s="42">
        <f>Table43[[#This Row],[Harga Jual Krt GT
(- PPN)]]*1.11</f>
        <v>0</v>
      </c>
      <c r="AS597" s="42">
        <f>Table43[[#This Row],[Harga Jual Pcs GT
(-PPN)]]</f>
        <v>0</v>
      </c>
      <c r="AT597" s="42">
        <f>(Table43[[#This Row],[Harga Jual Pcs MT
(-PPN)]]*Table43[[#This Row],[ISI/CTN]])</f>
        <v>0</v>
      </c>
      <c r="AU597" s="42">
        <f>Table43[[#This Row],[Harga Jual Pcs MT
(-PPN)]]*1.11</f>
        <v>0</v>
      </c>
      <c r="AV597" s="42">
        <f>Table43[[#This Row],[Harga Jual Pcs MT
(+PPN)]]*Table43[[#This Row],[ISI/CTN]]</f>
        <v>0</v>
      </c>
      <c r="AW597" s="47"/>
      <c r="AX597" s="7"/>
      <c r="AY597" s="7" t="str">
        <f ca="1">IF(TODAY()-Table43[[#This Row],[Efektif
Pembuatan]]&gt;60,"Lama","Baru")</f>
        <v>Lama</v>
      </c>
      <c r="AZ597" s="7" t="str">
        <f ca="1">IF(TODAY()-Table43[[#This Row],[Efektif Naik Harga]]&lt;30,"Naik","Sama")</f>
        <v>Sama</v>
      </c>
      <c r="BA597" s="7" t="str">
        <f>IF(Table43[[#This Row],[Kode BARANG Win2]]&lt;&gt;"","IDR","")</f>
        <v>IDR</v>
      </c>
      <c r="BB597" s="7" t="str">
        <f>CONCATENATE(Table43[[#This Row],[kode  1 Digit
(Nomor)]],Table43[[#This Row],[kode  4 Digit                (Nomor)]])</f>
        <v>20150</v>
      </c>
      <c r="BC597" s="7" t="str">
        <f>Table43[[#This Row],[Nama            Gramasi atau Jumlah Pack per CTN]]</f>
        <v>150GR</v>
      </c>
      <c r="BD597" s="7"/>
      <c r="BE597" s="7"/>
      <c r="BF597" s="4" t="str">
        <f>IF(Table43[[#This Row],[SATUAN Fix Win]]&lt;&gt;"","KRT")</f>
        <v>KRT</v>
      </c>
      <c r="BG597" s="4" t="str">
        <f>IF(Table43[[#This Row],[SATUAN Fix Win]]&lt;&gt;"","GD01")</f>
        <v>GD01</v>
      </c>
      <c r="BH597" s="4">
        <f>IF(Table43[[#This Row],[SATUAN Fix Win]]&lt;&gt;"",11611)</f>
        <v>11611</v>
      </c>
      <c r="BI597" s="4">
        <f>IF(Table43[[#This Row],[SATUAN Fix Win]]&lt;&gt;"",11612)</f>
        <v>11612</v>
      </c>
      <c r="BJ597" s="48"/>
      <c r="BK597" s="4">
        <f>IF(Table43[[#This Row],[SATUAN Fix Win]]&lt;&gt;"",1)</f>
        <v>1</v>
      </c>
    </row>
    <row r="598" spans="1:63">
      <c r="A598" s="4" t="str">
        <f>CONCATENATE(Table43[[#This Row],[Kode BARANG Win2]],Table43[[#This Row],[No. Urut
Item Sama]])</f>
        <v>K14700020065101</v>
      </c>
      <c r="B598" s="7">
        <v>1</v>
      </c>
      <c r="D598" s="28" t="s">
        <v>377</v>
      </c>
      <c r="E598" s="28"/>
      <c r="F598" s="28" t="s">
        <v>3334</v>
      </c>
      <c r="G598" s="78">
        <v>48</v>
      </c>
      <c r="H598" s="43"/>
      <c r="I598" s="28" t="str">
        <f>Table43[[#This Row],[Nama Jenis Kemasan]]</f>
        <v>TUBE</v>
      </c>
      <c r="J598" s="4" t="str">
        <f>TRIM(CONCATENATE(Table43[[#This Row],[Nama            KLP]]," ",Table43[[#This Row],[Nama            Sub KLP]]))</f>
        <v>SASHA PASTA</v>
      </c>
      <c r="K598" s="4" t="str">
        <f>CONCATENATE(Table43[[#This Row],[kode  2 Digit                (hrf+No)]],Table43[[#This Row],[kode  2 Digit                (Nomor)]],Table43[[#This Row],[kode  1 Digit                (Nomor)]])</f>
        <v>K1470</v>
      </c>
      <c r="L598" s="4" t="str">
        <f t="shared" si="30"/>
        <v>K1470002006510</v>
      </c>
      <c r="M598" s="11">
        <f t="shared" si="31"/>
        <v>14</v>
      </c>
      <c r="N598" s="14" t="str">
        <f>IF(AF598&lt;&gt;"",TRIM(UPPER(CONCATENATE(P598," ",R598," ",T598," ",V598," ",X598," ",Z598," ","X"," ",Table43[[#This Row],[ISI/CTN]]," ",AF598," ",AB598," ",AD598," ",AH598))),TRIM(UPPER(CONCATENATE(P598," ",R598," ",T598," ",V598," ",X598," ",Z598," ","X"," ",Table43[[#This Row],[ISI/CTN]]," ",AB598," ",AD598," ",AH598))))</f>
        <v>KNF SASHA PASTA GIGI BERLUBANG 65GR X 48 TUBE</v>
      </c>
      <c r="O598" s="11">
        <f t="shared" si="32"/>
        <v>45</v>
      </c>
      <c r="P598" s="4" t="s">
        <v>97</v>
      </c>
      <c r="Q598" s="7" t="s">
        <v>98</v>
      </c>
      <c r="R598" s="4" t="s">
        <v>3998</v>
      </c>
      <c r="S598" s="44" t="s">
        <v>3999</v>
      </c>
      <c r="T598" s="45" t="s">
        <v>2961</v>
      </c>
      <c r="U598" s="7" t="s">
        <v>2900</v>
      </c>
      <c r="V598" s="45" t="s">
        <v>2961</v>
      </c>
      <c r="W598" s="44" t="s">
        <v>2900</v>
      </c>
      <c r="X598" s="4" t="s">
        <v>4002</v>
      </c>
      <c r="Y598" s="46" t="s">
        <v>2472</v>
      </c>
      <c r="Z598" s="4" t="s">
        <v>4001</v>
      </c>
      <c r="AA598" s="46" t="s">
        <v>2501</v>
      </c>
      <c r="AB598" s="4" t="s">
        <v>1021</v>
      </c>
      <c r="AC598" s="7" t="s">
        <v>2656</v>
      </c>
      <c r="AD598" s="4" t="s">
        <v>2961</v>
      </c>
      <c r="AE598" s="7" t="s">
        <v>2900</v>
      </c>
      <c r="AF598" s="7" t="s">
        <v>2961</v>
      </c>
      <c r="AG598" s="7" t="s">
        <v>2961</v>
      </c>
      <c r="AI598" s="7" t="s">
        <v>2463</v>
      </c>
      <c r="AJ598" s="7" t="s">
        <v>3562</v>
      </c>
      <c r="AK598" s="41">
        <f>Table43[[#This Row],[Harga Jual Pcs GT
(-PPN)]]-(Table43[[#This Row],[Harga Jual Pcs GT
(-PPN)]]*10%)</f>
        <v>0</v>
      </c>
      <c r="AL598" s="42">
        <f>Table43[[#This Row],[Harga Beli Pcs
(-PPN)]]*Table43[[#This Row],[ISI/CTN]]</f>
        <v>0</v>
      </c>
      <c r="AM598" s="42">
        <f>Table43[[#This Row],[Harga Beli Pcs
(-PPN)]]*1.11</f>
        <v>0</v>
      </c>
      <c r="AN598" s="42">
        <f>Table43[[#This Row],[Harga Beli Krt
(- PPN)]]*1.11</f>
        <v>0</v>
      </c>
      <c r="AO598" s="42"/>
      <c r="AP598" s="42">
        <f>Table43[[#This Row],[Harga Jual Pcs GT
(-PPN)]]*Table43[[#This Row],[ISI/CTN]]</f>
        <v>0</v>
      </c>
      <c r="AQ598" s="42">
        <f>Table43[[#This Row],[Harga Jual Pcs GT
(-PPN)]]*1.11</f>
        <v>0</v>
      </c>
      <c r="AR598" s="42">
        <f>Table43[[#This Row],[Harga Jual Krt GT
(- PPN)]]*1.11</f>
        <v>0</v>
      </c>
      <c r="AS598" s="42">
        <f>Table43[[#This Row],[Harga Jual Pcs GT
(-PPN)]]</f>
        <v>0</v>
      </c>
      <c r="AT598" s="42">
        <f>(Table43[[#This Row],[Harga Jual Pcs MT
(-PPN)]]*Table43[[#This Row],[ISI/CTN]])</f>
        <v>0</v>
      </c>
      <c r="AU598" s="42">
        <f>Table43[[#This Row],[Harga Jual Pcs MT
(-PPN)]]*1.11</f>
        <v>0</v>
      </c>
      <c r="AV598" s="42">
        <f>Table43[[#This Row],[Harga Jual Pcs MT
(+PPN)]]*Table43[[#This Row],[ISI/CTN]]</f>
        <v>0</v>
      </c>
      <c r="AW598" s="47"/>
      <c r="AX598" s="7"/>
      <c r="AY598" s="7" t="str">
        <f ca="1">IF(TODAY()-Table43[[#This Row],[Efektif
Pembuatan]]&gt;60,"Lama","Baru")</f>
        <v>Lama</v>
      </c>
      <c r="AZ598" s="7" t="str">
        <f ca="1">IF(TODAY()-Table43[[#This Row],[Efektif Naik Harga]]&lt;30,"Naik","Sama")</f>
        <v>Sama</v>
      </c>
      <c r="BA598" s="7" t="str">
        <f>IF(Table43[[#This Row],[Kode BARANG Win2]]&lt;&gt;"","IDR","")</f>
        <v>IDR</v>
      </c>
      <c r="BB598" s="7" t="str">
        <f>CONCATENATE(Table43[[#This Row],[kode  1 Digit
(Nomor)]],Table43[[#This Row],[kode  4 Digit                (Nomor)]])</f>
        <v>20065</v>
      </c>
      <c r="BC598" s="7" t="str">
        <f>Table43[[#This Row],[Nama            Gramasi atau Jumlah Pack per CTN]]</f>
        <v>65GR</v>
      </c>
      <c r="BD598" s="7"/>
      <c r="BE598" s="7"/>
      <c r="BF598" s="4" t="str">
        <f>IF(Table43[[#This Row],[SATUAN Fix Win]]&lt;&gt;"","KRT")</f>
        <v>KRT</v>
      </c>
      <c r="BG598" s="4" t="str">
        <f>IF(Table43[[#This Row],[SATUAN Fix Win]]&lt;&gt;"","GD01")</f>
        <v>GD01</v>
      </c>
      <c r="BH598" s="4">
        <f>IF(Table43[[#This Row],[SATUAN Fix Win]]&lt;&gt;"",11611)</f>
        <v>11611</v>
      </c>
      <c r="BI598" s="4">
        <f>IF(Table43[[#This Row],[SATUAN Fix Win]]&lt;&gt;"",11612)</f>
        <v>11612</v>
      </c>
      <c r="BJ598" s="48"/>
      <c r="BK598" s="4">
        <f>IF(Table43[[#This Row],[SATUAN Fix Win]]&lt;&gt;"",1)</f>
        <v>1</v>
      </c>
    </row>
    <row r="599" spans="1:63">
      <c r="A599" s="4" t="str">
        <f>CONCATENATE(Table43[[#This Row],[Kode BARANG Win2]],Table43[[#This Row],[No. Urut
Item Sama]])</f>
        <v>K14700020065111</v>
      </c>
      <c r="B599" s="7">
        <v>1</v>
      </c>
      <c r="D599" s="28" t="s">
        <v>378</v>
      </c>
      <c r="E599" s="28"/>
      <c r="F599" s="28" t="s">
        <v>3335</v>
      </c>
      <c r="G599" s="78">
        <v>48</v>
      </c>
      <c r="H599" s="43"/>
      <c r="I599" s="28" t="str">
        <f>Table43[[#This Row],[Nama Jenis Kemasan]]</f>
        <v>TUBE</v>
      </c>
      <c r="J599" s="4" t="str">
        <f>TRIM(CONCATENATE(Table43[[#This Row],[Nama            KLP]]," ",Table43[[#This Row],[Nama            Sub KLP]]))</f>
        <v>SASHA PASTA</v>
      </c>
      <c r="K599" s="4" t="str">
        <f>CONCATENATE(Table43[[#This Row],[kode  2 Digit                (hrf+No)]],Table43[[#This Row],[kode  2 Digit                (Nomor)]],Table43[[#This Row],[kode  1 Digit                (Nomor)]])</f>
        <v>K1470</v>
      </c>
      <c r="L599" s="4" t="str">
        <f t="shared" si="30"/>
        <v>K1470002006511</v>
      </c>
      <c r="M599" s="11">
        <f t="shared" si="31"/>
        <v>14</v>
      </c>
      <c r="N599" s="14" t="str">
        <f>IF(AF599&lt;&gt;"",TRIM(UPPER(CONCATENATE(P599," ",R599," ",T599," ",V599," ",X599," ",Z599," ","X"," ",Table43[[#This Row],[ISI/CTN]]," ",AF599," ",AB599," ",AD599," ",AH599))),TRIM(UPPER(CONCATENATE(P599," ",R599," ",T599," ",V599," ",X599," ",Z599," ","X"," ",Table43[[#This Row],[ISI/CTN]]," ",AB599," ",AD599," ",AH599))))</f>
        <v>KNF SASHA PASTA GIGI BERLUBANG 65GR X 48 TUBE</v>
      </c>
      <c r="O599" s="11">
        <f t="shared" si="32"/>
        <v>45</v>
      </c>
      <c r="P599" s="4" t="s">
        <v>97</v>
      </c>
      <c r="Q599" s="7" t="s">
        <v>98</v>
      </c>
      <c r="R599" s="4" t="s">
        <v>3998</v>
      </c>
      <c r="S599" s="44" t="s">
        <v>3999</v>
      </c>
      <c r="T599" s="45" t="s">
        <v>2961</v>
      </c>
      <c r="U599" s="7" t="s">
        <v>2900</v>
      </c>
      <c r="V599" s="45" t="s">
        <v>2961</v>
      </c>
      <c r="W599" s="44" t="s">
        <v>2900</v>
      </c>
      <c r="X599" s="4" t="s">
        <v>4002</v>
      </c>
      <c r="Y599" s="46" t="s">
        <v>2472</v>
      </c>
      <c r="Z599" s="4" t="s">
        <v>4001</v>
      </c>
      <c r="AA599" s="46" t="s">
        <v>2501</v>
      </c>
      <c r="AB599" s="4" t="s">
        <v>1021</v>
      </c>
      <c r="AC599" s="7" t="s">
        <v>2656</v>
      </c>
      <c r="AD599" s="4" t="s">
        <v>2961</v>
      </c>
      <c r="AE599" s="7" t="s">
        <v>2656</v>
      </c>
      <c r="AF599" s="7" t="s">
        <v>2961</v>
      </c>
      <c r="AG599" s="7" t="s">
        <v>2961</v>
      </c>
      <c r="AI599" s="7" t="s">
        <v>2463</v>
      </c>
      <c r="AJ599" s="7" t="s">
        <v>3562</v>
      </c>
      <c r="AK599" s="41">
        <f>Table43[[#This Row],[Harga Jual Pcs GT
(-PPN)]]-(Table43[[#This Row],[Harga Jual Pcs GT
(-PPN)]]*10%)</f>
        <v>0</v>
      </c>
      <c r="AL599" s="42">
        <f>Table43[[#This Row],[Harga Beli Pcs
(-PPN)]]*Table43[[#This Row],[ISI/CTN]]</f>
        <v>0</v>
      </c>
      <c r="AM599" s="42">
        <f>Table43[[#This Row],[Harga Beli Pcs
(-PPN)]]*1.11</f>
        <v>0</v>
      </c>
      <c r="AN599" s="42">
        <f>Table43[[#This Row],[Harga Beli Krt
(- PPN)]]*1.11</f>
        <v>0</v>
      </c>
      <c r="AO599" s="42"/>
      <c r="AP599" s="42">
        <f>Table43[[#This Row],[Harga Jual Pcs GT
(-PPN)]]*Table43[[#This Row],[ISI/CTN]]</f>
        <v>0</v>
      </c>
      <c r="AQ599" s="42">
        <f>Table43[[#This Row],[Harga Jual Pcs GT
(-PPN)]]*1.11</f>
        <v>0</v>
      </c>
      <c r="AR599" s="42">
        <f>Table43[[#This Row],[Harga Jual Krt GT
(- PPN)]]*1.11</f>
        <v>0</v>
      </c>
      <c r="AS599" s="42">
        <f>Table43[[#This Row],[Harga Jual Pcs GT
(-PPN)]]</f>
        <v>0</v>
      </c>
      <c r="AT599" s="42">
        <f>(Table43[[#This Row],[Harga Jual Pcs MT
(-PPN)]]*Table43[[#This Row],[ISI/CTN]])</f>
        <v>0</v>
      </c>
      <c r="AU599" s="42">
        <f>Table43[[#This Row],[Harga Jual Pcs MT
(-PPN)]]*1.11</f>
        <v>0</v>
      </c>
      <c r="AV599" s="42">
        <f>Table43[[#This Row],[Harga Jual Pcs MT
(+PPN)]]*Table43[[#This Row],[ISI/CTN]]</f>
        <v>0</v>
      </c>
      <c r="AW599" s="47"/>
      <c r="AX599" s="7"/>
      <c r="AY599" s="7" t="str">
        <f ca="1">IF(TODAY()-Table43[[#This Row],[Efektif
Pembuatan]]&gt;60,"Lama","Baru")</f>
        <v>Lama</v>
      </c>
      <c r="AZ599" s="7" t="str">
        <f ca="1">IF(TODAY()-Table43[[#This Row],[Efektif Naik Harga]]&lt;30,"Naik","Sama")</f>
        <v>Sama</v>
      </c>
      <c r="BA599" s="7" t="str">
        <f>IF(Table43[[#This Row],[Kode BARANG Win2]]&lt;&gt;"","IDR","")</f>
        <v>IDR</v>
      </c>
      <c r="BB599" s="7" t="str">
        <f>CONCATENATE(Table43[[#This Row],[kode  1 Digit
(Nomor)]],Table43[[#This Row],[kode  4 Digit                (Nomor)]])</f>
        <v>20065</v>
      </c>
      <c r="BC599" s="7" t="str">
        <f>Table43[[#This Row],[Nama            Gramasi atau Jumlah Pack per CTN]]</f>
        <v>65GR</v>
      </c>
      <c r="BD599" s="7"/>
      <c r="BE599" s="7"/>
      <c r="BF599" s="4" t="str">
        <f>IF(Table43[[#This Row],[SATUAN Fix Win]]&lt;&gt;"","KRT")</f>
        <v>KRT</v>
      </c>
      <c r="BG599" s="4" t="str">
        <f>IF(Table43[[#This Row],[SATUAN Fix Win]]&lt;&gt;"","GD01")</f>
        <v>GD01</v>
      </c>
      <c r="BH599" s="4">
        <f>IF(Table43[[#This Row],[SATUAN Fix Win]]&lt;&gt;"",11611)</f>
        <v>11611</v>
      </c>
      <c r="BI599" s="4">
        <f>IF(Table43[[#This Row],[SATUAN Fix Win]]&lt;&gt;"",11612)</f>
        <v>11612</v>
      </c>
      <c r="BJ599" s="48"/>
      <c r="BK599" s="4">
        <f>IF(Table43[[#This Row],[SATUAN Fix Win]]&lt;&gt;"",1)</f>
        <v>1</v>
      </c>
    </row>
    <row r="600" spans="1:63">
      <c r="A600" s="4" t="str">
        <f>CONCATENATE(Table43[[#This Row],[Kode BARANG Win2]],Table43[[#This Row],[No. Urut
Item Sama]])</f>
        <v>K14700020150101</v>
      </c>
      <c r="B600" s="7">
        <v>1</v>
      </c>
      <c r="D600" s="28" t="s">
        <v>379</v>
      </c>
      <c r="E600" s="28"/>
      <c r="F600" s="28" t="s">
        <v>3336</v>
      </c>
      <c r="G600" s="78">
        <v>36</v>
      </c>
      <c r="H600" s="43"/>
      <c r="I600" s="28" t="str">
        <f>Table43[[#This Row],[Nama Jenis Kemasan]]</f>
        <v>TUBE</v>
      </c>
      <c r="J600" s="4" t="str">
        <f>TRIM(CONCATENATE(Table43[[#This Row],[Nama            KLP]]," ",Table43[[#This Row],[Nama            Sub KLP]]))</f>
        <v>SASHA PASTA</v>
      </c>
      <c r="K600" s="4" t="str">
        <f>CONCATENATE(Table43[[#This Row],[kode  2 Digit                (hrf+No)]],Table43[[#This Row],[kode  2 Digit                (Nomor)]],Table43[[#This Row],[kode  1 Digit                (Nomor)]])</f>
        <v>K1470</v>
      </c>
      <c r="L600" s="4" t="str">
        <f t="shared" si="30"/>
        <v>K1470002015010</v>
      </c>
      <c r="M600" s="11">
        <f t="shared" si="31"/>
        <v>14</v>
      </c>
      <c r="N600" s="14" t="str">
        <f>IF(AF600&lt;&gt;"",TRIM(UPPER(CONCATENATE(P600," ",R600," ",T600," ",V600," ",X600," ",Z600," ","X"," ",Table43[[#This Row],[ISI/CTN]]," ",AF600," ",AB600," ",AD600," ",AH600))),TRIM(UPPER(CONCATENATE(P600," ",R600," ",T600," ",V600," ",X600," ",Z600," ","X"," ",Table43[[#This Row],[ISI/CTN]]," ",AB600," ",AD600," ",AH600))))</f>
        <v>KNF SASHA PASTA GIGI BERLUBANG 150GR X 36 TUBE</v>
      </c>
      <c r="O600" s="11">
        <f t="shared" si="32"/>
        <v>46</v>
      </c>
      <c r="P600" s="4" t="s">
        <v>97</v>
      </c>
      <c r="Q600" s="7" t="s">
        <v>98</v>
      </c>
      <c r="R600" s="4" t="s">
        <v>3998</v>
      </c>
      <c r="S600" s="44" t="s">
        <v>3999</v>
      </c>
      <c r="T600" s="45" t="s">
        <v>2961</v>
      </c>
      <c r="U600" s="7" t="s">
        <v>2900</v>
      </c>
      <c r="V600" s="45" t="s">
        <v>2961</v>
      </c>
      <c r="W600" s="44" t="s">
        <v>2900</v>
      </c>
      <c r="X600" s="4" t="s">
        <v>4002</v>
      </c>
      <c r="Y600" s="46" t="s">
        <v>2472</v>
      </c>
      <c r="Z600" s="4" t="s">
        <v>3600</v>
      </c>
      <c r="AA600" s="46" t="s">
        <v>2482</v>
      </c>
      <c r="AB600" s="4" t="s">
        <v>1021</v>
      </c>
      <c r="AC600" s="7" t="s">
        <v>2656</v>
      </c>
      <c r="AD600" s="4" t="s">
        <v>2961</v>
      </c>
      <c r="AE600" s="7" t="s">
        <v>2900</v>
      </c>
      <c r="AF600" s="7" t="s">
        <v>2961</v>
      </c>
      <c r="AG600" s="7" t="s">
        <v>2961</v>
      </c>
      <c r="AI600" s="7" t="s">
        <v>2463</v>
      </c>
      <c r="AJ600" s="7" t="s">
        <v>3562</v>
      </c>
      <c r="AK600" s="41">
        <f>Table43[[#This Row],[Harga Jual Pcs GT
(-PPN)]]-(Table43[[#This Row],[Harga Jual Pcs GT
(-PPN)]]*10%)</f>
        <v>0</v>
      </c>
      <c r="AL600" s="42">
        <f>Table43[[#This Row],[Harga Beli Pcs
(-PPN)]]*Table43[[#This Row],[ISI/CTN]]</f>
        <v>0</v>
      </c>
      <c r="AM600" s="42">
        <f>Table43[[#This Row],[Harga Beli Pcs
(-PPN)]]*1.11</f>
        <v>0</v>
      </c>
      <c r="AN600" s="42">
        <f>Table43[[#This Row],[Harga Beli Krt
(- PPN)]]*1.11</f>
        <v>0</v>
      </c>
      <c r="AO600" s="42"/>
      <c r="AP600" s="42">
        <f>Table43[[#This Row],[Harga Jual Pcs GT
(-PPN)]]*Table43[[#This Row],[ISI/CTN]]</f>
        <v>0</v>
      </c>
      <c r="AQ600" s="42">
        <f>Table43[[#This Row],[Harga Jual Pcs GT
(-PPN)]]*1.11</f>
        <v>0</v>
      </c>
      <c r="AR600" s="42">
        <f>Table43[[#This Row],[Harga Jual Krt GT
(- PPN)]]*1.11</f>
        <v>0</v>
      </c>
      <c r="AS600" s="42">
        <f>Table43[[#This Row],[Harga Jual Pcs GT
(-PPN)]]</f>
        <v>0</v>
      </c>
      <c r="AT600" s="42">
        <f>(Table43[[#This Row],[Harga Jual Pcs MT
(-PPN)]]*Table43[[#This Row],[ISI/CTN]])</f>
        <v>0</v>
      </c>
      <c r="AU600" s="42">
        <f>Table43[[#This Row],[Harga Jual Pcs MT
(-PPN)]]*1.11</f>
        <v>0</v>
      </c>
      <c r="AV600" s="42">
        <f>Table43[[#This Row],[Harga Jual Pcs MT
(+PPN)]]*Table43[[#This Row],[ISI/CTN]]</f>
        <v>0</v>
      </c>
      <c r="AW600" s="47"/>
      <c r="AX600" s="7"/>
      <c r="AY600" s="7" t="str">
        <f ca="1">IF(TODAY()-Table43[[#This Row],[Efektif
Pembuatan]]&gt;60,"Lama","Baru")</f>
        <v>Lama</v>
      </c>
      <c r="AZ600" s="7" t="str">
        <f ca="1">IF(TODAY()-Table43[[#This Row],[Efektif Naik Harga]]&lt;30,"Naik","Sama")</f>
        <v>Sama</v>
      </c>
      <c r="BA600" s="7" t="str">
        <f>IF(Table43[[#This Row],[Kode BARANG Win2]]&lt;&gt;"","IDR","")</f>
        <v>IDR</v>
      </c>
      <c r="BB600" s="7" t="str">
        <f>CONCATENATE(Table43[[#This Row],[kode  1 Digit
(Nomor)]],Table43[[#This Row],[kode  4 Digit                (Nomor)]])</f>
        <v>20150</v>
      </c>
      <c r="BC600" s="7" t="str">
        <f>Table43[[#This Row],[Nama            Gramasi atau Jumlah Pack per CTN]]</f>
        <v>150GR</v>
      </c>
      <c r="BD600" s="7"/>
      <c r="BE600" s="7"/>
      <c r="BF600" s="4" t="str">
        <f>IF(Table43[[#This Row],[SATUAN Fix Win]]&lt;&gt;"","KRT")</f>
        <v>KRT</v>
      </c>
      <c r="BG600" s="4" t="str">
        <f>IF(Table43[[#This Row],[SATUAN Fix Win]]&lt;&gt;"","GD01")</f>
        <v>GD01</v>
      </c>
      <c r="BH600" s="4">
        <f>IF(Table43[[#This Row],[SATUAN Fix Win]]&lt;&gt;"",11611)</f>
        <v>11611</v>
      </c>
      <c r="BI600" s="4">
        <f>IF(Table43[[#This Row],[SATUAN Fix Win]]&lt;&gt;"",11612)</f>
        <v>11612</v>
      </c>
      <c r="BJ600" s="48"/>
      <c r="BK600" s="4">
        <f>IF(Table43[[#This Row],[SATUAN Fix Win]]&lt;&gt;"",1)</f>
        <v>1</v>
      </c>
    </row>
    <row r="601" spans="1:63">
      <c r="A601" s="4" t="str">
        <f>CONCATENATE(Table43[[#This Row],[Kode BARANG Win2]],Table43[[#This Row],[No. Urut
Item Sama]])</f>
        <v>K14700020150111</v>
      </c>
      <c r="B601" s="7">
        <v>1</v>
      </c>
      <c r="D601" s="28" t="s">
        <v>380</v>
      </c>
      <c r="E601" s="28"/>
      <c r="F601" s="28" t="s">
        <v>3337</v>
      </c>
      <c r="G601" s="78">
        <v>36</v>
      </c>
      <c r="H601" s="43"/>
      <c r="I601" s="28" t="str">
        <f>Table43[[#This Row],[Nama Jenis Kemasan]]</f>
        <v>TUBE</v>
      </c>
      <c r="J601" s="4" t="str">
        <f>TRIM(CONCATENATE(Table43[[#This Row],[Nama            KLP]]," ",Table43[[#This Row],[Nama            Sub KLP]]))</f>
        <v>SASHA PASTA</v>
      </c>
      <c r="K601" s="4" t="str">
        <f>CONCATENATE(Table43[[#This Row],[kode  2 Digit                (hrf+No)]],Table43[[#This Row],[kode  2 Digit                (Nomor)]],Table43[[#This Row],[kode  1 Digit                (Nomor)]])</f>
        <v>K1470</v>
      </c>
      <c r="L601" s="4" t="str">
        <f t="shared" si="30"/>
        <v>K1470002015011</v>
      </c>
      <c r="M601" s="11">
        <f t="shared" si="31"/>
        <v>14</v>
      </c>
      <c r="N601" s="14" t="str">
        <f>IF(AF601&lt;&gt;"",TRIM(UPPER(CONCATENATE(P601," ",R601," ",T601," ",V601," ",X601," ",Z601," ","X"," ",Table43[[#This Row],[ISI/CTN]]," ",AF601," ",AB601," ",AD601," ",AH601))),TRIM(UPPER(CONCATENATE(P601," ",R601," ",T601," ",V601," ",X601," ",Z601," ","X"," ",Table43[[#This Row],[ISI/CTN]]," ",AB601," ",AD601," ",AH601))))</f>
        <v>KNF SASHA PASTA GIGI BERLUBANG 150GR X 36 TUBE</v>
      </c>
      <c r="O601" s="11">
        <f t="shared" si="32"/>
        <v>46</v>
      </c>
      <c r="P601" s="4" t="s">
        <v>97</v>
      </c>
      <c r="Q601" s="7" t="s">
        <v>98</v>
      </c>
      <c r="R601" s="4" t="s">
        <v>3998</v>
      </c>
      <c r="S601" s="44" t="s">
        <v>3999</v>
      </c>
      <c r="T601" s="45" t="s">
        <v>2961</v>
      </c>
      <c r="U601" s="7" t="s">
        <v>2900</v>
      </c>
      <c r="V601" s="45" t="s">
        <v>2961</v>
      </c>
      <c r="W601" s="44" t="s">
        <v>2900</v>
      </c>
      <c r="X601" s="4" t="s">
        <v>4002</v>
      </c>
      <c r="Y601" s="46" t="s">
        <v>2472</v>
      </c>
      <c r="Z601" s="4" t="s">
        <v>3600</v>
      </c>
      <c r="AA601" s="46" t="s">
        <v>2482</v>
      </c>
      <c r="AB601" s="4" t="s">
        <v>1021</v>
      </c>
      <c r="AC601" s="7" t="s">
        <v>2656</v>
      </c>
      <c r="AD601" s="4" t="s">
        <v>2961</v>
      </c>
      <c r="AE601" s="7" t="s">
        <v>2656</v>
      </c>
      <c r="AF601" s="7" t="s">
        <v>2961</v>
      </c>
      <c r="AG601" s="7" t="s">
        <v>2961</v>
      </c>
      <c r="AI601" s="7" t="s">
        <v>2463</v>
      </c>
      <c r="AJ601" s="7" t="s">
        <v>3562</v>
      </c>
      <c r="AK601" s="41">
        <f>Table43[[#This Row],[Harga Jual Pcs GT
(-PPN)]]-(Table43[[#This Row],[Harga Jual Pcs GT
(-PPN)]]*10%)</f>
        <v>0</v>
      </c>
      <c r="AL601" s="42">
        <f>Table43[[#This Row],[Harga Beli Pcs
(-PPN)]]*Table43[[#This Row],[ISI/CTN]]</f>
        <v>0</v>
      </c>
      <c r="AM601" s="42">
        <f>Table43[[#This Row],[Harga Beli Pcs
(-PPN)]]*1.11</f>
        <v>0</v>
      </c>
      <c r="AN601" s="42">
        <f>Table43[[#This Row],[Harga Beli Krt
(- PPN)]]*1.11</f>
        <v>0</v>
      </c>
      <c r="AO601" s="42"/>
      <c r="AP601" s="42">
        <f>Table43[[#This Row],[Harga Jual Pcs GT
(-PPN)]]*Table43[[#This Row],[ISI/CTN]]</f>
        <v>0</v>
      </c>
      <c r="AQ601" s="42">
        <f>Table43[[#This Row],[Harga Jual Pcs GT
(-PPN)]]*1.11</f>
        <v>0</v>
      </c>
      <c r="AR601" s="42">
        <f>Table43[[#This Row],[Harga Jual Krt GT
(- PPN)]]*1.11</f>
        <v>0</v>
      </c>
      <c r="AS601" s="42">
        <f>Table43[[#This Row],[Harga Jual Pcs GT
(-PPN)]]</f>
        <v>0</v>
      </c>
      <c r="AT601" s="42">
        <f>(Table43[[#This Row],[Harga Jual Pcs MT
(-PPN)]]*Table43[[#This Row],[ISI/CTN]])</f>
        <v>0</v>
      </c>
      <c r="AU601" s="42">
        <f>Table43[[#This Row],[Harga Jual Pcs MT
(-PPN)]]*1.11</f>
        <v>0</v>
      </c>
      <c r="AV601" s="42">
        <f>Table43[[#This Row],[Harga Jual Pcs MT
(+PPN)]]*Table43[[#This Row],[ISI/CTN]]</f>
        <v>0</v>
      </c>
      <c r="AW601" s="47"/>
      <c r="AX601" s="7"/>
      <c r="AY601" s="7" t="str">
        <f ca="1">IF(TODAY()-Table43[[#This Row],[Efektif
Pembuatan]]&gt;60,"Lama","Baru")</f>
        <v>Lama</v>
      </c>
      <c r="AZ601" s="7" t="str">
        <f ca="1">IF(TODAY()-Table43[[#This Row],[Efektif Naik Harga]]&lt;30,"Naik","Sama")</f>
        <v>Sama</v>
      </c>
      <c r="BA601" s="7" t="str">
        <f>IF(Table43[[#This Row],[Kode BARANG Win2]]&lt;&gt;"","IDR","")</f>
        <v>IDR</v>
      </c>
      <c r="BB601" s="7" t="str">
        <f>CONCATENATE(Table43[[#This Row],[kode  1 Digit
(Nomor)]],Table43[[#This Row],[kode  4 Digit                (Nomor)]])</f>
        <v>20150</v>
      </c>
      <c r="BC601" s="7" t="str">
        <f>Table43[[#This Row],[Nama            Gramasi atau Jumlah Pack per CTN]]</f>
        <v>150GR</v>
      </c>
      <c r="BD601" s="7"/>
      <c r="BE601" s="7"/>
      <c r="BF601" s="4" t="str">
        <f>IF(Table43[[#This Row],[SATUAN Fix Win]]&lt;&gt;"","KRT")</f>
        <v>KRT</v>
      </c>
      <c r="BG601" s="4" t="str">
        <f>IF(Table43[[#This Row],[SATUAN Fix Win]]&lt;&gt;"","GD01")</f>
        <v>GD01</v>
      </c>
      <c r="BH601" s="4">
        <f>IF(Table43[[#This Row],[SATUAN Fix Win]]&lt;&gt;"",11611)</f>
        <v>11611</v>
      </c>
      <c r="BI601" s="4">
        <f>IF(Table43[[#This Row],[SATUAN Fix Win]]&lt;&gt;"",11612)</f>
        <v>11612</v>
      </c>
      <c r="BJ601" s="48"/>
      <c r="BK601" s="4">
        <f>IF(Table43[[#This Row],[SATUAN Fix Win]]&lt;&gt;"",1)</f>
        <v>1</v>
      </c>
    </row>
    <row r="602" spans="1:63">
      <c r="A602" s="4" t="str">
        <f>CONCATENATE(Table43[[#This Row],[Kode BARANG Win2]],Table43[[#This Row],[No. Urut
Item Sama]])</f>
        <v>K14700030065101</v>
      </c>
      <c r="B602" s="7">
        <v>1</v>
      </c>
      <c r="D602" s="28" t="s">
        <v>381</v>
      </c>
      <c r="E602" s="28"/>
      <c r="F602" s="28" t="s">
        <v>3338</v>
      </c>
      <c r="G602" s="78">
        <v>48</v>
      </c>
      <c r="H602" s="43"/>
      <c r="I602" s="28" t="str">
        <f>Table43[[#This Row],[Nama Jenis Kemasan]]</f>
        <v>TUBE</v>
      </c>
      <c r="J602" s="4" t="str">
        <f>TRIM(CONCATENATE(Table43[[#This Row],[Nama            KLP]]," ",Table43[[#This Row],[Nama            Sub KLP]]))</f>
        <v>SASHA PASTA</v>
      </c>
      <c r="K602" s="4" t="str">
        <f>CONCATENATE(Table43[[#This Row],[kode  2 Digit                (hrf+No)]],Table43[[#This Row],[kode  2 Digit                (Nomor)]],Table43[[#This Row],[kode  1 Digit                (Nomor)]])</f>
        <v>K1470</v>
      </c>
      <c r="L602" s="4" t="str">
        <f t="shared" si="30"/>
        <v>K1470003006510</v>
      </c>
      <c r="M602" s="11">
        <f t="shared" si="31"/>
        <v>14</v>
      </c>
      <c r="N602" s="14" t="str">
        <f>IF(AF602&lt;&gt;"",TRIM(UPPER(CONCATENATE(P602," ",R602," ",T602," ",V602," ",X602," ",Z602," ","X"," ",Table43[[#This Row],[ISI/CTN]]," ",AF602," ",AB602," ",AD602," ",AH602))),TRIM(UPPER(CONCATENATE(P602," ",R602," ",T602," ",V602," ",X602," ",Z602," ","X"," ",Table43[[#This Row],[ISI/CTN]]," ",AB602," ",AD602," ",AH602))))</f>
        <v>KNF SASHA PASTA WHITENING 65GR X 48 TUBE</v>
      </c>
      <c r="O602" s="11">
        <f t="shared" si="32"/>
        <v>40</v>
      </c>
      <c r="P602" s="4" t="s">
        <v>97</v>
      </c>
      <c r="Q602" s="7" t="s">
        <v>98</v>
      </c>
      <c r="R602" s="4" t="s">
        <v>3998</v>
      </c>
      <c r="S602" s="44" t="s">
        <v>3999</v>
      </c>
      <c r="T602" s="45" t="s">
        <v>2961</v>
      </c>
      <c r="U602" s="7" t="s">
        <v>2900</v>
      </c>
      <c r="V602" s="45" t="s">
        <v>2961</v>
      </c>
      <c r="W602" s="44" t="s">
        <v>2900</v>
      </c>
      <c r="X602" s="4" t="s">
        <v>3871</v>
      </c>
      <c r="Y602" s="46" t="s">
        <v>2473</v>
      </c>
      <c r="Z602" s="4" t="s">
        <v>4001</v>
      </c>
      <c r="AA602" s="46" t="s">
        <v>2501</v>
      </c>
      <c r="AB602" s="4" t="s">
        <v>1021</v>
      </c>
      <c r="AC602" s="7" t="s">
        <v>2656</v>
      </c>
      <c r="AD602" s="4" t="s">
        <v>2961</v>
      </c>
      <c r="AE602" s="7" t="s">
        <v>2900</v>
      </c>
      <c r="AF602" s="7" t="s">
        <v>2961</v>
      </c>
      <c r="AG602" s="7" t="s">
        <v>2961</v>
      </c>
      <c r="AI602" s="7" t="s">
        <v>2463</v>
      </c>
      <c r="AJ602" s="7" t="s">
        <v>3562</v>
      </c>
      <c r="AK602" s="41">
        <f>Table43[[#This Row],[Harga Jual Pcs GT
(-PPN)]]-(Table43[[#This Row],[Harga Jual Pcs GT
(-PPN)]]*10%)</f>
        <v>0</v>
      </c>
      <c r="AL602" s="42">
        <f>Table43[[#This Row],[Harga Beli Pcs
(-PPN)]]*Table43[[#This Row],[ISI/CTN]]</f>
        <v>0</v>
      </c>
      <c r="AM602" s="42">
        <f>Table43[[#This Row],[Harga Beli Pcs
(-PPN)]]*1.11</f>
        <v>0</v>
      </c>
      <c r="AN602" s="42">
        <f>Table43[[#This Row],[Harga Beli Krt
(- PPN)]]*1.11</f>
        <v>0</v>
      </c>
      <c r="AO602" s="42"/>
      <c r="AP602" s="42">
        <f>Table43[[#This Row],[Harga Jual Pcs GT
(-PPN)]]*Table43[[#This Row],[ISI/CTN]]</f>
        <v>0</v>
      </c>
      <c r="AQ602" s="42">
        <f>Table43[[#This Row],[Harga Jual Pcs GT
(-PPN)]]*1.11</f>
        <v>0</v>
      </c>
      <c r="AR602" s="42">
        <f>Table43[[#This Row],[Harga Jual Krt GT
(- PPN)]]*1.11</f>
        <v>0</v>
      </c>
      <c r="AS602" s="42">
        <f>Table43[[#This Row],[Harga Jual Pcs GT
(-PPN)]]</f>
        <v>0</v>
      </c>
      <c r="AT602" s="42">
        <f>(Table43[[#This Row],[Harga Jual Pcs MT
(-PPN)]]*Table43[[#This Row],[ISI/CTN]])</f>
        <v>0</v>
      </c>
      <c r="AU602" s="42">
        <f>Table43[[#This Row],[Harga Jual Pcs MT
(-PPN)]]*1.11</f>
        <v>0</v>
      </c>
      <c r="AV602" s="42">
        <f>Table43[[#This Row],[Harga Jual Pcs MT
(+PPN)]]*Table43[[#This Row],[ISI/CTN]]</f>
        <v>0</v>
      </c>
      <c r="AW602" s="47"/>
      <c r="AX602" s="7"/>
      <c r="AY602" s="7" t="str">
        <f ca="1">IF(TODAY()-Table43[[#This Row],[Efektif
Pembuatan]]&gt;60,"Lama","Baru")</f>
        <v>Lama</v>
      </c>
      <c r="AZ602" s="7" t="str">
        <f ca="1">IF(TODAY()-Table43[[#This Row],[Efektif Naik Harga]]&lt;30,"Naik","Sama")</f>
        <v>Sama</v>
      </c>
      <c r="BA602" s="7" t="str">
        <f>IF(Table43[[#This Row],[Kode BARANG Win2]]&lt;&gt;"","IDR","")</f>
        <v>IDR</v>
      </c>
      <c r="BB602" s="7" t="str">
        <f>CONCATENATE(Table43[[#This Row],[kode  1 Digit
(Nomor)]],Table43[[#This Row],[kode  4 Digit                (Nomor)]])</f>
        <v>20065</v>
      </c>
      <c r="BC602" s="7" t="str">
        <f>Table43[[#This Row],[Nama            Gramasi atau Jumlah Pack per CTN]]</f>
        <v>65GR</v>
      </c>
      <c r="BD602" s="7"/>
      <c r="BE602" s="7"/>
      <c r="BF602" s="4" t="str">
        <f>IF(Table43[[#This Row],[SATUAN Fix Win]]&lt;&gt;"","KRT")</f>
        <v>KRT</v>
      </c>
      <c r="BG602" s="4" t="str">
        <f>IF(Table43[[#This Row],[SATUAN Fix Win]]&lt;&gt;"","GD01")</f>
        <v>GD01</v>
      </c>
      <c r="BH602" s="4">
        <f>IF(Table43[[#This Row],[SATUAN Fix Win]]&lt;&gt;"",11611)</f>
        <v>11611</v>
      </c>
      <c r="BI602" s="4">
        <f>IF(Table43[[#This Row],[SATUAN Fix Win]]&lt;&gt;"",11612)</f>
        <v>11612</v>
      </c>
      <c r="BJ602" s="48"/>
      <c r="BK602" s="4">
        <f>IF(Table43[[#This Row],[SATUAN Fix Win]]&lt;&gt;"",1)</f>
        <v>1</v>
      </c>
    </row>
    <row r="603" spans="1:63">
      <c r="A603" s="4" t="str">
        <f>CONCATENATE(Table43[[#This Row],[Kode BARANG Win2]],Table43[[#This Row],[No. Urut
Item Sama]])</f>
        <v>K14700030065111</v>
      </c>
      <c r="B603" s="7">
        <v>1</v>
      </c>
      <c r="D603" s="28" t="s">
        <v>382</v>
      </c>
      <c r="E603" s="28"/>
      <c r="F603" s="28" t="s">
        <v>3339</v>
      </c>
      <c r="G603" s="78">
        <v>48</v>
      </c>
      <c r="H603" s="43"/>
      <c r="I603" s="28" t="str">
        <f>Table43[[#This Row],[Nama Jenis Kemasan]]</f>
        <v>TUBE</v>
      </c>
      <c r="J603" s="4" t="str">
        <f>TRIM(CONCATENATE(Table43[[#This Row],[Nama            KLP]]," ",Table43[[#This Row],[Nama            Sub KLP]]))</f>
        <v>SASHA PASTA</v>
      </c>
      <c r="K603" s="4" t="str">
        <f>CONCATENATE(Table43[[#This Row],[kode  2 Digit                (hrf+No)]],Table43[[#This Row],[kode  2 Digit                (Nomor)]],Table43[[#This Row],[kode  1 Digit                (Nomor)]])</f>
        <v>K1470</v>
      </c>
      <c r="L603" s="4" t="str">
        <f t="shared" si="30"/>
        <v>K1470003006511</v>
      </c>
      <c r="M603" s="11">
        <f t="shared" si="31"/>
        <v>14</v>
      </c>
      <c r="N603" s="14" t="str">
        <f>IF(AF603&lt;&gt;"",TRIM(UPPER(CONCATENATE(P603," ",R603," ",T603," ",V603," ",X603," ",Z603," ","X"," ",Table43[[#This Row],[ISI/CTN]]," ",AF603," ",AB603," ",AD603," ",AH603))),TRIM(UPPER(CONCATENATE(P603," ",R603," ",T603," ",V603," ",X603," ",Z603," ","X"," ",Table43[[#This Row],[ISI/CTN]]," ",AB603," ",AD603," ",AH603))))</f>
        <v>KNF SASHA PASTA WHITENING 65GR X 48 TUBE</v>
      </c>
      <c r="O603" s="11">
        <f t="shared" si="32"/>
        <v>40</v>
      </c>
      <c r="P603" s="4" t="s">
        <v>97</v>
      </c>
      <c r="Q603" s="7" t="s">
        <v>98</v>
      </c>
      <c r="R603" s="4" t="s">
        <v>3998</v>
      </c>
      <c r="S603" s="44" t="s">
        <v>3999</v>
      </c>
      <c r="T603" s="45" t="s">
        <v>2961</v>
      </c>
      <c r="U603" s="7" t="s">
        <v>2900</v>
      </c>
      <c r="V603" s="45" t="s">
        <v>2961</v>
      </c>
      <c r="W603" s="44" t="s">
        <v>2900</v>
      </c>
      <c r="X603" s="4" t="s">
        <v>3871</v>
      </c>
      <c r="Y603" s="46" t="s">
        <v>2473</v>
      </c>
      <c r="Z603" s="4" t="s">
        <v>4001</v>
      </c>
      <c r="AA603" s="46" t="s">
        <v>2501</v>
      </c>
      <c r="AB603" s="4" t="s">
        <v>1021</v>
      </c>
      <c r="AC603" s="7" t="s">
        <v>2656</v>
      </c>
      <c r="AD603" s="4" t="s">
        <v>2961</v>
      </c>
      <c r="AE603" s="7" t="s">
        <v>2656</v>
      </c>
      <c r="AF603" s="7" t="s">
        <v>2961</v>
      </c>
      <c r="AG603" s="7" t="s">
        <v>2961</v>
      </c>
      <c r="AI603" s="7" t="s">
        <v>2463</v>
      </c>
      <c r="AJ603" s="7" t="s">
        <v>3562</v>
      </c>
      <c r="AK603" s="41">
        <f>Table43[[#This Row],[Harga Jual Pcs GT
(-PPN)]]-(Table43[[#This Row],[Harga Jual Pcs GT
(-PPN)]]*10%)</f>
        <v>0</v>
      </c>
      <c r="AL603" s="42">
        <f>Table43[[#This Row],[Harga Beli Pcs
(-PPN)]]*Table43[[#This Row],[ISI/CTN]]</f>
        <v>0</v>
      </c>
      <c r="AM603" s="42">
        <f>Table43[[#This Row],[Harga Beli Pcs
(-PPN)]]*1.11</f>
        <v>0</v>
      </c>
      <c r="AN603" s="42">
        <f>Table43[[#This Row],[Harga Beli Krt
(- PPN)]]*1.11</f>
        <v>0</v>
      </c>
      <c r="AO603" s="42"/>
      <c r="AP603" s="42">
        <f>Table43[[#This Row],[Harga Jual Pcs GT
(-PPN)]]*Table43[[#This Row],[ISI/CTN]]</f>
        <v>0</v>
      </c>
      <c r="AQ603" s="42">
        <f>Table43[[#This Row],[Harga Jual Pcs GT
(-PPN)]]*1.11</f>
        <v>0</v>
      </c>
      <c r="AR603" s="42">
        <f>Table43[[#This Row],[Harga Jual Krt GT
(- PPN)]]*1.11</f>
        <v>0</v>
      </c>
      <c r="AS603" s="42">
        <f>Table43[[#This Row],[Harga Jual Pcs GT
(-PPN)]]</f>
        <v>0</v>
      </c>
      <c r="AT603" s="42">
        <f>(Table43[[#This Row],[Harga Jual Pcs MT
(-PPN)]]*Table43[[#This Row],[ISI/CTN]])</f>
        <v>0</v>
      </c>
      <c r="AU603" s="42">
        <f>Table43[[#This Row],[Harga Jual Pcs MT
(-PPN)]]*1.11</f>
        <v>0</v>
      </c>
      <c r="AV603" s="42">
        <f>Table43[[#This Row],[Harga Jual Pcs MT
(+PPN)]]*Table43[[#This Row],[ISI/CTN]]</f>
        <v>0</v>
      </c>
      <c r="AW603" s="47"/>
      <c r="AX603" s="7"/>
      <c r="AY603" s="7" t="str">
        <f ca="1">IF(TODAY()-Table43[[#This Row],[Efektif
Pembuatan]]&gt;60,"Lama","Baru")</f>
        <v>Lama</v>
      </c>
      <c r="AZ603" s="7" t="str">
        <f ca="1">IF(TODAY()-Table43[[#This Row],[Efektif Naik Harga]]&lt;30,"Naik","Sama")</f>
        <v>Sama</v>
      </c>
      <c r="BA603" s="7" t="str">
        <f>IF(Table43[[#This Row],[Kode BARANG Win2]]&lt;&gt;"","IDR","")</f>
        <v>IDR</v>
      </c>
      <c r="BB603" s="7" t="str">
        <f>CONCATENATE(Table43[[#This Row],[kode  1 Digit
(Nomor)]],Table43[[#This Row],[kode  4 Digit                (Nomor)]])</f>
        <v>20065</v>
      </c>
      <c r="BC603" s="7" t="str">
        <f>Table43[[#This Row],[Nama            Gramasi atau Jumlah Pack per CTN]]</f>
        <v>65GR</v>
      </c>
      <c r="BD603" s="7"/>
      <c r="BE603" s="7"/>
      <c r="BF603" s="4" t="str">
        <f>IF(Table43[[#This Row],[SATUAN Fix Win]]&lt;&gt;"","KRT")</f>
        <v>KRT</v>
      </c>
      <c r="BG603" s="4" t="str">
        <f>IF(Table43[[#This Row],[SATUAN Fix Win]]&lt;&gt;"","GD01")</f>
        <v>GD01</v>
      </c>
      <c r="BH603" s="4">
        <f>IF(Table43[[#This Row],[SATUAN Fix Win]]&lt;&gt;"",11611)</f>
        <v>11611</v>
      </c>
      <c r="BI603" s="4">
        <f>IF(Table43[[#This Row],[SATUAN Fix Win]]&lt;&gt;"",11612)</f>
        <v>11612</v>
      </c>
      <c r="BJ603" s="48"/>
      <c r="BK603" s="4">
        <f>IF(Table43[[#This Row],[SATUAN Fix Win]]&lt;&gt;"",1)</f>
        <v>1</v>
      </c>
    </row>
    <row r="604" spans="1:63">
      <c r="A604" s="4" t="str">
        <f>CONCATENATE(Table43[[#This Row],[Kode BARANG Win2]],Table43[[#This Row],[No. Urut
Item Sama]])</f>
        <v>K14700030150101</v>
      </c>
      <c r="B604" s="7">
        <v>1</v>
      </c>
      <c r="D604" s="28" t="s">
        <v>384</v>
      </c>
      <c r="E604" s="28"/>
      <c r="F604" s="28" t="s">
        <v>3341</v>
      </c>
      <c r="G604" s="78">
        <v>36</v>
      </c>
      <c r="H604" s="43"/>
      <c r="I604" s="28" t="str">
        <f>Table43[[#This Row],[Nama Jenis Kemasan]]</f>
        <v>TUBE</v>
      </c>
      <c r="J604" s="4" t="str">
        <f>TRIM(CONCATENATE(Table43[[#This Row],[Nama            KLP]]," ",Table43[[#This Row],[Nama            Sub KLP]]))</f>
        <v>SASHA PASTA</v>
      </c>
      <c r="K604" s="4" t="str">
        <f>CONCATENATE(Table43[[#This Row],[kode  2 Digit                (hrf+No)]],Table43[[#This Row],[kode  2 Digit                (Nomor)]],Table43[[#This Row],[kode  1 Digit                (Nomor)]])</f>
        <v>K1470</v>
      </c>
      <c r="L604" s="4" t="str">
        <f t="shared" si="30"/>
        <v>K1470003015010</v>
      </c>
      <c r="M604" s="11">
        <f t="shared" si="31"/>
        <v>14</v>
      </c>
      <c r="N604" s="14" t="str">
        <f>IF(AF604&lt;&gt;"",TRIM(UPPER(CONCATENATE(P604," ",R604," ",T604," ",V604," ",X604," ",Z604," ","X"," ",Table43[[#This Row],[ISI/CTN]]," ",AF604," ",AB604," ",AD604," ",AH604))),TRIM(UPPER(CONCATENATE(P604," ",R604," ",T604," ",V604," ",X604," ",Z604," ","X"," ",Table43[[#This Row],[ISI/CTN]]," ",AB604," ",AD604," ",AH604))))</f>
        <v>KNF SASHA PASTA WHITENING 150GR X 36 TUBE</v>
      </c>
      <c r="O604" s="11">
        <f t="shared" si="32"/>
        <v>41</v>
      </c>
      <c r="P604" s="4" t="s">
        <v>97</v>
      </c>
      <c r="Q604" s="7" t="s">
        <v>98</v>
      </c>
      <c r="R604" s="4" t="s">
        <v>3998</v>
      </c>
      <c r="S604" s="44" t="s">
        <v>3999</v>
      </c>
      <c r="T604" s="45" t="s">
        <v>2961</v>
      </c>
      <c r="U604" s="7" t="s">
        <v>2900</v>
      </c>
      <c r="V604" s="45" t="s">
        <v>2961</v>
      </c>
      <c r="W604" s="44" t="s">
        <v>2900</v>
      </c>
      <c r="X604" s="4" t="s">
        <v>3871</v>
      </c>
      <c r="Y604" s="46" t="s">
        <v>2473</v>
      </c>
      <c r="Z604" s="4" t="s">
        <v>3600</v>
      </c>
      <c r="AA604" s="46" t="s">
        <v>2482</v>
      </c>
      <c r="AB604" s="4" t="s">
        <v>1021</v>
      </c>
      <c r="AC604" s="7" t="s">
        <v>2656</v>
      </c>
      <c r="AD604" s="4" t="s">
        <v>2961</v>
      </c>
      <c r="AE604" s="7" t="s">
        <v>2900</v>
      </c>
      <c r="AF604" s="7" t="s">
        <v>2961</v>
      </c>
      <c r="AG604" s="7" t="s">
        <v>2961</v>
      </c>
      <c r="AI604" s="7" t="s">
        <v>2463</v>
      </c>
      <c r="AJ604" s="7" t="s">
        <v>3562</v>
      </c>
      <c r="AK604" s="41">
        <f>Table43[[#This Row],[Harga Jual Pcs GT
(-PPN)]]-(Table43[[#This Row],[Harga Jual Pcs GT
(-PPN)]]*10%)</f>
        <v>0</v>
      </c>
      <c r="AL604" s="42">
        <f>Table43[[#This Row],[Harga Beli Pcs
(-PPN)]]*Table43[[#This Row],[ISI/CTN]]</f>
        <v>0</v>
      </c>
      <c r="AM604" s="42">
        <f>Table43[[#This Row],[Harga Beli Pcs
(-PPN)]]*1.11</f>
        <v>0</v>
      </c>
      <c r="AN604" s="42">
        <f>Table43[[#This Row],[Harga Beli Krt
(- PPN)]]*1.11</f>
        <v>0</v>
      </c>
      <c r="AO604" s="42"/>
      <c r="AP604" s="42">
        <f>Table43[[#This Row],[Harga Jual Pcs GT
(-PPN)]]*Table43[[#This Row],[ISI/CTN]]</f>
        <v>0</v>
      </c>
      <c r="AQ604" s="42">
        <f>Table43[[#This Row],[Harga Jual Pcs GT
(-PPN)]]*1.11</f>
        <v>0</v>
      </c>
      <c r="AR604" s="42">
        <f>Table43[[#This Row],[Harga Jual Krt GT
(- PPN)]]*1.11</f>
        <v>0</v>
      </c>
      <c r="AS604" s="42">
        <f>Table43[[#This Row],[Harga Jual Pcs GT
(-PPN)]]</f>
        <v>0</v>
      </c>
      <c r="AT604" s="42">
        <f>(Table43[[#This Row],[Harga Jual Pcs MT
(-PPN)]]*Table43[[#This Row],[ISI/CTN]])</f>
        <v>0</v>
      </c>
      <c r="AU604" s="42">
        <f>Table43[[#This Row],[Harga Jual Pcs MT
(-PPN)]]*1.11</f>
        <v>0</v>
      </c>
      <c r="AV604" s="42">
        <f>Table43[[#This Row],[Harga Jual Pcs MT
(+PPN)]]*Table43[[#This Row],[ISI/CTN]]</f>
        <v>0</v>
      </c>
      <c r="AW604" s="47"/>
      <c r="AX604" s="7"/>
      <c r="AY604" s="7" t="str">
        <f ca="1">IF(TODAY()-Table43[[#This Row],[Efektif
Pembuatan]]&gt;60,"Lama","Baru")</f>
        <v>Lama</v>
      </c>
      <c r="AZ604" s="7" t="str">
        <f ca="1">IF(TODAY()-Table43[[#This Row],[Efektif Naik Harga]]&lt;30,"Naik","Sama")</f>
        <v>Sama</v>
      </c>
      <c r="BA604" s="7" t="str">
        <f>IF(Table43[[#This Row],[Kode BARANG Win2]]&lt;&gt;"","IDR","")</f>
        <v>IDR</v>
      </c>
      <c r="BB604" s="7" t="str">
        <f>CONCATENATE(Table43[[#This Row],[kode  1 Digit
(Nomor)]],Table43[[#This Row],[kode  4 Digit                (Nomor)]])</f>
        <v>20150</v>
      </c>
      <c r="BC604" s="7" t="str">
        <f>Table43[[#This Row],[Nama            Gramasi atau Jumlah Pack per CTN]]</f>
        <v>150GR</v>
      </c>
      <c r="BD604" s="7"/>
      <c r="BE604" s="7"/>
      <c r="BF604" s="4" t="str">
        <f>IF(Table43[[#This Row],[SATUAN Fix Win]]&lt;&gt;"","KRT")</f>
        <v>KRT</v>
      </c>
      <c r="BG604" s="4" t="str">
        <f>IF(Table43[[#This Row],[SATUAN Fix Win]]&lt;&gt;"","GD01")</f>
        <v>GD01</v>
      </c>
      <c r="BH604" s="4">
        <f>IF(Table43[[#This Row],[SATUAN Fix Win]]&lt;&gt;"",11611)</f>
        <v>11611</v>
      </c>
      <c r="BI604" s="4">
        <f>IF(Table43[[#This Row],[SATUAN Fix Win]]&lt;&gt;"",11612)</f>
        <v>11612</v>
      </c>
      <c r="BJ604" s="48"/>
      <c r="BK604" s="4">
        <f>IF(Table43[[#This Row],[SATUAN Fix Win]]&lt;&gt;"",1)</f>
        <v>1</v>
      </c>
    </row>
    <row r="605" spans="1:63">
      <c r="A605" s="4" t="str">
        <f>CONCATENATE(Table43[[#This Row],[Kode BARANG Win2]],Table43[[#This Row],[No. Urut
Item Sama]])</f>
        <v>K14700030150111</v>
      </c>
      <c r="B605" s="7">
        <v>1</v>
      </c>
      <c r="D605" s="28" t="s">
        <v>385</v>
      </c>
      <c r="E605" s="28"/>
      <c r="F605" s="28" t="s">
        <v>3342</v>
      </c>
      <c r="G605" s="78">
        <v>36</v>
      </c>
      <c r="H605" s="43"/>
      <c r="I605" s="28" t="str">
        <f>Table43[[#This Row],[Nama Jenis Kemasan]]</f>
        <v>TUBE</v>
      </c>
      <c r="J605" s="4" t="str">
        <f>TRIM(CONCATENATE(Table43[[#This Row],[Nama            KLP]]," ",Table43[[#This Row],[Nama            Sub KLP]]))</f>
        <v>SASHA PASTA</v>
      </c>
      <c r="K605" s="4" t="str">
        <f>CONCATENATE(Table43[[#This Row],[kode  2 Digit                (hrf+No)]],Table43[[#This Row],[kode  2 Digit                (Nomor)]],Table43[[#This Row],[kode  1 Digit                (Nomor)]])</f>
        <v>K1470</v>
      </c>
      <c r="L605" s="4" t="str">
        <f t="shared" si="30"/>
        <v>K1470003015011</v>
      </c>
      <c r="M605" s="11">
        <f t="shared" si="31"/>
        <v>14</v>
      </c>
      <c r="N605" s="14" t="str">
        <f>IF(AF605&lt;&gt;"",TRIM(UPPER(CONCATENATE(P605," ",R605," ",T605," ",V605," ",X605," ",Z605," ","X"," ",Table43[[#This Row],[ISI/CTN]]," ",AF605," ",AB605," ",AD605," ",AH605))),TRIM(UPPER(CONCATENATE(P605," ",R605," ",T605," ",V605," ",X605," ",Z605," ","X"," ",Table43[[#This Row],[ISI/CTN]]," ",AB605," ",AD605," ",AH605))))</f>
        <v>KNF SASHA PASTA WHITENING 150GR X 36 TUBE</v>
      </c>
      <c r="O605" s="11">
        <f t="shared" si="32"/>
        <v>41</v>
      </c>
      <c r="P605" s="4" t="s">
        <v>97</v>
      </c>
      <c r="Q605" s="7" t="s">
        <v>98</v>
      </c>
      <c r="R605" s="4" t="s">
        <v>3998</v>
      </c>
      <c r="S605" s="44" t="s">
        <v>3999</v>
      </c>
      <c r="T605" s="45" t="s">
        <v>2961</v>
      </c>
      <c r="U605" s="7" t="s">
        <v>2900</v>
      </c>
      <c r="V605" s="45" t="s">
        <v>2961</v>
      </c>
      <c r="W605" s="44" t="s">
        <v>2900</v>
      </c>
      <c r="X605" s="4" t="s">
        <v>3871</v>
      </c>
      <c r="Y605" s="46" t="s">
        <v>2473</v>
      </c>
      <c r="Z605" s="4" t="s">
        <v>3600</v>
      </c>
      <c r="AA605" s="46" t="s">
        <v>2482</v>
      </c>
      <c r="AB605" s="4" t="s">
        <v>1021</v>
      </c>
      <c r="AC605" s="7" t="s">
        <v>2656</v>
      </c>
      <c r="AD605" s="4" t="s">
        <v>2961</v>
      </c>
      <c r="AE605" s="7" t="s">
        <v>2656</v>
      </c>
      <c r="AF605" s="7" t="s">
        <v>2961</v>
      </c>
      <c r="AG605" s="7" t="s">
        <v>2961</v>
      </c>
      <c r="AI605" s="7" t="s">
        <v>2463</v>
      </c>
      <c r="AJ605" s="7" t="s">
        <v>3562</v>
      </c>
      <c r="AK605" s="41">
        <f>Table43[[#This Row],[Harga Jual Pcs GT
(-PPN)]]-(Table43[[#This Row],[Harga Jual Pcs GT
(-PPN)]]*10%)</f>
        <v>0</v>
      </c>
      <c r="AL605" s="42">
        <f>Table43[[#This Row],[Harga Beli Pcs
(-PPN)]]*Table43[[#This Row],[ISI/CTN]]</f>
        <v>0</v>
      </c>
      <c r="AM605" s="42">
        <f>Table43[[#This Row],[Harga Beli Pcs
(-PPN)]]*1.11</f>
        <v>0</v>
      </c>
      <c r="AN605" s="42">
        <f>Table43[[#This Row],[Harga Beli Krt
(- PPN)]]*1.11</f>
        <v>0</v>
      </c>
      <c r="AO605" s="42"/>
      <c r="AP605" s="42">
        <f>Table43[[#This Row],[Harga Jual Pcs GT
(-PPN)]]*Table43[[#This Row],[ISI/CTN]]</f>
        <v>0</v>
      </c>
      <c r="AQ605" s="42">
        <f>Table43[[#This Row],[Harga Jual Pcs GT
(-PPN)]]*1.11</f>
        <v>0</v>
      </c>
      <c r="AR605" s="42">
        <f>Table43[[#This Row],[Harga Jual Krt GT
(- PPN)]]*1.11</f>
        <v>0</v>
      </c>
      <c r="AS605" s="42">
        <f>Table43[[#This Row],[Harga Jual Pcs GT
(-PPN)]]</f>
        <v>0</v>
      </c>
      <c r="AT605" s="42">
        <f>(Table43[[#This Row],[Harga Jual Pcs MT
(-PPN)]]*Table43[[#This Row],[ISI/CTN]])</f>
        <v>0</v>
      </c>
      <c r="AU605" s="42">
        <f>Table43[[#This Row],[Harga Jual Pcs MT
(-PPN)]]*1.11</f>
        <v>0</v>
      </c>
      <c r="AV605" s="42">
        <f>Table43[[#This Row],[Harga Jual Pcs MT
(+PPN)]]*Table43[[#This Row],[ISI/CTN]]</f>
        <v>0</v>
      </c>
      <c r="AW605" s="47"/>
      <c r="AX605" s="7"/>
      <c r="AY605" s="7" t="str">
        <f ca="1">IF(TODAY()-Table43[[#This Row],[Efektif
Pembuatan]]&gt;60,"Lama","Baru")</f>
        <v>Lama</v>
      </c>
      <c r="AZ605" s="7" t="str">
        <f ca="1">IF(TODAY()-Table43[[#This Row],[Efektif Naik Harga]]&lt;30,"Naik","Sama")</f>
        <v>Sama</v>
      </c>
      <c r="BA605" s="7" t="str">
        <f>IF(Table43[[#This Row],[Kode BARANG Win2]]&lt;&gt;"","IDR","")</f>
        <v>IDR</v>
      </c>
      <c r="BB605" s="7" t="str">
        <f>CONCATENATE(Table43[[#This Row],[kode  1 Digit
(Nomor)]],Table43[[#This Row],[kode  4 Digit                (Nomor)]])</f>
        <v>20150</v>
      </c>
      <c r="BC605" s="7" t="str">
        <f>Table43[[#This Row],[Nama            Gramasi atau Jumlah Pack per CTN]]</f>
        <v>150GR</v>
      </c>
      <c r="BD605" s="7"/>
      <c r="BE605" s="7"/>
      <c r="BF605" s="4" t="str">
        <f>IF(Table43[[#This Row],[SATUAN Fix Win]]&lt;&gt;"","KRT")</f>
        <v>KRT</v>
      </c>
      <c r="BG605" s="4" t="str">
        <f>IF(Table43[[#This Row],[SATUAN Fix Win]]&lt;&gt;"","GD01")</f>
        <v>GD01</v>
      </c>
      <c r="BH605" s="4">
        <f>IF(Table43[[#This Row],[SATUAN Fix Win]]&lt;&gt;"",11611)</f>
        <v>11611</v>
      </c>
      <c r="BI605" s="4">
        <f>IF(Table43[[#This Row],[SATUAN Fix Win]]&lt;&gt;"",11612)</f>
        <v>11612</v>
      </c>
      <c r="BJ605" s="48"/>
      <c r="BK605" s="4">
        <f>IF(Table43[[#This Row],[SATUAN Fix Win]]&lt;&gt;"",1)</f>
        <v>1</v>
      </c>
    </row>
    <row r="606" spans="1:63">
      <c r="A606" s="4" t="str">
        <f>CONCATENATE(Table43[[#This Row],[Kode BARANG Win2]],Table43[[#This Row],[No. Urut
Item Sama]])</f>
        <v>K14800010400301</v>
      </c>
      <c r="B606" s="7">
        <v>1</v>
      </c>
      <c r="D606" s="28" t="s">
        <v>387</v>
      </c>
      <c r="E606" s="28"/>
      <c r="F606" s="28" t="s">
        <v>3343</v>
      </c>
      <c r="G606" s="78">
        <v>12</v>
      </c>
      <c r="H606" s="43"/>
      <c r="I606" s="28" t="str">
        <f>Table43[[#This Row],[Nama Jenis Kemasan]]</f>
        <v>PCH</v>
      </c>
      <c r="J606" s="4" t="str">
        <f>TRIM(CONCATENATE(Table43[[#This Row],[Nama            KLP]]," ",Table43[[#This Row],[Nama            Sub KLP]]))</f>
        <v>SLEEK HAND WASH</v>
      </c>
      <c r="K606" s="4" t="str">
        <f>CONCATENATE(Table43[[#This Row],[kode  2 Digit                (hrf+No)]],Table43[[#This Row],[kode  2 Digit                (Nomor)]],Table43[[#This Row],[kode  1 Digit                (Nomor)]])</f>
        <v>K1480</v>
      </c>
      <c r="L606" s="4" t="str">
        <f t="shared" si="30"/>
        <v>K1480001040030</v>
      </c>
      <c r="M606" s="11">
        <f t="shared" si="31"/>
        <v>14</v>
      </c>
      <c r="N606" s="14" t="str">
        <f>IF(AF606&lt;&gt;"",TRIM(UPPER(CONCATENATE(P606," ",R606," ",T606," ",V606," ",X606," ",Z606," ","X"," ",Table43[[#This Row],[ISI/CTN]]," ",AF606," ",AB606," ",AD606," ",AH606))),TRIM(UPPER(CONCATENATE(P606," ",R606," ",T606," ",V606," ",X606," ",Z606," ","X"," ",Table43[[#This Row],[ISI/CTN]]," ",AB606," ",AD606," ",AH606))))</f>
        <v>KNF SLEEK HAND WASH APPLE 400ML X 12 PCH</v>
      </c>
      <c r="O606" s="11">
        <f t="shared" si="32"/>
        <v>40</v>
      </c>
      <c r="P606" s="4" t="s">
        <v>97</v>
      </c>
      <c r="Q606" s="7" t="s">
        <v>98</v>
      </c>
      <c r="R606" s="4" t="s">
        <v>4003</v>
      </c>
      <c r="S606" s="44" t="s">
        <v>4004</v>
      </c>
      <c r="T606" s="45" t="s">
        <v>2961</v>
      </c>
      <c r="U606" s="7" t="s">
        <v>2900</v>
      </c>
      <c r="V606" s="45" t="s">
        <v>2961</v>
      </c>
      <c r="W606" s="44" t="s">
        <v>2900</v>
      </c>
      <c r="X606" s="4" t="s">
        <v>4005</v>
      </c>
      <c r="Y606" s="46" t="s">
        <v>0</v>
      </c>
      <c r="Z606" s="4" t="s">
        <v>4006</v>
      </c>
      <c r="AA606" s="46" t="s">
        <v>2517</v>
      </c>
      <c r="AB606" s="4" t="s">
        <v>356</v>
      </c>
      <c r="AC606" s="7" t="s">
        <v>3590</v>
      </c>
      <c r="AD606" s="4" t="s">
        <v>2961</v>
      </c>
      <c r="AE606" s="7" t="s">
        <v>2900</v>
      </c>
      <c r="AF606" s="7" t="s">
        <v>2961</v>
      </c>
      <c r="AG606" s="7" t="s">
        <v>2961</v>
      </c>
      <c r="AI606" s="7" t="s">
        <v>4100</v>
      </c>
      <c r="AJ606" s="7" t="s">
        <v>2656</v>
      </c>
      <c r="AK606" s="41">
        <f>Table43[[#This Row],[Harga Jual Pcs GT
(-PPN)]]-(Table43[[#This Row],[Harga Jual Pcs GT
(-PPN)]]*10%)</f>
        <v>0</v>
      </c>
      <c r="AL606" s="42">
        <f>Table43[[#This Row],[Harga Beli Pcs
(-PPN)]]*Table43[[#This Row],[ISI/CTN]]</f>
        <v>0</v>
      </c>
      <c r="AM606" s="42">
        <f>Table43[[#This Row],[Harga Beli Pcs
(-PPN)]]*1.11</f>
        <v>0</v>
      </c>
      <c r="AN606" s="42">
        <f>Table43[[#This Row],[Harga Beli Krt
(- PPN)]]*1.11</f>
        <v>0</v>
      </c>
      <c r="AO606" s="42"/>
      <c r="AP606" s="42">
        <f>Table43[[#This Row],[Harga Jual Pcs GT
(-PPN)]]*Table43[[#This Row],[ISI/CTN]]</f>
        <v>0</v>
      </c>
      <c r="AQ606" s="42">
        <f>Table43[[#This Row],[Harga Jual Pcs GT
(-PPN)]]*1.11</f>
        <v>0</v>
      </c>
      <c r="AR606" s="42">
        <f>Table43[[#This Row],[Harga Jual Krt GT
(- PPN)]]*1.11</f>
        <v>0</v>
      </c>
      <c r="AS606" s="42">
        <f>Table43[[#This Row],[Harga Jual Pcs GT
(-PPN)]]</f>
        <v>0</v>
      </c>
      <c r="AT606" s="42">
        <f>(Table43[[#This Row],[Harga Jual Pcs MT
(-PPN)]]*Table43[[#This Row],[ISI/CTN]])</f>
        <v>0</v>
      </c>
      <c r="AU606" s="42">
        <f>Table43[[#This Row],[Harga Jual Pcs MT
(-PPN)]]*1.11</f>
        <v>0</v>
      </c>
      <c r="AV606" s="42">
        <f>Table43[[#This Row],[Harga Jual Pcs MT
(+PPN)]]*Table43[[#This Row],[ISI/CTN]]</f>
        <v>0</v>
      </c>
      <c r="AW606" s="47"/>
      <c r="AX606" s="7"/>
      <c r="AY606" s="7" t="str">
        <f ca="1">IF(TODAY()-Table43[[#This Row],[Efektif
Pembuatan]]&gt;60,"Lama","Baru")</f>
        <v>Lama</v>
      </c>
      <c r="AZ606" s="7" t="str">
        <f ca="1">IF(TODAY()-Table43[[#This Row],[Efektif Naik Harga]]&lt;30,"Naik","Sama")</f>
        <v>Sama</v>
      </c>
      <c r="BA606" s="7" t="str">
        <f>IF(Table43[[#This Row],[Kode BARANG Win2]]&lt;&gt;"","IDR","")</f>
        <v>IDR</v>
      </c>
      <c r="BB606" s="7" t="str">
        <f>CONCATENATE(Table43[[#This Row],[kode  1 Digit
(Nomor)]],Table43[[#This Row],[kode  4 Digit                (Nomor)]])</f>
        <v>10400</v>
      </c>
      <c r="BC606" s="7" t="str">
        <f>Table43[[#This Row],[Nama            Gramasi atau Jumlah Pack per CTN]]</f>
        <v>400ML</v>
      </c>
      <c r="BD606" s="7"/>
      <c r="BE606" s="7"/>
      <c r="BF606" s="4" t="str">
        <f>IF(Table43[[#This Row],[SATUAN Fix Win]]&lt;&gt;"","KRT")</f>
        <v>KRT</v>
      </c>
      <c r="BG606" s="4" t="str">
        <f>IF(Table43[[#This Row],[SATUAN Fix Win]]&lt;&gt;"","GD01")</f>
        <v>GD01</v>
      </c>
      <c r="BH606" s="4">
        <f>IF(Table43[[#This Row],[SATUAN Fix Win]]&lt;&gt;"",11611)</f>
        <v>11611</v>
      </c>
      <c r="BI606" s="4">
        <f>IF(Table43[[#This Row],[SATUAN Fix Win]]&lt;&gt;"",11612)</f>
        <v>11612</v>
      </c>
      <c r="BJ606" s="48"/>
      <c r="BK606" s="4">
        <f>IF(Table43[[#This Row],[SATUAN Fix Win]]&lt;&gt;"",1)</f>
        <v>1</v>
      </c>
    </row>
    <row r="607" spans="1:63">
      <c r="A607" s="4" t="str">
        <f>CONCATENATE(Table43[[#This Row],[Kode BARANG Win2]],Table43[[#This Row],[No. Urut
Item Sama]])</f>
        <v>K14800010500101</v>
      </c>
      <c r="B607" s="7">
        <v>1</v>
      </c>
      <c r="D607" s="28" t="s">
        <v>389</v>
      </c>
      <c r="E607" s="28"/>
      <c r="F607" s="28" t="s">
        <v>3344</v>
      </c>
      <c r="G607" s="78">
        <v>12</v>
      </c>
      <c r="H607" s="43"/>
      <c r="I607" s="28" t="str">
        <f>Table43[[#This Row],[Nama Jenis Kemasan]]</f>
        <v>BTL</v>
      </c>
      <c r="J607" s="4" t="str">
        <f>TRIM(CONCATENATE(Table43[[#This Row],[Nama            KLP]]," ",Table43[[#This Row],[Nama            Sub KLP]]))</f>
        <v>SLEEK HAND WASH</v>
      </c>
      <c r="K607" s="4" t="str">
        <f>CONCATENATE(Table43[[#This Row],[kode  2 Digit                (hrf+No)]],Table43[[#This Row],[kode  2 Digit                (Nomor)]],Table43[[#This Row],[kode  1 Digit                (Nomor)]])</f>
        <v>K1480</v>
      </c>
      <c r="L607" s="4" t="str">
        <f t="shared" si="30"/>
        <v>K1480001050010</v>
      </c>
      <c r="M607" s="11">
        <f t="shared" si="31"/>
        <v>14</v>
      </c>
      <c r="N607" s="14" t="str">
        <f>IF(AF607&lt;&gt;"",TRIM(UPPER(CONCATENATE(P607," ",R607," ",T607," ",V607," ",X607," ",Z607," ","X"," ",Table43[[#This Row],[ISI/CTN]]," ",AF607," ",AB607," ",AD607," ",AH607))),TRIM(UPPER(CONCATENATE(P607," ",R607," ",T607," ",V607," ",X607," ",Z607," ","X"," ",Table43[[#This Row],[ISI/CTN]]," ",AB607," ",AD607," ",AH607))))</f>
        <v>KNF SLEEK HAND WASH APPLE 500ML X 12 BTL</v>
      </c>
      <c r="O607" s="11">
        <f t="shared" si="32"/>
        <v>40</v>
      </c>
      <c r="P607" s="4" t="s">
        <v>97</v>
      </c>
      <c r="Q607" s="7" t="s">
        <v>98</v>
      </c>
      <c r="R607" s="4" t="s">
        <v>4003</v>
      </c>
      <c r="S607" s="44" t="s">
        <v>4004</v>
      </c>
      <c r="T607" s="45" t="s">
        <v>2961</v>
      </c>
      <c r="U607" s="7" t="s">
        <v>2900</v>
      </c>
      <c r="V607" s="45" t="s">
        <v>2961</v>
      </c>
      <c r="W607" s="44" t="s">
        <v>2900</v>
      </c>
      <c r="X607" s="4" t="s">
        <v>4005</v>
      </c>
      <c r="Y607" s="46" t="s">
        <v>0</v>
      </c>
      <c r="Z607" s="4" t="s">
        <v>3771</v>
      </c>
      <c r="AA607" s="46" t="s">
        <v>2503</v>
      </c>
      <c r="AB607" s="4" t="s">
        <v>357</v>
      </c>
      <c r="AC607" s="7" t="s">
        <v>2656</v>
      </c>
      <c r="AD607" s="4" t="s">
        <v>2961</v>
      </c>
      <c r="AE607" s="7" t="s">
        <v>2900</v>
      </c>
      <c r="AF607" s="7" t="s">
        <v>2961</v>
      </c>
      <c r="AG607" s="7" t="s">
        <v>2961</v>
      </c>
      <c r="AI607" s="7" t="s">
        <v>4100</v>
      </c>
      <c r="AJ607" s="7" t="s">
        <v>2656</v>
      </c>
      <c r="AK607" s="41">
        <f>Table43[[#This Row],[Harga Jual Pcs GT
(-PPN)]]-(Table43[[#This Row],[Harga Jual Pcs GT
(-PPN)]]*10%)</f>
        <v>0</v>
      </c>
      <c r="AL607" s="42">
        <f>Table43[[#This Row],[Harga Beli Pcs
(-PPN)]]*Table43[[#This Row],[ISI/CTN]]</f>
        <v>0</v>
      </c>
      <c r="AM607" s="42">
        <f>Table43[[#This Row],[Harga Beli Pcs
(-PPN)]]*1.11</f>
        <v>0</v>
      </c>
      <c r="AN607" s="42">
        <f>Table43[[#This Row],[Harga Beli Krt
(- PPN)]]*1.11</f>
        <v>0</v>
      </c>
      <c r="AO607" s="42"/>
      <c r="AP607" s="42">
        <f>Table43[[#This Row],[Harga Jual Pcs GT
(-PPN)]]*Table43[[#This Row],[ISI/CTN]]</f>
        <v>0</v>
      </c>
      <c r="AQ607" s="42">
        <f>Table43[[#This Row],[Harga Jual Pcs GT
(-PPN)]]*1.11</f>
        <v>0</v>
      </c>
      <c r="AR607" s="42">
        <f>Table43[[#This Row],[Harga Jual Krt GT
(- PPN)]]*1.11</f>
        <v>0</v>
      </c>
      <c r="AS607" s="42">
        <f>Table43[[#This Row],[Harga Jual Pcs GT
(-PPN)]]</f>
        <v>0</v>
      </c>
      <c r="AT607" s="42">
        <f>(Table43[[#This Row],[Harga Jual Pcs MT
(-PPN)]]*Table43[[#This Row],[ISI/CTN]])</f>
        <v>0</v>
      </c>
      <c r="AU607" s="42">
        <f>Table43[[#This Row],[Harga Jual Pcs MT
(-PPN)]]*1.11</f>
        <v>0</v>
      </c>
      <c r="AV607" s="42">
        <f>Table43[[#This Row],[Harga Jual Pcs MT
(+PPN)]]*Table43[[#This Row],[ISI/CTN]]</f>
        <v>0</v>
      </c>
      <c r="AW607" s="47"/>
      <c r="AX607" s="7"/>
      <c r="AY607" s="7" t="str">
        <f ca="1">IF(TODAY()-Table43[[#This Row],[Efektif
Pembuatan]]&gt;60,"Lama","Baru")</f>
        <v>Lama</v>
      </c>
      <c r="AZ607" s="7" t="str">
        <f ca="1">IF(TODAY()-Table43[[#This Row],[Efektif Naik Harga]]&lt;30,"Naik","Sama")</f>
        <v>Sama</v>
      </c>
      <c r="BA607" s="7" t="str">
        <f>IF(Table43[[#This Row],[Kode BARANG Win2]]&lt;&gt;"","IDR","")</f>
        <v>IDR</v>
      </c>
      <c r="BB607" s="7" t="str">
        <f>CONCATENATE(Table43[[#This Row],[kode  1 Digit
(Nomor)]],Table43[[#This Row],[kode  4 Digit                (Nomor)]])</f>
        <v>10500</v>
      </c>
      <c r="BC607" s="7" t="str">
        <f>Table43[[#This Row],[Nama            Gramasi atau Jumlah Pack per CTN]]</f>
        <v>500ML</v>
      </c>
      <c r="BD607" s="7"/>
      <c r="BE607" s="7"/>
      <c r="BF607" s="4" t="str">
        <f>IF(Table43[[#This Row],[SATUAN Fix Win]]&lt;&gt;"","KRT")</f>
        <v>KRT</v>
      </c>
      <c r="BG607" s="4" t="str">
        <f>IF(Table43[[#This Row],[SATUAN Fix Win]]&lt;&gt;"","GD01")</f>
        <v>GD01</v>
      </c>
      <c r="BH607" s="4">
        <f>IF(Table43[[#This Row],[SATUAN Fix Win]]&lt;&gt;"",11611)</f>
        <v>11611</v>
      </c>
      <c r="BI607" s="4">
        <f>IF(Table43[[#This Row],[SATUAN Fix Win]]&lt;&gt;"",11612)</f>
        <v>11612</v>
      </c>
      <c r="BJ607" s="48"/>
      <c r="BK607" s="4">
        <f>IF(Table43[[#This Row],[SATUAN Fix Win]]&lt;&gt;"",1)</f>
        <v>1</v>
      </c>
    </row>
    <row r="608" spans="1:63">
      <c r="A608" s="4" t="str">
        <f>CONCATENATE(Table43[[#This Row],[Kode BARANG Win2]],Table43[[#This Row],[No. Urut
Item Sama]])</f>
        <v>K14800011004201</v>
      </c>
      <c r="B608" s="7">
        <v>1</v>
      </c>
      <c r="D608" s="28" t="s">
        <v>390</v>
      </c>
      <c r="E608" s="28"/>
      <c r="F608" s="28" t="s">
        <v>3345</v>
      </c>
      <c r="G608" s="78">
        <v>4</v>
      </c>
      <c r="H608" s="43"/>
      <c r="I608" s="28" t="str">
        <f>Table43[[#This Row],[Nama Jenis Kemasan]]</f>
        <v>JRG</v>
      </c>
      <c r="J608" s="4" t="str">
        <f>TRIM(CONCATENATE(Table43[[#This Row],[Nama            KLP]]," ",Table43[[#This Row],[Nama            Sub KLP]]))</f>
        <v>SLEEK HAND WASH</v>
      </c>
      <c r="K608" s="4" t="str">
        <f>CONCATENATE(Table43[[#This Row],[kode  2 Digit                (hrf+No)]],Table43[[#This Row],[kode  2 Digit                (Nomor)]],Table43[[#This Row],[kode  1 Digit                (Nomor)]])</f>
        <v>K1480</v>
      </c>
      <c r="L608" s="4" t="str">
        <f t="shared" si="30"/>
        <v>K1480001100420</v>
      </c>
      <c r="M608" s="11">
        <f t="shared" si="31"/>
        <v>14</v>
      </c>
      <c r="N608" s="14" t="str">
        <f>IF(AF608&lt;&gt;"",TRIM(UPPER(CONCATENATE(P608," ",R608," ",T608," ",V608," ",X608," ",Z608," ","X"," ",Table43[[#This Row],[ISI/CTN]]," ",AF608," ",AB608," ",AD608," ",AH608))),TRIM(UPPER(CONCATENATE(P608," ",R608," ",T608," ",V608," ",X608," ",Z608," ","X"," ",Table43[[#This Row],[ISI/CTN]]," ",AB608," ",AD608," ",AH608))))</f>
        <v>KNF SLEEK HAND WASH APPLE 4L X 4 JRG</v>
      </c>
      <c r="O608" s="11">
        <f t="shared" si="32"/>
        <v>36</v>
      </c>
      <c r="P608" s="4" t="s">
        <v>97</v>
      </c>
      <c r="Q608" s="7" t="s">
        <v>98</v>
      </c>
      <c r="R608" s="4" t="s">
        <v>4003</v>
      </c>
      <c r="S608" s="44" t="s">
        <v>4004</v>
      </c>
      <c r="T608" s="45" t="s">
        <v>2961</v>
      </c>
      <c r="U608" s="7" t="s">
        <v>2900</v>
      </c>
      <c r="V608" s="45" t="s">
        <v>2961</v>
      </c>
      <c r="W608" s="44" t="s">
        <v>2900</v>
      </c>
      <c r="X608" s="4" t="s">
        <v>4005</v>
      </c>
      <c r="Y608" s="46" t="s">
        <v>0</v>
      </c>
      <c r="Z608" s="4" t="s">
        <v>3817</v>
      </c>
      <c r="AA608" s="46" t="s">
        <v>3818</v>
      </c>
      <c r="AB608" s="4" t="s">
        <v>358</v>
      </c>
      <c r="AC608" s="7" t="s">
        <v>3562</v>
      </c>
      <c r="AD608" s="4" t="s">
        <v>2961</v>
      </c>
      <c r="AE608" s="7" t="s">
        <v>2900</v>
      </c>
      <c r="AF608" s="7" t="s">
        <v>2961</v>
      </c>
      <c r="AG608" s="7" t="s">
        <v>2961</v>
      </c>
      <c r="AI608" s="7" t="s">
        <v>4100</v>
      </c>
      <c r="AJ608" s="7" t="s">
        <v>2656</v>
      </c>
      <c r="AK608" s="41">
        <f>Table43[[#This Row],[Harga Jual Pcs GT
(-PPN)]]-(Table43[[#This Row],[Harga Jual Pcs GT
(-PPN)]]*10%)</f>
        <v>0</v>
      </c>
      <c r="AL608" s="42">
        <f>Table43[[#This Row],[Harga Beli Pcs
(-PPN)]]*Table43[[#This Row],[ISI/CTN]]</f>
        <v>0</v>
      </c>
      <c r="AM608" s="42">
        <f>Table43[[#This Row],[Harga Beli Pcs
(-PPN)]]*1.11</f>
        <v>0</v>
      </c>
      <c r="AN608" s="42">
        <f>Table43[[#This Row],[Harga Beli Krt
(- PPN)]]*1.11</f>
        <v>0</v>
      </c>
      <c r="AO608" s="42"/>
      <c r="AP608" s="42">
        <f>Table43[[#This Row],[Harga Jual Pcs GT
(-PPN)]]*Table43[[#This Row],[ISI/CTN]]</f>
        <v>0</v>
      </c>
      <c r="AQ608" s="42">
        <f>Table43[[#This Row],[Harga Jual Pcs GT
(-PPN)]]*1.11</f>
        <v>0</v>
      </c>
      <c r="AR608" s="42">
        <f>Table43[[#This Row],[Harga Jual Krt GT
(- PPN)]]*1.11</f>
        <v>0</v>
      </c>
      <c r="AS608" s="42">
        <f>Table43[[#This Row],[Harga Jual Pcs GT
(-PPN)]]</f>
        <v>0</v>
      </c>
      <c r="AT608" s="42">
        <f>(Table43[[#This Row],[Harga Jual Pcs MT
(-PPN)]]*Table43[[#This Row],[ISI/CTN]])</f>
        <v>0</v>
      </c>
      <c r="AU608" s="42">
        <f>Table43[[#This Row],[Harga Jual Pcs MT
(-PPN)]]*1.11</f>
        <v>0</v>
      </c>
      <c r="AV608" s="42">
        <f>Table43[[#This Row],[Harga Jual Pcs MT
(+PPN)]]*Table43[[#This Row],[ISI/CTN]]</f>
        <v>0</v>
      </c>
      <c r="AW608" s="47"/>
      <c r="AX608" s="7"/>
      <c r="AY608" s="7" t="str">
        <f ca="1">IF(TODAY()-Table43[[#This Row],[Efektif
Pembuatan]]&gt;60,"Lama","Baru")</f>
        <v>Lama</v>
      </c>
      <c r="AZ608" s="7" t="str">
        <f ca="1">IF(TODAY()-Table43[[#This Row],[Efektif Naik Harga]]&lt;30,"Naik","Sama")</f>
        <v>Sama</v>
      </c>
      <c r="BA608" s="7" t="str">
        <f>IF(Table43[[#This Row],[Kode BARANG Win2]]&lt;&gt;"","IDR","")</f>
        <v>IDR</v>
      </c>
      <c r="BB608" s="7" t="str">
        <f>CONCATENATE(Table43[[#This Row],[kode  1 Digit
(Nomor)]],Table43[[#This Row],[kode  4 Digit                (Nomor)]])</f>
        <v>11004</v>
      </c>
      <c r="BC608" s="7" t="str">
        <f>Table43[[#This Row],[Nama            Gramasi atau Jumlah Pack per CTN]]</f>
        <v>4L</v>
      </c>
      <c r="BD608" s="7"/>
      <c r="BE608" s="7"/>
      <c r="BF608" s="4" t="str">
        <f>IF(Table43[[#This Row],[SATUAN Fix Win]]&lt;&gt;"","KRT")</f>
        <v>KRT</v>
      </c>
      <c r="BG608" s="4" t="str">
        <f>IF(Table43[[#This Row],[SATUAN Fix Win]]&lt;&gt;"","GD01")</f>
        <v>GD01</v>
      </c>
      <c r="BH608" s="4">
        <f>IF(Table43[[#This Row],[SATUAN Fix Win]]&lt;&gt;"",11611)</f>
        <v>11611</v>
      </c>
      <c r="BI608" s="4">
        <f>IF(Table43[[#This Row],[SATUAN Fix Win]]&lt;&gt;"",11612)</f>
        <v>11612</v>
      </c>
      <c r="BJ608" s="48"/>
      <c r="BK608" s="4">
        <f>IF(Table43[[#This Row],[SATUAN Fix Win]]&lt;&gt;"",1)</f>
        <v>1</v>
      </c>
    </row>
    <row r="609" spans="1:63">
      <c r="A609" s="4" t="str">
        <f>CONCATENATE(Table43[[#This Row],[Kode BARANG Win2]],Table43[[#This Row],[No. Urut
Item Sama]])</f>
        <v>K14800020400301</v>
      </c>
      <c r="B609" s="7">
        <v>1</v>
      </c>
      <c r="D609" s="28" t="s">
        <v>391</v>
      </c>
      <c r="E609" s="28"/>
      <c r="F609" s="28" t="s">
        <v>3346</v>
      </c>
      <c r="G609" s="78">
        <v>12</v>
      </c>
      <c r="H609" s="43"/>
      <c r="I609" s="28" t="str">
        <f>Table43[[#This Row],[Nama Jenis Kemasan]]</f>
        <v>PCH</v>
      </c>
      <c r="J609" s="4" t="str">
        <f>TRIM(CONCATENATE(Table43[[#This Row],[Nama            KLP]]," ",Table43[[#This Row],[Nama            Sub KLP]]))</f>
        <v>SLEEK HAND WASH</v>
      </c>
      <c r="K609" s="4" t="str">
        <f>CONCATENATE(Table43[[#This Row],[kode  2 Digit                (hrf+No)]],Table43[[#This Row],[kode  2 Digit                (Nomor)]],Table43[[#This Row],[kode  1 Digit                (Nomor)]])</f>
        <v>K1480</v>
      </c>
      <c r="L609" s="4" t="str">
        <f t="shared" si="30"/>
        <v>K1480002040030</v>
      </c>
      <c r="M609" s="11">
        <f t="shared" si="31"/>
        <v>14</v>
      </c>
      <c r="N609" s="14" t="str">
        <f>IF(AF609&lt;&gt;"",TRIM(UPPER(CONCATENATE(P609," ",R609," ",T609," ",V609," ",X609," ",Z609," ","X"," ",Table43[[#This Row],[ISI/CTN]]," ",AF609," ",AB609," ",AD609," ",AH609))),TRIM(UPPER(CONCATENATE(P609," ",R609," ",T609," ",V609," ",X609," ",Z609," ","X"," ",Table43[[#This Row],[ISI/CTN]]," ",AB609," ",AD609," ",AH609))))</f>
        <v>KNF SLEEK HAND WASH LEMON 400ML X 12 PCH</v>
      </c>
      <c r="O609" s="11">
        <f t="shared" si="32"/>
        <v>40</v>
      </c>
      <c r="P609" s="4" t="s">
        <v>97</v>
      </c>
      <c r="Q609" s="7" t="s">
        <v>98</v>
      </c>
      <c r="R609" s="4" t="s">
        <v>4003</v>
      </c>
      <c r="S609" s="44" t="s">
        <v>4004</v>
      </c>
      <c r="T609" s="45" t="s">
        <v>2961</v>
      </c>
      <c r="U609" s="7" t="s">
        <v>2900</v>
      </c>
      <c r="V609" s="45" t="s">
        <v>2961</v>
      </c>
      <c r="W609" s="44" t="s">
        <v>2900</v>
      </c>
      <c r="X609" s="4" t="s">
        <v>3881</v>
      </c>
      <c r="Y609" s="46" t="s">
        <v>2472</v>
      </c>
      <c r="Z609" s="4" t="s">
        <v>4006</v>
      </c>
      <c r="AA609" s="46" t="s">
        <v>2517</v>
      </c>
      <c r="AB609" s="4" t="s">
        <v>356</v>
      </c>
      <c r="AC609" s="7" t="s">
        <v>3590</v>
      </c>
      <c r="AD609" s="4" t="s">
        <v>2961</v>
      </c>
      <c r="AE609" s="7" t="s">
        <v>2900</v>
      </c>
      <c r="AF609" s="7" t="s">
        <v>2961</v>
      </c>
      <c r="AG609" s="7" t="s">
        <v>2961</v>
      </c>
      <c r="AI609" s="7" t="s">
        <v>4100</v>
      </c>
      <c r="AJ609" s="7" t="s">
        <v>2656</v>
      </c>
      <c r="AK609" s="41">
        <f>Table43[[#This Row],[Harga Jual Pcs GT
(-PPN)]]-(Table43[[#This Row],[Harga Jual Pcs GT
(-PPN)]]*10%)</f>
        <v>0</v>
      </c>
      <c r="AL609" s="42">
        <f>Table43[[#This Row],[Harga Beli Pcs
(-PPN)]]*Table43[[#This Row],[ISI/CTN]]</f>
        <v>0</v>
      </c>
      <c r="AM609" s="42">
        <f>Table43[[#This Row],[Harga Beli Pcs
(-PPN)]]*1.11</f>
        <v>0</v>
      </c>
      <c r="AN609" s="42">
        <f>Table43[[#This Row],[Harga Beli Krt
(- PPN)]]*1.11</f>
        <v>0</v>
      </c>
      <c r="AO609" s="42"/>
      <c r="AP609" s="42">
        <f>Table43[[#This Row],[Harga Jual Pcs GT
(-PPN)]]*Table43[[#This Row],[ISI/CTN]]</f>
        <v>0</v>
      </c>
      <c r="AQ609" s="42">
        <f>Table43[[#This Row],[Harga Jual Pcs GT
(-PPN)]]*1.11</f>
        <v>0</v>
      </c>
      <c r="AR609" s="42">
        <f>Table43[[#This Row],[Harga Jual Krt GT
(- PPN)]]*1.11</f>
        <v>0</v>
      </c>
      <c r="AS609" s="42">
        <f>Table43[[#This Row],[Harga Jual Pcs GT
(-PPN)]]</f>
        <v>0</v>
      </c>
      <c r="AT609" s="42">
        <f>(Table43[[#This Row],[Harga Jual Pcs MT
(-PPN)]]*Table43[[#This Row],[ISI/CTN]])</f>
        <v>0</v>
      </c>
      <c r="AU609" s="42">
        <f>Table43[[#This Row],[Harga Jual Pcs MT
(-PPN)]]*1.11</f>
        <v>0</v>
      </c>
      <c r="AV609" s="42">
        <f>Table43[[#This Row],[Harga Jual Pcs MT
(+PPN)]]*Table43[[#This Row],[ISI/CTN]]</f>
        <v>0</v>
      </c>
      <c r="AW609" s="47"/>
      <c r="AX609" s="7"/>
      <c r="AY609" s="7" t="str">
        <f ca="1">IF(TODAY()-Table43[[#This Row],[Efektif
Pembuatan]]&gt;60,"Lama","Baru")</f>
        <v>Lama</v>
      </c>
      <c r="AZ609" s="7" t="str">
        <f ca="1">IF(TODAY()-Table43[[#This Row],[Efektif Naik Harga]]&lt;30,"Naik","Sama")</f>
        <v>Sama</v>
      </c>
      <c r="BA609" s="7" t="str">
        <f>IF(Table43[[#This Row],[Kode BARANG Win2]]&lt;&gt;"","IDR","")</f>
        <v>IDR</v>
      </c>
      <c r="BB609" s="7" t="str">
        <f>CONCATENATE(Table43[[#This Row],[kode  1 Digit
(Nomor)]],Table43[[#This Row],[kode  4 Digit                (Nomor)]])</f>
        <v>10400</v>
      </c>
      <c r="BC609" s="7" t="str">
        <f>Table43[[#This Row],[Nama            Gramasi atau Jumlah Pack per CTN]]</f>
        <v>400ML</v>
      </c>
      <c r="BD609" s="7"/>
      <c r="BE609" s="7"/>
      <c r="BF609" s="4" t="str">
        <f>IF(Table43[[#This Row],[SATUAN Fix Win]]&lt;&gt;"","KRT")</f>
        <v>KRT</v>
      </c>
      <c r="BG609" s="4" t="str">
        <f>IF(Table43[[#This Row],[SATUAN Fix Win]]&lt;&gt;"","GD01")</f>
        <v>GD01</v>
      </c>
      <c r="BH609" s="4">
        <f>IF(Table43[[#This Row],[SATUAN Fix Win]]&lt;&gt;"",11611)</f>
        <v>11611</v>
      </c>
      <c r="BI609" s="4">
        <f>IF(Table43[[#This Row],[SATUAN Fix Win]]&lt;&gt;"",11612)</f>
        <v>11612</v>
      </c>
      <c r="BJ609" s="48"/>
      <c r="BK609" s="4">
        <f>IF(Table43[[#This Row],[SATUAN Fix Win]]&lt;&gt;"",1)</f>
        <v>1</v>
      </c>
    </row>
    <row r="610" spans="1:63">
      <c r="A610" s="4" t="str">
        <f>CONCATENATE(Table43[[#This Row],[Kode BARANG Win2]],Table43[[#This Row],[No. Urut
Item Sama]])</f>
        <v>K14800020500101</v>
      </c>
      <c r="B610" s="7">
        <v>1</v>
      </c>
      <c r="D610" s="28" t="s">
        <v>393</v>
      </c>
      <c r="E610" s="28"/>
      <c r="F610" s="28" t="s">
        <v>3347</v>
      </c>
      <c r="G610" s="78">
        <v>12</v>
      </c>
      <c r="H610" s="43"/>
      <c r="I610" s="28" t="str">
        <f>Table43[[#This Row],[Nama Jenis Kemasan]]</f>
        <v>BTL</v>
      </c>
      <c r="J610" s="4" t="str">
        <f>TRIM(CONCATENATE(Table43[[#This Row],[Nama            KLP]]," ",Table43[[#This Row],[Nama            Sub KLP]]))</f>
        <v>SLEEK HAND WASH</v>
      </c>
      <c r="K610" s="4" t="str">
        <f>CONCATENATE(Table43[[#This Row],[kode  2 Digit                (hrf+No)]],Table43[[#This Row],[kode  2 Digit                (Nomor)]],Table43[[#This Row],[kode  1 Digit                (Nomor)]])</f>
        <v>K1480</v>
      </c>
      <c r="L610" s="4" t="str">
        <f t="shared" si="30"/>
        <v>K1480002050010</v>
      </c>
      <c r="M610" s="11">
        <f t="shared" si="31"/>
        <v>14</v>
      </c>
      <c r="N610" s="14" t="str">
        <f>IF(AF610&lt;&gt;"",TRIM(UPPER(CONCATENATE(P610," ",R610," ",T610," ",V610," ",X610," ",Z610," ","X"," ",Table43[[#This Row],[ISI/CTN]]," ",AF610," ",AB610," ",AD610," ",AH610))),TRIM(UPPER(CONCATENATE(P610," ",R610," ",T610," ",V610," ",X610," ",Z610," ","X"," ",Table43[[#This Row],[ISI/CTN]]," ",AB610," ",AD610," ",AH610))))</f>
        <v>KNF SLEEK HAND WASH LEMON 500ML X 12 BTL</v>
      </c>
      <c r="O610" s="11">
        <f t="shared" si="32"/>
        <v>40</v>
      </c>
      <c r="P610" s="4" t="s">
        <v>97</v>
      </c>
      <c r="Q610" s="7" t="s">
        <v>98</v>
      </c>
      <c r="R610" s="4" t="s">
        <v>4003</v>
      </c>
      <c r="S610" s="44" t="s">
        <v>4004</v>
      </c>
      <c r="T610" s="45" t="s">
        <v>2961</v>
      </c>
      <c r="U610" s="7" t="s">
        <v>2900</v>
      </c>
      <c r="V610" s="45" t="s">
        <v>2961</v>
      </c>
      <c r="W610" s="44" t="s">
        <v>2900</v>
      </c>
      <c r="X610" s="4" t="s">
        <v>3881</v>
      </c>
      <c r="Y610" s="46" t="s">
        <v>2472</v>
      </c>
      <c r="Z610" s="4" t="s">
        <v>3771</v>
      </c>
      <c r="AA610" s="46" t="s">
        <v>2503</v>
      </c>
      <c r="AB610" s="4" t="s">
        <v>357</v>
      </c>
      <c r="AC610" s="7" t="s">
        <v>2656</v>
      </c>
      <c r="AD610" s="4" t="s">
        <v>2961</v>
      </c>
      <c r="AE610" s="7" t="s">
        <v>2900</v>
      </c>
      <c r="AF610" s="7" t="s">
        <v>2961</v>
      </c>
      <c r="AG610" s="7" t="s">
        <v>2961</v>
      </c>
      <c r="AI610" s="7" t="s">
        <v>4100</v>
      </c>
      <c r="AJ610" s="7" t="s">
        <v>2656</v>
      </c>
      <c r="AK610" s="41">
        <f>Table43[[#This Row],[Harga Jual Pcs GT
(-PPN)]]-(Table43[[#This Row],[Harga Jual Pcs GT
(-PPN)]]*10%)</f>
        <v>0</v>
      </c>
      <c r="AL610" s="42">
        <f>Table43[[#This Row],[Harga Beli Pcs
(-PPN)]]*Table43[[#This Row],[ISI/CTN]]</f>
        <v>0</v>
      </c>
      <c r="AM610" s="42">
        <f>Table43[[#This Row],[Harga Beli Pcs
(-PPN)]]*1.11</f>
        <v>0</v>
      </c>
      <c r="AN610" s="42">
        <f>Table43[[#This Row],[Harga Beli Krt
(- PPN)]]*1.11</f>
        <v>0</v>
      </c>
      <c r="AO610" s="42"/>
      <c r="AP610" s="42">
        <f>Table43[[#This Row],[Harga Jual Pcs GT
(-PPN)]]*Table43[[#This Row],[ISI/CTN]]</f>
        <v>0</v>
      </c>
      <c r="AQ610" s="42">
        <f>Table43[[#This Row],[Harga Jual Pcs GT
(-PPN)]]*1.11</f>
        <v>0</v>
      </c>
      <c r="AR610" s="42">
        <f>Table43[[#This Row],[Harga Jual Krt GT
(- PPN)]]*1.11</f>
        <v>0</v>
      </c>
      <c r="AS610" s="42">
        <f>Table43[[#This Row],[Harga Jual Pcs GT
(-PPN)]]</f>
        <v>0</v>
      </c>
      <c r="AT610" s="42">
        <f>(Table43[[#This Row],[Harga Jual Pcs MT
(-PPN)]]*Table43[[#This Row],[ISI/CTN]])</f>
        <v>0</v>
      </c>
      <c r="AU610" s="42">
        <f>Table43[[#This Row],[Harga Jual Pcs MT
(-PPN)]]*1.11</f>
        <v>0</v>
      </c>
      <c r="AV610" s="42">
        <f>Table43[[#This Row],[Harga Jual Pcs MT
(+PPN)]]*Table43[[#This Row],[ISI/CTN]]</f>
        <v>0</v>
      </c>
      <c r="AW610" s="47"/>
      <c r="AX610" s="7"/>
      <c r="AY610" s="7" t="str">
        <f ca="1">IF(TODAY()-Table43[[#This Row],[Efektif
Pembuatan]]&gt;60,"Lama","Baru")</f>
        <v>Lama</v>
      </c>
      <c r="AZ610" s="7" t="str">
        <f ca="1">IF(TODAY()-Table43[[#This Row],[Efektif Naik Harga]]&lt;30,"Naik","Sama")</f>
        <v>Sama</v>
      </c>
      <c r="BA610" s="7" t="str">
        <f>IF(Table43[[#This Row],[Kode BARANG Win2]]&lt;&gt;"","IDR","")</f>
        <v>IDR</v>
      </c>
      <c r="BB610" s="7" t="str">
        <f>CONCATENATE(Table43[[#This Row],[kode  1 Digit
(Nomor)]],Table43[[#This Row],[kode  4 Digit                (Nomor)]])</f>
        <v>10500</v>
      </c>
      <c r="BC610" s="7" t="str">
        <f>Table43[[#This Row],[Nama            Gramasi atau Jumlah Pack per CTN]]</f>
        <v>500ML</v>
      </c>
      <c r="BD610" s="7"/>
      <c r="BE610" s="7"/>
      <c r="BF610" s="4" t="str">
        <f>IF(Table43[[#This Row],[SATUAN Fix Win]]&lt;&gt;"","KRT")</f>
        <v>KRT</v>
      </c>
      <c r="BG610" s="4" t="str">
        <f>IF(Table43[[#This Row],[SATUAN Fix Win]]&lt;&gt;"","GD01")</f>
        <v>GD01</v>
      </c>
      <c r="BH610" s="4">
        <f>IF(Table43[[#This Row],[SATUAN Fix Win]]&lt;&gt;"",11611)</f>
        <v>11611</v>
      </c>
      <c r="BI610" s="4">
        <f>IF(Table43[[#This Row],[SATUAN Fix Win]]&lt;&gt;"",11612)</f>
        <v>11612</v>
      </c>
      <c r="BJ610" s="48"/>
      <c r="BK610" s="4">
        <f>IF(Table43[[#This Row],[SATUAN Fix Win]]&lt;&gt;"",1)</f>
        <v>1</v>
      </c>
    </row>
    <row r="611" spans="1:63">
      <c r="A611" s="4" t="str">
        <f>CONCATENATE(Table43[[#This Row],[Kode BARANG Win2]],Table43[[#This Row],[No. Urut
Item Sama]])</f>
        <v>K14800021004201</v>
      </c>
      <c r="B611" s="7">
        <v>1</v>
      </c>
      <c r="D611" s="28" t="s">
        <v>394</v>
      </c>
      <c r="E611" s="28"/>
      <c r="F611" s="28" t="s">
        <v>3348</v>
      </c>
      <c r="G611" s="78">
        <v>4</v>
      </c>
      <c r="H611" s="43"/>
      <c r="I611" s="28" t="str">
        <f>Table43[[#This Row],[Nama Jenis Kemasan]]</f>
        <v>JRG</v>
      </c>
      <c r="J611" s="4" t="str">
        <f>TRIM(CONCATENATE(Table43[[#This Row],[Nama            KLP]]," ",Table43[[#This Row],[Nama            Sub KLP]]))</f>
        <v>SLEEK HAND WASH</v>
      </c>
      <c r="K611" s="4" t="str">
        <f>CONCATENATE(Table43[[#This Row],[kode  2 Digit                (hrf+No)]],Table43[[#This Row],[kode  2 Digit                (Nomor)]],Table43[[#This Row],[kode  1 Digit                (Nomor)]])</f>
        <v>K1480</v>
      </c>
      <c r="L611" s="4" t="str">
        <f t="shared" si="30"/>
        <v>K1480002100420</v>
      </c>
      <c r="M611" s="11">
        <f t="shared" si="31"/>
        <v>14</v>
      </c>
      <c r="N611" s="14" t="str">
        <f>IF(AF611&lt;&gt;"",TRIM(UPPER(CONCATENATE(P611," ",R611," ",T611," ",V611," ",X611," ",Z611," ","X"," ",Table43[[#This Row],[ISI/CTN]]," ",AF611," ",AB611," ",AD611," ",AH611))),TRIM(UPPER(CONCATENATE(P611," ",R611," ",T611," ",V611," ",X611," ",Z611," ","X"," ",Table43[[#This Row],[ISI/CTN]]," ",AB611," ",AD611," ",AH611))))</f>
        <v>KNF SLEEK HAND WASH LEMON 4L X 4 JRG</v>
      </c>
      <c r="O611" s="11">
        <f t="shared" si="32"/>
        <v>36</v>
      </c>
      <c r="P611" s="4" t="s">
        <v>97</v>
      </c>
      <c r="Q611" s="7" t="s">
        <v>98</v>
      </c>
      <c r="R611" s="4" t="s">
        <v>4003</v>
      </c>
      <c r="S611" s="44" t="s">
        <v>4004</v>
      </c>
      <c r="T611" s="45" t="s">
        <v>2961</v>
      </c>
      <c r="U611" s="7" t="s">
        <v>2900</v>
      </c>
      <c r="V611" s="45" t="s">
        <v>2961</v>
      </c>
      <c r="W611" s="44" t="s">
        <v>2900</v>
      </c>
      <c r="X611" s="4" t="s">
        <v>3881</v>
      </c>
      <c r="Y611" s="46" t="s">
        <v>2472</v>
      </c>
      <c r="Z611" s="4" t="s">
        <v>3817</v>
      </c>
      <c r="AA611" s="46" t="s">
        <v>3818</v>
      </c>
      <c r="AB611" s="4" t="s">
        <v>358</v>
      </c>
      <c r="AC611" s="7" t="s">
        <v>3562</v>
      </c>
      <c r="AD611" s="4" t="s">
        <v>2961</v>
      </c>
      <c r="AE611" s="7" t="s">
        <v>2900</v>
      </c>
      <c r="AF611" s="7" t="s">
        <v>2961</v>
      </c>
      <c r="AG611" s="7" t="s">
        <v>2961</v>
      </c>
      <c r="AI611" s="7" t="s">
        <v>4100</v>
      </c>
      <c r="AJ611" s="7" t="s">
        <v>2656</v>
      </c>
      <c r="AK611" s="41">
        <f>Table43[[#This Row],[Harga Jual Pcs GT
(-PPN)]]-(Table43[[#This Row],[Harga Jual Pcs GT
(-PPN)]]*10%)</f>
        <v>0</v>
      </c>
      <c r="AL611" s="42">
        <f>Table43[[#This Row],[Harga Beli Pcs
(-PPN)]]*Table43[[#This Row],[ISI/CTN]]</f>
        <v>0</v>
      </c>
      <c r="AM611" s="42">
        <f>Table43[[#This Row],[Harga Beli Pcs
(-PPN)]]*1.11</f>
        <v>0</v>
      </c>
      <c r="AN611" s="42">
        <f>Table43[[#This Row],[Harga Beli Krt
(- PPN)]]*1.11</f>
        <v>0</v>
      </c>
      <c r="AO611" s="42"/>
      <c r="AP611" s="42">
        <f>Table43[[#This Row],[Harga Jual Pcs GT
(-PPN)]]*Table43[[#This Row],[ISI/CTN]]</f>
        <v>0</v>
      </c>
      <c r="AQ611" s="42">
        <f>Table43[[#This Row],[Harga Jual Pcs GT
(-PPN)]]*1.11</f>
        <v>0</v>
      </c>
      <c r="AR611" s="42">
        <f>Table43[[#This Row],[Harga Jual Krt GT
(- PPN)]]*1.11</f>
        <v>0</v>
      </c>
      <c r="AS611" s="42">
        <f>Table43[[#This Row],[Harga Jual Pcs GT
(-PPN)]]</f>
        <v>0</v>
      </c>
      <c r="AT611" s="42">
        <f>(Table43[[#This Row],[Harga Jual Pcs MT
(-PPN)]]*Table43[[#This Row],[ISI/CTN]])</f>
        <v>0</v>
      </c>
      <c r="AU611" s="42">
        <f>Table43[[#This Row],[Harga Jual Pcs MT
(-PPN)]]*1.11</f>
        <v>0</v>
      </c>
      <c r="AV611" s="42">
        <f>Table43[[#This Row],[Harga Jual Pcs MT
(+PPN)]]*Table43[[#This Row],[ISI/CTN]]</f>
        <v>0</v>
      </c>
      <c r="AW611" s="47"/>
      <c r="AX611" s="7"/>
      <c r="AY611" s="7" t="str">
        <f ca="1">IF(TODAY()-Table43[[#This Row],[Efektif
Pembuatan]]&gt;60,"Lama","Baru")</f>
        <v>Lama</v>
      </c>
      <c r="AZ611" s="7" t="str">
        <f ca="1">IF(TODAY()-Table43[[#This Row],[Efektif Naik Harga]]&lt;30,"Naik","Sama")</f>
        <v>Sama</v>
      </c>
      <c r="BA611" s="7" t="str">
        <f>IF(Table43[[#This Row],[Kode BARANG Win2]]&lt;&gt;"","IDR","")</f>
        <v>IDR</v>
      </c>
      <c r="BB611" s="7" t="str">
        <f>CONCATENATE(Table43[[#This Row],[kode  1 Digit
(Nomor)]],Table43[[#This Row],[kode  4 Digit                (Nomor)]])</f>
        <v>11004</v>
      </c>
      <c r="BC611" s="7" t="str">
        <f>Table43[[#This Row],[Nama            Gramasi atau Jumlah Pack per CTN]]</f>
        <v>4L</v>
      </c>
      <c r="BD611" s="7"/>
      <c r="BE611" s="7"/>
      <c r="BF611" s="4" t="str">
        <f>IF(Table43[[#This Row],[SATUAN Fix Win]]&lt;&gt;"","KRT")</f>
        <v>KRT</v>
      </c>
      <c r="BG611" s="4" t="str">
        <f>IF(Table43[[#This Row],[SATUAN Fix Win]]&lt;&gt;"","GD01")</f>
        <v>GD01</v>
      </c>
      <c r="BH611" s="4">
        <f>IF(Table43[[#This Row],[SATUAN Fix Win]]&lt;&gt;"",11611)</f>
        <v>11611</v>
      </c>
      <c r="BI611" s="4">
        <f>IF(Table43[[#This Row],[SATUAN Fix Win]]&lt;&gt;"",11612)</f>
        <v>11612</v>
      </c>
      <c r="BJ611" s="48"/>
      <c r="BK611" s="4">
        <f>IF(Table43[[#This Row],[SATUAN Fix Win]]&lt;&gt;"",1)</f>
        <v>1</v>
      </c>
    </row>
    <row r="612" spans="1:63">
      <c r="A612" s="4" t="str">
        <f>CONCATENATE(Table43[[#This Row],[Kode BARANG Win2]],Table43[[#This Row],[No. Urut
Item Sama]])</f>
        <v>K14800030400301</v>
      </c>
      <c r="B612" s="7">
        <v>1</v>
      </c>
      <c r="D612" s="28" t="s">
        <v>395</v>
      </c>
      <c r="E612" s="28"/>
      <c r="F612" s="28" t="s">
        <v>3349</v>
      </c>
      <c r="G612" s="78">
        <v>12</v>
      </c>
      <c r="H612" s="43"/>
      <c r="I612" s="28" t="str">
        <f>Table43[[#This Row],[Nama Jenis Kemasan]]</f>
        <v>PCH</v>
      </c>
      <c r="J612" s="4" t="str">
        <f>TRIM(CONCATENATE(Table43[[#This Row],[Nama            KLP]]," ",Table43[[#This Row],[Nama            Sub KLP]]))</f>
        <v>SLEEK HAND WASH</v>
      </c>
      <c r="K612" s="4" t="str">
        <f>CONCATENATE(Table43[[#This Row],[kode  2 Digit                (hrf+No)]],Table43[[#This Row],[kode  2 Digit                (Nomor)]],Table43[[#This Row],[kode  1 Digit                (Nomor)]])</f>
        <v>K1480</v>
      </c>
      <c r="L612" s="4" t="str">
        <f t="shared" si="30"/>
        <v>K1480003040030</v>
      </c>
      <c r="M612" s="11">
        <f t="shared" si="31"/>
        <v>14</v>
      </c>
      <c r="N612" s="14" t="str">
        <f>IF(AF612&lt;&gt;"",TRIM(UPPER(CONCATENATE(P612," ",R612," ",T612," ",V612," ",X612," ",Z612," ","X"," ",Table43[[#This Row],[ISI/CTN]]," ",AF612," ",AB612," ",AD612," ",AH612))),TRIM(UPPER(CONCATENATE(P612," ",R612," ",T612," ",V612," ",X612," ",Z612," ","X"," ",Table43[[#This Row],[ISI/CTN]]," ",AB612," ",AD612," ",AH612))))</f>
        <v>KNF SLEEK HAND WASH STRAWBERRY 400ML X 12 PCH</v>
      </c>
      <c r="O612" s="11">
        <f t="shared" si="32"/>
        <v>45</v>
      </c>
      <c r="P612" s="4" t="s">
        <v>97</v>
      </c>
      <c r="Q612" s="7" t="s">
        <v>98</v>
      </c>
      <c r="R612" s="4" t="s">
        <v>4003</v>
      </c>
      <c r="S612" s="44" t="s">
        <v>4004</v>
      </c>
      <c r="T612" s="45" t="s">
        <v>2961</v>
      </c>
      <c r="U612" s="7" t="s">
        <v>2900</v>
      </c>
      <c r="V612" s="45" t="s">
        <v>2961</v>
      </c>
      <c r="W612" s="44" t="s">
        <v>2900</v>
      </c>
      <c r="X612" s="4" t="s">
        <v>4007</v>
      </c>
      <c r="Y612" s="46" t="s">
        <v>2473</v>
      </c>
      <c r="Z612" s="4" t="s">
        <v>4006</v>
      </c>
      <c r="AA612" s="46" t="s">
        <v>2517</v>
      </c>
      <c r="AB612" s="4" t="s">
        <v>356</v>
      </c>
      <c r="AC612" s="7" t="s">
        <v>3590</v>
      </c>
      <c r="AD612" s="4" t="s">
        <v>2961</v>
      </c>
      <c r="AE612" s="7" t="s">
        <v>2900</v>
      </c>
      <c r="AF612" s="7" t="s">
        <v>2961</v>
      </c>
      <c r="AG612" s="7" t="s">
        <v>2961</v>
      </c>
      <c r="AI612" s="7" t="s">
        <v>4100</v>
      </c>
      <c r="AJ612" s="7" t="s">
        <v>2656</v>
      </c>
      <c r="AK612" s="41">
        <f>Table43[[#This Row],[Harga Jual Pcs GT
(-PPN)]]-(Table43[[#This Row],[Harga Jual Pcs GT
(-PPN)]]*10%)</f>
        <v>0</v>
      </c>
      <c r="AL612" s="42">
        <f>Table43[[#This Row],[Harga Beli Pcs
(-PPN)]]*Table43[[#This Row],[ISI/CTN]]</f>
        <v>0</v>
      </c>
      <c r="AM612" s="42">
        <f>Table43[[#This Row],[Harga Beli Pcs
(-PPN)]]*1.11</f>
        <v>0</v>
      </c>
      <c r="AN612" s="42">
        <f>Table43[[#This Row],[Harga Beli Krt
(- PPN)]]*1.11</f>
        <v>0</v>
      </c>
      <c r="AO612" s="42"/>
      <c r="AP612" s="42">
        <f>Table43[[#This Row],[Harga Jual Pcs GT
(-PPN)]]*Table43[[#This Row],[ISI/CTN]]</f>
        <v>0</v>
      </c>
      <c r="AQ612" s="42">
        <f>Table43[[#This Row],[Harga Jual Pcs GT
(-PPN)]]*1.11</f>
        <v>0</v>
      </c>
      <c r="AR612" s="42">
        <f>Table43[[#This Row],[Harga Jual Krt GT
(- PPN)]]*1.11</f>
        <v>0</v>
      </c>
      <c r="AS612" s="42">
        <f>Table43[[#This Row],[Harga Jual Pcs GT
(-PPN)]]</f>
        <v>0</v>
      </c>
      <c r="AT612" s="42">
        <f>(Table43[[#This Row],[Harga Jual Pcs MT
(-PPN)]]*Table43[[#This Row],[ISI/CTN]])</f>
        <v>0</v>
      </c>
      <c r="AU612" s="42">
        <f>Table43[[#This Row],[Harga Jual Pcs MT
(-PPN)]]*1.11</f>
        <v>0</v>
      </c>
      <c r="AV612" s="42">
        <f>Table43[[#This Row],[Harga Jual Pcs MT
(+PPN)]]*Table43[[#This Row],[ISI/CTN]]</f>
        <v>0</v>
      </c>
      <c r="AW612" s="47"/>
      <c r="AX612" s="7"/>
      <c r="AY612" s="7" t="str">
        <f ca="1">IF(TODAY()-Table43[[#This Row],[Efektif
Pembuatan]]&gt;60,"Lama","Baru")</f>
        <v>Lama</v>
      </c>
      <c r="AZ612" s="7" t="str">
        <f ca="1">IF(TODAY()-Table43[[#This Row],[Efektif Naik Harga]]&lt;30,"Naik","Sama")</f>
        <v>Sama</v>
      </c>
      <c r="BA612" s="7" t="str">
        <f>IF(Table43[[#This Row],[Kode BARANG Win2]]&lt;&gt;"","IDR","")</f>
        <v>IDR</v>
      </c>
      <c r="BB612" s="7" t="str">
        <f>CONCATENATE(Table43[[#This Row],[kode  1 Digit
(Nomor)]],Table43[[#This Row],[kode  4 Digit                (Nomor)]])</f>
        <v>10400</v>
      </c>
      <c r="BC612" s="7" t="str">
        <f>Table43[[#This Row],[Nama            Gramasi atau Jumlah Pack per CTN]]</f>
        <v>400ML</v>
      </c>
      <c r="BD612" s="7"/>
      <c r="BE612" s="7"/>
      <c r="BF612" s="4" t="str">
        <f>IF(Table43[[#This Row],[SATUAN Fix Win]]&lt;&gt;"","KRT")</f>
        <v>KRT</v>
      </c>
      <c r="BG612" s="4" t="str">
        <f>IF(Table43[[#This Row],[SATUAN Fix Win]]&lt;&gt;"","GD01")</f>
        <v>GD01</v>
      </c>
      <c r="BH612" s="4">
        <f>IF(Table43[[#This Row],[SATUAN Fix Win]]&lt;&gt;"",11611)</f>
        <v>11611</v>
      </c>
      <c r="BI612" s="4">
        <f>IF(Table43[[#This Row],[SATUAN Fix Win]]&lt;&gt;"",11612)</f>
        <v>11612</v>
      </c>
      <c r="BJ612" s="48"/>
      <c r="BK612" s="4">
        <f>IF(Table43[[#This Row],[SATUAN Fix Win]]&lt;&gt;"",1)</f>
        <v>1</v>
      </c>
    </row>
    <row r="613" spans="1:63">
      <c r="A613" s="4" t="str">
        <f>CONCATENATE(Table43[[#This Row],[Kode BARANG Win2]],Table43[[#This Row],[No. Urut
Item Sama]])</f>
        <v>K14800030500101</v>
      </c>
      <c r="B613" s="7">
        <v>1</v>
      </c>
      <c r="D613" s="28" t="s">
        <v>397</v>
      </c>
      <c r="E613" s="28"/>
      <c r="F613" s="28" t="s">
        <v>3350</v>
      </c>
      <c r="G613" s="78">
        <v>12</v>
      </c>
      <c r="H613" s="43"/>
      <c r="I613" s="28" t="str">
        <f>Table43[[#This Row],[Nama Jenis Kemasan]]</f>
        <v>BTL</v>
      </c>
      <c r="J613" s="4" t="str">
        <f>TRIM(CONCATENATE(Table43[[#This Row],[Nama            KLP]]," ",Table43[[#This Row],[Nama            Sub KLP]]))</f>
        <v>SLEEK HAND WASH</v>
      </c>
      <c r="K613" s="4" t="str">
        <f>CONCATENATE(Table43[[#This Row],[kode  2 Digit                (hrf+No)]],Table43[[#This Row],[kode  2 Digit                (Nomor)]],Table43[[#This Row],[kode  1 Digit                (Nomor)]])</f>
        <v>K1480</v>
      </c>
      <c r="L613" s="4" t="str">
        <f t="shared" si="30"/>
        <v>K1480003050010</v>
      </c>
      <c r="M613" s="11">
        <f t="shared" si="31"/>
        <v>14</v>
      </c>
      <c r="N613" s="14" t="str">
        <f>IF(AF613&lt;&gt;"",TRIM(UPPER(CONCATENATE(P613," ",R613," ",T613," ",V613," ",X613," ",Z613," ","X"," ",Table43[[#This Row],[ISI/CTN]]," ",AF613," ",AB613," ",AD613," ",AH613))),TRIM(UPPER(CONCATENATE(P613," ",R613," ",T613," ",V613," ",X613," ",Z613," ","X"," ",Table43[[#This Row],[ISI/CTN]]," ",AB613," ",AD613," ",AH613))))</f>
        <v>KNF SLEEK HAND WASH STRAWBERRY 500ML X 12 BTL</v>
      </c>
      <c r="O613" s="11">
        <f t="shared" si="32"/>
        <v>45</v>
      </c>
      <c r="P613" s="4" t="s">
        <v>97</v>
      </c>
      <c r="Q613" s="7" t="s">
        <v>98</v>
      </c>
      <c r="R613" s="4" t="s">
        <v>4003</v>
      </c>
      <c r="S613" s="44" t="s">
        <v>4004</v>
      </c>
      <c r="T613" s="45" t="s">
        <v>2961</v>
      </c>
      <c r="U613" s="7" t="s">
        <v>2900</v>
      </c>
      <c r="V613" s="45" t="s">
        <v>2961</v>
      </c>
      <c r="W613" s="44" t="s">
        <v>2900</v>
      </c>
      <c r="X613" s="4" t="s">
        <v>4007</v>
      </c>
      <c r="Y613" s="46" t="s">
        <v>2473</v>
      </c>
      <c r="Z613" s="4" t="s">
        <v>3771</v>
      </c>
      <c r="AA613" s="46" t="s">
        <v>2503</v>
      </c>
      <c r="AB613" s="4" t="s">
        <v>357</v>
      </c>
      <c r="AC613" s="7" t="s">
        <v>2656</v>
      </c>
      <c r="AD613" s="4" t="s">
        <v>2961</v>
      </c>
      <c r="AE613" s="7" t="s">
        <v>2900</v>
      </c>
      <c r="AF613" s="7" t="s">
        <v>2961</v>
      </c>
      <c r="AG613" s="7" t="s">
        <v>2961</v>
      </c>
      <c r="AI613" s="7" t="s">
        <v>4100</v>
      </c>
      <c r="AJ613" s="7" t="s">
        <v>2656</v>
      </c>
      <c r="AK613" s="41">
        <f>Table43[[#This Row],[Harga Jual Pcs GT
(-PPN)]]-(Table43[[#This Row],[Harga Jual Pcs GT
(-PPN)]]*10%)</f>
        <v>0</v>
      </c>
      <c r="AL613" s="42">
        <f>Table43[[#This Row],[Harga Beli Pcs
(-PPN)]]*Table43[[#This Row],[ISI/CTN]]</f>
        <v>0</v>
      </c>
      <c r="AM613" s="42">
        <f>Table43[[#This Row],[Harga Beli Pcs
(-PPN)]]*1.11</f>
        <v>0</v>
      </c>
      <c r="AN613" s="42">
        <f>Table43[[#This Row],[Harga Beli Krt
(- PPN)]]*1.11</f>
        <v>0</v>
      </c>
      <c r="AO613" s="42"/>
      <c r="AP613" s="42">
        <f>Table43[[#This Row],[Harga Jual Pcs GT
(-PPN)]]*Table43[[#This Row],[ISI/CTN]]</f>
        <v>0</v>
      </c>
      <c r="AQ613" s="42">
        <f>Table43[[#This Row],[Harga Jual Pcs GT
(-PPN)]]*1.11</f>
        <v>0</v>
      </c>
      <c r="AR613" s="42">
        <f>Table43[[#This Row],[Harga Jual Krt GT
(- PPN)]]*1.11</f>
        <v>0</v>
      </c>
      <c r="AS613" s="42">
        <f>Table43[[#This Row],[Harga Jual Pcs GT
(-PPN)]]</f>
        <v>0</v>
      </c>
      <c r="AT613" s="42">
        <f>(Table43[[#This Row],[Harga Jual Pcs MT
(-PPN)]]*Table43[[#This Row],[ISI/CTN]])</f>
        <v>0</v>
      </c>
      <c r="AU613" s="42">
        <f>Table43[[#This Row],[Harga Jual Pcs MT
(-PPN)]]*1.11</f>
        <v>0</v>
      </c>
      <c r="AV613" s="42">
        <f>Table43[[#This Row],[Harga Jual Pcs MT
(+PPN)]]*Table43[[#This Row],[ISI/CTN]]</f>
        <v>0</v>
      </c>
      <c r="AW613" s="47"/>
      <c r="AX613" s="7"/>
      <c r="AY613" s="7" t="str">
        <f ca="1">IF(TODAY()-Table43[[#This Row],[Efektif
Pembuatan]]&gt;60,"Lama","Baru")</f>
        <v>Lama</v>
      </c>
      <c r="AZ613" s="7" t="str">
        <f ca="1">IF(TODAY()-Table43[[#This Row],[Efektif Naik Harga]]&lt;30,"Naik","Sama")</f>
        <v>Sama</v>
      </c>
      <c r="BA613" s="7" t="str">
        <f>IF(Table43[[#This Row],[Kode BARANG Win2]]&lt;&gt;"","IDR","")</f>
        <v>IDR</v>
      </c>
      <c r="BB613" s="7" t="str">
        <f>CONCATENATE(Table43[[#This Row],[kode  1 Digit
(Nomor)]],Table43[[#This Row],[kode  4 Digit                (Nomor)]])</f>
        <v>10500</v>
      </c>
      <c r="BC613" s="7" t="str">
        <f>Table43[[#This Row],[Nama            Gramasi atau Jumlah Pack per CTN]]</f>
        <v>500ML</v>
      </c>
      <c r="BD613" s="7"/>
      <c r="BE613" s="7"/>
      <c r="BF613" s="4" t="str">
        <f>IF(Table43[[#This Row],[SATUAN Fix Win]]&lt;&gt;"","KRT")</f>
        <v>KRT</v>
      </c>
      <c r="BG613" s="4" t="str">
        <f>IF(Table43[[#This Row],[SATUAN Fix Win]]&lt;&gt;"","GD01")</f>
        <v>GD01</v>
      </c>
      <c r="BH613" s="4">
        <f>IF(Table43[[#This Row],[SATUAN Fix Win]]&lt;&gt;"",11611)</f>
        <v>11611</v>
      </c>
      <c r="BI613" s="4">
        <f>IF(Table43[[#This Row],[SATUAN Fix Win]]&lt;&gt;"",11612)</f>
        <v>11612</v>
      </c>
      <c r="BJ613" s="48"/>
      <c r="BK613" s="4">
        <f>IF(Table43[[#This Row],[SATUAN Fix Win]]&lt;&gt;"",1)</f>
        <v>1</v>
      </c>
    </row>
    <row r="614" spans="1:63">
      <c r="A614" s="4" t="str">
        <f>CONCATENATE(Table43[[#This Row],[Kode BARANG Win2]],Table43[[#This Row],[No. Urut
Item Sama]])</f>
        <v>K14800031004201</v>
      </c>
      <c r="B614" s="7">
        <v>1</v>
      </c>
      <c r="D614" s="28" t="s">
        <v>398</v>
      </c>
      <c r="E614" s="28"/>
      <c r="F614" s="28" t="s">
        <v>3351</v>
      </c>
      <c r="G614" s="78">
        <v>4</v>
      </c>
      <c r="H614" s="43"/>
      <c r="I614" s="28" t="str">
        <f>Table43[[#This Row],[Nama Jenis Kemasan]]</f>
        <v>JRG</v>
      </c>
      <c r="J614" s="4" t="str">
        <f>TRIM(CONCATENATE(Table43[[#This Row],[Nama            KLP]]," ",Table43[[#This Row],[Nama            Sub KLP]]))</f>
        <v>SLEEK HAND WASH</v>
      </c>
      <c r="K614" s="4" t="str">
        <f>CONCATENATE(Table43[[#This Row],[kode  2 Digit                (hrf+No)]],Table43[[#This Row],[kode  2 Digit                (Nomor)]],Table43[[#This Row],[kode  1 Digit                (Nomor)]])</f>
        <v>K1480</v>
      </c>
      <c r="L614" s="4" t="str">
        <f t="shared" si="30"/>
        <v>K1480003100420</v>
      </c>
      <c r="M614" s="11">
        <f t="shared" si="31"/>
        <v>14</v>
      </c>
      <c r="N614" s="14" t="str">
        <f>IF(AF614&lt;&gt;"",TRIM(UPPER(CONCATENATE(P614," ",R614," ",T614," ",V614," ",X614," ",Z614," ","X"," ",Table43[[#This Row],[ISI/CTN]]," ",AF614," ",AB614," ",AD614," ",AH614))),TRIM(UPPER(CONCATENATE(P614," ",R614," ",T614," ",V614," ",X614," ",Z614," ","X"," ",Table43[[#This Row],[ISI/CTN]]," ",AB614," ",AD614," ",AH614))))</f>
        <v>KNF SLEEK HAND WASH STRAWBERRY 4L X 4 JRG</v>
      </c>
      <c r="O614" s="11">
        <f t="shared" si="32"/>
        <v>41</v>
      </c>
      <c r="P614" s="4" t="s">
        <v>97</v>
      </c>
      <c r="Q614" s="7" t="s">
        <v>98</v>
      </c>
      <c r="R614" s="4" t="s">
        <v>4003</v>
      </c>
      <c r="S614" s="44" t="s">
        <v>4004</v>
      </c>
      <c r="T614" s="45" t="s">
        <v>2961</v>
      </c>
      <c r="U614" s="7" t="s">
        <v>2900</v>
      </c>
      <c r="V614" s="45" t="s">
        <v>2961</v>
      </c>
      <c r="W614" s="44" t="s">
        <v>2900</v>
      </c>
      <c r="X614" s="4" t="s">
        <v>4007</v>
      </c>
      <c r="Y614" s="46" t="s">
        <v>2473</v>
      </c>
      <c r="Z614" s="4" t="s">
        <v>3817</v>
      </c>
      <c r="AA614" s="46" t="s">
        <v>3818</v>
      </c>
      <c r="AB614" s="4" t="s">
        <v>358</v>
      </c>
      <c r="AC614" s="7" t="s">
        <v>3562</v>
      </c>
      <c r="AD614" s="4" t="s">
        <v>2961</v>
      </c>
      <c r="AE614" s="7" t="s">
        <v>2900</v>
      </c>
      <c r="AF614" s="7" t="s">
        <v>2961</v>
      </c>
      <c r="AG614" s="7" t="s">
        <v>2961</v>
      </c>
      <c r="AI614" s="7" t="s">
        <v>4100</v>
      </c>
      <c r="AJ614" s="7" t="s">
        <v>2656</v>
      </c>
      <c r="AK614" s="41">
        <f>Table43[[#This Row],[Harga Jual Pcs GT
(-PPN)]]-(Table43[[#This Row],[Harga Jual Pcs GT
(-PPN)]]*10%)</f>
        <v>0</v>
      </c>
      <c r="AL614" s="42">
        <f>Table43[[#This Row],[Harga Beli Pcs
(-PPN)]]*Table43[[#This Row],[ISI/CTN]]</f>
        <v>0</v>
      </c>
      <c r="AM614" s="42">
        <f>Table43[[#This Row],[Harga Beli Pcs
(-PPN)]]*1.11</f>
        <v>0</v>
      </c>
      <c r="AN614" s="42">
        <f>Table43[[#This Row],[Harga Beli Krt
(- PPN)]]*1.11</f>
        <v>0</v>
      </c>
      <c r="AO614" s="42"/>
      <c r="AP614" s="42">
        <f>Table43[[#This Row],[Harga Jual Pcs GT
(-PPN)]]*Table43[[#This Row],[ISI/CTN]]</f>
        <v>0</v>
      </c>
      <c r="AQ614" s="42">
        <f>Table43[[#This Row],[Harga Jual Pcs GT
(-PPN)]]*1.11</f>
        <v>0</v>
      </c>
      <c r="AR614" s="42">
        <f>Table43[[#This Row],[Harga Jual Krt GT
(- PPN)]]*1.11</f>
        <v>0</v>
      </c>
      <c r="AS614" s="42">
        <f>Table43[[#This Row],[Harga Jual Pcs GT
(-PPN)]]</f>
        <v>0</v>
      </c>
      <c r="AT614" s="42">
        <f>(Table43[[#This Row],[Harga Jual Pcs MT
(-PPN)]]*Table43[[#This Row],[ISI/CTN]])</f>
        <v>0</v>
      </c>
      <c r="AU614" s="42">
        <f>Table43[[#This Row],[Harga Jual Pcs MT
(-PPN)]]*1.11</f>
        <v>0</v>
      </c>
      <c r="AV614" s="42">
        <f>Table43[[#This Row],[Harga Jual Pcs MT
(+PPN)]]*Table43[[#This Row],[ISI/CTN]]</f>
        <v>0</v>
      </c>
      <c r="AW614" s="47"/>
      <c r="AX614" s="7"/>
      <c r="AY614" s="7" t="str">
        <f ca="1">IF(TODAY()-Table43[[#This Row],[Efektif
Pembuatan]]&gt;60,"Lama","Baru")</f>
        <v>Lama</v>
      </c>
      <c r="AZ614" s="7" t="str">
        <f ca="1">IF(TODAY()-Table43[[#This Row],[Efektif Naik Harga]]&lt;30,"Naik","Sama")</f>
        <v>Sama</v>
      </c>
      <c r="BA614" s="7" t="str">
        <f>IF(Table43[[#This Row],[Kode BARANG Win2]]&lt;&gt;"","IDR","")</f>
        <v>IDR</v>
      </c>
      <c r="BB614" s="7" t="str">
        <f>CONCATENATE(Table43[[#This Row],[kode  1 Digit
(Nomor)]],Table43[[#This Row],[kode  4 Digit                (Nomor)]])</f>
        <v>11004</v>
      </c>
      <c r="BC614" s="7" t="str">
        <f>Table43[[#This Row],[Nama            Gramasi atau Jumlah Pack per CTN]]</f>
        <v>4L</v>
      </c>
      <c r="BD614" s="7"/>
      <c r="BE614" s="7"/>
      <c r="BF614" s="4" t="str">
        <f>IF(Table43[[#This Row],[SATUAN Fix Win]]&lt;&gt;"","KRT")</f>
        <v>KRT</v>
      </c>
      <c r="BG614" s="4" t="str">
        <f>IF(Table43[[#This Row],[SATUAN Fix Win]]&lt;&gt;"","GD01")</f>
        <v>GD01</v>
      </c>
      <c r="BH614" s="4">
        <f>IF(Table43[[#This Row],[SATUAN Fix Win]]&lt;&gt;"",11611)</f>
        <v>11611</v>
      </c>
      <c r="BI614" s="4">
        <f>IF(Table43[[#This Row],[SATUAN Fix Win]]&lt;&gt;"",11612)</f>
        <v>11612</v>
      </c>
      <c r="BJ614" s="48"/>
      <c r="BK614" s="4">
        <f>IF(Table43[[#This Row],[SATUAN Fix Win]]&lt;&gt;"",1)</f>
        <v>1</v>
      </c>
    </row>
    <row r="615" spans="1:63">
      <c r="A615" s="4" t="str">
        <f>CONCATENATE(Table43[[#This Row],[Kode BARANG Win2]],Table43[[#This Row],[No. Urut
Item Sama]])</f>
        <v>K14900010250101</v>
      </c>
      <c r="B615" s="7">
        <v>1</v>
      </c>
      <c r="D615" s="28" t="s">
        <v>407</v>
      </c>
      <c r="E615" s="28"/>
      <c r="F615" s="28" t="s">
        <v>3352</v>
      </c>
      <c r="G615" s="78">
        <v>24</v>
      </c>
      <c r="H615" s="43"/>
      <c r="I615" s="28" t="str">
        <f>Table43[[#This Row],[Nama Jenis Kemasan]]</f>
        <v>BTL</v>
      </c>
      <c r="J615" s="4" t="str">
        <f>TRIM(CONCATENATE(Table43[[#This Row],[Nama            KLP]]," ",Table43[[#This Row],[Nama            Sub KLP]]))</f>
        <v>SLEEK FOAMY H W</v>
      </c>
      <c r="K615" s="4" t="str">
        <f>CONCATENATE(Table43[[#This Row],[kode  2 Digit                (hrf+No)]],Table43[[#This Row],[kode  2 Digit                (Nomor)]],Table43[[#This Row],[kode  1 Digit                (Nomor)]])</f>
        <v>K1490</v>
      </c>
      <c r="L615" s="4" t="str">
        <f t="shared" si="30"/>
        <v>K1490001025010</v>
      </c>
      <c r="M615" s="11">
        <f t="shared" si="31"/>
        <v>14</v>
      </c>
      <c r="N615" s="14" t="str">
        <f>IF(AF615&lt;&gt;"",TRIM(UPPER(CONCATENATE(P615," ",R615," ",T615," ",V615," ",X615," ",Z615," ","X"," ",Table43[[#This Row],[ISI/CTN]]," ",AF615," ",AB615," ",AD615," ",AH615))),TRIM(UPPER(CONCATENATE(P615," ",R615," ",T615," ",V615," ",X615," ",Z615," ","X"," ",Table43[[#This Row],[ISI/CTN]]," ",AB615," ",AD615," ",AH615))))</f>
        <v>KNF SLEEK FOAMY H W CARING 250ML X 24 BTL</v>
      </c>
      <c r="O615" s="11">
        <f t="shared" si="32"/>
        <v>41</v>
      </c>
      <c r="P615" s="4" t="s">
        <v>97</v>
      </c>
      <c r="Q615" s="7" t="s">
        <v>98</v>
      </c>
      <c r="R615" s="4" t="s">
        <v>4008</v>
      </c>
      <c r="S615" s="44" t="s">
        <v>4009</v>
      </c>
      <c r="T615" s="45" t="s">
        <v>2961</v>
      </c>
      <c r="U615" s="7" t="s">
        <v>2900</v>
      </c>
      <c r="V615" s="45" t="s">
        <v>2961</v>
      </c>
      <c r="W615" s="44" t="s">
        <v>2900</v>
      </c>
      <c r="X615" s="4" t="s">
        <v>4010</v>
      </c>
      <c r="Y615" s="46" t="s">
        <v>0</v>
      </c>
      <c r="Z615" s="4" t="s">
        <v>3580</v>
      </c>
      <c r="AA615" s="46" t="s">
        <v>2484</v>
      </c>
      <c r="AB615" s="4" t="s">
        <v>357</v>
      </c>
      <c r="AC615" s="7" t="s">
        <v>2656</v>
      </c>
      <c r="AD615" s="4" t="s">
        <v>2961</v>
      </c>
      <c r="AE615" s="7" t="s">
        <v>2900</v>
      </c>
      <c r="AF615" s="7" t="s">
        <v>2961</v>
      </c>
      <c r="AG615" s="7" t="s">
        <v>2961</v>
      </c>
      <c r="AI615" s="7" t="s">
        <v>4100</v>
      </c>
      <c r="AJ615" s="7" t="s">
        <v>2656</v>
      </c>
      <c r="AK615" s="41">
        <f>Table43[[#This Row],[Harga Jual Pcs GT
(-PPN)]]-(Table43[[#This Row],[Harga Jual Pcs GT
(-PPN)]]*10%)</f>
        <v>0</v>
      </c>
      <c r="AL615" s="42">
        <f>Table43[[#This Row],[Harga Beli Pcs
(-PPN)]]*Table43[[#This Row],[ISI/CTN]]</f>
        <v>0</v>
      </c>
      <c r="AM615" s="42">
        <f>Table43[[#This Row],[Harga Beli Pcs
(-PPN)]]*1.11</f>
        <v>0</v>
      </c>
      <c r="AN615" s="42">
        <f>Table43[[#This Row],[Harga Beli Krt
(- PPN)]]*1.11</f>
        <v>0</v>
      </c>
      <c r="AO615" s="42"/>
      <c r="AP615" s="42">
        <f>Table43[[#This Row],[Harga Jual Pcs GT
(-PPN)]]*Table43[[#This Row],[ISI/CTN]]</f>
        <v>0</v>
      </c>
      <c r="AQ615" s="42">
        <f>Table43[[#This Row],[Harga Jual Pcs GT
(-PPN)]]*1.11</f>
        <v>0</v>
      </c>
      <c r="AR615" s="42">
        <f>Table43[[#This Row],[Harga Jual Krt GT
(- PPN)]]*1.11</f>
        <v>0</v>
      </c>
      <c r="AS615" s="42">
        <f>Table43[[#This Row],[Harga Jual Pcs GT
(-PPN)]]</f>
        <v>0</v>
      </c>
      <c r="AT615" s="42">
        <f>(Table43[[#This Row],[Harga Jual Pcs MT
(-PPN)]]*Table43[[#This Row],[ISI/CTN]])</f>
        <v>0</v>
      </c>
      <c r="AU615" s="42">
        <f>Table43[[#This Row],[Harga Jual Pcs MT
(-PPN)]]*1.11</f>
        <v>0</v>
      </c>
      <c r="AV615" s="42">
        <f>Table43[[#This Row],[Harga Jual Pcs MT
(+PPN)]]*Table43[[#This Row],[ISI/CTN]]</f>
        <v>0</v>
      </c>
      <c r="AW615" s="47"/>
      <c r="AX615" s="7"/>
      <c r="AY615" s="7" t="str">
        <f ca="1">IF(TODAY()-Table43[[#This Row],[Efektif
Pembuatan]]&gt;60,"Lama","Baru")</f>
        <v>Lama</v>
      </c>
      <c r="AZ615" s="7" t="str">
        <f ca="1">IF(TODAY()-Table43[[#This Row],[Efektif Naik Harga]]&lt;30,"Naik","Sama")</f>
        <v>Sama</v>
      </c>
      <c r="BA615" s="7" t="str">
        <f>IF(Table43[[#This Row],[Kode BARANG Win2]]&lt;&gt;"","IDR","")</f>
        <v>IDR</v>
      </c>
      <c r="BB615" s="7" t="str">
        <f>CONCATENATE(Table43[[#This Row],[kode  1 Digit
(Nomor)]],Table43[[#This Row],[kode  4 Digit                (Nomor)]])</f>
        <v>10250</v>
      </c>
      <c r="BC615" s="7" t="str">
        <f>Table43[[#This Row],[Nama            Gramasi atau Jumlah Pack per CTN]]</f>
        <v>250ML</v>
      </c>
      <c r="BD615" s="7"/>
      <c r="BE615" s="7"/>
      <c r="BF615" s="4" t="str">
        <f>IF(Table43[[#This Row],[SATUAN Fix Win]]&lt;&gt;"","KRT")</f>
        <v>KRT</v>
      </c>
      <c r="BG615" s="4" t="str">
        <f>IF(Table43[[#This Row],[SATUAN Fix Win]]&lt;&gt;"","GD01")</f>
        <v>GD01</v>
      </c>
      <c r="BH615" s="4">
        <f>IF(Table43[[#This Row],[SATUAN Fix Win]]&lt;&gt;"",11611)</f>
        <v>11611</v>
      </c>
      <c r="BI615" s="4">
        <f>IF(Table43[[#This Row],[SATUAN Fix Win]]&lt;&gt;"",11612)</f>
        <v>11612</v>
      </c>
      <c r="BJ615" s="48"/>
      <c r="BK615" s="4">
        <f>IF(Table43[[#This Row],[SATUAN Fix Win]]&lt;&gt;"",1)</f>
        <v>1</v>
      </c>
    </row>
    <row r="616" spans="1:63">
      <c r="A616" s="4" t="str">
        <f>CONCATENATE(Table43[[#This Row],[Kode BARANG Win2]],Table43[[#This Row],[No. Urut
Item Sama]])</f>
        <v>K14900010250111</v>
      </c>
      <c r="B616" s="7">
        <v>1</v>
      </c>
      <c r="D616" s="28" t="s">
        <v>408</v>
      </c>
      <c r="E616" s="28"/>
      <c r="F616" s="28" t="s">
        <v>3353</v>
      </c>
      <c r="G616" s="78">
        <v>24</v>
      </c>
      <c r="H616" s="43"/>
      <c r="I616" s="28" t="str">
        <f>Table43[[#This Row],[Nama Jenis Kemasan]]</f>
        <v>BTL</v>
      </c>
      <c r="J616" s="4" t="str">
        <f>TRIM(CONCATENATE(Table43[[#This Row],[Nama            KLP]]," ",Table43[[#This Row],[Nama            Sub KLP]]))</f>
        <v>SLEEK FOAMY H W</v>
      </c>
      <c r="K616" s="4" t="str">
        <f>CONCATENATE(Table43[[#This Row],[kode  2 Digit                (hrf+No)]],Table43[[#This Row],[kode  2 Digit                (Nomor)]],Table43[[#This Row],[kode  1 Digit                (Nomor)]])</f>
        <v>K1490</v>
      </c>
      <c r="L616" s="4" t="str">
        <f t="shared" si="30"/>
        <v>K1490001025011</v>
      </c>
      <c r="M616" s="11">
        <f t="shared" si="31"/>
        <v>14</v>
      </c>
      <c r="N616" s="14" t="str">
        <f>IF(AF616&lt;&gt;"",TRIM(UPPER(CONCATENATE(P616," ",R616," ",T616," ",V616," ",X616," ",Z616," ","X"," ",Table43[[#This Row],[ISI/CTN]]," ",AF616," ",AB616," ",AD616," ",AH616))),TRIM(UPPER(CONCATENATE(P616," ",R616," ",T616," ",V616," ",X616," ",Z616," ","X"," ",Table43[[#This Row],[ISI/CTN]]," ",AB616," ",AD616," ",AH616))))</f>
        <v>KNF SLEEK FOAMY H W CARING 250ML X 24 BTL</v>
      </c>
      <c r="O616" s="11">
        <f t="shared" si="32"/>
        <v>41</v>
      </c>
      <c r="P616" s="4" t="s">
        <v>97</v>
      </c>
      <c r="Q616" s="7" t="s">
        <v>98</v>
      </c>
      <c r="R616" s="4" t="s">
        <v>4008</v>
      </c>
      <c r="S616" s="44" t="s">
        <v>4009</v>
      </c>
      <c r="T616" s="45" t="s">
        <v>2961</v>
      </c>
      <c r="U616" s="7" t="s">
        <v>2900</v>
      </c>
      <c r="V616" s="45" t="s">
        <v>2961</v>
      </c>
      <c r="W616" s="44" t="s">
        <v>2900</v>
      </c>
      <c r="X616" s="4" t="s">
        <v>4010</v>
      </c>
      <c r="Y616" s="46" t="s">
        <v>0</v>
      </c>
      <c r="Z616" s="4" t="s">
        <v>3580</v>
      </c>
      <c r="AA616" s="46" t="s">
        <v>2484</v>
      </c>
      <c r="AB616" s="4" t="s">
        <v>357</v>
      </c>
      <c r="AC616" s="7" t="s">
        <v>2656</v>
      </c>
      <c r="AD616" s="4" t="s">
        <v>2961</v>
      </c>
      <c r="AE616" s="7" t="s">
        <v>2656</v>
      </c>
      <c r="AF616" s="7" t="s">
        <v>2961</v>
      </c>
      <c r="AG616" s="7" t="s">
        <v>2961</v>
      </c>
      <c r="AI616" s="7" t="s">
        <v>4100</v>
      </c>
      <c r="AJ616" s="7" t="s">
        <v>2656</v>
      </c>
      <c r="AK616" s="41">
        <f>Table43[[#This Row],[Harga Jual Pcs GT
(-PPN)]]-(Table43[[#This Row],[Harga Jual Pcs GT
(-PPN)]]*10%)</f>
        <v>0</v>
      </c>
      <c r="AL616" s="42">
        <f>Table43[[#This Row],[Harga Beli Pcs
(-PPN)]]*Table43[[#This Row],[ISI/CTN]]</f>
        <v>0</v>
      </c>
      <c r="AM616" s="42">
        <f>Table43[[#This Row],[Harga Beli Pcs
(-PPN)]]*1.11</f>
        <v>0</v>
      </c>
      <c r="AN616" s="42">
        <f>Table43[[#This Row],[Harga Beli Krt
(- PPN)]]*1.11</f>
        <v>0</v>
      </c>
      <c r="AO616" s="42"/>
      <c r="AP616" s="42">
        <f>Table43[[#This Row],[Harga Jual Pcs GT
(-PPN)]]*Table43[[#This Row],[ISI/CTN]]</f>
        <v>0</v>
      </c>
      <c r="AQ616" s="42">
        <f>Table43[[#This Row],[Harga Jual Pcs GT
(-PPN)]]*1.11</f>
        <v>0</v>
      </c>
      <c r="AR616" s="42">
        <f>Table43[[#This Row],[Harga Jual Krt GT
(- PPN)]]*1.11</f>
        <v>0</v>
      </c>
      <c r="AS616" s="42">
        <f>Table43[[#This Row],[Harga Jual Pcs GT
(-PPN)]]</f>
        <v>0</v>
      </c>
      <c r="AT616" s="42">
        <f>(Table43[[#This Row],[Harga Jual Pcs MT
(-PPN)]]*Table43[[#This Row],[ISI/CTN]])</f>
        <v>0</v>
      </c>
      <c r="AU616" s="42">
        <f>Table43[[#This Row],[Harga Jual Pcs MT
(-PPN)]]*1.11</f>
        <v>0</v>
      </c>
      <c r="AV616" s="42">
        <f>Table43[[#This Row],[Harga Jual Pcs MT
(+PPN)]]*Table43[[#This Row],[ISI/CTN]]</f>
        <v>0</v>
      </c>
      <c r="AW616" s="47"/>
      <c r="AX616" s="7"/>
      <c r="AY616" s="7" t="str">
        <f ca="1">IF(TODAY()-Table43[[#This Row],[Efektif
Pembuatan]]&gt;60,"Lama","Baru")</f>
        <v>Lama</v>
      </c>
      <c r="AZ616" s="7" t="str">
        <f ca="1">IF(TODAY()-Table43[[#This Row],[Efektif Naik Harga]]&lt;30,"Naik","Sama")</f>
        <v>Sama</v>
      </c>
      <c r="BA616" s="7" t="str">
        <f>IF(Table43[[#This Row],[Kode BARANG Win2]]&lt;&gt;"","IDR","")</f>
        <v>IDR</v>
      </c>
      <c r="BB616" s="7" t="str">
        <f>CONCATENATE(Table43[[#This Row],[kode  1 Digit
(Nomor)]],Table43[[#This Row],[kode  4 Digit                (Nomor)]])</f>
        <v>10250</v>
      </c>
      <c r="BC616" s="7" t="str">
        <f>Table43[[#This Row],[Nama            Gramasi atau Jumlah Pack per CTN]]</f>
        <v>250ML</v>
      </c>
      <c r="BD616" s="7"/>
      <c r="BE616" s="7"/>
      <c r="BF616" s="4" t="str">
        <f>IF(Table43[[#This Row],[SATUAN Fix Win]]&lt;&gt;"","KRT")</f>
        <v>KRT</v>
      </c>
      <c r="BG616" s="4" t="str">
        <f>IF(Table43[[#This Row],[SATUAN Fix Win]]&lt;&gt;"","GD01")</f>
        <v>GD01</v>
      </c>
      <c r="BH616" s="4">
        <f>IF(Table43[[#This Row],[SATUAN Fix Win]]&lt;&gt;"",11611)</f>
        <v>11611</v>
      </c>
      <c r="BI616" s="4">
        <f>IF(Table43[[#This Row],[SATUAN Fix Win]]&lt;&gt;"",11612)</f>
        <v>11612</v>
      </c>
      <c r="BJ616" s="48"/>
      <c r="BK616" s="4">
        <f>IF(Table43[[#This Row],[SATUAN Fix Win]]&lt;&gt;"",1)</f>
        <v>1</v>
      </c>
    </row>
    <row r="617" spans="1:63">
      <c r="A617" s="4" t="str">
        <f>CONCATENATE(Table43[[#This Row],[Kode BARANG Win2]],Table43[[#This Row],[No. Urut
Item Sama]])</f>
        <v>K14900010250201</v>
      </c>
      <c r="B617" s="7">
        <v>1</v>
      </c>
      <c r="D617" s="28" t="s">
        <v>406</v>
      </c>
      <c r="E617" s="28"/>
      <c r="F617" s="28" t="s">
        <v>3354</v>
      </c>
      <c r="G617" s="78">
        <v>24</v>
      </c>
      <c r="H617" s="43"/>
      <c r="I617" s="28" t="str">
        <f>Table43[[#This Row],[Nama Jenis Kemasan]]</f>
        <v>PCH</v>
      </c>
      <c r="J617" s="4" t="str">
        <f>TRIM(CONCATENATE(Table43[[#This Row],[Nama            KLP]]," ",Table43[[#This Row],[Nama            Sub KLP]]))</f>
        <v>SLEEK FOAMY H W</v>
      </c>
      <c r="K617" s="4" t="str">
        <f>CONCATENATE(Table43[[#This Row],[kode  2 Digit                (hrf+No)]],Table43[[#This Row],[kode  2 Digit                (Nomor)]],Table43[[#This Row],[kode  1 Digit                (Nomor)]])</f>
        <v>K1490</v>
      </c>
      <c r="L617" s="4" t="str">
        <f t="shared" si="30"/>
        <v>K1490001025020</v>
      </c>
      <c r="M617" s="11">
        <f t="shared" si="31"/>
        <v>14</v>
      </c>
      <c r="N617" s="14" t="str">
        <f>IF(AF617&lt;&gt;"",TRIM(UPPER(CONCATENATE(P617," ",R617," ",T617," ",V617," ",X617," ",Z617," ","X"," ",Table43[[#This Row],[ISI/CTN]]," ",AF617," ",AB617," ",AD617," ",AH617))),TRIM(UPPER(CONCATENATE(P617," ",R617," ",T617," ",V617," ",X617," ",Z617," ","X"," ",Table43[[#This Row],[ISI/CTN]]," ",AB617," ",AD617," ",AH617))))</f>
        <v>KNF SLEEK FOAMY H W CARING 250ML X 24 PCH</v>
      </c>
      <c r="O617" s="11">
        <f t="shared" si="32"/>
        <v>41</v>
      </c>
      <c r="P617" s="4" t="s">
        <v>97</v>
      </c>
      <c r="Q617" s="7" t="s">
        <v>98</v>
      </c>
      <c r="R617" s="4" t="s">
        <v>4008</v>
      </c>
      <c r="S617" s="44" t="s">
        <v>4009</v>
      </c>
      <c r="T617" s="45" t="s">
        <v>2961</v>
      </c>
      <c r="U617" s="7" t="s">
        <v>2900</v>
      </c>
      <c r="V617" s="45" t="s">
        <v>2961</v>
      </c>
      <c r="W617" s="44" t="s">
        <v>2900</v>
      </c>
      <c r="X617" s="4" t="s">
        <v>4010</v>
      </c>
      <c r="Y617" s="46" t="s">
        <v>0</v>
      </c>
      <c r="Z617" s="4" t="s">
        <v>3580</v>
      </c>
      <c r="AA617" s="46" t="s">
        <v>2484</v>
      </c>
      <c r="AB617" s="4" t="s">
        <v>356</v>
      </c>
      <c r="AC617" s="7" t="s">
        <v>3562</v>
      </c>
      <c r="AD617" s="4" t="s">
        <v>2961</v>
      </c>
      <c r="AE617" s="7" t="s">
        <v>2900</v>
      </c>
      <c r="AF617" s="7" t="s">
        <v>2961</v>
      </c>
      <c r="AG617" s="7" t="s">
        <v>2961</v>
      </c>
      <c r="AI617" s="7" t="s">
        <v>4100</v>
      </c>
      <c r="AJ617" s="7" t="s">
        <v>2656</v>
      </c>
      <c r="AK617" s="41">
        <f>Table43[[#This Row],[Harga Jual Pcs GT
(-PPN)]]-(Table43[[#This Row],[Harga Jual Pcs GT
(-PPN)]]*10%)</f>
        <v>0</v>
      </c>
      <c r="AL617" s="42">
        <f>Table43[[#This Row],[Harga Beli Pcs
(-PPN)]]*Table43[[#This Row],[ISI/CTN]]</f>
        <v>0</v>
      </c>
      <c r="AM617" s="42">
        <f>Table43[[#This Row],[Harga Beli Pcs
(-PPN)]]*1.11</f>
        <v>0</v>
      </c>
      <c r="AN617" s="42">
        <f>Table43[[#This Row],[Harga Beli Krt
(- PPN)]]*1.11</f>
        <v>0</v>
      </c>
      <c r="AO617" s="42"/>
      <c r="AP617" s="42">
        <f>Table43[[#This Row],[Harga Jual Pcs GT
(-PPN)]]*Table43[[#This Row],[ISI/CTN]]</f>
        <v>0</v>
      </c>
      <c r="AQ617" s="42">
        <f>Table43[[#This Row],[Harga Jual Pcs GT
(-PPN)]]*1.11</f>
        <v>0</v>
      </c>
      <c r="AR617" s="42">
        <f>Table43[[#This Row],[Harga Jual Krt GT
(- PPN)]]*1.11</f>
        <v>0</v>
      </c>
      <c r="AS617" s="42">
        <f>Table43[[#This Row],[Harga Jual Pcs GT
(-PPN)]]</f>
        <v>0</v>
      </c>
      <c r="AT617" s="42">
        <f>(Table43[[#This Row],[Harga Jual Pcs MT
(-PPN)]]*Table43[[#This Row],[ISI/CTN]])</f>
        <v>0</v>
      </c>
      <c r="AU617" s="42">
        <f>Table43[[#This Row],[Harga Jual Pcs MT
(-PPN)]]*1.11</f>
        <v>0</v>
      </c>
      <c r="AV617" s="42">
        <f>Table43[[#This Row],[Harga Jual Pcs MT
(+PPN)]]*Table43[[#This Row],[ISI/CTN]]</f>
        <v>0</v>
      </c>
      <c r="AW617" s="47"/>
      <c r="AX617" s="7"/>
      <c r="AY617" s="7" t="str">
        <f ca="1">IF(TODAY()-Table43[[#This Row],[Efektif
Pembuatan]]&gt;60,"Lama","Baru")</f>
        <v>Lama</v>
      </c>
      <c r="AZ617" s="7" t="str">
        <f ca="1">IF(TODAY()-Table43[[#This Row],[Efektif Naik Harga]]&lt;30,"Naik","Sama")</f>
        <v>Sama</v>
      </c>
      <c r="BA617" s="7" t="str">
        <f>IF(Table43[[#This Row],[Kode BARANG Win2]]&lt;&gt;"","IDR","")</f>
        <v>IDR</v>
      </c>
      <c r="BB617" s="7" t="str">
        <f>CONCATENATE(Table43[[#This Row],[kode  1 Digit
(Nomor)]],Table43[[#This Row],[kode  4 Digit                (Nomor)]])</f>
        <v>10250</v>
      </c>
      <c r="BC617" s="7" t="str">
        <f>Table43[[#This Row],[Nama            Gramasi atau Jumlah Pack per CTN]]</f>
        <v>250ML</v>
      </c>
      <c r="BD617" s="7"/>
      <c r="BE617" s="7"/>
      <c r="BF617" s="4" t="str">
        <f>IF(Table43[[#This Row],[SATUAN Fix Win]]&lt;&gt;"","KRT")</f>
        <v>KRT</v>
      </c>
      <c r="BG617" s="4" t="str">
        <f>IF(Table43[[#This Row],[SATUAN Fix Win]]&lt;&gt;"","GD01")</f>
        <v>GD01</v>
      </c>
      <c r="BH617" s="4">
        <f>IF(Table43[[#This Row],[SATUAN Fix Win]]&lt;&gt;"",11611)</f>
        <v>11611</v>
      </c>
      <c r="BI617" s="4">
        <f>IF(Table43[[#This Row],[SATUAN Fix Win]]&lt;&gt;"",11612)</f>
        <v>11612</v>
      </c>
      <c r="BJ617" s="48"/>
      <c r="BK617" s="4">
        <f>IF(Table43[[#This Row],[SATUAN Fix Win]]&lt;&gt;"",1)</f>
        <v>1</v>
      </c>
    </row>
    <row r="618" spans="1:63">
      <c r="A618" s="4" t="str">
        <f>CONCATENATE(Table43[[#This Row],[Kode BARANG Win2]],Table43[[#This Row],[No. Urut
Item Sama]])</f>
        <v>K14900020320101</v>
      </c>
      <c r="B618" s="7">
        <v>1</v>
      </c>
      <c r="D618" s="28" t="s">
        <v>402</v>
      </c>
      <c r="E618" s="28"/>
      <c r="F618" s="28" t="s">
        <v>3355</v>
      </c>
      <c r="G618" s="78">
        <v>12</v>
      </c>
      <c r="H618" s="43"/>
      <c r="I618" s="28" t="str">
        <f>Table43[[#This Row],[Nama Jenis Kemasan]]</f>
        <v>BTL</v>
      </c>
      <c r="J618" s="4" t="str">
        <f>TRIM(CONCATENATE(Table43[[#This Row],[Nama            KLP]]," ",Table43[[#This Row],[Nama            Sub KLP]]))</f>
        <v>SLEEK FOAMY H W</v>
      </c>
      <c r="K618" s="4" t="str">
        <f>CONCATENATE(Table43[[#This Row],[kode  2 Digit                (hrf+No)]],Table43[[#This Row],[kode  2 Digit                (Nomor)]],Table43[[#This Row],[kode  1 Digit                (Nomor)]])</f>
        <v>K1490</v>
      </c>
      <c r="L618" s="4" t="str">
        <f t="shared" si="30"/>
        <v>K1490002032010</v>
      </c>
      <c r="M618" s="11">
        <f t="shared" si="31"/>
        <v>14</v>
      </c>
      <c r="N618" s="14" t="str">
        <f>IF(AF618&lt;&gt;"",TRIM(UPPER(CONCATENATE(P618," ",R618," ",T618," ",V618," ",X618," ",Z618," ","X"," ",Table43[[#This Row],[ISI/CTN]]," ",AF618," ",AB618," ",AD618," ",AH618))),TRIM(UPPER(CONCATENATE(P618," ",R618," ",T618," ",V618," ",X618," ",Z618," ","X"," ",Table43[[#This Row],[ISI/CTN]]," ",AB618," ",AD618," ",AH618))))</f>
        <v>KNF SLEEK FOAMY H W FRUITS&amp;VEGETABLE 320ML X 12 BTL</v>
      </c>
      <c r="O618" s="11">
        <f t="shared" si="32"/>
        <v>51</v>
      </c>
      <c r="P618" s="4" t="s">
        <v>97</v>
      </c>
      <c r="Q618" s="7" t="s">
        <v>98</v>
      </c>
      <c r="R618" s="4" t="s">
        <v>4008</v>
      </c>
      <c r="S618" s="44" t="s">
        <v>4009</v>
      </c>
      <c r="T618" s="45" t="s">
        <v>2961</v>
      </c>
      <c r="U618" s="7" t="s">
        <v>2900</v>
      </c>
      <c r="V618" s="45" t="s">
        <v>2961</v>
      </c>
      <c r="W618" s="44" t="s">
        <v>2900</v>
      </c>
      <c r="X618" s="4" t="s">
        <v>4011</v>
      </c>
      <c r="Y618" s="46" t="s">
        <v>2472</v>
      </c>
      <c r="Z618" s="4" t="s">
        <v>4012</v>
      </c>
      <c r="AA618" s="46" t="s">
        <v>2516</v>
      </c>
      <c r="AB618" s="4" t="s">
        <v>357</v>
      </c>
      <c r="AC618" s="7" t="s">
        <v>2656</v>
      </c>
      <c r="AD618" s="4" t="s">
        <v>2961</v>
      </c>
      <c r="AE618" s="7" t="s">
        <v>2900</v>
      </c>
      <c r="AF618" s="7" t="s">
        <v>2961</v>
      </c>
      <c r="AG618" s="7" t="s">
        <v>2961</v>
      </c>
      <c r="AI618" s="7" t="s">
        <v>4100</v>
      </c>
      <c r="AJ618" s="7" t="s">
        <v>2656</v>
      </c>
      <c r="AK618" s="41">
        <f>Table43[[#This Row],[Harga Jual Pcs GT
(-PPN)]]-(Table43[[#This Row],[Harga Jual Pcs GT
(-PPN)]]*10%)</f>
        <v>0</v>
      </c>
      <c r="AL618" s="42">
        <f>Table43[[#This Row],[Harga Beli Pcs
(-PPN)]]*Table43[[#This Row],[ISI/CTN]]</f>
        <v>0</v>
      </c>
      <c r="AM618" s="42">
        <f>Table43[[#This Row],[Harga Beli Pcs
(-PPN)]]*1.11</f>
        <v>0</v>
      </c>
      <c r="AN618" s="42">
        <f>Table43[[#This Row],[Harga Beli Krt
(- PPN)]]*1.11</f>
        <v>0</v>
      </c>
      <c r="AO618" s="42"/>
      <c r="AP618" s="42">
        <f>Table43[[#This Row],[Harga Jual Pcs GT
(-PPN)]]*Table43[[#This Row],[ISI/CTN]]</f>
        <v>0</v>
      </c>
      <c r="AQ618" s="42">
        <f>Table43[[#This Row],[Harga Jual Pcs GT
(-PPN)]]*1.11</f>
        <v>0</v>
      </c>
      <c r="AR618" s="42">
        <f>Table43[[#This Row],[Harga Jual Krt GT
(- PPN)]]*1.11</f>
        <v>0</v>
      </c>
      <c r="AS618" s="42">
        <f>Table43[[#This Row],[Harga Jual Pcs GT
(-PPN)]]</f>
        <v>0</v>
      </c>
      <c r="AT618" s="42">
        <f>(Table43[[#This Row],[Harga Jual Pcs MT
(-PPN)]]*Table43[[#This Row],[ISI/CTN]])</f>
        <v>0</v>
      </c>
      <c r="AU618" s="42">
        <f>Table43[[#This Row],[Harga Jual Pcs MT
(-PPN)]]*1.11</f>
        <v>0</v>
      </c>
      <c r="AV618" s="42">
        <f>Table43[[#This Row],[Harga Jual Pcs MT
(+PPN)]]*Table43[[#This Row],[ISI/CTN]]</f>
        <v>0</v>
      </c>
      <c r="AW618" s="47"/>
      <c r="AX618" s="7"/>
      <c r="AY618" s="7" t="str">
        <f ca="1">IF(TODAY()-Table43[[#This Row],[Efektif
Pembuatan]]&gt;60,"Lama","Baru")</f>
        <v>Lama</v>
      </c>
      <c r="AZ618" s="7" t="str">
        <f ca="1">IF(TODAY()-Table43[[#This Row],[Efektif Naik Harga]]&lt;30,"Naik","Sama")</f>
        <v>Sama</v>
      </c>
      <c r="BA618" s="7" t="str">
        <f>IF(Table43[[#This Row],[Kode BARANG Win2]]&lt;&gt;"","IDR","")</f>
        <v>IDR</v>
      </c>
      <c r="BB618" s="7" t="str">
        <f>CONCATENATE(Table43[[#This Row],[kode  1 Digit
(Nomor)]],Table43[[#This Row],[kode  4 Digit                (Nomor)]])</f>
        <v>10320</v>
      </c>
      <c r="BC618" s="7" t="str">
        <f>Table43[[#This Row],[Nama            Gramasi atau Jumlah Pack per CTN]]</f>
        <v>320ML</v>
      </c>
      <c r="BD618" s="7"/>
      <c r="BE618" s="7"/>
      <c r="BF618" s="4" t="str">
        <f>IF(Table43[[#This Row],[SATUAN Fix Win]]&lt;&gt;"","KRT")</f>
        <v>KRT</v>
      </c>
      <c r="BG618" s="4" t="str">
        <f>IF(Table43[[#This Row],[SATUAN Fix Win]]&lt;&gt;"","GD01")</f>
        <v>GD01</v>
      </c>
      <c r="BH618" s="4">
        <f>IF(Table43[[#This Row],[SATUAN Fix Win]]&lt;&gt;"",11611)</f>
        <v>11611</v>
      </c>
      <c r="BI618" s="4">
        <f>IF(Table43[[#This Row],[SATUAN Fix Win]]&lt;&gt;"",11612)</f>
        <v>11612</v>
      </c>
      <c r="BJ618" s="48"/>
      <c r="BK618" s="4">
        <f>IF(Table43[[#This Row],[SATUAN Fix Win]]&lt;&gt;"",1)</f>
        <v>1</v>
      </c>
    </row>
    <row r="619" spans="1:63">
      <c r="A619" s="4" t="str">
        <f>CONCATENATE(Table43[[#This Row],[Kode BARANG Win2]],Table43[[#This Row],[No. Urut
Item Sama]])</f>
        <v>K14900030250101</v>
      </c>
      <c r="B619" s="7">
        <v>1</v>
      </c>
      <c r="D619" s="28" t="s">
        <v>400</v>
      </c>
      <c r="E619" s="28"/>
      <c r="F619" s="28" t="s">
        <v>3356</v>
      </c>
      <c r="G619" s="78">
        <v>24</v>
      </c>
      <c r="H619" s="43"/>
      <c r="I619" s="28" t="str">
        <f>Table43[[#This Row],[Nama Jenis Kemasan]]</f>
        <v>BTL</v>
      </c>
      <c r="J619" s="4" t="str">
        <f>TRIM(CONCATENATE(Table43[[#This Row],[Nama            KLP]]," ",Table43[[#This Row],[Nama            Sub KLP]]))</f>
        <v>SLEEK FOAMY H W</v>
      </c>
      <c r="K619" s="4" t="str">
        <f>CONCATENATE(Table43[[#This Row],[kode  2 Digit                (hrf+No)]],Table43[[#This Row],[kode  2 Digit                (Nomor)]],Table43[[#This Row],[kode  1 Digit                (Nomor)]])</f>
        <v>K1490</v>
      </c>
      <c r="L619" s="4" t="str">
        <f t="shared" si="30"/>
        <v>K1490003025010</v>
      </c>
      <c r="M619" s="11">
        <f t="shared" si="31"/>
        <v>14</v>
      </c>
      <c r="N619" s="14" t="str">
        <f>IF(AF619&lt;&gt;"",TRIM(UPPER(CONCATENATE(P619," ",R619," ",T619," ",V619," ",X619," ",Z619," ","X"," ",Table43[[#This Row],[ISI/CTN]]," ",AF619," ",AB619," ",AD619," ",AH619))),TRIM(UPPER(CONCATENATE(P619," ",R619," ",T619," ",V619," ",X619," ",Z619," ","X"," ",Table43[[#This Row],[ISI/CTN]]," ",AB619," ",AD619," ",AH619))))</f>
        <v>KNF SLEEK FOAMY H W REFRESH 250ML X 24 BTL</v>
      </c>
      <c r="O619" s="11">
        <f t="shared" si="32"/>
        <v>42</v>
      </c>
      <c r="P619" s="4" t="s">
        <v>97</v>
      </c>
      <c r="Q619" s="7" t="s">
        <v>98</v>
      </c>
      <c r="R619" s="4" t="s">
        <v>4008</v>
      </c>
      <c r="S619" s="44" t="s">
        <v>4009</v>
      </c>
      <c r="T619" s="45" t="s">
        <v>2961</v>
      </c>
      <c r="U619" s="7" t="s">
        <v>2900</v>
      </c>
      <c r="V619" s="45" t="s">
        <v>2961</v>
      </c>
      <c r="W619" s="44" t="s">
        <v>2900</v>
      </c>
      <c r="X619" s="4" t="s">
        <v>4013</v>
      </c>
      <c r="Y619" s="46" t="s">
        <v>2473</v>
      </c>
      <c r="Z619" s="4" t="s">
        <v>3580</v>
      </c>
      <c r="AA619" s="46" t="s">
        <v>2484</v>
      </c>
      <c r="AB619" s="4" t="s">
        <v>357</v>
      </c>
      <c r="AC619" s="7" t="s">
        <v>2656</v>
      </c>
      <c r="AD619" s="4" t="s">
        <v>2961</v>
      </c>
      <c r="AE619" s="7" t="s">
        <v>2900</v>
      </c>
      <c r="AF619" s="7" t="s">
        <v>2961</v>
      </c>
      <c r="AG619" s="7" t="s">
        <v>2961</v>
      </c>
      <c r="AI619" s="7" t="s">
        <v>4100</v>
      </c>
      <c r="AJ619" s="7" t="s">
        <v>2656</v>
      </c>
      <c r="AK619" s="41">
        <f>Table43[[#This Row],[Harga Jual Pcs GT
(-PPN)]]-(Table43[[#This Row],[Harga Jual Pcs GT
(-PPN)]]*10%)</f>
        <v>0</v>
      </c>
      <c r="AL619" s="42">
        <f>Table43[[#This Row],[Harga Beli Pcs
(-PPN)]]*Table43[[#This Row],[ISI/CTN]]</f>
        <v>0</v>
      </c>
      <c r="AM619" s="42">
        <f>Table43[[#This Row],[Harga Beli Pcs
(-PPN)]]*1.11</f>
        <v>0</v>
      </c>
      <c r="AN619" s="42">
        <f>Table43[[#This Row],[Harga Beli Krt
(- PPN)]]*1.11</f>
        <v>0</v>
      </c>
      <c r="AO619" s="42"/>
      <c r="AP619" s="42">
        <f>Table43[[#This Row],[Harga Jual Pcs GT
(-PPN)]]*Table43[[#This Row],[ISI/CTN]]</f>
        <v>0</v>
      </c>
      <c r="AQ619" s="42">
        <f>Table43[[#This Row],[Harga Jual Pcs GT
(-PPN)]]*1.11</f>
        <v>0</v>
      </c>
      <c r="AR619" s="42">
        <f>Table43[[#This Row],[Harga Jual Krt GT
(- PPN)]]*1.11</f>
        <v>0</v>
      </c>
      <c r="AS619" s="42">
        <f>Table43[[#This Row],[Harga Jual Pcs GT
(-PPN)]]</f>
        <v>0</v>
      </c>
      <c r="AT619" s="42">
        <f>(Table43[[#This Row],[Harga Jual Pcs MT
(-PPN)]]*Table43[[#This Row],[ISI/CTN]])</f>
        <v>0</v>
      </c>
      <c r="AU619" s="42">
        <f>Table43[[#This Row],[Harga Jual Pcs MT
(-PPN)]]*1.11</f>
        <v>0</v>
      </c>
      <c r="AV619" s="42">
        <f>Table43[[#This Row],[Harga Jual Pcs MT
(+PPN)]]*Table43[[#This Row],[ISI/CTN]]</f>
        <v>0</v>
      </c>
      <c r="AW619" s="47"/>
      <c r="AX619" s="7"/>
      <c r="AY619" s="7" t="str">
        <f ca="1">IF(TODAY()-Table43[[#This Row],[Efektif
Pembuatan]]&gt;60,"Lama","Baru")</f>
        <v>Lama</v>
      </c>
      <c r="AZ619" s="7" t="str">
        <f ca="1">IF(TODAY()-Table43[[#This Row],[Efektif Naik Harga]]&lt;30,"Naik","Sama")</f>
        <v>Sama</v>
      </c>
      <c r="BA619" s="7" t="str">
        <f>IF(Table43[[#This Row],[Kode BARANG Win2]]&lt;&gt;"","IDR","")</f>
        <v>IDR</v>
      </c>
      <c r="BB619" s="7" t="str">
        <f>CONCATENATE(Table43[[#This Row],[kode  1 Digit
(Nomor)]],Table43[[#This Row],[kode  4 Digit                (Nomor)]])</f>
        <v>10250</v>
      </c>
      <c r="BC619" s="7" t="str">
        <f>Table43[[#This Row],[Nama            Gramasi atau Jumlah Pack per CTN]]</f>
        <v>250ML</v>
      </c>
      <c r="BD619" s="7"/>
      <c r="BE619" s="7"/>
      <c r="BF619" s="4" t="str">
        <f>IF(Table43[[#This Row],[SATUAN Fix Win]]&lt;&gt;"","KRT")</f>
        <v>KRT</v>
      </c>
      <c r="BG619" s="4" t="str">
        <f>IF(Table43[[#This Row],[SATUAN Fix Win]]&lt;&gt;"","GD01")</f>
        <v>GD01</v>
      </c>
      <c r="BH619" s="4">
        <f>IF(Table43[[#This Row],[SATUAN Fix Win]]&lt;&gt;"",11611)</f>
        <v>11611</v>
      </c>
      <c r="BI619" s="4">
        <f>IF(Table43[[#This Row],[SATUAN Fix Win]]&lt;&gt;"",11612)</f>
        <v>11612</v>
      </c>
      <c r="BJ619" s="48"/>
      <c r="BK619" s="4">
        <f>IF(Table43[[#This Row],[SATUAN Fix Win]]&lt;&gt;"",1)</f>
        <v>1</v>
      </c>
    </row>
    <row r="620" spans="1:63">
      <c r="A620" s="4" t="str">
        <f>CONCATENATE(Table43[[#This Row],[Kode BARANG Win2]],Table43[[#This Row],[No. Urut
Item Sama]])</f>
        <v>K14900030250111</v>
      </c>
      <c r="B620" s="7">
        <v>1</v>
      </c>
      <c r="D620" s="28" t="s">
        <v>401</v>
      </c>
      <c r="E620" s="28"/>
      <c r="F620" s="28" t="s">
        <v>3357</v>
      </c>
      <c r="G620" s="78">
        <v>24</v>
      </c>
      <c r="H620" s="43"/>
      <c r="I620" s="28" t="str">
        <f>Table43[[#This Row],[Nama Jenis Kemasan]]</f>
        <v>BTL</v>
      </c>
      <c r="J620" s="4" t="str">
        <f>TRIM(CONCATENATE(Table43[[#This Row],[Nama            KLP]]," ",Table43[[#This Row],[Nama            Sub KLP]]))</f>
        <v>SLEEK FOAMY H W</v>
      </c>
      <c r="K620" s="4" t="str">
        <f>CONCATENATE(Table43[[#This Row],[kode  2 Digit                (hrf+No)]],Table43[[#This Row],[kode  2 Digit                (Nomor)]],Table43[[#This Row],[kode  1 Digit                (Nomor)]])</f>
        <v>K1490</v>
      </c>
      <c r="L620" s="4" t="str">
        <f t="shared" si="30"/>
        <v>K1490003025011</v>
      </c>
      <c r="M620" s="11">
        <f t="shared" si="31"/>
        <v>14</v>
      </c>
      <c r="N620" s="14" t="str">
        <f>IF(AF620&lt;&gt;"",TRIM(UPPER(CONCATENATE(P620," ",R620," ",T620," ",V620," ",X620," ",Z620," ","X"," ",Table43[[#This Row],[ISI/CTN]]," ",AF620," ",AB620," ",AD620," ",AH620))),TRIM(UPPER(CONCATENATE(P620," ",R620," ",T620," ",V620," ",X620," ",Z620," ","X"," ",Table43[[#This Row],[ISI/CTN]]," ",AB620," ",AD620," ",AH620))))</f>
        <v>KNF SLEEK FOAMY H W REFRESH 250ML X 24 BTL</v>
      </c>
      <c r="O620" s="11">
        <f t="shared" si="32"/>
        <v>42</v>
      </c>
      <c r="P620" s="4" t="s">
        <v>97</v>
      </c>
      <c r="Q620" s="7" t="s">
        <v>98</v>
      </c>
      <c r="R620" s="4" t="s">
        <v>4008</v>
      </c>
      <c r="S620" s="44" t="s">
        <v>4009</v>
      </c>
      <c r="T620" s="45" t="s">
        <v>2961</v>
      </c>
      <c r="U620" s="7" t="s">
        <v>2900</v>
      </c>
      <c r="V620" s="45" t="s">
        <v>2961</v>
      </c>
      <c r="W620" s="44" t="s">
        <v>2900</v>
      </c>
      <c r="X620" s="4" t="s">
        <v>4013</v>
      </c>
      <c r="Y620" s="46" t="s">
        <v>2473</v>
      </c>
      <c r="Z620" s="4" t="s">
        <v>3580</v>
      </c>
      <c r="AA620" s="46" t="s">
        <v>2484</v>
      </c>
      <c r="AB620" s="4" t="s">
        <v>357</v>
      </c>
      <c r="AC620" s="7" t="s">
        <v>2656</v>
      </c>
      <c r="AD620" s="4" t="s">
        <v>2961</v>
      </c>
      <c r="AE620" s="7" t="s">
        <v>2656</v>
      </c>
      <c r="AF620" s="7" t="s">
        <v>2961</v>
      </c>
      <c r="AG620" s="7" t="s">
        <v>2961</v>
      </c>
      <c r="AI620" s="7" t="s">
        <v>4100</v>
      </c>
      <c r="AJ620" s="7" t="s">
        <v>2656</v>
      </c>
      <c r="AK620" s="41">
        <f>Table43[[#This Row],[Harga Jual Pcs GT
(-PPN)]]-(Table43[[#This Row],[Harga Jual Pcs GT
(-PPN)]]*10%)</f>
        <v>0</v>
      </c>
      <c r="AL620" s="42">
        <f>Table43[[#This Row],[Harga Beli Pcs
(-PPN)]]*Table43[[#This Row],[ISI/CTN]]</f>
        <v>0</v>
      </c>
      <c r="AM620" s="42">
        <f>Table43[[#This Row],[Harga Beli Pcs
(-PPN)]]*1.11</f>
        <v>0</v>
      </c>
      <c r="AN620" s="42">
        <f>Table43[[#This Row],[Harga Beli Krt
(- PPN)]]*1.11</f>
        <v>0</v>
      </c>
      <c r="AO620" s="42"/>
      <c r="AP620" s="42">
        <f>Table43[[#This Row],[Harga Jual Pcs GT
(-PPN)]]*Table43[[#This Row],[ISI/CTN]]</f>
        <v>0</v>
      </c>
      <c r="AQ620" s="42">
        <f>Table43[[#This Row],[Harga Jual Pcs GT
(-PPN)]]*1.11</f>
        <v>0</v>
      </c>
      <c r="AR620" s="42">
        <f>Table43[[#This Row],[Harga Jual Krt GT
(- PPN)]]*1.11</f>
        <v>0</v>
      </c>
      <c r="AS620" s="42">
        <f>Table43[[#This Row],[Harga Jual Pcs GT
(-PPN)]]</f>
        <v>0</v>
      </c>
      <c r="AT620" s="42">
        <f>(Table43[[#This Row],[Harga Jual Pcs MT
(-PPN)]]*Table43[[#This Row],[ISI/CTN]])</f>
        <v>0</v>
      </c>
      <c r="AU620" s="42">
        <f>Table43[[#This Row],[Harga Jual Pcs MT
(-PPN)]]*1.11</f>
        <v>0</v>
      </c>
      <c r="AV620" s="42">
        <f>Table43[[#This Row],[Harga Jual Pcs MT
(+PPN)]]*Table43[[#This Row],[ISI/CTN]]</f>
        <v>0</v>
      </c>
      <c r="AW620" s="47"/>
      <c r="AX620" s="7"/>
      <c r="AY620" s="7" t="str">
        <f ca="1">IF(TODAY()-Table43[[#This Row],[Efektif
Pembuatan]]&gt;60,"Lama","Baru")</f>
        <v>Lama</v>
      </c>
      <c r="AZ620" s="7" t="str">
        <f ca="1">IF(TODAY()-Table43[[#This Row],[Efektif Naik Harga]]&lt;30,"Naik","Sama")</f>
        <v>Sama</v>
      </c>
      <c r="BA620" s="7" t="str">
        <f>IF(Table43[[#This Row],[Kode BARANG Win2]]&lt;&gt;"","IDR","")</f>
        <v>IDR</v>
      </c>
      <c r="BB620" s="7" t="str">
        <f>CONCATENATE(Table43[[#This Row],[kode  1 Digit
(Nomor)]],Table43[[#This Row],[kode  4 Digit                (Nomor)]])</f>
        <v>10250</v>
      </c>
      <c r="BC620" s="7" t="str">
        <f>Table43[[#This Row],[Nama            Gramasi atau Jumlah Pack per CTN]]</f>
        <v>250ML</v>
      </c>
      <c r="BD620" s="7"/>
      <c r="BE620" s="7"/>
      <c r="BF620" s="4" t="str">
        <f>IF(Table43[[#This Row],[SATUAN Fix Win]]&lt;&gt;"","KRT")</f>
        <v>KRT</v>
      </c>
      <c r="BG620" s="4" t="str">
        <f>IF(Table43[[#This Row],[SATUAN Fix Win]]&lt;&gt;"","GD01")</f>
        <v>GD01</v>
      </c>
      <c r="BH620" s="4">
        <f>IF(Table43[[#This Row],[SATUAN Fix Win]]&lt;&gt;"",11611)</f>
        <v>11611</v>
      </c>
      <c r="BI620" s="4">
        <f>IF(Table43[[#This Row],[SATUAN Fix Win]]&lt;&gt;"",11612)</f>
        <v>11612</v>
      </c>
      <c r="BJ620" s="48"/>
      <c r="BK620" s="4">
        <f>IF(Table43[[#This Row],[SATUAN Fix Win]]&lt;&gt;"",1)</f>
        <v>1</v>
      </c>
    </row>
    <row r="621" spans="1:63">
      <c r="A621" s="4" t="str">
        <f>CONCATENATE(Table43[[#This Row],[Kode BARANG Win2]],Table43[[#This Row],[No. Urut
Item Sama]])</f>
        <v>K14900030250201</v>
      </c>
      <c r="B621" s="7">
        <v>1</v>
      </c>
      <c r="D621" s="28" t="s">
        <v>399</v>
      </c>
      <c r="E621" s="28"/>
      <c r="F621" s="28" t="s">
        <v>4099</v>
      </c>
      <c r="G621" s="78">
        <v>24</v>
      </c>
      <c r="H621" s="43"/>
      <c r="I621" s="28" t="str">
        <f>Table43[[#This Row],[Nama Jenis Kemasan]]</f>
        <v>PCH</v>
      </c>
      <c r="J621" s="4" t="str">
        <f>TRIM(CONCATENATE(Table43[[#This Row],[Nama            KLP]]," ",Table43[[#This Row],[Nama            Sub KLP]]))</f>
        <v>SLEEK FOAMY H W</v>
      </c>
      <c r="K621" s="4" t="str">
        <f>CONCATENATE(Table43[[#This Row],[kode  2 Digit                (hrf+No)]],Table43[[#This Row],[kode  2 Digit                (Nomor)]],Table43[[#This Row],[kode  1 Digit                (Nomor)]])</f>
        <v>K1490</v>
      </c>
      <c r="L621" s="4" t="str">
        <f t="shared" si="30"/>
        <v>K1490003025020</v>
      </c>
      <c r="M621" s="11">
        <f t="shared" si="31"/>
        <v>14</v>
      </c>
      <c r="N621" s="14" t="str">
        <f>IF(AF621&lt;&gt;"",TRIM(UPPER(CONCATENATE(P621," ",R621," ",T621," ",V621," ",X621," ",Z621," ","X"," ",Table43[[#This Row],[ISI/CTN]]," ",AF621," ",AB621," ",AD621," ",AH621))),TRIM(UPPER(CONCATENATE(P621," ",R621," ",T621," ",V621," ",X621," ",Z621," ","X"," ",Table43[[#This Row],[ISI/CTN]]," ",AB621," ",AD621," ",AH621))))</f>
        <v>KNF SLEEK FOAMY H W REFRESH 250ML X 24 PCH</v>
      </c>
      <c r="O621" s="11">
        <f t="shared" si="32"/>
        <v>42</v>
      </c>
      <c r="P621" s="4" t="s">
        <v>97</v>
      </c>
      <c r="Q621" s="7" t="s">
        <v>98</v>
      </c>
      <c r="R621" s="4" t="s">
        <v>4008</v>
      </c>
      <c r="S621" s="44" t="s">
        <v>4009</v>
      </c>
      <c r="T621" s="45" t="s">
        <v>2961</v>
      </c>
      <c r="U621" s="7" t="s">
        <v>2900</v>
      </c>
      <c r="V621" s="45" t="s">
        <v>2961</v>
      </c>
      <c r="W621" s="44" t="s">
        <v>2900</v>
      </c>
      <c r="X621" s="4" t="s">
        <v>4013</v>
      </c>
      <c r="Y621" s="46" t="s">
        <v>2473</v>
      </c>
      <c r="Z621" s="4" t="s">
        <v>3580</v>
      </c>
      <c r="AA621" s="46" t="s">
        <v>2484</v>
      </c>
      <c r="AB621" s="4" t="s">
        <v>356</v>
      </c>
      <c r="AC621" s="7" t="s">
        <v>3562</v>
      </c>
      <c r="AD621" s="4" t="s">
        <v>2961</v>
      </c>
      <c r="AE621" s="7" t="s">
        <v>2900</v>
      </c>
      <c r="AF621" s="7" t="s">
        <v>2961</v>
      </c>
      <c r="AG621" s="7" t="s">
        <v>2961</v>
      </c>
      <c r="AI621" s="7" t="s">
        <v>4100</v>
      </c>
      <c r="AJ621" s="7" t="s">
        <v>2656</v>
      </c>
      <c r="AK621" s="41">
        <f>Table43[[#This Row],[Harga Jual Pcs GT
(-PPN)]]-(Table43[[#This Row],[Harga Jual Pcs GT
(-PPN)]]*10%)</f>
        <v>0</v>
      </c>
      <c r="AL621" s="42">
        <f>Table43[[#This Row],[Harga Beli Pcs
(-PPN)]]*Table43[[#This Row],[ISI/CTN]]</f>
        <v>0</v>
      </c>
      <c r="AM621" s="42">
        <f>Table43[[#This Row],[Harga Beli Pcs
(-PPN)]]*1.11</f>
        <v>0</v>
      </c>
      <c r="AN621" s="42">
        <f>Table43[[#This Row],[Harga Beli Krt
(- PPN)]]*1.11</f>
        <v>0</v>
      </c>
      <c r="AO621" s="42"/>
      <c r="AP621" s="42">
        <f>Table43[[#This Row],[Harga Jual Pcs GT
(-PPN)]]*Table43[[#This Row],[ISI/CTN]]</f>
        <v>0</v>
      </c>
      <c r="AQ621" s="42">
        <f>Table43[[#This Row],[Harga Jual Pcs GT
(-PPN)]]*1.11</f>
        <v>0</v>
      </c>
      <c r="AR621" s="42">
        <f>Table43[[#This Row],[Harga Jual Krt GT
(- PPN)]]*1.11</f>
        <v>0</v>
      </c>
      <c r="AS621" s="42">
        <f>Table43[[#This Row],[Harga Jual Pcs GT
(-PPN)]]</f>
        <v>0</v>
      </c>
      <c r="AT621" s="42">
        <f>(Table43[[#This Row],[Harga Jual Pcs MT
(-PPN)]]*Table43[[#This Row],[ISI/CTN]])</f>
        <v>0</v>
      </c>
      <c r="AU621" s="42">
        <f>Table43[[#This Row],[Harga Jual Pcs MT
(-PPN)]]*1.11</f>
        <v>0</v>
      </c>
      <c r="AV621" s="42">
        <f>Table43[[#This Row],[Harga Jual Pcs MT
(+PPN)]]*Table43[[#This Row],[ISI/CTN]]</f>
        <v>0</v>
      </c>
      <c r="AW621" s="47"/>
      <c r="AX621" s="7"/>
      <c r="AY621" s="7" t="str">
        <f ca="1">IF(TODAY()-Table43[[#This Row],[Efektif
Pembuatan]]&gt;60,"Lama","Baru")</f>
        <v>Lama</v>
      </c>
      <c r="AZ621" s="7" t="str">
        <f ca="1">IF(TODAY()-Table43[[#This Row],[Efektif Naik Harga]]&lt;30,"Naik","Sama")</f>
        <v>Sama</v>
      </c>
      <c r="BA621" s="7" t="str">
        <f>IF(Table43[[#This Row],[Kode BARANG Win2]]&lt;&gt;"","IDR","")</f>
        <v>IDR</v>
      </c>
      <c r="BB621" s="7" t="str">
        <f>CONCATENATE(Table43[[#This Row],[kode  1 Digit
(Nomor)]],Table43[[#This Row],[kode  4 Digit                (Nomor)]])</f>
        <v>10250</v>
      </c>
      <c r="BC621" s="7" t="str">
        <f>Table43[[#This Row],[Nama            Gramasi atau Jumlah Pack per CTN]]</f>
        <v>250ML</v>
      </c>
      <c r="BD621" s="7"/>
      <c r="BE621" s="7"/>
      <c r="BF621" s="4" t="str">
        <f>IF(Table43[[#This Row],[SATUAN Fix Win]]&lt;&gt;"","KRT")</f>
        <v>KRT</v>
      </c>
      <c r="BG621" s="4" t="str">
        <f>IF(Table43[[#This Row],[SATUAN Fix Win]]&lt;&gt;"","GD01")</f>
        <v>GD01</v>
      </c>
      <c r="BH621" s="4">
        <f>IF(Table43[[#This Row],[SATUAN Fix Win]]&lt;&gt;"",11611)</f>
        <v>11611</v>
      </c>
      <c r="BI621" s="4">
        <f>IF(Table43[[#This Row],[SATUAN Fix Win]]&lt;&gt;"",11612)</f>
        <v>11612</v>
      </c>
      <c r="BJ621" s="48"/>
      <c r="BK621" s="4">
        <f>IF(Table43[[#This Row],[SATUAN Fix Win]]&lt;&gt;"",1)</f>
        <v>1</v>
      </c>
    </row>
    <row r="622" spans="1:63">
      <c r="A622" s="4" t="str">
        <f>CONCATENATE(Table43[[#This Row],[Kode BARANG Win2]],Table43[[#This Row],[No. Urut
Item Sama]])</f>
        <v>K14900040250101</v>
      </c>
      <c r="B622" s="7">
        <v>1</v>
      </c>
      <c r="D622" s="28" t="s">
        <v>410</v>
      </c>
      <c r="E622" s="28"/>
      <c r="F622" s="28" t="s">
        <v>3358</v>
      </c>
      <c r="G622" s="78">
        <v>24</v>
      </c>
      <c r="H622" s="43"/>
      <c r="I622" s="28" t="str">
        <f>Table43[[#This Row],[Nama Jenis Kemasan]]</f>
        <v>BTL</v>
      </c>
      <c r="J622" s="4" t="str">
        <f>TRIM(CONCATENATE(Table43[[#This Row],[Nama            KLP]]," ",Table43[[#This Row],[Nama            Sub KLP]]))</f>
        <v>SLEEK FOAMY H W</v>
      </c>
      <c r="K622" s="4" t="str">
        <f>CONCATENATE(Table43[[#This Row],[kode  2 Digit                (hrf+No)]],Table43[[#This Row],[kode  2 Digit                (Nomor)]],Table43[[#This Row],[kode  1 Digit                (Nomor)]])</f>
        <v>K1490</v>
      </c>
      <c r="L622" s="4" t="str">
        <f t="shared" si="30"/>
        <v>K1490004025010</v>
      </c>
      <c r="M622" s="11">
        <f t="shared" si="31"/>
        <v>14</v>
      </c>
      <c r="N622" s="14" t="str">
        <f>IF(AF622&lt;&gt;"",TRIM(UPPER(CONCATENATE(P622," ",R622," ",T622," ",V622," ",X622," ",Z622," ","X"," ",Table43[[#This Row],[ISI/CTN]]," ",AF622," ",AB622," ",AD622," ",AH622))),TRIM(UPPER(CONCATENATE(P622," ",R622," ",T622," ",V622," ",X622," ",Z622," ","X"," ",Table43[[#This Row],[ISI/CTN]]," ",AB622," ",AD622," ",AH622))))</f>
        <v>KNF SLEEK FOAMY H W RELIEVING 250ML X 24 BTL</v>
      </c>
      <c r="O622" s="11">
        <f t="shared" si="32"/>
        <v>44</v>
      </c>
      <c r="P622" s="4" t="s">
        <v>97</v>
      </c>
      <c r="Q622" s="7" t="s">
        <v>98</v>
      </c>
      <c r="R622" s="4" t="s">
        <v>4008</v>
      </c>
      <c r="S622" s="44" t="s">
        <v>4009</v>
      </c>
      <c r="T622" s="45" t="s">
        <v>2961</v>
      </c>
      <c r="U622" s="7" t="s">
        <v>2900</v>
      </c>
      <c r="V622" s="45" t="s">
        <v>2961</v>
      </c>
      <c r="W622" s="44" t="s">
        <v>2900</v>
      </c>
      <c r="X622" s="4" t="s">
        <v>3813</v>
      </c>
      <c r="Y622" s="46" t="s">
        <v>2474</v>
      </c>
      <c r="Z622" s="4" t="s">
        <v>3580</v>
      </c>
      <c r="AA622" s="46" t="s">
        <v>2484</v>
      </c>
      <c r="AB622" s="4" t="s">
        <v>357</v>
      </c>
      <c r="AC622" s="7" t="s">
        <v>2656</v>
      </c>
      <c r="AD622" s="4" t="s">
        <v>2961</v>
      </c>
      <c r="AE622" s="7" t="s">
        <v>2900</v>
      </c>
      <c r="AF622" s="7" t="s">
        <v>2961</v>
      </c>
      <c r="AG622" s="7" t="s">
        <v>2961</v>
      </c>
      <c r="AI622" s="7" t="s">
        <v>4100</v>
      </c>
      <c r="AJ622" s="7" t="s">
        <v>2656</v>
      </c>
      <c r="AK622" s="41">
        <f>Table43[[#This Row],[Harga Jual Pcs GT
(-PPN)]]-(Table43[[#This Row],[Harga Jual Pcs GT
(-PPN)]]*10%)</f>
        <v>0</v>
      </c>
      <c r="AL622" s="42">
        <f>Table43[[#This Row],[Harga Beli Pcs
(-PPN)]]*Table43[[#This Row],[ISI/CTN]]</f>
        <v>0</v>
      </c>
      <c r="AM622" s="42">
        <f>Table43[[#This Row],[Harga Beli Pcs
(-PPN)]]*1.11</f>
        <v>0</v>
      </c>
      <c r="AN622" s="42">
        <f>Table43[[#This Row],[Harga Beli Krt
(- PPN)]]*1.11</f>
        <v>0</v>
      </c>
      <c r="AO622" s="42"/>
      <c r="AP622" s="42">
        <f>Table43[[#This Row],[Harga Jual Pcs GT
(-PPN)]]*Table43[[#This Row],[ISI/CTN]]</f>
        <v>0</v>
      </c>
      <c r="AQ622" s="42">
        <f>Table43[[#This Row],[Harga Jual Pcs GT
(-PPN)]]*1.11</f>
        <v>0</v>
      </c>
      <c r="AR622" s="42">
        <f>Table43[[#This Row],[Harga Jual Krt GT
(- PPN)]]*1.11</f>
        <v>0</v>
      </c>
      <c r="AS622" s="42">
        <f>Table43[[#This Row],[Harga Jual Pcs GT
(-PPN)]]</f>
        <v>0</v>
      </c>
      <c r="AT622" s="42">
        <f>(Table43[[#This Row],[Harga Jual Pcs MT
(-PPN)]]*Table43[[#This Row],[ISI/CTN]])</f>
        <v>0</v>
      </c>
      <c r="AU622" s="42">
        <f>Table43[[#This Row],[Harga Jual Pcs MT
(-PPN)]]*1.11</f>
        <v>0</v>
      </c>
      <c r="AV622" s="42">
        <f>Table43[[#This Row],[Harga Jual Pcs MT
(+PPN)]]*Table43[[#This Row],[ISI/CTN]]</f>
        <v>0</v>
      </c>
      <c r="AW622" s="47"/>
      <c r="AX622" s="7"/>
      <c r="AY622" s="7" t="str">
        <f ca="1">IF(TODAY()-Table43[[#This Row],[Efektif
Pembuatan]]&gt;60,"Lama","Baru")</f>
        <v>Lama</v>
      </c>
      <c r="AZ622" s="7" t="str">
        <f ca="1">IF(TODAY()-Table43[[#This Row],[Efektif Naik Harga]]&lt;30,"Naik","Sama")</f>
        <v>Sama</v>
      </c>
      <c r="BA622" s="7" t="str">
        <f>IF(Table43[[#This Row],[Kode BARANG Win2]]&lt;&gt;"","IDR","")</f>
        <v>IDR</v>
      </c>
      <c r="BB622" s="7" t="str">
        <f>CONCATENATE(Table43[[#This Row],[kode  1 Digit
(Nomor)]],Table43[[#This Row],[kode  4 Digit                (Nomor)]])</f>
        <v>10250</v>
      </c>
      <c r="BC622" s="7" t="str">
        <f>Table43[[#This Row],[Nama            Gramasi atau Jumlah Pack per CTN]]</f>
        <v>250ML</v>
      </c>
      <c r="BD622" s="7"/>
      <c r="BE622" s="7"/>
      <c r="BF622" s="4" t="str">
        <f>IF(Table43[[#This Row],[SATUAN Fix Win]]&lt;&gt;"","KRT")</f>
        <v>KRT</v>
      </c>
      <c r="BG622" s="4" t="str">
        <f>IF(Table43[[#This Row],[SATUAN Fix Win]]&lt;&gt;"","GD01")</f>
        <v>GD01</v>
      </c>
      <c r="BH622" s="4">
        <f>IF(Table43[[#This Row],[SATUAN Fix Win]]&lt;&gt;"",11611)</f>
        <v>11611</v>
      </c>
      <c r="BI622" s="4">
        <f>IF(Table43[[#This Row],[SATUAN Fix Win]]&lt;&gt;"",11612)</f>
        <v>11612</v>
      </c>
      <c r="BJ622" s="48"/>
      <c r="BK622" s="4">
        <f>IF(Table43[[#This Row],[SATUAN Fix Win]]&lt;&gt;"",1)</f>
        <v>1</v>
      </c>
    </row>
    <row r="623" spans="1:63">
      <c r="A623" s="4" t="str">
        <f>CONCATENATE(Table43[[#This Row],[Kode BARANG Win2]],Table43[[#This Row],[No. Urut
Item Sama]])</f>
        <v>K14900040250111</v>
      </c>
      <c r="B623" s="7">
        <v>1</v>
      </c>
      <c r="D623" s="28" t="s">
        <v>411</v>
      </c>
      <c r="E623" s="28"/>
      <c r="F623" s="28" t="s">
        <v>3359</v>
      </c>
      <c r="G623" s="78">
        <v>24</v>
      </c>
      <c r="H623" s="43"/>
      <c r="I623" s="28" t="str">
        <f>Table43[[#This Row],[Nama Jenis Kemasan]]</f>
        <v>BTL</v>
      </c>
      <c r="J623" s="4" t="str">
        <f>TRIM(CONCATENATE(Table43[[#This Row],[Nama            KLP]]," ",Table43[[#This Row],[Nama            Sub KLP]]))</f>
        <v>SLEEK FOAMY H W</v>
      </c>
      <c r="K623" s="4" t="str">
        <f>CONCATENATE(Table43[[#This Row],[kode  2 Digit                (hrf+No)]],Table43[[#This Row],[kode  2 Digit                (Nomor)]],Table43[[#This Row],[kode  1 Digit                (Nomor)]])</f>
        <v>K1490</v>
      </c>
      <c r="L623" s="4" t="str">
        <f t="shared" si="30"/>
        <v>K1490004025011</v>
      </c>
      <c r="M623" s="11">
        <f t="shared" si="31"/>
        <v>14</v>
      </c>
      <c r="N623" s="14" t="str">
        <f>IF(AF623&lt;&gt;"",TRIM(UPPER(CONCATENATE(P623," ",R623," ",T623," ",V623," ",X623," ",Z623," ","X"," ",Table43[[#This Row],[ISI/CTN]]," ",AF623," ",AB623," ",AD623," ",AH623))),TRIM(UPPER(CONCATENATE(P623," ",R623," ",T623," ",V623," ",X623," ",Z623," ","X"," ",Table43[[#This Row],[ISI/CTN]]," ",AB623," ",AD623," ",AH623))))</f>
        <v>KNF SLEEK FOAMY H W RELIEVING 250ML X 24 BTL</v>
      </c>
      <c r="O623" s="11">
        <f t="shared" si="32"/>
        <v>44</v>
      </c>
      <c r="P623" s="4" t="s">
        <v>97</v>
      </c>
      <c r="Q623" s="7" t="s">
        <v>98</v>
      </c>
      <c r="R623" s="4" t="s">
        <v>4008</v>
      </c>
      <c r="S623" s="44" t="s">
        <v>4009</v>
      </c>
      <c r="T623" s="45" t="s">
        <v>2961</v>
      </c>
      <c r="U623" s="7" t="s">
        <v>2900</v>
      </c>
      <c r="V623" s="45" t="s">
        <v>2961</v>
      </c>
      <c r="W623" s="44" t="s">
        <v>2900</v>
      </c>
      <c r="X623" s="4" t="s">
        <v>3813</v>
      </c>
      <c r="Y623" s="46" t="s">
        <v>2474</v>
      </c>
      <c r="Z623" s="4" t="s">
        <v>3580</v>
      </c>
      <c r="AA623" s="46" t="s">
        <v>2484</v>
      </c>
      <c r="AB623" s="4" t="s">
        <v>357</v>
      </c>
      <c r="AC623" s="7" t="s">
        <v>2656</v>
      </c>
      <c r="AD623" s="4" t="s">
        <v>2961</v>
      </c>
      <c r="AE623" s="7" t="s">
        <v>2656</v>
      </c>
      <c r="AF623" s="7" t="s">
        <v>2961</v>
      </c>
      <c r="AG623" s="7" t="s">
        <v>2961</v>
      </c>
      <c r="AI623" s="7" t="s">
        <v>4100</v>
      </c>
      <c r="AJ623" s="7" t="s">
        <v>2656</v>
      </c>
      <c r="AK623" s="41">
        <f>Table43[[#This Row],[Harga Jual Pcs GT
(-PPN)]]-(Table43[[#This Row],[Harga Jual Pcs GT
(-PPN)]]*10%)</f>
        <v>0</v>
      </c>
      <c r="AL623" s="42">
        <f>Table43[[#This Row],[Harga Beli Pcs
(-PPN)]]*Table43[[#This Row],[ISI/CTN]]</f>
        <v>0</v>
      </c>
      <c r="AM623" s="42">
        <f>Table43[[#This Row],[Harga Beli Pcs
(-PPN)]]*1.11</f>
        <v>0</v>
      </c>
      <c r="AN623" s="42">
        <f>Table43[[#This Row],[Harga Beli Krt
(- PPN)]]*1.11</f>
        <v>0</v>
      </c>
      <c r="AO623" s="42"/>
      <c r="AP623" s="42">
        <f>Table43[[#This Row],[Harga Jual Pcs GT
(-PPN)]]*Table43[[#This Row],[ISI/CTN]]</f>
        <v>0</v>
      </c>
      <c r="AQ623" s="42">
        <f>Table43[[#This Row],[Harga Jual Pcs GT
(-PPN)]]*1.11</f>
        <v>0</v>
      </c>
      <c r="AR623" s="42">
        <f>Table43[[#This Row],[Harga Jual Krt GT
(- PPN)]]*1.11</f>
        <v>0</v>
      </c>
      <c r="AS623" s="42">
        <f>Table43[[#This Row],[Harga Jual Pcs GT
(-PPN)]]</f>
        <v>0</v>
      </c>
      <c r="AT623" s="42">
        <f>(Table43[[#This Row],[Harga Jual Pcs MT
(-PPN)]]*Table43[[#This Row],[ISI/CTN]])</f>
        <v>0</v>
      </c>
      <c r="AU623" s="42">
        <f>Table43[[#This Row],[Harga Jual Pcs MT
(-PPN)]]*1.11</f>
        <v>0</v>
      </c>
      <c r="AV623" s="42">
        <f>Table43[[#This Row],[Harga Jual Pcs MT
(+PPN)]]*Table43[[#This Row],[ISI/CTN]]</f>
        <v>0</v>
      </c>
      <c r="AW623" s="47"/>
      <c r="AX623" s="7"/>
      <c r="AY623" s="7" t="str">
        <f ca="1">IF(TODAY()-Table43[[#This Row],[Efektif
Pembuatan]]&gt;60,"Lama","Baru")</f>
        <v>Lama</v>
      </c>
      <c r="AZ623" s="7" t="str">
        <f ca="1">IF(TODAY()-Table43[[#This Row],[Efektif Naik Harga]]&lt;30,"Naik","Sama")</f>
        <v>Sama</v>
      </c>
      <c r="BA623" s="7" t="str">
        <f>IF(Table43[[#This Row],[Kode BARANG Win2]]&lt;&gt;"","IDR","")</f>
        <v>IDR</v>
      </c>
      <c r="BB623" s="7" t="str">
        <f>CONCATENATE(Table43[[#This Row],[kode  1 Digit
(Nomor)]],Table43[[#This Row],[kode  4 Digit                (Nomor)]])</f>
        <v>10250</v>
      </c>
      <c r="BC623" s="7" t="str">
        <f>Table43[[#This Row],[Nama            Gramasi atau Jumlah Pack per CTN]]</f>
        <v>250ML</v>
      </c>
      <c r="BD623" s="7"/>
      <c r="BE623" s="7"/>
      <c r="BF623" s="4" t="str">
        <f>IF(Table43[[#This Row],[SATUAN Fix Win]]&lt;&gt;"","KRT")</f>
        <v>KRT</v>
      </c>
      <c r="BG623" s="4" t="str">
        <f>IF(Table43[[#This Row],[SATUAN Fix Win]]&lt;&gt;"","GD01")</f>
        <v>GD01</v>
      </c>
      <c r="BH623" s="4">
        <f>IF(Table43[[#This Row],[SATUAN Fix Win]]&lt;&gt;"",11611)</f>
        <v>11611</v>
      </c>
      <c r="BI623" s="4">
        <f>IF(Table43[[#This Row],[SATUAN Fix Win]]&lt;&gt;"",11612)</f>
        <v>11612</v>
      </c>
      <c r="BJ623" s="48"/>
      <c r="BK623" s="4">
        <f>IF(Table43[[#This Row],[SATUAN Fix Win]]&lt;&gt;"",1)</f>
        <v>1</v>
      </c>
    </row>
    <row r="624" spans="1:63">
      <c r="A624" s="4" t="str">
        <f>CONCATENATE(Table43[[#This Row],[Kode BARANG Win2]],Table43[[#This Row],[No. Urut
Item Sama]])</f>
        <v>K14900040250202</v>
      </c>
      <c r="B624" s="7">
        <v>2</v>
      </c>
      <c r="D624" s="28" t="s">
        <v>409</v>
      </c>
      <c r="E624" s="28"/>
      <c r="F624" s="28" t="s">
        <v>3360</v>
      </c>
      <c r="G624" s="78">
        <v>24</v>
      </c>
      <c r="H624" s="43"/>
      <c r="I624" s="28" t="str">
        <f>Table43[[#This Row],[Nama Jenis Kemasan]]</f>
        <v>PCH</v>
      </c>
      <c r="J624" s="4" t="str">
        <f>TRIM(CONCATENATE(Table43[[#This Row],[Nama            KLP]]," ",Table43[[#This Row],[Nama            Sub KLP]]))</f>
        <v>SLEEK FOAMY H W</v>
      </c>
      <c r="K624" s="4" t="str">
        <f>CONCATENATE(Table43[[#This Row],[kode  2 Digit                (hrf+No)]],Table43[[#This Row],[kode  2 Digit                (Nomor)]],Table43[[#This Row],[kode  1 Digit                (Nomor)]])</f>
        <v>K1490</v>
      </c>
      <c r="L624" s="4" t="str">
        <f t="shared" si="30"/>
        <v>K1490004025020</v>
      </c>
      <c r="M624" s="11">
        <f t="shared" si="31"/>
        <v>14</v>
      </c>
      <c r="N624" s="14" t="str">
        <f>IF(AF624&lt;&gt;"",TRIM(UPPER(CONCATENATE(P624," ",R624," ",T624," ",V624," ",X624," ",Z624," ","X"," ",Table43[[#This Row],[ISI/CTN]]," ",AF624," ",AB624," ",AD624," ",AH624))),TRIM(UPPER(CONCATENATE(P624," ",R624," ",T624," ",V624," ",X624," ",Z624," ","X"," ",Table43[[#This Row],[ISI/CTN]]," ",AB624," ",AD624," ",AH624))))</f>
        <v>KNF SLEEK FOAMY H W RELIEVING 250ML X 24 PCH</v>
      </c>
      <c r="O624" s="11">
        <f t="shared" si="32"/>
        <v>44</v>
      </c>
      <c r="P624" s="4" t="s">
        <v>97</v>
      </c>
      <c r="Q624" s="7" t="s">
        <v>98</v>
      </c>
      <c r="R624" s="4" t="s">
        <v>4008</v>
      </c>
      <c r="S624" s="44" t="s">
        <v>4009</v>
      </c>
      <c r="T624" s="45" t="s">
        <v>2961</v>
      </c>
      <c r="U624" s="7" t="s">
        <v>2900</v>
      </c>
      <c r="V624" s="45" t="s">
        <v>2961</v>
      </c>
      <c r="W624" s="44" t="s">
        <v>2900</v>
      </c>
      <c r="X624" s="4" t="s">
        <v>3813</v>
      </c>
      <c r="Y624" s="46" t="s">
        <v>2474</v>
      </c>
      <c r="Z624" s="4" t="s">
        <v>3580</v>
      </c>
      <c r="AA624" s="46" t="s">
        <v>2484</v>
      </c>
      <c r="AB624" s="4" t="s">
        <v>356</v>
      </c>
      <c r="AC624" s="7" t="s">
        <v>3562</v>
      </c>
      <c r="AD624" s="4" t="s">
        <v>2961</v>
      </c>
      <c r="AE624" s="7" t="s">
        <v>2900</v>
      </c>
      <c r="AF624" s="7" t="s">
        <v>2961</v>
      </c>
      <c r="AG624" s="7" t="s">
        <v>2961</v>
      </c>
      <c r="AI624" s="7" t="s">
        <v>4100</v>
      </c>
      <c r="AJ624" s="7" t="s">
        <v>2656</v>
      </c>
      <c r="AK624" s="41">
        <f>Table43[[#This Row],[Harga Jual Pcs GT
(-PPN)]]-(Table43[[#This Row],[Harga Jual Pcs GT
(-PPN)]]*10%)</f>
        <v>0</v>
      </c>
      <c r="AL624" s="42">
        <f>Table43[[#This Row],[Harga Beli Pcs
(-PPN)]]*Table43[[#This Row],[ISI/CTN]]</f>
        <v>0</v>
      </c>
      <c r="AM624" s="42">
        <f>Table43[[#This Row],[Harga Beli Pcs
(-PPN)]]*1.11</f>
        <v>0</v>
      </c>
      <c r="AN624" s="42">
        <f>Table43[[#This Row],[Harga Beli Krt
(- PPN)]]*1.11</f>
        <v>0</v>
      </c>
      <c r="AO624" s="42"/>
      <c r="AP624" s="42">
        <f>Table43[[#This Row],[Harga Jual Pcs GT
(-PPN)]]*Table43[[#This Row],[ISI/CTN]]</f>
        <v>0</v>
      </c>
      <c r="AQ624" s="42">
        <f>Table43[[#This Row],[Harga Jual Pcs GT
(-PPN)]]*1.11</f>
        <v>0</v>
      </c>
      <c r="AR624" s="42">
        <f>Table43[[#This Row],[Harga Jual Krt GT
(- PPN)]]*1.11</f>
        <v>0</v>
      </c>
      <c r="AS624" s="42">
        <f>Table43[[#This Row],[Harga Jual Pcs GT
(-PPN)]]</f>
        <v>0</v>
      </c>
      <c r="AT624" s="42">
        <f>(Table43[[#This Row],[Harga Jual Pcs MT
(-PPN)]]*Table43[[#This Row],[ISI/CTN]])</f>
        <v>0</v>
      </c>
      <c r="AU624" s="42">
        <f>Table43[[#This Row],[Harga Jual Pcs MT
(-PPN)]]*1.11</f>
        <v>0</v>
      </c>
      <c r="AV624" s="42">
        <f>Table43[[#This Row],[Harga Jual Pcs MT
(+PPN)]]*Table43[[#This Row],[ISI/CTN]]</f>
        <v>0</v>
      </c>
      <c r="AW624" s="47"/>
      <c r="AX624" s="7"/>
      <c r="AY624" s="7" t="str">
        <f ca="1">IF(TODAY()-Table43[[#This Row],[Efektif
Pembuatan]]&gt;60,"Lama","Baru")</f>
        <v>Lama</v>
      </c>
      <c r="AZ624" s="7" t="str">
        <f ca="1">IF(TODAY()-Table43[[#This Row],[Efektif Naik Harga]]&lt;30,"Naik","Sama")</f>
        <v>Sama</v>
      </c>
      <c r="BA624" s="7" t="str">
        <f>IF(Table43[[#This Row],[Kode BARANG Win2]]&lt;&gt;"","IDR","")</f>
        <v>IDR</v>
      </c>
      <c r="BB624" s="7" t="str">
        <f>CONCATENATE(Table43[[#This Row],[kode  1 Digit
(Nomor)]],Table43[[#This Row],[kode  4 Digit                (Nomor)]])</f>
        <v>10250</v>
      </c>
      <c r="BC624" s="7" t="str">
        <f>Table43[[#This Row],[Nama            Gramasi atau Jumlah Pack per CTN]]</f>
        <v>250ML</v>
      </c>
      <c r="BD624" s="7"/>
      <c r="BE624" s="7"/>
      <c r="BF624" s="4" t="str">
        <f>IF(Table43[[#This Row],[SATUAN Fix Win]]&lt;&gt;"","KRT")</f>
        <v>KRT</v>
      </c>
      <c r="BG624" s="4" t="str">
        <f>IF(Table43[[#This Row],[SATUAN Fix Win]]&lt;&gt;"","GD01")</f>
        <v>GD01</v>
      </c>
      <c r="BH624" s="4">
        <f>IF(Table43[[#This Row],[SATUAN Fix Win]]&lt;&gt;"",11611)</f>
        <v>11611</v>
      </c>
      <c r="BI624" s="4">
        <f>IF(Table43[[#This Row],[SATUAN Fix Win]]&lt;&gt;"",11612)</f>
        <v>11612</v>
      </c>
      <c r="BJ624" s="48"/>
      <c r="BK624" s="4">
        <f>IF(Table43[[#This Row],[SATUAN Fix Win]]&lt;&gt;"",1)</f>
        <v>1</v>
      </c>
    </row>
    <row r="625" spans="1:63">
      <c r="A625" s="4" t="str">
        <f>CONCATENATE(Table43[[#This Row],[Kode BARANG Win2]],Table43[[#This Row],[No. Urut
Item Sama]])</f>
        <v>K14900050250101</v>
      </c>
      <c r="B625" s="7">
        <v>1</v>
      </c>
      <c r="D625" s="28" t="s">
        <v>404</v>
      </c>
      <c r="E625" s="28"/>
      <c r="F625" s="28" t="s">
        <v>3361</v>
      </c>
      <c r="G625" s="78">
        <v>24</v>
      </c>
      <c r="H625" s="43"/>
      <c r="I625" s="28" t="str">
        <f>Table43[[#This Row],[Nama Jenis Kemasan]]</f>
        <v>BTL</v>
      </c>
      <c r="J625" s="4" t="str">
        <f>TRIM(CONCATENATE(Table43[[#This Row],[Nama            KLP]]," ",Table43[[#This Row],[Nama            Sub KLP]]))</f>
        <v>SLEEK FOAMY H W</v>
      </c>
      <c r="K625" s="4" t="str">
        <f>CONCATENATE(Table43[[#This Row],[kode  2 Digit                (hrf+No)]],Table43[[#This Row],[kode  2 Digit                (Nomor)]],Table43[[#This Row],[kode  1 Digit                (Nomor)]])</f>
        <v>K1490</v>
      </c>
      <c r="L625" s="4" t="str">
        <f t="shared" si="30"/>
        <v>K1490005025010</v>
      </c>
      <c r="M625" s="11">
        <f t="shared" si="31"/>
        <v>14</v>
      </c>
      <c r="N625" s="14" t="str">
        <f>IF(AF625&lt;&gt;"",TRIM(UPPER(CONCATENATE(P625," ",R625," ",T625," ",V625," ",X625," ",Z625," ","X"," ",Table43[[#This Row],[ISI/CTN]]," ",AF625," ",AB625," ",AD625," ",AH625))),TRIM(UPPER(CONCATENATE(P625," ",R625," ",T625," ",V625," ",X625," ",Z625," ","X"," ",Table43[[#This Row],[ISI/CTN]]," ",AB625," ",AD625," ",AH625))))</f>
        <v>KNF SLEEK FOAMY H W SOOTHING 250ML X 24 BTL</v>
      </c>
      <c r="O625" s="11">
        <f t="shared" si="32"/>
        <v>43</v>
      </c>
      <c r="P625" s="4" t="s">
        <v>97</v>
      </c>
      <c r="Q625" s="7" t="s">
        <v>98</v>
      </c>
      <c r="R625" s="4" t="s">
        <v>4008</v>
      </c>
      <c r="S625" s="44" t="s">
        <v>4009</v>
      </c>
      <c r="T625" s="45" t="s">
        <v>2961</v>
      </c>
      <c r="U625" s="7" t="s">
        <v>2900</v>
      </c>
      <c r="V625" s="45" t="s">
        <v>2961</v>
      </c>
      <c r="W625" s="44" t="s">
        <v>2900</v>
      </c>
      <c r="X625" s="4" t="s">
        <v>4014</v>
      </c>
      <c r="Y625" s="46" t="s">
        <v>2475</v>
      </c>
      <c r="Z625" s="4" t="s">
        <v>3580</v>
      </c>
      <c r="AA625" s="46" t="s">
        <v>2484</v>
      </c>
      <c r="AB625" s="4" t="s">
        <v>357</v>
      </c>
      <c r="AC625" s="7" t="s">
        <v>2656</v>
      </c>
      <c r="AD625" s="4" t="s">
        <v>2961</v>
      </c>
      <c r="AE625" s="7" t="s">
        <v>2900</v>
      </c>
      <c r="AF625" s="7" t="s">
        <v>2961</v>
      </c>
      <c r="AG625" s="7" t="s">
        <v>2961</v>
      </c>
      <c r="AI625" s="7" t="s">
        <v>4100</v>
      </c>
      <c r="AJ625" s="7" t="s">
        <v>2656</v>
      </c>
      <c r="AK625" s="41">
        <f>Table43[[#This Row],[Harga Jual Pcs GT
(-PPN)]]-(Table43[[#This Row],[Harga Jual Pcs GT
(-PPN)]]*10%)</f>
        <v>0</v>
      </c>
      <c r="AL625" s="42">
        <f>Table43[[#This Row],[Harga Beli Pcs
(-PPN)]]*Table43[[#This Row],[ISI/CTN]]</f>
        <v>0</v>
      </c>
      <c r="AM625" s="42">
        <f>Table43[[#This Row],[Harga Beli Pcs
(-PPN)]]*1.11</f>
        <v>0</v>
      </c>
      <c r="AN625" s="42">
        <f>Table43[[#This Row],[Harga Beli Krt
(- PPN)]]*1.11</f>
        <v>0</v>
      </c>
      <c r="AO625" s="42"/>
      <c r="AP625" s="42">
        <f>Table43[[#This Row],[Harga Jual Pcs GT
(-PPN)]]*Table43[[#This Row],[ISI/CTN]]</f>
        <v>0</v>
      </c>
      <c r="AQ625" s="42">
        <f>Table43[[#This Row],[Harga Jual Pcs GT
(-PPN)]]*1.11</f>
        <v>0</v>
      </c>
      <c r="AR625" s="42">
        <f>Table43[[#This Row],[Harga Jual Krt GT
(- PPN)]]*1.11</f>
        <v>0</v>
      </c>
      <c r="AS625" s="42">
        <f>Table43[[#This Row],[Harga Jual Pcs GT
(-PPN)]]</f>
        <v>0</v>
      </c>
      <c r="AT625" s="42">
        <f>(Table43[[#This Row],[Harga Jual Pcs MT
(-PPN)]]*Table43[[#This Row],[ISI/CTN]])</f>
        <v>0</v>
      </c>
      <c r="AU625" s="42">
        <f>Table43[[#This Row],[Harga Jual Pcs MT
(-PPN)]]*1.11</f>
        <v>0</v>
      </c>
      <c r="AV625" s="42">
        <f>Table43[[#This Row],[Harga Jual Pcs MT
(+PPN)]]*Table43[[#This Row],[ISI/CTN]]</f>
        <v>0</v>
      </c>
      <c r="AW625" s="47"/>
      <c r="AX625" s="7"/>
      <c r="AY625" s="7" t="str">
        <f ca="1">IF(TODAY()-Table43[[#This Row],[Efektif
Pembuatan]]&gt;60,"Lama","Baru")</f>
        <v>Lama</v>
      </c>
      <c r="AZ625" s="7" t="str">
        <f ca="1">IF(TODAY()-Table43[[#This Row],[Efektif Naik Harga]]&lt;30,"Naik","Sama")</f>
        <v>Sama</v>
      </c>
      <c r="BA625" s="7" t="str">
        <f>IF(Table43[[#This Row],[Kode BARANG Win2]]&lt;&gt;"","IDR","")</f>
        <v>IDR</v>
      </c>
      <c r="BB625" s="7" t="str">
        <f>CONCATENATE(Table43[[#This Row],[kode  1 Digit
(Nomor)]],Table43[[#This Row],[kode  4 Digit                (Nomor)]])</f>
        <v>10250</v>
      </c>
      <c r="BC625" s="7" t="str">
        <f>Table43[[#This Row],[Nama            Gramasi atau Jumlah Pack per CTN]]</f>
        <v>250ML</v>
      </c>
      <c r="BD625" s="7"/>
      <c r="BE625" s="7"/>
      <c r="BF625" s="4" t="str">
        <f>IF(Table43[[#This Row],[SATUAN Fix Win]]&lt;&gt;"","KRT")</f>
        <v>KRT</v>
      </c>
      <c r="BG625" s="4" t="str">
        <f>IF(Table43[[#This Row],[SATUAN Fix Win]]&lt;&gt;"","GD01")</f>
        <v>GD01</v>
      </c>
      <c r="BH625" s="4">
        <f>IF(Table43[[#This Row],[SATUAN Fix Win]]&lt;&gt;"",11611)</f>
        <v>11611</v>
      </c>
      <c r="BI625" s="4">
        <f>IF(Table43[[#This Row],[SATUAN Fix Win]]&lt;&gt;"",11612)</f>
        <v>11612</v>
      </c>
      <c r="BJ625" s="48"/>
      <c r="BK625" s="4">
        <f>IF(Table43[[#This Row],[SATUAN Fix Win]]&lt;&gt;"",1)</f>
        <v>1</v>
      </c>
    </row>
    <row r="626" spans="1:63">
      <c r="A626" s="4" t="str">
        <f>CONCATENATE(Table43[[#This Row],[Kode BARANG Win2]],Table43[[#This Row],[No. Urut
Item Sama]])</f>
        <v>K14900050250111</v>
      </c>
      <c r="B626" s="7">
        <v>1</v>
      </c>
      <c r="D626" s="28" t="s">
        <v>405</v>
      </c>
      <c r="E626" s="28"/>
      <c r="F626" s="28" t="s">
        <v>3362</v>
      </c>
      <c r="G626" s="78">
        <v>24</v>
      </c>
      <c r="H626" s="43"/>
      <c r="I626" s="28" t="str">
        <f>Table43[[#This Row],[Nama Jenis Kemasan]]</f>
        <v>BTL</v>
      </c>
      <c r="J626" s="4" t="str">
        <f>TRIM(CONCATENATE(Table43[[#This Row],[Nama            KLP]]," ",Table43[[#This Row],[Nama            Sub KLP]]))</f>
        <v>SLEEK FOAMY H W</v>
      </c>
      <c r="K626" s="4" t="str">
        <f>CONCATENATE(Table43[[#This Row],[kode  2 Digit                (hrf+No)]],Table43[[#This Row],[kode  2 Digit                (Nomor)]],Table43[[#This Row],[kode  1 Digit                (Nomor)]])</f>
        <v>K1490</v>
      </c>
      <c r="L626" s="4" t="str">
        <f t="shared" si="30"/>
        <v>K1490005025011</v>
      </c>
      <c r="M626" s="11">
        <f t="shared" si="31"/>
        <v>14</v>
      </c>
      <c r="N626" s="14" t="str">
        <f>IF(AF626&lt;&gt;"",TRIM(UPPER(CONCATENATE(P626," ",R626," ",T626," ",V626," ",X626," ",Z626," ","X"," ",Table43[[#This Row],[ISI/CTN]]," ",AF626," ",AB626," ",AD626," ",AH626))),TRIM(UPPER(CONCATENATE(P626," ",R626," ",T626," ",V626," ",X626," ",Z626," ","X"," ",Table43[[#This Row],[ISI/CTN]]," ",AB626," ",AD626," ",AH626))))</f>
        <v>KNF SLEEK FOAMY H W SOOTHING 250ML X 24 BTL</v>
      </c>
      <c r="O626" s="11">
        <f t="shared" si="32"/>
        <v>43</v>
      </c>
      <c r="P626" s="4" t="s">
        <v>97</v>
      </c>
      <c r="Q626" s="7" t="s">
        <v>98</v>
      </c>
      <c r="R626" s="4" t="s">
        <v>4008</v>
      </c>
      <c r="S626" s="44" t="s">
        <v>4009</v>
      </c>
      <c r="T626" s="45" t="s">
        <v>2961</v>
      </c>
      <c r="U626" s="7" t="s">
        <v>2900</v>
      </c>
      <c r="V626" s="45" t="s">
        <v>2961</v>
      </c>
      <c r="W626" s="44" t="s">
        <v>2900</v>
      </c>
      <c r="X626" s="4" t="s">
        <v>4014</v>
      </c>
      <c r="Y626" s="46" t="s">
        <v>2475</v>
      </c>
      <c r="Z626" s="4" t="s">
        <v>3580</v>
      </c>
      <c r="AA626" s="46" t="s">
        <v>2484</v>
      </c>
      <c r="AB626" s="4" t="s">
        <v>357</v>
      </c>
      <c r="AC626" s="7" t="s">
        <v>2656</v>
      </c>
      <c r="AD626" s="4" t="s">
        <v>2961</v>
      </c>
      <c r="AE626" s="7" t="s">
        <v>2656</v>
      </c>
      <c r="AF626" s="7" t="s">
        <v>2961</v>
      </c>
      <c r="AG626" s="7" t="s">
        <v>2961</v>
      </c>
      <c r="AI626" s="7" t="s">
        <v>4100</v>
      </c>
      <c r="AJ626" s="7" t="s">
        <v>2656</v>
      </c>
      <c r="AK626" s="41">
        <f>Table43[[#This Row],[Harga Jual Pcs GT
(-PPN)]]-(Table43[[#This Row],[Harga Jual Pcs GT
(-PPN)]]*10%)</f>
        <v>0</v>
      </c>
      <c r="AL626" s="42">
        <f>Table43[[#This Row],[Harga Beli Pcs
(-PPN)]]*Table43[[#This Row],[ISI/CTN]]</f>
        <v>0</v>
      </c>
      <c r="AM626" s="42">
        <f>Table43[[#This Row],[Harga Beli Pcs
(-PPN)]]*1.11</f>
        <v>0</v>
      </c>
      <c r="AN626" s="42">
        <f>Table43[[#This Row],[Harga Beli Krt
(- PPN)]]*1.11</f>
        <v>0</v>
      </c>
      <c r="AO626" s="42"/>
      <c r="AP626" s="42">
        <f>Table43[[#This Row],[Harga Jual Pcs GT
(-PPN)]]*Table43[[#This Row],[ISI/CTN]]</f>
        <v>0</v>
      </c>
      <c r="AQ626" s="42">
        <f>Table43[[#This Row],[Harga Jual Pcs GT
(-PPN)]]*1.11</f>
        <v>0</v>
      </c>
      <c r="AR626" s="42">
        <f>Table43[[#This Row],[Harga Jual Krt GT
(- PPN)]]*1.11</f>
        <v>0</v>
      </c>
      <c r="AS626" s="42">
        <f>Table43[[#This Row],[Harga Jual Pcs GT
(-PPN)]]</f>
        <v>0</v>
      </c>
      <c r="AT626" s="42">
        <f>(Table43[[#This Row],[Harga Jual Pcs MT
(-PPN)]]*Table43[[#This Row],[ISI/CTN]])</f>
        <v>0</v>
      </c>
      <c r="AU626" s="42">
        <f>Table43[[#This Row],[Harga Jual Pcs MT
(-PPN)]]*1.11</f>
        <v>0</v>
      </c>
      <c r="AV626" s="42">
        <f>Table43[[#This Row],[Harga Jual Pcs MT
(+PPN)]]*Table43[[#This Row],[ISI/CTN]]</f>
        <v>0</v>
      </c>
      <c r="AW626" s="47"/>
      <c r="AX626" s="7"/>
      <c r="AY626" s="7" t="str">
        <f ca="1">IF(TODAY()-Table43[[#This Row],[Efektif
Pembuatan]]&gt;60,"Lama","Baru")</f>
        <v>Lama</v>
      </c>
      <c r="AZ626" s="7" t="str">
        <f ca="1">IF(TODAY()-Table43[[#This Row],[Efektif Naik Harga]]&lt;30,"Naik","Sama")</f>
        <v>Sama</v>
      </c>
      <c r="BA626" s="7" t="str">
        <f>IF(Table43[[#This Row],[Kode BARANG Win2]]&lt;&gt;"","IDR","")</f>
        <v>IDR</v>
      </c>
      <c r="BB626" s="7" t="str">
        <f>CONCATENATE(Table43[[#This Row],[kode  1 Digit
(Nomor)]],Table43[[#This Row],[kode  4 Digit                (Nomor)]])</f>
        <v>10250</v>
      </c>
      <c r="BC626" s="7" t="str">
        <f>Table43[[#This Row],[Nama            Gramasi atau Jumlah Pack per CTN]]</f>
        <v>250ML</v>
      </c>
      <c r="BD626" s="7"/>
      <c r="BE626" s="7"/>
      <c r="BF626" s="4" t="str">
        <f>IF(Table43[[#This Row],[SATUAN Fix Win]]&lt;&gt;"","KRT")</f>
        <v>KRT</v>
      </c>
      <c r="BG626" s="4" t="str">
        <f>IF(Table43[[#This Row],[SATUAN Fix Win]]&lt;&gt;"","GD01")</f>
        <v>GD01</v>
      </c>
      <c r="BH626" s="4">
        <f>IF(Table43[[#This Row],[SATUAN Fix Win]]&lt;&gt;"",11611)</f>
        <v>11611</v>
      </c>
      <c r="BI626" s="4">
        <f>IF(Table43[[#This Row],[SATUAN Fix Win]]&lt;&gt;"",11612)</f>
        <v>11612</v>
      </c>
      <c r="BJ626" s="48"/>
      <c r="BK626" s="4">
        <f>IF(Table43[[#This Row],[SATUAN Fix Win]]&lt;&gt;"",1)</f>
        <v>1</v>
      </c>
    </row>
    <row r="627" spans="1:63">
      <c r="A627" s="4" t="str">
        <f>CONCATENATE(Table43[[#This Row],[Kode BARANG Win2]],Table43[[#This Row],[No. Urut
Item Sama]])</f>
        <v>K14900050250201</v>
      </c>
      <c r="B627" s="7">
        <v>1</v>
      </c>
      <c r="D627" s="28" t="s">
        <v>403</v>
      </c>
      <c r="E627" s="28"/>
      <c r="F627" s="28" t="s">
        <v>3363</v>
      </c>
      <c r="G627" s="78">
        <v>24</v>
      </c>
      <c r="H627" s="43"/>
      <c r="I627" s="28" t="str">
        <f>Table43[[#This Row],[Nama Jenis Kemasan]]</f>
        <v>PCH</v>
      </c>
      <c r="J627" s="4" t="str">
        <f>TRIM(CONCATENATE(Table43[[#This Row],[Nama            KLP]]," ",Table43[[#This Row],[Nama            Sub KLP]]))</f>
        <v>SLEEK FOAMY H W</v>
      </c>
      <c r="K627" s="4" t="str">
        <f>CONCATENATE(Table43[[#This Row],[kode  2 Digit                (hrf+No)]],Table43[[#This Row],[kode  2 Digit                (Nomor)]],Table43[[#This Row],[kode  1 Digit                (Nomor)]])</f>
        <v>K1490</v>
      </c>
      <c r="L627" s="4" t="str">
        <f t="shared" si="30"/>
        <v>K1490005025020</v>
      </c>
      <c r="M627" s="11">
        <f t="shared" si="31"/>
        <v>14</v>
      </c>
      <c r="N627" s="14" t="str">
        <f>IF(AF627&lt;&gt;"",TRIM(UPPER(CONCATENATE(P627," ",R627," ",T627," ",V627," ",X627," ",Z627," ","X"," ",Table43[[#This Row],[ISI/CTN]]," ",AF627," ",AB627," ",AD627," ",AH627))),TRIM(UPPER(CONCATENATE(P627," ",R627," ",T627," ",V627," ",X627," ",Z627," ","X"," ",Table43[[#This Row],[ISI/CTN]]," ",AB627," ",AD627," ",AH627))))</f>
        <v>KNF SLEEK FOAMY H W SOOTHING 250ML X 24 PCH</v>
      </c>
      <c r="O627" s="11">
        <f t="shared" si="32"/>
        <v>43</v>
      </c>
      <c r="P627" s="4" t="s">
        <v>97</v>
      </c>
      <c r="Q627" s="7" t="s">
        <v>98</v>
      </c>
      <c r="R627" s="4" t="s">
        <v>4008</v>
      </c>
      <c r="S627" s="44" t="s">
        <v>4009</v>
      </c>
      <c r="T627" s="45" t="s">
        <v>2961</v>
      </c>
      <c r="U627" s="7" t="s">
        <v>2900</v>
      </c>
      <c r="V627" s="45" t="s">
        <v>2961</v>
      </c>
      <c r="W627" s="44" t="s">
        <v>2900</v>
      </c>
      <c r="X627" s="4" t="s">
        <v>4014</v>
      </c>
      <c r="Y627" s="46" t="s">
        <v>2475</v>
      </c>
      <c r="Z627" s="4" t="s">
        <v>3580</v>
      </c>
      <c r="AA627" s="46" t="s">
        <v>2484</v>
      </c>
      <c r="AB627" s="4" t="s">
        <v>356</v>
      </c>
      <c r="AC627" s="7" t="s">
        <v>3562</v>
      </c>
      <c r="AD627" s="4" t="s">
        <v>2961</v>
      </c>
      <c r="AE627" s="7" t="s">
        <v>2900</v>
      </c>
      <c r="AF627" s="7" t="s">
        <v>2961</v>
      </c>
      <c r="AG627" s="7" t="s">
        <v>2961</v>
      </c>
      <c r="AI627" s="7" t="s">
        <v>4100</v>
      </c>
      <c r="AJ627" s="7" t="s">
        <v>2656</v>
      </c>
      <c r="AK627" s="41">
        <f>Table43[[#This Row],[Harga Jual Pcs GT
(-PPN)]]-(Table43[[#This Row],[Harga Jual Pcs GT
(-PPN)]]*10%)</f>
        <v>0</v>
      </c>
      <c r="AL627" s="42">
        <f>Table43[[#This Row],[Harga Beli Pcs
(-PPN)]]*Table43[[#This Row],[ISI/CTN]]</f>
        <v>0</v>
      </c>
      <c r="AM627" s="42">
        <f>Table43[[#This Row],[Harga Beli Pcs
(-PPN)]]*1.11</f>
        <v>0</v>
      </c>
      <c r="AN627" s="42">
        <f>Table43[[#This Row],[Harga Beli Krt
(- PPN)]]*1.11</f>
        <v>0</v>
      </c>
      <c r="AO627" s="42"/>
      <c r="AP627" s="42">
        <f>Table43[[#This Row],[Harga Jual Pcs GT
(-PPN)]]*Table43[[#This Row],[ISI/CTN]]</f>
        <v>0</v>
      </c>
      <c r="AQ627" s="42">
        <f>Table43[[#This Row],[Harga Jual Pcs GT
(-PPN)]]*1.11</f>
        <v>0</v>
      </c>
      <c r="AR627" s="42">
        <f>Table43[[#This Row],[Harga Jual Krt GT
(- PPN)]]*1.11</f>
        <v>0</v>
      </c>
      <c r="AS627" s="42">
        <f>Table43[[#This Row],[Harga Jual Pcs GT
(-PPN)]]</f>
        <v>0</v>
      </c>
      <c r="AT627" s="42">
        <f>(Table43[[#This Row],[Harga Jual Pcs MT
(-PPN)]]*Table43[[#This Row],[ISI/CTN]])</f>
        <v>0</v>
      </c>
      <c r="AU627" s="42">
        <f>Table43[[#This Row],[Harga Jual Pcs MT
(-PPN)]]*1.11</f>
        <v>0</v>
      </c>
      <c r="AV627" s="42">
        <f>Table43[[#This Row],[Harga Jual Pcs MT
(+PPN)]]*Table43[[#This Row],[ISI/CTN]]</f>
        <v>0</v>
      </c>
      <c r="AW627" s="47"/>
      <c r="AX627" s="7"/>
      <c r="AY627" s="7" t="str">
        <f ca="1">IF(TODAY()-Table43[[#This Row],[Efektif
Pembuatan]]&gt;60,"Lama","Baru")</f>
        <v>Lama</v>
      </c>
      <c r="AZ627" s="7" t="str">
        <f ca="1">IF(TODAY()-Table43[[#This Row],[Efektif Naik Harga]]&lt;30,"Naik","Sama")</f>
        <v>Sama</v>
      </c>
      <c r="BA627" s="7" t="str">
        <f>IF(Table43[[#This Row],[Kode BARANG Win2]]&lt;&gt;"","IDR","")</f>
        <v>IDR</v>
      </c>
      <c r="BB627" s="7" t="str">
        <f>CONCATENATE(Table43[[#This Row],[kode  1 Digit
(Nomor)]],Table43[[#This Row],[kode  4 Digit                (Nomor)]])</f>
        <v>10250</v>
      </c>
      <c r="BC627" s="7" t="str">
        <f>Table43[[#This Row],[Nama            Gramasi atau Jumlah Pack per CTN]]</f>
        <v>250ML</v>
      </c>
      <c r="BD627" s="7"/>
      <c r="BE627" s="7"/>
      <c r="BF627" s="4" t="str">
        <f>IF(Table43[[#This Row],[SATUAN Fix Win]]&lt;&gt;"","KRT")</f>
        <v>KRT</v>
      </c>
      <c r="BG627" s="4" t="str">
        <f>IF(Table43[[#This Row],[SATUAN Fix Win]]&lt;&gt;"","GD01")</f>
        <v>GD01</v>
      </c>
      <c r="BH627" s="4">
        <f>IF(Table43[[#This Row],[SATUAN Fix Win]]&lt;&gt;"",11611)</f>
        <v>11611</v>
      </c>
      <c r="BI627" s="4">
        <f>IF(Table43[[#This Row],[SATUAN Fix Win]]&lt;&gt;"",11612)</f>
        <v>11612</v>
      </c>
      <c r="BJ627" s="48"/>
      <c r="BK627" s="4">
        <f>IF(Table43[[#This Row],[SATUAN Fix Win]]&lt;&gt;"",1)</f>
        <v>1</v>
      </c>
    </row>
    <row r="628" spans="1:63">
      <c r="A628" s="4" t="str">
        <f>CONCATENATE(Table43[[#This Row],[Kode BARANG Win2]],Table43[[#This Row],[No. Urut
Item Sama]])</f>
        <v>K15000000000101</v>
      </c>
      <c r="B628" s="7">
        <v>1</v>
      </c>
      <c r="D628" s="28" t="s">
        <v>431</v>
      </c>
      <c r="E628" s="28"/>
      <c r="F628" s="28" t="s">
        <v>3364</v>
      </c>
      <c r="G628" s="78">
        <v>6</v>
      </c>
      <c r="H628" s="43"/>
      <c r="I628" s="28" t="str">
        <f>Table43[[#This Row],[Nama Jenis Kemasan]]</f>
        <v>PACK</v>
      </c>
      <c r="J628" s="4" t="str">
        <f>TRIM(CONCATENATE(Table43[[#This Row],[Nama            KLP]]," ",Table43[[#This Row],[Nama            Sub KLP]]))</f>
        <v>SLEEK BABY SPECIAL</v>
      </c>
      <c r="K628" s="4" t="str">
        <f>CONCATENATE(Table43[[#This Row],[kode  2 Digit                (hrf+No)]],Table43[[#This Row],[kode  2 Digit                (Nomor)]],Table43[[#This Row],[kode  1 Digit                (Nomor)]])</f>
        <v>K1500</v>
      </c>
      <c r="L628" s="4" t="str">
        <f t="shared" si="30"/>
        <v>K1500000000010</v>
      </c>
      <c r="M628" s="11">
        <f t="shared" si="31"/>
        <v>14</v>
      </c>
      <c r="N628" s="14" t="str">
        <f>IF(AF628&lt;&gt;"",TRIM(UPPER(CONCATENATE(P628," ",R628," ",T628," ",V628," ",X628," ",Z628," ","X"," ",Table43[[#This Row],[ISI/CTN]]," ",AF628," ",AB628," ",AD628," ",AH628))),TRIM(UPPER(CONCATENATE(P628," ",R628," ",T628," ",V628," ",X628," ",Z628," ","X"," ",Table43[[#This Row],[ISI/CTN]]," ",AB628," ",AD628," ",AH628))))</f>
        <v>KNF SLEEK BABY SPECIAL X 6 PACK</v>
      </c>
      <c r="O628" s="11">
        <f t="shared" si="32"/>
        <v>31</v>
      </c>
      <c r="P628" s="4" t="s">
        <v>97</v>
      </c>
      <c r="Q628" s="7" t="s">
        <v>98</v>
      </c>
      <c r="R628" s="4" t="s">
        <v>4015</v>
      </c>
      <c r="S628" s="44" t="s">
        <v>4016</v>
      </c>
      <c r="T628" s="45" t="s">
        <v>2961</v>
      </c>
      <c r="U628" s="7" t="s">
        <v>2900</v>
      </c>
      <c r="V628" s="45" t="s">
        <v>2961</v>
      </c>
      <c r="W628" s="44" t="s">
        <v>2900</v>
      </c>
      <c r="X628" s="4" t="s">
        <v>2961</v>
      </c>
      <c r="Y628" s="46" t="s">
        <v>2480</v>
      </c>
      <c r="Z628" s="4" t="s">
        <v>2961</v>
      </c>
      <c r="AA628" s="46" t="s">
        <v>2483</v>
      </c>
      <c r="AB628" s="4" t="s">
        <v>360</v>
      </c>
      <c r="AC628" s="7" t="s">
        <v>2656</v>
      </c>
      <c r="AD628" s="4" t="s">
        <v>2961</v>
      </c>
      <c r="AE628" s="7" t="s">
        <v>2900</v>
      </c>
      <c r="AF628" s="7" t="s">
        <v>2961</v>
      </c>
      <c r="AG628" s="7" t="s">
        <v>2961</v>
      </c>
      <c r="AI628" s="7" t="s">
        <v>360</v>
      </c>
      <c r="AJ628" s="7" t="s">
        <v>3590</v>
      </c>
      <c r="AK628" s="41">
        <f>Table43[[#This Row],[Harga Jual Pcs GT
(-PPN)]]-(Table43[[#This Row],[Harga Jual Pcs GT
(-PPN)]]*10%)</f>
        <v>0</v>
      </c>
      <c r="AL628" s="42">
        <f>Table43[[#This Row],[Harga Beli Pcs
(-PPN)]]*Table43[[#This Row],[ISI/CTN]]</f>
        <v>0</v>
      </c>
      <c r="AM628" s="42">
        <f>Table43[[#This Row],[Harga Beli Pcs
(-PPN)]]*1.11</f>
        <v>0</v>
      </c>
      <c r="AN628" s="42">
        <f>Table43[[#This Row],[Harga Beli Krt
(- PPN)]]*1.11</f>
        <v>0</v>
      </c>
      <c r="AO628" s="42"/>
      <c r="AP628" s="42">
        <f>Table43[[#This Row],[Harga Jual Pcs GT
(-PPN)]]*Table43[[#This Row],[ISI/CTN]]</f>
        <v>0</v>
      </c>
      <c r="AQ628" s="42">
        <f>Table43[[#This Row],[Harga Jual Pcs GT
(-PPN)]]*1.11</f>
        <v>0</v>
      </c>
      <c r="AR628" s="42">
        <f>Table43[[#This Row],[Harga Jual Krt GT
(- PPN)]]*1.11</f>
        <v>0</v>
      </c>
      <c r="AS628" s="42">
        <f>Table43[[#This Row],[Harga Jual Pcs GT
(-PPN)]]</f>
        <v>0</v>
      </c>
      <c r="AT628" s="42">
        <f>(Table43[[#This Row],[Harga Jual Pcs MT
(-PPN)]]*Table43[[#This Row],[ISI/CTN]])</f>
        <v>0</v>
      </c>
      <c r="AU628" s="42">
        <f>Table43[[#This Row],[Harga Jual Pcs MT
(-PPN)]]*1.11</f>
        <v>0</v>
      </c>
      <c r="AV628" s="42">
        <f>Table43[[#This Row],[Harga Jual Pcs MT
(+PPN)]]*Table43[[#This Row],[ISI/CTN]]</f>
        <v>0</v>
      </c>
      <c r="AW628" s="47"/>
      <c r="AX628" s="7"/>
      <c r="AY628" s="7" t="str">
        <f ca="1">IF(TODAY()-Table43[[#This Row],[Efektif
Pembuatan]]&gt;60,"Lama","Baru")</f>
        <v>Lama</v>
      </c>
      <c r="AZ628" s="7" t="str">
        <f ca="1">IF(TODAY()-Table43[[#This Row],[Efektif Naik Harga]]&lt;30,"Naik","Sama")</f>
        <v>Sama</v>
      </c>
      <c r="BA628" s="7" t="str">
        <f>IF(Table43[[#This Row],[Kode BARANG Win2]]&lt;&gt;"","IDR","")</f>
        <v>IDR</v>
      </c>
      <c r="BB628" s="7" t="str">
        <f>CONCATENATE(Table43[[#This Row],[kode  1 Digit
(Nomor)]],Table43[[#This Row],[kode  4 Digit                (Nomor)]])</f>
        <v>30000</v>
      </c>
      <c r="BC628" s="7" t="str">
        <f>Table43[[#This Row],[Nama            Gramasi atau Jumlah Pack per CTN]]</f>
        <v/>
      </c>
      <c r="BD628" s="7"/>
      <c r="BE628" s="7"/>
      <c r="BF628" s="4" t="str">
        <f>IF(Table43[[#This Row],[SATUAN Fix Win]]&lt;&gt;"","KRT")</f>
        <v>KRT</v>
      </c>
      <c r="BG628" s="4" t="str">
        <f>IF(Table43[[#This Row],[SATUAN Fix Win]]&lt;&gt;"","GD01")</f>
        <v>GD01</v>
      </c>
      <c r="BH628" s="4">
        <f>IF(Table43[[#This Row],[SATUAN Fix Win]]&lt;&gt;"",11611)</f>
        <v>11611</v>
      </c>
      <c r="BI628" s="4">
        <f>IF(Table43[[#This Row],[SATUAN Fix Win]]&lt;&gt;"",11612)</f>
        <v>11612</v>
      </c>
      <c r="BJ628" s="48"/>
      <c r="BK628" s="4">
        <f>IF(Table43[[#This Row],[SATUAN Fix Win]]&lt;&gt;"",1)</f>
        <v>1</v>
      </c>
    </row>
    <row r="629" spans="1:63">
      <c r="A629" s="4" t="str">
        <f>CONCATENATE(Table43[[#This Row],[Kode BARANG Win2]],Table43[[#This Row],[No. Urut
Item Sama]])</f>
        <v>K15010000030101</v>
      </c>
      <c r="B629" s="7">
        <v>1</v>
      </c>
      <c r="D629" s="28" t="s">
        <v>436</v>
      </c>
      <c r="E629" s="28"/>
      <c r="F629" s="28" t="s">
        <v>3365</v>
      </c>
      <c r="G629" s="78">
        <v>96</v>
      </c>
      <c r="H629" s="43"/>
      <c r="I629" s="28" t="str">
        <f>Table43[[#This Row],[Nama Jenis Kemasan]]</f>
        <v>BTL</v>
      </c>
      <c r="J629" s="4" t="str">
        <f>TRIM(CONCATENATE(Table43[[#This Row],[Nama            KLP]]," ",Table43[[#This Row],[Nama            Sub KLP]]))</f>
        <v>SLEEK BABY BABY TELON OIL</v>
      </c>
      <c r="K629" s="4" t="str">
        <f>CONCATENATE(Table43[[#This Row],[kode  2 Digit                (hrf+No)]],Table43[[#This Row],[kode  2 Digit                (Nomor)]],Table43[[#This Row],[kode  1 Digit                (Nomor)]])</f>
        <v>K1501</v>
      </c>
      <c r="L629" s="4" t="str">
        <f t="shared" si="30"/>
        <v>K1501000003010</v>
      </c>
      <c r="M629" s="11">
        <f t="shared" si="31"/>
        <v>14</v>
      </c>
      <c r="N629" s="14" t="str">
        <f>IF(AF629&lt;&gt;"",TRIM(UPPER(CONCATENATE(P629," ",R629," ",T629," ",V629," ",X629," ",Z629," ","X"," ",Table43[[#This Row],[ISI/CTN]]," ",AF629," ",AB629," ",AD629," ",AH629))),TRIM(UPPER(CONCATENATE(P629," ",R629," ",T629," ",V629," ",X629," ",Z629," ","X"," ",Table43[[#This Row],[ISI/CTN]]," ",AB629," ",AD629," ",AH629))))</f>
        <v>KNF SLEEK BABY BABY TELON OIL 30ML X 96 BTL</v>
      </c>
      <c r="O629" s="11">
        <f t="shared" si="32"/>
        <v>43</v>
      </c>
      <c r="P629" s="4" t="s">
        <v>97</v>
      </c>
      <c r="Q629" s="7" t="s">
        <v>98</v>
      </c>
      <c r="R629" s="4" t="s">
        <v>3559</v>
      </c>
      <c r="S629" s="44" t="s">
        <v>4016</v>
      </c>
      <c r="T629" s="45" t="s">
        <v>4017</v>
      </c>
      <c r="U629" s="7" t="s">
        <v>2656</v>
      </c>
      <c r="V629" s="45" t="s">
        <v>2961</v>
      </c>
      <c r="W629" s="44" t="s">
        <v>2900</v>
      </c>
      <c r="X629" s="4" t="s">
        <v>2961</v>
      </c>
      <c r="Y629" s="46" t="s">
        <v>2480</v>
      </c>
      <c r="Z629" s="4" t="s">
        <v>3555</v>
      </c>
      <c r="AA629" s="46" t="s">
        <v>2499</v>
      </c>
      <c r="AB629" s="4" t="s">
        <v>357</v>
      </c>
      <c r="AC629" s="7" t="s">
        <v>2656</v>
      </c>
      <c r="AD629" s="4" t="s">
        <v>2961</v>
      </c>
      <c r="AE629" s="7" t="s">
        <v>2900</v>
      </c>
      <c r="AF629" s="7" t="s">
        <v>2961</v>
      </c>
      <c r="AG629" s="7" t="s">
        <v>2961</v>
      </c>
      <c r="AI629" s="7" t="s">
        <v>4100</v>
      </c>
      <c r="AJ629" s="7" t="s">
        <v>2656</v>
      </c>
      <c r="AK629" s="41">
        <f>Table43[[#This Row],[Harga Jual Pcs GT
(-PPN)]]-(Table43[[#This Row],[Harga Jual Pcs GT
(-PPN)]]*10%)</f>
        <v>0</v>
      </c>
      <c r="AL629" s="42">
        <f>Table43[[#This Row],[Harga Beli Pcs
(-PPN)]]*Table43[[#This Row],[ISI/CTN]]</f>
        <v>0</v>
      </c>
      <c r="AM629" s="42">
        <f>Table43[[#This Row],[Harga Beli Pcs
(-PPN)]]*1.11</f>
        <v>0</v>
      </c>
      <c r="AN629" s="42">
        <f>Table43[[#This Row],[Harga Beli Krt
(- PPN)]]*1.11</f>
        <v>0</v>
      </c>
      <c r="AO629" s="42"/>
      <c r="AP629" s="42">
        <f>Table43[[#This Row],[Harga Jual Pcs GT
(-PPN)]]*Table43[[#This Row],[ISI/CTN]]</f>
        <v>0</v>
      </c>
      <c r="AQ629" s="42">
        <f>Table43[[#This Row],[Harga Jual Pcs GT
(-PPN)]]*1.11</f>
        <v>0</v>
      </c>
      <c r="AR629" s="42">
        <f>Table43[[#This Row],[Harga Jual Krt GT
(- PPN)]]*1.11</f>
        <v>0</v>
      </c>
      <c r="AS629" s="42">
        <f>Table43[[#This Row],[Harga Jual Pcs GT
(-PPN)]]</f>
        <v>0</v>
      </c>
      <c r="AT629" s="42">
        <f>(Table43[[#This Row],[Harga Jual Pcs MT
(-PPN)]]*Table43[[#This Row],[ISI/CTN]])</f>
        <v>0</v>
      </c>
      <c r="AU629" s="42">
        <f>Table43[[#This Row],[Harga Jual Pcs MT
(-PPN)]]*1.11</f>
        <v>0</v>
      </c>
      <c r="AV629" s="42">
        <f>Table43[[#This Row],[Harga Jual Pcs MT
(+PPN)]]*Table43[[#This Row],[ISI/CTN]]</f>
        <v>0</v>
      </c>
      <c r="AW629" s="47"/>
      <c r="AX629" s="7"/>
      <c r="AY629" s="7" t="str">
        <f ca="1">IF(TODAY()-Table43[[#This Row],[Efektif
Pembuatan]]&gt;60,"Lama","Baru")</f>
        <v>Lama</v>
      </c>
      <c r="AZ629" s="7" t="str">
        <f ca="1">IF(TODAY()-Table43[[#This Row],[Efektif Naik Harga]]&lt;30,"Naik","Sama")</f>
        <v>Sama</v>
      </c>
      <c r="BA629" s="7" t="str">
        <f>IF(Table43[[#This Row],[Kode BARANG Win2]]&lt;&gt;"","IDR","")</f>
        <v>IDR</v>
      </c>
      <c r="BB629" s="7" t="str">
        <f>CONCATENATE(Table43[[#This Row],[kode  1 Digit
(Nomor)]],Table43[[#This Row],[kode  4 Digit                (Nomor)]])</f>
        <v>10030</v>
      </c>
      <c r="BC629" s="7" t="str">
        <f>Table43[[#This Row],[Nama            Gramasi atau Jumlah Pack per CTN]]</f>
        <v>30ML</v>
      </c>
      <c r="BD629" s="7"/>
      <c r="BE629" s="7"/>
      <c r="BF629" s="4" t="str">
        <f>IF(Table43[[#This Row],[SATUAN Fix Win]]&lt;&gt;"","KRT")</f>
        <v>KRT</v>
      </c>
      <c r="BG629" s="4" t="str">
        <f>IF(Table43[[#This Row],[SATUAN Fix Win]]&lt;&gt;"","GD01")</f>
        <v>GD01</v>
      </c>
      <c r="BH629" s="4">
        <f>IF(Table43[[#This Row],[SATUAN Fix Win]]&lt;&gt;"",11611)</f>
        <v>11611</v>
      </c>
      <c r="BI629" s="4">
        <f>IF(Table43[[#This Row],[SATUAN Fix Win]]&lt;&gt;"",11612)</f>
        <v>11612</v>
      </c>
      <c r="BJ629" s="48"/>
      <c r="BK629" s="4">
        <f>IF(Table43[[#This Row],[SATUAN Fix Win]]&lt;&gt;"",1)</f>
        <v>1</v>
      </c>
    </row>
    <row r="630" spans="1:63">
      <c r="A630" s="4" t="str">
        <f>CONCATENATE(Table43[[#This Row],[Kode BARANG Win2]],Table43[[#This Row],[No. Urut
Item Sama]])</f>
        <v>K15010000070102</v>
      </c>
      <c r="B630" s="7">
        <v>2</v>
      </c>
      <c r="D630" s="28" t="s">
        <v>437</v>
      </c>
      <c r="E630" s="28"/>
      <c r="F630" s="28" t="s">
        <v>3366</v>
      </c>
      <c r="G630" s="78">
        <v>48</v>
      </c>
      <c r="H630" s="43"/>
      <c r="I630" s="28" t="str">
        <f>Table43[[#This Row],[Nama Jenis Kemasan]]</f>
        <v>BTL</v>
      </c>
      <c r="J630" s="4" t="str">
        <f>TRIM(CONCATENATE(Table43[[#This Row],[Nama            KLP]]," ",Table43[[#This Row],[Nama            Sub KLP]]))</f>
        <v>SLEEK BABY BABY TELON OIL</v>
      </c>
      <c r="K630" s="4" t="str">
        <f>CONCATENATE(Table43[[#This Row],[kode  2 Digit                (hrf+No)]],Table43[[#This Row],[kode  2 Digit                (Nomor)]],Table43[[#This Row],[kode  1 Digit                (Nomor)]])</f>
        <v>K1501</v>
      </c>
      <c r="L630" s="4" t="str">
        <f t="shared" si="30"/>
        <v>K1501000007010</v>
      </c>
      <c r="M630" s="11">
        <f t="shared" si="31"/>
        <v>14</v>
      </c>
      <c r="N630" s="14" t="str">
        <f>IF(AF630&lt;&gt;"",TRIM(UPPER(CONCATENATE(P630," ",R630," ",T630," ",V630," ",X630," ",Z630," ","X"," ",Table43[[#This Row],[ISI/CTN]]," ",AF630," ",AB630," ",AD630," ",AH630))),TRIM(UPPER(CONCATENATE(P630," ",R630," ",T630," ",V630," ",X630," ",Z630," ","X"," ",Table43[[#This Row],[ISI/CTN]]," ",AB630," ",AD630," ",AH630))))</f>
        <v>KNF SLEEK BABY BABY TELON OIL 70ML X 48 BTL</v>
      </c>
      <c r="O630" s="11">
        <f t="shared" si="32"/>
        <v>43</v>
      </c>
      <c r="P630" s="4" t="s">
        <v>97</v>
      </c>
      <c r="Q630" s="7" t="s">
        <v>98</v>
      </c>
      <c r="R630" s="4" t="s">
        <v>3559</v>
      </c>
      <c r="S630" s="44" t="s">
        <v>4016</v>
      </c>
      <c r="T630" s="45" t="s">
        <v>4017</v>
      </c>
      <c r="U630" s="7" t="s">
        <v>2656</v>
      </c>
      <c r="V630" s="45" t="s">
        <v>2961</v>
      </c>
      <c r="W630" s="44" t="s">
        <v>2900</v>
      </c>
      <c r="X630" s="4" t="s">
        <v>2961</v>
      </c>
      <c r="Y630" s="46" t="s">
        <v>2480</v>
      </c>
      <c r="Z630" s="4" t="s">
        <v>3724</v>
      </c>
      <c r="AA630" s="46" t="s">
        <v>2500</v>
      </c>
      <c r="AB630" s="4" t="s">
        <v>357</v>
      </c>
      <c r="AC630" s="7" t="s">
        <v>2656</v>
      </c>
      <c r="AD630" s="4" t="s">
        <v>2961</v>
      </c>
      <c r="AE630" s="7" t="s">
        <v>2900</v>
      </c>
      <c r="AF630" s="7" t="s">
        <v>2961</v>
      </c>
      <c r="AG630" s="7" t="s">
        <v>2961</v>
      </c>
      <c r="AI630" s="7" t="s">
        <v>4100</v>
      </c>
      <c r="AJ630" s="7" t="s">
        <v>2656</v>
      </c>
      <c r="AK630" s="41">
        <f>Table43[[#This Row],[Harga Jual Pcs GT
(-PPN)]]-(Table43[[#This Row],[Harga Jual Pcs GT
(-PPN)]]*10%)</f>
        <v>0</v>
      </c>
      <c r="AL630" s="42">
        <f>Table43[[#This Row],[Harga Beli Pcs
(-PPN)]]*Table43[[#This Row],[ISI/CTN]]</f>
        <v>0</v>
      </c>
      <c r="AM630" s="42">
        <f>Table43[[#This Row],[Harga Beli Pcs
(-PPN)]]*1.11</f>
        <v>0</v>
      </c>
      <c r="AN630" s="42">
        <f>Table43[[#This Row],[Harga Beli Krt
(- PPN)]]*1.11</f>
        <v>0</v>
      </c>
      <c r="AO630" s="42"/>
      <c r="AP630" s="42">
        <f>Table43[[#This Row],[Harga Jual Pcs GT
(-PPN)]]*Table43[[#This Row],[ISI/CTN]]</f>
        <v>0</v>
      </c>
      <c r="AQ630" s="42">
        <f>Table43[[#This Row],[Harga Jual Pcs GT
(-PPN)]]*1.11</f>
        <v>0</v>
      </c>
      <c r="AR630" s="42">
        <f>Table43[[#This Row],[Harga Jual Krt GT
(- PPN)]]*1.11</f>
        <v>0</v>
      </c>
      <c r="AS630" s="42">
        <f>Table43[[#This Row],[Harga Jual Pcs GT
(-PPN)]]</f>
        <v>0</v>
      </c>
      <c r="AT630" s="42">
        <f>(Table43[[#This Row],[Harga Jual Pcs MT
(-PPN)]]*Table43[[#This Row],[ISI/CTN]])</f>
        <v>0</v>
      </c>
      <c r="AU630" s="42">
        <f>Table43[[#This Row],[Harga Jual Pcs MT
(-PPN)]]*1.11</f>
        <v>0</v>
      </c>
      <c r="AV630" s="42">
        <f>Table43[[#This Row],[Harga Jual Pcs MT
(+PPN)]]*Table43[[#This Row],[ISI/CTN]]</f>
        <v>0</v>
      </c>
      <c r="AW630" s="47"/>
      <c r="AX630" s="7"/>
      <c r="AY630" s="7" t="str">
        <f ca="1">IF(TODAY()-Table43[[#This Row],[Efektif
Pembuatan]]&gt;60,"Lama","Baru")</f>
        <v>Lama</v>
      </c>
      <c r="AZ630" s="7" t="str">
        <f ca="1">IF(TODAY()-Table43[[#This Row],[Efektif Naik Harga]]&lt;30,"Naik","Sama")</f>
        <v>Sama</v>
      </c>
      <c r="BA630" s="7" t="str">
        <f>IF(Table43[[#This Row],[Kode BARANG Win2]]&lt;&gt;"","IDR","")</f>
        <v>IDR</v>
      </c>
      <c r="BB630" s="7" t="str">
        <f>CONCATENATE(Table43[[#This Row],[kode  1 Digit
(Nomor)]],Table43[[#This Row],[kode  4 Digit                (Nomor)]])</f>
        <v>10070</v>
      </c>
      <c r="BC630" s="7" t="str">
        <f>Table43[[#This Row],[Nama            Gramasi atau Jumlah Pack per CTN]]</f>
        <v>70ML</v>
      </c>
      <c r="BD630" s="7"/>
      <c r="BE630" s="7"/>
      <c r="BF630" s="4" t="str">
        <f>IF(Table43[[#This Row],[SATUAN Fix Win]]&lt;&gt;"","KRT")</f>
        <v>KRT</v>
      </c>
      <c r="BG630" s="4" t="str">
        <f>IF(Table43[[#This Row],[SATUAN Fix Win]]&lt;&gt;"","GD01")</f>
        <v>GD01</v>
      </c>
      <c r="BH630" s="4">
        <f>IF(Table43[[#This Row],[SATUAN Fix Win]]&lt;&gt;"",11611)</f>
        <v>11611</v>
      </c>
      <c r="BI630" s="4">
        <f>IF(Table43[[#This Row],[SATUAN Fix Win]]&lt;&gt;"",11612)</f>
        <v>11612</v>
      </c>
      <c r="BJ630" s="48"/>
      <c r="BK630" s="4">
        <f>IF(Table43[[#This Row],[SATUAN Fix Win]]&lt;&gt;"",1)</f>
        <v>1</v>
      </c>
    </row>
    <row r="631" spans="1:63">
      <c r="A631" s="4" t="str">
        <f>CONCATENATE(Table43[[#This Row],[Kode BARANG Win2]],Table43[[#This Row],[No. Urut
Item Sama]])</f>
        <v>K15020000070201</v>
      </c>
      <c r="B631" s="7">
        <v>1</v>
      </c>
      <c r="D631" s="28" t="s">
        <v>421</v>
      </c>
      <c r="E631" s="28"/>
      <c r="F631" s="28" t="s">
        <v>3367</v>
      </c>
      <c r="G631" s="78">
        <v>36</v>
      </c>
      <c r="H631" s="43"/>
      <c r="I631" s="28" t="str">
        <f>Table43[[#This Row],[Nama Jenis Kemasan]]</f>
        <v>PCH</v>
      </c>
      <c r="J631" s="4" t="str">
        <f>TRIM(CONCATENATE(Table43[[#This Row],[Nama            KLP]]," ",Table43[[#This Row],[Nama            Sub KLP]]))</f>
        <v>SLEEK BABY BN CLEANSER</v>
      </c>
      <c r="K631" s="4" t="str">
        <f>CONCATENATE(Table43[[#This Row],[kode  2 Digit                (hrf+No)]],Table43[[#This Row],[kode  2 Digit                (Nomor)]],Table43[[#This Row],[kode  1 Digit                (Nomor)]])</f>
        <v>K1502</v>
      </c>
      <c r="L631" s="4" t="str">
        <f t="shared" si="30"/>
        <v>K1502000007020</v>
      </c>
      <c r="M631" s="11">
        <f t="shared" si="31"/>
        <v>14</v>
      </c>
      <c r="N631" s="14" t="str">
        <f>IF(AF631&lt;&gt;"",TRIM(UPPER(CONCATENATE(P631," ",R631," ",T631," ",V631," ",X631," ",Z631," ","X"," ",Table43[[#This Row],[ISI/CTN]]," ",AF631," ",AB631," ",AD631," ",AH631))),TRIM(UPPER(CONCATENATE(P631," ",R631," ",T631," ",V631," ",X631," ",Z631," ","X"," ",Table43[[#This Row],[ISI/CTN]]," ",AB631," ",AD631," ",AH631))))</f>
        <v>KNF SLEEK BABY BN CLEANSER 70ML X 36 PCH</v>
      </c>
      <c r="O631" s="11">
        <f t="shared" si="32"/>
        <v>40</v>
      </c>
      <c r="P631" s="4" t="s">
        <v>97</v>
      </c>
      <c r="Q631" s="7" t="s">
        <v>98</v>
      </c>
      <c r="R631" s="4" t="s">
        <v>3559</v>
      </c>
      <c r="S631" s="44" t="s">
        <v>4016</v>
      </c>
      <c r="T631" s="45" t="s">
        <v>3560</v>
      </c>
      <c r="U631" s="7" t="s">
        <v>3562</v>
      </c>
      <c r="V631" s="45" t="s">
        <v>2961</v>
      </c>
      <c r="W631" s="44" t="s">
        <v>2900</v>
      </c>
      <c r="X631" s="4" t="s">
        <v>2961</v>
      </c>
      <c r="Y631" s="46" t="s">
        <v>2480</v>
      </c>
      <c r="Z631" s="4" t="s">
        <v>3724</v>
      </c>
      <c r="AA631" s="46" t="s">
        <v>2500</v>
      </c>
      <c r="AB631" s="4" t="s">
        <v>356</v>
      </c>
      <c r="AC631" s="7" t="s">
        <v>3562</v>
      </c>
      <c r="AD631" s="4" t="s">
        <v>2961</v>
      </c>
      <c r="AE631" s="7" t="s">
        <v>2900</v>
      </c>
      <c r="AF631" s="7" t="s">
        <v>2961</v>
      </c>
      <c r="AG631" s="7" t="s">
        <v>2961</v>
      </c>
      <c r="AI631" s="7" t="s">
        <v>4100</v>
      </c>
      <c r="AJ631" s="7" t="s">
        <v>2656</v>
      </c>
      <c r="AK631" s="41">
        <f>Table43[[#This Row],[Harga Jual Pcs GT
(-PPN)]]-(Table43[[#This Row],[Harga Jual Pcs GT
(-PPN)]]*10%)</f>
        <v>0</v>
      </c>
      <c r="AL631" s="42">
        <f>Table43[[#This Row],[Harga Beli Pcs
(-PPN)]]*Table43[[#This Row],[ISI/CTN]]</f>
        <v>0</v>
      </c>
      <c r="AM631" s="42">
        <f>Table43[[#This Row],[Harga Beli Pcs
(-PPN)]]*1.11</f>
        <v>0</v>
      </c>
      <c r="AN631" s="42">
        <f>Table43[[#This Row],[Harga Beli Krt
(- PPN)]]*1.11</f>
        <v>0</v>
      </c>
      <c r="AO631" s="42"/>
      <c r="AP631" s="42">
        <f>Table43[[#This Row],[Harga Jual Pcs GT
(-PPN)]]*Table43[[#This Row],[ISI/CTN]]</f>
        <v>0</v>
      </c>
      <c r="AQ631" s="42">
        <f>Table43[[#This Row],[Harga Jual Pcs GT
(-PPN)]]*1.11</f>
        <v>0</v>
      </c>
      <c r="AR631" s="42">
        <f>Table43[[#This Row],[Harga Jual Krt GT
(- PPN)]]*1.11</f>
        <v>0</v>
      </c>
      <c r="AS631" s="42">
        <f>Table43[[#This Row],[Harga Jual Pcs GT
(-PPN)]]</f>
        <v>0</v>
      </c>
      <c r="AT631" s="42">
        <f>(Table43[[#This Row],[Harga Jual Pcs MT
(-PPN)]]*Table43[[#This Row],[ISI/CTN]])</f>
        <v>0</v>
      </c>
      <c r="AU631" s="42">
        <f>Table43[[#This Row],[Harga Jual Pcs MT
(-PPN)]]*1.11</f>
        <v>0</v>
      </c>
      <c r="AV631" s="42">
        <f>Table43[[#This Row],[Harga Jual Pcs MT
(+PPN)]]*Table43[[#This Row],[ISI/CTN]]</f>
        <v>0</v>
      </c>
      <c r="AW631" s="47"/>
      <c r="AX631" s="7"/>
      <c r="AY631" s="7" t="str">
        <f ca="1">IF(TODAY()-Table43[[#This Row],[Efektif
Pembuatan]]&gt;60,"Lama","Baru")</f>
        <v>Lama</v>
      </c>
      <c r="AZ631" s="7" t="str">
        <f ca="1">IF(TODAY()-Table43[[#This Row],[Efektif Naik Harga]]&lt;30,"Naik","Sama")</f>
        <v>Sama</v>
      </c>
      <c r="BA631" s="7" t="str">
        <f>IF(Table43[[#This Row],[Kode BARANG Win2]]&lt;&gt;"","IDR","")</f>
        <v>IDR</v>
      </c>
      <c r="BB631" s="7" t="str">
        <f>CONCATENATE(Table43[[#This Row],[kode  1 Digit
(Nomor)]],Table43[[#This Row],[kode  4 Digit                (Nomor)]])</f>
        <v>10070</v>
      </c>
      <c r="BC631" s="7" t="str">
        <f>Table43[[#This Row],[Nama            Gramasi atau Jumlah Pack per CTN]]</f>
        <v>70ML</v>
      </c>
      <c r="BD631" s="7"/>
      <c r="BE631" s="7"/>
      <c r="BF631" s="4" t="str">
        <f>IF(Table43[[#This Row],[SATUAN Fix Win]]&lt;&gt;"","KRT")</f>
        <v>KRT</v>
      </c>
      <c r="BG631" s="4" t="str">
        <f>IF(Table43[[#This Row],[SATUAN Fix Win]]&lt;&gt;"","GD01")</f>
        <v>GD01</v>
      </c>
      <c r="BH631" s="4">
        <f>IF(Table43[[#This Row],[SATUAN Fix Win]]&lt;&gt;"",11611)</f>
        <v>11611</v>
      </c>
      <c r="BI631" s="4">
        <f>IF(Table43[[#This Row],[SATUAN Fix Win]]&lt;&gt;"",11612)</f>
        <v>11612</v>
      </c>
      <c r="BJ631" s="48"/>
      <c r="BK631" s="4">
        <f>IF(Table43[[#This Row],[SATUAN Fix Win]]&lt;&gt;"",1)</f>
        <v>1</v>
      </c>
    </row>
    <row r="632" spans="1:63">
      <c r="A632" s="4" t="str">
        <f>CONCATENATE(Table43[[#This Row],[Kode BARANG Win2]],Table43[[#This Row],[No. Urut
Item Sama]])</f>
        <v>K15020000150102</v>
      </c>
      <c r="B632" s="7">
        <v>2</v>
      </c>
      <c r="D632" s="28" t="s">
        <v>423</v>
      </c>
      <c r="E632" s="28"/>
      <c r="F632" s="28" t="s">
        <v>3369</v>
      </c>
      <c r="G632" s="78">
        <v>36</v>
      </c>
      <c r="H632" s="43"/>
      <c r="I632" s="28" t="str">
        <f>Table43[[#This Row],[Nama Jenis Kemasan]]</f>
        <v>BTL</v>
      </c>
      <c r="J632" s="4" t="str">
        <f>TRIM(CONCATENATE(Table43[[#This Row],[Nama            KLP]]," ",Table43[[#This Row],[Nama            Sub KLP]]))</f>
        <v>SLEEK BABY BN CLEANSER</v>
      </c>
      <c r="K632" s="4" t="str">
        <f>CONCATENATE(Table43[[#This Row],[kode  2 Digit                (hrf+No)]],Table43[[#This Row],[kode  2 Digit                (Nomor)]],Table43[[#This Row],[kode  1 Digit                (Nomor)]])</f>
        <v>K1502</v>
      </c>
      <c r="L632" s="4" t="str">
        <f t="shared" si="30"/>
        <v>K1502000015010</v>
      </c>
      <c r="M632" s="11">
        <f t="shared" si="31"/>
        <v>14</v>
      </c>
      <c r="N632" s="14" t="str">
        <f>IF(AF632&lt;&gt;"",TRIM(UPPER(CONCATENATE(P632," ",R632," ",T632," ",V632," ",X632," ",Z632," ","X"," ",Table43[[#This Row],[ISI/CTN]]," ",AF632," ",AB632," ",AD632," ",AH632))),TRIM(UPPER(CONCATENATE(P632," ",R632," ",T632," ",V632," ",X632," ",Z632," ","X"," ",Table43[[#This Row],[ISI/CTN]]," ",AB632," ",AD632," ",AH632))))</f>
        <v>KNF SLEEK BABY BN CLEANSER 150ML X 36 BTL</v>
      </c>
      <c r="O632" s="11">
        <f t="shared" si="32"/>
        <v>41</v>
      </c>
      <c r="P632" s="4" t="s">
        <v>97</v>
      </c>
      <c r="Q632" s="7" t="s">
        <v>98</v>
      </c>
      <c r="R632" s="4" t="s">
        <v>3559</v>
      </c>
      <c r="S632" s="44" t="s">
        <v>4016</v>
      </c>
      <c r="T632" s="45" t="s">
        <v>3560</v>
      </c>
      <c r="U632" s="7" t="s">
        <v>3562</v>
      </c>
      <c r="V632" s="45" t="s">
        <v>2961</v>
      </c>
      <c r="W632" s="44" t="s">
        <v>2900</v>
      </c>
      <c r="X632" s="4" t="s">
        <v>2961</v>
      </c>
      <c r="Y632" s="46" t="s">
        <v>2480</v>
      </c>
      <c r="Z632" s="4" t="s">
        <v>2464</v>
      </c>
      <c r="AA632" s="46" t="s">
        <v>2482</v>
      </c>
      <c r="AB632" s="4" t="s">
        <v>357</v>
      </c>
      <c r="AC632" s="7" t="s">
        <v>2656</v>
      </c>
      <c r="AD632" s="4" t="s">
        <v>2961</v>
      </c>
      <c r="AE632" s="7" t="s">
        <v>2900</v>
      </c>
      <c r="AF632" s="7" t="s">
        <v>2961</v>
      </c>
      <c r="AG632" s="7" t="s">
        <v>2961</v>
      </c>
      <c r="AI632" s="7" t="s">
        <v>4100</v>
      </c>
      <c r="AJ632" s="7" t="s">
        <v>2656</v>
      </c>
      <c r="AK632" s="41">
        <f>Table43[[#This Row],[Harga Jual Pcs GT
(-PPN)]]-(Table43[[#This Row],[Harga Jual Pcs GT
(-PPN)]]*10%)</f>
        <v>0</v>
      </c>
      <c r="AL632" s="42">
        <f>Table43[[#This Row],[Harga Beli Pcs
(-PPN)]]*Table43[[#This Row],[ISI/CTN]]</f>
        <v>0</v>
      </c>
      <c r="AM632" s="42">
        <f>Table43[[#This Row],[Harga Beli Pcs
(-PPN)]]*1.11</f>
        <v>0</v>
      </c>
      <c r="AN632" s="42">
        <f>Table43[[#This Row],[Harga Beli Krt
(- PPN)]]*1.11</f>
        <v>0</v>
      </c>
      <c r="AO632" s="42"/>
      <c r="AP632" s="42">
        <f>Table43[[#This Row],[Harga Jual Pcs GT
(-PPN)]]*Table43[[#This Row],[ISI/CTN]]</f>
        <v>0</v>
      </c>
      <c r="AQ632" s="42">
        <f>Table43[[#This Row],[Harga Jual Pcs GT
(-PPN)]]*1.11</f>
        <v>0</v>
      </c>
      <c r="AR632" s="42">
        <f>Table43[[#This Row],[Harga Jual Krt GT
(- PPN)]]*1.11</f>
        <v>0</v>
      </c>
      <c r="AS632" s="42">
        <f>Table43[[#This Row],[Harga Jual Pcs GT
(-PPN)]]</f>
        <v>0</v>
      </c>
      <c r="AT632" s="42">
        <f>(Table43[[#This Row],[Harga Jual Pcs MT
(-PPN)]]*Table43[[#This Row],[ISI/CTN]])</f>
        <v>0</v>
      </c>
      <c r="AU632" s="42">
        <f>Table43[[#This Row],[Harga Jual Pcs MT
(-PPN)]]*1.11</f>
        <v>0</v>
      </c>
      <c r="AV632" s="42">
        <f>Table43[[#This Row],[Harga Jual Pcs MT
(+PPN)]]*Table43[[#This Row],[ISI/CTN]]</f>
        <v>0</v>
      </c>
      <c r="AW632" s="47"/>
      <c r="AX632" s="7"/>
      <c r="AY632" s="7" t="str">
        <f ca="1">IF(TODAY()-Table43[[#This Row],[Efektif
Pembuatan]]&gt;60,"Lama","Baru")</f>
        <v>Lama</v>
      </c>
      <c r="AZ632" s="7" t="str">
        <f ca="1">IF(TODAY()-Table43[[#This Row],[Efektif Naik Harga]]&lt;30,"Naik","Sama")</f>
        <v>Sama</v>
      </c>
      <c r="BA632" s="7" t="str">
        <f>IF(Table43[[#This Row],[Kode BARANG Win2]]&lt;&gt;"","IDR","")</f>
        <v>IDR</v>
      </c>
      <c r="BB632" s="7" t="str">
        <f>CONCATENATE(Table43[[#This Row],[kode  1 Digit
(Nomor)]],Table43[[#This Row],[kode  4 Digit                (Nomor)]])</f>
        <v>10150</v>
      </c>
      <c r="BC632" s="7" t="str">
        <f>Table43[[#This Row],[Nama            Gramasi atau Jumlah Pack per CTN]]</f>
        <v>150ML</v>
      </c>
      <c r="BD632" s="7"/>
      <c r="BE632" s="7"/>
      <c r="BF632" s="4" t="str">
        <f>IF(Table43[[#This Row],[SATUAN Fix Win]]&lt;&gt;"","KRT")</f>
        <v>KRT</v>
      </c>
      <c r="BG632" s="4" t="str">
        <f>IF(Table43[[#This Row],[SATUAN Fix Win]]&lt;&gt;"","GD01")</f>
        <v>GD01</v>
      </c>
      <c r="BH632" s="4">
        <f>IF(Table43[[#This Row],[SATUAN Fix Win]]&lt;&gt;"",11611)</f>
        <v>11611</v>
      </c>
      <c r="BI632" s="4">
        <f>IF(Table43[[#This Row],[SATUAN Fix Win]]&lt;&gt;"",11612)</f>
        <v>11612</v>
      </c>
      <c r="BJ632" s="48"/>
      <c r="BK632" s="4">
        <f>IF(Table43[[#This Row],[SATUAN Fix Win]]&lt;&gt;"",1)</f>
        <v>1</v>
      </c>
    </row>
    <row r="633" spans="1:63">
      <c r="A633" s="4" t="str">
        <f>CONCATENATE(Table43[[#This Row],[Kode BARANG Win2]],Table43[[#This Row],[No. Urut
Item Sama]])</f>
        <v>K15020000150121</v>
      </c>
      <c r="B633" s="7">
        <v>1</v>
      </c>
      <c r="D633" s="28" t="s">
        <v>424</v>
      </c>
      <c r="E633" s="28"/>
      <c r="F633" s="28" t="s">
        <v>3370</v>
      </c>
      <c r="G633" s="78">
        <v>36</v>
      </c>
      <c r="H633" s="43"/>
      <c r="I633" s="28" t="str">
        <f>Table43[[#This Row],[Nama Jenis Kemasan]]</f>
        <v>BTL</v>
      </c>
      <c r="J633" s="4" t="str">
        <f>TRIM(CONCATENATE(Table43[[#This Row],[Nama            KLP]]," ",Table43[[#This Row],[Nama            Sub KLP]]))</f>
        <v>SLEEK BABY BN CLEANSER</v>
      </c>
      <c r="K633" s="4" t="str">
        <f>CONCATENATE(Table43[[#This Row],[kode  2 Digit                (hrf+No)]],Table43[[#This Row],[kode  2 Digit                (Nomor)]],Table43[[#This Row],[kode  1 Digit                (Nomor)]])</f>
        <v>K1502</v>
      </c>
      <c r="L633" s="4" t="str">
        <f t="shared" si="30"/>
        <v>K1502000015012</v>
      </c>
      <c r="M633" s="11">
        <f t="shared" si="31"/>
        <v>14</v>
      </c>
      <c r="N633" s="14" t="str">
        <f>IF(AF633&lt;&gt;"",TRIM(UPPER(CONCATENATE(P633," ",R633," ",T633," ",V633," ",X633," ",Z633," ","X"," ",Table43[[#This Row],[ISI/CTN]]," ",AF633," ",AB633," ",AD633," ",AH633))),TRIM(UPPER(CONCATENATE(P633," ",R633," ",T633," ",V633," ",X633," ",Z633," ","X"," ",Table43[[#This Row],[ISI/CTN]]," ",AB633," ",AD633," ",AH633))))</f>
        <v>KNF SLEEK BABY BN CLEANSER 150ML X 36 BTL</v>
      </c>
      <c r="O633" s="11">
        <f t="shared" si="32"/>
        <v>41</v>
      </c>
      <c r="P633" s="4" t="s">
        <v>97</v>
      </c>
      <c r="Q633" s="7" t="s">
        <v>98</v>
      </c>
      <c r="R633" s="4" t="s">
        <v>3559</v>
      </c>
      <c r="S633" s="44" t="s">
        <v>4016</v>
      </c>
      <c r="T633" s="45" t="s">
        <v>3560</v>
      </c>
      <c r="U633" s="7" t="s">
        <v>3562</v>
      </c>
      <c r="V633" s="45" t="s">
        <v>2961</v>
      </c>
      <c r="W633" s="44" t="s">
        <v>2900</v>
      </c>
      <c r="X633" s="4" t="s">
        <v>2961</v>
      </c>
      <c r="Y633" s="46" t="s">
        <v>2480</v>
      </c>
      <c r="Z633" s="4" t="s">
        <v>2464</v>
      </c>
      <c r="AA633" s="46" t="s">
        <v>2482</v>
      </c>
      <c r="AB633" s="4" t="s">
        <v>357</v>
      </c>
      <c r="AC633" s="7" t="s">
        <v>2656</v>
      </c>
      <c r="AD633" s="4" t="s">
        <v>2961</v>
      </c>
      <c r="AE633" s="7" t="s">
        <v>3562</v>
      </c>
      <c r="AF633" s="7" t="s">
        <v>2961</v>
      </c>
      <c r="AG633" s="7" t="s">
        <v>2961</v>
      </c>
      <c r="AI633" s="7" t="s">
        <v>4100</v>
      </c>
      <c r="AJ633" s="7" t="s">
        <v>2656</v>
      </c>
      <c r="AK633" s="41">
        <f>Table43[[#This Row],[Harga Jual Pcs GT
(-PPN)]]-(Table43[[#This Row],[Harga Jual Pcs GT
(-PPN)]]*10%)</f>
        <v>0</v>
      </c>
      <c r="AL633" s="42">
        <f>Table43[[#This Row],[Harga Beli Pcs
(-PPN)]]*Table43[[#This Row],[ISI/CTN]]</f>
        <v>0</v>
      </c>
      <c r="AM633" s="42">
        <f>Table43[[#This Row],[Harga Beli Pcs
(-PPN)]]*1.11</f>
        <v>0</v>
      </c>
      <c r="AN633" s="42">
        <f>Table43[[#This Row],[Harga Beli Krt
(- PPN)]]*1.11</f>
        <v>0</v>
      </c>
      <c r="AO633" s="42"/>
      <c r="AP633" s="42">
        <f>Table43[[#This Row],[Harga Jual Pcs GT
(-PPN)]]*Table43[[#This Row],[ISI/CTN]]</f>
        <v>0</v>
      </c>
      <c r="AQ633" s="42">
        <f>Table43[[#This Row],[Harga Jual Pcs GT
(-PPN)]]*1.11</f>
        <v>0</v>
      </c>
      <c r="AR633" s="42">
        <f>Table43[[#This Row],[Harga Jual Krt GT
(- PPN)]]*1.11</f>
        <v>0</v>
      </c>
      <c r="AS633" s="42">
        <f>Table43[[#This Row],[Harga Jual Pcs GT
(-PPN)]]</f>
        <v>0</v>
      </c>
      <c r="AT633" s="42">
        <f>(Table43[[#This Row],[Harga Jual Pcs MT
(-PPN)]]*Table43[[#This Row],[ISI/CTN]])</f>
        <v>0</v>
      </c>
      <c r="AU633" s="42">
        <f>Table43[[#This Row],[Harga Jual Pcs MT
(-PPN)]]*1.11</f>
        <v>0</v>
      </c>
      <c r="AV633" s="42">
        <f>Table43[[#This Row],[Harga Jual Pcs MT
(+PPN)]]*Table43[[#This Row],[ISI/CTN]]</f>
        <v>0</v>
      </c>
      <c r="AW633" s="47"/>
      <c r="AX633" s="7"/>
      <c r="AY633" s="7" t="str">
        <f ca="1">IF(TODAY()-Table43[[#This Row],[Efektif
Pembuatan]]&gt;60,"Lama","Baru")</f>
        <v>Lama</v>
      </c>
      <c r="AZ633" s="7" t="str">
        <f ca="1">IF(TODAY()-Table43[[#This Row],[Efektif Naik Harga]]&lt;30,"Naik","Sama")</f>
        <v>Sama</v>
      </c>
      <c r="BA633" s="7" t="str">
        <f>IF(Table43[[#This Row],[Kode BARANG Win2]]&lt;&gt;"","IDR","")</f>
        <v>IDR</v>
      </c>
      <c r="BB633" s="7" t="str">
        <f>CONCATENATE(Table43[[#This Row],[kode  1 Digit
(Nomor)]],Table43[[#This Row],[kode  4 Digit                (Nomor)]])</f>
        <v>10150</v>
      </c>
      <c r="BC633" s="7" t="str">
        <f>Table43[[#This Row],[Nama            Gramasi atau Jumlah Pack per CTN]]</f>
        <v>150ML</v>
      </c>
      <c r="BD633" s="7"/>
      <c r="BE633" s="7"/>
      <c r="BF633" s="4" t="str">
        <f>IF(Table43[[#This Row],[SATUAN Fix Win]]&lt;&gt;"","KRT")</f>
        <v>KRT</v>
      </c>
      <c r="BG633" s="4" t="str">
        <f>IF(Table43[[#This Row],[SATUAN Fix Win]]&lt;&gt;"","GD01")</f>
        <v>GD01</v>
      </c>
      <c r="BH633" s="4">
        <f>IF(Table43[[#This Row],[SATUAN Fix Win]]&lt;&gt;"",11611)</f>
        <v>11611</v>
      </c>
      <c r="BI633" s="4">
        <f>IF(Table43[[#This Row],[SATUAN Fix Win]]&lt;&gt;"",11612)</f>
        <v>11612</v>
      </c>
      <c r="BJ633" s="48"/>
      <c r="BK633" s="4">
        <f>IF(Table43[[#This Row],[SATUAN Fix Win]]&lt;&gt;"",1)</f>
        <v>1</v>
      </c>
    </row>
    <row r="634" spans="1:63">
      <c r="A634" s="4" t="str">
        <f>CONCATENATE(Table43[[#This Row],[Kode BARANG Win2]],Table43[[#This Row],[No. Urut
Item Sama]])</f>
        <v>K15020000450202</v>
      </c>
      <c r="B634" s="7">
        <v>2</v>
      </c>
      <c r="D634" s="28" t="s">
        <v>425</v>
      </c>
      <c r="E634" s="28"/>
      <c r="F634" s="28" t="s">
        <v>3371</v>
      </c>
      <c r="G634" s="78">
        <v>12</v>
      </c>
      <c r="H634" s="43"/>
      <c r="I634" s="28" t="str">
        <f>Table43[[#This Row],[Nama Jenis Kemasan]]</f>
        <v>PCH</v>
      </c>
      <c r="J634" s="4" t="str">
        <f>TRIM(CONCATENATE(Table43[[#This Row],[Nama            KLP]]," ",Table43[[#This Row],[Nama            Sub KLP]]))</f>
        <v>SLEEK BABY BN CLEANSER</v>
      </c>
      <c r="K634" s="4" t="str">
        <f>CONCATENATE(Table43[[#This Row],[kode  2 Digit                (hrf+No)]],Table43[[#This Row],[kode  2 Digit                (Nomor)]],Table43[[#This Row],[kode  1 Digit                (Nomor)]])</f>
        <v>K1502</v>
      </c>
      <c r="L634" s="4" t="str">
        <f t="shared" si="30"/>
        <v>K1502000045020</v>
      </c>
      <c r="M634" s="11">
        <f t="shared" si="31"/>
        <v>14</v>
      </c>
      <c r="N634" s="14" t="str">
        <f>IF(AF634&lt;&gt;"",TRIM(UPPER(CONCATENATE(P634," ",R634," ",T634," ",V634," ",X634," ",Z634," ","X"," ",Table43[[#This Row],[ISI/CTN]]," ",AF634," ",AB634," ",AD634," ",AH634))),TRIM(UPPER(CONCATENATE(P634," ",R634," ",T634," ",V634," ",X634," ",Z634," ","X"," ",Table43[[#This Row],[ISI/CTN]]," ",AB634," ",AD634," ",AH634))))</f>
        <v>KNF SLEEK BABY BN CLEANSER 450ML X 12 PCH</v>
      </c>
      <c r="O634" s="11">
        <f t="shared" si="32"/>
        <v>41</v>
      </c>
      <c r="P634" s="4" t="s">
        <v>97</v>
      </c>
      <c r="Q634" s="7" t="s">
        <v>98</v>
      </c>
      <c r="R634" s="4" t="s">
        <v>3559</v>
      </c>
      <c r="S634" s="44" t="s">
        <v>4016</v>
      </c>
      <c r="T634" s="45" t="s">
        <v>3560</v>
      </c>
      <c r="U634" s="7" t="s">
        <v>3562</v>
      </c>
      <c r="V634" s="45" t="s">
        <v>2961</v>
      </c>
      <c r="W634" s="44" t="s">
        <v>2900</v>
      </c>
      <c r="X634" s="4" t="s">
        <v>2961</v>
      </c>
      <c r="Y634" s="46" t="s">
        <v>2480</v>
      </c>
      <c r="Z634" s="4" t="s">
        <v>4018</v>
      </c>
      <c r="AA634" s="46" t="s">
        <v>2512</v>
      </c>
      <c r="AB634" s="4" t="s">
        <v>356</v>
      </c>
      <c r="AC634" s="7" t="s">
        <v>3562</v>
      </c>
      <c r="AD634" s="4" t="s">
        <v>2961</v>
      </c>
      <c r="AE634" s="7" t="s">
        <v>2900</v>
      </c>
      <c r="AF634" s="7" t="s">
        <v>2961</v>
      </c>
      <c r="AG634" s="7" t="s">
        <v>2961</v>
      </c>
      <c r="AI634" s="7" t="s">
        <v>4100</v>
      </c>
      <c r="AJ634" s="7" t="s">
        <v>2656</v>
      </c>
      <c r="AK634" s="41">
        <f>Table43[[#This Row],[Harga Jual Pcs GT
(-PPN)]]-(Table43[[#This Row],[Harga Jual Pcs GT
(-PPN)]]*10%)</f>
        <v>0</v>
      </c>
      <c r="AL634" s="42">
        <f>Table43[[#This Row],[Harga Beli Pcs
(-PPN)]]*Table43[[#This Row],[ISI/CTN]]</f>
        <v>0</v>
      </c>
      <c r="AM634" s="42">
        <f>Table43[[#This Row],[Harga Beli Pcs
(-PPN)]]*1.11</f>
        <v>0</v>
      </c>
      <c r="AN634" s="42">
        <f>Table43[[#This Row],[Harga Beli Krt
(- PPN)]]*1.11</f>
        <v>0</v>
      </c>
      <c r="AO634" s="42"/>
      <c r="AP634" s="42">
        <f>Table43[[#This Row],[Harga Jual Pcs GT
(-PPN)]]*Table43[[#This Row],[ISI/CTN]]</f>
        <v>0</v>
      </c>
      <c r="AQ634" s="42">
        <f>Table43[[#This Row],[Harga Jual Pcs GT
(-PPN)]]*1.11</f>
        <v>0</v>
      </c>
      <c r="AR634" s="42">
        <f>Table43[[#This Row],[Harga Jual Krt GT
(- PPN)]]*1.11</f>
        <v>0</v>
      </c>
      <c r="AS634" s="42">
        <f>Table43[[#This Row],[Harga Jual Pcs GT
(-PPN)]]</f>
        <v>0</v>
      </c>
      <c r="AT634" s="42">
        <f>(Table43[[#This Row],[Harga Jual Pcs MT
(-PPN)]]*Table43[[#This Row],[ISI/CTN]])</f>
        <v>0</v>
      </c>
      <c r="AU634" s="42">
        <f>Table43[[#This Row],[Harga Jual Pcs MT
(-PPN)]]*1.11</f>
        <v>0</v>
      </c>
      <c r="AV634" s="42">
        <f>Table43[[#This Row],[Harga Jual Pcs MT
(+PPN)]]*Table43[[#This Row],[ISI/CTN]]</f>
        <v>0</v>
      </c>
      <c r="AW634" s="47"/>
      <c r="AX634" s="7"/>
      <c r="AY634" s="7" t="str">
        <f ca="1">IF(TODAY()-Table43[[#This Row],[Efektif
Pembuatan]]&gt;60,"Lama","Baru")</f>
        <v>Lama</v>
      </c>
      <c r="AZ634" s="7" t="str">
        <f ca="1">IF(TODAY()-Table43[[#This Row],[Efektif Naik Harga]]&lt;30,"Naik","Sama")</f>
        <v>Sama</v>
      </c>
      <c r="BA634" s="7" t="str">
        <f>IF(Table43[[#This Row],[Kode BARANG Win2]]&lt;&gt;"","IDR","")</f>
        <v>IDR</v>
      </c>
      <c r="BB634" s="7" t="str">
        <f>CONCATENATE(Table43[[#This Row],[kode  1 Digit
(Nomor)]],Table43[[#This Row],[kode  4 Digit                (Nomor)]])</f>
        <v>10450</v>
      </c>
      <c r="BC634" s="7" t="str">
        <f>Table43[[#This Row],[Nama            Gramasi atau Jumlah Pack per CTN]]</f>
        <v>450ML</v>
      </c>
      <c r="BD634" s="7"/>
      <c r="BE634" s="7"/>
      <c r="BF634" s="4" t="str">
        <f>IF(Table43[[#This Row],[SATUAN Fix Win]]&lt;&gt;"","KRT")</f>
        <v>KRT</v>
      </c>
      <c r="BG634" s="4" t="str">
        <f>IF(Table43[[#This Row],[SATUAN Fix Win]]&lt;&gt;"","GD01")</f>
        <v>GD01</v>
      </c>
      <c r="BH634" s="4">
        <f>IF(Table43[[#This Row],[SATUAN Fix Win]]&lt;&gt;"",11611)</f>
        <v>11611</v>
      </c>
      <c r="BI634" s="4">
        <f>IF(Table43[[#This Row],[SATUAN Fix Win]]&lt;&gt;"",11612)</f>
        <v>11612</v>
      </c>
      <c r="BJ634" s="48"/>
      <c r="BK634" s="4">
        <f>IF(Table43[[#This Row],[SATUAN Fix Win]]&lt;&gt;"",1)</f>
        <v>1</v>
      </c>
    </row>
    <row r="635" spans="1:63">
      <c r="A635" s="4" t="str">
        <f>CONCATENATE(Table43[[#This Row],[Kode BARANG Win2]],Table43[[#This Row],[No. Urut
Item Sama]])</f>
        <v>K15020000450211</v>
      </c>
      <c r="B635" s="7">
        <v>1</v>
      </c>
      <c r="D635" s="28" t="s">
        <v>426</v>
      </c>
      <c r="E635" s="28"/>
      <c r="F635" s="28" t="s">
        <v>3372</v>
      </c>
      <c r="G635" s="78">
        <v>12</v>
      </c>
      <c r="H635" s="43"/>
      <c r="I635" s="28" t="str">
        <f>Table43[[#This Row],[Nama Jenis Kemasan]]</f>
        <v>PCH</v>
      </c>
      <c r="J635" s="4" t="str">
        <f>TRIM(CONCATENATE(Table43[[#This Row],[Nama            KLP]]," ",Table43[[#This Row],[Nama            Sub KLP]]))</f>
        <v>SLEEK BABY BN CLEANSER</v>
      </c>
      <c r="K635" s="4" t="str">
        <f>CONCATENATE(Table43[[#This Row],[kode  2 Digit                (hrf+No)]],Table43[[#This Row],[kode  2 Digit                (Nomor)]],Table43[[#This Row],[kode  1 Digit                (Nomor)]])</f>
        <v>K1502</v>
      </c>
      <c r="L635" s="4" t="str">
        <f t="shared" si="30"/>
        <v>K1502000045021</v>
      </c>
      <c r="M635" s="11">
        <f t="shared" si="31"/>
        <v>14</v>
      </c>
      <c r="N635" s="14" t="str">
        <f>IF(AF635&lt;&gt;"",TRIM(UPPER(CONCATENATE(P635," ",R635," ",T635," ",V635," ",X635," ",Z635," ","X"," ",Table43[[#This Row],[ISI/CTN]]," ",AF635," ",AB635," ",AD635," ",AH635))),TRIM(UPPER(CONCATENATE(P635," ",R635," ",T635," ",V635," ",X635," ",Z635," ","X"," ",Table43[[#This Row],[ISI/CTN]]," ",AB635," ",AD635," ",AH635))))</f>
        <v>KNF SLEEK BABY BN CLEANSER 450ML X 12 PCH</v>
      </c>
      <c r="O635" s="11">
        <f t="shared" si="32"/>
        <v>41</v>
      </c>
      <c r="P635" s="4" t="s">
        <v>97</v>
      </c>
      <c r="Q635" s="7" t="s">
        <v>98</v>
      </c>
      <c r="R635" s="4" t="s">
        <v>3559</v>
      </c>
      <c r="S635" s="44" t="s">
        <v>4016</v>
      </c>
      <c r="T635" s="45" t="s">
        <v>3560</v>
      </c>
      <c r="U635" s="7" t="s">
        <v>3562</v>
      </c>
      <c r="V635" s="45" t="s">
        <v>2961</v>
      </c>
      <c r="W635" s="44" t="s">
        <v>2900</v>
      </c>
      <c r="X635" s="4" t="s">
        <v>2961</v>
      </c>
      <c r="Y635" s="46" t="s">
        <v>2480</v>
      </c>
      <c r="Z635" s="4" t="s">
        <v>4018</v>
      </c>
      <c r="AA635" s="46" t="s">
        <v>2512</v>
      </c>
      <c r="AB635" s="4" t="s">
        <v>356</v>
      </c>
      <c r="AC635" s="7" t="s">
        <v>3562</v>
      </c>
      <c r="AD635" s="4" t="s">
        <v>2961</v>
      </c>
      <c r="AE635" s="7" t="s">
        <v>2656</v>
      </c>
      <c r="AF635" s="7" t="s">
        <v>2961</v>
      </c>
      <c r="AG635" s="7" t="s">
        <v>2961</v>
      </c>
      <c r="AI635" s="7" t="s">
        <v>4100</v>
      </c>
      <c r="AJ635" s="7" t="s">
        <v>2656</v>
      </c>
      <c r="AK635" s="41">
        <f>Table43[[#This Row],[Harga Jual Pcs GT
(-PPN)]]-(Table43[[#This Row],[Harga Jual Pcs GT
(-PPN)]]*10%)</f>
        <v>0</v>
      </c>
      <c r="AL635" s="42">
        <f>Table43[[#This Row],[Harga Beli Pcs
(-PPN)]]*Table43[[#This Row],[ISI/CTN]]</f>
        <v>0</v>
      </c>
      <c r="AM635" s="42">
        <f>Table43[[#This Row],[Harga Beli Pcs
(-PPN)]]*1.11</f>
        <v>0</v>
      </c>
      <c r="AN635" s="42">
        <f>Table43[[#This Row],[Harga Beli Krt
(- PPN)]]*1.11</f>
        <v>0</v>
      </c>
      <c r="AO635" s="42"/>
      <c r="AP635" s="42">
        <f>Table43[[#This Row],[Harga Jual Pcs GT
(-PPN)]]*Table43[[#This Row],[ISI/CTN]]</f>
        <v>0</v>
      </c>
      <c r="AQ635" s="42">
        <f>Table43[[#This Row],[Harga Jual Pcs GT
(-PPN)]]*1.11</f>
        <v>0</v>
      </c>
      <c r="AR635" s="42">
        <f>Table43[[#This Row],[Harga Jual Krt GT
(- PPN)]]*1.11</f>
        <v>0</v>
      </c>
      <c r="AS635" s="42">
        <f>Table43[[#This Row],[Harga Jual Pcs GT
(-PPN)]]</f>
        <v>0</v>
      </c>
      <c r="AT635" s="42">
        <f>(Table43[[#This Row],[Harga Jual Pcs MT
(-PPN)]]*Table43[[#This Row],[ISI/CTN]])</f>
        <v>0</v>
      </c>
      <c r="AU635" s="42">
        <f>Table43[[#This Row],[Harga Jual Pcs MT
(-PPN)]]*1.11</f>
        <v>0</v>
      </c>
      <c r="AV635" s="42">
        <f>Table43[[#This Row],[Harga Jual Pcs MT
(+PPN)]]*Table43[[#This Row],[ISI/CTN]]</f>
        <v>0</v>
      </c>
      <c r="AW635" s="47"/>
      <c r="AX635" s="7"/>
      <c r="AY635" s="7" t="str">
        <f ca="1">IF(TODAY()-Table43[[#This Row],[Efektif
Pembuatan]]&gt;60,"Lama","Baru")</f>
        <v>Lama</v>
      </c>
      <c r="AZ635" s="7" t="str">
        <f ca="1">IF(TODAY()-Table43[[#This Row],[Efektif Naik Harga]]&lt;30,"Naik","Sama")</f>
        <v>Sama</v>
      </c>
      <c r="BA635" s="7" t="str">
        <f>IF(Table43[[#This Row],[Kode BARANG Win2]]&lt;&gt;"","IDR","")</f>
        <v>IDR</v>
      </c>
      <c r="BB635" s="7" t="str">
        <f>CONCATENATE(Table43[[#This Row],[kode  1 Digit
(Nomor)]],Table43[[#This Row],[kode  4 Digit                (Nomor)]])</f>
        <v>10450</v>
      </c>
      <c r="BC635" s="7" t="str">
        <f>Table43[[#This Row],[Nama            Gramasi atau Jumlah Pack per CTN]]</f>
        <v>450ML</v>
      </c>
      <c r="BD635" s="7"/>
      <c r="BE635" s="7"/>
      <c r="BF635" s="4" t="str">
        <f>IF(Table43[[#This Row],[SATUAN Fix Win]]&lt;&gt;"","KRT")</f>
        <v>KRT</v>
      </c>
      <c r="BG635" s="4" t="str">
        <f>IF(Table43[[#This Row],[SATUAN Fix Win]]&lt;&gt;"","GD01")</f>
        <v>GD01</v>
      </c>
      <c r="BH635" s="4">
        <f>IF(Table43[[#This Row],[SATUAN Fix Win]]&lt;&gt;"",11611)</f>
        <v>11611</v>
      </c>
      <c r="BI635" s="4">
        <f>IF(Table43[[#This Row],[SATUAN Fix Win]]&lt;&gt;"",11612)</f>
        <v>11612</v>
      </c>
      <c r="BJ635" s="48"/>
      <c r="BK635" s="4">
        <f>IF(Table43[[#This Row],[SATUAN Fix Win]]&lt;&gt;"",1)</f>
        <v>1</v>
      </c>
    </row>
    <row r="636" spans="1:63">
      <c r="A636" s="4" t="str">
        <f>CONCATENATE(Table43[[#This Row],[Kode BARANG Win2]],Table43[[#This Row],[No. Urut
Item Sama]])</f>
        <v>K15020000450221</v>
      </c>
      <c r="B636" s="7">
        <v>1</v>
      </c>
      <c r="D636" s="28" t="s">
        <v>427</v>
      </c>
      <c r="E636" s="28"/>
      <c r="F636" s="28" t="s">
        <v>3373</v>
      </c>
      <c r="G636" s="78">
        <v>12</v>
      </c>
      <c r="H636" s="43"/>
      <c r="I636" s="28" t="str">
        <f>Table43[[#This Row],[Nama Jenis Kemasan]]</f>
        <v>PCH</v>
      </c>
      <c r="J636" s="4" t="str">
        <f>TRIM(CONCATENATE(Table43[[#This Row],[Nama            KLP]]," ",Table43[[#This Row],[Nama            Sub KLP]]))</f>
        <v>SLEEK BABY BN CLEANSER</v>
      </c>
      <c r="K636" s="4" t="str">
        <f>CONCATENATE(Table43[[#This Row],[kode  2 Digit                (hrf+No)]],Table43[[#This Row],[kode  2 Digit                (Nomor)]],Table43[[#This Row],[kode  1 Digit                (Nomor)]])</f>
        <v>K1502</v>
      </c>
      <c r="L636" s="4" t="str">
        <f t="shared" si="30"/>
        <v>K1502000045022</v>
      </c>
      <c r="M636" s="11">
        <f t="shared" si="31"/>
        <v>14</v>
      </c>
      <c r="N636" s="14" t="str">
        <f>IF(AF636&lt;&gt;"",TRIM(UPPER(CONCATENATE(P636," ",R636," ",T636," ",V636," ",X636," ",Z636," ","X"," ",Table43[[#This Row],[ISI/CTN]]," ",AF636," ",AB636," ",AD636," ",AH636))),TRIM(UPPER(CONCATENATE(P636," ",R636," ",T636," ",V636," ",X636," ",Z636," ","X"," ",Table43[[#This Row],[ISI/CTN]]," ",AB636," ",AD636," ",AH636))))</f>
        <v>KNF SLEEK BABY BN CLEANSER 450ML X 12 PCH</v>
      </c>
      <c r="O636" s="11">
        <f t="shared" si="32"/>
        <v>41</v>
      </c>
      <c r="P636" s="4" t="s">
        <v>97</v>
      </c>
      <c r="Q636" s="7" t="s">
        <v>98</v>
      </c>
      <c r="R636" s="4" t="s">
        <v>3559</v>
      </c>
      <c r="S636" s="44" t="s">
        <v>4016</v>
      </c>
      <c r="T636" s="45" t="s">
        <v>3560</v>
      </c>
      <c r="U636" s="7" t="s">
        <v>3562</v>
      </c>
      <c r="V636" s="45" t="s">
        <v>2961</v>
      </c>
      <c r="W636" s="44" t="s">
        <v>2900</v>
      </c>
      <c r="X636" s="4" t="s">
        <v>2961</v>
      </c>
      <c r="Y636" s="46" t="s">
        <v>2480</v>
      </c>
      <c r="Z636" s="4" t="s">
        <v>4018</v>
      </c>
      <c r="AA636" s="46" t="s">
        <v>2512</v>
      </c>
      <c r="AB636" s="4" t="s">
        <v>356</v>
      </c>
      <c r="AC636" s="7" t="s">
        <v>3562</v>
      </c>
      <c r="AD636" s="4" t="s">
        <v>2961</v>
      </c>
      <c r="AE636" s="7" t="s">
        <v>3562</v>
      </c>
      <c r="AF636" s="7" t="s">
        <v>2961</v>
      </c>
      <c r="AG636" s="7" t="s">
        <v>2961</v>
      </c>
      <c r="AI636" s="7" t="s">
        <v>4100</v>
      </c>
      <c r="AJ636" s="7" t="s">
        <v>2656</v>
      </c>
      <c r="AK636" s="41">
        <f>Table43[[#This Row],[Harga Jual Pcs GT
(-PPN)]]-(Table43[[#This Row],[Harga Jual Pcs GT
(-PPN)]]*10%)</f>
        <v>0</v>
      </c>
      <c r="AL636" s="42">
        <f>Table43[[#This Row],[Harga Beli Pcs
(-PPN)]]*Table43[[#This Row],[ISI/CTN]]</f>
        <v>0</v>
      </c>
      <c r="AM636" s="42">
        <f>Table43[[#This Row],[Harga Beli Pcs
(-PPN)]]*1.11</f>
        <v>0</v>
      </c>
      <c r="AN636" s="42">
        <f>Table43[[#This Row],[Harga Beli Krt
(- PPN)]]*1.11</f>
        <v>0</v>
      </c>
      <c r="AO636" s="42"/>
      <c r="AP636" s="42">
        <f>Table43[[#This Row],[Harga Jual Pcs GT
(-PPN)]]*Table43[[#This Row],[ISI/CTN]]</f>
        <v>0</v>
      </c>
      <c r="AQ636" s="42">
        <f>Table43[[#This Row],[Harga Jual Pcs GT
(-PPN)]]*1.11</f>
        <v>0</v>
      </c>
      <c r="AR636" s="42">
        <f>Table43[[#This Row],[Harga Jual Krt GT
(- PPN)]]*1.11</f>
        <v>0</v>
      </c>
      <c r="AS636" s="42">
        <f>Table43[[#This Row],[Harga Jual Pcs GT
(-PPN)]]</f>
        <v>0</v>
      </c>
      <c r="AT636" s="42">
        <f>(Table43[[#This Row],[Harga Jual Pcs MT
(-PPN)]]*Table43[[#This Row],[ISI/CTN]])</f>
        <v>0</v>
      </c>
      <c r="AU636" s="42">
        <f>Table43[[#This Row],[Harga Jual Pcs MT
(-PPN)]]*1.11</f>
        <v>0</v>
      </c>
      <c r="AV636" s="42">
        <f>Table43[[#This Row],[Harga Jual Pcs MT
(+PPN)]]*Table43[[#This Row],[ISI/CTN]]</f>
        <v>0</v>
      </c>
      <c r="AW636" s="47"/>
      <c r="AX636" s="7"/>
      <c r="AY636" s="7" t="str">
        <f ca="1">IF(TODAY()-Table43[[#This Row],[Efektif
Pembuatan]]&gt;60,"Lama","Baru")</f>
        <v>Lama</v>
      </c>
      <c r="AZ636" s="7" t="str">
        <f ca="1">IF(TODAY()-Table43[[#This Row],[Efektif Naik Harga]]&lt;30,"Naik","Sama")</f>
        <v>Sama</v>
      </c>
      <c r="BA636" s="7" t="str">
        <f>IF(Table43[[#This Row],[Kode BARANG Win2]]&lt;&gt;"","IDR","")</f>
        <v>IDR</v>
      </c>
      <c r="BB636" s="7" t="str">
        <f>CONCATENATE(Table43[[#This Row],[kode  1 Digit
(Nomor)]],Table43[[#This Row],[kode  4 Digit                (Nomor)]])</f>
        <v>10450</v>
      </c>
      <c r="BC636" s="7" t="str">
        <f>Table43[[#This Row],[Nama            Gramasi atau Jumlah Pack per CTN]]</f>
        <v>450ML</v>
      </c>
      <c r="BD636" s="7"/>
      <c r="BE636" s="7"/>
      <c r="BF636" s="4" t="str">
        <f>IF(Table43[[#This Row],[SATUAN Fix Win]]&lt;&gt;"","KRT")</f>
        <v>KRT</v>
      </c>
      <c r="BG636" s="4" t="str">
        <f>IF(Table43[[#This Row],[SATUAN Fix Win]]&lt;&gt;"","GD01")</f>
        <v>GD01</v>
      </c>
      <c r="BH636" s="4">
        <f>IF(Table43[[#This Row],[SATUAN Fix Win]]&lt;&gt;"",11611)</f>
        <v>11611</v>
      </c>
      <c r="BI636" s="4">
        <f>IF(Table43[[#This Row],[SATUAN Fix Win]]&lt;&gt;"",11612)</f>
        <v>11612</v>
      </c>
      <c r="BJ636" s="48"/>
      <c r="BK636" s="4">
        <f>IF(Table43[[#This Row],[SATUAN Fix Win]]&lt;&gt;"",1)</f>
        <v>1</v>
      </c>
    </row>
    <row r="637" spans="1:63">
      <c r="A637" s="4" t="str">
        <f>CONCATENATE(Table43[[#This Row],[Kode BARANG Win2]],Table43[[#This Row],[No. Urut
Item Sama]])</f>
        <v>K15020000500101</v>
      </c>
      <c r="B637" s="7">
        <v>1</v>
      </c>
      <c r="D637" s="28" t="s">
        <v>428</v>
      </c>
      <c r="E637" s="28"/>
      <c r="F637" s="28" t="s">
        <v>3374</v>
      </c>
      <c r="G637" s="78">
        <v>12</v>
      </c>
      <c r="H637" s="43"/>
      <c r="I637" s="28" t="str">
        <f>Table43[[#This Row],[Nama Jenis Kemasan]]</f>
        <v>BTL</v>
      </c>
      <c r="J637" s="4" t="str">
        <f>TRIM(CONCATENATE(Table43[[#This Row],[Nama            KLP]]," ",Table43[[#This Row],[Nama            Sub KLP]]))</f>
        <v>SLEEK BABY BN CLEANSER</v>
      </c>
      <c r="K637" s="4" t="str">
        <f>CONCATENATE(Table43[[#This Row],[kode  2 Digit                (hrf+No)]],Table43[[#This Row],[kode  2 Digit                (Nomor)]],Table43[[#This Row],[kode  1 Digit                (Nomor)]])</f>
        <v>K1502</v>
      </c>
      <c r="L637" s="4" t="str">
        <f t="shared" si="30"/>
        <v>K1502000050010</v>
      </c>
      <c r="M637" s="11">
        <f t="shared" si="31"/>
        <v>14</v>
      </c>
      <c r="N637" s="14" t="str">
        <f>IF(AF637&lt;&gt;"",TRIM(UPPER(CONCATENATE(P637," ",R637," ",T637," ",V637," ",X637," ",Z637," ","X"," ",Table43[[#This Row],[ISI/CTN]]," ",AF637," ",AB637," ",AD637," ",AH637))),TRIM(UPPER(CONCATENATE(P637," ",R637," ",T637," ",V637," ",X637," ",Z637," ","X"," ",Table43[[#This Row],[ISI/CTN]]," ",AB637," ",AD637," ",AH637))))</f>
        <v>KNF SLEEK BABY BN CLEANSER 500ML X 12 BTL</v>
      </c>
      <c r="O637" s="11">
        <f t="shared" si="32"/>
        <v>41</v>
      </c>
      <c r="P637" s="4" t="s">
        <v>97</v>
      </c>
      <c r="Q637" s="7" t="s">
        <v>98</v>
      </c>
      <c r="R637" s="4" t="s">
        <v>3559</v>
      </c>
      <c r="S637" s="44" t="s">
        <v>4016</v>
      </c>
      <c r="T637" s="45" t="s">
        <v>3560</v>
      </c>
      <c r="U637" s="7" t="s">
        <v>3562</v>
      </c>
      <c r="V637" s="45" t="s">
        <v>2961</v>
      </c>
      <c r="W637" s="44" t="s">
        <v>2900</v>
      </c>
      <c r="X637" s="4" t="s">
        <v>2961</v>
      </c>
      <c r="Y637" s="46" t="s">
        <v>2480</v>
      </c>
      <c r="Z637" s="4" t="s">
        <v>3771</v>
      </c>
      <c r="AA637" s="46" t="s">
        <v>2503</v>
      </c>
      <c r="AB637" s="4" t="s">
        <v>357</v>
      </c>
      <c r="AC637" s="7" t="s">
        <v>2656</v>
      </c>
      <c r="AD637" s="4" t="s">
        <v>2961</v>
      </c>
      <c r="AE637" s="7" t="s">
        <v>2900</v>
      </c>
      <c r="AF637" s="7" t="s">
        <v>2961</v>
      </c>
      <c r="AG637" s="7" t="s">
        <v>2961</v>
      </c>
      <c r="AI637" s="7" t="s">
        <v>4100</v>
      </c>
      <c r="AJ637" s="7" t="s">
        <v>2656</v>
      </c>
      <c r="AK637" s="41">
        <f>Table43[[#This Row],[Harga Jual Pcs GT
(-PPN)]]-(Table43[[#This Row],[Harga Jual Pcs GT
(-PPN)]]*10%)</f>
        <v>0</v>
      </c>
      <c r="AL637" s="42">
        <f>Table43[[#This Row],[Harga Beli Pcs
(-PPN)]]*Table43[[#This Row],[ISI/CTN]]</f>
        <v>0</v>
      </c>
      <c r="AM637" s="42">
        <f>Table43[[#This Row],[Harga Beli Pcs
(-PPN)]]*1.11</f>
        <v>0</v>
      </c>
      <c r="AN637" s="42">
        <f>Table43[[#This Row],[Harga Beli Krt
(- PPN)]]*1.11</f>
        <v>0</v>
      </c>
      <c r="AO637" s="42"/>
      <c r="AP637" s="42">
        <f>Table43[[#This Row],[Harga Jual Pcs GT
(-PPN)]]*Table43[[#This Row],[ISI/CTN]]</f>
        <v>0</v>
      </c>
      <c r="AQ637" s="42">
        <f>Table43[[#This Row],[Harga Jual Pcs GT
(-PPN)]]*1.11</f>
        <v>0</v>
      </c>
      <c r="AR637" s="42">
        <f>Table43[[#This Row],[Harga Jual Krt GT
(- PPN)]]*1.11</f>
        <v>0</v>
      </c>
      <c r="AS637" s="42">
        <f>Table43[[#This Row],[Harga Jual Pcs GT
(-PPN)]]</f>
        <v>0</v>
      </c>
      <c r="AT637" s="42">
        <f>(Table43[[#This Row],[Harga Jual Pcs MT
(-PPN)]]*Table43[[#This Row],[ISI/CTN]])</f>
        <v>0</v>
      </c>
      <c r="AU637" s="42">
        <f>Table43[[#This Row],[Harga Jual Pcs MT
(-PPN)]]*1.11</f>
        <v>0</v>
      </c>
      <c r="AV637" s="42">
        <f>Table43[[#This Row],[Harga Jual Pcs MT
(+PPN)]]*Table43[[#This Row],[ISI/CTN]]</f>
        <v>0</v>
      </c>
      <c r="AW637" s="47"/>
      <c r="AX637" s="7"/>
      <c r="AY637" s="7" t="str">
        <f ca="1">IF(TODAY()-Table43[[#This Row],[Efektif
Pembuatan]]&gt;60,"Lama","Baru")</f>
        <v>Lama</v>
      </c>
      <c r="AZ637" s="7" t="str">
        <f ca="1">IF(TODAY()-Table43[[#This Row],[Efektif Naik Harga]]&lt;30,"Naik","Sama")</f>
        <v>Sama</v>
      </c>
      <c r="BA637" s="7" t="str">
        <f>IF(Table43[[#This Row],[Kode BARANG Win2]]&lt;&gt;"","IDR","")</f>
        <v>IDR</v>
      </c>
      <c r="BB637" s="7" t="str">
        <f>CONCATENATE(Table43[[#This Row],[kode  1 Digit
(Nomor)]],Table43[[#This Row],[kode  4 Digit                (Nomor)]])</f>
        <v>10500</v>
      </c>
      <c r="BC637" s="7" t="str">
        <f>Table43[[#This Row],[Nama            Gramasi atau Jumlah Pack per CTN]]</f>
        <v>500ML</v>
      </c>
      <c r="BD637" s="7"/>
      <c r="BE637" s="7"/>
      <c r="BF637" s="4" t="str">
        <f>IF(Table43[[#This Row],[SATUAN Fix Win]]&lt;&gt;"","KRT")</f>
        <v>KRT</v>
      </c>
      <c r="BG637" s="4" t="str">
        <f>IF(Table43[[#This Row],[SATUAN Fix Win]]&lt;&gt;"","GD01")</f>
        <v>GD01</v>
      </c>
      <c r="BH637" s="4">
        <f>IF(Table43[[#This Row],[SATUAN Fix Win]]&lt;&gt;"",11611)</f>
        <v>11611</v>
      </c>
      <c r="BI637" s="4">
        <f>IF(Table43[[#This Row],[SATUAN Fix Win]]&lt;&gt;"",11612)</f>
        <v>11612</v>
      </c>
      <c r="BJ637" s="48"/>
      <c r="BK637" s="4">
        <f>IF(Table43[[#This Row],[SATUAN Fix Win]]&lt;&gt;"",1)</f>
        <v>1</v>
      </c>
    </row>
    <row r="638" spans="1:63">
      <c r="A638" s="4" t="str">
        <f>CONCATENATE(Table43[[#This Row],[Kode BARANG Win2]],Table43[[#This Row],[No. Urut
Item Sama]])</f>
        <v>K15020000900201</v>
      </c>
      <c r="B638" s="7">
        <v>1</v>
      </c>
      <c r="D638" s="28" t="s">
        <v>429</v>
      </c>
      <c r="E638" s="28"/>
      <c r="F638" s="28" t="s">
        <v>3375</v>
      </c>
      <c r="G638" s="78">
        <v>12</v>
      </c>
      <c r="H638" s="43"/>
      <c r="I638" s="28" t="str">
        <f>Table43[[#This Row],[Nama Jenis Kemasan]]</f>
        <v>PCH</v>
      </c>
      <c r="J638" s="4" t="str">
        <f>TRIM(CONCATENATE(Table43[[#This Row],[Nama            KLP]]," ",Table43[[#This Row],[Nama            Sub KLP]]))</f>
        <v>SLEEK BABY BN CLEANSER</v>
      </c>
      <c r="K638" s="4" t="str">
        <f>CONCATENATE(Table43[[#This Row],[kode  2 Digit                (hrf+No)]],Table43[[#This Row],[kode  2 Digit                (Nomor)]],Table43[[#This Row],[kode  1 Digit                (Nomor)]])</f>
        <v>K1502</v>
      </c>
      <c r="L638" s="4" t="str">
        <f t="shared" si="30"/>
        <v>K1502000090020</v>
      </c>
      <c r="M638" s="11">
        <f t="shared" si="31"/>
        <v>14</v>
      </c>
      <c r="N638" s="14" t="str">
        <f>IF(AF638&lt;&gt;"",TRIM(UPPER(CONCATENATE(P638," ",R638," ",T638," ",V638," ",X638," ",Z638," ","X"," ",Table43[[#This Row],[ISI/CTN]]," ",AF638," ",AB638," ",AD638," ",AH638))),TRIM(UPPER(CONCATENATE(P638," ",R638," ",T638," ",V638," ",X638," ",Z638," ","X"," ",Table43[[#This Row],[ISI/CTN]]," ",AB638," ",AD638," ",AH638))))</f>
        <v>KNF SLEEK BABY BN CLEANSER 900ML X 12 PCH</v>
      </c>
      <c r="O638" s="11">
        <f t="shared" si="32"/>
        <v>41</v>
      </c>
      <c r="P638" s="4" t="s">
        <v>97</v>
      </c>
      <c r="Q638" s="7" t="s">
        <v>98</v>
      </c>
      <c r="R638" s="4" t="s">
        <v>3559</v>
      </c>
      <c r="S638" s="44" t="s">
        <v>4016</v>
      </c>
      <c r="T638" s="45" t="s">
        <v>3560</v>
      </c>
      <c r="U638" s="7" t="s">
        <v>3562</v>
      </c>
      <c r="V638" s="45" t="s">
        <v>2961</v>
      </c>
      <c r="W638" s="44" t="s">
        <v>2900</v>
      </c>
      <c r="X638" s="4" t="s">
        <v>2961</v>
      </c>
      <c r="Y638" s="46" t="s">
        <v>2480</v>
      </c>
      <c r="Z638" s="4" t="s">
        <v>4019</v>
      </c>
      <c r="AA638" s="46" t="s">
        <v>2513</v>
      </c>
      <c r="AB638" s="4" t="s">
        <v>356</v>
      </c>
      <c r="AC638" s="7" t="s">
        <v>3562</v>
      </c>
      <c r="AD638" s="4" t="s">
        <v>2961</v>
      </c>
      <c r="AE638" s="7" t="s">
        <v>2900</v>
      </c>
      <c r="AF638" s="7" t="s">
        <v>2961</v>
      </c>
      <c r="AG638" s="7" t="s">
        <v>2961</v>
      </c>
      <c r="AI638" s="7" t="s">
        <v>4100</v>
      </c>
      <c r="AJ638" s="7" t="s">
        <v>2656</v>
      </c>
      <c r="AK638" s="41">
        <f>Table43[[#This Row],[Harga Jual Pcs GT
(-PPN)]]-(Table43[[#This Row],[Harga Jual Pcs GT
(-PPN)]]*10%)</f>
        <v>0</v>
      </c>
      <c r="AL638" s="42">
        <f>Table43[[#This Row],[Harga Beli Pcs
(-PPN)]]*Table43[[#This Row],[ISI/CTN]]</f>
        <v>0</v>
      </c>
      <c r="AM638" s="42">
        <f>Table43[[#This Row],[Harga Beli Pcs
(-PPN)]]*1.11</f>
        <v>0</v>
      </c>
      <c r="AN638" s="42">
        <f>Table43[[#This Row],[Harga Beli Krt
(- PPN)]]*1.11</f>
        <v>0</v>
      </c>
      <c r="AO638" s="42"/>
      <c r="AP638" s="42">
        <f>Table43[[#This Row],[Harga Jual Pcs GT
(-PPN)]]*Table43[[#This Row],[ISI/CTN]]</f>
        <v>0</v>
      </c>
      <c r="AQ638" s="42">
        <f>Table43[[#This Row],[Harga Jual Pcs GT
(-PPN)]]*1.11</f>
        <v>0</v>
      </c>
      <c r="AR638" s="42">
        <f>Table43[[#This Row],[Harga Jual Krt GT
(- PPN)]]*1.11</f>
        <v>0</v>
      </c>
      <c r="AS638" s="42">
        <f>Table43[[#This Row],[Harga Jual Pcs GT
(-PPN)]]</f>
        <v>0</v>
      </c>
      <c r="AT638" s="42">
        <f>(Table43[[#This Row],[Harga Jual Pcs MT
(-PPN)]]*Table43[[#This Row],[ISI/CTN]])</f>
        <v>0</v>
      </c>
      <c r="AU638" s="42">
        <f>Table43[[#This Row],[Harga Jual Pcs MT
(-PPN)]]*1.11</f>
        <v>0</v>
      </c>
      <c r="AV638" s="42">
        <f>Table43[[#This Row],[Harga Jual Pcs MT
(+PPN)]]*Table43[[#This Row],[ISI/CTN]]</f>
        <v>0</v>
      </c>
      <c r="AW638" s="47"/>
      <c r="AX638" s="7"/>
      <c r="AY638" s="7" t="str">
        <f ca="1">IF(TODAY()-Table43[[#This Row],[Efektif
Pembuatan]]&gt;60,"Lama","Baru")</f>
        <v>Lama</v>
      </c>
      <c r="AZ638" s="7" t="str">
        <f ca="1">IF(TODAY()-Table43[[#This Row],[Efektif Naik Harga]]&lt;30,"Naik","Sama")</f>
        <v>Sama</v>
      </c>
      <c r="BA638" s="7" t="str">
        <f>IF(Table43[[#This Row],[Kode BARANG Win2]]&lt;&gt;"","IDR","")</f>
        <v>IDR</v>
      </c>
      <c r="BB638" s="7" t="str">
        <f>CONCATENATE(Table43[[#This Row],[kode  1 Digit
(Nomor)]],Table43[[#This Row],[kode  4 Digit                (Nomor)]])</f>
        <v>10900</v>
      </c>
      <c r="BC638" s="7" t="str">
        <f>Table43[[#This Row],[Nama            Gramasi atau Jumlah Pack per CTN]]</f>
        <v>900ML</v>
      </c>
      <c r="BD638" s="7"/>
      <c r="BE638" s="7"/>
      <c r="BF638" s="4" t="str">
        <f>IF(Table43[[#This Row],[SATUAN Fix Win]]&lt;&gt;"","KRT")</f>
        <v>KRT</v>
      </c>
      <c r="BG638" s="4" t="str">
        <f>IF(Table43[[#This Row],[SATUAN Fix Win]]&lt;&gt;"","GD01")</f>
        <v>GD01</v>
      </c>
      <c r="BH638" s="4">
        <f>IF(Table43[[#This Row],[SATUAN Fix Win]]&lt;&gt;"",11611)</f>
        <v>11611</v>
      </c>
      <c r="BI638" s="4">
        <f>IF(Table43[[#This Row],[SATUAN Fix Win]]&lt;&gt;"",11612)</f>
        <v>11612</v>
      </c>
      <c r="BJ638" s="48"/>
      <c r="BK638" s="4">
        <f>IF(Table43[[#This Row],[SATUAN Fix Win]]&lt;&gt;"",1)</f>
        <v>1</v>
      </c>
    </row>
    <row r="639" spans="1:63">
      <c r="A639" s="4" t="str">
        <f>CONCATENATE(Table43[[#This Row],[Kode BARANG Win2]],Table43[[#This Row],[No. Urut
Item Sama]])</f>
        <v>K15020000900211</v>
      </c>
      <c r="B639" s="7">
        <v>1</v>
      </c>
      <c r="D639" s="28" t="s">
        <v>430</v>
      </c>
      <c r="E639" s="28"/>
      <c r="F639" s="28" t="s">
        <v>3376</v>
      </c>
      <c r="G639" s="78">
        <v>12</v>
      </c>
      <c r="H639" s="43"/>
      <c r="I639" s="28" t="str">
        <f>Table43[[#This Row],[Nama Jenis Kemasan]]</f>
        <v>PCH</v>
      </c>
      <c r="J639" s="4" t="str">
        <f>TRIM(CONCATENATE(Table43[[#This Row],[Nama            KLP]]," ",Table43[[#This Row],[Nama            Sub KLP]]))</f>
        <v>SLEEK BABY BN CLEANSER</v>
      </c>
      <c r="K639" s="4" t="str">
        <f>CONCATENATE(Table43[[#This Row],[kode  2 Digit                (hrf+No)]],Table43[[#This Row],[kode  2 Digit                (Nomor)]],Table43[[#This Row],[kode  1 Digit                (Nomor)]])</f>
        <v>K1502</v>
      </c>
      <c r="L639" s="4" t="str">
        <f t="shared" si="30"/>
        <v>K1502000090021</v>
      </c>
      <c r="M639" s="11">
        <f t="shared" si="31"/>
        <v>14</v>
      </c>
      <c r="N639" s="14" t="str">
        <f>IF(AF639&lt;&gt;"",TRIM(UPPER(CONCATENATE(P639," ",R639," ",T639," ",V639," ",X639," ",Z639," ","X"," ",Table43[[#This Row],[ISI/CTN]]," ",AF639," ",AB639," ",AD639," ",AH639))),TRIM(UPPER(CONCATENATE(P639," ",R639," ",T639," ",V639," ",X639," ",Z639," ","X"," ",Table43[[#This Row],[ISI/CTN]]," ",AB639," ",AD639," ",AH639))))</f>
        <v>KNF SLEEK BABY BN CLEANSER 900ML X 12 PCH</v>
      </c>
      <c r="O639" s="11">
        <f t="shared" si="32"/>
        <v>41</v>
      </c>
      <c r="P639" s="4" t="s">
        <v>97</v>
      </c>
      <c r="Q639" s="7" t="s">
        <v>98</v>
      </c>
      <c r="R639" s="4" t="s">
        <v>3559</v>
      </c>
      <c r="S639" s="44" t="s">
        <v>4016</v>
      </c>
      <c r="T639" s="45" t="s">
        <v>3560</v>
      </c>
      <c r="U639" s="7" t="s">
        <v>3562</v>
      </c>
      <c r="V639" s="45" t="s">
        <v>2961</v>
      </c>
      <c r="W639" s="44" t="s">
        <v>2900</v>
      </c>
      <c r="X639" s="4" t="s">
        <v>2961</v>
      </c>
      <c r="Y639" s="46" t="s">
        <v>2480</v>
      </c>
      <c r="Z639" s="4" t="s">
        <v>4019</v>
      </c>
      <c r="AA639" s="46" t="s">
        <v>2513</v>
      </c>
      <c r="AB639" s="4" t="s">
        <v>356</v>
      </c>
      <c r="AC639" s="7" t="s">
        <v>3562</v>
      </c>
      <c r="AD639" s="4" t="s">
        <v>2961</v>
      </c>
      <c r="AE639" s="7" t="s">
        <v>2656</v>
      </c>
      <c r="AF639" s="7" t="s">
        <v>2961</v>
      </c>
      <c r="AG639" s="7" t="s">
        <v>2961</v>
      </c>
      <c r="AI639" s="7" t="s">
        <v>4100</v>
      </c>
      <c r="AJ639" s="7" t="s">
        <v>2656</v>
      </c>
      <c r="AK639" s="41">
        <f>Table43[[#This Row],[Harga Jual Pcs GT
(-PPN)]]-(Table43[[#This Row],[Harga Jual Pcs GT
(-PPN)]]*10%)</f>
        <v>0</v>
      </c>
      <c r="AL639" s="42">
        <f>Table43[[#This Row],[Harga Beli Pcs
(-PPN)]]*Table43[[#This Row],[ISI/CTN]]</f>
        <v>0</v>
      </c>
      <c r="AM639" s="42">
        <f>Table43[[#This Row],[Harga Beli Pcs
(-PPN)]]*1.11</f>
        <v>0</v>
      </c>
      <c r="AN639" s="42">
        <f>Table43[[#This Row],[Harga Beli Krt
(- PPN)]]*1.11</f>
        <v>0</v>
      </c>
      <c r="AO639" s="42"/>
      <c r="AP639" s="42">
        <f>Table43[[#This Row],[Harga Jual Pcs GT
(-PPN)]]*Table43[[#This Row],[ISI/CTN]]</f>
        <v>0</v>
      </c>
      <c r="AQ639" s="42">
        <f>Table43[[#This Row],[Harga Jual Pcs GT
(-PPN)]]*1.11</f>
        <v>0</v>
      </c>
      <c r="AR639" s="42">
        <f>Table43[[#This Row],[Harga Jual Krt GT
(- PPN)]]*1.11</f>
        <v>0</v>
      </c>
      <c r="AS639" s="42">
        <f>Table43[[#This Row],[Harga Jual Pcs GT
(-PPN)]]</f>
        <v>0</v>
      </c>
      <c r="AT639" s="42">
        <f>(Table43[[#This Row],[Harga Jual Pcs MT
(-PPN)]]*Table43[[#This Row],[ISI/CTN]])</f>
        <v>0</v>
      </c>
      <c r="AU639" s="42">
        <f>Table43[[#This Row],[Harga Jual Pcs MT
(-PPN)]]*1.11</f>
        <v>0</v>
      </c>
      <c r="AV639" s="42">
        <f>Table43[[#This Row],[Harga Jual Pcs MT
(+PPN)]]*Table43[[#This Row],[ISI/CTN]]</f>
        <v>0</v>
      </c>
      <c r="AW639" s="47"/>
      <c r="AX639" s="7"/>
      <c r="AY639" s="7" t="str">
        <f ca="1">IF(TODAY()-Table43[[#This Row],[Efektif
Pembuatan]]&gt;60,"Lama","Baru")</f>
        <v>Lama</v>
      </c>
      <c r="AZ639" s="7" t="str">
        <f ca="1">IF(TODAY()-Table43[[#This Row],[Efektif Naik Harga]]&lt;30,"Naik","Sama")</f>
        <v>Sama</v>
      </c>
      <c r="BA639" s="7" t="str">
        <f>IF(Table43[[#This Row],[Kode BARANG Win2]]&lt;&gt;"","IDR","")</f>
        <v>IDR</v>
      </c>
      <c r="BB639" s="7" t="str">
        <f>CONCATENATE(Table43[[#This Row],[kode  1 Digit
(Nomor)]],Table43[[#This Row],[kode  4 Digit                (Nomor)]])</f>
        <v>10900</v>
      </c>
      <c r="BC639" s="7" t="str">
        <f>Table43[[#This Row],[Nama            Gramasi atau Jumlah Pack per CTN]]</f>
        <v>900ML</v>
      </c>
      <c r="BD639" s="7"/>
      <c r="BE639" s="7"/>
      <c r="BF639" s="4" t="str">
        <f>IF(Table43[[#This Row],[SATUAN Fix Win]]&lt;&gt;"","KRT")</f>
        <v>KRT</v>
      </c>
      <c r="BG639" s="4" t="str">
        <f>IF(Table43[[#This Row],[SATUAN Fix Win]]&lt;&gt;"","GD01")</f>
        <v>GD01</v>
      </c>
      <c r="BH639" s="4">
        <f>IF(Table43[[#This Row],[SATUAN Fix Win]]&lt;&gt;"",11611)</f>
        <v>11611</v>
      </c>
      <c r="BI639" s="4">
        <f>IF(Table43[[#This Row],[SATUAN Fix Win]]&lt;&gt;"",11612)</f>
        <v>11612</v>
      </c>
      <c r="BJ639" s="48"/>
      <c r="BK639" s="4">
        <f>IF(Table43[[#This Row],[SATUAN Fix Win]]&lt;&gt;"",1)</f>
        <v>1</v>
      </c>
    </row>
    <row r="640" spans="1:63">
      <c r="A640" s="4" t="str">
        <f>CONCATENATE(Table43[[#This Row],[Kode BARANG Win2]],Table43[[#This Row],[No. Urut
Item Sama]])</f>
        <v>K15030000080101</v>
      </c>
      <c r="B640" s="7">
        <v>1</v>
      </c>
      <c r="D640" s="28" t="s">
        <v>435</v>
      </c>
      <c r="E640" s="28"/>
      <c r="F640" s="28" t="s">
        <v>3377</v>
      </c>
      <c r="G640" s="78">
        <v>36</v>
      </c>
      <c r="H640" s="43"/>
      <c r="I640" s="28" t="str">
        <f>Table43[[#This Row],[Nama Jenis Kemasan]]</f>
        <v>TUBE</v>
      </c>
      <c r="J640" s="4" t="str">
        <f>TRIM(CONCATENATE(Table43[[#This Row],[Nama            KLP]]," ",Table43[[#This Row],[Nama            Sub KLP]]))</f>
        <v>SLEEK BABY DIAPER CREAM</v>
      </c>
      <c r="K640" s="4" t="str">
        <f>CONCATENATE(Table43[[#This Row],[kode  2 Digit                (hrf+No)]],Table43[[#This Row],[kode  2 Digit                (Nomor)]],Table43[[#This Row],[kode  1 Digit                (Nomor)]])</f>
        <v>K1503</v>
      </c>
      <c r="L640" s="4" t="str">
        <f t="shared" si="30"/>
        <v>K1503000008010</v>
      </c>
      <c r="M640" s="11">
        <f t="shared" si="31"/>
        <v>14</v>
      </c>
      <c r="N640" s="14" t="str">
        <f>IF(AF640&lt;&gt;"",TRIM(UPPER(CONCATENATE(P640," ",R640," ",T640," ",V640," ",X640," ",Z640," ","X"," ",Table43[[#This Row],[ISI/CTN]]," ",AF640," ",AB640," ",AD640," ",AH640))),TRIM(UPPER(CONCATENATE(P640," ",R640," ",T640," ",V640," ",X640," ",Z640," ","X"," ",Table43[[#This Row],[ISI/CTN]]," ",AB640," ",AD640," ",AH640))))</f>
        <v>KNF SLEEK BABY DIAPER CREAM 80ML X 36 TUBE</v>
      </c>
      <c r="O640" s="11">
        <f t="shared" si="32"/>
        <v>42</v>
      </c>
      <c r="P640" s="4" t="s">
        <v>97</v>
      </c>
      <c r="Q640" s="7" t="s">
        <v>98</v>
      </c>
      <c r="R640" s="4" t="s">
        <v>3559</v>
      </c>
      <c r="S640" s="44" t="s">
        <v>4016</v>
      </c>
      <c r="T640" s="45" t="s">
        <v>4020</v>
      </c>
      <c r="U640" s="7" t="s">
        <v>3590</v>
      </c>
      <c r="V640" s="45" t="s">
        <v>2961</v>
      </c>
      <c r="W640" s="44" t="s">
        <v>2900</v>
      </c>
      <c r="X640" s="4" t="s">
        <v>2961</v>
      </c>
      <c r="Y640" s="46" t="s">
        <v>2480</v>
      </c>
      <c r="Z640" s="4" t="s">
        <v>4021</v>
      </c>
      <c r="AA640" s="46" t="s">
        <v>2514</v>
      </c>
      <c r="AB640" s="4" t="s">
        <v>1021</v>
      </c>
      <c r="AC640" s="7" t="s">
        <v>2656</v>
      </c>
      <c r="AD640" s="4" t="s">
        <v>2961</v>
      </c>
      <c r="AE640" s="7" t="s">
        <v>2900</v>
      </c>
      <c r="AF640" s="7" t="s">
        <v>2961</v>
      </c>
      <c r="AG640" s="7" t="s">
        <v>2961</v>
      </c>
      <c r="AI640" s="7" t="s">
        <v>4100</v>
      </c>
      <c r="AJ640" s="7" t="s">
        <v>2656</v>
      </c>
      <c r="AK640" s="41">
        <f>Table43[[#This Row],[Harga Jual Pcs GT
(-PPN)]]-(Table43[[#This Row],[Harga Jual Pcs GT
(-PPN)]]*10%)</f>
        <v>0</v>
      </c>
      <c r="AL640" s="42">
        <f>Table43[[#This Row],[Harga Beli Pcs
(-PPN)]]*Table43[[#This Row],[ISI/CTN]]</f>
        <v>0</v>
      </c>
      <c r="AM640" s="42">
        <f>Table43[[#This Row],[Harga Beli Pcs
(-PPN)]]*1.11</f>
        <v>0</v>
      </c>
      <c r="AN640" s="42">
        <f>Table43[[#This Row],[Harga Beli Krt
(- PPN)]]*1.11</f>
        <v>0</v>
      </c>
      <c r="AO640" s="42"/>
      <c r="AP640" s="42">
        <f>Table43[[#This Row],[Harga Jual Pcs GT
(-PPN)]]*Table43[[#This Row],[ISI/CTN]]</f>
        <v>0</v>
      </c>
      <c r="AQ640" s="42">
        <f>Table43[[#This Row],[Harga Jual Pcs GT
(-PPN)]]*1.11</f>
        <v>0</v>
      </c>
      <c r="AR640" s="42">
        <f>Table43[[#This Row],[Harga Jual Krt GT
(- PPN)]]*1.11</f>
        <v>0</v>
      </c>
      <c r="AS640" s="42">
        <f>Table43[[#This Row],[Harga Jual Pcs GT
(-PPN)]]</f>
        <v>0</v>
      </c>
      <c r="AT640" s="42">
        <f>(Table43[[#This Row],[Harga Jual Pcs MT
(-PPN)]]*Table43[[#This Row],[ISI/CTN]])</f>
        <v>0</v>
      </c>
      <c r="AU640" s="42">
        <f>Table43[[#This Row],[Harga Jual Pcs MT
(-PPN)]]*1.11</f>
        <v>0</v>
      </c>
      <c r="AV640" s="42">
        <f>Table43[[#This Row],[Harga Jual Pcs MT
(+PPN)]]*Table43[[#This Row],[ISI/CTN]]</f>
        <v>0</v>
      </c>
      <c r="AW640" s="47"/>
      <c r="AX640" s="7"/>
      <c r="AY640" s="7" t="str">
        <f ca="1">IF(TODAY()-Table43[[#This Row],[Efektif
Pembuatan]]&gt;60,"Lama","Baru")</f>
        <v>Lama</v>
      </c>
      <c r="AZ640" s="7" t="str">
        <f ca="1">IF(TODAY()-Table43[[#This Row],[Efektif Naik Harga]]&lt;30,"Naik","Sama")</f>
        <v>Sama</v>
      </c>
      <c r="BA640" s="7" t="str">
        <f>IF(Table43[[#This Row],[Kode BARANG Win2]]&lt;&gt;"","IDR","")</f>
        <v>IDR</v>
      </c>
      <c r="BB640" s="7" t="str">
        <f>CONCATENATE(Table43[[#This Row],[kode  1 Digit
(Nomor)]],Table43[[#This Row],[kode  4 Digit                (Nomor)]])</f>
        <v>10080</v>
      </c>
      <c r="BC640" s="7" t="str">
        <f>Table43[[#This Row],[Nama            Gramasi atau Jumlah Pack per CTN]]</f>
        <v>80ML</v>
      </c>
      <c r="BD640" s="7"/>
      <c r="BE640" s="7"/>
      <c r="BF640" s="4" t="str">
        <f>IF(Table43[[#This Row],[SATUAN Fix Win]]&lt;&gt;"","KRT")</f>
        <v>KRT</v>
      </c>
      <c r="BG640" s="4" t="str">
        <f>IF(Table43[[#This Row],[SATUAN Fix Win]]&lt;&gt;"","GD01")</f>
        <v>GD01</v>
      </c>
      <c r="BH640" s="4">
        <f>IF(Table43[[#This Row],[SATUAN Fix Win]]&lt;&gt;"",11611)</f>
        <v>11611</v>
      </c>
      <c r="BI640" s="4">
        <f>IF(Table43[[#This Row],[SATUAN Fix Win]]&lt;&gt;"",11612)</f>
        <v>11612</v>
      </c>
      <c r="BJ640" s="48"/>
      <c r="BK640" s="4">
        <f>IF(Table43[[#This Row],[SATUAN Fix Win]]&lt;&gt;"",1)</f>
        <v>1</v>
      </c>
    </row>
    <row r="641" spans="1:63">
      <c r="A641" s="4" t="str">
        <f>CONCATENATE(Table43[[#This Row],[Kode BARANG Win2]],Table43[[#This Row],[No. Urut
Item Sama]])</f>
        <v>K15040000000101</v>
      </c>
      <c r="B641" s="7">
        <v>1</v>
      </c>
      <c r="D641" s="28" t="s">
        <v>434</v>
      </c>
      <c r="E641" s="28"/>
      <c r="F641" s="28" t="s">
        <v>3378</v>
      </c>
      <c r="G641" s="78">
        <v>6</v>
      </c>
      <c r="H641" s="43"/>
      <c r="I641" s="28" t="str">
        <f>Table43[[#This Row],[Nama Jenis Kemasan]]</f>
        <v>PACK</v>
      </c>
      <c r="J641" s="4" t="str">
        <f>TRIM(CONCATENATE(Table43[[#This Row],[Nama            KLP]]," ",Table43[[#This Row],[Nama            Sub KLP]]))</f>
        <v>SLEEK BABY GIFT</v>
      </c>
      <c r="K641" s="4" t="str">
        <f>CONCATENATE(Table43[[#This Row],[kode  2 Digit                (hrf+No)]],Table43[[#This Row],[kode  2 Digit                (Nomor)]],Table43[[#This Row],[kode  1 Digit                (Nomor)]])</f>
        <v>K1504</v>
      </c>
      <c r="L641" s="4" t="str">
        <f t="shared" si="30"/>
        <v>K1504000000010</v>
      </c>
      <c r="M641" s="11">
        <f t="shared" si="31"/>
        <v>14</v>
      </c>
      <c r="N641" s="14" t="str">
        <f>IF(AF641&lt;&gt;"",TRIM(UPPER(CONCATENATE(P641," ",R641," ",T641," ",V641," ",X641," ",Z641," ","X"," ",Table43[[#This Row],[ISI/CTN]]," ",AF641," ",AB641," ",AD641," ",AH641))),TRIM(UPPER(CONCATENATE(P641," ",R641," ",T641," ",V641," ",X641," ",Z641," ","X"," ",Table43[[#This Row],[ISI/CTN]]," ",AB641," ",AD641," ",AH641))))</f>
        <v>KNF SLEEK BABY GIFT X 6 PACK</v>
      </c>
      <c r="O641" s="11">
        <f t="shared" si="32"/>
        <v>28</v>
      </c>
      <c r="P641" s="4" t="s">
        <v>97</v>
      </c>
      <c r="Q641" s="7" t="s">
        <v>98</v>
      </c>
      <c r="R641" s="4" t="s">
        <v>3559</v>
      </c>
      <c r="S641" s="44" t="s">
        <v>4016</v>
      </c>
      <c r="T641" s="45" t="s">
        <v>4022</v>
      </c>
      <c r="U641" s="7" t="s">
        <v>3593</v>
      </c>
      <c r="V641" s="45" t="s">
        <v>2961</v>
      </c>
      <c r="W641" s="44" t="s">
        <v>2900</v>
      </c>
      <c r="X641" s="4" t="s">
        <v>2961</v>
      </c>
      <c r="Y641" s="46" t="s">
        <v>2480</v>
      </c>
      <c r="Z641" s="4" t="s">
        <v>2961</v>
      </c>
      <c r="AA641" s="46" t="s">
        <v>2483</v>
      </c>
      <c r="AB641" s="4" t="s">
        <v>360</v>
      </c>
      <c r="AC641" s="7" t="s">
        <v>2656</v>
      </c>
      <c r="AD641" s="4" t="s">
        <v>2961</v>
      </c>
      <c r="AE641" s="7" t="s">
        <v>2900</v>
      </c>
      <c r="AF641" s="7" t="s">
        <v>2961</v>
      </c>
      <c r="AG641" s="7" t="s">
        <v>2961</v>
      </c>
      <c r="AI641" s="7" t="s">
        <v>360</v>
      </c>
      <c r="AJ641" s="7" t="s">
        <v>3590</v>
      </c>
      <c r="AK641" s="41">
        <f>Table43[[#This Row],[Harga Jual Pcs GT
(-PPN)]]-(Table43[[#This Row],[Harga Jual Pcs GT
(-PPN)]]*10%)</f>
        <v>0</v>
      </c>
      <c r="AL641" s="42">
        <f>Table43[[#This Row],[Harga Beli Pcs
(-PPN)]]*Table43[[#This Row],[ISI/CTN]]</f>
        <v>0</v>
      </c>
      <c r="AM641" s="42">
        <f>Table43[[#This Row],[Harga Beli Pcs
(-PPN)]]*1.11</f>
        <v>0</v>
      </c>
      <c r="AN641" s="42">
        <f>Table43[[#This Row],[Harga Beli Krt
(- PPN)]]*1.11</f>
        <v>0</v>
      </c>
      <c r="AO641" s="42"/>
      <c r="AP641" s="42">
        <f>Table43[[#This Row],[Harga Jual Pcs GT
(-PPN)]]*Table43[[#This Row],[ISI/CTN]]</f>
        <v>0</v>
      </c>
      <c r="AQ641" s="42">
        <f>Table43[[#This Row],[Harga Jual Pcs GT
(-PPN)]]*1.11</f>
        <v>0</v>
      </c>
      <c r="AR641" s="42">
        <f>Table43[[#This Row],[Harga Jual Krt GT
(- PPN)]]*1.11</f>
        <v>0</v>
      </c>
      <c r="AS641" s="42">
        <f>Table43[[#This Row],[Harga Jual Pcs GT
(-PPN)]]</f>
        <v>0</v>
      </c>
      <c r="AT641" s="42">
        <f>(Table43[[#This Row],[Harga Jual Pcs MT
(-PPN)]]*Table43[[#This Row],[ISI/CTN]])</f>
        <v>0</v>
      </c>
      <c r="AU641" s="42">
        <f>Table43[[#This Row],[Harga Jual Pcs MT
(-PPN)]]*1.11</f>
        <v>0</v>
      </c>
      <c r="AV641" s="42">
        <f>Table43[[#This Row],[Harga Jual Pcs MT
(+PPN)]]*Table43[[#This Row],[ISI/CTN]]</f>
        <v>0</v>
      </c>
      <c r="AW641" s="47"/>
      <c r="AX641" s="7"/>
      <c r="AY641" s="7" t="str">
        <f ca="1">IF(TODAY()-Table43[[#This Row],[Efektif
Pembuatan]]&gt;60,"Lama","Baru")</f>
        <v>Lama</v>
      </c>
      <c r="AZ641" s="7" t="str">
        <f ca="1">IF(TODAY()-Table43[[#This Row],[Efektif Naik Harga]]&lt;30,"Naik","Sama")</f>
        <v>Sama</v>
      </c>
      <c r="BA641" s="7" t="str">
        <f>IF(Table43[[#This Row],[Kode BARANG Win2]]&lt;&gt;"","IDR","")</f>
        <v>IDR</v>
      </c>
      <c r="BB641" s="7" t="str">
        <f>CONCATENATE(Table43[[#This Row],[kode  1 Digit
(Nomor)]],Table43[[#This Row],[kode  4 Digit                (Nomor)]])</f>
        <v>30000</v>
      </c>
      <c r="BC641" s="7" t="str">
        <f>Table43[[#This Row],[Nama            Gramasi atau Jumlah Pack per CTN]]</f>
        <v/>
      </c>
      <c r="BD641" s="7"/>
      <c r="BE641" s="7"/>
      <c r="BF641" s="4" t="str">
        <f>IF(Table43[[#This Row],[SATUAN Fix Win]]&lt;&gt;"","KRT")</f>
        <v>KRT</v>
      </c>
      <c r="BG641" s="4" t="str">
        <f>IF(Table43[[#This Row],[SATUAN Fix Win]]&lt;&gt;"","GD01")</f>
        <v>GD01</v>
      </c>
      <c r="BH641" s="4">
        <f>IF(Table43[[#This Row],[SATUAN Fix Win]]&lt;&gt;"",11611)</f>
        <v>11611</v>
      </c>
      <c r="BI641" s="4">
        <f>IF(Table43[[#This Row],[SATUAN Fix Win]]&lt;&gt;"",11612)</f>
        <v>11612</v>
      </c>
      <c r="BJ641" s="48"/>
      <c r="BK641" s="4">
        <f>IF(Table43[[#This Row],[SATUAN Fix Win]]&lt;&gt;"",1)</f>
        <v>1</v>
      </c>
    </row>
    <row r="642" spans="1:63">
      <c r="A642" s="4" t="str">
        <f>CONCATENATE(Table43[[#This Row],[Kode BARANG Win2]],Table43[[#This Row],[No. Urut
Item Sama]])</f>
        <v>K15050010250201</v>
      </c>
      <c r="B642" s="7">
        <v>1</v>
      </c>
      <c r="D642" s="28" t="s">
        <v>412</v>
      </c>
      <c r="E642" s="28"/>
      <c r="F642" s="28" t="s">
        <v>3379</v>
      </c>
      <c r="G642" s="78">
        <v>24</v>
      </c>
      <c r="H642" s="43"/>
      <c r="I642" s="28" t="str">
        <f>Table43[[#This Row],[Nama Jenis Kemasan]]</f>
        <v>PCH</v>
      </c>
      <c r="J642" s="4" t="str">
        <f>TRIM(CONCATENATE(Table43[[#This Row],[Nama            KLP]]," ",Table43[[#This Row],[Nama            Sub KLP]]))</f>
        <v>SLEEK BABY HAIR&amp;BODY</v>
      </c>
      <c r="K642" s="4" t="str">
        <f>CONCATENATE(Table43[[#This Row],[kode  2 Digit                (hrf+No)]],Table43[[#This Row],[kode  2 Digit                (Nomor)]],Table43[[#This Row],[kode  1 Digit                (Nomor)]])</f>
        <v>K1505</v>
      </c>
      <c r="L642" s="4" t="str">
        <f t="shared" si="30"/>
        <v>K1505001025020</v>
      </c>
      <c r="M642" s="11">
        <f t="shared" si="31"/>
        <v>14</v>
      </c>
      <c r="N642" s="14" t="str">
        <f>IF(AF642&lt;&gt;"",TRIM(UPPER(CONCATENATE(P642," ",R642," ",T642," ",V642," ",X642," ",Z642," ","X"," ",Table43[[#This Row],[ISI/CTN]]," ",AF642," ",AB642," ",AD642," ",AH642))),TRIM(UPPER(CONCATENATE(P642," ",R642," ",T642," ",V642," ",X642," ",Z642," ","X"," ",Table43[[#This Row],[ISI/CTN]]," ",AB642," ",AD642," ",AH642))))</f>
        <v>KNF SLEEK BABY HAIR&amp;BODY FOAMY WASH 250ML X 24 PCH</v>
      </c>
      <c r="O642" s="11">
        <f t="shared" si="32"/>
        <v>50</v>
      </c>
      <c r="P642" s="4" t="s">
        <v>97</v>
      </c>
      <c r="Q642" s="7" t="s">
        <v>98</v>
      </c>
      <c r="R642" s="4" t="s">
        <v>3559</v>
      </c>
      <c r="S642" s="44" t="s">
        <v>4016</v>
      </c>
      <c r="T642" s="45" t="s">
        <v>4023</v>
      </c>
      <c r="U642" s="7" t="s">
        <v>3597</v>
      </c>
      <c r="V642" s="45" t="s">
        <v>2961</v>
      </c>
      <c r="W642" s="44" t="s">
        <v>2900</v>
      </c>
      <c r="X642" s="4" t="s">
        <v>4024</v>
      </c>
      <c r="Y642" s="46" t="s">
        <v>0</v>
      </c>
      <c r="Z642" s="4" t="s">
        <v>3580</v>
      </c>
      <c r="AA642" s="46" t="s">
        <v>2484</v>
      </c>
      <c r="AB642" s="4" t="s">
        <v>356</v>
      </c>
      <c r="AC642" s="7" t="s">
        <v>3562</v>
      </c>
      <c r="AD642" s="4" t="s">
        <v>2961</v>
      </c>
      <c r="AE642" s="7" t="s">
        <v>2900</v>
      </c>
      <c r="AF642" s="7" t="s">
        <v>2961</v>
      </c>
      <c r="AG642" s="7" t="s">
        <v>2961</v>
      </c>
      <c r="AI642" s="7" t="s">
        <v>4100</v>
      </c>
      <c r="AJ642" s="7" t="s">
        <v>2656</v>
      </c>
      <c r="AK642" s="41">
        <f>Table43[[#This Row],[Harga Jual Pcs GT
(-PPN)]]-(Table43[[#This Row],[Harga Jual Pcs GT
(-PPN)]]*10%)</f>
        <v>0</v>
      </c>
      <c r="AL642" s="42">
        <f>Table43[[#This Row],[Harga Beli Pcs
(-PPN)]]*Table43[[#This Row],[ISI/CTN]]</f>
        <v>0</v>
      </c>
      <c r="AM642" s="42">
        <f>Table43[[#This Row],[Harga Beli Pcs
(-PPN)]]*1.11</f>
        <v>0</v>
      </c>
      <c r="AN642" s="42">
        <f>Table43[[#This Row],[Harga Beli Krt
(- PPN)]]*1.11</f>
        <v>0</v>
      </c>
      <c r="AO642" s="42"/>
      <c r="AP642" s="42">
        <f>Table43[[#This Row],[Harga Jual Pcs GT
(-PPN)]]*Table43[[#This Row],[ISI/CTN]]</f>
        <v>0</v>
      </c>
      <c r="AQ642" s="42">
        <f>Table43[[#This Row],[Harga Jual Pcs GT
(-PPN)]]*1.11</f>
        <v>0</v>
      </c>
      <c r="AR642" s="42">
        <f>Table43[[#This Row],[Harga Jual Krt GT
(- PPN)]]*1.11</f>
        <v>0</v>
      </c>
      <c r="AS642" s="42">
        <f>Table43[[#This Row],[Harga Jual Pcs GT
(-PPN)]]</f>
        <v>0</v>
      </c>
      <c r="AT642" s="42">
        <f>(Table43[[#This Row],[Harga Jual Pcs MT
(-PPN)]]*Table43[[#This Row],[ISI/CTN]])</f>
        <v>0</v>
      </c>
      <c r="AU642" s="42">
        <f>Table43[[#This Row],[Harga Jual Pcs MT
(-PPN)]]*1.11</f>
        <v>0</v>
      </c>
      <c r="AV642" s="42">
        <f>Table43[[#This Row],[Harga Jual Pcs MT
(+PPN)]]*Table43[[#This Row],[ISI/CTN]]</f>
        <v>0</v>
      </c>
      <c r="AW642" s="47"/>
      <c r="AX642" s="7"/>
      <c r="AY642" s="7" t="str">
        <f ca="1">IF(TODAY()-Table43[[#This Row],[Efektif
Pembuatan]]&gt;60,"Lama","Baru")</f>
        <v>Lama</v>
      </c>
      <c r="AZ642" s="7" t="str">
        <f ca="1">IF(TODAY()-Table43[[#This Row],[Efektif Naik Harga]]&lt;30,"Naik","Sama")</f>
        <v>Sama</v>
      </c>
      <c r="BA642" s="7" t="str">
        <f>IF(Table43[[#This Row],[Kode BARANG Win2]]&lt;&gt;"","IDR","")</f>
        <v>IDR</v>
      </c>
      <c r="BB642" s="7" t="str">
        <f>CONCATENATE(Table43[[#This Row],[kode  1 Digit
(Nomor)]],Table43[[#This Row],[kode  4 Digit                (Nomor)]])</f>
        <v>10250</v>
      </c>
      <c r="BC642" s="7" t="str">
        <f>Table43[[#This Row],[Nama            Gramasi atau Jumlah Pack per CTN]]</f>
        <v>250ML</v>
      </c>
      <c r="BD642" s="7"/>
      <c r="BE642" s="7"/>
      <c r="BF642" s="4" t="str">
        <f>IF(Table43[[#This Row],[SATUAN Fix Win]]&lt;&gt;"","KRT")</f>
        <v>KRT</v>
      </c>
      <c r="BG642" s="4" t="str">
        <f>IF(Table43[[#This Row],[SATUAN Fix Win]]&lt;&gt;"","GD01")</f>
        <v>GD01</v>
      </c>
      <c r="BH642" s="4">
        <f>IF(Table43[[#This Row],[SATUAN Fix Win]]&lt;&gt;"",11611)</f>
        <v>11611</v>
      </c>
      <c r="BI642" s="4">
        <f>IF(Table43[[#This Row],[SATUAN Fix Win]]&lt;&gt;"",11612)</f>
        <v>11612</v>
      </c>
      <c r="BJ642" s="48"/>
      <c r="BK642" s="4">
        <f>IF(Table43[[#This Row],[SATUAN Fix Win]]&lt;&gt;"",1)</f>
        <v>1</v>
      </c>
    </row>
    <row r="643" spans="1:63">
      <c r="A643" s="4" t="str">
        <f>CONCATENATE(Table43[[#This Row],[Kode BARANG Win2]],Table43[[#This Row],[No. Urut
Item Sama]])</f>
        <v>K15050010300102</v>
      </c>
      <c r="B643" s="7">
        <v>2</v>
      </c>
      <c r="D643" s="28" t="s">
        <v>413</v>
      </c>
      <c r="E643" s="28"/>
      <c r="F643" s="28" t="s">
        <v>3380</v>
      </c>
      <c r="G643" s="78">
        <v>24</v>
      </c>
      <c r="H643" s="43"/>
      <c r="I643" s="28" t="str">
        <f>Table43[[#This Row],[Nama Jenis Kemasan]]</f>
        <v>BTL</v>
      </c>
      <c r="J643" s="4" t="str">
        <f>TRIM(CONCATENATE(Table43[[#This Row],[Nama            KLP]]," ",Table43[[#This Row],[Nama            Sub KLP]]))</f>
        <v>SLEEK BABY HAIR&amp;BODY</v>
      </c>
      <c r="K643" s="4" t="str">
        <f>CONCATENATE(Table43[[#This Row],[kode  2 Digit                (hrf+No)]],Table43[[#This Row],[kode  2 Digit                (Nomor)]],Table43[[#This Row],[kode  1 Digit                (Nomor)]])</f>
        <v>K1505</v>
      </c>
      <c r="L643" s="4" t="str">
        <f t="shared" si="30"/>
        <v>K1505001030010</v>
      </c>
      <c r="M643" s="11">
        <f t="shared" si="31"/>
        <v>14</v>
      </c>
      <c r="N643" s="14" t="str">
        <f>IF(AF643&lt;&gt;"",TRIM(UPPER(CONCATENATE(P643," ",R643," ",T643," ",V643," ",X643," ",Z643," ","X"," ",Table43[[#This Row],[ISI/CTN]]," ",AF643," ",AB643," ",AD643," ",AH643))),TRIM(UPPER(CONCATENATE(P643," ",R643," ",T643," ",V643," ",X643," ",Z643," ","X"," ",Table43[[#This Row],[ISI/CTN]]," ",AB643," ",AD643," ",AH643))))</f>
        <v>KNF SLEEK BABY HAIR&amp;BODY FOAMY WASH 300ML X 24 BTL</v>
      </c>
      <c r="O643" s="11">
        <f t="shared" si="32"/>
        <v>50</v>
      </c>
      <c r="P643" s="4" t="s">
        <v>97</v>
      </c>
      <c r="Q643" s="7" t="s">
        <v>98</v>
      </c>
      <c r="R643" s="4" t="s">
        <v>3559</v>
      </c>
      <c r="S643" s="44" t="s">
        <v>4016</v>
      </c>
      <c r="T643" s="45" t="s">
        <v>4023</v>
      </c>
      <c r="U643" s="7" t="s">
        <v>3597</v>
      </c>
      <c r="V643" s="45" t="s">
        <v>2961</v>
      </c>
      <c r="W643" s="44" t="s">
        <v>2900</v>
      </c>
      <c r="X643" s="4" t="s">
        <v>4024</v>
      </c>
      <c r="Y643" s="46" t="s">
        <v>0</v>
      </c>
      <c r="Z643" s="4" t="s">
        <v>3558</v>
      </c>
      <c r="AA643" s="46" t="s">
        <v>2515</v>
      </c>
      <c r="AB643" s="4" t="s">
        <v>357</v>
      </c>
      <c r="AC643" s="7" t="s">
        <v>2656</v>
      </c>
      <c r="AD643" s="4" t="s">
        <v>2961</v>
      </c>
      <c r="AE643" s="7" t="s">
        <v>2900</v>
      </c>
      <c r="AF643" s="7" t="s">
        <v>2961</v>
      </c>
      <c r="AG643" s="7" t="s">
        <v>2961</v>
      </c>
      <c r="AI643" s="7" t="s">
        <v>4100</v>
      </c>
      <c r="AJ643" s="7" t="s">
        <v>2656</v>
      </c>
      <c r="AK643" s="41">
        <f>Table43[[#This Row],[Harga Jual Pcs GT
(-PPN)]]-(Table43[[#This Row],[Harga Jual Pcs GT
(-PPN)]]*10%)</f>
        <v>0</v>
      </c>
      <c r="AL643" s="42">
        <f>Table43[[#This Row],[Harga Beli Pcs
(-PPN)]]*Table43[[#This Row],[ISI/CTN]]</f>
        <v>0</v>
      </c>
      <c r="AM643" s="42">
        <f>Table43[[#This Row],[Harga Beli Pcs
(-PPN)]]*1.11</f>
        <v>0</v>
      </c>
      <c r="AN643" s="42">
        <f>Table43[[#This Row],[Harga Beli Krt
(- PPN)]]*1.11</f>
        <v>0</v>
      </c>
      <c r="AO643" s="42"/>
      <c r="AP643" s="42">
        <f>Table43[[#This Row],[Harga Jual Pcs GT
(-PPN)]]*Table43[[#This Row],[ISI/CTN]]</f>
        <v>0</v>
      </c>
      <c r="AQ643" s="42">
        <f>Table43[[#This Row],[Harga Jual Pcs GT
(-PPN)]]*1.11</f>
        <v>0</v>
      </c>
      <c r="AR643" s="42">
        <f>Table43[[#This Row],[Harga Jual Krt GT
(- PPN)]]*1.11</f>
        <v>0</v>
      </c>
      <c r="AS643" s="42">
        <f>Table43[[#This Row],[Harga Jual Pcs GT
(-PPN)]]</f>
        <v>0</v>
      </c>
      <c r="AT643" s="42">
        <f>(Table43[[#This Row],[Harga Jual Pcs MT
(-PPN)]]*Table43[[#This Row],[ISI/CTN]])</f>
        <v>0</v>
      </c>
      <c r="AU643" s="42">
        <f>Table43[[#This Row],[Harga Jual Pcs MT
(-PPN)]]*1.11</f>
        <v>0</v>
      </c>
      <c r="AV643" s="42">
        <f>Table43[[#This Row],[Harga Jual Pcs MT
(+PPN)]]*Table43[[#This Row],[ISI/CTN]]</f>
        <v>0</v>
      </c>
      <c r="AW643" s="47"/>
      <c r="AX643" s="7"/>
      <c r="AY643" s="7" t="str">
        <f ca="1">IF(TODAY()-Table43[[#This Row],[Efektif
Pembuatan]]&gt;60,"Lama","Baru")</f>
        <v>Lama</v>
      </c>
      <c r="AZ643" s="7" t="str">
        <f ca="1">IF(TODAY()-Table43[[#This Row],[Efektif Naik Harga]]&lt;30,"Naik","Sama")</f>
        <v>Sama</v>
      </c>
      <c r="BA643" s="7" t="str">
        <f>IF(Table43[[#This Row],[Kode BARANG Win2]]&lt;&gt;"","IDR","")</f>
        <v>IDR</v>
      </c>
      <c r="BB643" s="7" t="str">
        <f>CONCATENATE(Table43[[#This Row],[kode  1 Digit
(Nomor)]],Table43[[#This Row],[kode  4 Digit                (Nomor)]])</f>
        <v>10300</v>
      </c>
      <c r="BC643" s="7" t="str">
        <f>Table43[[#This Row],[Nama            Gramasi atau Jumlah Pack per CTN]]</f>
        <v>300ML</v>
      </c>
      <c r="BD643" s="7"/>
      <c r="BE643" s="7"/>
      <c r="BF643" s="4" t="str">
        <f>IF(Table43[[#This Row],[SATUAN Fix Win]]&lt;&gt;"","KRT")</f>
        <v>KRT</v>
      </c>
      <c r="BG643" s="4" t="str">
        <f>IF(Table43[[#This Row],[SATUAN Fix Win]]&lt;&gt;"","GD01")</f>
        <v>GD01</v>
      </c>
      <c r="BH643" s="4">
        <f>IF(Table43[[#This Row],[SATUAN Fix Win]]&lt;&gt;"",11611)</f>
        <v>11611</v>
      </c>
      <c r="BI643" s="4">
        <f>IF(Table43[[#This Row],[SATUAN Fix Win]]&lt;&gt;"",11612)</f>
        <v>11612</v>
      </c>
      <c r="BJ643" s="48"/>
      <c r="BK643" s="4">
        <f>IF(Table43[[#This Row],[SATUAN Fix Win]]&lt;&gt;"",1)</f>
        <v>1</v>
      </c>
    </row>
    <row r="644" spans="1:63">
      <c r="A644" s="4" t="str">
        <f>CONCATENATE(Table43[[#This Row],[Kode BARANG Win2]],Table43[[#This Row],[No. Urut
Item Sama]])</f>
        <v>K15050020120101</v>
      </c>
      <c r="B644" s="7">
        <v>1</v>
      </c>
      <c r="D644" s="28" t="s">
        <v>432</v>
      </c>
      <c r="E644" s="28"/>
      <c r="F644" s="28" t="s">
        <v>3381</v>
      </c>
      <c r="G644" s="78">
        <v>36</v>
      </c>
      <c r="H644" s="43"/>
      <c r="I644" s="28" t="str">
        <f>Table43[[#This Row],[Nama Jenis Kemasan]]</f>
        <v>BTL</v>
      </c>
      <c r="J644" s="4" t="str">
        <f>TRIM(CONCATENATE(Table43[[#This Row],[Nama            KLP]]," ",Table43[[#This Row],[Nama            Sub KLP]]))</f>
        <v>SLEEK BABY HAIR&amp;BODY</v>
      </c>
      <c r="K644" s="4" t="str">
        <f>CONCATENATE(Table43[[#This Row],[kode  2 Digit                (hrf+No)]],Table43[[#This Row],[kode  2 Digit                (Nomor)]],Table43[[#This Row],[kode  1 Digit                (Nomor)]])</f>
        <v>K1505</v>
      </c>
      <c r="L644" s="4" t="str">
        <f t="shared" si="30"/>
        <v>K1505002012010</v>
      </c>
      <c r="M644" s="11">
        <f t="shared" si="31"/>
        <v>14</v>
      </c>
      <c r="N644" s="14" t="str">
        <f>IF(AF644&lt;&gt;"",TRIM(UPPER(CONCATENATE(P644," ",R644," ",T644," ",V644," ",X644," ",Z644," ","X"," ",Table43[[#This Row],[ISI/CTN]]," ",AF644," ",AB644," ",AD644," ",AH644))),TRIM(UPPER(CONCATENATE(P644," ",R644," ",T644," ",V644," ",X644," ",Z644," ","X"," ",Table43[[#This Row],[ISI/CTN]]," ",AB644," ",AD644," ",AH644))))</f>
        <v>KNF SLEEK BABY HAIR&amp;BODY LIQ.WASH 120ML X 36 BTL</v>
      </c>
      <c r="O644" s="11">
        <f t="shared" si="32"/>
        <v>48</v>
      </c>
      <c r="P644" s="4" t="s">
        <v>97</v>
      </c>
      <c r="Q644" s="7" t="s">
        <v>98</v>
      </c>
      <c r="R644" s="4" t="s">
        <v>3559</v>
      </c>
      <c r="S644" s="44" t="s">
        <v>4016</v>
      </c>
      <c r="T644" s="45" t="s">
        <v>4023</v>
      </c>
      <c r="U644" s="7" t="s">
        <v>3597</v>
      </c>
      <c r="V644" s="45" t="s">
        <v>2961</v>
      </c>
      <c r="W644" s="44" t="s">
        <v>2900</v>
      </c>
      <c r="X644" s="4" t="s">
        <v>4025</v>
      </c>
      <c r="Y644" s="46" t="s">
        <v>2472</v>
      </c>
      <c r="Z644" s="4" t="s">
        <v>4026</v>
      </c>
      <c r="AA644" s="46" t="s">
        <v>1025</v>
      </c>
      <c r="AB644" s="4" t="s">
        <v>357</v>
      </c>
      <c r="AC644" s="7" t="s">
        <v>2656</v>
      </c>
      <c r="AD644" s="4" t="s">
        <v>2961</v>
      </c>
      <c r="AE644" s="7" t="s">
        <v>2900</v>
      </c>
      <c r="AF644" s="7" t="s">
        <v>2961</v>
      </c>
      <c r="AG644" s="7" t="s">
        <v>2961</v>
      </c>
      <c r="AI644" s="7" t="s">
        <v>4100</v>
      </c>
      <c r="AJ644" s="7" t="s">
        <v>2656</v>
      </c>
      <c r="AK644" s="41">
        <f>Table43[[#This Row],[Harga Jual Pcs GT
(-PPN)]]-(Table43[[#This Row],[Harga Jual Pcs GT
(-PPN)]]*10%)</f>
        <v>0</v>
      </c>
      <c r="AL644" s="42">
        <f>Table43[[#This Row],[Harga Beli Pcs
(-PPN)]]*Table43[[#This Row],[ISI/CTN]]</f>
        <v>0</v>
      </c>
      <c r="AM644" s="42">
        <f>Table43[[#This Row],[Harga Beli Pcs
(-PPN)]]*1.11</f>
        <v>0</v>
      </c>
      <c r="AN644" s="42">
        <f>Table43[[#This Row],[Harga Beli Krt
(- PPN)]]*1.11</f>
        <v>0</v>
      </c>
      <c r="AO644" s="42"/>
      <c r="AP644" s="42">
        <f>Table43[[#This Row],[Harga Jual Pcs GT
(-PPN)]]*Table43[[#This Row],[ISI/CTN]]</f>
        <v>0</v>
      </c>
      <c r="AQ644" s="42">
        <f>Table43[[#This Row],[Harga Jual Pcs GT
(-PPN)]]*1.11</f>
        <v>0</v>
      </c>
      <c r="AR644" s="42">
        <f>Table43[[#This Row],[Harga Jual Krt GT
(- PPN)]]*1.11</f>
        <v>0</v>
      </c>
      <c r="AS644" s="42">
        <f>Table43[[#This Row],[Harga Jual Pcs GT
(-PPN)]]</f>
        <v>0</v>
      </c>
      <c r="AT644" s="42">
        <f>(Table43[[#This Row],[Harga Jual Pcs MT
(-PPN)]]*Table43[[#This Row],[ISI/CTN]])</f>
        <v>0</v>
      </c>
      <c r="AU644" s="42">
        <f>Table43[[#This Row],[Harga Jual Pcs MT
(-PPN)]]*1.11</f>
        <v>0</v>
      </c>
      <c r="AV644" s="42">
        <f>Table43[[#This Row],[Harga Jual Pcs MT
(+PPN)]]*Table43[[#This Row],[ISI/CTN]]</f>
        <v>0</v>
      </c>
      <c r="AW644" s="47"/>
      <c r="AX644" s="7"/>
      <c r="AY644" s="7" t="str">
        <f ca="1">IF(TODAY()-Table43[[#This Row],[Efektif
Pembuatan]]&gt;60,"Lama","Baru")</f>
        <v>Lama</v>
      </c>
      <c r="AZ644" s="7" t="str">
        <f ca="1">IF(TODAY()-Table43[[#This Row],[Efektif Naik Harga]]&lt;30,"Naik","Sama")</f>
        <v>Sama</v>
      </c>
      <c r="BA644" s="7" t="str">
        <f>IF(Table43[[#This Row],[Kode BARANG Win2]]&lt;&gt;"","IDR","")</f>
        <v>IDR</v>
      </c>
      <c r="BB644" s="7" t="str">
        <f>CONCATENATE(Table43[[#This Row],[kode  1 Digit
(Nomor)]],Table43[[#This Row],[kode  4 Digit                (Nomor)]])</f>
        <v>10120</v>
      </c>
      <c r="BC644" s="7" t="str">
        <f>Table43[[#This Row],[Nama            Gramasi atau Jumlah Pack per CTN]]</f>
        <v>120ML</v>
      </c>
      <c r="BD644" s="7"/>
      <c r="BE644" s="7"/>
      <c r="BF644" s="4" t="str">
        <f>IF(Table43[[#This Row],[SATUAN Fix Win]]&lt;&gt;"","KRT")</f>
        <v>KRT</v>
      </c>
      <c r="BG644" s="4" t="str">
        <f>IF(Table43[[#This Row],[SATUAN Fix Win]]&lt;&gt;"","GD01")</f>
        <v>GD01</v>
      </c>
      <c r="BH644" s="4">
        <f>IF(Table43[[#This Row],[SATUAN Fix Win]]&lt;&gt;"",11611)</f>
        <v>11611</v>
      </c>
      <c r="BI644" s="4">
        <f>IF(Table43[[#This Row],[SATUAN Fix Win]]&lt;&gt;"",11612)</f>
        <v>11612</v>
      </c>
      <c r="BJ644" s="48"/>
      <c r="BK644" s="4">
        <f>IF(Table43[[#This Row],[SATUAN Fix Win]]&lt;&gt;"",1)</f>
        <v>1</v>
      </c>
    </row>
    <row r="645" spans="1:63">
      <c r="A645" s="4" t="str">
        <f>CONCATENATE(Table43[[#This Row],[Kode BARANG Win2]],Table43[[#This Row],[No. Urut
Item Sama]])</f>
        <v>K15050020250101</v>
      </c>
      <c r="B645" s="7">
        <v>1</v>
      </c>
      <c r="D645" s="28" t="s">
        <v>433</v>
      </c>
      <c r="E645" s="28"/>
      <c r="F645" s="28" t="s">
        <v>3382</v>
      </c>
      <c r="G645" s="78">
        <v>36</v>
      </c>
      <c r="H645" s="43"/>
      <c r="I645" s="28" t="str">
        <f>Table43[[#This Row],[Nama Jenis Kemasan]]</f>
        <v>BTL</v>
      </c>
      <c r="J645" s="4" t="str">
        <f>TRIM(CONCATENATE(Table43[[#This Row],[Nama            KLP]]," ",Table43[[#This Row],[Nama            Sub KLP]]))</f>
        <v>SLEEK BABY HAIR&amp;BODY</v>
      </c>
      <c r="K645" s="4" t="str">
        <f>CONCATENATE(Table43[[#This Row],[kode  2 Digit                (hrf+No)]],Table43[[#This Row],[kode  2 Digit                (Nomor)]],Table43[[#This Row],[kode  1 Digit                (Nomor)]])</f>
        <v>K1505</v>
      </c>
      <c r="L645" s="4" t="str">
        <f t="shared" si="30"/>
        <v>K1505002025010</v>
      </c>
      <c r="M645" s="11">
        <f t="shared" si="31"/>
        <v>14</v>
      </c>
      <c r="N645" s="14" t="str">
        <f>IF(AF645&lt;&gt;"",TRIM(UPPER(CONCATENATE(P645," ",R645," ",T645," ",V645," ",X645," ",Z645," ","X"," ",Table43[[#This Row],[ISI/CTN]]," ",AF645," ",AB645," ",AD645," ",AH645))),TRIM(UPPER(CONCATENATE(P645," ",R645," ",T645," ",V645," ",X645," ",Z645," ","X"," ",Table43[[#This Row],[ISI/CTN]]," ",AB645," ",AD645," ",AH645))))</f>
        <v>KNF SLEEK BABY HAIR&amp;BODY LIQ.WASH 250ML X 36 BTL</v>
      </c>
      <c r="O645" s="11">
        <f t="shared" si="32"/>
        <v>48</v>
      </c>
      <c r="P645" s="4" t="s">
        <v>97</v>
      </c>
      <c r="Q645" s="7" t="s">
        <v>98</v>
      </c>
      <c r="R645" s="4" t="s">
        <v>3559</v>
      </c>
      <c r="S645" s="44" t="s">
        <v>4016</v>
      </c>
      <c r="T645" s="45" t="s">
        <v>4023</v>
      </c>
      <c r="U645" s="7" t="s">
        <v>3597</v>
      </c>
      <c r="V645" s="45" t="s">
        <v>2961</v>
      </c>
      <c r="W645" s="44" t="s">
        <v>2900</v>
      </c>
      <c r="X645" s="4" t="s">
        <v>4025</v>
      </c>
      <c r="Y645" s="46" t="s">
        <v>2472</v>
      </c>
      <c r="Z645" s="4" t="s">
        <v>3580</v>
      </c>
      <c r="AA645" s="46" t="s">
        <v>2484</v>
      </c>
      <c r="AB645" s="4" t="s">
        <v>357</v>
      </c>
      <c r="AC645" s="7" t="s">
        <v>2656</v>
      </c>
      <c r="AD645" s="4" t="s">
        <v>2961</v>
      </c>
      <c r="AE645" s="7" t="s">
        <v>2900</v>
      </c>
      <c r="AF645" s="7" t="s">
        <v>2961</v>
      </c>
      <c r="AG645" s="7" t="s">
        <v>2961</v>
      </c>
      <c r="AI645" s="7" t="s">
        <v>4100</v>
      </c>
      <c r="AJ645" s="7" t="s">
        <v>2656</v>
      </c>
      <c r="AK645" s="41">
        <f>Table43[[#This Row],[Harga Jual Pcs GT
(-PPN)]]-(Table43[[#This Row],[Harga Jual Pcs GT
(-PPN)]]*10%)</f>
        <v>0</v>
      </c>
      <c r="AL645" s="42">
        <f>Table43[[#This Row],[Harga Beli Pcs
(-PPN)]]*Table43[[#This Row],[ISI/CTN]]</f>
        <v>0</v>
      </c>
      <c r="AM645" s="42">
        <f>Table43[[#This Row],[Harga Beli Pcs
(-PPN)]]*1.11</f>
        <v>0</v>
      </c>
      <c r="AN645" s="42">
        <f>Table43[[#This Row],[Harga Beli Krt
(- PPN)]]*1.11</f>
        <v>0</v>
      </c>
      <c r="AO645" s="42"/>
      <c r="AP645" s="42">
        <f>Table43[[#This Row],[Harga Jual Pcs GT
(-PPN)]]*Table43[[#This Row],[ISI/CTN]]</f>
        <v>0</v>
      </c>
      <c r="AQ645" s="42">
        <f>Table43[[#This Row],[Harga Jual Pcs GT
(-PPN)]]*1.11</f>
        <v>0</v>
      </c>
      <c r="AR645" s="42">
        <f>Table43[[#This Row],[Harga Jual Krt GT
(- PPN)]]*1.11</f>
        <v>0</v>
      </c>
      <c r="AS645" s="42">
        <f>Table43[[#This Row],[Harga Jual Pcs GT
(-PPN)]]</f>
        <v>0</v>
      </c>
      <c r="AT645" s="42">
        <f>(Table43[[#This Row],[Harga Jual Pcs MT
(-PPN)]]*Table43[[#This Row],[ISI/CTN]])</f>
        <v>0</v>
      </c>
      <c r="AU645" s="42">
        <f>Table43[[#This Row],[Harga Jual Pcs MT
(-PPN)]]*1.11</f>
        <v>0</v>
      </c>
      <c r="AV645" s="42">
        <f>Table43[[#This Row],[Harga Jual Pcs MT
(+PPN)]]*Table43[[#This Row],[ISI/CTN]]</f>
        <v>0</v>
      </c>
      <c r="AW645" s="47"/>
      <c r="AX645" s="7"/>
      <c r="AY645" s="7" t="str">
        <f ca="1">IF(TODAY()-Table43[[#This Row],[Efektif
Pembuatan]]&gt;60,"Lama","Baru")</f>
        <v>Lama</v>
      </c>
      <c r="AZ645" s="7" t="str">
        <f ca="1">IF(TODAY()-Table43[[#This Row],[Efektif Naik Harga]]&lt;30,"Naik","Sama")</f>
        <v>Sama</v>
      </c>
      <c r="BA645" s="7" t="str">
        <f>IF(Table43[[#This Row],[Kode BARANG Win2]]&lt;&gt;"","IDR","")</f>
        <v>IDR</v>
      </c>
      <c r="BB645" s="7" t="str">
        <f>CONCATENATE(Table43[[#This Row],[kode  1 Digit
(Nomor)]],Table43[[#This Row],[kode  4 Digit                (Nomor)]])</f>
        <v>10250</v>
      </c>
      <c r="BC645" s="7" t="str">
        <f>Table43[[#This Row],[Nama            Gramasi atau Jumlah Pack per CTN]]</f>
        <v>250ML</v>
      </c>
      <c r="BD645" s="7"/>
      <c r="BE645" s="7"/>
      <c r="BF645" s="4" t="str">
        <f>IF(Table43[[#This Row],[SATUAN Fix Win]]&lt;&gt;"","KRT")</f>
        <v>KRT</v>
      </c>
      <c r="BG645" s="4" t="str">
        <f>IF(Table43[[#This Row],[SATUAN Fix Win]]&lt;&gt;"","GD01")</f>
        <v>GD01</v>
      </c>
      <c r="BH645" s="4">
        <f>IF(Table43[[#This Row],[SATUAN Fix Win]]&lt;&gt;"",11611)</f>
        <v>11611</v>
      </c>
      <c r="BI645" s="4">
        <f>IF(Table43[[#This Row],[SATUAN Fix Win]]&lt;&gt;"",11612)</f>
        <v>11612</v>
      </c>
      <c r="BJ645" s="48"/>
      <c r="BK645" s="4">
        <f>IF(Table43[[#This Row],[SATUAN Fix Win]]&lt;&gt;"",1)</f>
        <v>1</v>
      </c>
    </row>
    <row r="646" spans="1:63">
      <c r="A646" s="4" t="str">
        <f>CONCATENATE(Table43[[#This Row],[Kode BARANG Win2]],Table43[[#This Row],[No. Urut
Item Sama]])</f>
        <v>K15060000020411</v>
      </c>
      <c r="B646" s="7">
        <v>1</v>
      </c>
      <c r="D646" s="28" t="s">
        <v>414</v>
      </c>
      <c r="E646" s="28"/>
      <c r="F646" s="28" t="s">
        <v>3383</v>
      </c>
      <c r="G646" s="78">
        <v>120</v>
      </c>
      <c r="H646" s="43"/>
      <c r="I646" s="28" t="str">
        <f>Table43[[#This Row],[Nama Jenis Kemasan]]</f>
        <v>SCH</v>
      </c>
      <c r="J646" s="4" t="str">
        <f>TRIM(CONCATENATE(Table43[[#This Row],[Nama            KLP]]," ",Table43[[#This Row],[Nama            Sub KLP]]))</f>
        <v>SLEEK BABY LAUNDRY DETERGENT</v>
      </c>
      <c r="K646" s="4" t="str">
        <f>CONCATENATE(Table43[[#This Row],[kode  2 Digit                (hrf+No)]],Table43[[#This Row],[kode  2 Digit                (Nomor)]],Table43[[#This Row],[kode  1 Digit                (Nomor)]])</f>
        <v>K1506</v>
      </c>
      <c r="L646" s="4" t="str">
        <f t="shared" si="30"/>
        <v>K1506000002041</v>
      </c>
      <c r="M646" s="11">
        <f t="shared" si="31"/>
        <v>14</v>
      </c>
      <c r="N646" s="14" t="str">
        <f>IF(AF646&lt;&gt;"",TRIM(UPPER(CONCATENATE(P646," ",R646," ",T646," ",V646," ",X646," ",Z646," ","X"," ",Table43[[#This Row],[ISI/CTN]]," ",AF646," ",AB646," ",AD646," ",AH646))),TRIM(UPPER(CONCATENATE(P646," ",R646," ",T646," ",V646," ",X646," ",Z646," ","X"," ",Table43[[#This Row],[ISI/CTN]]," ",AB646," ",AD646," ",AH646))))</f>
        <v>KNF SLEEK BABY LAUNDRY DETERGENT 20ML X 120 SACHET SCH</v>
      </c>
      <c r="O646" s="11">
        <f t="shared" si="32"/>
        <v>54</v>
      </c>
      <c r="P646" s="4" t="s">
        <v>97</v>
      </c>
      <c r="Q646" s="7" t="s">
        <v>98</v>
      </c>
      <c r="R646" s="4" t="s">
        <v>3559</v>
      </c>
      <c r="S646" s="44" t="s">
        <v>4016</v>
      </c>
      <c r="T646" s="45" t="s">
        <v>4027</v>
      </c>
      <c r="U646" s="7" t="s">
        <v>3607</v>
      </c>
      <c r="V646" s="45" t="s">
        <v>2961</v>
      </c>
      <c r="W646" s="44" t="s">
        <v>2900</v>
      </c>
      <c r="X646" s="4" t="s">
        <v>2961</v>
      </c>
      <c r="Y646" s="46" t="s">
        <v>2480</v>
      </c>
      <c r="Z646" s="4" t="s">
        <v>4028</v>
      </c>
      <c r="AA646" s="46" t="s">
        <v>2495</v>
      </c>
      <c r="AB646" s="4" t="s">
        <v>1022</v>
      </c>
      <c r="AC646" s="7" t="s">
        <v>3593</v>
      </c>
      <c r="AD646" s="4" t="s">
        <v>2961</v>
      </c>
      <c r="AE646" s="7" t="s">
        <v>2900</v>
      </c>
      <c r="AF646" s="7" t="s">
        <v>149</v>
      </c>
      <c r="AG646" s="7" t="s">
        <v>2656</v>
      </c>
      <c r="AI646" s="7" t="s">
        <v>4100</v>
      </c>
      <c r="AJ646" s="7" t="s">
        <v>2656</v>
      </c>
      <c r="AK646" s="41">
        <f>Table43[[#This Row],[Harga Jual Pcs GT
(-PPN)]]-(Table43[[#This Row],[Harga Jual Pcs GT
(-PPN)]]*10%)</f>
        <v>0</v>
      </c>
      <c r="AL646" s="42">
        <f>Table43[[#This Row],[Harga Beli Pcs
(-PPN)]]*Table43[[#This Row],[ISI/CTN]]</f>
        <v>0</v>
      </c>
      <c r="AM646" s="42">
        <f>Table43[[#This Row],[Harga Beli Pcs
(-PPN)]]*1.11</f>
        <v>0</v>
      </c>
      <c r="AN646" s="42">
        <f>Table43[[#This Row],[Harga Beli Krt
(- PPN)]]*1.11</f>
        <v>0</v>
      </c>
      <c r="AO646" s="42"/>
      <c r="AP646" s="42">
        <f>Table43[[#This Row],[Harga Jual Pcs GT
(-PPN)]]*Table43[[#This Row],[ISI/CTN]]</f>
        <v>0</v>
      </c>
      <c r="AQ646" s="42">
        <f>Table43[[#This Row],[Harga Jual Pcs GT
(-PPN)]]*1.11</f>
        <v>0</v>
      </c>
      <c r="AR646" s="42">
        <f>Table43[[#This Row],[Harga Jual Krt GT
(- PPN)]]*1.11</f>
        <v>0</v>
      </c>
      <c r="AS646" s="42">
        <f>Table43[[#This Row],[Harga Jual Pcs GT
(-PPN)]]</f>
        <v>0</v>
      </c>
      <c r="AT646" s="42">
        <f>(Table43[[#This Row],[Harga Jual Pcs MT
(-PPN)]]*Table43[[#This Row],[ISI/CTN]])</f>
        <v>0</v>
      </c>
      <c r="AU646" s="42">
        <f>Table43[[#This Row],[Harga Jual Pcs MT
(-PPN)]]*1.11</f>
        <v>0</v>
      </c>
      <c r="AV646" s="42">
        <f>Table43[[#This Row],[Harga Jual Pcs MT
(+PPN)]]*Table43[[#This Row],[ISI/CTN]]</f>
        <v>0</v>
      </c>
      <c r="AW646" s="47"/>
      <c r="AX646" s="7"/>
      <c r="AY646" s="7" t="str">
        <f ca="1">IF(TODAY()-Table43[[#This Row],[Efektif
Pembuatan]]&gt;60,"Lama","Baru")</f>
        <v>Lama</v>
      </c>
      <c r="AZ646" s="7" t="str">
        <f ca="1">IF(TODAY()-Table43[[#This Row],[Efektif Naik Harga]]&lt;30,"Naik","Sama")</f>
        <v>Sama</v>
      </c>
      <c r="BA646" s="7" t="str">
        <f>IF(Table43[[#This Row],[Kode BARANG Win2]]&lt;&gt;"","IDR","")</f>
        <v>IDR</v>
      </c>
      <c r="BB646" s="7" t="str">
        <f>CONCATENATE(Table43[[#This Row],[kode  1 Digit
(Nomor)]],Table43[[#This Row],[kode  4 Digit                (Nomor)]])</f>
        <v>10020</v>
      </c>
      <c r="BC646" s="7" t="str">
        <f>Table43[[#This Row],[Nama            Gramasi atau Jumlah Pack per CTN]]</f>
        <v>20ML</v>
      </c>
      <c r="BD646" s="7"/>
      <c r="BE646" s="7"/>
      <c r="BF646" s="4" t="str">
        <f>IF(Table43[[#This Row],[SATUAN Fix Win]]&lt;&gt;"","KRT")</f>
        <v>KRT</v>
      </c>
      <c r="BG646" s="4" t="str">
        <f>IF(Table43[[#This Row],[SATUAN Fix Win]]&lt;&gt;"","GD01")</f>
        <v>GD01</v>
      </c>
      <c r="BH646" s="4">
        <f>IF(Table43[[#This Row],[SATUAN Fix Win]]&lt;&gt;"",11611)</f>
        <v>11611</v>
      </c>
      <c r="BI646" s="4">
        <f>IF(Table43[[#This Row],[SATUAN Fix Win]]&lt;&gt;"",11612)</f>
        <v>11612</v>
      </c>
      <c r="BJ646" s="48"/>
      <c r="BK646" s="4">
        <f>IF(Table43[[#This Row],[SATUAN Fix Win]]&lt;&gt;"",1)</f>
        <v>1</v>
      </c>
    </row>
    <row r="647" spans="1:63">
      <c r="A647" s="4" t="str">
        <f>CONCATENATE(Table43[[#This Row],[Kode BARANG Win2]],Table43[[#This Row],[No. Urut
Item Sama]])</f>
        <v>K15060000450301</v>
      </c>
      <c r="B647" s="7">
        <v>1</v>
      </c>
      <c r="D647" s="28" t="s">
        <v>415</v>
      </c>
      <c r="E647" s="28"/>
      <c r="F647" s="28" t="s">
        <v>3384</v>
      </c>
      <c r="G647" s="78">
        <v>12</v>
      </c>
      <c r="H647" s="43"/>
      <c r="I647" s="28" t="str">
        <f>Table43[[#This Row],[Nama Jenis Kemasan]]</f>
        <v>PCH</v>
      </c>
      <c r="J647" s="4" t="str">
        <f>TRIM(CONCATENATE(Table43[[#This Row],[Nama            KLP]]," ",Table43[[#This Row],[Nama            Sub KLP]]))</f>
        <v>SLEEK BABY LAUNDRY DETERGENT</v>
      </c>
      <c r="K647" s="4" t="str">
        <f>CONCATENATE(Table43[[#This Row],[kode  2 Digit                (hrf+No)]],Table43[[#This Row],[kode  2 Digit                (Nomor)]],Table43[[#This Row],[kode  1 Digit                (Nomor)]])</f>
        <v>K1506</v>
      </c>
      <c r="L647" s="4" t="str">
        <f t="shared" si="30"/>
        <v>K1506000045030</v>
      </c>
      <c r="M647" s="11">
        <f t="shared" si="31"/>
        <v>14</v>
      </c>
      <c r="N647" s="14" t="str">
        <f>IF(AF647&lt;&gt;"",TRIM(UPPER(CONCATENATE(P647," ",R647," ",T647," ",V647," ",X647," ",Z647," ","X"," ",Table43[[#This Row],[ISI/CTN]]," ",AF647," ",AB647," ",AD647," ",AH647))),TRIM(UPPER(CONCATENATE(P647," ",R647," ",T647," ",V647," ",X647," ",Z647," ","X"," ",Table43[[#This Row],[ISI/CTN]]," ",AB647," ",AD647," ",AH647))))</f>
        <v>KNF SLEEK BABY LAUNDRY DETERGENT 450ML X 12 PCH</v>
      </c>
      <c r="O647" s="11">
        <f t="shared" si="32"/>
        <v>47</v>
      </c>
      <c r="P647" s="4" t="s">
        <v>97</v>
      </c>
      <c r="Q647" s="7" t="s">
        <v>98</v>
      </c>
      <c r="R647" s="4" t="s">
        <v>3559</v>
      </c>
      <c r="S647" s="44" t="s">
        <v>4016</v>
      </c>
      <c r="T647" s="45" t="s">
        <v>4027</v>
      </c>
      <c r="U647" s="7" t="s">
        <v>3607</v>
      </c>
      <c r="V647" s="45" t="s">
        <v>2961</v>
      </c>
      <c r="W647" s="44" t="s">
        <v>2900</v>
      </c>
      <c r="X647" s="4" t="s">
        <v>2961</v>
      </c>
      <c r="Y647" s="46" t="s">
        <v>2480</v>
      </c>
      <c r="Z647" s="4" t="s">
        <v>4018</v>
      </c>
      <c r="AA647" s="46" t="s">
        <v>2512</v>
      </c>
      <c r="AB647" s="4" t="s">
        <v>356</v>
      </c>
      <c r="AC647" s="7" t="s">
        <v>3590</v>
      </c>
      <c r="AD647" s="4" t="s">
        <v>2961</v>
      </c>
      <c r="AE647" s="7" t="s">
        <v>2900</v>
      </c>
      <c r="AF647" s="7" t="s">
        <v>2961</v>
      </c>
      <c r="AG647" s="7" t="s">
        <v>2961</v>
      </c>
      <c r="AI647" s="7" t="s">
        <v>4100</v>
      </c>
      <c r="AJ647" s="7" t="s">
        <v>2656</v>
      </c>
      <c r="AK647" s="41">
        <f>Table43[[#This Row],[Harga Jual Pcs GT
(-PPN)]]-(Table43[[#This Row],[Harga Jual Pcs GT
(-PPN)]]*10%)</f>
        <v>0</v>
      </c>
      <c r="AL647" s="42">
        <f>Table43[[#This Row],[Harga Beli Pcs
(-PPN)]]*Table43[[#This Row],[ISI/CTN]]</f>
        <v>0</v>
      </c>
      <c r="AM647" s="42">
        <f>Table43[[#This Row],[Harga Beli Pcs
(-PPN)]]*1.11</f>
        <v>0</v>
      </c>
      <c r="AN647" s="42">
        <f>Table43[[#This Row],[Harga Beli Krt
(- PPN)]]*1.11</f>
        <v>0</v>
      </c>
      <c r="AO647" s="42"/>
      <c r="AP647" s="42">
        <f>Table43[[#This Row],[Harga Jual Pcs GT
(-PPN)]]*Table43[[#This Row],[ISI/CTN]]</f>
        <v>0</v>
      </c>
      <c r="AQ647" s="42">
        <f>Table43[[#This Row],[Harga Jual Pcs GT
(-PPN)]]*1.11</f>
        <v>0</v>
      </c>
      <c r="AR647" s="42">
        <f>Table43[[#This Row],[Harga Jual Krt GT
(- PPN)]]*1.11</f>
        <v>0</v>
      </c>
      <c r="AS647" s="42">
        <f>Table43[[#This Row],[Harga Jual Pcs GT
(-PPN)]]</f>
        <v>0</v>
      </c>
      <c r="AT647" s="42">
        <f>(Table43[[#This Row],[Harga Jual Pcs MT
(-PPN)]]*Table43[[#This Row],[ISI/CTN]])</f>
        <v>0</v>
      </c>
      <c r="AU647" s="42">
        <f>Table43[[#This Row],[Harga Jual Pcs MT
(-PPN)]]*1.11</f>
        <v>0</v>
      </c>
      <c r="AV647" s="42">
        <f>Table43[[#This Row],[Harga Jual Pcs MT
(+PPN)]]*Table43[[#This Row],[ISI/CTN]]</f>
        <v>0</v>
      </c>
      <c r="AW647" s="47"/>
      <c r="AX647" s="7"/>
      <c r="AY647" s="7" t="str">
        <f ca="1">IF(TODAY()-Table43[[#This Row],[Efektif
Pembuatan]]&gt;60,"Lama","Baru")</f>
        <v>Lama</v>
      </c>
      <c r="AZ647" s="7" t="str">
        <f ca="1">IF(TODAY()-Table43[[#This Row],[Efektif Naik Harga]]&lt;30,"Naik","Sama")</f>
        <v>Sama</v>
      </c>
      <c r="BA647" s="7" t="str">
        <f>IF(Table43[[#This Row],[Kode BARANG Win2]]&lt;&gt;"","IDR","")</f>
        <v>IDR</v>
      </c>
      <c r="BB647" s="7" t="str">
        <f>CONCATENATE(Table43[[#This Row],[kode  1 Digit
(Nomor)]],Table43[[#This Row],[kode  4 Digit                (Nomor)]])</f>
        <v>10450</v>
      </c>
      <c r="BC647" s="7" t="str">
        <f>Table43[[#This Row],[Nama            Gramasi atau Jumlah Pack per CTN]]</f>
        <v>450ML</v>
      </c>
      <c r="BD647" s="7"/>
      <c r="BE647" s="7"/>
      <c r="BF647" s="4" t="str">
        <f>IF(Table43[[#This Row],[SATUAN Fix Win]]&lt;&gt;"","KRT")</f>
        <v>KRT</v>
      </c>
      <c r="BG647" s="4" t="str">
        <f>IF(Table43[[#This Row],[SATUAN Fix Win]]&lt;&gt;"","GD01")</f>
        <v>GD01</v>
      </c>
      <c r="BH647" s="4">
        <f>IF(Table43[[#This Row],[SATUAN Fix Win]]&lt;&gt;"",11611)</f>
        <v>11611</v>
      </c>
      <c r="BI647" s="4">
        <f>IF(Table43[[#This Row],[SATUAN Fix Win]]&lt;&gt;"",11612)</f>
        <v>11612</v>
      </c>
      <c r="BJ647" s="48"/>
      <c r="BK647" s="4">
        <f>IF(Table43[[#This Row],[SATUAN Fix Win]]&lt;&gt;"",1)</f>
        <v>1</v>
      </c>
    </row>
    <row r="648" spans="1:63">
      <c r="A648" s="4" t="str">
        <f>CONCATENATE(Table43[[#This Row],[Kode BARANG Win2]],Table43[[#This Row],[No. Urut
Item Sama]])</f>
        <v>K15060000450311</v>
      </c>
      <c r="B648" s="7">
        <v>1</v>
      </c>
      <c r="D648" s="28" t="s">
        <v>416</v>
      </c>
      <c r="E648" s="28"/>
      <c r="F648" s="28" t="s">
        <v>3385</v>
      </c>
      <c r="G648" s="78">
        <v>12</v>
      </c>
      <c r="H648" s="43"/>
      <c r="I648" s="28" t="str">
        <f>Table43[[#This Row],[Nama Jenis Kemasan]]</f>
        <v>PCH</v>
      </c>
      <c r="J648" s="4" t="str">
        <f>TRIM(CONCATENATE(Table43[[#This Row],[Nama            KLP]]," ",Table43[[#This Row],[Nama            Sub KLP]]))</f>
        <v>SLEEK BABY LAUNDRY DETERGENT</v>
      </c>
      <c r="K648" s="4" t="str">
        <f>CONCATENATE(Table43[[#This Row],[kode  2 Digit                (hrf+No)]],Table43[[#This Row],[kode  2 Digit                (Nomor)]],Table43[[#This Row],[kode  1 Digit                (Nomor)]])</f>
        <v>K1506</v>
      </c>
      <c r="L648" s="4" t="str">
        <f t="shared" si="30"/>
        <v>K1506000045031</v>
      </c>
      <c r="M648" s="11">
        <f t="shared" si="31"/>
        <v>14</v>
      </c>
      <c r="N648" s="14" t="str">
        <f>IF(AF648&lt;&gt;"",TRIM(UPPER(CONCATENATE(P648," ",R648," ",T648," ",V648," ",X648," ",Z648," ","X"," ",Table43[[#This Row],[ISI/CTN]]," ",AF648," ",AB648," ",AD648," ",AH648))),TRIM(UPPER(CONCATENATE(P648," ",R648," ",T648," ",V648," ",X648," ",Z648," ","X"," ",Table43[[#This Row],[ISI/CTN]]," ",AB648," ",AD648," ",AH648))))</f>
        <v>KNF SLEEK BABY LAUNDRY DETERGENT 450ML X 12 PCH</v>
      </c>
      <c r="O648" s="11">
        <f t="shared" si="32"/>
        <v>47</v>
      </c>
      <c r="P648" s="4" t="s">
        <v>97</v>
      </c>
      <c r="Q648" s="7" t="s">
        <v>98</v>
      </c>
      <c r="R648" s="4" t="s">
        <v>3559</v>
      </c>
      <c r="S648" s="44" t="s">
        <v>4016</v>
      </c>
      <c r="T648" s="45" t="s">
        <v>4027</v>
      </c>
      <c r="U648" s="7" t="s">
        <v>3607</v>
      </c>
      <c r="V648" s="45" t="s">
        <v>2961</v>
      </c>
      <c r="W648" s="44" t="s">
        <v>2900</v>
      </c>
      <c r="X648" s="4" t="s">
        <v>2961</v>
      </c>
      <c r="Y648" s="46" t="s">
        <v>2480</v>
      </c>
      <c r="Z648" s="4" t="s">
        <v>4018</v>
      </c>
      <c r="AA648" s="46" t="s">
        <v>2512</v>
      </c>
      <c r="AB648" s="4" t="s">
        <v>356</v>
      </c>
      <c r="AC648" s="7" t="s">
        <v>3590</v>
      </c>
      <c r="AD648" s="4" t="s">
        <v>2961</v>
      </c>
      <c r="AE648" s="7" t="s">
        <v>2656</v>
      </c>
      <c r="AF648" s="7" t="s">
        <v>2961</v>
      </c>
      <c r="AG648" s="7" t="s">
        <v>2961</v>
      </c>
      <c r="AI648" s="7" t="s">
        <v>4100</v>
      </c>
      <c r="AJ648" s="7" t="s">
        <v>2656</v>
      </c>
      <c r="AK648" s="41">
        <f>Table43[[#This Row],[Harga Jual Pcs GT
(-PPN)]]-(Table43[[#This Row],[Harga Jual Pcs GT
(-PPN)]]*10%)</f>
        <v>0</v>
      </c>
      <c r="AL648" s="42">
        <f>Table43[[#This Row],[Harga Beli Pcs
(-PPN)]]*Table43[[#This Row],[ISI/CTN]]</f>
        <v>0</v>
      </c>
      <c r="AM648" s="42">
        <f>Table43[[#This Row],[Harga Beli Pcs
(-PPN)]]*1.11</f>
        <v>0</v>
      </c>
      <c r="AN648" s="42">
        <f>Table43[[#This Row],[Harga Beli Krt
(- PPN)]]*1.11</f>
        <v>0</v>
      </c>
      <c r="AO648" s="42"/>
      <c r="AP648" s="42">
        <f>Table43[[#This Row],[Harga Jual Pcs GT
(-PPN)]]*Table43[[#This Row],[ISI/CTN]]</f>
        <v>0</v>
      </c>
      <c r="AQ648" s="42">
        <f>Table43[[#This Row],[Harga Jual Pcs GT
(-PPN)]]*1.11</f>
        <v>0</v>
      </c>
      <c r="AR648" s="42">
        <f>Table43[[#This Row],[Harga Jual Krt GT
(- PPN)]]*1.11</f>
        <v>0</v>
      </c>
      <c r="AS648" s="42">
        <f>Table43[[#This Row],[Harga Jual Pcs GT
(-PPN)]]</f>
        <v>0</v>
      </c>
      <c r="AT648" s="42">
        <f>(Table43[[#This Row],[Harga Jual Pcs MT
(-PPN)]]*Table43[[#This Row],[ISI/CTN]])</f>
        <v>0</v>
      </c>
      <c r="AU648" s="42">
        <f>Table43[[#This Row],[Harga Jual Pcs MT
(-PPN)]]*1.11</f>
        <v>0</v>
      </c>
      <c r="AV648" s="42">
        <f>Table43[[#This Row],[Harga Jual Pcs MT
(+PPN)]]*Table43[[#This Row],[ISI/CTN]]</f>
        <v>0</v>
      </c>
      <c r="AW648" s="47"/>
      <c r="AX648" s="7"/>
      <c r="AY648" s="7" t="str">
        <f ca="1">IF(TODAY()-Table43[[#This Row],[Efektif
Pembuatan]]&gt;60,"Lama","Baru")</f>
        <v>Lama</v>
      </c>
      <c r="AZ648" s="7" t="str">
        <f ca="1">IF(TODAY()-Table43[[#This Row],[Efektif Naik Harga]]&lt;30,"Naik","Sama")</f>
        <v>Sama</v>
      </c>
      <c r="BA648" s="7" t="str">
        <f>IF(Table43[[#This Row],[Kode BARANG Win2]]&lt;&gt;"","IDR","")</f>
        <v>IDR</v>
      </c>
      <c r="BB648" s="7" t="str">
        <f>CONCATENATE(Table43[[#This Row],[kode  1 Digit
(Nomor)]],Table43[[#This Row],[kode  4 Digit                (Nomor)]])</f>
        <v>10450</v>
      </c>
      <c r="BC648" s="7" t="str">
        <f>Table43[[#This Row],[Nama            Gramasi atau Jumlah Pack per CTN]]</f>
        <v>450ML</v>
      </c>
      <c r="BD648" s="7"/>
      <c r="BE648" s="7"/>
      <c r="BF648" s="4" t="str">
        <f>IF(Table43[[#This Row],[SATUAN Fix Win]]&lt;&gt;"","KRT")</f>
        <v>KRT</v>
      </c>
      <c r="BG648" s="4" t="str">
        <f>IF(Table43[[#This Row],[SATUAN Fix Win]]&lt;&gt;"","GD01")</f>
        <v>GD01</v>
      </c>
      <c r="BH648" s="4">
        <f>IF(Table43[[#This Row],[SATUAN Fix Win]]&lt;&gt;"",11611)</f>
        <v>11611</v>
      </c>
      <c r="BI648" s="4">
        <f>IF(Table43[[#This Row],[SATUAN Fix Win]]&lt;&gt;"",11612)</f>
        <v>11612</v>
      </c>
      <c r="BJ648" s="48"/>
      <c r="BK648" s="4">
        <f>IF(Table43[[#This Row],[SATUAN Fix Win]]&lt;&gt;"",1)</f>
        <v>1</v>
      </c>
    </row>
    <row r="649" spans="1:63">
      <c r="A649" s="4" t="str">
        <f>CONCATENATE(Table43[[#This Row],[Kode BARANG Win2]],Table43[[#This Row],[No. Urut
Item Sama]])</f>
        <v>K15060000500101</v>
      </c>
      <c r="B649" s="7">
        <v>1</v>
      </c>
      <c r="D649" s="28" t="s">
        <v>417</v>
      </c>
      <c r="E649" s="28"/>
      <c r="F649" s="28" t="s">
        <v>3386</v>
      </c>
      <c r="G649" s="78">
        <v>12</v>
      </c>
      <c r="H649" s="43"/>
      <c r="I649" s="28" t="str">
        <f>Table43[[#This Row],[Nama Jenis Kemasan]]</f>
        <v>BTL</v>
      </c>
      <c r="J649" s="4" t="str">
        <f>TRIM(CONCATENATE(Table43[[#This Row],[Nama            KLP]]," ",Table43[[#This Row],[Nama            Sub KLP]]))</f>
        <v>SLEEK BABY LAUNDRY DETERGENT</v>
      </c>
      <c r="K649" s="4" t="str">
        <f>CONCATENATE(Table43[[#This Row],[kode  2 Digit                (hrf+No)]],Table43[[#This Row],[kode  2 Digit                (Nomor)]],Table43[[#This Row],[kode  1 Digit                (Nomor)]])</f>
        <v>K1506</v>
      </c>
      <c r="L649" s="4" t="str">
        <f t="shared" si="30"/>
        <v>K1506000050010</v>
      </c>
      <c r="M649" s="11">
        <f t="shared" si="31"/>
        <v>14</v>
      </c>
      <c r="N649" s="14" t="str">
        <f>IF(AF649&lt;&gt;"",TRIM(UPPER(CONCATENATE(P649," ",R649," ",T649," ",V649," ",X649," ",Z649," ","X"," ",Table43[[#This Row],[ISI/CTN]]," ",AF649," ",AB649," ",AD649," ",AH649))),TRIM(UPPER(CONCATENATE(P649," ",R649," ",T649," ",V649," ",X649," ",Z649," ","X"," ",Table43[[#This Row],[ISI/CTN]]," ",AB649," ",AD649," ",AH649))))</f>
        <v>KNF SLEEK BABY LAUNDRY DETERGENT 500ML X 12 BTL</v>
      </c>
      <c r="O649" s="11">
        <f t="shared" si="32"/>
        <v>47</v>
      </c>
      <c r="P649" s="4" t="s">
        <v>97</v>
      </c>
      <c r="Q649" s="7" t="s">
        <v>98</v>
      </c>
      <c r="R649" s="4" t="s">
        <v>3559</v>
      </c>
      <c r="S649" s="44" t="s">
        <v>4016</v>
      </c>
      <c r="T649" s="45" t="s">
        <v>4027</v>
      </c>
      <c r="U649" s="7" t="s">
        <v>3607</v>
      </c>
      <c r="V649" s="45" t="s">
        <v>2961</v>
      </c>
      <c r="W649" s="44" t="s">
        <v>2900</v>
      </c>
      <c r="X649" s="4" t="s">
        <v>2961</v>
      </c>
      <c r="Y649" s="46" t="s">
        <v>2480</v>
      </c>
      <c r="Z649" s="4" t="s">
        <v>3771</v>
      </c>
      <c r="AA649" s="46" t="s">
        <v>2503</v>
      </c>
      <c r="AB649" s="4" t="s">
        <v>357</v>
      </c>
      <c r="AC649" s="7" t="s">
        <v>2656</v>
      </c>
      <c r="AD649" s="4" t="s">
        <v>2961</v>
      </c>
      <c r="AE649" s="7" t="s">
        <v>2900</v>
      </c>
      <c r="AF649" s="7" t="s">
        <v>2961</v>
      </c>
      <c r="AG649" s="7" t="s">
        <v>2961</v>
      </c>
      <c r="AI649" s="7" t="s">
        <v>4100</v>
      </c>
      <c r="AJ649" s="7" t="s">
        <v>2656</v>
      </c>
      <c r="AK649" s="41">
        <f>Table43[[#This Row],[Harga Jual Pcs GT
(-PPN)]]-(Table43[[#This Row],[Harga Jual Pcs GT
(-PPN)]]*10%)</f>
        <v>0</v>
      </c>
      <c r="AL649" s="42">
        <f>Table43[[#This Row],[Harga Beli Pcs
(-PPN)]]*Table43[[#This Row],[ISI/CTN]]</f>
        <v>0</v>
      </c>
      <c r="AM649" s="42">
        <f>Table43[[#This Row],[Harga Beli Pcs
(-PPN)]]*1.11</f>
        <v>0</v>
      </c>
      <c r="AN649" s="42">
        <f>Table43[[#This Row],[Harga Beli Krt
(- PPN)]]*1.11</f>
        <v>0</v>
      </c>
      <c r="AO649" s="42"/>
      <c r="AP649" s="42">
        <f>Table43[[#This Row],[Harga Jual Pcs GT
(-PPN)]]*Table43[[#This Row],[ISI/CTN]]</f>
        <v>0</v>
      </c>
      <c r="AQ649" s="42">
        <f>Table43[[#This Row],[Harga Jual Pcs GT
(-PPN)]]*1.11</f>
        <v>0</v>
      </c>
      <c r="AR649" s="42">
        <f>Table43[[#This Row],[Harga Jual Krt GT
(- PPN)]]*1.11</f>
        <v>0</v>
      </c>
      <c r="AS649" s="42">
        <f>Table43[[#This Row],[Harga Jual Pcs GT
(-PPN)]]</f>
        <v>0</v>
      </c>
      <c r="AT649" s="42">
        <f>(Table43[[#This Row],[Harga Jual Pcs MT
(-PPN)]]*Table43[[#This Row],[ISI/CTN]])</f>
        <v>0</v>
      </c>
      <c r="AU649" s="42">
        <f>Table43[[#This Row],[Harga Jual Pcs MT
(-PPN)]]*1.11</f>
        <v>0</v>
      </c>
      <c r="AV649" s="42">
        <f>Table43[[#This Row],[Harga Jual Pcs MT
(+PPN)]]*Table43[[#This Row],[ISI/CTN]]</f>
        <v>0</v>
      </c>
      <c r="AW649" s="47"/>
      <c r="AX649" s="7"/>
      <c r="AY649" s="7" t="str">
        <f ca="1">IF(TODAY()-Table43[[#This Row],[Efektif
Pembuatan]]&gt;60,"Lama","Baru")</f>
        <v>Lama</v>
      </c>
      <c r="AZ649" s="7" t="str">
        <f ca="1">IF(TODAY()-Table43[[#This Row],[Efektif Naik Harga]]&lt;30,"Naik","Sama")</f>
        <v>Sama</v>
      </c>
      <c r="BA649" s="7" t="str">
        <f>IF(Table43[[#This Row],[Kode BARANG Win2]]&lt;&gt;"","IDR","")</f>
        <v>IDR</v>
      </c>
      <c r="BB649" s="7" t="str">
        <f>CONCATENATE(Table43[[#This Row],[kode  1 Digit
(Nomor)]],Table43[[#This Row],[kode  4 Digit                (Nomor)]])</f>
        <v>10500</v>
      </c>
      <c r="BC649" s="7" t="str">
        <f>Table43[[#This Row],[Nama            Gramasi atau Jumlah Pack per CTN]]</f>
        <v>500ML</v>
      </c>
      <c r="BD649" s="7"/>
      <c r="BE649" s="7"/>
      <c r="BF649" s="4" t="str">
        <f>IF(Table43[[#This Row],[SATUAN Fix Win]]&lt;&gt;"","KRT")</f>
        <v>KRT</v>
      </c>
      <c r="BG649" s="4" t="str">
        <f>IF(Table43[[#This Row],[SATUAN Fix Win]]&lt;&gt;"","GD01")</f>
        <v>GD01</v>
      </c>
      <c r="BH649" s="4">
        <f>IF(Table43[[#This Row],[SATUAN Fix Win]]&lt;&gt;"",11611)</f>
        <v>11611</v>
      </c>
      <c r="BI649" s="4">
        <f>IF(Table43[[#This Row],[SATUAN Fix Win]]&lt;&gt;"",11612)</f>
        <v>11612</v>
      </c>
      <c r="BJ649" s="48"/>
      <c r="BK649" s="4">
        <f>IF(Table43[[#This Row],[SATUAN Fix Win]]&lt;&gt;"",1)</f>
        <v>1</v>
      </c>
    </row>
    <row r="650" spans="1:63">
      <c r="A650" s="4" t="str">
        <f>CONCATENATE(Table43[[#This Row],[Kode BARANG Win2]],Table43[[#This Row],[No. Urut
Item Sama]])</f>
        <v>K15060000900301</v>
      </c>
      <c r="B650" s="7">
        <v>1</v>
      </c>
      <c r="D650" s="28" t="s">
        <v>418</v>
      </c>
      <c r="E650" s="28"/>
      <c r="F650" s="28" t="s">
        <v>3387</v>
      </c>
      <c r="G650" s="78">
        <v>12</v>
      </c>
      <c r="H650" s="43"/>
      <c r="I650" s="28" t="str">
        <f>Table43[[#This Row],[Nama Jenis Kemasan]]</f>
        <v>PCH</v>
      </c>
      <c r="J650" s="4" t="str">
        <f>TRIM(CONCATENATE(Table43[[#This Row],[Nama            KLP]]," ",Table43[[#This Row],[Nama            Sub KLP]]))</f>
        <v>SLEEK BABY LAUNDRY DETERGENT</v>
      </c>
      <c r="K650" s="4" t="str">
        <f>CONCATENATE(Table43[[#This Row],[kode  2 Digit                (hrf+No)]],Table43[[#This Row],[kode  2 Digit                (Nomor)]],Table43[[#This Row],[kode  1 Digit                (Nomor)]])</f>
        <v>K1506</v>
      </c>
      <c r="L650" s="4" t="str">
        <f t="shared" si="30"/>
        <v>K1506000090030</v>
      </c>
      <c r="M650" s="11">
        <f t="shared" si="31"/>
        <v>14</v>
      </c>
      <c r="N650" s="14" t="str">
        <f>IF(AF650&lt;&gt;"",TRIM(UPPER(CONCATENATE(P650," ",R650," ",T650," ",V650," ",X650," ",Z650," ","X"," ",Table43[[#This Row],[ISI/CTN]]," ",AF650," ",AB650," ",AD650," ",AH650))),TRIM(UPPER(CONCATENATE(P650," ",R650," ",T650," ",V650," ",X650," ",Z650," ","X"," ",Table43[[#This Row],[ISI/CTN]]," ",AB650," ",AD650," ",AH650))))</f>
        <v>KNF SLEEK BABY LAUNDRY DETERGENT 900ML X 12 PCH</v>
      </c>
      <c r="O650" s="11">
        <f t="shared" si="32"/>
        <v>47</v>
      </c>
      <c r="P650" s="4" t="s">
        <v>97</v>
      </c>
      <c r="Q650" s="7" t="s">
        <v>98</v>
      </c>
      <c r="R650" s="4" t="s">
        <v>3559</v>
      </c>
      <c r="S650" s="44" t="s">
        <v>4016</v>
      </c>
      <c r="T650" s="45" t="s">
        <v>4027</v>
      </c>
      <c r="U650" s="7" t="s">
        <v>3607</v>
      </c>
      <c r="V650" s="45" t="s">
        <v>2961</v>
      </c>
      <c r="W650" s="44" t="s">
        <v>2900</v>
      </c>
      <c r="X650" s="4" t="s">
        <v>2961</v>
      </c>
      <c r="Y650" s="46" t="s">
        <v>2480</v>
      </c>
      <c r="Z650" s="4" t="s">
        <v>4019</v>
      </c>
      <c r="AA650" s="46" t="s">
        <v>2513</v>
      </c>
      <c r="AB650" s="4" t="s">
        <v>356</v>
      </c>
      <c r="AC650" s="7" t="s">
        <v>3590</v>
      </c>
      <c r="AD650" s="4" t="s">
        <v>2961</v>
      </c>
      <c r="AE650" s="7" t="s">
        <v>2900</v>
      </c>
      <c r="AF650" s="7" t="s">
        <v>2961</v>
      </c>
      <c r="AG650" s="7" t="s">
        <v>2961</v>
      </c>
      <c r="AI650" s="7" t="s">
        <v>4100</v>
      </c>
      <c r="AJ650" s="7" t="s">
        <v>2656</v>
      </c>
      <c r="AK650" s="41">
        <f>Table43[[#This Row],[Harga Jual Pcs GT
(-PPN)]]-(Table43[[#This Row],[Harga Jual Pcs GT
(-PPN)]]*10%)</f>
        <v>0</v>
      </c>
      <c r="AL650" s="42">
        <f>Table43[[#This Row],[Harga Beli Pcs
(-PPN)]]*Table43[[#This Row],[ISI/CTN]]</f>
        <v>0</v>
      </c>
      <c r="AM650" s="42">
        <f>Table43[[#This Row],[Harga Beli Pcs
(-PPN)]]*1.11</f>
        <v>0</v>
      </c>
      <c r="AN650" s="42">
        <f>Table43[[#This Row],[Harga Beli Krt
(- PPN)]]*1.11</f>
        <v>0</v>
      </c>
      <c r="AO650" s="42"/>
      <c r="AP650" s="42">
        <f>Table43[[#This Row],[Harga Jual Pcs GT
(-PPN)]]*Table43[[#This Row],[ISI/CTN]]</f>
        <v>0</v>
      </c>
      <c r="AQ650" s="42">
        <f>Table43[[#This Row],[Harga Jual Pcs GT
(-PPN)]]*1.11</f>
        <v>0</v>
      </c>
      <c r="AR650" s="42">
        <f>Table43[[#This Row],[Harga Jual Krt GT
(- PPN)]]*1.11</f>
        <v>0</v>
      </c>
      <c r="AS650" s="42">
        <f>Table43[[#This Row],[Harga Jual Pcs GT
(-PPN)]]</f>
        <v>0</v>
      </c>
      <c r="AT650" s="42">
        <f>(Table43[[#This Row],[Harga Jual Pcs MT
(-PPN)]]*Table43[[#This Row],[ISI/CTN]])</f>
        <v>0</v>
      </c>
      <c r="AU650" s="42">
        <f>Table43[[#This Row],[Harga Jual Pcs MT
(-PPN)]]*1.11</f>
        <v>0</v>
      </c>
      <c r="AV650" s="42">
        <f>Table43[[#This Row],[Harga Jual Pcs MT
(+PPN)]]*Table43[[#This Row],[ISI/CTN]]</f>
        <v>0</v>
      </c>
      <c r="AW650" s="47"/>
      <c r="AX650" s="7"/>
      <c r="AY650" s="7" t="str">
        <f ca="1">IF(TODAY()-Table43[[#This Row],[Efektif
Pembuatan]]&gt;60,"Lama","Baru")</f>
        <v>Lama</v>
      </c>
      <c r="AZ650" s="7" t="str">
        <f ca="1">IF(TODAY()-Table43[[#This Row],[Efektif Naik Harga]]&lt;30,"Naik","Sama")</f>
        <v>Sama</v>
      </c>
      <c r="BA650" s="7" t="str">
        <f>IF(Table43[[#This Row],[Kode BARANG Win2]]&lt;&gt;"","IDR","")</f>
        <v>IDR</v>
      </c>
      <c r="BB650" s="7" t="str">
        <f>CONCATENATE(Table43[[#This Row],[kode  1 Digit
(Nomor)]],Table43[[#This Row],[kode  4 Digit                (Nomor)]])</f>
        <v>10900</v>
      </c>
      <c r="BC650" s="7" t="str">
        <f>Table43[[#This Row],[Nama            Gramasi atau Jumlah Pack per CTN]]</f>
        <v>900ML</v>
      </c>
      <c r="BD650" s="7"/>
      <c r="BE650" s="7"/>
      <c r="BF650" s="4" t="str">
        <f>IF(Table43[[#This Row],[SATUAN Fix Win]]&lt;&gt;"","KRT")</f>
        <v>KRT</v>
      </c>
      <c r="BG650" s="4" t="str">
        <f>IF(Table43[[#This Row],[SATUAN Fix Win]]&lt;&gt;"","GD01")</f>
        <v>GD01</v>
      </c>
      <c r="BH650" s="4">
        <f>IF(Table43[[#This Row],[SATUAN Fix Win]]&lt;&gt;"",11611)</f>
        <v>11611</v>
      </c>
      <c r="BI650" s="4">
        <f>IF(Table43[[#This Row],[SATUAN Fix Win]]&lt;&gt;"",11612)</f>
        <v>11612</v>
      </c>
      <c r="BJ650" s="48"/>
      <c r="BK650" s="4">
        <f>IF(Table43[[#This Row],[SATUAN Fix Win]]&lt;&gt;"",1)</f>
        <v>1</v>
      </c>
    </row>
    <row r="651" spans="1:63">
      <c r="A651" s="4" t="str">
        <f>CONCATENATE(Table43[[#This Row],[Kode BARANG Win2]],Table43[[#This Row],[No. Urut
Item Sama]])</f>
        <v>K15060001004201</v>
      </c>
      <c r="B651" s="7">
        <v>1</v>
      </c>
      <c r="D651" s="28" t="s">
        <v>420</v>
      </c>
      <c r="E651" s="28"/>
      <c r="F651" s="28" t="s">
        <v>3388</v>
      </c>
      <c r="G651" s="78">
        <v>4</v>
      </c>
      <c r="H651" s="43"/>
      <c r="I651" s="28" t="str">
        <f>Table43[[#This Row],[Nama Jenis Kemasan]]</f>
        <v>JRG</v>
      </c>
      <c r="J651" s="4" t="str">
        <f>TRIM(CONCATENATE(Table43[[#This Row],[Nama            KLP]]," ",Table43[[#This Row],[Nama            Sub KLP]]))</f>
        <v>SLEEK BABY LAUNDRY DETERGENT</v>
      </c>
      <c r="K651" s="4" t="str">
        <f>CONCATENATE(Table43[[#This Row],[kode  2 Digit                (hrf+No)]],Table43[[#This Row],[kode  2 Digit                (Nomor)]],Table43[[#This Row],[kode  1 Digit                (Nomor)]])</f>
        <v>K1506</v>
      </c>
      <c r="L651" s="4" t="str">
        <f t="shared" si="30"/>
        <v>K1506000100420</v>
      </c>
      <c r="M651" s="11">
        <f t="shared" si="31"/>
        <v>14</v>
      </c>
      <c r="N651" s="14" t="str">
        <f>IF(AF651&lt;&gt;"",TRIM(UPPER(CONCATENATE(P651," ",R651," ",T651," ",V651," ",X651," ",Z651," ","X"," ",Table43[[#This Row],[ISI/CTN]]," ",AF651," ",AB651," ",AD651," ",AH651))),TRIM(UPPER(CONCATENATE(P651," ",R651," ",T651," ",V651," ",X651," ",Z651," ","X"," ",Table43[[#This Row],[ISI/CTN]]," ",AB651," ",AD651," ",AH651))))</f>
        <v>KNF SLEEK BABY LAUNDRY DETERGENT 4L X 4 JRG</v>
      </c>
      <c r="O651" s="11">
        <f t="shared" si="32"/>
        <v>43</v>
      </c>
      <c r="P651" s="4" t="s">
        <v>97</v>
      </c>
      <c r="Q651" s="7" t="s">
        <v>98</v>
      </c>
      <c r="R651" s="4" t="s">
        <v>3559</v>
      </c>
      <c r="S651" s="44" t="s">
        <v>4016</v>
      </c>
      <c r="T651" s="45" t="s">
        <v>4027</v>
      </c>
      <c r="U651" s="7" t="s">
        <v>3607</v>
      </c>
      <c r="V651" s="45" t="s">
        <v>2961</v>
      </c>
      <c r="W651" s="44" t="s">
        <v>2900</v>
      </c>
      <c r="X651" s="4" t="s">
        <v>2961</v>
      </c>
      <c r="Y651" s="46" t="s">
        <v>2480</v>
      </c>
      <c r="Z651" s="4" t="s">
        <v>3817</v>
      </c>
      <c r="AA651" s="46" t="s">
        <v>3818</v>
      </c>
      <c r="AB651" s="4" t="s">
        <v>358</v>
      </c>
      <c r="AC651" s="7" t="s">
        <v>3562</v>
      </c>
      <c r="AD651" s="4" t="s">
        <v>2961</v>
      </c>
      <c r="AE651" s="7" t="s">
        <v>2900</v>
      </c>
      <c r="AF651" s="7" t="s">
        <v>2961</v>
      </c>
      <c r="AG651" s="7" t="s">
        <v>2961</v>
      </c>
      <c r="AI651" s="7" t="s">
        <v>4100</v>
      </c>
      <c r="AJ651" s="7" t="s">
        <v>2656</v>
      </c>
      <c r="AK651" s="41">
        <f>Table43[[#This Row],[Harga Jual Pcs GT
(-PPN)]]-(Table43[[#This Row],[Harga Jual Pcs GT
(-PPN)]]*10%)</f>
        <v>0</v>
      </c>
      <c r="AL651" s="42">
        <f>Table43[[#This Row],[Harga Beli Pcs
(-PPN)]]*Table43[[#This Row],[ISI/CTN]]</f>
        <v>0</v>
      </c>
      <c r="AM651" s="42">
        <f>Table43[[#This Row],[Harga Beli Pcs
(-PPN)]]*1.11</f>
        <v>0</v>
      </c>
      <c r="AN651" s="42">
        <f>Table43[[#This Row],[Harga Beli Krt
(- PPN)]]*1.11</f>
        <v>0</v>
      </c>
      <c r="AO651" s="42"/>
      <c r="AP651" s="42">
        <f>Table43[[#This Row],[Harga Jual Pcs GT
(-PPN)]]*Table43[[#This Row],[ISI/CTN]]</f>
        <v>0</v>
      </c>
      <c r="AQ651" s="42">
        <f>Table43[[#This Row],[Harga Jual Pcs GT
(-PPN)]]*1.11</f>
        <v>0</v>
      </c>
      <c r="AR651" s="42">
        <f>Table43[[#This Row],[Harga Jual Krt GT
(- PPN)]]*1.11</f>
        <v>0</v>
      </c>
      <c r="AS651" s="42">
        <f>Table43[[#This Row],[Harga Jual Pcs GT
(-PPN)]]</f>
        <v>0</v>
      </c>
      <c r="AT651" s="42">
        <f>(Table43[[#This Row],[Harga Jual Pcs MT
(-PPN)]]*Table43[[#This Row],[ISI/CTN]])</f>
        <v>0</v>
      </c>
      <c r="AU651" s="42">
        <f>Table43[[#This Row],[Harga Jual Pcs MT
(-PPN)]]*1.11</f>
        <v>0</v>
      </c>
      <c r="AV651" s="42">
        <f>Table43[[#This Row],[Harga Jual Pcs MT
(+PPN)]]*Table43[[#This Row],[ISI/CTN]]</f>
        <v>0</v>
      </c>
      <c r="AW651" s="47"/>
      <c r="AX651" s="7"/>
      <c r="AY651" s="7" t="str">
        <f ca="1">IF(TODAY()-Table43[[#This Row],[Efektif
Pembuatan]]&gt;60,"Lama","Baru")</f>
        <v>Lama</v>
      </c>
      <c r="AZ651" s="7" t="str">
        <f ca="1">IF(TODAY()-Table43[[#This Row],[Efektif Naik Harga]]&lt;30,"Naik","Sama")</f>
        <v>Sama</v>
      </c>
      <c r="BA651" s="7" t="str">
        <f>IF(Table43[[#This Row],[Kode BARANG Win2]]&lt;&gt;"","IDR","")</f>
        <v>IDR</v>
      </c>
      <c r="BB651" s="7" t="str">
        <f>CONCATENATE(Table43[[#This Row],[kode  1 Digit
(Nomor)]],Table43[[#This Row],[kode  4 Digit                (Nomor)]])</f>
        <v>11004</v>
      </c>
      <c r="BC651" s="7" t="str">
        <f>Table43[[#This Row],[Nama            Gramasi atau Jumlah Pack per CTN]]</f>
        <v>4L</v>
      </c>
      <c r="BD651" s="7"/>
      <c r="BE651" s="7"/>
      <c r="BF651" s="4" t="str">
        <f>IF(Table43[[#This Row],[SATUAN Fix Win]]&lt;&gt;"","KRT")</f>
        <v>KRT</v>
      </c>
      <c r="BG651" s="4" t="str">
        <f>IF(Table43[[#This Row],[SATUAN Fix Win]]&lt;&gt;"","GD01")</f>
        <v>GD01</v>
      </c>
      <c r="BH651" s="4">
        <f>IF(Table43[[#This Row],[SATUAN Fix Win]]&lt;&gt;"",11611)</f>
        <v>11611</v>
      </c>
      <c r="BI651" s="4">
        <f>IF(Table43[[#This Row],[SATUAN Fix Win]]&lt;&gt;"",11612)</f>
        <v>11612</v>
      </c>
      <c r="BJ651" s="48"/>
      <c r="BK651" s="4">
        <f>IF(Table43[[#This Row],[SATUAN Fix Win]]&lt;&gt;"",1)</f>
        <v>1</v>
      </c>
    </row>
    <row r="652" spans="1:63">
      <c r="A652" s="4" t="str">
        <f>CONCATENATE(Table43[[#This Row],[Kode BARANG Win2]],Table43[[#This Row],[No. Urut
Item Sama]])</f>
        <v>K15060001200102</v>
      </c>
      <c r="B652" s="7">
        <v>2</v>
      </c>
      <c r="D652" s="28" t="s">
        <v>419</v>
      </c>
      <c r="E652" s="28"/>
      <c r="F652" s="28" t="s">
        <v>3389</v>
      </c>
      <c r="G652" s="78">
        <v>6</v>
      </c>
      <c r="H652" s="43"/>
      <c r="I652" s="28" t="str">
        <f>Table43[[#This Row],[Nama Jenis Kemasan]]</f>
        <v>BTL</v>
      </c>
      <c r="J652" s="4" t="str">
        <f>TRIM(CONCATENATE(Table43[[#This Row],[Nama            KLP]]," ",Table43[[#This Row],[Nama            Sub KLP]]))</f>
        <v>SLEEK BABY LAUNDRY DETERGENT</v>
      </c>
      <c r="K652" s="4" t="str">
        <f>CONCATENATE(Table43[[#This Row],[kode  2 Digit                (hrf+No)]],Table43[[#This Row],[kode  2 Digit                (Nomor)]],Table43[[#This Row],[kode  1 Digit                (Nomor)]])</f>
        <v>K1506</v>
      </c>
      <c r="L652" s="4" t="str">
        <f t="shared" si="30"/>
        <v>K1506000120010</v>
      </c>
      <c r="M652" s="11">
        <f t="shared" si="31"/>
        <v>14</v>
      </c>
      <c r="N652" s="14" t="str">
        <f>IF(AF652&lt;&gt;"",TRIM(UPPER(CONCATENATE(P652," ",R652," ",T652," ",V652," ",X652," ",Z652," ","X"," ",Table43[[#This Row],[ISI/CTN]]," ",AF652," ",AB652," ",AD652," ",AH652))),TRIM(UPPER(CONCATENATE(P652," ",R652," ",T652," ",V652," ",X652," ",Z652," ","X"," ",Table43[[#This Row],[ISI/CTN]]," ",AB652," ",AD652," ",AH652))))</f>
        <v>KNF SLEEK BABY LAUNDRY DETERGENT 1200ML X 6 BTL</v>
      </c>
      <c r="O652" s="11">
        <f t="shared" si="32"/>
        <v>47</v>
      </c>
      <c r="P652" s="4" t="s">
        <v>97</v>
      </c>
      <c r="Q652" s="7" t="s">
        <v>98</v>
      </c>
      <c r="R652" s="4" t="s">
        <v>3559</v>
      </c>
      <c r="S652" s="44" t="s">
        <v>4016</v>
      </c>
      <c r="T652" s="45" t="s">
        <v>4027</v>
      </c>
      <c r="U652" s="7" t="s">
        <v>3607</v>
      </c>
      <c r="V652" s="45" t="s">
        <v>2961</v>
      </c>
      <c r="W652" s="44" t="s">
        <v>2900</v>
      </c>
      <c r="X652" s="4" t="s">
        <v>2961</v>
      </c>
      <c r="Y652" s="46" t="s">
        <v>2480</v>
      </c>
      <c r="Z652" s="4" t="s">
        <v>4029</v>
      </c>
      <c r="AA652" s="46" t="s">
        <v>4030</v>
      </c>
      <c r="AB652" s="4" t="s">
        <v>357</v>
      </c>
      <c r="AC652" s="7" t="s">
        <v>2656</v>
      </c>
      <c r="AD652" s="4" t="s">
        <v>2961</v>
      </c>
      <c r="AE652" s="7" t="s">
        <v>2900</v>
      </c>
      <c r="AF652" s="7" t="s">
        <v>2961</v>
      </c>
      <c r="AG652" s="7" t="s">
        <v>2961</v>
      </c>
      <c r="AI652" s="7" t="s">
        <v>4100</v>
      </c>
      <c r="AJ652" s="7" t="s">
        <v>2656</v>
      </c>
      <c r="AK652" s="41">
        <f>Table43[[#This Row],[Harga Jual Pcs GT
(-PPN)]]-(Table43[[#This Row],[Harga Jual Pcs GT
(-PPN)]]*10%)</f>
        <v>0</v>
      </c>
      <c r="AL652" s="42">
        <f>Table43[[#This Row],[Harga Beli Pcs
(-PPN)]]*Table43[[#This Row],[ISI/CTN]]</f>
        <v>0</v>
      </c>
      <c r="AM652" s="42">
        <f>Table43[[#This Row],[Harga Beli Pcs
(-PPN)]]*1.11</f>
        <v>0</v>
      </c>
      <c r="AN652" s="42">
        <f>Table43[[#This Row],[Harga Beli Krt
(- PPN)]]*1.11</f>
        <v>0</v>
      </c>
      <c r="AO652" s="42"/>
      <c r="AP652" s="42">
        <f>Table43[[#This Row],[Harga Jual Pcs GT
(-PPN)]]*Table43[[#This Row],[ISI/CTN]]</f>
        <v>0</v>
      </c>
      <c r="AQ652" s="42">
        <f>Table43[[#This Row],[Harga Jual Pcs GT
(-PPN)]]*1.11</f>
        <v>0</v>
      </c>
      <c r="AR652" s="42">
        <f>Table43[[#This Row],[Harga Jual Krt GT
(- PPN)]]*1.11</f>
        <v>0</v>
      </c>
      <c r="AS652" s="42">
        <f>Table43[[#This Row],[Harga Jual Pcs GT
(-PPN)]]</f>
        <v>0</v>
      </c>
      <c r="AT652" s="42">
        <f>(Table43[[#This Row],[Harga Jual Pcs MT
(-PPN)]]*Table43[[#This Row],[ISI/CTN]])</f>
        <v>0</v>
      </c>
      <c r="AU652" s="42">
        <f>Table43[[#This Row],[Harga Jual Pcs MT
(-PPN)]]*1.11</f>
        <v>0</v>
      </c>
      <c r="AV652" s="42">
        <f>Table43[[#This Row],[Harga Jual Pcs MT
(+PPN)]]*Table43[[#This Row],[ISI/CTN]]</f>
        <v>0</v>
      </c>
      <c r="AW652" s="47"/>
      <c r="AX652" s="7"/>
      <c r="AY652" s="7" t="str">
        <f ca="1">IF(TODAY()-Table43[[#This Row],[Efektif
Pembuatan]]&gt;60,"Lama","Baru")</f>
        <v>Lama</v>
      </c>
      <c r="AZ652" s="7" t="str">
        <f ca="1">IF(TODAY()-Table43[[#This Row],[Efektif Naik Harga]]&lt;30,"Naik","Sama")</f>
        <v>Sama</v>
      </c>
      <c r="BA652" s="7" t="str">
        <f>IF(Table43[[#This Row],[Kode BARANG Win2]]&lt;&gt;"","IDR","")</f>
        <v>IDR</v>
      </c>
      <c r="BB652" s="7" t="str">
        <f>CONCATENATE(Table43[[#This Row],[kode  1 Digit
(Nomor)]],Table43[[#This Row],[kode  4 Digit                (Nomor)]])</f>
        <v>11200</v>
      </c>
      <c r="BC652" s="7" t="str">
        <f>Table43[[#This Row],[Nama            Gramasi atau Jumlah Pack per CTN]]</f>
        <v>1200ML</v>
      </c>
      <c r="BD652" s="7"/>
      <c r="BE652" s="7"/>
      <c r="BF652" s="4" t="str">
        <f>IF(Table43[[#This Row],[SATUAN Fix Win]]&lt;&gt;"","KRT")</f>
        <v>KRT</v>
      </c>
      <c r="BG652" s="4" t="str">
        <f>IF(Table43[[#This Row],[SATUAN Fix Win]]&lt;&gt;"","GD01")</f>
        <v>GD01</v>
      </c>
      <c r="BH652" s="4">
        <f>IF(Table43[[#This Row],[SATUAN Fix Win]]&lt;&gt;"",11611)</f>
        <v>11611</v>
      </c>
      <c r="BI652" s="4">
        <f>IF(Table43[[#This Row],[SATUAN Fix Win]]&lt;&gt;"",11612)</f>
        <v>11612</v>
      </c>
      <c r="BJ652" s="48"/>
      <c r="BK652" s="4">
        <f>IF(Table43[[#This Row],[SATUAN Fix Win]]&lt;&gt;"",1)</f>
        <v>1</v>
      </c>
    </row>
    <row r="653" spans="1:63">
      <c r="A653" s="4" t="str">
        <f>CONCATENATE(Table43[[#This Row],[Kode BARANG Win2]],Table43[[#This Row],[No. Urut
Item Sama]])</f>
        <v>K15070000150201</v>
      </c>
      <c r="B653" s="7">
        <v>1</v>
      </c>
      <c r="D653" s="28" t="s">
        <v>4040</v>
      </c>
      <c r="E653" s="28"/>
      <c r="F653" s="28">
        <v>0</v>
      </c>
      <c r="G653" s="78">
        <v>40</v>
      </c>
      <c r="H653" s="43"/>
      <c r="I653" s="28" t="str">
        <f>Table43[[#This Row],[Nama Jenis Kemasan]]</f>
        <v>BTL</v>
      </c>
      <c r="J653" s="4" t="str">
        <f>TRIM(CONCATENATE(Table43[[#This Row],[Nama            KLP]]," ",Table43[[#This Row],[Nama            Sub KLP]]))</f>
        <v>SLEEK BABY SOFTENER</v>
      </c>
      <c r="K653" s="4" t="str">
        <f>CONCATENATE(Table43[[#This Row],[kode  2 Digit                (hrf+No)]],Table43[[#This Row],[kode  2 Digit                (Nomor)]],Table43[[#This Row],[kode  1 Digit                (Nomor)]])</f>
        <v>K1507</v>
      </c>
      <c r="L653" s="4" t="str">
        <f t="shared" si="30"/>
        <v>K1507000015020</v>
      </c>
      <c r="M653" s="11">
        <f t="shared" si="31"/>
        <v>14</v>
      </c>
      <c r="N653" s="14" t="str">
        <f>IF(AF653&lt;&gt;"",TRIM(UPPER(CONCATENATE(P653," ",R653," ",T653," ",V653," ",X653," ",Z653," ","X"," ",Table43[[#This Row],[ISI/CTN]]," ",AF653," ",AB653," ",AD653," ",AH653))),TRIM(UPPER(CONCATENATE(P653," ",R653," ",T653," ",V653," ",X653," ",Z653," ","X"," ",Table43[[#This Row],[ISI/CTN]]," ",AB653," ",AD653," ",AH653))))</f>
        <v>KNF SLEEK BABY SOFTENER 150ML X 40 BTL</v>
      </c>
      <c r="O653" s="11">
        <f t="shared" si="32"/>
        <v>38</v>
      </c>
      <c r="P653" s="4" t="s">
        <v>97</v>
      </c>
      <c r="Q653" s="7" t="s">
        <v>98</v>
      </c>
      <c r="R653" s="4" t="s">
        <v>3559</v>
      </c>
      <c r="S653" s="44" t="s">
        <v>4016</v>
      </c>
      <c r="T653" s="45" t="s">
        <v>4031</v>
      </c>
      <c r="U653" s="7" t="s">
        <v>3619</v>
      </c>
      <c r="V653" s="45" t="s">
        <v>2961</v>
      </c>
      <c r="W653" s="44" t="s">
        <v>2900</v>
      </c>
      <c r="X653" s="4" t="s">
        <v>2961</v>
      </c>
      <c r="Y653" s="46" t="s">
        <v>2480</v>
      </c>
      <c r="Z653" s="4" t="s">
        <v>2464</v>
      </c>
      <c r="AA653" s="46" t="s">
        <v>2482</v>
      </c>
      <c r="AB653" s="4" t="s">
        <v>357</v>
      </c>
      <c r="AC653" s="7" t="s">
        <v>3562</v>
      </c>
      <c r="AD653" s="4" t="s">
        <v>2961</v>
      </c>
      <c r="AE653" s="7" t="s">
        <v>2900</v>
      </c>
      <c r="AF653" s="7" t="s">
        <v>2961</v>
      </c>
      <c r="AG653" s="7" t="s">
        <v>2961</v>
      </c>
      <c r="AI653" s="7" t="s">
        <v>4100</v>
      </c>
      <c r="AJ653" s="7" t="s">
        <v>2656</v>
      </c>
      <c r="AK653" s="41">
        <f>Table43[[#This Row],[Harga Jual Pcs GT
(-PPN)]]-(Table43[[#This Row],[Harga Jual Pcs GT
(-PPN)]]*10%)</f>
        <v>0</v>
      </c>
      <c r="AL653" s="42">
        <f>Table43[[#This Row],[Harga Beli Pcs
(-PPN)]]*Table43[[#This Row],[ISI/CTN]]</f>
        <v>0</v>
      </c>
      <c r="AM653" s="42">
        <f>Table43[[#This Row],[Harga Beli Pcs
(-PPN)]]*1.11</f>
        <v>0</v>
      </c>
      <c r="AN653" s="42">
        <f>Table43[[#This Row],[Harga Beli Krt
(- PPN)]]*1.11</f>
        <v>0</v>
      </c>
      <c r="AO653" s="42"/>
      <c r="AP653" s="42">
        <f>Table43[[#This Row],[Harga Jual Pcs GT
(-PPN)]]*Table43[[#This Row],[ISI/CTN]]</f>
        <v>0</v>
      </c>
      <c r="AQ653" s="42">
        <f>Table43[[#This Row],[Harga Jual Pcs GT
(-PPN)]]*1.11</f>
        <v>0</v>
      </c>
      <c r="AR653" s="42">
        <f>Table43[[#This Row],[Harga Jual Krt GT
(- PPN)]]*1.11</f>
        <v>0</v>
      </c>
      <c r="AS653" s="42">
        <f>Table43[[#This Row],[Harga Jual Pcs GT
(-PPN)]]</f>
        <v>0</v>
      </c>
      <c r="AT653" s="42">
        <f>(Table43[[#This Row],[Harga Jual Pcs MT
(-PPN)]]*Table43[[#This Row],[ISI/CTN]])</f>
        <v>0</v>
      </c>
      <c r="AU653" s="42">
        <f>Table43[[#This Row],[Harga Jual Pcs MT
(-PPN)]]*1.11</f>
        <v>0</v>
      </c>
      <c r="AV653" s="42">
        <f>Table43[[#This Row],[Harga Jual Pcs MT
(+PPN)]]*Table43[[#This Row],[ISI/CTN]]</f>
        <v>0</v>
      </c>
      <c r="AW653" s="47"/>
      <c r="AX653" s="7"/>
      <c r="AY653" s="7" t="str">
        <f ca="1">IF(TODAY()-Table43[[#This Row],[Efektif
Pembuatan]]&gt;60,"Lama","Baru")</f>
        <v>Lama</v>
      </c>
      <c r="AZ653" s="7" t="str">
        <f ca="1">IF(TODAY()-Table43[[#This Row],[Efektif Naik Harga]]&lt;30,"Naik","Sama")</f>
        <v>Sama</v>
      </c>
      <c r="BA653" s="7" t="str">
        <f>IF(Table43[[#This Row],[Kode BARANG Win2]]&lt;&gt;"","IDR","")</f>
        <v>IDR</v>
      </c>
      <c r="BB653" s="7" t="str">
        <f>CONCATENATE(Table43[[#This Row],[kode  1 Digit
(Nomor)]],Table43[[#This Row],[kode  4 Digit                (Nomor)]])</f>
        <v>10150</v>
      </c>
      <c r="BC653" s="7" t="str">
        <f>Table43[[#This Row],[Nama            Gramasi atau Jumlah Pack per CTN]]</f>
        <v>150ML</v>
      </c>
      <c r="BD653" s="7"/>
      <c r="BE653" s="7"/>
      <c r="BF653" s="4" t="str">
        <f>IF(Table43[[#This Row],[SATUAN Fix Win]]&lt;&gt;"","KRT")</f>
        <v>KRT</v>
      </c>
      <c r="BG653" s="4" t="str">
        <f>IF(Table43[[#This Row],[SATUAN Fix Win]]&lt;&gt;"","GD01")</f>
        <v>GD01</v>
      </c>
      <c r="BH653" s="4">
        <f>IF(Table43[[#This Row],[SATUAN Fix Win]]&lt;&gt;"",11611)</f>
        <v>11611</v>
      </c>
      <c r="BI653" s="4">
        <f>IF(Table43[[#This Row],[SATUAN Fix Win]]&lt;&gt;"",11612)</f>
        <v>11612</v>
      </c>
      <c r="BJ653" s="48"/>
      <c r="BK653" s="4">
        <f>IF(Table43[[#This Row],[SATUAN Fix Win]]&lt;&gt;"",1)</f>
        <v>1</v>
      </c>
    </row>
    <row r="654" spans="1:63">
      <c r="A654" s="4" t="str">
        <f>CONCATENATE(Table43[[#This Row],[Kode BARANG Win2]],Table43[[#This Row],[No. Urut
Item Sama]])</f>
        <v>K15070000430101</v>
      </c>
      <c r="B654" s="7">
        <v>1</v>
      </c>
      <c r="D654" s="78">
        <v>203048</v>
      </c>
      <c r="E654" s="28"/>
      <c r="F654" s="28">
        <v>0</v>
      </c>
      <c r="G654" s="78">
        <v>12</v>
      </c>
      <c r="H654" s="43"/>
      <c r="I654" s="28" t="str">
        <f>Table43[[#This Row],[Nama Jenis Kemasan]]</f>
        <v>PCH</v>
      </c>
      <c r="J654" s="4" t="str">
        <f>TRIM(CONCATENATE(Table43[[#This Row],[Nama            KLP]]," ",Table43[[#This Row],[Nama            Sub KLP]]))</f>
        <v>SLEEK BABY SOFTENER</v>
      </c>
      <c r="K654" s="4" t="str">
        <f>CONCATENATE(Table43[[#This Row],[kode  2 Digit                (hrf+No)]],Table43[[#This Row],[kode  2 Digit                (Nomor)]],Table43[[#This Row],[kode  1 Digit                (Nomor)]])</f>
        <v>K1507</v>
      </c>
      <c r="L654" s="4" t="str">
        <f t="shared" ref="L654:L656" si="33">IF(AG654="",CONCATENATE(Q654,S654,U654,W654,Y654,AA654,AC654,AE654),CONCATENATE(Q654,S654,U654,W654,Y654,AA654,AC654,AG654))</f>
        <v>K1507000043010</v>
      </c>
      <c r="M654" s="11">
        <f t="shared" ref="M654:M656" si="34">LEN(L654)</f>
        <v>14</v>
      </c>
      <c r="N654" s="14" t="str">
        <f>IF(AF654&lt;&gt;"",TRIM(UPPER(CONCATENATE(P654," ",R654," ",T654," ",V654," ",X654," ",Z654," ","X"," ",Table43[[#This Row],[ISI/CTN]]," ",AF654," ",AB654," ",AD654," ",AH654))),TRIM(UPPER(CONCATENATE(P654," ",R654," ",T654," ",V654," ",X654," ",Z654," ","X"," ",Table43[[#This Row],[ISI/CTN]]," ",AB654," ",AD654," ",AH654))))</f>
        <v>KNF SLEEK BABY SOFTENER 430ML X 12 PCH</v>
      </c>
      <c r="O654" s="11">
        <f t="shared" ref="O654:O656" si="35">LEN(N654)</f>
        <v>38</v>
      </c>
      <c r="P654" s="4" t="s">
        <v>97</v>
      </c>
      <c r="Q654" s="7" t="s">
        <v>98</v>
      </c>
      <c r="R654" s="4" t="s">
        <v>3559</v>
      </c>
      <c r="S654" s="44" t="s">
        <v>4016</v>
      </c>
      <c r="T654" s="45" t="s">
        <v>4031</v>
      </c>
      <c r="U654" s="7" t="s">
        <v>3619</v>
      </c>
      <c r="V654" s="45" t="s">
        <v>2961</v>
      </c>
      <c r="W654" s="44" t="s">
        <v>2900</v>
      </c>
      <c r="X654" s="4" t="s">
        <v>2961</v>
      </c>
      <c r="Y654" s="46" t="s">
        <v>2480</v>
      </c>
      <c r="Z654" s="4" t="s">
        <v>4032</v>
      </c>
      <c r="AA654" s="46" t="s">
        <v>4033</v>
      </c>
      <c r="AB654" s="4" t="s">
        <v>356</v>
      </c>
      <c r="AC654" s="7" t="s">
        <v>2656</v>
      </c>
      <c r="AD654" s="4" t="s">
        <v>2961</v>
      </c>
      <c r="AE654" s="7" t="s">
        <v>2900</v>
      </c>
      <c r="AF654" s="7" t="s">
        <v>2961</v>
      </c>
      <c r="AG654" s="7" t="s">
        <v>2961</v>
      </c>
      <c r="AI654" s="7" t="s">
        <v>4100</v>
      </c>
      <c r="AJ654" s="7" t="s">
        <v>2656</v>
      </c>
      <c r="AK654" s="41">
        <f>Table43[[#This Row],[Harga Jual Pcs GT
(-PPN)]]-(Table43[[#This Row],[Harga Jual Pcs GT
(-PPN)]]*10%)</f>
        <v>0</v>
      </c>
      <c r="AL654" s="42">
        <f>Table43[[#This Row],[Harga Beli Pcs
(-PPN)]]*Table43[[#This Row],[ISI/CTN]]</f>
        <v>0</v>
      </c>
      <c r="AM654" s="42">
        <f>Table43[[#This Row],[Harga Beli Pcs
(-PPN)]]*1.11</f>
        <v>0</v>
      </c>
      <c r="AN654" s="42">
        <f>Table43[[#This Row],[Harga Beli Krt
(- PPN)]]*1.11</f>
        <v>0</v>
      </c>
      <c r="AO654" s="42"/>
      <c r="AP654" s="42">
        <f>Table43[[#This Row],[Harga Jual Pcs GT
(-PPN)]]*Table43[[#This Row],[ISI/CTN]]</f>
        <v>0</v>
      </c>
      <c r="AQ654" s="42">
        <f>Table43[[#This Row],[Harga Jual Pcs GT
(-PPN)]]*1.11</f>
        <v>0</v>
      </c>
      <c r="AR654" s="42">
        <f>Table43[[#This Row],[Harga Jual Krt GT
(- PPN)]]*1.11</f>
        <v>0</v>
      </c>
      <c r="AS654" s="42">
        <f>Table43[[#This Row],[Harga Jual Pcs GT
(-PPN)]]</f>
        <v>0</v>
      </c>
      <c r="AT654" s="42">
        <f>(Table43[[#This Row],[Harga Jual Pcs MT
(-PPN)]]*Table43[[#This Row],[ISI/CTN]])</f>
        <v>0</v>
      </c>
      <c r="AU654" s="42">
        <f>Table43[[#This Row],[Harga Jual Pcs MT
(-PPN)]]*1.11</f>
        <v>0</v>
      </c>
      <c r="AV654" s="42">
        <f>Table43[[#This Row],[Harga Jual Pcs MT
(+PPN)]]*Table43[[#This Row],[ISI/CTN]]</f>
        <v>0</v>
      </c>
      <c r="AW654" s="47"/>
      <c r="AX654" s="7"/>
      <c r="AY654" s="7" t="str">
        <f ca="1">IF(TODAY()-Table43[[#This Row],[Efektif
Pembuatan]]&gt;60,"Lama","Baru")</f>
        <v>Lama</v>
      </c>
      <c r="AZ654" s="7" t="str">
        <f ca="1">IF(TODAY()-Table43[[#This Row],[Efektif Naik Harga]]&lt;30,"Naik","Sama")</f>
        <v>Sama</v>
      </c>
      <c r="BA654" s="7" t="str">
        <f>IF(Table43[[#This Row],[Kode BARANG Win2]]&lt;&gt;"","IDR","")</f>
        <v>IDR</v>
      </c>
      <c r="BB654" s="7" t="str">
        <f>CONCATENATE(Table43[[#This Row],[kode  1 Digit
(Nomor)]],Table43[[#This Row],[kode  4 Digit                (Nomor)]])</f>
        <v>10430</v>
      </c>
      <c r="BC654" s="7" t="str">
        <f>Table43[[#This Row],[Nama            Gramasi atau Jumlah Pack per CTN]]</f>
        <v>430ML</v>
      </c>
      <c r="BD654" s="7"/>
      <c r="BE654" s="7"/>
      <c r="BF654" s="4" t="str">
        <f>IF(Table43[[#This Row],[SATUAN Fix Win]]&lt;&gt;"","KRT")</f>
        <v>KRT</v>
      </c>
      <c r="BG654" s="4" t="str">
        <f>IF(Table43[[#This Row],[SATUAN Fix Win]]&lt;&gt;"","GD01")</f>
        <v>GD01</v>
      </c>
      <c r="BH654" s="4">
        <f>IF(Table43[[#This Row],[SATUAN Fix Win]]&lt;&gt;"",11611)</f>
        <v>11611</v>
      </c>
      <c r="BI654" s="4">
        <f>IF(Table43[[#This Row],[SATUAN Fix Win]]&lt;&gt;"",11612)</f>
        <v>11612</v>
      </c>
      <c r="BJ654" s="48"/>
      <c r="BK654" s="4">
        <f>IF(Table43[[#This Row],[SATUAN Fix Win]]&lt;&gt;"",1)</f>
        <v>1</v>
      </c>
    </row>
    <row r="655" spans="1:63">
      <c r="A655" s="4" t="str">
        <f>CONCATENATE(Table43[[#This Row],[Kode BARANG Win2]],Table43[[#This Row],[No. Urut
Item Sama]])</f>
        <v>K15070000750101</v>
      </c>
      <c r="B655" s="7">
        <v>1</v>
      </c>
      <c r="D655" s="28" t="s">
        <v>4041</v>
      </c>
      <c r="E655" s="28"/>
      <c r="F655" s="28">
        <v>0</v>
      </c>
      <c r="G655" s="78">
        <v>12</v>
      </c>
      <c r="H655" s="43"/>
      <c r="I655" s="28" t="str">
        <f>Table43[[#This Row],[Nama Jenis Kemasan]]</f>
        <v>PCH</v>
      </c>
      <c r="J655" s="4" t="str">
        <f>TRIM(CONCATENATE(Table43[[#This Row],[Nama            KLP]]," ",Table43[[#This Row],[Nama            Sub KLP]]))</f>
        <v>SLEEK BABY SOFTENER</v>
      </c>
      <c r="K655" s="4" t="str">
        <f>CONCATENATE(Table43[[#This Row],[kode  2 Digit                (hrf+No)]],Table43[[#This Row],[kode  2 Digit                (Nomor)]],Table43[[#This Row],[kode  1 Digit                (Nomor)]])</f>
        <v>K1507</v>
      </c>
      <c r="L655" s="4" t="str">
        <f t="shared" si="33"/>
        <v>K1507000075010</v>
      </c>
      <c r="M655" s="11">
        <f t="shared" si="34"/>
        <v>14</v>
      </c>
      <c r="N655" s="14" t="str">
        <f>IF(AF655&lt;&gt;"",TRIM(UPPER(CONCATENATE(P655," ",R655," ",T655," ",V655," ",X655," ",Z655," ","X"," ",Table43[[#This Row],[ISI/CTN]]," ",AF655," ",AB655," ",AD655," ",AH655))),TRIM(UPPER(CONCATENATE(P655," ",R655," ",T655," ",V655," ",X655," ",Z655," ","X"," ",Table43[[#This Row],[ISI/CTN]]," ",AB655," ",AD655," ",AH655))))</f>
        <v>KNF SLEEK BABY SOFTENER 750ML X 12 PCH</v>
      </c>
      <c r="O655" s="11">
        <f t="shared" si="35"/>
        <v>38</v>
      </c>
      <c r="P655" s="4" t="s">
        <v>97</v>
      </c>
      <c r="Q655" s="7" t="s">
        <v>98</v>
      </c>
      <c r="R655" s="4" t="s">
        <v>3559</v>
      </c>
      <c r="S655" s="44" t="s">
        <v>4016</v>
      </c>
      <c r="T655" s="45" t="s">
        <v>4031</v>
      </c>
      <c r="U655" s="7" t="s">
        <v>3619</v>
      </c>
      <c r="V655" s="45" t="s">
        <v>2961</v>
      </c>
      <c r="W655" s="44" t="s">
        <v>2900</v>
      </c>
      <c r="X655" s="4" t="s">
        <v>2961</v>
      </c>
      <c r="Y655" s="46" t="s">
        <v>2480</v>
      </c>
      <c r="Z655" s="4" t="s">
        <v>4034</v>
      </c>
      <c r="AA655" s="46" t="s">
        <v>4035</v>
      </c>
      <c r="AB655" s="4" t="s">
        <v>356</v>
      </c>
      <c r="AC655" s="7" t="s">
        <v>2656</v>
      </c>
      <c r="AD655" s="4" t="s">
        <v>2961</v>
      </c>
      <c r="AE655" s="7" t="s">
        <v>2900</v>
      </c>
      <c r="AF655" s="7" t="s">
        <v>2961</v>
      </c>
      <c r="AG655" s="7" t="s">
        <v>2961</v>
      </c>
      <c r="AI655" s="7" t="s">
        <v>4100</v>
      </c>
      <c r="AJ655" s="7" t="s">
        <v>2656</v>
      </c>
      <c r="AK655" s="41">
        <f>Table43[[#This Row],[Harga Jual Pcs GT
(-PPN)]]-(Table43[[#This Row],[Harga Jual Pcs GT
(-PPN)]]*10%)</f>
        <v>0</v>
      </c>
      <c r="AL655" s="42">
        <f>Table43[[#This Row],[Harga Beli Pcs
(-PPN)]]*Table43[[#This Row],[ISI/CTN]]</f>
        <v>0</v>
      </c>
      <c r="AM655" s="42">
        <f>Table43[[#This Row],[Harga Beli Pcs
(-PPN)]]*1.11</f>
        <v>0</v>
      </c>
      <c r="AN655" s="42">
        <f>Table43[[#This Row],[Harga Beli Krt
(- PPN)]]*1.11</f>
        <v>0</v>
      </c>
      <c r="AO655" s="42"/>
      <c r="AP655" s="42">
        <f>Table43[[#This Row],[Harga Jual Pcs GT
(-PPN)]]*Table43[[#This Row],[ISI/CTN]]</f>
        <v>0</v>
      </c>
      <c r="AQ655" s="42">
        <f>Table43[[#This Row],[Harga Jual Pcs GT
(-PPN)]]*1.11</f>
        <v>0</v>
      </c>
      <c r="AR655" s="42">
        <f>Table43[[#This Row],[Harga Jual Krt GT
(- PPN)]]*1.11</f>
        <v>0</v>
      </c>
      <c r="AS655" s="42">
        <f>Table43[[#This Row],[Harga Jual Pcs GT
(-PPN)]]</f>
        <v>0</v>
      </c>
      <c r="AT655" s="42">
        <f>(Table43[[#This Row],[Harga Jual Pcs MT
(-PPN)]]*Table43[[#This Row],[ISI/CTN]])</f>
        <v>0</v>
      </c>
      <c r="AU655" s="42">
        <f>Table43[[#This Row],[Harga Jual Pcs MT
(-PPN)]]*1.11</f>
        <v>0</v>
      </c>
      <c r="AV655" s="42">
        <f>Table43[[#This Row],[Harga Jual Pcs MT
(+PPN)]]*Table43[[#This Row],[ISI/CTN]]</f>
        <v>0</v>
      </c>
      <c r="AW655" s="47"/>
      <c r="AX655" s="7"/>
      <c r="AY655" s="7" t="str">
        <f ca="1">IF(TODAY()-Table43[[#This Row],[Efektif
Pembuatan]]&gt;60,"Lama","Baru")</f>
        <v>Lama</v>
      </c>
      <c r="AZ655" s="7" t="str">
        <f ca="1">IF(TODAY()-Table43[[#This Row],[Efektif Naik Harga]]&lt;30,"Naik","Sama")</f>
        <v>Sama</v>
      </c>
      <c r="BA655" s="7" t="str">
        <f>IF(Table43[[#This Row],[Kode BARANG Win2]]&lt;&gt;"","IDR","")</f>
        <v>IDR</v>
      </c>
      <c r="BB655" s="7" t="str">
        <f>CONCATENATE(Table43[[#This Row],[kode  1 Digit
(Nomor)]],Table43[[#This Row],[kode  4 Digit                (Nomor)]])</f>
        <v>10750</v>
      </c>
      <c r="BC655" s="7" t="str">
        <f>Table43[[#This Row],[Nama            Gramasi atau Jumlah Pack per CTN]]</f>
        <v>750ML</v>
      </c>
      <c r="BD655" s="7"/>
      <c r="BE655" s="7"/>
      <c r="BF655" s="4" t="str">
        <f>IF(Table43[[#This Row],[SATUAN Fix Win]]&lt;&gt;"","KRT")</f>
        <v>KRT</v>
      </c>
      <c r="BG655" s="4" t="str">
        <f>IF(Table43[[#This Row],[SATUAN Fix Win]]&lt;&gt;"","GD01")</f>
        <v>GD01</v>
      </c>
      <c r="BH655" s="4">
        <f>IF(Table43[[#This Row],[SATUAN Fix Win]]&lt;&gt;"",11611)</f>
        <v>11611</v>
      </c>
      <c r="BI655" s="4">
        <f>IF(Table43[[#This Row],[SATUAN Fix Win]]&lt;&gt;"",11612)</f>
        <v>11612</v>
      </c>
      <c r="BJ655" s="48"/>
      <c r="BK655" s="4">
        <f>IF(Table43[[#This Row],[SATUAN Fix Win]]&lt;&gt;"",1)</f>
        <v>1</v>
      </c>
    </row>
    <row r="656" spans="1:63">
      <c r="A656" s="4" t="str">
        <f>CONCATENATE(Table43[[#This Row],[Kode BARANG Win2]],Table43[[#This Row],[No. Urut
Item Sama]])</f>
        <v>K15100010100101</v>
      </c>
      <c r="B656" s="7">
        <v>1</v>
      </c>
      <c r="D656" s="28" t="s">
        <v>438</v>
      </c>
      <c r="E656" s="28"/>
      <c r="F656" s="28" t="s">
        <v>3444</v>
      </c>
      <c r="G656" s="78">
        <v>36</v>
      </c>
      <c r="H656" s="43"/>
      <c r="I656" s="28" t="str">
        <f>Table43[[#This Row],[Nama Jenis Kemasan]]</f>
        <v>TUBE</v>
      </c>
      <c r="J656" s="4" t="str">
        <f>TRIM(CONCATENATE(Table43[[#This Row],[Nama            KLP]]," ",Table43[[#This Row],[Nama            Sub KLP]]))</f>
        <v>SLEEK TRAVEL WASH</v>
      </c>
      <c r="K656" s="4" t="str">
        <f>CONCATENATE(Table43[[#This Row],[kode  2 Digit                (hrf+No)]],Table43[[#This Row],[kode  2 Digit                (Nomor)]],Table43[[#This Row],[kode  1 Digit                (Nomor)]])</f>
        <v>K1510</v>
      </c>
      <c r="L656" s="4" t="str">
        <f t="shared" si="33"/>
        <v>K1510001010010</v>
      </c>
      <c r="M656" s="11">
        <f t="shared" si="34"/>
        <v>14</v>
      </c>
      <c r="N656" s="14" t="str">
        <f>IF(AF656&lt;&gt;"",TRIM(UPPER(CONCATENATE(P656," ",R656," ",T656," ",V656," ",X656," ",Z656," ","X"," ",Table43[[#This Row],[ISI/CTN]]," ",AF656," ",AB656," ",AD656," ",AH656))),TRIM(UPPER(CONCATENATE(P656," ",R656," ",T656," ",V656," ",X656," ",Z656," ","X"," ",Table43[[#This Row],[ISI/CTN]]," ",AB656," ",AD656," ",AH656))))</f>
        <v>KNF SLEEK TRAVEL WASH LIME 100ML X 36 TUBE</v>
      </c>
      <c r="O656" s="11">
        <f t="shared" si="35"/>
        <v>42</v>
      </c>
      <c r="P656" s="4" t="s">
        <v>97</v>
      </c>
      <c r="Q656" s="7" t="s">
        <v>98</v>
      </c>
      <c r="R656" s="4" t="s">
        <v>4036</v>
      </c>
      <c r="S656" s="44" t="s">
        <v>4037</v>
      </c>
      <c r="T656" s="45" t="s">
        <v>2961</v>
      </c>
      <c r="U656" s="7" t="s">
        <v>2900</v>
      </c>
      <c r="V656" s="45" t="s">
        <v>2961</v>
      </c>
      <c r="W656" s="44" t="s">
        <v>2900</v>
      </c>
      <c r="X656" s="4" t="s">
        <v>4038</v>
      </c>
      <c r="Y656" s="46" t="s">
        <v>0</v>
      </c>
      <c r="Z656" s="4" t="s">
        <v>3588</v>
      </c>
      <c r="AA656" s="46" t="s">
        <v>2487</v>
      </c>
      <c r="AB656" s="4" t="s">
        <v>1021</v>
      </c>
      <c r="AC656" s="7" t="s">
        <v>2656</v>
      </c>
      <c r="AD656" s="4" t="s">
        <v>2961</v>
      </c>
      <c r="AE656" s="7" t="s">
        <v>2900</v>
      </c>
      <c r="AF656" s="7" t="s">
        <v>2961</v>
      </c>
      <c r="AG656" s="7" t="s">
        <v>2961</v>
      </c>
      <c r="AI656" s="7" t="s">
        <v>4100</v>
      </c>
      <c r="AJ656" s="7" t="s">
        <v>2656</v>
      </c>
      <c r="AK656" s="41">
        <f>Table43[[#This Row],[Harga Jual Pcs GT
(-PPN)]]-(Table43[[#This Row],[Harga Jual Pcs GT
(-PPN)]]*10%)</f>
        <v>0</v>
      </c>
      <c r="AL656" s="42">
        <f>Table43[[#This Row],[Harga Beli Pcs
(-PPN)]]*Table43[[#This Row],[ISI/CTN]]</f>
        <v>0</v>
      </c>
      <c r="AM656" s="42">
        <f>Table43[[#This Row],[Harga Beli Pcs
(-PPN)]]*1.11</f>
        <v>0</v>
      </c>
      <c r="AN656" s="42">
        <f>Table43[[#This Row],[Harga Beli Krt
(- PPN)]]*1.11</f>
        <v>0</v>
      </c>
      <c r="AO656" s="42"/>
      <c r="AP656" s="42">
        <f>Table43[[#This Row],[Harga Jual Pcs GT
(-PPN)]]*Table43[[#This Row],[ISI/CTN]]</f>
        <v>0</v>
      </c>
      <c r="AQ656" s="42">
        <f>Table43[[#This Row],[Harga Jual Pcs GT
(-PPN)]]*1.11</f>
        <v>0</v>
      </c>
      <c r="AR656" s="42">
        <f>Table43[[#This Row],[Harga Jual Krt GT
(- PPN)]]*1.11</f>
        <v>0</v>
      </c>
      <c r="AS656" s="42">
        <f>Table43[[#This Row],[Harga Jual Pcs GT
(-PPN)]]</f>
        <v>0</v>
      </c>
      <c r="AT656" s="42">
        <f>(Table43[[#This Row],[Harga Jual Pcs MT
(-PPN)]]*Table43[[#This Row],[ISI/CTN]])</f>
        <v>0</v>
      </c>
      <c r="AU656" s="42">
        <f>Table43[[#This Row],[Harga Jual Pcs MT
(-PPN)]]*1.11</f>
        <v>0</v>
      </c>
      <c r="AV656" s="42">
        <f>Table43[[#This Row],[Harga Jual Pcs MT
(+PPN)]]*Table43[[#This Row],[ISI/CTN]]</f>
        <v>0</v>
      </c>
      <c r="AW656" s="47"/>
      <c r="AX656" s="7"/>
      <c r="AY656" s="7" t="str">
        <f ca="1">IF(TODAY()-Table43[[#This Row],[Efektif
Pembuatan]]&gt;60,"Lama","Baru")</f>
        <v>Lama</v>
      </c>
      <c r="AZ656" s="7" t="str">
        <f ca="1">IF(TODAY()-Table43[[#This Row],[Efektif Naik Harga]]&lt;30,"Naik","Sama")</f>
        <v>Sama</v>
      </c>
      <c r="BA656" s="7" t="str">
        <f>IF(Table43[[#This Row],[Kode BARANG Win2]]&lt;&gt;"","IDR","")</f>
        <v>IDR</v>
      </c>
      <c r="BB656" s="7" t="str">
        <f>CONCATENATE(Table43[[#This Row],[kode  1 Digit
(Nomor)]],Table43[[#This Row],[kode  4 Digit                (Nomor)]])</f>
        <v>10100</v>
      </c>
      <c r="BC656" s="7" t="str">
        <f>Table43[[#This Row],[Nama            Gramasi atau Jumlah Pack per CTN]]</f>
        <v>100ML</v>
      </c>
      <c r="BD656" s="7"/>
      <c r="BE656" s="7"/>
      <c r="BF656" s="4" t="str">
        <f>IF(Table43[[#This Row],[SATUAN Fix Win]]&lt;&gt;"","KRT")</f>
        <v>KRT</v>
      </c>
      <c r="BG656" s="4" t="str">
        <f>IF(Table43[[#This Row],[SATUAN Fix Win]]&lt;&gt;"","GD01")</f>
        <v>GD01</v>
      </c>
      <c r="BH656" s="4">
        <f>IF(Table43[[#This Row],[SATUAN Fix Win]]&lt;&gt;"",11611)</f>
        <v>11611</v>
      </c>
      <c r="BI656" s="4">
        <f>IF(Table43[[#This Row],[SATUAN Fix Win]]&lt;&gt;"",11612)</f>
        <v>11612</v>
      </c>
      <c r="BJ656" s="48"/>
      <c r="BK656" s="4">
        <f>IF(Table43[[#This Row],[SATUAN Fix Win]]&lt;&gt;"",1)</f>
        <v>1</v>
      </c>
    </row>
  </sheetData>
  <mergeCells count="10">
    <mergeCell ref="BA4:BK4"/>
    <mergeCell ref="D3:G4"/>
    <mergeCell ref="I3:N3"/>
    <mergeCell ref="AK3:AV3"/>
    <mergeCell ref="AW3:AX4"/>
    <mergeCell ref="K4:O4"/>
    <mergeCell ref="P4:Q4"/>
    <mergeCell ref="AK4:AN4"/>
    <mergeCell ref="AO4:AR4"/>
    <mergeCell ref="AS4:AV4"/>
  </mergeCells>
  <phoneticPr fontId="11" type="noConversion"/>
  <conditionalFormatting sqref="H1:H1048576">
    <cfRule type="duplicateValues" dxfId="137" priority="1"/>
  </conditionalFormatting>
  <conditionalFormatting sqref="L1:L3 K4 L5:L1048576">
    <cfRule type="duplicateValues" dxfId="136" priority="8"/>
  </conditionalFormatting>
  <conditionalFormatting sqref="M6:M656">
    <cfRule type="cellIs" dxfId="135" priority="9" operator="notEqual">
      <formula>14</formula>
    </cfRule>
  </conditionalFormatting>
  <conditionalFormatting sqref="O2">
    <cfRule type="cellIs" dxfId="134" priority="4" operator="greaterThan">
      <formula>0</formula>
    </cfRule>
  </conditionalFormatting>
  <conditionalFormatting sqref="O6:O656">
    <cfRule type="cellIs" dxfId="133" priority="5" operator="greaterThan">
      <formula>50</formula>
    </cfRule>
  </conditionalFormatting>
  <conditionalFormatting sqref="D6:D656">
    <cfRule type="duplicateValues" dxfId="132" priority="621"/>
    <cfRule type="duplicateValues" dxfId="131" priority="622"/>
  </conditionalFormatting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7670-B156-4D81-B12D-64D587FDEB45}">
  <sheetPr codeName="Sheet7">
    <tabColor rgb="FFFFFF00"/>
  </sheetPr>
  <dimension ref="A1:N604"/>
  <sheetViews>
    <sheetView topLeftCell="A590" workbookViewId="0">
      <selection activeCell="B601" sqref="B601"/>
    </sheetView>
  </sheetViews>
  <sheetFormatPr defaultRowHeight="15"/>
  <cols>
    <col min="1" max="1" width="23.7109375" bestFit="1" customWidth="1"/>
    <col min="2" max="2" width="54.7109375" bestFit="1" customWidth="1"/>
    <col min="3" max="7" width="16.5703125" bestFit="1" customWidth="1"/>
    <col min="8" max="12" width="12" style="3" bestFit="1" customWidth="1"/>
    <col min="13" max="13" width="16.5703125" style="3" bestFit="1" customWidth="1"/>
    <col min="14" max="14" width="7.7109375" bestFit="1" customWidth="1"/>
  </cols>
  <sheetData>
    <row r="1" spans="1:14">
      <c r="A1" s="4" t="s">
        <v>30</v>
      </c>
      <c r="B1" s="4" t="s">
        <v>22</v>
      </c>
      <c r="C1" s="4" t="s">
        <v>299</v>
      </c>
      <c r="D1" s="4" t="s">
        <v>300</v>
      </c>
      <c r="E1" s="4" t="s">
        <v>301</v>
      </c>
      <c r="F1" s="4" t="s">
        <v>302</v>
      </c>
      <c r="G1" s="4" t="s">
        <v>303</v>
      </c>
      <c r="H1" s="30" t="s">
        <v>304</v>
      </c>
      <c r="I1" s="30" t="s">
        <v>305</v>
      </c>
      <c r="J1" s="30" t="s">
        <v>306</v>
      </c>
      <c r="K1" s="30" t="s">
        <v>307</v>
      </c>
      <c r="L1" s="30" t="s">
        <v>308</v>
      </c>
      <c r="M1" s="30" t="s">
        <v>309</v>
      </c>
      <c r="N1" s="4" t="s">
        <v>2469</v>
      </c>
    </row>
    <row r="2" spans="1:14">
      <c r="A2" t="s">
        <v>1041</v>
      </c>
      <c r="B2" t="s">
        <v>1042</v>
      </c>
      <c r="C2">
        <v>101001</v>
      </c>
      <c r="H2" s="3">
        <f>IFERROR(VLOOKUP(Table43_1[[#This Row],[PCPL KODE 1]],#REF!,3,0),0)</f>
        <v>0</v>
      </c>
      <c r="I2" s="3">
        <f>IFERROR(VLOOKUP(Table43_1[[#This Row],[PCPL KODE 2]],#REF!,3,0),0)</f>
        <v>0</v>
      </c>
      <c r="J2" s="3">
        <f>IFERROR(VLOOKUP(Table43_1[[#This Row],[PCPL KODE 3]],#REF!,3,0),0)</f>
        <v>0</v>
      </c>
      <c r="K2" s="3">
        <f>IFERROR(VLOOKUP(Table43_1[[#This Row],[PCPL KODE 4]],#REF!,3,0),0)</f>
        <v>0</v>
      </c>
      <c r="L2" s="3">
        <f>IFERROR(VLOOKUP(Table43_1[[#This Row],[PCPL KODE 5]],#REF!,3,0),0)</f>
        <v>0</v>
      </c>
      <c r="M2" s="3">
        <f>Table43_1[[#This Row],[QTY 1]]+Table43_1[[#This Row],[QTY 2]]+Table43_1[[#This Row],[QTY 3]]+Table43_1[[#This Row],[QTY 4]]+Table43_1[[#This Row],[QTY 5]]</f>
        <v>0</v>
      </c>
      <c r="N2" s="3">
        <v>36</v>
      </c>
    </row>
    <row r="3" spans="1:14">
      <c r="A3" t="s">
        <v>1043</v>
      </c>
      <c r="B3" t="s">
        <v>1044</v>
      </c>
      <c r="C3">
        <v>101002</v>
      </c>
      <c r="H3" s="3">
        <f>IFERROR(VLOOKUP(Table43_1[[#This Row],[PCPL KODE 1]],#REF!,3,0),0)</f>
        <v>0</v>
      </c>
      <c r="I3" s="3">
        <f>IFERROR(VLOOKUP(Table43_1[[#This Row],[PCPL KODE 2]],#REF!,3,0),0)</f>
        <v>0</v>
      </c>
      <c r="J3" s="3">
        <f>IFERROR(VLOOKUP(Table43_1[[#This Row],[PCPL KODE 3]],#REF!,3,0),0)</f>
        <v>0</v>
      </c>
      <c r="K3" s="3">
        <f>IFERROR(VLOOKUP(Table43_1[[#This Row],[PCPL KODE 4]],#REF!,3,0),0)</f>
        <v>0</v>
      </c>
      <c r="L3" s="3">
        <f>IFERROR(VLOOKUP(Table43_1[[#This Row],[PCPL KODE 5]],#REF!,3,0),0)</f>
        <v>0</v>
      </c>
      <c r="M3" s="3">
        <f>Table43_1[[#This Row],[QTY 1]]+Table43_1[[#This Row],[QTY 2]]+Table43_1[[#This Row],[QTY 3]]+Table43_1[[#This Row],[QTY 4]]+Table43_1[[#This Row],[QTY 5]]</f>
        <v>0</v>
      </c>
      <c r="N3" s="3"/>
    </row>
    <row r="4" spans="1:14">
      <c r="A4" t="s">
        <v>1045</v>
      </c>
      <c r="B4" t="s">
        <v>1046</v>
      </c>
      <c r="C4">
        <v>101005</v>
      </c>
      <c r="H4" s="3">
        <f>IFERROR(VLOOKUP(Table43_1[[#This Row],[PCPL KODE 1]],#REF!,3,0),0)</f>
        <v>0</v>
      </c>
      <c r="I4" s="3">
        <f>IFERROR(VLOOKUP(Table43_1[[#This Row],[PCPL KODE 2]],#REF!,3,0),0)</f>
        <v>0</v>
      </c>
      <c r="J4" s="3">
        <f>IFERROR(VLOOKUP(Table43_1[[#This Row],[PCPL KODE 3]],#REF!,3,0),0)</f>
        <v>0</v>
      </c>
      <c r="K4" s="3">
        <f>IFERROR(VLOOKUP(Table43_1[[#This Row],[PCPL KODE 4]],#REF!,3,0),0)</f>
        <v>0</v>
      </c>
      <c r="L4" s="3">
        <f>IFERROR(VLOOKUP(Table43_1[[#This Row],[PCPL KODE 5]],#REF!,3,0),0)</f>
        <v>0</v>
      </c>
      <c r="M4" s="3">
        <f>Table43_1[[#This Row],[QTY 1]]+Table43_1[[#This Row],[QTY 2]]+Table43_1[[#This Row],[QTY 3]]+Table43_1[[#This Row],[QTY 4]]+Table43_1[[#This Row],[QTY 5]]</f>
        <v>0</v>
      </c>
      <c r="N4" s="3"/>
    </row>
    <row r="5" spans="1:14">
      <c r="A5" t="s">
        <v>1047</v>
      </c>
      <c r="B5" t="s">
        <v>1048</v>
      </c>
      <c r="C5">
        <v>101006</v>
      </c>
      <c r="H5" s="3">
        <f>IFERROR(VLOOKUP(Table43_1[[#This Row],[PCPL KODE 1]],#REF!,3,0),0)</f>
        <v>0</v>
      </c>
      <c r="I5" s="3">
        <f>IFERROR(VLOOKUP(Table43_1[[#This Row],[PCPL KODE 2]],#REF!,3,0),0)</f>
        <v>0</v>
      </c>
      <c r="J5" s="3">
        <f>IFERROR(VLOOKUP(Table43_1[[#This Row],[PCPL KODE 3]],#REF!,3,0),0)</f>
        <v>0</v>
      </c>
      <c r="K5" s="3">
        <f>IFERROR(VLOOKUP(Table43_1[[#This Row],[PCPL KODE 4]],#REF!,3,0),0)</f>
        <v>0</v>
      </c>
      <c r="L5" s="3">
        <f>IFERROR(VLOOKUP(Table43_1[[#This Row],[PCPL KODE 5]],#REF!,3,0),0)</f>
        <v>0</v>
      </c>
      <c r="M5" s="3">
        <f>Table43_1[[#This Row],[QTY 1]]+Table43_1[[#This Row],[QTY 2]]+Table43_1[[#This Row],[QTY 3]]+Table43_1[[#This Row],[QTY 4]]+Table43_1[[#This Row],[QTY 5]]</f>
        <v>0</v>
      </c>
      <c r="N5" s="3"/>
    </row>
    <row r="6" spans="1:14">
      <c r="A6" t="s">
        <v>1049</v>
      </c>
      <c r="B6" t="s">
        <v>1050</v>
      </c>
      <c r="C6">
        <v>101003</v>
      </c>
      <c r="H6" s="3">
        <f>IFERROR(VLOOKUP(Table43_1[[#This Row],[PCPL KODE 1]],#REF!,3,0),0)</f>
        <v>0</v>
      </c>
      <c r="I6" s="3">
        <f>IFERROR(VLOOKUP(Table43_1[[#This Row],[PCPL KODE 2]],#REF!,3,0),0)</f>
        <v>0</v>
      </c>
      <c r="J6" s="3">
        <f>IFERROR(VLOOKUP(Table43_1[[#This Row],[PCPL KODE 3]],#REF!,3,0),0)</f>
        <v>0</v>
      </c>
      <c r="K6" s="3">
        <f>IFERROR(VLOOKUP(Table43_1[[#This Row],[PCPL KODE 4]],#REF!,3,0),0)</f>
        <v>0</v>
      </c>
      <c r="L6" s="3">
        <f>IFERROR(VLOOKUP(Table43_1[[#This Row],[PCPL KODE 5]],#REF!,3,0),0)</f>
        <v>0</v>
      </c>
      <c r="M6" s="3">
        <f>Table43_1[[#This Row],[QTY 1]]+Table43_1[[#This Row],[QTY 2]]+Table43_1[[#This Row],[QTY 3]]+Table43_1[[#This Row],[QTY 4]]+Table43_1[[#This Row],[QTY 5]]</f>
        <v>0</v>
      </c>
      <c r="N6" s="3"/>
    </row>
    <row r="7" spans="1:14">
      <c r="A7" t="s">
        <v>1051</v>
      </c>
      <c r="B7" t="s">
        <v>1052</v>
      </c>
      <c r="C7">
        <v>101004</v>
      </c>
      <c r="H7" s="3">
        <f>IFERROR(VLOOKUP(Table43_1[[#This Row],[PCPL KODE 1]],#REF!,3,0),0)</f>
        <v>0</v>
      </c>
      <c r="I7" s="3">
        <f>IFERROR(VLOOKUP(Table43_1[[#This Row],[PCPL KODE 2]],#REF!,3,0),0)</f>
        <v>0</v>
      </c>
      <c r="J7" s="3">
        <f>IFERROR(VLOOKUP(Table43_1[[#This Row],[PCPL KODE 3]],#REF!,3,0),0)</f>
        <v>0</v>
      </c>
      <c r="K7" s="3">
        <f>IFERROR(VLOOKUP(Table43_1[[#This Row],[PCPL KODE 4]],#REF!,3,0),0)</f>
        <v>0</v>
      </c>
      <c r="L7" s="3">
        <f>IFERROR(VLOOKUP(Table43_1[[#This Row],[PCPL KODE 5]],#REF!,3,0),0)</f>
        <v>0</v>
      </c>
      <c r="M7" s="3">
        <f>Table43_1[[#This Row],[QTY 1]]+Table43_1[[#This Row],[QTY 2]]+Table43_1[[#This Row],[QTY 3]]+Table43_1[[#This Row],[QTY 4]]+Table43_1[[#This Row],[QTY 5]]</f>
        <v>0</v>
      </c>
      <c r="N7" s="3"/>
    </row>
    <row r="8" spans="1:14">
      <c r="A8" t="s">
        <v>1053</v>
      </c>
      <c r="B8" t="s">
        <v>1054</v>
      </c>
      <c r="C8">
        <v>101007</v>
      </c>
      <c r="H8" s="3">
        <f>IFERROR(VLOOKUP(Table43_1[[#This Row],[PCPL KODE 1]],#REF!,3,0),0)</f>
        <v>0</v>
      </c>
      <c r="I8" s="3">
        <f>IFERROR(VLOOKUP(Table43_1[[#This Row],[PCPL KODE 2]],#REF!,3,0),0)</f>
        <v>0</v>
      </c>
      <c r="J8" s="3">
        <f>IFERROR(VLOOKUP(Table43_1[[#This Row],[PCPL KODE 3]],#REF!,3,0),0)</f>
        <v>0</v>
      </c>
      <c r="K8" s="3">
        <f>IFERROR(VLOOKUP(Table43_1[[#This Row],[PCPL KODE 4]],#REF!,3,0),0)</f>
        <v>0</v>
      </c>
      <c r="L8" s="3">
        <f>IFERROR(VLOOKUP(Table43_1[[#This Row],[PCPL KODE 5]],#REF!,3,0),0)</f>
        <v>0</v>
      </c>
      <c r="M8" s="3">
        <f>Table43_1[[#This Row],[QTY 1]]+Table43_1[[#This Row],[QTY 2]]+Table43_1[[#This Row],[QTY 3]]+Table43_1[[#This Row],[QTY 4]]+Table43_1[[#This Row],[QTY 5]]</f>
        <v>0</v>
      </c>
      <c r="N8" s="3"/>
    </row>
    <row r="9" spans="1:14">
      <c r="A9" t="s">
        <v>1055</v>
      </c>
      <c r="B9" t="s">
        <v>3464</v>
      </c>
      <c r="C9">
        <v>101008</v>
      </c>
      <c r="H9" s="3">
        <f>IFERROR(VLOOKUP(Table43_1[[#This Row],[PCPL KODE 1]],#REF!,3,0),0)</f>
        <v>0</v>
      </c>
      <c r="I9" s="3">
        <f>IFERROR(VLOOKUP(Table43_1[[#This Row],[PCPL KODE 2]],#REF!,3,0),0)</f>
        <v>0</v>
      </c>
      <c r="J9" s="3">
        <f>IFERROR(VLOOKUP(Table43_1[[#This Row],[PCPL KODE 3]],#REF!,3,0),0)</f>
        <v>0</v>
      </c>
      <c r="K9" s="3">
        <f>IFERROR(VLOOKUP(Table43_1[[#This Row],[PCPL KODE 4]],#REF!,3,0),0)</f>
        <v>0</v>
      </c>
      <c r="L9" s="3">
        <f>IFERROR(VLOOKUP(Table43_1[[#This Row],[PCPL KODE 5]],#REF!,3,0),0)</f>
        <v>0</v>
      </c>
      <c r="M9" s="3">
        <f>Table43_1[[#This Row],[QTY 1]]+Table43_1[[#This Row],[QTY 2]]+Table43_1[[#This Row],[QTY 3]]+Table43_1[[#This Row],[QTY 4]]+Table43_1[[#This Row],[QTY 5]]</f>
        <v>0</v>
      </c>
      <c r="N9" s="3"/>
    </row>
    <row r="10" spans="1:14">
      <c r="A10" t="s">
        <v>1057</v>
      </c>
      <c r="B10" t="s">
        <v>1058</v>
      </c>
      <c r="C10">
        <v>101009</v>
      </c>
      <c r="H10" s="3">
        <f>IFERROR(VLOOKUP(Table43_1[[#This Row],[PCPL KODE 1]],#REF!,3,0),0)</f>
        <v>0</v>
      </c>
      <c r="I10" s="3">
        <f>IFERROR(VLOOKUP(Table43_1[[#This Row],[PCPL KODE 2]],#REF!,3,0),0)</f>
        <v>0</v>
      </c>
      <c r="J10" s="3">
        <f>IFERROR(VLOOKUP(Table43_1[[#This Row],[PCPL KODE 3]],#REF!,3,0),0)</f>
        <v>0</v>
      </c>
      <c r="K10" s="3">
        <f>IFERROR(VLOOKUP(Table43_1[[#This Row],[PCPL KODE 4]],#REF!,3,0),0)</f>
        <v>0</v>
      </c>
      <c r="L10" s="3">
        <f>IFERROR(VLOOKUP(Table43_1[[#This Row],[PCPL KODE 5]],#REF!,3,0),0)</f>
        <v>0</v>
      </c>
      <c r="M10" s="3">
        <f>Table43_1[[#This Row],[QTY 1]]+Table43_1[[#This Row],[QTY 2]]+Table43_1[[#This Row],[QTY 3]]+Table43_1[[#This Row],[QTY 4]]+Table43_1[[#This Row],[QTY 5]]</f>
        <v>0</v>
      </c>
      <c r="N10" s="3"/>
    </row>
    <row r="11" spans="1:14">
      <c r="A11" t="s">
        <v>1059</v>
      </c>
      <c r="B11" t="s">
        <v>1060</v>
      </c>
      <c r="C11">
        <v>101010</v>
      </c>
      <c r="H11" s="3">
        <f>IFERROR(VLOOKUP(Table43_1[[#This Row],[PCPL KODE 1]],#REF!,3,0),0)</f>
        <v>0</v>
      </c>
      <c r="I11" s="3">
        <f>IFERROR(VLOOKUP(Table43_1[[#This Row],[PCPL KODE 2]],#REF!,3,0),0)</f>
        <v>0</v>
      </c>
      <c r="J11" s="3">
        <f>IFERROR(VLOOKUP(Table43_1[[#This Row],[PCPL KODE 3]],#REF!,3,0),0)</f>
        <v>0</v>
      </c>
      <c r="K11" s="3">
        <f>IFERROR(VLOOKUP(Table43_1[[#This Row],[PCPL KODE 4]],#REF!,3,0),0)</f>
        <v>0</v>
      </c>
      <c r="L11" s="3">
        <f>IFERROR(VLOOKUP(Table43_1[[#This Row],[PCPL KODE 5]],#REF!,3,0),0)</f>
        <v>0</v>
      </c>
      <c r="M11" s="3">
        <f>Table43_1[[#This Row],[QTY 1]]+Table43_1[[#This Row],[QTY 2]]+Table43_1[[#This Row],[QTY 3]]+Table43_1[[#This Row],[QTY 4]]+Table43_1[[#This Row],[QTY 5]]</f>
        <v>0</v>
      </c>
      <c r="N11" s="3"/>
    </row>
    <row r="12" spans="1:14">
      <c r="A12" t="s">
        <v>1061</v>
      </c>
      <c r="B12" t="s">
        <v>1062</v>
      </c>
      <c r="C12">
        <v>101011</v>
      </c>
      <c r="H12" s="3">
        <f>IFERROR(VLOOKUP(Table43_1[[#This Row],[PCPL KODE 1]],#REF!,3,0),0)</f>
        <v>0</v>
      </c>
      <c r="I12" s="3">
        <f>IFERROR(VLOOKUP(Table43_1[[#This Row],[PCPL KODE 2]],#REF!,3,0),0)</f>
        <v>0</v>
      </c>
      <c r="J12" s="3">
        <f>IFERROR(VLOOKUP(Table43_1[[#This Row],[PCPL KODE 3]],#REF!,3,0),0)</f>
        <v>0</v>
      </c>
      <c r="K12" s="3">
        <f>IFERROR(VLOOKUP(Table43_1[[#This Row],[PCPL KODE 4]],#REF!,3,0),0)</f>
        <v>0</v>
      </c>
      <c r="L12" s="3">
        <f>IFERROR(VLOOKUP(Table43_1[[#This Row],[PCPL KODE 5]],#REF!,3,0),0)</f>
        <v>0</v>
      </c>
      <c r="M12" s="3">
        <f>Table43_1[[#This Row],[QTY 1]]+Table43_1[[#This Row],[QTY 2]]+Table43_1[[#This Row],[QTY 3]]+Table43_1[[#This Row],[QTY 4]]+Table43_1[[#This Row],[QTY 5]]</f>
        <v>0</v>
      </c>
      <c r="N12" s="3"/>
    </row>
    <row r="13" spans="1:14">
      <c r="A13" t="s">
        <v>1063</v>
      </c>
      <c r="B13" t="s">
        <v>1064</v>
      </c>
      <c r="C13">
        <v>101012</v>
      </c>
      <c r="H13" s="3">
        <f>IFERROR(VLOOKUP(Table43_1[[#This Row],[PCPL KODE 1]],#REF!,3,0),0)</f>
        <v>0</v>
      </c>
      <c r="I13" s="3">
        <f>IFERROR(VLOOKUP(Table43_1[[#This Row],[PCPL KODE 2]],#REF!,3,0),0)</f>
        <v>0</v>
      </c>
      <c r="J13" s="3">
        <f>IFERROR(VLOOKUP(Table43_1[[#This Row],[PCPL KODE 3]],#REF!,3,0),0)</f>
        <v>0</v>
      </c>
      <c r="K13" s="3">
        <f>IFERROR(VLOOKUP(Table43_1[[#This Row],[PCPL KODE 4]],#REF!,3,0),0)</f>
        <v>0</v>
      </c>
      <c r="L13" s="3">
        <f>IFERROR(VLOOKUP(Table43_1[[#This Row],[PCPL KODE 5]],#REF!,3,0),0)</f>
        <v>0</v>
      </c>
      <c r="M13" s="3">
        <f>Table43_1[[#This Row],[QTY 1]]+Table43_1[[#This Row],[QTY 2]]+Table43_1[[#This Row],[QTY 3]]+Table43_1[[#This Row],[QTY 4]]+Table43_1[[#This Row],[QTY 5]]</f>
        <v>0</v>
      </c>
      <c r="N13" s="3"/>
    </row>
    <row r="14" spans="1:14">
      <c r="A14" t="s">
        <v>1065</v>
      </c>
      <c r="B14" t="s">
        <v>1066</v>
      </c>
      <c r="C14">
        <v>102012</v>
      </c>
      <c r="H14" s="3">
        <f>IFERROR(VLOOKUP(Table43_1[[#This Row],[PCPL KODE 1]],#REF!,3,0),0)</f>
        <v>0</v>
      </c>
      <c r="I14" s="3">
        <f>IFERROR(VLOOKUP(Table43_1[[#This Row],[PCPL KODE 2]],#REF!,3,0),0)</f>
        <v>0</v>
      </c>
      <c r="J14" s="3">
        <f>IFERROR(VLOOKUP(Table43_1[[#This Row],[PCPL KODE 3]],#REF!,3,0),0)</f>
        <v>0</v>
      </c>
      <c r="K14" s="3">
        <f>IFERROR(VLOOKUP(Table43_1[[#This Row],[PCPL KODE 4]],#REF!,3,0),0)</f>
        <v>0</v>
      </c>
      <c r="L14" s="3">
        <f>IFERROR(VLOOKUP(Table43_1[[#This Row],[PCPL KODE 5]],#REF!,3,0),0)</f>
        <v>0</v>
      </c>
      <c r="M14" s="3">
        <f>Table43_1[[#This Row],[QTY 1]]+Table43_1[[#This Row],[QTY 2]]+Table43_1[[#This Row],[QTY 3]]+Table43_1[[#This Row],[QTY 4]]+Table43_1[[#This Row],[QTY 5]]</f>
        <v>0</v>
      </c>
      <c r="N14" s="3"/>
    </row>
    <row r="15" spans="1:14">
      <c r="A15" t="s">
        <v>1067</v>
      </c>
      <c r="B15" t="s">
        <v>1068</v>
      </c>
      <c r="C15">
        <v>102013</v>
      </c>
      <c r="H15" s="3">
        <f>IFERROR(VLOOKUP(Table43_1[[#This Row],[PCPL KODE 1]],#REF!,3,0),0)</f>
        <v>0</v>
      </c>
      <c r="I15" s="3">
        <f>IFERROR(VLOOKUP(Table43_1[[#This Row],[PCPL KODE 2]],#REF!,3,0),0)</f>
        <v>0</v>
      </c>
      <c r="J15" s="3">
        <f>IFERROR(VLOOKUP(Table43_1[[#This Row],[PCPL KODE 3]],#REF!,3,0),0)</f>
        <v>0</v>
      </c>
      <c r="K15" s="3">
        <f>IFERROR(VLOOKUP(Table43_1[[#This Row],[PCPL KODE 4]],#REF!,3,0),0)</f>
        <v>0</v>
      </c>
      <c r="L15" s="3">
        <f>IFERROR(VLOOKUP(Table43_1[[#This Row],[PCPL KODE 5]],#REF!,3,0),0)</f>
        <v>0</v>
      </c>
      <c r="M15" s="3">
        <f>Table43_1[[#This Row],[QTY 1]]+Table43_1[[#This Row],[QTY 2]]+Table43_1[[#This Row],[QTY 3]]+Table43_1[[#This Row],[QTY 4]]+Table43_1[[#This Row],[QTY 5]]</f>
        <v>0</v>
      </c>
      <c r="N15" s="3"/>
    </row>
    <row r="16" spans="1:14">
      <c r="A16" t="s">
        <v>1069</v>
      </c>
      <c r="B16" t="s">
        <v>1070</v>
      </c>
      <c r="C16">
        <v>102014</v>
      </c>
      <c r="H16" s="3">
        <f>IFERROR(VLOOKUP(Table43_1[[#This Row],[PCPL KODE 1]],#REF!,3,0),0)</f>
        <v>0</v>
      </c>
      <c r="I16" s="3">
        <f>IFERROR(VLOOKUP(Table43_1[[#This Row],[PCPL KODE 2]],#REF!,3,0),0)</f>
        <v>0</v>
      </c>
      <c r="J16" s="3">
        <f>IFERROR(VLOOKUP(Table43_1[[#This Row],[PCPL KODE 3]],#REF!,3,0),0)</f>
        <v>0</v>
      </c>
      <c r="K16" s="3">
        <f>IFERROR(VLOOKUP(Table43_1[[#This Row],[PCPL KODE 4]],#REF!,3,0),0)</f>
        <v>0</v>
      </c>
      <c r="L16" s="3">
        <f>IFERROR(VLOOKUP(Table43_1[[#This Row],[PCPL KODE 5]],#REF!,3,0),0)</f>
        <v>0</v>
      </c>
      <c r="M16" s="3">
        <f>Table43_1[[#This Row],[QTY 1]]+Table43_1[[#This Row],[QTY 2]]+Table43_1[[#This Row],[QTY 3]]+Table43_1[[#This Row],[QTY 4]]+Table43_1[[#This Row],[QTY 5]]</f>
        <v>0</v>
      </c>
      <c r="N16" s="3"/>
    </row>
    <row r="17" spans="1:14">
      <c r="A17" t="s">
        <v>1071</v>
      </c>
      <c r="B17" t="s">
        <v>1072</v>
      </c>
      <c r="C17">
        <v>102015</v>
      </c>
      <c r="H17" s="3">
        <f>IFERROR(VLOOKUP(Table43_1[[#This Row],[PCPL KODE 1]],#REF!,3,0),0)</f>
        <v>0</v>
      </c>
      <c r="I17" s="3">
        <f>IFERROR(VLOOKUP(Table43_1[[#This Row],[PCPL KODE 2]],#REF!,3,0),0)</f>
        <v>0</v>
      </c>
      <c r="J17" s="3">
        <f>IFERROR(VLOOKUP(Table43_1[[#This Row],[PCPL KODE 3]],#REF!,3,0),0)</f>
        <v>0</v>
      </c>
      <c r="K17" s="3">
        <f>IFERROR(VLOOKUP(Table43_1[[#This Row],[PCPL KODE 4]],#REF!,3,0),0)</f>
        <v>0</v>
      </c>
      <c r="L17" s="3">
        <f>IFERROR(VLOOKUP(Table43_1[[#This Row],[PCPL KODE 5]],#REF!,3,0),0)</f>
        <v>0</v>
      </c>
      <c r="M17" s="3">
        <f>Table43_1[[#This Row],[QTY 1]]+Table43_1[[#This Row],[QTY 2]]+Table43_1[[#This Row],[QTY 3]]+Table43_1[[#This Row],[QTY 4]]+Table43_1[[#This Row],[QTY 5]]</f>
        <v>0</v>
      </c>
      <c r="N17" s="3"/>
    </row>
    <row r="18" spans="1:14">
      <c r="A18" t="s">
        <v>1073</v>
      </c>
      <c r="B18" t="s">
        <v>1074</v>
      </c>
      <c r="C18">
        <v>102016</v>
      </c>
      <c r="H18" s="3">
        <f>IFERROR(VLOOKUP(Table43_1[[#This Row],[PCPL KODE 1]],#REF!,3,0),0)</f>
        <v>0</v>
      </c>
      <c r="I18" s="3">
        <f>IFERROR(VLOOKUP(Table43_1[[#This Row],[PCPL KODE 2]],#REF!,3,0),0)</f>
        <v>0</v>
      </c>
      <c r="J18" s="3">
        <f>IFERROR(VLOOKUP(Table43_1[[#This Row],[PCPL KODE 3]],#REF!,3,0),0)</f>
        <v>0</v>
      </c>
      <c r="K18" s="3">
        <f>IFERROR(VLOOKUP(Table43_1[[#This Row],[PCPL KODE 4]],#REF!,3,0),0)</f>
        <v>0</v>
      </c>
      <c r="L18" s="3">
        <f>IFERROR(VLOOKUP(Table43_1[[#This Row],[PCPL KODE 5]],#REF!,3,0),0)</f>
        <v>0</v>
      </c>
      <c r="M18" s="3">
        <f>Table43_1[[#This Row],[QTY 1]]+Table43_1[[#This Row],[QTY 2]]+Table43_1[[#This Row],[QTY 3]]+Table43_1[[#This Row],[QTY 4]]+Table43_1[[#This Row],[QTY 5]]</f>
        <v>0</v>
      </c>
      <c r="N18" s="3"/>
    </row>
    <row r="19" spans="1:14">
      <c r="A19" t="s">
        <v>1075</v>
      </c>
      <c r="B19" t="s">
        <v>1076</v>
      </c>
      <c r="C19">
        <v>102017</v>
      </c>
      <c r="H19" s="3">
        <f>IFERROR(VLOOKUP(Table43_1[[#This Row],[PCPL KODE 1]],#REF!,3,0),0)</f>
        <v>0</v>
      </c>
      <c r="I19" s="3">
        <f>IFERROR(VLOOKUP(Table43_1[[#This Row],[PCPL KODE 2]],#REF!,3,0),0)</f>
        <v>0</v>
      </c>
      <c r="J19" s="3">
        <f>IFERROR(VLOOKUP(Table43_1[[#This Row],[PCPL KODE 3]],#REF!,3,0),0)</f>
        <v>0</v>
      </c>
      <c r="K19" s="3">
        <f>IFERROR(VLOOKUP(Table43_1[[#This Row],[PCPL KODE 4]],#REF!,3,0),0)</f>
        <v>0</v>
      </c>
      <c r="L19" s="3">
        <f>IFERROR(VLOOKUP(Table43_1[[#This Row],[PCPL KODE 5]],#REF!,3,0),0)</f>
        <v>0</v>
      </c>
      <c r="M19" s="3">
        <f>Table43_1[[#This Row],[QTY 1]]+Table43_1[[#This Row],[QTY 2]]+Table43_1[[#This Row],[QTY 3]]+Table43_1[[#This Row],[QTY 4]]+Table43_1[[#This Row],[QTY 5]]</f>
        <v>0</v>
      </c>
      <c r="N19" s="3"/>
    </row>
    <row r="20" spans="1:14">
      <c r="A20" t="s">
        <v>1077</v>
      </c>
      <c r="B20" t="s">
        <v>1078</v>
      </c>
      <c r="C20">
        <v>102018</v>
      </c>
      <c r="H20" s="3">
        <f>IFERROR(VLOOKUP(Table43_1[[#This Row],[PCPL KODE 1]],#REF!,3,0),0)</f>
        <v>0</v>
      </c>
      <c r="I20" s="3">
        <f>IFERROR(VLOOKUP(Table43_1[[#This Row],[PCPL KODE 2]],#REF!,3,0),0)</f>
        <v>0</v>
      </c>
      <c r="J20" s="3">
        <f>IFERROR(VLOOKUP(Table43_1[[#This Row],[PCPL KODE 3]],#REF!,3,0),0)</f>
        <v>0</v>
      </c>
      <c r="K20" s="3">
        <f>IFERROR(VLOOKUP(Table43_1[[#This Row],[PCPL KODE 4]],#REF!,3,0),0)</f>
        <v>0</v>
      </c>
      <c r="L20" s="3">
        <f>IFERROR(VLOOKUP(Table43_1[[#This Row],[PCPL KODE 5]],#REF!,3,0),0)</f>
        <v>0</v>
      </c>
      <c r="M20" s="3">
        <f>Table43_1[[#This Row],[QTY 1]]+Table43_1[[#This Row],[QTY 2]]+Table43_1[[#This Row],[QTY 3]]+Table43_1[[#This Row],[QTY 4]]+Table43_1[[#This Row],[QTY 5]]</f>
        <v>0</v>
      </c>
      <c r="N20" s="3"/>
    </row>
    <row r="21" spans="1:14">
      <c r="A21" t="s">
        <v>1079</v>
      </c>
      <c r="B21" t="s">
        <v>1080</v>
      </c>
      <c r="C21">
        <v>102001</v>
      </c>
      <c r="H21" s="3">
        <f>IFERROR(VLOOKUP(Table43_1[[#This Row],[PCPL KODE 1]],#REF!,3,0),0)</f>
        <v>0</v>
      </c>
      <c r="I21" s="3">
        <f>IFERROR(VLOOKUP(Table43_1[[#This Row],[PCPL KODE 2]],#REF!,3,0),0)</f>
        <v>0</v>
      </c>
      <c r="J21" s="3">
        <f>IFERROR(VLOOKUP(Table43_1[[#This Row],[PCPL KODE 3]],#REF!,3,0),0)</f>
        <v>0</v>
      </c>
      <c r="K21" s="3">
        <f>IFERROR(VLOOKUP(Table43_1[[#This Row],[PCPL KODE 4]],#REF!,3,0),0)</f>
        <v>0</v>
      </c>
      <c r="L21" s="3">
        <f>IFERROR(VLOOKUP(Table43_1[[#This Row],[PCPL KODE 5]],#REF!,3,0),0)</f>
        <v>0</v>
      </c>
      <c r="M21" s="3">
        <f>Table43_1[[#This Row],[QTY 1]]+Table43_1[[#This Row],[QTY 2]]+Table43_1[[#This Row],[QTY 3]]+Table43_1[[#This Row],[QTY 4]]+Table43_1[[#This Row],[QTY 5]]</f>
        <v>0</v>
      </c>
      <c r="N21" s="3"/>
    </row>
    <row r="22" spans="1:14">
      <c r="A22" t="s">
        <v>1081</v>
      </c>
      <c r="B22" t="s">
        <v>1082</v>
      </c>
      <c r="C22">
        <v>102002</v>
      </c>
      <c r="H22" s="3">
        <f>IFERROR(VLOOKUP(Table43_1[[#This Row],[PCPL KODE 1]],#REF!,3,0),0)</f>
        <v>0</v>
      </c>
      <c r="I22" s="3">
        <f>IFERROR(VLOOKUP(Table43_1[[#This Row],[PCPL KODE 2]],#REF!,3,0),0)</f>
        <v>0</v>
      </c>
      <c r="J22" s="3">
        <f>IFERROR(VLOOKUP(Table43_1[[#This Row],[PCPL KODE 3]],#REF!,3,0),0)</f>
        <v>0</v>
      </c>
      <c r="K22" s="3">
        <f>IFERROR(VLOOKUP(Table43_1[[#This Row],[PCPL KODE 4]],#REF!,3,0),0)</f>
        <v>0</v>
      </c>
      <c r="L22" s="3">
        <f>IFERROR(VLOOKUP(Table43_1[[#This Row],[PCPL KODE 5]],#REF!,3,0),0)</f>
        <v>0</v>
      </c>
      <c r="M22" s="3">
        <f>Table43_1[[#This Row],[QTY 1]]+Table43_1[[#This Row],[QTY 2]]+Table43_1[[#This Row],[QTY 3]]+Table43_1[[#This Row],[QTY 4]]+Table43_1[[#This Row],[QTY 5]]</f>
        <v>0</v>
      </c>
      <c r="N22" s="3"/>
    </row>
    <row r="23" spans="1:14">
      <c r="A23" t="s">
        <v>1083</v>
      </c>
      <c r="B23" t="s">
        <v>1084</v>
      </c>
      <c r="C23">
        <v>102003</v>
      </c>
      <c r="H23" s="3">
        <f>IFERROR(VLOOKUP(Table43_1[[#This Row],[PCPL KODE 1]],#REF!,3,0),0)</f>
        <v>0</v>
      </c>
      <c r="I23" s="3">
        <f>IFERROR(VLOOKUP(Table43_1[[#This Row],[PCPL KODE 2]],#REF!,3,0),0)</f>
        <v>0</v>
      </c>
      <c r="J23" s="3">
        <f>IFERROR(VLOOKUP(Table43_1[[#This Row],[PCPL KODE 3]],#REF!,3,0),0)</f>
        <v>0</v>
      </c>
      <c r="K23" s="3">
        <f>IFERROR(VLOOKUP(Table43_1[[#This Row],[PCPL KODE 4]],#REF!,3,0),0)</f>
        <v>0</v>
      </c>
      <c r="L23" s="3">
        <f>IFERROR(VLOOKUP(Table43_1[[#This Row],[PCPL KODE 5]],#REF!,3,0),0)</f>
        <v>0</v>
      </c>
      <c r="M23" s="3">
        <f>Table43_1[[#This Row],[QTY 1]]+Table43_1[[#This Row],[QTY 2]]+Table43_1[[#This Row],[QTY 3]]+Table43_1[[#This Row],[QTY 4]]+Table43_1[[#This Row],[QTY 5]]</f>
        <v>0</v>
      </c>
      <c r="N23" s="3"/>
    </row>
    <row r="24" spans="1:14">
      <c r="A24" t="s">
        <v>1085</v>
      </c>
      <c r="B24" t="s">
        <v>1086</v>
      </c>
      <c r="C24">
        <v>102004</v>
      </c>
      <c r="H24" s="3">
        <f>IFERROR(VLOOKUP(Table43_1[[#This Row],[PCPL KODE 1]],#REF!,3,0),0)</f>
        <v>0</v>
      </c>
      <c r="I24" s="3">
        <f>IFERROR(VLOOKUP(Table43_1[[#This Row],[PCPL KODE 2]],#REF!,3,0),0)</f>
        <v>0</v>
      </c>
      <c r="J24" s="3">
        <f>IFERROR(VLOOKUP(Table43_1[[#This Row],[PCPL KODE 3]],#REF!,3,0),0)</f>
        <v>0</v>
      </c>
      <c r="K24" s="3">
        <f>IFERROR(VLOOKUP(Table43_1[[#This Row],[PCPL KODE 4]],#REF!,3,0),0)</f>
        <v>0</v>
      </c>
      <c r="L24" s="3">
        <f>IFERROR(VLOOKUP(Table43_1[[#This Row],[PCPL KODE 5]],#REF!,3,0),0)</f>
        <v>0</v>
      </c>
      <c r="M24" s="3">
        <f>Table43_1[[#This Row],[QTY 1]]+Table43_1[[#This Row],[QTY 2]]+Table43_1[[#This Row],[QTY 3]]+Table43_1[[#This Row],[QTY 4]]+Table43_1[[#This Row],[QTY 5]]</f>
        <v>0</v>
      </c>
      <c r="N24" s="3"/>
    </row>
    <row r="25" spans="1:14">
      <c r="A25" t="s">
        <v>1087</v>
      </c>
      <c r="B25" t="s">
        <v>1088</v>
      </c>
      <c r="C25">
        <v>102005</v>
      </c>
      <c r="H25" s="3">
        <f>IFERROR(VLOOKUP(Table43_1[[#This Row],[PCPL KODE 1]],#REF!,3,0),0)</f>
        <v>0</v>
      </c>
      <c r="I25" s="3">
        <f>IFERROR(VLOOKUP(Table43_1[[#This Row],[PCPL KODE 2]],#REF!,3,0),0)</f>
        <v>0</v>
      </c>
      <c r="J25" s="3">
        <f>IFERROR(VLOOKUP(Table43_1[[#This Row],[PCPL KODE 3]],#REF!,3,0),0)</f>
        <v>0</v>
      </c>
      <c r="K25" s="3">
        <f>IFERROR(VLOOKUP(Table43_1[[#This Row],[PCPL KODE 4]],#REF!,3,0),0)</f>
        <v>0</v>
      </c>
      <c r="L25" s="3">
        <f>IFERROR(VLOOKUP(Table43_1[[#This Row],[PCPL KODE 5]],#REF!,3,0),0)</f>
        <v>0</v>
      </c>
      <c r="M25" s="3">
        <f>Table43_1[[#This Row],[QTY 1]]+Table43_1[[#This Row],[QTY 2]]+Table43_1[[#This Row],[QTY 3]]+Table43_1[[#This Row],[QTY 4]]+Table43_1[[#This Row],[QTY 5]]</f>
        <v>0</v>
      </c>
      <c r="N25" s="3"/>
    </row>
    <row r="26" spans="1:14">
      <c r="A26" t="s">
        <v>1089</v>
      </c>
      <c r="B26" t="s">
        <v>1090</v>
      </c>
      <c r="C26">
        <v>102006</v>
      </c>
      <c r="H26" s="3">
        <f>IFERROR(VLOOKUP(Table43_1[[#This Row],[PCPL KODE 1]],#REF!,3,0),0)</f>
        <v>0</v>
      </c>
      <c r="I26" s="3">
        <f>IFERROR(VLOOKUP(Table43_1[[#This Row],[PCPL KODE 2]],#REF!,3,0),0)</f>
        <v>0</v>
      </c>
      <c r="J26" s="3">
        <f>IFERROR(VLOOKUP(Table43_1[[#This Row],[PCPL KODE 3]],#REF!,3,0),0)</f>
        <v>0</v>
      </c>
      <c r="K26" s="3">
        <f>IFERROR(VLOOKUP(Table43_1[[#This Row],[PCPL KODE 4]],#REF!,3,0),0)</f>
        <v>0</v>
      </c>
      <c r="L26" s="3">
        <f>IFERROR(VLOOKUP(Table43_1[[#This Row],[PCPL KODE 5]],#REF!,3,0),0)</f>
        <v>0</v>
      </c>
      <c r="M26" s="3">
        <f>Table43_1[[#This Row],[QTY 1]]+Table43_1[[#This Row],[QTY 2]]+Table43_1[[#This Row],[QTY 3]]+Table43_1[[#This Row],[QTY 4]]+Table43_1[[#This Row],[QTY 5]]</f>
        <v>0</v>
      </c>
      <c r="N26" s="3"/>
    </row>
    <row r="27" spans="1:14">
      <c r="A27" t="s">
        <v>1091</v>
      </c>
      <c r="B27" t="s">
        <v>1092</v>
      </c>
      <c r="C27">
        <v>102007</v>
      </c>
      <c r="H27" s="3">
        <f>IFERROR(VLOOKUP(Table43_1[[#This Row],[PCPL KODE 1]],#REF!,3,0),0)</f>
        <v>0</v>
      </c>
      <c r="I27" s="3">
        <f>IFERROR(VLOOKUP(Table43_1[[#This Row],[PCPL KODE 2]],#REF!,3,0),0)</f>
        <v>0</v>
      </c>
      <c r="J27" s="3">
        <f>IFERROR(VLOOKUP(Table43_1[[#This Row],[PCPL KODE 3]],#REF!,3,0),0)</f>
        <v>0</v>
      </c>
      <c r="K27" s="3">
        <f>IFERROR(VLOOKUP(Table43_1[[#This Row],[PCPL KODE 4]],#REF!,3,0),0)</f>
        <v>0</v>
      </c>
      <c r="L27" s="3">
        <f>IFERROR(VLOOKUP(Table43_1[[#This Row],[PCPL KODE 5]],#REF!,3,0),0)</f>
        <v>0</v>
      </c>
      <c r="M27" s="3">
        <f>Table43_1[[#This Row],[QTY 1]]+Table43_1[[#This Row],[QTY 2]]+Table43_1[[#This Row],[QTY 3]]+Table43_1[[#This Row],[QTY 4]]+Table43_1[[#This Row],[QTY 5]]</f>
        <v>0</v>
      </c>
      <c r="N27" s="3"/>
    </row>
    <row r="28" spans="1:14">
      <c r="A28" t="s">
        <v>1093</v>
      </c>
      <c r="B28" t="s">
        <v>1094</v>
      </c>
      <c r="C28">
        <v>102008</v>
      </c>
      <c r="H28" s="3">
        <f>IFERROR(VLOOKUP(Table43_1[[#This Row],[PCPL KODE 1]],#REF!,3,0),0)</f>
        <v>0</v>
      </c>
      <c r="I28" s="3">
        <f>IFERROR(VLOOKUP(Table43_1[[#This Row],[PCPL KODE 2]],#REF!,3,0),0)</f>
        <v>0</v>
      </c>
      <c r="J28" s="3">
        <f>IFERROR(VLOOKUP(Table43_1[[#This Row],[PCPL KODE 3]],#REF!,3,0),0)</f>
        <v>0</v>
      </c>
      <c r="K28" s="3">
        <f>IFERROR(VLOOKUP(Table43_1[[#This Row],[PCPL KODE 4]],#REF!,3,0),0)</f>
        <v>0</v>
      </c>
      <c r="L28" s="3">
        <f>IFERROR(VLOOKUP(Table43_1[[#This Row],[PCPL KODE 5]],#REF!,3,0),0)</f>
        <v>0</v>
      </c>
      <c r="M28" s="3">
        <f>Table43_1[[#This Row],[QTY 1]]+Table43_1[[#This Row],[QTY 2]]+Table43_1[[#This Row],[QTY 3]]+Table43_1[[#This Row],[QTY 4]]+Table43_1[[#This Row],[QTY 5]]</f>
        <v>0</v>
      </c>
      <c r="N28" s="3"/>
    </row>
    <row r="29" spans="1:14">
      <c r="A29" t="s">
        <v>1095</v>
      </c>
      <c r="B29" t="s">
        <v>1096</v>
      </c>
      <c r="C29">
        <v>102009</v>
      </c>
      <c r="H29" s="3">
        <f>IFERROR(VLOOKUP(Table43_1[[#This Row],[PCPL KODE 1]],#REF!,3,0),0)</f>
        <v>0</v>
      </c>
      <c r="I29" s="3">
        <f>IFERROR(VLOOKUP(Table43_1[[#This Row],[PCPL KODE 2]],#REF!,3,0),0)</f>
        <v>0</v>
      </c>
      <c r="J29" s="3">
        <f>IFERROR(VLOOKUP(Table43_1[[#This Row],[PCPL KODE 3]],#REF!,3,0),0)</f>
        <v>0</v>
      </c>
      <c r="K29" s="3">
        <f>IFERROR(VLOOKUP(Table43_1[[#This Row],[PCPL KODE 4]],#REF!,3,0),0)</f>
        <v>0</v>
      </c>
      <c r="L29" s="3">
        <f>IFERROR(VLOOKUP(Table43_1[[#This Row],[PCPL KODE 5]],#REF!,3,0),0)</f>
        <v>0</v>
      </c>
      <c r="M29" s="3">
        <f>Table43_1[[#This Row],[QTY 1]]+Table43_1[[#This Row],[QTY 2]]+Table43_1[[#This Row],[QTY 3]]+Table43_1[[#This Row],[QTY 4]]+Table43_1[[#This Row],[QTY 5]]</f>
        <v>0</v>
      </c>
      <c r="N29" s="3"/>
    </row>
    <row r="30" spans="1:14">
      <c r="A30" t="s">
        <v>1097</v>
      </c>
      <c r="B30" t="s">
        <v>1098</v>
      </c>
      <c r="C30">
        <v>102010</v>
      </c>
      <c r="H30" s="3">
        <f>IFERROR(VLOOKUP(Table43_1[[#This Row],[PCPL KODE 1]],#REF!,3,0),0)</f>
        <v>0</v>
      </c>
      <c r="I30" s="3">
        <f>IFERROR(VLOOKUP(Table43_1[[#This Row],[PCPL KODE 2]],#REF!,3,0),0)</f>
        <v>0</v>
      </c>
      <c r="J30" s="3">
        <f>IFERROR(VLOOKUP(Table43_1[[#This Row],[PCPL KODE 3]],#REF!,3,0),0)</f>
        <v>0</v>
      </c>
      <c r="K30" s="3">
        <f>IFERROR(VLOOKUP(Table43_1[[#This Row],[PCPL KODE 4]],#REF!,3,0),0)</f>
        <v>0</v>
      </c>
      <c r="L30" s="3">
        <f>IFERROR(VLOOKUP(Table43_1[[#This Row],[PCPL KODE 5]],#REF!,3,0),0)</f>
        <v>0</v>
      </c>
      <c r="M30" s="3">
        <f>Table43_1[[#This Row],[QTY 1]]+Table43_1[[#This Row],[QTY 2]]+Table43_1[[#This Row],[QTY 3]]+Table43_1[[#This Row],[QTY 4]]+Table43_1[[#This Row],[QTY 5]]</f>
        <v>0</v>
      </c>
      <c r="N30" s="3"/>
    </row>
    <row r="31" spans="1:14">
      <c r="A31" t="s">
        <v>1099</v>
      </c>
      <c r="B31" t="s">
        <v>1100</v>
      </c>
      <c r="C31">
        <v>102019</v>
      </c>
      <c r="H31" s="3">
        <f>IFERROR(VLOOKUP(Table43_1[[#This Row],[PCPL KODE 1]],#REF!,3,0),0)</f>
        <v>0</v>
      </c>
      <c r="I31" s="3">
        <f>IFERROR(VLOOKUP(Table43_1[[#This Row],[PCPL KODE 2]],#REF!,3,0),0)</f>
        <v>0</v>
      </c>
      <c r="J31" s="3">
        <f>IFERROR(VLOOKUP(Table43_1[[#This Row],[PCPL KODE 3]],#REF!,3,0),0)</f>
        <v>0</v>
      </c>
      <c r="K31" s="3">
        <f>IFERROR(VLOOKUP(Table43_1[[#This Row],[PCPL KODE 4]],#REF!,3,0),0)</f>
        <v>0</v>
      </c>
      <c r="L31" s="3">
        <f>IFERROR(VLOOKUP(Table43_1[[#This Row],[PCPL KODE 5]],#REF!,3,0),0)</f>
        <v>0</v>
      </c>
      <c r="M31" s="3">
        <f>Table43_1[[#This Row],[QTY 1]]+Table43_1[[#This Row],[QTY 2]]+Table43_1[[#This Row],[QTY 3]]+Table43_1[[#This Row],[QTY 4]]+Table43_1[[#This Row],[QTY 5]]</f>
        <v>0</v>
      </c>
      <c r="N31" s="3"/>
    </row>
    <row r="32" spans="1:14">
      <c r="A32" t="s">
        <v>1101</v>
      </c>
      <c r="B32" t="s">
        <v>1102</v>
      </c>
      <c r="C32">
        <v>102020</v>
      </c>
      <c r="H32" s="3">
        <f>IFERROR(VLOOKUP(Table43_1[[#This Row],[PCPL KODE 1]],#REF!,3,0),0)</f>
        <v>0</v>
      </c>
      <c r="I32" s="3">
        <f>IFERROR(VLOOKUP(Table43_1[[#This Row],[PCPL KODE 2]],#REF!,3,0),0)</f>
        <v>0</v>
      </c>
      <c r="J32" s="3">
        <f>IFERROR(VLOOKUP(Table43_1[[#This Row],[PCPL KODE 3]],#REF!,3,0),0)</f>
        <v>0</v>
      </c>
      <c r="K32" s="3">
        <f>IFERROR(VLOOKUP(Table43_1[[#This Row],[PCPL KODE 4]],#REF!,3,0),0)</f>
        <v>0</v>
      </c>
      <c r="L32" s="3">
        <f>IFERROR(VLOOKUP(Table43_1[[#This Row],[PCPL KODE 5]],#REF!,3,0),0)</f>
        <v>0</v>
      </c>
      <c r="M32" s="3">
        <f>Table43_1[[#This Row],[QTY 1]]+Table43_1[[#This Row],[QTY 2]]+Table43_1[[#This Row],[QTY 3]]+Table43_1[[#This Row],[QTY 4]]+Table43_1[[#This Row],[QTY 5]]</f>
        <v>0</v>
      </c>
      <c r="N32" s="3"/>
    </row>
    <row r="33" spans="1:14">
      <c r="A33" t="s">
        <v>1103</v>
      </c>
      <c r="B33" t="s">
        <v>1104</v>
      </c>
      <c r="C33">
        <v>102024</v>
      </c>
      <c r="H33" s="3">
        <f>IFERROR(VLOOKUP(Table43_1[[#This Row],[PCPL KODE 1]],#REF!,3,0),0)</f>
        <v>0</v>
      </c>
      <c r="I33" s="3">
        <f>IFERROR(VLOOKUP(Table43_1[[#This Row],[PCPL KODE 2]],#REF!,3,0),0)</f>
        <v>0</v>
      </c>
      <c r="J33" s="3">
        <f>IFERROR(VLOOKUP(Table43_1[[#This Row],[PCPL KODE 3]],#REF!,3,0),0)</f>
        <v>0</v>
      </c>
      <c r="K33" s="3">
        <f>IFERROR(VLOOKUP(Table43_1[[#This Row],[PCPL KODE 4]],#REF!,3,0),0)</f>
        <v>0</v>
      </c>
      <c r="L33" s="3">
        <f>IFERROR(VLOOKUP(Table43_1[[#This Row],[PCPL KODE 5]],#REF!,3,0),0)</f>
        <v>0</v>
      </c>
      <c r="M33" s="3">
        <f>Table43_1[[#This Row],[QTY 1]]+Table43_1[[#This Row],[QTY 2]]+Table43_1[[#This Row],[QTY 3]]+Table43_1[[#This Row],[QTY 4]]+Table43_1[[#This Row],[QTY 5]]</f>
        <v>0</v>
      </c>
      <c r="N33" s="3"/>
    </row>
    <row r="34" spans="1:14">
      <c r="A34" t="s">
        <v>1105</v>
      </c>
      <c r="B34" t="s">
        <v>1106</v>
      </c>
      <c r="C34">
        <v>102025</v>
      </c>
      <c r="H34" s="3">
        <f>IFERROR(VLOOKUP(Table43_1[[#This Row],[PCPL KODE 1]],#REF!,3,0),0)</f>
        <v>0</v>
      </c>
      <c r="I34" s="3">
        <f>IFERROR(VLOOKUP(Table43_1[[#This Row],[PCPL KODE 2]],#REF!,3,0),0)</f>
        <v>0</v>
      </c>
      <c r="J34" s="3">
        <f>IFERROR(VLOOKUP(Table43_1[[#This Row],[PCPL KODE 3]],#REF!,3,0),0)</f>
        <v>0</v>
      </c>
      <c r="K34" s="3">
        <f>IFERROR(VLOOKUP(Table43_1[[#This Row],[PCPL KODE 4]],#REF!,3,0),0)</f>
        <v>0</v>
      </c>
      <c r="L34" s="3">
        <f>IFERROR(VLOOKUP(Table43_1[[#This Row],[PCPL KODE 5]],#REF!,3,0),0)</f>
        <v>0</v>
      </c>
      <c r="M34" s="3">
        <f>Table43_1[[#This Row],[QTY 1]]+Table43_1[[#This Row],[QTY 2]]+Table43_1[[#This Row],[QTY 3]]+Table43_1[[#This Row],[QTY 4]]+Table43_1[[#This Row],[QTY 5]]</f>
        <v>0</v>
      </c>
      <c r="N34" s="3"/>
    </row>
    <row r="35" spans="1:14">
      <c r="A35" t="s">
        <v>1107</v>
      </c>
      <c r="B35" t="s">
        <v>1108</v>
      </c>
      <c r="C35">
        <v>102022</v>
      </c>
      <c r="H35" s="3">
        <f>IFERROR(VLOOKUP(Table43_1[[#This Row],[PCPL KODE 1]],#REF!,3,0),0)</f>
        <v>0</v>
      </c>
      <c r="I35" s="3">
        <f>IFERROR(VLOOKUP(Table43_1[[#This Row],[PCPL KODE 2]],#REF!,3,0),0)</f>
        <v>0</v>
      </c>
      <c r="J35" s="3">
        <f>IFERROR(VLOOKUP(Table43_1[[#This Row],[PCPL KODE 3]],#REF!,3,0),0)</f>
        <v>0</v>
      </c>
      <c r="K35" s="3">
        <f>IFERROR(VLOOKUP(Table43_1[[#This Row],[PCPL KODE 4]],#REF!,3,0),0)</f>
        <v>0</v>
      </c>
      <c r="L35" s="3">
        <f>IFERROR(VLOOKUP(Table43_1[[#This Row],[PCPL KODE 5]],#REF!,3,0),0)</f>
        <v>0</v>
      </c>
      <c r="M35" s="3">
        <f>Table43_1[[#This Row],[QTY 1]]+Table43_1[[#This Row],[QTY 2]]+Table43_1[[#This Row],[QTY 3]]+Table43_1[[#This Row],[QTY 4]]+Table43_1[[#This Row],[QTY 5]]</f>
        <v>0</v>
      </c>
      <c r="N35" s="3"/>
    </row>
    <row r="36" spans="1:14">
      <c r="A36" t="s">
        <v>1109</v>
      </c>
      <c r="B36" t="s">
        <v>1110</v>
      </c>
      <c r="C36">
        <v>102023</v>
      </c>
      <c r="H36" s="3">
        <f>IFERROR(VLOOKUP(Table43_1[[#This Row],[PCPL KODE 1]],#REF!,3,0),0)</f>
        <v>0</v>
      </c>
      <c r="I36" s="3">
        <f>IFERROR(VLOOKUP(Table43_1[[#This Row],[PCPL KODE 2]],#REF!,3,0),0)</f>
        <v>0</v>
      </c>
      <c r="J36" s="3">
        <f>IFERROR(VLOOKUP(Table43_1[[#This Row],[PCPL KODE 3]],#REF!,3,0),0)</f>
        <v>0</v>
      </c>
      <c r="K36" s="3">
        <f>IFERROR(VLOOKUP(Table43_1[[#This Row],[PCPL KODE 4]],#REF!,3,0),0)</f>
        <v>0</v>
      </c>
      <c r="L36" s="3">
        <f>IFERROR(VLOOKUP(Table43_1[[#This Row],[PCPL KODE 5]],#REF!,3,0),0)</f>
        <v>0</v>
      </c>
      <c r="M36" s="3">
        <f>Table43_1[[#This Row],[QTY 1]]+Table43_1[[#This Row],[QTY 2]]+Table43_1[[#This Row],[QTY 3]]+Table43_1[[#This Row],[QTY 4]]+Table43_1[[#This Row],[QTY 5]]</f>
        <v>0</v>
      </c>
      <c r="N36" s="3"/>
    </row>
    <row r="37" spans="1:14">
      <c r="A37" t="s">
        <v>1111</v>
      </c>
      <c r="B37" t="s">
        <v>1112</v>
      </c>
      <c r="C37">
        <v>103004</v>
      </c>
      <c r="H37" s="3">
        <f>IFERROR(VLOOKUP(Table43_1[[#This Row],[PCPL KODE 1]],#REF!,3,0),0)</f>
        <v>0</v>
      </c>
      <c r="I37" s="3">
        <f>IFERROR(VLOOKUP(Table43_1[[#This Row],[PCPL KODE 2]],#REF!,3,0),0)</f>
        <v>0</v>
      </c>
      <c r="J37" s="3">
        <f>IFERROR(VLOOKUP(Table43_1[[#This Row],[PCPL KODE 3]],#REF!,3,0),0)</f>
        <v>0</v>
      </c>
      <c r="K37" s="3">
        <f>IFERROR(VLOOKUP(Table43_1[[#This Row],[PCPL KODE 4]],#REF!,3,0),0)</f>
        <v>0</v>
      </c>
      <c r="L37" s="3">
        <f>IFERROR(VLOOKUP(Table43_1[[#This Row],[PCPL KODE 5]],#REF!,3,0),0)</f>
        <v>0</v>
      </c>
      <c r="M37" s="3">
        <f>Table43_1[[#This Row],[QTY 1]]+Table43_1[[#This Row],[QTY 2]]+Table43_1[[#This Row],[QTY 3]]+Table43_1[[#This Row],[QTY 4]]+Table43_1[[#This Row],[QTY 5]]</f>
        <v>0</v>
      </c>
      <c r="N37" s="3"/>
    </row>
    <row r="38" spans="1:14">
      <c r="A38" t="s">
        <v>1113</v>
      </c>
      <c r="B38" t="s">
        <v>3465</v>
      </c>
      <c r="C38">
        <v>103001</v>
      </c>
      <c r="H38" s="3">
        <f>IFERROR(VLOOKUP(Table43_1[[#This Row],[PCPL KODE 1]],#REF!,3,0),0)</f>
        <v>0</v>
      </c>
      <c r="I38" s="3">
        <f>IFERROR(VLOOKUP(Table43_1[[#This Row],[PCPL KODE 2]],#REF!,3,0),0)</f>
        <v>0</v>
      </c>
      <c r="J38" s="3">
        <f>IFERROR(VLOOKUP(Table43_1[[#This Row],[PCPL KODE 3]],#REF!,3,0),0)</f>
        <v>0</v>
      </c>
      <c r="K38" s="3">
        <f>IFERROR(VLOOKUP(Table43_1[[#This Row],[PCPL KODE 4]],#REF!,3,0),0)</f>
        <v>0</v>
      </c>
      <c r="L38" s="3">
        <f>IFERROR(VLOOKUP(Table43_1[[#This Row],[PCPL KODE 5]],#REF!,3,0),0)</f>
        <v>0</v>
      </c>
      <c r="M38" s="3">
        <f>Table43_1[[#This Row],[QTY 1]]+Table43_1[[#This Row],[QTY 2]]+Table43_1[[#This Row],[QTY 3]]+Table43_1[[#This Row],[QTY 4]]+Table43_1[[#This Row],[QTY 5]]</f>
        <v>0</v>
      </c>
      <c r="N38" s="3"/>
    </row>
    <row r="39" spans="1:14">
      <c r="A39" t="s">
        <v>2356</v>
      </c>
      <c r="B39" t="s">
        <v>1115</v>
      </c>
      <c r="C39">
        <v>103003</v>
      </c>
      <c r="H39" s="3">
        <f>IFERROR(VLOOKUP(Table43_1[[#This Row],[PCPL KODE 1]],#REF!,3,0),0)</f>
        <v>0</v>
      </c>
      <c r="I39" s="3">
        <f>IFERROR(VLOOKUP(Table43_1[[#This Row],[PCPL KODE 2]],#REF!,3,0),0)</f>
        <v>0</v>
      </c>
      <c r="J39" s="3">
        <f>IFERROR(VLOOKUP(Table43_1[[#This Row],[PCPL KODE 3]],#REF!,3,0),0)</f>
        <v>0</v>
      </c>
      <c r="K39" s="3">
        <f>IFERROR(VLOOKUP(Table43_1[[#This Row],[PCPL KODE 4]],#REF!,3,0),0)</f>
        <v>0</v>
      </c>
      <c r="L39" s="3">
        <f>IFERROR(VLOOKUP(Table43_1[[#This Row],[PCPL KODE 5]],#REF!,3,0),0)</f>
        <v>0</v>
      </c>
      <c r="M39" s="3">
        <f>Table43_1[[#This Row],[QTY 1]]+Table43_1[[#This Row],[QTY 2]]+Table43_1[[#This Row],[QTY 3]]+Table43_1[[#This Row],[QTY 4]]+Table43_1[[#This Row],[QTY 5]]</f>
        <v>0</v>
      </c>
      <c r="N39" s="3"/>
    </row>
    <row r="40" spans="1:14">
      <c r="A40" t="s">
        <v>1116</v>
      </c>
      <c r="B40" t="s">
        <v>3466</v>
      </c>
      <c r="C40">
        <v>103002</v>
      </c>
      <c r="H40" s="3">
        <f>IFERROR(VLOOKUP(Table43_1[[#This Row],[PCPL KODE 1]],#REF!,3,0),0)</f>
        <v>0</v>
      </c>
      <c r="I40" s="3">
        <f>IFERROR(VLOOKUP(Table43_1[[#This Row],[PCPL KODE 2]],#REF!,3,0),0)</f>
        <v>0</v>
      </c>
      <c r="J40" s="3">
        <f>IFERROR(VLOOKUP(Table43_1[[#This Row],[PCPL KODE 3]],#REF!,3,0),0)</f>
        <v>0</v>
      </c>
      <c r="K40" s="3">
        <f>IFERROR(VLOOKUP(Table43_1[[#This Row],[PCPL KODE 4]],#REF!,3,0),0)</f>
        <v>0</v>
      </c>
      <c r="L40" s="3">
        <f>IFERROR(VLOOKUP(Table43_1[[#This Row],[PCPL KODE 5]],#REF!,3,0),0)</f>
        <v>0</v>
      </c>
      <c r="M40" s="3">
        <f>Table43_1[[#This Row],[QTY 1]]+Table43_1[[#This Row],[QTY 2]]+Table43_1[[#This Row],[QTY 3]]+Table43_1[[#This Row],[QTY 4]]+Table43_1[[#This Row],[QTY 5]]</f>
        <v>0</v>
      </c>
      <c r="N40" s="3"/>
    </row>
    <row r="41" spans="1:14">
      <c r="A41" t="s">
        <v>1118</v>
      </c>
      <c r="B41" t="s">
        <v>1119</v>
      </c>
      <c r="C41" t="s">
        <v>2558</v>
      </c>
      <c r="H41" s="3">
        <f>IFERROR(VLOOKUP(Table43_1[[#This Row],[PCPL KODE 1]],#REF!,3,0),0)</f>
        <v>0</v>
      </c>
      <c r="I41" s="3">
        <f>IFERROR(VLOOKUP(Table43_1[[#This Row],[PCPL KODE 2]],#REF!,3,0),0)</f>
        <v>0</v>
      </c>
      <c r="J41" s="3">
        <f>IFERROR(VLOOKUP(Table43_1[[#This Row],[PCPL KODE 3]],#REF!,3,0),0)</f>
        <v>0</v>
      </c>
      <c r="K41" s="3">
        <f>IFERROR(VLOOKUP(Table43_1[[#This Row],[PCPL KODE 4]],#REF!,3,0),0)</f>
        <v>0</v>
      </c>
      <c r="L41" s="3">
        <f>IFERROR(VLOOKUP(Table43_1[[#This Row],[PCPL KODE 5]],#REF!,3,0),0)</f>
        <v>0</v>
      </c>
      <c r="M41" s="3">
        <f>Table43_1[[#This Row],[QTY 1]]+Table43_1[[#This Row],[QTY 2]]+Table43_1[[#This Row],[QTY 3]]+Table43_1[[#This Row],[QTY 4]]+Table43_1[[#This Row],[QTY 5]]</f>
        <v>0</v>
      </c>
      <c r="N41" s="3"/>
    </row>
    <row r="42" spans="1:14">
      <c r="A42" t="s">
        <v>1120</v>
      </c>
      <c r="B42" t="s">
        <v>1121</v>
      </c>
      <c r="C42" t="s">
        <v>2559</v>
      </c>
      <c r="H42" s="3">
        <f>IFERROR(VLOOKUP(Table43_1[[#This Row],[PCPL KODE 1]],#REF!,3,0),0)</f>
        <v>0</v>
      </c>
      <c r="I42" s="3">
        <f>IFERROR(VLOOKUP(Table43_1[[#This Row],[PCPL KODE 2]],#REF!,3,0),0)</f>
        <v>0</v>
      </c>
      <c r="J42" s="3">
        <f>IFERROR(VLOOKUP(Table43_1[[#This Row],[PCPL KODE 3]],#REF!,3,0),0)</f>
        <v>0</v>
      </c>
      <c r="K42" s="3">
        <f>IFERROR(VLOOKUP(Table43_1[[#This Row],[PCPL KODE 4]],#REF!,3,0),0)</f>
        <v>0</v>
      </c>
      <c r="L42" s="3">
        <f>IFERROR(VLOOKUP(Table43_1[[#This Row],[PCPL KODE 5]],#REF!,3,0),0)</f>
        <v>0</v>
      </c>
      <c r="M42" s="3">
        <f>Table43_1[[#This Row],[QTY 1]]+Table43_1[[#This Row],[QTY 2]]+Table43_1[[#This Row],[QTY 3]]+Table43_1[[#This Row],[QTY 4]]+Table43_1[[#This Row],[QTY 5]]</f>
        <v>0</v>
      </c>
      <c r="N42" s="3"/>
    </row>
    <row r="43" spans="1:14">
      <c r="A43" t="s">
        <v>1122</v>
      </c>
      <c r="B43" t="s">
        <v>1123</v>
      </c>
      <c r="C43" t="s">
        <v>2560</v>
      </c>
      <c r="H43" s="3">
        <f>IFERROR(VLOOKUP(Table43_1[[#This Row],[PCPL KODE 1]],#REF!,3,0),0)</f>
        <v>0</v>
      </c>
      <c r="I43" s="3">
        <f>IFERROR(VLOOKUP(Table43_1[[#This Row],[PCPL KODE 2]],#REF!,3,0),0)</f>
        <v>0</v>
      </c>
      <c r="J43" s="3">
        <f>IFERROR(VLOOKUP(Table43_1[[#This Row],[PCPL KODE 3]],#REF!,3,0),0)</f>
        <v>0</v>
      </c>
      <c r="K43" s="3">
        <f>IFERROR(VLOOKUP(Table43_1[[#This Row],[PCPL KODE 4]],#REF!,3,0),0)</f>
        <v>0</v>
      </c>
      <c r="L43" s="3">
        <f>IFERROR(VLOOKUP(Table43_1[[#This Row],[PCPL KODE 5]],#REF!,3,0),0)</f>
        <v>0</v>
      </c>
      <c r="M43" s="3">
        <f>Table43_1[[#This Row],[QTY 1]]+Table43_1[[#This Row],[QTY 2]]+Table43_1[[#This Row],[QTY 3]]+Table43_1[[#This Row],[QTY 4]]+Table43_1[[#This Row],[QTY 5]]</f>
        <v>0</v>
      </c>
      <c r="N43" s="3"/>
    </row>
    <row r="44" spans="1:14">
      <c r="A44" t="s">
        <v>2357</v>
      </c>
      <c r="B44" t="s">
        <v>1124</v>
      </c>
      <c r="C44" t="s">
        <v>2561</v>
      </c>
      <c r="H44" s="3">
        <f>IFERROR(VLOOKUP(Table43_1[[#This Row],[PCPL KODE 1]],#REF!,3,0),0)</f>
        <v>0</v>
      </c>
      <c r="I44" s="3">
        <f>IFERROR(VLOOKUP(Table43_1[[#This Row],[PCPL KODE 2]],#REF!,3,0),0)</f>
        <v>0</v>
      </c>
      <c r="J44" s="3">
        <f>IFERROR(VLOOKUP(Table43_1[[#This Row],[PCPL KODE 3]],#REF!,3,0),0)</f>
        <v>0</v>
      </c>
      <c r="K44" s="3">
        <f>IFERROR(VLOOKUP(Table43_1[[#This Row],[PCPL KODE 4]],#REF!,3,0),0)</f>
        <v>0</v>
      </c>
      <c r="L44" s="3">
        <f>IFERROR(VLOOKUP(Table43_1[[#This Row],[PCPL KODE 5]],#REF!,3,0),0)</f>
        <v>0</v>
      </c>
      <c r="M44" s="3">
        <f>Table43_1[[#This Row],[QTY 1]]+Table43_1[[#This Row],[QTY 2]]+Table43_1[[#This Row],[QTY 3]]+Table43_1[[#This Row],[QTY 4]]+Table43_1[[#This Row],[QTY 5]]</f>
        <v>0</v>
      </c>
      <c r="N44" s="3"/>
    </row>
    <row r="45" spans="1:14">
      <c r="A45" t="s">
        <v>1125</v>
      </c>
      <c r="B45" t="s">
        <v>1126</v>
      </c>
      <c r="C45">
        <v>103034</v>
      </c>
      <c r="H45" s="3">
        <f>IFERROR(VLOOKUP(Table43_1[[#This Row],[PCPL KODE 1]],#REF!,3,0),0)</f>
        <v>0</v>
      </c>
      <c r="I45" s="3">
        <f>IFERROR(VLOOKUP(Table43_1[[#This Row],[PCPL KODE 2]],#REF!,3,0),0)</f>
        <v>0</v>
      </c>
      <c r="J45" s="3">
        <f>IFERROR(VLOOKUP(Table43_1[[#This Row],[PCPL KODE 3]],#REF!,3,0),0)</f>
        <v>0</v>
      </c>
      <c r="K45" s="3">
        <f>IFERROR(VLOOKUP(Table43_1[[#This Row],[PCPL KODE 4]],#REF!,3,0),0)</f>
        <v>0</v>
      </c>
      <c r="L45" s="3">
        <f>IFERROR(VLOOKUP(Table43_1[[#This Row],[PCPL KODE 5]],#REF!,3,0),0)</f>
        <v>0</v>
      </c>
      <c r="M45" s="3">
        <f>Table43_1[[#This Row],[QTY 1]]+Table43_1[[#This Row],[QTY 2]]+Table43_1[[#This Row],[QTY 3]]+Table43_1[[#This Row],[QTY 4]]+Table43_1[[#This Row],[QTY 5]]</f>
        <v>0</v>
      </c>
      <c r="N45" s="3"/>
    </row>
    <row r="46" spans="1:14">
      <c r="A46" t="s">
        <v>1127</v>
      </c>
      <c r="B46" t="s">
        <v>1128</v>
      </c>
      <c r="C46">
        <v>103035</v>
      </c>
      <c r="H46" s="3">
        <f>IFERROR(VLOOKUP(Table43_1[[#This Row],[PCPL KODE 1]],#REF!,3,0),0)</f>
        <v>0</v>
      </c>
      <c r="I46" s="3">
        <f>IFERROR(VLOOKUP(Table43_1[[#This Row],[PCPL KODE 2]],#REF!,3,0),0)</f>
        <v>0</v>
      </c>
      <c r="J46" s="3">
        <f>IFERROR(VLOOKUP(Table43_1[[#This Row],[PCPL KODE 3]],#REF!,3,0),0)</f>
        <v>0</v>
      </c>
      <c r="K46" s="3">
        <f>IFERROR(VLOOKUP(Table43_1[[#This Row],[PCPL KODE 4]],#REF!,3,0),0)</f>
        <v>0</v>
      </c>
      <c r="L46" s="3">
        <f>IFERROR(VLOOKUP(Table43_1[[#This Row],[PCPL KODE 5]],#REF!,3,0),0)</f>
        <v>0</v>
      </c>
      <c r="M46" s="3">
        <f>Table43_1[[#This Row],[QTY 1]]+Table43_1[[#This Row],[QTY 2]]+Table43_1[[#This Row],[QTY 3]]+Table43_1[[#This Row],[QTY 4]]+Table43_1[[#This Row],[QTY 5]]</f>
        <v>0</v>
      </c>
      <c r="N46" s="3"/>
    </row>
    <row r="47" spans="1:14">
      <c r="A47" t="s">
        <v>1129</v>
      </c>
      <c r="B47" t="s">
        <v>1130</v>
      </c>
      <c r="C47">
        <v>103036</v>
      </c>
      <c r="H47" s="3">
        <f>IFERROR(VLOOKUP(Table43_1[[#This Row],[PCPL KODE 1]],#REF!,3,0),0)</f>
        <v>0</v>
      </c>
      <c r="I47" s="3">
        <f>IFERROR(VLOOKUP(Table43_1[[#This Row],[PCPL KODE 2]],#REF!,3,0),0)</f>
        <v>0</v>
      </c>
      <c r="J47" s="3">
        <f>IFERROR(VLOOKUP(Table43_1[[#This Row],[PCPL KODE 3]],#REF!,3,0),0)</f>
        <v>0</v>
      </c>
      <c r="K47" s="3">
        <f>IFERROR(VLOOKUP(Table43_1[[#This Row],[PCPL KODE 4]],#REF!,3,0),0)</f>
        <v>0</v>
      </c>
      <c r="L47" s="3">
        <f>IFERROR(VLOOKUP(Table43_1[[#This Row],[PCPL KODE 5]],#REF!,3,0),0)</f>
        <v>0</v>
      </c>
      <c r="M47" s="3">
        <f>Table43_1[[#This Row],[QTY 1]]+Table43_1[[#This Row],[QTY 2]]+Table43_1[[#This Row],[QTY 3]]+Table43_1[[#This Row],[QTY 4]]+Table43_1[[#This Row],[QTY 5]]</f>
        <v>0</v>
      </c>
      <c r="N47" s="3"/>
    </row>
    <row r="48" spans="1:14">
      <c r="A48" t="s">
        <v>1131</v>
      </c>
      <c r="B48" t="s">
        <v>1132</v>
      </c>
      <c r="C48">
        <v>103037</v>
      </c>
      <c r="H48" s="3">
        <f>IFERROR(VLOOKUP(Table43_1[[#This Row],[PCPL KODE 1]],#REF!,3,0),0)</f>
        <v>0</v>
      </c>
      <c r="I48" s="3">
        <f>IFERROR(VLOOKUP(Table43_1[[#This Row],[PCPL KODE 2]],#REF!,3,0),0)</f>
        <v>0</v>
      </c>
      <c r="J48" s="3">
        <f>IFERROR(VLOOKUP(Table43_1[[#This Row],[PCPL KODE 3]],#REF!,3,0),0)</f>
        <v>0</v>
      </c>
      <c r="K48" s="3">
        <f>IFERROR(VLOOKUP(Table43_1[[#This Row],[PCPL KODE 4]],#REF!,3,0),0)</f>
        <v>0</v>
      </c>
      <c r="L48" s="3">
        <f>IFERROR(VLOOKUP(Table43_1[[#This Row],[PCPL KODE 5]],#REF!,3,0),0)</f>
        <v>0</v>
      </c>
      <c r="M48" s="3">
        <f>Table43_1[[#This Row],[QTY 1]]+Table43_1[[#This Row],[QTY 2]]+Table43_1[[#This Row],[QTY 3]]+Table43_1[[#This Row],[QTY 4]]+Table43_1[[#This Row],[QTY 5]]</f>
        <v>0</v>
      </c>
      <c r="N48" s="3"/>
    </row>
    <row r="49" spans="1:14">
      <c r="A49" t="s">
        <v>1133</v>
      </c>
      <c r="B49" t="s">
        <v>1134</v>
      </c>
      <c r="C49">
        <v>103038</v>
      </c>
      <c r="H49" s="3">
        <f>IFERROR(VLOOKUP(Table43_1[[#This Row],[PCPL KODE 1]],#REF!,3,0),0)</f>
        <v>0</v>
      </c>
      <c r="I49" s="3">
        <f>IFERROR(VLOOKUP(Table43_1[[#This Row],[PCPL KODE 2]],#REF!,3,0),0)</f>
        <v>0</v>
      </c>
      <c r="J49" s="3">
        <f>IFERROR(VLOOKUP(Table43_1[[#This Row],[PCPL KODE 3]],#REF!,3,0),0)</f>
        <v>0</v>
      </c>
      <c r="K49" s="3">
        <f>IFERROR(VLOOKUP(Table43_1[[#This Row],[PCPL KODE 4]],#REF!,3,0),0)</f>
        <v>0</v>
      </c>
      <c r="L49" s="3">
        <f>IFERROR(VLOOKUP(Table43_1[[#This Row],[PCPL KODE 5]],#REF!,3,0),0)</f>
        <v>0</v>
      </c>
      <c r="M49" s="3">
        <f>Table43_1[[#This Row],[QTY 1]]+Table43_1[[#This Row],[QTY 2]]+Table43_1[[#This Row],[QTY 3]]+Table43_1[[#This Row],[QTY 4]]+Table43_1[[#This Row],[QTY 5]]</f>
        <v>0</v>
      </c>
      <c r="N49" s="3"/>
    </row>
    <row r="50" spans="1:14">
      <c r="A50" t="s">
        <v>1135</v>
      </c>
      <c r="B50" t="s">
        <v>1136</v>
      </c>
      <c r="C50">
        <v>103039</v>
      </c>
      <c r="H50" s="3">
        <f>IFERROR(VLOOKUP(Table43_1[[#This Row],[PCPL KODE 1]],#REF!,3,0),0)</f>
        <v>0</v>
      </c>
      <c r="I50" s="3">
        <f>IFERROR(VLOOKUP(Table43_1[[#This Row],[PCPL KODE 2]],#REF!,3,0),0)</f>
        <v>0</v>
      </c>
      <c r="J50" s="3">
        <f>IFERROR(VLOOKUP(Table43_1[[#This Row],[PCPL KODE 3]],#REF!,3,0),0)</f>
        <v>0</v>
      </c>
      <c r="K50" s="3">
        <f>IFERROR(VLOOKUP(Table43_1[[#This Row],[PCPL KODE 4]],#REF!,3,0),0)</f>
        <v>0</v>
      </c>
      <c r="L50" s="3">
        <f>IFERROR(VLOOKUP(Table43_1[[#This Row],[PCPL KODE 5]],#REF!,3,0),0)</f>
        <v>0</v>
      </c>
      <c r="M50" s="3">
        <f>Table43_1[[#This Row],[QTY 1]]+Table43_1[[#This Row],[QTY 2]]+Table43_1[[#This Row],[QTY 3]]+Table43_1[[#This Row],[QTY 4]]+Table43_1[[#This Row],[QTY 5]]</f>
        <v>0</v>
      </c>
      <c r="N50" s="3"/>
    </row>
    <row r="51" spans="1:14">
      <c r="A51" t="s">
        <v>1137</v>
      </c>
      <c r="B51" t="s">
        <v>1138</v>
      </c>
      <c r="C51" t="s">
        <v>2562</v>
      </c>
      <c r="H51" s="3">
        <f>IFERROR(VLOOKUP(Table43_1[[#This Row],[PCPL KODE 1]],#REF!,3,0),0)</f>
        <v>0</v>
      </c>
      <c r="I51" s="3">
        <f>IFERROR(VLOOKUP(Table43_1[[#This Row],[PCPL KODE 2]],#REF!,3,0),0)</f>
        <v>0</v>
      </c>
      <c r="J51" s="3">
        <f>IFERROR(VLOOKUP(Table43_1[[#This Row],[PCPL KODE 3]],#REF!,3,0),0)</f>
        <v>0</v>
      </c>
      <c r="K51" s="3">
        <f>IFERROR(VLOOKUP(Table43_1[[#This Row],[PCPL KODE 4]],#REF!,3,0),0)</f>
        <v>0</v>
      </c>
      <c r="L51" s="3">
        <f>IFERROR(VLOOKUP(Table43_1[[#This Row],[PCPL KODE 5]],#REF!,3,0),0)</f>
        <v>0</v>
      </c>
      <c r="M51" s="3">
        <f>Table43_1[[#This Row],[QTY 1]]+Table43_1[[#This Row],[QTY 2]]+Table43_1[[#This Row],[QTY 3]]+Table43_1[[#This Row],[QTY 4]]+Table43_1[[#This Row],[QTY 5]]</f>
        <v>0</v>
      </c>
      <c r="N51" s="3"/>
    </row>
    <row r="52" spans="1:14">
      <c r="A52" t="s">
        <v>1139</v>
      </c>
      <c r="B52" t="s">
        <v>1140</v>
      </c>
      <c r="C52">
        <v>103041</v>
      </c>
      <c r="H52" s="3">
        <f>IFERROR(VLOOKUP(Table43_1[[#This Row],[PCPL KODE 1]],#REF!,3,0),0)</f>
        <v>0</v>
      </c>
      <c r="I52" s="3">
        <f>IFERROR(VLOOKUP(Table43_1[[#This Row],[PCPL KODE 2]],#REF!,3,0),0)</f>
        <v>0</v>
      </c>
      <c r="J52" s="3">
        <f>IFERROR(VLOOKUP(Table43_1[[#This Row],[PCPL KODE 3]],#REF!,3,0),0)</f>
        <v>0</v>
      </c>
      <c r="K52" s="3">
        <f>IFERROR(VLOOKUP(Table43_1[[#This Row],[PCPL KODE 4]],#REF!,3,0),0)</f>
        <v>0</v>
      </c>
      <c r="L52" s="3">
        <f>IFERROR(VLOOKUP(Table43_1[[#This Row],[PCPL KODE 5]],#REF!,3,0),0)</f>
        <v>0</v>
      </c>
      <c r="M52" s="3">
        <f>Table43_1[[#This Row],[QTY 1]]+Table43_1[[#This Row],[QTY 2]]+Table43_1[[#This Row],[QTY 3]]+Table43_1[[#This Row],[QTY 4]]+Table43_1[[#This Row],[QTY 5]]</f>
        <v>0</v>
      </c>
      <c r="N52" s="3"/>
    </row>
    <row r="53" spans="1:14">
      <c r="A53" t="s">
        <v>2358</v>
      </c>
      <c r="B53" t="s">
        <v>1141</v>
      </c>
      <c r="C53">
        <v>103017</v>
      </c>
      <c r="H53" s="3">
        <f>IFERROR(VLOOKUP(Table43_1[[#This Row],[PCPL KODE 1]],#REF!,3,0),0)</f>
        <v>0</v>
      </c>
      <c r="I53" s="3">
        <f>IFERROR(VLOOKUP(Table43_1[[#This Row],[PCPL KODE 2]],#REF!,3,0),0)</f>
        <v>0</v>
      </c>
      <c r="J53" s="3">
        <f>IFERROR(VLOOKUP(Table43_1[[#This Row],[PCPL KODE 3]],#REF!,3,0),0)</f>
        <v>0</v>
      </c>
      <c r="K53" s="3">
        <f>IFERROR(VLOOKUP(Table43_1[[#This Row],[PCPL KODE 4]],#REF!,3,0),0)</f>
        <v>0</v>
      </c>
      <c r="L53" s="3">
        <f>IFERROR(VLOOKUP(Table43_1[[#This Row],[PCPL KODE 5]],#REF!,3,0),0)</f>
        <v>0</v>
      </c>
      <c r="M53" s="3">
        <f>Table43_1[[#This Row],[QTY 1]]+Table43_1[[#This Row],[QTY 2]]+Table43_1[[#This Row],[QTY 3]]+Table43_1[[#This Row],[QTY 4]]+Table43_1[[#This Row],[QTY 5]]</f>
        <v>0</v>
      </c>
      <c r="N53" s="3"/>
    </row>
    <row r="54" spans="1:14">
      <c r="A54" t="s">
        <v>2359</v>
      </c>
      <c r="B54" t="s">
        <v>1142</v>
      </c>
      <c r="C54">
        <v>103018</v>
      </c>
      <c r="H54" s="3">
        <f>IFERROR(VLOOKUP(Table43_1[[#This Row],[PCPL KODE 1]],#REF!,3,0),0)</f>
        <v>0</v>
      </c>
      <c r="I54" s="3">
        <f>IFERROR(VLOOKUP(Table43_1[[#This Row],[PCPL KODE 2]],#REF!,3,0),0)</f>
        <v>0</v>
      </c>
      <c r="J54" s="3">
        <f>IFERROR(VLOOKUP(Table43_1[[#This Row],[PCPL KODE 3]],#REF!,3,0),0)</f>
        <v>0</v>
      </c>
      <c r="K54" s="3">
        <f>IFERROR(VLOOKUP(Table43_1[[#This Row],[PCPL KODE 4]],#REF!,3,0),0)</f>
        <v>0</v>
      </c>
      <c r="L54" s="3">
        <f>IFERROR(VLOOKUP(Table43_1[[#This Row],[PCPL KODE 5]],#REF!,3,0),0)</f>
        <v>0</v>
      </c>
      <c r="M54" s="3">
        <f>Table43_1[[#This Row],[QTY 1]]+Table43_1[[#This Row],[QTY 2]]+Table43_1[[#This Row],[QTY 3]]+Table43_1[[#This Row],[QTY 4]]+Table43_1[[#This Row],[QTY 5]]</f>
        <v>0</v>
      </c>
      <c r="N54" s="3"/>
    </row>
    <row r="55" spans="1:14">
      <c r="A55" t="s">
        <v>2360</v>
      </c>
      <c r="B55" t="s">
        <v>1143</v>
      </c>
      <c r="C55">
        <v>103019</v>
      </c>
      <c r="H55" s="3">
        <f>IFERROR(VLOOKUP(Table43_1[[#This Row],[PCPL KODE 1]],#REF!,3,0),0)</f>
        <v>0</v>
      </c>
      <c r="I55" s="3">
        <f>IFERROR(VLOOKUP(Table43_1[[#This Row],[PCPL KODE 2]],#REF!,3,0),0)</f>
        <v>0</v>
      </c>
      <c r="J55" s="3">
        <f>IFERROR(VLOOKUP(Table43_1[[#This Row],[PCPL KODE 3]],#REF!,3,0),0)</f>
        <v>0</v>
      </c>
      <c r="K55" s="3">
        <f>IFERROR(VLOOKUP(Table43_1[[#This Row],[PCPL KODE 4]],#REF!,3,0),0)</f>
        <v>0</v>
      </c>
      <c r="L55" s="3">
        <f>IFERROR(VLOOKUP(Table43_1[[#This Row],[PCPL KODE 5]],#REF!,3,0),0)</f>
        <v>0</v>
      </c>
      <c r="M55" s="3">
        <f>Table43_1[[#This Row],[QTY 1]]+Table43_1[[#This Row],[QTY 2]]+Table43_1[[#This Row],[QTY 3]]+Table43_1[[#This Row],[QTY 4]]+Table43_1[[#This Row],[QTY 5]]</f>
        <v>0</v>
      </c>
      <c r="N55" s="3"/>
    </row>
    <row r="56" spans="1:14">
      <c r="A56" t="s">
        <v>2361</v>
      </c>
      <c r="B56" t="s">
        <v>1144</v>
      </c>
      <c r="C56">
        <v>103020</v>
      </c>
      <c r="H56" s="3">
        <f>IFERROR(VLOOKUP(Table43_1[[#This Row],[PCPL KODE 1]],#REF!,3,0),0)</f>
        <v>0</v>
      </c>
      <c r="I56" s="3">
        <f>IFERROR(VLOOKUP(Table43_1[[#This Row],[PCPL KODE 2]],#REF!,3,0),0)</f>
        <v>0</v>
      </c>
      <c r="J56" s="3">
        <f>IFERROR(VLOOKUP(Table43_1[[#This Row],[PCPL KODE 3]],#REF!,3,0),0)</f>
        <v>0</v>
      </c>
      <c r="K56" s="3">
        <f>IFERROR(VLOOKUP(Table43_1[[#This Row],[PCPL KODE 4]],#REF!,3,0),0)</f>
        <v>0</v>
      </c>
      <c r="L56" s="3">
        <f>IFERROR(VLOOKUP(Table43_1[[#This Row],[PCPL KODE 5]],#REF!,3,0),0)</f>
        <v>0</v>
      </c>
      <c r="M56" s="3">
        <f>Table43_1[[#This Row],[QTY 1]]+Table43_1[[#This Row],[QTY 2]]+Table43_1[[#This Row],[QTY 3]]+Table43_1[[#This Row],[QTY 4]]+Table43_1[[#This Row],[QTY 5]]</f>
        <v>0</v>
      </c>
      <c r="N56" s="3"/>
    </row>
    <row r="57" spans="1:14">
      <c r="A57" t="s">
        <v>2362</v>
      </c>
      <c r="B57" t="s">
        <v>1145</v>
      </c>
      <c r="C57">
        <v>103021</v>
      </c>
      <c r="H57" s="3">
        <f>IFERROR(VLOOKUP(Table43_1[[#This Row],[PCPL KODE 1]],#REF!,3,0),0)</f>
        <v>0</v>
      </c>
      <c r="I57" s="3">
        <f>IFERROR(VLOOKUP(Table43_1[[#This Row],[PCPL KODE 2]],#REF!,3,0),0)</f>
        <v>0</v>
      </c>
      <c r="J57" s="3">
        <f>IFERROR(VLOOKUP(Table43_1[[#This Row],[PCPL KODE 3]],#REF!,3,0),0)</f>
        <v>0</v>
      </c>
      <c r="K57" s="3">
        <f>IFERROR(VLOOKUP(Table43_1[[#This Row],[PCPL KODE 4]],#REF!,3,0),0)</f>
        <v>0</v>
      </c>
      <c r="L57" s="3">
        <f>IFERROR(VLOOKUP(Table43_1[[#This Row],[PCPL KODE 5]],#REF!,3,0),0)</f>
        <v>0</v>
      </c>
      <c r="M57" s="3">
        <f>Table43_1[[#This Row],[QTY 1]]+Table43_1[[#This Row],[QTY 2]]+Table43_1[[#This Row],[QTY 3]]+Table43_1[[#This Row],[QTY 4]]+Table43_1[[#This Row],[QTY 5]]</f>
        <v>0</v>
      </c>
      <c r="N57" s="3"/>
    </row>
    <row r="58" spans="1:14">
      <c r="A58" t="s">
        <v>2363</v>
      </c>
      <c r="B58" t="s">
        <v>1146</v>
      </c>
      <c r="C58">
        <v>103022</v>
      </c>
      <c r="H58" s="3">
        <f>IFERROR(VLOOKUP(Table43_1[[#This Row],[PCPL KODE 1]],#REF!,3,0),0)</f>
        <v>0</v>
      </c>
      <c r="I58" s="3">
        <f>IFERROR(VLOOKUP(Table43_1[[#This Row],[PCPL KODE 2]],#REF!,3,0),0)</f>
        <v>0</v>
      </c>
      <c r="J58" s="3">
        <f>IFERROR(VLOOKUP(Table43_1[[#This Row],[PCPL KODE 3]],#REF!,3,0),0)</f>
        <v>0</v>
      </c>
      <c r="K58" s="3">
        <f>IFERROR(VLOOKUP(Table43_1[[#This Row],[PCPL KODE 4]],#REF!,3,0),0)</f>
        <v>0</v>
      </c>
      <c r="L58" s="3">
        <f>IFERROR(VLOOKUP(Table43_1[[#This Row],[PCPL KODE 5]],#REF!,3,0),0)</f>
        <v>0</v>
      </c>
      <c r="M58" s="3">
        <f>Table43_1[[#This Row],[QTY 1]]+Table43_1[[#This Row],[QTY 2]]+Table43_1[[#This Row],[QTY 3]]+Table43_1[[#This Row],[QTY 4]]+Table43_1[[#This Row],[QTY 5]]</f>
        <v>0</v>
      </c>
      <c r="N58" s="3"/>
    </row>
    <row r="59" spans="1:14">
      <c r="A59" t="s">
        <v>2364</v>
      </c>
      <c r="B59" t="s">
        <v>1147</v>
      </c>
      <c r="C59" t="s">
        <v>2563</v>
      </c>
      <c r="D59" t="s">
        <v>2564</v>
      </c>
      <c r="H59" s="3">
        <f>IFERROR(VLOOKUP(Table43_1[[#This Row],[PCPL KODE 1]],#REF!,3,0),0)</f>
        <v>0</v>
      </c>
      <c r="I59" s="3">
        <f>IFERROR(VLOOKUP(Table43_1[[#This Row],[PCPL KODE 2]],#REF!,3,0),0)</f>
        <v>0</v>
      </c>
      <c r="J59" s="3">
        <f>IFERROR(VLOOKUP(Table43_1[[#This Row],[PCPL KODE 3]],#REF!,3,0),0)</f>
        <v>0</v>
      </c>
      <c r="K59" s="3">
        <f>IFERROR(VLOOKUP(Table43_1[[#This Row],[PCPL KODE 4]],#REF!,3,0),0)</f>
        <v>0</v>
      </c>
      <c r="L59" s="3">
        <f>IFERROR(VLOOKUP(Table43_1[[#This Row],[PCPL KODE 5]],#REF!,3,0),0)</f>
        <v>0</v>
      </c>
      <c r="M59" s="3">
        <f>Table43_1[[#This Row],[QTY 1]]+Table43_1[[#This Row],[QTY 2]]+Table43_1[[#This Row],[QTY 3]]+Table43_1[[#This Row],[QTY 4]]+Table43_1[[#This Row],[QTY 5]]</f>
        <v>0</v>
      </c>
      <c r="N59" s="3"/>
    </row>
    <row r="60" spans="1:14">
      <c r="A60" t="s">
        <v>1148</v>
      </c>
      <c r="B60" t="s">
        <v>2416</v>
      </c>
      <c r="C60" t="s">
        <v>2566</v>
      </c>
      <c r="D60" t="s">
        <v>2565</v>
      </c>
      <c r="H60" s="3">
        <f>IFERROR(VLOOKUP(Table43_1[[#This Row],[PCPL KODE 1]],#REF!,3,0),0)</f>
        <v>0</v>
      </c>
      <c r="I60" s="3">
        <f>IFERROR(VLOOKUP(Table43_1[[#This Row],[PCPL KODE 2]],#REF!,3,0),0)</f>
        <v>0</v>
      </c>
      <c r="J60" s="3">
        <f>IFERROR(VLOOKUP(Table43_1[[#This Row],[PCPL KODE 3]],#REF!,3,0),0)</f>
        <v>0</v>
      </c>
      <c r="K60" s="3">
        <f>IFERROR(VLOOKUP(Table43_1[[#This Row],[PCPL KODE 4]],#REF!,3,0),0)</f>
        <v>0</v>
      </c>
      <c r="L60" s="3">
        <f>IFERROR(VLOOKUP(Table43_1[[#This Row],[PCPL KODE 5]],#REF!,3,0),0)</f>
        <v>0</v>
      </c>
      <c r="M60" s="3">
        <f>Table43_1[[#This Row],[QTY 1]]+Table43_1[[#This Row],[QTY 2]]+Table43_1[[#This Row],[QTY 3]]+Table43_1[[#This Row],[QTY 4]]+Table43_1[[#This Row],[QTY 5]]</f>
        <v>0</v>
      </c>
      <c r="N60" s="3"/>
    </row>
    <row r="61" spans="1:14">
      <c r="A61" t="s">
        <v>1149</v>
      </c>
      <c r="B61" t="s">
        <v>2417</v>
      </c>
      <c r="C61">
        <v>103028</v>
      </c>
      <c r="D61">
        <v>103027</v>
      </c>
      <c r="H61" s="3">
        <f>IFERROR(VLOOKUP(Table43_1[[#This Row],[PCPL KODE 1]],#REF!,3,0),0)</f>
        <v>0</v>
      </c>
      <c r="I61" s="3">
        <f>IFERROR(VLOOKUP(Table43_1[[#This Row],[PCPL KODE 2]],#REF!,3,0),0)</f>
        <v>0</v>
      </c>
      <c r="J61" s="3">
        <f>IFERROR(VLOOKUP(Table43_1[[#This Row],[PCPL KODE 3]],#REF!,3,0),0)</f>
        <v>0</v>
      </c>
      <c r="K61" s="3">
        <f>IFERROR(VLOOKUP(Table43_1[[#This Row],[PCPL KODE 4]],#REF!,3,0),0)</f>
        <v>0</v>
      </c>
      <c r="L61" s="3">
        <f>IFERROR(VLOOKUP(Table43_1[[#This Row],[PCPL KODE 5]],#REF!,3,0),0)</f>
        <v>0</v>
      </c>
      <c r="M61" s="3">
        <f>Table43_1[[#This Row],[QTY 1]]+Table43_1[[#This Row],[QTY 2]]+Table43_1[[#This Row],[QTY 3]]+Table43_1[[#This Row],[QTY 4]]+Table43_1[[#This Row],[QTY 5]]</f>
        <v>0</v>
      </c>
      <c r="N61" s="3"/>
    </row>
    <row r="62" spans="1:14">
      <c r="A62" t="s">
        <v>1150</v>
      </c>
      <c r="B62" t="s">
        <v>2418</v>
      </c>
      <c r="C62" t="s">
        <v>2568</v>
      </c>
      <c r="D62" t="s">
        <v>2567</v>
      </c>
      <c r="H62" s="3">
        <f>IFERROR(VLOOKUP(Table43_1[[#This Row],[PCPL KODE 1]],#REF!,3,0),0)</f>
        <v>0</v>
      </c>
      <c r="I62" s="3">
        <f>IFERROR(VLOOKUP(Table43_1[[#This Row],[PCPL KODE 2]],#REF!,3,0),0)</f>
        <v>0</v>
      </c>
      <c r="J62" s="3">
        <f>IFERROR(VLOOKUP(Table43_1[[#This Row],[PCPL KODE 3]],#REF!,3,0),0)</f>
        <v>0</v>
      </c>
      <c r="K62" s="3">
        <f>IFERROR(VLOOKUP(Table43_1[[#This Row],[PCPL KODE 4]],#REF!,3,0),0)</f>
        <v>0</v>
      </c>
      <c r="L62" s="3">
        <f>IFERROR(VLOOKUP(Table43_1[[#This Row],[PCPL KODE 5]],#REF!,3,0),0)</f>
        <v>0</v>
      </c>
      <c r="M62" s="3">
        <f>Table43_1[[#This Row],[QTY 1]]+Table43_1[[#This Row],[QTY 2]]+Table43_1[[#This Row],[QTY 3]]+Table43_1[[#This Row],[QTY 4]]+Table43_1[[#This Row],[QTY 5]]</f>
        <v>0</v>
      </c>
      <c r="N62" s="3"/>
    </row>
    <row r="63" spans="1:14">
      <c r="A63" t="s">
        <v>2365</v>
      </c>
      <c r="B63" t="s">
        <v>1151</v>
      </c>
      <c r="C63" t="s">
        <v>2569</v>
      </c>
      <c r="H63" s="3">
        <f>IFERROR(VLOOKUP(Table43_1[[#This Row],[PCPL KODE 1]],#REF!,3,0),0)</f>
        <v>0</v>
      </c>
      <c r="I63" s="3">
        <f>IFERROR(VLOOKUP(Table43_1[[#This Row],[PCPL KODE 2]],#REF!,3,0),0)</f>
        <v>0</v>
      </c>
      <c r="J63" s="3">
        <f>IFERROR(VLOOKUP(Table43_1[[#This Row],[PCPL KODE 3]],#REF!,3,0),0)</f>
        <v>0</v>
      </c>
      <c r="K63" s="3">
        <f>IFERROR(VLOOKUP(Table43_1[[#This Row],[PCPL KODE 4]],#REF!,3,0),0)</f>
        <v>0</v>
      </c>
      <c r="L63" s="3">
        <f>IFERROR(VLOOKUP(Table43_1[[#This Row],[PCPL KODE 5]],#REF!,3,0),0)</f>
        <v>0</v>
      </c>
      <c r="M63" s="3">
        <f>Table43_1[[#This Row],[QTY 1]]+Table43_1[[#This Row],[QTY 2]]+Table43_1[[#This Row],[QTY 3]]+Table43_1[[#This Row],[QTY 4]]+Table43_1[[#This Row],[QTY 5]]</f>
        <v>0</v>
      </c>
      <c r="N63" s="3"/>
    </row>
    <row r="64" spans="1:14">
      <c r="A64" t="s">
        <v>2366</v>
      </c>
      <c r="B64" t="s">
        <v>1152</v>
      </c>
      <c r="C64">
        <v>103029</v>
      </c>
      <c r="H64" s="3">
        <f>IFERROR(VLOOKUP(Table43_1[[#This Row],[PCPL KODE 1]],#REF!,3,0),0)</f>
        <v>0</v>
      </c>
      <c r="I64" s="3">
        <f>IFERROR(VLOOKUP(Table43_1[[#This Row],[PCPL KODE 2]],#REF!,3,0),0)</f>
        <v>0</v>
      </c>
      <c r="J64" s="3">
        <f>IFERROR(VLOOKUP(Table43_1[[#This Row],[PCPL KODE 3]],#REF!,3,0),0)</f>
        <v>0</v>
      </c>
      <c r="K64" s="3">
        <f>IFERROR(VLOOKUP(Table43_1[[#This Row],[PCPL KODE 4]],#REF!,3,0),0)</f>
        <v>0</v>
      </c>
      <c r="L64" s="3">
        <f>IFERROR(VLOOKUP(Table43_1[[#This Row],[PCPL KODE 5]],#REF!,3,0),0)</f>
        <v>0</v>
      </c>
      <c r="M64" s="3">
        <f>Table43_1[[#This Row],[QTY 1]]+Table43_1[[#This Row],[QTY 2]]+Table43_1[[#This Row],[QTY 3]]+Table43_1[[#This Row],[QTY 4]]+Table43_1[[#This Row],[QTY 5]]</f>
        <v>0</v>
      </c>
      <c r="N64" s="3"/>
    </row>
    <row r="65" spans="1:14">
      <c r="A65" t="s">
        <v>2367</v>
      </c>
      <c r="B65" t="s">
        <v>1153</v>
      </c>
      <c r="C65">
        <v>103032</v>
      </c>
      <c r="H65" s="3">
        <f>IFERROR(VLOOKUP(Table43_1[[#This Row],[PCPL KODE 1]],#REF!,3,0),0)</f>
        <v>0</v>
      </c>
      <c r="I65" s="3">
        <f>IFERROR(VLOOKUP(Table43_1[[#This Row],[PCPL KODE 2]],#REF!,3,0),0)</f>
        <v>0</v>
      </c>
      <c r="J65" s="3">
        <f>IFERROR(VLOOKUP(Table43_1[[#This Row],[PCPL KODE 3]],#REF!,3,0),0)</f>
        <v>0</v>
      </c>
      <c r="K65" s="3">
        <f>IFERROR(VLOOKUP(Table43_1[[#This Row],[PCPL KODE 4]],#REF!,3,0),0)</f>
        <v>0</v>
      </c>
      <c r="L65" s="3">
        <f>IFERROR(VLOOKUP(Table43_1[[#This Row],[PCPL KODE 5]],#REF!,3,0),0)</f>
        <v>0</v>
      </c>
      <c r="M65" s="3">
        <f>Table43_1[[#This Row],[QTY 1]]+Table43_1[[#This Row],[QTY 2]]+Table43_1[[#This Row],[QTY 3]]+Table43_1[[#This Row],[QTY 4]]+Table43_1[[#This Row],[QTY 5]]</f>
        <v>0</v>
      </c>
      <c r="N65" s="3"/>
    </row>
    <row r="66" spans="1:14">
      <c r="A66" t="s">
        <v>1154</v>
      </c>
      <c r="B66" t="s">
        <v>1155</v>
      </c>
      <c r="C66">
        <v>103005</v>
      </c>
      <c r="H66" s="3">
        <f>IFERROR(VLOOKUP(Table43_1[[#This Row],[PCPL KODE 1]],#REF!,3,0),0)</f>
        <v>0</v>
      </c>
      <c r="I66" s="3">
        <f>IFERROR(VLOOKUP(Table43_1[[#This Row],[PCPL KODE 2]],#REF!,3,0),0)</f>
        <v>0</v>
      </c>
      <c r="J66" s="3">
        <f>IFERROR(VLOOKUP(Table43_1[[#This Row],[PCPL KODE 3]],#REF!,3,0),0)</f>
        <v>0</v>
      </c>
      <c r="K66" s="3">
        <f>IFERROR(VLOOKUP(Table43_1[[#This Row],[PCPL KODE 4]],#REF!,3,0),0)</f>
        <v>0</v>
      </c>
      <c r="L66" s="3">
        <f>IFERROR(VLOOKUP(Table43_1[[#This Row],[PCPL KODE 5]],#REF!,3,0),0)</f>
        <v>0</v>
      </c>
      <c r="M66" s="3">
        <f>Table43_1[[#This Row],[QTY 1]]+Table43_1[[#This Row],[QTY 2]]+Table43_1[[#This Row],[QTY 3]]+Table43_1[[#This Row],[QTY 4]]+Table43_1[[#This Row],[QTY 5]]</f>
        <v>0</v>
      </c>
      <c r="N66" s="3"/>
    </row>
    <row r="67" spans="1:14">
      <c r="A67" t="s">
        <v>1156</v>
      </c>
      <c r="B67" t="s">
        <v>1157</v>
      </c>
      <c r="C67">
        <v>103083</v>
      </c>
      <c r="D67">
        <v>103006</v>
      </c>
      <c r="H67" s="3">
        <f>IFERROR(VLOOKUP(Table43_1[[#This Row],[PCPL KODE 1]],#REF!,3,0),0)</f>
        <v>0</v>
      </c>
      <c r="I67" s="3">
        <f>IFERROR(VLOOKUP(Table43_1[[#This Row],[PCPL KODE 2]],#REF!,3,0),0)</f>
        <v>0</v>
      </c>
      <c r="J67" s="3">
        <f>IFERROR(VLOOKUP(Table43_1[[#This Row],[PCPL KODE 3]],#REF!,3,0),0)</f>
        <v>0</v>
      </c>
      <c r="K67" s="3">
        <f>IFERROR(VLOOKUP(Table43_1[[#This Row],[PCPL KODE 4]],#REF!,3,0),0)</f>
        <v>0</v>
      </c>
      <c r="L67" s="3">
        <f>IFERROR(VLOOKUP(Table43_1[[#This Row],[PCPL KODE 5]],#REF!,3,0),0)</f>
        <v>0</v>
      </c>
      <c r="M67" s="3">
        <f>Table43_1[[#This Row],[QTY 1]]+Table43_1[[#This Row],[QTY 2]]+Table43_1[[#This Row],[QTY 3]]+Table43_1[[#This Row],[QTY 4]]+Table43_1[[#This Row],[QTY 5]]</f>
        <v>0</v>
      </c>
      <c r="N67" s="3"/>
    </row>
    <row r="68" spans="1:14">
      <c r="A68" t="s">
        <v>1158</v>
      </c>
      <c r="B68" t="s">
        <v>1159</v>
      </c>
      <c r="C68">
        <v>103007</v>
      </c>
      <c r="H68" s="3">
        <f>IFERROR(VLOOKUP(Table43_1[[#This Row],[PCPL KODE 1]],#REF!,3,0),0)</f>
        <v>0</v>
      </c>
      <c r="I68" s="3">
        <f>IFERROR(VLOOKUP(Table43_1[[#This Row],[PCPL KODE 2]],#REF!,3,0),0)</f>
        <v>0</v>
      </c>
      <c r="J68" s="3">
        <f>IFERROR(VLOOKUP(Table43_1[[#This Row],[PCPL KODE 3]],#REF!,3,0),0)</f>
        <v>0</v>
      </c>
      <c r="K68" s="3">
        <f>IFERROR(VLOOKUP(Table43_1[[#This Row],[PCPL KODE 4]],#REF!,3,0),0)</f>
        <v>0</v>
      </c>
      <c r="L68" s="3">
        <f>IFERROR(VLOOKUP(Table43_1[[#This Row],[PCPL KODE 5]],#REF!,3,0),0)</f>
        <v>0</v>
      </c>
      <c r="M68" s="3">
        <f>Table43_1[[#This Row],[QTY 1]]+Table43_1[[#This Row],[QTY 2]]+Table43_1[[#This Row],[QTY 3]]+Table43_1[[#This Row],[QTY 4]]+Table43_1[[#This Row],[QTY 5]]</f>
        <v>0</v>
      </c>
      <c r="N68" s="3"/>
    </row>
    <row r="69" spans="1:14">
      <c r="A69" t="s">
        <v>1160</v>
      </c>
      <c r="B69" t="s">
        <v>1161</v>
      </c>
      <c r="C69">
        <v>103150</v>
      </c>
      <c r="D69">
        <v>103008</v>
      </c>
      <c r="H69" s="3">
        <f>IFERROR(VLOOKUP(Table43_1[[#This Row],[PCPL KODE 1]],#REF!,3,0),0)</f>
        <v>0</v>
      </c>
      <c r="I69" s="3">
        <f>IFERROR(VLOOKUP(Table43_1[[#This Row],[PCPL KODE 2]],#REF!,3,0),0)</f>
        <v>0</v>
      </c>
      <c r="J69" s="3">
        <f>IFERROR(VLOOKUP(Table43_1[[#This Row],[PCPL KODE 3]],#REF!,3,0),0)</f>
        <v>0</v>
      </c>
      <c r="K69" s="3">
        <f>IFERROR(VLOOKUP(Table43_1[[#This Row],[PCPL KODE 4]],#REF!,3,0),0)</f>
        <v>0</v>
      </c>
      <c r="L69" s="3">
        <f>IFERROR(VLOOKUP(Table43_1[[#This Row],[PCPL KODE 5]],#REF!,3,0),0)</f>
        <v>0</v>
      </c>
      <c r="M69" s="3">
        <f>Table43_1[[#This Row],[QTY 1]]+Table43_1[[#This Row],[QTY 2]]+Table43_1[[#This Row],[QTY 3]]+Table43_1[[#This Row],[QTY 4]]+Table43_1[[#This Row],[QTY 5]]</f>
        <v>0</v>
      </c>
      <c r="N69" s="3"/>
    </row>
    <row r="70" spans="1:14">
      <c r="A70" t="s">
        <v>1162</v>
      </c>
      <c r="B70" t="s">
        <v>1163</v>
      </c>
      <c r="C70">
        <v>103009</v>
      </c>
      <c r="H70" s="3">
        <f>IFERROR(VLOOKUP(Table43_1[[#This Row],[PCPL KODE 1]],#REF!,3,0),0)</f>
        <v>0</v>
      </c>
      <c r="I70" s="3">
        <f>IFERROR(VLOOKUP(Table43_1[[#This Row],[PCPL KODE 2]],#REF!,3,0),0)</f>
        <v>0</v>
      </c>
      <c r="J70" s="3">
        <f>IFERROR(VLOOKUP(Table43_1[[#This Row],[PCPL KODE 3]],#REF!,3,0),0)</f>
        <v>0</v>
      </c>
      <c r="K70" s="3">
        <f>IFERROR(VLOOKUP(Table43_1[[#This Row],[PCPL KODE 4]],#REF!,3,0),0)</f>
        <v>0</v>
      </c>
      <c r="L70" s="3">
        <f>IFERROR(VLOOKUP(Table43_1[[#This Row],[PCPL KODE 5]],#REF!,3,0),0)</f>
        <v>0</v>
      </c>
      <c r="M70" s="3">
        <f>Table43_1[[#This Row],[QTY 1]]+Table43_1[[#This Row],[QTY 2]]+Table43_1[[#This Row],[QTY 3]]+Table43_1[[#This Row],[QTY 4]]+Table43_1[[#This Row],[QTY 5]]</f>
        <v>0</v>
      </c>
      <c r="N70" s="3"/>
    </row>
    <row r="71" spans="1:14">
      <c r="A71" t="s">
        <v>1164</v>
      </c>
      <c r="B71" t="s">
        <v>1165</v>
      </c>
      <c r="C71">
        <v>103081</v>
      </c>
      <c r="D71">
        <v>103010</v>
      </c>
      <c r="H71" s="3">
        <f>IFERROR(VLOOKUP(Table43_1[[#This Row],[PCPL KODE 1]],#REF!,3,0),0)</f>
        <v>0</v>
      </c>
      <c r="I71" s="3">
        <f>IFERROR(VLOOKUP(Table43_1[[#This Row],[PCPL KODE 2]],#REF!,3,0),0)</f>
        <v>0</v>
      </c>
      <c r="J71" s="3">
        <f>IFERROR(VLOOKUP(Table43_1[[#This Row],[PCPL KODE 3]],#REF!,3,0),0)</f>
        <v>0</v>
      </c>
      <c r="K71" s="3">
        <f>IFERROR(VLOOKUP(Table43_1[[#This Row],[PCPL KODE 4]],#REF!,3,0),0)</f>
        <v>0</v>
      </c>
      <c r="L71" s="3">
        <f>IFERROR(VLOOKUP(Table43_1[[#This Row],[PCPL KODE 5]],#REF!,3,0),0)</f>
        <v>0</v>
      </c>
      <c r="M71" s="3">
        <f>Table43_1[[#This Row],[QTY 1]]+Table43_1[[#This Row],[QTY 2]]+Table43_1[[#This Row],[QTY 3]]+Table43_1[[#This Row],[QTY 4]]+Table43_1[[#This Row],[QTY 5]]</f>
        <v>0</v>
      </c>
      <c r="N71" s="3"/>
    </row>
    <row r="72" spans="1:14">
      <c r="A72" t="s">
        <v>1166</v>
      </c>
      <c r="B72" t="s">
        <v>1167</v>
      </c>
      <c r="C72">
        <v>103014</v>
      </c>
      <c r="H72" s="3">
        <f>IFERROR(VLOOKUP(Table43_1[[#This Row],[PCPL KODE 1]],#REF!,3,0),0)</f>
        <v>0</v>
      </c>
      <c r="I72" s="3">
        <f>IFERROR(VLOOKUP(Table43_1[[#This Row],[PCPL KODE 2]],#REF!,3,0),0)</f>
        <v>0</v>
      </c>
      <c r="J72" s="3">
        <f>IFERROR(VLOOKUP(Table43_1[[#This Row],[PCPL KODE 3]],#REF!,3,0),0)</f>
        <v>0</v>
      </c>
      <c r="K72" s="3">
        <f>IFERROR(VLOOKUP(Table43_1[[#This Row],[PCPL KODE 4]],#REF!,3,0),0)</f>
        <v>0</v>
      </c>
      <c r="L72" s="3">
        <f>IFERROR(VLOOKUP(Table43_1[[#This Row],[PCPL KODE 5]],#REF!,3,0),0)</f>
        <v>0</v>
      </c>
      <c r="M72" s="3">
        <f>Table43_1[[#This Row],[QTY 1]]+Table43_1[[#This Row],[QTY 2]]+Table43_1[[#This Row],[QTY 3]]+Table43_1[[#This Row],[QTY 4]]+Table43_1[[#This Row],[QTY 5]]</f>
        <v>0</v>
      </c>
      <c r="N72" s="3"/>
    </row>
    <row r="73" spans="1:14">
      <c r="A73" t="s">
        <v>1168</v>
      </c>
      <c r="B73" t="s">
        <v>3467</v>
      </c>
      <c r="C73">
        <v>103082</v>
      </c>
      <c r="D73">
        <v>103015</v>
      </c>
      <c r="H73" s="3">
        <f>IFERROR(VLOOKUP(Table43_1[[#This Row],[PCPL KODE 1]],#REF!,3,0),0)</f>
        <v>0</v>
      </c>
      <c r="I73" s="3">
        <f>IFERROR(VLOOKUP(Table43_1[[#This Row],[PCPL KODE 2]],#REF!,3,0),0)</f>
        <v>0</v>
      </c>
      <c r="J73" s="3">
        <f>IFERROR(VLOOKUP(Table43_1[[#This Row],[PCPL KODE 3]],#REF!,3,0),0)</f>
        <v>0</v>
      </c>
      <c r="K73" s="3">
        <f>IFERROR(VLOOKUP(Table43_1[[#This Row],[PCPL KODE 4]],#REF!,3,0),0)</f>
        <v>0</v>
      </c>
      <c r="L73" s="3">
        <f>IFERROR(VLOOKUP(Table43_1[[#This Row],[PCPL KODE 5]],#REF!,3,0),0)</f>
        <v>0</v>
      </c>
      <c r="M73" s="3">
        <f>Table43_1[[#This Row],[QTY 1]]+Table43_1[[#This Row],[QTY 2]]+Table43_1[[#This Row],[QTY 3]]+Table43_1[[#This Row],[QTY 4]]+Table43_1[[#This Row],[QTY 5]]</f>
        <v>0</v>
      </c>
      <c r="N73" s="3"/>
    </row>
    <row r="74" spans="1:14">
      <c r="A74" t="s">
        <v>1170</v>
      </c>
      <c r="B74" t="s">
        <v>1171</v>
      </c>
      <c r="C74">
        <v>103016</v>
      </c>
      <c r="H74" s="3">
        <f>IFERROR(VLOOKUP(Table43_1[[#This Row],[PCPL KODE 1]],#REF!,3,0),0)</f>
        <v>0</v>
      </c>
      <c r="I74" s="3">
        <f>IFERROR(VLOOKUP(Table43_1[[#This Row],[PCPL KODE 2]],#REF!,3,0),0)</f>
        <v>0</v>
      </c>
      <c r="J74" s="3">
        <f>IFERROR(VLOOKUP(Table43_1[[#This Row],[PCPL KODE 3]],#REF!,3,0),0)</f>
        <v>0</v>
      </c>
      <c r="K74" s="3">
        <f>IFERROR(VLOOKUP(Table43_1[[#This Row],[PCPL KODE 4]],#REF!,3,0),0)</f>
        <v>0</v>
      </c>
      <c r="L74" s="3">
        <f>IFERROR(VLOOKUP(Table43_1[[#This Row],[PCPL KODE 5]],#REF!,3,0),0)</f>
        <v>0</v>
      </c>
      <c r="M74" s="3">
        <f>Table43_1[[#This Row],[QTY 1]]+Table43_1[[#This Row],[QTY 2]]+Table43_1[[#This Row],[QTY 3]]+Table43_1[[#This Row],[QTY 4]]+Table43_1[[#This Row],[QTY 5]]</f>
        <v>0</v>
      </c>
      <c r="N74" s="3"/>
    </row>
    <row r="75" spans="1:14">
      <c r="A75" t="s">
        <v>1172</v>
      </c>
      <c r="B75" t="s">
        <v>3468</v>
      </c>
      <c r="C75">
        <v>103011</v>
      </c>
      <c r="H75" s="3">
        <f>IFERROR(VLOOKUP(Table43_1[[#This Row],[PCPL KODE 1]],#REF!,3,0),0)</f>
        <v>0</v>
      </c>
      <c r="I75" s="3">
        <f>IFERROR(VLOOKUP(Table43_1[[#This Row],[PCPL KODE 2]],#REF!,3,0),0)</f>
        <v>0</v>
      </c>
      <c r="J75" s="3">
        <f>IFERROR(VLOOKUP(Table43_1[[#This Row],[PCPL KODE 3]],#REF!,3,0),0)</f>
        <v>0</v>
      </c>
      <c r="K75" s="3">
        <f>IFERROR(VLOOKUP(Table43_1[[#This Row],[PCPL KODE 4]],#REF!,3,0),0)</f>
        <v>0</v>
      </c>
      <c r="L75" s="3">
        <f>IFERROR(VLOOKUP(Table43_1[[#This Row],[PCPL KODE 5]],#REF!,3,0),0)</f>
        <v>0</v>
      </c>
      <c r="M75" s="3">
        <f>Table43_1[[#This Row],[QTY 1]]+Table43_1[[#This Row],[QTY 2]]+Table43_1[[#This Row],[QTY 3]]+Table43_1[[#This Row],[QTY 4]]+Table43_1[[#This Row],[QTY 5]]</f>
        <v>0</v>
      </c>
      <c r="N75" s="3"/>
    </row>
    <row r="76" spans="1:14">
      <c r="A76" t="s">
        <v>1174</v>
      </c>
      <c r="B76" t="s">
        <v>1175</v>
      </c>
      <c r="C76">
        <v>103012</v>
      </c>
      <c r="H76" s="3">
        <f>IFERROR(VLOOKUP(Table43_1[[#This Row],[PCPL KODE 1]],#REF!,3,0),0)</f>
        <v>0</v>
      </c>
      <c r="I76" s="3">
        <f>IFERROR(VLOOKUP(Table43_1[[#This Row],[PCPL KODE 2]],#REF!,3,0),0)</f>
        <v>0</v>
      </c>
      <c r="J76" s="3">
        <f>IFERROR(VLOOKUP(Table43_1[[#This Row],[PCPL KODE 3]],#REF!,3,0),0)</f>
        <v>0</v>
      </c>
      <c r="K76" s="3">
        <f>IFERROR(VLOOKUP(Table43_1[[#This Row],[PCPL KODE 4]],#REF!,3,0),0)</f>
        <v>0</v>
      </c>
      <c r="L76" s="3">
        <f>IFERROR(VLOOKUP(Table43_1[[#This Row],[PCPL KODE 5]],#REF!,3,0),0)</f>
        <v>0</v>
      </c>
      <c r="M76" s="3">
        <f>Table43_1[[#This Row],[QTY 1]]+Table43_1[[#This Row],[QTY 2]]+Table43_1[[#This Row],[QTY 3]]+Table43_1[[#This Row],[QTY 4]]+Table43_1[[#This Row],[QTY 5]]</f>
        <v>0</v>
      </c>
      <c r="N76" s="3"/>
    </row>
    <row r="77" spans="1:14">
      <c r="A77" t="s">
        <v>1176</v>
      </c>
      <c r="B77" t="s">
        <v>1177</v>
      </c>
      <c r="C77">
        <v>103013</v>
      </c>
      <c r="H77" s="3">
        <f>IFERROR(VLOOKUP(Table43_1[[#This Row],[PCPL KODE 1]],#REF!,3,0),0)</f>
        <v>0</v>
      </c>
      <c r="I77" s="3">
        <f>IFERROR(VLOOKUP(Table43_1[[#This Row],[PCPL KODE 2]],#REF!,3,0),0)</f>
        <v>0</v>
      </c>
      <c r="J77" s="3">
        <f>IFERROR(VLOOKUP(Table43_1[[#This Row],[PCPL KODE 3]],#REF!,3,0),0)</f>
        <v>0</v>
      </c>
      <c r="K77" s="3">
        <f>IFERROR(VLOOKUP(Table43_1[[#This Row],[PCPL KODE 4]],#REF!,3,0),0)</f>
        <v>0</v>
      </c>
      <c r="L77" s="3">
        <f>IFERROR(VLOOKUP(Table43_1[[#This Row],[PCPL KODE 5]],#REF!,3,0),0)</f>
        <v>0</v>
      </c>
      <c r="M77" s="3">
        <f>Table43_1[[#This Row],[QTY 1]]+Table43_1[[#This Row],[QTY 2]]+Table43_1[[#This Row],[QTY 3]]+Table43_1[[#This Row],[QTY 4]]+Table43_1[[#This Row],[QTY 5]]</f>
        <v>0</v>
      </c>
      <c r="N77" s="3"/>
    </row>
    <row r="78" spans="1:14">
      <c r="A78" t="s">
        <v>1178</v>
      </c>
      <c r="B78" t="s">
        <v>3469</v>
      </c>
      <c r="C78" t="s">
        <v>2570</v>
      </c>
      <c r="H78" s="3">
        <f>IFERROR(VLOOKUP(Table43_1[[#This Row],[PCPL KODE 1]],#REF!,3,0),0)</f>
        <v>0</v>
      </c>
      <c r="I78" s="3">
        <f>IFERROR(VLOOKUP(Table43_1[[#This Row],[PCPL KODE 2]],#REF!,3,0),0)</f>
        <v>0</v>
      </c>
      <c r="J78" s="3">
        <f>IFERROR(VLOOKUP(Table43_1[[#This Row],[PCPL KODE 3]],#REF!,3,0),0)</f>
        <v>0</v>
      </c>
      <c r="K78" s="3">
        <f>IFERROR(VLOOKUP(Table43_1[[#This Row],[PCPL KODE 4]],#REF!,3,0),0)</f>
        <v>0</v>
      </c>
      <c r="L78" s="3">
        <f>IFERROR(VLOOKUP(Table43_1[[#This Row],[PCPL KODE 5]],#REF!,3,0),0)</f>
        <v>0</v>
      </c>
      <c r="M78" s="3">
        <f>Table43_1[[#This Row],[QTY 1]]+Table43_1[[#This Row],[QTY 2]]+Table43_1[[#This Row],[QTY 3]]+Table43_1[[#This Row],[QTY 4]]+Table43_1[[#This Row],[QTY 5]]</f>
        <v>0</v>
      </c>
      <c r="N78" s="3"/>
    </row>
    <row r="79" spans="1:14">
      <c r="A79" t="s">
        <v>1180</v>
      </c>
      <c r="B79" t="s">
        <v>1181</v>
      </c>
      <c r="C79">
        <v>103084</v>
      </c>
      <c r="H79" s="3">
        <f>IFERROR(VLOOKUP(Table43_1[[#This Row],[PCPL KODE 1]],#REF!,3,0),0)</f>
        <v>0</v>
      </c>
      <c r="I79" s="3">
        <f>IFERROR(VLOOKUP(Table43_1[[#This Row],[PCPL KODE 2]],#REF!,3,0),0)</f>
        <v>0</v>
      </c>
      <c r="J79" s="3">
        <f>IFERROR(VLOOKUP(Table43_1[[#This Row],[PCPL KODE 3]],#REF!,3,0),0)</f>
        <v>0</v>
      </c>
      <c r="K79" s="3">
        <f>IFERROR(VLOOKUP(Table43_1[[#This Row],[PCPL KODE 4]],#REF!,3,0),0)</f>
        <v>0</v>
      </c>
      <c r="L79" s="3">
        <f>IFERROR(VLOOKUP(Table43_1[[#This Row],[PCPL KODE 5]],#REF!,3,0),0)</f>
        <v>0</v>
      </c>
      <c r="M79" s="3">
        <f>Table43_1[[#This Row],[QTY 1]]+Table43_1[[#This Row],[QTY 2]]+Table43_1[[#This Row],[QTY 3]]+Table43_1[[#This Row],[QTY 4]]+Table43_1[[#This Row],[QTY 5]]</f>
        <v>0</v>
      </c>
      <c r="N79" s="3"/>
    </row>
    <row r="80" spans="1:14">
      <c r="A80" t="s">
        <v>1182</v>
      </c>
      <c r="B80" t="s">
        <v>1183</v>
      </c>
      <c r="C80">
        <v>103085</v>
      </c>
      <c r="H80" s="3">
        <f>IFERROR(VLOOKUP(Table43_1[[#This Row],[PCPL KODE 1]],#REF!,3,0),0)</f>
        <v>0</v>
      </c>
      <c r="I80" s="3">
        <f>IFERROR(VLOOKUP(Table43_1[[#This Row],[PCPL KODE 2]],#REF!,3,0),0)</f>
        <v>0</v>
      </c>
      <c r="J80" s="3">
        <f>IFERROR(VLOOKUP(Table43_1[[#This Row],[PCPL KODE 3]],#REF!,3,0),0)</f>
        <v>0</v>
      </c>
      <c r="K80" s="3">
        <f>IFERROR(VLOOKUP(Table43_1[[#This Row],[PCPL KODE 4]],#REF!,3,0),0)</f>
        <v>0</v>
      </c>
      <c r="L80" s="3">
        <f>IFERROR(VLOOKUP(Table43_1[[#This Row],[PCPL KODE 5]],#REF!,3,0),0)</f>
        <v>0</v>
      </c>
      <c r="M80" s="3">
        <f>Table43_1[[#This Row],[QTY 1]]+Table43_1[[#This Row],[QTY 2]]+Table43_1[[#This Row],[QTY 3]]+Table43_1[[#This Row],[QTY 4]]+Table43_1[[#This Row],[QTY 5]]</f>
        <v>0</v>
      </c>
      <c r="N80" s="3"/>
    </row>
    <row r="81" spans="1:14">
      <c r="A81" t="s">
        <v>2368</v>
      </c>
      <c r="B81" t="s">
        <v>1184</v>
      </c>
      <c r="C81" t="s">
        <v>2571</v>
      </c>
      <c r="H81" s="3">
        <f>IFERROR(VLOOKUP(Table43_1[[#This Row],[PCPL KODE 1]],#REF!,3,0),0)</f>
        <v>0</v>
      </c>
      <c r="I81" s="3">
        <f>IFERROR(VLOOKUP(Table43_1[[#This Row],[PCPL KODE 2]],#REF!,3,0),0)</f>
        <v>0</v>
      </c>
      <c r="J81" s="3">
        <f>IFERROR(VLOOKUP(Table43_1[[#This Row],[PCPL KODE 3]],#REF!,3,0),0)</f>
        <v>0</v>
      </c>
      <c r="K81" s="3">
        <f>IFERROR(VLOOKUP(Table43_1[[#This Row],[PCPL KODE 4]],#REF!,3,0),0)</f>
        <v>0</v>
      </c>
      <c r="L81" s="3">
        <f>IFERROR(VLOOKUP(Table43_1[[#This Row],[PCPL KODE 5]],#REF!,3,0),0)</f>
        <v>0</v>
      </c>
      <c r="M81" s="3">
        <f>Table43_1[[#This Row],[QTY 1]]+Table43_1[[#This Row],[QTY 2]]+Table43_1[[#This Row],[QTY 3]]+Table43_1[[#This Row],[QTY 4]]+Table43_1[[#This Row],[QTY 5]]</f>
        <v>0</v>
      </c>
      <c r="N81" s="3"/>
    </row>
    <row r="82" spans="1:14">
      <c r="A82" t="s">
        <v>2369</v>
      </c>
      <c r="B82" t="s">
        <v>1185</v>
      </c>
      <c r="C82">
        <v>109028</v>
      </c>
      <c r="D82">
        <v>103133</v>
      </c>
      <c r="H82" s="3">
        <f>IFERROR(VLOOKUP(Table43_1[[#This Row],[PCPL KODE 1]],#REF!,3,0),0)</f>
        <v>0</v>
      </c>
      <c r="I82" s="3">
        <f>IFERROR(VLOOKUP(Table43_1[[#This Row],[PCPL KODE 2]],#REF!,3,0),0)</f>
        <v>0</v>
      </c>
      <c r="J82" s="3">
        <f>IFERROR(VLOOKUP(Table43_1[[#This Row],[PCPL KODE 3]],#REF!,3,0),0)</f>
        <v>0</v>
      </c>
      <c r="K82" s="3">
        <f>IFERROR(VLOOKUP(Table43_1[[#This Row],[PCPL KODE 4]],#REF!,3,0),0)</f>
        <v>0</v>
      </c>
      <c r="L82" s="3">
        <f>IFERROR(VLOOKUP(Table43_1[[#This Row],[PCPL KODE 5]],#REF!,3,0),0)</f>
        <v>0</v>
      </c>
      <c r="M82" s="3">
        <f>Table43_1[[#This Row],[QTY 1]]+Table43_1[[#This Row],[QTY 2]]+Table43_1[[#This Row],[QTY 3]]+Table43_1[[#This Row],[QTY 4]]+Table43_1[[#This Row],[QTY 5]]</f>
        <v>0</v>
      </c>
      <c r="N82" s="3"/>
    </row>
    <row r="83" spans="1:14">
      <c r="A83" t="s">
        <v>2370</v>
      </c>
      <c r="B83" t="s">
        <v>1186</v>
      </c>
      <c r="C83">
        <v>109029</v>
      </c>
      <c r="D83">
        <v>103134</v>
      </c>
      <c r="H83" s="3">
        <f>IFERROR(VLOOKUP(Table43_1[[#This Row],[PCPL KODE 1]],#REF!,3,0),0)</f>
        <v>0</v>
      </c>
      <c r="I83" s="3">
        <f>IFERROR(VLOOKUP(Table43_1[[#This Row],[PCPL KODE 2]],#REF!,3,0),0)</f>
        <v>0</v>
      </c>
      <c r="J83" s="3">
        <f>IFERROR(VLOOKUP(Table43_1[[#This Row],[PCPL KODE 3]],#REF!,3,0),0)</f>
        <v>0</v>
      </c>
      <c r="K83" s="3">
        <f>IFERROR(VLOOKUP(Table43_1[[#This Row],[PCPL KODE 4]],#REF!,3,0),0)</f>
        <v>0</v>
      </c>
      <c r="L83" s="3">
        <f>IFERROR(VLOOKUP(Table43_1[[#This Row],[PCPL KODE 5]],#REF!,3,0),0)</f>
        <v>0</v>
      </c>
      <c r="M83" s="3">
        <f>Table43_1[[#This Row],[QTY 1]]+Table43_1[[#This Row],[QTY 2]]+Table43_1[[#This Row],[QTY 3]]+Table43_1[[#This Row],[QTY 4]]+Table43_1[[#This Row],[QTY 5]]</f>
        <v>0</v>
      </c>
      <c r="N83" s="3"/>
    </row>
    <row r="84" spans="1:14">
      <c r="A84" t="s">
        <v>2371</v>
      </c>
      <c r="B84" t="s">
        <v>1187</v>
      </c>
      <c r="C84">
        <v>103046</v>
      </c>
      <c r="H84" s="3">
        <f>IFERROR(VLOOKUP(Table43_1[[#This Row],[PCPL KODE 1]],#REF!,3,0),0)</f>
        <v>0</v>
      </c>
      <c r="I84" s="3">
        <f>IFERROR(VLOOKUP(Table43_1[[#This Row],[PCPL KODE 2]],#REF!,3,0),0)</f>
        <v>0</v>
      </c>
      <c r="J84" s="3">
        <f>IFERROR(VLOOKUP(Table43_1[[#This Row],[PCPL KODE 3]],#REF!,3,0),0)</f>
        <v>0</v>
      </c>
      <c r="K84" s="3">
        <f>IFERROR(VLOOKUP(Table43_1[[#This Row],[PCPL KODE 4]],#REF!,3,0),0)</f>
        <v>0</v>
      </c>
      <c r="L84" s="3">
        <f>IFERROR(VLOOKUP(Table43_1[[#This Row],[PCPL KODE 5]],#REF!,3,0),0)</f>
        <v>0</v>
      </c>
      <c r="M84" s="3">
        <f>Table43_1[[#This Row],[QTY 1]]+Table43_1[[#This Row],[QTY 2]]+Table43_1[[#This Row],[QTY 3]]+Table43_1[[#This Row],[QTY 4]]+Table43_1[[#This Row],[QTY 5]]</f>
        <v>0</v>
      </c>
      <c r="N84" s="3"/>
    </row>
    <row r="85" spans="1:14">
      <c r="A85" t="s">
        <v>2372</v>
      </c>
      <c r="B85" t="s">
        <v>1188</v>
      </c>
      <c r="C85">
        <v>103044</v>
      </c>
      <c r="H85" s="3">
        <f>IFERROR(VLOOKUP(Table43_1[[#This Row],[PCPL KODE 1]],#REF!,3,0),0)</f>
        <v>0</v>
      </c>
      <c r="I85" s="3">
        <f>IFERROR(VLOOKUP(Table43_1[[#This Row],[PCPL KODE 2]],#REF!,3,0),0)</f>
        <v>0</v>
      </c>
      <c r="J85" s="3">
        <f>IFERROR(VLOOKUP(Table43_1[[#This Row],[PCPL KODE 3]],#REF!,3,0),0)</f>
        <v>0</v>
      </c>
      <c r="K85" s="3">
        <f>IFERROR(VLOOKUP(Table43_1[[#This Row],[PCPL KODE 4]],#REF!,3,0),0)</f>
        <v>0</v>
      </c>
      <c r="L85" s="3">
        <f>IFERROR(VLOOKUP(Table43_1[[#This Row],[PCPL KODE 5]],#REF!,3,0),0)</f>
        <v>0</v>
      </c>
      <c r="M85" s="3">
        <f>Table43_1[[#This Row],[QTY 1]]+Table43_1[[#This Row],[QTY 2]]+Table43_1[[#This Row],[QTY 3]]+Table43_1[[#This Row],[QTY 4]]+Table43_1[[#This Row],[QTY 5]]</f>
        <v>0</v>
      </c>
      <c r="N85" s="3"/>
    </row>
    <row r="86" spans="1:14">
      <c r="A86" t="s">
        <v>2373</v>
      </c>
      <c r="B86" t="s">
        <v>1189</v>
      </c>
      <c r="C86">
        <v>103045</v>
      </c>
      <c r="H86" s="3">
        <f>IFERROR(VLOOKUP(Table43_1[[#This Row],[PCPL KODE 1]],#REF!,3,0),0)</f>
        <v>0</v>
      </c>
      <c r="I86" s="3">
        <f>IFERROR(VLOOKUP(Table43_1[[#This Row],[PCPL KODE 2]],#REF!,3,0),0)</f>
        <v>0</v>
      </c>
      <c r="J86" s="3">
        <f>IFERROR(VLOOKUP(Table43_1[[#This Row],[PCPL KODE 3]],#REF!,3,0),0)</f>
        <v>0</v>
      </c>
      <c r="K86" s="3">
        <f>IFERROR(VLOOKUP(Table43_1[[#This Row],[PCPL KODE 4]],#REF!,3,0),0)</f>
        <v>0</v>
      </c>
      <c r="L86" s="3">
        <f>IFERROR(VLOOKUP(Table43_1[[#This Row],[PCPL KODE 5]],#REF!,3,0),0)</f>
        <v>0</v>
      </c>
      <c r="M86" s="3">
        <f>Table43_1[[#This Row],[QTY 1]]+Table43_1[[#This Row],[QTY 2]]+Table43_1[[#This Row],[QTY 3]]+Table43_1[[#This Row],[QTY 4]]+Table43_1[[#This Row],[QTY 5]]</f>
        <v>0</v>
      </c>
      <c r="N86" s="3"/>
    </row>
    <row r="87" spans="1:14">
      <c r="A87" t="s">
        <v>1190</v>
      </c>
      <c r="B87" t="s">
        <v>1191</v>
      </c>
      <c r="C87">
        <v>103048</v>
      </c>
      <c r="H87" s="3">
        <f>IFERROR(VLOOKUP(Table43_1[[#This Row],[PCPL KODE 1]],#REF!,3,0),0)</f>
        <v>0</v>
      </c>
      <c r="I87" s="3">
        <f>IFERROR(VLOOKUP(Table43_1[[#This Row],[PCPL KODE 2]],#REF!,3,0),0)</f>
        <v>0</v>
      </c>
      <c r="J87" s="3">
        <f>IFERROR(VLOOKUP(Table43_1[[#This Row],[PCPL KODE 3]],#REF!,3,0),0)</f>
        <v>0</v>
      </c>
      <c r="K87" s="3">
        <f>IFERROR(VLOOKUP(Table43_1[[#This Row],[PCPL KODE 4]],#REF!,3,0),0)</f>
        <v>0</v>
      </c>
      <c r="L87" s="3">
        <f>IFERROR(VLOOKUP(Table43_1[[#This Row],[PCPL KODE 5]],#REF!,3,0),0)</f>
        <v>0</v>
      </c>
      <c r="M87" s="3">
        <f>Table43_1[[#This Row],[QTY 1]]+Table43_1[[#This Row],[QTY 2]]+Table43_1[[#This Row],[QTY 3]]+Table43_1[[#This Row],[QTY 4]]+Table43_1[[#This Row],[QTY 5]]</f>
        <v>0</v>
      </c>
      <c r="N87" s="3"/>
    </row>
    <row r="88" spans="1:14">
      <c r="A88" t="s">
        <v>1192</v>
      </c>
      <c r="B88" t="s">
        <v>1193</v>
      </c>
      <c r="C88" t="s">
        <v>2572</v>
      </c>
      <c r="H88" s="3">
        <f>IFERROR(VLOOKUP(Table43_1[[#This Row],[PCPL KODE 1]],#REF!,3,0),0)</f>
        <v>0</v>
      </c>
      <c r="I88" s="3">
        <f>IFERROR(VLOOKUP(Table43_1[[#This Row],[PCPL KODE 2]],#REF!,3,0),0)</f>
        <v>0</v>
      </c>
      <c r="J88" s="3">
        <f>IFERROR(VLOOKUP(Table43_1[[#This Row],[PCPL KODE 3]],#REF!,3,0),0)</f>
        <v>0</v>
      </c>
      <c r="K88" s="3">
        <f>IFERROR(VLOOKUP(Table43_1[[#This Row],[PCPL KODE 4]],#REF!,3,0),0)</f>
        <v>0</v>
      </c>
      <c r="L88" s="3">
        <f>IFERROR(VLOOKUP(Table43_1[[#This Row],[PCPL KODE 5]],#REF!,3,0),0)</f>
        <v>0</v>
      </c>
      <c r="M88" s="3">
        <f>Table43_1[[#This Row],[QTY 1]]+Table43_1[[#This Row],[QTY 2]]+Table43_1[[#This Row],[QTY 3]]+Table43_1[[#This Row],[QTY 4]]+Table43_1[[#This Row],[QTY 5]]</f>
        <v>0</v>
      </c>
      <c r="N88" s="3"/>
    </row>
    <row r="89" spans="1:14">
      <c r="A89" t="s">
        <v>1194</v>
      </c>
      <c r="B89" t="s">
        <v>1195</v>
      </c>
      <c r="C89">
        <v>103047</v>
      </c>
      <c r="H89" s="3">
        <f>IFERROR(VLOOKUP(Table43_1[[#This Row],[PCPL KODE 1]],#REF!,3,0),0)</f>
        <v>0</v>
      </c>
      <c r="I89" s="3">
        <f>IFERROR(VLOOKUP(Table43_1[[#This Row],[PCPL KODE 2]],#REF!,3,0),0)</f>
        <v>0</v>
      </c>
      <c r="J89" s="3">
        <f>IFERROR(VLOOKUP(Table43_1[[#This Row],[PCPL KODE 3]],#REF!,3,0),0)</f>
        <v>0</v>
      </c>
      <c r="K89" s="3">
        <f>IFERROR(VLOOKUP(Table43_1[[#This Row],[PCPL KODE 4]],#REF!,3,0),0)</f>
        <v>0</v>
      </c>
      <c r="L89" s="3">
        <f>IFERROR(VLOOKUP(Table43_1[[#This Row],[PCPL KODE 5]],#REF!,3,0),0)</f>
        <v>0</v>
      </c>
      <c r="M89" s="3">
        <f>Table43_1[[#This Row],[QTY 1]]+Table43_1[[#This Row],[QTY 2]]+Table43_1[[#This Row],[QTY 3]]+Table43_1[[#This Row],[QTY 4]]+Table43_1[[#This Row],[QTY 5]]</f>
        <v>0</v>
      </c>
      <c r="N89" s="3"/>
    </row>
    <row r="90" spans="1:14">
      <c r="A90" t="s">
        <v>1196</v>
      </c>
      <c r="B90" t="s">
        <v>1197</v>
      </c>
      <c r="C90">
        <v>104001</v>
      </c>
      <c r="H90" s="3">
        <f>IFERROR(VLOOKUP(Table43_1[[#This Row],[PCPL KODE 1]],#REF!,3,0),0)</f>
        <v>0</v>
      </c>
      <c r="I90" s="3">
        <f>IFERROR(VLOOKUP(Table43_1[[#This Row],[PCPL KODE 2]],#REF!,3,0),0)</f>
        <v>0</v>
      </c>
      <c r="J90" s="3">
        <f>IFERROR(VLOOKUP(Table43_1[[#This Row],[PCPL KODE 3]],#REF!,3,0),0)</f>
        <v>0</v>
      </c>
      <c r="K90" s="3">
        <f>IFERROR(VLOOKUP(Table43_1[[#This Row],[PCPL KODE 4]],#REF!,3,0),0)</f>
        <v>0</v>
      </c>
      <c r="L90" s="3">
        <f>IFERROR(VLOOKUP(Table43_1[[#This Row],[PCPL KODE 5]],#REF!,3,0),0)</f>
        <v>0</v>
      </c>
      <c r="M90" s="3">
        <f>Table43_1[[#This Row],[QTY 1]]+Table43_1[[#This Row],[QTY 2]]+Table43_1[[#This Row],[QTY 3]]+Table43_1[[#This Row],[QTY 4]]+Table43_1[[#This Row],[QTY 5]]</f>
        <v>0</v>
      </c>
      <c r="N90" s="3"/>
    </row>
    <row r="91" spans="1:14">
      <c r="A91" t="s">
        <v>1198</v>
      </c>
      <c r="B91" t="s">
        <v>1199</v>
      </c>
      <c r="C91">
        <v>104002</v>
      </c>
      <c r="H91" s="3">
        <f>IFERROR(VLOOKUP(Table43_1[[#This Row],[PCPL KODE 1]],#REF!,3,0),0)</f>
        <v>0</v>
      </c>
      <c r="I91" s="3">
        <f>IFERROR(VLOOKUP(Table43_1[[#This Row],[PCPL KODE 2]],#REF!,3,0),0)</f>
        <v>0</v>
      </c>
      <c r="J91" s="3">
        <f>IFERROR(VLOOKUP(Table43_1[[#This Row],[PCPL KODE 3]],#REF!,3,0),0)</f>
        <v>0</v>
      </c>
      <c r="K91" s="3">
        <f>IFERROR(VLOOKUP(Table43_1[[#This Row],[PCPL KODE 4]],#REF!,3,0),0)</f>
        <v>0</v>
      </c>
      <c r="L91" s="3">
        <f>IFERROR(VLOOKUP(Table43_1[[#This Row],[PCPL KODE 5]],#REF!,3,0),0)</f>
        <v>0</v>
      </c>
      <c r="M91" s="3">
        <f>Table43_1[[#This Row],[QTY 1]]+Table43_1[[#This Row],[QTY 2]]+Table43_1[[#This Row],[QTY 3]]+Table43_1[[#This Row],[QTY 4]]+Table43_1[[#This Row],[QTY 5]]</f>
        <v>0</v>
      </c>
      <c r="N91" s="3"/>
    </row>
    <row r="92" spans="1:14">
      <c r="A92" t="s">
        <v>1200</v>
      </c>
      <c r="B92" t="s">
        <v>3470</v>
      </c>
      <c r="C92">
        <v>104003</v>
      </c>
      <c r="H92" s="3">
        <f>IFERROR(VLOOKUP(Table43_1[[#This Row],[PCPL KODE 1]],#REF!,3,0),0)</f>
        <v>0</v>
      </c>
      <c r="I92" s="3">
        <f>IFERROR(VLOOKUP(Table43_1[[#This Row],[PCPL KODE 2]],#REF!,3,0),0)</f>
        <v>0</v>
      </c>
      <c r="J92" s="3">
        <f>IFERROR(VLOOKUP(Table43_1[[#This Row],[PCPL KODE 3]],#REF!,3,0),0)</f>
        <v>0</v>
      </c>
      <c r="K92" s="3">
        <f>IFERROR(VLOOKUP(Table43_1[[#This Row],[PCPL KODE 4]],#REF!,3,0),0)</f>
        <v>0</v>
      </c>
      <c r="L92" s="3">
        <f>IFERROR(VLOOKUP(Table43_1[[#This Row],[PCPL KODE 5]],#REF!,3,0),0)</f>
        <v>0</v>
      </c>
      <c r="M92" s="3">
        <f>Table43_1[[#This Row],[QTY 1]]+Table43_1[[#This Row],[QTY 2]]+Table43_1[[#This Row],[QTY 3]]+Table43_1[[#This Row],[QTY 4]]+Table43_1[[#This Row],[QTY 5]]</f>
        <v>0</v>
      </c>
      <c r="N92" s="3"/>
    </row>
    <row r="93" spans="1:14">
      <c r="A93" t="s">
        <v>1202</v>
      </c>
      <c r="B93" t="s">
        <v>1203</v>
      </c>
      <c r="C93">
        <v>104004</v>
      </c>
      <c r="H93" s="3">
        <f>IFERROR(VLOOKUP(Table43_1[[#This Row],[PCPL KODE 1]],#REF!,3,0),0)</f>
        <v>0</v>
      </c>
      <c r="I93" s="3">
        <f>IFERROR(VLOOKUP(Table43_1[[#This Row],[PCPL KODE 2]],#REF!,3,0),0)</f>
        <v>0</v>
      </c>
      <c r="J93" s="3">
        <f>IFERROR(VLOOKUP(Table43_1[[#This Row],[PCPL KODE 3]],#REF!,3,0),0)</f>
        <v>0</v>
      </c>
      <c r="K93" s="3">
        <f>IFERROR(VLOOKUP(Table43_1[[#This Row],[PCPL KODE 4]],#REF!,3,0),0)</f>
        <v>0</v>
      </c>
      <c r="L93" s="3">
        <f>IFERROR(VLOOKUP(Table43_1[[#This Row],[PCPL KODE 5]],#REF!,3,0),0)</f>
        <v>0</v>
      </c>
      <c r="M93" s="3">
        <f>Table43_1[[#This Row],[QTY 1]]+Table43_1[[#This Row],[QTY 2]]+Table43_1[[#This Row],[QTY 3]]+Table43_1[[#This Row],[QTY 4]]+Table43_1[[#This Row],[QTY 5]]</f>
        <v>0</v>
      </c>
      <c r="N93" s="3"/>
    </row>
    <row r="94" spans="1:14">
      <c r="A94" t="s">
        <v>1204</v>
      </c>
      <c r="B94" t="s">
        <v>3471</v>
      </c>
      <c r="C94">
        <v>104005</v>
      </c>
      <c r="H94" s="3">
        <f>IFERROR(VLOOKUP(Table43_1[[#This Row],[PCPL KODE 1]],#REF!,3,0),0)</f>
        <v>0</v>
      </c>
      <c r="I94" s="3">
        <f>IFERROR(VLOOKUP(Table43_1[[#This Row],[PCPL KODE 2]],#REF!,3,0),0)</f>
        <v>0</v>
      </c>
      <c r="J94" s="3">
        <f>IFERROR(VLOOKUP(Table43_1[[#This Row],[PCPL KODE 3]],#REF!,3,0),0)</f>
        <v>0</v>
      </c>
      <c r="K94" s="3">
        <f>IFERROR(VLOOKUP(Table43_1[[#This Row],[PCPL KODE 4]],#REF!,3,0),0)</f>
        <v>0</v>
      </c>
      <c r="L94" s="3">
        <f>IFERROR(VLOOKUP(Table43_1[[#This Row],[PCPL KODE 5]],#REF!,3,0),0)</f>
        <v>0</v>
      </c>
      <c r="M94" s="3">
        <f>Table43_1[[#This Row],[QTY 1]]+Table43_1[[#This Row],[QTY 2]]+Table43_1[[#This Row],[QTY 3]]+Table43_1[[#This Row],[QTY 4]]+Table43_1[[#This Row],[QTY 5]]</f>
        <v>0</v>
      </c>
      <c r="N94" s="3"/>
    </row>
    <row r="95" spans="1:14">
      <c r="A95" t="s">
        <v>1206</v>
      </c>
      <c r="B95" t="s">
        <v>1207</v>
      </c>
      <c r="C95">
        <v>104006</v>
      </c>
      <c r="H95" s="3">
        <f>IFERROR(VLOOKUP(Table43_1[[#This Row],[PCPL KODE 1]],#REF!,3,0),0)</f>
        <v>0</v>
      </c>
      <c r="I95" s="3">
        <f>IFERROR(VLOOKUP(Table43_1[[#This Row],[PCPL KODE 2]],#REF!,3,0),0)</f>
        <v>0</v>
      </c>
      <c r="J95" s="3">
        <f>IFERROR(VLOOKUP(Table43_1[[#This Row],[PCPL KODE 3]],#REF!,3,0),0)</f>
        <v>0</v>
      </c>
      <c r="K95" s="3">
        <f>IFERROR(VLOOKUP(Table43_1[[#This Row],[PCPL KODE 4]],#REF!,3,0),0)</f>
        <v>0</v>
      </c>
      <c r="L95" s="3">
        <f>IFERROR(VLOOKUP(Table43_1[[#This Row],[PCPL KODE 5]],#REF!,3,0),0)</f>
        <v>0</v>
      </c>
      <c r="M95" s="3">
        <f>Table43_1[[#This Row],[QTY 1]]+Table43_1[[#This Row],[QTY 2]]+Table43_1[[#This Row],[QTY 3]]+Table43_1[[#This Row],[QTY 4]]+Table43_1[[#This Row],[QTY 5]]</f>
        <v>0</v>
      </c>
      <c r="N95" s="3"/>
    </row>
    <row r="96" spans="1:14">
      <c r="A96" t="s">
        <v>1208</v>
      </c>
      <c r="B96" t="s">
        <v>3472</v>
      </c>
      <c r="C96">
        <v>104007</v>
      </c>
      <c r="H96" s="3">
        <f>IFERROR(VLOOKUP(Table43_1[[#This Row],[PCPL KODE 1]],#REF!,3,0),0)</f>
        <v>0</v>
      </c>
      <c r="I96" s="3">
        <f>IFERROR(VLOOKUP(Table43_1[[#This Row],[PCPL KODE 2]],#REF!,3,0),0)</f>
        <v>0</v>
      </c>
      <c r="J96" s="3">
        <f>IFERROR(VLOOKUP(Table43_1[[#This Row],[PCPL KODE 3]],#REF!,3,0),0)</f>
        <v>0</v>
      </c>
      <c r="K96" s="3">
        <f>IFERROR(VLOOKUP(Table43_1[[#This Row],[PCPL KODE 4]],#REF!,3,0),0)</f>
        <v>0</v>
      </c>
      <c r="L96" s="3">
        <f>IFERROR(VLOOKUP(Table43_1[[#This Row],[PCPL KODE 5]],#REF!,3,0),0)</f>
        <v>0</v>
      </c>
      <c r="M96" s="3">
        <f>Table43_1[[#This Row],[QTY 1]]+Table43_1[[#This Row],[QTY 2]]+Table43_1[[#This Row],[QTY 3]]+Table43_1[[#This Row],[QTY 4]]+Table43_1[[#This Row],[QTY 5]]</f>
        <v>0</v>
      </c>
      <c r="N96" s="3"/>
    </row>
    <row r="97" spans="1:14">
      <c r="A97" t="s">
        <v>1210</v>
      </c>
      <c r="B97" t="s">
        <v>1211</v>
      </c>
      <c r="C97">
        <v>104008</v>
      </c>
      <c r="H97" s="3">
        <f>IFERROR(VLOOKUP(Table43_1[[#This Row],[PCPL KODE 1]],#REF!,3,0),0)</f>
        <v>0</v>
      </c>
      <c r="I97" s="3">
        <f>IFERROR(VLOOKUP(Table43_1[[#This Row],[PCPL KODE 2]],#REF!,3,0),0)</f>
        <v>0</v>
      </c>
      <c r="J97" s="3">
        <f>IFERROR(VLOOKUP(Table43_1[[#This Row],[PCPL KODE 3]],#REF!,3,0),0)</f>
        <v>0</v>
      </c>
      <c r="K97" s="3">
        <f>IFERROR(VLOOKUP(Table43_1[[#This Row],[PCPL KODE 4]],#REF!,3,0),0)</f>
        <v>0</v>
      </c>
      <c r="L97" s="3">
        <f>IFERROR(VLOOKUP(Table43_1[[#This Row],[PCPL KODE 5]],#REF!,3,0),0)</f>
        <v>0</v>
      </c>
      <c r="M97" s="3">
        <f>Table43_1[[#This Row],[QTY 1]]+Table43_1[[#This Row],[QTY 2]]+Table43_1[[#This Row],[QTY 3]]+Table43_1[[#This Row],[QTY 4]]+Table43_1[[#This Row],[QTY 5]]</f>
        <v>0</v>
      </c>
      <c r="N97" s="3"/>
    </row>
    <row r="98" spans="1:14">
      <c r="A98" t="s">
        <v>1212</v>
      </c>
      <c r="B98" t="s">
        <v>1213</v>
      </c>
      <c r="C98">
        <v>105045</v>
      </c>
      <c r="H98" s="3">
        <f>IFERROR(VLOOKUP(Table43_1[[#This Row],[PCPL KODE 1]],#REF!,3,0),0)</f>
        <v>0</v>
      </c>
      <c r="I98" s="3">
        <f>IFERROR(VLOOKUP(Table43_1[[#This Row],[PCPL KODE 2]],#REF!,3,0),0)</f>
        <v>0</v>
      </c>
      <c r="J98" s="3">
        <f>IFERROR(VLOOKUP(Table43_1[[#This Row],[PCPL KODE 3]],#REF!,3,0),0)</f>
        <v>0</v>
      </c>
      <c r="K98" s="3">
        <f>IFERROR(VLOOKUP(Table43_1[[#This Row],[PCPL KODE 4]],#REF!,3,0),0)</f>
        <v>0</v>
      </c>
      <c r="L98" s="3">
        <f>IFERROR(VLOOKUP(Table43_1[[#This Row],[PCPL KODE 5]],#REF!,3,0),0)</f>
        <v>0</v>
      </c>
      <c r="M98" s="3">
        <f>Table43_1[[#This Row],[QTY 1]]+Table43_1[[#This Row],[QTY 2]]+Table43_1[[#This Row],[QTY 3]]+Table43_1[[#This Row],[QTY 4]]+Table43_1[[#This Row],[QTY 5]]</f>
        <v>0</v>
      </c>
      <c r="N98" s="3"/>
    </row>
    <row r="99" spans="1:14">
      <c r="A99" t="s">
        <v>1214</v>
      </c>
      <c r="B99" t="s">
        <v>1215</v>
      </c>
      <c r="C99">
        <v>105053</v>
      </c>
      <c r="H99" s="3">
        <f>IFERROR(VLOOKUP(Table43_1[[#This Row],[PCPL KODE 1]],#REF!,3,0),0)</f>
        <v>0</v>
      </c>
      <c r="I99" s="3">
        <f>IFERROR(VLOOKUP(Table43_1[[#This Row],[PCPL KODE 2]],#REF!,3,0),0)</f>
        <v>0</v>
      </c>
      <c r="J99" s="3">
        <f>IFERROR(VLOOKUP(Table43_1[[#This Row],[PCPL KODE 3]],#REF!,3,0),0)</f>
        <v>0</v>
      </c>
      <c r="K99" s="3">
        <f>IFERROR(VLOOKUP(Table43_1[[#This Row],[PCPL KODE 4]],#REF!,3,0),0)</f>
        <v>0</v>
      </c>
      <c r="L99" s="3">
        <f>IFERROR(VLOOKUP(Table43_1[[#This Row],[PCPL KODE 5]],#REF!,3,0),0)</f>
        <v>0</v>
      </c>
      <c r="M99" s="3">
        <f>Table43_1[[#This Row],[QTY 1]]+Table43_1[[#This Row],[QTY 2]]+Table43_1[[#This Row],[QTY 3]]+Table43_1[[#This Row],[QTY 4]]+Table43_1[[#This Row],[QTY 5]]</f>
        <v>0</v>
      </c>
      <c r="N99" s="3"/>
    </row>
    <row r="100" spans="1:14">
      <c r="A100" t="s">
        <v>2412</v>
      </c>
      <c r="B100" t="s">
        <v>2419</v>
      </c>
      <c r="C100">
        <v>105047</v>
      </c>
      <c r="H100" s="3">
        <f>IFERROR(VLOOKUP(Table43_1[[#This Row],[PCPL KODE 1]],#REF!,3,0),0)</f>
        <v>0</v>
      </c>
      <c r="I100" s="3">
        <f>IFERROR(VLOOKUP(Table43_1[[#This Row],[PCPL KODE 2]],#REF!,3,0),0)</f>
        <v>0</v>
      </c>
      <c r="J100" s="3">
        <f>IFERROR(VLOOKUP(Table43_1[[#This Row],[PCPL KODE 3]],#REF!,3,0),0)</f>
        <v>0</v>
      </c>
      <c r="K100" s="3">
        <f>IFERROR(VLOOKUP(Table43_1[[#This Row],[PCPL KODE 4]],#REF!,3,0),0)</f>
        <v>0</v>
      </c>
      <c r="L100" s="3">
        <f>IFERROR(VLOOKUP(Table43_1[[#This Row],[PCPL KODE 5]],#REF!,3,0),0)</f>
        <v>0</v>
      </c>
      <c r="M100" s="3">
        <f>Table43_1[[#This Row],[QTY 1]]+Table43_1[[#This Row],[QTY 2]]+Table43_1[[#This Row],[QTY 3]]+Table43_1[[#This Row],[QTY 4]]+Table43_1[[#This Row],[QTY 5]]</f>
        <v>0</v>
      </c>
      <c r="N100" s="3"/>
    </row>
    <row r="101" spans="1:14">
      <c r="A101" t="s">
        <v>1216</v>
      </c>
      <c r="B101" t="s">
        <v>1217</v>
      </c>
      <c r="C101">
        <v>105046</v>
      </c>
      <c r="H101" s="3">
        <f>IFERROR(VLOOKUP(Table43_1[[#This Row],[PCPL KODE 1]],#REF!,3,0),0)</f>
        <v>0</v>
      </c>
      <c r="I101" s="3">
        <f>IFERROR(VLOOKUP(Table43_1[[#This Row],[PCPL KODE 2]],#REF!,3,0),0)</f>
        <v>0</v>
      </c>
      <c r="J101" s="3">
        <f>IFERROR(VLOOKUP(Table43_1[[#This Row],[PCPL KODE 3]],#REF!,3,0),0)</f>
        <v>0</v>
      </c>
      <c r="K101" s="3">
        <f>IFERROR(VLOOKUP(Table43_1[[#This Row],[PCPL KODE 4]],#REF!,3,0),0)</f>
        <v>0</v>
      </c>
      <c r="L101" s="3">
        <f>IFERROR(VLOOKUP(Table43_1[[#This Row],[PCPL KODE 5]],#REF!,3,0),0)</f>
        <v>0</v>
      </c>
      <c r="M101" s="3">
        <f>Table43_1[[#This Row],[QTY 1]]+Table43_1[[#This Row],[QTY 2]]+Table43_1[[#This Row],[QTY 3]]+Table43_1[[#This Row],[QTY 4]]+Table43_1[[#This Row],[QTY 5]]</f>
        <v>0</v>
      </c>
      <c r="N101" s="3"/>
    </row>
    <row r="102" spans="1:14">
      <c r="A102" t="s">
        <v>1218</v>
      </c>
      <c r="B102" t="s">
        <v>1219</v>
      </c>
      <c r="C102">
        <v>105054</v>
      </c>
      <c r="H102" s="3">
        <f>IFERROR(VLOOKUP(Table43_1[[#This Row],[PCPL KODE 1]],#REF!,3,0),0)</f>
        <v>0</v>
      </c>
      <c r="I102" s="3">
        <f>IFERROR(VLOOKUP(Table43_1[[#This Row],[PCPL KODE 2]],#REF!,3,0),0)</f>
        <v>0</v>
      </c>
      <c r="J102" s="3">
        <f>IFERROR(VLOOKUP(Table43_1[[#This Row],[PCPL KODE 3]],#REF!,3,0),0)</f>
        <v>0</v>
      </c>
      <c r="K102" s="3">
        <f>IFERROR(VLOOKUP(Table43_1[[#This Row],[PCPL KODE 4]],#REF!,3,0),0)</f>
        <v>0</v>
      </c>
      <c r="L102" s="3">
        <f>IFERROR(VLOOKUP(Table43_1[[#This Row],[PCPL KODE 5]],#REF!,3,0),0)</f>
        <v>0</v>
      </c>
      <c r="M102" s="3">
        <f>Table43_1[[#This Row],[QTY 1]]+Table43_1[[#This Row],[QTY 2]]+Table43_1[[#This Row],[QTY 3]]+Table43_1[[#This Row],[QTY 4]]+Table43_1[[#This Row],[QTY 5]]</f>
        <v>0</v>
      </c>
      <c r="N102" s="3"/>
    </row>
    <row r="103" spans="1:14">
      <c r="A103" t="s">
        <v>2429</v>
      </c>
      <c r="B103" t="s">
        <v>2430</v>
      </c>
      <c r="C103">
        <v>105049</v>
      </c>
      <c r="H103" s="3">
        <f>IFERROR(VLOOKUP(Table43_1[[#This Row],[PCPL KODE 1]],#REF!,3,0),0)</f>
        <v>0</v>
      </c>
      <c r="I103" s="3">
        <f>IFERROR(VLOOKUP(Table43_1[[#This Row],[PCPL KODE 2]],#REF!,3,0),0)</f>
        <v>0</v>
      </c>
      <c r="J103" s="3">
        <f>IFERROR(VLOOKUP(Table43_1[[#This Row],[PCPL KODE 3]],#REF!,3,0),0)</f>
        <v>0</v>
      </c>
      <c r="K103" s="3">
        <f>IFERROR(VLOOKUP(Table43_1[[#This Row],[PCPL KODE 4]],#REF!,3,0),0)</f>
        <v>0</v>
      </c>
      <c r="L103" s="3">
        <f>IFERROR(VLOOKUP(Table43_1[[#This Row],[PCPL KODE 5]],#REF!,3,0),0)</f>
        <v>0</v>
      </c>
      <c r="M103" s="3">
        <f>Table43_1[[#This Row],[QTY 1]]+Table43_1[[#This Row],[QTY 2]]+Table43_1[[#This Row],[QTY 3]]+Table43_1[[#This Row],[QTY 4]]+Table43_1[[#This Row],[QTY 5]]</f>
        <v>0</v>
      </c>
      <c r="N103" s="3"/>
    </row>
    <row r="104" spans="1:14">
      <c r="A104" t="s">
        <v>1220</v>
      </c>
      <c r="B104" t="s">
        <v>1221</v>
      </c>
      <c r="C104">
        <v>105048</v>
      </c>
      <c r="H104" s="3">
        <f>IFERROR(VLOOKUP(Table43_1[[#This Row],[PCPL KODE 1]],#REF!,3,0),0)</f>
        <v>0</v>
      </c>
      <c r="I104" s="3">
        <f>IFERROR(VLOOKUP(Table43_1[[#This Row],[PCPL KODE 2]],#REF!,3,0),0)</f>
        <v>0</v>
      </c>
      <c r="J104" s="3">
        <f>IFERROR(VLOOKUP(Table43_1[[#This Row],[PCPL KODE 3]],#REF!,3,0),0)</f>
        <v>0</v>
      </c>
      <c r="K104" s="3">
        <f>IFERROR(VLOOKUP(Table43_1[[#This Row],[PCPL KODE 4]],#REF!,3,0),0)</f>
        <v>0</v>
      </c>
      <c r="L104" s="3">
        <f>IFERROR(VLOOKUP(Table43_1[[#This Row],[PCPL KODE 5]],#REF!,3,0),0)</f>
        <v>0</v>
      </c>
      <c r="M104" s="3">
        <f>Table43_1[[#This Row],[QTY 1]]+Table43_1[[#This Row],[QTY 2]]+Table43_1[[#This Row],[QTY 3]]+Table43_1[[#This Row],[QTY 4]]+Table43_1[[#This Row],[QTY 5]]</f>
        <v>0</v>
      </c>
      <c r="N104" s="3"/>
    </row>
    <row r="105" spans="1:14">
      <c r="A105" t="s">
        <v>1222</v>
      </c>
      <c r="B105" t="s">
        <v>1223</v>
      </c>
      <c r="C105">
        <v>105055</v>
      </c>
      <c r="H105" s="3">
        <f>IFERROR(VLOOKUP(Table43_1[[#This Row],[PCPL KODE 1]],#REF!,3,0),0)</f>
        <v>0</v>
      </c>
      <c r="I105" s="3">
        <f>IFERROR(VLOOKUP(Table43_1[[#This Row],[PCPL KODE 2]],#REF!,3,0),0)</f>
        <v>0</v>
      </c>
      <c r="J105" s="3">
        <f>IFERROR(VLOOKUP(Table43_1[[#This Row],[PCPL KODE 3]],#REF!,3,0),0)</f>
        <v>0</v>
      </c>
      <c r="K105" s="3">
        <f>IFERROR(VLOOKUP(Table43_1[[#This Row],[PCPL KODE 4]],#REF!,3,0),0)</f>
        <v>0</v>
      </c>
      <c r="L105" s="3">
        <f>IFERROR(VLOOKUP(Table43_1[[#This Row],[PCPL KODE 5]],#REF!,3,0),0)</f>
        <v>0</v>
      </c>
      <c r="M105" s="3">
        <f>Table43_1[[#This Row],[QTY 1]]+Table43_1[[#This Row],[QTY 2]]+Table43_1[[#This Row],[QTY 3]]+Table43_1[[#This Row],[QTY 4]]+Table43_1[[#This Row],[QTY 5]]</f>
        <v>0</v>
      </c>
      <c r="N105" s="3"/>
    </row>
    <row r="106" spans="1:14">
      <c r="A106" t="s">
        <v>1224</v>
      </c>
      <c r="B106" t="s">
        <v>1225</v>
      </c>
      <c r="C106">
        <v>105050</v>
      </c>
      <c r="H106" s="3">
        <f>IFERROR(VLOOKUP(Table43_1[[#This Row],[PCPL KODE 1]],#REF!,3,0),0)</f>
        <v>0</v>
      </c>
      <c r="I106" s="3">
        <f>IFERROR(VLOOKUP(Table43_1[[#This Row],[PCPL KODE 2]],#REF!,3,0),0)</f>
        <v>0</v>
      </c>
      <c r="J106" s="3">
        <f>IFERROR(VLOOKUP(Table43_1[[#This Row],[PCPL KODE 3]],#REF!,3,0),0)</f>
        <v>0</v>
      </c>
      <c r="K106" s="3">
        <f>IFERROR(VLOOKUP(Table43_1[[#This Row],[PCPL KODE 4]],#REF!,3,0),0)</f>
        <v>0</v>
      </c>
      <c r="L106" s="3">
        <f>IFERROR(VLOOKUP(Table43_1[[#This Row],[PCPL KODE 5]],#REF!,3,0),0)</f>
        <v>0</v>
      </c>
      <c r="M106" s="3">
        <f>Table43_1[[#This Row],[QTY 1]]+Table43_1[[#This Row],[QTY 2]]+Table43_1[[#This Row],[QTY 3]]+Table43_1[[#This Row],[QTY 4]]+Table43_1[[#This Row],[QTY 5]]</f>
        <v>0</v>
      </c>
      <c r="N106" s="3"/>
    </row>
    <row r="107" spans="1:14">
      <c r="A107" t="s">
        <v>1226</v>
      </c>
      <c r="B107" t="s">
        <v>1227</v>
      </c>
      <c r="C107">
        <v>105056</v>
      </c>
      <c r="H107" s="3">
        <f>IFERROR(VLOOKUP(Table43_1[[#This Row],[PCPL KODE 1]],#REF!,3,0),0)</f>
        <v>0</v>
      </c>
      <c r="I107" s="3">
        <f>IFERROR(VLOOKUP(Table43_1[[#This Row],[PCPL KODE 2]],#REF!,3,0),0)</f>
        <v>0</v>
      </c>
      <c r="J107" s="3">
        <f>IFERROR(VLOOKUP(Table43_1[[#This Row],[PCPL KODE 3]],#REF!,3,0),0)</f>
        <v>0</v>
      </c>
      <c r="K107" s="3">
        <f>IFERROR(VLOOKUP(Table43_1[[#This Row],[PCPL KODE 4]],#REF!,3,0),0)</f>
        <v>0</v>
      </c>
      <c r="L107" s="3">
        <f>IFERROR(VLOOKUP(Table43_1[[#This Row],[PCPL KODE 5]],#REF!,3,0),0)</f>
        <v>0</v>
      </c>
      <c r="M107" s="3">
        <f>Table43_1[[#This Row],[QTY 1]]+Table43_1[[#This Row],[QTY 2]]+Table43_1[[#This Row],[QTY 3]]+Table43_1[[#This Row],[QTY 4]]+Table43_1[[#This Row],[QTY 5]]</f>
        <v>0</v>
      </c>
      <c r="N107" s="3"/>
    </row>
    <row r="108" spans="1:14">
      <c r="A108" t="s">
        <v>1228</v>
      </c>
      <c r="B108" t="s">
        <v>1229</v>
      </c>
      <c r="C108">
        <v>105052</v>
      </c>
      <c r="H108" s="3">
        <f>IFERROR(VLOOKUP(Table43_1[[#This Row],[PCPL KODE 1]],#REF!,3,0),0)</f>
        <v>0</v>
      </c>
      <c r="I108" s="3">
        <f>IFERROR(VLOOKUP(Table43_1[[#This Row],[PCPL KODE 2]],#REF!,3,0),0)</f>
        <v>0</v>
      </c>
      <c r="J108" s="3">
        <f>IFERROR(VLOOKUP(Table43_1[[#This Row],[PCPL KODE 3]],#REF!,3,0),0)</f>
        <v>0</v>
      </c>
      <c r="K108" s="3">
        <f>IFERROR(VLOOKUP(Table43_1[[#This Row],[PCPL KODE 4]],#REF!,3,0),0)</f>
        <v>0</v>
      </c>
      <c r="L108" s="3">
        <f>IFERROR(VLOOKUP(Table43_1[[#This Row],[PCPL KODE 5]],#REF!,3,0),0)</f>
        <v>0</v>
      </c>
      <c r="M108" s="3">
        <f>Table43_1[[#This Row],[QTY 1]]+Table43_1[[#This Row],[QTY 2]]+Table43_1[[#This Row],[QTY 3]]+Table43_1[[#This Row],[QTY 4]]+Table43_1[[#This Row],[QTY 5]]</f>
        <v>0</v>
      </c>
      <c r="N108" s="3"/>
    </row>
    <row r="109" spans="1:14">
      <c r="A109" t="s">
        <v>1230</v>
      </c>
      <c r="B109" t="s">
        <v>1231</v>
      </c>
      <c r="C109">
        <v>105051</v>
      </c>
      <c r="H109" s="3">
        <f>IFERROR(VLOOKUP(Table43_1[[#This Row],[PCPL KODE 1]],#REF!,3,0),0)</f>
        <v>0</v>
      </c>
      <c r="I109" s="3">
        <f>IFERROR(VLOOKUP(Table43_1[[#This Row],[PCPL KODE 2]],#REF!,3,0),0)</f>
        <v>0</v>
      </c>
      <c r="J109" s="3">
        <f>IFERROR(VLOOKUP(Table43_1[[#This Row],[PCPL KODE 3]],#REF!,3,0),0)</f>
        <v>0</v>
      </c>
      <c r="K109" s="3">
        <f>IFERROR(VLOOKUP(Table43_1[[#This Row],[PCPL KODE 4]],#REF!,3,0),0)</f>
        <v>0</v>
      </c>
      <c r="L109" s="3">
        <f>IFERROR(VLOOKUP(Table43_1[[#This Row],[PCPL KODE 5]],#REF!,3,0),0)</f>
        <v>0</v>
      </c>
      <c r="M109" s="3">
        <f>Table43_1[[#This Row],[QTY 1]]+Table43_1[[#This Row],[QTY 2]]+Table43_1[[#This Row],[QTY 3]]+Table43_1[[#This Row],[QTY 4]]+Table43_1[[#This Row],[QTY 5]]</f>
        <v>0</v>
      </c>
      <c r="N109" s="3"/>
    </row>
    <row r="110" spans="1:14">
      <c r="A110" t="s">
        <v>1232</v>
      </c>
      <c r="B110" t="s">
        <v>1233</v>
      </c>
      <c r="C110">
        <v>105038</v>
      </c>
      <c r="H110" s="3">
        <f>IFERROR(VLOOKUP(Table43_1[[#This Row],[PCPL KODE 1]],#REF!,3,0),0)</f>
        <v>0</v>
      </c>
      <c r="I110" s="3">
        <f>IFERROR(VLOOKUP(Table43_1[[#This Row],[PCPL KODE 2]],#REF!,3,0),0)</f>
        <v>0</v>
      </c>
      <c r="J110" s="3">
        <f>IFERROR(VLOOKUP(Table43_1[[#This Row],[PCPL KODE 3]],#REF!,3,0),0)</f>
        <v>0</v>
      </c>
      <c r="K110" s="3">
        <f>IFERROR(VLOOKUP(Table43_1[[#This Row],[PCPL KODE 4]],#REF!,3,0),0)</f>
        <v>0</v>
      </c>
      <c r="L110" s="3">
        <f>IFERROR(VLOOKUP(Table43_1[[#This Row],[PCPL KODE 5]],#REF!,3,0),0)</f>
        <v>0</v>
      </c>
      <c r="M110" s="3">
        <f>Table43_1[[#This Row],[QTY 1]]+Table43_1[[#This Row],[QTY 2]]+Table43_1[[#This Row],[QTY 3]]+Table43_1[[#This Row],[QTY 4]]+Table43_1[[#This Row],[QTY 5]]</f>
        <v>0</v>
      </c>
      <c r="N110" s="3"/>
    </row>
    <row r="111" spans="1:14">
      <c r="A111" t="s">
        <v>1234</v>
      </c>
      <c r="B111" t="s">
        <v>3473</v>
      </c>
      <c r="C111">
        <v>105041</v>
      </c>
      <c r="H111" s="3">
        <f>IFERROR(VLOOKUP(Table43_1[[#This Row],[PCPL KODE 1]],#REF!,3,0),0)</f>
        <v>0</v>
      </c>
      <c r="I111" s="3">
        <f>IFERROR(VLOOKUP(Table43_1[[#This Row],[PCPL KODE 2]],#REF!,3,0),0)</f>
        <v>0</v>
      </c>
      <c r="J111" s="3">
        <f>IFERROR(VLOOKUP(Table43_1[[#This Row],[PCPL KODE 3]],#REF!,3,0),0)</f>
        <v>0</v>
      </c>
      <c r="K111" s="3">
        <f>IFERROR(VLOOKUP(Table43_1[[#This Row],[PCPL KODE 4]],#REF!,3,0),0)</f>
        <v>0</v>
      </c>
      <c r="L111" s="3">
        <f>IFERROR(VLOOKUP(Table43_1[[#This Row],[PCPL KODE 5]],#REF!,3,0),0)</f>
        <v>0</v>
      </c>
      <c r="M111" s="3">
        <f>Table43_1[[#This Row],[QTY 1]]+Table43_1[[#This Row],[QTY 2]]+Table43_1[[#This Row],[QTY 3]]+Table43_1[[#This Row],[QTY 4]]+Table43_1[[#This Row],[QTY 5]]</f>
        <v>0</v>
      </c>
      <c r="N111" s="3"/>
    </row>
    <row r="112" spans="1:14">
      <c r="A112" t="s">
        <v>1236</v>
      </c>
      <c r="B112" t="s">
        <v>1237</v>
      </c>
      <c r="C112">
        <v>105039</v>
      </c>
      <c r="H112" s="3">
        <f>IFERROR(VLOOKUP(Table43_1[[#This Row],[PCPL KODE 1]],#REF!,3,0),0)</f>
        <v>0</v>
      </c>
      <c r="I112" s="3">
        <f>IFERROR(VLOOKUP(Table43_1[[#This Row],[PCPL KODE 2]],#REF!,3,0),0)</f>
        <v>0</v>
      </c>
      <c r="J112" s="3">
        <f>IFERROR(VLOOKUP(Table43_1[[#This Row],[PCPL KODE 3]],#REF!,3,0),0)</f>
        <v>0</v>
      </c>
      <c r="K112" s="3">
        <f>IFERROR(VLOOKUP(Table43_1[[#This Row],[PCPL KODE 4]],#REF!,3,0),0)</f>
        <v>0</v>
      </c>
      <c r="L112" s="3">
        <f>IFERROR(VLOOKUP(Table43_1[[#This Row],[PCPL KODE 5]],#REF!,3,0),0)</f>
        <v>0</v>
      </c>
      <c r="M112" s="3">
        <f>Table43_1[[#This Row],[QTY 1]]+Table43_1[[#This Row],[QTY 2]]+Table43_1[[#This Row],[QTY 3]]+Table43_1[[#This Row],[QTY 4]]+Table43_1[[#This Row],[QTY 5]]</f>
        <v>0</v>
      </c>
      <c r="N112" s="3"/>
    </row>
    <row r="113" spans="1:14">
      <c r="A113" t="s">
        <v>1238</v>
      </c>
      <c r="B113" t="s">
        <v>3474</v>
      </c>
      <c r="C113">
        <v>105042</v>
      </c>
      <c r="H113" s="3">
        <f>IFERROR(VLOOKUP(Table43_1[[#This Row],[PCPL KODE 1]],#REF!,3,0),0)</f>
        <v>0</v>
      </c>
      <c r="I113" s="3">
        <f>IFERROR(VLOOKUP(Table43_1[[#This Row],[PCPL KODE 2]],#REF!,3,0),0)</f>
        <v>0</v>
      </c>
      <c r="J113" s="3">
        <f>IFERROR(VLOOKUP(Table43_1[[#This Row],[PCPL KODE 3]],#REF!,3,0),0)</f>
        <v>0</v>
      </c>
      <c r="K113" s="3">
        <f>IFERROR(VLOOKUP(Table43_1[[#This Row],[PCPL KODE 4]],#REF!,3,0),0)</f>
        <v>0</v>
      </c>
      <c r="L113" s="3">
        <f>IFERROR(VLOOKUP(Table43_1[[#This Row],[PCPL KODE 5]],#REF!,3,0),0)</f>
        <v>0</v>
      </c>
      <c r="M113" s="3">
        <f>Table43_1[[#This Row],[QTY 1]]+Table43_1[[#This Row],[QTY 2]]+Table43_1[[#This Row],[QTY 3]]+Table43_1[[#This Row],[QTY 4]]+Table43_1[[#This Row],[QTY 5]]</f>
        <v>0</v>
      </c>
      <c r="N113" s="3"/>
    </row>
    <row r="114" spans="1:14">
      <c r="A114" t="s">
        <v>1240</v>
      </c>
      <c r="B114" t="s">
        <v>1241</v>
      </c>
      <c r="C114">
        <v>105040</v>
      </c>
      <c r="H114" s="3">
        <f>IFERROR(VLOOKUP(Table43_1[[#This Row],[PCPL KODE 1]],#REF!,3,0),0)</f>
        <v>0</v>
      </c>
      <c r="I114" s="3">
        <f>IFERROR(VLOOKUP(Table43_1[[#This Row],[PCPL KODE 2]],#REF!,3,0),0)</f>
        <v>0</v>
      </c>
      <c r="J114" s="3">
        <f>IFERROR(VLOOKUP(Table43_1[[#This Row],[PCPL KODE 3]],#REF!,3,0),0)</f>
        <v>0</v>
      </c>
      <c r="K114" s="3">
        <f>IFERROR(VLOOKUP(Table43_1[[#This Row],[PCPL KODE 4]],#REF!,3,0),0)</f>
        <v>0</v>
      </c>
      <c r="L114" s="3">
        <f>IFERROR(VLOOKUP(Table43_1[[#This Row],[PCPL KODE 5]],#REF!,3,0),0)</f>
        <v>0</v>
      </c>
      <c r="M114" s="3">
        <f>Table43_1[[#This Row],[QTY 1]]+Table43_1[[#This Row],[QTY 2]]+Table43_1[[#This Row],[QTY 3]]+Table43_1[[#This Row],[QTY 4]]+Table43_1[[#This Row],[QTY 5]]</f>
        <v>0</v>
      </c>
      <c r="N114" s="3"/>
    </row>
    <row r="115" spans="1:14">
      <c r="A115" t="s">
        <v>1242</v>
      </c>
      <c r="B115" t="s">
        <v>3475</v>
      </c>
      <c r="C115">
        <v>105043</v>
      </c>
      <c r="H115" s="3">
        <f>IFERROR(VLOOKUP(Table43_1[[#This Row],[PCPL KODE 1]],#REF!,3,0),0)</f>
        <v>0</v>
      </c>
      <c r="I115" s="3">
        <f>IFERROR(VLOOKUP(Table43_1[[#This Row],[PCPL KODE 2]],#REF!,3,0),0)</f>
        <v>0</v>
      </c>
      <c r="J115" s="3">
        <f>IFERROR(VLOOKUP(Table43_1[[#This Row],[PCPL KODE 3]],#REF!,3,0),0)</f>
        <v>0</v>
      </c>
      <c r="K115" s="3">
        <f>IFERROR(VLOOKUP(Table43_1[[#This Row],[PCPL KODE 4]],#REF!,3,0),0)</f>
        <v>0</v>
      </c>
      <c r="L115" s="3">
        <f>IFERROR(VLOOKUP(Table43_1[[#This Row],[PCPL KODE 5]],#REF!,3,0),0)</f>
        <v>0</v>
      </c>
      <c r="M115" s="3">
        <f>Table43_1[[#This Row],[QTY 1]]+Table43_1[[#This Row],[QTY 2]]+Table43_1[[#This Row],[QTY 3]]+Table43_1[[#This Row],[QTY 4]]+Table43_1[[#This Row],[QTY 5]]</f>
        <v>0</v>
      </c>
      <c r="N115" s="3"/>
    </row>
    <row r="116" spans="1:14">
      <c r="A116" t="s">
        <v>1244</v>
      </c>
      <c r="B116" t="s">
        <v>3476</v>
      </c>
      <c r="C116">
        <v>105034</v>
      </c>
      <c r="H116" s="3">
        <f>IFERROR(VLOOKUP(Table43_1[[#This Row],[PCPL KODE 1]],#REF!,3,0),0)</f>
        <v>0</v>
      </c>
      <c r="I116" s="3">
        <f>IFERROR(VLOOKUP(Table43_1[[#This Row],[PCPL KODE 2]],#REF!,3,0),0)</f>
        <v>0</v>
      </c>
      <c r="J116" s="3">
        <f>IFERROR(VLOOKUP(Table43_1[[#This Row],[PCPL KODE 3]],#REF!,3,0),0)</f>
        <v>0</v>
      </c>
      <c r="K116" s="3">
        <f>IFERROR(VLOOKUP(Table43_1[[#This Row],[PCPL KODE 4]],#REF!,3,0),0)</f>
        <v>0</v>
      </c>
      <c r="L116" s="3">
        <f>IFERROR(VLOOKUP(Table43_1[[#This Row],[PCPL KODE 5]],#REF!,3,0),0)</f>
        <v>0</v>
      </c>
      <c r="M116" s="3">
        <f>Table43_1[[#This Row],[QTY 1]]+Table43_1[[#This Row],[QTY 2]]+Table43_1[[#This Row],[QTY 3]]+Table43_1[[#This Row],[QTY 4]]+Table43_1[[#This Row],[QTY 5]]</f>
        <v>0</v>
      </c>
      <c r="N116" s="3"/>
    </row>
    <row r="117" spans="1:14">
      <c r="A117" t="s">
        <v>1246</v>
      </c>
      <c r="B117" t="s">
        <v>3477</v>
      </c>
      <c r="C117">
        <v>105033</v>
      </c>
      <c r="H117" s="3">
        <f>IFERROR(VLOOKUP(Table43_1[[#This Row],[PCPL KODE 1]],#REF!,3,0),0)</f>
        <v>0</v>
      </c>
      <c r="I117" s="3">
        <f>IFERROR(VLOOKUP(Table43_1[[#This Row],[PCPL KODE 2]],#REF!,3,0),0)</f>
        <v>0</v>
      </c>
      <c r="J117" s="3">
        <f>IFERROR(VLOOKUP(Table43_1[[#This Row],[PCPL KODE 3]],#REF!,3,0),0)</f>
        <v>0</v>
      </c>
      <c r="K117" s="3">
        <f>IFERROR(VLOOKUP(Table43_1[[#This Row],[PCPL KODE 4]],#REF!,3,0),0)</f>
        <v>0</v>
      </c>
      <c r="L117" s="3">
        <f>IFERROR(VLOOKUP(Table43_1[[#This Row],[PCPL KODE 5]],#REF!,3,0),0)</f>
        <v>0</v>
      </c>
      <c r="M117" s="3">
        <f>Table43_1[[#This Row],[QTY 1]]+Table43_1[[#This Row],[QTY 2]]+Table43_1[[#This Row],[QTY 3]]+Table43_1[[#This Row],[QTY 4]]+Table43_1[[#This Row],[QTY 5]]</f>
        <v>0</v>
      </c>
      <c r="N117" s="3"/>
    </row>
    <row r="118" spans="1:14">
      <c r="A118" t="s">
        <v>1248</v>
      </c>
      <c r="B118" t="s">
        <v>1249</v>
      </c>
      <c r="C118">
        <v>105035</v>
      </c>
      <c r="H118" s="3">
        <f>IFERROR(VLOOKUP(Table43_1[[#This Row],[PCPL KODE 1]],#REF!,3,0),0)</f>
        <v>0</v>
      </c>
      <c r="I118" s="3">
        <f>IFERROR(VLOOKUP(Table43_1[[#This Row],[PCPL KODE 2]],#REF!,3,0),0)</f>
        <v>0</v>
      </c>
      <c r="J118" s="3">
        <f>IFERROR(VLOOKUP(Table43_1[[#This Row],[PCPL KODE 3]],#REF!,3,0),0)</f>
        <v>0</v>
      </c>
      <c r="K118" s="3">
        <f>IFERROR(VLOOKUP(Table43_1[[#This Row],[PCPL KODE 4]],#REF!,3,0),0)</f>
        <v>0</v>
      </c>
      <c r="L118" s="3">
        <f>IFERROR(VLOOKUP(Table43_1[[#This Row],[PCPL KODE 5]],#REF!,3,0),0)</f>
        <v>0</v>
      </c>
      <c r="M118" s="3">
        <f>Table43_1[[#This Row],[QTY 1]]+Table43_1[[#This Row],[QTY 2]]+Table43_1[[#This Row],[QTY 3]]+Table43_1[[#This Row],[QTY 4]]+Table43_1[[#This Row],[QTY 5]]</f>
        <v>0</v>
      </c>
      <c r="N118" s="3"/>
    </row>
    <row r="119" spans="1:14">
      <c r="A119" t="s">
        <v>1250</v>
      </c>
      <c r="B119" t="s">
        <v>3478</v>
      </c>
      <c r="C119">
        <v>105036</v>
      </c>
      <c r="H119" s="3">
        <f>IFERROR(VLOOKUP(Table43_1[[#This Row],[PCPL KODE 1]],#REF!,3,0),0)</f>
        <v>0</v>
      </c>
      <c r="I119" s="3">
        <f>IFERROR(VLOOKUP(Table43_1[[#This Row],[PCPL KODE 2]],#REF!,3,0),0)</f>
        <v>0</v>
      </c>
      <c r="J119" s="3">
        <f>IFERROR(VLOOKUP(Table43_1[[#This Row],[PCPL KODE 3]],#REF!,3,0),0)</f>
        <v>0</v>
      </c>
      <c r="K119" s="3">
        <f>IFERROR(VLOOKUP(Table43_1[[#This Row],[PCPL KODE 4]],#REF!,3,0),0)</f>
        <v>0</v>
      </c>
      <c r="L119" s="3">
        <f>IFERROR(VLOOKUP(Table43_1[[#This Row],[PCPL KODE 5]],#REF!,3,0),0)</f>
        <v>0</v>
      </c>
      <c r="M119" s="3">
        <f>Table43_1[[#This Row],[QTY 1]]+Table43_1[[#This Row],[QTY 2]]+Table43_1[[#This Row],[QTY 3]]+Table43_1[[#This Row],[QTY 4]]+Table43_1[[#This Row],[QTY 5]]</f>
        <v>0</v>
      </c>
      <c r="N119" s="3"/>
    </row>
    <row r="120" spans="1:14">
      <c r="A120" t="s">
        <v>1252</v>
      </c>
      <c r="B120" t="s">
        <v>3479</v>
      </c>
      <c r="C120">
        <v>105037</v>
      </c>
      <c r="H120" s="3">
        <f>IFERROR(VLOOKUP(Table43_1[[#This Row],[PCPL KODE 1]],#REF!,3,0),0)</f>
        <v>0</v>
      </c>
      <c r="I120" s="3">
        <f>IFERROR(VLOOKUP(Table43_1[[#This Row],[PCPL KODE 2]],#REF!,3,0),0)</f>
        <v>0</v>
      </c>
      <c r="J120" s="3">
        <f>IFERROR(VLOOKUP(Table43_1[[#This Row],[PCPL KODE 3]],#REF!,3,0),0)</f>
        <v>0</v>
      </c>
      <c r="K120" s="3">
        <f>IFERROR(VLOOKUP(Table43_1[[#This Row],[PCPL KODE 4]],#REF!,3,0),0)</f>
        <v>0</v>
      </c>
      <c r="L120" s="3">
        <f>IFERROR(VLOOKUP(Table43_1[[#This Row],[PCPL KODE 5]],#REF!,3,0),0)</f>
        <v>0</v>
      </c>
      <c r="M120" s="3">
        <f>Table43_1[[#This Row],[QTY 1]]+Table43_1[[#This Row],[QTY 2]]+Table43_1[[#This Row],[QTY 3]]+Table43_1[[#This Row],[QTY 4]]+Table43_1[[#This Row],[QTY 5]]</f>
        <v>0</v>
      </c>
      <c r="N120" s="3"/>
    </row>
    <row r="121" spans="1:14">
      <c r="A121" t="s">
        <v>1254</v>
      </c>
      <c r="B121" t="s">
        <v>1255</v>
      </c>
      <c r="C121">
        <v>105031</v>
      </c>
      <c r="H121" s="3">
        <f>IFERROR(VLOOKUP(Table43_1[[#This Row],[PCPL KODE 1]],#REF!,3,0),0)</f>
        <v>0</v>
      </c>
      <c r="I121" s="3">
        <f>IFERROR(VLOOKUP(Table43_1[[#This Row],[PCPL KODE 2]],#REF!,3,0),0)</f>
        <v>0</v>
      </c>
      <c r="J121" s="3">
        <f>IFERROR(VLOOKUP(Table43_1[[#This Row],[PCPL KODE 3]],#REF!,3,0),0)</f>
        <v>0</v>
      </c>
      <c r="K121" s="3">
        <f>IFERROR(VLOOKUP(Table43_1[[#This Row],[PCPL KODE 4]],#REF!,3,0),0)</f>
        <v>0</v>
      </c>
      <c r="L121" s="3">
        <f>IFERROR(VLOOKUP(Table43_1[[#This Row],[PCPL KODE 5]],#REF!,3,0),0)</f>
        <v>0</v>
      </c>
      <c r="M121" s="3">
        <f>Table43_1[[#This Row],[QTY 1]]+Table43_1[[#This Row],[QTY 2]]+Table43_1[[#This Row],[QTY 3]]+Table43_1[[#This Row],[QTY 4]]+Table43_1[[#This Row],[QTY 5]]</f>
        <v>0</v>
      </c>
      <c r="N121" s="3"/>
    </row>
    <row r="122" spans="1:14">
      <c r="A122" t="s">
        <v>1256</v>
      </c>
      <c r="B122" t="s">
        <v>1257</v>
      </c>
      <c r="C122">
        <v>105032</v>
      </c>
      <c r="H122" s="3">
        <f>IFERROR(VLOOKUP(Table43_1[[#This Row],[PCPL KODE 1]],#REF!,3,0),0)</f>
        <v>0</v>
      </c>
      <c r="I122" s="3">
        <f>IFERROR(VLOOKUP(Table43_1[[#This Row],[PCPL KODE 2]],#REF!,3,0),0)</f>
        <v>0</v>
      </c>
      <c r="J122" s="3">
        <f>IFERROR(VLOOKUP(Table43_1[[#This Row],[PCPL KODE 3]],#REF!,3,0),0)</f>
        <v>0</v>
      </c>
      <c r="K122" s="3">
        <f>IFERROR(VLOOKUP(Table43_1[[#This Row],[PCPL KODE 4]],#REF!,3,0),0)</f>
        <v>0</v>
      </c>
      <c r="L122" s="3">
        <f>IFERROR(VLOOKUP(Table43_1[[#This Row],[PCPL KODE 5]],#REF!,3,0),0)</f>
        <v>0</v>
      </c>
      <c r="M122" s="3">
        <f>Table43_1[[#This Row],[QTY 1]]+Table43_1[[#This Row],[QTY 2]]+Table43_1[[#This Row],[QTY 3]]+Table43_1[[#This Row],[QTY 4]]+Table43_1[[#This Row],[QTY 5]]</f>
        <v>0</v>
      </c>
      <c r="N122" s="3"/>
    </row>
    <row r="123" spans="1:14">
      <c r="A123" t="s">
        <v>1258</v>
      </c>
      <c r="B123" t="s">
        <v>1259</v>
      </c>
      <c r="C123">
        <v>105001</v>
      </c>
      <c r="H123" s="3">
        <f>IFERROR(VLOOKUP(Table43_1[[#This Row],[PCPL KODE 1]],#REF!,3,0),0)</f>
        <v>0</v>
      </c>
      <c r="I123" s="3">
        <f>IFERROR(VLOOKUP(Table43_1[[#This Row],[PCPL KODE 2]],#REF!,3,0),0)</f>
        <v>0</v>
      </c>
      <c r="J123" s="3">
        <f>IFERROR(VLOOKUP(Table43_1[[#This Row],[PCPL KODE 3]],#REF!,3,0),0)</f>
        <v>0</v>
      </c>
      <c r="K123" s="3">
        <f>IFERROR(VLOOKUP(Table43_1[[#This Row],[PCPL KODE 4]],#REF!,3,0),0)</f>
        <v>0</v>
      </c>
      <c r="L123" s="3">
        <f>IFERROR(VLOOKUP(Table43_1[[#This Row],[PCPL KODE 5]],#REF!,3,0),0)</f>
        <v>0</v>
      </c>
      <c r="M123" s="3">
        <f>Table43_1[[#This Row],[QTY 1]]+Table43_1[[#This Row],[QTY 2]]+Table43_1[[#This Row],[QTY 3]]+Table43_1[[#This Row],[QTY 4]]+Table43_1[[#This Row],[QTY 5]]</f>
        <v>0</v>
      </c>
      <c r="N123" s="3"/>
    </row>
    <row r="124" spans="1:14">
      <c r="A124" t="s">
        <v>1260</v>
      </c>
      <c r="B124" t="s">
        <v>1261</v>
      </c>
      <c r="C124">
        <v>105011</v>
      </c>
      <c r="H124" s="3">
        <f>IFERROR(VLOOKUP(Table43_1[[#This Row],[PCPL KODE 1]],#REF!,3,0),0)</f>
        <v>0</v>
      </c>
      <c r="I124" s="3">
        <f>IFERROR(VLOOKUP(Table43_1[[#This Row],[PCPL KODE 2]],#REF!,3,0),0)</f>
        <v>0</v>
      </c>
      <c r="J124" s="3">
        <f>IFERROR(VLOOKUP(Table43_1[[#This Row],[PCPL KODE 3]],#REF!,3,0),0)</f>
        <v>0</v>
      </c>
      <c r="K124" s="3">
        <f>IFERROR(VLOOKUP(Table43_1[[#This Row],[PCPL KODE 4]],#REF!,3,0),0)</f>
        <v>0</v>
      </c>
      <c r="L124" s="3">
        <f>IFERROR(VLOOKUP(Table43_1[[#This Row],[PCPL KODE 5]],#REF!,3,0),0)</f>
        <v>0</v>
      </c>
      <c r="M124" s="3">
        <f>Table43_1[[#This Row],[QTY 1]]+Table43_1[[#This Row],[QTY 2]]+Table43_1[[#This Row],[QTY 3]]+Table43_1[[#This Row],[QTY 4]]+Table43_1[[#This Row],[QTY 5]]</f>
        <v>0</v>
      </c>
      <c r="N124" s="3"/>
    </row>
    <row r="125" spans="1:14">
      <c r="A125" t="s">
        <v>1262</v>
      </c>
      <c r="B125" t="s">
        <v>1263</v>
      </c>
      <c r="C125">
        <v>105002</v>
      </c>
      <c r="H125" s="3">
        <f>IFERROR(VLOOKUP(Table43_1[[#This Row],[PCPL KODE 1]],#REF!,3,0),0)</f>
        <v>0</v>
      </c>
      <c r="I125" s="3">
        <f>IFERROR(VLOOKUP(Table43_1[[#This Row],[PCPL KODE 2]],#REF!,3,0),0)</f>
        <v>0</v>
      </c>
      <c r="J125" s="3">
        <f>IFERROR(VLOOKUP(Table43_1[[#This Row],[PCPL KODE 3]],#REF!,3,0),0)</f>
        <v>0</v>
      </c>
      <c r="K125" s="3">
        <f>IFERROR(VLOOKUP(Table43_1[[#This Row],[PCPL KODE 4]],#REF!,3,0),0)</f>
        <v>0</v>
      </c>
      <c r="L125" s="3">
        <f>IFERROR(VLOOKUP(Table43_1[[#This Row],[PCPL KODE 5]],#REF!,3,0),0)</f>
        <v>0</v>
      </c>
      <c r="M125" s="3">
        <f>Table43_1[[#This Row],[QTY 1]]+Table43_1[[#This Row],[QTY 2]]+Table43_1[[#This Row],[QTY 3]]+Table43_1[[#This Row],[QTY 4]]+Table43_1[[#This Row],[QTY 5]]</f>
        <v>0</v>
      </c>
      <c r="N125" s="3"/>
    </row>
    <row r="126" spans="1:14">
      <c r="A126" t="s">
        <v>1264</v>
      </c>
      <c r="B126" t="s">
        <v>1265</v>
      </c>
      <c r="C126">
        <v>105012</v>
      </c>
      <c r="H126" s="3">
        <f>IFERROR(VLOOKUP(Table43_1[[#This Row],[PCPL KODE 1]],#REF!,3,0),0)</f>
        <v>0</v>
      </c>
      <c r="I126" s="3">
        <f>IFERROR(VLOOKUP(Table43_1[[#This Row],[PCPL KODE 2]],#REF!,3,0),0)</f>
        <v>0</v>
      </c>
      <c r="J126" s="3">
        <f>IFERROR(VLOOKUP(Table43_1[[#This Row],[PCPL KODE 3]],#REF!,3,0),0)</f>
        <v>0</v>
      </c>
      <c r="K126" s="3">
        <f>IFERROR(VLOOKUP(Table43_1[[#This Row],[PCPL KODE 4]],#REF!,3,0),0)</f>
        <v>0</v>
      </c>
      <c r="L126" s="3">
        <f>IFERROR(VLOOKUP(Table43_1[[#This Row],[PCPL KODE 5]],#REF!,3,0),0)</f>
        <v>0</v>
      </c>
      <c r="M126" s="3">
        <f>Table43_1[[#This Row],[QTY 1]]+Table43_1[[#This Row],[QTY 2]]+Table43_1[[#This Row],[QTY 3]]+Table43_1[[#This Row],[QTY 4]]+Table43_1[[#This Row],[QTY 5]]</f>
        <v>0</v>
      </c>
      <c r="N126" s="3"/>
    </row>
    <row r="127" spans="1:14">
      <c r="A127" t="s">
        <v>1266</v>
      </c>
      <c r="B127" t="s">
        <v>1267</v>
      </c>
      <c r="C127">
        <v>105044</v>
      </c>
      <c r="H127" s="3">
        <f>IFERROR(VLOOKUP(Table43_1[[#This Row],[PCPL KODE 1]],#REF!,3,0),0)</f>
        <v>0</v>
      </c>
      <c r="I127" s="3">
        <f>IFERROR(VLOOKUP(Table43_1[[#This Row],[PCPL KODE 2]],#REF!,3,0),0)</f>
        <v>0</v>
      </c>
      <c r="J127" s="3">
        <f>IFERROR(VLOOKUP(Table43_1[[#This Row],[PCPL KODE 3]],#REF!,3,0),0)</f>
        <v>0</v>
      </c>
      <c r="K127" s="3">
        <f>IFERROR(VLOOKUP(Table43_1[[#This Row],[PCPL KODE 4]],#REF!,3,0),0)</f>
        <v>0</v>
      </c>
      <c r="L127" s="3">
        <f>IFERROR(VLOOKUP(Table43_1[[#This Row],[PCPL KODE 5]],#REF!,3,0),0)</f>
        <v>0</v>
      </c>
      <c r="M127" s="3">
        <f>Table43_1[[#This Row],[QTY 1]]+Table43_1[[#This Row],[QTY 2]]+Table43_1[[#This Row],[QTY 3]]+Table43_1[[#This Row],[QTY 4]]+Table43_1[[#This Row],[QTY 5]]</f>
        <v>0</v>
      </c>
      <c r="N127" s="3"/>
    </row>
    <row r="128" spans="1:14">
      <c r="A128" t="s">
        <v>1268</v>
      </c>
      <c r="B128" t="s">
        <v>1269</v>
      </c>
      <c r="C128">
        <v>105005</v>
      </c>
      <c r="H128" s="3">
        <f>IFERROR(VLOOKUP(Table43_1[[#This Row],[PCPL KODE 1]],#REF!,3,0),0)</f>
        <v>0</v>
      </c>
      <c r="I128" s="3">
        <f>IFERROR(VLOOKUP(Table43_1[[#This Row],[PCPL KODE 2]],#REF!,3,0),0)</f>
        <v>0</v>
      </c>
      <c r="J128" s="3">
        <f>IFERROR(VLOOKUP(Table43_1[[#This Row],[PCPL KODE 3]],#REF!,3,0),0)</f>
        <v>0</v>
      </c>
      <c r="K128" s="3">
        <f>IFERROR(VLOOKUP(Table43_1[[#This Row],[PCPL KODE 4]],#REF!,3,0),0)</f>
        <v>0</v>
      </c>
      <c r="L128" s="3">
        <f>IFERROR(VLOOKUP(Table43_1[[#This Row],[PCPL KODE 5]],#REF!,3,0),0)</f>
        <v>0</v>
      </c>
      <c r="M128" s="3">
        <f>Table43_1[[#This Row],[QTY 1]]+Table43_1[[#This Row],[QTY 2]]+Table43_1[[#This Row],[QTY 3]]+Table43_1[[#This Row],[QTY 4]]+Table43_1[[#This Row],[QTY 5]]</f>
        <v>0</v>
      </c>
      <c r="N128" s="3"/>
    </row>
    <row r="129" spans="1:14">
      <c r="A129" t="s">
        <v>1270</v>
      </c>
      <c r="B129" t="s">
        <v>1271</v>
      </c>
      <c r="C129">
        <v>105015</v>
      </c>
      <c r="H129" s="3">
        <f>IFERROR(VLOOKUP(Table43_1[[#This Row],[PCPL KODE 1]],#REF!,3,0),0)</f>
        <v>0</v>
      </c>
      <c r="I129" s="3">
        <f>IFERROR(VLOOKUP(Table43_1[[#This Row],[PCPL KODE 2]],#REF!,3,0),0)</f>
        <v>0</v>
      </c>
      <c r="J129" s="3">
        <f>IFERROR(VLOOKUP(Table43_1[[#This Row],[PCPL KODE 3]],#REF!,3,0),0)</f>
        <v>0</v>
      </c>
      <c r="K129" s="3">
        <f>IFERROR(VLOOKUP(Table43_1[[#This Row],[PCPL KODE 4]],#REF!,3,0),0)</f>
        <v>0</v>
      </c>
      <c r="L129" s="3">
        <f>IFERROR(VLOOKUP(Table43_1[[#This Row],[PCPL KODE 5]],#REF!,3,0),0)</f>
        <v>0</v>
      </c>
      <c r="M129" s="3">
        <f>Table43_1[[#This Row],[QTY 1]]+Table43_1[[#This Row],[QTY 2]]+Table43_1[[#This Row],[QTY 3]]+Table43_1[[#This Row],[QTY 4]]+Table43_1[[#This Row],[QTY 5]]</f>
        <v>0</v>
      </c>
      <c r="N129" s="3"/>
    </row>
    <row r="130" spans="1:14">
      <c r="A130" t="s">
        <v>1272</v>
      </c>
      <c r="B130" t="s">
        <v>1273</v>
      </c>
      <c r="C130">
        <v>105021</v>
      </c>
      <c r="H130" s="3">
        <f>IFERROR(VLOOKUP(Table43_1[[#This Row],[PCPL KODE 1]],#REF!,3,0),0)</f>
        <v>0</v>
      </c>
      <c r="I130" s="3">
        <f>IFERROR(VLOOKUP(Table43_1[[#This Row],[PCPL KODE 2]],#REF!,3,0),0)</f>
        <v>0</v>
      </c>
      <c r="J130" s="3">
        <f>IFERROR(VLOOKUP(Table43_1[[#This Row],[PCPL KODE 3]],#REF!,3,0),0)</f>
        <v>0</v>
      </c>
      <c r="K130" s="3">
        <f>IFERROR(VLOOKUP(Table43_1[[#This Row],[PCPL KODE 4]],#REF!,3,0),0)</f>
        <v>0</v>
      </c>
      <c r="L130" s="3">
        <f>IFERROR(VLOOKUP(Table43_1[[#This Row],[PCPL KODE 5]],#REF!,3,0),0)</f>
        <v>0</v>
      </c>
      <c r="M130" s="3">
        <f>Table43_1[[#This Row],[QTY 1]]+Table43_1[[#This Row],[QTY 2]]+Table43_1[[#This Row],[QTY 3]]+Table43_1[[#This Row],[QTY 4]]+Table43_1[[#This Row],[QTY 5]]</f>
        <v>0</v>
      </c>
      <c r="N130" s="3"/>
    </row>
    <row r="131" spans="1:14">
      <c r="A131" t="s">
        <v>1274</v>
      </c>
      <c r="B131" t="s">
        <v>1275</v>
      </c>
      <c r="C131">
        <v>105022</v>
      </c>
      <c r="H131" s="3">
        <f>IFERROR(VLOOKUP(Table43_1[[#This Row],[PCPL KODE 1]],#REF!,3,0),0)</f>
        <v>0</v>
      </c>
      <c r="I131" s="3">
        <f>IFERROR(VLOOKUP(Table43_1[[#This Row],[PCPL KODE 2]],#REF!,3,0),0)</f>
        <v>0</v>
      </c>
      <c r="J131" s="3">
        <f>IFERROR(VLOOKUP(Table43_1[[#This Row],[PCPL KODE 3]],#REF!,3,0),0)</f>
        <v>0</v>
      </c>
      <c r="K131" s="3">
        <f>IFERROR(VLOOKUP(Table43_1[[#This Row],[PCPL KODE 4]],#REF!,3,0),0)</f>
        <v>0</v>
      </c>
      <c r="L131" s="3">
        <f>IFERROR(VLOOKUP(Table43_1[[#This Row],[PCPL KODE 5]],#REF!,3,0),0)</f>
        <v>0</v>
      </c>
      <c r="M131" s="3">
        <f>Table43_1[[#This Row],[QTY 1]]+Table43_1[[#This Row],[QTY 2]]+Table43_1[[#This Row],[QTY 3]]+Table43_1[[#This Row],[QTY 4]]+Table43_1[[#This Row],[QTY 5]]</f>
        <v>0</v>
      </c>
      <c r="N131" s="3"/>
    </row>
    <row r="132" spans="1:14">
      <c r="A132" t="s">
        <v>1276</v>
      </c>
      <c r="B132" t="s">
        <v>1277</v>
      </c>
      <c r="C132">
        <v>105003</v>
      </c>
      <c r="H132" s="3">
        <f>IFERROR(VLOOKUP(Table43_1[[#This Row],[PCPL KODE 1]],#REF!,3,0),0)</f>
        <v>0</v>
      </c>
      <c r="I132" s="3">
        <f>IFERROR(VLOOKUP(Table43_1[[#This Row],[PCPL KODE 2]],#REF!,3,0),0)</f>
        <v>0</v>
      </c>
      <c r="J132" s="3">
        <f>IFERROR(VLOOKUP(Table43_1[[#This Row],[PCPL KODE 3]],#REF!,3,0),0)</f>
        <v>0</v>
      </c>
      <c r="K132" s="3">
        <f>IFERROR(VLOOKUP(Table43_1[[#This Row],[PCPL KODE 4]],#REF!,3,0),0)</f>
        <v>0</v>
      </c>
      <c r="L132" s="3">
        <f>IFERROR(VLOOKUP(Table43_1[[#This Row],[PCPL KODE 5]],#REF!,3,0),0)</f>
        <v>0</v>
      </c>
      <c r="M132" s="3">
        <f>Table43_1[[#This Row],[QTY 1]]+Table43_1[[#This Row],[QTY 2]]+Table43_1[[#This Row],[QTY 3]]+Table43_1[[#This Row],[QTY 4]]+Table43_1[[#This Row],[QTY 5]]</f>
        <v>0</v>
      </c>
      <c r="N132" s="3"/>
    </row>
    <row r="133" spans="1:14">
      <c r="A133" t="s">
        <v>1278</v>
      </c>
      <c r="B133" t="s">
        <v>1279</v>
      </c>
      <c r="C133">
        <v>105013</v>
      </c>
      <c r="H133" s="3">
        <f>IFERROR(VLOOKUP(Table43_1[[#This Row],[PCPL KODE 1]],#REF!,3,0),0)</f>
        <v>0</v>
      </c>
      <c r="I133" s="3">
        <f>IFERROR(VLOOKUP(Table43_1[[#This Row],[PCPL KODE 2]],#REF!,3,0),0)</f>
        <v>0</v>
      </c>
      <c r="J133" s="3">
        <f>IFERROR(VLOOKUP(Table43_1[[#This Row],[PCPL KODE 3]],#REF!,3,0),0)</f>
        <v>0</v>
      </c>
      <c r="K133" s="3">
        <f>IFERROR(VLOOKUP(Table43_1[[#This Row],[PCPL KODE 4]],#REF!,3,0),0)</f>
        <v>0</v>
      </c>
      <c r="L133" s="3">
        <f>IFERROR(VLOOKUP(Table43_1[[#This Row],[PCPL KODE 5]],#REF!,3,0),0)</f>
        <v>0</v>
      </c>
      <c r="M133" s="3">
        <f>Table43_1[[#This Row],[QTY 1]]+Table43_1[[#This Row],[QTY 2]]+Table43_1[[#This Row],[QTY 3]]+Table43_1[[#This Row],[QTY 4]]+Table43_1[[#This Row],[QTY 5]]</f>
        <v>0</v>
      </c>
      <c r="N133" s="3"/>
    </row>
    <row r="134" spans="1:14">
      <c r="A134" t="s">
        <v>1280</v>
      </c>
      <c r="B134" t="s">
        <v>1281</v>
      </c>
      <c r="C134">
        <v>105004</v>
      </c>
      <c r="H134" s="3">
        <f>IFERROR(VLOOKUP(Table43_1[[#This Row],[PCPL KODE 1]],#REF!,3,0),0)</f>
        <v>0</v>
      </c>
      <c r="I134" s="3">
        <f>IFERROR(VLOOKUP(Table43_1[[#This Row],[PCPL KODE 2]],#REF!,3,0),0)</f>
        <v>0</v>
      </c>
      <c r="J134" s="3">
        <f>IFERROR(VLOOKUP(Table43_1[[#This Row],[PCPL KODE 3]],#REF!,3,0),0)</f>
        <v>0</v>
      </c>
      <c r="K134" s="3">
        <f>IFERROR(VLOOKUP(Table43_1[[#This Row],[PCPL KODE 4]],#REF!,3,0),0)</f>
        <v>0</v>
      </c>
      <c r="L134" s="3">
        <f>IFERROR(VLOOKUP(Table43_1[[#This Row],[PCPL KODE 5]],#REF!,3,0),0)</f>
        <v>0</v>
      </c>
      <c r="M134" s="3">
        <f>Table43_1[[#This Row],[QTY 1]]+Table43_1[[#This Row],[QTY 2]]+Table43_1[[#This Row],[QTY 3]]+Table43_1[[#This Row],[QTY 4]]+Table43_1[[#This Row],[QTY 5]]</f>
        <v>0</v>
      </c>
      <c r="N134" s="3"/>
    </row>
    <row r="135" spans="1:14">
      <c r="A135" t="s">
        <v>1282</v>
      </c>
      <c r="B135" t="s">
        <v>1283</v>
      </c>
      <c r="C135">
        <v>105014</v>
      </c>
      <c r="H135" s="3">
        <f>IFERROR(VLOOKUP(Table43_1[[#This Row],[PCPL KODE 1]],#REF!,3,0),0)</f>
        <v>0</v>
      </c>
      <c r="I135" s="3">
        <f>IFERROR(VLOOKUP(Table43_1[[#This Row],[PCPL KODE 2]],#REF!,3,0),0)</f>
        <v>0</v>
      </c>
      <c r="J135" s="3">
        <f>IFERROR(VLOOKUP(Table43_1[[#This Row],[PCPL KODE 3]],#REF!,3,0),0)</f>
        <v>0</v>
      </c>
      <c r="K135" s="3">
        <f>IFERROR(VLOOKUP(Table43_1[[#This Row],[PCPL KODE 4]],#REF!,3,0),0)</f>
        <v>0</v>
      </c>
      <c r="L135" s="3">
        <f>IFERROR(VLOOKUP(Table43_1[[#This Row],[PCPL KODE 5]],#REF!,3,0),0)</f>
        <v>0</v>
      </c>
      <c r="M135" s="3">
        <f>Table43_1[[#This Row],[QTY 1]]+Table43_1[[#This Row],[QTY 2]]+Table43_1[[#This Row],[QTY 3]]+Table43_1[[#This Row],[QTY 4]]+Table43_1[[#This Row],[QTY 5]]</f>
        <v>0</v>
      </c>
      <c r="N135" s="3"/>
    </row>
    <row r="136" spans="1:14">
      <c r="A136" t="s">
        <v>1284</v>
      </c>
      <c r="B136" t="s">
        <v>1285</v>
      </c>
      <c r="C136">
        <v>105025</v>
      </c>
      <c r="H136" s="3">
        <f>IFERROR(VLOOKUP(Table43_1[[#This Row],[PCPL KODE 1]],#REF!,3,0),0)</f>
        <v>0</v>
      </c>
      <c r="I136" s="3">
        <f>IFERROR(VLOOKUP(Table43_1[[#This Row],[PCPL KODE 2]],#REF!,3,0),0)</f>
        <v>0</v>
      </c>
      <c r="J136" s="3">
        <f>IFERROR(VLOOKUP(Table43_1[[#This Row],[PCPL KODE 3]],#REF!,3,0),0)</f>
        <v>0</v>
      </c>
      <c r="K136" s="3">
        <f>IFERROR(VLOOKUP(Table43_1[[#This Row],[PCPL KODE 4]],#REF!,3,0),0)</f>
        <v>0</v>
      </c>
      <c r="L136" s="3">
        <f>IFERROR(VLOOKUP(Table43_1[[#This Row],[PCPL KODE 5]],#REF!,3,0),0)</f>
        <v>0</v>
      </c>
      <c r="M136" s="3">
        <f>Table43_1[[#This Row],[QTY 1]]+Table43_1[[#This Row],[QTY 2]]+Table43_1[[#This Row],[QTY 3]]+Table43_1[[#This Row],[QTY 4]]+Table43_1[[#This Row],[QTY 5]]</f>
        <v>0</v>
      </c>
      <c r="N136" s="3"/>
    </row>
    <row r="137" spans="1:14">
      <c r="A137" t="s">
        <v>1286</v>
      </c>
      <c r="B137" t="s">
        <v>1287</v>
      </c>
      <c r="C137">
        <v>105026</v>
      </c>
      <c r="H137" s="3">
        <f>IFERROR(VLOOKUP(Table43_1[[#This Row],[PCPL KODE 1]],#REF!,3,0),0)</f>
        <v>0</v>
      </c>
      <c r="I137" s="3">
        <f>IFERROR(VLOOKUP(Table43_1[[#This Row],[PCPL KODE 2]],#REF!,3,0),0)</f>
        <v>0</v>
      </c>
      <c r="J137" s="3">
        <f>IFERROR(VLOOKUP(Table43_1[[#This Row],[PCPL KODE 3]],#REF!,3,0),0)</f>
        <v>0</v>
      </c>
      <c r="K137" s="3">
        <f>IFERROR(VLOOKUP(Table43_1[[#This Row],[PCPL KODE 4]],#REF!,3,0),0)</f>
        <v>0</v>
      </c>
      <c r="L137" s="3">
        <f>IFERROR(VLOOKUP(Table43_1[[#This Row],[PCPL KODE 5]],#REF!,3,0),0)</f>
        <v>0</v>
      </c>
      <c r="M137" s="3">
        <f>Table43_1[[#This Row],[QTY 1]]+Table43_1[[#This Row],[QTY 2]]+Table43_1[[#This Row],[QTY 3]]+Table43_1[[#This Row],[QTY 4]]+Table43_1[[#This Row],[QTY 5]]</f>
        <v>0</v>
      </c>
      <c r="N137" s="3"/>
    </row>
    <row r="138" spans="1:14">
      <c r="A138" t="s">
        <v>1288</v>
      </c>
      <c r="B138" t="s">
        <v>1289</v>
      </c>
      <c r="C138">
        <v>105009</v>
      </c>
      <c r="H138" s="3">
        <f>IFERROR(VLOOKUP(Table43_1[[#This Row],[PCPL KODE 1]],#REF!,3,0),0)</f>
        <v>0</v>
      </c>
      <c r="I138" s="3">
        <f>IFERROR(VLOOKUP(Table43_1[[#This Row],[PCPL KODE 2]],#REF!,3,0),0)</f>
        <v>0</v>
      </c>
      <c r="J138" s="3">
        <f>IFERROR(VLOOKUP(Table43_1[[#This Row],[PCPL KODE 3]],#REF!,3,0),0)</f>
        <v>0</v>
      </c>
      <c r="K138" s="3">
        <f>IFERROR(VLOOKUP(Table43_1[[#This Row],[PCPL KODE 4]],#REF!,3,0),0)</f>
        <v>0</v>
      </c>
      <c r="L138" s="3">
        <f>IFERROR(VLOOKUP(Table43_1[[#This Row],[PCPL KODE 5]],#REF!,3,0),0)</f>
        <v>0</v>
      </c>
      <c r="M138" s="3">
        <f>Table43_1[[#This Row],[QTY 1]]+Table43_1[[#This Row],[QTY 2]]+Table43_1[[#This Row],[QTY 3]]+Table43_1[[#This Row],[QTY 4]]+Table43_1[[#This Row],[QTY 5]]</f>
        <v>0</v>
      </c>
      <c r="N138" s="3"/>
    </row>
    <row r="139" spans="1:14">
      <c r="A139" t="s">
        <v>1290</v>
      </c>
      <c r="B139" t="s">
        <v>3480</v>
      </c>
      <c r="C139">
        <v>105019</v>
      </c>
      <c r="H139" s="3">
        <f>IFERROR(VLOOKUP(Table43_1[[#This Row],[PCPL KODE 1]],#REF!,3,0),0)</f>
        <v>0</v>
      </c>
      <c r="I139" s="3">
        <f>IFERROR(VLOOKUP(Table43_1[[#This Row],[PCPL KODE 2]],#REF!,3,0),0)</f>
        <v>0</v>
      </c>
      <c r="J139" s="3">
        <f>IFERROR(VLOOKUP(Table43_1[[#This Row],[PCPL KODE 3]],#REF!,3,0),0)</f>
        <v>0</v>
      </c>
      <c r="K139" s="3">
        <f>IFERROR(VLOOKUP(Table43_1[[#This Row],[PCPL KODE 4]],#REF!,3,0),0)</f>
        <v>0</v>
      </c>
      <c r="L139" s="3">
        <f>IFERROR(VLOOKUP(Table43_1[[#This Row],[PCPL KODE 5]],#REF!,3,0),0)</f>
        <v>0</v>
      </c>
      <c r="M139" s="3">
        <f>Table43_1[[#This Row],[QTY 1]]+Table43_1[[#This Row],[QTY 2]]+Table43_1[[#This Row],[QTY 3]]+Table43_1[[#This Row],[QTY 4]]+Table43_1[[#This Row],[QTY 5]]</f>
        <v>0</v>
      </c>
      <c r="N139" s="3"/>
    </row>
    <row r="140" spans="1:14">
      <c r="A140" t="s">
        <v>1292</v>
      </c>
      <c r="B140" t="s">
        <v>1293</v>
      </c>
      <c r="C140">
        <v>105010</v>
      </c>
      <c r="H140" s="3">
        <f>IFERROR(VLOOKUP(Table43_1[[#This Row],[PCPL KODE 1]],#REF!,3,0),0)</f>
        <v>0</v>
      </c>
      <c r="I140" s="3">
        <f>IFERROR(VLOOKUP(Table43_1[[#This Row],[PCPL KODE 2]],#REF!,3,0),0)</f>
        <v>0</v>
      </c>
      <c r="J140" s="3">
        <f>IFERROR(VLOOKUP(Table43_1[[#This Row],[PCPL KODE 3]],#REF!,3,0),0)</f>
        <v>0</v>
      </c>
      <c r="K140" s="3">
        <f>IFERROR(VLOOKUP(Table43_1[[#This Row],[PCPL KODE 4]],#REF!,3,0),0)</f>
        <v>0</v>
      </c>
      <c r="L140" s="3">
        <f>IFERROR(VLOOKUP(Table43_1[[#This Row],[PCPL KODE 5]],#REF!,3,0),0)</f>
        <v>0</v>
      </c>
      <c r="M140" s="3">
        <f>Table43_1[[#This Row],[QTY 1]]+Table43_1[[#This Row],[QTY 2]]+Table43_1[[#This Row],[QTY 3]]+Table43_1[[#This Row],[QTY 4]]+Table43_1[[#This Row],[QTY 5]]</f>
        <v>0</v>
      </c>
      <c r="N140" s="3"/>
    </row>
    <row r="141" spans="1:14">
      <c r="A141" t="s">
        <v>1294</v>
      </c>
      <c r="B141" t="s">
        <v>1295</v>
      </c>
      <c r="C141">
        <v>105020</v>
      </c>
      <c r="H141" s="3">
        <f>IFERROR(VLOOKUP(Table43_1[[#This Row],[PCPL KODE 1]],#REF!,3,0),0)</f>
        <v>0</v>
      </c>
      <c r="I141" s="3">
        <f>IFERROR(VLOOKUP(Table43_1[[#This Row],[PCPL KODE 2]],#REF!,3,0),0)</f>
        <v>0</v>
      </c>
      <c r="J141" s="3">
        <f>IFERROR(VLOOKUP(Table43_1[[#This Row],[PCPL KODE 3]],#REF!,3,0),0)</f>
        <v>0</v>
      </c>
      <c r="K141" s="3">
        <f>IFERROR(VLOOKUP(Table43_1[[#This Row],[PCPL KODE 4]],#REF!,3,0),0)</f>
        <v>0</v>
      </c>
      <c r="L141" s="3">
        <f>IFERROR(VLOOKUP(Table43_1[[#This Row],[PCPL KODE 5]],#REF!,3,0),0)</f>
        <v>0</v>
      </c>
      <c r="M141" s="3">
        <f>Table43_1[[#This Row],[QTY 1]]+Table43_1[[#This Row],[QTY 2]]+Table43_1[[#This Row],[QTY 3]]+Table43_1[[#This Row],[QTY 4]]+Table43_1[[#This Row],[QTY 5]]</f>
        <v>0</v>
      </c>
      <c r="N141" s="3"/>
    </row>
    <row r="142" spans="1:14">
      <c r="A142" t="s">
        <v>1296</v>
      </c>
      <c r="B142" t="s">
        <v>1297</v>
      </c>
      <c r="C142">
        <v>105006</v>
      </c>
      <c r="H142" s="3">
        <f>IFERROR(VLOOKUP(Table43_1[[#This Row],[PCPL KODE 1]],#REF!,3,0),0)</f>
        <v>0</v>
      </c>
      <c r="I142" s="3">
        <f>IFERROR(VLOOKUP(Table43_1[[#This Row],[PCPL KODE 2]],#REF!,3,0),0)</f>
        <v>0</v>
      </c>
      <c r="J142" s="3">
        <f>IFERROR(VLOOKUP(Table43_1[[#This Row],[PCPL KODE 3]],#REF!,3,0),0)</f>
        <v>0</v>
      </c>
      <c r="K142" s="3">
        <f>IFERROR(VLOOKUP(Table43_1[[#This Row],[PCPL KODE 4]],#REF!,3,0),0)</f>
        <v>0</v>
      </c>
      <c r="L142" s="3">
        <f>IFERROR(VLOOKUP(Table43_1[[#This Row],[PCPL KODE 5]],#REF!,3,0),0)</f>
        <v>0</v>
      </c>
      <c r="M142" s="3">
        <f>Table43_1[[#This Row],[QTY 1]]+Table43_1[[#This Row],[QTY 2]]+Table43_1[[#This Row],[QTY 3]]+Table43_1[[#This Row],[QTY 4]]+Table43_1[[#This Row],[QTY 5]]</f>
        <v>0</v>
      </c>
      <c r="N142" s="3"/>
    </row>
    <row r="143" spans="1:14">
      <c r="A143" t="s">
        <v>1298</v>
      </c>
      <c r="B143" t="s">
        <v>1299</v>
      </c>
      <c r="C143">
        <v>105016</v>
      </c>
      <c r="H143" s="3">
        <f>IFERROR(VLOOKUP(Table43_1[[#This Row],[PCPL KODE 1]],#REF!,3,0),0)</f>
        <v>0</v>
      </c>
      <c r="I143" s="3">
        <f>IFERROR(VLOOKUP(Table43_1[[#This Row],[PCPL KODE 2]],#REF!,3,0),0)</f>
        <v>0</v>
      </c>
      <c r="J143" s="3">
        <f>IFERROR(VLOOKUP(Table43_1[[#This Row],[PCPL KODE 3]],#REF!,3,0),0)</f>
        <v>0</v>
      </c>
      <c r="K143" s="3">
        <f>IFERROR(VLOOKUP(Table43_1[[#This Row],[PCPL KODE 4]],#REF!,3,0),0)</f>
        <v>0</v>
      </c>
      <c r="L143" s="3">
        <f>IFERROR(VLOOKUP(Table43_1[[#This Row],[PCPL KODE 5]],#REF!,3,0),0)</f>
        <v>0</v>
      </c>
      <c r="M143" s="3">
        <f>Table43_1[[#This Row],[QTY 1]]+Table43_1[[#This Row],[QTY 2]]+Table43_1[[#This Row],[QTY 3]]+Table43_1[[#This Row],[QTY 4]]+Table43_1[[#This Row],[QTY 5]]</f>
        <v>0</v>
      </c>
      <c r="N143" s="3"/>
    </row>
    <row r="144" spans="1:14">
      <c r="A144" t="s">
        <v>1300</v>
      </c>
      <c r="B144" t="s">
        <v>2452</v>
      </c>
      <c r="C144">
        <v>105007</v>
      </c>
      <c r="H144" s="3">
        <f>IFERROR(VLOOKUP(Table43_1[[#This Row],[PCPL KODE 1]],#REF!,3,0),0)</f>
        <v>0</v>
      </c>
      <c r="I144" s="3">
        <f>IFERROR(VLOOKUP(Table43_1[[#This Row],[PCPL KODE 2]],#REF!,3,0),0)</f>
        <v>0</v>
      </c>
      <c r="J144" s="3">
        <f>IFERROR(VLOOKUP(Table43_1[[#This Row],[PCPL KODE 3]],#REF!,3,0),0)</f>
        <v>0</v>
      </c>
      <c r="K144" s="3">
        <f>IFERROR(VLOOKUP(Table43_1[[#This Row],[PCPL KODE 4]],#REF!,3,0),0)</f>
        <v>0</v>
      </c>
      <c r="L144" s="3">
        <f>IFERROR(VLOOKUP(Table43_1[[#This Row],[PCPL KODE 5]],#REF!,3,0),0)</f>
        <v>0</v>
      </c>
      <c r="M144" s="3">
        <f>Table43_1[[#This Row],[QTY 1]]+Table43_1[[#This Row],[QTY 2]]+Table43_1[[#This Row],[QTY 3]]+Table43_1[[#This Row],[QTY 4]]+Table43_1[[#This Row],[QTY 5]]</f>
        <v>0</v>
      </c>
      <c r="N144" s="3"/>
    </row>
    <row r="145" spans="1:14">
      <c r="A145" t="s">
        <v>1301</v>
      </c>
      <c r="B145" t="s">
        <v>2453</v>
      </c>
      <c r="C145">
        <v>105017</v>
      </c>
      <c r="H145" s="3">
        <f>IFERROR(VLOOKUP(Table43_1[[#This Row],[PCPL KODE 1]],#REF!,3,0),0)</f>
        <v>0</v>
      </c>
      <c r="I145" s="3">
        <f>IFERROR(VLOOKUP(Table43_1[[#This Row],[PCPL KODE 2]],#REF!,3,0),0)</f>
        <v>0</v>
      </c>
      <c r="J145" s="3">
        <f>IFERROR(VLOOKUP(Table43_1[[#This Row],[PCPL KODE 3]],#REF!,3,0),0)</f>
        <v>0</v>
      </c>
      <c r="K145" s="3">
        <f>IFERROR(VLOOKUP(Table43_1[[#This Row],[PCPL KODE 4]],#REF!,3,0),0)</f>
        <v>0</v>
      </c>
      <c r="L145" s="3">
        <f>IFERROR(VLOOKUP(Table43_1[[#This Row],[PCPL KODE 5]],#REF!,3,0),0)</f>
        <v>0</v>
      </c>
      <c r="M145" s="3">
        <f>Table43_1[[#This Row],[QTY 1]]+Table43_1[[#This Row],[QTY 2]]+Table43_1[[#This Row],[QTY 3]]+Table43_1[[#This Row],[QTY 4]]+Table43_1[[#This Row],[QTY 5]]</f>
        <v>0</v>
      </c>
      <c r="N145" s="3"/>
    </row>
    <row r="146" spans="1:14">
      <c r="A146" t="s">
        <v>1302</v>
      </c>
      <c r="B146" t="s">
        <v>2454</v>
      </c>
      <c r="C146">
        <v>105008</v>
      </c>
      <c r="H146" s="3">
        <f>IFERROR(VLOOKUP(Table43_1[[#This Row],[PCPL KODE 1]],#REF!,3,0),0)</f>
        <v>0</v>
      </c>
      <c r="I146" s="3">
        <f>IFERROR(VLOOKUP(Table43_1[[#This Row],[PCPL KODE 2]],#REF!,3,0),0)</f>
        <v>0</v>
      </c>
      <c r="J146" s="3">
        <f>IFERROR(VLOOKUP(Table43_1[[#This Row],[PCPL KODE 3]],#REF!,3,0),0)</f>
        <v>0</v>
      </c>
      <c r="K146" s="3">
        <f>IFERROR(VLOOKUP(Table43_1[[#This Row],[PCPL KODE 4]],#REF!,3,0),0)</f>
        <v>0</v>
      </c>
      <c r="L146" s="3">
        <f>IFERROR(VLOOKUP(Table43_1[[#This Row],[PCPL KODE 5]],#REF!,3,0),0)</f>
        <v>0</v>
      </c>
      <c r="M146" s="3">
        <f>Table43_1[[#This Row],[QTY 1]]+Table43_1[[#This Row],[QTY 2]]+Table43_1[[#This Row],[QTY 3]]+Table43_1[[#This Row],[QTY 4]]+Table43_1[[#This Row],[QTY 5]]</f>
        <v>0</v>
      </c>
      <c r="N146" s="3"/>
    </row>
    <row r="147" spans="1:14">
      <c r="A147" t="s">
        <v>1303</v>
      </c>
      <c r="B147" t="s">
        <v>2455</v>
      </c>
      <c r="C147">
        <v>105018</v>
      </c>
      <c r="H147" s="3">
        <f>IFERROR(VLOOKUP(Table43_1[[#This Row],[PCPL KODE 1]],#REF!,3,0),0)</f>
        <v>0</v>
      </c>
      <c r="I147" s="3">
        <f>IFERROR(VLOOKUP(Table43_1[[#This Row],[PCPL KODE 2]],#REF!,3,0),0)</f>
        <v>0</v>
      </c>
      <c r="J147" s="3">
        <f>IFERROR(VLOOKUP(Table43_1[[#This Row],[PCPL KODE 3]],#REF!,3,0),0)</f>
        <v>0</v>
      </c>
      <c r="K147" s="3">
        <f>IFERROR(VLOOKUP(Table43_1[[#This Row],[PCPL KODE 4]],#REF!,3,0),0)</f>
        <v>0</v>
      </c>
      <c r="L147" s="3">
        <f>IFERROR(VLOOKUP(Table43_1[[#This Row],[PCPL KODE 5]],#REF!,3,0),0)</f>
        <v>0</v>
      </c>
      <c r="M147" s="3">
        <f>Table43_1[[#This Row],[QTY 1]]+Table43_1[[#This Row],[QTY 2]]+Table43_1[[#This Row],[QTY 3]]+Table43_1[[#This Row],[QTY 4]]+Table43_1[[#This Row],[QTY 5]]</f>
        <v>0</v>
      </c>
      <c r="N147" s="3"/>
    </row>
    <row r="148" spans="1:14">
      <c r="A148" t="s">
        <v>3462</v>
      </c>
      <c r="B148" t="s">
        <v>3481</v>
      </c>
      <c r="C148">
        <v>105085</v>
      </c>
      <c r="H148" s="3">
        <f>IFERROR(VLOOKUP(Table43_1[[#This Row],[PCPL KODE 1]],#REF!,3,0),0)</f>
        <v>0</v>
      </c>
      <c r="I148" s="3">
        <f>IFERROR(VLOOKUP(Table43_1[[#This Row],[PCPL KODE 2]],#REF!,3,0),0)</f>
        <v>0</v>
      </c>
      <c r="J148" s="3">
        <f>IFERROR(VLOOKUP(Table43_1[[#This Row],[PCPL KODE 3]],#REF!,3,0),0)</f>
        <v>0</v>
      </c>
      <c r="K148" s="3">
        <f>IFERROR(VLOOKUP(Table43_1[[#This Row],[PCPL KODE 4]],#REF!,3,0),0)</f>
        <v>0</v>
      </c>
      <c r="L148" s="3">
        <f>IFERROR(VLOOKUP(Table43_1[[#This Row],[PCPL KODE 5]],#REF!,3,0),0)</f>
        <v>0</v>
      </c>
      <c r="M148" s="3">
        <f>Table43_1[[#This Row],[QTY 1]]+Table43_1[[#This Row],[QTY 2]]+Table43_1[[#This Row],[QTY 3]]+Table43_1[[#This Row],[QTY 4]]+Table43_1[[#This Row],[QTY 5]]</f>
        <v>0</v>
      </c>
      <c r="N148" s="3"/>
    </row>
    <row r="149" spans="1:14">
      <c r="A149" t="s">
        <v>1304</v>
      </c>
      <c r="B149" t="s">
        <v>3482</v>
      </c>
      <c r="C149">
        <v>106053</v>
      </c>
      <c r="D149">
        <v>106001</v>
      </c>
      <c r="H149" s="3">
        <f>IFERROR(VLOOKUP(Table43_1[[#This Row],[PCPL KODE 1]],#REF!,3,0),0)</f>
        <v>0</v>
      </c>
      <c r="I149" s="3">
        <f>IFERROR(VLOOKUP(Table43_1[[#This Row],[PCPL KODE 2]],#REF!,3,0),0)</f>
        <v>0</v>
      </c>
      <c r="J149" s="3">
        <f>IFERROR(VLOOKUP(Table43_1[[#This Row],[PCPL KODE 3]],#REF!,3,0),0)</f>
        <v>0</v>
      </c>
      <c r="K149" s="3">
        <f>IFERROR(VLOOKUP(Table43_1[[#This Row],[PCPL KODE 4]],#REF!,3,0),0)</f>
        <v>0</v>
      </c>
      <c r="L149" s="3">
        <f>IFERROR(VLOOKUP(Table43_1[[#This Row],[PCPL KODE 5]],#REF!,3,0),0)</f>
        <v>0</v>
      </c>
      <c r="M149" s="3">
        <f>Table43_1[[#This Row],[QTY 1]]+Table43_1[[#This Row],[QTY 2]]+Table43_1[[#This Row],[QTY 3]]+Table43_1[[#This Row],[QTY 4]]+Table43_1[[#This Row],[QTY 5]]</f>
        <v>0</v>
      </c>
      <c r="N149" s="3"/>
    </row>
    <row r="150" spans="1:14">
      <c r="A150" t="s">
        <v>1306</v>
      </c>
      <c r="B150" t="s">
        <v>3483</v>
      </c>
      <c r="C150">
        <v>106052</v>
      </c>
      <c r="D150">
        <v>106002</v>
      </c>
      <c r="H150" s="3">
        <f>IFERROR(VLOOKUP(Table43_1[[#This Row],[PCPL KODE 1]],#REF!,3,0),0)</f>
        <v>0</v>
      </c>
      <c r="I150" s="3">
        <f>IFERROR(VLOOKUP(Table43_1[[#This Row],[PCPL KODE 2]],#REF!,3,0),0)</f>
        <v>0</v>
      </c>
      <c r="J150" s="3">
        <f>IFERROR(VLOOKUP(Table43_1[[#This Row],[PCPL KODE 3]],#REF!,3,0),0)</f>
        <v>0</v>
      </c>
      <c r="K150" s="3">
        <f>IFERROR(VLOOKUP(Table43_1[[#This Row],[PCPL KODE 4]],#REF!,3,0),0)</f>
        <v>0</v>
      </c>
      <c r="L150" s="3">
        <f>IFERROR(VLOOKUP(Table43_1[[#This Row],[PCPL KODE 5]],#REF!,3,0),0)</f>
        <v>0</v>
      </c>
      <c r="M150" s="3">
        <f>Table43_1[[#This Row],[QTY 1]]+Table43_1[[#This Row],[QTY 2]]+Table43_1[[#This Row],[QTY 3]]+Table43_1[[#This Row],[QTY 4]]+Table43_1[[#This Row],[QTY 5]]</f>
        <v>0</v>
      </c>
      <c r="N150" s="3"/>
    </row>
    <row r="151" spans="1:14">
      <c r="A151" t="s">
        <v>1308</v>
      </c>
      <c r="B151" t="s">
        <v>3484</v>
      </c>
      <c r="C151">
        <v>106067</v>
      </c>
      <c r="D151">
        <v>106005</v>
      </c>
      <c r="H151" s="3">
        <f>IFERROR(VLOOKUP(Table43_1[[#This Row],[PCPL KODE 1]],#REF!,3,0),0)</f>
        <v>0</v>
      </c>
      <c r="I151" s="3">
        <f>IFERROR(VLOOKUP(Table43_1[[#This Row],[PCPL KODE 2]],#REF!,3,0),0)</f>
        <v>0</v>
      </c>
      <c r="J151" s="3">
        <f>IFERROR(VLOOKUP(Table43_1[[#This Row],[PCPL KODE 3]],#REF!,3,0),0)</f>
        <v>0</v>
      </c>
      <c r="K151" s="3">
        <f>IFERROR(VLOOKUP(Table43_1[[#This Row],[PCPL KODE 4]],#REF!,3,0),0)</f>
        <v>0</v>
      </c>
      <c r="L151" s="3">
        <f>IFERROR(VLOOKUP(Table43_1[[#This Row],[PCPL KODE 5]],#REF!,3,0),0)</f>
        <v>0</v>
      </c>
      <c r="M151" s="3">
        <f>Table43_1[[#This Row],[QTY 1]]+Table43_1[[#This Row],[QTY 2]]+Table43_1[[#This Row],[QTY 3]]+Table43_1[[#This Row],[QTY 4]]+Table43_1[[#This Row],[QTY 5]]</f>
        <v>0</v>
      </c>
      <c r="N151" s="3"/>
    </row>
    <row r="152" spans="1:14">
      <c r="A152" t="s">
        <v>1310</v>
      </c>
      <c r="B152" t="s">
        <v>3485</v>
      </c>
      <c r="C152">
        <v>106066</v>
      </c>
      <c r="D152">
        <v>106006</v>
      </c>
      <c r="H152" s="3">
        <f>IFERROR(VLOOKUP(Table43_1[[#This Row],[PCPL KODE 1]],#REF!,3,0),0)</f>
        <v>0</v>
      </c>
      <c r="I152" s="3">
        <f>IFERROR(VLOOKUP(Table43_1[[#This Row],[PCPL KODE 2]],#REF!,3,0),0)</f>
        <v>0</v>
      </c>
      <c r="J152" s="3">
        <f>IFERROR(VLOOKUP(Table43_1[[#This Row],[PCPL KODE 3]],#REF!,3,0),0)</f>
        <v>0</v>
      </c>
      <c r="K152" s="3">
        <f>IFERROR(VLOOKUP(Table43_1[[#This Row],[PCPL KODE 4]],#REF!,3,0),0)</f>
        <v>0</v>
      </c>
      <c r="L152" s="3">
        <f>IFERROR(VLOOKUP(Table43_1[[#This Row],[PCPL KODE 5]],#REF!,3,0),0)</f>
        <v>0</v>
      </c>
      <c r="M152" s="3">
        <f>Table43_1[[#This Row],[QTY 1]]+Table43_1[[#This Row],[QTY 2]]+Table43_1[[#This Row],[QTY 3]]+Table43_1[[#This Row],[QTY 4]]+Table43_1[[#This Row],[QTY 5]]</f>
        <v>0</v>
      </c>
      <c r="N152" s="3"/>
    </row>
    <row r="153" spans="1:14">
      <c r="A153" t="s">
        <v>1312</v>
      </c>
      <c r="B153" t="s">
        <v>3486</v>
      </c>
      <c r="C153">
        <v>106059</v>
      </c>
      <c r="D153">
        <v>106015</v>
      </c>
      <c r="H153" s="3">
        <f>IFERROR(VLOOKUP(Table43_1[[#This Row],[PCPL KODE 1]],#REF!,3,0),0)</f>
        <v>0</v>
      </c>
      <c r="I153" s="3">
        <f>IFERROR(VLOOKUP(Table43_1[[#This Row],[PCPL KODE 2]],#REF!,3,0),0)</f>
        <v>0</v>
      </c>
      <c r="J153" s="3">
        <f>IFERROR(VLOOKUP(Table43_1[[#This Row],[PCPL KODE 3]],#REF!,3,0),0)</f>
        <v>0</v>
      </c>
      <c r="K153" s="3">
        <f>IFERROR(VLOOKUP(Table43_1[[#This Row],[PCPL KODE 4]],#REF!,3,0),0)</f>
        <v>0</v>
      </c>
      <c r="L153" s="3">
        <f>IFERROR(VLOOKUP(Table43_1[[#This Row],[PCPL KODE 5]],#REF!,3,0),0)</f>
        <v>0</v>
      </c>
      <c r="M153" s="3">
        <f>Table43_1[[#This Row],[QTY 1]]+Table43_1[[#This Row],[QTY 2]]+Table43_1[[#This Row],[QTY 3]]+Table43_1[[#This Row],[QTY 4]]+Table43_1[[#This Row],[QTY 5]]</f>
        <v>0</v>
      </c>
      <c r="N153" s="3"/>
    </row>
    <row r="154" spans="1:14">
      <c r="A154" t="s">
        <v>1314</v>
      </c>
      <c r="B154" t="s">
        <v>1315</v>
      </c>
      <c r="C154">
        <v>106058</v>
      </c>
      <c r="D154">
        <v>106016</v>
      </c>
      <c r="H154" s="3">
        <f>IFERROR(VLOOKUP(Table43_1[[#This Row],[PCPL KODE 1]],#REF!,3,0),0)</f>
        <v>0</v>
      </c>
      <c r="I154" s="3">
        <f>IFERROR(VLOOKUP(Table43_1[[#This Row],[PCPL KODE 2]],#REF!,3,0),0)</f>
        <v>0</v>
      </c>
      <c r="J154" s="3">
        <f>IFERROR(VLOOKUP(Table43_1[[#This Row],[PCPL KODE 3]],#REF!,3,0),0)</f>
        <v>0</v>
      </c>
      <c r="K154" s="3">
        <f>IFERROR(VLOOKUP(Table43_1[[#This Row],[PCPL KODE 4]],#REF!,3,0),0)</f>
        <v>0</v>
      </c>
      <c r="L154" s="3">
        <f>IFERROR(VLOOKUP(Table43_1[[#This Row],[PCPL KODE 5]],#REF!,3,0),0)</f>
        <v>0</v>
      </c>
      <c r="M154" s="3">
        <f>Table43_1[[#This Row],[QTY 1]]+Table43_1[[#This Row],[QTY 2]]+Table43_1[[#This Row],[QTY 3]]+Table43_1[[#This Row],[QTY 4]]+Table43_1[[#This Row],[QTY 5]]</f>
        <v>0</v>
      </c>
      <c r="N154" s="3"/>
    </row>
    <row r="155" spans="1:14">
      <c r="A155" t="s">
        <v>1316</v>
      </c>
      <c r="B155" t="s">
        <v>1317</v>
      </c>
      <c r="C155">
        <v>106017</v>
      </c>
      <c r="H155" s="3">
        <f>IFERROR(VLOOKUP(Table43_1[[#This Row],[PCPL KODE 1]],#REF!,3,0),0)</f>
        <v>0</v>
      </c>
      <c r="I155" s="3">
        <f>IFERROR(VLOOKUP(Table43_1[[#This Row],[PCPL KODE 2]],#REF!,3,0),0)</f>
        <v>0</v>
      </c>
      <c r="J155" s="3">
        <f>IFERROR(VLOOKUP(Table43_1[[#This Row],[PCPL KODE 3]],#REF!,3,0),0)</f>
        <v>0</v>
      </c>
      <c r="K155" s="3">
        <f>IFERROR(VLOOKUP(Table43_1[[#This Row],[PCPL KODE 4]],#REF!,3,0),0)</f>
        <v>0</v>
      </c>
      <c r="L155" s="3">
        <f>IFERROR(VLOOKUP(Table43_1[[#This Row],[PCPL KODE 5]],#REF!,3,0),0)</f>
        <v>0</v>
      </c>
      <c r="M155" s="3">
        <f>Table43_1[[#This Row],[QTY 1]]+Table43_1[[#This Row],[QTY 2]]+Table43_1[[#This Row],[QTY 3]]+Table43_1[[#This Row],[QTY 4]]+Table43_1[[#This Row],[QTY 5]]</f>
        <v>0</v>
      </c>
      <c r="N155" s="3"/>
    </row>
    <row r="156" spans="1:14">
      <c r="A156" t="s">
        <v>1318</v>
      </c>
      <c r="B156" t="s">
        <v>1319</v>
      </c>
      <c r="C156">
        <v>106018</v>
      </c>
      <c r="H156" s="3">
        <f>IFERROR(VLOOKUP(Table43_1[[#This Row],[PCPL KODE 1]],#REF!,3,0),0)</f>
        <v>0</v>
      </c>
      <c r="I156" s="3">
        <f>IFERROR(VLOOKUP(Table43_1[[#This Row],[PCPL KODE 2]],#REF!,3,0),0)</f>
        <v>0</v>
      </c>
      <c r="J156" s="3">
        <f>IFERROR(VLOOKUP(Table43_1[[#This Row],[PCPL KODE 3]],#REF!,3,0),0)</f>
        <v>0</v>
      </c>
      <c r="K156" s="3">
        <f>IFERROR(VLOOKUP(Table43_1[[#This Row],[PCPL KODE 4]],#REF!,3,0),0)</f>
        <v>0</v>
      </c>
      <c r="L156" s="3">
        <f>IFERROR(VLOOKUP(Table43_1[[#This Row],[PCPL KODE 5]],#REF!,3,0),0)</f>
        <v>0</v>
      </c>
      <c r="M156" s="3">
        <f>Table43_1[[#This Row],[QTY 1]]+Table43_1[[#This Row],[QTY 2]]+Table43_1[[#This Row],[QTY 3]]+Table43_1[[#This Row],[QTY 4]]+Table43_1[[#This Row],[QTY 5]]</f>
        <v>0</v>
      </c>
      <c r="N156" s="3"/>
    </row>
    <row r="157" spans="1:14">
      <c r="A157" t="s">
        <v>1320</v>
      </c>
      <c r="B157" t="s">
        <v>3487</v>
      </c>
      <c r="C157">
        <v>106057</v>
      </c>
      <c r="D157">
        <v>106013</v>
      </c>
      <c r="H157" s="3">
        <f>IFERROR(VLOOKUP(Table43_1[[#This Row],[PCPL KODE 1]],#REF!,3,0),0)</f>
        <v>0</v>
      </c>
      <c r="I157" s="3">
        <f>IFERROR(VLOOKUP(Table43_1[[#This Row],[PCPL KODE 2]],#REF!,3,0),0)</f>
        <v>0</v>
      </c>
      <c r="J157" s="3">
        <f>IFERROR(VLOOKUP(Table43_1[[#This Row],[PCPL KODE 3]],#REF!,3,0),0)</f>
        <v>0</v>
      </c>
      <c r="K157" s="3">
        <f>IFERROR(VLOOKUP(Table43_1[[#This Row],[PCPL KODE 4]],#REF!,3,0),0)</f>
        <v>0</v>
      </c>
      <c r="L157" s="3">
        <f>IFERROR(VLOOKUP(Table43_1[[#This Row],[PCPL KODE 5]],#REF!,3,0),0)</f>
        <v>0</v>
      </c>
      <c r="M157" s="3">
        <f>Table43_1[[#This Row],[QTY 1]]+Table43_1[[#This Row],[QTY 2]]+Table43_1[[#This Row],[QTY 3]]+Table43_1[[#This Row],[QTY 4]]+Table43_1[[#This Row],[QTY 5]]</f>
        <v>0</v>
      </c>
      <c r="N157" s="3"/>
    </row>
    <row r="158" spans="1:14">
      <c r="A158" t="s">
        <v>1322</v>
      </c>
      <c r="B158" t="s">
        <v>1323</v>
      </c>
      <c r="C158">
        <v>106056</v>
      </c>
      <c r="D158">
        <v>106014</v>
      </c>
      <c r="H158" s="3">
        <f>IFERROR(VLOOKUP(Table43_1[[#This Row],[PCPL KODE 1]],#REF!,3,0),0)</f>
        <v>0</v>
      </c>
      <c r="I158" s="3">
        <f>IFERROR(VLOOKUP(Table43_1[[#This Row],[PCPL KODE 2]],#REF!,3,0),0)</f>
        <v>0</v>
      </c>
      <c r="J158" s="3">
        <f>IFERROR(VLOOKUP(Table43_1[[#This Row],[PCPL KODE 3]],#REF!,3,0),0)</f>
        <v>0</v>
      </c>
      <c r="K158" s="3">
        <f>IFERROR(VLOOKUP(Table43_1[[#This Row],[PCPL KODE 4]],#REF!,3,0),0)</f>
        <v>0</v>
      </c>
      <c r="L158" s="3">
        <f>IFERROR(VLOOKUP(Table43_1[[#This Row],[PCPL KODE 5]],#REF!,3,0),0)</f>
        <v>0</v>
      </c>
      <c r="M158" s="3">
        <f>Table43_1[[#This Row],[QTY 1]]+Table43_1[[#This Row],[QTY 2]]+Table43_1[[#This Row],[QTY 3]]+Table43_1[[#This Row],[QTY 4]]+Table43_1[[#This Row],[QTY 5]]</f>
        <v>0</v>
      </c>
      <c r="N158" s="3"/>
    </row>
    <row r="159" spans="1:14">
      <c r="A159" t="s">
        <v>1324</v>
      </c>
      <c r="B159" t="s">
        <v>3488</v>
      </c>
      <c r="C159">
        <v>106063</v>
      </c>
      <c r="D159">
        <v>106003</v>
      </c>
      <c r="H159" s="3">
        <f>IFERROR(VLOOKUP(Table43_1[[#This Row],[PCPL KODE 1]],#REF!,3,0),0)</f>
        <v>0</v>
      </c>
      <c r="I159" s="3">
        <f>IFERROR(VLOOKUP(Table43_1[[#This Row],[PCPL KODE 2]],#REF!,3,0),0)</f>
        <v>0</v>
      </c>
      <c r="J159" s="3">
        <f>IFERROR(VLOOKUP(Table43_1[[#This Row],[PCPL KODE 3]],#REF!,3,0),0)</f>
        <v>0</v>
      </c>
      <c r="K159" s="3">
        <f>IFERROR(VLOOKUP(Table43_1[[#This Row],[PCPL KODE 4]],#REF!,3,0),0)</f>
        <v>0</v>
      </c>
      <c r="L159" s="3">
        <f>IFERROR(VLOOKUP(Table43_1[[#This Row],[PCPL KODE 5]],#REF!,3,0),0)</f>
        <v>0</v>
      </c>
      <c r="M159" s="3">
        <f>Table43_1[[#This Row],[QTY 1]]+Table43_1[[#This Row],[QTY 2]]+Table43_1[[#This Row],[QTY 3]]+Table43_1[[#This Row],[QTY 4]]+Table43_1[[#This Row],[QTY 5]]</f>
        <v>0</v>
      </c>
      <c r="N159" s="3"/>
    </row>
    <row r="160" spans="1:14">
      <c r="A160" t="s">
        <v>1326</v>
      </c>
      <c r="B160" t="s">
        <v>3489</v>
      </c>
      <c r="C160">
        <v>106062</v>
      </c>
      <c r="D160">
        <v>106004</v>
      </c>
      <c r="H160" s="3">
        <f>IFERROR(VLOOKUP(Table43_1[[#This Row],[PCPL KODE 1]],#REF!,3,0),0)</f>
        <v>0</v>
      </c>
      <c r="I160" s="3">
        <f>IFERROR(VLOOKUP(Table43_1[[#This Row],[PCPL KODE 2]],#REF!,3,0),0)</f>
        <v>0</v>
      </c>
      <c r="J160" s="3">
        <f>IFERROR(VLOOKUP(Table43_1[[#This Row],[PCPL KODE 3]],#REF!,3,0),0)</f>
        <v>0</v>
      </c>
      <c r="K160" s="3">
        <f>IFERROR(VLOOKUP(Table43_1[[#This Row],[PCPL KODE 4]],#REF!,3,0),0)</f>
        <v>0</v>
      </c>
      <c r="L160" s="3">
        <f>IFERROR(VLOOKUP(Table43_1[[#This Row],[PCPL KODE 5]],#REF!,3,0),0)</f>
        <v>0</v>
      </c>
      <c r="M160" s="3">
        <f>Table43_1[[#This Row],[QTY 1]]+Table43_1[[#This Row],[QTY 2]]+Table43_1[[#This Row],[QTY 3]]+Table43_1[[#This Row],[QTY 4]]+Table43_1[[#This Row],[QTY 5]]</f>
        <v>0</v>
      </c>
      <c r="N160" s="3"/>
    </row>
    <row r="161" spans="1:14">
      <c r="A161" t="s">
        <v>1328</v>
      </c>
      <c r="B161" t="s">
        <v>3490</v>
      </c>
      <c r="C161">
        <v>106061</v>
      </c>
      <c r="D161">
        <v>106009</v>
      </c>
      <c r="H161" s="3">
        <f>IFERROR(VLOOKUP(Table43_1[[#This Row],[PCPL KODE 1]],#REF!,3,0),0)</f>
        <v>0</v>
      </c>
      <c r="I161" s="3">
        <f>IFERROR(VLOOKUP(Table43_1[[#This Row],[PCPL KODE 2]],#REF!,3,0),0)</f>
        <v>0</v>
      </c>
      <c r="J161" s="3">
        <f>IFERROR(VLOOKUP(Table43_1[[#This Row],[PCPL KODE 3]],#REF!,3,0),0)</f>
        <v>0</v>
      </c>
      <c r="K161" s="3">
        <f>IFERROR(VLOOKUP(Table43_1[[#This Row],[PCPL KODE 4]],#REF!,3,0),0)</f>
        <v>0</v>
      </c>
      <c r="L161" s="3">
        <f>IFERROR(VLOOKUP(Table43_1[[#This Row],[PCPL KODE 5]],#REF!,3,0),0)</f>
        <v>0</v>
      </c>
      <c r="M161" s="3">
        <f>Table43_1[[#This Row],[QTY 1]]+Table43_1[[#This Row],[QTY 2]]+Table43_1[[#This Row],[QTY 3]]+Table43_1[[#This Row],[QTY 4]]+Table43_1[[#This Row],[QTY 5]]</f>
        <v>0</v>
      </c>
      <c r="N161" s="3"/>
    </row>
    <row r="162" spans="1:14">
      <c r="A162" t="s">
        <v>1330</v>
      </c>
      <c r="B162" t="s">
        <v>3491</v>
      </c>
      <c r="C162">
        <v>106060</v>
      </c>
      <c r="D162">
        <v>106010</v>
      </c>
      <c r="H162" s="3">
        <f>IFERROR(VLOOKUP(Table43_1[[#This Row],[PCPL KODE 1]],#REF!,3,0),0)</f>
        <v>0</v>
      </c>
      <c r="I162" s="3">
        <f>IFERROR(VLOOKUP(Table43_1[[#This Row],[PCPL KODE 2]],#REF!,3,0),0)</f>
        <v>0</v>
      </c>
      <c r="J162" s="3">
        <f>IFERROR(VLOOKUP(Table43_1[[#This Row],[PCPL KODE 3]],#REF!,3,0),0)</f>
        <v>0</v>
      </c>
      <c r="K162" s="3">
        <f>IFERROR(VLOOKUP(Table43_1[[#This Row],[PCPL KODE 4]],#REF!,3,0),0)</f>
        <v>0</v>
      </c>
      <c r="L162" s="3">
        <f>IFERROR(VLOOKUP(Table43_1[[#This Row],[PCPL KODE 5]],#REF!,3,0),0)</f>
        <v>0</v>
      </c>
      <c r="M162" s="3">
        <f>Table43_1[[#This Row],[QTY 1]]+Table43_1[[#This Row],[QTY 2]]+Table43_1[[#This Row],[QTY 3]]+Table43_1[[#This Row],[QTY 4]]+Table43_1[[#This Row],[QTY 5]]</f>
        <v>0</v>
      </c>
      <c r="N162" s="3"/>
    </row>
    <row r="163" spans="1:14">
      <c r="A163" t="s">
        <v>1332</v>
      </c>
      <c r="B163" t="s">
        <v>3492</v>
      </c>
      <c r="C163">
        <v>106065</v>
      </c>
      <c r="D163">
        <v>106011</v>
      </c>
      <c r="H163" s="3">
        <f>IFERROR(VLOOKUP(Table43_1[[#This Row],[PCPL KODE 1]],#REF!,3,0),0)</f>
        <v>0</v>
      </c>
      <c r="I163" s="3">
        <f>IFERROR(VLOOKUP(Table43_1[[#This Row],[PCPL KODE 2]],#REF!,3,0),0)</f>
        <v>0</v>
      </c>
      <c r="J163" s="3">
        <f>IFERROR(VLOOKUP(Table43_1[[#This Row],[PCPL KODE 3]],#REF!,3,0),0)</f>
        <v>0</v>
      </c>
      <c r="K163" s="3">
        <f>IFERROR(VLOOKUP(Table43_1[[#This Row],[PCPL KODE 4]],#REF!,3,0),0)</f>
        <v>0</v>
      </c>
      <c r="L163" s="3">
        <f>IFERROR(VLOOKUP(Table43_1[[#This Row],[PCPL KODE 5]],#REF!,3,0),0)</f>
        <v>0</v>
      </c>
      <c r="M163" s="3">
        <f>Table43_1[[#This Row],[QTY 1]]+Table43_1[[#This Row],[QTY 2]]+Table43_1[[#This Row],[QTY 3]]+Table43_1[[#This Row],[QTY 4]]+Table43_1[[#This Row],[QTY 5]]</f>
        <v>0</v>
      </c>
      <c r="N163" s="3"/>
    </row>
    <row r="164" spans="1:14">
      <c r="A164" t="s">
        <v>1334</v>
      </c>
      <c r="B164" t="s">
        <v>3493</v>
      </c>
      <c r="C164">
        <v>106064</v>
      </c>
      <c r="D164">
        <v>106012</v>
      </c>
      <c r="H164" s="3">
        <f>IFERROR(VLOOKUP(Table43_1[[#This Row],[PCPL KODE 1]],#REF!,3,0),0)</f>
        <v>0</v>
      </c>
      <c r="I164" s="3">
        <f>IFERROR(VLOOKUP(Table43_1[[#This Row],[PCPL KODE 2]],#REF!,3,0),0)</f>
        <v>0</v>
      </c>
      <c r="J164" s="3">
        <f>IFERROR(VLOOKUP(Table43_1[[#This Row],[PCPL KODE 3]],#REF!,3,0),0)</f>
        <v>0</v>
      </c>
      <c r="K164" s="3">
        <f>IFERROR(VLOOKUP(Table43_1[[#This Row],[PCPL KODE 4]],#REF!,3,0),0)</f>
        <v>0</v>
      </c>
      <c r="L164" s="3">
        <f>IFERROR(VLOOKUP(Table43_1[[#This Row],[PCPL KODE 5]],#REF!,3,0),0)</f>
        <v>0</v>
      </c>
      <c r="M164" s="3">
        <f>Table43_1[[#This Row],[QTY 1]]+Table43_1[[#This Row],[QTY 2]]+Table43_1[[#This Row],[QTY 3]]+Table43_1[[#This Row],[QTY 4]]+Table43_1[[#This Row],[QTY 5]]</f>
        <v>0</v>
      </c>
      <c r="N164" s="3"/>
    </row>
    <row r="165" spans="1:14">
      <c r="A165" t="s">
        <v>1336</v>
      </c>
      <c r="B165" t="s">
        <v>3494</v>
      </c>
      <c r="C165">
        <v>106055</v>
      </c>
      <c r="D165">
        <v>106007</v>
      </c>
      <c r="H165" s="3">
        <f>IFERROR(VLOOKUP(Table43_1[[#This Row],[PCPL KODE 1]],#REF!,3,0),0)</f>
        <v>0</v>
      </c>
      <c r="I165" s="3">
        <f>IFERROR(VLOOKUP(Table43_1[[#This Row],[PCPL KODE 2]],#REF!,3,0),0)</f>
        <v>0</v>
      </c>
      <c r="J165" s="3">
        <f>IFERROR(VLOOKUP(Table43_1[[#This Row],[PCPL KODE 3]],#REF!,3,0),0)</f>
        <v>0</v>
      </c>
      <c r="K165" s="3">
        <f>IFERROR(VLOOKUP(Table43_1[[#This Row],[PCPL KODE 4]],#REF!,3,0),0)</f>
        <v>0</v>
      </c>
      <c r="L165" s="3">
        <f>IFERROR(VLOOKUP(Table43_1[[#This Row],[PCPL KODE 5]],#REF!,3,0),0)</f>
        <v>0</v>
      </c>
      <c r="M165" s="3">
        <f>Table43_1[[#This Row],[QTY 1]]+Table43_1[[#This Row],[QTY 2]]+Table43_1[[#This Row],[QTY 3]]+Table43_1[[#This Row],[QTY 4]]+Table43_1[[#This Row],[QTY 5]]</f>
        <v>0</v>
      </c>
      <c r="N165" s="3"/>
    </row>
    <row r="166" spans="1:14">
      <c r="A166" t="s">
        <v>1338</v>
      </c>
      <c r="B166" t="s">
        <v>1339</v>
      </c>
      <c r="C166">
        <v>106054</v>
      </c>
      <c r="D166">
        <v>106008</v>
      </c>
      <c r="H166" s="3">
        <f>IFERROR(VLOOKUP(Table43_1[[#This Row],[PCPL KODE 1]],#REF!,3,0),0)</f>
        <v>0</v>
      </c>
      <c r="I166" s="3">
        <f>IFERROR(VLOOKUP(Table43_1[[#This Row],[PCPL KODE 2]],#REF!,3,0),0)</f>
        <v>0</v>
      </c>
      <c r="J166" s="3">
        <f>IFERROR(VLOOKUP(Table43_1[[#This Row],[PCPL KODE 3]],#REF!,3,0),0)</f>
        <v>0</v>
      </c>
      <c r="K166" s="3">
        <f>IFERROR(VLOOKUP(Table43_1[[#This Row],[PCPL KODE 4]],#REF!,3,0),0)</f>
        <v>0</v>
      </c>
      <c r="L166" s="3">
        <f>IFERROR(VLOOKUP(Table43_1[[#This Row],[PCPL KODE 5]],#REF!,3,0),0)</f>
        <v>0</v>
      </c>
      <c r="M166" s="3">
        <f>Table43_1[[#This Row],[QTY 1]]+Table43_1[[#This Row],[QTY 2]]+Table43_1[[#This Row],[QTY 3]]+Table43_1[[#This Row],[QTY 4]]+Table43_1[[#This Row],[QTY 5]]</f>
        <v>0</v>
      </c>
      <c r="N166" s="3"/>
    </row>
    <row r="167" spans="1:14">
      <c r="A167" t="s">
        <v>1340</v>
      </c>
      <c r="B167" t="s">
        <v>1341</v>
      </c>
      <c r="C167">
        <v>106036</v>
      </c>
      <c r="H167" s="3">
        <f>IFERROR(VLOOKUP(Table43_1[[#This Row],[PCPL KODE 1]],#REF!,3,0),0)</f>
        <v>0</v>
      </c>
      <c r="I167" s="3">
        <f>IFERROR(VLOOKUP(Table43_1[[#This Row],[PCPL KODE 2]],#REF!,3,0),0)</f>
        <v>0</v>
      </c>
      <c r="J167" s="3">
        <f>IFERROR(VLOOKUP(Table43_1[[#This Row],[PCPL KODE 3]],#REF!,3,0),0)</f>
        <v>0</v>
      </c>
      <c r="K167" s="3">
        <f>IFERROR(VLOOKUP(Table43_1[[#This Row],[PCPL KODE 4]],#REF!,3,0),0)</f>
        <v>0</v>
      </c>
      <c r="L167" s="3">
        <f>IFERROR(VLOOKUP(Table43_1[[#This Row],[PCPL KODE 5]],#REF!,3,0),0)</f>
        <v>0</v>
      </c>
      <c r="M167" s="3">
        <f>Table43_1[[#This Row],[QTY 1]]+Table43_1[[#This Row],[QTY 2]]+Table43_1[[#This Row],[QTY 3]]+Table43_1[[#This Row],[QTY 4]]+Table43_1[[#This Row],[QTY 5]]</f>
        <v>0</v>
      </c>
      <c r="N167" s="3"/>
    </row>
    <row r="168" spans="1:14">
      <c r="A168" t="s">
        <v>1342</v>
      </c>
      <c r="B168" t="s">
        <v>1343</v>
      </c>
      <c r="C168">
        <v>106037</v>
      </c>
      <c r="H168" s="3">
        <f>IFERROR(VLOOKUP(Table43_1[[#This Row],[PCPL KODE 1]],#REF!,3,0),0)</f>
        <v>0</v>
      </c>
      <c r="I168" s="3">
        <f>IFERROR(VLOOKUP(Table43_1[[#This Row],[PCPL KODE 2]],#REF!,3,0),0)</f>
        <v>0</v>
      </c>
      <c r="J168" s="3">
        <f>IFERROR(VLOOKUP(Table43_1[[#This Row],[PCPL KODE 3]],#REF!,3,0),0)</f>
        <v>0</v>
      </c>
      <c r="K168" s="3">
        <f>IFERROR(VLOOKUP(Table43_1[[#This Row],[PCPL KODE 4]],#REF!,3,0),0)</f>
        <v>0</v>
      </c>
      <c r="L168" s="3">
        <f>IFERROR(VLOOKUP(Table43_1[[#This Row],[PCPL KODE 5]],#REF!,3,0),0)</f>
        <v>0</v>
      </c>
      <c r="M168" s="3">
        <f>Table43_1[[#This Row],[QTY 1]]+Table43_1[[#This Row],[QTY 2]]+Table43_1[[#This Row],[QTY 3]]+Table43_1[[#This Row],[QTY 4]]+Table43_1[[#This Row],[QTY 5]]</f>
        <v>0</v>
      </c>
      <c r="N168" s="3"/>
    </row>
    <row r="169" spans="1:14">
      <c r="A169" t="s">
        <v>3458</v>
      </c>
      <c r="B169" t="s">
        <v>3460</v>
      </c>
      <c r="C169">
        <v>106069</v>
      </c>
      <c r="H169" s="3">
        <f>IFERROR(VLOOKUP(Table43_1[[#This Row],[PCPL KODE 1]],#REF!,3,0),0)</f>
        <v>0</v>
      </c>
      <c r="I169" s="3">
        <f>IFERROR(VLOOKUP(Table43_1[[#This Row],[PCPL KODE 2]],#REF!,3,0),0)</f>
        <v>0</v>
      </c>
      <c r="J169" s="3">
        <f>IFERROR(VLOOKUP(Table43_1[[#This Row],[PCPL KODE 3]],#REF!,3,0),0)</f>
        <v>0</v>
      </c>
      <c r="K169" s="3">
        <f>IFERROR(VLOOKUP(Table43_1[[#This Row],[PCPL KODE 4]],#REF!,3,0),0)</f>
        <v>0</v>
      </c>
      <c r="L169" s="3">
        <f>IFERROR(VLOOKUP(Table43_1[[#This Row],[PCPL KODE 5]],#REF!,3,0),0)</f>
        <v>0</v>
      </c>
      <c r="M169" s="3">
        <f>Table43_1[[#This Row],[QTY 1]]+Table43_1[[#This Row],[QTY 2]]+Table43_1[[#This Row],[QTY 3]]+Table43_1[[#This Row],[QTY 4]]+Table43_1[[#This Row],[QTY 5]]</f>
        <v>0</v>
      </c>
      <c r="N169" s="3"/>
    </row>
    <row r="170" spans="1:14">
      <c r="A170" t="s">
        <v>3459</v>
      </c>
      <c r="B170" t="s">
        <v>3461</v>
      </c>
      <c r="C170">
        <v>106068</v>
      </c>
      <c r="H170" s="3">
        <f>IFERROR(VLOOKUP(Table43_1[[#This Row],[PCPL KODE 1]],#REF!,3,0),0)</f>
        <v>0</v>
      </c>
      <c r="I170" s="3">
        <f>IFERROR(VLOOKUP(Table43_1[[#This Row],[PCPL KODE 2]],#REF!,3,0),0)</f>
        <v>0</v>
      </c>
      <c r="J170" s="3">
        <f>IFERROR(VLOOKUP(Table43_1[[#This Row],[PCPL KODE 3]],#REF!,3,0),0)</f>
        <v>0</v>
      </c>
      <c r="K170" s="3">
        <f>IFERROR(VLOOKUP(Table43_1[[#This Row],[PCPL KODE 4]],#REF!,3,0),0)</f>
        <v>0</v>
      </c>
      <c r="L170" s="3">
        <f>IFERROR(VLOOKUP(Table43_1[[#This Row],[PCPL KODE 5]],#REF!,3,0),0)</f>
        <v>0</v>
      </c>
      <c r="M170" s="3">
        <f>Table43_1[[#This Row],[QTY 1]]+Table43_1[[#This Row],[QTY 2]]+Table43_1[[#This Row],[QTY 3]]+Table43_1[[#This Row],[QTY 4]]+Table43_1[[#This Row],[QTY 5]]</f>
        <v>0</v>
      </c>
      <c r="N170" s="3"/>
    </row>
    <row r="171" spans="1:14">
      <c r="A171" t="s">
        <v>1344</v>
      </c>
      <c r="B171" t="s">
        <v>1345</v>
      </c>
      <c r="C171" t="s">
        <v>2573</v>
      </c>
      <c r="H171" s="3">
        <f>IFERROR(VLOOKUP(Table43_1[[#This Row],[PCPL KODE 1]],#REF!,3,0),0)</f>
        <v>0</v>
      </c>
      <c r="I171" s="3">
        <f>IFERROR(VLOOKUP(Table43_1[[#This Row],[PCPL KODE 2]],#REF!,3,0),0)</f>
        <v>0</v>
      </c>
      <c r="J171" s="3">
        <f>IFERROR(VLOOKUP(Table43_1[[#This Row],[PCPL KODE 3]],#REF!,3,0),0)</f>
        <v>0</v>
      </c>
      <c r="K171" s="3">
        <f>IFERROR(VLOOKUP(Table43_1[[#This Row],[PCPL KODE 4]],#REF!,3,0),0)</f>
        <v>0</v>
      </c>
      <c r="L171" s="3">
        <f>IFERROR(VLOOKUP(Table43_1[[#This Row],[PCPL KODE 5]],#REF!,3,0),0)</f>
        <v>0</v>
      </c>
      <c r="M171" s="3">
        <f>Table43_1[[#This Row],[QTY 1]]+Table43_1[[#This Row],[QTY 2]]+Table43_1[[#This Row],[QTY 3]]+Table43_1[[#This Row],[QTY 4]]+Table43_1[[#This Row],[QTY 5]]</f>
        <v>0</v>
      </c>
      <c r="N171" s="3"/>
    </row>
    <row r="172" spans="1:14">
      <c r="A172" t="s">
        <v>1346</v>
      </c>
      <c r="B172" t="s">
        <v>1347</v>
      </c>
      <c r="C172">
        <v>106042</v>
      </c>
      <c r="H172" s="3">
        <f>IFERROR(VLOOKUP(Table43_1[[#This Row],[PCPL KODE 1]],#REF!,3,0),0)</f>
        <v>0</v>
      </c>
      <c r="I172" s="3">
        <f>IFERROR(VLOOKUP(Table43_1[[#This Row],[PCPL KODE 2]],#REF!,3,0),0)</f>
        <v>0</v>
      </c>
      <c r="J172" s="3">
        <f>IFERROR(VLOOKUP(Table43_1[[#This Row],[PCPL KODE 3]],#REF!,3,0),0)</f>
        <v>0</v>
      </c>
      <c r="K172" s="3">
        <f>IFERROR(VLOOKUP(Table43_1[[#This Row],[PCPL KODE 4]],#REF!,3,0),0)</f>
        <v>0</v>
      </c>
      <c r="L172" s="3">
        <f>IFERROR(VLOOKUP(Table43_1[[#This Row],[PCPL KODE 5]],#REF!,3,0),0)</f>
        <v>0</v>
      </c>
      <c r="M172" s="3">
        <f>Table43_1[[#This Row],[QTY 1]]+Table43_1[[#This Row],[QTY 2]]+Table43_1[[#This Row],[QTY 3]]+Table43_1[[#This Row],[QTY 4]]+Table43_1[[#This Row],[QTY 5]]</f>
        <v>0</v>
      </c>
      <c r="N172" s="3"/>
    </row>
    <row r="173" spans="1:14">
      <c r="A173" t="s">
        <v>1348</v>
      </c>
      <c r="B173" t="s">
        <v>1349</v>
      </c>
      <c r="C173" t="s">
        <v>2574</v>
      </c>
      <c r="H173" s="3">
        <f>IFERROR(VLOOKUP(Table43_1[[#This Row],[PCPL KODE 1]],#REF!,3,0),0)</f>
        <v>0</v>
      </c>
      <c r="I173" s="3">
        <f>IFERROR(VLOOKUP(Table43_1[[#This Row],[PCPL KODE 2]],#REF!,3,0),0)</f>
        <v>0</v>
      </c>
      <c r="J173" s="3">
        <f>IFERROR(VLOOKUP(Table43_1[[#This Row],[PCPL KODE 3]],#REF!,3,0),0)</f>
        <v>0</v>
      </c>
      <c r="K173" s="3">
        <f>IFERROR(VLOOKUP(Table43_1[[#This Row],[PCPL KODE 4]],#REF!,3,0),0)</f>
        <v>0</v>
      </c>
      <c r="L173" s="3">
        <f>IFERROR(VLOOKUP(Table43_1[[#This Row],[PCPL KODE 5]],#REF!,3,0),0)</f>
        <v>0</v>
      </c>
      <c r="M173" s="3">
        <f>Table43_1[[#This Row],[QTY 1]]+Table43_1[[#This Row],[QTY 2]]+Table43_1[[#This Row],[QTY 3]]+Table43_1[[#This Row],[QTY 4]]+Table43_1[[#This Row],[QTY 5]]</f>
        <v>0</v>
      </c>
      <c r="N173" s="3"/>
    </row>
    <row r="174" spans="1:14">
      <c r="A174" t="s">
        <v>1350</v>
      </c>
      <c r="B174" t="s">
        <v>1351</v>
      </c>
      <c r="C174">
        <v>106043</v>
      </c>
      <c r="H174" s="3">
        <f>IFERROR(VLOOKUP(Table43_1[[#This Row],[PCPL KODE 1]],#REF!,3,0),0)</f>
        <v>0</v>
      </c>
      <c r="I174" s="3">
        <f>IFERROR(VLOOKUP(Table43_1[[#This Row],[PCPL KODE 2]],#REF!,3,0),0)</f>
        <v>0</v>
      </c>
      <c r="J174" s="3">
        <f>IFERROR(VLOOKUP(Table43_1[[#This Row],[PCPL KODE 3]],#REF!,3,0),0)</f>
        <v>0</v>
      </c>
      <c r="K174" s="3">
        <f>IFERROR(VLOOKUP(Table43_1[[#This Row],[PCPL KODE 4]],#REF!,3,0),0)</f>
        <v>0</v>
      </c>
      <c r="L174" s="3">
        <f>IFERROR(VLOOKUP(Table43_1[[#This Row],[PCPL KODE 5]],#REF!,3,0),0)</f>
        <v>0</v>
      </c>
      <c r="M174" s="3">
        <f>Table43_1[[#This Row],[QTY 1]]+Table43_1[[#This Row],[QTY 2]]+Table43_1[[#This Row],[QTY 3]]+Table43_1[[#This Row],[QTY 4]]+Table43_1[[#This Row],[QTY 5]]</f>
        <v>0</v>
      </c>
      <c r="N174" s="3"/>
    </row>
    <row r="175" spans="1:14">
      <c r="A175" t="s">
        <v>1352</v>
      </c>
      <c r="B175" t="s">
        <v>1353</v>
      </c>
      <c r="C175" t="s">
        <v>2575</v>
      </c>
      <c r="H175" s="3">
        <f>IFERROR(VLOOKUP(Table43_1[[#This Row],[PCPL KODE 1]],#REF!,3,0),0)</f>
        <v>0</v>
      </c>
      <c r="I175" s="3">
        <f>IFERROR(VLOOKUP(Table43_1[[#This Row],[PCPL KODE 2]],#REF!,3,0),0)</f>
        <v>0</v>
      </c>
      <c r="J175" s="3">
        <f>IFERROR(VLOOKUP(Table43_1[[#This Row],[PCPL KODE 3]],#REF!,3,0),0)</f>
        <v>0</v>
      </c>
      <c r="K175" s="3">
        <f>IFERROR(VLOOKUP(Table43_1[[#This Row],[PCPL KODE 4]],#REF!,3,0),0)</f>
        <v>0</v>
      </c>
      <c r="L175" s="3">
        <f>IFERROR(VLOOKUP(Table43_1[[#This Row],[PCPL KODE 5]],#REF!,3,0),0)</f>
        <v>0</v>
      </c>
      <c r="M175" s="3">
        <f>Table43_1[[#This Row],[QTY 1]]+Table43_1[[#This Row],[QTY 2]]+Table43_1[[#This Row],[QTY 3]]+Table43_1[[#This Row],[QTY 4]]+Table43_1[[#This Row],[QTY 5]]</f>
        <v>0</v>
      </c>
      <c r="N175" s="3"/>
    </row>
    <row r="176" spans="1:14">
      <c r="A176" t="s">
        <v>1354</v>
      </c>
      <c r="B176" t="s">
        <v>1355</v>
      </c>
      <c r="C176">
        <v>106021</v>
      </c>
      <c r="H176" s="3">
        <f>IFERROR(VLOOKUP(Table43_1[[#This Row],[PCPL KODE 1]],#REF!,3,0),0)</f>
        <v>0</v>
      </c>
      <c r="I176" s="3">
        <f>IFERROR(VLOOKUP(Table43_1[[#This Row],[PCPL KODE 2]],#REF!,3,0),0)</f>
        <v>0</v>
      </c>
      <c r="J176" s="3">
        <f>IFERROR(VLOOKUP(Table43_1[[#This Row],[PCPL KODE 3]],#REF!,3,0),0)</f>
        <v>0</v>
      </c>
      <c r="K176" s="3">
        <f>IFERROR(VLOOKUP(Table43_1[[#This Row],[PCPL KODE 4]],#REF!,3,0),0)</f>
        <v>0</v>
      </c>
      <c r="L176" s="3">
        <f>IFERROR(VLOOKUP(Table43_1[[#This Row],[PCPL KODE 5]],#REF!,3,0),0)</f>
        <v>0</v>
      </c>
      <c r="M176" s="3">
        <f>Table43_1[[#This Row],[QTY 1]]+Table43_1[[#This Row],[QTY 2]]+Table43_1[[#This Row],[QTY 3]]+Table43_1[[#This Row],[QTY 4]]+Table43_1[[#This Row],[QTY 5]]</f>
        <v>0</v>
      </c>
      <c r="N176" s="3"/>
    </row>
    <row r="177" spans="1:14">
      <c r="A177" t="s">
        <v>1356</v>
      </c>
      <c r="B177" t="s">
        <v>1357</v>
      </c>
      <c r="C177" t="s">
        <v>2576</v>
      </c>
      <c r="H177" s="3">
        <f>IFERROR(VLOOKUP(Table43_1[[#This Row],[PCPL KODE 1]],#REF!,3,0),0)</f>
        <v>0</v>
      </c>
      <c r="I177" s="3">
        <f>IFERROR(VLOOKUP(Table43_1[[#This Row],[PCPL KODE 2]],#REF!,3,0),0)</f>
        <v>0</v>
      </c>
      <c r="J177" s="3">
        <f>IFERROR(VLOOKUP(Table43_1[[#This Row],[PCPL KODE 3]],#REF!,3,0),0)</f>
        <v>0</v>
      </c>
      <c r="K177" s="3">
        <f>IFERROR(VLOOKUP(Table43_1[[#This Row],[PCPL KODE 4]],#REF!,3,0),0)</f>
        <v>0</v>
      </c>
      <c r="L177" s="3">
        <f>IFERROR(VLOOKUP(Table43_1[[#This Row],[PCPL KODE 5]],#REF!,3,0),0)</f>
        <v>0</v>
      </c>
      <c r="M177" s="3">
        <f>Table43_1[[#This Row],[QTY 1]]+Table43_1[[#This Row],[QTY 2]]+Table43_1[[#This Row],[QTY 3]]+Table43_1[[#This Row],[QTY 4]]+Table43_1[[#This Row],[QTY 5]]</f>
        <v>0</v>
      </c>
      <c r="N177" s="3"/>
    </row>
    <row r="178" spans="1:14">
      <c r="A178" t="s">
        <v>1358</v>
      </c>
      <c r="B178" t="s">
        <v>1359</v>
      </c>
      <c r="C178">
        <v>106044</v>
      </c>
      <c r="H178" s="3">
        <f>IFERROR(VLOOKUP(Table43_1[[#This Row],[PCPL KODE 1]],#REF!,3,0),0)</f>
        <v>0</v>
      </c>
      <c r="I178" s="3">
        <f>IFERROR(VLOOKUP(Table43_1[[#This Row],[PCPL KODE 2]],#REF!,3,0),0)</f>
        <v>0</v>
      </c>
      <c r="J178" s="3">
        <f>IFERROR(VLOOKUP(Table43_1[[#This Row],[PCPL KODE 3]],#REF!,3,0),0)</f>
        <v>0</v>
      </c>
      <c r="K178" s="3">
        <f>IFERROR(VLOOKUP(Table43_1[[#This Row],[PCPL KODE 4]],#REF!,3,0),0)</f>
        <v>0</v>
      </c>
      <c r="L178" s="3">
        <f>IFERROR(VLOOKUP(Table43_1[[#This Row],[PCPL KODE 5]],#REF!,3,0),0)</f>
        <v>0</v>
      </c>
      <c r="M178" s="3">
        <f>Table43_1[[#This Row],[QTY 1]]+Table43_1[[#This Row],[QTY 2]]+Table43_1[[#This Row],[QTY 3]]+Table43_1[[#This Row],[QTY 4]]+Table43_1[[#This Row],[QTY 5]]</f>
        <v>0</v>
      </c>
      <c r="N178" s="3"/>
    </row>
    <row r="179" spans="1:14">
      <c r="A179" t="s">
        <v>1360</v>
      </c>
      <c r="B179" t="s">
        <v>1361</v>
      </c>
      <c r="C179" t="s">
        <v>2577</v>
      </c>
      <c r="H179" s="3">
        <f>IFERROR(VLOOKUP(Table43_1[[#This Row],[PCPL KODE 1]],#REF!,3,0),0)</f>
        <v>0</v>
      </c>
      <c r="I179" s="3">
        <f>IFERROR(VLOOKUP(Table43_1[[#This Row],[PCPL KODE 2]],#REF!,3,0),0)</f>
        <v>0</v>
      </c>
      <c r="J179" s="3">
        <f>IFERROR(VLOOKUP(Table43_1[[#This Row],[PCPL KODE 3]],#REF!,3,0),0)</f>
        <v>0</v>
      </c>
      <c r="K179" s="3">
        <f>IFERROR(VLOOKUP(Table43_1[[#This Row],[PCPL KODE 4]],#REF!,3,0),0)</f>
        <v>0</v>
      </c>
      <c r="L179" s="3">
        <f>IFERROR(VLOOKUP(Table43_1[[#This Row],[PCPL KODE 5]],#REF!,3,0),0)</f>
        <v>0</v>
      </c>
      <c r="M179" s="3">
        <f>Table43_1[[#This Row],[QTY 1]]+Table43_1[[#This Row],[QTY 2]]+Table43_1[[#This Row],[QTY 3]]+Table43_1[[#This Row],[QTY 4]]+Table43_1[[#This Row],[QTY 5]]</f>
        <v>0</v>
      </c>
      <c r="N179" s="3"/>
    </row>
    <row r="180" spans="1:14">
      <c r="A180" t="s">
        <v>1362</v>
      </c>
      <c r="B180" t="s">
        <v>1363</v>
      </c>
      <c r="C180">
        <v>106022</v>
      </c>
      <c r="H180" s="3">
        <f>IFERROR(VLOOKUP(Table43_1[[#This Row],[PCPL KODE 1]],#REF!,3,0),0)</f>
        <v>0</v>
      </c>
      <c r="I180" s="3">
        <f>IFERROR(VLOOKUP(Table43_1[[#This Row],[PCPL KODE 2]],#REF!,3,0),0)</f>
        <v>0</v>
      </c>
      <c r="J180" s="3">
        <f>IFERROR(VLOOKUP(Table43_1[[#This Row],[PCPL KODE 3]],#REF!,3,0),0)</f>
        <v>0</v>
      </c>
      <c r="K180" s="3">
        <f>IFERROR(VLOOKUP(Table43_1[[#This Row],[PCPL KODE 4]],#REF!,3,0),0)</f>
        <v>0</v>
      </c>
      <c r="L180" s="3">
        <f>IFERROR(VLOOKUP(Table43_1[[#This Row],[PCPL KODE 5]],#REF!,3,0),0)</f>
        <v>0</v>
      </c>
      <c r="M180" s="3">
        <f>Table43_1[[#This Row],[QTY 1]]+Table43_1[[#This Row],[QTY 2]]+Table43_1[[#This Row],[QTY 3]]+Table43_1[[#This Row],[QTY 4]]+Table43_1[[#This Row],[QTY 5]]</f>
        <v>0</v>
      </c>
      <c r="N180" s="3"/>
    </row>
    <row r="181" spans="1:14">
      <c r="A181" t="s">
        <v>1364</v>
      </c>
      <c r="B181" t="s">
        <v>1365</v>
      </c>
      <c r="C181" t="s">
        <v>2578</v>
      </c>
      <c r="H181" s="3">
        <f>IFERROR(VLOOKUP(Table43_1[[#This Row],[PCPL KODE 1]],#REF!,3,0),0)</f>
        <v>0</v>
      </c>
      <c r="I181" s="3">
        <f>IFERROR(VLOOKUP(Table43_1[[#This Row],[PCPL KODE 2]],#REF!,3,0),0)</f>
        <v>0</v>
      </c>
      <c r="J181" s="3">
        <f>IFERROR(VLOOKUP(Table43_1[[#This Row],[PCPL KODE 3]],#REF!,3,0),0)</f>
        <v>0</v>
      </c>
      <c r="K181" s="3">
        <f>IFERROR(VLOOKUP(Table43_1[[#This Row],[PCPL KODE 4]],#REF!,3,0),0)</f>
        <v>0</v>
      </c>
      <c r="L181" s="3">
        <f>IFERROR(VLOOKUP(Table43_1[[#This Row],[PCPL KODE 5]],#REF!,3,0),0)</f>
        <v>0</v>
      </c>
      <c r="M181" s="3">
        <f>Table43_1[[#This Row],[QTY 1]]+Table43_1[[#This Row],[QTY 2]]+Table43_1[[#This Row],[QTY 3]]+Table43_1[[#This Row],[QTY 4]]+Table43_1[[#This Row],[QTY 5]]</f>
        <v>0</v>
      </c>
      <c r="N181" s="3"/>
    </row>
    <row r="182" spans="1:14">
      <c r="A182" t="s">
        <v>1366</v>
      </c>
      <c r="B182" t="s">
        <v>1367</v>
      </c>
      <c r="C182">
        <v>106023</v>
      </c>
      <c r="H182" s="3">
        <f>IFERROR(VLOOKUP(Table43_1[[#This Row],[PCPL KODE 1]],#REF!,3,0),0)</f>
        <v>0</v>
      </c>
      <c r="I182" s="3">
        <f>IFERROR(VLOOKUP(Table43_1[[#This Row],[PCPL KODE 2]],#REF!,3,0),0)</f>
        <v>0</v>
      </c>
      <c r="J182" s="3">
        <f>IFERROR(VLOOKUP(Table43_1[[#This Row],[PCPL KODE 3]],#REF!,3,0),0)</f>
        <v>0</v>
      </c>
      <c r="K182" s="3">
        <f>IFERROR(VLOOKUP(Table43_1[[#This Row],[PCPL KODE 4]],#REF!,3,0),0)</f>
        <v>0</v>
      </c>
      <c r="L182" s="3">
        <f>IFERROR(VLOOKUP(Table43_1[[#This Row],[PCPL KODE 5]],#REF!,3,0),0)</f>
        <v>0</v>
      </c>
      <c r="M182" s="3">
        <f>Table43_1[[#This Row],[QTY 1]]+Table43_1[[#This Row],[QTY 2]]+Table43_1[[#This Row],[QTY 3]]+Table43_1[[#This Row],[QTY 4]]+Table43_1[[#This Row],[QTY 5]]</f>
        <v>0</v>
      </c>
      <c r="N182" s="3"/>
    </row>
    <row r="183" spans="1:14">
      <c r="A183" t="s">
        <v>1368</v>
      </c>
      <c r="B183" t="s">
        <v>1369</v>
      </c>
      <c r="C183">
        <v>106024</v>
      </c>
      <c r="H183" s="3">
        <f>IFERROR(VLOOKUP(Table43_1[[#This Row],[PCPL KODE 1]],#REF!,3,0),0)</f>
        <v>0</v>
      </c>
      <c r="I183" s="3">
        <f>IFERROR(VLOOKUP(Table43_1[[#This Row],[PCPL KODE 2]],#REF!,3,0),0)</f>
        <v>0</v>
      </c>
      <c r="J183" s="3">
        <f>IFERROR(VLOOKUP(Table43_1[[#This Row],[PCPL KODE 3]],#REF!,3,0),0)</f>
        <v>0</v>
      </c>
      <c r="K183" s="3">
        <f>IFERROR(VLOOKUP(Table43_1[[#This Row],[PCPL KODE 4]],#REF!,3,0),0)</f>
        <v>0</v>
      </c>
      <c r="L183" s="3">
        <f>IFERROR(VLOOKUP(Table43_1[[#This Row],[PCPL KODE 5]],#REF!,3,0),0)</f>
        <v>0</v>
      </c>
      <c r="M183" s="3">
        <f>Table43_1[[#This Row],[QTY 1]]+Table43_1[[#This Row],[QTY 2]]+Table43_1[[#This Row],[QTY 3]]+Table43_1[[#This Row],[QTY 4]]+Table43_1[[#This Row],[QTY 5]]</f>
        <v>0</v>
      </c>
      <c r="N183" s="3"/>
    </row>
    <row r="184" spans="1:14">
      <c r="A184" t="s">
        <v>1370</v>
      </c>
      <c r="B184" t="s">
        <v>1371</v>
      </c>
      <c r="C184">
        <v>106025</v>
      </c>
      <c r="H184" s="3">
        <f>IFERROR(VLOOKUP(Table43_1[[#This Row],[PCPL KODE 1]],#REF!,3,0),0)</f>
        <v>0</v>
      </c>
      <c r="I184" s="3">
        <f>IFERROR(VLOOKUP(Table43_1[[#This Row],[PCPL KODE 2]],#REF!,3,0),0)</f>
        <v>0</v>
      </c>
      <c r="J184" s="3">
        <f>IFERROR(VLOOKUP(Table43_1[[#This Row],[PCPL KODE 3]],#REF!,3,0),0)</f>
        <v>0</v>
      </c>
      <c r="K184" s="3">
        <f>IFERROR(VLOOKUP(Table43_1[[#This Row],[PCPL KODE 4]],#REF!,3,0),0)</f>
        <v>0</v>
      </c>
      <c r="L184" s="3">
        <f>IFERROR(VLOOKUP(Table43_1[[#This Row],[PCPL KODE 5]],#REF!,3,0),0)</f>
        <v>0</v>
      </c>
      <c r="M184" s="3">
        <f>Table43_1[[#This Row],[QTY 1]]+Table43_1[[#This Row],[QTY 2]]+Table43_1[[#This Row],[QTY 3]]+Table43_1[[#This Row],[QTY 4]]+Table43_1[[#This Row],[QTY 5]]</f>
        <v>0</v>
      </c>
      <c r="N184" s="3"/>
    </row>
    <row r="185" spans="1:14">
      <c r="A185" t="s">
        <v>1372</v>
      </c>
      <c r="B185" t="s">
        <v>1373</v>
      </c>
      <c r="C185">
        <v>106026</v>
      </c>
      <c r="H185" s="3">
        <f>IFERROR(VLOOKUP(Table43_1[[#This Row],[PCPL KODE 1]],#REF!,3,0),0)</f>
        <v>0</v>
      </c>
      <c r="I185" s="3">
        <f>IFERROR(VLOOKUP(Table43_1[[#This Row],[PCPL KODE 2]],#REF!,3,0),0)</f>
        <v>0</v>
      </c>
      <c r="J185" s="3">
        <f>IFERROR(VLOOKUP(Table43_1[[#This Row],[PCPL KODE 3]],#REF!,3,0),0)</f>
        <v>0</v>
      </c>
      <c r="K185" s="3">
        <f>IFERROR(VLOOKUP(Table43_1[[#This Row],[PCPL KODE 4]],#REF!,3,0),0)</f>
        <v>0</v>
      </c>
      <c r="L185" s="3">
        <f>IFERROR(VLOOKUP(Table43_1[[#This Row],[PCPL KODE 5]],#REF!,3,0),0)</f>
        <v>0</v>
      </c>
      <c r="M185" s="3">
        <f>Table43_1[[#This Row],[QTY 1]]+Table43_1[[#This Row],[QTY 2]]+Table43_1[[#This Row],[QTY 3]]+Table43_1[[#This Row],[QTY 4]]+Table43_1[[#This Row],[QTY 5]]</f>
        <v>0</v>
      </c>
      <c r="N185" s="3"/>
    </row>
    <row r="186" spans="1:14">
      <c r="A186" t="s">
        <v>1374</v>
      </c>
      <c r="B186" t="s">
        <v>1375</v>
      </c>
      <c r="C186">
        <v>106027</v>
      </c>
      <c r="H186" s="3">
        <f>IFERROR(VLOOKUP(Table43_1[[#This Row],[PCPL KODE 1]],#REF!,3,0),0)</f>
        <v>0</v>
      </c>
      <c r="I186" s="3">
        <f>IFERROR(VLOOKUP(Table43_1[[#This Row],[PCPL KODE 2]],#REF!,3,0),0)</f>
        <v>0</v>
      </c>
      <c r="J186" s="3">
        <f>IFERROR(VLOOKUP(Table43_1[[#This Row],[PCPL KODE 3]],#REF!,3,0),0)</f>
        <v>0</v>
      </c>
      <c r="K186" s="3">
        <f>IFERROR(VLOOKUP(Table43_1[[#This Row],[PCPL KODE 4]],#REF!,3,0),0)</f>
        <v>0</v>
      </c>
      <c r="L186" s="3">
        <f>IFERROR(VLOOKUP(Table43_1[[#This Row],[PCPL KODE 5]],#REF!,3,0),0)</f>
        <v>0</v>
      </c>
      <c r="M186" s="3">
        <f>Table43_1[[#This Row],[QTY 1]]+Table43_1[[#This Row],[QTY 2]]+Table43_1[[#This Row],[QTY 3]]+Table43_1[[#This Row],[QTY 4]]+Table43_1[[#This Row],[QTY 5]]</f>
        <v>0</v>
      </c>
      <c r="N186" s="3"/>
    </row>
    <row r="187" spans="1:14">
      <c r="A187" t="s">
        <v>1376</v>
      </c>
      <c r="B187" t="s">
        <v>1377</v>
      </c>
      <c r="C187">
        <v>106031</v>
      </c>
      <c r="H187" s="3">
        <f>IFERROR(VLOOKUP(Table43_1[[#This Row],[PCPL KODE 1]],#REF!,3,0),0)</f>
        <v>0</v>
      </c>
      <c r="I187" s="3">
        <f>IFERROR(VLOOKUP(Table43_1[[#This Row],[PCPL KODE 2]],#REF!,3,0),0)</f>
        <v>0</v>
      </c>
      <c r="J187" s="3">
        <f>IFERROR(VLOOKUP(Table43_1[[#This Row],[PCPL KODE 3]],#REF!,3,0),0)</f>
        <v>0</v>
      </c>
      <c r="K187" s="3">
        <f>IFERROR(VLOOKUP(Table43_1[[#This Row],[PCPL KODE 4]],#REF!,3,0),0)</f>
        <v>0</v>
      </c>
      <c r="L187" s="3">
        <f>IFERROR(VLOOKUP(Table43_1[[#This Row],[PCPL KODE 5]],#REF!,3,0),0)</f>
        <v>0</v>
      </c>
      <c r="M187" s="3">
        <f>Table43_1[[#This Row],[QTY 1]]+Table43_1[[#This Row],[QTY 2]]+Table43_1[[#This Row],[QTY 3]]+Table43_1[[#This Row],[QTY 4]]+Table43_1[[#This Row],[QTY 5]]</f>
        <v>0</v>
      </c>
      <c r="N187" s="3"/>
    </row>
    <row r="188" spans="1:14">
      <c r="A188" t="s">
        <v>1378</v>
      </c>
      <c r="B188" t="s">
        <v>3495</v>
      </c>
      <c r="C188">
        <v>106032</v>
      </c>
      <c r="H188" s="3">
        <f>IFERROR(VLOOKUP(Table43_1[[#This Row],[PCPL KODE 1]],#REF!,3,0),0)</f>
        <v>0</v>
      </c>
      <c r="I188" s="3">
        <f>IFERROR(VLOOKUP(Table43_1[[#This Row],[PCPL KODE 2]],#REF!,3,0),0)</f>
        <v>0</v>
      </c>
      <c r="J188" s="3">
        <f>IFERROR(VLOOKUP(Table43_1[[#This Row],[PCPL KODE 3]],#REF!,3,0),0)</f>
        <v>0</v>
      </c>
      <c r="K188" s="3">
        <f>IFERROR(VLOOKUP(Table43_1[[#This Row],[PCPL KODE 4]],#REF!,3,0),0)</f>
        <v>0</v>
      </c>
      <c r="L188" s="3">
        <f>IFERROR(VLOOKUP(Table43_1[[#This Row],[PCPL KODE 5]],#REF!,3,0),0)</f>
        <v>0</v>
      </c>
      <c r="M188" s="3">
        <f>Table43_1[[#This Row],[QTY 1]]+Table43_1[[#This Row],[QTY 2]]+Table43_1[[#This Row],[QTY 3]]+Table43_1[[#This Row],[QTY 4]]+Table43_1[[#This Row],[QTY 5]]</f>
        <v>0</v>
      </c>
      <c r="N188" s="3"/>
    </row>
    <row r="189" spans="1:14">
      <c r="A189" t="s">
        <v>1380</v>
      </c>
      <c r="B189" t="s">
        <v>1381</v>
      </c>
      <c r="C189">
        <v>106033</v>
      </c>
      <c r="H189" s="3">
        <f>IFERROR(VLOOKUP(Table43_1[[#This Row],[PCPL KODE 1]],#REF!,3,0),0)</f>
        <v>0</v>
      </c>
      <c r="I189" s="3">
        <f>IFERROR(VLOOKUP(Table43_1[[#This Row],[PCPL KODE 2]],#REF!,3,0),0)</f>
        <v>0</v>
      </c>
      <c r="J189" s="3">
        <f>IFERROR(VLOOKUP(Table43_1[[#This Row],[PCPL KODE 3]],#REF!,3,0),0)</f>
        <v>0</v>
      </c>
      <c r="K189" s="3">
        <f>IFERROR(VLOOKUP(Table43_1[[#This Row],[PCPL KODE 4]],#REF!,3,0),0)</f>
        <v>0</v>
      </c>
      <c r="L189" s="3">
        <f>IFERROR(VLOOKUP(Table43_1[[#This Row],[PCPL KODE 5]],#REF!,3,0),0)</f>
        <v>0</v>
      </c>
      <c r="M189" s="3">
        <f>Table43_1[[#This Row],[QTY 1]]+Table43_1[[#This Row],[QTY 2]]+Table43_1[[#This Row],[QTY 3]]+Table43_1[[#This Row],[QTY 4]]+Table43_1[[#This Row],[QTY 5]]</f>
        <v>0</v>
      </c>
      <c r="N189" s="3"/>
    </row>
    <row r="190" spans="1:14">
      <c r="A190" t="s">
        <v>1382</v>
      </c>
      <c r="B190" t="s">
        <v>1383</v>
      </c>
      <c r="C190">
        <v>106034</v>
      </c>
      <c r="H190" s="3">
        <f>IFERROR(VLOOKUP(Table43_1[[#This Row],[PCPL KODE 1]],#REF!,3,0),0)</f>
        <v>0</v>
      </c>
      <c r="I190" s="3">
        <f>IFERROR(VLOOKUP(Table43_1[[#This Row],[PCPL KODE 2]],#REF!,3,0),0)</f>
        <v>0</v>
      </c>
      <c r="J190" s="3">
        <f>IFERROR(VLOOKUP(Table43_1[[#This Row],[PCPL KODE 3]],#REF!,3,0),0)</f>
        <v>0</v>
      </c>
      <c r="K190" s="3">
        <f>IFERROR(VLOOKUP(Table43_1[[#This Row],[PCPL KODE 4]],#REF!,3,0),0)</f>
        <v>0</v>
      </c>
      <c r="L190" s="3">
        <f>IFERROR(VLOOKUP(Table43_1[[#This Row],[PCPL KODE 5]],#REF!,3,0),0)</f>
        <v>0</v>
      </c>
      <c r="M190" s="3">
        <f>Table43_1[[#This Row],[QTY 1]]+Table43_1[[#This Row],[QTY 2]]+Table43_1[[#This Row],[QTY 3]]+Table43_1[[#This Row],[QTY 4]]+Table43_1[[#This Row],[QTY 5]]</f>
        <v>0</v>
      </c>
      <c r="N190" s="3"/>
    </row>
    <row r="191" spans="1:14">
      <c r="A191" t="s">
        <v>1384</v>
      </c>
      <c r="B191" t="s">
        <v>1385</v>
      </c>
      <c r="C191">
        <v>106035</v>
      </c>
      <c r="H191" s="3">
        <f>IFERROR(VLOOKUP(Table43_1[[#This Row],[PCPL KODE 1]],#REF!,3,0),0)</f>
        <v>0</v>
      </c>
      <c r="I191" s="3">
        <f>IFERROR(VLOOKUP(Table43_1[[#This Row],[PCPL KODE 2]],#REF!,3,0),0)</f>
        <v>0</v>
      </c>
      <c r="J191" s="3">
        <f>IFERROR(VLOOKUP(Table43_1[[#This Row],[PCPL KODE 3]],#REF!,3,0),0)</f>
        <v>0</v>
      </c>
      <c r="K191" s="3">
        <f>IFERROR(VLOOKUP(Table43_1[[#This Row],[PCPL KODE 4]],#REF!,3,0),0)</f>
        <v>0</v>
      </c>
      <c r="L191" s="3">
        <f>IFERROR(VLOOKUP(Table43_1[[#This Row],[PCPL KODE 5]],#REF!,3,0),0)</f>
        <v>0</v>
      </c>
      <c r="M191" s="3">
        <f>Table43_1[[#This Row],[QTY 1]]+Table43_1[[#This Row],[QTY 2]]+Table43_1[[#This Row],[QTY 3]]+Table43_1[[#This Row],[QTY 4]]+Table43_1[[#This Row],[QTY 5]]</f>
        <v>0</v>
      </c>
      <c r="N191" s="3"/>
    </row>
    <row r="192" spans="1:14">
      <c r="A192" t="s">
        <v>1386</v>
      </c>
      <c r="B192" t="s">
        <v>1387</v>
      </c>
      <c r="C192">
        <v>106019</v>
      </c>
      <c r="H192" s="3">
        <f>IFERROR(VLOOKUP(Table43_1[[#This Row],[PCPL KODE 1]],#REF!,3,0),0)</f>
        <v>0</v>
      </c>
      <c r="I192" s="3">
        <f>IFERROR(VLOOKUP(Table43_1[[#This Row],[PCPL KODE 2]],#REF!,3,0),0)</f>
        <v>0</v>
      </c>
      <c r="J192" s="3">
        <f>IFERROR(VLOOKUP(Table43_1[[#This Row],[PCPL KODE 3]],#REF!,3,0),0)</f>
        <v>0</v>
      </c>
      <c r="K192" s="3">
        <f>IFERROR(VLOOKUP(Table43_1[[#This Row],[PCPL KODE 4]],#REF!,3,0),0)</f>
        <v>0</v>
      </c>
      <c r="L192" s="3">
        <f>IFERROR(VLOOKUP(Table43_1[[#This Row],[PCPL KODE 5]],#REF!,3,0),0)</f>
        <v>0</v>
      </c>
      <c r="M192" s="3">
        <f>Table43_1[[#This Row],[QTY 1]]+Table43_1[[#This Row],[QTY 2]]+Table43_1[[#This Row],[QTY 3]]+Table43_1[[#This Row],[QTY 4]]+Table43_1[[#This Row],[QTY 5]]</f>
        <v>0</v>
      </c>
      <c r="N192" s="3"/>
    </row>
    <row r="193" spans="1:14">
      <c r="A193" t="s">
        <v>1388</v>
      </c>
      <c r="B193" t="s">
        <v>1389</v>
      </c>
      <c r="C193">
        <v>106020</v>
      </c>
      <c r="H193" s="3">
        <f>IFERROR(VLOOKUP(Table43_1[[#This Row],[PCPL KODE 1]],#REF!,3,0),0)</f>
        <v>0</v>
      </c>
      <c r="I193" s="3">
        <f>IFERROR(VLOOKUP(Table43_1[[#This Row],[PCPL KODE 2]],#REF!,3,0),0)</f>
        <v>0</v>
      </c>
      <c r="J193" s="3">
        <f>IFERROR(VLOOKUP(Table43_1[[#This Row],[PCPL KODE 3]],#REF!,3,0),0)</f>
        <v>0</v>
      </c>
      <c r="K193" s="3">
        <f>IFERROR(VLOOKUP(Table43_1[[#This Row],[PCPL KODE 4]],#REF!,3,0),0)</f>
        <v>0</v>
      </c>
      <c r="L193" s="3">
        <f>IFERROR(VLOOKUP(Table43_1[[#This Row],[PCPL KODE 5]],#REF!,3,0),0)</f>
        <v>0</v>
      </c>
      <c r="M193" s="3">
        <f>Table43_1[[#This Row],[QTY 1]]+Table43_1[[#This Row],[QTY 2]]+Table43_1[[#This Row],[QTY 3]]+Table43_1[[#This Row],[QTY 4]]+Table43_1[[#This Row],[QTY 5]]</f>
        <v>0</v>
      </c>
      <c r="N193" s="3"/>
    </row>
    <row r="194" spans="1:14">
      <c r="A194" t="s">
        <v>1390</v>
      </c>
      <c r="B194" t="s">
        <v>3496</v>
      </c>
      <c r="C194" t="s">
        <v>2579</v>
      </c>
      <c r="H194" s="3">
        <f>IFERROR(VLOOKUP(Table43_1[[#This Row],[PCPL KODE 1]],#REF!,3,0),0)</f>
        <v>0</v>
      </c>
      <c r="I194" s="3">
        <f>IFERROR(VLOOKUP(Table43_1[[#This Row],[PCPL KODE 2]],#REF!,3,0),0)</f>
        <v>0</v>
      </c>
      <c r="J194" s="3">
        <f>IFERROR(VLOOKUP(Table43_1[[#This Row],[PCPL KODE 3]],#REF!,3,0),0)</f>
        <v>0</v>
      </c>
      <c r="K194" s="3">
        <f>IFERROR(VLOOKUP(Table43_1[[#This Row],[PCPL KODE 4]],#REF!,3,0),0)</f>
        <v>0</v>
      </c>
      <c r="L194" s="3">
        <f>IFERROR(VLOOKUP(Table43_1[[#This Row],[PCPL KODE 5]],#REF!,3,0),0)</f>
        <v>0</v>
      </c>
      <c r="M194" s="3">
        <f>Table43_1[[#This Row],[QTY 1]]+Table43_1[[#This Row],[QTY 2]]+Table43_1[[#This Row],[QTY 3]]+Table43_1[[#This Row],[QTY 4]]+Table43_1[[#This Row],[QTY 5]]</f>
        <v>0</v>
      </c>
      <c r="N194" s="3"/>
    </row>
    <row r="195" spans="1:14">
      <c r="A195" t="s">
        <v>1399</v>
      </c>
      <c r="B195" t="s">
        <v>3497</v>
      </c>
      <c r="C195">
        <v>106028</v>
      </c>
      <c r="H195" s="3">
        <f>IFERROR(VLOOKUP(Table43_1[[#This Row],[PCPL KODE 1]],#REF!,3,0),0)</f>
        <v>0</v>
      </c>
      <c r="I195" s="3">
        <f>IFERROR(VLOOKUP(Table43_1[[#This Row],[PCPL KODE 2]],#REF!,3,0),0)</f>
        <v>0</v>
      </c>
      <c r="J195" s="3">
        <f>IFERROR(VLOOKUP(Table43_1[[#This Row],[PCPL KODE 3]],#REF!,3,0),0)</f>
        <v>0</v>
      </c>
      <c r="K195" s="3">
        <f>IFERROR(VLOOKUP(Table43_1[[#This Row],[PCPL KODE 4]],#REF!,3,0),0)</f>
        <v>0</v>
      </c>
      <c r="L195" s="3">
        <f>IFERROR(VLOOKUP(Table43_1[[#This Row],[PCPL KODE 5]],#REF!,3,0),0)</f>
        <v>0</v>
      </c>
      <c r="M195" s="3">
        <f>Table43_1[[#This Row],[QTY 1]]+Table43_1[[#This Row],[QTY 2]]+Table43_1[[#This Row],[QTY 3]]+Table43_1[[#This Row],[QTY 4]]+Table43_1[[#This Row],[QTY 5]]</f>
        <v>0</v>
      </c>
      <c r="N195" s="3"/>
    </row>
    <row r="196" spans="1:14">
      <c r="A196" t="s">
        <v>1401</v>
      </c>
      <c r="B196" t="s">
        <v>3498</v>
      </c>
      <c r="C196">
        <v>106029</v>
      </c>
      <c r="H196" s="3">
        <f>IFERROR(VLOOKUP(Table43_1[[#This Row],[PCPL KODE 1]],#REF!,3,0),0)</f>
        <v>0</v>
      </c>
      <c r="I196" s="3">
        <f>IFERROR(VLOOKUP(Table43_1[[#This Row],[PCPL KODE 2]],#REF!,3,0),0)</f>
        <v>0</v>
      </c>
      <c r="J196" s="3">
        <f>IFERROR(VLOOKUP(Table43_1[[#This Row],[PCPL KODE 3]],#REF!,3,0),0)</f>
        <v>0</v>
      </c>
      <c r="K196" s="3">
        <f>IFERROR(VLOOKUP(Table43_1[[#This Row],[PCPL KODE 4]],#REF!,3,0),0)</f>
        <v>0</v>
      </c>
      <c r="L196" s="3">
        <f>IFERROR(VLOOKUP(Table43_1[[#This Row],[PCPL KODE 5]],#REF!,3,0),0)</f>
        <v>0</v>
      </c>
      <c r="M196" s="3">
        <f>Table43_1[[#This Row],[QTY 1]]+Table43_1[[#This Row],[QTY 2]]+Table43_1[[#This Row],[QTY 3]]+Table43_1[[#This Row],[QTY 4]]+Table43_1[[#This Row],[QTY 5]]</f>
        <v>0</v>
      </c>
      <c r="N196" s="3"/>
    </row>
    <row r="197" spans="1:14">
      <c r="A197" t="s">
        <v>1403</v>
      </c>
      <c r="B197" t="s">
        <v>3499</v>
      </c>
      <c r="C197">
        <v>106030</v>
      </c>
      <c r="H197" s="3">
        <f>IFERROR(VLOOKUP(Table43_1[[#This Row],[PCPL KODE 1]],#REF!,3,0),0)</f>
        <v>0</v>
      </c>
      <c r="I197" s="3">
        <f>IFERROR(VLOOKUP(Table43_1[[#This Row],[PCPL KODE 2]],#REF!,3,0),0)</f>
        <v>0</v>
      </c>
      <c r="J197" s="3">
        <f>IFERROR(VLOOKUP(Table43_1[[#This Row],[PCPL KODE 3]],#REF!,3,0),0)</f>
        <v>0</v>
      </c>
      <c r="K197" s="3">
        <f>IFERROR(VLOOKUP(Table43_1[[#This Row],[PCPL KODE 4]],#REF!,3,0),0)</f>
        <v>0</v>
      </c>
      <c r="L197" s="3">
        <f>IFERROR(VLOOKUP(Table43_1[[#This Row],[PCPL KODE 5]],#REF!,3,0),0)</f>
        <v>0</v>
      </c>
      <c r="M197" s="3">
        <f>Table43_1[[#This Row],[QTY 1]]+Table43_1[[#This Row],[QTY 2]]+Table43_1[[#This Row],[QTY 3]]+Table43_1[[#This Row],[QTY 4]]+Table43_1[[#This Row],[QTY 5]]</f>
        <v>0</v>
      </c>
      <c r="N197" s="3"/>
    </row>
    <row r="198" spans="1:14">
      <c r="A198" t="s">
        <v>1405</v>
      </c>
      <c r="B198" t="s">
        <v>3500</v>
      </c>
      <c r="C198" t="s">
        <v>2580</v>
      </c>
      <c r="H198" s="3">
        <f>IFERROR(VLOOKUP(Table43_1[[#This Row],[PCPL KODE 1]],#REF!,3,0),0)</f>
        <v>0</v>
      </c>
      <c r="I198" s="3">
        <f>IFERROR(VLOOKUP(Table43_1[[#This Row],[PCPL KODE 2]],#REF!,3,0),0)</f>
        <v>0</v>
      </c>
      <c r="J198" s="3">
        <f>IFERROR(VLOOKUP(Table43_1[[#This Row],[PCPL KODE 3]],#REF!,3,0),0)</f>
        <v>0</v>
      </c>
      <c r="K198" s="3">
        <f>IFERROR(VLOOKUP(Table43_1[[#This Row],[PCPL KODE 4]],#REF!,3,0),0)</f>
        <v>0</v>
      </c>
      <c r="L198" s="3">
        <f>IFERROR(VLOOKUP(Table43_1[[#This Row],[PCPL KODE 5]],#REF!,3,0),0)</f>
        <v>0</v>
      </c>
      <c r="M198" s="3">
        <f>Table43_1[[#This Row],[QTY 1]]+Table43_1[[#This Row],[QTY 2]]+Table43_1[[#This Row],[QTY 3]]+Table43_1[[#This Row],[QTY 4]]+Table43_1[[#This Row],[QTY 5]]</f>
        <v>0</v>
      </c>
      <c r="N198" s="3"/>
    </row>
    <row r="199" spans="1:14">
      <c r="A199" t="s">
        <v>1407</v>
      </c>
      <c r="B199" t="s">
        <v>1410</v>
      </c>
      <c r="C199" t="s">
        <v>2582</v>
      </c>
      <c r="H199" s="3">
        <f>IFERROR(VLOOKUP(Table43_1[[#This Row],[PCPL KODE 1]],#REF!,3,0),0)</f>
        <v>0</v>
      </c>
      <c r="I199" s="3">
        <f>IFERROR(VLOOKUP(Table43_1[[#This Row],[PCPL KODE 2]],#REF!,3,0),0)</f>
        <v>0</v>
      </c>
      <c r="J199" s="3">
        <f>IFERROR(VLOOKUP(Table43_1[[#This Row],[PCPL KODE 3]],#REF!,3,0),0)</f>
        <v>0</v>
      </c>
      <c r="K199" s="3">
        <f>IFERROR(VLOOKUP(Table43_1[[#This Row],[PCPL KODE 4]],#REF!,3,0),0)</f>
        <v>0</v>
      </c>
      <c r="L199" s="3">
        <f>IFERROR(VLOOKUP(Table43_1[[#This Row],[PCPL KODE 5]],#REF!,3,0),0)</f>
        <v>0</v>
      </c>
      <c r="M199" s="3">
        <f>Table43_1[[#This Row],[QTY 1]]+Table43_1[[#This Row],[QTY 2]]+Table43_1[[#This Row],[QTY 3]]+Table43_1[[#This Row],[QTY 4]]+Table43_1[[#This Row],[QTY 5]]</f>
        <v>0</v>
      </c>
      <c r="N199" s="3"/>
    </row>
    <row r="200" spans="1:14">
      <c r="A200" t="s">
        <v>1409</v>
      </c>
      <c r="B200" t="s">
        <v>1408</v>
      </c>
      <c r="C200" t="s">
        <v>2581</v>
      </c>
      <c r="H200" s="3">
        <f>IFERROR(VLOOKUP(Table43_1[[#This Row],[PCPL KODE 1]],#REF!,3,0),0)</f>
        <v>0</v>
      </c>
      <c r="I200" s="3">
        <f>IFERROR(VLOOKUP(Table43_1[[#This Row],[PCPL KODE 2]],#REF!,3,0),0)</f>
        <v>0</v>
      </c>
      <c r="J200" s="3">
        <f>IFERROR(VLOOKUP(Table43_1[[#This Row],[PCPL KODE 3]],#REF!,3,0),0)</f>
        <v>0</v>
      </c>
      <c r="K200" s="3">
        <f>IFERROR(VLOOKUP(Table43_1[[#This Row],[PCPL KODE 4]],#REF!,3,0),0)</f>
        <v>0</v>
      </c>
      <c r="L200" s="3">
        <f>IFERROR(VLOOKUP(Table43_1[[#This Row],[PCPL KODE 5]],#REF!,3,0),0)</f>
        <v>0</v>
      </c>
      <c r="M200" s="3">
        <f>Table43_1[[#This Row],[QTY 1]]+Table43_1[[#This Row],[QTY 2]]+Table43_1[[#This Row],[QTY 3]]+Table43_1[[#This Row],[QTY 4]]+Table43_1[[#This Row],[QTY 5]]</f>
        <v>0</v>
      </c>
      <c r="N200" s="3"/>
    </row>
    <row r="201" spans="1:14">
      <c r="A201" t="s">
        <v>1411</v>
      </c>
      <c r="B201" t="s">
        <v>1414</v>
      </c>
      <c r="C201" t="s">
        <v>2584</v>
      </c>
      <c r="H201" s="3">
        <f>IFERROR(VLOOKUP(Table43_1[[#This Row],[PCPL KODE 1]],#REF!,3,0),0)</f>
        <v>0</v>
      </c>
      <c r="I201" s="3">
        <f>IFERROR(VLOOKUP(Table43_1[[#This Row],[PCPL KODE 2]],#REF!,3,0),0)</f>
        <v>0</v>
      </c>
      <c r="J201" s="3">
        <f>IFERROR(VLOOKUP(Table43_1[[#This Row],[PCPL KODE 3]],#REF!,3,0),0)</f>
        <v>0</v>
      </c>
      <c r="K201" s="3">
        <f>IFERROR(VLOOKUP(Table43_1[[#This Row],[PCPL KODE 4]],#REF!,3,0),0)</f>
        <v>0</v>
      </c>
      <c r="L201" s="3">
        <f>IFERROR(VLOOKUP(Table43_1[[#This Row],[PCPL KODE 5]],#REF!,3,0),0)</f>
        <v>0</v>
      </c>
      <c r="M201" s="3">
        <f>Table43_1[[#This Row],[QTY 1]]+Table43_1[[#This Row],[QTY 2]]+Table43_1[[#This Row],[QTY 3]]+Table43_1[[#This Row],[QTY 4]]+Table43_1[[#This Row],[QTY 5]]</f>
        <v>0</v>
      </c>
      <c r="N201" s="3"/>
    </row>
    <row r="202" spans="1:14">
      <c r="A202" t="s">
        <v>1413</v>
      </c>
      <c r="B202" t="s">
        <v>1412</v>
      </c>
      <c r="C202" t="s">
        <v>2583</v>
      </c>
      <c r="H202" s="3">
        <f>IFERROR(VLOOKUP(Table43_1[[#This Row],[PCPL KODE 1]],#REF!,3,0),0)</f>
        <v>0</v>
      </c>
      <c r="I202" s="3">
        <f>IFERROR(VLOOKUP(Table43_1[[#This Row],[PCPL KODE 2]],#REF!,3,0),0)</f>
        <v>0</v>
      </c>
      <c r="J202" s="3">
        <f>IFERROR(VLOOKUP(Table43_1[[#This Row],[PCPL KODE 3]],#REF!,3,0),0)</f>
        <v>0</v>
      </c>
      <c r="K202" s="3">
        <f>IFERROR(VLOOKUP(Table43_1[[#This Row],[PCPL KODE 4]],#REF!,3,0),0)</f>
        <v>0</v>
      </c>
      <c r="L202" s="3">
        <f>IFERROR(VLOOKUP(Table43_1[[#This Row],[PCPL KODE 5]],#REF!,3,0),0)</f>
        <v>0</v>
      </c>
      <c r="M202" s="3">
        <f>Table43_1[[#This Row],[QTY 1]]+Table43_1[[#This Row],[QTY 2]]+Table43_1[[#This Row],[QTY 3]]+Table43_1[[#This Row],[QTY 4]]+Table43_1[[#This Row],[QTY 5]]</f>
        <v>0</v>
      </c>
      <c r="N202" s="3"/>
    </row>
    <row r="203" spans="1:14">
      <c r="A203" t="s">
        <v>1415</v>
      </c>
      <c r="B203" t="s">
        <v>1416</v>
      </c>
      <c r="C203" t="s">
        <v>2585</v>
      </c>
      <c r="D203">
        <v>107096</v>
      </c>
      <c r="H203" s="3">
        <f>IFERROR(VLOOKUP(Table43_1[[#This Row],[PCPL KODE 1]],#REF!,3,0),0)</f>
        <v>0</v>
      </c>
      <c r="I203" s="3">
        <f>IFERROR(VLOOKUP(Table43_1[[#This Row],[PCPL KODE 2]],#REF!,3,0),0)</f>
        <v>0</v>
      </c>
      <c r="J203" s="3">
        <f>IFERROR(VLOOKUP(Table43_1[[#This Row],[PCPL KODE 3]],#REF!,3,0),0)</f>
        <v>0</v>
      </c>
      <c r="K203" s="3">
        <f>IFERROR(VLOOKUP(Table43_1[[#This Row],[PCPL KODE 4]],#REF!,3,0),0)</f>
        <v>0</v>
      </c>
      <c r="L203" s="3">
        <f>IFERROR(VLOOKUP(Table43_1[[#This Row],[PCPL KODE 5]],#REF!,3,0),0)</f>
        <v>0</v>
      </c>
      <c r="M203" s="3">
        <f>Table43_1[[#This Row],[QTY 1]]+Table43_1[[#This Row],[QTY 2]]+Table43_1[[#This Row],[QTY 3]]+Table43_1[[#This Row],[QTY 4]]+Table43_1[[#This Row],[QTY 5]]</f>
        <v>0</v>
      </c>
      <c r="N203" s="3"/>
    </row>
    <row r="204" spans="1:14">
      <c r="A204" t="s">
        <v>1417</v>
      </c>
      <c r="B204" t="s">
        <v>1418</v>
      </c>
      <c r="C204" t="s">
        <v>2586</v>
      </c>
      <c r="D204">
        <v>107098</v>
      </c>
      <c r="H204" s="3">
        <f>IFERROR(VLOOKUP(Table43_1[[#This Row],[PCPL KODE 1]],#REF!,3,0),0)</f>
        <v>0</v>
      </c>
      <c r="I204" s="3">
        <f>IFERROR(VLOOKUP(Table43_1[[#This Row],[PCPL KODE 2]],#REF!,3,0),0)</f>
        <v>0</v>
      </c>
      <c r="J204" s="3">
        <f>IFERROR(VLOOKUP(Table43_1[[#This Row],[PCPL KODE 3]],#REF!,3,0),0)</f>
        <v>0</v>
      </c>
      <c r="K204" s="3">
        <f>IFERROR(VLOOKUP(Table43_1[[#This Row],[PCPL KODE 4]],#REF!,3,0),0)</f>
        <v>0</v>
      </c>
      <c r="L204" s="3">
        <f>IFERROR(VLOOKUP(Table43_1[[#This Row],[PCPL KODE 5]],#REF!,3,0),0)</f>
        <v>0</v>
      </c>
      <c r="M204" s="3">
        <f>Table43_1[[#This Row],[QTY 1]]+Table43_1[[#This Row],[QTY 2]]+Table43_1[[#This Row],[QTY 3]]+Table43_1[[#This Row],[QTY 4]]+Table43_1[[#This Row],[QTY 5]]</f>
        <v>0</v>
      </c>
      <c r="N204" s="3"/>
    </row>
    <row r="205" spans="1:14">
      <c r="A205" t="s">
        <v>1419</v>
      </c>
      <c r="B205" t="s">
        <v>1420</v>
      </c>
      <c r="C205" t="s">
        <v>2587</v>
      </c>
      <c r="D205">
        <v>107101</v>
      </c>
      <c r="H205" s="3">
        <f>IFERROR(VLOOKUP(Table43_1[[#This Row],[PCPL KODE 1]],#REF!,3,0),0)</f>
        <v>0</v>
      </c>
      <c r="I205" s="3">
        <f>IFERROR(VLOOKUP(Table43_1[[#This Row],[PCPL KODE 2]],#REF!,3,0),0)</f>
        <v>0</v>
      </c>
      <c r="J205" s="3">
        <f>IFERROR(VLOOKUP(Table43_1[[#This Row],[PCPL KODE 3]],#REF!,3,0),0)</f>
        <v>0</v>
      </c>
      <c r="K205" s="3">
        <f>IFERROR(VLOOKUP(Table43_1[[#This Row],[PCPL KODE 4]],#REF!,3,0),0)</f>
        <v>0</v>
      </c>
      <c r="L205" s="3">
        <f>IFERROR(VLOOKUP(Table43_1[[#This Row],[PCPL KODE 5]],#REF!,3,0),0)</f>
        <v>0</v>
      </c>
      <c r="M205" s="3">
        <f>Table43_1[[#This Row],[QTY 1]]+Table43_1[[#This Row],[QTY 2]]+Table43_1[[#This Row],[QTY 3]]+Table43_1[[#This Row],[QTY 4]]+Table43_1[[#This Row],[QTY 5]]</f>
        <v>0</v>
      </c>
      <c r="N205" s="3"/>
    </row>
    <row r="206" spans="1:14">
      <c r="A206" t="s">
        <v>1421</v>
      </c>
      <c r="B206" t="s">
        <v>1422</v>
      </c>
      <c r="C206">
        <v>107103</v>
      </c>
      <c r="D206">
        <v>107102</v>
      </c>
      <c r="H206" s="3">
        <f>IFERROR(VLOOKUP(Table43_1[[#This Row],[PCPL KODE 1]],#REF!,3,0),0)</f>
        <v>0</v>
      </c>
      <c r="I206" s="3">
        <f>IFERROR(VLOOKUP(Table43_1[[#This Row],[PCPL KODE 2]],#REF!,3,0),0)</f>
        <v>0</v>
      </c>
      <c r="J206" s="3">
        <f>IFERROR(VLOOKUP(Table43_1[[#This Row],[PCPL KODE 3]],#REF!,3,0),0)</f>
        <v>0</v>
      </c>
      <c r="K206" s="3">
        <f>IFERROR(VLOOKUP(Table43_1[[#This Row],[PCPL KODE 4]],#REF!,3,0),0)</f>
        <v>0</v>
      </c>
      <c r="L206" s="3">
        <f>IFERROR(VLOOKUP(Table43_1[[#This Row],[PCPL KODE 5]],#REF!,3,0),0)</f>
        <v>0</v>
      </c>
      <c r="M206" s="3">
        <f>Table43_1[[#This Row],[QTY 1]]+Table43_1[[#This Row],[QTY 2]]+Table43_1[[#This Row],[QTY 3]]+Table43_1[[#This Row],[QTY 4]]+Table43_1[[#This Row],[QTY 5]]</f>
        <v>0</v>
      </c>
      <c r="N206" s="3"/>
    </row>
    <row r="207" spans="1:14">
      <c r="A207" t="s">
        <v>1423</v>
      </c>
      <c r="B207" t="s">
        <v>3501</v>
      </c>
      <c r="C207">
        <v>107104</v>
      </c>
      <c r="H207" s="3">
        <f>IFERROR(VLOOKUP(Table43_1[[#This Row],[PCPL KODE 1]],#REF!,3,0),0)</f>
        <v>0</v>
      </c>
      <c r="I207" s="3">
        <f>IFERROR(VLOOKUP(Table43_1[[#This Row],[PCPL KODE 2]],#REF!,3,0),0)</f>
        <v>0</v>
      </c>
      <c r="J207" s="3">
        <f>IFERROR(VLOOKUP(Table43_1[[#This Row],[PCPL KODE 3]],#REF!,3,0),0)</f>
        <v>0</v>
      </c>
      <c r="K207" s="3">
        <f>IFERROR(VLOOKUP(Table43_1[[#This Row],[PCPL KODE 4]],#REF!,3,0),0)</f>
        <v>0</v>
      </c>
      <c r="L207" s="3">
        <f>IFERROR(VLOOKUP(Table43_1[[#This Row],[PCPL KODE 5]],#REF!,3,0),0)</f>
        <v>0</v>
      </c>
      <c r="M207" s="3">
        <f>Table43_1[[#This Row],[QTY 1]]+Table43_1[[#This Row],[QTY 2]]+Table43_1[[#This Row],[QTY 3]]+Table43_1[[#This Row],[QTY 4]]+Table43_1[[#This Row],[QTY 5]]</f>
        <v>0</v>
      </c>
      <c r="N207" s="3"/>
    </row>
    <row r="208" spans="1:14">
      <c r="A208" t="s">
        <v>1425</v>
      </c>
      <c r="B208" t="s">
        <v>3502</v>
      </c>
      <c r="C208">
        <v>107105</v>
      </c>
      <c r="H208" s="3">
        <f>IFERROR(VLOOKUP(Table43_1[[#This Row],[PCPL KODE 1]],#REF!,3,0),0)</f>
        <v>0</v>
      </c>
      <c r="I208" s="3">
        <f>IFERROR(VLOOKUP(Table43_1[[#This Row],[PCPL KODE 2]],#REF!,3,0),0)</f>
        <v>0</v>
      </c>
      <c r="J208" s="3">
        <f>IFERROR(VLOOKUP(Table43_1[[#This Row],[PCPL KODE 3]],#REF!,3,0),0)</f>
        <v>0</v>
      </c>
      <c r="K208" s="3">
        <f>IFERROR(VLOOKUP(Table43_1[[#This Row],[PCPL KODE 4]],#REF!,3,0),0)</f>
        <v>0</v>
      </c>
      <c r="L208" s="3">
        <f>IFERROR(VLOOKUP(Table43_1[[#This Row],[PCPL KODE 5]],#REF!,3,0),0)</f>
        <v>0</v>
      </c>
      <c r="M208" s="3">
        <f>Table43_1[[#This Row],[QTY 1]]+Table43_1[[#This Row],[QTY 2]]+Table43_1[[#This Row],[QTY 3]]+Table43_1[[#This Row],[QTY 4]]+Table43_1[[#This Row],[QTY 5]]</f>
        <v>0</v>
      </c>
      <c r="N208" s="3"/>
    </row>
    <row r="209" spans="1:14">
      <c r="A209" t="s">
        <v>1427</v>
      </c>
      <c r="B209" t="s">
        <v>1428</v>
      </c>
      <c r="C209" t="s">
        <v>2588</v>
      </c>
      <c r="H209" s="3">
        <f>IFERROR(VLOOKUP(Table43_1[[#This Row],[PCPL KODE 1]],#REF!,3,0),0)</f>
        <v>0</v>
      </c>
      <c r="I209" s="3">
        <f>IFERROR(VLOOKUP(Table43_1[[#This Row],[PCPL KODE 2]],#REF!,3,0),0)</f>
        <v>0</v>
      </c>
      <c r="J209" s="3">
        <f>IFERROR(VLOOKUP(Table43_1[[#This Row],[PCPL KODE 3]],#REF!,3,0),0)</f>
        <v>0</v>
      </c>
      <c r="K209" s="3">
        <f>IFERROR(VLOOKUP(Table43_1[[#This Row],[PCPL KODE 4]],#REF!,3,0),0)</f>
        <v>0</v>
      </c>
      <c r="L209" s="3">
        <f>IFERROR(VLOOKUP(Table43_1[[#This Row],[PCPL KODE 5]],#REF!,3,0),0)</f>
        <v>0</v>
      </c>
      <c r="M209" s="3">
        <f>Table43_1[[#This Row],[QTY 1]]+Table43_1[[#This Row],[QTY 2]]+Table43_1[[#This Row],[QTY 3]]+Table43_1[[#This Row],[QTY 4]]+Table43_1[[#This Row],[QTY 5]]</f>
        <v>0</v>
      </c>
      <c r="N209" s="3"/>
    </row>
    <row r="210" spans="1:14">
      <c r="A210" t="s">
        <v>1429</v>
      </c>
      <c r="B210" t="s">
        <v>1430</v>
      </c>
      <c r="C210" t="s">
        <v>2589</v>
      </c>
      <c r="H210" s="3">
        <f>IFERROR(VLOOKUP(Table43_1[[#This Row],[PCPL KODE 1]],#REF!,3,0),0)</f>
        <v>0</v>
      </c>
      <c r="I210" s="3">
        <f>IFERROR(VLOOKUP(Table43_1[[#This Row],[PCPL KODE 2]],#REF!,3,0),0)</f>
        <v>0</v>
      </c>
      <c r="J210" s="3">
        <f>IFERROR(VLOOKUP(Table43_1[[#This Row],[PCPL KODE 3]],#REF!,3,0),0)</f>
        <v>0</v>
      </c>
      <c r="K210" s="3">
        <f>IFERROR(VLOOKUP(Table43_1[[#This Row],[PCPL KODE 4]],#REF!,3,0),0)</f>
        <v>0</v>
      </c>
      <c r="L210" s="3">
        <f>IFERROR(VLOOKUP(Table43_1[[#This Row],[PCPL KODE 5]],#REF!,3,0),0)</f>
        <v>0</v>
      </c>
      <c r="M210" s="3">
        <f>Table43_1[[#This Row],[QTY 1]]+Table43_1[[#This Row],[QTY 2]]+Table43_1[[#This Row],[QTY 3]]+Table43_1[[#This Row],[QTY 4]]+Table43_1[[#This Row],[QTY 5]]</f>
        <v>0</v>
      </c>
      <c r="N210" s="3"/>
    </row>
    <row r="211" spans="1:14">
      <c r="A211" t="s">
        <v>1431</v>
      </c>
      <c r="B211" t="s">
        <v>1432</v>
      </c>
      <c r="C211" t="s">
        <v>2590</v>
      </c>
      <c r="H211" s="3">
        <f>IFERROR(VLOOKUP(Table43_1[[#This Row],[PCPL KODE 1]],#REF!,3,0),0)</f>
        <v>0</v>
      </c>
      <c r="I211" s="3">
        <f>IFERROR(VLOOKUP(Table43_1[[#This Row],[PCPL KODE 2]],#REF!,3,0),0)</f>
        <v>0</v>
      </c>
      <c r="J211" s="3">
        <f>IFERROR(VLOOKUP(Table43_1[[#This Row],[PCPL KODE 3]],#REF!,3,0),0)</f>
        <v>0</v>
      </c>
      <c r="K211" s="3">
        <f>IFERROR(VLOOKUP(Table43_1[[#This Row],[PCPL KODE 4]],#REF!,3,0),0)</f>
        <v>0</v>
      </c>
      <c r="L211" s="3">
        <f>IFERROR(VLOOKUP(Table43_1[[#This Row],[PCPL KODE 5]],#REF!,3,0),0)</f>
        <v>0</v>
      </c>
      <c r="M211" s="3">
        <f>Table43_1[[#This Row],[QTY 1]]+Table43_1[[#This Row],[QTY 2]]+Table43_1[[#This Row],[QTY 3]]+Table43_1[[#This Row],[QTY 4]]+Table43_1[[#This Row],[QTY 5]]</f>
        <v>0</v>
      </c>
      <c r="N211" s="3"/>
    </row>
    <row r="212" spans="1:14">
      <c r="A212" t="s">
        <v>1433</v>
      </c>
      <c r="B212" t="s">
        <v>1434</v>
      </c>
      <c r="C212" t="s">
        <v>2591</v>
      </c>
      <c r="H212" s="3">
        <f>IFERROR(VLOOKUP(Table43_1[[#This Row],[PCPL KODE 1]],#REF!,3,0),0)</f>
        <v>0</v>
      </c>
      <c r="I212" s="3">
        <f>IFERROR(VLOOKUP(Table43_1[[#This Row],[PCPL KODE 2]],#REF!,3,0),0)</f>
        <v>0</v>
      </c>
      <c r="J212" s="3">
        <f>IFERROR(VLOOKUP(Table43_1[[#This Row],[PCPL KODE 3]],#REF!,3,0),0)</f>
        <v>0</v>
      </c>
      <c r="K212" s="3">
        <f>IFERROR(VLOOKUP(Table43_1[[#This Row],[PCPL KODE 4]],#REF!,3,0),0)</f>
        <v>0</v>
      </c>
      <c r="L212" s="3">
        <f>IFERROR(VLOOKUP(Table43_1[[#This Row],[PCPL KODE 5]],#REF!,3,0),0)</f>
        <v>0</v>
      </c>
      <c r="M212" s="3">
        <f>Table43_1[[#This Row],[QTY 1]]+Table43_1[[#This Row],[QTY 2]]+Table43_1[[#This Row],[QTY 3]]+Table43_1[[#This Row],[QTY 4]]+Table43_1[[#This Row],[QTY 5]]</f>
        <v>0</v>
      </c>
      <c r="N212" s="3"/>
    </row>
    <row r="213" spans="1:14">
      <c r="A213" t="s">
        <v>1435</v>
      </c>
      <c r="B213" t="s">
        <v>1436</v>
      </c>
      <c r="C213" t="s">
        <v>2592</v>
      </c>
      <c r="H213" s="3">
        <f>IFERROR(VLOOKUP(Table43_1[[#This Row],[PCPL KODE 1]],#REF!,3,0),0)</f>
        <v>0</v>
      </c>
      <c r="I213" s="3">
        <f>IFERROR(VLOOKUP(Table43_1[[#This Row],[PCPL KODE 2]],#REF!,3,0),0)</f>
        <v>0</v>
      </c>
      <c r="J213" s="3">
        <f>IFERROR(VLOOKUP(Table43_1[[#This Row],[PCPL KODE 3]],#REF!,3,0),0)</f>
        <v>0</v>
      </c>
      <c r="K213" s="3">
        <f>IFERROR(VLOOKUP(Table43_1[[#This Row],[PCPL KODE 4]],#REF!,3,0),0)</f>
        <v>0</v>
      </c>
      <c r="L213" s="3">
        <f>IFERROR(VLOOKUP(Table43_1[[#This Row],[PCPL KODE 5]],#REF!,3,0),0)</f>
        <v>0</v>
      </c>
      <c r="M213" s="3">
        <f>Table43_1[[#This Row],[QTY 1]]+Table43_1[[#This Row],[QTY 2]]+Table43_1[[#This Row],[QTY 3]]+Table43_1[[#This Row],[QTY 4]]+Table43_1[[#This Row],[QTY 5]]</f>
        <v>0</v>
      </c>
      <c r="N213" s="3"/>
    </row>
    <row r="214" spans="1:14">
      <c r="A214" t="s">
        <v>2374</v>
      </c>
      <c r="B214" t="s">
        <v>1437</v>
      </c>
      <c r="C214">
        <v>107001</v>
      </c>
      <c r="H214" s="3">
        <f>IFERROR(VLOOKUP(Table43_1[[#This Row],[PCPL KODE 1]],#REF!,3,0),0)</f>
        <v>0</v>
      </c>
      <c r="I214" s="3">
        <f>IFERROR(VLOOKUP(Table43_1[[#This Row],[PCPL KODE 2]],#REF!,3,0),0)</f>
        <v>0</v>
      </c>
      <c r="J214" s="3">
        <f>IFERROR(VLOOKUP(Table43_1[[#This Row],[PCPL KODE 3]],#REF!,3,0),0)</f>
        <v>0</v>
      </c>
      <c r="K214" s="3">
        <f>IFERROR(VLOOKUP(Table43_1[[#This Row],[PCPL KODE 4]],#REF!,3,0),0)</f>
        <v>0</v>
      </c>
      <c r="L214" s="3">
        <f>IFERROR(VLOOKUP(Table43_1[[#This Row],[PCPL KODE 5]],#REF!,3,0),0)</f>
        <v>0</v>
      </c>
      <c r="M214" s="3">
        <f>Table43_1[[#This Row],[QTY 1]]+Table43_1[[#This Row],[QTY 2]]+Table43_1[[#This Row],[QTY 3]]+Table43_1[[#This Row],[QTY 4]]+Table43_1[[#This Row],[QTY 5]]</f>
        <v>0</v>
      </c>
      <c r="N214" s="3"/>
    </row>
    <row r="215" spans="1:14">
      <c r="A215" t="s">
        <v>2448</v>
      </c>
      <c r="B215" t="s">
        <v>2456</v>
      </c>
      <c r="C215">
        <v>107006</v>
      </c>
      <c r="H215" s="3">
        <f>IFERROR(VLOOKUP(Table43_1[[#This Row],[PCPL KODE 1]],#REF!,3,0),0)</f>
        <v>0</v>
      </c>
      <c r="I215" s="3">
        <f>IFERROR(VLOOKUP(Table43_1[[#This Row],[PCPL KODE 2]],#REF!,3,0),0)</f>
        <v>0</v>
      </c>
      <c r="J215" s="3">
        <f>IFERROR(VLOOKUP(Table43_1[[#This Row],[PCPL KODE 3]],#REF!,3,0),0)</f>
        <v>0</v>
      </c>
      <c r="K215" s="3">
        <f>IFERROR(VLOOKUP(Table43_1[[#This Row],[PCPL KODE 4]],#REF!,3,0),0)</f>
        <v>0</v>
      </c>
      <c r="L215" s="3">
        <f>IFERROR(VLOOKUP(Table43_1[[#This Row],[PCPL KODE 5]],#REF!,3,0),0)</f>
        <v>0</v>
      </c>
      <c r="M215" s="3">
        <f>Table43_1[[#This Row],[QTY 1]]+Table43_1[[#This Row],[QTY 2]]+Table43_1[[#This Row],[QTY 3]]+Table43_1[[#This Row],[QTY 4]]+Table43_1[[#This Row],[QTY 5]]</f>
        <v>0</v>
      </c>
      <c r="N215" s="3"/>
    </row>
    <row r="216" spans="1:14">
      <c r="A216" t="s">
        <v>2376</v>
      </c>
      <c r="B216" t="s">
        <v>1439</v>
      </c>
      <c r="C216" t="s">
        <v>2593</v>
      </c>
      <c r="H216" s="3">
        <f>IFERROR(VLOOKUP(Table43_1[[#This Row],[PCPL KODE 1]],#REF!,3,0),0)</f>
        <v>0</v>
      </c>
      <c r="I216" s="3">
        <f>IFERROR(VLOOKUP(Table43_1[[#This Row],[PCPL KODE 2]],#REF!,3,0),0)</f>
        <v>0</v>
      </c>
      <c r="J216" s="3">
        <f>IFERROR(VLOOKUP(Table43_1[[#This Row],[PCPL KODE 3]],#REF!,3,0),0)</f>
        <v>0</v>
      </c>
      <c r="K216" s="3">
        <f>IFERROR(VLOOKUP(Table43_1[[#This Row],[PCPL KODE 4]],#REF!,3,0),0)</f>
        <v>0</v>
      </c>
      <c r="L216" s="3">
        <f>IFERROR(VLOOKUP(Table43_1[[#This Row],[PCPL KODE 5]],#REF!,3,0),0)</f>
        <v>0</v>
      </c>
      <c r="M216" s="3">
        <f>Table43_1[[#This Row],[QTY 1]]+Table43_1[[#This Row],[QTY 2]]+Table43_1[[#This Row],[QTY 3]]+Table43_1[[#This Row],[QTY 4]]+Table43_1[[#This Row],[QTY 5]]</f>
        <v>0</v>
      </c>
      <c r="N216" s="3"/>
    </row>
    <row r="217" spans="1:14">
      <c r="A217" t="s">
        <v>2377</v>
      </c>
      <c r="B217" t="s">
        <v>1440</v>
      </c>
      <c r="C217" t="s">
        <v>2595</v>
      </c>
      <c r="H217" s="3">
        <f>IFERROR(VLOOKUP(Table43_1[[#This Row],[PCPL KODE 1]],#REF!,3,0),0)</f>
        <v>0</v>
      </c>
      <c r="I217" s="3">
        <f>IFERROR(VLOOKUP(Table43_1[[#This Row],[PCPL KODE 2]],#REF!,3,0),0)</f>
        <v>0</v>
      </c>
      <c r="J217" s="3">
        <f>IFERROR(VLOOKUP(Table43_1[[#This Row],[PCPL KODE 3]],#REF!,3,0),0)</f>
        <v>0</v>
      </c>
      <c r="K217" s="3">
        <f>IFERROR(VLOOKUP(Table43_1[[#This Row],[PCPL KODE 4]],#REF!,3,0),0)</f>
        <v>0</v>
      </c>
      <c r="L217" s="3">
        <f>IFERROR(VLOOKUP(Table43_1[[#This Row],[PCPL KODE 5]],#REF!,3,0),0)</f>
        <v>0</v>
      </c>
      <c r="M217" s="3">
        <f>Table43_1[[#This Row],[QTY 1]]+Table43_1[[#This Row],[QTY 2]]+Table43_1[[#This Row],[QTY 3]]+Table43_1[[#This Row],[QTY 4]]+Table43_1[[#This Row],[QTY 5]]</f>
        <v>0</v>
      </c>
      <c r="N217" s="3"/>
    </row>
    <row r="218" spans="1:14">
      <c r="A218" t="s">
        <v>2378</v>
      </c>
      <c r="B218" t="s">
        <v>1441</v>
      </c>
      <c r="C218" t="s">
        <v>2595</v>
      </c>
      <c r="H218" s="3">
        <f>IFERROR(VLOOKUP(Table43_1[[#This Row],[PCPL KODE 1]],#REF!,3,0),0)</f>
        <v>0</v>
      </c>
      <c r="I218" s="3">
        <f>IFERROR(VLOOKUP(Table43_1[[#This Row],[PCPL KODE 2]],#REF!,3,0),0)</f>
        <v>0</v>
      </c>
      <c r="J218" s="3">
        <f>IFERROR(VLOOKUP(Table43_1[[#This Row],[PCPL KODE 3]],#REF!,3,0),0)</f>
        <v>0</v>
      </c>
      <c r="K218" s="3">
        <f>IFERROR(VLOOKUP(Table43_1[[#This Row],[PCPL KODE 4]],#REF!,3,0),0)</f>
        <v>0</v>
      </c>
      <c r="L218" s="3">
        <f>IFERROR(VLOOKUP(Table43_1[[#This Row],[PCPL KODE 5]],#REF!,3,0),0)</f>
        <v>0</v>
      </c>
      <c r="M218" s="3">
        <f>Table43_1[[#This Row],[QTY 1]]+Table43_1[[#This Row],[QTY 2]]+Table43_1[[#This Row],[QTY 3]]+Table43_1[[#This Row],[QTY 4]]+Table43_1[[#This Row],[QTY 5]]</f>
        <v>0</v>
      </c>
      <c r="N218" s="3"/>
    </row>
    <row r="219" spans="1:14">
      <c r="A219" t="s">
        <v>2379</v>
      </c>
      <c r="B219" t="s">
        <v>1442</v>
      </c>
      <c r="C219" t="s">
        <v>2596</v>
      </c>
      <c r="H219" s="3">
        <f>IFERROR(VLOOKUP(Table43_1[[#This Row],[PCPL KODE 1]],#REF!,3,0),0)</f>
        <v>0</v>
      </c>
      <c r="I219" s="3">
        <f>IFERROR(VLOOKUP(Table43_1[[#This Row],[PCPL KODE 2]],#REF!,3,0),0)</f>
        <v>0</v>
      </c>
      <c r="J219" s="3">
        <f>IFERROR(VLOOKUP(Table43_1[[#This Row],[PCPL KODE 3]],#REF!,3,0),0)</f>
        <v>0</v>
      </c>
      <c r="K219" s="3">
        <f>IFERROR(VLOOKUP(Table43_1[[#This Row],[PCPL KODE 4]],#REF!,3,0),0)</f>
        <v>0</v>
      </c>
      <c r="L219" s="3">
        <f>IFERROR(VLOOKUP(Table43_1[[#This Row],[PCPL KODE 5]],#REF!,3,0),0)</f>
        <v>0</v>
      </c>
      <c r="M219" s="3">
        <f>Table43_1[[#This Row],[QTY 1]]+Table43_1[[#This Row],[QTY 2]]+Table43_1[[#This Row],[QTY 3]]+Table43_1[[#This Row],[QTY 4]]+Table43_1[[#This Row],[QTY 5]]</f>
        <v>0</v>
      </c>
      <c r="N219" s="3"/>
    </row>
    <row r="220" spans="1:14">
      <c r="A220" t="s">
        <v>2380</v>
      </c>
      <c r="B220" t="s">
        <v>1443</v>
      </c>
      <c r="C220">
        <v>107009</v>
      </c>
      <c r="H220" s="3">
        <f>IFERROR(VLOOKUP(Table43_1[[#This Row],[PCPL KODE 1]],#REF!,3,0),0)</f>
        <v>0</v>
      </c>
      <c r="I220" s="3">
        <f>IFERROR(VLOOKUP(Table43_1[[#This Row],[PCPL KODE 2]],#REF!,3,0),0)</f>
        <v>0</v>
      </c>
      <c r="J220" s="3">
        <f>IFERROR(VLOOKUP(Table43_1[[#This Row],[PCPL KODE 3]],#REF!,3,0),0)</f>
        <v>0</v>
      </c>
      <c r="K220" s="3">
        <f>IFERROR(VLOOKUP(Table43_1[[#This Row],[PCPL KODE 4]],#REF!,3,0),0)</f>
        <v>0</v>
      </c>
      <c r="L220" s="3">
        <f>IFERROR(VLOOKUP(Table43_1[[#This Row],[PCPL KODE 5]],#REF!,3,0),0)</f>
        <v>0</v>
      </c>
      <c r="M220" s="3">
        <f>Table43_1[[#This Row],[QTY 1]]+Table43_1[[#This Row],[QTY 2]]+Table43_1[[#This Row],[QTY 3]]+Table43_1[[#This Row],[QTY 4]]+Table43_1[[#This Row],[QTY 5]]</f>
        <v>0</v>
      </c>
      <c r="N220" s="3"/>
    </row>
    <row r="221" spans="1:14">
      <c r="A221" t="s">
        <v>2381</v>
      </c>
      <c r="B221" t="s">
        <v>1444</v>
      </c>
      <c r="C221">
        <v>107010</v>
      </c>
      <c r="H221" s="3">
        <f>IFERROR(VLOOKUP(Table43_1[[#This Row],[PCPL KODE 1]],#REF!,3,0),0)</f>
        <v>0</v>
      </c>
      <c r="I221" s="3">
        <f>IFERROR(VLOOKUP(Table43_1[[#This Row],[PCPL KODE 2]],#REF!,3,0),0)</f>
        <v>0</v>
      </c>
      <c r="J221" s="3">
        <f>IFERROR(VLOOKUP(Table43_1[[#This Row],[PCPL KODE 3]],#REF!,3,0),0)</f>
        <v>0</v>
      </c>
      <c r="K221" s="3">
        <f>IFERROR(VLOOKUP(Table43_1[[#This Row],[PCPL KODE 4]],#REF!,3,0),0)</f>
        <v>0</v>
      </c>
      <c r="L221" s="3">
        <f>IFERROR(VLOOKUP(Table43_1[[#This Row],[PCPL KODE 5]],#REF!,3,0),0)</f>
        <v>0</v>
      </c>
      <c r="M221" s="3">
        <f>Table43_1[[#This Row],[QTY 1]]+Table43_1[[#This Row],[QTY 2]]+Table43_1[[#This Row],[QTY 3]]+Table43_1[[#This Row],[QTY 4]]+Table43_1[[#This Row],[QTY 5]]</f>
        <v>0</v>
      </c>
      <c r="N221" s="3"/>
    </row>
    <row r="222" spans="1:14">
      <c r="A222" t="s">
        <v>2382</v>
      </c>
      <c r="B222" t="s">
        <v>1445</v>
      </c>
      <c r="C222" t="s">
        <v>2597</v>
      </c>
      <c r="H222" s="3">
        <f>IFERROR(VLOOKUP(Table43_1[[#This Row],[PCPL KODE 1]],#REF!,3,0),0)</f>
        <v>0</v>
      </c>
      <c r="I222" s="3">
        <f>IFERROR(VLOOKUP(Table43_1[[#This Row],[PCPL KODE 2]],#REF!,3,0),0)</f>
        <v>0</v>
      </c>
      <c r="J222" s="3">
        <f>IFERROR(VLOOKUP(Table43_1[[#This Row],[PCPL KODE 3]],#REF!,3,0),0)</f>
        <v>0</v>
      </c>
      <c r="K222" s="3">
        <f>IFERROR(VLOOKUP(Table43_1[[#This Row],[PCPL KODE 4]],#REF!,3,0),0)</f>
        <v>0</v>
      </c>
      <c r="L222" s="3">
        <f>IFERROR(VLOOKUP(Table43_1[[#This Row],[PCPL KODE 5]],#REF!,3,0),0)</f>
        <v>0</v>
      </c>
      <c r="M222" s="3">
        <f>Table43_1[[#This Row],[QTY 1]]+Table43_1[[#This Row],[QTY 2]]+Table43_1[[#This Row],[QTY 3]]+Table43_1[[#This Row],[QTY 4]]+Table43_1[[#This Row],[QTY 5]]</f>
        <v>0</v>
      </c>
      <c r="N222" s="3"/>
    </row>
    <row r="223" spans="1:14">
      <c r="A223" t="s">
        <v>2383</v>
      </c>
      <c r="B223" t="s">
        <v>1446</v>
      </c>
      <c r="C223" t="s">
        <v>2598</v>
      </c>
      <c r="H223" s="3">
        <f>IFERROR(VLOOKUP(Table43_1[[#This Row],[PCPL KODE 1]],#REF!,3,0),0)</f>
        <v>0</v>
      </c>
      <c r="I223" s="3">
        <f>IFERROR(VLOOKUP(Table43_1[[#This Row],[PCPL KODE 2]],#REF!,3,0),0)</f>
        <v>0</v>
      </c>
      <c r="J223" s="3">
        <f>IFERROR(VLOOKUP(Table43_1[[#This Row],[PCPL KODE 3]],#REF!,3,0),0)</f>
        <v>0</v>
      </c>
      <c r="K223" s="3">
        <f>IFERROR(VLOOKUP(Table43_1[[#This Row],[PCPL KODE 4]],#REF!,3,0),0)</f>
        <v>0</v>
      </c>
      <c r="L223" s="3">
        <f>IFERROR(VLOOKUP(Table43_1[[#This Row],[PCPL KODE 5]],#REF!,3,0),0)</f>
        <v>0</v>
      </c>
      <c r="M223" s="3">
        <f>Table43_1[[#This Row],[QTY 1]]+Table43_1[[#This Row],[QTY 2]]+Table43_1[[#This Row],[QTY 3]]+Table43_1[[#This Row],[QTY 4]]+Table43_1[[#This Row],[QTY 5]]</f>
        <v>0</v>
      </c>
      <c r="N223" s="3"/>
    </row>
    <row r="224" spans="1:14">
      <c r="A224" t="s">
        <v>2384</v>
      </c>
      <c r="B224" t="s">
        <v>1447</v>
      </c>
      <c r="C224">
        <v>107017</v>
      </c>
      <c r="H224" s="3">
        <f>IFERROR(VLOOKUP(Table43_1[[#This Row],[PCPL KODE 1]],#REF!,3,0),0)</f>
        <v>0</v>
      </c>
      <c r="I224" s="3">
        <f>IFERROR(VLOOKUP(Table43_1[[#This Row],[PCPL KODE 2]],#REF!,3,0),0)</f>
        <v>0</v>
      </c>
      <c r="J224" s="3">
        <f>IFERROR(VLOOKUP(Table43_1[[#This Row],[PCPL KODE 3]],#REF!,3,0),0)</f>
        <v>0</v>
      </c>
      <c r="K224" s="3">
        <f>IFERROR(VLOOKUP(Table43_1[[#This Row],[PCPL KODE 4]],#REF!,3,0),0)</f>
        <v>0</v>
      </c>
      <c r="L224" s="3">
        <f>IFERROR(VLOOKUP(Table43_1[[#This Row],[PCPL KODE 5]],#REF!,3,0),0)</f>
        <v>0</v>
      </c>
      <c r="M224" s="3">
        <f>Table43_1[[#This Row],[QTY 1]]+Table43_1[[#This Row],[QTY 2]]+Table43_1[[#This Row],[QTY 3]]+Table43_1[[#This Row],[QTY 4]]+Table43_1[[#This Row],[QTY 5]]</f>
        <v>0</v>
      </c>
      <c r="N224" s="3"/>
    </row>
    <row r="225" spans="1:14">
      <c r="A225" t="s">
        <v>2385</v>
      </c>
      <c r="B225" t="s">
        <v>1448</v>
      </c>
      <c r="C225">
        <v>107018</v>
      </c>
      <c r="H225" s="3">
        <f>IFERROR(VLOOKUP(Table43_1[[#This Row],[PCPL KODE 1]],#REF!,3,0),0)</f>
        <v>0</v>
      </c>
      <c r="I225" s="3">
        <f>IFERROR(VLOOKUP(Table43_1[[#This Row],[PCPL KODE 2]],#REF!,3,0),0)</f>
        <v>0</v>
      </c>
      <c r="J225" s="3">
        <f>IFERROR(VLOOKUP(Table43_1[[#This Row],[PCPL KODE 3]],#REF!,3,0),0)</f>
        <v>0</v>
      </c>
      <c r="K225" s="3">
        <f>IFERROR(VLOOKUP(Table43_1[[#This Row],[PCPL KODE 4]],#REF!,3,0),0)</f>
        <v>0</v>
      </c>
      <c r="L225" s="3">
        <f>IFERROR(VLOOKUP(Table43_1[[#This Row],[PCPL KODE 5]],#REF!,3,0),0)</f>
        <v>0</v>
      </c>
      <c r="M225" s="3">
        <f>Table43_1[[#This Row],[QTY 1]]+Table43_1[[#This Row],[QTY 2]]+Table43_1[[#This Row],[QTY 3]]+Table43_1[[#This Row],[QTY 4]]+Table43_1[[#This Row],[QTY 5]]</f>
        <v>0</v>
      </c>
      <c r="N225" s="3"/>
    </row>
    <row r="226" spans="1:14">
      <c r="A226" t="s">
        <v>2386</v>
      </c>
      <c r="B226" t="s">
        <v>1449</v>
      </c>
      <c r="C226">
        <v>107002</v>
      </c>
      <c r="H226" s="3">
        <f>IFERROR(VLOOKUP(Table43_1[[#This Row],[PCPL KODE 1]],#REF!,3,0),0)</f>
        <v>0</v>
      </c>
      <c r="I226" s="3">
        <f>IFERROR(VLOOKUP(Table43_1[[#This Row],[PCPL KODE 2]],#REF!,3,0),0)</f>
        <v>0</v>
      </c>
      <c r="J226" s="3">
        <f>IFERROR(VLOOKUP(Table43_1[[#This Row],[PCPL KODE 3]],#REF!,3,0),0)</f>
        <v>0</v>
      </c>
      <c r="K226" s="3">
        <f>IFERROR(VLOOKUP(Table43_1[[#This Row],[PCPL KODE 4]],#REF!,3,0),0)</f>
        <v>0</v>
      </c>
      <c r="L226" s="3">
        <f>IFERROR(VLOOKUP(Table43_1[[#This Row],[PCPL KODE 5]],#REF!,3,0),0)</f>
        <v>0</v>
      </c>
      <c r="M226" s="3">
        <f>Table43_1[[#This Row],[QTY 1]]+Table43_1[[#This Row],[QTY 2]]+Table43_1[[#This Row],[QTY 3]]+Table43_1[[#This Row],[QTY 4]]+Table43_1[[#This Row],[QTY 5]]</f>
        <v>0</v>
      </c>
      <c r="N226" s="3"/>
    </row>
    <row r="227" spans="1:14">
      <c r="A227" t="s">
        <v>1450</v>
      </c>
      <c r="B227" t="s">
        <v>1451</v>
      </c>
      <c r="C227">
        <v>107005</v>
      </c>
      <c r="H227" s="3">
        <f>IFERROR(VLOOKUP(Table43_1[[#This Row],[PCPL KODE 1]],#REF!,3,0),0)</f>
        <v>0</v>
      </c>
      <c r="I227" s="3">
        <f>IFERROR(VLOOKUP(Table43_1[[#This Row],[PCPL KODE 2]],#REF!,3,0),0)</f>
        <v>0</v>
      </c>
      <c r="J227" s="3">
        <f>IFERROR(VLOOKUP(Table43_1[[#This Row],[PCPL KODE 3]],#REF!,3,0),0)</f>
        <v>0</v>
      </c>
      <c r="K227" s="3">
        <f>IFERROR(VLOOKUP(Table43_1[[#This Row],[PCPL KODE 4]],#REF!,3,0),0)</f>
        <v>0</v>
      </c>
      <c r="L227" s="3">
        <f>IFERROR(VLOOKUP(Table43_1[[#This Row],[PCPL KODE 5]],#REF!,3,0),0)</f>
        <v>0</v>
      </c>
      <c r="M227" s="3">
        <f>Table43_1[[#This Row],[QTY 1]]+Table43_1[[#This Row],[QTY 2]]+Table43_1[[#This Row],[QTY 3]]+Table43_1[[#This Row],[QTY 4]]+Table43_1[[#This Row],[QTY 5]]</f>
        <v>0</v>
      </c>
      <c r="N227" s="3"/>
    </row>
    <row r="228" spans="1:14">
      <c r="A228" t="s">
        <v>2387</v>
      </c>
      <c r="B228" t="s">
        <v>1452</v>
      </c>
      <c r="C228">
        <v>107004</v>
      </c>
      <c r="D228">
        <v>107003</v>
      </c>
      <c r="H228" s="3">
        <f>IFERROR(VLOOKUP(Table43_1[[#This Row],[PCPL KODE 1]],#REF!,3,0),0)</f>
        <v>0</v>
      </c>
      <c r="I228" s="3">
        <f>IFERROR(VLOOKUP(Table43_1[[#This Row],[PCPL KODE 2]],#REF!,3,0),0)</f>
        <v>0</v>
      </c>
      <c r="J228" s="3">
        <f>IFERROR(VLOOKUP(Table43_1[[#This Row],[PCPL KODE 3]],#REF!,3,0),0)</f>
        <v>0</v>
      </c>
      <c r="K228" s="3">
        <f>IFERROR(VLOOKUP(Table43_1[[#This Row],[PCPL KODE 4]],#REF!,3,0),0)</f>
        <v>0</v>
      </c>
      <c r="L228" s="3">
        <f>IFERROR(VLOOKUP(Table43_1[[#This Row],[PCPL KODE 5]],#REF!,3,0),0)</f>
        <v>0</v>
      </c>
      <c r="M228" s="3">
        <f>Table43_1[[#This Row],[QTY 1]]+Table43_1[[#This Row],[QTY 2]]+Table43_1[[#This Row],[QTY 3]]+Table43_1[[#This Row],[QTY 4]]+Table43_1[[#This Row],[QTY 5]]</f>
        <v>0</v>
      </c>
      <c r="N228" s="3"/>
    </row>
    <row r="229" spans="1:14">
      <c r="A229" t="s">
        <v>1453</v>
      </c>
      <c r="B229" t="s">
        <v>1454</v>
      </c>
      <c r="C229">
        <v>107021</v>
      </c>
      <c r="H229" s="3">
        <f>IFERROR(VLOOKUP(Table43_1[[#This Row],[PCPL KODE 1]],#REF!,3,0),0)</f>
        <v>0</v>
      </c>
      <c r="I229" s="3">
        <f>IFERROR(VLOOKUP(Table43_1[[#This Row],[PCPL KODE 2]],#REF!,3,0),0)</f>
        <v>0</v>
      </c>
      <c r="J229" s="3">
        <f>IFERROR(VLOOKUP(Table43_1[[#This Row],[PCPL KODE 3]],#REF!,3,0),0)</f>
        <v>0</v>
      </c>
      <c r="K229" s="3">
        <f>IFERROR(VLOOKUP(Table43_1[[#This Row],[PCPL KODE 4]],#REF!,3,0),0)</f>
        <v>0</v>
      </c>
      <c r="L229" s="3">
        <f>IFERROR(VLOOKUP(Table43_1[[#This Row],[PCPL KODE 5]],#REF!,3,0),0)</f>
        <v>0</v>
      </c>
      <c r="M229" s="3">
        <f>Table43_1[[#This Row],[QTY 1]]+Table43_1[[#This Row],[QTY 2]]+Table43_1[[#This Row],[QTY 3]]+Table43_1[[#This Row],[QTY 4]]+Table43_1[[#This Row],[QTY 5]]</f>
        <v>0</v>
      </c>
      <c r="N229" s="3"/>
    </row>
    <row r="230" spans="1:14">
      <c r="A230" t="s">
        <v>2388</v>
      </c>
      <c r="B230" t="s">
        <v>1455</v>
      </c>
      <c r="C230">
        <v>107020</v>
      </c>
      <c r="D230">
        <v>107019</v>
      </c>
      <c r="H230" s="3">
        <f>IFERROR(VLOOKUP(Table43_1[[#This Row],[PCPL KODE 1]],#REF!,3,0),0)</f>
        <v>0</v>
      </c>
      <c r="I230" s="3">
        <f>IFERROR(VLOOKUP(Table43_1[[#This Row],[PCPL KODE 2]],#REF!,3,0),0)</f>
        <v>0</v>
      </c>
      <c r="J230" s="3">
        <f>IFERROR(VLOOKUP(Table43_1[[#This Row],[PCPL KODE 3]],#REF!,3,0),0)</f>
        <v>0</v>
      </c>
      <c r="K230" s="3">
        <f>IFERROR(VLOOKUP(Table43_1[[#This Row],[PCPL KODE 4]],#REF!,3,0),0)</f>
        <v>0</v>
      </c>
      <c r="L230" s="3">
        <f>IFERROR(VLOOKUP(Table43_1[[#This Row],[PCPL KODE 5]],#REF!,3,0),0)</f>
        <v>0</v>
      </c>
      <c r="M230" s="3">
        <f>Table43_1[[#This Row],[QTY 1]]+Table43_1[[#This Row],[QTY 2]]+Table43_1[[#This Row],[QTY 3]]+Table43_1[[#This Row],[QTY 4]]+Table43_1[[#This Row],[QTY 5]]</f>
        <v>0</v>
      </c>
      <c r="N230" s="3"/>
    </row>
    <row r="231" spans="1:14">
      <c r="A231" t="s">
        <v>2389</v>
      </c>
      <c r="B231" t="s">
        <v>1456</v>
      </c>
      <c r="C231">
        <v>107022</v>
      </c>
      <c r="H231" s="3">
        <f>IFERROR(VLOOKUP(Table43_1[[#This Row],[PCPL KODE 1]],#REF!,3,0),0)</f>
        <v>0</v>
      </c>
      <c r="I231" s="3">
        <f>IFERROR(VLOOKUP(Table43_1[[#This Row],[PCPL KODE 2]],#REF!,3,0),0)</f>
        <v>0</v>
      </c>
      <c r="J231" s="3">
        <f>IFERROR(VLOOKUP(Table43_1[[#This Row],[PCPL KODE 3]],#REF!,3,0),0)</f>
        <v>0</v>
      </c>
      <c r="K231" s="3">
        <f>IFERROR(VLOOKUP(Table43_1[[#This Row],[PCPL KODE 4]],#REF!,3,0),0)</f>
        <v>0</v>
      </c>
      <c r="L231" s="3">
        <f>IFERROR(VLOOKUP(Table43_1[[#This Row],[PCPL KODE 5]],#REF!,3,0),0)</f>
        <v>0</v>
      </c>
      <c r="M231" s="3">
        <f>Table43_1[[#This Row],[QTY 1]]+Table43_1[[#This Row],[QTY 2]]+Table43_1[[#This Row],[QTY 3]]+Table43_1[[#This Row],[QTY 4]]+Table43_1[[#This Row],[QTY 5]]</f>
        <v>0</v>
      </c>
      <c r="N231" s="3"/>
    </row>
    <row r="232" spans="1:14">
      <c r="A232" t="s">
        <v>2390</v>
      </c>
      <c r="B232" t="s">
        <v>1457</v>
      </c>
      <c r="C232">
        <v>107023</v>
      </c>
      <c r="H232" s="3">
        <f>IFERROR(VLOOKUP(Table43_1[[#This Row],[PCPL KODE 1]],#REF!,3,0),0)</f>
        <v>0</v>
      </c>
      <c r="I232" s="3">
        <f>IFERROR(VLOOKUP(Table43_1[[#This Row],[PCPL KODE 2]],#REF!,3,0),0)</f>
        <v>0</v>
      </c>
      <c r="J232" s="3">
        <f>IFERROR(VLOOKUP(Table43_1[[#This Row],[PCPL KODE 3]],#REF!,3,0),0)</f>
        <v>0</v>
      </c>
      <c r="K232" s="3">
        <f>IFERROR(VLOOKUP(Table43_1[[#This Row],[PCPL KODE 4]],#REF!,3,0),0)</f>
        <v>0</v>
      </c>
      <c r="L232" s="3">
        <f>IFERROR(VLOOKUP(Table43_1[[#This Row],[PCPL KODE 5]],#REF!,3,0),0)</f>
        <v>0</v>
      </c>
      <c r="M232" s="3">
        <f>Table43_1[[#This Row],[QTY 1]]+Table43_1[[#This Row],[QTY 2]]+Table43_1[[#This Row],[QTY 3]]+Table43_1[[#This Row],[QTY 4]]+Table43_1[[#This Row],[QTY 5]]</f>
        <v>0</v>
      </c>
      <c r="N232" s="3"/>
    </row>
    <row r="233" spans="1:14">
      <c r="A233" t="s">
        <v>2391</v>
      </c>
      <c r="B233" t="s">
        <v>1458</v>
      </c>
      <c r="C233">
        <v>107024</v>
      </c>
      <c r="H233" s="3">
        <f>IFERROR(VLOOKUP(Table43_1[[#This Row],[PCPL KODE 1]],#REF!,3,0),0)</f>
        <v>0</v>
      </c>
      <c r="I233" s="3">
        <f>IFERROR(VLOOKUP(Table43_1[[#This Row],[PCPL KODE 2]],#REF!,3,0),0)</f>
        <v>0</v>
      </c>
      <c r="J233" s="3">
        <f>IFERROR(VLOOKUP(Table43_1[[#This Row],[PCPL KODE 3]],#REF!,3,0),0)</f>
        <v>0</v>
      </c>
      <c r="K233" s="3">
        <f>IFERROR(VLOOKUP(Table43_1[[#This Row],[PCPL KODE 4]],#REF!,3,0),0)</f>
        <v>0</v>
      </c>
      <c r="L233" s="3">
        <f>IFERROR(VLOOKUP(Table43_1[[#This Row],[PCPL KODE 5]],#REF!,3,0),0)</f>
        <v>0</v>
      </c>
      <c r="M233" s="3">
        <f>Table43_1[[#This Row],[QTY 1]]+Table43_1[[#This Row],[QTY 2]]+Table43_1[[#This Row],[QTY 3]]+Table43_1[[#This Row],[QTY 4]]+Table43_1[[#This Row],[QTY 5]]</f>
        <v>0</v>
      </c>
      <c r="N233" s="3"/>
    </row>
    <row r="234" spans="1:14">
      <c r="A234" t="s">
        <v>2392</v>
      </c>
      <c r="B234" t="s">
        <v>1459</v>
      </c>
      <c r="C234" t="s">
        <v>2599</v>
      </c>
      <c r="H234" s="3">
        <f>IFERROR(VLOOKUP(Table43_1[[#This Row],[PCPL KODE 1]],#REF!,3,0),0)</f>
        <v>0</v>
      </c>
      <c r="I234" s="3">
        <f>IFERROR(VLOOKUP(Table43_1[[#This Row],[PCPL KODE 2]],#REF!,3,0),0)</f>
        <v>0</v>
      </c>
      <c r="J234" s="3">
        <f>IFERROR(VLOOKUP(Table43_1[[#This Row],[PCPL KODE 3]],#REF!,3,0),0)</f>
        <v>0</v>
      </c>
      <c r="K234" s="3">
        <f>IFERROR(VLOOKUP(Table43_1[[#This Row],[PCPL KODE 4]],#REF!,3,0),0)</f>
        <v>0</v>
      </c>
      <c r="L234" s="3">
        <f>IFERROR(VLOOKUP(Table43_1[[#This Row],[PCPL KODE 5]],#REF!,3,0),0)</f>
        <v>0</v>
      </c>
      <c r="M234" s="3">
        <f>Table43_1[[#This Row],[QTY 1]]+Table43_1[[#This Row],[QTY 2]]+Table43_1[[#This Row],[QTY 3]]+Table43_1[[#This Row],[QTY 4]]+Table43_1[[#This Row],[QTY 5]]</f>
        <v>0</v>
      </c>
      <c r="N234" s="3"/>
    </row>
    <row r="235" spans="1:14">
      <c r="A235" t="s">
        <v>1460</v>
      </c>
      <c r="B235" t="s">
        <v>1461</v>
      </c>
      <c r="C235" t="s">
        <v>2600</v>
      </c>
      <c r="H235" s="3">
        <f>IFERROR(VLOOKUP(Table43_1[[#This Row],[PCPL KODE 1]],#REF!,3,0),0)</f>
        <v>0</v>
      </c>
      <c r="I235" s="3">
        <f>IFERROR(VLOOKUP(Table43_1[[#This Row],[PCPL KODE 2]],#REF!,3,0),0)</f>
        <v>0</v>
      </c>
      <c r="J235" s="3">
        <f>IFERROR(VLOOKUP(Table43_1[[#This Row],[PCPL KODE 3]],#REF!,3,0),0)</f>
        <v>0</v>
      </c>
      <c r="K235" s="3">
        <f>IFERROR(VLOOKUP(Table43_1[[#This Row],[PCPL KODE 4]],#REF!,3,0),0)</f>
        <v>0</v>
      </c>
      <c r="L235" s="3">
        <f>IFERROR(VLOOKUP(Table43_1[[#This Row],[PCPL KODE 5]],#REF!,3,0),0)</f>
        <v>0</v>
      </c>
      <c r="M235" s="3">
        <f>Table43_1[[#This Row],[QTY 1]]+Table43_1[[#This Row],[QTY 2]]+Table43_1[[#This Row],[QTY 3]]+Table43_1[[#This Row],[QTY 4]]+Table43_1[[#This Row],[QTY 5]]</f>
        <v>0</v>
      </c>
      <c r="N235" s="3"/>
    </row>
    <row r="236" spans="1:14">
      <c r="A236" t="s">
        <v>1462</v>
      </c>
      <c r="B236" t="s">
        <v>2420</v>
      </c>
      <c r="C236">
        <v>107029</v>
      </c>
      <c r="D236">
        <v>107027</v>
      </c>
      <c r="H236" s="3">
        <f>IFERROR(VLOOKUP(Table43_1[[#This Row],[PCPL KODE 1]],#REF!,3,0),0)</f>
        <v>0</v>
      </c>
      <c r="I236" s="3">
        <f>IFERROR(VLOOKUP(Table43_1[[#This Row],[PCPL KODE 2]],#REF!,3,0),0)</f>
        <v>0</v>
      </c>
      <c r="J236" s="3">
        <f>IFERROR(VLOOKUP(Table43_1[[#This Row],[PCPL KODE 3]],#REF!,3,0),0)</f>
        <v>0</v>
      </c>
      <c r="K236" s="3">
        <f>IFERROR(VLOOKUP(Table43_1[[#This Row],[PCPL KODE 4]],#REF!,3,0),0)</f>
        <v>0</v>
      </c>
      <c r="L236" s="3">
        <f>IFERROR(VLOOKUP(Table43_1[[#This Row],[PCPL KODE 5]],#REF!,3,0),0)</f>
        <v>0</v>
      </c>
      <c r="M236" s="3">
        <f>Table43_1[[#This Row],[QTY 1]]+Table43_1[[#This Row],[QTY 2]]+Table43_1[[#This Row],[QTY 3]]+Table43_1[[#This Row],[QTY 4]]+Table43_1[[#This Row],[QTY 5]]</f>
        <v>0</v>
      </c>
      <c r="N236" s="3"/>
    </row>
    <row r="237" spans="1:14">
      <c r="A237" t="s">
        <v>2393</v>
      </c>
      <c r="B237" t="s">
        <v>1463</v>
      </c>
      <c r="C237">
        <v>107028</v>
      </c>
      <c r="H237" s="3">
        <f>IFERROR(VLOOKUP(Table43_1[[#This Row],[PCPL KODE 1]],#REF!,3,0),0)</f>
        <v>0</v>
      </c>
      <c r="I237" s="3">
        <f>IFERROR(VLOOKUP(Table43_1[[#This Row],[PCPL KODE 2]],#REF!,3,0),0)</f>
        <v>0</v>
      </c>
      <c r="J237" s="3">
        <f>IFERROR(VLOOKUP(Table43_1[[#This Row],[PCPL KODE 3]],#REF!,3,0),0)</f>
        <v>0</v>
      </c>
      <c r="K237" s="3">
        <f>IFERROR(VLOOKUP(Table43_1[[#This Row],[PCPL KODE 4]],#REF!,3,0),0)</f>
        <v>0</v>
      </c>
      <c r="L237" s="3">
        <f>IFERROR(VLOOKUP(Table43_1[[#This Row],[PCPL KODE 5]],#REF!,3,0),0)</f>
        <v>0</v>
      </c>
      <c r="M237" s="3">
        <f>Table43_1[[#This Row],[QTY 1]]+Table43_1[[#This Row],[QTY 2]]+Table43_1[[#This Row],[QTY 3]]+Table43_1[[#This Row],[QTY 4]]+Table43_1[[#This Row],[QTY 5]]</f>
        <v>0</v>
      </c>
      <c r="N237" s="3"/>
    </row>
    <row r="238" spans="1:14">
      <c r="A238" t="s">
        <v>2394</v>
      </c>
      <c r="B238" t="s">
        <v>1464</v>
      </c>
      <c r="C238" t="s">
        <v>2601</v>
      </c>
      <c r="H238" s="3">
        <f>IFERROR(VLOOKUP(Table43_1[[#This Row],[PCPL KODE 1]],#REF!,3,0),0)</f>
        <v>0</v>
      </c>
      <c r="I238" s="3">
        <f>IFERROR(VLOOKUP(Table43_1[[#This Row],[PCPL KODE 2]],#REF!,3,0),0)</f>
        <v>0</v>
      </c>
      <c r="J238" s="3">
        <f>IFERROR(VLOOKUP(Table43_1[[#This Row],[PCPL KODE 3]],#REF!,3,0),0)</f>
        <v>0</v>
      </c>
      <c r="K238" s="3">
        <f>IFERROR(VLOOKUP(Table43_1[[#This Row],[PCPL KODE 4]],#REF!,3,0),0)</f>
        <v>0</v>
      </c>
      <c r="L238" s="3">
        <f>IFERROR(VLOOKUP(Table43_1[[#This Row],[PCPL KODE 5]],#REF!,3,0),0)</f>
        <v>0</v>
      </c>
      <c r="M238" s="3">
        <f>Table43_1[[#This Row],[QTY 1]]+Table43_1[[#This Row],[QTY 2]]+Table43_1[[#This Row],[QTY 3]]+Table43_1[[#This Row],[QTY 4]]+Table43_1[[#This Row],[QTY 5]]</f>
        <v>0</v>
      </c>
      <c r="N238" s="3"/>
    </row>
    <row r="239" spans="1:14">
      <c r="A239" t="s">
        <v>2395</v>
      </c>
      <c r="B239" t="s">
        <v>1465</v>
      </c>
      <c r="C239">
        <v>107031</v>
      </c>
      <c r="H239" s="3">
        <f>IFERROR(VLOOKUP(Table43_1[[#This Row],[PCPL KODE 1]],#REF!,3,0),0)</f>
        <v>0</v>
      </c>
      <c r="I239" s="3">
        <f>IFERROR(VLOOKUP(Table43_1[[#This Row],[PCPL KODE 2]],#REF!,3,0),0)</f>
        <v>0</v>
      </c>
      <c r="J239" s="3">
        <f>IFERROR(VLOOKUP(Table43_1[[#This Row],[PCPL KODE 3]],#REF!,3,0),0)</f>
        <v>0</v>
      </c>
      <c r="K239" s="3">
        <f>IFERROR(VLOOKUP(Table43_1[[#This Row],[PCPL KODE 4]],#REF!,3,0),0)</f>
        <v>0</v>
      </c>
      <c r="L239" s="3">
        <f>IFERROR(VLOOKUP(Table43_1[[#This Row],[PCPL KODE 5]],#REF!,3,0),0)</f>
        <v>0</v>
      </c>
      <c r="M239" s="3">
        <f>Table43_1[[#This Row],[QTY 1]]+Table43_1[[#This Row],[QTY 2]]+Table43_1[[#This Row],[QTY 3]]+Table43_1[[#This Row],[QTY 4]]+Table43_1[[#This Row],[QTY 5]]</f>
        <v>0</v>
      </c>
      <c r="N239" s="3"/>
    </row>
    <row r="240" spans="1:14">
      <c r="A240" t="s">
        <v>2396</v>
      </c>
      <c r="B240" t="s">
        <v>1466</v>
      </c>
      <c r="C240">
        <v>107032</v>
      </c>
      <c r="H240" s="3">
        <f>IFERROR(VLOOKUP(Table43_1[[#This Row],[PCPL KODE 1]],#REF!,3,0),0)</f>
        <v>0</v>
      </c>
      <c r="I240" s="3">
        <f>IFERROR(VLOOKUP(Table43_1[[#This Row],[PCPL KODE 2]],#REF!,3,0),0)</f>
        <v>0</v>
      </c>
      <c r="J240" s="3">
        <f>IFERROR(VLOOKUP(Table43_1[[#This Row],[PCPL KODE 3]],#REF!,3,0),0)</f>
        <v>0</v>
      </c>
      <c r="K240" s="3">
        <f>IFERROR(VLOOKUP(Table43_1[[#This Row],[PCPL KODE 4]],#REF!,3,0),0)</f>
        <v>0</v>
      </c>
      <c r="L240" s="3">
        <f>IFERROR(VLOOKUP(Table43_1[[#This Row],[PCPL KODE 5]],#REF!,3,0),0)</f>
        <v>0</v>
      </c>
      <c r="M240" s="3">
        <f>Table43_1[[#This Row],[QTY 1]]+Table43_1[[#This Row],[QTY 2]]+Table43_1[[#This Row],[QTY 3]]+Table43_1[[#This Row],[QTY 4]]+Table43_1[[#This Row],[QTY 5]]</f>
        <v>0</v>
      </c>
      <c r="N240" s="3"/>
    </row>
    <row r="241" spans="1:14">
      <c r="A241" t="s">
        <v>2397</v>
      </c>
      <c r="B241" t="s">
        <v>1467</v>
      </c>
      <c r="C241" t="s">
        <v>2602</v>
      </c>
      <c r="H241" s="3">
        <f>IFERROR(VLOOKUP(Table43_1[[#This Row],[PCPL KODE 1]],#REF!,3,0),0)</f>
        <v>0</v>
      </c>
      <c r="I241" s="3">
        <f>IFERROR(VLOOKUP(Table43_1[[#This Row],[PCPL KODE 2]],#REF!,3,0),0)</f>
        <v>0</v>
      </c>
      <c r="J241" s="3">
        <f>IFERROR(VLOOKUP(Table43_1[[#This Row],[PCPL KODE 3]],#REF!,3,0),0)</f>
        <v>0</v>
      </c>
      <c r="K241" s="3">
        <f>IFERROR(VLOOKUP(Table43_1[[#This Row],[PCPL KODE 4]],#REF!,3,0),0)</f>
        <v>0</v>
      </c>
      <c r="L241" s="3">
        <f>IFERROR(VLOOKUP(Table43_1[[#This Row],[PCPL KODE 5]],#REF!,3,0),0)</f>
        <v>0</v>
      </c>
      <c r="M241" s="3">
        <f>Table43_1[[#This Row],[QTY 1]]+Table43_1[[#This Row],[QTY 2]]+Table43_1[[#This Row],[QTY 3]]+Table43_1[[#This Row],[QTY 4]]+Table43_1[[#This Row],[QTY 5]]</f>
        <v>0</v>
      </c>
      <c r="N241" s="3"/>
    </row>
    <row r="242" spans="1:14">
      <c r="A242" t="s">
        <v>1468</v>
      </c>
      <c r="B242" t="s">
        <v>1469</v>
      </c>
      <c r="C242" t="s">
        <v>2603</v>
      </c>
      <c r="H242" s="3">
        <f>IFERROR(VLOOKUP(Table43_1[[#This Row],[PCPL KODE 1]],#REF!,3,0),0)</f>
        <v>0</v>
      </c>
      <c r="I242" s="3">
        <f>IFERROR(VLOOKUP(Table43_1[[#This Row],[PCPL KODE 2]],#REF!,3,0),0)</f>
        <v>0</v>
      </c>
      <c r="J242" s="3">
        <f>IFERROR(VLOOKUP(Table43_1[[#This Row],[PCPL KODE 3]],#REF!,3,0),0)</f>
        <v>0</v>
      </c>
      <c r="K242" s="3">
        <f>IFERROR(VLOOKUP(Table43_1[[#This Row],[PCPL KODE 4]],#REF!,3,0),0)</f>
        <v>0</v>
      </c>
      <c r="L242" s="3">
        <f>IFERROR(VLOOKUP(Table43_1[[#This Row],[PCPL KODE 5]],#REF!,3,0),0)</f>
        <v>0</v>
      </c>
      <c r="M242" s="3">
        <f>Table43_1[[#This Row],[QTY 1]]+Table43_1[[#This Row],[QTY 2]]+Table43_1[[#This Row],[QTY 3]]+Table43_1[[#This Row],[QTY 4]]+Table43_1[[#This Row],[QTY 5]]</f>
        <v>0</v>
      </c>
      <c r="N242" s="3"/>
    </row>
    <row r="243" spans="1:14">
      <c r="A243" t="s">
        <v>2398</v>
      </c>
      <c r="B243" t="s">
        <v>1470</v>
      </c>
      <c r="C243" t="s">
        <v>2604</v>
      </c>
      <c r="H243" s="3">
        <f>IFERROR(VLOOKUP(Table43_1[[#This Row],[PCPL KODE 1]],#REF!,3,0),0)</f>
        <v>0</v>
      </c>
      <c r="I243" s="3">
        <f>IFERROR(VLOOKUP(Table43_1[[#This Row],[PCPL KODE 2]],#REF!,3,0),0)</f>
        <v>0</v>
      </c>
      <c r="J243" s="3">
        <f>IFERROR(VLOOKUP(Table43_1[[#This Row],[PCPL KODE 3]],#REF!,3,0),0)</f>
        <v>0</v>
      </c>
      <c r="K243" s="3">
        <f>IFERROR(VLOOKUP(Table43_1[[#This Row],[PCPL KODE 4]],#REF!,3,0),0)</f>
        <v>0</v>
      </c>
      <c r="L243" s="3">
        <f>IFERROR(VLOOKUP(Table43_1[[#This Row],[PCPL KODE 5]],#REF!,3,0),0)</f>
        <v>0</v>
      </c>
      <c r="M243" s="3">
        <f>Table43_1[[#This Row],[QTY 1]]+Table43_1[[#This Row],[QTY 2]]+Table43_1[[#This Row],[QTY 3]]+Table43_1[[#This Row],[QTY 4]]+Table43_1[[#This Row],[QTY 5]]</f>
        <v>0</v>
      </c>
      <c r="N243" s="3"/>
    </row>
    <row r="244" spans="1:14">
      <c r="A244" t="s">
        <v>2399</v>
      </c>
      <c r="B244" t="s">
        <v>1471</v>
      </c>
      <c r="C244" t="s">
        <v>2605</v>
      </c>
      <c r="H244" s="3">
        <f>IFERROR(VLOOKUP(Table43_1[[#This Row],[PCPL KODE 1]],#REF!,3,0),0)</f>
        <v>0</v>
      </c>
      <c r="I244" s="3">
        <f>IFERROR(VLOOKUP(Table43_1[[#This Row],[PCPL KODE 2]],#REF!,3,0),0)</f>
        <v>0</v>
      </c>
      <c r="J244" s="3">
        <f>IFERROR(VLOOKUP(Table43_1[[#This Row],[PCPL KODE 3]],#REF!,3,0),0)</f>
        <v>0</v>
      </c>
      <c r="K244" s="3">
        <f>IFERROR(VLOOKUP(Table43_1[[#This Row],[PCPL KODE 4]],#REF!,3,0),0)</f>
        <v>0</v>
      </c>
      <c r="L244" s="3">
        <f>IFERROR(VLOOKUP(Table43_1[[#This Row],[PCPL KODE 5]],#REF!,3,0),0)</f>
        <v>0</v>
      </c>
      <c r="M244" s="3">
        <f>Table43_1[[#This Row],[QTY 1]]+Table43_1[[#This Row],[QTY 2]]+Table43_1[[#This Row],[QTY 3]]+Table43_1[[#This Row],[QTY 4]]+Table43_1[[#This Row],[QTY 5]]</f>
        <v>0</v>
      </c>
      <c r="N244" s="3"/>
    </row>
    <row r="245" spans="1:14">
      <c r="A245" t="s">
        <v>2400</v>
      </c>
      <c r="B245" t="s">
        <v>1472</v>
      </c>
      <c r="C245" t="s">
        <v>2606</v>
      </c>
      <c r="H245" s="3">
        <f>IFERROR(VLOOKUP(Table43_1[[#This Row],[PCPL KODE 1]],#REF!,3,0),0)</f>
        <v>0</v>
      </c>
      <c r="I245" s="3">
        <f>IFERROR(VLOOKUP(Table43_1[[#This Row],[PCPL KODE 2]],#REF!,3,0),0)</f>
        <v>0</v>
      </c>
      <c r="J245" s="3">
        <f>IFERROR(VLOOKUP(Table43_1[[#This Row],[PCPL KODE 3]],#REF!,3,0),0)</f>
        <v>0</v>
      </c>
      <c r="K245" s="3">
        <f>IFERROR(VLOOKUP(Table43_1[[#This Row],[PCPL KODE 4]],#REF!,3,0),0)</f>
        <v>0</v>
      </c>
      <c r="L245" s="3">
        <f>IFERROR(VLOOKUP(Table43_1[[#This Row],[PCPL KODE 5]],#REF!,3,0),0)</f>
        <v>0</v>
      </c>
      <c r="M245" s="3">
        <f>Table43_1[[#This Row],[QTY 1]]+Table43_1[[#This Row],[QTY 2]]+Table43_1[[#This Row],[QTY 3]]+Table43_1[[#This Row],[QTY 4]]+Table43_1[[#This Row],[QTY 5]]</f>
        <v>0</v>
      </c>
      <c r="N245" s="3"/>
    </row>
    <row r="246" spans="1:14">
      <c r="A246" t="s">
        <v>2401</v>
      </c>
      <c r="B246" t="s">
        <v>1473</v>
      </c>
      <c r="C246">
        <v>107013</v>
      </c>
      <c r="H246" s="3">
        <f>IFERROR(VLOOKUP(Table43_1[[#This Row],[PCPL KODE 1]],#REF!,3,0),0)</f>
        <v>0</v>
      </c>
      <c r="I246" s="3">
        <f>IFERROR(VLOOKUP(Table43_1[[#This Row],[PCPL KODE 2]],#REF!,3,0),0)</f>
        <v>0</v>
      </c>
      <c r="J246" s="3">
        <f>IFERROR(VLOOKUP(Table43_1[[#This Row],[PCPL KODE 3]],#REF!,3,0),0)</f>
        <v>0</v>
      </c>
      <c r="K246" s="3">
        <f>IFERROR(VLOOKUP(Table43_1[[#This Row],[PCPL KODE 4]],#REF!,3,0),0)</f>
        <v>0</v>
      </c>
      <c r="L246" s="3">
        <f>IFERROR(VLOOKUP(Table43_1[[#This Row],[PCPL KODE 5]],#REF!,3,0),0)</f>
        <v>0</v>
      </c>
      <c r="M246" s="3">
        <f>Table43_1[[#This Row],[QTY 1]]+Table43_1[[#This Row],[QTY 2]]+Table43_1[[#This Row],[QTY 3]]+Table43_1[[#This Row],[QTY 4]]+Table43_1[[#This Row],[QTY 5]]</f>
        <v>0</v>
      </c>
      <c r="N246" s="3"/>
    </row>
    <row r="247" spans="1:14">
      <c r="A247" t="s">
        <v>2402</v>
      </c>
      <c r="B247" t="s">
        <v>1474</v>
      </c>
      <c r="C247">
        <v>107014</v>
      </c>
      <c r="H247" s="3">
        <f>IFERROR(VLOOKUP(Table43_1[[#This Row],[PCPL KODE 1]],#REF!,3,0),0)</f>
        <v>0</v>
      </c>
      <c r="I247" s="3">
        <f>IFERROR(VLOOKUP(Table43_1[[#This Row],[PCPL KODE 2]],#REF!,3,0),0)</f>
        <v>0</v>
      </c>
      <c r="J247" s="3">
        <f>IFERROR(VLOOKUP(Table43_1[[#This Row],[PCPL KODE 3]],#REF!,3,0),0)</f>
        <v>0</v>
      </c>
      <c r="K247" s="3">
        <f>IFERROR(VLOOKUP(Table43_1[[#This Row],[PCPL KODE 4]],#REF!,3,0),0)</f>
        <v>0</v>
      </c>
      <c r="L247" s="3">
        <f>IFERROR(VLOOKUP(Table43_1[[#This Row],[PCPL KODE 5]],#REF!,3,0),0)</f>
        <v>0</v>
      </c>
      <c r="M247" s="3">
        <f>Table43_1[[#This Row],[QTY 1]]+Table43_1[[#This Row],[QTY 2]]+Table43_1[[#This Row],[QTY 3]]+Table43_1[[#This Row],[QTY 4]]+Table43_1[[#This Row],[QTY 5]]</f>
        <v>0</v>
      </c>
      <c r="N247" s="3"/>
    </row>
    <row r="248" spans="1:14">
      <c r="A248" t="s">
        <v>2403</v>
      </c>
      <c r="B248" t="s">
        <v>1475</v>
      </c>
      <c r="C248">
        <v>107015</v>
      </c>
      <c r="H248" s="3">
        <f>IFERROR(VLOOKUP(Table43_1[[#This Row],[PCPL KODE 1]],#REF!,3,0),0)</f>
        <v>0</v>
      </c>
      <c r="I248" s="3">
        <f>IFERROR(VLOOKUP(Table43_1[[#This Row],[PCPL KODE 2]],#REF!,3,0),0)</f>
        <v>0</v>
      </c>
      <c r="J248" s="3">
        <f>IFERROR(VLOOKUP(Table43_1[[#This Row],[PCPL KODE 3]],#REF!,3,0),0)</f>
        <v>0</v>
      </c>
      <c r="K248" s="3">
        <f>IFERROR(VLOOKUP(Table43_1[[#This Row],[PCPL KODE 4]],#REF!,3,0),0)</f>
        <v>0</v>
      </c>
      <c r="L248" s="3">
        <f>IFERROR(VLOOKUP(Table43_1[[#This Row],[PCPL KODE 5]],#REF!,3,0),0)</f>
        <v>0</v>
      </c>
      <c r="M248" s="3">
        <f>Table43_1[[#This Row],[QTY 1]]+Table43_1[[#This Row],[QTY 2]]+Table43_1[[#This Row],[QTY 3]]+Table43_1[[#This Row],[QTY 4]]+Table43_1[[#This Row],[QTY 5]]</f>
        <v>0</v>
      </c>
      <c r="N248" s="3"/>
    </row>
    <row r="249" spans="1:14">
      <c r="A249" t="s">
        <v>1476</v>
      </c>
      <c r="B249" t="s">
        <v>1477</v>
      </c>
      <c r="C249" t="s">
        <v>2607</v>
      </c>
      <c r="H249" s="3">
        <f>IFERROR(VLOOKUP(Table43_1[[#This Row],[PCPL KODE 1]],#REF!,3,0),0)</f>
        <v>0</v>
      </c>
      <c r="I249" s="3">
        <f>IFERROR(VLOOKUP(Table43_1[[#This Row],[PCPL KODE 2]],#REF!,3,0),0)</f>
        <v>0</v>
      </c>
      <c r="J249" s="3">
        <f>IFERROR(VLOOKUP(Table43_1[[#This Row],[PCPL KODE 3]],#REF!,3,0),0)</f>
        <v>0</v>
      </c>
      <c r="K249" s="3">
        <f>IFERROR(VLOOKUP(Table43_1[[#This Row],[PCPL KODE 4]],#REF!,3,0),0)</f>
        <v>0</v>
      </c>
      <c r="L249" s="3">
        <f>IFERROR(VLOOKUP(Table43_1[[#This Row],[PCPL KODE 5]],#REF!,3,0),0)</f>
        <v>0</v>
      </c>
      <c r="M249" s="3">
        <f>Table43_1[[#This Row],[QTY 1]]+Table43_1[[#This Row],[QTY 2]]+Table43_1[[#This Row],[QTY 3]]+Table43_1[[#This Row],[QTY 4]]+Table43_1[[#This Row],[QTY 5]]</f>
        <v>0</v>
      </c>
      <c r="N249" s="3"/>
    </row>
    <row r="250" spans="1:14">
      <c r="A250" t="s">
        <v>1478</v>
      </c>
      <c r="B250" t="s">
        <v>3503</v>
      </c>
      <c r="C250">
        <v>107077</v>
      </c>
      <c r="H250" s="3">
        <f>IFERROR(VLOOKUP(Table43_1[[#This Row],[PCPL KODE 1]],#REF!,3,0),0)</f>
        <v>0</v>
      </c>
      <c r="I250" s="3">
        <f>IFERROR(VLOOKUP(Table43_1[[#This Row],[PCPL KODE 2]],#REF!,3,0),0)</f>
        <v>0</v>
      </c>
      <c r="J250" s="3">
        <f>IFERROR(VLOOKUP(Table43_1[[#This Row],[PCPL KODE 3]],#REF!,3,0),0)</f>
        <v>0</v>
      </c>
      <c r="K250" s="3">
        <f>IFERROR(VLOOKUP(Table43_1[[#This Row],[PCPL KODE 4]],#REF!,3,0),0)</f>
        <v>0</v>
      </c>
      <c r="L250" s="3">
        <f>IFERROR(VLOOKUP(Table43_1[[#This Row],[PCPL KODE 5]],#REF!,3,0),0)</f>
        <v>0</v>
      </c>
      <c r="M250" s="3">
        <f>Table43_1[[#This Row],[QTY 1]]+Table43_1[[#This Row],[QTY 2]]+Table43_1[[#This Row],[QTY 3]]+Table43_1[[#This Row],[QTY 4]]+Table43_1[[#This Row],[QTY 5]]</f>
        <v>0</v>
      </c>
      <c r="N250" s="3"/>
    </row>
    <row r="251" spans="1:14">
      <c r="A251" t="s">
        <v>1480</v>
      </c>
      <c r="B251" t="s">
        <v>1479</v>
      </c>
      <c r="C251" t="s">
        <v>2608</v>
      </c>
      <c r="H251" s="3">
        <f>IFERROR(VLOOKUP(Table43_1[[#This Row],[PCPL KODE 1]],#REF!,3,0),0)</f>
        <v>0</v>
      </c>
      <c r="I251" s="3">
        <f>IFERROR(VLOOKUP(Table43_1[[#This Row],[PCPL KODE 2]],#REF!,3,0),0)</f>
        <v>0</v>
      </c>
      <c r="J251" s="3">
        <f>IFERROR(VLOOKUP(Table43_1[[#This Row],[PCPL KODE 3]],#REF!,3,0),0)</f>
        <v>0</v>
      </c>
      <c r="K251" s="3">
        <f>IFERROR(VLOOKUP(Table43_1[[#This Row],[PCPL KODE 4]],#REF!,3,0),0)</f>
        <v>0</v>
      </c>
      <c r="L251" s="3">
        <f>IFERROR(VLOOKUP(Table43_1[[#This Row],[PCPL KODE 5]],#REF!,3,0),0)</f>
        <v>0</v>
      </c>
      <c r="M251" s="3">
        <f>Table43_1[[#This Row],[QTY 1]]+Table43_1[[#This Row],[QTY 2]]+Table43_1[[#This Row],[QTY 3]]+Table43_1[[#This Row],[QTY 4]]+Table43_1[[#This Row],[QTY 5]]</f>
        <v>0</v>
      </c>
      <c r="N251" s="3"/>
    </row>
    <row r="252" spans="1:14">
      <c r="A252" t="s">
        <v>1482</v>
      </c>
      <c r="B252" t="s">
        <v>2422</v>
      </c>
      <c r="C252">
        <v>107079</v>
      </c>
      <c r="H252" s="3">
        <f>IFERROR(VLOOKUP(Table43_1[[#This Row],[PCPL KODE 1]],#REF!,3,0),0)</f>
        <v>0</v>
      </c>
      <c r="I252" s="3">
        <f>IFERROR(VLOOKUP(Table43_1[[#This Row],[PCPL KODE 2]],#REF!,3,0),0)</f>
        <v>0</v>
      </c>
      <c r="J252" s="3">
        <f>IFERROR(VLOOKUP(Table43_1[[#This Row],[PCPL KODE 3]],#REF!,3,0),0)</f>
        <v>0</v>
      </c>
      <c r="K252" s="3">
        <f>IFERROR(VLOOKUP(Table43_1[[#This Row],[PCPL KODE 4]],#REF!,3,0),0)</f>
        <v>0</v>
      </c>
      <c r="L252" s="3">
        <f>IFERROR(VLOOKUP(Table43_1[[#This Row],[PCPL KODE 5]],#REF!,3,0),0)</f>
        <v>0</v>
      </c>
      <c r="M252" s="3">
        <f>Table43_1[[#This Row],[QTY 1]]+Table43_1[[#This Row],[QTY 2]]+Table43_1[[#This Row],[QTY 3]]+Table43_1[[#This Row],[QTY 4]]+Table43_1[[#This Row],[QTY 5]]</f>
        <v>0</v>
      </c>
      <c r="N252" s="3"/>
    </row>
    <row r="253" spans="1:14">
      <c r="A253" t="s">
        <v>1484</v>
      </c>
      <c r="B253" t="s">
        <v>1481</v>
      </c>
      <c r="C253" t="s">
        <v>2609</v>
      </c>
      <c r="H253" s="3">
        <f>IFERROR(VLOOKUP(Table43_1[[#This Row],[PCPL KODE 1]],#REF!,3,0),0)</f>
        <v>0</v>
      </c>
      <c r="I253" s="3">
        <f>IFERROR(VLOOKUP(Table43_1[[#This Row],[PCPL KODE 2]],#REF!,3,0),0)</f>
        <v>0</v>
      </c>
      <c r="J253" s="3">
        <f>IFERROR(VLOOKUP(Table43_1[[#This Row],[PCPL KODE 3]],#REF!,3,0),0)</f>
        <v>0</v>
      </c>
      <c r="K253" s="3">
        <f>IFERROR(VLOOKUP(Table43_1[[#This Row],[PCPL KODE 4]],#REF!,3,0),0)</f>
        <v>0</v>
      </c>
      <c r="L253" s="3">
        <f>IFERROR(VLOOKUP(Table43_1[[#This Row],[PCPL KODE 5]],#REF!,3,0),0)</f>
        <v>0</v>
      </c>
      <c r="M253" s="3">
        <f>Table43_1[[#This Row],[QTY 1]]+Table43_1[[#This Row],[QTY 2]]+Table43_1[[#This Row],[QTY 3]]+Table43_1[[#This Row],[QTY 4]]+Table43_1[[#This Row],[QTY 5]]</f>
        <v>0</v>
      </c>
      <c r="N253" s="3"/>
    </row>
    <row r="254" spans="1:14">
      <c r="A254" t="s">
        <v>1486</v>
      </c>
      <c r="B254" t="s">
        <v>3504</v>
      </c>
      <c r="C254">
        <v>107078</v>
      </c>
      <c r="H254" s="3">
        <f>IFERROR(VLOOKUP(Table43_1[[#This Row],[PCPL KODE 1]],#REF!,3,0),0)</f>
        <v>0</v>
      </c>
      <c r="I254" s="3">
        <f>IFERROR(VLOOKUP(Table43_1[[#This Row],[PCPL KODE 2]],#REF!,3,0),0)</f>
        <v>0</v>
      </c>
      <c r="J254" s="3">
        <f>IFERROR(VLOOKUP(Table43_1[[#This Row],[PCPL KODE 3]],#REF!,3,0),0)</f>
        <v>0</v>
      </c>
      <c r="K254" s="3">
        <f>IFERROR(VLOOKUP(Table43_1[[#This Row],[PCPL KODE 4]],#REF!,3,0),0)</f>
        <v>0</v>
      </c>
      <c r="L254" s="3">
        <f>IFERROR(VLOOKUP(Table43_1[[#This Row],[PCPL KODE 5]],#REF!,3,0),0)</f>
        <v>0</v>
      </c>
      <c r="M254" s="3">
        <f>Table43_1[[#This Row],[QTY 1]]+Table43_1[[#This Row],[QTY 2]]+Table43_1[[#This Row],[QTY 3]]+Table43_1[[#This Row],[QTY 4]]+Table43_1[[#This Row],[QTY 5]]</f>
        <v>0</v>
      </c>
      <c r="N254" s="3"/>
    </row>
    <row r="255" spans="1:14">
      <c r="A255" t="s">
        <v>1488</v>
      </c>
      <c r="B255" t="s">
        <v>1485</v>
      </c>
      <c r="C255">
        <v>107075</v>
      </c>
      <c r="H255" s="3">
        <f>IFERROR(VLOOKUP(Table43_1[[#This Row],[PCPL KODE 1]],#REF!,3,0),0)</f>
        <v>0</v>
      </c>
      <c r="I255" s="3">
        <f>IFERROR(VLOOKUP(Table43_1[[#This Row],[PCPL KODE 2]],#REF!,3,0),0)</f>
        <v>0</v>
      </c>
      <c r="J255" s="3">
        <f>IFERROR(VLOOKUP(Table43_1[[#This Row],[PCPL KODE 3]],#REF!,3,0),0)</f>
        <v>0</v>
      </c>
      <c r="K255" s="3">
        <f>IFERROR(VLOOKUP(Table43_1[[#This Row],[PCPL KODE 4]],#REF!,3,0),0)</f>
        <v>0</v>
      </c>
      <c r="L255" s="3">
        <f>IFERROR(VLOOKUP(Table43_1[[#This Row],[PCPL KODE 5]],#REF!,3,0),0)</f>
        <v>0</v>
      </c>
      <c r="M255" s="3">
        <f>Table43_1[[#This Row],[QTY 1]]+Table43_1[[#This Row],[QTY 2]]+Table43_1[[#This Row],[QTY 3]]+Table43_1[[#This Row],[QTY 4]]+Table43_1[[#This Row],[QTY 5]]</f>
        <v>0</v>
      </c>
      <c r="N255" s="3"/>
    </row>
    <row r="256" spans="1:14">
      <c r="A256" t="s">
        <v>2414</v>
      </c>
      <c r="B256" t="s">
        <v>1487</v>
      </c>
      <c r="C256">
        <v>107076</v>
      </c>
      <c r="H256" s="3">
        <f>IFERROR(VLOOKUP(Table43_1[[#This Row],[PCPL KODE 1]],#REF!,3,0),0)</f>
        <v>0</v>
      </c>
      <c r="I256" s="3">
        <f>IFERROR(VLOOKUP(Table43_1[[#This Row],[PCPL KODE 2]],#REF!,3,0),0)</f>
        <v>0</v>
      </c>
      <c r="J256" s="3">
        <f>IFERROR(VLOOKUP(Table43_1[[#This Row],[PCPL KODE 3]],#REF!,3,0),0)</f>
        <v>0</v>
      </c>
      <c r="K256" s="3">
        <f>IFERROR(VLOOKUP(Table43_1[[#This Row],[PCPL KODE 4]],#REF!,3,0),0)</f>
        <v>0</v>
      </c>
      <c r="L256" s="3">
        <f>IFERROR(VLOOKUP(Table43_1[[#This Row],[PCPL KODE 5]],#REF!,3,0),0)</f>
        <v>0</v>
      </c>
      <c r="M256" s="3">
        <f>Table43_1[[#This Row],[QTY 1]]+Table43_1[[#This Row],[QTY 2]]+Table43_1[[#This Row],[QTY 3]]+Table43_1[[#This Row],[QTY 4]]+Table43_1[[#This Row],[QTY 5]]</f>
        <v>0</v>
      </c>
      <c r="N256" s="3"/>
    </row>
    <row r="257" spans="1:14">
      <c r="A257" t="s">
        <v>2415</v>
      </c>
      <c r="B257" t="s">
        <v>1489</v>
      </c>
      <c r="C257" t="s">
        <v>2610</v>
      </c>
      <c r="H257" s="3">
        <f>IFERROR(VLOOKUP(Table43_1[[#This Row],[PCPL KODE 1]],#REF!,3,0),0)</f>
        <v>0</v>
      </c>
      <c r="I257" s="3">
        <f>IFERROR(VLOOKUP(Table43_1[[#This Row],[PCPL KODE 2]],#REF!,3,0),0)</f>
        <v>0</v>
      </c>
      <c r="J257" s="3">
        <f>IFERROR(VLOOKUP(Table43_1[[#This Row],[PCPL KODE 3]],#REF!,3,0),0)</f>
        <v>0</v>
      </c>
      <c r="K257" s="3">
        <f>IFERROR(VLOOKUP(Table43_1[[#This Row],[PCPL KODE 4]],#REF!,3,0),0)</f>
        <v>0</v>
      </c>
      <c r="L257" s="3">
        <f>IFERROR(VLOOKUP(Table43_1[[#This Row],[PCPL KODE 5]],#REF!,3,0),0)</f>
        <v>0</v>
      </c>
      <c r="M257" s="3">
        <f>Table43_1[[#This Row],[QTY 1]]+Table43_1[[#This Row],[QTY 2]]+Table43_1[[#This Row],[QTY 3]]+Table43_1[[#This Row],[QTY 4]]+Table43_1[[#This Row],[QTY 5]]</f>
        <v>0</v>
      </c>
      <c r="N257" s="3"/>
    </row>
    <row r="258" spans="1:14">
      <c r="A258" t="s">
        <v>1490</v>
      </c>
      <c r="B258" t="s">
        <v>1491</v>
      </c>
      <c r="C258">
        <v>107054</v>
      </c>
      <c r="H258" s="3">
        <f>IFERROR(VLOOKUP(Table43_1[[#This Row],[PCPL KODE 1]],#REF!,3,0),0)</f>
        <v>0</v>
      </c>
      <c r="I258" s="3">
        <f>IFERROR(VLOOKUP(Table43_1[[#This Row],[PCPL KODE 2]],#REF!,3,0),0)</f>
        <v>0</v>
      </c>
      <c r="J258" s="3">
        <f>IFERROR(VLOOKUP(Table43_1[[#This Row],[PCPL KODE 3]],#REF!,3,0),0)</f>
        <v>0</v>
      </c>
      <c r="K258" s="3">
        <f>IFERROR(VLOOKUP(Table43_1[[#This Row],[PCPL KODE 4]],#REF!,3,0),0)</f>
        <v>0</v>
      </c>
      <c r="L258" s="3">
        <f>IFERROR(VLOOKUP(Table43_1[[#This Row],[PCPL KODE 5]],#REF!,3,0),0)</f>
        <v>0</v>
      </c>
      <c r="M258" s="3">
        <f>Table43_1[[#This Row],[QTY 1]]+Table43_1[[#This Row],[QTY 2]]+Table43_1[[#This Row],[QTY 3]]+Table43_1[[#This Row],[QTY 4]]+Table43_1[[#This Row],[QTY 5]]</f>
        <v>0</v>
      </c>
      <c r="N258" s="3"/>
    </row>
    <row r="259" spans="1:14">
      <c r="A259" t="s">
        <v>1492</v>
      </c>
      <c r="B259" t="s">
        <v>1493</v>
      </c>
      <c r="C259">
        <v>107055</v>
      </c>
      <c r="H259" s="3">
        <f>IFERROR(VLOOKUP(Table43_1[[#This Row],[PCPL KODE 1]],#REF!,3,0),0)</f>
        <v>0</v>
      </c>
      <c r="I259" s="3">
        <f>IFERROR(VLOOKUP(Table43_1[[#This Row],[PCPL KODE 2]],#REF!,3,0),0)</f>
        <v>0</v>
      </c>
      <c r="J259" s="3">
        <f>IFERROR(VLOOKUP(Table43_1[[#This Row],[PCPL KODE 3]],#REF!,3,0),0)</f>
        <v>0</v>
      </c>
      <c r="K259" s="3">
        <f>IFERROR(VLOOKUP(Table43_1[[#This Row],[PCPL KODE 4]],#REF!,3,0),0)</f>
        <v>0</v>
      </c>
      <c r="L259" s="3">
        <f>IFERROR(VLOOKUP(Table43_1[[#This Row],[PCPL KODE 5]],#REF!,3,0),0)</f>
        <v>0</v>
      </c>
      <c r="M259" s="3">
        <f>Table43_1[[#This Row],[QTY 1]]+Table43_1[[#This Row],[QTY 2]]+Table43_1[[#This Row],[QTY 3]]+Table43_1[[#This Row],[QTY 4]]+Table43_1[[#This Row],[QTY 5]]</f>
        <v>0</v>
      </c>
      <c r="N259" s="3"/>
    </row>
    <row r="260" spans="1:14">
      <c r="A260" t="s">
        <v>1494</v>
      </c>
      <c r="B260" t="s">
        <v>1495</v>
      </c>
      <c r="C260">
        <v>107058</v>
      </c>
      <c r="H260" s="3">
        <f>IFERROR(VLOOKUP(Table43_1[[#This Row],[PCPL KODE 1]],#REF!,3,0),0)</f>
        <v>0</v>
      </c>
      <c r="I260" s="3">
        <f>IFERROR(VLOOKUP(Table43_1[[#This Row],[PCPL KODE 2]],#REF!,3,0),0)</f>
        <v>0</v>
      </c>
      <c r="J260" s="3">
        <f>IFERROR(VLOOKUP(Table43_1[[#This Row],[PCPL KODE 3]],#REF!,3,0),0)</f>
        <v>0</v>
      </c>
      <c r="K260" s="3">
        <f>IFERROR(VLOOKUP(Table43_1[[#This Row],[PCPL KODE 4]],#REF!,3,0),0)</f>
        <v>0</v>
      </c>
      <c r="L260" s="3">
        <f>IFERROR(VLOOKUP(Table43_1[[#This Row],[PCPL KODE 5]],#REF!,3,0),0)</f>
        <v>0</v>
      </c>
      <c r="M260" s="3">
        <f>Table43_1[[#This Row],[QTY 1]]+Table43_1[[#This Row],[QTY 2]]+Table43_1[[#This Row],[QTY 3]]+Table43_1[[#This Row],[QTY 4]]+Table43_1[[#This Row],[QTY 5]]</f>
        <v>0</v>
      </c>
      <c r="N260" s="3"/>
    </row>
    <row r="261" spans="1:14">
      <c r="A261" t="s">
        <v>1496</v>
      </c>
      <c r="B261" t="s">
        <v>1497</v>
      </c>
      <c r="C261">
        <v>107059</v>
      </c>
      <c r="H261" s="3">
        <f>IFERROR(VLOOKUP(Table43_1[[#This Row],[PCPL KODE 1]],#REF!,3,0),0)</f>
        <v>0</v>
      </c>
      <c r="I261" s="3">
        <f>IFERROR(VLOOKUP(Table43_1[[#This Row],[PCPL KODE 2]],#REF!,3,0),0)</f>
        <v>0</v>
      </c>
      <c r="J261" s="3">
        <f>IFERROR(VLOOKUP(Table43_1[[#This Row],[PCPL KODE 3]],#REF!,3,0),0)</f>
        <v>0</v>
      </c>
      <c r="K261" s="3">
        <f>IFERROR(VLOOKUP(Table43_1[[#This Row],[PCPL KODE 4]],#REF!,3,0),0)</f>
        <v>0</v>
      </c>
      <c r="L261" s="3">
        <f>IFERROR(VLOOKUP(Table43_1[[#This Row],[PCPL KODE 5]],#REF!,3,0),0)</f>
        <v>0</v>
      </c>
      <c r="M261" s="3">
        <f>Table43_1[[#This Row],[QTY 1]]+Table43_1[[#This Row],[QTY 2]]+Table43_1[[#This Row],[QTY 3]]+Table43_1[[#This Row],[QTY 4]]+Table43_1[[#This Row],[QTY 5]]</f>
        <v>0</v>
      </c>
      <c r="N261" s="3"/>
    </row>
    <row r="262" spans="1:14">
      <c r="A262" t="s">
        <v>1498</v>
      </c>
      <c r="B262" t="s">
        <v>1499</v>
      </c>
      <c r="C262">
        <v>107060</v>
      </c>
      <c r="H262" s="3">
        <f>IFERROR(VLOOKUP(Table43_1[[#This Row],[PCPL KODE 1]],#REF!,3,0),0)</f>
        <v>0</v>
      </c>
      <c r="I262" s="3">
        <f>IFERROR(VLOOKUP(Table43_1[[#This Row],[PCPL KODE 2]],#REF!,3,0),0)</f>
        <v>0</v>
      </c>
      <c r="J262" s="3">
        <f>IFERROR(VLOOKUP(Table43_1[[#This Row],[PCPL KODE 3]],#REF!,3,0),0)</f>
        <v>0</v>
      </c>
      <c r="K262" s="3">
        <f>IFERROR(VLOOKUP(Table43_1[[#This Row],[PCPL KODE 4]],#REF!,3,0),0)</f>
        <v>0</v>
      </c>
      <c r="L262" s="3">
        <f>IFERROR(VLOOKUP(Table43_1[[#This Row],[PCPL KODE 5]],#REF!,3,0),0)</f>
        <v>0</v>
      </c>
      <c r="M262" s="3">
        <f>Table43_1[[#This Row],[QTY 1]]+Table43_1[[#This Row],[QTY 2]]+Table43_1[[#This Row],[QTY 3]]+Table43_1[[#This Row],[QTY 4]]+Table43_1[[#This Row],[QTY 5]]</f>
        <v>0</v>
      </c>
      <c r="N262" s="3"/>
    </row>
    <row r="263" spans="1:14">
      <c r="A263" t="s">
        <v>1500</v>
      </c>
      <c r="B263" t="s">
        <v>1501</v>
      </c>
      <c r="C263">
        <v>107061</v>
      </c>
      <c r="H263" s="3">
        <f>IFERROR(VLOOKUP(Table43_1[[#This Row],[PCPL KODE 1]],#REF!,3,0),0)</f>
        <v>0</v>
      </c>
      <c r="I263" s="3">
        <f>IFERROR(VLOOKUP(Table43_1[[#This Row],[PCPL KODE 2]],#REF!,3,0),0)</f>
        <v>0</v>
      </c>
      <c r="J263" s="3">
        <f>IFERROR(VLOOKUP(Table43_1[[#This Row],[PCPL KODE 3]],#REF!,3,0),0)</f>
        <v>0</v>
      </c>
      <c r="K263" s="3">
        <f>IFERROR(VLOOKUP(Table43_1[[#This Row],[PCPL KODE 4]],#REF!,3,0),0)</f>
        <v>0</v>
      </c>
      <c r="L263" s="3">
        <f>IFERROR(VLOOKUP(Table43_1[[#This Row],[PCPL KODE 5]],#REF!,3,0),0)</f>
        <v>0</v>
      </c>
      <c r="M263" s="3">
        <f>Table43_1[[#This Row],[QTY 1]]+Table43_1[[#This Row],[QTY 2]]+Table43_1[[#This Row],[QTY 3]]+Table43_1[[#This Row],[QTY 4]]+Table43_1[[#This Row],[QTY 5]]</f>
        <v>0</v>
      </c>
      <c r="N263" s="3"/>
    </row>
    <row r="264" spans="1:14">
      <c r="A264" t="s">
        <v>1502</v>
      </c>
      <c r="B264" t="s">
        <v>1503</v>
      </c>
      <c r="C264">
        <v>107062</v>
      </c>
      <c r="H264" s="3">
        <f>IFERROR(VLOOKUP(Table43_1[[#This Row],[PCPL KODE 1]],#REF!,3,0),0)</f>
        <v>0</v>
      </c>
      <c r="I264" s="3">
        <f>IFERROR(VLOOKUP(Table43_1[[#This Row],[PCPL KODE 2]],#REF!,3,0),0)</f>
        <v>0</v>
      </c>
      <c r="J264" s="3">
        <f>IFERROR(VLOOKUP(Table43_1[[#This Row],[PCPL KODE 3]],#REF!,3,0),0)</f>
        <v>0</v>
      </c>
      <c r="K264" s="3">
        <f>IFERROR(VLOOKUP(Table43_1[[#This Row],[PCPL KODE 4]],#REF!,3,0),0)</f>
        <v>0</v>
      </c>
      <c r="L264" s="3">
        <f>IFERROR(VLOOKUP(Table43_1[[#This Row],[PCPL KODE 5]],#REF!,3,0),0)</f>
        <v>0</v>
      </c>
      <c r="M264" s="3">
        <f>Table43_1[[#This Row],[QTY 1]]+Table43_1[[#This Row],[QTY 2]]+Table43_1[[#This Row],[QTY 3]]+Table43_1[[#This Row],[QTY 4]]+Table43_1[[#This Row],[QTY 5]]</f>
        <v>0</v>
      </c>
      <c r="N264" s="3"/>
    </row>
    <row r="265" spans="1:14">
      <c r="A265" t="s">
        <v>1504</v>
      </c>
      <c r="B265" t="s">
        <v>1505</v>
      </c>
      <c r="C265">
        <v>107063</v>
      </c>
      <c r="H265" s="3">
        <f>IFERROR(VLOOKUP(Table43_1[[#This Row],[PCPL KODE 1]],#REF!,3,0),0)</f>
        <v>0</v>
      </c>
      <c r="I265" s="3">
        <f>IFERROR(VLOOKUP(Table43_1[[#This Row],[PCPL KODE 2]],#REF!,3,0),0)</f>
        <v>0</v>
      </c>
      <c r="J265" s="3">
        <f>IFERROR(VLOOKUP(Table43_1[[#This Row],[PCPL KODE 3]],#REF!,3,0),0)</f>
        <v>0</v>
      </c>
      <c r="K265" s="3">
        <f>IFERROR(VLOOKUP(Table43_1[[#This Row],[PCPL KODE 4]],#REF!,3,0),0)</f>
        <v>0</v>
      </c>
      <c r="L265" s="3">
        <f>IFERROR(VLOOKUP(Table43_1[[#This Row],[PCPL KODE 5]],#REF!,3,0),0)</f>
        <v>0</v>
      </c>
      <c r="M265" s="3">
        <f>Table43_1[[#This Row],[QTY 1]]+Table43_1[[#This Row],[QTY 2]]+Table43_1[[#This Row],[QTY 3]]+Table43_1[[#This Row],[QTY 4]]+Table43_1[[#This Row],[QTY 5]]</f>
        <v>0</v>
      </c>
      <c r="N265" s="3"/>
    </row>
    <row r="266" spans="1:14">
      <c r="A266" t="s">
        <v>1506</v>
      </c>
      <c r="B266" t="s">
        <v>1507</v>
      </c>
      <c r="C266">
        <v>107056</v>
      </c>
      <c r="H266" s="3">
        <f>IFERROR(VLOOKUP(Table43_1[[#This Row],[PCPL KODE 1]],#REF!,3,0),0)</f>
        <v>0</v>
      </c>
      <c r="I266" s="3">
        <f>IFERROR(VLOOKUP(Table43_1[[#This Row],[PCPL KODE 2]],#REF!,3,0),0)</f>
        <v>0</v>
      </c>
      <c r="J266" s="3">
        <f>IFERROR(VLOOKUP(Table43_1[[#This Row],[PCPL KODE 3]],#REF!,3,0),0)</f>
        <v>0</v>
      </c>
      <c r="K266" s="3">
        <f>IFERROR(VLOOKUP(Table43_1[[#This Row],[PCPL KODE 4]],#REF!,3,0),0)</f>
        <v>0</v>
      </c>
      <c r="L266" s="3">
        <f>IFERROR(VLOOKUP(Table43_1[[#This Row],[PCPL KODE 5]],#REF!,3,0),0)</f>
        <v>0</v>
      </c>
      <c r="M266" s="3">
        <f>Table43_1[[#This Row],[QTY 1]]+Table43_1[[#This Row],[QTY 2]]+Table43_1[[#This Row],[QTY 3]]+Table43_1[[#This Row],[QTY 4]]+Table43_1[[#This Row],[QTY 5]]</f>
        <v>0</v>
      </c>
      <c r="N266" s="3"/>
    </row>
    <row r="267" spans="1:14">
      <c r="A267" t="s">
        <v>1508</v>
      </c>
      <c r="B267" t="s">
        <v>1509</v>
      </c>
      <c r="C267">
        <v>107057</v>
      </c>
      <c r="H267" s="3">
        <f>IFERROR(VLOOKUP(Table43_1[[#This Row],[PCPL KODE 1]],#REF!,3,0),0)</f>
        <v>0</v>
      </c>
      <c r="I267" s="3">
        <f>IFERROR(VLOOKUP(Table43_1[[#This Row],[PCPL KODE 2]],#REF!,3,0),0)</f>
        <v>0</v>
      </c>
      <c r="J267" s="3">
        <f>IFERROR(VLOOKUP(Table43_1[[#This Row],[PCPL KODE 3]],#REF!,3,0),0)</f>
        <v>0</v>
      </c>
      <c r="K267" s="3">
        <f>IFERROR(VLOOKUP(Table43_1[[#This Row],[PCPL KODE 4]],#REF!,3,0),0)</f>
        <v>0</v>
      </c>
      <c r="L267" s="3">
        <f>IFERROR(VLOOKUP(Table43_1[[#This Row],[PCPL KODE 5]],#REF!,3,0),0)</f>
        <v>0</v>
      </c>
      <c r="M267" s="3">
        <f>Table43_1[[#This Row],[QTY 1]]+Table43_1[[#This Row],[QTY 2]]+Table43_1[[#This Row],[QTY 3]]+Table43_1[[#This Row],[QTY 4]]+Table43_1[[#This Row],[QTY 5]]</f>
        <v>0</v>
      </c>
      <c r="N267" s="3"/>
    </row>
    <row r="268" spans="1:14">
      <c r="A268" t="s">
        <v>1510</v>
      </c>
      <c r="B268" t="s">
        <v>1511</v>
      </c>
      <c r="C268">
        <v>107064</v>
      </c>
      <c r="H268" s="3">
        <f>IFERROR(VLOOKUP(Table43_1[[#This Row],[PCPL KODE 1]],#REF!,3,0),0)</f>
        <v>0</v>
      </c>
      <c r="I268" s="3">
        <f>IFERROR(VLOOKUP(Table43_1[[#This Row],[PCPL KODE 2]],#REF!,3,0),0)</f>
        <v>0</v>
      </c>
      <c r="J268" s="3">
        <f>IFERROR(VLOOKUP(Table43_1[[#This Row],[PCPL KODE 3]],#REF!,3,0),0)</f>
        <v>0</v>
      </c>
      <c r="K268" s="3">
        <f>IFERROR(VLOOKUP(Table43_1[[#This Row],[PCPL KODE 4]],#REF!,3,0),0)</f>
        <v>0</v>
      </c>
      <c r="L268" s="3">
        <f>IFERROR(VLOOKUP(Table43_1[[#This Row],[PCPL KODE 5]],#REF!,3,0),0)</f>
        <v>0</v>
      </c>
      <c r="M268" s="3">
        <f>Table43_1[[#This Row],[QTY 1]]+Table43_1[[#This Row],[QTY 2]]+Table43_1[[#This Row],[QTY 3]]+Table43_1[[#This Row],[QTY 4]]+Table43_1[[#This Row],[QTY 5]]</f>
        <v>0</v>
      </c>
      <c r="N268" s="3"/>
    </row>
    <row r="269" spans="1:14">
      <c r="A269" t="s">
        <v>1512</v>
      </c>
      <c r="B269" t="s">
        <v>1513</v>
      </c>
      <c r="C269">
        <v>107065</v>
      </c>
      <c r="H269" s="3">
        <f>IFERROR(VLOOKUP(Table43_1[[#This Row],[PCPL KODE 1]],#REF!,3,0),0)</f>
        <v>0</v>
      </c>
      <c r="I269" s="3">
        <f>IFERROR(VLOOKUP(Table43_1[[#This Row],[PCPL KODE 2]],#REF!,3,0),0)</f>
        <v>0</v>
      </c>
      <c r="J269" s="3">
        <f>IFERROR(VLOOKUP(Table43_1[[#This Row],[PCPL KODE 3]],#REF!,3,0),0)</f>
        <v>0</v>
      </c>
      <c r="K269" s="3">
        <f>IFERROR(VLOOKUP(Table43_1[[#This Row],[PCPL KODE 4]],#REF!,3,0),0)</f>
        <v>0</v>
      </c>
      <c r="L269" s="3">
        <f>IFERROR(VLOOKUP(Table43_1[[#This Row],[PCPL KODE 5]],#REF!,3,0),0)</f>
        <v>0</v>
      </c>
      <c r="M269" s="3">
        <f>Table43_1[[#This Row],[QTY 1]]+Table43_1[[#This Row],[QTY 2]]+Table43_1[[#This Row],[QTY 3]]+Table43_1[[#This Row],[QTY 4]]+Table43_1[[#This Row],[QTY 5]]</f>
        <v>0</v>
      </c>
      <c r="N269" s="3"/>
    </row>
    <row r="270" spans="1:14">
      <c r="A270" t="s">
        <v>1514</v>
      </c>
      <c r="B270" t="s">
        <v>1515</v>
      </c>
      <c r="C270">
        <v>107066</v>
      </c>
      <c r="H270" s="3">
        <f>IFERROR(VLOOKUP(Table43_1[[#This Row],[PCPL KODE 1]],#REF!,3,0),0)</f>
        <v>0</v>
      </c>
      <c r="I270" s="3">
        <f>IFERROR(VLOOKUP(Table43_1[[#This Row],[PCPL KODE 2]],#REF!,3,0),0)</f>
        <v>0</v>
      </c>
      <c r="J270" s="3">
        <f>IFERROR(VLOOKUP(Table43_1[[#This Row],[PCPL KODE 3]],#REF!,3,0),0)</f>
        <v>0</v>
      </c>
      <c r="K270" s="3">
        <f>IFERROR(VLOOKUP(Table43_1[[#This Row],[PCPL KODE 4]],#REF!,3,0),0)</f>
        <v>0</v>
      </c>
      <c r="L270" s="3">
        <f>IFERROR(VLOOKUP(Table43_1[[#This Row],[PCPL KODE 5]],#REF!,3,0),0)</f>
        <v>0</v>
      </c>
      <c r="M270" s="3">
        <f>Table43_1[[#This Row],[QTY 1]]+Table43_1[[#This Row],[QTY 2]]+Table43_1[[#This Row],[QTY 3]]+Table43_1[[#This Row],[QTY 4]]+Table43_1[[#This Row],[QTY 5]]</f>
        <v>0</v>
      </c>
      <c r="N270" s="3"/>
    </row>
    <row r="271" spans="1:14">
      <c r="A271" t="s">
        <v>1516</v>
      </c>
      <c r="B271" t="s">
        <v>1517</v>
      </c>
      <c r="C271">
        <v>107067</v>
      </c>
      <c r="H271" s="3">
        <f>IFERROR(VLOOKUP(Table43_1[[#This Row],[PCPL KODE 1]],#REF!,3,0),0)</f>
        <v>0</v>
      </c>
      <c r="I271" s="3">
        <f>IFERROR(VLOOKUP(Table43_1[[#This Row],[PCPL KODE 2]],#REF!,3,0),0)</f>
        <v>0</v>
      </c>
      <c r="J271" s="3">
        <f>IFERROR(VLOOKUP(Table43_1[[#This Row],[PCPL KODE 3]],#REF!,3,0),0)</f>
        <v>0</v>
      </c>
      <c r="K271" s="3">
        <f>IFERROR(VLOOKUP(Table43_1[[#This Row],[PCPL KODE 4]],#REF!,3,0),0)</f>
        <v>0</v>
      </c>
      <c r="L271" s="3">
        <f>IFERROR(VLOOKUP(Table43_1[[#This Row],[PCPL KODE 5]],#REF!,3,0),0)</f>
        <v>0</v>
      </c>
      <c r="M271" s="3">
        <f>Table43_1[[#This Row],[QTY 1]]+Table43_1[[#This Row],[QTY 2]]+Table43_1[[#This Row],[QTY 3]]+Table43_1[[#This Row],[QTY 4]]+Table43_1[[#This Row],[QTY 5]]</f>
        <v>0</v>
      </c>
      <c r="N271" s="3"/>
    </row>
    <row r="272" spans="1:14">
      <c r="A272" t="s">
        <v>1518</v>
      </c>
      <c r="B272" t="s">
        <v>1519</v>
      </c>
      <c r="C272">
        <v>107039</v>
      </c>
      <c r="H272" s="3">
        <f>IFERROR(VLOOKUP(Table43_1[[#This Row],[PCPL KODE 1]],#REF!,3,0),0)</f>
        <v>0</v>
      </c>
      <c r="I272" s="3">
        <f>IFERROR(VLOOKUP(Table43_1[[#This Row],[PCPL KODE 2]],#REF!,3,0),0)</f>
        <v>0</v>
      </c>
      <c r="J272" s="3">
        <f>IFERROR(VLOOKUP(Table43_1[[#This Row],[PCPL KODE 3]],#REF!,3,0),0)</f>
        <v>0</v>
      </c>
      <c r="K272" s="3">
        <f>IFERROR(VLOOKUP(Table43_1[[#This Row],[PCPL KODE 4]],#REF!,3,0),0)</f>
        <v>0</v>
      </c>
      <c r="L272" s="3">
        <f>IFERROR(VLOOKUP(Table43_1[[#This Row],[PCPL KODE 5]],#REF!,3,0),0)</f>
        <v>0</v>
      </c>
      <c r="M272" s="3">
        <f>Table43_1[[#This Row],[QTY 1]]+Table43_1[[#This Row],[QTY 2]]+Table43_1[[#This Row],[QTY 3]]+Table43_1[[#This Row],[QTY 4]]+Table43_1[[#This Row],[QTY 5]]</f>
        <v>0</v>
      </c>
      <c r="N272" s="3"/>
    </row>
    <row r="273" spans="1:14">
      <c r="A273" t="s">
        <v>1520</v>
      </c>
      <c r="B273" t="s">
        <v>1521</v>
      </c>
      <c r="C273">
        <v>107041</v>
      </c>
      <c r="H273" s="3">
        <f>IFERROR(VLOOKUP(Table43_1[[#This Row],[PCPL KODE 1]],#REF!,3,0),0)</f>
        <v>0</v>
      </c>
      <c r="I273" s="3">
        <f>IFERROR(VLOOKUP(Table43_1[[#This Row],[PCPL KODE 2]],#REF!,3,0),0)</f>
        <v>0</v>
      </c>
      <c r="J273" s="3">
        <f>IFERROR(VLOOKUP(Table43_1[[#This Row],[PCPL KODE 3]],#REF!,3,0),0)</f>
        <v>0</v>
      </c>
      <c r="K273" s="3">
        <f>IFERROR(VLOOKUP(Table43_1[[#This Row],[PCPL KODE 4]],#REF!,3,0),0)</f>
        <v>0</v>
      </c>
      <c r="L273" s="3">
        <f>IFERROR(VLOOKUP(Table43_1[[#This Row],[PCPL KODE 5]],#REF!,3,0),0)</f>
        <v>0</v>
      </c>
      <c r="M273" s="3">
        <f>Table43_1[[#This Row],[QTY 1]]+Table43_1[[#This Row],[QTY 2]]+Table43_1[[#This Row],[QTY 3]]+Table43_1[[#This Row],[QTY 4]]+Table43_1[[#This Row],[QTY 5]]</f>
        <v>0</v>
      </c>
      <c r="N273" s="3"/>
    </row>
    <row r="274" spans="1:14">
      <c r="A274" t="s">
        <v>1522</v>
      </c>
      <c r="B274" t="s">
        <v>1523</v>
      </c>
      <c r="C274">
        <v>107052</v>
      </c>
      <c r="H274" s="3">
        <f>IFERROR(VLOOKUP(Table43_1[[#This Row],[PCPL KODE 1]],#REF!,3,0),0)</f>
        <v>0</v>
      </c>
      <c r="I274" s="3">
        <f>IFERROR(VLOOKUP(Table43_1[[#This Row],[PCPL KODE 2]],#REF!,3,0),0)</f>
        <v>0</v>
      </c>
      <c r="J274" s="3">
        <f>IFERROR(VLOOKUP(Table43_1[[#This Row],[PCPL KODE 3]],#REF!,3,0),0)</f>
        <v>0</v>
      </c>
      <c r="K274" s="3">
        <f>IFERROR(VLOOKUP(Table43_1[[#This Row],[PCPL KODE 4]],#REF!,3,0),0)</f>
        <v>0</v>
      </c>
      <c r="L274" s="3">
        <f>IFERROR(VLOOKUP(Table43_1[[#This Row],[PCPL KODE 5]],#REF!,3,0),0)</f>
        <v>0</v>
      </c>
      <c r="M274" s="3">
        <f>Table43_1[[#This Row],[QTY 1]]+Table43_1[[#This Row],[QTY 2]]+Table43_1[[#This Row],[QTY 3]]+Table43_1[[#This Row],[QTY 4]]+Table43_1[[#This Row],[QTY 5]]</f>
        <v>0</v>
      </c>
      <c r="N274" s="3"/>
    </row>
    <row r="275" spans="1:14">
      <c r="A275" t="s">
        <v>1524</v>
      </c>
      <c r="B275" t="s">
        <v>1525</v>
      </c>
      <c r="C275">
        <v>107042</v>
      </c>
      <c r="H275" s="3">
        <f>IFERROR(VLOOKUP(Table43_1[[#This Row],[PCPL KODE 1]],#REF!,3,0),0)</f>
        <v>0</v>
      </c>
      <c r="I275" s="3">
        <f>IFERROR(VLOOKUP(Table43_1[[#This Row],[PCPL KODE 2]],#REF!,3,0),0)</f>
        <v>0</v>
      </c>
      <c r="J275" s="3">
        <f>IFERROR(VLOOKUP(Table43_1[[#This Row],[PCPL KODE 3]],#REF!,3,0),0)</f>
        <v>0</v>
      </c>
      <c r="K275" s="3">
        <f>IFERROR(VLOOKUP(Table43_1[[#This Row],[PCPL KODE 4]],#REF!,3,0),0)</f>
        <v>0</v>
      </c>
      <c r="L275" s="3">
        <f>IFERROR(VLOOKUP(Table43_1[[#This Row],[PCPL KODE 5]],#REF!,3,0),0)</f>
        <v>0</v>
      </c>
      <c r="M275" s="3">
        <f>Table43_1[[#This Row],[QTY 1]]+Table43_1[[#This Row],[QTY 2]]+Table43_1[[#This Row],[QTY 3]]+Table43_1[[#This Row],[QTY 4]]+Table43_1[[#This Row],[QTY 5]]</f>
        <v>0</v>
      </c>
      <c r="N275" s="3"/>
    </row>
    <row r="276" spans="1:14">
      <c r="A276" t="s">
        <v>1526</v>
      </c>
      <c r="B276" t="s">
        <v>1527</v>
      </c>
      <c r="C276">
        <v>107046</v>
      </c>
      <c r="H276" s="3">
        <f>IFERROR(VLOOKUP(Table43_1[[#This Row],[PCPL KODE 1]],#REF!,3,0),0)</f>
        <v>0</v>
      </c>
      <c r="I276" s="3">
        <f>IFERROR(VLOOKUP(Table43_1[[#This Row],[PCPL KODE 2]],#REF!,3,0),0)</f>
        <v>0</v>
      </c>
      <c r="J276" s="3">
        <f>IFERROR(VLOOKUP(Table43_1[[#This Row],[PCPL KODE 3]],#REF!,3,0),0)</f>
        <v>0</v>
      </c>
      <c r="K276" s="3">
        <f>IFERROR(VLOOKUP(Table43_1[[#This Row],[PCPL KODE 4]],#REF!,3,0),0)</f>
        <v>0</v>
      </c>
      <c r="L276" s="3">
        <f>IFERROR(VLOOKUP(Table43_1[[#This Row],[PCPL KODE 5]],#REF!,3,0),0)</f>
        <v>0</v>
      </c>
      <c r="M276" s="3">
        <f>Table43_1[[#This Row],[QTY 1]]+Table43_1[[#This Row],[QTY 2]]+Table43_1[[#This Row],[QTY 3]]+Table43_1[[#This Row],[QTY 4]]+Table43_1[[#This Row],[QTY 5]]</f>
        <v>0</v>
      </c>
      <c r="N276" s="3"/>
    </row>
    <row r="277" spans="1:14">
      <c r="A277" t="s">
        <v>1528</v>
      </c>
      <c r="B277" t="s">
        <v>1529</v>
      </c>
      <c r="C277">
        <v>107047</v>
      </c>
      <c r="H277" s="3">
        <f>IFERROR(VLOOKUP(Table43_1[[#This Row],[PCPL KODE 1]],#REF!,3,0),0)</f>
        <v>0</v>
      </c>
      <c r="I277" s="3">
        <f>IFERROR(VLOOKUP(Table43_1[[#This Row],[PCPL KODE 2]],#REF!,3,0),0)</f>
        <v>0</v>
      </c>
      <c r="J277" s="3">
        <f>IFERROR(VLOOKUP(Table43_1[[#This Row],[PCPL KODE 3]],#REF!,3,0),0)</f>
        <v>0</v>
      </c>
      <c r="K277" s="3">
        <f>IFERROR(VLOOKUP(Table43_1[[#This Row],[PCPL KODE 4]],#REF!,3,0),0)</f>
        <v>0</v>
      </c>
      <c r="L277" s="3">
        <f>IFERROR(VLOOKUP(Table43_1[[#This Row],[PCPL KODE 5]],#REF!,3,0),0)</f>
        <v>0</v>
      </c>
      <c r="M277" s="3">
        <f>Table43_1[[#This Row],[QTY 1]]+Table43_1[[#This Row],[QTY 2]]+Table43_1[[#This Row],[QTY 3]]+Table43_1[[#This Row],[QTY 4]]+Table43_1[[#This Row],[QTY 5]]</f>
        <v>0</v>
      </c>
      <c r="N277" s="3"/>
    </row>
    <row r="278" spans="1:14">
      <c r="A278" t="s">
        <v>1530</v>
      </c>
      <c r="B278" t="s">
        <v>1531</v>
      </c>
      <c r="C278">
        <v>107040</v>
      </c>
      <c r="H278" s="3">
        <f>IFERROR(VLOOKUP(Table43_1[[#This Row],[PCPL KODE 1]],#REF!,3,0),0)</f>
        <v>0</v>
      </c>
      <c r="I278" s="3">
        <f>IFERROR(VLOOKUP(Table43_1[[#This Row],[PCPL KODE 2]],#REF!,3,0),0)</f>
        <v>0</v>
      </c>
      <c r="J278" s="3">
        <f>IFERROR(VLOOKUP(Table43_1[[#This Row],[PCPL KODE 3]],#REF!,3,0),0)</f>
        <v>0</v>
      </c>
      <c r="K278" s="3">
        <f>IFERROR(VLOOKUP(Table43_1[[#This Row],[PCPL KODE 4]],#REF!,3,0),0)</f>
        <v>0</v>
      </c>
      <c r="L278" s="3">
        <f>IFERROR(VLOOKUP(Table43_1[[#This Row],[PCPL KODE 5]],#REF!,3,0),0)</f>
        <v>0</v>
      </c>
      <c r="M278" s="3">
        <f>Table43_1[[#This Row],[QTY 1]]+Table43_1[[#This Row],[QTY 2]]+Table43_1[[#This Row],[QTY 3]]+Table43_1[[#This Row],[QTY 4]]+Table43_1[[#This Row],[QTY 5]]</f>
        <v>0</v>
      </c>
      <c r="N278" s="3"/>
    </row>
    <row r="279" spans="1:14">
      <c r="A279" t="s">
        <v>1532</v>
      </c>
      <c r="B279" t="s">
        <v>1533</v>
      </c>
      <c r="C279">
        <v>107048</v>
      </c>
      <c r="H279" s="3">
        <f>IFERROR(VLOOKUP(Table43_1[[#This Row],[PCPL KODE 1]],#REF!,3,0),0)</f>
        <v>0</v>
      </c>
      <c r="I279" s="3">
        <f>IFERROR(VLOOKUP(Table43_1[[#This Row],[PCPL KODE 2]],#REF!,3,0),0)</f>
        <v>0</v>
      </c>
      <c r="J279" s="3">
        <f>IFERROR(VLOOKUP(Table43_1[[#This Row],[PCPL KODE 3]],#REF!,3,0),0)</f>
        <v>0</v>
      </c>
      <c r="K279" s="3">
        <f>IFERROR(VLOOKUP(Table43_1[[#This Row],[PCPL KODE 4]],#REF!,3,0),0)</f>
        <v>0</v>
      </c>
      <c r="L279" s="3">
        <f>IFERROR(VLOOKUP(Table43_1[[#This Row],[PCPL KODE 5]],#REF!,3,0),0)</f>
        <v>0</v>
      </c>
      <c r="M279" s="3">
        <f>Table43_1[[#This Row],[QTY 1]]+Table43_1[[#This Row],[QTY 2]]+Table43_1[[#This Row],[QTY 3]]+Table43_1[[#This Row],[QTY 4]]+Table43_1[[#This Row],[QTY 5]]</f>
        <v>0</v>
      </c>
      <c r="N279" s="3"/>
    </row>
    <row r="280" spans="1:14">
      <c r="A280" t="s">
        <v>1534</v>
      </c>
      <c r="B280" t="s">
        <v>1535</v>
      </c>
      <c r="C280">
        <v>107049</v>
      </c>
      <c r="H280" s="3">
        <f>IFERROR(VLOOKUP(Table43_1[[#This Row],[PCPL KODE 1]],#REF!,3,0),0)</f>
        <v>0</v>
      </c>
      <c r="I280" s="3">
        <f>IFERROR(VLOOKUP(Table43_1[[#This Row],[PCPL KODE 2]],#REF!,3,0),0)</f>
        <v>0</v>
      </c>
      <c r="J280" s="3">
        <f>IFERROR(VLOOKUP(Table43_1[[#This Row],[PCPL KODE 3]],#REF!,3,0),0)</f>
        <v>0</v>
      </c>
      <c r="K280" s="3">
        <f>IFERROR(VLOOKUP(Table43_1[[#This Row],[PCPL KODE 4]],#REF!,3,0),0)</f>
        <v>0</v>
      </c>
      <c r="L280" s="3">
        <f>IFERROR(VLOOKUP(Table43_1[[#This Row],[PCPL KODE 5]],#REF!,3,0),0)</f>
        <v>0</v>
      </c>
      <c r="M280" s="3">
        <f>Table43_1[[#This Row],[QTY 1]]+Table43_1[[#This Row],[QTY 2]]+Table43_1[[#This Row],[QTY 3]]+Table43_1[[#This Row],[QTY 4]]+Table43_1[[#This Row],[QTY 5]]</f>
        <v>0</v>
      </c>
      <c r="N280" s="3"/>
    </row>
    <row r="281" spans="1:14">
      <c r="A281" t="s">
        <v>1536</v>
      </c>
      <c r="B281" t="s">
        <v>1537</v>
      </c>
      <c r="C281">
        <v>107050</v>
      </c>
      <c r="H281" s="3">
        <f>IFERROR(VLOOKUP(Table43_1[[#This Row],[PCPL KODE 1]],#REF!,3,0),0)</f>
        <v>0</v>
      </c>
      <c r="I281" s="3">
        <f>IFERROR(VLOOKUP(Table43_1[[#This Row],[PCPL KODE 2]],#REF!,3,0),0)</f>
        <v>0</v>
      </c>
      <c r="J281" s="3">
        <f>IFERROR(VLOOKUP(Table43_1[[#This Row],[PCPL KODE 3]],#REF!,3,0),0)</f>
        <v>0</v>
      </c>
      <c r="K281" s="3">
        <f>IFERROR(VLOOKUP(Table43_1[[#This Row],[PCPL KODE 4]],#REF!,3,0),0)</f>
        <v>0</v>
      </c>
      <c r="L281" s="3">
        <f>IFERROR(VLOOKUP(Table43_1[[#This Row],[PCPL KODE 5]],#REF!,3,0),0)</f>
        <v>0</v>
      </c>
      <c r="M281" s="3">
        <f>Table43_1[[#This Row],[QTY 1]]+Table43_1[[#This Row],[QTY 2]]+Table43_1[[#This Row],[QTY 3]]+Table43_1[[#This Row],[QTY 4]]+Table43_1[[#This Row],[QTY 5]]</f>
        <v>0</v>
      </c>
      <c r="N281" s="3"/>
    </row>
    <row r="282" spans="1:14">
      <c r="A282" t="s">
        <v>1538</v>
      </c>
      <c r="B282" t="s">
        <v>1539</v>
      </c>
      <c r="C282">
        <v>107051</v>
      </c>
      <c r="H282" s="3">
        <f>IFERROR(VLOOKUP(Table43_1[[#This Row],[PCPL KODE 1]],#REF!,3,0),0)</f>
        <v>0</v>
      </c>
      <c r="I282" s="3">
        <f>IFERROR(VLOOKUP(Table43_1[[#This Row],[PCPL KODE 2]],#REF!,3,0),0)</f>
        <v>0</v>
      </c>
      <c r="J282" s="3">
        <f>IFERROR(VLOOKUP(Table43_1[[#This Row],[PCPL KODE 3]],#REF!,3,0),0)</f>
        <v>0</v>
      </c>
      <c r="K282" s="3">
        <f>IFERROR(VLOOKUP(Table43_1[[#This Row],[PCPL KODE 4]],#REF!,3,0),0)</f>
        <v>0</v>
      </c>
      <c r="L282" s="3">
        <f>IFERROR(VLOOKUP(Table43_1[[#This Row],[PCPL KODE 5]],#REF!,3,0),0)</f>
        <v>0</v>
      </c>
      <c r="M282" s="3">
        <f>Table43_1[[#This Row],[QTY 1]]+Table43_1[[#This Row],[QTY 2]]+Table43_1[[#This Row],[QTY 3]]+Table43_1[[#This Row],[QTY 4]]+Table43_1[[#This Row],[QTY 5]]</f>
        <v>0</v>
      </c>
      <c r="N282" s="3"/>
    </row>
    <row r="283" spans="1:14">
      <c r="A283" t="s">
        <v>1540</v>
      </c>
      <c r="B283" t="s">
        <v>1541</v>
      </c>
      <c r="C283">
        <v>107044</v>
      </c>
      <c r="H283" s="3">
        <f>IFERROR(VLOOKUP(Table43_1[[#This Row],[PCPL KODE 1]],#REF!,3,0),0)</f>
        <v>0</v>
      </c>
      <c r="I283" s="3">
        <f>IFERROR(VLOOKUP(Table43_1[[#This Row],[PCPL KODE 2]],#REF!,3,0),0)</f>
        <v>0</v>
      </c>
      <c r="J283" s="3">
        <f>IFERROR(VLOOKUP(Table43_1[[#This Row],[PCPL KODE 3]],#REF!,3,0),0)</f>
        <v>0</v>
      </c>
      <c r="K283" s="3">
        <f>IFERROR(VLOOKUP(Table43_1[[#This Row],[PCPL KODE 4]],#REF!,3,0),0)</f>
        <v>0</v>
      </c>
      <c r="L283" s="3">
        <f>IFERROR(VLOOKUP(Table43_1[[#This Row],[PCPL KODE 5]],#REF!,3,0),0)</f>
        <v>0</v>
      </c>
      <c r="M283" s="3">
        <f>Table43_1[[#This Row],[QTY 1]]+Table43_1[[#This Row],[QTY 2]]+Table43_1[[#This Row],[QTY 3]]+Table43_1[[#This Row],[QTY 4]]+Table43_1[[#This Row],[QTY 5]]</f>
        <v>0</v>
      </c>
      <c r="N283" s="3"/>
    </row>
    <row r="284" spans="1:14">
      <c r="A284" t="s">
        <v>1542</v>
      </c>
      <c r="B284" t="s">
        <v>1543</v>
      </c>
      <c r="C284">
        <v>107045</v>
      </c>
      <c r="H284" s="3">
        <f>IFERROR(VLOOKUP(Table43_1[[#This Row],[PCPL KODE 1]],#REF!,3,0),0)</f>
        <v>0</v>
      </c>
      <c r="I284" s="3">
        <f>IFERROR(VLOOKUP(Table43_1[[#This Row],[PCPL KODE 2]],#REF!,3,0),0)</f>
        <v>0</v>
      </c>
      <c r="J284" s="3">
        <f>IFERROR(VLOOKUP(Table43_1[[#This Row],[PCPL KODE 3]],#REF!,3,0),0)</f>
        <v>0</v>
      </c>
      <c r="K284" s="3">
        <f>IFERROR(VLOOKUP(Table43_1[[#This Row],[PCPL KODE 4]],#REF!,3,0),0)</f>
        <v>0</v>
      </c>
      <c r="L284" s="3">
        <f>IFERROR(VLOOKUP(Table43_1[[#This Row],[PCPL KODE 5]],#REF!,3,0),0)</f>
        <v>0</v>
      </c>
      <c r="M284" s="3">
        <f>Table43_1[[#This Row],[QTY 1]]+Table43_1[[#This Row],[QTY 2]]+Table43_1[[#This Row],[QTY 3]]+Table43_1[[#This Row],[QTY 4]]+Table43_1[[#This Row],[QTY 5]]</f>
        <v>0</v>
      </c>
      <c r="N284" s="3"/>
    </row>
    <row r="285" spans="1:14">
      <c r="A285" t="s">
        <v>1544</v>
      </c>
      <c r="B285" t="s">
        <v>1545</v>
      </c>
      <c r="C285" t="s">
        <v>2611</v>
      </c>
      <c r="H285" s="3">
        <f>IFERROR(VLOOKUP(Table43_1[[#This Row],[PCPL KODE 1]],#REF!,3,0),0)</f>
        <v>0</v>
      </c>
      <c r="I285" s="3">
        <f>IFERROR(VLOOKUP(Table43_1[[#This Row],[PCPL KODE 2]],#REF!,3,0),0)</f>
        <v>0</v>
      </c>
      <c r="J285" s="3">
        <f>IFERROR(VLOOKUP(Table43_1[[#This Row],[PCPL KODE 3]],#REF!,3,0),0)</f>
        <v>0</v>
      </c>
      <c r="K285" s="3">
        <f>IFERROR(VLOOKUP(Table43_1[[#This Row],[PCPL KODE 4]],#REF!,3,0),0)</f>
        <v>0</v>
      </c>
      <c r="L285" s="3">
        <f>IFERROR(VLOOKUP(Table43_1[[#This Row],[PCPL KODE 5]],#REF!,3,0),0)</f>
        <v>0</v>
      </c>
      <c r="M285" s="3">
        <f>Table43_1[[#This Row],[QTY 1]]+Table43_1[[#This Row],[QTY 2]]+Table43_1[[#This Row],[QTY 3]]+Table43_1[[#This Row],[QTY 4]]+Table43_1[[#This Row],[QTY 5]]</f>
        <v>0</v>
      </c>
      <c r="N285" s="3"/>
    </row>
    <row r="286" spans="1:14">
      <c r="A286" t="s">
        <v>2404</v>
      </c>
      <c r="B286" t="s">
        <v>3505</v>
      </c>
      <c r="C286">
        <v>107069</v>
      </c>
      <c r="H286" s="3">
        <f>IFERROR(VLOOKUP(Table43_1[[#This Row],[PCPL KODE 1]],#REF!,3,0),0)</f>
        <v>0</v>
      </c>
      <c r="I286" s="3">
        <f>IFERROR(VLOOKUP(Table43_1[[#This Row],[PCPL KODE 2]],#REF!,3,0),0)</f>
        <v>0</v>
      </c>
      <c r="J286" s="3">
        <f>IFERROR(VLOOKUP(Table43_1[[#This Row],[PCPL KODE 3]],#REF!,3,0),0)</f>
        <v>0</v>
      </c>
      <c r="K286" s="3">
        <f>IFERROR(VLOOKUP(Table43_1[[#This Row],[PCPL KODE 4]],#REF!,3,0),0)</f>
        <v>0</v>
      </c>
      <c r="L286" s="3">
        <f>IFERROR(VLOOKUP(Table43_1[[#This Row],[PCPL KODE 5]],#REF!,3,0),0)</f>
        <v>0</v>
      </c>
      <c r="M286" s="3">
        <f>Table43_1[[#This Row],[QTY 1]]+Table43_1[[#This Row],[QTY 2]]+Table43_1[[#This Row],[QTY 3]]+Table43_1[[#This Row],[QTY 4]]+Table43_1[[#This Row],[QTY 5]]</f>
        <v>0</v>
      </c>
      <c r="N286" s="3"/>
    </row>
    <row r="287" spans="1:14">
      <c r="A287" t="s">
        <v>1547</v>
      </c>
      <c r="B287" t="s">
        <v>3506</v>
      </c>
      <c r="C287">
        <v>107068</v>
      </c>
      <c r="H287" s="3">
        <f>IFERROR(VLOOKUP(Table43_1[[#This Row],[PCPL KODE 1]],#REF!,3,0),0)</f>
        <v>0</v>
      </c>
      <c r="I287" s="3">
        <f>IFERROR(VLOOKUP(Table43_1[[#This Row],[PCPL KODE 2]],#REF!,3,0),0)</f>
        <v>0</v>
      </c>
      <c r="J287" s="3">
        <f>IFERROR(VLOOKUP(Table43_1[[#This Row],[PCPL KODE 3]],#REF!,3,0),0)</f>
        <v>0</v>
      </c>
      <c r="K287" s="3">
        <f>IFERROR(VLOOKUP(Table43_1[[#This Row],[PCPL KODE 4]],#REF!,3,0),0)</f>
        <v>0</v>
      </c>
      <c r="L287" s="3">
        <f>IFERROR(VLOOKUP(Table43_1[[#This Row],[PCPL KODE 5]],#REF!,3,0),0)</f>
        <v>0</v>
      </c>
      <c r="M287" s="3">
        <f>Table43_1[[#This Row],[QTY 1]]+Table43_1[[#This Row],[QTY 2]]+Table43_1[[#This Row],[QTY 3]]+Table43_1[[#This Row],[QTY 4]]+Table43_1[[#This Row],[QTY 5]]</f>
        <v>0</v>
      </c>
      <c r="N287" s="3"/>
    </row>
    <row r="288" spans="1:14">
      <c r="A288" t="s">
        <v>2405</v>
      </c>
      <c r="B288" t="s">
        <v>1549</v>
      </c>
      <c r="C288">
        <v>107071</v>
      </c>
      <c r="H288" s="3">
        <f>IFERROR(VLOOKUP(Table43_1[[#This Row],[PCPL KODE 1]],#REF!,3,0),0)</f>
        <v>0</v>
      </c>
      <c r="I288" s="3">
        <f>IFERROR(VLOOKUP(Table43_1[[#This Row],[PCPL KODE 2]],#REF!,3,0),0)</f>
        <v>0</v>
      </c>
      <c r="J288" s="3">
        <f>IFERROR(VLOOKUP(Table43_1[[#This Row],[PCPL KODE 3]],#REF!,3,0),0)</f>
        <v>0</v>
      </c>
      <c r="K288" s="3">
        <f>IFERROR(VLOOKUP(Table43_1[[#This Row],[PCPL KODE 4]],#REF!,3,0),0)</f>
        <v>0</v>
      </c>
      <c r="L288" s="3">
        <f>IFERROR(VLOOKUP(Table43_1[[#This Row],[PCPL KODE 5]],#REF!,3,0),0)</f>
        <v>0</v>
      </c>
      <c r="M288" s="3">
        <f>Table43_1[[#This Row],[QTY 1]]+Table43_1[[#This Row],[QTY 2]]+Table43_1[[#This Row],[QTY 3]]+Table43_1[[#This Row],[QTY 4]]+Table43_1[[#This Row],[QTY 5]]</f>
        <v>0</v>
      </c>
      <c r="N288" s="3"/>
    </row>
    <row r="289" spans="1:14">
      <c r="A289" t="s">
        <v>2406</v>
      </c>
      <c r="B289" t="s">
        <v>1550</v>
      </c>
      <c r="C289">
        <v>107070</v>
      </c>
      <c r="H289" s="3">
        <f>IFERROR(VLOOKUP(Table43_1[[#This Row],[PCPL KODE 1]],#REF!,3,0),0)</f>
        <v>0</v>
      </c>
      <c r="I289" s="3">
        <f>IFERROR(VLOOKUP(Table43_1[[#This Row],[PCPL KODE 2]],#REF!,3,0),0)</f>
        <v>0</v>
      </c>
      <c r="J289" s="3">
        <f>IFERROR(VLOOKUP(Table43_1[[#This Row],[PCPL KODE 3]],#REF!,3,0),0)</f>
        <v>0</v>
      </c>
      <c r="K289" s="3">
        <f>IFERROR(VLOOKUP(Table43_1[[#This Row],[PCPL KODE 4]],#REF!,3,0),0)</f>
        <v>0</v>
      </c>
      <c r="L289" s="3">
        <f>IFERROR(VLOOKUP(Table43_1[[#This Row],[PCPL KODE 5]],#REF!,3,0),0)</f>
        <v>0</v>
      </c>
      <c r="M289" s="3">
        <f>Table43_1[[#This Row],[QTY 1]]+Table43_1[[#This Row],[QTY 2]]+Table43_1[[#This Row],[QTY 3]]+Table43_1[[#This Row],[QTY 4]]+Table43_1[[#This Row],[QTY 5]]</f>
        <v>0</v>
      </c>
      <c r="N289" s="3"/>
    </row>
    <row r="290" spans="1:14">
      <c r="A290" t="s">
        <v>1551</v>
      </c>
      <c r="B290" t="s">
        <v>1552</v>
      </c>
      <c r="C290">
        <v>107074</v>
      </c>
      <c r="H290" s="3">
        <f>IFERROR(VLOOKUP(Table43_1[[#This Row],[PCPL KODE 1]],#REF!,3,0),0)</f>
        <v>0</v>
      </c>
      <c r="I290" s="3">
        <f>IFERROR(VLOOKUP(Table43_1[[#This Row],[PCPL KODE 2]],#REF!,3,0),0)</f>
        <v>0</v>
      </c>
      <c r="J290" s="3">
        <f>IFERROR(VLOOKUP(Table43_1[[#This Row],[PCPL KODE 3]],#REF!,3,0),0)</f>
        <v>0</v>
      </c>
      <c r="K290" s="3">
        <f>IFERROR(VLOOKUP(Table43_1[[#This Row],[PCPL KODE 4]],#REF!,3,0),0)</f>
        <v>0</v>
      </c>
      <c r="L290" s="3">
        <f>IFERROR(VLOOKUP(Table43_1[[#This Row],[PCPL KODE 5]],#REF!,3,0),0)</f>
        <v>0</v>
      </c>
      <c r="M290" s="3">
        <f>Table43_1[[#This Row],[QTY 1]]+Table43_1[[#This Row],[QTY 2]]+Table43_1[[#This Row],[QTY 3]]+Table43_1[[#This Row],[QTY 4]]+Table43_1[[#This Row],[QTY 5]]</f>
        <v>0</v>
      </c>
      <c r="N290" s="3"/>
    </row>
    <row r="291" spans="1:14">
      <c r="A291" t="s">
        <v>1553</v>
      </c>
      <c r="B291" t="s">
        <v>3507</v>
      </c>
      <c r="C291">
        <v>107072</v>
      </c>
      <c r="H291" s="3">
        <f>IFERROR(VLOOKUP(Table43_1[[#This Row],[PCPL KODE 1]],#REF!,3,0),0)</f>
        <v>0</v>
      </c>
      <c r="I291" s="3">
        <f>IFERROR(VLOOKUP(Table43_1[[#This Row],[PCPL KODE 2]],#REF!,3,0),0)</f>
        <v>0</v>
      </c>
      <c r="J291" s="3">
        <f>IFERROR(VLOOKUP(Table43_1[[#This Row],[PCPL KODE 3]],#REF!,3,0),0)</f>
        <v>0</v>
      </c>
      <c r="K291" s="3">
        <f>IFERROR(VLOOKUP(Table43_1[[#This Row],[PCPL KODE 4]],#REF!,3,0),0)</f>
        <v>0</v>
      </c>
      <c r="L291" s="3">
        <f>IFERROR(VLOOKUP(Table43_1[[#This Row],[PCPL KODE 5]],#REF!,3,0),0)</f>
        <v>0</v>
      </c>
      <c r="M291" s="3">
        <f>Table43_1[[#This Row],[QTY 1]]+Table43_1[[#This Row],[QTY 2]]+Table43_1[[#This Row],[QTY 3]]+Table43_1[[#This Row],[QTY 4]]+Table43_1[[#This Row],[QTY 5]]</f>
        <v>0</v>
      </c>
      <c r="N291" s="3"/>
    </row>
    <row r="292" spans="1:14">
      <c r="A292" t="s">
        <v>1555</v>
      </c>
      <c r="B292" t="s">
        <v>3508</v>
      </c>
      <c r="C292">
        <v>107073</v>
      </c>
      <c r="H292" s="3">
        <f>IFERROR(VLOOKUP(Table43_1[[#This Row],[PCPL KODE 1]],#REF!,3,0),0)</f>
        <v>0</v>
      </c>
      <c r="I292" s="3">
        <f>IFERROR(VLOOKUP(Table43_1[[#This Row],[PCPL KODE 2]],#REF!,3,0),0)</f>
        <v>0</v>
      </c>
      <c r="J292" s="3">
        <f>IFERROR(VLOOKUP(Table43_1[[#This Row],[PCPL KODE 3]],#REF!,3,0),0)</f>
        <v>0</v>
      </c>
      <c r="K292" s="3">
        <f>IFERROR(VLOOKUP(Table43_1[[#This Row],[PCPL KODE 4]],#REF!,3,0),0)</f>
        <v>0</v>
      </c>
      <c r="L292" s="3">
        <f>IFERROR(VLOOKUP(Table43_1[[#This Row],[PCPL KODE 5]],#REF!,3,0),0)</f>
        <v>0</v>
      </c>
      <c r="M292" s="3">
        <f>Table43_1[[#This Row],[QTY 1]]+Table43_1[[#This Row],[QTY 2]]+Table43_1[[#This Row],[QTY 3]]+Table43_1[[#This Row],[QTY 4]]+Table43_1[[#This Row],[QTY 5]]</f>
        <v>0</v>
      </c>
      <c r="N292" s="3"/>
    </row>
    <row r="293" spans="1:14">
      <c r="A293" t="s">
        <v>2407</v>
      </c>
      <c r="B293" t="s">
        <v>1557</v>
      </c>
      <c r="C293" t="s">
        <v>2612</v>
      </c>
      <c r="H293" s="3">
        <f>IFERROR(VLOOKUP(Table43_1[[#This Row],[PCPL KODE 1]],#REF!,3,0),0)</f>
        <v>0</v>
      </c>
      <c r="I293" s="3">
        <f>IFERROR(VLOOKUP(Table43_1[[#This Row],[PCPL KODE 2]],#REF!,3,0),0)</f>
        <v>0</v>
      </c>
      <c r="J293" s="3">
        <f>IFERROR(VLOOKUP(Table43_1[[#This Row],[PCPL KODE 3]],#REF!,3,0),0)</f>
        <v>0</v>
      </c>
      <c r="K293" s="3">
        <f>IFERROR(VLOOKUP(Table43_1[[#This Row],[PCPL KODE 4]],#REF!,3,0),0)</f>
        <v>0</v>
      </c>
      <c r="L293" s="3">
        <f>IFERROR(VLOOKUP(Table43_1[[#This Row],[PCPL KODE 5]],#REF!,3,0),0)</f>
        <v>0</v>
      </c>
      <c r="M293" s="3">
        <f>Table43_1[[#This Row],[QTY 1]]+Table43_1[[#This Row],[QTY 2]]+Table43_1[[#This Row],[QTY 3]]+Table43_1[[#This Row],[QTY 4]]+Table43_1[[#This Row],[QTY 5]]</f>
        <v>0</v>
      </c>
      <c r="N293" s="3"/>
    </row>
    <row r="294" spans="1:14">
      <c r="A294" t="s">
        <v>2657</v>
      </c>
      <c r="B294" t="s">
        <v>3509</v>
      </c>
      <c r="C294">
        <v>107122</v>
      </c>
      <c r="H294" s="3">
        <f>IFERROR(VLOOKUP(Table43_1[[#This Row],[PCPL KODE 1]],#REF!,3,0),0)</f>
        <v>0</v>
      </c>
      <c r="I294" s="3">
        <f>IFERROR(VLOOKUP(Table43_1[[#This Row],[PCPL KODE 2]],#REF!,3,0),0)</f>
        <v>0</v>
      </c>
      <c r="J294" s="3">
        <f>IFERROR(VLOOKUP(Table43_1[[#This Row],[PCPL KODE 3]],#REF!,3,0),0)</f>
        <v>0</v>
      </c>
      <c r="K294" s="3">
        <f>IFERROR(VLOOKUP(Table43_1[[#This Row],[PCPL KODE 4]],#REF!,3,0),0)</f>
        <v>0</v>
      </c>
      <c r="L294" s="3">
        <f>IFERROR(VLOOKUP(Table43_1[[#This Row],[PCPL KODE 5]],#REF!,3,0),0)</f>
        <v>0</v>
      </c>
      <c r="M294" s="3">
        <f>Table43_1[[#This Row],[QTY 1]]+Table43_1[[#This Row],[QTY 2]]+Table43_1[[#This Row],[QTY 3]]+Table43_1[[#This Row],[QTY 4]]+Table43_1[[#This Row],[QTY 5]]</f>
        <v>0</v>
      </c>
      <c r="N294" s="3"/>
    </row>
    <row r="295" spans="1:14">
      <c r="A295" t="s">
        <v>1558</v>
      </c>
      <c r="B295" t="s">
        <v>1559</v>
      </c>
      <c r="C295">
        <v>107106</v>
      </c>
      <c r="H295" s="3">
        <f>IFERROR(VLOOKUP(Table43_1[[#This Row],[PCPL KODE 1]],#REF!,3,0),0)</f>
        <v>0</v>
      </c>
      <c r="I295" s="3">
        <f>IFERROR(VLOOKUP(Table43_1[[#This Row],[PCPL KODE 2]],#REF!,3,0),0)</f>
        <v>0</v>
      </c>
      <c r="J295" s="3">
        <f>IFERROR(VLOOKUP(Table43_1[[#This Row],[PCPL KODE 3]],#REF!,3,0),0)</f>
        <v>0</v>
      </c>
      <c r="K295" s="3">
        <f>IFERROR(VLOOKUP(Table43_1[[#This Row],[PCPL KODE 4]],#REF!,3,0),0)</f>
        <v>0</v>
      </c>
      <c r="L295" s="3">
        <f>IFERROR(VLOOKUP(Table43_1[[#This Row],[PCPL KODE 5]],#REF!,3,0),0)</f>
        <v>0</v>
      </c>
      <c r="M295" s="3">
        <f>Table43_1[[#This Row],[QTY 1]]+Table43_1[[#This Row],[QTY 2]]+Table43_1[[#This Row],[QTY 3]]+Table43_1[[#This Row],[QTY 4]]+Table43_1[[#This Row],[QTY 5]]</f>
        <v>0</v>
      </c>
      <c r="N295" s="3"/>
    </row>
    <row r="296" spans="1:14">
      <c r="A296" t="s">
        <v>2652</v>
      </c>
      <c r="B296" t="s">
        <v>3510</v>
      </c>
      <c r="C296">
        <v>107121</v>
      </c>
      <c r="H296" s="3">
        <f>IFERROR(VLOOKUP(Table43_1[[#This Row],[PCPL KODE 1]],#REF!,3,0),0)</f>
        <v>0</v>
      </c>
      <c r="I296" s="3">
        <f>IFERROR(VLOOKUP(Table43_1[[#This Row],[PCPL KODE 2]],#REF!,3,0),0)</f>
        <v>0</v>
      </c>
      <c r="J296" s="3">
        <f>IFERROR(VLOOKUP(Table43_1[[#This Row],[PCPL KODE 3]],#REF!,3,0),0)</f>
        <v>0</v>
      </c>
      <c r="K296" s="3">
        <f>IFERROR(VLOOKUP(Table43_1[[#This Row],[PCPL KODE 4]],#REF!,3,0),0)</f>
        <v>0</v>
      </c>
      <c r="L296" s="3">
        <f>IFERROR(VLOOKUP(Table43_1[[#This Row],[PCPL KODE 5]],#REF!,3,0),0)</f>
        <v>0</v>
      </c>
      <c r="M296" s="3">
        <f>Table43_1[[#This Row],[QTY 1]]+Table43_1[[#This Row],[QTY 2]]+Table43_1[[#This Row],[QTY 3]]+Table43_1[[#This Row],[QTY 4]]+Table43_1[[#This Row],[QTY 5]]</f>
        <v>0</v>
      </c>
      <c r="N296" s="3"/>
    </row>
    <row r="297" spans="1:14">
      <c r="A297" t="s">
        <v>1560</v>
      </c>
      <c r="B297" t="s">
        <v>1561</v>
      </c>
      <c r="C297" t="s">
        <v>2620</v>
      </c>
      <c r="H297" s="3">
        <f>IFERROR(VLOOKUP(Table43_1[[#This Row],[PCPL KODE 1]],#REF!,3,0),0)</f>
        <v>0</v>
      </c>
      <c r="I297" s="3">
        <f>IFERROR(VLOOKUP(Table43_1[[#This Row],[PCPL KODE 2]],#REF!,3,0),0)</f>
        <v>0</v>
      </c>
      <c r="J297" s="3">
        <f>IFERROR(VLOOKUP(Table43_1[[#This Row],[PCPL KODE 3]],#REF!,3,0),0)</f>
        <v>0</v>
      </c>
      <c r="K297" s="3">
        <f>IFERROR(VLOOKUP(Table43_1[[#This Row],[PCPL KODE 4]],#REF!,3,0),0)</f>
        <v>0</v>
      </c>
      <c r="L297" s="3">
        <f>IFERROR(VLOOKUP(Table43_1[[#This Row],[PCPL KODE 5]],#REF!,3,0),0)</f>
        <v>0</v>
      </c>
      <c r="M297" s="3">
        <f>Table43_1[[#This Row],[QTY 1]]+Table43_1[[#This Row],[QTY 2]]+Table43_1[[#This Row],[QTY 3]]+Table43_1[[#This Row],[QTY 4]]+Table43_1[[#This Row],[QTY 5]]</f>
        <v>0</v>
      </c>
      <c r="N297" s="3"/>
    </row>
    <row r="298" spans="1:14">
      <c r="A298" t="s">
        <v>1562</v>
      </c>
      <c r="B298" t="s">
        <v>1563</v>
      </c>
      <c r="C298" t="s">
        <v>2621</v>
      </c>
      <c r="H298" s="3">
        <f>IFERROR(VLOOKUP(Table43_1[[#This Row],[PCPL KODE 1]],#REF!,3,0),0)</f>
        <v>0</v>
      </c>
      <c r="I298" s="3">
        <f>IFERROR(VLOOKUP(Table43_1[[#This Row],[PCPL KODE 2]],#REF!,3,0),0)</f>
        <v>0</v>
      </c>
      <c r="J298" s="3">
        <f>IFERROR(VLOOKUP(Table43_1[[#This Row],[PCPL KODE 3]],#REF!,3,0),0)</f>
        <v>0</v>
      </c>
      <c r="K298" s="3">
        <f>IFERROR(VLOOKUP(Table43_1[[#This Row],[PCPL KODE 4]],#REF!,3,0),0)</f>
        <v>0</v>
      </c>
      <c r="L298" s="3">
        <f>IFERROR(VLOOKUP(Table43_1[[#This Row],[PCPL KODE 5]],#REF!,3,0),0)</f>
        <v>0</v>
      </c>
      <c r="M298" s="3">
        <f>Table43_1[[#This Row],[QTY 1]]+Table43_1[[#This Row],[QTY 2]]+Table43_1[[#This Row],[QTY 3]]+Table43_1[[#This Row],[QTY 4]]+Table43_1[[#This Row],[QTY 5]]</f>
        <v>0</v>
      </c>
      <c r="N298" s="3"/>
    </row>
    <row r="299" spans="1:14">
      <c r="A299" t="s">
        <v>1564</v>
      </c>
      <c r="B299" t="s">
        <v>1565</v>
      </c>
      <c r="C299" t="s">
        <v>2622</v>
      </c>
      <c r="H299" s="3">
        <f>IFERROR(VLOOKUP(Table43_1[[#This Row],[PCPL KODE 1]],#REF!,3,0),0)</f>
        <v>0</v>
      </c>
      <c r="I299" s="3">
        <f>IFERROR(VLOOKUP(Table43_1[[#This Row],[PCPL KODE 2]],#REF!,3,0),0)</f>
        <v>0</v>
      </c>
      <c r="J299" s="3">
        <f>IFERROR(VLOOKUP(Table43_1[[#This Row],[PCPL KODE 3]],#REF!,3,0),0)</f>
        <v>0</v>
      </c>
      <c r="K299" s="3">
        <f>IFERROR(VLOOKUP(Table43_1[[#This Row],[PCPL KODE 4]],#REF!,3,0),0)</f>
        <v>0</v>
      </c>
      <c r="L299" s="3">
        <f>IFERROR(VLOOKUP(Table43_1[[#This Row],[PCPL KODE 5]],#REF!,3,0),0)</f>
        <v>0</v>
      </c>
      <c r="M299" s="3">
        <f>Table43_1[[#This Row],[QTY 1]]+Table43_1[[#This Row],[QTY 2]]+Table43_1[[#This Row],[QTY 3]]+Table43_1[[#This Row],[QTY 4]]+Table43_1[[#This Row],[QTY 5]]</f>
        <v>0</v>
      </c>
      <c r="N299" s="3"/>
    </row>
    <row r="300" spans="1:14">
      <c r="A300" t="s">
        <v>1566</v>
      </c>
      <c r="B300" t="s">
        <v>1567</v>
      </c>
      <c r="C300" t="s">
        <v>2623</v>
      </c>
      <c r="H300" s="3">
        <f>IFERROR(VLOOKUP(Table43_1[[#This Row],[PCPL KODE 1]],#REF!,3,0),0)</f>
        <v>0</v>
      </c>
      <c r="I300" s="3">
        <f>IFERROR(VLOOKUP(Table43_1[[#This Row],[PCPL KODE 2]],#REF!,3,0),0)</f>
        <v>0</v>
      </c>
      <c r="J300" s="3">
        <f>IFERROR(VLOOKUP(Table43_1[[#This Row],[PCPL KODE 3]],#REF!,3,0),0)</f>
        <v>0</v>
      </c>
      <c r="K300" s="3">
        <f>IFERROR(VLOOKUP(Table43_1[[#This Row],[PCPL KODE 4]],#REF!,3,0),0)</f>
        <v>0</v>
      </c>
      <c r="L300" s="3">
        <f>IFERROR(VLOOKUP(Table43_1[[#This Row],[PCPL KODE 5]],#REF!,3,0),0)</f>
        <v>0</v>
      </c>
      <c r="M300" s="3">
        <f>Table43_1[[#This Row],[QTY 1]]+Table43_1[[#This Row],[QTY 2]]+Table43_1[[#This Row],[QTY 3]]+Table43_1[[#This Row],[QTY 4]]+Table43_1[[#This Row],[QTY 5]]</f>
        <v>0</v>
      </c>
      <c r="N300" s="3"/>
    </row>
    <row r="301" spans="1:14">
      <c r="A301" t="s">
        <v>1568</v>
      </c>
      <c r="B301" t="s">
        <v>1569</v>
      </c>
      <c r="C301" t="s">
        <v>2613</v>
      </c>
      <c r="H301" s="3">
        <f>IFERROR(VLOOKUP(Table43_1[[#This Row],[PCPL KODE 1]],#REF!,3,0),0)</f>
        <v>0</v>
      </c>
      <c r="I301" s="3">
        <f>IFERROR(VLOOKUP(Table43_1[[#This Row],[PCPL KODE 2]],#REF!,3,0),0)</f>
        <v>0</v>
      </c>
      <c r="J301" s="3">
        <f>IFERROR(VLOOKUP(Table43_1[[#This Row],[PCPL KODE 3]],#REF!,3,0),0)</f>
        <v>0</v>
      </c>
      <c r="K301" s="3">
        <f>IFERROR(VLOOKUP(Table43_1[[#This Row],[PCPL KODE 4]],#REF!,3,0),0)</f>
        <v>0</v>
      </c>
      <c r="L301" s="3">
        <f>IFERROR(VLOOKUP(Table43_1[[#This Row],[PCPL KODE 5]],#REF!,3,0),0)</f>
        <v>0</v>
      </c>
      <c r="M301" s="3">
        <f>Table43_1[[#This Row],[QTY 1]]+Table43_1[[#This Row],[QTY 2]]+Table43_1[[#This Row],[QTY 3]]+Table43_1[[#This Row],[QTY 4]]+Table43_1[[#This Row],[QTY 5]]</f>
        <v>0</v>
      </c>
      <c r="N301" s="3"/>
    </row>
    <row r="302" spans="1:14">
      <c r="A302" t="s">
        <v>1570</v>
      </c>
      <c r="B302" t="s">
        <v>1571</v>
      </c>
      <c r="C302" t="s">
        <v>2614</v>
      </c>
      <c r="H302" s="3">
        <f>IFERROR(VLOOKUP(Table43_1[[#This Row],[PCPL KODE 1]],#REF!,3,0),0)</f>
        <v>0</v>
      </c>
      <c r="I302" s="3">
        <f>IFERROR(VLOOKUP(Table43_1[[#This Row],[PCPL KODE 2]],#REF!,3,0),0)</f>
        <v>0</v>
      </c>
      <c r="J302" s="3">
        <f>IFERROR(VLOOKUP(Table43_1[[#This Row],[PCPL KODE 3]],#REF!,3,0),0)</f>
        <v>0</v>
      </c>
      <c r="K302" s="3">
        <f>IFERROR(VLOOKUP(Table43_1[[#This Row],[PCPL KODE 4]],#REF!,3,0),0)</f>
        <v>0</v>
      </c>
      <c r="L302" s="3">
        <f>IFERROR(VLOOKUP(Table43_1[[#This Row],[PCPL KODE 5]],#REF!,3,0),0)</f>
        <v>0</v>
      </c>
      <c r="M302" s="3">
        <f>Table43_1[[#This Row],[QTY 1]]+Table43_1[[#This Row],[QTY 2]]+Table43_1[[#This Row],[QTY 3]]+Table43_1[[#This Row],[QTY 4]]+Table43_1[[#This Row],[QTY 5]]</f>
        <v>0</v>
      </c>
      <c r="N302" s="3"/>
    </row>
    <row r="303" spans="1:14">
      <c r="A303" t="s">
        <v>1572</v>
      </c>
      <c r="B303" t="s">
        <v>1573</v>
      </c>
      <c r="C303" t="s">
        <v>2615</v>
      </c>
      <c r="H303" s="3">
        <f>IFERROR(VLOOKUP(Table43_1[[#This Row],[PCPL KODE 1]],#REF!,3,0),0)</f>
        <v>0</v>
      </c>
      <c r="I303" s="3">
        <f>IFERROR(VLOOKUP(Table43_1[[#This Row],[PCPL KODE 2]],#REF!,3,0),0)</f>
        <v>0</v>
      </c>
      <c r="J303" s="3">
        <f>IFERROR(VLOOKUP(Table43_1[[#This Row],[PCPL KODE 3]],#REF!,3,0),0)</f>
        <v>0</v>
      </c>
      <c r="K303" s="3">
        <f>IFERROR(VLOOKUP(Table43_1[[#This Row],[PCPL KODE 4]],#REF!,3,0),0)</f>
        <v>0</v>
      </c>
      <c r="L303" s="3">
        <f>IFERROR(VLOOKUP(Table43_1[[#This Row],[PCPL KODE 5]],#REF!,3,0),0)</f>
        <v>0</v>
      </c>
      <c r="M303" s="3">
        <f>Table43_1[[#This Row],[QTY 1]]+Table43_1[[#This Row],[QTY 2]]+Table43_1[[#This Row],[QTY 3]]+Table43_1[[#This Row],[QTY 4]]+Table43_1[[#This Row],[QTY 5]]</f>
        <v>0</v>
      </c>
      <c r="N303" s="3"/>
    </row>
    <row r="304" spans="1:14">
      <c r="A304" t="s">
        <v>1574</v>
      </c>
      <c r="B304" t="s">
        <v>1575</v>
      </c>
      <c r="C304" t="s">
        <v>2616</v>
      </c>
      <c r="H304" s="3">
        <f>IFERROR(VLOOKUP(Table43_1[[#This Row],[PCPL KODE 1]],#REF!,3,0),0)</f>
        <v>0</v>
      </c>
      <c r="I304" s="3">
        <f>IFERROR(VLOOKUP(Table43_1[[#This Row],[PCPL KODE 2]],#REF!,3,0),0)</f>
        <v>0</v>
      </c>
      <c r="J304" s="3">
        <f>IFERROR(VLOOKUP(Table43_1[[#This Row],[PCPL KODE 3]],#REF!,3,0),0)</f>
        <v>0</v>
      </c>
      <c r="K304" s="3">
        <f>IFERROR(VLOOKUP(Table43_1[[#This Row],[PCPL KODE 4]],#REF!,3,0),0)</f>
        <v>0</v>
      </c>
      <c r="L304" s="3">
        <f>IFERROR(VLOOKUP(Table43_1[[#This Row],[PCPL KODE 5]],#REF!,3,0),0)</f>
        <v>0</v>
      </c>
      <c r="M304" s="3">
        <f>Table43_1[[#This Row],[QTY 1]]+Table43_1[[#This Row],[QTY 2]]+Table43_1[[#This Row],[QTY 3]]+Table43_1[[#This Row],[QTY 4]]+Table43_1[[#This Row],[QTY 5]]</f>
        <v>0</v>
      </c>
      <c r="N304" s="3"/>
    </row>
    <row r="305" spans="1:14">
      <c r="A305" t="s">
        <v>1576</v>
      </c>
      <c r="B305" t="s">
        <v>1577</v>
      </c>
      <c r="C305" t="s">
        <v>2617</v>
      </c>
      <c r="H305" s="3">
        <f>IFERROR(VLOOKUP(Table43_1[[#This Row],[PCPL KODE 1]],#REF!,3,0),0)</f>
        <v>0</v>
      </c>
      <c r="I305" s="3">
        <f>IFERROR(VLOOKUP(Table43_1[[#This Row],[PCPL KODE 2]],#REF!,3,0),0)</f>
        <v>0</v>
      </c>
      <c r="J305" s="3">
        <f>IFERROR(VLOOKUP(Table43_1[[#This Row],[PCPL KODE 3]],#REF!,3,0),0)</f>
        <v>0</v>
      </c>
      <c r="K305" s="3">
        <f>IFERROR(VLOOKUP(Table43_1[[#This Row],[PCPL KODE 4]],#REF!,3,0),0)</f>
        <v>0</v>
      </c>
      <c r="L305" s="3">
        <f>IFERROR(VLOOKUP(Table43_1[[#This Row],[PCPL KODE 5]],#REF!,3,0),0)</f>
        <v>0</v>
      </c>
      <c r="M305" s="3">
        <f>Table43_1[[#This Row],[QTY 1]]+Table43_1[[#This Row],[QTY 2]]+Table43_1[[#This Row],[QTY 3]]+Table43_1[[#This Row],[QTY 4]]+Table43_1[[#This Row],[QTY 5]]</f>
        <v>0</v>
      </c>
      <c r="N305" s="3"/>
    </row>
    <row r="306" spans="1:14">
      <c r="A306" t="s">
        <v>1578</v>
      </c>
      <c r="B306" t="s">
        <v>1579</v>
      </c>
      <c r="C306" t="s">
        <v>2618</v>
      </c>
      <c r="H306" s="3">
        <f>IFERROR(VLOOKUP(Table43_1[[#This Row],[PCPL KODE 1]],#REF!,3,0),0)</f>
        <v>0</v>
      </c>
      <c r="I306" s="3">
        <f>IFERROR(VLOOKUP(Table43_1[[#This Row],[PCPL KODE 2]],#REF!,3,0),0)</f>
        <v>0</v>
      </c>
      <c r="J306" s="3">
        <f>IFERROR(VLOOKUP(Table43_1[[#This Row],[PCPL KODE 3]],#REF!,3,0),0)</f>
        <v>0</v>
      </c>
      <c r="K306" s="3">
        <f>IFERROR(VLOOKUP(Table43_1[[#This Row],[PCPL KODE 4]],#REF!,3,0),0)</f>
        <v>0</v>
      </c>
      <c r="L306" s="3">
        <f>IFERROR(VLOOKUP(Table43_1[[#This Row],[PCPL KODE 5]],#REF!,3,0),0)</f>
        <v>0</v>
      </c>
      <c r="M306" s="3">
        <f>Table43_1[[#This Row],[QTY 1]]+Table43_1[[#This Row],[QTY 2]]+Table43_1[[#This Row],[QTY 3]]+Table43_1[[#This Row],[QTY 4]]+Table43_1[[#This Row],[QTY 5]]</f>
        <v>0</v>
      </c>
      <c r="N306" s="3"/>
    </row>
    <row r="307" spans="1:14">
      <c r="A307" t="s">
        <v>1580</v>
      </c>
      <c r="B307" t="s">
        <v>1581</v>
      </c>
      <c r="C307" t="s">
        <v>2619</v>
      </c>
      <c r="H307" s="3">
        <f>IFERROR(VLOOKUP(Table43_1[[#This Row],[PCPL KODE 1]],#REF!,3,0),0)</f>
        <v>0</v>
      </c>
      <c r="I307" s="3">
        <f>IFERROR(VLOOKUP(Table43_1[[#This Row],[PCPL KODE 2]],#REF!,3,0),0)</f>
        <v>0</v>
      </c>
      <c r="J307" s="3">
        <f>IFERROR(VLOOKUP(Table43_1[[#This Row],[PCPL KODE 3]],#REF!,3,0),0)</f>
        <v>0</v>
      </c>
      <c r="K307" s="3">
        <f>IFERROR(VLOOKUP(Table43_1[[#This Row],[PCPL KODE 4]],#REF!,3,0),0)</f>
        <v>0</v>
      </c>
      <c r="L307" s="3">
        <f>IFERROR(VLOOKUP(Table43_1[[#This Row],[PCPL KODE 5]],#REF!,3,0),0)</f>
        <v>0</v>
      </c>
      <c r="M307" s="3">
        <f>Table43_1[[#This Row],[QTY 1]]+Table43_1[[#This Row],[QTY 2]]+Table43_1[[#This Row],[QTY 3]]+Table43_1[[#This Row],[QTY 4]]+Table43_1[[#This Row],[QTY 5]]</f>
        <v>0</v>
      </c>
      <c r="N307" s="3"/>
    </row>
    <row r="308" spans="1:14">
      <c r="A308" t="s">
        <v>1582</v>
      </c>
      <c r="B308" t="s">
        <v>1583</v>
      </c>
      <c r="C308" t="s">
        <v>2627</v>
      </c>
      <c r="H308" s="3">
        <f>IFERROR(VLOOKUP(Table43_1[[#This Row],[PCPL KODE 1]],#REF!,3,0),0)</f>
        <v>0</v>
      </c>
      <c r="I308" s="3">
        <f>IFERROR(VLOOKUP(Table43_1[[#This Row],[PCPL KODE 2]],#REF!,3,0),0)</f>
        <v>0</v>
      </c>
      <c r="J308" s="3">
        <f>IFERROR(VLOOKUP(Table43_1[[#This Row],[PCPL KODE 3]],#REF!,3,0),0)</f>
        <v>0</v>
      </c>
      <c r="K308" s="3">
        <f>IFERROR(VLOOKUP(Table43_1[[#This Row],[PCPL KODE 4]],#REF!,3,0),0)</f>
        <v>0</v>
      </c>
      <c r="L308" s="3">
        <f>IFERROR(VLOOKUP(Table43_1[[#This Row],[PCPL KODE 5]],#REF!,3,0),0)</f>
        <v>0</v>
      </c>
      <c r="M308" s="3">
        <f>Table43_1[[#This Row],[QTY 1]]+Table43_1[[#This Row],[QTY 2]]+Table43_1[[#This Row],[QTY 3]]+Table43_1[[#This Row],[QTY 4]]+Table43_1[[#This Row],[QTY 5]]</f>
        <v>0</v>
      </c>
      <c r="N308" s="3"/>
    </row>
    <row r="309" spans="1:14">
      <c r="A309" t="s">
        <v>1584</v>
      </c>
      <c r="B309" t="s">
        <v>1585</v>
      </c>
      <c r="C309" t="s">
        <v>2628</v>
      </c>
      <c r="H309" s="3">
        <f>IFERROR(VLOOKUP(Table43_1[[#This Row],[PCPL KODE 1]],#REF!,3,0),0)</f>
        <v>0</v>
      </c>
      <c r="I309" s="3">
        <f>IFERROR(VLOOKUP(Table43_1[[#This Row],[PCPL KODE 2]],#REF!,3,0),0)</f>
        <v>0</v>
      </c>
      <c r="J309" s="3">
        <f>IFERROR(VLOOKUP(Table43_1[[#This Row],[PCPL KODE 3]],#REF!,3,0),0)</f>
        <v>0</v>
      </c>
      <c r="K309" s="3">
        <f>IFERROR(VLOOKUP(Table43_1[[#This Row],[PCPL KODE 4]],#REF!,3,0),0)</f>
        <v>0</v>
      </c>
      <c r="L309" s="3">
        <f>IFERROR(VLOOKUP(Table43_1[[#This Row],[PCPL KODE 5]],#REF!,3,0),0)</f>
        <v>0</v>
      </c>
      <c r="M309" s="3">
        <f>Table43_1[[#This Row],[QTY 1]]+Table43_1[[#This Row],[QTY 2]]+Table43_1[[#This Row],[QTY 3]]+Table43_1[[#This Row],[QTY 4]]+Table43_1[[#This Row],[QTY 5]]</f>
        <v>0</v>
      </c>
      <c r="N309" s="3"/>
    </row>
    <row r="310" spans="1:14">
      <c r="A310" t="s">
        <v>1586</v>
      </c>
      <c r="B310" t="s">
        <v>1587</v>
      </c>
      <c r="C310" t="s">
        <v>2629</v>
      </c>
      <c r="H310" s="3">
        <f>IFERROR(VLOOKUP(Table43_1[[#This Row],[PCPL KODE 1]],#REF!,3,0),0)</f>
        <v>0</v>
      </c>
      <c r="I310" s="3">
        <f>IFERROR(VLOOKUP(Table43_1[[#This Row],[PCPL KODE 2]],#REF!,3,0),0)</f>
        <v>0</v>
      </c>
      <c r="J310" s="3">
        <f>IFERROR(VLOOKUP(Table43_1[[#This Row],[PCPL KODE 3]],#REF!,3,0),0)</f>
        <v>0</v>
      </c>
      <c r="K310" s="3">
        <f>IFERROR(VLOOKUP(Table43_1[[#This Row],[PCPL KODE 4]],#REF!,3,0),0)</f>
        <v>0</v>
      </c>
      <c r="L310" s="3">
        <f>IFERROR(VLOOKUP(Table43_1[[#This Row],[PCPL KODE 5]],#REF!,3,0),0)</f>
        <v>0</v>
      </c>
      <c r="M310" s="3">
        <f>Table43_1[[#This Row],[QTY 1]]+Table43_1[[#This Row],[QTY 2]]+Table43_1[[#This Row],[QTY 3]]+Table43_1[[#This Row],[QTY 4]]+Table43_1[[#This Row],[QTY 5]]</f>
        <v>0</v>
      </c>
      <c r="N310" s="3"/>
    </row>
    <row r="311" spans="1:14">
      <c r="A311" t="s">
        <v>1588</v>
      </c>
      <c r="B311" t="s">
        <v>1589</v>
      </c>
      <c r="C311" t="s">
        <v>2630</v>
      </c>
      <c r="H311" s="3">
        <f>IFERROR(VLOOKUP(Table43_1[[#This Row],[PCPL KODE 1]],#REF!,3,0),0)</f>
        <v>0</v>
      </c>
      <c r="I311" s="3">
        <f>IFERROR(VLOOKUP(Table43_1[[#This Row],[PCPL KODE 2]],#REF!,3,0),0)</f>
        <v>0</v>
      </c>
      <c r="J311" s="3">
        <f>IFERROR(VLOOKUP(Table43_1[[#This Row],[PCPL KODE 3]],#REF!,3,0),0)</f>
        <v>0</v>
      </c>
      <c r="K311" s="3">
        <f>IFERROR(VLOOKUP(Table43_1[[#This Row],[PCPL KODE 4]],#REF!,3,0),0)</f>
        <v>0</v>
      </c>
      <c r="L311" s="3">
        <f>IFERROR(VLOOKUP(Table43_1[[#This Row],[PCPL KODE 5]],#REF!,3,0),0)</f>
        <v>0</v>
      </c>
      <c r="M311" s="3">
        <f>Table43_1[[#This Row],[QTY 1]]+Table43_1[[#This Row],[QTY 2]]+Table43_1[[#This Row],[QTY 3]]+Table43_1[[#This Row],[QTY 4]]+Table43_1[[#This Row],[QTY 5]]</f>
        <v>0</v>
      </c>
      <c r="N311" s="3"/>
    </row>
    <row r="312" spans="1:14">
      <c r="A312" t="s">
        <v>1590</v>
      </c>
      <c r="B312" t="s">
        <v>1591</v>
      </c>
      <c r="C312" t="s">
        <v>2631</v>
      </c>
      <c r="H312" s="3">
        <f>IFERROR(VLOOKUP(Table43_1[[#This Row],[PCPL KODE 1]],#REF!,3,0),0)</f>
        <v>0</v>
      </c>
      <c r="I312" s="3">
        <f>IFERROR(VLOOKUP(Table43_1[[#This Row],[PCPL KODE 2]],#REF!,3,0),0)</f>
        <v>0</v>
      </c>
      <c r="J312" s="3">
        <f>IFERROR(VLOOKUP(Table43_1[[#This Row],[PCPL KODE 3]],#REF!,3,0),0)</f>
        <v>0</v>
      </c>
      <c r="K312" s="3">
        <f>IFERROR(VLOOKUP(Table43_1[[#This Row],[PCPL KODE 4]],#REF!,3,0),0)</f>
        <v>0</v>
      </c>
      <c r="L312" s="3">
        <f>IFERROR(VLOOKUP(Table43_1[[#This Row],[PCPL KODE 5]],#REF!,3,0),0)</f>
        <v>0</v>
      </c>
      <c r="M312" s="3">
        <f>Table43_1[[#This Row],[QTY 1]]+Table43_1[[#This Row],[QTY 2]]+Table43_1[[#This Row],[QTY 3]]+Table43_1[[#This Row],[QTY 4]]+Table43_1[[#This Row],[QTY 5]]</f>
        <v>0</v>
      </c>
      <c r="N312" s="3"/>
    </row>
    <row r="313" spans="1:14">
      <c r="A313" t="s">
        <v>1592</v>
      </c>
      <c r="B313" t="s">
        <v>1593</v>
      </c>
      <c r="C313" t="s">
        <v>2632</v>
      </c>
      <c r="H313" s="3">
        <f>IFERROR(VLOOKUP(Table43_1[[#This Row],[PCPL KODE 1]],#REF!,3,0),0)</f>
        <v>0</v>
      </c>
      <c r="I313" s="3">
        <f>IFERROR(VLOOKUP(Table43_1[[#This Row],[PCPL KODE 2]],#REF!,3,0),0)</f>
        <v>0</v>
      </c>
      <c r="J313" s="3">
        <f>IFERROR(VLOOKUP(Table43_1[[#This Row],[PCPL KODE 3]],#REF!,3,0),0)</f>
        <v>0</v>
      </c>
      <c r="K313" s="3">
        <f>IFERROR(VLOOKUP(Table43_1[[#This Row],[PCPL KODE 4]],#REF!,3,0),0)</f>
        <v>0</v>
      </c>
      <c r="L313" s="3">
        <f>IFERROR(VLOOKUP(Table43_1[[#This Row],[PCPL KODE 5]],#REF!,3,0),0)</f>
        <v>0</v>
      </c>
      <c r="M313" s="3">
        <f>Table43_1[[#This Row],[QTY 1]]+Table43_1[[#This Row],[QTY 2]]+Table43_1[[#This Row],[QTY 3]]+Table43_1[[#This Row],[QTY 4]]+Table43_1[[#This Row],[QTY 5]]</f>
        <v>0</v>
      </c>
      <c r="N313" s="3"/>
    </row>
    <row r="314" spans="1:14">
      <c r="A314" t="s">
        <v>1594</v>
      </c>
      <c r="B314" t="s">
        <v>1595</v>
      </c>
      <c r="C314" t="s">
        <v>2624</v>
      </c>
      <c r="H314" s="3">
        <f>IFERROR(VLOOKUP(Table43_1[[#This Row],[PCPL KODE 1]],#REF!,3,0),0)</f>
        <v>0</v>
      </c>
      <c r="I314" s="3">
        <f>IFERROR(VLOOKUP(Table43_1[[#This Row],[PCPL KODE 2]],#REF!,3,0),0)</f>
        <v>0</v>
      </c>
      <c r="J314" s="3">
        <f>IFERROR(VLOOKUP(Table43_1[[#This Row],[PCPL KODE 3]],#REF!,3,0),0)</f>
        <v>0</v>
      </c>
      <c r="K314" s="3">
        <f>IFERROR(VLOOKUP(Table43_1[[#This Row],[PCPL KODE 4]],#REF!,3,0),0)</f>
        <v>0</v>
      </c>
      <c r="L314" s="3">
        <f>IFERROR(VLOOKUP(Table43_1[[#This Row],[PCPL KODE 5]],#REF!,3,0),0)</f>
        <v>0</v>
      </c>
      <c r="M314" s="3">
        <f>Table43_1[[#This Row],[QTY 1]]+Table43_1[[#This Row],[QTY 2]]+Table43_1[[#This Row],[QTY 3]]+Table43_1[[#This Row],[QTY 4]]+Table43_1[[#This Row],[QTY 5]]</f>
        <v>0</v>
      </c>
      <c r="N314" s="3"/>
    </row>
    <row r="315" spans="1:14">
      <c r="A315" t="s">
        <v>1596</v>
      </c>
      <c r="B315" t="s">
        <v>1597</v>
      </c>
      <c r="C315" t="s">
        <v>2625</v>
      </c>
      <c r="H315" s="3">
        <f>IFERROR(VLOOKUP(Table43_1[[#This Row],[PCPL KODE 1]],#REF!,3,0),0)</f>
        <v>0</v>
      </c>
      <c r="I315" s="3">
        <f>IFERROR(VLOOKUP(Table43_1[[#This Row],[PCPL KODE 2]],#REF!,3,0),0)</f>
        <v>0</v>
      </c>
      <c r="J315" s="3">
        <f>IFERROR(VLOOKUP(Table43_1[[#This Row],[PCPL KODE 3]],#REF!,3,0),0)</f>
        <v>0</v>
      </c>
      <c r="K315" s="3">
        <f>IFERROR(VLOOKUP(Table43_1[[#This Row],[PCPL KODE 4]],#REF!,3,0),0)</f>
        <v>0</v>
      </c>
      <c r="L315" s="3">
        <f>IFERROR(VLOOKUP(Table43_1[[#This Row],[PCPL KODE 5]],#REF!,3,0),0)</f>
        <v>0</v>
      </c>
      <c r="M315" s="3">
        <f>Table43_1[[#This Row],[QTY 1]]+Table43_1[[#This Row],[QTY 2]]+Table43_1[[#This Row],[QTY 3]]+Table43_1[[#This Row],[QTY 4]]+Table43_1[[#This Row],[QTY 5]]</f>
        <v>0</v>
      </c>
      <c r="N315" s="3"/>
    </row>
    <row r="316" spans="1:14">
      <c r="A316" t="s">
        <v>1598</v>
      </c>
      <c r="B316" t="s">
        <v>1599</v>
      </c>
      <c r="C316" t="s">
        <v>2626</v>
      </c>
      <c r="H316" s="3">
        <f>IFERROR(VLOOKUP(Table43_1[[#This Row],[PCPL KODE 1]],#REF!,3,0),0)</f>
        <v>0</v>
      </c>
      <c r="I316" s="3">
        <f>IFERROR(VLOOKUP(Table43_1[[#This Row],[PCPL KODE 2]],#REF!,3,0),0)</f>
        <v>0</v>
      </c>
      <c r="J316" s="3">
        <f>IFERROR(VLOOKUP(Table43_1[[#This Row],[PCPL KODE 3]],#REF!,3,0),0)</f>
        <v>0</v>
      </c>
      <c r="K316" s="3">
        <f>IFERROR(VLOOKUP(Table43_1[[#This Row],[PCPL KODE 4]],#REF!,3,0),0)</f>
        <v>0</v>
      </c>
      <c r="L316" s="3">
        <f>IFERROR(VLOOKUP(Table43_1[[#This Row],[PCPL KODE 5]],#REF!,3,0),0)</f>
        <v>0</v>
      </c>
      <c r="M316" s="3">
        <f>Table43_1[[#This Row],[QTY 1]]+Table43_1[[#This Row],[QTY 2]]+Table43_1[[#This Row],[QTY 3]]+Table43_1[[#This Row],[QTY 4]]+Table43_1[[#This Row],[QTY 5]]</f>
        <v>0</v>
      </c>
      <c r="N316" s="3"/>
    </row>
    <row r="317" spans="1:14">
      <c r="A317" t="s">
        <v>1600</v>
      </c>
      <c r="B317" t="s">
        <v>1601</v>
      </c>
      <c r="C317">
        <v>202001</v>
      </c>
      <c r="H317" s="3">
        <f>IFERROR(VLOOKUP(Table43_1[[#This Row],[PCPL KODE 1]],#REF!,3,0),0)</f>
        <v>0</v>
      </c>
      <c r="I317" s="3">
        <f>IFERROR(VLOOKUP(Table43_1[[#This Row],[PCPL KODE 2]],#REF!,3,0),0)</f>
        <v>0</v>
      </c>
      <c r="J317" s="3">
        <f>IFERROR(VLOOKUP(Table43_1[[#This Row],[PCPL KODE 3]],#REF!,3,0),0)</f>
        <v>0</v>
      </c>
      <c r="K317" s="3">
        <f>IFERROR(VLOOKUP(Table43_1[[#This Row],[PCPL KODE 4]],#REF!,3,0),0)</f>
        <v>0</v>
      </c>
      <c r="L317" s="3">
        <f>IFERROR(VLOOKUP(Table43_1[[#This Row],[PCPL KODE 5]],#REF!,3,0),0)</f>
        <v>0</v>
      </c>
      <c r="M317" s="3">
        <f>Table43_1[[#This Row],[QTY 1]]+Table43_1[[#This Row],[QTY 2]]+Table43_1[[#This Row],[QTY 3]]+Table43_1[[#This Row],[QTY 4]]+Table43_1[[#This Row],[QTY 5]]</f>
        <v>0</v>
      </c>
      <c r="N317" s="3"/>
    </row>
    <row r="318" spans="1:14">
      <c r="A318" t="s">
        <v>1602</v>
      </c>
      <c r="B318" t="s">
        <v>1603</v>
      </c>
      <c r="C318">
        <v>202004</v>
      </c>
      <c r="H318" s="3">
        <f>IFERROR(VLOOKUP(Table43_1[[#This Row],[PCPL KODE 1]],#REF!,3,0),0)</f>
        <v>0</v>
      </c>
      <c r="I318" s="3">
        <f>IFERROR(VLOOKUP(Table43_1[[#This Row],[PCPL KODE 2]],#REF!,3,0),0)</f>
        <v>0</v>
      </c>
      <c r="J318" s="3">
        <f>IFERROR(VLOOKUP(Table43_1[[#This Row],[PCPL KODE 3]],#REF!,3,0),0)</f>
        <v>0</v>
      </c>
      <c r="K318" s="3">
        <f>IFERROR(VLOOKUP(Table43_1[[#This Row],[PCPL KODE 4]],#REF!,3,0),0)</f>
        <v>0</v>
      </c>
      <c r="L318" s="3">
        <f>IFERROR(VLOOKUP(Table43_1[[#This Row],[PCPL KODE 5]],#REF!,3,0),0)</f>
        <v>0</v>
      </c>
      <c r="M318" s="3">
        <f>Table43_1[[#This Row],[QTY 1]]+Table43_1[[#This Row],[QTY 2]]+Table43_1[[#This Row],[QTY 3]]+Table43_1[[#This Row],[QTY 4]]+Table43_1[[#This Row],[QTY 5]]</f>
        <v>0</v>
      </c>
      <c r="N318" s="3"/>
    </row>
    <row r="319" spans="1:14">
      <c r="A319" t="s">
        <v>1604</v>
      </c>
      <c r="B319" t="s">
        <v>1605</v>
      </c>
      <c r="C319">
        <v>202005</v>
      </c>
      <c r="H319" s="3">
        <f>IFERROR(VLOOKUP(Table43_1[[#This Row],[PCPL KODE 1]],#REF!,3,0),0)</f>
        <v>0</v>
      </c>
      <c r="I319" s="3">
        <f>IFERROR(VLOOKUP(Table43_1[[#This Row],[PCPL KODE 2]],#REF!,3,0),0)</f>
        <v>0</v>
      </c>
      <c r="J319" s="3">
        <f>IFERROR(VLOOKUP(Table43_1[[#This Row],[PCPL KODE 3]],#REF!,3,0),0)</f>
        <v>0</v>
      </c>
      <c r="K319" s="3">
        <f>IFERROR(VLOOKUP(Table43_1[[#This Row],[PCPL KODE 4]],#REF!,3,0),0)</f>
        <v>0</v>
      </c>
      <c r="L319" s="3">
        <f>IFERROR(VLOOKUP(Table43_1[[#This Row],[PCPL KODE 5]],#REF!,3,0),0)</f>
        <v>0</v>
      </c>
      <c r="M319" s="3">
        <f>Table43_1[[#This Row],[QTY 1]]+Table43_1[[#This Row],[QTY 2]]+Table43_1[[#This Row],[QTY 3]]+Table43_1[[#This Row],[QTY 4]]+Table43_1[[#This Row],[QTY 5]]</f>
        <v>0</v>
      </c>
      <c r="N319" s="3"/>
    </row>
    <row r="320" spans="1:14">
      <c r="A320" t="s">
        <v>1606</v>
      </c>
      <c r="B320" t="s">
        <v>1607</v>
      </c>
      <c r="C320">
        <v>202006</v>
      </c>
      <c r="H320" s="3">
        <f>IFERROR(VLOOKUP(Table43_1[[#This Row],[PCPL KODE 1]],#REF!,3,0),0)</f>
        <v>0</v>
      </c>
      <c r="I320" s="3">
        <f>IFERROR(VLOOKUP(Table43_1[[#This Row],[PCPL KODE 2]],#REF!,3,0),0)</f>
        <v>0</v>
      </c>
      <c r="J320" s="3">
        <f>IFERROR(VLOOKUP(Table43_1[[#This Row],[PCPL KODE 3]],#REF!,3,0),0)</f>
        <v>0</v>
      </c>
      <c r="K320" s="3">
        <f>IFERROR(VLOOKUP(Table43_1[[#This Row],[PCPL KODE 4]],#REF!,3,0),0)</f>
        <v>0</v>
      </c>
      <c r="L320" s="3">
        <f>IFERROR(VLOOKUP(Table43_1[[#This Row],[PCPL KODE 5]],#REF!,3,0),0)</f>
        <v>0</v>
      </c>
      <c r="M320" s="3">
        <f>Table43_1[[#This Row],[QTY 1]]+Table43_1[[#This Row],[QTY 2]]+Table43_1[[#This Row],[QTY 3]]+Table43_1[[#This Row],[QTY 4]]+Table43_1[[#This Row],[QTY 5]]</f>
        <v>0</v>
      </c>
      <c r="N320" s="3"/>
    </row>
    <row r="321" spans="1:14">
      <c r="A321" t="s">
        <v>1608</v>
      </c>
      <c r="B321" t="s">
        <v>1609</v>
      </c>
      <c r="C321">
        <v>202010</v>
      </c>
      <c r="H321" s="3">
        <f>IFERROR(VLOOKUP(Table43_1[[#This Row],[PCPL KODE 1]],#REF!,3,0),0)</f>
        <v>0</v>
      </c>
      <c r="I321" s="3">
        <f>IFERROR(VLOOKUP(Table43_1[[#This Row],[PCPL KODE 2]],#REF!,3,0),0)</f>
        <v>0</v>
      </c>
      <c r="J321" s="3">
        <f>IFERROR(VLOOKUP(Table43_1[[#This Row],[PCPL KODE 3]],#REF!,3,0),0)</f>
        <v>0</v>
      </c>
      <c r="K321" s="3">
        <f>IFERROR(VLOOKUP(Table43_1[[#This Row],[PCPL KODE 4]],#REF!,3,0),0)</f>
        <v>0</v>
      </c>
      <c r="L321" s="3">
        <f>IFERROR(VLOOKUP(Table43_1[[#This Row],[PCPL KODE 5]],#REF!,3,0),0)</f>
        <v>0</v>
      </c>
      <c r="M321" s="3">
        <f>Table43_1[[#This Row],[QTY 1]]+Table43_1[[#This Row],[QTY 2]]+Table43_1[[#This Row],[QTY 3]]+Table43_1[[#This Row],[QTY 4]]+Table43_1[[#This Row],[QTY 5]]</f>
        <v>0</v>
      </c>
      <c r="N321" s="3"/>
    </row>
    <row r="322" spans="1:14">
      <c r="A322" t="s">
        <v>1610</v>
      </c>
      <c r="B322" t="s">
        <v>1611</v>
      </c>
      <c r="C322">
        <v>202011</v>
      </c>
      <c r="H322" s="3">
        <f>IFERROR(VLOOKUP(Table43_1[[#This Row],[PCPL KODE 1]],#REF!,3,0),0)</f>
        <v>0</v>
      </c>
      <c r="I322" s="3">
        <f>IFERROR(VLOOKUP(Table43_1[[#This Row],[PCPL KODE 2]],#REF!,3,0),0)</f>
        <v>0</v>
      </c>
      <c r="J322" s="3">
        <f>IFERROR(VLOOKUP(Table43_1[[#This Row],[PCPL KODE 3]],#REF!,3,0),0)</f>
        <v>0</v>
      </c>
      <c r="K322" s="3">
        <f>IFERROR(VLOOKUP(Table43_1[[#This Row],[PCPL KODE 4]],#REF!,3,0),0)</f>
        <v>0</v>
      </c>
      <c r="L322" s="3">
        <f>IFERROR(VLOOKUP(Table43_1[[#This Row],[PCPL KODE 5]],#REF!,3,0),0)</f>
        <v>0</v>
      </c>
      <c r="M322" s="3">
        <f>Table43_1[[#This Row],[QTY 1]]+Table43_1[[#This Row],[QTY 2]]+Table43_1[[#This Row],[QTY 3]]+Table43_1[[#This Row],[QTY 4]]+Table43_1[[#This Row],[QTY 5]]</f>
        <v>0</v>
      </c>
      <c r="N322" s="3"/>
    </row>
    <row r="323" spans="1:14">
      <c r="A323" t="s">
        <v>1612</v>
      </c>
      <c r="B323" t="s">
        <v>1613</v>
      </c>
      <c r="C323">
        <v>202008</v>
      </c>
      <c r="H323" s="3">
        <f>IFERROR(VLOOKUP(Table43_1[[#This Row],[PCPL KODE 1]],#REF!,3,0),0)</f>
        <v>0</v>
      </c>
      <c r="I323" s="3">
        <f>IFERROR(VLOOKUP(Table43_1[[#This Row],[PCPL KODE 2]],#REF!,3,0),0)</f>
        <v>0</v>
      </c>
      <c r="J323" s="3">
        <f>IFERROR(VLOOKUP(Table43_1[[#This Row],[PCPL KODE 3]],#REF!,3,0),0)</f>
        <v>0</v>
      </c>
      <c r="K323" s="3">
        <f>IFERROR(VLOOKUP(Table43_1[[#This Row],[PCPL KODE 4]],#REF!,3,0),0)</f>
        <v>0</v>
      </c>
      <c r="L323" s="3">
        <f>IFERROR(VLOOKUP(Table43_1[[#This Row],[PCPL KODE 5]],#REF!,3,0),0)</f>
        <v>0</v>
      </c>
      <c r="M323" s="3">
        <f>Table43_1[[#This Row],[QTY 1]]+Table43_1[[#This Row],[QTY 2]]+Table43_1[[#This Row],[QTY 3]]+Table43_1[[#This Row],[QTY 4]]+Table43_1[[#This Row],[QTY 5]]</f>
        <v>0</v>
      </c>
      <c r="N323" s="3"/>
    </row>
    <row r="324" spans="1:14">
      <c r="A324" t="s">
        <v>1614</v>
      </c>
      <c r="B324" t="s">
        <v>1615</v>
      </c>
      <c r="C324">
        <v>202009</v>
      </c>
      <c r="H324" s="3">
        <f>IFERROR(VLOOKUP(Table43_1[[#This Row],[PCPL KODE 1]],#REF!,3,0),0)</f>
        <v>0</v>
      </c>
      <c r="I324" s="3">
        <f>IFERROR(VLOOKUP(Table43_1[[#This Row],[PCPL KODE 2]],#REF!,3,0),0)</f>
        <v>0</v>
      </c>
      <c r="J324" s="3">
        <f>IFERROR(VLOOKUP(Table43_1[[#This Row],[PCPL KODE 3]],#REF!,3,0),0)</f>
        <v>0</v>
      </c>
      <c r="K324" s="3">
        <f>IFERROR(VLOOKUP(Table43_1[[#This Row],[PCPL KODE 4]],#REF!,3,0),0)</f>
        <v>0</v>
      </c>
      <c r="L324" s="3">
        <f>IFERROR(VLOOKUP(Table43_1[[#This Row],[PCPL KODE 5]],#REF!,3,0),0)</f>
        <v>0</v>
      </c>
      <c r="M324" s="3">
        <f>Table43_1[[#This Row],[QTY 1]]+Table43_1[[#This Row],[QTY 2]]+Table43_1[[#This Row],[QTY 3]]+Table43_1[[#This Row],[QTY 4]]+Table43_1[[#This Row],[QTY 5]]</f>
        <v>0</v>
      </c>
      <c r="N324" s="3"/>
    </row>
    <row r="325" spans="1:14">
      <c r="A325" t="s">
        <v>1616</v>
      </c>
      <c r="B325" t="s">
        <v>1617</v>
      </c>
      <c r="C325">
        <v>202013</v>
      </c>
      <c r="H325" s="3">
        <f>IFERROR(VLOOKUP(Table43_1[[#This Row],[PCPL KODE 1]],#REF!,3,0),0)</f>
        <v>0</v>
      </c>
      <c r="I325" s="3">
        <f>IFERROR(VLOOKUP(Table43_1[[#This Row],[PCPL KODE 2]],#REF!,3,0),0)</f>
        <v>0</v>
      </c>
      <c r="J325" s="3">
        <f>IFERROR(VLOOKUP(Table43_1[[#This Row],[PCPL KODE 3]],#REF!,3,0),0)</f>
        <v>0</v>
      </c>
      <c r="K325" s="3">
        <f>IFERROR(VLOOKUP(Table43_1[[#This Row],[PCPL KODE 4]],#REF!,3,0),0)</f>
        <v>0</v>
      </c>
      <c r="L325" s="3">
        <f>IFERROR(VLOOKUP(Table43_1[[#This Row],[PCPL KODE 5]],#REF!,3,0),0)</f>
        <v>0</v>
      </c>
      <c r="M325" s="3">
        <f>Table43_1[[#This Row],[QTY 1]]+Table43_1[[#This Row],[QTY 2]]+Table43_1[[#This Row],[QTY 3]]+Table43_1[[#This Row],[QTY 4]]+Table43_1[[#This Row],[QTY 5]]</f>
        <v>0</v>
      </c>
      <c r="N325" s="3"/>
    </row>
    <row r="326" spans="1:14">
      <c r="A326" t="s">
        <v>1618</v>
      </c>
      <c r="B326" t="s">
        <v>1619</v>
      </c>
      <c r="C326">
        <v>108001</v>
      </c>
      <c r="H326" s="3">
        <f>IFERROR(VLOOKUP(Table43_1[[#This Row],[PCPL KODE 1]],#REF!,3,0),0)</f>
        <v>0</v>
      </c>
      <c r="I326" s="3">
        <f>IFERROR(VLOOKUP(Table43_1[[#This Row],[PCPL KODE 2]],#REF!,3,0),0)</f>
        <v>0</v>
      </c>
      <c r="J326" s="3">
        <f>IFERROR(VLOOKUP(Table43_1[[#This Row],[PCPL KODE 3]],#REF!,3,0),0)</f>
        <v>0</v>
      </c>
      <c r="K326" s="3">
        <f>IFERROR(VLOOKUP(Table43_1[[#This Row],[PCPL KODE 4]],#REF!,3,0),0)</f>
        <v>0</v>
      </c>
      <c r="L326" s="3">
        <f>IFERROR(VLOOKUP(Table43_1[[#This Row],[PCPL KODE 5]],#REF!,3,0),0)</f>
        <v>0</v>
      </c>
      <c r="M326" s="3">
        <f>Table43_1[[#This Row],[QTY 1]]+Table43_1[[#This Row],[QTY 2]]+Table43_1[[#This Row],[QTY 3]]+Table43_1[[#This Row],[QTY 4]]+Table43_1[[#This Row],[QTY 5]]</f>
        <v>0</v>
      </c>
      <c r="N326" s="3"/>
    </row>
    <row r="327" spans="1:14">
      <c r="A327" t="s">
        <v>1620</v>
      </c>
      <c r="B327" t="s">
        <v>1621</v>
      </c>
      <c r="C327">
        <v>108002</v>
      </c>
      <c r="H327" s="3">
        <f>IFERROR(VLOOKUP(Table43_1[[#This Row],[PCPL KODE 1]],#REF!,3,0),0)</f>
        <v>0</v>
      </c>
      <c r="I327" s="3">
        <f>IFERROR(VLOOKUP(Table43_1[[#This Row],[PCPL KODE 2]],#REF!,3,0),0)</f>
        <v>0</v>
      </c>
      <c r="J327" s="3">
        <f>IFERROR(VLOOKUP(Table43_1[[#This Row],[PCPL KODE 3]],#REF!,3,0),0)</f>
        <v>0</v>
      </c>
      <c r="K327" s="3">
        <f>IFERROR(VLOOKUP(Table43_1[[#This Row],[PCPL KODE 4]],#REF!,3,0),0)</f>
        <v>0</v>
      </c>
      <c r="L327" s="3">
        <f>IFERROR(VLOOKUP(Table43_1[[#This Row],[PCPL KODE 5]],#REF!,3,0),0)</f>
        <v>0</v>
      </c>
      <c r="M327" s="3">
        <f>Table43_1[[#This Row],[QTY 1]]+Table43_1[[#This Row],[QTY 2]]+Table43_1[[#This Row],[QTY 3]]+Table43_1[[#This Row],[QTY 4]]+Table43_1[[#This Row],[QTY 5]]</f>
        <v>0</v>
      </c>
      <c r="N327" s="3"/>
    </row>
    <row r="328" spans="1:14">
      <c r="A328" t="s">
        <v>1622</v>
      </c>
      <c r="B328" t="s">
        <v>1623</v>
      </c>
      <c r="C328">
        <v>108003</v>
      </c>
      <c r="H328" s="3">
        <f>IFERROR(VLOOKUP(Table43_1[[#This Row],[PCPL KODE 1]],#REF!,3,0),0)</f>
        <v>0</v>
      </c>
      <c r="I328" s="3">
        <f>IFERROR(VLOOKUP(Table43_1[[#This Row],[PCPL KODE 2]],#REF!,3,0),0)</f>
        <v>0</v>
      </c>
      <c r="J328" s="3">
        <f>IFERROR(VLOOKUP(Table43_1[[#This Row],[PCPL KODE 3]],#REF!,3,0),0)</f>
        <v>0</v>
      </c>
      <c r="K328" s="3">
        <f>IFERROR(VLOOKUP(Table43_1[[#This Row],[PCPL KODE 4]],#REF!,3,0),0)</f>
        <v>0</v>
      </c>
      <c r="L328" s="3">
        <f>IFERROR(VLOOKUP(Table43_1[[#This Row],[PCPL KODE 5]],#REF!,3,0),0)</f>
        <v>0</v>
      </c>
      <c r="M328" s="3">
        <f>Table43_1[[#This Row],[QTY 1]]+Table43_1[[#This Row],[QTY 2]]+Table43_1[[#This Row],[QTY 3]]+Table43_1[[#This Row],[QTY 4]]+Table43_1[[#This Row],[QTY 5]]</f>
        <v>0</v>
      </c>
      <c r="N328" s="3"/>
    </row>
    <row r="329" spans="1:14">
      <c r="A329" t="s">
        <v>1624</v>
      </c>
      <c r="B329" t="s">
        <v>1625</v>
      </c>
      <c r="C329">
        <v>108004</v>
      </c>
      <c r="H329" s="3">
        <f>IFERROR(VLOOKUP(Table43_1[[#This Row],[PCPL KODE 1]],#REF!,3,0),0)</f>
        <v>0</v>
      </c>
      <c r="I329" s="3">
        <f>IFERROR(VLOOKUP(Table43_1[[#This Row],[PCPL KODE 2]],#REF!,3,0),0)</f>
        <v>0</v>
      </c>
      <c r="J329" s="3">
        <f>IFERROR(VLOOKUP(Table43_1[[#This Row],[PCPL KODE 3]],#REF!,3,0),0)</f>
        <v>0</v>
      </c>
      <c r="K329" s="3">
        <f>IFERROR(VLOOKUP(Table43_1[[#This Row],[PCPL KODE 4]],#REF!,3,0),0)</f>
        <v>0</v>
      </c>
      <c r="L329" s="3">
        <f>IFERROR(VLOOKUP(Table43_1[[#This Row],[PCPL KODE 5]],#REF!,3,0),0)</f>
        <v>0</v>
      </c>
      <c r="M329" s="3">
        <f>Table43_1[[#This Row],[QTY 1]]+Table43_1[[#This Row],[QTY 2]]+Table43_1[[#This Row],[QTY 3]]+Table43_1[[#This Row],[QTY 4]]+Table43_1[[#This Row],[QTY 5]]</f>
        <v>0</v>
      </c>
      <c r="N329" s="3"/>
    </row>
    <row r="330" spans="1:14">
      <c r="A330" t="s">
        <v>1626</v>
      </c>
      <c r="B330" t="s">
        <v>1627</v>
      </c>
      <c r="C330">
        <v>108005</v>
      </c>
      <c r="H330" s="3">
        <f>IFERROR(VLOOKUP(Table43_1[[#This Row],[PCPL KODE 1]],#REF!,3,0),0)</f>
        <v>0</v>
      </c>
      <c r="I330" s="3">
        <f>IFERROR(VLOOKUP(Table43_1[[#This Row],[PCPL KODE 2]],#REF!,3,0),0)</f>
        <v>0</v>
      </c>
      <c r="J330" s="3">
        <f>IFERROR(VLOOKUP(Table43_1[[#This Row],[PCPL KODE 3]],#REF!,3,0),0)</f>
        <v>0</v>
      </c>
      <c r="K330" s="3">
        <f>IFERROR(VLOOKUP(Table43_1[[#This Row],[PCPL KODE 4]],#REF!,3,0),0)</f>
        <v>0</v>
      </c>
      <c r="L330" s="3">
        <f>IFERROR(VLOOKUP(Table43_1[[#This Row],[PCPL KODE 5]],#REF!,3,0),0)</f>
        <v>0</v>
      </c>
      <c r="M330" s="3">
        <f>Table43_1[[#This Row],[QTY 1]]+Table43_1[[#This Row],[QTY 2]]+Table43_1[[#This Row],[QTY 3]]+Table43_1[[#This Row],[QTY 4]]+Table43_1[[#This Row],[QTY 5]]</f>
        <v>0</v>
      </c>
      <c r="N330" s="3"/>
    </row>
    <row r="331" spans="1:14">
      <c r="A331" t="s">
        <v>1628</v>
      </c>
      <c r="B331" t="s">
        <v>1629</v>
      </c>
      <c r="C331">
        <v>108006</v>
      </c>
      <c r="H331" s="3">
        <f>IFERROR(VLOOKUP(Table43_1[[#This Row],[PCPL KODE 1]],#REF!,3,0),0)</f>
        <v>0</v>
      </c>
      <c r="I331" s="3">
        <f>IFERROR(VLOOKUP(Table43_1[[#This Row],[PCPL KODE 2]],#REF!,3,0),0)</f>
        <v>0</v>
      </c>
      <c r="J331" s="3">
        <f>IFERROR(VLOOKUP(Table43_1[[#This Row],[PCPL KODE 3]],#REF!,3,0),0)</f>
        <v>0</v>
      </c>
      <c r="K331" s="3">
        <f>IFERROR(VLOOKUP(Table43_1[[#This Row],[PCPL KODE 4]],#REF!,3,0),0)</f>
        <v>0</v>
      </c>
      <c r="L331" s="3">
        <f>IFERROR(VLOOKUP(Table43_1[[#This Row],[PCPL KODE 5]],#REF!,3,0),0)</f>
        <v>0</v>
      </c>
      <c r="M331" s="3">
        <f>Table43_1[[#This Row],[QTY 1]]+Table43_1[[#This Row],[QTY 2]]+Table43_1[[#This Row],[QTY 3]]+Table43_1[[#This Row],[QTY 4]]+Table43_1[[#This Row],[QTY 5]]</f>
        <v>0</v>
      </c>
      <c r="N331" s="3"/>
    </row>
    <row r="332" spans="1:14">
      <c r="A332" t="s">
        <v>1630</v>
      </c>
      <c r="B332" t="s">
        <v>1631</v>
      </c>
      <c r="C332">
        <v>108007</v>
      </c>
      <c r="H332" s="3">
        <f>IFERROR(VLOOKUP(Table43_1[[#This Row],[PCPL KODE 1]],#REF!,3,0),0)</f>
        <v>0</v>
      </c>
      <c r="I332" s="3">
        <f>IFERROR(VLOOKUP(Table43_1[[#This Row],[PCPL KODE 2]],#REF!,3,0),0)</f>
        <v>0</v>
      </c>
      <c r="J332" s="3">
        <f>IFERROR(VLOOKUP(Table43_1[[#This Row],[PCPL KODE 3]],#REF!,3,0),0)</f>
        <v>0</v>
      </c>
      <c r="K332" s="3">
        <f>IFERROR(VLOOKUP(Table43_1[[#This Row],[PCPL KODE 4]],#REF!,3,0),0)</f>
        <v>0</v>
      </c>
      <c r="L332" s="3">
        <f>IFERROR(VLOOKUP(Table43_1[[#This Row],[PCPL KODE 5]],#REF!,3,0),0)</f>
        <v>0</v>
      </c>
      <c r="M332" s="3">
        <f>Table43_1[[#This Row],[QTY 1]]+Table43_1[[#This Row],[QTY 2]]+Table43_1[[#This Row],[QTY 3]]+Table43_1[[#This Row],[QTY 4]]+Table43_1[[#This Row],[QTY 5]]</f>
        <v>0</v>
      </c>
      <c r="N332" s="3"/>
    </row>
    <row r="333" spans="1:14">
      <c r="A333" t="s">
        <v>1632</v>
      </c>
      <c r="B333" t="s">
        <v>1633</v>
      </c>
      <c r="C333">
        <v>108008</v>
      </c>
      <c r="H333" s="3">
        <f>IFERROR(VLOOKUP(Table43_1[[#This Row],[PCPL KODE 1]],#REF!,3,0),0)</f>
        <v>0</v>
      </c>
      <c r="I333" s="3">
        <f>IFERROR(VLOOKUP(Table43_1[[#This Row],[PCPL KODE 2]],#REF!,3,0),0)</f>
        <v>0</v>
      </c>
      <c r="J333" s="3">
        <f>IFERROR(VLOOKUP(Table43_1[[#This Row],[PCPL KODE 3]],#REF!,3,0),0)</f>
        <v>0</v>
      </c>
      <c r="K333" s="3">
        <f>IFERROR(VLOOKUP(Table43_1[[#This Row],[PCPL KODE 4]],#REF!,3,0),0)</f>
        <v>0</v>
      </c>
      <c r="L333" s="3">
        <f>IFERROR(VLOOKUP(Table43_1[[#This Row],[PCPL KODE 5]],#REF!,3,0),0)</f>
        <v>0</v>
      </c>
      <c r="M333" s="3">
        <f>Table43_1[[#This Row],[QTY 1]]+Table43_1[[#This Row],[QTY 2]]+Table43_1[[#This Row],[QTY 3]]+Table43_1[[#This Row],[QTY 4]]+Table43_1[[#This Row],[QTY 5]]</f>
        <v>0</v>
      </c>
      <c r="N333" s="3"/>
    </row>
    <row r="334" spans="1:14">
      <c r="A334" t="s">
        <v>1634</v>
      </c>
      <c r="B334" t="s">
        <v>1635</v>
      </c>
      <c r="C334">
        <v>108009</v>
      </c>
      <c r="H334" s="3">
        <f>IFERROR(VLOOKUP(Table43_1[[#This Row],[PCPL KODE 1]],#REF!,3,0),0)</f>
        <v>0</v>
      </c>
      <c r="I334" s="3">
        <f>IFERROR(VLOOKUP(Table43_1[[#This Row],[PCPL KODE 2]],#REF!,3,0),0)</f>
        <v>0</v>
      </c>
      <c r="J334" s="3">
        <f>IFERROR(VLOOKUP(Table43_1[[#This Row],[PCPL KODE 3]],#REF!,3,0),0)</f>
        <v>0</v>
      </c>
      <c r="K334" s="3">
        <f>IFERROR(VLOOKUP(Table43_1[[#This Row],[PCPL KODE 4]],#REF!,3,0),0)</f>
        <v>0</v>
      </c>
      <c r="L334" s="3">
        <f>IFERROR(VLOOKUP(Table43_1[[#This Row],[PCPL KODE 5]],#REF!,3,0),0)</f>
        <v>0</v>
      </c>
      <c r="M334" s="3">
        <f>Table43_1[[#This Row],[QTY 1]]+Table43_1[[#This Row],[QTY 2]]+Table43_1[[#This Row],[QTY 3]]+Table43_1[[#This Row],[QTY 4]]+Table43_1[[#This Row],[QTY 5]]</f>
        <v>0</v>
      </c>
      <c r="N334" s="3"/>
    </row>
    <row r="335" spans="1:14">
      <c r="A335" t="s">
        <v>1636</v>
      </c>
      <c r="B335" t="s">
        <v>1637</v>
      </c>
      <c r="C335">
        <v>108010</v>
      </c>
      <c r="H335" s="3">
        <f>IFERROR(VLOOKUP(Table43_1[[#This Row],[PCPL KODE 1]],#REF!,3,0),0)</f>
        <v>0</v>
      </c>
      <c r="I335" s="3">
        <f>IFERROR(VLOOKUP(Table43_1[[#This Row],[PCPL KODE 2]],#REF!,3,0),0)</f>
        <v>0</v>
      </c>
      <c r="J335" s="3">
        <f>IFERROR(VLOOKUP(Table43_1[[#This Row],[PCPL KODE 3]],#REF!,3,0),0)</f>
        <v>0</v>
      </c>
      <c r="K335" s="3">
        <f>IFERROR(VLOOKUP(Table43_1[[#This Row],[PCPL KODE 4]],#REF!,3,0),0)</f>
        <v>0</v>
      </c>
      <c r="L335" s="3">
        <f>IFERROR(VLOOKUP(Table43_1[[#This Row],[PCPL KODE 5]],#REF!,3,0),0)</f>
        <v>0</v>
      </c>
      <c r="M335" s="3">
        <f>Table43_1[[#This Row],[QTY 1]]+Table43_1[[#This Row],[QTY 2]]+Table43_1[[#This Row],[QTY 3]]+Table43_1[[#This Row],[QTY 4]]+Table43_1[[#This Row],[QTY 5]]</f>
        <v>0</v>
      </c>
      <c r="N335" s="3"/>
    </row>
    <row r="336" spans="1:14">
      <c r="A336" t="s">
        <v>1638</v>
      </c>
      <c r="B336" t="s">
        <v>1639</v>
      </c>
      <c r="C336">
        <v>108011</v>
      </c>
      <c r="H336" s="3">
        <f>IFERROR(VLOOKUP(Table43_1[[#This Row],[PCPL KODE 1]],#REF!,3,0),0)</f>
        <v>0</v>
      </c>
      <c r="I336" s="3">
        <f>IFERROR(VLOOKUP(Table43_1[[#This Row],[PCPL KODE 2]],#REF!,3,0),0)</f>
        <v>0</v>
      </c>
      <c r="J336" s="3">
        <f>IFERROR(VLOOKUP(Table43_1[[#This Row],[PCPL KODE 3]],#REF!,3,0),0)</f>
        <v>0</v>
      </c>
      <c r="K336" s="3">
        <f>IFERROR(VLOOKUP(Table43_1[[#This Row],[PCPL KODE 4]],#REF!,3,0),0)</f>
        <v>0</v>
      </c>
      <c r="L336" s="3">
        <f>IFERROR(VLOOKUP(Table43_1[[#This Row],[PCPL KODE 5]],#REF!,3,0),0)</f>
        <v>0</v>
      </c>
      <c r="M336" s="3">
        <f>Table43_1[[#This Row],[QTY 1]]+Table43_1[[#This Row],[QTY 2]]+Table43_1[[#This Row],[QTY 3]]+Table43_1[[#This Row],[QTY 4]]+Table43_1[[#This Row],[QTY 5]]</f>
        <v>0</v>
      </c>
      <c r="N336" s="3"/>
    </row>
    <row r="337" spans="1:14">
      <c r="A337" t="s">
        <v>1640</v>
      </c>
      <c r="B337" t="s">
        <v>1641</v>
      </c>
      <c r="C337">
        <v>108012</v>
      </c>
      <c r="H337" s="3">
        <f>IFERROR(VLOOKUP(Table43_1[[#This Row],[PCPL KODE 1]],#REF!,3,0),0)</f>
        <v>0</v>
      </c>
      <c r="I337" s="3">
        <f>IFERROR(VLOOKUP(Table43_1[[#This Row],[PCPL KODE 2]],#REF!,3,0),0)</f>
        <v>0</v>
      </c>
      <c r="J337" s="3">
        <f>IFERROR(VLOOKUP(Table43_1[[#This Row],[PCPL KODE 3]],#REF!,3,0),0)</f>
        <v>0</v>
      </c>
      <c r="K337" s="3">
        <f>IFERROR(VLOOKUP(Table43_1[[#This Row],[PCPL KODE 4]],#REF!,3,0),0)</f>
        <v>0</v>
      </c>
      <c r="L337" s="3">
        <f>IFERROR(VLOOKUP(Table43_1[[#This Row],[PCPL KODE 5]],#REF!,3,0),0)</f>
        <v>0</v>
      </c>
      <c r="M337" s="3">
        <f>Table43_1[[#This Row],[QTY 1]]+Table43_1[[#This Row],[QTY 2]]+Table43_1[[#This Row],[QTY 3]]+Table43_1[[#This Row],[QTY 4]]+Table43_1[[#This Row],[QTY 5]]</f>
        <v>0</v>
      </c>
      <c r="N337" s="3"/>
    </row>
    <row r="338" spans="1:14">
      <c r="A338" t="s">
        <v>1642</v>
      </c>
      <c r="B338" t="s">
        <v>1643</v>
      </c>
      <c r="C338">
        <v>108013</v>
      </c>
      <c r="H338" s="3">
        <f>IFERROR(VLOOKUP(Table43_1[[#This Row],[PCPL KODE 1]],#REF!,3,0),0)</f>
        <v>0</v>
      </c>
      <c r="I338" s="3">
        <f>IFERROR(VLOOKUP(Table43_1[[#This Row],[PCPL KODE 2]],#REF!,3,0),0)</f>
        <v>0</v>
      </c>
      <c r="J338" s="3">
        <f>IFERROR(VLOOKUP(Table43_1[[#This Row],[PCPL KODE 3]],#REF!,3,0),0)</f>
        <v>0</v>
      </c>
      <c r="K338" s="3">
        <f>IFERROR(VLOOKUP(Table43_1[[#This Row],[PCPL KODE 4]],#REF!,3,0),0)</f>
        <v>0</v>
      </c>
      <c r="L338" s="3">
        <f>IFERROR(VLOOKUP(Table43_1[[#This Row],[PCPL KODE 5]],#REF!,3,0),0)</f>
        <v>0</v>
      </c>
      <c r="M338" s="3">
        <f>Table43_1[[#This Row],[QTY 1]]+Table43_1[[#This Row],[QTY 2]]+Table43_1[[#This Row],[QTY 3]]+Table43_1[[#This Row],[QTY 4]]+Table43_1[[#This Row],[QTY 5]]</f>
        <v>0</v>
      </c>
      <c r="N338" s="3"/>
    </row>
    <row r="339" spans="1:14">
      <c r="A339" t="s">
        <v>1644</v>
      </c>
      <c r="B339" t="s">
        <v>1645</v>
      </c>
      <c r="C339">
        <v>108014</v>
      </c>
      <c r="H339" s="3">
        <f>IFERROR(VLOOKUP(Table43_1[[#This Row],[PCPL KODE 1]],#REF!,3,0),0)</f>
        <v>0</v>
      </c>
      <c r="I339" s="3">
        <f>IFERROR(VLOOKUP(Table43_1[[#This Row],[PCPL KODE 2]],#REF!,3,0),0)</f>
        <v>0</v>
      </c>
      <c r="J339" s="3">
        <f>IFERROR(VLOOKUP(Table43_1[[#This Row],[PCPL KODE 3]],#REF!,3,0),0)</f>
        <v>0</v>
      </c>
      <c r="K339" s="3">
        <f>IFERROR(VLOOKUP(Table43_1[[#This Row],[PCPL KODE 4]],#REF!,3,0),0)</f>
        <v>0</v>
      </c>
      <c r="L339" s="3">
        <f>IFERROR(VLOOKUP(Table43_1[[#This Row],[PCPL KODE 5]],#REF!,3,0),0)</f>
        <v>0</v>
      </c>
      <c r="M339" s="3">
        <f>Table43_1[[#This Row],[QTY 1]]+Table43_1[[#This Row],[QTY 2]]+Table43_1[[#This Row],[QTY 3]]+Table43_1[[#This Row],[QTY 4]]+Table43_1[[#This Row],[QTY 5]]</f>
        <v>0</v>
      </c>
      <c r="N339" s="3"/>
    </row>
    <row r="340" spans="1:14">
      <c r="A340" t="s">
        <v>1646</v>
      </c>
      <c r="B340" t="s">
        <v>1647</v>
      </c>
      <c r="C340">
        <v>108015</v>
      </c>
      <c r="H340" s="3">
        <f>IFERROR(VLOOKUP(Table43_1[[#This Row],[PCPL KODE 1]],#REF!,3,0),0)</f>
        <v>0</v>
      </c>
      <c r="I340" s="3">
        <f>IFERROR(VLOOKUP(Table43_1[[#This Row],[PCPL KODE 2]],#REF!,3,0),0)</f>
        <v>0</v>
      </c>
      <c r="J340" s="3">
        <f>IFERROR(VLOOKUP(Table43_1[[#This Row],[PCPL KODE 3]],#REF!,3,0),0)</f>
        <v>0</v>
      </c>
      <c r="K340" s="3">
        <f>IFERROR(VLOOKUP(Table43_1[[#This Row],[PCPL KODE 4]],#REF!,3,0),0)</f>
        <v>0</v>
      </c>
      <c r="L340" s="3">
        <f>IFERROR(VLOOKUP(Table43_1[[#This Row],[PCPL KODE 5]],#REF!,3,0),0)</f>
        <v>0</v>
      </c>
      <c r="M340" s="3">
        <f>Table43_1[[#This Row],[QTY 1]]+Table43_1[[#This Row],[QTY 2]]+Table43_1[[#This Row],[QTY 3]]+Table43_1[[#This Row],[QTY 4]]+Table43_1[[#This Row],[QTY 5]]</f>
        <v>0</v>
      </c>
      <c r="N340" s="3"/>
    </row>
    <row r="341" spans="1:14">
      <c r="A341" t="s">
        <v>1648</v>
      </c>
      <c r="B341" t="s">
        <v>1649</v>
      </c>
      <c r="C341">
        <v>108016</v>
      </c>
      <c r="H341" s="3">
        <f>IFERROR(VLOOKUP(Table43_1[[#This Row],[PCPL KODE 1]],#REF!,3,0),0)</f>
        <v>0</v>
      </c>
      <c r="I341" s="3">
        <f>IFERROR(VLOOKUP(Table43_1[[#This Row],[PCPL KODE 2]],#REF!,3,0),0)</f>
        <v>0</v>
      </c>
      <c r="J341" s="3">
        <f>IFERROR(VLOOKUP(Table43_1[[#This Row],[PCPL KODE 3]],#REF!,3,0),0)</f>
        <v>0</v>
      </c>
      <c r="K341" s="3">
        <f>IFERROR(VLOOKUP(Table43_1[[#This Row],[PCPL KODE 4]],#REF!,3,0),0)</f>
        <v>0</v>
      </c>
      <c r="L341" s="3">
        <f>IFERROR(VLOOKUP(Table43_1[[#This Row],[PCPL KODE 5]],#REF!,3,0),0)</f>
        <v>0</v>
      </c>
      <c r="M341" s="3">
        <f>Table43_1[[#This Row],[QTY 1]]+Table43_1[[#This Row],[QTY 2]]+Table43_1[[#This Row],[QTY 3]]+Table43_1[[#This Row],[QTY 4]]+Table43_1[[#This Row],[QTY 5]]</f>
        <v>0</v>
      </c>
      <c r="N341" s="3"/>
    </row>
    <row r="342" spans="1:14">
      <c r="A342" t="s">
        <v>1650</v>
      </c>
      <c r="B342" t="s">
        <v>1651</v>
      </c>
      <c r="C342">
        <v>108017</v>
      </c>
      <c r="H342" s="3">
        <f>IFERROR(VLOOKUP(Table43_1[[#This Row],[PCPL KODE 1]],#REF!,3,0),0)</f>
        <v>0</v>
      </c>
      <c r="I342" s="3">
        <f>IFERROR(VLOOKUP(Table43_1[[#This Row],[PCPL KODE 2]],#REF!,3,0),0)</f>
        <v>0</v>
      </c>
      <c r="J342" s="3">
        <f>IFERROR(VLOOKUP(Table43_1[[#This Row],[PCPL KODE 3]],#REF!,3,0),0)</f>
        <v>0</v>
      </c>
      <c r="K342" s="3">
        <f>IFERROR(VLOOKUP(Table43_1[[#This Row],[PCPL KODE 4]],#REF!,3,0),0)</f>
        <v>0</v>
      </c>
      <c r="L342" s="3">
        <f>IFERROR(VLOOKUP(Table43_1[[#This Row],[PCPL KODE 5]],#REF!,3,0),0)</f>
        <v>0</v>
      </c>
      <c r="M342" s="3">
        <f>Table43_1[[#This Row],[QTY 1]]+Table43_1[[#This Row],[QTY 2]]+Table43_1[[#This Row],[QTY 3]]+Table43_1[[#This Row],[QTY 4]]+Table43_1[[#This Row],[QTY 5]]</f>
        <v>0</v>
      </c>
      <c r="N342" s="3"/>
    </row>
    <row r="343" spans="1:14">
      <c r="A343" t="s">
        <v>1652</v>
      </c>
      <c r="B343" t="s">
        <v>1653</v>
      </c>
      <c r="C343">
        <v>108018</v>
      </c>
      <c r="H343" s="3">
        <f>IFERROR(VLOOKUP(Table43_1[[#This Row],[PCPL KODE 1]],#REF!,3,0),0)</f>
        <v>0</v>
      </c>
      <c r="I343" s="3">
        <f>IFERROR(VLOOKUP(Table43_1[[#This Row],[PCPL KODE 2]],#REF!,3,0),0)</f>
        <v>0</v>
      </c>
      <c r="J343" s="3">
        <f>IFERROR(VLOOKUP(Table43_1[[#This Row],[PCPL KODE 3]],#REF!,3,0),0)</f>
        <v>0</v>
      </c>
      <c r="K343" s="3">
        <f>IFERROR(VLOOKUP(Table43_1[[#This Row],[PCPL KODE 4]],#REF!,3,0),0)</f>
        <v>0</v>
      </c>
      <c r="L343" s="3">
        <f>IFERROR(VLOOKUP(Table43_1[[#This Row],[PCPL KODE 5]],#REF!,3,0),0)</f>
        <v>0</v>
      </c>
      <c r="M343" s="3">
        <f>Table43_1[[#This Row],[QTY 1]]+Table43_1[[#This Row],[QTY 2]]+Table43_1[[#This Row],[QTY 3]]+Table43_1[[#This Row],[QTY 4]]+Table43_1[[#This Row],[QTY 5]]</f>
        <v>0</v>
      </c>
      <c r="N343" s="3"/>
    </row>
    <row r="344" spans="1:14">
      <c r="A344" t="s">
        <v>1654</v>
      </c>
      <c r="B344" t="s">
        <v>1655</v>
      </c>
      <c r="C344">
        <v>108019</v>
      </c>
      <c r="H344" s="3">
        <f>IFERROR(VLOOKUP(Table43_1[[#This Row],[PCPL KODE 1]],#REF!,3,0),0)</f>
        <v>0</v>
      </c>
      <c r="I344" s="3">
        <f>IFERROR(VLOOKUP(Table43_1[[#This Row],[PCPL KODE 2]],#REF!,3,0),0)</f>
        <v>0</v>
      </c>
      <c r="J344" s="3">
        <f>IFERROR(VLOOKUP(Table43_1[[#This Row],[PCPL KODE 3]],#REF!,3,0),0)</f>
        <v>0</v>
      </c>
      <c r="K344" s="3">
        <f>IFERROR(VLOOKUP(Table43_1[[#This Row],[PCPL KODE 4]],#REF!,3,0),0)</f>
        <v>0</v>
      </c>
      <c r="L344" s="3">
        <f>IFERROR(VLOOKUP(Table43_1[[#This Row],[PCPL KODE 5]],#REF!,3,0),0)</f>
        <v>0</v>
      </c>
      <c r="M344" s="3">
        <f>Table43_1[[#This Row],[QTY 1]]+Table43_1[[#This Row],[QTY 2]]+Table43_1[[#This Row],[QTY 3]]+Table43_1[[#This Row],[QTY 4]]+Table43_1[[#This Row],[QTY 5]]</f>
        <v>0</v>
      </c>
      <c r="N344" s="3"/>
    </row>
    <row r="345" spans="1:14">
      <c r="A345" t="s">
        <v>1656</v>
      </c>
      <c r="B345" t="s">
        <v>1657</v>
      </c>
      <c r="C345">
        <v>108020</v>
      </c>
      <c r="H345" s="3">
        <f>IFERROR(VLOOKUP(Table43_1[[#This Row],[PCPL KODE 1]],#REF!,3,0),0)</f>
        <v>0</v>
      </c>
      <c r="I345" s="3">
        <f>IFERROR(VLOOKUP(Table43_1[[#This Row],[PCPL KODE 2]],#REF!,3,0),0)</f>
        <v>0</v>
      </c>
      <c r="J345" s="3">
        <f>IFERROR(VLOOKUP(Table43_1[[#This Row],[PCPL KODE 3]],#REF!,3,0),0)</f>
        <v>0</v>
      </c>
      <c r="K345" s="3">
        <f>IFERROR(VLOOKUP(Table43_1[[#This Row],[PCPL KODE 4]],#REF!,3,0),0)</f>
        <v>0</v>
      </c>
      <c r="L345" s="3">
        <f>IFERROR(VLOOKUP(Table43_1[[#This Row],[PCPL KODE 5]],#REF!,3,0),0)</f>
        <v>0</v>
      </c>
      <c r="M345" s="3">
        <f>Table43_1[[#This Row],[QTY 1]]+Table43_1[[#This Row],[QTY 2]]+Table43_1[[#This Row],[QTY 3]]+Table43_1[[#This Row],[QTY 4]]+Table43_1[[#This Row],[QTY 5]]</f>
        <v>0</v>
      </c>
      <c r="N345" s="3"/>
    </row>
    <row r="346" spans="1:14">
      <c r="A346" t="s">
        <v>1658</v>
      </c>
      <c r="B346" t="s">
        <v>3511</v>
      </c>
      <c r="C346">
        <v>108021</v>
      </c>
      <c r="H346" s="3">
        <f>IFERROR(VLOOKUP(Table43_1[[#This Row],[PCPL KODE 1]],#REF!,3,0),0)</f>
        <v>0</v>
      </c>
      <c r="I346" s="3">
        <f>IFERROR(VLOOKUP(Table43_1[[#This Row],[PCPL KODE 2]],#REF!,3,0),0)</f>
        <v>0</v>
      </c>
      <c r="J346" s="3">
        <f>IFERROR(VLOOKUP(Table43_1[[#This Row],[PCPL KODE 3]],#REF!,3,0),0)</f>
        <v>0</v>
      </c>
      <c r="K346" s="3">
        <f>IFERROR(VLOOKUP(Table43_1[[#This Row],[PCPL KODE 4]],#REF!,3,0),0)</f>
        <v>0</v>
      </c>
      <c r="L346" s="3">
        <f>IFERROR(VLOOKUP(Table43_1[[#This Row],[PCPL KODE 5]],#REF!,3,0),0)</f>
        <v>0</v>
      </c>
      <c r="M346" s="3">
        <f>Table43_1[[#This Row],[QTY 1]]+Table43_1[[#This Row],[QTY 2]]+Table43_1[[#This Row],[QTY 3]]+Table43_1[[#This Row],[QTY 4]]+Table43_1[[#This Row],[QTY 5]]</f>
        <v>0</v>
      </c>
      <c r="N346" s="3"/>
    </row>
    <row r="347" spans="1:14">
      <c r="A347" t="s">
        <v>1660</v>
      </c>
      <c r="B347" t="s">
        <v>1661</v>
      </c>
      <c r="C347">
        <v>108022</v>
      </c>
      <c r="H347" s="3">
        <f>IFERROR(VLOOKUP(Table43_1[[#This Row],[PCPL KODE 1]],#REF!,3,0),0)</f>
        <v>0</v>
      </c>
      <c r="I347" s="3">
        <f>IFERROR(VLOOKUP(Table43_1[[#This Row],[PCPL KODE 2]],#REF!,3,0),0)</f>
        <v>0</v>
      </c>
      <c r="J347" s="3">
        <f>IFERROR(VLOOKUP(Table43_1[[#This Row],[PCPL KODE 3]],#REF!,3,0),0)</f>
        <v>0</v>
      </c>
      <c r="K347" s="3">
        <f>IFERROR(VLOOKUP(Table43_1[[#This Row],[PCPL KODE 4]],#REF!,3,0),0)</f>
        <v>0</v>
      </c>
      <c r="L347" s="3">
        <f>IFERROR(VLOOKUP(Table43_1[[#This Row],[PCPL KODE 5]],#REF!,3,0),0)</f>
        <v>0</v>
      </c>
      <c r="M347" s="3">
        <f>Table43_1[[#This Row],[QTY 1]]+Table43_1[[#This Row],[QTY 2]]+Table43_1[[#This Row],[QTY 3]]+Table43_1[[#This Row],[QTY 4]]+Table43_1[[#This Row],[QTY 5]]</f>
        <v>0</v>
      </c>
      <c r="N347" s="3"/>
    </row>
    <row r="348" spans="1:14">
      <c r="A348" t="s">
        <v>1662</v>
      </c>
      <c r="B348" t="s">
        <v>1663</v>
      </c>
      <c r="C348">
        <v>108023</v>
      </c>
      <c r="H348" s="3">
        <f>IFERROR(VLOOKUP(Table43_1[[#This Row],[PCPL KODE 1]],#REF!,3,0),0)</f>
        <v>0</v>
      </c>
      <c r="I348" s="3">
        <f>IFERROR(VLOOKUP(Table43_1[[#This Row],[PCPL KODE 2]],#REF!,3,0),0)</f>
        <v>0</v>
      </c>
      <c r="J348" s="3">
        <f>IFERROR(VLOOKUP(Table43_1[[#This Row],[PCPL KODE 3]],#REF!,3,0),0)</f>
        <v>0</v>
      </c>
      <c r="K348" s="3">
        <f>IFERROR(VLOOKUP(Table43_1[[#This Row],[PCPL KODE 4]],#REF!,3,0),0)</f>
        <v>0</v>
      </c>
      <c r="L348" s="3">
        <f>IFERROR(VLOOKUP(Table43_1[[#This Row],[PCPL KODE 5]],#REF!,3,0),0)</f>
        <v>0</v>
      </c>
      <c r="M348" s="3">
        <f>Table43_1[[#This Row],[QTY 1]]+Table43_1[[#This Row],[QTY 2]]+Table43_1[[#This Row],[QTY 3]]+Table43_1[[#This Row],[QTY 4]]+Table43_1[[#This Row],[QTY 5]]</f>
        <v>0</v>
      </c>
      <c r="N348" s="3"/>
    </row>
    <row r="349" spans="1:14">
      <c r="A349" t="s">
        <v>1664</v>
      </c>
      <c r="B349" t="s">
        <v>1665</v>
      </c>
      <c r="C349">
        <v>108024</v>
      </c>
      <c r="H349" s="3">
        <f>IFERROR(VLOOKUP(Table43_1[[#This Row],[PCPL KODE 1]],#REF!,3,0),0)</f>
        <v>0</v>
      </c>
      <c r="I349" s="3">
        <f>IFERROR(VLOOKUP(Table43_1[[#This Row],[PCPL KODE 2]],#REF!,3,0),0)</f>
        <v>0</v>
      </c>
      <c r="J349" s="3">
        <f>IFERROR(VLOOKUP(Table43_1[[#This Row],[PCPL KODE 3]],#REF!,3,0),0)</f>
        <v>0</v>
      </c>
      <c r="K349" s="3">
        <f>IFERROR(VLOOKUP(Table43_1[[#This Row],[PCPL KODE 4]],#REF!,3,0),0)</f>
        <v>0</v>
      </c>
      <c r="L349" s="3">
        <f>IFERROR(VLOOKUP(Table43_1[[#This Row],[PCPL KODE 5]],#REF!,3,0),0)</f>
        <v>0</v>
      </c>
      <c r="M349" s="3">
        <f>Table43_1[[#This Row],[QTY 1]]+Table43_1[[#This Row],[QTY 2]]+Table43_1[[#This Row],[QTY 3]]+Table43_1[[#This Row],[QTY 4]]+Table43_1[[#This Row],[QTY 5]]</f>
        <v>0</v>
      </c>
      <c r="N349" s="3"/>
    </row>
    <row r="350" spans="1:14">
      <c r="A350" t="s">
        <v>1666</v>
      </c>
      <c r="B350" t="s">
        <v>1667</v>
      </c>
      <c r="C350">
        <v>109009</v>
      </c>
      <c r="H350" s="3">
        <f>IFERROR(VLOOKUP(Table43_1[[#This Row],[PCPL KODE 1]],#REF!,3,0),0)</f>
        <v>0</v>
      </c>
      <c r="I350" s="3">
        <f>IFERROR(VLOOKUP(Table43_1[[#This Row],[PCPL KODE 2]],#REF!,3,0),0)</f>
        <v>0</v>
      </c>
      <c r="J350" s="3">
        <f>IFERROR(VLOOKUP(Table43_1[[#This Row],[PCPL KODE 3]],#REF!,3,0),0)</f>
        <v>0</v>
      </c>
      <c r="K350" s="3">
        <f>IFERROR(VLOOKUP(Table43_1[[#This Row],[PCPL KODE 4]],#REF!,3,0),0)</f>
        <v>0</v>
      </c>
      <c r="L350" s="3">
        <f>IFERROR(VLOOKUP(Table43_1[[#This Row],[PCPL KODE 5]],#REF!,3,0),0)</f>
        <v>0</v>
      </c>
      <c r="M350" s="3">
        <f>Table43_1[[#This Row],[QTY 1]]+Table43_1[[#This Row],[QTY 2]]+Table43_1[[#This Row],[QTY 3]]+Table43_1[[#This Row],[QTY 4]]+Table43_1[[#This Row],[QTY 5]]</f>
        <v>0</v>
      </c>
      <c r="N350" s="3"/>
    </row>
    <row r="351" spans="1:14">
      <c r="A351" t="s">
        <v>1668</v>
      </c>
      <c r="B351" t="s">
        <v>1669</v>
      </c>
      <c r="C351">
        <v>109012</v>
      </c>
      <c r="H351" s="3">
        <f>IFERROR(VLOOKUP(Table43_1[[#This Row],[PCPL KODE 1]],#REF!,3,0),0)</f>
        <v>0</v>
      </c>
      <c r="I351" s="3">
        <f>IFERROR(VLOOKUP(Table43_1[[#This Row],[PCPL KODE 2]],#REF!,3,0),0)</f>
        <v>0</v>
      </c>
      <c r="J351" s="3">
        <f>IFERROR(VLOOKUP(Table43_1[[#This Row],[PCPL KODE 3]],#REF!,3,0),0)</f>
        <v>0</v>
      </c>
      <c r="K351" s="3">
        <f>IFERROR(VLOOKUP(Table43_1[[#This Row],[PCPL KODE 4]],#REF!,3,0),0)</f>
        <v>0</v>
      </c>
      <c r="L351" s="3">
        <f>IFERROR(VLOOKUP(Table43_1[[#This Row],[PCPL KODE 5]],#REF!,3,0),0)</f>
        <v>0</v>
      </c>
      <c r="M351" s="3">
        <f>Table43_1[[#This Row],[QTY 1]]+Table43_1[[#This Row],[QTY 2]]+Table43_1[[#This Row],[QTY 3]]+Table43_1[[#This Row],[QTY 4]]+Table43_1[[#This Row],[QTY 5]]</f>
        <v>0</v>
      </c>
      <c r="N351" s="3"/>
    </row>
    <row r="352" spans="1:14">
      <c r="A352" t="s">
        <v>1670</v>
      </c>
      <c r="B352" t="s">
        <v>1671</v>
      </c>
      <c r="C352">
        <v>109015</v>
      </c>
      <c r="H352" s="3">
        <f>IFERROR(VLOOKUP(Table43_1[[#This Row],[PCPL KODE 1]],#REF!,3,0),0)</f>
        <v>0</v>
      </c>
      <c r="I352" s="3">
        <f>IFERROR(VLOOKUP(Table43_1[[#This Row],[PCPL KODE 2]],#REF!,3,0),0)</f>
        <v>0</v>
      </c>
      <c r="J352" s="3">
        <f>IFERROR(VLOOKUP(Table43_1[[#This Row],[PCPL KODE 3]],#REF!,3,0),0)</f>
        <v>0</v>
      </c>
      <c r="K352" s="3">
        <f>IFERROR(VLOOKUP(Table43_1[[#This Row],[PCPL KODE 4]],#REF!,3,0),0)</f>
        <v>0</v>
      </c>
      <c r="L352" s="3">
        <f>IFERROR(VLOOKUP(Table43_1[[#This Row],[PCPL KODE 5]],#REF!,3,0),0)</f>
        <v>0</v>
      </c>
      <c r="M352" s="3">
        <f>Table43_1[[#This Row],[QTY 1]]+Table43_1[[#This Row],[QTY 2]]+Table43_1[[#This Row],[QTY 3]]+Table43_1[[#This Row],[QTY 4]]+Table43_1[[#This Row],[QTY 5]]</f>
        <v>0</v>
      </c>
      <c r="N352" s="3"/>
    </row>
    <row r="353" spans="1:14">
      <c r="A353" t="s">
        <v>1672</v>
      </c>
      <c r="B353" t="s">
        <v>3512</v>
      </c>
      <c r="C353">
        <v>109013</v>
      </c>
      <c r="H353" s="3">
        <f>IFERROR(VLOOKUP(Table43_1[[#This Row],[PCPL KODE 1]],#REF!,3,0),0)</f>
        <v>0</v>
      </c>
      <c r="I353" s="3">
        <f>IFERROR(VLOOKUP(Table43_1[[#This Row],[PCPL KODE 2]],#REF!,3,0),0)</f>
        <v>0</v>
      </c>
      <c r="J353" s="3">
        <f>IFERROR(VLOOKUP(Table43_1[[#This Row],[PCPL KODE 3]],#REF!,3,0),0)</f>
        <v>0</v>
      </c>
      <c r="K353" s="3">
        <f>IFERROR(VLOOKUP(Table43_1[[#This Row],[PCPL KODE 4]],#REF!,3,0),0)</f>
        <v>0</v>
      </c>
      <c r="L353" s="3">
        <f>IFERROR(VLOOKUP(Table43_1[[#This Row],[PCPL KODE 5]],#REF!,3,0),0)</f>
        <v>0</v>
      </c>
      <c r="M353" s="3">
        <f>Table43_1[[#This Row],[QTY 1]]+Table43_1[[#This Row],[QTY 2]]+Table43_1[[#This Row],[QTY 3]]+Table43_1[[#This Row],[QTY 4]]+Table43_1[[#This Row],[QTY 5]]</f>
        <v>0</v>
      </c>
      <c r="N353" s="3"/>
    </row>
    <row r="354" spans="1:14">
      <c r="A354" t="s">
        <v>1674</v>
      </c>
      <c r="B354" t="s">
        <v>1675</v>
      </c>
      <c r="C354">
        <v>109014</v>
      </c>
      <c r="H354" s="3">
        <f>IFERROR(VLOOKUP(Table43_1[[#This Row],[PCPL KODE 1]],#REF!,3,0),0)</f>
        <v>0</v>
      </c>
      <c r="I354" s="3">
        <f>IFERROR(VLOOKUP(Table43_1[[#This Row],[PCPL KODE 2]],#REF!,3,0),0)</f>
        <v>0</v>
      </c>
      <c r="J354" s="3">
        <f>IFERROR(VLOOKUP(Table43_1[[#This Row],[PCPL KODE 3]],#REF!,3,0),0)</f>
        <v>0</v>
      </c>
      <c r="K354" s="3">
        <f>IFERROR(VLOOKUP(Table43_1[[#This Row],[PCPL KODE 4]],#REF!,3,0),0)</f>
        <v>0</v>
      </c>
      <c r="L354" s="3">
        <f>IFERROR(VLOOKUP(Table43_1[[#This Row],[PCPL KODE 5]],#REF!,3,0),0)</f>
        <v>0</v>
      </c>
      <c r="M354" s="3">
        <f>Table43_1[[#This Row],[QTY 1]]+Table43_1[[#This Row],[QTY 2]]+Table43_1[[#This Row],[QTY 3]]+Table43_1[[#This Row],[QTY 4]]+Table43_1[[#This Row],[QTY 5]]</f>
        <v>0</v>
      </c>
      <c r="N354" s="3"/>
    </row>
    <row r="355" spans="1:14">
      <c r="A355" t="s">
        <v>1676</v>
      </c>
      <c r="B355" t="s">
        <v>3513</v>
      </c>
      <c r="C355">
        <v>109016</v>
      </c>
      <c r="H355" s="3">
        <f>IFERROR(VLOOKUP(Table43_1[[#This Row],[PCPL KODE 1]],#REF!,3,0),0)</f>
        <v>0</v>
      </c>
      <c r="I355" s="3">
        <f>IFERROR(VLOOKUP(Table43_1[[#This Row],[PCPL KODE 2]],#REF!,3,0),0)</f>
        <v>0</v>
      </c>
      <c r="J355" s="3">
        <f>IFERROR(VLOOKUP(Table43_1[[#This Row],[PCPL KODE 3]],#REF!,3,0),0)</f>
        <v>0</v>
      </c>
      <c r="K355" s="3">
        <f>IFERROR(VLOOKUP(Table43_1[[#This Row],[PCPL KODE 4]],#REF!,3,0),0)</f>
        <v>0</v>
      </c>
      <c r="L355" s="3">
        <f>IFERROR(VLOOKUP(Table43_1[[#This Row],[PCPL KODE 5]],#REF!,3,0),0)</f>
        <v>0</v>
      </c>
      <c r="M355" s="3">
        <f>Table43_1[[#This Row],[QTY 1]]+Table43_1[[#This Row],[QTY 2]]+Table43_1[[#This Row],[QTY 3]]+Table43_1[[#This Row],[QTY 4]]+Table43_1[[#This Row],[QTY 5]]</f>
        <v>0</v>
      </c>
      <c r="N355" s="3"/>
    </row>
    <row r="356" spans="1:14">
      <c r="A356" t="s">
        <v>1678</v>
      </c>
      <c r="B356" t="s">
        <v>1679</v>
      </c>
      <c r="C356">
        <v>109010</v>
      </c>
      <c r="H356" s="3">
        <f>IFERROR(VLOOKUP(Table43_1[[#This Row],[PCPL KODE 1]],#REF!,3,0),0)</f>
        <v>0</v>
      </c>
      <c r="I356" s="3">
        <f>IFERROR(VLOOKUP(Table43_1[[#This Row],[PCPL KODE 2]],#REF!,3,0),0)</f>
        <v>0</v>
      </c>
      <c r="J356" s="3">
        <f>IFERROR(VLOOKUP(Table43_1[[#This Row],[PCPL KODE 3]],#REF!,3,0),0)</f>
        <v>0</v>
      </c>
      <c r="K356" s="3">
        <f>IFERROR(VLOOKUP(Table43_1[[#This Row],[PCPL KODE 4]],#REF!,3,0),0)</f>
        <v>0</v>
      </c>
      <c r="L356" s="3">
        <f>IFERROR(VLOOKUP(Table43_1[[#This Row],[PCPL KODE 5]],#REF!,3,0),0)</f>
        <v>0</v>
      </c>
      <c r="M356" s="3">
        <f>Table43_1[[#This Row],[QTY 1]]+Table43_1[[#This Row],[QTY 2]]+Table43_1[[#This Row],[QTY 3]]+Table43_1[[#This Row],[QTY 4]]+Table43_1[[#This Row],[QTY 5]]</f>
        <v>0</v>
      </c>
      <c r="N356" s="3"/>
    </row>
    <row r="357" spans="1:14">
      <c r="A357" t="s">
        <v>1680</v>
      </c>
      <c r="B357" t="s">
        <v>1681</v>
      </c>
      <c r="C357">
        <v>109011</v>
      </c>
      <c r="H357" s="3">
        <f>IFERROR(VLOOKUP(Table43_1[[#This Row],[PCPL KODE 1]],#REF!,3,0),0)</f>
        <v>0</v>
      </c>
      <c r="I357" s="3">
        <f>IFERROR(VLOOKUP(Table43_1[[#This Row],[PCPL KODE 2]],#REF!,3,0),0)</f>
        <v>0</v>
      </c>
      <c r="J357" s="3">
        <f>IFERROR(VLOOKUP(Table43_1[[#This Row],[PCPL KODE 3]],#REF!,3,0),0)</f>
        <v>0</v>
      </c>
      <c r="K357" s="3">
        <f>IFERROR(VLOOKUP(Table43_1[[#This Row],[PCPL KODE 4]],#REF!,3,0),0)</f>
        <v>0</v>
      </c>
      <c r="L357" s="3">
        <f>IFERROR(VLOOKUP(Table43_1[[#This Row],[PCPL KODE 5]],#REF!,3,0),0)</f>
        <v>0</v>
      </c>
      <c r="M357" s="3">
        <f>Table43_1[[#This Row],[QTY 1]]+Table43_1[[#This Row],[QTY 2]]+Table43_1[[#This Row],[QTY 3]]+Table43_1[[#This Row],[QTY 4]]+Table43_1[[#This Row],[QTY 5]]</f>
        <v>0</v>
      </c>
      <c r="N357" s="3"/>
    </row>
    <row r="358" spans="1:14">
      <c r="A358" t="s">
        <v>1682</v>
      </c>
      <c r="B358" t="s">
        <v>3514</v>
      </c>
      <c r="C358">
        <v>109017</v>
      </c>
      <c r="H358" s="3">
        <f>IFERROR(VLOOKUP(Table43_1[[#This Row],[PCPL KODE 1]],#REF!,3,0),0)</f>
        <v>0</v>
      </c>
      <c r="I358" s="3">
        <f>IFERROR(VLOOKUP(Table43_1[[#This Row],[PCPL KODE 2]],#REF!,3,0),0)</f>
        <v>0</v>
      </c>
      <c r="J358" s="3">
        <f>IFERROR(VLOOKUP(Table43_1[[#This Row],[PCPL KODE 3]],#REF!,3,0),0)</f>
        <v>0</v>
      </c>
      <c r="K358" s="3">
        <f>IFERROR(VLOOKUP(Table43_1[[#This Row],[PCPL KODE 4]],#REF!,3,0),0)</f>
        <v>0</v>
      </c>
      <c r="L358" s="3">
        <f>IFERROR(VLOOKUP(Table43_1[[#This Row],[PCPL KODE 5]],#REF!,3,0),0)</f>
        <v>0</v>
      </c>
      <c r="M358" s="3">
        <f>Table43_1[[#This Row],[QTY 1]]+Table43_1[[#This Row],[QTY 2]]+Table43_1[[#This Row],[QTY 3]]+Table43_1[[#This Row],[QTY 4]]+Table43_1[[#This Row],[QTY 5]]</f>
        <v>0</v>
      </c>
      <c r="N358" s="3"/>
    </row>
    <row r="359" spans="1:14">
      <c r="A359" t="s">
        <v>1684</v>
      </c>
      <c r="B359" t="s">
        <v>1685</v>
      </c>
      <c r="C359">
        <v>109018</v>
      </c>
      <c r="H359" s="3">
        <f>IFERROR(VLOOKUP(Table43_1[[#This Row],[PCPL KODE 1]],#REF!,3,0),0)</f>
        <v>0</v>
      </c>
      <c r="I359" s="3">
        <f>IFERROR(VLOOKUP(Table43_1[[#This Row],[PCPL KODE 2]],#REF!,3,0),0)</f>
        <v>0</v>
      </c>
      <c r="J359" s="3">
        <f>IFERROR(VLOOKUP(Table43_1[[#This Row],[PCPL KODE 3]],#REF!,3,0),0)</f>
        <v>0</v>
      </c>
      <c r="K359" s="3">
        <f>IFERROR(VLOOKUP(Table43_1[[#This Row],[PCPL KODE 4]],#REF!,3,0),0)</f>
        <v>0</v>
      </c>
      <c r="L359" s="3">
        <f>IFERROR(VLOOKUP(Table43_1[[#This Row],[PCPL KODE 5]],#REF!,3,0),0)</f>
        <v>0</v>
      </c>
      <c r="M359" s="3">
        <f>Table43_1[[#This Row],[QTY 1]]+Table43_1[[#This Row],[QTY 2]]+Table43_1[[#This Row],[QTY 3]]+Table43_1[[#This Row],[QTY 4]]+Table43_1[[#This Row],[QTY 5]]</f>
        <v>0</v>
      </c>
      <c r="N359" s="3"/>
    </row>
    <row r="360" spans="1:14">
      <c r="A360" t="s">
        <v>1686</v>
      </c>
      <c r="B360" t="s">
        <v>1687</v>
      </c>
      <c r="C360">
        <v>109001</v>
      </c>
      <c r="H360" s="3">
        <f>IFERROR(VLOOKUP(Table43_1[[#This Row],[PCPL KODE 1]],#REF!,3,0),0)</f>
        <v>0</v>
      </c>
      <c r="I360" s="3">
        <f>IFERROR(VLOOKUP(Table43_1[[#This Row],[PCPL KODE 2]],#REF!,3,0),0)</f>
        <v>0</v>
      </c>
      <c r="J360" s="3">
        <f>IFERROR(VLOOKUP(Table43_1[[#This Row],[PCPL KODE 3]],#REF!,3,0),0)</f>
        <v>0</v>
      </c>
      <c r="K360" s="3">
        <f>IFERROR(VLOOKUP(Table43_1[[#This Row],[PCPL KODE 4]],#REF!,3,0),0)</f>
        <v>0</v>
      </c>
      <c r="L360" s="3">
        <f>IFERROR(VLOOKUP(Table43_1[[#This Row],[PCPL KODE 5]],#REF!,3,0),0)</f>
        <v>0</v>
      </c>
      <c r="M360" s="3">
        <f>Table43_1[[#This Row],[QTY 1]]+Table43_1[[#This Row],[QTY 2]]+Table43_1[[#This Row],[QTY 3]]+Table43_1[[#This Row],[QTY 4]]+Table43_1[[#This Row],[QTY 5]]</f>
        <v>0</v>
      </c>
      <c r="N360" s="3"/>
    </row>
    <row r="361" spans="1:14">
      <c r="A361" t="s">
        <v>1688</v>
      </c>
      <c r="B361" t="s">
        <v>1689</v>
      </c>
      <c r="C361">
        <v>109004</v>
      </c>
      <c r="H361" s="3">
        <f>IFERROR(VLOOKUP(Table43_1[[#This Row],[PCPL KODE 1]],#REF!,3,0),0)</f>
        <v>0</v>
      </c>
      <c r="I361" s="3">
        <f>IFERROR(VLOOKUP(Table43_1[[#This Row],[PCPL KODE 2]],#REF!,3,0),0)</f>
        <v>0</v>
      </c>
      <c r="J361" s="3">
        <f>IFERROR(VLOOKUP(Table43_1[[#This Row],[PCPL KODE 3]],#REF!,3,0),0)</f>
        <v>0</v>
      </c>
      <c r="K361" s="3">
        <f>IFERROR(VLOOKUP(Table43_1[[#This Row],[PCPL KODE 4]],#REF!,3,0),0)</f>
        <v>0</v>
      </c>
      <c r="L361" s="3">
        <f>IFERROR(VLOOKUP(Table43_1[[#This Row],[PCPL KODE 5]],#REF!,3,0),0)</f>
        <v>0</v>
      </c>
      <c r="M361" s="3">
        <f>Table43_1[[#This Row],[QTY 1]]+Table43_1[[#This Row],[QTY 2]]+Table43_1[[#This Row],[QTY 3]]+Table43_1[[#This Row],[QTY 4]]+Table43_1[[#This Row],[QTY 5]]</f>
        <v>0</v>
      </c>
      <c r="N361" s="3"/>
    </row>
    <row r="362" spans="1:14">
      <c r="A362" t="s">
        <v>1690</v>
      </c>
      <c r="B362" t="s">
        <v>3515</v>
      </c>
      <c r="C362">
        <v>109007</v>
      </c>
      <c r="H362" s="3">
        <f>IFERROR(VLOOKUP(Table43_1[[#This Row],[PCPL KODE 1]],#REF!,3,0),0)</f>
        <v>0</v>
      </c>
      <c r="I362" s="3">
        <f>IFERROR(VLOOKUP(Table43_1[[#This Row],[PCPL KODE 2]],#REF!,3,0),0)</f>
        <v>0</v>
      </c>
      <c r="J362" s="3">
        <f>IFERROR(VLOOKUP(Table43_1[[#This Row],[PCPL KODE 3]],#REF!,3,0),0)</f>
        <v>0</v>
      </c>
      <c r="K362" s="3">
        <f>IFERROR(VLOOKUP(Table43_1[[#This Row],[PCPL KODE 4]],#REF!,3,0),0)</f>
        <v>0</v>
      </c>
      <c r="L362" s="3">
        <f>IFERROR(VLOOKUP(Table43_1[[#This Row],[PCPL KODE 5]],#REF!,3,0),0)</f>
        <v>0</v>
      </c>
      <c r="M362" s="3">
        <f>Table43_1[[#This Row],[QTY 1]]+Table43_1[[#This Row],[QTY 2]]+Table43_1[[#This Row],[QTY 3]]+Table43_1[[#This Row],[QTY 4]]+Table43_1[[#This Row],[QTY 5]]</f>
        <v>0</v>
      </c>
      <c r="N362" s="3"/>
    </row>
    <row r="363" spans="1:14">
      <c r="A363" t="s">
        <v>1692</v>
      </c>
      <c r="B363" t="s">
        <v>3516</v>
      </c>
      <c r="C363">
        <v>109005</v>
      </c>
      <c r="H363" s="3">
        <f>IFERROR(VLOOKUP(Table43_1[[#This Row],[PCPL KODE 1]],#REF!,3,0),0)</f>
        <v>0</v>
      </c>
      <c r="I363" s="3">
        <f>IFERROR(VLOOKUP(Table43_1[[#This Row],[PCPL KODE 2]],#REF!,3,0),0)</f>
        <v>0</v>
      </c>
      <c r="J363" s="3">
        <f>IFERROR(VLOOKUP(Table43_1[[#This Row],[PCPL KODE 3]],#REF!,3,0),0)</f>
        <v>0</v>
      </c>
      <c r="K363" s="3">
        <f>IFERROR(VLOOKUP(Table43_1[[#This Row],[PCPL KODE 4]],#REF!,3,0),0)</f>
        <v>0</v>
      </c>
      <c r="L363" s="3">
        <f>IFERROR(VLOOKUP(Table43_1[[#This Row],[PCPL KODE 5]],#REF!,3,0),0)</f>
        <v>0</v>
      </c>
      <c r="M363" s="3">
        <f>Table43_1[[#This Row],[QTY 1]]+Table43_1[[#This Row],[QTY 2]]+Table43_1[[#This Row],[QTY 3]]+Table43_1[[#This Row],[QTY 4]]+Table43_1[[#This Row],[QTY 5]]</f>
        <v>0</v>
      </c>
      <c r="N363" s="3"/>
    </row>
    <row r="364" spans="1:14">
      <c r="A364" t="s">
        <v>1694</v>
      </c>
      <c r="B364" t="s">
        <v>1695</v>
      </c>
      <c r="C364">
        <v>109006</v>
      </c>
      <c r="H364" s="3">
        <f>IFERROR(VLOOKUP(Table43_1[[#This Row],[PCPL KODE 1]],#REF!,3,0),0)</f>
        <v>0</v>
      </c>
      <c r="I364" s="3">
        <f>IFERROR(VLOOKUP(Table43_1[[#This Row],[PCPL KODE 2]],#REF!,3,0),0)</f>
        <v>0</v>
      </c>
      <c r="J364" s="3">
        <f>IFERROR(VLOOKUP(Table43_1[[#This Row],[PCPL KODE 3]],#REF!,3,0),0)</f>
        <v>0</v>
      </c>
      <c r="K364" s="3">
        <f>IFERROR(VLOOKUP(Table43_1[[#This Row],[PCPL KODE 4]],#REF!,3,0),0)</f>
        <v>0</v>
      </c>
      <c r="L364" s="3">
        <f>IFERROR(VLOOKUP(Table43_1[[#This Row],[PCPL KODE 5]],#REF!,3,0),0)</f>
        <v>0</v>
      </c>
      <c r="M364" s="3">
        <f>Table43_1[[#This Row],[QTY 1]]+Table43_1[[#This Row],[QTY 2]]+Table43_1[[#This Row],[QTY 3]]+Table43_1[[#This Row],[QTY 4]]+Table43_1[[#This Row],[QTY 5]]</f>
        <v>0</v>
      </c>
      <c r="N364" s="3"/>
    </row>
    <row r="365" spans="1:14">
      <c r="A365" t="s">
        <v>1696</v>
      </c>
      <c r="B365" t="s">
        <v>3517</v>
      </c>
      <c r="C365">
        <v>109008</v>
      </c>
      <c r="H365" s="3">
        <f>IFERROR(VLOOKUP(Table43_1[[#This Row],[PCPL KODE 1]],#REF!,3,0),0)</f>
        <v>0</v>
      </c>
      <c r="I365" s="3">
        <f>IFERROR(VLOOKUP(Table43_1[[#This Row],[PCPL KODE 2]],#REF!,3,0),0)</f>
        <v>0</v>
      </c>
      <c r="J365" s="3">
        <f>IFERROR(VLOOKUP(Table43_1[[#This Row],[PCPL KODE 3]],#REF!,3,0),0)</f>
        <v>0</v>
      </c>
      <c r="K365" s="3">
        <f>IFERROR(VLOOKUP(Table43_1[[#This Row],[PCPL KODE 4]],#REF!,3,0),0)</f>
        <v>0</v>
      </c>
      <c r="L365" s="3">
        <f>IFERROR(VLOOKUP(Table43_1[[#This Row],[PCPL KODE 5]],#REF!,3,0),0)</f>
        <v>0</v>
      </c>
      <c r="M365" s="3">
        <f>Table43_1[[#This Row],[QTY 1]]+Table43_1[[#This Row],[QTY 2]]+Table43_1[[#This Row],[QTY 3]]+Table43_1[[#This Row],[QTY 4]]+Table43_1[[#This Row],[QTY 5]]</f>
        <v>0</v>
      </c>
      <c r="N365" s="3"/>
    </row>
    <row r="366" spans="1:14">
      <c r="A366" t="s">
        <v>1698</v>
      </c>
      <c r="B366" t="s">
        <v>3518</v>
      </c>
      <c r="C366">
        <v>109002</v>
      </c>
      <c r="H366" s="3">
        <f>IFERROR(VLOOKUP(Table43_1[[#This Row],[PCPL KODE 1]],#REF!,3,0),0)</f>
        <v>0</v>
      </c>
      <c r="I366" s="3">
        <f>IFERROR(VLOOKUP(Table43_1[[#This Row],[PCPL KODE 2]],#REF!,3,0),0)</f>
        <v>0</v>
      </c>
      <c r="J366" s="3">
        <f>IFERROR(VLOOKUP(Table43_1[[#This Row],[PCPL KODE 3]],#REF!,3,0),0)</f>
        <v>0</v>
      </c>
      <c r="K366" s="3">
        <f>IFERROR(VLOOKUP(Table43_1[[#This Row],[PCPL KODE 4]],#REF!,3,0),0)</f>
        <v>0</v>
      </c>
      <c r="L366" s="3">
        <f>IFERROR(VLOOKUP(Table43_1[[#This Row],[PCPL KODE 5]],#REF!,3,0),0)</f>
        <v>0</v>
      </c>
      <c r="M366" s="3">
        <f>Table43_1[[#This Row],[QTY 1]]+Table43_1[[#This Row],[QTY 2]]+Table43_1[[#This Row],[QTY 3]]+Table43_1[[#This Row],[QTY 4]]+Table43_1[[#This Row],[QTY 5]]</f>
        <v>0</v>
      </c>
      <c r="N366" s="3"/>
    </row>
    <row r="367" spans="1:14">
      <c r="A367" t="s">
        <v>1700</v>
      </c>
      <c r="B367" t="s">
        <v>1701</v>
      </c>
      <c r="C367">
        <v>109003</v>
      </c>
      <c r="H367" s="3">
        <f>IFERROR(VLOOKUP(Table43_1[[#This Row],[PCPL KODE 1]],#REF!,3,0),0)</f>
        <v>0</v>
      </c>
      <c r="I367" s="3">
        <f>IFERROR(VLOOKUP(Table43_1[[#This Row],[PCPL KODE 2]],#REF!,3,0),0)</f>
        <v>0</v>
      </c>
      <c r="J367" s="3">
        <f>IFERROR(VLOOKUP(Table43_1[[#This Row],[PCPL KODE 3]],#REF!,3,0),0)</f>
        <v>0</v>
      </c>
      <c r="K367" s="3">
        <f>IFERROR(VLOOKUP(Table43_1[[#This Row],[PCPL KODE 4]],#REF!,3,0),0)</f>
        <v>0</v>
      </c>
      <c r="L367" s="3">
        <f>IFERROR(VLOOKUP(Table43_1[[#This Row],[PCPL KODE 5]],#REF!,3,0),0)</f>
        <v>0</v>
      </c>
      <c r="M367" s="3">
        <f>Table43_1[[#This Row],[QTY 1]]+Table43_1[[#This Row],[QTY 2]]+Table43_1[[#This Row],[QTY 3]]+Table43_1[[#This Row],[QTY 4]]+Table43_1[[#This Row],[QTY 5]]</f>
        <v>0</v>
      </c>
      <c r="N367" s="3"/>
    </row>
    <row r="368" spans="1:14">
      <c r="A368" t="s">
        <v>1702</v>
      </c>
      <c r="B368" t="s">
        <v>1703</v>
      </c>
      <c r="C368">
        <v>109019</v>
      </c>
      <c r="H368" s="3">
        <f>IFERROR(VLOOKUP(Table43_1[[#This Row],[PCPL KODE 1]],#REF!,3,0),0)</f>
        <v>0</v>
      </c>
      <c r="I368" s="3">
        <f>IFERROR(VLOOKUP(Table43_1[[#This Row],[PCPL KODE 2]],#REF!,3,0),0)</f>
        <v>0</v>
      </c>
      <c r="J368" s="3">
        <f>IFERROR(VLOOKUP(Table43_1[[#This Row],[PCPL KODE 3]],#REF!,3,0),0)</f>
        <v>0</v>
      </c>
      <c r="K368" s="3">
        <f>IFERROR(VLOOKUP(Table43_1[[#This Row],[PCPL KODE 4]],#REF!,3,0),0)</f>
        <v>0</v>
      </c>
      <c r="L368" s="3">
        <f>IFERROR(VLOOKUP(Table43_1[[#This Row],[PCPL KODE 5]],#REF!,3,0),0)</f>
        <v>0</v>
      </c>
      <c r="M368" s="3">
        <f>Table43_1[[#This Row],[QTY 1]]+Table43_1[[#This Row],[QTY 2]]+Table43_1[[#This Row],[QTY 3]]+Table43_1[[#This Row],[QTY 4]]+Table43_1[[#This Row],[QTY 5]]</f>
        <v>0</v>
      </c>
      <c r="N368" s="3"/>
    </row>
    <row r="369" spans="1:14">
      <c r="A369" t="s">
        <v>1704</v>
      </c>
      <c r="B369" t="s">
        <v>3519</v>
      </c>
      <c r="C369">
        <v>109020</v>
      </c>
      <c r="H369" s="3">
        <f>IFERROR(VLOOKUP(Table43_1[[#This Row],[PCPL KODE 1]],#REF!,3,0),0)</f>
        <v>0</v>
      </c>
      <c r="I369" s="3">
        <f>IFERROR(VLOOKUP(Table43_1[[#This Row],[PCPL KODE 2]],#REF!,3,0),0)</f>
        <v>0</v>
      </c>
      <c r="J369" s="3">
        <f>IFERROR(VLOOKUP(Table43_1[[#This Row],[PCPL KODE 3]],#REF!,3,0),0)</f>
        <v>0</v>
      </c>
      <c r="K369" s="3">
        <f>IFERROR(VLOOKUP(Table43_1[[#This Row],[PCPL KODE 4]],#REF!,3,0),0)</f>
        <v>0</v>
      </c>
      <c r="L369" s="3">
        <f>IFERROR(VLOOKUP(Table43_1[[#This Row],[PCPL KODE 5]],#REF!,3,0),0)</f>
        <v>0</v>
      </c>
      <c r="M369" s="3">
        <f>Table43_1[[#This Row],[QTY 1]]+Table43_1[[#This Row],[QTY 2]]+Table43_1[[#This Row],[QTY 3]]+Table43_1[[#This Row],[QTY 4]]+Table43_1[[#This Row],[QTY 5]]</f>
        <v>0</v>
      </c>
      <c r="N369" s="3"/>
    </row>
    <row r="370" spans="1:14">
      <c r="A370" t="s">
        <v>1706</v>
      </c>
      <c r="B370" t="s">
        <v>1707</v>
      </c>
      <c r="C370">
        <v>109021</v>
      </c>
      <c r="H370" s="3">
        <f>IFERROR(VLOOKUP(Table43_1[[#This Row],[PCPL KODE 1]],#REF!,3,0),0)</f>
        <v>0</v>
      </c>
      <c r="I370" s="3">
        <f>IFERROR(VLOOKUP(Table43_1[[#This Row],[PCPL KODE 2]],#REF!,3,0),0)</f>
        <v>0</v>
      </c>
      <c r="J370" s="3">
        <f>IFERROR(VLOOKUP(Table43_1[[#This Row],[PCPL KODE 3]],#REF!,3,0),0)</f>
        <v>0</v>
      </c>
      <c r="K370" s="3">
        <f>IFERROR(VLOOKUP(Table43_1[[#This Row],[PCPL KODE 4]],#REF!,3,0),0)</f>
        <v>0</v>
      </c>
      <c r="L370" s="3">
        <f>IFERROR(VLOOKUP(Table43_1[[#This Row],[PCPL KODE 5]],#REF!,3,0),0)</f>
        <v>0</v>
      </c>
      <c r="M370" s="3">
        <f>Table43_1[[#This Row],[QTY 1]]+Table43_1[[#This Row],[QTY 2]]+Table43_1[[#This Row],[QTY 3]]+Table43_1[[#This Row],[QTY 4]]+Table43_1[[#This Row],[QTY 5]]</f>
        <v>0</v>
      </c>
      <c r="N370" s="3"/>
    </row>
    <row r="371" spans="1:14">
      <c r="A371" t="s">
        <v>1708</v>
      </c>
      <c r="B371" t="s">
        <v>1709</v>
      </c>
      <c r="C371">
        <v>109022</v>
      </c>
      <c r="H371" s="3">
        <f>IFERROR(VLOOKUP(Table43_1[[#This Row],[PCPL KODE 1]],#REF!,3,0),0)</f>
        <v>0</v>
      </c>
      <c r="I371" s="3">
        <f>IFERROR(VLOOKUP(Table43_1[[#This Row],[PCPL KODE 2]],#REF!,3,0),0)</f>
        <v>0</v>
      </c>
      <c r="J371" s="3">
        <f>IFERROR(VLOOKUP(Table43_1[[#This Row],[PCPL KODE 3]],#REF!,3,0),0)</f>
        <v>0</v>
      </c>
      <c r="K371" s="3">
        <f>IFERROR(VLOOKUP(Table43_1[[#This Row],[PCPL KODE 4]],#REF!,3,0),0)</f>
        <v>0</v>
      </c>
      <c r="L371" s="3">
        <f>IFERROR(VLOOKUP(Table43_1[[#This Row],[PCPL KODE 5]],#REF!,3,0),0)</f>
        <v>0</v>
      </c>
      <c r="M371" s="3">
        <f>Table43_1[[#This Row],[QTY 1]]+Table43_1[[#This Row],[QTY 2]]+Table43_1[[#This Row],[QTY 3]]+Table43_1[[#This Row],[QTY 4]]+Table43_1[[#This Row],[QTY 5]]</f>
        <v>0</v>
      </c>
      <c r="N371" s="3"/>
    </row>
    <row r="372" spans="1:14">
      <c r="A372" t="s">
        <v>1710</v>
      </c>
      <c r="B372" t="s">
        <v>1711</v>
      </c>
      <c r="C372">
        <v>109025</v>
      </c>
      <c r="H372" s="3">
        <f>IFERROR(VLOOKUP(Table43_1[[#This Row],[PCPL KODE 1]],#REF!,3,0),0)</f>
        <v>0</v>
      </c>
      <c r="I372" s="3">
        <f>IFERROR(VLOOKUP(Table43_1[[#This Row],[PCPL KODE 2]],#REF!,3,0),0)</f>
        <v>0</v>
      </c>
      <c r="J372" s="3">
        <f>IFERROR(VLOOKUP(Table43_1[[#This Row],[PCPL KODE 3]],#REF!,3,0),0)</f>
        <v>0</v>
      </c>
      <c r="K372" s="3">
        <f>IFERROR(VLOOKUP(Table43_1[[#This Row],[PCPL KODE 4]],#REF!,3,0),0)</f>
        <v>0</v>
      </c>
      <c r="L372" s="3">
        <f>IFERROR(VLOOKUP(Table43_1[[#This Row],[PCPL KODE 5]],#REF!,3,0),0)</f>
        <v>0</v>
      </c>
      <c r="M372" s="3">
        <f>Table43_1[[#This Row],[QTY 1]]+Table43_1[[#This Row],[QTY 2]]+Table43_1[[#This Row],[QTY 3]]+Table43_1[[#This Row],[QTY 4]]+Table43_1[[#This Row],[QTY 5]]</f>
        <v>0</v>
      </c>
      <c r="N372" s="3"/>
    </row>
    <row r="373" spans="1:14">
      <c r="A373" t="s">
        <v>1712</v>
      </c>
      <c r="B373" t="s">
        <v>3520</v>
      </c>
      <c r="C373">
        <v>109027</v>
      </c>
      <c r="H373" s="3">
        <f>IFERROR(VLOOKUP(Table43_1[[#This Row],[PCPL KODE 1]],#REF!,3,0),0)</f>
        <v>0</v>
      </c>
      <c r="I373" s="3">
        <f>IFERROR(VLOOKUP(Table43_1[[#This Row],[PCPL KODE 2]],#REF!,3,0),0)</f>
        <v>0</v>
      </c>
      <c r="J373" s="3">
        <f>IFERROR(VLOOKUP(Table43_1[[#This Row],[PCPL KODE 3]],#REF!,3,0),0)</f>
        <v>0</v>
      </c>
      <c r="K373" s="3">
        <f>IFERROR(VLOOKUP(Table43_1[[#This Row],[PCPL KODE 4]],#REF!,3,0),0)</f>
        <v>0</v>
      </c>
      <c r="L373" s="3">
        <f>IFERROR(VLOOKUP(Table43_1[[#This Row],[PCPL KODE 5]],#REF!,3,0),0)</f>
        <v>0</v>
      </c>
      <c r="M373" s="3">
        <f>Table43_1[[#This Row],[QTY 1]]+Table43_1[[#This Row],[QTY 2]]+Table43_1[[#This Row],[QTY 3]]+Table43_1[[#This Row],[QTY 4]]+Table43_1[[#This Row],[QTY 5]]</f>
        <v>0</v>
      </c>
      <c r="N373" s="3"/>
    </row>
    <row r="374" spans="1:14">
      <c r="A374" t="s">
        <v>1714</v>
      </c>
      <c r="B374" t="s">
        <v>3521</v>
      </c>
      <c r="C374">
        <v>109023</v>
      </c>
      <c r="H374" s="3">
        <f>IFERROR(VLOOKUP(Table43_1[[#This Row],[PCPL KODE 1]],#REF!,3,0),0)</f>
        <v>0</v>
      </c>
      <c r="I374" s="3">
        <f>IFERROR(VLOOKUP(Table43_1[[#This Row],[PCPL KODE 2]],#REF!,3,0),0)</f>
        <v>0</v>
      </c>
      <c r="J374" s="3">
        <f>IFERROR(VLOOKUP(Table43_1[[#This Row],[PCPL KODE 3]],#REF!,3,0),0)</f>
        <v>0</v>
      </c>
      <c r="K374" s="3">
        <f>IFERROR(VLOOKUP(Table43_1[[#This Row],[PCPL KODE 4]],#REF!,3,0),0)</f>
        <v>0</v>
      </c>
      <c r="L374" s="3">
        <f>IFERROR(VLOOKUP(Table43_1[[#This Row],[PCPL KODE 5]],#REF!,3,0),0)</f>
        <v>0</v>
      </c>
      <c r="M374" s="3">
        <f>Table43_1[[#This Row],[QTY 1]]+Table43_1[[#This Row],[QTY 2]]+Table43_1[[#This Row],[QTY 3]]+Table43_1[[#This Row],[QTY 4]]+Table43_1[[#This Row],[QTY 5]]</f>
        <v>0</v>
      </c>
      <c r="N374" s="3"/>
    </row>
    <row r="375" spans="1:14">
      <c r="A375" t="s">
        <v>1716</v>
      </c>
      <c r="B375" t="s">
        <v>3522</v>
      </c>
      <c r="C375">
        <v>109024</v>
      </c>
      <c r="H375" s="3">
        <f>IFERROR(VLOOKUP(Table43_1[[#This Row],[PCPL KODE 1]],#REF!,3,0),0)</f>
        <v>0</v>
      </c>
      <c r="I375" s="3">
        <f>IFERROR(VLOOKUP(Table43_1[[#This Row],[PCPL KODE 2]],#REF!,3,0),0)</f>
        <v>0</v>
      </c>
      <c r="J375" s="3">
        <f>IFERROR(VLOOKUP(Table43_1[[#This Row],[PCPL KODE 3]],#REF!,3,0),0)</f>
        <v>0</v>
      </c>
      <c r="K375" s="3">
        <f>IFERROR(VLOOKUP(Table43_1[[#This Row],[PCPL KODE 4]],#REF!,3,0),0)</f>
        <v>0</v>
      </c>
      <c r="L375" s="3">
        <f>IFERROR(VLOOKUP(Table43_1[[#This Row],[PCPL KODE 5]],#REF!,3,0),0)</f>
        <v>0</v>
      </c>
      <c r="M375" s="3">
        <f>Table43_1[[#This Row],[QTY 1]]+Table43_1[[#This Row],[QTY 2]]+Table43_1[[#This Row],[QTY 3]]+Table43_1[[#This Row],[QTY 4]]+Table43_1[[#This Row],[QTY 5]]</f>
        <v>0</v>
      </c>
      <c r="N375" s="3"/>
    </row>
    <row r="376" spans="1:14">
      <c r="A376" t="s">
        <v>1718</v>
      </c>
      <c r="B376" t="s">
        <v>3523</v>
      </c>
      <c r="C376" t="s">
        <v>2633</v>
      </c>
      <c r="H376" s="3">
        <f>IFERROR(VLOOKUP(Table43_1[[#This Row],[PCPL KODE 1]],#REF!,3,0),0)</f>
        <v>0</v>
      </c>
      <c r="I376" s="3">
        <f>IFERROR(VLOOKUP(Table43_1[[#This Row],[PCPL KODE 2]],#REF!,3,0),0)</f>
        <v>0</v>
      </c>
      <c r="J376" s="3">
        <f>IFERROR(VLOOKUP(Table43_1[[#This Row],[PCPL KODE 3]],#REF!,3,0),0)</f>
        <v>0</v>
      </c>
      <c r="K376" s="3">
        <f>IFERROR(VLOOKUP(Table43_1[[#This Row],[PCPL KODE 4]],#REF!,3,0),0)</f>
        <v>0</v>
      </c>
      <c r="L376" s="3">
        <f>IFERROR(VLOOKUP(Table43_1[[#This Row],[PCPL KODE 5]],#REF!,3,0),0)</f>
        <v>0</v>
      </c>
      <c r="M376" s="3">
        <f>Table43_1[[#This Row],[QTY 1]]+Table43_1[[#This Row],[QTY 2]]+Table43_1[[#This Row],[QTY 3]]+Table43_1[[#This Row],[QTY 4]]+Table43_1[[#This Row],[QTY 5]]</f>
        <v>0</v>
      </c>
      <c r="N376" s="3"/>
    </row>
    <row r="377" spans="1:14">
      <c r="A377" t="s">
        <v>1720</v>
      </c>
      <c r="B377" t="s">
        <v>3524</v>
      </c>
      <c r="C377" t="s">
        <v>2634</v>
      </c>
      <c r="H377" s="3">
        <f>IFERROR(VLOOKUP(Table43_1[[#This Row],[PCPL KODE 1]],#REF!,3,0),0)</f>
        <v>0</v>
      </c>
      <c r="I377" s="3">
        <f>IFERROR(VLOOKUP(Table43_1[[#This Row],[PCPL KODE 2]],#REF!,3,0),0)</f>
        <v>0</v>
      </c>
      <c r="J377" s="3">
        <f>IFERROR(VLOOKUP(Table43_1[[#This Row],[PCPL KODE 3]],#REF!,3,0),0)</f>
        <v>0</v>
      </c>
      <c r="K377" s="3">
        <f>IFERROR(VLOOKUP(Table43_1[[#This Row],[PCPL KODE 4]],#REF!,3,0),0)</f>
        <v>0</v>
      </c>
      <c r="L377" s="3">
        <f>IFERROR(VLOOKUP(Table43_1[[#This Row],[PCPL KODE 5]],#REF!,3,0),0)</f>
        <v>0</v>
      </c>
      <c r="M377" s="3">
        <f>Table43_1[[#This Row],[QTY 1]]+Table43_1[[#This Row],[QTY 2]]+Table43_1[[#This Row],[QTY 3]]+Table43_1[[#This Row],[QTY 4]]+Table43_1[[#This Row],[QTY 5]]</f>
        <v>0</v>
      </c>
      <c r="N377" s="3"/>
    </row>
    <row r="378" spans="1:14">
      <c r="A378" t="s">
        <v>1722</v>
      </c>
      <c r="B378" t="s">
        <v>1723</v>
      </c>
      <c r="C378">
        <v>110035</v>
      </c>
      <c r="H378" s="3">
        <f>IFERROR(VLOOKUP(Table43_1[[#This Row],[PCPL KODE 1]],#REF!,3,0),0)</f>
        <v>0</v>
      </c>
      <c r="I378" s="3">
        <f>IFERROR(VLOOKUP(Table43_1[[#This Row],[PCPL KODE 2]],#REF!,3,0),0)</f>
        <v>0</v>
      </c>
      <c r="J378" s="3">
        <f>IFERROR(VLOOKUP(Table43_1[[#This Row],[PCPL KODE 3]],#REF!,3,0),0)</f>
        <v>0</v>
      </c>
      <c r="K378" s="3">
        <f>IFERROR(VLOOKUP(Table43_1[[#This Row],[PCPL KODE 4]],#REF!,3,0),0)</f>
        <v>0</v>
      </c>
      <c r="L378" s="3">
        <f>IFERROR(VLOOKUP(Table43_1[[#This Row],[PCPL KODE 5]],#REF!,3,0),0)</f>
        <v>0</v>
      </c>
      <c r="M378" s="3">
        <f>Table43_1[[#This Row],[QTY 1]]+Table43_1[[#This Row],[QTY 2]]+Table43_1[[#This Row],[QTY 3]]+Table43_1[[#This Row],[QTY 4]]+Table43_1[[#This Row],[QTY 5]]</f>
        <v>0</v>
      </c>
      <c r="N378" s="3"/>
    </row>
    <row r="379" spans="1:14">
      <c r="A379" t="s">
        <v>1724</v>
      </c>
      <c r="B379" t="s">
        <v>1725</v>
      </c>
      <c r="C379">
        <v>110060</v>
      </c>
      <c r="H379" s="3">
        <f>IFERROR(VLOOKUP(Table43_1[[#This Row],[PCPL KODE 1]],#REF!,3,0),0)</f>
        <v>0</v>
      </c>
      <c r="I379" s="3">
        <f>IFERROR(VLOOKUP(Table43_1[[#This Row],[PCPL KODE 2]],#REF!,3,0),0)</f>
        <v>0</v>
      </c>
      <c r="J379" s="3">
        <f>IFERROR(VLOOKUP(Table43_1[[#This Row],[PCPL KODE 3]],#REF!,3,0),0)</f>
        <v>0</v>
      </c>
      <c r="K379" s="3">
        <f>IFERROR(VLOOKUP(Table43_1[[#This Row],[PCPL KODE 4]],#REF!,3,0),0)</f>
        <v>0</v>
      </c>
      <c r="L379" s="3">
        <f>IFERROR(VLOOKUP(Table43_1[[#This Row],[PCPL KODE 5]],#REF!,3,0),0)</f>
        <v>0</v>
      </c>
      <c r="M379" s="3">
        <f>Table43_1[[#This Row],[QTY 1]]+Table43_1[[#This Row],[QTY 2]]+Table43_1[[#This Row],[QTY 3]]+Table43_1[[#This Row],[QTY 4]]+Table43_1[[#This Row],[QTY 5]]</f>
        <v>0</v>
      </c>
      <c r="N379" s="3"/>
    </row>
    <row r="380" spans="1:14">
      <c r="A380" t="s">
        <v>1726</v>
      </c>
      <c r="B380" t="s">
        <v>1727</v>
      </c>
      <c r="C380">
        <v>110031</v>
      </c>
      <c r="H380" s="3">
        <f>IFERROR(VLOOKUP(Table43_1[[#This Row],[PCPL KODE 1]],#REF!,3,0),0)</f>
        <v>0</v>
      </c>
      <c r="I380" s="3">
        <f>IFERROR(VLOOKUP(Table43_1[[#This Row],[PCPL KODE 2]],#REF!,3,0),0)</f>
        <v>0</v>
      </c>
      <c r="J380" s="3">
        <f>IFERROR(VLOOKUP(Table43_1[[#This Row],[PCPL KODE 3]],#REF!,3,0),0)</f>
        <v>0</v>
      </c>
      <c r="K380" s="3">
        <f>IFERROR(VLOOKUP(Table43_1[[#This Row],[PCPL KODE 4]],#REF!,3,0),0)</f>
        <v>0</v>
      </c>
      <c r="L380" s="3">
        <f>IFERROR(VLOOKUP(Table43_1[[#This Row],[PCPL KODE 5]],#REF!,3,0),0)</f>
        <v>0</v>
      </c>
      <c r="M380" s="3">
        <f>Table43_1[[#This Row],[QTY 1]]+Table43_1[[#This Row],[QTY 2]]+Table43_1[[#This Row],[QTY 3]]+Table43_1[[#This Row],[QTY 4]]+Table43_1[[#This Row],[QTY 5]]</f>
        <v>0</v>
      </c>
      <c r="N380" s="3"/>
    </row>
    <row r="381" spans="1:14">
      <c r="A381" t="s">
        <v>1728</v>
      </c>
      <c r="B381" t="s">
        <v>1729</v>
      </c>
      <c r="C381">
        <v>110028</v>
      </c>
      <c r="H381" s="3">
        <f>IFERROR(VLOOKUP(Table43_1[[#This Row],[PCPL KODE 1]],#REF!,3,0),0)</f>
        <v>0</v>
      </c>
      <c r="I381" s="3">
        <f>IFERROR(VLOOKUP(Table43_1[[#This Row],[PCPL KODE 2]],#REF!,3,0),0)</f>
        <v>0</v>
      </c>
      <c r="J381" s="3">
        <f>IFERROR(VLOOKUP(Table43_1[[#This Row],[PCPL KODE 3]],#REF!,3,0),0)</f>
        <v>0</v>
      </c>
      <c r="K381" s="3">
        <f>IFERROR(VLOOKUP(Table43_1[[#This Row],[PCPL KODE 4]],#REF!,3,0),0)</f>
        <v>0</v>
      </c>
      <c r="L381" s="3">
        <f>IFERROR(VLOOKUP(Table43_1[[#This Row],[PCPL KODE 5]],#REF!,3,0),0)</f>
        <v>0</v>
      </c>
      <c r="M381" s="3">
        <f>Table43_1[[#This Row],[QTY 1]]+Table43_1[[#This Row],[QTY 2]]+Table43_1[[#This Row],[QTY 3]]+Table43_1[[#This Row],[QTY 4]]+Table43_1[[#This Row],[QTY 5]]</f>
        <v>0</v>
      </c>
      <c r="N381" s="3"/>
    </row>
    <row r="382" spans="1:14">
      <c r="A382" t="s">
        <v>2439</v>
      </c>
      <c r="B382" t="s">
        <v>2441</v>
      </c>
      <c r="C382">
        <v>110033</v>
      </c>
      <c r="H382" s="3">
        <f>IFERROR(VLOOKUP(Table43_1[[#This Row],[PCPL KODE 1]],#REF!,3,0),0)</f>
        <v>0</v>
      </c>
      <c r="I382" s="3">
        <f>IFERROR(VLOOKUP(Table43_1[[#This Row],[PCPL KODE 2]],#REF!,3,0),0)</f>
        <v>0</v>
      </c>
      <c r="J382" s="3">
        <f>IFERROR(VLOOKUP(Table43_1[[#This Row],[PCPL KODE 3]],#REF!,3,0),0)</f>
        <v>0</v>
      </c>
      <c r="K382" s="3">
        <f>IFERROR(VLOOKUP(Table43_1[[#This Row],[PCPL KODE 4]],#REF!,3,0),0)</f>
        <v>0</v>
      </c>
      <c r="L382" s="3">
        <f>IFERROR(VLOOKUP(Table43_1[[#This Row],[PCPL KODE 5]],#REF!,3,0),0)</f>
        <v>0</v>
      </c>
      <c r="M382" s="3">
        <f>Table43_1[[#This Row],[QTY 1]]+Table43_1[[#This Row],[QTY 2]]+Table43_1[[#This Row],[QTY 3]]+Table43_1[[#This Row],[QTY 4]]+Table43_1[[#This Row],[QTY 5]]</f>
        <v>0</v>
      </c>
      <c r="N382" s="3"/>
    </row>
    <row r="383" spans="1:14">
      <c r="A383" t="s">
        <v>1730</v>
      </c>
      <c r="B383" t="s">
        <v>1731</v>
      </c>
      <c r="C383">
        <v>110029</v>
      </c>
      <c r="H383" s="3">
        <f>IFERROR(VLOOKUP(Table43_1[[#This Row],[PCPL KODE 1]],#REF!,3,0),0)</f>
        <v>0</v>
      </c>
      <c r="I383" s="3">
        <f>IFERROR(VLOOKUP(Table43_1[[#This Row],[PCPL KODE 2]],#REF!,3,0),0)</f>
        <v>0</v>
      </c>
      <c r="J383" s="3">
        <f>IFERROR(VLOOKUP(Table43_1[[#This Row],[PCPL KODE 3]],#REF!,3,0),0)</f>
        <v>0</v>
      </c>
      <c r="K383" s="3">
        <f>IFERROR(VLOOKUP(Table43_1[[#This Row],[PCPL KODE 4]],#REF!,3,0),0)</f>
        <v>0</v>
      </c>
      <c r="L383" s="3">
        <f>IFERROR(VLOOKUP(Table43_1[[#This Row],[PCPL KODE 5]],#REF!,3,0),0)</f>
        <v>0</v>
      </c>
      <c r="M383" s="3">
        <f>Table43_1[[#This Row],[QTY 1]]+Table43_1[[#This Row],[QTY 2]]+Table43_1[[#This Row],[QTY 3]]+Table43_1[[#This Row],[QTY 4]]+Table43_1[[#This Row],[QTY 5]]</f>
        <v>0</v>
      </c>
      <c r="N383" s="3"/>
    </row>
    <row r="384" spans="1:14">
      <c r="A384" t="s">
        <v>1732</v>
      </c>
      <c r="B384" t="s">
        <v>1733</v>
      </c>
      <c r="C384">
        <v>110063</v>
      </c>
      <c r="D384">
        <v>110061</v>
      </c>
      <c r="H384" s="3">
        <f>IFERROR(VLOOKUP(Table43_1[[#This Row],[PCPL KODE 1]],#REF!,3,0),0)</f>
        <v>0</v>
      </c>
      <c r="I384" s="3">
        <f>IFERROR(VLOOKUP(Table43_1[[#This Row],[PCPL KODE 2]],#REF!,3,0),0)</f>
        <v>0</v>
      </c>
      <c r="J384" s="3">
        <f>IFERROR(VLOOKUP(Table43_1[[#This Row],[PCPL KODE 3]],#REF!,3,0),0)</f>
        <v>0</v>
      </c>
      <c r="K384" s="3">
        <f>IFERROR(VLOOKUP(Table43_1[[#This Row],[PCPL KODE 4]],#REF!,3,0),0)</f>
        <v>0</v>
      </c>
      <c r="L384" s="3">
        <f>IFERROR(VLOOKUP(Table43_1[[#This Row],[PCPL KODE 5]],#REF!,3,0),0)</f>
        <v>0</v>
      </c>
      <c r="M384" s="3">
        <f>Table43_1[[#This Row],[QTY 1]]+Table43_1[[#This Row],[QTY 2]]+Table43_1[[#This Row],[QTY 3]]+Table43_1[[#This Row],[QTY 4]]+Table43_1[[#This Row],[QTY 5]]</f>
        <v>0</v>
      </c>
      <c r="N384" s="3"/>
    </row>
    <row r="385" spans="1:14">
      <c r="A385" t="s">
        <v>2408</v>
      </c>
      <c r="B385" t="s">
        <v>1734</v>
      </c>
      <c r="C385">
        <v>110062</v>
      </c>
      <c r="H385" s="3">
        <f>IFERROR(VLOOKUP(Table43_1[[#This Row],[PCPL KODE 1]],#REF!,3,0),0)</f>
        <v>0</v>
      </c>
      <c r="I385" s="3">
        <f>IFERROR(VLOOKUP(Table43_1[[#This Row],[PCPL KODE 2]],#REF!,3,0),0)</f>
        <v>0</v>
      </c>
      <c r="J385" s="3">
        <f>IFERROR(VLOOKUP(Table43_1[[#This Row],[PCPL KODE 3]],#REF!,3,0),0)</f>
        <v>0</v>
      </c>
      <c r="K385" s="3">
        <f>IFERROR(VLOOKUP(Table43_1[[#This Row],[PCPL KODE 4]],#REF!,3,0),0)</f>
        <v>0</v>
      </c>
      <c r="L385" s="3">
        <f>IFERROR(VLOOKUP(Table43_1[[#This Row],[PCPL KODE 5]],#REF!,3,0),0)</f>
        <v>0</v>
      </c>
      <c r="M385" s="3">
        <f>Table43_1[[#This Row],[QTY 1]]+Table43_1[[#This Row],[QTY 2]]+Table43_1[[#This Row],[QTY 3]]+Table43_1[[#This Row],[QTY 4]]+Table43_1[[#This Row],[QTY 5]]</f>
        <v>0</v>
      </c>
      <c r="N385" s="3"/>
    </row>
    <row r="386" spans="1:14">
      <c r="A386" t="s">
        <v>1735</v>
      </c>
      <c r="B386" t="s">
        <v>1736</v>
      </c>
      <c r="C386">
        <v>110049</v>
      </c>
      <c r="H386" s="3">
        <f>IFERROR(VLOOKUP(Table43_1[[#This Row],[PCPL KODE 1]],#REF!,3,0),0)</f>
        <v>0</v>
      </c>
      <c r="I386" s="3">
        <f>IFERROR(VLOOKUP(Table43_1[[#This Row],[PCPL KODE 2]],#REF!,3,0),0)</f>
        <v>0</v>
      </c>
      <c r="J386" s="3">
        <f>IFERROR(VLOOKUP(Table43_1[[#This Row],[PCPL KODE 3]],#REF!,3,0),0)</f>
        <v>0</v>
      </c>
      <c r="K386" s="3">
        <f>IFERROR(VLOOKUP(Table43_1[[#This Row],[PCPL KODE 4]],#REF!,3,0),0)</f>
        <v>0</v>
      </c>
      <c r="L386" s="3">
        <f>IFERROR(VLOOKUP(Table43_1[[#This Row],[PCPL KODE 5]],#REF!,3,0),0)</f>
        <v>0</v>
      </c>
      <c r="M386" s="3">
        <f>Table43_1[[#This Row],[QTY 1]]+Table43_1[[#This Row],[QTY 2]]+Table43_1[[#This Row],[QTY 3]]+Table43_1[[#This Row],[QTY 4]]+Table43_1[[#This Row],[QTY 5]]</f>
        <v>0</v>
      </c>
      <c r="N386" s="3"/>
    </row>
    <row r="387" spans="1:14">
      <c r="A387" t="s">
        <v>1737</v>
      </c>
      <c r="B387" t="s">
        <v>1738</v>
      </c>
      <c r="C387">
        <v>110051</v>
      </c>
      <c r="H387" s="3">
        <f>IFERROR(VLOOKUP(Table43_1[[#This Row],[PCPL KODE 1]],#REF!,3,0),0)</f>
        <v>0</v>
      </c>
      <c r="I387" s="3">
        <f>IFERROR(VLOOKUP(Table43_1[[#This Row],[PCPL KODE 2]],#REF!,3,0),0)</f>
        <v>0</v>
      </c>
      <c r="J387" s="3">
        <f>IFERROR(VLOOKUP(Table43_1[[#This Row],[PCPL KODE 3]],#REF!,3,0),0)</f>
        <v>0</v>
      </c>
      <c r="K387" s="3">
        <f>IFERROR(VLOOKUP(Table43_1[[#This Row],[PCPL KODE 4]],#REF!,3,0),0)</f>
        <v>0</v>
      </c>
      <c r="L387" s="3">
        <f>IFERROR(VLOOKUP(Table43_1[[#This Row],[PCPL KODE 5]],#REF!,3,0),0)</f>
        <v>0</v>
      </c>
      <c r="M387" s="3">
        <f>Table43_1[[#This Row],[QTY 1]]+Table43_1[[#This Row],[QTY 2]]+Table43_1[[#This Row],[QTY 3]]+Table43_1[[#This Row],[QTY 4]]+Table43_1[[#This Row],[QTY 5]]</f>
        <v>0</v>
      </c>
      <c r="N387" s="3"/>
    </row>
    <row r="388" spans="1:14">
      <c r="A388" t="s">
        <v>1739</v>
      </c>
      <c r="B388" t="s">
        <v>1740</v>
      </c>
      <c r="C388">
        <v>110048</v>
      </c>
      <c r="H388" s="3">
        <f>IFERROR(VLOOKUP(Table43_1[[#This Row],[PCPL KODE 1]],#REF!,3,0),0)</f>
        <v>0</v>
      </c>
      <c r="I388" s="3">
        <f>IFERROR(VLOOKUP(Table43_1[[#This Row],[PCPL KODE 2]],#REF!,3,0),0)</f>
        <v>0</v>
      </c>
      <c r="J388" s="3">
        <f>IFERROR(VLOOKUP(Table43_1[[#This Row],[PCPL KODE 3]],#REF!,3,0),0)</f>
        <v>0</v>
      </c>
      <c r="K388" s="3">
        <f>IFERROR(VLOOKUP(Table43_1[[#This Row],[PCPL KODE 4]],#REF!,3,0),0)</f>
        <v>0</v>
      </c>
      <c r="L388" s="3">
        <f>IFERROR(VLOOKUP(Table43_1[[#This Row],[PCPL KODE 5]],#REF!,3,0),0)</f>
        <v>0</v>
      </c>
      <c r="M388" s="3">
        <f>Table43_1[[#This Row],[QTY 1]]+Table43_1[[#This Row],[QTY 2]]+Table43_1[[#This Row],[QTY 3]]+Table43_1[[#This Row],[QTY 4]]+Table43_1[[#This Row],[QTY 5]]</f>
        <v>0</v>
      </c>
      <c r="N388" s="3"/>
    </row>
    <row r="389" spans="1:14">
      <c r="A389" t="s">
        <v>1741</v>
      </c>
      <c r="B389" t="s">
        <v>1742</v>
      </c>
      <c r="C389">
        <v>110050</v>
      </c>
      <c r="H389" s="3">
        <f>IFERROR(VLOOKUP(Table43_1[[#This Row],[PCPL KODE 1]],#REF!,3,0),0)</f>
        <v>0</v>
      </c>
      <c r="I389" s="3">
        <f>IFERROR(VLOOKUP(Table43_1[[#This Row],[PCPL KODE 2]],#REF!,3,0),0)</f>
        <v>0</v>
      </c>
      <c r="J389" s="3">
        <f>IFERROR(VLOOKUP(Table43_1[[#This Row],[PCPL KODE 3]],#REF!,3,0),0)</f>
        <v>0</v>
      </c>
      <c r="K389" s="3">
        <f>IFERROR(VLOOKUP(Table43_1[[#This Row],[PCPL KODE 4]],#REF!,3,0),0)</f>
        <v>0</v>
      </c>
      <c r="L389" s="3">
        <f>IFERROR(VLOOKUP(Table43_1[[#This Row],[PCPL KODE 5]],#REF!,3,0),0)</f>
        <v>0</v>
      </c>
      <c r="M389" s="3">
        <f>Table43_1[[#This Row],[QTY 1]]+Table43_1[[#This Row],[QTY 2]]+Table43_1[[#This Row],[QTY 3]]+Table43_1[[#This Row],[QTY 4]]+Table43_1[[#This Row],[QTY 5]]</f>
        <v>0</v>
      </c>
      <c r="N389" s="3"/>
    </row>
    <row r="390" spans="1:14">
      <c r="A390" t="s">
        <v>1743</v>
      </c>
      <c r="B390" t="s">
        <v>1744</v>
      </c>
      <c r="C390">
        <v>110042</v>
      </c>
      <c r="H390" s="3">
        <f>IFERROR(VLOOKUP(Table43_1[[#This Row],[PCPL KODE 1]],#REF!,3,0),0)</f>
        <v>0</v>
      </c>
      <c r="I390" s="3">
        <f>IFERROR(VLOOKUP(Table43_1[[#This Row],[PCPL KODE 2]],#REF!,3,0),0)</f>
        <v>0</v>
      </c>
      <c r="J390" s="3">
        <f>IFERROR(VLOOKUP(Table43_1[[#This Row],[PCPL KODE 3]],#REF!,3,0),0)</f>
        <v>0</v>
      </c>
      <c r="K390" s="3">
        <f>IFERROR(VLOOKUP(Table43_1[[#This Row],[PCPL KODE 4]],#REF!,3,0),0)</f>
        <v>0</v>
      </c>
      <c r="L390" s="3">
        <f>IFERROR(VLOOKUP(Table43_1[[#This Row],[PCPL KODE 5]],#REF!,3,0),0)</f>
        <v>0</v>
      </c>
      <c r="M390" s="3">
        <f>Table43_1[[#This Row],[QTY 1]]+Table43_1[[#This Row],[QTY 2]]+Table43_1[[#This Row],[QTY 3]]+Table43_1[[#This Row],[QTY 4]]+Table43_1[[#This Row],[QTY 5]]</f>
        <v>0</v>
      </c>
      <c r="N390" s="3"/>
    </row>
    <row r="391" spans="1:14">
      <c r="A391" t="s">
        <v>1745</v>
      </c>
      <c r="B391" t="s">
        <v>1746</v>
      </c>
      <c r="C391">
        <v>110044</v>
      </c>
      <c r="H391" s="3">
        <f>IFERROR(VLOOKUP(Table43_1[[#This Row],[PCPL KODE 1]],#REF!,3,0),0)</f>
        <v>0</v>
      </c>
      <c r="I391" s="3">
        <f>IFERROR(VLOOKUP(Table43_1[[#This Row],[PCPL KODE 2]],#REF!,3,0),0)</f>
        <v>0</v>
      </c>
      <c r="J391" s="3">
        <f>IFERROR(VLOOKUP(Table43_1[[#This Row],[PCPL KODE 3]],#REF!,3,0),0)</f>
        <v>0</v>
      </c>
      <c r="K391" s="3">
        <f>IFERROR(VLOOKUP(Table43_1[[#This Row],[PCPL KODE 4]],#REF!,3,0),0)</f>
        <v>0</v>
      </c>
      <c r="L391" s="3">
        <f>IFERROR(VLOOKUP(Table43_1[[#This Row],[PCPL KODE 5]],#REF!,3,0),0)</f>
        <v>0</v>
      </c>
      <c r="M391" s="3">
        <f>Table43_1[[#This Row],[QTY 1]]+Table43_1[[#This Row],[QTY 2]]+Table43_1[[#This Row],[QTY 3]]+Table43_1[[#This Row],[QTY 4]]+Table43_1[[#This Row],[QTY 5]]</f>
        <v>0</v>
      </c>
      <c r="N391" s="3"/>
    </row>
    <row r="392" spans="1:14">
      <c r="A392" t="s">
        <v>1747</v>
      </c>
      <c r="B392" t="s">
        <v>1748</v>
      </c>
      <c r="C392">
        <v>110043</v>
      </c>
      <c r="H392" s="3">
        <f>IFERROR(VLOOKUP(Table43_1[[#This Row],[PCPL KODE 1]],#REF!,3,0),0)</f>
        <v>0</v>
      </c>
      <c r="I392" s="3">
        <f>IFERROR(VLOOKUP(Table43_1[[#This Row],[PCPL KODE 2]],#REF!,3,0),0)</f>
        <v>0</v>
      </c>
      <c r="J392" s="3">
        <f>IFERROR(VLOOKUP(Table43_1[[#This Row],[PCPL KODE 3]],#REF!,3,0),0)</f>
        <v>0</v>
      </c>
      <c r="K392" s="3">
        <f>IFERROR(VLOOKUP(Table43_1[[#This Row],[PCPL KODE 4]],#REF!,3,0),0)</f>
        <v>0</v>
      </c>
      <c r="L392" s="3">
        <f>IFERROR(VLOOKUP(Table43_1[[#This Row],[PCPL KODE 5]],#REF!,3,0),0)</f>
        <v>0</v>
      </c>
      <c r="M392" s="3">
        <f>Table43_1[[#This Row],[QTY 1]]+Table43_1[[#This Row],[QTY 2]]+Table43_1[[#This Row],[QTY 3]]+Table43_1[[#This Row],[QTY 4]]+Table43_1[[#This Row],[QTY 5]]</f>
        <v>0</v>
      </c>
      <c r="N392" s="3"/>
    </row>
    <row r="393" spans="1:14">
      <c r="A393" t="s">
        <v>1749</v>
      </c>
      <c r="B393" t="s">
        <v>1750</v>
      </c>
      <c r="C393">
        <v>110045</v>
      </c>
      <c r="H393" s="3">
        <f>IFERROR(VLOOKUP(Table43_1[[#This Row],[PCPL KODE 1]],#REF!,3,0),0)</f>
        <v>0</v>
      </c>
      <c r="I393" s="3">
        <f>IFERROR(VLOOKUP(Table43_1[[#This Row],[PCPL KODE 2]],#REF!,3,0),0)</f>
        <v>0</v>
      </c>
      <c r="J393" s="3">
        <f>IFERROR(VLOOKUP(Table43_1[[#This Row],[PCPL KODE 3]],#REF!,3,0),0)</f>
        <v>0</v>
      </c>
      <c r="K393" s="3">
        <f>IFERROR(VLOOKUP(Table43_1[[#This Row],[PCPL KODE 4]],#REF!,3,0),0)</f>
        <v>0</v>
      </c>
      <c r="L393" s="3">
        <f>IFERROR(VLOOKUP(Table43_1[[#This Row],[PCPL KODE 5]],#REF!,3,0),0)</f>
        <v>0</v>
      </c>
      <c r="M393" s="3">
        <f>Table43_1[[#This Row],[QTY 1]]+Table43_1[[#This Row],[QTY 2]]+Table43_1[[#This Row],[QTY 3]]+Table43_1[[#This Row],[QTY 4]]+Table43_1[[#This Row],[QTY 5]]</f>
        <v>0</v>
      </c>
      <c r="N393" s="3"/>
    </row>
    <row r="394" spans="1:14">
      <c r="A394" t="s">
        <v>2410</v>
      </c>
      <c r="B394" t="s">
        <v>1758</v>
      </c>
      <c r="C394">
        <v>110034</v>
      </c>
      <c r="H394" s="3">
        <f>IFERROR(VLOOKUP(Table43_1[[#This Row],[PCPL KODE 1]],#REF!,3,0),0)</f>
        <v>0</v>
      </c>
      <c r="I394" s="3">
        <f>IFERROR(VLOOKUP(Table43_1[[#This Row],[PCPL KODE 2]],#REF!,3,0),0)</f>
        <v>0</v>
      </c>
      <c r="J394" s="3">
        <f>IFERROR(VLOOKUP(Table43_1[[#This Row],[PCPL KODE 3]],#REF!,3,0),0)</f>
        <v>0</v>
      </c>
      <c r="K394" s="3">
        <f>IFERROR(VLOOKUP(Table43_1[[#This Row],[PCPL KODE 4]],#REF!,3,0),0)</f>
        <v>0</v>
      </c>
      <c r="L394" s="3">
        <f>IFERROR(VLOOKUP(Table43_1[[#This Row],[PCPL KODE 5]],#REF!,3,0),0)</f>
        <v>0</v>
      </c>
      <c r="M394" s="3">
        <f>Table43_1[[#This Row],[QTY 1]]+Table43_1[[#This Row],[QTY 2]]+Table43_1[[#This Row],[QTY 3]]+Table43_1[[#This Row],[QTY 4]]+Table43_1[[#This Row],[QTY 5]]</f>
        <v>0</v>
      </c>
      <c r="N394" s="3"/>
    </row>
    <row r="395" spans="1:14">
      <c r="A395" t="s">
        <v>1759</v>
      </c>
      <c r="B395" t="s">
        <v>1760</v>
      </c>
      <c r="C395">
        <v>110032</v>
      </c>
      <c r="H395" s="3">
        <f>IFERROR(VLOOKUP(Table43_1[[#This Row],[PCPL KODE 1]],#REF!,3,0),0)</f>
        <v>0</v>
      </c>
      <c r="I395" s="3">
        <f>IFERROR(VLOOKUP(Table43_1[[#This Row],[PCPL KODE 2]],#REF!,3,0),0)</f>
        <v>0</v>
      </c>
      <c r="J395" s="3">
        <f>IFERROR(VLOOKUP(Table43_1[[#This Row],[PCPL KODE 3]],#REF!,3,0),0)</f>
        <v>0</v>
      </c>
      <c r="K395" s="3">
        <f>IFERROR(VLOOKUP(Table43_1[[#This Row],[PCPL KODE 4]],#REF!,3,0),0)</f>
        <v>0</v>
      </c>
      <c r="L395" s="3">
        <f>IFERROR(VLOOKUP(Table43_1[[#This Row],[PCPL KODE 5]],#REF!,3,0),0)</f>
        <v>0</v>
      </c>
      <c r="M395" s="3">
        <f>Table43_1[[#This Row],[QTY 1]]+Table43_1[[#This Row],[QTY 2]]+Table43_1[[#This Row],[QTY 3]]+Table43_1[[#This Row],[QTY 4]]+Table43_1[[#This Row],[QTY 5]]</f>
        <v>0</v>
      </c>
      <c r="N395" s="3"/>
    </row>
    <row r="396" spans="1:14">
      <c r="A396" t="s">
        <v>1761</v>
      </c>
      <c r="B396" t="s">
        <v>1762</v>
      </c>
      <c r="C396">
        <v>110053</v>
      </c>
      <c r="H396" s="3">
        <f>IFERROR(VLOOKUP(Table43_1[[#This Row],[PCPL KODE 1]],#REF!,3,0),0)</f>
        <v>0</v>
      </c>
      <c r="I396" s="3">
        <f>IFERROR(VLOOKUP(Table43_1[[#This Row],[PCPL KODE 2]],#REF!,3,0),0)</f>
        <v>0</v>
      </c>
      <c r="J396" s="3">
        <f>IFERROR(VLOOKUP(Table43_1[[#This Row],[PCPL KODE 3]],#REF!,3,0),0)</f>
        <v>0</v>
      </c>
      <c r="K396" s="3">
        <f>IFERROR(VLOOKUP(Table43_1[[#This Row],[PCPL KODE 4]],#REF!,3,0),0)</f>
        <v>0</v>
      </c>
      <c r="L396" s="3">
        <f>IFERROR(VLOOKUP(Table43_1[[#This Row],[PCPL KODE 5]],#REF!,3,0),0)</f>
        <v>0</v>
      </c>
      <c r="M396" s="3">
        <f>Table43_1[[#This Row],[QTY 1]]+Table43_1[[#This Row],[QTY 2]]+Table43_1[[#This Row],[QTY 3]]+Table43_1[[#This Row],[QTY 4]]+Table43_1[[#This Row],[QTY 5]]</f>
        <v>0</v>
      </c>
      <c r="N396" s="3"/>
    </row>
    <row r="397" spans="1:14">
      <c r="A397" t="s">
        <v>1763</v>
      </c>
      <c r="B397" t="s">
        <v>3525</v>
      </c>
      <c r="C397">
        <v>110052</v>
      </c>
      <c r="H397" s="3">
        <f>IFERROR(VLOOKUP(Table43_1[[#This Row],[PCPL KODE 1]],#REF!,3,0),0)</f>
        <v>0</v>
      </c>
      <c r="I397" s="3">
        <f>IFERROR(VLOOKUP(Table43_1[[#This Row],[PCPL KODE 2]],#REF!,3,0),0)</f>
        <v>0</v>
      </c>
      <c r="J397" s="3">
        <f>IFERROR(VLOOKUP(Table43_1[[#This Row],[PCPL KODE 3]],#REF!,3,0),0)</f>
        <v>0</v>
      </c>
      <c r="K397" s="3">
        <f>IFERROR(VLOOKUP(Table43_1[[#This Row],[PCPL KODE 4]],#REF!,3,0),0)</f>
        <v>0</v>
      </c>
      <c r="L397" s="3">
        <f>IFERROR(VLOOKUP(Table43_1[[#This Row],[PCPL KODE 5]],#REF!,3,0),0)</f>
        <v>0</v>
      </c>
      <c r="M397" s="3">
        <f>Table43_1[[#This Row],[QTY 1]]+Table43_1[[#This Row],[QTY 2]]+Table43_1[[#This Row],[QTY 3]]+Table43_1[[#This Row],[QTY 4]]+Table43_1[[#This Row],[QTY 5]]</f>
        <v>0</v>
      </c>
      <c r="N397" s="3"/>
    </row>
    <row r="398" spans="1:14">
      <c r="A398" t="s">
        <v>1765</v>
      </c>
      <c r="B398" t="s">
        <v>1766</v>
      </c>
      <c r="C398">
        <v>110030</v>
      </c>
      <c r="H398" s="3">
        <f>IFERROR(VLOOKUP(Table43_1[[#This Row],[PCPL KODE 1]],#REF!,3,0),0)</f>
        <v>0</v>
      </c>
      <c r="I398" s="3">
        <f>IFERROR(VLOOKUP(Table43_1[[#This Row],[PCPL KODE 2]],#REF!,3,0),0)</f>
        <v>0</v>
      </c>
      <c r="J398" s="3">
        <f>IFERROR(VLOOKUP(Table43_1[[#This Row],[PCPL KODE 3]],#REF!,3,0),0)</f>
        <v>0</v>
      </c>
      <c r="K398" s="3">
        <f>IFERROR(VLOOKUP(Table43_1[[#This Row],[PCPL KODE 4]],#REF!,3,0),0)</f>
        <v>0</v>
      </c>
      <c r="L398" s="3">
        <f>IFERROR(VLOOKUP(Table43_1[[#This Row],[PCPL KODE 5]],#REF!,3,0),0)</f>
        <v>0</v>
      </c>
      <c r="M398" s="3">
        <f>Table43_1[[#This Row],[QTY 1]]+Table43_1[[#This Row],[QTY 2]]+Table43_1[[#This Row],[QTY 3]]+Table43_1[[#This Row],[QTY 4]]+Table43_1[[#This Row],[QTY 5]]</f>
        <v>0</v>
      </c>
      <c r="N398" s="3"/>
    </row>
    <row r="399" spans="1:14">
      <c r="A399" t="s">
        <v>1767</v>
      </c>
      <c r="B399" t="s">
        <v>3526</v>
      </c>
      <c r="C399">
        <v>110054</v>
      </c>
      <c r="H399" s="3">
        <f>IFERROR(VLOOKUP(Table43_1[[#This Row],[PCPL KODE 1]],#REF!,3,0),0)</f>
        <v>0</v>
      </c>
      <c r="I399" s="3">
        <f>IFERROR(VLOOKUP(Table43_1[[#This Row],[PCPL KODE 2]],#REF!,3,0),0)</f>
        <v>0</v>
      </c>
      <c r="J399" s="3">
        <f>IFERROR(VLOOKUP(Table43_1[[#This Row],[PCPL KODE 3]],#REF!,3,0),0)</f>
        <v>0</v>
      </c>
      <c r="K399" s="3">
        <f>IFERROR(VLOOKUP(Table43_1[[#This Row],[PCPL KODE 4]],#REF!,3,0),0)</f>
        <v>0</v>
      </c>
      <c r="L399" s="3">
        <f>IFERROR(VLOOKUP(Table43_1[[#This Row],[PCPL KODE 5]],#REF!,3,0),0)</f>
        <v>0</v>
      </c>
      <c r="M399" s="3">
        <f>Table43_1[[#This Row],[QTY 1]]+Table43_1[[#This Row],[QTY 2]]+Table43_1[[#This Row],[QTY 3]]+Table43_1[[#This Row],[QTY 4]]+Table43_1[[#This Row],[QTY 5]]</f>
        <v>0</v>
      </c>
      <c r="N399" s="3"/>
    </row>
    <row r="400" spans="1:14">
      <c r="A400" t="s">
        <v>1769</v>
      </c>
      <c r="B400" t="s">
        <v>3527</v>
      </c>
      <c r="C400">
        <v>110056</v>
      </c>
      <c r="H400" s="3">
        <f>IFERROR(VLOOKUP(Table43_1[[#This Row],[PCPL KODE 1]],#REF!,3,0),0)</f>
        <v>0</v>
      </c>
      <c r="I400" s="3">
        <f>IFERROR(VLOOKUP(Table43_1[[#This Row],[PCPL KODE 2]],#REF!,3,0),0)</f>
        <v>0</v>
      </c>
      <c r="J400" s="3">
        <f>IFERROR(VLOOKUP(Table43_1[[#This Row],[PCPL KODE 3]],#REF!,3,0),0)</f>
        <v>0</v>
      </c>
      <c r="K400" s="3">
        <f>IFERROR(VLOOKUP(Table43_1[[#This Row],[PCPL KODE 4]],#REF!,3,0),0)</f>
        <v>0</v>
      </c>
      <c r="L400" s="3">
        <f>IFERROR(VLOOKUP(Table43_1[[#This Row],[PCPL KODE 5]],#REF!,3,0),0)</f>
        <v>0</v>
      </c>
      <c r="M400" s="3">
        <f>Table43_1[[#This Row],[QTY 1]]+Table43_1[[#This Row],[QTY 2]]+Table43_1[[#This Row],[QTY 3]]+Table43_1[[#This Row],[QTY 4]]+Table43_1[[#This Row],[QTY 5]]</f>
        <v>0</v>
      </c>
      <c r="N400" s="3"/>
    </row>
    <row r="401" spans="1:14">
      <c r="A401" t="s">
        <v>1771</v>
      </c>
      <c r="B401" t="s">
        <v>1772</v>
      </c>
      <c r="C401">
        <v>110055</v>
      </c>
      <c r="H401" s="3">
        <f>IFERROR(VLOOKUP(Table43_1[[#This Row],[PCPL KODE 1]],#REF!,3,0),0)</f>
        <v>0</v>
      </c>
      <c r="I401" s="3">
        <f>IFERROR(VLOOKUP(Table43_1[[#This Row],[PCPL KODE 2]],#REF!,3,0),0)</f>
        <v>0</v>
      </c>
      <c r="J401" s="3">
        <f>IFERROR(VLOOKUP(Table43_1[[#This Row],[PCPL KODE 3]],#REF!,3,0),0)</f>
        <v>0</v>
      </c>
      <c r="K401" s="3">
        <f>IFERROR(VLOOKUP(Table43_1[[#This Row],[PCPL KODE 4]],#REF!,3,0),0)</f>
        <v>0</v>
      </c>
      <c r="L401" s="3">
        <f>IFERROR(VLOOKUP(Table43_1[[#This Row],[PCPL KODE 5]],#REF!,3,0),0)</f>
        <v>0</v>
      </c>
      <c r="M401" s="3">
        <f>Table43_1[[#This Row],[QTY 1]]+Table43_1[[#This Row],[QTY 2]]+Table43_1[[#This Row],[QTY 3]]+Table43_1[[#This Row],[QTY 4]]+Table43_1[[#This Row],[QTY 5]]</f>
        <v>0</v>
      </c>
      <c r="N401" s="3"/>
    </row>
    <row r="402" spans="1:14">
      <c r="A402" t="s">
        <v>1773</v>
      </c>
      <c r="B402" t="s">
        <v>1774</v>
      </c>
      <c r="C402">
        <v>110046</v>
      </c>
      <c r="H402" s="3">
        <f>IFERROR(VLOOKUP(Table43_1[[#This Row],[PCPL KODE 1]],#REF!,3,0),0)</f>
        <v>0</v>
      </c>
      <c r="I402" s="3">
        <f>IFERROR(VLOOKUP(Table43_1[[#This Row],[PCPL KODE 2]],#REF!,3,0),0)</f>
        <v>0</v>
      </c>
      <c r="J402" s="3">
        <f>IFERROR(VLOOKUP(Table43_1[[#This Row],[PCPL KODE 3]],#REF!,3,0),0)</f>
        <v>0</v>
      </c>
      <c r="K402" s="3">
        <f>IFERROR(VLOOKUP(Table43_1[[#This Row],[PCPL KODE 4]],#REF!,3,0),0)</f>
        <v>0</v>
      </c>
      <c r="L402" s="3">
        <f>IFERROR(VLOOKUP(Table43_1[[#This Row],[PCPL KODE 5]],#REF!,3,0),0)</f>
        <v>0</v>
      </c>
      <c r="M402" s="3">
        <f>Table43_1[[#This Row],[QTY 1]]+Table43_1[[#This Row],[QTY 2]]+Table43_1[[#This Row],[QTY 3]]+Table43_1[[#This Row],[QTY 4]]+Table43_1[[#This Row],[QTY 5]]</f>
        <v>0</v>
      </c>
      <c r="N402" s="3"/>
    </row>
    <row r="403" spans="1:14">
      <c r="A403" t="s">
        <v>1775</v>
      </c>
      <c r="B403" t="s">
        <v>1776</v>
      </c>
      <c r="C403">
        <v>110047</v>
      </c>
      <c r="H403" s="3">
        <f>IFERROR(VLOOKUP(Table43_1[[#This Row],[PCPL KODE 1]],#REF!,3,0),0)</f>
        <v>0</v>
      </c>
      <c r="I403" s="3">
        <f>IFERROR(VLOOKUP(Table43_1[[#This Row],[PCPL KODE 2]],#REF!,3,0),0)</f>
        <v>0</v>
      </c>
      <c r="J403" s="3">
        <f>IFERROR(VLOOKUP(Table43_1[[#This Row],[PCPL KODE 3]],#REF!,3,0),0)</f>
        <v>0</v>
      </c>
      <c r="K403" s="3">
        <f>IFERROR(VLOOKUP(Table43_1[[#This Row],[PCPL KODE 4]],#REF!,3,0),0)</f>
        <v>0</v>
      </c>
      <c r="L403" s="3">
        <f>IFERROR(VLOOKUP(Table43_1[[#This Row],[PCPL KODE 5]],#REF!,3,0),0)</f>
        <v>0</v>
      </c>
      <c r="M403" s="3">
        <f>Table43_1[[#This Row],[QTY 1]]+Table43_1[[#This Row],[QTY 2]]+Table43_1[[#This Row],[QTY 3]]+Table43_1[[#This Row],[QTY 4]]+Table43_1[[#This Row],[QTY 5]]</f>
        <v>0</v>
      </c>
      <c r="N403" s="3"/>
    </row>
    <row r="404" spans="1:14">
      <c r="A404" t="s">
        <v>1777</v>
      </c>
      <c r="B404" t="s">
        <v>1778</v>
      </c>
      <c r="C404">
        <v>110026</v>
      </c>
      <c r="H404" s="3">
        <f>IFERROR(VLOOKUP(Table43_1[[#This Row],[PCPL KODE 1]],#REF!,3,0),0)</f>
        <v>0</v>
      </c>
      <c r="I404" s="3">
        <f>IFERROR(VLOOKUP(Table43_1[[#This Row],[PCPL KODE 2]],#REF!,3,0),0)</f>
        <v>0</v>
      </c>
      <c r="J404" s="3">
        <f>IFERROR(VLOOKUP(Table43_1[[#This Row],[PCPL KODE 3]],#REF!,3,0),0)</f>
        <v>0</v>
      </c>
      <c r="K404" s="3">
        <f>IFERROR(VLOOKUP(Table43_1[[#This Row],[PCPL KODE 4]],#REF!,3,0),0)</f>
        <v>0</v>
      </c>
      <c r="L404" s="3">
        <f>IFERROR(VLOOKUP(Table43_1[[#This Row],[PCPL KODE 5]],#REF!,3,0),0)</f>
        <v>0</v>
      </c>
      <c r="M404" s="3">
        <f>Table43_1[[#This Row],[QTY 1]]+Table43_1[[#This Row],[QTY 2]]+Table43_1[[#This Row],[QTY 3]]+Table43_1[[#This Row],[QTY 4]]+Table43_1[[#This Row],[QTY 5]]</f>
        <v>0</v>
      </c>
      <c r="N404" s="3"/>
    </row>
    <row r="405" spans="1:14">
      <c r="A405" t="s">
        <v>1779</v>
      </c>
      <c r="B405" t="s">
        <v>1780</v>
      </c>
      <c r="C405">
        <v>110027</v>
      </c>
      <c r="H405" s="3">
        <f>IFERROR(VLOOKUP(Table43_1[[#This Row],[PCPL KODE 1]],#REF!,3,0),0)</f>
        <v>0</v>
      </c>
      <c r="I405" s="3">
        <f>IFERROR(VLOOKUP(Table43_1[[#This Row],[PCPL KODE 2]],#REF!,3,0),0)</f>
        <v>0</v>
      </c>
      <c r="J405" s="3">
        <f>IFERROR(VLOOKUP(Table43_1[[#This Row],[PCPL KODE 3]],#REF!,3,0),0)</f>
        <v>0</v>
      </c>
      <c r="K405" s="3">
        <f>IFERROR(VLOOKUP(Table43_1[[#This Row],[PCPL KODE 4]],#REF!,3,0),0)</f>
        <v>0</v>
      </c>
      <c r="L405" s="3">
        <f>IFERROR(VLOOKUP(Table43_1[[#This Row],[PCPL KODE 5]],#REF!,3,0),0)</f>
        <v>0</v>
      </c>
      <c r="M405" s="3">
        <f>Table43_1[[#This Row],[QTY 1]]+Table43_1[[#This Row],[QTY 2]]+Table43_1[[#This Row],[QTY 3]]+Table43_1[[#This Row],[QTY 4]]+Table43_1[[#This Row],[QTY 5]]</f>
        <v>0</v>
      </c>
      <c r="N405" s="3"/>
    </row>
    <row r="406" spans="1:14">
      <c r="A406" t="s">
        <v>1781</v>
      </c>
      <c r="B406" t="s">
        <v>1782</v>
      </c>
      <c r="C406">
        <v>110025</v>
      </c>
      <c r="H406" s="3">
        <f>IFERROR(VLOOKUP(Table43_1[[#This Row],[PCPL KODE 1]],#REF!,3,0),0)</f>
        <v>0</v>
      </c>
      <c r="I406" s="3">
        <f>IFERROR(VLOOKUP(Table43_1[[#This Row],[PCPL KODE 2]],#REF!,3,0),0)</f>
        <v>0</v>
      </c>
      <c r="J406" s="3">
        <f>IFERROR(VLOOKUP(Table43_1[[#This Row],[PCPL KODE 3]],#REF!,3,0),0)</f>
        <v>0</v>
      </c>
      <c r="K406" s="3">
        <f>IFERROR(VLOOKUP(Table43_1[[#This Row],[PCPL KODE 4]],#REF!,3,0),0)</f>
        <v>0</v>
      </c>
      <c r="L406" s="3">
        <f>IFERROR(VLOOKUP(Table43_1[[#This Row],[PCPL KODE 5]],#REF!,3,0),0)</f>
        <v>0</v>
      </c>
      <c r="M406" s="3">
        <f>Table43_1[[#This Row],[QTY 1]]+Table43_1[[#This Row],[QTY 2]]+Table43_1[[#This Row],[QTY 3]]+Table43_1[[#This Row],[QTY 4]]+Table43_1[[#This Row],[QTY 5]]</f>
        <v>0</v>
      </c>
      <c r="N406" s="3"/>
    </row>
    <row r="407" spans="1:14">
      <c r="A407" t="s">
        <v>1783</v>
      </c>
      <c r="B407" t="s">
        <v>1784</v>
      </c>
      <c r="C407">
        <v>110006</v>
      </c>
      <c r="H407" s="3">
        <f>IFERROR(VLOOKUP(Table43_1[[#This Row],[PCPL KODE 1]],#REF!,3,0),0)</f>
        <v>0</v>
      </c>
      <c r="I407" s="3">
        <f>IFERROR(VLOOKUP(Table43_1[[#This Row],[PCPL KODE 2]],#REF!,3,0),0)</f>
        <v>0</v>
      </c>
      <c r="J407" s="3">
        <f>IFERROR(VLOOKUP(Table43_1[[#This Row],[PCPL KODE 3]],#REF!,3,0),0)</f>
        <v>0</v>
      </c>
      <c r="K407" s="3">
        <f>IFERROR(VLOOKUP(Table43_1[[#This Row],[PCPL KODE 4]],#REF!,3,0),0)</f>
        <v>0</v>
      </c>
      <c r="L407" s="3">
        <f>IFERROR(VLOOKUP(Table43_1[[#This Row],[PCPL KODE 5]],#REF!,3,0),0)</f>
        <v>0</v>
      </c>
      <c r="M407" s="3">
        <f>Table43_1[[#This Row],[QTY 1]]+Table43_1[[#This Row],[QTY 2]]+Table43_1[[#This Row],[QTY 3]]+Table43_1[[#This Row],[QTY 4]]+Table43_1[[#This Row],[QTY 5]]</f>
        <v>0</v>
      </c>
      <c r="N407" s="3"/>
    </row>
    <row r="408" spans="1:14">
      <c r="A408" t="s">
        <v>1785</v>
      </c>
      <c r="B408" t="s">
        <v>1786</v>
      </c>
      <c r="C408">
        <v>110005</v>
      </c>
      <c r="H408" s="3">
        <f>IFERROR(VLOOKUP(Table43_1[[#This Row],[PCPL KODE 1]],#REF!,3,0),0)</f>
        <v>0</v>
      </c>
      <c r="I408" s="3">
        <f>IFERROR(VLOOKUP(Table43_1[[#This Row],[PCPL KODE 2]],#REF!,3,0),0)</f>
        <v>0</v>
      </c>
      <c r="J408" s="3">
        <f>IFERROR(VLOOKUP(Table43_1[[#This Row],[PCPL KODE 3]],#REF!,3,0),0)</f>
        <v>0</v>
      </c>
      <c r="K408" s="3">
        <f>IFERROR(VLOOKUP(Table43_1[[#This Row],[PCPL KODE 4]],#REF!,3,0),0)</f>
        <v>0</v>
      </c>
      <c r="L408" s="3">
        <f>IFERROR(VLOOKUP(Table43_1[[#This Row],[PCPL KODE 5]],#REF!,3,0),0)</f>
        <v>0</v>
      </c>
      <c r="M408" s="3">
        <f>Table43_1[[#This Row],[QTY 1]]+Table43_1[[#This Row],[QTY 2]]+Table43_1[[#This Row],[QTY 3]]+Table43_1[[#This Row],[QTY 4]]+Table43_1[[#This Row],[QTY 5]]</f>
        <v>0</v>
      </c>
      <c r="N408" s="3"/>
    </row>
    <row r="409" spans="1:14">
      <c r="A409" t="s">
        <v>1787</v>
      </c>
      <c r="B409" t="s">
        <v>1788</v>
      </c>
      <c r="C409">
        <v>110004</v>
      </c>
      <c r="H409" s="3">
        <f>IFERROR(VLOOKUP(Table43_1[[#This Row],[PCPL KODE 1]],#REF!,3,0),0)</f>
        <v>0</v>
      </c>
      <c r="I409" s="3">
        <f>IFERROR(VLOOKUP(Table43_1[[#This Row],[PCPL KODE 2]],#REF!,3,0),0)</f>
        <v>0</v>
      </c>
      <c r="J409" s="3">
        <f>IFERROR(VLOOKUP(Table43_1[[#This Row],[PCPL KODE 3]],#REF!,3,0),0)</f>
        <v>0</v>
      </c>
      <c r="K409" s="3">
        <f>IFERROR(VLOOKUP(Table43_1[[#This Row],[PCPL KODE 4]],#REF!,3,0),0)</f>
        <v>0</v>
      </c>
      <c r="L409" s="3">
        <f>IFERROR(VLOOKUP(Table43_1[[#This Row],[PCPL KODE 5]],#REF!,3,0),0)</f>
        <v>0</v>
      </c>
      <c r="M409" s="3">
        <f>Table43_1[[#This Row],[QTY 1]]+Table43_1[[#This Row],[QTY 2]]+Table43_1[[#This Row],[QTY 3]]+Table43_1[[#This Row],[QTY 4]]+Table43_1[[#This Row],[QTY 5]]</f>
        <v>0</v>
      </c>
      <c r="N409" s="3"/>
    </row>
    <row r="410" spans="1:14">
      <c r="A410" t="s">
        <v>1789</v>
      </c>
      <c r="B410" t="s">
        <v>1790</v>
      </c>
      <c r="C410">
        <v>110015</v>
      </c>
      <c r="H410" s="3">
        <f>IFERROR(VLOOKUP(Table43_1[[#This Row],[PCPL KODE 1]],#REF!,3,0),0)</f>
        <v>0</v>
      </c>
      <c r="I410" s="3">
        <f>IFERROR(VLOOKUP(Table43_1[[#This Row],[PCPL KODE 2]],#REF!,3,0),0)</f>
        <v>0</v>
      </c>
      <c r="J410" s="3">
        <f>IFERROR(VLOOKUP(Table43_1[[#This Row],[PCPL KODE 3]],#REF!,3,0),0)</f>
        <v>0</v>
      </c>
      <c r="K410" s="3">
        <f>IFERROR(VLOOKUP(Table43_1[[#This Row],[PCPL KODE 4]],#REF!,3,0),0)</f>
        <v>0</v>
      </c>
      <c r="L410" s="3">
        <f>IFERROR(VLOOKUP(Table43_1[[#This Row],[PCPL KODE 5]],#REF!,3,0),0)</f>
        <v>0</v>
      </c>
      <c r="M410" s="3">
        <f>Table43_1[[#This Row],[QTY 1]]+Table43_1[[#This Row],[QTY 2]]+Table43_1[[#This Row],[QTY 3]]+Table43_1[[#This Row],[QTY 4]]+Table43_1[[#This Row],[QTY 5]]</f>
        <v>0</v>
      </c>
      <c r="N410" s="3"/>
    </row>
    <row r="411" spans="1:14">
      <c r="A411" t="s">
        <v>1791</v>
      </c>
      <c r="B411" t="s">
        <v>1792</v>
      </c>
      <c r="C411">
        <v>110014</v>
      </c>
      <c r="H411" s="3">
        <f>IFERROR(VLOOKUP(Table43_1[[#This Row],[PCPL KODE 1]],#REF!,3,0),0)</f>
        <v>0</v>
      </c>
      <c r="I411" s="3">
        <f>IFERROR(VLOOKUP(Table43_1[[#This Row],[PCPL KODE 2]],#REF!,3,0),0)</f>
        <v>0</v>
      </c>
      <c r="J411" s="3">
        <f>IFERROR(VLOOKUP(Table43_1[[#This Row],[PCPL KODE 3]],#REF!,3,0),0)</f>
        <v>0</v>
      </c>
      <c r="K411" s="3">
        <f>IFERROR(VLOOKUP(Table43_1[[#This Row],[PCPL KODE 4]],#REF!,3,0),0)</f>
        <v>0</v>
      </c>
      <c r="L411" s="3">
        <f>IFERROR(VLOOKUP(Table43_1[[#This Row],[PCPL KODE 5]],#REF!,3,0),0)</f>
        <v>0</v>
      </c>
      <c r="M411" s="3">
        <f>Table43_1[[#This Row],[QTY 1]]+Table43_1[[#This Row],[QTY 2]]+Table43_1[[#This Row],[QTY 3]]+Table43_1[[#This Row],[QTY 4]]+Table43_1[[#This Row],[QTY 5]]</f>
        <v>0</v>
      </c>
      <c r="N411" s="3"/>
    </row>
    <row r="412" spans="1:14">
      <c r="A412" t="s">
        <v>1793</v>
      </c>
      <c r="B412" t="s">
        <v>1794</v>
      </c>
      <c r="C412">
        <v>110013</v>
      </c>
      <c r="H412" s="3">
        <f>IFERROR(VLOOKUP(Table43_1[[#This Row],[PCPL KODE 1]],#REF!,3,0),0)</f>
        <v>0</v>
      </c>
      <c r="I412" s="3">
        <f>IFERROR(VLOOKUP(Table43_1[[#This Row],[PCPL KODE 2]],#REF!,3,0),0)</f>
        <v>0</v>
      </c>
      <c r="J412" s="3">
        <f>IFERROR(VLOOKUP(Table43_1[[#This Row],[PCPL KODE 3]],#REF!,3,0),0)</f>
        <v>0</v>
      </c>
      <c r="K412" s="3">
        <f>IFERROR(VLOOKUP(Table43_1[[#This Row],[PCPL KODE 4]],#REF!,3,0),0)</f>
        <v>0</v>
      </c>
      <c r="L412" s="3">
        <f>IFERROR(VLOOKUP(Table43_1[[#This Row],[PCPL KODE 5]],#REF!,3,0),0)</f>
        <v>0</v>
      </c>
      <c r="M412" s="3">
        <f>Table43_1[[#This Row],[QTY 1]]+Table43_1[[#This Row],[QTY 2]]+Table43_1[[#This Row],[QTY 3]]+Table43_1[[#This Row],[QTY 4]]+Table43_1[[#This Row],[QTY 5]]</f>
        <v>0</v>
      </c>
      <c r="N412" s="3"/>
    </row>
    <row r="413" spans="1:14">
      <c r="A413" t="s">
        <v>1795</v>
      </c>
      <c r="B413" t="s">
        <v>1796</v>
      </c>
      <c r="C413">
        <v>110009</v>
      </c>
      <c r="H413" s="3">
        <f>IFERROR(VLOOKUP(Table43_1[[#This Row],[PCPL KODE 1]],#REF!,3,0),0)</f>
        <v>0</v>
      </c>
      <c r="I413" s="3">
        <f>IFERROR(VLOOKUP(Table43_1[[#This Row],[PCPL KODE 2]],#REF!,3,0),0)</f>
        <v>0</v>
      </c>
      <c r="J413" s="3">
        <f>IFERROR(VLOOKUP(Table43_1[[#This Row],[PCPL KODE 3]],#REF!,3,0),0)</f>
        <v>0</v>
      </c>
      <c r="K413" s="3">
        <f>IFERROR(VLOOKUP(Table43_1[[#This Row],[PCPL KODE 4]],#REF!,3,0),0)</f>
        <v>0</v>
      </c>
      <c r="L413" s="3">
        <f>IFERROR(VLOOKUP(Table43_1[[#This Row],[PCPL KODE 5]],#REF!,3,0),0)</f>
        <v>0</v>
      </c>
      <c r="M413" s="3">
        <f>Table43_1[[#This Row],[QTY 1]]+Table43_1[[#This Row],[QTY 2]]+Table43_1[[#This Row],[QTY 3]]+Table43_1[[#This Row],[QTY 4]]+Table43_1[[#This Row],[QTY 5]]</f>
        <v>0</v>
      </c>
      <c r="N413" s="3"/>
    </row>
    <row r="414" spans="1:14">
      <c r="A414" t="s">
        <v>3463</v>
      </c>
      <c r="B414" t="s">
        <v>3528</v>
      </c>
      <c r="C414">
        <v>0</v>
      </c>
      <c r="H414" s="3">
        <f>IFERROR(VLOOKUP(Table43_1[[#This Row],[PCPL KODE 1]],#REF!,3,0),0)</f>
        <v>0</v>
      </c>
      <c r="I414" s="3">
        <f>IFERROR(VLOOKUP(Table43_1[[#This Row],[PCPL KODE 2]],#REF!,3,0),0)</f>
        <v>0</v>
      </c>
      <c r="J414" s="3">
        <f>IFERROR(VLOOKUP(Table43_1[[#This Row],[PCPL KODE 3]],#REF!,3,0),0)</f>
        <v>0</v>
      </c>
      <c r="K414" s="3">
        <f>IFERROR(VLOOKUP(Table43_1[[#This Row],[PCPL KODE 4]],#REF!,3,0),0)</f>
        <v>0</v>
      </c>
      <c r="L414" s="3">
        <f>IFERROR(VLOOKUP(Table43_1[[#This Row],[PCPL KODE 5]],#REF!,3,0),0)</f>
        <v>0</v>
      </c>
      <c r="M414" s="3">
        <f>Table43_1[[#This Row],[QTY 1]]+Table43_1[[#This Row],[QTY 2]]+Table43_1[[#This Row],[QTY 3]]+Table43_1[[#This Row],[QTY 4]]+Table43_1[[#This Row],[QTY 5]]</f>
        <v>0</v>
      </c>
      <c r="N414" s="3"/>
    </row>
    <row r="415" spans="1:14">
      <c r="A415" t="s">
        <v>1797</v>
      </c>
      <c r="B415" t="s">
        <v>1798</v>
      </c>
      <c r="C415">
        <v>110008</v>
      </c>
      <c r="H415" s="3">
        <f>IFERROR(VLOOKUP(Table43_1[[#This Row],[PCPL KODE 1]],#REF!,3,0),0)</f>
        <v>0</v>
      </c>
      <c r="I415" s="3">
        <f>IFERROR(VLOOKUP(Table43_1[[#This Row],[PCPL KODE 2]],#REF!,3,0),0)</f>
        <v>0</v>
      </c>
      <c r="J415" s="3">
        <f>IFERROR(VLOOKUP(Table43_1[[#This Row],[PCPL KODE 3]],#REF!,3,0),0)</f>
        <v>0</v>
      </c>
      <c r="K415" s="3">
        <f>IFERROR(VLOOKUP(Table43_1[[#This Row],[PCPL KODE 4]],#REF!,3,0),0)</f>
        <v>0</v>
      </c>
      <c r="L415" s="3">
        <f>IFERROR(VLOOKUP(Table43_1[[#This Row],[PCPL KODE 5]],#REF!,3,0),0)</f>
        <v>0</v>
      </c>
      <c r="M415" s="3">
        <f>Table43_1[[#This Row],[QTY 1]]+Table43_1[[#This Row],[QTY 2]]+Table43_1[[#This Row],[QTY 3]]+Table43_1[[#This Row],[QTY 4]]+Table43_1[[#This Row],[QTY 5]]</f>
        <v>0</v>
      </c>
      <c r="N415" s="3"/>
    </row>
    <row r="416" spans="1:14">
      <c r="A416" t="s">
        <v>1799</v>
      </c>
      <c r="B416" t="s">
        <v>1800</v>
      </c>
      <c r="C416">
        <v>110007</v>
      </c>
      <c r="H416" s="3">
        <f>IFERROR(VLOOKUP(Table43_1[[#This Row],[PCPL KODE 1]],#REF!,3,0),0)</f>
        <v>0</v>
      </c>
      <c r="I416" s="3">
        <f>IFERROR(VLOOKUP(Table43_1[[#This Row],[PCPL KODE 2]],#REF!,3,0),0)</f>
        <v>0</v>
      </c>
      <c r="J416" s="3">
        <f>IFERROR(VLOOKUP(Table43_1[[#This Row],[PCPL KODE 3]],#REF!,3,0),0)</f>
        <v>0</v>
      </c>
      <c r="K416" s="3">
        <f>IFERROR(VLOOKUP(Table43_1[[#This Row],[PCPL KODE 4]],#REF!,3,0),0)</f>
        <v>0</v>
      </c>
      <c r="L416" s="3">
        <f>IFERROR(VLOOKUP(Table43_1[[#This Row],[PCPL KODE 5]],#REF!,3,0),0)</f>
        <v>0</v>
      </c>
      <c r="M416" s="3">
        <f>Table43_1[[#This Row],[QTY 1]]+Table43_1[[#This Row],[QTY 2]]+Table43_1[[#This Row],[QTY 3]]+Table43_1[[#This Row],[QTY 4]]+Table43_1[[#This Row],[QTY 5]]</f>
        <v>0</v>
      </c>
      <c r="N416" s="3"/>
    </row>
    <row r="417" spans="1:14">
      <c r="A417" t="s">
        <v>1801</v>
      </c>
      <c r="B417" t="s">
        <v>1802</v>
      </c>
      <c r="C417">
        <v>110003</v>
      </c>
      <c r="H417" s="3">
        <f>IFERROR(VLOOKUP(Table43_1[[#This Row],[PCPL KODE 1]],#REF!,3,0),0)</f>
        <v>0</v>
      </c>
      <c r="I417" s="3">
        <f>IFERROR(VLOOKUP(Table43_1[[#This Row],[PCPL KODE 2]],#REF!,3,0),0)</f>
        <v>0</v>
      </c>
      <c r="J417" s="3">
        <f>IFERROR(VLOOKUP(Table43_1[[#This Row],[PCPL KODE 3]],#REF!,3,0),0)</f>
        <v>0</v>
      </c>
      <c r="K417" s="3">
        <f>IFERROR(VLOOKUP(Table43_1[[#This Row],[PCPL KODE 4]],#REF!,3,0),0)</f>
        <v>0</v>
      </c>
      <c r="L417" s="3">
        <f>IFERROR(VLOOKUP(Table43_1[[#This Row],[PCPL KODE 5]],#REF!,3,0),0)</f>
        <v>0</v>
      </c>
      <c r="M417" s="3">
        <f>Table43_1[[#This Row],[QTY 1]]+Table43_1[[#This Row],[QTY 2]]+Table43_1[[#This Row],[QTY 3]]+Table43_1[[#This Row],[QTY 4]]+Table43_1[[#This Row],[QTY 5]]</f>
        <v>0</v>
      </c>
      <c r="N417" s="3"/>
    </row>
    <row r="418" spans="1:14">
      <c r="A418" t="s">
        <v>1803</v>
      </c>
      <c r="B418" t="s">
        <v>3529</v>
      </c>
      <c r="C418">
        <v>110002</v>
      </c>
      <c r="H418" s="3">
        <f>IFERROR(VLOOKUP(Table43_1[[#This Row],[PCPL KODE 1]],#REF!,3,0),0)</f>
        <v>0</v>
      </c>
      <c r="I418" s="3">
        <f>IFERROR(VLOOKUP(Table43_1[[#This Row],[PCPL KODE 2]],#REF!,3,0),0)</f>
        <v>0</v>
      </c>
      <c r="J418" s="3">
        <f>IFERROR(VLOOKUP(Table43_1[[#This Row],[PCPL KODE 3]],#REF!,3,0),0)</f>
        <v>0</v>
      </c>
      <c r="K418" s="3">
        <f>IFERROR(VLOOKUP(Table43_1[[#This Row],[PCPL KODE 4]],#REF!,3,0),0)</f>
        <v>0</v>
      </c>
      <c r="L418" s="3">
        <f>IFERROR(VLOOKUP(Table43_1[[#This Row],[PCPL KODE 5]],#REF!,3,0),0)</f>
        <v>0</v>
      </c>
      <c r="M418" s="3">
        <f>Table43_1[[#This Row],[QTY 1]]+Table43_1[[#This Row],[QTY 2]]+Table43_1[[#This Row],[QTY 3]]+Table43_1[[#This Row],[QTY 4]]+Table43_1[[#This Row],[QTY 5]]</f>
        <v>0</v>
      </c>
      <c r="N418" s="3"/>
    </row>
    <row r="419" spans="1:14">
      <c r="A419" t="s">
        <v>1805</v>
      </c>
      <c r="B419" t="s">
        <v>3530</v>
      </c>
      <c r="C419">
        <v>110001</v>
      </c>
      <c r="H419" s="3">
        <f>IFERROR(VLOOKUP(Table43_1[[#This Row],[PCPL KODE 1]],#REF!,3,0),0)</f>
        <v>0</v>
      </c>
      <c r="I419" s="3">
        <f>IFERROR(VLOOKUP(Table43_1[[#This Row],[PCPL KODE 2]],#REF!,3,0),0)</f>
        <v>0</v>
      </c>
      <c r="J419" s="3">
        <f>IFERROR(VLOOKUP(Table43_1[[#This Row],[PCPL KODE 3]],#REF!,3,0),0)</f>
        <v>0</v>
      </c>
      <c r="K419" s="3">
        <f>IFERROR(VLOOKUP(Table43_1[[#This Row],[PCPL KODE 4]],#REF!,3,0),0)</f>
        <v>0</v>
      </c>
      <c r="L419" s="3">
        <f>IFERROR(VLOOKUP(Table43_1[[#This Row],[PCPL KODE 5]],#REF!,3,0),0)</f>
        <v>0</v>
      </c>
      <c r="M419" s="3">
        <f>Table43_1[[#This Row],[QTY 1]]+Table43_1[[#This Row],[QTY 2]]+Table43_1[[#This Row],[QTY 3]]+Table43_1[[#This Row],[QTY 4]]+Table43_1[[#This Row],[QTY 5]]</f>
        <v>0</v>
      </c>
      <c r="N419" s="3"/>
    </row>
    <row r="420" spans="1:14">
      <c r="A420" t="s">
        <v>1807</v>
      </c>
      <c r="B420" t="s">
        <v>1808</v>
      </c>
      <c r="C420">
        <v>110012</v>
      </c>
      <c r="H420" s="3">
        <f>IFERROR(VLOOKUP(Table43_1[[#This Row],[PCPL KODE 1]],#REF!,3,0),0)</f>
        <v>0</v>
      </c>
      <c r="I420" s="3">
        <f>IFERROR(VLOOKUP(Table43_1[[#This Row],[PCPL KODE 2]],#REF!,3,0),0)</f>
        <v>0</v>
      </c>
      <c r="J420" s="3">
        <f>IFERROR(VLOOKUP(Table43_1[[#This Row],[PCPL KODE 3]],#REF!,3,0),0)</f>
        <v>0</v>
      </c>
      <c r="K420" s="3">
        <f>IFERROR(VLOOKUP(Table43_1[[#This Row],[PCPL KODE 4]],#REF!,3,0),0)</f>
        <v>0</v>
      </c>
      <c r="L420" s="3">
        <f>IFERROR(VLOOKUP(Table43_1[[#This Row],[PCPL KODE 5]],#REF!,3,0),0)</f>
        <v>0</v>
      </c>
      <c r="M420" s="3">
        <f>Table43_1[[#This Row],[QTY 1]]+Table43_1[[#This Row],[QTY 2]]+Table43_1[[#This Row],[QTY 3]]+Table43_1[[#This Row],[QTY 4]]+Table43_1[[#This Row],[QTY 5]]</f>
        <v>0</v>
      </c>
      <c r="N420" s="3"/>
    </row>
    <row r="421" spans="1:14">
      <c r="A421" t="s">
        <v>1809</v>
      </c>
      <c r="B421" t="s">
        <v>1810</v>
      </c>
      <c r="C421">
        <v>110011</v>
      </c>
      <c r="H421" s="3">
        <f>IFERROR(VLOOKUP(Table43_1[[#This Row],[PCPL KODE 1]],#REF!,3,0),0)</f>
        <v>0</v>
      </c>
      <c r="I421" s="3">
        <f>IFERROR(VLOOKUP(Table43_1[[#This Row],[PCPL KODE 2]],#REF!,3,0),0)</f>
        <v>0</v>
      </c>
      <c r="J421" s="3">
        <f>IFERROR(VLOOKUP(Table43_1[[#This Row],[PCPL KODE 3]],#REF!,3,0),0)</f>
        <v>0</v>
      </c>
      <c r="K421" s="3">
        <f>IFERROR(VLOOKUP(Table43_1[[#This Row],[PCPL KODE 4]],#REF!,3,0),0)</f>
        <v>0</v>
      </c>
      <c r="L421" s="3">
        <f>IFERROR(VLOOKUP(Table43_1[[#This Row],[PCPL KODE 5]],#REF!,3,0),0)</f>
        <v>0</v>
      </c>
      <c r="M421" s="3">
        <f>Table43_1[[#This Row],[QTY 1]]+Table43_1[[#This Row],[QTY 2]]+Table43_1[[#This Row],[QTY 3]]+Table43_1[[#This Row],[QTY 4]]+Table43_1[[#This Row],[QTY 5]]</f>
        <v>0</v>
      </c>
      <c r="N421" s="3"/>
    </row>
    <row r="422" spans="1:14">
      <c r="A422" t="s">
        <v>1811</v>
      </c>
      <c r="B422" t="s">
        <v>1812</v>
      </c>
      <c r="C422">
        <v>110010</v>
      </c>
      <c r="H422" s="3">
        <f>IFERROR(VLOOKUP(Table43_1[[#This Row],[PCPL KODE 1]],#REF!,3,0),0)</f>
        <v>0</v>
      </c>
      <c r="I422" s="3">
        <f>IFERROR(VLOOKUP(Table43_1[[#This Row],[PCPL KODE 2]],#REF!,3,0),0)</f>
        <v>0</v>
      </c>
      <c r="J422" s="3">
        <f>IFERROR(VLOOKUP(Table43_1[[#This Row],[PCPL KODE 3]],#REF!,3,0),0)</f>
        <v>0</v>
      </c>
      <c r="K422" s="3">
        <f>IFERROR(VLOOKUP(Table43_1[[#This Row],[PCPL KODE 4]],#REF!,3,0),0)</f>
        <v>0</v>
      </c>
      <c r="L422" s="3">
        <f>IFERROR(VLOOKUP(Table43_1[[#This Row],[PCPL KODE 5]],#REF!,3,0),0)</f>
        <v>0</v>
      </c>
      <c r="M422" s="3">
        <f>Table43_1[[#This Row],[QTY 1]]+Table43_1[[#This Row],[QTY 2]]+Table43_1[[#This Row],[QTY 3]]+Table43_1[[#This Row],[QTY 4]]+Table43_1[[#This Row],[QTY 5]]</f>
        <v>0</v>
      </c>
      <c r="N422" s="3"/>
    </row>
    <row r="423" spans="1:14">
      <c r="A423" t="s">
        <v>1813</v>
      </c>
      <c r="B423" t="s">
        <v>1814</v>
      </c>
      <c r="C423">
        <v>110018</v>
      </c>
      <c r="H423" s="3">
        <f>IFERROR(VLOOKUP(Table43_1[[#This Row],[PCPL KODE 1]],#REF!,3,0),0)</f>
        <v>0</v>
      </c>
      <c r="I423" s="3">
        <f>IFERROR(VLOOKUP(Table43_1[[#This Row],[PCPL KODE 2]],#REF!,3,0),0)</f>
        <v>0</v>
      </c>
      <c r="J423" s="3">
        <f>IFERROR(VLOOKUP(Table43_1[[#This Row],[PCPL KODE 3]],#REF!,3,0),0)</f>
        <v>0</v>
      </c>
      <c r="K423" s="3">
        <f>IFERROR(VLOOKUP(Table43_1[[#This Row],[PCPL KODE 4]],#REF!,3,0),0)</f>
        <v>0</v>
      </c>
      <c r="L423" s="3">
        <f>IFERROR(VLOOKUP(Table43_1[[#This Row],[PCPL KODE 5]],#REF!,3,0),0)</f>
        <v>0</v>
      </c>
      <c r="M423" s="3">
        <f>Table43_1[[#This Row],[QTY 1]]+Table43_1[[#This Row],[QTY 2]]+Table43_1[[#This Row],[QTY 3]]+Table43_1[[#This Row],[QTY 4]]+Table43_1[[#This Row],[QTY 5]]</f>
        <v>0</v>
      </c>
      <c r="N423" s="3"/>
    </row>
    <row r="424" spans="1:14">
      <c r="A424" t="s">
        <v>1815</v>
      </c>
      <c r="B424" t="s">
        <v>1816</v>
      </c>
      <c r="C424">
        <v>110017</v>
      </c>
      <c r="H424" s="3">
        <f>IFERROR(VLOOKUP(Table43_1[[#This Row],[PCPL KODE 1]],#REF!,3,0),0)</f>
        <v>0</v>
      </c>
      <c r="I424" s="3">
        <f>IFERROR(VLOOKUP(Table43_1[[#This Row],[PCPL KODE 2]],#REF!,3,0),0)</f>
        <v>0</v>
      </c>
      <c r="J424" s="3">
        <f>IFERROR(VLOOKUP(Table43_1[[#This Row],[PCPL KODE 3]],#REF!,3,0),0)</f>
        <v>0</v>
      </c>
      <c r="K424" s="3">
        <f>IFERROR(VLOOKUP(Table43_1[[#This Row],[PCPL KODE 4]],#REF!,3,0),0)</f>
        <v>0</v>
      </c>
      <c r="L424" s="3">
        <f>IFERROR(VLOOKUP(Table43_1[[#This Row],[PCPL KODE 5]],#REF!,3,0),0)</f>
        <v>0</v>
      </c>
      <c r="M424" s="3">
        <f>Table43_1[[#This Row],[QTY 1]]+Table43_1[[#This Row],[QTY 2]]+Table43_1[[#This Row],[QTY 3]]+Table43_1[[#This Row],[QTY 4]]+Table43_1[[#This Row],[QTY 5]]</f>
        <v>0</v>
      </c>
      <c r="N424" s="3"/>
    </row>
    <row r="425" spans="1:14">
      <c r="A425" t="s">
        <v>1817</v>
      </c>
      <c r="B425" t="s">
        <v>1818</v>
      </c>
      <c r="C425">
        <v>110016</v>
      </c>
      <c r="H425" s="3">
        <f>IFERROR(VLOOKUP(Table43_1[[#This Row],[PCPL KODE 1]],#REF!,3,0),0)</f>
        <v>0</v>
      </c>
      <c r="I425" s="3">
        <f>IFERROR(VLOOKUP(Table43_1[[#This Row],[PCPL KODE 2]],#REF!,3,0),0)</f>
        <v>0</v>
      </c>
      <c r="J425" s="3">
        <f>IFERROR(VLOOKUP(Table43_1[[#This Row],[PCPL KODE 3]],#REF!,3,0),0)</f>
        <v>0</v>
      </c>
      <c r="K425" s="3">
        <f>IFERROR(VLOOKUP(Table43_1[[#This Row],[PCPL KODE 4]],#REF!,3,0),0)</f>
        <v>0</v>
      </c>
      <c r="L425" s="3">
        <f>IFERROR(VLOOKUP(Table43_1[[#This Row],[PCPL KODE 5]],#REF!,3,0),0)</f>
        <v>0</v>
      </c>
      <c r="M425" s="3">
        <f>Table43_1[[#This Row],[QTY 1]]+Table43_1[[#This Row],[QTY 2]]+Table43_1[[#This Row],[QTY 3]]+Table43_1[[#This Row],[QTY 4]]+Table43_1[[#This Row],[QTY 5]]</f>
        <v>0</v>
      </c>
      <c r="N425" s="3"/>
    </row>
    <row r="426" spans="1:14">
      <c r="A426" t="s">
        <v>1819</v>
      </c>
      <c r="B426" t="s">
        <v>1820</v>
      </c>
      <c r="C426">
        <v>110036</v>
      </c>
      <c r="H426" s="3">
        <f>IFERROR(VLOOKUP(Table43_1[[#This Row],[PCPL KODE 1]],#REF!,3,0),0)</f>
        <v>0</v>
      </c>
      <c r="I426" s="3">
        <f>IFERROR(VLOOKUP(Table43_1[[#This Row],[PCPL KODE 2]],#REF!,3,0),0)</f>
        <v>0</v>
      </c>
      <c r="J426" s="3">
        <f>IFERROR(VLOOKUP(Table43_1[[#This Row],[PCPL KODE 3]],#REF!,3,0),0)</f>
        <v>0</v>
      </c>
      <c r="K426" s="3">
        <f>IFERROR(VLOOKUP(Table43_1[[#This Row],[PCPL KODE 4]],#REF!,3,0),0)</f>
        <v>0</v>
      </c>
      <c r="L426" s="3">
        <f>IFERROR(VLOOKUP(Table43_1[[#This Row],[PCPL KODE 5]],#REF!,3,0),0)</f>
        <v>0</v>
      </c>
      <c r="M426" s="3">
        <f>Table43_1[[#This Row],[QTY 1]]+Table43_1[[#This Row],[QTY 2]]+Table43_1[[#This Row],[QTY 3]]+Table43_1[[#This Row],[QTY 4]]+Table43_1[[#This Row],[QTY 5]]</f>
        <v>0</v>
      </c>
      <c r="N426" s="3"/>
    </row>
    <row r="427" spans="1:14">
      <c r="A427" t="s">
        <v>1821</v>
      </c>
      <c r="B427" t="s">
        <v>1822</v>
      </c>
      <c r="C427">
        <v>110039</v>
      </c>
      <c r="H427" s="3">
        <f>IFERROR(VLOOKUP(Table43_1[[#This Row],[PCPL KODE 1]],#REF!,3,0),0)</f>
        <v>0</v>
      </c>
      <c r="I427" s="3">
        <f>IFERROR(VLOOKUP(Table43_1[[#This Row],[PCPL KODE 2]],#REF!,3,0),0)</f>
        <v>0</v>
      </c>
      <c r="J427" s="3">
        <f>IFERROR(VLOOKUP(Table43_1[[#This Row],[PCPL KODE 3]],#REF!,3,0),0)</f>
        <v>0</v>
      </c>
      <c r="K427" s="3">
        <f>IFERROR(VLOOKUP(Table43_1[[#This Row],[PCPL KODE 4]],#REF!,3,0),0)</f>
        <v>0</v>
      </c>
      <c r="L427" s="3">
        <f>IFERROR(VLOOKUP(Table43_1[[#This Row],[PCPL KODE 5]],#REF!,3,0),0)</f>
        <v>0</v>
      </c>
      <c r="M427" s="3">
        <f>Table43_1[[#This Row],[QTY 1]]+Table43_1[[#This Row],[QTY 2]]+Table43_1[[#This Row],[QTY 3]]+Table43_1[[#This Row],[QTY 4]]+Table43_1[[#This Row],[QTY 5]]</f>
        <v>0</v>
      </c>
      <c r="N427" s="3"/>
    </row>
    <row r="428" spans="1:14">
      <c r="A428" t="s">
        <v>1823</v>
      </c>
      <c r="B428" t="s">
        <v>1824</v>
      </c>
      <c r="C428">
        <v>110040</v>
      </c>
      <c r="H428" s="3">
        <f>IFERROR(VLOOKUP(Table43_1[[#This Row],[PCPL KODE 1]],#REF!,3,0),0)</f>
        <v>0</v>
      </c>
      <c r="I428" s="3">
        <f>IFERROR(VLOOKUP(Table43_1[[#This Row],[PCPL KODE 2]],#REF!,3,0),0)</f>
        <v>0</v>
      </c>
      <c r="J428" s="3">
        <f>IFERROR(VLOOKUP(Table43_1[[#This Row],[PCPL KODE 3]],#REF!,3,0),0)</f>
        <v>0</v>
      </c>
      <c r="K428" s="3">
        <f>IFERROR(VLOOKUP(Table43_1[[#This Row],[PCPL KODE 4]],#REF!,3,0),0)</f>
        <v>0</v>
      </c>
      <c r="L428" s="3">
        <f>IFERROR(VLOOKUP(Table43_1[[#This Row],[PCPL KODE 5]],#REF!,3,0),0)</f>
        <v>0</v>
      </c>
      <c r="M428" s="3">
        <f>Table43_1[[#This Row],[QTY 1]]+Table43_1[[#This Row],[QTY 2]]+Table43_1[[#This Row],[QTY 3]]+Table43_1[[#This Row],[QTY 4]]+Table43_1[[#This Row],[QTY 5]]</f>
        <v>0</v>
      </c>
      <c r="N428" s="3"/>
    </row>
    <row r="429" spans="1:14">
      <c r="A429" t="s">
        <v>1825</v>
      </c>
      <c r="B429" t="s">
        <v>1826</v>
      </c>
      <c r="C429">
        <v>110038</v>
      </c>
      <c r="H429" s="3">
        <f>IFERROR(VLOOKUP(Table43_1[[#This Row],[PCPL KODE 1]],#REF!,3,0),0)</f>
        <v>0</v>
      </c>
      <c r="I429" s="3">
        <f>IFERROR(VLOOKUP(Table43_1[[#This Row],[PCPL KODE 2]],#REF!,3,0),0)</f>
        <v>0</v>
      </c>
      <c r="J429" s="3">
        <f>IFERROR(VLOOKUP(Table43_1[[#This Row],[PCPL KODE 3]],#REF!,3,0),0)</f>
        <v>0</v>
      </c>
      <c r="K429" s="3">
        <f>IFERROR(VLOOKUP(Table43_1[[#This Row],[PCPL KODE 4]],#REF!,3,0),0)</f>
        <v>0</v>
      </c>
      <c r="L429" s="3">
        <f>IFERROR(VLOOKUP(Table43_1[[#This Row],[PCPL KODE 5]],#REF!,3,0),0)</f>
        <v>0</v>
      </c>
      <c r="M429" s="3">
        <f>Table43_1[[#This Row],[QTY 1]]+Table43_1[[#This Row],[QTY 2]]+Table43_1[[#This Row],[QTY 3]]+Table43_1[[#This Row],[QTY 4]]+Table43_1[[#This Row],[QTY 5]]</f>
        <v>0</v>
      </c>
      <c r="N429" s="3"/>
    </row>
    <row r="430" spans="1:14">
      <c r="A430" t="s">
        <v>1827</v>
      </c>
      <c r="B430" t="s">
        <v>1828</v>
      </c>
      <c r="C430">
        <v>110041</v>
      </c>
      <c r="H430" s="3">
        <f>IFERROR(VLOOKUP(Table43_1[[#This Row],[PCPL KODE 1]],#REF!,3,0),0)</f>
        <v>0</v>
      </c>
      <c r="I430" s="3">
        <f>IFERROR(VLOOKUP(Table43_1[[#This Row],[PCPL KODE 2]],#REF!,3,0),0)</f>
        <v>0</v>
      </c>
      <c r="J430" s="3">
        <f>IFERROR(VLOOKUP(Table43_1[[#This Row],[PCPL KODE 3]],#REF!,3,0),0)</f>
        <v>0</v>
      </c>
      <c r="K430" s="3">
        <f>IFERROR(VLOOKUP(Table43_1[[#This Row],[PCPL KODE 4]],#REF!,3,0),0)</f>
        <v>0</v>
      </c>
      <c r="L430" s="3">
        <f>IFERROR(VLOOKUP(Table43_1[[#This Row],[PCPL KODE 5]],#REF!,3,0),0)</f>
        <v>0</v>
      </c>
      <c r="M430" s="3">
        <f>Table43_1[[#This Row],[QTY 1]]+Table43_1[[#This Row],[QTY 2]]+Table43_1[[#This Row],[QTY 3]]+Table43_1[[#This Row],[QTY 4]]+Table43_1[[#This Row],[QTY 5]]</f>
        <v>0</v>
      </c>
      <c r="N430" s="3"/>
    </row>
    <row r="431" spans="1:14">
      <c r="A431" t="s">
        <v>1829</v>
      </c>
      <c r="B431" t="s">
        <v>1830</v>
      </c>
      <c r="C431">
        <v>110037</v>
      </c>
      <c r="H431" s="3">
        <f>IFERROR(VLOOKUP(Table43_1[[#This Row],[PCPL KODE 1]],#REF!,3,0),0)</f>
        <v>0</v>
      </c>
      <c r="I431" s="3">
        <f>IFERROR(VLOOKUP(Table43_1[[#This Row],[PCPL KODE 2]],#REF!,3,0),0)</f>
        <v>0</v>
      </c>
      <c r="J431" s="3">
        <f>IFERROR(VLOOKUP(Table43_1[[#This Row],[PCPL KODE 3]],#REF!,3,0),0)</f>
        <v>0</v>
      </c>
      <c r="K431" s="3">
        <f>IFERROR(VLOOKUP(Table43_1[[#This Row],[PCPL KODE 4]],#REF!,3,0),0)</f>
        <v>0</v>
      </c>
      <c r="L431" s="3">
        <f>IFERROR(VLOOKUP(Table43_1[[#This Row],[PCPL KODE 5]],#REF!,3,0),0)</f>
        <v>0</v>
      </c>
      <c r="M431" s="3">
        <f>Table43_1[[#This Row],[QTY 1]]+Table43_1[[#This Row],[QTY 2]]+Table43_1[[#This Row],[QTY 3]]+Table43_1[[#This Row],[QTY 4]]+Table43_1[[#This Row],[QTY 5]]</f>
        <v>0</v>
      </c>
      <c r="N431" s="3"/>
    </row>
    <row r="432" spans="1:14">
      <c r="A432" t="s">
        <v>1831</v>
      </c>
      <c r="B432" t="s">
        <v>3531</v>
      </c>
      <c r="C432">
        <v>110021</v>
      </c>
      <c r="H432" s="3">
        <f>IFERROR(VLOOKUP(Table43_1[[#This Row],[PCPL KODE 1]],#REF!,3,0),0)</f>
        <v>0</v>
      </c>
      <c r="I432" s="3">
        <f>IFERROR(VLOOKUP(Table43_1[[#This Row],[PCPL KODE 2]],#REF!,3,0),0)</f>
        <v>0</v>
      </c>
      <c r="J432" s="3">
        <f>IFERROR(VLOOKUP(Table43_1[[#This Row],[PCPL KODE 3]],#REF!,3,0),0)</f>
        <v>0</v>
      </c>
      <c r="K432" s="3">
        <f>IFERROR(VLOOKUP(Table43_1[[#This Row],[PCPL KODE 4]],#REF!,3,0),0)</f>
        <v>0</v>
      </c>
      <c r="L432" s="3">
        <f>IFERROR(VLOOKUP(Table43_1[[#This Row],[PCPL KODE 5]],#REF!,3,0),0)</f>
        <v>0</v>
      </c>
      <c r="M432" s="3">
        <f>Table43_1[[#This Row],[QTY 1]]+Table43_1[[#This Row],[QTY 2]]+Table43_1[[#This Row],[QTY 3]]+Table43_1[[#This Row],[QTY 4]]+Table43_1[[#This Row],[QTY 5]]</f>
        <v>0</v>
      </c>
      <c r="N432" s="3"/>
    </row>
    <row r="433" spans="1:14">
      <c r="A433" t="s">
        <v>1833</v>
      </c>
      <c r="B433" t="s">
        <v>3532</v>
      </c>
      <c r="C433">
        <v>110022</v>
      </c>
      <c r="H433" s="3">
        <f>IFERROR(VLOOKUP(Table43_1[[#This Row],[PCPL KODE 1]],#REF!,3,0),0)</f>
        <v>0</v>
      </c>
      <c r="I433" s="3">
        <f>IFERROR(VLOOKUP(Table43_1[[#This Row],[PCPL KODE 2]],#REF!,3,0),0)</f>
        <v>0</v>
      </c>
      <c r="J433" s="3">
        <f>IFERROR(VLOOKUP(Table43_1[[#This Row],[PCPL KODE 3]],#REF!,3,0),0)</f>
        <v>0</v>
      </c>
      <c r="K433" s="3">
        <f>IFERROR(VLOOKUP(Table43_1[[#This Row],[PCPL KODE 4]],#REF!,3,0),0)</f>
        <v>0</v>
      </c>
      <c r="L433" s="3">
        <f>IFERROR(VLOOKUP(Table43_1[[#This Row],[PCPL KODE 5]],#REF!,3,0),0)</f>
        <v>0</v>
      </c>
      <c r="M433" s="3">
        <f>Table43_1[[#This Row],[QTY 1]]+Table43_1[[#This Row],[QTY 2]]+Table43_1[[#This Row],[QTY 3]]+Table43_1[[#This Row],[QTY 4]]+Table43_1[[#This Row],[QTY 5]]</f>
        <v>0</v>
      </c>
      <c r="N433" s="3"/>
    </row>
    <row r="434" spans="1:14">
      <c r="A434" t="s">
        <v>1835</v>
      </c>
      <c r="B434" t="s">
        <v>1836</v>
      </c>
      <c r="C434">
        <v>110023</v>
      </c>
      <c r="H434" s="3">
        <f>IFERROR(VLOOKUP(Table43_1[[#This Row],[PCPL KODE 1]],#REF!,3,0),0)</f>
        <v>0</v>
      </c>
      <c r="I434" s="3">
        <f>IFERROR(VLOOKUP(Table43_1[[#This Row],[PCPL KODE 2]],#REF!,3,0),0)</f>
        <v>0</v>
      </c>
      <c r="J434" s="3">
        <f>IFERROR(VLOOKUP(Table43_1[[#This Row],[PCPL KODE 3]],#REF!,3,0),0)</f>
        <v>0</v>
      </c>
      <c r="K434" s="3">
        <f>IFERROR(VLOOKUP(Table43_1[[#This Row],[PCPL KODE 4]],#REF!,3,0),0)</f>
        <v>0</v>
      </c>
      <c r="L434" s="3">
        <f>IFERROR(VLOOKUP(Table43_1[[#This Row],[PCPL KODE 5]],#REF!,3,0),0)</f>
        <v>0</v>
      </c>
      <c r="M434" s="3">
        <f>Table43_1[[#This Row],[QTY 1]]+Table43_1[[#This Row],[QTY 2]]+Table43_1[[#This Row],[QTY 3]]+Table43_1[[#This Row],[QTY 4]]+Table43_1[[#This Row],[QTY 5]]</f>
        <v>0</v>
      </c>
      <c r="N434" s="3"/>
    </row>
    <row r="435" spans="1:14">
      <c r="A435" t="s">
        <v>1837</v>
      </c>
      <c r="B435" t="s">
        <v>1838</v>
      </c>
      <c r="C435">
        <v>110024</v>
      </c>
      <c r="H435" s="3">
        <f>IFERROR(VLOOKUP(Table43_1[[#This Row],[PCPL KODE 1]],#REF!,3,0),0)</f>
        <v>0</v>
      </c>
      <c r="I435" s="3">
        <f>IFERROR(VLOOKUP(Table43_1[[#This Row],[PCPL KODE 2]],#REF!,3,0),0)</f>
        <v>0</v>
      </c>
      <c r="J435" s="3">
        <f>IFERROR(VLOOKUP(Table43_1[[#This Row],[PCPL KODE 3]],#REF!,3,0),0)</f>
        <v>0</v>
      </c>
      <c r="K435" s="3">
        <f>IFERROR(VLOOKUP(Table43_1[[#This Row],[PCPL KODE 4]],#REF!,3,0),0)</f>
        <v>0</v>
      </c>
      <c r="L435" s="3">
        <f>IFERROR(VLOOKUP(Table43_1[[#This Row],[PCPL KODE 5]],#REF!,3,0),0)</f>
        <v>0</v>
      </c>
      <c r="M435" s="3">
        <f>Table43_1[[#This Row],[QTY 1]]+Table43_1[[#This Row],[QTY 2]]+Table43_1[[#This Row],[QTY 3]]+Table43_1[[#This Row],[QTY 4]]+Table43_1[[#This Row],[QTY 5]]</f>
        <v>0</v>
      </c>
      <c r="N435" s="3"/>
    </row>
    <row r="436" spans="1:14">
      <c r="A436" t="s">
        <v>1839</v>
      </c>
      <c r="B436" t="s">
        <v>1840</v>
      </c>
      <c r="C436">
        <v>110019</v>
      </c>
      <c r="H436" s="3">
        <f>IFERROR(VLOOKUP(Table43_1[[#This Row],[PCPL KODE 1]],#REF!,3,0),0)</f>
        <v>0</v>
      </c>
      <c r="I436" s="3">
        <f>IFERROR(VLOOKUP(Table43_1[[#This Row],[PCPL KODE 2]],#REF!,3,0),0)</f>
        <v>0</v>
      </c>
      <c r="J436" s="3">
        <f>IFERROR(VLOOKUP(Table43_1[[#This Row],[PCPL KODE 3]],#REF!,3,0),0)</f>
        <v>0</v>
      </c>
      <c r="K436" s="3">
        <f>IFERROR(VLOOKUP(Table43_1[[#This Row],[PCPL KODE 4]],#REF!,3,0),0)</f>
        <v>0</v>
      </c>
      <c r="L436" s="3">
        <f>IFERROR(VLOOKUP(Table43_1[[#This Row],[PCPL KODE 5]],#REF!,3,0),0)</f>
        <v>0</v>
      </c>
      <c r="M436" s="3">
        <f>Table43_1[[#This Row],[QTY 1]]+Table43_1[[#This Row],[QTY 2]]+Table43_1[[#This Row],[QTY 3]]+Table43_1[[#This Row],[QTY 4]]+Table43_1[[#This Row],[QTY 5]]</f>
        <v>0</v>
      </c>
      <c r="N436" s="3"/>
    </row>
    <row r="437" spans="1:14">
      <c r="A437" t="s">
        <v>1841</v>
      </c>
      <c r="B437" t="s">
        <v>1842</v>
      </c>
      <c r="C437">
        <v>110020</v>
      </c>
      <c r="H437" s="3">
        <f>IFERROR(VLOOKUP(Table43_1[[#This Row],[PCPL KODE 1]],#REF!,3,0),0)</f>
        <v>0</v>
      </c>
      <c r="I437" s="3">
        <f>IFERROR(VLOOKUP(Table43_1[[#This Row],[PCPL KODE 2]],#REF!,3,0),0)</f>
        <v>0</v>
      </c>
      <c r="J437" s="3">
        <f>IFERROR(VLOOKUP(Table43_1[[#This Row],[PCPL KODE 3]],#REF!,3,0),0)</f>
        <v>0</v>
      </c>
      <c r="K437" s="3">
        <f>IFERROR(VLOOKUP(Table43_1[[#This Row],[PCPL KODE 4]],#REF!,3,0),0)</f>
        <v>0</v>
      </c>
      <c r="L437" s="3">
        <f>IFERROR(VLOOKUP(Table43_1[[#This Row],[PCPL KODE 5]],#REF!,3,0),0)</f>
        <v>0</v>
      </c>
      <c r="M437" s="3">
        <f>Table43_1[[#This Row],[QTY 1]]+Table43_1[[#This Row],[QTY 2]]+Table43_1[[#This Row],[QTY 3]]+Table43_1[[#This Row],[QTY 4]]+Table43_1[[#This Row],[QTY 5]]</f>
        <v>0</v>
      </c>
      <c r="N437" s="3"/>
    </row>
    <row r="438" spans="1:14">
      <c r="A438" t="s">
        <v>1843</v>
      </c>
      <c r="B438" t="s">
        <v>1844</v>
      </c>
      <c r="C438">
        <v>111007</v>
      </c>
      <c r="H438" s="3">
        <f>IFERROR(VLOOKUP(Table43_1[[#This Row],[PCPL KODE 1]],#REF!,3,0),0)</f>
        <v>0</v>
      </c>
      <c r="I438" s="3">
        <f>IFERROR(VLOOKUP(Table43_1[[#This Row],[PCPL KODE 2]],#REF!,3,0),0)</f>
        <v>0</v>
      </c>
      <c r="J438" s="3">
        <f>IFERROR(VLOOKUP(Table43_1[[#This Row],[PCPL KODE 3]],#REF!,3,0),0)</f>
        <v>0</v>
      </c>
      <c r="K438" s="3">
        <f>IFERROR(VLOOKUP(Table43_1[[#This Row],[PCPL KODE 4]],#REF!,3,0),0)</f>
        <v>0</v>
      </c>
      <c r="L438" s="3">
        <f>IFERROR(VLOOKUP(Table43_1[[#This Row],[PCPL KODE 5]],#REF!,3,0),0)</f>
        <v>0</v>
      </c>
      <c r="M438" s="3">
        <f>Table43_1[[#This Row],[QTY 1]]+Table43_1[[#This Row],[QTY 2]]+Table43_1[[#This Row],[QTY 3]]+Table43_1[[#This Row],[QTY 4]]+Table43_1[[#This Row],[QTY 5]]</f>
        <v>0</v>
      </c>
      <c r="N438" s="3"/>
    </row>
    <row r="439" spans="1:14">
      <c r="A439" t="s">
        <v>1845</v>
      </c>
      <c r="B439" t="s">
        <v>1846</v>
      </c>
      <c r="C439">
        <v>111008</v>
      </c>
      <c r="H439" s="3">
        <f>IFERROR(VLOOKUP(Table43_1[[#This Row],[PCPL KODE 1]],#REF!,3,0),0)</f>
        <v>0</v>
      </c>
      <c r="I439" s="3">
        <f>IFERROR(VLOOKUP(Table43_1[[#This Row],[PCPL KODE 2]],#REF!,3,0),0)</f>
        <v>0</v>
      </c>
      <c r="J439" s="3">
        <f>IFERROR(VLOOKUP(Table43_1[[#This Row],[PCPL KODE 3]],#REF!,3,0),0)</f>
        <v>0</v>
      </c>
      <c r="K439" s="3">
        <f>IFERROR(VLOOKUP(Table43_1[[#This Row],[PCPL KODE 4]],#REF!,3,0),0)</f>
        <v>0</v>
      </c>
      <c r="L439" s="3">
        <f>IFERROR(VLOOKUP(Table43_1[[#This Row],[PCPL KODE 5]],#REF!,3,0),0)</f>
        <v>0</v>
      </c>
      <c r="M439" s="3">
        <f>Table43_1[[#This Row],[QTY 1]]+Table43_1[[#This Row],[QTY 2]]+Table43_1[[#This Row],[QTY 3]]+Table43_1[[#This Row],[QTY 4]]+Table43_1[[#This Row],[QTY 5]]</f>
        <v>0</v>
      </c>
      <c r="N439" s="3"/>
    </row>
    <row r="440" spans="1:14">
      <c r="A440" t="s">
        <v>1847</v>
      </c>
      <c r="B440" t="s">
        <v>1848</v>
      </c>
      <c r="C440">
        <v>111001</v>
      </c>
      <c r="H440" s="3">
        <f>IFERROR(VLOOKUP(Table43_1[[#This Row],[PCPL KODE 1]],#REF!,3,0),0)</f>
        <v>0</v>
      </c>
      <c r="I440" s="3">
        <f>IFERROR(VLOOKUP(Table43_1[[#This Row],[PCPL KODE 2]],#REF!,3,0),0)</f>
        <v>0</v>
      </c>
      <c r="J440" s="3">
        <f>IFERROR(VLOOKUP(Table43_1[[#This Row],[PCPL KODE 3]],#REF!,3,0),0)</f>
        <v>0</v>
      </c>
      <c r="K440" s="3">
        <f>IFERROR(VLOOKUP(Table43_1[[#This Row],[PCPL KODE 4]],#REF!,3,0),0)</f>
        <v>0</v>
      </c>
      <c r="L440" s="3">
        <f>IFERROR(VLOOKUP(Table43_1[[#This Row],[PCPL KODE 5]],#REF!,3,0),0)</f>
        <v>0</v>
      </c>
      <c r="M440" s="3">
        <f>Table43_1[[#This Row],[QTY 1]]+Table43_1[[#This Row],[QTY 2]]+Table43_1[[#This Row],[QTY 3]]+Table43_1[[#This Row],[QTY 4]]+Table43_1[[#This Row],[QTY 5]]</f>
        <v>0</v>
      </c>
      <c r="N440" s="3"/>
    </row>
    <row r="441" spans="1:14">
      <c r="A441" t="s">
        <v>1849</v>
      </c>
      <c r="B441" t="s">
        <v>1850</v>
      </c>
      <c r="C441">
        <v>111002</v>
      </c>
      <c r="H441" s="3">
        <f>IFERROR(VLOOKUP(Table43_1[[#This Row],[PCPL KODE 1]],#REF!,3,0),0)</f>
        <v>0</v>
      </c>
      <c r="I441" s="3">
        <f>IFERROR(VLOOKUP(Table43_1[[#This Row],[PCPL KODE 2]],#REF!,3,0),0)</f>
        <v>0</v>
      </c>
      <c r="J441" s="3">
        <f>IFERROR(VLOOKUP(Table43_1[[#This Row],[PCPL KODE 3]],#REF!,3,0),0)</f>
        <v>0</v>
      </c>
      <c r="K441" s="3">
        <f>IFERROR(VLOOKUP(Table43_1[[#This Row],[PCPL KODE 4]],#REF!,3,0),0)</f>
        <v>0</v>
      </c>
      <c r="L441" s="3">
        <f>IFERROR(VLOOKUP(Table43_1[[#This Row],[PCPL KODE 5]],#REF!,3,0),0)</f>
        <v>0</v>
      </c>
      <c r="M441" s="3">
        <f>Table43_1[[#This Row],[QTY 1]]+Table43_1[[#This Row],[QTY 2]]+Table43_1[[#This Row],[QTY 3]]+Table43_1[[#This Row],[QTY 4]]+Table43_1[[#This Row],[QTY 5]]</f>
        <v>0</v>
      </c>
      <c r="N441" s="3"/>
    </row>
    <row r="442" spans="1:14">
      <c r="A442" t="s">
        <v>1851</v>
      </c>
      <c r="B442" t="s">
        <v>1852</v>
      </c>
      <c r="C442">
        <v>111003</v>
      </c>
      <c r="H442" s="3">
        <f>IFERROR(VLOOKUP(Table43_1[[#This Row],[PCPL KODE 1]],#REF!,3,0),0)</f>
        <v>0</v>
      </c>
      <c r="I442" s="3">
        <f>IFERROR(VLOOKUP(Table43_1[[#This Row],[PCPL KODE 2]],#REF!,3,0),0)</f>
        <v>0</v>
      </c>
      <c r="J442" s="3">
        <f>IFERROR(VLOOKUP(Table43_1[[#This Row],[PCPL KODE 3]],#REF!,3,0),0)</f>
        <v>0</v>
      </c>
      <c r="K442" s="3">
        <f>IFERROR(VLOOKUP(Table43_1[[#This Row],[PCPL KODE 4]],#REF!,3,0),0)</f>
        <v>0</v>
      </c>
      <c r="L442" s="3">
        <f>IFERROR(VLOOKUP(Table43_1[[#This Row],[PCPL KODE 5]],#REF!,3,0),0)</f>
        <v>0</v>
      </c>
      <c r="M442" s="3">
        <f>Table43_1[[#This Row],[QTY 1]]+Table43_1[[#This Row],[QTY 2]]+Table43_1[[#This Row],[QTY 3]]+Table43_1[[#This Row],[QTY 4]]+Table43_1[[#This Row],[QTY 5]]</f>
        <v>0</v>
      </c>
      <c r="N442" s="3"/>
    </row>
    <row r="443" spans="1:14">
      <c r="A443" t="s">
        <v>1853</v>
      </c>
      <c r="B443" t="s">
        <v>1854</v>
      </c>
      <c r="C443">
        <v>111004</v>
      </c>
      <c r="H443" s="3">
        <f>IFERROR(VLOOKUP(Table43_1[[#This Row],[PCPL KODE 1]],#REF!,3,0),0)</f>
        <v>0</v>
      </c>
      <c r="I443" s="3">
        <f>IFERROR(VLOOKUP(Table43_1[[#This Row],[PCPL KODE 2]],#REF!,3,0),0)</f>
        <v>0</v>
      </c>
      <c r="J443" s="3">
        <f>IFERROR(VLOOKUP(Table43_1[[#This Row],[PCPL KODE 3]],#REF!,3,0),0)</f>
        <v>0</v>
      </c>
      <c r="K443" s="3">
        <f>IFERROR(VLOOKUP(Table43_1[[#This Row],[PCPL KODE 4]],#REF!,3,0),0)</f>
        <v>0</v>
      </c>
      <c r="L443" s="3">
        <f>IFERROR(VLOOKUP(Table43_1[[#This Row],[PCPL KODE 5]],#REF!,3,0),0)</f>
        <v>0</v>
      </c>
      <c r="M443" s="3">
        <f>Table43_1[[#This Row],[QTY 1]]+Table43_1[[#This Row],[QTY 2]]+Table43_1[[#This Row],[QTY 3]]+Table43_1[[#This Row],[QTY 4]]+Table43_1[[#This Row],[QTY 5]]</f>
        <v>0</v>
      </c>
      <c r="N443" s="3"/>
    </row>
    <row r="444" spans="1:14">
      <c r="A444" t="s">
        <v>1855</v>
      </c>
      <c r="B444" t="s">
        <v>1856</v>
      </c>
      <c r="C444">
        <v>111005</v>
      </c>
      <c r="H444" s="3">
        <f>IFERROR(VLOOKUP(Table43_1[[#This Row],[PCPL KODE 1]],#REF!,3,0),0)</f>
        <v>0</v>
      </c>
      <c r="I444" s="3">
        <f>IFERROR(VLOOKUP(Table43_1[[#This Row],[PCPL KODE 2]],#REF!,3,0),0)</f>
        <v>0</v>
      </c>
      <c r="J444" s="3">
        <f>IFERROR(VLOOKUP(Table43_1[[#This Row],[PCPL KODE 3]],#REF!,3,0),0)</f>
        <v>0</v>
      </c>
      <c r="K444" s="3">
        <f>IFERROR(VLOOKUP(Table43_1[[#This Row],[PCPL KODE 4]],#REF!,3,0),0)</f>
        <v>0</v>
      </c>
      <c r="L444" s="3">
        <f>IFERROR(VLOOKUP(Table43_1[[#This Row],[PCPL KODE 5]],#REF!,3,0),0)</f>
        <v>0</v>
      </c>
      <c r="M444" s="3">
        <f>Table43_1[[#This Row],[QTY 1]]+Table43_1[[#This Row],[QTY 2]]+Table43_1[[#This Row],[QTY 3]]+Table43_1[[#This Row],[QTY 4]]+Table43_1[[#This Row],[QTY 5]]</f>
        <v>0</v>
      </c>
      <c r="N444" s="3"/>
    </row>
    <row r="445" spans="1:14">
      <c r="A445" t="s">
        <v>1857</v>
      </c>
      <c r="B445" t="s">
        <v>1858</v>
      </c>
      <c r="C445">
        <v>111006</v>
      </c>
      <c r="H445" s="3">
        <f>IFERROR(VLOOKUP(Table43_1[[#This Row],[PCPL KODE 1]],#REF!,3,0),0)</f>
        <v>0</v>
      </c>
      <c r="I445" s="3">
        <f>IFERROR(VLOOKUP(Table43_1[[#This Row],[PCPL KODE 2]],#REF!,3,0),0)</f>
        <v>0</v>
      </c>
      <c r="J445" s="3">
        <f>IFERROR(VLOOKUP(Table43_1[[#This Row],[PCPL KODE 3]],#REF!,3,0),0)</f>
        <v>0</v>
      </c>
      <c r="K445" s="3">
        <f>IFERROR(VLOOKUP(Table43_1[[#This Row],[PCPL KODE 4]],#REF!,3,0),0)</f>
        <v>0</v>
      </c>
      <c r="L445" s="3">
        <f>IFERROR(VLOOKUP(Table43_1[[#This Row],[PCPL KODE 5]],#REF!,3,0),0)</f>
        <v>0</v>
      </c>
      <c r="M445" s="3">
        <f>Table43_1[[#This Row],[QTY 1]]+Table43_1[[#This Row],[QTY 2]]+Table43_1[[#This Row],[QTY 3]]+Table43_1[[#This Row],[QTY 4]]+Table43_1[[#This Row],[QTY 5]]</f>
        <v>0</v>
      </c>
      <c r="N445" s="3"/>
    </row>
    <row r="446" spans="1:14">
      <c r="A446" t="s">
        <v>1859</v>
      </c>
      <c r="B446" t="s">
        <v>1860</v>
      </c>
      <c r="C446">
        <v>111012</v>
      </c>
      <c r="H446" s="3">
        <f>IFERROR(VLOOKUP(Table43_1[[#This Row],[PCPL KODE 1]],#REF!,3,0),0)</f>
        <v>0</v>
      </c>
      <c r="I446" s="3">
        <f>IFERROR(VLOOKUP(Table43_1[[#This Row],[PCPL KODE 2]],#REF!,3,0),0)</f>
        <v>0</v>
      </c>
      <c r="J446" s="3">
        <f>IFERROR(VLOOKUP(Table43_1[[#This Row],[PCPL KODE 3]],#REF!,3,0),0)</f>
        <v>0</v>
      </c>
      <c r="K446" s="3">
        <f>IFERROR(VLOOKUP(Table43_1[[#This Row],[PCPL KODE 4]],#REF!,3,0),0)</f>
        <v>0</v>
      </c>
      <c r="L446" s="3">
        <f>IFERROR(VLOOKUP(Table43_1[[#This Row],[PCPL KODE 5]],#REF!,3,0),0)</f>
        <v>0</v>
      </c>
      <c r="M446" s="3">
        <f>Table43_1[[#This Row],[QTY 1]]+Table43_1[[#This Row],[QTY 2]]+Table43_1[[#This Row],[QTY 3]]+Table43_1[[#This Row],[QTY 4]]+Table43_1[[#This Row],[QTY 5]]</f>
        <v>0</v>
      </c>
      <c r="N446" s="3"/>
    </row>
    <row r="447" spans="1:14">
      <c r="A447" t="s">
        <v>1861</v>
      </c>
      <c r="B447" t="s">
        <v>1862</v>
      </c>
      <c r="C447">
        <v>111013</v>
      </c>
      <c r="H447" s="3">
        <f>IFERROR(VLOOKUP(Table43_1[[#This Row],[PCPL KODE 1]],#REF!,3,0),0)</f>
        <v>0</v>
      </c>
      <c r="I447" s="3">
        <f>IFERROR(VLOOKUP(Table43_1[[#This Row],[PCPL KODE 2]],#REF!,3,0),0)</f>
        <v>0</v>
      </c>
      <c r="J447" s="3">
        <f>IFERROR(VLOOKUP(Table43_1[[#This Row],[PCPL KODE 3]],#REF!,3,0),0)</f>
        <v>0</v>
      </c>
      <c r="K447" s="3">
        <f>IFERROR(VLOOKUP(Table43_1[[#This Row],[PCPL KODE 4]],#REF!,3,0),0)</f>
        <v>0</v>
      </c>
      <c r="L447" s="3">
        <f>IFERROR(VLOOKUP(Table43_1[[#This Row],[PCPL KODE 5]],#REF!,3,0),0)</f>
        <v>0</v>
      </c>
      <c r="M447" s="3">
        <f>Table43_1[[#This Row],[QTY 1]]+Table43_1[[#This Row],[QTY 2]]+Table43_1[[#This Row],[QTY 3]]+Table43_1[[#This Row],[QTY 4]]+Table43_1[[#This Row],[QTY 5]]</f>
        <v>0</v>
      </c>
      <c r="N447" s="3"/>
    </row>
    <row r="448" spans="1:14">
      <c r="A448" t="s">
        <v>1863</v>
      </c>
      <c r="B448" t="s">
        <v>1864</v>
      </c>
      <c r="C448">
        <v>111014</v>
      </c>
      <c r="H448" s="3">
        <f>IFERROR(VLOOKUP(Table43_1[[#This Row],[PCPL KODE 1]],#REF!,3,0),0)</f>
        <v>0</v>
      </c>
      <c r="I448" s="3">
        <f>IFERROR(VLOOKUP(Table43_1[[#This Row],[PCPL KODE 2]],#REF!,3,0),0)</f>
        <v>0</v>
      </c>
      <c r="J448" s="3">
        <f>IFERROR(VLOOKUP(Table43_1[[#This Row],[PCPL KODE 3]],#REF!,3,0),0)</f>
        <v>0</v>
      </c>
      <c r="K448" s="3">
        <f>IFERROR(VLOOKUP(Table43_1[[#This Row],[PCPL KODE 4]],#REF!,3,0),0)</f>
        <v>0</v>
      </c>
      <c r="L448" s="3">
        <f>IFERROR(VLOOKUP(Table43_1[[#This Row],[PCPL KODE 5]],#REF!,3,0),0)</f>
        <v>0</v>
      </c>
      <c r="M448" s="3">
        <f>Table43_1[[#This Row],[QTY 1]]+Table43_1[[#This Row],[QTY 2]]+Table43_1[[#This Row],[QTY 3]]+Table43_1[[#This Row],[QTY 4]]+Table43_1[[#This Row],[QTY 5]]</f>
        <v>0</v>
      </c>
      <c r="N448" s="3"/>
    </row>
    <row r="449" spans="1:14">
      <c r="A449" t="s">
        <v>1865</v>
      </c>
      <c r="B449" t="s">
        <v>1866</v>
      </c>
      <c r="C449">
        <v>111015</v>
      </c>
      <c r="H449" s="3">
        <f>IFERROR(VLOOKUP(Table43_1[[#This Row],[PCPL KODE 1]],#REF!,3,0),0)</f>
        <v>0</v>
      </c>
      <c r="I449" s="3">
        <f>IFERROR(VLOOKUP(Table43_1[[#This Row],[PCPL KODE 2]],#REF!,3,0),0)</f>
        <v>0</v>
      </c>
      <c r="J449" s="3">
        <f>IFERROR(VLOOKUP(Table43_1[[#This Row],[PCPL KODE 3]],#REF!,3,0),0)</f>
        <v>0</v>
      </c>
      <c r="K449" s="3">
        <f>IFERROR(VLOOKUP(Table43_1[[#This Row],[PCPL KODE 4]],#REF!,3,0),0)</f>
        <v>0</v>
      </c>
      <c r="L449" s="3">
        <f>IFERROR(VLOOKUP(Table43_1[[#This Row],[PCPL KODE 5]],#REF!,3,0),0)</f>
        <v>0</v>
      </c>
      <c r="M449" s="3">
        <f>Table43_1[[#This Row],[QTY 1]]+Table43_1[[#This Row],[QTY 2]]+Table43_1[[#This Row],[QTY 3]]+Table43_1[[#This Row],[QTY 4]]+Table43_1[[#This Row],[QTY 5]]</f>
        <v>0</v>
      </c>
      <c r="N449" s="3"/>
    </row>
    <row r="450" spans="1:14">
      <c r="A450" t="s">
        <v>1867</v>
      </c>
      <c r="B450" t="s">
        <v>1868</v>
      </c>
      <c r="C450">
        <v>111016</v>
      </c>
      <c r="H450" s="3">
        <f>IFERROR(VLOOKUP(Table43_1[[#This Row],[PCPL KODE 1]],#REF!,3,0),0)</f>
        <v>0</v>
      </c>
      <c r="I450" s="3">
        <f>IFERROR(VLOOKUP(Table43_1[[#This Row],[PCPL KODE 2]],#REF!,3,0),0)</f>
        <v>0</v>
      </c>
      <c r="J450" s="3">
        <f>IFERROR(VLOOKUP(Table43_1[[#This Row],[PCPL KODE 3]],#REF!,3,0),0)</f>
        <v>0</v>
      </c>
      <c r="K450" s="3">
        <f>IFERROR(VLOOKUP(Table43_1[[#This Row],[PCPL KODE 4]],#REF!,3,0),0)</f>
        <v>0</v>
      </c>
      <c r="L450" s="3">
        <f>IFERROR(VLOOKUP(Table43_1[[#This Row],[PCPL KODE 5]],#REF!,3,0),0)</f>
        <v>0</v>
      </c>
      <c r="M450" s="3">
        <f>Table43_1[[#This Row],[QTY 1]]+Table43_1[[#This Row],[QTY 2]]+Table43_1[[#This Row],[QTY 3]]+Table43_1[[#This Row],[QTY 4]]+Table43_1[[#This Row],[QTY 5]]</f>
        <v>0</v>
      </c>
      <c r="N450" s="3"/>
    </row>
    <row r="451" spans="1:14">
      <c r="A451" t="s">
        <v>1869</v>
      </c>
      <c r="B451" t="s">
        <v>1870</v>
      </c>
      <c r="C451">
        <v>111017</v>
      </c>
      <c r="H451" s="3">
        <f>IFERROR(VLOOKUP(Table43_1[[#This Row],[PCPL KODE 1]],#REF!,3,0),0)</f>
        <v>0</v>
      </c>
      <c r="I451" s="3">
        <f>IFERROR(VLOOKUP(Table43_1[[#This Row],[PCPL KODE 2]],#REF!,3,0),0)</f>
        <v>0</v>
      </c>
      <c r="J451" s="3">
        <f>IFERROR(VLOOKUP(Table43_1[[#This Row],[PCPL KODE 3]],#REF!,3,0),0)</f>
        <v>0</v>
      </c>
      <c r="K451" s="3">
        <f>IFERROR(VLOOKUP(Table43_1[[#This Row],[PCPL KODE 4]],#REF!,3,0),0)</f>
        <v>0</v>
      </c>
      <c r="L451" s="3">
        <f>IFERROR(VLOOKUP(Table43_1[[#This Row],[PCPL KODE 5]],#REF!,3,0),0)</f>
        <v>0</v>
      </c>
      <c r="M451" s="3">
        <f>Table43_1[[#This Row],[QTY 1]]+Table43_1[[#This Row],[QTY 2]]+Table43_1[[#This Row],[QTY 3]]+Table43_1[[#This Row],[QTY 4]]+Table43_1[[#This Row],[QTY 5]]</f>
        <v>0</v>
      </c>
      <c r="N451" s="3"/>
    </row>
    <row r="452" spans="1:14">
      <c r="A452" t="s">
        <v>1871</v>
      </c>
      <c r="B452" t="s">
        <v>1872</v>
      </c>
      <c r="C452">
        <v>111018</v>
      </c>
      <c r="H452" s="3">
        <f>IFERROR(VLOOKUP(Table43_1[[#This Row],[PCPL KODE 1]],#REF!,3,0),0)</f>
        <v>0</v>
      </c>
      <c r="I452" s="3">
        <f>IFERROR(VLOOKUP(Table43_1[[#This Row],[PCPL KODE 2]],#REF!,3,0),0)</f>
        <v>0</v>
      </c>
      <c r="J452" s="3">
        <f>IFERROR(VLOOKUP(Table43_1[[#This Row],[PCPL KODE 3]],#REF!,3,0),0)</f>
        <v>0</v>
      </c>
      <c r="K452" s="3">
        <f>IFERROR(VLOOKUP(Table43_1[[#This Row],[PCPL KODE 4]],#REF!,3,0),0)</f>
        <v>0</v>
      </c>
      <c r="L452" s="3">
        <f>IFERROR(VLOOKUP(Table43_1[[#This Row],[PCPL KODE 5]],#REF!,3,0),0)</f>
        <v>0</v>
      </c>
      <c r="M452" s="3">
        <f>Table43_1[[#This Row],[QTY 1]]+Table43_1[[#This Row],[QTY 2]]+Table43_1[[#This Row],[QTY 3]]+Table43_1[[#This Row],[QTY 4]]+Table43_1[[#This Row],[QTY 5]]</f>
        <v>0</v>
      </c>
      <c r="N452" s="3"/>
    </row>
    <row r="453" spans="1:14">
      <c r="A453" t="s">
        <v>1873</v>
      </c>
      <c r="B453" t="s">
        <v>1874</v>
      </c>
      <c r="C453">
        <v>111019</v>
      </c>
      <c r="H453" s="3">
        <f>IFERROR(VLOOKUP(Table43_1[[#This Row],[PCPL KODE 1]],#REF!,3,0),0)</f>
        <v>0</v>
      </c>
      <c r="I453" s="3">
        <f>IFERROR(VLOOKUP(Table43_1[[#This Row],[PCPL KODE 2]],#REF!,3,0),0)</f>
        <v>0</v>
      </c>
      <c r="J453" s="3">
        <f>IFERROR(VLOOKUP(Table43_1[[#This Row],[PCPL KODE 3]],#REF!,3,0),0)</f>
        <v>0</v>
      </c>
      <c r="K453" s="3">
        <f>IFERROR(VLOOKUP(Table43_1[[#This Row],[PCPL KODE 4]],#REF!,3,0),0)</f>
        <v>0</v>
      </c>
      <c r="L453" s="3">
        <f>IFERROR(VLOOKUP(Table43_1[[#This Row],[PCPL KODE 5]],#REF!,3,0),0)</f>
        <v>0</v>
      </c>
      <c r="M453" s="3">
        <f>Table43_1[[#This Row],[QTY 1]]+Table43_1[[#This Row],[QTY 2]]+Table43_1[[#This Row],[QTY 3]]+Table43_1[[#This Row],[QTY 4]]+Table43_1[[#This Row],[QTY 5]]</f>
        <v>0</v>
      </c>
      <c r="N453" s="3"/>
    </row>
    <row r="454" spans="1:14">
      <c r="A454" t="s">
        <v>1875</v>
      </c>
      <c r="B454" t="s">
        <v>1876</v>
      </c>
      <c r="C454">
        <v>111020</v>
      </c>
      <c r="H454" s="3">
        <f>IFERROR(VLOOKUP(Table43_1[[#This Row],[PCPL KODE 1]],#REF!,3,0),0)</f>
        <v>0</v>
      </c>
      <c r="I454" s="3">
        <f>IFERROR(VLOOKUP(Table43_1[[#This Row],[PCPL KODE 2]],#REF!,3,0),0)</f>
        <v>0</v>
      </c>
      <c r="J454" s="3">
        <f>IFERROR(VLOOKUP(Table43_1[[#This Row],[PCPL KODE 3]],#REF!,3,0),0)</f>
        <v>0</v>
      </c>
      <c r="K454" s="3">
        <f>IFERROR(VLOOKUP(Table43_1[[#This Row],[PCPL KODE 4]],#REF!,3,0),0)</f>
        <v>0</v>
      </c>
      <c r="L454" s="3">
        <f>IFERROR(VLOOKUP(Table43_1[[#This Row],[PCPL KODE 5]],#REF!,3,0),0)</f>
        <v>0</v>
      </c>
      <c r="M454" s="3">
        <f>Table43_1[[#This Row],[QTY 1]]+Table43_1[[#This Row],[QTY 2]]+Table43_1[[#This Row],[QTY 3]]+Table43_1[[#This Row],[QTY 4]]+Table43_1[[#This Row],[QTY 5]]</f>
        <v>0</v>
      </c>
      <c r="N454" s="3"/>
    </row>
    <row r="455" spans="1:14">
      <c r="A455" t="s">
        <v>1877</v>
      </c>
      <c r="B455" t="s">
        <v>1878</v>
      </c>
      <c r="C455">
        <v>111021</v>
      </c>
      <c r="H455" s="3">
        <f>IFERROR(VLOOKUP(Table43_1[[#This Row],[PCPL KODE 1]],#REF!,3,0),0)</f>
        <v>0</v>
      </c>
      <c r="I455" s="3">
        <f>IFERROR(VLOOKUP(Table43_1[[#This Row],[PCPL KODE 2]],#REF!,3,0),0)</f>
        <v>0</v>
      </c>
      <c r="J455" s="3">
        <f>IFERROR(VLOOKUP(Table43_1[[#This Row],[PCPL KODE 3]],#REF!,3,0),0)</f>
        <v>0</v>
      </c>
      <c r="K455" s="3">
        <f>IFERROR(VLOOKUP(Table43_1[[#This Row],[PCPL KODE 4]],#REF!,3,0),0)</f>
        <v>0</v>
      </c>
      <c r="L455" s="3">
        <f>IFERROR(VLOOKUP(Table43_1[[#This Row],[PCPL KODE 5]],#REF!,3,0),0)</f>
        <v>0</v>
      </c>
      <c r="M455" s="3">
        <f>Table43_1[[#This Row],[QTY 1]]+Table43_1[[#This Row],[QTY 2]]+Table43_1[[#This Row],[QTY 3]]+Table43_1[[#This Row],[QTY 4]]+Table43_1[[#This Row],[QTY 5]]</f>
        <v>0</v>
      </c>
      <c r="N455" s="3"/>
    </row>
    <row r="456" spans="1:14">
      <c r="A456" t="s">
        <v>1879</v>
      </c>
      <c r="B456" t="s">
        <v>1880</v>
      </c>
      <c r="C456">
        <v>111027</v>
      </c>
      <c r="H456" s="3">
        <f>IFERROR(VLOOKUP(Table43_1[[#This Row],[PCPL KODE 1]],#REF!,3,0),0)</f>
        <v>0</v>
      </c>
      <c r="I456" s="3">
        <f>IFERROR(VLOOKUP(Table43_1[[#This Row],[PCPL KODE 2]],#REF!,3,0),0)</f>
        <v>0</v>
      </c>
      <c r="J456" s="3">
        <f>IFERROR(VLOOKUP(Table43_1[[#This Row],[PCPL KODE 3]],#REF!,3,0),0)</f>
        <v>0</v>
      </c>
      <c r="K456" s="3">
        <f>IFERROR(VLOOKUP(Table43_1[[#This Row],[PCPL KODE 4]],#REF!,3,0),0)</f>
        <v>0</v>
      </c>
      <c r="L456" s="3">
        <f>IFERROR(VLOOKUP(Table43_1[[#This Row],[PCPL KODE 5]],#REF!,3,0),0)</f>
        <v>0</v>
      </c>
      <c r="M456" s="3">
        <f>Table43_1[[#This Row],[QTY 1]]+Table43_1[[#This Row],[QTY 2]]+Table43_1[[#This Row],[QTY 3]]+Table43_1[[#This Row],[QTY 4]]+Table43_1[[#This Row],[QTY 5]]</f>
        <v>0</v>
      </c>
      <c r="N456" s="3"/>
    </row>
    <row r="457" spans="1:14">
      <c r="A457" t="s">
        <v>1881</v>
      </c>
      <c r="B457" t="s">
        <v>1882</v>
      </c>
      <c r="C457">
        <v>111028</v>
      </c>
      <c r="H457" s="3">
        <f>IFERROR(VLOOKUP(Table43_1[[#This Row],[PCPL KODE 1]],#REF!,3,0),0)</f>
        <v>0</v>
      </c>
      <c r="I457" s="3">
        <f>IFERROR(VLOOKUP(Table43_1[[#This Row],[PCPL KODE 2]],#REF!,3,0),0)</f>
        <v>0</v>
      </c>
      <c r="J457" s="3">
        <f>IFERROR(VLOOKUP(Table43_1[[#This Row],[PCPL KODE 3]],#REF!,3,0),0)</f>
        <v>0</v>
      </c>
      <c r="K457" s="3">
        <f>IFERROR(VLOOKUP(Table43_1[[#This Row],[PCPL KODE 4]],#REF!,3,0),0)</f>
        <v>0</v>
      </c>
      <c r="L457" s="3">
        <f>IFERROR(VLOOKUP(Table43_1[[#This Row],[PCPL KODE 5]],#REF!,3,0),0)</f>
        <v>0</v>
      </c>
      <c r="M457" s="3">
        <f>Table43_1[[#This Row],[QTY 1]]+Table43_1[[#This Row],[QTY 2]]+Table43_1[[#This Row],[QTY 3]]+Table43_1[[#This Row],[QTY 4]]+Table43_1[[#This Row],[QTY 5]]</f>
        <v>0</v>
      </c>
      <c r="N457" s="3"/>
    </row>
    <row r="458" spans="1:14">
      <c r="A458" t="s">
        <v>1883</v>
      </c>
      <c r="B458" t="s">
        <v>1884</v>
      </c>
      <c r="C458">
        <v>111029</v>
      </c>
      <c r="H458" s="3">
        <f>IFERROR(VLOOKUP(Table43_1[[#This Row],[PCPL KODE 1]],#REF!,3,0),0)</f>
        <v>0</v>
      </c>
      <c r="I458" s="3">
        <f>IFERROR(VLOOKUP(Table43_1[[#This Row],[PCPL KODE 2]],#REF!,3,0),0)</f>
        <v>0</v>
      </c>
      <c r="J458" s="3">
        <f>IFERROR(VLOOKUP(Table43_1[[#This Row],[PCPL KODE 3]],#REF!,3,0),0)</f>
        <v>0</v>
      </c>
      <c r="K458" s="3">
        <f>IFERROR(VLOOKUP(Table43_1[[#This Row],[PCPL KODE 4]],#REF!,3,0),0)</f>
        <v>0</v>
      </c>
      <c r="L458" s="3">
        <f>IFERROR(VLOOKUP(Table43_1[[#This Row],[PCPL KODE 5]],#REF!,3,0),0)</f>
        <v>0</v>
      </c>
      <c r="M458" s="3">
        <f>Table43_1[[#This Row],[QTY 1]]+Table43_1[[#This Row],[QTY 2]]+Table43_1[[#This Row],[QTY 3]]+Table43_1[[#This Row],[QTY 4]]+Table43_1[[#This Row],[QTY 5]]</f>
        <v>0</v>
      </c>
      <c r="N458" s="3"/>
    </row>
    <row r="459" spans="1:14">
      <c r="A459" t="s">
        <v>1885</v>
      </c>
      <c r="B459" t="s">
        <v>1886</v>
      </c>
      <c r="C459">
        <v>111023</v>
      </c>
      <c r="H459" s="3">
        <f>IFERROR(VLOOKUP(Table43_1[[#This Row],[PCPL KODE 1]],#REF!,3,0),0)</f>
        <v>0</v>
      </c>
      <c r="I459" s="3">
        <f>IFERROR(VLOOKUP(Table43_1[[#This Row],[PCPL KODE 2]],#REF!,3,0),0)</f>
        <v>0</v>
      </c>
      <c r="J459" s="3">
        <f>IFERROR(VLOOKUP(Table43_1[[#This Row],[PCPL KODE 3]],#REF!,3,0),0)</f>
        <v>0</v>
      </c>
      <c r="K459" s="3">
        <f>IFERROR(VLOOKUP(Table43_1[[#This Row],[PCPL KODE 4]],#REF!,3,0),0)</f>
        <v>0</v>
      </c>
      <c r="L459" s="3">
        <f>IFERROR(VLOOKUP(Table43_1[[#This Row],[PCPL KODE 5]],#REF!,3,0),0)</f>
        <v>0</v>
      </c>
      <c r="M459" s="3">
        <f>Table43_1[[#This Row],[QTY 1]]+Table43_1[[#This Row],[QTY 2]]+Table43_1[[#This Row],[QTY 3]]+Table43_1[[#This Row],[QTY 4]]+Table43_1[[#This Row],[QTY 5]]</f>
        <v>0</v>
      </c>
      <c r="N459" s="3"/>
    </row>
    <row r="460" spans="1:14">
      <c r="A460" t="s">
        <v>1887</v>
      </c>
      <c r="B460" t="s">
        <v>1888</v>
      </c>
      <c r="C460">
        <v>111024</v>
      </c>
      <c r="H460" s="3">
        <f>IFERROR(VLOOKUP(Table43_1[[#This Row],[PCPL KODE 1]],#REF!,3,0),0)</f>
        <v>0</v>
      </c>
      <c r="I460" s="3">
        <f>IFERROR(VLOOKUP(Table43_1[[#This Row],[PCPL KODE 2]],#REF!,3,0),0)</f>
        <v>0</v>
      </c>
      <c r="J460" s="3">
        <f>IFERROR(VLOOKUP(Table43_1[[#This Row],[PCPL KODE 3]],#REF!,3,0),0)</f>
        <v>0</v>
      </c>
      <c r="K460" s="3">
        <f>IFERROR(VLOOKUP(Table43_1[[#This Row],[PCPL KODE 4]],#REF!,3,0),0)</f>
        <v>0</v>
      </c>
      <c r="L460" s="3">
        <f>IFERROR(VLOOKUP(Table43_1[[#This Row],[PCPL KODE 5]],#REF!,3,0),0)</f>
        <v>0</v>
      </c>
      <c r="M460" s="3">
        <f>Table43_1[[#This Row],[QTY 1]]+Table43_1[[#This Row],[QTY 2]]+Table43_1[[#This Row],[QTY 3]]+Table43_1[[#This Row],[QTY 4]]+Table43_1[[#This Row],[QTY 5]]</f>
        <v>0</v>
      </c>
      <c r="N460" s="3"/>
    </row>
    <row r="461" spans="1:14">
      <c r="A461" t="s">
        <v>1889</v>
      </c>
      <c r="B461" t="s">
        <v>1890</v>
      </c>
      <c r="C461">
        <v>111025</v>
      </c>
      <c r="H461" s="3">
        <f>IFERROR(VLOOKUP(Table43_1[[#This Row],[PCPL KODE 1]],#REF!,3,0),0)</f>
        <v>0</v>
      </c>
      <c r="I461" s="3">
        <f>IFERROR(VLOOKUP(Table43_1[[#This Row],[PCPL KODE 2]],#REF!,3,0),0)</f>
        <v>0</v>
      </c>
      <c r="J461" s="3">
        <f>IFERROR(VLOOKUP(Table43_1[[#This Row],[PCPL KODE 3]],#REF!,3,0),0)</f>
        <v>0</v>
      </c>
      <c r="K461" s="3">
        <f>IFERROR(VLOOKUP(Table43_1[[#This Row],[PCPL KODE 4]],#REF!,3,0),0)</f>
        <v>0</v>
      </c>
      <c r="L461" s="3">
        <f>IFERROR(VLOOKUP(Table43_1[[#This Row],[PCPL KODE 5]],#REF!,3,0),0)</f>
        <v>0</v>
      </c>
      <c r="M461" s="3">
        <f>Table43_1[[#This Row],[QTY 1]]+Table43_1[[#This Row],[QTY 2]]+Table43_1[[#This Row],[QTY 3]]+Table43_1[[#This Row],[QTY 4]]+Table43_1[[#This Row],[QTY 5]]</f>
        <v>0</v>
      </c>
      <c r="N461" s="3"/>
    </row>
    <row r="462" spans="1:14">
      <c r="A462" t="s">
        <v>1891</v>
      </c>
      <c r="B462" t="s">
        <v>1892</v>
      </c>
      <c r="C462">
        <v>111009</v>
      </c>
      <c r="H462" s="3">
        <f>IFERROR(VLOOKUP(Table43_1[[#This Row],[PCPL KODE 1]],#REF!,3,0),0)</f>
        <v>0</v>
      </c>
      <c r="I462" s="3">
        <f>IFERROR(VLOOKUP(Table43_1[[#This Row],[PCPL KODE 2]],#REF!,3,0),0)</f>
        <v>0</v>
      </c>
      <c r="J462" s="3">
        <f>IFERROR(VLOOKUP(Table43_1[[#This Row],[PCPL KODE 3]],#REF!,3,0),0)</f>
        <v>0</v>
      </c>
      <c r="K462" s="3">
        <f>IFERROR(VLOOKUP(Table43_1[[#This Row],[PCPL KODE 4]],#REF!,3,0),0)</f>
        <v>0</v>
      </c>
      <c r="L462" s="3">
        <f>IFERROR(VLOOKUP(Table43_1[[#This Row],[PCPL KODE 5]],#REF!,3,0),0)</f>
        <v>0</v>
      </c>
      <c r="M462" s="3">
        <f>Table43_1[[#This Row],[QTY 1]]+Table43_1[[#This Row],[QTY 2]]+Table43_1[[#This Row],[QTY 3]]+Table43_1[[#This Row],[QTY 4]]+Table43_1[[#This Row],[QTY 5]]</f>
        <v>0</v>
      </c>
      <c r="N462" s="3"/>
    </row>
    <row r="463" spans="1:14">
      <c r="A463" t="s">
        <v>1893</v>
      </c>
      <c r="B463" t="s">
        <v>1894</v>
      </c>
      <c r="C463">
        <v>111010</v>
      </c>
      <c r="H463" s="3">
        <f>IFERROR(VLOOKUP(Table43_1[[#This Row],[PCPL KODE 1]],#REF!,3,0),0)</f>
        <v>0</v>
      </c>
      <c r="I463" s="3">
        <f>IFERROR(VLOOKUP(Table43_1[[#This Row],[PCPL KODE 2]],#REF!,3,0),0)</f>
        <v>0</v>
      </c>
      <c r="J463" s="3">
        <f>IFERROR(VLOOKUP(Table43_1[[#This Row],[PCPL KODE 3]],#REF!,3,0),0)</f>
        <v>0</v>
      </c>
      <c r="K463" s="3">
        <f>IFERROR(VLOOKUP(Table43_1[[#This Row],[PCPL KODE 4]],#REF!,3,0),0)</f>
        <v>0</v>
      </c>
      <c r="L463" s="3">
        <f>IFERROR(VLOOKUP(Table43_1[[#This Row],[PCPL KODE 5]],#REF!,3,0),0)</f>
        <v>0</v>
      </c>
      <c r="M463" s="3">
        <f>Table43_1[[#This Row],[QTY 1]]+Table43_1[[#This Row],[QTY 2]]+Table43_1[[#This Row],[QTY 3]]+Table43_1[[#This Row],[QTY 4]]+Table43_1[[#This Row],[QTY 5]]</f>
        <v>0</v>
      </c>
      <c r="N463" s="3"/>
    </row>
    <row r="464" spans="1:14">
      <c r="A464" t="s">
        <v>1895</v>
      </c>
      <c r="B464" t="s">
        <v>1896</v>
      </c>
      <c r="C464">
        <v>111011</v>
      </c>
      <c r="H464" s="3">
        <f>IFERROR(VLOOKUP(Table43_1[[#This Row],[PCPL KODE 1]],#REF!,3,0),0)</f>
        <v>0</v>
      </c>
      <c r="I464" s="3">
        <f>IFERROR(VLOOKUP(Table43_1[[#This Row],[PCPL KODE 2]],#REF!,3,0),0)</f>
        <v>0</v>
      </c>
      <c r="J464" s="3">
        <f>IFERROR(VLOOKUP(Table43_1[[#This Row],[PCPL KODE 3]],#REF!,3,0),0)</f>
        <v>0</v>
      </c>
      <c r="K464" s="3">
        <f>IFERROR(VLOOKUP(Table43_1[[#This Row],[PCPL KODE 4]],#REF!,3,0),0)</f>
        <v>0</v>
      </c>
      <c r="L464" s="3">
        <f>IFERROR(VLOOKUP(Table43_1[[#This Row],[PCPL KODE 5]],#REF!,3,0),0)</f>
        <v>0</v>
      </c>
      <c r="M464" s="3">
        <f>Table43_1[[#This Row],[QTY 1]]+Table43_1[[#This Row],[QTY 2]]+Table43_1[[#This Row],[QTY 3]]+Table43_1[[#This Row],[QTY 4]]+Table43_1[[#This Row],[QTY 5]]</f>
        <v>0</v>
      </c>
      <c r="N464" s="3"/>
    </row>
    <row r="465" spans="1:14">
      <c r="A465" t="s">
        <v>1897</v>
      </c>
      <c r="B465" t="s">
        <v>1898</v>
      </c>
      <c r="C465">
        <v>111030</v>
      </c>
      <c r="H465" s="3">
        <f>IFERROR(VLOOKUP(Table43_1[[#This Row],[PCPL KODE 1]],#REF!,3,0),0)</f>
        <v>0</v>
      </c>
      <c r="I465" s="3">
        <f>IFERROR(VLOOKUP(Table43_1[[#This Row],[PCPL KODE 2]],#REF!,3,0),0)</f>
        <v>0</v>
      </c>
      <c r="J465" s="3">
        <f>IFERROR(VLOOKUP(Table43_1[[#This Row],[PCPL KODE 3]],#REF!,3,0),0)</f>
        <v>0</v>
      </c>
      <c r="K465" s="3">
        <f>IFERROR(VLOOKUP(Table43_1[[#This Row],[PCPL KODE 4]],#REF!,3,0),0)</f>
        <v>0</v>
      </c>
      <c r="L465" s="3">
        <f>IFERROR(VLOOKUP(Table43_1[[#This Row],[PCPL KODE 5]],#REF!,3,0),0)</f>
        <v>0</v>
      </c>
      <c r="M465" s="3">
        <f>Table43_1[[#This Row],[QTY 1]]+Table43_1[[#This Row],[QTY 2]]+Table43_1[[#This Row],[QTY 3]]+Table43_1[[#This Row],[QTY 4]]+Table43_1[[#This Row],[QTY 5]]</f>
        <v>0</v>
      </c>
      <c r="N465" s="3"/>
    </row>
    <row r="466" spans="1:14">
      <c r="A466" t="s">
        <v>1899</v>
      </c>
      <c r="B466" t="s">
        <v>1900</v>
      </c>
      <c r="C466">
        <v>111031</v>
      </c>
      <c r="H466" s="3">
        <f>IFERROR(VLOOKUP(Table43_1[[#This Row],[PCPL KODE 1]],#REF!,3,0),0)</f>
        <v>0</v>
      </c>
      <c r="I466" s="3">
        <f>IFERROR(VLOOKUP(Table43_1[[#This Row],[PCPL KODE 2]],#REF!,3,0),0)</f>
        <v>0</v>
      </c>
      <c r="J466" s="3">
        <f>IFERROR(VLOOKUP(Table43_1[[#This Row],[PCPL KODE 3]],#REF!,3,0),0)</f>
        <v>0</v>
      </c>
      <c r="K466" s="3">
        <f>IFERROR(VLOOKUP(Table43_1[[#This Row],[PCPL KODE 4]],#REF!,3,0),0)</f>
        <v>0</v>
      </c>
      <c r="L466" s="3">
        <f>IFERROR(VLOOKUP(Table43_1[[#This Row],[PCPL KODE 5]],#REF!,3,0),0)</f>
        <v>0</v>
      </c>
      <c r="M466" s="3">
        <f>Table43_1[[#This Row],[QTY 1]]+Table43_1[[#This Row],[QTY 2]]+Table43_1[[#This Row],[QTY 3]]+Table43_1[[#This Row],[QTY 4]]+Table43_1[[#This Row],[QTY 5]]</f>
        <v>0</v>
      </c>
      <c r="N466" s="3"/>
    </row>
    <row r="467" spans="1:14">
      <c r="A467" t="s">
        <v>1901</v>
      </c>
      <c r="B467" t="s">
        <v>1902</v>
      </c>
      <c r="C467">
        <v>111033</v>
      </c>
      <c r="H467" s="3">
        <f>IFERROR(VLOOKUP(Table43_1[[#This Row],[PCPL KODE 1]],#REF!,3,0),0)</f>
        <v>0</v>
      </c>
      <c r="I467" s="3">
        <f>IFERROR(VLOOKUP(Table43_1[[#This Row],[PCPL KODE 2]],#REF!,3,0),0)</f>
        <v>0</v>
      </c>
      <c r="J467" s="3">
        <f>IFERROR(VLOOKUP(Table43_1[[#This Row],[PCPL KODE 3]],#REF!,3,0),0)</f>
        <v>0</v>
      </c>
      <c r="K467" s="3">
        <f>IFERROR(VLOOKUP(Table43_1[[#This Row],[PCPL KODE 4]],#REF!,3,0),0)</f>
        <v>0</v>
      </c>
      <c r="L467" s="3">
        <f>IFERROR(VLOOKUP(Table43_1[[#This Row],[PCPL KODE 5]],#REF!,3,0),0)</f>
        <v>0</v>
      </c>
      <c r="M467" s="3">
        <f>Table43_1[[#This Row],[QTY 1]]+Table43_1[[#This Row],[QTY 2]]+Table43_1[[#This Row],[QTY 3]]+Table43_1[[#This Row],[QTY 4]]+Table43_1[[#This Row],[QTY 5]]</f>
        <v>0</v>
      </c>
      <c r="N467" s="3"/>
    </row>
    <row r="468" spans="1:14">
      <c r="A468" t="s">
        <v>1903</v>
      </c>
      <c r="B468" t="s">
        <v>1904</v>
      </c>
      <c r="C468">
        <v>111034</v>
      </c>
      <c r="H468" s="3">
        <f>IFERROR(VLOOKUP(Table43_1[[#This Row],[PCPL KODE 1]],#REF!,3,0),0)</f>
        <v>0</v>
      </c>
      <c r="I468" s="3">
        <f>IFERROR(VLOOKUP(Table43_1[[#This Row],[PCPL KODE 2]],#REF!,3,0),0)</f>
        <v>0</v>
      </c>
      <c r="J468" s="3">
        <f>IFERROR(VLOOKUP(Table43_1[[#This Row],[PCPL KODE 3]],#REF!,3,0),0)</f>
        <v>0</v>
      </c>
      <c r="K468" s="3">
        <f>IFERROR(VLOOKUP(Table43_1[[#This Row],[PCPL KODE 4]],#REF!,3,0),0)</f>
        <v>0</v>
      </c>
      <c r="L468" s="3">
        <f>IFERROR(VLOOKUP(Table43_1[[#This Row],[PCPL KODE 5]],#REF!,3,0),0)</f>
        <v>0</v>
      </c>
      <c r="M468" s="3">
        <f>Table43_1[[#This Row],[QTY 1]]+Table43_1[[#This Row],[QTY 2]]+Table43_1[[#This Row],[QTY 3]]+Table43_1[[#This Row],[QTY 4]]+Table43_1[[#This Row],[QTY 5]]</f>
        <v>0</v>
      </c>
      <c r="N468" s="3"/>
    </row>
    <row r="469" spans="1:14">
      <c r="A469" t="s">
        <v>1905</v>
      </c>
      <c r="B469" t="s">
        <v>1906</v>
      </c>
      <c r="C469">
        <v>111035</v>
      </c>
      <c r="H469" s="3">
        <f>IFERROR(VLOOKUP(Table43_1[[#This Row],[PCPL KODE 1]],#REF!,3,0),0)</f>
        <v>0</v>
      </c>
      <c r="I469" s="3">
        <f>IFERROR(VLOOKUP(Table43_1[[#This Row],[PCPL KODE 2]],#REF!,3,0),0)</f>
        <v>0</v>
      </c>
      <c r="J469" s="3">
        <f>IFERROR(VLOOKUP(Table43_1[[#This Row],[PCPL KODE 3]],#REF!,3,0),0)</f>
        <v>0</v>
      </c>
      <c r="K469" s="3">
        <f>IFERROR(VLOOKUP(Table43_1[[#This Row],[PCPL KODE 4]],#REF!,3,0),0)</f>
        <v>0</v>
      </c>
      <c r="L469" s="3">
        <f>IFERROR(VLOOKUP(Table43_1[[#This Row],[PCPL KODE 5]],#REF!,3,0),0)</f>
        <v>0</v>
      </c>
      <c r="M469" s="3">
        <f>Table43_1[[#This Row],[QTY 1]]+Table43_1[[#This Row],[QTY 2]]+Table43_1[[#This Row],[QTY 3]]+Table43_1[[#This Row],[QTY 4]]+Table43_1[[#This Row],[QTY 5]]</f>
        <v>0</v>
      </c>
      <c r="N469" s="3"/>
    </row>
    <row r="470" spans="1:14">
      <c r="A470" t="s">
        <v>1907</v>
      </c>
      <c r="B470" t="s">
        <v>1908</v>
      </c>
      <c r="C470">
        <v>111036</v>
      </c>
      <c r="H470" s="3">
        <f>IFERROR(VLOOKUP(Table43_1[[#This Row],[PCPL KODE 1]],#REF!,3,0),0)</f>
        <v>0</v>
      </c>
      <c r="I470" s="3">
        <f>IFERROR(VLOOKUP(Table43_1[[#This Row],[PCPL KODE 2]],#REF!,3,0),0)</f>
        <v>0</v>
      </c>
      <c r="J470" s="3">
        <f>IFERROR(VLOOKUP(Table43_1[[#This Row],[PCPL KODE 3]],#REF!,3,0),0)</f>
        <v>0</v>
      </c>
      <c r="K470" s="3">
        <f>IFERROR(VLOOKUP(Table43_1[[#This Row],[PCPL KODE 4]],#REF!,3,0),0)</f>
        <v>0</v>
      </c>
      <c r="L470" s="3">
        <f>IFERROR(VLOOKUP(Table43_1[[#This Row],[PCPL KODE 5]],#REF!,3,0),0)</f>
        <v>0</v>
      </c>
      <c r="M470" s="3">
        <f>Table43_1[[#This Row],[QTY 1]]+Table43_1[[#This Row],[QTY 2]]+Table43_1[[#This Row],[QTY 3]]+Table43_1[[#This Row],[QTY 4]]+Table43_1[[#This Row],[QTY 5]]</f>
        <v>0</v>
      </c>
      <c r="N470" s="3"/>
    </row>
    <row r="471" spans="1:14">
      <c r="A471" t="s">
        <v>1909</v>
      </c>
      <c r="B471" t="s">
        <v>1910</v>
      </c>
      <c r="C471">
        <v>111037</v>
      </c>
      <c r="H471" s="3">
        <f>IFERROR(VLOOKUP(Table43_1[[#This Row],[PCPL KODE 1]],#REF!,3,0),0)</f>
        <v>0</v>
      </c>
      <c r="I471" s="3">
        <f>IFERROR(VLOOKUP(Table43_1[[#This Row],[PCPL KODE 2]],#REF!,3,0),0)</f>
        <v>0</v>
      </c>
      <c r="J471" s="3">
        <f>IFERROR(VLOOKUP(Table43_1[[#This Row],[PCPL KODE 3]],#REF!,3,0),0)</f>
        <v>0</v>
      </c>
      <c r="K471" s="3">
        <f>IFERROR(VLOOKUP(Table43_1[[#This Row],[PCPL KODE 4]],#REF!,3,0),0)</f>
        <v>0</v>
      </c>
      <c r="L471" s="3">
        <f>IFERROR(VLOOKUP(Table43_1[[#This Row],[PCPL KODE 5]],#REF!,3,0),0)</f>
        <v>0</v>
      </c>
      <c r="M471" s="3">
        <f>Table43_1[[#This Row],[QTY 1]]+Table43_1[[#This Row],[QTY 2]]+Table43_1[[#This Row],[QTY 3]]+Table43_1[[#This Row],[QTY 4]]+Table43_1[[#This Row],[QTY 5]]</f>
        <v>0</v>
      </c>
      <c r="N471" s="3"/>
    </row>
    <row r="472" spans="1:14">
      <c r="A472" t="s">
        <v>1911</v>
      </c>
      <c r="B472" t="s">
        <v>1912</v>
      </c>
      <c r="C472">
        <v>111039</v>
      </c>
      <c r="H472" s="3">
        <f>IFERROR(VLOOKUP(Table43_1[[#This Row],[PCPL KODE 1]],#REF!,3,0),0)</f>
        <v>0</v>
      </c>
      <c r="I472" s="3">
        <f>IFERROR(VLOOKUP(Table43_1[[#This Row],[PCPL KODE 2]],#REF!,3,0),0)</f>
        <v>0</v>
      </c>
      <c r="J472" s="3">
        <f>IFERROR(VLOOKUP(Table43_1[[#This Row],[PCPL KODE 3]],#REF!,3,0),0)</f>
        <v>0</v>
      </c>
      <c r="K472" s="3">
        <f>IFERROR(VLOOKUP(Table43_1[[#This Row],[PCPL KODE 4]],#REF!,3,0),0)</f>
        <v>0</v>
      </c>
      <c r="L472" s="3">
        <f>IFERROR(VLOOKUP(Table43_1[[#This Row],[PCPL KODE 5]],#REF!,3,0),0)</f>
        <v>0</v>
      </c>
      <c r="M472" s="3">
        <f>Table43_1[[#This Row],[QTY 1]]+Table43_1[[#This Row],[QTY 2]]+Table43_1[[#This Row],[QTY 3]]+Table43_1[[#This Row],[QTY 4]]+Table43_1[[#This Row],[QTY 5]]</f>
        <v>0</v>
      </c>
      <c r="N472" s="3"/>
    </row>
    <row r="473" spans="1:14">
      <c r="A473" t="s">
        <v>1913</v>
      </c>
      <c r="B473" t="s">
        <v>1914</v>
      </c>
      <c r="C473">
        <v>111040</v>
      </c>
      <c r="H473" s="3">
        <f>IFERROR(VLOOKUP(Table43_1[[#This Row],[PCPL KODE 1]],#REF!,3,0),0)</f>
        <v>0</v>
      </c>
      <c r="I473" s="3">
        <f>IFERROR(VLOOKUP(Table43_1[[#This Row],[PCPL KODE 2]],#REF!,3,0),0)</f>
        <v>0</v>
      </c>
      <c r="J473" s="3">
        <f>IFERROR(VLOOKUP(Table43_1[[#This Row],[PCPL KODE 3]],#REF!,3,0),0)</f>
        <v>0</v>
      </c>
      <c r="K473" s="3">
        <f>IFERROR(VLOOKUP(Table43_1[[#This Row],[PCPL KODE 4]],#REF!,3,0),0)</f>
        <v>0</v>
      </c>
      <c r="L473" s="3">
        <f>IFERROR(VLOOKUP(Table43_1[[#This Row],[PCPL KODE 5]],#REF!,3,0),0)</f>
        <v>0</v>
      </c>
      <c r="M473" s="3">
        <f>Table43_1[[#This Row],[QTY 1]]+Table43_1[[#This Row],[QTY 2]]+Table43_1[[#This Row],[QTY 3]]+Table43_1[[#This Row],[QTY 4]]+Table43_1[[#This Row],[QTY 5]]</f>
        <v>0</v>
      </c>
      <c r="N473" s="3"/>
    </row>
    <row r="474" spans="1:14">
      <c r="A474" t="s">
        <v>1915</v>
      </c>
      <c r="B474" t="s">
        <v>1916</v>
      </c>
      <c r="C474">
        <v>111041</v>
      </c>
      <c r="H474" s="3">
        <f>IFERROR(VLOOKUP(Table43_1[[#This Row],[PCPL KODE 1]],#REF!,3,0),0)</f>
        <v>0</v>
      </c>
      <c r="I474" s="3">
        <f>IFERROR(VLOOKUP(Table43_1[[#This Row],[PCPL KODE 2]],#REF!,3,0),0)</f>
        <v>0</v>
      </c>
      <c r="J474" s="3">
        <f>IFERROR(VLOOKUP(Table43_1[[#This Row],[PCPL KODE 3]],#REF!,3,0),0)</f>
        <v>0</v>
      </c>
      <c r="K474" s="3">
        <f>IFERROR(VLOOKUP(Table43_1[[#This Row],[PCPL KODE 4]],#REF!,3,0),0)</f>
        <v>0</v>
      </c>
      <c r="L474" s="3">
        <f>IFERROR(VLOOKUP(Table43_1[[#This Row],[PCPL KODE 5]],#REF!,3,0),0)</f>
        <v>0</v>
      </c>
      <c r="M474" s="3">
        <f>Table43_1[[#This Row],[QTY 1]]+Table43_1[[#This Row],[QTY 2]]+Table43_1[[#This Row],[QTY 3]]+Table43_1[[#This Row],[QTY 4]]+Table43_1[[#This Row],[QTY 5]]</f>
        <v>0</v>
      </c>
      <c r="N474" s="3"/>
    </row>
    <row r="475" spans="1:14">
      <c r="A475" t="s">
        <v>1917</v>
      </c>
      <c r="B475" t="s">
        <v>1918</v>
      </c>
      <c r="C475">
        <v>113003</v>
      </c>
      <c r="H475" s="3">
        <f>IFERROR(VLOOKUP(Table43_1[[#This Row],[PCPL KODE 1]],#REF!,3,0),0)</f>
        <v>0</v>
      </c>
      <c r="I475" s="3">
        <f>IFERROR(VLOOKUP(Table43_1[[#This Row],[PCPL KODE 2]],#REF!,3,0),0)</f>
        <v>0</v>
      </c>
      <c r="J475" s="3">
        <f>IFERROR(VLOOKUP(Table43_1[[#This Row],[PCPL KODE 3]],#REF!,3,0),0)</f>
        <v>0</v>
      </c>
      <c r="K475" s="3">
        <f>IFERROR(VLOOKUP(Table43_1[[#This Row],[PCPL KODE 4]],#REF!,3,0),0)</f>
        <v>0</v>
      </c>
      <c r="L475" s="3">
        <f>IFERROR(VLOOKUP(Table43_1[[#This Row],[PCPL KODE 5]],#REF!,3,0),0)</f>
        <v>0</v>
      </c>
      <c r="M475" s="3">
        <f>Table43_1[[#This Row],[QTY 1]]+Table43_1[[#This Row],[QTY 2]]+Table43_1[[#This Row],[QTY 3]]+Table43_1[[#This Row],[QTY 4]]+Table43_1[[#This Row],[QTY 5]]</f>
        <v>0</v>
      </c>
      <c r="N475" s="3"/>
    </row>
    <row r="476" spans="1:14">
      <c r="A476" t="s">
        <v>1919</v>
      </c>
      <c r="B476" t="s">
        <v>1920</v>
      </c>
      <c r="C476">
        <v>113002</v>
      </c>
      <c r="H476" s="3">
        <f>IFERROR(VLOOKUP(Table43_1[[#This Row],[PCPL KODE 1]],#REF!,3,0),0)</f>
        <v>0</v>
      </c>
      <c r="I476" s="3">
        <f>IFERROR(VLOOKUP(Table43_1[[#This Row],[PCPL KODE 2]],#REF!,3,0),0)</f>
        <v>0</v>
      </c>
      <c r="J476" s="3">
        <f>IFERROR(VLOOKUP(Table43_1[[#This Row],[PCPL KODE 3]],#REF!,3,0),0)</f>
        <v>0</v>
      </c>
      <c r="K476" s="3">
        <f>IFERROR(VLOOKUP(Table43_1[[#This Row],[PCPL KODE 4]],#REF!,3,0),0)</f>
        <v>0</v>
      </c>
      <c r="L476" s="3">
        <f>IFERROR(VLOOKUP(Table43_1[[#This Row],[PCPL KODE 5]],#REF!,3,0),0)</f>
        <v>0</v>
      </c>
      <c r="M476" s="3">
        <f>Table43_1[[#This Row],[QTY 1]]+Table43_1[[#This Row],[QTY 2]]+Table43_1[[#This Row],[QTY 3]]+Table43_1[[#This Row],[QTY 4]]+Table43_1[[#This Row],[QTY 5]]</f>
        <v>0</v>
      </c>
      <c r="N476" s="3"/>
    </row>
    <row r="477" spans="1:14">
      <c r="A477" t="s">
        <v>1921</v>
      </c>
      <c r="B477" t="s">
        <v>1922</v>
      </c>
      <c r="C477">
        <v>113004</v>
      </c>
      <c r="H477" s="3">
        <f>IFERROR(VLOOKUP(Table43_1[[#This Row],[PCPL KODE 1]],#REF!,3,0),0)</f>
        <v>0</v>
      </c>
      <c r="I477" s="3">
        <f>IFERROR(VLOOKUP(Table43_1[[#This Row],[PCPL KODE 2]],#REF!,3,0),0)</f>
        <v>0</v>
      </c>
      <c r="J477" s="3">
        <f>IFERROR(VLOOKUP(Table43_1[[#This Row],[PCPL KODE 3]],#REF!,3,0),0)</f>
        <v>0</v>
      </c>
      <c r="K477" s="3">
        <f>IFERROR(VLOOKUP(Table43_1[[#This Row],[PCPL KODE 4]],#REF!,3,0),0)</f>
        <v>0</v>
      </c>
      <c r="L477" s="3">
        <f>IFERROR(VLOOKUP(Table43_1[[#This Row],[PCPL KODE 5]],#REF!,3,0),0)</f>
        <v>0</v>
      </c>
      <c r="M477" s="3">
        <f>Table43_1[[#This Row],[QTY 1]]+Table43_1[[#This Row],[QTY 2]]+Table43_1[[#This Row],[QTY 3]]+Table43_1[[#This Row],[QTY 4]]+Table43_1[[#This Row],[QTY 5]]</f>
        <v>0</v>
      </c>
      <c r="N477" s="3"/>
    </row>
    <row r="478" spans="1:14">
      <c r="A478" t="s">
        <v>1923</v>
      </c>
      <c r="B478" t="s">
        <v>1924</v>
      </c>
      <c r="C478">
        <v>113001</v>
      </c>
      <c r="H478" s="3">
        <f>IFERROR(VLOOKUP(Table43_1[[#This Row],[PCPL KODE 1]],#REF!,3,0),0)</f>
        <v>0</v>
      </c>
      <c r="I478" s="3">
        <f>IFERROR(VLOOKUP(Table43_1[[#This Row],[PCPL KODE 2]],#REF!,3,0),0)</f>
        <v>0</v>
      </c>
      <c r="J478" s="3">
        <f>IFERROR(VLOOKUP(Table43_1[[#This Row],[PCPL KODE 3]],#REF!,3,0),0)</f>
        <v>0</v>
      </c>
      <c r="K478" s="3">
        <f>IFERROR(VLOOKUP(Table43_1[[#This Row],[PCPL KODE 4]],#REF!,3,0),0)</f>
        <v>0</v>
      </c>
      <c r="L478" s="3">
        <f>IFERROR(VLOOKUP(Table43_1[[#This Row],[PCPL KODE 5]],#REF!,3,0),0)</f>
        <v>0</v>
      </c>
      <c r="M478" s="3">
        <f>Table43_1[[#This Row],[QTY 1]]+Table43_1[[#This Row],[QTY 2]]+Table43_1[[#This Row],[QTY 3]]+Table43_1[[#This Row],[QTY 4]]+Table43_1[[#This Row],[QTY 5]]</f>
        <v>0</v>
      </c>
      <c r="N478" s="3"/>
    </row>
    <row r="479" spans="1:14">
      <c r="A479" t="s">
        <v>1925</v>
      </c>
      <c r="B479" t="s">
        <v>1926</v>
      </c>
      <c r="C479">
        <v>113005</v>
      </c>
      <c r="H479" s="3">
        <f>IFERROR(VLOOKUP(Table43_1[[#This Row],[PCPL KODE 1]],#REF!,3,0),0)</f>
        <v>0</v>
      </c>
      <c r="I479" s="3">
        <f>IFERROR(VLOOKUP(Table43_1[[#This Row],[PCPL KODE 2]],#REF!,3,0),0)</f>
        <v>0</v>
      </c>
      <c r="J479" s="3">
        <f>IFERROR(VLOOKUP(Table43_1[[#This Row],[PCPL KODE 3]],#REF!,3,0),0)</f>
        <v>0</v>
      </c>
      <c r="K479" s="3">
        <f>IFERROR(VLOOKUP(Table43_1[[#This Row],[PCPL KODE 4]],#REF!,3,0),0)</f>
        <v>0</v>
      </c>
      <c r="L479" s="3">
        <f>IFERROR(VLOOKUP(Table43_1[[#This Row],[PCPL KODE 5]],#REF!,3,0),0)</f>
        <v>0</v>
      </c>
      <c r="M479" s="3">
        <f>Table43_1[[#This Row],[QTY 1]]+Table43_1[[#This Row],[QTY 2]]+Table43_1[[#This Row],[QTY 3]]+Table43_1[[#This Row],[QTY 4]]+Table43_1[[#This Row],[QTY 5]]</f>
        <v>0</v>
      </c>
      <c r="N479" s="3"/>
    </row>
    <row r="480" spans="1:14">
      <c r="A480" t="s">
        <v>1927</v>
      </c>
      <c r="B480" t="s">
        <v>1928</v>
      </c>
      <c r="C480">
        <v>113009</v>
      </c>
      <c r="H480" s="3">
        <f>IFERROR(VLOOKUP(Table43_1[[#This Row],[PCPL KODE 1]],#REF!,3,0),0)</f>
        <v>0</v>
      </c>
      <c r="I480" s="3">
        <f>IFERROR(VLOOKUP(Table43_1[[#This Row],[PCPL KODE 2]],#REF!,3,0),0)</f>
        <v>0</v>
      </c>
      <c r="J480" s="3">
        <f>IFERROR(VLOOKUP(Table43_1[[#This Row],[PCPL KODE 3]],#REF!,3,0),0)</f>
        <v>0</v>
      </c>
      <c r="K480" s="3">
        <f>IFERROR(VLOOKUP(Table43_1[[#This Row],[PCPL KODE 4]],#REF!,3,0),0)</f>
        <v>0</v>
      </c>
      <c r="L480" s="3">
        <f>IFERROR(VLOOKUP(Table43_1[[#This Row],[PCPL KODE 5]],#REF!,3,0),0)</f>
        <v>0</v>
      </c>
      <c r="M480" s="3">
        <f>Table43_1[[#This Row],[QTY 1]]+Table43_1[[#This Row],[QTY 2]]+Table43_1[[#This Row],[QTY 3]]+Table43_1[[#This Row],[QTY 4]]+Table43_1[[#This Row],[QTY 5]]</f>
        <v>0</v>
      </c>
      <c r="N480" s="3"/>
    </row>
    <row r="481" spans="1:14">
      <c r="A481" t="s">
        <v>1929</v>
      </c>
      <c r="B481" t="s">
        <v>1930</v>
      </c>
      <c r="C481">
        <v>113016</v>
      </c>
      <c r="H481" s="3">
        <f>IFERROR(VLOOKUP(Table43_1[[#This Row],[PCPL KODE 1]],#REF!,3,0),0)</f>
        <v>0</v>
      </c>
      <c r="I481" s="3">
        <f>IFERROR(VLOOKUP(Table43_1[[#This Row],[PCPL KODE 2]],#REF!,3,0),0)</f>
        <v>0</v>
      </c>
      <c r="J481" s="3">
        <f>IFERROR(VLOOKUP(Table43_1[[#This Row],[PCPL KODE 3]],#REF!,3,0),0)</f>
        <v>0</v>
      </c>
      <c r="K481" s="3">
        <f>IFERROR(VLOOKUP(Table43_1[[#This Row],[PCPL KODE 4]],#REF!,3,0),0)</f>
        <v>0</v>
      </c>
      <c r="L481" s="3">
        <f>IFERROR(VLOOKUP(Table43_1[[#This Row],[PCPL KODE 5]],#REF!,3,0),0)</f>
        <v>0</v>
      </c>
      <c r="M481" s="3">
        <f>Table43_1[[#This Row],[QTY 1]]+Table43_1[[#This Row],[QTY 2]]+Table43_1[[#This Row],[QTY 3]]+Table43_1[[#This Row],[QTY 4]]+Table43_1[[#This Row],[QTY 5]]</f>
        <v>0</v>
      </c>
      <c r="N481" s="3"/>
    </row>
    <row r="482" spans="1:14">
      <c r="A482" t="s">
        <v>1931</v>
      </c>
      <c r="B482" t="s">
        <v>1932</v>
      </c>
      <c r="C482">
        <v>113014</v>
      </c>
      <c r="H482" s="3">
        <f>IFERROR(VLOOKUP(Table43_1[[#This Row],[PCPL KODE 1]],#REF!,3,0),0)</f>
        <v>0</v>
      </c>
      <c r="I482" s="3">
        <f>IFERROR(VLOOKUP(Table43_1[[#This Row],[PCPL KODE 2]],#REF!,3,0),0)</f>
        <v>0</v>
      </c>
      <c r="J482" s="3">
        <f>IFERROR(VLOOKUP(Table43_1[[#This Row],[PCPL KODE 3]],#REF!,3,0),0)</f>
        <v>0</v>
      </c>
      <c r="K482" s="3">
        <f>IFERROR(VLOOKUP(Table43_1[[#This Row],[PCPL KODE 4]],#REF!,3,0),0)</f>
        <v>0</v>
      </c>
      <c r="L482" s="3">
        <f>IFERROR(VLOOKUP(Table43_1[[#This Row],[PCPL KODE 5]],#REF!,3,0),0)</f>
        <v>0</v>
      </c>
      <c r="M482" s="3">
        <f>Table43_1[[#This Row],[QTY 1]]+Table43_1[[#This Row],[QTY 2]]+Table43_1[[#This Row],[QTY 3]]+Table43_1[[#This Row],[QTY 4]]+Table43_1[[#This Row],[QTY 5]]</f>
        <v>0</v>
      </c>
      <c r="N482" s="3"/>
    </row>
    <row r="483" spans="1:14">
      <c r="A483" t="s">
        <v>1933</v>
      </c>
      <c r="B483" t="s">
        <v>1934</v>
      </c>
      <c r="C483">
        <v>113006</v>
      </c>
      <c r="H483" s="3">
        <f>IFERROR(VLOOKUP(Table43_1[[#This Row],[PCPL KODE 1]],#REF!,3,0),0)</f>
        <v>0</v>
      </c>
      <c r="I483" s="3">
        <f>IFERROR(VLOOKUP(Table43_1[[#This Row],[PCPL KODE 2]],#REF!,3,0),0)</f>
        <v>0</v>
      </c>
      <c r="J483" s="3">
        <f>IFERROR(VLOOKUP(Table43_1[[#This Row],[PCPL KODE 3]],#REF!,3,0),0)</f>
        <v>0</v>
      </c>
      <c r="K483" s="3">
        <f>IFERROR(VLOOKUP(Table43_1[[#This Row],[PCPL KODE 4]],#REF!,3,0),0)</f>
        <v>0</v>
      </c>
      <c r="L483" s="3">
        <f>IFERROR(VLOOKUP(Table43_1[[#This Row],[PCPL KODE 5]],#REF!,3,0),0)</f>
        <v>0</v>
      </c>
      <c r="M483" s="3">
        <f>Table43_1[[#This Row],[QTY 1]]+Table43_1[[#This Row],[QTY 2]]+Table43_1[[#This Row],[QTY 3]]+Table43_1[[#This Row],[QTY 4]]+Table43_1[[#This Row],[QTY 5]]</f>
        <v>0</v>
      </c>
      <c r="N483" s="3"/>
    </row>
    <row r="484" spans="1:14">
      <c r="A484" t="s">
        <v>1935</v>
      </c>
      <c r="B484" t="s">
        <v>1936</v>
      </c>
      <c r="C484">
        <v>113018</v>
      </c>
      <c r="H484" s="3">
        <f>IFERROR(VLOOKUP(Table43_1[[#This Row],[PCPL KODE 1]],#REF!,3,0),0)</f>
        <v>0</v>
      </c>
      <c r="I484" s="3">
        <f>IFERROR(VLOOKUP(Table43_1[[#This Row],[PCPL KODE 2]],#REF!,3,0),0)</f>
        <v>0</v>
      </c>
      <c r="J484" s="3">
        <f>IFERROR(VLOOKUP(Table43_1[[#This Row],[PCPL KODE 3]],#REF!,3,0),0)</f>
        <v>0</v>
      </c>
      <c r="K484" s="3">
        <f>IFERROR(VLOOKUP(Table43_1[[#This Row],[PCPL KODE 4]],#REF!,3,0),0)</f>
        <v>0</v>
      </c>
      <c r="L484" s="3">
        <f>IFERROR(VLOOKUP(Table43_1[[#This Row],[PCPL KODE 5]],#REF!,3,0),0)</f>
        <v>0</v>
      </c>
      <c r="M484" s="3">
        <f>Table43_1[[#This Row],[QTY 1]]+Table43_1[[#This Row],[QTY 2]]+Table43_1[[#This Row],[QTY 3]]+Table43_1[[#This Row],[QTY 4]]+Table43_1[[#This Row],[QTY 5]]</f>
        <v>0</v>
      </c>
      <c r="N484" s="3"/>
    </row>
    <row r="485" spans="1:14">
      <c r="A485" t="s">
        <v>1937</v>
      </c>
      <c r="B485" t="s">
        <v>1938</v>
      </c>
      <c r="C485">
        <v>113011</v>
      </c>
      <c r="H485" s="3">
        <f>IFERROR(VLOOKUP(Table43_1[[#This Row],[PCPL KODE 1]],#REF!,3,0),0)</f>
        <v>0</v>
      </c>
      <c r="I485" s="3">
        <f>IFERROR(VLOOKUP(Table43_1[[#This Row],[PCPL KODE 2]],#REF!,3,0),0)</f>
        <v>0</v>
      </c>
      <c r="J485" s="3">
        <f>IFERROR(VLOOKUP(Table43_1[[#This Row],[PCPL KODE 3]],#REF!,3,0),0)</f>
        <v>0</v>
      </c>
      <c r="K485" s="3">
        <f>IFERROR(VLOOKUP(Table43_1[[#This Row],[PCPL KODE 4]],#REF!,3,0),0)</f>
        <v>0</v>
      </c>
      <c r="L485" s="3">
        <f>IFERROR(VLOOKUP(Table43_1[[#This Row],[PCPL KODE 5]],#REF!,3,0),0)</f>
        <v>0</v>
      </c>
      <c r="M485" s="3">
        <f>Table43_1[[#This Row],[QTY 1]]+Table43_1[[#This Row],[QTY 2]]+Table43_1[[#This Row],[QTY 3]]+Table43_1[[#This Row],[QTY 4]]+Table43_1[[#This Row],[QTY 5]]</f>
        <v>0</v>
      </c>
      <c r="N485" s="3"/>
    </row>
    <row r="486" spans="1:14">
      <c r="A486" t="s">
        <v>1939</v>
      </c>
      <c r="B486" t="s">
        <v>1940</v>
      </c>
      <c r="C486">
        <v>113019</v>
      </c>
      <c r="H486" s="3">
        <f>IFERROR(VLOOKUP(Table43_1[[#This Row],[PCPL KODE 1]],#REF!,3,0),0)</f>
        <v>0</v>
      </c>
      <c r="I486" s="3">
        <f>IFERROR(VLOOKUP(Table43_1[[#This Row],[PCPL KODE 2]],#REF!,3,0),0)</f>
        <v>0</v>
      </c>
      <c r="J486" s="3">
        <f>IFERROR(VLOOKUP(Table43_1[[#This Row],[PCPL KODE 3]],#REF!,3,0),0)</f>
        <v>0</v>
      </c>
      <c r="K486" s="3">
        <f>IFERROR(VLOOKUP(Table43_1[[#This Row],[PCPL KODE 4]],#REF!,3,0),0)</f>
        <v>0</v>
      </c>
      <c r="L486" s="3">
        <f>IFERROR(VLOOKUP(Table43_1[[#This Row],[PCPL KODE 5]],#REF!,3,0),0)</f>
        <v>0</v>
      </c>
      <c r="M486" s="3">
        <f>Table43_1[[#This Row],[QTY 1]]+Table43_1[[#This Row],[QTY 2]]+Table43_1[[#This Row],[QTY 3]]+Table43_1[[#This Row],[QTY 4]]+Table43_1[[#This Row],[QTY 5]]</f>
        <v>0</v>
      </c>
      <c r="N486" s="3"/>
    </row>
    <row r="487" spans="1:14">
      <c r="A487" t="s">
        <v>1941</v>
      </c>
      <c r="B487" t="s">
        <v>1942</v>
      </c>
      <c r="C487">
        <v>113008</v>
      </c>
      <c r="H487" s="3">
        <f>IFERROR(VLOOKUP(Table43_1[[#This Row],[PCPL KODE 1]],#REF!,3,0),0)</f>
        <v>0</v>
      </c>
      <c r="I487" s="3">
        <f>IFERROR(VLOOKUP(Table43_1[[#This Row],[PCPL KODE 2]],#REF!,3,0),0)</f>
        <v>0</v>
      </c>
      <c r="J487" s="3">
        <f>IFERROR(VLOOKUP(Table43_1[[#This Row],[PCPL KODE 3]],#REF!,3,0),0)</f>
        <v>0</v>
      </c>
      <c r="K487" s="3">
        <f>IFERROR(VLOOKUP(Table43_1[[#This Row],[PCPL KODE 4]],#REF!,3,0),0)</f>
        <v>0</v>
      </c>
      <c r="L487" s="3">
        <f>IFERROR(VLOOKUP(Table43_1[[#This Row],[PCPL KODE 5]],#REF!,3,0),0)</f>
        <v>0</v>
      </c>
      <c r="M487" s="3">
        <f>Table43_1[[#This Row],[QTY 1]]+Table43_1[[#This Row],[QTY 2]]+Table43_1[[#This Row],[QTY 3]]+Table43_1[[#This Row],[QTY 4]]+Table43_1[[#This Row],[QTY 5]]</f>
        <v>0</v>
      </c>
      <c r="N487" s="3"/>
    </row>
    <row r="488" spans="1:14">
      <c r="A488" t="s">
        <v>1943</v>
      </c>
      <c r="B488" t="s">
        <v>1944</v>
      </c>
      <c r="C488">
        <v>113007</v>
      </c>
      <c r="H488" s="3">
        <f>IFERROR(VLOOKUP(Table43_1[[#This Row],[PCPL KODE 1]],#REF!,3,0),0)</f>
        <v>0</v>
      </c>
      <c r="I488" s="3">
        <f>IFERROR(VLOOKUP(Table43_1[[#This Row],[PCPL KODE 2]],#REF!,3,0),0)</f>
        <v>0</v>
      </c>
      <c r="J488" s="3">
        <f>IFERROR(VLOOKUP(Table43_1[[#This Row],[PCPL KODE 3]],#REF!,3,0),0)</f>
        <v>0</v>
      </c>
      <c r="K488" s="3">
        <f>IFERROR(VLOOKUP(Table43_1[[#This Row],[PCPL KODE 4]],#REF!,3,0),0)</f>
        <v>0</v>
      </c>
      <c r="L488" s="3">
        <f>IFERROR(VLOOKUP(Table43_1[[#This Row],[PCPL KODE 5]],#REF!,3,0),0)</f>
        <v>0</v>
      </c>
      <c r="M488" s="3">
        <f>Table43_1[[#This Row],[QTY 1]]+Table43_1[[#This Row],[QTY 2]]+Table43_1[[#This Row],[QTY 3]]+Table43_1[[#This Row],[QTY 4]]+Table43_1[[#This Row],[QTY 5]]</f>
        <v>0</v>
      </c>
      <c r="N488" s="3"/>
    </row>
    <row r="489" spans="1:14">
      <c r="A489" t="s">
        <v>1945</v>
      </c>
      <c r="B489" t="s">
        <v>1946</v>
      </c>
      <c r="C489">
        <v>113020</v>
      </c>
      <c r="H489" s="3">
        <f>IFERROR(VLOOKUP(Table43_1[[#This Row],[PCPL KODE 1]],#REF!,3,0),0)</f>
        <v>0</v>
      </c>
      <c r="I489" s="3">
        <f>IFERROR(VLOOKUP(Table43_1[[#This Row],[PCPL KODE 2]],#REF!,3,0),0)</f>
        <v>0</v>
      </c>
      <c r="J489" s="3">
        <f>IFERROR(VLOOKUP(Table43_1[[#This Row],[PCPL KODE 3]],#REF!,3,0),0)</f>
        <v>0</v>
      </c>
      <c r="K489" s="3">
        <f>IFERROR(VLOOKUP(Table43_1[[#This Row],[PCPL KODE 4]],#REF!,3,0),0)</f>
        <v>0</v>
      </c>
      <c r="L489" s="3">
        <f>IFERROR(VLOOKUP(Table43_1[[#This Row],[PCPL KODE 5]],#REF!,3,0),0)</f>
        <v>0</v>
      </c>
      <c r="M489" s="3">
        <f>Table43_1[[#This Row],[QTY 1]]+Table43_1[[#This Row],[QTY 2]]+Table43_1[[#This Row],[QTY 3]]+Table43_1[[#This Row],[QTY 4]]+Table43_1[[#This Row],[QTY 5]]</f>
        <v>0</v>
      </c>
      <c r="N489" s="3"/>
    </row>
    <row r="490" spans="1:14">
      <c r="A490" t="s">
        <v>1947</v>
      </c>
      <c r="B490" t="s">
        <v>1948</v>
      </c>
      <c r="C490" t="s">
        <v>3549</v>
      </c>
      <c r="D490">
        <v>113022</v>
      </c>
      <c r="H490" s="3">
        <f>IFERROR(VLOOKUP(Table43_1[[#This Row],[PCPL KODE 1]],#REF!,3,0),0)</f>
        <v>0</v>
      </c>
      <c r="I490" s="3">
        <f>IFERROR(VLOOKUP(Table43_1[[#This Row],[PCPL KODE 2]],#REF!,3,0),0)</f>
        <v>0</v>
      </c>
      <c r="J490" s="3">
        <f>IFERROR(VLOOKUP(Table43_1[[#This Row],[PCPL KODE 3]],#REF!,3,0),0)</f>
        <v>0</v>
      </c>
      <c r="K490" s="3">
        <f>IFERROR(VLOOKUP(Table43_1[[#This Row],[PCPL KODE 4]],#REF!,3,0),0)</f>
        <v>0</v>
      </c>
      <c r="L490" s="3">
        <f>IFERROR(VLOOKUP(Table43_1[[#This Row],[PCPL KODE 5]],#REF!,3,0),0)</f>
        <v>0</v>
      </c>
      <c r="M490" s="3">
        <f>Table43_1[[#This Row],[QTY 1]]+Table43_1[[#This Row],[QTY 2]]+Table43_1[[#This Row],[QTY 3]]+Table43_1[[#This Row],[QTY 4]]+Table43_1[[#This Row],[QTY 5]]</f>
        <v>0</v>
      </c>
      <c r="N490" s="3"/>
    </row>
    <row r="491" spans="1:14">
      <c r="A491" t="s">
        <v>1949</v>
      </c>
      <c r="B491" t="s">
        <v>1950</v>
      </c>
      <c r="C491">
        <v>113024</v>
      </c>
      <c r="H491" s="3">
        <f>IFERROR(VLOOKUP(Table43_1[[#This Row],[PCPL KODE 1]],#REF!,3,0),0)</f>
        <v>0</v>
      </c>
      <c r="I491" s="3">
        <f>IFERROR(VLOOKUP(Table43_1[[#This Row],[PCPL KODE 2]],#REF!,3,0),0)</f>
        <v>0</v>
      </c>
      <c r="J491" s="3">
        <f>IFERROR(VLOOKUP(Table43_1[[#This Row],[PCPL KODE 3]],#REF!,3,0),0)</f>
        <v>0</v>
      </c>
      <c r="K491" s="3">
        <f>IFERROR(VLOOKUP(Table43_1[[#This Row],[PCPL KODE 4]],#REF!,3,0),0)</f>
        <v>0</v>
      </c>
      <c r="L491" s="3">
        <f>IFERROR(VLOOKUP(Table43_1[[#This Row],[PCPL KODE 5]],#REF!,3,0),0)</f>
        <v>0</v>
      </c>
      <c r="M491" s="3">
        <f>Table43_1[[#This Row],[QTY 1]]+Table43_1[[#This Row],[QTY 2]]+Table43_1[[#This Row],[QTY 3]]+Table43_1[[#This Row],[QTY 4]]+Table43_1[[#This Row],[QTY 5]]</f>
        <v>0</v>
      </c>
      <c r="N491" s="3"/>
    </row>
    <row r="492" spans="1:14">
      <c r="A492" t="s">
        <v>1951</v>
      </c>
      <c r="B492" t="s">
        <v>1952</v>
      </c>
      <c r="C492">
        <v>113025</v>
      </c>
      <c r="H492" s="3">
        <f>IFERROR(VLOOKUP(Table43_1[[#This Row],[PCPL KODE 1]],#REF!,3,0),0)</f>
        <v>0</v>
      </c>
      <c r="I492" s="3">
        <f>IFERROR(VLOOKUP(Table43_1[[#This Row],[PCPL KODE 2]],#REF!,3,0),0)</f>
        <v>0</v>
      </c>
      <c r="J492" s="3">
        <f>IFERROR(VLOOKUP(Table43_1[[#This Row],[PCPL KODE 3]],#REF!,3,0),0)</f>
        <v>0</v>
      </c>
      <c r="K492" s="3">
        <f>IFERROR(VLOOKUP(Table43_1[[#This Row],[PCPL KODE 4]],#REF!,3,0),0)</f>
        <v>0</v>
      </c>
      <c r="L492" s="3">
        <f>IFERROR(VLOOKUP(Table43_1[[#This Row],[PCPL KODE 5]],#REF!,3,0),0)</f>
        <v>0</v>
      </c>
      <c r="M492" s="3">
        <f>Table43_1[[#This Row],[QTY 1]]+Table43_1[[#This Row],[QTY 2]]+Table43_1[[#This Row],[QTY 3]]+Table43_1[[#This Row],[QTY 4]]+Table43_1[[#This Row],[QTY 5]]</f>
        <v>0</v>
      </c>
      <c r="N492" s="3"/>
    </row>
    <row r="493" spans="1:14">
      <c r="A493" t="s">
        <v>1953</v>
      </c>
      <c r="B493" t="s">
        <v>1954</v>
      </c>
      <c r="C493">
        <v>113013</v>
      </c>
      <c r="H493" s="3">
        <f>IFERROR(VLOOKUP(Table43_1[[#This Row],[PCPL KODE 1]],#REF!,3,0),0)</f>
        <v>0</v>
      </c>
      <c r="I493" s="3">
        <f>IFERROR(VLOOKUP(Table43_1[[#This Row],[PCPL KODE 2]],#REF!,3,0),0)</f>
        <v>0</v>
      </c>
      <c r="J493" s="3">
        <f>IFERROR(VLOOKUP(Table43_1[[#This Row],[PCPL KODE 3]],#REF!,3,0),0)</f>
        <v>0</v>
      </c>
      <c r="K493" s="3">
        <f>IFERROR(VLOOKUP(Table43_1[[#This Row],[PCPL KODE 4]],#REF!,3,0),0)</f>
        <v>0</v>
      </c>
      <c r="L493" s="3">
        <f>IFERROR(VLOOKUP(Table43_1[[#This Row],[PCPL KODE 5]],#REF!,3,0),0)</f>
        <v>0</v>
      </c>
      <c r="M493" s="3">
        <f>Table43_1[[#This Row],[QTY 1]]+Table43_1[[#This Row],[QTY 2]]+Table43_1[[#This Row],[QTY 3]]+Table43_1[[#This Row],[QTY 4]]+Table43_1[[#This Row],[QTY 5]]</f>
        <v>0</v>
      </c>
      <c r="N493" s="3"/>
    </row>
    <row r="494" spans="1:14">
      <c r="A494" t="s">
        <v>1955</v>
      </c>
      <c r="B494" t="s">
        <v>1956</v>
      </c>
      <c r="C494">
        <v>113010</v>
      </c>
      <c r="H494" s="3">
        <f>IFERROR(VLOOKUP(Table43_1[[#This Row],[PCPL KODE 1]],#REF!,3,0),0)</f>
        <v>0</v>
      </c>
      <c r="I494" s="3">
        <f>IFERROR(VLOOKUP(Table43_1[[#This Row],[PCPL KODE 2]],#REF!,3,0),0)</f>
        <v>0</v>
      </c>
      <c r="J494" s="3">
        <f>IFERROR(VLOOKUP(Table43_1[[#This Row],[PCPL KODE 3]],#REF!,3,0),0)</f>
        <v>0</v>
      </c>
      <c r="K494" s="3">
        <f>IFERROR(VLOOKUP(Table43_1[[#This Row],[PCPL KODE 4]],#REF!,3,0),0)</f>
        <v>0</v>
      </c>
      <c r="L494" s="3">
        <f>IFERROR(VLOOKUP(Table43_1[[#This Row],[PCPL KODE 5]],#REF!,3,0),0)</f>
        <v>0</v>
      </c>
      <c r="M494" s="3">
        <f>Table43_1[[#This Row],[QTY 1]]+Table43_1[[#This Row],[QTY 2]]+Table43_1[[#This Row],[QTY 3]]+Table43_1[[#This Row],[QTY 4]]+Table43_1[[#This Row],[QTY 5]]</f>
        <v>0</v>
      </c>
      <c r="N494" s="3"/>
    </row>
    <row r="495" spans="1:14">
      <c r="A495" t="s">
        <v>1957</v>
      </c>
      <c r="B495" t="s">
        <v>1958</v>
      </c>
      <c r="C495">
        <v>113012</v>
      </c>
      <c r="H495" s="3">
        <f>IFERROR(VLOOKUP(Table43_1[[#This Row],[PCPL KODE 1]],#REF!,3,0),0)</f>
        <v>0</v>
      </c>
      <c r="I495" s="3">
        <f>IFERROR(VLOOKUP(Table43_1[[#This Row],[PCPL KODE 2]],#REF!,3,0),0)</f>
        <v>0</v>
      </c>
      <c r="J495" s="3">
        <f>IFERROR(VLOOKUP(Table43_1[[#This Row],[PCPL KODE 3]],#REF!,3,0),0)</f>
        <v>0</v>
      </c>
      <c r="K495" s="3">
        <f>IFERROR(VLOOKUP(Table43_1[[#This Row],[PCPL KODE 4]],#REF!,3,0),0)</f>
        <v>0</v>
      </c>
      <c r="L495" s="3">
        <f>IFERROR(VLOOKUP(Table43_1[[#This Row],[PCPL KODE 5]],#REF!,3,0),0)</f>
        <v>0</v>
      </c>
      <c r="M495" s="3">
        <f>Table43_1[[#This Row],[QTY 1]]+Table43_1[[#This Row],[QTY 2]]+Table43_1[[#This Row],[QTY 3]]+Table43_1[[#This Row],[QTY 4]]+Table43_1[[#This Row],[QTY 5]]</f>
        <v>0</v>
      </c>
      <c r="N495" s="3"/>
    </row>
    <row r="496" spans="1:14">
      <c r="A496" t="s">
        <v>1959</v>
      </c>
      <c r="B496" t="s">
        <v>3533</v>
      </c>
      <c r="C496">
        <v>114012</v>
      </c>
      <c r="H496" s="3">
        <f>IFERROR(VLOOKUP(Table43_1[[#This Row],[PCPL KODE 1]],#REF!,3,0),0)</f>
        <v>0</v>
      </c>
      <c r="I496" s="3">
        <f>IFERROR(VLOOKUP(Table43_1[[#This Row],[PCPL KODE 2]],#REF!,3,0),0)</f>
        <v>0</v>
      </c>
      <c r="J496" s="3">
        <f>IFERROR(VLOOKUP(Table43_1[[#This Row],[PCPL KODE 3]],#REF!,3,0),0)</f>
        <v>0</v>
      </c>
      <c r="K496" s="3">
        <f>IFERROR(VLOOKUP(Table43_1[[#This Row],[PCPL KODE 4]],#REF!,3,0),0)</f>
        <v>0</v>
      </c>
      <c r="L496" s="3">
        <f>IFERROR(VLOOKUP(Table43_1[[#This Row],[PCPL KODE 5]],#REF!,3,0),0)</f>
        <v>0</v>
      </c>
      <c r="M496" s="3">
        <f>Table43_1[[#This Row],[QTY 1]]+Table43_1[[#This Row],[QTY 2]]+Table43_1[[#This Row],[QTY 3]]+Table43_1[[#This Row],[QTY 4]]+Table43_1[[#This Row],[QTY 5]]</f>
        <v>0</v>
      </c>
      <c r="N496" s="3"/>
    </row>
    <row r="497" spans="1:14">
      <c r="A497" t="s">
        <v>1961</v>
      </c>
      <c r="B497" t="s">
        <v>3534</v>
      </c>
      <c r="C497">
        <v>114013</v>
      </c>
      <c r="H497" s="3">
        <f>IFERROR(VLOOKUP(Table43_1[[#This Row],[PCPL KODE 1]],#REF!,3,0),0)</f>
        <v>0</v>
      </c>
      <c r="I497" s="3">
        <f>IFERROR(VLOOKUP(Table43_1[[#This Row],[PCPL KODE 2]],#REF!,3,0),0)</f>
        <v>0</v>
      </c>
      <c r="J497" s="3">
        <f>IFERROR(VLOOKUP(Table43_1[[#This Row],[PCPL KODE 3]],#REF!,3,0),0)</f>
        <v>0</v>
      </c>
      <c r="K497" s="3">
        <f>IFERROR(VLOOKUP(Table43_1[[#This Row],[PCPL KODE 4]],#REF!,3,0),0)</f>
        <v>0</v>
      </c>
      <c r="L497" s="3">
        <f>IFERROR(VLOOKUP(Table43_1[[#This Row],[PCPL KODE 5]],#REF!,3,0),0)</f>
        <v>0</v>
      </c>
      <c r="M497" s="3">
        <f>Table43_1[[#This Row],[QTY 1]]+Table43_1[[#This Row],[QTY 2]]+Table43_1[[#This Row],[QTY 3]]+Table43_1[[#This Row],[QTY 4]]+Table43_1[[#This Row],[QTY 5]]</f>
        <v>0</v>
      </c>
      <c r="N497" s="3"/>
    </row>
    <row r="498" spans="1:14">
      <c r="A498" t="s">
        <v>1963</v>
      </c>
      <c r="B498" t="s">
        <v>1964</v>
      </c>
      <c r="C498">
        <v>114014</v>
      </c>
      <c r="H498" s="3">
        <f>IFERROR(VLOOKUP(Table43_1[[#This Row],[PCPL KODE 1]],#REF!,3,0),0)</f>
        <v>0</v>
      </c>
      <c r="I498" s="3">
        <f>IFERROR(VLOOKUP(Table43_1[[#This Row],[PCPL KODE 2]],#REF!,3,0),0)</f>
        <v>0</v>
      </c>
      <c r="J498" s="3">
        <f>IFERROR(VLOOKUP(Table43_1[[#This Row],[PCPL KODE 3]],#REF!,3,0),0)</f>
        <v>0</v>
      </c>
      <c r="K498" s="3">
        <f>IFERROR(VLOOKUP(Table43_1[[#This Row],[PCPL KODE 4]],#REF!,3,0),0)</f>
        <v>0</v>
      </c>
      <c r="L498" s="3">
        <f>IFERROR(VLOOKUP(Table43_1[[#This Row],[PCPL KODE 5]],#REF!,3,0),0)</f>
        <v>0</v>
      </c>
      <c r="M498" s="3">
        <f>Table43_1[[#This Row],[QTY 1]]+Table43_1[[#This Row],[QTY 2]]+Table43_1[[#This Row],[QTY 3]]+Table43_1[[#This Row],[QTY 4]]+Table43_1[[#This Row],[QTY 5]]</f>
        <v>0</v>
      </c>
      <c r="N498" s="3"/>
    </row>
    <row r="499" spans="1:14">
      <c r="A499" t="s">
        <v>1965</v>
      </c>
      <c r="B499" t="s">
        <v>1966</v>
      </c>
      <c r="C499">
        <v>114008</v>
      </c>
      <c r="H499" s="3">
        <f>IFERROR(VLOOKUP(Table43_1[[#This Row],[PCPL KODE 1]],#REF!,3,0),0)</f>
        <v>0</v>
      </c>
      <c r="I499" s="3">
        <f>IFERROR(VLOOKUP(Table43_1[[#This Row],[PCPL KODE 2]],#REF!,3,0),0)</f>
        <v>0</v>
      </c>
      <c r="J499" s="3">
        <f>IFERROR(VLOOKUP(Table43_1[[#This Row],[PCPL KODE 3]],#REF!,3,0),0)</f>
        <v>0</v>
      </c>
      <c r="K499" s="3">
        <f>IFERROR(VLOOKUP(Table43_1[[#This Row],[PCPL KODE 4]],#REF!,3,0),0)</f>
        <v>0</v>
      </c>
      <c r="L499" s="3">
        <f>IFERROR(VLOOKUP(Table43_1[[#This Row],[PCPL KODE 5]],#REF!,3,0),0)</f>
        <v>0</v>
      </c>
      <c r="M499" s="3">
        <f>Table43_1[[#This Row],[QTY 1]]+Table43_1[[#This Row],[QTY 2]]+Table43_1[[#This Row],[QTY 3]]+Table43_1[[#This Row],[QTY 4]]+Table43_1[[#This Row],[QTY 5]]</f>
        <v>0</v>
      </c>
      <c r="N499" s="3"/>
    </row>
    <row r="500" spans="1:14">
      <c r="A500" t="s">
        <v>1967</v>
      </c>
      <c r="B500" t="s">
        <v>1968</v>
      </c>
      <c r="C500">
        <v>114009</v>
      </c>
      <c r="H500" s="3">
        <f>IFERROR(VLOOKUP(Table43_1[[#This Row],[PCPL KODE 1]],#REF!,3,0),0)</f>
        <v>0</v>
      </c>
      <c r="I500" s="3">
        <f>IFERROR(VLOOKUP(Table43_1[[#This Row],[PCPL KODE 2]],#REF!,3,0),0)</f>
        <v>0</v>
      </c>
      <c r="J500" s="3">
        <f>IFERROR(VLOOKUP(Table43_1[[#This Row],[PCPL KODE 3]],#REF!,3,0),0)</f>
        <v>0</v>
      </c>
      <c r="K500" s="3">
        <f>IFERROR(VLOOKUP(Table43_1[[#This Row],[PCPL KODE 4]],#REF!,3,0),0)</f>
        <v>0</v>
      </c>
      <c r="L500" s="3">
        <f>IFERROR(VLOOKUP(Table43_1[[#This Row],[PCPL KODE 5]],#REF!,3,0),0)</f>
        <v>0</v>
      </c>
      <c r="M500" s="3">
        <f>Table43_1[[#This Row],[QTY 1]]+Table43_1[[#This Row],[QTY 2]]+Table43_1[[#This Row],[QTY 3]]+Table43_1[[#This Row],[QTY 4]]+Table43_1[[#This Row],[QTY 5]]</f>
        <v>0</v>
      </c>
      <c r="N500" s="3"/>
    </row>
    <row r="501" spans="1:14">
      <c r="A501" t="s">
        <v>1969</v>
      </c>
      <c r="B501" t="s">
        <v>1970</v>
      </c>
      <c r="C501">
        <v>114010</v>
      </c>
      <c r="H501" s="3">
        <f>IFERROR(VLOOKUP(Table43_1[[#This Row],[PCPL KODE 1]],#REF!,3,0),0)</f>
        <v>0</v>
      </c>
      <c r="I501" s="3">
        <f>IFERROR(VLOOKUP(Table43_1[[#This Row],[PCPL KODE 2]],#REF!,3,0),0)</f>
        <v>0</v>
      </c>
      <c r="J501" s="3">
        <f>IFERROR(VLOOKUP(Table43_1[[#This Row],[PCPL KODE 3]],#REF!,3,0),0)</f>
        <v>0</v>
      </c>
      <c r="K501" s="3">
        <f>IFERROR(VLOOKUP(Table43_1[[#This Row],[PCPL KODE 4]],#REF!,3,0),0)</f>
        <v>0</v>
      </c>
      <c r="L501" s="3">
        <f>IFERROR(VLOOKUP(Table43_1[[#This Row],[PCPL KODE 5]],#REF!,3,0),0)</f>
        <v>0</v>
      </c>
      <c r="M501" s="3">
        <f>Table43_1[[#This Row],[QTY 1]]+Table43_1[[#This Row],[QTY 2]]+Table43_1[[#This Row],[QTY 3]]+Table43_1[[#This Row],[QTY 4]]+Table43_1[[#This Row],[QTY 5]]</f>
        <v>0</v>
      </c>
      <c r="N501" s="3"/>
    </row>
    <row r="502" spans="1:14">
      <c r="A502" t="s">
        <v>1971</v>
      </c>
      <c r="B502" t="s">
        <v>1972</v>
      </c>
      <c r="C502">
        <v>114011</v>
      </c>
      <c r="H502" s="3">
        <f>IFERROR(VLOOKUP(Table43_1[[#This Row],[PCPL KODE 1]],#REF!,3,0),0)</f>
        <v>0</v>
      </c>
      <c r="I502" s="3">
        <f>IFERROR(VLOOKUP(Table43_1[[#This Row],[PCPL KODE 2]],#REF!,3,0),0)</f>
        <v>0</v>
      </c>
      <c r="J502" s="3">
        <f>IFERROR(VLOOKUP(Table43_1[[#This Row],[PCPL KODE 3]],#REF!,3,0),0)</f>
        <v>0</v>
      </c>
      <c r="K502" s="3">
        <f>IFERROR(VLOOKUP(Table43_1[[#This Row],[PCPL KODE 4]],#REF!,3,0),0)</f>
        <v>0</v>
      </c>
      <c r="L502" s="3">
        <f>IFERROR(VLOOKUP(Table43_1[[#This Row],[PCPL KODE 5]],#REF!,3,0),0)</f>
        <v>0</v>
      </c>
      <c r="M502" s="3">
        <f>Table43_1[[#This Row],[QTY 1]]+Table43_1[[#This Row],[QTY 2]]+Table43_1[[#This Row],[QTY 3]]+Table43_1[[#This Row],[QTY 4]]+Table43_1[[#This Row],[QTY 5]]</f>
        <v>0</v>
      </c>
      <c r="N502" s="3"/>
    </row>
    <row r="503" spans="1:14">
      <c r="A503" t="s">
        <v>1973</v>
      </c>
      <c r="B503" t="s">
        <v>3535</v>
      </c>
      <c r="C503">
        <v>114021</v>
      </c>
      <c r="H503" s="3">
        <f>IFERROR(VLOOKUP(Table43_1[[#This Row],[PCPL KODE 1]],#REF!,3,0),0)</f>
        <v>0</v>
      </c>
      <c r="I503" s="3">
        <f>IFERROR(VLOOKUP(Table43_1[[#This Row],[PCPL KODE 2]],#REF!,3,0),0)</f>
        <v>0</v>
      </c>
      <c r="J503" s="3">
        <f>IFERROR(VLOOKUP(Table43_1[[#This Row],[PCPL KODE 3]],#REF!,3,0),0)</f>
        <v>0</v>
      </c>
      <c r="K503" s="3">
        <f>IFERROR(VLOOKUP(Table43_1[[#This Row],[PCPL KODE 4]],#REF!,3,0),0)</f>
        <v>0</v>
      </c>
      <c r="L503" s="3">
        <f>IFERROR(VLOOKUP(Table43_1[[#This Row],[PCPL KODE 5]],#REF!,3,0),0)</f>
        <v>0</v>
      </c>
      <c r="M503" s="3">
        <f>Table43_1[[#This Row],[QTY 1]]+Table43_1[[#This Row],[QTY 2]]+Table43_1[[#This Row],[QTY 3]]+Table43_1[[#This Row],[QTY 4]]+Table43_1[[#This Row],[QTY 5]]</f>
        <v>0</v>
      </c>
      <c r="N503" s="3"/>
    </row>
    <row r="504" spans="1:14">
      <c r="A504" t="s">
        <v>1976</v>
      </c>
      <c r="B504" t="s">
        <v>3536</v>
      </c>
      <c r="C504">
        <v>114022</v>
      </c>
      <c r="H504" s="3">
        <f>IFERROR(VLOOKUP(Table43_1[[#This Row],[PCPL KODE 1]],#REF!,3,0),0)</f>
        <v>0</v>
      </c>
      <c r="I504" s="3">
        <f>IFERROR(VLOOKUP(Table43_1[[#This Row],[PCPL KODE 2]],#REF!,3,0),0)</f>
        <v>0</v>
      </c>
      <c r="J504" s="3">
        <f>IFERROR(VLOOKUP(Table43_1[[#This Row],[PCPL KODE 3]],#REF!,3,0),0)</f>
        <v>0</v>
      </c>
      <c r="K504" s="3">
        <f>IFERROR(VLOOKUP(Table43_1[[#This Row],[PCPL KODE 4]],#REF!,3,0),0)</f>
        <v>0</v>
      </c>
      <c r="L504" s="3">
        <f>IFERROR(VLOOKUP(Table43_1[[#This Row],[PCPL KODE 5]],#REF!,3,0),0)</f>
        <v>0</v>
      </c>
      <c r="M504" s="3">
        <f>Table43_1[[#This Row],[QTY 1]]+Table43_1[[#This Row],[QTY 2]]+Table43_1[[#This Row],[QTY 3]]+Table43_1[[#This Row],[QTY 4]]+Table43_1[[#This Row],[QTY 5]]</f>
        <v>0</v>
      </c>
      <c r="N504" s="3"/>
    </row>
    <row r="505" spans="1:14">
      <c r="A505" t="s">
        <v>1980</v>
      </c>
      <c r="B505" t="s">
        <v>1981</v>
      </c>
      <c r="C505">
        <v>114015</v>
      </c>
      <c r="H505" s="3">
        <f>IFERROR(VLOOKUP(Table43_1[[#This Row],[PCPL KODE 1]],#REF!,3,0),0)</f>
        <v>0</v>
      </c>
      <c r="I505" s="3">
        <f>IFERROR(VLOOKUP(Table43_1[[#This Row],[PCPL KODE 2]],#REF!,3,0),0)</f>
        <v>0</v>
      </c>
      <c r="J505" s="3">
        <f>IFERROR(VLOOKUP(Table43_1[[#This Row],[PCPL KODE 3]],#REF!,3,0),0)</f>
        <v>0</v>
      </c>
      <c r="K505" s="3">
        <f>IFERROR(VLOOKUP(Table43_1[[#This Row],[PCPL KODE 4]],#REF!,3,0),0)</f>
        <v>0</v>
      </c>
      <c r="L505" s="3">
        <f>IFERROR(VLOOKUP(Table43_1[[#This Row],[PCPL KODE 5]],#REF!,3,0),0)</f>
        <v>0</v>
      </c>
      <c r="M505" s="3">
        <f>Table43_1[[#This Row],[QTY 1]]+Table43_1[[#This Row],[QTY 2]]+Table43_1[[#This Row],[QTY 3]]+Table43_1[[#This Row],[QTY 4]]+Table43_1[[#This Row],[QTY 5]]</f>
        <v>0</v>
      </c>
      <c r="N505" s="3"/>
    </row>
    <row r="506" spans="1:14">
      <c r="A506" t="s">
        <v>1982</v>
      </c>
      <c r="B506" t="s">
        <v>1983</v>
      </c>
      <c r="C506">
        <v>114016</v>
      </c>
      <c r="H506" s="3">
        <f>IFERROR(VLOOKUP(Table43_1[[#This Row],[PCPL KODE 1]],#REF!,3,0),0)</f>
        <v>0</v>
      </c>
      <c r="I506" s="3">
        <f>IFERROR(VLOOKUP(Table43_1[[#This Row],[PCPL KODE 2]],#REF!,3,0),0)</f>
        <v>0</v>
      </c>
      <c r="J506" s="3">
        <f>IFERROR(VLOOKUP(Table43_1[[#This Row],[PCPL KODE 3]],#REF!,3,0),0)</f>
        <v>0</v>
      </c>
      <c r="K506" s="3">
        <f>IFERROR(VLOOKUP(Table43_1[[#This Row],[PCPL KODE 4]],#REF!,3,0),0)</f>
        <v>0</v>
      </c>
      <c r="L506" s="3">
        <f>IFERROR(VLOOKUP(Table43_1[[#This Row],[PCPL KODE 5]],#REF!,3,0),0)</f>
        <v>0</v>
      </c>
      <c r="M506" s="3">
        <f>Table43_1[[#This Row],[QTY 1]]+Table43_1[[#This Row],[QTY 2]]+Table43_1[[#This Row],[QTY 3]]+Table43_1[[#This Row],[QTY 4]]+Table43_1[[#This Row],[QTY 5]]</f>
        <v>0</v>
      </c>
      <c r="N506" s="3"/>
    </row>
    <row r="507" spans="1:14">
      <c r="A507" t="s">
        <v>1984</v>
      </c>
      <c r="B507" t="s">
        <v>1985</v>
      </c>
      <c r="C507">
        <v>114017</v>
      </c>
      <c r="H507" s="3">
        <f>IFERROR(VLOOKUP(Table43_1[[#This Row],[PCPL KODE 1]],#REF!,3,0),0)</f>
        <v>0</v>
      </c>
      <c r="I507" s="3">
        <f>IFERROR(VLOOKUP(Table43_1[[#This Row],[PCPL KODE 2]],#REF!,3,0),0)</f>
        <v>0</v>
      </c>
      <c r="J507" s="3">
        <f>IFERROR(VLOOKUP(Table43_1[[#This Row],[PCPL KODE 3]],#REF!,3,0),0)</f>
        <v>0</v>
      </c>
      <c r="K507" s="3">
        <f>IFERROR(VLOOKUP(Table43_1[[#This Row],[PCPL KODE 4]],#REF!,3,0),0)</f>
        <v>0</v>
      </c>
      <c r="L507" s="3">
        <f>IFERROR(VLOOKUP(Table43_1[[#This Row],[PCPL KODE 5]],#REF!,3,0),0)</f>
        <v>0</v>
      </c>
      <c r="M507" s="3">
        <f>Table43_1[[#This Row],[QTY 1]]+Table43_1[[#This Row],[QTY 2]]+Table43_1[[#This Row],[QTY 3]]+Table43_1[[#This Row],[QTY 4]]+Table43_1[[#This Row],[QTY 5]]</f>
        <v>0</v>
      </c>
      <c r="N507" s="3"/>
    </row>
    <row r="508" spans="1:14">
      <c r="A508" t="s">
        <v>1986</v>
      </c>
      <c r="B508" t="s">
        <v>1987</v>
      </c>
      <c r="C508">
        <v>114003</v>
      </c>
      <c r="H508" s="3">
        <f>IFERROR(VLOOKUP(Table43_1[[#This Row],[PCPL KODE 1]],#REF!,3,0),0)</f>
        <v>0</v>
      </c>
      <c r="I508" s="3">
        <f>IFERROR(VLOOKUP(Table43_1[[#This Row],[PCPL KODE 2]],#REF!,3,0),0)</f>
        <v>0</v>
      </c>
      <c r="J508" s="3">
        <f>IFERROR(VLOOKUP(Table43_1[[#This Row],[PCPL KODE 3]],#REF!,3,0),0)</f>
        <v>0</v>
      </c>
      <c r="K508" s="3">
        <f>IFERROR(VLOOKUP(Table43_1[[#This Row],[PCPL KODE 4]],#REF!,3,0),0)</f>
        <v>0</v>
      </c>
      <c r="L508" s="3">
        <f>IFERROR(VLOOKUP(Table43_1[[#This Row],[PCPL KODE 5]],#REF!,3,0),0)</f>
        <v>0</v>
      </c>
      <c r="M508" s="3">
        <f>Table43_1[[#This Row],[QTY 1]]+Table43_1[[#This Row],[QTY 2]]+Table43_1[[#This Row],[QTY 3]]+Table43_1[[#This Row],[QTY 4]]+Table43_1[[#This Row],[QTY 5]]</f>
        <v>0</v>
      </c>
      <c r="N508" s="3"/>
    </row>
    <row r="509" spans="1:14">
      <c r="A509" t="s">
        <v>1988</v>
      </c>
      <c r="B509" t="s">
        <v>1989</v>
      </c>
      <c r="C509">
        <v>114005</v>
      </c>
      <c r="H509" s="3">
        <f>IFERROR(VLOOKUP(Table43_1[[#This Row],[PCPL KODE 1]],#REF!,3,0),0)</f>
        <v>0</v>
      </c>
      <c r="I509" s="3">
        <f>IFERROR(VLOOKUP(Table43_1[[#This Row],[PCPL KODE 2]],#REF!,3,0),0)</f>
        <v>0</v>
      </c>
      <c r="J509" s="3">
        <f>IFERROR(VLOOKUP(Table43_1[[#This Row],[PCPL KODE 3]],#REF!,3,0),0)</f>
        <v>0</v>
      </c>
      <c r="K509" s="3">
        <f>IFERROR(VLOOKUP(Table43_1[[#This Row],[PCPL KODE 4]],#REF!,3,0),0)</f>
        <v>0</v>
      </c>
      <c r="L509" s="3">
        <f>IFERROR(VLOOKUP(Table43_1[[#This Row],[PCPL KODE 5]],#REF!,3,0),0)</f>
        <v>0</v>
      </c>
      <c r="M509" s="3">
        <f>Table43_1[[#This Row],[QTY 1]]+Table43_1[[#This Row],[QTY 2]]+Table43_1[[#This Row],[QTY 3]]+Table43_1[[#This Row],[QTY 4]]+Table43_1[[#This Row],[QTY 5]]</f>
        <v>0</v>
      </c>
      <c r="N509" s="3"/>
    </row>
    <row r="510" spans="1:14">
      <c r="A510" t="s">
        <v>1990</v>
      </c>
      <c r="B510" t="s">
        <v>1991</v>
      </c>
      <c r="C510">
        <v>114006</v>
      </c>
      <c r="H510" s="3">
        <f>IFERROR(VLOOKUP(Table43_1[[#This Row],[PCPL KODE 1]],#REF!,3,0),0)</f>
        <v>0</v>
      </c>
      <c r="I510" s="3">
        <f>IFERROR(VLOOKUP(Table43_1[[#This Row],[PCPL KODE 2]],#REF!,3,0),0)</f>
        <v>0</v>
      </c>
      <c r="J510" s="3">
        <f>IFERROR(VLOOKUP(Table43_1[[#This Row],[PCPL KODE 3]],#REF!,3,0),0)</f>
        <v>0</v>
      </c>
      <c r="K510" s="3">
        <f>IFERROR(VLOOKUP(Table43_1[[#This Row],[PCPL KODE 4]],#REF!,3,0),0)</f>
        <v>0</v>
      </c>
      <c r="L510" s="3">
        <f>IFERROR(VLOOKUP(Table43_1[[#This Row],[PCPL KODE 5]],#REF!,3,0),0)</f>
        <v>0</v>
      </c>
      <c r="M510" s="3">
        <f>Table43_1[[#This Row],[QTY 1]]+Table43_1[[#This Row],[QTY 2]]+Table43_1[[#This Row],[QTY 3]]+Table43_1[[#This Row],[QTY 4]]+Table43_1[[#This Row],[QTY 5]]</f>
        <v>0</v>
      </c>
      <c r="N510" s="3"/>
    </row>
    <row r="511" spans="1:14">
      <c r="A511" t="s">
        <v>1992</v>
      </c>
      <c r="B511" t="s">
        <v>3537</v>
      </c>
      <c r="C511">
        <v>114007</v>
      </c>
      <c r="H511" s="3">
        <f>IFERROR(VLOOKUP(Table43_1[[#This Row],[PCPL KODE 1]],#REF!,3,0),0)</f>
        <v>0</v>
      </c>
      <c r="I511" s="3">
        <f>IFERROR(VLOOKUP(Table43_1[[#This Row],[PCPL KODE 2]],#REF!,3,0),0)</f>
        <v>0</v>
      </c>
      <c r="J511" s="3">
        <f>IFERROR(VLOOKUP(Table43_1[[#This Row],[PCPL KODE 3]],#REF!,3,0),0)</f>
        <v>0</v>
      </c>
      <c r="K511" s="3">
        <f>IFERROR(VLOOKUP(Table43_1[[#This Row],[PCPL KODE 4]],#REF!,3,0),0)</f>
        <v>0</v>
      </c>
      <c r="L511" s="3">
        <f>IFERROR(VLOOKUP(Table43_1[[#This Row],[PCPL KODE 5]],#REF!,3,0),0)</f>
        <v>0</v>
      </c>
      <c r="M511" s="3">
        <f>Table43_1[[#This Row],[QTY 1]]+Table43_1[[#This Row],[QTY 2]]+Table43_1[[#This Row],[QTY 3]]+Table43_1[[#This Row],[QTY 4]]+Table43_1[[#This Row],[QTY 5]]</f>
        <v>0</v>
      </c>
      <c r="N511" s="3"/>
    </row>
    <row r="512" spans="1:14">
      <c r="A512" t="s">
        <v>1994</v>
      </c>
      <c r="B512" t="s">
        <v>1995</v>
      </c>
      <c r="C512">
        <v>114024</v>
      </c>
      <c r="H512" s="3">
        <f>IFERROR(VLOOKUP(Table43_1[[#This Row],[PCPL KODE 1]],#REF!,3,0),0)</f>
        <v>0</v>
      </c>
      <c r="I512" s="3">
        <f>IFERROR(VLOOKUP(Table43_1[[#This Row],[PCPL KODE 2]],#REF!,3,0),0)</f>
        <v>0</v>
      </c>
      <c r="J512" s="3">
        <f>IFERROR(VLOOKUP(Table43_1[[#This Row],[PCPL KODE 3]],#REF!,3,0),0)</f>
        <v>0</v>
      </c>
      <c r="K512" s="3">
        <f>IFERROR(VLOOKUP(Table43_1[[#This Row],[PCPL KODE 4]],#REF!,3,0),0)</f>
        <v>0</v>
      </c>
      <c r="L512" s="3">
        <f>IFERROR(VLOOKUP(Table43_1[[#This Row],[PCPL KODE 5]],#REF!,3,0),0)</f>
        <v>0</v>
      </c>
      <c r="M512" s="3">
        <f>Table43_1[[#This Row],[QTY 1]]+Table43_1[[#This Row],[QTY 2]]+Table43_1[[#This Row],[QTY 3]]+Table43_1[[#This Row],[QTY 4]]+Table43_1[[#This Row],[QTY 5]]</f>
        <v>0</v>
      </c>
      <c r="N512" s="3"/>
    </row>
    <row r="513" spans="1:14">
      <c r="A513" t="s">
        <v>1996</v>
      </c>
      <c r="B513" t="s">
        <v>1997</v>
      </c>
      <c r="C513">
        <v>114023</v>
      </c>
      <c r="H513" s="3">
        <f>IFERROR(VLOOKUP(Table43_1[[#This Row],[PCPL KODE 1]],#REF!,3,0),0)</f>
        <v>0</v>
      </c>
      <c r="I513" s="3">
        <f>IFERROR(VLOOKUP(Table43_1[[#This Row],[PCPL KODE 2]],#REF!,3,0),0)</f>
        <v>0</v>
      </c>
      <c r="J513" s="3">
        <f>IFERROR(VLOOKUP(Table43_1[[#This Row],[PCPL KODE 3]],#REF!,3,0),0)</f>
        <v>0</v>
      </c>
      <c r="K513" s="3">
        <f>IFERROR(VLOOKUP(Table43_1[[#This Row],[PCPL KODE 4]],#REF!,3,0),0)</f>
        <v>0</v>
      </c>
      <c r="L513" s="3">
        <f>IFERROR(VLOOKUP(Table43_1[[#This Row],[PCPL KODE 5]],#REF!,3,0),0)</f>
        <v>0</v>
      </c>
      <c r="M513" s="3">
        <f>Table43_1[[#This Row],[QTY 1]]+Table43_1[[#This Row],[QTY 2]]+Table43_1[[#This Row],[QTY 3]]+Table43_1[[#This Row],[QTY 4]]+Table43_1[[#This Row],[QTY 5]]</f>
        <v>0</v>
      </c>
      <c r="N513" s="3"/>
    </row>
    <row r="514" spans="1:14">
      <c r="A514" t="s">
        <v>1998</v>
      </c>
      <c r="B514" t="s">
        <v>1999</v>
      </c>
      <c r="C514">
        <v>115059</v>
      </c>
      <c r="H514" s="3">
        <f>IFERROR(VLOOKUP(Table43_1[[#This Row],[PCPL KODE 1]],#REF!,3,0),0)</f>
        <v>0</v>
      </c>
      <c r="I514" s="3">
        <f>IFERROR(VLOOKUP(Table43_1[[#This Row],[PCPL KODE 2]],#REF!,3,0),0)</f>
        <v>0</v>
      </c>
      <c r="J514" s="3">
        <f>IFERROR(VLOOKUP(Table43_1[[#This Row],[PCPL KODE 3]],#REF!,3,0),0)</f>
        <v>0</v>
      </c>
      <c r="K514" s="3">
        <f>IFERROR(VLOOKUP(Table43_1[[#This Row],[PCPL KODE 4]],#REF!,3,0),0)</f>
        <v>0</v>
      </c>
      <c r="L514" s="3">
        <f>IFERROR(VLOOKUP(Table43_1[[#This Row],[PCPL KODE 5]],#REF!,3,0),0)</f>
        <v>0</v>
      </c>
      <c r="M514" s="3">
        <f>Table43_1[[#This Row],[QTY 1]]+Table43_1[[#This Row],[QTY 2]]+Table43_1[[#This Row],[QTY 3]]+Table43_1[[#This Row],[QTY 4]]+Table43_1[[#This Row],[QTY 5]]</f>
        <v>0</v>
      </c>
      <c r="N514" s="3"/>
    </row>
    <row r="515" spans="1:14">
      <c r="A515" t="s">
        <v>2000</v>
      </c>
      <c r="B515" t="s">
        <v>2001</v>
      </c>
      <c r="C515">
        <v>115060</v>
      </c>
      <c r="H515" s="3">
        <f>IFERROR(VLOOKUP(Table43_1[[#This Row],[PCPL KODE 1]],#REF!,3,0),0)</f>
        <v>0</v>
      </c>
      <c r="I515" s="3">
        <f>IFERROR(VLOOKUP(Table43_1[[#This Row],[PCPL KODE 2]],#REF!,3,0),0)</f>
        <v>0</v>
      </c>
      <c r="J515" s="3">
        <f>IFERROR(VLOOKUP(Table43_1[[#This Row],[PCPL KODE 3]],#REF!,3,0),0)</f>
        <v>0</v>
      </c>
      <c r="K515" s="3">
        <f>IFERROR(VLOOKUP(Table43_1[[#This Row],[PCPL KODE 4]],#REF!,3,0),0)</f>
        <v>0</v>
      </c>
      <c r="L515" s="3">
        <f>IFERROR(VLOOKUP(Table43_1[[#This Row],[PCPL KODE 5]],#REF!,3,0),0)</f>
        <v>0</v>
      </c>
      <c r="M515" s="3">
        <f>Table43_1[[#This Row],[QTY 1]]+Table43_1[[#This Row],[QTY 2]]+Table43_1[[#This Row],[QTY 3]]+Table43_1[[#This Row],[QTY 4]]+Table43_1[[#This Row],[QTY 5]]</f>
        <v>0</v>
      </c>
      <c r="N515" s="3"/>
    </row>
    <row r="516" spans="1:14">
      <c r="A516" t="s">
        <v>2002</v>
      </c>
      <c r="B516" t="s">
        <v>2003</v>
      </c>
      <c r="C516">
        <v>115055</v>
      </c>
      <c r="H516" s="3">
        <f>IFERROR(VLOOKUP(Table43_1[[#This Row],[PCPL KODE 1]],#REF!,3,0),0)</f>
        <v>0</v>
      </c>
      <c r="I516" s="3">
        <f>IFERROR(VLOOKUP(Table43_1[[#This Row],[PCPL KODE 2]],#REF!,3,0),0)</f>
        <v>0</v>
      </c>
      <c r="J516" s="3">
        <f>IFERROR(VLOOKUP(Table43_1[[#This Row],[PCPL KODE 3]],#REF!,3,0),0)</f>
        <v>0</v>
      </c>
      <c r="K516" s="3">
        <f>IFERROR(VLOOKUP(Table43_1[[#This Row],[PCPL KODE 4]],#REF!,3,0),0)</f>
        <v>0</v>
      </c>
      <c r="L516" s="3">
        <f>IFERROR(VLOOKUP(Table43_1[[#This Row],[PCPL KODE 5]],#REF!,3,0),0)</f>
        <v>0</v>
      </c>
      <c r="M516" s="3">
        <f>Table43_1[[#This Row],[QTY 1]]+Table43_1[[#This Row],[QTY 2]]+Table43_1[[#This Row],[QTY 3]]+Table43_1[[#This Row],[QTY 4]]+Table43_1[[#This Row],[QTY 5]]</f>
        <v>0</v>
      </c>
      <c r="N516" s="3"/>
    </row>
    <row r="517" spans="1:14">
      <c r="A517" t="s">
        <v>2004</v>
      </c>
      <c r="B517" t="s">
        <v>2005</v>
      </c>
      <c r="C517">
        <v>115058</v>
      </c>
      <c r="H517" s="3">
        <f>IFERROR(VLOOKUP(Table43_1[[#This Row],[PCPL KODE 1]],#REF!,3,0),0)</f>
        <v>0</v>
      </c>
      <c r="I517" s="3">
        <f>IFERROR(VLOOKUP(Table43_1[[#This Row],[PCPL KODE 2]],#REF!,3,0),0)</f>
        <v>0</v>
      </c>
      <c r="J517" s="3">
        <f>IFERROR(VLOOKUP(Table43_1[[#This Row],[PCPL KODE 3]],#REF!,3,0),0)</f>
        <v>0</v>
      </c>
      <c r="K517" s="3">
        <f>IFERROR(VLOOKUP(Table43_1[[#This Row],[PCPL KODE 4]],#REF!,3,0),0)</f>
        <v>0</v>
      </c>
      <c r="L517" s="3">
        <f>IFERROR(VLOOKUP(Table43_1[[#This Row],[PCPL KODE 5]],#REF!,3,0),0)</f>
        <v>0</v>
      </c>
      <c r="M517" s="3">
        <f>Table43_1[[#This Row],[QTY 1]]+Table43_1[[#This Row],[QTY 2]]+Table43_1[[#This Row],[QTY 3]]+Table43_1[[#This Row],[QTY 4]]+Table43_1[[#This Row],[QTY 5]]</f>
        <v>0</v>
      </c>
      <c r="N517" s="3"/>
    </row>
    <row r="518" spans="1:14">
      <c r="A518" t="s">
        <v>2006</v>
      </c>
      <c r="B518" t="s">
        <v>2007</v>
      </c>
      <c r="C518">
        <v>115047</v>
      </c>
      <c r="H518" s="3">
        <f>IFERROR(VLOOKUP(Table43_1[[#This Row],[PCPL KODE 1]],#REF!,3,0),0)</f>
        <v>0</v>
      </c>
      <c r="I518" s="3">
        <f>IFERROR(VLOOKUP(Table43_1[[#This Row],[PCPL KODE 2]],#REF!,3,0),0)</f>
        <v>0</v>
      </c>
      <c r="J518" s="3">
        <f>IFERROR(VLOOKUP(Table43_1[[#This Row],[PCPL KODE 3]],#REF!,3,0),0)</f>
        <v>0</v>
      </c>
      <c r="K518" s="3">
        <f>IFERROR(VLOOKUP(Table43_1[[#This Row],[PCPL KODE 4]],#REF!,3,0),0)</f>
        <v>0</v>
      </c>
      <c r="L518" s="3">
        <f>IFERROR(VLOOKUP(Table43_1[[#This Row],[PCPL KODE 5]],#REF!,3,0),0)</f>
        <v>0</v>
      </c>
      <c r="M518" s="3">
        <f>Table43_1[[#This Row],[QTY 1]]+Table43_1[[#This Row],[QTY 2]]+Table43_1[[#This Row],[QTY 3]]+Table43_1[[#This Row],[QTY 4]]+Table43_1[[#This Row],[QTY 5]]</f>
        <v>0</v>
      </c>
      <c r="N518" s="3"/>
    </row>
    <row r="519" spans="1:14">
      <c r="A519" t="s">
        <v>2008</v>
      </c>
      <c r="B519" t="s">
        <v>2009</v>
      </c>
      <c r="C519">
        <v>115048</v>
      </c>
      <c r="H519" s="3">
        <f>IFERROR(VLOOKUP(Table43_1[[#This Row],[PCPL KODE 1]],#REF!,3,0),0)</f>
        <v>0</v>
      </c>
      <c r="I519" s="3">
        <f>IFERROR(VLOOKUP(Table43_1[[#This Row],[PCPL KODE 2]],#REF!,3,0),0)</f>
        <v>0</v>
      </c>
      <c r="J519" s="3">
        <f>IFERROR(VLOOKUP(Table43_1[[#This Row],[PCPL KODE 3]],#REF!,3,0),0)</f>
        <v>0</v>
      </c>
      <c r="K519" s="3">
        <f>IFERROR(VLOOKUP(Table43_1[[#This Row],[PCPL KODE 4]],#REF!,3,0),0)</f>
        <v>0</v>
      </c>
      <c r="L519" s="3">
        <f>IFERROR(VLOOKUP(Table43_1[[#This Row],[PCPL KODE 5]],#REF!,3,0),0)</f>
        <v>0</v>
      </c>
      <c r="M519" s="3">
        <f>Table43_1[[#This Row],[QTY 1]]+Table43_1[[#This Row],[QTY 2]]+Table43_1[[#This Row],[QTY 3]]+Table43_1[[#This Row],[QTY 4]]+Table43_1[[#This Row],[QTY 5]]</f>
        <v>0</v>
      </c>
      <c r="N519" s="3"/>
    </row>
    <row r="520" spans="1:14">
      <c r="A520" t="s">
        <v>2010</v>
      </c>
      <c r="B520" t="s">
        <v>2011</v>
      </c>
      <c r="C520">
        <v>115057</v>
      </c>
      <c r="H520" s="3">
        <f>IFERROR(VLOOKUP(Table43_1[[#This Row],[PCPL KODE 1]],#REF!,3,0),0)</f>
        <v>0</v>
      </c>
      <c r="I520" s="3">
        <f>IFERROR(VLOOKUP(Table43_1[[#This Row],[PCPL KODE 2]],#REF!,3,0),0)</f>
        <v>0</v>
      </c>
      <c r="J520" s="3">
        <f>IFERROR(VLOOKUP(Table43_1[[#This Row],[PCPL KODE 3]],#REF!,3,0),0)</f>
        <v>0</v>
      </c>
      <c r="K520" s="3">
        <f>IFERROR(VLOOKUP(Table43_1[[#This Row],[PCPL KODE 4]],#REF!,3,0),0)</f>
        <v>0</v>
      </c>
      <c r="L520" s="3">
        <f>IFERROR(VLOOKUP(Table43_1[[#This Row],[PCPL KODE 5]],#REF!,3,0),0)</f>
        <v>0</v>
      </c>
      <c r="M520" s="3">
        <f>Table43_1[[#This Row],[QTY 1]]+Table43_1[[#This Row],[QTY 2]]+Table43_1[[#This Row],[QTY 3]]+Table43_1[[#This Row],[QTY 4]]+Table43_1[[#This Row],[QTY 5]]</f>
        <v>0</v>
      </c>
      <c r="N520" s="3"/>
    </row>
    <row r="521" spans="1:14">
      <c r="A521" t="s">
        <v>2012</v>
      </c>
      <c r="B521" t="s">
        <v>2013</v>
      </c>
      <c r="C521">
        <v>115050</v>
      </c>
      <c r="H521" s="3">
        <f>IFERROR(VLOOKUP(Table43_1[[#This Row],[PCPL KODE 1]],#REF!,3,0),0)</f>
        <v>0</v>
      </c>
      <c r="I521" s="3">
        <f>IFERROR(VLOOKUP(Table43_1[[#This Row],[PCPL KODE 2]],#REF!,3,0),0)</f>
        <v>0</v>
      </c>
      <c r="J521" s="3">
        <f>IFERROR(VLOOKUP(Table43_1[[#This Row],[PCPL KODE 3]],#REF!,3,0),0)</f>
        <v>0</v>
      </c>
      <c r="K521" s="3">
        <f>IFERROR(VLOOKUP(Table43_1[[#This Row],[PCPL KODE 4]],#REF!,3,0),0)</f>
        <v>0</v>
      </c>
      <c r="L521" s="3">
        <f>IFERROR(VLOOKUP(Table43_1[[#This Row],[PCPL KODE 5]],#REF!,3,0),0)</f>
        <v>0</v>
      </c>
      <c r="M521" s="3">
        <f>Table43_1[[#This Row],[QTY 1]]+Table43_1[[#This Row],[QTY 2]]+Table43_1[[#This Row],[QTY 3]]+Table43_1[[#This Row],[QTY 4]]+Table43_1[[#This Row],[QTY 5]]</f>
        <v>0</v>
      </c>
      <c r="N521" s="3"/>
    </row>
    <row r="522" spans="1:14">
      <c r="A522" t="s">
        <v>2014</v>
      </c>
      <c r="B522" t="s">
        <v>3538</v>
      </c>
      <c r="C522">
        <v>115049</v>
      </c>
      <c r="H522" s="3">
        <f>IFERROR(VLOOKUP(Table43_1[[#This Row],[PCPL KODE 1]],#REF!,3,0),0)</f>
        <v>0</v>
      </c>
      <c r="I522" s="3">
        <f>IFERROR(VLOOKUP(Table43_1[[#This Row],[PCPL KODE 2]],#REF!,3,0),0)</f>
        <v>0</v>
      </c>
      <c r="J522" s="3">
        <f>IFERROR(VLOOKUP(Table43_1[[#This Row],[PCPL KODE 3]],#REF!,3,0),0)</f>
        <v>0</v>
      </c>
      <c r="K522" s="3">
        <f>IFERROR(VLOOKUP(Table43_1[[#This Row],[PCPL KODE 4]],#REF!,3,0),0)</f>
        <v>0</v>
      </c>
      <c r="L522" s="3">
        <f>IFERROR(VLOOKUP(Table43_1[[#This Row],[PCPL KODE 5]],#REF!,3,0),0)</f>
        <v>0</v>
      </c>
      <c r="M522" s="3">
        <f>Table43_1[[#This Row],[QTY 1]]+Table43_1[[#This Row],[QTY 2]]+Table43_1[[#This Row],[QTY 3]]+Table43_1[[#This Row],[QTY 4]]+Table43_1[[#This Row],[QTY 5]]</f>
        <v>0</v>
      </c>
      <c r="N522" s="3"/>
    </row>
    <row r="523" spans="1:14">
      <c r="A523" t="s">
        <v>2016</v>
      </c>
      <c r="B523" t="s">
        <v>2017</v>
      </c>
      <c r="C523">
        <v>115056</v>
      </c>
      <c r="H523" s="3">
        <f>IFERROR(VLOOKUP(Table43_1[[#This Row],[PCPL KODE 1]],#REF!,3,0),0)</f>
        <v>0</v>
      </c>
      <c r="I523" s="3">
        <f>IFERROR(VLOOKUP(Table43_1[[#This Row],[PCPL KODE 2]],#REF!,3,0),0)</f>
        <v>0</v>
      </c>
      <c r="J523" s="3">
        <f>IFERROR(VLOOKUP(Table43_1[[#This Row],[PCPL KODE 3]],#REF!,3,0),0)</f>
        <v>0</v>
      </c>
      <c r="K523" s="3">
        <f>IFERROR(VLOOKUP(Table43_1[[#This Row],[PCPL KODE 4]],#REF!,3,0),0)</f>
        <v>0</v>
      </c>
      <c r="L523" s="3">
        <f>IFERROR(VLOOKUP(Table43_1[[#This Row],[PCPL KODE 5]],#REF!,3,0),0)</f>
        <v>0</v>
      </c>
      <c r="M523" s="3">
        <f>Table43_1[[#This Row],[QTY 1]]+Table43_1[[#This Row],[QTY 2]]+Table43_1[[#This Row],[QTY 3]]+Table43_1[[#This Row],[QTY 4]]+Table43_1[[#This Row],[QTY 5]]</f>
        <v>0</v>
      </c>
      <c r="N523" s="3"/>
    </row>
    <row r="524" spans="1:14">
      <c r="A524" t="s">
        <v>2018</v>
      </c>
      <c r="B524" t="s">
        <v>3539</v>
      </c>
      <c r="C524">
        <v>115051</v>
      </c>
      <c r="H524" s="3">
        <f>IFERROR(VLOOKUP(Table43_1[[#This Row],[PCPL KODE 1]],#REF!,3,0),0)</f>
        <v>0</v>
      </c>
      <c r="I524" s="3">
        <f>IFERROR(VLOOKUP(Table43_1[[#This Row],[PCPL KODE 2]],#REF!,3,0),0)</f>
        <v>0</v>
      </c>
      <c r="J524" s="3">
        <f>IFERROR(VLOOKUP(Table43_1[[#This Row],[PCPL KODE 3]],#REF!,3,0),0)</f>
        <v>0</v>
      </c>
      <c r="K524" s="3">
        <f>IFERROR(VLOOKUP(Table43_1[[#This Row],[PCPL KODE 4]],#REF!,3,0),0)</f>
        <v>0</v>
      </c>
      <c r="L524" s="3">
        <f>IFERROR(VLOOKUP(Table43_1[[#This Row],[PCPL KODE 5]],#REF!,3,0),0)</f>
        <v>0</v>
      </c>
      <c r="M524" s="3">
        <f>Table43_1[[#This Row],[QTY 1]]+Table43_1[[#This Row],[QTY 2]]+Table43_1[[#This Row],[QTY 3]]+Table43_1[[#This Row],[QTY 4]]+Table43_1[[#This Row],[QTY 5]]</f>
        <v>0</v>
      </c>
      <c r="N524" s="3"/>
    </row>
    <row r="525" spans="1:14">
      <c r="A525" t="s">
        <v>2020</v>
      </c>
      <c r="B525" t="s">
        <v>2021</v>
      </c>
      <c r="C525">
        <v>115052</v>
      </c>
      <c r="H525" s="3">
        <f>IFERROR(VLOOKUP(Table43_1[[#This Row],[PCPL KODE 1]],#REF!,3,0),0)</f>
        <v>0</v>
      </c>
      <c r="I525" s="3">
        <f>IFERROR(VLOOKUP(Table43_1[[#This Row],[PCPL KODE 2]],#REF!,3,0),0)</f>
        <v>0</v>
      </c>
      <c r="J525" s="3">
        <f>IFERROR(VLOOKUP(Table43_1[[#This Row],[PCPL KODE 3]],#REF!,3,0),0)</f>
        <v>0</v>
      </c>
      <c r="K525" s="3">
        <f>IFERROR(VLOOKUP(Table43_1[[#This Row],[PCPL KODE 4]],#REF!,3,0),0)</f>
        <v>0</v>
      </c>
      <c r="L525" s="3">
        <f>IFERROR(VLOOKUP(Table43_1[[#This Row],[PCPL KODE 5]],#REF!,3,0),0)</f>
        <v>0</v>
      </c>
      <c r="M525" s="3">
        <f>Table43_1[[#This Row],[QTY 1]]+Table43_1[[#This Row],[QTY 2]]+Table43_1[[#This Row],[QTY 3]]+Table43_1[[#This Row],[QTY 4]]+Table43_1[[#This Row],[QTY 5]]</f>
        <v>0</v>
      </c>
      <c r="N525" s="3"/>
    </row>
    <row r="526" spans="1:14">
      <c r="A526" t="s">
        <v>2022</v>
      </c>
      <c r="B526" t="s">
        <v>2023</v>
      </c>
      <c r="C526">
        <v>115054</v>
      </c>
      <c r="H526" s="3">
        <f>IFERROR(VLOOKUP(Table43_1[[#This Row],[PCPL KODE 1]],#REF!,3,0),0)</f>
        <v>0</v>
      </c>
      <c r="I526" s="3">
        <f>IFERROR(VLOOKUP(Table43_1[[#This Row],[PCPL KODE 2]],#REF!,3,0),0)</f>
        <v>0</v>
      </c>
      <c r="J526" s="3">
        <f>IFERROR(VLOOKUP(Table43_1[[#This Row],[PCPL KODE 3]],#REF!,3,0),0)</f>
        <v>0</v>
      </c>
      <c r="K526" s="3">
        <f>IFERROR(VLOOKUP(Table43_1[[#This Row],[PCPL KODE 4]],#REF!,3,0),0)</f>
        <v>0</v>
      </c>
      <c r="L526" s="3">
        <f>IFERROR(VLOOKUP(Table43_1[[#This Row],[PCPL KODE 5]],#REF!,3,0),0)</f>
        <v>0</v>
      </c>
      <c r="M526" s="3">
        <f>Table43_1[[#This Row],[QTY 1]]+Table43_1[[#This Row],[QTY 2]]+Table43_1[[#This Row],[QTY 3]]+Table43_1[[#This Row],[QTY 4]]+Table43_1[[#This Row],[QTY 5]]</f>
        <v>0</v>
      </c>
      <c r="N526" s="3"/>
    </row>
    <row r="527" spans="1:14">
      <c r="A527" t="s">
        <v>2024</v>
      </c>
      <c r="B527" t="s">
        <v>2025</v>
      </c>
      <c r="C527">
        <v>115053</v>
      </c>
      <c r="H527" s="3">
        <f>IFERROR(VLOOKUP(Table43_1[[#This Row],[PCPL KODE 1]],#REF!,3,0),0)</f>
        <v>0</v>
      </c>
      <c r="I527" s="3">
        <f>IFERROR(VLOOKUP(Table43_1[[#This Row],[PCPL KODE 2]],#REF!,3,0),0)</f>
        <v>0</v>
      </c>
      <c r="J527" s="3">
        <f>IFERROR(VLOOKUP(Table43_1[[#This Row],[PCPL KODE 3]],#REF!,3,0),0)</f>
        <v>0</v>
      </c>
      <c r="K527" s="3">
        <f>IFERROR(VLOOKUP(Table43_1[[#This Row],[PCPL KODE 4]],#REF!,3,0),0)</f>
        <v>0</v>
      </c>
      <c r="L527" s="3">
        <f>IFERROR(VLOOKUP(Table43_1[[#This Row],[PCPL KODE 5]],#REF!,3,0),0)</f>
        <v>0</v>
      </c>
      <c r="M527" s="3">
        <f>Table43_1[[#This Row],[QTY 1]]+Table43_1[[#This Row],[QTY 2]]+Table43_1[[#This Row],[QTY 3]]+Table43_1[[#This Row],[QTY 4]]+Table43_1[[#This Row],[QTY 5]]</f>
        <v>0</v>
      </c>
      <c r="N527" s="3"/>
    </row>
    <row r="528" spans="1:14">
      <c r="A528" t="s">
        <v>2648</v>
      </c>
      <c r="B528" t="s">
        <v>3540</v>
      </c>
      <c r="C528">
        <v>115063</v>
      </c>
      <c r="H528" s="3">
        <f>IFERROR(VLOOKUP(Table43_1[[#This Row],[PCPL KODE 1]],#REF!,3,0),0)</f>
        <v>0</v>
      </c>
      <c r="I528" s="3">
        <f>IFERROR(VLOOKUP(Table43_1[[#This Row],[PCPL KODE 2]],#REF!,3,0),0)</f>
        <v>0</v>
      </c>
      <c r="J528" s="3">
        <f>IFERROR(VLOOKUP(Table43_1[[#This Row],[PCPL KODE 3]],#REF!,3,0),0)</f>
        <v>0</v>
      </c>
      <c r="K528" s="3">
        <f>IFERROR(VLOOKUP(Table43_1[[#This Row],[PCPL KODE 4]],#REF!,3,0),0)</f>
        <v>0</v>
      </c>
      <c r="L528" s="3">
        <f>IFERROR(VLOOKUP(Table43_1[[#This Row],[PCPL KODE 5]],#REF!,3,0),0)</f>
        <v>0</v>
      </c>
      <c r="M528" s="3">
        <f>Table43_1[[#This Row],[QTY 1]]+Table43_1[[#This Row],[QTY 2]]+Table43_1[[#This Row],[QTY 3]]+Table43_1[[#This Row],[QTY 4]]+Table43_1[[#This Row],[QTY 5]]</f>
        <v>0</v>
      </c>
      <c r="N528" s="3"/>
    </row>
    <row r="529" spans="1:14">
      <c r="A529" t="s">
        <v>2649</v>
      </c>
      <c r="B529" t="s">
        <v>3541</v>
      </c>
      <c r="C529">
        <v>115064</v>
      </c>
      <c r="H529" s="3">
        <f>IFERROR(VLOOKUP(Table43_1[[#This Row],[PCPL KODE 1]],#REF!,3,0),0)</f>
        <v>0</v>
      </c>
      <c r="I529" s="3">
        <f>IFERROR(VLOOKUP(Table43_1[[#This Row],[PCPL KODE 2]],#REF!,3,0),0)</f>
        <v>0</v>
      </c>
      <c r="J529" s="3">
        <f>IFERROR(VLOOKUP(Table43_1[[#This Row],[PCPL KODE 3]],#REF!,3,0),0)</f>
        <v>0</v>
      </c>
      <c r="K529" s="3">
        <f>IFERROR(VLOOKUP(Table43_1[[#This Row],[PCPL KODE 4]],#REF!,3,0),0)</f>
        <v>0</v>
      </c>
      <c r="L529" s="3">
        <f>IFERROR(VLOOKUP(Table43_1[[#This Row],[PCPL KODE 5]],#REF!,3,0),0)</f>
        <v>0</v>
      </c>
      <c r="M529" s="3">
        <f>Table43_1[[#This Row],[QTY 1]]+Table43_1[[#This Row],[QTY 2]]+Table43_1[[#This Row],[QTY 3]]+Table43_1[[#This Row],[QTY 4]]+Table43_1[[#This Row],[QTY 5]]</f>
        <v>0</v>
      </c>
      <c r="N529" s="3"/>
    </row>
    <row r="530" spans="1:14">
      <c r="A530" t="s">
        <v>2650</v>
      </c>
      <c r="B530" t="s">
        <v>3542</v>
      </c>
      <c r="C530">
        <v>115065</v>
      </c>
      <c r="H530" s="3">
        <f>IFERROR(VLOOKUP(Table43_1[[#This Row],[PCPL KODE 1]],#REF!,3,0),0)</f>
        <v>0</v>
      </c>
      <c r="I530" s="3">
        <f>IFERROR(VLOOKUP(Table43_1[[#This Row],[PCPL KODE 2]],#REF!,3,0),0)</f>
        <v>0</v>
      </c>
      <c r="J530" s="3">
        <f>IFERROR(VLOOKUP(Table43_1[[#This Row],[PCPL KODE 3]],#REF!,3,0),0)</f>
        <v>0</v>
      </c>
      <c r="K530" s="3">
        <f>IFERROR(VLOOKUP(Table43_1[[#This Row],[PCPL KODE 4]],#REF!,3,0),0)</f>
        <v>0</v>
      </c>
      <c r="L530" s="3">
        <f>IFERROR(VLOOKUP(Table43_1[[#This Row],[PCPL KODE 5]],#REF!,3,0),0)</f>
        <v>0</v>
      </c>
      <c r="M530" s="3">
        <f>Table43_1[[#This Row],[QTY 1]]+Table43_1[[#This Row],[QTY 2]]+Table43_1[[#This Row],[QTY 3]]+Table43_1[[#This Row],[QTY 4]]+Table43_1[[#This Row],[QTY 5]]</f>
        <v>0</v>
      </c>
      <c r="N530" s="3"/>
    </row>
    <row r="531" spans="1:14">
      <c r="A531" t="s">
        <v>2651</v>
      </c>
      <c r="B531" t="s">
        <v>3543</v>
      </c>
      <c r="C531">
        <v>115066</v>
      </c>
      <c r="H531" s="3">
        <f>IFERROR(VLOOKUP(Table43_1[[#This Row],[PCPL KODE 1]],#REF!,3,0),0)</f>
        <v>0</v>
      </c>
      <c r="I531" s="3">
        <f>IFERROR(VLOOKUP(Table43_1[[#This Row],[PCPL KODE 2]],#REF!,3,0),0)</f>
        <v>0</v>
      </c>
      <c r="J531" s="3">
        <f>IFERROR(VLOOKUP(Table43_1[[#This Row],[PCPL KODE 3]],#REF!,3,0),0)</f>
        <v>0</v>
      </c>
      <c r="K531" s="3">
        <f>IFERROR(VLOOKUP(Table43_1[[#This Row],[PCPL KODE 4]],#REF!,3,0),0)</f>
        <v>0</v>
      </c>
      <c r="L531" s="3">
        <f>IFERROR(VLOOKUP(Table43_1[[#This Row],[PCPL KODE 5]],#REF!,3,0),0)</f>
        <v>0</v>
      </c>
      <c r="M531" s="3">
        <f>Table43_1[[#This Row],[QTY 1]]+Table43_1[[#This Row],[QTY 2]]+Table43_1[[#This Row],[QTY 3]]+Table43_1[[#This Row],[QTY 4]]+Table43_1[[#This Row],[QTY 5]]</f>
        <v>0</v>
      </c>
      <c r="N531" s="3"/>
    </row>
    <row r="532" spans="1:14">
      <c r="A532" t="s">
        <v>2026</v>
      </c>
      <c r="B532" t="s">
        <v>2424</v>
      </c>
      <c r="C532">
        <v>115004</v>
      </c>
      <c r="H532" s="3">
        <f>IFERROR(VLOOKUP(Table43_1[[#This Row],[PCPL KODE 1]],#REF!,3,0),0)</f>
        <v>0</v>
      </c>
      <c r="I532" s="3">
        <f>IFERROR(VLOOKUP(Table43_1[[#This Row],[PCPL KODE 2]],#REF!,3,0),0)</f>
        <v>0</v>
      </c>
      <c r="J532" s="3">
        <f>IFERROR(VLOOKUP(Table43_1[[#This Row],[PCPL KODE 3]],#REF!,3,0),0)</f>
        <v>0</v>
      </c>
      <c r="K532" s="3">
        <f>IFERROR(VLOOKUP(Table43_1[[#This Row],[PCPL KODE 4]],#REF!,3,0),0)</f>
        <v>0</v>
      </c>
      <c r="L532" s="3">
        <f>IFERROR(VLOOKUP(Table43_1[[#This Row],[PCPL KODE 5]],#REF!,3,0),0)</f>
        <v>0</v>
      </c>
      <c r="M532" s="3">
        <f>Table43_1[[#This Row],[QTY 1]]+Table43_1[[#This Row],[QTY 2]]+Table43_1[[#This Row],[QTY 3]]+Table43_1[[#This Row],[QTY 4]]+Table43_1[[#This Row],[QTY 5]]</f>
        <v>0</v>
      </c>
      <c r="N532" s="3"/>
    </row>
    <row r="533" spans="1:14">
      <c r="A533" t="s">
        <v>2027</v>
      </c>
      <c r="B533" t="s">
        <v>2028</v>
      </c>
      <c r="C533">
        <v>115003</v>
      </c>
      <c r="H533" s="3">
        <f>IFERROR(VLOOKUP(Table43_1[[#This Row],[PCPL KODE 1]],#REF!,3,0),0)</f>
        <v>0</v>
      </c>
      <c r="I533" s="3">
        <f>IFERROR(VLOOKUP(Table43_1[[#This Row],[PCPL KODE 2]],#REF!,3,0),0)</f>
        <v>0</v>
      </c>
      <c r="J533" s="3">
        <f>IFERROR(VLOOKUP(Table43_1[[#This Row],[PCPL KODE 3]],#REF!,3,0),0)</f>
        <v>0</v>
      </c>
      <c r="K533" s="3">
        <f>IFERROR(VLOOKUP(Table43_1[[#This Row],[PCPL KODE 4]],#REF!,3,0),0)</f>
        <v>0</v>
      </c>
      <c r="L533" s="3">
        <f>IFERROR(VLOOKUP(Table43_1[[#This Row],[PCPL KODE 5]],#REF!,3,0),0)</f>
        <v>0</v>
      </c>
      <c r="M533" s="3">
        <f>Table43_1[[#This Row],[QTY 1]]+Table43_1[[#This Row],[QTY 2]]+Table43_1[[#This Row],[QTY 3]]+Table43_1[[#This Row],[QTY 4]]+Table43_1[[#This Row],[QTY 5]]</f>
        <v>0</v>
      </c>
      <c r="N533" s="3"/>
    </row>
    <row r="534" spans="1:14">
      <c r="A534" t="s">
        <v>2029</v>
      </c>
      <c r="B534" t="s">
        <v>2030</v>
      </c>
      <c r="C534">
        <v>115061</v>
      </c>
      <c r="H534" s="3">
        <f>IFERROR(VLOOKUP(Table43_1[[#This Row],[PCPL KODE 1]],#REF!,3,0),0)</f>
        <v>0</v>
      </c>
      <c r="I534" s="3">
        <f>IFERROR(VLOOKUP(Table43_1[[#This Row],[PCPL KODE 2]],#REF!,3,0),0)</f>
        <v>0</v>
      </c>
      <c r="J534" s="3">
        <f>IFERROR(VLOOKUP(Table43_1[[#This Row],[PCPL KODE 3]],#REF!,3,0),0)</f>
        <v>0</v>
      </c>
      <c r="K534" s="3">
        <f>IFERROR(VLOOKUP(Table43_1[[#This Row],[PCPL KODE 4]],#REF!,3,0),0)</f>
        <v>0</v>
      </c>
      <c r="L534" s="3">
        <f>IFERROR(VLOOKUP(Table43_1[[#This Row],[PCPL KODE 5]],#REF!,3,0),0)</f>
        <v>0</v>
      </c>
      <c r="M534" s="3">
        <f>Table43_1[[#This Row],[QTY 1]]+Table43_1[[#This Row],[QTY 2]]+Table43_1[[#This Row],[QTY 3]]+Table43_1[[#This Row],[QTY 4]]+Table43_1[[#This Row],[QTY 5]]</f>
        <v>0</v>
      </c>
      <c r="N534" s="3"/>
    </row>
    <row r="535" spans="1:14">
      <c r="A535" t="s">
        <v>2440</v>
      </c>
      <c r="B535" t="s">
        <v>2442</v>
      </c>
      <c r="C535">
        <v>115062</v>
      </c>
      <c r="H535" s="3">
        <f>IFERROR(VLOOKUP(Table43_1[[#This Row],[PCPL KODE 1]],#REF!,3,0),0)</f>
        <v>0</v>
      </c>
      <c r="I535" s="3">
        <f>IFERROR(VLOOKUP(Table43_1[[#This Row],[PCPL KODE 2]],#REF!,3,0),0)</f>
        <v>0</v>
      </c>
      <c r="J535" s="3">
        <f>IFERROR(VLOOKUP(Table43_1[[#This Row],[PCPL KODE 3]],#REF!,3,0),0)</f>
        <v>0</v>
      </c>
      <c r="K535" s="3">
        <f>IFERROR(VLOOKUP(Table43_1[[#This Row],[PCPL KODE 4]],#REF!,3,0),0)</f>
        <v>0</v>
      </c>
      <c r="L535" s="3">
        <f>IFERROR(VLOOKUP(Table43_1[[#This Row],[PCPL KODE 5]],#REF!,3,0),0)</f>
        <v>0</v>
      </c>
      <c r="M535" s="3">
        <f>Table43_1[[#This Row],[QTY 1]]+Table43_1[[#This Row],[QTY 2]]+Table43_1[[#This Row],[QTY 3]]+Table43_1[[#This Row],[QTY 4]]+Table43_1[[#This Row],[QTY 5]]</f>
        <v>0</v>
      </c>
      <c r="N535" s="3"/>
    </row>
    <row r="536" spans="1:14">
      <c r="A536" t="s">
        <v>2031</v>
      </c>
      <c r="B536" t="s">
        <v>2032</v>
      </c>
      <c r="C536">
        <v>115002</v>
      </c>
      <c r="H536" s="3">
        <f>IFERROR(VLOOKUP(Table43_1[[#This Row],[PCPL KODE 1]],#REF!,3,0),0)</f>
        <v>0</v>
      </c>
      <c r="I536" s="3">
        <f>IFERROR(VLOOKUP(Table43_1[[#This Row],[PCPL KODE 2]],#REF!,3,0),0)</f>
        <v>0</v>
      </c>
      <c r="J536" s="3">
        <f>IFERROR(VLOOKUP(Table43_1[[#This Row],[PCPL KODE 3]],#REF!,3,0),0)</f>
        <v>0</v>
      </c>
      <c r="K536" s="3">
        <f>IFERROR(VLOOKUP(Table43_1[[#This Row],[PCPL KODE 4]],#REF!,3,0),0)</f>
        <v>0</v>
      </c>
      <c r="L536" s="3">
        <f>IFERROR(VLOOKUP(Table43_1[[#This Row],[PCPL KODE 5]],#REF!,3,0),0)</f>
        <v>0</v>
      </c>
      <c r="M536" s="3">
        <f>Table43_1[[#This Row],[QTY 1]]+Table43_1[[#This Row],[QTY 2]]+Table43_1[[#This Row],[QTY 3]]+Table43_1[[#This Row],[QTY 4]]+Table43_1[[#This Row],[QTY 5]]</f>
        <v>0</v>
      </c>
      <c r="N536" s="3"/>
    </row>
    <row r="537" spans="1:14">
      <c r="A537" t="s">
        <v>2033</v>
      </c>
      <c r="B537" t="s">
        <v>2034</v>
      </c>
      <c r="C537">
        <v>115001</v>
      </c>
      <c r="H537" s="3">
        <f>IFERROR(VLOOKUP(Table43_1[[#This Row],[PCPL KODE 1]],#REF!,3,0),0)</f>
        <v>0</v>
      </c>
      <c r="I537" s="3">
        <f>IFERROR(VLOOKUP(Table43_1[[#This Row],[PCPL KODE 2]],#REF!,3,0),0)</f>
        <v>0</v>
      </c>
      <c r="J537" s="3">
        <f>IFERROR(VLOOKUP(Table43_1[[#This Row],[PCPL KODE 3]],#REF!,3,0),0)</f>
        <v>0</v>
      </c>
      <c r="K537" s="3">
        <f>IFERROR(VLOOKUP(Table43_1[[#This Row],[PCPL KODE 4]],#REF!,3,0),0)</f>
        <v>0</v>
      </c>
      <c r="L537" s="3">
        <f>IFERROR(VLOOKUP(Table43_1[[#This Row],[PCPL KODE 5]],#REF!,3,0),0)</f>
        <v>0</v>
      </c>
      <c r="M537" s="3">
        <f>Table43_1[[#This Row],[QTY 1]]+Table43_1[[#This Row],[QTY 2]]+Table43_1[[#This Row],[QTY 3]]+Table43_1[[#This Row],[QTY 4]]+Table43_1[[#This Row],[QTY 5]]</f>
        <v>0</v>
      </c>
      <c r="N537" s="3"/>
    </row>
    <row r="538" spans="1:14">
      <c r="A538" t="s">
        <v>2035</v>
      </c>
      <c r="B538" t="s">
        <v>3544</v>
      </c>
      <c r="C538">
        <v>115023</v>
      </c>
      <c r="H538" s="3">
        <f>IFERROR(VLOOKUP(Table43_1[[#This Row],[PCPL KODE 1]],#REF!,3,0),0)</f>
        <v>0</v>
      </c>
      <c r="I538" s="3">
        <f>IFERROR(VLOOKUP(Table43_1[[#This Row],[PCPL KODE 2]],#REF!,3,0),0)</f>
        <v>0</v>
      </c>
      <c r="J538" s="3">
        <f>IFERROR(VLOOKUP(Table43_1[[#This Row],[PCPL KODE 3]],#REF!,3,0),0)</f>
        <v>0</v>
      </c>
      <c r="K538" s="3">
        <f>IFERROR(VLOOKUP(Table43_1[[#This Row],[PCPL KODE 4]],#REF!,3,0),0)</f>
        <v>0</v>
      </c>
      <c r="L538" s="3">
        <f>IFERROR(VLOOKUP(Table43_1[[#This Row],[PCPL KODE 5]],#REF!,3,0),0)</f>
        <v>0</v>
      </c>
      <c r="M538" s="3">
        <f>Table43_1[[#This Row],[QTY 1]]+Table43_1[[#This Row],[QTY 2]]+Table43_1[[#This Row],[QTY 3]]+Table43_1[[#This Row],[QTY 4]]+Table43_1[[#This Row],[QTY 5]]</f>
        <v>0</v>
      </c>
      <c r="N538" s="3"/>
    </row>
    <row r="539" spans="1:14">
      <c r="A539" t="s">
        <v>2435</v>
      </c>
      <c r="B539" t="s">
        <v>2443</v>
      </c>
      <c r="C539">
        <v>115007</v>
      </c>
      <c r="H539" s="3">
        <f>IFERROR(VLOOKUP(Table43_1[[#This Row],[PCPL KODE 1]],#REF!,3,0),0)</f>
        <v>0</v>
      </c>
      <c r="I539" s="3">
        <f>IFERROR(VLOOKUP(Table43_1[[#This Row],[PCPL KODE 2]],#REF!,3,0),0)</f>
        <v>0</v>
      </c>
      <c r="J539" s="3">
        <f>IFERROR(VLOOKUP(Table43_1[[#This Row],[PCPL KODE 3]],#REF!,3,0),0)</f>
        <v>0</v>
      </c>
      <c r="K539" s="3">
        <f>IFERROR(VLOOKUP(Table43_1[[#This Row],[PCPL KODE 4]],#REF!,3,0),0)</f>
        <v>0</v>
      </c>
      <c r="L539" s="3">
        <f>IFERROR(VLOOKUP(Table43_1[[#This Row],[PCPL KODE 5]],#REF!,3,0),0)</f>
        <v>0</v>
      </c>
      <c r="M539" s="3">
        <f>Table43_1[[#This Row],[QTY 1]]+Table43_1[[#This Row],[QTY 2]]+Table43_1[[#This Row],[QTY 3]]+Table43_1[[#This Row],[QTY 4]]+Table43_1[[#This Row],[QTY 5]]</f>
        <v>0</v>
      </c>
      <c r="N539" s="3"/>
    </row>
    <row r="540" spans="1:14">
      <c r="A540" t="s">
        <v>2036</v>
      </c>
      <c r="B540" t="s">
        <v>2426</v>
      </c>
      <c r="C540">
        <v>115006</v>
      </c>
      <c r="H540" s="3">
        <f>IFERROR(VLOOKUP(Table43_1[[#This Row],[PCPL KODE 1]],#REF!,3,0),0)</f>
        <v>0</v>
      </c>
      <c r="I540" s="3">
        <f>IFERROR(VLOOKUP(Table43_1[[#This Row],[PCPL KODE 2]],#REF!,3,0),0)</f>
        <v>0</v>
      </c>
      <c r="J540" s="3">
        <f>IFERROR(VLOOKUP(Table43_1[[#This Row],[PCPL KODE 3]],#REF!,3,0),0)</f>
        <v>0</v>
      </c>
      <c r="K540" s="3">
        <f>IFERROR(VLOOKUP(Table43_1[[#This Row],[PCPL KODE 4]],#REF!,3,0),0)</f>
        <v>0</v>
      </c>
      <c r="L540" s="3">
        <f>IFERROR(VLOOKUP(Table43_1[[#This Row],[PCPL KODE 5]],#REF!,3,0),0)</f>
        <v>0</v>
      </c>
      <c r="M540" s="3">
        <f>Table43_1[[#This Row],[QTY 1]]+Table43_1[[#This Row],[QTY 2]]+Table43_1[[#This Row],[QTY 3]]+Table43_1[[#This Row],[QTY 4]]+Table43_1[[#This Row],[QTY 5]]</f>
        <v>0</v>
      </c>
      <c r="N540" s="3"/>
    </row>
    <row r="541" spans="1:14">
      <c r="A541" t="s">
        <v>2037</v>
      </c>
      <c r="B541" t="s">
        <v>2038</v>
      </c>
      <c r="C541">
        <v>115005</v>
      </c>
      <c r="H541" s="3">
        <f>IFERROR(VLOOKUP(Table43_1[[#This Row],[PCPL KODE 1]],#REF!,3,0),0)</f>
        <v>0</v>
      </c>
      <c r="I541" s="3">
        <f>IFERROR(VLOOKUP(Table43_1[[#This Row],[PCPL KODE 2]],#REF!,3,0),0)</f>
        <v>0</v>
      </c>
      <c r="J541" s="3">
        <f>IFERROR(VLOOKUP(Table43_1[[#This Row],[PCPL KODE 3]],#REF!,3,0),0)</f>
        <v>0</v>
      </c>
      <c r="K541" s="3">
        <f>IFERROR(VLOOKUP(Table43_1[[#This Row],[PCPL KODE 4]],#REF!,3,0),0)</f>
        <v>0</v>
      </c>
      <c r="L541" s="3">
        <f>IFERROR(VLOOKUP(Table43_1[[#This Row],[PCPL KODE 5]],#REF!,3,0),0)</f>
        <v>0</v>
      </c>
      <c r="M541" s="3">
        <f>Table43_1[[#This Row],[QTY 1]]+Table43_1[[#This Row],[QTY 2]]+Table43_1[[#This Row],[QTY 3]]+Table43_1[[#This Row],[QTY 4]]+Table43_1[[#This Row],[QTY 5]]</f>
        <v>0</v>
      </c>
      <c r="N541" s="3"/>
    </row>
    <row r="542" spans="1:14">
      <c r="A542" t="s">
        <v>2039</v>
      </c>
      <c r="B542" t="s">
        <v>3545</v>
      </c>
      <c r="C542">
        <v>115024</v>
      </c>
      <c r="H542" s="3">
        <f>IFERROR(VLOOKUP(Table43_1[[#This Row],[PCPL KODE 1]],#REF!,3,0),0)</f>
        <v>0</v>
      </c>
      <c r="I542" s="3">
        <f>IFERROR(VLOOKUP(Table43_1[[#This Row],[PCPL KODE 2]],#REF!,3,0),0)</f>
        <v>0</v>
      </c>
      <c r="J542" s="3">
        <f>IFERROR(VLOOKUP(Table43_1[[#This Row],[PCPL KODE 3]],#REF!,3,0),0)</f>
        <v>0</v>
      </c>
      <c r="K542" s="3">
        <f>IFERROR(VLOOKUP(Table43_1[[#This Row],[PCPL KODE 4]],#REF!,3,0),0)</f>
        <v>0</v>
      </c>
      <c r="L542" s="3">
        <f>IFERROR(VLOOKUP(Table43_1[[#This Row],[PCPL KODE 5]],#REF!,3,0),0)</f>
        <v>0</v>
      </c>
      <c r="M542" s="3">
        <f>Table43_1[[#This Row],[QTY 1]]+Table43_1[[#This Row],[QTY 2]]+Table43_1[[#This Row],[QTY 3]]+Table43_1[[#This Row],[QTY 4]]+Table43_1[[#This Row],[QTY 5]]</f>
        <v>0</v>
      </c>
      <c r="N542" s="3"/>
    </row>
    <row r="543" spans="1:14">
      <c r="A543" t="s">
        <v>2040</v>
      </c>
      <c r="B543" t="s">
        <v>2041</v>
      </c>
      <c r="C543">
        <v>115025</v>
      </c>
      <c r="H543" s="3">
        <f>IFERROR(VLOOKUP(Table43_1[[#This Row],[PCPL KODE 1]],#REF!,3,0),0)</f>
        <v>0</v>
      </c>
      <c r="I543" s="3">
        <f>IFERROR(VLOOKUP(Table43_1[[#This Row],[PCPL KODE 2]],#REF!,3,0),0)</f>
        <v>0</v>
      </c>
      <c r="J543" s="3">
        <f>IFERROR(VLOOKUP(Table43_1[[#This Row],[PCPL KODE 3]],#REF!,3,0),0)</f>
        <v>0</v>
      </c>
      <c r="K543" s="3">
        <f>IFERROR(VLOOKUP(Table43_1[[#This Row],[PCPL KODE 4]],#REF!,3,0),0)</f>
        <v>0</v>
      </c>
      <c r="L543" s="3">
        <f>IFERROR(VLOOKUP(Table43_1[[#This Row],[PCPL KODE 5]],#REF!,3,0),0)</f>
        <v>0</v>
      </c>
      <c r="M543" s="3">
        <f>Table43_1[[#This Row],[QTY 1]]+Table43_1[[#This Row],[QTY 2]]+Table43_1[[#This Row],[QTY 3]]+Table43_1[[#This Row],[QTY 4]]+Table43_1[[#This Row],[QTY 5]]</f>
        <v>0</v>
      </c>
      <c r="N543" s="3"/>
    </row>
    <row r="544" spans="1:14">
      <c r="A544" t="s">
        <v>2042</v>
      </c>
      <c r="B544" t="s">
        <v>2043</v>
      </c>
      <c r="C544" t="s">
        <v>2636</v>
      </c>
      <c r="D544" t="s">
        <v>2635</v>
      </c>
      <c r="H544" s="3">
        <f>IFERROR(VLOOKUP(Table43_1[[#This Row],[PCPL KODE 1]],#REF!,3,0),0)</f>
        <v>0</v>
      </c>
      <c r="I544" s="3">
        <f>IFERROR(VLOOKUP(Table43_1[[#This Row],[PCPL KODE 2]],#REF!,3,0),0)</f>
        <v>0</v>
      </c>
      <c r="J544" s="3">
        <f>IFERROR(VLOOKUP(Table43_1[[#This Row],[PCPL KODE 3]],#REF!,3,0),0)</f>
        <v>0</v>
      </c>
      <c r="K544" s="3">
        <f>IFERROR(VLOOKUP(Table43_1[[#This Row],[PCPL KODE 4]],#REF!,3,0),0)</f>
        <v>0</v>
      </c>
      <c r="L544" s="3">
        <f>IFERROR(VLOOKUP(Table43_1[[#This Row],[PCPL KODE 5]],#REF!,3,0),0)</f>
        <v>0</v>
      </c>
      <c r="M544" s="3">
        <f>Table43_1[[#This Row],[QTY 1]]+Table43_1[[#This Row],[QTY 2]]+Table43_1[[#This Row],[QTY 3]]+Table43_1[[#This Row],[QTY 4]]+Table43_1[[#This Row],[QTY 5]]</f>
        <v>0</v>
      </c>
      <c r="N544" s="3"/>
    </row>
    <row r="545" spans="1:14">
      <c r="A545" t="s">
        <v>2044</v>
      </c>
      <c r="B545" t="s">
        <v>2045</v>
      </c>
      <c r="C545">
        <v>115030</v>
      </c>
      <c r="D545">
        <v>115026</v>
      </c>
      <c r="H545" s="3">
        <f>IFERROR(VLOOKUP(Table43_1[[#This Row],[PCPL KODE 1]],#REF!,3,0),0)</f>
        <v>0</v>
      </c>
      <c r="I545" s="3">
        <f>IFERROR(VLOOKUP(Table43_1[[#This Row],[PCPL KODE 2]],#REF!,3,0),0)</f>
        <v>0</v>
      </c>
      <c r="J545" s="3">
        <f>IFERROR(VLOOKUP(Table43_1[[#This Row],[PCPL KODE 3]],#REF!,3,0),0)</f>
        <v>0</v>
      </c>
      <c r="K545" s="3">
        <f>IFERROR(VLOOKUP(Table43_1[[#This Row],[PCPL KODE 4]],#REF!,3,0),0)</f>
        <v>0</v>
      </c>
      <c r="L545" s="3">
        <f>IFERROR(VLOOKUP(Table43_1[[#This Row],[PCPL KODE 5]],#REF!,3,0),0)</f>
        <v>0</v>
      </c>
      <c r="M545" s="3">
        <f>Table43_1[[#This Row],[QTY 1]]+Table43_1[[#This Row],[QTY 2]]+Table43_1[[#This Row],[QTY 3]]+Table43_1[[#This Row],[QTY 4]]+Table43_1[[#This Row],[QTY 5]]</f>
        <v>0</v>
      </c>
      <c r="N545" s="3"/>
    </row>
    <row r="546" spans="1:14">
      <c r="A546" t="s">
        <v>2046</v>
      </c>
      <c r="B546" t="s">
        <v>2047</v>
      </c>
      <c r="C546">
        <v>115040</v>
      </c>
      <c r="D546">
        <v>115039</v>
      </c>
      <c r="H546" s="3">
        <f>IFERROR(VLOOKUP(Table43_1[[#This Row],[PCPL KODE 1]],#REF!,3,0),0)</f>
        <v>0</v>
      </c>
      <c r="I546" s="3">
        <f>IFERROR(VLOOKUP(Table43_1[[#This Row],[PCPL KODE 2]],#REF!,3,0),0)</f>
        <v>0</v>
      </c>
      <c r="J546" s="3">
        <f>IFERROR(VLOOKUP(Table43_1[[#This Row],[PCPL KODE 3]],#REF!,3,0),0)</f>
        <v>0</v>
      </c>
      <c r="K546" s="3">
        <f>IFERROR(VLOOKUP(Table43_1[[#This Row],[PCPL KODE 4]],#REF!,3,0),0)</f>
        <v>0</v>
      </c>
      <c r="L546" s="3">
        <f>IFERROR(VLOOKUP(Table43_1[[#This Row],[PCPL KODE 5]],#REF!,3,0),0)</f>
        <v>0</v>
      </c>
      <c r="M546" s="3">
        <f>Table43_1[[#This Row],[QTY 1]]+Table43_1[[#This Row],[QTY 2]]+Table43_1[[#This Row],[QTY 3]]+Table43_1[[#This Row],[QTY 4]]+Table43_1[[#This Row],[QTY 5]]</f>
        <v>0</v>
      </c>
      <c r="N546" s="3"/>
    </row>
    <row r="547" spans="1:14">
      <c r="A547" t="s">
        <v>2048</v>
      </c>
      <c r="B547" t="s">
        <v>2049</v>
      </c>
      <c r="C547">
        <v>115029</v>
      </c>
      <c r="H547" s="3">
        <f>IFERROR(VLOOKUP(Table43_1[[#This Row],[PCPL KODE 1]],#REF!,3,0),0)</f>
        <v>0</v>
      </c>
      <c r="I547" s="3">
        <f>IFERROR(VLOOKUP(Table43_1[[#This Row],[PCPL KODE 2]],#REF!,3,0),0)</f>
        <v>0</v>
      </c>
      <c r="J547" s="3">
        <f>IFERROR(VLOOKUP(Table43_1[[#This Row],[PCPL KODE 3]],#REF!,3,0),0)</f>
        <v>0</v>
      </c>
      <c r="K547" s="3">
        <f>IFERROR(VLOOKUP(Table43_1[[#This Row],[PCPL KODE 4]],#REF!,3,0),0)</f>
        <v>0</v>
      </c>
      <c r="L547" s="3">
        <f>IFERROR(VLOOKUP(Table43_1[[#This Row],[PCPL KODE 5]],#REF!,3,0),0)</f>
        <v>0</v>
      </c>
      <c r="M547" s="3">
        <f>Table43_1[[#This Row],[QTY 1]]+Table43_1[[#This Row],[QTY 2]]+Table43_1[[#This Row],[QTY 3]]+Table43_1[[#This Row],[QTY 4]]+Table43_1[[#This Row],[QTY 5]]</f>
        <v>0</v>
      </c>
      <c r="N547" s="3"/>
    </row>
    <row r="548" spans="1:14">
      <c r="A548" t="s">
        <v>2050</v>
      </c>
      <c r="B548" t="s">
        <v>2051</v>
      </c>
      <c r="C548" t="s">
        <v>2637</v>
      </c>
      <c r="H548" s="3">
        <f>IFERROR(VLOOKUP(Table43_1[[#This Row],[PCPL KODE 1]],#REF!,3,0),0)</f>
        <v>0</v>
      </c>
      <c r="I548" s="3">
        <f>IFERROR(VLOOKUP(Table43_1[[#This Row],[PCPL KODE 2]],#REF!,3,0),0)</f>
        <v>0</v>
      </c>
      <c r="J548" s="3">
        <f>IFERROR(VLOOKUP(Table43_1[[#This Row],[PCPL KODE 3]],#REF!,3,0),0)</f>
        <v>0</v>
      </c>
      <c r="K548" s="3">
        <f>IFERROR(VLOOKUP(Table43_1[[#This Row],[PCPL KODE 4]],#REF!,3,0),0)</f>
        <v>0</v>
      </c>
      <c r="L548" s="3">
        <f>IFERROR(VLOOKUP(Table43_1[[#This Row],[PCPL KODE 5]],#REF!,3,0),0)</f>
        <v>0</v>
      </c>
      <c r="M548" s="3">
        <f>Table43_1[[#This Row],[QTY 1]]+Table43_1[[#This Row],[QTY 2]]+Table43_1[[#This Row],[QTY 3]]+Table43_1[[#This Row],[QTY 4]]+Table43_1[[#This Row],[QTY 5]]</f>
        <v>0</v>
      </c>
      <c r="N548" s="3"/>
    </row>
    <row r="549" spans="1:14">
      <c r="A549" t="s">
        <v>2052</v>
      </c>
      <c r="B549" t="s">
        <v>2053</v>
      </c>
      <c r="C549">
        <v>115041</v>
      </c>
      <c r="H549" s="3">
        <f>IFERROR(VLOOKUP(Table43_1[[#This Row],[PCPL KODE 1]],#REF!,3,0),0)</f>
        <v>0</v>
      </c>
      <c r="I549" s="3">
        <f>IFERROR(VLOOKUP(Table43_1[[#This Row],[PCPL KODE 2]],#REF!,3,0),0)</f>
        <v>0</v>
      </c>
      <c r="J549" s="3">
        <f>IFERROR(VLOOKUP(Table43_1[[#This Row],[PCPL KODE 3]],#REF!,3,0),0)</f>
        <v>0</v>
      </c>
      <c r="K549" s="3">
        <f>IFERROR(VLOOKUP(Table43_1[[#This Row],[PCPL KODE 4]],#REF!,3,0),0)</f>
        <v>0</v>
      </c>
      <c r="L549" s="3">
        <f>IFERROR(VLOOKUP(Table43_1[[#This Row],[PCPL KODE 5]],#REF!,3,0),0)</f>
        <v>0</v>
      </c>
      <c r="M549" s="3">
        <f>Table43_1[[#This Row],[QTY 1]]+Table43_1[[#This Row],[QTY 2]]+Table43_1[[#This Row],[QTY 3]]+Table43_1[[#This Row],[QTY 4]]+Table43_1[[#This Row],[QTY 5]]</f>
        <v>0</v>
      </c>
      <c r="N549" s="3"/>
    </row>
    <row r="550" spans="1:14">
      <c r="A550" t="s">
        <v>2054</v>
      </c>
      <c r="B550" t="s">
        <v>2055</v>
      </c>
      <c r="C550" t="s">
        <v>2638</v>
      </c>
      <c r="H550" s="3">
        <f>IFERROR(VLOOKUP(Table43_1[[#This Row],[PCPL KODE 1]],#REF!,3,0),0)</f>
        <v>0</v>
      </c>
      <c r="I550" s="3">
        <f>IFERROR(VLOOKUP(Table43_1[[#This Row],[PCPL KODE 2]],#REF!,3,0),0)</f>
        <v>0</v>
      </c>
      <c r="J550" s="3">
        <f>IFERROR(VLOOKUP(Table43_1[[#This Row],[PCPL KODE 3]],#REF!,3,0),0)</f>
        <v>0</v>
      </c>
      <c r="K550" s="3">
        <f>IFERROR(VLOOKUP(Table43_1[[#This Row],[PCPL KODE 4]],#REF!,3,0),0)</f>
        <v>0</v>
      </c>
      <c r="L550" s="3">
        <f>IFERROR(VLOOKUP(Table43_1[[#This Row],[PCPL KODE 5]],#REF!,3,0),0)</f>
        <v>0</v>
      </c>
      <c r="M550" s="3">
        <f>Table43_1[[#This Row],[QTY 1]]+Table43_1[[#This Row],[QTY 2]]+Table43_1[[#This Row],[QTY 3]]+Table43_1[[#This Row],[QTY 4]]+Table43_1[[#This Row],[QTY 5]]</f>
        <v>0</v>
      </c>
      <c r="N550" s="3"/>
    </row>
    <row r="551" spans="1:14">
      <c r="A551" t="s">
        <v>2056</v>
      </c>
      <c r="B551" t="s">
        <v>2057</v>
      </c>
      <c r="C551">
        <v>115027</v>
      </c>
      <c r="H551" s="3">
        <f>IFERROR(VLOOKUP(Table43_1[[#This Row],[PCPL KODE 1]],#REF!,3,0),0)</f>
        <v>0</v>
      </c>
      <c r="I551" s="3">
        <f>IFERROR(VLOOKUP(Table43_1[[#This Row],[PCPL KODE 2]],#REF!,3,0),0)</f>
        <v>0</v>
      </c>
      <c r="J551" s="3">
        <f>IFERROR(VLOOKUP(Table43_1[[#This Row],[PCPL KODE 3]],#REF!,3,0),0)</f>
        <v>0</v>
      </c>
      <c r="K551" s="3">
        <f>IFERROR(VLOOKUP(Table43_1[[#This Row],[PCPL KODE 4]],#REF!,3,0),0)</f>
        <v>0</v>
      </c>
      <c r="L551" s="3">
        <f>IFERROR(VLOOKUP(Table43_1[[#This Row],[PCPL KODE 5]],#REF!,3,0),0)</f>
        <v>0</v>
      </c>
      <c r="M551" s="3">
        <f>Table43_1[[#This Row],[QTY 1]]+Table43_1[[#This Row],[QTY 2]]+Table43_1[[#This Row],[QTY 3]]+Table43_1[[#This Row],[QTY 4]]+Table43_1[[#This Row],[QTY 5]]</f>
        <v>0</v>
      </c>
      <c r="N551" s="3"/>
    </row>
    <row r="552" spans="1:14">
      <c r="A552" t="s">
        <v>2058</v>
      </c>
      <c r="B552" t="s">
        <v>2059</v>
      </c>
      <c r="C552" t="s">
        <v>2640</v>
      </c>
      <c r="D552" t="s">
        <v>2639</v>
      </c>
      <c r="H552" s="3">
        <f>IFERROR(VLOOKUP(Table43_1[[#This Row],[PCPL KODE 1]],#REF!,3,0),0)</f>
        <v>0</v>
      </c>
      <c r="I552" s="3">
        <f>IFERROR(VLOOKUP(Table43_1[[#This Row],[PCPL KODE 2]],#REF!,3,0),0)</f>
        <v>0</v>
      </c>
      <c r="J552" s="3">
        <f>IFERROR(VLOOKUP(Table43_1[[#This Row],[PCPL KODE 3]],#REF!,3,0),0)</f>
        <v>0</v>
      </c>
      <c r="K552" s="3">
        <f>IFERROR(VLOOKUP(Table43_1[[#This Row],[PCPL KODE 4]],#REF!,3,0),0)</f>
        <v>0</v>
      </c>
      <c r="L552" s="3">
        <f>IFERROR(VLOOKUP(Table43_1[[#This Row],[PCPL KODE 5]],#REF!,3,0),0)</f>
        <v>0</v>
      </c>
      <c r="M552" s="3">
        <f>Table43_1[[#This Row],[QTY 1]]+Table43_1[[#This Row],[QTY 2]]+Table43_1[[#This Row],[QTY 3]]+Table43_1[[#This Row],[QTY 4]]+Table43_1[[#This Row],[QTY 5]]</f>
        <v>0</v>
      </c>
      <c r="N552" s="3"/>
    </row>
    <row r="553" spans="1:14">
      <c r="A553" t="s">
        <v>2060</v>
      </c>
      <c r="B553" t="s">
        <v>2061</v>
      </c>
      <c r="C553">
        <v>115028</v>
      </c>
      <c r="H553" s="3">
        <f>IFERROR(VLOOKUP(Table43_1[[#This Row],[PCPL KODE 1]],#REF!,3,0),0)</f>
        <v>0</v>
      </c>
      <c r="I553" s="3">
        <f>IFERROR(VLOOKUP(Table43_1[[#This Row],[PCPL KODE 2]],#REF!,3,0),0)</f>
        <v>0</v>
      </c>
      <c r="J553" s="3">
        <f>IFERROR(VLOOKUP(Table43_1[[#This Row],[PCPL KODE 3]],#REF!,3,0),0)</f>
        <v>0</v>
      </c>
      <c r="K553" s="3">
        <f>IFERROR(VLOOKUP(Table43_1[[#This Row],[PCPL KODE 4]],#REF!,3,0),0)</f>
        <v>0</v>
      </c>
      <c r="L553" s="3">
        <f>IFERROR(VLOOKUP(Table43_1[[#This Row],[PCPL KODE 5]],#REF!,3,0),0)</f>
        <v>0</v>
      </c>
      <c r="M553" s="3">
        <f>Table43_1[[#This Row],[QTY 1]]+Table43_1[[#This Row],[QTY 2]]+Table43_1[[#This Row],[QTY 3]]+Table43_1[[#This Row],[QTY 4]]+Table43_1[[#This Row],[QTY 5]]</f>
        <v>0</v>
      </c>
      <c r="N553" s="3"/>
    </row>
    <row r="554" spans="1:14">
      <c r="A554" t="s">
        <v>2062</v>
      </c>
      <c r="B554" t="s">
        <v>2063</v>
      </c>
      <c r="C554">
        <v>115038</v>
      </c>
      <c r="D554">
        <v>115037</v>
      </c>
      <c r="H554" s="3">
        <f>IFERROR(VLOOKUP(Table43_1[[#This Row],[PCPL KODE 1]],#REF!,3,0),0)</f>
        <v>0</v>
      </c>
      <c r="I554" s="3">
        <f>IFERROR(VLOOKUP(Table43_1[[#This Row],[PCPL KODE 2]],#REF!,3,0),0)</f>
        <v>0</v>
      </c>
      <c r="J554" s="3">
        <f>IFERROR(VLOOKUP(Table43_1[[#This Row],[PCPL KODE 3]],#REF!,3,0),0)</f>
        <v>0</v>
      </c>
      <c r="K554" s="3">
        <f>IFERROR(VLOOKUP(Table43_1[[#This Row],[PCPL KODE 4]],#REF!,3,0),0)</f>
        <v>0</v>
      </c>
      <c r="L554" s="3">
        <f>IFERROR(VLOOKUP(Table43_1[[#This Row],[PCPL KODE 5]],#REF!,3,0),0)</f>
        <v>0</v>
      </c>
      <c r="M554" s="3">
        <f>Table43_1[[#This Row],[QTY 1]]+Table43_1[[#This Row],[QTY 2]]+Table43_1[[#This Row],[QTY 3]]+Table43_1[[#This Row],[QTY 4]]+Table43_1[[#This Row],[QTY 5]]</f>
        <v>0</v>
      </c>
      <c r="N554" s="3"/>
    </row>
    <row r="555" spans="1:14">
      <c r="A555" t="s">
        <v>2064</v>
      </c>
      <c r="B555" t="s">
        <v>2065</v>
      </c>
      <c r="C555">
        <v>204002</v>
      </c>
      <c r="H555" s="3">
        <f>IFERROR(VLOOKUP(Table43_1[[#This Row],[PCPL KODE 1]],#REF!,3,0),0)</f>
        <v>0</v>
      </c>
      <c r="I555" s="3">
        <f>IFERROR(VLOOKUP(Table43_1[[#This Row],[PCPL KODE 2]],#REF!,3,0),0)</f>
        <v>0</v>
      </c>
      <c r="J555" s="3">
        <f>IFERROR(VLOOKUP(Table43_1[[#This Row],[PCPL KODE 3]],#REF!,3,0),0)</f>
        <v>0</v>
      </c>
      <c r="K555" s="3">
        <f>IFERROR(VLOOKUP(Table43_1[[#This Row],[PCPL KODE 4]],#REF!,3,0),0)</f>
        <v>0</v>
      </c>
      <c r="L555" s="3">
        <f>IFERROR(VLOOKUP(Table43_1[[#This Row],[PCPL KODE 5]],#REF!,3,0),0)</f>
        <v>0</v>
      </c>
      <c r="M555" s="3">
        <f>Table43_1[[#This Row],[QTY 1]]+Table43_1[[#This Row],[QTY 2]]+Table43_1[[#This Row],[QTY 3]]+Table43_1[[#This Row],[QTY 4]]+Table43_1[[#This Row],[QTY 5]]</f>
        <v>0</v>
      </c>
      <c r="N555" s="3"/>
    </row>
    <row r="556" spans="1:14">
      <c r="A556" t="s">
        <v>2066</v>
      </c>
      <c r="B556" t="s">
        <v>2067</v>
      </c>
      <c r="C556">
        <v>204006</v>
      </c>
      <c r="H556" s="3">
        <f>IFERROR(VLOOKUP(Table43_1[[#This Row],[PCPL KODE 1]],#REF!,3,0),0)</f>
        <v>0</v>
      </c>
      <c r="I556" s="3">
        <f>IFERROR(VLOOKUP(Table43_1[[#This Row],[PCPL KODE 2]],#REF!,3,0),0)</f>
        <v>0</v>
      </c>
      <c r="J556" s="3">
        <f>IFERROR(VLOOKUP(Table43_1[[#This Row],[PCPL KODE 3]],#REF!,3,0),0)</f>
        <v>0</v>
      </c>
      <c r="K556" s="3">
        <f>IFERROR(VLOOKUP(Table43_1[[#This Row],[PCPL KODE 4]],#REF!,3,0),0)</f>
        <v>0</v>
      </c>
      <c r="L556" s="3">
        <f>IFERROR(VLOOKUP(Table43_1[[#This Row],[PCPL KODE 5]],#REF!,3,0),0)</f>
        <v>0</v>
      </c>
      <c r="M556" s="3">
        <f>Table43_1[[#This Row],[QTY 1]]+Table43_1[[#This Row],[QTY 2]]+Table43_1[[#This Row],[QTY 3]]+Table43_1[[#This Row],[QTY 4]]+Table43_1[[#This Row],[QTY 5]]</f>
        <v>0</v>
      </c>
      <c r="N556" s="3"/>
    </row>
    <row r="557" spans="1:14">
      <c r="A557" t="s">
        <v>2068</v>
      </c>
      <c r="B557" t="s">
        <v>2069</v>
      </c>
      <c r="C557">
        <v>204009</v>
      </c>
      <c r="H557" s="3">
        <f>IFERROR(VLOOKUP(Table43_1[[#This Row],[PCPL KODE 1]],#REF!,3,0),0)</f>
        <v>0</v>
      </c>
      <c r="I557" s="3">
        <f>IFERROR(VLOOKUP(Table43_1[[#This Row],[PCPL KODE 2]],#REF!,3,0),0)</f>
        <v>0</v>
      </c>
      <c r="J557" s="3">
        <f>IFERROR(VLOOKUP(Table43_1[[#This Row],[PCPL KODE 3]],#REF!,3,0),0)</f>
        <v>0</v>
      </c>
      <c r="K557" s="3">
        <f>IFERROR(VLOOKUP(Table43_1[[#This Row],[PCPL KODE 4]],#REF!,3,0),0)</f>
        <v>0</v>
      </c>
      <c r="L557" s="3">
        <f>IFERROR(VLOOKUP(Table43_1[[#This Row],[PCPL KODE 5]],#REF!,3,0),0)</f>
        <v>0</v>
      </c>
      <c r="M557" s="3">
        <f>Table43_1[[#This Row],[QTY 1]]+Table43_1[[#This Row],[QTY 2]]+Table43_1[[#This Row],[QTY 3]]+Table43_1[[#This Row],[QTY 4]]+Table43_1[[#This Row],[QTY 5]]</f>
        <v>0</v>
      </c>
      <c r="N557" s="3"/>
    </row>
    <row r="558" spans="1:14">
      <c r="A558" t="s">
        <v>2070</v>
      </c>
      <c r="B558" t="s">
        <v>2071</v>
      </c>
      <c r="C558">
        <v>204003</v>
      </c>
      <c r="H558" s="3">
        <f>IFERROR(VLOOKUP(Table43_1[[#This Row],[PCPL KODE 1]],#REF!,3,0),0)</f>
        <v>0</v>
      </c>
      <c r="I558" s="3">
        <f>IFERROR(VLOOKUP(Table43_1[[#This Row],[PCPL KODE 2]],#REF!,3,0),0)</f>
        <v>0</v>
      </c>
      <c r="J558" s="3">
        <f>IFERROR(VLOOKUP(Table43_1[[#This Row],[PCPL KODE 3]],#REF!,3,0),0)</f>
        <v>0</v>
      </c>
      <c r="K558" s="3">
        <f>IFERROR(VLOOKUP(Table43_1[[#This Row],[PCPL KODE 4]],#REF!,3,0),0)</f>
        <v>0</v>
      </c>
      <c r="L558" s="3">
        <f>IFERROR(VLOOKUP(Table43_1[[#This Row],[PCPL KODE 5]],#REF!,3,0),0)</f>
        <v>0</v>
      </c>
      <c r="M558" s="3">
        <f>Table43_1[[#This Row],[QTY 1]]+Table43_1[[#This Row],[QTY 2]]+Table43_1[[#This Row],[QTY 3]]+Table43_1[[#This Row],[QTY 4]]+Table43_1[[#This Row],[QTY 5]]</f>
        <v>0</v>
      </c>
      <c r="N558" s="3"/>
    </row>
    <row r="559" spans="1:14">
      <c r="A559" t="s">
        <v>2072</v>
      </c>
      <c r="B559" t="s">
        <v>2073</v>
      </c>
      <c r="C559">
        <v>204005</v>
      </c>
      <c r="H559" s="3">
        <f>IFERROR(VLOOKUP(Table43_1[[#This Row],[PCPL KODE 1]],#REF!,3,0),0)</f>
        <v>0</v>
      </c>
      <c r="I559" s="3">
        <f>IFERROR(VLOOKUP(Table43_1[[#This Row],[PCPL KODE 2]],#REF!,3,0),0)</f>
        <v>0</v>
      </c>
      <c r="J559" s="3">
        <f>IFERROR(VLOOKUP(Table43_1[[#This Row],[PCPL KODE 3]],#REF!,3,0),0)</f>
        <v>0</v>
      </c>
      <c r="K559" s="3">
        <f>IFERROR(VLOOKUP(Table43_1[[#This Row],[PCPL KODE 4]],#REF!,3,0),0)</f>
        <v>0</v>
      </c>
      <c r="L559" s="3">
        <f>IFERROR(VLOOKUP(Table43_1[[#This Row],[PCPL KODE 5]],#REF!,3,0),0)</f>
        <v>0</v>
      </c>
      <c r="M559" s="3">
        <f>Table43_1[[#This Row],[QTY 1]]+Table43_1[[#This Row],[QTY 2]]+Table43_1[[#This Row],[QTY 3]]+Table43_1[[#This Row],[QTY 4]]+Table43_1[[#This Row],[QTY 5]]</f>
        <v>0</v>
      </c>
      <c r="N559" s="3"/>
    </row>
    <row r="560" spans="1:14">
      <c r="A560" t="s">
        <v>2074</v>
      </c>
      <c r="B560" t="s">
        <v>2075</v>
      </c>
      <c r="C560">
        <v>204008</v>
      </c>
      <c r="H560" s="3">
        <f>IFERROR(VLOOKUP(Table43_1[[#This Row],[PCPL KODE 1]],#REF!,3,0),0)</f>
        <v>0</v>
      </c>
      <c r="I560" s="3">
        <f>IFERROR(VLOOKUP(Table43_1[[#This Row],[PCPL KODE 2]],#REF!,3,0),0)</f>
        <v>0</v>
      </c>
      <c r="J560" s="3">
        <f>IFERROR(VLOOKUP(Table43_1[[#This Row],[PCPL KODE 3]],#REF!,3,0),0)</f>
        <v>0</v>
      </c>
      <c r="K560" s="3">
        <f>IFERROR(VLOOKUP(Table43_1[[#This Row],[PCPL KODE 4]],#REF!,3,0),0)</f>
        <v>0</v>
      </c>
      <c r="L560" s="3">
        <f>IFERROR(VLOOKUP(Table43_1[[#This Row],[PCPL KODE 5]],#REF!,3,0),0)</f>
        <v>0</v>
      </c>
      <c r="M560" s="3">
        <f>Table43_1[[#This Row],[QTY 1]]+Table43_1[[#This Row],[QTY 2]]+Table43_1[[#This Row],[QTY 3]]+Table43_1[[#This Row],[QTY 4]]+Table43_1[[#This Row],[QTY 5]]</f>
        <v>0</v>
      </c>
      <c r="N560" s="3"/>
    </row>
    <row r="561" spans="1:14">
      <c r="A561" t="s">
        <v>2076</v>
      </c>
      <c r="B561" t="s">
        <v>2077</v>
      </c>
      <c r="C561">
        <v>204001</v>
      </c>
      <c r="H561" s="3">
        <f>IFERROR(VLOOKUP(Table43_1[[#This Row],[PCPL KODE 1]],#REF!,3,0),0)</f>
        <v>0</v>
      </c>
      <c r="I561" s="3">
        <f>IFERROR(VLOOKUP(Table43_1[[#This Row],[PCPL KODE 2]],#REF!,3,0),0)</f>
        <v>0</v>
      </c>
      <c r="J561" s="3">
        <f>IFERROR(VLOOKUP(Table43_1[[#This Row],[PCPL KODE 3]],#REF!,3,0),0)</f>
        <v>0</v>
      </c>
      <c r="K561" s="3">
        <f>IFERROR(VLOOKUP(Table43_1[[#This Row],[PCPL KODE 4]],#REF!,3,0),0)</f>
        <v>0</v>
      </c>
      <c r="L561" s="3">
        <f>IFERROR(VLOOKUP(Table43_1[[#This Row],[PCPL KODE 5]],#REF!,3,0),0)</f>
        <v>0</v>
      </c>
      <c r="M561" s="3">
        <f>Table43_1[[#This Row],[QTY 1]]+Table43_1[[#This Row],[QTY 2]]+Table43_1[[#This Row],[QTY 3]]+Table43_1[[#This Row],[QTY 4]]+Table43_1[[#This Row],[QTY 5]]</f>
        <v>0</v>
      </c>
      <c r="N561" s="3"/>
    </row>
    <row r="562" spans="1:14">
      <c r="A562" t="s">
        <v>2078</v>
      </c>
      <c r="B562" t="s">
        <v>2079</v>
      </c>
      <c r="C562">
        <v>204004</v>
      </c>
      <c r="H562" s="3">
        <f>IFERROR(VLOOKUP(Table43_1[[#This Row],[PCPL KODE 1]],#REF!,3,0),0)</f>
        <v>0</v>
      </c>
      <c r="I562" s="3">
        <f>IFERROR(VLOOKUP(Table43_1[[#This Row],[PCPL KODE 2]],#REF!,3,0),0)</f>
        <v>0</v>
      </c>
      <c r="J562" s="3">
        <f>IFERROR(VLOOKUP(Table43_1[[#This Row],[PCPL KODE 3]],#REF!,3,0),0)</f>
        <v>0</v>
      </c>
      <c r="K562" s="3">
        <f>IFERROR(VLOOKUP(Table43_1[[#This Row],[PCPL KODE 4]],#REF!,3,0),0)</f>
        <v>0</v>
      </c>
      <c r="L562" s="3">
        <f>IFERROR(VLOOKUP(Table43_1[[#This Row],[PCPL KODE 5]],#REF!,3,0),0)</f>
        <v>0</v>
      </c>
      <c r="M562" s="3">
        <f>Table43_1[[#This Row],[QTY 1]]+Table43_1[[#This Row],[QTY 2]]+Table43_1[[#This Row],[QTY 3]]+Table43_1[[#This Row],[QTY 4]]+Table43_1[[#This Row],[QTY 5]]</f>
        <v>0</v>
      </c>
      <c r="N562" s="3"/>
    </row>
    <row r="563" spans="1:14">
      <c r="A563" t="s">
        <v>2080</v>
      </c>
      <c r="B563" t="s">
        <v>2081</v>
      </c>
      <c r="C563">
        <v>204007</v>
      </c>
      <c r="H563" s="3">
        <f>IFERROR(VLOOKUP(Table43_1[[#This Row],[PCPL KODE 1]],#REF!,3,0),0)</f>
        <v>0</v>
      </c>
      <c r="I563" s="3">
        <f>IFERROR(VLOOKUP(Table43_1[[#This Row],[PCPL KODE 2]],#REF!,3,0),0)</f>
        <v>0</v>
      </c>
      <c r="J563" s="3">
        <f>IFERROR(VLOOKUP(Table43_1[[#This Row],[PCPL KODE 3]],#REF!,3,0),0)</f>
        <v>0</v>
      </c>
      <c r="K563" s="3">
        <f>IFERROR(VLOOKUP(Table43_1[[#This Row],[PCPL KODE 4]],#REF!,3,0),0)</f>
        <v>0</v>
      </c>
      <c r="L563" s="3">
        <f>IFERROR(VLOOKUP(Table43_1[[#This Row],[PCPL KODE 5]],#REF!,3,0),0)</f>
        <v>0</v>
      </c>
      <c r="M563" s="3">
        <f>Table43_1[[#This Row],[QTY 1]]+Table43_1[[#This Row],[QTY 2]]+Table43_1[[#This Row],[QTY 3]]+Table43_1[[#This Row],[QTY 4]]+Table43_1[[#This Row],[QTY 5]]</f>
        <v>0</v>
      </c>
      <c r="N563" s="3"/>
    </row>
    <row r="564" spans="1:14">
      <c r="A564" t="s">
        <v>2082</v>
      </c>
      <c r="B564" t="s">
        <v>2083</v>
      </c>
      <c r="C564">
        <v>204015</v>
      </c>
      <c r="H564" s="3">
        <f>IFERROR(VLOOKUP(Table43_1[[#This Row],[PCPL KODE 1]],#REF!,3,0),0)</f>
        <v>0</v>
      </c>
      <c r="I564" s="3">
        <f>IFERROR(VLOOKUP(Table43_1[[#This Row],[PCPL KODE 2]],#REF!,3,0),0)</f>
        <v>0</v>
      </c>
      <c r="J564" s="3">
        <f>IFERROR(VLOOKUP(Table43_1[[#This Row],[PCPL KODE 3]],#REF!,3,0),0)</f>
        <v>0</v>
      </c>
      <c r="K564" s="3">
        <f>IFERROR(VLOOKUP(Table43_1[[#This Row],[PCPL KODE 4]],#REF!,3,0),0)</f>
        <v>0</v>
      </c>
      <c r="L564" s="3">
        <f>IFERROR(VLOOKUP(Table43_1[[#This Row],[PCPL KODE 5]],#REF!,3,0),0)</f>
        <v>0</v>
      </c>
      <c r="M564" s="3">
        <f>Table43_1[[#This Row],[QTY 1]]+Table43_1[[#This Row],[QTY 2]]+Table43_1[[#This Row],[QTY 3]]+Table43_1[[#This Row],[QTY 4]]+Table43_1[[#This Row],[QTY 5]]</f>
        <v>0</v>
      </c>
      <c r="N564" s="3"/>
    </row>
    <row r="565" spans="1:14">
      <c r="A565" t="s">
        <v>2084</v>
      </c>
      <c r="B565" t="s">
        <v>2085</v>
      </c>
      <c r="C565">
        <v>204016</v>
      </c>
      <c r="H565" s="3">
        <f>IFERROR(VLOOKUP(Table43_1[[#This Row],[PCPL KODE 1]],#REF!,3,0),0)</f>
        <v>0</v>
      </c>
      <c r="I565" s="3">
        <f>IFERROR(VLOOKUP(Table43_1[[#This Row],[PCPL KODE 2]],#REF!,3,0),0)</f>
        <v>0</v>
      </c>
      <c r="J565" s="3">
        <f>IFERROR(VLOOKUP(Table43_1[[#This Row],[PCPL KODE 3]],#REF!,3,0),0)</f>
        <v>0</v>
      </c>
      <c r="K565" s="3">
        <f>IFERROR(VLOOKUP(Table43_1[[#This Row],[PCPL KODE 4]],#REF!,3,0),0)</f>
        <v>0</v>
      </c>
      <c r="L565" s="3">
        <f>IFERROR(VLOOKUP(Table43_1[[#This Row],[PCPL KODE 5]],#REF!,3,0),0)</f>
        <v>0</v>
      </c>
      <c r="M565" s="3">
        <f>Table43_1[[#This Row],[QTY 1]]+Table43_1[[#This Row],[QTY 2]]+Table43_1[[#This Row],[QTY 3]]+Table43_1[[#This Row],[QTY 4]]+Table43_1[[#This Row],[QTY 5]]</f>
        <v>0</v>
      </c>
      <c r="N565" s="3"/>
    </row>
    <row r="566" spans="1:14">
      <c r="A566" t="s">
        <v>2086</v>
      </c>
      <c r="B566" t="s">
        <v>2087</v>
      </c>
      <c r="C566">
        <v>204010</v>
      </c>
      <c r="H566" s="3">
        <f>IFERROR(VLOOKUP(Table43_1[[#This Row],[PCPL KODE 1]],#REF!,3,0),0)</f>
        <v>0</v>
      </c>
      <c r="I566" s="3">
        <f>IFERROR(VLOOKUP(Table43_1[[#This Row],[PCPL KODE 2]],#REF!,3,0),0)</f>
        <v>0</v>
      </c>
      <c r="J566" s="3">
        <f>IFERROR(VLOOKUP(Table43_1[[#This Row],[PCPL KODE 3]],#REF!,3,0),0)</f>
        <v>0</v>
      </c>
      <c r="K566" s="3">
        <f>IFERROR(VLOOKUP(Table43_1[[#This Row],[PCPL KODE 4]],#REF!,3,0),0)</f>
        <v>0</v>
      </c>
      <c r="L566" s="3">
        <f>IFERROR(VLOOKUP(Table43_1[[#This Row],[PCPL KODE 5]],#REF!,3,0),0)</f>
        <v>0</v>
      </c>
      <c r="M566" s="3">
        <f>Table43_1[[#This Row],[QTY 1]]+Table43_1[[#This Row],[QTY 2]]+Table43_1[[#This Row],[QTY 3]]+Table43_1[[#This Row],[QTY 4]]+Table43_1[[#This Row],[QTY 5]]</f>
        <v>0</v>
      </c>
      <c r="N566" s="3"/>
    </row>
    <row r="567" spans="1:14">
      <c r="A567" t="s">
        <v>2088</v>
      </c>
      <c r="B567" t="s">
        <v>3546</v>
      </c>
      <c r="C567" t="s">
        <v>2643</v>
      </c>
      <c r="H567" s="3">
        <f>IFERROR(VLOOKUP(Table43_1[[#This Row],[PCPL KODE 1]],#REF!,3,0),0)</f>
        <v>0</v>
      </c>
      <c r="I567" s="3">
        <f>IFERROR(VLOOKUP(Table43_1[[#This Row],[PCPL KODE 2]],#REF!,3,0),0)</f>
        <v>0</v>
      </c>
      <c r="J567" s="3">
        <f>IFERROR(VLOOKUP(Table43_1[[#This Row],[PCPL KODE 3]],#REF!,3,0),0)</f>
        <v>0</v>
      </c>
      <c r="K567" s="3">
        <f>IFERROR(VLOOKUP(Table43_1[[#This Row],[PCPL KODE 4]],#REF!,3,0),0)</f>
        <v>0</v>
      </c>
      <c r="L567" s="3">
        <f>IFERROR(VLOOKUP(Table43_1[[#This Row],[PCPL KODE 5]],#REF!,3,0),0)</f>
        <v>0</v>
      </c>
      <c r="M567" s="3">
        <f>Table43_1[[#This Row],[QTY 1]]+Table43_1[[#This Row],[QTY 2]]+Table43_1[[#This Row],[QTY 3]]+Table43_1[[#This Row],[QTY 4]]+Table43_1[[#This Row],[QTY 5]]</f>
        <v>0</v>
      </c>
      <c r="N567" s="3"/>
    </row>
    <row r="568" spans="1:14">
      <c r="A568" t="s">
        <v>2090</v>
      </c>
      <c r="B568" t="s">
        <v>2091</v>
      </c>
      <c r="C568">
        <v>204014</v>
      </c>
      <c r="H568" s="3">
        <f>IFERROR(VLOOKUP(Table43_1[[#This Row],[PCPL KODE 1]],#REF!,3,0),0)</f>
        <v>0</v>
      </c>
      <c r="I568" s="3">
        <f>IFERROR(VLOOKUP(Table43_1[[#This Row],[PCPL KODE 2]],#REF!,3,0),0)</f>
        <v>0</v>
      </c>
      <c r="J568" s="3">
        <f>IFERROR(VLOOKUP(Table43_1[[#This Row],[PCPL KODE 3]],#REF!,3,0),0)</f>
        <v>0</v>
      </c>
      <c r="K568" s="3">
        <f>IFERROR(VLOOKUP(Table43_1[[#This Row],[PCPL KODE 4]],#REF!,3,0),0)</f>
        <v>0</v>
      </c>
      <c r="L568" s="3">
        <f>IFERROR(VLOOKUP(Table43_1[[#This Row],[PCPL KODE 5]],#REF!,3,0),0)</f>
        <v>0</v>
      </c>
      <c r="M568" s="3">
        <f>Table43_1[[#This Row],[QTY 1]]+Table43_1[[#This Row],[QTY 2]]+Table43_1[[#This Row],[QTY 3]]+Table43_1[[#This Row],[QTY 4]]+Table43_1[[#This Row],[QTY 5]]</f>
        <v>0</v>
      </c>
      <c r="N568" s="3"/>
    </row>
    <row r="569" spans="1:14">
      <c r="A569" t="s">
        <v>2092</v>
      </c>
      <c r="B569" t="s">
        <v>2093</v>
      </c>
      <c r="C569">
        <v>204021</v>
      </c>
      <c r="H569" s="3">
        <f>IFERROR(VLOOKUP(Table43_1[[#This Row],[PCPL KODE 1]],#REF!,3,0),0)</f>
        <v>0</v>
      </c>
      <c r="I569" s="3">
        <f>IFERROR(VLOOKUP(Table43_1[[#This Row],[PCPL KODE 2]],#REF!,3,0),0)</f>
        <v>0</v>
      </c>
      <c r="J569" s="3">
        <f>IFERROR(VLOOKUP(Table43_1[[#This Row],[PCPL KODE 3]],#REF!,3,0),0)</f>
        <v>0</v>
      </c>
      <c r="K569" s="3">
        <f>IFERROR(VLOOKUP(Table43_1[[#This Row],[PCPL KODE 4]],#REF!,3,0),0)</f>
        <v>0</v>
      </c>
      <c r="L569" s="3">
        <f>IFERROR(VLOOKUP(Table43_1[[#This Row],[PCPL KODE 5]],#REF!,3,0),0)</f>
        <v>0</v>
      </c>
      <c r="M569" s="3">
        <f>Table43_1[[#This Row],[QTY 1]]+Table43_1[[#This Row],[QTY 2]]+Table43_1[[#This Row],[QTY 3]]+Table43_1[[#This Row],[QTY 4]]+Table43_1[[#This Row],[QTY 5]]</f>
        <v>0</v>
      </c>
      <c r="N569" s="3"/>
    </row>
    <row r="570" spans="1:14">
      <c r="A570" t="s">
        <v>2094</v>
      </c>
      <c r="B570" t="s">
        <v>2095</v>
      </c>
      <c r="C570">
        <v>204011</v>
      </c>
      <c r="H570" s="3">
        <f>IFERROR(VLOOKUP(Table43_1[[#This Row],[PCPL KODE 1]],#REF!,3,0),0)</f>
        <v>0</v>
      </c>
      <c r="I570" s="3">
        <f>IFERROR(VLOOKUP(Table43_1[[#This Row],[PCPL KODE 2]],#REF!,3,0),0)</f>
        <v>0</v>
      </c>
      <c r="J570" s="3">
        <f>IFERROR(VLOOKUP(Table43_1[[#This Row],[PCPL KODE 3]],#REF!,3,0),0)</f>
        <v>0</v>
      </c>
      <c r="K570" s="3">
        <f>IFERROR(VLOOKUP(Table43_1[[#This Row],[PCPL KODE 4]],#REF!,3,0),0)</f>
        <v>0</v>
      </c>
      <c r="L570" s="3">
        <f>IFERROR(VLOOKUP(Table43_1[[#This Row],[PCPL KODE 5]],#REF!,3,0),0)</f>
        <v>0</v>
      </c>
      <c r="M570" s="3">
        <f>Table43_1[[#This Row],[QTY 1]]+Table43_1[[#This Row],[QTY 2]]+Table43_1[[#This Row],[QTY 3]]+Table43_1[[#This Row],[QTY 4]]+Table43_1[[#This Row],[QTY 5]]</f>
        <v>0</v>
      </c>
      <c r="N570" s="3"/>
    </row>
    <row r="571" spans="1:14">
      <c r="A571" t="s">
        <v>2096</v>
      </c>
      <c r="B571" t="s">
        <v>2097</v>
      </c>
      <c r="C571">
        <v>204018</v>
      </c>
      <c r="H571" s="3">
        <f>IFERROR(VLOOKUP(Table43_1[[#This Row],[PCPL KODE 1]],#REF!,3,0),0)</f>
        <v>0</v>
      </c>
      <c r="I571" s="3">
        <f>IFERROR(VLOOKUP(Table43_1[[#This Row],[PCPL KODE 2]],#REF!,3,0),0)</f>
        <v>0</v>
      </c>
      <c r="J571" s="3">
        <f>IFERROR(VLOOKUP(Table43_1[[#This Row],[PCPL KODE 3]],#REF!,3,0),0)</f>
        <v>0</v>
      </c>
      <c r="K571" s="3">
        <f>IFERROR(VLOOKUP(Table43_1[[#This Row],[PCPL KODE 4]],#REF!,3,0),0)</f>
        <v>0</v>
      </c>
      <c r="L571" s="3">
        <f>IFERROR(VLOOKUP(Table43_1[[#This Row],[PCPL KODE 5]],#REF!,3,0),0)</f>
        <v>0</v>
      </c>
      <c r="M571" s="3">
        <f>Table43_1[[#This Row],[QTY 1]]+Table43_1[[#This Row],[QTY 2]]+Table43_1[[#This Row],[QTY 3]]+Table43_1[[#This Row],[QTY 4]]+Table43_1[[#This Row],[QTY 5]]</f>
        <v>0</v>
      </c>
      <c r="N571" s="3"/>
    </row>
    <row r="572" spans="1:14">
      <c r="A572" t="s">
        <v>2098</v>
      </c>
      <c r="B572" t="s">
        <v>2099</v>
      </c>
      <c r="C572">
        <v>204019</v>
      </c>
      <c r="H572" s="3">
        <f>IFERROR(VLOOKUP(Table43_1[[#This Row],[PCPL KODE 1]],#REF!,3,0),0)</f>
        <v>0</v>
      </c>
      <c r="I572" s="3">
        <f>IFERROR(VLOOKUP(Table43_1[[#This Row],[PCPL KODE 2]],#REF!,3,0),0)</f>
        <v>0</v>
      </c>
      <c r="J572" s="3">
        <f>IFERROR(VLOOKUP(Table43_1[[#This Row],[PCPL KODE 3]],#REF!,3,0),0)</f>
        <v>0</v>
      </c>
      <c r="K572" s="3">
        <f>IFERROR(VLOOKUP(Table43_1[[#This Row],[PCPL KODE 4]],#REF!,3,0),0)</f>
        <v>0</v>
      </c>
      <c r="L572" s="3">
        <f>IFERROR(VLOOKUP(Table43_1[[#This Row],[PCPL KODE 5]],#REF!,3,0),0)</f>
        <v>0</v>
      </c>
      <c r="M572" s="3">
        <f>Table43_1[[#This Row],[QTY 1]]+Table43_1[[#This Row],[QTY 2]]+Table43_1[[#This Row],[QTY 3]]+Table43_1[[#This Row],[QTY 4]]+Table43_1[[#This Row],[QTY 5]]</f>
        <v>0</v>
      </c>
      <c r="N572" s="3"/>
    </row>
    <row r="573" spans="1:14">
      <c r="A573" t="s">
        <v>2100</v>
      </c>
      <c r="B573" t="s">
        <v>2101</v>
      </c>
      <c r="C573" t="s">
        <v>2644</v>
      </c>
      <c r="H573" s="3">
        <f>IFERROR(VLOOKUP(Table43_1[[#This Row],[PCPL KODE 1]],#REF!,3,0),0)</f>
        <v>0</v>
      </c>
      <c r="I573" s="3">
        <f>IFERROR(VLOOKUP(Table43_1[[#This Row],[PCPL KODE 2]],#REF!,3,0),0)</f>
        <v>0</v>
      </c>
      <c r="J573" s="3">
        <f>IFERROR(VLOOKUP(Table43_1[[#This Row],[PCPL KODE 3]],#REF!,3,0),0)</f>
        <v>0</v>
      </c>
      <c r="K573" s="3">
        <f>IFERROR(VLOOKUP(Table43_1[[#This Row],[PCPL KODE 4]],#REF!,3,0),0)</f>
        <v>0</v>
      </c>
      <c r="L573" s="3">
        <f>IFERROR(VLOOKUP(Table43_1[[#This Row],[PCPL KODE 5]],#REF!,3,0),0)</f>
        <v>0</v>
      </c>
      <c r="M573" s="3">
        <f>Table43_1[[#This Row],[QTY 1]]+Table43_1[[#This Row],[QTY 2]]+Table43_1[[#This Row],[QTY 3]]+Table43_1[[#This Row],[QTY 4]]+Table43_1[[#This Row],[QTY 5]]</f>
        <v>0</v>
      </c>
      <c r="N573" s="3"/>
    </row>
    <row r="574" spans="1:14">
      <c r="A574" t="s">
        <v>2102</v>
      </c>
      <c r="B574" t="s">
        <v>2103</v>
      </c>
      <c r="C574" t="s">
        <v>2645</v>
      </c>
      <c r="H574" s="3">
        <f>IFERROR(VLOOKUP(Table43_1[[#This Row],[PCPL KODE 1]],#REF!,3,0),0)</f>
        <v>0</v>
      </c>
      <c r="I574" s="3">
        <f>IFERROR(VLOOKUP(Table43_1[[#This Row],[PCPL KODE 2]],#REF!,3,0),0)</f>
        <v>0</v>
      </c>
      <c r="J574" s="3">
        <f>IFERROR(VLOOKUP(Table43_1[[#This Row],[PCPL KODE 3]],#REF!,3,0),0)</f>
        <v>0</v>
      </c>
      <c r="K574" s="3">
        <f>IFERROR(VLOOKUP(Table43_1[[#This Row],[PCPL KODE 4]],#REF!,3,0),0)</f>
        <v>0</v>
      </c>
      <c r="L574" s="3">
        <f>IFERROR(VLOOKUP(Table43_1[[#This Row],[PCPL KODE 5]],#REF!,3,0),0)</f>
        <v>0</v>
      </c>
      <c r="M574" s="3">
        <f>Table43_1[[#This Row],[QTY 1]]+Table43_1[[#This Row],[QTY 2]]+Table43_1[[#This Row],[QTY 3]]+Table43_1[[#This Row],[QTY 4]]+Table43_1[[#This Row],[QTY 5]]</f>
        <v>0</v>
      </c>
      <c r="N574" s="3"/>
    </row>
    <row r="575" spans="1:14">
      <c r="A575" t="s">
        <v>2104</v>
      </c>
      <c r="B575" t="s">
        <v>2105</v>
      </c>
      <c r="C575" t="s">
        <v>2646</v>
      </c>
      <c r="H575" s="3">
        <f>IFERROR(VLOOKUP(Table43_1[[#This Row],[PCPL KODE 1]],#REF!,3,0),0)</f>
        <v>0</v>
      </c>
      <c r="I575" s="3">
        <f>IFERROR(VLOOKUP(Table43_1[[#This Row],[PCPL KODE 2]],#REF!,3,0),0)</f>
        <v>0</v>
      </c>
      <c r="J575" s="3">
        <f>IFERROR(VLOOKUP(Table43_1[[#This Row],[PCPL KODE 3]],#REF!,3,0),0)</f>
        <v>0</v>
      </c>
      <c r="K575" s="3">
        <f>IFERROR(VLOOKUP(Table43_1[[#This Row],[PCPL KODE 4]],#REF!,3,0),0)</f>
        <v>0</v>
      </c>
      <c r="L575" s="3">
        <f>IFERROR(VLOOKUP(Table43_1[[#This Row],[PCPL KODE 5]],#REF!,3,0),0)</f>
        <v>0</v>
      </c>
      <c r="M575" s="3">
        <f>Table43_1[[#This Row],[QTY 1]]+Table43_1[[#This Row],[QTY 2]]+Table43_1[[#This Row],[QTY 3]]+Table43_1[[#This Row],[QTY 4]]+Table43_1[[#This Row],[QTY 5]]</f>
        <v>0</v>
      </c>
      <c r="N575" s="3"/>
    </row>
    <row r="576" spans="1:14">
      <c r="A576" t="s">
        <v>2106</v>
      </c>
      <c r="B576" t="s">
        <v>2107</v>
      </c>
      <c r="C576" t="s">
        <v>2647</v>
      </c>
      <c r="H576" s="3">
        <f>IFERROR(VLOOKUP(Table43_1[[#This Row],[PCPL KODE 1]],#REF!,3,0),0)</f>
        <v>0</v>
      </c>
      <c r="I576" s="3">
        <f>IFERROR(VLOOKUP(Table43_1[[#This Row],[PCPL KODE 2]],#REF!,3,0),0)</f>
        <v>0</v>
      </c>
      <c r="J576" s="3">
        <f>IFERROR(VLOOKUP(Table43_1[[#This Row],[PCPL KODE 3]],#REF!,3,0),0)</f>
        <v>0</v>
      </c>
      <c r="K576" s="3">
        <f>IFERROR(VLOOKUP(Table43_1[[#This Row],[PCPL KODE 4]],#REF!,3,0),0)</f>
        <v>0</v>
      </c>
      <c r="L576" s="3">
        <f>IFERROR(VLOOKUP(Table43_1[[#This Row],[PCPL KODE 5]],#REF!,3,0),0)</f>
        <v>0</v>
      </c>
      <c r="M576" s="3">
        <f>Table43_1[[#This Row],[QTY 1]]+Table43_1[[#This Row],[QTY 2]]+Table43_1[[#This Row],[QTY 3]]+Table43_1[[#This Row],[QTY 4]]+Table43_1[[#This Row],[QTY 5]]</f>
        <v>0</v>
      </c>
      <c r="N576" s="3"/>
    </row>
    <row r="577" spans="1:14">
      <c r="A577" t="s">
        <v>2108</v>
      </c>
      <c r="B577" t="s">
        <v>2109</v>
      </c>
      <c r="C577">
        <v>203020</v>
      </c>
      <c r="H577" s="3">
        <f>IFERROR(VLOOKUP(Table43_1[[#This Row],[PCPL KODE 1]],#REF!,3,0),0)</f>
        <v>0</v>
      </c>
      <c r="I577" s="3">
        <f>IFERROR(VLOOKUP(Table43_1[[#This Row],[PCPL KODE 2]],#REF!,3,0),0)</f>
        <v>0</v>
      </c>
      <c r="J577" s="3">
        <f>IFERROR(VLOOKUP(Table43_1[[#This Row],[PCPL KODE 3]],#REF!,3,0),0)</f>
        <v>0</v>
      </c>
      <c r="K577" s="3">
        <f>IFERROR(VLOOKUP(Table43_1[[#This Row],[PCPL KODE 4]],#REF!,3,0),0)</f>
        <v>0</v>
      </c>
      <c r="L577" s="3">
        <f>IFERROR(VLOOKUP(Table43_1[[#This Row],[PCPL KODE 5]],#REF!,3,0),0)</f>
        <v>0</v>
      </c>
      <c r="M577" s="3">
        <f>Table43_1[[#This Row],[QTY 1]]+Table43_1[[#This Row],[QTY 2]]+Table43_1[[#This Row],[QTY 3]]+Table43_1[[#This Row],[QTY 4]]+Table43_1[[#This Row],[QTY 5]]</f>
        <v>0</v>
      </c>
      <c r="N577" s="3"/>
    </row>
    <row r="578" spans="1:14">
      <c r="A578" t="s">
        <v>2110</v>
      </c>
      <c r="B578" t="s">
        <v>2111</v>
      </c>
      <c r="C578">
        <v>203028</v>
      </c>
      <c r="H578" s="3">
        <f>IFERROR(VLOOKUP(Table43_1[[#This Row],[PCPL KODE 1]],#REF!,3,0),0)</f>
        <v>0</v>
      </c>
      <c r="I578" s="3">
        <f>IFERROR(VLOOKUP(Table43_1[[#This Row],[PCPL KODE 2]],#REF!,3,0),0)</f>
        <v>0</v>
      </c>
      <c r="J578" s="3">
        <f>IFERROR(VLOOKUP(Table43_1[[#This Row],[PCPL KODE 3]],#REF!,3,0),0)</f>
        <v>0</v>
      </c>
      <c r="K578" s="3">
        <f>IFERROR(VLOOKUP(Table43_1[[#This Row],[PCPL KODE 4]],#REF!,3,0),0)</f>
        <v>0</v>
      </c>
      <c r="L578" s="3">
        <f>IFERROR(VLOOKUP(Table43_1[[#This Row],[PCPL KODE 5]],#REF!,3,0),0)</f>
        <v>0</v>
      </c>
      <c r="M578" s="3">
        <f>Table43_1[[#This Row],[QTY 1]]+Table43_1[[#This Row],[QTY 2]]+Table43_1[[#This Row],[QTY 3]]+Table43_1[[#This Row],[QTY 4]]+Table43_1[[#This Row],[QTY 5]]</f>
        <v>0</v>
      </c>
      <c r="N578" s="3"/>
    </row>
    <row r="579" spans="1:14">
      <c r="A579" t="s">
        <v>2112</v>
      </c>
      <c r="B579" t="s">
        <v>2113</v>
      </c>
      <c r="C579">
        <v>203046</v>
      </c>
      <c r="H579" s="3">
        <f>IFERROR(VLOOKUP(Table43_1[[#This Row],[PCPL KODE 1]],#REF!,3,0),0)</f>
        <v>0</v>
      </c>
      <c r="I579" s="3">
        <f>IFERROR(VLOOKUP(Table43_1[[#This Row],[PCPL KODE 2]],#REF!,3,0),0)</f>
        <v>0</v>
      </c>
      <c r="J579" s="3">
        <f>IFERROR(VLOOKUP(Table43_1[[#This Row],[PCPL KODE 3]],#REF!,3,0),0)</f>
        <v>0</v>
      </c>
      <c r="K579" s="3">
        <f>IFERROR(VLOOKUP(Table43_1[[#This Row],[PCPL KODE 4]],#REF!,3,0),0)</f>
        <v>0</v>
      </c>
      <c r="L579" s="3">
        <f>IFERROR(VLOOKUP(Table43_1[[#This Row],[PCPL KODE 5]],#REF!,3,0),0)</f>
        <v>0</v>
      </c>
      <c r="M579" s="3">
        <f>Table43_1[[#This Row],[QTY 1]]+Table43_1[[#This Row],[QTY 2]]+Table43_1[[#This Row],[QTY 3]]+Table43_1[[#This Row],[QTY 4]]+Table43_1[[#This Row],[QTY 5]]</f>
        <v>0</v>
      </c>
      <c r="N579" s="3"/>
    </row>
    <row r="580" spans="1:14">
      <c r="A580" t="s">
        <v>2114</v>
      </c>
      <c r="B580" t="s">
        <v>2115</v>
      </c>
      <c r="C580">
        <v>203012</v>
      </c>
      <c r="D580">
        <v>203006</v>
      </c>
      <c r="H580" s="3">
        <f>IFERROR(VLOOKUP(Table43_1[[#This Row],[PCPL KODE 1]],#REF!,3,0),0)</f>
        <v>0</v>
      </c>
      <c r="I580" s="3">
        <f>IFERROR(VLOOKUP(Table43_1[[#This Row],[PCPL KODE 2]],#REF!,3,0),0)</f>
        <v>0</v>
      </c>
      <c r="J580" s="3">
        <f>IFERROR(VLOOKUP(Table43_1[[#This Row],[PCPL KODE 3]],#REF!,3,0),0)</f>
        <v>0</v>
      </c>
      <c r="K580" s="3">
        <f>IFERROR(VLOOKUP(Table43_1[[#This Row],[PCPL KODE 4]],#REF!,3,0),0)</f>
        <v>0</v>
      </c>
      <c r="L580" s="3">
        <f>IFERROR(VLOOKUP(Table43_1[[#This Row],[PCPL KODE 5]],#REF!,3,0),0)</f>
        <v>0</v>
      </c>
      <c r="M580" s="3">
        <f>Table43_1[[#This Row],[QTY 1]]+Table43_1[[#This Row],[QTY 2]]+Table43_1[[#This Row],[QTY 3]]+Table43_1[[#This Row],[QTY 4]]+Table43_1[[#This Row],[QTY 5]]</f>
        <v>0</v>
      </c>
      <c r="N580" s="3"/>
    </row>
    <row r="581" spans="1:14">
      <c r="A581" t="s">
        <v>2116</v>
      </c>
      <c r="B581" t="s">
        <v>2117</v>
      </c>
      <c r="C581">
        <v>203003</v>
      </c>
      <c r="H581" s="3">
        <f>IFERROR(VLOOKUP(Table43_1[[#This Row],[PCPL KODE 1]],#REF!,3,0),0)</f>
        <v>0</v>
      </c>
      <c r="I581" s="3">
        <f>IFERROR(VLOOKUP(Table43_1[[#This Row],[PCPL KODE 2]],#REF!,3,0),0)</f>
        <v>0</v>
      </c>
      <c r="J581" s="3">
        <f>IFERROR(VLOOKUP(Table43_1[[#This Row],[PCPL KODE 3]],#REF!,3,0),0)</f>
        <v>0</v>
      </c>
      <c r="K581" s="3">
        <f>IFERROR(VLOOKUP(Table43_1[[#This Row],[PCPL KODE 4]],#REF!,3,0),0)</f>
        <v>0</v>
      </c>
      <c r="L581" s="3">
        <f>IFERROR(VLOOKUP(Table43_1[[#This Row],[PCPL KODE 5]],#REF!,3,0),0)</f>
        <v>0</v>
      </c>
      <c r="M581" s="3">
        <f>Table43_1[[#This Row],[QTY 1]]+Table43_1[[#This Row],[QTY 2]]+Table43_1[[#This Row],[QTY 3]]+Table43_1[[#This Row],[QTY 4]]+Table43_1[[#This Row],[QTY 5]]</f>
        <v>0</v>
      </c>
      <c r="N581" s="3"/>
    </row>
    <row r="582" spans="1:14">
      <c r="A582" t="s">
        <v>2118</v>
      </c>
      <c r="B582" t="s">
        <v>2119</v>
      </c>
      <c r="C582">
        <v>203011</v>
      </c>
      <c r="H582" s="3">
        <f>IFERROR(VLOOKUP(Table43_1[[#This Row],[PCPL KODE 1]],#REF!,3,0),0)</f>
        <v>0</v>
      </c>
      <c r="I582" s="3">
        <f>IFERROR(VLOOKUP(Table43_1[[#This Row],[PCPL KODE 2]],#REF!,3,0),0)</f>
        <v>0</v>
      </c>
      <c r="J582" s="3">
        <f>IFERROR(VLOOKUP(Table43_1[[#This Row],[PCPL KODE 3]],#REF!,3,0),0)</f>
        <v>0</v>
      </c>
      <c r="K582" s="3">
        <f>IFERROR(VLOOKUP(Table43_1[[#This Row],[PCPL KODE 4]],#REF!,3,0),0)</f>
        <v>0</v>
      </c>
      <c r="L582" s="3">
        <f>IFERROR(VLOOKUP(Table43_1[[#This Row],[PCPL KODE 5]],#REF!,3,0),0)</f>
        <v>0</v>
      </c>
      <c r="M582" s="3">
        <f>Table43_1[[#This Row],[QTY 1]]+Table43_1[[#This Row],[QTY 2]]+Table43_1[[#This Row],[QTY 3]]+Table43_1[[#This Row],[QTY 4]]+Table43_1[[#This Row],[QTY 5]]</f>
        <v>0</v>
      </c>
      <c r="N582" s="3"/>
    </row>
    <row r="583" spans="1:14">
      <c r="A583" t="s">
        <v>2120</v>
      </c>
      <c r="B583" t="s">
        <v>2121</v>
      </c>
      <c r="C583">
        <v>203001</v>
      </c>
      <c r="H583" s="3">
        <f>IFERROR(VLOOKUP(Table43_1[[#This Row],[PCPL KODE 1]],#REF!,3,0),0)</f>
        <v>0</v>
      </c>
      <c r="I583" s="3">
        <f>IFERROR(VLOOKUP(Table43_1[[#This Row],[PCPL KODE 2]],#REF!,3,0),0)</f>
        <v>0</v>
      </c>
      <c r="J583" s="3">
        <f>IFERROR(VLOOKUP(Table43_1[[#This Row],[PCPL KODE 3]],#REF!,3,0),0)</f>
        <v>0</v>
      </c>
      <c r="K583" s="3">
        <f>IFERROR(VLOOKUP(Table43_1[[#This Row],[PCPL KODE 4]],#REF!,3,0),0)</f>
        <v>0</v>
      </c>
      <c r="L583" s="3">
        <f>IFERROR(VLOOKUP(Table43_1[[#This Row],[PCPL KODE 5]],#REF!,3,0),0)</f>
        <v>0</v>
      </c>
      <c r="M583" s="3">
        <f>Table43_1[[#This Row],[QTY 1]]+Table43_1[[#This Row],[QTY 2]]+Table43_1[[#This Row],[QTY 3]]+Table43_1[[#This Row],[QTY 4]]+Table43_1[[#This Row],[QTY 5]]</f>
        <v>0</v>
      </c>
      <c r="N583" s="3"/>
    </row>
    <row r="584" spans="1:14">
      <c r="A584" t="s">
        <v>2122</v>
      </c>
      <c r="B584" t="s">
        <v>2123</v>
      </c>
      <c r="C584">
        <v>203009</v>
      </c>
      <c r="H584" s="3">
        <f>IFERROR(VLOOKUP(Table43_1[[#This Row],[PCPL KODE 1]],#REF!,3,0),0)</f>
        <v>0</v>
      </c>
      <c r="I584" s="3">
        <f>IFERROR(VLOOKUP(Table43_1[[#This Row],[PCPL KODE 2]],#REF!,3,0),0)</f>
        <v>0</v>
      </c>
      <c r="J584" s="3">
        <f>IFERROR(VLOOKUP(Table43_1[[#This Row],[PCPL KODE 3]],#REF!,3,0),0)</f>
        <v>0</v>
      </c>
      <c r="K584" s="3">
        <f>IFERROR(VLOOKUP(Table43_1[[#This Row],[PCPL KODE 4]],#REF!,3,0),0)</f>
        <v>0</v>
      </c>
      <c r="L584" s="3">
        <f>IFERROR(VLOOKUP(Table43_1[[#This Row],[PCPL KODE 5]],#REF!,3,0),0)</f>
        <v>0</v>
      </c>
      <c r="M584" s="3">
        <f>Table43_1[[#This Row],[QTY 1]]+Table43_1[[#This Row],[QTY 2]]+Table43_1[[#This Row],[QTY 3]]+Table43_1[[#This Row],[QTY 4]]+Table43_1[[#This Row],[QTY 5]]</f>
        <v>0</v>
      </c>
      <c r="N584" s="3"/>
    </row>
    <row r="585" spans="1:14">
      <c r="A585" t="s">
        <v>2124</v>
      </c>
      <c r="B585" t="s">
        <v>2125</v>
      </c>
      <c r="C585">
        <v>203005</v>
      </c>
      <c r="H585" s="3">
        <f>IFERROR(VLOOKUP(Table43_1[[#This Row],[PCPL KODE 1]],#REF!,3,0),0)</f>
        <v>0</v>
      </c>
      <c r="I585" s="3">
        <f>IFERROR(VLOOKUP(Table43_1[[#This Row],[PCPL KODE 2]],#REF!,3,0),0)</f>
        <v>0</v>
      </c>
      <c r="J585" s="3">
        <f>IFERROR(VLOOKUP(Table43_1[[#This Row],[PCPL KODE 3]],#REF!,3,0),0)</f>
        <v>0</v>
      </c>
      <c r="K585" s="3">
        <f>IFERROR(VLOOKUP(Table43_1[[#This Row],[PCPL KODE 4]],#REF!,3,0),0)</f>
        <v>0</v>
      </c>
      <c r="L585" s="3">
        <f>IFERROR(VLOOKUP(Table43_1[[#This Row],[PCPL KODE 5]],#REF!,3,0),0)</f>
        <v>0</v>
      </c>
      <c r="M585" s="3">
        <f>Table43_1[[#This Row],[QTY 1]]+Table43_1[[#This Row],[QTY 2]]+Table43_1[[#This Row],[QTY 3]]+Table43_1[[#This Row],[QTY 4]]+Table43_1[[#This Row],[QTY 5]]</f>
        <v>0</v>
      </c>
      <c r="N585" s="3"/>
    </row>
    <row r="586" spans="1:14">
      <c r="A586" t="s">
        <v>2126</v>
      </c>
      <c r="B586" t="s">
        <v>2127</v>
      </c>
      <c r="C586">
        <v>203004</v>
      </c>
      <c r="H586" s="3">
        <f>IFERROR(VLOOKUP(Table43_1[[#This Row],[PCPL KODE 1]],#REF!,3,0),0)</f>
        <v>0</v>
      </c>
      <c r="I586" s="3">
        <f>IFERROR(VLOOKUP(Table43_1[[#This Row],[PCPL KODE 2]],#REF!,3,0),0)</f>
        <v>0</v>
      </c>
      <c r="J586" s="3">
        <f>IFERROR(VLOOKUP(Table43_1[[#This Row],[PCPL KODE 3]],#REF!,3,0),0)</f>
        <v>0</v>
      </c>
      <c r="K586" s="3">
        <f>IFERROR(VLOOKUP(Table43_1[[#This Row],[PCPL KODE 4]],#REF!,3,0),0)</f>
        <v>0</v>
      </c>
      <c r="L586" s="3">
        <f>IFERROR(VLOOKUP(Table43_1[[#This Row],[PCPL KODE 5]],#REF!,3,0),0)</f>
        <v>0</v>
      </c>
      <c r="M586" s="3">
        <f>Table43_1[[#This Row],[QTY 1]]+Table43_1[[#This Row],[QTY 2]]+Table43_1[[#This Row],[QTY 3]]+Table43_1[[#This Row],[QTY 4]]+Table43_1[[#This Row],[QTY 5]]</f>
        <v>0</v>
      </c>
      <c r="N586" s="3"/>
    </row>
    <row r="587" spans="1:14">
      <c r="A587" t="s">
        <v>2128</v>
      </c>
      <c r="B587" t="s">
        <v>2129</v>
      </c>
      <c r="C587">
        <v>203002</v>
      </c>
      <c r="H587" s="3">
        <f>IFERROR(VLOOKUP(Table43_1[[#This Row],[PCPL KODE 1]],#REF!,3,0),0)</f>
        <v>0</v>
      </c>
      <c r="I587" s="3">
        <f>IFERROR(VLOOKUP(Table43_1[[#This Row],[PCPL KODE 2]],#REF!,3,0),0)</f>
        <v>0</v>
      </c>
      <c r="J587" s="3">
        <f>IFERROR(VLOOKUP(Table43_1[[#This Row],[PCPL KODE 3]],#REF!,3,0),0)</f>
        <v>0</v>
      </c>
      <c r="K587" s="3">
        <f>IFERROR(VLOOKUP(Table43_1[[#This Row],[PCPL KODE 4]],#REF!,3,0),0)</f>
        <v>0</v>
      </c>
      <c r="L587" s="3">
        <f>IFERROR(VLOOKUP(Table43_1[[#This Row],[PCPL KODE 5]],#REF!,3,0),0)</f>
        <v>0</v>
      </c>
      <c r="M587" s="3">
        <f>Table43_1[[#This Row],[QTY 1]]+Table43_1[[#This Row],[QTY 2]]+Table43_1[[#This Row],[QTY 3]]+Table43_1[[#This Row],[QTY 4]]+Table43_1[[#This Row],[QTY 5]]</f>
        <v>0</v>
      </c>
      <c r="N587" s="3"/>
    </row>
    <row r="588" spans="1:14">
      <c r="A588" t="s">
        <v>2130</v>
      </c>
      <c r="B588" t="s">
        <v>2131</v>
      </c>
      <c r="C588">
        <v>203007</v>
      </c>
      <c r="H588" s="3">
        <f>IFERROR(VLOOKUP(Table43_1[[#This Row],[PCPL KODE 1]],#REF!,3,0),0)</f>
        <v>0</v>
      </c>
      <c r="I588" s="3">
        <f>IFERROR(VLOOKUP(Table43_1[[#This Row],[PCPL KODE 2]],#REF!,3,0),0)</f>
        <v>0</v>
      </c>
      <c r="J588" s="3">
        <f>IFERROR(VLOOKUP(Table43_1[[#This Row],[PCPL KODE 3]],#REF!,3,0),0)</f>
        <v>0</v>
      </c>
      <c r="K588" s="3">
        <f>IFERROR(VLOOKUP(Table43_1[[#This Row],[PCPL KODE 4]],#REF!,3,0),0)</f>
        <v>0</v>
      </c>
      <c r="L588" s="3">
        <f>IFERROR(VLOOKUP(Table43_1[[#This Row],[PCPL KODE 5]],#REF!,3,0),0)</f>
        <v>0</v>
      </c>
      <c r="M588" s="3">
        <f>Table43_1[[#This Row],[QTY 1]]+Table43_1[[#This Row],[QTY 2]]+Table43_1[[#This Row],[QTY 3]]+Table43_1[[#This Row],[QTY 4]]+Table43_1[[#This Row],[QTY 5]]</f>
        <v>0</v>
      </c>
      <c r="N588" s="3"/>
    </row>
    <row r="589" spans="1:14">
      <c r="A589" t="s">
        <v>2132</v>
      </c>
      <c r="B589" t="s">
        <v>2133</v>
      </c>
      <c r="C589">
        <v>203019</v>
      </c>
      <c r="H589" s="3">
        <f>IFERROR(VLOOKUP(Table43_1[[#This Row],[PCPL KODE 1]],#REF!,3,0),0)</f>
        <v>0</v>
      </c>
      <c r="I589" s="3">
        <f>IFERROR(VLOOKUP(Table43_1[[#This Row],[PCPL KODE 2]],#REF!,3,0),0)</f>
        <v>0</v>
      </c>
      <c r="J589" s="3">
        <f>IFERROR(VLOOKUP(Table43_1[[#This Row],[PCPL KODE 3]],#REF!,3,0),0)</f>
        <v>0</v>
      </c>
      <c r="K589" s="3">
        <f>IFERROR(VLOOKUP(Table43_1[[#This Row],[PCPL KODE 4]],#REF!,3,0),0)</f>
        <v>0</v>
      </c>
      <c r="L589" s="3">
        <f>IFERROR(VLOOKUP(Table43_1[[#This Row],[PCPL KODE 5]],#REF!,3,0),0)</f>
        <v>0</v>
      </c>
      <c r="M589" s="3">
        <f>Table43_1[[#This Row],[QTY 1]]+Table43_1[[#This Row],[QTY 2]]+Table43_1[[#This Row],[QTY 3]]+Table43_1[[#This Row],[QTY 4]]+Table43_1[[#This Row],[QTY 5]]</f>
        <v>0</v>
      </c>
      <c r="N589" s="3"/>
    </row>
    <row r="590" spans="1:14">
      <c r="A590" t="s">
        <v>2134</v>
      </c>
      <c r="B590" t="s">
        <v>2135</v>
      </c>
      <c r="C590">
        <v>203026</v>
      </c>
      <c r="H590" s="3">
        <f>IFERROR(VLOOKUP(Table43_1[[#This Row],[PCPL KODE 1]],#REF!,3,0),0)</f>
        <v>0</v>
      </c>
      <c r="I590" s="3">
        <f>IFERROR(VLOOKUP(Table43_1[[#This Row],[PCPL KODE 2]],#REF!,3,0),0)</f>
        <v>0</v>
      </c>
      <c r="J590" s="3">
        <f>IFERROR(VLOOKUP(Table43_1[[#This Row],[PCPL KODE 3]],#REF!,3,0),0)</f>
        <v>0</v>
      </c>
      <c r="K590" s="3">
        <f>IFERROR(VLOOKUP(Table43_1[[#This Row],[PCPL KODE 4]],#REF!,3,0),0)</f>
        <v>0</v>
      </c>
      <c r="L590" s="3">
        <f>IFERROR(VLOOKUP(Table43_1[[#This Row],[PCPL KODE 5]],#REF!,3,0),0)</f>
        <v>0</v>
      </c>
      <c r="M590" s="3">
        <f>Table43_1[[#This Row],[QTY 1]]+Table43_1[[#This Row],[QTY 2]]+Table43_1[[#This Row],[QTY 3]]+Table43_1[[#This Row],[QTY 4]]+Table43_1[[#This Row],[QTY 5]]</f>
        <v>0</v>
      </c>
      <c r="N590" s="3"/>
    </row>
    <row r="591" spans="1:14">
      <c r="A591" t="s">
        <v>2136</v>
      </c>
      <c r="B591" t="s">
        <v>2137</v>
      </c>
      <c r="C591" t="s">
        <v>2641</v>
      </c>
      <c r="H591" s="3">
        <f>IFERROR(VLOOKUP(Table43_1[[#This Row],[PCPL KODE 1]],#REF!,3,0),0)</f>
        <v>0</v>
      </c>
      <c r="I591" s="3">
        <f>IFERROR(VLOOKUP(Table43_1[[#This Row],[PCPL KODE 2]],#REF!,3,0),0)</f>
        <v>0</v>
      </c>
      <c r="J591" s="3">
        <f>IFERROR(VLOOKUP(Table43_1[[#This Row],[PCPL KODE 3]],#REF!,3,0),0)</f>
        <v>0</v>
      </c>
      <c r="K591" s="3">
        <f>IFERROR(VLOOKUP(Table43_1[[#This Row],[PCPL KODE 4]],#REF!,3,0),0)</f>
        <v>0</v>
      </c>
      <c r="L591" s="3">
        <f>IFERROR(VLOOKUP(Table43_1[[#This Row],[PCPL KODE 5]],#REF!,3,0),0)</f>
        <v>0</v>
      </c>
      <c r="M591" s="3">
        <f>Table43_1[[#This Row],[QTY 1]]+Table43_1[[#This Row],[QTY 2]]+Table43_1[[#This Row],[QTY 3]]+Table43_1[[#This Row],[QTY 4]]+Table43_1[[#This Row],[QTY 5]]</f>
        <v>0</v>
      </c>
      <c r="N591" s="3"/>
    </row>
    <row r="592" spans="1:14">
      <c r="A592" t="s">
        <v>2138</v>
      </c>
      <c r="B592" t="s">
        <v>2139</v>
      </c>
      <c r="C592" t="s">
        <v>2642</v>
      </c>
      <c r="H592" s="3">
        <f>IFERROR(VLOOKUP(Table43_1[[#This Row],[PCPL KODE 1]],#REF!,3,0),0)</f>
        <v>0</v>
      </c>
      <c r="I592" s="3">
        <f>IFERROR(VLOOKUP(Table43_1[[#This Row],[PCPL KODE 2]],#REF!,3,0),0)</f>
        <v>0</v>
      </c>
      <c r="J592" s="3">
        <f>IFERROR(VLOOKUP(Table43_1[[#This Row],[PCPL KODE 3]],#REF!,3,0),0)</f>
        <v>0</v>
      </c>
      <c r="K592" s="3">
        <f>IFERROR(VLOOKUP(Table43_1[[#This Row],[PCPL KODE 4]],#REF!,3,0),0)</f>
        <v>0</v>
      </c>
      <c r="L592" s="3">
        <f>IFERROR(VLOOKUP(Table43_1[[#This Row],[PCPL KODE 5]],#REF!,3,0),0)</f>
        <v>0</v>
      </c>
      <c r="M592" s="3">
        <f>Table43_1[[#This Row],[QTY 1]]+Table43_1[[#This Row],[QTY 2]]+Table43_1[[#This Row],[QTY 3]]+Table43_1[[#This Row],[QTY 4]]+Table43_1[[#This Row],[QTY 5]]</f>
        <v>0</v>
      </c>
      <c r="N592" s="3"/>
    </row>
    <row r="593" spans="1:14">
      <c r="A593" t="s">
        <v>2140</v>
      </c>
      <c r="B593" t="s">
        <v>2141</v>
      </c>
      <c r="C593">
        <v>203024</v>
      </c>
      <c r="H593" s="3">
        <f>IFERROR(VLOOKUP(Table43_1[[#This Row],[PCPL KODE 1]],#REF!,3,0),0)</f>
        <v>0</v>
      </c>
      <c r="I593" s="3">
        <f>IFERROR(VLOOKUP(Table43_1[[#This Row],[PCPL KODE 2]],#REF!,3,0),0)</f>
        <v>0</v>
      </c>
      <c r="J593" s="3">
        <f>IFERROR(VLOOKUP(Table43_1[[#This Row],[PCPL KODE 3]],#REF!,3,0),0)</f>
        <v>0</v>
      </c>
      <c r="K593" s="3">
        <f>IFERROR(VLOOKUP(Table43_1[[#This Row],[PCPL KODE 4]],#REF!,3,0),0)</f>
        <v>0</v>
      </c>
      <c r="L593" s="3">
        <f>IFERROR(VLOOKUP(Table43_1[[#This Row],[PCPL KODE 5]],#REF!,3,0),0)</f>
        <v>0</v>
      </c>
      <c r="M593" s="3">
        <f>Table43_1[[#This Row],[QTY 1]]+Table43_1[[#This Row],[QTY 2]]+Table43_1[[#This Row],[QTY 3]]+Table43_1[[#This Row],[QTY 4]]+Table43_1[[#This Row],[QTY 5]]</f>
        <v>0</v>
      </c>
      <c r="N593" s="3"/>
    </row>
    <row r="594" spans="1:14">
      <c r="A594" t="s">
        <v>2142</v>
      </c>
      <c r="B594" t="s">
        <v>2143</v>
      </c>
      <c r="C594">
        <v>203023</v>
      </c>
      <c r="H594" s="3">
        <f>IFERROR(VLOOKUP(Table43_1[[#This Row],[PCPL KODE 1]],#REF!,3,0),0)</f>
        <v>0</v>
      </c>
      <c r="I594" s="3">
        <f>IFERROR(VLOOKUP(Table43_1[[#This Row],[PCPL KODE 2]],#REF!,3,0),0)</f>
        <v>0</v>
      </c>
      <c r="J594" s="3">
        <f>IFERROR(VLOOKUP(Table43_1[[#This Row],[PCPL KODE 3]],#REF!,3,0),0)</f>
        <v>0</v>
      </c>
      <c r="K594" s="3">
        <f>IFERROR(VLOOKUP(Table43_1[[#This Row],[PCPL KODE 4]],#REF!,3,0),0)</f>
        <v>0</v>
      </c>
      <c r="L594" s="3">
        <f>IFERROR(VLOOKUP(Table43_1[[#This Row],[PCPL KODE 5]],#REF!,3,0),0)</f>
        <v>0</v>
      </c>
      <c r="M594" s="3">
        <f>Table43_1[[#This Row],[QTY 1]]+Table43_1[[#This Row],[QTY 2]]+Table43_1[[#This Row],[QTY 3]]+Table43_1[[#This Row],[QTY 4]]+Table43_1[[#This Row],[QTY 5]]</f>
        <v>0</v>
      </c>
      <c r="N594" s="3"/>
    </row>
    <row r="595" spans="1:14">
      <c r="A595" t="s">
        <v>2144</v>
      </c>
      <c r="B595" t="s">
        <v>2145</v>
      </c>
      <c r="C595">
        <v>203018</v>
      </c>
      <c r="H595" s="3">
        <f>IFERROR(VLOOKUP(Table43_1[[#This Row],[PCPL KODE 1]],#REF!,3,0),0)</f>
        <v>0</v>
      </c>
      <c r="I595" s="3">
        <f>IFERROR(VLOOKUP(Table43_1[[#This Row],[PCPL KODE 2]],#REF!,3,0),0)</f>
        <v>0</v>
      </c>
      <c r="J595" s="3">
        <f>IFERROR(VLOOKUP(Table43_1[[#This Row],[PCPL KODE 3]],#REF!,3,0),0)</f>
        <v>0</v>
      </c>
      <c r="K595" s="3">
        <f>IFERROR(VLOOKUP(Table43_1[[#This Row],[PCPL KODE 4]],#REF!,3,0),0)</f>
        <v>0</v>
      </c>
      <c r="L595" s="3">
        <f>IFERROR(VLOOKUP(Table43_1[[#This Row],[PCPL KODE 5]],#REF!,3,0),0)</f>
        <v>0</v>
      </c>
      <c r="M595" s="3">
        <f>Table43_1[[#This Row],[QTY 1]]+Table43_1[[#This Row],[QTY 2]]+Table43_1[[#This Row],[QTY 3]]+Table43_1[[#This Row],[QTY 4]]+Table43_1[[#This Row],[QTY 5]]</f>
        <v>0</v>
      </c>
      <c r="N595" s="3"/>
    </row>
    <row r="596" spans="1:14">
      <c r="A596" t="s">
        <v>2146</v>
      </c>
      <c r="B596" t="s">
        <v>2147</v>
      </c>
      <c r="C596">
        <v>203013</v>
      </c>
      <c r="H596" s="3">
        <f>IFERROR(VLOOKUP(Table43_1[[#This Row],[PCPL KODE 1]],#REF!,3,0),0)</f>
        <v>0</v>
      </c>
      <c r="I596" s="3">
        <f>IFERROR(VLOOKUP(Table43_1[[#This Row],[PCPL KODE 2]],#REF!,3,0),0)</f>
        <v>0</v>
      </c>
      <c r="J596" s="3">
        <f>IFERROR(VLOOKUP(Table43_1[[#This Row],[PCPL KODE 3]],#REF!,3,0),0)</f>
        <v>0</v>
      </c>
      <c r="K596" s="3">
        <f>IFERROR(VLOOKUP(Table43_1[[#This Row],[PCPL KODE 4]],#REF!,3,0),0)</f>
        <v>0</v>
      </c>
      <c r="L596" s="3">
        <f>IFERROR(VLOOKUP(Table43_1[[#This Row],[PCPL KODE 5]],#REF!,3,0),0)</f>
        <v>0</v>
      </c>
      <c r="M596" s="3">
        <f>Table43_1[[#This Row],[QTY 1]]+Table43_1[[#This Row],[QTY 2]]+Table43_1[[#This Row],[QTY 3]]+Table43_1[[#This Row],[QTY 4]]+Table43_1[[#This Row],[QTY 5]]</f>
        <v>0</v>
      </c>
      <c r="N596" s="3"/>
    </row>
    <row r="597" spans="1:14">
      <c r="A597" t="s">
        <v>2148</v>
      </c>
      <c r="B597" t="s">
        <v>3547</v>
      </c>
      <c r="C597">
        <v>203017</v>
      </c>
      <c r="H597" s="3">
        <f>IFERROR(VLOOKUP(Table43_1[[#This Row],[PCPL KODE 1]],#REF!,3,0),0)</f>
        <v>0</v>
      </c>
      <c r="I597" s="3">
        <f>IFERROR(VLOOKUP(Table43_1[[#This Row],[PCPL KODE 2]],#REF!,3,0),0)</f>
        <v>0</v>
      </c>
      <c r="J597" s="3">
        <f>IFERROR(VLOOKUP(Table43_1[[#This Row],[PCPL KODE 3]],#REF!,3,0),0)</f>
        <v>0</v>
      </c>
      <c r="K597" s="3">
        <f>IFERROR(VLOOKUP(Table43_1[[#This Row],[PCPL KODE 4]],#REF!,3,0),0)</f>
        <v>0</v>
      </c>
      <c r="L597" s="3">
        <f>IFERROR(VLOOKUP(Table43_1[[#This Row],[PCPL KODE 5]],#REF!,3,0),0)</f>
        <v>0</v>
      </c>
      <c r="M597" s="3">
        <f>Table43_1[[#This Row],[QTY 1]]+Table43_1[[#This Row],[QTY 2]]+Table43_1[[#This Row],[QTY 3]]+Table43_1[[#This Row],[QTY 4]]+Table43_1[[#This Row],[QTY 5]]</f>
        <v>0</v>
      </c>
      <c r="N597" s="3"/>
    </row>
    <row r="598" spans="1:14">
      <c r="A598" t="s">
        <v>2150</v>
      </c>
      <c r="B598" t="s">
        <v>2151</v>
      </c>
      <c r="C598">
        <v>203027</v>
      </c>
      <c r="H598" s="3">
        <f>IFERROR(VLOOKUP(Table43_1[[#This Row],[PCPL KODE 1]],#REF!,3,0),0)</f>
        <v>0</v>
      </c>
      <c r="I598" s="3">
        <f>IFERROR(VLOOKUP(Table43_1[[#This Row],[PCPL KODE 2]],#REF!,3,0),0)</f>
        <v>0</v>
      </c>
      <c r="J598" s="3">
        <f>IFERROR(VLOOKUP(Table43_1[[#This Row],[PCPL KODE 3]],#REF!,3,0),0)</f>
        <v>0</v>
      </c>
      <c r="K598" s="3">
        <f>IFERROR(VLOOKUP(Table43_1[[#This Row],[PCPL KODE 4]],#REF!,3,0),0)</f>
        <v>0</v>
      </c>
      <c r="L598" s="3">
        <f>IFERROR(VLOOKUP(Table43_1[[#This Row],[PCPL KODE 5]],#REF!,3,0),0)</f>
        <v>0</v>
      </c>
      <c r="M598" s="3">
        <f>Table43_1[[#This Row],[QTY 1]]+Table43_1[[#This Row],[QTY 2]]+Table43_1[[#This Row],[QTY 3]]+Table43_1[[#This Row],[QTY 4]]+Table43_1[[#This Row],[QTY 5]]</f>
        <v>0</v>
      </c>
      <c r="N598" s="3"/>
    </row>
    <row r="599" spans="1:14">
      <c r="A599" t="s">
        <v>2152</v>
      </c>
      <c r="B599" t="s">
        <v>2153</v>
      </c>
      <c r="C599">
        <v>203014</v>
      </c>
      <c r="H599" s="3">
        <f>IFERROR(VLOOKUP(Table43_1[[#This Row],[PCPL KODE 1]],#REF!,3,0),0)</f>
        <v>0</v>
      </c>
      <c r="I599" s="3">
        <f>IFERROR(VLOOKUP(Table43_1[[#This Row],[PCPL KODE 2]],#REF!,3,0),0)</f>
        <v>0</v>
      </c>
      <c r="J599" s="3">
        <f>IFERROR(VLOOKUP(Table43_1[[#This Row],[PCPL KODE 3]],#REF!,3,0),0)</f>
        <v>0</v>
      </c>
      <c r="K599" s="3">
        <f>IFERROR(VLOOKUP(Table43_1[[#This Row],[PCPL KODE 4]],#REF!,3,0),0)</f>
        <v>0</v>
      </c>
      <c r="L599" s="3">
        <f>IFERROR(VLOOKUP(Table43_1[[#This Row],[PCPL KODE 5]],#REF!,3,0),0)</f>
        <v>0</v>
      </c>
      <c r="M599" s="3">
        <f>Table43_1[[#This Row],[QTY 1]]+Table43_1[[#This Row],[QTY 2]]+Table43_1[[#This Row],[QTY 3]]+Table43_1[[#This Row],[QTY 4]]+Table43_1[[#This Row],[QTY 5]]</f>
        <v>0</v>
      </c>
      <c r="N599" s="3"/>
    </row>
    <row r="600" spans="1:14">
      <c r="A600" t="s">
        <v>2154</v>
      </c>
      <c r="B600" t="s">
        <v>2155</v>
      </c>
      <c r="C600">
        <v>203015</v>
      </c>
      <c r="H600" s="3">
        <f>IFERROR(VLOOKUP(Table43_1[[#This Row],[PCPL KODE 1]],#REF!,3,0),0)</f>
        <v>0</v>
      </c>
      <c r="I600" s="3">
        <f>IFERROR(VLOOKUP(Table43_1[[#This Row],[PCPL KODE 2]],#REF!,3,0),0)</f>
        <v>0</v>
      </c>
      <c r="J600" s="3">
        <f>IFERROR(VLOOKUP(Table43_1[[#This Row],[PCPL KODE 3]],#REF!,3,0),0)</f>
        <v>0</v>
      </c>
      <c r="K600" s="3">
        <f>IFERROR(VLOOKUP(Table43_1[[#This Row],[PCPL KODE 4]],#REF!,3,0),0)</f>
        <v>0</v>
      </c>
      <c r="L600" s="3">
        <f>IFERROR(VLOOKUP(Table43_1[[#This Row],[PCPL KODE 5]],#REF!,3,0),0)</f>
        <v>0</v>
      </c>
      <c r="M600" s="3">
        <f>Table43_1[[#This Row],[QTY 1]]+Table43_1[[#This Row],[QTY 2]]+Table43_1[[#This Row],[QTY 3]]+Table43_1[[#This Row],[QTY 4]]+Table43_1[[#This Row],[QTY 5]]</f>
        <v>0</v>
      </c>
      <c r="N600" s="3"/>
    </row>
    <row r="601" spans="1:14">
      <c r="A601" t="s">
        <v>2156</v>
      </c>
      <c r="B601" t="s">
        <v>2157</v>
      </c>
      <c r="C601">
        <v>203016</v>
      </c>
      <c r="H601" s="3">
        <f>IFERROR(VLOOKUP(Table43_1[[#This Row],[PCPL KODE 1]],#REF!,3,0),0)</f>
        <v>0</v>
      </c>
      <c r="I601" s="3">
        <f>IFERROR(VLOOKUP(Table43_1[[#This Row],[PCPL KODE 2]],#REF!,3,0),0)</f>
        <v>0</v>
      </c>
      <c r="J601" s="3">
        <f>IFERROR(VLOOKUP(Table43_1[[#This Row],[PCPL KODE 3]],#REF!,3,0),0)</f>
        <v>0</v>
      </c>
      <c r="K601" s="3">
        <f>IFERROR(VLOOKUP(Table43_1[[#This Row],[PCPL KODE 4]],#REF!,3,0),0)</f>
        <v>0</v>
      </c>
      <c r="L601" s="3">
        <f>IFERROR(VLOOKUP(Table43_1[[#This Row],[PCPL KODE 5]],#REF!,3,0),0)</f>
        <v>0</v>
      </c>
      <c r="M601" s="3">
        <f>Table43_1[[#This Row],[QTY 1]]+Table43_1[[#This Row],[QTY 2]]+Table43_1[[#This Row],[QTY 3]]+Table43_1[[#This Row],[QTY 4]]+Table43_1[[#This Row],[QTY 5]]</f>
        <v>0</v>
      </c>
      <c r="N601" s="3"/>
    </row>
    <row r="602" spans="1:14">
      <c r="A602" t="s">
        <v>3455</v>
      </c>
      <c r="B602" t="s">
        <v>3456</v>
      </c>
      <c r="C602">
        <v>203048</v>
      </c>
      <c r="H602" s="3">
        <f>IFERROR(VLOOKUP(Table43_1[[#This Row],[PCPL KODE 1]],#REF!,3,0),0)</f>
        <v>0</v>
      </c>
      <c r="I602" s="3">
        <f>IFERROR(VLOOKUP(Table43_1[[#This Row],[PCPL KODE 2]],#REF!,3,0),0)</f>
        <v>0</v>
      </c>
      <c r="J602" s="3">
        <f>IFERROR(VLOOKUP(Table43_1[[#This Row],[PCPL KODE 3]],#REF!,3,0),0)</f>
        <v>0</v>
      </c>
      <c r="K602" s="3">
        <f>IFERROR(VLOOKUP(Table43_1[[#This Row],[PCPL KODE 4]],#REF!,3,0),0)</f>
        <v>0</v>
      </c>
      <c r="L602" s="3">
        <f>IFERROR(VLOOKUP(Table43_1[[#This Row],[PCPL KODE 5]],#REF!,3,0),0)</f>
        <v>0</v>
      </c>
      <c r="M602" s="3">
        <f>Table43_1[[#This Row],[QTY 1]]+Table43_1[[#This Row],[QTY 2]]+Table43_1[[#This Row],[QTY 3]]+Table43_1[[#This Row],[QTY 4]]+Table43_1[[#This Row],[QTY 5]]</f>
        <v>0</v>
      </c>
      <c r="N602" s="3"/>
    </row>
    <row r="603" spans="1:14">
      <c r="A603" t="s">
        <v>2557</v>
      </c>
      <c r="B603" t="s">
        <v>3548</v>
      </c>
      <c r="C603">
        <v>203047</v>
      </c>
      <c r="H603" s="3">
        <f>IFERROR(VLOOKUP(Table43_1[[#This Row],[PCPL KODE 1]],#REF!,3,0),0)</f>
        <v>0</v>
      </c>
      <c r="I603" s="3">
        <f>IFERROR(VLOOKUP(Table43_1[[#This Row],[PCPL KODE 2]],#REF!,3,0),0)</f>
        <v>0</v>
      </c>
      <c r="J603" s="3">
        <f>IFERROR(VLOOKUP(Table43_1[[#This Row],[PCPL KODE 3]],#REF!,3,0),0)</f>
        <v>0</v>
      </c>
      <c r="K603" s="3">
        <f>IFERROR(VLOOKUP(Table43_1[[#This Row],[PCPL KODE 4]],#REF!,3,0),0)</f>
        <v>0</v>
      </c>
      <c r="L603" s="3">
        <f>IFERROR(VLOOKUP(Table43_1[[#This Row],[PCPL KODE 5]],#REF!,3,0),0)</f>
        <v>0</v>
      </c>
      <c r="M603" s="3">
        <f>Table43_1[[#This Row],[QTY 1]]+Table43_1[[#This Row],[QTY 2]]+Table43_1[[#This Row],[QTY 3]]+Table43_1[[#This Row],[QTY 4]]+Table43_1[[#This Row],[QTY 5]]</f>
        <v>0</v>
      </c>
      <c r="N603" s="3"/>
    </row>
    <row r="604" spans="1:14">
      <c r="A604" t="s">
        <v>2411</v>
      </c>
      <c r="B604" t="s">
        <v>1398</v>
      </c>
      <c r="C604">
        <v>203025</v>
      </c>
      <c r="H604" s="3">
        <f>IFERROR(VLOOKUP(Table43_1[[#This Row],[PCPL KODE 1]],#REF!,3,0),0)</f>
        <v>0</v>
      </c>
      <c r="I604" s="3">
        <f>IFERROR(VLOOKUP(Table43_1[[#This Row],[PCPL KODE 2]],#REF!,3,0),0)</f>
        <v>0</v>
      </c>
      <c r="J604" s="3">
        <f>IFERROR(VLOOKUP(Table43_1[[#This Row],[PCPL KODE 3]],#REF!,3,0),0)</f>
        <v>0</v>
      </c>
      <c r="K604" s="3">
        <f>IFERROR(VLOOKUP(Table43_1[[#This Row],[PCPL KODE 4]],#REF!,3,0),0)</f>
        <v>0</v>
      </c>
      <c r="L604" s="3">
        <f>IFERROR(VLOOKUP(Table43_1[[#This Row],[PCPL KODE 5]],#REF!,3,0),0)</f>
        <v>0</v>
      </c>
      <c r="M604" s="3">
        <f>Table43_1[[#This Row],[QTY 1]]+Table43_1[[#This Row],[QTY 2]]+Table43_1[[#This Row],[QTY 3]]+Table43_1[[#This Row],[QTY 4]]+Table43_1[[#This Row],[QTY 5]]</f>
        <v>0</v>
      </c>
      <c r="N604" s="3"/>
    </row>
  </sheetData>
  <conditionalFormatting sqref="A1:A1048576">
    <cfRule type="duplicateValues" dxfId="65" priority="1"/>
    <cfRule type="duplicateValues" dxfId="64" priority="2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4E20-E92C-41F6-B2DE-1717D3D13FB4}">
  <dimension ref="A1:W607"/>
  <sheetViews>
    <sheetView topLeftCell="J584" workbookViewId="0">
      <selection activeCell="S591" sqref="S591"/>
    </sheetView>
  </sheetViews>
  <sheetFormatPr defaultRowHeight="15"/>
  <cols>
    <col min="1" max="1" width="16.140625" customWidth="1"/>
    <col min="2" max="2" width="57.140625" bestFit="1" customWidth="1"/>
    <col min="3" max="3" width="9.7109375" customWidth="1"/>
    <col min="4" max="4" width="10.5703125" customWidth="1"/>
    <col min="5" max="5" width="19.42578125" customWidth="1"/>
    <col min="6" max="6" width="20.42578125" bestFit="1" customWidth="1"/>
    <col min="7" max="7" width="20.5703125" bestFit="1" customWidth="1"/>
    <col min="8" max="8" width="20.7109375" bestFit="1" customWidth="1"/>
    <col min="9" max="9" width="20.42578125" bestFit="1" customWidth="1"/>
    <col min="10" max="10" width="23.28515625" bestFit="1" customWidth="1"/>
    <col min="11" max="11" width="23.42578125" bestFit="1" customWidth="1"/>
    <col min="12" max="12" width="22.85546875" bestFit="1" customWidth="1"/>
    <col min="13" max="13" width="23.28515625" bestFit="1" customWidth="1"/>
    <col min="14" max="14" width="23.7109375" bestFit="1" customWidth="1"/>
    <col min="15" max="15" width="23.85546875" bestFit="1" customWidth="1"/>
    <col min="16" max="16" width="24" bestFit="1" customWidth="1"/>
    <col min="17" max="17" width="23.7109375" bestFit="1" customWidth="1"/>
    <col min="18" max="18" width="18.42578125" customWidth="1"/>
    <col min="19" max="23" width="14.140625" customWidth="1"/>
  </cols>
  <sheetData>
    <row r="1" spans="1:23">
      <c r="A1" t="s">
        <v>2552</v>
      </c>
      <c r="B1" t="s">
        <v>2553</v>
      </c>
      <c r="C1" t="s">
        <v>5</v>
      </c>
      <c r="D1" t="s">
        <v>2</v>
      </c>
      <c r="E1" t="s">
        <v>2554</v>
      </c>
      <c r="F1" t="s">
        <v>41</v>
      </c>
      <c r="G1" t="s">
        <v>40</v>
      </c>
      <c r="H1" t="s">
        <v>42</v>
      </c>
      <c r="I1" t="s">
        <v>43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2551</v>
      </c>
      <c r="S1" t="s">
        <v>299</v>
      </c>
      <c r="T1" t="s">
        <v>300</v>
      </c>
      <c r="U1" t="s">
        <v>301</v>
      </c>
      <c r="V1" t="s">
        <v>302</v>
      </c>
      <c r="W1" t="s">
        <v>303</v>
      </c>
    </row>
    <row r="2" spans="1:23">
      <c r="A2" t="s">
        <v>1041</v>
      </c>
      <c r="B2" t="s">
        <v>1042</v>
      </c>
      <c r="C2">
        <v>36</v>
      </c>
      <c r="D2">
        <f>IFERROR(VLOOKUP(Fix_Mapping[[#This Row],[KODE BARANG]],[1]!KINONF15[[KDBRG]:[HRG_JLMT_CTN+PPN]],5,0),0)</f>
        <v>0</v>
      </c>
      <c r="E2" t="s">
        <v>2158</v>
      </c>
      <c r="F2">
        <f>IFERROR(VLOOKUP(Fix_Mapping[[#This Row],[KODE BARANG]],[1]!KINONF15[[KDBRG]:[HRG_JLMT_CTN+PPN]],7,0),0)</f>
        <v>0</v>
      </c>
      <c r="G2">
        <f>IFERROR(VLOOKUP(Fix_Mapping[[#This Row],[KODE BARANG]],[1]!KINONF15[[KDBRG]:[HRG_JLMT_CTN+PPN]],8,0),0)</f>
        <v>0</v>
      </c>
      <c r="H2">
        <f>IFERROR(VLOOKUP(Fix_Mapping[[#This Row],[KODE BARANG]],[1]!KINONF15[[KDBRG]:[HRG_JLMT_CTN+PPN]],9,0),0)</f>
        <v>0</v>
      </c>
      <c r="I2">
        <f>IFERROR(VLOOKUP(Fix_Mapping[[#This Row],[KODE BARANG]],[1]!KINONF15[[KDBRG]:[HRG_JLMT_CTN+PPN]],10,0),0)</f>
        <v>0</v>
      </c>
      <c r="J2">
        <f>IFERROR(VLOOKUP(Fix_Mapping[[#This Row],[KODE BARANG]],[1]!KINONF15[[KDBRG]:[HRG_JLMT_CTN+PPN]],11,0),0)</f>
        <v>0</v>
      </c>
      <c r="K2">
        <f>IFERROR(VLOOKUP(Fix_Mapping[[#This Row],[KODE BARANG]],[1]!KINONF15[[KDBRG]:[HRG_JLMT_CTN+PPN]],12,0),0)</f>
        <v>0</v>
      </c>
      <c r="L2">
        <f>IFERROR(VLOOKUP(Fix_Mapping[[#This Row],[KODE BARANG]],[1]!KINONF15[[KDBRG]:[HRG_JLMT_CTN+PPN]],13,0),0)</f>
        <v>0</v>
      </c>
      <c r="M2">
        <f>IFERROR(VLOOKUP(Fix_Mapping[[#This Row],[KODE BARANG]],[1]!KINONF15[[KDBRG]:[HRG_JLMT_CTN+PPN]],14,0),0)</f>
        <v>0</v>
      </c>
      <c r="N2">
        <f>IFERROR(VLOOKUP(Fix_Mapping[[#This Row],[KODE BARANG]],[1]!KINONF15[[KDBRG]:[HRG_JLMT_CTN+PPN]],15,0),0)</f>
        <v>0</v>
      </c>
      <c r="O2">
        <f>IFERROR(VLOOKUP(Fix_Mapping[[#This Row],[KODE BARANG]],[1]!KINONF15[[KDBRG]:[HRG_JLMT_CTN+PPN]],16,0),0)</f>
        <v>0</v>
      </c>
      <c r="P2">
        <f>IFERROR(VLOOKUP(Fix_Mapping[[#This Row],[KODE BARANG]],[1]!KINONF15[[KDBRG]:[HRG_JLMT_CTN+PPN]],17,0),0)</f>
        <v>0</v>
      </c>
      <c r="Q2">
        <f>IFERROR(VLOOKUP(Fix_Mapping[[#This Row],[KODE BARANG]],[1]!KINONF15[[KDBRG]:[HRG_JLMT_CTN+PPN]],18,0),0)</f>
        <v>0</v>
      </c>
      <c r="R2" t="s">
        <v>2555</v>
      </c>
      <c r="S2" t="s">
        <v>979</v>
      </c>
      <c r="T2">
        <v>0</v>
      </c>
      <c r="U2">
        <v>0</v>
      </c>
      <c r="V2">
        <v>0</v>
      </c>
      <c r="W2">
        <v>0</v>
      </c>
    </row>
    <row r="3" spans="1:23">
      <c r="A3" t="s">
        <v>1043</v>
      </c>
      <c r="B3" t="s">
        <v>1044</v>
      </c>
      <c r="C3">
        <v>36</v>
      </c>
      <c r="D3">
        <f>IFERROR(VLOOKUP(Fix_Mapping[[#This Row],[KODE BARANG]],[1]!KINONF15[[KDBRG]:[HRG_JLMT_CTN+PPN]],5,0),0)</f>
        <v>0</v>
      </c>
      <c r="E3" t="s">
        <v>2158</v>
      </c>
      <c r="F3">
        <f>IFERROR(VLOOKUP(Fix_Mapping[[#This Row],[KODE BARANG]],[1]!KINONF15[[KDBRG]:[HRG_JLMT_CTN+PPN]],7,0),0)</f>
        <v>0</v>
      </c>
      <c r="G3">
        <f>IFERROR(VLOOKUP(Fix_Mapping[[#This Row],[KODE BARANG]],[1]!KINONF15[[KDBRG]:[HRG_JLMT_CTN+PPN]],8,0),0)</f>
        <v>0</v>
      </c>
      <c r="H3">
        <f>IFERROR(VLOOKUP(Fix_Mapping[[#This Row],[KODE BARANG]],[1]!KINONF15[[KDBRG]:[HRG_JLMT_CTN+PPN]],9,0),0)</f>
        <v>0</v>
      </c>
      <c r="I3">
        <f>IFERROR(VLOOKUP(Fix_Mapping[[#This Row],[KODE BARANG]],[1]!KINONF15[[KDBRG]:[HRG_JLMT_CTN+PPN]],10,0),0)</f>
        <v>0</v>
      </c>
      <c r="J3">
        <f>IFERROR(VLOOKUP(Fix_Mapping[[#This Row],[KODE BARANG]],[1]!KINONF15[[KDBRG]:[HRG_JLMT_CTN+PPN]],11,0),0)</f>
        <v>0</v>
      </c>
      <c r="K3">
        <f>IFERROR(VLOOKUP(Fix_Mapping[[#This Row],[KODE BARANG]],[1]!KINONF15[[KDBRG]:[HRG_JLMT_CTN+PPN]],12,0),0)</f>
        <v>0</v>
      </c>
      <c r="L3">
        <f>IFERROR(VLOOKUP(Fix_Mapping[[#This Row],[KODE BARANG]],[1]!KINONF15[[KDBRG]:[HRG_JLMT_CTN+PPN]],13,0),0)</f>
        <v>0</v>
      </c>
      <c r="M3">
        <f>IFERROR(VLOOKUP(Fix_Mapping[[#This Row],[KODE BARANG]],[1]!KINONF15[[KDBRG]:[HRG_JLMT_CTN+PPN]],14,0),0)</f>
        <v>0</v>
      </c>
      <c r="N3">
        <f>IFERROR(VLOOKUP(Fix_Mapping[[#This Row],[KODE BARANG]],[1]!KINONF15[[KDBRG]:[HRG_JLMT_CTN+PPN]],15,0),0)</f>
        <v>0</v>
      </c>
      <c r="O3">
        <f>IFERROR(VLOOKUP(Fix_Mapping[[#This Row],[KODE BARANG]],[1]!KINONF15[[KDBRG]:[HRG_JLMT_CTN+PPN]],16,0),0)</f>
        <v>0</v>
      </c>
      <c r="P3">
        <f>IFERROR(VLOOKUP(Fix_Mapping[[#This Row],[KODE BARANG]],[1]!KINONF15[[KDBRG]:[HRG_JLMT_CTN+PPN]],17,0),0)</f>
        <v>0</v>
      </c>
      <c r="Q3">
        <f>IFERROR(VLOOKUP(Fix_Mapping[[#This Row],[KODE BARANG]],[1]!KINONF15[[KDBRG]:[HRG_JLMT_CTN+PPN]],18,0),0)</f>
        <v>0</v>
      </c>
      <c r="R3" t="s">
        <v>2555</v>
      </c>
      <c r="S3" t="s">
        <v>980</v>
      </c>
      <c r="T3">
        <v>0</v>
      </c>
      <c r="U3">
        <v>0</v>
      </c>
      <c r="V3">
        <v>0</v>
      </c>
      <c r="W3">
        <v>0</v>
      </c>
    </row>
    <row r="4" spans="1:23">
      <c r="A4" t="s">
        <v>1045</v>
      </c>
      <c r="B4" t="s">
        <v>1046</v>
      </c>
      <c r="C4">
        <v>36</v>
      </c>
      <c r="D4">
        <f>IFERROR(VLOOKUP(Fix_Mapping[[#This Row],[KODE BARANG]],[1]!KINONF15[[KDBRG]:[HRG_JLMT_CTN+PPN]],5,0),0)</f>
        <v>0</v>
      </c>
      <c r="E4" t="s">
        <v>2158</v>
      </c>
      <c r="F4">
        <f>IFERROR(VLOOKUP(Fix_Mapping[[#This Row],[KODE BARANG]],[1]!KINONF15[[KDBRG]:[HRG_JLMT_CTN+PPN]],7,0),0)</f>
        <v>0</v>
      </c>
      <c r="G4">
        <f>IFERROR(VLOOKUP(Fix_Mapping[[#This Row],[KODE BARANG]],[1]!KINONF15[[KDBRG]:[HRG_JLMT_CTN+PPN]],8,0),0)</f>
        <v>0</v>
      </c>
      <c r="H4">
        <f>IFERROR(VLOOKUP(Fix_Mapping[[#This Row],[KODE BARANG]],[1]!KINONF15[[KDBRG]:[HRG_JLMT_CTN+PPN]],9,0),0)</f>
        <v>0</v>
      </c>
      <c r="I4">
        <f>IFERROR(VLOOKUP(Fix_Mapping[[#This Row],[KODE BARANG]],[1]!KINONF15[[KDBRG]:[HRG_JLMT_CTN+PPN]],10,0),0)</f>
        <v>0</v>
      </c>
      <c r="J4">
        <f>IFERROR(VLOOKUP(Fix_Mapping[[#This Row],[KODE BARANG]],[1]!KINONF15[[KDBRG]:[HRG_JLMT_CTN+PPN]],11,0),0)</f>
        <v>0</v>
      </c>
      <c r="K4">
        <f>IFERROR(VLOOKUP(Fix_Mapping[[#This Row],[KODE BARANG]],[1]!KINONF15[[KDBRG]:[HRG_JLMT_CTN+PPN]],12,0),0)</f>
        <v>0</v>
      </c>
      <c r="L4">
        <f>IFERROR(VLOOKUP(Fix_Mapping[[#This Row],[KODE BARANG]],[1]!KINONF15[[KDBRG]:[HRG_JLMT_CTN+PPN]],13,0),0)</f>
        <v>0</v>
      </c>
      <c r="M4">
        <f>IFERROR(VLOOKUP(Fix_Mapping[[#This Row],[KODE BARANG]],[1]!KINONF15[[KDBRG]:[HRG_JLMT_CTN+PPN]],14,0),0)</f>
        <v>0</v>
      </c>
      <c r="N4">
        <f>IFERROR(VLOOKUP(Fix_Mapping[[#This Row],[KODE BARANG]],[1]!KINONF15[[KDBRG]:[HRG_JLMT_CTN+PPN]],15,0),0)</f>
        <v>0</v>
      </c>
      <c r="O4">
        <f>IFERROR(VLOOKUP(Fix_Mapping[[#This Row],[KODE BARANG]],[1]!KINONF15[[KDBRG]:[HRG_JLMT_CTN+PPN]],16,0),0)</f>
        <v>0</v>
      </c>
      <c r="P4">
        <f>IFERROR(VLOOKUP(Fix_Mapping[[#This Row],[KODE BARANG]],[1]!KINONF15[[KDBRG]:[HRG_JLMT_CTN+PPN]],17,0),0)</f>
        <v>0</v>
      </c>
      <c r="Q4">
        <f>IFERROR(VLOOKUP(Fix_Mapping[[#This Row],[KODE BARANG]],[1]!KINONF15[[KDBRG]:[HRG_JLMT_CTN+PPN]],18,0),0)</f>
        <v>0</v>
      </c>
      <c r="R4" t="s">
        <v>2555</v>
      </c>
      <c r="S4" t="s">
        <v>981</v>
      </c>
      <c r="T4">
        <v>0</v>
      </c>
      <c r="U4">
        <v>0</v>
      </c>
      <c r="V4">
        <v>0</v>
      </c>
      <c r="W4">
        <v>0</v>
      </c>
    </row>
    <row r="5" spans="1:23">
      <c r="A5" t="s">
        <v>1047</v>
      </c>
      <c r="B5" t="s">
        <v>1048</v>
      </c>
      <c r="C5">
        <v>36</v>
      </c>
      <c r="D5">
        <f>IFERROR(VLOOKUP(Fix_Mapping[[#This Row],[KODE BARANG]],[1]!KINONF15[[KDBRG]:[HRG_JLMT_CTN+PPN]],5,0),0)</f>
        <v>0</v>
      </c>
      <c r="E5" t="s">
        <v>2158</v>
      </c>
      <c r="F5">
        <f>IFERROR(VLOOKUP(Fix_Mapping[[#This Row],[KODE BARANG]],[1]!KINONF15[[KDBRG]:[HRG_JLMT_CTN+PPN]],7,0),0)</f>
        <v>0</v>
      </c>
      <c r="G5">
        <f>IFERROR(VLOOKUP(Fix_Mapping[[#This Row],[KODE BARANG]],[1]!KINONF15[[KDBRG]:[HRG_JLMT_CTN+PPN]],8,0),0)</f>
        <v>0</v>
      </c>
      <c r="H5">
        <f>IFERROR(VLOOKUP(Fix_Mapping[[#This Row],[KODE BARANG]],[1]!KINONF15[[KDBRG]:[HRG_JLMT_CTN+PPN]],9,0),0)</f>
        <v>0</v>
      </c>
      <c r="I5">
        <f>IFERROR(VLOOKUP(Fix_Mapping[[#This Row],[KODE BARANG]],[1]!KINONF15[[KDBRG]:[HRG_JLMT_CTN+PPN]],10,0),0)</f>
        <v>0</v>
      </c>
      <c r="J5">
        <f>IFERROR(VLOOKUP(Fix_Mapping[[#This Row],[KODE BARANG]],[1]!KINONF15[[KDBRG]:[HRG_JLMT_CTN+PPN]],11,0),0)</f>
        <v>0</v>
      </c>
      <c r="K5">
        <f>IFERROR(VLOOKUP(Fix_Mapping[[#This Row],[KODE BARANG]],[1]!KINONF15[[KDBRG]:[HRG_JLMT_CTN+PPN]],12,0),0)</f>
        <v>0</v>
      </c>
      <c r="L5">
        <f>IFERROR(VLOOKUP(Fix_Mapping[[#This Row],[KODE BARANG]],[1]!KINONF15[[KDBRG]:[HRG_JLMT_CTN+PPN]],13,0),0)</f>
        <v>0</v>
      </c>
      <c r="M5">
        <f>IFERROR(VLOOKUP(Fix_Mapping[[#This Row],[KODE BARANG]],[1]!KINONF15[[KDBRG]:[HRG_JLMT_CTN+PPN]],14,0),0)</f>
        <v>0</v>
      </c>
      <c r="N5">
        <f>IFERROR(VLOOKUP(Fix_Mapping[[#This Row],[KODE BARANG]],[1]!KINONF15[[KDBRG]:[HRG_JLMT_CTN+PPN]],15,0),0)</f>
        <v>0</v>
      </c>
      <c r="O5">
        <f>IFERROR(VLOOKUP(Fix_Mapping[[#This Row],[KODE BARANG]],[1]!KINONF15[[KDBRG]:[HRG_JLMT_CTN+PPN]],16,0),0)</f>
        <v>0</v>
      </c>
      <c r="P5">
        <f>IFERROR(VLOOKUP(Fix_Mapping[[#This Row],[KODE BARANG]],[1]!KINONF15[[KDBRG]:[HRG_JLMT_CTN+PPN]],17,0),0)</f>
        <v>0</v>
      </c>
      <c r="Q5">
        <f>IFERROR(VLOOKUP(Fix_Mapping[[#This Row],[KODE BARANG]],[1]!KINONF15[[KDBRG]:[HRG_JLMT_CTN+PPN]],18,0),0)</f>
        <v>0</v>
      </c>
      <c r="R5" t="s">
        <v>2555</v>
      </c>
      <c r="S5" t="s">
        <v>982</v>
      </c>
      <c r="T5">
        <v>0</v>
      </c>
      <c r="U5">
        <v>0</v>
      </c>
      <c r="V5">
        <v>0</v>
      </c>
      <c r="W5">
        <v>0</v>
      </c>
    </row>
    <row r="6" spans="1:23">
      <c r="A6" t="s">
        <v>1049</v>
      </c>
      <c r="B6" t="s">
        <v>1050</v>
      </c>
      <c r="C6">
        <v>36</v>
      </c>
      <c r="D6">
        <f>IFERROR(VLOOKUP(Fix_Mapping[[#This Row],[KODE BARANG]],[1]!KINONF15[[KDBRG]:[HRG_JLMT_CTN+PPN]],5,0),0)</f>
        <v>0</v>
      </c>
      <c r="E6" t="s">
        <v>2158</v>
      </c>
      <c r="F6">
        <f>IFERROR(VLOOKUP(Fix_Mapping[[#This Row],[KODE BARANG]],[1]!KINONF15[[KDBRG]:[HRG_JLMT_CTN+PPN]],7,0),0)</f>
        <v>0</v>
      </c>
      <c r="G6">
        <f>IFERROR(VLOOKUP(Fix_Mapping[[#This Row],[KODE BARANG]],[1]!KINONF15[[KDBRG]:[HRG_JLMT_CTN+PPN]],8,0),0)</f>
        <v>0</v>
      </c>
      <c r="H6">
        <f>IFERROR(VLOOKUP(Fix_Mapping[[#This Row],[KODE BARANG]],[1]!KINONF15[[KDBRG]:[HRG_JLMT_CTN+PPN]],9,0),0)</f>
        <v>0</v>
      </c>
      <c r="I6">
        <f>IFERROR(VLOOKUP(Fix_Mapping[[#This Row],[KODE BARANG]],[1]!KINONF15[[KDBRG]:[HRG_JLMT_CTN+PPN]],10,0),0)</f>
        <v>0</v>
      </c>
      <c r="J6">
        <f>IFERROR(VLOOKUP(Fix_Mapping[[#This Row],[KODE BARANG]],[1]!KINONF15[[KDBRG]:[HRG_JLMT_CTN+PPN]],11,0),0)</f>
        <v>0</v>
      </c>
      <c r="K6">
        <f>IFERROR(VLOOKUP(Fix_Mapping[[#This Row],[KODE BARANG]],[1]!KINONF15[[KDBRG]:[HRG_JLMT_CTN+PPN]],12,0),0)</f>
        <v>0</v>
      </c>
      <c r="L6">
        <f>IFERROR(VLOOKUP(Fix_Mapping[[#This Row],[KODE BARANG]],[1]!KINONF15[[KDBRG]:[HRG_JLMT_CTN+PPN]],13,0),0)</f>
        <v>0</v>
      </c>
      <c r="M6">
        <f>IFERROR(VLOOKUP(Fix_Mapping[[#This Row],[KODE BARANG]],[1]!KINONF15[[KDBRG]:[HRG_JLMT_CTN+PPN]],14,0),0)</f>
        <v>0</v>
      </c>
      <c r="N6">
        <f>IFERROR(VLOOKUP(Fix_Mapping[[#This Row],[KODE BARANG]],[1]!KINONF15[[KDBRG]:[HRG_JLMT_CTN+PPN]],15,0),0)</f>
        <v>0</v>
      </c>
      <c r="O6">
        <f>IFERROR(VLOOKUP(Fix_Mapping[[#This Row],[KODE BARANG]],[1]!KINONF15[[KDBRG]:[HRG_JLMT_CTN+PPN]],16,0),0)</f>
        <v>0</v>
      </c>
      <c r="P6">
        <f>IFERROR(VLOOKUP(Fix_Mapping[[#This Row],[KODE BARANG]],[1]!KINONF15[[KDBRG]:[HRG_JLMT_CTN+PPN]],17,0),0)</f>
        <v>0</v>
      </c>
      <c r="Q6">
        <f>IFERROR(VLOOKUP(Fix_Mapping[[#This Row],[KODE BARANG]],[1]!KINONF15[[KDBRG]:[HRG_JLMT_CTN+PPN]],18,0),0)</f>
        <v>0</v>
      </c>
      <c r="R6" t="s">
        <v>2555</v>
      </c>
      <c r="S6" t="s">
        <v>983</v>
      </c>
      <c r="T6">
        <v>0</v>
      </c>
      <c r="U6">
        <v>0</v>
      </c>
      <c r="V6">
        <v>0</v>
      </c>
      <c r="W6">
        <v>0</v>
      </c>
    </row>
    <row r="7" spans="1:23">
      <c r="A7" t="s">
        <v>1051</v>
      </c>
      <c r="B7" t="s">
        <v>1052</v>
      </c>
      <c r="C7">
        <v>36</v>
      </c>
      <c r="D7">
        <f>IFERROR(VLOOKUP(Fix_Mapping[[#This Row],[KODE BARANG]],[1]!KINONF15[[KDBRG]:[HRG_JLMT_CTN+PPN]],5,0),0)</f>
        <v>0</v>
      </c>
      <c r="E7" t="s">
        <v>2158</v>
      </c>
      <c r="F7">
        <f>IFERROR(VLOOKUP(Fix_Mapping[[#This Row],[KODE BARANG]],[1]!KINONF15[[KDBRG]:[HRG_JLMT_CTN+PPN]],7,0),0)</f>
        <v>0</v>
      </c>
      <c r="G7">
        <f>IFERROR(VLOOKUP(Fix_Mapping[[#This Row],[KODE BARANG]],[1]!KINONF15[[KDBRG]:[HRG_JLMT_CTN+PPN]],8,0),0)</f>
        <v>0</v>
      </c>
      <c r="H7">
        <f>IFERROR(VLOOKUP(Fix_Mapping[[#This Row],[KODE BARANG]],[1]!KINONF15[[KDBRG]:[HRG_JLMT_CTN+PPN]],9,0),0)</f>
        <v>0</v>
      </c>
      <c r="I7">
        <f>IFERROR(VLOOKUP(Fix_Mapping[[#This Row],[KODE BARANG]],[1]!KINONF15[[KDBRG]:[HRG_JLMT_CTN+PPN]],10,0),0)</f>
        <v>0</v>
      </c>
      <c r="J7">
        <f>IFERROR(VLOOKUP(Fix_Mapping[[#This Row],[KODE BARANG]],[1]!KINONF15[[KDBRG]:[HRG_JLMT_CTN+PPN]],11,0),0)</f>
        <v>0</v>
      </c>
      <c r="K7">
        <f>IFERROR(VLOOKUP(Fix_Mapping[[#This Row],[KODE BARANG]],[1]!KINONF15[[KDBRG]:[HRG_JLMT_CTN+PPN]],12,0),0)</f>
        <v>0</v>
      </c>
      <c r="L7">
        <f>IFERROR(VLOOKUP(Fix_Mapping[[#This Row],[KODE BARANG]],[1]!KINONF15[[KDBRG]:[HRG_JLMT_CTN+PPN]],13,0),0)</f>
        <v>0</v>
      </c>
      <c r="M7">
        <f>IFERROR(VLOOKUP(Fix_Mapping[[#This Row],[KODE BARANG]],[1]!KINONF15[[KDBRG]:[HRG_JLMT_CTN+PPN]],14,0),0)</f>
        <v>0</v>
      </c>
      <c r="N7">
        <f>IFERROR(VLOOKUP(Fix_Mapping[[#This Row],[KODE BARANG]],[1]!KINONF15[[KDBRG]:[HRG_JLMT_CTN+PPN]],15,0),0)</f>
        <v>0</v>
      </c>
      <c r="O7">
        <f>IFERROR(VLOOKUP(Fix_Mapping[[#This Row],[KODE BARANG]],[1]!KINONF15[[KDBRG]:[HRG_JLMT_CTN+PPN]],16,0),0)</f>
        <v>0</v>
      </c>
      <c r="P7">
        <f>IFERROR(VLOOKUP(Fix_Mapping[[#This Row],[KODE BARANG]],[1]!KINONF15[[KDBRG]:[HRG_JLMT_CTN+PPN]],17,0),0)</f>
        <v>0</v>
      </c>
      <c r="Q7">
        <f>IFERROR(VLOOKUP(Fix_Mapping[[#This Row],[KODE BARANG]],[1]!KINONF15[[KDBRG]:[HRG_JLMT_CTN+PPN]],18,0),0)</f>
        <v>0</v>
      </c>
      <c r="R7" t="s">
        <v>2555</v>
      </c>
      <c r="S7" t="s">
        <v>984</v>
      </c>
      <c r="T7">
        <v>0</v>
      </c>
      <c r="U7">
        <v>0</v>
      </c>
      <c r="V7">
        <v>0</v>
      </c>
      <c r="W7">
        <v>0</v>
      </c>
    </row>
    <row r="8" spans="1:23">
      <c r="A8" t="s">
        <v>1053</v>
      </c>
      <c r="B8" t="s">
        <v>1054</v>
      </c>
      <c r="C8">
        <v>36</v>
      </c>
      <c r="D8">
        <f>IFERROR(VLOOKUP(Fix_Mapping[[#This Row],[KODE BARANG]],[1]!KINONF15[[KDBRG]:[HRG_JLMT_CTN+PPN]],5,0),0)</f>
        <v>0</v>
      </c>
      <c r="E8" t="s">
        <v>2301</v>
      </c>
      <c r="F8">
        <f>IFERROR(VLOOKUP(Fix_Mapping[[#This Row],[KODE BARANG]],[1]!KINONF15[[KDBRG]:[HRG_JLMT_CTN+PPN]],7,0),0)</f>
        <v>0</v>
      </c>
      <c r="G8">
        <f>IFERROR(VLOOKUP(Fix_Mapping[[#This Row],[KODE BARANG]],[1]!KINONF15[[KDBRG]:[HRG_JLMT_CTN+PPN]],8,0),0)</f>
        <v>0</v>
      </c>
      <c r="H8">
        <f>IFERROR(VLOOKUP(Fix_Mapping[[#This Row],[KODE BARANG]],[1]!KINONF15[[KDBRG]:[HRG_JLMT_CTN+PPN]],9,0),0)</f>
        <v>0</v>
      </c>
      <c r="I8">
        <f>IFERROR(VLOOKUP(Fix_Mapping[[#This Row],[KODE BARANG]],[1]!KINONF15[[KDBRG]:[HRG_JLMT_CTN+PPN]],10,0),0)</f>
        <v>0</v>
      </c>
      <c r="J8">
        <f>IFERROR(VLOOKUP(Fix_Mapping[[#This Row],[KODE BARANG]],[1]!KINONF15[[KDBRG]:[HRG_JLMT_CTN+PPN]],11,0),0)</f>
        <v>0</v>
      </c>
      <c r="K8">
        <f>IFERROR(VLOOKUP(Fix_Mapping[[#This Row],[KODE BARANG]],[1]!KINONF15[[KDBRG]:[HRG_JLMT_CTN+PPN]],12,0),0)</f>
        <v>0</v>
      </c>
      <c r="L8">
        <f>IFERROR(VLOOKUP(Fix_Mapping[[#This Row],[KODE BARANG]],[1]!KINONF15[[KDBRG]:[HRG_JLMT_CTN+PPN]],13,0),0)</f>
        <v>0</v>
      </c>
      <c r="M8">
        <f>IFERROR(VLOOKUP(Fix_Mapping[[#This Row],[KODE BARANG]],[1]!KINONF15[[KDBRG]:[HRG_JLMT_CTN+PPN]],14,0),0)</f>
        <v>0</v>
      </c>
      <c r="N8">
        <f>IFERROR(VLOOKUP(Fix_Mapping[[#This Row],[KODE BARANG]],[1]!KINONF15[[KDBRG]:[HRG_JLMT_CTN+PPN]],15,0),0)</f>
        <v>0</v>
      </c>
      <c r="O8">
        <f>IFERROR(VLOOKUP(Fix_Mapping[[#This Row],[KODE BARANG]],[1]!KINONF15[[KDBRG]:[HRG_JLMT_CTN+PPN]],16,0),0)</f>
        <v>0</v>
      </c>
      <c r="P8">
        <f>IFERROR(VLOOKUP(Fix_Mapping[[#This Row],[KODE BARANG]],[1]!KINONF15[[KDBRG]:[HRG_JLMT_CTN+PPN]],17,0),0)</f>
        <v>0</v>
      </c>
      <c r="Q8">
        <f>IFERROR(VLOOKUP(Fix_Mapping[[#This Row],[KODE BARANG]],[1]!KINONF15[[KDBRG]:[HRG_JLMT_CTN+PPN]],18,0),0)</f>
        <v>0</v>
      </c>
      <c r="R8" t="s">
        <v>2555</v>
      </c>
      <c r="S8" t="s">
        <v>985</v>
      </c>
      <c r="T8">
        <v>0</v>
      </c>
      <c r="U8">
        <v>0</v>
      </c>
      <c r="V8">
        <v>0</v>
      </c>
      <c r="W8">
        <v>0</v>
      </c>
    </row>
    <row r="9" spans="1:23">
      <c r="A9" t="s">
        <v>1055</v>
      </c>
      <c r="B9" t="s">
        <v>1056</v>
      </c>
      <c r="C9">
        <v>36</v>
      </c>
      <c r="D9">
        <f>IFERROR(VLOOKUP(Fix_Mapping[[#This Row],[KODE BARANG]],[1]!KINONF15[[KDBRG]:[HRG_JLMT_CTN+PPN]],5,0),0)</f>
        <v>0</v>
      </c>
      <c r="E9" t="s">
        <v>2301</v>
      </c>
      <c r="F9">
        <f>IFERROR(VLOOKUP(Fix_Mapping[[#This Row],[KODE BARANG]],[1]!KINONF15[[KDBRG]:[HRG_JLMT_CTN+PPN]],7,0),0)</f>
        <v>0</v>
      </c>
      <c r="G9">
        <f>IFERROR(VLOOKUP(Fix_Mapping[[#This Row],[KODE BARANG]],[1]!KINONF15[[KDBRG]:[HRG_JLMT_CTN+PPN]],8,0),0)</f>
        <v>0</v>
      </c>
      <c r="H9">
        <f>IFERROR(VLOOKUP(Fix_Mapping[[#This Row],[KODE BARANG]],[1]!KINONF15[[KDBRG]:[HRG_JLMT_CTN+PPN]],9,0),0)</f>
        <v>0</v>
      </c>
      <c r="I9">
        <f>IFERROR(VLOOKUP(Fix_Mapping[[#This Row],[KODE BARANG]],[1]!KINONF15[[KDBRG]:[HRG_JLMT_CTN+PPN]],10,0),0)</f>
        <v>0</v>
      </c>
      <c r="J9">
        <f>IFERROR(VLOOKUP(Fix_Mapping[[#This Row],[KODE BARANG]],[1]!KINONF15[[KDBRG]:[HRG_JLMT_CTN+PPN]],11,0),0)</f>
        <v>0</v>
      </c>
      <c r="K9">
        <f>IFERROR(VLOOKUP(Fix_Mapping[[#This Row],[KODE BARANG]],[1]!KINONF15[[KDBRG]:[HRG_JLMT_CTN+PPN]],12,0),0)</f>
        <v>0</v>
      </c>
      <c r="L9">
        <f>IFERROR(VLOOKUP(Fix_Mapping[[#This Row],[KODE BARANG]],[1]!KINONF15[[KDBRG]:[HRG_JLMT_CTN+PPN]],13,0),0)</f>
        <v>0</v>
      </c>
      <c r="M9">
        <f>IFERROR(VLOOKUP(Fix_Mapping[[#This Row],[KODE BARANG]],[1]!KINONF15[[KDBRG]:[HRG_JLMT_CTN+PPN]],14,0),0)</f>
        <v>0</v>
      </c>
      <c r="N9">
        <f>IFERROR(VLOOKUP(Fix_Mapping[[#This Row],[KODE BARANG]],[1]!KINONF15[[KDBRG]:[HRG_JLMT_CTN+PPN]],15,0),0)</f>
        <v>0</v>
      </c>
      <c r="O9">
        <f>IFERROR(VLOOKUP(Fix_Mapping[[#This Row],[KODE BARANG]],[1]!KINONF15[[KDBRG]:[HRG_JLMT_CTN+PPN]],16,0),0)</f>
        <v>0</v>
      </c>
      <c r="P9">
        <f>IFERROR(VLOOKUP(Fix_Mapping[[#This Row],[KODE BARANG]],[1]!KINONF15[[KDBRG]:[HRG_JLMT_CTN+PPN]],17,0),0)</f>
        <v>0</v>
      </c>
      <c r="Q9">
        <f>IFERROR(VLOOKUP(Fix_Mapping[[#This Row],[KODE BARANG]],[1]!KINONF15[[KDBRG]:[HRG_JLMT_CTN+PPN]],18,0),0)</f>
        <v>0</v>
      </c>
      <c r="R9" t="s">
        <v>2555</v>
      </c>
      <c r="S9" t="s">
        <v>986</v>
      </c>
      <c r="T9">
        <v>0</v>
      </c>
      <c r="U9">
        <v>0</v>
      </c>
      <c r="V9">
        <v>0</v>
      </c>
      <c r="W9">
        <v>0</v>
      </c>
    </row>
    <row r="10" spans="1:23">
      <c r="A10" t="s">
        <v>1057</v>
      </c>
      <c r="B10" t="s">
        <v>1058</v>
      </c>
      <c r="C10">
        <v>36</v>
      </c>
      <c r="D10">
        <f>IFERROR(VLOOKUP(Fix_Mapping[[#This Row],[KODE BARANG]],[1]!KINONF15[[KDBRG]:[HRG_JLMT_CTN+PPN]],5,0),0)</f>
        <v>0</v>
      </c>
      <c r="E10" t="s">
        <v>2301</v>
      </c>
      <c r="F10">
        <f>IFERROR(VLOOKUP(Fix_Mapping[[#This Row],[KODE BARANG]],[1]!KINONF15[[KDBRG]:[HRG_JLMT_CTN+PPN]],7,0),0)</f>
        <v>0</v>
      </c>
      <c r="G10">
        <f>IFERROR(VLOOKUP(Fix_Mapping[[#This Row],[KODE BARANG]],[1]!KINONF15[[KDBRG]:[HRG_JLMT_CTN+PPN]],8,0),0)</f>
        <v>0</v>
      </c>
      <c r="H10">
        <f>IFERROR(VLOOKUP(Fix_Mapping[[#This Row],[KODE BARANG]],[1]!KINONF15[[KDBRG]:[HRG_JLMT_CTN+PPN]],9,0),0)</f>
        <v>0</v>
      </c>
      <c r="I10">
        <f>IFERROR(VLOOKUP(Fix_Mapping[[#This Row],[KODE BARANG]],[1]!KINONF15[[KDBRG]:[HRG_JLMT_CTN+PPN]],10,0),0)</f>
        <v>0</v>
      </c>
      <c r="J10">
        <f>IFERROR(VLOOKUP(Fix_Mapping[[#This Row],[KODE BARANG]],[1]!KINONF15[[KDBRG]:[HRG_JLMT_CTN+PPN]],11,0),0)</f>
        <v>0</v>
      </c>
      <c r="K10">
        <f>IFERROR(VLOOKUP(Fix_Mapping[[#This Row],[KODE BARANG]],[1]!KINONF15[[KDBRG]:[HRG_JLMT_CTN+PPN]],12,0),0)</f>
        <v>0</v>
      </c>
      <c r="L10">
        <f>IFERROR(VLOOKUP(Fix_Mapping[[#This Row],[KODE BARANG]],[1]!KINONF15[[KDBRG]:[HRG_JLMT_CTN+PPN]],13,0),0)</f>
        <v>0</v>
      </c>
      <c r="M10">
        <f>IFERROR(VLOOKUP(Fix_Mapping[[#This Row],[KODE BARANG]],[1]!KINONF15[[KDBRG]:[HRG_JLMT_CTN+PPN]],14,0),0)</f>
        <v>0</v>
      </c>
      <c r="N10">
        <f>IFERROR(VLOOKUP(Fix_Mapping[[#This Row],[KODE BARANG]],[1]!KINONF15[[KDBRG]:[HRG_JLMT_CTN+PPN]],15,0),0)</f>
        <v>0</v>
      </c>
      <c r="O10">
        <f>IFERROR(VLOOKUP(Fix_Mapping[[#This Row],[KODE BARANG]],[1]!KINONF15[[KDBRG]:[HRG_JLMT_CTN+PPN]],16,0),0)</f>
        <v>0</v>
      </c>
      <c r="P10">
        <f>IFERROR(VLOOKUP(Fix_Mapping[[#This Row],[KODE BARANG]],[1]!KINONF15[[KDBRG]:[HRG_JLMT_CTN+PPN]],17,0),0)</f>
        <v>0</v>
      </c>
      <c r="Q10">
        <f>IFERROR(VLOOKUP(Fix_Mapping[[#This Row],[KODE BARANG]],[1]!KINONF15[[KDBRG]:[HRG_JLMT_CTN+PPN]],18,0),0)</f>
        <v>0</v>
      </c>
      <c r="R10" t="s">
        <v>2555</v>
      </c>
      <c r="S10" t="s">
        <v>987</v>
      </c>
      <c r="T10">
        <v>0</v>
      </c>
      <c r="U10">
        <v>0</v>
      </c>
      <c r="V10">
        <v>0</v>
      </c>
      <c r="W10">
        <v>0</v>
      </c>
    </row>
    <row r="11" spans="1:23">
      <c r="A11" t="s">
        <v>1059</v>
      </c>
      <c r="B11" t="s">
        <v>1060</v>
      </c>
      <c r="C11">
        <v>36</v>
      </c>
      <c r="D11">
        <f>IFERROR(VLOOKUP(Fix_Mapping[[#This Row],[KODE BARANG]],[1]!KINONF15[[KDBRG]:[HRG_JLMT_CTN+PPN]],5,0),0)</f>
        <v>0</v>
      </c>
      <c r="E11" t="s">
        <v>2301</v>
      </c>
      <c r="F11">
        <f>IFERROR(VLOOKUP(Fix_Mapping[[#This Row],[KODE BARANG]],[1]!KINONF15[[KDBRG]:[HRG_JLMT_CTN+PPN]],7,0),0)</f>
        <v>0</v>
      </c>
      <c r="G11">
        <f>IFERROR(VLOOKUP(Fix_Mapping[[#This Row],[KODE BARANG]],[1]!KINONF15[[KDBRG]:[HRG_JLMT_CTN+PPN]],8,0),0)</f>
        <v>0</v>
      </c>
      <c r="H11">
        <f>IFERROR(VLOOKUP(Fix_Mapping[[#This Row],[KODE BARANG]],[1]!KINONF15[[KDBRG]:[HRG_JLMT_CTN+PPN]],9,0),0)</f>
        <v>0</v>
      </c>
      <c r="I11">
        <f>IFERROR(VLOOKUP(Fix_Mapping[[#This Row],[KODE BARANG]],[1]!KINONF15[[KDBRG]:[HRG_JLMT_CTN+PPN]],10,0),0)</f>
        <v>0</v>
      </c>
      <c r="J11">
        <f>IFERROR(VLOOKUP(Fix_Mapping[[#This Row],[KODE BARANG]],[1]!KINONF15[[KDBRG]:[HRG_JLMT_CTN+PPN]],11,0),0)</f>
        <v>0</v>
      </c>
      <c r="K11">
        <f>IFERROR(VLOOKUP(Fix_Mapping[[#This Row],[KODE BARANG]],[1]!KINONF15[[KDBRG]:[HRG_JLMT_CTN+PPN]],12,0),0)</f>
        <v>0</v>
      </c>
      <c r="L11">
        <f>IFERROR(VLOOKUP(Fix_Mapping[[#This Row],[KODE BARANG]],[1]!KINONF15[[KDBRG]:[HRG_JLMT_CTN+PPN]],13,0),0)</f>
        <v>0</v>
      </c>
      <c r="M11">
        <f>IFERROR(VLOOKUP(Fix_Mapping[[#This Row],[KODE BARANG]],[1]!KINONF15[[KDBRG]:[HRG_JLMT_CTN+PPN]],14,0),0)</f>
        <v>0</v>
      </c>
      <c r="N11">
        <f>IFERROR(VLOOKUP(Fix_Mapping[[#This Row],[KODE BARANG]],[1]!KINONF15[[KDBRG]:[HRG_JLMT_CTN+PPN]],15,0),0)</f>
        <v>0</v>
      </c>
      <c r="O11">
        <f>IFERROR(VLOOKUP(Fix_Mapping[[#This Row],[KODE BARANG]],[1]!KINONF15[[KDBRG]:[HRG_JLMT_CTN+PPN]],16,0),0)</f>
        <v>0</v>
      </c>
      <c r="P11">
        <f>IFERROR(VLOOKUP(Fix_Mapping[[#This Row],[KODE BARANG]],[1]!KINONF15[[KDBRG]:[HRG_JLMT_CTN+PPN]],17,0),0)</f>
        <v>0</v>
      </c>
      <c r="Q11">
        <f>IFERROR(VLOOKUP(Fix_Mapping[[#This Row],[KODE BARANG]],[1]!KINONF15[[KDBRG]:[HRG_JLMT_CTN+PPN]],18,0),0)</f>
        <v>0</v>
      </c>
      <c r="R11" t="s">
        <v>2555</v>
      </c>
      <c r="S11" t="s">
        <v>988</v>
      </c>
      <c r="T11">
        <v>0</v>
      </c>
      <c r="U11">
        <v>0</v>
      </c>
      <c r="V11">
        <v>0</v>
      </c>
      <c r="W11">
        <v>0</v>
      </c>
    </row>
    <row r="12" spans="1:23">
      <c r="A12" t="s">
        <v>1061</v>
      </c>
      <c r="B12" t="s">
        <v>1062</v>
      </c>
      <c r="C12">
        <v>36</v>
      </c>
      <c r="D12">
        <f>IFERROR(VLOOKUP(Fix_Mapping[[#This Row],[KODE BARANG]],[1]!KINONF15[[KDBRG]:[HRG_JLMT_CTN+PPN]],5,0),0)</f>
        <v>0</v>
      </c>
      <c r="E12" t="s">
        <v>2303</v>
      </c>
      <c r="F12">
        <f>IFERROR(VLOOKUP(Fix_Mapping[[#This Row],[KODE BARANG]],[1]!KINONF15[[KDBRG]:[HRG_JLMT_CTN+PPN]],7,0),0)</f>
        <v>0</v>
      </c>
      <c r="G12">
        <f>IFERROR(VLOOKUP(Fix_Mapping[[#This Row],[KODE BARANG]],[1]!KINONF15[[KDBRG]:[HRG_JLMT_CTN+PPN]],8,0),0)</f>
        <v>0</v>
      </c>
      <c r="H12">
        <f>IFERROR(VLOOKUP(Fix_Mapping[[#This Row],[KODE BARANG]],[1]!KINONF15[[KDBRG]:[HRG_JLMT_CTN+PPN]],9,0),0)</f>
        <v>0</v>
      </c>
      <c r="I12">
        <f>IFERROR(VLOOKUP(Fix_Mapping[[#This Row],[KODE BARANG]],[1]!KINONF15[[KDBRG]:[HRG_JLMT_CTN+PPN]],10,0),0)</f>
        <v>0</v>
      </c>
      <c r="J12">
        <f>IFERROR(VLOOKUP(Fix_Mapping[[#This Row],[KODE BARANG]],[1]!KINONF15[[KDBRG]:[HRG_JLMT_CTN+PPN]],11,0),0)</f>
        <v>0</v>
      </c>
      <c r="K12">
        <f>IFERROR(VLOOKUP(Fix_Mapping[[#This Row],[KODE BARANG]],[1]!KINONF15[[KDBRG]:[HRG_JLMT_CTN+PPN]],12,0),0)</f>
        <v>0</v>
      </c>
      <c r="L12">
        <f>IFERROR(VLOOKUP(Fix_Mapping[[#This Row],[KODE BARANG]],[1]!KINONF15[[KDBRG]:[HRG_JLMT_CTN+PPN]],13,0),0)</f>
        <v>0</v>
      </c>
      <c r="M12">
        <f>IFERROR(VLOOKUP(Fix_Mapping[[#This Row],[KODE BARANG]],[1]!KINONF15[[KDBRG]:[HRG_JLMT_CTN+PPN]],14,0),0)</f>
        <v>0</v>
      </c>
      <c r="N12">
        <f>IFERROR(VLOOKUP(Fix_Mapping[[#This Row],[KODE BARANG]],[1]!KINONF15[[KDBRG]:[HRG_JLMT_CTN+PPN]],15,0),0)</f>
        <v>0</v>
      </c>
      <c r="O12">
        <f>IFERROR(VLOOKUP(Fix_Mapping[[#This Row],[KODE BARANG]],[1]!KINONF15[[KDBRG]:[HRG_JLMT_CTN+PPN]],16,0),0)</f>
        <v>0</v>
      </c>
      <c r="P12">
        <f>IFERROR(VLOOKUP(Fix_Mapping[[#This Row],[KODE BARANG]],[1]!KINONF15[[KDBRG]:[HRG_JLMT_CTN+PPN]],17,0),0)</f>
        <v>0</v>
      </c>
      <c r="Q12">
        <f>IFERROR(VLOOKUP(Fix_Mapping[[#This Row],[KODE BARANG]],[1]!KINONF15[[KDBRG]:[HRG_JLMT_CTN+PPN]],18,0),0)</f>
        <v>0</v>
      </c>
      <c r="R12" t="s">
        <v>2555</v>
      </c>
      <c r="S12" t="s">
        <v>989</v>
      </c>
      <c r="T12">
        <v>0</v>
      </c>
      <c r="U12">
        <v>0</v>
      </c>
      <c r="V12">
        <v>0</v>
      </c>
      <c r="W12">
        <v>0</v>
      </c>
    </row>
    <row r="13" spans="1:23">
      <c r="A13" t="s">
        <v>1063</v>
      </c>
      <c r="B13" t="s">
        <v>1064</v>
      </c>
      <c r="C13">
        <v>36</v>
      </c>
      <c r="D13">
        <f>IFERROR(VLOOKUP(Fix_Mapping[[#This Row],[KODE BARANG]],[1]!KINONF15[[KDBRG]:[HRG_JLMT_CTN+PPN]],5,0),0)</f>
        <v>0</v>
      </c>
      <c r="E13" t="s">
        <v>2303</v>
      </c>
      <c r="F13">
        <f>IFERROR(VLOOKUP(Fix_Mapping[[#This Row],[KODE BARANG]],[1]!KINONF15[[KDBRG]:[HRG_JLMT_CTN+PPN]],7,0),0)</f>
        <v>0</v>
      </c>
      <c r="G13">
        <f>IFERROR(VLOOKUP(Fix_Mapping[[#This Row],[KODE BARANG]],[1]!KINONF15[[KDBRG]:[HRG_JLMT_CTN+PPN]],8,0),0)</f>
        <v>0</v>
      </c>
      <c r="H13">
        <f>IFERROR(VLOOKUP(Fix_Mapping[[#This Row],[KODE BARANG]],[1]!KINONF15[[KDBRG]:[HRG_JLMT_CTN+PPN]],9,0),0)</f>
        <v>0</v>
      </c>
      <c r="I13">
        <f>IFERROR(VLOOKUP(Fix_Mapping[[#This Row],[KODE BARANG]],[1]!KINONF15[[KDBRG]:[HRG_JLMT_CTN+PPN]],10,0),0)</f>
        <v>0</v>
      </c>
      <c r="J13">
        <f>IFERROR(VLOOKUP(Fix_Mapping[[#This Row],[KODE BARANG]],[1]!KINONF15[[KDBRG]:[HRG_JLMT_CTN+PPN]],11,0),0)</f>
        <v>0</v>
      </c>
      <c r="K13">
        <f>IFERROR(VLOOKUP(Fix_Mapping[[#This Row],[KODE BARANG]],[1]!KINONF15[[KDBRG]:[HRG_JLMT_CTN+PPN]],12,0),0)</f>
        <v>0</v>
      </c>
      <c r="L13">
        <f>IFERROR(VLOOKUP(Fix_Mapping[[#This Row],[KODE BARANG]],[1]!KINONF15[[KDBRG]:[HRG_JLMT_CTN+PPN]],13,0),0)</f>
        <v>0</v>
      </c>
      <c r="M13">
        <f>IFERROR(VLOOKUP(Fix_Mapping[[#This Row],[KODE BARANG]],[1]!KINONF15[[KDBRG]:[HRG_JLMT_CTN+PPN]],14,0),0)</f>
        <v>0</v>
      </c>
      <c r="N13">
        <f>IFERROR(VLOOKUP(Fix_Mapping[[#This Row],[KODE BARANG]],[1]!KINONF15[[KDBRG]:[HRG_JLMT_CTN+PPN]],15,0),0)</f>
        <v>0</v>
      </c>
      <c r="O13">
        <f>IFERROR(VLOOKUP(Fix_Mapping[[#This Row],[KODE BARANG]],[1]!KINONF15[[KDBRG]:[HRG_JLMT_CTN+PPN]],16,0),0)</f>
        <v>0</v>
      </c>
      <c r="P13">
        <f>IFERROR(VLOOKUP(Fix_Mapping[[#This Row],[KODE BARANG]],[1]!KINONF15[[KDBRG]:[HRG_JLMT_CTN+PPN]],17,0),0)</f>
        <v>0</v>
      </c>
      <c r="Q13">
        <f>IFERROR(VLOOKUP(Fix_Mapping[[#This Row],[KODE BARANG]],[1]!KINONF15[[KDBRG]:[HRG_JLMT_CTN+PPN]],18,0),0)</f>
        <v>0</v>
      </c>
      <c r="R13" t="s">
        <v>2555</v>
      </c>
      <c r="S13" t="s">
        <v>990</v>
      </c>
      <c r="T13">
        <v>0</v>
      </c>
      <c r="U13">
        <v>0</v>
      </c>
      <c r="V13">
        <v>0</v>
      </c>
      <c r="W13">
        <v>0</v>
      </c>
    </row>
    <row r="14" spans="1:23">
      <c r="A14" t="s">
        <v>1065</v>
      </c>
      <c r="B14" t="s">
        <v>1066</v>
      </c>
      <c r="C14">
        <v>100</v>
      </c>
      <c r="D14">
        <f>IFERROR(VLOOKUP(Fix_Mapping[[#This Row],[KODE BARANG]],[1]!KINONF15[[KDBRG]:[HRG_JLMT_CTN+PPN]],5,0),0)</f>
        <v>0</v>
      </c>
      <c r="E14" t="s">
        <v>2299</v>
      </c>
      <c r="F14">
        <f>IFERROR(VLOOKUP(Fix_Mapping[[#This Row],[KODE BARANG]],[1]!KINONF15[[KDBRG]:[HRG_JLMT_CTN+PPN]],7,0),0)</f>
        <v>0</v>
      </c>
      <c r="G14">
        <f>IFERROR(VLOOKUP(Fix_Mapping[[#This Row],[KODE BARANG]],[1]!KINONF15[[KDBRG]:[HRG_JLMT_CTN+PPN]],8,0),0)</f>
        <v>0</v>
      </c>
      <c r="H14">
        <f>IFERROR(VLOOKUP(Fix_Mapping[[#This Row],[KODE BARANG]],[1]!KINONF15[[KDBRG]:[HRG_JLMT_CTN+PPN]],9,0),0)</f>
        <v>0</v>
      </c>
      <c r="I14">
        <f>IFERROR(VLOOKUP(Fix_Mapping[[#This Row],[KODE BARANG]],[1]!KINONF15[[KDBRG]:[HRG_JLMT_CTN+PPN]],10,0),0)</f>
        <v>0</v>
      </c>
      <c r="J14">
        <f>IFERROR(VLOOKUP(Fix_Mapping[[#This Row],[KODE BARANG]],[1]!KINONF15[[KDBRG]:[HRG_JLMT_CTN+PPN]],11,0),0)</f>
        <v>0</v>
      </c>
      <c r="K14">
        <f>IFERROR(VLOOKUP(Fix_Mapping[[#This Row],[KODE BARANG]],[1]!KINONF15[[KDBRG]:[HRG_JLMT_CTN+PPN]],12,0),0)</f>
        <v>0</v>
      </c>
      <c r="L14">
        <f>IFERROR(VLOOKUP(Fix_Mapping[[#This Row],[KODE BARANG]],[1]!KINONF15[[KDBRG]:[HRG_JLMT_CTN+PPN]],13,0),0)</f>
        <v>0</v>
      </c>
      <c r="M14">
        <f>IFERROR(VLOOKUP(Fix_Mapping[[#This Row],[KODE BARANG]],[1]!KINONF15[[KDBRG]:[HRG_JLMT_CTN+PPN]],14,0),0)</f>
        <v>0</v>
      </c>
      <c r="N14">
        <f>IFERROR(VLOOKUP(Fix_Mapping[[#This Row],[KODE BARANG]],[1]!KINONF15[[KDBRG]:[HRG_JLMT_CTN+PPN]],15,0),0)</f>
        <v>0</v>
      </c>
      <c r="O14">
        <f>IFERROR(VLOOKUP(Fix_Mapping[[#This Row],[KODE BARANG]],[1]!KINONF15[[KDBRG]:[HRG_JLMT_CTN+PPN]],16,0),0)</f>
        <v>0</v>
      </c>
      <c r="P14">
        <f>IFERROR(VLOOKUP(Fix_Mapping[[#This Row],[KODE BARANG]],[1]!KINONF15[[KDBRG]:[HRG_JLMT_CTN+PPN]],17,0),0)</f>
        <v>0</v>
      </c>
      <c r="Q14">
        <f>IFERROR(VLOOKUP(Fix_Mapping[[#This Row],[KODE BARANG]],[1]!KINONF15[[KDBRG]:[HRG_JLMT_CTN+PPN]],18,0),0)</f>
        <v>0</v>
      </c>
      <c r="R14" t="s">
        <v>2555</v>
      </c>
      <c r="S14" t="s">
        <v>519</v>
      </c>
      <c r="T14">
        <v>0</v>
      </c>
      <c r="U14">
        <v>0</v>
      </c>
      <c r="V14">
        <v>0</v>
      </c>
      <c r="W14">
        <v>0</v>
      </c>
    </row>
    <row r="15" spans="1:23">
      <c r="A15" t="s">
        <v>1067</v>
      </c>
      <c r="B15" t="s">
        <v>1068</v>
      </c>
      <c r="C15">
        <v>100</v>
      </c>
      <c r="D15">
        <f>IFERROR(VLOOKUP(Fix_Mapping[[#This Row],[KODE BARANG]],[1]!KINONF15[[KDBRG]:[HRG_JLMT_CTN+PPN]],5,0),0)</f>
        <v>0</v>
      </c>
      <c r="E15" t="s">
        <v>2299</v>
      </c>
      <c r="F15">
        <f>IFERROR(VLOOKUP(Fix_Mapping[[#This Row],[KODE BARANG]],[1]!KINONF15[[KDBRG]:[HRG_JLMT_CTN+PPN]],7,0),0)</f>
        <v>0</v>
      </c>
      <c r="G15">
        <f>IFERROR(VLOOKUP(Fix_Mapping[[#This Row],[KODE BARANG]],[1]!KINONF15[[KDBRG]:[HRG_JLMT_CTN+PPN]],8,0),0)</f>
        <v>0</v>
      </c>
      <c r="H15">
        <f>IFERROR(VLOOKUP(Fix_Mapping[[#This Row],[KODE BARANG]],[1]!KINONF15[[KDBRG]:[HRG_JLMT_CTN+PPN]],9,0),0)</f>
        <v>0</v>
      </c>
      <c r="I15">
        <f>IFERROR(VLOOKUP(Fix_Mapping[[#This Row],[KODE BARANG]],[1]!KINONF15[[KDBRG]:[HRG_JLMT_CTN+PPN]],10,0),0)</f>
        <v>0</v>
      </c>
      <c r="J15">
        <f>IFERROR(VLOOKUP(Fix_Mapping[[#This Row],[KODE BARANG]],[1]!KINONF15[[KDBRG]:[HRG_JLMT_CTN+PPN]],11,0),0)</f>
        <v>0</v>
      </c>
      <c r="K15">
        <f>IFERROR(VLOOKUP(Fix_Mapping[[#This Row],[KODE BARANG]],[1]!KINONF15[[KDBRG]:[HRG_JLMT_CTN+PPN]],12,0),0)</f>
        <v>0</v>
      </c>
      <c r="L15">
        <f>IFERROR(VLOOKUP(Fix_Mapping[[#This Row],[KODE BARANG]],[1]!KINONF15[[KDBRG]:[HRG_JLMT_CTN+PPN]],13,0),0)</f>
        <v>0</v>
      </c>
      <c r="M15">
        <f>IFERROR(VLOOKUP(Fix_Mapping[[#This Row],[KODE BARANG]],[1]!KINONF15[[KDBRG]:[HRG_JLMT_CTN+PPN]],14,0),0)</f>
        <v>0</v>
      </c>
      <c r="N15">
        <f>IFERROR(VLOOKUP(Fix_Mapping[[#This Row],[KODE BARANG]],[1]!KINONF15[[KDBRG]:[HRG_JLMT_CTN+PPN]],15,0),0)</f>
        <v>0</v>
      </c>
      <c r="O15">
        <f>IFERROR(VLOOKUP(Fix_Mapping[[#This Row],[KODE BARANG]],[1]!KINONF15[[KDBRG]:[HRG_JLMT_CTN+PPN]],16,0),0)</f>
        <v>0</v>
      </c>
      <c r="P15">
        <f>IFERROR(VLOOKUP(Fix_Mapping[[#This Row],[KODE BARANG]],[1]!KINONF15[[KDBRG]:[HRG_JLMT_CTN+PPN]],17,0),0)</f>
        <v>0</v>
      </c>
      <c r="Q15">
        <f>IFERROR(VLOOKUP(Fix_Mapping[[#This Row],[KODE BARANG]],[1]!KINONF15[[KDBRG]:[HRG_JLMT_CTN+PPN]],18,0),0)</f>
        <v>0</v>
      </c>
      <c r="R15" t="s">
        <v>2555</v>
      </c>
      <c r="S15" t="s">
        <v>520</v>
      </c>
      <c r="T15">
        <v>0</v>
      </c>
      <c r="U15">
        <v>0</v>
      </c>
      <c r="V15">
        <v>0</v>
      </c>
      <c r="W15">
        <v>0</v>
      </c>
    </row>
    <row r="16" spans="1:23">
      <c r="A16" t="s">
        <v>1069</v>
      </c>
      <c r="B16" t="s">
        <v>1070</v>
      </c>
      <c r="C16">
        <v>100</v>
      </c>
      <c r="D16">
        <f>IFERROR(VLOOKUP(Fix_Mapping[[#This Row],[KODE BARANG]],[1]!KINONF15[[KDBRG]:[HRG_JLMT_CTN+PPN]],5,0),0)</f>
        <v>0</v>
      </c>
      <c r="E16" t="s">
        <v>2299</v>
      </c>
      <c r="F16">
        <f>IFERROR(VLOOKUP(Fix_Mapping[[#This Row],[KODE BARANG]],[1]!KINONF15[[KDBRG]:[HRG_JLMT_CTN+PPN]],7,0),0)</f>
        <v>0</v>
      </c>
      <c r="G16">
        <f>IFERROR(VLOOKUP(Fix_Mapping[[#This Row],[KODE BARANG]],[1]!KINONF15[[KDBRG]:[HRG_JLMT_CTN+PPN]],8,0),0)</f>
        <v>0</v>
      </c>
      <c r="H16">
        <f>IFERROR(VLOOKUP(Fix_Mapping[[#This Row],[KODE BARANG]],[1]!KINONF15[[KDBRG]:[HRG_JLMT_CTN+PPN]],9,0),0)</f>
        <v>0</v>
      </c>
      <c r="I16">
        <f>IFERROR(VLOOKUP(Fix_Mapping[[#This Row],[KODE BARANG]],[1]!KINONF15[[KDBRG]:[HRG_JLMT_CTN+PPN]],10,0),0)</f>
        <v>0</v>
      </c>
      <c r="J16">
        <f>IFERROR(VLOOKUP(Fix_Mapping[[#This Row],[KODE BARANG]],[1]!KINONF15[[KDBRG]:[HRG_JLMT_CTN+PPN]],11,0),0)</f>
        <v>0</v>
      </c>
      <c r="K16">
        <f>IFERROR(VLOOKUP(Fix_Mapping[[#This Row],[KODE BARANG]],[1]!KINONF15[[KDBRG]:[HRG_JLMT_CTN+PPN]],12,0),0)</f>
        <v>0</v>
      </c>
      <c r="L16">
        <f>IFERROR(VLOOKUP(Fix_Mapping[[#This Row],[KODE BARANG]],[1]!KINONF15[[KDBRG]:[HRG_JLMT_CTN+PPN]],13,0),0)</f>
        <v>0</v>
      </c>
      <c r="M16">
        <f>IFERROR(VLOOKUP(Fix_Mapping[[#This Row],[KODE BARANG]],[1]!KINONF15[[KDBRG]:[HRG_JLMT_CTN+PPN]],14,0),0)</f>
        <v>0</v>
      </c>
      <c r="N16">
        <f>IFERROR(VLOOKUP(Fix_Mapping[[#This Row],[KODE BARANG]],[1]!KINONF15[[KDBRG]:[HRG_JLMT_CTN+PPN]],15,0),0)</f>
        <v>0</v>
      </c>
      <c r="O16">
        <f>IFERROR(VLOOKUP(Fix_Mapping[[#This Row],[KODE BARANG]],[1]!KINONF15[[KDBRG]:[HRG_JLMT_CTN+PPN]],16,0),0)</f>
        <v>0</v>
      </c>
      <c r="P16">
        <f>IFERROR(VLOOKUP(Fix_Mapping[[#This Row],[KODE BARANG]],[1]!KINONF15[[KDBRG]:[HRG_JLMT_CTN+PPN]],17,0),0)</f>
        <v>0</v>
      </c>
      <c r="Q16">
        <f>IFERROR(VLOOKUP(Fix_Mapping[[#This Row],[KODE BARANG]],[1]!KINONF15[[KDBRG]:[HRG_JLMT_CTN+PPN]],18,0),0)</f>
        <v>0</v>
      </c>
      <c r="R16" t="s">
        <v>2555</v>
      </c>
      <c r="S16" t="s">
        <v>521</v>
      </c>
      <c r="T16">
        <v>0</v>
      </c>
      <c r="U16">
        <v>0</v>
      </c>
      <c r="V16">
        <v>0</v>
      </c>
      <c r="W16">
        <v>0</v>
      </c>
    </row>
    <row r="17" spans="1:23">
      <c r="A17" t="s">
        <v>1071</v>
      </c>
      <c r="B17" t="s">
        <v>1072</v>
      </c>
      <c r="C17">
        <v>100</v>
      </c>
      <c r="D17">
        <f>IFERROR(VLOOKUP(Fix_Mapping[[#This Row],[KODE BARANG]],[1]!KINONF15[[KDBRG]:[HRG_JLMT_CTN+PPN]],5,0),0)</f>
        <v>0</v>
      </c>
      <c r="E17" t="s">
        <v>2299</v>
      </c>
      <c r="F17">
        <f>IFERROR(VLOOKUP(Fix_Mapping[[#This Row],[KODE BARANG]],[1]!KINONF15[[KDBRG]:[HRG_JLMT_CTN+PPN]],7,0),0)</f>
        <v>0</v>
      </c>
      <c r="G17">
        <f>IFERROR(VLOOKUP(Fix_Mapping[[#This Row],[KODE BARANG]],[1]!KINONF15[[KDBRG]:[HRG_JLMT_CTN+PPN]],8,0),0)</f>
        <v>0</v>
      </c>
      <c r="H17">
        <f>IFERROR(VLOOKUP(Fix_Mapping[[#This Row],[KODE BARANG]],[1]!KINONF15[[KDBRG]:[HRG_JLMT_CTN+PPN]],9,0),0)</f>
        <v>0</v>
      </c>
      <c r="I17">
        <f>IFERROR(VLOOKUP(Fix_Mapping[[#This Row],[KODE BARANG]],[1]!KINONF15[[KDBRG]:[HRG_JLMT_CTN+PPN]],10,0),0)</f>
        <v>0</v>
      </c>
      <c r="J17">
        <f>IFERROR(VLOOKUP(Fix_Mapping[[#This Row],[KODE BARANG]],[1]!KINONF15[[KDBRG]:[HRG_JLMT_CTN+PPN]],11,0),0)</f>
        <v>0</v>
      </c>
      <c r="K17">
        <f>IFERROR(VLOOKUP(Fix_Mapping[[#This Row],[KODE BARANG]],[1]!KINONF15[[KDBRG]:[HRG_JLMT_CTN+PPN]],12,0),0)</f>
        <v>0</v>
      </c>
      <c r="L17">
        <f>IFERROR(VLOOKUP(Fix_Mapping[[#This Row],[KODE BARANG]],[1]!KINONF15[[KDBRG]:[HRG_JLMT_CTN+PPN]],13,0),0)</f>
        <v>0</v>
      </c>
      <c r="M17">
        <f>IFERROR(VLOOKUP(Fix_Mapping[[#This Row],[KODE BARANG]],[1]!KINONF15[[KDBRG]:[HRG_JLMT_CTN+PPN]],14,0),0)</f>
        <v>0</v>
      </c>
      <c r="N17">
        <f>IFERROR(VLOOKUP(Fix_Mapping[[#This Row],[KODE BARANG]],[1]!KINONF15[[KDBRG]:[HRG_JLMT_CTN+PPN]],15,0),0)</f>
        <v>0</v>
      </c>
      <c r="O17">
        <f>IFERROR(VLOOKUP(Fix_Mapping[[#This Row],[KODE BARANG]],[1]!KINONF15[[KDBRG]:[HRG_JLMT_CTN+PPN]],16,0),0)</f>
        <v>0</v>
      </c>
      <c r="P17">
        <f>IFERROR(VLOOKUP(Fix_Mapping[[#This Row],[KODE BARANG]],[1]!KINONF15[[KDBRG]:[HRG_JLMT_CTN+PPN]],17,0),0)</f>
        <v>0</v>
      </c>
      <c r="Q17">
        <f>IFERROR(VLOOKUP(Fix_Mapping[[#This Row],[KODE BARANG]],[1]!KINONF15[[KDBRG]:[HRG_JLMT_CTN+PPN]],18,0),0)</f>
        <v>0</v>
      </c>
      <c r="R17" t="s">
        <v>2555</v>
      </c>
      <c r="S17" t="s">
        <v>522</v>
      </c>
      <c r="T17">
        <v>0</v>
      </c>
      <c r="U17">
        <v>0</v>
      </c>
      <c r="V17">
        <v>0</v>
      </c>
      <c r="W17">
        <v>0</v>
      </c>
    </row>
    <row r="18" spans="1:23">
      <c r="A18" t="s">
        <v>1073</v>
      </c>
      <c r="B18" t="s">
        <v>1074</v>
      </c>
      <c r="C18">
        <v>100</v>
      </c>
      <c r="D18">
        <f>IFERROR(VLOOKUP(Fix_Mapping[[#This Row],[KODE BARANG]],[1]!KINONF15[[KDBRG]:[HRG_JLMT_CTN+PPN]],5,0),0)</f>
        <v>0</v>
      </c>
      <c r="E18" t="s">
        <v>2299</v>
      </c>
      <c r="F18">
        <f>IFERROR(VLOOKUP(Fix_Mapping[[#This Row],[KODE BARANG]],[1]!KINONF15[[KDBRG]:[HRG_JLMT_CTN+PPN]],7,0),0)</f>
        <v>0</v>
      </c>
      <c r="G18">
        <f>IFERROR(VLOOKUP(Fix_Mapping[[#This Row],[KODE BARANG]],[1]!KINONF15[[KDBRG]:[HRG_JLMT_CTN+PPN]],8,0),0)</f>
        <v>0</v>
      </c>
      <c r="H18">
        <f>IFERROR(VLOOKUP(Fix_Mapping[[#This Row],[KODE BARANG]],[1]!KINONF15[[KDBRG]:[HRG_JLMT_CTN+PPN]],9,0),0)</f>
        <v>0</v>
      </c>
      <c r="I18">
        <f>IFERROR(VLOOKUP(Fix_Mapping[[#This Row],[KODE BARANG]],[1]!KINONF15[[KDBRG]:[HRG_JLMT_CTN+PPN]],10,0),0)</f>
        <v>0</v>
      </c>
      <c r="J18">
        <f>IFERROR(VLOOKUP(Fix_Mapping[[#This Row],[KODE BARANG]],[1]!KINONF15[[KDBRG]:[HRG_JLMT_CTN+PPN]],11,0),0)</f>
        <v>0</v>
      </c>
      <c r="K18">
        <f>IFERROR(VLOOKUP(Fix_Mapping[[#This Row],[KODE BARANG]],[1]!KINONF15[[KDBRG]:[HRG_JLMT_CTN+PPN]],12,0),0)</f>
        <v>0</v>
      </c>
      <c r="L18">
        <f>IFERROR(VLOOKUP(Fix_Mapping[[#This Row],[KODE BARANG]],[1]!KINONF15[[KDBRG]:[HRG_JLMT_CTN+PPN]],13,0),0)</f>
        <v>0</v>
      </c>
      <c r="M18">
        <f>IFERROR(VLOOKUP(Fix_Mapping[[#This Row],[KODE BARANG]],[1]!KINONF15[[KDBRG]:[HRG_JLMT_CTN+PPN]],14,0),0)</f>
        <v>0</v>
      </c>
      <c r="N18">
        <f>IFERROR(VLOOKUP(Fix_Mapping[[#This Row],[KODE BARANG]],[1]!KINONF15[[KDBRG]:[HRG_JLMT_CTN+PPN]],15,0),0)</f>
        <v>0</v>
      </c>
      <c r="O18">
        <f>IFERROR(VLOOKUP(Fix_Mapping[[#This Row],[KODE BARANG]],[1]!KINONF15[[KDBRG]:[HRG_JLMT_CTN+PPN]],16,0),0)</f>
        <v>0</v>
      </c>
      <c r="P18">
        <f>IFERROR(VLOOKUP(Fix_Mapping[[#This Row],[KODE BARANG]],[1]!KINONF15[[KDBRG]:[HRG_JLMT_CTN+PPN]],17,0),0)</f>
        <v>0</v>
      </c>
      <c r="Q18">
        <f>IFERROR(VLOOKUP(Fix_Mapping[[#This Row],[KODE BARANG]],[1]!KINONF15[[KDBRG]:[HRG_JLMT_CTN+PPN]],18,0),0)</f>
        <v>0</v>
      </c>
      <c r="R18" t="s">
        <v>2555</v>
      </c>
      <c r="S18" t="s">
        <v>523</v>
      </c>
      <c r="T18">
        <v>0</v>
      </c>
      <c r="U18">
        <v>0</v>
      </c>
      <c r="V18">
        <v>0</v>
      </c>
      <c r="W18">
        <v>0</v>
      </c>
    </row>
    <row r="19" spans="1:23">
      <c r="A19" t="s">
        <v>1075</v>
      </c>
      <c r="B19" t="s">
        <v>1076</v>
      </c>
      <c r="C19">
        <v>100</v>
      </c>
      <c r="D19">
        <f>IFERROR(VLOOKUP(Fix_Mapping[[#This Row],[KODE BARANG]],[1]!KINONF15[[KDBRG]:[HRG_JLMT_CTN+PPN]],5,0),0)</f>
        <v>0</v>
      </c>
      <c r="E19" t="s">
        <v>2299</v>
      </c>
      <c r="F19">
        <f>IFERROR(VLOOKUP(Fix_Mapping[[#This Row],[KODE BARANG]],[1]!KINONF15[[KDBRG]:[HRG_JLMT_CTN+PPN]],7,0),0)</f>
        <v>0</v>
      </c>
      <c r="G19">
        <f>IFERROR(VLOOKUP(Fix_Mapping[[#This Row],[KODE BARANG]],[1]!KINONF15[[KDBRG]:[HRG_JLMT_CTN+PPN]],8,0),0)</f>
        <v>0</v>
      </c>
      <c r="H19">
        <f>IFERROR(VLOOKUP(Fix_Mapping[[#This Row],[KODE BARANG]],[1]!KINONF15[[KDBRG]:[HRG_JLMT_CTN+PPN]],9,0),0)</f>
        <v>0</v>
      </c>
      <c r="I19">
        <f>IFERROR(VLOOKUP(Fix_Mapping[[#This Row],[KODE BARANG]],[1]!KINONF15[[KDBRG]:[HRG_JLMT_CTN+PPN]],10,0),0)</f>
        <v>0</v>
      </c>
      <c r="J19">
        <f>IFERROR(VLOOKUP(Fix_Mapping[[#This Row],[KODE BARANG]],[1]!KINONF15[[KDBRG]:[HRG_JLMT_CTN+PPN]],11,0),0)</f>
        <v>0</v>
      </c>
      <c r="K19">
        <f>IFERROR(VLOOKUP(Fix_Mapping[[#This Row],[KODE BARANG]],[1]!KINONF15[[KDBRG]:[HRG_JLMT_CTN+PPN]],12,0),0)</f>
        <v>0</v>
      </c>
      <c r="L19">
        <f>IFERROR(VLOOKUP(Fix_Mapping[[#This Row],[KODE BARANG]],[1]!KINONF15[[KDBRG]:[HRG_JLMT_CTN+PPN]],13,0),0)</f>
        <v>0</v>
      </c>
      <c r="M19">
        <f>IFERROR(VLOOKUP(Fix_Mapping[[#This Row],[KODE BARANG]],[1]!KINONF15[[KDBRG]:[HRG_JLMT_CTN+PPN]],14,0),0)</f>
        <v>0</v>
      </c>
      <c r="N19">
        <f>IFERROR(VLOOKUP(Fix_Mapping[[#This Row],[KODE BARANG]],[1]!KINONF15[[KDBRG]:[HRG_JLMT_CTN+PPN]],15,0),0)</f>
        <v>0</v>
      </c>
      <c r="O19">
        <f>IFERROR(VLOOKUP(Fix_Mapping[[#This Row],[KODE BARANG]],[1]!KINONF15[[KDBRG]:[HRG_JLMT_CTN+PPN]],16,0),0)</f>
        <v>0</v>
      </c>
      <c r="P19">
        <f>IFERROR(VLOOKUP(Fix_Mapping[[#This Row],[KODE BARANG]],[1]!KINONF15[[KDBRG]:[HRG_JLMT_CTN+PPN]],17,0),0)</f>
        <v>0</v>
      </c>
      <c r="Q19">
        <f>IFERROR(VLOOKUP(Fix_Mapping[[#This Row],[KODE BARANG]],[1]!KINONF15[[KDBRG]:[HRG_JLMT_CTN+PPN]],18,0),0)</f>
        <v>0</v>
      </c>
      <c r="R19" t="s">
        <v>2555</v>
      </c>
      <c r="S19" t="s">
        <v>524</v>
      </c>
      <c r="T19">
        <v>0</v>
      </c>
      <c r="U19">
        <v>0</v>
      </c>
      <c r="V19">
        <v>0</v>
      </c>
      <c r="W19">
        <v>0</v>
      </c>
    </row>
    <row r="20" spans="1:23">
      <c r="A20" t="s">
        <v>1077</v>
      </c>
      <c r="B20" t="s">
        <v>1078</v>
      </c>
      <c r="C20">
        <v>100</v>
      </c>
      <c r="D20">
        <f>IFERROR(VLOOKUP(Fix_Mapping[[#This Row],[KODE BARANG]],[1]!KINONF15[[KDBRG]:[HRG_JLMT_CTN+PPN]],5,0),0)</f>
        <v>0</v>
      </c>
      <c r="E20" t="s">
        <v>2299</v>
      </c>
      <c r="F20">
        <f>IFERROR(VLOOKUP(Fix_Mapping[[#This Row],[KODE BARANG]],[1]!KINONF15[[KDBRG]:[HRG_JLMT_CTN+PPN]],7,0),0)</f>
        <v>0</v>
      </c>
      <c r="G20">
        <f>IFERROR(VLOOKUP(Fix_Mapping[[#This Row],[KODE BARANG]],[1]!KINONF15[[KDBRG]:[HRG_JLMT_CTN+PPN]],8,0),0)</f>
        <v>0</v>
      </c>
      <c r="H20">
        <f>IFERROR(VLOOKUP(Fix_Mapping[[#This Row],[KODE BARANG]],[1]!KINONF15[[KDBRG]:[HRG_JLMT_CTN+PPN]],9,0),0)</f>
        <v>0</v>
      </c>
      <c r="I20">
        <f>IFERROR(VLOOKUP(Fix_Mapping[[#This Row],[KODE BARANG]],[1]!KINONF15[[KDBRG]:[HRG_JLMT_CTN+PPN]],10,0),0)</f>
        <v>0</v>
      </c>
      <c r="J20">
        <f>IFERROR(VLOOKUP(Fix_Mapping[[#This Row],[KODE BARANG]],[1]!KINONF15[[KDBRG]:[HRG_JLMT_CTN+PPN]],11,0),0)</f>
        <v>0</v>
      </c>
      <c r="K20">
        <f>IFERROR(VLOOKUP(Fix_Mapping[[#This Row],[KODE BARANG]],[1]!KINONF15[[KDBRG]:[HRG_JLMT_CTN+PPN]],12,0),0)</f>
        <v>0</v>
      </c>
      <c r="L20">
        <f>IFERROR(VLOOKUP(Fix_Mapping[[#This Row],[KODE BARANG]],[1]!KINONF15[[KDBRG]:[HRG_JLMT_CTN+PPN]],13,0),0)</f>
        <v>0</v>
      </c>
      <c r="M20">
        <f>IFERROR(VLOOKUP(Fix_Mapping[[#This Row],[KODE BARANG]],[1]!KINONF15[[KDBRG]:[HRG_JLMT_CTN+PPN]],14,0),0)</f>
        <v>0</v>
      </c>
      <c r="N20">
        <f>IFERROR(VLOOKUP(Fix_Mapping[[#This Row],[KODE BARANG]],[1]!KINONF15[[KDBRG]:[HRG_JLMT_CTN+PPN]],15,0),0)</f>
        <v>0</v>
      </c>
      <c r="O20">
        <f>IFERROR(VLOOKUP(Fix_Mapping[[#This Row],[KODE BARANG]],[1]!KINONF15[[KDBRG]:[HRG_JLMT_CTN+PPN]],16,0),0)</f>
        <v>0</v>
      </c>
      <c r="P20">
        <f>IFERROR(VLOOKUP(Fix_Mapping[[#This Row],[KODE BARANG]],[1]!KINONF15[[KDBRG]:[HRG_JLMT_CTN+PPN]],17,0),0)</f>
        <v>0</v>
      </c>
      <c r="Q20">
        <f>IFERROR(VLOOKUP(Fix_Mapping[[#This Row],[KODE BARANG]],[1]!KINONF15[[KDBRG]:[HRG_JLMT_CTN+PPN]],18,0),0)</f>
        <v>0</v>
      </c>
      <c r="R20" t="s">
        <v>2555</v>
      </c>
      <c r="S20" t="s">
        <v>525</v>
      </c>
      <c r="T20">
        <v>0</v>
      </c>
      <c r="U20">
        <v>0</v>
      </c>
      <c r="V20">
        <v>0</v>
      </c>
      <c r="W20">
        <v>0</v>
      </c>
    </row>
    <row r="21" spans="1:23">
      <c r="A21" t="s">
        <v>1079</v>
      </c>
      <c r="B21" t="s">
        <v>1080</v>
      </c>
      <c r="C21">
        <v>100</v>
      </c>
      <c r="D21">
        <f>IFERROR(VLOOKUP(Fix_Mapping[[#This Row],[KODE BARANG]],[1]!KINONF15[[KDBRG]:[HRG_JLMT_CTN+PPN]],5,0),0)</f>
        <v>0</v>
      </c>
      <c r="E21" t="s">
        <v>2299</v>
      </c>
      <c r="F21">
        <f>IFERROR(VLOOKUP(Fix_Mapping[[#This Row],[KODE BARANG]],[1]!KINONF15[[KDBRG]:[HRG_JLMT_CTN+PPN]],7,0),0)</f>
        <v>0</v>
      </c>
      <c r="G21">
        <f>IFERROR(VLOOKUP(Fix_Mapping[[#This Row],[KODE BARANG]],[1]!KINONF15[[KDBRG]:[HRG_JLMT_CTN+PPN]],8,0),0)</f>
        <v>0</v>
      </c>
      <c r="H21">
        <f>IFERROR(VLOOKUP(Fix_Mapping[[#This Row],[KODE BARANG]],[1]!KINONF15[[KDBRG]:[HRG_JLMT_CTN+PPN]],9,0),0)</f>
        <v>0</v>
      </c>
      <c r="I21">
        <f>IFERROR(VLOOKUP(Fix_Mapping[[#This Row],[KODE BARANG]],[1]!KINONF15[[KDBRG]:[HRG_JLMT_CTN+PPN]],10,0),0)</f>
        <v>0</v>
      </c>
      <c r="J21">
        <f>IFERROR(VLOOKUP(Fix_Mapping[[#This Row],[KODE BARANG]],[1]!KINONF15[[KDBRG]:[HRG_JLMT_CTN+PPN]],11,0),0)</f>
        <v>0</v>
      </c>
      <c r="K21">
        <f>IFERROR(VLOOKUP(Fix_Mapping[[#This Row],[KODE BARANG]],[1]!KINONF15[[KDBRG]:[HRG_JLMT_CTN+PPN]],12,0),0)</f>
        <v>0</v>
      </c>
      <c r="L21">
        <f>IFERROR(VLOOKUP(Fix_Mapping[[#This Row],[KODE BARANG]],[1]!KINONF15[[KDBRG]:[HRG_JLMT_CTN+PPN]],13,0),0)</f>
        <v>0</v>
      </c>
      <c r="M21">
        <f>IFERROR(VLOOKUP(Fix_Mapping[[#This Row],[KODE BARANG]],[1]!KINONF15[[KDBRG]:[HRG_JLMT_CTN+PPN]],14,0),0)</f>
        <v>0</v>
      </c>
      <c r="N21">
        <f>IFERROR(VLOOKUP(Fix_Mapping[[#This Row],[KODE BARANG]],[1]!KINONF15[[KDBRG]:[HRG_JLMT_CTN+PPN]],15,0),0)</f>
        <v>0</v>
      </c>
      <c r="O21">
        <f>IFERROR(VLOOKUP(Fix_Mapping[[#This Row],[KODE BARANG]],[1]!KINONF15[[KDBRG]:[HRG_JLMT_CTN+PPN]],16,0),0)</f>
        <v>0</v>
      </c>
      <c r="P21">
        <f>IFERROR(VLOOKUP(Fix_Mapping[[#This Row],[KODE BARANG]],[1]!KINONF15[[KDBRG]:[HRG_JLMT_CTN+PPN]],17,0),0)</f>
        <v>0</v>
      </c>
      <c r="Q21">
        <f>IFERROR(VLOOKUP(Fix_Mapping[[#This Row],[KODE BARANG]],[1]!KINONF15[[KDBRG]:[HRG_JLMT_CTN+PPN]],18,0),0)</f>
        <v>0</v>
      </c>
      <c r="R21" t="s">
        <v>2555</v>
      </c>
      <c r="S21" t="s">
        <v>509</v>
      </c>
      <c r="T21">
        <v>0</v>
      </c>
      <c r="U21">
        <v>0</v>
      </c>
      <c r="V21">
        <v>0</v>
      </c>
      <c r="W21">
        <v>0</v>
      </c>
    </row>
    <row r="22" spans="1:23">
      <c r="A22" t="s">
        <v>1081</v>
      </c>
      <c r="B22" t="s">
        <v>1082</v>
      </c>
      <c r="C22">
        <v>100</v>
      </c>
      <c r="D22">
        <f>IFERROR(VLOOKUP(Fix_Mapping[[#This Row],[KODE BARANG]],[1]!KINONF15[[KDBRG]:[HRG_JLMT_CTN+PPN]],5,0),0)</f>
        <v>0</v>
      </c>
      <c r="E22" t="s">
        <v>2299</v>
      </c>
      <c r="F22">
        <f>IFERROR(VLOOKUP(Fix_Mapping[[#This Row],[KODE BARANG]],[1]!KINONF15[[KDBRG]:[HRG_JLMT_CTN+PPN]],7,0),0)</f>
        <v>0</v>
      </c>
      <c r="G22">
        <f>IFERROR(VLOOKUP(Fix_Mapping[[#This Row],[KODE BARANG]],[1]!KINONF15[[KDBRG]:[HRG_JLMT_CTN+PPN]],8,0),0)</f>
        <v>0</v>
      </c>
      <c r="H22">
        <f>IFERROR(VLOOKUP(Fix_Mapping[[#This Row],[KODE BARANG]],[1]!KINONF15[[KDBRG]:[HRG_JLMT_CTN+PPN]],9,0),0)</f>
        <v>0</v>
      </c>
      <c r="I22">
        <f>IFERROR(VLOOKUP(Fix_Mapping[[#This Row],[KODE BARANG]],[1]!KINONF15[[KDBRG]:[HRG_JLMT_CTN+PPN]],10,0),0)</f>
        <v>0</v>
      </c>
      <c r="J22">
        <f>IFERROR(VLOOKUP(Fix_Mapping[[#This Row],[KODE BARANG]],[1]!KINONF15[[KDBRG]:[HRG_JLMT_CTN+PPN]],11,0),0)</f>
        <v>0</v>
      </c>
      <c r="K22">
        <f>IFERROR(VLOOKUP(Fix_Mapping[[#This Row],[KODE BARANG]],[1]!KINONF15[[KDBRG]:[HRG_JLMT_CTN+PPN]],12,0),0)</f>
        <v>0</v>
      </c>
      <c r="L22">
        <f>IFERROR(VLOOKUP(Fix_Mapping[[#This Row],[KODE BARANG]],[1]!KINONF15[[KDBRG]:[HRG_JLMT_CTN+PPN]],13,0),0)</f>
        <v>0</v>
      </c>
      <c r="M22">
        <f>IFERROR(VLOOKUP(Fix_Mapping[[#This Row],[KODE BARANG]],[1]!KINONF15[[KDBRG]:[HRG_JLMT_CTN+PPN]],14,0),0)</f>
        <v>0</v>
      </c>
      <c r="N22">
        <f>IFERROR(VLOOKUP(Fix_Mapping[[#This Row],[KODE BARANG]],[1]!KINONF15[[KDBRG]:[HRG_JLMT_CTN+PPN]],15,0),0)</f>
        <v>0</v>
      </c>
      <c r="O22">
        <f>IFERROR(VLOOKUP(Fix_Mapping[[#This Row],[KODE BARANG]],[1]!KINONF15[[KDBRG]:[HRG_JLMT_CTN+PPN]],16,0),0)</f>
        <v>0</v>
      </c>
      <c r="P22">
        <f>IFERROR(VLOOKUP(Fix_Mapping[[#This Row],[KODE BARANG]],[1]!KINONF15[[KDBRG]:[HRG_JLMT_CTN+PPN]],17,0),0)</f>
        <v>0</v>
      </c>
      <c r="Q22">
        <f>IFERROR(VLOOKUP(Fix_Mapping[[#This Row],[KODE BARANG]],[1]!KINONF15[[KDBRG]:[HRG_JLMT_CTN+PPN]],18,0),0)</f>
        <v>0</v>
      </c>
      <c r="R22" t="s">
        <v>2555</v>
      </c>
      <c r="S22" t="s">
        <v>510</v>
      </c>
      <c r="T22">
        <v>0</v>
      </c>
      <c r="U22">
        <v>0</v>
      </c>
      <c r="V22">
        <v>0</v>
      </c>
      <c r="W22">
        <v>0</v>
      </c>
    </row>
    <row r="23" spans="1:23">
      <c r="A23" t="s">
        <v>1083</v>
      </c>
      <c r="B23" t="s">
        <v>1084</v>
      </c>
      <c r="C23">
        <v>100</v>
      </c>
      <c r="D23">
        <f>IFERROR(VLOOKUP(Fix_Mapping[[#This Row],[KODE BARANG]],[1]!KINONF15[[KDBRG]:[HRG_JLMT_CTN+PPN]],5,0),0)</f>
        <v>0</v>
      </c>
      <c r="E23" t="s">
        <v>2299</v>
      </c>
      <c r="F23">
        <f>IFERROR(VLOOKUP(Fix_Mapping[[#This Row],[KODE BARANG]],[1]!KINONF15[[KDBRG]:[HRG_JLMT_CTN+PPN]],7,0),0)</f>
        <v>0</v>
      </c>
      <c r="G23">
        <f>IFERROR(VLOOKUP(Fix_Mapping[[#This Row],[KODE BARANG]],[1]!KINONF15[[KDBRG]:[HRG_JLMT_CTN+PPN]],8,0),0)</f>
        <v>0</v>
      </c>
      <c r="H23">
        <f>IFERROR(VLOOKUP(Fix_Mapping[[#This Row],[KODE BARANG]],[1]!KINONF15[[KDBRG]:[HRG_JLMT_CTN+PPN]],9,0),0)</f>
        <v>0</v>
      </c>
      <c r="I23">
        <f>IFERROR(VLOOKUP(Fix_Mapping[[#This Row],[KODE BARANG]],[1]!KINONF15[[KDBRG]:[HRG_JLMT_CTN+PPN]],10,0),0)</f>
        <v>0</v>
      </c>
      <c r="J23">
        <f>IFERROR(VLOOKUP(Fix_Mapping[[#This Row],[KODE BARANG]],[1]!KINONF15[[KDBRG]:[HRG_JLMT_CTN+PPN]],11,0),0)</f>
        <v>0</v>
      </c>
      <c r="K23">
        <f>IFERROR(VLOOKUP(Fix_Mapping[[#This Row],[KODE BARANG]],[1]!KINONF15[[KDBRG]:[HRG_JLMT_CTN+PPN]],12,0),0)</f>
        <v>0</v>
      </c>
      <c r="L23">
        <f>IFERROR(VLOOKUP(Fix_Mapping[[#This Row],[KODE BARANG]],[1]!KINONF15[[KDBRG]:[HRG_JLMT_CTN+PPN]],13,0),0)</f>
        <v>0</v>
      </c>
      <c r="M23">
        <f>IFERROR(VLOOKUP(Fix_Mapping[[#This Row],[KODE BARANG]],[1]!KINONF15[[KDBRG]:[HRG_JLMT_CTN+PPN]],14,0),0)</f>
        <v>0</v>
      </c>
      <c r="N23">
        <f>IFERROR(VLOOKUP(Fix_Mapping[[#This Row],[KODE BARANG]],[1]!KINONF15[[KDBRG]:[HRG_JLMT_CTN+PPN]],15,0),0)</f>
        <v>0</v>
      </c>
      <c r="O23">
        <f>IFERROR(VLOOKUP(Fix_Mapping[[#This Row],[KODE BARANG]],[1]!KINONF15[[KDBRG]:[HRG_JLMT_CTN+PPN]],16,0),0)</f>
        <v>0</v>
      </c>
      <c r="P23">
        <f>IFERROR(VLOOKUP(Fix_Mapping[[#This Row],[KODE BARANG]],[1]!KINONF15[[KDBRG]:[HRG_JLMT_CTN+PPN]],17,0),0)</f>
        <v>0</v>
      </c>
      <c r="Q23">
        <f>IFERROR(VLOOKUP(Fix_Mapping[[#This Row],[KODE BARANG]],[1]!KINONF15[[KDBRG]:[HRG_JLMT_CTN+PPN]],18,0),0)</f>
        <v>0</v>
      </c>
      <c r="R23" t="s">
        <v>2555</v>
      </c>
      <c r="S23" t="s">
        <v>511</v>
      </c>
      <c r="T23">
        <v>0</v>
      </c>
      <c r="U23">
        <v>0</v>
      </c>
      <c r="V23">
        <v>0</v>
      </c>
      <c r="W23">
        <v>0</v>
      </c>
    </row>
    <row r="24" spans="1:23">
      <c r="A24" t="s">
        <v>1085</v>
      </c>
      <c r="B24" t="s">
        <v>1086</v>
      </c>
      <c r="C24">
        <v>100</v>
      </c>
      <c r="D24">
        <f>IFERROR(VLOOKUP(Fix_Mapping[[#This Row],[KODE BARANG]],[1]!KINONF15[[KDBRG]:[HRG_JLMT_CTN+PPN]],5,0),0)</f>
        <v>0</v>
      </c>
      <c r="E24" t="s">
        <v>2299</v>
      </c>
      <c r="F24">
        <f>IFERROR(VLOOKUP(Fix_Mapping[[#This Row],[KODE BARANG]],[1]!KINONF15[[KDBRG]:[HRG_JLMT_CTN+PPN]],7,0),0)</f>
        <v>0</v>
      </c>
      <c r="G24">
        <f>IFERROR(VLOOKUP(Fix_Mapping[[#This Row],[KODE BARANG]],[1]!KINONF15[[KDBRG]:[HRG_JLMT_CTN+PPN]],8,0),0)</f>
        <v>0</v>
      </c>
      <c r="H24">
        <f>IFERROR(VLOOKUP(Fix_Mapping[[#This Row],[KODE BARANG]],[1]!KINONF15[[KDBRG]:[HRG_JLMT_CTN+PPN]],9,0),0)</f>
        <v>0</v>
      </c>
      <c r="I24">
        <f>IFERROR(VLOOKUP(Fix_Mapping[[#This Row],[KODE BARANG]],[1]!KINONF15[[KDBRG]:[HRG_JLMT_CTN+PPN]],10,0),0)</f>
        <v>0</v>
      </c>
      <c r="J24">
        <f>IFERROR(VLOOKUP(Fix_Mapping[[#This Row],[KODE BARANG]],[1]!KINONF15[[KDBRG]:[HRG_JLMT_CTN+PPN]],11,0),0)</f>
        <v>0</v>
      </c>
      <c r="K24">
        <f>IFERROR(VLOOKUP(Fix_Mapping[[#This Row],[KODE BARANG]],[1]!KINONF15[[KDBRG]:[HRG_JLMT_CTN+PPN]],12,0),0)</f>
        <v>0</v>
      </c>
      <c r="L24">
        <f>IFERROR(VLOOKUP(Fix_Mapping[[#This Row],[KODE BARANG]],[1]!KINONF15[[KDBRG]:[HRG_JLMT_CTN+PPN]],13,0),0)</f>
        <v>0</v>
      </c>
      <c r="M24">
        <f>IFERROR(VLOOKUP(Fix_Mapping[[#This Row],[KODE BARANG]],[1]!KINONF15[[KDBRG]:[HRG_JLMT_CTN+PPN]],14,0),0)</f>
        <v>0</v>
      </c>
      <c r="N24">
        <f>IFERROR(VLOOKUP(Fix_Mapping[[#This Row],[KODE BARANG]],[1]!KINONF15[[KDBRG]:[HRG_JLMT_CTN+PPN]],15,0),0)</f>
        <v>0</v>
      </c>
      <c r="O24">
        <f>IFERROR(VLOOKUP(Fix_Mapping[[#This Row],[KODE BARANG]],[1]!KINONF15[[KDBRG]:[HRG_JLMT_CTN+PPN]],16,0),0)</f>
        <v>0</v>
      </c>
      <c r="P24">
        <f>IFERROR(VLOOKUP(Fix_Mapping[[#This Row],[KODE BARANG]],[1]!KINONF15[[KDBRG]:[HRG_JLMT_CTN+PPN]],17,0),0)</f>
        <v>0</v>
      </c>
      <c r="Q24">
        <f>IFERROR(VLOOKUP(Fix_Mapping[[#This Row],[KODE BARANG]],[1]!KINONF15[[KDBRG]:[HRG_JLMT_CTN+PPN]],18,0),0)</f>
        <v>0</v>
      </c>
      <c r="R24" t="s">
        <v>2555</v>
      </c>
      <c r="S24" t="s">
        <v>512</v>
      </c>
      <c r="T24">
        <v>0</v>
      </c>
      <c r="U24">
        <v>0</v>
      </c>
      <c r="V24">
        <v>0</v>
      </c>
      <c r="W24">
        <v>0</v>
      </c>
    </row>
    <row r="25" spans="1:23">
      <c r="A25" t="s">
        <v>1087</v>
      </c>
      <c r="B25" t="s">
        <v>1088</v>
      </c>
      <c r="C25">
        <v>100</v>
      </c>
      <c r="D25">
        <f>IFERROR(VLOOKUP(Fix_Mapping[[#This Row],[KODE BARANG]],[1]!KINONF15[[KDBRG]:[HRG_JLMT_CTN+PPN]],5,0),0)</f>
        <v>0</v>
      </c>
      <c r="E25" t="s">
        <v>2299</v>
      </c>
      <c r="F25">
        <f>IFERROR(VLOOKUP(Fix_Mapping[[#This Row],[KODE BARANG]],[1]!KINONF15[[KDBRG]:[HRG_JLMT_CTN+PPN]],7,0),0)</f>
        <v>0</v>
      </c>
      <c r="G25">
        <f>IFERROR(VLOOKUP(Fix_Mapping[[#This Row],[KODE BARANG]],[1]!KINONF15[[KDBRG]:[HRG_JLMT_CTN+PPN]],8,0),0)</f>
        <v>0</v>
      </c>
      <c r="H25">
        <f>IFERROR(VLOOKUP(Fix_Mapping[[#This Row],[KODE BARANG]],[1]!KINONF15[[KDBRG]:[HRG_JLMT_CTN+PPN]],9,0),0)</f>
        <v>0</v>
      </c>
      <c r="I25">
        <f>IFERROR(VLOOKUP(Fix_Mapping[[#This Row],[KODE BARANG]],[1]!KINONF15[[KDBRG]:[HRG_JLMT_CTN+PPN]],10,0),0)</f>
        <v>0</v>
      </c>
      <c r="J25">
        <f>IFERROR(VLOOKUP(Fix_Mapping[[#This Row],[KODE BARANG]],[1]!KINONF15[[KDBRG]:[HRG_JLMT_CTN+PPN]],11,0),0)</f>
        <v>0</v>
      </c>
      <c r="K25">
        <f>IFERROR(VLOOKUP(Fix_Mapping[[#This Row],[KODE BARANG]],[1]!KINONF15[[KDBRG]:[HRG_JLMT_CTN+PPN]],12,0),0)</f>
        <v>0</v>
      </c>
      <c r="L25">
        <f>IFERROR(VLOOKUP(Fix_Mapping[[#This Row],[KODE BARANG]],[1]!KINONF15[[KDBRG]:[HRG_JLMT_CTN+PPN]],13,0),0)</f>
        <v>0</v>
      </c>
      <c r="M25">
        <f>IFERROR(VLOOKUP(Fix_Mapping[[#This Row],[KODE BARANG]],[1]!KINONF15[[KDBRG]:[HRG_JLMT_CTN+PPN]],14,0),0)</f>
        <v>0</v>
      </c>
      <c r="N25">
        <f>IFERROR(VLOOKUP(Fix_Mapping[[#This Row],[KODE BARANG]],[1]!KINONF15[[KDBRG]:[HRG_JLMT_CTN+PPN]],15,0),0)</f>
        <v>0</v>
      </c>
      <c r="O25">
        <f>IFERROR(VLOOKUP(Fix_Mapping[[#This Row],[KODE BARANG]],[1]!KINONF15[[KDBRG]:[HRG_JLMT_CTN+PPN]],16,0),0)</f>
        <v>0</v>
      </c>
      <c r="P25">
        <f>IFERROR(VLOOKUP(Fix_Mapping[[#This Row],[KODE BARANG]],[1]!KINONF15[[KDBRG]:[HRG_JLMT_CTN+PPN]],17,0),0)</f>
        <v>0</v>
      </c>
      <c r="Q25">
        <f>IFERROR(VLOOKUP(Fix_Mapping[[#This Row],[KODE BARANG]],[1]!KINONF15[[KDBRG]:[HRG_JLMT_CTN+PPN]],18,0),0)</f>
        <v>0</v>
      </c>
      <c r="R25" t="s">
        <v>2555</v>
      </c>
      <c r="S25" t="s">
        <v>513</v>
      </c>
      <c r="T25">
        <v>0</v>
      </c>
      <c r="U25">
        <v>0</v>
      </c>
      <c r="V25">
        <v>0</v>
      </c>
      <c r="W25">
        <v>0</v>
      </c>
    </row>
    <row r="26" spans="1:23">
      <c r="A26" t="s">
        <v>1089</v>
      </c>
      <c r="B26" t="s">
        <v>1090</v>
      </c>
      <c r="C26">
        <v>100</v>
      </c>
      <c r="D26">
        <f>IFERROR(VLOOKUP(Fix_Mapping[[#This Row],[KODE BARANG]],[1]!KINONF15[[KDBRG]:[HRG_JLMT_CTN+PPN]],5,0),0)</f>
        <v>0</v>
      </c>
      <c r="E26" t="s">
        <v>2299</v>
      </c>
      <c r="F26">
        <f>IFERROR(VLOOKUP(Fix_Mapping[[#This Row],[KODE BARANG]],[1]!KINONF15[[KDBRG]:[HRG_JLMT_CTN+PPN]],7,0),0)</f>
        <v>0</v>
      </c>
      <c r="G26">
        <f>IFERROR(VLOOKUP(Fix_Mapping[[#This Row],[KODE BARANG]],[1]!KINONF15[[KDBRG]:[HRG_JLMT_CTN+PPN]],8,0),0)</f>
        <v>0</v>
      </c>
      <c r="H26">
        <f>IFERROR(VLOOKUP(Fix_Mapping[[#This Row],[KODE BARANG]],[1]!KINONF15[[KDBRG]:[HRG_JLMT_CTN+PPN]],9,0),0)</f>
        <v>0</v>
      </c>
      <c r="I26">
        <f>IFERROR(VLOOKUP(Fix_Mapping[[#This Row],[KODE BARANG]],[1]!KINONF15[[KDBRG]:[HRG_JLMT_CTN+PPN]],10,0),0)</f>
        <v>0</v>
      </c>
      <c r="J26">
        <f>IFERROR(VLOOKUP(Fix_Mapping[[#This Row],[KODE BARANG]],[1]!KINONF15[[KDBRG]:[HRG_JLMT_CTN+PPN]],11,0),0)</f>
        <v>0</v>
      </c>
      <c r="K26">
        <f>IFERROR(VLOOKUP(Fix_Mapping[[#This Row],[KODE BARANG]],[1]!KINONF15[[KDBRG]:[HRG_JLMT_CTN+PPN]],12,0),0)</f>
        <v>0</v>
      </c>
      <c r="L26">
        <f>IFERROR(VLOOKUP(Fix_Mapping[[#This Row],[KODE BARANG]],[1]!KINONF15[[KDBRG]:[HRG_JLMT_CTN+PPN]],13,0),0)</f>
        <v>0</v>
      </c>
      <c r="M26">
        <f>IFERROR(VLOOKUP(Fix_Mapping[[#This Row],[KODE BARANG]],[1]!KINONF15[[KDBRG]:[HRG_JLMT_CTN+PPN]],14,0),0)</f>
        <v>0</v>
      </c>
      <c r="N26">
        <f>IFERROR(VLOOKUP(Fix_Mapping[[#This Row],[KODE BARANG]],[1]!KINONF15[[KDBRG]:[HRG_JLMT_CTN+PPN]],15,0),0)</f>
        <v>0</v>
      </c>
      <c r="O26">
        <f>IFERROR(VLOOKUP(Fix_Mapping[[#This Row],[KODE BARANG]],[1]!KINONF15[[KDBRG]:[HRG_JLMT_CTN+PPN]],16,0),0)</f>
        <v>0</v>
      </c>
      <c r="P26">
        <f>IFERROR(VLOOKUP(Fix_Mapping[[#This Row],[KODE BARANG]],[1]!KINONF15[[KDBRG]:[HRG_JLMT_CTN+PPN]],17,0),0)</f>
        <v>0</v>
      </c>
      <c r="Q26">
        <f>IFERROR(VLOOKUP(Fix_Mapping[[#This Row],[KODE BARANG]],[1]!KINONF15[[KDBRG]:[HRG_JLMT_CTN+PPN]],18,0),0)</f>
        <v>0</v>
      </c>
      <c r="R26" t="s">
        <v>2555</v>
      </c>
      <c r="S26" t="s">
        <v>514</v>
      </c>
      <c r="T26">
        <v>0</v>
      </c>
      <c r="U26">
        <v>0</v>
      </c>
      <c r="V26">
        <v>0</v>
      </c>
      <c r="W26">
        <v>0</v>
      </c>
    </row>
    <row r="27" spans="1:23">
      <c r="A27" t="s">
        <v>1091</v>
      </c>
      <c r="B27" t="s">
        <v>1092</v>
      </c>
      <c r="C27">
        <v>100</v>
      </c>
      <c r="D27">
        <f>IFERROR(VLOOKUP(Fix_Mapping[[#This Row],[KODE BARANG]],[1]!KINONF15[[KDBRG]:[HRG_JLMT_CTN+PPN]],5,0),0)</f>
        <v>0</v>
      </c>
      <c r="E27" t="s">
        <v>2299</v>
      </c>
      <c r="F27">
        <f>IFERROR(VLOOKUP(Fix_Mapping[[#This Row],[KODE BARANG]],[1]!KINONF15[[KDBRG]:[HRG_JLMT_CTN+PPN]],7,0),0)</f>
        <v>0</v>
      </c>
      <c r="G27">
        <f>IFERROR(VLOOKUP(Fix_Mapping[[#This Row],[KODE BARANG]],[1]!KINONF15[[KDBRG]:[HRG_JLMT_CTN+PPN]],8,0),0)</f>
        <v>0</v>
      </c>
      <c r="H27">
        <f>IFERROR(VLOOKUP(Fix_Mapping[[#This Row],[KODE BARANG]],[1]!KINONF15[[KDBRG]:[HRG_JLMT_CTN+PPN]],9,0),0)</f>
        <v>0</v>
      </c>
      <c r="I27">
        <f>IFERROR(VLOOKUP(Fix_Mapping[[#This Row],[KODE BARANG]],[1]!KINONF15[[KDBRG]:[HRG_JLMT_CTN+PPN]],10,0),0)</f>
        <v>0</v>
      </c>
      <c r="J27">
        <f>IFERROR(VLOOKUP(Fix_Mapping[[#This Row],[KODE BARANG]],[1]!KINONF15[[KDBRG]:[HRG_JLMT_CTN+PPN]],11,0),0)</f>
        <v>0</v>
      </c>
      <c r="K27">
        <f>IFERROR(VLOOKUP(Fix_Mapping[[#This Row],[KODE BARANG]],[1]!KINONF15[[KDBRG]:[HRG_JLMT_CTN+PPN]],12,0),0)</f>
        <v>0</v>
      </c>
      <c r="L27">
        <f>IFERROR(VLOOKUP(Fix_Mapping[[#This Row],[KODE BARANG]],[1]!KINONF15[[KDBRG]:[HRG_JLMT_CTN+PPN]],13,0),0)</f>
        <v>0</v>
      </c>
      <c r="M27">
        <f>IFERROR(VLOOKUP(Fix_Mapping[[#This Row],[KODE BARANG]],[1]!KINONF15[[KDBRG]:[HRG_JLMT_CTN+PPN]],14,0),0)</f>
        <v>0</v>
      </c>
      <c r="N27">
        <f>IFERROR(VLOOKUP(Fix_Mapping[[#This Row],[KODE BARANG]],[1]!KINONF15[[KDBRG]:[HRG_JLMT_CTN+PPN]],15,0),0)</f>
        <v>0</v>
      </c>
      <c r="O27">
        <f>IFERROR(VLOOKUP(Fix_Mapping[[#This Row],[KODE BARANG]],[1]!KINONF15[[KDBRG]:[HRG_JLMT_CTN+PPN]],16,0),0)</f>
        <v>0</v>
      </c>
      <c r="P27">
        <f>IFERROR(VLOOKUP(Fix_Mapping[[#This Row],[KODE BARANG]],[1]!KINONF15[[KDBRG]:[HRG_JLMT_CTN+PPN]],17,0),0)</f>
        <v>0</v>
      </c>
      <c r="Q27">
        <f>IFERROR(VLOOKUP(Fix_Mapping[[#This Row],[KODE BARANG]],[1]!KINONF15[[KDBRG]:[HRG_JLMT_CTN+PPN]],18,0),0)</f>
        <v>0</v>
      </c>
      <c r="R27" t="s">
        <v>2555</v>
      </c>
      <c r="S27" t="s">
        <v>515</v>
      </c>
      <c r="T27">
        <v>0</v>
      </c>
      <c r="U27">
        <v>0</v>
      </c>
      <c r="V27">
        <v>0</v>
      </c>
      <c r="W27">
        <v>0</v>
      </c>
    </row>
    <row r="28" spans="1:23">
      <c r="A28" t="s">
        <v>1093</v>
      </c>
      <c r="B28" t="s">
        <v>1094</v>
      </c>
      <c r="C28">
        <v>100</v>
      </c>
      <c r="D28">
        <f>IFERROR(VLOOKUP(Fix_Mapping[[#This Row],[KODE BARANG]],[1]!KINONF15[[KDBRG]:[HRG_JLMT_CTN+PPN]],5,0),0)</f>
        <v>0</v>
      </c>
      <c r="E28" t="s">
        <v>2299</v>
      </c>
      <c r="F28">
        <f>IFERROR(VLOOKUP(Fix_Mapping[[#This Row],[KODE BARANG]],[1]!KINONF15[[KDBRG]:[HRG_JLMT_CTN+PPN]],7,0),0)</f>
        <v>0</v>
      </c>
      <c r="G28">
        <f>IFERROR(VLOOKUP(Fix_Mapping[[#This Row],[KODE BARANG]],[1]!KINONF15[[KDBRG]:[HRG_JLMT_CTN+PPN]],8,0),0)</f>
        <v>0</v>
      </c>
      <c r="H28">
        <f>IFERROR(VLOOKUP(Fix_Mapping[[#This Row],[KODE BARANG]],[1]!KINONF15[[KDBRG]:[HRG_JLMT_CTN+PPN]],9,0),0)</f>
        <v>0</v>
      </c>
      <c r="I28">
        <f>IFERROR(VLOOKUP(Fix_Mapping[[#This Row],[KODE BARANG]],[1]!KINONF15[[KDBRG]:[HRG_JLMT_CTN+PPN]],10,0),0)</f>
        <v>0</v>
      </c>
      <c r="J28">
        <f>IFERROR(VLOOKUP(Fix_Mapping[[#This Row],[KODE BARANG]],[1]!KINONF15[[KDBRG]:[HRG_JLMT_CTN+PPN]],11,0),0)</f>
        <v>0</v>
      </c>
      <c r="K28">
        <f>IFERROR(VLOOKUP(Fix_Mapping[[#This Row],[KODE BARANG]],[1]!KINONF15[[KDBRG]:[HRG_JLMT_CTN+PPN]],12,0),0)</f>
        <v>0</v>
      </c>
      <c r="L28">
        <f>IFERROR(VLOOKUP(Fix_Mapping[[#This Row],[KODE BARANG]],[1]!KINONF15[[KDBRG]:[HRG_JLMT_CTN+PPN]],13,0),0)</f>
        <v>0</v>
      </c>
      <c r="M28">
        <f>IFERROR(VLOOKUP(Fix_Mapping[[#This Row],[KODE BARANG]],[1]!KINONF15[[KDBRG]:[HRG_JLMT_CTN+PPN]],14,0),0)</f>
        <v>0</v>
      </c>
      <c r="N28">
        <f>IFERROR(VLOOKUP(Fix_Mapping[[#This Row],[KODE BARANG]],[1]!KINONF15[[KDBRG]:[HRG_JLMT_CTN+PPN]],15,0),0)</f>
        <v>0</v>
      </c>
      <c r="O28">
        <f>IFERROR(VLOOKUP(Fix_Mapping[[#This Row],[KODE BARANG]],[1]!KINONF15[[KDBRG]:[HRG_JLMT_CTN+PPN]],16,0),0)</f>
        <v>0</v>
      </c>
      <c r="P28">
        <f>IFERROR(VLOOKUP(Fix_Mapping[[#This Row],[KODE BARANG]],[1]!KINONF15[[KDBRG]:[HRG_JLMT_CTN+PPN]],17,0),0)</f>
        <v>0</v>
      </c>
      <c r="Q28">
        <f>IFERROR(VLOOKUP(Fix_Mapping[[#This Row],[KODE BARANG]],[1]!KINONF15[[KDBRG]:[HRG_JLMT_CTN+PPN]],18,0),0)</f>
        <v>0</v>
      </c>
      <c r="R28" t="s">
        <v>2555</v>
      </c>
      <c r="S28" t="s">
        <v>516</v>
      </c>
      <c r="T28">
        <v>0</v>
      </c>
      <c r="U28">
        <v>0</v>
      </c>
      <c r="V28">
        <v>0</v>
      </c>
      <c r="W28">
        <v>0</v>
      </c>
    </row>
    <row r="29" spans="1:23">
      <c r="A29" t="s">
        <v>1095</v>
      </c>
      <c r="B29" t="s">
        <v>1096</v>
      </c>
      <c r="C29">
        <v>100</v>
      </c>
      <c r="D29">
        <f>IFERROR(VLOOKUP(Fix_Mapping[[#This Row],[KODE BARANG]],[1]!KINONF15[[KDBRG]:[HRG_JLMT_CTN+PPN]],5,0),0)</f>
        <v>0</v>
      </c>
      <c r="E29" t="s">
        <v>2299</v>
      </c>
      <c r="F29">
        <f>IFERROR(VLOOKUP(Fix_Mapping[[#This Row],[KODE BARANG]],[1]!KINONF15[[KDBRG]:[HRG_JLMT_CTN+PPN]],7,0),0)</f>
        <v>0</v>
      </c>
      <c r="G29">
        <f>IFERROR(VLOOKUP(Fix_Mapping[[#This Row],[KODE BARANG]],[1]!KINONF15[[KDBRG]:[HRG_JLMT_CTN+PPN]],8,0),0)</f>
        <v>0</v>
      </c>
      <c r="H29">
        <f>IFERROR(VLOOKUP(Fix_Mapping[[#This Row],[KODE BARANG]],[1]!KINONF15[[KDBRG]:[HRG_JLMT_CTN+PPN]],9,0),0)</f>
        <v>0</v>
      </c>
      <c r="I29">
        <f>IFERROR(VLOOKUP(Fix_Mapping[[#This Row],[KODE BARANG]],[1]!KINONF15[[KDBRG]:[HRG_JLMT_CTN+PPN]],10,0),0)</f>
        <v>0</v>
      </c>
      <c r="J29">
        <f>IFERROR(VLOOKUP(Fix_Mapping[[#This Row],[KODE BARANG]],[1]!KINONF15[[KDBRG]:[HRG_JLMT_CTN+PPN]],11,0),0)</f>
        <v>0</v>
      </c>
      <c r="K29">
        <f>IFERROR(VLOOKUP(Fix_Mapping[[#This Row],[KODE BARANG]],[1]!KINONF15[[KDBRG]:[HRG_JLMT_CTN+PPN]],12,0),0)</f>
        <v>0</v>
      </c>
      <c r="L29">
        <f>IFERROR(VLOOKUP(Fix_Mapping[[#This Row],[KODE BARANG]],[1]!KINONF15[[KDBRG]:[HRG_JLMT_CTN+PPN]],13,0),0)</f>
        <v>0</v>
      </c>
      <c r="M29">
        <f>IFERROR(VLOOKUP(Fix_Mapping[[#This Row],[KODE BARANG]],[1]!KINONF15[[KDBRG]:[HRG_JLMT_CTN+PPN]],14,0),0)</f>
        <v>0</v>
      </c>
      <c r="N29">
        <f>IFERROR(VLOOKUP(Fix_Mapping[[#This Row],[KODE BARANG]],[1]!KINONF15[[KDBRG]:[HRG_JLMT_CTN+PPN]],15,0),0)</f>
        <v>0</v>
      </c>
      <c r="O29">
        <f>IFERROR(VLOOKUP(Fix_Mapping[[#This Row],[KODE BARANG]],[1]!KINONF15[[KDBRG]:[HRG_JLMT_CTN+PPN]],16,0),0)</f>
        <v>0</v>
      </c>
      <c r="P29">
        <f>IFERROR(VLOOKUP(Fix_Mapping[[#This Row],[KODE BARANG]],[1]!KINONF15[[KDBRG]:[HRG_JLMT_CTN+PPN]],17,0),0)</f>
        <v>0</v>
      </c>
      <c r="Q29">
        <f>IFERROR(VLOOKUP(Fix_Mapping[[#This Row],[KODE BARANG]],[1]!KINONF15[[KDBRG]:[HRG_JLMT_CTN+PPN]],18,0),0)</f>
        <v>0</v>
      </c>
      <c r="R29" t="s">
        <v>2555</v>
      </c>
      <c r="S29" t="s">
        <v>517</v>
      </c>
      <c r="T29">
        <v>0</v>
      </c>
      <c r="U29">
        <v>0</v>
      </c>
      <c r="V29">
        <v>0</v>
      </c>
      <c r="W29">
        <v>0</v>
      </c>
    </row>
    <row r="30" spans="1:23">
      <c r="A30" t="s">
        <v>1097</v>
      </c>
      <c r="B30" t="s">
        <v>1098</v>
      </c>
      <c r="C30">
        <v>100</v>
      </c>
      <c r="D30">
        <f>IFERROR(VLOOKUP(Fix_Mapping[[#This Row],[KODE BARANG]],[1]!KINONF15[[KDBRG]:[HRG_JLMT_CTN+PPN]],5,0),0)</f>
        <v>0</v>
      </c>
      <c r="E30" t="s">
        <v>2299</v>
      </c>
      <c r="F30">
        <f>IFERROR(VLOOKUP(Fix_Mapping[[#This Row],[KODE BARANG]],[1]!KINONF15[[KDBRG]:[HRG_JLMT_CTN+PPN]],7,0),0)</f>
        <v>0</v>
      </c>
      <c r="G30">
        <f>IFERROR(VLOOKUP(Fix_Mapping[[#This Row],[KODE BARANG]],[1]!KINONF15[[KDBRG]:[HRG_JLMT_CTN+PPN]],8,0),0)</f>
        <v>0</v>
      </c>
      <c r="H30">
        <f>IFERROR(VLOOKUP(Fix_Mapping[[#This Row],[KODE BARANG]],[1]!KINONF15[[KDBRG]:[HRG_JLMT_CTN+PPN]],9,0),0)</f>
        <v>0</v>
      </c>
      <c r="I30">
        <f>IFERROR(VLOOKUP(Fix_Mapping[[#This Row],[KODE BARANG]],[1]!KINONF15[[KDBRG]:[HRG_JLMT_CTN+PPN]],10,0),0)</f>
        <v>0</v>
      </c>
      <c r="J30">
        <f>IFERROR(VLOOKUP(Fix_Mapping[[#This Row],[KODE BARANG]],[1]!KINONF15[[KDBRG]:[HRG_JLMT_CTN+PPN]],11,0),0)</f>
        <v>0</v>
      </c>
      <c r="K30">
        <f>IFERROR(VLOOKUP(Fix_Mapping[[#This Row],[KODE BARANG]],[1]!KINONF15[[KDBRG]:[HRG_JLMT_CTN+PPN]],12,0),0)</f>
        <v>0</v>
      </c>
      <c r="L30">
        <f>IFERROR(VLOOKUP(Fix_Mapping[[#This Row],[KODE BARANG]],[1]!KINONF15[[KDBRG]:[HRG_JLMT_CTN+PPN]],13,0),0)</f>
        <v>0</v>
      </c>
      <c r="M30">
        <f>IFERROR(VLOOKUP(Fix_Mapping[[#This Row],[KODE BARANG]],[1]!KINONF15[[KDBRG]:[HRG_JLMT_CTN+PPN]],14,0),0)</f>
        <v>0</v>
      </c>
      <c r="N30">
        <f>IFERROR(VLOOKUP(Fix_Mapping[[#This Row],[KODE BARANG]],[1]!KINONF15[[KDBRG]:[HRG_JLMT_CTN+PPN]],15,0),0)</f>
        <v>0</v>
      </c>
      <c r="O30">
        <f>IFERROR(VLOOKUP(Fix_Mapping[[#This Row],[KODE BARANG]],[1]!KINONF15[[KDBRG]:[HRG_JLMT_CTN+PPN]],16,0),0)</f>
        <v>0</v>
      </c>
      <c r="P30">
        <f>IFERROR(VLOOKUP(Fix_Mapping[[#This Row],[KODE BARANG]],[1]!KINONF15[[KDBRG]:[HRG_JLMT_CTN+PPN]],17,0),0)</f>
        <v>0</v>
      </c>
      <c r="Q30">
        <f>IFERROR(VLOOKUP(Fix_Mapping[[#This Row],[KODE BARANG]],[1]!KINONF15[[KDBRG]:[HRG_JLMT_CTN+PPN]],18,0),0)</f>
        <v>0</v>
      </c>
      <c r="R30" t="s">
        <v>2555</v>
      </c>
      <c r="S30" t="s">
        <v>518</v>
      </c>
      <c r="T30">
        <v>0</v>
      </c>
      <c r="U30">
        <v>0</v>
      </c>
      <c r="V30">
        <v>0</v>
      </c>
      <c r="W30">
        <v>0</v>
      </c>
    </row>
    <row r="31" spans="1:23">
      <c r="A31" t="s">
        <v>1099</v>
      </c>
      <c r="B31" t="s">
        <v>1100</v>
      </c>
      <c r="C31">
        <v>100</v>
      </c>
      <c r="D31">
        <f>IFERROR(VLOOKUP(Fix_Mapping[[#This Row],[KODE BARANG]],[1]!KINONF15[[KDBRG]:[HRG_JLMT_CTN+PPN]],5,0),0)</f>
        <v>0</v>
      </c>
      <c r="E31" t="s">
        <v>2299</v>
      </c>
      <c r="F31">
        <f>IFERROR(VLOOKUP(Fix_Mapping[[#This Row],[KODE BARANG]],[1]!KINONF15[[KDBRG]:[HRG_JLMT_CTN+PPN]],7,0),0)</f>
        <v>0</v>
      </c>
      <c r="G31">
        <f>IFERROR(VLOOKUP(Fix_Mapping[[#This Row],[KODE BARANG]],[1]!KINONF15[[KDBRG]:[HRG_JLMT_CTN+PPN]],8,0),0)</f>
        <v>0</v>
      </c>
      <c r="H31">
        <f>IFERROR(VLOOKUP(Fix_Mapping[[#This Row],[KODE BARANG]],[1]!KINONF15[[KDBRG]:[HRG_JLMT_CTN+PPN]],9,0),0)</f>
        <v>0</v>
      </c>
      <c r="I31">
        <f>IFERROR(VLOOKUP(Fix_Mapping[[#This Row],[KODE BARANG]],[1]!KINONF15[[KDBRG]:[HRG_JLMT_CTN+PPN]],10,0),0)</f>
        <v>0</v>
      </c>
      <c r="J31">
        <f>IFERROR(VLOOKUP(Fix_Mapping[[#This Row],[KODE BARANG]],[1]!KINONF15[[KDBRG]:[HRG_JLMT_CTN+PPN]],11,0),0)</f>
        <v>0</v>
      </c>
      <c r="K31">
        <f>IFERROR(VLOOKUP(Fix_Mapping[[#This Row],[KODE BARANG]],[1]!KINONF15[[KDBRG]:[HRG_JLMT_CTN+PPN]],12,0),0)</f>
        <v>0</v>
      </c>
      <c r="L31">
        <f>IFERROR(VLOOKUP(Fix_Mapping[[#This Row],[KODE BARANG]],[1]!KINONF15[[KDBRG]:[HRG_JLMT_CTN+PPN]],13,0),0)</f>
        <v>0</v>
      </c>
      <c r="M31">
        <f>IFERROR(VLOOKUP(Fix_Mapping[[#This Row],[KODE BARANG]],[1]!KINONF15[[KDBRG]:[HRG_JLMT_CTN+PPN]],14,0),0)</f>
        <v>0</v>
      </c>
      <c r="N31">
        <f>IFERROR(VLOOKUP(Fix_Mapping[[#This Row],[KODE BARANG]],[1]!KINONF15[[KDBRG]:[HRG_JLMT_CTN+PPN]],15,0),0)</f>
        <v>0</v>
      </c>
      <c r="O31">
        <f>IFERROR(VLOOKUP(Fix_Mapping[[#This Row],[KODE BARANG]],[1]!KINONF15[[KDBRG]:[HRG_JLMT_CTN+PPN]],16,0),0)</f>
        <v>0</v>
      </c>
      <c r="P31">
        <f>IFERROR(VLOOKUP(Fix_Mapping[[#This Row],[KODE BARANG]],[1]!KINONF15[[KDBRG]:[HRG_JLMT_CTN+PPN]],17,0),0)</f>
        <v>0</v>
      </c>
      <c r="Q31">
        <f>IFERROR(VLOOKUP(Fix_Mapping[[#This Row],[KODE BARANG]],[1]!KINONF15[[KDBRG]:[HRG_JLMT_CTN+PPN]],18,0),0)</f>
        <v>0</v>
      </c>
      <c r="R31" t="s">
        <v>2555</v>
      </c>
      <c r="S31" t="s">
        <v>526</v>
      </c>
      <c r="T31">
        <v>0</v>
      </c>
      <c r="U31">
        <v>0</v>
      </c>
      <c r="V31">
        <v>0</v>
      </c>
      <c r="W31">
        <v>0</v>
      </c>
    </row>
    <row r="32" spans="1:23">
      <c r="A32" t="s">
        <v>1101</v>
      </c>
      <c r="B32" t="s">
        <v>1102</v>
      </c>
      <c r="C32">
        <v>100</v>
      </c>
      <c r="D32">
        <f>IFERROR(VLOOKUP(Fix_Mapping[[#This Row],[KODE BARANG]],[1]!KINONF15[[KDBRG]:[HRG_JLMT_CTN+PPN]],5,0),0)</f>
        <v>0</v>
      </c>
      <c r="E32" t="s">
        <v>2299</v>
      </c>
      <c r="F32">
        <f>IFERROR(VLOOKUP(Fix_Mapping[[#This Row],[KODE BARANG]],[1]!KINONF15[[KDBRG]:[HRG_JLMT_CTN+PPN]],7,0),0)</f>
        <v>0</v>
      </c>
      <c r="G32">
        <f>IFERROR(VLOOKUP(Fix_Mapping[[#This Row],[KODE BARANG]],[1]!KINONF15[[KDBRG]:[HRG_JLMT_CTN+PPN]],8,0),0)</f>
        <v>0</v>
      </c>
      <c r="H32">
        <f>IFERROR(VLOOKUP(Fix_Mapping[[#This Row],[KODE BARANG]],[1]!KINONF15[[KDBRG]:[HRG_JLMT_CTN+PPN]],9,0),0)</f>
        <v>0</v>
      </c>
      <c r="I32">
        <f>IFERROR(VLOOKUP(Fix_Mapping[[#This Row],[KODE BARANG]],[1]!KINONF15[[KDBRG]:[HRG_JLMT_CTN+PPN]],10,0),0)</f>
        <v>0</v>
      </c>
      <c r="J32">
        <f>IFERROR(VLOOKUP(Fix_Mapping[[#This Row],[KODE BARANG]],[1]!KINONF15[[KDBRG]:[HRG_JLMT_CTN+PPN]],11,0),0)</f>
        <v>0</v>
      </c>
      <c r="K32">
        <f>IFERROR(VLOOKUP(Fix_Mapping[[#This Row],[KODE BARANG]],[1]!KINONF15[[KDBRG]:[HRG_JLMT_CTN+PPN]],12,0),0)</f>
        <v>0</v>
      </c>
      <c r="L32">
        <f>IFERROR(VLOOKUP(Fix_Mapping[[#This Row],[KODE BARANG]],[1]!KINONF15[[KDBRG]:[HRG_JLMT_CTN+PPN]],13,0),0)</f>
        <v>0</v>
      </c>
      <c r="M32">
        <f>IFERROR(VLOOKUP(Fix_Mapping[[#This Row],[KODE BARANG]],[1]!KINONF15[[KDBRG]:[HRG_JLMT_CTN+PPN]],14,0),0)</f>
        <v>0</v>
      </c>
      <c r="N32">
        <f>IFERROR(VLOOKUP(Fix_Mapping[[#This Row],[KODE BARANG]],[1]!KINONF15[[KDBRG]:[HRG_JLMT_CTN+PPN]],15,0),0)</f>
        <v>0</v>
      </c>
      <c r="O32">
        <f>IFERROR(VLOOKUP(Fix_Mapping[[#This Row],[KODE BARANG]],[1]!KINONF15[[KDBRG]:[HRG_JLMT_CTN+PPN]],16,0),0)</f>
        <v>0</v>
      </c>
      <c r="P32">
        <f>IFERROR(VLOOKUP(Fix_Mapping[[#This Row],[KODE BARANG]],[1]!KINONF15[[KDBRG]:[HRG_JLMT_CTN+PPN]],17,0),0)</f>
        <v>0</v>
      </c>
      <c r="Q32">
        <f>IFERROR(VLOOKUP(Fix_Mapping[[#This Row],[KODE BARANG]],[1]!KINONF15[[KDBRG]:[HRG_JLMT_CTN+PPN]],18,0),0)</f>
        <v>0</v>
      </c>
      <c r="R32" t="s">
        <v>2555</v>
      </c>
      <c r="S32" t="s">
        <v>527</v>
      </c>
      <c r="T32">
        <v>0</v>
      </c>
      <c r="U32">
        <v>0</v>
      </c>
      <c r="V32">
        <v>0</v>
      </c>
      <c r="W32">
        <v>0</v>
      </c>
    </row>
    <row r="33" spans="1:23">
      <c r="A33" t="s">
        <v>1103</v>
      </c>
      <c r="B33" t="s">
        <v>1104</v>
      </c>
      <c r="C33">
        <v>100</v>
      </c>
      <c r="D33">
        <f>IFERROR(VLOOKUP(Fix_Mapping[[#This Row],[KODE BARANG]],[1]!KINONF15[[KDBRG]:[HRG_JLMT_CTN+PPN]],5,0),0)</f>
        <v>0</v>
      </c>
      <c r="E33" t="s">
        <v>2299</v>
      </c>
      <c r="F33">
        <f>IFERROR(VLOOKUP(Fix_Mapping[[#This Row],[KODE BARANG]],[1]!KINONF15[[KDBRG]:[HRG_JLMT_CTN+PPN]],7,0),0)</f>
        <v>0</v>
      </c>
      <c r="G33">
        <f>IFERROR(VLOOKUP(Fix_Mapping[[#This Row],[KODE BARANG]],[1]!KINONF15[[KDBRG]:[HRG_JLMT_CTN+PPN]],8,0),0)</f>
        <v>0</v>
      </c>
      <c r="H33">
        <f>IFERROR(VLOOKUP(Fix_Mapping[[#This Row],[KODE BARANG]],[1]!KINONF15[[KDBRG]:[HRG_JLMT_CTN+PPN]],9,0),0)</f>
        <v>0</v>
      </c>
      <c r="I33">
        <f>IFERROR(VLOOKUP(Fix_Mapping[[#This Row],[KODE BARANG]],[1]!KINONF15[[KDBRG]:[HRG_JLMT_CTN+PPN]],10,0),0)</f>
        <v>0</v>
      </c>
      <c r="J33">
        <f>IFERROR(VLOOKUP(Fix_Mapping[[#This Row],[KODE BARANG]],[1]!KINONF15[[KDBRG]:[HRG_JLMT_CTN+PPN]],11,0),0)</f>
        <v>0</v>
      </c>
      <c r="K33">
        <f>IFERROR(VLOOKUP(Fix_Mapping[[#This Row],[KODE BARANG]],[1]!KINONF15[[KDBRG]:[HRG_JLMT_CTN+PPN]],12,0),0)</f>
        <v>0</v>
      </c>
      <c r="L33">
        <f>IFERROR(VLOOKUP(Fix_Mapping[[#This Row],[KODE BARANG]],[1]!KINONF15[[KDBRG]:[HRG_JLMT_CTN+PPN]],13,0),0)</f>
        <v>0</v>
      </c>
      <c r="M33">
        <f>IFERROR(VLOOKUP(Fix_Mapping[[#This Row],[KODE BARANG]],[1]!KINONF15[[KDBRG]:[HRG_JLMT_CTN+PPN]],14,0),0)</f>
        <v>0</v>
      </c>
      <c r="N33">
        <f>IFERROR(VLOOKUP(Fix_Mapping[[#This Row],[KODE BARANG]],[1]!KINONF15[[KDBRG]:[HRG_JLMT_CTN+PPN]],15,0),0)</f>
        <v>0</v>
      </c>
      <c r="O33">
        <f>IFERROR(VLOOKUP(Fix_Mapping[[#This Row],[KODE BARANG]],[1]!KINONF15[[KDBRG]:[HRG_JLMT_CTN+PPN]],16,0),0)</f>
        <v>0</v>
      </c>
      <c r="P33">
        <f>IFERROR(VLOOKUP(Fix_Mapping[[#This Row],[KODE BARANG]],[1]!KINONF15[[KDBRG]:[HRG_JLMT_CTN+PPN]],17,0),0)</f>
        <v>0</v>
      </c>
      <c r="Q33">
        <f>IFERROR(VLOOKUP(Fix_Mapping[[#This Row],[KODE BARANG]],[1]!KINONF15[[KDBRG]:[HRG_JLMT_CTN+PPN]],18,0),0)</f>
        <v>0</v>
      </c>
      <c r="R33" t="s">
        <v>2555</v>
      </c>
      <c r="S33" t="s">
        <v>528</v>
      </c>
      <c r="T33">
        <v>0</v>
      </c>
      <c r="U33">
        <v>0</v>
      </c>
      <c r="V33">
        <v>0</v>
      </c>
      <c r="W33">
        <v>0</v>
      </c>
    </row>
    <row r="34" spans="1:23">
      <c r="A34" t="s">
        <v>1105</v>
      </c>
      <c r="B34" t="s">
        <v>1106</v>
      </c>
      <c r="C34">
        <v>100</v>
      </c>
      <c r="D34">
        <f>IFERROR(VLOOKUP(Fix_Mapping[[#This Row],[KODE BARANG]],[1]!KINONF15[[KDBRG]:[HRG_JLMT_CTN+PPN]],5,0),0)</f>
        <v>0</v>
      </c>
      <c r="E34" t="s">
        <v>2299</v>
      </c>
      <c r="F34">
        <f>IFERROR(VLOOKUP(Fix_Mapping[[#This Row],[KODE BARANG]],[1]!KINONF15[[KDBRG]:[HRG_JLMT_CTN+PPN]],7,0),0)</f>
        <v>0</v>
      </c>
      <c r="G34">
        <f>IFERROR(VLOOKUP(Fix_Mapping[[#This Row],[KODE BARANG]],[1]!KINONF15[[KDBRG]:[HRG_JLMT_CTN+PPN]],8,0),0)</f>
        <v>0</v>
      </c>
      <c r="H34">
        <f>IFERROR(VLOOKUP(Fix_Mapping[[#This Row],[KODE BARANG]],[1]!KINONF15[[KDBRG]:[HRG_JLMT_CTN+PPN]],9,0),0)</f>
        <v>0</v>
      </c>
      <c r="I34">
        <f>IFERROR(VLOOKUP(Fix_Mapping[[#This Row],[KODE BARANG]],[1]!KINONF15[[KDBRG]:[HRG_JLMT_CTN+PPN]],10,0),0)</f>
        <v>0</v>
      </c>
      <c r="J34">
        <f>IFERROR(VLOOKUP(Fix_Mapping[[#This Row],[KODE BARANG]],[1]!KINONF15[[KDBRG]:[HRG_JLMT_CTN+PPN]],11,0),0)</f>
        <v>0</v>
      </c>
      <c r="K34">
        <f>IFERROR(VLOOKUP(Fix_Mapping[[#This Row],[KODE BARANG]],[1]!KINONF15[[KDBRG]:[HRG_JLMT_CTN+PPN]],12,0),0)</f>
        <v>0</v>
      </c>
      <c r="L34">
        <f>IFERROR(VLOOKUP(Fix_Mapping[[#This Row],[KODE BARANG]],[1]!KINONF15[[KDBRG]:[HRG_JLMT_CTN+PPN]],13,0),0)</f>
        <v>0</v>
      </c>
      <c r="M34">
        <f>IFERROR(VLOOKUP(Fix_Mapping[[#This Row],[KODE BARANG]],[1]!KINONF15[[KDBRG]:[HRG_JLMT_CTN+PPN]],14,0),0)</f>
        <v>0</v>
      </c>
      <c r="N34">
        <f>IFERROR(VLOOKUP(Fix_Mapping[[#This Row],[KODE BARANG]],[1]!KINONF15[[KDBRG]:[HRG_JLMT_CTN+PPN]],15,0),0)</f>
        <v>0</v>
      </c>
      <c r="O34">
        <f>IFERROR(VLOOKUP(Fix_Mapping[[#This Row],[KODE BARANG]],[1]!KINONF15[[KDBRG]:[HRG_JLMT_CTN+PPN]],16,0),0)</f>
        <v>0</v>
      </c>
      <c r="P34">
        <f>IFERROR(VLOOKUP(Fix_Mapping[[#This Row],[KODE BARANG]],[1]!KINONF15[[KDBRG]:[HRG_JLMT_CTN+PPN]],17,0),0)</f>
        <v>0</v>
      </c>
      <c r="Q34">
        <f>IFERROR(VLOOKUP(Fix_Mapping[[#This Row],[KODE BARANG]],[1]!KINONF15[[KDBRG]:[HRG_JLMT_CTN+PPN]],18,0),0)</f>
        <v>0</v>
      </c>
      <c r="R34" t="s">
        <v>2555</v>
      </c>
      <c r="S34" t="s">
        <v>529</v>
      </c>
      <c r="T34">
        <v>0</v>
      </c>
      <c r="U34">
        <v>0</v>
      </c>
      <c r="V34">
        <v>0</v>
      </c>
      <c r="W34">
        <v>0</v>
      </c>
    </row>
    <row r="35" spans="1:23">
      <c r="A35" t="s">
        <v>1107</v>
      </c>
      <c r="B35" t="s">
        <v>1108</v>
      </c>
      <c r="C35">
        <v>100</v>
      </c>
      <c r="D35">
        <f>IFERROR(VLOOKUP(Fix_Mapping[[#This Row],[KODE BARANG]],[1]!KINONF15[[KDBRG]:[HRG_JLMT_CTN+PPN]],5,0),0)</f>
        <v>0</v>
      </c>
      <c r="E35" t="s">
        <v>2299</v>
      </c>
      <c r="F35">
        <f>IFERROR(VLOOKUP(Fix_Mapping[[#This Row],[KODE BARANG]],[1]!KINONF15[[KDBRG]:[HRG_JLMT_CTN+PPN]],7,0),0)</f>
        <v>0</v>
      </c>
      <c r="G35">
        <f>IFERROR(VLOOKUP(Fix_Mapping[[#This Row],[KODE BARANG]],[1]!KINONF15[[KDBRG]:[HRG_JLMT_CTN+PPN]],8,0),0)</f>
        <v>0</v>
      </c>
      <c r="H35">
        <f>IFERROR(VLOOKUP(Fix_Mapping[[#This Row],[KODE BARANG]],[1]!KINONF15[[KDBRG]:[HRG_JLMT_CTN+PPN]],9,0),0)</f>
        <v>0</v>
      </c>
      <c r="I35">
        <f>IFERROR(VLOOKUP(Fix_Mapping[[#This Row],[KODE BARANG]],[1]!KINONF15[[KDBRG]:[HRG_JLMT_CTN+PPN]],10,0),0)</f>
        <v>0</v>
      </c>
      <c r="J35">
        <f>IFERROR(VLOOKUP(Fix_Mapping[[#This Row],[KODE BARANG]],[1]!KINONF15[[KDBRG]:[HRG_JLMT_CTN+PPN]],11,0),0)</f>
        <v>0</v>
      </c>
      <c r="K35">
        <f>IFERROR(VLOOKUP(Fix_Mapping[[#This Row],[KODE BARANG]],[1]!KINONF15[[KDBRG]:[HRG_JLMT_CTN+PPN]],12,0),0)</f>
        <v>0</v>
      </c>
      <c r="L35">
        <f>IFERROR(VLOOKUP(Fix_Mapping[[#This Row],[KODE BARANG]],[1]!KINONF15[[KDBRG]:[HRG_JLMT_CTN+PPN]],13,0),0)</f>
        <v>0</v>
      </c>
      <c r="M35">
        <f>IFERROR(VLOOKUP(Fix_Mapping[[#This Row],[KODE BARANG]],[1]!KINONF15[[KDBRG]:[HRG_JLMT_CTN+PPN]],14,0),0)</f>
        <v>0</v>
      </c>
      <c r="N35">
        <f>IFERROR(VLOOKUP(Fix_Mapping[[#This Row],[KODE BARANG]],[1]!KINONF15[[KDBRG]:[HRG_JLMT_CTN+PPN]],15,0),0)</f>
        <v>0</v>
      </c>
      <c r="O35">
        <f>IFERROR(VLOOKUP(Fix_Mapping[[#This Row],[KODE BARANG]],[1]!KINONF15[[KDBRG]:[HRG_JLMT_CTN+PPN]],16,0),0)</f>
        <v>0</v>
      </c>
      <c r="P35">
        <f>IFERROR(VLOOKUP(Fix_Mapping[[#This Row],[KODE BARANG]],[1]!KINONF15[[KDBRG]:[HRG_JLMT_CTN+PPN]],17,0),0)</f>
        <v>0</v>
      </c>
      <c r="Q35">
        <f>IFERROR(VLOOKUP(Fix_Mapping[[#This Row],[KODE BARANG]],[1]!KINONF15[[KDBRG]:[HRG_JLMT_CTN+PPN]],18,0),0)</f>
        <v>0</v>
      </c>
      <c r="R35" t="s">
        <v>2555</v>
      </c>
      <c r="S35" t="s">
        <v>530</v>
      </c>
      <c r="T35">
        <v>0</v>
      </c>
      <c r="U35">
        <v>0</v>
      </c>
      <c r="V35">
        <v>0</v>
      </c>
      <c r="W35">
        <v>0</v>
      </c>
    </row>
    <row r="36" spans="1:23">
      <c r="A36" t="s">
        <v>1109</v>
      </c>
      <c r="B36" t="s">
        <v>1110</v>
      </c>
      <c r="C36">
        <v>100</v>
      </c>
      <c r="D36">
        <f>IFERROR(VLOOKUP(Fix_Mapping[[#This Row],[KODE BARANG]],[1]!KINONF15[[KDBRG]:[HRG_JLMT_CTN+PPN]],5,0),0)</f>
        <v>0</v>
      </c>
      <c r="E36" t="s">
        <v>2299</v>
      </c>
      <c r="F36">
        <f>IFERROR(VLOOKUP(Fix_Mapping[[#This Row],[KODE BARANG]],[1]!KINONF15[[KDBRG]:[HRG_JLMT_CTN+PPN]],7,0),0)</f>
        <v>0</v>
      </c>
      <c r="G36">
        <f>IFERROR(VLOOKUP(Fix_Mapping[[#This Row],[KODE BARANG]],[1]!KINONF15[[KDBRG]:[HRG_JLMT_CTN+PPN]],8,0),0)</f>
        <v>0</v>
      </c>
      <c r="H36">
        <f>IFERROR(VLOOKUP(Fix_Mapping[[#This Row],[KODE BARANG]],[1]!KINONF15[[KDBRG]:[HRG_JLMT_CTN+PPN]],9,0),0)</f>
        <v>0</v>
      </c>
      <c r="I36">
        <f>IFERROR(VLOOKUP(Fix_Mapping[[#This Row],[KODE BARANG]],[1]!KINONF15[[KDBRG]:[HRG_JLMT_CTN+PPN]],10,0),0)</f>
        <v>0</v>
      </c>
      <c r="J36">
        <f>IFERROR(VLOOKUP(Fix_Mapping[[#This Row],[KODE BARANG]],[1]!KINONF15[[KDBRG]:[HRG_JLMT_CTN+PPN]],11,0),0)</f>
        <v>0</v>
      </c>
      <c r="K36">
        <f>IFERROR(VLOOKUP(Fix_Mapping[[#This Row],[KODE BARANG]],[1]!KINONF15[[KDBRG]:[HRG_JLMT_CTN+PPN]],12,0),0)</f>
        <v>0</v>
      </c>
      <c r="L36">
        <f>IFERROR(VLOOKUP(Fix_Mapping[[#This Row],[KODE BARANG]],[1]!KINONF15[[KDBRG]:[HRG_JLMT_CTN+PPN]],13,0),0)</f>
        <v>0</v>
      </c>
      <c r="M36">
        <f>IFERROR(VLOOKUP(Fix_Mapping[[#This Row],[KODE BARANG]],[1]!KINONF15[[KDBRG]:[HRG_JLMT_CTN+PPN]],14,0),0)</f>
        <v>0</v>
      </c>
      <c r="N36">
        <f>IFERROR(VLOOKUP(Fix_Mapping[[#This Row],[KODE BARANG]],[1]!KINONF15[[KDBRG]:[HRG_JLMT_CTN+PPN]],15,0),0)</f>
        <v>0</v>
      </c>
      <c r="O36">
        <f>IFERROR(VLOOKUP(Fix_Mapping[[#This Row],[KODE BARANG]],[1]!KINONF15[[KDBRG]:[HRG_JLMT_CTN+PPN]],16,0),0)</f>
        <v>0</v>
      </c>
      <c r="P36">
        <f>IFERROR(VLOOKUP(Fix_Mapping[[#This Row],[KODE BARANG]],[1]!KINONF15[[KDBRG]:[HRG_JLMT_CTN+PPN]],17,0),0)</f>
        <v>0</v>
      </c>
      <c r="Q36">
        <f>IFERROR(VLOOKUP(Fix_Mapping[[#This Row],[KODE BARANG]],[1]!KINONF15[[KDBRG]:[HRG_JLMT_CTN+PPN]],18,0),0)</f>
        <v>0</v>
      </c>
      <c r="R36" t="s">
        <v>2555</v>
      </c>
      <c r="S36" t="s">
        <v>531</v>
      </c>
      <c r="T36">
        <v>0</v>
      </c>
      <c r="U36">
        <v>0</v>
      </c>
      <c r="V36">
        <v>0</v>
      </c>
      <c r="W36">
        <v>0</v>
      </c>
    </row>
    <row r="37" spans="1:23">
      <c r="A37" t="s">
        <v>1111</v>
      </c>
      <c r="B37" t="s">
        <v>1112</v>
      </c>
      <c r="C37">
        <v>24</v>
      </c>
      <c r="D37">
        <f>IFERROR(VLOOKUP(Fix_Mapping[[#This Row],[KODE BARANG]],[1]!KINONF15[[KDBRG]:[HRG_JLMT_CTN+PPN]],5,0),0)</f>
        <v>0</v>
      </c>
      <c r="E37" t="s">
        <v>2305</v>
      </c>
      <c r="F37">
        <f>IFERROR(VLOOKUP(Fix_Mapping[[#This Row],[KODE BARANG]],[1]!KINONF15[[KDBRG]:[HRG_JLMT_CTN+PPN]],7,0),0)</f>
        <v>0</v>
      </c>
      <c r="G37">
        <f>IFERROR(VLOOKUP(Fix_Mapping[[#This Row],[KODE BARANG]],[1]!KINONF15[[KDBRG]:[HRG_JLMT_CTN+PPN]],8,0),0)</f>
        <v>0</v>
      </c>
      <c r="H37">
        <f>IFERROR(VLOOKUP(Fix_Mapping[[#This Row],[KODE BARANG]],[1]!KINONF15[[KDBRG]:[HRG_JLMT_CTN+PPN]],9,0),0)</f>
        <v>0</v>
      </c>
      <c r="I37">
        <f>IFERROR(VLOOKUP(Fix_Mapping[[#This Row],[KODE BARANG]],[1]!KINONF15[[KDBRG]:[HRG_JLMT_CTN+PPN]],10,0),0)</f>
        <v>0</v>
      </c>
      <c r="J37">
        <f>IFERROR(VLOOKUP(Fix_Mapping[[#This Row],[KODE BARANG]],[1]!KINONF15[[KDBRG]:[HRG_JLMT_CTN+PPN]],11,0),0)</f>
        <v>0</v>
      </c>
      <c r="K37">
        <f>IFERROR(VLOOKUP(Fix_Mapping[[#This Row],[KODE BARANG]],[1]!KINONF15[[KDBRG]:[HRG_JLMT_CTN+PPN]],12,0),0)</f>
        <v>0</v>
      </c>
      <c r="L37">
        <f>IFERROR(VLOOKUP(Fix_Mapping[[#This Row],[KODE BARANG]],[1]!KINONF15[[KDBRG]:[HRG_JLMT_CTN+PPN]],13,0),0)</f>
        <v>0</v>
      </c>
      <c r="M37">
        <f>IFERROR(VLOOKUP(Fix_Mapping[[#This Row],[KODE BARANG]],[1]!KINONF15[[KDBRG]:[HRG_JLMT_CTN+PPN]],14,0),0)</f>
        <v>0</v>
      </c>
      <c r="N37">
        <f>IFERROR(VLOOKUP(Fix_Mapping[[#This Row],[KODE BARANG]],[1]!KINONF15[[KDBRG]:[HRG_JLMT_CTN+PPN]],15,0),0)</f>
        <v>0</v>
      </c>
      <c r="O37">
        <f>IFERROR(VLOOKUP(Fix_Mapping[[#This Row],[KODE BARANG]],[1]!KINONF15[[KDBRG]:[HRG_JLMT_CTN+PPN]],16,0),0)</f>
        <v>0</v>
      </c>
      <c r="P37">
        <f>IFERROR(VLOOKUP(Fix_Mapping[[#This Row],[KODE BARANG]],[1]!KINONF15[[KDBRG]:[HRG_JLMT_CTN+PPN]],17,0),0)</f>
        <v>0</v>
      </c>
      <c r="Q37">
        <f>IFERROR(VLOOKUP(Fix_Mapping[[#This Row],[KODE BARANG]],[1]!KINONF15[[KDBRG]:[HRG_JLMT_CTN+PPN]],18,0),0)</f>
        <v>0</v>
      </c>
      <c r="R37" t="s">
        <v>2555</v>
      </c>
      <c r="S37" t="s">
        <v>831</v>
      </c>
      <c r="T37">
        <v>0</v>
      </c>
      <c r="U37">
        <v>0</v>
      </c>
      <c r="V37">
        <v>0</v>
      </c>
      <c r="W37">
        <v>0</v>
      </c>
    </row>
    <row r="38" spans="1:23">
      <c r="A38" t="s">
        <v>1113</v>
      </c>
      <c r="B38" t="s">
        <v>1114</v>
      </c>
      <c r="C38">
        <v>24</v>
      </c>
      <c r="D38">
        <f>IFERROR(VLOOKUP(Fix_Mapping[[#This Row],[KODE BARANG]],[1]!KINONF15[[KDBRG]:[HRG_JLMT_CTN+PPN]],5,0),0)</f>
        <v>0</v>
      </c>
      <c r="E38" t="s">
        <v>2305</v>
      </c>
      <c r="F38">
        <f>IFERROR(VLOOKUP(Fix_Mapping[[#This Row],[KODE BARANG]],[1]!KINONF15[[KDBRG]:[HRG_JLMT_CTN+PPN]],7,0),0)</f>
        <v>0</v>
      </c>
      <c r="G38">
        <f>IFERROR(VLOOKUP(Fix_Mapping[[#This Row],[KODE BARANG]],[1]!KINONF15[[KDBRG]:[HRG_JLMT_CTN+PPN]],8,0),0)</f>
        <v>0</v>
      </c>
      <c r="H38">
        <f>IFERROR(VLOOKUP(Fix_Mapping[[#This Row],[KODE BARANG]],[1]!KINONF15[[KDBRG]:[HRG_JLMT_CTN+PPN]],9,0),0)</f>
        <v>0</v>
      </c>
      <c r="I38">
        <f>IFERROR(VLOOKUP(Fix_Mapping[[#This Row],[KODE BARANG]],[1]!KINONF15[[KDBRG]:[HRG_JLMT_CTN+PPN]],10,0),0)</f>
        <v>0</v>
      </c>
      <c r="J38">
        <f>IFERROR(VLOOKUP(Fix_Mapping[[#This Row],[KODE BARANG]],[1]!KINONF15[[KDBRG]:[HRG_JLMT_CTN+PPN]],11,0),0)</f>
        <v>0</v>
      </c>
      <c r="K38">
        <f>IFERROR(VLOOKUP(Fix_Mapping[[#This Row],[KODE BARANG]],[1]!KINONF15[[KDBRG]:[HRG_JLMT_CTN+PPN]],12,0),0)</f>
        <v>0</v>
      </c>
      <c r="L38">
        <f>IFERROR(VLOOKUP(Fix_Mapping[[#This Row],[KODE BARANG]],[1]!KINONF15[[KDBRG]:[HRG_JLMT_CTN+PPN]],13,0),0)</f>
        <v>0</v>
      </c>
      <c r="M38">
        <f>IFERROR(VLOOKUP(Fix_Mapping[[#This Row],[KODE BARANG]],[1]!KINONF15[[KDBRG]:[HRG_JLMT_CTN+PPN]],14,0),0)</f>
        <v>0</v>
      </c>
      <c r="N38">
        <f>IFERROR(VLOOKUP(Fix_Mapping[[#This Row],[KODE BARANG]],[1]!KINONF15[[KDBRG]:[HRG_JLMT_CTN+PPN]],15,0),0)</f>
        <v>0</v>
      </c>
      <c r="O38">
        <f>IFERROR(VLOOKUP(Fix_Mapping[[#This Row],[KODE BARANG]],[1]!KINONF15[[KDBRG]:[HRG_JLMT_CTN+PPN]],16,0),0)</f>
        <v>0</v>
      </c>
      <c r="P38">
        <f>IFERROR(VLOOKUP(Fix_Mapping[[#This Row],[KODE BARANG]],[1]!KINONF15[[KDBRG]:[HRG_JLMT_CTN+PPN]],17,0),0)</f>
        <v>0</v>
      </c>
      <c r="Q38">
        <f>IFERROR(VLOOKUP(Fix_Mapping[[#This Row],[KODE BARANG]],[1]!KINONF15[[KDBRG]:[HRG_JLMT_CTN+PPN]],18,0),0)</f>
        <v>0</v>
      </c>
      <c r="R38" t="s">
        <v>2555</v>
      </c>
      <c r="S38" t="s">
        <v>832</v>
      </c>
      <c r="T38">
        <v>0</v>
      </c>
      <c r="U38">
        <v>0</v>
      </c>
      <c r="V38">
        <v>0</v>
      </c>
      <c r="W38">
        <v>0</v>
      </c>
    </row>
    <row r="39" spans="1:23">
      <c r="A39" t="s">
        <v>2356</v>
      </c>
      <c r="B39" t="s">
        <v>1115</v>
      </c>
      <c r="C39">
        <v>24</v>
      </c>
      <c r="D39">
        <f>IFERROR(VLOOKUP(Fix_Mapping[[#This Row],[KODE BARANG]],[1]!KINONF15[[KDBRG]:[HRG_JLMT_CTN+PPN]],5,0),0)</f>
        <v>0</v>
      </c>
      <c r="E39" t="s">
        <v>2305</v>
      </c>
      <c r="F39">
        <f>IFERROR(VLOOKUP(Fix_Mapping[[#This Row],[KODE BARANG]],[1]!KINONF15[[KDBRG]:[HRG_JLMT_CTN+PPN]],7,0),0)</f>
        <v>0</v>
      </c>
      <c r="G39">
        <f>IFERROR(VLOOKUP(Fix_Mapping[[#This Row],[KODE BARANG]],[1]!KINONF15[[KDBRG]:[HRG_JLMT_CTN+PPN]],8,0),0)</f>
        <v>0</v>
      </c>
      <c r="H39">
        <f>IFERROR(VLOOKUP(Fix_Mapping[[#This Row],[KODE BARANG]],[1]!KINONF15[[KDBRG]:[HRG_JLMT_CTN+PPN]],9,0),0)</f>
        <v>0</v>
      </c>
      <c r="I39">
        <f>IFERROR(VLOOKUP(Fix_Mapping[[#This Row],[KODE BARANG]],[1]!KINONF15[[KDBRG]:[HRG_JLMT_CTN+PPN]],10,0),0)</f>
        <v>0</v>
      </c>
      <c r="J39">
        <f>IFERROR(VLOOKUP(Fix_Mapping[[#This Row],[KODE BARANG]],[1]!KINONF15[[KDBRG]:[HRG_JLMT_CTN+PPN]],11,0),0)</f>
        <v>0</v>
      </c>
      <c r="K39">
        <f>IFERROR(VLOOKUP(Fix_Mapping[[#This Row],[KODE BARANG]],[1]!KINONF15[[KDBRG]:[HRG_JLMT_CTN+PPN]],12,0),0)</f>
        <v>0</v>
      </c>
      <c r="L39">
        <f>IFERROR(VLOOKUP(Fix_Mapping[[#This Row],[KODE BARANG]],[1]!KINONF15[[KDBRG]:[HRG_JLMT_CTN+PPN]],13,0),0)</f>
        <v>0</v>
      </c>
      <c r="M39">
        <f>IFERROR(VLOOKUP(Fix_Mapping[[#This Row],[KODE BARANG]],[1]!KINONF15[[KDBRG]:[HRG_JLMT_CTN+PPN]],14,0),0)</f>
        <v>0</v>
      </c>
      <c r="N39">
        <f>IFERROR(VLOOKUP(Fix_Mapping[[#This Row],[KODE BARANG]],[1]!KINONF15[[KDBRG]:[HRG_JLMT_CTN+PPN]],15,0),0)</f>
        <v>0</v>
      </c>
      <c r="O39">
        <f>IFERROR(VLOOKUP(Fix_Mapping[[#This Row],[KODE BARANG]],[1]!KINONF15[[KDBRG]:[HRG_JLMT_CTN+PPN]],16,0),0)</f>
        <v>0</v>
      </c>
      <c r="P39">
        <f>IFERROR(VLOOKUP(Fix_Mapping[[#This Row],[KODE BARANG]],[1]!KINONF15[[KDBRG]:[HRG_JLMT_CTN+PPN]],17,0),0)</f>
        <v>0</v>
      </c>
      <c r="Q39">
        <f>IFERROR(VLOOKUP(Fix_Mapping[[#This Row],[KODE BARANG]],[1]!KINONF15[[KDBRG]:[HRG_JLMT_CTN+PPN]],18,0),0)</f>
        <v>0</v>
      </c>
      <c r="R39" t="s">
        <v>2555</v>
      </c>
      <c r="S39" t="s">
        <v>833</v>
      </c>
      <c r="T39">
        <v>0</v>
      </c>
      <c r="U39">
        <v>0</v>
      </c>
      <c r="V39">
        <v>0</v>
      </c>
      <c r="W39">
        <v>0</v>
      </c>
    </row>
    <row r="40" spans="1:23">
      <c r="A40" t="s">
        <v>1116</v>
      </c>
      <c r="B40" t="s">
        <v>1117</v>
      </c>
      <c r="C40">
        <v>24</v>
      </c>
      <c r="D40">
        <f>IFERROR(VLOOKUP(Fix_Mapping[[#This Row],[KODE BARANG]],[1]!KINONF15[[KDBRG]:[HRG_JLMT_CTN+PPN]],5,0),0)</f>
        <v>0</v>
      </c>
      <c r="E40" t="s">
        <v>2305</v>
      </c>
      <c r="F40">
        <f>IFERROR(VLOOKUP(Fix_Mapping[[#This Row],[KODE BARANG]],[1]!KINONF15[[KDBRG]:[HRG_JLMT_CTN+PPN]],7,0),0)</f>
        <v>0</v>
      </c>
      <c r="G40">
        <f>IFERROR(VLOOKUP(Fix_Mapping[[#This Row],[KODE BARANG]],[1]!KINONF15[[KDBRG]:[HRG_JLMT_CTN+PPN]],8,0),0)</f>
        <v>0</v>
      </c>
      <c r="H40">
        <f>IFERROR(VLOOKUP(Fix_Mapping[[#This Row],[KODE BARANG]],[1]!KINONF15[[KDBRG]:[HRG_JLMT_CTN+PPN]],9,0),0)</f>
        <v>0</v>
      </c>
      <c r="I40">
        <f>IFERROR(VLOOKUP(Fix_Mapping[[#This Row],[KODE BARANG]],[1]!KINONF15[[KDBRG]:[HRG_JLMT_CTN+PPN]],10,0),0)</f>
        <v>0</v>
      </c>
      <c r="J40">
        <f>IFERROR(VLOOKUP(Fix_Mapping[[#This Row],[KODE BARANG]],[1]!KINONF15[[KDBRG]:[HRG_JLMT_CTN+PPN]],11,0),0)</f>
        <v>0</v>
      </c>
      <c r="K40">
        <f>IFERROR(VLOOKUP(Fix_Mapping[[#This Row],[KODE BARANG]],[1]!KINONF15[[KDBRG]:[HRG_JLMT_CTN+PPN]],12,0),0)</f>
        <v>0</v>
      </c>
      <c r="L40">
        <f>IFERROR(VLOOKUP(Fix_Mapping[[#This Row],[KODE BARANG]],[1]!KINONF15[[KDBRG]:[HRG_JLMT_CTN+PPN]],13,0),0)</f>
        <v>0</v>
      </c>
      <c r="M40">
        <f>IFERROR(VLOOKUP(Fix_Mapping[[#This Row],[KODE BARANG]],[1]!KINONF15[[KDBRG]:[HRG_JLMT_CTN+PPN]],14,0),0)</f>
        <v>0</v>
      </c>
      <c r="N40">
        <f>IFERROR(VLOOKUP(Fix_Mapping[[#This Row],[KODE BARANG]],[1]!KINONF15[[KDBRG]:[HRG_JLMT_CTN+PPN]],15,0),0)</f>
        <v>0</v>
      </c>
      <c r="O40">
        <f>IFERROR(VLOOKUP(Fix_Mapping[[#This Row],[KODE BARANG]],[1]!KINONF15[[KDBRG]:[HRG_JLMT_CTN+PPN]],16,0),0)</f>
        <v>0</v>
      </c>
      <c r="P40">
        <f>IFERROR(VLOOKUP(Fix_Mapping[[#This Row],[KODE BARANG]],[1]!KINONF15[[KDBRG]:[HRG_JLMT_CTN+PPN]],17,0),0)</f>
        <v>0</v>
      </c>
      <c r="Q40">
        <f>IFERROR(VLOOKUP(Fix_Mapping[[#This Row],[KODE BARANG]],[1]!KINONF15[[KDBRG]:[HRG_JLMT_CTN+PPN]],18,0),0)</f>
        <v>0</v>
      </c>
      <c r="R40" t="s">
        <v>2555</v>
      </c>
      <c r="S40" t="s">
        <v>834</v>
      </c>
      <c r="T40">
        <v>0</v>
      </c>
      <c r="U40">
        <v>0</v>
      </c>
      <c r="V40">
        <v>0</v>
      </c>
      <c r="W40">
        <v>0</v>
      </c>
    </row>
    <row r="41" spans="1:23">
      <c r="A41" t="s">
        <v>1118</v>
      </c>
      <c r="B41" t="s">
        <v>1119</v>
      </c>
      <c r="C41">
        <v>24</v>
      </c>
      <c r="D41">
        <f>IFERROR(VLOOKUP(Fix_Mapping[[#This Row],[KODE BARANG]],[1]!KINONF15[[KDBRG]:[HRG_JLMT_CTN+PPN]],5,0),0)</f>
        <v>0</v>
      </c>
      <c r="E41" t="s">
        <v>2309</v>
      </c>
      <c r="F41">
        <f>IFERROR(VLOOKUP(Fix_Mapping[[#This Row],[KODE BARANG]],[1]!KINONF15[[KDBRG]:[HRG_JLMT_CTN+PPN]],7,0),0)</f>
        <v>0</v>
      </c>
      <c r="G41">
        <f>IFERROR(VLOOKUP(Fix_Mapping[[#This Row],[KODE BARANG]],[1]!KINONF15[[KDBRG]:[HRG_JLMT_CTN+PPN]],8,0),0)</f>
        <v>0</v>
      </c>
      <c r="H41">
        <f>IFERROR(VLOOKUP(Fix_Mapping[[#This Row],[KODE BARANG]],[1]!KINONF15[[KDBRG]:[HRG_JLMT_CTN+PPN]],9,0),0)</f>
        <v>0</v>
      </c>
      <c r="I41">
        <f>IFERROR(VLOOKUP(Fix_Mapping[[#This Row],[KODE BARANG]],[1]!KINONF15[[KDBRG]:[HRG_JLMT_CTN+PPN]],10,0),0)</f>
        <v>0</v>
      </c>
      <c r="J41">
        <f>IFERROR(VLOOKUP(Fix_Mapping[[#This Row],[KODE BARANG]],[1]!KINONF15[[KDBRG]:[HRG_JLMT_CTN+PPN]],11,0),0)</f>
        <v>0</v>
      </c>
      <c r="K41">
        <f>IFERROR(VLOOKUP(Fix_Mapping[[#This Row],[KODE BARANG]],[1]!KINONF15[[KDBRG]:[HRG_JLMT_CTN+PPN]],12,0),0)</f>
        <v>0</v>
      </c>
      <c r="L41">
        <f>IFERROR(VLOOKUP(Fix_Mapping[[#This Row],[KODE BARANG]],[1]!KINONF15[[KDBRG]:[HRG_JLMT_CTN+PPN]],13,0),0)</f>
        <v>0</v>
      </c>
      <c r="M41">
        <f>IFERROR(VLOOKUP(Fix_Mapping[[#This Row],[KODE BARANG]],[1]!KINONF15[[KDBRG]:[HRG_JLMT_CTN+PPN]],14,0),0)</f>
        <v>0</v>
      </c>
      <c r="N41">
        <f>IFERROR(VLOOKUP(Fix_Mapping[[#This Row],[KODE BARANG]],[1]!KINONF15[[KDBRG]:[HRG_JLMT_CTN+PPN]],15,0),0)</f>
        <v>0</v>
      </c>
      <c r="O41">
        <f>IFERROR(VLOOKUP(Fix_Mapping[[#This Row],[KODE BARANG]],[1]!KINONF15[[KDBRG]:[HRG_JLMT_CTN+PPN]],16,0),0)</f>
        <v>0</v>
      </c>
      <c r="P41">
        <f>IFERROR(VLOOKUP(Fix_Mapping[[#This Row],[KODE BARANG]],[1]!KINONF15[[KDBRG]:[HRG_JLMT_CTN+PPN]],17,0),0)</f>
        <v>0</v>
      </c>
      <c r="Q41">
        <f>IFERROR(VLOOKUP(Fix_Mapping[[#This Row],[KODE BARANG]],[1]!KINONF15[[KDBRG]:[HRG_JLMT_CTN+PPN]],18,0),0)</f>
        <v>0</v>
      </c>
      <c r="R41" t="s">
        <v>2555</v>
      </c>
      <c r="S41" t="s">
        <v>856</v>
      </c>
      <c r="T41">
        <v>0</v>
      </c>
      <c r="U41">
        <v>0</v>
      </c>
      <c r="V41">
        <v>0</v>
      </c>
      <c r="W41">
        <v>0</v>
      </c>
    </row>
    <row r="42" spans="1:23">
      <c r="A42" t="s">
        <v>1120</v>
      </c>
      <c r="B42" t="s">
        <v>1121</v>
      </c>
      <c r="C42">
        <v>24</v>
      </c>
      <c r="D42">
        <f>IFERROR(VLOOKUP(Fix_Mapping[[#This Row],[KODE BARANG]],[1]!KINONF15[[KDBRG]:[HRG_JLMT_CTN+PPN]],5,0),0)</f>
        <v>0</v>
      </c>
      <c r="E42" t="s">
        <v>2311</v>
      </c>
      <c r="F42">
        <f>IFERROR(VLOOKUP(Fix_Mapping[[#This Row],[KODE BARANG]],[1]!KINONF15[[KDBRG]:[HRG_JLMT_CTN+PPN]],7,0),0)</f>
        <v>0</v>
      </c>
      <c r="G42">
        <f>IFERROR(VLOOKUP(Fix_Mapping[[#This Row],[KODE BARANG]],[1]!KINONF15[[KDBRG]:[HRG_JLMT_CTN+PPN]],8,0),0)</f>
        <v>0</v>
      </c>
      <c r="H42">
        <f>IFERROR(VLOOKUP(Fix_Mapping[[#This Row],[KODE BARANG]],[1]!KINONF15[[KDBRG]:[HRG_JLMT_CTN+PPN]],9,0),0)</f>
        <v>0</v>
      </c>
      <c r="I42">
        <f>IFERROR(VLOOKUP(Fix_Mapping[[#This Row],[KODE BARANG]],[1]!KINONF15[[KDBRG]:[HRG_JLMT_CTN+PPN]],10,0),0)</f>
        <v>0</v>
      </c>
      <c r="J42">
        <f>IFERROR(VLOOKUP(Fix_Mapping[[#This Row],[KODE BARANG]],[1]!KINONF15[[KDBRG]:[HRG_JLMT_CTN+PPN]],11,0),0)</f>
        <v>0</v>
      </c>
      <c r="K42">
        <f>IFERROR(VLOOKUP(Fix_Mapping[[#This Row],[KODE BARANG]],[1]!KINONF15[[KDBRG]:[HRG_JLMT_CTN+PPN]],12,0),0)</f>
        <v>0</v>
      </c>
      <c r="L42">
        <f>IFERROR(VLOOKUP(Fix_Mapping[[#This Row],[KODE BARANG]],[1]!KINONF15[[KDBRG]:[HRG_JLMT_CTN+PPN]],13,0),0)</f>
        <v>0</v>
      </c>
      <c r="M42">
        <f>IFERROR(VLOOKUP(Fix_Mapping[[#This Row],[KODE BARANG]],[1]!KINONF15[[KDBRG]:[HRG_JLMT_CTN+PPN]],14,0),0)</f>
        <v>0</v>
      </c>
      <c r="N42">
        <f>IFERROR(VLOOKUP(Fix_Mapping[[#This Row],[KODE BARANG]],[1]!KINONF15[[KDBRG]:[HRG_JLMT_CTN+PPN]],15,0),0)</f>
        <v>0</v>
      </c>
      <c r="O42">
        <f>IFERROR(VLOOKUP(Fix_Mapping[[#This Row],[KODE BARANG]],[1]!KINONF15[[KDBRG]:[HRG_JLMT_CTN+PPN]],16,0),0)</f>
        <v>0</v>
      </c>
      <c r="P42">
        <f>IFERROR(VLOOKUP(Fix_Mapping[[#This Row],[KODE BARANG]],[1]!KINONF15[[KDBRG]:[HRG_JLMT_CTN+PPN]],17,0),0)</f>
        <v>0</v>
      </c>
      <c r="Q42">
        <f>IFERROR(VLOOKUP(Fix_Mapping[[#This Row],[KODE BARANG]],[1]!KINONF15[[KDBRG]:[HRG_JLMT_CTN+PPN]],18,0),0)</f>
        <v>0</v>
      </c>
      <c r="R42" t="s">
        <v>2555</v>
      </c>
      <c r="S42" t="s">
        <v>855</v>
      </c>
      <c r="T42">
        <v>0</v>
      </c>
      <c r="U42">
        <v>0</v>
      </c>
      <c r="V42">
        <v>0</v>
      </c>
      <c r="W42">
        <v>0</v>
      </c>
    </row>
    <row r="43" spans="1:23">
      <c r="A43" t="s">
        <v>1122</v>
      </c>
      <c r="B43" t="s">
        <v>1123</v>
      </c>
      <c r="C43">
        <v>36</v>
      </c>
      <c r="D43">
        <f>IFERROR(VLOOKUP(Fix_Mapping[[#This Row],[KODE BARANG]],[1]!KINONF15[[KDBRG]:[HRG_JLMT_CTN+PPN]],5,0),0)</f>
        <v>0</v>
      </c>
      <c r="E43" t="s">
        <v>2313</v>
      </c>
      <c r="F43">
        <f>IFERROR(VLOOKUP(Fix_Mapping[[#This Row],[KODE BARANG]],[1]!KINONF15[[KDBRG]:[HRG_JLMT_CTN+PPN]],7,0),0)</f>
        <v>0</v>
      </c>
      <c r="G43">
        <f>IFERROR(VLOOKUP(Fix_Mapping[[#This Row],[KODE BARANG]],[1]!KINONF15[[KDBRG]:[HRG_JLMT_CTN+PPN]],8,0),0)</f>
        <v>0</v>
      </c>
      <c r="H43">
        <f>IFERROR(VLOOKUP(Fix_Mapping[[#This Row],[KODE BARANG]],[1]!KINONF15[[KDBRG]:[HRG_JLMT_CTN+PPN]],9,0),0)</f>
        <v>0</v>
      </c>
      <c r="I43">
        <f>IFERROR(VLOOKUP(Fix_Mapping[[#This Row],[KODE BARANG]],[1]!KINONF15[[KDBRG]:[HRG_JLMT_CTN+PPN]],10,0),0)</f>
        <v>0</v>
      </c>
      <c r="J43">
        <f>IFERROR(VLOOKUP(Fix_Mapping[[#This Row],[KODE BARANG]],[1]!KINONF15[[KDBRG]:[HRG_JLMT_CTN+PPN]],11,0),0)</f>
        <v>0</v>
      </c>
      <c r="K43">
        <f>IFERROR(VLOOKUP(Fix_Mapping[[#This Row],[KODE BARANG]],[1]!KINONF15[[KDBRG]:[HRG_JLMT_CTN+PPN]],12,0),0)</f>
        <v>0</v>
      </c>
      <c r="L43">
        <f>IFERROR(VLOOKUP(Fix_Mapping[[#This Row],[KODE BARANG]],[1]!KINONF15[[KDBRG]:[HRG_JLMT_CTN+PPN]],13,0),0)</f>
        <v>0</v>
      </c>
      <c r="M43">
        <f>IFERROR(VLOOKUP(Fix_Mapping[[#This Row],[KODE BARANG]],[1]!KINONF15[[KDBRG]:[HRG_JLMT_CTN+PPN]],14,0),0)</f>
        <v>0</v>
      </c>
      <c r="N43">
        <f>IFERROR(VLOOKUP(Fix_Mapping[[#This Row],[KODE BARANG]],[1]!KINONF15[[KDBRG]:[HRG_JLMT_CTN+PPN]],15,0),0)</f>
        <v>0</v>
      </c>
      <c r="O43">
        <f>IFERROR(VLOOKUP(Fix_Mapping[[#This Row],[KODE BARANG]],[1]!KINONF15[[KDBRG]:[HRG_JLMT_CTN+PPN]],16,0),0)</f>
        <v>0</v>
      </c>
      <c r="P43">
        <f>IFERROR(VLOOKUP(Fix_Mapping[[#This Row],[KODE BARANG]],[1]!KINONF15[[KDBRG]:[HRG_JLMT_CTN+PPN]],17,0),0)</f>
        <v>0</v>
      </c>
      <c r="Q43">
        <f>IFERROR(VLOOKUP(Fix_Mapping[[#This Row],[KODE BARANG]],[1]!KINONF15[[KDBRG]:[HRG_JLMT_CTN+PPN]],18,0),0)</f>
        <v>0</v>
      </c>
      <c r="R43" t="s">
        <v>2555</v>
      </c>
      <c r="S43" t="s">
        <v>829</v>
      </c>
      <c r="T43">
        <v>0</v>
      </c>
      <c r="U43">
        <v>0</v>
      </c>
      <c r="V43">
        <v>0</v>
      </c>
      <c r="W43">
        <v>0</v>
      </c>
    </row>
    <row r="44" spans="1:23">
      <c r="A44" t="s">
        <v>2357</v>
      </c>
      <c r="B44" t="s">
        <v>1124</v>
      </c>
      <c r="C44">
        <v>24</v>
      </c>
      <c r="D44">
        <f>IFERROR(VLOOKUP(Fix_Mapping[[#This Row],[KODE BARANG]],[1]!KINONF15[[KDBRG]:[HRG_JLMT_CTN+PPN]],5,0),0)</f>
        <v>0</v>
      </c>
      <c r="E44" t="s">
        <v>2313</v>
      </c>
      <c r="F44">
        <f>IFERROR(VLOOKUP(Fix_Mapping[[#This Row],[KODE BARANG]],[1]!KINONF15[[KDBRG]:[HRG_JLMT_CTN+PPN]],7,0),0)</f>
        <v>0</v>
      </c>
      <c r="G44">
        <f>IFERROR(VLOOKUP(Fix_Mapping[[#This Row],[KODE BARANG]],[1]!KINONF15[[KDBRG]:[HRG_JLMT_CTN+PPN]],8,0),0)</f>
        <v>0</v>
      </c>
      <c r="H44">
        <f>IFERROR(VLOOKUP(Fix_Mapping[[#This Row],[KODE BARANG]],[1]!KINONF15[[KDBRG]:[HRG_JLMT_CTN+PPN]],9,0),0)</f>
        <v>0</v>
      </c>
      <c r="I44">
        <f>IFERROR(VLOOKUP(Fix_Mapping[[#This Row],[KODE BARANG]],[1]!KINONF15[[KDBRG]:[HRG_JLMT_CTN+PPN]],10,0),0)</f>
        <v>0</v>
      </c>
      <c r="J44">
        <f>IFERROR(VLOOKUP(Fix_Mapping[[#This Row],[KODE BARANG]],[1]!KINONF15[[KDBRG]:[HRG_JLMT_CTN+PPN]],11,0),0)</f>
        <v>0</v>
      </c>
      <c r="K44">
        <f>IFERROR(VLOOKUP(Fix_Mapping[[#This Row],[KODE BARANG]],[1]!KINONF15[[KDBRG]:[HRG_JLMT_CTN+PPN]],12,0),0)</f>
        <v>0</v>
      </c>
      <c r="L44">
        <f>IFERROR(VLOOKUP(Fix_Mapping[[#This Row],[KODE BARANG]],[1]!KINONF15[[KDBRG]:[HRG_JLMT_CTN+PPN]],13,0),0)</f>
        <v>0</v>
      </c>
      <c r="M44">
        <f>IFERROR(VLOOKUP(Fix_Mapping[[#This Row],[KODE BARANG]],[1]!KINONF15[[KDBRG]:[HRG_JLMT_CTN+PPN]],14,0),0)</f>
        <v>0</v>
      </c>
      <c r="N44">
        <f>IFERROR(VLOOKUP(Fix_Mapping[[#This Row],[KODE BARANG]],[1]!KINONF15[[KDBRG]:[HRG_JLMT_CTN+PPN]],15,0),0)</f>
        <v>0</v>
      </c>
      <c r="O44">
        <f>IFERROR(VLOOKUP(Fix_Mapping[[#This Row],[KODE BARANG]],[1]!KINONF15[[KDBRG]:[HRG_JLMT_CTN+PPN]],16,0),0)</f>
        <v>0</v>
      </c>
      <c r="P44">
        <f>IFERROR(VLOOKUP(Fix_Mapping[[#This Row],[KODE BARANG]],[1]!KINONF15[[KDBRG]:[HRG_JLMT_CTN+PPN]],17,0),0)</f>
        <v>0</v>
      </c>
      <c r="Q44">
        <f>IFERROR(VLOOKUP(Fix_Mapping[[#This Row],[KODE BARANG]],[1]!KINONF15[[KDBRG]:[HRG_JLMT_CTN+PPN]],18,0),0)</f>
        <v>0</v>
      </c>
      <c r="R44" t="s">
        <v>2555</v>
      </c>
      <c r="S44" t="s">
        <v>830</v>
      </c>
      <c r="T44">
        <v>0</v>
      </c>
      <c r="U44">
        <v>0</v>
      </c>
      <c r="V44">
        <v>0</v>
      </c>
      <c r="W44">
        <v>0</v>
      </c>
    </row>
    <row r="45" spans="1:23">
      <c r="A45" t="s">
        <v>1125</v>
      </c>
      <c r="B45" t="s">
        <v>1126</v>
      </c>
      <c r="C45">
        <v>36</v>
      </c>
      <c r="D45">
        <f>IFERROR(VLOOKUP(Fix_Mapping[[#This Row],[KODE BARANG]],[1]!KINONF15[[KDBRG]:[HRG_JLMT_CTN+PPN]],5,0),0)</f>
        <v>0</v>
      </c>
      <c r="E45" t="s">
        <v>2315</v>
      </c>
      <c r="F45">
        <f>IFERROR(VLOOKUP(Fix_Mapping[[#This Row],[KODE BARANG]],[1]!KINONF15[[KDBRG]:[HRG_JLMT_CTN+PPN]],7,0),0)</f>
        <v>0</v>
      </c>
      <c r="G45">
        <f>IFERROR(VLOOKUP(Fix_Mapping[[#This Row],[KODE BARANG]],[1]!KINONF15[[KDBRG]:[HRG_JLMT_CTN+PPN]],8,0),0)</f>
        <v>0</v>
      </c>
      <c r="H45">
        <f>IFERROR(VLOOKUP(Fix_Mapping[[#This Row],[KODE BARANG]],[1]!KINONF15[[KDBRG]:[HRG_JLMT_CTN+PPN]],9,0),0)</f>
        <v>0</v>
      </c>
      <c r="I45">
        <f>IFERROR(VLOOKUP(Fix_Mapping[[#This Row],[KODE BARANG]],[1]!KINONF15[[KDBRG]:[HRG_JLMT_CTN+PPN]],10,0),0)</f>
        <v>0</v>
      </c>
      <c r="J45">
        <f>IFERROR(VLOOKUP(Fix_Mapping[[#This Row],[KODE BARANG]],[1]!KINONF15[[KDBRG]:[HRG_JLMT_CTN+PPN]],11,0),0)</f>
        <v>0</v>
      </c>
      <c r="K45">
        <f>IFERROR(VLOOKUP(Fix_Mapping[[#This Row],[KODE BARANG]],[1]!KINONF15[[KDBRG]:[HRG_JLMT_CTN+PPN]],12,0),0)</f>
        <v>0</v>
      </c>
      <c r="L45">
        <f>IFERROR(VLOOKUP(Fix_Mapping[[#This Row],[KODE BARANG]],[1]!KINONF15[[KDBRG]:[HRG_JLMT_CTN+PPN]],13,0),0)</f>
        <v>0</v>
      </c>
      <c r="M45">
        <f>IFERROR(VLOOKUP(Fix_Mapping[[#This Row],[KODE BARANG]],[1]!KINONF15[[KDBRG]:[HRG_JLMT_CTN+PPN]],14,0),0)</f>
        <v>0</v>
      </c>
      <c r="N45">
        <f>IFERROR(VLOOKUP(Fix_Mapping[[#This Row],[KODE BARANG]],[1]!KINONF15[[KDBRG]:[HRG_JLMT_CTN+PPN]],15,0),0)</f>
        <v>0</v>
      </c>
      <c r="O45">
        <f>IFERROR(VLOOKUP(Fix_Mapping[[#This Row],[KODE BARANG]],[1]!KINONF15[[KDBRG]:[HRG_JLMT_CTN+PPN]],16,0),0)</f>
        <v>0</v>
      </c>
      <c r="P45">
        <f>IFERROR(VLOOKUP(Fix_Mapping[[#This Row],[KODE BARANG]],[1]!KINONF15[[KDBRG]:[HRG_JLMT_CTN+PPN]],17,0),0)</f>
        <v>0</v>
      </c>
      <c r="Q45">
        <f>IFERROR(VLOOKUP(Fix_Mapping[[#This Row],[KODE BARANG]],[1]!KINONF15[[KDBRG]:[HRG_JLMT_CTN+PPN]],18,0),0)</f>
        <v>0</v>
      </c>
      <c r="R45" t="s">
        <v>2555</v>
      </c>
      <c r="S45" t="s">
        <v>847</v>
      </c>
      <c r="T45">
        <v>0</v>
      </c>
      <c r="U45">
        <v>0</v>
      </c>
      <c r="V45">
        <v>0</v>
      </c>
      <c r="W45">
        <v>0</v>
      </c>
    </row>
    <row r="46" spans="1:23">
      <c r="A46" t="s">
        <v>1127</v>
      </c>
      <c r="B46" t="s">
        <v>1128</v>
      </c>
      <c r="C46">
        <v>36</v>
      </c>
      <c r="D46">
        <f>IFERROR(VLOOKUP(Fix_Mapping[[#This Row],[KODE BARANG]],[1]!KINONF15[[KDBRG]:[HRG_JLMT_CTN+PPN]],5,0),0)</f>
        <v>0</v>
      </c>
      <c r="E46" t="s">
        <v>2315</v>
      </c>
      <c r="F46">
        <f>IFERROR(VLOOKUP(Fix_Mapping[[#This Row],[KODE BARANG]],[1]!KINONF15[[KDBRG]:[HRG_JLMT_CTN+PPN]],7,0),0)</f>
        <v>0</v>
      </c>
      <c r="G46">
        <f>IFERROR(VLOOKUP(Fix_Mapping[[#This Row],[KODE BARANG]],[1]!KINONF15[[KDBRG]:[HRG_JLMT_CTN+PPN]],8,0),0)</f>
        <v>0</v>
      </c>
      <c r="H46">
        <f>IFERROR(VLOOKUP(Fix_Mapping[[#This Row],[KODE BARANG]],[1]!KINONF15[[KDBRG]:[HRG_JLMT_CTN+PPN]],9,0),0)</f>
        <v>0</v>
      </c>
      <c r="I46">
        <f>IFERROR(VLOOKUP(Fix_Mapping[[#This Row],[KODE BARANG]],[1]!KINONF15[[KDBRG]:[HRG_JLMT_CTN+PPN]],10,0),0)</f>
        <v>0</v>
      </c>
      <c r="J46">
        <f>IFERROR(VLOOKUP(Fix_Mapping[[#This Row],[KODE BARANG]],[1]!KINONF15[[KDBRG]:[HRG_JLMT_CTN+PPN]],11,0),0)</f>
        <v>0</v>
      </c>
      <c r="K46">
        <f>IFERROR(VLOOKUP(Fix_Mapping[[#This Row],[KODE BARANG]],[1]!KINONF15[[KDBRG]:[HRG_JLMT_CTN+PPN]],12,0),0)</f>
        <v>0</v>
      </c>
      <c r="L46">
        <f>IFERROR(VLOOKUP(Fix_Mapping[[#This Row],[KODE BARANG]],[1]!KINONF15[[KDBRG]:[HRG_JLMT_CTN+PPN]],13,0),0)</f>
        <v>0</v>
      </c>
      <c r="M46">
        <f>IFERROR(VLOOKUP(Fix_Mapping[[#This Row],[KODE BARANG]],[1]!KINONF15[[KDBRG]:[HRG_JLMT_CTN+PPN]],14,0),0)</f>
        <v>0</v>
      </c>
      <c r="N46">
        <f>IFERROR(VLOOKUP(Fix_Mapping[[#This Row],[KODE BARANG]],[1]!KINONF15[[KDBRG]:[HRG_JLMT_CTN+PPN]],15,0),0)</f>
        <v>0</v>
      </c>
      <c r="O46">
        <f>IFERROR(VLOOKUP(Fix_Mapping[[#This Row],[KODE BARANG]],[1]!KINONF15[[KDBRG]:[HRG_JLMT_CTN+PPN]],16,0),0)</f>
        <v>0</v>
      </c>
      <c r="P46">
        <f>IFERROR(VLOOKUP(Fix_Mapping[[#This Row],[KODE BARANG]],[1]!KINONF15[[KDBRG]:[HRG_JLMT_CTN+PPN]],17,0),0)</f>
        <v>0</v>
      </c>
      <c r="Q46">
        <f>IFERROR(VLOOKUP(Fix_Mapping[[#This Row],[KODE BARANG]],[1]!KINONF15[[KDBRG]:[HRG_JLMT_CTN+PPN]],18,0),0)</f>
        <v>0</v>
      </c>
      <c r="R46" t="s">
        <v>2555</v>
      </c>
      <c r="S46" t="s">
        <v>848</v>
      </c>
      <c r="T46">
        <v>0</v>
      </c>
      <c r="U46">
        <v>0</v>
      </c>
      <c r="V46">
        <v>0</v>
      </c>
      <c r="W46">
        <v>0</v>
      </c>
    </row>
    <row r="47" spans="1:23">
      <c r="A47" t="s">
        <v>1129</v>
      </c>
      <c r="B47" t="s">
        <v>1130</v>
      </c>
      <c r="C47">
        <v>36</v>
      </c>
      <c r="D47">
        <f>IFERROR(VLOOKUP(Fix_Mapping[[#This Row],[KODE BARANG]],[1]!KINONF15[[KDBRG]:[HRG_JLMT_CTN+PPN]],5,0),0)</f>
        <v>0</v>
      </c>
      <c r="E47" t="s">
        <v>2315</v>
      </c>
      <c r="F47">
        <f>IFERROR(VLOOKUP(Fix_Mapping[[#This Row],[KODE BARANG]],[1]!KINONF15[[KDBRG]:[HRG_JLMT_CTN+PPN]],7,0),0)</f>
        <v>0</v>
      </c>
      <c r="G47">
        <f>IFERROR(VLOOKUP(Fix_Mapping[[#This Row],[KODE BARANG]],[1]!KINONF15[[KDBRG]:[HRG_JLMT_CTN+PPN]],8,0),0)</f>
        <v>0</v>
      </c>
      <c r="H47">
        <f>IFERROR(VLOOKUP(Fix_Mapping[[#This Row],[KODE BARANG]],[1]!KINONF15[[KDBRG]:[HRG_JLMT_CTN+PPN]],9,0),0)</f>
        <v>0</v>
      </c>
      <c r="I47">
        <f>IFERROR(VLOOKUP(Fix_Mapping[[#This Row],[KODE BARANG]],[1]!KINONF15[[KDBRG]:[HRG_JLMT_CTN+PPN]],10,0),0)</f>
        <v>0</v>
      </c>
      <c r="J47">
        <f>IFERROR(VLOOKUP(Fix_Mapping[[#This Row],[KODE BARANG]],[1]!KINONF15[[KDBRG]:[HRG_JLMT_CTN+PPN]],11,0),0)</f>
        <v>0</v>
      </c>
      <c r="K47">
        <f>IFERROR(VLOOKUP(Fix_Mapping[[#This Row],[KODE BARANG]],[1]!KINONF15[[KDBRG]:[HRG_JLMT_CTN+PPN]],12,0),0)</f>
        <v>0</v>
      </c>
      <c r="L47">
        <f>IFERROR(VLOOKUP(Fix_Mapping[[#This Row],[KODE BARANG]],[1]!KINONF15[[KDBRG]:[HRG_JLMT_CTN+PPN]],13,0),0)</f>
        <v>0</v>
      </c>
      <c r="M47">
        <f>IFERROR(VLOOKUP(Fix_Mapping[[#This Row],[KODE BARANG]],[1]!KINONF15[[KDBRG]:[HRG_JLMT_CTN+PPN]],14,0),0)</f>
        <v>0</v>
      </c>
      <c r="N47">
        <f>IFERROR(VLOOKUP(Fix_Mapping[[#This Row],[KODE BARANG]],[1]!KINONF15[[KDBRG]:[HRG_JLMT_CTN+PPN]],15,0),0)</f>
        <v>0</v>
      </c>
      <c r="O47">
        <f>IFERROR(VLOOKUP(Fix_Mapping[[#This Row],[KODE BARANG]],[1]!KINONF15[[KDBRG]:[HRG_JLMT_CTN+PPN]],16,0),0)</f>
        <v>0</v>
      </c>
      <c r="P47">
        <f>IFERROR(VLOOKUP(Fix_Mapping[[#This Row],[KODE BARANG]],[1]!KINONF15[[KDBRG]:[HRG_JLMT_CTN+PPN]],17,0),0)</f>
        <v>0</v>
      </c>
      <c r="Q47">
        <f>IFERROR(VLOOKUP(Fix_Mapping[[#This Row],[KODE BARANG]],[1]!KINONF15[[KDBRG]:[HRG_JLMT_CTN+PPN]],18,0),0)</f>
        <v>0</v>
      </c>
      <c r="R47" t="s">
        <v>2555</v>
      </c>
      <c r="S47" t="s">
        <v>849</v>
      </c>
      <c r="T47">
        <v>0</v>
      </c>
      <c r="U47">
        <v>0</v>
      </c>
      <c r="V47">
        <v>0</v>
      </c>
      <c r="W47">
        <v>0</v>
      </c>
    </row>
    <row r="48" spans="1:23">
      <c r="A48" t="s">
        <v>1131</v>
      </c>
      <c r="B48" t="s">
        <v>1132</v>
      </c>
      <c r="C48">
        <v>36</v>
      </c>
      <c r="D48">
        <f>IFERROR(VLOOKUP(Fix_Mapping[[#This Row],[KODE BARANG]],[1]!KINONF15[[KDBRG]:[HRG_JLMT_CTN+PPN]],5,0),0)</f>
        <v>0</v>
      </c>
      <c r="E48" t="s">
        <v>2315</v>
      </c>
      <c r="F48">
        <f>IFERROR(VLOOKUP(Fix_Mapping[[#This Row],[KODE BARANG]],[1]!KINONF15[[KDBRG]:[HRG_JLMT_CTN+PPN]],7,0),0)</f>
        <v>0</v>
      </c>
      <c r="G48">
        <f>IFERROR(VLOOKUP(Fix_Mapping[[#This Row],[KODE BARANG]],[1]!KINONF15[[KDBRG]:[HRG_JLMT_CTN+PPN]],8,0),0)</f>
        <v>0</v>
      </c>
      <c r="H48">
        <f>IFERROR(VLOOKUP(Fix_Mapping[[#This Row],[KODE BARANG]],[1]!KINONF15[[KDBRG]:[HRG_JLMT_CTN+PPN]],9,0),0)</f>
        <v>0</v>
      </c>
      <c r="I48">
        <f>IFERROR(VLOOKUP(Fix_Mapping[[#This Row],[KODE BARANG]],[1]!KINONF15[[KDBRG]:[HRG_JLMT_CTN+PPN]],10,0),0)</f>
        <v>0</v>
      </c>
      <c r="J48">
        <f>IFERROR(VLOOKUP(Fix_Mapping[[#This Row],[KODE BARANG]],[1]!KINONF15[[KDBRG]:[HRG_JLMT_CTN+PPN]],11,0),0)</f>
        <v>0</v>
      </c>
      <c r="K48">
        <f>IFERROR(VLOOKUP(Fix_Mapping[[#This Row],[KODE BARANG]],[1]!KINONF15[[KDBRG]:[HRG_JLMT_CTN+PPN]],12,0),0)</f>
        <v>0</v>
      </c>
      <c r="L48">
        <f>IFERROR(VLOOKUP(Fix_Mapping[[#This Row],[KODE BARANG]],[1]!KINONF15[[KDBRG]:[HRG_JLMT_CTN+PPN]],13,0),0)</f>
        <v>0</v>
      </c>
      <c r="M48">
        <f>IFERROR(VLOOKUP(Fix_Mapping[[#This Row],[KODE BARANG]],[1]!KINONF15[[KDBRG]:[HRG_JLMT_CTN+PPN]],14,0),0)</f>
        <v>0</v>
      </c>
      <c r="N48">
        <f>IFERROR(VLOOKUP(Fix_Mapping[[#This Row],[KODE BARANG]],[1]!KINONF15[[KDBRG]:[HRG_JLMT_CTN+PPN]],15,0),0)</f>
        <v>0</v>
      </c>
      <c r="O48">
        <f>IFERROR(VLOOKUP(Fix_Mapping[[#This Row],[KODE BARANG]],[1]!KINONF15[[KDBRG]:[HRG_JLMT_CTN+PPN]],16,0),0)</f>
        <v>0</v>
      </c>
      <c r="P48">
        <f>IFERROR(VLOOKUP(Fix_Mapping[[#This Row],[KODE BARANG]],[1]!KINONF15[[KDBRG]:[HRG_JLMT_CTN+PPN]],17,0),0)</f>
        <v>0</v>
      </c>
      <c r="Q48">
        <f>IFERROR(VLOOKUP(Fix_Mapping[[#This Row],[KODE BARANG]],[1]!KINONF15[[KDBRG]:[HRG_JLMT_CTN+PPN]],18,0),0)</f>
        <v>0</v>
      </c>
      <c r="R48" t="s">
        <v>2555</v>
      </c>
      <c r="S48" t="s">
        <v>850</v>
      </c>
      <c r="T48">
        <v>0</v>
      </c>
      <c r="U48">
        <v>0</v>
      </c>
      <c r="V48">
        <v>0</v>
      </c>
      <c r="W48">
        <v>0</v>
      </c>
    </row>
    <row r="49" spans="1:23">
      <c r="A49" t="s">
        <v>1133</v>
      </c>
      <c r="B49" t="s">
        <v>1134</v>
      </c>
      <c r="C49">
        <v>36</v>
      </c>
      <c r="D49">
        <f>IFERROR(VLOOKUP(Fix_Mapping[[#This Row],[KODE BARANG]],[1]!KINONF15[[KDBRG]:[HRG_JLMT_CTN+PPN]],5,0),0)</f>
        <v>0</v>
      </c>
      <c r="E49" t="s">
        <v>2315</v>
      </c>
      <c r="F49">
        <f>IFERROR(VLOOKUP(Fix_Mapping[[#This Row],[KODE BARANG]],[1]!KINONF15[[KDBRG]:[HRG_JLMT_CTN+PPN]],7,0),0)</f>
        <v>0</v>
      </c>
      <c r="G49">
        <f>IFERROR(VLOOKUP(Fix_Mapping[[#This Row],[KODE BARANG]],[1]!KINONF15[[KDBRG]:[HRG_JLMT_CTN+PPN]],8,0),0)</f>
        <v>0</v>
      </c>
      <c r="H49">
        <f>IFERROR(VLOOKUP(Fix_Mapping[[#This Row],[KODE BARANG]],[1]!KINONF15[[KDBRG]:[HRG_JLMT_CTN+PPN]],9,0),0)</f>
        <v>0</v>
      </c>
      <c r="I49">
        <f>IFERROR(VLOOKUP(Fix_Mapping[[#This Row],[KODE BARANG]],[1]!KINONF15[[KDBRG]:[HRG_JLMT_CTN+PPN]],10,0),0)</f>
        <v>0</v>
      </c>
      <c r="J49">
        <f>IFERROR(VLOOKUP(Fix_Mapping[[#This Row],[KODE BARANG]],[1]!KINONF15[[KDBRG]:[HRG_JLMT_CTN+PPN]],11,0),0)</f>
        <v>0</v>
      </c>
      <c r="K49">
        <f>IFERROR(VLOOKUP(Fix_Mapping[[#This Row],[KODE BARANG]],[1]!KINONF15[[KDBRG]:[HRG_JLMT_CTN+PPN]],12,0),0)</f>
        <v>0</v>
      </c>
      <c r="L49">
        <f>IFERROR(VLOOKUP(Fix_Mapping[[#This Row],[KODE BARANG]],[1]!KINONF15[[KDBRG]:[HRG_JLMT_CTN+PPN]],13,0),0)</f>
        <v>0</v>
      </c>
      <c r="M49">
        <f>IFERROR(VLOOKUP(Fix_Mapping[[#This Row],[KODE BARANG]],[1]!KINONF15[[KDBRG]:[HRG_JLMT_CTN+PPN]],14,0),0)</f>
        <v>0</v>
      </c>
      <c r="N49">
        <f>IFERROR(VLOOKUP(Fix_Mapping[[#This Row],[KODE BARANG]],[1]!KINONF15[[KDBRG]:[HRG_JLMT_CTN+PPN]],15,0),0)</f>
        <v>0</v>
      </c>
      <c r="O49">
        <f>IFERROR(VLOOKUP(Fix_Mapping[[#This Row],[KODE BARANG]],[1]!KINONF15[[KDBRG]:[HRG_JLMT_CTN+PPN]],16,0),0)</f>
        <v>0</v>
      </c>
      <c r="P49">
        <f>IFERROR(VLOOKUP(Fix_Mapping[[#This Row],[KODE BARANG]],[1]!KINONF15[[KDBRG]:[HRG_JLMT_CTN+PPN]],17,0),0)</f>
        <v>0</v>
      </c>
      <c r="Q49">
        <f>IFERROR(VLOOKUP(Fix_Mapping[[#This Row],[KODE BARANG]],[1]!KINONF15[[KDBRG]:[HRG_JLMT_CTN+PPN]],18,0),0)</f>
        <v>0</v>
      </c>
      <c r="R49" t="s">
        <v>2555</v>
      </c>
      <c r="S49" t="s">
        <v>851</v>
      </c>
      <c r="T49">
        <v>0</v>
      </c>
      <c r="U49">
        <v>0</v>
      </c>
      <c r="V49">
        <v>0</v>
      </c>
      <c r="W49">
        <v>0</v>
      </c>
    </row>
    <row r="50" spans="1:23">
      <c r="A50" t="s">
        <v>1135</v>
      </c>
      <c r="B50" t="s">
        <v>1136</v>
      </c>
      <c r="C50">
        <v>36</v>
      </c>
      <c r="D50">
        <f>IFERROR(VLOOKUP(Fix_Mapping[[#This Row],[KODE BARANG]],[1]!KINONF15[[KDBRG]:[HRG_JLMT_CTN+PPN]],5,0),0)</f>
        <v>0</v>
      </c>
      <c r="E50" t="s">
        <v>2315</v>
      </c>
      <c r="F50">
        <f>IFERROR(VLOOKUP(Fix_Mapping[[#This Row],[KODE BARANG]],[1]!KINONF15[[KDBRG]:[HRG_JLMT_CTN+PPN]],7,0),0)</f>
        <v>0</v>
      </c>
      <c r="G50">
        <f>IFERROR(VLOOKUP(Fix_Mapping[[#This Row],[KODE BARANG]],[1]!KINONF15[[KDBRG]:[HRG_JLMT_CTN+PPN]],8,0),0)</f>
        <v>0</v>
      </c>
      <c r="H50">
        <f>IFERROR(VLOOKUP(Fix_Mapping[[#This Row],[KODE BARANG]],[1]!KINONF15[[KDBRG]:[HRG_JLMT_CTN+PPN]],9,0),0)</f>
        <v>0</v>
      </c>
      <c r="I50">
        <f>IFERROR(VLOOKUP(Fix_Mapping[[#This Row],[KODE BARANG]],[1]!KINONF15[[KDBRG]:[HRG_JLMT_CTN+PPN]],10,0),0)</f>
        <v>0</v>
      </c>
      <c r="J50">
        <f>IFERROR(VLOOKUP(Fix_Mapping[[#This Row],[KODE BARANG]],[1]!KINONF15[[KDBRG]:[HRG_JLMT_CTN+PPN]],11,0),0)</f>
        <v>0</v>
      </c>
      <c r="K50">
        <f>IFERROR(VLOOKUP(Fix_Mapping[[#This Row],[KODE BARANG]],[1]!KINONF15[[KDBRG]:[HRG_JLMT_CTN+PPN]],12,0),0)</f>
        <v>0</v>
      </c>
      <c r="L50">
        <f>IFERROR(VLOOKUP(Fix_Mapping[[#This Row],[KODE BARANG]],[1]!KINONF15[[KDBRG]:[HRG_JLMT_CTN+PPN]],13,0),0)</f>
        <v>0</v>
      </c>
      <c r="M50">
        <f>IFERROR(VLOOKUP(Fix_Mapping[[#This Row],[KODE BARANG]],[1]!KINONF15[[KDBRG]:[HRG_JLMT_CTN+PPN]],14,0),0)</f>
        <v>0</v>
      </c>
      <c r="N50">
        <f>IFERROR(VLOOKUP(Fix_Mapping[[#This Row],[KODE BARANG]],[1]!KINONF15[[KDBRG]:[HRG_JLMT_CTN+PPN]],15,0),0)</f>
        <v>0</v>
      </c>
      <c r="O50">
        <f>IFERROR(VLOOKUP(Fix_Mapping[[#This Row],[KODE BARANG]],[1]!KINONF15[[KDBRG]:[HRG_JLMT_CTN+PPN]],16,0),0)</f>
        <v>0</v>
      </c>
      <c r="P50">
        <f>IFERROR(VLOOKUP(Fix_Mapping[[#This Row],[KODE BARANG]],[1]!KINONF15[[KDBRG]:[HRG_JLMT_CTN+PPN]],17,0),0)</f>
        <v>0</v>
      </c>
      <c r="Q50">
        <f>IFERROR(VLOOKUP(Fix_Mapping[[#This Row],[KODE BARANG]],[1]!KINONF15[[KDBRG]:[HRG_JLMT_CTN+PPN]],18,0),0)</f>
        <v>0</v>
      </c>
      <c r="R50" t="s">
        <v>2555</v>
      </c>
      <c r="S50" t="s">
        <v>852</v>
      </c>
      <c r="T50">
        <v>0</v>
      </c>
      <c r="U50">
        <v>0</v>
      </c>
      <c r="V50">
        <v>0</v>
      </c>
      <c r="W50">
        <v>0</v>
      </c>
    </row>
    <row r="51" spans="1:23">
      <c r="A51" t="s">
        <v>1137</v>
      </c>
      <c r="B51" t="s">
        <v>1138</v>
      </c>
      <c r="C51">
        <v>36</v>
      </c>
      <c r="D51">
        <f>IFERROR(VLOOKUP(Fix_Mapping[[#This Row],[KODE BARANG]],[1]!KINONF15[[KDBRG]:[HRG_JLMT_CTN+PPN]],5,0),0)</f>
        <v>0</v>
      </c>
      <c r="E51" t="s">
        <v>2315</v>
      </c>
      <c r="F51">
        <f>IFERROR(VLOOKUP(Fix_Mapping[[#This Row],[KODE BARANG]],[1]!KINONF15[[KDBRG]:[HRG_JLMT_CTN+PPN]],7,0),0)</f>
        <v>0</v>
      </c>
      <c r="G51">
        <f>IFERROR(VLOOKUP(Fix_Mapping[[#This Row],[KODE BARANG]],[1]!KINONF15[[KDBRG]:[HRG_JLMT_CTN+PPN]],8,0),0)</f>
        <v>0</v>
      </c>
      <c r="H51">
        <f>IFERROR(VLOOKUP(Fix_Mapping[[#This Row],[KODE BARANG]],[1]!KINONF15[[KDBRG]:[HRG_JLMT_CTN+PPN]],9,0),0)</f>
        <v>0</v>
      </c>
      <c r="I51">
        <f>IFERROR(VLOOKUP(Fix_Mapping[[#This Row],[KODE BARANG]],[1]!KINONF15[[KDBRG]:[HRG_JLMT_CTN+PPN]],10,0),0)</f>
        <v>0</v>
      </c>
      <c r="J51">
        <f>IFERROR(VLOOKUP(Fix_Mapping[[#This Row],[KODE BARANG]],[1]!KINONF15[[KDBRG]:[HRG_JLMT_CTN+PPN]],11,0),0)</f>
        <v>0</v>
      </c>
      <c r="K51">
        <f>IFERROR(VLOOKUP(Fix_Mapping[[#This Row],[KODE BARANG]],[1]!KINONF15[[KDBRG]:[HRG_JLMT_CTN+PPN]],12,0),0)</f>
        <v>0</v>
      </c>
      <c r="L51">
        <f>IFERROR(VLOOKUP(Fix_Mapping[[#This Row],[KODE BARANG]],[1]!KINONF15[[KDBRG]:[HRG_JLMT_CTN+PPN]],13,0),0)</f>
        <v>0</v>
      </c>
      <c r="M51">
        <f>IFERROR(VLOOKUP(Fix_Mapping[[#This Row],[KODE BARANG]],[1]!KINONF15[[KDBRG]:[HRG_JLMT_CTN+PPN]],14,0),0)</f>
        <v>0</v>
      </c>
      <c r="N51">
        <f>IFERROR(VLOOKUP(Fix_Mapping[[#This Row],[KODE BARANG]],[1]!KINONF15[[KDBRG]:[HRG_JLMT_CTN+PPN]],15,0),0)</f>
        <v>0</v>
      </c>
      <c r="O51">
        <f>IFERROR(VLOOKUP(Fix_Mapping[[#This Row],[KODE BARANG]],[1]!KINONF15[[KDBRG]:[HRG_JLMT_CTN+PPN]],16,0),0)</f>
        <v>0</v>
      </c>
      <c r="P51">
        <f>IFERROR(VLOOKUP(Fix_Mapping[[#This Row],[KODE BARANG]],[1]!KINONF15[[KDBRG]:[HRG_JLMT_CTN+PPN]],17,0),0)</f>
        <v>0</v>
      </c>
      <c r="Q51">
        <f>IFERROR(VLOOKUP(Fix_Mapping[[#This Row],[KODE BARANG]],[1]!KINONF15[[KDBRG]:[HRG_JLMT_CTN+PPN]],18,0),0)</f>
        <v>0</v>
      </c>
      <c r="R51" t="s">
        <v>2555</v>
      </c>
      <c r="S51" t="s">
        <v>853</v>
      </c>
      <c r="T51">
        <v>0</v>
      </c>
      <c r="U51">
        <v>0</v>
      </c>
      <c r="V51">
        <v>0</v>
      </c>
      <c r="W51">
        <v>0</v>
      </c>
    </row>
    <row r="52" spans="1:23">
      <c r="A52" t="s">
        <v>1139</v>
      </c>
      <c r="B52" t="s">
        <v>1140</v>
      </c>
      <c r="C52">
        <v>36</v>
      </c>
      <c r="D52">
        <f>IFERROR(VLOOKUP(Fix_Mapping[[#This Row],[KODE BARANG]],[1]!KINONF15[[KDBRG]:[HRG_JLMT_CTN+PPN]],5,0),0)</f>
        <v>0</v>
      </c>
      <c r="E52" t="s">
        <v>2315</v>
      </c>
      <c r="F52">
        <f>IFERROR(VLOOKUP(Fix_Mapping[[#This Row],[KODE BARANG]],[1]!KINONF15[[KDBRG]:[HRG_JLMT_CTN+PPN]],7,0),0)</f>
        <v>0</v>
      </c>
      <c r="G52">
        <f>IFERROR(VLOOKUP(Fix_Mapping[[#This Row],[KODE BARANG]],[1]!KINONF15[[KDBRG]:[HRG_JLMT_CTN+PPN]],8,0),0)</f>
        <v>0</v>
      </c>
      <c r="H52">
        <f>IFERROR(VLOOKUP(Fix_Mapping[[#This Row],[KODE BARANG]],[1]!KINONF15[[KDBRG]:[HRG_JLMT_CTN+PPN]],9,0),0)</f>
        <v>0</v>
      </c>
      <c r="I52">
        <f>IFERROR(VLOOKUP(Fix_Mapping[[#This Row],[KODE BARANG]],[1]!KINONF15[[KDBRG]:[HRG_JLMT_CTN+PPN]],10,0),0)</f>
        <v>0</v>
      </c>
      <c r="J52">
        <f>IFERROR(VLOOKUP(Fix_Mapping[[#This Row],[KODE BARANG]],[1]!KINONF15[[KDBRG]:[HRG_JLMT_CTN+PPN]],11,0),0)</f>
        <v>0</v>
      </c>
      <c r="K52">
        <f>IFERROR(VLOOKUP(Fix_Mapping[[#This Row],[KODE BARANG]],[1]!KINONF15[[KDBRG]:[HRG_JLMT_CTN+PPN]],12,0),0)</f>
        <v>0</v>
      </c>
      <c r="L52">
        <f>IFERROR(VLOOKUP(Fix_Mapping[[#This Row],[KODE BARANG]],[1]!KINONF15[[KDBRG]:[HRG_JLMT_CTN+PPN]],13,0),0)</f>
        <v>0</v>
      </c>
      <c r="M52">
        <f>IFERROR(VLOOKUP(Fix_Mapping[[#This Row],[KODE BARANG]],[1]!KINONF15[[KDBRG]:[HRG_JLMT_CTN+PPN]],14,0),0)</f>
        <v>0</v>
      </c>
      <c r="N52">
        <f>IFERROR(VLOOKUP(Fix_Mapping[[#This Row],[KODE BARANG]],[1]!KINONF15[[KDBRG]:[HRG_JLMT_CTN+PPN]],15,0),0)</f>
        <v>0</v>
      </c>
      <c r="O52">
        <f>IFERROR(VLOOKUP(Fix_Mapping[[#This Row],[KODE BARANG]],[1]!KINONF15[[KDBRG]:[HRG_JLMT_CTN+PPN]],16,0),0)</f>
        <v>0</v>
      </c>
      <c r="P52">
        <f>IFERROR(VLOOKUP(Fix_Mapping[[#This Row],[KODE BARANG]],[1]!KINONF15[[KDBRG]:[HRG_JLMT_CTN+PPN]],17,0),0)</f>
        <v>0</v>
      </c>
      <c r="Q52">
        <f>IFERROR(VLOOKUP(Fix_Mapping[[#This Row],[KODE BARANG]],[1]!KINONF15[[KDBRG]:[HRG_JLMT_CTN+PPN]],18,0),0)</f>
        <v>0</v>
      </c>
      <c r="R52" t="s">
        <v>2555</v>
      </c>
      <c r="S52" t="s">
        <v>854</v>
      </c>
      <c r="T52">
        <v>0</v>
      </c>
      <c r="U52">
        <v>0</v>
      </c>
      <c r="V52">
        <v>0</v>
      </c>
      <c r="W52">
        <v>0</v>
      </c>
    </row>
    <row r="53" spans="1:23">
      <c r="A53" t="s">
        <v>2358</v>
      </c>
      <c r="B53" t="s">
        <v>1141</v>
      </c>
      <c r="C53">
        <v>36</v>
      </c>
      <c r="D53">
        <f>IFERROR(VLOOKUP(Fix_Mapping[[#This Row],[KODE BARANG]],[1]!KINONF15[[KDBRG]:[HRG_JLMT_CTN+PPN]],5,0),0)</f>
        <v>0</v>
      </c>
      <c r="E53" t="s">
        <v>2307</v>
      </c>
      <c r="F53">
        <f>IFERROR(VLOOKUP(Fix_Mapping[[#This Row],[KODE BARANG]],[1]!KINONF15[[KDBRG]:[HRG_JLMT_CTN+PPN]],7,0),0)</f>
        <v>0</v>
      </c>
      <c r="G53">
        <f>IFERROR(VLOOKUP(Fix_Mapping[[#This Row],[KODE BARANG]],[1]!KINONF15[[KDBRG]:[HRG_JLMT_CTN+PPN]],8,0),0)</f>
        <v>0</v>
      </c>
      <c r="H53">
        <f>IFERROR(VLOOKUP(Fix_Mapping[[#This Row],[KODE BARANG]],[1]!KINONF15[[KDBRG]:[HRG_JLMT_CTN+PPN]],9,0),0)</f>
        <v>0</v>
      </c>
      <c r="I53">
        <f>IFERROR(VLOOKUP(Fix_Mapping[[#This Row],[KODE BARANG]],[1]!KINONF15[[KDBRG]:[HRG_JLMT_CTN+PPN]],10,0),0)</f>
        <v>0</v>
      </c>
      <c r="J53">
        <f>IFERROR(VLOOKUP(Fix_Mapping[[#This Row],[KODE BARANG]],[1]!KINONF15[[KDBRG]:[HRG_JLMT_CTN+PPN]],11,0),0)</f>
        <v>0</v>
      </c>
      <c r="K53">
        <f>IFERROR(VLOOKUP(Fix_Mapping[[#This Row],[KODE BARANG]],[1]!KINONF15[[KDBRG]:[HRG_JLMT_CTN+PPN]],12,0),0)</f>
        <v>0</v>
      </c>
      <c r="L53">
        <f>IFERROR(VLOOKUP(Fix_Mapping[[#This Row],[KODE BARANG]],[1]!KINONF15[[KDBRG]:[HRG_JLMT_CTN+PPN]],13,0),0)</f>
        <v>0</v>
      </c>
      <c r="M53">
        <f>IFERROR(VLOOKUP(Fix_Mapping[[#This Row],[KODE BARANG]],[1]!KINONF15[[KDBRG]:[HRG_JLMT_CTN+PPN]],14,0),0)</f>
        <v>0</v>
      </c>
      <c r="N53">
        <f>IFERROR(VLOOKUP(Fix_Mapping[[#This Row],[KODE BARANG]],[1]!KINONF15[[KDBRG]:[HRG_JLMT_CTN+PPN]],15,0),0)</f>
        <v>0</v>
      </c>
      <c r="O53">
        <f>IFERROR(VLOOKUP(Fix_Mapping[[#This Row],[KODE BARANG]],[1]!KINONF15[[KDBRG]:[HRG_JLMT_CTN+PPN]],16,0),0)</f>
        <v>0</v>
      </c>
      <c r="P53">
        <f>IFERROR(VLOOKUP(Fix_Mapping[[#This Row],[KODE BARANG]],[1]!KINONF15[[KDBRG]:[HRG_JLMT_CTN+PPN]],17,0),0)</f>
        <v>0</v>
      </c>
      <c r="Q53">
        <f>IFERROR(VLOOKUP(Fix_Mapping[[#This Row],[KODE BARANG]],[1]!KINONF15[[KDBRG]:[HRG_JLMT_CTN+PPN]],18,0),0)</f>
        <v>0</v>
      </c>
      <c r="R53" t="s">
        <v>2555</v>
      </c>
      <c r="S53" t="s">
        <v>812</v>
      </c>
      <c r="T53">
        <v>0</v>
      </c>
      <c r="U53">
        <v>0</v>
      </c>
      <c r="V53">
        <v>0</v>
      </c>
      <c r="W53">
        <v>0</v>
      </c>
    </row>
    <row r="54" spans="1:23">
      <c r="A54" t="s">
        <v>2359</v>
      </c>
      <c r="B54" t="s">
        <v>1142</v>
      </c>
      <c r="C54">
        <v>36</v>
      </c>
      <c r="D54">
        <f>IFERROR(VLOOKUP(Fix_Mapping[[#This Row],[KODE BARANG]],[1]!KINONF15[[KDBRG]:[HRG_JLMT_CTN+PPN]],5,0),0)</f>
        <v>0</v>
      </c>
      <c r="E54" t="s">
        <v>2307</v>
      </c>
      <c r="F54">
        <f>IFERROR(VLOOKUP(Fix_Mapping[[#This Row],[KODE BARANG]],[1]!KINONF15[[KDBRG]:[HRG_JLMT_CTN+PPN]],7,0),0)</f>
        <v>0</v>
      </c>
      <c r="G54">
        <f>IFERROR(VLOOKUP(Fix_Mapping[[#This Row],[KODE BARANG]],[1]!KINONF15[[KDBRG]:[HRG_JLMT_CTN+PPN]],8,0),0)</f>
        <v>0</v>
      </c>
      <c r="H54">
        <f>IFERROR(VLOOKUP(Fix_Mapping[[#This Row],[KODE BARANG]],[1]!KINONF15[[KDBRG]:[HRG_JLMT_CTN+PPN]],9,0),0)</f>
        <v>0</v>
      </c>
      <c r="I54">
        <f>IFERROR(VLOOKUP(Fix_Mapping[[#This Row],[KODE BARANG]],[1]!KINONF15[[KDBRG]:[HRG_JLMT_CTN+PPN]],10,0),0)</f>
        <v>0</v>
      </c>
      <c r="J54">
        <f>IFERROR(VLOOKUP(Fix_Mapping[[#This Row],[KODE BARANG]],[1]!KINONF15[[KDBRG]:[HRG_JLMT_CTN+PPN]],11,0),0)</f>
        <v>0</v>
      </c>
      <c r="K54">
        <f>IFERROR(VLOOKUP(Fix_Mapping[[#This Row],[KODE BARANG]],[1]!KINONF15[[KDBRG]:[HRG_JLMT_CTN+PPN]],12,0),0)</f>
        <v>0</v>
      </c>
      <c r="L54">
        <f>IFERROR(VLOOKUP(Fix_Mapping[[#This Row],[KODE BARANG]],[1]!KINONF15[[KDBRG]:[HRG_JLMT_CTN+PPN]],13,0),0)</f>
        <v>0</v>
      </c>
      <c r="M54">
        <f>IFERROR(VLOOKUP(Fix_Mapping[[#This Row],[KODE BARANG]],[1]!KINONF15[[KDBRG]:[HRG_JLMT_CTN+PPN]],14,0),0)</f>
        <v>0</v>
      </c>
      <c r="N54">
        <f>IFERROR(VLOOKUP(Fix_Mapping[[#This Row],[KODE BARANG]],[1]!KINONF15[[KDBRG]:[HRG_JLMT_CTN+PPN]],15,0),0)</f>
        <v>0</v>
      </c>
      <c r="O54">
        <f>IFERROR(VLOOKUP(Fix_Mapping[[#This Row],[KODE BARANG]],[1]!KINONF15[[KDBRG]:[HRG_JLMT_CTN+PPN]],16,0),0)</f>
        <v>0</v>
      </c>
      <c r="P54">
        <f>IFERROR(VLOOKUP(Fix_Mapping[[#This Row],[KODE BARANG]],[1]!KINONF15[[KDBRG]:[HRG_JLMT_CTN+PPN]],17,0),0)</f>
        <v>0</v>
      </c>
      <c r="Q54">
        <f>IFERROR(VLOOKUP(Fix_Mapping[[#This Row],[KODE BARANG]],[1]!KINONF15[[KDBRG]:[HRG_JLMT_CTN+PPN]],18,0),0)</f>
        <v>0</v>
      </c>
      <c r="R54" t="s">
        <v>2555</v>
      </c>
      <c r="S54" t="s">
        <v>813</v>
      </c>
      <c r="T54">
        <v>0</v>
      </c>
      <c r="U54">
        <v>0</v>
      </c>
      <c r="V54">
        <v>0</v>
      </c>
      <c r="W54">
        <v>0</v>
      </c>
    </row>
    <row r="55" spans="1:23">
      <c r="A55" t="s">
        <v>2360</v>
      </c>
      <c r="B55" t="s">
        <v>1143</v>
      </c>
      <c r="C55">
        <v>36</v>
      </c>
      <c r="D55">
        <f>IFERROR(VLOOKUP(Fix_Mapping[[#This Row],[KODE BARANG]],[1]!KINONF15[[KDBRG]:[HRG_JLMT_CTN+PPN]],5,0),0)</f>
        <v>0</v>
      </c>
      <c r="E55" t="s">
        <v>2307</v>
      </c>
      <c r="F55">
        <f>IFERROR(VLOOKUP(Fix_Mapping[[#This Row],[KODE BARANG]],[1]!KINONF15[[KDBRG]:[HRG_JLMT_CTN+PPN]],7,0),0)</f>
        <v>0</v>
      </c>
      <c r="G55">
        <f>IFERROR(VLOOKUP(Fix_Mapping[[#This Row],[KODE BARANG]],[1]!KINONF15[[KDBRG]:[HRG_JLMT_CTN+PPN]],8,0),0)</f>
        <v>0</v>
      </c>
      <c r="H55">
        <f>IFERROR(VLOOKUP(Fix_Mapping[[#This Row],[KODE BARANG]],[1]!KINONF15[[KDBRG]:[HRG_JLMT_CTN+PPN]],9,0),0)</f>
        <v>0</v>
      </c>
      <c r="I55">
        <f>IFERROR(VLOOKUP(Fix_Mapping[[#This Row],[KODE BARANG]],[1]!KINONF15[[KDBRG]:[HRG_JLMT_CTN+PPN]],10,0),0)</f>
        <v>0</v>
      </c>
      <c r="J55">
        <f>IFERROR(VLOOKUP(Fix_Mapping[[#This Row],[KODE BARANG]],[1]!KINONF15[[KDBRG]:[HRG_JLMT_CTN+PPN]],11,0),0)</f>
        <v>0</v>
      </c>
      <c r="K55">
        <f>IFERROR(VLOOKUP(Fix_Mapping[[#This Row],[KODE BARANG]],[1]!KINONF15[[KDBRG]:[HRG_JLMT_CTN+PPN]],12,0),0)</f>
        <v>0</v>
      </c>
      <c r="L55">
        <f>IFERROR(VLOOKUP(Fix_Mapping[[#This Row],[KODE BARANG]],[1]!KINONF15[[KDBRG]:[HRG_JLMT_CTN+PPN]],13,0),0)</f>
        <v>0</v>
      </c>
      <c r="M55">
        <f>IFERROR(VLOOKUP(Fix_Mapping[[#This Row],[KODE BARANG]],[1]!KINONF15[[KDBRG]:[HRG_JLMT_CTN+PPN]],14,0),0)</f>
        <v>0</v>
      </c>
      <c r="N55">
        <f>IFERROR(VLOOKUP(Fix_Mapping[[#This Row],[KODE BARANG]],[1]!KINONF15[[KDBRG]:[HRG_JLMT_CTN+PPN]],15,0),0)</f>
        <v>0</v>
      </c>
      <c r="O55">
        <f>IFERROR(VLOOKUP(Fix_Mapping[[#This Row],[KODE BARANG]],[1]!KINONF15[[KDBRG]:[HRG_JLMT_CTN+PPN]],16,0),0)</f>
        <v>0</v>
      </c>
      <c r="P55">
        <f>IFERROR(VLOOKUP(Fix_Mapping[[#This Row],[KODE BARANG]],[1]!KINONF15[[KDBRG]:[HRG_JLMT_CTN+PPN]],17,0),0)</f>
        <v>0</v>
      </c>
      <c r="Q55">
        <f>IFERROR(VLOOKUP(Fix_Mapping[[#This Row],[KODE BARANG]],[1]!KINONF15[[KDBRG]:[HRG_JLMT_CTN+PPN]],18,0),0)</f>
        <v>0</v>
      </c>
      <c r="R55" t="s">
        <v>2555</v>
      </c>
      <c r="S55" t="s">
        <v>814</v>
      </c>
      <c r="T55">
        <v>0</v>
      </c>
      <c r="U55">
        <v>0</v>
      </c>
      <c r="V55">
        <v>0</v>
      </c>
      <c r="W55">
        <v>0</v>
      </c>
    </row>
    <row r="56" spans="1:23">
      <c r="A56" t="s">
        <v>2361</v>
      </c>
      <c r="B56" t="s">
        <v>1144</v>
      </c>
      <c r="C56">
        <v>36</v>
      </c>
      <c r="D56">
        <f>IFERROR(VLOOKUP(Fix_Mapping[[#This Row],[KODE BARANG]],[1]!KINONF15[[KDBRG]:[HRG_JLMT_CTN+PPN]],5,0),0)</f>
        <v>0</v>
      </c>
      <c r="E56" t="s">
        <v>2307</v>
      </c>
      <c r="F56">
        <f>IFERROR(VLOOKUP(Fix_Mapping[[#This Row],[KODE BARANG]],[1]!KINONF15[[KDBRG]:[HRG_JLMT_CTN+PPN]],7,0),0)</f>
        <v>0</v>
      </c>
      <c r="G56">
        <f>IFERROR(VLOOKUP(Fix_Mapping[[#This Row],[KODE BARANG]],[1]!KINONF15[[KDBRG]:[HRG_JLMT_CTN+PPN]],8,0),0)</f>
        <v>0</v>
      </c>
      <c r="H56">
        <f>IFERROR(VLOOKUP(Fix_Mapping[[#This Row],[KODE BARANG]],[1]!KINONF15[[KDBRG]:[HRG_JLMT_CTN+PPN]],9,0),0)</f>
        <v>0</v>
      </c>
      <c r="I56">
        <f>IFERROR(VLOOKUP(Fix_Mapping[[#This Row],[KODE BARANG]],[1]!KINONF15[[KDBRG]:[HRG_JLMT_CTN+PPN]],10,0),0)</f>
        <v>0</v>
      </c>
      <c r="J56">
        <f>IFERROR(VLOOKUP(Fix_Mapping[[#This Row],[KODE BARANG]],[1]!KINONF15[[KDBRG]:[HRG_JLMT_CTN+PPN]],11,0),0)</f>
        <v>0</v>
      </c>
      <c r="K56">
        <f>IFERROR(VLOOKUP(Fix_Mapping[[#This Row],[KODE BARANG]],[1]!KINONF15[[KDBRG]:[HRG_JLMT_CTN+PPN]],12,0),0)</f>
        <v>0</v>
      </c>
      <c r="L56">
        <f>IFERROR(VLOOKUP(Fix_Mapping[[#This Row],[KODE BARANG]],[1]!KINONF15[[KDBRG]:[HRG_JLMT_CTN+PPN]],13,0),0)</f>
        <v>0</v>
      </c>
      <c r="M56">
        <f>IFERROR(VLOOKUP(Fix_Mapping[[#This Row],[KODE BARANG]],[1]!KINONF15[[KDBRG]:[HRG_JLMT_CTN+PPN]],14,0),0)</f>
        <v>0</v>
      </c>
      <c r="N56">
        <f>IFERROR(VLOOKUP(Fix_Mapping[[#This Row],[KODE BARANG]],[1]!KINONF15[[KDBRG]:[HRG_JLMT_CTN+PPN]],15,0),0)</f>
        <v>0</v>
      </c>
      <c r="O56">
        <f>IFERROR(VLOOKUP(Fix_Mapping[[#This Row],[KODE BARANG]],[1]!KINONF15[[KDBRG]:[HRG_JLMT_CTN+PPN]],16,0),0)</f>
        <v>0</v>
      </c>
      <c r="P56">
        <f>IFERROR(VLOOKUP(Fix_Mapping[[#This Row],[KODE BARANG]],[1]!KINONF15[[KDBRG]:[HRG_JLMT_CTN+PPN]],17,0),0)</f>
        <v>0</v>
      </c>
      <c r="Q56">
        <f>IFERROR(VLOOKUP(Fix_Mapping[[#This Row],[KODE BARANG]],[1]!KINONF15[[KDBRG]:[HRG_JLMT_CTN+PPN]],18,0),0)</f>
        <v>0</v>
      </c>
      <c r="R56" t="s">
        <v>2555</v>
      </c>
      <c r="S56" t="s">
        <v>815</v>
      </c>
      <c r="T56">
        <v>0</v>
      </c>
      <c r="U56">
        <v>0</v>
      </c>
      <c r="V56">
        <v>0</v>
      </c>
      <c r="W56">
        <v>0</v>
      </c>
    </row>
    <row r="57" spans="1:23">
      <c r="A57" t="s">
        <v>2362</v>
      </c>
      <c r="B57" t="s">
        <v>1145</v>
      </c>
      <c r="C57">
        <v>36</v>
      </c>
      <c r="D57">
        <f>IFERROR(VLOOKUP(Fix_Mapping[[#This Row],[KODE BARANG]],[1]!KINONF15[[KDBRG]:[HRG_JLMT_CTN+PPN]],5,0),0)</f>
        <v>0</v>
      </c>
      <c r="E57" t="s">
        <v>2307</v>
      </c>
      <c r="F57">
        <f>IFERROR(VLOOKUP(Fix_Mapping[[#This Row],[KODE BARANG]],[1]!KINONF15[[KDBRG]:[HRG_JLMT_CTN+PPN]],7,0),0)</f>
        <v>0</v>
      </c>
      <c r="G57">
        <f>IFERROR(VLOOKUP(Fix_Mapping[[#This Row],[KODE BARANG]],[1]!KINONF15[[KDBRG]:[HRG_JLMT_CTN+PPN]],8,0),0)</f>
        <v>0</v>
      </c>
      <c r="H57">
        <f>IFERROR(VLOOKUP(Fix_Mapping[[#This Row],[KODE BARANG]],[1]!KINONF15[[KDBRG]:[HRG_JLMT_CTN+PPN]],9,0),0)</f>
        <v>0</v>
      </c>
      <c r="I57">
        <f>IFERROR(VLOOKUP(Fix_Mapping[[#This Row],[KODE BARANG]],[1]!KINONF15[[KDBRG]:[HRG_JLMT_CTN+PPN]],10,0),0)</f>
        <v>0</v>
      </c>
      <c r="J57">
        <f>IFERROR(VLOOKUP(Fix_Mapping[[#This Row],[KODE BARANG]],[1]!KINONF15[[KDBRG]:[HRG_JLMT_CTN+PPN]],11,0),0)</f>
        <v>0</v>
      </c>
      <c r="K57">
        <f>IFERROR(VLOOKUP(Fix_Mapping[[#This Row],[KODE BARANG]],[1]!KINONF15[[KDBRG]:[HRG_JLMT_CTN+PPN]],12,0),0)</f>
        <v>0</v>
      </c>
      <c r="L57">
        <f>IFERROR(VLOOKUP(Fix_Mapping[[#This Row],[KODE BARANG]],[1]!KINONF15[[KDBRG]:[HRG_JLMT_CTN+PPN]],13,0),0)</f>
        <v>0</v>
      </c>
      <c r="M57">
        <f>IFERROR(VLOOKUP(Fix_Mapping[[#This Row],[KODE BARANG]],[1]!KINONF15[[KDBRG]:[HRG_JLMT_CTN+PPN]],14,0),0)</f>
        <v>0</v>
      </c>
      <c r="N57">
        <f>IFERROR(VLOOKUP(Fix_Mapping[[#This Row],[KODE BARANG]],[1]!KINONF15[[KDBRG]:[HRG_JLMT_CTN+PPN]],15,0),0)</f>
        <v>0</v>
      </c>
      <c r="O57">
        <f>IFERROR(VLOOKUP(Fix_Mapping[[#This Row],[KODE BARANG]],[1]!KINONF15[[KDBRG]:[HRG_JLMT_CTN+PPN]],16,0),0)</f>
        <v>0</v>
      </c>
      <c r="P57">
        <f>IFERROR(VLOOKUP(Fix_Mapping[[#This Row],[KODE BARANG]],[1]!KINONF15[[KDBRG]:[HRG_JLMT_CTN+PPN]],17,0),0)</f>
        <v>0</v>
      </c>
      <c r="Q57">
        <f>IFERROR(VLOOKUP(Fix_Mapping[[#This Row],[KODE BARANG]],[1]!KINONF15[[KDBRG]:[HRG_JLMT_CTN+PPN]],18,0),0)</f>
        <v>0</v>
      </c>
      <c r="R57" t="s">
        <v>2555</v>
      </c>
      <c r="S57" t="s">
        <v>816</v>
      </c>
      <c r="T57">
        <v>0</v>
      </c>
      <c r="U57">
        <v>0</v>
      </c>
      <c r="V57">
        <v>0</v>
      </c>
      <c r="W57">
        <v>0</v>
      </c>
    </row>
    <row r="58" spans="1:23">
      <c r="A58" t="s">
        <v>2363</v>
      </c>
      <c r="B58" t="s">
        <v>1146</v>
      </c>
      <c r="C58">
        <v>36</v>
      </c>
      <c r="D58">
        <f>IFERROR(VLOOKUP(Fix_Mapping[[#This Row],[KODE BARANG]],[1]!KINONF15[[KDBRG]:[HRG_JLMT_CTN+PPN]],5,0),0)</f>
        <v>0</v>
      </c>
      <c r="E58" t="s">
        <v>2307</v>
      </c>
      <c r="F58">
        <f>IFERROR(VLOOKUP(Fix_Mapping[[#This Row],[KODE BARANG]],[1]!KINONF15[[KDBRG]:[HRG_JLMT_CTN+PPN]],7,0),0)</f>
        <v>0</v>
      </c>
      <c r="G58">
        <f>IFERROR(VLOOKUP(Fix_Mapping[[#This Row],[KODE BARANG]],[1]!KINONF15[[KDBRG]:[HRG_JLMT_CTN+PPN]],8,0),0)</f>
        <v>0</v>
      </c>
      <c r="H58">
        <f>IFERROR(VLOOKUP(Fix_Mapping[[#This Row],[KODE BARANG]],[1]!KINONF15[[KDBRG]:[HRG_JLMT_CTN+PPN]],9,0),0)</f>
        <v>0</v>
      </c>
      <c r="I58">
        <f>IFERROR(VLOOKUP(Fix_Mapping[[#This Row],[KODE BARANG]],[1]!KINONF15[[KDBRG]:[HRG_JLMT_CTN+PPN]],10,0),0)</f>
        <v>0</v>
      </c>
      <c r="J58">
        <f>IFERROR(VLOOKUP(Fix_Mapping[[#This Row],[KODE BARANG]],[1]!KINONF15[[KDBRG]:[HRG_JLMT_CTN+PPN]],11,0),0)</f>
        <v>0</v>
      </c>
      <c r="K58">
        <f>IFERROR(VLOOKUP(Fix_Mapping[[#This Row],[KODE BARANG]],[1]!KINONF15[[KDBRG]:[HRG_JLMT_CTN+PPN]],12,0),0)</f>
        <v>0</v>
      </c>
      <c r="L58">
        <f>IFERROR(VLOOKUP(Fix_Mapping[[#This Row],[KODE BARANG]],[1]!KINONF15[[KDBRG]:[HRG_JLMT_CTN+PPN]],13,0),0)</f>
        <v>0</v>
      </c>
      <c r="M58">
        <f>IFERROR(VLOOKUP(Fix_Mapping[[#This Row],[KODE BARANG]],[1]!KINONF15[[KDBRG]:[HRG_JLMT_CTN+PPN]],14,0),0)</f>
        <v>0</v>
      </c>
      <c r="N58">
        <f>IFERROR(VLOOKUP(Fix_Mapping[[#This Row],[KODE BARANG]],[1]!KINONF15[[KDBRG]:[HRG_JLMT_CTN+PPN]],15,0),0)</f>
        <v>0</v>
      </c>
      <c r="O58">
        <f>IFERROR(VLOOKUP(Fix_Mapping[[#This Row],[KODE BARANG]],[1]!KINONF15[[KDBRG]:[HRG_JLMT_CTN+PPN]],16,0),0)</f>
        <v>0</v>
      </c>
      <c r="P58">
        <f>IFERROR(VLOOKUP(Fix_Mapping[[#This Row],[KODE BARANG]],[1]!KINONF15[[KDBRG]:[HRG_JLMT_CTN+PPN]],17,0),0)</f>
        <v>0</v>
      </c>
      <c r="Q58">
        <f>IFERROR(VLOOKUP(Fix_Mapping[[#This Row],[KODE BARANG]],[1]!KINONF15[[KDBRG]:[HRG_JLMT_CTN+PPN]],18,0),0)</f>
        <v>0</v>
      </c>
      <c r="R58" t="s">
        <v>2555</v>
      </c>
      <c r="S58" t="s">
        <v>817</v>
      </c>
      <c r="T58">
        <v>0</v>
      </c>
      <c r="U58">
        <v>0</v>
      </c>
      <c r="V58">
        <v>0</v>
      </c>
      <c r="W58">
        <v>0</v>
      </c>
    </row>
    <row r="59" spans="1:23">
      <c r="A59" t="s">
        <v>2364</v>
      </c>
      <c r="B59" t="s">
        <v>1147</v>
      </c>
      <c r="C59">
        <v>36</v>
      </c>
      <c r="D59">
        <f>IFERROR(VLOOKUP(Fix_Mapping[[#This Row],[KODE BARANG]],[1]!KINONF15[[KDBRG]:[HRG_JLMT_CTN+PPN]],5,0),0)</f>
        <v>0</v>
      </c>
      <c r="E59" t="s">
        <v>2307</v>
      </c>
      <c r="F59">
        <f>IFERROR(VLOOKUP(Fix_Mapping[[#This Row],[KODE BARANG]],[1]!KINONF15[[KDBRG]:[HRG_JLMT_CTN+PPN]],7,0),0)</f>
        <v>0</v>
      </c>
      <c r="G59">
        <f>IFERROR(VLOOKUP(Fix_Mapping[[#This Row],[KODE BARANG]],[1]!KINONF15[[KDBRG]:[HRG_JLMT_CTN+PPN]],8,0),0)</f>
        <v>0</v>
      </c>
      <c r="H59">
        <f>IFERROR(VLOOKUP(Fix_Mapping[[#This Row],[KODE BARANG]],[1]!KINONF15[[KDBRG]:[HRG_JLMT_CTN+PPN]],9,0),0)</f>
        <v>0</v>
      </c>
      <c r="I59">
        <f>IFERROR(VLOOKUP(Fix_Mapping[[#This Row],[KODE BARANG]],[1]!KINONF15[[KDBRG]:[HRG_JLMT_CTN+PPN]],10,0),0)</f>
        <v>0</v>
      </c>
      <c r="J59">
        <f>IFERROR(VLOOKUP(Fix_Mapping[[#This Row],[KODE BARANG]],[1]!KINONF15[[KDBRG]:[HRG_JLMT_CTN+PPN]],11,0),0)</f>
        <v>0</v>
      </c>
      <c r="K59">
        <f>IFERROR(VLOOKUP(Fix_Mapping[[#This Row],[KODE BARANG]],[1]!KINONF15[[KDBRG]:[HRG_JLMT_CTN+PPN]],12,0),0)</f>
        <v>0</v>
      </c>
      <c r="L59">
        <f>IFERROR(VLOOKUP(Fix_Mapping[[#This Row],[KODE BARANG]],[1]!KINONF15[[KDBRG]:[HRG_JLMT_CTN+PPN]],13,0),0)</f>
        <v>0</v>
      </c>
      <c r="M59">
        <f>IFERROR(VLOOKUP(Fix_Mapping[[#This Row],[KODE BARANG]],[1]!KINONF15[[KDBRG]:[HRG_JLMT_CTN+PPN]],14,0),0)</f>
        <v>0</v>
      </c>
      <c r="N59">
        <f>IFERROR(VLOOKUP(Fix_Mapping[[#This Row],[KODE BARANG]],[1]!KINONF15[[KDBRG]:[HRG_JLMT_CTN+PPN]],15,0),0)</f>
        <v>0</v>
      </c>
      <c r="O59">
        <f>IFERROR(VLOOKUP(Fix_Mapping[[#This Row],[KODE BARANG]],[1]!KINONF15[[KDBRG]:[HRG_JLMT_CTN+PPN]],16,0),0)</f>
        <v>0</v>
      </c>
      <c r="P59">
        <f>IFERROR(VLOOKUP(Fix_Mapping[[#This Row],[KODE BARANG]],[1]!KINONF15[[KDBRG]:[HRG_JLMT_CTN+PPN]],17,0),0)</f>
        <v>0</v>
      </c>
      <c r="Q59">
        <f>IFERROR(VLOOKUP(Fix_Mapping[[#This Row],[KODE BARANG]],[1]!KINONF15[[KDBRG]:[HRG_JLMT_CTN+PPN]],18,0),0)</f>
        <v>0</v>
      </c>
      <c r="R59" t="s">
        <v>2555</v>
      </c>
      <c r="S59" t="s">
        <v>819</v>
      </c>
      <c r="T59" t="s">
        <v>818</v>
      </c>
      <c r="U59">
        <v>0</v>
      </c>
      <c r="V59">
        <v>0</v>
      </c>
      <c r="W59">
        <v>0</v>
      </c>
    </row>
    <row r="60" spans="1:23">
      <c r="A60" t="s">
        <v>1148</v>
      </c>
      <c r="B60" t="s">
        <v>2416</v>
      </c>
      <c r="C60">
        <v>24</v>
      </c>
      <c r="D60">
        <f>IFERROR(VLOOKUP(Fix_Mapping[[#This Row],[KODE BARANG]],[1]!KINONF15[[KDBRG]:[HRG_JLMT_CTN+PPN]],5,0),0)</f>
        <v>0</v>
      </c>
      <c r="E60" t="s">
        <v>2307</v>
      </c>
      <c r="F60">
        <f>IFERROR(VLOOKUP(Fix_Mapping[[#This Row],[KODE BARANG]],[1]!KINONF15[[KDBRG]:[HRG_JLMT_CTN+PPN]],7,0),0)</f>
        <v>0</v>
      </c>
      <c r="G60">
        <f>IFERROR(VLOOKUP(Fix_Mapping[[#This Row],[KODE BARANG]],[1]!KINONF15[[KDBRG]:[HRG_JLMT_CTN+PPN]],8,0),0)</f>
        <v>0</v>
      </c>
      <c r="H60">
        <f>IFERROR(VLOOKUP(Fix_Mapping[[#This Row],[KODE BARANG]],[1]!KINONF15[[KDBRG]:[HRG_JLMT_CTN+PPN]],9,0),0)</f>
        <v>0</v>
      </c>
      <c r="I60">
        <f>IFERROR(VLOOKUP(Fix_Mapping[[#This Row],[KODE BARANG]],[1]!KINONF15[[KDBRG]:[HRG_JLMT_CTN+PPN]],10,0),0)</f>
        <v>0</v>
      </c>
      <c r="J60">
        <f>IFERROR(VLOOKUP(Fix_Mapping[[#This Row],[KODE BARANG]],[1]!KINONF15[[KDBRG]:[HRG_JLMT_CTN+PPN]],11,0),0)</f>
        <v>0</v>
      </c>
      <c r="K60">
        <f>IFERROR(VLOOKUP(Fix_Mapping[[#This Row],[KODE BARANG]],[1]!KINONF15[[KDBRG]:[HRG_JLMT_CTN+PPN]],12,0),0)</f>
        <v>0</v>
      </c>
      <c r="L60">
        <f>IFERROR(VLOOKUP(Fix_Mapping[[#This Row],[KODE BARANG]],[1]!KINONF15[[KDBRG]:[HRG_JLMT_CTN+PPN]],13,0),0)</f>
        <v>0</v>
      </c>
      <c r="M60">
        <f>IFERROR(VLOOKUP(Fix_Mapping[[#This Row],[KODE BARANG]],[1]!KINONF15[[KDBRG]:[HRG_JLMT_CTN+PPN]],14,0),0)</f>
        <v>0</v>
      </c>
      <c r="N60">
        <f>IFERROR(VLOOKUP(Fix_Mapping[[#This Row],[KODE BARANG]],[1]!KINONF15[[KDBRG]:[HRG_JLMT_CTN+PPN]],15,0),0)</f>
        <v>0</v>
      </c>
      <c r="O60">
        <f>IFERROR(VLOOKUP(Fix_Mapping[[#This Row],[KODE BARANG]],[1]!KINONF15[[KDBRG]:[HRG_JLMT_CTN+PPN]],16,0),0)</f>
        <v>0</v>
      </c>
      <c r="P60">
        <f>IFERROR(VLOOKUP(Fix_Mapping[[#This Row],[KODE BARANG]],[1]!KINONF15[[KDBRG]:[HRG_JLMT_CTN+PPN]],17,0),0)</f>
        <v>0</v>
      </c>
      <c r="Q60">
        <f>IFERROR(VLOOKUP(Fix_Mapping[[#This Row],[KODE BARANG]],[1]!KINONF15[[KDBRG]:[HRG_JLMT_CTN+PPN]],18,0),0)</f>
        <v>0</v>
      </c>
      <c r="R60" t="s">
        <v>2555</v>
      </c>
      <c r="S60" t="s">
        <v>820</v>
      </c>
      <c r="T60" t="s">
        <v>821</v>
      </c>
      <c r="U60">
        <v>0</v>
      </c>
      <c r="V60">
        <v>0</v>
      </c>
      <c r="W60">
        <v>0</v>
      </c>
    </row>
    <row r="61" spans="1:23">
      <c r="A61" t="s">
        <v>1149</v>
      </c>
      <c r="B61" t="s">
        <v>2417</v>
      </c>
      <c r="C61">
        <v>24</v>
      </c>
      <c r="D61">
        <f>IFERROR(VLOOKUP(Fix_Mapping[[#This Row],[KODE BARANG]],[1]!KINONF15[[KDBRG]:[HRG_JLMT_CTN+PPN]],5,0),0)</f>
        <v>0</v>
      </c>
      <c r="E61" t="s">
        <v>2307</v>
      </c>
      <c r="F61">
        <f>IFERROR(VLOOKUP(Fix_Mapping[[#This Row],[KODE BARANG]],[1]!KINONF15[[KDBRG]:[HRG_JLMT_CTN+PPN]],7,0),0)</f>
        <v>0</v>
      </c>
      <c r="G61">
        <f>IFERROR(VLOOKUP(Fix_Mapping[[#This Row],[KODE BARANG]],[1]!KINONF15[[KDBRG]:[HRG_JLMT_CTN+PPN]],8,0),0)</f>
        <v>0</v>
      </c>
      <c r="H61">
        <f>IFERROR(VLOOKUP(Fix_Mapping[[#This Row],[KODE BARANG]],[1]!KINONF15[[KDBRG]:[HRG_JLMT_CTN+PPN]],9,0),0)</f>
        <v>0</v>
      </c>
      <c r="I61">
        <f>IFERROR(VLOOKUP(Fix_Mapping[[#This Row],[KODE BARANG]],[1]!KINONF15[[KDBRG]:[HRG_JLMT_CTN+PPN]],10,0),0)</f>
        <v>0</v>
      </c>
      <c r="J61">
        <f>IFERROR(VLOOKUP(Fix_Mapping[[#This Row],[KODE BARANG]],[1]!KINONF15[[KDBRG]:[HRG_JLMT_CTN+PPN]],11,0),0)</f>
        <v>0</v>
      </c>
      <c r="K61">
        <f>IFERROR(VLOOKUP(Fix_Mapping[[#This Row],[KODE BARANG]],[1]!KINONF15[[KDBRG]:[HRG_JLMT_CTN+PPN]],12,0),0)</f>
        <v>0</v>
      </c>
      <c r="L61">
        <f>IFERROR(VLOOKUP(Fix_Mapping[[#This Row],[KODE BARANG]],[1]!KINONF15[[KDBRG]:[HRG_JLMT_CTN+PPN]],13,0),0)</f>
        <v>0</v>
      </c>
      <c r="M61">
        <f>IFERROR(VLOOKUP(Fix_Mapping[[#This Row],[KODE BARANG]],[1]!KINONF15[[KDBRG]:[HRG_JLMT_CTN+PPN]],14,0),0)</f>
        <v>0</v>
      </c>
      <c r="N61">
        <f>IFERROR(VLOOKUP(Fix_Mapping[[#This Row],[KODE BARANG]],[1]!KINONF15[[KDBRG]:[HRG_JLMT_CTN+PPN]],15,0),0)</f>
        <v>0</v>
      </c>
      <c r="O61">
        <f>IFERROR(VLOOKUP(Fix_Mapping[[#This Row],[KODE BARANG]],[1]!KINONF15[[KDBRG]:[HRG_JLMT_CTN+PPN]],16,0),0)</f>
        <v>0</v>
      </c>
      <c r="P61">
        <f>IFERROR(VLOOKUP(Fix_Mapping[[#This Row],[KODE BARANG]],[1]!KINONF15[[KDBRG]:[HRG_JLMT_CTN+PPN]],17,0),0)</f>
        <v>0</v>
      </c>
      <c r="Q61">
        <f>IFERROR(VLOOKUP(Fix_Mapping[[#This Row],[KODE BARANG]],[1]!KINONF15[[KDBRG]:[HRG_JLMT_CTN+PPN]],18,0),0)</f>
        <v>0</v>
      </c>
      <c r="R61" t="s">
        <v>2555</v>
      </c>
      <c r="S61" t="s">
        <v>822</v>
      </c>
      <c r="T61" t="s">
        <v>823</v>
      </c>
      <c r="U61">
        <v>0</v>
      </c>
      <c r="V61">
        <v>0</v>
      </c>
      <c r="W61">
        <v>0</v>
      </c>
    </row>
    <row r="62" spans="1:23">
      <c r="A62" t="s">
        <v>1150</v>
      </c>
      <c r="B62" t="s">
        <v>2418</v>
      </c>
      <c r="C62">
        <v>24</v>
      </c>
      <c r="D62">
        <f>IFERROR(VLOOKUP(Fix_Mapping[[#This Row],[KODE BARANG]],[1]!KINONF15[[KDBRG]:[HRG_JLMT_CTN+PPN]],5,0),0)</f>
        <v>0</v>
      </c>
      <c r="E62" t="s">
        <v>2307</v>
      </c>
      <c r="F62">
        <f>IFERROR(VLOOKUP(Fix_Mapping[[#This Row],[KODE BARANG]],[1]!KINONF15[[KDBRG]:[HRG_JLMT_CTN+PPN]],7,0),0)</f>
        <v>0</v>
      </c>
      <c r="G62">
        <f>IFERROR(VLOOKUP(Fix_Mapping[[#This Row],[KODE BARANG]],[1]!KINONF15[[KDBRG]:[HRG_JLMT_CTN+PPN]],8,0),0)</f>
        <v>0</v>
      </c>
      <c r="H62">
        <f>IFERROR(VLOOKUP(Fix_Mapping[[#This Row],[KODE BARANG]],[1]!KINONF15[[KDBRG]:[HRG_JLMT_CTN+PPN]],9,0),0)</f>
        <v>0</v>
      </c>
      <c r="I62">
        <f>IFERROR(VLOOKUP(Fix_Mapping[[#This Row],[KODE BARANG]],[1]!KINONF15[[KDBRG]:[HRG_JLMT_CTN+PPN]],10,0),0)</f>
        <v>0</v>
      </c>
      <c r="J62">
        <f>IFERROR(VLOOKUP(Fix_Mapping[[#This Row],[KODE BARANG]],[1]!KINONF15[[KDBRG]:[HRG_JLMT_CTN+PPN]],11,0),0)</f>
        <v>0</v>
      </c>
      <c r="K62">
        <f>IFERROR(VLOOKUP(Fix_Mapping[[#This Row],[KODE BARANG]],[1]!KINONF15[[KDBRG]:[HRG_JLMT_CTN+PPN]],12,0),0)</f>
        <v>0</v>
      </c>
      <c r="L62">
        <f>IFERROR(VLOOKUP(Fix_Mapping[[#This Row],[KODE BARANG]],[1]!KINONF15[[KDBRG]:[HRG_JLMT_CTN+PPN]],13,0),0)</f>
        <v>0</v>
      </c>
      <c r="M62">
        <f>IFERROR(VLOOKUP(Fix_Mapping[[#This Row],[KODE BARANG]],[1]!KINONF15[[KDBRG]:[HRG_JLMT_CTN+PPN]],14,0),0)</f>
        <v>0</v>
      </c>
      <c r="N62">
        <f>IFERROR(VLOOKUP(Fix_Mapping[[#This Row],[KODE BARANG]],[1]!KINONF15[[KDBRG]:[HRG_JLMT_CTN+PPN]],15,0),0)</f>
        <v>0</v>
      </c>
      <c r="O62">
        <f>IFERROR(VLOOKUP(Fix_Mapping[[#This Row],[KODE BARANG]],[1]!KINONF15[[KDBRG]:[HRG_JLMT_CTN+PPN]],16,0),0)</f>
        <v>0</v>
      </c>
      <c r="P62">
        <f>IFERROR(VLOOKUP(Fix_Mapping[[#This Row],[KODE BARANG]],[1]!KINONF15[[KDBRG]:[HRG_JLMT_CTN+PPN]],17,0),0)</f>
        <v>0</v>
      </c>
      <c r="Q62">
        <f>IFERROR(VLOOKUP(Fix_Mapping[[#This Row],[KODE BARANG]],[1]!KINONF15[[KDBRG]:[HRG_JLMT_CTN+PPN]],18,0),0)</f>
        <v>0</v>
      </c>
      <c r="R62" t="s">
        <v>2555</v>
      </c>
      <c r="S62" t="s">
        <v>824</v>
      </c>
      <c r="T62" t="s">
        <v>825</v>
      </c>
      <c r="U62">
        <v>0</v>
      </c>
      <c r="V62">
        <v>0</v>
      </c>
      <c r="W62">
        <v>0</v>
      </c>
    </row>
    <row r="63" spans="1:23">
      <c r="A63" t="s">
        <v>2365</v>
      </c>
      <c r="B63" t="s">
        <v>1151</v>
      </c>
      <c r="C63">
        <v>36</v>
      </c>
      <c r="D63">
        <f>IFERROR(VLOOKUP(Fix_Mapping[[#This Row],[KODE BARANG]],[1]!KINONF15[[KDBRG]:[HRG_JLMT_CTN+PPN]],5,0),0)</f>
        <v>0</v>
      </c>
      <c r="E63" t="s">
        <v>2307</v>
      </c>
      <c r="F63">
        <f>IFERROR(VLOOKUP(Fix_Mapping[[#This Row],[KODE BARANG]],[1]!KINONF15[[KDBRG]:[HRG_JLMT_CTN+PPN]],7,0),0)</f>
        <v>0</v>
      </c>
      <c r="G63">
        <f>IFERROR(VLOOKUP(Fix_Mapping[[#This Row],[KODE BARANG]],[1]!KINONF15[[KDBRG]:[HRG_JLMT_CTN+PPN]],8,0),0)</f>
        <v>0</v>
      </c>
      <c r="H63">
        <f>IFERROR(VLOOKUP(Fix_Mapping[[#This Row],[KODE BARANG]],[1]!KINONF15[[KDBRG]:[HRG_JLMT_CTN+PPN]],9,0),0)</f>
        <v>0</v>
      </c>
      <c r="I63">
        <f>IFERROR(VLOOKUP(Fix_Mapping[[#This Row],[KODE BARANG]],[1]!KINONF15[[KDBRG]:[HRG_JLMT_CTN+PPN]],10,0),0)</f>
        <v>0</v>
      </c>
      <c r="J63">
        <f>IFERROR(VLOOKUP(Fix_Mapping[[#This Row],[KODE BARANG]],[1]!KINONF15[[KDBRG]:[HRG_JLMT_CTN+PPN]],11,0),0)</f>
        <v>0</v>
      </c>
      <c r="K63">
        <f>IFERROR(VLOOKUP(Fix_Mapping[[#This Row],[KODE BARANG]],[1]!KINONF15[[KDBRG]:[HRG_JLMT_CTN+PPN]],12,0),0)</f>
        <v>0</v>
      </c>
      <c r="L63">
        <f>IFERROR(VLOOKUP(Fix_Mapping[[#This Row],[KODE BARANG]],[1]!KINONF15[[KDBRG]:[HRG_JLMT_CTN+PPN]],13,0),0)</f>
        <v>0</v>
      </c>
      <c r="M63">
        <f>IFERROR(VLOOKUP(Fix_Mapping[[#This Row],[KODE BARANG]],[1]!KINONF15[[KDBRG]:[HRG_JLMT_CTN+PPN]],14,0),0)</f>
        <v>0</v>
      </c>
      <c r="N63">
        <f>IFERROR(VLOOKUP(Fix_Mapping[[#This Row],[KODE BARANG]],[1]!KINONF15[[KDBRG]:[HRG_JLMT_CTN+PPN]],15,0),0)</f>
        <v>0</v>
      </c>
      <c r="O63">
        <f>IFERROR(VLOOKUP(Fix_Mapping[[#This Row],[KODE BARANG]],[1]!KINONF15[[KDBRG]:[HRG_JLMT_CTN+PPN]],16,0),0)</f>
        <v>0</v>
      </c>
      <c r="P63">
        <f>IFERROR(VLOOKUP(Fix_Mapping[[#This Row],[KODE BARANG]],[1]!KINONF15[[KDBRG]:[HRG_JLMT_CTN+PPN]],17,0),0)</f>
        <v>0</v>
      </c>
      <c r="Q63">
        <f>IFERROR(VLOOKUP(Fix_Mapping[[#This Row],[KODE BARANG]],[1]!KINONF15[[KDBRG]:[HRG_JLMT_CTN+PPN]],18,0),0)</f>
        <v>0</v>
      </c>
      <c r="R63" t="s">
        <v>2555</v>
      </c>
      <c r="S63" t="s">
        <v>826</v>
      </c>
      <c r="T63">
        <v>0</v>
      </c>
      <c r="U63">
        <v>0</v>
      </c>
      <c r="V63">
        <v>0</v>
      </c>
      <c r="W63">
        <v>0</v>
      </c>
    </row>
    <row r="64" spans="1:23">
      <c r="A64" t="s">
        <v>2366</v>
      </c>
      <c r="B64" t="s">
        <v>1152</v>
      </c>
      <c r="C64">
        <v>36</v>
      </c>
      <c r="D64">
        <f>IFERROR(VLOOKUP(Fix_Mapping[[#This Row],[KODE BARANG]],[1]!KINONF15[[KDBRG]:[HRG_JLMT_CTN+PPN]],5,0),0)</f>
        <v>0</v>
      </c>
      <c r="E64" t="s">
        <v>2307</v>
      </c>
      <c r="F64">
        <f>IFERROR(VLOOKUP(Fix_Mapping[[#This Row],[KODE BARANG]],[1]!KINONF15[[KDBRG]:[HRG_JLMT_CTN+PPN]],7,0),0)</f>
        <v>0</v>
      </c>
      <c r="G64">
        <f>IFERROR(VLOOKUP(Fix_Mapping[[#This Row],[KODE BARANG]],[1]!KINONF15[[KDBRG]:[HRG_JLMT_CTN+PPN]],8,0),0)</f>
        <v>0</v>
      </c>
      <c r="H64">
        <f>IFERROR(VLOOKUP(Fix_Mapping[[#This Row],[KODE BARANG]],[1]!KINONF15[[KDBRG]:[HRG_JLMT_CTN+PPN]],9,0),0)</f>
        <v>0</v>
      </c>
      <c r="I64">
        <f>IFERROR(VLOOKUP(Fix_Mapping[[#This Row],[KODE BARANG]],[1]!KINONF15[[KDBRG]:[HRG_JLMT_CTN+PPN]],10,0),0)</f>
        <v>0</v>
      </c>
      <c r="J64">
        <f>IFERROR(VLOOKUP(Fix_Mapping[[#This Row],[KODE BARANG]],[1]!KINONF15[[KDBRG]:[HRG_JLMT_CTN+PPN]],11,0),0)</f>
        <v>0</v>
      </c>
      <c r="K64">
        <f>IFERROR(VLOOKUP(Fix_Mapping[[#This Row],[KODE BARANG]],[1]!KINONF15[[KDBRG]:[HRG_JLMT_CTN+PPN]],12,0),0)</f>
        <v>0</v>
      </c>
      <c r="L64">
        <f>IFERROR(VLOOKUP(Fix_Mapping[[#This Row],[KODE BARANG]],[1]!KINONF15[[KDBRG]:[HRG_JLMT_CTN+PPN]],13,0),0)</f>
        <v>0</v>
      </c>
      <c r="M64">
        <f>IFERROR(VLOOKUP(Fix_Mapping[[#This Row],[KODE BARANG]],[1]!KINONF15[[KDBRG]:[HRG_JLMT_CTN+PPN]],14,0),0)</f>
        <v>0</v>
      </c>
      <c r="N64">
        <f>IFERROR(VLOOKUP(Fix_Mapping[[#This Row],[KODE BARANG]],[1]!KINONF15[[KDBRG]:[HRG_JLMT_CTN+PPN]],15,0),0)</f>
        <v>0</v>
      </c>
      <c r="O64">
        <f>IFERROR(VLOOKUP(Fix_Mapping[[#This Row],[KODE BARANG]],[1]!KINONF15[[KDBRG]:[HRG_JLMT_CTN+PPN]],16,0),0)</f>
        <v>0</v>
      </c>
      <c r="P64">
        <f>IFERROR(VLOOKUP(Fix_Mapping[[#This Row],[KODE BARANG]],[1]!KINONF15[[KDBRG]:[HRG_JLMT_CTN+PPN]],17,0),0)</f>
        <v>0</v>
      </c>
      <c r="Q64">
        <f>IFERROR(VLOOKUP(Fix_Mapping[[#This Row],[KODE BARANG]],[1]!KINONF15[[KDBRG]:[HRG_JLMT_CTN+PPN]],18,0),0)</f>
        <v>0</v>
      </c>
      <c r="R64" t="s">
        <v>2555</v>
      </c>
      <c r="S64" t="s">
        <v>827</v>
      </c>
      <c r="T64">
        <v>0</v>
      </c>
      <c r="U64">
        <v>0</v>
      </c>
      <c r="V64">
        <v>0</v>
      </c>
      <c r="W64">
        <v>0</v>
      </c>
    </row>
    <row r="65" spans="1:23">
      <c r="A65" t="s">
        <v>2367</v>
      </c>
      <c r="B65" t="s">
        <v>1153</v>
      </c>
      <c r="C65">
        <v>36</v>
      </c>
      <c r="D65">
        <f>IFERROR(VLOOKUP(Fix_Mapping[[#This Row],[KODE BARANG]],[1]!KINONF15[[KDBRG]:[HRG_JLMT_CTN+PPN]],5,0),0)</f>
        <v>0</v>
      </c>
      <c r="E65" t="s">
        <v>2307</v>
      </c>
      <c r="F65">
        <f>IFERROR(VLOOKUP(Fix_Mapping[[#This Row],[KODE BARANG]],[1]!KINONF15[[KDBRG]:[HRG_JLMT_CTN+PPN]],7,0),0)</f>
        <v>0</v>
      </c>
      <c r="G65">
        <f>IFERROR(VLOOKUP(Fix_Mapping[[#This Row],[KODE BARANG]],[1]!KINONF15[[KDBRG]:[HRG_JLMT_CTN+PPN]],8,0),0)</f>
        <v>0</v>
      </c>
      <c r="H65">
        <f>IFERROR(VLOOKUP(Fix_Mapping[[#This Row],[KODE BARANG]],[1]!KINONF15[[KDBRG]:[HRG_JLMT_CTN+PPN]],9,0),0)</f>
        <v>0</v>
      </c>
      <c r="I65">
        <f>IFERROR(VLOOKUP(Fix_Mapping[[#This Row],[KODE BARANG]],[1]!KINONF15[[KDBRG]:[HRG_JLMT_CTN+PPN]],10,0),0)</f>
        <v>0</v>
      </c>
      <c r="J65">
        <f>IFERROR(VLOOKUP(Fix_Mapping[[#This Row],[KODE BARANG]],[1]!KINONF15[[KDBRG]:[HRG_JLMT_CTN+PPN]],11,0),0)</f>
        <v>0</v>
      </c>
      <c r="K65">
        <f>IFERROR(VLOOKUP(Fix_Mapping[[#This Row],[KODE BARANG]],[1]!KINONF15[[KDBRG]:[HRG_JLMT_CTN+PPN]],12,0),0)</f>
        <v>0</v>
      </c>
      <c r="L65">
        <f>IFERROR(VLOOKUP(Fix_Mapping[[#This Row],[KODE BARANG]],[1]!KINONF15[[KDBRG]:[HRG_JLMT_CTN+PPN]],13,0),0)</f>
        <v>0</v>
      </c>
      <c r="M65">
        <f>IFERROR(VLOOKUP(Fix_Mapping[[#This Row],[KODE BARANG]],[1]!KINONF15[[KDBRG]:[HRG_JLMT_CTN+PPN]],14,0),0)</f>
        <v>0</v>
      </c>
      <c r="N65">
        <f>IFERROR(VLOOKUP(Fix_Mapping[[#This Row],[KODE BARANG]],[1]!KINONF15[[KDBRG]:[HRG_JLMT_CTN+PPN]],15,0),0)</f>
        <v>0</v>
      </c>
      <c r="O65">
        <f>IFERROR(VLOOKUP(Fix_Mapping[[#This Row],[KODE BARANG]],[1]!KINONF15[[KDBRG]:[HRG_JLMT_CTN+PPN]],16,0),0)</f>
        <v>0</v>
      </c>
      <c r="P65">
        <f>IFERROR(VLOOKUP(Fix_Mapping[[#This Row],[KODE BARANG]],[1]!KINONF15[[KDBRG]:[HRG_JLMT_CTN+PPN]],17,0),0)</f>
        <v>0</v>
      </c>
      <c r="Q65">
        <f>IFERROR(VLOOKUP(Fix_Mapping[[#This Row],[KODE BARANG]],[1]!KINONF15[[KDBRG]:[HRG_JLMT_CTN+PPN]],18,0),0)</f>
        <v>0</v>
      </c>
      <c r="R65" t="s">
        <v>2555</v>
      </c>
      <c r="S65" t="s">
        <v>828</v>
      </c>
      <c r="T65">
        <v>0</v>
      </c>
      <c r="U65">
        <v>0</v>
      </c>
      <c r="V65">
        <v>0</v>
      </c>
      <c r="W65">
        <v>0</v>
      </c>
    </row>
    <row r="66" spans="1:23">
      <c r="A66" t="s">
        <v>1154</v>
      </c>
      <c r="B66" t="s">
        <v>1155</v>
      </c>
      <c r="C66">
        <v>36</v>
      </c>
      <c r="D66">
        <f>IFERROR(VLOOKUP(Fix_Mapping[[#This Row],[KODE BARANG]],[1]!KINONF15[[KDBRG]:[HRG_JLMT_CTN+PPN]],5,0),0)</f>
        <v>0</v>
      </c>
      <c r="E66" t="s">
        <v>2281</v>
      </c>
      <c r="F66">
        <f>IFERROR(VLOOKUP(Fix_Mapping[[#This Row],[KODE BARANG]],[1]!KINONF15[[KDBRG]:[HRG_JLMT_CTN+PPN]],7,0),0)</f>
        <v>0</v>
      </c>
      <c r="G66">
        <f>IFERROR(VLOOKUP(Fix_Mapping[[#This Row],[KODE BARANG]],[1]!KINONF15[[KDBRG]:[HRG_JLMT_CTN+PPN]],8,0),0)</f>
        <v>0</v>
      </c>
      <c r="H66">
        <f>IFERROR(VLOOKUP(Fix_Mapping[[#This Row],[KODE BARANG]],[1]!KINONF15[[KDBRG]:[HRG_JLMT_CTN+PPN]],9,0),0)</f>
        <v>0</v>
      </c>
      <c r="I66">
        <f>IFERROR(VLOOKUP(Fix_Mapping[[#This Row],[KODE BARANG]],[1]!KINONF15[[KDBRG]:[HRG_JLMT_CTN+PPN]],10,0),0)</f>
        <v>0</v>
      </c>
      <c r="J66">
        <f>IFERROR(VLOOKUP(Fix_Mapping[[#This Row],[KODE BARANG]],[1]!KINONF15[[KDBRG]:[HRG_JLMT_CTN+PPN]],11,0),0)</f>
        <v>0</v>
      </c>
      <c r="K66">
        <f>IFERROR(VLOOKUP(Fix_Mapping[[#This Row],[KODE BARANG]],[1]!KINONF15[[KDBRG]:[HRG_JLMT_CTN+PPN]],12,0),0)</f>
        <v>0</v>
      </c>
      <c r="L66">
        <f>IFERROR(VLOOKUP(Fix_Mapping[[#This Row],[KODE BARANG]],[1]!KINONF15[[KDBRG]:[HRG_JLMT_CTN+PPN]],13,0),0)</f>
        <v>0</v>
      </c>
      <c r="M66">
        <f>IFERROR(VLOOKUP(Fix_Mapping[[#This Row],[KODE BARANG]],[1]!KINONF15[[KDBRG]:[HRG_JLMT_CTN+PPN]],14,0),0)</f>
        <v>0</v>
      </c>
      <c r="N66">
        <f>IFERROR(VLOOKUP(Fix_Mapping[[#This Row],[KODE BARANG]],[1]!KINONF15[[KDBRG]:[HRG_JLMT_CTN+PPN]],15,0),0)</f>
        <v>0</v>
      </c>
      <c r="O66">
        <f>IFERROR(VLOOKUP(Fix_Mapping[[#This Row],[KODE BARANG]],[1]!KINONF15[[KDBRG]:[HRG_JLMT_CTN+PPN]],16,0),0)</f>
        <v>0</v>
      </c>
      <c r="P66">
        <f>IFERROR(VLOOKUP(Fix_Mapping[[#This Row],[KODE BARANG]],[1]!KINONF15[[KDBRG]:[HRG_JLMT_CTN+PPN]],17,0),0)</f>
        <v>0</v>
      </c>
      <c r="Q66">
        <f>IFERROR(VLOOKUP(Fix_Mapping[[#This Row],[KODE BARANG]],[1]!KINONF15[[KDBRG]:[HRG_JLMT_CTN+PPN]],18,0),0)</f>
        <v>0</v>
      </c>
      <c r="R66" t="s">
        <v>2555</v>
      </c>
      <c r="S66" t="s">
        <v>790</v>
      </c>
      <c r="T66" t="s">
        <v>789</v>
      </c>
      <c r="U66">
        <v>0</v>
      </c>
      <c r="V66">
        <v>0</v>
      </c>
      <c r="W66">
        <v>0</v>
      </c>
    </row>
    <row r="67" spans="1:23">
      <c r="A67" t="s">
        <v>1156</v>
      </c>
      <c r="B67" t="s">
        <v>1157</v>
      </c>
      <c r="C67">
        <v>36</v>
      </c>
      <c r="D67">
        <f>IFERROR(VLOOKUP(Fix_Mapping[[#This Row],[KODE BARANG]],[1]!KINONF15[[KDBRG]:[HRG_JLMT_CTN+PPN]],5,0),0)</f>
        <v>0</v>
      </c>
      <c r="E67" t="s">
        <v>2281</v>
      </c>
      <c r="F67">
        <f>IFERROR(VLOOKUP(Fix_Mapping[[#This Row],[KODE BARANG]],[1]!KINONF15[[KDBRG]:[HRG_JLMT_CTN+PPN]],7,0),0)</f>
        <v>0</v>
      </c>
      <c r="G67">
        <f>IFERROR(VLOOKUP(Fix_Mapping[[#This Row],[KODE BARANG]],[1]!KINONF15[[KDBRG]:[HRG_JLMT_CTN+PPN]],8,0),0)</f>
        <v>0</v>
      </c>
      <c r="H67">
        <f>IFERROR(VLOOKUP(Fix_Mapping[[#This Row],[KODE BARANG]],[1]!KINONF15[[KDBRG]:[HRG_JLMT_CTN+PPN]],9,0),0)</f>
        <v>0</v>
      </c>
      <c r="I67">
        <f>IFERROR(VLOOKUP(Fix_Mapping[[#This Row],[KODE BARANG]],[1]!KINONF15[[KDBRG]:[HRG_JLMT_CTN+PPN]],10,0),0)</f>
        <v>0</v>
      </c>
      <c r="J67">
        <f>IFERROR(VLOOKUP(Fix_Mapping[[#This Row],[KODE BARANG]],[1]!KINONF15[[KDBRG]:[HRG_JLMT_CTN+PPN]],11,0),0)</f>
        <v>0</v>
      </c>
      <c r="K67">
        <f>IFERROR(VLOOKUP(Fix_Mapping[[#This Row],[KODE BARANG]],[1]!KINONF15[[KDBRG]:[HRG_JLMT_CTN+PPN]],12,0),0)</f>
        <v>0</v>
      </c>
      <c r="L67">
        <f>IFERROR(VLOOKUP(Fix_Mapping[[#This Row],[KODE BARANG]],[1]!KINONF15[[KDBRG]:[HRG_JLMT_CTN+PPN]],13,0),0)</f>
        <v>0</v>
      </c>
      <c r="M67">
        <f>IFERROR(VLOOKUP(Fix_Mapping[[#This Row],[KODE BARANG]],[1]!KINONF15[[KDBRG]:[HRG_JLMT_CTN+PPN]],14,0),0)</f>
        <v>0</v>
      </c>
      <c r="N67">
        <f>IFERROR(VLOOKUP(Fix_Mapping[[#This Row],[KODE BARANG]],[1]!KINONF15[[KDBRG]:[HRG_JLMT_CTN+PPN]],15,0),0)</f>
        <v>0</v>
      </c>
      <c r="O67">
        <f>IFERROR(VLOOKUP(Fix_Mapping[[#This Row],[KODE BARANG]],[1]!KINONF15[[KDBRG]:[HRG_JLMT_CTN+PPN]],16,0),0)</f>
        <v>0</v>
      </c>
      <c r="P67">
        <f>IFERROR(VLOOKUP(Fix_Mapping[[#This Row],[KODE BARANG]],[1]!KINONF15[[KDBRG]:[HRG_JLMT_CTN+PPN]],17,0),0)</f>
        <v>0</v>
      </c>
      <c r="Q67">
        <f>IFERROR(VLOOKUP(Fix_Mapping[[#This Row],[KODE BARANG]],[1]!KINONF15[[KDBRG]:[HRG_JLMT_CTN+PPN]],18,0),0)</f>
        <v>0</v>
      </c>
      <c r="R67" t="s">
        <v>2555</v>
      </c>
      <c r="S67" t="s">
        <v>792</v>
      </c>
      <c r="T67" t="s">
        <v>791</v>
      </c>
      <c r="U67">
        <v>0</v>
      </c>
      <c r="V67">
        <v>0</v>
      </c>
      <c r="W67">
        <v>0</v>
      </c>
    </row>
    <row r="68" spans="1:23">
      <c r="A68" t="s">
        <v>1158</v>
      </c>
      <c r="B68" t="s">
        <v>1159</v>
      </c>
      <c r="C68">
        <v>36</v>
      </c>
      <c r="D68">
        <f>IFERROR(VLOOKUP(Fix_Mapping[[#This Row],[KODE BARANG]],[1]!KINONF15[[KDBRG]:[HRG_JLMT_CTN+PPN]],5,0),0)</f>
        <v>0</v>
      </c>
      <c r="E68" t="s">
        <v>2281</v>
      </c>
      <c r="F68">
        <f>IFERROR(VLOOKUP(Fix_Mapping[[#This Row],[KODE BARANG]],[1]!KINONF15[[KDBRG]:[HRG_JLMT_CTN+PPN]],7,0),0)</f>
        <v>0</v>
      </c>
      <c r="G68">
        <f>IFERROR(VLOOKUP(Fix_Mapping[[#This Row],[KODE BARANG]],[1]!KINONF15[[KDBRG]:[HRG_JLMT_CTN+PPN]],8,0),0)</f>
        <v>0</v>
      </c>
      <c r="H68">
        <f>IFERROR(VLOOKUP(Fix_Mapping[[#This Row],[KODE BARANG]],[1]!KINONF15[[KDBRG]:[HRG_JLMT_CTN+PPN]],9,0),0)</f>
        <v>0</v>
      </c>
      <c r="I68">
        <f>IFERROR(VLOOKUP(Fix_Mapping[[#This Row],[KODE BARANG]],[1]!KINONF15[[KDBRG]:[HRG_JLMT_CTN+PPN]],10,0),0)</f>
        <v>0</v>
      </c>
      <c r="J68">
        <f>IFERROR(VLOOKUP(Fix_Mapping[[#This Row],[KODE BARANG]],[1]!KINONF15[[KDBRG]:[HRG_JLMT_CTN+PPN]],11,0),0)</f>
        <v>0</v>
      </c>
      <c r="K68">
        <f>IFERROR(VLOOKUP(Fix_Mapping[[#This Row],[KODE BARANG]],[1]!KINONF15[[KDBRG]:[HRG_JLMT_CTN+PPN]],12,0),0)</f>
        <v>0</v>
      </c>
      <c r="L68">
        <f>IFERROR(VLOOKUP(Fix_Mapping[[#This Row],[KODE BARANG]],[1]!KINONF15[[KDBRG]:[HRG_JLMT_CTN+PPN]],13,0),0)</f>
        <v>0</v>
      </c>
      <c r="M68">
        <f>IFERROR(VLOOKUP(Fix_Mapping[[#This Row],[KODE BARANG]],[1]!KINONF15[[KDBRG]:[HRG_JLMT_CTN+PPN]],14,0),0)</f>
        <v>0</v>
      </c>
      <c r="N68">
        <f>IFERROR(VLOOKUP(Fix_Mapping[[#This Row],[KODE BARANG]],[1]!KINONF15[[KDBRG]:[HRG_JLMT_CTN+PPN]],15,0),0)</f>
        <v>0</v>
      </c>
      <c r="O68">
        <f>IFERROR(VLOOKUP(Fix_Mapping[[#This Row],[KODE BARANG]],[1]!KINONF15[[KDBRG]:[HRG_JLMT_CTN+PPN]],16,0),0)</f>
        <v>0</v>
      </c>
      <c r="P68">
        <f>IFERROR(VLOOKUP(Fix_Mapping[[#This Row],[KODE BARANG]],[1]!KINONF15[[KDBRG]:[HRG_JLMT_CTN+PPN]],17,0),0)</f>
        <v>0</v>
      </c>
      <c r="Q68">
        <f>IFERROR(VLOOKUP(Fix_Mapping[[#This Row],[KODE BARANG]],[1]!KINONF15[[KDBRG]:[HRG_JLMT_CTN+PPN]],18,0),0)</f>
        <v>0</v>
      </c>
      <c r="R68" t="s">
        <v>2555</v>
      </c>
      <c r="S68" t="s">
        <v>794</v>
      </c>
      <c r="T68" t="s">
        <v>793</v>
      </c>
      <c r="U68">
        <v>0</v>
      </c>
      <c r="V68">
        <v>0</v>
      </c>
      <c r="W68">
        <v>0</v>
      </c>
    </row>
    <row r="69" spans="1:23">
      <c r="A69" t="s">
        <v>1160</v>
      </c>
      <c r="B69" t="s">
        <v>1161</v>
      </c>
      <c r="C69">
        <v>36</v>
      </c>
      <c r="D69">
        <f>IFERROR(VLOOKUP(Fix_Mapping[[#This Row],[KODE BARANG]],[1]!KINONF15[[KDBRG]:[HRG_JLMT_CTN+PPN]],5,0),0)</f>
        <v>0</v>
      </c>
      <c r="E69" t="s">
        <v>2281</v>
      </c>
      <c r="F69">
        <f>IFERROR(VLOOKUP(Fix_Mapping[[#This Row],[KODE BARANG]],[1]!KINONF15[[KDBRG]:[HRG_JLMT_CTN+PPN]],7,0),0)</f>
        <v>0</v>
      </c>
      <c r="G69">
        <f>IFERROR(VLOOKUP(Fix_Mapping[[#This Row],[KODE BARANG]],[1]!KINONF15[[KDBRG]:[HRG_JLMT_CTN+PPN]],8,0),0)</f>
        <v>0</v>
      </c>
      <c r="H69">
        <f>IFERROR(VLOOKUP(Fix_Mapping[[#This Row],[KODE BARANG]],[1]!KINONF15[[KDBRG]:[HRG_JLMT_CTN+PPN]],9,0),0)</f>
        <v>0</v>
      </c>
      <c r="I69">
        <f>IFERROR(VLOOKUP(Fix_Mapping[[#This Row],[KODE BARANG]],[1]!KINONF15[[KDBRG]:[HRG_JLMT_CTN+PPN]],10,0),0)</f>
        <v>0</v>
      </c>
      <c r="J69">
        <f>IFERROR(VLOOKUP(Fix_Mapping[[#This Row],[KODE BARANG]],[1]!KINONF15[[KDBRG]:[HRG_JLMT_CTN+PPN]],11,0),0)</f>
        <v>0</v>
      </c>
      <c r="K69">
        <f>IFERROR(VLOOKUP(Fix_Mapping[[#This Row],[KODE BARANG]],[1]!KINONF15[[KDBRG]:[HRG_JLMT_CTN+PPN]],12,0),0)</f>
        <v>0</v>
      </c>
      <c r="L69">
        <f>IFERROR(VLOOKUP(Fix_Mapping[[#This Row],[KODE BARANG]],[1]!KINONF15[[KDBRG]:[HRG_JLMT_CTN+PPN]],13,0),0)</f>
        <v>0</v>
      </c>
      <c r="M69">
        <f>IFERROR(VLOOKUP(Fix_Mapping[[#This Row],[KODE BARANG]],[1]!KINONF15[[KDBRG]:[HRG_JLMT_CTN+PPN]],14,0),0)</f>
        <v>0</v>
      </c>
      <c r="N69">
        <f>IFERROR(VLOOKUP(Fix_Mapping[[#This Row],[KODE BARANG]],[1]!KINONF15[[KDBRG]:[HRG_JLMT_CTN+PPN]],15,0),0)</f>
        <v>0</v>
      </c>
      <c r="O69">
        <f>IFERROR(VLOOKUP(Fix_Mapping[[#This Row],[KODE BARANG]],[1]!KINONF15[[KDBRG]:[HRG_JLMT_CTN+PPN]],16,0),0)</f>
        <v>0</v>
      </c>
      <c r="P69">
        <f>IFERROR(VLOOKUP(Fix_Mapping[[#This Row],[KODE BARANG]],[1]!KINONF15[[KDBRG]:[HRG_JLMT_CTN+PPN]],17,0),0)</f>
        <v>0</v>
      </c>
      <c r="Q69">
        <f>IFERROR(VLOOKUP(Fix_Mapping[[#This Row],[KODE BARANG]],[1]!KINONF15[[KDBRG]:[HRG_JLMT_CTN+PPN]],18,0),0)</f>
        <v>0</v>
      </c>
      <c r="R69" t="s">
        <v>2555</v>
      </c>
      <c r="S69" t="s">
        <v>796</v>
      </c>
      <c r="T69" t="s">
        <v>795</v>
      </c>
      <c r="U69">
        <v>0</v>
      </c>
      <c r="V69">
        <v>0</v>
      </c>
      <c r="W69">
        <v>0</v>
      </c>
    </row>
    <row r="70" spans="1:23">
      <c r="A70" t="s">
        <v>1162</v>
      </c>
      <c r="B70" t="s">
        <v>1163</v>
      </c>
      <c r="C70">
        <v>36</v>
      </c>
      <c r="D70">
        <f>IFERROR(VLOOKUP(Fix_Mapping[[#This Row],[KODE BARANG]],[1]!KINONF15[[KDBRG]:[HRG_JLMT_CTN+PPN]],5,0),0)</f>
        <v>0</v>
      </c>
      <c r="E70" t="s">
        <v>2281</v>
      </c>
      <c r="F70">
        <f>IFERROR(VLOOKUP(Fix_Mapping[[#This Row],[KODE BARANG]],[1]!KINONF15[[KDBRG]:[HRG_JLMT_CTN+PPN]],7,0),0)</f>
        <v>0</v>
      </c>
      <c r="G70">
        <f>IFERROR(VLOOKUP(Fix_Mapping[[#This Row],[KODE BARANG]],[1]!KINONF15[[KDBRG]:[HRG_JLMT_CTN+PPN]],8,0),0)</f>
        <v>0</v>
      </c>
      <c r="H70">
        <f>IFERROR(VLOOKUP(Fix_Mapping[[#This Row],[KODE BARANG]],[1]!KINONF15[[KDBRG]:[HRG_JLMT_CTN+PPN]],9,0),0)</f>
        <v>0</v>
      </c>
      <c r="I70">
        <f>IFERROR(VLOOKUP(Fix_Mapping[[#This Row],[KODE BARANG]],[1]!KINONF15[[KDBRG]:[HRG_JLMT_CTN+PPN]],10,0),0)</f>
        <v>0</v>
      </c>
      <c r="J70">
        <f>IFERROR(VLOOKUP(Fix_Mapping[[#This Row],[KODE BARANG]],[1]!KINONF15[[KDBRG]:[HRG_JLMT_CTN+PPN]],11,0),0)</f>
        <v>0</v>
      </c>
      <c r="K70">
        <f>IFERROR(VLOOKUP(Fix_Mapping[[#This Row],[KODE BARANG]],[1]!KINONF15[[KDBRG]:[HRG_JLMT_CTN+PPN]],12,0),0)</f>
        <v>0</v>
      </c>
      <c r="L70">
        <f>IFERROR(VLOOKUP(Fix_Mapping[[#This Row],[KODE BARANG]],[1]!KINONF15[[KDBRG]:[HRG_JLMT_CTN+PPN]],13,0),0)</f>
        <v>0</v>
      </c>
      <c r="M70">
        <f>IFERROR(VLOOKUP(Fix_Mapping[[#This Row],[KODE BARANG]],[1]!KINONF15[[KDBRG]:[HRG_JLMT_CTN+PPN]],14,0),0)</f>
        <v>0</v>
      </c>
      <c r="N70">
        <f>IFERROR(VLOOKUP(Fix_Mapping[[#This Row],[KODE BARANG]],[1]!KINONF15[[KDBRG]:[HRG_JLMT_CTN+PPN]],15,0),0)</f>
        <v>0</v>
      </c>
      <c r="O70">
        <f>IFERROR(VLOOKUP(Fix_Mapping[[#This Row],[KODE BARANG]],[1]!KINONF15[[KDBRG]:[HRG_JLMT_CTN+PPN]],16,0),0)</f>
        <v>0</v>
      </c>
      <c r="P70">
        <f>IFERROR(VLOOKUP(Fix_Mapping[[#This Row],[KODE BARANG]],[1]!KINONF15[[KDBRG]:[HRG_JLMT_CTN+PPN]],17,0),0)</f>
        <v>0</v>
      </c>
      <c r="Q70">
        <f>IFERROR(VLOOKUP(Fix_Mapping[[#This Row],[KODE BARANG]],[1]!KINONF15[[KDBRG]:[HRG_JLMT_CTN+PPN]],18,0),0)</f>
        <v>0</v>
      </c>
      <c r="R70" t="s">
        <v>2555</v>
      </c>
      <c r="S70" t="s">
        <v>798</v>
      </c>
      <c r="T70" t="s">
        <v>797</v>
      </c>
      <c r="U70">
        <v>0</v>
      </c>
      <c r="V70">
        <v>0</v>
      </c>
      <c r="W70">
        <v>0</v>
      </c>
    </row>
    <row r="71" spans="1:23">
      <c r="A71" t="s">
        <v>1164</v>
      </c>
      <c r="B71" t="s">
        <v>1165</v>
      </c>
      <c r="C71">
        <v>36</v>
      </c>
      <c r="D71">
        <f>IFERROR(VLOOKUP(Fix_Mapping[[#This Row],[KODE BARANG]],[1]!KINONF15[[KDBRG]:[HRG_JLMT_CTN+PPN]],5,0),0)</f>
        <v>0</v>
      </c>
      <c r="E71" t="s">
        <v>2281</v>
      </c>
      <c r="F71">
        <f>IFERROR(VLOOKUP(Fix_Mapping[[#This Row],[KODE BARANG]],[1]!KINONF15[[KDBRG]:[HRG_JLMT_CTN+PPN]],7,0),0)</f>
        <v>0</v>
      </c>
      <c r="G71">
        <f>IFERROR(VLOOKUP(Fix_Mapping[[#This Row],[KODE BARANG]],[1]!KINONF15[[KDBRG]:[HRG_JLMT_CTN+PPN]],8,0),0)</f>
        <v>0</v>
      </c>
      <c r="H71">
        <f>IFERROR(VLOOKUP(Fix_Mapping[[#This Row],[KODE BARANG]],[1]!KINONF15[[KDBRG]:[HRG_JLMT_CTN+PPN]],9,0),0)</f>
        <v>0</v>
      </c>
      <c r="I71">
        <f>IFERROR(VLOOKUP(Fix_Mapping[[#This Row],[KODE BARANG]],[1]!KINONF15[[KDBRG]:[HRG_JLMT_CTN+PPN]],10,0),0)</f>
        <v>0</v>
      </c>
      <c r="J71">
        <f>IFERROR(VLOOKUP(Fix_Mapping[[#This Row],[KODE BARANG]],[1]!KINONF15[[KDBRG]:[HRG_JLMT_CTN+PPN]],11,0),0)</f>
        <v>0</v>
      </c>
      <c r="K71">
        <f>IFERROR(VLOOKUP(Fix_Mapping[[#This Row],[KODE BARANG]],[1]!KINONF15[[KDBRG]:[HRG_JLMT_CTN+PPN]],12,0),0)</f>
        <v>0</v>
      </c>
      <c r="L71">
        <f>IFERROR(VLOOKUP(Fix_Mapping[[#This Row],[KODE BARANG]],[1]!KINONF15[[KDBRG]:[HRG_JLMT_CTN+PPN]],13,0),0)</f>
        <v>0</v>
      </c>
      <c r="M71">
        <f>IFERROR(VLOOKUP(Fix_Mapping[[#This Row],[KODE BARANG]],[1]!KINONF15[[KDBRG]:[HRG_JLMT_CTN+PPN]],14,0),0)</f>
        <v>0</v>
      </c>
      <c r="N71">
        <f>IFERROR(VLOOKUP(Fix_Mapping[[#This Row],[KODE BARANG]],[1]!KINONF15[[KDBRG]:[HRG_JLMT_CTN+PPN]],15,0),0)</f>
        <v>0</v>
      </c>
      <c r="O71">
        <f>IFERROR(VLOOKUP(Fix_Mapping[[#This Row],[KODE BARANG]],[1]!KINONF15[[KDBRG]:[HRG_JLMT_CTN+PPN]],16,0),0)</f>
        <v>0</v>
      </c>
      <c r="P71">
        <f>IFERROR(VLOOKUP(Fix_Mapping[[#This Row],[KODE BARANG]],[1]!KINONF15[[KDBRG]:[HRG_JLMT_CTN+PPN]],17,0),0)</f>
        <v>0</v>
      </c>
      <c r="Q71">
        <f>IFERROR(VLOOKUP(Fix_Mapping[[#This Row],[KODE BARANG]],[1]!KINONF15[[KDBRG]:[HRG_JLMT_CTN+PPN]],18,0),0)</f>
        <v>0</v>
      </c>
      <c r="R71" t="s">
        <v>2555</v>
      </c>
      <c r="S71" t="s">
        <v>800</v>
      </c>
      <c r="T71" t="s">
        <v>799</v>
      </c>
      <c r="U71">
        <v>0</v>
      </c>
      <c r="V71">
        <v>0</v>
      </c>
      <c r="W71">
        <v>0</v>
      </c>
    </row>
    <row r="72" spans="1:23">
      <c r="A72" t="s">
        <v>1166</v>
      </c>
      <c r="B72" t="s">
        <v>1167</v>
      </c>
      <c r="C72">
        <v>36</v>
      </c>
      <c r="D72">
        <f>IFERROR(VLOOKUP(Fix_Mapping[[#This Row],[KODE BARANG]],[1]!KINONF15[[KDBRG]:[HRG_JLMT_CTN+PPN]],5,0),0)</f>
        <v>0</v>
      </c>
      <c r="E72" t="s">
        <v>2281</v>
      </c>
      <c r="F72">
        <f>IFERROR(VLOOKUP(Fix_Mapping[[#This Row],[KODE BARANG]],[1]!KINONF15[[KDBRG]:[HRG_JLMT_CTN+PPN]],7,0),0)</f>
        <v>0</v>
      </c>
      <c r="G72">
        <f>IFERROR(VLOOKUP(Fix_Mapping[[#This Row],[KODE BARANG]],[1]!KINONF15[[KDBRG]:[HRG_JLMT_CTN+PPN]],8,0),0)</f>
        <v>0</v>
      </c>
      <c r="H72">
        <f>IFERROR(VLOOKUP(Fix_Mapping[[#This Row],[KODE BARANG]],[1]!KINONF15[[KDBRG]:[HRG_JLMT_CTN+PPN]],9,0),0)</f>
        <v>0</v>
      </c>
      <c r="I72">
        <f>IFERROR(VLOOKUP(Fix_Mapping[[#This Row],[KODE BARANG]],[1]!KINONF15[[KDBRG]:[HRG_JLMT_CTN+PPN]],10,0),0)</f>
        <v>0</v>
      </c>
      <c r="J72">
        <f>IFERROR(VLOOKUP(Fix_Mapping[[#This Row],[KODE BARANG]],[1]!KINONF15[[KDBRG]:[HRG_JLMT_CTN+PPN]],11,0),0)</f>
        <v>0</v>
      </c>
      <c r="K72">
        <f>IFERROR(VLOOKUP(Fix_Mapping[[#This Row],[KODE BARANG]],[1]!KINONF15[[KDBRG]:[HRG_JLMT_CTN+PPN]],12,0),0)</f>
        <v>0</v>
      </c>
      <c r="L72">
        <f>IFERROR(VLOOKUP(Fix_Mapping[[#This Row],[KODE BARANG]],[1]!KINONF15[[KDBRG]:[HRG_JLMT_CTN+PPN]],13,0),0)</f>
        <v>0</v>
      </c>
      <c r="M72">
        <f>IFERROR(VLOOKUP(Fix_Mapping[[#This Row],[KODE BARANG]],[1]!KINONF15[[KDBRG]:[HRG_JLMT_CTN+PPN]],14,0),0)</f>
        <v>0</v>
      </c>
      <c r="N72">
        <f>IFERROR(VLOOKUP(Fix_Mapping[[#This Row],[KODE BARANG]],[1]!KINONF15[[KDBRG]:[HRG_JLMT_CTN+PPN]],15,0),0)</f>
        <v>0</v>
      </c>
      <c r="O72">
        <f>IFERROR(VLOOKUP(Fix_Mapping[[#This Row],[KODE BARANG]],[1]!KINONF15[[KDBRG]:[HRG_JLMT_CTN+PPN]],16,0),0)</f>
        <v>0</v>
      </c>
      <c r="P72">
        <f>IFERROR(VLOOKUP(Fix_Mapping[[#This Row],[KODE BARANG]],[1]!KINONF15[[KDBRG]:[HRG_JLMT_CTN+PPN]],17,0),0)</f>
        <v>0</v>
      </c>
      <c r="Q72">
        <f>IFERROR(VLOOKUP(Fix_Mapping[[#This Row],[KODE BARANG]],[1]!KINONF15[[KDBRG]:[HRG_JLMT_CTN+PPN]],18,0),0)</f>
        <v>0</v>
      </c>
      <c r="R72" t="s">
        <v>2555</v>
      </c>
      <c r="S72" t="s">
        <v>801</v>
      </c>
      <c r="T72" t="s">
        <v>802</v>
      </c>
      <c r="U72">
        <v>0</v>
      </c>
      <c r="V72">
        <v>0</v>
      </c>
      <c r="W72">
        <v>0</v>
      </c>
    </row>
    <row r="73" spans="1:23">
      <c r="A73" t="s">
        <v>1168</v>
      </c>
      <c r="B73" t="s">
        <v>1169</v>
      </c>
      <c r="C73">
        <v>36</v>
      </c>
      <c r="D73">
        <f>IFERROR(VLOOKUP(Fix_Mapping[[#This Row],[KODE BARANG]],[1]!KINONF15[[KDBRG]:[HRG_JLMT_CTN+PPN]],5,0),0)</f>
        <v>0</v>
      </c>
      <c r="E73" t="s">
        <v>2281</v>
      </c>
      <c r="F73">
        <f>IFERROR(VLOOKUP(Fix_Mapping[[#This Row],[KODE BARANG]],[1]!KINONF15[[KDBRG]:[HRG_JLMT_CTN+PPN]],7,0),0)</f>
        <v>0</v>
      </c>
      <c r="G73">
        <f>IFERROR(VLOOKUP(Fix_Mapping[[#This Row],[KODE BARANG]],[1]!KINONF15[[KDBRG]:[HRG_JLMT_CTN+PPN]],8,0),0)</f>
        <v>0</v>
      </c>
      <c r="H73">
        <f>IFERROR(VLOOKUP(Fix_Mapping[[#This Row],[KODE BARANG]],[1]!KINONF15[[KDBRG]:[HRG_JLMT_CTN+PPN]],9,0),0)</f>
        <v>0</v>
      </c>
      <c r="I73">
        <f>IFERROR(VLOOKUP(Fix_Mapping[[#This Row],[KODE BARANG]],[1]!KINONF15[[KDBRG]:[HRG_JLMT_CTN+PPN]],10,0),0)</f>
        <v>0</v>
      </c>
      <c r="J73">
        <f>IFERROR(VLOOKUP(Fix_Mapping[[#This Row],[KODE BARANG]],[1]!KINONF15[[KDBRG]:[HRG_JLMT_CTN+PPN]],11,0),0)</f>
        <v>0</v>
      </c>
      <c r="K73">
        <f>IFERROR(VLOOKUP(Fix_Mapping[[#This Row],[KODE BARANG]],[1]!KINONF15[[KDBRG]:[HRG_JLMT_CTN+PPN]],12,0),0)</f>
        <v>0</v>
      </c>
      <c r="L73">
        <f>IFERROR(VLOOKUP(Fix_Mapping[[#This Row],[KODE BARANG]],[1]!KINONF15[[KDBRG]:[HRG_JLMT_CTN+PPN]],13,0),0)</f>
        <v>0</v>
      </c>
      <c r="M73">
        <f>IFERROR(VLOOKUP(Fix_Mapping[[#This Row],[KODE BARANG]],[1]!KINONF15[[KDBRG]:[HRG_JLMT_CTN+PPN]],14,0),0)</f>
        <v>0</v>
      </c>
      <c r="N73">
        <f>IFERROR(VLOOKUP(Fix_Mapping[[#This Row],[KODE BARANG]],[1]!KINONF15[[KDBRG]:[HRG_JLMT_CTN+PPN]],15,0),0)</f>
        <v>0</v>
      </c>
      <c r="O73">
        <f>IFERROR(VLOOKUP(Fix_Mapping[[#This Row],[KODE BARANG]],[1]!KINONF15[[KDBRG]:[HRG_JLMT_CTN+PPN]],16,0),0)</f>
        <v>0</v>
      </c>
      <c r="P73">
        <f>IFERROR(VLOOKUP(Fix_Mapping[[#This Row],[KODE BARANG]],[1]!KINONF15[[KDBRG]:[HRG_JLMT_CTN+PPN]],17,0),0)</f>
        <v>0</v>
      </c>
      <c r="Q73">
        <f>IFERROR(VLOOKUP(Fix_Mapping[[#This Row],[KODE BARANG]],[1]!KINONF15[[KDBRG]:[HRG_JLMT_CTN+PPN]],18,0),0)</f>
        <v>0</v>
      </c>
      <c r="R73" t="s">
        <v>2555</v>
      </c>
      <c r="S73" t="s">
        <v>803</v>
      </c>
      <c r="T73" t="s">
        <v>804</v>
      </c>
      <c r="U73">
        <v>0</v>
      </c>
      <c r="V73">
        <v>0</v>
      </c>
      <c r="W73">
        <v>0</v>
      </c>
    </row>
    <row r="74" spans="1:23">
      <c r="A74" t="s">
        <v>1170</v>
      </c>
      <c r="B74" t="s">
        <v>1171</v>
      </c>
      <c r="C74">
        <v>36</v>
      </c>
      <c r="D74">
        <f>IFERROR(VLOOKUP(Fix_Mapping[[#This Row],[KODE BARANG]],[1]!KINONF15[[KDBRG]:[HRG_JLMT_CTN+PPN]],5,0),0)</f>
        <v>0</v>
      </c>
      <c r="E74" t="s">
        <v>2281</v>
      </c>
      <c r="F74">
        <f>IFERROR(VLOOKUP(Fix_Mapping[[#This Row],[KODE BARANG]],[1]!KINONF15[[KDBRG]:[HRG_JLMT_CTN+PPN]],7,0),0)</f>
        <v>0</v>
      </c>
      <c r="G74">
        <f>IFERROR(VLOOKUP(Fix_Mapping[[#This Row],[KODE BARANG]],[1]!KINONF15[[KDBRG]:[HRG_JLMT_CTN+PPN]],8,0),0)</f>
        <v>0</v>
      </c>
      <c r="H74">
        <f>IFERROR(VLOOKUP(Fix_Mapping[[#This Row],[KODE BARANG]],[1]!KINONF15[[KDBRG]:[HRG_JLMT_CTN+PPN]],9,0),0)</f>
        <v>0</v>
      </c>
      <c r="I74">
        <f>IFERROR(VLOOKUP(Fix_Mapping[[#This Row],[KODE BARANG]],[1]!KINONF15[[KDBRG]:[HRG_JLMT_CTN+PPN]],10,0),0)</f>
        <v>0</v>
      </c>
      <c r="J74">
        <f>IFERROR(VLOOKUP(Fix_Mapping[[#This Row],[KODE BARANG]],[1]!KINONF15[[KDBRG]:[HRG_JLMT_CTN+PPN]],11,0),0)</f>
        <v>0</v>
      </c>
      <c r="K74">
        <f>IFERROR(VLOOKUP(Fix_Mapping[[#This Row],[KODE BARANG]],[1]!KINONF15[[KDBRG]:[HRG_JLMT_CTN+PPN]],12,0),0)</f>
        <v>0</v>
      </c>
      <c r="L74">
        <f>IFERROR(VLOOKUP(Fix_Mapping[[#This Row],[KODE BARANG]],[1]!KINONF15[[KDBRG]:[HRG_JLMT_CTN+PPN]],13,0),0)</f>
        <v>0</v>
      </c>
      <c r="M74">
        <f>IFERROR(VLOOKUP(Fix_Mapping[[#This Row],[KODE BARANG]],[1]!KINONF15[[KDBRG]:[HRG_JLMT_CTN+PPN]],14,0),0)</f>
        <v>0</v>
      </c>
      <c r="N74">
        <f>IFERROR(VLOOKUP(Fix_Mapping[[#This Row],[KODE BARANG]],[1]!KINONF15[[KDBRG]:[HRG_JLMT_CTN+PPN]],15,0),0)</f>
        <v>0</v>
      </c>
      <c r="O74">
        <f>IFERROR(VLOOKUP(Fix_Mapping[[#This Row],[KODE BARANG]],[1]!KINONF15[[KDBRG]:[HRG_JLMT_CTN+PPN]],16,0),0)</f>
        <v>0</v>
      </c>
      <c r="P74">
        <f>IFERROR(VLOOKUP(Fix_Mapping[[#This Row],[KODE BARANG]],[1]!KINONF15[[KDBRG]:[HRG_JLMT_CTN+PPN]],17,0),0)</f>
        <v>0</v>
      </c>
      <c r="Q74">
        <f>IFERROR(VLOOKUP(Fix_Mapping[[#This Row],[KODE BARANG]],[1]!KINONF15[[KDBRG]:[HRG_JLMT_CTN+PPN]],18,0),0)</f>
        <v>0</v>
      </c>
      <c r="R74" t="s">
        <v>2555</v>
      </c>
      <c r="S74" t="s">
        <v>805</v>
      </c>
      <c r="T74">
        <v>0</v>
      </c>
      <c r="U74">
        <v>0</v>
      </c>
      <c r="V74">
        <v>0</v>
      </c>
      <c r="W74">
        <v>0</v>
      </c>
    </row>
    <row r="75" spans="1:23">
      <c r="A75" t="s">
        <v>1172</v>
      </c>
      <c r="B75" t="s">
        <v>1173</v>
      </c>
      <c r="C75">
        <v>36</v>
      </c>
      <c r="D75">
        <f>IFERROR(VLOOKUP(Fix_Mapping[[#This Row],[KODE BARANG]],[1]!KINONF15[[KDBRG]:[HRG_JLMT_CTN+PPN]],5,0),0)</f>
        <v>0</v>
      </c>
      <c r="E75" t="s">
        <v>2281</v>
      </c>
      <c r="F75">
        <f>IFERROR(VLOOKUP(Fix_Mapping[[#This Row],[KODE BARANG]],[1]!KINONF15[[KDBRG]:[HRG_JLMT_CTN+PPN]],7,0),0)</f>
        <v>0</v>
      </c>
      <c r="G75">
        <f>IFERROR(VLOOKUP(Fix_Mapping[[#This Row],[KODE BARANG]],[1]!KINONF15[[KDBRG]:[HRG_JLMT_CTN+PPN]],8,0),0)</f>
        <v>0</v>
      </c>
      <c r="H75">
        <f>IFERROR(VLOOKUP(Fix_Mapping[[#This Row],[KODE BARANG]],[1]!KINONF15[[KDBRG]:[HRG_JLMT_CTN+PPN]],9,0),0)</f>
        <v>0</v>
      </c>
      <c r="I75">
        <f>IFERROR(VLOOKUP(Fix_Mapping[[#This Row],[KODE BARANG]],[1]!KINONF15[[KDBRG]:[HRG_JLMT_CTN+PPN]],10,0),0)</f>
        <v>0</v>
      </c>
      <c r="J75">
        <f>IFERROR(VLOOKUP(Fix_Mapping[[#This Row],[KODE BARANG]],[1]!KINONF15[[KDBRG]:[HRG_JLMT_CTN+PPN]],11,0),0)</f>
        <v>0</v>
      </c>
      <c r="K75">
        <f>IFERROR(VLOOKUP(Fix_Mapping[[#This Row],[KODE BARANG]],[1]!KINONF15[[KDBRG]:[HRG_JLMT_CTN+PPN]],12,0),0)</f>
        <v>0</v>
      </c>
      <c r="L75">
        <f>IFERROR(VLOOKUP(Fix_Mapping[[#This Row],[KODE BARANG]],[1]!KINONF15[[KDBRG]:[HRG_JLMT_CTN+PPN]],13,0),0)</f>
        <v>0</v>
      </c>
      <c r="M75">
        <f>IFERROR(VLOOKUP(Fix_Mapping[[#This Row],[KODE BARANG]],[1]!KINONF15[[KDBRG]:[HRG_JLMT_CTN+PPN]],14,0),0)</f>
        <v>0</v>
      </c>
      <c r="N75">
        <f>IFERROR(VLOOKUP(Fix_Mapping[[#This Row],[KODE BARANG]],[1]!KINONF15[[KDBRG]:[HRG_JLMT_CTN+PPN]],15,0),0)</f>
        <v>0</v>
      </c>
      <c r="O75">
        <f>IFERROR(VLOOKUP(Fix_Mapping[[#This Row],[KODE BARANG]],[1]!KINONF15[[KDBRG]:[HRG_JLMT_CTN+PPN]],16,0),0)</f>
        <v>0</v>
      </c>
      <c r="P75">
        <f>IFERROR(VLOOKUP(Fix_Mapping[[#This Row],[KODE BARANG]],[1]!KINONF15[[KDBRG]:[HRG_JLMT_CTN+PPN]],17,0),0)</f>
        <v>0</v>
      </c>
      <c r="Q75">
        <f>IFERROR(VLOOKUP(Fix_Mapping[[#This Row],[KODE BARANG]],[1]!KINONF15[[KDBRG]:[HRG_JLMT_CTN+PPN]],18,0),0)</f>
        <v>0</v>
      </c>
      <c r="R75" t="s">
        <v>2555</v>
      </c>
      <c r="S75" t="s">
        <v>806</v>
      </c>
      <c r="T75">
        <v>0</v>
      </c>
      <c r="U75">
        <v>0</v>
      </c>
      <c r="V75">
        <v>0</v>
      </c>
      <c r="W75">
        <v>0</v>
      </c>
    </row>
    <row r="76" spans="1:23">
      <c r="A76" t="s">
        <v>1174</v>
      </c>
      <c r="B76" t="s">
        <v>1175</v>
      </c>
      <c r="C76">
        <v>36</v>
      </c>
      <c r="D76">
        <f>IFERROR(VLOOKUP(Fix_Mapping[[#This Row],[KODE BARANG]],[1]!KINONF15[[KDBRG]:[HRG_JLMT_CTN+PPN]],5,0),0)</f>
        <v>0</v>
      </c>
      <c r="E76" t="s">
        <v>2281</v>
      </c>
      <c r="F76">
        <f>IFERROR(VLOOKUP(Fix_Mapping[[#This Row],[KODE BARANG]],[1]!KINONF15[[KDBRG]:[HRG_JLMT_CTN+PPN]],7,0),0)</f>
        <v>0</v>
      </c>
      <c r="G76">
        <f>IFERROR(VLOOKUP(Fix_Mapping[[#This Row],[KODE BARANG]],[1]!KINONF15[[KDBRG]:[HRG_JLMT_CTN+PPN]],8,0),0)</f>
        <v>0</v>
      </c>
      <c r="H76">
        <f>IFERROR(VLOOKUP(Fix_Mapping[[#This Row],[KODE BARANG]],[1]!KINONF15[[KDBRG]:[HRG_JLMT_CTN+PPN]],9,0),0)</f>
        <v>0</v>
      </c>
      <c r="I76">
        <f>IFERROR(VLOOKUP(Fix_Mapping[[#This Row],[KODE BARANG]],[1]!KINONF15[[KDBRG]:[HRG_JLMT_CTN+PPN]],10,0),0)</f>
        <v>0</v>
      </c>
      <c r="J76">
        <f>IFERROR(VLOOKUP(Fix_Mapping[[#This Row],[KODE BARANG]],[1]!KINONF15[[KDBRG]:[HRG_JLMT_CTN+PPN]],11,0),0)</f>
        <v>0</v>
      </c>
      <c r="K76">
        <f>IFERROR(VLOOKUP(Fix_Mapping[[#This Row],[KODE BARANG]],[1]!KINONF15[[KDBRG]:[HRG_JLMT_CTN+PPN]],12,0),0)</f>
        <v>0</v>
      </c>
      <c r="L76">
        <f>IFERROR(VLOOKUP(Fix_Mapping[[#This Row],[KODE BARANG]],[1]!KINONF15[[KDBRG]:[HRG_JLMT_CTN+PPN]],13,0),0)</f>
        <v>0</v>
      </c>
      <c r="M76">
        <f>IFERROR(VLOOKUP(Fix_Mapping[[#This Row],[KODE BARANG]],[1]!KINONF15[[KDBRG]:[HRG_JLMT_CTN+PPN]],14,0),0)</f>
        <v>0</v>
      </c>
      <c r="N76">
        <f>IFERROR(VLOOKUP(Fix_Mapping[[#This Row],[KODE BARANG]],[1]!KINONF15[[KDBRG]:[HRG_JLMT_CTN+PPN]],15,0),0)</f>
        <v>0</v>
      </c>
      <c r="O76">
        <f>IFERROR(VLOOKUP(Fix_Mapping[[#This Row],[KODE BARANG]],[1]!KINONF15[[KDBRG]:[HRG_JLMT_CTN+PPN]],16,0),0)</f>
        <v>0</v>
      </c>
      <c r="P76">
        <f>IFERROR(VLOOKUP(Fix_Mapping[[#This Row],[KODE BARANG]],[1]!KINONF15[[KDBRG]:[HRG_JLMT_CTN+PPN]],17,0),0)</f>
        <v>0</v>
      </c>
      <c r="Q76">
        <f>IFERROR(VLOOKUP(Fix_Mapping[[#This Row],[KODE BARANG]],[1]!KINONF15[[KDBRG]:[HRG_JLMT_CTN+PPN]],18,0),0)</f>
        <v>0</v>
      </c>
      <c r="R76" t="s">
        <v>2555</v>
      </c>
      <c r="S76" t="s">
        <v>807</v>
      </c>
      <c r="T76">
        <v>0</v>
      </c>
      <c r="U76">
        <v>0</v>
      </c>
      <c r="V76">
        <v>0</v>
      </c>
      <c r="W76">
        <v>0</v>
      </c>
    </row>
    <row r="77" spans="1:23">
      <c r="A77" t="s">
        <v>1176</v>
      </c>
      <c r="B77" t="s">
        <v>1177</v>
      </c>
      <c r="C77">
        <v>36</v>
      </c>
      <c r="D77">
        <f>IFERROR(VLOOKUP(Fix_Mapping[[#This Row],[KODE BARANG]],[1]!KINONF15[[KDBRG]:[HRG_JLMT_CTN+PPN]],5,0),0)</f>
        <v>0</v>
      </c>
      <c r="E77" t="s">
        <v>2281</v>
      </c>
      <c r="F77">
        <f>IFERROR(VLOOKUP(Fix_Mapping[[#This Row],[KODE BARANG]],[1]!KINONF15[[KDBRG]:[HRG_JLMT_CTN+PPN]],7,0),0)</f>
        <v>0</v>
      </c>
      <c r="G77">
        <f>IFERROR(VLOOKUP(Fix_Mapping[[#This Row],[KODE BARANG]],[1]!KINONF15[[KDBRG]:[HRG_JLMT_CTN+PPN]],8,0),0)</f>
        <v>0</v>
      </c>
      <c r="H77">
        <f>IFERROR(VLOOKUP(Fix_Mapping[[#This Row],[KODE BARANG]],[1]!KINONF15[[KDBRG]:[HRG_JLMT_CTN+PPN]],9,0),0)</f>
        <v>0</v>
      </c>
      <c r="I77">
        <f>IFERROR(VLOOKUP(Fix_Mapping[[#This Row],[KODE BARANG]],[1]!KINONF15[[KDBRG]:[HRG_JLMT_CTN+PPN]],10,0),0)</f>
        <v>0</v>
      </c>
      <c r="J77">
        <f>IFERROR(VLOOKUP(Fix_Mapping[[#This Row],[KODE BARANG]],[1]!KINONF15[[KDBRG]:[HRG_JLMT_CTN+PPN]],11,0),0)</f>
        <v>0</v>
      </c>
      <c r="K77">
        <f>IFERROR(VLOOKUP(Fix_Mapping[[#This Row],[KODE BARANG]],[1]!KINONF15[[KDBRG]:[HRG_JLMT_CTN+PPN]],12,0),0)</f>
        <v>0</v>
      </c>
      <c r="L77">
        <f>IFERROR(VLOOKUP(Fix_Mapping[[#This Row],[KODE BARANG]],[1]!KINONF15[[KDBRG]:[HRG_JLMT_CTN+PPN]],13,0),0)</f>
        <v>0</v>
      </c>
      <c r="M77">
        <f>IFERROR(VLOOKUP(Fix_Mapping[[#This Row],[KODE BARANG]],[1]!KINONF15[[KDBRG]:[HRG_JLMT_CTN+PPN]],14,0),0)</f>
        <v>0</v>
      </c>
      <c r="N77">
        <f>IFERROR(VLOOKUP(Fix_Mapping[[#This Row],[KODE BARANG]],[1]!KINONF15[[KDBRG]:[HRG_JLMT_CTN+PPN]],15,0),0)</f>
        <v>0</v>
      </c>
      <c r="O77">
        <f>IFERROR(VLOOKUP(Fix_Mapping[[#This Row],[KODE BARANG]],[1]!KINONF15[[KDBRG]:[HRG_JLMT_CTN+PPN]],16,0),0)</f>
        <v>0</v>
      </c>
      <c r="P77">
        <f>IFERROR(VLOOKUP(Fix_Mapping[[#This Row],[KODE BARANG]],[1]!KINONF15[[KDBRG]:[HRG_JLMT_CTN+PPN]],17,0),0)</f>
        <v>0</v>
      </c>
      <c r="Q77">
        <f>IFERROR(VLOOKUP(Fix_Mapping[[#This Row],[KODE BARANG]],[1]!KINONF15[[KDBRG]:[HRG_JLMT_CTN+PPN]],18,0),0)</f>
        <v>0</v>
      </c>
      <c r="R77" t="s">
        <v>2555</v>
      </c>
      <c r="S77" t="s">
        <v>808</v>
      </c>
      <c r="T77">
        <v>0</v>
      </c>
      <c r="U77">
        <v>0</v>
      </c>
      <c r="V77">
        <v>0</v>
      </c>
      <c r="W77">
        <v>0</v>
      </c>
    </row>
    <row r="78" spans="1:23">
      <c r="A78" t="s">
        <v>1178</v>
      </c>
      <c r="B78" t="s">
        <v>1179</v>
      </c>
      <c r="C78">
        <v>36</v>
      </c>
      <c r="D78">
        <f>IFERROR(VLOOKUP(Fix_Mapping[[#This Row],[KODE BARANG]],[1]!KINONF15[[KDBRG]:[HRG_JLMT_CTN+PPN]],5,0),0)</f>
        <v>0</v>
      </c>
      <c r="E78" t="s">
        <v>2281</v>
      </c>
      <c r="F78">
        <f>IFERROR(VLOOKUP(Fix_Mapping[[#This Row],[KODE BARANG]],[1]!KINONF15[[KDBRG]:[HRG_JLMT_CTN+PPN]],7,0),0)</f>
        <v>0</v>
      </c>
      <c r="G78">
        <f>IFERROR(VLOOKUP(Fix_Mapping[[#This Row],[KODE BARANG]],[1]!KINONF15[[KDBRG]:[HRG_JLMT_CTN+PPN]],8,0),0)</f>
        <v>0</v>
      </c>
      <c r="H78">
        <f>IFERROR(VLOOKUP(Fix_Mapping[[#This Row],[KODE BARANG]],[1]!KINONF15[[KDBRG]:[HRG_JLMT_CTN+PPN]],9,0),0)</f>
        <v>0</v>
      </c>
      <c r="I78">
        <f>IFERROR(VLOOKUP(Fix_Mapping[[#This Row],[KODE BARANG]],[1]!KINONF15[[KDBRG]:[HRG_JLMT_CTN+PPN]],10,0),0)</f>
        <v>0</v>
      </c>
      <c r="J78">
        <f>IFERROR(VLOOKUP(Fix_Mapping[[#This Row],[KODE BARANG]],[1]!KINONF15[[KDBRG]:[HRG_JLMT_CTN+PPN]],11,0),0)</f>
        <v>0</v>
      </c>
      <c r="K78">
        <f>IFERROR(VLOOKUP(Fix_Mapping[[#This Row],[KODE BARANG]],[1]!KINONF15[[KDBRG]:[HRG_JLMT_CTN+PPN]],12,0),0)</f>
        <v>0</v>
      </c>
      <c r="L78">
        <f>IFERROR(VLOOKUP(Fix_Mapping[[#This Row],[KODE BARANG]],[1]!KINONF15[[KDBRG]:[HRG_JLMT_CTN+PPN]],13,0),0)</f>
        <v>0</v>
      </c>
      <c r="M78">
        <f>IFERROR(VLOOKUP(Fix_Mapping[[#This Row],[KODE BARANG]],[1]!KINONF15[[KDBRG]:[HRG_JLMT_CTN+PPN]],14,0),0)</f>
        <v>0</v>
      </c>
      <c r="N78">
        <f>IFERROR(VLOOKUP(Fix_Mapping[[#This Row],[KODE BARANG]],[1]!KINONF15[[KDBRG]:[HRG_JLMT_CTN+PPN]],15,0),0)</f>
        <v>0</v>
      </c>
      <c r="O78">
        <f>IFERROR(VLOOKUP(Fix_Mapping[[#This Row],[KODE BARANG]],[1]!KINONF15[[KDBRG]:[HRG_JLMT_CTN+PPN]],16,0),0)</f>
        <v>0</v>
      </c>
      <c r="P78">
        <f>IFERROR(VLOOKUP(Fix_Mapping[[#This Row],[KODE BARANG]],[1]!KINONF15[[KDBRG]:[HRG_JLMT_CTN+PPN]],17,0),0)</f>
        <v>0</v>
      </c>
      <c r="Q78">
        <f>IFERROR(VLOOKUP(Fix_Mapping[[#This Row],[KODE BARANG]],[1]!KINONF15[[KDBRG]:[HRG_JLMT_CTN+PPN]],18,0),0)</f>
        <v>0</v>
      </c>
      <c r="R78" t="s">
        <v>2555</v>
      </c>
      <c r="S78" t="s">
        <v>809</v>
      </c>
      <c r="T78">
        <v>0</v>
      </c>
      <c r="U78">
        <v>0</v>
      </c>
      <c r="V78">
        <v>0</v>
      </c>
      <c r="W78">
        <v>0</v>
      </c>
    </row>
    <row r="79" spans="1:23">
      <c r="A79" t="s">
        <v>1180</v>
      </c>
      <c r="B79" t="s">
        <v>1181</v>
      </c>
      <c r="C79">
        <v>36</v>
      </c>
      <c r="D79">
        <f>IFERROR(VLOOKUP(Fix_Mapping[[#This Row],[KODE BARANG]],[1]!KINONF15[[KDBRG]:[HRG_JLMT_CTN+PPN]],5,0),0)</f>
        <v>0</v>
      </c>
      <c r="E79" t="s">
        <v>2281</v>
      </c>
      <c r="F79">
        <f>IFERROR(VLOOKUP(Fix_Mapping[[#This Row],[KODE BARANG]],[1]!KINONF15[[KDBRG]:[HRG_JLMT_CTN+PPN]],7,0),0)</f>
        <v>0</v>
      </c>
      <c r="G79">
        <f>IFERROR(VLOOKUP(Fix_Mapping[[#This Row],[KODE BARANG]],[1]!KINONF15[[KDBRG]:[HRG_JLMT_CTN+PPN]],8,0),0)</f>
        <v>0</v>
      </c>
      <c r="H79">
        <f>IFERROR(VLOOKUP(Fix_Mapping[[#This Row],[KODE BARANG]],[1]!KINONF15[[KDBRG]:[HRG_JLMT_CTN+PPN]],9,0),0)</f>
        <v>0</v>
      </c>
      <c r="I79">
        <f>IFERROR(VLOOKUP(Fix_Mapping[[#This Row],[KODE BARANG]],[1]!KINONF15[[KDBRG]:[HRG_JLMT_CTN+PPN]],10,0),0)</f>
        <v>0</v>
      </c>
      <c r="J79">
        <f>IFERROR(VLOOKUP(Fix_Mapping[[#This Row],[KODE BARANG]],[1]!KINONF15[[KDBRG]:[HRG_JLMT_CTN+PPN]],11,0),0)</f>
        <v>0</v>
      </c>
      <c r="K79">
        <f>IFERROR(VLOOKUP(Fix_Mapping[[#This Row],[KODE BARANG]],[1]!KINONF15[[KDBRG]:[HRG_JLMT_CTN+PPN]],12,0),0)</f>
        <v>0</v>
      </c>
      <c r="L79">
        <f>IFERROR(VLOOKUP(Fix_Mapping[[#This Row],[KODE BARANG]],[1]!KINONF15[[KDBRG]:[HRG_JLMT_CTN+PPN]],13,0),0)</f>
        <v>0</v>
      </c>
      <c r="M79">
        <f>IFERROR(VLOOKUP(Fix_Mapping[[#This Row],[KODE BARANG]],[1]!KINONF15[[KDBRG]:[HRG_JLMT_CTN+PPN]],14,0),0)</f>
        <v>0</v>
      </c>
      <c r="N79">
        <f>IFERROR(VLOOKUP(Fix_Mapping[[#This Row],[KODE BARANG]],[1]!KINONF15[[KDBRG]:[HRG_JLMT_CTN+PPN]],15,0),0)</f>
        <v>0</v>
      </c>
      <c r="O79">
        <f>IFERROR(VLOOKUP(Fix_Mapping[[#This Row],[KODE BARANG]],[1]!KINONF15[[KDBRG]:[HRG_JLMT_CTN+PPN]],16,0),0)</f>
        <v>0</v>
      </c>
      <c r="P79">
        <f>IFERROR(VLOOKUP(Fix_Mapping[[#This Row],[KODE BARANG]],[1]!KINONF15[[KDBRG]:[HRG_JLMT_CTN+PPN]],17,0),0)</f>
        <v>0</v>
      </c>
      <c r="Q79">
        <f>IFERROR(VLOOKUP(Fix_Mapping[[#This Row],[KODE BARANG]],[1]!KINONF15[[KDBRG]:[HRG_JLMT_CTN+PPN]],18,0),0)</f>
        <v>0</v>
      </c>
      <c r="R79" t="s">
        <v>2555</v>
      </c>
      <c r="S79" t="s">
        <v>810</v>
      </c>
      <c r="T79">
        <v>0</v>
      </c>
      <c r="U79">
        <v>0</v>
      </c>
      <c r="V79">
        <v>0</v>
      </c>
      <c r="W79">
        <v>0</v>
      </c>
    </row>
    <row r="80" spans="1:23">
      <c r="A80" t="s">
        <v>1182</v>
      </c>
      <c r="B80" t="s">
        <v>1183</v>
      </c>
      <c r="C80">
        <v>36</v>
      </c>
      <c r="D80">
        <f>IFERROR(VLOOKUP(Fix_Mapping[[#This Row],[KODE BARANG]],[1]!KINONF15[[KDBRG]:[HRG_JLMT_CTN+PPN]],5,0),0)</f>
        <v>0</v>
      </c>
      <c r="E80" t="s">
        <v>2281</v>
      </c>
      <c r="F80">
        <f>IFERROR(VLOOKUP(Fix_Mapping[[#This Row],[KODE BARANG]],[1]!KINONF15[[KDBRG]:[HRG_JLMT_CTN+PPN]],7,0),0)</f>
        <v>0</v>
      </c>
      <c r="G80">
        <f>IFERROR(VLOOKUP(Fix_Mapping[[#This Row],[KODE BARANG]],[1]!KINONF15[[KDBRG]:[HRG_JLMT_CTN+PPN]],8,0),0)</f>
        <v>0</v>
      </c>
      <c r="H80">
        <f>IFERROR(VLOOKUP(Fix_Mapping[[#This Row],[KODE BARANG]],[1]!KINONF15[[KDBRG]:[HRG_JLMT_CTN+PPN]],9,0),0)</f>
        <v>0</v>
      </c>
      <c r="I80">
        <f>IFERROR(VLOOKUP(Fix_Mapping[[#This Row],[KODE BARANG]],[1]!KINONF15[[KDBRG]:[HRG_JLMT_CTN+PPN]],10,0),0)</f>
        <v>0</v>
      </c>
      <c r="J80">
        <f>IFERROR(VLOOKUP(Fix_Mapping[[#This Row],[KODE BARANG]],[1]!KINONF15[[KDBRG]:[HRG_JLMT_CTN+PPN]],11,0),0)</f>
        <v>0</v>
      </c>
      <c r="K80">
        <f>IFERROR(VLOOKUP(Fix_Mapping[[#This Row],[KODE BARANG]],[1]!KINONF15[[KDBRG]:[HRG_JLMT_CTN+PPN]],12,0),0)</f>
        <v>0</v>
      </c>
      <c r="L80">
        <f>IFERROR(VLOOKUP(Fix_Mapping[[#This Row],[KODE BARANG]],[1]!KINONF15[[KDBRG]:[HRG_JLMT_CTN+PPN]],13,0),0)</f>
        <v>0</v>
      </c>
      <c r="M80">
        <f>IFERROR(VLOOKUP(Fix_Mapping[[#This Row],[KODE BARANG]],[1]!KINONF15[[KDBRG]:[HRG_JLMT_CTN+PPN]],14,0),0)</f>
        <v>0</v>
      </c>
      <c r="N80">
        <f>IFERROR(VLOOKUP(Fix_Mapping[[#This Row],[KODE BARANG]],[1]!KINONF15[[KDBRG]:[HRG_JLMT_CTN+PPN]],15,0),0)</f>
        <v>0</v>
      </c>
      <c r="O80">
        <f>IFERROR(VLOOKUP(Fix_Mapping[[#This Row],[KODE BARANG]],[1]!KINONF15[[KDBRG]:[HRG_JLMT_CTN+PPN]],16,0),0)</f>
        <v>0</v>
      </c>
      <c r="P80">
        <f>IFERROR(VLOOKUP(Fix_Mapping[[#This Row],[KODE BARANG]],[1]!KINONF15[[KDBRG]:[HRG_JLMT_CTN+PPN]],17,0),0)</f>
        <v>0</v>
      </c>
      <c r="Q80">
        <f>IFERROR(VLOOKUP(Fix_Mapping[[#This Row],[KODE BARANG]],[1]!KINONF15[[KDBRG]:[HRG_JLMT_CTN+PPN]],18,0),0)</f>
        <v>0</v>
      </c>
      <c r="R80" t="s">
        <v>2555</v>
      </c>
      <c r="S80" t="s">
        <v>811</v>
      </c>
      <c r="T80">
        <v>0</v>
      </c>
      <c r="U80">
        <v>0</v>
      </c>
      <c r="V80">
        <v>0</v>
      </c>
      <c r="W80">
        <v>0</v>
      </c>
    </row>
    <row r="81" spans="1:23">
      <c r="A81" t="s">
        <v>2368</v>
      </c>
      <c r="B81" t="s">
        <v>1184</v>
      </c>
      <c r="C81">
        <v>48</v>
      </c>
      <c r="D81">
        <f>IFERROR(VLOOKUP(Fix_Mapping[[#This Row],[KODE BARANG]],[1]!KINONF15[[KDBRG]:[HRG_JLMT_CTN+PPN]],5,0),0)</f>
        <v>0</v>
      </c>
      <c r="E81" t="s">
        <v>2283</v>
      </c>
      <c r="F81">
        <f>IFERROR(VLOOKUP(Fix_Mapping[[#This Row],[KODE BARANG]],[1]!KINONF15[[KDBRG]:[HRG_JLMT_CTN+PPN]],7,0),0)</f>
        <v>0</v>
      </c>
      <c r="G81">
        <f>IFERROR(VLOOKUP(Fix_Mapping[[#This Row],[KODE BARANG]],[1]!KINONF15[[KDBRG]:[HRG_JLMT_CTN+PPN]],8,0),0)</f>
        <v>0</v>
      </c>
      <c r="H81">
        <f>IFERROR(VLOOKUP(Fix_Mapping[[#This Row],[KODE BARANG]],[1]!KINONF15[[KDBRG]:[HRG_JLMT_CTN+PPN]],9,0),0)</f>
        <v>0</v>
      </c>
      <c r="I81">
        <f>IFERROR(VLOOKUP(Fix_Mapping[[#This Row],[KODE BARANG]],[1]!KINONF15[[KDBRG]:[HRG_JLMT_CTN+PPN]],10,0),0)</f>
        <v>0</v>
      </c>
      <c r="J81">
        <f>IFERROR(VLOOKUP(Fix_Mapping[[#This Row],[KODE BARANG]],[1]!KINONF15[[KDBRG]:[HRG_JLMT_CTN+PPN]],11,0),0)</f>
        <v>0</v>
      </c>
      <c r="K81">
        <f>IFERROR(VLOOKUP(Fix_Mapping[[#This Row],[KODE BARANG]],[1]!KINONF15[[KDBRG]:[HRG_JLMT_CTN+PPN]],12,0),0)</f>
        <v>0</v>
      </c>
      <c r="L81">
        <f>IFERROR(VLOOKUP(Fix_Mapping[[#This Row],[KODE BARANG]],[1]!KINONF15[[KDBRG]:[HRG_JLMT_CTN+PPN]],13,0),0)</f>
        <v>0</v>
      </c>
      <c r="M81">
        <f>IFERROR(VLOOKUP(Fix_Mapping[[#This Row],[KODE BARANG]],[1]!KINONF15[[KDBRG]:[HRG_JLMT_CTN+PPN]],14,0),0)</f>
        <v>0</v>
      </c>
      <c r="N81">
        <f>IFERROR(VLOOKUP(Fix_Mapping[[#This Row],[KODE BARANG]],[1]!KINONF15[[KDBRG]:[HRG_JLMT_CTN+PPN]],15,0),0)</f>
        <v>0</v>
      </c>
      <c r="O81">
        <f>IFERROR(VLOOKUP(Fix_Mapping[[#This Row],[KODE BARANG]],[1]!KINONF15[[KDBRG]:[HRG_JLMT_CTN+PPN]],16,0),0)</f>
        <v>0</v>
      </c>
      <c r="P81">
        <f>IFERROR(VLOOKUP(Fix_Mapping[[#This Row],[KODE BARANG]],[1]!KINONF15[[KDBRG]:[HRG_JLMT_CTN+PPN]],17,0),0)</f>
        <v>0</v>
      </c>
      <c r="Q81">
        <f>IFERROR(VLOOKUP(Fix_Mapping[[#This Row],[KODE BARANG]],[1]!KINONF15[[KDBRG]:[HRG_JLMT_CTN+PPN]],18,0),0)</f>
        <v>0</v>
      </c>
      <c r="R81" t="s">
        <v>2555</v>
      </c>
      <c r="S81" t="s">
        <v>835</v>
      </c>
      <c r="T81">
        <v>0</v>
      </c>
      <c r="U81">
        <v>0</v>
      </c>
      <c r="V81">
        <v>0</v>
      </c>
      <c r="W81">
        <v>0</v>
      </c>
    </row>
    <row r="82" spans="1:23">
      <c r="A82" t="s">
        <v>2369</v>
      </c>
      <c r="B82" t="s">
        <v>1185</v>
      </c>
      <c r="C82">
        <v>48</v>
      </c>
      <c r="D82">
        <f>IFERROR(VLOOKUP(Fix_Mapping[[#This Row],[KODE BARANG]],[1]!KINONF15[[KDBRG]:[HRG_JLMT_CTN+PPN]],5,0),0)</f>
        <v>0</v>
      </c>
      <c r="E82" t="s">
        <v>2283</v>
      </c>
      <c r="F82">
        <f>IFERROR(VLOOKUP(Fix_Mapping[[#This Row],[KODE BARANG]],[1]!KINONF15[[KDBRG]:[HRG_JLMT_CTN+PPN]],7,0),0)</f>
        <v>0</v>
      </c>
      <c r="G82">
        <f>IFERROR(VLOOKUP(Fix_Mapping[[#This Row],[KODE BARANG]],[1]!KINONF15[[KDBRG]:[HRG_JLMT_CTN+PPN]],8,0),0)</f>
        <v>0</v>
      </c>
      <c r="H82">
        <f>IFERROR(VLOOKUP(Fix_Mapping[[#This Row],[KODE BARANG]],[1]!KINONF15[[KDBRG]:[HRG_JLMT_CTN+PPN]],9,0),0)</f>
        <v>0</v>
      </c>
      <c r="I82">
        <f>IFERROR(VLOOKUP(Fix_Mapping[[#This Row],[KODE BARANG]],[1]!KINONF15[[KDBRG]:[HRG_JLMT_CTN+PPN]],10,0),0)</f>
        <v>0</v>
      </c>
      <c r="J82">
        <f>IFERROR(VLOOKUP(Fix_Mapping[[#This Row],[KODE BARANG]],[1]!KINONF15[[KDBRG]:[HRG_JLMT_CTN+PPN]],11,0),0)</f>
        <v>0</v>
      </c>
      <c r="K82">
        <f>IFERROR(VLOOKUP(Fix_Mapping[[#This Row],[KODE BARANG]],[1]!KINONF15[[KDBRG]:[HRG_JLMT_CTN+PPN]],12,0),0)</f>
        <v>0</v>
      </c>
      <c r="L82">
        <f>IFERROR(VLOOKUP(Fix_Mapping[[#This Row],[KODE BARANG]],[1]!KINONF15[[KDBRG]:[HRG_JLMT_CTN+PPN]],13,0),0)</f>
        <v>0</v>
      </c>
      <c r="M82">
        <f>IFERROR(VLOOKUP(Fix_Mapping[[#This Row],[KODE BARANG]],[1]!KINONF15[[KDBRG]:[HRG_JLMT_CTN+PPN]],14,0),0)</f>
        <v>0</v>
      </c>
      <c r="N82">
        <f>IFERROR(VLOOKUP(Fix_Mapping[[#This Row],[KODE BARANG]],[1]!KINONF15[[KDBRG]:[HRG_JLMT_CTN+PPN]],15,0),0)</f>
        <v>0</v>
      </c>
      <c r="O82">
        <f>IFERROR(VLOOKUP(Fix_Mapping[[#This Row],[KODE BARANG]],[1]!KINONF15[[KDBRG]:[HRG_JLMT_CTN+PPN]],16,0),0)</f>
        <v>0</v>
      </c>
      <c r="P82">
        <f>IFERROR(VLOOKUP(Fix_Mapping[[#This Row],[KODE BARANG]],[1]!KINONF15[[KDBRG]:[HRG_JLMT_CTN+PPN]],17,0),0)</f>
        <v>0</v>
      </c>
      <c r="Q82">
        <f>IFERROR(VLOOKUP(Fix_Mapping[[#This Row],[KODE BARANG]],[1]!KINONF15[[KDBRG]:[HRG_JLMT_CTN+PPN]],18,0),0)</f>
        <v>0</v>
      </c>
      <c r="R82" t="s">
        <v>2555</v>
      </c>
      <c r="S82" t="s">
        <v>837</v>
      </c>
      <c r="T82" t="s">
        <v>836</v>
      </c>
      <c r="U82">
        <v>0</v>
      </c>
      <c r="V82">
        <v>0</v>
      </c>
      <c r="W82">
        <v>0</v>
      </c>
    </row>
    <row r="83" spans="1:23">
      <c r="A83" t="s">
        <v>2370</v>
      </c>
      <c r="B83" t="s">
        <v>1186</v>
      </c>
      <c r="C83">
        <v>48</v>
      </c>
      <c r="D83">
        <f>IFERROR(VLOOKUP(Fix_Mapping[[#This Row],[KODE BARANG]],[1]!KINONF15[[KDBRG]:[HRG_JLMT_CTN+PPN]],5,0),0)</f>
        <v>0</v>
      </c>
      <c r="E83" t="s">
        <v>2283</v>
      </c>
      <c r="F83">
        <f>IFERROR(VLOOKUP(Fix_Mapping[[#This Row],[KODE BARANG]],[1]!KINONF15[[KDBRG]:[HRG_JLMT_CTN+PPN]],7,0),0)</f>
        <v>0</v>
      </c>
      <c r="G83">
        <f>IFERROR(VLOOKUP(Fix_Mapping[[#This Row],[KODE BARANG]],[1]!KINONF15[[KDBRG]:[HRG_JLMT_CTN+PPN]],8,0),0)</f>
        <v>0</v>
      </c>
      <c r="H83">
        <f>IFERROR(VLOOKUP(Fix_Mapping[[#This Row],[KODE BARANG]],[1]!KINONF15[[KDBRG]:[HRG_JLMT_CTN+PPN]],9,0),0)</f>
        <v>0</v>
      </c>
      <c r="I83">
        <f>IFERROR(VLOOKUP(Fix_Mapping[[#This Row],[KODE BARANG]],[1]!KINONF15[[KDBRG]:[HRG_JLMT_CTN+PPN]],10,0),0)</f>
        <v>0</v>
      </c>
      <c r="J83">
        <f>IFERROR(VLOOKUP(Fix_Mapping[[#This Row],[KODE BARANG]],[1]!KINONF15[[KDBRG]:[HRG_JLMT_CTN+PPN]],11,0),0)</f>
        <v>0</v>
      </c>
      <c r="K83">
        <f>IFERROR(VLOOKUP(Fix_Mapping[[#This Row],[KODE BARANG]],[1]!KINONF15[[KDBRG]:[HRG_JLMT_CTN+PPN]],12,0),0)</f>
        <v>0</v>
      </c>
      <c r="L83">
        <f>IFERROR(VLOOKUP(Fix_Mapping[[#This Row],[KODE BARANG]],[1]!KINONF15[[KDBRG]:[HRG_JLMT_CTN+PPN]],13,0),0)</f>
        <v>0</v>
      </c>
      <c r="M83">
        <f>IFERROR(VLOOKUP(Fix_Mapping[[#This Row],[KODE BARANG]],[1]!KINONF15[[KDBRG]:[HRG_JLMT_CTN+PPN]],14,0),0)</f>
        <v>0</v>
      </c>
      <c r="N83">
        <f>IFERROR(VLOOKUP(Fix_Mapping[[#This Row],[KODE BARANG]],[1]!KINONF15[[KDBRG]:[HRG_JLMT_CTN+PPN]],15,0),0)</f>
        <v>0</v>
      </c>
      <c r="O83">
        <f>IFERROR(VLOOKUP(Fix_Mapping[[#This Row],[KODE BARANG]],[1]!KINONF15[[KDBRG]:[HRG_JLMT_CTN+PPN]],16,0),0)</f>
        <v>0</v>
      </c>
      <c r="P83">
        <f>IFERROR(VLOOKUP(Fix_Mapping[[#This Row],[KODE BARANG]],[1]!KINONF15[[KDBRG]:[HRG_JLMT_CTN+PPN]],17,0),0)</f>
        <v>0</v>
      </c>
      <c r="Q83">
        <f>IFERROR(VLOOKUP(Fix_Mapping[[#This Row],[KODE BARANG]],[1]!KINONF15[[KDBRG]:[HRG_JLMT_CTN+PPN]],18,0),0)</f>
        <v>0</v>
      </c>
      <c r="R83" t="s">
        <v>2555</v>
      </c>
      <c r="S83" t="s">
        <v>839</v>
      </c>
      <c r="T83" t="s">
        <v>838</v>
      </c>
      <c r="U83">
        <v>0</v>
      </c>
      <c r="V83">
        <v>0</v>
      </c>
      <c r="W83">
        <v>0</v>
      </c>
    </row>
    <row r="84" spans="1:23">
      <c r="A84" t="s">
        <v>2371</v>
      </c>
      <c r="B84" t="s">
        <v>1187</v>
      </c>
      <c r="C84">
        <v>48</v>
      </c>
      <c r="D84">
        <f>IFERROR(VLOOKUP(Fix_Mapping[[#This Row],[KODE BARANG]],[1]!KINONF15[[KDBRG]:[HRG_JLMT_CTN+PPN]],5,0),0)</f>
        <v>0</v>
      </c>
      <c r="E84" t="s">
        <v>2283</v>
      </c>
      <c r="F84">
        <f>IFERROR(VLOOKUP(Fix_Mapping[[#This Row],[KODE BARANG]],[1]!KINONF15[[KDBRG]:[HRG_JLMT_CTN+PPN]],7,0),0)</f>
        <v>0</v>
      </c>
      <c r="G84">
        <f>IFERROR(VLOOKUP(Fix_Mapping[[#This Row],[KODE BARANG]],[1]!KINONF15[[KDBRG]:[HRG_JLMT_CTN+PPN]],8,0),0)</f>
        <v>0</v>
      </c>
      <c r="H84">
        <f>IFERROR(VLOOKUP(Fix_Mapping[[#This Row],[KODE BARANG]],[1]!KINONF15[[KDBRG]:[HRG_JLMT_CTN+PPN]],9,0),0)</f>
        <v>0</v>
      </c>
      <c r="I84">
        <f>IFERROR(VLOOKUP(Fix_Mapping[[#This Row],[KODE BARANG]],[1]!KINONF15[[KDBRG]:[HRG_JLMT_CTN+PPN]],10,0),0)</f>
        <v>0</v>
      </c>
      <c r="J84">
        <f>IFERROR(VLOOKUP(Fix_Mapping[[#This Row],[KODE BARANG]],[1]!KINONF15[[KDBRG]:[HRG_JLMT_CTN+PPN]],11,0),0)</f>
        <v>0</v>
      </c>
      <c r="K84">
        <f>IFERROR(VLOOKUP(Fix_Mapping[[#This Row],[KODE BARANG]],[1]!KINONF15[[KDBRG]:[HRG_JLMT_CTN+PPN]],12,0),0)</f>
        <v>0</v>
      </c>
      <c r="L84">
        <f>IFERROR(VLOOKUP(Fix_Mapping[[#This Row],[KODE BARANG]],[1]!KINONF15[[KDBRG]:[HRG_JLMT_CTN+PPN]],13,0),0)</f>
        <v>0</v>
      </c>
      <c r="M84">
        <f>IFERROR(VLOOKUP(Fix_Mapping[[#This Row],[KODE BARANG]],[1]!KINONF15[[KDBRG]:[HRG_JLMT_CTN+PPN]],14,0),0)</f>
        <v>0</v>
      </c>
      <c r="N84">
        <f>IFERROR(VLOOKUP(Fix_Mapping[[#This Row],[KODE BARANG]],[1]!KINONF15[[KDBRG]:[HRG_JLMT_CTN+PPN]],15,0),0)</f>
        <v>0</v>
      </c>
      <c r="O84">
        <f>IFERROR(VLOOKUP(Fix_Mapping[[#This Row],[KODE BARANG]],[1]!KINONF15[[KDBRG]:[HRG_JLMT_CTN+PPN]],16,0),0)</f>
        <v>0</v>
      </c>
      <c r="P84">
        <f>IFERROR(VLOOKUP(Fix_Mapping[[#This Row],[KODE BARANG]],[1]!KINONF15[[KDBRG]:[HRG_JLMT_CTN+PPN]],17,0),0)</f>
        <v>0</v>
      </c>
      <c r="Q84">
        <f>IFERROR(VLOOKUP(Fix_Mapping[[#This Row],[KODE BARANG]],[1]!KINONF15[[KDBRG]:[HRG_JLMT_CTN+PPN]],18,0),0)</f>
        <v>0</v>
      </c>
      <c r="R84" t="s">
        <v>2555</v>
      </c>
      <c r="S84" t="s">
        <v>840</v>
      </c>
      <c r="T84" t="s">
        <v>841</v>
      </c>
      <c r="U84">
        <v>0</v>
      </c>
      <c r="V84">
        <v>0</v>
      </c>
      <c r="W84">
        <v>0</v>
      </c>
    </row>
    <row r="85" spans="1:23">
      <c r="A85" t="s">
        <v>2372</v>
      </c>
      <c r="B85" t="s">
        <v>1188</v>
      </c>
      <c r="C85">
        <v>48</v>
      </c>
      <c r="D85">
        <f>IFERROR(VLOOKUP(Fix_Mapping[[#This Row],[KODE BARANG]],[1]!KINONF15[[KDBRG]:[HRG_JLMT_CTN+PPN]],5,0),0)</f>
        <v>0</v>
      </c>
      <c r="E85" t="s">
        <v>2283</v>
      </c>
      <c r="F85">
        <f>IFERROR(VLOOKUP(Fix_Mapping[[#This Row],[KODE BARANG]],[1]!KINONF15[[KDBRG]:[HRG_JLMT_CTN+PPN]],7,0),0)</f>
        <v>0</v>
      </c>
      <c r="G85">
        <f>IFERROR(VLOOKUP(Fix_Mapping[[#This Row],[KODE BARANG]],[1]!KINONF15[[KDBRG]:[HRG_JLMT_CTN+PPN]],8,0),0)</f>
        <v>0</v>
      </c>
      <c r="H85">
        <f>IFERROR(VLOOKUP(Fix_Mapping[[#This Row],[KODE BARANG]],[1]!KINONF15[[KDBRG]:[HRG_JLMT_CTN+PPN]],9,0),0)</f>
        <v>0</v>
      </c>
      <c r="I85">
        <f>IFERROR(VLOOKUP(Fix_Mapping[[#This Row],[KODE BARANG]],[1]!KINONF15[[KDBRG]:[HRG_JLMT_CTN+PPN]],10,0),0)</f>
        <v>0</v>
      </c>
      <c r="J85">
        <f>IFERROR(VLOOKUP(Fix_Mapping[[#This Row],[KODE BARANG]],[1]!KINONF15[[KDBRG]:[HRG_JLMT_CTN+PPN]],11,0),0)</f>
        <v>0</v>
      </c>
      <c r="K85">
        <f>IFERROR(VLOOKUP(Fix_Mapping[[#This Row],[KODE BARANG]],[1]!KINONF15[[KDBRG]:[HRG_JLMT_CTN+PPN]],12,0),0)</f>
        <v>0</v>
      </c>
      <c r="L85">
        <f>IFERROR(VLOOKUP(Fix_Mapping[[#This Row],[KODE BARANG]],[1]!KINONF15[[KDBRG]:[HRG_JLMT_CTN+PPN]],13,0),0)</f>
        <v>0</v>
      </c>
      <c r="M85">
        <f>IFERROR(VLOOKUP(Fix_Mapping[[#This Row],[KODE BARANG]],[1]!KINONF15[[KDBRG]:[HRG_JLMT_CTN+PPN]],14,0),0)</f>
        <v>0</v>
      </c>
      <c r="N85">
        <f>IFERROR(VLOOKUP(Fix_Mapping[[#This Row],[KODE BARANG]],[1]!KINONF15[[KDBRG]:[HRG_JLMT_CTN+PPN]],15,0),0)</f>
        <v>0</v>
      </c>
      <c r="O85">
        <f>IFERROR(VLOOKUP(Fix_Mapping[[#This Row],[KODE BARANG]],[1]!KINONF15[[KDBRG]:[HRG_JLMT_CTN+PPN]],16,0),0)</f>
        <v>0</v>
      </c>
      <c r="P85">
        <f>IFERROR(VLOOKUP(Fix_Mapping[[#This Row],[KODE BARANG]],[1]!KINONF15[[KDBRG]:[HRG_JLMT_CTN+PPN]],17,0),0)</f>
        <v>0</v>
      </c>
      <c r="Q85">
        <f>IFERROR(VLOOKUP(Fix_Mapping[[#This Row],[KODE BARANG]],[1]!KINONF15[[KDBRG]:[HRG_JLMT_CTN+PPN]],18,0),0)</f>
        <v>0</v>
      </c>
      <c r="R85" t="s">
        <v>2555</v>
      </c>
      <c r="S85" t="s">
        <v>842</v>
      </c>
      <c r="T85">
        <v>0</v>
      </c>
      <c r="U85">
        <v>0</v>
      </c>
      <c r="V85">
        <v>0</v>
      </c>
      <c r="W85">
        <v>0</v>
      </c>
    </row>
    <row r="86" spans="1:23">
      <c r="A86" t="s">
        <v>2373</v>
      </c>
      <c r="B86" t="s">
        <v>1189</v>
      </c>
      <c r="C86">
        <v>48</v>
      </c>
      <c r="D86">
        <f>IFERROR(VLOOKUP(Fix_Mapping[[#This Row],[KODE BARANG]],[1]!KINONF15[[KDBRG]:[HRG_JLMT_CTN+PPN]],5,0),0)</f>
        <v>0</v>
      </c>
      <c r="E86" t="s">
        <v>2283</v>
      </c>
      <c r="F86">
        <f>IFERROR(VLOOKUP(Fix_Mapping[[#This Row],[KODE BARANG]],[1]!KINONF15[[KDBRG]:[HRG_JLMT_CTN+PPN]],7,0),0)</f>
        <v>0</v>
      </c>
      <c r="G86">
        <f>IFERROR(VLOOKUP(Fix_Mapping[[#This Row],[KODE BARANG]],[1]!KINONF15[[KDBRG]:[HRG_JLMT_CTN+PPN]],8,0),0)</f>
        <v>0</v>
      </c>
      <c r="H86">
        <f>IFERROR(VLOOKUP(Fix_Mapping[[#This Row],[KODE BARANG]],[1]!KINONF15[[KDBRG]:[HRG_JLMT_CTN+PPN]],9,0),0)</f>
        <v>0</v>
      </c>
      <c r="I86">
        <f>IFERROR(VLOOKUP(Fix_Mapping[[#This Row],[KODE BARANG]],[1]!KINONF15[[KDBRG]:[HRG_JLMT_CTN+PPN]],10,0),0)</f>
        <v>0</v>
      </c>
      <c r="J86">
        <f>IFERROR(VLOOKUP(Fix_Mapping[[#This Row],[KODE BARANG]],[1]!KINONF15[[KDBRG]:[HRG_JLMT_CTN+PPN]],11,0),0)</f>
        <v>0</v>
      </c>
      <c r="K86">
        <f>IFERROR(VLOOKUP(Fix_Mapping[[#This Row],[KODE BARANG]],[1]!KINONF15[[KDBRG]:[HRG_JLMT_CTN+PPN]],12,0),0)</f>
        <v>0</v>
      </c>
      <c r="L86">
        <f>IFERROR(VLOOKUP(Fix_Mapping[[#This Row],[KODE BARANG]],[1]!KINONF15[[KDBRG]:[HRG_JLMT_CTN+PPN]],13,0),0)</f>
        <v>0</v>
      </c>
      <c r="M86">
        <f>IFERROR(VLOOKUP(Fix_Mapping[[#This Row],[KODE BARANG]],[1]!KINONF15[[KDBRG]:[HRG_JLMT_CTN+PPN]],14,0),0)</f>
        <v>0</v>
      </c>
      <c r="N86">
        <f>IFERROR(VLOOKUP(Fix_Mapping[[#This Row],[KODE BARANG]],[1]!KINONF15[[KDBRG]:[HRG_JLMT_CTN+PPN]],15,0),0)</f>
        <v>0</v>
      </c>
      <c r="O86">
        <f>IFERROR(VLOOKUP(Fix_Mapping[[#This Row],[KODE BARANG]],[1]!KINONF15[[KDBRG]:[HRG_JLMT_CTN+PPN]],16,0),0)</f>
        <v>0</v>
      </c>
      <c r="P86">
        <f>IFERROR(VLOOKUP(Fix_Mapping[[#This Row],[KODE BARANG]],[1]!KINONF15[[KDBRG]:[HRG_JLMT_CTN+PPN]],17,0),0)</f>
        <v>0</v>
      </c>
      <c r="Q86">
        <f>IFERROR(VLOOKUP(Fix_Mapping[[#This Row],[KODE BARANG]],[1]!KINONF15[[KDBRG]:[HRG_JLMT_CTN+PPN]],18,0),0)</f>
        <v>0</v>
      </c>
      <c r="R86" t="s">
        <v>2555</v>
      </c>
      <c r="S86" t="s">
        <v>843</v>
      </c>
      <c r="T86">
        <v>0</v>
      </c>
      <c r="U86">
        <v>0</v>
      </c>
      <c r="V86">
        <v>0</v>
      </c>
      <c r="W86">
        <v>0</v>
      </c>
    </row>
    <row r="87" spans="1:23">
      <c r="A87" t="s">
        <v>1190</v>
      </c>
      <c r="B87" t="s">
        <v>1191</v>
      </c>
      <c r="C87">
        <v>48</v>
      </c>
      <c r="D87">
        <f>IFERROR(VLOOKUP(Fix_Mapping[[#This Row],[KODE BARANG]],[1]!KINONF15[[KDBRG]:[HRG_JLMT_CTN+PPN]],5,0),0)</f>
        <v>0</v>
      </c>
      <c r="E87" t="s">
        <v>2283</v>
      </c>
      <c r="F87">
        <f>IFERROR(VLOOKUP(Fix_Mapping[[#This Row],[KODE BARANG]],[1]!KINONF15[[KDBRG]:[HRG_JLMT_CTN+PPN]],7,0),0)</f>
        <v>0</v>
      </c>
      <c r="G87">
        <f>IFERROR(VLOOKUP(Fix_Mapping[[#This Row],[KODE BARANG]],[1]!KINONF15[[KDBRG]:[HRG_JLMT_CTN+PPN]],8,0),0)</f>
        <v>0</v>
      </c>
      <c r="H87">
        <f>IFERROR(VLOOKUP(Fix_Mapping[[#This Row],[KODE BARANG]],[1]!KINONF15[[KDBRG]:[HRG_JLMT_CTN+PPN]],9,0),0)</f>
        <v>0</v>
      </c>
      <c r="I87">
        <f>IFERROR(VLOOKUP(Fix_Mapping[[#This Row],[KODE BARANG]],[1]!KINONF15[[KDBRG]:[HRG_JLMT_CTN+PPN]],10,0),0)</f>
        <v>0</v>
      </c>
      <c r="J87">
        <f>IFERROR(VLOOKUP(Fix_Mapping[[#This Row],[KODE BARANG]],[1]!KINONF15[[KDBRG]:[HRG_JLMT_CTN+PPN]],11,0),0)</f>
        <v>0</v>
      </c>
      <c r="K87">
        <f>IFERROR(VLOOKUP(Fix_Mapping[[#This Row],[KODE BARANG]],[1]!KINONF15[[KDBRG]:[HRG_JLMT_CTN+PPN]],12,0),0)</f>
        <v>0</v>
      </c>
      <c r="L87">
        <f>IFERROR(VLOOKUP(Fix_Mapping[[#This Row],[KODE BARANG]],[1]!KINONF15[[KDBRG]:[HRG_JLMT_CTN+PPN]],13,0),0)</f>
        <v>0</v>
      </c>
      <c r="M87">
        <f>IFERROR(VLOOKUP(Fix_Mapping[[#This Row],[KODE BARANG]],[1]!KINONF15[[KDBRG]:[HRG_JLMT_CTN+PPN]],14,0),0)</f>
        <v>0</v>
      </c>
      <c r="N87">
        <f>IFERROR(VLOOKUP(Fix_Mapping[[#This Row],[KODE BARANG]],[1]!KINONF15[[KDBRG]:[HRG_JLMT_CTN+PPN]],15,0),0)</f>
        <v>0</v>
      </c>
      <c r="O87">
        <f>IFERROR(VLOOKUP(Fix_Mapping[[#This Row],[KODE BARANG]],[1]!KINONF15[[KDBRG]:[HRG_JLMT_CTN+PPN]],16,0),0)</f>
        <v>0</v>
      </c>
      <c r="P87">
        <f>IFERROR(VLOOKUP(Fix_Mapping[[#This Row],[KODE BARANG]],[1]!KINONF15[[KDBRG]:[HRG_JLMT_CTN+PPN]],17,0),0)</f>
        <v>0</v>
      </c>
      <c r="Q87">
        <f>IFERROR(VLOOKUP(Fix_Mapping[[#This Row],[KODE BARANG]],[1]!KINONF15[[KDBRG]:[HRG_JLMT_CTN+PPN]],18,0),0)</f>
        <v>0</v>
      </c>
      <c r="R87" t="s">
        <v>2555</v>
      </c>
      <c r="S87" t="s">
        <v>844</v>
      </c>
      <c r="T87">
        <v>0</v>
      </c>
      <c r="U87">
        <v>0</v>
      </c>
      <c r="V87">
        <v>0</v>
      </c>
      <c r="W87">
        <v>0</v>
      </c>
    </row>
    <row r="88" spans="1:23">
      <c r="A88" t="s">
        <v>1192</v>
      </c>
      <c r="B88" t="s">
        <v>1193</v>
      </c>
      <c r="C88">
        <v>24</v>
      </c>
      <c r="D88">
        <f>IFERROR(VLOOKUP(Fix_Mapping[[#This Row],[KODE BARANG]],[1]!KINONF15[[KDBRG]:[HRG_JLMT_CTN+PPN]],5,0),0)</f>
        <v>0</v>
      </c>
      <c r="E88" t="s">
        <v>2285</v>
      </c>
      <c r="F88">
        <f>IFERROR(VLOOKUP(Fix_Mapping[[#This Row],[KODE BARANG]],[1]!KINONF15[[KDBRG]:[HRG_JLMT_CTN+PPN]],7,0),0)</f>
        <v>0</v>
      </c>
      <c r="G88">
        <f>IFERROR(VLOOKUP(Fix_Mapping[[#This Row],[KODE BARANG]],[1]!KINONF15[[KDBRG]:[HRG_JLMT_CTN+PPN]],8,0),0)</f>
        <v>0</v>
      </c>
      <c r="H88">
        <f>IFERROR(VLOOKUP(Fix_Mapping[[#This Row],[KODE BARANG]],[1]!KINONF15[[KDBRG]:[HRG_JLMT_CTN+PPN]],9,0),0)</f>
        <v>0</v>
      </c>
      <c r="I88">
        <f>IFERROR(VLOOKUP(Fix_Mapping[[#This Row],[KODE BARANG]],[1]!KINONF15[[KDBRG]:[HRG_JLMT_CTN+PPN]],10,0),0)</f>
        <v>0</v>
      </c>
      <c r="J88">
        <f>IFERROR(VLOOKUP(Fix_Mapping[[#This Row],[KODE BARANG]],[1]!KINONF15[[KDBRG]:[HRG_JLMT_CTN+PPN]],11,0),0)</f>
        <v>0</v>
      </c>
      <c r="K88">
        <f>IFERROR(VLOOKUP(Fix_Mapping[[#This Row],[KODE BARANG]],[1]!KINONF15[[KDBRG]:[HRG_JLMT_CTN+PPN]],12,0),0)</f>
        <v>0</v>
      </c>
      <c r="L88">
        <f>IFERROR(VLOOKUP(Fix_Mapping[[#This Row],[KODE BARANG]],[1]!KINONF15[[KDBRG]:[HRG_JLMT_CTN+PPN]],13,0),0)</f>
        <v>0</v>
      </c>
      <c r="M88">
        <f>IFERROR(VLOOKUP(Fix_Mapping[[#This Row],[KODE BARANG]],[1]!KINONF15[[KDBRG]:[HRG_JLMT_CTN+PPN]],14,0),0)</f>
        <v>0</v>
      </c>
      <c r="N88">
        <f>IFERROR(VLOOKUP(Fix_Mapping[[#This Row],[KODE BARANG]],[1]!KINONF15[[KDBRG]:[HRG_JLMT_CTN+PPN]],15,0),0)</f>
        <v>0</v>
      </c>
      <c r="O88">
        <f>IFERROR(VLOOKUP(Fix_Mapping[[#This Row],[KODE BARANG]],[1]!KINONF15[[KDBRG]:[HRG_JLMT_CTN+PPN]],16,0),0)</f>
        <v>0</v>
      </c>
      <c r="P88">
        <f>IFERROR(VLOOKUP(Fix_Mapping[[#This Row],[KODE BARANG]],[1]!KINONF15[[KDBRG]:[HRG_JLMT_CTN+PPN]],17,0),0)</f>
        <v>0</v>
      </c>
      <c r="Q88">
        <f>IFERROR(VLOOKUP(Fix_Mapping[[#This Row],[KODE BARANG]],[1]!KINONF15[[KDBRG]:[HRG_JLMT_CTN+PPN]],18,0),0)</f>
        <v>0</v>
      </c>
      <c r="R88" t="s">
        <v>2555</v>
      </c>
      <c r="S88" t="s">
        <v>845</v>
      </c>
      <c r="T88">
        <v>0</v>
      </c>
      <c r="U88">
        <v>0</v>
      </c>
      <c r="V88">
        <v>0</v>
      </c>
      <c r="W88">
        <v>0</v>
      </c>
    </row>
    <row r="89" spans="1:23">
      <c r="A89" t="s">
        <v>1194</v>
      </c>
      <c r="B89" t="s">
        <v>1195</v>
      </c>
      <c r="C89">
        <v>24</v>
      </c>
      <c r="D89">
        <f>IFERROR(VLOOKUP(Fix_Mapping[[#This Row],[KODE BARANG]],[1]!KINONF15[[KDBRG]:[HRG_JLMT_CTN+PPN]],5,0),0)</f>
        <v>0</v>
      </c>
      <c r="E89" t="s">
        <v>2285</v>
      </c>
      <c r="F89">
        <f>IFERROR(VLOOKUP(Fix_Mapping[[#This Row],[KODE BARANG]],[1]!KINONF15[[KDBRG]:[HRG_JLMT_CTN+PPN]],7,0),0)</f>
        <v>0</v>
      </c>
      <c r="G89">
        <f>IFERROR(VLOOKUP(Fix_Mapping[[#This Row],[KODE BARANG]],[1]!KINONF15[[KDBRG]:[HRG_JLMT_CTN+PPN]],8,0),0)</f>
        <v>0</v>
      </c>
      <c r="H89">
        <f>IFERROR(VLOOKUP(Fix_Mapping[[#This Row],[KODE BARANG]],[1]!KINONF15[[KDBRG]:[HRG_JLMT_CTN+PPN]],9,0),0)</f>
        <v>0</v>
      </c>
      <c r="I89">
        <f>IFERROR(VLOOKUP(Fix_Mapping[[#This Row],[KODE BARANG]],[1]!KINONF15[[KDBRG]:[HRG_JLMT_CTN+PPN]],10,0),0)</f>
        <v>0</v>
      </c>
      <c r="J89">
        <f>IFERROR(VLOOKUP(Fix_Mapping[[#This Row],[KODE BARANG]],[1]!KINONF15[[KDBRG]:[HRG_JLMT_CTN+PPN]],11,0),0)</f>
        <v>0</v>
      </c>
      <c r="K89">
        <f>IFERROR(VLOOKUP(Fix_Mapping[[#This Row],[KODE BARANG]],[1]!KINONF15[[KDBRG]:[HRG_JLMT_CTN+PPN]],12,0),0)</f>
        <v>0</v>
      </c>
      <c r="L89">
        <f>IFERROR(VLOOKUP(Fix_Mapping[[#This Row],[KODE BARANG]],[1]!KINONF15[[KDBRG]:[HRG_JLMT_CTN+PPN]],13,0),0)</f>
        <v>0</v>
      </c>
      <c r="M89">
        <f>IFERROR(VLOOKUP(Fix_Mapping[[#This Row],[KODE BARANG]],[1]!KINONF15[[KDBRG]:[HRG_JLMT_CTN+PPN]],14,0),0)</f>
        <v>0</v>
      </c>
      <c r="N89">
        <f>IFERROR(VLOOKUP(Fix_Mapping[[#This Row],[KODE BARANG]],[1]!KINONF15[[KDBRG]:[HRG_JLMT_CTN+PPN]],15,0),0)</f>
        <v>0</v>
      </c>
      <c r="O89">
        <f>IFERROR(VLOOKUP(Fix_Mapping[[#This Row],[KODE BARANG]],[1]!KINONF15[[KDBRG]:[HRG_JLMT_CTN+PPN]],16,0),0)</f>
        <v>0</v>
      </c>
      <c r="P89">
        <f>IFERROR(VLOOKUP(Fix_Mapping[[#This Row],[KODE BARANG]],[1]!KINONF15[[KDBRG]:[HRG_JLMT_CTN+PPN]],17,0),0)</f>
        <v>0</v>
      </c>
      <c r="Q89">
        <f>IFERROR(VLOOKUP(Fix_Mapping[[#This Row],[KODE BARANG]],[1]!KINONF15[[KDBRG]:[HRG_JLMT_CTN+PPN]],18,0),0)</f>
        <v>0</v>
      </c>
      <c r="R89" t="s">
        <v>2555</v>
      </c>
      <c r="S89" t="s">
        <v>846</v>
      </c>
      <c r="T89">
        <v>0</v>
      </c>
      <c r="U89">
        <v>0</v>
      </c>
      <c r="V89">
        <v>0</v>
      </c>
      <c r="W89">
        <v>0</v>
      </c>
    </row>
    <row r="90" spans="1:23">
      <c r="A90" t="s">
        <v>1196</v>
      </c>
      <c r="B90" t="s">
        <v>1197</v>
      </c>
      <c r="C90">
        <v>24</v>
      </c>
      <c r="D90">
        <f>IFERROR(VLOOKUP(Fix_Mapping[[#This Row],[KODE BARANG]],[1]!KINONF15[[KDBRG]:[HRG_JLMT_CTN+PPN]],5,0),0)</f>
        <v>0</v>
      </c>
      <c r="E90" t="s">
        <v>2273</v>
      </c>
      <c r="F90">
        <f>IFERROR(VLOOKUP(Fix_Mapping[[#This Row],[KODE BARANG]],[1]!KINONF15[[KDBRG]:[HRG_JLMT_CTN+PPN]],7,0),0)</f>
        <v>0</v>
      </c>
      <c r="G90">
        <f>IFERROR(VLOOKUP(Fix_Mapping[[#This Row],[KODE BARANG]],[1]!KINONF15[[KDBRG]:[HRG_JLMT_CTN+PPN]],8,0),0)</f>
        <v>0</v>
      </c>
      <c r="H90">
        <f>IFERROR(VLOOKUP(Fix_Mapping[[#This Row],[KODE BARANG]],[1]!KINONF15[[KDBRG]:[HRG_JLMT_CTN+PPN]],9,0),0)</f>
        <v>0</v>
      </c>
      <c r="I90">
        <f>IFERROR(VLOOKUP(Fix_Mapping[[#This Row],[KODE BARANG]],[1]!KINONF15[[KDBRG]:[HRG_JLMT_CTN+PPN]],10,0),0)</f>
        <v>0</v>
      </c>
      <c r="J90">
        <f>IFERROR(VLOOKUP(Fix_Mapping[[#This Row],[KODE BARANG]],[1]!KINONF15[[KDBRG]:[HRG_JLMT_CTN+PPN]],11,0),0)</f>
        <v>0</v>
      </c>
      <c r="K90">
        <f>IFERROR(VLOOKUP(Fix_Mapping[[#This Row],[KODE BARANG]],[1]!KINONF15[[KDBRG]:[HRG_JLMT_CTN+PPN]],12,0),0)</f>
        <v>0</v>
      </c>
      <c r="L90">
        <f>IFERROR(VLOOKUP(Fix_Mapping[[#This Row],[KODE BARANG]],[1]!KINONF15[[KDBRG]:[HRG_JLMT_CTN+PPN]],13,0),0)</f>
        <v>0</v>
      </c>
      <c r="M90">
        <f>IFERROR(VLOOKUP(Fix_Mapping[[#This Row],[KODE BARANG]],[1]!KINONF15[[KDBRG]:[HRG_JLMT_CTN+PPN]],14,0),0)</f>
        <v>0</v>
      </c>
      <c r="N90">
        <f>IFERROR(VLOOKUP(Fix_Mapping[[#This Row],[KODE BARANG]],[1]!KINONF15[[KDBRG]:[HRG_JLMT_CTN+PPN]],15,0),0)</f>
        <v>0</v>
      </c>
      <c r="O90">
        <f>IFERROR(VLOOKUP(Fix_Mapping[[#This Row],[KODE BARANG]],[1]!KINONF15[[KDBRG]:[HRG_JLMT_CTN+PPN]],16,0),0)</f>
        <v>0</v>
      </c>
      <c r="P90">
        <f>IFERROR(VLOOKUP(Fix_Mapping[[#This Row],[KODE BARANG]],[1]!KINONF15[[KDBRG]:[HRG_JLMT_CTN+PPN]],17,0),0)</f>
        <v>0</v>
      </c>
      <c r="Q90">
        <f>IFERROR(VLOOKUP(Fix_Mapping[[#This Row],[KODE BARANG]],[1]!KINONF15[[KDBRG]:[HRG_JLMT_CTN+PPN]],18,0),0)</f>
        <v>0</v>
      </c>
      <c r="R90" t="s">
        <v>2555</v>
      </c>
      <c r="S90" t="s">
        <v>991</v>
      </c>
      <c r="T90">
        <v>0</v>
      </c>
      <c r="U90">
        <v>0</v>
      </c>
      <c r="V90">
        <v>0</v>
      </c>
      <c r="W90">
        <v>0</v>
      </c>
    </row>
    <row r="91" spans="1:23">
      <c r="A91" t="s">
        <v>1198</v>
      </c>
      <c r="B91" t="s">
        <v>1199</v>
      </c>
      <c r="C91">
        <v>24</v>
      </c>
      <c r="D91">
        <f>IFERROR(VLOOKUP(Fix_Mapping[[#This Row],[KODE BARANG]],[1]!KINONF15[[KDBRG]:[HRG_JLMT_CTN+PPN]],5,0),0)</f>
        <v>0</v>
      </c>
      <c r="E91" t="s">
        <v>2273</v>
      </c>
      <c r="F91">
        <f>IFERROR(VLOOKUP(Fix_Mapping[[#This Row],[KODE BARANG]],[1]!KINONF15[[KDBRG]:[HRG_JLMT_CTN+PPN]],7,0),0)</f>
        <v>0</v>
      </c>
      <c r="G91">
        <f>IFERROR(VLOOKUP(Fix_Mapping[[#This Row],[KODE BARANG]],[1]!KINONF15[[KDBRG]:[HRG_JLMT_CTN+PPN]],8,0),0)</f>
        <v>0</v>
      </c>
      <c r="H91">
        <f>IFERROR(VLOOKUP(Fix_Mapping[[#This Row],[KODE BARANG]],[1]!KINONF15[[KDBRG]:[HRG_JLMT_CTN+PPN]],9,0),0)</f>
        <v>0</v>
      </c>
      <c r="I91">
        <f>IFERROR(VLOOKUP(Fix_Mapping[[#This Row],[KODE BARANG]],[1]!KINONF15[[KDBRG]:[HRG_JLMT_CTN+PPN]],10,0),0)</f>
        <v>0</v>
      </c>
      <c r="J91">
        <f>IFERROR(VLOOKUP(Fix_Mapping[[#This Row],[KODE BARANG]],[1]!KINONF15[[KDBRG]:[HRG_JLMT_CTN+PPN]],11,0),0)</f>
        <v>0</v>
      </c>
      <c r="K91">
        <f>IFERROR(VLOOKUP(Fix_Mapping[[#This Row],[KODE BARANG]],[1]!KINONF15[[KDBRG]:[HRG_JLMT_CTN+PPN]],12,0),0)</f>
        <v>0</v>
      </c>
      <c r="L91">
        <f>IFERROR(VLOOKUP(Fix_Mapping[[#This Row],[KODE BARANG]],[1]!KINONF15[[KDBRG]:[HRG_JLMT_CTN+PPN]],13,0),0)</f>
        <v>0</v>
      </c>
      <c r="M91">
        <f>IFERROR(VLOOKUP(Fix_Mapping[[#This Row],[KODE BARANG]],[1]!KINONF15[[KDBRG]:[HRG_JLMT_CTN+PPN]],14,0),0)</f>
        <v>0</v>
      </c>
      <c r="N91">
        <f>IFERROR(VLOOKUP(Fix_Mapping[[#This Row],[KODE BARANG]],[1]!KINONF15[[KDBRG]:[HRG_JLMT_CTN+PPN]],15,0),0)</f>
        <v>0</v>
      </c>
      <c r="O91">
        <f>IFERROR(VLOOKUP(Fix_Mapping[[#This Row],[KODE BARANG]],[1]!KINONF15[[KDBRG]:[HRG_JLMT_CTN+PPN]],16,0),0)</f>
        <v>0</v>
      </c>
      <c r="P91">
        <f>IFERROR(VLOOKUP(Fix_Mapping[[#This Row],[KODE BARANG]],[1]!KINONF15[[KDBRG]:[HRG_JLMT_CTN+PPN]],17,0),0)</f>
        <v>0</v>
      </c>
      <c r="Q91">
        <f>IFERROR(VLOOKUP(Fix_Mapping[[#This Row],[KODE BARANG]],[1]!KINONF15[[KDBRG]:[HRG_JLMT_CTN+PPN]],18,0),0)</f>
        <v>0</v>
      </c>
      <c r="R91" t="s">
        <v>2555</v>
      </c>
      <c r="S91" t="s">
        <v>992</v>
      </c>
      <c r="T91">
        <v>0</v>
      </c>
      <c r="U91">
        <v>0</v>
      </c>
      <c r="V91">
        <v>0</v>
      </c>
      <c r="W91">
        <v>0</v>
      </c>
    </row>
    <row r="92" spans="1:23">
      <c r="A92" t="s">
        <v>1200</v>
      </c>
      <c r="B92" t="s">
        <v>1201</v>
      </c>
      <c r="C92">
        <v>24</v>
      </c>
      <c r="D92">
        <f>IFERROR(VLOOKUP(Fix_Mapping[[#This Row],[KODE BARANG]],[1]!KINONF15[[KDBRG]:[HRG_JLMT_CTN+PPN]],5,0),0)</f>
        <v>0</v>
      </c>
      <c r="E92" t="s">
        <v>2273</v>
      </c>
      <c r="F92">
        <f>IFERROR(VLOOKUP(Fix_Mapping[[#This Row],[KODE BARANG]],[1]!KINONF15[[KDBRG]:[HRG_JLMT_CTN+PPN]],7,0),0)</f>
        <v>0</v>
      </c>
      <c r="G92">
        <f>IFERROR(VLOOKUP(Fix_Mapping[[#This Row],[KODE BARANG]],[1]!KINONF15[[KDBRG]:[HRG_JLMT_CTN+PPN]],8,0),0)</f>
        <v>0</v>
      </c>
      <c r="H92">
        <f>IFERROR(VLOOKUP(Fix_Mapping[[#This Row],[KODE BARANG]],[1]!KINONF15[[KDBRG]:[HRG_JLMT_CTN+PPN]],9,0),0)</f>
        <v>0</v>
      </c>
      <c r="I92">
        <f>IFERROR(VLOOKUP(Fix_Mapping[[#This Row],[KODE BARANG]],[1]!KINONF15[[KDBRG]:[HRG_JLMT_CTN+PPN]],10,0),0)</f>
        <v>0</v>
      </c>
      <c r="J92">
        <f>IFERROR(VLOOKUP(Fix_Mapping[[#This Row],[KODE BARANG]],[1]!KINONF15[[KDBRG]:[HRG_JLMT_CTN+PPN]],11,0),0)</f>
        <v>0</v>
      </c>
      <c r="K92">
        <f>IFERROR(VLOOKUP(Fix_Mapping[[#This Row],[KODE BARANG]],[1]!KINONF15[[KDBRG]:[HRG_JLMT_CTN+PPN]],12,0),0)</f>
        <v>0</v>
      </c>
      <c r="L92">
        <f>IFERROR(VLOOKUP(Fix_Mapping[[#This Row],[KODE BARANG]],[1]!KINONF15[[KDBRG]:[HRG_JLMT_CTN+PPN]],13,0),0)</f>
        <v>0</v>
      </c>
      <c r="M92">
        <f>IFERROR(VLOOKUP(Fix_Mapping[[#This Row],[KODE BARANG]],[1]!KINONF15[[KDBRG]:[HRG_JLMT_CTN+PPN]],14,0),0)</f>
        <v>0</v>
      </c>
      <c r="N92">
        <f>IFERROR(VLOOKUP(Fix_Mapping[[#This Row],[KODE BARANG]],[1]!KINONF15[[KDBRG]:[HRG_JLMT_CTN+PPN]],15,0),0)</f>
        <v>0</v>
      </c>
      <c r="O92">
        <f>IFERROR(VLOOKUP(Fix_Mapping[[#This Row],[KODE BARANG]],[1]!KINONF15[[KDBRG]:[HRG_JLMT_CTN+PPN]],16,0),0)</f>
        <v>0</v>
      </c>
      <c r="P92">
        <f>IFERROR(VLOOKUP(Fix_Mapping[[#This Row],[KODE BARANG]],[1]!KINONF15[[KDBRG]:[HRG_JLMT_CTN+PPN]],17,0),0)</f>
        <v>0</v>
      </c>
      <c r="Q92">
        <f>IFERROR(VLOOKUP(Fix_Mapping[[#This Row],[KODE BARANG]],[1]!KINONF15[[KDBRG]:[HRG_JLMT_CTN+PPN]],18,0),0)</f>
        <v>0</v>
      </c>
      <c r="R92" t="s">
        <v>2555</v>
      </c>
      <c r="S92" t="s">
        <v>993</v>
      </c>
      <c r="T92">
        <v>0</v>
      </c>
      <c r="U92">
        <v>0</v>
      </c>
      <c r="V92">
        <v>0</v>
      </c>
      <c r="W92">
        <v>0</v>
      </c>
    </row>
    <row r="93" spans="1:23">
      <c r="A93" t="s">
        <v>1202</v>
      </c>
      <c r="B93" t="s">
        <v>1203</v>
      </c>
      <c r="C93">
        <v>24</v>
      </c>
      <c r="D93">
        <f>IFERROR(VLOOKUP(Fix_Mapping[[#This Row],[KODE BARANG]],[1]!KINONF15[[KDBRG]:[HRG_JLMT_CTN+PPN]],5,0),0)</f>
        <v>0</v>
      </c>
      <c r="E93" t="s">
        <v>2273</v>
      </c>
      <c r="F93">
        <f>IFERROR(VLOOKUP(Fix_Mapping[[#This Row],[KODE BARANG]],[1]!KINONF15[[KDBRG]:[HRG_JLMT_CTN+PPN]],7,0),0)</f>
        <v>0</v>
      </c>
      <c r="G93">
        <f>IFERROR(VLOOKUP(Fix_Mapping[[#This Row],[KODE BARANG]],[1]!KINONF15[[KDBRG]:[HRG_JLMT_CTN+PPN]],8,0),0)</f>
        <v>0</v>
      </c>
      <c r="H93">
        <f>IFERROR(VLOOKUP(Fix_Mapping[[#This Row],[KODE BARANG]],[1]!KINONF15[[KDBRG]:[HRG_JLMT_CTN+PPN]],9,0),0)</f>
        <v>0</v>
      </c>
      <c r="I93">
        <f>IFERROR(VLOOKUP(Fix_Mapping[[#This Row],[KODE BARANG]],[1]!KINONF15[[KDBRG]:[HRG_JLMT_CTN+PPN]],10,0),0)</f>
        <v>0</v>
      </c>
      <c r="J93">
        <f>IFERROR(VLOOKUP(Fix_Mapping[[#This Row],[KODE BARANG]],[1]!KINONF15[[KDBRG]:[HRG_JLMT_CTN+PPN]],11,0),0)</f>
        <v>0</v>
      </c>
      <c r="K93">
        <f>IFERROR(VLOOKUP(Fix_Mapping[[#This Row],[KODE BARANG]],[1]!KINONF15[[KDBRG]:[HRG_JLMT_CTN+PPN]],12,0),0)</f>
        <v>0</v>
      </c>
      <c r="L93">
        <f>IFERROR(VLOOKUP(Fix_Mapping[[#This Row],[KODE BARANG]],[1]!KINONF15[[KDBRG]:[HRG_JLMT_CTN+PPN]],13,0),0)</f>
        <v>0</v>
      </c>
      <c r="M93">
        <f>IFERROR(VLOOKUP(Fix_Mapping[[#This Row],[KODE BARANG]],[1]!KINONF15[[KDBRG]:[HRG_JLMT_CTN+PPN]],14,0),0)</f>
        <v>0</v>
      </c>
      <c r="N93">
        <f>IFERROR(VLOOKUP(Fix_Mapping[[#This Row],[KODE BARANG]],[1]!KINONF15[[KDBRG]:[HRG_JLMT_CTN+PPN]],15,0),0)</f>
        <v>0</v>
      </c>
      <c r="O93">
        <f>IFERROR(VLOOKUP(Fix_Mapping[[#This Row],[KODE BARANG]],[1]!KINONF15[[KDBRG]:[HRG_JLMT_CTN+PPN]],16,0),0)</f>
        <v>0</v>
      </c>
      <c r="P93">
        <f>IFERROR(VLOOKUP(Fix_Mapping[[#This Row],[KODE BARANG]],[1]!KINONF15[[KDBRG]:[HRG_JLMT_CTN+PPN]],17,0),0)</f>
        <v>0</v>
      </c>
      <c r="Q93">
        <f>IFERROR(VLOOKUP(Fix_Mapping[[#This Row],[KODE BARANG]],[1]!KINONF15[[KDBRG]:[HRG_JLMT_CTN+PPN]],18,0),0)</f>
        <v>0</v>
      </c>
      <c r="R93" t="s">
        <v>2555</v>
      </c>
      <c r="S93" t="s">
        <v>994</v>
      </c>
      <c r="T93">
        <v>0</v>
      </c>
      <c r="U93">
        <v>0</v>
      </c>
      <c r="V93">
        <v>0</v>
      </c>
      <c r="W93">
        <v>0</v>
      </c>
    </row>
    <row r="94" spans="1:23">
      <c r="A94" t="s">
        <v>1204</v>
      </c>
      <c r="B94" t="s">
        <v>1205</v>
      </c>
      <c r="C94">
        <v>24</v>
      </c>
      <c r="D94">
        <f>IFERROR(VLOOKUP(Fix_Mapping[[#This Row],[KODE BARANG]],[1]!KINONF15[[KDBRG]:[HRG_JLMT_CTN+PPN]],5,0),0)</f>
        <v>0</v>
      </c>
      <c r="E94" t="s">
        <v>2273</v>
      </c>
      <c r="F94">
        <f>IFERROR(VLOOKUP(Fix_Mapping[[#This Row],[KODE BARANG]],[1]!KINONF15[[KDBRG]:[HRG_JLMT_CTN+PPN]],7,0),0)</f>
        <v>0</v>
      </c>
      <c r="G94">
        <f>IFERROR(VLOOKUP(Fix_Mapping[[#This Row],[KODE BARANG]],[1]!KINONF15[[KDBRG]:[HRG_JLMT_CTN+PPN]],8,0),0)</f>
        <v>0</v>
      </c>
      <c r="H94">
        <f>IFERROR(VLOOKUP(Fix_Mapping[[#This Row],[KODE BARANG]],[1]!KINONF15[[KDBRG]:[HRG_JLMT_CTN+PPN]],9,0),0)</f>
        <v>0</v>
      </c>
      <c r="I94">
        <f>IFERROR(VLOOKUP(Fix_Mapping[[#This Row],[KODE BARANG]],[1]!KINONF15[[KDBRG]:[HRG_JLMT_CTN+PPN]],10,0),0)</f>
        <v>0</v>
      </c>
      <c r="J94">
        <f>IFERROR(VLOOKUP(Fix_Mapping[[#This Row],[KODE BARANG]],[1]!KINONF15[[KDBRG]:[HRG_JLMT_CTN+PPN]],11,0),0)</f>
        <v>0</v>
      </c>
      <c r="K94">
        <f>IFERROR(VLOOKUP(Fix_Mapping[[#This Row],[KODE BARANG]],[1]!KINONF15[[KDBRG]:[HRG_JLMT_CTN+PPN]],12,0),0)</f>
        <v>0</v>
      </c>
      <c r="L94">
        <f>IFERROR(VLOOKUP(Fix_Mapping[[#This Row],[KODE BARANG]],[1]!KINONF15[[KDBRG]:[HRG_JLMT_CTN+PPN]],13,0),0)</f>
        <v>0</v>
      </c>
      <c r="M94">
        <f>IFERROR(VLOOKUP(Fix_Mapping[[#This Row],[KODE BARANG]],[1]!KINONF15[[KDBRG]:[HRG_JLMT_CTN+PPN]],14,0),0)</f>
        <v>0</v>
      </c>
      <c r="N94">
        <f>IFERROR(VLOOKUP(Fix_Mapping[[#This Row],[KODE BARANG]],[1]!KINONF15[[KDBRG]:[HRG_JLMT_CTN+PPN]],15,0),0)</f>
        <v>0</v>
      </c>
      <c r="O94">
        <f>IFERROR(VLOOKUP(Fix_Mapping[[#This Row],[KODE BARANG]],[1]!KINONF15[[KDBRG]:[HRG_JLMT_CTN+PPN]],16,0),0)</f>
        <v>0</v>
      </c>
      <c r="P94">
        <f>IFERROR(VLOOKUP(Fix_Mapping[[#This Row],[KODE BARANG]],[1]!KINONF15[[KDBRG]:[HRG_JLMT_CTN+PPN]],17,0),0)</f>
        <v>0</v>
      </c>
      <c r="Q94">
        <f>IFERROR(VLOOKUP(Fix_Mapping[[#This Row],[KODE BARANG]],[1]!KINONF15[[KDBRG]:[HRG_JLMT_CTN+PPN]],18,0),0)</f>
        <v>0</v>
      </c>
      <c r="R94" t="s">
        <v>2555</v>
      </c>
      <c r="S94" t="s">
        <v>995</v>
      </c>
      <c r="T94">
        <v>0</v>
      </c>
      <c r="U94">
        <v>0</v>
      </c>
      <c r="V94">
        <v>0</v>
      </c>
      <c r="W94">
        <v>0</v>
      </c>
    </row>
    <row r="95" spans="1:23">
      <c r="A95" t="s">
        <v>1206</v>
      </c>
      <c r="B95" t="s">
        <v>1207</v>
      </c>
      <c r="C95">
        <v>24</v>
      </c>
      <c r="D95">
        <f>IFERROR(VLOOKUP(Fix_Mapping[[#This Row],[KODE BARANG]],[1]!KINONF15[[KDBRG]:[HRG_JLMT_CTN+PPN]],5,0),0)</f>
        <v>0</v>
      </c>
      <c r="E95" t="s">
        <v>2273</v>
      </c>
      <c r="F95">
        <f>IFERROR(VLOOKUP(Fix_Mapping[[#This Row],[KODE BARANG]],[1]!KINONF15[[KDBRG]:[HRG_JLMT_CTN+PPN]],7,0),0)</f>
        <v>0</v>
      </c>
      <c r="G95">
        <f>IFERROR(VLOOKUP(Fix_Mapping[[#This Row],[KODE BARANG]],[1]!KINONF15[[KDBRG]:[HRG_JLMT_CTN+PPN]],8,0),0)</f>
        <v>0</v>
      </c>
      <c r="H95">
        <f>IFERROR(VLOOKUP(Fix_Mapping[[#This Row],[KODE BARANG]],[1]!KINONF15[[KDBRG]:[HRG_JLMT_CTN+PPN]],9,0),0)</f>
        <v>0</v>
      </c>
      <c r="I95">
        <f>IFERROR(VLOOKUP(Fix_Mapping[[#This Row],[KODE BARANG]],[1]!KINONF15[[KDBRG]:[HRG_JLMT_CTN+PPN]],10,0),0)</f>
        <v>0</v>
      </c>
      <c r="J95">
        <f>IFERROR(VLOOKUP(Fix_Mapping[[#This Row],[KODE BARANG]],[1]!KINONF15[[KDBRG]:[HRG_JLMT_CTN+PPN]],11,0),0)</f>
        <v>0</v>
      </c>
      <c r="K95">
        <f>IFERROR(VLOOKUP(Fix_Mapping[[#This Row],[KODE BARANG]],[1]!KINONF15[[KDBRG]:[HRG_JLMT_CTN+PPN]],12,0),0)</f>
        <v>0</v>
      </c>
      <c r="L95">
        <f>IFERROR(VLOOKUP(Fix_Mapping[[#This Row],[KODE BARANG]],[1]!KINONF15[[KDBRG]:[HRG_JLMT_CTN+PPN]],13,0),0)</f>
        <v>0</v>
      </c>
      <c r="M95">
        <f>IFERROR(VLOOKUP(Fix_Mapping[[#This Row],[KODE BARANG]],[1]!KINONF15[[KDBRG]:[HRG_JLMT_CTN+PPN]],14,0),0)</f>
        <v>0</v>
      </c>
      <c r="N95">
        <f>IFERROR(VLOOKUP(Fix_Mapping[[#This Row],[KODE BARANG]],[1]!KINONF15[[KDBRG]:[HRG_JLMT_CTN+PPN]],15,0),0)</f>
        <v>0</v>
      </c>
      <c r="O95">
        <f>IFERROR(VLOOKUP(Fix_Mapping[[#This Row],[KODE BARANG]],[1]!KINONF15[[KDBRG]:[HRG_JLMT_CTN+PPN]],16,0),0)</f>
        <v>0</v>
      </c>
      <c r="P95">
        <f>IFERROR(VLOOKUP(Fix_Mapping[[#This Row],[KODE BARANG]],[1]!KINONF15[[KDBRG]:[HRG_JLMT_CTN+PPN]],17,0),0)</f>
        <v>0</v>
      </c>
      <c r="Q95">
        <f>IFERROR(VLOOKUP(Fix_Mapping[[#This Row],[KODE BARANG]],[1]!KINONF15[[KDBRG]:[HRG_JLMT_CTN+PPN]],18,0),0)</f>
        <v>0</v>
      </c>
      <c r="R95" t="s">
        <v>2555</v>
      </c>
      <c r="S95" t="s">
        <v>996</v>
      </c>
      <c r="T95">
        <v>0</v>
      </c>
      <c r="U95">
        <v>0</v>
      </c>
      <c r="V95">
        <v>0</v>
      </c>
      <c r="W95">
        <v>0</v>
      </c>
    </row>
    <row r="96" spans="1:23">
      <c r="A96" t="s">
        <v>1208</v>
      </c>
      <c r="B96" t="s">
        <v>1209</v>
      </c>
      <c r="C96">
        <v>24</v>
      </c>
      <c r="D96">
        <f>IFERROR(VLOOKUP(Fix_Mapping[[#This Row],[KODE BARANG]],[1]!KINONF15[[KDBRG]:[HRG_JLMT_CTN+PPN]],5,0),0)</f>
        <v>0</v>
      </c>
      <c r="E96" t="s">
        <v>2273</v>
      </c>
      <c r="F96">
        <f>IFERROR(VLOOKUP(Fix_Mapping[[#This Row],[KODE BARANG]],[1]!KINONF15[[KDBRG]:[HRG_JLMT_CTN+PPN]],7,0),0)</f>
        <v>0</v>
      </c>
      <c r="G96">
        <f>IFERROR(VLOOKUP(Fix_Mapping[[#This Row],[KODE BARANG]],[1]!KINONF15[[KDBRG]:[HRG_JLMT_CTN+PPN]],8,0),0)</f>
        <v>0</v>
      </c>
      <c r="H96">
        <f>IFERROR(VLOOKUP(Fix_Mapping[[#This Row],[KODE BARANG]],[1]!KINONF15[[KDBRG]:[HRG_JLMT_CTN+PPN]],9,0),0)</f>
        <v>0</v>
      </c>
      <c r="I96">
        <f>IFERROR(VLOOKUP(Fix_Mapping[[#This Row],[KODE BARANG]],[1]!KINONF15[[KDBRG]:[HRG_JLMT_CTN+PPN]],10,0),0)</f>
        <v>0</v>
      </c>
      <c r="J96">
        <f>IFERROR(VLOOKUP(Fix_Mapping[[#This Row],[KODE BARANG]],[1]!KINONF15[[KDBRG]:[HRG_JLMT_CTN+PPN]],11,0),0)</f>
        <v>0</v>
      </c>
      <c r="K96">
        <f>IFERROR(VLOOKUP(Fix_Mapping[[#This Row],[KODE BARANG]],[1]!KINONF15[[KDBRG]:[HRG_JLMT_CTN+PPN]],12,0),0)</f>
        <v>0</v>
      </c>
      <c r="L96">
        <f>IFERROR(VLOOKUP(Fix_Mapping[[#This Row],[KODE BARANG]],[1]!KINONF15[[KDBRG]:[HRG_JLMT_CTN+PPN]],13,0),0)</f>
        <v>0</v>
      </c>
      <c r="M96">
        <f>IFERROR(VLOOKUP(Fix_Mapping[[#This Row],[KODE BARANG]],[1]!KINONF15[[KDBRG]:[HRG_JLMT_CTN+PPN]],14,0),0)</f>
        <v>0</v>
      </c>
      <c r="N96">
        <f>IFERROR(VLOOKUP(Fix_Mapping[[#This Row],[KODE BARANG]],[1]!KINONF15[[KDBRG]:[HRG_JLMT_CTN+PPN]],15,0),0)</f>
        <v>0</v>
      </c>
      <c r="O96">
        <f>IFERROR(VLOOKUP(Fix_Mapping[[#This Row],[KODE BARANG]],[1]!KINONF15[[KDBRG]:[HRG_JLMT_CTN+PPN]],16,0),0)</f>
        <v>0</v>
      </c>
      <c r="P96">
        <f>IFERROR(VLOOKUP(Fix_Mapping[[#This Row],[KODE BARANG]],[1]!KINONF15[[KDBRG]:[HRG_JLMT_CTN+PPN]],17,0),0)</f>
        <v>0</v>
      </c>
      <c r="Q96">
        <f>IFERROR(VLOOKUP(Fix_Mapping[[#This Row],[KODE BARANG]],[1]!KINONF15[[KDBRG]:[HRG_JLMT_CTN+PPN]],18,0),0)</f>
        <v>0</v>
      </c>
      <c r="R96" t="s">
        <v>2555</v>
      </c>
      <c r="S96" t="s">
        <v>997</v>
      </c>
      <c r="T96">
        <v>0</v>
      </c>
      <c r="U96">
        <v>0</v>
      </c>
      <c r="V96">
        <v>0</v>
      </c>
      <c r="W96">
        <v>0</v>
      </c>
    </row>
    <row r="97" spans="1:23">
      <c r="A97" t="s">
        <v>1210</v>
      </c>
      <c r="B97" t="s">
        <v>1211</v>
      </c>
      <c r="C97">
        <v>24</v>
      </c>
      <c r="D97">
        <f>IFERROR(VLOOKUP(Fix_Mapping[[#This Row],[KODE BARANG]],[1]!KINONF15[[KDBRG]:[HRG_JLMT_CTN+PPN]],5,0),0)</f>
        <v>0</v>
      </c>
      <c r="E97" t="s">
        <v>2273</v>
      </c>
      <c r="F97">
        <f>IFERROR(VLOOKUP(Fix_Mapping[[#This Row],[KODE BARANG]],[1]!KINONF15[[KDBRG]:[HRG_JLMT_CTN+PPN]],7,0),0)</f>
        <v>0</v>
      </c>
      <c r="G97">
        <f>IFERROR(VLOOKUP(Fix_Mapping[[#This Row],[KODE BARANG]],[1]!KINONF15[[KDBRG]:[HRG_JLMT_CTN+PPN]],8,0),0)</f>
        <v>0</v>
      </c>
      <c r="H97">
        <f>IFERROR(VLOOKUP(Fix_Mapping[[#This Row],[KODE BARANG]],[1]!KINONF15[[KDBRG]:[HRG_JLMT_CTN+PPN]],9,0),0)</f>
        <v>0</v>
      </c>
      <c r="I97">
        <f>IFERROR(VLOOKUP(Fix_Mapping[[#This Row],[KODE BARANG]],[1]!KINONF15[[KDBRG]:[HRG_JLMT_CTN+PPN]],10,0),0)</f>
        <v>0</v>
      </c>
      <c r="J97">
        <f>IFERROR(VLOOKUP(Fix_Mapping[[#This Row],[KODE BARANG]],[1]!KINONF15[[KDBRG]:[HRG_JLMT_CTN+PPN]],11,0),0)</f>
        <v>0</v>
      </c>
      <c r="K97">
        <f>IFERROR(VLOOKUP(Fix_Mapping[[#This Row],[KODE BARANG]],[1]!KINONF15[[KDBRG]:[HRG_JLMT_CTN+PPN]],12,0),0)</f>
        <v>0</v>
      </c>
      <c r="L97">
        <f>IFERROR(VLOOKUP(Fix_Mapping[[#This Row],[KODE BARANG]],[1]!KINONF15[[KDBRG]:[HRG_JLMT_CTN+PPN]],13,0),0)</f>
        <v>0</v>
      </c>
      <c r="M97">
        <f>IFERROR(VLOOKUP(Fix_Mapping[[#This Row],[KODE BARANG]],[1]!KINONF15[[KDBRG]:[HRG_JLMT_CTN+PPN]],14,0),0)</f>
        <v>0</v>
      </c>
      <c r="N97">
        <f>IFERROR(VLOOKUP(Fix_Mapping[[#This Row],[KODE BARANG]],[1]!KINONF15[[KDBRG]:[HRG_JLMT_CTN+PPN]],15,0),0)</f>
        <v>0</v>
      </c>
      <c r="O97">
        <f>IFERROR(VLOOKUP(Fix_Mapping[[#This Row],[KODE BARANG]],[1]!KINONF15[[KDBRG]:[HRG_JLMT_CTN+PPN]],16,0),0)</f>
        <v>0</v>
      </c>
      <c r="P97">
        <f>IFERROR(VLOOKUP(Fix_Mapping[[#This Row],[KODE BARANG]],[1]!KINONF15[[KDBRG]:[HRG_JLMT_CTN+PPN]],17,0),0)</f>
        <v>0</v>
      </c>
      <c r="Q97">
        <f>IFERROR(VLOOKUP(Fix_Mapping[[#This Row],[KODE BARANG]],[1]!KINONF15[[KDBRG]:[HRG_JLMT_CTN+PPN]],18,0),0)</f>
        <v>0</v>
      </c>
      <c r="R97" t="s">
        <v>2555</v>
      </c>
      <c r="S97" t="s">
        <v>998</v>
      </c>
      <c r="T97">
        <v>0</v>
      </c>
      <c r="U97">
        <v>0</v>
      </c>
      <c r="V97">
        <v>0</v>
      </c>
      <c r="W97">
        <v>0</v>
      </c>
    </row>
    <row r="98" spans="1:23">
      <c r="A98" t="s">
        <v>1212</v>
      </c>
      <c r="B98" t="s">
        <v>1213</v>
      </c>
      <c r="C98">
        <v>24</v>
      </c>
      <c r="D98">
        <f>IFERROR(VLOOKUP(Fix_Mapping[[#This Row],[KODE BARANG]],[1]!KINONF15[[KDBRG]:[HRG_JLMT_CTN+PPN]],5,0),0)</f>
        <v>0</v>
      </c>
      <c r="E98" t="s">
        <v>2275</v>
      </c>
      <c r="F98">
        <f>IFERROR(VLOOKUP(Fix_Mapping[[#This Row],[KODE BARANG]],[1]!KINONF15[[KDBRG]:[HRG_JLMT_CTN+PPN]],7,0),0)</f>
        <v>0</v>
      </c>
      <c r="G98">
        <f>IFERROR(VLOOKUP(Fix_Mapping[[#This Row],[KODE BARANG]],[1]!KINONF15[[KDBRG]:[HRG_JLMT_CTN+PPN]],8,0),0)</f>
        <v>0</v>
      </c>
      <c r="H98">
        <f>IFERROR(VLOOKUP(Fix_Mapping[[#This Row],[KODE BARANG]],[1]!KINONF15[[KDBRG]:[HRG_JLMT_CTN+PPN]],9,0),0)</f>
        <v>0</v>
      </c>
      <c r="I98">
        <f>IFERROR(VLOOKUP(Fix_Mapping[[#This Row],[KODE BARANG]],[1]!KINONF15[[KDBRG]:[HRG_JLMT_CTN+PPN]],10,0),0)</f>
        <v>0</v>
      </c>
      <c r="J98">
        <f>IFERROR(VLOOKUP(Fix_Mapping[[#This Row],[KODE BARANG]],[1]!KINONF15[[KDBRG]:[HRG_JLMT_CTN+PPN]],11,0),0)</f>
        <v>0</v>
      </c>
      <c r="K98">
        <f>IFERROR(VLOOKUP(Fix_Mapping[[#This Row],[KODE BARANG]],[1]!KINONF15[[KDBRG]:[HRG_JLMT_CTN+PPN]],12,0),0)</f>
        <v>0</v>
      </c>
      <c r="L98">
        <f>IFERROR(VLOOKUP(Fix_Mapping[[#This Row],[KODE BARANG]],[1]!KINONF15[[KDBRG]:[HRG_JLMT_CTN+PPN]],13,0),0)</f>
        <v>0</v>
      </c>
      <c r="M98">
        <f>IFERROR(VLOOKUP(Fix_Mapping[[#This Row],[KODE BARANG]],[1]!KINONF15[[KDBRG]:[HRG_JLMT_CTN+PPN]],14,0),0)</f>
        <v>0</v>
      </c>
      <c r="N98">
        <f>IFERROR(VLOOKUP(Fix_Mapping[[#This Row],[KODE BARANG]],[1]!KINONF15[[KDBRG]:[HRG_JLMT_CTN+PPN]],15,0),0)</f>
        <v>0</v>
      </c>
      <c r="O98">
        <f>IFERROR(VLOOKUP(Fix_Mapping[[#This Row],[KODE BARANG]],[1]!KINONF15[[KDBRG]:[HRG_JLMT_CTN+PPN]],16,0),0)</f>
        <v>0</v>
      </c>
      <c r="P98">
        <f>IFERROR(VLOOKUP(Fix_Mapping[[#This Row],[KODE BARANG]],[1]!KINONF15[[KDBRG]:[HRG_JLMT_CTN+PPN]],17,0),0)</f>
        <v>0</v>
      </c>
      <c r="Q98">
        <f>IFERROR(VLOOKUP(Fix_Mapping[[#This Row],[KODE BARANG]],[1]!KINONF15[[KDBRG]:[HRG_JLMT_CTN+PPN]],18,0),0)</f>
        <v>0</v>
      </c>
      <c r="R98" t="s">
        <v>2555</v>
      </c>
      <c r="S98" t="s">
        <v>508</v>
      </c>
      <c r="T98">
        <v>0</v>
      </c>
      <c r="U98">
        <v>0</v>
      </c>
      <c r="V98">
        <v>0</v>
      </c>
      <c r="W98">
        <v>0</v>
      </c>
    </row>
    <row r="99" spans="1:23">
      <c r="A99" t="s">
        <v>1214</v>
      </c>
      <c r="B99" t="s">
        <v>1215</v>
      </c>
      <c r="C99">
        <v>24</v>
      </c>
      <c r="D99">
        <f>IFERROR(VLOOKUP(Fix_Mapping[[#This Row],[KODE BARANG]],[1]!KINONF15[[KDBRG]:[HRG_JLMT_CTN+PPN]],5,0),0)</f>
        <v>0</v>
      </c>
      <c r="E99" t="s">
        <v>2277</v>
      </c>
      <c r="F99">
        <f>IFERROR(VLOOKUP(Fix_Mapping[[#This Row],[KODE BARANG]],[1]!KINONF15[[KDBRG]:[HRG_JLMT_CTN+PPN]],7,0),0)</f>
        <v>0</v>
      </c>
      <c r="G99">
        <f>IFERROR(VLOOKUP(Fix_Mapping[[#This Row],[KODE BARANG]],[1]!KINONF15[[KDBRG]:[HRG_JLMT_CTN+PPN]],8,0),0)</f>
        <v>0</v>
      </c>
      <c r="H99">
        <f>IFERROR(VLOOKUP(Fix_Mapping[[#This Row],[KODE BARANG]],[1]!KINONF15[[KDBRG]:[HRG_JLMT_CTN+PPN]],9,0),0)</f>
        <v>0</v>
      </c>
      <c r="I99">
        <f>IFERROR(VLOOKUP(Fix_Mapping[[#This Row],[KODE BARANG]],[1]!KINONF15[[KDBRG]:[HRG_JLMT_CTN+PPN]],10,0),0)</f>
        <v>0</v>
      </c>
      <c r="J99">
        <f>IFERROR(VLOOKUP(Fix_Mapping[[#This Row],[KODE BARANG]],[1]!KINONF15[[KDBRG]:[HRG_JLMT_CTN+PPN]],11,0),0)</f>
        <v>0</v>
      </c>
      <c r="K99">
        <f>IFERROR(VLOOKUP(Fix_Mapping[[#This Row],[KODE BARANG]],[1]!KINONF15[[KDBRG]:[HRG_JLMT_CTN+PPN]],12,0),0)</f>
        <v>0</v>
      </c>
      <c r="L99">
        <f>IFERROR(VLOOKUP(Fix_Mapping[[#This Row],[KODE BARANG]],[1]!KINONF15[[KDBRG]:[HRG_JLMT_CTN+PPN]],13,0),0)</f>
        <v>0</v>
      </c>
      <c r="M99">
        <f>IFERROR(VLOOKUP(Fix_Mapping[[#This Row],[KODE BARANG]],[1]!KINONF15[[KDBRG]:[HRG_JLMT_CTN+PPN]],14,0),0)</f>
        <v>0</v>
      </c>
      <c r="N99">
        <f>IFERROR(VLOOKUP(Fix_Mapping[[#This Row],[KODE BARANG]],[1]!KINONF15[[KDBRG]:[HRG_JLMT_CTN+PPN]],15,0),0)</f>
        <v>0</v>
      </c>
      <c r="O99">
        <f>IFERROR(VLOOKUP(Fix_Mapping[[#This Row],[KODE BARANG]],[1]!KINONF15[[KDBRG]:[HRG_JLMT_CTN+PPN]],16,0),0)</f>
        <v>0</v>
      </c>
      <c r="P99">
        <f>IFERROR(VLOOKUP(Fix_Mapping[[#This Row],[KODE BARANG]],[1]!KINONF15[[KDBRG]:[HRG_JLMT_CTN+PPN]],17,0),0)</f>
        <v>0</v>
      </c>
      <c r="Q99">
        <f>IFERROR(VLOOKUP(Fix_Mapping[[#This Row],[KODE BARANG]],[1]!KINONF15[[KDBRG]:[HRG_JLMT_CTN+PPN]],18,0),0)</f>
        <v>0</v>
      </c>
      <c r="R99" t="s">
        <v>2555</v>
      </c>
      <c r="S99" t="s">
        <v>478</v>
      </c>
      <c r="T99">
        <v>0</v>
      </c>
      <c r="U99">
        <v>0</v>
      </c>
      <c r="V99">
        <v>0</v>
      </c>
      <c r="W99">
        <v>0</v>
      </c>
    </row>
    <row r="100" spans="1:23">
      <c r="A100" t="s">
        <v>1216</v>
      </c>
      <c r="B100" t="s">
        <v>1217</v>
      </c>
      <c r="C100">
        <v>24</v>
      </c>
      <c r="D100">
        <f>IFERROR(VLOOKUP(Fix_Mapping[[#This Row],[KODE BARANG]],[1]!KINONF15[[KDBRG]:[HRG_JLMT_CTN+PPN]],5,0),0)</f>
        <v>0</v>
      </c>
      <c r="E100" t="s">
        <v>2277</v>
      </c>
      <c r="F100">
        <f>IFERROR(VLOOKUP(Fix_Mapping[[#This Row],[KODE BARANG]],[1]!KINONF15[[KDBRG]:[HRG_JLMT_CTN+PPN]],7,0),0)</f>
        <v>0</v>
      </c>
      <c r="G100">
        <f>IFERROR(VLOOKUP(Fix_Mapping[[#This Row],[KODE BARANG]],[1]!KINONF15[[KDBRG]:[HRG_JLMT_CTN+PPN]],8,0),0)</f>
        <v>0</v>
      </c>
      <c r="H100">
        <f>IFERROR(VLOOKUP(Fix_Mapping[[#This Row],[KODE BARANG]],[1]!KINONF15[[KDBRG]:[HRG_JLMT_CTN+PPN]],9,0),0)</f>
        <v>0</v>
      </c>
      <c r="I100">
        <f>IFERROR(VLOOKUP(Fix_Mapping[[#This Row],[KODE BARANG]],[1]!KINONF15[[KDBRG]:[HRG_JLMT_CTN+PPN]],10,0),0)</f>
        <v>0</v>
      </c>
      <c r="J100">
        <f>IFERROR(VLOOKUP(Fix_Mapping[[#This Row],[KODE BARANG]],[1]!KINONF15[[KDBRG]:[HRG_JLMT_CTN+PPN]],11,0),0)</f>
        <v>0</v>
      </c>
      <c r="K100">
        <f>IFERROR(VLOOKUP(Fix_Mapping[[#This Row],[KODE BARANG]],[1]!KINONF15[[KDBRG]:[HRG_JLMT_CTN+PPN]],12,0),0)</f>
        <v>0</v>
      </c>
      <c r="L100">
        <f>IFERROR(VLOOKUP(Fix_Mapping[[#This Row],[KODE BARANG]],[1]!KINONF15[[KDBRG]:[HRG_JLMT_CTN+PPN]],13,0),0)</f>
        <v>0</v>
      </c>
      <c r="M100">
        <f>IFERROR(VLOOKUP(Fix_Mapping[[#This Row],[KODE BARANG]],[1]!KINONF15[[KDBRG]:[HRG_JLMT_CTN+PPN]],14,0),0)</f>
        <v>0</v>
      </c>
      <c r="N100">
        <f>IFERROR(VLOOKUP(Fix_Mapping[[#This Row],[KODE BARANG]],[1]!KINONF15[[KDBRG]:[HRG_JLMT_CTN+PPN]],15,0),0)</f>
        <v>0</v>
      </c>
      <c r="O100">
        <f>IFERROR(VLOOKUP(Fix_Mapping[[#This Row],[KODE BARANG]],[1]!KINONF15[[KDBRG]:[HRG_JLMT_CTN+PPN]],16,0),0)</f>
        <v>0</v>
      </c>
      <c r="P100">
        <f>IFERROR(VLOOKUP(Fix_Mapping[[#This Row],[KODE BARANG]],[1]!KINONF15[[KDBRG]:[HRG_JLMT_CTN+PPN]],17,0),0)</f>
        <v>0</v>
      </c>
      <c r="Q100">
        <f>IFERROR(VLOOKUP(Fix_Mapping[[#This Row],[KODE BARANG]],[1]!KINONF15[[KDBRG]:[HRG_JLMT_CTN+PPN]],18,0),0)</f>
        <v>0</v>
      </c>
      <c r="R100" t="s">
        <v>2555</v>
      </c>
      <c r="S100" t="s">
        <v>479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2412</v>
      </c>
      <c r="B101" t="s">
        <v>2419</v>
      </c>
      <c r="C101">
        <v>12</v>
      </c>
      <c r="D101">
        <f>IFERROR(VLOOKUP(Fix_Mapping[[#This Row],[KODE BARANG]],[1]!KINONF15[[KDBRG]:[HRG_JLMT_CTN+PPN]],5,0),0)</f>
        <v>0</v>
      </c>
      <c r="E101" t="s">
        <v>2277</v>
      </c>
      <c r="F101">
        <f>IFERROR(VLOOKUP(Fix_Mapping[[#This Row],[KODE BARANG]],[1]!KINONF15[[KDBRG]:[HRG_JLMT_CTN+PPN]],7,0),0)</f>
        <v>0</v>
      </c>
      <c r="G101">
        <f>IFERROR(VLOOKUP(Fix_Mapping[[#This Row],[KODE BARANG]],[1]!KINONF15[[KDBRG]:[HRG_JLMT_CTN+PPN]],8,0),0)</f>
        <v>0</v>
      </c>
      <c r="H101">
        <f>IFERROR(VLOOKUP(Fix_Mapping[[#This Row],[KODE BARANG]],[1]!KINONF15[[KDBRG]:[HRG_JLMT_CTN+PPN]],9,0),0)</f>
        <v>0</v>
      </c>
      <c r="I101">
        <f>IFERROR(VLOOKUP(Fix_Mapping[[#This Row],[KODE BARANG]],[1]!KINONF15[[KDBRG]:[HRG_JLMT_CTN+PPN]],10,0),0)</f>
        <v>0</v>
      </c>
      <c r="J101">
        <f>IFERROR(VLOOKUP(Fix_Mapping[[#This Row],[KODE BARANG]],[1]!KINONF15[[KDBRG]:[HRG_JLMT_CTN+PPN]],11,0),0)</f>
        <v>0</v>
      </c>
      <c r="K101">
        <f>IFERROR(VLOOKUP(Fix_Mapping[[#This Row],[KODE BARANG]],[1]!KINONF15[[KDBRG]:[HRG_JLMT_CTN+PPN]],12,0),0)</f>
        <v>0</v>
      </c>
      <c r="L101">
        <f>IFERROR(VLOOKUP(Fix_Mapping[[#This Row],[KODE BARANG]],[1]!KINONF15[[KDBRG]:[HRG_JLMT_CTN+PPN]],13,0),0)</f>
        <v>0</v>
      </c>
      <c r="M101">
        <f>IFERROR(VLOOKUP(Fix_Mapping[[#This Row],[KODE BARANG]],[1]!KINONF15[[KDBRG]:[HRG_JLMT_CTN+PPN]],14,0),0)</f>
        <v>0</v>
      </c>
      <c r="N101">
        <f>IFERROR(VLOOKUP(Fix_Mapping[[#This Row],[KODE BARANG]],[1]!KINONF15[[KDBRG]:[HRG_JLMT_CTN+PPN]],15,0),0)</f>
        <v>0</v>
      </c>
      <c r="O101">
        <f>IFERROR(VLOOKUP(Fix_Mapping[[#This Row],[KODE BARANG]],[1]!KINONF15[[KDBRG]:[HRG_JLMT_CTN+PPN]],16,0),0)</f>
        <v>0</v>
      </c>
      <c r="P101">
        <f>IFERROR(VLOOKUP(Fix_Mapping[[#This Row],[KODE BARANG]],[1]!KINONF15[[KDBRG]:[HRG_JLMT_CTN+PPN]],17,0),0)</f>
        <v>0</v>
      </c>
      <c r="Q101">
        <f>IFERROR(VLOOKUP(Fix_Mapping[[#This Row],[KODE BARANG]],[1]!KINONF15[[KDBRG]:[HRG_JLMT_CTN+PPN]],18,0),0)</f>
        <v>0</v>
      </c>
      <c r="R101" t="s">
        <v>2555</v>
      </c>
      <c r="S101" t="s">
        <v>480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1218</v>
      </c>
      <c r="B102" t="s">
        <v>1219</v>
      </c>
      <c r="C102">
        <v>24</v>
      </c>
      <c r="D102">
        <f>IFERROR(VLOOKUP(Fix_Mapping[[#This Row],[KODE BARANG]],[1]!KINONF15[[KDBRG]:[HRG_JLMT_CTN+PPN]],5,0),0)</f>
        <v>0</v>
      </c>
      <c r="E102" t="s">
        <v>2277</v>
      </c>
      <c r="F102">
        <f>IFERROR(VLOOKUP(Fix_Mapping[[#This Row],[KODE BARANG]],[1]!KINONF15[[KDBRG]:[HRG_JLMT_CTN+PPN]],7,0),0)</f>
        <v>0</v>
      </c>
      <c r="G102">
        <f>IFERROR(VLOOKUP(Fix_Mapping[[#This Row],[KODE BARANG]],[1]!KINONF15[[KDBRG]:[HRG_JLMT_CTN+PPN]],8,0),0)</f>
        <v>0</v>
      </c>
      <c r="H102">
        <f>IFERROR(VLOOKUP(Fix_Mapping[[#This Row],[KODE BARANG]],[1]!KINONF15[[KDBRG]:[HRG_JLMT_CTN+PPN]],9,0),0)</f>
        <v>0</v>
      </c>
      <c r="I102">
        <f>IFERROR(VLOOKUP(Fix_Mapping[[#This Row],[KODE BARANG]],[1]!KINONF15[[KDBRG]:[HRG_JLMT_CTN+PPN]],10,0),0)</f>
        <v>0</v>
      </c>
      <c r="J102">
        <f>IFERROR(VLOOKUP(Fix_Mapping[[#This Row],[KODE BARANG]],[1]!KINONF15[[KDBRG]:[HRG_JLMT_CTN+PPN]],11,0),0)</f>
        <v>0</v>
      </c>
      <c r="K102">
        <f>IFERROR(VLOOKUP(Fix_Mapping[[#This Row],[KODE BARANG]],[1]!KINONF15[[KDBRG]:[HRG_JLMT_CTN+PPN]],12,0),0)</f>
        <v>0</v>
      </c>
      <c r="L102">
        <f>IFERROR(VLOOKUP(Fix_Mapping[[#This Row],[KODE BARANG]],[1]!KINONF15[[KDBRG]:[HRG_JLMT_CTN+PPN]],13,0),0)</f>
        <v>0</v>
      </c>
      <c r="M102">
        <f>IFERROR(VLOOKUP(Fix_Mapping[[#This Row],[KODE BARANG]],[1]!KINONF15[[KDBRG]:[HRG_JLMT_CTN+PPN]],14,0),0)</f>
        <v>0</v>
      </c>
      <c r="N102">
        <f>IFERROR(VLOOKUP(Fix_Mapping[[#This Row],[KODE BARANG]],[1]!KINONF15[[KDBRG]:[HRG_JLMT_CTN+PPN]],15,0),0)</f>
        <v>0</v>
      </c>
      <c r="O102">
        <f>IFERROR(VLOOKUP(Fix_Mapping[[#This Row],[KODE BARANG]],[1]!KINONF15[[KDBRG]:[HRG_JLMT_CTN+PPN]],16,0),0)</f>
        <v>0</v>
      </c>
      <c r="P102">
        <f>IFERROR(VLOOKUP(Fix_Mapping[[#This Row],[KODE BARANG]],[1]!KINONF15[[KDBRG]:[HRG_JLMT_CTN+PPN]],17,0),0)</f>
        <v>0</v>
      </c>
      <c r="Q102">
        <f>IFERROR(VLOOKUP(Fix_Mapping[[#This Row],[KODE BARANG]],[1]!KINONF15[[KDBRG]:[HRG_JLMT_CTN+PPN]],18,0),0)</f>
        <v>0</v>
      </c>
      <c r="R102" t="s">
        <v>2555</v>
      </c>
      <c r="S102" t="s">
        <v>481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1220</v>
      </c>
      <c r="B103" t="s">
        <v>1221</v>
      </c>
      <c r="C103">
        <v>24</v>
      </c>
      <c r="D103">
        <f>IFERROR(VLOOKUP(Fix_Mapping[[#This Row],[KODE BARANG]],[1]!KINONF15[[KDBRG]:[HRG_JLMT_CTN+PPN]],5,0),0)</f>
        <v>0</v>
      </c>
      <c r="E103" t="s">
        <v>2277</v>
      </c>
      <c r="F103">
        <f>IFERROR(VLOOKUP(Fix_Mapping[[#This Row],[KODE BARANG]],[1]!KINONF15[[KDBRG]:[HRG_JLMT_CTN+PPN]],7,0),0)</f>
        <v>0</v>
      </c>
      <c r="G103">
        <f>IFERROR(VLOOKUP(Fix_Mapping[[#This Row],[KODE BARANG]],[1]!KINONF15[[KDBRG]:[HRG_JLMT_CTN+PPN]],8,0),0)</f>
        <v>0</v>
      </c>
      <c r="H103">
        <f>IFERROR(VLOOKUP(Fix_Mapping[[#This Row],[KODE BARANG]],[1]!KINONF15[[KDBRG]:[HRG_JLMT_CTN+PPN]],9,0),0)</f>
        <v>0</v>
      </c>
      <c r="I103">
        <f>IFERROR(VLOOKUP(Fix_Mapping[[#This Row],[KODE BARANG]],[1]!KINONF15[[KDBRG]:[HRG_JLMT_CTN+PPN]],10,0),0)</f>
        <v>0</v>
      </c>
      <c r="J103">
        <f>IFERROR(VLOOKUP(Fix_Mapping[[#This Row],[KODE BARANG]],[1]!KINONF15[[KDBRG]:[HRG_JLMT_CTN+PPN]],11,0),0)</f>
        <v>0</v>
      </c>
      <c r="K103">
        <f>IFERROR(VLOOKUP(Fix_Mapping[[#This Row],[KODE BARANG]],[1]!KINONF15[[KDBRG]:[HRG_JLMT_CTN+PPN]],12,0),0)</f>
        <v>0</v>
      </c>
      <c r="L103">
        <f>IFERROR(VLOOKUP(Fix_Mapping[[#This Row],[KODE BARANG]],[1]!KINONF15[[KDBRG]:[HRG_JLMT_CTN+PPN]],13,0),0)</f>
        <v>0</v>
      </c>
      <c r="M103">
        <f>IFERROR(VLOOKUP(Fix_Mapping[[#This Row],[KODE BARANG]],[1]!KINONF15[[KDBRG]:[HRG_JLMT_CTN+PPN]],14,0),0)</f>
        <v>0</v>
      </c>
      <c r="N103">
        <f>IFERROR(VLOOKUP(Fix_Mapping[[#This Row],[KODE BARANG]],[1]!KINONF15[[KDBRG]:[HRG_JLMT_CTN+PPN]],15,0),0)</f>
        <v>0</v>
      </c>
      <c r="O103">
        <f>IFERROR(VLOOKUP(Fix_Mapping[[#This Row],[KODE BARANG]],[1]!KINONF15[[KDBRG]:[HRG_JLMT_CTN+PPN]],16,0),0)</f>
        <v>0</v>
      </c>
      <c r="P103">
        <f>IFERROR(VLOOKUP(Fix_Mapping[[#This Row],[KODE BARANG]],[1]!KINONF15[[KDBRG]:[HRG_JLMT_CTN+PPN]],17,0),0)</f>
        <v>0</v>
      </c>
      <c r="Q103">
        <f>IFERROR(VLOOKUP(Fix_Mapping[[#This Row],[KODE BARANG]],[1]!KINONF15[[KDBRG]:[HRG_JLMT_CTN+PPN]],18,0),0)</f>
        <v>0</v>
      </c>
      <c r="R103" t="s">
        <v>2555</v>
      </c>
      <c r="S103" t="s">
        <v>482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2429</v>
      </c>
      <c r="B104" t="s">
        <v>2430</v>
      </c>
      <c r="C104">
        <v>12</v>
      </c>
      <c r="D104">
        <f>IFERROR(VLOOKUP(Fix_Mapping[[#This Row],[KODE BARANG]],[1]!KINONF15[[KDBRG]:[HRG_JLMT_CTN+PPN]],5,0),0)</f>
        <v>0</v>
      </c>
      <c r="E104" t="s">
        <v>2277</v>
      </c>
      <c r="F104">
        <f>IFERROR(VLOOKUP(Fix_Mapping[[#This Row],[KODE BARANG]],[1]!KINONF15[[KDBRG]:[HRG_JLMT_CTN+PPN]],7,0),0)</f>
        <v>0</v>
      </c>
      <c r="G104">
        <f>IFERROR(VLOOKUP(Fix_Mapping[[#This Row],[KODE BARANG]],[1]!KINONF15[[KDBRG]:[HRG_JLMT_CTN+PPN]],8,0),0)</f>
        <v>0</v>
      </c>
      <c r="H104">
        <f>IFERROR(VLOOKUP(Fix_Mapping[[#This Row],[KODE BARANG]],[1]!KINONF15[[KDBRG]:[HRG_JLMT_CTN+PPN]],9,0),0)</f>
        <v>0</v>
      </c>
      <c r="I104">
        <f>IFERROR(VLOOKUP(Fix_Mapping[[#This Row],[KODE BARANG]],[1]!KINONF15[[KDBRG]:[HRG_JLMT_CTN+PPN]],10,0),0)</f>
        <v>0</v>
      </c>
      <c r="J104">
        <f>IFERROR(VLOOKUP(Fix_Mapping[[#This Row],[KODE BARANG]],[1]!KINONF15[[KDBRG]:[HRG_JLMT_CTN+PPN]],11,0),0)</f>
        <v>0</v>
      </c>
      <c r="K104">
        <f>IFERROR(VLOOKUP(Fix_Mapping[[#This Row],[KODE BARANG]],[1]!KINONF15[[KDBRG]:[HRG_JLMT_CTN+PPN]],12,0),0)</f>
        <v>0</v>
      </c>
      <c r="L104">
        <f>IFERROR(VLOOKUP(Fix_Mapping[[#This Row],[KODE BARANG]],[1]!KINONF15[[KDBRG]:[HRG_JLMT_CTN+PPN]],13,0),0)</f>
        <v>0</v>
      </c>
      <c r="M104">
        <f>IFERROR(VLOOKUP(Fix_Mapping[[#This Row],[KODE BARANG]],[1]!KINONF15[[KDBRG]:[HRG_JLMT_CTN+PPN]],14,0),0)</f>
        <v>0</v>
      </c>
      <c r="N104">
        <f>IFERROR(VLOOKUP(Fix_Mapping[[#This Row],[KODE BARANG]],[1]!KINONF15[[KDBRG]:[HRG_JLMT_CTN+PPN]],15,0),0)</f>
        <v>0</v>
      </c>
      <c r="O104">
        <f>IFERROR(VLOOKUP(Fix_Mapping[[#This Row],[KODE BARANG]],[1]!KINONF15[[KDBRG]:[HRG_JLMT_CTN+PPN]],16,0),0)</f>
        <v>0</v>
      </c>
      <c r="P104">
        <f>IFERROR(VLOOKUP(Fix_Mapping[[#This Row],[KODE BARANG]],[1]!KINONF15[[KDBRG]:[HRG_JLMT_CTN+PPN]],17,0),0)</f>
        <v>0</v>
      </c>
      <c r="Q104">
        <f>IFERROR(VLOOKUP(Fix_Mapping[[#This Row],[KODE BARANG]],[1]!KINONF15[[KDBRG]:[HRG_JLMT_CTN+PPN]],18,0),0)</f>
        <v>0</v>
      </c>
      <c r="R104" t="s">
        <v>2555</v>
      </c>
      <c r="S104" t="s">
        <v>483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1222</v>
      </c>
      <c r="B105" t="s">
        <v>1223</v>
      </c>
      <c r="C105">
        <v>24</v>
      </c>
      <c r="D105">
        <f>IFERROR(VLOOKUP(Fix_Mapping[[#This Row],[KODE BARANG]],[1]!KINONF15[[KDBRG]:[HRG_JLMT_CTN+PPN]],5,0),0)</f>
        <v>0</v>
      </c>
      <c r="E105" t="s">
        <v>2277</v>
      </c>
      <c r="F105">
        <f>IFERROR(VLOOKUP(Fix_Mapping[[#This Row],[KODE BARANG]],[1]!KINONF15[[KDBRG]:[HRG_JLMT_CTN+PPN]],7,0),0)</f>
        <v>0</v>
      </c>
      <c r="G105">
        <f>IFERROR(VLOOKUP(Fix_Mapping[[#This Row],[KODE BARANG]],[1]!KINONF15[[KDBRG]:[HRG_JLMT_CTN+PPN]],8,0),0)</f>
        <v>0</v>
      </c>
      <c r="H105">
        <f>IFERROR(VLOOKUP(Fix_Mapping[[#This Row],[KODE BARANG]],[1]!KINONF15[[KDBRG]:[HRG_JLMT_CTN+PPN]],9,0),0)</f>
        <v>0</v>
      </c>
      <c r="I105">
        <f>IFERROR(VLOOKUP(Fix_Mapping[[#This Row],[KODE BARANG]],[1]!KINONF15[[KDBRG]:[HRG_JLMT_CTN+PPN]],10,0),0)</f>
        <v>0</v>
      </c>
      <c r="J105">
        <f>IFERROR(VLOOKUP(Fix_Mapping[[#This Row],[KODE BARANG]],[1]!KINONF15[[KDBRG]:[HRG_JLMT_CTN+PPN]],11,0),0)</f>
        <v>0</v>
      </c>
      <c r="K105">
        <f>IFERROR(VLOOKUP(Fix_Mapping[[#This Row],[KODE BARANG]],[1]!KINONF15[[KDBRG]:[HRG_JLMT_CTN+PPN]],12,0),0)</f>
        <v>0</v>
      </c>
      <c r="L105">
        <f>IFERROR(VLOOKUP(Fix_Mapping[[#This Row],[KODE BARANG]],[1]!KINONF15[[KDBRG]:[HRG_JLMT_CTN+PPN]],13,0),0)</f>
        <v>0</v>
      </c>
      <c r="M105">
        <f>IFERROR(VLOOKUP(Fix_Mapping[[#This Row],[KODE BARANG]],[1]!KINONF15[[KDBRG]:[HRG_JLMT_CTN+PPN]],14,0),0)</f>
        <v>0</v>
      </c>
      <c r="N105">
        <f>IFERROR(VLOOKUP(Fix_Mapping[[#This Row],[KODE BARANG]],[1]!KINONF15[[KDBRG]:[HRG_JLMT_CTN+PPN]],15,0),0)</f>
        <v>0</v>
      </c>
      <c r="O105">
        <f>IFERROR(VLOOKUP(Fix_Mapping[[#This Row],[KODE BARANG]],[1]!KINONF15[[KDBRG]:[HRG_JLMT_CTN+PPN]],16,0),0)</f>
        <v>0</v>
      </c>
      <c r="P105">
        <f>IFERROR(VLOOKUP(Fix_Mapping[[#This Row],[KODE BARANG]],[1]!KINONF15[[KDBRG]:[HRG_JLMT_CTN+PPN]],17,0),0)</f>
        <v>0</v>
      </c>
      <c r="Q105">
        <f>IFERROR(VLOOKUP(Fix_Mapping[[#This Row],[KODE BARANG]],[1]!KINONF15[[KDBRG]:[HRG_JLMT_CTN+PPN]],18,0),0)</f>
        <v>0</v>
      </c>
      <c r="R105" t="s">
        <v>2555</v>
      </c>
      <c r="S105" t="s">
        <v>484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1224</v>
      </c>
      <c r="B106" t="s">
        <v>1225</v>
      </c>
      <c r="C106">
        <v>24</v>
      </c>
      <c r="D106">
        <f>IFERROR(VLOOKUP(Fix_Mapping[[#This Row],[KODE BARANG]],[1]!KINONF15[[KDBRG]:[HRG_JLMT_CTN+PPN]],5,0),0)</f>
        <v>0</v>
      </c>
      <c r="E106" t="s">
        <v>2277</v>
      </c>
      <c r="F106">
        <f>IFERROR(VLOOKUP(Fix_Mapping[[#This Row],[KODE BARANG]],[1]!KINONF15[[KDBRG]:[HRG_JLMT_CTN+PPN]],7,0),0)</f>
        <v>0</v>
      </c>
      <c r="G106">
        <f>IFERROR(VLOOKUP(Fix_Mapping[[#This Row],[KODE BARANG]],[1]!KINONF15[[KDBRG]:[HRG_JLMT_CTN+PPN]],8,0),0)</f>
        <v>0</v>
      </c>
      <c r="H106">
        <f>IFERROR(VLOOKUP(Fix_Mapping[[#This Row],[KODE BARANG]],[1]!KINONF15[[KDBRG]:[HRG_JLMT_CTN+PPN]],9,0),0)</f>
        <v>0</v>
      </c>
      <c r="I106">
        <f>IFERROR(VLOOKUP(Fix_Mapping[[#This Row],[KODE BARANG]],[1]!KINONF15[[KDBRG]:[HRG_JLMT_CTN+PPN]],10,0),0)</f>
        <v>0</v>
      </c>
      <c r="J106">
        <f>IFERROR(VLOOKUP(Fix_Mapping[[#This Row],[KODE BARANG]],[1]!KINONF15[[KDBRG]:[HRG_JLMT_CTN+PPN]],11,0),0)</f>
        <v>0</v>
      </c>
      <c r="K106">
        <f>IFERROR(VLOOKUP(Fix_Mapping[[#This Row],[KODE BARANG]],[1]!KINONF15[[KDBRG]:[HRG_JLMT_CTN+PPN]],12,0),0)</f>
        <v>0</v>
      </c>
      <c r="L106">
        <f>IFERROR(VLOOKUP(Fix_Mapping[[#This Row],[KODE BARANG]],[1]!KINONF15[[KDBRG]:[HRG_JLMT_CTN+PPN]],13,0),0)</f>
        <v>0</v>
      </c>
      <c r="M106">
        <f>IFERROR(VLOOKUP(Fix_Mapping[[#This Row],[KODE BARANG]],[1]!KINONF15[[KDBRG]:[HRG_JLMT_CTN+PPN]],14,0),0)</f>
        <v>0</v>
      </c>
      <c r="N106">
        <f>IFERROR(VLOOKUP(Fix_Mapping[[#This Row],[KODE BARANG]],[1]!KINONF15[[KDBRG]:[HRG_JLMT_CTN+PPN]],15,0),0)</f>
        <v>0</v>
      </c>
      <c r="O106">
        <f>IFERROR(VLOOKUP(Fix_Mapping[[#This Row],[KODE BARANG]],[1]!KINONF15[[KDBRG]:[HRG_JLMT_CTN+PPN]],16,0),0)</f>
        <v>0</v>
      </c>
      <c r="P106">
        <f>IFERROR(VLOOKUP(Fix_Mapping[[#This Row],[KODE BARANG]],[1]!KINONF15[[KDBRG]:[HRG_JLMT_CTN+PPN]],17,0),0)</f>
        <v>0</v>
      </c>
      <c r="Q106">
        <f>IFERROR(VLOOKUP(Fix_Mapping[[#This Row],[KODE BARANG]],[1]!KINONF15[[KDBRG]:[HRG_JLMT_CTN+PPN]],18,0),0)</f>
        <v>0</v>
      </c>
      <c r="R106" t="s">
        <v>2555</v>
      </c>
      <c r="S106" t="s">
        <v>485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1226</v>
      </c>
      <c r="B107" t="s">
        <v>1227</v>
      </c>
      <c r="C107">
        <v>24</v>
      </c>
      <c r="D107">
        <f>IFERROR(VLOOKUP(Fix_Mapping[[#This Row],[KODE BARANG]],[1]!KINONF15[[KDBRG]:[HRG_JLMT_CTN+PPN]],5,0),0)</f>
        <v>0</v>
      </c>
      <c r="E107" t="s">
        <v>2277</v>
      </c>
      <c r="F107">
        <f>IFERROR(VLOOKUP(Fix_Mapping[[#This Row],[KODE BARANG]],[1]!KINONF15[[KDBRG]:[HRG_JLMT_CTN+PPN]],7,0),0)</f>
        <v>0</v>
      </c>
      <c r="G107">
        <f>IFERROR(VLOOKUP(Fix_Mapping[[#This Row],[KODE BARANG]],[1]!KINONF15[[KDBRG]:[HRG_JLMT_CTN+PPN]],8,0),0)</f>
        <v>0</v>
      </c>
      <c r="H107">
        <f>IFERROR(VLOOKUP(Fix_Mapping[[#This Row],[KODE BARANG]],[1]!KINONF15[[KDBRG]:[HRG_JLMT_CTN+PPN]],9,0),0)</f>
        <v>0</v>
      </c>
      <c r="I107">
        <f>IFERROR(VLOOKUP(Fix_Mapping[[#This Row],[KODE BARANG]],[1]!KINONF15[[KDBRG]:[HRG_JLMT_CTN+PPN]],10,0),0)</f>
        <v>0</v>
      </c>
      <c r="J107">
        <f>IFERROR(VLOOKUP(Fix_Mapping[[#This Row],[KODE BARANG]],[1]!KINONF15[[KDBRG]:[HRG_JLMT_CTN+PPN]],11,0),0)</f>
        <v>0</v>
      </c>
      <c r="K107">
        <f>IFERROR(VLOOKUP(Fix_Mapping[[#This Row],[KODE BARANG]],[1]!KINONF15[[KDBRG]:[HRG_JLMT_CTN+PPN]],12,0),0)</f>
        <v>0</v>
      </c>
      <c r="L107">
        <f>IFERROR(VLOOKUP(Fix_Mapping[[#This Row],[KODE BARANG]],[1]!KINONF15[[KDBRG]:[HRG_JLMT_CTN+PPN]],13,0),0)</f>
        <v>0</v>
      </c>
      <c r="M107">
        <f>IFERROR(VLOOKUP(Fix_Mapping[[#This Row],[KODE BARANG]],[1]!KINONF15[[KDBRG]:[HRG_JLMT_CTN+PPN]],14,0),0)</f>
        <v>0</v>
      </c>
      <c r="N107">
        <f>IFERROR(VLOOKUP(Fix_Mapping[[#This Row],[KODE BARANG]],[1]!KINONF15[[KDBRG]:[HRG_JLMT_CTN+PPN]],15,0),0)</f>
        <v>0</v>
      </c>
      <c r="O107">
        <f>IFERROR(VLOOKUP(Fix_Mapping[[#This Row],[KODE BARANG]],[1]!KINONF15[[KDBRG]:[HRG_JLMT_CTN+PPN]],16,0),0)</f>
        <v>0</v>
      </c>
      <c r="P107">
        <f>IFERROR(VLOOKUP(Fix_Mapping[[#This Row],[KODE BARANG]],[1]!KINONF15[[KDBRG]:[HRG_JLMT_CTN+PPN]],17,0),0)</f>
        <v>0</v>
      </c>
      <c r="Q107">
        <f>IFERROR(VLOOKUP(Fix_Mapping[[#This Row],[KODE BARANG]],[1]!KINONF15[[KDBRG]:[HRG_JLMT_CTN+PPN]],18,0),0)</f>
        <v>0</v>
      </c>
      <c r="R107" t="s">
        <v>2555</v>
      </c>
      <c r="S107" t="s">
        <v>486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1228</v>
      </c>
      <c r="B108" t="s">
        <v>1229</v>
      </c>
      <c r="C108">
        <v>12</v>
      </c>
      <c r="D108">
        <f>IFERROR(VLOOKUP(Fix_Mapping[[#This Row],[KODE BARANG]],[1]!KINONF15[[KDBRG]:[HRG_JLMT_CTN+PPN]],5,0),0)</f>
        <v>0</v>
      </c>
      <c r="E108" t="s">
        <v>2277</v>
      </c>
      <c r="F108">
        <f>IFERROR(VLOOKUP(Fix_Mapping[[#This Row],[KODE BARANG]],[1]!KINONF15[[KDBRG]:[HRG_JLMT_CTN+PPN]],7,0),0)</f>
        <v>0</v>
      </c>
      <c r="G108">
        <f>IFERROR(VLOOKUP(Fix_Mapping[[#This Row],[KODE BARANG]],[1]!KINONF15[[KDBRG]:[HRG_JLMT_CTN+PPN]],8,0),0)</f>
        <v>0</v>
      </c>
      <c r="H108">
        <f>IFERROR(VLOOKUP(Fix_Mapping[[#This Row],[KODE BARANG]],[1]!KINONF15[[KDBRG]:[HRG_JLMT_CTN+PPN]],9,0),0)</f>
        <v>0</v>
      </c>
      <c r="I108">
        <f>IFERROR(VLOOKUP(Fix_Mapping[[#This Row],[KODE BARANG]],[1]!KINONF15[[KDBRG]:[HRG_JLMT_CTN+PPN]],10,0),0)</f>
        <v>0</v>
      </c>
      <c r="J108">
        <f>IFERROR(VLOOKUP(Fix_Mapping[[#This Row],[KODE BARANG]],[1]!KINONF15[[KDBRG]:[HRG_JLMT_CTN+PPN]],11,0),0)</f>
        <v>0</v>
      </c>
      <c r="K108">
        <f>IFERROR(VLOOKUP(Fix_Mapping[[#This Row],[KODE BARANG]],[1]!KINONF15[[KDBRG]:[HRG_JLMT_CTN+PPN]],12,0),0)</f>
        <v>0</v>
      </c>
      <c r="L108">
        <f>IFERROR(VLOOKUP(Fix_Mapping[[#This Row],[KODE BARANG]],[1]!KINONF15[[KDBRG]:[HRG_JLMT_CTN+PPN]],13,0),0)</f>
        <v>0</v>
      </c>
      <c r="M108">
        <f>IFERROR(VLOOKUP(Fix_Mapping[[#This Row],[KODE BARANG]],[1]!KINONF15[[KDBRG]:[HRG_JLMT_CTN+PPN]],14,0),0)</f>
        <v>0</v>
      </c>
      <c r="N108">
        <f>IFERROR(VLOOKUP(Fix_Mapping[[#This Row],[KODE BARANG]],[1]!KINONF15[[KDBRG]:[HRG_JLMT_CTN+PPN]],15,0),0)</f>
        <v>0</v>
      </c>
      <c r="O108">
        <f>IFERROR(VLOOKUP(Fix_Mapping[[#This Row],[KODE BARANG]],[1]!KINONF15[[KDBRG]:[HRG_JLMT_CTN+PPN]],16,0),0)</f>
        <v>0</v>
      </c>
      <c r="P108">
        <f>IFERROR(VLOOKUP(Fix_Mapping[[#This Row],[KODE BARANG]],[1]!KINONF15[[KDBRG]:[HRG_JLMT_CTN+PPN]],17,0),0)</f>
        <v>0</v>
      </c>
      <c r="Q108">
        <f>IFERROR(VLOOKUP(Fix_Mapping[[#This Row],[KODE BARANG]],[1]!KINONF15[[KDBRG]:[HRG_JLMT_CTN+PPN]],18,0),0)</f>
        <v>0</v>
      </c>
      <c r="R108" t="s">
        <v>2555</v>
      </c>
      <c r="S108" t="s">
        <v>488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1230</v>
      </c>
      <c r="B109" t="s">
        <v>1231</v>
      </c>
      <c r="C109">
        <v>24</v>
      </c>
      <c r="D109">
        <f>IFERROR(VLOOKUP(Fix_Mapping[[#This Row],[KODE BARANG]],[1]!KINONF15[[KDBRG]:[HRG_JLMT_CTN+PPN]],5,0),0)</f>
        <v>0</v>
      </c>
      <c r="E109" t="s">
        <v>2277</v>
      </c>
      <c r="F109">
        <f>IFERROR(VLOOKUP(Fix_Mapping[[#This Row],[KODE BARANG]],[1]!KINONF15[[KDBRG]:[HRG_JLMT_CTN+PPN]],7,0),0)</f>
        <v>0</v>
      </c>
      <c r="G109">
        <f>IFERROR(VLOOKUP(Fix_Mapping[[#This Row],[KODE BARANG]],[1]!KINONF15[[KDBRG]:[HRG_JLMT_CTN+PPN]],8,0),0)</f>
        <v>0</v>
      </c>
      <c r="H109">
        <f>IFERROR(VLOOKUP(Fix_Mapping[[#This Row],[KODE BARANG]],[1]!KINONF15[[KDBRG]:[HRG_JLMT_CTN+PPN]],9,0),0)</f>
        <v>0</v>
      </c>
      <c r="I109">
        <f>IFERROR(VLOOKUP(Fix_Mapping[[#This Row],[KODE BARANG]],[1]!KINONF15[[KDBRG]:[HRG_JLMT_CTN+PPN]],10,0),0)</f>
        <v>0</v>
      </c>
      <c r="J109">
        <f>IFERROR(VLOOKUP(Fix_Mapping[[#This Row],[KODE BARANG]],[1]!KINONF15[[KDBRG]:[HRG_JLMT_CTN+PPN]],11,0),0)</f>
        <v>0</v>
      </c>
      <c r="K109">
        <f>IFERROR(VLOOKUP(Fix_Mapping[[#This Row],[KODE BARANG]],[1]!KINONF15[[KDBRG]:[HRG_JLMT_CTN+PPN]],12,0),0)</f>
        <v>0</v>
      </c>
      <c r="L109">
        <f>IFERROR(VLOOKUP(Fix_Mapping[[#This Row],[KODE BARANG]],[1]!KINONF15[[KDBRG]:[HRG_JLMT_CTN+PPN]],13,0),0)</f>
        <v>0</v>
      </c>
      <c r="M109">
        <f>IFERROR(VLOOKUP(Fix_Mapping[[#This Row],[KODE BARANG]],[1]!KINONF15[[KDBRG]:[HRG_JLMT_CTN+PPN]],14,0),0)</f>
        <v>0</v>
      </c>
      <c r="N109">
        <f>IFERROR(VLOOKUP(Fix_Mapping[[#This Row],[KODE BARANG]],[1]!KINONF15[[KDBRG]:[HRG_JLMT_CTN+PPN]],15,0),0)</f>
        <v>0</v>
      </c>
      <c r="O109">
        <f>IFERROR(VLOOKUP(Fix_Mapping[[#This Row],[KODE BARANG]],[1]!KINONF15[[KDBRG]:[HRG_JLMT_CTN+PPN]],16,0),0)</f>
        <v>0</v>
      </c>
      <c r="P109">
        <f>IFERROR(VLOOKUP(Fix_Mapping[[#This Row],[KODE BARANG]],[1]!KINONF15[[KDBRG]:[HRG_JLMT_CTN+PPN]],17,0),0)</f>
        <v>0</v>
      </c>
      <c r="Q109">
        <f>IFERROR(VLOOKUP(Fix_Mapping[[#This Row],[KODE BARANG]],[1]!KINONF15[[KDBRG]:[HRG_JLMT_CTN+PPN]],18,0),0)</f>
        <v>0</v>
      </c>
      <c r="R109" t="s">
        <v>2555</v>
      </c>
      <c r="S109" t="s">
        <v>487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1232</v>
      </c>
      <c r="B110" t="s">
        <v>1233</v>
      </c>
      <c r="C110">
        <v>72</v>
      </c>
      <c r="D110">
        <f>IFERROR(VLOOKUP(Fix_Mapping[[#This Row],[KODE BARANG]],[1]!KINONF15[[KDBRG]:[HRG_JLMT_CTN+PPN]],5,0),0)</f>
        <v>0</v>
      </c>
      <c r="E110" t="s">
        <v>2279</v>
      </c>
      <c r="F110">
        <f>IFERROR(VLOOKUP(Fix_Mapping[[#This Row],[KODE BARANG]],[1]!KINONF15[[KDBRG]:[HRG_JLMT_CTN+PPN]],7,0),0)</f>
        <v>0</v>
      </c>
      <c r="G110">
        <f>IFERROR(VLOOKUP(Fix_Mapping[[#This Row],[KODE BARANG]],[1]!KINONF15[[KDBRG]:[HRG_JLMT_CTN+PPN]],8,0),0)</f>
        <v>0</v>
      </c>
      <c r="H110">
        <f>IFERROR(VLOOKUP(Fix_Mapping[[#This Row],[KODE BARANG]],[1]!KINONF15[[KDBRG]:[HRG_JLMT_CTN+PPN]],9,0),0)</f>
        <v>0</v>
      </c>
      <c r="I110">
        <f>IFERROR(VLOOKUP(Fix_Mapping[[#This Row],[KODE BARANG]],[1]!KINONF15[[KDBRG]:[HRG_JLMT_CTN+PPN]],10,0),0)</f>
        <v>0</v>
      </c>
      <c r="J110">
        <f>IFERROR(VLOOKUP(Fix_Mapping[[#This Row],[KODE BARANG]],[1]!KINONF15[[KDBRG]:[HRG_JLMT_CTN+PPN]],11,0),0)</f>
        <v>0</v>
      </c>
      <c r="K110">
        <f>IFERROR(VLOOKUP(Fix_Mapping[[#This Row],[KODE BARANG]],[1]!KINONF15[[KDBRG]:[HRG_JLMT_CTN+PPN]],12,0),0)</f>
        <v>0</v>
      </c>
      <c r="L110">
        <f>IFERROR(VLOOKUP(Fix_Mapping[[#This Row],[KODE BARANG]],[1]!KINONF15[[KDBRG]:[HRG_JLMT_CTN+PPN]],13,0),0)</f>
        <v>0</v>
      </c>
      <c r="M110">
        <f>IFERROR(VLOOKUP(Fix_Mapping[[#This Row],[KODE BARANG]],[1]!KINONF15[[KDBRG]:[HRG_JLMT_CTN+PPN]],14,0),0)</f>
        <v>0</v>
      </c>
      <c r="N110">
        <f>IFERROR(VLOOKUP(Fix_Mapping[[#This Row],[KODE BARANG]],[1]!KINONF15[[KDBRG]:[HRG_JLMT_CTN+PPN]],15,0),0)</f>
        <v>0</v>
      </c>
      <c r="O110">
        <f>IFERROR(VLOOKUP(Fix_Mapping[[#This Row],[KODE BARANG]],[1]!KINONF15[[KDBRG]:[HRG_JLMT_CTN+PPN]],16,0),0)</f>
        <v>0</v>
      </c>
      <c r="P110">
        <f>IFERROR(VLOOKUP(Fix_Mapping[[#This Row],[KODE BARANG]],[1]!KINONF15[[KDBRG]:[HRG_JLMT_CTN+PPN]],17,0),0)</f>
        <v>0</v>
      </c>
      <c r="Q110">
        <f>IFERROR(VLOOKUP(Fix_Mapping[[#This Row],[KODE BARANG]],[1]!KINONF15[[KDBRG]:[HRG_JLMT_CTN+PPN]],18,0),0)</f>
        <v>0</v>
      </c>
      <c r="R110" t="s">
        <v>2555</v>
      </c>
      <c r="S110" t="s">
        <v>489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1234</v>
      </c>
      <c r="B111" t="s">
        <v>1235</v>
      </c>
      <c r="C111">
        <v>36</v>
      </c>
      <c r="D111">
        <f>IFERROR(VLOOKUP(Fix_Mapping[[#This Row],[KODE BARANG]],[1]!KINONF15[[KDBRG]:[HRG_JLMT_CTN+PPN]],5,0),0)</f>
        <v>0</v>
      </c>
      <c r="E111" t="s">
        <v>2279</v>
      </c>
      <c r="F111">
        <f>IFERROR(VLOOKUP(Fix_Mapping[[#This Row],[KODE BARANG]],[1]!KINONF15[[KDBRG]:[HRG_JLMT_CTN+PPN]],7,0),0)</f>
        <v>0</v>
      </c>
      <c r="G111">
        <f>IFERROR(VLOOKUP(Fix_Mapping[[#This Row],[KODE BARANG]],[1]!KINONF15[[KDBRG]:[HRG_JLMT_CTN+PPN]],8,0),0)</f>
        <v>0</v>
      </c>
      <c r="H111">
        <f>IFERROR(VLOOKUP(Fix_Mapping[[#This Row],[KODE BARANG]],[1]!KINONF15[[KDBRG]:[HRG_JLMT_CTN+PPN]],9,0),0)</f>
        <v>0</v>
      </c>
      <c r="I111">
        <f>IFERROR(VLOOKUP(Fix_Mapping[[#This Row],[KODE BARANG]],[1]!KINONF15[[KDBRG]:[HRG_JLMT_CTN+PPN]],10,0),0)</f>
        <v>0</v>
      </c>
      <c r="J111">
        <f>IFERROR(VLOOKUP(Fix_Mapping[[#This Row],[KODE BARANG]],[1]!KINONF15[[KDBRG]:[HRG_JLMT_CTN+PPN]],11,0),0)</f>
        <v>0</v>
      </c>
      <c r="K111">
        <f>IFERROR(VLOOKUP(Fix_Mapping[[#This Row],[KODE BARANG]],[1]!KINONF15[[KDBRG]:[HRG_JLMT_CTN+PPN]],12,0),0)</f>
        <v>0</v>
      </c>
      <c r="L111">
        <f>IFERROR(VLOOKUP(Fix_Mapping[[#This Row],[KODE BARANG]],[1]!KINONF15[[KDBRG]:[HRG_JLMT_CTN+PPN]],13,0),0)</f>
        <v>0</v>
      </c>
      <c r="M111">
        <f>IFERROR(VLOOKUP(Fix_Mapping[[#This Row],[KODE BARANG]],[1]!KINONF15[[KDBRG]:[HRG_JLMT_CTN+PPN]],14,0),0)</f>
        <v>0</v>
      </c>
      <c r="N111">
        <f>IFERROR(VLOOKUP(Fix_Mapping[[#This Row],[KODE BARANG]],[1]!KINONF15[[KDBRG]:[HRG_JLMT_CTN+PPN]],15,0),0)</f>
        <v>0</v>
      </c>
      <c r="O111">
        <f>IFERROR(VLOOKUP(Fix_Mapping[[#This Row],[KODE BARANG]],[1]!KINONF15[[KDBRG]:[HRG_JLMT_CTN+PPN]],16,0),0)</f>
        <v>0</v>
      </c>
      <c r="P111">
        <f>IFERROR(VLOOKUP(Fix_Mapping[[#This Row],[KODE BARANG]],[1]!KINONF15[[KDBRG]:[HRG_JLMT_CTN+PPN]],17,0),0)</f>
        <v>0</v>
      </c>
      <c r="Q111">
        <f>IFERROR(VLOOKUP(Fix_Mapping[[#This Row],[KODE BARANG]],[1]!KINONF15[[KDBRG]:[HRG_JLMT_CTN+PPN]],18,0),0)</f>
        <v>0</v>
      </c>
      <c r="R111" t="s">
        <v>2555</v>
      </c>
      <c r="S111" t="s">
        <v>490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1236</v>
      </c>
      <c r="B112" t="s">
        <v>1237</v>
      </c>
      <c r="C112">
        <v>72</v>
      </c>
      <c r="D112">
        <f>IFERROR(VLOOKUP(Fix_Mapping[[#This Row],[KODE BARANG]],[1]!KINONF15[[KDBRG]:[HRG_JLMT_CTN+PPN]],5,0),0)</f>
        <v>0</v>
      </c>
      <c r="E112" t="s">
        <v>2279</v>
      </c>
      <c r="F112">
        <f>IFERROR(VLOOKUP(Fix_Mapping[[#This Row],[KODE BARANG]],[1]!KINONF15[[KDBRG]:[HRG_JLMT_CTN+PPN]],7,0),0)</f>
        <v>0</v>
      </c>
      <c r="G112">
        <f>IFERROR(VLOOKUP(Fix_Mapping[[#This Row],[KODE BARANG]],[1]!KINONF15[[KDBRG]:[HRG_JLMT_CTN+PPN]],8,0),0)</f>
        <v>0</v>
      </c>
      <c r="H112">
        <f>IFERROR(VLOOKUP(Fix_Mapping[[#This Row],[KODE BARANG]],[1]!KINONF15[[KDBRG]:[HRG_JLMT_CTN+PPN]],9,0),0)</f>
        <v>0</v>
      </c>
      <c r="I112">
        <f>IFERROR(VLOOKUP(Fix_Mapping[[#This Row],[KODE BARANG]],[1]!KINONF15[[KDBRG]:[HRG_JLMT_CTN+PPN]],10,0),0)</f>
        <v>0</v>
      </c>
      <c r="J112">
        <f>IFERROR(VLOOKUP(Fix_Mapping[[#This Row],[KODE BARANG]],[1]!KINONF15[[KDBRG]:[HRG_JLMT_CTN+PPN]],11,0),0)</f>
        <v>0</v>
      </c>
      <c r="K112">
        <f>IFERROR(VLOOKUP(Fix_Mapping[[#This Row],[KODE BARANG]],[1]!KINONF15[[KDBRG]:[HRG_JLMT_CTN+PPN]],12,0),0)</f>
        <v>0</v>
      </c>
      <c r="L112">
        <f>IFERROR(VLOOKUP(Fix_Mapping[[#This Row],[KODE BARANG]],[1]!KINONF15[[KDBRG]:[HRG_JLMT_CTN+PPN]],13,0),0)</f>
        <v>0</v>
      </c>
      <c r="M112">
        <f>IFERROR(VLOOKUP(Fix_Mapping[[#This Row],[KODE BARANG]],[1]!KINONF15[[KDBRG]:[HRG_JLMT_CTN+PPN]],14,0),0)</f>
        <v>0</v>
      </c>
      <c r="N112">
        <f>IFERROR(VLOOKUP(Fix_Mapping[[#This Row],[KODE BARANG]],[1]!KINONF15[[KDBRG]:[HRG_JLMT_CTN+PPN]],15,0),0)</f>
        <v>0</v>
      </c>
      <c r="O112">
        <f>IFERROR(VLOOKUP(Fix_Mapping[[#This Row],[KODE BARANG]],[1]!KINONF15[[KDBRG]:[HRG_JLMT_CTN+PPN]],16,0),0)</f>
        <v>0</v>
      </c>
      <c r="P112">
        <f>IFERROR(VLOOKUP(Fix_Mapping[[#This Row],[KODE BARANG]],[1]!KINONF15[[KDBRG]:[HRG_JLMT_CTN+PPN]],17,0),0)</f>
        <v>0</v>
      </c>
      <c r="Q112">
        <f>IFERROR(VLOOKUP(Fix_Mapping[[#This Row],[KODE BARANG]],[1]!KINONF15[[KDBRG]:[HRG_JLMT_CTN+PPN]],18,0),0)</f>
        <v>0</v>
      </c>
      <c r="R112" t="s">
        <v>2555</v>
      </c>
      <c r="S112" t="s">
        <v>493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1238</v>
      </c>
      <c r="B113" t="s">
        <v>1239</v>
      </c>
      <c r="C113">
        <v>36</v>
      </c>
      <c r="D113">
        <f>IFERROR(VLOOKUP(Fix_Mapping[[#This Row],[KODE BARANG]],[1]!KINONF15[[KDBRG]:[HRG_JLMT_CTN+PPN]],5,0),0)</f>
        <v>0</v>
      </c>
      <c r="E113" t="s">
        <v>2279</v>
      </c>
      <c r="F113">
        <f>IFERROR(VLOOKUP(Fix_Mapping[[#This Row],[KODE BARANG]],[1]!KINONF15[[KDBRG]:[HRG_JLMT_CTN+PPN]],7,0),0)</f>
        <v>0</v>
      </c>
      <c r="G113">
        <f>IFERROR(VLOOKUP(Fix_Mapping[[#This Row],[KODE BARANG]],[1]!KINONF15[[KDBRG]:[HRG_JLMT_CTN+PPN]],8,0),0)</f>
        <v>0</v>
      </c>
      <c r="H113">
        <f>IFERROR(VLOOKUP(Fix_Mapping[[#This Row],[KODE BARANG]],[1]!KINONF15[[KDBRG]:[HRG_JLMT_CTN+PPN]],9,0),0)</f>
        <v>0</v>
      </c>
      <c r="I113">
        <f>IFERROR(VLOOKUP(Fix_Mapping[[#This Row],[KODE BARANG]],[1]!KINONF15[[KDBRG]:[HRG_JLMT_CTN+PPN]],10,0),0)</f>
        <v>0</v>
      </c>
      <c r="J113">
        <f>IFERROR(VLOOKUP(Fix_Mapping[[#This Row],[KODE BARANG]],[1]!KINONF15[[KDBRG]:[HRG_JLMT_CTN+PPN]],11,0),0)</f>
        <v>0</v>
      </c>
      <c r="K113">
        <f>IFERROR(VLOOKUP(Fix_Mapping[[#This Row],[KODE BARANG]],[1]!KINONF15[[KDBRG]:[HRG_JLMT_CTN+PPN]],12,0),0)</f>
        <v>0</v>
      </c>
      <c r="L113">
        <f>IFERROR(VLOOKUP(Fix_Mapping[[#This Row],[KODE BARANG]],[1]!KINONF15[[KDBRG]:[HRG_JLMT_CTN+PPN]],13,0),0)</f>
        <v>0</v>
      </c>
      <c r="M113">
        <f>IFERROR(VLOOKUP(Fix_Mapping[[#This Row],[KODE BARANG]],[1]!KINONF15[[KDBRG]:[HRG_JLMT_CTN+PPN]],14,0),0)</f>
        <v>0</v>
      </c>
      <c r="N113">
        <f>IFERROR(VLOOKUP(Fix_Mapping[[#This Row],[KODE BARANG]],[1]!KINONF15[[KDBRG]:[HRG_JLMT_CTN+PPN]],15,0),0)</f>
        <v>0</v>
      </c>
      <c r="O113">
        <f>IFERROR(VLOOKUP(Fix_Mapping[[#This Row],[KODE BARANG]],[1]!KINONF15[[KDBRG]:[HRG_JLMT_CTN+PPN]],16,0),0)</f>
        <v>0</v>
      </c>
      <c r="P113">
        <f>IFERROR(VLOOKUP(Fix_Mapping[[#This Row],[KODE BARANG]],[1]!KINONF15[[KDBRG]:[HRG_JLMT_CTN+PPN]],17,0),0)</f>
        <v>0</v>
      </c>
      <c r="Q113">
        <f>IFERROR(VLOOKUP(Fix_Mapping[[#This Row],[KODE BARANG]],[1]!KINONF15[[KDBRG]:[HRG_JLMT_CTN+PPN]],18,0),0)</f>
        <v>0</v>
      </c>
      <c r="R113" t="s">
        <v>2555</v>
      </c>
      <c r="S113" t="s">
        <v>494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1240</v>
      </c>
      <c r="B114" t="s">
        <v>1241</v>
      </c>
      <c r="C114">
        <v>72</v>
      </c>
      <c r="D114">
        <f>IFERROR(VLOOKUP(Fix_Mapping[[#This Row],[KODE BARANG]],[1]!KINONF15[[KDBRG]:[HRG_JLMT_CTN+PPN]],5,0),0)</f>
        <v>0</v>
      </c>
      <c r="E114" t="s">
        <v>2279</v>
      </c>
      <c r="F114">
        <f>IFERROR(VLOOKUP(Fix_Mapping[[#This Row],[KODE BARANG]],[1]!KINONF15[[KDBRG]:[HRG_JLMT_CTN+PPN]],7,0),0)</f>
        <v>0</v>
      </c>
      <c r="G114">
        <f>IFERROR(VLOOKUP(Fix_Mapping[[#This Row],[KODE BARANG]],[1]!KINONF15[[KDBRG]:[HRG_JLMT_CTN+PPN]],8,0),0)</f>
        <v>0</v>
      </c>
      <c r="H114">
        <f>IFERROR(VLOOKUP(Fix_Mapping[[#This Row],[KODE BARANG]],[1]!KINONF15[[KDBRG]:[HRG_JLMT_CTN+PPN]],9,0),0)</f>
        <v>0</v>
      </c>
      <c r="I114">
        <f>IFERROR(VLOOKUP(Fix_Mapping[[#This Row],[KODE BARANG]],[1]!KINONF15[[KDBRG]:[HRG_JLMT_CTN+PPN]],10,0),0)</f>
        <v>0</v>
      </c>
      <c r="J114">
        <f>IFERROR(VLOOKUP(Fix_Mapping[[#This Row],[KODE BARANG]],[1]!KINONF15[[KDBRG]:[HRG_JLMT_CTN+PPN]],11,0),0)</f>
        <v>0</v>
      </c>
      <c r="K114">
        <f>IFERROR(VLOOKUP(Fix_Mapping[[#This Row],[KODE BARANG]],[1]!KINONF15[[KDBRG]:[HRG_JLMT_CTN+PPN]],12,0),0)</f>
        <v>0</v>
      </c>
      <c r="L114">
        <f>IFERROR(VLOOKUP(Fix_Mapping[[#This Row],[KODE BARANG]],[1]!KINONF15[[KDBRG]:[HRG_JLMT_CTN+PPN]],13,0),0)</f>
        <v>0</v>
      </c>
      <c r="M114">
        <f>IFERROR(VLOOKUP(Fix_Mapping[[#This Row],[KODE BARANG]],[1]!KINONF15[[KDBRG]:[HRG_JLMT_CTN+PPN]],14,0),0)</f>
        <v>0</v>
      </c>
      <c r="N114">
        <f>IFERROR(VLOOKUP(Fix_Mapping[[#This Row],[KODE BARANG]],[1]!KINONF15[[KDBRG]:[HRG_JLMT_CTN+PPN]],15,0),0)</f>
        <v>0</v>
      </c>
      <c r="O114">
        <f>IFERROR(VLOOKUP(Fix_Mapping[[#This Row],[KODE BARANG]],[1]!KINONF15[[KDBRG]:[HRG_JLMT_CTN+PPN]],16,0),0)</f>
        <v>0</v>
      </c>
      <c r="P114">
        <f>IFERROR(VLOOKUP(Fix_Mapping[[#This Row],[KODE BARANG]],[1]!KINONF15[[KDBRG]:[HRG_JLMT_CTN+PPN]],17,0),0)</f>
        <v>0</v>
      </c>
      <c r="Q114">
        <f>IFERROR(VLOOKUP(Fix_Mapping[[#This Row],[KODE BARANG]],[1]!KINONF15[[KDBRG]:[HRG_JLMT_CTN+PPN]],18,0),0)</f>
        <v>0</v>
      </c>
      <c r="R114" t="s">
        <v>2555</v>
      </c>
      <c r="S114" t="s">
        <v>491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1242</v>
      </c>
      <c r="B115" t="s">
        <v>1243</v>
      </c>
      <c r="C115">
        <v>36</v>
      </c>
      <c r="D115">
        <f>IFERROR(VLOOKUP(Fix_Mapping[[#This Row],[KODE BARANG]],[1]!KINONF15[[KDBRG]:[HRG_JLMT_CTN+PPN]],5,0),0)</f>
        <v>0</v>
      </c>
      <c r="E115" t="s">
        <v>2279</v>
      </c>
      <c r="F115">
        <f>IFERROR(VLOOKUP(Fix_Mapping[[#This Row],[KODE BARANG]],[1]!KINONF15[[KDBRG]:[HRG_JLMT_CTN+PPN]],7,0),0)</f>
        <v>0</v>
      </c>
      <c r="G115">
        <f>IFERROR(VLOOKUP(Fix_Mapping[[#This Row],[KODE BARANG]],[1]!KINONF15[[KDBRG]:[HRG_JLMT_CTN+PPN]],8,0),0)</f>
        <v>0</v>
      </c>
      <c r="H115">
        <f>IFERROR(VLOOKUP(Fix_Mapping[[#This Row],[KODE BARANG]],[1]!KINONF15[[KDBRG]:[HRG_JLMT_CTN+PPN]],9,0),0)</f>
        <v>0</v>
      </c>
      <c r="I115">
        <f>IFERROR(VLOOKUP(Fix_Mapping[[#This Row],[KODE BARANG]],[1]!KINONF15[[KDBRG]:[HRG_JLMT_CTN+PPN]],10,0),0)</f>
        <v>0</v>
      </c>
      <c r="J115">
        <f>IFERROR(VLOOKUP(Fix_Mapping[[#This Row],[KODE BARANG]],[1]!KINONF15[[KDBRG]:[HRG_JLMT_CTN+PPN]],11,0),0)</f>
        <v>0</v>
      </c>
      <c r="K115">
        <f>IFERROR(VLOOKUP(Fix_Mapping[[#This Row],[KODE BARANG]],[1]!KINONF15[[KDBRG]:[HRG_JLMT_CTN+PPN]],12,0),0)</f>
        <v>0</v>
      </c>
      <c r="L115">
        <f>IFERROR(VLOOKUP(Fix_Mapping[[#This Row],[KODE BARANG]],[1]!KINONF15[[KDBRG]:[HRG_JLMT_CTN+PPN]],13,0),0)</f>
        <v>0</v>
      </c>
      <c r="M115">
        <f>IFERROR(VLOOKUP(Fix_Mapping[[#This Row],[KODE BARANG]],[1]!KINONF15[[KDBRG]:[HRG_JLMT_CTN+PPN]],14,0),0)</f>
        <v>0</v>
      </c>
      <c r="N115">
        <f>IFERROR(VLOOKUP(Fix_Mapping[[#This Row],[KODE BARANG]],[1]!KINONF15[[KDBRG]:[HRG_JLMT_CTN+PPN]],15,0),0)</f>
        <v>0</v>
      </c>
      <c r="O115">
        <f>IFERROR(VLOOKUP(Fix_Mapping[[#This Row],[KODE BARANG]],[1]!KINONF15[[KDBRG]:[HRG_JLMT_CTN+PPN]],16,0),0)</f>
        <v>0</v>
      </c>
      <c r="P115">
        <f>IFERROR(VLOOKUP(Fix_Mapping[[#This Row],[KODE BARANG]],[1]!KINONF15[[KDBRG]:[HRG_JLMT_CTN+PPN]],17,0),0)</f>
        <v>0</v>
      </c>
      <c r="Q115">
        <f>IFERROR(VLOOKUP(Fix_Mapping[[#This Row],[KODE BARANG]],[1]!KINONF15[[KDBRG]:[HRG_JLMT_CTN+PPN]],18,0),0)</f>
        <v>0</v>
      </c>
      <c r="R115" t="s">
        <v>2555</v>
      </c>
      <c r="S115" t="s">
        <v>492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1244</v>
      </c>
      <c r="B116" t="s">
        <v>1245</v>
      </c>
      <c r="C116">
        <v>144</v>
      </c>
      <c r="D116">
        <f>IFERROR(VLOOKUP(Fix_Mapping[[#This Row],[KODE BARANG]],[1]!KINONF15[[KDBRG]:[HRG_JLMT_CTN+PPN]],5,0),0)</f>
        <v>0</v>
      </c>
      <c r="E116" t="s">
        <v>2295</v>
      </c>
      <c r="F116">
        <f>IFERROR(VLOOKUP(Fix_Mapping[[#This Row],[KODE BARANG]],[1]!KINONF15[[KDBRG]:[HRG_JLMT_CTN+PPN]],7,0),0)</f>
        <v>0</v>
      </c>
      <c r="G116">
        <f>IFERROR(VLOOKUP(Fix_Mapping[[#This Row],[KODE BARANG]],[1]!KINONF15[[KDBRG]:[HRG_JLMT_CTN+PPN]],8,0),0)</f>
        <v>0</v>
      </c>
      <c r="H116">
        <f>IFERROR(VLOOKUP(Fix_Mapping[[#This Row],[KODE BARANG]],[1]!KINONF15[[KDBRG]:[HRG_JLMT_CTN+PPN]],9,0),0)</f>
        <v>0</v>
      </c>
      <c r="I116">
        <f>IFERROR(VLOOKUP(Fix_Mapping[[#This Row],[KODE BARANG]],[1]!KINONF15[[KDBRG]:[HRG_JLMT_CTN+PPN]],10,0),0)</f>
        <v>0</v>
      </c>
      <c r="J116">
        <f>IFERROR(VLOOKUP(Fix_Mapping[[#This Row],[KODE BARANG]],[1]!KINONF15[[KDBRG]:[HRG_JLMT_CTN+PPN]],11,0),0)</f>
        <v>0</v>
      </c>
      <c r="K116">
        <f>IFERROR(VLOOKUP(Fix_Mapping[[#This Row],[KODE BARANG]],[1]!KINONF15[[KDBRG]:[HRG_JLMT_CTN+PPN]],12,0),0)</f>
        <v>0</v>
      </c>
      <c r="L116">
        <f>IFERROR(VLOOKUP(Fix_Mapping[[#This Row],[KODE BARANG]],[1]!KINONF15[[KDBRG]:[HRG_JLMT_CTN+PPN]],13,0),0)</f>
        <v>0</v>
      </c>
      <c r="M116">
        <f>IFERROR(VLOOKUP(Fix_Mapping[[#This Row],[KODE BARANG]],[1]!KINONF15[[KDBRG]:[HRG_JLMT_CTN+PPN]],14,0),0)</f>
        <v>0</v>
      </c>
      <c r="N116">
        <f>IFERROR(VLOOKUP(Fix_Mapping[[#This Row],[KODE BARANG]],[1]!KINONF15[[KDBRG]:[HRG_JLMT_CTN+PPN]],15,0),0)</f>
        <v>0</v>
      </c>
      <c r="O116">
        <f>IFERROR(VLOOKUP(Fix_Mapping[[#This Row],[KODE BARANG]],[1]!KINONF15[[KDBRG]:[HRG_JLMT_CTN+PPN]],16,0),0)</f>
        <v>0</v>
      </c>
      <c r="P116">
        <f>IFERROR(VLOOKUP(Fix_Mapping[[#This Row],[KODE BARANG]],[1]!KINONF15[[KDBRG]:[HRG_JLMT_CTN+PPN]],17,0),0)</f>
        <v>0</v>
      </c>
      <c r="Q116">
        <f>IFERROR(VLOOKUP(Fix_Mapping[[#This Row],[KODE BARANG]],[1]!KINONF15[[KDBRG]:[HRG_JLMT_CTN+PPN]],18,0),0)</f>
        <v>0</v>
      </c>
      <c r="R116" t="s">
        <v>2555</v>
      </c>
      <c r="S116" t="s">
        <v>495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1246</v>
      </c>
      <c r="B117" t="s">
        <v>1247</v>
      </c>
      <c r="C117">
        <v>72</v>
      </c>
      <c r="D117">
        <f>IFERROR(VLOOKUP(Fix_Mapping[[#This Row],[KODE BARANG]],[1]!KINONF15[[KDBRG]:[HRG_JLMT_CTN+PPN]],5,0),0)</f>
        <v>0</v>
      </c>
      <c r="E117" t="s">
        <v>2295</v>
      </c>
      <c r="F117">
        <f>IFERROR(VLOOKUP(Fix_Mapping[[#This Row],[KODE BARANG]],[1]!KINONF15[[KDBRG]:[HRG_JLMT_CTN+PPN]],7,0),0)</f>
        <v>0</v>
      </c>
      <c r="G117">
        <f>IFERROR(VLOOKUP(Fix_Mapping[[#This Row],[KODE BARANG]],[1]!KINONF15[[KDBRG]:[HRG_JLMT_CTN+PPN]],8,0),0)</f>
        <v>0</v>
      </c>
      <c r="H117">
        <f>IFERROR(VLOOKUP(Fix_Mapping[[#This Row],[KODE BARANG]],[1]!KINONF15[[KDBRG]:[HRG_JLMT_CTN+PPN]],9,0),0)</f>
        <v>0</v>
      </c>
      <c r="I117">
        <f>IFERROR(VLOOKUP(Fix_Mapping[[#This Row],[KODE BARANG]],[1]!KINONF15[[KDBRG]:[HRG_JLMT_CTN+PPN]],10,0),0)</f>
        <v>0</v>
      </c>
      <c r="J117">
        <f>IFERROR(VLOOKUP(Fix_Mapping[[#This Row],[KODE BARANG]],[1]!KINONF15[[KDBRG]:[HRG_JLMT_CTN+PPN]],11,0),0)</f>
        <v>0</v>
      </c>
      <c r="K117">
        <f>IFERROR(VLOOKUP(Fix_Mapping[[#This Row],[KODE BARANG]],[1]!KINONF15[[KDBRG]:[HRG_JLMT_CTN+PPN]],12,0),0)</f>
        <v>0</v>
      </c>
      <c r="L117">
        <f>IFERROR(VLOOKUP(Fix_Mapping[[#This Row],[KODE BARANG]],[1]!KINONF15[[KDBRG]:[HRG_JLMT_CTN+PPN]],13,0),0)</f>
        <v>0</v>
      </c>
      <c r="M117">
        <f>IFERROR(VLOOKUP(Fix_Mapping[[#This Row],[KODE BARANG]],[1]!KINONF15[[KDBRG]:[HRG_JLMT_CTN+PPN]],14,0),0)</f>
        <v>0</v>
      </c>
      <c r="N117">
        <f>IFERROR(VLOOKUP(Fix_Mapping[[#This Row],[KODE BARANG]],[1]!KINONF15[[KDBRG]:[HRG_JLMT_CTN+PPN]],15,0),0)</f>
        <v>0</v>
      </c>
      <c r="O117">
        <f>IFERROR(VLOOKUP(Fix_Mapping[[#This Row],[KODE BARANG]],[1]!KINONF15[[KDBRG]:[HRG_JLMT_CTN+PPN]],16,0),0)</f>
        <v>0</v>
      </c>
      <c r="P117">
        <f>IFERROR(VLOOKUP(Fix_Mapping[[#This Row],[KODE BARANG]],[1]!KINONF15[[KDBRG]:[HRG_JLMT_CTN+PPN]],17,0),0)</f>
        <v>0</v>
      </c>
      <c r="Q117">
        <f>IFERROR(VLOOKUP(Fix_Mapping[[#This Row],[KODE BARANG]],[1]!KINONF15[[KDBRG]:[HRG_JLMT_CTN+PPN]],18,0),0)</f>
        <v>0</v>
      </c>
      <c r="R117" t="s">
        <v>2555</v>
      </c>
      <c r="S117" t="s">
        <v>496</v>
      </c>
      <c r="T117" t="s">
        <v>497</v>
      </c>
      <c r="U117" t="s">
        <v>498</v>
      </c>
      <c r="V117">
        <v>0</v>
      </c>
      <c r="W117">
        <v>0</v>
      </c>
    </row>
    <row r="118" spans="1:23">
      <c r="A118" t="s">
        <v>1248</v>
      </c>
      <c r="B118" t="s">
        <v>1249</v>
      </c>
      <c r="C118">
        <v>72</v>
      </c>
      <c r="D118">
        <f>IFERROR(VLOOKUP(Fix_Mapping[[#This Row],[KODE BARANG]],[1]!KINONF15[[KDBRG]:[HRG_JLMT_CTN+PPN]],5,0),0)</f>
        <v>0</v>
      </c>
      <c r="E118" t="s">
        <v>2295</v>
      </c>
      <c r="F118">
        <f>IFERROR(VLOOKUP(Fix_Mapping[[#This Row],[KODE BARANG]],[1]!KINONF15[[KDBRG]:[HRG_JLMT_CTN+PPN]],7,0),0)</f>
        <v>0</v>
      </c>
      <c r="G118">
        <f>IFERROR(VLOOKUP(Fix_Mapping[[#This Row],[KODE BARANG]],[1]!KINONF15[[KDBRG]:[HRG_JLMT_CTN+PPN]],8,0),0)</f>
        <v>0</v>
      </c>
      <c r="H118">
        <f>IFERROR(VLOOKUP(Fix_Mapping[[#This Row],[KODE BARANG]],[1]!KINONF15[[KDBRG]:[HRG_JLMT_CTN+PPN]],9,0),0)</f>
        <v>0</v>
      </c>
      <c r="I118">
        <f>IFERROR(VLOOKUP(Fix_Mapping[[#This Row],[KODE BARANG]],[1]!KINONF15[[KDBRG]:[HRG_JLMT_CTN+PPN]],10,0),0)</f>
        <v>0</v>
      </c>
      <c r="J118">
        <f>IFERROR(VLOOKUP(Fix_Mapping[[#This Row],[KODE BARANG]],[1]!KINONF15[[KDBRG]:[HRG_JLMT_CTN+PPN]],11,0),0)</f>
        <v>0</v>
      </c>
      <c r="K118">
        <f>IFERROR(VLOOKUP(Fix_Mapping[[#This Row],[KODE BARANG]],[1]!KINONF15[[KDBRG]:[HRG_JLMT_CTN+PPN]],12,0),0)</f>
        <v>0</v>
      </c>
      <c r="L118">
        <f>IFERROR(VLOOKUP(Fix_Mapping[[#This Row],[KODE BARANG]],[1]!KINONF15[[KDBRG]:[HRG_JLMT_CTN+PPN]],13,0),0)</f>
        <v>0</v>
      </c>
      <c r="M118">
        <f>IFERROR(VLOOKUP(Fix_Mapping[[#This Row],[KODE BARANG]],[1]!KINONF15[[KDBRG]:[HRG_JLMT_CTN+PPN]],14,0),0)</f>
        <v>0</v>
      </c>
      <c r="N118">
        <f>IFERROR(VLOOKUP(Fix_Mapping[[#This Row],[KODE BARANG]],[1]!KINONF15[[KDBRG]:[HRG_JLMT_CTN+PPN]],15,0),0)</f>
        <v>0</v>
      </c>
      <c r="O118">
        <f>IFERROR(VLOOKUP(Fix_Mapping[[#This Row],[KODE BARANG]],[1]!KINONF15[[KDBRG]:[HRG_JLMT_CTN+PPN]],16,0),0)</f>
        <v>0</v>
      </c>
      <c r="P118">
        <f>IFERROR(VLOOKUP(Fix_Mapping[[#This Row],[KODE BARANG]],[1]!KINONF15[[KDBRG]:[HRG_JLMT_CTN+PPN]],17,0),0)</f>
        <v>0</v>
      </c>
      <c r="Q118">
        <f>IFERROR(VLOOKUP(Fix_Mapping[[#This Row],[KODE BARANG]],[1]!KINONF15[[KDBRG]:[HRG_JLMT_CTN+PPN]],18,0),0)</f>
        <v>0</v>
      </c>
      <c r="R118" t="s">
        <v>2555</v>
      </c>
      <c r="S118" t="s">
        <v>499</v>
      </c>
      <c r="T118" t="s">
        <v>500</v>
      </c>
      <c r="U118" t="s">
        <v>501</v>
      </c>
      <c r="V118">
        <v>0</v>
      </c>
      <c r="W118">
        <v>0</v>
      </c>
    </row>
    <row r="119" spans="1:23">
      <c r="A119" t="s">
        <v>1250</v>
      </c>
      <c r="B119" t="s">
        <v>1251</v>
      </c>
      <c r="C119">
        <v>72</v>
      </c>
      <c r="D119">
        <f>IFERROR(VLOOKUP(Fix_Mapping[[#This Row],[KODE BARANG]],[1]!KINONF15[[KDBRG]:[HRG_JLMT_CTN+PPN]],5,0),0)</f>
        <v>0</v>
      </c>
      <c r="E119" t="s">
        <v>2295</v>
      </c>
      <c r="F119">
        <f>IFERROR(VLOOKUP(Fix_Mapping[[#This Row],[KODE BARANG]],[1]!KINONF15[[KDBRG]:[HRG_JLMT_CTN+PPN]],7,0),0)</f>
        <v>0</v>
      </c>
      <c r="G119">
        <f>IFERROR(VLOOKUP(Fix_Mapping[[#This Row],[KODE BARANG]],[1]!KINONF15[[KDBRG]:[HRG_JLMT_CTN+PPN]],8,0),0)</f>
        <v>0</v>
      </c>
      <c r="H119">
        <f>IFERROR(VLOOKUP(Fix_Mapping[[#This Row],[KODE BARANG]],[1]!KINONF15[[KDBRG]:[HRG_JLMT_CTN+PPN]],9,0),0)</f>
        <v>0</v>
      </c>
      <c r="I119">
        <f>IFERROR(VLOOKUP(Fix_Mapping[[#This Row],[KODE BARANG]],[1]!KINONF15[[KDBRG]:[HRG_JLMT_CTN+PPN]],10,0),0)</f>
        <v>0</v>
      </c>
      <c r="J119">
        <f>IFERROR(VLOOKUP(Fix_Mapping[[#This Row],[KODE BARANG]],[1]!KINONF15[[KDBRG]:[HRG_JLMT_CTN+PPN]],11,0),0)</f>
        <v>0</v>
      </c>
      <c r="K119">
        <f>IFERROR(VLOOKUP(Fix_Mapping[[#This Row],[KODE BARANG]],[1]!KINONF15[[KDBRG]:[HRG_JLMT_CTN+PPN]],12,0),0)</f>
        <v>0</v>
      </c>
      <c r="L119">
        <f>IFERROR(VLOOKUP(Fix_Mapping[[#This Row],[KODE BARANG]],[1]!KINONF15[[KDBRG]:[HRG_JLMT_CTN+PPN]],13,0),0)</f>
        <v>0</v>
      </c>
      <c r="M119">
        <f>IFERROR(VLOOKUP(Fix_Mapping[[#This Row],[KODE BARANG]],[1]!KINONF15[[KDBRG]:[HRG_JLMT_CTN+PPN]],14,0),0)</f>
        <v>0</v>
      </c>
      <c r="N119">
        <f>IFERROR(VLOOKUP(Fix_Mapping[[#This Row],[KODE BARANG]],[1]!KINONF15[[KDBRG]:[HRG_JLMT_CTN+PPN]],15,0),0)</f>
        <v>0</v>
      </c>
      <c r="O119">
        <f>IFERROR(VLOOKUP(Fix_Mapping[[#This Row],[KODE BARANG]],[1]!KINONF15[[KDBRG]:[HRG_JLMT_CTN+PPN]],16,0),0)</f>
        <v>0</v>
      </c>
      <c r="P119">
        <f>IFERROR(VLOOKUP(Fix_Mapping[[#This Row],[KODE BARANG]],[1]!KINONF15[[KDBRG]:[HRG_JLMT_CTN+PPN]],17,0),0)</f>
        <v>0</v>
      </c>
      <c r="Q119">
        <f>IFERROR(VLOOKUP(Fix_Mapping[[#This Row],[KODE BARANG]],[1]!KINONF15[[KDBRG]:[HRG_JLMT_CTN+PPN]],18,0),0)</f>
        <v>0</v>
      </c>
      <c r="R119" t="s">
        <v>2555</v>
      </c>
      <c r="S119" t="s">
        <v>502</v>
      </c>
      <c r="T119" t="s">
        <v>503</v>
      </c>
      <c r="U119" t="s">
        <v>504</v>
      </c>
      <c r="V119">
        <v>0</v>
      </c>
      <c r="W119">
        <v>0</v>
      </c>
    </row>
    <row r="120" spans="1:23">
      <c r="A120" t="s">
        <v>1252</v>
      </c>
      <c r="B120" t="s">
        <v>1253</v>
      </c>
      <c r="C120">
        <v>72</v>
      </c>
      <c r="D120">
        <f>IFERROR(VLOOKUP(Fix_Mapping[[#This Row],[KODE BARANG]],[1]!KINONF15[[KDBRG]:[HRG_JLMT_CTN+PPN]],5,0),0)</f>
        <v>0</v>
      </c>
      <c r="E120" t="s">
        <v>2295</v>
      </c>
      <c r="F120">
        <f>IFERROR(VLOOKUP(Fix_Mapping[[#This Row],[KODE BARANG]],[1]!KINONF15[[KDBRG]:[HRG_JLMT_CTN+PPN]],7,0),0)</f>
        <v>0</v>
      </c>
      <c r="G120">
        <f>IFERROR(VLOOKUP(Fix_Mapping[[#This Row],[KODE BARANG]],[1]!KINONF15[[KDBRG]:[HRG_JLMT_CTN+PPN]],8,0),0)</f>
        <v>0</v>
      </c>
      <c r="H120">
        <f>IFERROR(VLOOKUP(Fix_Mapping[[#This Row],[KODE BARANG]],[1]!KINONF15[[KDBRG]:[HRG_JLMT_CTN+PPN]],9,0),0)</f>
        <v>0</v>
      </c>
      <c r="I120">
        <f>IFERROR(VLOOKUP(Fix_Mapping[[#This Row],[KODE BARANG]],[1]!KINONF15[[KDBRG]:[HRG_JLMT_CTN+PPN]],10,0),0)</f>
        <v>0</v>
      </c>
      <c r="J120">
        <f>IFERROR(VLOOKUP(Fix_Mapping[[#This Row],[KODE BARANG]],[1]!KINONF15[[KDBRG]:[HRG_JLMT_CTN+PPN]],11,0),0)</f>
        <v>0</v>
      </c>
      <c r="K120">
        <f>IFERROR(VLOOKUP(Fix_Mapping[[#This Row],[KODE BARANG]],[1]!KINONF15[[KDBRG]:[HRG_JLMT_CTN+PPN]],12,0),0)</f>
        <v>0</v>
      </c>
      <c r="L120">
        <f>IFERROR(VLOOKUP(Fix_Mapping[[#This Row],[KODE BARANG]],[1]!KINONF15[[KDBRG]:[HRG_JLMT_CTN+PPN]],13,0),0)</f>
        <v>0</v>
      </c>
      <c r="M120">
        <f>IFERROR(VLOOKUP(Fix_Mapping[[#This Row],[KODE BARANG]],[1]!KINONF15[[KDBRG]:[HRG_JLMT_CTN+PPN]],14,0),0)</f>
        <v>0</v>
      </c>
      <c r="N120">
        <f>IFERROR(VLOOKUP(Fix_Mapping[[#This Row],[KODE BARANG]],[1]!KINONF15[[KDBRG]:[HRG_JLMT_CTN+PPN]],15,0),0)</f>
        <v>0</v>
      </c>
      <c r="O120">
        <f>IFERROR(VLOOKUP(Fix_Mapping[[#This Row],[KODE BARANG]],[1]!KINONF15[[KDBRG]:[HRG_JLMT_CTN+PPN]],16,0),0)</f>
        <v>0</v>
      </c>
      <c r="P120">
        <f>IFERROR(VLOOKUP(Fix_Mapping[[#This Row],[KODE BARANG]],[1]!KINONF15[[KDBRG]:[HRG_JLMT_CTN+PPN]],17,0),0)</f>
        <v>0</v>
      </c>
      <c r="Q120">
        <f>IFERROR(VLOOKUP(Fix_Mapping[[#This Row],[KODE BARANG]],[1]!KINONF15[[KDBRG]:[HRG_JLMT_CTN+PPN]],18,0),0)</f>
        <v>0</v>
      </c>
      <c r="R120" t="s">
        <v>2555</v>
      </c>
      <c r="S120" t="s">
        <v>505</v>
      </c>
      <c r="T120" t="s">
        <v>506</v>
      </c>
      <c r="U120" t="s">
        <v>507</v>
      </c>
      <c r="V120">
        <v>0</v>
      </c>
      <c r="W120">
        <v>0</v>
      </c>
    </row>
    <row r="121" spans="1:23">
      <c r="A121" t="s">
        <v>1258</v>
      </c>
      <c r="B121" t="s">
        <v>1259</v>
      </c>
      <c r="C121">
        <v>72</v>
      </c>
      <c r="D121">
        <f>IFERROR(VLOOKUP(Fix_Mapping[[#This Row],[KODE BARANG]],[1]!KINONF15[[KDBRG]:[HRG_JLMT_CTN+PPN]],5,0),0)</f>
        <v>0</v>
      </c>
      <c r="E121" t="s">
        <v>2287</v>
      </c>
      <c r="F121">
        <f>IFERROR(VLOOKUP(Fix_Mapping[[#This Row],[KODE BARANG]],[1]!KINONF15[[KDBRG]:[HRG_JLMT_CTN+PPN]],7,0),0)</f>
        <v>0</v>
      </c>
      <c r="G121">
        <f>IFERROR(VLOOKUP(Fix_Mapping[[#This Row],[KODE BARANG]],[1]!KINONF15[[KDBRG]:[HRG_JLMT_CTN+PPN]],8,0),0)</f>
        <v>0</v>
      </c>
      <c r="H121">
        <f>IFERROR(VLOOKUP(Fix_Mapping[[#This Row],[KODE BARANG]],[1]!KINONF15[[KDBRG]:[HRG_JLMT_CTN+PPN]],9,0),0)</f>
        <v>0</v>
      </c>
      <c r="I121">
        <f>IFERROR(VLOOKUP(Fix_Mapping[[#This Row],[KODE BARANG]],[1]!KINONF15[[KDBRG]:[HRG_JLMT_CTN+PPN]],10,0),0)</f>
        <v>0</v>
      </c>
      <c r="J121">
        <f>IFERROR(VLOOKUP(Fix_Mapping[[#This Row],[KODE BARANG]],[1]!KINONF15[[KDBRG]:[HRG_JLMT_CTN+PPN]],11,0),0)</f>
        <v>0</v>
      </c>
      <c r="K121">
        <f>IFERROR(VLOOKUP(Fix_Mapping[[#This Row],[KODE BARANG]],[1]!KINONF15[[KDBRG]:[HRG_JLMT_CTN+PPN]],12,0),0)</f>
        <v>0</v>
      </c>
      <c r="L121">
        <f>IFERROR(VLOOKUP(Fix_Mapping[[#This Row],[KODE BARANG]],[1]!KINONF15[[KDBRG]:[HRG_JLMT_CTN+PPN]],13,0),0)</f>
        <v>0</v>
      </c>
      <c r="M121">
        <f>IFERROR(VLOOKUP(Fix_Mapping[[#This Row],[KODE BARANG]],[1]!KINONF15[[KDBRG]:[HRG_JLMT_CTN+PPN]],14,0),0)</f>
        <v>0</v>
      </c>
      <c r="N121">
        <f>IFERROR(VLOOKUP(Fix_Mapping[[#This Row],[KODE BARANG]],[1]!KINONF15[[KDBRG]:[HRG_JLMT_CTN+PPN]],15,0),0)</f>
        <v>0</v>
      </c>
      <c r="O121">
        <f>IFERROR(VLOOKUP(Fix_Mapping[[#This Row],[KODE BARANG]],[1]!KINONF15[[KDBRG]:[HRG_JLMT_CTN+PPN]],16,0),0)</f>
        <v>0</v>
      </c>
      <c r="P121">
        <f>IFERROR(VLOOKUP(Fix_Mapping[[#This Row],[KODE BARANG]],[1]!KINONF15[[KDBRG]:[HRG_JLMT_CTN+PPN]],17,0),0)</f>
        <v>0</v>
      </c>
      <c r="Q121">
        <f>IFERROR(VLOOKUP(Fix_Mapping[[#This Row],[KODE BARANG]],[1]!KINONF15[[KDBRG]:[HRG_JLMT_CTN+PPN]],18,0),0)</f>
        <v>0</v>
      </c>
      <c r="R121" t="s">
        <v>2555</v>
      </c>
      <c r="S121" t="s">
        <v>469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1260</v>
      </c>
      <c r="B122" t="s">
        <v>1261</v>
      </c>
      <c r="C122">
        <v>12</v>
      </c>
      <c r="D122">
        <f>IFERROR(VLOOKUP(Fix_Mapping[[#This Row],[KODE BARANG]],[1]!KINONF15[[KDBRG]:[HRG_JLMT_CTN+PPN]],5,0),0)</f>
        <v>0</v>
      </c>
      <c r="E122" t="s">
        <v>2287</v>
      </c>
      <c r="F122">
        <f>IFERROR(VLOOKUP(Fix_Mapping[[#This Row],[KODE BARANG]],[1]!KINONF15[[KDBRG]:[HRG_JLMT_CTN+PPN]],7,0),0)</f>
        <v>0</v>
      </c>
      <c r="G122">
        <f>IFERROR(VLOOKUP(Fix_Mapping[[#This Row],[KODE BARANG]],[1]!KINONF15[[KDBRG]:[HRG_JLMT_CTN+PPN]],8,0),0)</f>
        <v>0</v>
      </c>
      <c r="H122">
        <f>IFERROR(VLOOKUP(Fix_Mapping[[#This Row],[KODE BARANG]],[1]!KINONF15[[KDBRG]:[HRG_JLMT_CTN+PPN]],9,0),0)</f>
        <v>0</v>
      </c>
      <c r="I122">
        <f>IFERROR(VLOOKUP(Fix_Mapping[[#This Row],[KODE BARANG]],[1]!KINONF15[[KDBRG]:[HRG_JLMT_CTN+PPN]],10,0),0)</f>
        <v>0</v>
      </c>
      <c r="J122">
        <f>IFERROR(VLOOKUP(Fix_Mapping[[#This Row],[KODE BARANG]],[1]!KINONF15[[KDBRG]:[HRG_JLMT_CTN+PPN]],11,0),0)</f>
        <v>0</v>
      </c>
      <c r="K122">
        <f>IFERROR(VLOOKUP(Fix_Mapping[[#This Row],[KODE BARANG]],[1]!KINONF15[[KDBRG]:[HRG_JLMT_CTN+PPN]],12,0),0)</f>
        <v>0</v>
      </c>
      <c r="L122">
        <f>IFERROR(VLOOKUP(Fix_Mapping[[#This Row],[KODE BARANG]],[1]!KINONF15[[KDBRG]:[HRG_JLMT_CTN+PPN]],13,0),0)</f>
        <v>0</v>
      </c>
      <c r="M122">
        <f>IFERROR(VLOOKUP(Fix_Mapping[[#This Row],[KODE BARANG]],[1]!KINONF15[[KDBRG]:[HRG_JLMT_CTN+PPN]],14,0),0)</f>
        <v>0</v>
      </c>
      <c r="N122">
        <f>IFERROR(VLOOKUP(Fix_Mapping[[#This Row],[KODE BARANG]],[1]!KINONF15[[KDBRG]:[HRG_JLMT_CTN+PPN]],15,0),0)</f>
        <v>0</v>
      </c>
      <c r="O122">
        <f>IFERROR(VLOOKUP(Fix_Mapping[[#This Row],[KODE BARANG]],[1]!KINONF15[[KDBRG]:[HRG_JLMT_CTN+PPN]],16,0),0)</f>
        <v>0</v>
      </c>
      <c r="P122">
        <f>IFERROR(VLOOKUP(Fix_Mapping[[#This Row],[KODE BARANG]],[1]!KINONF15[[KDBRG]:[HRG_JLMT_CTN+PPN]],17,0),0)</f>
        <v>0</v>
      </c>
      <c r="Q122">
        <f>IFERROR(VLOOKUP(Fix_Mapping[[#This Row],[KODE BARANG]],[1]!KINONF15[[KDBRG]:[HRG_JLMT_CTN+PPN]],18,0),0)</f>
        <v>0</v>
      </c>
      <c r="R122" t="s">
        <v>2555</v>
      </c>
      <c r="S122" t="s">
        <v>451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1262</v>
      </c>
      <c r="B123" t="s">
        <v>1263</v>
      </c>
      <c r="C123">
        <v>72</v>
      </c>
      <c r="D123">
        <f>IFERROR(VLOOKUP(Fix_Mapping[[#This Row],[KODE BARANG]],[1]!KINONF15[[KDBRG]:[HRG_JLMT_CTN+PPN]],5,0),0)</f>
        <v>0</v>
      </c>
      <c r="E123" t="s">
        <v>2287</v>
      </c>
      <c r="F123">
        <f>IFERROR(VLOOKUP(Fix_Mapping[[#This Row],[KODE BARANG]],[1]!KINONF15[[KDBRG]:[HRG_JLMT_CTN+PPN]],7,0),0)</f>
        <v>0</v>
      </c>
      <c r="G123">
        <f>IFERROR(VLOOKUP(Fix_Mapping[[#This Row],[KODE BARANG]],[1]!KINONF15[[KDBRG]:[HRG_JLMT_CTN+PPN]],8,0),0)</f>
        <v>0</v>
      </c>
      <c r="H123">
        <f>IFERROR(VLOOKUP(Fix_Mapping[[#This Row],[KODE BARANG]],[1]!KINONF15[[KDBRG]:[HRG_JLMT_CTN+PPN]],9,0),0)</f>
        <v>0</v>
      </c>
      <c r="I123">
        <f>IFERROR(VLOOKUP(Fix_Mapping[[#This Row],[KODE BARANG]],[1]!KINONF15[[KDBRG]:[HRG_JLMT_CTN+PPN]],10,0),0)</f>
        <v>0</v>
      </c>
      <c r="J123">
        <f>IFERROR(VLOOKUP(Fix_Mapping[[#This Row],[KODE BARANG]],[1]!KINONF15[[KDBRG]:[HRG_JLMT_CTN+PPN]],11,0),0)</f>
        <v>0</v>
      </c>
      <c r="K123">
        <f>IFERROR(VLOOKUP(Fix_Mapping[[#This Row],[KODE BARANG]],[1]!KINONF15[[KDBRG]:[HRG_JLMT_CTN+PPN]],12,0),0)</f>
        <v>0</v>
      </c>
      <c r="L123">
        <f>IFERROR(VLOOKUP(Fix_Mapping[[#This Row],[KODE BARANG]],[1]!KINONF15[[KDBRG]:[HRG_JLMT_CTN+PPN]],13,0),0)</f>
        <v>0</v>
      </c>
      <c r="M123">
        <f>IFERROR(VLOOKUP(Fix_Mapping[[#This Row],[KODE BARANG]],[1]!KINONF15[[KDBRG]:[HRG_JLMT_CTN+PPN]],14,0),0)</f>
        <v>0</v>
      </c>
      <c r="N123">
        <f>IFERROR(VLOOKUP(Fix_Mapping[[#This Row],[KODE BARANG]],[1]!KINONF15[[KDBRG]:[HRG_JLMT_CTN+PPN]],15,0),0)</f>
        <v>0</v>
      </c>
      <c r="O123">
        <f>IFERROR(VLOOKUP(Fix_Mapping[[#This Row],[KODE BARANG]],[1]!KINONF15[[KDBRG]:[HRG_JLMT_CTN+PPN]],16,0),0)</f>
        <v>0</v>
      </c>
      <c r="P123">
        <f>IFERROR(VLOOKUP(Fix_Mapping[[#This Row],[KODE BARANG]],[1]!KINONF15[[KDBRG]:[HRG_JLMT_CTN+PPN]],17,0),0)</f>
        <v>0</v>
      </c>
      <c r="Q123">
        <f>IFERROR(VLOOKUP(Fix_Mapping[[#This Row],[KODE BARANG]],[1]!KINONF15[[KDBRG]:[HRG_JLMT_CTN+PPN]],18,0),0)</f>
        <v>0</v>
      </c>
      <c r="R123" t="s">
        <v>2555</v>
      </c>
      <c r="S123" t="s">
        <v>474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1264</v>
      </c>
      <c r="B124" t="s">
        <v>1265</v>
      </c>
      <c r="C124">
        <v>12</v>
      </c>
      <c r="D124">
        <f>IFERROR(VLOOKUP(Fix_Mapping[[#This Row],[KODE BARANG]],[1]!KINONF15[[KDBRG]:[HRG_JLMT_CTN+PPN]],5,0),0)</f>
        <v>0</v>
      </c>
      <c r="E124" t="s">
        <v>2287</v>
      </c>
      <c r="F124">
        <f>IFERROR(VLOOKUP(Fix_Mapping[[#This Row],[KODE BARANG]],[1]!KINONF15[[KDBRG]:[HRG_JLMT_CTN+PPN]],7,0),0)</f>
        <v>0</v>
      </c>
      <c r="G124">
        <f>IFERROR(VLOOKUP(Fix_Mapping[[#This Row],[KODE BARANG]],[1]!KINONF15[[KDBRG]:[HRG_JLMT_CTN+PPN]],8,0),0)</f>
        <v>0</v>
      </c>
      <c r="H124">
        <f>IFERROR(VLOOKUP(Fix_Mapping[[#This Row],[KODE BARANG]],[1]!KINONF15[[KDBRG]:[HRG_JLMT_CTN+PPN]],9,0),0)</f>
        <v>0</v>
      </c>
      <c r="I124">
        <f>IFERROR(VLOOKUP(Fix_Mapping[[#This Row],[KODE BARANG]],[1]!KINONF15[[KDBRG]:[HRG_JLMT_CTN+PPN]],10,0),0)</f>
        <v>0</v>
      </c>
      <c r="J124">
        <f>IFERROR(VLOOKUP(Fix_Mapping[[#This Row],[KODE BARANG]],[1]!KINONF15[[KDBRG]:[HRG_JLMT_CTN+PPN]],11,0),0)</f>
        <v>0</v>
      </c>
      <c r="K124">
        <f>IFERROR(VLOOKUP(Fix_Mapping[[#This Row],[KODE BARANG]],[1]!KINONF15[[KDBRG]:[HRG_JLMT_CTN+PPN]],12,0),0)</f>
        <v>0</v>
      </c>
      <c r="L124">
        <f>IFERROR(VLOOKUP(Fix_Mapping[[#This Row],[KODE BARANG]],[1]!KINONF15[[KDBRG]:[HRG_JLMT_CTN+PPN]],13,0),0)</f>
        <v>0</v>
      </c>
      <c r="M124">
        <f>IFERROR(VLOOKUP(Fix_Mapping[[#This Row],[KODE BARANG]],[1]!KINONF15[[KDBRG]:[HRG_JLMT_CTN+PPN]],14,0),0)</f>
        <v>0</v>
      </c>
      <c r="N124">
        <f>IFERROR(VLOOKUP(Fix_Mapping[[#This Row],[KODE BARANG]],[1]!KINONF15[[KDBRG]:[HRG_JLMT_CTN+PPN]],15,0),0)</f>
        <v>0</v>
      </c>
      <c r="O124">
        <f>IFERROR(VLOOKUP(Fix_Mapping[[#This Row],[KODE BARANG]],[1]!KINONF15[[KDBRG]:[HRG_JLMT_CTN+PPN]],16,0),0)</f>
        <v>0</v>
      </c>
      <c r="P124">
        <f>IFERROR(VLOOKUP(Fix_Mapping[[#This Row],[KODE BARANG]],[1]!KINONF15[[KDBRG]:[HRG_JLMT_CTN+PPN]],17,0),0)</f>
        <v>0</v>
      </c>
      <c r="Q124">
        <f>IFERROR(VLOOKUP(Fix_Mapping[[#This Row],[KODE BARANG]],[1]!KINONF15[[KDBRG]:[HRG_JLMT_CTN+PPN]],18,0),0)</f>
        <v>0</v>
      </c>
      <c r="R124" t="s">
        <v>2555</v>
      </c>
      <c r="S124" t="s">
        <v>457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1266</v>
      </c>
      <c r="B125" t="s">
        <v>1267</v>
      </c>
      <c r="C125">
        <v>36</v>
      </c>
      <c r="D125">
        <f>IFERROR(VLOOKUP(Fix_Mapping[[#This Row],[KODE BARANG]],[1]!KINONF15[[KDBRG]:[HRG_JLMT_CTN+PPN]],5,0),0)</f>
        <v>0</v>
      </c>
      <c r="E125" t="s">
        <v>2287</v>
      </c>
      <c r="F125">
        <f>IFERROR(VLOOKUP(Fix_Mapping[[#This Row],[KODE BARANG]],[1]!KINONF15[[KDBRG]:[HRG_JLMT_CTN+PPN]],7,0),0)</f>
        <v>0</v>
      </c>
      <c r="G125">
        <f>IFERROR(VLOOKUP(Fix_Mapping[[#This Row],[KODE BARANG]],[1]!KINONF15[[KDBRG]:[HRG_JLMT_CTN+PPN]],8,0),0)</f>
        <v>0</v>
      </c>
      <c r="H125">
        <f>IFERROR(VLOOKUP(Fix_Mapping[[#This Row],[KODE BARANG]],[1]!KINONF15[[KDBRG]:[HRG_JLMT_CTN+PPN]],9,0),0)</f>
        <v>0</v>
      </c>
      <c r="I125">
        <f>IFERROR(VLOOKUP(Fix_Mapping[[#This Row],[KODE BARANG]],[1]!KINONF15[[KDBRG]:[HRG_JLMT_CTN+PPN]],10,0),0)</f>
        <v>0</v>
      </c>
      <c r="J125">
        <f>IFERROR(VLOOKUP(Fix_Mapping[[#This Row],[KODE BARANG]],[1]!KINONF15[[KDBRG]:[HRG_JLMT_CTN+PPN]],11,0),0)</f>
        <v>0</v>
      </c>
      <c r="K125">
        <f>IFERROR(VLOOKUP(Fix_Mapping[[#This Row],[KODE BARANG]],[1]!KINONF15[[KDBRG]:[HRG_JLMT_CTN+PPN]],12,0),0)</f>
        <v>0</v>
      </c>
      <c r="L125">
        <f>IFERROR(VLOOKUP(Fix_Mapping[[#This Row],[KODE BARANG]],[1]!KINONF15[[KDBRG]:[HRG_JLMT_CTN+PPN]],13,0),0)</f>
        <v>0</v>
      </c>
      <c r="M125">
        <f>IFERROR(VLOOKUP(Fix_Mapping[[#This Row],[KODE BARANG]],[1]!KINONF15[[KDBRG]:[HRG_JLMT_CTN+PPN]],14,0),0)</f>
        <v>0</v>
      </c>
      <c r="N125">
        <f>IFERROR(VLOOKUP(Fix_Mapping[[#This Row],[KODE BARANG]],[1]!KINONF15[[KDBRG]:[HRG_JLMT_CTN+PPN]],15,0),0)</f>
        <v>0</v>
      </c>
      <c r="O125">
        <f>IFERROR(VLOOKUP(Fix_Mapping[[#This Row],[KODE BARANG]],[1]!KINONF15[[KDBRG]:[HRG_JLMT_CTN+PPN]],16,0),0)</f>
        <v>0</v>
      </c>
      <c r="P125">
        <f>IFERROR(VLOOKUP(Fix_Mapping[[#This Row],[KODE BARANG]],[1]!KINONF15[[KDBRG]:[HRG_JLMT_CTN+PPN]],17,0),0)</f>
        <v>0</v>
      </c>
      <c r="Q125">
        <f>IFERROR(VLOOKUP(Fix_Mapping[[#This Row],[KODE BARANG]],[1]!KINONF15[[KDBRG]:[HRG_JLMT_CTN+PPN]],18,0),0)</f>
        <v>0</v>
      </c>
      <c r="R125" t="s">
        <v>2555</v>
      </c>
      <c r="S125" t="s">
        <v>470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1268</v>
      </c>
      <c r="B126" t="s">
        <v>1269</v>
      </c>
      <c r="C126">
        <v>72</v>
      </c>
      <c r="D126">
        <f>IFERROR(VLOOKUP(Fix_Mapping[[#This Row],[KODE BARANG]],[1]!KINONF15[[KDBRG]:[HRG_JLMT_CTN+PPN]],5,0),0)</f>
        <v>0</v>
      </c>
      <c r="E126" t="s">
        <v>2287</v>
      </c>
      <c r="F126">
        <f>IFERROR(VLOOKUP(Fix_Mapping[[#This Row],[KODE BARANG]],[1]!KINONF15[[KDBRG]:[HRG_JLMT_CTN+PPN]],7,0),0)</f>
        <v>0</v>
      </c>
      <c r="G126">
        <f>IFERROR(VLOOKUP(Fix_Mapping[[#This Row],[KODE BARANG]],[1]!KINONF15[[KDBRG]:[HRG_JLMT_CTN+PPN]],8,0),0)</f>
        <v>0</v>
      </c>
      <c r="H126">
        <f>IFERROR(VLOOKUP(Fix_Mapping[[#This Row],[KODE BARANG]],[1]!KINONF15[[KDBRG]:[HRG_JLMT_CTN+PPN]],9,0),0)</f>
        <v>0</v>
      </c>
      <c r="I126">
        <f>IFERROR(VLOOKUP(Fix_Mapping[[#This Row],[KODE BARANG]],[1]!KINONF15[[KDBRG]:[HRG_JLMT_CTN+PPN]],10,0),0)</f>
        <v>0</v>
      </c>
      <c r="J126">
        <f>IFERROR(VLOOKUP(Fix_Mapping[[#This Row],[KODE BARANG]],[1]!KINONF15[[KDBRG]:[HRG_JLMT_CTN+PPN]],11,0),0)</f>
        <v>0</v>
      </c>
      <c r="K126">
        <f>IFERROR(VLOOKUP(Fix_Mapping[[#This Row],[KODE BARANG]],[1]!KINONF15[[KDBRG]:[HRG_JLMT_CTN+PPN]],12,0),0)</f>
        <v>0</v>
      </c>
      <c r="L126">
        <f>IFERROR(VLOOKUP(Fix_Mapping[[#This Row],[KODE BARANG]],[1]!KINONF15[[KDBRG]:[HRG_JLMT_CTN+PPN]],13,0),0)</f>
        <v>0</v>
      </c>
      <c r="M126">
        <f>IFERROR(VLOOKUP(Fix_Mapping[[#This Row],[KODE BARANG]],[1]!KINONF15[[KDBRG]:[HRG_JLMT_CTN+PPN]],14,0),0)</f>
        <v>0</v>
      </c>
      <c r="N126">
        <f>IFERROR(VLOOKUP(Fix_Mapping[[#This Row],[KODE BARANG]],[1]!KINONF15[[KDBRG]:[HRG_JLMT_CTN+PPN]],15,0),0)</f>
        <v>0</v>
      </c>
      <c r="O126">
        <f>IFERROR(VLOOKUP(Fix_Mapping[[#This Row],[KODE BARANG]],[1]!KINONF15[[KDBRG]:[HRG_JLMT_CTN+PPN]],16,0),0)</f>
        <v>0</v>
      </c>
      <c r="P126">
        <f>IFERROR(VLOOKUP(Fix_Mapping[[#This Row],[KODE BARANG]],[1]!KINONF15[[KDBRG]:[HRG_JLMT_CTN+PPN]],17,0),0)</f>
        <v>0</v>
      </c>
      <c r="Q126">
        <f>IFERROR(VLOOKUP(Fix_Mapping[[#This Row],[KODE BARANG]],[1]!KINONF15[[KDBRG]:[HRG_JLMT_CTN+PPN]],18,0),0)</f>
        <v>0</v>
      </c>
      <c r="R126" t="s">
        <v>2555</v>
      </c>
      <c r="S126" t="s">
        <v>471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1270</v>
      </c>
      <c r="B127" t="s">
        <v>1271</v>
      </c>
      <c r="C127">
        <v>12</v>
      </c>
      <c r="D127">
        <f>IFERROR(VLOOKUP(Fix_Mapping[[#This Row],[KODE BARANG]],[1]!KINONF15[[KDBRG]:[HRG_JLMT_CTN+PPN]],5,0),0)</f>
        <v>0</v>
      </c>
      <c r="E127" t="s">
        <v>2287</v>
      </c>
      <c r="F127">
        <f>IFERROR(VLOOKUP(Fix_Mapping[[#This Row],[KODE BARANG]],[1]!KINONF15[[KDBRG]:[HRG_JLMT_CTN+PPN]],7,0),0)</f>
        <v>0</v>
      </c>
      <c r="G127">
        <f>IFERROR(VLOOKUP(Fix_Mapping[[#This Row],[KODE BARANG]],[1]!KINONF15[[KDBRG]:[HRG_JLMT_CTN+PPN]],8,0),0)</f>
        <v>0</v>
      </c>
      <c r="H127">
        <f>IFERROR(VLOOKUP(Fix_Mapping[[#This Row],[KODE BARANG]],[1]!KINONF15[[KDBRG]:[HRG_JLMT_CTN+PPN]],9,0),0)</f>
        <v>0</v>
      </c>
      <c r="I127">
        <f>IFERROR(VLOOKUP(Fix_Mapping[[#This Row],[KODE BARANG]],[1]!KINONF15[[KDBRG]:[HRG_JLMT_CTN+PPN]],10,0),0)</f>
        <v>0</v>
      </c>
      <c r="J127">
        <f>IFERROR(VLOOKUP(Fix_Mapping[[#This Row],[KODE BARANG]],[1]!KINONF15[[KDBRG]:[HRG_JLMT_CTN+PPN]],11,0),0)</f>
        <v>0</v>
      </c>
      <c r="K127">
        <f>IFERROR(VLOOKUP(Fix_Mapping[[#This Row],[KODE BARANG]],[1]!KINONF15[[KDBRG]:[HRG_JLMT_CTN+PPN]],12,0),0)</f>
        <v>0</v>
      </c>
      <c r="L127">
        <f>IFERROR(VLOOKUP(Fix_Mapping[[#This Row],[KODE BARANG]],[1]!KINONF15[[KDBRG]:[HRG_JLMT_CTN+PPN]],13,0),0)</f>
        <v>0</v>
      </c>
      <c r="M127">
        <f>IFERROR(VLOOKUP(Fix_Mapping[[#This Row],[KODE BARANG]],[1]!KINONF15[[KDBRG]:[HRG_JLMT_CTN+PPN]],14,0),0)</f>
        <v>0</v>
      </c>
      <c r="N127">
        <f>IFERROR(VLOOKUP(Fix_Mapping[[#This Row],[KODE BARANG]],[1]!KINONF15[[KDBRG]:[HRG_JLMT_CTN+PPN]],15,0),0)</f>
        <v>0</v>
      </c>
      <c r="O127">
        <f>IFERROR(VLOOKUP(Fix_Mapping[[#This Row],[KODE BARANG]],[1]!KINONF15[[KDBRG]:[HRG_JLMT_CTN+PPN]],16,0),0)</f>
        <v>0</v>
      </c>
      <c r="P127">
        <f>IFERROR(VLOOKUP(Fix_Mapping[[#This Row],[KODE BARANG]],[1]!KINONF15[[KDBRG]:[HRG_JLMT_CTN+PPN]],17,0),0)</f>
        <v>0</v>
      </c>
      <c r="Q127">
        <f>IFERROR(VLOOKUP(Fix_Mapping[[#This Row],[KODE BARANG]],[1]!KINONF15[[KDBRG]:[HRG_JLMT_CTN+PPN]],18,0),0)</f>
        <v>0</v>
      </c>
      <c r="R127" t="s">
        <v>2555</v>
      </c>
      <c r="S127" t="s">
        <v>453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1272</v>
      </c>
      <c r="B128" t="s">
        <v>1273</v>
      </c>
      <c r="C128">
        <v>48</v>
      </c>
      <c r="D128">
        <f>IFERROR(VLOOKUP(Fix_Mapping[[#This Row],[KODE BARANG]],[1]!KINONF15[[KDBRG]:[HRG_JLMT_CTN+PPN]],5,0),0)</f>
        <v>0</v>
      </c>
      <c r="E128" t="s">
        <v>2287</v>
      </c>
      <c r="F128">
        <f>IFERROR(VLOOKUP(Fix_Mapping[[#This Row],[KODE BARANG]],[1]!KINONF15[[KDBRG]:[HRG_JLMT_CTN+PPN]],7,0),0)</f>
        <v>0</v>
      </c>
      <c r="G128">
        <f>IFERROR(VLOOKUP(Fix_Mapping[[#This Row],[KODE BARANG]],[1]!KINONF15[[KDBRG]:[HRG_JLMT_CTN+PPN]],8,0),0)</f>
        <v>0</v>
      </c>
      <c r="H128">
        <f>IFERROR(VLOOKUP(Fix_Mapping[[#This Row],[KODE BARANG]],[1]!KINONF15[[KDBRG]:[HRG_JLMT_CTN+PPN]],9,0),0)</f>
        <v>0</v>
      </c>
      <c r="I128">
        <f>IFERROR(VLOOKUP(Fix_Mapping[[#This Row],[KODE BARANG]],[1]!KINONF15[[KDBRG]:[HRG_JLMT_CTN+PPN]],10,0),0)</f>
        <v>0</v>
      </c>
      <c r="J128">
        <f>IFERROR(VLOOKUP(Fix_Mapping[[#This Row],[KODE BARANG]],[1]!KINONF15[[KDBRG]:[HRG_JLMT_CTN+PPN]],11,0),0)</f>
        <v>0</v>
      </c>
      <c r="K128">
        <f>IFERROR(VLOOKUP(Fix_Mapping[[#This Row],[KODE BARANG]],[1]!KINONF15[[KDBRG]:[HRG_JLMT_CTN+PPN]],12,0),0)</f>
        <v>0</v>
      </c>
      <c r="L128">
        <f>IFERROR(VLOOKUP(Fix_Mapping[[#This Row],[KODE BARANG]],[1]!KINONF15[[KDBRG]:[HRG_JLMT_CTN+PPN]],13,0),0)</f>
        <v>0</v>
      </c>
      <c r="M128">
        <f>IFERROR(VLOOKUP(Fix_Mapping[[#This Row],[KODE BARANG]],[1]!KINONF15[[KDBRG]:[HRG_JLMT_CTN+PPN]],14,0),0)</f>
        <v>0</v>
      </c>
      <c r="N128">
        <f>IFERROR(VLOOKUP(Fix_Mapping[[#This Row],[KODE BARANG]],[1]!KINONF15[[KDBRG]:[HRG_JLMT_CTN+PPN]],15,0),0)</f>
        <v>0</v>
      </c>
      <c r="O128">
        <f>IFERROR(VLOOKUP(Fix_Mapping[[#This Row],[KODE BARANG]],[1]!KINONF15[[KDBRG]:[HRG_JLMT_CTN+PPN]],16,0),0)</f>
        <v>0</v>
      </c>
      <c r="P128">
        <f>IFERROR(VLOOKUP(Fix_Mapping[[#This Row],[KODE BARANG]],[1]!KINONF15[[KDBRG]:[HRG_JLMT_CTN+PPN]],17,0),0)</f>
        <v>0</v>
      </c>
      <c r="Q128">
        <f>IFERROR(VLOOKUP(Fix_Mapping[[#This Row],[KODE BARANG]],[1]!KINONF15[[KDBRG]:[HRG_JLMT_CTN+PPN]],18,0),0)</f>
        <v>0</v>
      </c>
      <c r="R128" t="s">
        <v>2555</v>
      </c>
      <c r="S128" t="s">
        <v>462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1274</v>
      </c>
      <c r="B129" t="s">
        <v>1275</v>
      </c>
      <c r="C129">
        <v>48</v>
      </c>
      <c r="D129">
        <f>IFERROR(VLOOKUP(Fix_Mapping[[#This Row],[KODE BARANG]],[1]!KINONF15[[KDBRG]:[HRG_JLMT_CTN+PPN]],5,0),0)</f>
        <v>0</v>
      </c>
      <c r="E129" t="s">
        <v>2287</v>
      </c>
      <c r="F129">
        <f>IFERROR(VLOOKUP(Fix_Mapping[[#This Row],[KODE BARANG]],[1]!KINONF15[[KDBRG]:[HRG_JLMT_CTN+PPN]],7,0),0)</f>
        <v>0</v>
      </c>
      <c r="G129">
        <f>IFERROR(VLOOKUP(Fix_Mapping[[#This Row],[KODE BARANG]],[1]!KINONF15[[KDBRG]:[HRG_JLMT_CTN+PPN]],8,0),0)</f>
        <v>0</v>
      </c>
      <c r="H129">
        <f>IFERROR(VLOOKUP(Fix_Mapping[[#This Row],[KODE BARANG]],[1]!KINONF15[[KDBRG]:[HRG_JLMT_CTN+PPN]],9,0),0)</f>
        <v>0</v>
      </c>
      <c r="I129">
        <f>IFERROR(VLOOKUP(Fix_Mapping[[#This Row],[KODE BARANG]],[1]!KINONF15[[KDBRG]:[HRG_JLMT_CTN+PPN]],10,0),0)</f>
        <v>0</v>
      </c>
      <c r="J129">
        <f>IFERROR(VLOOKUP(Fix_Mapping[[#This Row],[KODE BARANG]],[1]!KINONF15[[KDBRG]:[HRG_JLMT_CTN+PPN]],11,0),0)</f>
        <v>0</v>
      </c>
      <c r="K129">
        <f>IFERROR(VLOOKUP(Fix_Mapping[[#This Row],[KODE BARANG]],[1]!KINONF15[[KDBRG]:[HRG_JLMT_CTN+PPN]],12,0),0)</f>
        <v>0</v>
      </c>
      <c r="L129">
        <f>IFERROR(VLOOKUP(Fix_Mapping[[#This Row],[KODE BARANG]],[1]!KINONF15[[KDBRG]:[HRG_JLMT_CTN+PPN]],13,0),0)</f>
        <v>0</v>
      </c>
      <c r="M129">
        <f>IFERROR(VLOOKUP(Fix_Mapping[[#This Row],[KODE BARANG]],[1]!KINONF15[[KDBRG]:[HRG_JLMT_CTN+PPN]],14,0),0)</f>
        <v>0</v>
      </c>
      <c r="N129">
        <f>IFERROR(VLOOKUP(Fix_Mapping[[#This Row],[KODE BARANG]],[1]!KINONF15[[KDBRG]:[HRG_JLMT_CTN+PPN]],15,0),0)</f>
        <v>0</v>
      </c>
      <c r="O129">
        <f>IFERROR(VLOOKUP(Fix_Mapping[[#This Row],[KODE BARANG]],[1]!KINONF15[[KDBRG]:[HRG_JLMT_CTN+PPN]],16,0),0)</f>
        <v>0</v>
      </c>
      <c r="P129">
        <f>IFERROR(VLOOKUP(Fix_Mapping[[#This Row],[KODE BARANG]],[1]!KINONF15[[KDBRG]:[HRG_JLMT_CTN+PPN]],17,0),0)</f>
        <v>0</v>
      </c>
      <c r="Q129">
        <f>IFERROR(VLOOKUP(Fix_Mapping[[#This Row],[KODE BARANG]],[1]!KINONF15[[KDBRG]:[HRG_JLMT_CTN+PPN]],18,0),0)</f>
        <v>0</v>
      </c>
      <c r="R129" t="s">
        <v>2555</v>
      </c>
      <c r="S129" t="s">
        <v>461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1276</v>
      </c>
      <c r="B130" t="s">
        <v>1277</v>
      </c>
      <c r="C130">
        <v>72</v>
      </c>
      <c r="D130">
        <f>IFERROR(VLOOKUP(Fix_Mapping[[#This Row],[KODE BARANG]],[1]!KINONF15[[KDBRG]:[HRG_JLMT_CTN+PPN]],5,0),0)</f>
        <v>0</v>
      </c>
      <c r="E130" t="s">
        <v>2287</v>
      </c>
      <c r="F130">
        <f>IFERROR(VLOOKUP(Fix_Mapping[[#This Row],[KODE BARANG]],[1]!KINONF15[[KDBRG]:[HRG_JLMT_CTN+PPN]],7,0),0)</f>
        <v>0</v>
      </c>
      <c r="G130">
        <f>IFERROR(VLOOKUP(Fix_Mapping[[#This Row],[KODE BARANG]],[1]!KINONF15[[KDBRG]:[HRG_JLMT_CTN+PPN]],8,0),0)</f>
        <v>0</v>
      </c>
      <c r="H130">
        <f>IFERROR(VLOOKUP(Fix_Mapping[[#This Row],[KODE BARANG]],[1]!KINONF15[[KDBRG]:[HRG_JLMT_CTN+PPN]],9,0),0)</f>
        <v>0</v>
      </c>
      <c r="I130">
        <f>IFERROR(VLOOKUP(Fix_Mapping[[#This Row],[KODE BARANG]],[1]!KINONF15[[KDBRG]:[HRG_JLMT_CTN+PPN]],10,0),0)</f>
        <v>0</v>
      </c>
      <c r="J130">
        <f>IFERROR(VLOOKUP(Fix_Mapping[[#This Row],[KODE BARANG]],[1]!KINONF15[[KDBRG]:[HRG_JLMT_CTN+PPN]],11,0),0)</f>
        <v>0</v>
      </c>
      <c r="K130">
        <f>IFERROR(VLOOKUP(Fix_Mapping[[#This Row],[KODE BARANG]],[1]!KINONF15[[KDBRG]:[HRG_JLMT_CTN+PPN]],12,0),0)</f>
        <v>0</v>
      </c>
      <c r="L130">
        <f>IFERROR(VLOOKUP(Fix_Mapping[[#This Row],[KODE BARANG]],[1]!KINONF15[[KDBRG]:[HRG_JLMT_CTN+PPN]],13,0),0)</f>
        <v>0</v>
      </c>
      <c r="M130">
        <f>IFERROR(VLOOKUP(Fix_Mapping[[#This Row],[KODE BARANG]],[1]!KINONF15[[KDBRG]:[HRG_JLMT_CTN+PPN]],14,0),0)</f>
        <v>0</v>
      </c>
      <c r="N130">
        <f>IFERROR(VLOOKUP(Fix_Mapping[[#This Row],[KODE BARANG]],[1]!KINONF15[[KDBRG]:[HRG_JLMT_CTN+PPN]],15,0),0)</f>
        <v>0</v>
      </c>
      <c r="O130">
        <f>IFERROR(VLOOKUP(Fix_Mapping[[#This Row],[KODE BARANG]],[1]!KINONF15[[KDBRG]:[HRG_JLMT_CTN+PPN]],16,0),0)</f>
        <v>0</v>
      </c>
      <c r="P130">
        <f>IFERROR(VLOOKUP(Fix_Mapping[[#This Row],[KODE BARANG]],[1]!KINONF15[[KDBRG]:[HRG_JLMT_CTN+PPN]],17,0),0)</f>
        <v>0</v>
      </c>
      <c r="Q130">
        <f>IFERROR(VLOOKUP(Fix_Mapping[[#This Row],[KODE BARANG]],[1]!KINONF15[[KDBRG]:[HRG_JLMT_CTN+PPN]],18,0),0)</f>
        <v>0</v>
      </c>
      <c r="R130" t="s">
        <v>2555</v>
      </c>
      <c r="S130" t="s">
        <v>472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1278</v>
      </c>
      <c r="B131" t="s">
        <v>1279</v>
      </c>
      <c r="C131">
        <v>12</v>
      </c>
      <c r="D131">
        <f>IFERROR(VLOOKUP(Fix_Mapping[[#This Row],[KODE BARANG]],[1]!KINONF15[[KDBRG]:[HRG_JLMT_CTN+PPN]],5,0),0)</f>
        <v>0</v>
      </c>
      <c r="E131" t="s">
        <v>2287</v>
      </c>
      <c r="F131">
        <f>IFERROR(VLOOKUP(Fix_Mapping[[#This Row],[KODE BARANG]],[1]!KINONF15[[KDBRG]:[HRG_JLMT_CTN+PPN]],7,0),0)</f>
        <v>0</v>
      </c>
      <c r="G131">
        <f>IFERROR(VLOOKUP(Fix_Mapping[[#This Row],[KODE BARANG]],[1]!KINONF15[[KDBRG]:[HRG_JLMT_CTN+PPN]],8,0),0)</f>
        <v>0</v>
      </c>
      <c r="H131">
        <f>IFERROR(VLOOKUP(Fix_Mapping[[#This Row],[KODE BARANG]],[1]!KINONF15[[KDBRG]:[HRG_JLMT_CTN+PPN]],9,0),0)</f>
        <v>0</v>
      </c>
      <c r="I131">
        <f>IFERROR(VLOOKUP(Fix_Mapping[[#This Row],[KODE BARANG]],[1]!KINONF15[[KDBRG]:[HRG_JLMT_CTN+PPN]],10,0),0)</f>
        <v>0</v>
      </c>
      <c r="J131">
        <f>IFERROR(VLOOKUP(Fix_Mapping[[#This Row],[KODE BARANG]],[1]!KINONF15[[KDBRG]:[HRG_JLMT_CTN+PPN]],11,0),0)</f>
        <v>0</v>
      </c>
      <c r="K131">
        <f>IFERROR(VLOOKUP(Fix_Mapping[[#This Row],[KODE BARANG]],[1]!KINONF15[[KDBRG]:[HRG_JLMT_CTN+PPN]],12,0),0)</f>
        <v>0</v>
      </c>
      <c r="L131">
        <f>IFERROR(VLOOKUP(Fix_Mapping[[#This Row],[KODE BARANG]],[1]!KINONF15[[KDBRG]:[HRG_JLMT_CTN+PPN]],13,0),0)</f>
        <v>0</v>
      </c>
      <c r="M131">
        <f>IFERROR(VLOOKUP(Fix_Mapping[[#This Row],[KODE BARANG]],[1]!KINONF15[[KDBRG]:[HRG_JLMT_CTN+PPN]],14,0),0)</f>
        <v>0</v>
      </c>
      <c r="N131">
        <f>IFERROR(VLOOKUP(Fix_Mapping[[#This Row],[KODE BARANG]],[1]!KINONF15[[KDBRG]:[HRG_JLMT_CTN+PPN]],15,0),0)</f>
        <v>0</v>
      </c>
      <c r="O131">
        <f>IFERROR(VLOOKUP(Fix_Mapping[[#This Row],[KODE BARANG]],[1]!KINONF15[[KDBRG]:[HRG_JLMT_CTN+PPN]],16,0),0)</f>
        <v>0</v>
      </c>
      <c r="P131">
        <f>IFERROR(VLOOKUP(Fix_Mapping[[#This Row],[KODE BARANG]],[1]!KINONF15[[KDBRG]:[HRG_JLMT_CTN+PPN]],17,0),0)</f>
        <v>0</v>
      </c>
      <c r="Q131">
        <f>IFERROR(VLOOKUP(Fix_Mapping[[#This Row],[KODE BARANG]],[1]!KINONF15[[KDBRG]:[HRG_JLMT_CTN+PPN]],18,0),0)</f>
        <v>0</v>
      </c>
      <c r="R131" t="s">
        <v>2555</v>
      </c>
      <c r="S131" t="s">
        <v>455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1280</v>
      </c>
      <c r="B132" t="s">
        <v>1281</v>
      </c>
      <c r="C132">
        <v>72</v>
      </c>
      <c r="D132">
        <f>IFERROR(VLOOKUP(Fix_Mapping[[#This Row],[KODE BARANG]],[1]!KINONF15[[KDBRG]:[HRG_JLMT_CTN+PPN]],5,0),0)</f>
        <v>0</v>
      </c>
      <c r="E132" t="s">
        <v>2287</v>
      </c>
      <c r="F132">
        <f>IFERROR(VLOOKUP(Fix_Mapping[[#This Row],[KODE BARANG]],[1]!KINONF15[[KDBRG]:[HRG_JLMT_CTN+PPN]],7,0),0)</f>
        <v>0</v>
      </c>
      <c r="G132">
        <f>IFERROR(VLOOKUP(Fix_Mapping[[#This Row],[KODE BARANG]],[1]!KINONF15[[KDBRG]:[HRG_JLMT_CTN+PPN]],8,0),0)</f>
        <v>0</v>
      </c>
      <c r="H132">
        <f>IFERROR(VLOOKUP(Fix_Mapping[[#This Row],[KODE BARANG]],[1]!KINONF15[[KDBRG]:[HRG_JLMT_CTN+PPN]],9,0),0)</f>
        <v>0</v>
      </c>
      <c r="I132">
        <f>IFERROR(VLOOKUP(Fix_Mapping[[#This Row],[KODE BARANG]],[1]!KINONF15[[KDBRG]:[HRG_JLMT_CTN+PPN]],10,0),0)</f>
        <v>0</v>
      </c>
      <c r="J132">
        <f>IFERROR(VLOOKUP(Fix_Mapping[[#This Row],[KODE BARANG]],[1]!KINONF15[[KDBRG]:[HRG_JLMT_CTN+PPN]],11,0),0)</f>
        <v>0</v>
      </c>
      <c r="K132">
        <f>IFERROR(VLOOKUP(Fix_Mapping[[#This Row],[KODE BARANG]],[1]!KINONF15[[KDBRG]:[HRG_JLMT_CTN+PPN]],12,0),0)</f>
        <v>0</v>
      </c>
      <c r="L132">
        <f>IFERROR(VLOOKUP(Fix_Mapping[[#This Row],[KODE BARANG]],[1]!KINONF15[[KDBRG]:[HRG_JLMT_CTN+PPN]],13,0),0)</f>
        <v>0</v>
      </c>
      <c r="M132">
        <f>IFERROR(VLOOKUP(Fix_Mapping[[#This Row],[KODE BARANG]],[1]!KINONF15[[KDBRG]:[HRG_JLMT_CTN+PPN]],14,0),0)</f>
        <v>0</v>
      </c>
      <c r="N132">
        <f>IFERROR(VLOOKUP(Fix_Mapping[[#This Row],[KODE BARANG]],[1]!KINONF15[[KDBRG]:[HRG_JLMT_CTN+PPN]],15,0),0)</f>
        <v>0</v>
      </c>
      <c r="O132">
        <f>IFERROR(VLOOKUP(Fix_Mapping[[#This Row],[KODE BARANG]],[1]!KINONF15[[KDBRG]:[HRG_JLMT_CTN+PPN]],16,0),0)</f>
        <v>0</v>
      </c>
      <c r="P132">
        <f>IFERROR(VLOOKUP(Fix_Mapping[[#This Row],[KODE BARANG]],[1]!KINONF15[[KDBRG]:[HRG_JLMT_CTN+PPN]],17,0),0)</f>
        <v>0</v>
      </c>
      <c r="Q132">
        <f>IFERROR(VLOOKUP(Fix_Mapping[[#This Row],[KODE BARANG]],[1]!KINONF15[[KDBRG]:[HRG_JLMT_CTN+PPN]],18,0),0)</f>
        <v>0</v>
      </c>
      <c r="R132" t="s">
        <v>2555</v>
      </c>
      <c r="S132" t="s">
        <v>473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1282</v>
      </c>
      <c r="B133" t="s">
        <v>1283</v>
      </c>
      <c r="C133">
        <v>12</v>
      </c>
      <c r="D133">
        <f>IFERROR(VLOOKUP(Fix_Mapping[[#This Row],[KODE BARANG]],[1]!KINONF15[[KDBRG]:[HRG_JLMT_CTN+PPN]],5,0),0)</f>
        <v>0</v>
      </c>
      <c r="E133" t="s">
        <v>2287</v>
      </c>
      <c r="F133">
        <f>IFERROR(VLOOKUP(Fix_Mapping[[#This Row],[KODE BARANG]],[1]!KINONF15[[KDBRG]:[HRG_JLMT_CTN+PPN]],7,0),0)</f>
        <v>0</v>
      </c>
      <c r="G133">
        <f>IFERROR(VLOOKUP(Fix_Mapping[[#This Row],[KODE BARANG]],[1]!KINONF15[[KDBRG]:[HRG_JLMT_CTN+PPN]],8,0),0)</f>
        <v>0</v>
      </c>
      <c r="H133">
        <f>IFERROR(VLOOKUP(Fix_Mapping[[#This Row],[KODE BARANG]],[1]!KINONF15[[KDBRG]:[HRG_JLMT_CTN+PPN]],9,0),0)</f>
        <v>0</v>
      </c>
      <c r="I133">
        <f>IFERROR(VLOOKUP(Fix_Mapping[[#This Row],[KODE BARANG]],[1]!KINONF15[[KDBRG]:[HRG_JLMT_CTN+PPN]],10,0),0)</f>
        <v>0</v>
      </c>
      <c r="J133">
        <f>IFERROR(VLOOKUP(Fix_Mapping[[#This Row],[KODE BARANG]],[1]!KINONF15[[KDBRG]:[HRG_JLMT_CTN+PPN]],11,0),0)</f>
        <v>0</v>
      </c>
      <c r="K133">
        <f>IFERROR(VLOOKUP(Fix_Mapping[[#This Row],[KODE BARANG]],[1]!KINONF15[[KDBRG]:[HRG_JLMT_CTN+PPN]],12,0),0)</f>
        <v>0</v>
      </c>
      <c r="L133">
        <f>IFERROR(VLOOKUP(Fix_Mapping[[#This Row],[KODE BARANG]],[1]!KINONF15[[KDBRG]:[HRG_JLMT_CTN+PPN]],13,0),0)</f>
        <v>0</v>
      </c>
      <c r="M133">
        <f>IFERROR(VLOOKUP(Fix_Mapping[[#This Row],[KODE BARANG]],[1]!KINONF15[[KDBRG]:[HRG_JLMT_CTN+PPN]],14,0),0)</f>
        <v>0</v>
      </c>
      <c r="N133">
        <f>IFERROR(VLOOKUP(Fix_Mapping[[#This Row],[KODE BARANG]],[1]!KINONF15[[KDBRG]:[HRG_JLMT_CTN+PPN]],15,0),0)</f>
        <v>0</v>
      </c>
      <c r="O133">
        <f>IFERROR(VLOOKUP(Fix_Mapping[[#This Row],[KODE BARANG]],[1]!KINONF15[[KDBRG]:[HRG_JLMT_CTN+PPN]],16,0),0)</f>
        <v>0</v>
      </c>
      <c r="P133">
        <f>IFERROR(VLOOKUP(Fix_Mapping[[#This Row],[KODE BARANG]],[1]!KINONF15[[KDBRG]:[HRG_JLMT_CTN+PPN]],17,0),0)</f>
        <v>0</v>
      </c>
      <c r="Q133">
        <f>IFERROR(VLOOKUP(Fix_Mapping[[#This Row],[KODE BARANG]],[1]!KINONF15[[KDBRG]:[HRG_JLMT_CTN+PPN]],18,0),0)</f>
        <v>0</v>
      </c>
      <c r="R133" t="s">
        <v>2555</v>
      </c>
      <c r="S133" t="s">
        <v>456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1284</v>
      </c>
      <c r="B134" t="s">
        <v>1285</v>
      </c>
      <c r="C134">
        <v>24</v>
      </c>
      <c r="D134">
        <f>IFERROR(VLOOKUP(Fix_Mapping[[#This Row],[KODE BARANG]],[1]!KINONF15[[KDBRG]:[HRG_JLMT_CTN+PPN]],5,0),0)</f>
        <v>0</v>
      </c>
      <c r="E134" t="s">
        <v>2287</v>
      </c>
      <c r="F134">
        <f>IFERROR(VLOOKUP(Fix_Mapping[[#This Row],[KODE BARANG]],[1]!KINONF15[[KDBRG]:[HRG_JLMT_CTN+PPN]],7,0),0)</f>
        <v>0</v>
      </c>
      <c r="G134">
        <f>IFERROR(VLOOKUP(Fix_Mapping[[#This Row],[KODE BARANG]],[1]!KINONF15[[KDBRG]:[HRG_JLMT_CTN+PPN]],8,0),0)</f>
        <v>0</v>
      </c>
      <c r="H134">
        <f>IFERROR(VLOOKUP(Fix_Mapping[[#This Row],[KODE BARANG]],[1]!KINONF15[[KDBRG]:[HRG_JLMT_CTN+PPN]],9,0),0)</f>
        <v>0</v>
      </c>
      <c r="I134">
        <f>IFERROR(VLOOKUP(Fix_Mapping[[#This Row],[KODE BARANG]],[1]!KINONF15[[KDBRG]:[HRG_JLMT_CTN+PPN]],10,0),0)</f>
        <v>0</v>
      </c>
      <c r="J134">
        <f>IFERROR(VLOOKUP(Fix_Mapping[[#This Row],[KODE BARANG]],[1]!KINONF15[[KDBRG]:[HRG_JLMT_CTN+PPN]],11,0),0)</f>
        <v>0</v>
      </c>
      <c r="K134">
        <f>IFERROR(VLOOKUP(Fix_Mapping[[#This Row],[KODE BARANG]],[1]!KINONF15[[KDBRG]:[HRG_JLMT_CTN+PPN]],12,0),0)</f>
        <v>0</v>
      </c>
      <c r="L134">
        <f>IFERROR(VLOOKUP(Fix_Mapping[[#This Row],[KODE BARANG]],[1]!KINONF15[[KDBRG]:[HRG_JLMT_CTN+PPN]],13,0),0)</f>
        <v>0</v>
      </c>
      <c r="M134">
        <f>IFERROR(VLOOKUP(Fix_Mapping[[#This Row],[KODE BARANG]],[1]!KINONF15[[KDBRG]:[HRG_JLMT_CTN+PPN]],14,0),0)</f>
        <v>0</v>
      </c>
      <c r="N134">
        <f>IFERROR(VLOOKUP(Fix_Mapping[[#This Row],[KODE BARANG]],[1]!KINONF15[[KDBRG]:[HRG_JLMT_CTN+PPN]],15,0),0)</f>
        <v>0</v>
      </c>
      <c r="O134">
        <f>IFERROR(VLOOKUP(Fix_Mapping[[#This Row],[KODE BARANG]],[1]!KINONF15[[KDBRG]:[HRG_JLMT_CTN+PPN]],16,0),0)</f>
        <v>0</v>
      </c>
      <c r="P134">
        <f>IFERROR(VLOOKUP(Fix_Mapping[[#This Row],[KODE BARANG]],[1]!KINONF15[[KDBRG]:[HRG_JLMT_CTN+PPN]],17,0),0)</f>
        <v>0</v>
      </c>
      <c r="Q134">
        <f>IFERROR(VLOOKUP(Fix_Mapping[[#This Row],[KODE BARANG]],[1]!KINONF15[[KDBRG]:[HRG_JLMT_CTN+PPN]],18,0),0)</f>
        <v>0</v>
      </c>
      <c r="R134" t="s">
        <v>2555</v>
      </c>
      <c r="S134" t="s">
        <v>467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1286</v>
      </c>
      <c r="B135" t="s">
        <v>1287</v>
      </c>
      <c r="C135">
        <v>20</v>
      </c>
      <c r="D135">
        <f>IFERROR(VLOOKUP(Fix_Mapping[[#This Row],[KODE BARANG]],[1]!KINONF15[[KDBRG]:[HRG_JLMT_CTN+PPN]],5,0),0)</f>
        <v>0</v>
      </c>
      <c r="E135" t="s">
        <v>2287</v>
      </c>
      <c r="F135">
        <f>IFERROR(VLOOKUP(Fix_Mapping[[#This Row],[KODE BARANG]],[1]!KINONF15[[KDBRG]:[HRG_JLMT_CTN+PPN]],7,0),0)</f>
        <v>0</v>
      </c>
      <c r="G135">
        <f>IFERROR(VLOOKUP(Fix_Mapping[[#This Row],[KODE BARANG]],[1]!KINONF15[[KDBRG]:[HRG_JLMT_CTN+PPN]],8,0),0)</f>
        <v>0</v>
      </c>
      <c r="H135">
        <f>IFERROR(VLOOKUP(Fix_Mapping[[#This Row],[KODE BARANG]],[1]!KINONF15[[KDBRG]:[HRG_JLMT_CTN+PPN]],9,0),0)</f>
        <v>0</v>
      </c>
      <c r="I135">
        <f>IFERROR(VLOOKUP(Fix_Mapping[[#This Row],[KODE BARANG]],[1]!KINONF15[[KDBRG]:[HRG_JLMT_CTN+PPN]],10,0),0)</f>
        <v>0</v>
      </c>
      <c r="J135">
        <f>IFERROR(VLOOKUP(Fix_Mapping[[#This Row],[KODE BARANG]],[1]!KINONF15[[KDBRG]:[HRG_JLMT_CTN+PPN]],11,0),0)</f>
        <v>0</v>
      </c>
      <c r="K135">
        <f>IFERROR(VLOOKUP(Fix_Mapping[[#This Row],[KODE BARANG]],[1]!KINONF15[[KDBRG]:[HRG_JLMT_CTN+PPN]],12,0),0)</f>
        <v>0</v>
      </c>
      <c r="L135">
        <f>IFERROR(VLOOKUP(Fix_Mapping[[#This Row],[KODE BARANG]],[1]!KINONF15[[KDBRG]:[HRG_JLMT_CTN+PPN]],13,0),0)</f>
        <v>0</v>
      </c>
      <c r="M135">
        <f>IFERROR(VLOOKUP(Fix_Mapping[[#This Row],[KODE BARANG]],[1]!KINONF15[[KDBRG]:[HRG_JLMT_CTN+PPN]],14,0),0)</f>
        <v>0</v>
      </c>
      <c r="N135">
        <f>IFERROR(VLOOKUP(Fix_Mapping[[#This Row],[KODE BARANG]],[1]!KINONF15[[KDBRG]:[HRG_JLMT_CTN+PPN]],15,0),0)</f>
        <v>0</v>
      </c>
      <c r="O135">
        <f>IFERROR(VLOOKUP(Fix_Mapping[[#This Row],[KODE BARANG]],[1]!KINONF15[[KDBRG]:[HRG_JLMT_CTN+PPN]],16,0),0)</f>
        <v>0</v>
      </c>
      <c r="P135">
        <f>IFERROR(VLOOKUP(Fix_Mapping[[#This Row],[KODE BARANG]],[1]!KINONF15[[KDBRG]:[HRG_JLMT_CTN+PPN]],17,0),0)</f>
        <v>0</v>
      </c>
      <c r="Q135">
        <f>IFERROR(VLOOKUP(Fix_Mapping[[#This Row],[KODE BARANG]],[1]!KINONF15[[KDBRG]:[HRG_JLMT_CTN+PPN]],18,0),0)</f>
        <v>0</v>
      </c>
      <c r="R135" t="s">
        <v>2555</v>
      </c>
      <c r="S135" t="s">
        <v>468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1288</v>
      </c>
      <c r="B136" t="s">
        <v>1289</v>
      </c>
      <c r="C136">
        <v>72</v>
      </c>
      <c r="D136">
        <f>IFERROR(VLOOKUP(Fix_Mapping[[#This Row],[KODE BARANG]],[1]!KINONF15[[KDBRG]:[HRG_JLMT_CTN+PPN]],5,0),0)</f>
        <v>0</v>
      </c>
      <c r="E136" t="s">
        <v>2289</v>
      </c>
      <c r="F136">
        <f>IFERROR(VLOOKUP(Fix_Mapping[[#This Row],[KODE BARANG]],[1]!KINONF15[[KDBRG]:[HRG_JLMT_CTN+PPN]],7,0),0)</f>
        <v>0</v>
      </c>
      <c r="G136">
        <f>IFERROR(VLOOKUP(Fix_Mapping[[#This Row],[KODE BARANG]],[1]!KINONF15[[KDBRG]:[HRG_JLMT_CTN+PPN]],8,0),0)</f>
        <v>0</v>
      </c>
      <c r="H136">
        <f>IFERROR(VLOOKUP(Fix_Mapping[[#This Row],[KODE BARANG]],[1]!KINONF15[[KDBRG]:[HRG_JLMT_CTN+PPN]],9,0),0)</f>
        <v>0</v>
      </c>
      <c r="I136">
        <f>IFERROR(VLOOKUP(Fix_Mapping[[#This Row],[KODE BARANG]],[1]!KINONF15[[KDBRG]:[HRG_JLMT_CTN+PPN]],10,0),0)</f>
        <v>0</v>
      </c>
      <c r="J136">
        <f>IFERROR(VLOOKUP(Fix_Mapping[[#This Row],[KODE BARANG]],[1]!KINONF15[[KDBRG]:[HRG_JLMT_CTN+PPN]],11,0),0)</f>
        <v>0</v>
      </c>
      <c r="K136">
        <f>IFERROR(VLOOKUP(Fix_Mapping[[#This Row],[KODE BARANG]],[1]!KINONF15[[KDBRG]:[HRG_JLMT_CTN+PPN]],12,0),0)</f>
        <v>0</v>
      </c>
      <c r="L136">
        <f>IFERROR(VLOOKUP(Fix_Mapping[[#This Row],[KODE BARANG]],[1]!KINONF15[[KDBRG]:[HRG_JLMT_CTN+PPN]],13,0),0)</f>
        <v>0</v>
      </c>
      <c r="M136">
        <f>IFERROR(VLOOKUP(Fix_Mapping[[#This Row],[KODE BARANG]],[1]!KINONF15[[KDBRG]:[HRG_JLMT_CTN+PPN]],14,0),0)</f>
        <v>0</v>
      </c>
      <c r="N136">
        <f>IFERROR(VLOOKUP(Fix_Mapping[[#This Row],[KODE BARANG]],[1]!KINONF15[[KDBRG]:[HRG_JLMT_CTN+PPN]],15,0),0)</f>
        <v>0</v>
      </c>
      <c r="O136">
        <f>IFERROR(VLOOKUP(Fix_Mapping[[#This Row],[KODE BARANG]],[1]!KINONF15[[KDBRG]:[HRG_JLMT_CTN+PPN]],16,0),0)</f>
        <v>0</v>
      </c>
      <c r="P136">
        <f>IFERROR(VLOOKUP(Fix_Mapping[[#This Row],[KODE BARANG]],[1]!KINONF15[[KDBRG]:[HRG_JLMT_CTN+PPN]],17,0),0)</f>
        <v>0</v>
      </c>
      <c r="Q136">
        <f>IFERROR(VLOOKUP(Fix_Mapping[[#This Row],[KODE BARANG]],[1]!KINONF15[[KDBRG]:[HRG_JLMT_CTN+PPN]],18,0),0)</f>
        <v>0</v>
      </c>
      <c r="R136" t="s">
        <v>2555</v>
      </c>
      <c r="S136" t="s">
        <v>463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1290</v>
      </c>
      <c r="B137" t="s">
        <v>1291</v>
      </c>
      <c r="C137">
        <v>36</v>
      </c>
      <c r="D137">
        <f>IFERROR(VLOOKUP(Fix_Mapping[[#This Row],[KODE BARANG]],[1]!KINONF15[[KDBRG]:[HRG_JLMT_CTN+PPN]],5,0),0)</f>
        <v>0</v>
      </c>
      <c r="E137" t="s">
        <v>2289</v>
      </c>
      <c r="F137">
        <f>IFERROR(VLOOKUP(Fix_Mapping[[#This Row],[KODE BARANG]],[1]!KINONF15[[KDBRG]:[HRG_JLMT_CTN+PPN]],7,0),0)</f>
        <v>0</v>
      </c>
      <c r="G137">
        <f>IFERROR(VLOOKUP(Fix_Mapping[[#This Row],[KODE BARANG]],[1]!KINONF15[[KDBRG]:[HRG_JLMT_CTN+PPN]],8,0),0)</f>
        <v>0</v>
      </c>
      <c r="H137">
        <f>IFERROR(VLOOKUP(Fix_Mapping[[#This Row],[KODE BARANG]],[1]!KINONF15[[KDBRG]:[HRG_JLMT_CTN+PPN]],9,0),0)</f>
        <v>0</v>
      </c>
      <c r="I137">
        <f>IFERROR(VLOOKUP(Fix_Mapping[[#This Row],[KODE BARANG]],[1]!KINONF15[[KDBRG]:[HRG_JLMT_CTN+PPN]],10,0),0)</f>
        <v>0</v>
      </c>
      <c r="J137">
        <f>IFERROR(VLOOKUP(Fix_Mapping[[#This Row],[KODE BARANG]],[1]!KINONF15[[KDBRG]:[HRG_JLMT_CTN+PPN]],11,0),0)</f>
        <v>0</v>
      </c>
      <c r="K137">
        <f>IFERROR(VLOOKUP(Fix_Mapping[[#This Row],[KODE BARANG]],[1]!KINONF15[[KDBRG]:[HRG_JLMT_CTN+PPN]],12,0),0)</f>
        <v>0</v>
      </c>
      <c r="L137">
        <f>IFERROR(VLOOKUP(Fix_Mapping[[#This Row],[KODE BARANG]],[1]!KINONF15[[KDBRG]:[HRG_JLMT_CTN+PPN]],13,0),0)</f>
        <v>0</v>
      </c>
      <c r="M137">
        <f>IFERROR(VLOOKUP(Fix_Mapping[[#This Row],[KODE BARANG]],[1]!KINONF15[[KDBRG]:[HRG_JLMT_CTN+PPN]],14,0),0)</f>
        <v>0</v>
      </c>
      <c r="N137">
        <f>IFERROR(VLOOKUP(Fix_Mapping[[#This Row],[KODE BARANG]],[1]!KINONF15[[KDBRG]:[HRG_JLMT_CTN+PPN]],15,0),0)</f>
        <v>0</v>
      </c>
      <c r="O137">
        <f>IFERROR(VLOOKUP(Fix_Mapping[[#This Row],[KODE BARANG]],[1]!KINONF15[[KDBRG]:[HRG_JLMT_CTN+PPN]],16,0),0)</f>
        <v>0</v>
      </c>
      <c r="P137">
        <f>IFERROR(VLOOKUP(Fix_Mapping[[#This Row],[KODE BARANG]],[1]!KINONF15[[KDBRG]:[HRG_JLMT_CTN+PPN]],17,0),0)</f>
        <v>0</v>
      </c>
      <c r="Q137">
        <f>IFERROR(VLOOKUP(Fix_Mapping[[#This Row],[KODE BARANG]],[1]!KINONF15[[KDBRG]:[HRG_JLMT_CTN+PPN]],18,0),0)</f>
        <v>0</v>
      </c>
      <c r="R137" t="s">
        <v>2555</v>
      </c>
      <c r="S137" t="s">
        <v>464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1292</v>
      </c>
      <c r="B138" t="s">
        <v>1293</v>
      </c>
      <c r="C138">
        <v>72</v>
      </c>
      <c r="D138">
        <f>IFERROR(VLOOKUP(Fix_Mapping[[#This Row],[KODE BARANG]],[1]!KINONF15[[KDBRG]:[HRG_JLMT_CTN+PPN]],5,0),0)</f>
        <v>0</v>
      </c>
      <c r="E138" t="s">
        <v>2289</v>
      </c>
      <c r="F138">
        <f>IFERROR(VLOOKUP(Fix_Mapping[[#This Row],[KODE BARANG]],[1]!KINONF15[[KDBRG]:[HRG_JLMT_CTN+PPN]],7,0),0)</f>
        <v>0</v>
      </c>
      <c r="G138">
        <f>IFERROR(VLOOKUP(Fix_Mapping[[#This Row],[KODE BARANG]],[1]!KINONF15[[KDBRG]:[HRG_JLMT_CTN+PPN]],8,0),0)</f>
        <v>0</v>
      </c>
      <c r="H138">
        <f>IFERROR(VLOOKUP(Fix_Mapping[[#This Row],[KODE BARANG]],[1]!KINONF15[[KDBRG]:[HRG_JLMT_CTN+PPN]],9,0),0)</f>
        <v>0</v>
      </c>
      <c r="I138">
        <f>IFERROR(VLOOKUP(Fix_Mapping[[#This Row],[KODE BARANG]],[1]!KINONF15[[KDBRG]:[HRG_JLMT_CTN+PPN]],10,0),0)</f>
        <v>0</v>
      </c>
      <c r="J138">
        <f>IFERROR(VLOOKUP(Fix_Mapping[[#This Row],[KODE BARANG]],[1]!KINONF15[[KDBRG]:[HRG_JLMT_CTN+PPN]],11,0),0)</f>
        <v>0</v>
      </c>
      <c r="K138">
        <f>IFERROR(VLOOKUP(Fix_Mapping[[#This Row],[KODE BARANG]],[1]!KINONF15[[KDBRG]:[HRG_JLMT_CTN+PPN]],12,0),0)</f>
        <v>0</v>
      </c>
      <c r="L138">
        <f>IFERROR(VLOOKUP(Fix_Mapping[[#This Row],[KODE BARANG]],[1]!KINONF15[[KDBRG]:[HRG_JLMT_CTN+PPN]],13,0),0)</f>
        <v>0</v>
      </c>
      <c r="M138">
        <f>IFERROR(VLOOKUP(Fix_Mapping[[#This Row],[KODE BARANG]],[1]!KINONF15[[KDBRG]:[HRG_JLMT_CTN+PPN]],14,0),0)</f>
        <v>0</v>
      </c>
      <c r="N138">
        <f>IFERROR(VLOOKUP(Fix_Mapping[[#This Row],[KODE BARANG]],[1]!KINONF15[[KDBRG]:[HRG_JLMT_CTN+PPN]],15,0),0)</f>
        <v>0</v>
      </c>
      <c r="O138">
        <f>IFERROR(VLOOKUP(Fix_Mapping[[#This Row],[KODE BARANG]],[1]!KINONF15[[KDBRG]:[HRG_JLMT_CTN+PPN]],16,0),0)</f>
        <v>0</v>
      </c>
      <c r="P138">
        <f>IFERROR(VLOOKUP(Fix_Mapping[[#This Row],[KODE BARANG]],[1]!KINONF15[[KDBRG]:[HRG_JLMT_CTN+PPN]],17,0),0)</f>
        <v>0</v>
      </c>
      <c r="Q138">
        <f>IFERROR(VLOOKUP(Fix_Mapping[[#This Row],[KODE BARANG]],[1]!KINONF15[[KDBRG]:[HRG_JLMT_CTN+PPN]],18,0),0)</f>
        <v>0</v>
      </c>
      <c r="R138" t="s">
        <v>2555</v>
      </c>
      <c r="S138" t="s">
        <v>465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1294</v>
      </c>
      <c r="B139" t="s">
        <v>1295</v>
      </c>
      <c r="C139">
        <v>36</v>
      </c>
      <c r="D139">
        <f>IFERROR(VLOOKUP(Fix_Mapping[[#This Row],[KODE BARANG]],[1]!KINONF15[[KDBRG]:[HRG_JLMT_CTN+PPN]],5,0),0)</f>
        <v>0</v>
      </c>
      <c r="E139" t="s">
        <v>2289</v>
      </c>
      <c r="F139">
        <f>IFERROR(VLOOKUP(Fix_Mapping[[#This Row],[KODE BARANG]],[1]!KINONF15[[KDBRG]:[HRG_JLMT_CTN+PPN]],7,0),0)</f>
        <v>0</v>
      </c>
      <c r="G139">
        <f>IFERROR(VLOOKUP(Fix_Mapping[[#This Row],[KODE BARANG]],[1]!KINONF15[[KDBRG]:[HRG_JLMT_CTN+PPN]],8,0),0)</f>
        <v>0</v>
      </c>
      <c r="H139">
        <f>IFERROR(VLOOKUP(Fix_Mapping[[#This Row],[KODE BARANG]],[1]!KINONF15[[KDBRG]:[HRG_JLMT_CTN+PPN]],9,0),0)</f>
        <v>0</v>
      </c>
      <c r="I139">
        <f>IFERROR(VLOOKUP(Fix_Mapping[[#This Row],[KODE BARANG]],[1]!KINONF15[[KDBRG]:[HRG_JLMT_CTN+PPN]],10,0),0)</f>
        <v>0</v>
      </c>
      <c r="J139">
        <f>IFERROR(VLOOKUP(Fix_Mapping[[#This Row],[KODE BARANG]],[1]!KINONF15[[KDBRG]:[HRG_JLMT_CTN+PPN]],11,0),0)</f>
        <v>0</v>
      </c>
      <c r="K139">
        <f>IFERROR(VLOOKUP(Fix_Mapping[[#This Row],[KODE BARANG]],[1]!KINONF15[[KDBRG]:[HRG_JLMT_CTN+PPN]],12,0),0)</f>
        <v>0</v>
      </c>
      <c r="L139">
        <f>IFERROR(VLOOKUP(Fix_Mapping[[#This Row],[KODE BARANG]],[1]!KINONF15[[KDBRG]:[HRG_JLMT_CTN+PPN]],13,0),0)</f>
        <v>0</v>
      </c>
      <c r="M139">
        <f>IFERROR(VLOOKUP(Fix_Mapping[[#This Row],[KODE BARANG]],[1]!KINONF15[[KDBRG]:[HRG_JLMT_CTN+PPN]],14,0),0)</f>
        <v>0</v>
      </c>
      <c r="N139">
        <f>IFERROR(VLOOKUP(Fix_Mapping[[#This Row],[KODE BARANG]],[1]!KINONF15[[KDBRG]:[HRG_JLMT_CTN+PPN]],15,0),0)</f>
        <v>0</v>
      </c>
      <c r="O139">
        <f>IFERROR(VLOOKUP(Fix_Mapping[[#This Row],[KODE BARANG]],[1]!KINONF15[[KDBRG]:[HRG_JLMT_CTN+PPN]],16,0),0)</f>
        <v>0</v>
      </c>
      <c r="P139">
        <f>IFERROR(VLOOKUP(Fix_Mapping[[#This Row],[KODE BARANG]],[1]!KINONF15[[KDBRG]:[HRG_JLMT_CTN+PPN]],17,0),0)</f>
        <v>0</v>
      </c>
      <c r="Q139">
        <f>IFERROR(VLOOKUP(Fix_Mapping[[#This Row],[KODE BARANG]],[1]!KINONF15[[KDBRG]:[HRG_JLMT_CTN+PPN]],18,0),0)</f>
        <v>0</v>
      </c>
      <c r="R139" t="s">
        <v>2555</v>
      </c>
      <c r="S139" t="s">
        <v>466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1296</v>
      </c>
      <c r="B140" t="s">
        <v>1297</v>
      </c>
      <c r="C140">
        <v>72</v>
      </c>
      <c r="D140">
        <f>IFERROR(VLOOKUP(Fix_Mapping[[#This Row],[KODE BARANG]],[1]!KINONF15[[KDBRG]:[HRG_JLMT_CTN+PPN]],5,0),0)</f>
        <v>0</v>
      </c>
      <c r="E140" t="s">
        <v>2291</v>
      </c>
      <c r="F140">
        <f>IFERROR(VLOOKUP(Fix_Mapping[[#This Row],[KODE BARANG]],[1]!KINONF15[[KDBRG]:[HRG_JLMT_CTN+PPN]],7,0),0)</f>
        <v>0</v>
      </c>
      <c r="G140">
        <f>IFERROR(VLOOKUP(Fix_Mapping[[#This Row],[KODE BARANG]],[1]!KINONF15[[KDBRG]:[HRG_JLMT_CTN+PPN]],8,0),0)</f>
        <v>0</v>
      </c>
      <c r="H140">
        <f>IFERROR(VLOOKUP(Fix_Mapping[[#This Row],[KODE BARANG]],[1]!KINONF15[[KDBRG]:[HRG_JLMT_CTN+PPN]],9,0),0)</f>
        <v>0</v>
      </c>
      <c r="I140">
        <f>IFERROR(VLOOKUP(Fix_Mapping[[#This Row],[KODE BARANG]],[1]!KINONF15[[KDBRG]:[HRG_JLMT_CTN+PPN]],10,0),0)</f>
        <v>0</v>
      </c>
      <c r="J140">
        <f>IFERROR(VLOOKUP(Fix_Mapping[[#This Row],[KODE BARANG]],[1]!KINONF15[[KDBRG]:[HRG_JLMT_CTN+PPN]],11,0),0)</f>
        <v>0</v>
      </c>
      <c r="K140">
        <f>IFERROR(VLOOKUP(Fix_Mapping[[#This Row],[KODE BARANG]],[1]!KINONF15[[KDBRG]:[HRG_JLMT_CTN+PPN]],12,0),0)</f>
        <v>0</v>
      </c>
      <c r="L140">
        <f>IFERROR(VLOOKUP(Fix_Mapping[[#This Row],[KODE BARANG]],[1]!KINONF15[[KDBRG]:[HRG_JLMT_CTN+PPN]],13,0),0)</f>
        <v>0</v>
      </c>
      <c r="M140">
        <f>IFERROR(VLOOKUP(Fix_Mapping[[#This Row],[KODE BARANG]],[1]!KINONF15[[KDBRG]:[HRG_JLMT_CTN+PPN]],14,0),0)</f>
        <v>0</v>
      </c>
      <c r="N140">
        <f>IFERROR(VLOOKUP(Fix_Mapping[[#This Row],[KODE BARANG]],[1]!KINONF15[[KDBRG]:[HRG_JLMT_CTN+PPN]],15,0),0)</f>
        <v>0</v>
      </c>
      <c r="O140">
        <f>IFERROR(VLOOKUP(Fix_Mapping[[#This Row],[KODE BARANG]],[1]!KINONF15[[KDBRG]:[HRG_JLMT_CTN+PPN]],16,0),0)</f>
        <v>0</v>
      </c>
      <c r="P140">
        <f>IFERROR(VLOOKUP(Fix_Mapping[[#This Row],[KODE BARANG]],[1]!KINONF15[[KDBRG]:[HRG_JLMT_CTN+PPN]],17,0),0)</f>
        <v>0</v>
      </c>
      <c r="Q140">
        <f>IFERROR(VLOOKUP(Fix_Mapping[[#This Row],[KODE BARANG]],[1]!KINONF15[[KDBRG]:[HRG_JLMT_CTN+PPN]],18,0),0)</f>
        <v>0</v>
      </c>
      <c r="R140" t="s">
        <v>2555</v>
      </c>
      <c r="S140" t="s">
        <v>475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1298</v>
      </c>
      <c r="B141" t="s">
        <v>1299</v>
      </c>
      <c r="C141">
        <v>12</v>
      </c>
      <c r="D141">
        <f>IFERROR(VLOOKUP(Fix_Mapping[[#This Row],[KODE BARANG]],[1]!KINONF15[[KDBRG]:[HRG_JLMT_CTN+PPN]],5,0),0)</f>
        <v>0</v>
      </c>
      <c r="E141" t="s">
        <v>2291</v>
      </c>
      <c r="F141">
        <f>IFERROR(VLOOKUP(Fix_Mapping[[#This Row],[KODE BARANG]],[1]!KINONF15[[KDBRG]:[HRG_JLMT_CTN+PPN]],7,0),0)</f>
        <v>0</v>
      </c>
      <c r="G141">
        <f>IFERROR(VLOOKUP(Fix_Mapping[[#This Row],[KODE BARANG]],[1]!KINONF15[[KDBRG]:[HRG_JLMT_CTN+PPN]],8,0),0)</f>
        <v>0</v>
      </c>
      <c r="H141">
        <f>IFERROR(VLOOKUP(Fix_Mapping[[#This Row],[KODE BARANG]],[1]!KINONF15[[KDBRG]:[HRG_JLMT_CTN+PPN]],9,0),0)</f>
        <v>0</v>
      </c>
      <c r="I141">
        <f>IFERROR(VLOOKUP(Fix_Mapping[[#This Row],[KODE BARANG]],[1]!KINONF15[[KDBRG]:[HRG_JLMT_CTN+PPN]],10,0),0)</f>
        <v>0</v>
      </c>
      <c r="J141">
        <f>IFERROR(VLOOKUP(Fix_Mapping[[#This Row],[KODE BARANG]],[1]!KINONF15[[KDBRG]:[HRG_JLMT_CTN+PPN]],11,0),0)</f>
        <v>0</v>
      </c>
      <c r="K141">
        <f>IFERROR(VLOOKUP(Fix_Mapping[[#This Row],[KODE BARANG]],[1]!KINONF15[[KDBRG]:[HRG_JLMT_CTN+PPN]],12,0),0)</f>
        <v>0</v>
      </c>
      <c r="L141">
        <f>IFERROR(VLOOKUP(Fix_Mapping[[#This Row],[KODE BARANG]],[1]!KINONF15[[KDBRG]:[HRG_JLMT_CTN+PPN]],13,0),0)</f>
        <v>0</v>
      </c>
      <c r="M141">
        <f>IFERROR(VLOOKUP(Fix_Mapping[[#This Row],[KODE BARANG]],[1]!KINONF15[[KDBRG]:[HRG_JLMT_CTN+PPN]],14,0),0)</f>
        <v>0</v>
      </c>
      <c r="N141">
        <f>IFERROR(VLOOKUP(Fix_Mapping[[#This Row],[KODE BARANG]],[1]!KINONF15[[KDBRG]:[HRG_JLMT_CTN+PPN]],15,0),0)</f>
        <v>0</v>
      </c>
      <c r="O141">
        <f>IFERROR(VLOOKUP(Fix_Mapping[[#This Row],[KODE BARANG]],[1]!KINONF15[[KDBRG]:[HRG_JLMT_CTN+PPN]],16,0),0)</f>
        <v>0</v>
      </c>
      <c r="P141">
        <f>IFERROR(VLOOKUP(Fix_Mapping[[#This Row],[KODE BARANG]],[1]!KINONF15[[KDBRG]:[HRG_JLMT_CTN+PPN]],17,0),0)</f>
        <v>0</v>
      </c>
      <c r="Q141">
        <f>IFERROR(VLOOKUP(Fix_Mapping[[#This Row],[KODE BARANG]],[1]!KINONF15[[KDBRG]:[HRG_JLMT_CTN+PPN]],18,0),0)</f>
        <v>0</v>
      </c>
      <c r="R141" t="s">
        <v>2555</v>
      </c>
      <c r="S141" t="s">
        <v>458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1300</v>
      </c>
      <c r="B142" t="s">
        <v>2452</v>
      </c>
      <c r="C142">
        <v>72</v>
      </c>
      <c r="D142">
        <f>IFERROR(VLOOKUP(Fix_Mapping[[#This Row],[KODE BARANG]],[1]!KINONF15[[KDBRG]:[HRG_JLMT_CTN+PPN]],5,0),0)</f>
        <v>0</v>
      </c>
      <c r="E142" t="s">
        <v>2291</v>
      </c>
      <c r="F142">
        <f>IFERROR(VLOOKUP(Fix_Mapping[[#This Row],[KODE BARANG]],[1]!KINONF15[[KDBRG]:[HRG_JLMT_CTN+PPN]],7,0),0)</f>
        <v>0</v>
      </c>
      <c r="G142">
        <f>IFERROR(VLOOKUP(Fix_Mapping[[#This Row],[KODE BARANG]],[1]!KINONF15[[KDBRG]:[HRG_JLMT_CTN+PPN]],8,0),0)</f>
        <v>0</v>
      </c>
      <c r="H142">
        <f>IFERROR(VLOOKUP(Fix_Mapping[[#This Row],[KODE BARANG]],[1]!KINONF15[[KDBRG]:[HRG_JLMT_CTN+PPN]],9,0),0)</f>
        <v>0</v>
      </c>
      <c r="I142">
        <f>IFERROR(VLOOKUP(Fix_Mapping[[#This Row],[KODE BARANG]],[1]!KINONF15[[KDBRG]:[HRG_JLMT_CTN+PPN]],10,0),0)</f>
        <v>0</v>
      </c>
      <c r="J142">
        <f>IFERROR(VLOOKUP(Fix_Mapping[[#This Row],[KODE BARANG]],[1]!KINONF15[[KDBRG]:[HRG_JLMT_CTN+PPN]],11,0),0)</f>
        <v>0</v>
      </c>
      <c r="K142">
        <f>IFERROR(VLOOKUP(Fix_Mapping[[#This Row],[KODE BARANG]],[1]!KINONF15[[KDBRG]:[HRG_JLMT_CTN+PPN]],12,0),0)</f>
        <v>0</v>
      </c>
      <c r="L142">
        <f>IFERROR(VLOOKUP(Fix_Mapping[[#This Row],[KODE BARANG]],[1]!KINONF15[[KDBRG]:[HRG_JLMT_CTN+PPN]],13,0),0)</f>
        <v>0</v>
      </c>
      <c r="M142">
        <f>IFERROR(VLOOKUP(Fix_Mapping[[#This Row],[KODE BARANG]],[1]!KINONF15[[KDBRG]:[HRG_JLMT_CTN+PPN]],14,0),0)</f>
        <v>0</v>
      </c>
      <c r="N142">
        <f>IFERROR(VLOOKUP(Fix_Mapping[[#This Row],[KODE BARANG]],[1]!KINONF15[[KDBRG]:[HRG_JLMT_CTN+PPN]],15,0),0)</f>
        <v>0</v>
      </c>
      <c r="O142">
        <f>IFERROR(VLOOKUP(Fix_Mapping[[#This Row],[KODE BARANG]],[1]!KINONF15[[KDBRG]:[HRG_JLMT_CTN+PPN]],16,0),0)</f>
        <v>0</v>
      </c>
      <c r="P142">
        <f>IFERROR(VLOOKUP(Fix_Mapping[[#This Row],[KODE BARANG]],[1]!KINONF15[[KDBRG]:[HRG_JLMT_CTN+PPN]],17,0),0)</f>
        <v>0</v>
      </c>
      <c r="Q142">
        <f>IFERROR(VLOOKUP(Fix_Mapping[[#This Row],[KODE BARANG]],[1]!KINONF15[[KDBRG]:[HRG_JLMT_CTN+PPN]],18,0),0)</f>
        <v>0</v>
      </c>
      <c r="R142" t="s">
        <v>2555</v>
      </c>
      <c r="S142" t="s">
        <v>476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1301</v>
      </c>
      <c r="B143" t="s">
        <v>2453</v>
      </c>
      <c r="C143">
        <v>12</v>
      </c>
      <c r="D143">
        <f>IFERROR(VLOOKUP(Fix_Mapping[[#This Row],[KODE BARANG]],[1]!KINONF15[[KDBRG]:[HRG_JLMT_CTN+PPN]],5,0),0)</f>
        <v>0</v>
      </c>
      <c r="E143" t="s">
        <v>2291</v>
      </c>
      <c r="F143">
        <f>IFERROR(VLOOKUP(Fix_Mapping[[#This Row],[KODE BARANG]],[1]!KINONF15[[KDBRG]:[HRG_JLMT_CTN+PPN]],7,0),0)</f>
        <v>0</v>
      </c>
      <c r="G143">
        <f>IFERROR(VLOOKUP(Fix_Mapping[[#This Row],[KODE BARANG]],[1]!KINONF15[[KDBRG]:[HRG_JLMT_CTN+PPN]],8,0),0)</f>
        <v>0</v>
      </c>
      <c r="H143">
        <f>IFERROR(VLOOKUP(Fix_Mapping[[#This Row],[KODE BARANG]],[1]!KINONF15[[KDBRG]:[HRG_JLMT_CTN+PPN]],9,0),0)</f>
        <v>0</v>
      </c>
      <c r="I143">
        <f>IFERROR(VLOOKUP(Fix_Mapping[[#This Row],[KODE BARANG]],[1]!KINONF15[[KDBRG]:[HRG_JLMT_CTN+PPN]],10,0),0)</f>
        <v>0</v>
      </c>
      <c r="J143">
        <f>IFERROR(VLOOKUP(Fix_Mapping[[#This Row],[KODE BARANG]],[1]!KINONF15[[KDBRG]:[HRG_JLMT_CTN+PPN]],11,0),0)</f>
        <v>0</v>
      </c>
      <c r="K143">
        <f>IFERROR(VLOOKUP(Fix_Mapping[[#This Row],[KODE BARANG]],[1]!KINONF15[[KDBRG]:[HRG_JLMT_CTN+PPN]],12,0),0)</f>
        <v>0</v>
      </c>
      <c r="L143">
        <f>IFERROR(VLOOKUP(Fix_Mapping[[#This Row],[KODE BARANG]],[1]!KINONF15[[KDBRG]:[HRG_JLMT_CTN+PPN]],13,0),0)</f>
        <v>0</v>
      </c>
      <c r="M143">
        <f>IFERROR(VLOOKUP(Fix_Mapping[[#This Row],[KODE BARANG]],[1]!KINONF15[[KDBRG]:[HRG_JLMT_CTN+PPN]],14,0),0)</f>
        <v>0</v>
      </c>
      <c r="N143">
        <f>IFERROR(VLOOKUP(Fix_Mapping[[#This Row],[KODE BARANG]],[1]!KINONF15[[KDBRG]:[HRG_JLMT_CTN+PPN]],15,0),0)</f>
        <v>0</v>
      </c>
      <c r="O143">
        <f>IFERROR(VLOOKUP(Fix_Mapping[[#This Row],[KODE BARANG]],[1]!KINONF15[[KDBRG]:[HRG_JLMT_CTN+PPN]],16,0),0)</f>
        <v>0</v>
      </c>
      <c r="P143">
        <f>IFERROR(VLOOKUP(Fix_Mapping[[#This Row],[KODE BARANG]],[1]!KINONF15[[KDBRG]:[HRG_JLMT_CTN+PPN]],17,0),0)</f>
        <v>0</v>
      </c>
      <c r="Q143">
        <f>IFERROR(VLOOKUP(Fix_Mapping[[#This Row],[KODE BARANG]],[1]!KINONF15[[KDBRG]:[HRG_JLMT_CTN+PPN]],18,0),0)</f>
        <v>0</v>
      </c>
      <c r="R143" t="s">
        <v>2555</v>
      </c>
      <c r="S143" t="s">
        <v>459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1302</v>
      </c>
      <c r="B144" t="s">
        <v>2454</v>
      </c>
      <c r="C144">
        <v>72</v>
      </c>
      <c r="D144">
        <f>IFERROR(VLOOKUP(Fix_Mapping[[#This Row],[KODE BARANG]],[1]!KINONF15[[KDBRG]:[HRG_JLMT_CTN+PPN]],5,0),0)</f>
        <v>0</v>
      </c>
      <c r="E144" t="s">
        <v>2291</v>
      </c>
      <c r="F144">
        <f>IFERROR(VLOOKUP(Fix_Mapping[[#This Row],[KODE BARANG]],[1]!KINONF15[[KDBRG]:[HRG_JLMT_CTN+PPN]],7,0),0)</f>
        <v>0</v>
      </c>
      <c r="G144">
        <f>IFERROR(VLOOKUP(Fix_Mapping[[#This Row],[KODE BARANG]],[1]!KINONF15[[KDBRG]:[HRG_JLMT_CTN+PPN]],8,0),0)</f>
        <v>0</v>
      </c>
      <c r="H144">
        <f>IFERROR(VLOOKUP(Fix_Mapping[[#This Row],[KODE BARANG]],[1]!KINONF15[[KDBRG]:[HRG_JLMT_CTN+PPN]],9,0),0)</f>
        <v>0</v>
      </c>
      <c r="I144">
        <f>IFERROR(VLOOKUP(Fix_Mapping[[#This Row],[KODE BARANG]],[1]!KINONF15[[KDBRG]:[HRG_JLMT_CTN+PPN]],10,0),0)</f>
        <v>0</v>
      </c>
      <c r="J144">
        <f>IFERROR(VLOOKUP(Fix_Mapping[[#This Row],[KODE BARANG]],[1]!KINONF15[[KDBRG]:[HRG_JLMT_CTN+PPN]],11,0),0)</f>
        <v>0</v>
      </c>
      <c r="K144">
        <f>IFERROR(VLOOKUP(Fix_Mapping[[#This Row],[KODE BARANG]],[1]!KINONF15[[KDBRG]:[HRG_JLMT_CTN+PPN]],12,0),0)</f>
        <v>0</v>
      </c>
      <c r="L144">
        <f>IFERROR(VLOOKUP(Fix_Mapping[[#This Row],[KODE BARANG]],[1]!KINONF15[[KDBRG]:[HRG_JLMT_CTN+PPN]],13,0),0)</f>
        <v>0</v>
      </c>
      <c r="M144">
        <f>IFERROR(VLOOKUP(Fix_Mapping[[#This Row],[KODE BARANG]],[1]!KINONF15[[KDBRG]:[HRG_JLMT_CTN+PPN]],14,0),0)</f>
        <v>0</v>
      </c>
      <c r="N144">
        <f>IFERROR(VLOOKUP(Fix_Mapping[[#This Row],[KODE BARANG]],[1]!KINONF15[[KDBRG]:[HRG_JLMT_CTN+PPN]],15,0),0)</f>
        <v>0</v>
      </c>
      <c r="O144">
        <f>IFERROR(VLOOKUP(Fix_Mapping[[#This Row],[KODE BARANG]],[1]!KINONF15[[KDBRG]:[HRG_JLMT_CTN+PPN]],16,0),0)</f>
        <v>0</v>
      </c>
      <c r="P144">
        <f>IFERROR(VLOOKUP(Fix_Mapping[[#This Row],[KODE BARANG]],[1]!KINONF15[[KDBRG]:[HRG_JLMT_CTN+PPN]],17,0),0)</f>
        <v>0</v>
      </c>
      <c r="Q144">
        <f>IFERROR(VLOOKUP(Fix_Mapping[[#This Row],[KODE BARANG]],[1]!KINONF15[[KDBRG]:[HRG_JLMT_CTN+PPN]],18,0),0)</f>
        <v>0</v>
      </c>
      <c r="R144" t="s">
        <v>2555</v>
      </c>
      <c r="S144" t="s">
        <v>477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1303</v>
      </c>
      <c r="B145" t="s">
        <v>2455</v>
      </c>
      <c r="C145">
        <v>12</v>
      </c>
      <c r="D145">
        <f>IFERROR(VLOOKUP(Fix_Mapping[[#This Row],[KODE BARANG]],[1]!KINONF15[[KDBRG]:[HRG_JLMT_CTN+PPN]],5,0),0)</f>
        <v>0</v>
      </c>
      <c r="E145" t="s">
        <v>2291</v>
      </c>
      <c r="F145">
        <f>IFERROR(VLOOKUP(Fix_Mapping[[#This Row],[KODE BARANG]],[1]!KINONF15[[KDBRG]:[HRG_JLMT_CTN+PPN]],7,0),0)</f>
        <v>0</v>
      </c>
      <c r="G145">
        <f>IFERROR(VLOOKUP(Fix_Mapping[[#This Row],[KODE BARANG]],[1]!KINONF15[[KDBRG]:[HRG_JLMT_CTN+PPN]],8,0),0)</f>
        <v>0</v>
      </c>
      <c r="H145">
        <f>IFERROR(VLOOKUP(Fix_Mapping[[#This Row],[KODE BARANG]],[1]!KINONF15[[KDBRG]:[HRG_JLMT_CTN+PPN]],9,0),0)</f>
        <v>0</v>
      </c>
      <c r="I145">
        <f>IFERROR(VLOOKUP(Fix_Mapping[[#This Row],[KODE BARANG]],[1]!KINONF15[[KDBRG]:[HRG_JLMT_CTN+PPN]],10,0),0)</f>
        <v>0</v>
      </c>
      <c r="J145">
        <f>IFERROR(VLOOKUP(Fix_Mapping[[#This Row],[KODE BARANG]],[1]!KINONF15[[KDBRG]:[HRG_JLMT_CTN+PPN]],11,0),0)</f>
        <v>0</v>
      </c>
      <c r="K145">
        <f>IFERROR(VLOOKUP(Fix_Mapping[[#This Row],[KODE BARANG]],[1]!KINONF15[[KDBRG]:[HRG_JLMT_CTN+PPN]],12,0),0)</f>
        <v>0</v>
      </c>
      <c r="L145">
        <f>IFERROR(VLOOKUP(Fix_Mapping[[#This Row],[KODE BARANG]],[1]!KINONF15[[KDBRG]:[HRG_JLMT_CTN+PPN]],13,0),0)</f>
        <v>0</v>
      </c>
      <c r="M145">
        <f>IFERROR(VLOOKUP(Fix_Mapping[[#This Row],[KODE BARANG]],[1]!KINONF15[[KDBRG]:[HRG_JLMT_CTN+PPN]],14,0),0)</f>
        <v>0</v>
      </c>
      <c r="N145">
        <f>IFERROR(VLOOKUP(Fix_Mapping[[#This Row],[KODE BARANG]],[1]!KINONF15[[KDBRG]:[HRG_JLMT_CTN+PPN]],15,0),0)</f>
        <v>0</v>
      </c>
      <c r="O145">
        <f>IFERROR(VLOOKUP(Fix_Mapping[[#This Row],[KODE BARANG]],[1]!KINONF15[[KDBRG]:[HRG_JLMT_CTN+PPN]],16,0),0)</f>
        <v>0</v>
      </c>
      <c r="P145">
        <f>IFERROR(VLOOKUP(Fix_Mapping[[#This Row],[KODE BARANG]],[1]!KINONF15[[KDBRG]:[HRG_JLMT_CTN+PPN]],17,0),0)</f>
        <v>0</v>
      </c>
      <c r="Q145">
        <f>IFERROR(VLOOKUP(Fix_Mapping[[#This Row],[KODE BARANG]],[1]!KINONF15[[KDBRG]:[HRG_JLMT_CTN+PPN]],18,0),0)</f>
        <v>0</v>
      </c>
      <c r="R145" t="s">
        <v>2555</v>
      </c>
      <c r="S145" t="s">
        <v>460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1254</v>
      </c>
      <c r="B146" t="s">
        <v>1255</v>
      </c>
      <c r="C146">
        <v>18</v>
      </c>
      <c r="D146">
        <f>IFERROR(VLOOKUP(Fix_Mapping[[#This Row],[KODE BARANG]],[1]!KINONF15[[KDBRG]:[HRG_JLMT_CTN+PPN]],5,0),0)</f>
        <v>0</v>
      </c>
      <c r="E146" t="s">
        <v>2297</v>
      </c>
      <c r="F146">
        <f>IFERROR(VLOOKUP(Fix_Mapping[[#This Row],[KODE BARANG]],[1]!KINONF15[[KDBRG]:[HRG_JLMT_CTN+PPN]],7,0),0)</f>
        <v>0</v>
      </c>
      <c r="G146">
        <f>IFERROR(VLOOKUP(Fix_Mapping[[#This Row],[KODE BARANG]],[1]!KINONF15[[KDBRG]:[HRG_JLMT_CTN+PPN]],8,0),0)</f>
        <v>0</v>
      </c>
      <c r="H146">
        <f>IFERROR(VLOOKUP(Fix_Mapping[[#This Row],[KODE BARANG]],[1]!KINONF15[[KDBRG]:[HRG_JLMT_CTN+PPN]],9,0),0)</f>
        <v>0</v>
      </c>
      <c r="I146">
        <f>IFERROR(VLOOKUP(Fix_Mapping[[#This Row],[KODE BARANG]],[1]!KINONF15[[KDBRG]:[HRG_JLMT_CTN+PPN]],10,0),0)</f>
        <v>0</v>
      </c>
      <c r="J146">
        <f>IFERROR(VLOOKUP(Fix_Mapping[[#This Row],[KODE BARANG]],[1]!KINONF15[[KDBRG]:[HRG_JLMT_CTN+PPN]],11,0),0)</f>
        <v>0</v>
      </c>
      <c r="K146">
        <f>IFERROR(VLOOKUP(Fix_Mapping[[#This Row],[KODE BARANG]],[1]!KINONF15[[KDBRG]:[HRG_JLMT_CTN+PPN]],12,0),0)</f>
        <v>0</v>
      </c>
      <c r="L146">
        <f>IFERROR(VLOOKUP(Fix_Mapping[[#This Row],[KODE BARANG]],[1]!KINONF15[[KDBRG]:[HRG_JLMT_CTN+PPN]],13,0),0)</f>
        <v>0</v>
      </c>
      <c r="M146">
        <f>IFERROR(VLOOKUP(Fix_Mapping[[#This Row],[KODE BARANG]],[1]!KINONF15[[KDBRG]:[HRG_JLMT_CTN+PPN]],14,0),0)</f>
        <v>0</v>
      </c>
      <c r="N146">
        <f>IFERROR(VLOOKUP(Fix_Mapping[[#This Row],[KODE BARANG]],[1]!KINONF15[[KDBRG]:[HRG_JLMT_CTN+PPN]],15,0),0)</f>
        <v>0</v>
      </c>
      <c r="O146">
        <f>IFERROR(VLOOKUP(Fix_Mapping[[#This Row],[KODE BARANG]],[1]!KINONF15[[KDBRG]:[HRG_JLMT_CTN+PPN]],16,0),0)</f>
        <v>0</v>
      </c>
      <c r="P146">
        <f>IFERROR(VLOOKUP(Fix_Mapping[[#This Row],[KODE BARANG]],[1]!KINONF15[[KDBRG]:[HRG_JLMT_CTN+PPN]],17,0),0)</f>
        <v>0</v>
      </c>
      <c r="Q146">
        <f>IFERROR(VLOOKUP(Fix_Mapping[[#This Row],[KODE BARANG]],[1]!KINONF15[[KDBRG]:[HRG_JLMT_CTN+PPN]],18,0),0)</f>
        <v>0</v>
      </c>
      <c r="R146" t="s">
        <v>2555</v>
      </c>
      <c r="S146" t="s">
        <v>454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1256</v>
      </c>
      <c r="B147" t="s">
        <v>1257</v>
      </c>
      <c r="C147">
        <v>18</v>
      </c>
      <c r="D147">
        <f>IFERROR(VLOOKUP(Fix_Mapping[[#This Row],[KODE BARANG]],[1]!KINONF15[[KDBRG]:[HRG_JLMT_CTN+PPN]],5,0),0)</f>
        <v>0</v>
      </c>
      <c r="E147" t="s">
        <v>2297</v>
      </c>
      <c r="F147">
        <f>IFERROR(VLOOKUP(Fix_Mapping[[#This Row],[KODE BARANG]],[1]!KINONF15[[KDBRG]:[HRG_JLMT_CTN+PPN]],7,0),0)</f>
        <v>0</v>
      </c>
      <c r="G147">
        <f>IFERROR(VLOOKUP(Fix_Mapping[[#This Row],[KODE BARANG]],[1]!KINONF15[[KDBRG]:[HRG_JLMT_CTN+PPN]],8,0),0)</f>
        <v>0</v>
      </c>
      <c r="H147">
        <f>IFERROR(VLOOKUP(Fix_Mapping[[#This Row],[KODE BARANG]],[1]!KINONF15[[KDBRG]:[HRG_JLMT_CTN+PPN]],9,0),0)</f>
        <v>0</v>
      </c>
      <c r="I147">
        <f>IFERROR(VLOOKUP(Fix_Mapping[[#This Row],[KODE BARANG]],[1]!KINONF15[[KDBRG]:[HRG_JLMT_CTN+PPN]],10,0),0)</f>
        <v>0</v>
      </c>
      <c r="J147">
        <f>IFERROR(VLOOKUP(Fix_Mapping[[#This Row],[KODE BARANG]],[1]!KINONF15[[KDBRG]:[HRG_JLMT_CTN+PPN]],11,0),0)</f>
        <v>0</v>
      </c>
      <c r="K147">
        <f>IFERROR(VLOOKUP(Fix_Mapping[[#This Row],[KODE BARANG]],[1]!KINONF15[[KDBRG]:[HRG_JLMT_CTN+PPN]],12,0),0)</f>
        <v>0</v>
      </c>
      <c r="L147">
        <f>IFERROR(VLOOKUP(Fix_Mapping[[#This Row],[KODE BARANG]],[1]!KINONF15[[KDBRG]:[HRG_JLMT_CTN+PPN]],13,0),0)</f>
        <v>0</v>
      </c>
      <c r="M147">
        <f>IFERROR(VLOOKUP(Fix_Mapping[[#This Row],[KODE BARANG]],[1]!KINONF15[[KDBRG]:[HRG_JLMT_CTN+PPN]],14,0),0)</f>
        <v>0</v>
      </c>
      <c r="N147">
        <f>IFERROR(VLOOKUP(Fix_Mapping[[#This Row],[KODE BARANG]],[1]!KINONF15[[KDBRG]:[HRG_JLMT_CTN+PPN]],15,0),0)</f>
        <v>0</v>
      </c>
      <c r="O147">
        <f>IFERROR(VLOOKUP(Fix_Mapping[[#This Row],[KODE BARANG]],[1]!KINONF15[[KDBRG]:[HRG_JLMT_CTN+PPN]],16,0),0)</f>
        <v>0</v>
      </c>
      <c r="P147">
        <f>IFERROR(VLOOKUP(Fix_Mapping[[#This Row],[KODE BARANG]],[1]!KINONF15[[KDBRG]:[HRG_JLMT_CTN+PPN]],17,0),0)</f>
        <v>0</v>
      </c>
      <c r="Q147">
        <f>IFERROR(VLOOKUP(Fix_Mapping[[#This Row],[KODE BARANG]],[1]!KINONF15[[KDBRG]:[HRG_JLMT_CTN+PPN]],18,0),0)</f>
        <v>0</v>
      </c>
      <c r="R147" t="s">
        <v>2555</v>
      </c>
      <c r="S147" t="s">
        <v>452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1304</v>
      </c>
      <c r="B148" t="s">
        <v>1305</v>
      </c>
      <c r="C148">
        <v>36</v>
      </c>
      <c r="D148">
        <f>IFERROR(VLOOKUP(Fix_Mapping[[#This Row],[KODE BARANG]],[1]!KINONF15[[KDBRG]:[HRG_JLMT_CTN+PPN]],5,0),0)</f>
        <v>0</v>
      </c>
      <c r="E148" t="s">
        <v>2293</v>
      </c>
      <c r="F148">
        <f>IFERROR(VLOOKUP(Fix_Mapping[[#This Row],[KODE BARANG]],[1]!KINONF15[[KDBRG]:[HRG_JLMT_CTN+PPN]],7,0),0)</f>
        <v>0</v>
      </c>
      <c r="G148">
        <f>IFERROR(VLOOKUP(Fix_Mapping[[#This Row],[KODE BARANG]],[1]!KINONF15[[KDBRG]:[HRG_JLMT_CTN+PPN]],8,0),0)</f>
        <v>0</v>
      </c>
      <c r="H148">
        <f>IFERROR(VLOOKUP(Fix_Mapping[[#This Row],[KODE BARANG]],[1]!KINONF15[[KDBRG]:[HRG_JLMT_CTN+PPN]],9,0),0)</f>
        <v>0</v>
      </c>
      <c r="I148">
        <f>IFERROR(VLOOKUP(Fix_Mapping[[#This Row],[KODE BARANG]],[1]!KINONF15[[KDBRG]:[HRG_JLMT_CTN+PPN]],10,0),0)</f>
        <v>0</v>
      </c>
      <c r="J148">
        <f>IFERROR(VLOOKUP(Fix_Mapping[[#This Row],[KODE BARANG]],[1]!KINONF15[[KDBRG]:[HRG_JLMT_CTN+PPN]],11,0),0)</f>
        <v>0</v>
      </c>
      <c r="K148">
        <f>IFERROR(VLOOKUP(Fix_Mapping[[#This Row],[KODE BARANG]],[1]!KINONF15[[KDBRG]:[HRG_JLMT_CTN+PPN]],12,0),0)</f>
        <v>0</v>
      </c>
      <c r="L148">
        <f>IFERROR(VLOOKUP(Fix_Mapping[[#This Row],[KODE BARANG]],[1]!KINONF15[[KDBRG]:[HRG_JLMT_CTN+PPN]],13,0),0)</f>
        <v>0</v>
      </c>
      <c r="M148">
        <f>IFERROR(VLOOKUP(Fix_Mapping[[#This Row],[KODE BARANG]],[1]!KINONF15[[KDBRG]:[HRG_JLMT_CTN+PPN]],14,0),0)</f>
        <v>0</v>
      </c>
      <c r="N148">
        <f>IFERROR(VLOOKUP(Fix_Mapping[[#This Row],[KODE BARANG]],[1]!KINONF15[[KDBRG]:[HRG_JLMT_CTN+PPN]],15,0),0)</f>
        <v>0</v>
      </c>
      <c r="O148">
        <f>IFERROR(VLOOKUP(Fix_Mapping[[#This Row],[KODE BARANG]],[1]!KINONF15[[KDBRG]:[HRG_JLMT_CTN+PPN]],16,0),0)</f>
        <v>0</v>
      </c>
      <c r="P148">
        <f>IFERROR(VLOOKUP(Fix_Mapping[[#This Row],[KODE BARANG]],[1]!KINONF15[[KDBRG]:[HRG_JLMT_CTN+PPN]],17,0),0)</f>
        <v>0</v>
      </c>
      <c r="Q148">
        <f>IFERROR(VLOOKUP(Fix_Mapping[[#This Row],[KODE BARANG]],[1]!KINONF15[[KDBRG]:[HRG_JLMT_CTN+PPN]],18,0),0)</f>
        <v>0</v>
      </c>
      <c r="R148" t="s">
        <v>2555</v>
      </c>
      <c r="S148" t="s">
        <v>924</v>
      </c>
      <c r="T148">
        <v>106053</v>
      </c>
      <c r="U148">
        <v>0</v>
      </c>
      <c r="V148">
        <v>0</v>
      </c>
      <c r="W148">
        <v>0</v>
      </c>
    </row>
    <row r="149" spans="1:23">
      <c r="A149" t="s">
        <v>1306</v>
      </c>
      <c r="B149" t="s">
        <v>1307</v>
      </c>
      <c r="C149">
        <v>36</v>
      </c>
      <c r="D149">
        <f>IFERROR(VLOOKUP(Fix_Mapping[[#This Row],[KODE BARANG]],[1]!KINONF15[[KDBRG]:[HRG_JLMT_CTN+PPN]],5,0),0)</f>
        <v>0</v>
      </c>
      <c r="E149" t="s">
        <v>2293</v>
      </c>
      <c r="F149">
        <f>IFERROR(VLOOKUP(Fix_Mapping[[#This Row],[KODE BARANG]],[1]!KINONF15[[KDBRG]:[HRG_JLMT_CTN+PPN]],7,0),0)</f>
        <v>0</v>
      </c>
      <c r="G149">
        <f>IFERROR(VLOOKUP(Fix_Mapping[[#This Row],[KODE BARANG]],[1]!KINONF15[[KDBRG]:[HRG_JLMT_CTN+PPN]],8,0),0)</f>
        <v>0</v>
      </c>
      <c r="H149">
        <f>IFERROR(VLOOKUP(Fix_Mapping[[#This Row],[KODE BARANG]],[1]!KINONF15[[KDBRG]:[HRG_JLMT_CTN+PPN]],9,0),0)</f>
        <v>0</v>
      </c>
      <c r="I149">
        <f>IFERROR(VLOOKUP(Fix_Mapping[[#This Row],[KODE BARANG]],[1]!KINONF15[[KDBRG]:[HRG_JLMT_CTN+PPN]],10,0),0)</f>
        <v>0</v>
      </c>
      <c r="J149">
        <f>IFERROR(VLOOKUP(Fix_Mapping[[#This Row],[KODE BARANG]],[1]!KINONF15[[KDBRG]:[HRG_JLMT_CTN+PPN]],11,0),0)</f>
        <v>0</v>
      </c>
      <c r="K149">
        <f>IFERROR(VLOOKUP(Fix_Mapping[[#This Row],[KODE BARANG]],[1]!KINONF15[[KDBRG]:[HRG_JLMT_CTN+PPN]],12,0),0)</f>
        <v>0</v>
      </c>
      <c r="L149">
        <f>IFERROR(VLOOKUP(Fix_Mapping[[#This Row],[KODE BARANG]],[1]!KINONF15[[KDBRG]:[HRG_JLMT_CTN+PPN]],13,0),0)</f>
        <v>0</v>
      </c>
      <c r="M149">
        <f>IFERROR(VLOOKUP(Fix_Mapping[[#This Row],[KODE BARANG]],[1]!KINONF15[[KDBRG]:[HRG_JLMT_CTN+PPN]],14,0),0)</f>
        <v>0</v>
      </c>
      <c r="N149">
        <f>IFERROR(VLOOKUP(Fix_Mapping[[#This Row],[KODE BARANG]],[1]!KINONF15[[KDBRG]:[HRG_JLMT_CTN+PPN]],15,0),0)</f>
        <v>0</v>
      </c>
      <c r="O149">
        <f>IFERROR(VLOOKUP(Fix_Mapping[[#This Row],[KODE BARANG]],[1]!KINONF15[[KDBRG]:[HRG_JLMT_CTN+PPN]],16,0),0)</f>
        <v>0</v>
      </c>
      <c r="P149">
        <f>IFERROR(VLOOKUP(Fix_Mapping[[#This Row],[KODE BARANG]],[1]!KINONF15[[KDBRG]:[HRG_JLMT_CTN+PPN]],17,0),0)</f>
        <v>0</v>
      </c>
      <c r="Q149">
        <f>IFERROR(VLOOKUP(Fix_Mapping[[#This Row],[KODE BARANG]],[1]!KINONF15[[KDBRG]:[HRG_JLMT_CTN+PPN]],18,0),0)</f>
        <v>0</v>
      </c>
      <c r="R149" t="s">
        <v>2555</v>
      </c>
      <c r="S149" t="s">
        <v>925</v>
      </c>
      <c r="T149">
        <v>106052</v>
      </c>
      <c r="U149">
        <v>0</v>
      </c>
      <c r="V149">
        <v>0</v>
      </c>
      <c r="W149">
        <v>0</v>
      </c>
    </row>
    <row r="150" spans="1:23">
      <c r="A150" t="s">
        <v>1308</v>
      </c>
      <c r="B150" t="s">
        <v>1309</v>
      </c>
      <c r="C150">
        <v>36</v>
      </c>
      <c r="D150">
        <f>IFERROR(VLOOKUP(Fix_Mapping[[#This Row],[KODE BARANG]],[1]!KINONF15[[KDBRG]:[HRG_JLMT_CTN+PPN]],5,0),0)</f>
        <v>0</v>
      </c>
      <c r="E150" t="s">
        <v>2293</v>
      </c>
      <c r="F150">
        <f>IFERROR(VLOOKUP(Fix_Mapping[[#This Row],[KODE BARANG]],[1]!KINONF15[[KDBRG]:[HRG_JLMT_CTN+PPN]],7,0),0)</f>
        <v>0</v>
      </c>
      <c r="G150">
        <f>IFERROR(VLOOKUP(Fix_Mapping[[#This Row],[KODE BARANG]],[1]!KINONF15[[KDBRG]:[HRG_JLMT_CTN+PPN]],8,0),0)</f>
        <v>0</v>
      </c>
      <c r="H150">
        <f>IFERROR(VLOOKUP(Fix_Mapping[[#This Row],[KODE BARANG]],[1]!KINONF15[[KDBRG]:[HRG_JLMT_CTN+PPN]],9,0),0)</f>
        <v>0</v>
      </c>
      <c r="I150">
        <f>IFERROR(VLOOKUP(Fix_Mapping[[#This Row],[KODE BARANG]],[1]!KINONF15[[KDBRG]:[HRG_JLMT_CTN+PPN]],10,0),0)</f>
        <v>0</v>
      </c>
      <c r="J150">
        <f>IFERROR(VLOOKUP(Fix_Mapping[[#This Row],[KODE BARANG]],[1]!KINONF15[[KDBRG]:[HRG_JLMT_CTN+PPN]],11,0),0)</f>
        <v>0</v>
      </c>
      <c r="K150">
        <f>IFERROR(VLOOKUP(Fix_Mapping[[#This Row],[KODE BARANG]],[1]!KINONF15[[KDBRG]:[HRG_JLMT_CTN+PPN]],12,0),0)</f>
        <v>0</v>
      </c>
      <c r="L150">
        <f>IFERROR(VLOOKUP(Fix_Mapping[[#This Row],[KODE BARANG]],[1]!KINONF15[[KDBRG]:[HRG_JLMT_CTN+PPN]],13,0),0)</f>
        <v>0</v>
      </c>
      <c r="M150">
        <f>IFERROR(VLOOKUP(Fix_Mapping[[#This Row],[KODE BARANG]],[1]!KINONF15[[KDBRG]:[HRG_JLMT_CTN+PPN]],14,0),0)</f>
        <v>0</v>
      </c>
      <c r="N150">
        <f>IFERROR(VLOOKUP(Fix_Mapping[[#This Row],[KODE BARANG]],[1]!KINONF15[[KDBRG]:[HRG_JLMT_CTN+PPN]],15,0),0)</f>
        <v>0</v>
      </c>
      <c r="O150">
        <f>IFERROR(VLOOKUP(Fix_Mapping[[#This Row],[KODE BARANG]],[1]!KINONF15[[KDBRG]:[HRG_JLMT_CTN+PPN]],16,0),0)</f>
        <v>0</v>
      </c>
      <c r="P150">
        <f>IFERROR(VLOOKUP(Fix_Mapping[[#This Row],[KODE BARANG]],[1]!KINONF15[[KDBRG]:[HRG_JLMT_CTN+PPN]],17,0),0)</f>
        <v>0</v>
      </c>
      <c r="Q150">
        <f>IFERROR(VLOOKUP(Fix_Mapping[[#This Row],[KODE BARANG]],[1]!KINONF15[[KDBRG]:[HRG_JLMT_CTN+PPN]],18,0),0)</f>
        <v>0</v>
      </c>
      <c r="R150" t="s">
        <v>2555</v>
      </c>
      <c r="S150" t="s">
        <v>928</v>
      </c>
      <c r="T150">
        <v>106067</v>
      </c>
      <c r="U150">
        <v>0</v>
      </c>
      <c r="V150">
        <v>0</v>
      </c>
      <c r="W150">
        <v>0</v>
      </c>
    </row>
    <row r="151" spans="1:23">
      <c r="A151" t="s">
        <v>1310</v>
      </c>
      <c r="B151" t="s">
        <v>1311</v>
      </c>
      <c r="C151">
        <v>36</v>
      </c>
      <c r="D151">
        <f>IFERROR(VLOOKUP(Fix_Mapping[[#This Row],[KODE BARANG]],[1]!KINONF15[[KDBRG]:[HRG_JLMT_CTN+PPN]],5,0),0)</f>
        <v>0</v>
      </c>
      <c r="E151" t="s">
        <v>2293</v>
      </c>
      <c r="F151">
        <f>IFERROR(VLOOKUP(Fix_Mapping[[#This Row],[KODE BARANG]],[1]!KINONF15[[KDBRG]:[HRG_JLMT_CTN+PPN]],7,0),0)</f>
        <v>0</v>
      </c>
      <c r="G151">
        <f>IFERROR(VLOOKUP(Fix_Mapping[[#This Row],[KODE BARANG]],[1]!KINONF15[[KDBRG]:[HRG_JLMT_CTN+PPN]],8,0),0)</f>
        <v>0</v>
      </c>
      <c r="H151">
        <f>IFERROR(VLOOKUP(Fix_Mapping[[#This Row],[KODE BARANG]],[1]!KINONF15[[KDBRG]:[HRG_JLMT_CTN+PPN]],9,0),0)</f>
        <v>0</v>
      </c>
      <c r="I151">
        <f>IFERROR(VLOOKUP(Fix_Mapping[[#This Row],[KODE BARANG]],[1]!KINONF15[[KDBRG]:[HRG_JLMT_CTN+PPN]],10,0),0)</f>
        <v>0</v>
      </c>
      <c r="J151">
        <f>IFERROR(VLOOKUP(Fix_Mapping[[#This Row],[KODE BARANG]],[1]!KINONF15[[KDBRG]:[HRG_JLMT_CTN+PPN]],11,0),0)</f>
        <v>0</v>
      </c>
      <c r="K151">
        <f>IFERROR(VLOOKUP(Fix_Mapping[[#This Row],[KODE BARANG]],[1]!KINONF15[[KDBRG]:[HRG_JLMT_CTN+PPN]],12,0),0)</f>
        <v>0</v>
      </c>
      <c r="L151">
        <f>IFERROR(VLOOKUP(Fix_Mapping[[#This Row],[KODE BARANG]],[1]!KINONF15[[KDBRG]:[HRG_JLMT_CTN+PPN]],13,0),0)</f>
        <v>0</v>
      </c>
      <c r="M151">
        <f>IFERROR(VLOOKUP(Fix_Mapping[[#This Row],[KODE BARANG]],[1]!KINONF15[[KDBRG]:[HRG_JLMT_CTN+PPN]],14,0),0)</f>
        <v>0</v>
      </c>
      <c r="N151">
        <f>IFERROR(VLOOKUP(Fix_Mapping[[#This Row],[KODE BARANG]],[1]!KINONF15[[KDBRG]:[HRG_JLMT_CTN+PPN]],15,0),0)</f>
        <v>0</v>
      </c>
      <c r="O151">
        <f>IFERROR(VLOOKUP(Fix_Mapping[[#This Row],[KODE BARANG]],[1]!KINONF15[[KDBRG]:[HRG_JLMT_CTN+PPN]],16,0),0)</f>
        <v>0</v>
      </c>
      <c r="P151">
        <f>IFERROR(VLOOKUP(Fix_Mapping[[#This Row],[KODE BARANG]],[1]!KINONF15[[KDBRG]:[HRG_JLMT_CTN+PPN]],17,0),0)</f>
        <v>0</v>
      </c>
      <c r="Q151">
        <f>IFERROR(VLOOKUP(Fix_Mapping[[#This Row],[KODE BARANG]],[1]!KINONF15[[KDBRG]:[HRG_JLMT_CTN+PPN]],18,0),0)</f>
        <v>0</v>
      </c>
      <c r="R151" t="s">
        <v>2555</v>
      </c>
      <c r="S151" t="s">
        <v>929</v>
      </c>
      <c r="T151">
        <v>106066</v>
      </c>
      <c r="U151">
        <v>0</v>
      </c>
      <c r="V151">
        <v>0</v>
      </c>
      <c r="W151">
        <v>0</v>
      </c>
    </row>
    <row r="152" spans="1:23">
      <c r="A152" t="s">
        <v>1312</v>
      </c>
      <c r="B152" t="s">
        <v>1313</v>
      </c>
      <c r="C152">
        <v>36</v>
      </c>
      <c r="D152">
        <f>IFERROR(VLOOKUP(Fix_Mapping[[#This Row],[KODE BARANG]],[1]!KINONF15[[KDBRG]:[HRG_JLMT_CTN+PPN]],5,0),0)</f>
        <v>0</v>
      </c>
      <c r="E152" t="s">
        <v>2293</v>
      </c>
      <c r="F152">
        <f>IFERROR(VLOOKUP(Fix_Mapping[[#This Row],[KODE BARANG]],[1]!KINONF15[[KDBRG]:[HRG_JLMT_CTN+PPN]],7,0),0)</f>
        <v>0</v>
      </c>
      <c r="G152">
        <f>IFERROR(VLOOKUP(Fix_Mapping[[#This Row],[KODE BARANG]],[1]!KINONF15[[KDBRG]:[HRG_JLMT_CTN+PPN]],8,0),0)</f>
        <v>0</v>
      </c>
      <c r="H152">
        <f>IFERROR(VLOOKUP(Fix_Mapping[[#This Row],[KODE BARANG]],[1]!KINONF15[[KDBRG]:[HRG_JLMT_CTN+PPN]],9,0),0)</f>
        <v>0</v>
      </c>
      <c r="I152">
        <f>IFERROR(VLOOKUP(Fix_Mapping[[#This Row],[KODE BARANG]],[1]!KINONF15[[KDBRG]:[HRG_JLMT_CTN+PPN]],10,0),0)</f>
        <v>0</v>
      </c>
      <c r="J152">
        <f>IFERROR(VLOOKUP(Fix_Mapping[[#This Row],[KODE BARANG]],[1]!KINONF15[[KDBRG]:[HRG_JLMT_CTN+PPN]],11,0),0)</f>
        <v>0</v>
      </c>
      <c r="K152">
        <f>IFERROR(VLOOKUP(Fix_Mapping[[#This Row],[KODE BARANG]],[1]!KINONF15[[KDBRG]:[HRG_JLMT_CTN+PPN]],12,0),0)</f>
        <v>0</v>
      </c>
      <c r="L152">
        <f>IFERROR(VLOOKUP(Fix_Mapping[[#This Row],[KODE BARANG]],[1]!KINONF15[[KDBRG]:[HRG_JLMT_CTN+PPN]],13,0),0)</f>
        <v>0</v>
      </c>
      <c r="M152">
        <f>IFERROR(VLOOKUP(Fix_Mapping[[#This Row],[KODE BARANG]],[1]!KINONF15[[KDBRG]:[HRG_JLMT_CTN+PPN]],14,0),0)</f>
        <v>0</v>
      </c>
      <c r="N152">
        <f>IFERROR(VLOOKUP(Fix_Mapping[[#This Row],[KODE BARANG]],[1]!KINONF15[[KDBRG]:[HRG_JLMT_CTN+PPN]],15,0),0)</f>
        <v>0</v>
      </c>
      <c r="O152">
        <f>IFERROR(VLOOKUP(Fix_Mapping[[#This Row],[KODE BARANG]],[1]!KINONF15[[KDBRG]:[HRG_JLMT_CTN+PPN]],16,0),0)</f>
        <v>0</v>
      </c>
      <c r="P152">
        <f>IFERROR(VLOOKUP(Fix_Mapping[[#This Row],[KODE BARANG]],[1]!KINONF15[[KDBRG]:[HRG_JLMT_CTN+PPN]],17,0),0)</f>
        <v>0</v>
      </c>
      <c r="Q152">
        <f>IFERROR(VLOOKUP(Fix_Mapping[[#This Row],[KODE BARANG]],[1]!KINONF15[[KDBRG]:[HRG_JLMT_CTN+PPN]],18,0),0)</f>
        <v>0</v>
      </c>
      <c r="R152" t="s">
        <v>2555</v>
      </c>
      <c r="S152" t="s">
        <v>938</v>
      </c>
      <c r="T152">
        <v>106059</v>
      </c>
      <c r="U152">
        <v>0</v>
      </c>
      <c r="V152">
        <v>0</v>
      </c>
      <c r="W152">
        <v>0</v>
      </c>
    </row>
    <row r="153" spans="1:23">
      <c r="A153" t="s">
        <v>1314</v>
      </c>
      <c r="B153" t="s">
        <v>1315</v>
      </c>
      <c r="C153">
        <v>36</v>
      </c>
      <c r="D153">
        <f>IFERROR(VLOOKUP(Fix_Mapping[[#This Row],[KODE BARANG]],[1]!KINONF15[[KDBRG]:[HRG_JLMT_CTN+PPN]],5,0),0)</f>
        <v>0</v>
      </c>
      <c r="E153" t="s">
        <v>2293</v>
      </c>
      <c r="F153">
        <f>IFERROR(VLOOKUP(Fix_Mapping[[#This Row],[KODE BARANG]],[1]!KINONF15[[KDBRG]:[HRG_JLMT_CTN+PPN]],7,0),0)</f>
        <v>0</v>
      </c>
      <c r="G153">
        <f>IFERROR(VLOOKUP(Fix_Mapping[[#This Row],[KODE BARANG]],[1]!KINONF15[[KDBRG]:[HRG_JLMT_CTN+PPN]],8,0),0)</f>
        <v>0</v>
      </c>
      <c r="H153">
        <f>IFERROR(VLOOKUP(Fix_Mapping[[#This Row],[KODE BARANG]],[1]!KINONF15[[KDBRG]:[HRG_JLMT_CTN+PPN]],9,0),0)</f>
        <v>0</v>
      </c>
      <c r="I153">
        <f>IFERROR(VLOOKUP(Fix_Mapping[[#This Row],[KODE BARANG]],[1]!KINONF15[[KDBRG]:[HRG_JLMT_CTN+PPN]],10,0),0)</f>
        <v>0</v>
      </c>
      <c r="J153">
        <f>IFERROR(VLOOKUP(Fix_Mapping[[#This Row],[KODE BARANG]],[1]!KINONF15[[KDBRG]:[HRG_JLMT_CTN+PPN]],11,0),0)</f>
        <v>0</v>
      </c>
      <c r="K153">
        <f>IFERROR(VLOOKUP(Fix_Mapping[[#This Row],[KODE BARANG]],[1]!KINONF15[[KDBRG]:[HRG_JLMT_CTN+PPN]],12,0),0)</f>
        <v>0</v>
      </c>
      <c r="L153">
        <f>IFERROR(VLOOKUP(Fix_Mapping[[#This Row],[KODE BARANG]],[1]!KINONF15[[KDBRG]:[HRG_JLMT_CTN+PPN]],13,0),0)</f>
        <v>0</v>
      </c>
      <c r="M153">
        <f>IFERROR(VLOOKUP(Fix_Mapping[[#This Row],[KODE BARANG]],[1]!KINONF15[[KDBRG]:[HRG_JLMT_CTN+PPN]],14,0),0)</f>
        <v>0</v>
      </c>
      <c r="N153">
        <f>IFERROR(VLOOKUP(Fix_Mapping[[#This Row],[KODE BARANG]],[1]!KINONF15[[KDBRG]:[HRG_JLMT_CTN+PPN]],15,0),0)</f>
        <v>0</v>
      </c>
      <c r="O153">
        <f>IFERROR(VLOOKUP(Fix_Mapping[[#This Row],[KODE BARANG]],[1]!KINONF15[[KDBRG]:[HRG_JLMT_CTN+PPN]],16,0),0)</f>
        <v>0</v>
      </c>
      <c r="P153">
        <f>IFERROR(VLOOKUP(Fix_Mapping[[#This Row],[KODE BARANG]],[1]!KINONF15[[KDBRG]:[HRG_JLMT_CTN+PPN]],17,0),0)</f>
        <v>0</v>
      </c>
      <c r="Q153">
        <f>IFERROR(VLOOKUP(Fix_Mapping[[#This Row],[KODE BARANG]],[1]!KINONF15[[KDBRG]:[HRG_JLMT_CTN+PPN]],18,0),0)</f>
        <v>0</v>
      </c>
      <c r="R153" t="s">
        <v>2555</v>
      </c>
      <c r="S153" t="s">
        <v>939</v>
      </c>
      <c r="T153">
        <v>106058</v>
      </c>
      <c r="U153">
        <v>0</v>
      </c>
      <c r="V153">
        <v>0</v>
      </c>
      <c r="W153">
        <v>0</v>
      </c>
    </row>
    <row r="154" spans="1:23">
      <c r="A154" t="s">
        <v>1316</v>
      </c>
      <c r="B154" t="s">
        <v>1317</v>
      </c>
      <c r="C154">
        <v>36</v>
      </c>
      <c r="D154">
        <f>IFERROR(VLOOKUP(Fix_Mapping[[#This Row],[KODE BARANG]],[1]!KINONF15[[KDBRG]:[HRG_JLMT_CTN+PPN]],5,0),0)</f>
        <v>0</v>
      </c>
      <c r="E154" t="s">
        <v>2293</v>
      </c>
      <c r="F154">
        <f>IFERROR(VLOOKUP(Fix_Mapping[[#This Row],[KODE BARANG]],[1]!KINONF15[[KDBRG]:[HRG_JLMT_CTN+PPN]],7,0),0)</f>
        <v>0</v>
      </c>
      <c r="G154">
        <f>IFERROR(VLOOKUP(Fix_Mapping[[#This Row],[KODE BARANG]],[1]!KINONF15[[KDBRG]:[HRG_JLMT_CTN+PPN]],8,0),0)</f>
        <v>0</v>
      </c>
      <c r="H154">
        <f>IFERROR(VLOOKUP(Fix_Mapping[[#This Row],[KODE BARANG]],[1]!KINONF15[[KDBRG]:[HRG_JLMT_CTN+PPN]],9,0),0)</f>
        <v>0</v>
      </c>
      <c r="I154">
        <f>IFERROR(VLOOKUP(Fix_Mapping[[#This Row],[KODE BARANG]],[1]!KINONF15[[KDBRG]:[HRG_JLMT_CTN+PPN]],10,0),0)</f>
        <v>0</v>
      </c>
      <c r="J154">
        <f>IFERROR(VLOOKUP(Fix_Mapping[[#This Row],[KODE BARANG]],[1]!KINONF15[[KDBRG]:[HRG_JLMT_CTN+PPN]],11,0),0)</f>
        <v>0</v>
      </c>
      <c r="K154">
        <f>IFERROR(VLOOKUP(Fix_Mapping[[#This Row],[KODE BARANG]],[1]!KINONF15[[KDBRG]:[HRG_JLMT_CTN+PPN]],12,0),0)</f>
        <v>0</v>
      </c>
      <c r="L154">
        <f>IFERROR(VLOOKUP(Fix_Mapping[[#This Row],[KODE BARANG]],[1]!KINONF15[[KDBRG]:[HRG_JLMT_CTN+PPN]],13,0),0)</f>
        <v>0</v>
      </c>
      <c r="M154">
        <f>IFERROR(VLOOKUP(Fix_Mapping[[#This Row],[KODE BARANG]],[1]!KINONF15[[KDBRG]:[HRG_JLMT_CTN+PPN]],14,0),0)</f>
        <v>0</v>
      </c>
      <c r="N154">
        <f>IFERROR(VLOOKUP(Fix_Mapping[[#This Row],[KODE BARANG]],[1]!KINONF15[[KDBRG]:[HRG_JLMT_CTN+PPN]],15,0),0)</f>
        <v>0</v>
      </c>
      <c r="O154">
        <f>IFERROR(VLOOKUP(Fix_Mapping[[#This Row],[KODE BARANG]],[1]!KINONF15[[KDBRG]:[HRG_JLMT_CTN+PPN]],16,0),0)</f>
        <v>0</v>
      </c>
      <c r="P154">
        <f>IFERROR(VLOOKUP(Fix_Mapping[[#This Row],[KODE BARANG]],[1]!KINONF15[[KDBRG]:[HRG_JLMT_CTN+PPN]],17,0),0)</f>
        <v>0</v>
      </c>
      <c r="Q154">
        <f>IFERROR(VLOOKUP(Fix_Mapping[[#This Row],[KODE BARANG]],[1]!KINONF15[[KDBRG]:[HRG_JLMT_CTN+PPN]],18,0),0)</f>
        <v>0</v>
      </c>
      <c r="R154" t="s">
        <v>2555</v>
      </c>
      <c r="S154" t="s">
        <v>940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1318</v>
      </c>
      <c r="B155" t="s">
        <v>1319</v>
      </c>
      <c r="C155">
        <v>36</v>
      </c>
      <c r="D155">
        <f>IFERROR(VLOOKUP(Fix_Mapping[[#This Row],[KODE BARANG]],[1]!KINONF15[[KDBRG]:[HRG_JLMT_CTN+PPN]],5,0),0)</f>
        <v>0</v>
      </c>
      <c r="E155" t="s">
        <v>2293</v>
      </c>
      <c r="F155">
        <f>IFERROR(VLOOKUP(Fix_Mapping[[#This Row],[KODE BARANG]],[1]!KINONF15[[KDBRG]:[HRG_JLMT_CTN+PPN]],7,0),0)</f>
        <v>0</v>
      </c>
      <c r="G155">
        <f>IFERROR(VLOOKUP(Fix_Mapping[[#This Row],[KODE BARANG]],[1]!KINONF15[[KDBRG]:[HRG_JLMT_CTN+PPN]],8,0),0)</f>
        <v>0</v>
      </c>
      <c r="H155">
        <f>IFERROR(VLOOKUP(Fix_Mapping[[#This Row],[KODE BARANG]],[1]!KINONF15[[KDBRG]:[HRG_JLMT_CTN+PPN]],9,0),0)</f>
        <v>0</v>
      </c>
      <c r="I155">
        <f>IFERROR(VLOOKUP(Fix_Mapping[[#This Row],[KODE BARANG]],[1]!KINONF15[[KDBRG]:[HRG_JLMT_CTN+PPN]],10,0),0)</f>
        <v>0</v>
      </c>
      <c r="J155">
        <f>IFERROR(VLOOKUP(Fix_Mapping[[#This Row],[KODE BARANG]],[1]!KINONF15[[KDBRG]:[HRG_JLMT_CTN+PPN]],11,0),0)</f>
        <v>0</v>
      </c>
      <c r="K155">
        <f>IFERROR(VLOOKUP(Fix_Mapping[[#This Row],[KODE BARANG]],[1]!KINONF15[[KDBRG]:[HRG_JLMT_CTN+PPN]],12,0),0)</f>
        <v>0</v>
      </c>
      <c r="L155">
        <f>IFERROR(VLOOKUP(Fix_Mapping[[#This Row],[KODE BARANG]],[1]!KINONF15[[KDBRG]:[HRG_JLMT_CTN+PPN]],13,0),0)</f>
        <v>0</v>
      </c>
      <c r="M155">
        <f>IFERROR(VLOOKUP(Fix_Mapping[[#This Row],[KODE BARANG]],[1]!KINONF15[[KDBRG]:[HRG_JLMT_CTN+PPN]],14,0),0)</f>
        <v>0</v>
      </c>
      <c r="N155">
        <f>IFERROR(VLOOKUP(Fix_Mapping[[#This Row],[KODE BARANG]],[1]!KINONF15[[KDBRG]:[HRG_JLMT_CTN+PPN]],15,0),0)</f>
        <v>0</v>
      </c>
      <c r="O155">
        <f>IFERROR(VLOOKUP(Fix_Mapping[[#This Row],[KODE BARANG]],[1]!KINONF15[[KDBRG]:[HRG_JLMT_CTN+PPN]],16,0),0)</f>
        <v>0</v>
      </c>
      <c r="P155">
        <f>IFERROR(VLOOKUP(Fix_Mapping[[#This Row],[KODE BARANG]],[1]!KINONF15[[KDBRG]:[HRG_JLMT_CTN+PPN]],17,0),0)</f>
        <v>0</v>
      </c>
      <c r="Q155">
        <f>IFERROR(VLOOKUP(Fix_Mapping[[#This Row],[KODE BARANG]],[1]!KINONF15[[KDBRG]:[HRG_JLMT_CTN+PPN]],18,0),0)</f>
        <v>0</v>
      </c>
      <c r="R155" t="s">
        <v>2555</v>
      </c>
      <c r="S155" t="s">
        <v>941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1320</v>
      </c>
      <c r="B156" t="s">
        <v>1321</v>
      </c>
      <c r="C156">
        <v>36</v>
      </c>
      <c r="D156">
        <f>IFERROR(VLOOKUP(Fix_Mapping[[#This Row],[KODE BARANG]],[1]!KINONF15[[KDBRG]:[HRG_JLMT_CTN+PPN]],5,0),0)</f>
        <v>0</v>
      </c>
      <c r="E156" t="s">
        <v>2293</v>
      </c>
      <c r="F156">
        <f>IFERROR(VLOOKUP(Fix_Mapping[[#This Row],[KODE BARANG]],[1]!KINONF15[[KDBRG]:[HRG_JLMT_CTN+PPN]],7,0),0)</f>
        <v>0</v>
      </c>
      <c r="G156">
        <f>IFERROR(VLOOKUP(Fix_Mapping[[#This Row],[KODE BARANG]],[1]!KINONF15[[KDBRG]:[HRG_JLMT_CTN+PPN]],8,0),0)</f>
        <v>0</v>
      </c>
      <c r="H156">
        <f>IFERROR(VLOOKUP(Fix_Mapping[[#This Row],[KODE BARANG]],[1]!KINONF15[[KDBRG]:[HRG_JLMT_CTN+PPN]],9,0),0)</f>
        <v>0</v>
      </c>
      <c r="I156">
        <f>IFERROR(VLOOKUP(Fix_Mapping[[#This Row],[KODE BARANG]],[1]!KINONF15[[KDBRG]:[HRG_JLMT_CTN+PPN]],10,0),0)</f>
        <v>0</v>
      </c>
      <c r="J156">
        <f>IFERROR(VLOOKUP(Fix_Mapping[[#This Row],[KODE BARANG]],[1]!KINONF15[[KDBRG]:[HRG_JLMT_CTN+PPN]],11,0),0)</f>
        <v>0</v>
      </c>
      <c r="K156">
        <f>IFERROR(VLOOKUP(Fix_Mapping[[#This Row],[KODE BARANG]],[1]!KINONF15[[KDBRG]:[HRG_JLMT_CTN+PPN]],12,0),0)</f>
        <v>0</v>
      </c>
      <c r="L156">
        <f>IFERROR(VLOOKUP(Fix_Mapping[[#This Row],[KODE BARANG]],[1]!KINONF15[[KDBRG]:[HRG_JLMT_CTN+PPN]],13,0),0)</f>
        <v>0</v>
      </c>
      <c r="M156">
        <f>IFERROR(VLOOKUP(Fix_Mapping[[#This Row],[KODE BARANG]],[1]!KINONF15[[KDBRG]:[HRG_JLMT_CTN+PPN]],14,0),0)</f>
        <v>0</v>
      </c>
      <c r="N156">
        <f>IFERROR(VLOOKUP(Fix_Mapping[[#This Row],[KODE BARANG]],[1]!KINONF15[[KDBRG]:[HRG_JLMT_CTN+PPN]],15,0),0)</f>
        <v>0</v>
      </c>
      <c r="O156">
        <f>IFERROR(VLOOKUP(Fix_Mapping[[#This Row],[KODE BARANG]],[1]!KINONF15[[KDBRG]:[HRG_JLMT_CTN+PPN]],16,0),0)</f>
        <v>0</v>
      </c>
      <c r="P156">
        <f>IFERROR(VLOOKUP(Fix_Mapping[[#This Row],[KODE BARANG]],[1]!KINONF15[[KDBRG]:[HRG_JLMT_CTN+PPN]],17,0),0)</f>
        <v>0</v>
      </c>
      <c r="Q156">
        <f>IFERROR(VLOOKUP(Fix_Mapping[[#This Row],[KODE BARANG]],[1]!KINONF15[[KDBRG]:[HRG_JLMT_CTN+PPN]],18,0),0)</f>
        <v>0</v>
      </c>
      <c r="R156" t="s">
        <v>2555</v>
      </c>
      <c r="S156" t="s">
        <v>936</v>
      </c>
      <c r="T156">
        <v>106057</v>
      </c>
      <c r="U156">
        <v>0</v>
      </c>
      <c r="V156">
        <v>0</v>
      </c>
      <c r="W156">
        <v>0</v>
      </c>
    </row>
    <row r="157" spans="1:23">
      <c r="A157" t="s">
        <v>1322</v>
      </c>
      <c r="B157" t="s">
        <v>1323</v>
      </c>
      <c r="C157">
        <v>36</v>
      </c>
      <c r="D157">
        <f>IFERROR(VLOOKUP(Fix_Mapping[[#This Row],[KODE BARANG]],[1]!KINONF15[[KDBRG]:[HRG_JLMT_CTN+PPN]],5,0),0)</f>
        <v>0</v>
      </c>
      <c r="E157" t="s">
        <v>2293</v>
      </c>
      <c r="F157">
        <f>IFERROR(VLOOKUP(Fix_Mapping[[#This Row],[KODE BARANG]],[1]!KINONF15[[KDBRG]:[HRG_JLMT_CTN+PPN]],7,0),0)</f>
        <v>0</v>
      </c>
      <c r="G157">
        <f>IFERROR(VLOOKUP(Fix_Mapping[[#This Row],[KODE BARANG]],[1]!KINONF15[[KDBRG]:[HRG_JLMT_CTN+PPN]],8,0),0)</f>
        <v>0</v>
      </c>
      <c r="H157">
        <f>IFERROR(VLOOKUP(Fix_Mapping[[#This Row],[KODE BARANG]],[1]!KINONF15[[KDBRG]:[HRG_JLMT_CTN+PPN]],9,0),0)</f>
        <v>0</v>
      </c>
      <c r="I157">
        <f>IFERROR(VLOOKUP(Fix_Mapping[[#This Row],[KODE BARANG]],[1]!KINONF15[[KDBRG]:[HRG_JLMT_CTN+PPN]],10,0),0)</f>
        <v>0</v>
      </c>
      <c r="J157">
        <f>IFERROR(VLOOKUP(Fix_Mapping[[#This Row],[KODE BARANG]],[1]!KINONF15[[KDBRG]:[HRG_JLMT_CTN+PPN]],11,0),0)</f>
        <v>0</v>
      </c>
      <c r="K157">
        <f>IFERROR(VLOOKUP(Fix_Mapping[[#This Row],[KODE BARANG]],[1]!KINONF15[[KDBRG]:[HRG_JLMT_CTN+PPN]],12,0),0)</f>
        <v>0</v>
      </c>
      <c r="L157">
        <f>IFERROR(VLOOKUP(Fix_Mapping[[#This Row],[KODE BARANG]],[1]!KINONF15[[KDBRG]:[HRG_JLMT_CTN+PPN]],13,0),0)</f>
        <v>0</v>
      </c>
      <c r="M157">
        <f>IFERROR(VLOOKUP(Fix_Mapping[[#This Row],[KODE BARANG]],[1]!KINONF15[[KDBRG]:[HRG_JLMT_CTN+PPN]],14,0),0)</f>
        <v>0</v>
      </c>
      <c r="N157">
        <f>IFERROR(VLOOKUP(Fix_Mapping[[#This Row],[KODE BARANG]],[1]!KINONF15[[KDBRG]:[HRG_JLMT_CTN+PPN]],15,0),0)</f>
        <v>0</v>
      </c>
      <c r="O157">
        <f>IFERROR(VLOOKUP(Fix_Mapping[[#This Row],[KODE BARANG]],[1]!KINONF15[[KDBRG]:[HRG_JLMT_CTN+PPN]],16,0),0)</f>
        <v>0</v>
      </c>
      <c r="P157">
        <f>IFERROR(VLOOKUP(Fix_Mapping[[#This Row],[KODE BARANG]],[1]!KINONF15[[KDBRG]:[HRG_JLMT_CTN+PPN]],17,0),0)</f>
        <v>0</v>
      </c>
      <c r="Q157">
        <f>IFERROR(VLOOKUP(Fix_Mapping[[#This Row],[KODE BARANG]],[1]!KINONF15[[KDBRG]:[HRG_JLMT_CTN+PPN]],18,0),0)</f>
        <v>0</v>
      </c>
      <c r="R157" t="s">
        <v>2555</v>
      </c>
      <c r="S157" t="s">
        <v>937</v>
      </c>
      <c r="T157">
        <v>106056</v>
      </c>
      <c r="U157">
        <v>0</v>
      </c>
      <c r="V157">
        <v>0</v>
      </c>
      <c r="W157">
        <v>0</v>
      </c>
    </row>
    <row r="158" spans="1:23">
      <c r="A158" t="s">
        <v>1324</v>
      </c>
      <c r="B158" t="s">
        <v>1325</v>
      </c>
      <c r="C158">
        <v>36</v>
      </c>
      <c r="D158">
        <f>IFERROR(VLOOKUP(Fix_Mapping[[#This Row],[KODE BARANG]],[1]!KINONF15[[KDBRG]:[HRG_JLMT_CTN+PPN]],5,0),0)</f>
        <v>0</v>
      </c>
      <c r="E158" t="s">
        <v>2293</v>
      </c>
      <c r="F158">
        <f>IFERROR(VLOOKUP(Fix_Mapping[[#This Row],[KODE BARANG]],[1]!KINONF15[[KDBRG]:[HRG_JLMT_CTN+PPN]],7,0),0)</f>
        <v>0</v>
      </c>
      <c r="G158">
        <f>IFERROR(VLOOKUP(Fix_Mapping[[#This Row],[KODE BARANG]],[1]!KINONF15[[KDBRG]:[HRG_JLMT_CTN+PPN]],8,0),0)</f>
        <v>0</v>
      </c>
      <c r="H158">
        <f>IFERROR(VLOOKUP(Fix_Mapping[[#This Row],[KODE BARANG]],[1]!KINONF15[[KDBRG]:[HRG_JLMT_CTN+PPN]],9,0),0)</f>
        <v>0</v>
      </c>
      <c r="I158">
        <f>IFERROR(VLOOKUP(Fix_Mapping[[#This Row],[KODE BARANG]],[1]!KINONF15[[KDBRG]:[HRG_JLMT_CTN+PPN]],10,0),0)</f>
        <v>0</v>
      </c>
      <c r="J158">
        <f>IFERROR(VLOOKUP(Fix_Mapping[[#This Row],[KODE BARANG]],[1]!KINONF15[[KDBRG]:[HRG_JLMT_CTN+PPN]],11,0),0)</f>
        <v>0</v>
      </c>
      <c r="K158">
        <f>IFERROR(VLOOKUP(Fix_Mapping[[#This Row],[KODE BARANG]],[1]!KINONF15[[KDBRG]:[HRG_JLMT_CTN+PPN]],12,0),0)</f>
        <v>0</v>
      </c>
      <c r="L158">
        <f>IFERROR(VLOOKUP(Fix_Mapping[[#This Row],[KODE BARANG]],[1]!KINONF15[[KDBRG]:[HRG_JLMT_CTN+PPN]],13,0),0)</f>
        <v>0</v>
      </c>
      <c r="M158">
        <f>IFERROR(VLOOKUP(Fix_Mapping[[#This Row],[KODE BARANG]],[1]!KINONF15[[KDBRG]:[HRG_JLMT_CTN+PPN]],14,0),0)</f>
        <v>0</v>
      </c>
      <c r="N158">
        <f>IFERROR(VLOOKUP(Fix_Mapping[[#This Row],[KODE BARANG]],[1]!KINONF15[[KDBRG]:[HRG_JLMT_CTN+PPN]],15,0),0)</f>
        <v>0</v>
      </c>
      <c r="O158">
        <f>IFERROR(VLOOKUP(Fix_Mapping[[#This Row],[KODE BARANG]],[1]!KINONF15[[KDBRG]:[HRG_JLMT_CTN+PPN]],16,0),0)</f>
        <v>0</v>
      </c>
      <c r="P158">
        <f>IFERROR(VLOOKUP(Fix_Mapping[[#This Row],[KODE BARANG]],[1]!KINONF15[[KDBRG]:[HRG_JLMT_CTN+PPN]],17,0),0)</f>
        <v>0</v>
      </c>
      <c r="Q158">
        <f>IFERROR(VLOOKUP(Fix_Mapping[[#This Row],[KODE BARANG]],[1]!KINONF15[[KDBRG]:[HRG_JLMT_CTN+PPN]],18,0),0)</f>
        <v>0</v>
      </c>
      <c r="R158" t="s">
        <v>2555</v>
      </c>
      <c r="S158" t="s">
        <v>926</v>
      </c>
      <c r="T158">
        <v>106063</v>
      </c>
      <c r="U158">
        <v>0</v>
      </c>
      <c r="V158">
        <v>0</v>
      </c>
      <c r="W158">
        <v>0</v>
      </c>
    </row>
    <row r="159" spans="1:23">
      <c r="A159" t="s">
        <v>1326</v>
      </c>
      <c r="B159" t="s">
        <v>1327</v>
      </c>
      <c r="C159">
        <v>36</v>
      </c>
      <c r="D159">
        <f>IFERROR(VLOOKUP(Fix_Mapping[[#This Row],[KODE BARANG]],[1]!KINONF15[[KDBRG]:[HRG_JLMT_CTN+PPN]],5,0),0)</f>
        <v>0</v>
      </c>
      <c r="E159" t="s">
        <v>2293</v>
      </c>
      <c r="F159">
        <f>IFERROR(VLOOKUP(Fix_Mapping[[#This Row],[KODE BARANG]],[1]!KINONF15[[KDBRG]:[HRG_JLMT_CTN+PPN]],7,0),0)</f>
        <v>0</v>
      </c>
      <c r="G159">
        <f>IFERROR(VLOOKUP(Fix_Mapping[[#This Row],[KODE BARANG]],[1]!KINONF15[[KDBRG]:[HRG_JLMT_CTN+PPN]],8,0),0)</f>
        <v>0</v>
      </c>
      <c r="H159">
        <f>IFERROR(VLOOKUP(Fix_Mapping[[#This Row],[KODE BARANG]],[1]!KINONF15[[KDBRG]:[HRG_JLMT_CTN+PPN]],9,0),0)</f>
        <v>0</v>
      </c>
      <c r="I159">
        <f>IFERROR(VLOOKUP(Fix_Mapping[[#This Row],[KODE BARANG]],[1]!KINONF15[[KDBRG]:[HRG_JLMT_CTN+PPN]],10,0),0)</f>
        <v>0</v>
      </c>
      <c r="J159">
        <f>IFERROR(VLOOKUP(Fix_Mapping[[#This Row],[KODE BARANG]],[1]!KINONF15[[KDBRG]:[HRG_JLMT_CTN+PPN]],11,0),0)</f>
        <v>0</v>
      </c>
      <c r="K159">
        <f>IFERROR(VLOOKUP(Fix_Mapping[[#This Row],[KODE BARANG]],[1]!KINONF15[[KDBRG]:[HRG_JLMT_CTN+PPN]],12,0),0)</f>
        <v>0</v>
      </c>
      <c r="L159">
        <f>IFERROR(VLOOKUP(Fix_Mapping[[#This Row],[KODE BARANG]],[1]!KINONF15[[KDBRG]:[HRG_JLMT_CTN+PPN]],13,0),0)</f>
        <v>0</v>
      </c>
      <c r="M159">
        <f>IFERROR(VLOOKUP(Fix_Mapping[[#This Row],[KODE BARANG]],[1]!KINONF15[[KDBRG]:[HRG_JLMT_CTN+PPN]],14,0),0)</f>
        <v>0</v>
      </c>
      <c r="N159">
        <f>IFERROR(VLOOKUP(Fix_Mapping[[#This Row],[KODE BARANG]],[1]!KINONF15[[KDBRG]:[HRG_JLMT_CTN+PPN]],15,0),0)</f>
        <v>0</v>
      </c>
      <c r="O159">
        <f>IFERROR(VLOOKUP(Fix_Mapping[[#This Row],[KODE BARANG]],[1]!KINONF15[[KDBRG]:[HRG_JLMT_CTN+PPN]],16,0),0)</f>
        <v>0</v>
      </c>
      <c r="P159">
        <f>IFERROR(VLOOKUP(Fix_Mapping[[#This Row],[KODE BARANG]],[1]!KINONF15[[KDBRG]:[HRG_JLMT_CTN+PPN]],17,0),0)</f>
        <v>0</v>
      </c>
      <c r="Q159">
        <f>IFERROR(VLOOKUP(Fix_Mapping[[#This Row],[KODE BARANG]],[1]!KINONF15[[KDBRG]:[HRG_JLMT_CTN+PPN]],18,0),0)</f>
        <v>0</v>
      </c>
      <c r="R159" t="s">
        <v>2555</v>
      </c>
      <c r="S159" t="s">
        <v>927</v>
      </c>
      <c r="T159">
        <v>106062</v>
      </c>
      <c r="U159">
        <v>0</v>
      </c>
      <c r="V159">
        <v>0</v>
      </c>
      <c r="W159">
        <v>0</v>
      </c>
    </row>
    <row r="160" spans="1:23">
      <c r="A160" t="s">
        <v>1328</v>
      </c>
      <c r="B160" t="s">
        <v>1329</v>
      </c>
      <c r="C160">
        <v>36</v>
      </c>
      <c r="D160">
        <f>IFERROR(VLOOKUP(Fix_Mapping[[#This Row],[KODE BARANG]],[1]!KINONF15[[KDBRG]:[HRG_JLMT_CTN+PPN]],5,0),0)</f>
        <v>0</v>
      </c>
      <c r="E160" t="s">
        <v>2293</v>
      </c>
      <c r="F160">
        <f>IFERROR(VLOOKUP(Fix_Mapping[[#This Row],[KODE BARANG]],[1]!KINONF15[[KDBRG]:[HRG_JLMT_CTN+PPN]],7,0),0)</f>
        <v>0</v>
      </c>
      <c r="G160">
        <f>IFERROR(VLOOKUP(Fix_Mapping[[#This Row],[KODE BARANG]],[1]!KINONF15[[KDBRG]:[HRG_JLMT_CTN+PPN]],8,0),0)</f>
        <v>0</v>
      </c>
      <c r="H160">
        <f>IFERROR(VLOOKUP(Fix_Mapping[[#This Row],[KODE BARANG]],[1]!KINONF15[[KDBRG]:[HRG_JLMT_CTN+PPN]],9,0),0)</f>
        <v>0</v>
      </c>
      <c r="I160">
        <f>IFERROR(VLOOKUP(Fix_Mapping[[#This Row],[KODE BARANG]],[1]!KINONF15[[KDBRG]:[HRG_JLMT_CTN+PPN]],10,0),0)</f>
        <v>0</v>
      </c>
      <c r="J160">
        <f>IFERROR(VLOOKUP(Fix_Mapping[[#This Row],[KODE BARANG]],[1]!KINONF15[[KDBRG]:[HRG_JLMT_CTN+PPN]],11,0),0)</f>
        <v>0</v>
      </c>
      <c r="K160">
        <f>IFERROR(VLOOKUP(Fix_Mapping[[#This Row],[KODE BARANG]],[1]!KINONF15[[KDBRG]:[HRG_JLMT_CTN+PPN]],12,0),0)</f>
        <v>0</v>
      </c>
      <c r="L160">
        <f>IFERROR(VLOOKUP(Fix_Mapping[[#This Row],[KODE BARANG]],[1]!KINONF15[[KDBRG]:[HRG_JLMT_CTN+PPN]],13,0),0)</f>
        <v>0</v>
      </c>
      <c r="M160">
        <f>IFERROR(VLOOKUP(Fix_Mapping[[#This Row],[KODE BARANG]],[1]!KINONF15[[KDBRG]:[HRG_JLMT_CTN+PPN]],14,0),0)</f>
        <v>0</v>
      </c>
      <c r="N160">
        <f>IFERROR(VLOOKUP(Fix_Mapping[[#This Row],[KODE BARANG]],[1]!KINONF15[[KDBRG]:[HRG_JLMT_CTN+PPN]],15,0),0)</f>
        <v>0</v>
      </c>
      <c r="O160">
        <f>IFERROR(VLOOKUP(Fix_Mapping[[#This Row],[KODE BARANG]],[1]!KINONF15[[KDBRG]:[HRG_JLMT_CTN+PPN]],16,0),0)</f>
        <v>0</v>
      </c>
      <c r="P160">
        <f>IFERROR(VLOOKUP(Fix_Mapping[[#This Row],[KODE BARANG]],[1]!KINONF15[[KDBRG]:[HRG_JLMT_CTN+PPN]],17,0),0)</f>
        <v>0</v>
      </c>
      <c r="Q160">
        <f>IFERROR(VLOOKUP(Fix_Mapping[[#This Row],[KODE BARANG]],[1]!KINONF15[[KDBRG]:[HRG_JLMT_CTN+PPN]],18,0),0)</f>
        <v>0</v>
      </c>
      <c r="R160" t="s">
        <v>2555</v>
      </c>
      <c r="S160" t="s">
        <v>932</v>
      </c>
      <c r="T160">
        <v>106061</v>
      </c>
      <c r="U160">
        <v>0</v>
      </c>
      <c r="V160">
        <v>0</v>
      </c>
      <c r="W160">
        <v>0</v>
      </c>
    </row>
    <row r="161" spans="1:23">
      <c r="A161" t="s">
        <v>1330</v>
      </c>
      <c r="B161" t="s">
        <v>1331</v>
      </c>
      <c r="C161">
        <v>36</v>
      </c>
      <c r="D161">
        <f>IFERROR(VLOOKUP(Fix_Mapping[[#This Row],[KODE BARANG]],[1]!KINONF15[[KDBRG]:[HRG_JLMT_CTN+PPN]],5,0),0)</f>
        <v>0</v>
      </c>
      <c r="E161" t="s">
        <v>2293</v>
      </c>
      <c r="F161">
        <f>IFERROR(VLOOKUP(Fix_Mapping[[#This Row],[KODE BARANG]],[1]!KINONF15[[KDBRG]:[HRG_JLMT_CTN+PPN]],7,0),0)</f>
        <v>0</v>
      </c>
      <c r="G161">
        <f>IFERROR(VLOOKUP(Fix_Mapping[[#This Row],[KODE BARANG]],[1]!KINONF15[[KDBRG]:[HRG_JLMT_CTN+PPN]],8,0),0)</f>
        <v>0</v>
      </c>
      <c r="H161">
        <f>IFERROR(VLOOKUP(Fix_Mapping[[#This Row],[KODE BARANG]],[1]!KINONF15[[KDBRG]:[HRG_JLMT_CTN+PPN]],9,0),0)</f>
        <v>0</v>
      </c>
      <c r="I161">
        <f>IFERROR(VLOOKUP(Fix_Mapping[[#This Row],[KODE BARANG]],[1]!KINONF15[[KDBRG]:[HRG_JLMT_CTN+PPN]],10,0),0)</f>
        <v>0</v>
      </c>
      <c r="J161">
        <f>IFERROR(VLOOKUP(Fix_Mapping[[#This Row],[KODE BARANG]],[1]!KINONF15[[KDBRG]:[HRG_JLMT_CTN+PPN]],11,0),0)</f>
        <v>0</v>
      </c>
      <c r="K161">
        <f>IFERROR(VLOOKUP(Fix_Mapping[[#This Row],[KODE BARANG]],[1]!KINONF15[[KDBRG]:[HRG_JLMT_CTN+PPN]],12,0),0)</f>
        <v>0</v>
      </c>
      <c r="L161">
        <f>IFERROR(VLOOKUP(Fix_Mapping[[#This Row],[KODE BARANG]],[1]!KINONF15[[KDBRG]:[HRG_JLMT_CTN+PPN]],13,0),0)</f>
        <v>0</v>
      </c>
      <c r="M161">
        <f>IFERROR(VLOOKUP(Fix_Mapping[[#This Row],[KODE BARANG]],[1]!KINONF15[[KDBRG]:[HRG_JLMT_CTN+PPN]],14,0),0)</f>
        <v>0</v>
      </c>
      <c r="N161">
        <f>IFERROR(VLOOKUP(Fix_Mapping[[#This Row],[KODE BARANG]],[1]!KINONF15[[KDBRG]:[HRG_JLMT_CTN+PPN]],15,0),0)</f>
        <v>0</v>
      </c>
      <c r="O161">
        <f>IFERROR(VLOOKUP(Fix_Mapping[[#This Row],[KODE BARANG]],[1]!KINONF15[[KDBRG]:[HRG_JLMT_CTN+PPN]],16,0),0)</f>
        <v>0</v>
      </c>
      <c r="P161">
        <f>IFERROR(VLOOKUP(Fix_Mapping[[#This Row],[KODE BARANG]],[1]!KINONF15[[KDBRG]:[HRG_JLMT_CTN+PPN]],17,0),0)</f>
        <v>0</v>
      </c>
      <c r="Q161">
        <f>IFERROR(VLOOKUP(Fix_Mapping[[#This Row],[KODE BARANG]],[1]!KINONF15[[KDBRG]:[HRG_JLMT_CTN+PPN]],18,0),0)</f>
        <v>0</v>
      </c>
      <c r="R161" t="s">
        <v>2555</v>
      </c>
      <c r="S161" t="s">
        <v>933</v>
      </c>
      <c r="T161">
        <v>106060</v>
      </c>
      <c r="U161">
        <v>0</v>
      </c>
      <c r="V161">
        <v>0</v>
      </c>
      <c r="W161">
        <v>0</v>
      </c>
    </row>
    <row r="162" spans="1:23">
      <c r="A162" t="s">
        <v>1332</v>
      </c>
      <c r="B162" t="s">
        <v>1333</v>
      </c>
      <c r="C162">
        <v>36</v>
      </c>
      <c r="D162">
        <f>IFERROR(VLOOKUP(Fix_Mapping[[#This Row],[KODE BARANG]],[1]!KINONF15[[KDBRG]:[HRG_JLMT_CTN+PPN]],5,0),0)</f>
        <v>0</v>
      </c>
      <c r="E162" t="s">
        <v>2293</v>
      </c>
      <c r="F162">
        <f>IFERROR(VLOOKUP(Fix_Mapping[[#This Row],[KODE BARANG]],[1]!KINONF15[[KDBRG]:[HRG_JLMT_CTN+PPN]],7,0),0)</f>
        <v>0</v>
      </c>
      <c r="G162">
        <f>IFERROR(VLOOKUP(Fix_Mapping[[#This Row],[KODE BARANG]],[1]!KINONF15[[KDBRG]:[HRG_JLMT_CTN+PPN]],8,0),0)</f>
        <v>0</v>
      </c>
      <c r="H162">
        <f>IFERROR(VLOOKUP(Fix_Mapping[[#This Row],[KODE BARANG]],[1]!KINONF15[[KDBRG]:[HRG_JLMT_CTN+PPN]],9,0),0)</f>
        <v>0</v>
      </c>
      <c r="I162">
        <f>IFERROR(VLOOKUP(Fix_Mapping[[#This Row],[KODE BARANG]],[1]!KINONF15[[KDBRG]:[HRG_JLMT_CTN+PPN]],10,0),0)</f>
        <v>0</v>
      </c>
      <c r="J162">
        <f>IFERROR(VLOOKUP(Fix_Mapping[[#This Row],[KODE BARANG]],[1]!KINONF15[[KDBRG]:[HRG_JLMT_CTN+PPN]],11,0),0)</f>
        <v>0</v>
      </c>
      <c r="K162">
        <f>IFERROR(VLOOKUP(Fix_Mapping[[#This Row],[KODE BARANG]],[1]!KINONF15[[KDBRG]:[HRG_JLMT_CTN+PPN]],12,0),0)</f>
        <v>0</v>
      </c>
      <c r="L162">
        <f>IFERROR(VLOOKUP(Fix_Mapping[[#This Row],[KODE BARANG]],[1]!KINONF15[[KDBRG]:[HRG_JLMT_CTN+PPN]],13,0),0)</f>
        <v>0</v>
      </c>
      <c r="M162">
        <f>IFERROR(VLOOKUP(Fix_Mapping[[#This Row],[KODE BARANG]],[1]!KINONF15[[KDBRG]:[HRG_JLMT_CTN+PPN]],14,0),0)</f>
        <v>0</v>
      </c>
      <c r="N162">
        <f>IFERROR(VLOOKUP(Fix_Mapping[[#This Row],[KODE BARANG]],[1]!KINONF15[[KDBRG]:[HRG_JLMT_CTN+PPN]],15,0),0)</f>
        <v>0</v>
      </c>
      <c r="O162">
        <f>IFERROR(VLOOKUP(Fix_Mapping[[#This Row],[KODE BARANG]],[1]!KINONF15[[KDBRG]:[HRG_JLMT_CTN+PPN]],16,0),0)</f>
        <v>0</v>
      </c>
      <c r="P162">
        <f>IFERROR(VLOOKUP(Fix_Mapping[[#This Row],[KODE BARANG]],[1]!KINONF15[[KDBRG]:[HRG_JLMT_CTN+PPN]],17,0),0)</f>
        <v>0</v>
      </c>
      <c r="Q162">
        <f>IFERROR(VLOOKUP(Fix_Mapping[[#This Row],[KODE BARANG]],[1]!KINONF15[[KDBRG]:[HRG_JLMT_CTN+PPN]],18,0),0)</f>
        <v>0</v>
      </c>
      <c r="R162" t="s">
        <v>2555</v>
      </c>
      <c r="S162" t="s">
        <v>934</v>
      </c>
      <c r="T162">
        <v>106065</v>
      </c>
      <c r="U162">
        <v>0</v>
      </c>
      <c r="V162">
        <v>0</v>
      </c>
      <c r="W162">
        <v>0</v>
      </c>
    </row>
    <row r="163" spans="1:23">
      <c r="A163" t="s">
        <v>1334</v>
      </c>
      <c r="B163" t="s">
        <v>1335</v>
      </c>
      <c r="C163">
        <v>36</v>
      </c>
      <c r="D163">
        <f>IFERROR(VLOOKUP(Fix_Mapping[[#This Row],[KODE BARANG]],[1]!KINONF15[[KDBRG]:[HRG_JLMT_CTN+PPN]],5,0),0)</f>
        <v>0</v>
      </c>
      <c r="E163" t="s">
        <v>2293</v>
      </c>
      <c r="F163">
        <f>IFERROR(VLOOKUP(Fix_Mapping[[#This Row],[KODE BARANG]],[1]!KINONF15[[KDBRG]:[HRG_JLMT_CTN+PPN]],7,0),0)</f>
        <v>0</v>
      </c>
      <c r="G163">
        <f>IFERROR(VLOOKUP(Fix_Mapping[[#This Row],[KODE BARANG]],[1]!KINONF15[[KDBRG]:[HRG_JLMT_CTN+PPN]],8,0),0)</f>
        <v>0</v>
      </c>
      <c r="H163">
        <f>IFERROR(VLOOKUP(Fix_Mapping[[#This Row],[KODE BARANG]],[1]!KINONF15[[KDBRG]:[HRG_JLMT_CTN+PPN]],9,0),0)</f>
        <v>0</v>
      </c>
      <c r="I163">
        <f>IFERROR(VLOOKUP(Fix_Mapping[[#This Row],[KODE BARANG]],[1]!KINONF15[[KDBRG]:[HRG_JLMT_CTN+PPN]],10,0),0)</f>
        <v>0</v>
      </c>
      <c r="J163">
        <f>IFERROR(VLOOKUP(Fix_Mapping[[#This Row],[KODE BARANG]],[1]!KINONF15[[KDBRG]:[HRG_JLMT_CTN+PPN]],11,0),0)</f>
        <v>0</v>
      </c>
      <c r="K163">
        <f>IFERROR(VLOOKUP(Fix_Mapping[[#This Row],[KODE BARANG]],[1]!KINONF15[[KDBRG]:[HRG_JLMT_CTN+PPN]],12,0),0)</f>
        <v>0</v>
      </c>
      <c r="L163">
        <f>IFERROR(VLOOKUP(Fix_Mapping[[#This Row],[KODE BARANG]],[1]!KINONF15[[KDBRG]:[HRG_JLMT_CTN+PPN]],13,0),0)</f>
        <v>0</v>
      </c>
      <c r="M163">
        <f>IFERROR(VLOOKUP(Fix_Mapping[[#This Row],[KODE BARANG]],[1]!KINONF15[[KDBRG]:[HRG_JLMT_CTN+PPN]],14,0),0)</f>
        <v>0</v>
      </c>
      <c r="N163">
        <f>IFERROR(VLOOKUP(Fix_Mapping[[#This Row],[KODE BARANG]],[1]!KINONF15[[KDBRG]:[HRG_JLMT_CTN+PPN]],15,0),0)</f>
        <v>0</v>
      </c>
      <c r="O163">
        <f>IFERROR(VLOOKUP(Fix_Mapping[[#This Row],[KODE BARANG]],[1]!KINONF15[[KDBRG]:[HRG_JLMT_CTN+PPN]],16,0),0)</f>
        <v>0</v>
      </c>
      <c r="P163">
        <f>IFERROR(VLOOKUP(Fix_Mapping[[#This Row],[KODE BARANG]],[1]!KINONF15[[KDBRG]:[HRG_JLMT_CTN+PPN]],17,0),0)</f>
        <v>0</v>
      </c>
      <c r="Q163">
        <f>IFERROR(VLOOKUP(Fix_Mapping[[#This Row],[KODE BARANG]],[1]!KINONF15[[KDBRG]:[HRG_JLMT_CTN+PPN]],18,0),0)</f>
        <v>0</v>
      </c>
      <c r="R163" t="s">
        <v>2555</v>
      </c>
      <c r="S163" t="s">
        <v>935</v>
      </c>
      <c r="T163">
        <v>106064</v>
      </c>
      <c r="U163">
        <v>0</v>
      </c>
      <c r="V163">
        <v>0</v>
      </c>
      <c r="W163">
        <v>0</v>
      </c>
    </row>
    <row r="164" spans="1:23">
      <c r="A164" t="s">
        <v>1336</v>
      </c>
      <c r="B164" t="s">
        <v>1337</v>
      </c>
      <c r="C164">
        <v>36</v>
      </c>
      <c r="D164">
        <f>IFERROR(VLOOKUP(Fix_Mapping[[#This Row],[KODE BARANG]],[1]!KINONF15[[KDBRG]:[HRG_JLMT_CTN+PPN]],5,0),0)</f>
        <v>0</v>
      </c>
      <c r="E164" t="s">
        <v>2293</v>
      </c>
      <c r="F164">
        <f>IFERROR(VLOOKUP(Fix_Mapping[[#This Row],[KODE BARANG]],[1]!KINONF15[[KDBRG]:[HRG_JLMT_CTN+PPN]],7,0),0)</f>
        <v>0</v>
      </c>
      <c r="G164">
        <f>IFERROR(VLOOKUP(Fix_Mapping[[#This Row],[KODE BARANG]],[1]!KINONF15[[KDBRG]:[HRG_JLMT_CTN+PPN]],8,0),0)</f>
        <v>0</v>
      </c>
      <c r="H164">
        <f>IFERROR(VLOOKUP(Fix_Mapping[[#This Row],[KODE BARANG]],[1]!KINONF15[[KDBRG]:[HRG_JLMT_CTN+PPN]],9,0),0)</f>
        <v>0</v>
      </c>
      <c r="I164">
        <f>IFERROR(VLOOKUP(Fix_Mapping[[#This Row],[KODE BARANG]],[1]!KINONF15[[KDBRG]:[HRG_JLMT_CTN+PPN]],10,0),0)</f>
        <v>0</v>
      </c>
      <c r="J164">
        <f>IFERROR(VLOOKUP(Fix_Mapping[[#This Row],[KODE BARANG]],[1]!KINONF15[[KDBRG]:[HRG_JLMT_CTN+PPN]],11,0),0)</f>
        <v>0</v>
      </c>
      <c r="K164">
        <f>IFERROR(VLOOKUP(Fix_Mapping[[#This Row],[KODE BARANG]],[1]!KINONF15[[KDBRG]:[HRG_JLMT_CTN+PPN]],12,0),0)</f>
        <v>0</v>
      </c>
      <c r="L164">
        <f>IFERROR(VLOOKUP(Fix_Mapping[[#This Row],[KODE BARANG]],[1]!KINONF15[[KDBRG]:[HRG_JLMT_CTN+PPN]],13,0),0)</f>
        <v>0</v>
      </c>
      <c r="M164">
        <f>IFERROR(VLOOKUP(Fix_Mapping[[#This Row],[KODE BARANG]],[1]!KINONF15[[KDBRG]:[HRG_JLMT_CTN+PPN]],14,0),0)</f>
        <v>0</v>
      </c>
      <c r="N164">
        <f>IFERROR(VLOOKUP(Fix_Mapping[[#This Row],[KODE BARANG]],[1]!KINONF15[[KDBRG]:[HRG_JLMT_CTN+PPN]],15,0),0)</f>
        <v>0</v>
      </c>
      <c r="O164">
        <f>IFERROR(VLOOKUP(Fix_Mapping[[#This Row],[KODE BARANG]],[1]!KINONF15[[KDBRG]:[HRG_JLMT_CTN+PPN]],16,0),0)</f>
        <v>0</v>
      </c>
      <c r="P164">
        <f>IFERROR(VLOOKUP(Fix_Mapping[[#This Row],[KODE BARANG]],[1]!KINONF15[[KDBRG]:[HRG_JLMT_CTN+PPN]],17,0),0)</f>
        <v>0</v>
      </c>
      <c r="Q164">
        <f>IFERROR(VLOOKUP(Fix_Mapping[[#This Row],[KODE BARANG]],[1]!KINONF15[[KDBRG]:[HRG_JLMT_CTN+PPN]],18,0),0)</f>
        <v>0</v>
      </c>
      <c r="R164" t="s">
        <v>2555</v>
      </c>
      <c r="S164" t="s">
        <v>930</v>
      </c>
      <c r="T164">
        <v>106055</v>
      </c>
      <c r="U164">
        <v>0</v>
      </c>
      <c r="V164">
        <v>0</v>
      </c>
      <c r="W164">
        <v>0</v>
      </c>
    </row>
    <row r="165" spans="1:23">
      <c r="A165" t="s">
        <v>1338</v>
      </c>
      <c r="B165" t="s">
        <v>1339</v>
      </c>
      <c r="C165">
        <v>36</v>
      </c>
      <c r="D165">
        <f>IFERROR(VLOOKUP(Fix_Mapping[[#This Row],[KODE BARANG]],[1]!KINONF15[[KDBRG]:[HRG_JLMT_CTN+PPN]],5,0),0)</f>
        <v>0</v>
      </c>
      <c r="E165" t="s">
        <v>2293</v>
      </c>
      <c r="F165">
        <f>IFERROR(VLOOKUP(Fix_Mapping[[#This Row],[KODE BARANG]],[1]!KINONF15[[KDBRG]:[HRG_JLMT_CTN+PPN]],7,0),0)</f>
        <v>0</v>
      </c>
      <c r="G165">
        <f>IFERROR(VLOOKUP(Fix_Mapping[[#This Row],[KODE BARANG]],[1]!KINONF15[[KDBRG]:[HRG_JLMT_CTN+PPN]],8,0),0)</f>
        <v>0</v>
      </c>
      <c r="H165">
        <f>IFERROR(VLOOKUP(Fix_Mapping[[#This Row],[KODE BARANG]],[1]!KINONF15[[KDBRG]:[HRG_JLMT_CTN+PPN]],9,0),0)</f>
        <v>0</v>
      </c>
      <c r="I165">
        <f>IFERROR(VLOOKUP(Fix_Mapping[[#This Row],[KODE BARANG]],[1]!KINONF15[[KDBRG]:[HRG_JLMT_CTN+PPN]],10,0),0)</f>
        <v>0</v>
      </c>
      <c r="J165">
        <f>IFERROR(VLOOKUP(Fix_Mapping[[#This Row],[KODE BARANG]],[1]!KINONF15[[KDBRG]:[HRG_JLMT_CTN+PPN]],11,0),0)</f>
        <v>0</v>
      </c>
      <c r="K165">
        <f>IFERROR(VLOOKUP(Fix_Mapping[[#This Row],[KODE BARANG]],[1]!KINONF15[[KDBRG]:[HRG_JLMT_CTN+PPN]],12,0),0)</f>
        <v>0</v>
      </c>
      <c r="L165">
        <f>IFERROR(VLOOKUP(Fix_Mapping[[#This Row],[KODE BARANG]],[1]!KINONF15[[KDBRG]:[HRG_JLMT_CTN+PPN]],13,0),0)</f>
        <v>0</v>
      </c>
      <c r="M165">
        <f>IFERROR(VLOOKUP(Fix_Mapping[[#This Row],[KODE BARANG]],[1]!KINONF15[[KDBRG]:[HRG_JLMT_CTN+PPN]],14,0),0)</f>
        <v>0</v>
      </c>
      <c r="N165">
        <f>IFERROR(VLOOKUP(Fix_Mapping[[#This Row],[KODE BARANG]],[1]!KINONF15[[KDBRG]:[HRG_JLMT_CTN+PPN]],15,0),0)</f>
        <v>0</v>
      </c>
      <c r="O165">
        <f>IFERROR(VLOOKUP(Fix_Mapping[[#This Row],[KODE BARANG]],[1]!KINONF15[[KDBRG]:[HRG_JLMT_CTN+PPN]],16,0),0)</f>
        <v>0</v>
      </c>
      <c r="P165">
        <f>IFERROR(VLOOKUP(Fix_Mapping[[#This Row],[KODE BARANG]],[1]!KINONF15[[KDBRG]:[HRG_JLMT_CTN+PPN]],17,0),0)</f>
        <v>0</v>
      </c>
      <c r="Q165">
        <f>IFERROR(VLOOKUP(Fix_Mapping[[#This Row],[KODE BARANG]],[1]!KINONF15[[KDBRG]:[HRG_JLMT_CTN+PPN]],18,0),0)</f>
        <v>0</v>
      </c>
      <c r="R165" t="s">
        <v>2555</v>
      </c>
      <c r="S165" t="s">
        <v>931</v>
      </c>
      <c r="T165">
        <v>106054</v>
      </c>
      <c r="U165">
        <v>0</v>
      </c>
      <c r="V165">
        <v>0</v>
      </c>
      <c r="W165">
        <v>0</v>
      </c>
    </row>
    <row r="166" spans="1:23">
      <c r="A166" t="s">
        <v>1340</v>
      </c>
      <c r="B166" t="s">
        <v>1341</v>
      </c>
      <c r="C166">
        <v>24</v>
      </c>
      <c r="D166">
        <f>IFERROR(VLOOKUP(Fix_Mapping[[#This Row],[KODE BARANG]],[1]!KINONF15[[KDBRG]:[HRG_JLMT_CTN+PPN]],5,0),0)</f>
        <v>0</v>
      </c>
      <c r="E166" t="s">
        <v>2339</v>
      </c>
      <c r="F166">
        <f>IFERROR(VLOOKUP(Fix_Mapping[[#This Row],[KODE BARANG]],[1]!KINONF15[[KDBRG]:[HRG_JLMT_CTN+PPN]],7,0),0)</f>
        <v>0</v>
      </c>
      <c r="G166">
        <f>IFERROR(VLOOKUP(Fix_Mapping[[#This Row],[KODE BARANG]],[1]!KINONF15[[KDBRG]:[HRG_JLMT_CTN+PPN]],8,0),0)</f>
        <v>0</v>
      </c>
      <c r="H166">
        <f>IFERROR(VLOOKUP(Fix_Mapping[[#This Row],[KODE BARANG]],[1]!KINONF15[[KDBRG]:[HRG_JLMT_CTN+PPN]],9,0),0)</f>
        <v>0</v>
      </c>
      <c r="I166">
        <f>IFERROR(VLOOKUP(Fix_Mapping[[#This Row],[KODE BARANG]],[1]!KINONF15[[KDBRG]:[HRG_JLMT_CTN+PPN]],10,0),0)</f>
        <v>0</v>
      </c>
      <c r="J166">
        <f>IFERROR(VLOOKUP(Fix_Mapping[[#This Row],[KODE BARANG]],[1]!KINONF15[[KDBRG]:[HRG_JLMT_CTN+PPN]],11,0),0)</f>
        <v>0</v>
      </c>
      <c r="K166">
        <f>IFERROR(VLOOKUP(Fix_Mapping[[#This Row],[KODE BARANG]],[1]!KINONF15[[KDBRG]:[HRG_JLMT_CTN+PPN]],12,0),0)</f>
        <v>0</v>
      </c>
      <c r="L166">
        <f>IFERROR(VLOOKUP(Fix_Mapping[[#This Row],[KODE BARANG]],[1]!KINONF15[[KDBRG]:[HRG_JLMT_CTN+PPN]],13,0),0)</f>
        <v>0</v>
      </c>
      <c r="M166">
        <f>IFERROR(VLOOKUP(Fix_Mapping[[#This Row],[KODE BARANG]],[1]!KINONF15[[KDBRG]:[HRG_JLMT_CTN+PPN]],14,0),0)</f>
        <v>0</v>
      </c>
      <c r="N166">
        <f>IFERROR(VLOOKUP(Fix_Mapping[[#This Row],[KODE BARANG]],[1]!KINONF15[[KDBRG]:[HRG_JLMT_CTN+PPN]],15,0),0)</f>
        <v>0</v>
      </c>
      <c r="O166">
        <f>IFERROR(VLOOKUP(Fix_Mapping[[#This Row],[KODE BARANG]],[1]!KINONF15[[KDBRG]:[HRG_JLMT_CTN+PPN]],16,0),0)</f>
        <v>0</v>
      </c>
      <c r="P166">
        <f>IFERROR(VLOOKUP(Fix_Mapping[[#This Row],[KODE BARANG]],[1]!KINONF15[[KDBRG]:[HRG_JLMT_CTN+PPN]],17,0),0)</f>
        <v>0</v>
      </c>
      <c r="Q166">
        <f>IFERROR(VLOOKUP(Fix_Mapping[[#This Row],[KODE BARANG]],[1]!KINONF15[[KDBRG]:[HRG_JLMT_CTN+PPN]],18,0),0)</f>
        <v>0</v>
      </c>
      <c r="R166" t="s">
        <v>2555</v>
      </c>
      <c r="S166" t="s">
        <v>975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1342</v>
      </c>
      <c r="B167" t="s">
        <v>1343</v>
      </c>
      <c r="C167">
        <v>24</v>
      </c>
      <c r="D167">
        <f>IFERROR(VLOOKUP(Fix_Mapping[[#This Row],[KODE BARANG]],[1]!KINONF15[[KDBRG]:[HRG_JLMT_CTN+PPN]],5,0),0)</f>
        <v>0</v>
      </c>
      <c r="E167" t="s">
        <v>2339</v>
      </c>
      <c r="F167">
        <f>IFERROR(VLOOKUP(Fix_Mapping[[#This Row],[KODE BARANG]],[1]!KINONF15[[KDBRG]:[HRG_JLMT_CTN+PPN]],7,0),0)</f>
        <v>0</v>
      </c>
      <c r="G167">
        <f>IFERROR(VLOOKUP(Fix_Mapping[[#This Row],[KODE BARANG]],[1]!KINONF15[[KDBRG]:[HRG_JLMT_CTN+PPN]],8,0),0)</f>
        <v>0</v>
      </c>
      <c r="H167">
        <f>IFERROR(VLOOKUP(Fix_Mapping[[#This Row],[KODE BARANG]],[1]!KINONF15[[KDBRG]:[HRG_JLMT_CTN+PPN]],9,0),0)</f>
        <v>0</v>
      </c>
      <c r="I167">
        <f>IFERROR(VLOOKUP(Fix_Mapping[[#This Row],[KODE BARANG]],[1]!KINONF15[[KDBRG]:[HRG_JLMT_CTN+PPN]],10,0),0)</f>
        <v>0</v>
      </c>
      <c r="J167">
        <f>IFERROR(VLOOKUP(Fix_Mapping[[#This Row],[KODE BARANG]],[1]!KINONF15[[KDBRG]:[HRG_JLMT_CTN+PPN]],11,0),0)</f>
        <v>0</v>
      </c>
      <c r="K167">
        <f>IFERROR(VLOOKUP(Fix_Mapping[[#This Row],[KODE BARANG]],[1]!KINONF15[[KDBRG]:[HRG_JLMT_CTN+PPN]],12,0),0)</f>
        <v>0</v>
      </c>
      <c r="L167">
        <f>IFERROR(VLOOKUP(Fix_Mapping[[#This Row],[KODE BARANG]],[1]!KINONF15[[KDBRG]:[HRG_JLMT_CTN+PPN]],13,0),0)</f>
        <v>0</v>
      </c>
      <c r="M167">
        <f>IFERROR(VLOOKUP(Fix_Mapping[[#This Row],[KODE BARANG]],[1]!KINONF15[[KDBRG]:[HRG_JLMT_CTN+PPN]],14,0),0)</f>
        <v>0</v>
      </c>
      <c r="N167">
        <f>IFERROR(VLOOKUP(Fix_Mapping[[#This Row],[KODE BARANG]],[1]!KINONF15[[KDBRG]:[HRG_JLMT_CTN+PPN]],15,0),0)</f>
        <v>0</v>
      </c>
      <c r="O167">
        <f>IFERROR(VLOOKUP(Fix_Mapping[[#This Row],[KODE BARANG]],[1]!KINONF15[[KDBRG]:[HRG_JLMT_CTN+PPN]],16,0),0)</f>
        <v>0</v>
      </c>
      <c r="P167">
        <f>IFERROR(VLOOKUP(Fix_Mapping[[#This Row],[KODE BARANG]],[1]!KINONF15[[KDBRG]:[HRG_JLMT_CTN+PPN]],17,0),0)</f>
        <v>0</v>
      </c>
      <c r="Q167">
        <f>IFERROR(VLOOKUP(Fix_Mapping[[#This Row],[KODE BARANG]],[1]!KINONF15[[KDBRG]:[HRG_JLMT_CTN+PPN]],18,0),0)</f>
        <v>0</v>
      </c>
      <c r="R167" t="s">
        <v>2555</v>
      </c>
      <c r="S167" t="s">
        <v>976</v>
      </c>
      <c r="T167">
        <v>0</v>
      </c>
      <c r="U167">
        <v>0</v>
      </c>
      <c r="V167">
        <v>0</v>
      </c>
      <c r="W167">
        <v>0</v>
      </c>
    </row>
    <row r="168" spans="1:23" s="50" customFormat="1">
      <c r="A168" s="50" t="s">
        <v>3458</v>
      </c>
      <c r="B168" s="50" t="s">
        <v>3460</v>
      </c>
      <c r="C168" s="50">
        <v>36</v>
      </c>
      <c r="D168" s="50">
        <f>IFERROR(VLOOKUP(Fix_Mapping[[#This Row],[KODE BARANG]],[1]!KINONF15[[KDBRG]:[HRG_JLMT_CTN+PPN]],5,0),0)</f>
        <v>0</v>
      </c>
      <c r="E168" t="s">
        <v>2339</v>
      </c>
      <c r="F168" s="50">
        <f>IFERROR(VLOOKUP(Fix_Mapping[[#This Row],[KODE BARANG]],[1]!KINONF15[[KDBRG]:[HRG_JLMT_CTN+PPN]],7,0),0)</f>
        <v>0</v>
      </c>
      <c r="G168" s="50">
        <f>IFERROR(VLOOKUP(Fix_Mapping[[#This Row],[KODE BARANG]],[1]!KINONF15[[KDBRG]:[HRG_JLMT_CTN+PPN]],8,0),0)</f>
        <v>0</v>
      </c>
      <c r="H168" s="50">
        <f>IFERROR(VLOOKUP(Fix_Mapping[[#This Row],[KODE BARANG]],[1]!KINONF15[[KDBRG]:[HRG_JLMT_CTN+PPN]],9,0),0)</f>
        <v>0</v>
      </c>
      <c r="I168" s="50">
        <f>IFERROR(VLOOKUP(Fix_Mapping[[#This Row],[KODE BARANG]],[1]!KINONF15[[KDBRG]:[HRG_JLMT_CTN+PPN]],10,0),0)</f>
        <v>0</v>
      </c>
      <c r="J168" s="50">
        <f>IFERROR(VLOOKUP(Fix_Mapping[[#This Row],[KODE BARANG]],[1]!KINONF15[[KDBRG]:[HRG_JLMT_CTN+PPN]],11,0),0)</f>
        <v>0</v>
      </c>
      <c r="K168" s="50">
        <f>IFERROR(VLOOKUP(Fix_Mapping[[#This Row],[KODE BARANG]],[1]!KINONF15[[KDBRG]:[HRG_JLMT_CTN+PPN]],12,0),0)</f>
        <v>0</v>
      </c>
      <c r="L168" s="50">
        <f>IFERROR(VLOOKUP(Fix_Mapping[[#This Row],[KODE BARANG]],[1]!KINONF15[[KDBRG]:[HRG_JLMT_CTN+PPN]],13,0),0)</f>
        <v>0</v>
      </c>
      <c r="M168" s="50">
        <f>IFERROR(VLOOKUP(Fix_Mapping[[#This Row],[KODE BARANG]],[1]!KINONF15[[KDBRG]:[HRG_JLMT_CTN+PPN]],14,0),0)</f>
        <v>0</v>
      </c>
      <c r="N168" s="50">
        <f>IFERROR(VLOOKUP(Fix_Mapping[[#This Row],[KODE BARANG]],[1]!KINONF15[[KDBRG]:[HRG_JLMT_CTN+PPN]],15,0),0)</f>
        <v>0</v>
      </c>
      <c r="O168" s="50">
        <f>IFERROR(VLOOKUP(Fix_Mapping[[#This Row],[KODE BARANG]],[1]!KINONF15[[KDBRG]:[HRG_JLMT_CTN+PPN]],16,0),0)</f>
        <v>0</v>
      </c>
      <c r="P168" s="50">
        <f>IFERROR(VLOOKUP(Fix_Mapping[[#This Row],[KODE BARANG]],[1]!KINONF15[[KDBRG]:[HRG_JLMT_CTN+PPN]],17,0),0)</f>
        <v>0</v>
      </c>
      <c r="Q168" s="50">
        <f>IFERROR(VLOOKUP(Fix_Mapping[[#This Row],[KODE BARANG]],[1]!KINONF15[[KDBRG]:[HRG_JLMT_CTN+PPN]],18,0),0)</f>
        <v>0</v>
      </c>
      <c r="R168" t="s">
        <v>2555</v>
      </c>
      <c r="S168" s="50">
        <v>106069</v>
      </c>
      <c r="T168" s="50">
        <v>0</v>
      </c>
      <c r="U168" s="50">
        <v>0</v>
      </c>
      <c r="V168" s="50">
        <v>0</v>
      </c>
      <c r="W168" s="50">
        <v>0</v>
      </c>
    </row>
    <row r="169" spans="1:23" s="50" customFormat="1">
      <c r="A169" s="50" t="s">
        <v>3459</v>
      </c>
      <c r="B169" s="50" t="s">
        <v>3461</v>
      </c>
      <c r="C169" s="50">
        <v>36</v>
      </c>
      <c r="D169" s="50">
        <f>IFERROR(VLOOKUP(Fix_Mapping[[#This Row],[KODE BARANG]],[1]!KINONF15[[KDBRG]:[HRG_JLMT_CTN+PPN]],5,0),0)</f>
        <v>0</v>
      </c>
      <c r="E169" t="s">
        <v>2339</v>
      </c>
      <c r="F169" s="50">
        <f>IFERROR(VLOOKUP(Fix_Mapping[[#This Row],[KODE BARANG]],[1]!KINONF15[[KDBRG]:[HRG_JLMT_CTN+PPN]],7,0),0)</f>
        <v>0</v>
      </c>
      <c r="G169" s="50">
        <f>IFERROR(VLOOKUP(Fix_Mapping[[#This Row],[KODE BARANG]],[1]!KINONF15[[KDBRG]:[HRG_JLMT_CTN+PPN]],8,0),0)</f>
        <v>0</v>
      </c>
      <c r="H169" s="50">
        <f>IFERROR(VLOOKUP(Fix_Mapping[[#This Row],[KODE BARANG]],[1]!KINONF15[[KDBRG]:[HRG_JLMT_CTN+PPN]],9,0),0)</f>
        <v>0</v>
      </c>
      <c r="I169" s="50">
        <f>IFERROR(VLOOKUP(Fix_Mapping[[#This Row],[KODE BARANG]],[1]!KINONF15[[KDBRG]:[HRG_JLMT_CTN+PPN]],10,0),0)</f>
        <v>0</v>
      </c>
      <c r="J169" s="50">
        <f>IFERROR(VLOOKUP(Fix_Mapping[[#This Row],[KODE BARANG]],[1]!KINONF15[[KDBRG]:[HRG_JLMT_CTN+PPN]],11,0),0)</f>
        <v>0</v>
      </c>
      <c r="K169" s="50">
        <f>IFERROR(VLOOKUP(Fix_Mapping[[#This Row],[KODE BARANG]],[1]!KINONF15[[KDBRG]:[HRG_JLMT_CTN+PPN]],12,0),0)</f>
        <v>0</v>
      </c>
      <c r="L169" s="50">
        <f>IFERROR(VLOOKUP(Fix_Mapping[[#This Row],[KODE BARANG]],[1]!KINONF15[[KDBRG]:[HRG_JLMT_CTN+PPN]],13,0),0)</f>
        <v>0</v>
      </c>
      <c r="M169" s="50">
        <f>IFERROR(VLOOKUP(Fix_Mapping[[#This Row],[KODE BARANG]],[1]!KINONF15[[KDBRG]:[HRG_JLMT_CTN+PPN]],14,0),0)</f>
        <v>0</v>
      </c>
      <c r="N169" s="50">
        <f>IFERROR(VLOOKUP(Fix_Mapping[[#This Row],[KODE BARANG]],[1]!KINONF15[[KDBRG]:[HRG_JLMT_CTN+PPN]],15,0),0)</f>
        <v>0</v>
      </c>
      <c r="O169" s="50">
        <f>IFERROR(VLOOKUP(Fix_Mapping[[#This Row],[KODE BARANG]],[1]!KINONF15[[KDBRG]:[HRG_JLMT_CTN+PPN]],16,0),0)</f>
        <v>0</v>
      </c>
      <c r="P169" s="50">
        <f>IFERROR(VLOOKUP(Fix_Mapping[[#This Row],[KODE BARANG]],[1]!KINONF15[[KDBRG]:[HRG_JLMT_CTN+PPN]],17,0),0)</f>
        <v>0</v>
      </c>
      <c r="Q169" s="50">
        <f>IFERROR(VLOOKUP(Fix_Mapping[[#This Row],[KODE BARANG]],[1]!KINONF15[[KDBRG]:[HRG_JLMT_CTN+PPN]],18,0),0)</f>
        <v>0</v>
      </c>
      <c r="R169" t="s">
        <v>2555</v>
      </c>
      <c r="S169" s="50">
        <v>106068</v>
      </c>
      <c r="T169" s="50">
        <v>0</v>
      </c>
      <c r="U169" s="50">
        <v>0</v>
      </c>
      <c r="V169" s="50">
        <v>0</v>
      </c>
      <c r="W169" s="50">
        <v>0</v>
      </c>
    </row>
    <row r="170" spans="1:23">
      <c r="A170" t="s">
        <v>1344</v>
      </c>
      <c r="B170" t="s">
        <v>1345</v>
      </c>
      <c r="C170">
        <v>36</v>
      </c>
      <c r="D170">
        <f>IFERROR(VLOOKUP(Fix_Mapping[[#This Row],[KODE BARANG]],[1]!KINONF15[[KDBRG]:[HRG_JLMT_CTN+PPN]],5,0),0)</f>
        <v>0</v>
      </c>
      <c r="E170" t="s">
        <v>2333</v>
      </c>
      <c r="F170">
        <f>IFERROR(VLOOKUP(Fix_Mapping[[#This Row],[KODE BARANG]],[1]!KINONF15[[KDBRG]:[HRG_JLMT_CTN+PPN]],7,0),0)</f>
        <v>0</v>
      </c>
      <c r="G170">
        <f>IFERROR(VLOOKUP(Fix_Mapping[[#This Row],[KODE BARANG]],[1]!KINONF15[[KDBRG]:[HRG_JLMT_CTN+PPN]],8,0),0)</f>
        <v>0</v>
      </c>
      <c r="H170">
        <f>IFERROR(VLOOKUP(Fix_Mapping[[#This Row],[KODE BARANG]],[1]!KINONF15[[KDBRG]:[HRG_JLMT_CTN+PPN]],9,0),0)</f>
        <v>0</v>
      </c>
      <c r="I170">
        <f>IFERROR(VLOOKUP(Fix_Mapping[[#This Row],[KODE BARANG]],[1]!KINONF15[[KDBRG]:[HRG_JLMT_CTN+PPN]],10,0),0)</f>
        <v>0</v>
      </c>
      <c r="J170">
        <f>IFERROR(VLOOKUP(Fix_Mapping[[#This Row],[KODE BARANG]],[1]!KINONF15[[KDBRG]:[HRG_JLMT_CTN+PPN]],11,0),0)</f>
        <v>0</v>
      </c>
      <c r="K170">
        <f>IFERROR(VLOOKUP(Fix_Mapping[[#This Row],[KODE BARANG]],[1]!KINONF15[[KDBRG]:[HRG_JLMT_CTN+PPN]],12,0),0)</f>
        <v>0</v>
      </c>
      <c r="L170">
        <f>IFERROR(VLOOKUP(Fix_Mapping[[#This Row],[KODE BARANG]],[1]!KINONF15[[KDBRG]:[HRG_JLMT_CTN+PPN]],13,0),0)</f>
        <v>0</v>
      </c>
      <c r="M170">
        <f>IFERROR(VLOOKUP(Fix_Mapping[[#This Row],[KODE BARANG]],[1]!KINONF15[[KDBRG]:[HRG_JLMT_CTN+PPN]],14,0),0)</f>
        <v>0</v>
      </c>
      <c r="N170">
        <f>IFERROR(VLOOKUP(Fix_Mapping[[#This Row],[KODE BARANG]],[1]!KINONF15[[KDBRG]:[HRG_JLMT_CTN+PPN]],15,0),0)</f>
        <v>0</v>
      </c>
      <c r="O170">
        <f>IFERROR(VLOOKUP(Fix_Mapping[[#This Row],[KODE BARANG]],[1]!KINONF15[[KDBRG]:[HRG_JLMT_CTN+PPN]],16,0),0)</f>
        <v>0</v>
      </c>
      <c r="P170">
        <f>IFERROR(VLOOKUP(Fix_Mapping[[#This Row],[KODE BARANG]],[1]!KINONF15[[KDBRG]:[HRG_JLMT_CTN+PPN]],17,0),0)</f>
        <v>0</v>
      </c>
      <c r="Q170">
        <f>IFERROR(VLOOKUP(Fix_Mapping[[#This Row],[KODE BARANG]],[1]!KINONF15[[KDBRG]:[HRG_JLMT_CTN+PPN]],18,0),0)</f>
        <v>0</v>
      </c>
      <c r="R170" t="s">
        <v>2555</v>
      </c>
      <c r="S170" t="s">
        <v>960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1346</v>
      </c>
      <c r="B171" t="s">
        <v>1347</v>
      </c>
      <c r="C171">
        <v>36</v>
      </c>
      <c r="D171">
        <f>IFERROR(VLOOKUP(Fix_Mapping[[#This Row],[KODE BARANG]],[1]!KINONF15[[KDBRG]:[HRG_JLMT_CTN+PPN]],5,0),0)</f>
        <v>0</v>
      </c>
      <c r="E171" t="s">
        <v>2333</v>
      </c>
      <c r="F171">
        <f>IFERROR(VLOOKUP(Fix_Mapping[[#This Row],[KODE BARANG]],[1]!KINONF15[[KDBRG]:[HRG_JLMT_CTN+PPN]],7,0),0)</f>
        <v>0</v>
      </c>
      <c r="G171">
        <f>IFERROR(VLOOKUP(Fix_Mapping[[#This Row],[KODE BARANG]],[1]!KINONF15[[KDBRG]:[HRG_JLMT_CTN+PPN]],8,0),0)</f>
        <v>0</v>
      </c>
      <c r="H171">
        <f>IFERROR(VLOOKUP(Fix_Mapping[[#This Row],[KODE BARANG]],[1]!KINONF15[[KDBRG]:[HRG_JLMT_CTN+PPN]],9,0),0)</f>
        <v>0</v>
      </c>
      <c r="I171">
        <f>IFERROR(VLOOKUP(Fix_Mapping[[#This Row],[KODE BARANG]],[1]!KINONF15[[KDBRG]:[HRG_JLMT_CTN+PPN]],10,0),0)</f>
        <v>0</v>
      </c>
      <c r="J171">
        <f>IFERROR(VLOOKUP(Fix_Mapping[[#This Row],[KODE BARANG]],[1]!KINONF15[[KDBRG]:[HRG_JLMT_CTN+PPN]],11,0),0)</f>
        <v>0</v>
      </c>
      <c r="K171">
        <f>IFERROR(VLOOKUP(Fix_Mapping[[#This Row],[KODE BARANG]],[1]!KINONF15[[KDBRG]:[HRG_JLMT_CTN+PPN]],12,0),0)</f>
        <v>0</v>
      </c>
      <c r="L171">
        <f>IFERROR(VLOOKUP(Fix_Mapping[[#This Row],[KODE BARANG]],[1]!KINONF15[[KDBRG]:[HRG_JLMT_CTN+PPN]],13,0),0)</f>
        <v>0</v>
      </c>
      <c r="M171">
        <f>IFERROR(VLOOKUP(Fix_Mapping[[#This Row],[KODE BARANG]],[1]!KINONF15[[KDBRG]:[HRG_JLMT_CTN+PPN]],14,0),0)</f>
        <v>0</v>
      </c>
      <c r="N171">
        <f>IFERROR(VLOOKUP(Fix_Mapping[[#This Row],[KODE BARANG]],[1]!KINONF15[[KDBRG]:[HRG_JLMT_CTN+PPN]],15,0),0)</f>
        <v>0</v>
      </c>
      <c r="O171">
        <f>IFERROR(VLOOKUP(Fix_Mapping[[#This Row],[KODE BARANG]],[1]!KINONF15[[KDBRG]:[HRG_JLMT_CTN+PPN]],16,0),0)</f>
        <v>0</v>
      </c>
      <c r="P171">
        <f>IFERROR(VLOOKUP(Fix_Mapping[[#This Row],[KODE BARANG]],[1]!KINONF15[[KDBRG]:[HRG_JLMT_CTN+PPN]],17,0),0)</f>
        <v>0</v>
      </c>
      <c r="Q171">
        <f>IFERROR(VLOOKUP(Fix_Mapping[[#This Row],[KODE BARANG]],[1]!KINONF15[[KDBRG]:[HRG_JLMT_CTN+PPN]],18,0),0)</f>
        <v>0</v>
      </c>
      <c r="R171" t="s">
        <v>2555</v>
      </c>
      <c r="S171" t="s">
        <v>961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1348</v>
      </c>
      <c r="B172" t="s">
        <v>1349</v>
      </c>
      <c r="C172">
        <v>36</v>
      </c>
      <c r="D172">
        <f>IFERROR(VLOOKUP(Fix_Mapping[[#This Row],[KODE BARANG]],[1]!KINONF15[[KDBRG]:[HRG_JLMT_CTN+PPN]],5,0),0)</f>
        <v>0</v>
      </c>
      <c r="E172" t="s">
        <v>2333</v>
      </c>
      <c r="F172">
        <f>IFERROR(VLOOKUP(Fix_Mapping[[#This Row],[KODE BARANG]],[1]!KINONF15[[KDBRG]:[HRG_JLMT_CTN+PPN]],7,0),0)</f>
        <v>0</v>
      </c>
      <c r="G172">
        <f>IFERROR(VLOOKUP(Fix_Mapping[[#This Row],[KODE BARANG]],[1]!KINONF15[[KDBRG]:[HRG_JLMT_CTN+PPN]],8,0),0)</f>
        <v>0</v>
      </c>
      <c r="H172">
        <f>IFERROR(VLOOKUP(Fix_Mapping[[#This Row],[KODE BARANG]],[1]!KINONF15[[KDBRG]:[HRG_JLMT_CTN+PPN]],9,0),0)</f>
        <v>0</v>
      </c>
      <c r="I172">
        <f>IFERROR(VLOOKUP(Fix_Mapping[[#This Row],[KODE BARANG]],[1]!KINONF15[[KDBRG]:[HRG_JLMT_CTN+PPN]],10,0),0)</f>
        <v>0</v>
      </c>
      <c r="J172">
        <f>IFERROR(VLOOKUP(Fix_Mapping[[#This Row],[KODE BARANG]],[1]!KINONF15[[KDBRG]:[HRG_JLMT_CTN+PPN]],11,0),0)</f>
        <v>0</v>
      </c>
      <c r="K172">
        <f>IFERROR(VLOOKUP(Fix_Mapping[[#This Row],[KODE BARANG]],[1]!KINONF15[[KDBRG]:[HRG_JLMT_CTN+PPN]],12,0),0)</f>
        <v>0</v>
      </c>
      <c r="L172">
        <f>IFERROR(VLOOKUP(Fix_Mapping[[#This Row],[KODE BARANG]],[1]!KINONF15[[KDBRG]:[HRG_JLMT_CTN+PPN]],13,0),0)</f>
        <v>0</v>
      </c>
      <c r="M172">
        <f>IFERROR(VLOOKUP(Fix_Mapping[[#This Row],[KODE BARANG]],[1]!KINONF15[[KDBRG]:[HRG_JLMT_CTN+PPN]],14,0),0)</f>
        <v>0</v>
      </c>
      <c r="N172">
        <f>IFERROR(VLOOKUP(Fix_Mapping[[#This Row],[KODE BARANG]],[1]!KINONF15[[KDBRG]:[HRG_JLMT_CTN+PPN]],15,0),0)</f>
        <v>0</v>
      </c>
      <c r="O172">
        <f>IFERROR(VLOOKUP(Fix_Mapping[[#This Row],[KODE BARANG]],[1]!KINONF15[[KDBRG]:[HRG_JLMT_CTN+PPN]],16,0),0)</f>
        <v>0</v>
      </c>
      <c r="P172">
        <f>IFERROR(VLOOKUP(Fix_Mapping[[#This Row],[KODE BARANG]],[1]!KINONF15[[KDBRG]:[HRG_JLMT_CTN+PPN]],17,0),0)</f>
        <v>0</v>
      </c>
      <c r="Q172">
        <f>IFERROR(VLOOKUP(Fix_Mapping[[#This Row],[KODE BARANG]],[1]!KINONF15[[KDBRG]:[HRG_JLMT_CTN+PPN]],18,0),0)</f>
        <v>0</v>
      </c>
      <c r="R172" t="s">
        <v>2555</v>
      </c>
      <c r="S172" t="s">
        <v>962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1350</v>
      </c>
      <c r="B173" t="s">
        <v>1351</v>
      </c>
      <c r="C173">
        <v>36</v>
      </c>
      <c r="D173">
        <f>IFERROR(VLOOKUP(Fix_Mapping[[#This Row],[KODE BARANG]],[1]!KINONF15[[KDBRG]:[HRG_JLMT_CTN+PPN]],5,0),0)</f>
        <v>0</v>
      </c>
      <c r="E173" t="s">
        <v>2333</v>
      </c>
      <c r="F173">
        <f>IFERROR(VLOOKUP(Fix_Mapping[[#This Row],[KODE BARANG]],[1]!KINONF15[[KDBRG]:[HRG_JLMT_CTN+PPN]],7,0),0)</f>
        <v>0</v>
      </c>
      <c r="G173">
        <f>IFERROR(VLOOKUP(Fix_Mapping[[#This Row],[KODE BARANG]],[1]!KINONF15[[KDBRG]:[HRG_JLMT_CTN+PPN]],8,0),0)</f>
        <v>0</v>
      </c>
      <c r="H173">
        <f>IFERROR(VLOOKUP(Fix_Mapping[[#This Row],[KODE BARANG]],[1]!KINONF15[[KDBRG]:[HRG_JLMT_CTN+PPN]],9,0),0)</f>
        <v>0</v>
      </c>
      <c r="I173">
        <f>IFERROR(VLOOKUP(Fix_Mapping[[#This Row],[KODE BARANG]],[1]!KINONF15[[KDBRG]:[HRG_JLMT_CTN+PPN]],10,0),0)</f>
        <v>0</v>
      </c>
      <c r="J173">
        <f>IFERROR(VLOOKUP(Fix_Mapping[[#This Row],[KODE BARANG]],[1]!KINONF15[[KDBRG]:[HRG_JLMT_CTN+PPN]],11,0),0)</f>
        <v>0</v>
      </c>
      <c r="K173">
        <f>IFERROR(VLOOKUP(Fix_Mapping[[#This Row],[KODE BARANG]],[1]!KINONF15[[KDBRG]:[HRG_JLMT_CTN+PPN]],12,0),0)</f>
        <v>0</v>
      </c>
      <c r="L173">
        <f>IFERROR(VLOOKUP(Fix_Mapping[[#This Row],[KODE BARANG]],[1]!KINONF15[[KDBRG]:[HRG_JLMT_CTN+PPN]],13,0),0)</f>
        <v>0</v>
      </c>
      <c r="M173">
        <f>IFERROR(VLOOKUP(Fix_Mapping[[#This Row],[KODE BARANG]],[1]!KINONF15[[KDBRG]:[HRG_JLMT_CTN+PPN]],14,0),0)</f>
        <v>0</v>
      </c>
      <c r="N173">
        <f>IFERROR(VLOOKUP(Fix_Mapping[[#This Row],[KODE BARANG]],[1]!KINONF15[[KDBRG]:[HRG_JLMT_CTN+PPN]],15,0),0)</f>
        <v>0</v>
      </c>
      <c r="O173">
        <f>IFERROR(VLOOKUP(Fix_Mapping[[#This Row],[KODE BARANG]],[1]!KINONF15[[KDBRG]:[HRG_JLMT_CTN+PPN]],16,0),0)</f>
        <v>0</v>
      </c>
      <c r="P173">
        <f>IFERROR(VLOOKUP(Fix_Mapping[[#This Row],[KODE BARANG]],[1]!KINONF15[[KDBRG]:[HRG_JLMT_CTN+PPN]],17,0),0)</f>
        <v>0</v>
      </c>
      <c r="Q173">
        <f>IFERROR(VLOOKUP(Fix_Mapping[[#This Row],[KODE BARANG]],[1]!KINONF15[[KDBRG]:[HRG_JLMT_CTN+PPN]],18,0),0)</f>
        <v>0</v>
      </c>
      <c r="R173" t="s">
        <v>2555</v>
      </c>
      <c r="S173" t="s">
        <v>963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1352</v>
      </c>
      <c r="B174" t="s">
        <v>1353</v>
      </c>
      <c r="C174">
        <v>36</v>
      </c>
      <c r="D174">
        <f>IFERROR(VLOOKUP(Fix_Mapping[[#This Row],[KODE BARANG]],[1]!KINONF15[[KDBRG]:[HRG_JLMT_CTN+PPN]],5,0),0)</f>
        <v>0</v>
      </c>
      <c r="E174" t="s">
        <v>2333</v>
      </c>
      <c r="F174">
        <f>IFERROR(VLOOKUP(Fix_Mapping[[#This Row],[KODE BARANG]],[1]!KINONF15[[KDBRG]:[HRG_JLMT_CTN+PPN]],7,0),0)</f>
        <v>0</v>
      </c>
      <c r="G174">
        <f>IFERROR(VLOOKUP(Fix_Mapping[[#This Row],[KODE BARANG]],[1]!KINONF15[[KDBRG]:[HRG_JLMT_CTN+PPN]],8,0),0)</f>
        <v>0</v>
      </c>
      <c r="H174">
        <f>IFERROR(VLOOKUP(Fix_Mapping[[#This Row],[KODE BARANG]],[1]!KINONF15[[KDBRG]:[HRG_JLMT_CTN+PPN]],9,0),0)</f>
        <v>0</v>
      </c>
      <c r="I174">
        <f>IFERROR(VLOOKUP(Fix_Mapping[[#This Row],[KODE BARANG]],[1]!KINONF15[[KDBRG]:[HRG_JLMT_CTN+PPN]],10,0),0)</f>
        <v>0</v>
      </c>
      <c r="J174">
        <f>IFERROR(VLOOKUP(Fix_Mapping[[#This Row],[KODE BARANG]],[1]!KINONF15[[KDBRG]:[HRG_JLMT_CTN+PPN]],11,0),0)</f>
        <v>0</v>
      </c>
      <c r="K174">
        <f>IFERROR(VLOOKUP(Fix_Mapping[[#This Row],[KODE BARANG]],[1]!KINONF15[[KDBRG]:[HRG_JLMT_CTN+PPN]],12,0),0)</f>
        <v>0</v>
      </c>
      <c r="L174">
        <f>IFERROR(VLOOKUP(Fix_Mapping[[#This Row],[KODE BARANG]],[1]!KINONF15[[KDBRG]:[HRG_JLMT_CTN+PPN]],13,0),0)</f>
        <v>0</v>
      </c>
      <c r="M174">
        <f>IFERROR(VLOOKUP(Fix_Mapping[[#This Row],[KODE BARANG]],[1]!KINONF15[[KDBRG]:[HRG_JLMT_CTN+PPN]],14,0),0)</f>
        <v>0</v>
      </c>
      <c r="N174">
        <f>IFERROR(VLOOKUP(Fix_Mapping[[#This Row],[KODE BARANG]],[1]!KINONF15[[KDBRG]:[HRG_JLMT_CTN+PPN]],15,0),0)</f>
        <v>0</v>
      </c>
      <c r="O174">
        <f>IFERROR(VLOOKUP(Fix_Mapping[[#This Row],[KODE BARANG]],[1]!KINONF15[[KDBRG]:[HRG_JLMT_CTN+PPN]],16,0),0)</f>
        <v>0</v>
      </c>
      <c r="P174">
        <f>IFERROR(VLOOKUP(Fix_Mapping[[#This Row],[KODE BARANG]],[1]!KINONF15[[KDBRG]:[HRG_JLMT_CTN+PPN]],17,0),0)</f>
        <v>0</v>
      </c>
      <c r="Q174">
        <f>IFERROR(VLOOKUP(Fix_Mapping[[#This Row],[KODE BARANG]],[1]!KINONF15[[KDBRG]:[HRG_JLMT_CTN+PPN]],18,0),0)</f>
        <v>0</v>
      </c>
      <c r="R174" t="s">
        <v>2555</v>
      </c>
      <c r="S174" t="s">
        <v>964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1354</v>
      </c>
      <c r="B175" t="s">
        <v>1355</v>
      </c>
      <c r="C175">
        <v>36</v>
      </c>
      <c r="D175">
        <f>IFERROR(VLOOKUP(Fix_Mapping[[#This Row],[KODE BARANG]],[1]!KINONF15[[KDBRG]:[HRG_JLMT_CTN+PPN]],5,0),0)</f>
        <v>0</v>
      </c>
      <c r="E175" t="s">
        <v>2333</v>
      </c>
      <c r="F175">
        <f>IFERROR(VLOOKUP(Fix_Mapping[[#This Row],[KODE BARANG]],[1]!KINONF15[[KDBRG]:[HRG_JLMT_CTN+PPN]],7,0),0)</f>
        <v>0</v>
      </c>
      <c r="G175">
        <f>IFERROR(VLOOKUP(Fix_Mapping[[#This Row],[KODE BARANG]],[1]!KINONF15[[KDBRG]:[HRG_JLMT_CTN+PPN]],8,0),0)</f>
        <v>0</v>
      </c>
      <c r="H175">
        <f>IFERROR(VLOOKUP(Fix_Mapping[[#This Row],[KODE BARANG]],[1]!KINONF15[[KDBRG]:[HRG_JLMT_CTN+PPN]],9,0),0)</f>
        <v>0</v>
      </c>
      <c r="I175">
        <f>IFERROR(VLOOKUP(Fix_Mapping[[#This Row],[KODE BARANG]],[1]!KINONF15[[KDBRG]:[HRG_JLMT_CTN+PPN]],10,0),0)</f>
        <v>0</v>
      </c>
      <c r="J175">
        <f>IFERROR(VLOOKUP(Fix_Mapping[[#This Row],[KODE BARANG]],[1]!KINONF15[[KDBRG]:[HRG_JLMT_CTN+PPN]],11,0),0)</f>
        <v>0</v>
      </c>
      <c r="K175">
        <f>IFERROR(VLOOKUP(Fix_Mapping[[#This Row],[KODE BARANG]],[1]!KINONF15[[KDBRG]:[HRG_JLMT_CTN+PPN]],12,0),0)</f>
        <v>0</v>
      </c>
      <c r="L175">
        <f>IFERROR(VLOOKUP(Fix_Mapping[[#This Row],[KODE BARANG]],[1]!KINONF15[[KDBRG]:[HRG_JLMT_CTN+PPN]],13,0),0)</f>
        <v>0</v>
      </c>
      <c r="M175">
        <f>IFERROR(VLOOKUP(Fix_Mapping[[#This Row],[KODE BARANG]],[1]!KINONF15[[KDBRG]:[HRG_JLMT_CTN+PPN]],14,0),0)</f>
        <v>0</v>
      </c>
      <c r="N175">
        <f>IFERROR(VLOOKUP(Fix_Mapping[[#This Row],[KODE BARANG]],[1]!KINONF15[[KDBRG]:[HRG_JLMT_CTN+PPN]],15,0),0)</f>
        <v>0</v>
      </c>
      <c r="O175">
        <f>IFERROR(VLOOKUP(Fix_Mapping[[#This Row],[KODE BARANG]],[1]!KINONF15[[KDBRG]:[HRG_JLMT_CTN+PPN]],16,0),0)</f>
        <v>0</v>
      </c>
      <c r="P175">
        <f>IFERROR(VLOOKUP(Fix_Mapping[[#This Row],[KODE BARANG]],[1]!KINONF15[[KDBRG]:[HRG_JLMT_CTN+PPN]],17,0),0)</f>
        <v>0</v>
      </c>
      <c r="Q175">
        <f>IFERROR(VLOOKUP(Fix_Mapping[[#This Row],[KODE BARANG]],[1]!KINONF15[[KDBRG]:[HRG_JLMT_CTN+PPN]],18,0),0)</f>
        <v>0</v>
      </c>
      <c r="R175" t="s">
        <v>2555</v>
      </c>
      <c r="S175" t="s">
        <v>965</v>
      </c>
      <c r="T175">
        <v>0</v>
      </c>
      <c r="U175">
        <v>0</v>
      </c>
      <c r="V175">
        <v>0</v>
      </c>
      <c r="W175">
        <v>0</v>
      </c>
    </row>
    <row r="176" spans="1:23">
      <c r="A176" t="s">
        <v>1356</v>
      </c>
      <c r="B176" t="s">
        <v>1357</v>
      </c>
      <c r="C176">
        <v>36</v>
      </c>
      <c r="D176">
        <f>IFERROR(VLOOKUP(Fix_Mapping[[#This Row],[KODE BARANG]],[1]!KINONF15[[KDBRG]:[HRG_JLMT_CTN+PPN]],5,0),0)</f>
        <v>0</v>
      </c>
      <c r="E176" t="s">
        <v>2333</v>
      </c>
      <c r="F176">
        <f>IFERROR(VLOOKUP(Fix_Mapping[[#This Row],[KODE BARANG]],[1]!KINONF15[[KDBRG]:[HRG_JLMT_CTN+PPN]],7,0),0)</f>
        <v>0</v>
      </c>
      <c r="G176">
        <f>IFERROR(VLOOKUP(Fix_Mapping[[#This Row],[KODE BARANG]],[1]!KINONF15[[KDBRG]:[HRG_JLMT_CTN+PPN]],8,0),0)</f>
        <v>0</v>
      </c>
      <c r="H176">
        <f>IFERROR(VLOOKUP(Fix_Mapping[[#This Row],[KODE BARANG]],[1]!KINONF15[[KDBRG]:[HRG_JLMT_CTN+PPN]],9,0),0)</f>
        <v>0</v>
      </c>
      <c r="I176">
        <f>IFERROR(VLOOKUP(Fix_Mapping[[#This Row],[KODE BARANG]],[1]!KINONF15[[KDBRG]:[HRG_JLMT_CTN+PPN]],10,0),0)</f>
        <v>0</v>
      </c>
      <c r="J176">
        <f>IFERROR(VLOOKUP(Fix_Mapping[[#This Row],[KODE BARANG]],[1]!KINONF15[[KDBRG]:[HRG_JLMT_CTN+PPN]],11,0),0)</f>
        <v>0</v>
      </c>
      <c r="K176">
        <f>IFERROR(VLOOKUP(Fix_Mapping[[#This Row],[KODE BARANG]],[1]!KINONF15[[KDBRG]:[HRG_JLMT_CTN+PPN]],12,0),0)</f>
        <v>0</v>
      </c>
      <c r="L176">
        <f>IFERROR(VLOOKUP(Fix_Mapping[[#This Row],[KODE BARANG]],[1]!KINONF15[[KDBRG]:[HRG_JLMT_CTN+PPN]],13,0),0)</f>
        <v>0</v>
      </c>
      <c r="M176">
        <f>IFERROR(VLOOKUP(Fix_Mapping[[#This Row],[KODE BARANG]],[1]!KINONF15[[KDBRG]:[HRG_JLMT_CTN+PPN]],14,0),0)</f>
        <v>0</v>
      </c>
      <c r="N176">
        <f>IFERROR(VLOOKUP(Fix_Mapping[[#This Row],[KODE BARANG]],[1]!KINONF15[[KDBRG]:[HRG_JLMT_CTN+PPN]],15,0),0)</f>
        <v>0</v>
      </c>
      <c r="O176">
        <f>IFERROR(VLOOKUP(Fix_Mapping[[#This Row],[KODE BARANG]],[1]!KINONF15[[KDBRG]:[HRG_JLMT_CTN+PPN]],16,0),0)</f>
        <v>0</v>
      </c>
      <c r="P176">
        <f>IFERROR(VLOOKUP(Fix_Mapping[[#This Row],[KODE BARANG]],[1]!KINONF15[[KDBRG]:[HRG_JLMT_CTN+PPN]],17,0),0)</f>
        <v>0</v>
      </c>
      <c r="Q176">
        <f>IFERROR(VLOOKUP(Fix_Mapping[[#This Row],[KODE BARANG]],[1]!KINONF15[[KDBRG]:[HRG_JLMT_CTN+PPN]],18,0),0)</f>
        <v>0</v>
      </c>
      <c r="R176" t="s">
        <v>2555</v>
      </c>
      <c r="S176" t="s">
        <v>966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1358</v>
      </c>
      <c r="B177" t="s">
        <v>1359</v>
      </c>
      <c r="C177">
        <v>36</v>
      </c>
      <c r="D177">
        <f>IFERROR(VLOOKUP(Fix_Mapping[[#This Row],[KODE BARANG]],[1]!KINONF15[[KDBRG]:[HRG_JLMT_CTN+PPN]],5,0),0)</f>
        <v>0</v>
      </c>
      <c r="E177" t="s">
        <v>2333</v>
      </c>
      <c r="F177">
        <f>IFERROR(VLOOKUP(Fix_Mapping[[#This Row],[KODE BARANG]],[1]!KINONF15[[KDBRG]:[HRG_JLMT_CTN+PPN]],7,0),0)</f>
        <v>0</v>
      </c>
      <c r="G177">
        <f>IFERROR(VLOOKUP(Fix_Mapping[[#This Row],[KODE BARANG]],[1]!KINONF15[[KDBRG]:[HRG_JLMT_CTN+PPN]],8,0),0)</f>
        <v>0</v>
      </c>
      <c r="H177">
        <f>IFERROR(VLOOKUP(Fix_Mapping[[#This Row],[KODE BARANG]],[1]!KINONF15[[KDBRG]:[HRG_JLMT_CTN+PPN]],9,0),0)</f>
        <v>0</v>
      </c>
      <c r="I177">
        <f>IFERROR(VLOOKUP(Fix_Mapping[[#This Row],[KODE BARANG]],[1]!KINONF15[[KDBRG]:[HRG_JLMT_CTN+PPN]],10,0),0)</f>
        <v>0</v>
      </c>
      <c r="J177">
        <f>IFERROR(VLOOKUP(Fix_Mapping[[#This Row],[KODE BARANG]],[1]!KINONF15[[KDBRG]:[HRG_JLMT_CTN+PPN]],11,0),0)</f>
        <v>0</v>
      </c>
      <c r="K177">
        <f>IFERROR(VLOOKUP(Fix_Mapping[[#This Row],[KODE BARANG]],[1]!KINONF15[[KDBRG]:[HRG_JLMT_CTN+PPN]],12,0),0)</f>
        <v>0</v>
      </c>
      <c r="L177">
        <f>IFERROR(VLOOKUP(Fix_Mapping[[#This Row],[KODE BARANG]],[1]!KINONF15[[KDBRG]:[HRG_JLMT_CTN+PPN]],13,0),0)</f>
        <v>0</v>
      </c>
      <c r="M177">
        <f>IFERROR(VLOOKUP(Fix_Mapping[[#This Row],[KODE BARANG]],[1]!KINONF15[[KDBRG]:[HRG_JLMT_CTN+PPN]],14,0),0)</f>
        <v>0</v>
      </c>
      <c r="N177">
        <f>IFERROR(VLOOKUP(Fix_Mapping[[#This Row],[KODE BARANG]],[1]!KINONF15[[KDBRG]:[HRG_JLMT_CTN+PPN]],15,0),0)</f>
        <v>0</v>
      </c>
      <c r="O177">
        <f>IFERROR(VLOOKUP(Fix_Mapping[[#This Row],[KODE BARANG]],[1]!KINONF15[[KDBRG]:[HRG_JLMT_CTN+PPN]],16,0),0)</f>
        <v>0</v>
      </c>
      <c r="P177">
        <f>IFERROR(VLOOKUP(Fix_Mapping[[#This Row],[KODE BARANG]],[1]!KINONF15[[KDBRG]:[HRG_JLMT_CTN+PPN]],17,0),0)</f>
        <v>0</v>
      </c>
      <c r="Q177">
        <f>IFERROR(VLOOKUP(Fix_Mapping[[#This Row],[KODE BARANG]],[1]!KINONF15[[KDBRG]:[HRG_JLMT_CTN+PPN]],18,0),0)</f>
        <v>0</v>
      </c>
      <c r="R177" t="s">
        <v>2555</v>
      </c>
      <c r="S177" t="s">
        <v>967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1360</v>
      </c>
      <c r="B178" t="s">
        <v>1361</v>
      </c>
      <c r="C178">
        <v>36</v>
      </c>
      <c r="D178">
        <f>IFERROR(VLOOKUP(Fix_Mapping[[#This Row],[KODE BARANG]],[1]!KINONF15[[KDBRG]:[HRG_JLMT_CTN+PPN]],5,0),0)</f>
        <v>0</v>
      </c>
      <c r="E178" t="s">
        <v>2335</v>
      </c>
      <c r="F178">
        <f>IFERROR(VLOOKUP(Fix_Mapping[[#This Row],[KODE BARANG]],[1]!KINONF15[[KDBRG]:[HRG_JLMT_CTN+PPN]],7,0),0)</f>
        <v>0</v>
      </c>
      <c r="G178">
        <f>IFERROR(VLOOKUP(Fix_Mapping[[#This Row],[KODE BARANG]],[1]!KINONF15[[KDBRG]:[HRG_JLMT_CTN+PPN]],8,0),0)</f>
        <v>0</v>
      </c>
      <c r="H178">
        <f>IFERROR(VLOOKUP(Fix_Mapping[[#This Row],[KODE BARANG]],[1]!KINONF15[[KDBRG]:[HRG_JLMT_CTN+PPN]],9,0),0)</f>
        <v>0</v>
      </c>
      <c r="I178">
        <f>IFERROR(VLOOKUP(Fix_Mapping[[#This Row],[KODE BARANG]],[1]!KINONF15[[KDBRG]:[HRG_JLMT_CTN+PPN]],10,0),0)</f>
        <v>0</v>
      </c>
      <c r="J178">
        <f>IFERROR(VLOOKUP(Fix_Mapping[[#This Row],[KODE BARANG]],[1]!KINONF15[[KDBRG]:[HRG_JLMT_CTN+PPN]],11,0),0)</f>
        <v>0</v>
      </c>
      <c r="K178">
        <f>IFERROR(VLOOKUP(Fix_Mapping[[#This Row],[KODE BARANG]],[1]!KINONF15[[KDBRG]:[HRG_JLMT_CTN+PPN]],12,0),0)</f>
        <v>0</v>
      </c>
      <c r="L178">
        <f>IFERROR(VLOOKUP(Fix_Mapping[[#This Row],[KODE BARANG]],[1]!KINONF15[[KDBRG]:[HRG_JLMT_CTN+PPN]],13,0),0)</f>
        <v>0</v>
      </c>
      <c r="M178">
        <f>IFERROR(VLOOKUP(Fix_Mapping[[#This Row],[KODE BARANG]],[1]!KINONF15[[KDBRG]:[HRG_JLMT_CTN+PPN]],14,0),0)</f>
        <v>0</v>
      </c>
      <c r="N178">
        <f>IFERROR(VLOOKUP(Fix_Mapping[[#This Row],[KODE BARANG]],[1]!KINONF15[[KDBRG]:[HRG_JLMT_CTN+PPN]],15,0),0)</f>
        <v>0</v>
      </c>
      <c r="O178">
        <f>IFERROR(VLOOKUP(Fix_Mapping[[#This Row],[KODE BARANG]],[1]!KINONF15[[KDBRG]:[HRG_JLMT_CTN+PPN]],16,0),0)</f>
        <v>0</v>
      </c>
      <c r="P178">
        <f>IFERROR(VLOOKUP(Fix_Mapping[[#This Row],[KODE BARANG]],[1]!KINONF15[[KDBRG]:[HRG_JLMT_CTN+PPN]],17,0),0)</f>
        <v>0</v>
      </c>
      <c r="Q178">
        <f>IFERROR(VLOOKUP(Fix_Mapping[[#This Row],[KODE BARANG]],[1]!KINONF15[[KDBRG]:[HRG_JLMT_CTN+PPN]],18,0),0)</f>
        <v>0</v>
      </c>
      <c r="R178" t="s">
        <v>2555</v>
      </c>
      <c r="S178" t="s">
        <v>952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1362</v>
      </c>
      <c r="B179" t="s">
        <v>1363</v>
      </c>
      <c r="C179">
        <v>36</v>
      </c>
      <c r="D179">
        <f>IFERROR(VLOOKUP(Fix_Mapping[[#This Row],[KODE BARANG]],[1]!KINONF15[[KDBRG]:[HRG_JLMT_CTN+PPN]],5,0),0)</f>
        <v>0</v>
      </c>
      <c r="E179" t="s">
        <v>2335</v>
      </c>
      <c r="F179">
        <f>IFERROR(VLOOKUP(Fix_Mapping[[#This Row],[KODE BARANG]],[1]!KINONF15[[KDBRG]:[HRG_JLMT_CTN+PPN]],7,0),0)</f>
        <v>0</v>
      </c>
      <c r="G179">
        <f>IFERROR(VLOOKUP(Fix_Mapping[[#This Row],[KODE BARANG]],[1]!KINONF15[[KDBRG]:[HRG_JLMT_CTN+PPN]],8,0),0)</f>
        <v>0</v>
      </c>
      <c r="H179">
        <f>IFERROR(VLOOKUP(Fix_Mapping[[#This Row],[KODE BARANG]],[1]!KINONF15[[KDBRG]:[HRG_JLMT_CTN+PPN]],9,0),0)</f>
        <v>0</v>
      </c>
      <c r="I179">
        <f>IFERROR(VLOOKUP(Fix_Mapping[[#This Row],[KODE BARANG]],[1]!KINONF15[[KDBRG]:[HRG_JLMT_CTN+PPN]],10,0),0)</f>
        <v>0</v>
      </c>
      <c r="J179">
        <f>IFERROR(VLOOKUP(Fix_Mapping[[#This Row],[KODE BARANG]],[1]!KINONF15[[KDBRG]:[HRG_JLMT_CTN+PPN]],11,0),0)</f>
        <v>0</v>
      </c>
      <c r="K179">
        <f>IFERROR(VLOOKUP(Fix_Mapping[[#This Row],[KODE BARANG]],[1]!KINONF15[[KDBRG]:[HRG_JLMT_CTN+PPN]],12,0),0)</f>
        <v>0</v>
      </c>
      <c r="L179">
        <f>IFERROR(VLOOKUP(Fix_Mapping[[#This Row],[KODE BARANG]],[1]!KINONF15[[KDBRG]:[HRG_JLMT_CTN+PPN]],13,0),0)</f>
        <v>0</v>
      </c>
      <c r="M179">
        <f>IFERROR(VLOOKUP(Fix_Mapping[[#This Row],[KODE BARANG]],[1]!KINONF15[[KDBRG]:[HRG_JLMT_CTN+PPN]],14,0),0)</f>
        <v>0</v>
      </c>
      <c r="N179">
        <f>IFERROR(VLOOKUP(Fix_Mapping[[#This Row],[KODE BARANG]],[1]!KINONF15[[KDBRG]:[HRG_JLMT_CTN+PPN]],15,0),0)</f>
        <v>0</v>
      </c>
      <c r="O179">
        <f>IFERROR(VLOOKUP(Fix_Mapping[[#This Row],[KODE BARANG]],[1]!KINONF15[[KDBRG]:[HRG_JLMT_CTN+PPN]],16,0),0)</f>
        <v>0</v>
      </c>
      <c r="P179">
        <f>IFERROR(VLOOKUP(Fix_Mapping[[#This Row],[KODE BARANG]],[1]!KINONF15[[KDBRG]:[HRG_JLMT_CTN+PPN]],17,0),0)</f>
        <v>0</v>
      </c>
      <c r="Q179">
        <f>IFERROR(VLOOKUP(Fix_Mapping[[#This Row],[KODE BARANG]],[1]!KINONF15[[KDBRG]:[HRG_JLMT_CTN+PPN]],18,0),0)</f>
        <v>0</v>
      </c>
      <c r="R179" t="s">
        <v>2555</v>
      </c>
      <c r="S179" t="s">
        <v>953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1364</v>
      </c>
      <c r="B180" t="s">
        <v>1365</v>
      </c>
      <c r="C180">
        <v>36</v>
      </c>
      <c r="D180">
        <f>IFERROR(VLOOKUP(Fix_Mapping[[#This Row],[KODE BARANG]],[1]!KINONF15[[KDBRG]:[HRG_JLMT_CTN+PPN]],5,0),0)</f>
        <v>0</v>
      </c>
      <c r="E180" t="s">
        <v>2335</v>
      </c>
      <c r="F180">
        <f>IFERROR(VLOOKUP(Fix_Mapping[[#This Row],[KODE BARANG]],[1]!KINONF15[[KDBRG]:[HRG_JLMT_CTN+PPN]],7,0),0)</f>
        <v>0</v>
      </c>
      <c r="G180">
        <f>IFERROR(VLOOKUP(Fix_Mapping[[#This Row],[KODE BARANG]],[1]!KINONF15[[KDBRG]:[HRG_JLMT_CTN+PPN]],8,0),0)</f>
        <v>0</v>
      </c>
      <c r="H180">
        <f>IFERROR(VLOOKUP(Fix_Mapping[[#This Row],[KODE BARANG]],[1]!KINONF15[[KDBRG]:[HRG_JLMT_CTN+PPN]],9,0),0)</f>
        <v>0</v>
      </c>
      <c r="I180">
        <f>IFERROR(VLOOKUP(Fix_Mapping[[#This Row],[KODE BARANG]],[1]!KINONF15[[KDBRG]:[HRG_JLMT_CTN+PPN]],10,0),0)</f>
        <v>0</v>
      </c>
      <c r="J180">
        <f>IFERROR(VLOOKUP(Fix_Mapping[[#This Row],[KODE BARANG]],[1]!KINONF15[[KDBRG]:[HRG_JLMT_CTN+PPN]],11,0),0)</f>
        <v>0</v>
      </c>
      <c r="K180">
        <f>IFERROR(VLOOKUP(Fix_Mapping[[#This Row],[KODE BARANG]],[1]!KINONF15[[KDBRG]:[HRG_JLMT_CTN+PPN]],12,0),0)</f>
        <v>0</v>
      </c>
      <c r="L180">
        <f>IFERROR(VLOOKUP(Fix_Mapping[[#This Row],[KODE BARANG]],[1]!KINONF15[[KDBRG]:[HRG_JLMT_CTN+PPN]],13,0),0)</f>
        <v>0</v>
      </c>
      <c r="M180">
        <f>IFERROR(VLOOKUP(Fix_Mapping[[#This Row],[KODE BARANG]],[1]!KINONF15[[KDBRG]:[HRG_JLMT_CTN+PPN]],14,0),0)</f>
        <v>0</v>
      </c>
      <c r="N180">
        <f>IFERROR(VLOOKUP(Fix_Mapping[[#This Row],[KODE BARANG]],[1]!KINONF15[[KDBRG]:[HRG_JLMT_CTN+PPN]],15,0),0)</f>
        <v>0</v>
      </c>
      <c r="O180">
        <f>IFERROR(VLOOKUP(Fix_Mapping[[#This Row],[KODE BARANG]],[1]!KINONF15[[KDBRG]:[HRG_JLMT_CTN+PPN]],16,0),0)</f>
        <v>0</v>
      </c>
      <c r="P180">
        <f>IFERROR(VLOOKUP(Fix_Mapping[[#This Row],[KODE BARANG]],[1]!KINONF15[[KDBRG]:[HRG_JLMT_CTN+PPN]],17,0),0)</f>
        <v>0</v>
      </c>
      <c r="Q180">
        <f>IFERROR(VLOOKUP(Fix_Mapping[[#This Row],[KODE BARANG]],[1]!KINONF15[[KDBRG]:[HRG_JLMT_CTN+PPN]],18,0),0)</f>
        <v>0</v>
      </c>
      <c r="R180" t="s">
        <v>2555</v>
      </c>
      <c r="S180" t="s">
        <v>954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1366</v>
      </c>
      <c r="B181" t="s">
        <v>1367</v>
      </c>
      <c r="C181">
        <v>36</v>
      </c>
      <c r="D181">
        <f>IFERROR(VLOOKUP(Fix_Mapping[[#This Row],[KODE BARANG]],[1]!KINONF15[[KDBRG]:[HRG_JLMT_CTN+PPN]],5,0),0)</f>
        <v>0</v>
      </c>
      <c r="E181" t="s">
        <v>2335</v>
      </c>
      <c r="F181">
        <f>IFERROR(VLOOKUP(Fix_Mapping[[#This Row],[KODE BARANG]],[1]!KINONF15[[KDBRG]:[HRG_JLMT_CTN+PPN]],7,0),0)</f>
        <v>0</v>
      </c>
      <c r="G181">
        <f>IFERROR(VLOOKUP(Fix_Mapping[[#This Row],[KODE BARANG]],[1]!KINONF15[[KDBRG]:[HRG_JLMT_CTN+PPN]],8,0),0)</f>
        <v>0</v>
      </c>
      <c r="H181">
        <f>IFERROR(VLOOKUP(Fix_Mapping[[#This Row],[KODE BARANG]],[1]!KINONF15[[KDBRG]:[HRG_JLMT_CTN+PPN]],9,0),0)</f>
        <v>0</v>
      </c>
      <c r="I181">
        <f>IFERROR(VLOOKUP(Fix_Mapping[[#This Row],[KODE BARANG]],[1]!KINONF15[[KDBRG]:[HRG_JLMT_CTN+PPN]],10,0),0)</f>
        <v>0</v>
      </c>
      <c r="J181">
        <f>IFERROR(VLOOKUP(Fix_Mapping[[#This Row],[KODE BARANG]],[1]!KINONF15[[KDBRG]:[HRG_JLMT_CTN+PPN]],11,0),0)</f>
        <v>0</v>
      </c>
      <c r="K181">
        <f>IFERROR(VLOOKUP(Fix_Mapping[[#This Row],[KODE BARANG]],[1]!KINONF15[[KDBRG]:[HRG_JLMT_CTN+PPN]],12,0),0)</f>
        <v>0</v>
      </c>
      <c r="L181">
        <f>IFERROR(VLOOKUP(Fix_Mapping[[#This Row],[KODE BARANG]],[1]!KINONF15[[KDBRG]:[HRG_JLMT_CTN+PPN]],13,0),0)</f>
        <v>0</v>
      </c>
      <c r="M181">
        <f>IFERROR(VLOOKUP(Fix_Mapping[[#This Row],[KODE BARANG]],[1]!KINONF15[[KDBRG]:[HRG_JLMT_CTN+PPN]],14,0),0)</f>
        <v>0</v>
      </c>
      <c r="N181">
        <f>IFERROR(VLOOKUP(Fix_Mapping[[#This Row],[KODE BARANG]],[1]!KINONF15[[KDBRG]:[HRG_JLMT_CTN+PPN]],15,0),0)</f>
        <v>0</v>
      </c>
      <c r="O181">
        <f>IFERROR(VLOOKUP(Fix_Mapping[[#This Row],[KODE BARANG]],[1]!KINONF15[[KDBRG]:[HRG_JLMT_CTN+PPN]],16,0),0)</f>
        <v>0</v>
      </c>
      <c r="P181">
        <f>IFERROR(VLOOKUP(Fix_Mapping[[#This Row],[KODE BARANG]],[1]!KINONF15[[KDBRG]:[HRG_JLMT_CTN+PPN]],17,0),0)</f>
        <v>0</v>
      </c>
      <c r="Q181">
        <f>IFERROR(VLOOKUP(Fix_Mapping[[#This Row],[KODE BARANG]],[1]!KINONF15[[KDBRG]:[HRG_JLMT_CTN+PPN]],18,0),0)</f>
        <v>0</v>
      </c>
      <c r="R181" t="s">
        <v>2555</v>
      </c>
      <c r="S181" t="s">
        <v>955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1368</v>
      </c>
      <c r="B182" t="s">
        <v>1369</v>
      </c>
      <c r="C182">
        <v>36</v>
      </c>
      <c r="D182">
        <f>IFERROR(VLOOKUP(Fix_Mapping[[#This Row],[KODE BARANG]],[1]!KINONF15[[KDBRG]:[HRG_JLMT_CTN+PPN]],5,0),0)</f>
        <v>0</v>
      </c>
      <c r="E182" t="s">
        <v>2335</v>
      </c>
      <c r="F182">
        <f>IFERROR(VLOOKUP(Fix_Mapping[[#This Row],[KODE BARANG]],[1]!KINONF15[[KDBRG]:[HRG_JLMT_CTN+PPN]],7,0),0)</f>
        <v>0</v>
      </c>
      <c r="G182">
        <f>IFERROR(VLOOKUP(Fix_Mapping[[#This Row],[KODE BARANG]],[1]!KINONF15[[KDBRG]:[HRG_JLMT_CTN+PPN]],8,0),0)</f>
        <v>0</v>
      </c>
      <c r="H182">
        <f>IFERROR(VLOOKUP(Fix_Mapping[[#This Row],[KODE BARANG]],[1]!KINONF15[[KDBRG]:[HRG_JLMT_CTN+PPN]],9,0),0)</f>
        <v>0</v>
      </c>
      <c r="I182">
        <f>IFERROR(VLOOKUP(Fix_Mapping[[#This Row],[KODE BARANG]],[1]!KINONF15[[KDBRG]:[HRG_JLMT_CTN+PPN]],10,0),0)</f>
        <v>0</v>
      </c>
      <c r="J182">
        <f>IFERROR(VLOOKUP(Fix_Mapping[[#This Row],[KODE BARANG]],[1]!KINONF15[[KDBRG]:[HRG_JLMT_CTN+PPN]],11,0),0)</f>
        <v>0</v>
      </c>
      <c r="K182">
        <f>IFERROR(VLOOKUP(Fix_Mapping[[#This Row],[KODE BARANG]],[1]!KINONF15[[KDBRG]:[HRG_JLMT_CTN+PPN]],12,0),0)</f>
        <v>0</v>
      </c>
      <c r="L182">
        <f>IFERROR(VLOOKUP(Fix_Mapping[[#This Row],[KODE BARANG]],[1]!KINONF15[[KDBRG]:[HRG_JLMT_CTN+PPN]],13,0),0)</f>
        <v>0</v>
      </c>
      <c r="M182">
        <f>IFERROR(VLOOKUP(Fix_Mapping[[#This Row],[KODE BARANG]],[1]!KINONF15[[KDBRG]:[HRG_JLMT_CTN+PPN]],14,0),0)</f>
        <v>0</v>
      </c>
      <c r="N182">
        <f>IFERROR(VLOOKUP(Fix_Mapping[[#This Row],[KODE BARANG]],[1]!KINONF15[[KDBRG]:[HRG_JLMT_CTN+PPN]],15,0),0)</f>
        <v>0</v>
      </c>
      <c r="O182">
        <f>IFERROR(VLOOKUP(Fix_Mapping[[#This Row],[KODE BARANG]],[1]!KINONF15[[KDBRG]:[HRG_JLMT_CTN+PPN]],16,0),0)</f>
        <v>0</v>
      </c>
      <c r="P182">
        <f>IFERROR(VLOOKUP(Fix_Mapping[[#This Row],[KODE BARANG]],[1]!KINONF15[[KDBRG]:[HRG_JLMT_CTN+PPN]],17,0),0)</f>
        <v>0</v>
      </c>
      <c r="Q182">
        <f>IFERROR(VLOOKUP(Fix_Mapping[[#This Row],[KODE BARANG]],[1]!KINONF15[[KDBRG]:[HRG_JLMT_CTN+PPN]],18,0),0)</f>
        <v>0</v>
      </c>
      <c r="R182" t="s">
        <v>2555</v>
      </c>
      <c r="S182" t="s">
        <v>956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1370</v>
      </c>
      <c r="B183" t="s">
        <v>1371</v>
      </c>
      <c r="C183">
        <v>36</v>
      </c>
      <c r="D183">
        <f>IFERROR(VLOOKUP(Fix_Mapping[[#This Row],[KODE BARANG]],[1]!KINONF15[[KDBRG]:[HRG_JLMT_CTN+PPN]],5,0),0)</f>
        <v>0</v>
      </c>
      <c r="E183" t="s">
        <v>2335</v>
      </c>
      <c r="F183">
        <f>IFERROR(VLOOKUP(Fix_Mapping[[#This Row],[KODE BARANG]],[1]!KINONF15[[KDBRG]:[HRG_JLMT_CTN+PPN]],7,0),0)</f>
        <v>0</v>
      </c>
      <c r="G183">
        <f>IFERROR(VLOOKUP(Fix_Mapping[[#This Row],[KODE BARANG]],[1]!KINONF15[[KDBRG]:[HRG_JLMT_CTN+PPN]],8,0),0)</f>
        <v>0</v>
      </c>
      <c r="H183">
        <f>IFERROR(VLOOKUP(Fix_Mapping[[#This Row],[KODE BARANG]],[1]!KINONF15[[KDBRG]:[HRG_JLMT_CTN+PPN]],9,0),0)</f>
        <v>0</v>
      </c>
      <c r="I183">
        <f>IFERROR(VLOOKUP(Fix_Mapping[[#This Row],[KODE BARANG]],[1]!KINONF15[[KDBRG]:[HRG_JLMT_CTN+PPN]],10,0),0)</f>
        <v>0</v>
      </c>
      <c r="J183">
        <f>IFERROR(VLOOKUP(Fix_Mapping[[#This Row],[KODE BARANG]],[1]!KINONF15[[KDBRG]:[HRG_JLMT_CTN+PPN]],11,0),0)</f>
        <v>0</v>
      </c>
      <c r="K183">
        <f>IFERROR(VLOOKUP(Fix_Mapping[[#This Row],[KODE BARANG]],[1]!KINONF15[[KDBRG]:[HRG_JLMT_CTN+PPN]],12,0),0)</f>
        <v>0</v>
      </c>
      <c r="L183">
        <f>IFERROR(VLOOKUP(Fix_Mapping[[#This Row],[KODE BARANG]],[1]!KINONF15[[KDBRG]:[HRG_JLMT_CTN+PPN]],13,0),0)</f>
        <v>0</v>
      </c>
      <c r="M183">
        <f>IFERROR(VLOOKUP(Fix_Mapping[[#This Row],[KODE BARANG]],[1]!KINONF15[[KDBRG]:[HRG_JLMT_CTN+PPN]],14,0),0)</f>
        <v>0</v>
      </c>
      <c r="N183">
        <f>IFERROR(VLOOKUP(Fix_Mapping[[#This Row],[KODE BARANG]],[1]!KINONF15[[KDBRG]:[HRG_JLMT_CTN+PPN]],15,0),0)</f>
        <v>0</v>
      </c>
      <c r="O183">
        <f>IFERROR(VLOOKUP(Fix_Mapping[[#This Row],[KODE BARANG]],[1]!KINONF15[[KDBRG]:[HRG_JLMT_CTN+PPN]],16,0),0)</f>
        <v>0</v>
      </c>
      <c r="P183">
        <f>IFERROR(VLOOKUP(Fix_Mapping[[#This Row],[KODE BARANG]],[1]!KINONF15[[KDBRG]:[HRG_JLMT_CTN+PPN]],17,0),0)</f>
        <v>0</v>
      </c>
      <c r="Q183">
        <f>IFERROR(VLOOKUP(Fix_Mapping[[#This Row],[KODE BARANG]],[1]!KINONF15[[KDBRG]:[HRG_JLMT_CTN+PPN]],18,0),0)</f>
        <v>0</v>
      </c>
      <c r="R183" t="s">
        <v>2555</v>
      </c>
      <c r="S183" t="s">
        <v>957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1372</v>
      </c>
      <c r="B184" t="s">
        <v>1373</v>
      </c>
      <c r="C184">
        <v>36</v>
      </c>
      <c r="D184">
        <f>IFERROR(VLOOKUP(Fix_Mapping[[#This Row],[KODE BARANG]],[1]!KINONF15[[KDBRG]:[HRG_JLMT_CTN+PPN]],5,0),0)</f>
        <v>0</v>
      </c>
      <c r="E184" t="s">
        <v>2335</v>
      </c>
      <c r="F184">
        <f>IFERROR(VLOOKUP(Fix_Mapping[[#This Row],[KODE BARANG]],[1]!KINONF15[[KDBRG]:[HRG_JLMT_CTN+PPN]],7,0),0)</f>
        <v>0</v>
      </c>
      <c r="G184">
        <f>IFERROR(VLOOKUP(Fix_Mapping[[#This Row],[KODE BARANG]],[1]!KINONF15[[KDBRG]:[HRG_JLMT_CTN+PPN]],8,0),0)</f>
        <v>0</v>
      </c>
      <c r="H184">
        <f>IFERROR(VLOOKUP(Fix_Mapping[[#This Row],[KODE BARANG]],[1]!KINONF15[[KDBRG]:[HRG_JLMT_CTN+PPN]],9,0),0)</f>
        <v>0</v>
      </c>
      <c r="I184">
        <f>IFERROR(VLOOKUP(Fix_Mapping[[#This Row],[KODE BARANG]],[1]!KINONF15[[KDBRG]:[HRG_JLMT_CTN+PPN]],10,0),0)</f>
        <v>0</v>
      </c>
      <c r="J184">
        <f>IFERROR(VLOOKUP(Fix_Mapping[[#This Row],[KODE BARANG]],[1]!KINONF15[[KDBRG]:[HRG_JLMT_CTN+PPN]],11,0),0)</f>
        <v>0</v>
      </c>
      <c r="K184">
        <f>IFERROR(VLOOKUP(Fix_Mapping[[#This Row],[KODE BARANG]],[1]!KINONF15[[KDBRG]:[HRG_JLMT_CTN+PPN]],12,0),0)</f>
        <v>0</v>
      </c>
      <c r="L184">
        <f>IFERROR(VLOOKUP(Fix_Mapping[[#This Row],[KODE BARANG]],[1]!KINONF15[[KDBRG]:[HRG_JLMT_CTN+PPN]],13,0),0)</f>
        <v>0</v>
      </c>
      <c r="M184">
        <f>IFERROR(VLOOKUP(Fix_Mapping[[#This Row],[KODE BARANG]],[1]!KINONF15[[KDBRG]:[HRG_JLMT_CTN+PPN]],14,0),0)</f>
        <v>0</v>
      </c>
      <c r="N184">
        <f>IFERROR(VLOOKUP(Fix_Mapping[[#This Row],[KODE BARANG]],[1]!KINONF15[[KDBRG]:[HRG_JLMT_CTN+PPN]],15,0),0)</f>
        <v>0</v>
      </c>
      <c r="O184">
        <f>IFERROR(VLOOKUP(Fix_Mapping[[#This Row],[KODE BARANG]],[1]!KINONF15[[KDBRG]:[HRG_JLMT_CTN+PPN]],16,0),0)</f>
        <v>0</v>
      </c>
      <c r="P184">
        <f>IFERROR(VLOOKUP(Fix_Mapping[[#This Row],[KODE BARANG]],[1]!KINONF15[[KDBRG]:[HRG_JLMT_CTN+PPN]],17,0),0)</f>
        <v>0</v>
      </c>
      <c r="Q184">
        <f>IFERROR(VLOOKUP(Fix_Mapping[[#This Row],[KODE BARANG]],[1]!KINONF15[[KDBRG]:[HRG_JLMT_CTN+PPN]],18,0),0)</f>
        <v>0</v>
      </c>
      <c r="R184" t="s">
        <v>2555</v>
      </c>
      <c r="S184" t="s">
        <v>958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1374</v>
      </c>
      <c r="B185" t="s">
        <v>1375</v>
      </c>
      <c r="C185">
        <v>36</v>
      </c>
      <c r="D185">
        <f>IFERROR(VLOOKUP(Fix_Mapping[[#This Row],[KODE BARANG]],[1]!KINONF15[[KDBRG]:[HRG_JLMT_CTN+PPN]],5,0),0)</f>
        <v>0</v>
      </c>
      <c r="E185" t="s">
        <v>2335</v>
      </c>
      <c r="F185">
        <f>IFERROR(VLOOKUP(Fix_Mapping[[#This Row],[KODE BARANG]],[1]!KINONF15[[KDBRG]:[HRG_JLMT_CTN+PPN]],7,0),0)</f>
        <v>0</v>
      </c>
      <c r="G185">
        <f>IFERROR(VLOOKUP(Fix_Mapping[[#This Row],[KODE BARANG]],[1]!KINONF15[[KDBRG]:[HRG_JLMT_CTN+PPN]],8,0),0)</f>
        <v>0</v>
      </c>
      <c r="H185">
        <f>IFERROR(VLOOKUP(Fix_Mapping[[#This Row],[KODE BARANG]],[1]!KINONF15[[KDBRG]:[HRG_JLMT_CTN+PPN]],9,0),0)</f>
        <v>0</v>
      </c>
      <c r="I185">
        <f>IFERROR(VLOOKUP(Fix_Mapping[[#This Row],[KODE BARANG]],[1]!KINONF15[[KDBRG]:[HRG_JLMT_CTN+PPN]],10,0),0)</f>
        <v>0</v>
      </c>
      <c r="J185">
        <f>IFERROR(VLOOKUP(Fix_Mapping[[#This Row],[KODE BARANG]],[1]!KINONF15[[KDBRG]:[HRG_JLMT_CTN+PPN]],11,0),0)</f>
        <v>0</v>
      </c>
      <c r="K185">
        <f>IFERROR(VLOOKUP(Fix_Mapping[[#This Row],[KODE BARANG]],[1]!KINONF15[[KDBRG]:[HRG_JLMT_CTN+PPN]],12,0),0)</f>
        <v>0</v>
      </c>
      <c r="L185">
        <f>IFERROR(VLOOKUP(Fix_Mapping[[#This Row],[KODE BARANG]],[1]!KINONF15[[KDBRG]:[HRG_JLMT_CTN+PPN]],13,0),0)</f>
        <v>0</v>
      </c>
      <c r="M185">
        <f>IFERROR(VLOOKUP(Fix_Mapping[[#This Row],[KODE BARANG]],[1]!KINONF15[[KDBRG]:[HRG_JLMT_CTN+PPN]],14,0),0)</f>
        <v>0</v>
      </c>
      <c r="N185">
        <f>IFERROR(VLOOKUP(Fix_Mapping[[#This Row],[KODE BARANG]],[1]!KINONF15[[KDBRG]:[HRG_JLMT_CTN+PPN]],15,0),0)</f>
        <v>0</v>
      </c>
      <c r="O185">
        <f>IFERROR(VLOOKUP(Fix_Mapping[[#This Row],[KODE BARANG]],[1]!KINONF15[[KDBRG]:[HRG_JLMT_CTN+PPN]],16,0),0)</f>
        <v>0</v>
      </c>
      <c r="P185">
        <f>IFERROR(VLOOKUP(Fix_Mapping[[#This Row],[KODE BARANG]],[1]!KINONF15[[KDBRG]:[HRG_JLMT_CTN+PPN]],17,0),0)</f>
        <v>0</v>
      </c>
      <c r="Q185">
        <f>IFERROR(VLOOKUP(Fix_Mapping[[#This Row],[KODE BARANG]],[1]!KINONF15[[KDBRG]:[HRG_JLMT_CTN+PPN]],18,0),0)</f>
        <v>0</v>
      </c>
      <c r="R185" t="s">
        <v>2555</v>
      </c>
      <c r="S185" t="s">
        <v>959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1376</v>
      </c>
      <c r="B186" t="s">
        <v>1377</v>
      </c>
      <c r="C186">
        <v>36</v>
      </c>
      <c r="D186">
        <f>IFERROR(VLOOKUP(Fix_Mapping[[#This Row],[KODE BARANG]],[1]!KINONF15[[KDBRG]:[HRG_JLMT_CTN+PPN]],5,0),0)</f>
        <v>0</v>
      </c>
      <c r="E186" t="s">
        <v>2337</v>
      </c>
      <c r="F186">
        <f>IFERROR(VLOOKUP(Fix_Mapping[[#This Row],[KODE BARANG]],[1]!KINONF15[[KDBRG]:[HRG_JLMT_CTN+PPN]],7,0),0)</f>
        <v>0</v>
      </c>
      <c r="G186">
        <f>IFERROR(VLOOKUP(Fix_Mapping[[#This Row],[KODE BARANG]],[1]!KINONF15[[KDBRG]:[HRG_JLMT_CTN+PPN]],8,0),0)</f>
        <v>0</v>
      </c>
      <c r="H186">
        <f>IFERROR(VLOOKUP(Fix_Mapping[[#This Row],[KODE BARANG]],[1]!KINONF15[[KDBRG]:[HRG_JLMT_CTN+PPN]],9,0),0)</f>
        <v>0</v>
      </c>
      <c r="I186">
        <f>IFERROR(VLOOKUP(Fix_Mapping[[#This Row],[KODE BARANG]],[1]!KINONF15[[KDBRG]:[HRG_JLMT_CTN+PPN]],10,0),0)</f>
        <v>0</v>
      </c>
      <c r="J186">
        <f>IFERROR(VLOOKUP(Fix_Mapping[[#This Row],[KODE BARANG]],[1]!KINONF15[[KDBRG]:[HRG_JLMT_CTN+PPN]],11,0),0)</f>
        <v>0</v>
      </c>
      <c r="K186">
        <f>IFERROR(VLOOKUP(Fix_Mapping[[#This Row],[KODE BARANG]],[1]!KINONF15[[KDBRG]:[HRG_JLMT_CTN+PPN]],12,0),0)</f>
        <v>0</v>
      </c>
      <c r="L186">
        <f>IFERROR(VLOOKUP(Fix_Mapping[[#This Row],[KODE BARANG]],[1]!KINONF15[[KDBRG]:[HRG_JLMT_CTN+PPN]],13,0),0)</f>
        <v>0</v>
      </c>
      <c r="M186">
        <f>IFERROR(VLOOKUP(Fix_Mapping[[#This Row],[KODE BARANG]],[1]!KINONF15[[KDBRG]:[HRG_JLMT_CTN+PPN]],14,0),0)</f>
        <v>0</v>
      </c>
      <c r="N186">
        <f>IFERROR(VLOOKUP(Fix_Mapping[[#This Row],[KODE BARANG]],[1]!KINONF15[[KDBRG]:[HRG_JLMT_CTN+PPN]],15,0),0)</f>
        <v>0</v>
      </c>
      <c r="O186">
        <f>IFERROR(VLOOKUP(Fix_Mapping[[#This Row],[KODE BARANG]],[1]!KINONF15[[KDBRG]:[HRG_JLMT_CTN+PPN]],16,0),0)</f>
        <v>0</v>
      </c>
      <c r="P186">
        <f>IFERROR(VLOOKUP(Fix_Mapping[[#This Row],[KODE BARANG]],[1]!KINONF15[[KDBRG]:[HRG_JLMT_CTN+PPN]],17,0),0)</f>
        <v>0</v>
      </c>
      <c r="Q186">
        <f>IFERROR(VLOOKUP(Fix_Mapping[[#This Row],[KODE BARANG]],[1]!KINONF15[[KDBRG]:[HRG_JLMT_CTN+PPN]],18,0),0)</f>
        <v>0</v>
      </c>
      <c r="R186" t="s">
        <v>2555</v>
      </c>
      <c r="S186" t="s">
        <v>942</v>
      </c>
      <c r="T186" t="s">
        <v>943</v>
      </c>
      <c r="U186">
        <v>0</v>
      </c>
      <c r="V186">
        <v>0</v>
      </c>
      <c r="W186">
        <v>0</v>
      </c>
    </row>
    <row r="187" spans="1:23">
      <c r="A187" t="s">
        <v>1378</v>
      </c>
      <c r="B187" t="s">
        <v>1379</v>
      </c>
      <c r="C187">
        <v>36</v>
      </c>
      <c r="D187">
        <f>IFERROR(VLOOKUP(Fix_Mapping[[#This Row],[KODE BARANG]],[1]!KINONF15[[KDBRG]:[HRG_JLMT_CTN+PPN]],5,0),0)</f>
        <v>0</v>
      </c>
      <c r="E187" t="s">
        <v>2337</v>
      </c>
      <c r="F187">
        <f>IFERROR(VLOOKUP(Fix_Mapping[[#This Row],[KODE BARANG]],[1]!KINONF15[[KDBRG]:[HRG_JLMT_CTN+PPN]],7,0),0)</f>
        <v>0</v>
      </c>
      <c r="G187">
        <f>IFERROR(VLOOKUP(Fix_Mapping[[#This Row],[KODE BARANG]],[1]!KINONF15[[KDBRG]:[HRG_JLMT_CTN+PPN]],8,0),0)</f>
        <v>0</v>
      </c>
      <c r="H187">
        <f>IFERROR(VLOOKUP(Fix_Mapping[[#This Row],[KODE BARANG]],[1]!KINONF15[[KDBRG]:[HRG_JLMT_CTN+PPN]],9,0),0)</f>
        <v>0</v>
      </c>
      <c r="I187">
        <f>IFERROR(VLOOKUP(Fix_Mapping[[#This Row],[KODE BARANG]],[1]!KINONF15[[KDBRG]:[HRG_JLMT_CTN+PPN]],10,0),0)</f>
        <v>0</v>
      </c>
      <c r="J187">
        <f>IFERROR(VLOOKUP(Fix_Mapping[[#This Row],[KODE BARANG]],[1]!KINONF15[[KDBRG]:[HRG_JLMT_CTN+PPN]],11,0),0)</f>
        <v>0</v>
      </c>
      <c r="K187">
        <f>IFERROR(VLOOKUP(Fix_Mapping[[#This Row],[KODE BARANG]],[1]!KINONF15[[KDBRG]:[HRG_JLMT_CTN+PPN]],12,0),0)</f>
        <v>0</v>
      </c>
      <c r="L187">
        <f>IFERROR(VLOOKUP(Fix_Mapping[[#This Row],[KODE BARANG]],[1]!KINONF15[[KDBRG]:[HRG_JLMT_CTN+PPN]],13,0),0)</f>
        <v>0</v>
      </c>
      <c r="M187">
        <f>IFERROR(VLOOKUP(Fix_Mapping[[#This Row],[KODE BARANG]],[1]!KINONF15[[KDBRG]:[HRG_JLMT_CTN+PPN]],14,0),0)</f>
        <v>0</v>
      </c>
      <c r="N187">
        <f>IFERROR(VLOOKUP(Fix_Mapping[[#This Row],[KODE BARANG]],[1]!KINONF15[[KDBRG]:[HRG_JLMT_CTN+PPN]],15,0),0)</f>
        <v>0</v>
      </c>
      <c r="O187">
        <f>IFERROR(VLOOKUP(Fix_Mapping[[#This Row],[KODE BARANG]],[1]!KINONF15[[KDBRG]:[HRG_JLMT_CTN+PPN]],16,0),0)</f>
        <v>0</v>
      </c>
      <c r="P187">
        <f>IFERROR(VLOOKUP(Fix_Mapping[[#This Row],[KODE BARANG]],[1]!KINONF15[[KDBRG]:[HRG_JLMT_CTN+PPN]],17,0),0)</f>
        <v>0</v>
      </c>
      <c r="Q187">
        <f>IFERROR(VLOOKUP(Fix_Mapping[[#This Row],[KODE BARANG]],[1]!KINONF15[[KDBRG]:[HRG_JLMT_CTN+PPN]],18,0),0)</f>
        <v>0</v>
      </c>
      <c r="R187" t="s">
        <v>2555</v>
      </c>
      <c r="S187" t="s">
        <v>944</v>
      </c>
      <c r="T187" t="s">
        <v>945</v>
      </c>
      <c r="U187">
        <v>0</v>
      </c>
      <c r="V187">
        <v>0</v>
      </c>
      <c r="W187">
        <v>0</v>
      </c>
    </row>
    <row r="188" spans="1:23">
      <c r="A188" t="s">
        <v>1380</v>
      </c>
      <c r="B188" t="s">
        <v>1381</v>
      </c>
      <c r="C188">
        <v>36</v>
      </c>
      <c r="D188">
        <f>IFERROR(VLOOKUP(Fix_Mapping[[#This Row],[KODE BARANG]],[1]!KINONF15[[KDBRG]:[HRG_JLMT_CTN+PPN]],5,0),0)</f>
        <v>0</v>
      </c>
      <c r="E188" t="s">
        <v>2337</v>
      </c>
      <c r="F188">
        <f>IFERROR(VLOOKUP(Fix_Mapping[[#This Row],[KODE BARANG]],[1]!KINONF15[[KDBRG]:[HRG_JLMT_CTN+PPN]],7,0),0)</f>
        <v>0</v>
      </c>
      <c r="G188">
        <f>IFERROR(VLOOKUP(Fix_Mapping[[#This Row],[KODE BARANG]],[1]!KINONF15[[KDBRG]:[HRG_JLMT_CTN+PPN]],8,0),0)</f>
        <v>0</v>
      </c>
      <c r="H188">
        <f>IFERROR(VLOOKUP(Fix_Mapping[[#This Row],[KODE BARANG]],[1]!KINONF15[[KDBRG]:[HRG_JLMT_CTN+PPN]],9,0),0)</f>
        <v>0</v>
      </c>
      <c r="I188">
        <f>IFERROR(VLOOKUP(Fix_Mapping[[#This Row],[KODE BARANG]],[1]!KINONF15[[KDBRG]:[HRG_JLMT_CTN+PPN]],10,0),0)</f>
        <v>0</v>
      </c>
      <c r="J188">
        <f>IFERROR(VLOOKUP(Fix_Mapping[[#This Row],[KODE BARANG]],[1]!KINONF15[[KDBRG]:[HRG_JLMT_CTN+PPN]],11,0),0)</f>
        <v>0</v>
      </c>
      <c r="K188">
        <f>IFERROR(VLOOKUP(Fix_Mapping[[#This Row],[KODE BARANG]],[1]!KINONF15[[KDBRG]:[HRG_JLMT_CTN+PPN]],12,0),0)</f>
        <v>0</v>
      </c>
      <c r="L188">
        <f>IFERROR(VLOOKUP(Fix_Mapping[[#This Row],[KODE BARANG]],[1]!KINONF15[[KDBRG]:[HRG_JLMT_CTN+PPN]],13,0),0)</f>
        <v>0</v>
      </c>
      <c r="M188">
        <f>IFERROR(VLOOKUP(Fix_Mapping[[#This Row],[KODE BARANG]],[1]!KINONF15[[KDBRG]:[HRG_JLMT_CTN+PPN]],14,0),0)</f>
        <v>0</v>
      </c>
      <c r="N188">
        <f>IFERROR(VLOOKUP(Fix_Mapping[[#This Row],[KODE BARANG]],[1]!KINONF15[[KDBRG]:[HRG_JLMT_CTN+PPN]],15,0),0)</f>
        <v>0</v>
      </c>
      <c r="O188">
        <f>IFERROR(VLOOKUP(Fix_Mapping[[#This Row],[KODE BARANG]],[1]!KINONF15[[KDBRG]:[HRG_JLMT_CTN+PPN]],16,0),0)</f>
        <v>0</v>
      </c>
      <c r="P188">
        <f>IFERROR(VLOOKUP(Fix_Mapping[[#This Row],[KODE BARANG]],[1]!KINONF15[[KDBRG]:[HRG_JLMT_CTN+PPN]],17,0),0)</f>
        <v>0</v>
      </c>
      <c r="Q188">
        <f>IFERROR(VLOOKUP(Fix_Mapping[[#This Row],[KODE BARANG]],[1]!KINONF15[[KDBRG]:[HRG_JLMT_CTN+PPN]],18,0),0)</f>
        <v>0</v>
      </c>
      <c r="R188" t="s">
        <v>2555</v>
      </c>
      <c r="S188" t="s">
        <v>946</v>
      </c>
      <c r="T188" t="s">
        <v>947</v>
      </c>
      <c r="U188">
        <v>0</v>
      </c>
      <c r="V188">
        <v>0</v>
      </c>
      <c r="W188">
        <v>0</v>
      </c>
    </row>
    <row r="189" spans="1:23">
      <c r="A189" t="s">
        <v>1382</v>
      </c>
      <c r="B189" t="s">
        <v>1383</v>
      </c>
      <c r="C189">
        <v>36</v>
      </c>
      <c r="D189">
        <f>IFERROR(VLOOKUP(Fix_Mapping[[#This Row],[KODE BARANG]],[1]!KINONF15[[KDBRG]:[HRG_JLMT_CTN+PPN]],5,0),0)</f>
        <v>0</v>
      </c>
      <c r="E189" t="s">
        <v>2337</v>
      </c>
      <c r="F189">
        <f>IFERROR(VLOOKUP(Fix_Mapping[[#This Row],[KODE BARANG]],[1]!KINONF15[[KDBRG]:[HRG_JLMT_CTN+PPN]],7,0),0)</f>
        <v>0</v>
      </c>
      <c r="G189">
        <f>IFERROR(VLOOKUP(Fix_Mapping[[#This Row],[KODE BARANG]],[1]!KINONF15[[KDBRG]:[HRG_JLMT_CTN+PPN]],8,0),0)</f>
        <v>0</v>
      </c>
      <c r="H189">
        <f>IFERROR(VLOOKUP(Fix_Mapping[[#This Row],[KODE BARANG]],[1]!KINONF15[[KDBRG]:[HRG_JLMT_CTN+PPN]],9,0),0)</f>
        <v>0</v>
      </c>
      <c r="I189">
        <f>IFERROR(VLOOKUP(Fix_Mapping[[#This Row],[KODE BARANG]],[1]!KINONF15[[KDBRG]:[HRG_JLMT_CTN+PPN]],10,0),0)</f>
        <v>0</v>
      </c>
      <c r="J189">
        <f>IFERROR(VLOOKUP(Fix_Mapping[[#This Row],[KODE BARANG]],[1]!KINONF15[[KDBRG]:[HRG_JLMT_CTN+PPN]],11,0),0)</f>
        <v>0</v>
      </c>
      <c r="K189">
        <f>IFERROR(VLOOKUP(Fix_Mapping[[#This Row],[KODE BARANG]],[1]!KINONF15[[KDBRG]:[HRG_JLMT_CTN+PPN]],12,0),0)</f>
        <v>0</v>
      </c>
      <c r="L189">
        <f>IFERROR(VLOOKUP(Fix_Mapping[[#This Row],[KODE BARANG]],[1]!KINONF15[[KDBRG]:[HRG_JLMT_CTN+PPN]],13,0),0)</f>
        <v>0</v>
      </c>
      <c r="M189">
        <f>IFERROR(VLOOKUP(Fix_Mapping[[#This Row],[KODE BARANG]],[1]!KINONF15[[KDBRG]:[HRG_JLMT_CTN+PPN]],14,0),0)</f>
        <v>0</v>
      </c>
      <c r="N189">
        <f>IFERROR(VLOOKUP(Fix_Mapping[[#This Row],[KODE BARANG]],[1]!KINONF15[[KDBRG]:[HRG_JLMT_CTN+PPN]],15,0),0)</f>
        <v>0</v>
      </c>
      <c r="O189">
        <f>IFERROR(VLOOKUP(Fix_Mapping[[#This Row],[KODE BARANG]],[1]!KINONF15[[KDBRG]:[HRG_JLMT_CTN+PPN]],16,0),0)</f>
        <v>0</v>
      </c>
      <c r="P189">
        <f>IFERROR(VLOOKUP(Fix_Mapping[[#This Row],[KODE BARANG]],[1]!KINONF15[[KDBRG]:[HRG_JLMT_CTN+PPN]],17,0),0)</f>
        <v>0</v>
      </c>
      <c r="Q189">
        <f>IFERROR(VLOOKUP(Fix_Mapping[[#This Row],[KODE BARANG]],[1]!KINONF15[[KDBRG]:[HRG_JLMT_CTN+PPN]],18,0),0)</f>
        <v>0</v>
      </c>
      <c r="R189" t="s">
        <v>2555</v>
      </c>
      <c r="S189" t="s">
        <v>948</v>
      </c>
      <c r="T189" t="s">
        <v>949</v>
      </c>
      <c r="U189">
        <v>0</v>
      </c>
      <c r="V189">
        <v>0</v>
      </c>
      <c r="W189">
        <v>0</v>
      </c>
    </row>
    <row r="190" spans="1:23">
      <c r="A190" t="s">
        <v>1384</v>
      </c>
      <c r="B190" t="s">
        <v>1385</v>
      </c>
      <c r="C190">
        <v>36</v>
      </c>
      <c r="D190">
        <f>IFERROR(VLOOKUP(Fix_Mapping[[#This Row],[KODE BARANG]],[1]!KINONF15[[KDBRG]:[HRG_JLMT_CTN+PPN]],5,0),0)</f>
        <v>0</v>
      </c>
      <c r="E190" t="s">
        <v>2337</v>
      </c>
      <c r="F190">
        <f>IFERROR(VLOOKUP(Fix_Mapping[[#This Row],[KODE BARANG]],[1]!KINONF15[[KDBRG]:[HRG_JLMT_CTN+PPN]],7,0),0)</f>
        <v>0</v>
      </c>
      <c r="G190">
        <f>IFERROR(VLOOKUP(Fix_Mapping[[#This Row],[KODE BARANG]],[1]!KINONF15[[KDBRG]:[HRG_JLMT_CTN+PPN]],8,0),0)</f>
        <v>0</v>
      </c>
      <c r="H190">
        <f>IFERROR(VLOOKUP(Fix_Mapping[[#This Row],[KODE BARANG]],[1]!KINONF15[[KDBRG]:[HRG_JLMT_CTN+PPN]],9,0),0)</f>
        <v>0</v>
      </c>
      <c r="I190">
        <f>IFERROR(VLOOKUP(Fix_Mapping[[#This Row],[KODE BARANG]],[1]!KINONF15[[KDBRG]:[HRG_JLMT_CTN+PPN]],10,0),0)</f>
        <v>0</v>
      </c>
      <c r="J190">
        <f>IFERROR(VLOOKUP(Fix_Mapping[[#This Row],[KODE BARANG]],[1]!KINONF15[[KDBRG]:[HRG_JLMT_CTN+PPN]],11,0),0)</f>
        <v>0</v>
      </c>
      <c r="K190">
        <f>IFERROR(VLOOKUP(Fix_Mapping[[#This Row],[KODE BARANG]],[1]!KINONF15[[KDBRG]:[HRG_JLMT_CTN+PPN]],12,0),0)</f>
        <v>0</v>
      </c>
      <c r="L190">
        <f>IFERROR(VLOOKUP(Fix_Mapping[[#This Row],[KODE BARANG]],[1]!KINONF15[[KDBRG]:[HRG_JLMT_CTN+PPN]],13,0),0)</f>
        <v>0</v>
      </c>
      <c r="M190">
        <f>IFERROR(VLOOKUP(Fix_Mapping[[#This Row],[KODE BARANG]],[1]!KINONF15[[KDBRG]:[HRG_JLMT_CTN+PPN]],14,0),0)</f>
        <v>0</v>
      </c>
      <c r="N190">
        <f>IFERROR(VLOOKUP(Fix_Mapping[[#This Row],[KODE BARANG]],[1]!KINONF15[[KDBRG]:[HRG_JLMT_CTN+PPN]],15,0),0)</f>
        <v>0</v>
      </c>
      <c r="O190">
        <f>IFERROR(VLOOKUP(Fix_Mapping[[#This Row],[KODE BARANG]],[1]!KINONF15[[KDBRG]:[HRG_JLMT_CTN+PPN]],16,0),0)</f>
        <v>0</v>
      </c>
      <c r="P190">
        <f>IFERROR(VLOOKUP(Fix_Mapping[[#This Row],[KODE BARANG]],[1]!KINONF15[[KDBRG]:[HRG_JLMT_CTN+PPN]],17,0),0)</f>
        <v>0</v>
      </c>
      <c r="Q190">
        <f>IFERROR(VLOOKUP(Fix_Mapping[[#This Row],[KODE BARANG]],[1]!KINONF15[[KDBRG]:[HRG_JLMT_CTN+PPN]],18,0),0)</f>
        <v>0</v>
      </c>
      <c r="R190" t="s">
        <v>2555</v>
      </c>
      <c r="S190" t="s">
        <v>950</v>
      </c>
      <c r="T190" t="s">
        <v>951</v>
      </c>
      <c r="U190">
        <v>0</v>
      </c>
      <c r="V190">
        <v>0</v>
      </c>
      <c r="W190">
        <v>0</v>
      </c>
    </row>
    <row r="191" spans="1:23">
      <c r="A191" t="s">
        <v>1386</v>
      </c>
      <c r="B191" t="s">
        <v>1387</v>
      </c>
      <c r="C191">
        <v>36</v>
      </c>
      <c r="D191">
        <f>IFERROR(VLOOKUP(Fix_Mapping[[#This Row],[KODE BARANG]],[1]!KINONF15[[KDBRG]:[HRG_JLMT_CTN+PPN]],5,0),0)</f>
        <v>0</v>
      </c>
      <c r="E191" t="s">
        <v>2341</v>
      </c>
      <c r="F191">
        <f>IFERROR(VLOOKUP(Fix_Mapping[[#This Row],[KODE BARANG]],[1]!KINONF15[[KDBRG]:[HRG_JLMT_CTN+PPN]],7,0),0)</f>
        <v>0</v>
      </c>
      <c r="G191">
        <f>IFERROR(VLOOKUP(Fix_Mapping[[#This Row],[KODE BARANG]],[1]!KINONF15[[KDBRG]:[HRG_JLMT_CTN+PPN]],8,0),0)</f>
        <v>0</v>
      </c>
      <c r="H191">
        <f>IFERROR(VLOOKUP(Fix_Mapping[[#This Row],[KODE BARANG]],[1]!KINONF15[[KDBRG]:[HRG_JLMT_CTN+PPN]],9,0),0)</f>
        <v>0</v>
      </c>
      <c r="I191">
        <f>IFERROR(VLOOKUP(Fix_Mapping[[#This Row],[KODE BARANG]],[1]!KINONF15[[KDBRG]:[HRG_JLMT_CTN+PPN]],10,0),0)</f>
        <v>0</v>
      </c>
      <c r="J191">
        <f>IFERROR(VLOOKUP(Fix_Mapping[[#This Row],[KODE BARANG]],[1]!KINONF15[[KDBRG]:[HRG_JLMT_CTN+PPN]],11,0),0)</f>
        <v>0</v>
      </c>
      <c r="K191">
        <f>IFERROR(VLOOKUP(Fix_Mapping[[#This Row],[KODE BARANG]],[1]!KINONF15[[KDBRG]:[HRG_JLMT_CTN+PPN]],12,0),0)</f>
        <v>0</v>
      </c>
      <c r="L191">
        <f>IFERROR(VLOOKUP(Fix_Mapping[[#This Row],[KODE BARANG]],[1]!KINONF15[[KDBRG]:[HRG_JLMT_CTN+PPN]],13,0),0)</f>
        <v>0</v>
      </c>
      <c r="M191">
        <f>IFERROR(VLOOKUP(Fix_Mapping[[#This Row],[KODE BARANG]],[1]!KINONF15[[KDBRG]:[HRG_JLMT_CTN+PPN]],14,0),0)</f>
        <v>0</v>
      </c>
      <c r="N191">
        <f>IFERROR(VLOOKUP(Fix_Mapping[[#This Row],[KODE BARANG]],[1]!KINONF15[[KDBRG]:[HRG_JLMT_CTN+PPN]],15,0),0)</f>
        <v>0</v>
      </c>
      <c r="O191">
        <f>IFERROR(VLOOKUP(Fix_Mapping[[#This Row],[KODE BARANG]],[1]!KINONF15[[KDBRG]:[HRG_JLMT_CTN+PPN]],16,0),0)</f>
        <v>0</v>
      </c>
      <c r="P191">
        <f>IFERROR(VLOOKUP(Fix_Mapping[[#This Row],[KODE BARANG]],[1]!KINONF15[[KDBRG]:[HRG_JLMT_CTN+PPN]],17,0),0)</f>
        <v>0</v>
      </c>
      <c r="Q191">
        <f>IFERROR(VLOOKUP(Fix_Mapping[[#This Row],[KODE BARANG]],[1]!KINONF15[[KDBRG]:[HRG_JLMT_CTN+PPN]],18,0),0)</f>
        <v>0</v>
      </c>
      <c r="R191" t="s">
        <v>2555</v>
      </c>
      <c r="S191" t="s">
        <v>977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1388</v>
      </c>
      <c r="B192" t="s">
        <v>1389</v>
      </c>
      <c r="C192">
        <v>36</v>
      </c>
      <c r="D192">
        <f>IFERROR(VLOOKUP(Fix_Mapping[[#This Row],[KODE BARANG]],[1]!KINONF15[[KDBRG]:[HRG_JLMT_CTN+PPN]],5,0),0)</f>
        <v>0</v>
      </c>
      <c r="E192" t="s">
        <v>2341</v>
      </c>
      <c r="F192">
        <f>IFERROR(VLOOKUP(Fix_Mapping[[#This Row],[KODE BARANG]],[1]!KINONF15[[KDBRG]:[HRG_JLMT_CTN+PPN]],7,0),0)</f>
        <v>0</v>
      </c>
      <c r="G192">
        <f>IFERROR(VLOOKUP(Fix_Mapping[[#This Row],[KODE BARANG]],[1]!KINONF15[[KDBRG]:[HRG_JLMT_CTN+PPN]],8,0),0)</f>
        <v>0</v>
      </c>
      <c r="H192">
        <f>IFERROR(VLOOKUP(Fix_Mapping[[#This Row],[KODE BARANG]],[1]!KINONF15[[KDBRG]:[HRG_JLMT_CTN+PPN]],9,0),0)</f>
        <v>0</v>
      </c>
      <c r="I192">
        <f>IFERROR(VLOOKUP(Fix_Mapping[[#This Row],[KODE BARANG]],[1]!KINONF15[[KDBRG]:[HRG_JLMT_CTN+PPN]],10,0),0)</f>
        <v>0</v>
      </c>
      <c r="J192">
        <f>IFERROR(VLOOKUP(Fix_Mapping[[#This Row],[KODE BARANG]],[1]!KINONF15[[KDBRG]:[HRG_JLMT_CTN+PPN]],11,0),0)</f>
        <v>0</v>
      </c>
      <c r="K192">
        <f>IFERROR(VLOOKUP(Fix_Mapping[[#This Row],[KODE BARANG]],[1]!KINONF15[[KDBRG]:[HRG_JLMT_CTN+PPN]],12,0),0)</f>
        <v>0</v>
      </c>
      <c r="L192">
        <f>IFERROR(VLOOKUP(Fix_Mapping[[#This Row],[KODE BARANG]],[1]!KINONF15[[KDBRG]:[HRG_JLMT_CTN+PPN]],13,0),0)</f>
        <v>0</v>
      </c>
      <c r="M192">
        <f>IFERROR(VLOOKUP(Fix_Mapping[[#This Row],[KODE BARANG]],[1]!KINONF15[[KDBRG]:[HRG_JLMT_CTN+PPN]],14,0),0)</f>
        <v>0</v>
      </c>
      <c r="N192">
        <f>IFERROR(VLOOKUP(Fix_Mapping[[#This Row],[KODE BARANG]],[1]!KINONF15[[KDBRG]:[HRG_JLMT_CTN+PPN]],15,0),0)</f>
        <v>0</v>
      </c>
      <c r="O192">
        <f>IFERROR(VLOOKUP(Fix_Mapping[[#This Row],[KODE BARANG]],[1]!KINONF15[[KDBRG]:[HRG_JLMT_CTN+PPN]],16,0),0)</f>
        <v>0</v>
      </c>
      <c r="P192">
        <f>IFERROR(VLOOKUP(Fix_Mapping[[#This Row],[KODE BARANG]],[1]!KINONF15[[KDBRG]:[HRG_JLMT_CTN+PPN]],17,0),0)</f>
        <v>0</v>
      </c>
      <c r="Q192">
        <f>IFERROR(VLOOKUP(Fix_Mapping[[#This Row],[KODE BARANG]],[1]!KINONF15[[KDBRG]:[HRG_JLMT_CTN+PPN]],18,0),0)</f>
        <v>0</v>
      </c>
      <c r="R192" t="s">
        <v>2555</v>
      </c>
      <c r="S192" t="s">
        <v>978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1390</v>
      </c>
      <c r="B193" t="s">
        <v>1391</v>
      </c>
      <c r="C193">
        <v>36</v>
      </c>
      <c r="D193">
        <f>IFERROR(VLOOKUP(Fix_Mapping[[#This Row],[KODE BARANG]],[1]!KINONF15[[KDBRG]:[HRG_JLMT_CTN+PPN]],5,0),0)</f>
        <v>0</v>
      </c>
      <c r="E193" t="s">
        <v>2347</v>
      </c>
      <c r="F193">
        <f>IFERROR(VLOOKUP(Fix_Mapping[[#This Row],[KODE BARANG]],[1]!KINONF15[[KDBRG]:[HRG_JLMT_CTN+PPN]],7,0),0)</f>
        <v>0</v>
      </c>
      <c r="G193">
        <f>IFERROR(VLOOKUP(Fix_Mapping[[#This Row],[KODE BARANG]],[1]!KINONF15[[KDBRG]:[HRG_JLMT_CTN+PPN]],8,0),0)</f>
        <v>0</v>
      </c>
      <c r="H193">
        <f>IFERROR(VLOOKUP(Fix_Mapping[[#This Row],[KODE BARANG]],[1]!KINONF15[[KDBRG]:[HRG_JLMT_CTN+PPN]],9,0),0)</f>
        <v>0</v>
      </c>
      <c r="I193">
        <f>IFERROR(VLOOKUP(Fix_Mapping[[#This Row],[KODE BARANG]],[1]!KINONF15[[KDBRG]:[HRG_JLMT_CTN+PPN]],10,0),0)</f>
        <v>0</v>
      </c>
      <c r="J193">
        <f>IFERROR(VLOOKUP(Fix_Mapping[[#This Row],[KODE BARANG]],[1]!KINONF15[[KDBRG]:[HRG_JLMT_CTN+PPN]],11,0),0)</f>
        <v>0</v>
      </c>
      <c r="K193">
        <f>IFERROR(VLOOKUP(Fix_Mapping[[#This Row],[KODE BARANG]],[1]!KINONF15[[KDBRG]:[HRG_JLMT_CTN+PPN]],12,0),0)</f>
        <v>0</v>
      </c>
      <c r="L193">
        <f>IFERROR(VLOOKUP(Fix_Mapping[[#This Row],[KODE BARANG]],[1]!KINONF15[[KDBRG]:[HRG_JLMT_CTN+PPN]],13,0),0)</f>
        <v>0</v>
      </c>
      <c r="M193">
        <f>IFERROR(VLOOKUP(Fix_Mapping[[#This Row],[KODE BARANG]],[1]!KINONF15[[KDBRG]:[HRG_JLMT_CTN+PPN]],14,0),0)</f>
        <v>0</v>
      </c>
      <c r="N193">
        <f>IFERROR(VLOOKUP(Fix_Mapping[[#This Row],[KODE BARANG]],[1]!KINONF15[[KDBRG]:[HRG_JLMT_CTN+PPN]],15,0),0)</f>
        <v>0</v>
      </c>
      <c r="O193">
        <f>IFERROR(VLOOKUP(Fix_Mapping[[#This Row],[KODE BARANG]],[1]!KINONF15[[KDBRG]:[HRG_JLMT_CTN+PPN]],16,0),0)</f>
        <v>0</v>
      </c>
      <c r="P193">
        <f>IFERROR(VLOOKUP(Fix_Mapping[[#This Row],[KODE BARANG]],[1]!KINONF15[[KDBRG]:[HRG_JLMT_CTN+PPN]],17,0),0)</f>
        <v>0</v>
      </c>
      <c r="Q193">
        <f>IFERROR(VLOOKUP(Fix_Mapping[[#This Row],[KODE BARANG]],[1]!KINONF15[[KDBRG]:[HRG_JLMT_CTN+PPN]],18,0),0)</f>
        <v>0</v>
      </c>
      <c r="R193" t="s">
        <v>2555</v>
      </c>
      <c r="S193" t="s">
        <v>968</v>
      </c>
      <c r="T193">
        <v>0</v>
      </c>
      <c r="U193">
        <v>0</v>
      </c>
      <c r="V193">
        <v>0</v>
      </c>
      <c r="W193">
        <v>0</v>
      </c>
    </row>
    <row r="194" spans="1:23">
      <c r="A194" t="s">
        <v>1392</v>
      </c>
      <c r="B194" t="s">
        <v>1393</v>
      </c>
      <c r="C194">
        <v>36</v>
      </c>
      <c r="D194">
        <f>IFERROR(VLOOKUP(Fix_Mapping[[#This Row],[KODE BARANG]],[1]!KINONF15[[KDBRG]:[HRG_JLMT_CTN+PPN]],5,0),0)</f>
        <v>0</v>
      </c>
      <c r="E194" t="s">
        <v>2347</v>
      </c>
      <c r="F194">
        <f>IFERROR(VLOOKUP(Fix_Mapping[[#This Row],[KODE BARANG]],[1]!KINONF15[[KDBRG]:[HRG_JLMT_CTN+PPN]],7,0),0)</f>
        <v>0</v>
      </c>
      <c r="G194">
        <f>IFERROR(VLOOKUP(Fix_Mapping[[#This Row],[KODE BARANG]],[1]!KINONF15[[KDBRG]:[HRG_JLMT_CTN+PPN]],8,0),0)</f>
        <v>0</v>
      </c>
      <c r="H194">
        <f>IFERROR(VLOOKUP(Fix_Mapping[[#This Row],[KODE BARANG]],[1]!KINONF15[[KDBRG]:[HRG_JLMT_CTN+PPN]],9,0),0)</f>
        <v>0</v>
      </c>
      <c r="I194">
        <f>IFERROR(VLOOKUP(Fix_Mapping[[#This Row],[KODE BARANG]],[1]!KINONF15[[KDBRG]:[HRG_JLMT_CTN+PPN]],10,0),0)</f>
        <v>0</v>
      </c>
      <c r="J194">
        <f>IFERROR(VLOOKUP(Fix_Mapping[[#This Row],[KODE BARANG]],[1]!KINONF15[[KDBRG]:[HRG_JLMT_CTN+PPN]],11,0),0)</f>
        <v>0</v>
      </c>
      <c r="K194">
        <f>IFERROR(VLOOKUP(Fix_Mapping[[#This Row],[KODE BARANG]],[1]!KINONF15[[KDBRG]:[HRG_JLMT_CTN+PPN]],12,0),0)</f>
        <v>0</v>
      </c>
      <c r="L194">
        <f>IFERROR(VLOOKUP(Fix_Mapping[[#This Row],[KODE BARANG]],[1]!KINONF15[[KDBRG]:[HRG_JLMT_CTN+PPN]],13,0),0)</f>
        <v>0</v>
      </c>
      <c r="M194">
        <f>IFERROR(VLOOKUP(Fix_Mapping[[#This Row],[KODE BARANG]],[1]!KINONF15[[KDBRG]:[HRG_JLMT_CTN+PPN]],14,0),0)</f>
        <v>0</v>
      </c>
      <c r="N194">
        <f>IFERROR(VLOOKUP(Fix_Mapping[[#This Row],[KODE BARANG]],[1]!KINONF15[[KDBRG]:[HRG_JLMT_CTN+PPN]],15,0),0)</f>
        <v>0</v>
      </c>
      <c r="O194">
        <f>IFERROR(VLOOKUP(Fix_Mapping[[#This Row],[KODE BARANG]],[1]!KINONF15[[KDBRG]:[HRG_JLMT_CTN+PPN]],16,0),0)</f>
        <v>0</v>
      </c>
      <c r="P194">
        <f>IFERROR(VLOOKUP(Fix_Mapping[[#This Row],[KODE BARANG]],[1]!KINONF15[[KDBRG]:[HRG_JLMT_CTN+PPN]],17,0),0)</f>
        <v>0</v>
      </c>
      <c r="Q194">
        <f>IFERROR(VLOOKUP(Fix_Mapping[[#This Row],[KODE BARANG]],[1]!KINONF15[[KDBRG]:[HRG_JLMT_CTN+PPN]],18,0),0)</f>
        <v>0</v>
      </c>
      <c r="R194" t="s">
        <v>2555</v>
      </c>
      <c r="S194" t="s">
        <v>969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1394</v>
      </c>
      <c r="B195" t="s">
        <v>1395</v>
      </c>
      <c r="C195">
        <v>36</v>
      </c>
      <c r="D195">
        <f>IFERROR(VLOOKUP(Fix_Mapping[[#This Row],[KODE BARANG]],[1]!KINONF15[[KDBRG]:[HRG_JLMT_CTN+PPN]],5,0),0)</f>
        <v>0</v>
      </c>
      <c r="E195" t="s">
        <v>2347</v>
      </c>
      <c r="F195">
        <f>IFERROR(VLOOKUP(Fix_Mapping[[#This Row],[KODE BARANG]],[1]!KINONF15[[KDBRG]:[HRG_JLMT_CTN+PPN]],7,0),0)</f>
        <v>0</v>
      </c>
      <c r="G195">
        <f>IFERROR(VLOOKUP(Fix_Mapping[[#This Row],[KODE BARANG]],[1]!KINONF15[[KDBRG]:[HRG_JLMT_CTN+PPN]],8,0),0)</f>
        <v>0</v>
      </c>
      <c r="H195">
        <f>IFERROR(VLOOKUP(Fix_Mapping[[#This Row],[KODE BARANG]],[1]!KINONF15[[KDBRG]:[HRG_JLMT_CTN+PPN]],9,0),0)</f>
        <v>0</v>
      </c>
      <c r="I195">
        <f>IFERROR(VLOOKUP(Fix_Mapping[[#This Row],[KODE BARANG]],[1]!KINONF15[[KDBRG]:[HRG_JLMT_CTN+PPN]],10,0),0)</f>
        <v>0</v>
      </c>
      <c r="J195">
        <f>IFERROR(VLOOKUP(Fix_Mapping[[#This Row],[KODE BARANG]],[1]!KINONF15[[KDBRG]:[HRG_JLMT_CTN+PPN]],11,0),0)</f>
        <v>0</v>
      </c>
      <c r="K195">
        <f>IFERROR(VLOOKUP(Fix_Mapping[[#This Row],[KODE BARANG]],[1]!KINONF15[[KDBRG]:[HRG_JLMT_CTN+PPN]],12,0),0)</f>
        <v>0</v>
      </c>
      <c r="L195">
        <f>IFERROR(VLOOKUP(Fix_Mapping[[#This Row],[KODE BARANG]],[1]!KINONF15[[KDBRG]:[HRG_JLMT_CTN+PPN]],13,0),0)</f>
        <v>0</v>
      </c>
      <c r="M195">
        <f>IFERROR(VLOOKUP(Fix_Mapping[[#This Row],[KODE BARANG]],[1]!KINONF15[[KDBRG]:[HRG_JLMT_CTN+PPN]],14,0),0)</f>
        <v>0</v>
      </c>
      <c r="N195">
        <f>IFERROR(VLOOKUP(Fix_Mapping[[#This Row],[KODE BARANG]],[1]!KINONF15[[KDBRG]:[HRG_JLMT_CTN+PPN]],15,0),0)</f>
        <v>0</v>
      </c>
      <c r="O195">
        <f>IFERROR(VLOOKUP(Fix_Mapping[[#This Row],[KODE BARANG]],[1]!KINONF15[[KDBRG]:[HRG_JLMT_CTN+PPN]],16,0),0)</f>
        <v>0</v>
      </c>
      <c r="P195">
        <f>IFERROR(VLOOKUP(Fix_Mapping[[#This Row],[KODE BARANG]],[1]!KINONF15[[KDBRG]:[HRG_JLMT_CTN+PPN]],17,0),0)</f>
        <v>0</v>
      </c>
      <c r="Q195">
        <f>IFERROR(VLOOKUP(Fix_Mapping[[#This Row],[KODE BARANG]],[1]!KINONF15[[KDBRG]:[HRG_JLMT_CTN+PPN]],18,0),0)</f>
        <v>0</v>
      </c>
      <c r="R195" t="s">
        <v>2555</v>
      </c>
      <c r="S195" t="s">
        <v>970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1396</v>
      </c>
      <c r="B196" t="s">
        <v>1397</v>
      </c>
      <c r="C196">
        <v>36</v>
      </c>
      <c r="D196">
        <f>IFERROR(VLOOKUP(Fix_Mapping[[#This Row],[KODE BARANG]],[1]!KINONF15[[KDBRG]:[HRG_JLMT_CTN+PPN]],5,0),0)</f>
        <v>0</v>
      </c>
      <c r="E196" t="s">
        <v>2347</v>
      </c>
      <c r="F196">
        <f>IFERROR(VLOOKUP(Fix_Mapping[[#This Row],[KODE BARANG]],[1]!KINONF15[[KDBRG]:[HRG_JLMT_CTN+PPN]],7,0),0)</f>
        <v>0</v>
      </c>
      <c r="G196">
        <f>IFERROR(VLOOKUP(Fix_Mapping[[#This Row],[KODE BARANG]],[1]!KINONF15[[KDBRG]:[HRG_JLMT_CTN+PPN]],8,0),0)</f>
        <v>0</v>
      </c>
      <c r="H196">
        <f>IFERROR(VLOOKUP(Fix_Mapping[[#This Row],[KODE BARANG]],[1]!KINONF15[[KDBRG]:[HRG_JLMT_CTN+PPN]],9,0),0)</f>
        <v>0</v>
      </c>
      <c r="I196">
        <f>IFERROR(VLOOKUP(Fix_Mapping[[#This Row],[KODE BARANG]],[1]!KINONF15[[KDBRG]:[HRG_JLMT_CTN+PPN]],10,0),0)</f>
        <v>0</v>
      </c>
      <c r="J196">
        <f>IFERROR(VLOOKUP(Fix_Mapping[[#This Row],[KODE BARANG]],[1]!KINONF15[[KDBRG]:[HRG_JLMT_CTN+PPN]],11,0),0)</f>
        <v>0</v>
      </c>
      <c r="K196">
        <f>IFERROR(VLOOKUP(Fix_Mapping[[#This Row],[KODE BARANG]],[1]!KINONF15[[KDBRG]:[HRG_JLMT_CTN+PPN]],12,0),0)</f>
        <v>0</v>
      </c>
      <c r="L196">
        <f>IFERROR(VLOOKUP(Fix_Mapping[[#This Row],[KODE BARANG]],[1]!KINONF15[[KDBRG]:[HRG_JLMT_CTN+PPN]],13,0),0)</f>
        <v>0</v>
      </c>
      <c r="M196">
        <f>IFERROR(VLOOKUP(Fix_Mapping[[#This Row],[KODE BARANG]],[1]!KINONF15[[KDBRG]:[HRG_JLMT_CTN+PPN]],14,0),0)</f>
        <v>0</v>
      </c>
      <c r="N196">
        <f>IFERROR(VLOOKUP(Fix_Mapping[[#This Row],[KODE BARANG]],[1]!KINONF15[[KDBRG]:[HRG_JLMT_CTN+PPN]],15,0),0)</f>
        <v>0</v>
      </c>
      <c r="O196">
        <f>IFERROR(VLOOKUP(Fix_Mapping[[#This Row],[KODE BARANG]],[1]!KINONF15[[KDBRG]:[HRG_JLMT_CTN+PPN]],16,0),0)</f>
        <v>0</v>
      </c>
      <c r="P196">
        <f>IFERROR(VLOOKUP(Fix_Mapping[[#This Row],[KODE BARANG]],[1]!KINONF15[[KDBRG]:[HRG_JLMT_CTN+PPN]],17,0),0)</f>
        <v>0</v>
      </c>
      <c r="Q196">
        <f>IFERROR(VLOOKUP(Fix_Mapping[[#This Row],[KODE BARANG]],[1]!KINONF15[[KDBRG]:[HRG_JLMT_CTN+PPN]],18,0),0)</f>
        <v>0</v>
      </c>
      <c r="R196" t="s">
        <v>2555</v>
      </c>
      <c r="S196" t="s">
        <v>971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1405</v>
      </c>
      <c r="B197" t="s">
        <v>1406</v>
      </c>
      <c r="C197">
        <v>36</v>
      </c>
      <c r="D197">
        <f>IFERROR(VLOOKUP(Fix_Mapping[[#This Row],[KODE BARANG]],[1]!KINONF15[[KDBRG]:[HRG_JLMT_CTN+PPN]],5,0),0)</f>
        <v>0</v>
      </c>
      <c r="E197" t="s">
        <v>2352</v>
      </c>
      <c r="F197">
        <f>IFERROR(VLOOKUP(Fix_Mapping[[#This Row],[KODE BARANG]],[1]!KINONF15[[KDBRG]:[HRG_JLMT_CTN+PPN]],7,0),0)</f>
        <v>0</v>
      </c>
      <c r="G197">
        <f>IFERROR(VLOOKUP(Fix_Mapping[[#This Row],[KODE BARANG]],[1]!KINONF15[[KDBRG]:[HRG_JLMT_CTN+PPN]],8,0),0)</f>
        <v>0</v>
      </c>
      <c r="H197">
        <f>IFERROR(VLOOKUP(Fix_Mapping[[#This Row],[KODE BARANG]],[1]!KINONF15[[KDBRG]:[HRG_JLMT_CTN+PPN]],9,0),0)</f>
        <v>0</v>
      </c>
      <c r="I197">
        <f>IFERROR(VLOOKUP(Fix_Mapping[[#This Row],[KODE BARANG]],[1]!KINONF15[[KDBRG]:[HRG_JLMT_CTN+PPN]],10,0),0)</f>
        <v>0</v>
      </c>
      <c r="J197">
        <f>IFERROR(VLOOKUP(Fix_Mapping[[#This Row],[KODE BARANG]],[1]!KINONF15[[KDBRG]:[HRG_JLMT_CTN+PPN]],11,0),0)</f>
        <v>0</v>
      </c>
      <c r="K197">
        <f>IFERROR(VLOOKUP(Fix_Mapping[[#This Row],[KODE BARANG]],[1]!KINONF15[[KDBRG]:[HRG_JLMT_CTN+PPN]],12,0),0)</f>
        <v>0</v>
      </c>
      <c r="L197">
        <f>IFERROR(VLOOKUP(Fix_Mapping[[#This Row],[KODE BARANG]],[1]!KINONF15[[KDBRG]:[HRG_JLMT_CTN+PPN]],13,0),0)</f>
        <v>0</v>
      </c>
      <c r="M197">
        <f>IFERROR(VLOOKUP(Fix_Mapping[[#This Row],[KODE BARANG]],[1]!KINONF15[[KDBRG]:[HRG_JLMT_CTN+PPN]],14,0),0)</f>
        <v>0</v>
      </c>
      <c r="N197">
        <f>IFERROR(VLOOKUP(Fix_Mapping[[#This Row],[KODE BARANG]],[1]!KINONF15[[KDBRG]:[HRG_JLMT_CTN+PPN]],15,0),0)</f>
        <v>0</v>
      </c>
      <c r="O197">
        <f>IFERROR(VLOOKUP(Fix_Mapping[[#This Row],[KODE BARANG]],[1]!KINONF15[[KDBRG]:[HRG_JLMT_CTN+PPN]],16,0),0)</f>
        <v>0</v>
      </c>
      <c r="P197">
        <f>IFERROR(VLOOKUP(Fix_Mapping[[#This Row],[KODE BARANG]],[1]!KINONF15[[KDBRG]:[HRG_JLMT_CTN+PPN]],17,0),0)</f>
        <v>0</v>
      </c>
      <c r="Q197">
        <f>IFERROR(VLOOKUP(Fix_Mapping[[#This Row],[KODE BARANG]],[1]!KINONF15[[KDBRG]:[HRG_JLMT_CTN+PPN]],18,0),0)</f>
        <v>0</v>
      </c>
      <c r="R197" t="s">
        <v>2555</v>
      </c>
      <c r="S197" t="s">
        <v>751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1409</v>
      </c>
      <c r="B198" t="s">
        <v>1408</v>
      </c>
      <c r="C198">
        <v>24</v>
      </c>
      <c r="D198">
        <f>IFERROR(VLOOKUP(Fix_Mapping[[#This Row],[KODE BARANG]],[1]!KINONF15[[KDBRG]:[HRG_JLMT_CTN+PPN]],5,0),0)</f>
        <v>0</v>
      </c>
      <c r="E198" t="s">
        <v>2354</v>
      </c>
      <c r="F198">
        <f>IFERROR(VLOOKUP(Fix_Mapping[[#This Row],[KODE BARANG]],[1]!KINONF15[[KDBRG]:[HRG_JLMT_CTN+PPN]],7,0),0)</f>
        <v>0</v>
      </c>
      <c r="G198">
        <f>IFERROR(VLOOKUP(Fix_Mapping[[#This Row],[KODE BARANG]],[1]!KINONF15[[KDBRG]:[HRG_JLMT_CTN+PPN]],8,0),0)</f>
        <v>0</v>
      </c>
      <c r="H198">
        <f>IFERROR(VLOOKUP(Fix_Mapping[[#This Row],[KODE BARANG]],[1]!KINONF15[[KDBRG]:[HRG_JLMT_CTN+PPN]],9,0),0)</f>
        <v>0</v>
      </c>
      <c r="I198">
        <f>IFERROR(VLOOKUP(Fix_Mapping[[#This Row],[KODE BARANG]],[1]!KINONF15[[KDBRG]:[HRG_JLMT_CTN+PPN]],10,0),0)</f>
        <v>0</v>
      </c>
      <c r="J198">
        <f>IFERROR(VLOOKUP(Fix_Mapping[[#This Row],[KODE BARANG]],[1]!KINONF15[[KDBRG]:[HRG_JLMT_CTN+PPN]],11,0),0)</f>
        <v>0</v>
      </c>
      <c r="K198">
        <f>IFERROR(VLOOKUP(Fix_Mapping[[#This Row],[KODE BARANG]],[1]!KINONF15[[KDBRG]:[HRG_JLMT_CTN+PPN]],12,0),0)</f>
        <v>0</v>
      </c>
      <c r="L198">
        <f>IFERROR(VLOOKUP(Fix_Mapping[[#This Row],[KODE BARANG]],[1]!KINONF15[[KDBRG]:[HRG_JLMT_CTN+PPN]],13,0),0)</f>
        <v>0</v>
      </c>
      <c r="M198">
        <f>IFERROR(VLOOKUP(Fix_Mapping[[#This Row],[KODE BARANG]],[1]!KINONF15[[KDBRG]:[HRG_JLMT_CTN+PPN]],14,0),0)</f>
        <v>0</v>
      </c>
      <c r="N198">
        <f>IFERROR(VLOOKUP(Fix_Mapping[[#This Row],[KODE BARANG]],[1]!KINONF15[[KDBRG]:[HRG_JLMT_CTN+PPN]],15,0),0)</f>
        <v>0</v>
      </c>
      <c r="O198">
        <f>IFERROR(VLOOKUP(Fix_Mapping[[#This Row],[KODE BARANG]],[1]!KINONF15[[KDBRG]:[HRG_JLMT_CTN+PPN]],16,0),0)</f>
        <v>0</v>
      </c>
      <c r="P198">
        <f>IFERROR(VLOOKUP(Fix_Mapping[[#This Row],[KODE BARANG]],[1]!KINONF15[[KDBRG]:[HRG_JLMT_CTN+PPN]],17,0),0)</f>
        <v>0</v>
      </c>
      <c r="Q198">
        <f>IFERROR(VLOOKUP(Fix_Mapping[[#This Row],[KODE BARANG]],[1]!KINONF15[[KDBRG]:[HRG_JLMT_CTN+PPN]],18,0),0)</f>
        <v>0</v>
      </c>
      <c r="R198" t="s">
        <v>2555</v>
      </c>
      <c r="S198" t="s">
        <v>715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1407</v>
      </c>
      <c r="B199" t="s">
        <v>1410</v>
      </c>
      <c r="C199">
        <v>24</v>
      </c>
      <c r="D199">
        <f>IFERROR(VLOOKUP(Fix_Mapping[[#This Row],[KODE BARANG]],[1]!KINONF15[[KDBRG]:[HRG_JLMT_CTN+PPN]],5,0),0)</f>
        <v>0</v>
      </c>
      <c r="E199" t="s">
        <v>2354</v>
      </c>
      <c r="F199">
        <f>IFERROR(VLOOKUP(Fix_Mapping[[#This Row],[KODE BARANG]],[1]!KINONF15[[KDBRG]:[HRG_JLMT_CTN+PPN]],7,0),0)</f>
        <v>0</v>
      </c>
      <c r="G199">
        <f>IFERROR(VLOOKUP(Fix_Mapping[[#This Row],[KODE BARANG]],[1]!KINONF15[[KDBRG]:[HRG_JLMT_CTN+PPN]],8,0),0)</f>
        <v>0</v>
      </c>
      <c r="H199">
        <f>IFERROR(VLOOKUP(Fix_Mapping[[#This Row],[KODE BARANG]],[1]!KINONF15[[KDBRG]:[HRG_JLMT_CTN+PPN]],9,0),0)</f>
        <v>0</v>
      </c>
      <c r="I199">
        <f>IFERROR(VLOOKUP(Fix_Mapping[[#This Row],[KODE BARANG]],[1]!KINONF15[[KDBRG]:[HRG_JLMT_CTN+PPN]],10,0),0)</f>
        <v>0</v>
      </c>
      <c r="J199">
        <f>IFERROR(VLOOKUP(Fix_Mapping[[#This Row],[KODE BARANG]],[1]!KINONF15[[KDBRG]:[HRG_JLMT_CTN+PPN]],11,0),0)</f>
        <v>0</v>
      </c>
      <c r="K199">
        <f>IFERROR(VLOOKUP(Fix_Mapping[[#This Row],[KODE BARANG]],[1]!KINONF15[[KDBRG]:[HRG_JLMT_CTN+PPN]],12,0),0)</f>
        <v>0</v>
      </c>
      <c r="L199">
        <f>IFERROR(VLOOKUP(Fix_Mapping[[#This Row],[KODE BARANG]],[1]!KINONF15[[KDBRG]:[HRG_JLMT_CTN+PPN]],13,0),0)</f>
        <v>0</v>
      </c>
      <c r="M199">
        <f>IFERROR(VLOOKUP(Fix_Mapping[[#This Row],[KODE BARANG]],[1]!KINONF15[[KDBRG]:[HRG_JLMT_CTN+PPN]],14,0),0)</f>
        <v>0</v>
      </c>
      <c r="N199">
        <f>IFERROR(VLOOKUP(Fix_Mapping[[#This Row],[KODE BARANG]],[1]!KINONF15[[KDBRG]:[HRG_JLMT_CTN+PPN]],15,0),0)</f>
        <v>0</v>
      </c>
      <c r="O199">
        <f>IFERROR(VLOOKUP(Fix_Mapping[[#This Row],[KODE BARANG]],[1]!KINONF15[[KDBRG]:[HRG_JLMT_CTN+PPN]],16,0),0)</f>
        <v>0</v>
      </c>
      <c r="P199">
        <f>IFERROR(VLOOKUP(Fix_Mapping[[#This Row],[KODE BARANG]],[1]!KINONF15[[KDBRG]:[HRG_JLMT_CTN+PPN]],17,0),0)</f>
        <v>0</v>
      </c>
      <c r="Q199">
        <f>IFERROR(VLOOKUP(Fix_Mapping[[#This Row],[KODE BARANG]],[1]!KINONF15[[KDBRG]:[HRG_JLMT_CTN+PPN]],18,0),0)</f>
        <v>0</v>
      </c>
      <c r="R199" t="s">
        <v>2555</v>
      </c>
      <c r="S199" t="s">
        <v>716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1413</v>
      </c>
      <c r="B200" t="s">
        <v>1412</v>
      </c>
      <c r="C200">
        <v>24</v>
      </c>
      <c r="D200">
        <f>IFERROR(VLOOKUP(Fix_Mapping[[#This Row],[KODE BARANG]],[1]!KINONF15[[KDBRG]:[HRG_JLMT_CTN+PPN]],5,0),0)</f>
        <v>0</v>
      </c>
      <c r="E200" t="s">
        <v>2354</v>
      </c>
      <c r="F200">
        <f>IFERROR(VLOOKUP(Fix_Mapping[[#This Row],[KODE BARANG]],[1]!KINONF15[[KDBRG]:[HRG_JLMT_CTN+PPN]],7,0),0)</f>
        <v>0</v>
      </c>
      <c r="G200">
        <f>IFERROR(VLOOKUP(Fix_Mapping[[#This Row],[KODE BARANG]],[1]!KINONF15[[KDBRG]:[HRG_JLMT_CTN+PPN]],8,0),0)</f>
        <v>0</v>
      </c>
      <c r="H200">
        <f>IFERROR(VLOOKUP(Fix_Mapping[[#This Row],[KODE BARANG]],[1]!KINONF15[[KDBRG]:[HRG_JLMT_CTN+PPN]],9,0),0)</f>
        <v>0</v>
      </c>
      <c r="I200">
        <f>IFERROR(VLOOKUP(Fix_Mapping[[#This Row],[KODE BARANG]],[1]!KINONF15[[KDBRG]:[HRG_JLMT_CTN+PPN]],10,0),0)</f>
        <v>0</v>
      </c>
      <c r="J200">
        <f>IFERROR(VLOOKUP(Fix_Mapping[[#This Row],[KODE BARANG]],[1]!KINONF15[[KDBRG]:[HRG_JLMT_CTN+PPN]],11,0),0)</f>
        <v>0</v>
      </c>
      <c r="K200">
        <f>IFERROR(VLOOKUP(Fix_Mapping[[#This Row],[KODE BARANG]],[1]!KINONF15[[KDBRG]:[HRG_JLMT_CTN+PPN]],12,0),0)</f>
        <v>0</v>
      </c>
      <c r="L200">
        <f>IFERROR(VLOOKUP(Fix_Mapping[[#This Row],[KODE BARANG]],[1]!KINONF15[[KDBRG]:[HRG_JLMT_CTN+PPN]],13,0),0)</f>
        <v>0</v>
      </c>
      <c r="M200">
        <f>IFERROR(VLOOKUP(Fix_Mapping[[#This Row],[KODE BARANG]],[1]!KINONF15[[KDBRG]:[HRG_JLMT_CTN+PPN]],14,0),0)</f>
        <v>0</v>
      </c>
      <c r="N200">
        <f>IFERROR(VLOOKUP(Fix_Mapping[[#This Row],[KODE BARANG]],[1]!KINONF15[[KDBRG]:[HRG_JLMT_CTN+PPN]],15,0),0)</f>
        <v>0</v>
      </c>
      <c r="O200">
        <f>IFERROR(VLOOKUP(Fix_Mapping[[#This Row],[KODE BARANG]],[1]!KINONF15[[KDBRG]:[HRG_JLMT_CTN+PPN]],16,0),0)</f>
        <v>0</v>
      </c>
      <c r="P200">
        <f>IFERROR(VLOOKUP(Fix_Mapping[[#This Row],[KODE BARANG]],[1]!KINONF15[[KDBRG]:[HRG_JLMT_CTN+PPN]],17,0),0)</f>
        <v>0</v>
      </c>
      <c r="Q200">
        <f>IFERROR(VLOOKUP(Fix_Mapping[[#This Row],[KODE BARANG]],[1]!KINONF15[[KDBRG]:[HRG_JLMT_CTN+PPN]],18,0),0)</f>
        <v>0</v>
      </c>
      <c r="R200" t="s">
        <v>2555</v>
      </c>
      <c r="S200" t="s">
        <v>717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1411</v>
      </c>
      <c r="B201" t="s">
        <v>1414</v>
      </c>
      <c r="C201">
        <v>24</v>
      </c>
      <c r="D201">
        <f>IFERROR(VLOOKUP(Fix_Mapping[[#This Row],[KODE BARANG]],[1]!KINONF15[[KDBRG]:[HRG_JLMT_CTN+PPN]],5,0),0)</f>
        <v>0</v>
      </c>
      <c r="E201" t="s">
        <v>2354</v>
      </c>
      <c r="F201">
        <f>IFERROR(VLOOKUP(Fix_Mapping[[#This Row],[KODE BARANG]],[1]!KINONF15[[KDBRG]:[HRG_JLMT_CTN+PPN]],7,0),0)</f>
        <v>0</v>
      </c>
      <c r="G201">
        <f>IFERROR(VLOOKUP(Fix_Mapping[[#This Row],[KODE BARANG]],[1]!KINONF15[[KDBRG]:[HRG_JLMT_CTN+PPN]],8,0),0)</f>
        <v>0</v>
      </c>
      <c r="H201">
        <f>IFERROR(VLOOKUP(Fix_Mapping[[#This Row],[KODE BARANG]],[1]!KINONF15[[KDBRG]:[HRG_JLMT_CTN+PPN]],9,0),0)</f>
        <v>0</v>
      </c>
      <c r="I201">
        <f>IFERROR(VLOOKUP(Fix_Mapping[[#This Row],[KODE BARANG]],[1]!KINONF15[[KDBRG]:[HRG_JLMT_CTN+PPN]],10,0),0)</f>
        <v>0</v>
      </c>
      <c r="J201">
        <f>IFERROR(VLOOKUP(Fix_Mapping[[#This Row],[KODE BARANG]],[1]!KINONF15[[KDBRG]:[HRG_JLMT_CTN+PPN]],11,0),0)</f>
        <v>0</v>
      </c>
      <c r="K201">
        <f>IFERROR(VLOOKUP(Fix_Mapping[[#This Row],[KODE BARANG]],[1]!KINONF15[[KDBRG]:[HRG_JLMT_CTN+PPN]],12,0),0)</f>
        <v>0</v>
      </c>
      <c r="L201">
        <f>IFERROR(VLOOKUP(Fix_Mapping[[#This Row],[KODE BARANG]],[1]!KINONF15[[KDBRG]:[HRG_JLMT_CTN+PPN]],13,0),0)</f>
        <v>0</v>
      </c>
      <c r="M201">
        <f>IFERROR(VLOOKUP(Fix_Mapping[[#This Row],[KODE BARANG]],[1]!KINONF15[[KDBRG]:[HRG_JLMT_CTN+PPN]],14,0),0)</f>
        <v>0</v>
      </c>
      <c r="N201">
        <f>IFERROR(VLOOKUP(Fix_Mapping[[#This Row],[KODE BARANG]],[1]!KINONF15[[KDBRG]:[HRG_JLMT_CTN+PPN]],15,0),0)</f>
        <v>0</v>
      </c>
      <c r="O201">
        <f>IFERROR(VLOOKUP(Fix_Mapping[[#This Row],[KODE BARANG]],[1]!KINONF15[[KDBRG]:[HRG_JLMT_CTN+PPN]],16,0),0)</f>
        <v>0</v>
      </c>
      <c r="P201">
        <f>IFERROR(VLOOKUP(Fix_Mapping[[#This Row],[KODE BARANG]],[1]!KINONF15[[KDBRG]:[HRG_JLMT_CTN+PPN]],17,0),0)</f>
        <v>0</v>
      </c>
      <c r="Q201">
        <f>IFERROR(VLOOKUP(Fix_Mapping[[#This Row],[KODE BARANG]],[1]!KINONF15[[KDBRG]:[HRG_JLMT_CTN+PPN]],18,0),0)</f>
        <v>0</v>
      </c>
      <c r="R201" t="s">
        <v>2555</v>
      </c>
      <c r="S201" t="s">
        <v>718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1415</v>
      </c>
      <c r="B202" t="s">
        <v>1416</v>
      </c>
      <c r="C202">
        <v>36</v>
      </c>
      <c r="D202">
        <f>IFERROR(VLOOKUP(Fix_Mapping[[#This Row],[KODE BARANG]],[1]!KINONF15[[KDBRG]:[HRG_JLMT_CTN+PPN]],5,0),0)</f>
        <v>0</v>
      </c>
      <c r="E202" t="s">
        <v>2343</v>
      </c>
      <c r="F202">
        <f>IFERROR(VLOOKUP(Fix_Mapping[[#This Row],[KODE BARANG]],[1]!KINONF15[[KDBRG]:[HRG_JLMT_CTN+PPN]],7,0),0)</f>
        <v>0</v>
      </c>
      <c r="G202">
        <f>IFERROR(VLOOKUP(Fix_Mapping[[#This Row],[KODE BARANG]],[1]!KINONF15[[KDBRG]:[HRG_JLMT_CTN+PPN]],8,0),0)</f>
        <v>0</v>
      </c>
      <c r="H202">
        <f>IFERROR(VLOOKUP(Fix_Mapping[[#This Row],[KODE BARANG]],[1]!KINONF15[[KDBRG]:[HRG_JLMT_CTN+PPN]],9,0),0)</f>
        <v>0</v>
      </c>
      <c r="I202">
        <f>IFERROR(VLOOKUP(Fix_Mapping[[#This Row],[KODE BARANG]],[1]!KINONF15[[KDBRG]:[HRG_JLMT_CTN+PPN]],10,0),0)</f>
        <v>0</v>
      </c>
      <c r="J202">
        <f>IFERROR(VLOOKUP(Fix_Mapping[[#This Row],[KODE BARANG]],[1]!KINONF15[[KDBRG]:[HRG_JLMT_CTN+PPN]],11,0),0)</f>
        <v>0</v>
      </c>
      <c r="K202">
        <f>IFERROR(VLOOKUP(Fix_Mapping[[#This Row],[KODE BARANG]],[1]!KINONF15[[KDBRG]:[HRG_JLMT_CTN+PPN]],12,0),0)</f>
        <v>0</v>
      </c>
      <c r="L202">
        <f>IFERROR(VLOOKUP(Fix_Mapping[[#This Row],[KODE BARANG]],[1]!KINONF15[[KDBRG]:[HRG_JLMT_CTN+PPN]],13,0),0)</f>
        <v>0</v>
      </c>
      <c r="M202">
        <f>IFERROR(VLOOKUP(Fix_Mapping[[#This Row],[KODE BARANG]],[1]!KINONF15[[KDBRG]:[HRG_JLMT_CTN+PPN]],14,0),0)</f>
        <v>0</v>
      </c>
      <c r="N202">
        <f>IFERROR(VLOOKUP(Fix_Mapping[[#This Row],[KODE BARANG]],[1]!KINONF15[[KDBRG]:[HRG_JLMT_CTN+PPN]],15,0),0)</f>
        <v>0</v>
      </c>
      <c r="O202">
        <f>IFERROR(VLOOKUP(Fix_Mapping[[#This Row],[KODE BARANG]],[1]!KINONF15[[KDBRG]:[HRG_JLMT_CTN+PPN]],16,0),0)</f>
        <v>0</v>
      </c>
      <c r="P202">
        <f>IFERROR(VLOOKUP(Fix_Mapping[[#This Row],[KODE BARANG]],[1]!KINONF15[[KDBRG]:[HRG_JLMT_CTN+PPN]],17,0),0)</f>
        <v>0</v>
      </c>
      <c r="Q202">
        <f>IFERROR(VLOOKUP(Fix_Mapping[[#This Row],[KODE BARANG]],[1]!KINONF15[[KDBRG]:[HRG_JLMT_CTN+PPN]],18,0),0)</f>
        <v>0</v>
      </c>
      <c r="R202" t="s">
        <v>2555</v>
      </c>
      <c r="S202" t="s">
        <v>669</v>
      </c>
      <c r="T202" t="s">
        <v>670</v>
      </c>
      <c r="U202" t="s">
        <v>671</v>
      </c>
      <c r="V202">
        <v>0</v>
      </c>
      <c r="W202">
        <v>0</v>
      </c>
    </row>
    <row r="203" spans="1:23">
      <c r="A203" t="s">
        <v>1417</v>
      </c>
      <c r="B203" t="s">
        <v>1418</v>
      </c>
      <c r="C203">
        <v>36</v>
      </c>
      <c r="D203">
        <f>IFERROR(VLOOKUP(Fix_Mapping[[#This Row],[KODE BARANG]],[1]!KINONF15[[KDBRG]:[HRG_JLMT_CTN+PPN]],5,0),0)</f>
        <v>0</v>
      </c>
      <c r="E203" t="s">
        <v>2343</v>
      </c>
      <c r="F203">
        <f>IFERROR(VLOOKUP(Fix_Mapping[[#This Row],[KODE BARANG]],[1]!KINONF15[[KDBRG]:[HRG_JLMT_CTN+PPN]],7,0),0)</f>
        <v>0</v>
      </c>
      <c r="G203">
        <f>IFERROR(VLOOKUP(Fix_Mapping[[#This Row],[KODE BARANG]],[1]!KINONF15[[KDBRG]:[HRG_JLMT_CTN+PPN]],8,0),0)</f>
        <v>0</v>
      </c>
      <c r="H203">
        <f>IFERROR(VLOOKUP(Fix_Mapping[[#This Row],[KODE BARANG]],[1]!KINONF15[[KDBRG]:[HRG_JLMT_CTN+PPN]],9,0),0)</f>
        <v>0</v>
      </c>
      <c r="I203">
        <f>IFERROR(VLOOKUP(Fix_Mapping[[#This Row],[KODE BARANG]],[1]!KINONF15[[KDBRG]:[HRG_JLMT_CTN+PPN]],10,0),0)</f>
        <v>0</v>
      </c>
      <c r="J203">
        <f>IFERROR(VLOOKUP(Fix_Mapping[[#This Row],[KODE BARANG]],[1]!KINONF15[[KDBRG]:[HRG_JLMT_CTN+PPN]],11,0),0)</f>
        <v>0</v>
      </c>
      <c r="K203">
        <f>IFERROR(VLOOKUP(Fix_Mapping[[#This Row],[KODE BARANG]],[1]!KINONF15[[KDBRG]:[HRG_JLMT_CTN+PPN]],12,0),0)</f>
        <v>0</v>
      </c>
      <c r="L203">
        <f>IFERROR(VLOOKUP(Fix_Mapping[[#This Row],[KODE BARANG]],[1]!KINONF15[[KDBRG]:[HRG_JLMT_CTN+PPN]],13,0),0)</f>
        <v>0</v>
      </c>
      <c r="M203">
        <f>IFERROR(VLOOKUP(Fix_Mapping[[#This Row],[KODE BARANG]],[1]!KINONF15[[KDBRG]:[HRG_JLMT_CTN+PPN]],14,0),0)</f>
        <v>0</v>
      </c>
      <c r="N203">
        <f>IFERROR(VLOOKUP(Fix_Mapping[[#This Row],[KODE BARANG]],[1]!KINONF15[[KDBRG]:[HRG_JLMT_CTN+PPN]],15,0),0)</f>
        <v>0</v>
      </c>
      <c r="O203">
        <f>IFERROR(VLOOKUP(Fix_Mapping[[#This Row],[KODE BARANG]],[1]!KINONF15[[KDBRG]:[HRG_JLMT_CTN+PPN]],16,0),0)</f>
        <v>0</v>
      </c>
      <c r="P203">
        <f>IFERROR(VLOOKUP(Fix_Mapping[[#This Row],[KODE BARANG]],[1]!KINONF15[[KDBRG]:[HRG_JLMT_CTN+PPN]],17,0),0)</f>
        <v>0</v>
      </c>
      <c r="Q203">
        <f>IFERROR(VLOOKUP(Fix_Mapping[[#This Row],[KODE BARANG]],[1]!KINONF15[[KDBRG]:[HRG_JLMT_CTN+PPN]],18,0),0)</f>
        <v>0</v>
      </c>
      <c r="R203" t="s">
        <v>2555</v>
      </c>
      <c r="S203" t="s">
        <v>674</v>
      </c>
      <c r="T203" t="s">
        <v>675</v>
      </c>
      <c r="U203" t="s">
        <v>676</v>
      </c>
      <c r="V203" t="s">
        <v>677</v>
      </c>
      <c r="W203">
        <v>0</v>
      </c>
    </row>
    <row r="204" spans="1:23">
      <c r="A204" t="s">
        <v>1419</v>
      </c>
      <c r="B204" t="s">
        <v>1420</v>
      </c>
      <c r="C204">
        <v>36</v>
      </c>
      <c r="D204">
        <f>IFERROR(VLOOKUP(Fix_Mapping[[#This Row],[KODE BARANG]],[1]!KINONF15[[KDBRG]:[HRG_JLMT_CTN+PPN]],5,0),0)</f>
        <v>0</v>
      </c>
      <c r="E204" t="s">
        <v>2343</v>
      </c>
      <c r="F204">
        <f>IFERROR(VLOOKUP(Fix_Mapping[[#This Row],[KODE BARANG]],[1]!KINONF15[[KDBRG]:[HRG_JLMT_CTN+PPN]],7,0),0)</f>
        <v>0</v>
      </c>
      <c r="G204">
        <f>IFERROR(VLOOKUP(Fix_Mapping[[#This Row],[KODE BARANG]],[1]!KINONF15[[KDBRG]:[HRG_JLMT_CTN+PPN]],8,0),0)</f>
        <v>0</v>
      </c>
      <c r="H204">
        <f>IFERROR(VLOOKUP(Fix_Mapping[[#This Row],[KODE BARANG]],[1]!KINONF15[[KDBRG]:[HRG_JLMT_CTN+PPN]],9,0),0)</f>
        <v>0</v>
      </c>
      <c r="I204">
        <f>IFERROR(VLOOKUP(Fix_Mapping[[#This Row],[KODE BARANG]],[1]!KINONF15[[KDBRG]:[HRG_JLMT_CTN+PPN]],10,0),0)</f>
        <v>0</v>
      </c>
      <c r="J204">
        <f>IFERROR(VLOOKUP(Fix_Mapping[[#This Row],[KODE BARANG]],[1]!KINONF15[[KDBRG]:[HRG_JLMT_CTN+PPN]],11,0),0)</f>
        <v>0</v>
      </c>
      <c r="K204">
        <f>IFERROR(VLOOKUP(Fix_Mapping[[#This Row],[KODE BARANG]],[1]!KINONF15[[KDBRG]:[HRG_JLMT_CTN+PPN]],12,0),0)</f>
        <v>0</v>
      </c>
      <c r="L204">
        <f>IFERROR(VLOOKUP(Fix_Mapping[[#This Row],[KODE BARANG]],[1]!KINONF15[[KDBRG]:[HRG_JLMT_CTN+PPN]],13,0),0)</f>
        <v>0</v>
      </c>
      <c r="M204">
        <f>IFERROR(VLOOKUP(Fix_Mapping[[#This Row],[KODE BARANG]],[1]!KINONF15[[KDBRG]:[HRG_JLMT_CTN+PPN]],14,0),0)</f>
        <v>0</v>
      </c>
      <c r="N204">
        <f>IFERROR(VLOOKUP(Fix_Mapping[[#This Row],[KODE BARANG]],[1]!KINONF15[[KDBRG]:[HRG_JLMT_CTN+PPN]],15,0),0)</f>
        <v>0</v>
      </c>
      <c r="O204">
        <f>IFERROR(VLOOKUP(Fix_Mapping[[#This Row],[KODE BARANG]],[1]!KINONF15[[KDBRG]:[HRG_JLMT_CTN+PPN]],16,0),0)</f>
        <v>0</v>
      </c>
      <c r="P204">
        <f>IFERROR(VLOOKUP(Fix_Mapping[[#This Row],[KODE BARANG]],[1]!KINONF15[[KDBRG]:[HRG_JLMT_CTN+PPN]],17,0),0)</f>
        <v>0</v>
      </c>
      <c r="Q204">
        <f>IFERROR(VLOOKUP(Fix_Mapping[[#This Row],[KODE BARANG]],[1]!KINONF15[[KDBRG]:[HRG_JLMT_CTN+PPN]],18,0),0)</f>
        <v>0</v>
      </c>
      <c r="R204" t="s">
        <v>2555</v>
      </c>
      <c r="S204" t="s">
        <v>678</v>
      </c>
      <c r="T204" t="s">
        <v>679</v>
      </c>
      <c r="U204" t="s">
        <v>680</v>
      </c>
      <c r="V204">
        <v>0</v>
      </c>
      <c r="W204">
        <v>0</v>
      </c>
    </row>
    <row r="205" spans="1:23">
      <c r="A205" t="s">
        <v>1421</v>
      </c>
      <c r="B205" t="s">
        <v>1422</v>
      </c>
      <c r="C205">
        <v>36</v>
      </c>
      <c r="D205">
        <f>IFERROR(VLOOKUP(Fix_Mapping[[#This Row],[KODE BARANG]],[1]!KINONF15[[KDBRG]:[HRG_JLMT_CTN+PPN]],5,0),0)</f>
        <v>0</v>
      </c>
      <c r="E205" t="s">
        <v>2343</v>
      </c>
      <c r="F205">
        <f>IFERROR(VLOOKUP(Fix_Mapping[[#This Row],[KODE BARANG]],[1]!KINONF15[[KDBRG]:[HRG_JLMT_CTN+PPN]],7,0),0)</f>
        <v>0</v>
      </c>
      <c r="G205">
        <f>IFERROR(VLOOKUP(Fix_Mapping[[#This Row],[KODE BARANG]],[1]!KINONF15[[KDBRG]:[HRG_JLMT_CTN+PPN]],8,0),0)</f>
        <v>0</v>
      </c>
      <c r="H205">
        <f>IFERROR(VLOOKUP(Fix_Mapping[[#This Row],[KODE BARANG]],[1]!KINONF15[[KDBRG]:[HRG_JLMT_CTN+PPN]],9,0),0)</f>
        <v>0</v>
      </c>
      <c r="I205">
        <f>IFERROR(VLOOKUP(Fix_Mapping[[#This Row],[KODE BARANG]],[1]!KINONF15[[KDBRG]:[HRG_JLMT_CTN+PPN]],10,0),0)</f>
        <v>0</v>
      </c>
      <c r="J205">
        <f>IFERROR(VLOOKUP(Fix_Mapping[[#This Row],[KODE BARANG]],[1]!KINONF15[[KDBRG]:[HRG_JLMT_CTN+PPN]],11,0),0)</f>
        <v>0</v>
      </c>
      <c r="K205">
        <f>IFERROR(VLOOKUP(Fix_Mapping[[#This Row],[KODE BARANG]],[1]!KINONF15[[KDBRG]:[HRG_JLMT_CTN+PPN]],12,0),0)</f>
        <v>0</v>
      </c>
      <c r="L205">
        <f>IFERROR(VLOOKUP(Fix_Mapping[[#This Row],[KODE BARANG]],[1]!KINONF15[[KDBRG]:[HRG_JLMT_CTN+PPN]],13,0),0)</f>
        <v>0</v>
      </c>
      <c r="M205">
        <f>IFERROR(VLOOKUP(Fix_Mapping[[#This Row],[KODE BARANG]],[1]!KINONF15[[KDBRG]:[HRG_JLMT_CTN+PPN]],14,0),0)</f>
        <v>0</v>
      </c>
      <c r="N205">
        <f>IFERROR(VLOOKUP(Fix_Mapping[[#This Row],[KODE BARANG]],[1]!KINONF15[[KDBRG]:[HRG_JLMT_CTN+PPN]],15,0),0)</f>
        <v>0</v>
      </c>
      <c r="O205">
        <f>IFERROR(VLOOKUP(Fix_Mapping[[#This Row],[KODE BARANG]],[1]!KINONF15[[KDBRG]:[HRG_JLMT_CTN+PPN]],16,0),0)</f>
        <v>0</v>
      </c>
      <c r="P205">
        <f>IFERROR(VLOOKUP(Fix_Mapping[[#This Row],[KODE BARANG]],[1]!KINONF15[[KDBRG]:[HRG_JLMT_CTN+PPN]],17,0),0)</f>
        <v>0</v>
      </c>
      <c r="Q205">
        <f>IFERROR(VLOOKUP(Fix_Mapping[[#This Row],[KODE BARANG]],[1]!KINONF15[[KDBRG]:[HRG_JLMT_CTN+PPN]],18,0),0)</f>
        <v>0</v>
      </c>
      <c r="R205" t="s">
        <v>2555</v>
      </c>
      <c r="S205" t="s">
        <v>681</v>
      </c>
      <c r="T205" t="s">
        <v>682</v>
      </c>
      <c r="U205" t="s">
        <v>683</v>
      </c>
      <c r="V205" t="s">
        <v>684</v>
      </c>
      <c r="W205">
        <v>0</v>
      </c>
    </row>
    <row r="206" spans="1:23">
      <c r="A206" t="s">
        <v>1423</v>
      </c>
      <c r="B206" t="s">
        <v>1424</v>
      </c>
      <c r="C206">
        <v>72</v>
      </c>
      <c r="D206">
        <f>IFERROR(VLOOKUP(Fix_Mapping[[#This Row],[KODE BARANG]],[1]!KINONF15[[KDBRG]:[HRG_JLMT_CTN+PPN]],5,0),0)</f>
        <v>0</v>
      </c>
      <c r="E206" t="s">
        <v>2343</v>
      </c>
      <c r="F206">
        <f>IFERROR(VLOOKUP(Fix_Mapping[[#This Row],[KODE BARANG]],[1]!KINONF15[[KDBRG]:[HRG_JLMT_CTN+PPN]],7,0),0)</f>
        <v>0</v>
      </c>
      <c r="G206">
        <f>IFERROR(VLOOKUP(Fix_Mapping[[#This Row],[KODE BARANG]],[1]!KINONF15[[KDBRG]:[HRG_JLMT_CTN+PPN]],8,0),0)</f>
        <v>0</v>
      </c>
      <c r="H206">
        <f>IFERROR(VLOOKUP(Fix_Mapping[[#This Row],[KODE BARANG]],[1]!KINONF15[[KDBRG]:[HRG_JLMT_CTN+PPN]],9,0),0)</f>
        <v>0</v>
      </c>
      <c r="I206">
        <f>IFERROR(VLOOKUP(Fix_Mapping[[#This Row],[KODE BARANG]],[1]!KINONF15[[KDBRG]:[HRG_JLMT_CTN+PPN]],10,0),0)</f>
        <v>0</v>
      </c>
      <c r="J206">
        <f>IFERROR(VLOOKUP(Fix_Mapping[[#This Row],[KODE BARANG]],[1]!KINONF15[[KDBRG]:[HRG_JLMT_CTN+PPN]],11,0),0)</f>
        <v>0</v>
      </c>
      <c r="K206">
        <f>IFERROR(VLOOKUP(Fix_Mapping[[#This Row],[KODE BARANG]],[1]!KINONF15[[KDBRG]:[HRG_JLMT_CTN+PPN]],12,0),0)</f>
        <v>0</v>
      </c>
      <c r="L206">
        <f>IFERROR(VLOOKUP(Fix_Mapping[[#This Row],[KODE BARANG]],[1]!KINONF15[[KDBRG]:[HRG_JLMT_CTN+PPN]],13,0),0)</f>
        <v>0</v>
      </c>
      <c r="M206">
        <f>IFERROR(VLOOKUP(Fix_Mapping[[#This Row],[KODE BARANG]],[1]!KINONF15[[KDBRG]:[HRG_JLMT_CTN+PPN]],14,0),0)</f>
        <v>0</v>
      </c>
      <c r="N206">
        <f>IFERROR(VLOOKUP(Fix_Mapping[[#This Row],[KODE BARANG]],[1]!KINONF15[[KDBRG]:[HRG_JLMT_CTN+PPN]],15,0),0)</f>
        <v>0</v>
      </c>
      <c r="O206">
        <f>IFERROR(VLOOKUP(Fix_Mapping[[#This Row],[KODE BARANG]],[1]!KINONF15[[KDBRG]:[HRG_JLMT_CTN+PPN]],16,0),0)</f>
        <v>0</v>
      </c>
      <c r="P206">
        <f>IFERROR(VLOOKUP(Fix_Mapping[[#This Row],[KODE BARANG]],[1]!KINONF15[[KDBRG]:[HRG_JLMT_CTN+PPN]],17,0),0)</f>
        <v>0</v>
      </c>
      <c r="Q206">
        <f>IFERROR(VLOOKUP(Fix_Mapping[[#This Row],[KODE BARANG]],[1]!KINONF15[[KDBRG]:[HRG_JLMT_CTN+PPN]],18,0),0)</f>
        <v>0</v>
      </c>
      <c r="R206" t="s">
        <v>2555</v>
      </c>
      <c r="S206" t="s">
        <v>668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1425</v>
      </c>
      <c r="B207" t="s">
        <v>1426</v>
      </c>
      <c r="C207">
        <v>36</v>
      </c>
      <c r="D207">
        <f>IFERROR(VLOOKUP(Fix_Mapping[[#This Row],[KODE BARANG]],[1]!KINONF15[[KDBRG]:[HRG_JLMT_CTN+PPN]],5,0),0)</f>
        <v>0</v>
      </c>
      <c r="E207" t="s">
        <v>2343</v>
      </c>
      <c r="F207">
        <f>IFERROR(VLOOKUP(Fix_Mapping[[#This Row],[KODE BARANG]],[1]!KINONF15[[KDBRG]:[HRG_JLMT_CTN+PPN]],7,0),0)</f>
        <v>0</v>
      </c>
      <c r="G207">
        <f>IFERROR(VLOOKUP(Fix_Mapping[[#This Row],[KODE BARANG]],[1]!KINONF15[[KDBRG]:[HRG_JLMT_CTN+PPN]],8,0),0)</f>
        <v>0</v>
      </c>
      <c r="H207">
        <f>IFERROR(VLOOKUP(Fix_Mapping[[#This Row],[KODE BARANG]],[1]!KINONF15[[KDBRG]:[HRG_JLMT_CTN+PPN]],9,0),0)</f>
        <v>0</v>
      </c>
      <c r="I207">
        <f>IFERROR(VLOOKUP(Fix_Mapping[[#This Row],[KODE BARANG]],[1]!KINONF15[[KDBRG]:[HRG_JLMT_CTN+PPN]],10,0),0)</f>
        <v>0</v>
      </c>
      <c r="J207">
        <f>IFERROR(VLOOKUP(Fix_Mapping[[#This Row],[KODE BARANG]],[1]!KINONF15[[KDBRG]:[HRG_JLMT_CTN+PPN]],11,0),0)</f>
        <v>0</v>
      </c>
      <c r="K207">
        <f>IFERROR(VLOOKUP(Fix_Mapping[[#This Row],[KODE BARANG]],[1]!KINONF15[[KDBRG]:[HRG_JLMT_CTN+PPN]],12,0),0)</f>
        <v>0</v>
      </c>
      <c r="L207">
        <f>IFERROR(VLOOKUP(Fix_Mapping[[#This Row],[KODE BARANG]],[1]!KINONF15[[KDBRG]:[HRG_JLMT_CTN+PPN]],13,0),0)</f>
        <v>0</v>
      </c>
      <c r="M207">
        <f>IFERROR(VLOOKUP(Fix_Mapping[[#This Row],[KODE BARANG]],[1]!KINONF15[[KDBRG]:[HRG_JLMT_CTN+PPN]],14,0),0)</f>
        <v>0</v>
      </c>
      <c r="N207">
        <f>IFERROR(VLOOKUP(Fix_Mapping[[#This Row],[KODE BARANG]],[1]!KINONF15[[KDBRG]:[HRG_JLMT_CTN+PPN]],15,0),0)</f>
        <v>0</v>
      </c>
      <c r="O207">
        <f>IFERROR(VLOOKUP(Fix_Mapping[[#This Row],[KODE BARANG]],[1]!KINONF15[[KDBRG]:[HRG_JLMT_CTN+PPN]],16,0),0)</f>
        <v>0</v>
      </c>
      <c r="P207">
        <f>IFERROR(VLOOKUP(Fix_Mapping[[#This Row],[KODE BARANG]],[1]!KINONF15[[KDBRG]:[HRG_JLMT_CTN+PPN]],17,0),0)</f>
        <v>0</v>
      </c>
      <c r="Q207">
        <f>IFERROR(VLOOKUP(Fix_Mapping[[#This Row],[KODE BARANG]],[1]!KINONF15[[KDBRG]:[HRG_JLMT_CTN+PPN]],18,0),0)</f>
        <v>0</v>
      </c>
      <c r="R207" t="s">
        <v>2555</v>
      </c>
      <c r="S207" t="s">
        <v>672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1427</v>
      </c>
      <c r="B208" t="s">
        <v>1428</v>
      </c>
      <c r="C208">
        <v>36</v>
      </c>
      <c r="D208">
        <f>IFERROR(VLOOKUP(Fix_Mapping[[#This Row],[KODE BARANG]],[1]!KINONF15[[KDBRG]:[HRG_JLMT_CTN+PPN]],5,0),0)</f>
        <v>0</v>
      </c>
      <c r="E208" t="s">
        <v>2345</v>
      </c>
      <c r="F208">
        <f>IFERROR(VLOOKUP(Fix_Mapping[[#This Row],[KODE BARANG]],[1]!KINONF15[[KDBRG]:[HRG_JLMT_CTN+PPN]],7,0),0)</f>
        <v>0</v>
      </c>
      <c r="G208">
        <f>IFERROR(VLOOKUP(Fix_Mapping[[#This Row],[KODE BARANG]],[1]!KINONF15[[KDBRG]:[HRG_JLMT_CTN+PPN]],8,0),0)</f>
        <v>0</v>
      </c>
      <c r="H208">
        <f>IFERROR(VLOOKUP(Fix_Mapping[[#This Row],[KODE BARANG]],[1]!KINONF15[[KDBRG]:[HRG_JLMT_CTN+PPN]],9,0),0)</f>
        <v>0</v>
      </c>
      <c r="I208">
        <f>IFERROR(VLOOKUP(Fix_Mapping[[#This Row],[KODE BARANG]],[1]!KINONF15[[KDBRG]:[HRG_JLMT_CTN+PPN]],10,0),0)</f>
        <v>0</v>
      </c>
      <c r="J208">
        <f>IFERROR(VLOOKUP(Fix_Mapping[[#This Row],[KODE BARANG]],[1]!KINONF15[[KDBRG]:[HRG_JLMT_CTN+PPN]],11,0),0)</f>
        <v>0</v>
      </c>
      <c r="K208">
        <f>IFERROR(VLOOKUP(Fix_Mapping[[#This Row],[KODE BARANG]],[1]!KINONF15[[KDBRG]:[HRG_JLMT_CTN+PPN]],12,0),0)</f>
        <v>0</v>
      </c>
      <c r="L208">
        <f>IFERROR(VLOOKUP(Fix_Mapping[[#This Row],[KODE BARANG]],[1]!KINONF15[[KDBRG]:[HRG_JLMT_CTN+PPN]],13,0),0)</f>
        <v>0</v>
      </c>
      <c r="M208">
        <f>IFERROR(VLOOKUP(Fix_Mapping[[#This Row],[KODE BARANG]],[1]!KINONF15[[KDBRG]:[HRG_JLMT_CTN+PPN]],14,0),0)</f>
        <v>0</v>
      </c>
      <c r="N208">
        <f>IFERROR(VLOOKUP(Fix_Mapping[[#This Row],[KODE BARANG]],[1]!KINONF15[[KDBRG]:[HRG_JLMT_CTN+PPN]],15,0),0)</f>
        <v>0</v>
      </c>
      <c r="O208">
        <f>IFERROR(VLOOKUP(Fix_Mapping[[#This Row],[KODE BARANG]],[1]!KINONF15[[KDBRG]:[HRG_JLMT_CTN+PPN]],16,0),0)</f>
        <v>0</v>
      </c>
      <c r="P208">
        <f>IFERROR(VLOOKUP(Fix_Mapping[[#This Row],[KODE BARANG]],[1]!KINONF15[[KDBRG]:[HRG_JLMT_CTN+PPN]],17,0),0)</f>
        <v>0</v>
      </c>
      <c r="Q208">
        <f>IFERROR(VLOOKUP(Fix_Mapping[[#This Row],[KODE BARANG]],[1]!KINONF15[[KDBRG]:[HRG_JLMT_CTN+PPN]],18,0),0)</f>
        <v>0</v>
      </c>
      <c r="R208" t="s">
        <v>2555</v>
      </c>
      <c r="S208" t="s">
        <v>786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1429</v>
      </c>
      <c r="B209" t="s">
        <v>1430</v>
      </c>
      <c r="C209">
        <v>36</v>
      </c>
      <c r="D209">
        <f>IFERROR(VLOOKUP(Fix_Mapping[[#This Row],[KODE BARANG]],[1]!KINONF15[[KDBRG]:[HRG_JLMT_CTN+PPN]],5,0),0)</f>
        <v>0</v>
      </c>
      <c r="E209" t="s">
        <v>2345</v>
      </c>
      <c r="F209">
        <f>IFERROR(VLOOKUP(Fix_Mapping[[#This Row],[KODE BARANG]],[1]!KINONF15[[KDBRG]:[HRG_JLMT_CTN+PPN]],7,0),0)</f>
        <v>0</v>
      </c>
      <c r="G209">
        <f>IFERROR(VLOOKUP(Fix_Mapping[[#This Row],[KODE BARANG]],[1]!KINONF15[[KDBRG]:[HRG_JLMT_CTN+PPN]],8,0),0)</f>
        <v>0</v>
      </c>
      <c r="H209">
        <f>IFERROR(VLOOKUP(Fix_Mapping[[#This Row],[KODE BARANG]],[1]!KINONF15[[KDBRG]:[HRG_JLMT_CTN+PPN]],9,0),0)</f>
        <v>0</v>
      </c>
      <c r="I209">
        <f>IFERROR(VLOOKUP(Fix_Mapping[[#This Row],[KODE BARANG]],[1]!KINONF15[[KDBRG]:[HRG_JLMT_CTN+PPN]],10,0),0)</f>
        <v>0</v>
      </c>
      <c r="J209">
        <f>IFERROR(VLOOKUP(Fix_Mapping[[#This Row],[KODE BARANG]],[1]!KINONF15[[KDBRG]:[HRG_JLMT_CTN+PPN]],11,0),0)</f>
        <v>0</v>
      </c>
      <c r="K209">
        <f>IFERROR(VLOOKUP(Fix_Mapping[[#This Row],[KODE BARANG]],[1]!KINONF15[[KDBRG]:[HRG_JLMT_CTN+PPN]],12,0),0)</f>
        <v>0</v>
      </c>
      <c r="L209">
        <f>IFERROR(VLOOKUP(Fix_Mapping[[#This Row],[KODE BARANG]],[1]!KINONF15[[KDBRG]:[HRG_JLMT_CTN+PPN]],13,0),0)</f>
        <v>0</v>
      </c>
      <c r="M209">
        <f>IFERROR(VLOOKUP(Fix_Mapping[[#This Row],[KODE BARANG]],[1]!KINONF15[[KDBRG]:[HRG_JLMT_CTN+PPN]],14,0),0)</f>
        <v>0</v>
      </c>
      <c r="N209">
        <f>IFERROR(VLOOKUP(Fix_Mapping[[#This Row],[KODE BARANG]],[1]!KINONF15[[KDBRG]:[HRG_JLMT_CTN+PPN]],15,0),0)</f>
        <v>0</v>
      </c>
      <c r="O209">
        <f>IFERROR(VLOOKUP(Fix_Mapping[[#This Row],[KODE BARANG]],[1]!KINONF15[[KDBRG]:[HRG_JLMT_CTN+PPN]],16,0),0)</f>
        <v>0</v>
      </c>
      <c r="P209">
        <f>IFERROR(VLOOKUP(Fix_Mapping[[#This Row],[KODE BARANG]],[1]!KINONF15[[KDBRG]:[HRG_JLMT_CTN+PPN]],17,0),0)</f>
        <v>0</v>
      </c>
      <c r="Q209">
        <f>IFERROR(VLOOKUP(Fix_Mapping[[#This Row],[KODE BARANG]],[1]!KINONF15[[KDBRG]:[HRG_JLMT_CTN+PPN]],18,0),0)</f>
        <v>0</v>
      </c>
      <c r="R209" t="s">
        <v>2555</v>
      </c>
      <c r="S209" t="s">
        <v>692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1431</v>
      </c>
      <c r="B210" t="s">
        <v>1432</v>
      </c>
      <c r="C210">
        <v>36</v>
      </c>
      <c r="D210">
        <f>IFERROR(VLOOKUP(Fix_Mapping[[#This Row],[KODE BARANG]],[1]!KINONF15[[KDBRG]:[HRG_JLMT_CTN+PPN]],5,0),0)</f>
        <v>0</v>
      </c>
      <c r="E210" t="s">
        <v>2345</v>
      </c>
      <c r="F210">
        <f>IFERROR(VLOOKUP(Fix_Mapping[[#This Row],[KODE BARANG]],[1]!KINONF15[[KDBRG]:[HRG_JLMT_CTN+PPN]],7,0),0)</f>
        <v>0</v>
      </c>
      <c r="G210">
        <f>IFERROR(VLOOKUP(Fix_Mapping[[#This Row],[KODE BARANG]],[1]!KINONF15[[KDBRG]:[HRG_JLMT_CTN+PPN]],8,0),0)</f>
        <v>0</v>
      </c>
      <c r="H210">
        <f>IFERROR(VLOOKUP(Fix_Mapping[[#This Row],[KODE BARANG]],[1]!KINONF15[[KDBRG]:[HRG_JLMT_CTN+PPN]],9,0),0)</f>
        <v>0</v>
      </c>
      <c r="I210">
        <f>IFERROR(VLOOKUP(Fix_Mapping[[#This Row],[KODE BARANG]],[1]!KINONF15[[KDBRG]:[HRG_JLMT_CTN+PPN]],10,0),0)</f>
        <v>0</v>
      </c>
      <c r="J210">
        <f>IFERROR(VLOOKUP(Fix_Mapping[[#This Row],[KODE BARANG]],[1]!KINONF15[[KDBRG]:[HRG_JLMT_CTN+PPN]],11,0),0)</f>
        <v>0</v>
      </c>
      <c r="K210">
        <f>IFERROR(VLOOKUP(Fix_Mapping[[#This Row],[KODE BARANG]],[1]!KINONF15[[KDBRG]:[HRG_JLMT_CTN+PPN]],12,0),0)</f>
        <v>0</v>
      </c>
      <c r="L210">
        <f>IFERROR(VLOOKUP(Fix_Mapping[[#This Row],[KODE BARANG]],[1]!KINONF15[[KDBRG]:[HRG_JLMT_CTN+PPN]],13,0),0)</f>
        <v>0</v>
      </c>
      <c r="M210">
        <f>IFERROR(VLOOKUP(Fix_Mapping[[#This Row],[KODE BARANG]],[1]!KINONF15[[KDBRG]:[HRG_JLMT_CTN+PPN]],14,0),0)</f>
        <v>0</v>
      </c>
      <c r="N210">
        <f>IFERROR(VLOOKUP(Fix_Mapping[[#This Row],[KODE BARANG]],[1]!KINONF15[[KDBRG]:[HRG_JLMT_CTN+PPN]],15,0),0)</f>
        <v>0</v>
      </c>
      <c r="O210">
        <f>IFERROR(VLOOKUP(Fix_Mapping[[#This Row],[KODE BARANG]],[1]!KINONF15[[KDBRG]:[HRG_JLMT_CTN+PPN]],16,0),0)</f>
        <v>0</v>
      </c>
      <c r="P210">
        <f>IFERROR(VLOOKUP(Fix_Mapping[[#This Row],[KODE BARANG]],[1]!KINONF15[[KDBRG]:[HRG_JLMT_CTN+PPN]],17,0),0)</f>
        <v>0</v>
      </c>
      <c r="Q210">
        <f>IFERROR(VLOOKUP(Fix_Mapping[[#This Row],[KODE BARANG]],[1]!KINONF15[[KDBRG]:[HRG_JLMT_CTN+PPN]],18,0),0)</f>
        <v>0</v>
      </c>
      <c r="R210" t="s">
        <v>2555</v>
      </c>
      <c r="S210" t="s">
        <v>693</v>
      </c>
      <c r="T210">
        <v>0</v>
      </c>
      <c r="U210">
        <v>0</v>
      </c>
      <c r="V210">
        <v>0</v>
      </c>
      <c r="W210">
        <v>0</v>
      </c>
    </row>
    <row r="211" spans="1:23">
      <c r="A211" t="s">
        <v>1433</v>
      </c>
      <c r="B211" t="s">
        <v>1434</v>
      </c>
      <c r="C211">
        <v>36</v>
      </c>
      <c r="D211">
        <f>IFERROR(VLOOKUP(Fix_Mapping[[#This Row],[KODE BARANG]],[1]!KINONF15[[KDBRG]:[HRG_JLMT_CTN+PPN]],5,0),0)</f>
        <v>0</v>
      </c>
      <c r="E211" t="s">
        <v>2345</v>
      </c>
      <c r="F211">
        <f>IFERROR(VLOOKUP(Fix_Mapping[[#This Row],[KODE BARANG]],[1]!KINONF15[[KDBRG]:[HRG_JLMT_CTN+PPN]],7,0),0)</f>
        <v>0</v>
      </c>
      <c r="G211">
        <f>IFERROR(VLOOKUP(Fix_Mapping[[#This Row],[KODE BARANG]],[1]!KINONF15[[KDBRG]:[HRG_JLMT_CTN+PPN]],8,0),0)</f>
        <v>0</v>
      </c>
      <c r="H211">
        <f>IFERROR(VLOOKUP(Fix_Mapping[[#This Row],[KODE BARANG]],[1]!KINONF15[[KDBRG]:[HRG_JLMT_CTN+PPN]],9,0),0)</f>
        <v>0</v>
      </c>
      <c r="I211">
        <f>IFERROR(VLOOKUP(Fix_Mapping[[#This Row],[KODE BARANG]],[1]!KINONF15[[KDBRG]:[HRG_JLMT_CTN+PPN]],10,0),0)</f>
        <v>0</v>
      </c>
      <c r="J211">
        <f>IFERROR(VLOOKUP(Fix_Mapping[[#This Row],[KODE BARANG]],[1]!KINONF15[[KDBRG]:[HRG_JLMT_CTN+PPN]],11,0),0)</f>
        <v>0</v>
      </c>
      <c r="K211">
        <f>IFERROR(VLOOKUP(Fix_Mapping[[#This Row],[KODE BARANG]],[1]!KINONF15[[KDBRG]:[HRG_JLMT_CTN+PPN]],12,0),0)</f>
        <v>0</v>
      </c>
      <c r="L211">
        <f>IFERROR(VLOOKUP(Fix_Mapping[[#This Row],[KODE BARANG]],[1]!KINONF15[[KDBRG]:[HRG_JLMT_CTN+PPN]],13,0),0)</f>
        <v>0</v>
      </c>
      <c r="M211">
        <f>IFERROR(VLOOKUP(Fix_Mapping[[#This Row],[KODE BARANG]],[1]!KINONF15[[KDBRG]:[HRG_JLMT_CTN+PPN]],14,0),0)</f>
        <v>0</v>
      </c>
      <c r="N211">
        <f>IFERROR(VLOOKUP(Fix_Mapping[[#This Row],[KODE BARANG]],[1]!KINONF15[[KDBRG]:[HRG_JLMT_CTN+PPN]],15,0),0)</f>
        <v>0</v>
      </c>
      <c r="O211">
        <f>IFERROR(VLOOKUP(Fix_Mapping[[#This Row],[KODE BARANG]],[1]!KINONF15[[KDBRG]:[HRG_JLMT_CTN+PPN]],16,0),0)</f>
        <v>0</v>
      </c>
      <c r="P211">
        <f>IFERROR(VLOOKUP(Fix_Mapping[[#This Row],[KODE BARANG]],[1]!KINONF15[[KDBRG]:[HRG_JLMT_CTN+PPN]],17,0),0)</f>
        <v>0</v>
      </c>
      <c r="Q211">
        <f>IFERROR(VLOOKUP(Fix_Mapping[[#This Row],[KODE BARANG]],[1]!KINONF15[[KDBRG]:[HRG_JLMT_CTN+PPN]],18,0),0)</f>
        <v>0</v>
      </c>
      <c r="R211" t="s">
        <v>2555</v>
      </c>
      <c r="S211" t="s">
        <v>787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1435</v>
      </c>
      <c r="B212" t="s">
        <v>1436</v>
      </c>
      <c r="C212">
        <v>36</v>
      </c>
      <c r="D212">
        <f>IFERROR(VLOOKUP(Fix_Mapping[[#This Row],[KODE BARANG]],[1]!KINONF15[[KDBRG]:[HRG_JLMT_CTN+PPN]],5,0),0)</f>
        <v>0</v>
      </c>
      <c r="E212" t="s">
        <v>2345</v>
      </c>
      <c r="F212">
        <f>IFERROR(VLOOKUP(Fix_Mapping[[#This Row],[KODE BARANG]],[1]!KINONF15[[KDBRG]:[HRG_JLMT_CTN+PPN]],7,0),0)</f>
        <v>0</v>
      </c>
      <c r="G212">
        <f>IFERROR(VLOOKUP(Fix_Mapping[[#This Row],[KODE BARANG]],[1]!KINONF15[[KDBRG]:[HRG_JLMT_CTN+PPN]],8,0),0)</f>
        <v>0</v>
      </c>
      <c r="H212">
        <f>IFERROR(VLOOKUP(Fix_Mapping[[#This Row],[KODE BARANG]],[1]!KINONF15[[KDBRG]:[HRG_JLMT_CTN+PPN]],9,0),0)</f>
        <v>0</v>
      </c>
      <c r="I212">
        <f>IFERROR(VLOOKUP(Fix_Mapping[[#This Row],[KODE BARANG]],[1]!KINONF15[[KDBRG]:[HRG_JLMT_CTN+PPN]],10,0),0)</f>
        <v>0</v>
      </c>
      <c r="J212">
        <f>IFERROR(VLOOKUP(Fix_Mapping[[#This Row],[KODE BARANG]],[1]!KINONF15[[KDBRG]:[HRG_JLMT_CTN+PPN]],11,0),0)</f>
        <v>0</v>
      </c>
      <c r="K212">
        <f>IFERROR(VLOOKUP(Fix_Mapping[[#This Row],[KODE BARANG]],[1]!KINONF15[[KDBRG]:[HRG_JLMT_CTN+PPN]],12,0),0)</f>
        <v>0</v>
      </c>
      <c r="L212">
        <f>IFERROR(VLOOKUP(Fix_Mapping[[#This Row],[KODE BARANG]],[1]!KINONF15[[KDBRG]:[HRG_JLMT_CTN+PPN]],13,0),0)</f>
        <v>0</v>
      </c>
      <c r="M212">
        <f>IFERROR(VLOOKUP(Fix_Mapping[[#This Row],[KODE BARANG]],[1]!KINONF15[[KDBRG]:[HRG_JLMT_CTN+PPN]],14,0),0)</f>
        <v>0</v>
      </c>
      <c r="N212">
        <f>IFERROR(VLOOKUP(Fix_Mapping[[#This Row],[KODE BARANG]],[1]!KINONF15[[KDBRG]:[HRG_JLMT_CTN+PPN]],15,0),0)</f>
        <v>0</v>
      </c>
      <c r="O212">
        <f>IFERROR(VLOOKUP(Fix_Mapping[[#This Row],[KODE BARANG]],[1]!KINONF15[[KDBRG]:[HRG_JLMT_CTN+PPN]],16,0),0)</f>
        <v>0</v>
      </c>
      <c r="P212">
        <f>IFERROR(VLOOKUP(Fix_Mapping[[#This Row],[KODE BARANG]],[1]!KINONF15[[KDBRG]:[HRG_JLMT_CTN+PPN]],17,0),0)</f>
        <v>0</v>
      </c>
      <c r="Q212">
        <f>IFERROR(VLOOKUP(Fix_Mapping[[#This Row],[KODE BARANG]],[1]!KINONF15[[KDBRG]:[HRG_JLMT_CTN+PPN]],18,0),0)</f>
        <v>0</v>
      </c>
      <c r="R212" t="s">
        <v>2555</v>
      </c>
      <c r="S212" t="s">
        <v>788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2374</v>
      </c>
      <c r="B213" t="s">
        <v>1437</v>
      </c>
      <c r="C213">
        <v>36</v>
      </c>
      <c r="D213">
        <f>IFERROR(VLOOKUP(Fix_Mapping[[#This Row],[KODE BARANG]],[1]!KINONF15[[KDBRG]:[HRG_JLMT_CTN+PPN]],5,0),0)</f>
        <v>0</v>
      </c>
      <c r="E213" t="s">
        <v>2317</v>
      </c>
      <c r="F213">
        <f>IFERROR(VLOOKUP(Fix_Mapping[[#This Row],[KODE BARANG]],[1]!KINONF15[[KDBRG]:[HRG_JLMT_CTN+PPN]],7,0),0)</f>
        <v>0</v>
      </c>
      <c r="G213">
        <f>IFERROR(VLOOKUP(Fix_Mapping[[#This Row],[KODE BARANG]],[1]!KINONF15[[KDBRG]:[HRG_JLMT_CTN+PPN]],8,0),0)</f>
        <v>0</v>
      </c>
      <c r="H213">
        <f>IFERROR(VLOOKUP(Fix_Mapping[[#This Row],[KODE BARANG]],[1]!KINONF15[[KDBRG]:[HRG_JLMT_CTN+PPN]],9,0),0)</f>
        <v>0</v>
      </c>
      <c r="I213">
        <f>IFERROR(VLOOKUP(Fix_Mapping[[#This Row],[KODE BARANG]],[1]!KINONF15[[KDBRG]:[HRG_JLMT_CTN+PPN]],10,0),0)</f>
        <v>0</v>
      </c>
      <c r="J213">
        <f>IFERROR(VLOOKUP(Fix_Mapping[[#This Row],[KODE BARANG]],[1]!KINONF15[[KDBRG]:[HRG_JLMT_CTN+PPN]],11,0),0)</f>
        <v>0</v>
      </c>
      <c r="K213">
        <f>IFERROR(VLOOKUP(Fix_Mapping[[#This Row],[KODE BARANG]],[1]!KINONF15[[KDBRG]:[HRG_JLMT_CTN+PPN]],12,0),0)</f>
        <v>0</v>
      </c>
      <c r="L213">
        <f>IFERROR(VLOOKUP(Fix_Mapping[[#This Row],[KODE BARANG]],[1]!KINONF15[[KDBRG]:[HRG_JLMT_CTN+PPN]],13,0),0)</f>
        <v>0</v>
      </c>
      <c r="M213">
        <f>IFERROR(VLOOKUP(Fix_Mapping[[#This Row],[KODE BARANG]],[1]!KINONF15[[KDBRG]:[HRG_JLMT_CTN+PPN]],14,0),0)</f>
        <v>0</v>
      </c>
      <c r="N213">
        <f>IFERROR(VLOOKUP(Fix_Mapping[[#This Row],[KODE BARANG]],[1]!KINONF15[[KDBRG]:[HRG_JLMT_CTN+PPN]],15,0),0)</f>
        <v>0</v>
      </c>
      <c r="O213">
        <f>IFERROR(VLOOKUP(Fix_Mapping[[#This Row],[KODE BARANG]],[1]!KINONF15[[KDBRG]:[HRG_JLMT_CTN+PPN]],16,0),0)</f>
        <v>0</v>
      </c>
      <c r="P213">
        <f>IFERROR(VLOOKUP(Fix_Mapping[[#This Row],[KODE BARANG]],[1]!KINONF15[[KDBRG]:[HRG_JLMT_CTN+PPN]],17,0),0)</f>
        <v>0</v>
      </c>
      <c r="Q213">
        <f>IFERROR(VLOOKUP(Fix_Mapping[[#This Row],[KODE BARANG]],[1]!KINONF15[[KDBRG]:[HRG_JLMT_CTN+PPN]],18,0),0)</f>
        <v>0</v>
      </c>
      <c r="R213" t="s">
        <v>2555</v>
      </c>
      <c r="S213" t="s">
        <v>760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2448</v>
      </c>
      <c r="B214" t="s">
        <v>2456</v>
      </c>
      <c r="C214">
        <v>36</v>
      </c>
      <c r="D214">
        <f>IFERROR(VLOOKUP(Fix_Mapping[[#This Row],[KODE BARANG]],[1]!KINONF15[[KDBRG]:[HRG_JLMT_CTN+PPN]],5,0),0)</f>
        <v>0</v>
      </c>
      <c r="E214" t="s">
        <v>2317</v>
      </c>
      <c r="F214">
        <f>IFERROR(VLOOKUP(Fix_Mapping[[#This Row],[KODE BARANG]],[1]!KINONF15[[KDBRG]:[HRG_JLMT_CTN+PPN]],7,0),0)</f>
        <v>0</v>
      </c>
      <c r="G214">
        <f>IFERROR(VLOOKUP(Fix_Mapping[[#This Row],[KODE BARANG]],[1]!KINONF15[[KDBRG]:[HRG_JLMT_CTN+PPN]],8,0),0)</f>
        <v>0</v>
      </c>
      <c r="H214">
        <f>IFERROR(VLOOKUP(Fix_Mapping[[#This Row],[KODE BARANG]],[1]!KINONF15[[KDBRG]:[HRG_JLMT_CTN+PPN]],9,0),0)</f>
        <v>0</v>
      </c>
      <c r="I214">
        <f>IFERROR(VLOOKUP(Fix_Mapping[[#This Row],[KODE BARANG]],[1]!KINONF15[[KDBRG]:[HRG_JLMT_CTN+PPN]],10,0),0)</f>
        <v>0</v>
      </c>
      <c r="J214">
        <f>IFERROR(VLOOKUP(Fix_Mapping[[#This Row],[KODE BARANG]],[1]!KINONF15[[KDBRG]:[HRG_JLMT_CTN+PPN]],11,0),0)</f>
        <v>0</v>
      </c>
      <c r="K214">
        <f>IFERROR(VLOOKUP(Fix_Mapping[[#This Row],[KODE BARANG]],[1]!KINONF15[[KDBRG]:[HRG_JLMT_CTN+PPN]],12,0),0)</f>
        <v>0</v>
      </c>
      <c r="L214">
        <f>IFERROR(VLOOKUP(Fix_Mapping[[#This Row],[KODE BARANG]],[1]!KINONF15[[KDBRG]:[HRG_JLMT_CTN+PPN]],13,0),0)</f>
        <v>0</v>
      </c>
      <c r="M214">
        <f>IFERROR(VLOOKUP(Fix_Mapping[[#This Row],[KODE BARANG]],[1]!KINONF15[[KDBRG]:[HRG_JLMT_CTN+PPN]],14,0),0)</f>
        <v>0</v>
      </c>
      <c r="N214">
        <f>IFERROR(VLOOKUP(Fix_Mapping[[#This Row],[KODE BARANG]],[1]!KINONF15[[KDBRG]:[HRG_JLMT_CTN+PPN]],15,0),0)</f>
        <v>0</v>
      </c>
      <c r="O214">
        <f>IFERROR(VLOOKUP(Fix_Mapping[[#This Row],[KODE BARANG]],[1]!KINONF15[[KDBRG]:[HRG_JLMT_CTN+PPN]],16,0),0)</f>
        <v>0</v>
      </c>
      <c r="P214">
        <f>IFERROR(VLOOKUP(Fix_Mapping[[#This Row],[KODE BARANG]],[1]!KINONF15[[KDBRG]:[HRG_JLMT_CTN+PPN]],17,0),0)</f>
        <v>0</v>
      </c>
      <c r="Q214">
        <f>IFERROR(VLOOKUP(Fix_Mapping[[#This Row],[KODE BARANG]],[1]!KINONF15[[KDBRG]:[HRG_JLMT_CTN+PPN]],18,0),0)</f>
        <v>0</v>
      </c>
      <c r="R214" t="s">
        <v>2555</v>
      </c>
      <c r="S214" t="s">
        <v>752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2375</v>
      </c>
      <c r="B215" t="s">
        <v>1438</v>
      </c>
      <c r="C215">
        <v>36</v>
      </c>
      <c r="D215">
        <f>IFERROR(VLOOKUP(Fix_Mapping[[#This Row],[KODE BARANG]],[1]!KINONF15[[KDBRG]:[HRG_JLMT_CTN+PPN]],5,0),0)</f>
        <v>0</v>
      </c>
      <c r="E215" t="s">
        <v>2317</v>
      </c>
      <c r="F215">
        <f>IFERROR(VLOOKUP(Fix_Mapping[[#This Row],[KODE BARANG]],[1]!KINONF15[[KDBRG]:[HRG_JLMT_CTN+PPN]],7,0),0)</f>
        <v>0</v>
      </c>
      <c r="G215">
        <f>IFERROR(VLOOKUP(Fix_Mapping[[#This Row],[KODE BARANG]],[1]!KINONF15[[KDBRG]:[HRG_JLMT_CTN+PPN]],8,0),0)</f>
        <v>0</v>
      </c>
      <c r="H215">
        <f>IFERROR(VLOOKUP(Fix_Mapping[[#This Row],[KODE BARANG]],[1]!KINONF15[[KDBRG]:[HRG_JLMT_CTN+PPN]],9,0),0)</f>
        <v>0</v>
      </c>
      <c r="I215">
        <f>IFERROR(VLOOKUP(Fix_Mapping[[#This Row],[KODE BARANG]],[1]!KINONF15[[KDBRG]:[HRG_JLMT_CTN+PPN]],10,0),0)</f>
        <v>0</v>
      </c>
      <c r="J215">
        <f>IFERROR(VLOOKUP(Fix_Mapping[[#This Row],[KODE BARANG]],[1]!KINONF15[[KDBRG]:[HRG_JLMT_CTN+PPN]],11,0),0)</f>
        <v>0</v>
      </c>
      <c r="K215">
        <f>IFERROR(VLOOKUP(Fix_Mapping[[#This Row],[KODE BARANG]],[1]!KINONF15[[KDBRG]:[HRG_JLMT_CTN+PPN]],12,0),0)</f>
        <v>0</v>
      </c>
      <c r="L215">
        <f>IFERROR(VLOOKUP(Fix_Mapping[[#This Row],[KODE BARANG]],[1]!KINONF15[[KDBRG]:[HRG_JLMT_CTN+PPN]],13,0),0)</f>
        <v>0</v>
      </c>
      <c r="M215">
        <f>IFERROR(VLOOKUP(Fix_Mapping[[#This Row],[KODE BARANG]],[1]!KINONF15[[KDBRG]:[HRG_JLMT_CTN+PPN]],14,0),0)</f>
        <v>0</v>
      </c>
      <c r="N215">
        <f>IFERROR(VLOOKUP(Fix_Mapping[[#This Row],[KODE BARANG]],[1]!KINONF15[[KDBRG]:[HRG_JLMT_CTN+PPN]],15,0),0)</f>
        <v>0</v>
      </c>
      <c r="O215">
        <f>IFERROR(VLOOKUP(Fix_Mapping[[#This Row],[KODE BARANG]],[1]!KINONF15[[KDBRG]:[HRG_JLMT_CTN+PPN]],16,0),0)</f>
        <v>0</v>
      </c>
      <c r="P215">
        <f>IFERROR(VLOOKUP(Fix_Mapping[[#This Row],[KODE BARANG]],[1]!KINONF15[[KDBRG]:[HRG_JLMT_CTN+PPN]],17,0),0)</f>
        <v>0</v>
      </c>
      <c r="Q215">
        <f>IFERROR(VLOOKUP(Fix_Mapping[[#This Row],[KODE BARANG]],[1]!KINONF15[[KDBRG]:[HRG_JLMT_CTN+PPN]],18,0),0)</f>
        <v>0</v>
      </c>
      <c r="R215" t="s">
        <v>2555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>
      <c r="A216" t="s">
        <v>2376</v>
      </c>
      <c r="B216" t="s">
        <v>1439</v>
      </c>
      <c r="C216">
        <v>12</v>
      </c>
      <c r="D216">
        <f>IFERROR(VLOOKUP(Fix_Mapping[[#This Row],[KODE BARANG]],[1]!KINONF15[[KDBRG]:[HRG_JLMT_CTN+PPN]],5,0),0)</f>
        <v>0</v>
      </c>
      <c r="E216" t="s">
        <v>2317</v>
      </c>
      <c r="F216">
        <f>IFERROR(VLOOKUP(Fix_Mapping[[#This Row],[KODE BARANG]],[1]!KINONF15[[KDBRG]:[HRG_JLMT_CTN+PPN]],7,0),0)</f>
        <v>0</v>
      </c>
      <c r="G216">
        <f>IFERROR(VLOOKUP(Fix_Mapping[[#This Row],[KODE BARANG]],[1]!KINONF15[[KDBRG]:[HRG_JLMT_CTN+PPN]],8,0),0)</f>
        <v>0</v>
      </c>
      <c r="H216">
        <f>IFERROR(VLOOKUP(Fix_Mapping[[#This Row],[KODE BARANG]],[1]!KINONF15[[KDBRG]:[HRG_JLMT_CTN+PPN]],9,0),0)</f>
        <v>0</v>
      </c>
      <c r="I216">
        <f>IFERROR(VLOOKUP(Fix_Mapping[[#This Row],[KODE BARANG]],[1]!KINONF15[[KDBRG]:[HRG_JLMT_CTN+PPN]],10,0),0)</f>
        <v>0</v>
      </c>
      <c r="J216">
        <f>IFERROR(VLOOKUP(Fix_Mapping[[#This Row],[KODE BARANG]],[1]!KINONF15[[KDBRG]:[HRG_JLMT_CTN+PPN]],11,0),0)</f>
        <v>0</v>
      </c>
      <c r="K216">
        <f>IFERROR(VLOOKUP(Fix_Mapping[[#This Row],[KODE BARANG]],[1]!KINONF15[[KDBRG]:[HRG_JLMT_CTN+PPN]],12,0),0)</f>
        <v>0</v>
      </c>
      <c r="L216">
        <f>IFERROR(VLOOKUP(Fix_Mapping[[#This Row],[KODE BARANG]],[1]!KINONF15[[KDBRG]:[HRG_JLMT_CTN+PPN]],13,0),0)</f>
        <v>0</v>
      </c>
      <c r="M216">
        <f>IFERROR(VLOOKUP(Fix_Mapping[[#This Row],[KODE BARANG]],[1]!KINONF15[[KDBRG]:[HRG_JLMT_CTN+PPN]],14,0),0)</f>
        <v>0</v>
      </c>
      <c r="N216">
        <f>IFERROR(VLOOKUP(Fix_Mapping[[#This Row],[KODE BARANG]],[1]!KINONF15[[KDBRG]:[HRG_JLMT_CTN+PPN]],15,0),0)</f>
        <v>0</v>
      </c>
      <c r="O216">
        <f>IFERROR(VLOOKUP(Fix_Mapping[[#This Row],[KODE BARANG]],[1]!KINONF15[[KDBRG]:[HRG_JLMT_CTN+PPN]],16,0),0)</f>
        <v>0</v>
      </c>
      <c r="P216">
        <f>IFERROR(VLOOKUP(Fix_Mapping[[#This Row],[KODE BARANG]],[1]!KINONF15[[KDBRG]:[HRG_JLMT_CTN+PPN]],17,0),0)</f>
        <v>0</v>
      </c>
      <c r="Q216">
        <f>IFERROR(VLOOKUP(Fix_Mapping[[#This Row],[KODE BARANG]],[1]!KINONF15[[KDBRG]:[HRG_JLMT_CTN+PPN]],18,0),0)</f>
        <v>0</v>
      </c>
      <c r="R216" t="s">
        <v>2555</v>
      </c>
      <c r="S216" t="s">
        <v>754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2377</v>
      </c>
      <c r="B217" t="s">
        <v>1440</v>
      </c>
      <c r="C217">
        <v>36</v>
      </c>
      <c r="D217">
        <f>IFERROR(VLOOKUP(Fix_Mapping[[#This Row],[KODE BARANG]],[1]!KINONF15[[KDBRG]:[HRG_JLMT_CTN+PPN]],5,0),0)</f>
        <v>0</v>
      </c>
      <c r="E217" t="s">
        <v>2317</v>
      </c>
      <c r="F217">
        <f>IFERROR(VLOOKUP(Fix_Mapping[[#This Row],[KODE BARANG]],[1]!KINONF15[[KDBRG]:[HRG_JLMT_CTN+PPN]],7,0),0)</f>
        <v>0</v>
      </c>
      <c r="G217">
        <f>IFERROR(VLOOKUP(Fix_Mapping[[#This Row],[KODE BARANG]],[1]!KINONF15[[KDBRG]:[HRG_JLMT_CTN+PPN]],8,0),0)</f>
        <v>0</v>
      </c>
      <c r="H217">
        <f>IFERROR(VLOOKUP(Fix_Mapping[[#This Row],[KODE BARANG]],[1]!KINONF15[[KDBRG]:[HRG_JLMT_CTN+PPN]],9,0),0)</f>
        <v>0</v>
      </c>
      <c r="I217">
        <f>IFERROR(VLOOKUP(Fix_Mapping[[#This Row],[KODE BARANG]],[1]!KINONF15[[KDBRG]:[HRG_JLMT_CTN+PPN]],10,0),0)</f>
        <v>0</v>
      </c>
      <c r="J217">
        <f>IFERROR(VLOOKUP(Fix_Mapping[[#This Row],[KODE BARANG]],[1]!KINONF15[[KDBRG]:[HRG_JLMT_CTN+PPN]],11,0),0)</f>
        <v>0</v>
      </c>
      <c r="K217">
        <f>IFERROR(VLOOKUP(Fix_Mapping[[#This Row],[KODE BARANG]],[1]!KINONF15[[KDBRG]:[HRG_JLMT_CTN+PPN]],12,0),0)</f>
        <v>0</v>
      </c>
      <c r="L217">
        <f>IFERROR(VLOOKUP(Fix_Mapping[[#This Row],[KODE BARANG]],[1]!KINONF15[[KDBRG]:[HRG_JLMT_CTN+PPN]],13,0),0)</f>
        <v>0</v>
      </c>
      <c r="M217">
        <f>IFERROR(VLOOKUP(Fix_Mapping[[#This Row],[KODE BARANG]],[1]!KINONF15[[KDBRG]:[HRG_JLMT_CTN+PPN]],14,0),0)</f>
        <v>0</v>
      </c>
      <c r="N217">
        <f>IFERROR(VLOOKUP(Fix_Mapping[[#This Row],[KODE BARANG]],[1]!KINONF15[[KDBRG]:[HRG_JLMT_CTN+PPN]],15,0),0)</f>
        <v>0</v>
      </c>
      <c r="O217">
        <f>IFERROR(VLOOKUP(Fix_Mapping[[#This Row],[KODE BARANG]],[1]!KINONF15[[KDBRG]:[HRG_JLMT_CTN+PPN]],16,0),0)</f>
        <v>0</v>
      </c>
      <c r="P217">
        <f>IFERROR(VLOOKUP(Fix_Mapping[[#This Row],[KODE BARANG]],[1]!KINONF15[[KDBRG]:[HRG_JLMT_CTN+PPN]],17,0),0)</f>
        <v>0</v>
      </c>
      <c r="Q217">
        <f>IFERROR(VLOOKUP(Fix_Mapping[[#This Row],[KODE BARANG]],[1]!KINONF15[[KDBRG]:[HRG_JLMT_CTN+PPN]],18,0),0)</f>
        <v>0</v>
      </c>
      <c r="R217" t="s">
        <v>2555</v>
      </c>
      <c r="S217" t="s">
        <v>772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2378</v>
      </c>
      <c r="B218" t="s">
        <v>1441</v>
      </c>
      <c r="C218">
        <v>36</v>
      </c>
      <c r="D218">
        <f>IFERROR(VLOOKUP(Fix_Mapping[[#This Row],[KODE BARANG]],[1]!KINONF15[[KDBRG]:[HRG_JLMT_CTN+PPN]],5,0),0)</f>
        <v>0</v>
      </c>
      <c r="E218" t="s">
        <v>2317</v>
      </c>
      <c r="F218">
        <f>IFERROR(VLOOKUP(Fix_Mapping[[#This Row],[KODE BARANG]],[1]!KINONF15[[KDBRG]:[HRG_JLMT_CTN+PPN]],7,0),0)</f>
        <v>0</v>
      </c>
      <c r="G218">
        <f>IFERROR(VLOOKUP(Fix_Mapping[[#This Row],[KODE BARANG]],[1]!KINONF15[[KDBRG]:[HRG_JLMT_CTN+PPN]],8,0),0)</f>
        <v>0</v>
      </c>
      <c r="H218">
        <f>IFERROR(VLOOKUP(Fix_Mapping[[#This Row],[KODE BARANG]],[1]!KINONF15[[KDBRG]:[HRG_JLMT_CTN+PPN]],9,0),0)</f>
        <v>0</v>
      </c>
      <c r="I218">
        <f>IFERROR(VLOOKUP(Fix_Mapping[[#This Row],[KODE BARANG]],[1]!KINONF15[[KDBRG]:[HRG_JLMT_CTN+PPN]],10,0),0)</f>
        <v>0</v>
      </c>
      <c r="J218">
        <f>IFERROR(VLOOKUP(Fix_Mapping[[#This Row],[KODE BARANG]],[1]!KINONF15[[KDBRG]:[HRG_JLMT_CTN+PPN]],11,0),0)</f>
        <v>0</v>
      </c>
      <c r="K218">
        <f>IFERROR(VLOOKUP(Fix_Mapping[[#This Row],[KODE BARANG]],[1]!KINONF15[[KDBRG]:[HRG_JLMT_CTN+PPN]],12,0),0)</f>
        <v>0</v>
      </c>
      <c r="L218">
        <f>IFERROR(VLOOKUP(Fix_Mapping[[#This Row],[KODE BARANG]],[1]!KINONF15[[KDBRG]:[HRG_JLMT_CTN+PPN]],13,0),0)</f>
        <v>0</v>
      </c>
      <c r="M218">
        <f>IFERROR(VLOOKUP(Fix_Mapping[[#This Row],[KODE BARANG]],[1]!KINONF15[[KDBRG]:[HRG_JLMT_CTN+PPN]],14,0),0)</f>
        <v>0</v>
      </c>
      <c r="N218">
        <f>IFERROR(VLOOKUP(Fix_Mapping[[#This Row],[KODE BARANG]],[1]!KINONF15[[KDBRG]:[HRG_JLMT_CTN+PPN]],15,0),0)</f>
        <v>0</v>
      </c>
      <c r="O218">
        <f>IFERROR(VLOOKUP(Fix_Mapping[[#This Row],[KODE BARANG]],[1]!KINONF15[[KDBRG]:[HRG_JLMT_CTN+PPN]],16,0),0)</f>
        <v>0</v>
      </c>
      <c r="P218">
        <f>IFERROR(VLOOKUP(Fix_Mapping[[#This Row],[KODE BARANG]],[1]!KINONF15[[KDBRG]:[HRG_JLMT_CTN+PPN]],17,0),0)</f>
        <v>0</v>
      </c>
      <c r="Q218">
        <f>IFERROR(VLOOKUP(Fix_Mapping[[#This Row],[KODE BARANG]],[1]!KINONF15[[KDBRG]:[HRG_JLMT_CTN+PPN]],18,0),0)</f>
        <v>0</v>
      </c>
      <c r="R218" t="s">
        <v>2555</v>
      </c>
      <c r="S218" t="s">
        <v>773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2379</v>
      </c>
      <c r="B219" t="s">
        <v>1442</v>
      </c>
      <c r="C219">
        <v>12</v>
      </c>
      <c r="D219">
        <f>IFERROR(VLOOKUP(Fix_Mapping[[#This Row],[KODE BARANG]],[1]!KINONF15[[KDBRG]:[HRG_JLMT_CTN+PPN]],5,0),0)</f>
        <v>0</v>
      </c>
      <c r="E219" t="s">
        <v>2317</v>
      </c>
      <c r="F219">
        <f>IFERROR(VLOOKUP(Fix_Mapping[[#This Row],[KODE BARANG]],[1]!KINONF15[[KDBRG]:[HRG_JLMT_CTN+PPN]],7,0),0)</f>
        <v>0</v>
      </c>
      <c r="G219">
        <f>IFERROR(VLOOKUP(Fix_Mapping[[#This Row],[KODE BARANG]],[1]!KINONF15[[KDBRG]:[HRG_JLMT_CTN+PPN]],8,0),0)</f>
        <v>0</v>
      </c>
      <c r="H219">
        <f>IFERROR(VLOOKUP(Fix_Mapping[[#This Row],[KODE BARANG]],[1]!KINONF15[[KDBRG]:[HRG_JLMT_CTN+PPN]],9,0),0)</f>
        <v>0</v>
      </c>
      <c r="I219">
        <f>IFERROR(VLOOKUP(Fix_Mapping[[#This Row],[KODE BARANG]],[1]!KINONF15[[KDBRG]:[HRG_JLMT_CTN+PPN]],10,0),0)</f>
        <v>0</v>
      </c>
      <c r="J219">
        <f>IFERROR(VLOOKUP(Fix_Mapping[[#This Row],[KODE BARANG]],[1]!KINONF15[[KDBRG]:[HRG_JLMT_CTN+PPN]],11,0),0)</f>
        <v>0</v>
      </c>
      <c r="K219">
        <f>IFERROR(VLOOKUP(Fix_Mapping[[#This Row],[KODE BARANG]],[1]!KINONF15[[KDBRG]:[HRG_JLMT_CTN+PPN]],12,0),0)</f>
        <v>0</v>
      </c>
      <c r="L219">
        <f>IFERROR(VLOOKUP(Fix_Mapping[[#This Row],[KODE BARANG]],[1]!KINONF15[[KDBRG]:[HRG_JLMT_CTN+PPN]],13,0),0)</f>
        <v>0</v>
      </c>
      <c r="M219">
        <f>IFERROR(VLOOKUP(Fix_Mapping[[#This Row],[KODE BARANG]],[1]!KINONF15[[KDBRG]:[HRG_JLMT_CTN+PPN]],14,0),0)</f>
        <v>0</v>
      </c>
      <c r="N219">
        <f>IFERROR(VLOOKUP(Fix_Mapping[[#This Row],[KODE BARANG]],[1]!KINONF15[[KDBRG]:[HRG_JLMT_CTN+PPN]],15,0),0)</f>
        <v>0</v>
      </c>
      <c r="O219">
        <f>IFERROR(VLOOKUP(Fix_Mapping[[#This Row],[KODE BARANG]],[1]!KINONF15[[KDBRG]:[HRG_JLMT_CTN+PPN]],16,0),0)</f>
        <v>0</v>
      </c>
      <c r="P219">
        <f>IFERROR(VLOOKUP(Fix_Mapping[[#This Row],[KODE BARANG]],[1]!KINONF15[[KDBRG]:[HRG_JLMT_CTN+PPN]],17,0),0)</f>
        <v>0</v>
      </c>
      <c r="Q219">
        <f>IFERROR(VLOOKUP(Fix_Mapping[[#This Row],[KODE BARANG]],[1]!KINONF15[[KDBRG]:[HRG_JLMT_CTN+PPN]],18,0),0)</f>
        <v>0</v>
      </c>
      <c r="R219" t="s">
        <v>2555</v>
      </c>
      <c r="S219" t="s">
        <v>771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2380</v>
      </c>
      <c r="B220" t="s">
        <v>1443</v>
      </c>
      <c r="C220">
        <v>36</v>
      </c>
      <c r="D220">
        <f>IFERROR(VLOOKUP(Fix_Mapping[[#This Row],[KODE BARANG]],[1]!KINONF15[[KDBRG]:[HRG_JLMT_CTN+PPN]],5,0),0)</f>
        <v>0</v>
      </c>
      <c r="E220" t="s">
        <v>2317</v>
      </c>
      <c r="F220">
        <f>IFERROR(VLOOKUP(Fix_Mapping[[#This Row],[KODE BARANG]],[1]!KINONF15[[KDBRG]:[HRG_JLMT_CTN+PPN]],7,0),0)</f>
        <v>0</v>
      </c>
      <c r="G220">
        <f>IFERROR(VLOOKUP(Fix_Mapping[[#This Row],[KODE BARANG]],[1]!KINONF15[[KDBRG]:[HRG_JLMT_CTN+PPN]],8,0),0)</f>
        <v>0</v>
      </c>
      <c r="H220">
        <f>IFERROR(VLOOKUP(Fix_Mapping[[#This Row],[KODE BARANG]],[1]!KINONF15[[KDBRG]:[HRG_JLMT_CTN+PPN]],9,0),0)</f>
        <v>0</v>
      </c>
      <c r="I220">
        <f>IFERROR(VLOOKUP(Fix_Mapping[[#This Row],[KODE BARANG]],[1]!KINONF15[[KDBRG]:[HRG_JLMT_CTN+PPN]],10,0),0)</f>
        <v>0</v>
      </c>
      <c r="J220">
        <f>IFERROR(VLOOKUP(Fix_Mapping[[#This Row],[KODE BARANG]],[1]!KINONF15[[KDBRG]:[HRG_JLMT_CTN+PPN]],11,0),0)</f>
        <v>0</v>
      </c>
      <c r="K220">
        <f>IFERROR(VLOOKUP(Fix_Mapping[[#This Row],[KODE BARANG]],[1]!KINONF15[[KDBRG]:[HRG_JLMT_CTN+PPN]],12,0),0)</f>
        <v>0</v>
      </c>
      <c r="L220">
        <f>IFERROR(VLOOKUP(Fix_Mapping[[#This Row],[KODE BARANG]],[1]!KINONF15[[KDBRG]:[HRG_JLMT_CTN+PPN]],13,0),0)</f>
        <v>0</v>
      </c>
      <c r="M220">
        <f>IFERROR(VLOOKUP(Fix_Mapping[[#This Row],[KODE BARANG]],[1]!KINONF15[[KDBRG]:[HRG_JLMT_CTN+PPN]],14,0),0)</f>
        <v>0</v>
      </c>
      <c r="N220">
        <f>IFERROR(VLOOKUP(Fix_Mapping[[#This Row],[KODE BARANG]],[1]!KINONF15[[KDBRG]:[HRG_JLMT_CTN+PPN]],15,0),0)</f>
        <v>0</v>
      </c>
      <c r="O220">
        <f>IFERROR(VLOOKUP(Fix_Mapping[[#This Row],[KODE BARANG]],[1]!KINONF15[[KDBRG]:[HRG_JLMT_CTN+PPN]],16,0),0)</f>
        <v>0</v>
      </c>
      <c r="P220">
        <f>IFERROR(VLOOKUP(Fix_Mapping[[#This Row],[KODE BARANG]],[1]!KINONF15[[KDBRG]:[HRG_JLMT_CTN+PPN]],17,0),0)</f>
        <v>0</v>
      </c>
      <c r="Q220">
        <f>IFERROR(VLOOKUP(Fix_Mapping[[#This Row],[KODE BARANG]],[1]!KINONF15[[KDBRG]:[HRG_JLMT_CTN+PPN]],18,0),0)</f>
        <v>0</v>
      </c>
      <c r="R220" t="s">
        <v>2555</v>
      </c>
      <c r="S220" t="s">
        <v>768</v>
      </c>
      <c r="T220" t="s">
        <v>767</v>
      </c>
      <c r="U220">
        <v>0</v>
      </c>
      <c r="V220">
        <v>0</v>
      </c>
      <c r="W220">
        <v>0</v>
      </c>
    </row>
    <row r="221" spans="1:23">
      <c r="A221" t="s">
        <v>2381</v>
      </c>
      <c r="B221" t="s">
        <v>1444</v>
      </c>
      <c r="C221">
        <v>36</v>
      </c>
      <c r="D221">
        <f>IFERROR(VLOOKUP(Fix_Mapping[[#This Row],[KODE BARANG]],[1]!KINONF15[[KDBRG]:[HRG_JLMT_CTN+PPN]],5,0),0)</f>
        <v>0</v>
      </c>
      <c r="E221" t="s">
        <v>2317</v>
      </c>
      <c r="F221">
        <f>IFERROR(VLOOKUP(Fix_Mapping[[#This Row],[KODE BARANG]],[1]!KINONF15[[KDBRG]:[HRG_JLMT_CTN+PPN]],7,0),0)</f>
        <v>0</v>
      </c>
      <c r="G221">
        <f>IFERROR(VLOOKUP(Fix_Mapping[[#This Row],[KODE BARANG]],[1]!KINONF15[[KDBRG]:[HRG_JLMT_CTN+PPN]],8,0),0)</f>
        <v>0</v>
      </c>
      <c r="H221">
        <f>IFERROR(VLOOKUP(Fix_Mapping[[#This Row],[KODE BARANG]],[1]!KINONF15[[KDBRG]:[HRG_JLMT_CTN+PPN]],9,0),0)</f>
        <v>0</v>
      </c>
      <c r="I221">
        <f>IFERROR(VLOOKUP(Fix_Mapping[[#This Row],[KODE BARANG]],[1]!KINONF15[[KDBRG]:[HRG_JLMT_CTN+PPN]],10,0),0)</f>
        <v>0</v>
      </c>
      <c r="J221">
        <f>IFERROR(VLOOKUP(Fix_Mapping[[#This Row],[KODE BARANG]],[1]!KINONF15[[KDBRG]:[HRG_JLMT_CTN+PPN]],11,0),0)</f>
        <v>0</v>
      </c>
      <c r="K221">
        <f>IFERROR(VLOOKUP(Fix_Mapping[[#This Row],[KODE BARANG]],[1]!KINONF15[[KDBRG]:[HRG_JLMT_CTN+PPN]],12,0),0)</f>
        <v>0</v>
      </c>
      <c r="L221">
        <f>IFERROR(VLOOKUP(Fix_Mapping[[#This Row],[KODE BARANG]],[1]!KINONF15[[KDBRG]:[HRG_JLMT_CTN+PPN]],13,0),0)</f>
        <v>0</v>
      </c>
      <c r="M221">
        <f>IFERROR(VLOOKUP(Fix_Mapping[[#This Row],[KODE BARANG]],[1]!KINONF15[[KDBRG]:[HRG_JLMT_CTN+PPN]],14,0),0)</f>
        <v>0</v>
      </c>
      <c r="N221">
        <f>IFERROR(VLOOKUP(Fix_Mapping[[#This Row],[KODE BARANG]],[1]!KINONF15[[KDBRG]:[HRG_JLMT_CTN+PPN]],15,0),0)</f>
        <v>0</v>
      </c>
      <c r="O221">
        <f>IFERROR(VLOOKUP(Fix_Mapping[[#This Row],[KODE BARANG]],[1]!KINONF15[[KDBRG]:[HRG_JLMT_CTN+PPN]],16,0),0)</f>
        <v>0</v>
      </c>
      <c r="P221">
        <f>IFERROR(VLOOKUP(Fix_Mapping[[#This Row],[KODE BARANG]],[1]!KINONF15[[KDBRG]:[HRG_JLMT_CTN+PPN]],17,0),0)</f>
        <v>0</v>
      </c>
      <c r="Q221">
        <f>IFERROR(VLOOKUP(Fix_Mapping[[#This Row],[KODE BARANG]],[1]!KINONF15[[KDBRG]:[HRG_JLMT_CTN+PPN]],18,0),0)</f>
        <v>0</v>
      </c>
      <c r="R221" t="s">
        <v>2555</v>
      </c>
      <c r="S221" t="s">
        <v>769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2382</v>
      </c>
      <c r="B222" t="s">
        <v>1445</v>
      </c>
      <c r="C222">
        <v>12</v>
      </c>
      <c r="D222">
        <f>IFERROR(VLOOKUP(Fix_Mapping[[#This Row],[KODE BARANG]],[1]!KINONF15[[KDBRG]:[HRG_JLMT_CTN+PPN]],5,0),0)</f>
        <v>0</v>
      </c>
      <c r="E222" t="s">
        <v>2317</v>
      </c>
      <c r="F222">
        <f>IFERROR(VLOOKUP(Fix_Mapping[[#This Row],[KODE BARANG]],[1]!KINONF15[[KDBRG]:[HRG_JLMT_CTN+PPN]],7,0),0)</f>
        <v>0</v>
      </c>
      <c r="G222">
        <f>IFERROR(VLOOKUP(Fix_Mapping[[#This Row],[KODE BARANG]],[1]!KINONF15[[KDBRG]:[HRG_JLMT_CTN+PPN]],8,0),0)</f>
        <v>0</v>
      </c>
      <c r="H222">
        <f>IFERROR(VLOOKUP(Fix_Mapping[[#This Row],[KODE BARANG]],[1]!KINONF15[[KDBRG]:[HRG_JLMT_CTN+PPN]],9,0),0)</f>
        <v>0</v>
      </c>
      <c r="I222">
        <f>IFERROR(VLOOKUP(Fix_Mapping[[#This Row],[KODE BARANG]],[1]!KINONF15[[KDBRG]:[HRG_JLMT_CTN+PPN]],10,0),0)</f>
        <v>0</v>
      </c>
      <c r="J222">
        <f>IFERROR(VLOOKUP(Fix_Mapping[[#This Row],[KODE BARANG]],[1]!KINONF15[[KDBRG]:[HRG_JLMT_CTN+PPN]],11,0),0)</f>
        <v>0</v>
      </c>
      <c r="K222">
        <f>IFERROR(VLOOKUP(Fix_Mapping[[#This Row],[KODE BARANG]],[1]!KINONF15[[KDBRG]:[HRG_JLMT_CTN+PPN]],12,0),0)</f>
        <v>0</v>
      </c>
      <c r="L222">
        <f>IFERROR(VLOOKUP(Fix_Mapping[[#This Row],[KODE BARANG]],[1]!KINONF15[[KDBRG]:[HRG_JLMT_CTN+PPN]],13,0),0)</f>
        <v>0</v>
      </c>
      <c r="M222">
        <f>IFERROR(VLOOKUP(Fix_Mapping[[#This Row],[KODE BARANG]],[1]!KINONF15[[KDBRG]:[HRG_JLMT_CTN+PPN]],14,0),0)</f>
        <v>0</v>
      </c>
      <c r="N222">
        <f>IFERROR(VLOOKUP(Fix_Mapping[[#This Row],[KODE BARANG]],[1]!KINONF15[[KDBRG]:[HRG_JLMT_CTN+PPN]],15,0),0)</f>
        <v>0</v>
      </c>
      <c r="O222">
        <f>IFERROR(VLOOKUP(Fix_Mapping[[#This Row],[KODE BARANG]],[1]!KINONF15[[KDBRG]:[HRG_JLMT_CTN+PPN]],16,0),0)</f>
        <v>0</v>
      </c>
      <c r="P222">
        <f>IFERROR(VLOOKUP(Fix_Mapping[[#This Row],[KODE BARANG]],[1]!KINONF15[[KDBRG]:[HRG_JLMT_CTN+PPN]],17,0),0)</f>
        <v>0</v>
      </c>
      <c r="Q222">
        <f>IFERROR(VLOOKUP(Fix_Mapping[[#This Row],[KODE BARANG]],[1]!KINONF15[[KDBRG]:[HRG_JLMT_CTN+PPN]],18,0),0)</f>
        <v>0</v>
      </c>
      <c r="R222" t="s">
        <v>2555</v>
      </c>
      <c r="S222" t="s">
        <v>770</v>
      </c>
      <c r="T222">
        <v>0</v>
      </c>
      <c r="U222">
        <v>0</v>
      </c>
      <c r="V222">
        <v>0</v>
      </c>
      <c r="W222">
        <v>0</v>
      </c>
    </row>
    <row r="223" spans="1:23">
      <c r="A223" t="s">
        <v>2383</v>
      </c>
      <c r="B223" t="s">
        <v>1446</v>
      </c>
      <c r="C223">
        <v>72</v>
      </c>
      <c r="D223">
        <f>IFERROR(VLOOKUP(Fix_Mapping[[#This Row],[KODE BARANG]],[1]!KINONF15[[KDBRG]:[HRG_JLMT_CTN+PPN]],5,0),0)</f>
        <v>0</v>
      </c>
      <c r="E223" t="s">
        <v>2317</v>
      </c>
      <c r="F223">
        <f>IFERROR(VLOOKUP(Fix_Mapping[[#This Row],[KODE BARANG]],[1]!KINONF15[[KDBRG]:[HRG_JLMT_CTN+PPN]],7,0),0)</f>
        <v>0</v>
      </c>
      <c r="G223">
        <f>IFERROR(VLOOKUP(Fix_Mapping[[#This Row],[KODE BARANG]],[1]!KINONF15[[KDBRG]:[HRG_JLMT_CTN+PPN]],8,0),0)</f>
        <v>0</v>
      </c>
      <c r="H223">
        <f>IFERROR(VLOOKUP(Fix_Mapping[[#This Row],[KODE BARANG]],[1]!KINONF15[[KDBRG]:[HRG_JLMT_CTN+PPN]],9,0),0)</f>
        <v>0</v>
      </c>
      <c r="I223">
        <f>IFERROR(VLOOKUP(Fix_Mapping[[#This Row],[KODE BARANG]],[1]!KINONF15[[KDBRG]:[HRG_JLMT_CTN+PPN]],10,0),0)</f>
        <v>0</v>
      </c>
      <c r="J223">
        <f>IFERROR(VLOOKUP(Fix_Mapping[[#This Row],[KODE BARANG]],[1]!KINONF15[[KDBRG]:[HRG_JLMT_CTN+PPN]],11,0),0)</f>
        <v>0</v>
      </c>
      <c r="K223">
        <f>IFERROR(VLOOKUP(Fix_Mapping[[#This Row],[KODE BARANG]],[1]!KINONF15[[KDBRG]:[HRG_JLMT_CTN+PPN]],12,0),0)</f>
        <v>0</v>
      </c>
      <c r="L223">
        <f>IFERROR(VLOOKUP(Fix_Mapping[[#This Row],[KODE BARANG]],[1]!KINONF15[[KDBRG]:[HRG_JLMT_CTN+PPN]],13,0),0)</f>
        <v>0</v>
      </c>
      <c r="M223">
        <f>IFERROR(VLOOKUP(Fix_Mapping[[#This Row],[KODE BARANG]],[1]!KINONF15[[KDBRG]:[HRG_JLMT_CTN+PPN]],14,0),0)</f>
        <v>0</v>
      </c>
      <c r="N223">
        <f>IFERROR(VLOOKUP(Fix_Mapping[[#This Row],[KODE BARANG]],[1]!KINONF15[[KDBRG]:[HRG_JLMT_CTN+PPN]],15,0),0)</f>
        <v>0</v>
      </c>
      <c r="O223">
        <f>IFERROR(VLOOKUP(Fix_Mapping[[#This Row],[KODE BARANG]],[1]!KINONF15[[KDBRG]:[HRG_JLMT_CTN+PPN]],16,0),0)</f>
        <v>0</v>
      </c>
      <c r="P223">
        <f>IFERROR(VLOOKUP(Fix_Mapping[[#This Row],[KODE BARANG]],[1]!KINONF15[[KDBRG]:[HRG_JLMT_CTN+PPN]],17,0),0)</f>
        <v>0</v>
      </c>
      <c r="Q223">
        <f>IFERROR(VLOOKUP(Fix_Mapping[[#This Row],[KODE BARANG]],[1]!KINONF15[[KDBRG]:[HRG_JLMT_CTN+PPN]],18,0),0)</f>
        <v>0</v>
      </c>
      <c r="R223" t="s">
        <v>2555</v>
      </c>
      <c r="S223" t="s">
        <v>709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2384</v>
      </c>
      <c r="B224" t="s">
        <v>1447</v>
      </c>
      <c r="C224">
        <v>36</v>
      </c>
      <c r="D224">
        <f>IFERROR(VLOOKUP(Fix_Mapping[[#This Row],[KODE BARANG]],[1]!KINONF15[[KDBRG]:[HRG_JLMT_CTN+PPN]],5,0),0)</f>
        <v>0</v>
      </c>
      <c r="E224" t="s">
        <v>2317</v>
      </c>
      <c r="F224">
        <f>IFERROR(VLOOKUP(Fix_Mapping[[#This Row],[KODE BARANG]],[1]!KINONF15[[KDBRG]:[HRG_JLMT_CTN+PPN]],7,0),0)</f>
        <v>0</v>
      </c>
      <c r="G224">
        <f>IFERROR(VLOOKUP(Fix_Mapping[[#This Row],[KODE BARANG]],[1]!KINONF15[[KDBRG]:[HRG_JLMT_CTN+PPN]],8,0),0)</f>
        <v>0</v>
      </c>
      <c r="H224">
        <f>IFERROR(VLOOKUP(Fix_Mapping[[#This Row],[KODE BARANG]],[1]!KINONF15[[KDBRG]:[HRG_JLMT_CTN+PPN]],9,0),0)</f>
        <v>0</v>
      </c>
      <c r="I224">
        <f>IFERROR(VLOOKUP(Fix_Mapping[[#This Row],[KODE BARANG]],[1]!KINONF15[[KDBRG]:[HRG_JLMT_CTN+PPN]],10,0),0)</f>
        <v>0</v>
      </c>
      <c r="J224">
        <f>IFERROR(VLOOKUP(Fix_Mapping[[#This Row],[KODE BARANG]],[1]!KINONF15[[KDBRG]:[HRG_JLMT_CTN+PPN]],11,0),0)</f>
        <v>0</v>
      </c>
      <c r="K224">
        <f>IFERROR(VLOOKUP(Fix_Mapping[[#This Row],[KODE BARANG]],[1]!KINONF15[[KDBRG]:[HRG_JLMT_CTN+PPN]],12,0),0)</f>
        <v>0</v>
      </c>
      <c r="L224">
        <f>IFERROR(VLOOKUP(Fix_Mapping[[#This Row],[KODE BARANG]],[1]!KINONF15[[KDBRG]:[HRG_JLMT_CTN+PPN]],13,0),0)</f>
        <v>0</v>
      </c>
      <c r="M224">
        <f>IFERROR(VLOOKUP(Fix_Mapping[[#This Row],[KODE BARANG]],[1]!KINONF15[[KDBRG]:[HRG_JLMT_CTN+PPN]],14,0),0)</f>
        <v>0</v>
      </c>
      <c r="N224">
        <f>IFERROR(VLOOKUP(Fix_Mapping[[#This Row],[KODE BARANG]],[1]!KINONF15[[KDBRG]:[HRG_JLMT_CTN+PPN]],15,0),0)</f>
        <v>0</v>
      </c>
      <c r="O224">
        <f>IFERROR(VLOOKUP(Fix_Mapping[[#This Row],[KODE BARANG]],[1]!KINONF15[[KDBRG]:[HRG_JLMT_CTN+PPN]],16,0),0)</f>
        <v>0</v>
      </c>
      <c r="P224">
        <f>IFERROR(VLOOKUP(Fix_Mapping[[#This Row],[KODE BARANG]],[1]!KINONF15[[KDBRG]:[HRG_JLMT_CTN+PPN]],17,0),0)</f>
        <v>0</v>
      </c>
      <c r="Q224">
        <f>IFERROR(VLOOKUP(Fix_Mapping[[#This Row],[KODE BARANG]],[1]!KINONF15[[KDBRG]:[HRG_JLMT_CTN+PPN]],18,0),0)</f>
        <v>0</v>
      </c>
      <c r="R224" t="s">
        <v>2555</v>
      </c>
      <c r="S224" t="s">
        <v>710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2385</v>
      </c>
      <c r="B225" t="s">
        <v>1448</v>
      </c>
      <c r="C225">
        <v>36</v>
      </c>
      <c r="D225">
        <f>IFERROR(VLOOKUP(Fix_Mapping[[#This Row],[KODE BARANG]],[1]!KINONF15[[KDBRG]:[HRG_JLMT_CTN+PPN]],5,0),0)</f>
        <v>0</v>
      </c>
      <c r="E225" t="s">
        <v>2317</v>
      </c>
      <c r="F225">
        <f>IFERROR(VLOOKUP(Fix_Mapping[[#This Row],[KODE BARANG]],[1]!KINONF15[[KDBRG]:[HRG_JLMT_CTN+PPN]],7,0),0)</f>
        <v>0</v>
      </c>
      <c r="G225">
        <f>IFERROR(VLOOKUP(Fix_Mapping[[#This Row],[KODE BARANG]],[1]!KINONF15[[KDBRG]:[HRG_JLMT_CTN+PPN]],8,0),0)</f>
        <v>0</v>
      </c>
      <c r="H225">
        <f>IFERROR(VLOOKUP(Fix_Mapping[[#This Row],[KODE BARANG]],[1]!KINONF15[[KDBRG]:[HRG_JLMT_CTN+PPN]],9,0),0)</f>
        <v>0</v>
      </c>
      <c r="I225">
        <f>IFERROR(VLOOKUP(Fix_Mapping[[#This Row],[KODE BARANG]],[1]!KINONF15[[KDBRG]:[HRG_JLMT_CTN+PPN]],10,0),0)</f>
        <v>0</v>
      </c>
      <c r="J225">
        <f>IFERROR(VLOOKUP(Fix_Mapping[[#This Row],[KODE BARANG]],[1]!KINONF15[[KDBRG]:[HRG_JLMT_CTN+PPN]],11,0),0)</f>
        <v>0</v>
      </c>
      <c r="K225">
        <f>IFERROR(VLOOKUP(Fix_Mapping[[#This Row],[KODE BARANG]],[1]!KINONF15[[KDBRG]:[HRG_JLMT_CTN+PPN]],12,0),0)</f>
        <v>0</v>
      </c>
      <c r="L225">
        <f>IFERROR(VLOOKUP(Fix_Mapping[[#This Row],[KODE BARANG]],[1]!KINONF15[[KDBRG]:[HRG_JLMT_CTN+PPN]],13,0),0)</f>
        <v>0</v>
      </c>
      <c r="M225">
        <f>IFERROR(VLOOKUP(Fix_Mapping[[#This Row],[KODE BARANG]],[1]!KINONF15[[KDBRG]:[HRG_JLMT_CTN+PPN]],14,0),0)</f>
        <v>0</v>
      </c>
      <c r="N225">
        <f>IFERROR(VLOOKUP(Fix_Mapping[[#This Row],[KODE BARANG]],[1]!KINONF15[[KDBRG]:[HRG_JLMT_CTN+PPN]],15,0),0)</f>
        <v>0</v>
      </c>
      <c r="O225">
        <f>IFERROR(VLOOKUP(Fix_Mapping[[#This Row],[KODE BARANG]],[1]!KINONF15[[KDBRG]:[HRG_JLMT_CTN+PPN]],16,0),0)</f>
        <v>0</v>
      </c>
      <c r="P225">
        <f>IFERROR(VLOOKUP(Fix_Mapping[[#This Row],[KODE BARANG]],[1]!KINONF15[[KDBRG]:[HRG_JLMT_CTN+PPN]],17,0),0)</f>
        <v>0</v>
      </c>
      <c r="Q225">
        <f>IFERROR(VLOOKUP(Fix_Mapping[[#This Row],[KODE BARANG]],[1]!KINONF15[[KDBRG]:[HRG_JLMT_CTN+PPN]],18,0),0)</f>
        <v>0</v>
      </c>
      <c r="R225" t="s">
        <v>2555</v>
      </c>
      <c r="S225" t="s">
        <v>711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2386</v>
      </c>
      <c r="B226" t="s">
        <v>1449</v>
      </c>
      <c r="C226">
        <v>36</v>
      </c>
      <c r="D226">
        <f>IFERROR(VLOOKUP(Fix_Mapping[[#This Row],[KODE BARANG]],[1]!KINONF15[[KDBRG]:[HRG_JLMT_CTN+PPN]],5,0),0)</f>
        <v>0</v>
      </c>
      <c r="E226" t="s">
        <v>2317</v>
      </c>
      <c r="F226">
        <f>IFERROR(VLOOKUP(Fix_Mapping[[#This Row],[KODE BARANG]],[1]!KINONF15[[KDBRG]:[HRG_JLMT_CTN+PPN]],7,0),0)</f>
        <v>0</v>
      </c>
      <c r="G226">
        <f>IFERROR(VLOOKUP(Fix_Mapping[[#This Row],[KODE BARANG]],[1]!KINONF15[[KDBRG]:[HRG_JLMT_CTN+PPN]],8,0),0)</f>
        <v>0</v>
      </c>
      <c r="H226">
        <f>IFERROR(VLOOKUP(Fix_Mapping[[#This Row],[KODE BARANG]],[1]!KINONF15[[KDBRG]:[HRG_JLMT_CTN+PPN]],9,0),0)</f>
        <v>0</v>
      </c>
      <c r="I226">
        <f>IFERROR(VLOOKUP(Fix_Mapping[[#This Row],[KODE BARANG]],[1]!KINONF15[[KDBRG]:[HRG_JLMT_CTN+PPN]],10,0),0)</f>
        <v>0</v>
      </c>
      <c r="J226">
        <f>IFERROR(VLOOKUP(Fix_Mapping[[#This Row],[KODE BARANG]],[1]!KINONF15[[KDBRG]:[HRG_JLMT_CTN+PPN]],11,0),0)</f>
        <v>0</v>
      </c>
      <c r="K226">
        <f>IFERROR(VLOOKUP(Fix_Mapping[[#This Row],[KODE BARANG]],[1]!KINONF15[[KDBRG]:[HRG_JLMT_CTN+PPN]],12,0),0)</f>
        <v>0</v>
      </c>
      <c r="L226">
        <f>IFERROR(VLOOKUP(Fix_Mapping[[#This Row],[KODE BARANG]],[1]!KINONF15[[KDBRG]:[HRG_JLMT_CTN+PPN]],13,0),0)</f>
        <v>0</v>
      </c>
      <c r="M226">
        <f>IFERROR(VLOOKUP(Fix_Mapping[[#This Row],[KODE BARANG]],[1]!KINONF15[[KDBRG]:[HRG_JLMT_CTN+PPN]],14,0),0)</f>
        <v>0</v>
      </c>
      <c r="N226">
        <f>IFERROR(VLOOKUP(Fix_Mapping[[#This Row],[KODE BARANG]],[1]!KINONF15[[KDBRG]:[HRG_JLMT_CTN+PPN]],15,0),0)</f>
        <v>0</v>
      </c>
      <c r="O226">
        <f>IFERROR(VLOOKUP(Fix_Mapping[[#This Row],[KODE BARANG]],[1]!KINONF15[[KDBRG]:[HRG_JLMT_CTN+PPN]],16,0),0)</f>
        <v>0</v>
      </c>
      <c r="P226">
        <f>IFERROR(VLOOKUP(Fix_Mapping[[#This Row],[KODE BARANG]],[1]!KINONF15[[KDBRG]:[HRG_JLMT_CTN+PPN]],17,0),0)</f>
        <v>0</v>
      </c>
      <c r="Q226">
        <f>IFERROR(VLOOKUP(Fix_Mapping[[#This Row],[KODE BARANG]],[1]!KINONF15[[KDBRG]:[HRG_JLMT_CTN+PPN]],18,0),0)</f>
        <v>0</v>
      </c>
      <c r="R226" t="s">
        <v>2555</v>
      </c>
      <c r="S226" t="s">
        <v>753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1450</v>
      </c>
      <c r="B227" t="s">
        <v>1451</v>
      </c>
      <c r="C227">
        <v>24</v>
      </c>
      <c r="D227">
        <f>IFERROR(VLOOKUP(Fix_Mapping[[#This Row],[KODE BARANG]],[1]!KINONF15[[KDBRG]:[HRG_JLMT_CTN+PPN]],5,0),0)</f>
        <v>0</v>
      </c>
      <c r="E227" t="s">
        <v>2317</v>
      </c>
      <c r="F227">
        <f>IFERROR(VLOOKUP(Fix_Mapping[[#This Row],[KODE BARANG]],[1]!KINONF15[[KDBRG]:[HRG_JLMT_CTN+PPN]],7,0),0)</f>
        <v>0</v>
      </c>
      <c r="G227">
        <f>IFERROR(VLOOKUP(Fix_Mapping[[#This Row],[KODE BARANG]],[1]!KINONF15[[KDBRG]:[HRG_JLMT_CTN+PPN]],8,0),0)</f>
        <v>0</v>
      </c>
      <c r="H227">
        <f>IFERROR(VLOOKUP(Fix_Mapping[[#This Row],[KODE BARANG]],[1]!KINONF15[[KDBRG]:[HRG_JLMT_CTN+PPN]],9,0),0)</f>
        <v>0</v>
      </c>
      <c r="I227">
        <f>IFERROR(VLOOKUP(Fix_Mapping[[#This Row],[KODE BARANG]],[1]!KINONF15[[KDBRG]:[HRG_JLMT_CTN+PPN]],10,0),0)</f>
        <v>0</v>
      </c>
      <c r="J227">
        <f>IFERROR(VLOOKUP(Fix_Mapping[[#This Row],[KODE BARANG]],[1]!KINONF15[[KDBRG]:[HRG_JLMT_CTN+PPN]],11,0),0)</f>
        <v>0</v>
      </c>
      <c r="K227">
        <f>IFERROR(VLOOKUP(Fix_Mapping[[#This Row],[KODE BARANG]],[1]!KINONF15[[KDBRG]:[HRG_JLMT_CTN+PPN]],12,0),0)</f>
        <v>0</v>
      </c>
      <c r="L227">
        <f>IFERROR(VLOOKUP(Fix_Mapping[[#This Row],[KODE BARANG]],[1]!KINONF15[[KDBRG]:[HRG_JLMT_CTN+PPN]],13,0),0)</f>
        <v>0</v>
      </c>
      <c r="M227">
        <f>IFERROR(VLOOKUP(Fix_Mapping[[#This Row],[KODE BARANG]],[1]!KINONF15[[KDBRG]:[HRG_JLMT_CTN+PPN]],14,0),0)</f>
        <v>0</v>
      </c>
      <c r="N227">
        <f>IFERROR(VLOOKUP(Fix_Mapping[[#This Row],[KODE BARANG]],[1]!KINONF15[[KDBRG]:[HRG_JLMT_CTN+PPN]],15,0),0)</f>
        <v>0</v>
      </c>
      <c r="O227">
        <f>IFERROR(VLOOKUP(Fix_Mapping[[#This Row],[KODE BARANG]],[1]!KINONF15[[KDBRG]:[HRG_JLMT_CTN+PPN]],16,0),0)</f>
        <v>0</v>
      </c>
      <c r="P227">
        <f>IFERROR(VLOOKUP(Fix_Mapping[[#This Row],[KODE BARANG]],[1]!KINONF15[[KDBRG]:[HRG_JLMT_CTN+PPN]],17,0),0)</f>
        <v>0</v>
      </c>
      <c r="Q227">
        <f>IFERROR(VLOOKUP(Fix_Mapping[[#This Row],[KODE BARANG]],[1]!KINONF15[[KDBRG]:[HRG_JLMT_CTN+PPN]],18,0),0)</f>
        <v>0</v>
      </c>
      <c r="R227" t="s">
        <v>2555</v>
      </c>
      <c r="S227" t="s">
        <v>706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2387</v>
      </c>
      <c r="B228" t="s">
        <v>1452</v>
      </c>
      <c r="C228">
        <v>120</v>
      </c>
      <c r="D228">
        <f>IFERROR(VLOOKUP(Fix_Mapping[[#This Row],[KODE BARANG]],[1]!KINONF15[[KDBRG]:[HRG_JLMT_CTN+PPN]],5,0),0)</f>
        <v>0</v>
      </c>
      <c r="E228" t="s">
        <v>2317</v>
      </c>
      <c r="F228">
        <f>IFERROR(VLOOKUP(Fix_Mapping[[#This Row],[KODE BARANG]],[1]!KINONF15[[KDBRG]:[HRG_JLMT_CTN+PPN]],7,0),0)</f>
        <v>0</v>
      </c>
      <c r="G228">
        <f>IFERROR(VLOOKUP(Fix_Mapping[[#This Row],[KODE BARANG]],[1]!KINONF15[[KDBRG]:[HRG_JLMT_CTN+PPN]],8,0),0)</f>
        <v>0</v>
      </c>
      <c r="H228">
        <f>IFERROR(VLOOKUP(Fix_Mapping[[#This Row],[KODE BARANG]],[1]!KINONF15[[KDBRG]:[HRG_JLMT_CTN+PPN]],9,0),0)</f>
        <v>0</v>
      </c>
      <c r="I228">
        <f>IFERROR(VLOOKUP(Fix_Mapping[[#This Row],[KODE BARANG]],[1]!KINONF15[[KDBRG]:[HRG_JLMT_CTN+PPN]],10,0),0)</f>
        <v>0</v>
      </c>
      <c r="J228">
        <f>IFERROR(VLOOKUP(Fix_Mapping[[#This Row],[KODE BARANG]],[1]!KINONF15[[KDBRG]:[HRG_JLMT_CTN+PPN]],11,0),0)</f>
        <v>0</v>
      </c>
      <c r="K228">
        <f>IFERROR(VLOOKUP(Fix_Mapping[[#This Row],[KODE BARANG]],[1]!KINONF15[[KDBRG]:[HRG_JLMT_CTN+PPN]],12,0),0)</f>
        <v>0</v>
      </c>
      <c r="L228">
        <f>IFERROR(VLOOKUP(Fix_Mapping[[#This Row],[KODE BARANG]],[1]!KINONF15[[KDBRG]:[HRG_JLMT_CTN+PPN]],13,0),0)</f>
        <v>0</v>
      </c>
      <c r="M228">
        <f>IFERROR(VLOOKUP(Fix_Mapping[[#This Row],[KODE BARANG]],[1]!KINONF15[[KDBRG]:[HRG_JLMT_CTN+PPN]],14,0),0)</f>
        <v>0</v>
      </c>
      <c r="N228">
        <f>IFERROR(VLOOKUP(Fix_Mapping[[#This Row],[KODE BARANG]],[1]!KINONF15[[KDBRG]:[HRG_JLMT_CTN+PPN]],15,0),0)</f>
        <v>0</v>
      </c>
      <c r="O228">
        <f>IFERROR(VLOOKUP(Fix_Mapping[[#This Row],[KODE BARANG]],[1]!KINONF15[[KDBRG]:[HRG_JLMT_CTN+PPN]],16,0),0)</f>
        <v>0</v>
      </c>
      <c r="P228">
        <f>IFERROR(VLOOKUP(Fix_Mapping[[#This Row],[KODE BARANG]],[1]!KINONF15[[KDBRG]:[HRG_JLMT_CTN+PPN]],17,0),0)</f>
        <v>0</v>
      </c>
      <c r="Q228">
        <f>IFERROR(VLOOKUP(Fix_Mapping[[#This Row],[KODE BARANG]],[1]!KINONF15[[KDBRG]:[HRG_JLMT_CTN+PPN]],18,0),0)</f>
        <v>0</v>
      </c>
      <c r="R228" t="s">
        <v>2555</v>
      </c>
      <c r="S228" t="s">
        <v>707</v>
      </c>
      <c r="T228" t="s">
        <v>708</v>
      </c>
      <c r="U228">
        <v>0</v>
      </c>
      <c r="V228">
        <v>0</v>
      </c>
      <c r="W228">
        <v>0</v>
      </c>
    </row>
    <row r="229" spans="1:23">
      <c r="A229" t="s">
        <v>1453</v>
      </c>
      <c r="B229" t="s">
        <v>1454</v>
      </c>
      <c r="C229">
        <v>24</v>
      </c>
      <c r="D229">
        <f>IFERROR(VLOOKUP(Fix_Mapping[[#This Row],[KODE BARANG]],[1]!KINONF15[[KDBRG]:[HRG_JLMT_CTN+PPN]],5,0),0)</f>
        <v>0</v>
      </c>
      <c r="E229" t="s">
        <v>2317</v>
      </c>
      <c r="F229">
        <f>IFERROR(VLOOKUP(Fix_Mapping[[#This Row],[KODE BARANG]],[1]!KINONF15[[KDBRG]:[HRG_JLMT_CTN+PPN]],7,0),0)</f>
        <v>0</v>
      </c>
      <c r="G229">
        <f>IFERROR(VLOOKUP(Fix_Mapping[[#This Row],[KODE BARANG]],[1]!KINONF15[[KDBRG]:[HRG_JLMT_CTN+PPN]],8,0),0)</f>
        <v>0</v>
      </c>
      <c r="H229">
        <f>IFERROR(VLOOKUP(Fix_Mapping[[#This Row],[KODE BARANG]],[1]!KINONF15[[KDBRG]:[HRG_JLMT_CTN+PPN]],9,0),0)</f>
        <v>0</v>
      </c>
      <c r="I229">
        <f>IFERROR(VLOOKUP(Fix_Mapping[[#This Row],[KODE BARANG]],[1]!KINONF15[[KDBRG]:[HRG_JLMT_CTN+PPN]],10,0),0)</f>
        <v>0</v>
      </c>
      <c r="J229">
        <f>IFERROR(VLOOKUP(Fix_Mapping[[#This Row],[KODE BARANG]],[1]!KINONF15[[KDBRG]:[HRG_JLMT_CTN+PPN]],11,0),0)</f>
        <v>0</v>
      </c>
      <c r="K229">
        <f>IFERROR(VLOOKUP(Fix_Mapping[[#This Row],[KODE BARANG]],[1]!KINONF15[[KDBRG]:[HRG_JLMT_CTN+PPN]],12,0),0)</f>
        <v>0</v>
      </c>
      <c r="L229">
        <f>IFERROR(VLOOKUP(Fix_Mapping[[#This Row],[KODE BARANG]],[1]!KINONF15[[KDBRG]:[HRG_JLMT_CTN+PPN]],13,0),0)</f>
        <v>0</v>
      </c>
      <c r="M229">
        <f>IFERROR(VLOOKUP(Fix_Mapping[[#This Row],[KODE BARANG]],[1]!KINONF15[[KDBRG]:[HRG_JLMT_CTN+PPN]],14,0),0)</f>
        <v>0</v>
      </c>
      <c r="N229">
        <f>IFERROR(VLOOKUP(Fix_Mapping[[#This Row],[KODE BARANG]],[1]!KINONF15[[KDBRG]:[HRG_JLMT_CTN+PPN]],15,0),0)</f>
        <v>0</v>
      </c>
      <c r="O229">
        <f>IFERROR(VLOOKUP(Fix_Mapping[[#This Row],[KODE BARANG]],[1]!KINONF15[[KDBRG]:[HRG_JLMT_CTN+PPN]],16,0),0)</f>
        <v>0</v>
      </c>
      <c r="P229">
        <f>IFERROR(VLOOKUP(Fix_Mapping[[#This Row],[KODE BARANG]],[1]!KINONF15[[KDBRG]:[HRG_JLMT_CTN+PPN]],17,0),0)</f>
        <v>0</v>
      </c>
      <c r="Q229">
        <f>IFERROR(VLOOKUP(Fix_Mapping[[#This Row],[KODE BARANG]],[1]!KINONF15[[KDBRG]:[HRG_JLMT_CTN+PPN]],18,0),0)</f>
        <v>0</v>
      </c>
      <c r="R229" t="s">
        <v>2555</v>
      </c>
      <c r="S229" t="s">
        <v>694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2388</v>
      </c>
      <c r="B230" t="s">
        <v>1455</v>
      </c>
      <c r="C230">
        <v>120</v>
      </c>
      <c r="D230">
        <f>IFERROR(VLOOKUP(Fix_Mapping[[#This Row],[KODE BARANG]],[1]!KINONF15[[KDBRG]:[HRG_JLMT_CTN+PPN]],5,0),0)</f>
        <v>0</v>
      </c>
      <c r="E230" t="s">
        <v>2317</v>
      </c>
      <c r="F230">
        <f>IFERROR(VLOOKUP(Fix_Mapping[[#This Row],[KODE BARANG]],[1]!KINONF15[[KDBRG]:[HRG_JLMT_CTN+PPN]],7,0),0)</f>
        <v>0</v>
      </c>
      <c r="G230">
        <f>IFERROR(VLOOKUP(Fix_Mapping[[#This Row],[KODE BARANG]],[1]!KINONF15[[KDBRG]:[HRG_JLMT_CTN+PPN]],8,0),0)</f>
        <v>0</v>
      </c>
      <c r="H230">
        <f>IFERROR(VLOOKUP(Fix_Mapping[[#This Row],[KODE BARANG]],[1]!KINONF15[[KDBRG]:[HRG_JLMT_CTN+PPN]],9,0),0)</f>
        <v>0</v>
      </c>
      <c r="I230">
        <f>IFERROR(VLOOKUP(Fix_Mapping[[#This Row],[KODE BARANG]],[1]!KINONF15[[KDBRG]:[HRG_JLMT_CTN+PPN]],10,0),0)</f>
        <v>0</v>
      </c>
      <c r="J230">
        <f>IFERROR(VLOOKUP(Fix_Mapping[[#This Row],[KODE BARANG]],[1]!KINONF15[[KDBRG]:[HRG_JLMT_CTN+PPN]],11,0),0)</f>
        <v>0</v>
      </c>
      <c r="K230">
        <f>IFERROR(VLOOKUP(Fix_Mapping[[#This Row],[KODE BARANG]],[1]!KINONF15[[KDBRG]:[HRG_JLMT_CTN+PPN]],12,0),0)</f>
        <v>0</v>
      </c>
      <c r="L230">
        <f>IFERROR(VLOOKUP(Fix_Mapping[[#This Row],[KODE BARANG]],[1]!KINONF15[[KDBRG]:[HRG_JLMT_CTN+PPN]],13,0),0)</f>
        <v>0</v>
      </c>
      <c r="M230">
        <f>IFERROR(VLOOKUP(Fix_Mapping[[#This Row],[KODE BARANG]],[1]!KINONF15[[KDBRG]:[HRG_JLMT_CTN+PPN]],14,0),0)</f>
        <v>0</v>
      </c>
      <c r="N230">
        <f>IFERROR(VLOOKUP(Fix_Mapping[[#This Row],[KODE BARANG]],[1]!KINONF15[[KDBRG]:[HRG_JLMT_CTN+PPN]],15,0),0)</f>
        <v>0</v>
      </c>
      <c r="O230">
        <f>IFERROR(VLOOKUP(Fix_Mapping[[#This Row],[KODE BARANG]],[1]!KINONF15[[KDBRG]:[HRG_JLMT_CTN+PPN]],16,0),0)</f>
        <v>0</v>
      </c>
      <c r="P230">
        <f>IFERROR(VLOOKUP(Fix_Mapping[[#This Row],[KODE BARANG]],[1]!KINONF15[[KDBRG]:[HRG_JLMT_CTN+PPN]],17,0),0)</f>
        <v>0</v>
      </c>
      <c r="Q230">
        <f>IFERROR(VLOOKUP(Fix_Mapping[[#This Row],[KODE BARANG]],[1]!KINONF15[[KDBRG]:[HRG_JLMT_CTN+PPN]],18,0),0)</f>
        <v>0</v>
      </c>
      <c r="R230" t="s">
        <v>2555</v>
      </c>
      <c r="S230" t="s">
        <v>695</v>
      </c>
      <c r="T230" t="s">
        <v>696</v>
      </c>
      <c r="U230">
        <v>0</v>
      </c>
      <c r="V230">
        <v>0</v>
      </c>
      <c r="W230">
        <v>0</v>
      </c>
    </row>
    <row r="231" spans="1:23">
      <c r="A231" t="s">
        <v>2389</v>
      </c>
      <c r="B231" t="s">
        <v>1456</v>
      </c>
      <c r="C231">
        <v>72</v>
      </c>
      <c r="D231">
        <f>IFERROR(VLOOKUP(Fix_Mapping[[#This Row],[KODE BARANG]],[1]!KINONF15[[KDBRG]:[HRG_JLMT_CTN+PPN]],5,0),0)</f>
        <v>0</v>
      </c>
      <c r="E231" t="s">
        <v>2317</v>
      </c>
      <c r="F231">
        <f>IFERROR(VLOOKUP(Fix_Mapping[[#This Row],[KODE BARANG]],[1]!KINONF15[[KDBRG]:[HRG_JLMT_CTN+PPN]],7,0),0)</f>
        <v>0</v>
      </c>
      <c r="G231">
        <f>IFERROR(VLOOKUP(Fix_Mapping[[#This Row],[KODE BARANG]],[1]!KINONF15[[KDBRG]:[HRG_JLMT_CTN+PPN]],8,0),0)</f>
        <v>0</v>
      </c>
      <c r="H231">
        <f>IFERROR(VLOOKUP(Fix_Mapping[[#This Row],[KODE BARANG]],[1]!KINONF15[[KDBRG]:[HRG_JLMT_CTN+PPN]],9,0),0)</f>
        <v>0</v>
      </c>
      <c r="I231">
        <f>IFERROR(VLOOKUP(Fix_Mapping[[#This Row],[KODE BARANG]],[1]!KINONF15[[KDBRG]:[HRG_JLMT_CTN+PPN]],10,0),0)</f>
        <v>0</v>
      </c>
      <c r="J231">
        <f>IFERROR(VLOOKUP(Fix_Mapping[[#This Row],[KODE BARANG]],[1]!KINONF15[[KDBRG]:[HRG_JLMT_CTN+PPN]],11,0),0)</f>
        <v>0</v>
      </c>
      <c r="K231">
        <f>IFERROR(VLOOKUP(Fix_Mapping[[#This Row],[KODE BARANG]],[1]!KINONF15[[KDBRG]:[HRG_JLMT_CTN+PPN]],12,0),0)</f>
        <v>0</v>
      </c>
      <c r="L231">
        <f>IFERROR(VLOOKUP(Fix_Mapping[[#This Row],[KODE BARANG]],[1]!KINONF15[[KDBRG]:[HRG_JLMT_CTN+PPN]],13,0),0)</f>
        <v>0</v>
      </c>
      <c r="M231">
        <f>IFERROR(VLOOKUP(Fix_Mapping[[#This Row],[KODE BARANG]],[1]!KINONF15[[KDBRG]:[HRG_JLMT_CTN+PPN]],14,0),0)</f>
        <v>0</v>
      </c>
      <c r="N231">
        <f>IFERROR(VLOOKUP(Fix_Mapping[[#This Row],[KODE BARANG]],[1]!KINONF15[[KDBRG]:[HRG_JLMT_CTN+PPN]],15,0),0)</f>
        <v>0</v>
      </c>
      <c r="O231">
        <f>IFERROR(VLOOKUP(Fix_Mapping[[#This Row],[KODE BARANG]],[1]!KINONF15[[KDBRG]:[HRG_JLMT_CTN+PPN]],16,0),0)</f>
        <v>0</v>
      </c>
      <c r="P231">
        <f>IFERROR(VLOOKUP(Fix_Mapping[[#This Row],[KODE BARANG]],[1]!KINONF15[[KDBRG]:[HRG_JLMT_CTN+PPN]],17,0),0)</f>
        <v>0</v>
      </c>
      <c r="Q231">
        <f>IFERROR(VLOOKUP(Fix_Mapping[[#This Row],[KODE BARANG]],[1]!KINONF15[[KDBRG]:[HRG_JLMT_CTN+PPN]],18,0),0)</f>
        <v>0</v>
      </c>
      <c r="R231" t="s">
        <v>2555</v>
      </c>
      <c r="S231" t="s">
        <v>697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2390</v>
      </c>
      <c r="B232" t="s">
        <v>1457</v>
      </c>
      <c r="C232">
        <v>36</v>
      </c>
      <c r="D232">
        <f>IFERROR(VLOOKUP(Fix_Mapping[[#This Row],[KODE BARANG]],[1]!KINONF15[[KDBRG]:[HRG_JLMT_CTN+PPN]],5,0),0)</f>
        <v>0</v>
      </c>
      <c r="E232" t="s">
        <v>2317</v>
      </c>
      <c r="F232">
        <f>IFERROR(VLOOKUP(Fix_Mapping[[#This Row],[KODE BARANG]],[1]!KINONF15[[KDBRG]:[HRG_JLMT_CTN+PPN]],7,0),0)</f>
        <v>0</v>
      </c>
      <c r="G232">
        <f>IFERROR(VLOOKUP(Fix_Mapping[[#This Row],[KODE BARANG]],[1]!KINONF15[[KDBRG]:[HRG_JLMT_CTN+PPN]],8,0),0)</f>
        <v>0</v>
      </c>
      <c r="H232">
        <f>IFERROR(VLOOKUP(Fix_Mapping[[#This Row],[KODE BARANG]],[1]!KINONF15[[KDBRG]:[HRG_JLMT_CTN+PPN]],9,0),0)</f>
        <v>0</v>
      </c>
      <c r="I232">
        <f>IFERROR(VLOOKUP(Fix_Mapping[[#This Row],[KODE BARANG]],[1]!KINONF15[[KDBRG]:[HRG_JLMT_CTN+PPN]],10,0),0)</f>
        <v>0</v>
      </c>
      <c r="J232">
        <f>IFERROR(VLOOKUP(Fix_Mapping[[#This Row],[KODE BARANG]],[1]!KINONF15[[KDBRG]:[HRG_JLMT_CTN+PPN]],11,0),0)</f>
        <v>0</v>
      </c>
      <c r="K232">
        <f>IFERROR(VLOOKUP(Fix_Mapping[[#This Row],[KODE BARANG]],[1]!KINONF15[[KDBRG]:[HRG_JLMT_CTN+PPN]],12,0),0)</f>
        <v>0</v>
      </c>
      <c r="L232">
        <f>IFERROR(VLOOKUP(Fix_Mapping[[#This Row],[KODE BARANG]],[1]!KINONF15[[KDBRG]:[HRG_JLMT_CTN+PPN]],13,0),0)</f>
        <v>0</v>
      </c>
      <c r="M232">
        <f>IFERROR(VLOOKUP(Fix_Mapping[[#This Row],[KODE BARANG]],[1]!KINONF15[[KDBRG]:[HRG_JLMT_CTN+PPN]],14,0),0)</f>
        <v>0</v>
      </c>
      <c r="N232">
        <f>IFERROR(VLOOKUP(Fix_Mapping[[#This Row],[KODE BARANG]],[1]!KINONF15[[KDBRG]:[HRG_JLMT_CTN+PPN]],15,0),0)</f>
        <v>0</v>
      </c>
      <c r="O232">
        <f>IFERROR(VLOOKUP(Fix_Mapping[[#This Row],[KODE BARANG]],[1]!KINONF15[[KDBRG]:[HRG_JLMT_CTN+PPN]],16,0),0)</f>
        <v>0</v>
      </c>
      <c r="P232">
        <f>IFERROR(VLOOKUP(Fix_Mapping[[#This Row],[KODE BARANG]],[1]!KINONF15[[KDBRG]:[HRG_JLMT_CTN+PPN]],17,0),0)</f>
        <v>0</v>
      </c>
      <c r="Q232">
        <f>IFERROR(VLOOKUP(Fix_Mapping[[#This Row],[KODE BARANG]],[1]!KINONF15[[KDBRG]:[HRG_JLMT_CTN+PPN]],18,0),0)</f>
        <v>0</v>
      </c>
      <c r="R232" t="s">
        <v>2555</v>
      </c>
      <c r="S232" t="s">
        <v>698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2391</v>
      </c>
      <c r="B233" t="s">
        <v>1458</v>
      </c>
      <c r="C233">
        <v>36</v>
      </c>
      <c r="D233">
        <f>IFERROR(VLOOKUP(Fix_Mapping[[#This Row],[KODE BARANG]],[1]!KINONF15[[KDBRG]:[HRG_JLMT_CTN+PPN]],5,0),0)</f>
        <v>0</v>
      </c>
      <c r="E233" t="s">
        <v>2317</v>
      </c>
      <c r="F233">
        <f>IFERROR(VLOOKUP(Fix_Mapping[[#This Row],[KODE BARANG]],[1]!KINONF15[[KDBRG]:[HRG_JLMT_CTN+PPN]],7,0),0)</f>
        <v>0</v>
      </c>
      <c r="G233">
        <f>IFERROR(VLOOKUP(Fix_Mapping[[#This Row],[KODE BARANG]],[1]!KINONF15[[KDBRG]:[HRG_JLMT_CTN+PPN]],8,0),0)</f>
        <v>0</v>
      </c>
      <c r="H233">
        <f>IFERROR(VLOOKUP(Fix_Mapping[[#This Row],[KODE BARANG]],[1]!KINONF15[[KDBRG]:[HRG_JLMT_CTN+PPN]],9,0),0)</f>
        <v>0</v>
      </c>
      <c r="I233">
        <f>IFERROR(VLOOKUP(Fix_Mapping[[#This Row],[KODE BARANG]],[1]!KINONF15[[KDBRG]:[HRG_JLMT_CTN+PPN]],10,0),0)</f>
        <v>0</v>
      </c>
      <c r="J233">
        <f>IFERROR(VLOOKUP(Fix_Mapping[[#This Row],[KODE BARANG]],[1]!KINONF15[[KDBRG]:[HRG_JLMT_CTN+PPN]],11,0),0)</f>
        <v>0</v>
      </c>
      <c r="K233">
        <f>IFERROR(VLOOKUP(Fix_Mapping[[#This Row],[KODE BARANG]],[1]!KINONF15[[KDBRG]:[HRG_JLMT_CTN+PPN]],12,0),0)</f>
        <v>0</v>
      </c>
      <c r="L233">
        <f>IFERROR(VLOOKUP(Fix_Mapping[[#This Row],[KODE BARANG]],[1]!KINONF15[[KDBRG]:[HRG_JLMT_CTN+PPN]],13,0),0)</f>
        <v>0</v>
      </c>
      <c r="M233">
        <f>IFERROR(VLOOKUP(Fix_Mapping[[#This Row],[KODE BARANG]],[1]!KINONF15[[KDBRG]:[HRG_JLMT_CTN+PPN]],14,0),0)</f>
        <v>0</v>
      </c>
      <c r="N233">
        <f>IFERROR(VLOOKUP(Fix_Mapping[[#This Row],[KODE BARANG]],[1]!KINONF15[[KDBRG]:[HRG_JLMT_CTN+PPN]],15,0),0)</f>
        <v>0</v>
      </c>
      <c r="O233">
        <f>IFERROR(VLOOKUP(Fix_Mapping[[#This Row],[KODE BARANG]],[1]!KINONF15[[KDBRG]:[HRG_JLMT_CTN+PPN]],16,0),0)</f>
        <v>0</v>
      </c>
      <c r="P233">
        <f>IFERROR(VLOOKUP(Fix_Mapping[[#This Row],[KODE BARANG]],[1]!KINONF15[[KDBRG]:[HRG_JLMT_CTN+PPN]],17,0),0)</f>
        <v>0</v>
      </c>
      <c r="Q233">
        <f>IFERROR(VLOOKUP(Fix_Mapping[[#This Row],[KODE BARANG]],[1]!KINONF15[[KDBRG]:[HRG_JLMT_CTN+PPN]],18,0),0)</f>
        <v>0</v>
      </c>
      <c r="R233" t="s">
        <v>2555</v>
      </c>
      <c r="S233" t="s">
        <v>699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2392</v>
      </c>
      <c r="B234" t="s">
        <v>1459</v>
      </c>
      <c r="C234">
        <v>12</v>
      </c>
      <c r="D234">
        <f>IFERROR(VLOOKUP(Fix_Mapping[[#This Row],[KODE BARANG]],[1]!KINONF15[[KDBRG]:[HRG_JLMT_CTN+PPN]],5,0),0)</f>
        <v>0</v>
      </c>
      <c r="E234" t="s">
        <v>2317</v>
      </c>
      <c r="F234">
        <f>IFERROR(VLOOKUP(Fix_Mapping[[#This Row],[KODE BARANG]],[1]!KINONF15[[KDBRG]:[HRG_JLMT_CTN+PPN]],7,0),0)</f>
        <v>0</v>
      </c>
      <c r="G234">
        <f>IFERROR(VLOOKUP(Fix_Mapping[[#This Row],[KODE BARANG]],[1]!KINONF15[[KDBRG]:[HRG_JLMT_CTN+PPN]],8,0),0)</f>
        <v>0</v>
      </c>
      <c r="H234">
        <f>IFERROR(VLOOKUP(Fix_Mapping[[#This Row],[KODE BARANG]],[1]!KINONF15[[KDBRG]:[HRG_JLMT_CTN+PPN]],9,0),0)</f>
        <v>0</v>
      </c>
      <c r="I234">
        <f>IFERROR(VLOOKUP(Fix_Mapping[[#This Row],[KODE BARANG]],[1]!KINONF15[[KDBRG]:[HRG_JLMT_CTN+PPN]],10,0),0)</f>
        <v>0</v>
      </c>
      <c r="J234">
        <f>IFERROR(VLOOKUP(Fix_Mapping[[#This Row],[KODE BARANG]],[1]!KINONF15[[KDBRG]:[HRG_JLMT_CTN+PPN]],11,0),0)</f>
        <v>0</v>
      </c>
      <c r="K234">
        <f>IFERROR(VLOOKUP(Fix_Mapping[[#This Row],[KODE BARANG]],[1]!KINONF15[[KDBRG]:[HRG_JLMT_CTN+PPN]],12,0),0)</f>
        <v>0</v>
      </c>
      <c r="L234">
        <f>IFERROR(VLOOKUP(Fix_Mapping[[#This Row],[KODE BARANG]],[1]!KINONF15[[KDBRG]:[HRG_JLMT_CTN+PPN]],13,0),0)</f>
        <v>0</v>
      </c>
      <c r="M234">
        <f>IFERROR(VLOOKUP(Fix_Mapping[[#This Row],[KODE BARANG]],[1]!KINONF15[[KDBRG]:[HRG_JLMT_CTN+PPN]],14,0),0)</f>
        <v>0</v>
      </c>
      <c r="N234">
        <f>IFERROR(VLOOKUP(Fix_Mapping[[#This Row],[KODE BARANG]],[1]!KINONF15[[KDBRG]:[HRG_JLMT_CTN+PPN]],15,0),0)</f>
        <v>0</v>
      </c>
      <c r="O234">
        <f>IFERROR(VLOOKUP(Fix_Mapping[[#This Row],[KODE BARANG]],[1]!KINONF15[[KDBRG]:[HRG_JLMT_CTN+PPN]],16,0),0)</f>
        <v>0</v>
      </c>
      <c r="P234">
        <f>IFERROR(VLOOKUP(Fix_Mapping[[#This Row],[KODE BARANG]],[1]!KINONF15[[KDBRG]:[HRG_JLMT_CTN+PPN]],17,0),0)</f>
        <v>0</v>
      </c>
      <c r="Q234">
        <f>IFERROR(VLOOKUP(Fix_Mapping[[#This Row],[KODE BARANG]],[1]!KINONF15[[KDBRG]:[HRG_JLMT_CTN+PPN]],18,0),0)</f>
        <v>0</v>
      </c>
      <c r="R234" t="s">
        <v>2555</v>
      </c>
      <c r="S234" t="s">
        <v>755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1460</v>
      </c>
      <c r="B235" t="s">
        <v>1461</v>
      </c>
      <c r="C235">
        <v>12</v>
      </c>
      <c r="D235">
        <f>IFERROR(VLOOKUP(Fix_Mapping[[#This Row],[KODE BARANG]],[1]!KINONF15[[KDBRG]:[HRG_JLMT_CTN+PPN]],5,0),0)</f>
        <v>0</v>
      </c>
      <c r="E235" t="s">
        <v>2317</v>
      </c>
      <c r="F235">
        <f>IFERROR(VLOOKUP(Fix_Mapping[[#This Row],[KODE BARANG]],[1]!KINONF15[[KDBRG]:[HRG_JLMT_CTN+PPN]],7,0),0)</f>
        <v>0</v>
      </c>
      <c r="G235">
        <f>IFERROR(VLOOKUP(Fix_Mapping[[#This Row],[KODE BARANG]],[1]!KINONF15[[KDBRG]:[HRG_JLMT_CTN+PPN]],8,0),0)</f>
        <v>0</v>
      </c>
      <c r="H235">
        <f>IFERROR(VLOOKUP(Fix_Mapping[[#This Row],[KODE BARANG]],[1]!KINONF15[[KDBRG]:[HRG_JLMT_CTN+PPN]],9,0),0)</f>
        <v>0</v>
      </c>
      <c r="I235">
        <f>IFERROR(VLOOKUP(Fix_Mapping[[#This Row],[KODE BARANG]],[1]!KINONF15[[KDBRG]:[HRG_JLMT_CTN+PPN]],10,0),0)</f>
        <v>0</v>
      </c>
      <c r="J235">
        <f>IFERROR(VLOOKUP(Fix_Mapping[[#This Row],[KODE BARANG]],[1]!KINONF15[[KDBRG]:[HRG_JLMT_CTN+PPN]],11,0),0)</f>
        <v>0</v>
      </c>
      <c r="K235">
        <f>IFERROR(VLOOKUP(Fix_Mapping[[#This Row],[KODE BARANG]],[1]!KINONF15[[KDBRG]:[HRG_JLMT_CTN+PPN]],12,0),0)</f>
        <v>0</v>
      </c>
      <c r="L235">
        <f>IFERROR(VLOOKUP(Fix_Mapping[[#This Row],[KODE BARANG]],[1]!KINONF15[[KDBRG]:[HRG_JLMT_CTN+PPN]],13,0),0)</f>
        <v>0</v>
      </c>
      <c r="M235">
        <f>IFERROR(VLOOKUP(Fix_Mapping[[#This Row],[KODE BARANG]],[1]!KINONF15[[KDBRG]:[HRG_JLMT_CTN+PPN]],14,0),0)</f>
        <v>0</v>
      </c>
      <c r="N235">
        <f>IFERROR(VLOOKUP(Fix_Mapping[[#This Row],[KODE BARANG]],[1]!KINONF15[[KDBRG]:[HRG_JLMT_CTN+PPN]],15,0),0)</f>
        <v>0</v>
      </c>
      <c r="O235">
        <f>IFERROR(VLOOKUP(Fix_Mapping[[#This Row],[KODE BARANG]],[1]!KINONF15[[KDBRG]:[HRG_JLMT_CTN+PPN]],16,0),0)</f>
        <v>0</v>
      </c>
      <c r="P235">
        <f>IFERROR(VLOOKUP(Fix_Mapping[[#This Row],[KODE BARANG]],[1]!KINONF15[[KDBRG]:[HRG_JLMT_CTN+PPN]],17,0),0)</f>
        <v>0</v>
      </c>
      <c r="Q235">
        <f>IFERROR(VLOOKUP(Fix_Mapping[[#This Row],[KODE BARANG]],[1]!KINONF15[[KDBRG]:[HRG_JLMT_CTN+PPN]],18,0),0)</f>
        <v>0</v>
      </c>
      <c r="R235" t="s">
        <v>2555</v>
      </c>
      <c r="S235" t="s">
        <v>756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1462</v>
      </c>
      <c r="B236" t="s">
        <v>2420</v>
      </c>
      <c r="C236">
        <v>24</v>
      </c>
      <c r="D236">
        <f>IFERROR(VLOOKUP(Fix_Mapping[[#This Row],[KODE BARANG]],[1]!KINONF15[[KDBRG]:[HRG_JLMT_CTN+PPN]],5,0),0)</f>
        <v>0</v>
      </c>
      <c r="E236" t="s">
        <v>2317</v>
      </c>
      <c r="F236">
        <f>IFERROR(VLOOKUP(Fix_Mapping[[#This Row],[KODE BARANG]],[1]!KINONF15[[KDBRG]:[HRG_JLMT_CTN+PPN]],7,0),0)</f>
        <v>0</v>
      </c>
      <c r="G236">
        <f>IFERROR(VLOOKUP(Fix_Mapping[[#This Row],[KODE BARANG]],[1]!KINONF15[[KDBRG]:[HRG_JLMT_CTN+PPN]],8,0),0)</f>
        <v>0</v>
      </c>
      <c r="H236">
        <f>IFERROR(VLOOKUP(Fix_Mapping[[#This Row],[KODE BARANG]],[1]!KINONF15[[KDBRG]:[HRG_JLMT_CTN+PPN]],9,0),0)</f>
        <v>0</v>
      </c>
      <c r="I236">
        <f>IFERROR(VLOOKUP(Fix_Mapping[[#This Row],[KODE BARANG]],[1]!KINONF15[[KDBRG]:[HRG_JLMT_CTN+PPN]],10,0),0)</f>
        <v>0</v>
      </c>
      <c r="J236">
        <f>IFERROR(VLOOKUP(Fix_Mapping[[#This Row],[KODE BARANG]],[1]!KINONF15[[KDBRG]:[HRG_JLMT_CTN+PPN]],11,0),0)</f>
        <v>0</v>
      </c>
      <c r="K236">
        <f>IFERROR(VLOOKUP(Fix_Mapping[[#This Row],[KODE BARANG]],[1]!KINONF15[[KDBRG]:[HRG_JLMT_CTN+PPN]],12,0),0)</f>
        <v>0</v>
      </c>
      <c r="L236">
        <f>IFERROR(VLOOKUP(Fix_Mapping[[#This Row],[KODE BARANG]],[1]!KINONF15[[KDBRG]:[HRG_JLMT_CTN+PPN]],13,0),0)</f>
        <v>0</v>
      </c>
      <c r="M236">
        <f>IFERROR(VLOOKUP(Fix_Mapping[[#This Row],[KODE BARANG]],[1]!KINONF15[[KDBRG]:[HRG_JLMT_CTN+PPN]],14,0),0)</f>
        <v>0</v>
      </c>
      <c r="N236">
        <f>IFERROR(VLOOKUP(Fix_Mapping[[#This Row],[KODE BARANG]],[1]!KINONF15[[KDBRG]:[HRG_JLMT_CTN+PPN]],15,0),0)</f>
        <v>0</v>
      </c>
      <c r="O236">
        <f>IFERROR(VLOOKUP(Fix_Mapping[[#This Row],[KODE BARANG]],[1]!KINONF15[[KDBRG]:[HRG_JLMT_CTN+PPN]],16,0),0)</f>
        <v>0</v>
      </c>
      <c r="P236">
        <f>IFERROR(VLOOKUP(Fix_Mapping[[#This Row],[KODE BARANG]],[1]!KINONF15[[KDBRG]:[HRG_JLMT_CTN+PPN]],17,0),0)</f>
        <v>0</v>
      </c>
      <c r="Q236">
        <f>IFERROR(VLOOKUP(Fix_Mapping[[#This Row],[KODE BARANG]],[1]!KINONF15[[KDBRG]:[HRG_JLMT_CTN+PPN]],18,0),0)</f>
        <v>0</v>
      </c>
      <c r="R236" t="s">
        <v>2555</v>
      </c>
      <c r="S236" t="s">
        <v>700</v>
      </c>
      <c r="T236" t="s">
        <v>702</v>
      </c>
      <c r="U236">
        <v>0</v>
      </c>
      <c r="V236">
        <v>0</v>
      </c>
      <c r="W236">
        <v>0</v>
      </c>
    </row>
    <row r="237" spans="1:23">
      <c r="A237" t="s">
        <v>2393</v>
      </c>
      <c r="B237" t="s">
        <v>1463</v>
      </c>
      <c r="C237">
        <v>120</v>
      </c>
      <c r="D237">
        <f>IFERROR(VLOOKUP(Fix_Mapping[[#This Row],[KODE BARANG]],[1]!KINONF15[[KDBRG]:[HRG_JLMT_CTN+PPN]],5,0),0)</f>
        <v>0</v>
      </c>
      <c r="E237" t="s">
        <v>2317</v>
      </c>
      <c r="F237">
        <f>IFERROR(VLOOKUP(Fix_Mapping[[#This Row],[KODE BARANG]],[1]!KINONF15[[KDBRG]:[HRG_JLMT_CTN+PPN]],7,0),0)</f>
        <v>0</v>
      </c>
      <c r="G237">
        <f>IFERROR(VLOOKUP(Fix_Mapping[[#This Row],[KODE BARANG]],[1]!KINONF15[[KDBRG]:[HRG_JLMT_CTN+PPN]],8,0),0)</f>
        <v>0</v>
      </c>
      <c r="H237">
        <f>IFERROR(VLOOKUP(Fix_Mapping[[#This Row],[KODE BARANG]],[1]!KINONF15[[KDBRG]:[HRG_JLMT_CTN+PPN]],9,0),0)</f>
        <v>0</v>
      </c>
      <c r="I237">
        <f>IFERROR(VLOOKUP(Fix_Mapping[[#This Row],[KODE BARANG]],[1]!KINONF15[[KDBRG]:[HRG_JLMT_CTN+PPN]],10,0),0)</f>
        <v>0</v>
      </c>
      <c r="J237">
        <f>IFERROR(VLOOKUP(Fix_Mapping[[#This Row],[KODE BARANG]],[1]!KINONF15[[KDBRG]:[HRG_JLMT_CTN+PPN]],11,0),0)</f>
        <v>0</v>
      </c>
      <c r="K237">
        <f>IFERROR(VLOOKUP(Fix_Mapping[[#This Row],[KODE BARANG]],[1]!KINONF15[[KDBRG]:[HRG_JLMT_CTN+PPN]],12,0),0)</f>
        <v>0</v>
      </c>
      <c r="L237">
        <f>IFERROR(VLOOKUP(Fix_Mapping[[#This Row],[KODE BARANG]],[1]!KINONF15[[KDBRG]:[HRG_JLMT_CTN+PPN]],13,0),0)</f>
        <v>0</v>
      </c>
      <c r="M237">
        <f>IFERROR(VLOOKUP(Fix_Mapping[[#This Row],[KODE BARANG]],[1]!KINONF15[[KDBRG]:[HRG_JLMT_CTN+PPN]],14,0),0)</f>
        <v>0</v>
      </c>
      <c r="N237">
        <f>IFERROR(VLOOKUP(Fix_Mapping[[#This Row],[KODE BARANG]],[1]!KINONF15[[KDBRG]:[HRG_JLMT_CTN+PPN]],15,0),0)</f>
        <v>0</v>
      </c>
      <c r="O237">
        <f>IFERROR(VLOOKUP(Fix_Mapping[[#This Row],[KODE BARANG]],[1]!KINONF15[[KDBRG]:[HRG_JLMT_CTN+PPN]],16,0),0)</f>
        <v>0</v>
      </c>
      <c r="P237">
        <f>IFERROR(VLOOKUP(Fix_Mapping[[#This Row],[KODE BARANG]],[1]!KINONF15[[KDBRG]:[HRG_JLMT_CTN+PPN]],17,0),0)</f>
        <v>0</v>
      </c>
      <c r="Q237">
        <f>IFERROR(VLOOKUP(Fix_Mapping[[#This Row],[KODE BARANG]],[1]!KINONF15[[KDBRG]:[HRG_JLMT_CTN+PPN]],18,0),0)</f>
        <v>0</v>
      </c>
      <c r="R237" t="s">
        <v>2555</v>
      </c>
      <c r="S237" t="s">
        <v>701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2394</v>
      </c>
      <c r="B238" t="s">
        <v>1464</v>
      </c>
      <c r="C238">
        <v>72</v>
      </c>
      <c r="D238">
        <f>IFERROR(VLOOKUP(Fix_Mapping[[#This Row],[KODE BARANG]],[1]!KINONF15[[KDBRG]:[HRG_JLMT_CTN+PPN]],5,0),0)</f>
        <v>0</v>
      </c>
      <c r="E238" t="s">
        <v>2317</v>
      </c>
      <c r="F238">
        <f>IFERROR(VLOOKUP(Fix_Mapping[[#This Row],[KODE BARANG]],[1]!KINONF15[[KDBRG]:[HRG_JLMT_CTN+PPN]],7,0),0)</f>
        <v>0</v>
      </c>
      <c r="G238">
        <f>IFERROR(VLOOKUP(Fix_Mapping[[#This Row],[KODE BARANG]],[1]!KINONF15[[KDBRG]:[HRG_JLMT_CTN+PPN]],8,0),0)</f>
        <v>0</v>
      </c>
      <c r="H238">
        <f>IFERROR(VLOOKUP(Fix_Mapping[[#This Row],[KODE BARANG]],[1]!KINONF15[[KDBRG]:[HRG_JLMT_CTN+PPN]],9,0),0)</f>
        <v>0</v>
      </c>
      <c r="I238">
        <f>IFERROR(VLOOKUP(Fix_Mapping[[#This Row],[KODE BARANG]],[1]!KINONF15[[KDBRG]:[HRG_JLMT_CTN+PPN]],10,0),0)</f>
        <v>0</v>
      </c>
      <c r="J238">
        <f>IFERROR(VLOOKUP(Fix_Mapping[[#This Row],[KODE BARANG]],[1]!KINONF15[[KDBRG]:[HRG_JLMT_CTN+PPN]],11,0),0)</f>
        <v>0</v>
      </c>
      <c r="K238">
        <f>IFERROR(VLOOKUP(Fix_Mapping[[#This Row],[KODE BARANG]],[1]!KINONF15[[KDBRG]:[HRG_JLMT_CTN+PPN]],12,0),0)</f>
        <v>0</v>
      </c>
      <c r="L238">
        <f>IFERROR(VLOOKUP(Fix_Mapping[[#This Row],[KODE BARANG]],[1]!KINONF15[[KDBRG]:[HRG_JLMT_CTN+PPN]],13,0),0)</f>
        <v>0</v>
      </c>
      <c r="M238">
        <f>IFERROR(VLOOKUP(Fix_Mapping[[#This Row],[KODE BARANG]],[1]!KINONF15[[KDBRG]:[HRG_JLMT_CTN+PPN]],14,0),0)</f>
        <v>0</v>
      </c>
      <c r="N238">
        <f>IFERROR(VLOOKUP(Fix_Mapping[[#This Row],[KODE BARANG]],[1]!KINONF15[[KDBRG]:[HRG_JLMT_CTN+PPN]],15,0),0)</f>
        <v>0</v>
      </c>
      <c r="O238">
        <f>IFERROR(VLOOKUP(Fix_Mapping[[#This Row],[KODE BARANG]],[1]!KINONF15[[KDBRG]:[HRG_JLMT_CTN+PPN]],16,0),0)</f>
        <v>0</v>
      </c>
      <c r="P238">
        <f>IFERROR(VLOOKUP(Fix_Mapping[[#This Row],[KODE BARANG]],[1]!KINONF15[[KDBRG]:[HRG_JLMT_CTN+PPN]],17,0),0)</f>
        <v>0</v>
      </c>
      <c r="Q238">
        <f>IFERROR(VLOOKUP(Fix_Mapping[[#This Row],[KODE BARANG]],[1]!KINONF15[[KDBRG]:[HRG_JLMT_CTN+PPN]],18,0),0)</f>
        <v>0</v>
      </c>
      <c r="R238" t="s">
        <v>2555</v>
      </c>
      <c r="S238" t="s">
        <v>703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2395</v>
      </c>
      <c r="B239" t="s">
        <v>1465</v>
      </c>
      <c r="C239">
        <v>36</v>
      </c>
      <c r="D239">
        <f>IFERROR(VLOOKUP(Fix_Mapping[[#This Row],[KODE BARANG]],[1]!KINONF15[[KDBRG]:[HRG_JLMT_CTN+PPN]],5,0),0)</f>
        <v>0</v>
      </c>
      <c r="E239" t="s">
        <v>2317</v>
      </c>
      <c r="F239">
        <f>IFERROR(VLOOKUP(Fix_Mapping[[#This Row],[KODE BARANG]],[1]!KINONF15[[KDBRG]:[HRG_JLMT_CTN+PPN]],7,0),0)</f>
        <v>0</v>
      </c>
      <c r="G239">
        <f>IFERROR(VLOOKUP(Fix_Mapping[[#This Row],[KODE BARANG]],[1]!KINONF15[[KDBRG]:[HRG_JLMT_CTN+PPN]],8,0),0)</f>
        <v>0</v>
      </c>
      <c r="H239">
        <f>IFERROR(VLOOKUP(Fix_Mapping[[#This Row],[KODE BARANG]],[1]!KINONF15[[KDBRG]:[HRG_JLMT_CTN+PPN]],9,0),0)</f>
        <v>0</v>
      </c>
      <c r="I239">
        <f>IFERROR(VLOOKUP(Fix_Mapping[[#This Row],[KODE BARANG]],[1]!KINONF15[[KDBRG]:[HRG_JLMT_CTN+PPN]],10,0),0)</f>
        <v>0</v>
      </c>
      <c r="J239">
        <f>IFERROR(VLOOKUP(Fix_Mapping[[#This Row],[KODE BARANG]],[1]!KINONF15[[KDBRG]:[HRG_JLMT_CTN+PPN]],11,0),0)</f>
        <v>0</v>
      </c>
      <c r="K239">
        <f>IFERROR(VLOOKUP(Fix_Mapping[[#This Row],[KODE BARANG]],[1]!KINONF15[[KDBRG]:[HRG_JLMT_CTN+PPN]],12,0),0)</f>
        <v>0</v>
      </c>
      <c r="L239">
        <f>IFERROR(VLOOKUP(Fix_Mapping[[#This Row],[KODE BARANG]],[1]!KINONF15[[KDBRG]:[HRG_JLMT_CTN+PPN]],13,0),0)</f>
        <v>0</v>
      </c>
      <c r="M239">
        <f>IFERROR(VLOOKUP(Fix_Mapping[[#This Row],[KODE BARANG]],[1]!KINONF15[[KDBRG]:[HRG_JLMT_CTN+PPN]],14,0),0)</f>
        <v>0</v>
      </c>
      <c r="N239">
        <f>IFERROR(VLOOKUP(Fix_Mapping[[#This Row],[KODE BARANG]],[1]!KINONF15[[KDBRG]:[HRG_JLMT_CTN+PPN]],15,0),0)</f>
        <v>0</v>
      </c>
      <c r="O239">
        <f>IFERROR(VLOOKUP(Fix_Mapping[[#This Row],[KODE BARANG]],[1]!KINONF15[[KDBRG]:[HRG_JLMT_CTN+PPN]],16,0),0)</f>
        <v>0</v>
      </c>
      <c r="P239">
        <f>IFERROR(VLOOKUP(Fix_Mapping[[#This Row],[KODE BARANG]],[1]!KINONF15[[KDBRG]:[HRG_JLMT_CTN+PPN]],17,0),0)</f>
        <v>0</v>
      </c>
      <c r="Q239">
        <f>IFERROR(VLOOKUP(Fix_Mapping[[#This Row],[KODE BARANG]],[1]!KINONF15[[KDBRG]:[HRG_JLMT_CTN+PPN]],18,0),0)</f>
        <v>0</v>
      </c>
      <c r="R239" t="s">
        <v>2555</v>
      </c>
      <c r="S239" t="s">
        <v>704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2396</v>
      </c>
      <c r="B240" t="s">
        <v>1466</v>
      </c>
      <c r="C240">
        <v>36</v>
      </c>
      <c r="D240">
        <f>IFERROR(VLOOKUP(Fix_Mapping[[#This Row],[KODE BARANG]],[1]!KINONF15[[KDBRG]:[HRG_JLMT_CTN+PPN]],5,0),0)</f>
        <v>0</v>
      </c>
      <c r="E240" t="s">
        <v>2317</v>
      </c>
      <c r="F240">
        <f>IFERROR(VLOOKUP(Fix_Mapping[[#This Row],[KODE BARANG]],[1]!KINONF15[[KDBRG]:[HRG_JLMT_CTN+PPN]],7,0),0)</f>
        <v>0</v>
      </c>
      <c r="G240">
        <f>IFERROR(VLOOKUP(Fix_Mapping[[#This Row],[KODE BARANG]],[1]!KINONF15[[KDBRG]:[HRG_JLMT_CTN+PPN]],8,0),0)</f>
        <v>0</v>
      </c>
      <c r="H240">
        <f>IFERROR(VLOOKUP(Fix_Mapping[[#This Row],[KODE BARANG]],[1]!KINONF15[[KDBRG]:[HRG_JLMT_CTN+PPN]],9,0),0)</f>
        <v>0</v>
      </c>
      <c r="I240">
        <f>IFERROR(VLOOKUP(Fix_Mapping[[#This Row],[KODE BARANG]],[1]!KINONF15[[KDBRG]:[HRG_JLMT_CTN+PPN]],10,0),0)</f>
        <v>0</v>
      </c>
      <c r="J240">
        <f>IFERROR(VLOOKUP(Fix_Mapping[[#This Row],[KODE BARANG]],[1]!KINONF15[[KDBRG]:[HRG_JLMT_CTN+PPN]],11,0),0)</f>
        <v>0</v>
      </c>
      <c r="K240">
        <f>IFERROR(VLOOKUP(Fix_Mapping[[#This Row],[KODE BARANG]],[1]!KINONF15[[KDBRG]:[HRG_JLMT_CTN+PPN]],12,0),0)</f>
        <v>0</v>
      </c>
      <c r="L240">
        <f>IFERROR(VLOOKUP(Fix_Mapping[[#This Row],[KODE BARANG]],[1]!KINONF15[[KDBRG]:[HRG_JLMT_CTN+PPN]],13,0),0)</f>
        <v>0</v>
      </c>
      <c r="M240">
        <f>IFERROR(VLOOKUP(Fix_Mapping[[#This Row],[KODE BARANG]],[1]!KINONF15[[KDBRG]:[HRG_JLMT_CTN+PPN]],14,0),0)</f>
        <v>0</v>
      </c>
      <c r="N240">
        <f>IFERROR(VLOOKUP(Fix_Mapping[[#This Row],[KODE BARANG]],[1]!KINONF15[[KDBRG]:[HRG_JLMT_CTN+PPN]],15,0),0)</f>
        <v>0</v>
      </c>
      <c r="O240">
        <f>IFERROR(VLOOKUP(Fix_Mapping[[#This Row],[KODE BARANG]],[1]!KINONF15[[KDBRG]:[HRG_JLMT_CTN+PPN]],16,0),0)</f>
        <v>0</v>
      </c>
      <c r="P240">
        <f>IFERROR(VLOOKUP(Fix_Mapping[[#This Row],[KODE BARANG]],[1]!KINONF15[[KDBRG]:[HRG_JLMT_CTN+PPN]],17,0),0)</f>
        <v>0</v>
      </c>
      <c r="Q240">
        <f>IFERROR(VLOOKUP(Fix_Mapping[[#This Row],[KODE BARANG]],[1]!KINONF15[[KDBRG]:[HRG_JLMT_CTN+PPN]],18,0),0)</f>
        <v>0</v>
      </c>
      <c r="R240" t="s">
        <v>2555</v>
      </c>
      <c r="S240" t="s">
        <v>705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2397</v>
      </c>
      <c r="B241" t="s">
        <v>1467</v>
      </c>
      <c r="C241">
        <v>12</v>
      </c>
      <c r="D241">
        <f>IFERROR(VLOOKUP(Fix_Mapping[[#This Row],[KODE BARANG]],[1]!KINONF15[[KDBRG]:[HRG_JLMT_CTN+PPN]],5,0),0)</f>
        <v>0</v>
      </c>
      <c r="E241" t="s">
        <v>2317</v>
      </c>
      <c r="F241">
        <f>IFERROR(VLOOKUP(Fix_Mapping[[#This Row],[KODE BARANG]],[1]!KINONF15[[KDBRG]:[HRG_JLMT_CTN+PPN]],7,0),0)</f>
        <v>0</v>
      </c>
      <c r="G241">
        <f>IFERROR(VLOOKUP(Fix_Mapping[[#This Row],[KODE BARANG]],[1]!KINONF15[[KDBRG]:[HRG_JLMT_CTN+PPN]],8,0),0)</f>
        <v>0</v>
      </c>
      <c r="H241">
        <f>IFERROR(VLOOKUP(Fix_Mapping[[#This Row],[KODE BARANG]],[1]!KINONF15[[KDBRG]:[HRG_JLMT_CTN+PPN]],9,0),0)</f>
        <v>0</v>
      </c>
      <c r="I241">
        <f>IFERROR(VLOOKUP(Fix_Mapping[[#This Row],[KODE BARANG]],[1]!KINONF15[[KDBRG]:[HRG_JLMT_CTN+PPN]],10,0),0)</f>
        <v>0</v>
      </c>
      <c r="J241">
        <f>IFERROR(VLOOKUP(Fix_Mapping[[#This Row],[KODE BARANG]],[1]!KINONF15[[KDBRG]:[HRG_JLMT_CTN+PPN]],11,0),0)</f>
        <v>0</v>
      </c>
      <c r="K241">
        <f>IFERROR(VLOOKUP(Fix_Mapping[[#This Row],[KODE BARANG]],[1]!KINONF15[[KDBRG]:[HRG_JLMT_CTN+PPN]],12,0),0)</f>
        <v>0</v>
      </c>
      <c r="L241">
        <f>IFERROR(VLOOKUP(Fix_Mapping[[#This Row],[KODE BARANG]],[1]!KINONF15[[KDBRG]:[HRG_JLMT_CTN+PPN]],13,0),0)</f>
        <v>0</v>
      </c>
      <c r="M241">
        <f>IFERROR(VLOOKUP(Fix_Mapping[[#This Row],[KODE BARANG]],[1]!KINONF15[[KDBRG]:[HRG_JLMT_CTN+PPN]],14,0),0)</f>
        <v>0</v>
      </c>
      <c r="N241">
        <f>IFERROR(VLOOKUP(Fix_Mapping[[#This Row],[KODE BARANG]],[1]!KINONF15[[KDBRG]:[HRG_JLMT_CTN+PPN]],15,0),0)</f>
        <v>0</v>
      </c>
      <c r="O241">
        <f>IFERROR(VLOOKUP(Fix_Mapping[[#This Row],[KODE BARANG]],[1]!KINONF15[[KDBRG]:[HRG_JLMT_CTN+PPN]],16,0),0)</f>
        <v>0</v>
      </c>
      <c r="P241">
        <f>IFERROR(VLOOKUP(Fix_Mapping[[#This Row],[KODE BARANG]],[1]!KINONF15[[KDBRG]:[HRG_JLMT_CTN+PPN]],17,0),0)</f>
        <v>0</v>
      </c>
      <c r="Q241">
        <f>IFERROR(VLOOKUP(Fix_Mapping[[#This Row],[KODE BARANG]],[1]!KINONF15[[KDBRG]:[HRG_JLMT_CTN+PPN]],18,0),0)</f>
        <v>0</v>
      </c>
      <c r="R241" t="s">
        <v>2555</v>
      </c>
      <c r="S241" t="s">
        <v>761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1468</v>
      </c>
      <c r="B242" t="s">
        <v>1469</v>
      </c>
      <c r="C242">
        <v>12</v>
      </c>
      <c r="D242">
        <f>IFERROR(VLOOKUP(Fix_Mapping[[#This Row],[KODE BARANG]],[1]!KINONF15[[KDBRG]:[HRG_JLMT_CTN+PPN]],5,0),0)</f>
        <v>0</v>
      </c>
      <c r="E242" t="s">
        <v>2317</v>
      </c>
      <c r="F242">
        <f>IFERROR(VLOOKUP(Fix_Mapping[[#This Row],[KODE BARANG]],[1]!KINONF15[[KDBRG]:[HRG_JLMT_CTN+PPN]],7,0),0)</f>
        <v>0</v>
      </c>
      <c r="G242">
        <f>IFERROR(VLOOKUP(Fix_Mapping[[#This Row],[KODE BARANG]],[1]!KINONF15[[KDBRG]:[HRG_JLMT_CTN+PPN]],8,0),0)</f>
        <v>0</v>
      </c>
      <c r="H242">
        <f>IFERROR(VLOOKUP(Fix_Mapping[[#This Row],[KODE BARANG]],[1]!KINONF15[[KDBRG]:[HRG_JLMT_CTN+PPN]],9,0),0)</f>
        <v>0</v>
      </c>
      <c r="I242">
        <f>IFERROR(VLOOKUP(Fix_Mapping[[#This Row],[KODE BARANG]],[1]!KINONF15[[KDBRG]:[HRG_JLMT_CTN+PPN]],10,0),0)</f>
        <v>0</v>
      </c>
      <c r="J242">
        <f>IFERROR(VLOOKUP(Fix_Mapping[[#This Row],[KODE BARANG]],[1]!KINONF15[[KDBRG]:[HRG_JLMT_CTN+PPN]],11,0),0)</f>
        <v>0</v>
      </c>
      <c r="K242">
        <f>IFERROR(VLOOKUP(Fix_Mapping[[#This Row],[KODE BARANG]],[1]!KINONF15[[KDBRG]:[HRG_JLMT_CTN+PPN]],12,0),0)</f>
        <v>0</v>
      </c>
      <c r="L242">
        <f>IFERROR(VLOOKUP(Fix_Mapping[[#This Row],[KODE BARANG]],[1]!KINONF15[[KDBRG]:[HRG_JLMT_CTN+PPN]],13,0),0)</f>
        <v>0</v>
      </c>
      <c r="M242">
        <f>IFERROR(VLOOKUP(Fix_Mapping[[#This Row],[KODE BARANG]],[1]!KINONF15[[KDBRG]:[HRG_JLMT_CTN+PPN]],14,0),0)</f>
        <v>0</v>
      </c>
      <c r="N242">
        <f>IFERROR(VLOOKUP(Fix_Mapping[[#This Row],[KODE BARANG]],[1]!KINONF15[[KDBRG]:[HRG_JLMT_CTN+PPN]],15,0),0)</f>
        <v>0</v>
      </c>
      <c r="O242">
        <f>IFERROR(VLOOKUP(Fix_Mapping[[#This Row],[KODE BARANG]],[1]!KINONF15[[KDBRG]:[HRG_JLMT_CTN+PPN]],16,0),0)</f>
        <v>0</v>
      </c>
      <c r="P242">
        <f>IFERROR(VLOOKUP(Fix_Mapping[[#This Row],[KODE BARANG]],[1]!KINONF15[[KDBRG]:[HRG_JLMT_CTN+PPN]],17,0),0)</f>
        <v>0</v>
      </c>
      <c r="Q242">
        <f>IFERROR(VLOOKUP(Fix_Mapping[[#This Row],[KODE BARANG]],[1]!KINONF15[[KDBRG]:[HRG_JLMT_CTN+PPN]],18,0),0)</f>
        <v>0</v>
      </c>
      <c r="R242" t="s">
        <v>2555</v>
      </c>
      <c r="S242" t="s">
        <v>762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2398</v>
      </c>
      <c r="B243" t="s">
        <v>1470</v>
      </c>
      <c r="C243">
        <v>36</v>
      </c>
      <c r="D243">
        <f>IFERROR(VLOOKUP(Fix_Mapping[[#This Row],[KODE BARANG]],[1]!KINONF15[[KDBRG]:[HRG_JLMT_CTN+PPN]],5,0),0)</f>
        <v>0</v>
      </c>
      <c r="E243" t="s">
        <v>2317</v>
      </c>
      <c r="F243">
        <f>IFERROR(VLOOKUP(Fix_Mapping[[#This Row],[KODE BARANG]],[1]!KINONF15[[KDBRG]:[HRG_JLMT_CTN+PPN]],7,0),0)</f>
        <v>0</v>
      </c>
      <c r="G243">
        <f>IFERROR(VLOOKUP(Fix_Mapping[[#This Row],[KODE BARANG]],[1]!KINONF15[[KDBRG]:[HRG_JLMT_CTN+PPN]],8,0),0)</f>
        <v>0</v>
      </c>
      <c r="H243">
        <f>IFERROR(VLOOKUP(Fix_Mapping[[#This Row],[KODE BARANG]],[1]!KINONF15[[KDBRG]:[HRG_JLMT_CTN+PPN]],9,0),0)</f>
        <v>0</v>
      </c>
      <c r="I243">
        <f>IFERROR(VLOOKUP(Fix_Mapping[[#This Row],[KODE BARANG]],[1]!KINONF15[[KDBRG]:[HRG_JLMT_CTN+PPN]],10,0),0)</f>
        <v>0</v>
      </c>
      <c r="J243">
        <f>IFERROR(VLOOKUP(Fix_Mapping[[#This Row],[KODE BARANG]],[1]!KINONF15[[KDBRG]:[HRG_JLMT_CTN+PPN]],11,0),0)</f>
        <v>0</v>
      </c>
      <c r="K243">
        <f>IFERROR(VLOOKUP(Fix_Mapping[[#This Row],[KODE BARANG]],[1]!KINONF15[[KDBRG]:[HRG_JLMT_CTN+PPN]],12,0),0)</f>
        <v>0</v>
      </c>
      <c r="L243">
        <f>IFERROR(VLOOKUP(Fix_Mapping[[#This Row],[KODE BARANG]],[1]!KINONF15[[KDBRG]:[HRG_JLMT_CTN+PPN]],13,0),0)</f>
        <v>0</v>
      </c>
      <c r="M243">
        <f>IFERROR(VLOOKUP(Fix_Mapping[[#This Row],[KODE BARANG]],[1]!KINONF15[[KDBRG]:[HRG_JLMT_CTN+PPN]],14,0),0)</f>
        <v>0</v>
      </c>
      <c r="N243">
        <f>IFERROR(VLOOKUP(Fix_Mapping[[#This Row],[KODE BARANG]],[1]!KINONF15[[KDBRG]:[HRG_JLMT_CTN+PPN]],15,0),0)</f>
        <v>0</v>
      </c>
      <c r="O243">
        <f>IFERROR(VLOOKUP(Fix_Mapping[[#This Row],[KODE BARANG]],[1]!KINONF15[[KDBRG]:[HRG_JLMT_CTN+PPN]],16,0),0)</f>
        <v>0</v>
      </c>
      <c r="P243">
        <f>IFERROR(VLOOKUP(Fix_Mapping[[#This Row],[KODE BARANG]],[1]!KINONF15[[KDBRG]:[HRG_JLMT_CTN+PPN]],17,0),0)</f>
        <v>0</v>
      </c>
      <c r="Q243">
        <f>IFERROR(VLOOKUP(Fix_Mapping[[#This Row],[KODE BARANG]],[1]!KINONF15[[KDBRG]:[HRG_JLMT_CTN+PPN]],18,0),0)</f>
        <v>0</v>
      </c>
      <c r="R243" t="s">
        <v>2555</v>
      </c>
      <c r="S243" t="s">
        <v>763</v>
      </c>
      <c r="T243" t="s">
        <v>764</v>
      </c>
      <c r="U243">
        <v>0</v>
      </c>
      <c r="V243">
        <v>0</v>
      </c>
      <c r="W243">
        <v>0</v>
      </c>
    </row>
    <row r="244" spans="1:23">
      <c r="A244" t="s">
        <v>2399</v>
      </c>
      <c r="B244" t="s">
        <v>1471</v>
      </c>
      <c r="C244">
        <v>36</v>
      </c>
      <c r="D244">
        <f>IFERROR(VLOOKUP(Fix_Mapping[[#This Row],[KODE BARANG]],[1]!KINONF15[[KDBRG]:[HRG_JLMT_CTN+PPN]],5,0),0)</f>
        <v>0</v>
      </c>
      <c r="E244" t="s">
        <v>2317</v>
      </c>
      <c r="F244">
        <f>IFERROR(VLOOKUP(Fix_Mapping[[#This Row],[KODE BARANG]],[1]!KINONF15[[KDBRG]:[HRG_JLMT_CTN+PPN]],7,0),0)</f>
        <v>0</v>
      </c>
      <c r="G244">
        <f>IFERROR(VLOOKUP(Fix_Mapping[[#This Row],[KODE BARANG]],[1]!KINONF15[[KDBRG]:[HRG_JLMT_CTN+PPN]],8,0),0)</f>
        <v>0</v>
      </c>
      <c r="H244">
        <f>IFERROR(VLOOKUP(Fix_Mapping[[#This Row],[KODE BARANG]],[1]!KINONF15[[KDBRG]:[HRG_JLMT_CTN+PPN]],9,0),0)</f>
        <v>0</v>
      </c>
      <c r="I244">
        <f>IFERROR(VLOOKUP(Fix_Mapping[[#This Row],[KODE BARANG]],[1]!KINONF15[[KDBRG]:[HRG_JLMT_CTN+PPN]],10,0),0)</f>
        <v>0</v>
      </c>
      <c r="J244">
        <f>IFERROR(VLOOKUP(Fix_Mapping[[#This Row],[KODE BARANG]],[1]!KINONF15[[KDBRG]:[HRG_JLMT_CTN+PPN]],11,0),0)</f>
        <v>0</v>
      </c>
      <c r="K244">
        <f>IFERROR(VLOOKUP(Fix_Mapping[[#This Row],[KODE BARANG]],[1]!KINONF15[[KDBRG]:[HRG_JLMT_CTN+PPN]],12,0),0)</f>
        <v>0</v>
      </c>
      <c r="L244">
        <f>IFERROR(VLOOKUP(Fix_Mapping[[#This Row],[KODE BARANG]],[1]!KINONF15[[KDBRG]:[HRG_JLMT_CTN+PPN]],13,0),0)</f>
        <v>0</v>
      </c>
      <c r="M244">
        <f>IFERROR(VLOOKUP(Fix_Mapping[[#This Row],[KODE BARANG]],[1]!KINONF15[[KDBRG]:[HRG_JLMT_CTN+PPN]],14,0),0)</f>
        <v>0</v>
      </c>
      <c r="N244">
        <f>IFERROR(VLOOKUP(Fix_Mapping[[#This Row],[KODE BARANG]],[1]!KINONF15[[KDBRG]:[HRG_JLMT_CTN+PPN]],15,0),0)</f>
        <v>0</v>
      </c>
      <c r="O244">
        <f>IFERROR(VLOOKUP(Fix_Mapping[[#This Row],[KODE BARANG]],[1]!KINONF15[[KDBRG]:[HRG_JLMT_CTN+PPN]],16,0),0)</f>
        <v>0</v>
      </c>
      <c r="P244">
        <f>IFERROR(VLOOKUP(Fix_Mapping[[#This Row],[KODE BARANG]],[1]!KINONF15[[KDBRG]:[HRG_JLMT_CTN+PPN]],17,0),0)</f>
        <v>0</v>
      </c>
      <c r="Q244">
        <f>IFERROR(VLOOKUP(Fix_Mapping[[#This Row],[KODE BARANG]],[1]!KINONF15[[KDBRG]:[HRG_JLMT_CTN+PPN]],18,0),0)</f>
        <v>0</v>
      </c>
      <c r="R244" t="s">
        <v>2555</v>
      </c>
      <c r="S244" t="s">
        <v>774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2400</v>
      </c>
      <c r="B245" t="s">
        <v>1472</v>
      </c>
      <c r="C245">
        <v>36</v>
      </c>
      <c r="D245">
        <f>IFERROR(VLOOKUP(Fix_Mapping[[#This Row],[KODE BARANG]],[1]!KINONF15[[KDBRG]:[HRG_JLMT_CTN+PPN]],5,0),0)</f>
        <v>0</v>
      </c>
      <c r="E245" t="s">
        <v>2317</v>
      </c>
      <c r="F245">
        <f>IFERROR(VLOOKUP(Fix_Mapping[[#This Row],[KODE BARANG]],[1]!KINONF15[[KDBRG]:[HRG_JLMT_CTN+PPN]],7,0),0)</f>
        <v>0</v>
      </c>
      <c r="G245">
        <f>IFERROR(VLOOKUP(Fix_Mapping[[#This Row],[KODE BARANG]],[1]!KINONF15[[KDBRG]:[HRG_JLMT_CTN+PPN]],8,0),0)</f>
        <v>0</v>
      </c>
      <c r="H245">
        <f>IFERROR(VLOOKUP(Fix_Mapping[[#This Row],[KODE BARANG]],[1]!KINONF15[[KDBRG]:[HRG_JLMT_CTN+PPN]],9,0),0)</f>
        <v>0</v>
      </c>
      <c r="I245">
        <f>IFERROR(VLOOKUP(Fix_Mapping[[#This Row],[KODE BARANG]],[1]!KINONF15[[KDBRG]:[HRG_JLMT_CTN+PPN]],10,0),0)</f>
        <v>0</v>
      </c>
      <c r="J245">
        <f>IFERROR(VLOOKUP(Fix_Mapping[[#This Row],[KODE BARANG]],[1]!KINONF15[[KDBRG]:[HRG_JLMT_CTN+PPN]],11,0),0)</f>
        <v>0</v>
      </c>
      <c r="K245">
        <f>IFERROR(VLOOKUP(Fix_Mapping[[#This Row],[KODE BARANG]],[1]!KINONF15[[KDBRG]:[HRG_JLMT_CTN+PPN]],12,0),0)</f>
        <v>0</v>
      </c>
      <c r="L245">
        <f>IFERROR(VLOOKUP(Fix_Mapping[[#This Row],[KODE BARANG]],[1]!KINONF15[[KDBRG]:[HRG_JLMT_CTN+PPN]],13,0),0)</f>
        <v>0</v>
      </c>
      <c r="M245">
        <f>IFERROR(VLOOKUP(Fix_Mapping[[#This Row],[KODE BARANG]],[1]!KINONF15[[KDBRG]:[HRG_JLMT_CTN+PPN]],14,0),0)</f>
        <v>0</v>
      </c>
      <c r="N245">
        <f>IFERROR(VLOOKUP(Fix_Mapping[[#This Row],[KODE BARANG]],[1]!KINONF15[[KDBRG]:[HRG_JLMT_CTN+PPN]],15,0),0)</f>
        <v>0</v>
      </c>
      <c r="O245">
        <f>IFERROR(VLOOKUP(Fix_Mapping[[#This Row],[KODE BARANG]],[1]!KINONF15[[KDBRG]:[HRG_JLMT_CTN+PPN]],16,0),0)</f>
        <v>0</v>
      </c>
      <c r="P245">
        <f>IFERROR(VLOOKUP(Fix_Mapping[[#This Row],[KODE BARANG]],[1]!KINONF15[[KDBRG]:[HRG_JLMT_CTN+PPN]],17,0),0)</f>
        <v>0</v>
      </c>
      <c r="Q245">
        <f>IFERROR(VLOOKUP(Fix_Mapping[[#This Row],[KODE BARANG]],[1]!KINONF15[[KDBRG]:[HRG_JLMT_CTN+PPN]],18,0),0)</f>
        <v>0</v>
      </c>
      <c r="R245" t="s">
        <v>2555</v>
      </c>
      <c r="S245" t="s">
        <v>775</v>
      </c>
      <c r="T245">
        <v>0</v>
      </c>
      <c r="U245">
        <v>0</v>
      </c>
      <c r="V245">
        <v>0</v>
      </c>
      <c r="W245">
        <v>0</v>
      </c>
    </row>
    <row r="246" spans="1:23">
      <c r="A246" t="s">
        <v>2401</v>
      </c>
      <c r="B246" t="s">
        <v>1473</v>
      </c>
      <c r="C246">
        <v>36</v>
      </c>
      <c r="D246">
        <f>IFERROR(VLOOKUP(Fix_Mapping[[#This Row],[KODE BARANG]],[1]!KINONF15[[KDBRG]:[HRG_JLMT_CTN+PPN]],5,0),0)</f>
        <v>0</v>
      </c>
      <c r="E246" t="s">
        <v>2317</v>
      </c>
      <c r="F246">
        <f>IFERROR(VLOOKUP(Fix_Mapping[[#This Row],[KODE BARANG]],[1]!KINONF15[[KDBRG]:[HRG_JLMT_CTN+PPN]],7,0),0)</f>
        <v>0</v>
      </c>
      <c r="G246">
        <f>IFERROR(VLOOKUP(Fix_Mapping[[#This Row],[KODE BARANG]],[1]!KINONF15[[KDBRG]:[HRG_JLMT_CTN+PPN]],8,0),0)</f>
        <v>0</v>
      </c>
      <c r="H246">
        <f>IFERROR(VLOOKUP(Fix_Mapping[[#This Row],[KODE BARANG]],[1]!KINONF15[[KDBRG]:[HRG_JLMT_CTN+PPN]],9,0),0)</f>
        <v>0</v>
      </c>
      <c r="I246">
        <f>IFERROR(VLOOKUP(Fix_Mapping[[#This Row],[KODE BARANG]],[1]!KINONF15[[KDBRG]:[HRG_JLMT_CTN+PPN]],10,0),0)</f>
        <v>0</v>
      </c>
      <c r="J246">
        <f>IFERROR(VLOOKUP(Fix_Mapping[[#This Row],[KODE BARANG]],[1]!KINONF15[[KDBRG]:[HRG_JLMT_CTN+PPN]],11,0),0)</f>
        <v>0</v>
      </c>
      <c r="K246">
        <f>IFERROR(VLOOKUP(Fix_Mapping[[#This Row],[KODE BARANG]],[1]!KINONF15[[KDBRG]:[HRG_JLMT_CTN+PPN]],12,0),0)</f>
        <v>0</v>
      </c>
      <c r="L246">
        <f>IFERROR(VLOOKUP(Fix_Mapping[[#This Row],[KODE BARANG]],[1]!KINONF15[[KDBRG]:[HRG_JLMT_CTN+PPN]],13,0),0)</f>
        <v>0</v>
      </c>
      <c r="M246">
        <f>IFERROR(VLOOKUP(Fix_Mapping[[#This Row],[KODE BARANG]],[1]!KINONF15[[KDBRG]:[HRG_JLMT_CTN+PPN]],14,0),0)</f>
        <v>0</v>
      </c>
      <c r="N246">
        <f>IFERROR(VLOOKUP(Fix_Mapping[[#This Row],[KODE BARANG]],[1]!KINONF15[[KDBRG]:[HRG_JLMT_CTN+PPN]],15,0),0)</f>
        <v>0</v>
      </c>
      <c r="O246">
        <f>IFERROR(VLOOKUP(Fix_Mapping[[#This Row],[KODE BARANG]],[1]!KINONF15[[KDBRG]:[HRG_JLMT_CTN+PPN]],16,0),0)</f>
        <v>0</v>
      </c>
      <c r="P246">
        <f>IFERROR(VLOOKUP(Fix_Mapping[[#This Row],[KODE BARANG]],[1]!KINONF15[[KDBRG]:[HRG_JLMT_CTN+PPN]],17,0),0)</f>
        <v>0</v>
      </c>
      <c r="Q246">
        <f>IFERROR(VLOOKUP(Fix_Mapping[[#This Row],[KODE BARANG]],[1]!KINONF15[[KDBRG]:[HRG_JLMT_CTN+PPN]],18,0),0)</f>
        <v>0</v>
      </c>
      <c r="R246" t="s">
        <v>2555</v>
      </c>
      <c r="S246" t="s">
        <v>765</v>
      </c>
      <c r="T246" t="s">
        <v>766</v>
      </c>
      <c r="U246">
        <v>0</v>
      </c>
      <c r="V246">
        <v>0</v>
      </c>
      <c r="W246">
        <v>0</v>
      </c>
    </row>
    <row r="247" spans="1:23">
      <c r="A247" t="s">
        <v>2402</v>
      </c>
      <c r="B247" t="s">
        <v>1474</v>
      </c>
      <c r="C247">
        <v>36</v>
      </c>
      <c r="D247">
        <f>IFERROR(VLOOKUP(Fix_Mapping[[#This Row],[KODE BARANG]],[1]!KINONF15[[KDBRG]:[HRG_JLMT_CTN+PPN]],5,0),0)</f>
        <v>0</v>
      </c>
      <c r="E247" t="s">
        <v>2317</v>
      </c>
      <c r="F247">
        <f>IFERROR(VLOOKUP(Fix_Mapping[[#This Row],[KODE BARANG]],[1]!KINONF15[[KDBRG]:[HRG_JLMT_CTN+PPN]],7,0),0)</f>
        <v>0</v>
      </c>
      <c r="G247">
        <f>IFERROR(VLOOKUP(Fix_Mapping[[#This Row],[KODE BARANG]],[1]!KINONF15[[KDBRG]:[HRG_JLMT_CTN+PPN]],8,0),0)</f>
        <v>0</v>
      </c>
      <c r="H247">
        <f>IFERROR(VLOOKUP(Fix_Mapping[[#This Row],[KODE BARANG]],[1]!KINONF15[[KDBRG]:[HRG_JLMT_CTN+PPN]],9,0),0)</f>
        <v>0</v>
      </c>
      <c r="I247">
        <f>IFERROR(VLOOKUP(Fix_Mapping[[#This Row],[KODE BARANG]],[1]!KINONF15[[KDBRG]:[HRG_JLMT_CTN+PPN]],10,0),0)</f>
        <v>0</v>
      </c>
      <c r="J247">
        <f>IFERROR(VLOOKUP(Fix_Mapping[[#This Row],[KODE BARANG]],[1]!KINONF15[[KDBRG]:[HRG_JLMT_CTN+PPN]],11,0),0)</f>
        <v>0</v>
      </c>
      <c r="K247">
        <f>IFERROR(VLOOKUP(Fix_Mapping[[#This Row],[KODE BARANG]],[1]!KINONF15[[KDBRG]:[HRG_JLMT_CTN+PPN]],12,0),0)</f>
        <v>0</v>
      </c>
      <c r="L247">
        <f>IFERROR(VLOOKUP(Fix_Mapping[[#This Row],[KODE BARANG]],[1]!KINONF15[[KDBRG]:[HRG_JLMT_CTN+PPN]],13,0),0)</f>
        <v>0</v>
      </c>
      <c r="M247">
        <f>IFERROR(VLOOKUP(Fix_Mapping[[#This Row],[KODE BARANG]],[1]!KINONF15[[KDBRG]:[HRG_JLMT_CTN+PPN]],14,0),0)</f>
        <v>0</v>
      </c>
      <c r="N247">
        <f>IFERROR(VLOOKUP(Fix_Mapping[[#This Row],[KODE BARANG]],[1]!KINONF15[[KDBRG]:[HRG_JLMT_CTN+PPN]],15,0),0)</f>
        <v>0</v>
      </c>
      <c r="O247">
        <f>IFERROR(VLOOKUP(Fix_Mapping[[#This Row],[KODE BARANG]],[1]!KINONF15[[KDBRG]:[HRG_JLMT_CTN+PPN]],16,0),0)</f>
        <v>0</v>
      </c>
      <c r="P247">
        <f>IFERROR(VLOOKUP(Fix_Mapping[[#This Row],[KODE BARANG]],[1]!KINONF15[[KDBRG]:[HRG_JLMT_CTN+PPN]],17,0),0)</f>
        <v>0</v>
      </c>
      <c r="Q247">
        <f>IFERROR(VLOOKUP(Fix_Mapping[[#This Row],[KODE BARANG]],[1]!KINONF15[[KDBRG]:[HRG_JLMT_CTN+PPN]],18,0),0)</f>
        <v>0</v>
      </c>
      <c r="R247" t="s">
        <v>2555</v>
      </c>
      <c r="S247" t="s">
        <v>758</v>
      </c>
      <c r="T247" t="s">
        <v>757</v>
      </c>
      <c r="U247">
        <v>0</v>
      </c>
      <c r="V247">
        <v>0</v>
      </c>
      <c r="W247">
        <v>0</v>
      </c>
    </row>
    <row r="248" spans="1:23">
      <c r="A248" t="s">
        <v>2403</v>
      </c>
      <c r="B248" t="s">
        <v>1475</v>
      </c>
      <c r="C248">
        <v>36</v>
      </c>
      <c r="D248">
        <f>IFERROR(VLOOKUP(Fix_Mapping[[#This Row],[KODE BARANG]],[1]!KINONF15[[KDBRG]:[HRG_JLMT_CTN+PPN]],5,0),0)</f>
        <v>0</v>
      </c>
      <c r="E248" t="s">
        <v>2317</v>
      </c>
      <c r="F248">
        <f>IFERROR(VLOOKUP(Fix_Mapping[[#This Row],[KODE BARANG]],[1]!KINONF15[[KDBRG]:[HRG_JLMT_CTN+PPN]],7,0),0)</f>
        <v>0</v>
      </c>
      <c r="G248">
        <f>IFERROR(VLOOKUP(Fix_Mapping[[#This Row],[KODE BARANG]],[1]!KINONF15[[KDBRG]:[HRG_JLMT_CTN+PPN]],8,0),0)</f>
        <v>0</v>
      </c>
      <c r="H248">
        <f>IFERROR(VLOOKUP(Fix_Mapping[[#This Row],[KODE BARANG]],[1]!KINONF15[[KDBRG]:[HRG_JLMT_CTN+PPN]],9,0),0)</f>
        <v>0</v>
      </c>
      <c r="I248">
        <f>IFERROR(VLOOKUP(Fix_Mapping[[#This Row],[KODE BARANG]],[1]!KINONF15[[KDBRG]:[HRG_JLMT_CTN+PPN]],10,0),0)</f>
        <v>0</v>
      </c>
      <c r="J248">
        <f>IFERROR(VLOOKUP(Fix_Mapping[[#This Row],[KODE BARANG]],[1]!KINONF15[[KDBRG]:[HRG_JLMT_CTN+PPN]],11,0),0)</f>
        <v>0</v>
      </c>
      <c r="K248">
        <f>IFERROR(VLOOKUP(Fix_Mapping[[#This Row],[KODE BARANG]],[1]!KINONF15[[KDBRG]:[HRG_JLMT_CTN+PPN]],12,0),0)</f>
        <v>0</v>
      </c>
      <c r="L248">
        <f>IFERROR(VLOOKUP(Fix_Mapping[[#This Row],[KODE BARANG]],[1]!KINONF15[[KDBRG]:[HRG_JLMT_CTN+PPN]],13,0),0)</f>
        <v>0</v>
      </c>
      <c r="M248">
        <f>IFERROR(VLOOKUP(Fix_Mapping[[#This Row],[KODE BARANG]],[1]!KINONF15[[KDBRG]:[HRG_JLMT_CTN+PPN]],14,0),0)</f>
        <v>0</v>
      </c>
      <c r="N248">
        <f>IFERROR(VLOOKUP(Fix_Mapping[[#This Row],[KODE BARANG]],[1]!KINONF15[[KDBRG]:[HRG_JLMT_CTN+PPN]],15,0),0)</f>
        <v>0</v>
      </c>
      <c r="O248">
        <f>IFERROR(VLOOKUP(Fix_Mapping[[#This Row],[KODE BARANG]],[1]!KINONF15[[KDBRG]:[HRG_JLMT_CTN+PPN]],16,0),0)</f>
        <v>0</v>
      </c>
      <c r="P248">
        <f>IFERROR(VLOOKUP(Fix_Mapping[[#This Row],[KODE BARANG]],[1]!KINONF15[[KDBRG]:[HRG_JLMT_CTN+PPN]],17,0),0)</f>
        <v>0</v>
      </c>
      <c r="Q248">
        <f>IFERROR(VLOOKUP(Fix_Mapping[[#This Row],[KODE BARANG]],[1]!KINONF15[[KDBRG]:[HRG_JLMT_CTN+PPN]],18,0),0)</f>
        <v>0</v>
      </c>
      <c r="R248" t="s">
        <v>2555</v>
      </c>
      <c r="S248" t="s">
        <v>759</v>
      </c>
      <c r="T248" t="s">
        <v>2438</v>
      </c>
      <c r="U248">
        <v>0</v>
      </c>
      <c r="V248">
        <v>0</v>
      </c>
      <c r="W248">
        <v>0</v>
      </c>
    </row>
    <row r="249" spans="1:23">
      <c r="A249" t="s">
        <v>1476</v>
      </c>
      <c r="B249" t="s">
        <v>1477</v>
      </c>
      <c r="C249">
        <v>24</v>
      </c>
      <c r="D249">
        <f>IFERROR(VLOOKUP(Fix_Mapping[[#This Row],[KODE BARANG]],[1]!KINONF15[[KDBRG]:[HRG_JLMT_CTN+PPN]],5,0),0)</f>
        <v>0</v>
      </c>
      <c r="E249" t="s">
        <v>2319</v>
      </c>
      <c r="F249">
        <f>IFERROR(VLOOKUP(Fix_Mapping[[#This Row],[KODE BARANG]],[1]!KINONF15[[KDBRG]:[HRG_JLMT_CTN+PPN]],7,0),0)</f>
        <v>0</v>
      </c>
      <c r="G249">
        <f>IFERROR(VLOOKUP(Fix_Mapping[[#This Row],[KODE BARANG]],[1]!KINONF15[[KDBRG]:[HRG_JLMT_CTN+PPN]],8,0),0)</f>
        <v>0</v>
      </c>
      <c r="H249">
        <f>IFERROR(VLOOKUP(Fix_Mapping[[#This Row],[KODE BARANG]],[1]!KINONF15[[KDBRG]:[HRG_JLMT_CTN+PPN]],9,0),0)</f>
        <v>0</v>
      </c>
      <c r="I249">
        <f>IFERROR(VLOOKUP(Fix_Mapping[[#This Row],[KODE BARANG]],[1]!KINONF15[[KDBRG]:[HRG_JLMT_CTN+PPN]],10,0),0)</f>
        <v>0</v>
      </c>
      <c r="J249">
        <f>IFERROR(VLOOKUP(Fix_Mapping[[#This Row],[KODE BARANG]],[1]!KINONF15[[KDBRG]:[HRG_JLMT_CTN+PPN]],11,0),0)</f>
        <v>0</v>
      </c>
      <c r="K249">
        <f>IFERROR(VLOOKUP(Fix_Mapping[[#This Row],[KODE BARANG]],[1]!KINONF15[[KDBRG]:[HRG_JLMT_CTN+PPN]],12,0),0)</f>
        <v>0</v>
      </c>
      <c r="L249">
        <f>IFERROR(VLOOKUP(Fix_Mapping[[#This Row],[KODE BARANG]],[1]!KINONF15[[KDBRG]:[HRG_JLMT_CTN+PPN]],13,0),0)</f>
        <v>0</v>
      </c>
      <c r="M249">
        <f>IFERROR(VLOOKUP(Fix_Mapping[[#This Row],[KODE BARANG]],[1]!KINONF15[[KDBRG]:[HRG_JLMT_CTN+PPN]],14,0),0)</f>
        <v>0</v>
      </c>
      <c r="N249">
        <f>IFERROR(VLOOKUP(Fix_Mapping[[#This Row],[KODE BARANG]],[1]!KINONF15[[KDBRG]:[HRG_JLMT_CTN+PPN]],15,0),0)</f>
        <v>0</v>
      </c>
      <c r="O249">
        <f>IFERROR(VLOOKUP(Fix_Mapping[[#This Row],[KODE BARANG]],[1]!KINONF15[[KDBRG]:[HRG_JLMT_CTN+PPN]],16,0),0)</f>
        <v>0</v>
      </c>
      <c r="P249">
        <f>IFERROR(VLOOKUP(Fix_Mapping[[#This Row],[KODE BARANG]],[1]!KINONF15[[KDBRG]:[HRG_JLMT_CTN+PPN]],17,0),0)</f>
        <v>0</v>
      </c>
      <c r="Q249">
        <f>IFERROR(VLOOKUP(Fix_Mapping[[#This Row],[KODE BARANG]],[1]!KINONF15[[KDBRG]:[HRG_JLMT_CTN+PPN]],18,0),0)</f>
        <v>0</v>
      </c>
      <c r="R249" t="s">
        <v>2555</v>
      </c>
      <c r="S249" t="s">
        <v>712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1478</v>
      </c>
      <c r="B250" t="s">
        <v>2421</v>
      </c>
      <c r="C250">
        <v>36</v>
      </c>
      <c r="D250">
        <f>IFERROR(VLOOKUP(Fix_Mapping[[#This Row],[KODE BARANG]],[1]!KINONF15[[KDBRG]:[HRG_JLMT_CTN+PPN]],5,0),0)</f>
        <v>0</v>
      </c>
      <c r="E250" t="s">
        <v>2319</v>
      </c>
      <c r="F250">
        <f>IFERROR(VLOOKUP(Fix_Mapping[[#This Row],[KODE BARANG]],[1]!KINONF15[[KDBRG]:[HRG_JLMT_CTN+PPN]],7,0),0)</f>
        <v>0</v>
      </c>
      <c r="G250">
        <f>IFERROR(VLOOKUP(Fix_Mapping[[#This Row],[KODE BARANG]],[1]!KINONF15[[KDBRG]:[HRG_JLMT_CTN+PPN]],8,0),0)</f>
        <v>0</v>
      </c>
      <c r="H250">
        <f>IFERROR(VLOOKUP(Fix_Mapping[[#This Row],[KODE BARANG]],[1]!KINONF15[[KDBRG]:[HRG_JLMT_CTN+PPN]],9,0),0)</f>
        <v>0</v>
      </c>
      <c r="I250">
        <f>IFERROR(VLOOKUP(Fix_Mapping[[#This Row],[KODE BARANG]],[1]!KINONF15[[KDBRG]:[HRG_JLMT_CTN+PPN]],10,0),0)</f>
        <v>0</v>
      </c>
      <c r="J250">
        <f>IFERROR(VLOOKUP(Fix_Mapping[[#This Row],[KODE BARANG]],[1]!KINONF15[[KDBRG]:[HRG_JLMT_CTN+PPN]],11,0),0)</f>
        <v>0</v>
      </c>
      <c r="K250">
        <f>IFERROR(VLOOKUP(Fix_Mapping[[#This Row],[KODE BARANG]],[1]!KINONF15[[KDBRG]:[HRG_JLMT_CTN+PPN]],12,0),0)</f>
        <v>0</v>
      </c>
      <c r="L250">
        <f>IFERROR(VLOOKUP(Fix_Mapping[[#This Row],[KODE BARANG]],[1]!KINONF15[[KDBRG]:[HRG_JLMT_CTN+PPN]],13,0),0)</f>
        <v>0</v>
      </c>
      <c r="M250">
        <f>IFERROR(VLOOKUP(Fix_Mapping[[#This Row],[KODE BARANG]],[1]!KINONF15[[KDBRG]:[HRG_JLMT_CTN+PPN]],14,0),0)</f>
        <v>0</v>
      </c>
      <c r="N250">
        <f>IFERROR(VLOOKUP(Fix_Mapping[[#This Row],[KODE BARANG]],[1]!KINONF15[[KDBRG]:[HRG_JLMT_CTN+PPN]],15,0),0)</f>
        <v>0</v>
      </c>
      <c r="O250">
        <f>IFERROR(VLOOKUP(Fix_Mapping[[#This Row],[KODE BARANG]],[1]!KINONF15[[KDBRG]:[HRG_JLMT_CTN+PPN]],16,0),0)</f>
        <v>0</v>
      </c>
      <c r="P250">
        <f>IFERROR(VLOOKUP(Fix_Mapping[[#This Row],[KODE BARANG]],[1]!KINONF15[[KDBRG]:[HRG_JLMT_CTN+PPN]],17,0),0)</f>
        <v>0</v>
      </c>
      <c r="Q250">
        <f>IFERROR(VLOOKUP(Fix_Mapping[[#This Row],[KODE BARANG]],[1]!KINONF15[[KDBRG]:[HRG_JLMT_CTN+PPN]],18,0),0)</f>
        <v>0</v>
      </c>
      <c r="R250" t="s">
        <v>2555</v>
      </c>
      <c r="S250" t="s">
        <v>777</v>
      </c>
      <c r="T250" t="s">
        <v>778</v>
      </c>
      <c r="U250">
        <v>0</v>
      </c>
      <c r="V250">
        <v>0</v>
      </c>
      <c r="W250">
        <v>0</v>
      </c>
    </row>
    <row r="251" spans="1:23">
      <c r="A251" t="s">
        <v>1480</v>
      </c>
      <c r="B251" t="s">
        <v>1479</v>
      </c>
      <c r="C251">
        <v>24</v>
      </c>
      <c r="D251">
        <f>IFERROR(VLOOKUP(Fix_Mapping[[#This Row],[KODE BARANG]],[1]!KINONF15[[KDBRG]:[HRG_JLMT_CTN+PPN]],5,0),0)</f>
        <v>0</v>
      </c>
      <c r="E251" t="s">
        <v>2319</v>
      </c>
      <c r="F251">
        <f>IFERROR(VLOOKUP(Fix_Mapping[[#This Row],[KODE BARANG]],[1]!KINONF15[[KDBRG]:[HRG_JLMT_CTN+PPN]],7,0),0)</f>
        <v>0</v>
      </c>
      <c r="G251">
        <f>IFERROR(VLOOKUP(Fix_Mapping[[#This Row],[KODE BARANG]],[1]!KINONF15[[KDBRG]:[HRG_JLMT_CTN+PPN]],8,0),0)</f>
        <v>0</v>
      </c>
      <c r="H251">
        <f>IFERROR(VLOOKUP(Fix_Mapping[[#This Row],[KODE BARANG]],[1]!KINONF15[[KDBRG]:[HRG_JLMT_CTN+PPN]],9,0),0)</f>
        <v>0</v>
      </c>
      <c r="I251">
        <f>IFERROR(VLOOKUP(Fix_Mapping[[#This Row],[KODE BARANG]],[1]!KINONF15[[KDBRG]:[HRG_JLMT_CTN+PPN]],10,0),0)</f>
        <v>0</v>
      </c>
      <c r="J251">
        <f>IFERROR(VLOOKUP(Fix_Mapping[[#This Row],[KODE BARANG]],[1]!KINONF15[[KDBRG]:[HRG_JLMT_CTN+PPN]],11,0),0)</f>
        <v>0</v>
      </c>
      <c r="K251">
        <f>IFERROR(VLOOKUP(Fix_Mapping[[#This Row],[KODE BARANG]],[1]!KINONF15[[KDBRG]:[HRG_JLMT_CTN+PPN]],12,0),0)</f>
        <v>0</v>
      </c>
      <c r="L251">
        <f>IFERROR(VLOOKUP(Fix_Mapping[[#This Row],[KODE BARANG]],[1]!KINONF15[[KDBRG]:[HRG_JLMT_CTN+PPN]],13,0),0)</f>
        <v>0</v>
      </c>
      <c r="M251">
        <f>IFERROR(VLOOKUP(Fix_Mapping[[#This Row],[KODE BARANG]],[1]!KINONF15[[KDBRG]:[HRG_JLMT_CTN+PPN]],14,0),0)</f>
        <v>0</v>
      </c>
      <c r="N251">
        <f>IFERROR(VLOOKUP(Fix_Mapping[[#This Row],[KODE BARANG]],[1]!KINONF15[[KDBRG]:[HRG_JLMT_CTN+PPN]],15,0),0)</f>
        <v>0</v>
      </c>
      <c r="O251">
        <f>IFERROR(VLOOKUP(Fix_Mapping[[#This Row],[KODE BARANG]],[1]!KINONF15[[KDBRG]:[HRG_JLMT_CTN+PPN]],16,0),0)</f>
        <v>0</v>
      </c>
      <c r="P251">
        <f>IFERROR(VLOOKUP(Fix_Mapping[[#This Row],[KODE BARANG]],[1]!KINONF15[[KDBRG]:[HRG_JLMT_CTN+PPN]],17,0),0)</f>
        <v>0</v>
      </c>
      <c r="Q251">
        <f>IFERROR(VLOOKUP(Fix_Mapping[[#This Row],[KODE BARANG]],[1]!KINONF15[[KDBRG]:[HRG_JLMT_CTN+PPN]],18,0),0)</f>
        <v>0</v>
      </c>
      <c r="R251" t="s">
        <v>2555</v>
      </c>
      <c r="S251" t="s">
        <v>713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1482</v>
      </c>
      <c r="B252" t="s">
        <v>2422</v>
      </c>
      <c r="C252">
        <v>36</v>
      </c>
      <c r="D252">
        <f>IFERROR(VLOOKUP(Fix_Mapping[[#This Row],[KODE BARANG]],[1]!KINONF15[[KDBRG]:[HRG_JLMT_CTN+PPN]],5,0),0)</f>
        <v>0</v>
      </c>
      <c r="E252" t="s">
        <v>2319</v>
      </c>
      <c r="F252">
        <f>IFERROR(VLOOKUP(Fix_Mapping[[#This Row],[KODE BARANG]],[1]!KINONF15[[KDBRG]:[HRG_JLMT_CTN+PPN]],7,0),0)</f>
        <v>0</v>
      </c>
      <c r="G252">
        <f>IFERROR(VLOOKUP(Fix_Mapping[[#This Row],[KODE BARANG]],[1]!KINONF15[[KDBRG]:[HRG_JLMT_CTN+PPN]],8,0),0)</f>
        <v>0</v>
      </c>
      <c r="H252">
        <f>IFERROR(VLOOKUP(Fix_Mapping[[#This Row],[KODE BARANG]],[1]!KINONF15[[KDBRG]:[HRG_JLMT_CTN+PPN]],9,0),0)</f>
        <v>0</v>
      </c>
      <c r="I252">
        <f>IFERROR(VLOOKUP(Fix_Mapping[[#This Row],[KODE BARANG]],[1]!KINONF15[[KDBRG]:[HRG_JLMT_CTN+PPN]],10,0),0)</f>
        <v>0</v>
      </c>
      <c r="J252">
        <f>IFERROR(VLOOKUP(Fix_Mapping[[#This Row],[KODE BARANG]],[1]!KINONF15[[KDBRG]:[HRG_JLMT_CTN+PPN]],11,0),0)</f>
        <v>0</v>
      </c>
      <c r="K252">
        <f>IFERROR(VLOOKUP(Fix_Mapping[[#This Row],[KODE BARANG]],[1]!KINONF15[[KDBRG]:[HRG_JLMT_CTN+PPN]],12,0),0)</f>
        <v>0</v>
      </c>
      <c r="L252">
        <f>IFERROR(VLOOKUP(Fix_Mapping[[#This Row],[KODE BARANG]],[1]!KINONF15[[KDBRG]:[HRG_JLMT_CTN+PPN]],13,0),0)</f>
        <v>0</v>
      </c>
      <c r="M252">
        <f>IFERROR(VLOOKUP(Fix_Mapping[[#This Row],[KODE BARANG]],[1]!KINONF15[[KDBRG]:[HRG_JLMT_CTN+PPN]],14,0),0)</f>
        <v>0</v>
      </c>
      <c r="N252">
        <f>IFERROR(VLOOKUP(Fix_Mapping[[#This Row],[KODE BARANG]],[1]!KINONF15[[KDBRG]:[HRG_JLMT_CTN+PPN]],15,0),0)</f>
        <v>0</v>
      </c>
      <c r="O252">
        <f>IFERROR(VLOOKUP(Fix_Mapping[[#This Row],[KODE BARANG]],[1]!KINONF15[[KDBRG]:[HRG_JLMT_CTN+PPN]],16,0),0)</f>
        <v>0</v>
      </c>
      <c r="P252">
        <f>IFERROR(VLOOKUP(Fix_Mapping[[#This Row],[KODE BARANG]],[1]!KINONF15[[KDBRG]:[HRG_JLMT_CTN+PPN]],17,0),0)</f>
        <v>0</v>
      </c>
      <c r="Q252">
        <f>IFERROR(VLOOKUP(Fix_Mapping[[#This Row],[KODE BARANG]],[1]!KINONF15[[KDBRG]:[HRG_JLMT_CTN+PPN]],18,0),0)</f>
        <v>0</v>
      </c>
      <c r="R252" t="s">
        <v>2555</v>
      </c>
      <c r="S252" t="s">
        <v>779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1484</v>
      </c>
      <c r="B253" t="s">
        <v>1481</v>
      </c>
      <c r="C253">
        <v>24</v>
      </c>
      <c r="D253">
        <f>IFERROR(VLOOKUP(Fix_Mapping[[#This Row],[KODE BARANG]],[1]!KINONF15[[KDBRG]:[HRG_JLMT_CTN+PPN]],5,0),0)</f>
        <v>0</v>
      </c>
      <c r="E253" t="s">
        <v>2319</v>
      </c>
      <c r="F253">
        <f>IFERROR(VLOOKUP(Fix_Mapping[[#This Row],[KODE BARANG]],[1]!KINONF15[[KDBRG]:[HRG_JLMT_CTN+PPN]],7,0),0)</f>
        <v>0</v>
      </c>
      <c r="G253">
        <f>IFERROR(VLOOKUP(Fix_Mapping[[#This Row],[KODE BARANG]],[1]!KINONF15[[KDBRG]:[HRG_JLMT_CTN+PPN]],8,0),0)</f>
        <v>0</v>
      </c>
      <c r="H253">
        <f>IFERROR(VLOOKUP(Fix_Mapping[[#This Row],[KODE BARANG]],[1]!KINONF15[[KDBRG]:[HRG_JLMT_CTN+PPN]],9,0),0)</f>
        <v>0</v>
      </c>
      <c r="I253">
        <f>IFERROR(VLOOKUP(Fix_Mapping[[#This Row],[KODE BARANG]],[1]!KINONF15[[KDBRG]:[HRG_JLMT_CTN+PPN]],10,0),0)</f>
        <v>0</v>
      </c>
      <c r="J253">
        <f>IFERROR(VLOOKUP(Fix_Mapping[[#This Row],[KODE BARANG]],[1]!KINONF15[[KDBRG]:[HRG_JLMT_CTN+PPN]],11,0),0)</f>
        <v>0</v>
      </c>
      <c r="K253">
        <f>IFERROR(VLOOKUP(Fix_Mapping[[#This Row],[KODE BARANG]],[1]!KINONF15[[KDBRG]:[HRG_JLMT_CTN+PPN]],12,0),0)</f>
        <v>0</v>
      </c>
      <c r="L253">
        <f>IFERROR(VLOOKUP(Fix_Mapping[[#This Row],[KODE BARANG]],[1]!KINONF15[[KDBRG]:[HRG_JLMT_CTN+PPN]],13,0),0)</f>
        <v>0</v>
      </c>
      <c r="M253">
        <f>IFERROR(VLOOKUP(Fix_Mapping[[#This Row],[KODE BARANG]],[1]!KINONF15[[KDBRG]:[HRG_JLMT_CTN+PPN]],14,0),0)</f>
        <v>0</v>
      </c>
      <c r="N253">
        <f>IFERROR(VLOOKUP(Fix_Mapping[[#This Row],[KODE BARANG]],[1]!KINONF15[[KDBRG]:[HRG_JLMT_CTN+PPN]],15,0),0)</f>
        <v>0</v>
      </c>
      <c r="O253">
        <f>IFERROR(VLOOKUP(Fix_Mapping[[#This Row],[KODE BARANG]],[1]!KINONF15[[KDBRG]:[HRG_JLMT_CTN+PPN]],16,0),0)</f>
        <v>0</v>
      </c>
      <c r="P253">
        <f>IFERROR(VLOOKUP(Fix_Mapping[[#This Row],[KODE BARANG]],[1]!KINONF15[[KDBRG]:[HRG_JLMT_CTN+PPN]],17,0),0)</f>
        <v>0</v>
      </c>
      <c r="Q253">
        <f>IFERROR(VLOOKUP(Fix_Mapping[[#This Row],[KODE BARANG]],[1]!KINONF15[[KDBRG]:[HRG_JLMT_CTN+PPN]],18,0),0)</f>
        <v>0</v>
      </c>
      <c r="R253" t="s">
        <v>2555</v>
      </c>
      <c r="S253" t="s">
        <v>714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1486</v>
      </c>
      <c r="B254" t="s">
        <v>1483</v>
      </c>
      <c r="C254">
        <v>36</v>
      </c>
      <c r="D254">
        <f>IFERROR(VLOOKUP(Fix_Mapping[[#This Row],[KODE BARANG]],[1]!KINONF15[[KDBRG]:[HRG_JLMT_CTN+PPN]],5,0),0)</f>
        <v>0</v>
      </c>
      <c r="E254" t="s">
        <v>2319</v>
      </c>
      <c r="F254">
        <f>IFERROR(VLOOKUP(Fix_Mapping[[#This Row],[KODE BARANG]],[1]!KINONF15[[KDBRG]:[HRG_JLMT_CTN+PPN]],7,0),0)</f>
        <v>0</v>
      </c>
      <c r="G254">
        <f>IFERROR(VLOOKUP(Fix_Mapping[[#This Row],[KODE BARANG]],[1]!KINONF15[[KDBRG]:[HRG_JLMT_CTN+PPN]],8,0),0)</f>
        <v>0</v>
      </c>
      <c r="H254">
        <f>IFERROR(VLOOKUP(Fix_Mapping[[#This Row],[KODE BARANG]],[1]!KINONF15[[KDBRG]:[HRG_JLMT_CTN+PPN]],9,0),0)</f>
        <v>0</v>
      </c>
      <c r="I254">
        <f>IFERROR(VLOOKUP(Fix_Mapping[[#This Row],[KODE BARANG]],[1]!KINONF15[[KDBRG]:[HRG_JLMT_CTN+PPN]],10,0),0)</f>
        <v>0</v>
      </c>
      <c r="J254">
        <f>IFERROR(VLOOKUP(Fix_Mapping[[#This Row],[KODE BARANG]],[1]!KINONF15[[KDBRG]:[HRG_JLMT_CTN+PPN]],11,0),0)</f>
        <v>0</v>
      </c>
      <c r="K254">
        <f>IFERROR(VLOOKUP(Fix_Mapping[[#This Row],[KODE BARANG]],[1]!KINONF15[[KDBRG]:[HRG_JLMT_CTN+PPN]],12,0),0)</f>
        <v>0</v>
      </c>
      <c r="L254">
        <f>IFERROR(VLOOKUP(Fix_Mapping[[#This Row],[KODE BARANG]],[1]!KINONF15[[KDBRG]:[HRG_JLMT_CTN+PPN]],13,0),0)</f>
        <v>0</v>
      </c>
      <c r="M254">
        <f>IFERROR(VLOOKUP(Fix_Mapping[[#This Row],[KODE BARANG]],[1]!KINONF15[[KDBRG]:[HRG_JLMT_CTN+PPN]],14,0),0)</f>
        <v>0</v>
      </c>
      <c r="N254">
        <f>IFERROR(VLOOKUP(Fix_Mapping[[#This Row],[KODE BARANG]],[1]!KINONF15[[KDBRG]:[HRG_JLMT_CTN+PPN]],15,0),0)</f>
        <v>0</v>
      </c>
      <c r="O254">
        <f>IFERROR(VLOOKUP(Fix_Mapping[[#This Row],[KODE BARANG]],[1]!KINONF15[[KDBRG]:[HRG_JLMT_CTN+PPN]],16,0),0)</f>
        <v>0</v>
      </c>
      <c r="P254">
        <f>IFERROR(VLOOKUP(Fix_Mapping[[#This Row],[KODE BARANG]],[1]!KINONF15[[KDBRG]:[HRG_JLMT_CTN+PPN]],17,0),0)</f>
        <v>0</v>
      </c>
      <c r="Q254">
        <f>IFERROR(VLOOKUP(Fix_Mapping[[#This Row],[KODE BARANG]],[1]!KINONF15[[KDBRG]:[HRG_JLMT_CTN+PPN]],18,0),0)</f>
        <v>0</v>
      </c>
      <c r="R254" t="s">
        <v>2555</v>
      </c>
      <c r="S254" t="s">
        <v>780</v>
      </c>
      <c r="T254" t="s">
        <v>781</v>
      </c>
      <c r="U254">
        <v>0</v>
      </c>
      <c r="V254">
        <v>0</v>
      </c>
      <c r="W254">
        <v>0</v>
      </c>
    </row>
    <row r="255" spans="1:23">
      <c r="A255" t="s">
        <v>1488</v>
      </c>
      <c r="B255" t="s">
        <v>1485</v>
      </c>
      <c r="C255">
        <v>36</v>
      </c>
      <c r="D255">
        <f>IFERROR(VLOOKUP(Fix_Mapping[[#This Row],[KODE BARANG]],[1]!KINONF15[[KDBRG]:[HRG_JLMT_CTN+PPN]],5,0),0)</f>
        <v>0</v>
      </c>
      <c r="E255" t="s">
        <v>2319</v>
      </c>
      <c r="F255">
        <f>IFERROR(VLOOKUP(Fix_Mapping[[#This Row],[KODE BARANG]],[1]!KINONF15[[KDBRG]:[HRG_JLMT_CTN+PPN]],7,0),0)</f>
        <v>0</v>
      </c>
      <c r="G255">
        <f>IFERROR(VLOOKUP(Fix_Mapping[[#This Row],[KODE BARANG]],[1]!KINONF15[[KDBRG]:[HRG_JLMT_CTN+PPN]],8,0),0)</f>
        <v>0</v>
      </c>
      <c r="H255">
        <f>IFERROR(VLOOKUP(Fix_Mapping[[#This Row],[KODE BARANG]],[1]!KINONF15[[KDBRG]:[HRG_JLMT_CTN+PPN]],9,0),0)</f>
        <v>0</v>
      </c>
      <c r="I255">
        <f>IFERROR(VLOOKUP(Fix_Mapping[[#This Row],[KODE BARANG]],[1]!KINONF15[[KDBRG]:[HRG_JLMT_CTN+PPN]],10,0),0)</f>
        <v>0</v>
      </c>
      <c r="J255">
        <f>IFERROR(VLOOKUP(Fix_Mapping[[#This Row],[KODE BARANG]],[1]!KINONF15[[KDBRG]:[HRG_JLMT_CTN+PPN]],11,0),0)</f>
        <v>0</v>
      </c>
      <c r="K255">
        <f>IFERROR(VLOOKUP(Fix_Mapping[[#This Row],[KODE BARANG]],[1]!KINONF15[[KDBRG]:[HRG_JLMT_CTN+PPN]],12,0),0)</f>
        <v>0</v>
      </c>
      <c r="L255">
        <f>IFERROR(VLOOKUP(Fix_Mapping[[#This Row],[KODE BARANG]],[1]!KINONF15[[KDBRG]:[HRG_JLMT_CTN+PPN]],13,0),0)</f>
        <v>0</v>
      </c>
      <c r="M255">
        <f>IFERROR(VLOOKUP(Fix_Mapping[[#This Row],[KODE BARANG]],[1]!KINONF15[[KDBRG]:[HRG_JLMT_CTN+PPN]],14,0),0)</f>
        <v>0</v>
      </c>
      <c r="N255">
        <f>IFERROR(VLOOKUP(Fix_Mapping[[#This Row],[KODE BARANG]],[1]!KINONF15[[KDBRG]:[HRG_JLMT_CTN+PPN]],15,0),0)</f>
        <v>0</v>
      </c>
      <c r="O255">
        <f>IFERROR(VLOOKUP(Fix_Mapping[[#This Row],[KODE BARANG]],[1]!KINONF15[[KDBRG]:[HRG_JLMT_CTN+PPN]],16,0),0)</f>
        <v>0</v>
      </c>
      <c r="P255">
        <f>IFERROR(VLOOKUP(Fix_Mapping[[#This Row],[KODE BARANG]],[1]!KINONF15[[KDBRG]:[HRG_JLMT_CTN+PPN]],17,0),0)</f>
        <v>0</v>
      </c>
      <c r="Q255">
        <f>IFERROR(VLOOKUP(Fix_Mapping[[#This Row],[KODE BARANG]],[1]!KINONF15[[KDBRG]:[HRG_JLMT_CTN+PPN]],18,0),0)</f>
        <v>0</v>
      </c>
      <c r="R255" t="s">
        <v>2555</v>
      </c>
      <c r="S255" t="s">
        <v>782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2413</v>
      </c>
      <c r="B256" t="s">
        <v>2423</v>
      </c>
      <c r="C256">
        <v>36</v>
      </c>
      <c r="D256">
        <f>IFERROR(VLOOKUP(Fix_Mapping[[#This Row],[KODE BARANG]],[1]!KINONF15[[KDBRG]:[HRG_JLMT_CTN+PPN]],5,0),0)</f>
        <v>0</v>
      </c>
      <c r="E256" t="s">
        <v>2319</v>
      </c>
      <c r="F256">
        <f>IFERROR(VLOOKUP(Fix_Mapping[[#This Row],[KODE BARANG]],[1]!KINONF15[[KDBRG]:[HRG_JLMT_CTN+PPN]],7,0),0)</f>
        <v>0</v>
      </c>
      <c r="G256">
        <f>IFERROR(VLOOKUP(Fix_Mapping[[#This Row],[KODE BARANG]],[1]!KINONF15[[KDBRG]:[HRG_JLMT_CTN+PPN]],8,0),0)</f>
        <v>0</v>
      </c>
      <c r="H256">
        <f>IFERROR(VLOOKUP(Fix_Mapping[[#This Row],[KODE BARANG]],[1]!KINONF15[[KDBRG]:[HRG_JLMT_CTN+PPN]],9,0),0)</f>
        <v>0</v>
      </c>
      <c r="I256">
        <f>IFERROR(VLOOKUP(Fix_Mapping[[#This Row],[KODE BARANG]],[1]!KINONF15[[KDBRG]:[HRG_JLMT_CTN+PPN]],10,0),0)</f>
        <v>0</v>
      </c>
      <c r="J256">
        <f>IFERROR(VLOOKUP(Fix_Mapping[[#This Row],[KODE BARANG]],[1]!KINONF15[[KDBRG]:[HRG_JLMT_CTN+PPN]],11,0),0)</f>
        <v>0</v>
      </c>
      <c r="K256">
        <f>IFERROR(VLOOKUP(Fix_Mapping[[#This Row],[KODE BARANG]],[1]!KINONF15[[KDBRG]:[HRG_JLMT_CTN+PPN]],12,0),0)</f>
        <v>0</v>
      </c>
      <c r="L256">
        <f>IFERROR(VLOOKUP(Fix_Mapping[[#This Row],[KODE BARANG]],[1]!KINONF15[[KDBRG]:[HRG_JLMT_CTN+PPN]],13,0),0)</f>
        <v>0</v>
      </c>
      <c r="M256">
        <f>IFERROR(VLOOKUP(Fix_Mapping[[#This Row],[KODE BARANG]],[1]!KINONF15[[KDBRG]:[HRG_JLMT_CTN+PPN]],14,0),0)</f>
        <v>0</v>
      </c>
      <c r="N256">
        <f>IFERROR(VLOOKUP(Fix_Mapping[[#This Row],[KODE BARANG]],[1]!KINONF15[[KDBRG]:[HRG_JLMT_CTN+PPN]],15,0),0)</f>
        <v>0</v>
      </c>
      <c r="O256">
        <f>IFERROR(VLOOKUP(Fix_Mapping[[#This Row],[KODE BARANG]],[1]!KINONF15[[KDBRG]:[HRG_JLMT_CTN+PPN]],16,0),0)</f>
        <v>0</v>
      </c>
      <c r="P256">
        <f>IFERROR(VLOOKUP(Fix_Mapping[[#This Row],[KODE BARANG]],[1]!KINONF15[[KDBRG]:[HRG_JLMT_CTN+PPN]],17,0),0)</f>
        <v>0</v>
      </c>
      <c r="Q256">
        <f>IFERROR(VLOOKUP(Fix_Mapping[[#This Row],[KODE BARANG]],[1]!KINONF15[[KDBRG]:[HRG_JLMT_CTN+PPN]],18,0),0)</f>
        <v>0</v>
      </c>
      <c r="R256" t="s">
        <v>2555</v>
      </c>
      <c r="S256" t="s">
        <v>783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2414</v>
      </c>
      <c r="B257" t="s">
        <v>1487</v>
      </c>
      <c r="C257">
        <v>36</v>
      </c>
      <c r="D257">
        <f>IFERROR(VLOOKUP(Fix_Mapping[[#This Row],[KODE BARANG]],[1]!KINONF15[[KDBRG]:[HRG_JLMT_CTN+PPN]],5,0),0)</f>
        <v>0</v>
      </c>
      <c r="E257" t="s">
        <v>2319</v>
      </c>
      <c r="F257">
        <f>IFERROR(VLOOKUP(Fix_Mapping[[#This Row],[KODE BARANG]],[1]!KINONF15[[KDBRG]:[HRG_JLMT_CTN+PPN]],7,0),0)</f>
        <v>0</v>
      </c>
      <c r="G257">
        <f>IFERROR(VLOOKUP(Fix_Mapping[[#This Row],[KODE BARANG]],[1]!KINONF15[[KDBRG]:[HRG_JLMT_CTN+PPN]],8,0),0)</f>
        <v>0</v>
      </c>
      <c r="H257">
        <f>IFERROR(VLOOKUP(Fix_Mapping[[#This Row],[KODE BARANG]],[1]!KINONF15[[KDBRG]:[HRG_JLMT_CTN+PPN]],9,0),0)</f>
        <v>0</v>
      </c>
      <c r="I257">
        <f>IFERROR(VLOOKUP(Fix_Mapping[[#This Row],[KODE BARANG]],[1]!KINONF15[[KDBRG]:[HRG_JLMT_CTN+PPN]],10,0),0)</f>
        <v>0</v>
      </c>
      <c r="J257">
        <f>IFERROR(VLOOKUP(Fix_Mapping[[#This Row],[KODE BARANG]],[1]!KINONF15[[KDBRG]:[HRG_JLMT_CTN+PPN]],11,0),0)</f>
        <v>0</v>
      </c>
      <c r="K257">
        <f>IFERROR(VLOOKUP(Fix_Mapping[[#This Row],[KODE BARANG]],[1]!KINONF15[[KDBRG]:[HRG_JLMT_CTN+PPN]],12,0),0)</f>
        <v>0</v>
      </c>
      <c r="L257">
        <f>IFERROR(VLOOKUP(Fix_Mapping[[#This Row],[KODE BARANG]],[1]!KINONF15[[KDBRG]:[HRG_JLMT_CTN+PPN]],13,0),0)</f>
        <v>0</v>
      </c>
      <c r="M257">
        <f>IFERROR(VLOOKUP(Fix_Mapping[[#This Row],[KODE BARANG]],[1]!KINONF15[[KDBRG]:[HRG_JLMT_CTN+PPN]],14,0),0)</f>
        <v>0</v>
      </c>
      <c r="N257">
        <f>IFERROR(VLOOKUP(Fix_Mapping[[#This Row],[KODE BARANG]],[1]!KINONF15[[KDBRG]:[HRG_JLMT_CTN+PPN]],15,0),0)</f>
        <v>0</v>
      </c>
      <c r="O257">
        <f>IFERROR(VLOOKUP(Fix_Mapping[[#This Row],[KODE BARANG]],[1]!KINONF15[[KDBRG]:[HRG_JLMT_CTN+PPN]],16,0),0)</f>
        <v>0</v>
      </c>
      <c r="P257">
        <f>IFERROR(VLOOKUP(Fix_Mapping[[#This Row],[KODE BARANG]],[1]!KINONF15[[KDBRG]:[HRG_JLMT_CTN+PPN]],17,0),0)</f>
        <v>0</v>
      </c>
      <c r="Q257">
        <f>IFERROR(VLOOKUP(Fix_Mapping[[#This Row],[KODE BARANG]],[1]!KINONF15[[KDBRG]:[HRG_JLMT_CTN+PPN]],18,0),0)</f>
        <v>0</v>
      </c>
      <c r="R257" t="s">
        <v>2555</v>
      </c>
      <c r="S257">
        <v>0</v>
      </c>
      <c r="T257" t="s">
        <v>784</v>
      </c>
      <c r="U257">
        <v>0</v>
      </c>
      <c r="V257">
        <v>0</v>
      </c>
      <c r="W257">
        <v>0</v>
      </c>
    </row>
    <row r="258" spans="1:23">
      <c r="A258" t="s">
        <v>2415</v>
      </c>
      <c r="B258" t="s">
        <v>1489</v>
      </c>
      <c r="C258">
        <v>36</v>
      </c>
      <c r="D258">
        <f>IFERROR(VLOOKUP(Fix_Mapping[[#This Row],[KODE BARANG]],[1]!KINONF15[[KDBRG]:[HRG_JLMT_CTN+PPN]],5,0),0)</f>
        <v>0</v>
      </c>
      <c r="E258" t="s">
        <v>2319</v>
      </c>
      <c r="F258">
        <f>IFERROR(VLOOKUP(Fix_Mapping[[#This Row],[KODE BARANG]],[1]!KINONF15[[KDBRG]:[HRG_JLMT_CTN+PPN]],7,0),0)</f>
        <v>0</v>
      </c>
      <c r="G258">
        <f>IFERROR(VLOOKUP(Fix_Mapping[[#This Row],[KODE BARANG]],[1]!KINONF15[[KDBRG]:[HRG_JLMT_CTN+PPN]],8,0),0)</f>
        <v>0</v>
      </c>
      <c r="H258">
        <f>IFERROR(VLOOKUP(Fix_Mapping[[#This Row],[KODE BARANG]],[1]!KINONF15[[KDBRG]:[HRG_JLMT_CTN+PPN]],9,0),0)</f>
        <v>0</v>
      </c>
      <c r="I258">
        <f>IFERROR(VLOOKUP(Fix_Mapping[[#This Row],[KODE BARANG]],[1]!KINONF15[[KDBRG]:[HRG_JLMT_CTN+PPN]],10,0),0)</f>
        <v>0</v>
      </c>
      <c r="J258">
        <f>IFERROR(VLOOKUP(Fix_Mapping[[#This Row],[KODE BARANG]],[1]!KINONF15[[KDBRG]:[HRG_JLMT_CTN+PPN]],11,0),0)</f>
        <v>0</v>
      </c>
      <c r="K258">
        <f>IFERROR(VLOOKUP(Fix_Mapping[[#This Row],[KODE BARANG]],[1]!KINONF15[[KDBRG]:[HRG_JLMT_CTN+PPN]],12,0),0)</f>
        <v>0</v>
      </c>
      <c r="L258">
        <f>IFERROR(VLOOKUP(Fix_Mapping[[#This Row],[KODE BARANG]],[1]!KINONF15[[KDBRG]:[HRG_JLMT_CTN+PPN]],13,0),0)</f>
        <v>0</v>
      </c>
      <c r="M258">
        <f>IFERROR(VLOOKUP(Fix_Mapping[[#This Row],[KODE BARANG]],[1]!KINONF15[[KDBRG]:[HRG_JLMT_CTN+PPN]],14,0),0)</f>
        <v>0</v>
      </c>
      <c r="N258">
        <f>IFERROR(VLOOKUP(Fix_Mapping[[#This Row],[KODE BARANG]],[1]!KINONF15[[KDBRG]:[HRG_JLMT_CTN+PPN]],15,0),0)</f>
        <v>0</v>
      </c>
      <c r="O258">
        <f>IFERROR(VLOOKUP(Fix_Mapping[[#This Row],[KODE BARANG]],[1]!KINONF15[[KDBRG]:[HRG_JLMT_CTN+PPN]],16,0),0)</f>
        <v>0</v>
      </c>
      <c r="P258">
        <f>IFERROR(VLOOKUP(Fix_Mapping[[#This Row],[KODE BARANG]],[1]!KINONF15[[KDBRG]:[HRG_JLMT_CTN+PPN]],17,0),0)</f>
        <v>0</v>
      </c>
      <c r="Q258">
        <f>IFERROR(VLOOKUP(Fix_Mapping[[#This Row],[KODE BARANG]],[1]!KINONF15[[KDBRG]:[HRG_JLMT_CTN+PPN]],18,0),0)</f>
        <v>0</v>
      </c>
      <c r="R258" t="s">
        <v>2555</v>
      </c>
      <c r="S258" t="s">
        <v>785</v>
      </c>
      <c r="T258">
        <v>0</v>
      </c>
      <c r="U258">
        <v>0</v>
      </c>
      <c r="V258">
        <v>0</v>
      </c>
      <c r="W258">
        <v>0</v>
      </c>
    </row>
    <row r="259" spans="1:23">
      <c r="A259" t="s">
        <v>1490</v>
      </c>
      <c r="B259" t="s">
        <v>1491</v>
      </c>
      <c r="C259">
        <v>36</v>
      </c>
      <c r="D259">
        <f>IFERROR(VLOOKUP(Fix_Mapping[[#This Row],[KODE BARANG]],[1]!KINONF15[[KDBRG]:[HRG_JLMT_CTN+PPN]],5,0),0)</f>
        <v>0</v>
      </c>
      <c r="E259" t="s">
        <v>2321</v>
      </c>
      <c r="F259">
        <f>IFERROR(VLOOKUP(Fix_Mapping[[#This Row],[KODE BARANG]],[1]!KINONF15[[KDBRG]:[HRG_JLMT_CTN+PPN]],7,0),0)</f>
        <v>0</v>
      </c>
      <c r="G259">
        <f>IFERROR(VLOOKUP(Fix_Mapping[[#This Row],[KODE BARANG]],[1]!KINONF15[[KDBRG]:[HRG_JLMT_CTN+PPN]],8,0),0)</f>
        <v>0</v>
      </c>
      <c r="H259">
        <f>IFERROR(VLOOKUP(Fix_Mapping[[#This Row],[KODE BARANG]],[1]!KINONF15[[KDBRG]:[HRG_JLMT_CTN+PPN]],9,0),0)</f>
        <v>0</v>
      </c>
      <c r="I259">
        <f>IFERROR(VLOOKUP(Fix_Mapping[[#This Row],[KODE BARANG]],[1]!KINONF15[[KDBRG]:[HRG_JLMT_CTN+PPN]],10,0),0)</f>
        <v>0</v>
      </c>
      <c r="J259">
        <f>IFERROR(VLOOKUP(Fix_Mapping[[#This Row],[KODE BARANG]],[1]!KINONF15[[KDBRG]:[HRG_JLMT_CTN+PPN]],11,0),0)</f>
        <v>0</v>
      </c>
      <c r="K259">
        <f>IFERROR(VLOOKUP(Fix_Mapping[[#This Row],[KODE BARANG]],[1]!KINONF15[[KDBRG]:[HRG_JLMT_CTN+PPN]],12,0),0)</f>
        <v>0</v>
      </c>
      <c r="L259">
        <f>IFERROR(VLOOKUP(Fix_Mapping[[#This Row],[KODE BARANG]],[1]!KINONF15[[KDBRG]:[HRG_JLMT_CTN+PPN]],13,0),0)</f>
        <v>0</v>
      </c>
      <c r="M259">
        <f>IFERROR(VLOOKUP(Fix_Mapping[[#This Row],[KODE BARANG]],[1]!KINONF15[[KDBRG]:[HRG_JLMT_CTN+PPN]],14,0),0)</f>
        <v>0</v>
      </c>
      <c r="N259">
        <f>IFERROR(VLOOKUP(Fix_Mapping[[#This Row],[KODE BARANG]],[1]!KINONF15[[KDBRG]:[HRG_JLMT_CTN+PPN]],15,0),0)</f>
        <v>0</v>
      </c>
      <c r="O259">
        <f>IFERROR(VLOOKUP(Fix_Mapping[[#This Row],[KODE BARANG]],[1]!KINONF15[[KDBRG]:[HRG_JLMT_CTN+PPN]],16,0),0)</f>
        <v>0</v>
      </c>
      <c r="P259">
        <f>IFERROR(VLOOKUP(Fix_Mapping[[#This Row],[KODE BARANG]],[1]!KINONF15[[KDBRG]:[HRG_JLMT_CTN+PPN]],17,0),0)</f>
        <v>0</v>
      </c>
      <c r="Q259">
        <f>IFERROR(VLOOKUP(Fix_Mapping[[#This Row],[KODE BARANG]],[1]!KINONF15[[KDBRG]:[HRG_JLMT_CTN+PPN]],18,0),0)</f>
        <v>0</v>
      </c>
      <c r="R259" t="s">
        <v>2555</v>
      </c>
      <c r="S259" t="s">
        <v>744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1492</v>
      </c>
      <c r="B260" t="s">
        <v>1493</v>
      </c>
      <c r="C260">
        <v>36</v>
      </c>
      <c r="D260">
        <f>IFERROR(VLOOKUP(Fix_Mapping[[#This Row],[KODE BARANG]],[1]!KINONF15[[KDBRG]:[HRG_JLMT_CTN+PPN]],5,0),0)</f>
        <v>0</v>
      </c>
      <c r="E260" t="s">
        <v>2321</v>
      </c>
      <c r="F260">
        <f>IFERROR(VLOOKUP(Fix_Mapping[[#This Row],[KODE BARANG]],[1]!KINONF15[[KDBRG]:[HRG_JLMT_CTN+PPN]],7,0),0)</f>
        <v>0</v>
      </c>
      <c r="G260">
        <f>IFERROR(VLOOKUP(Fix_Mapping[[#This Row],[KODE BARANG]],[1]!KINONF15[[KDBRG]:[HRG_JLMT_CTN+PPN]],8,0),0)</f>
        <v>0</v>
      </c>
      <c r="H260">
        <f>IFERROR(VLOOKUP(Fix_Mapping[[#This Row],[KODE BARANG]],[1]!KINONF15[[KDBRG]:[HRG_JLMT_CTN+PPN]],9,0),0)</f>
        <v>0</v>
      </c>
      <c r="I260">
        <f>IFERROR(VLOOKUP(Fix_Mapping[[#This Row],[KODE BARANG]],[1]!KINONF15[[KDBRG]:[HRG_JLMT_CTN+PPN]],10,0),0)</f>
        <v>0</v>
      </c>
      <c r="J260">
        <f>IFERROR(VLOOKUP(Fix_Mapping[[#This Row],[KODE BARANG]],[1]!KINONF15[[KDBRG]:[HRG_JLMT_CTN+PPN]],11,0),0)</f>
        <v>0</v>
      </c>
      <c r="K260">
        <f>IFERROR(VLOOKUP(Fix_Mapping[[#This Row],[KODE BARANG]],[1]!KINONF15[[KDBRG]:[HRG_JLMT_CTN+PPN]],12,0),0)</f>
        <v>0</v>
      </c>
      <c r="L260">
        <f>IFERROR(VLOOKUP(Fix_Mapping[[#This Row],[KODE BARANG]],[1]!KINONF15[[KDBRG]:[HRG_JLMT_CTN+PPN]],13,0),0)</f>
        <v>0</v>
      </c>
      <c r="M260">
        <f>IFERROR(VLOOKUP(Fix_Mapping[[#This Row],[KODE BARANG]],[1]!KINONF15[[KDBRG]:[HRG_JLMT_CTN+PPN]],14,0),0)</f>
        <v>0</v>
      </c>
      <c r="N260">
        <f>IFERROR(VLOOKUP(Fix_Mapping[[#This Row],[KODE BARANG]],[1]!KINONF15[[KDBRG]:[HRG_JLMT_CTN+PPN]],15,0),0)</f>
        <v>0</v>
      </c>
      <c r="O260">
        <f>IFERROR(VLOOKUP(Fix_Mapping[[#This Row],[KODE BARANG]],[1]!KINONF15[[KDBRG]:[HRG_JLMT_CTN+PPN]],16,0),0)</f>
        <v>0</v>
      </c>
      <c r="P260">
        <f>IFERROR(VLOOKUP(Fix_Mapping[[#This Row],[KODE BARANG]],[1]!KINONF15[[KDBRG]:[HRG_JLMT_CTN+PPN]],17,0),0)</f>
        <v>0</v>
      </c>
      <c r="Q260">
        <f>IFERROR(VLOOKUP(Fix_Mapping[[#This Row],[KODE BARANG]],[1]!KINONF15[[KDBRG]:[HRG_JLMT_CTN+PPN]],18,0),0)</f>
        <v>0</v>
      </c>
      <c r="R260" t="s">
        <v>2555</v>
      </c>
      <c r="S260" t="s">
        <v>745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1494</v>
      </c>
      <c r="B261" t="s">
        <v>1495</v>
      </c>
      <c r="C261">
        <v>36</v>
      </c>
      <c r="D261">
        <f>IFERROR(VLOOKUP(Fix_Mapping[[#This Row],[KODE BARANG]],[1]!KINONF15[[KDBRG]:[HRG_JLMT_CTN+PPN]],5,0),0)</f>
        <v>0</v>
      </c>
      <c r="E261" t="s">
        <v>2321</v>
      </c>
      <c r="F261">
        <f>IFERROR(VLOOKUP(Fix_Mapping[[#This Row],[KODE BARANG]],[1]!KINONF15[[KDBRG]:[HRG_JLMT_CTN+PPN]],7,0),0)</f>
        <v>0</v>
      </c>
      <c r="G261">
        <f>IFERROR(VLOOKUP(Fix_Mapping[[#This Row],[KODE BARANG]],[1]!KINONF15[[KDBRG]:[HRG_JLMT_CTN+PPN]],8,0),0)</f>
        <v>0</v>
      </c>
      <c r="H261">
        <f>IFERROR(VLOOKUP(Fix_Mapping[[#This Row],[KODE BARANG]],[1]!KINONF15[[KDBRG]:[HRG_JLMT_CTN+PPN]],9,0),0)</f>
        <v>0</v>
      </c>
      <c r="I261">
        <f>IFERROR(VLOOKUP(Fix_Mapping[[#This Row],[KODE BARANG]],[1]!KINONF15[[KDBRG]:[HRG_JLMT_CTN+PPN]],10,0),0)</f>
        <v>0</v>
      </c>
      <c r="J261">
        <f>IFERROR(VLOOKUP(Fix_Mapping[[#This Row],[KODE BARANG]],[1]!KINONF15[[KDBRG]:[HRG_JLMT_CTN+PPN]],11,0),0)</f>
        <v>0</v>
      </c>
      <c r="K261">
        <f>IFERROR(VLOOKUP(Fix_Mapping[[#This Row],[KODE BARANG]],[1]!KINONF15[[KDBRG]:[HRG_JLMT_CTN+PPN]],12,0),0)</f>
        <v>0</v>
      </c>
      <c r="L261">
        <f>IFERROR(VLOOKUP(Fix_Mapping[[#This Row],[KODE BARANG]],[1]!KINONF15[[KDBRG]:[HRG_JLMT_CTN+PPN]],13,0),0)</f>
        <v>0</v>
      </c>
      <c r="M261">
        <f>IFERROR(VLOOKUP(Fix_Mapping[[#This Row],[KODE BARANG]],[1]!KINONF15[[KDBRG]:[HRG_JLMT_CTN+PPN]],14,0),0)</f>
        <v>0</v>
      </c>
      <c r="N261">
        <f>IFERROR(VLOOKUP(Fix_Mapping[[#This Row],[KODE BARANG]],[1]!KINONF15[[KDBRG]:[HRG_JLMT_CTN+PPN]],15,0),0)</f>
        <v>0</v>
      </c>
      <c r="O261">
        <f>IFERROR(VLOOKUP(Fix_Mapping[[#This Row],[KODE BARANG]],[1]!KINONF15[[KDBRG]:[HRG_JLMT_CTN+PPN]],16,0),0)</f>
        <v>0</v>
      </c>
      <c r="P261">
        <f>IFERROR(VLOOKUP(Fix_Mapping[[#This Row],[KODE BARANG]],[1]!KINONF15[[KDBRG]:[HRG_JLMT_CTN+PPN]],17,0),0)</f>
        <v>0</v>
      </c>
      <c r="Q261">
        <f>IFERROR(VLOOKUP(Fix_Mapping[[#This Row],[KODE BARANG]],[1]!KINONF15[[KDBRG]:[HRG_JLMT_CTN+PPN]],18,0),0)</f>
        <v>0</v>
      </c>
      <c r="R261" t="s">
        <v>2555</v>
      </c>
      <c r="S261" t="s">
        <v>736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1496</v>
      </c>
      <c r="B262" t="s">
        <v>1497</v>
      </c>
      <c r="C262">
        <v>36</v>
      </c>
      <c r="D262">
        <f>IFERROR(VLOOKUP(Fix_Mapping[[#This Row],[KODE BARANG]],[1]!KINONF15[[KDBRG]:[HRG_JLMT_CTN+PPN]],5,0),0)</f>
        <v>0</v>
      </c>
      <c r="E262" t="s">
        <v>2321</v>
      </c>
      <c r="F262">
        <f>IFERROR(VLOOKUP(Fix_Mapping[[#This Row],[KODE BARANG]],[1]!KINONF15[[KDBRG]:[HRG_JLMT_CTN+PPN]],7,0),0)</f>
        <v>0</v>
      </c>
      <c r="G262">
        <f>IFERROR(VLOOKUP(Fix_Mapping[[#This Row],[KODE BARANG]],[1]!KINONF15[[KDBRG]:[HRG_JLMT_CTN+PPN]],8,0),0)</f>
        <v>0</v>
      </c>
      <c r="H262">
        <f>IFERROR(VLOOKUP(Fix_Mapping[[#This Row],[KODE BARANG]],[1]!KINONF15[[KDBRG]:[HRG_JLMT_CTN+PPN]],9,0),0)</f>
        <v>0</v>
      </c>
      <c r="I262">
        <f>IFERROR(VLOOKUP(Fix_Mapping[[#This Row],[KODE BARANG]],[1]!KINONF15[[KDBRG]:[HRG_JLMT_CTN+PPN]],10,0),0)</f>
        <v>0</v>
      </c>
      <c r="J262">
        <f>IFERROR(VLOOKUP(Fix_Mapping[[#This Row],[KODE BARANG]],[1]!KINONF15[[KDBRG]:[HRG_JLMT_CTN+PPN]],11,0),0)</f>
        <v>0</v>
      </c>
      <c r="K262">
        <f>IFERROR(VLOOKUP(Fix_Mapping[[#This Row],[KODE BARANG]],[1]!KINONF15[[KDBRG]:[HRG_JLMT_CTN+PPN]],12,0),0)</f>
        <v>0</v>
      </c>
      <c r="L262">
        <f>IFERROR(VLOOKUP(Fix_Mapping[[#This Row],[KODE BARANG]],[1]!KINONF15[[KDBRG]:[HRG_JLMT_CTN+PPN]],13,0),0)</f>
        <v>0</v>
      </c>
      <c r="M262">
        <f>IFERROR(VLOOKUP(Fix_Mapping[[#This Row],[KODE BARANG]],[1]!KINONF15[[KDBRG]:[HRG_JLMT_CTN+PPN]],14,0),0)</f>
        <v>0</v>
      </c>
      <c r="N262">
        <f>IFERROR(VLOOKUP(Fix_Mapping[[#This Row],[KODE BARANG]],[1]!KINONF15[[KDBRG]:[HRG_JLMT_CTN+PPN]],15,0),0)</f>
        <v>0</v>
      </c>
      <c r="O262">
        <f>IFERROR(VLOOKUP(Fix_Mapping[[#This Row],[KODE BARANG]],[1]!KINONF15[[KDBRG]:[HRG_JLMT_CTN+PPN]],16,0),0)</f>
        <v>0</v>
      </c>
      <c r="P262">
        <f>IFERROR(VLOOKUP(Fix_Mapping[[#This Row],[KODE BARANG]],[1]!KINONF15[[KDBRG]:[HRG_JLMT_CTN+PPN]],17,0),0)</f>
        <v>0</v>
      </c>
      <c r="Q262">
        <f>IFERROR(VLOOKUP(Fix_Mapping[[#This Row],[KODE BARANG]],[1]!KINONF15[[KDBRG]:[HRG_JLMT_CTN+PPN]],18,0),0)</f>
        <v>0</v>
      </c>
      <c r="R262" t="s">
        <v>2555</v>
      </c>
      <c r="S262" t="s">
        <v>737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1498</v>
      </c>
      <c r="B263" t="s">
        <v>1499</v>
      </c>
      <c r="C263">
        <v>36</v>
      </c>
      <c r="D263">
        <f>IFERROR(VLOOKUP(Fix_Mapping[[#This Row],[KODE BARANG]],[1]!KINONF15[[KDBRG]:[HRG_JLMT_CTN+PPN]],5,0),0)</f>
        <v>0</v>
      </c>
      <c r="E263" t="s">
        <v>2321</v>
      </c>
      <c r="F263">
        <f>IFERROR(VLOOKUP(Fix_Mapping[[#This Row],[KODE BARANG]],[1]!KINONF15[[KDBRG]:[HRG_JLMT_CTN+PPN]],7,0),0)</f>
        <v>0</v>
      </c>
      <c r="G263">
        <f>IFERROR(VLOOKUP(Fix_Mapping[[#This Row],[KODE BARANG]],[1]!KINONF15[[KDBRG]:[HRG_JLMT_CTN+PPN]],8,0),0)</f>
        <v>0</v>
      </c>
      <c r="H263">
        <f>IFERROR(VLOOKUP(Fix_Mapping[[#This Row],[KODE BARANG]],[1]!KINONF15[[KDBRG]:[HRG_JLMT_CTN+PPN]],9,0),0)</f>
        <v>0</v>
      </c>
      <c r="I263">
        <f>IFERROR(VLOOKUP(Fix_Mapping[[#This Row],[KODE BARANG]],[1]!KINONF15[[KDBRG]:[HRG_JLMT_CTN+PPN]],10,0),0)</f>
        <v>0</v>
      </c>
      <c r="J263">
        <f>IFERROR(VLOOKUP(Fix_Mapping[[#This Row],[KODE BARANG]],[1]!KINONF15[[KDBRG]:[HRG_JLMT_CTN+PPN]],11,0),0)</f>
        <v>0</v>
      </c>
      <c r="K263">
        <f>IFERROR(VLOOKUP(Fix_Mapping[[#This Row],[KODE BARANG]],[1]!KINONF15[[KDBRG]:[HRG_JLMT_CTN+PPN]],12,0),0)</f>
        <v>0</v>
      </c>
      <c r="L263">
        <f>IFERROR(VLOOKUP(Fix_Mapping[[#This Row],[KODE BARANG]],[1]!KINONF15[[KDBRG]:[HRG_JLMT_CTN+PPN]],13,0),0)</f>
        <v>0</v>
      </c>
      <c r="M263">
        <f>IFERROR(VLOOKUP(Fix_Mapping[[#This Row],[KODE BARANG]],[1]!KINONF15[[KDBRG]:[HRG_JLMT_CTN+PPN]],14,0),0)</f>
        <v>0</v>
      </c>
      <c r="N263">
        <f>IFERROR(VLOOKUP(Fix_Mapping[[#This Row],[KODE BARANG]],[1]!KINONF15[[KDBRG]:[HRG_JLMT_CTN+PPN]],15,0),0)</f>
        <v>0</v>
      </c>
      <c r="O263">
        <f>IFERROR(VLOOKUP(Fix_Mapping[[#This Row],[KODE BARANG]],[1]!KINONF15[[KDBRG]:[HRG_JLMT_CTN+PPN]],16,0),0)</f>
        <v>0</v>
      </c>
      <c r="P263">
        <f>IFERROR(VLOOKUP(Fix_Mapping[[#This Row],[KODE BARANG]],[1]!KINONF15[[KDBRG]:[HRG_JLMT_CTN+PPN]],17,0),0)</f>
        <v>0</v>
      </c>
      <c r="Q263">
        <f>IFERROR(VLOOKUP(Fix_Mapping[[#This Row],[KODE BARANG]],[1]!KINONF15[[KDBRG]:[HRG_JLMT_CTN+PPN]],18,0),0)</f>
        <v>0</v>
      </c>
      <c r="R263" t="s">
        <v>2555</v>
      </c>
      <c r="S263" t="s">
        <v>748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1500</v>
      </c>
      <c r="B264" t="s">
        <v>1501</v>
      </c>
      <c r="C264">
        <v>36</v>
      </c>
      <c r="D264">
        <f>IFERROR(VLOOKUP(Fix_Mapping[[#This Row],[KODE BARANG]],[1]!KINONF15[[KDBRG]:[HRG_JLMT_CTN+PPN]],5,0),0)</f>
        <v>0</v>
      </c>
      <c r="E264" t="s">
        <v>2321</v>
      </c>
      <c r="F264">
        <f>IFERROR(VLOOKUP(Fix_Mapping[[#This Row],[KODE BARANG]],[1]!KINONF15[[KDBRG]:[HRG_JLMT_CTN+PPN]],7,0),0)</f>
        <v>0</v>
      </c>
      <c r="G264">
        <f>IFERROR(VLOOKUP(Fix_Mapping[[#This Row],[KODE BARANG]],[1]!KINONF15[[KDBRG]:[HRG_JLMT_CTN+PPN]],8,0),0)</f>
        <v>0</v>
      </c>
      <c r="H264">
        <f>IFERROR(VLOOKUP(Fix_Mapping[[#This Row],[KODE BARANG]],[1]!KINONF15[[KDBRG]:[HRG_JLMT_CTN+PPN]],9,0),0)</f>
        <v>0</v>
      </c>
      <c r="I264">
        <f>IFERROR(VLOOKUP(Fix_Mapping[[#This Row],[KODE BARANG]],[1]!KINONF15[[KDBRG]:[HRG_JLMT_CTN+PPN]],10,0),0)</f>
        <v>0</v>
      </c>
      <c r="J264">
        <f>IFERROR(VLOOKUP(Fix_Mapping[[#This Row],[KODE BARANG]],[1]!KINONF15[[KDBRG]:[HRG_JLMT_CTN+PPN]],11,0),0)</f>
        <v>0</v>
      </c>
      <c r="K264">
        <f>IFERROR(VLOOKUP(Fix_Mapping[[#This Row],[KODE BARANG]],[1]!KINONF15[[KDBRG]:[HRG_JLMT_CTN+PPN]],12,0),0)</f>
        <v>0</v>
      </c>
      <c r="L264">
        <f>IFERROR(VLOOKUP(Fix_Mapping[[#This Row],[KODE BARANG]],[1]!KINONF15[[KDBRG]:[HRG_JLMT_CTN+PPN]],13,0),0)</f>
        <v>0</v>
      </c>
      <c r="M264">
        <f>IFERROR(VLOOKUP(Fix_Mapping[[#This Row],[KODE BARANG]],[1]!KINONF15[[KDBRG]:[HRG_JLMT_CTN+PPN]],14,0),0)</f>
        <v>0</v>
      </c>
      <c r="N264">
        <f>IFERROR(VLOOKUP(Fix_Mapping[[#This Row],[KODE BARANG]],[1]!KINONF15[[KDBRG]:[HRG_JLMT_CTN+PPN]],15,0),0)</f>
        <v>0</v>
      </c>
      <c r="O264">
        <f>IFERROR(VLOOKUP(Fix_Mapping[[#This Row],[KODE BARANG]],[1]!KINONF15[[KDBRG]:[HRG_JLMT_CTN+PPN]],16,0),0)</f>
        <v>0</v>
      </c>
      <c r="P264">
        <f>IFERROR(VLOOKUP(Fix_Mapping[[#This Row],[KODE BARANG]],[1]!KINONF15[[KDBRG]:[HRG_JLMT_CTN+PPN]],17,0),0)</f>
        <v>0</v>
      </c>
      <c r="Q264">
        <f>IFERROR(VLOOKUP(Fix_Mapping[[#This Row],[KODE BARANG]],[1]!KINONF15[[KDBRG]:[HRG_JLMT_CTN+PPN]],18,0),0)</f>
        <v>0</v>
      </c>
      <c r="R264" t="s">
        <v>2555</v>
      </c>
      <c r="S264" t="s">
        <v>749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1502</v>
      </c>
      <c r="B265" t="s">
        <v>1503</v>
      </c>
      <c r="C265">
        <v>36</v>
      </c>
      <c r="D265">
        <f>IFERROR(VLOOKUP(Fix_Mapping[[#This Row],[KODE BARANG]],[1]!KINONF15[[KDBRG]:[HRG_JLMT_CTN+PPN]],5,0),0)</f>
        <v>0</v>
      </c>
      <c r="E265" t="s">
        <v>2321</v>
      </c>
      <c r="F265">
        <f>IFERROR(VLOOKUP(Fix_Mapping[[#This Row],[KODE BARANG]],[1]!KINONF15[[KDBRG]:[HRG_JLMT_CTN+PPN]],7,0),0)</f>
        <v>0</v>
      </c>
      <c r="G265">
        <f>IFERROR(VLOOKUP(Fix_Mapping[[#This Row],[KODE BARANG]],[1]!KINONF15[[KDBRG]:[HRG_JLMT_CTN+PPN]],8,0),0)</f>
        <v>0</v>
      </c>
      <c r="H265">
        <f>IFERROR(VLOOKUP(Fix_Mapping[[#This Row],[KODE BARANG]],[1]!KINONF15[[KDBRG]:[HRG_JLMT_CTN+PPN]],9,0),0)</f>
        <v>0</v>
      </c>
      <c r="I265">
        <f>IFERROR(VLOOKUP(Fix_Mapping[[#This Row],[KODE BARANG]],[1]!KINONF15[[KDBRG]:[HRG_JLMT_CTN+PPN]],10,0),0)</f>
        <v>0</v>
      </c>
      <c r="J265">
        <f>IFERROR(VLOOKUP(Fix_Mapping[[#This Row],[KODE BARANG]],[1]!KINONF15[[KDBRG]:[HRG_JLMT_CTN+PPN]],11,0),0)</f>
        <v>0</v>
      </c>
      <c r="K265">
        <f>IFERROR(VLOOKUP(Fix_Mapping[[#This Row],[KODE BARANG]],[1]!KINONF15[[KDBRG]:[HRG_JLMT_CTN+PPN]],12,0),0)</f>
        <v>0</v>
      </c>
      <c r="L265">
        <f>IFERROR(VLOOKUP(Fix_Mapping[[#This Row],[KODE BARANG]],[1]!KINONF15[[KDBRG]:[HRG_JLMT_CTN+PPN]],13,0),0)</f>
        <v>0</v>
      </c>
      <c r="M265">
        <f>IFERROR(VLOOKUP(Fix_Mapping[[#This Row],[KODE BARANG]],[1]!KINONF15[[KDBRG]:[HRG_JLMT_CTN+PPN]],14,0),0)</f>
        <v>0</v>
      </c>
      <c r="N265">
        <f>IFERROR(VLOOKUP(Fix_Mapping[[#This Row],[KODE BARANG]],[1]!KINONF15[[KDBRG]:[HRG_JLMT_CTN+PPN]],15,0),0)</f>
        <v>0</v>
      </c>
      <c r="O265">
        <f>IFERROR(VLOOKUP(Fix_Mapping[[#This Row],[KODE BARANG]],[1]!KINONF15[[KDBRG]:[HRG_JLMT_CTN+PPN]],16,0),0)</f>
        <v>0</v>
      </c>
      <c r="P265">
        <f>IFERROR(VLOOKUP(Fix_Mapping[[#This Row],[KODE BARANG]],[1]!KINONF15[[KDBRG]:[HRG_JLMT_CTN+PPN]],17,0),0)</f>
        <v>0</v>
      </c>
      <c r="Q265">
        <f>IFERROR(VLOOKUP(Fix_Mapping[[#This Row],[KODE BARANG]],[1]!KINONF15[[KDBRG]:[HRG_JLMT_CTN+PPN]],18,0),0)</f>
        <v>0</v>
      </c>
      <c r="R265" t="s">
        <v>2555</v>
      </c>
      <c r="S265" t="s">
        <v>738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1504</v>
      </c>
      <c r="B266" t="s">
        <v>1505</v>
      </c>
      <c r="C266">
        <v>36</v>
      </c>
      <c r="D266">
        <f>IFERROR(VLOOKUP(Fix_Mapping[[#This Row],[KODE BARANG]],[1]!KINONF15[[KDBRG]:[HRG_JLMT_CTN+PPN]],5,0),0)</f>
        <v>0</v>
      </c>
      <c r="E266" t="s">
        <v>2321</v>
      </c>
      <c r="F266">
        <f>IFERROR(VLOOKUP(Fix_Mapping[[#This Row],[KODE BARANG]],[1]!KINONF15[[KDBRG]:[HRG_JLMT_CTN+PPN]],7,0),0)</f>
        <v>0</v>
      </c>
      <c r="G266">
        <f>IFERROR(VLOOKUP(Fix_Mapping[[#This Row],[KODE BARANG]],[1]!KINONF15[[KDBRG]:[HRG_JLMT_CTN+PPN]],8,0),0)</f>
        <v>0</v>
      </c>
      <c r="H266">
        <f>IFERROR(VLOOKUP(Fix_Mapping[[#This Row],[KODE BARANG]],[1]!KINONF15[[KDBRG]:[HRG_JLMT_CTN+PPN]],9,0),0)</f>
        <v>0</v>
      </c>
      <c r="I266">
        <f>IFERROR(VLOOKUP(Fix_Mapping[[#This Row],[KODE BARANG]],[1]!KINONF15[[KDBRG]:[HRG_JLMT_CTN+PPN]],10,0),0)</f>
        <v>0</v>
      </c>
      <c r="J266">
        <f>IFERROR(VLOOKUP(Fix_Mapping[[#This Row],[KODE BARANG]],[1]!KINONF15[[KDBRG]:[HRG_JLMT_CTN+PPN]],11,0),0)</f>
        <v>0</v>
      </c>
      <c r="K266">
        <f>IFERROR(VLOOKUP(Fix_Mapping[[#This Row],[KODE BARANG]],[1]!KINONF15[[KDBRG]:[HRG_JLMT_CTN+PPN]],12,0),0)</f>
        <v>0</v>
      </c>
      <c r="L266">
        <f>IFERROR(VLOOKUP(Fix_Mapping[[#This Row],[KODE BARANG]],[1]!KINONF15[[KDBRG]:[HRG_JLMT_CTN+PPN]],13,0),0)</f>
        <v>0</v>
      </c>
      <c r="M266">
        <f>IFERROR(VLOOKUP(Fix_Mapping[[#This Row],[KODE BARANG]],[1]!KINONF15[[KDBRG]:[HRG_JLMT_CTN+PPN]],14,0),0)</f>
        <v>0</v>
      </c>
      <c r="N266">
        <f>IFERROR(VLOOKUP(Fix_Mapping[[#This Row],[KODE BARANG]],[1]!KINONF15[[KDBRG]:[HRG_JLMT_CTN+PPN]],15,0),0)</f>
        <v>0</v>
      </c>
      <c r="O266">
        <f>IFERROR(VLOOKUP(Fix_Mapping[[#This Row],[KODE BARANG]],[1]!KINONF15[[KDBRG]:[HRG_JLMT_CTN+PPN]],16,0),0)</f>
        <v>0</v>
      </c>
      <c r="P266">
        <f>IFERROR(VLOOKUP(Fix_Mapping[[#This Row],[KODE BARANG]],[1]!KINONF15[[KDBRG]:[HRG_JLMT_CTN+PPN]],17,0),0)</f>
        <v>0</v>
      </c>
      <c r="Q266">
        <f>IFERROR(VLOOKUP(Fix_Mapping[[#This Row],[KODE BARANG]],[1]!KINONF15[[KDBRG]:[HRG_JLMT_CTN+PPN]],18,0),0)</f>
        <v>0</v>
      </c>
      <c r="R266" t="s">
        <v>2555</v>
      </c>
      <c r="S266" t="s">
        <v>739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1506</v>
      </c>
      <c r="B267" t="s">
        <v>1507</v>
      </c>
      <c r="C267">
        <v>36</v>
      </c>
      <c r="D267">
        <f>IFERROR(VLOOKUP(Fix_Mapping[[#This Row],[KODE BARANG]],[1]!KINONF15[[KDBRG]:[HRG_JLMT_CTN+PPN]],5,0),0)</f>
        <v>0</v>
      </c>
      <c r="E267" t="s">
        <v>2321</v>
      </c>
      <c r="F267">
        <f>IFERROR(VLOOKUP(Fix_Mapping[[#This Row],[KODE BARANG]],[1]!KINONF15[[KDBRG]:[HRG_JLMT_CTN+PPN]],7,0),0)</f>
        <v>0</v>
      </c>
      <c r="G267">
        <f>IFERROR(VLOOKUP(Fix_Mapping[[#This Row],[KODE BARANG]],[1]!KINONF15[[KDBRG]:[HRG_JLMT_CTN+PPN]],8,0),0)</f>
        <v>0</v>
      </c>
      <c r="H267">
        <f>IFERROR(VLOOKUP(Fix_Mapping[[#This Row],[KODE BARANG]],[1]!KINONF15[[KDBRG]:[HRG_JLMT_CTN+PPN]],9,0),0)</f>
        <v>0</v>
      </c>
      <c r="I267">
        <f>IFERROR(VLOOKUP(Fix_Mapping[[#This Row],[KODE BARANG]],[1]!KINONF15[[KDBRG]:[HRG_JLMT_CTN+PPN]],10,0),0)</f>
        <v>0</v>
      </c>
      <c r="J267">
        <f>IFERROR(VLOOKUP(Fix_Mapping[[#This Row],[KODE BARANG]],[1]!KINONF15[[KDBRG]:[HRG_JLMT_CTN+PPN]],11,0),0)</f>
        <v>0</v>
      </c>
      <c r="K267">
        <f>IFERROR(VLOOKUP(Fix_Mapping[[#This Row],[KODE BARANG]],[1]!KINONF15[[KDBRG]:[HRG_JLMT_CTN+PPN]],12,0),0)</f>
        <v>0</v>
      </c>
      <c r="L267">
        <f>IFERROR(VLOOKUP(Fix_Mapping[[#This Row],[KODE BARANG]],[1]!KINONF15[[KDBRG]:[HRG_JLMT_CTN+PPN]],13,0),0)</f>
        <v>0</v>
      </c>
      <c r="M267">
        <f>IFERROR(VLOOKUP(Fix_Mapping[[#This Row],[KODE BARANG]],[1]!KINONF15[[KDBRG]:[HRG_JLMT_CTN+PPN]],14,0),0)</f>
        <v>0</v>
      </c>
      <c r="N267">
        <f>IFERROR(VLOOKUP(Fix_Mapping[[#This Row],[KODE BARANG]],[1]!KINONF15[[KDBRG]:[HRG_JLMT_CTN+PPN]],15,0),0)</f>
        <v>0</v>
      </c>
      <c r="O267">
        <f>IFERROR(VLOOKUP(Fix_Mapping[[#This Row],[KODE BARANG]],[1]!KINONF15[[KDBRG]:[HRG_JLMT_CTN+PPN]],16,0),0)</f>
        <v>0</v>
      </c>
      <c r="P267">
        <f>IFERROR(VLOOKUP(Fix_Mapping[[#This Row],[KODE BARANG]],[1]!KINONF15[[KDBRG]:[HRG_JLMT_CTN+PPN]],17,0),0)</f>
        <v>0</v>
      </c>
      <c r="Q267">
        <f>IFERROR(VLOOKUP(Fix_Mapping[[#This Row],[KODE BARANG]],[1]!KINONF15[[KDBRG]:[HRG_JLMT_CTN+PPN]],18,0),0)</f>
        <v>0</v>
      </c>
      <c r="R267" t="s">
        <v>2555</v>
      </c>
      <c r="S267" t="s">
        <v>746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1508</v>
      </c>
      <c r="B268" t="s">
        <v>1509</v>
      </c>
      <c r="C268">
        <v>36</v>
      </c>
      <c r="D268">
        <f>IFERROR(VLOOKUP(Fix_Mapping[[#This Row],[KODE BARANG]],[1]!KINONF15[[KDBRG]:[HRG_JLMT_CTN+PPN]],5,0),0)</f>
        <v>0</v>
      </c>
      <c r="E268" t="s">
        <v>2321</v>
      </c>
      <c r="F268">
        <f>IFERROR(VLOOKUP(Fix_Mapping[[#This Row],[KODE BARANG]],[1]!KINONF15[[KDBRG]:[HRG_JLMT_CTN+PPN]],7,0),0)</f>
        <v>0</v>
      </c>
      <c r="G268">
        <f>IFERROR(VLOOKUP(Fix_Mapping[[#This Row],[KODE BARANG]],[1]!KINONF15[[KDBRG]:[HRG_JLMT_CTN+PPN]],8,0),0)</f>
        <v>0</v>
      </c>
      <c r="H268">
        <f>IFERROR(VLOOKUP(Fix_Mapping[[#This Row],[KODE BARANG]],[1]!KINONF15[[KDBRG]:[HRG_JLMT_CTN+PPN]],9,0),0)</f>
        <v>0</v>
      </c>
      <c r="I268">
        <f>IFERROR(VLOOKUP(Fix_Mapping[[#This Row],[KODE BARANG]],[1]!KINONF15[[KDBRG]:[HRG_JLMT_CTN+PPN]],10,0),0)</f>
        <v>0</v>
      </c>
      <c r="J268">
        <f>IFERROR(VLOOKUP(Fix_Mapping[[#This Row],[KODE BARANG]],[1]!KINONF15[[KDBRG]:[HRG_JLMT_CTN+PPN]],11,0),0)</f>
        <v>0</v>
      </c>
      <c r="K268">
        <f>IFERROR(VLOOKUP(Fix_Mapping[[#This Row],[KODE BARANG]],[1]!KINONF15[[KDBRG]:[HRG_JLMT_CTN+PPN]],12,0),0)</f>
        <v>0</v>
      </c>
      <c r="L268">
        <f>IFERROR(VLOOKUP(Fix_Mapping[[#This Row],[KODE BARANG]],[1]!KINONF15[[KDBRG]:[HRG_JLMT_CTN+PPN]],13,0),0)</f>
        <v>0</v>
      </c>
      <c r="M268">
        <f>IFERROR(VLOOKUP(Fix_Mapping[[#This Row],[KODE BARANG]],[1]!KINONF15[[KDBRG]:[HRG_JLMT_CTN+PPN]],14,0),0)</f>
        <v>0</v>
      </c>
      <c r="N268">
        <f>IFERROR(VLOOKUP(Fix_Mapping[[#This Row],[KODE BARANG]],[1]!KINONF15[[KDBRG]:[HRG_JLMT_CTN+PPN]],15,0),0)</f>
        <v>0</v>
      </c>
      <c r="O268">
        <f>IFERROR(VLOOKUP(Fix_Mapping[[#This Row],[KODE BARANG]],[1]!KINONF15[[KDBRG]:[HRG_JLMT_CTN+PPN]],16,0),0)</f>
        <v>0</v>
      </c>
      <c r="P268">
        <f>IFERROR(VLOOKUP(Fix_Mapping[[#This Row],[KODE BARANG]],[1]!KINONF15[[KDBRG]:[HRG_JLMT_CTN+PPN]],17,0),0)</f>
        <v>0</v>
      </c>
      <c r="Q268">
        <f>IFERROR(VLOOKUP(Fix_Mapping[[#This Row],[KODE BARANG]],[1]!KINONF15[[KDBRG]:[HRG_JLMT_CTN+PPN]],18,0),0)</f>
        <v>0</v>
      </c>
      <c r="R268" t="s">
        <v>2555</v>
      </c>
      <c r="S268" t="s">
        <v>747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1510</v>
      </c>
      <c r="B269" t="s">
        <v>1511</v>
      </c>
      <c r="C269">
        <v>36</v>
      </c>
      <c r="D269">
        <f>IFERROR(VLOOKUP(Fix_Mapping[[#This Row],[KODE BARANG]],[1]!KINONF15[[KDBRG]:[HRG_JLMT_CTN+PPN]],5,0),0)</f>
        <v>0</v>
      </c>
      <c r="E269" t="s">
        <v>2321</v>
      </c>
      <c r="F269">
        <f>IFERROR(VLOOKUP(Fix_Mapping[[#This Row],[KODE BARANG]],[1]!KINONF15[[KDBRG]:[HRG_JLMT_CTN+PPN]],7,0),0)</f>
        <v>0</v>
      </c>
      <c r="G269">
        <f>IFERROR(VLOOKUP(Fix_Mapping[[#This Row],[KODE BARANG]],[1]!KINONF15[[KDBRG]:[HRG_JLMT_CTN+PPN]],8,0),0)</f>
        <v>0</v>
      </c>
      <c r="H269">
        <f>IFERROR(VLOOKUP(Fix_Mapping[[#This Row],[KODE BARANG]],[1]!KINONF15[[KDBRG]:[HRG_JLMT_CTN+PPN]],9,0),0)</f>
        <v>0</v>
      </c>
      <c r="I269">
        <f>IFERROR(VLOOKUP(Fix_Mapping[[#This Row],[KODE BARANG]],[1]!KINONF15[[KDBRG]:[HRG_JLMT_CTN+PPN]],10,0),0)</f>
        <v>0</v>
      </c>
      <c r="J269">
        <f>IFERROR(VLOOKUP(Fix_Mapping[[#This Row],[KODE BARANG]],[1]!KINONF15[[KDBRG]:[HRG_JLMT_CTN+PPN]],11,0),0)</f>
        <v>0</v>
      </c>
      <c r="K269">
        <f>IFERROR(VLOOKUP(Fix_Mapping[[#This Row],[KODE BARANG]],[1]!KINONF15[[KDBRG]:[HRG_JLMT_CTN+PPN]],12,0),0)</f>
        <v>0</v>
      </c>
      <c r="L269">
        <f>IFERROR(VLOOKUP(Fix_Mapping[[#This Row],[KODE BARANG]],[1]!KINONF15[[KDBRG]:[HRG_JLMT_CTN+PPN]],13,0),0)</f>
        <v>0</v>
      </c>
      <c r="M269">
        <f>IFERROR(VLOOKUP(Fix_Mapping[[#This Row],[KODE BARANG]],[1]!KINONF15[[KDBRG]:[HRG_JLMT_CTN+PPN]],14,0),0)</f>
        <v>0</v>
      </c>
      <c r="N269">
        <f>IFERROR(VLOOKUP(Fix_Mapping[[#This Row],[KODE BARANG]],[1]!KINONF15[[KDBRG]:[HRG_JLMT_CTN+PPN]],15,0),0)</f>
        <v>0</v>
      </c>
      <c r="O269">
        <f>IFERROR(VLOOKUP(Fix_Mapping[[#This Row],[KODE BARANG]],[1]!KINONF15[[KDBRG]:[HRG_JLMT_CTN+PPN]],16,0),0)</f>
        <v>0</v>
      </c>
      <c r="P269">
        <f>IFERROR(VLOOKUP(Fix_Mapping[[#This Row],[KODE BARANG]],[1]!KINONF15[[KDBRG]:[HRG_JLMT_CTN+PPN]],17,0),0)</f>
        <v>0</v>
      </c>
      <c r="Q269">
        <f>IFERROR(VLOOKUP(Fix_Mapping[[#This Row],[KODE BARANG]],[1]!KINONF15[[KDBRG]:[HRG_JLMT_CTN+PPN]],18,0),0)</f>
        <v>0</v>
      </c>
      <c r="R269" t="s">
        <v>2555</v>
      </c>
      <c r="S269" t="s">
        <v>742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1512</v>
      </c>
      <c r="B270" t="s">
        <v>1513</v>
      </c>
      <c r="C270">
        <v>36</v>
      </c>
      <c r="D270">
        <f>IFERROR(VLOOKUP(Fix_Mapping[[#This Row],[KODE BARANG]],[1]!KINONF15[[KDBRG]:[HRG_JLMT_CTN+PPN]],5,0),0)</f>
        <v>0</v>
      </c>
      <c r="E270" t="s">
        <v>2321</v>
      </c>
      <c r="F270">
        <f>IFERROR(VLOOKUP(Fix_Mapping[[#This Row],[KODE BARANG]],[1]!KINONF15[[KDBRG]:[HRG_JLMT_CTN+PPN]],7,0),0)</f>
        <v>0</v>
      </c>
      <c r="G270">
        <f>IFERROR(VLOOKUP(Fix_Mapping[[#This Row],[KODE BARANG]],[1]!KINONF15[[KDBRG]:[HRG_JLMT_CTN+PPN]],8,0),0)</f>
        <v>0</v>
      </c>
      <c r="H270">
        <f>IFERROR(VLOOKUP(Fix_Mapping[[#This Row],[KODE BARANG]],[1]!KINONF15[[KDBRG]:[HRG_JLMT_CTN+PPN]],9,0),0)</f>
        <v>0</v>
      </c>
      <c r="I270">
        <f>IFERROR(VLOOKUP(Fix_Mapping[[#This Row],[KODE BARANG]],[1]!KINONF15[[KDBRG]:[HRG_JLMT_CTN+PPN]],10,0),0)</f>
        <v>0</v>
      </c>
      <c r="J270">
        <f>IFERROR(VLOOKUP(Fix_Mapping[[#This Row],[KODE BARANG]],[1]!KINONF15[[KDBRG]:[HRG_JLMT_CTN+PPN]],11,0),0)</f>
        <v>0</v>
      </c>
      <c r="K270">
        <f>IFERROR(VLOOKUP(Fix_Mapping[[#This Row],[KODE BARANG]],[1]!KINONF15[[KDBRG]:[HRG_JLMT_CTN+PPN]],12,0),0)</f>
        <v>0</v>
      </c>
      <c r="L270">
        <f>IFERROR(VLOOKUP(Fix_Mapping[[#This Row],[KODE BARANG]],[1]!KINONF15[[KDBRG]:[HRG_JLMT_CTN+PPN]],13,0),0)</f>
        <v>0</v>
      </c>
      <c r="M270">
        <f>IFERROR(VLOOKUP(Fix_Mapping[[#This Row],[KODE BARANG]],[1]!KINONF15[[KDBRG]:[HRG_JLMT_CTN+PPN]],14,0),0)</f>
        <v>0</v>
      </c>
      <c r="N270">
        <f>IFERROR(VLOOKUP(Fix_Mapping[[#This Row],[KODE BARANG]],[1]!KINONF15[[KDBRG]:[HRG_JLMT_CTN+PPN]],15,0),0)</f>
        <v>0</v>
      </c>
      <c r="O270">
        <f>IFERROR(VLOOKUP(Fix_Mapping[[#This Row],[KODE BARANG]],[1]!KINONF15[[KDBRG]:[HRG_JLMT_CTN+PPN]],16,0),0)</f>
        <v>0</v>
      </c>
      <c r="P270">
        <f>IFERROR(VLOOKUP(Fix_Mapping[[#This Row],[KODE BARANG]],[1]!KINONF15[[KDBRG]:[HRG_JLMT_CTN+PPN]],17,0),0)</f>
        <v>0</v>
      </c>
      <c r="Q270">
        <f>IFERROR(VLOOKUP(Fix_Mapping[[#This Row],[KODE BARANG]],[1]!KINONF15[[KDBRG]:[HRG_JLMT_CTN+PPN]],18,0),0)</f>
        <v>0</v>
      </c>
      <c r="R270" t="s">
        <v>2555</v>
      </c>
      <c r="S270" t="s">
        <v>743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1514</v>
      </c>
      <c r="B271" t="s">
        <v>1515</v>
      </c>
      <c r="C271">
        <v>36</v>
      </c>
      <c r="D271">
        <f>IFERROR(VLOOKUP(Fix_Mapping[[#This Row],[KODE BARANG]],[1]!KINONF15[[KDBRG]:[HRG_JLMT_CTN+PPN]],5,0),0)</f>
        <v>0</v>
      </c>
      <c r="E271" t="s">
        <v>2321</v>
      </c>
      <c r="F271">
        <f>IFERROR(VLOOKUP(Fix_Mapping[[#This Row],[KODE BARANG]],[1]!KINONF15[[KDBRG]:[HRG_JLMT_CTN+PPN]],7,0),0)</f>
        <v>0</v>
      </c>
      <c r="G271">
        <f>IFERROR(VLOOKUP(Fix_Mapping[[#This Row],[KODE BARANG]],[1]!KINONF15[[KDBRG]:[HRG_JLMT_CTN+PPN]],8,0),0)</f>
        <v>0</v>
      </c>
      <c r="H271">
        <f>IFERROR(VLOOKUP(Fix_Mapping[[#This Row],[KODE BARANG]],[1]!KINONF15[[KDBRG]:[HRG_JLMT_CTN+PPN]],9,0),0)</f>
        <v>0</v>
      </c>
      <c r="I271">
        <f>IFERROR(VLOOKUP(Fix_Mapping[[#This Row],[KODE BARANG]],[1]!KINONF15[[KDBRG]:[HRG_JLMT_CTN+PPN]],10,0),0)</f>
        <v>0</v>
      </c>
      <c r="J271">
        <f>IFERROR(VLOOKUP(Fix_Mapping[[#This Row],[KODE BARANG]],[1]!KINONF15[[KDBRG]:[HRG_JLMT_CTN+PPN]],11,0),0)</f>
        <v>0</v>
      </c>
      <c r="K271">
        <f>IFERROR(VLOOKUP(Fix_Mapping[[#This Row],[KODE BARANG]],[1]!KINONF15[[KDBRG]:[HRG_JLMT_CTN+PPN]],12,0),0)</f>
        <v>0</v>
      </c>
      <c r="L271">
        <f>IFERROR(VLOOKUP(Fix_Mapping[[#This Row],[KODE BARANG]],[1]!KINONF15[[KDBRG]:[HRG_JLMT_CTN+PPN]],13,0),0)</f>
        <v>0</v>
      </c>
      <c r="M271">
        <f>IFERROR(VLOOKUP(Fix_Mapping[[#This Row],[KODE BARANG]],[1]!KINONF15[[KDBRG]:[HRG_JLMT_CTN+PPN]],14,0),0)</f>
        <v>0</v>
      </c>
      <c r="N271">
        <f>IFERROR(VLOOKUP(Fix_Mapping[[#This Row],[KODE BARANG]],[1]!KINONF15[[KDBRG]:[HRG_JLMT_CTN+PPN]],15,0),0)</f>
        <v>0</v>
      </c>
      <c r="O271">
        <f>IFERROR(VLOOKUP(Fix_Mapping[[#This Row],[KODE BARANG]],[1]!KINONF15[[KDBRG]:[HRG_JLMT_CTN+PPN]],16,0),0)</f>
        <v>0</v>
      </c>
      <c r="P271">
        <f>IFERROR(VLOOKUP(Fix_Mapping[[#This Row],[KODE BARANG]],[1]!KINONF15[[KDBRG]:[HRG_JLMT_CTN+PPN]],17,0),0)</f>
        <v>0</v>
      </c>
      <c r="Q271">
        <f>IFERROR(VLOOKUP(Fix_Mapping[[#This Row],[KODE BARANG]],[1]!KINONF15[[KDBRG]:[HRG_JLMT_CTN+PPN]],18,0),0)</f>
        <v>0</v>
      </c>
      <c r="R271" t="s">
        <v>2555</v>
      </c>
      <c r="S271" t="s">
        <v>740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1516</v>
      </c>
      <c r="B272" t="s">
        <v>1517</v>
      </c>
      <c r="C272">
        <v>36</v>
      </c>
      <c r="D272">
        <f>IFERROR(VLOOKUP(Fix_Mapping[[#This Row],[KODE BARANG]],[1]!KINONF15[[KDBRG]:[HRG_JLMT_CTN+PPN]],5,0),0)</f>
        <v>0</v>
      </c>
      <c r="E272" t="s">
        <v>2321</v>
      </c>
      <c r="F272">
        <f>IFERROR(VLOOKUP(Fix_Mapping[[#This Row],[KODE BARANG]],[1]!KINONF15[[KDBRG]:[HRG_JLMT_CTN+PPN]],7,0),0)</f>
        <v>0</v>
      </c>
      <c r="G272">
        <f>IFERROR(VLOOKUP(Fix_Mapping[[#This Row],[KODE BARANG]],[1]!KINONF15[[KDBRG]:[HRG_JLMT_CTN+PPN]],8,0),0)</f>
        <v>0</v>
      </c>
      <c r="H272">
        <f>IFERROR(VLOOKUP(Fix_Mapping[[#This Row],[KODE BARANG]],[1]!KINONF15[[KDBRG]:[HRG_JLMT_CTN+PPN]],9,0),0)</f>
        <v>0</v>
      </c>
      <c r="I272">
        <f>IFERROR(VLOOKUP(Fix_Mapping[[#This Row],[KODE BARANG]],[1]!KINONF15[[KDBRG]:[HRG_JLMT_CTN+PPN]],10,0),0)</f>
        <v>0</v>
      </c>
      <c r="J272">
        <f>IFERROR(VLOOKUP(Fix_Mapping[[#This Row],[KODE BARANG]],[1]!KINONF15[[KDBRG]:[HRG_JLMT_CTN+PPN]],11,0),0)</f>
        <v>0</v>
      </c>
      <c r="K272">
        <f>IFERROR(VLOOKUP(Fix_Mapping[[#This Row],[KODE BARANG]],[1]!KINONF15[[KDBRG]:[HRG_JLMT_CTN+PPN]],12,0),0)</f>
        <v>0</v>
      </c>
      <c r="L272">
        <f>IFERROR(VLOOKUP(Fix_Mapping[[#This Row],[KODE BARANG]],[1]!KINONF15[[KDBRG]:[HRG_JLMT_CTN+PPN]],13,0),0)</f>
        <v>0</v>
      </c>
      <c r="M272">
        <f>IFERROR(VLOOKUP(Fix_Mapping[[#This Row],[KODE BARANG]],[1]!KINONF15[[KDBRG]:[HRG_JLMT_CTN+PPN]],14,0),0)</f>
        <v>0</v>
      </c>
      <c r="N272">
        <f>IFERROR(VLOOKUP(Fix_Mapping[[#This Row],[KODE BARANG]],[1]!KINONF15[[KDBRG]:[HRG_JLMT_CTN+PPN]],15,0),0)</f>
        <v>0</v>
      </c>
      <c r="O272">
        <f>IFERROR(VLOOKUP(Fix_Mapping[[#This Row],[KODE BARANG]],[1]!KINONF15[[KDBRG]:[HRG_JLMT_CTN+PPN]],16,0),0)</f>
        <v>0</v>
      </c>
      <c r="P272">
        <f>IFERROR(VLOOKUP(Fix_Mapping[[#This Row],[KODE BARANG]],[1]!KINONF15[[KDBRG]:[HRG_JLMT_CTN+PPN]],17,0),0)</f>
        <v>0</v>
      </c>
      <c r="Q272">
        <f>IFERROR(VLOOKUP(Fix_Mapping[[#This Row],[KODE BARANG]],[1]!KINONF15[[KDBRG]:[HRG_JLMT_CTN+PPN]],18,0),0)</f>
        <v>0</v>
      </c>
      <c r="R272" t="s">
        <v>2555</v>
      </c>
      <c r="S272" t="s">
        <v>741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1518</v>
      </c>
      <c r="B273" t="s">
        <v>1519</v>
      </c>
      <c r="C273">
        <v>36</v>
      </c>
      <c r="D273">
        <f>IFERROR(VLOOKUP(Fix_Mapping[[#This Row],[KODE BARANG]],[1]!KINONF15[[KDBRG]:[HRG_JLMT_CTN+PPN]],5,0),0)</f>
        <v>0</v>
      </c>
      <c r="E273" t="s">
        <v>2323</v>
      </c>
      <c r="F273">
        <f>IFERROR(VLOOKUP(Fix_Mapping[[#This Row],[KODE BARANG]],[1]!KINONF15[[KDBRG]:[HRG_JLMT_CTN+PPN]],7,0),0)</f>
        <v>0</v>
      </c>
      <c r="G273">
        <f>IFERROR(VLOOKUP(Fix_Mapping[[#This Row],[KODE BARANG]],[1]!KINONF15[[KDBRG]:[HRG_JLMT_CTN+PPN]],8,0),0)</f>
        <v>0</v>
      </c>
      <c r="H273">
        <f>IFERROR(VLOOKUP(Fix_Mapping[[#This Row],[KODE BARANG]],[1]!KINONF15[[KDBRG]:[HRG_JLMT_CTN+PPN]],9,0),0)</f>
        <v>0</v>
      </c>
      <c r="I273">
        <f>IFERROR(VLOOKUP(Fix_Mapping[[#This Row],[KODE BARANG]],[1]!KINONF15[[KDBRG]:[HRG_JLMT_CTN+PPN]],10,0),0)</f>
        <v>0</v>
      </c>
      <c r="J273">
        <f>IFERROR(VLOOKUP(Fix_Mapping[[#This Row],[KODE BARANG]],[1]!KINONF15[[KDBRG]:[HRG_JLMT_CTN+PPN]],11,0),0)</f>
        <v>0</v>
      </c>
      <c r="K273">
        <f>IFERROR(VLOOKUP(Fix_Mapping[[#This Row],[KODE BARANG]],[1]!KINONF15[[KDBRG]:[HRG_JLMT_CTN+PPN]],12,0),0)</f>
        <v>0</v>
      </c>
      <c r="L273">
        <f>IFERROR(VLOOKUP(Fix_Mapping[[#This Row],[KODE BARANG]],[1]!KINONF15[[KDBRG]:[HRG_JLMT_CTN+PPN]],13,0),0)</f>
        <v>0</v>
      </c>
      <c r="M273">
        <f>IFERROR(VLOOKUP(Fix_Mapping[[#This Row],[KODE BARANG]],[1]!KINONF15[[KDBRG]:[HRG_JLMT_CTN+PPN]],14,0),0)</f>
        <v>0</v>
      </c>
      <c r="N273">
        <f>IFERROR(VLOOKUP(Fix_Mapping[[#This Row],[KODE BARANG]],[1]!KINONF15[[KDBRG]:[HRG_JLMT_CTN+PPN]],15,0),0)</f>
        <v>0</v>
      </c>
      <c r="O273">
        <f>IFERROR(VLOOKUP(Fix_Mapping[[#This Row],[KODE BARANG]],[1]!KINONF15[[KDBRG]:[HRG_JLMT_CTN+PPN]],16,0),0)</f>
        <v>0</v>
      </c>
      <c r="P273">
        <f>IFERROR(VLOOKUP(Fix_Mapping[[#This Row],[KODE BARANG]],[1]!KINONF15[[KDBRG]:[HRG_JLMT_CTN+PPN]],17,0),0)</f>
        <v>0</v>
      </c>
      <c r="Q273">
        <f>IFERROR(VLOOKUP(Fix_Mapping[[#This Row],[KODE BARANG]],[1]!KINONF15[[KDBRG]:[HRG_JLMT_CTN+PPN]],18,0),0)</f>
        <v>0</v>
      </c>
      <c r="R273" t="s">
        <v>2555</v>
      </c>
      <c r="S273" t="s">
        <v>734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1520</v>
      </c>
      <c r="B274" t="s">
        <v>1521</v>
      </c>
      <c r="C274">
        <v>36</v>
      </c>
      <c r="D274">
        <f>IFERROR(VLOOKUP(Fix_Mapping[[#This Row],[KODE BARANG]],[1]!KINONF15[[KDBRG]:[HRG_JLMT_CTN+PPN]],5,0),0)</f>
        <v>0</v>
      </c>
      <c r="E274" t="s">
        <v>2323</v>
      </c>
      <c r="F274">
        <f>IFERROR(VLOOKUP(Fix_Mapping[[#This Row],[KODE BARANG]],[1]!KINONF15[[KDBRG]:[HRG_JLMT_CTN+PPN]],7,0),0)</f>
        <v>0</v>
      </c>
      <c r="G274">
        <f>IFERROR(VLOOKUP(Fix_Mapping[[#This Row],[KODE BARANG]],[1]!KINONF15[[KDBRG]:[HRG_JLMT_CTN+PPN]],8,0),0)</f>
        <v>0</v>
      </c>
      <c r="H274">
        <f>IFERROR(VLOOKUP(Fix_Mapping[[#This Row],[KODE BARANG]],[1]!KINONF15[[KDBRG]:[HRG_JLMT_CTN+PPN]],9,0),0)</f>
        <v>0</v>
      </c>
      <c r="I274">
        <f>IFERROR(VLOOKUP(Fix_Mapping[[#This Row],[KODE BARANG]],[1]!KINONF15[[KDBRG]:[HRG_JLMT_CTN+PPN]],10,0),0)</f>
        <v>0</v>
      </c>
      <c r="J274">
        <f>IFERROR(VLOOKUP(Fix_Mapping[[#This Row],[KODE BARANG]],[1]!KINONF15[[KDBRG]:[HRG_JLMT_CTN+PPN]],11,0),0)</f>
        <v>0</v>
      </c>
      <c r="K274">
        <f>IFERROR(VLOOKUP(Fix_Mapping[[#This Row],[KODE BARANG]],[1]!KINONF15[[KDBRG]:[HRG_JLMT_CTN+PPN]],12,0),0)</f>
        <v>0</v>
      </c>
      <c r="L274">
        <f>IFERROR(VLOOKUP(Fix_Mapping[[#This Row],[KODE BARANG]],[1]!KINONF15[[KDBRG]:[HRG_JLMT_CTN+PPN]],13,0),0)</f>
        <v>0</v>
      </c>
      <c r="M274">
        <f>IFERROR(VLOOKUP(Fix_Mapping[[#This Row],[KODE BARANG]],[1]!KINONF15[[KDBRG]:[HRG_JLMT_CTN+PPN]],14,0),0)</f>
        <v>0</v>
      </c>
      <c r="N274">
        <f>IFERROR(VLOOKUP(Fix_Mapping[[#This Row],[KODE BARANG]],[1]!KINONF15[[KDBRG]:[HRG_JLMT_CTN+PPN]],15,0),0)</f>
        <v>0</v>
      </c>
      <c r="O274">
        <f>IFERROR(VLOOKUP(Fix_Mapping[[#This Row],[KODE BARANG]],[1]!KINONF15[[KDBRG]:[HRG_JLMT_CTN+PPN]],16,0),0)</f>
        <v>0</v>
      </c>
      <c r="P274">
        <f>IFERROR(VLOOKUP(Fix_Mapping[[#This Row],[KODE BARANG]],[1]!KINONF15[[KDBRG]:[HRG_JLMT_CTN+PPN]],17,0),0)</f>
        <v>0</v>
      </c>
      <c r="Q274">
        <f>IFERROR(VLOOKUP(Fix_Mapping[[#This Row],[KODE BARANG]],[1]!KINONF15[[KDBRG]:[HRG_JLMT_CTN+PPN]],18,0),0)</f>
        <v>0</v>
      </c>
      <c r="R274" t="s">
        <v>2555</v>
      </c>
      <c r="S274" t="s">
        <v>726</v>
      </c>
      <c r="T274" t="s">
        <v>727</v>
      </c>
      <c r="U274">
        <v>0</v>
      </c>
      <c r="V274">
        <v>0</v>
      </c>
      <c r="W274">
        <v>0</v>
      </c>
    </row>
    <row r="275" spans="1:23">
      <c r="A275" t="s">
        <v>1522</v>
      </c>
      <c r="B275" t="s">
        <v>1523</v>
      </c>
      <c r="C275">
        <v>36</v>
      </c>
      <c r="D275">
        <f>IFERROR(VLOOKUP(Fix_Mapping[[#This Row],[KODE BARANG]],[1]!KINONF15[[KDBRG]:[HRG_JLMT_CTN+PPN]],5,0),0)</f>
        <v>0</v>
      </c>
      <c r="E275" t="s">
        <v>2323</v>
      </c>
      <c r="F275">
        <f>IFERROR(VLOOKUP(Fix_Mapping[[#This Row],[KODE BARANG]],[1]!KINONF15[[KDBRG]:[HRG_JLMT_CTN+PPN]],7,0),0)</f>
        <v>0</v>
      </c>
      <c r="G275">
        <f>IFERROR(VLOOKUP(Fix_Mapping[[#This Row],[KODE BARANG]],[1]!KINONF15[[KDBRG]:[HRG_JLMT_CTN+PPN]],8,0),0)</f>
        <v>0</v>
      </c>
      <c r="H275">
        <f>IFERROR(VLOOKUP(Fix_Mapping[[#This Row],[KODE BARANG]],[1]!KINONF15[[KDBRG]:[HRG_JLMT_CTN+PPN]],9,0),0)</f>
        <v>0</v>
      </c>
      <c r="I275">
        <f>IFERROR(VLOOKUP(Fix_Mapping[[#This Row],[KODE BARANG]],[1]!KINONF15[[KDBRG]:[HRG_JLMT_CTN+PPN]],10,0),0)</f>
        <v>0</v>
      </c>
      <c r="J275">
        <f>IFERROR(VLOOKUP(Fix_Mapping[[#This Row],[KODE BARANG]],[1]!KINONF15[[KDBRG]:[HRG_JLMT_CTN+PPN]],11,0),0)</f>
        <v>0</v>
      </c>
      <c r="K275">
        <f>IFERROR(VLOOKUP(Fix_Mapping[[#This Row],[KODE BARANG]],[1]!KINONF15[[KDBRG]:[HRG_JLMT_CTN+PPN]],12,0),0)</f>
        <v>0</v>
      </c>
      <c r="L275">
        <f>IFERROR(VLOOKUP(Fix_Mapping[[#This Row],[KODE BARANG]],[1]!KINONF15[[KDBRG]:[HRG_JLMT_CTN+PPN]],13,0),0)</f>
        <v>0</v>
      </c>
      <c r="M275">
        <f>IFERROR(VLOOKUP(Fix_Mapping[[#This Row],[KODE BARANG]],[1]!KINONF15[[KDBRG]:[HRG_JLMT_CTN+PPN]],14,0),0)</f>
        <v>0</v>
      </c>
      <c r="N275">
        <f>IFERROR(VLOOKUP(Fix_Mapping[[#This Row],[KODE BARANG]],[1]!KINONF15[[KDBRG]:[HRG_JLMT_CTN+PPN]],15,0),0)</f>
        <v>0</v>
      </c>
      <c r="O275">
        <f>IFERROR(VLOOKUP(Fix_Mapping[[#This Row],[KODE BARANG]],[1]!KINONF15[[KDBRG]:[HRG_JLMT_CTN+PPN]],16,0),0)</f>
        <v>0</v>
      </c>
      <c r="P275">
        <f>IFERROR(VLOOKUP(Fix_Mapping[[#This Row],[KODE BARANG]],[1]!KINONF15[[KDBRG]:[HRG_JLMT_CTN+PPN]],17,0),0)</f>
        <v>0</v>
      </c>
      <c r="Q275">
        <f>IFERROR(VLOOKUP(Fix_Mapping[[#This Row],[KODE BARANG]],[1]!KINONF15[[KDBRG]:[HRG_JLMT_CTN+PPN]],18,0),0)</f>
        <v>0</v>
      </c>
      <c r="R275" t="s">
        <v>2555</v>
      </c>
      <c r="S275" t="s">
        <v>750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1524</v>
      </c>
      <c r="B276" t="s">
        <v>1525</v>
      </c>
      <c r="C276">
        <v>36</v>
      </c>
      <c r="D276">
        <f>IFERROR(VLOOKUP(Fix_Mapping[[#This Row],[KODE BARANG]],[1]!KINONF15[[KDBRG]:[HRG_JLMT_CTN+PPN]],5,0),0)</f>
        <v>0</v>
      </c>
      <c r="E276" t="s">
        <v>2323</v>
      </c>
      <c r="F276">
        <f>IFERROR(VLOOKUP(Fix_Mapping[[#This Row],[KODE BARANG]],[1]!KINONF15[[KDBRG]:[HRG_JLMT_CTN+PPN]],7,0),0)</f>
        <v>0</v>
      </c>
      <c r="G276">
        <f>IFERROR(VLOOKUP(Fix_Mapping[[#This Row],[KODE BARANG]],[1]!KINONF15[[KDBRG]:[HRG_JLMT_CTN+PPN]],8,0),0)</f>
        <v>0</v>
      </c>
      <c r="H276">
        <f>IFERROR(VLOOKUP(Fix_Mapping[[#This Row],[KODE BARANG]],[1]!KINONF15[[KDBRG]:[HRG_JLMT_CTN+PPN]],9,0),0)</f>
        <v>0</v>
      </c>
      <c r="I276">
        <f>IFERROR(VLOOKUP(Fix_Mapping[[#This Row],[KODE BARANG]],[1]!KINONF15[[KDBRG]:[HRG_JLMT_CTN+PPN]],10,0),0)</f>
        <v>0</v>
      </c>
      <c r="J276">
        <f>IFERROR(VLOOKUP(Fix_Mapping[[#This Row],[KODE BARANG]],[1]!KINONF15[[KDBRG]:[HRG_JLMT_CTN+PPN]],11,0),0)</f>
        <v>0</v>
      </c>
      <c r="K276">
        <f>IFERROR(VLOOKUP(Fix_Mapping[[#This Row],[KODE BARANG]],[1]!KINONF15[[KDBRG]:[HRG_JLMT_CTN+PPN]],12,0),0)</f>
        <v>0</v>
      </c>
      <c r="L276">
        <f>IFERROR(VLOOKUP(Fix_Mapping[[#This Row],[KODE BARANG]],[1]!KINONF15[[KDBRG]:[HRG_JLMT_CTN+PPN]],13,0),0)</f>
        <v>0</v>
      </c>
      <c r="M276">
        <f>IFERROR(VLOOKUP(Fix_Mapping[[#This Row],[KODE BARANG]],[1]!KINONF15[[KDBRG]:[HRG_JLMT_CTN+PPN]],14,0),0)</f>
        <v>0</v>
      </c>
      <c r="N276">
        <f>IFERROR(VLOOKUP(Fix_Mapping[[#This Row],[KODE BARANG]],[1]!KINONF15[[KDBRG]:[HRG_JLMT_CTN+PPN]],15,0),0)</f>
        <v>0</v>
      </c>
      <c r="O276">
        <f>IFERROR(VLOOKUP(Fix_Mapping[[#This Row],[KODE BARANG]],[1]!KINONF15[[KDBRG]:[HRG_JLMT_CTN+PPN]],16,0),0)</f>
        <v>0</v>
      </c>
      <c r="P276">
        <f>IFERROR(VLOOKUP(Fix_Mapping[[#This Row],[KODE BARANG]],[1]!KINONF15[[KDBRG]:[HRG_JLMT_CTN+PPN]],17,0),0)</f>
        <v>0</v>
      </c>
      <c r="Q276">
        <f>IFERROR(VLOOKUP(Fix_Mapping[[#This Row],[KODE BARANG]],[1]!KINONF15[[KDBRG]:[HRG_JLMT_CTN+PPN]],18,0),0)</f>
        <v>0</v>
      </c>
      <c r="R276" t="s">
        <v>2555</v>
      </c>
      <c r="S276" t="s">
        <v>728</v>
      </c>
      <c r="T276" t="s">
        <v>729</v>
      </c>
      <c r="U276">
        <v>0</v>
      </c>
      <c r="V276">
        <v>0</v>
      </c>
      <c r="W276">
        <v>0</v>
      </c>
    </row>
    <row r="277" spans="1:23">
      <c r="A277" t="s">
        <v>1526</v>
      </c>
      <c r="B277" t="s">
        <v>1527</v>
      </c>
      <c r="C277">
        <v>36</v>
      </c>
      <c r="D277">
        <f>IFERROR(VLOOKUP(Fix_Mapping[[#This Row],[KODE BARANG]],[1]!KINONF15[[KDBRG]:[HRG_JLMT_CTN+PPN]],5,0),0)</f>
        <v>0</v>
      </c>
      <c r="E277" t="s">
        <v>2323</v>
      </c>
      <c r="F277">
        <f>IFERROR(VLOOKUP(Fix_Mapping[[#This Row],[KODE BARANG]],[1]!KINONF15[[KDBRG]:[HRG_JLMT_CTN+PPN]],7,0),0)</f>
        <v>0</v>
      </c>
      <c r="G277">
        <f>IFERROR(VLOOKUP(Fix_Mapping[[#This Row],[KODE BARANG]],[1]!KINONF15[[KDBRG]:[HRG_JLMT_CTN+PPN]],8,0),0)</f>
        <v>0</v>
      </c>
      <c r="H277">
        <f>IFERROR(VLOOKUP(Fix_Mapping[[#This Row],[KODE BARANG]],[1]!KINONF15[[KDBRG]:[HRG_JLMT_CTN+PPN]],9,0),0)</f>
        <v>0</v>
      </c>
      <c r="I277">
        <f>IFERROR(VLOOKUP(Fix_Mapping[[#This Row],[KODE BARANG]],[1]!KINONF15[[KDBRG]:[HRG_JLMT_CTN+PPN]],10,0),0)</f>
        <v>0</v>
      </c>
      <c r="J277">
        <f>IFERROR(VLOOKUP(Fix_Mapping[[#This Row],[KODE BARANG]],[1]!KINONF15[[KDBRG]:[HRG_JLMT_CTN+PPN]],11,0),0)</f>
        <v>0</v>
      </c>
      <c r="K277">
        <f>IFERROR(VLOOKUP(Fix_Mapping[[#This Row],[KODE BARANG]],[1]!KINONF15[[KDBRG]:[HRG_JLMT_CTN+PPN]],12,0),0)</f>
        <v>0</v>
      </c>
      <c r="L277">
        <f>IFERROR(VLOOKUP(Fix_Mapping[[#This Row],[KODE BARANG]],[1]!KINONF15[[KDBRG]:[HRG_JLMT_CTN+PPN]],13,0),0)</f>
        <v>0</v>
      </c>
      <c r="M277">
        <f>IFERROR(VLOOKUP(Fix_Mapping[[#This Row],[KODE BARANG]],[1]!KINONF15[[KDBRG]:[HRG_JLMT_CTN+PPN]],14,0),0)</f>
        <v>0</v>
      </c>
      <c r="N277">
        <f>IFERROR(VLOOKUP(Fix_Mapping[[#This Row],[KODE BARANG]],[1]!KINONF15[[KDBRG]:[HRG_JLMT_CTN+PPN]],15,0),0)</f>
        <v>0</v>
      </c>
      <c r="O277">
        <f>IFERROR(VLOOKUP(Fix_Mapping[[#This Row],[KODE BARANG]],[1]!KINONF15[[KDBRG]:[HRG_JLMT_CTN+PPN]],16,0),0)</f>
        <v>0</v>
      </c>
      <c r="P277">
        <f>IFERROR(VLOOKUP(Fix_Mapping[[#This Row],[KODE BARANG]],[1]!KINONF15[[KDBRG]:[HRG_JLMT_CTN+PPN]],17,0),0)</f>
        <v>0</v>
      </c>
      <c r="Q277">
        <f>IFERROR(VLOOKUP(Fix_Mapping[[#This Row],[KODE BARANG]],[1]!KINONF15[[KDBRG]:[HRG_JLMT_CTN+PPN]],18,0),0)</f>
        <v>0</v>
      </c>
      <c r="R277" t="s">
        <v>2555</v>
      </c>
      <c r="S277" t="s">
        <v>685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1528</v>
      </c>
      <c r="B278" t="s">
        <v>1529</v>
      </c>
      <c r="C278">
        <v>36</v>
      </c>
      <c r="D278">
        <f>IFERROR(VLOOKUP(Fix_Mapping[[#This Row],[KODE BARANG]],[1]!KINONF15[[KDBRG]:[HRG_JLMT_CTN+PPN]],5,0),0)</f>
        <v>0</v>
      </c>
      <c r="E278" t="s">
        <v>2323</v>
      </c>
      <c r="F278">
        <f>IFERROR(VLOOKUP(Fix_Mapping[[#This Row],[KODE BARANG]],[1]!KINONF15[[KDBRG]:[HRG_JLMT_CTN+PPN]],7,0),0)</f>
        <v>0</v>
      </c>
      <c r="G278">
        <f>IFERROR(VLOOKUP(Fix_Mapping[[#This Row],[KODE BARANG]],[1]!KINONF15[[KDBRG]:[HRG_JLMT_CTN+PPN]],8,0),0)</f>
        <v>0</v>
      </c>
      <c r="H278">
        <f>IFERROR(VLOOKUP(Fix_Mapping[[#This Row],[KODE BARANG]],[1]!KINONF15[[KDBRG]:[HRG_JLMT_CTN+PPN]],9,0),0)</f>
        <v>0</v>
      </c>
      <c r="I278">
        <f>IFERROR(VLOOKUP(Fix_Mapping[[#This Row],[KODE BARANG]],[1]!KINONF15[[KDBRG]:[HRG_JLMT_CTN+PPN]],10,0),0)</f>
        <v>0</v>
      </c>
      <c r="J278">
        <f>IFERROR(VLOOKUP(Fix_Mapping[[#This Row],[KODE BARANG]],[1]!KINONF15[[KDBRG]:[HRG_JLMT_CTN+PPN]],11,0),0)</f>
        <v>0</v>
      </c>
      <c r="K278">
        <f>IFERROR(VLOOKUP(Fix_Mapping[[#This Row],[KODE BARANG]],[1]!KINONF15[[KDBRG]:[HRG_JLMT_CTN+PPN]],12,0),0)</f>
        <v>0</v>
      </c>
      <c r="L278">
        <f>IFERROR(VLOOKUP(Fix_Mapping[[#This Row],[KODE BARANG]],[1]!KINONF15[[KDBRG]:[HRG_JLMT_CTN+PPN]],13,0),0)</f>
        <v>0</v>
      </c>
      <c r="M278">
        <f>IFERROR(VLOOKUP(Fix_Mapping[[#This Row],[KODE BARANG]],[1]!KINONF15[[KDBRG]:[HRG_JLMT_CTN+PPN]],14,0),0)</f>
        <v>0</v>
      </c>
      <c r="N278">
        <f>IFERROR(VLOOKUP(Fix_Mapping[[#This Row],[KODE BARANG]],[1]!KINONF15[[KDBRG]:[HRG_JLMT_CTN+PPN]],15,0),0)</f>
        <v>0</v>
      </c>
      <c r="O278">
        <f>IFERROR(VLOOKUP(Fix_Mapping[[#This Row],[KODE BARANG]],[1]!KINONF15[[KDBRG]:[HRG_JLMT_CTN+PPN]],16,0),0)</f>
        <v>0</v>
      </c>
      <c r="P278">
        <f>IFERROR(VLOOKUP(Fix_Mapping[[#This Row],[KODE BARANG]],[1]!KINONF15[[KDBRG]:[HRG_JLMT_CTN+PPN]],17,0),0)</f>
        <v>0</v>
      </c>
      <c r="Q278">
        <f>IFERROR(VLOOKUP(Fix_Mapping[[#This Row],[KODE BARANG]],[1]!KINONF15[[KDBRG]:[HRG_JLMT_CTN+PPN]],18,0),0)</f>
        <v>0</v>
      </c>
      <c r="R278" t="s">
        <v>2555</v>
      </c>
      <c r="S278" t="s">
        <v>686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1530</v>
      </c>
      <c r="B279" t="s">
        <v>1531</v>
      </c>
      <c r="C279">
        <v>36</v>
      </c>
      <c r="D279">
        <f>IFERROR(VLOOKUP(Fix_Mapping[[#This Row],[KODE BARANG]],[1]!KINONF15[[KDBRG]:[HRG_JLMT_CTN+PPN]],5,0),0)</f>
        <v>0</v>
      </c>
      <c r="E279" t="s">
        <v>2323</v>
      </c>
      <c r="F279">
        <f>IFERROR(VLOOKUP(Fix_Mapping[[#This Row],[KODE BARANG]],[1]!KINONF15[[KDBRG]:[HRG_JLMT_CTN+PPN]],7,0),0)</f>
        <v>0</v>
      </c>
      <c r="G279">
        <f>IFERROR(VLOOKUP(Fix_Mapping[[#This Row],[KODE BARANG]],[1]!KINONF15[[KDBRG]:[HRG_JLMT_CTN+PPN]],8,0),0)</f>
        <v>0</v>
      </c>
      <c r="H279">
        <f>IFERROR(VLOOKUP(Fix_Mapping[[#This Row],[KODE BARANG]],[1]!KINONF15[[KDBRG]:[HRG_JLMT_CTN+PPN]],9,0),0)</f>
        <v>0</v>
      </c>
      <c r="I279">
        <f>IFERROR(VLOOKUP(Fix_Mapping[[#This Row],[KODE BARANG]],[1]!KINONF15[[KDBRG]:[HRG_JLMT_CTN+PPN]],10,0),0)</f>
        <v>0</v>
      </c>
      <c r="J279">
        <f>IFERROR(VLOOKUP(Fix_Mapping[[#This Row],[KODE BARANG]],[1]!KINONF15[[KDBRG]:[HRG_JLMT_CTN+PPN]],11,0),0)</f>
        <v>0</v>
      </c>
      <c r="K279">
        <f>IFERROR(VLOOKUP(Fix_Mapping[[#This Row],[KODE BARANG]],[1]!KINONF15[[KDBRG]:[HRG_JLMT_CTN+PPN]],12,0),0)</f>
        <v>0</v>
      </c>
      <c r="L279">
        <f>IFERROR(VLOOKUP(Fix_Mapping[[#This Row],[KODE BARANG]],[1]!KINONF15[[KDBRG]:[HRG_JLMT_CTN+PPN]],13,0),0)</f>
        <v>0</v>
      </c>
      <c r="M279">
        <f>IFERROR(VLOOKUP(Fix_Mapping[[#This Row],[KODE BARANG]],[1]!KINONF15[[KDBRG]:[HRG_JLMT_CTN+PPN]],14,0),0)</f>
        <v>0</v>
      </c>
      <c r="N279">
        <f>IFERROR(VLOOKUP(Fix_Mapping[[#This Row],[KODE BARANG]],[1]!KINONF15[[KDBRG]:[HRG_JLMT_CTN+PPN]],15,0),0)</f>
        <v>0</v>
      </c>
      <c r="O279">
        <f>IFERROR(VLOOKUP(Fix_Mapping[[#This Row],[KODE BARANG]],[1]!KINONF15[[KDBRG]:[HRG_JLMT_CTN+PPN]],16,0),0)</f>
        <v>0</v>
      </c>
      <c r="P279">
        <f>IFERROR(VLOOKUP(Fix_Mapping[[#This Row],[KODE BARANG]],[1]!KINONF15[[KDBRG]:[HRG_JLMT_CTN+PPN]],17,0),0)</f>
        <v>0</v>
      </c>
      <c r="Q279">
        <f>IFERROR(VLOOKUP(Fix_Mapping[[#This Row],[KODE BARANG]],[1]!KINONF15[[KDBRG]:[HRG_JLMT_CTN+PPN]],18,0),0)</f>
        <v>0</v>
      </c>
      <c r="R279" t="s">
        <v>2555</v>
      </c>
      <c r="S279" t="s">
        <v>735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1532</v>
      </c>
      <c r="B280" t="s">
        <v>1533</v>
      </c>
      <c r="C280">
        <v>36</v>
      </c>
      <c r="D280">
        <f>IFERROR(VLOOKUP(Fix_Mapping[[#This Row],[KODE BARANG]],[1]!KINONF15[[KDBRG]:[HRG_JLMT_CTN+PPN]],5,0),0)</f>
        <v>0</v>
      </c>
      <c r="E280" t="s">
        <v>2323</v>
      </c>
      <c r="F280">
        <f>IFERROR(VLOOKUP(Fix_Mapping[[#This Row],[KODE BARANG]],[1]!KINONF15[[KDBRG]:[HRG_JLMT_CTN+PPN]],7,0),0)</f>
        <v>0</v>
      </c>
      <c r="G280">
        <f>IFERROR(VLOOKUP(Fix_Mapping[[#This Row],[KODE BARANG]],[1]!KINONF15[[KDBRG]:[HRG_JLMT_CTN+PPN]],8,0),0)</f>
        <v>0</v>
      </c>
      <c r="H280">
        <f>IFERROR(VLOOKUP(Fix_Mapping[[#This Row],[KODE BARANG]],[1]!KINONF15[[KDBRG]:[HRG_JLMT_CTN+PPN]],9,0),0)</f>
        <v>0</v>
      </c>
      <c r="I280">
        <f>IFERROR(VLOOKUP(Fix_Mapping[[#This Row],[KODE BARANG]],[1]!KINONF15[[KDBRG]:[HRG_JLMT_CTN+PPN]],10,0),0)</f>
        <v>0</v>
      </c>
      <c r="J280">
        <f>IFERROR(VLOOKUP(Fix_Mapping[[#This Row],[KODE BARANG]],[1]!KINONF15[[KDBRG]:[HRG_JLMT_CTN+PPN]],11,0),0)</f>
        <v>0</v>
      </c>
      <c r="K280">
        <f>IFERROR(VLOOKUP(Fix_Mapping[[#This Row],[KODE BARANG]],[1]!KINONF15[[KDBRG]:[HRG_JLMT_CTN+PPN]],12,0),0)</f>
        <v>0</v>
      </c>
      <c r="L280">
        <f>IFERROR(VLOOKUP(Fix_Mapping[[#This Row],[KODE BARANG]],[1]!KINONF15[[KDBRG]:[HRG_JLMT_CTN+PPN]],13,0),0)</f>
        <v>0</v>
      </c>
      <c r="M280">
        <f>IFERROR(VLOOKUP(Fix_Mapping[[#This Row],[KODE BARANG]],[1]!KINONF15[[KDBRG]:[HRG_JLMT_CTN+PPN]],14,0),0)</f>
        <v>0</v>
      </c>
      <c r="N280">
        <f>IFERROR(VLOOKUP(Fix_Mapping[[#This Row],[KODE BARANG]],[1]!KINONF15[[KDBRG]:[HRG_JLMT_CTN+PPN]],15,0),0)</f>
        <v>0</v>
      </c>
      <c r="O280">
        <f>IFERROR(VLOOKUP(Fix_Mapping[[#This Row],[KODE BARANG]],[1]!KINONF15[[KDBRG]:[HRG_JLMT_CTN+PPN]],16,0),0)</f>
        <v>0</v>
      </c>
      <c r="P280">
        <f>IFERROR(VLOOKUP(Fix_Mapping[[#This Row],[KODE BARANG]],[1]!KINONF15[[KDBRG]:[HRG_JLMT_CTN+PPN]],17,0),0)</f>
        <v>0</v>
      </c>
      <c r="Q280">
        <f>IFERROR(VLOOKUP(Fix_Mapping[[#This Row],[KODE BARANG]],[1]!KINONF15[[KDBRG]:[HRG_JLMT_CTN+PPN]],18,0),0)</f>
        <v>0</v>
      </c>
      <c r="R280" t="s">
        <v>2555</v>
      </c>
      <c r="S280" t="s">
        <v>687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1534</v>
      </c>
      <c r="B281" t="s">
        <v>1535</v>
      </c>
      <c r="C281">
        <v>36</v>
      </c>
      <c r="D281">
        <f>IFERROR(VLOOKUP(Fix_Mapping[[#This Row],[KODE BARANG]],[1]!KINONF15[[KDBRG]:[HRG_JLMT_CTN+PPN]],5,0),0)</f>
        <v>0</v>
      </c>
      <c r="E281" t="s">
        <v>2323</v>
      </c>
      <c r="F281">
        <f>IFERROR(VLOOKUP(Fix_Mapping[[#This Row],[KODE BARANG]],[1]!KINONF15[[KDBRG]:[HRG_JLMT_CTN+PPN]],7,0),0)</f>
        <v>0</v>
      </c>
      <c r="G281">
        <f>IFERROR(VLOOKUP(Fix_Mapping[[#This Row],[KODE BARANG]],[1]!KINONF15[[KDBRG]:[HRG_JLMT_CTN+PPN]],8,0),0)</f>
        <v>0</v>
      </c>
      <c r="H281">
        <f>IFERROR(VLOOKUP(Fix_Mapping[[#This Row],[KODE BARANG]],[1]!KINONF15[[KDBRG]:[HRG_JLMT_CTN+PPN]],9,0),0)</f>
        <v>0</v>
      </c>
      <c r="I281">
        <f>IFERROR(VLOOKUP(Fix_Mapping[[#This Row],[KODE BARANG]],[1]!KINONF15[[KDBRG]:[HRG_JLMT_CTN+PPN]],10,0),0)</f>
        <v>0</v>
      </c>
      <c r="J281">
        <f>IFERROR(VLOOKUP(Fix_Mapping[[#This Row],[KODE BARANG]],[1]!KINONF15[[KDBRG]:[HRG_JLMT_CTN+PPN]],11,0),0)</f>
        <v>0</v>
      </c>
      <c r="K281">
        <f>IFERROR(VLOOKUP(Fix_Mapping[[#This Row],[KODE BARANG]],[1]!KINONF15[[KDBRG]:[HRG_JLMT_CTN+PPN]],12,0),0)</f>
        <v>0</v>
      </c>
      <c r="L281">
        <f>IFERROR(VLOOKUP(Fix_Mapping[[#This Row],[KODE BARANG]],[1]!KINONF15[[KDBRG]:[HRG_JLMT_CTN+PPN]],13,0),0)</f>
        <v>0</v>
      </c>
      <c r="M281">
        <f>IFERROR(VLOOKUP(Fix_Mapping[[#This Row],[KODE BARANG]],[1]!KINONF15[[KDBRG]:[HRG_JLMT_CTN+PPN]],14,0),0)</f>
        <v>0</v>
      </c>
      <c r="N281">
        <f>IFERROR(VLOOKUP(Fix_Mapping[[#This Row],[KODE BARANG]],[1]!KINONF15[[KDBRG]:[HRG_JLMT_CTN+PPN]],15,0),0)</f>
        <v>0</v>
      </c>
      <c r="O281">
        <f>IFERROR(VLOOKUP(Fix_Mapping[[#This Row],[KODE BARANG]],[1]!KINONF15[[KDBRG]:[HRG_JLMT_CTN+PPN]],16,0),0)</f>
        <v>0</v>
      </c>
      <c r="P281">
        <f>IFERROR(VLOOKUP(Fix_Mapping[[#This Row],[KODE BARANG]],[1]!KINONF15[[KDBRG]:[HRG_JLMT_CTN+PPN]],17,0),0)</f>
        <v>0</v>
      </c>
      <c r="Q281">
        <f>IFERROR(VLOOKUP(Fix_Mapping[[#This Row],[KODE BARANG]],[1]!KINONF15[[KDBRG]:[HRG_JLMT_CTN+PPN]],18,0),0)</f>
        <v>0</v>
      </c>
      <c r="R281" t="s">
        <v>2555</v>
      </c>
      <c r="S281" t="s">
        <v>688</v>
      </c>
      <c r="T281">
        <v>0</v>
      </c>
      <c r="U281">
        <v>0</v>
      </c>
      <c r="V281">
        <v>0</v>
      </c>
      <c r="W281">
        <v>0</v>
      </c>
    </row>
    <row r="282" spans="1:23">
      <c r="A282" t="s">
        <v>1536</v>
      </c>
      <c r="B282" t="s">
        <v>1537</v>
      </c>
      <c r="C282">
        <v>36</v>
      </c>
      <c r="D282">
        <f>IFERROR(VLOOKUP(Fix_Mapping[[#This Row],[KODE BARANG]],[1]!KINONF15[[KDBRG]:[HRG_JLMT_CTN+PPN]],5,0),0)</f>
        <v>0</v>
      </c>
      <c r="E282" t="s">
        <v>2323</v>
      </c>
      <c r="F282">
        <f>IFERROR(VLOOKUP(Fix_Mapping[[#This Row],[KODE BARANG]],[1]!KINONF15[[KDBRG]:[HRG_JLMT_CTN+PPN]],7,0),0)</f>
        <v>0</v>
      </c>
      <c r="G282">
        <f>IFERROR(VLOOKUP(Fix_Mapping[[#This Row],[KODE BARANG]],[1]!KINONF15[[KDBRG]:[HRG_JLMT_CTN+PPN]],8,0),0)</f>
        <v>0</v>
      </c>
      <c r="H282">
        <f>IFERROR(VLOOKUP(Fix_Mapping[[#This Row],[KODE BARANG]],[1]!KINONF15[[KDBRG]:[HRG_JLMT_CTN+PPN]],9,0),0)</f>
        <v>0</v>
      </c>
      <c r="I282">
        <f>IFERROR(VLOOKUP(Fix_Mapping[[#This Row],[KODE BARANG]],[1]!KINONF15[[KDBRG]:[HRG_JLMT_CTN+PPN]],10,0),0)</f>
        <v>0</v>
      </c>
      <c r="J282">
        <f>IFERROR(VLOOKUP(Fix_Mapping[[#This Row],[KODE BARANG]],[1]!KINONF15[[KDBRG]:[HRG_JLMT_CTN+PPN]],11,0),0)</f>
        <v>0</v>
      </c>
      <c r="K282">
        <f>IFERROR(VLOOKUP(Fix_Mapping[[#This Row],[KODE BARANG]],[1]!KINONF15[[KDBRG]:[HRG_JLMT_CTN+PPN]],12,0),0)</f>
        <v>0</v>
      </c>
      <c r="L282">
        <f>IFERROR(VLOOKUP(Fix_Mapping[[#This Row],[KODE BARANG]],[1]!KINONF15[[KDBRG]:[HRG_JLMT_CTN+PPN]],13,0),0)</f>
        <v>0</v>
      </c>
      <c r="M282">
        <f>IFERROR(VLOOKUP(Fix_Mapping[[#This Row],[KODE BARANG]],[1]!KINONF15[[KDBRG]:[HRG_JLMT_CTN+PPN]],14,0),0)</f>
        <v>0</v>
      </c>
      <c r="N282">
        <f>IFERROR(VLOOKUP(Fix_Mapping[[#This Row],[KODE BARANG]],[1]!KINONF15[[KDBRG]:[HRG_JLMT_CTN+PPN]],15,0),0)</f>
        <v>0</v>
      </c>
      <c r="O282">
        <f>IFERROR(VLOOKUP(Fix_Mapping[[#This Row],[KODE BARANG]],[1]!KINONF15[[KDBRG]:[HRG_JLMT_CTN+PPN]],16,0),0)</f>
        <v>0</v>
      </c>
      <c r="P282">
        <f>IFERROR(VLOOKUP(Fix_Mapping[[#This Row],[KODE BARANG]],[1]!KINONF15[[KDBRG]:[HRG_JLMT_CTN+PPN]],17,0),0)</f>
        <v>0</v>
      </c>
      <c r="Q282">
        <f>IFERROR(VLOOKUP(Fix_Mapping[[#This Row],[KODE BARANG]],[1]!KINONF15[[KDBRG]:[HRG_JLMT_CTN+PPN]],18,0),0)</f>
        <v>0</v>
      </c>
      <c r="R282" t="s">
        <v>2555</v>
      </c>
      <c r="S282" t="s">
        <v>689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1538</v>
      </c>
      <c r="B283" t="s">
        <v>1539</v>
      </c>
      <c r="C283">
        <v>36</v>
      </c>
      <c r="D283">
        <f>IFERROR(VLOOKUP(Fix_Mapping[[#This Row],[KODE BARANG]],[1]!KINONF15[[KDBRG]:[HRG_JLMT_CTN+PPN]],5,0),0)</f>
        <v>0</v>
      </c>
      <c r="E283" t="s">
        <v>2323</v>
      </c>
      <c r="F283">
        <f>IFERROR(VLOOKUP(Fix_Mapping[[#This Row],[KODE BARANG]],[1]!KINONF15[[KDBRG]:[HRG_JLMT_CTN+PPN]],7,0),0)</f>
        <v>0</v>
      </c>
      <c r="G283">
        <f>IFERROR(VLOOKUP(Fix_Mapping[[#This Row],[KODE BARANG]],[1]!KINONF15[[KDBRG]:[HRG_JLMT_CTN+PPN]],8,0),0)</f>
        <v>0</v>
      </c>
      <c r="H283">
        <f>IFERROR(VLOOKUP(Fix_Mapping[[#This Row],[KODE BARANG]],[1]!KINONF15[[KDBRG]:[HRG_JLMT_CTN+PPN]],9,0),0)</f>
        <v>0</v>
      </c>
      <c r="I283">
        <f>IFERROR(VLOOKUP(Fix_Mapping[[#This Row],[KODE BARANG]],[1]!KINONF15[[KDBRG]:[HRG_JLMT_CTN+PPN]],10,0),0)</f>
        <v>0</v>
      </c>
      <c r="J283">
        <f>IFERROR(VLOOKUP(Fix_Mapping[[#This Row],[KODE BARANG]],[1]!KINONF15[[KDBRG]:[HRG_JLMT_CTN+PPN]],11,0),0)</f>
        <v>0</v>
      </c>
      <c r="K283">
        <f>IFERROR(VLOOKUP(Fix_Mapping[[#This Row],[KODE BARANG]],[1]!KINONF15[[KDBRG]:[HRG_JLMT_CTN+PPN]],12,0),0)</f>
        <v>0</v>
      </c>
      <c r="L283">
        <f>IFERROR(VLOOKUP(Fix_Mapping[[#This Row],[KODE BARANG]],[1]!KINONF15[[KDBRG]:[HRG_JLMT_CTN+PPN]],13,0),0)</f>
        <v>0</v>
      </c>
      <c r="M283">
        <f>IFERROR(VLOOKUP(Fix_Mapping[[#This Row],[KODE BARANG]],[1]!KINONF15[[KDBRG]:[HRG_JLMT_CTN+PPN]],14,0),0)</f>
        <v>0</v>
      </c>
      <c r="N283">
        <f>IFERROR(VLOOKUP(Fix_Mapping[[#This Row],[KODE BARANG]],[1]!KINONF15[[KDBRG]:[HRG_JLMT_CTN+PPN]],15,0),0)</f>
        <v>0</v>
      </c>
      <c r="O283">
        <f>IFERROR(VLOOKUP(Fix_Mapping[[#This Row],[KODE BARANG]],[1]!KINONF15[[KDBRG]:[HRG_JLMT_CTN+PPN]],16,0),0)</f>
        <v>0</v>
      </c>
      <c r="P283">
        <f>IFERROR(VLOOKUP(Fix_Mapping[[#This Row],[KODE BARANG]],[1]!KINONF15[[KDBRG]:[HRG_JLMT_CTN+PPN]],17,0),0)</f>
        <v>0</v>
      </c>
      <c r="Q283">
        <f>IFERROR(VLOOKUP(Fix_Mapping[[#This Row],[KODE BARANG]],[1]!KINONF15[[KDBRG]:[HRG_JLMT_CTN+PPN]],18,0),0)</f>
        <v>0</v>
      </c>
      <c r="R283" t="s">
        <v>2555</v>
      </c>
      <c r="S283" t="s">
        <v>690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1540</v>
      </c>
      <c r="B284" t="s">
        <v>1541</v>
      </c>
      <c r="C284">
        <v>36</v>
      </c>
      <c r="D284">
        <f>IFERROR(VLOOKUP(Fix_Mapping[[#This Row],[KODE BARANG]],[1]!KINONF15[[KDBRG]:[HRG_JLMT_CTN+PPN]],5,0),0)</f>
        <v>0</v>
      </c>
      <c r="E284" t="s">
        <v>2323</v>
      </c>
      <c r="F284">
        <f>IFERROR(VLOOKUP(Fix_Mapping[[#This Row],[KODE BARANG]],[1]!KINONF15[[KDBRG]:[HRG_JLMT_CTN+PPN]],7,0),0)</f>
        <v>0</v>
      </c>
      <c r="G284">
        <f>IFERROR(VLOOKUP(Fix_Mapping[[#This Row],[KODE BARANG]],[1]!KINONF15[[KDBRG]:[HRG_JLMT_CTN+PPN]],8,0),0)</f>
        <v>0</v>
      </c>
      <c r="H284">
        <f>IFERROR(VLOOKUP(Fix_Mapping[[#This Row],[KODE BARANG]],[1]!KINONF15[[KDBRG]:[HRG_JLMT_CTN+PPN]],9,0),0)</f>
        <v>0</v>
      </c>
      <c r="I284">
        <f>IFERROR(VLOOKUP(Fix_Mapping[[#This Row],[KODE BARANG]],[1]!KINONF15[[KDBRG]:[HRG_JLMT_CTN+PPN]],10,0),0)</f>
        <v>0</v>
      </c>
      <c r="J284">
        <f>IFERROR(VLOOKUP(Fix_Mapping[[#This Row],[KODE BARANG]],[1]!KINONF15[[KDBRG]:[HRG_JLMT_CTN+PPN]],11,0),0)</f>
        <v>0</v>
      </c>
      <c r="K284">
        <f>IFERROR(VLOOKUP(Fix_Mapping[[#This Row],[KODE BARANG]],[1]!KINONF15[[KDBRG]:[HRG_JLMT_CTN+PPN]],12,0),0)</f>
        <v>0</v>
      </c>
      <c r="L284">
        <f>IFERROR(VLOOKUP(Fix_Mapping[[#This Row],[KODE BARANG]],[1]!KINONF15[[KDBRG]:[HRG_JLMT_CTN+PPN]],13,0),0)</f>
        <v>0</v>
      </c>
      <c r="M284">
        <f>IFERROR(VLOOKUP(Fix_Mapping[[#This Row],[KODE BARANG]],[1]!KINONF15[[KDBRG]:[HRG_JLMT_CTN+PPN]],14,0),0)</f>
        <v>0</v>
      </c>
      <c r="N284">
        <f>IFERROR(VLOOKUP(Fix_Mapping[[#This Row],[KODE BARANG]],[1]!KINONF15[[KDBRG]:[HRG_JLMT_CTN+PPN]],15,0),0)</f>
        <v>0</v>
      </c>
      <c r="O284">
        <f>IFERROR(VLOOKUP(Fix_Mapping[[#This Row],[KODE BARANG]],[1]!KINONF15[[KDBRG]:[HRG_JLMT_CTN+PPN]],16,0),0)</f>
        <v>0</v>
      </c>
      <c r="P284">
        <f>IFERROR(VLOOKUP(Fix_Mapping[[#This Row],[KODE BARANG]],[1]!KINONF15[[KDBRG]:[HRG_JLMT_CTN+PPN]],17,0),0)</f>
        <v>0</v>
      </c>
      <c r="Q284">
        <f>IFERROR(VLOOKUP(Fix_Mapping[[#This Row],[KODE BARANG]],[1]!KINONF15[[KDBRG]:[HRG_JLMT_CTN+PPN]],18,0),0)</f>
        <v>0</v>
      </c>
      <c r="R284" t="s">
        <v>2555</v>
      </c>
      <c r="S284" t="s">
        <v>732</v>
      </c>
      <c r="T284" t="s">
        <v>733</v>
      </c>
      <c r="U284">
        <v>0</v>
      </c>
      <c r="V284">
        <v>0</v>
      </c>
      <c r="W284">
        <v>0</v>
      </c>
    </row>
    <row r="285" spans="1:23">
      <c r="A285" t="s">
        <v>1542</v>
      </c>
      <c r="B285" t="s">
        <v>1543</v>
      </c>
      <c r="C285">
        <v>36</v>
      </c>
      <c r="D285">
        <f>IFERROR(VLOOKUP(Fix_Mapping[[#This Row],[KODE BARANG]],[1]!KINONF15[[KDBRG]:[HRG_JLMT_CTN+PPN]],5,0),0)</f>
        <v>0</v>
      </c>
      <c r="E285" t="s">
        <v>2323</v>
      </c>
      <c r="F285">
        <f>IFERROR(VLOOKUP(Fix_Mapping[[#This Row],[KODE BARANG]],[1]!KINONF15[[KDBRG]:[HRG_JLMT_CTN+PPN]],7,0),0)</f>
        <v>0</v>
      </c>
      <c r="G285">
        <f>IFERROR(VLOOKUP(Fix_Mapping[[#This Row],[KODE BARANG]],[1]!KINONF15[[KDBRG]:[HRG_JLMT_CTN+PPN]],8,0),0)</f>
        <v>0</v>
      </c>
      <c r="H285">
        <f>IFERROR(VLOOKUP(Fix_Mapping[[#This Row],[KODE BARANG]],[1]!KINONF15[[KDBRG]:[HRG_JLMT_CTN+PPN]],9,0),0)</f>
        <v>0</v>
      </c>
      <c r="I285">
        <f>IFERROR(VLOOKUP(Fix_Mapping[[#This Row],[KODE BARANG]],[1]!KINONF15[[KDBRG]:[HRG_JLMT_CTN+PPN]],10,0),0)</f>
        <v>0</v>
      </c>
      <c r="J285">
        <f>IFERROR(VLOOKUP(Fix_Mapping[[#This Row],[KODE BARANG]],[1]!KINONF15[[KDBRG]:[HRG_JLMT_CTN+PPN]],11,0),0)</f>
        <v>0</v>
      </c>
      <c r="K285">
        <f>IFERROR(VLOOKUP(Fix_Mapping[[#This Row],[KODE BARANG]],[1]!KINONF15[[KDBRG]:[HRG_JLMT_CTN+PPN]],12,0),0)</f>
        <v>0</v>
      </c>
      <c r="L285">
        <f>IFERROR(VLOOKUP(Fix_Mapping[[#This Row],[KODE BARANG]],[1]!KINONF15[[KDBRG]:[HRG_JLMT_CTN+PPN]],13,0),0)</f>
        <v>0</v>
      </c>
      <c r="M285">
        <f>IFERROR(VLOOKUP(Fix_Mapping[[#This Row],[KODE BARANG]],[1]!KINONF15[[KDBRG]:[HRG_JLMT_CTN+PPN]],14,0),0)</f>
        <v>0</v>
      </c>
      <c r="N285">
        <f>IFERROR(VLOOKUP(Fix_Mapping[[#This Row],[KODE BARANG]],[1]!KINONF15[[KDBRG]:[HRG_JLMT_CTN+PPN]],15,0),0)</f>
        <v>0</v>
      </c>
      <c r="O285">
        <f>IFERROR(VLOOKUP(Fix_Mapping[[#This Row],[KODE BARANG]],[1]!KINONF15[[KDBRG]:[HRG_JLMT_CTN+PPN]],16,0),0)</f>
        <v>0</v>
      </c>
      <c r="P285">
        <f>IFERROR(VLOOKUP(Fix_Mapping[[#This Row],[KODE BARANG]],[1]!KINONF15[[KDBRG]:[HRG_JLMT_CTN+PPN]],17,0),0)</f>
        <v>0</v>
      </c>
      <c r="Q285">
        <f>IFERROR(VLOOKUP(Fix_Mapping[[#This Row],[KODE BARANG]],[1]!KINONF15[[KDBRG]:[HRG_JLMT_CTN+PPN]],18,0),0)</f>
        <v>0</v>
      </c>
      <c r="R285" t="s">
        <v>2555</v>
      </c>
      <c r="S285" t="s">
        <v>730</v>
      </c>
      <c r="T285" t="s">
        <v>731</v>
      </c>
      <c r="U285">
        <v>0</v>
      </c>
      <c r="V285">
        <v>0</v>
      </c>
      <c r="W285">
        <v>0</v>
      </c>
    </row>
    <row r="286" spans="1:23">
      <c r="A286" t="s">
        <v>1544</v>
      </c>
      <c r="B286" t="s">
        <v>1545</v>
      </c>
      <c r="C286">
        <v>72</v>
      </c>
      <c r="D286">
        <f>IFERROR(VLOOKUP(Fix_Mapping[[#This Row],[KODE BARANG]],[1]!KINONF15[[KDBRG]:[HRG_JLMT_CTN+PPN]],5,0),0)</f>
        <v>0</v>
      </c>
      <c r="E286" t="s">
        <v>2323</v>
      </c>
      <c r="F286">
        <f>IFERROR(VLOOKUP(Fix_Mapping[[#This Row],[KODE BARANG]],[1]!KINONF15[[KDBRG]:[HRG_JLMT_CTN+PPN]],7,0),0)</f>
        <v>0</v>
      </c>
      <c r="G286">
        <f>IFERROR(VLOOKUP(Fix_Mapping[[#This Row],[KODE BARANG]],[1]!KINONF15[[KDBRG]:[HRG_JLMT_CTN+PPN]],8,0),0)</f>
        <v>0</v>
      </c>
      <c r="H286">
        <f>IFERROR(VLOOKUP(Fix_Mapping[[#This Row],[KODE BARANG]],[1]!KINONF15[[KDBRG]:[HRG_JLMT_CTN+PPN]],9,0),0)</f>
        <v>0</v>
      </c>
      <c r="I286">
        <f>IFERROR(VLOOKUP(Fix_Mapping[[#This Row],[KODE BARANG]],[1]!KINONF15[[KDBRG]:[HRG_JLMT_CTN+PPN]],10,0),0)</f>
        <v>0</v>
      </c>
      <c r="J286">
        <f>IFERROR(VLOOKUP(Fix_Mapping[[#This Row],[KODE BARANG]],[1]!KINONF15[[KDBRG]:[HRG_JLMT_CTN+PPN]],11,0),0)</f>
        <v>0</v>
      </c>
      <c r="K286">
        <f>IFERROR(VLOOKUP(Fix_Mapping[[#This Row],[KODE BARANG]],[1]!KINONF15[[KDBRG]:[HRG_JLMT_CTN+PPN]],12,0),0)</f>
        <v>0</v>
      </c>
      <c r="L286">
        <f>IFERROR(VLOOKUP(Fix_Mapping[[#This Row],[KODE BARANG]],[1]!KINONF15[[KDBRG]:[HRG_JLMT_CTN+PPN]],13,0),0)</f>
        <v>0</v>
      </c>
      <c r="M286">
        <f>IFERROR(VLOOKUP(Fix_Mapping[[#This Row],[KODE BARANG]],[1]!KINONF15[[KDBRG]:[HRG_JLMT_CTN+PPN]],14,0),0)</f>
        <v>0</v>
      </c>
      <c r="N286">
        <f>IFERROR(VLOOKUP(Fix_Mapping[[#This Row],[KODE BARANG]],[1]!KINONF15[[KDBRG]:[HRG_JLMT_CTN+PPN]],15,0),0)</f>
        <v>0</v>
      </c>
      <c r="O286">
        <f>IFERROR(VLOOKUP(Fix_Mapping[[#This Row],[KODE BARANG]],[1]!KINONF15[[KDBRG]:[HRG_JLMT_CTN+PPN]],16,0),0)</f>
        <v>0</v>
      </c>
      <c r="P286">
        <f>IFERROR(VLOOKUP(Fix_Mapping[[#This Row],[KODE BARANG]],[1]!KINONF15[[KDBRG]:[HRG_JLMT_CTN+PPN]],17,0),0)</f>
        <v>0</v>
      </c>
      <c r="Q286">
        <f>IFERROR(VLOOKUP(Fix_Mapping[[#This Row],[KODE BARANG]],[1]!KINONF15[[KDBRG]:[HRG_JLMT_CTN+PPN]],18,0),0)</f>
        <v>0</v>
      </c>
      <c r="R286" t="s">
        <v>2555</v>
      </c>
      <c r="S286" t="s">
        <v>691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2404</v>
      </c>
      <c r="B287" t="s">
        <v>1546</v>
      </c>
      <c r="C287">
        <v>160</v>
      </c>
      <c r="D287">
        <f>IFERROR(VLOOKUP(Fix_Mapping[[#This Row],[KODE BARANG]],[1]!KINONF15[[KDBRG]:[HRG_JLMT_CTN+PPN]],5,0),0)</f>
        <v>0</v>
      </c>
      <c r="E287" t="s">
        <v>2325</v>
      </c>
      <c r="F287">
        <f>IFERROR(VLOOKUP(Fix_Mapping[[#This Row],[KODE BARANG]],[1]!KINONF15[[KDBRG]:[HRG_JLMT_CTN+PPN]],7,0),0)</f>
        <v>0</v>
      </c>
      <c r="G287">
        <f>IFERROR(VLOOKUP(Fix_Mapping[[#This Row],[KODE BARANG]],[1]!KINONF15[[KDBRG]:[HRG_JLMT_CTN+PPN]],8,0),0)</f>
        <v>0</v>
      </c>
      <c r="H287">
        <f>IFERROR(VLOOKUP(Fix_Mapping[[#This Row],[KODE BARANG]],[1]!KINONF15[[KDBRG]:[HRG_JLMT_CTN+PPN]],9,0),0)</f>
        <v>0</v>
      </c>
      <c r="I287">
        <f>IFERROR(VLOOKUP(Fix_Mapping[[#This Row],[KODE BARANG]],[1]!KINONF15[[KDBRG]:[HRG_JLMT_CTN+PPN]],10,0),0)</f>
        <v>0</v>
      </c>
      <c r="J287">
        <f>IFERROR(VLOOKUP(Fix_Mapping[[#This Row],[KODE BARANG]],[1]!KINONF15[[KDBRG]:[HRG_JLMT_CTN+PPN]],11,0),0)</f>
        <v>0</v>
      </c>
      <c r="K287">
        <f>IFERROR(VLOOKUP(Fix_Mapping[[#This Row],[KODE BARANG]],[1]!KINONF15[[KDBRG]:[HRG_JLMT_CTN+PPN]],12,0),0)</f>
        <v>0</v>
      </c>
      <c r="L287">
        <f>IFERROR(VLOOKUP(Fix_Mapping[[#This Row],[KODE BARANG]],[1]!KINONF15[[KDBRG]:[HRG_JLMT_CTN+PPN]],13,0),0)</f>
        <v>0</v>
      </c>
      <c r="M287">
        <f>IFERROR(VLOOKUP(Fix_Mapping[[#This Row],[KODE BARANG]],[1]!KINONF15[[KDBRG]:[HRG_JLMT_CTN+PPN]],14,0),0)</f>
        <v>0</v>
      </c>
      <c r="N287">
        <f>IFERROR(VLOOKUP(Fix_Mapping[[#This Row],[KODE BARANG]],[1]!KINONF15[[KDBRG]:[HRG_JLMT_CTN+PPN]],15,0),0)</f>
        <v>0</v>
      </c>
      <c r="O287">
        <f>IFERROR(VLOOKUP(Fix_Mapping[[#This Row],[KODE BARANG]],[1]!KINONF15[[KDBRG]:[HRG_JLMT_CTN+PPN]],16,0),0)</f>
        <v>0</v>
      </c>
      <c r="P287">
        <f>IFERROR(VLOOKUP(Fix_Mapping[[#This Row],[KODE BARANG]],[1]!KINONF15[[KDBRG]:[HRG_JLMT_CTN+PPN]],17,0),0)</f>
        <v>0</v>
      </c>
      <c r="Q287">
        <f>IFERROR(VLOOKUP(Fix_Mapping[[#This Row],[KODE BARANG]],[1]!KINONF15[[KDBRG]:[HRG_JLMT_CTN+PPN]],18,0),0)</f>
        <v>0</v>
      </c>
      <c r="R287" t="s">
        <v>2555</v>
      </c>
      <c r="S287" t="s">
        <v>724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1547</v>
      </c>
      <c r="B288" t="s">
        <v>1548</v>
      </c>
      <c r="C288">
        <v>24</v>
      </c>
      <c r="D288">
        <f>IFERROR(VLOOKUP(Fix_Mapping[[#This Row],[KODE BARANG]],[1]!KINONF15[[KDBRG]:[HRG_JLMT_CTN+PPN]],5,0),0)</f>
        <v>0</v>
      </c>
      <c r="E288" t="s">
        <v>2325</v>
      </c>
      <c r="F288">
        <f>IFERROR(VLOOKUP(Fix_Mapping[[#This Row],[KODE BARANG]],[1]!KINONF15[[KDBRG]:[HRG_JLMT_CTN+PPN]],7,0),0)</f>
        <v>0</v>
      </c>
      <c r="G288">
        <f>IFERROR(VLOOKUP(Fix_Mapping[[#This Row],[KODE BARANG]],[1]!KINONF15[[KDBRG]:[HRG_JLMT_CTN+PPN]],8,0),0)</f>
        <v>0</v>
      </c>
      <c r="H288">
        <f>IFERROR(VLOOKUP(Fix_Mapping[[#This Row],[KODE BARANG]],[1]!KINONF15[[KDBRG]:[HRG_JLMT_CTN+PPN]],9,0),0)</f>
        <v>0</v>
      </c>
      <c r="I288">
        <f>IFERROR(VLOOKUP(Fix_Mapping[[#This Row],[KODE BARANG]],[1]!KINONF15[[KDBRG]:[HRG_JLMT_CTN+PPN]],10,0),0)</f>
        <v>0</v>
      </c>
      <c r="J288">
        <f>IFERROR(VLOOKUP(Fix_Mapping[[#This Row],[KODE BARANG]],[1]!KINONF15[[KDBRG]:[HRG_JLMT_CTN+PPN]],11,0),0)</f>
        <v>0</v>
      </c>
      <c r="K288">
        <f>IFERROR(VLOOKUP(Fix_Mapping[[#This Row],[KODE BARANG]],[1]!KINONF15[[KDBRG]:[HRG_JLMT_CTN+PPN]],12,0),0)</f>
        <v>0</v>
      </c>
      <c r="L288">
        <f>IFERROR(VLOOKUP(Fix_Mapping[[#This Row],[KODE BARANG]],[1]!KINONF15[[KDBRG]:[HRG_JLMT_CTN+PPN]],13,0),0)</f>
        <v>0</v>
      </c>
      <c r="M288">
        <f>IFERROR(VLOOKUP(Fix_Mapping[[#This Row],[KODE BARANG]],[1]!KINONF15[[KDBRG]:[HRG_JLMT_CTN+PPN]],14,0),0)</f>
        <v>0</v>
      </c>
      <c r="N288">
        <f>IFERROR(VLOOKUP(Fix_Mapping[[#This Row],[KODE BARANG]],[1]!KINONF15[[KDBRG]:[HRG_JLMT_CTN+PPN]],15,0),0)</f>
        <v>0</v>
      </c>
      <c r="O288">
        <f>IFERROR(VLOOKUP(Fix_Mapping[[#This Row],[KODE BARANG]],[1]!KINONF15[[KDBRG]:[HRG_JLMT_CTN+PPN]],16,0),0)</f>
        <v>0</v>
      </c>
      <c r="P288">
        <f>IFERROR(VLOOKUP(Fix_Mapping[[#This Row],[KODE BARANG]],[1]!KINONF15[[KDBRG]:[HRG_JLMT_CTN+PPN]],17,0),0)</f>
        <v>0</v>
      </c>
      <c r="Q288">
        <f>IFERROR(VLOOKUP(Fix_Mapping[[#This Row],[KODE BARANG]],[1]!KINONF15[[KDBRG]:[HRG_JLMT_CTN+PPN]],18,0),0)</f>
        <v>0</v>
      </c>
      <c r="R288" t="s">
        <v>2555</v>
      </c>
      <c r="S288" t="s">
        <v>719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2405</v>
      </c>
      <c r="B289" t="s">
        <v>1549</v>
      </c>
      <c r="C289">
        <v>24</v>
      </c>
      <c r="D289">
        <f>IFERROR(VLOOKUP(Fix_Mapping[[#This Row],[KODE BARANG]],[1]!KINONF15[[KDBRG]:[HRG_JLMT_CTN+PPN]],5,0),0)</f>
        <v>0</v>
      </c>
      <c r="E289" t="s">
        <v>2325</v>
      </c>
      <c r="F289">
        <f>IFERROR(VLOOKUP(Fix_Mapping[[#This Row],[KODE BARANG]],[1]!KINONF15[[KDBRG]:[HRG_JLMT_CTN+PPN]],7,0),0)</f>
        <v>0</v>
      </c>
      <c r="G289">
        <f>IFERROR(VLOOKUP(Fix_Mapping[[#This Row],[KODE BARANG]],[1]!KINONF15[[KDBRG]:[HRG_JLMT_CTN+PPN]],8,0),0)</f>
        <v>0</v>
      </c>
      <c r="H289">
        <f>IFERROR(VLOOKUP(Fix_Mapping[[#This Row],[KODE BARANG]],[1]!KINONF15[[KDBRG]:[HRG_JLMT_CTN+PPN]],9,0),0)</f>
        <v>0</v>
      </c>
      <c r="I289">
        <f>IFERROR(VLOOKUP(Fix_Mapping[[#This Row],[KODE BARANG]],[1]!KINONF15[[KDBRG]:[HRG_JLMT_CTN+PPN]],10,0),0)</f>
        <v>0</v>
      </c>
      <c r="J289">
        <f>IFERROR(VLOOKUP(Fix_Mapping[[#This Row],[KODE BARANG]],[1]!KINONF15[[KDBRG]:[HRG_JLMT_CTN+PPN]],11,0),0)</f>
        <v>0</v>
      </c>
      <c r="K289">
        <f>IFERROR(VLOOKUP(Fix_Mapping[[#This Row],[KODE BARANG]],[1]!KINONF15[[KDBRG]:[HRG_JLMT_CTN+PPN]],12,0),0)</f>
        <v>0</v>
      </c>
      <c r="L289">
        <f>IFERROR(VLOOKUP(Fix_Mapping[[#This Row],[KODE BARANG]],[1]!KINONF15[[KDBRG]:[HRG_JLMT_CTN+PPN]],13,0),0)</f>
        <v>0</v>
      </c>
      <c r="M289">
        <f>IFERROR(VLOOKUP(Fix_Mapping[[#This Row],[KODE BARANG]],[1]!KINONF15[[KDBRG]:[HRG_JLMT_CTN+PPN]],14,0),0)</f>
        <v>0</v>
      </c>
      <c r="N289">
        <f>IFERROR(VLOOKUP(Fix_Mapping[[#This Row],[KODE BARANG]],[1]!KINONF15[[KDBRG]:[HRG_JLMT_CTN+PPN]],15,0),0)</f>
        <v>0</v>
      </c>
      <c r="O289">
        <f>IFERROR(VLOOKUP(Fix_Mapping[[#This Row],[KODE BARANG]],[1]!KINONF15[[KDBRG]:[HRG_JLMT_CTN+PPN]],16,0),0)</f>
        <v>0</v>
      </c>
      <c r="P289">
        <f>IFERROR(VLOOKUP(Fix_Mapping[[#This Row],[KODE BARANG]],[1]!KINONF15[[KDBRG]:[HRG_JLMT_CTN+PPN]],17,0),0)</f>
        <v>0</v>
      </c>
      <c r="Q289">
        <f>IFERROR(VLOOKUP(Fix_Mapping[[#This Row],[KODE BARANG]],[1]!KINONF15[[KDBRG]:[HRG_JLMT_CTN+PPN]],18,0),0)</f>
        <v>0</v>
      </c>
      <c r="R289" t="s">
        <v>2555</v>
      </c>
      <c r="S289" t="s">
        <v>722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2406</v>
      </c>
      <c r="B290" t="s">
        <v>1550</v>
      </c>
      <c r="C290">
        <v>24</v>
      </c>
      <c r="D290">
        <f>IFERROR(VLOOKUP(Fix_Mapping[[#This Row],[KODE BARANG]],[1]!KINONF15[[KDBRG]:[HRG_JLMT_CTN+PPN]],5,0),0)</f>
        <v>0</v>
      </c>
      <c r="E290" t="s">
        <v>2325</v>
      </c>
      <c r="F290">
        <f>IFERROR(VLOOKUP(Fix_Mapping[[#This Row],[KODE BARANG]],[1]!KINONF15[[KDBRG]:[HRG_JLMT_CTN+PPN]],7,0),0)</f>
        <v>0</v>
      </c>
      <c r="G290">
        <f>IFERROR(VLOOKUP(Fix_Mapping[[#This Row],[KODE BARANG]],[1]!KINONF15[[KDBRG]:[HRG_JLMT_CTN+PPN]],8,0),0)</f>
        <v>0</v>
      </c>
      <c r="H290">
        <f>IFERROR(VLOOKUP(Fix_Mapping[[#This Row],[KODE BARANG]],[1]!KINONF15[[KDBRG]:[HRG_JLMT_CTN+PPN]],9,0),0)</f>
        <v>0</v>
      </c>
      <c r="I290">
        <f>IFERROR(VLOOKUP(Fix_Mapping[[#This Row],[KODE BARANG]],[1]!KINONF15[[KDBRG]:[HRG_JLMT_CTN+PPN]],10,0),0)</f>
        <v>0</v>
      </c>
      <c r="J290">
        <f>IFERROR(VLOOKUP(Fix_Mapping[[#This Row],[KODE BARANG]],[1]!KINONF15[[KDBRG]:[HRG_JLMT_CTN+PPN]],11,0),0)</f>
        <v>0</v>
      </c>
      <c r="K290">
        <f>IFERROR(VLOOKUP(Fix_Mapping[[#This Row],[KODE BARANG]],[1]!KINONF15[[KDBRG]:[HRG_JLMT_CTN+PPN]],12,0),0)</f>
        <v>0</v>
      </c>
      <c r="L290">
        <f>IFERROR(VLOOKUP(Fix_Mapping[[#This Row],[KODE BARANG]],[1]!KINONF15[[KDBRG]:[HRG_JLMT_CTN+PPN]],13,0),0)</f>
        <v>0</v>
      </c>
      <c r="M290">
        <f>IFERROR(VLOOKUP(Fix_Mapping[[#This Row],[KODE BARANG]],[1]!KINONF15[[KDBRG]:[HRG_JLMT_CTN+PPN]],14,0),0)</f>
        <v>0</v>
      </c>
      <c r="N290">
        <f>IFERROR(VLOOKUP(Fix_Mapping[[#This Row],[KODE BARANG]],[1]!KINONF15[[KDBRG]:[HRG_JLMT_CTN+PPN]],15,0),0)</f>
        <v>0</v>
      </c>
      <c r="O290">
        <f>IFERROR(VLOOKUP(Fix_Mapping[[#This Row],[KODE BARANG]],[1]!KINONF15[[KDBRG]:[HRG_JLMT_CTN+PPN]],16,0),0)</f>
        <v>0</v>
      </c>
      <c r="P290">
        <f>IFERROR(VLOOKUP(Fix_Mapping[[#This Row],[KODE BARANG]],[1]!KINONF15[[KDBRG]:[HRG_JLMT_CTN+PPN]],17,0),0)</f>
        <v>0</v>
      </c>
      <c r="Q290">
        <f>IFERROR(VLOOKUP(Fix_Mapping[[#This Row],[KODE BARANG]],[1]!KINONF15[[KDBRG]:[HRG_JLMT_CTN+PPN]],18,0),0)</f>
        <v>0</v>
      </c>
      <c r="R290" t="s">
        <v>2555</v>
      </c>
      <c r="S290" t="s">
        <v>723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1551</v>
      </c>
      <c r="B291" t="s">
        <v>1552</v>
      </c>
      <c r="C291">
        <v>24</v>
      </c>
      <c r="D291">
        <f>IFERROR(VLOOKUP(Fix_Mapping[[#This Row],[KODE BARANG]],[1]!KINONF15[[KDBRG]:[HRG_JLMT_CTN+PPN]],5,0),0)</f>
        <v>0</v>
      </c>
      <c r="E291" t="s">
        <v>2325</v>
      </c>
      <c r="F291">
        <f>IFERROR(VLOOKUP(Fix_Mapping[[#This Row],[KODE BARANG]],[1]!KINONF15[[KDBRG]:[HRG_JLMT_CTN+PPN]],7,0),0)</f>
        <v>0</v>
      </c>
      <c r="G291">
        <f>IFERROR(VLOOKUP(Fix_Mapping[[#This Row],[KODE BARANG]],[1]!KINONF15[[KDBRG]:[HRG_JLMT_CTN+PPN]],8,0),0)</f>
        <v>0</v>
      </c>
      <c r="H291">
        <f>IFERROR(VLOOKUP(Fix_Mapping[[#This Row],[KODE BARANG]],[1]!KINONF15[[KDBRG]:[HRG_JLMT_CTN+PPN]],9,0),0)</f>
        <v>0</v>
      </c>
      <c r="I291">
        <f>IFERROR(VLOOKUP(Fix_Mapping[[#This Row],[KODE BARANG]],[1]!KINONF15[[KDBRG]:[HRG_JLMT_CTN+PPN]],10,0),0)</f>
        <v>0</v>
      </c>
      <c r="J291">
        <f>IFERROR(VLOOKUP(Fix_Mapping[[#This Row],[KODE BARANG]],[1]!KINONF15[[KDBRG]:[HRG_JLMT_CTN+PPN]],11,0),0)</f>
        <v>0</v>
      </c>
      <c r="K291">
        <f>IFERROR(VLOOKUP(Fix_Mapping[[#This Row],[KODE BARANG]],[1]!KINONF15[[KDBRG]:[HRG_JLMT_CTN+PPN]],12,0),0)</f>
        <v>0</v>
      </c>
      <c r="L291">
        <f>IFERROR(VLOOKUP(Fix_Mapping[[#This Row],[KODE BARANG]],[1]!KINONF15[[KDBRG]:[HRG_JLMT_CTN+PPN]],13,0),0)</f>
        <v>0</v>
      </c>
      <c r="M291">
        <f>IFERROR(VLOOKUP(Fix_Mapping[[#This Row],[KODE BARANG]],[1]!KINONF15[[KDBRG]:[HRG_JLMT_CTN+PPN]],14,0),0)</f>
        <v>0</v>
      </c>
      <c r="N291">
        <f>IFERROR(VLOOKUP(Fix_Mapping[[#This Row],[KODE BARANG]],[1]!KINONF15[[KDBRG]:[HRG_JLMT_CTN+PPN]],15,0),0)</f>
        <v>0</v>
      </c>
      <c r="O291">
        <f>IFERROR(VLOOKUP(Fix_Mapping[[#This Row],[KODE BARANG]],[1]!KINONF15[[KDBRG]:[HRG_JLMT_CTN+PPN]],16,0),0)</f>
        <v>0</v>
      </c>
      <c r="P291">
        <f>IFERROR(VLOOKUP(Fix_Mapping[[#This Row],[KODE BARANG]],[1]!KINONF15[[KDBRG]:[HRG_JLMT_CTN+PPN]],17,0),0)</f>
        <v>0</v>
      </c>
      <c r="Q291">
        <f>IFERROR(VLOOKUP(Fix_Mapping[[#This Row],[KODE BARANG]],[1]!KINONF15[[KDBRG]:[HRG_JLMT_CTN+PPN]],18,0),0)</f>
        <v>0</v>
      </c>
      <c r="R291" t="s">
        <v>2555</v>
      </c>
      <c r="S291" t="s">
        <v>776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1555</v>
      </c>
      <c r="B292" t="s">
        <v>1554</v>
      </c>
      <c r="C292">
        <v>24</v>
      </c>
      <c r="D292">
        <f>IFERROR(VLOOKUP(Fix_Mapping[[#This Row],[KODE BARANG]],[1]!KINONF15[[KDBRG]:[HRG_JLMT_CTN+PPN]],5,0),0)</f>
        <v>0</v>
      </c>
      <c r="E292" t="s">
        <v>2325</v>
      </c>
      <c r="F292">
        <f>IFERROR(VLOOKUP(Fix_Mapping[[#This Row],[KODE BARANG]],[1]!KINONF15[[KDBRG]:[HRG_JLMT_CTN+PPN]],7,0),0)</f>
        <v>0</v>
      </c>
      <c r="G292">
        <f>IFERROR(VLOOKUP(Fix_Mapping[[#This Row],[KODE BARANG]],[1]!KINONF15[[KDBRG]:[HRG_JLMT_CTN+PPN]],8,0),0)</f>
        <v>0</v>
      </c>
      <c r="H292">
        <f>IFERROR(VLOOKUP(Fix_Mapping[[#This Row],[KODE BARANG]],[1]!KINONF15[[KDBRG]:[HRG_JLMT_CTN+PPN]],9,0),0)</f>
        <v>0</v>
      </c>
      <c r="I292">
        <f>IFERROR(VLOOKUP(Fix_Mapping[[#This Row],[KODE BARANG]],[1]!KINONF15[[KDBRG]:[HRG_JLMT_CTN+PPN]],10,0),0)</f>
        <v>0</v>
      </c>
      <c r="J292">
        <f>IFERROR(VLOOKUP(Fix_Mapping[[#This Row],[KODE BARANG]],[1]!KINONF15[[KDBRG]:[HRG_JLMT_CTN+PPN]],11,0),0)</f>
        <v>0</v>
      </c>
      <c r="K292">
        <f>IFERROR(VLOOKUP(Fix_Mapping[[#This Row],[KODE BARANG]],[1]!KINONF15[[KDBRG]:[HRG_JLMT_CTN+PPN]],12,0),0)</f>
        <v>0</v>
      </c>
      <c r="L292">
        <f>IFERROR(VLOOKUP(Fix_Mapping[[#This Row],[KODE BARANG]],[1]!KINONF15[[KDBRG]:[HRG_JLMT_CTN+PPN]],13,0),0)</f>
        <v>0</v>
      </c>
      <c r="M292">
        <f>IFERROR(VLOOKUP(Fix_Mapping[[#This Row],[KODE BARANG]],[1]!KINONF15[[KDBRG]:[HRG_JLMT_CTN+PPN]],14,0),0)</f>
        <v>0</v>
      </c>
      <c r="N292">
        <f>IFERROR(VLOOKUP(Fix_Mapping[[#This Row],[KODE BARANG]],[1]!KINONF15[[KDBRG]:[HRG_JLMT_CTN+PPN]],15,0),0)</f>
        <v>0</v>
      </c>
      <c r="O292">
        <f>IFERROR(VLOOKUP(Fix_Mapping[[#This Row],[KODE BARANG]],[1]!KINONF15[[KDBRG]:[HRG_JLMT_CTN+PPN]],16,0),0)</f>
        <v>0</v>
      </c>
      <c r="P292">
        <f>IFERROR(VLOOKUP(Fix_Mapping[[#This Row],[KODE BARANG]],[1]!KINONF15[[KDBRG]:[HRG_JLMT_CTN+PPN]],17,0),0)</f>
        <v>0</v>
      </c>
      <c r="Q292">
        <f>IFERROR(VLOOKUP(Fix_Mapping[[#This Row],[KODE BARANG]],[1]!KINONF15[[KDBRG]:[HRG_JLMT_CTN+PPN]],18,0),0)</f>
        <v>0</v>
      </c>
      <c r="R292" t="s">
        <v>2555</v>
      </c>
      <c r="S292" t="s">
        <v>720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1553</v>
      </c>
      <c r="B293" t="s">
        <v>1556</v>
      </c>
      <c r="C293">
        <v>24</v>
      </c>
      <c r="D293">
        <f>IFERROR(VLOOKUP(Fix_Mapping[[#This Row],[KODE BARANG]],[1]!KINONF15[[KDBRG]:[HRG_JLMT_CTN+PPN]],5,0),0)</f>
        <v>0</v>
      </c>
      <c r="E293" t="s">
        <v>2325</v>
      </c>
      <c r="F293">
        <f>IFERROR(VLOOKUP(Fix_Mapping[[#This Row],[KODE BARANG]],[1]!KINONF15[[KDBRG]:[HRG_JLMT_CTN+PPN]],7,0),0)</f>
        <v>0</v>
      </c>
      <c r="G293">
        <f>IFERROR(VLOOKUP(Fix_Mapping[[#This Row],[KODE BARANG]],[1]!KINONF15[[KDBRG]:[HRG_JLMT_CTN+PPN]],8,0),0)</f>
        <v>0</v>
      </c>
      <c r="H293">
        <f>IFERROR(VLOOKUP(Fix_Mapping[[#This Row],[KODE BARANG]],[1]!KINONF15[[KDBRG]:[HRG_JLMT_CTN+PPN]],9,0),0)</f>
        <v>0</v>
      </c>
      <c r="I293">
        <f>IFERROR(VLOOKUP(Fix_Mapping[[#This Row],[KODE BARANG]],[1]!KINONF15[[KDBRG]:[HRG_JLMT_CTN+PPN]],10,0),0)</f>
        <v>0</v>
      </c>
      <c r="J293">
        <f>IFERROR(VLOOKUP(Fix_Mapping[[#This Row],[KODE BARANG]],[1]!KINONF15[[KDBRG]:[HRG_JLMT_CTN+PPN]],11,0),0)</f>
        <v>0</v>
      </c>
      <c r="K293">
        <f>IFERROR(VLOOKUP(Fix_Mapping[[#This Row],[KODE BARANG]],[1]!KINONF15[[KDBRG]:[HRG_JLMT_CTN+PPN]],12,0),0)</f>
        <v>0</v>
      </c>
      <c r="L293">
        <f>IFERROR(VLOOKUP(Fix_Mapping[[#This Row],[KODE BARANG]],[1]!KINONF15[[KDBRG]:[HRG_JLMT_CTN+PPN]],13,0),0)</f>
        <v>0</v>
      </c>
      <c r="M293">
        <f>IFERROR(VLOOKUP(Fix_Mapping[[#This Row],[KODE BARANG]],[1]!KINONF15[[KDBRG]:[HRG_JLMT_CTN+PPN]],14,0),0)</f>
        <v>0</v>
      </c>
      <c r="N293">
        <f>IFERROR(VLOOKUP(Fix_Mapping[[#This Row],[KODE BARANG]],[1]!KINONF15[[KDBRG]:[HRG_JLMT_CTN+PPN]],15,0),0)</f>
        <v>0</v>
      </c>
      <c r="O293">
        <f>IFERROR(VLOOKUP(Fix_Mapping[[#This Row],[KODE BARANG]],[1]!KINONF15[[KDBRG]:[HRG_JLMT_CTN+PPN]],16,0),0)</f>
        <v>0</v>
      </c>
      <c r="P293">
        <f>IFERROR(VLOOKUP(Fix_Mapping[[#This Row],[KODE BARANG]],[1]!KINONF15[[KDBRG]:[HRG_JLMT_CTN+PPN]],17,0),0)</f>
        <v>0</v>
      </c>
      <c r="Q293">
        <f>IFERROR(VLOOKUP(Fix_Mapping[[#This Row],[KODE BARANG]],[1]!KINONF15[[KDBRG]:[HRG_JLMT_CTN+PPN]],18,0),0)</f>
        <v>0</v>
      </c>
      <c r="R293" t="s">
        <v>2555</v>
      </c>
      <c r="S293" t="s">
        <v>721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2407</v>
      </c>
      <c r="B294" t="s">
        <v>1557</v>
      </c>
      <c r="C294">
        <v>24</v>
      </c>
      <c r="D294">
        <f>IFERROR(VLOOKUP(Fix_Mapping[[#This Row],[KODE BARANG]],[1]!KINONF15[[KDBRG]:[HRG_JLMT_CTN+PPN]],5,0),0)</f>
        <v>0</v>
      </c>
      <c r="E294" t="s">
        <v>2327</v>
      </c>
      <c r="F294">
        <f>IFERROR(VLOOKUP(Fix_Mapping[[#This Row],[KODE BARANG]],[1]!KINONF15[[KDBRG]:[HRG_JLMT_CTN+PPN]],7,0),0)</f>
        <v>0</v>
      </c>
      <c r="G294">
        <f>IFERROR(VLOOKUP(Fix_Mapping[[#This Row],[KODE BARANG]],[1]!KINONF15[[KDBRG]:[HRG_JLMT_CTN+PPN]],8,0),0)</f>
        <v>0</v>
      </c>
      <c r="H294">
        <f>IFERROR(VLOOKUP(Fix_Mapping[[#This Row],[KODE BARANG]],[1]!KINONF15[[KDBRG]:[HRG_JLMT_CTN+PPN]],9,0),0)</f>
        <v>0</v>
      </c>
      <c r="I294">
        <f>IFERROR(VLOOKUP(Fix_Mapping[[#This Row],[KODE BARANG]],[1]!KINONF15[[KDBRG]:[HRG_JLMT_CTN+PPN]],10,0),0)</f>
        <v>0</v>
      </c>
      <c r="J294">
        <f>IFERROR(VLOOKUP(Fix_Mapping[[#This Row],[KODE BARANG]],[1]!KINONF15[[KDBRG]:[HRG_JLMT_CTN+PPN]],11,0),0)</f>
        <v>0</v>
      </c>
      <c r="K294">
        <f>IFERROR(VLOOKUP(Fix_Mapping[[#This Row],[KODE BARANG]],[1]!KINONF15[[KDBRG]:[HRG_JLMT_CTN+PPN]],12,0),0)</f>
        <v>0</v>
      </c>
      <c r="L294">
        <f>IFERROR(VLOOKUP(Fix_Mapping[[#This Row],[KODE BARANG]],[1]!KINONF15[[KDBRG]:[HRG_JLMT_CTN+PPN]],13,0),0)</f>
        <v>0</v>
      </c>
      <c r="M294">
        <f>IFERROR(VLOOKUP(Fix_Mapping[[#This Row],[KODE BARANG]],[1]!KINONF15[[KDBRG]:[HRG_JLMT_CTN+PPN]],14,0),0)</f>
        <v>0</v>
      </c>
      <c r="N294">
        <f>IFERROR(VLOOKUP(Fix_Mapping[[#This Row],[KODE BARANG]],[1]!KINONF15[[KDBRG]:[HRG_JLMT_CTN+PPN]],15,0),0)</f>
        <v>0</v>
      </c>
      <c r="O294">
        <f>IFERROR(VLOOKUP(Fix_Mapping[[#This Row],[KODE BARANG]],[1]!KINONF15[[KDBRG]:[HRG_JLMT_CTN+PPN]],16,0),0)</f>
        <v>0</v>
      </c>
      <c r="P294">
        <f>IFERROR(VLOOKUP(Fix_Mapping[[#This Row],[KODE BARANG]],[1]!KINONF15[[KDBRG]:[HRG_JLMT_CTN+PPN]],17,0),0)</f>
        <v>0</v>
      </c>
      <c r="Q294">
        <f>IFERROR(VLOOKUP(Fix_Mapping[[#This Row],[KODE BARANG]],[1]!KINONF15[[KDBRG]:[HRG_JLMT_CTN+PPN]],18,0),0)</f>
        <v>0</v>
      </c>
      <c r="R294" t="s">
        <v>2555</v>
      </c>
      <c r="S294" t="s">
        <v>673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1558</v>
      </c>
      <c r="B295" t="s">
        <v>1559</v>
      </c>
      <c r="C295">
        <v>24</v>
      </c>
      <c r="D295">
        <f>IFERROR(VLOOKUP(Fix_Mapping[[#This Row],[KODE BARANG]],[1]!KINONF15[[KDBRG]:[HRG_JLMT_CTN+PPN]],5,0),0)</f>
        <v>0</v>
      </c>
      <c r="E295" t="s">
        <v>2329</v>
      </c>
      <c r="F295">
        <f>IFERROR(VLOOKUP(Fix_Mapping[[#This Row],[KODE BARANG]],[1]!KINONF15[[KDBRG]:[HRG_JLMT_CTN+PPN]],7,0),0)</f>
        <v>0</v>
      </c>
      <c r="G295">
        <f>IFERROR(VLOOKUP(Fix_Mapping[[#This Row],[KODE BARANG]],[1]!KINONF15[[KDBRG]:[HRG_JLMT_CTN+PPN]],8,0),0)</f>
        <v>0</v>
      </c>
      <c r="H295">
        <f>IFERROR(VLOOKUP(Fix_Mapping[[#This Row],[KODE BARANG]],[1]!KINONF15[[KDBRG]:[HRG_JLMT_CTN+PPN]],9,0),0)</f>
        <v>0</v>
      </c>
      <c r="I295">
        <f>IFERROR(VLOOKUP(Fix_Mapping[[#This Row],[KODE BARANG]],[1]!KINONF15[[KDBRG]:[HRG_JLMT_CTN+PPN]],10,0),0)</f>
        <v>0</v>
      </c>
      <c r="J295">
        <f>IFERROR(VLOOKUP(Fix_Mapping[[#This Row],[KODE BARANG]],[1]!KINONF15[[KDBRG]:[HRG_JLMT_CTN+PPN]],11,0),0)</f>
        <v>0</v>
      </c>
      <c r="K295">
        <f>IFERROR(VLOOKUP(Fix_Mapping[[#This Row],[KODE BARANG]],[1]!KINONF15[[KDBRG]:[HRG_JLMT_CTN+PPN]],12,0),0)</f>
        <v>0</v>
      </c>
      <c r="L295">
        <f>IFERROR(VLOOKUP(Fix_Mapping[[#This Row],[KODE BARANG]],[1]!KINONF15[[KDBRG]:[HRG_JLMT_CTN+PPN]],13,0),0)</f>
        <v>0</v>
      </c>
      <c r="M295">
        <f>IFERROR(VLOOKUP(Fix_Mapping[[#This Row],[KODE BARANG]],[1]!KINONF15[[KDBRG]:[HRG_JLMT_CTN+PPN]],14,0),0)</f>
        <v>0</v>
      </c>
      <c r="N295">
        <f>IFERROR(VLOOKUP(Fix_Mapping[[#This Row],[KODE BARANG]],[1]!KINONF15[[KDBRG]:[HRG_JLMT_CTN+PPN]],15,0),0)</f>
        <v>0</v>
      </c>
      <c r="O295">
        <f>IFERROR(VLOOKUP(Fix_Mapping[[#This Row],[KODE BARANG]],[1]!KINONF15[[KDBRG]:[HRG_JLMT_CTN+PPN]],16,0),0)</f>
        <v>0</v>
      </c>
      <c r="P295">
        <f>IFERROR(VLOOKUP(Fix_Mapping[[#This Row],[KODE BARANG]],[1]!KINONF15[[KDBRG]:[HRG_JLMT_CTN+PPN]],17,0),0)</f>
        <v>0</v>
      </c>
      <c r="Q295">
        <f>IFERROR(VLOOKUP(Fix_Mapping[[#This Row],[KODE BARANG]],[1]!KINONF15[[KDBRG]:[HRG_JLMT_CTN+PPN]],18,0),0)</f>
        <v>0</v>
      </c>
      <c r="R295" t="s">
        <v>2555</v>
      </c>
      <c r="S295" t="s">
        <v>725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1399</v>
      </c>
      <c r="B296" t="s">
        <v>1400</v>
      </c>
      <c r="C296">
        <v>36</v>
      </c>
      <c r="D296">
        <f>IFERROR(VLOOKUP(Fix_Mapping[[#This Row],[KODE BARANG]],[1]!KINONF15[[KDBRG]:[HRG_JLMT_CTN+PPN]],5,0),0)</f>
        <v>0</v>
      </c>
      <c r="E296" t="s">
        <v>2350</v>
      </c>
      <c r="F296">
        <f>IFERROR(VLOOKUP(Fix_Mapping[[#This Row],[KODE BARANG]],[1]!KINONF15[[KDBRG]:[HRG_JLMT_CTN+PPN]],7,0),0)</f>
        <v>0</v>
      </c>
      <c r="G296">
        <f>IFERROR(VLOOKUP(Fix_Mapping[[#This Row],[KODE BARANG]],[1]!KINONF15[[KDBRG]:[HRG_JLMT_CTN+PPN]],8,0),0)</f>
        <v>0</v>
      </c>
      <c r="H296">
        <f>IFERROR(VLOOKUP(Fix_Mapping[[#This Row],[KODE BARANG]],[1]!KINONF15[[KDBRG]:[HRG_JLMT_CTN+PPN]],9,0),0)</f>
        <v>0</v>
      </c>
      <c r="I296">
        <f>IFERROR(VLOOKUP(Fix_Mapping[[#This Row],[KODE BARANG]],[1]!KINONF15[[KDBRG]:[HRG_JLMT_CTN+PPN]],10,0),0)</f>
        <v>0</v>
      </c>
      <c r="J296">
        <f>IFERROR(VLOOKUP(Fix_Mapping[[#This Row],[KODE BARANG]],[1]!KINONF15[[KDBRG]:[HRG_JLMT_CTN+PPN]],11,0),0)</f>
        <v>0</v>
      </c>
      <c r="K296">
        <f>IFERROR(VLOOKUP(Fix_Mapping[[#This Row],[KODE BARANG]],[1]!KINONF15[[KDBRG]:[HRG_JLMT_CTN+PPN]],12,0),0)</f>
        <v>0</v>
      </c>
      <c r="L296">
        <f>IFERROR(VLOOKUP(Fix_Mapping[[#This Row],[KODE BARANG]],[1]!KINONF15[[KDBRG]:[HRG_JLMT_CTN+PPN]],13,0),0)</f>
        <v>0</v>
      </c>
      <c r="M296">
        <f>IFERROR(VLOOKUP(Fix_Mapping[[#This Row],[KODE BARANG]],[1]!KINONF15[[KDBRG]:[HRG_JLMT_CTN+PPN]],14,0),0)</f>
        <v>0</v>
      </c>
      <c r="N296">
        <f>IFERROR(VLOOKUP(Fix_Mapping[[#This Row],[KODE BARANG]],[1]!KINONF15[[KDBRG]:[HRG_JLMT_CTN+PPN]],15,0),0)</f>
        <v>0</v>
      </c>
      <c r="O296">
        <f>IFERROR(VLOOKUP(Fix_Mapping[[#This Row],[KODE BARANG]],[1]!KINONF15[[KDBRG]:[HRG_JLMT_CTN+PPN]],16,0),0)</f>
        <v>0</v>
      </c>
      <c r="P296">
        <f>IFERROR(VLOOKUP(Fix_Mapping[[#This Row],[KODE BARANG]],[1]!KINONF15[[KDBRG]:[HRG_JLMT_CTN+PPN]],17,0),0)</f>
        <v>0</v>
      </c>
      <c r="Q296">
        <f>IFERROR(VLOOKUP(Fix_Mapping[[#This Row],[KODE BARANG]],[1]!KINONF15[[KDBRG]:[HRG_JLMT_CTN+PPN]],18,0),0)</f>
        <v>0</v>
      </c>
      <c r="R296" t="s">
        <v>2555</v>
      </c>
      <c r="S296" t="s">
        <v>972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1401</v>
      </c>
      <c r="B297" t="s">
        <v>1402</v>
      </c>
      <c r="C297">
        <v>36</v>
      </c>
      <c r="D297">
        <f>IFERROR(VLOOKUP(Fix_Mapping[[#This Row],[KODE BARANG]],[1]!KINONF15[[KDBRG]:[HRG_JLMT_CTN+PPN]],5,0),0)</f>
        <v>0</v>
      </c>
      <c r="E297" t="s">
        <v>2350</v>
      </c>
      <c r="F297">
        <f>IFERROR(VLOOKUP(Fix_Mapping[[#This Row],[KODE BARANG]],[1]!KINONF15[[KDBRG]:[HRG_JLMT_CTN+PPN]],7,0),0)</f>
        <v>0</v>
      </c>
      <c r="G297">
        <f>IFERROR(VLOOKUP(Fix_Mapping[[#This Row],[KODE BARANG]],[1]!KINONF15[[KDBRG]:[HRG_JLMT_CTN+PPN]],8,0),0)</f>
        <v>0</v>
      </c>
      <c r="H297">
        <f>IFERROR(VLOOKUP(Fix_Mapping[[#This Row],[KODE BARANG]],[1]!KINONF15[[KDBRG]:[HRG_JLMT_CTN+PPN]],9,0),0)</f>
        <v>0</v>
      </c>
      <c r="I297">
        <f>IFERROR(VLOOKUP(Fix_Mapping[[#This Row],[KODE BARANG]],[1]!KINONF15[[KDBRG]:[HRG_JLMT_CTN+PPN]],10,0),0)</f>
        <v>0</v>
      </c>
      <c r="J297">
        <f>IFERROR(VLOOKUP(Fix_Mapping[[#This Row],[KODE BARANG]],[1]!KINONF15[[KDBRG]:[HRG_JLMT_CTN+PPN]],11,0),0)</f>
        <v>0</v>
      </c>
      <c r="K297">
        <f>IFERROR(VLOOKUP(Fix_Mapping[[#This Row],[KODE BARANG]],[1]!KINONF15[[KDBRG]:[HRG_JLMT_CTN+PPN]],12,0),0)</f>
        <v>0</v>
      </c>
      <c r="L297">
        <f>IFERROR(VLOOKUP(Fix_Mapping[[#This Row],[KODE BARANG]],[1]!KINONF15[[KDBRG]:[HRG_JLMT_CTN+PPN]],13,0),0)</f>
        <v>0</v>
      </c>
      <c r="M297">
        <f>IFERROR(VLOOKUP(Fix_Mapping[[#This Row],[KODE BARANG]],[1]!KINONF15[[KDBRG]:[HRG_JLMT_CTN+PPN]],14,0),0)</f>
        <v>0</v>
      </c>
      <c r="N297">
        <f>IFERROR(VLOOKUP(Fix_Mapping[[#This Row],[KODE BARANG]],[1]!KINONF15[[KDBRG]:[HRG_JLMT_CTN+PPN]],15,0),0)</f>
        <v>0</v>
      </c>
      <c r="O297">
        <f>IFERROR(VLOOKUP(Fix_Mapping[[#This Row],[KODE BARANG]],[1]!KINONF15[[KDBRG]:[HRG_JLMT_CTN+PPN]],16,0),0)</f>
        <v>0</v>
      </c>
      <c r="P297">
        <f>IFERROR(VLOOKUP(Fix_Mapping[[#This Row],[KODE BARANG]],[1]!KINONF15[[KDBRG]:[HRG_JLMT_CTN+PPN]],17,0),0)</f>
        <v>0</v>
      </c>
      <c r="Q297">
        <f>IFERROR(VLOOKUP(Fix_Mapping[[#This Row],[KODE BARANG]],[1]!KINONF15[[KDBRG]:[HRG_JLMT_CTN+PPN]],18,0),0)</f>
        <v>0</v>
      </c>
      <c r="R297" t="s">
        <v>2555</v>
      </c>
      <c r="S297" t="s">
        <v>973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1403</v>
      </c>
      <c r="B298" t="s">
        <v>1404</v>
      </c>
      <c r="C298">
        <v>36</v>
      </c>
      <c r="D298">
        <f>IFERROR(VLOOKUP(Fix_Mapping[[#This Row],[KODE BARANG]],[1]!KINONF15[[KDBRG]:[HRG_JLMT_CTN+PPN]],5,0),0)</f>
        <v>0</v>
      </c>
      <c r="E298" t="s">
        <v>2350</v>
      </c>
      <c r="F298">
        <f>IFERROR(VLOOKUP(Fix_Mapping[[#This Row],[KODE BARANG]],[1]!KINONF15[[KDBRG]:[HRG_JLMT_CTN+PPN]],7,0),0)</f>
        <v>0</v>
      </c>
      <c r="G298">
        <f>IFERROR(VLOOKUP(Fix_Mapping[[#This Row],[KODE BARANG]],[1]!KINONF15[[KDBRG]:[HRG_JLMT_CTN+PPN]],8,0),0)</f>
        <v>0</v>
      </c>
      <c r="H298">
        <f>IFERROR(VLOOKUP(Fix_Mapping[[#This Row],[KODE BARANG]],[1]!KINONF15[[KDBRG]:[HRG_JLMT_CTN+PPN]],9,0),0)</f>
        <v>0</v>
      </c>
      <c r="I298">
        <f>IFERROR(VLOOKUP(Fix_Mapping[[#This Row],[KODE BARANG]],[1]!KINONF15[[KDBRG]:[HRG_JLMT_CTN+PPN]],10,0),0)</f>
        <v>0</v>
      </c>
      <c r="J298">
        <f>IFERROR(VLOOKUP(Fix_Mapping[[#This Row],[KODE BARANG]],[1]!KINONF15[[KDBRG]:[HRG_JLMT_CTN+PPN]],11,0),0)</f>
        <v>0</v>
      </c>
      <c r="K298">
        <f>IFERROR(VLOOKUP(Fix_Mapping[[#This Row],[KODE BARANG]],[1]!KINONF15[[KDBRG]:[HRG_JLMT_CTN+PPN]],12,0),0)</f>
        <v>0</v>
      </c>
      <c r="L298">
        <f>IFERROR(VLOOKUP(Fix_Mapping[[#This Row],[KODE BARANG]],[1]!KINONF15[[KDBRG]:[HRG_JLMT_CTN+PPN]],13,0),0)</f>
        <v>0</v>
      </c>
      <c r="M298">
        <f>IFERROR(VLOOKUP(Fix_Mapping[[#This Row],[KODE BARANG]],[1]!KINONF15[[KDBRG]:[HRG_JLMT_CTN+PPN]],14,0),0)</f>
        <v>0</v>
      </c>
      <c r="N298">
        <f>IFERROR(VLOOKUP(Fix_Mapping[[#This Row],[KODE BARANG]],[1]!KINONF15[[KDBRG]:[HRG_JLMT_CTN+PPN]],15,0),0)</f>
        <v>0</v>
      </c>
      <c r="O298">
        <f>IFERROR(VLOOKUP(Fix_Mapping[[#This Row],[KODE BARANG]],[1]!KINONF15[[KDBRG]:[HRG_JLMT_CTN+PPN]],16,0),0)</f>
        <v>0</v>
      </c>
      <c r="P298">
        <f>IFERROR(VLOOKUP(Fix_Mapping[[#This Row],[KODE BARANG]],[1]!KINONF15[[KDBRG]:[HRG_JLMT_CTN+PPN]],17,0),0)</f>
        <v>0</v>
      </c>
      <c r="Q298">
        <f>IFERROR(VLOOKUP(Fix_Mapping[[#This Row],[KODE BARANG]],[1]!KINONF15[[KDBRG]:[HRG_JLMT_CTN+PPN]],18,0),0)</f>
        <v>0</v>
      </c>
      <c r="R298" t="s">
        <v>2555</v>
      </c>
      <c r="S298" t="s">
        <v>974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1568</v>
      </c>
      <c r="B299" t="s">
        <v>1569</v>
      </c>
      <c r="C299">
        <v>36</v>
      </c>
      <c r="D299">
        <f>IFERROR(VLOOKUP(Fix_Mapping[[#This Row],[KODE BARANG]],[1]!KINONF15[[KDBRG]:[HRG_JLMT_CTN+PPN]],5,0),0)</f>
        <v>0</v>
      </c>
      <c r="E299" t="s">
        <v>2204</v>
      </c>
      <c r="F299">
        <f>IFERROR(VLOOKUP(Fix_Mapping[[#This Row],[KODE BARANG]],[1]!KINONF15[[KDBRG]:[HRG_JLMT_CTN+PPN]],7,0),0)</f>
        <v>0</v>
      </c>
      <c r="G299">
        <f>IFERROR(VLOOKUP(Fix_Mapping[[#This Row],[KODE BARANG]],[1]!KINONF15[[KDBRG]:[HRG_JLMT_CTN+PPN]],8,0),0)</f>
        <v>0</v>
      </c>
      <c r="H299">
        <f>IFERROR(VLOOKUP(Fix_Mapping[[#This Row],[KODE BARANG]],[1]!KINONF15[[KDBRG]:[HRG_JLMT_CTN+PPN]],9,0),0)</f>
        <v>0</v>
      </c>
      <c r="I299">
        <f>IFERROR(VLOOKUP(Fix_Mapping[[#This Row],[KODE BARANG]],[1]!KINONF15[[KDBRG]:[HRG_JLMT_CTN+PPN]],10,0),0)</f>
        <v>0</v>
      </c>
      <c r="J299">
        <f>IFERROR(VLOOKUP(Fix_Mapping[[#This Row],[KODE BARANG]],[1]!KINONF15[[KDBRG]:[HRG_JLMT_CTN+PPN]],11,0),0)</f>
        <v>0</v>
      </c>
      <c r="K299">
        <f>IFERROR(VLOOKUP(Fix_Mapping[[#This Row],[KODE BARANG]],[1]!KINONF15[[KDBRG]:[HRG_JLMT_CTN+PPN]],12,0),0)</f>
        <v>0</v>
      </c>
      <c r="L299">
        <f>IFERROR(VLOOKUP(Fix_Mapping[[#This Row],[KODE BARANG]],[1]!KINONF15[[KDBRG]:[HRG_JLMT_CTN+PPN]],13,0),0)</f>
        <v>0</v>
      </c>
      <c r="M299">
        <f>IFERROR(VLOOKUP(Fix_Mapping[[#This Row],[KODE BARANG]],[1]!KINONF15[[KDBRG]:[HRG_JLMT_CTN+PPN]],14,0),0)</f>
        <v>0</v>
      </c>
      <c r="N299">
        <f>IFERROR(VLOOKUP(Fix_Mapping[[#This Row],[KODE BARANG]],[1]!KINONF15[[KDBRG]:[HRG_JLMT_CTN+PPN]],15,0),0)</f>
        <v>0</v>
      </c>
      <c r="O299">
        <f>IFERROR(VLOOKUP(Fix_Mapping[[#This Row],[KODE BARANG]],[1]!KINONF15[[KDBRG]:[HRG_JLMT_CTN+PPN]],16,0),0)</f>
        <v>0</v>
      </c>
      <c r="P299">
        <f>IFERROR(VLOOKUP(Fix_Mapping[[#This Row],[KODE BARANG]],[1]!KINONF15[[KDBRG]:[HRG_JLMT_CTN+PPN]],17,0),0)</f>
        <v>0</v>
      </c>
      <c r="Q299">
        <f>IFERROR(VLOOKUP(Fix_Mapping[[#This Row],[KODE BARANG]],[1]!KINONF15[[KDBRG]:[HRG_JLMT_CTN+PPN]],18,0),0)</f>
        <v>0</v>
      </c>
      <c r="R299" t="s">
        <v>2555</v>
      </c>
      <c r="S299" t="s">
        <v>1003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1570</v>
      </c>
      <c r="B300" t="s">
        <v>1571</v>
      </c>
      <c r="C300">
        <v>36</v>
      </c>
      <c r="D300">
        <f>IFERROR(VLOOKUP(Fix_Mapping[[#This Row],[KODE BARANG]],[1]!KINONF15[[KDBRG]:[HRG_JLMT_CTN+PPN]],5,0),0)</f>
        <v>0</v>
      </c>
      <c r="E300" t="s">
        <v>2204</v>
      </c>
      <c r="F300">
        <f>IFERROR(VLOOKUP(Fix_Mapping[[#This Row],[KODE BARANG]],[1]!KINONF15[[KDBRG]:[HRG_JLMT_CTN+PPN]],7,0),0)</f>
        <v>0</v>
      </c>
      <c r="G300">
        <f>IFERROR(VLOOKUP(Fix_Mapping[[#This Row],[KODE BARANG]],[1]!KINONF15[[KDBRG]:[HRG_JLMT_CTN+PPN]],8,0),0)</f>
        <v>0</v>
      </c>
      <c r="H300">
        <f>IFERROR(VLOOKUP(Fix_Mapping[[#This Row],[KODE BARANG]],[1]!KINONF15[[KDBRG]:[HRG_JLMT_CTN+PPN]],9,0),0)</f>
        <v>0</v>
      </c>
      <c r="I300">
        <f>IFERROR(VLOOKUP(Fix_Mapping[[#This Row],[KODE BARANG]],[1]!KINONF15[[KDBRG]:[HRG_JLMT_CTN+PPN]],10,0),0)</f>
        <v>0</v>
      </c>
      <c r="J300">
        <f>IFERROR(VLOOKUP(Fix_Mapping[[#This Row],[KODE BARANG]],[1]!KINONF15[[KDBRG]:[HRG_JLMT_CTN+PPN]],11,0),0)</f>
        <v>0</v>
      </c>
      <c r="K300">
        <f>IFERROR(VLOOKUP(Fix_Mapping[[#This Row],[KODE BARANG]],[1]!KINONF15[[KDBRG]:[HRG_JLMT_CTN+PPN]],12,0),0)</f>
        <v>0</v>
      </c>
      <c r="L300">
        <f>IFERROR(VLOOKUP(Fix_Mapping[[#This Row],[KODE BARANG]],[1]!KINONF15[[KDBRG]:[HRG_JLMT_CTN+PPN]],13,0),0)</f>
        <v>0</v>
      </c>
      <c r="M300">
        <f>IFERROR(VLOOKUP(Fix_Mapping[[#This Row],[KODE BARANG]],[1]!KINONF15[[KDBRG]:[HRG_JLMT_CTN+PPN]],14,0),0)</f>
        <v>0</v>
      </c>
      <c r="N300">
        <f>IFERROR(VLOOKUP(Fix_Mapping[[#This Row],[KODE BARANG]],[1]!KINONF15[[KDBRG]:[HRG_JLMT_CTN+PPN]],15,0),0)</f>
        <v>0</v>
      </c>
      <c r="O300">
        <f>IFERROR(VLOOKUP(Fix_Mapping[[#This Row],[KODE BARANG]],[1]!KINONF15[[KDBRG]:[HRG_JLMT_CTN+PPN]],16,0),0)</f>
        <v>0</v>
      </c>
      <c r="P300">
        <f>IFERROR(VLOOKUP(Fix_Mapping[[#This Row],[KODE BARANG]],[1]!KINONF15[[KDBRG]:[HRG_JLMT_CTN+PPN]],17,0),0)</f>
        <v>0</v>
      </c>
      <c r="Q300">
        <f>IFERROR(VLOOKUP(Fix_Mapping[[#This Row],[KODE BARANG]],[1]!KINONF15[[KDBRG]:[HRG_JLMT_CTN+PPN]],18,0),0)</f>
        <v>0</v>
      </c>
      <c r="R300" t="s">
        <v>2555</v>
      </c>
      <c r="S300" t="s">
        <v>1004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1572</v>
      </c>
      <c r="B301" t="s">
        <v>1573</v>
      </c>
      <c r="C301">
        <v>36</v>
      </c>
      <c r="D301">
        <f>IFERROR(VLOOKUP(Fix_Mapping[[#This Row],[KODE BARANG]],[1]!KINONF15[[KDBRG]:[HRG_JLMT_CTN+PPN]],5,0),0)</f>
        <v>0</v>
      </c>
      <c r="E301" t="s">
        <v>2204</v>
      </c>
      <c r="F301">
        <f>IFERROR(VLOOKUP(Fix_Mapping[[#This Row],[KODE BARANG]],[1]!KINONF15[[KDBRG]:[HRG_JLMT_CTN+PPN]],7,0),0)</f>
        <v>0</v>
      </c>
      <c r="G301">
        <f>IFERROR(VLOOKUP(Fix_Mapping[[#This Row],[KODE BARANG]],[1]!KINONF15[[KDBRG]:[HRG_JLMT_CTN+PPN]],8,0),0)</f>
        <v>0</v>
      </c>
      <c r="H301">
        <f>IFERROR(VLOOKUP(Fix_Mapping[[#This Row],[KODE BARANG]],[1]!KINONF15[[KDBRG]:[HRG_JLMT_CTN+PPN]],9,0),0)</f>
        <v>0</v>
      </c>
      <c r="I301">
        <f>IFERROR(VLOOKUP(Fix_Mapping[[#This Row],[KODE BARANG]],[1]!KINONF15[[KDBRG]:[HRG_JLMT_CTN+PPN]],10,0),0)</f>
        <v>0</v>
      </c>
      <c r="J301">
        <f>IFERROR(VLOOKUP(Fix_Mapping[[#This Row],[KODE BARANG]],[1]!KINONF15[[KDBRG]:[HRG_JLMT_CTN+PPN]],11,0),0)</f>
        <v>0</v>
      </c>
      <c r="K301">
        <f>IFERROR(VLOOKUP(Fix_Mapping[[#This Row],[KODE BARANG]],[1]!KINONF15[[KDBRG]:[HRG_JLMT_CTN+PPN]],12,0),0)</f>
        <v>0</v>
      </c>
      <c r="L301">
        <f>IFERROR(VLOOKUP(Fix_Mapping[[#This Row],[KODE BARANG]],[1]!KINONF15[[KDBRG]:[HRG_JLMT_CTN+PPN]],13,0),0)</f>
        <v>0</v>
      </c>
      <c r="M301">
        <f>IFERROR(VLOOKUP(Fix_Mapping[[#This Row],[KODE BARANG]],[1]!KINONF15[[KDBRG]:[HRG_JLMT_CTN+PPN]],14,0),0)</f>
        <v>0</v>
      </c>
      <c r="N301">
        <f>IFERROR(VLOOKUP(Fix_Mapping[[#This Row],[KODE BARANG]],[1]!KINONF15[[KDBRG]:[HRG_JLMT_CTN+PPN]],15,0),0)</f>
        <v>0</v>
      </c>
      <c r="O301">
        <f>IFERROR(VLOOKUP(Fix_Mapping[[#This Row],[KODE BARANG]],[1]!KINONF15[[KDBRG]:[HRG_JLMT_CTN+PPN]],16,0),0)</f>
        <v>0</v>
      </c>
      <c r="P301">
        <f>IFERROR(VLOOKUP(Fix_Mapping[[#This Row],[KODE BARANG]],[1]!KINONF15[[KDBRG]:[HRG_JLMT_CTN+PPN]],17,0),0)</f>
        <v>0</v>
      </c>
      <c r="Q301">
        <f>IFERROR(VLOOKUP(Fix_Mapping[[#This Row],[KODE BARANG]],[1]!KINONF15[[KDBRG]:[HRG_JLMT_CTN+PPN]],18,0),0)</f>
        <v>0</v>
      </c>
      <c r="R301" t="s">
        <v>2555</v>
      </c>
      <c r="S301" t="s">
        <v>1005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1574</v>
      </c>
      <c r="B302" t="s">
        <v>1575</v>
      </c>
      <c r="C302">
        <v>36</v>
      </c>
      <c r="D302">
        <f>IFERROR(VLOOKUP(Fix_Mapping[[#This Row],[KODE BARANG]],[1]!KINONF15[[KDBRG]:[HRG_JLMT_CTN+PPN]],5,0),0)</f>
        <v>0</v>
      </c>
      <c r="E302" t="s">
        <v>2204</v>
      </c>
      <c r="F302">
        <f>IFERROR(VLOOKUP(Fix_Mapping[[#This Row],[KODE BARANG]],[1]!KINONF15[[KDBRG]:[HRG_JLMT_CTN+PPN]],7,0),0)</f>
        <v>0</v>
      </c>
      <c r="G302">
        <f>IFERROR(VLOOKUP(Fix_Mapping[[#This Row],[KODE BARANG]],[1]!KINONF15[[KDBRG]:[HRG_JLMT_CTN+PPN]],8,0),0)</f>
        <v>0</v>
      </c>
      <c r="H302">
        <f>IFERROR(VLOOKUP(Fix_Mapping[[#This Row],[KODE BARANG]],[1]!KINONF15[[KDBRG]:[HRG_JLMT_CTN+PPN]],9,0),0)</f>
        <v>0</v>
      </c>
      <c r="I302">
        <f>IFERROR(VLOOKUP(Fix_Mapping[[#This Row],[KODE BARANG]],[1]!KINONF15[[KDBRG]:[HRG_JLMT_CTN+PPN]],10,0),0)</f>
        <v>0</v>
      </c>
      <c r="J302">
        <f>IFERROR(VLOOKUP(Fix_Mapping[[#This Row],[KODE BARANG]],[1]!KINONF15[[KDBRG]:[HRG_JLMT_CTN+PPN]],11,0),0)</f>
        <v>0</v>
      </c>
      <c r="K302">
        <f>IFERROR(VLOOKUP(Fix_Mapping[[#This Row],[KODE BARANG]],[1]!KINONF15[[KDBRG]:[HRG_JLMT_CTN+PPN]],12,0),0)</f>
        <v>0</v>
      </c>
      <c r="L302">
        <f>IFERROR(VLOOKUP(Fix_Mapping[[#This Row],[KODE BARANG]],[1]!KINONF15[[KDBRG]:[HRG_JLMT_CTN+PPN]],13,0),0)</f>
        <v>0</v>
      </c>
      <c r="M302">
        <f>IFERROR(VLOOKUP(Fix_Mapping[[#This Row],[KODE BARANG]],[1]!KINONF15[[KDBRG]:[HRG_JLMT_CTN+PPN]],14,0),0)</f>
        <v>0</v>
      </c>
      <c r="N302">
        <f>IFERROR(VLOOKUP(Fix_Mapping[[#This Row],[KODE BARANG]],[1]!KINONF15[[KDBRG]:[HRG_JLMT_CTN+PPN]],15,0),0)</f>
        <v>0</v>
      </c>
      <c r="O302">
        <f>IFERROR(VLOOKUP(Fix_Mapping[[#This Row],[KODE BARANG]],[1]!KINONF15[[KDBRG]:[HRG_JLMT_CTN+PPN]],16,0),0)</f>
        <v>0</v>
      </c>
      <c r="P302">
        <f>IFERROR(VLOOKUP(Fix_Mapping[[#This Row],[KODE BARANG]],[1]!KINONF15[[KDBRG]:[HRG_JLMT_CTN+PPN]],17,0),0)</f>
        <v>0</v>
      </c>
      <c r="Q302">
        <f>IFERROR(VLOOKUP(Fix_Mapping[[#This Row],[KODE BARANG]],[1]!KINONF15[[KDBRG]:[HRG_JLMT_CTN+PPN]],18,0),0)</f>
        <v>0</v>
      </c>
      <c r="R302" t="s">
        <v>2555</v>
      </c>
      <c r="S302" t="s">
        <v>1006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1576</v>
      </c>
      <c r="B303" t="s">
        <v>1577</v>
      </c>
      <c r="C303">
        <v>36</v>
      </c>
      <c r="D303">
        <f>IFERROR(VLOOKUP(Fix_Mapping[[#This Row],[KODE BARANG]],[1]!KINONF15[[KDBRG]:[HRG_JLMT_CTN+PPN]],5,0),0)</f>
        <v>0</v>
      </c>
      <c r="E303" t="s">
        <v>2204</v>
      </c>
      <c r="F303">
        <f>IFERROR(VLOOKUP(Fix_Mapping[[#This Row],[KODE BARANG]],[1]!KINONF15[[KDBRG]:[HRG_JLMT_CTN+PPN]],7,0),0)</f>
        <v>0</v>
      </c>
      <c r="G303">
        <f>IFERROR(VLOOKUP(Fix_Mapping[[#This Row],[KODE BARANG]],[1]!KINONF15[[KDBRG]:[HRG_JLMT_CTN+PPN]],8,0),0)</f>
        <v>0</v>
      </c>
      <c r="H303">
        <f>IFERROR(VLOOKUP(Fix_Mapping[[#This Row],[KODE BARANG]],[1]!KINONF15[[KDBRG]:[HRG_JLMT_CTN+PPN]],9,0),0)</f>
        <v>0</v>
      </c>
      <c r="I303">
        <f>IFERROR(VLOOKUP(Fix_Mapping[[#This Row],[KODE BARANG]],[1]!KINONF15[[KDBRG]:[HRG_JLMT_CTN+PPN]],10,0),0)</f>
        <v>0</v>
      </c>
      <c r="J303">
        <f>IFERROR(VLOOKUP(Fix_Mapping[[#This Row],[KODE BARANG]],[1]!KINONF15[[KDBRG]:[HRG_JLMT_CTN+PPN]],11,0),0)</f>
        <v>0</v>
      </c>
      <c r="K303">
        <f>IFERROR(VLOOKUP(Fix_Mapping[[#This Row],[KODE BARANG]],[1]!KINONF15[[KDBRG]:[HRG_JLMT_CTN+PPN]],12,0),0)</f>
        <v>0</v>
      </c>
      <c r="L303">
        <f>IFERROR(VLOOKUP(Fix_Mapping[[#This Row],[KODE BARANG]],[1]!KINONF15[[KDBRG]:[HRG_JLMT_CTN+PPN]],13,0),0)</f>
        <v>0</v>
      </c>
      <c r="M303">
        <f>IFERROR(VLOOKUP(Fix_Mapping[[#This Row],[KODE BARANG]],[1]!KINONF15[[KDBRG]:[HRG_JLMT_CTN+PPN]],14,0),0)</f>
        <v>0</v>
      </c>
      <c r="N303">
        <f>IFERROR(VLOOKUP(Fix_Mapping[[#This Row],[KODE BARANG]],[1]!KINONF15[[KDBRG]:[HRG_JLMT_CTN+PPN]],15,0),0)</f>
        <v>0</v>
      </c>
      <c r="O303">
        <f>IFERROR(VLOOKUP(Fix_Mapping[[#This Row],[KODE BARANG]],[1]!KINONF15[[KDBRG]:[HRG_JLMT_CTN+PPN]],16,0),0)</f>
        <v>0</v>
      </c>
      <c r="P303">
        <f>IFERROR(VLOOKUP(Fix_Mapping[[#This Row],[KODE BARANG]],[1]!KINONF15[[KDBRG]:[HRG_JLMT_CTN+PPN]],17,0),0)</f>
        <v>0</v>
      </c>
      <c r="Q303">
        <f>IFERROR(VLOOKUP(Fix_Mapping[[#This Row],[KODE BARANG]],[1]!KINONF15[[KDBRG]:[HRG_JLMT_CTN+PPN]],18,0),0)</f>
        <v>0</v>
      </c>
      <c r="R303" t="s">
        <v>2555</v>
      </c>
      <c r="S303" t="s">
        <v>1007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1578</v>
      </c>
      <c r="B304" t="s">
        <v>1579</v>
      </c>
      <c r="C304">
        <v>36</v>
      </c>
      <c r="D304">
        <f>IFERROR(VLOOKUP(Fix_Mapping[[#This Row],[KODE BARANG]],[1]!KINONF15[[KDBRG]:[HRG_JLMT_CTN+PPN]],5,0),0)</f>
        <v>0</v>
      </c>
      <c r="E304" t="s">
        <v>2204</v>
      </c>
      <c r="F304">
        <f>IFERROR(VLOOKUP(Fix_Mapping[[#This Row],[KODE BARANG]],[1]!KINONF15[[KDBRG]:[HRG_JLMT_CTN+PPN]],7,0),0)</f>
        <v>0</v>
      </c>
      <c r="G304">
        <f>IFERROR(VLOOKUP(Fix_Mapping[[#This Row],[KODE BARANG]],[1]!KINONF15[[KDBRG]:[HRG_JLMT_CTN+PPN]],8,0),0)</f>
        <v>0</v>
      </c>
      <c r="H304">
        <f>IFERROR(VLOOKUP(Fix_Mapping[[#This Row],[KODE BARANG]],[1]!KINONF15[[KDBRG]:[HRG_JLMT_CTN+PPN]],9,0),0)</f>
        <v>0</v>
      </c>
      <c r="I304">
        <f>IFERROR(VLOOKUP(Fix_Mapping[[#This Row],[KODE BARANG]],[1]!KINONF15[[KDBRG]:[HRG_JLMT_CTN+PPN]],10,0),0)</f>
        <v>0</v>
      </c>
      <c r="J304">
        <f>IFERROR(VLOOKUP(Fix_Mapping[[#This Row],[KODE BARANG]],[1]!KINONF15[[KDBRG]:[HRG_JLMT_CTN+PPN]],11,0),0)</f>
        <v>0</v>
      </c>
      <c r="K304">
        <f>IFERROR(VLOOKUP(Fix_Mapping[[#This Row],[KODE BARANG]],[1]!KINONF15[[KDBRG]:[HRG_JLMT_CTN+PPN]],12,0),0)</f>
        <v>0</v>
      </c>
      <c r="L304">
        <f>IFERROR(VLOOKUP(Fix_Mapping[[#This Row],[KODE BARANG]],[1]!KINONF15[[KDBRG]:[HRG_JLMT_CTN+PPN]],13,0),0)</f>
        <v>0</v>
      </c>
      <c r="M304">
        <f>IFERROR(VLOOKUP(Fix_Mapping[[#This Row],[KODE BARANG]],[1]!KINONF15[[KDBRG]:[HRG_JLMT_CTN+PPN]],14,0),0)</f>
        <v>0</v>
      </c>
      <c r="N304">
        <f>IFERROR(VLOOKUP(Fix_Mapping[[#This Row],[KODE BARANG]],[1]!KINONF15[[KDBRG]:[HRG_JLMT_CTN+PPN]],15,0),0)</f>
        <v>0</v>
      </c>
      <c r="O304">
        <f>IFERROR(VLOOKUP(Fix_Mapping[[#This Row],[KODE BARANG]],[1]!KINONF15[[KDBRG]:[HRG_JLMT_CTN+PPN]],16,0),0)</f>
        <v>0</v>
      </c>
      <c r="P304">
        <f>IFERROR(VLOOKUP(Fix_Mapping[[#This Row],[KODE BARANG]],[1]!KINONF15[[KDBRG]:[HRG_JLMT_CTN+PPN]],17,0),0)</f>
        <v>0</v>
      </c>
      <c r="Q304">
        <f>IFERROR(VLOOKUP(Fix_Mapping[[#This Row],[KODE BARANG]],[1]!KINONF15[[KDBRG]:[HRG_JLMT_CTN+PPN]],18,0),0)</f>
        <v>0</v>
      </c>
      <c r="R304" t="s">
        <v>2555</v>
      </c>
      <c r="S304" t="s">
        <v>1008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1580</v>
      </c>
      <c r="B305" t="s">
        <v>1581</v>
      </c>
      <c r="C305">
        <v>36</v>
      </c>
      <c r="D305">
        <f>IFERROR(VLOOKUP(Fix_Mapping[[#This Row],[KODE BARANG]],[1]!KINONF15[[KDBRG]:[HRG_JLMT_CTN+PPN]],5,0),0)</f>
        <v>0</v>
      </c>
      <c r="E305" t="s">
        <v>2204</v>
      </c>
      <c r="F305">
        <f>IFERROR(VLOOKUP(Fix_Mapping[[#This Row],[KODE BARANG]],[1]!KINONF15[[KDBRG]:[HRG_JLMT_CTN+PPN]],7,0),0)</f>
        <v>0</v>
      </c>
      <c r="G305">
        <f>IFERROR(VLOOKUP(Fix_Mapping[[#This Row],[KODE BARANG]],[1]!KINONF15[[KDBRG]:[HRG_JLMT_CTN+PPN]],8,0),0)</f>
        <v>0</v>
      </c>
      <c r="H305">
        <f>IFERROR(VLOOKUP(Fix_Mapping[[#This Row],[KODE BARANG]],[1]!KINONF15[[KDBRG]:[HRG_JLMT_CTN+PPN]],9,0),0)</f>
        <v>0</v>
      </c>
      <c r="I305">
        <f>IFERROR(VLOOKUP(Fix_Mapping[[#This Row],[KODE BARANG]],[1]!KINONF15[[KDBRG]:[HRG_JLMT_CTN+PPN]],10,0),0)</f>
        <v>0</v>
      </c>
      <c r="J305">
        <f>IFERROR(VLOOKUP(Fix_Mapping[[#This Row],[KODE BARANG]],[1]!KINONF15[[KDBRG]:[HRG_JLMT_CTN+PPN]],11,0),0)</f>
        <v>0</v>
      </c>
      <c r="K305">
        <f>IFERROR(VLOOKUP(Fix_Mapping[[#This Row],[KODE BARANG]],[1]!KINONF15[[KDBRG]:[HRG_JLMT_CTN+PPN]],12,0),0)</f>
        <v>0</v>
      </c>
      <c r="L305">
        <f>IFERROR(VLOOKUP(Fix_Mapping[[#This Row],[KODE BARANG]],[1]!KINONF15[[KDBRG]:[HRG_JLMT_CTN+PPN]],13,0),0)</f>
        <v>0</v>
      </c>
      <c r="M305">
        <f>IFERROR(VLOOKUP(Fix_Mapping[[#This Row],[KODE BARANG]],[1]!KINONF15[[KDBRG]:[HRG_JLMT_CTN+PPN]],14,0),0)</f>
        <v>0</v>
      </c>
      <c r="N305">
        <f>IFERROR(VLOOKUP(Fix_Mapping[[#This Row],[KODE BARANG]],[1]!KINONF15[[KDBRG]:[HRG_JLMT_CTN+PPN]],15,0),0)</f>
        <v>0</v>
      </c>
      <c r="O305">
        <f>IFERROR(VLOOKUP(Fix_Mapping[[#This Row],[KODE BARANG]],[1]!KINONF15[[KDBRG]:[HRG_JLMT_CTN+PPN]],16,0),0)</f>
        <v>0</v>
      </c>
      <c r="P305">
        <f>IFERROR(VLOOKUP(Fix_Mapping[[#This Row],[KODE BARANG]],[1]!KINONF15[[KDBRG]:[HRG_JLMT_CTN+PPN]],17,0),0)</f>
        <v>0</v>
      </c>
      <c r="Q305">
        <f>IFERROR(VLOOKUP(Fix_Mapping[[#This Row],[KODE BARANG]],[1]!KINONF15[[KDBRG]:[HRG_JLMT_CTN+PPN]],18,0),0)</f>
        <v>0</v>
      </c>
      <c r="R305" t="s">
        <v>2555</v>
      </c>
      <c r="S305" t="s">
        <v>1009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1560</v>
      </c>
      <c r="B306" t="s">
        <v>1561</v>
      </c>
      <c r="C306">
        <v>24</v>
      </c>
      <c r="D306">
        <f>IFERROR(VLOOKUP(Fix_Mapping[[#This Row],[KODE BARANG]],[1]!KINONF15[[KDBRG]:[HRG_JLMT_CTN+PPN]],5,0),0)</f>
        <v>0</v>
      </c>
      <c r="E306" t="s">
        <v>2331</v>
      </c>
      <c r="F306">
        <f>IFERROR(VLOOKUP(Fix_Mapping[[#This Row],[KODE BARANG]],[1]!KINONF15[[KDBRG]:[HRG_JLMT_CTN+PPN]],7,0),0)</f>
        <v>0</v>
      </c>
      <c r="G306">
        <f>IFERROR(VLOOKUP(Fix_Mapping[[#This Row],[KODE BARANG]],[1]!KINONF15[[KDBRG]:[HRG_JLMT_CTN+PPN]],8,0),0)</f>
        <v>0</v>
      </c>
      <c r="H306">
        <f>IFERROR(VLOOKUP(Fix_Mapping[[#This Row],[KODE BARANG]],[1]!KINONF15[[KDBRG]:[HRG_JLMT_CTN+PPN]],9,0),0)</f>
        <v>0</v>
      </c>
      <c r="I306">
        <f>IFERROR(VLOOKUP(Fix_Mapping[[#This Row],[KODE BARANG]],[1]!KINONF15[[KDBRG]:[HRG_JLMT_CTN+PPN]],10,0),0)</f>
        <v>0</v>
      </c>
      <c r="J306">
        <f>IFERROR(VLOOKUP(Fix_Mapping[[#This Row],[KODE BARANG]],[1]!KINONF15[[KDBRG]:[HRG_JLMT_CTN+PPN]],11,0),0)</f>
        <v>0</v>
      </c>
      <c r="K306">
        <f>IFERROR(VLOOKUP(Fix_Mapping[[#This Row],[KODE BARANG]],[1]!KINONF15[[KDBRG]:[HRG_JLMT_CTN+PPN]],12,0),0)</f>
        <v>0</v>
      </c>
      <c r="L306">
        <f>IFERROR(VLOOKUP(Fix_Mapping[[#This Row],[KODE BARANG]],[1]!KINONF15[[KDBRG]:[HRG_JLMT_CTN+PPN]],13,0),0)</f>
        <v>0</v>
      </c>
      <c r="M306">
        <f>IFERROR(VLOOKUP(Fix_Mapping[[#This Row],[KODE BARANG]],[1]!KINONF15[[KDBRG]:[HRG_JLMT_CTN+PPN]],14,0),0)</f>
        <v>0</v>
      </c>
      <c r="N306">
        <f>IFERROR(VLOOKUP(Fix_Mapping[[#This Row],[KODE BARANG]],[1]!KINONF15[[KDBRG]:[HRG_JLMT_CTN+PPN]],15,0),0)</f>
        <v>0</v>
      </c>
      <c r="O306">
        <f>IFERROR(VLOOKUP(Fix_Mapping[[#This Row],[KODE BARANG]],[1]!KINONF15[[KDBRG]:[HRG_JLMT_CTN+PPN]],16,0),0)</f>
        <v>0</v>
      </c>
      <c r="P306">
        <f>IFERROR(VLOOKUP(Fix_Mapping[[#This Row],[KODE BARANG]],[1]!KINONF15[[KDBRG]:[HRG_JLMT_CTN+PPN]],17,0),0)</f>
        <v>0</v>
      </c>
      <c r="Q306">
        <f>IFERROR(VLOOKUP(Fix_Mapping[[#This Row],[KODE BARANG]],[1]!KINONF15[[KDBRG]:[HRG_JLMT_CTN+PPN]],18,0),0)</f>
        <v>0</v>
      </c>
      <c r="R306" t="s">
        <v>2555</v>
      </c>
      <c r="S306" t="s">
        <v>999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1562</v>
      </c>
      <c r="B307" t="s">
        <v>1563</v>
      </c>
      <c r="C307">
        <v>24</v>
      </c>
      <c r="D307">
        <f>IFERROR(VLOOKUP(Fix_Mapping[[#This Row],[KODE BARANG]],[1]!KINONF15[[KDBRG]:[HRG_JLMT_CTN+PPN]],5,0),0)</f>
        <v>0</v>
      </c>
      <c r="E307" t="s">
        <v>2331</v>
      </c>
      <c r="F307">
        <f>IFERROR(VLOOKUP(Fix_Mapping[[#This Row],[KODE BARANG]],[1]!KINONF15[[KDBRG]:[HRG_JLMT_CTN+PPN]],7,0),0)</f>
        <v>0</v>
      </c>
      <c r="G307">
        <f>IFERROR(VLOOKUP(Fix_Mapping[[#This Row],[KODE BARANG]],[1]!KINONF15[[KDBRG]:[HRG_JLMT_CTN+PPN]],8,0),0)</f>
        <v>0</v>
      </c>
      <c r="H307">
        <f>IFERROR(VLOOKUP(Fix_Mapping[[#This Row],[KODE BARANG]],[1]!KINONF15[[KDBRG]:[HRG_JLMT_CTN+PPN]],9,0),0)</f>
        <v>0</v>
      </c>
      <c r="I307">
        <f>IFERROR(VLOOKUP(Fix_Mapping[[#This Row],[KODE BARANG]],[1]!KINONF15[[KDBRG]:[HRG_JLMT_CTN+PPN]],10,0),0)</f>
        <v>0</v>
      </c>
      <c r="J307">
        <f>IFERROR(VLOOKUP(Fix_Mapping[[#This Row],[KODE BARANG]],[1]!KINONF15[[KDBRG]:[HRG_JLMT_CTN+PPN]],11,0),0)</f>
        <v>0</v>
      </c>
      <c r="K307">
        <f>IFERROR(VLOOKUP(Fix_Mapping[[#This Row],[KODE BARANG]],[1]!KINONF15[[KDBRG]:[HRG_JLMT_CTN+PPN]],12,0),0)</f>
        <v>0</v>
      </c>
      <c r="L307">
        <f>IFERROR(VLOOKUP(Fix_Mapping[[#This Row],[KODE BARANG]],[1]!KINONF15[[KDBRG]:[HRG_JLMT_CTN+PPN]],13,0),0)</f>
        <v>0</v>
      </c>
      <c r="M307">
        <f>IFERROR(VLOOKUP(Fix_Mapping[[#This Row],[KODE BARANG]],[1]!KINONF15[[KDBRG]:[HRG_JLMT_CTN+PPN]],14,0),0)</f>
        <v>0</v>
      </c>
      <c r="N307">
        <f>IFERROR(VLOOKUP(Fix_Mapping[[#This Row],[KODE BARANG]],[1]!KINONF15[[KDBRG]:[HRG_JLMT_CTN+PPN]],15,0),0)</f>
        <v>0</v>
      </c>
      <c r="O307">
        <f>IFERROR(VLOOKUP(Fix_Mapping[[#This Row],[KODE BARANG]],[1]!KINONF15[[KDBRG]:[HRG_JLMT_CTN+PPN]],16,0),0)</f>
        <v>0</v>
      </c>
      <c r="P307">
        <f>IFERROR(VLOOKUP(Fix_Mapping[[#This Row],[KODE BARANG]],[1]!KINONF15[[KDBRG]:[HRG_JLMT_CTN+PPN]],17,0),0)</f>
        <v>0</v>
      </c>
      <c r="Q307">
        <f>IFERROR(VLOOKUP(Fix_Mapping[[#This Row],[KODE BARANG]],[1]!KINONF15[[KDBRG]:[HRG_JLMT_CTN+PPN]],18,0),0)</f>
        <v>0</v>
      </c>
      <c r="R307" t="s">
        <v>2555</v>
      </c>
      <c r="S307" t="s">
        <v>1000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1564</v>
      </c>
      <c r="B308" t="s">
        <v>1565</v>
      </c>
      <c r="C308">
        <v>24</v>
      </c>
      <c r="D308">
        <f>IFERROR(VLOOKUP(Fix_Mapping[[#This Row],[KODE BARANG]],[1]!KINONF15[[KDBRG]:[HRG_JLMT_CTN+PPN]],5,0),0)</f>
        <v>0</v>
      </c>
      <c r="E308" t="s">
        <v>2331</v>
      </c>
      <c r="F308">
        <f>IFERROR(VLOOKUP(Fix_Mapping[[#This Row],[KODE BARANG]],[1]!KINONF15[[KDBRG]:[HRG_JLMT_CTN+PPN]],7,0),0)</f>
        <v>0</v>
      </c>
      <c r="G308">
        <f>IFERROR(VLOOKUP(Fix_Mapping[[#This Row],[KODE BARANG]],[1]!KINONF15[[KDBRG]:[HRG_JLMT_CTN+PPN]],8,0),0)</f>
        <v>0</v>
      </c>
      <c r="H308">
        <f>IFERROR(VLOOKUP(Fix_Mapping[[#This Row],[KODE BARANG]],[1]!KINONF15[[KDBRG]:[HRG_JLMT_CTN+PPN]],9,0),0)</f>
        <v>0</v>
      </c>
      <c r="I308">
        <f>IFERROR(VLOOKUP(Fix_Mapping[[#This Row],[KODE BARANG]],[1]!KINONF15[[KDBRG]:[HRG_JLMT_CTN+PPN]],10,0),0)</f>
        <v>0</v>
      </c>
      <c r="J308">
        <f>IFERROR(VLOOKUP(Fix_Mapping[[#This Row],[KODE BARANG]],[1]!KINONF15[[KDBRG]:[HRG_JLMT_CTN+PPN]],11,0),0)</f>
        <v>0</v>
      </c>
      <c r="K308">
        <f>IFERROR(VLOOKUP(Fix_Mapping[[#This Row],[KODE BARANG]],[1]!KINONF15[[KDBRG]:[HRG_JLMT_CTN+PPN]],12,0),0)</f>
        <v>0</v>
      </c>
      <c r="L308">
        <f>IFERROR(VLOOKUP(Fix_Mapping[[#This Row],[KODE BARANG]],[1]!KINONF15[[KDBRG]:[HRG_JLMT_CTN+PPN]],13,0),0)</f>
        <v>0</v>
      </c>
      <c r="M308">
        <f>IFERROR(VLOOKUP(Fix_Mapping[[#This Row],[KODE BARANG]],[1]!KINONF15[[KDBRG]:[HRG_JLMT_CTN+PPN]],14,0),0)</f>
        <v>0</v>
      </c>
      <c r="N308">
        <f>IFERROR(VLOOKUP(Fix_Mapping[[#This Row],[KODE BARANG]],[1]!KINONF15[[KDBRG]:[HRG_JLMT_CTN+PPN]],15,0),0)</f>
        <v>0</v>
      </c>
      <c r="O308">
        <f>IFERROR(VLOOKUP(Fix_Mapping[[#This Row],[KODE BARANG]],[1]!KINONF15[[KDBRG]:[HRG_JLMT_CTN+PPN]],16,0),0)</f>
        <v>0</v>
      </c>
      <c r="P308">
        <f>IFERROR(VLOOKUP(Fix_Mapping[[#This Row],[KODE BARANG]],[1]!KINONF15[[KDBRG]:[HRG_JLMT_CTN+PPN]],17,0),0)</f>
        <v>0</v>
      </c>
      <c r="Q308">
        <f>IFERROR(VLOOKUP(Fix_Mapping[[#This Row],[KODE BARANG]],[1]!KINONF15[[KDBRG]:[HRG_JLMT_CTN+PPN]],18,0),0)</f>
        <v>0</v>
      </c>
      <c r="R308" t="s">
        <v>2555</v>
      </c>
      <c r="S308" t="s">
        <v>1001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1566</v>
      </c>
      <c r="B309" t="s">
        <v>1567</v>
      </c>
      <c r="C309">
        <v>24</v>
      </c>
      <c r="D309">
        <f>IFERROR(VLOOKUP(Fix_Mapping[[#This Row],[KODE BARANG]],[1]!KINONF15[[KDBRG]:[HRG_JLMT_CTN+PPN]],5,0),0)</f>
        <v>0</v>
      </c>
      <c r="E309" t="s">
        <v>2331</v>
      </c>
      <c r="F309">
        <f>IFERROR(VLOOKUP(Fix_Mapping[[#This Row],[KODE BARANG]],[1]!KINONF15[[KDBRG]:[HRG_JLMT_CTN+PPN]],7,0),0)</f>
        <v>0</v>
      </c>
      <c r="G309">
        <f>IFERROR(VLOOKUP(Fix_Mapping[[#This Row],[KODE BARANG]],[1]!KINONF15[[KDBRG]:[HRG_JLMT_CTN+PPN]],8,0),0)</f>
        <v>0</v>
      </c>
      <c r="H309">
        <f>IFERROR(VLOOKUP(Fix_Mapping[[#This Row],[KODE BARANG]],[1]!KINONF15[[KDBRG]:[HRG_JLMT_CTN+PPN]],9,0),0)</f>
        <v>0</v>
      </c>
      <c r="I309">
        <f>IFERROR(VLOOKUP(Fix_Mapping[[#This Row],[KODE BARANG]],[1]!KINONF15[[KDBRG]:[HRG_JLMT_CTN+PPN]],10,0),0)</f>
        <v>0</v>
      </c>
      <c r="J309">
        <f>IFERROR(VLOOKUP(Fix_Mapping[[#This Row],[KODE BARANG]],[1]!KINONF15[[KDBRG]:[HRG_JLMT_CTN+PPN]],11,0),0)</f>
        <v>0</v>
      </c>
      <c r="K309">
        <f>IFERROR(VLOOKUP(Fix_Mapping[[#This Row],[KODE BARANG]],[1]!KINONF15[[KDBRG]:[HRG_JLMT_CTN+PPN]],12,0),0)</f>
        <v>0</v>
      </c>
      <c r="L309">
        <f>IFERROR(VLOOKUP(Fix_Mapping[[#This Row],[KODE BARANG]],[1]!KINONF15[[KDBRG]:[HRG_JLMT_CTN+PPN]],13,0),0)</f>
        <v>0</v>
      </c>
      <c r="M309">
        <f>IFERROR(VLOOKUP(Fix_Mapping[[#This Row],[KODE BARANG]],[1]!KINONF15[[KDBRG]:[HRG_JLMT_CTN+PPN]],14,0),0)</f>
        <v>0</v>
      </c>
      <c r="N309">
        <f>IFERROR(VLOOKUP(Fix_Mapping[[#This Row],[KODE BARANG]],[1]!KINONF15[[KDBRG]:[HRG_JLMT_CTN+PPN]],15,0),0)</f>
        <v>0</v>
      </c>
      <c r="O309">
        <f>IFERROR(VLOOKUP(Fix_Mapping[[#This Row],[KODE BARANG]],[1]!KINONF15[[KDBRG]:[HRG_JLMT_CTN+PPN]],16,0),0)</f>
        <v>0</v>
      </c>
      <c r="P309">
        <f>IFERROR(VLOOKUP(Fix_Mapping[[#This Row],[KODE BARANG]],[1]!KINONF15[[KDBRG]:[HRG_JLMT_CTN+PPN]],17,0),0)</f>
        <v>0</v>
      </c>
      <c r="Q309">
        <f>IFERROR(VLOOKUP(Fix_Mapping[[#This Row],[KODE BARANG]],[1]!KINONF15[[KDBRG]:[HRG_JLMT_CTN+PPN]],18,0),0)</f>
        <v>0</v>
      </c>
      <c r="R309" t="s">
        <v>2555</v>
      </c>
      <c r="S309" t="s">
        <v>1002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1594</v>
      </c>
      <c r="B310" t="s">
        <v>1595</v>
      </c>
      <c r="C310">
        <v>24</v>
      </c>
      <c r="D310">
        <f>IFERROR(VLOOKUP(Fix_Mapping[[#This Row],[KODE BARANG]],[1]!KINONF15[[KDBRG]:[HRG_JLMT_CTN+PPN]],5,0),0)</f>
        <v>0</v>
      </c>
      <c r="E310" t="s">
        <v>2208</v>
      </c>
      <c r="F310">
        <f>IFERROR(VLOOKUP(Fix_Mapping[[#This Row],[KODE BARANG]],[1]!KINONF15[[KDBRG]:[HRG_JLMT_CTN+PPN]],7,0),0)</f>
        <v>0</v>
      </c>
      <c r="G310">
        <f>IFERROR(VLOOKUP(Fix_Mapping[[#This Row],[KODE BARANG]],[1]!KINONF15[[KDBRG]:[HRG_JLMT_CTN+PPN]],8,0),0)</f>
        <v>0</v>
      </c>
      <c r="H310">
        <f>IFERROR(VLOOKUP(Fix_Mapping[[#This Row],[KODE BARANG]],[1]!KINONF15[[KDBRG]:[HRG_JLMT_CTN+PPN]],9,0),0)</f>
        <v>0</v>
      </c>
      <c r="I310">
        <f>IFERROR(VLOOKUP(Fix_Mapping[[#This Row],[KODE BARANG]],[1]!KINONF15[[KDBRG]:[HRG_JLMT_CTN+PPN]],10,0),0)</f>
        <v>0</v>
      </c>
      <c r="J310">
        <f>IFERROR(VLOOKUP(Fix_Mapping[[#This Row],[KODE BARANG]],[1]!KINONF15[[KDBRG]:[HRG_JLMT_CTN+PPN]],11,0),0)</f>
        <v>0</v>
      </c>
      <c r="K310">
        <f>IFERROR(VLOOKUP(Fix_Mapping[[#This Row],[KODE BARANG]],[1]!KINONF15[[KDBRG]:[HRG_JLMT_CTN+PPN]],12,0),0)</f>
        <v>0</v>
      </c>
      <c r="L310">
        <f>IFERROR(VLOOKUP(Fix_Mapping[[#This Row],[KODE BARANG]],[1]!KINONF15[[KDBRG]:[HRG_JLMT_CTN+PPN]],13,0),0)</f>
        <v>0</v>
      </c>
      <c r="M310">
        <f>IFERROR(VLOOKUP(Fix_Mapping[[#This Row],[KODE BARANG]],[1]!KINONF15[[KDBRG]:[HRG_JLMT_CTN+PPN]],14,0),0)</f>
        <v>0</v>
      </c>
      <c r="N310">
        <f>IFERROR(VLOOKUP(Fix_Mapping[[#This Row],[KODE BARANG]],[1]!KINONF15[[KDBRG]:[HRG_JLMT_CTN+PPN]],15,0),0)</f>
        <v>0</v>
      </c>
      <c r="O310">
        <f>IFERROR(VLOOKUP(Fix_Mapping[[#This Row],[KODE BARANG]],[1]!KINONF15[[KDBRG]:[HRG_JLMT_CTN+PPN]],16,0),0)</f>
        <v>0</v>
      </c>
      <c r="P310">
        <f>IFERROR(VLOOKUP(Fix_Mapping[[#This Row],[KODE BARANG]],[1]!KINONF15[[KDBRG]:[HRG_JLMT_CTN+PPN]],17,0),0)</f>
        <v>0</v>
      </c>
      <c r="Q310">
        <f>IFERROR(VLOOKUP(Fix_Mapping[[#This Row],[KODE BARANG]],[1]!KINONF15[[KDBRG]:[HRG_JLMT_CTN+PPN]],18,0),0)</f>
        <v>0</v>
      </c>
      <c r="R310" t="s">
        <v>2555</v>
      </c>
      <c r="S310" t="s">
        <v>1016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1596</v>
      </c>
      <c r="B311" t="s">
        <v>1597</v>
      </c>
      <c r="C311">
        <v>24</v>
      </c>
      <c r="D311">
        <f>IFERROR(VLOOKUP(Fix_Mapping[[#This Row],[KODE BARANG]],[1]!KINONF15[[KDBRG]:[HRG_JLMT_CTN+PPN]],5,0),0)</f>
        <v>0</v>
      </c>
      <c r="E311" t="s">
        <v>2208</v>
      </c>
      <c r="F311">
        <f>IFERROR(VLOOKUP(Fix_Mapping[[#This Row],[KODE BARANG]],[1]!KINONF15[[KDBRG]:[HRG_JLMT_CTN+PPN]],7,0),0)</f>
        <v>0</v>
      </c>
      <c r="G311">
        <f>IFERROR(VLOOKUP(Fix_Mapping[[#This Row],[KODE BARANG]],[1]!KINONF15[[KDBRG]:[HRG_JLMT_CTN+PPN]],8,0),0)</f>
        <v>0</v>
      </c>
      <c r="H311">
        <f>IFERROR(VLOOKUP(Fix_Mapping[[#This Row],[KODE BARANG]],[1]!KINONF15[[KDBRG]:[HRG_JLMT_CTN+PPN]],9,0),0)</f>
        <v>0</v>
      </c>
      <c r="I311">
        <f>IFERROR(VLOOKUP(Fix_Mapping[[#This Row],[KODE BARANG]],[1]!KINONF15[[KDBRG]:[HRG_JLMT_CTN+PPN]],10,0),0)</f>
        <v>0</v>
      </c>
      <c r="J311">
        <f>IFERROR(VLOOKUP(Fix_Mapping[[#This Row],[KODE BARANG]],[1]!KINONF15[[KDBRG]:[HRG_JLMT_CTN+PPN]],11,0),0)</f>
        <v>0</v>
      </c>
      <c r="K311">
        <f>IFERROR(VLOOKUP(Fix_Mapping[[#This Row],[KODE BARANG]],[1]!KINONF15[[KDBRG]:[HRG_JLMT_CTN+PPN]],12,0),0)</f>
        <v>0</v>
      </c>
      <c r="L311">
        <f>IFERROR(VLOOKUP(Fix_Mapping[[#This Row],[KODE BARANG]],[1]!KINONF15[[KDBRG]:[HRG_JLMT_CTN+PPN]],13,0),0)</f>
        <v>0</v>
      </c>
      <c r="M311">
        <f>IFERROR(VLOOKUP(Fix_Mapping[[#This Row],[KODE BARANG]],[1]!KINONF15[[KDBRG]:[HRG_JLMT_CTN+PPN]],14,0),0)</f>
        <v>0</v>
      </c>
      <c r="N311">
        <f>IFERROR(VLOOKUP(Fix_Mapping[[#This Row],[KODE BARANG]],[1]!KINONF15[[KDBRG]:[HRG_JLMT_CTN+PPN]],15,0),0)</f>
        <v>0</v>
      </c>
      <c r="O311">
        <f>IFERROR(VLOOKUP(Fix_Mapping[[#This Row],[KODE BARANG]],[1]!KINONF15[[KDBRG]:[HRG_JLMT_CTN+PPN]],16,0),0)</f>
        <v>0</v>
      </c>
      <c r="P311">
        <f>IFERROR(VLOOKUP(Fix_Mapping[[#This Row],[KODE BARANG]],[1]!KINONF15[[KDBRG]:[HRG_JLMT_CTN+PPN]],17,0),0)</f>
        <v>0</v>
      </c>
      <c r="Q311">
        <f>IFERROR(VLOOKUP(Fix_Mapping[[#This Row],[KODE BARANG]],[1]!KINONF15[[KDBRG]:[HRG_JLMT_CTN+PPN]],18,0),0)</f>
        <v>0</v>
      </c>
      <c r="R311" t="s">
        <v>2555</v>
      </c>
      <c r="S311" t="s">
        <v>1017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1598</v>
      </c>
      <c r="B312" t="s">
        <v>1599</v>
      </c>
      <c r="C312">
        <v>24</v>
      </c>
      <c r="D312">
        <f>IFERROR(VLOOKUP(Fix_Mapping[[#This Row],[KODE BARANG]],[1]!KINONF15[[KDBRG]:[HRG_JLMT_CTN+PPN]],5,0),0)</f>
        <v>0</v>
      </c>
      <c r="E312" t="s">
        <v>2208</v>
      </c>
      <c r="F312">
        <f>IFERROR(VLOOKUP(Fix_Mapping[[#This Row],[KODE BARANG]],[1]!KINONF15[[KDBRG]:[HRG_JLMT_CTN+PPN]],7,0),0)</f>
        <v>0</v>
      </c>
      <c r="G312">
        <f>IFERROR(VLOOKUP(Fix_Mapping[[#This Row],[KODE BARANG]],[1]!KINONF15[[KDBRG]:[HRG_JLMT_CTN+PPN]],8,0),0)</f>
        <v>0</v>
      </c>
      <c r="H312">
        <f>IFERROR(VLOOKUP(Fix_Mapping[[#This Row],[KODE BARANG]],[1]!KINONF15[[KDBRG]:[HRG_JLMT_CTN+PPN]],9,0),0)</f>
        <v>0</v>
      </c>
      <c r="I312">
        <f>IFERROR(VLOOKUP(Fix_Mapping[[#This Row],[KODE BARANG]],[1]!KINONF15[[KDBRG]:[HRG_JLMT_CTN+PPN]],10,0),0)</f>
        <v>0</v>
      </c>
      <c r="J312">
        <f>IFERROR(VLOOKUP(Fix_Mapping[[#This Row],[KODE BARANG]],[1]!KINONF15[[KDBRG]:[HRG_JLMT_CTN+PPN]],11,0),0)</f>
        <v>0</v>
      </c>
      <c r="K312">
        <f>IFERROR(VLOOKUP(Fix_Mapping[[#This Row],[KODE BARANG]],[1]!KINONF15[[KDBRG]:[HRG_JLMT_CTN+PPN]],12,0),0)</f>
        <v>0</v>
      </c>
      <c r="L312">
        <f>IFERROR(VLOOKUP(Fix_Mapping[[#This Row],[KODE BARANG]],[1]!KINONF15[[KDBRG]:[HRG_JLMT_CTN+PPN]],13,0),0)</f>
        <v>0</v>
      </c>
      <c r="M312">
        <f>IFERROR(VLOOKUP(Fix_Mapping[[#This Row],[KODE BARANG]],[1]!KINONF15[[KDBRG]:[HRG_JLMT_CTN+PPN]],14,0),0)</f>
        <v>0</v>
      </c>
      <c r="N312">
        <f>IFERROR(VLOOKUP(Fix_Mapping[[#This Row],[KODE BARANG]],[1]!KINONF15[[KDBRG]:[HRG_JLMT_CTN+PPN]],15,0),0)</f>
        <v>0</v>
      </c>
      <c r="O312">
        <f>IFERROR(VLOOKUP(Fix_Mapping[[#This Row],[KODE BARANG]],[1]!KINONF15[[KDBRG]:[HRG_JLMT_CTN+PPN]],16,0),0)</f>
        <v>0</v>
      </c>
      <c r="P312">
        <f>IFERROR(VLOOKUP(Fix_Mapping[[#This Row],[KODE BARANG]],[1]!KINONF15[[KDBRG]:[HRG_JLMT_CTN+PPN]],17,0),0)</f>
        <v>0</v>
      </c>
      <c r="Q312">
        <f>IFERROR(VLOOKUP(Fix_Mapping[[#This Row],[KODE BARANG]],[1]!KINONF15[[KDBRG]:[HRG_JLMT_CTN+PPN]],18,0),0)</f>
        <v>0</v>
      </c>
      <c r="R312" t="s">
        <v>2555</v>
      </c>
      <c r="S312" t="s">
        <v>1018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1582</v>
      </c>
      <c r="B313" t="s">
        <v>1583</v>
      </c>
      <c r="C313">
        <v>12</v>
      </c>
      <c r="D313">
        <f>IFERROR(VLOOKUP(Fix_Mapping[[#This Row],[KODE BARANG]],[1]!KINONF15[[KDBRG]:[HRG_JLMT_CTN+PPN]],5,0),0)</f>
        <v>0</v>
      </c>
      <c r="E313" t="s">
        <v>2206</v>
      </c>
      <c r="F313">
        <f>IFERROR(VLOOKUP(Fix_Mapping[[#This Row],[KODE BARANG]],[1]!KINONF15[[KDBRG]:[HRG_JLMT_CTN+PPN]],7,0),0)</f>
        <v>0</v>
      </c>
      <c r="G313">
        <f>IFERROR(VLOOKUP(Fix_Mapping[[#This Row],[KODE BARANG]],[1]!KINONF15[[KDBRG]:[HRG_JLMT_CTN+PPN]],8,0),0)</f>
        <v>0</v>
      </c>
      <c r="H313">
        <f>IFERROR(VLOOKUP(Fix_Mapping[[#This Row],[KODE BARANG]],[1]!KINONF15[[KDBRG]:[HRG_JLMT_CTN+PPN]],9,0),0)</f>
        <v>0</v>
      </c>
      <c r="I313">
        <f>IFERROR(VLOOKUP(Fix_Mapping[[#This Row],[KODE BARANG]],[1]!KINONF15[[KDBRG]:[HRG_JLMT_CTN+PPN]],10,0),0)</f>
        <v>0</v>
      </c>
      <c r="J313">
        <f>IFERROR(VLOOKUP(Fix_Mapping[[#This Row],[KODE BARANG]],[1]!KINONF15[[KDBRG]:[HRG_JLMT_CTN+PPN]],11,0),0)</f>
        <v>0</v>
      </c>
      <c r="K313">
        <f>IFERROR(VLOOKUP(Fix_Mapping[[#This Row],[KODE BARANG]],[1]!KINONF15[[KDBRG]:[HRG_JLMT_CTN+PPN]],12,0),0)</f>
        <v>0</v>
      </c>
      <c r="L313">
        <f>IFERROR(VLOOKUP(Fix_Mapping[[#This Row],[KODE BARANG]],[1]!KINONF15[[KDBRG]:[HRG_JLMT_CTN+PPN]],13,0),0)</f>
        <v>0</v>
      </c>
      <c r="M313">
        <f>IFERROR(VLOOKUP(Fix_Mapping[[#This Row],[KODE BARANG]],[1]!KINONF15[[KDBRG]:[HRG_JLMT_CTN+PPN]],14,0),0)</f>
        <v>0</v>
      </c>
      <c r="N313">
        <f>IFERROR(VLOOKUP(Fix_Mapping[[#This Row],[KODE BARANG]],[1]!KINONF15[[KDBRG]:[HRG_JLMT_CTN+PPN]],15,0),0)</f>
        <v>0</v>
      </c>
      <c r="O313">
        <f>IFERROR(VLOOKUP(Fix_Mapping[[#This Row],[KODE BARANG]],[1]!KINONF15[[KDBRG]:[HRG_JLMT_CTN+PPN]],16,0),0)</f>
        <v>0</v>
      </c>
      <c r="P313">
        <f>IFERROR(VLOOKUP(Fix_Mapping[[#This Row],[KODE BARANG]],[1]!KINONF15[[KDBRG]:[HRG_JLMT_CTN+PPN]],17,0),0)</f>
        <v>0</v>
      </c>
      <c r="Q313">
        <f>IFERROR(VLOOKUP(Fix_Mapping[[#This Row],[KODE BARANG]],[1]!KINONF15[[KDBRG]:[HRG_JLMT_CTN+PPN]],18,0),0)</f>
        <v>0</v>
      </c>
      <c r="R313" t="s">
        <v>2555</v>
      </c>
      <c r="S313" t="s">
        <v>1010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1584</v>
      </c>
      <c r="B314" t="s">
        <v>1585</v>
      </c>
      <c r="C314">
        <v>12</v>
      </c>
      <c r="D314">
        <f>IFERROR(VLOOKUP(Fix_Mapping[[#This Row],[KODE BARANG]],[1]!KINONF15[[KDBRG]:[HRG_JLMT_CTN+PPN]],5,0),0)</f>
        <v>0</v>
      </c>
      <c r="E314" t="s">
        <v>2206</v>
      </c>
      <c r="F314">
        <f>IFERROR(VLOOKUP(Fix_Mapping[[#This Row],[KODE BARANG]],[1]!KINONF15[[KDBRG]:[HRG_JLMT_CTN+PPN]],7,0),0)</f>
        <v>0</v>
      </c>
      <c r="G314">
        <f>IFERROR(VLOOKUP(Fix_Mapping[[#This Row],[KODE BARANG]],[1]!KINONF15[[KDBRG]:[HRG_JLMT_CTN+PPN]],8,0),0)</f>
        <v>0</v>
      </c>
      <c r="H314">
        <f>IFERROR(VLOOKUP(Fix_Mapping[[#This Row],[KODE BARANG]],[1]!KINONF15[[KDBRG]:[HRG_JLMT_CTN+PPN]],9,0),0)</f>
        <v>0</v>
      </c>
      <c r="I314">
        <f>IFERROR(VLOOKUP(Fix_Mapping[[#This Row],[KODE BARANG]],[1]!KINONF15[[KDBRG]:[HRG_JLMT_CTN+PPN]],10,0),0)</f>
        <v>0</v>
      </c>
      <c r="J314">
        <f>IFERROR(VLOOKUP(Fix_Mapping[[#This Row],[KODE BARANG]],[1]!KINONF15[[KDBRG]:[HRG_JLMT_CTN+PPN]],11,0),0)</f>
        <v>0</v>
      </c>
      <c r="K314">
        <f>IFERROR(VLOOKUP(Fix_Mapping[[#This Row],[KODE BARANG]],[1]!KINONF15[[KDBRG]:[HRG_JLMT_CTN+PPN]],12,0),0)</f>
        <v>0</v>
      </c>
      <c r="L314">
        <f>IFERROR(VLOOKUP(Fix_Mapping[[#This Row],[KODE BARANG]],[1]!KINONF15[[KDBRG]:[HRG_JLMT_CTN+PPN]],13,0),0)</f>
        <v>0</v>
      </c>
      <c r="M314">
        <f>IFERROR(VLOOKUP(Fix_Mapping[[#This Row],[KODE BARANG]],[1]!KINONF15[[KDBRG]:[HRG_JLMT_CTN+PPN]],14,0),0)</f>
        <v>0</v>
      </c>
      <c r="N314">
        <f>IFERROR(VLOOKUP(Fix_Mapping[[#This Row],[KODE BARANG]],[1]!KINONF15[[KDBRG]:[HRG_JLMT_CTN+PPN]],15,0),0)</f>
        <v>0</v>
      </c>
      <c r="O314">
        <f>IFERROR(VLOOKUP(Fix_Mapping[[#This Row],[KODE BARANG]],[1]!KINONF15[[KDBRG]:[HRG_JLMT_CTN+PPN]],16,0),0)</f>
        <v>0</v>
      </c>
      <c r="P314">
        <f>IFERROR(VLOOKUP(Fix_Mapping[[#This Row],[KODE BARANG]],[1]!KINONF15[[KDBRG]:[HRG_JLMT_CTN+PPN]],17,0),0)</f>
        <v>0</v>
      </c>
      <c r="Q314">
        <f>IFERROR(VLOOKUP(Fix_Mapping[[#This Row],[KODE BARANG]],[1]!KINONF15[[KDBRG]:[HRG_JLMT_CTN+PPN]],18,0),0)</f>
        <v>0</v>
      </c>
      <c r="R314" t="s">
        <v>2555</v>
      </c>
      <c r="S314" t="s">
        <v>1011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1586</v>
      </c>
      <c r="B315" t="s">
        <v>1587</v>
      </c>
      <c r="C315">
        <v>12</v>
      </c>
      <c r="D315">
        <f>IFERROR(VLOOKUP(Fix_Mapping[[#This Row],[KODE BARANG]],[1]!KINONF15[[KDBRG]:[HRG_JLMT_CTN+PPN]],5,0),0)</f>
        <v>0</v>
      </c>
      <c r="E315" t="s">
        <v>2206</v>
      </c>
      <c r="F315">
        <f>IFERROR(VLOOKUP(Fix_Mapping[[#This Row],[KODE BARANG]],[1]!KINONF15[[KDBRG]:[HRG_JLMT_CTN+PPN]],7,0),0)</f>
        <v>0</v>
      </c>
      <c r="G315">
        <f>IFERROR(VLOOKUP(Fix_Mapping[[#This Row],[KODE BARANG]],[1]!KINONF15[[KDBRG]:[HRG_JLMT_CTN+PPN]],8,0),0)</f>
        <v>0</v>
      </c>
      <c r="H315">
        <f>IFERROR(VLOOKUP(Fix_Mapping[[#This Row],[KODE BARANG]],[1]!KINONF15[[KDBRG]:[HRG_JLMT_CTN+PPN]],9,0),0)</f>
        <v>0</v>
      </c>
      <c r="I315">
        <f>IFERROR(VLOOKUP(Fix_Mapping[[#This Row],[KODE BARANG]],[1]!KINONF15[[KDBRG]:[HRG_JLMT_CTN+PPN]],10,0),0)</f>
        <v>0</v>
      </c>
      <c r="J315">
        <f>IFERROR(VLOOKUP(Fix_Mapping[[#This Row],[KODE BARANG]],[1]!KINONF15[[KDBRG]:[HRG_JLMT_CTN+PPN]],11,0),0)</f>
        <v>0</v>
      </c>
      <c r="K315">
        <f>IFERROR(VLOOKUP(Fix_Mapping[[#This Row],[KODE BARANG]],[1]!KINONF15[[KDBRG]:[HRG_JLMT_CTN+PPN]],12,0),0)</f>
        <v>0</v>
      </c>
      <c r="L315">
        <f>IFERROR(VLOOKUP(Fix_Mapping[[#This Row],[KODE BARANG]],[1]!KINONF15[[KDBRG]:[HRG_JLMT_CTN+PPN]],13,0),0)</f>
        <v>0</v>
      </c>
      <c r="M315">
        <f>IFERROR(VLOOKUP(Fix_Mapping[[#This Row],[KODE BARANG]],[1]!KINONF15[[KDBRG]:[HRG_JLMT_CTN+PPN]],14,0),0)</f>
        <v>0</v>
      </c>
      <c r="N315">
        <f>IFERROR(VLOOKUP(Fix_Mapping[[#This Row],[KODE BARANG]],[1]!KINONF15[[KDBRG]:[HRG_JLMT_CTN+PPN]],15,0),0)</f>
        <v>0</v>
      </c>
      <c r="O315">
        <f>IFERROR(VLOOKUP(Fix_Mapping[[#This Row],[KODE BARANG]],[1]!KINONF15[[KDBRG]:[HRG_JLMT_CTN+PPN]],16,0),0)</f>
        <v>0</v>
      </c>
      <c r="P315">
        <f>IFERROR(VLOOKUP(Fix_Mapping[[#This Row],[KODE BARANG]],[1]!KINONF15[[KDBRG]:[HRG_JLMT_CTN+PPN]],17,0),0)</f>
        <v>0</v>
      </c>
      <c r="Q315">
        <f>IFERROR(VLOOKUP(Fix_Mapping[[#This Row],[KODE BARANG]],[1]!KINONF15[[KDBRG]:[HRG_JLMT_CTN+PPN]],18,0),0)</f>
        <v>0</v>
      </c>
      <c r="R315" t="s">
        <v>2555</v>
      </c>
      <c r="S315" t="s">
        <v>1012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1588</v>
      </c>
      <c r="B316" t="s">
        <v>1589</v>
      </c>
      <c r="C316">
        <v>12</v>
      </c>
      <c r="D316">
        <f>IFERROR(VLOOKUP(Fix_Mapping[[#This Row],[KODE BARANG]],[1]!KINONF15[[KDBRG]:[HRG_JLMT_CTN+PPN]],5,0),0)</f>
        <v>0</v>
      </c>
      <c r="E316" t="s">
        <v>2206</v>
      </c>
      <c r="F316">
        <f>IFERROR(VLOOKUP(Fix_Mapping[[#This Row],[KODE BARANG]],[1]!KINONF15[[KDBRG]:[HRG_JLMT_CTN+PPN]],7,0),0)</f>
        <v>0</v>
      </c>
      <c r="G316">
        <f>IFERROR(VLOOKUP(Fix_Mapping[[#This Row],[KODE BARANG]],[1]!KINONF15[[KDBRG]:[HRG_JLMT_CTN+PPN]],8,0),0)</f>
        <v>0</v>
      </c>
      <c r="H316">
        <f>IFERROR(VLOOKUP(Fix_Mapping[[#This Row],[KODE BARANG]],[1]!KINONF15[[KDBRG]:[HRG_JLMT_CTN+PPN]],9,0),0)</f>
        <v>0</v>
      </c>
      <c r="I316">
        <f>IFERROR(VLOOKUP(Fix_Mapping[[#This Row],[KODE BARANG]],[1]!KINONF15[[KDBRG]:[HRG_JLMT_CTN+PPN]],10,0),0)</f>
        <v>0</v>
      </c>
      <c r="J316">
        <f>IFERROR(VLOOKUP(Fix_Mapping[[#This Row],[KODE BARANG]],[1]!KINONF15[[KDBRG]:[HRG_JLMT_CTN+PPN]],11,0),0)</f>
        <v>0</v>
      </c>
      <c r="K316">
        <f>IFERROR(VLOOKUP(Fix_Mapping[[#This Row],[KODE BARANG]],[1]!KINONF15[[KDBRG]:[HRG_JLMT_CTN+PPN]],12,0),0)</f>
        <v>0</v>
      </c>
      <c r="L316">
        <f>IFERROR(VLOOKUP(Fix_Mapping[[#This Row],[KODE BARANG]],[1]!KINONF15[[KDBRG]:[HRG_JLMT_CTN+PPN]],13,0),0)</f>
        <v>0</v>
      </c>
      <c r="M316">
        <f>IFERROR(VLOOKUP(Fix_Mapping[[#This Row],[KODE BARANG]],[1]!KINONF15[[KDBRG]:[HRG_JLMT_CTN+PPN]],14,0),0)</f>
        <v>0</v>
      </c>
      <c r="N316">
        <f>IFERROR(VLOOKUP(Fix_Mapping[[#This Row],[KODE BARANG]],[1]!KINONF15[[KDBRG]:[HRG_JLMT_CTN+PPN]],15,0),0)</f>
        <v>0</v>
      </c>
      <c r="O316">
        <f>IFERROR(VLOOKUP(Fix_Mapping[[#This Row],[KODE BARANG]],[1]!KINONF15[[KDBRG]:[HRG_JLMT_CTN+PPN]],16,0),0)</f>
        <v>0</v>
      </c>
      <c r="P316">
        <f>IFERROR(VLOOKUP(Fix_Mapping[[#This Row],[KODE BARANG]],[1]!KINONF15[[KDBRG]:[HRG_JLMT_CTN+PPN]],17,0),0)</f>
        <v>0</v>
      </c>
      <c r="Q316">
        <f>IFERROR(VLOOKUP(Fix_Mapping[[#This Row],[KODE BARANG]],[1]!KINONF15[[KDBRG]:[HRG_JLMT_CTN+PPN]],18,0),0)</f>
        <v>0</v>
      </c>
      <c r="R316" t="s">
        <v>2555</v>
      </c>
      <c r="S316" t="s">
        <v>1013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1590</v>
      </c>
      <c r="B317" t="s">
        <v>1591</v>
      </c>
      <c r="C317">
        <v>12</v>
      </c>
      <c r="D317">
        <f>IFERROR(VLOOKUP(Fix_Mapping[[#This Row],[KODE BARANG]],[1]!KINONF15[[KDBRG]:[HRG_JLMT_CTN+PPN]],5,0),0)</f>
        <v>0</v>
      </c>
      <c r="E317" t="s">
        <v>2206</v>
      </c>
      <c r="F317">
        <f>IFERROR(VLOOKUP(Fix_Mapping[[#This Row],[KODE BARANG]],[1]!KINONF15[[KDBRG]:[HRG_JLMT_CTN+PPN]],7,0),0)</f>
        <v>0</v>
      </c>
      <c r="G317">
        <f>IFERROR(VLOOKUP(Fix_Mapping[[#This Row],[KODE BARANG]],[1]!KINONF15[[KDBRG]:[HRG_JLMT_CTN+PPN]],8,0),0)</f>
        <v>0</v>
      </c>
      <c r="H317">
        <f>IFERROR(VLOOKUP(Fix_Mapping[[#This Row],[KODE BARANG]],[1]!KINONF15[[KDBRG]:[HRG_JLMT_CTN+PPN]],9,0),0)</f>
        <v>0</v>
      </c>
      <c r="I317">
        <f>IFERROR(VLOOKUP(Fix_Mapping[[#This Row],[KODE BARANG]],[1]!KINONF15[[KDBRG]:[HRG_JLMT_CTN+PPN]],10,0),0)</f>
        <v>0</v>
      </c>
      <c r="J317">
        <f>IFERROR(VLOOKUP(Fix_Mapping[[#This Row],[KODE BARANG]],[1]!KINONF15[[KDBRG]:[HRG_JLMT_CTN+PPN]],11,0),0)</f>
        <v>0</v>
      </c>
      <c r="K317">
        <f>IFERROR(VLOOKUP(Fix_Mapping[[#This Row],[KODE BARANG]],[1]!KINONF15[[KDBRG]:[HRG_JLMT_CTN+PPN]],12,0),0)</f>
        <v>0</v>
      </c>
      <c r="L317">
        <f>IFERROR(VLOOKUP(Fix_Mapping[[#This Row],[KODE BARANG]],[1]!KINONF15[[KDBRG]:[HRG_JLMT_CTN+PPN]],13,0),0)</f>
        <v>0</v>
      </c>
      <c r="M317">
        <f>IFERROR(VLOOKUP(Fix_Mapping[[#This Row],[KODE BARANG]],[1]!KINONF15[[KDBRG]:[HRG_JLMT_CTN+PPN]],14,0),0)</f>
        <v>0</v>
      </c>
      <c r="N317">
        <f>IFERROR(VLOOKUP(Fix_Mapping[[#This Row],[KODE BARANG]],[1]!KINONF15[[KDBRG]:[HRG_JLMT_CTN+PPN]],15,0),0)</f>
        <v>0</v>
      </c>
      <c r="O317">
        <f>IFERROR(VLOOKUP(Fix_Mapping[[#This Row],[KODE BARANG]],[1]!KINONF15[[KDBRG]:[HRG_JLMT_CTN+PPN]],16,0),0)</f>
        <v>0</v>
      </c>
      <c r="P317">
        <f>IFERROR(VLOOKUP(Fix_Mapping[[#This Row],[KODE BARANG]],[1]!KINONF15[[KDBRG]:[HRG_JLMT_CTN+PPN]],17,0),0)</f>
        <v>0</v>
      </c>
      <c r="Q317">
        <f>IFERROR(VLOOKUP(Fix_Mapping[[#This Row],[KODE BARANG]],[1]!KINONF15[[KDBRG]:[HRG_JLMT_CTN+PPN]],18,0),0)</f>
        <v>0</v>
      </c>
      <c r="R317" t="s">
        <v>2555</v>
      </c>
      <c r="S317" t="s">
        <v>1014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1592</v>
      </c>
      <c r="B318" t="s">
        <v>1593</v>
      </c>
      <c r="C318">
        <v>12</v>
      </c>
      <c r="D318">
        <f>IFERROR(VLOOKUP(Fix_Mapping[[#This Row],[KODE BARANG]],[1]!KINONF15[[KDBRG]:[HRG_JLMT_CTN+PPN]],5,0),0)</f>
        <v>0</v>
      </c>
      <c r="E318" t="s">
        <v>2206</v>
      </c>
      <c r="F318">
        <f>IFERROR(VLOOKUP(Fix_Mapping[[#This Row],[KODE BARANG]],[1]!KINONF15[[KDBRG]:[HRG_JLMT_CTN+PPN]],7,0),0)</f>
        <v>0</v>
      </c>
      <c r="G318">
        <f>IFERROR(VLOOKUP(Fix_Mapping[[#This Row],[KODE BARANG]],[1]!KINONF15[[KDBRG]:[HRG_JLMT_CTN+PPN]],8,0),0)</f>
        <v>0</v>
      </c>
      <c r="H318">
        <f>IFERROR(VLOOKUP(Fix_Mapping[[#This Row],[KODE BARANG]],[1]!KINONF15[[KDBRG]:[HRG_JLMT_CTN+PPN]],9,0),0)</f>
        <v>0</v>
      </c>
      <c r="I318">
        <f>IFERROR(VLOOKUP(Fix_Mapping[[#This Row],[KODE BARANG]],[1]!KINONF15[[KDBRG]:[HRG_JLMT_CTN+PPN]],10,0),0)</f>
        <v>0</v>
      </c>
      <c r="J318">
        <f>IFERROR(VLOOKUP(Fix_Mapping[[#This Row],[KODE BARANG]],[1]!KINONF15[[KDBRG]:[HRG_JLMT_CTN+PPN]],11,0),0)</f>
        <v>0</v>
      </c>
      <c r="K318">
        <f>IFERROR(VLOOKUP(Fix_Mapping[[#This Row],[KODE BARANG]],[1]!KINONF15[[KDBRG]:[HRG_JLMT_CTN+PPN]],12,0),0)</f>
        <v>0</v>
      </c>
      <c r="L318">
        <f>IFERROR(VLOOKUP(Fix_Mapping[[#This Row],[KODE BARANG]],[1]!KINONF15[[KDBRG]:[HRG_JLMT_CTN+PPN]],13,0),0)</f>
        <v>0</v>
      </c>
      <c r="M318">
        <f>IFERROR(VLOOKUP(Fix_Mapping[[#This Row],[KODE BARANG]],[1]!KINONF15[[KDBRG]:[HRG_JLMT_CTN+PPN]],14,0),0)</f>
        <v>0</v>
      </c>
      <c r="N318">
        <f>IFERROR(VLOOKUP(Fix_Mapping[[#This Row],[KODE BARANG]],[1]!KINONF15[[KDBRG]:[HRG_JLMT_CTN+PPN]],15,0),0)</f>
        <v>0</v>
      </c>
      <c r="O318">
        <f>IFERROR(VLOOKUP(Fix_Mapping[[#This Row],[KODE BARANG]],[1]!KINONF15[[KDBRG]:[HRG_JLMT_CTN+PPN]],16,0),0)</f>
        <v>0</v>
      </c>
      <c r="P318">
        <f>IFERROR(VLOOKUP(Fix_Mapping[[#This Row],[KODE BARANG]],[1]!KINONF15[[KDBRG]:[HRG_JLMT_CTN+PPN]],17,0),0)</f>
        <v>0</v>
      </c>
      <c r="Q318">
        <f>IFERROR(VLOOKUP(Fix_Mapping[[#This Row],[KODE BARANG]],[1]!KINONF15[[KDBRG]:[HRG_JLMT_CTN+PPN]],18,0),0)</f>
        <v>0</v>
      </c>
      <c r="R318" t="s">
        <v>2555</v>
      </c>
      <c r="S318" t="s">
        <v>1015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1600</v>
      </c>
      <c r="B319" t="s">
        <v>1601</v>
      </c>
      <c r="C319">
        <v>36</v>
      </c>
      <c r="D319">
        <f>IFERROR(VLOOKUP(Fix_Mapping[[#This Row],[KODE BARANG]],[1]!KINONF15[[KDBRG]:[HRG_JLMT_CTN+PPN]],5,0),0)</f>
        <v>0</v>
      </c>
      <c r="E319" t="s">
        <v>2202</v>
      </c>
      <c r="F319">
        <f>IFERROR(VLOOKUP(Fix_Mapping[[#This Row],[KODE BARANG]],[1]!KINONF15[[KDBRG]:[HRG_JLMT_CTN+PPN]],7,0),0)</f>
        <v>0</v>
      </c>
      <c r="G319">
        <f>IFERROR(VLOOKUP(Fix_Mapping[[#This Row],[KODE BARANG]],[1]!KINONF15[[KDBRG]:[HRG_JLMT_CTN+PPN]],8,0),0)</f>
        <v>0</v>
      </c>
      <c r="H319">
        <f>IFERROR(VLOOKUP(Fix_Mapping[[#This Row],[KODE BARANG]],[1]!KINONF15[[KDBRG]:[HRG_JLMT_CTN+PPN]],9,0),0)</f>
        <v>0</v>
      </c>
      <c r="I319">
        <f>IFERROR(VLOOKUP(Fix_Mapping[[#This Row],[KODE BARANG]],[1]!KINONF15[[KDBRG]:[HRG_JLMT_CTN+PPN]],10,0),0)</f>
        <v>0</v>
      </c>
      <c r="J319">
        <f>IFERROR(VLOOKUP(Fix_Mapping[[#This Row],[KODE BARANG]],[1]!KINONF15[[KDBRG]:[HRG_JLMT_CTN+PPN]],11,0),0)</f>
        <v>0</v>
      </c>
      <c r="K319">
        <f>IFERROR(VLOOKUP(Fix_Mapping[[#This Row],[KODE BARANG]],[1]!KINONF15[[KDBRG]:[HRG_JLMT_CTN+PPN]],12,0),0)</f>
        <v>0</v>
      </c>
      <c r="L319">
        <f>IFERROR(VLOOKUP(Fix_Mapping[[#This Row],[KODE BARANG]],[1]!KINONF15[[KDBRG]:[HRG_JLMT_CTN+PPN]],13,0),0)</f>
        <v>0</v>
      </c>
      <c r="M319">
        <f>IFERROR(VLOOKUP(Fix_Mapping[[#This Row],[KODE BARANG]],[1]!KINONF15[[KDBRG]:[HRG_JLMT_CTN+PPN]],14,0),0)</f>
        <v>0</v>
      </c>
      <c r="N319">
        <f>IFERROR(VLOOKUP(Fix_Mapping[[#This Row],[KODE BARANG]],[1]!KINONF15[[KDBRG]:[HRG_JLMT_CTN+PPN]],15,0),0)</f>
        <v>0</v>
      </c>
      <c r="O319">
        <f>IFERROR(VLOOKUP(Fix_Mapping[[#This Row],[KODE BARANG]],[1]!KINONF15[[KDBRG]:[HRG_JLMT_CTN+PPN]],16,0),0)</f>
        <v>0</v>
      </c>
      <c r="P319">
        <f>IFERROR(VLOOKUP(Fix_Mapping[[#This Row],[KODE BARANG]],[1]!KINONF15[[KDBRG]:[HRG_JLMT_CTN+PPN]],17,0),0)</f>
        <v>0</v>
      </c>
      <c r="Q319">
        <f>IFERROR(VLOOKUP(Fix_Mapping[[#This Row],[KODE BARANG]],[1]!KINONF15[[KDBRG]:[HRG_JLMT_CTN+PPN]],18,0),0)</f>
        <v>0</v>
      </c>
      <c r="R319" t="s">
        <v>2555</v>
      </c>
      <c r="S319" t="s">
        <v>439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1602</v>
      </c>
      <c r="B320" t="s">
        <v>1603</v>
      </c>
      <c r="C320">
        <v>36</v>
      </c>
      <c r="D320">
        <f>IFERROR(VLOOKUP(Fix_Mapping[[#This Row],[KODE BARANG]],[1]!KINONF15[[KDBRG]:[HRG_JLMT_CTN+PPN]],5,0),0)</f>
        <v>0</v>
      </c>
      <c r="E320" t="s">
        <v>2202</v>
      </c>
      <c r="F320">
        <f>IFERROR(VLOOKUP(Fix_Mapping[[#This Row],[KODE BARANG]],[1]!KINONF15[[KDBRG]:[HRG_JLMT_CTN+PPN]],7,0),0)</f>
        <v>0</v>
      </c>
      <c r="G320">
        <f>IFERROR(VLOOKUP(Fix_Mapping[[#This Row],[KODE BARANG]],[1]!KINONF15[[KDBRG]:[HRG_JLMT_CTN+PPN]],8,0),0)</f>
        <v>0</v>
      </c>
      <c r="H320">
        <f>IFERROR(VLOOKUP(Fix_Mapping[[#This Row],[KODE BARANG]],[1]!KINONF15[[KDBRG]:[HRG_JLMT_CTN+PPN]],9,0),0)</f>
        <v>0</v>
      </c>
      <c r="I320">
        <f>IFERROR(VLOOKUP(Fix_Mapping[[#This Row],[KODE BARANG]],[1]!KINONF15[[KDBRG]:[HRG_JLMT_CTN+PPN]],10,0),0)</f>
        <v>0</v>
      </c>
      <c r="J320">
        <f>IFERROR(VLOOKUP(Fix_Mapping[[#This Row],[KODE BARANG]],[1]!KINONF15[[KDBRG]:[HRG_JLMT_CTN+PPN]],11,0),0)</f>
        <v>0</v>
      </c>
      <c r="K320">
        <f>IFERROR(VLOOKUP(Fix_Mapping[[#This Row],[KODE BARANG]],[1]!KINONF15[[KDBRG]:[HRG_JLMT_CTN+PPN]],12,0),0)</f>
        <v>0</v>
      </c>
      <c r="L320">
        <f>IFERROR(VLOOKUP(Fix_Mapping[[#This Row],[KODE BARANG]],[1]!KINONF15[[KDBRG]:[HRG_JLMT_CTN+PPN]],13,0),0)</f>
        <v>0</v>
      </c>
      <c r="M320">
        <f>IFERROR(VLOOKUP(Fix_Mapping[[#This Row],[KODE BARANG]],[1]!KINONF15[[KDBRG]:[HRG_JLMT_CTN+PPN]],14,0),0)</f>
        <v>0</v>
      </c>
      <c r="N320">
        <f>IFERROR(VLOOKUP(Fix_Mapping[[#This Row],[KODE BARANG]],[1]!KINONF15[[KDBRG]:[HRG_JLMT_CTN+PPN]],15,0),0)</f>
        <v>0</v>
      </c>
      <c r="O320">
        <f>IFERROR(VLOOKUP(Fix_Mapping[[#This Row],[KODE BARANG]],[1]!KINONF15[[KDBRG]:[HRG_JLMT_CTN+PPN]],16,0),0)</f>
        <v>0</v>
      </c>
      <c r="P320">
        <f>IFERROR(VLOOKUP(Fix_Mapping[[#This Row],[KODE BARANG]],[1]!KINONF15[[KDBRG]:[HRG_JLMT_CTN+PPN]],17,0),0)</f>
        <v>0</v>
      </c>
      <c r="Q320">
        <f>IFERROR(VLOOKUP(Fix_Mapping[[#This Row],[KODE BARANG]],[1]!KINONF15[[KDBRG]:[HRG_JLMT_CTN+PPN]],18,0),0)</f>
        <v>0</v>
      </c>
      <c r="R320" t="s">
        <v>2555</v>
      </c>
      <c r="S320" t="s">
        <v>440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1604</v>
      </c>
      <c r="B321" t="s">
        <v>1605</v>
      </c>
      <c r="C321">
        <v>12</v>
      </c>
      <c r="D321">
        <f>IFERROR(VLOOKUP(Fix_Mapping[[#This Row],[KODE BARANG]],[1]!KINONF15[[KDBRG]:[HRG_JLMT_CTN+PPN]],5,0),0)</f>
        <v>0</v>
      </c>
      <c r="E321" t="s">
        <v>2202</v>
      </c>
      <c r="F321">
        <f>IFERROR(VLOOKUP(Fix_Mapping[[#This Row],[KODE BARANG]],[1]!KINONF15[[KDBRG]:[HRG_JLMT_CTN+PPN]],7,0),0)</f>
        <v>0</v>
      </c>
      <c r="G321">
        <f>IFERROR(VLOOKUP(Fix_Mapping[[#This Row],[KODE BARANG]],[1]!KINONF15[[KDBRG]:[HRG_JLMT_CTN+PPN]],8,0),0)</f>
        <v>0</v>
      </c>
      <c r="H321">
        <f>IFERROR(VLOOKUP(Fix_Mapping[[#This Row],[KODE BARANG]],[1]!KINONF15[[KDBRG]:[HRG_JLMT_CTN+PPN]],9,0),0)</f>
        <v>0</v>
      </c>
      <c r="I321">
        <f>IFERROR(VLOOKUP(Fix_Mapping[[#This Row],[KODE BARANG]],[1]!KINONF15[[KDBRG]:[HRG_JLMT_CTN+PPN]],10,0),0)</f>
        <v>0</v>
      </c>
      <c r="J321">
        <f>IFERROR(VLOOKUP(Fix_Mapping[[#This Row],[KODE BARANG]],[1]!KINONF15[[KDBRG]:[HRG_JLMT_CTN+PPN]],11,0),0)</f>
        <v>0</v>
      </c>
      <c r="K321">
        <f>IFERROR(VLOOKUP(Fix_Mapping[[#This Row],[KODE BARANG]],[1]!KINONF15[[KDBRG]:[HRG_JLMT_CTN+PPN]],12,0),0)</f>
        <v>0</v>
      </c>
      <c r="L321">
        <f>IFERROR(VLOOKUP(Fix_Mapping[[#This Row],[KODE BARANG]],[1]!KINONF15[[KDBRG]:[HRG_JLMT_CTN+PPN]],13,0),0)</f>
        <v>0</v>
      </c>
      <c r="M321">
        <f>IFERROR(VLOOKUP(Fix_Mapping[[#This Row],[KODE BARANG]],[1]!KINONF15[[KDBRG]:[HRG_JLMT_CTN+PPN]],14,0),0)</f>
        <v>0</v>
      </c>
      <c r="N321">
        <f>IFERROR(VLOOKUP(Fix_Mapping[[#This Row],[KODE BARANG]],[1]!KINONF15[[KDBRG]:[HRG_JLMT_CTN+PPN]],15,0),0)</f>
        <v>0</v>
      </c>
      <c r="O321">
        <f>IFERROR(VLOOKUP(Fix_Mapping[[#This Row],[KODE BARANG]],[1]!KINONF15[[KDBRG]:[HRG_JLMT_CTN+PPN]],16,0),0)</f>
        <v>0</v>
      </c>
      <c r="P321">
        <f>IFERROR(VLOOKUP(Fix_Mapping[[#This Row],[KODE BARANG]],[1]!KINONF15[[KDBRG]:[HRG_JLMT_CTN+PPN]],17,0),0)</f>
        <v>0</v>
      </c>
      <c r="Q321">
        <f>IFERROR(VLOOKUP(Fix_Mapping[[#This Row],[KODE BARANG]],[1]!KINONF15[[KDBRG]:[HRG_JLMT_CTN+PPN]],18,0),0)</f>
        <v>0</v>
      </c>
      <c r="R321" t="s">
        <v>2555</v>
      </c>
      <c r="S321" t="s">
        <v>441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1606</v>
      </c>
      <c r="B322" t="s">
        <v>1607</v>
      </c>
      <c r="C322">
        <v>4</v>
      </c>
      <c r="D322">
        <f>IFERROR(VLOOKUP(Fix_Mapping[[#This Row],[KODE BARANG]],[1]!KINONF15[[KDBRG]:[HRG_JLMT_CTN+PPN]],5,0),0)</f>
        <v>0</v>
      </c>
      <c r="E322" t="s">
        <v>2202</v>
      </c>
      <c r="F322">
        <f>IFERROR(VLOOKUP(Fix_Mapping[[#This Row],[KODE BARANG]],[1]!KINONF15[[KDBRG]:[HRG_JLMT_CTN+PPN]],7,0),0)</f>
        <v>0</v>
      </c>
      <c r="G322">
        <f>IFERROR(VLOOKUP(Fix_Mapping[[#This Row],[KODE BARANG]],[1]!KINONF15[[KDBRG]:[HRG_JLMT_CTN+PPN]],8,0),0)</f>
        <v>0</v>
      </c>
      <c r="H322">
        <f>IFERROR(VLOOKUP(Fix_Mapping[[#This Row],[KODE BARANG]],[1]!KINONF15[[KDBRG]:[HRG_JLMT_CTN+PPN]],9,0),0)</f>
        <v>0</v>
      </c>
      <c r="I322">
        <f>IFERROR(VLOOKUP(Fix_Mapping[[#This Row],[KODE BARANG]],[1]!KINONF15[[KDBRG]:[HRG_JLMT_CTN+PPN]],10,0),0)</f>
        <v>0</v>
      </c>
      <c r="J322">
        <f>IFERROR(VLOOKUP(Fix_Mapping[[#This Row],[KODE BARANG]],[1]!KINONF15[[KDBRG]:[HRG_JLMT_CTN+PPN]],11,0),0)</f>
        <v>0</v>
      </c>
      <c r="K322">
        <f>IFERROR(VLOOKUP(Fix_Mapping[[#This Row],[KODE BARANG]],[1]!KINONF15[[KDBRG]:[HRG_JLMT_CTN+PPN]],12,0),0)</f>
        <v>0</v>
      </c>
      <c r="L322">
        <f>IFERROR(VLOOKUP(Fix_Mapping[[#This Row],[KODE BARANG]],[1]!KINONF15[[KDBRG]:[HRG_JLMT_CTN+PPN]],13,0),0)</f>
        <v>0</v>
      </c>
      <c r="M322">
        <f>IFERROR(VLOOKUP(Fix_Mapping[[#This Row],[KODE BARANG]],[1]!KINONF15[[KDBRG]:[HRG_JLMT_CTN+PPN]],14,0),0)</f>
        <v>0</v>
      </c>
      <c r="N322">
        <f>IFERROR(VLOOKUP(Fix_Mapping[[#This Row],[KODE BARANG]],[1]!KINONF15[[KDBRG]:[HRG_JLMT_CTN+PPN]],15,0),0)</f>
        <v>0</v>
      </c>
      <c r="O322">
        <f>IFERROR(VLOOKUP(Fix_Mapping[[#This Row],[KODE BARANG]],[1]!KINONF15[[KDBRG]:[HRG_JLMT_CTN+PPN]],16,0),0)</f>
        <v>0</v>
      </c>
      <c r="P322">
        <f>IFERROR(VLOOKUP(Fix_Mapping[[#This Row],[KODE BARANG]],[1]!KINONF15[[KDBRG]:[HRG_JLMT_CTN+PPN]],17,0),0)</f>
        <v>0</v>
      </c>
      <c r="Q322">
        <f>IFERROR(VLOOKUP(Fix_Mapping[[#This Row],[KODE BARANG]],[1]!KINONF15[[KDBRG]:[HRG_JLMT_CTN+PPN]],18,0),0)</f>
        <v>0</v>
      </c>
      <c r="R322" t="s">
        <v>2555</v>
      </c>
      <c r="S322" t="s">
        <v>443</v>
      </c>
      <c r="T322" t="s">
        <v>442</v>
      </c>
      <c r="U322">
        <v>0</v>
      </c>
      <c r="V322">
        <v>0</v>
      </c>
      <c r="W322">
        <v>0</v>
      </c>
    </row>
    <row r="323" spans="1:23">
      <c r="A323" t="s">
        <v>1608</v>
      </c>
      <c r="B323" t="s">
        <v>1609</v>
      </c>
      <c r="C323">
        <v>72</v>
      </c>
      <c r="D323">
        <f>IFERROR(VLOOKUP(Fix_Mapping[[#This Row],[KODE BARANG]],[1]!KINONF15[[KDBRG]:[HRG_JLMT_CTN+PPN]],5,0),0)</f>
        <v>0</v>
      </c>
      <c r="E323" t="s">
        <v>2196</v>
      </c>
      <c r="F323">
        <f>IFERROR(VLOOKUP(Fix_Mapping[[#This Row],[KODE BARANG]],[1]!KINONF15[[KDBRG]:[HRG_JLMT_CTN+PPN]],7,0),0)</f>
        <v>0</v>
      </c>
      <c r="G323">
        <f>IFERROR(VLOOKUP(Fix_Mapping[[#This Row],[KODE BARANG]],[1]!KINONF15[[KDBRG]:[HRG_JLMT_CTN+PPN]],8,0),0)</f>
        <v>0</v>
      </c>
      <c r="H323">
        <f>IFERROR(VLOOKUP(Fix_Mapping[[#This Row],[KODE BARANG]],[1]!KINONF15[[KDBRG]:[HRG_JLMT_CTN+PPN]],9,0),0)</f>
        <v>0</v>
      </c>
      <c r="I323">
        <f>IFERROR(VLOOKUP(Fix_Mapping[[#This Row],[KODE BARANG]],[1]!KINONF15[[KDBRG]:[HRG_JLMT_CTN+PPN]],10,0),0)</f>
        <v>0</v>
      </c>
      <c r="J323">
        <f>IFERROR(VLOOKUP(Fix_Mapping[[#This Row],[KODE BARANG]],[1]!KINONF15[[KDBRG]:[HRG_JLMT_CTN+PPN]],11,0),0)</f>
        <v>0</v>
      </c>
      <c r="K323">
        <f>IFERROR(VLOOKUP(Fix_Mapping[[#This Row],[KODE BARANG]],[1]!KINONF15[[KDBRG]:[HRG_JLMT_CTN+PPN]],12,0),0)</f>
        <v>0</v>
      </c>
      <c r="L323">
        <f>IFERROR(VLOOKUP(Fix_Mapping[[#This Row],[KODE BARANG]],[1]!KINONF15[[KDBRG]:[HRG_JLMT_CTN+PPN]],13,0),0)</f>
        <v>0</v>
      </c>
      <c r="M323">
        <f>IFERROR(VLOOKUP(Fix_Mapping[[#This Row],[KODE BARANG]],[1]!KINONF15[[KDBRG]:[HRG_JLMT_CTN+PPN]],14,0),0)</f>
        <v>0</v>
      </c>
      <c r="N323">
        <f>IFERROR(VLOOKUP(Fix_Mapping[[#This Row],[KODE BARANG]],[1]!KINONF15[[KDBRG]:[HRG_JLMT_CTN+PPN]],15,0),0)</f>
        <v>0</v>
      </c>
      <c r="O323">
        <f>IFERROR(VLOOKUP(Fix_Mapping[[#This Row],[KODE BARANG]],[1]!KINONF15[[KDBRG]:[HRG_JLMT_CTN+PPN]],16,0),0)</f>
        <v>0</v>
      </c>
      <c r="P323">
        <f>IFERROR(VLOOKUP(Fix_Mapping[[#This Row],[KODE BARANG]],[1]!KINONF15[[KDBRG]:[HRG_JLMT_CTN+PPN]],17,0),0)</f>
        <v>0</v>
      </c>
      <c r="Q323">
        <f>IFERROR(VLOOKUP(Fix_Mapping[[#This Row],[KODE BARANG]],[1]!KINONF15[[KDBRG]:[HRG_JLMT_CTN+PPN]],18,0),0)</f>
        <v>0</v>
      </c>
      <c r="R323" t="s">
        <v>2555</v>
      </c>
      <c r="S323" t="s">
        <v>444</v>
      </c>
      <c r="T323" t="s">
        <v>445</v>
      </c>
      <c r="U323">
        <v>0</v>
      </c>
      <c r="V323">
        <v>0</v>
      </c>
      <c r="W323">
        <v>0</v>
      </c>
    </row>
    <row r="324" spans="1:23">
      <c r="A324" t="s">
        <v>1610</v>
      </c>
      <c r="B324" t="s">
        <v>1611</v>
      </c>
      <c r="C324">
        <v>36</v>
      </c>
      <c r="D324">
        <f>IFERROR(VLOOKUP(Fix_Mapping[[#This Row],[KODE BARANG]],[1]!KINONF15[[KDBRG]:[HRG_JLMT_CTN+PPN]],5,0),0)</f>
        <v>0</v>
      </c>
      <c r="E324" t="s">
        <v>2196</v>
      </c>
      <c r="F324">
        <f>IFERROR(VLOOKUP(Fix_Mapping[[#This Row],[KODE BARANG]],[1]!KINONF15[[KDBRG]:[HRG_JLMT_CTN+PPN]],7,0),0)</f>
        <v>0</v>
      </c>
      <c r="G324">
        <f>IFERROR(VLOOKUP(Fix_Mapping[[#This Row],[KODE BARANG]],[1]!KINONF15[[KDBRG]:[HRG_JLMT_CTN+PPN]],8,0),0)</f>
        <v>0</v>
      </c>
      <c r="H324">
        <f>IFERROR(VLOOKUP(Fix_Mapping[[#This Row],[KODE BARANG]],[1]!KINONF15[[KDBRG]:[HRG_JLMT_CTN+PPN]],9,0),0)</f>
        <v>0</v>
      </c>
      <c r="I324">
        <f>IFERROR(VLOOKUP(Fix_Mapping[[#This Row],[KODE BARANG]],[1]!KINONF15[[KDBRG]:[HRG_JLMT_CTN+PPN]],10,0),0)</f>
        <v>0</v>
      </c>
      <c r="J324">
        <f>IFERROR(VLOOKUP(Fix_Mapping[[#This Row],[KODE BARANG]],[1]!KINONF15[[KDBRG]:[HRG_JLMT_CTN+PPN]],11,0),0)</f>
        <v>0</v>
      </c>
      <c r="K324">
        <f>IFERROR(VLOOKUP(Fix_Mapping[[#This Row],[KODE BARANG]],[1]!KINONF15[[KDBRG]:[HRG_JLMT_CTN+PPN]],12,0),0)</f>
        <v>0</v>
      </c>
      <c r="L324">
        <f>IFERROR(VLOOKUP(Fix_Mapping[[#This Row],[KODE BARANG]],[1]!KINONF15[[KDBRG]:[HRG_JLMT_CTN+PPN]],13,0),0)</f>
        <v>0</v>
      </c>
      <c r="M324">
        <f>IFERROR(VLOOKUP(Fix_Mapping[[#This Row],[KODE BARANG]],[1]!KINONF15[[KDBRG]:[HRG_JLMT_CTN+PPN]],14,0),0)</f>
        <v>0</v>
      </c>
      <c r="N324">
        <f>IFERROR(VLOOKUP(Fix_Mapping[[#This Row],[KODE BARANG]],[1]!KINONF15[[KDBRG]:[HRG_JLMT_CTN+PPN]],15,0),0)</f>
        <v>0</v>
      </c>
      <c r="O324">
        <f>IFERROR(VLOOKUP(Fix_Mapping[[#This Row],[KODE BARANG]],[1]!KINONF15[[KDBRG]:[HRG_JLMT_CTN+PPN]],16,0),0)</f>
        <v>0</v>
      </c>
      <c r="P324">
        <f>IFERROR(VLOOKUP(Fix_Mapping[[#This Row],[KODE BARANG]],[1]!KINONF15[[KDBRG]:[HRG_JLMT_CTN+PPN]],17,0),0)</f>
        <v>0</v>
      </c>
      <c r="Q324">
        <f>IFERROR(VLOOKUP(Fix_Mapping[[#This Row],[KODE BARANG]],[1]!KINONF15[[KDBRG]:[HRG_JLMT_CTN+PPN]],18,0),0)</f>
        <v>0</v>
      </c>
      <c r="R324" t="s">
        <v>2555</v>
      </c>
      <c r="S324" t="s">
        <v>446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1612</v>
      </c>
      <c r="B325" t="s">
        <v>1613</v>
      </c>
      <c r="C325">
        <v>24</v>
      </c>
      <c r="D325">
        <f>IFERROR(VLOOKUP(Fix_Mapping[[#This Row],[KODE BARANG]],[1]!KINONF15[[KDBRG]:[HRG_JLMT_CTN+PPN]],5,0),0)</f>
        <v>0</v>
      </c>
      <c r="E325" t="s">
        <v>2196</v>
      </c>
      <c r="F325">
        <f>IFERROR(VLOOKUP(Fix_Mapping[[#This Row],[KODE BARANG]],[1]!KINONF15[[KDBRG]:[HRG_JLMT_CTN+PPN]],7,0),0)</f>
        <v>0</v>
      </c>
      <c r="G325">
        <f>IFERROR(VLOOKUP(Fix_Mapping[[#This Row],[KODE BARANG]],[1]!KINONF15[[KDBRG]:[HRG_JLMT_CTN+PPN]],8,0),0)</f>
        <v>0</v>
      </c>
      <c r="H325">
        <f>IFERROR(VLOOKUP(Fix_Mapping[[#This Row],[KODE BARANG]],[1]!KINONF15[[KDBRG]:[HRG_JLMT_CTN+PPN]],9,0),0)</f>
        <v>0</v>
      </c>
      <c r="I325">
        <f>IFERROR(VLOOKUP(Fix_Mapping[[#This Row],[KODE BARANG]],[1]!KINONF15[[KDBRG]:[HRG_JLMT_CTN+PPN]],10,0),0)</f>
        <v>0</v>
      </c>
      <c r="J325">
        <f>IFERROR(VLOOKUP(Fix_Mapping[[#This Row],[KODE BARANG]],[1]!KINONF15[[KDBRG]:[HRG_JLMT_CTN+PPN]],11,0),0)</f>
        <v>0</v>
      </c>
      <c r="K325">
        <f>IFERROR(VLOOKUP(Fix_Mapping[[#This Row],[KODE BARANG]],[1]!KINONF15[[KDBRG]:[HRG_JLMT_CTN+PPN]],12,0),0)</f>
        <v>0</v>
      </c>
      <c r="L325">
        <f>IFERROR(VLOOKUP(Fix_Mapping[[#This Row],[KODE BARANG]],[1]!KINONF15[[KDBRG]:[HRG_JLMT_CTN+PPN]],13,0),0)</f>
        <v>0</v>
      </c>
      <c r="M325">
        <f>IFERROR(VLOOKUP(Fix_Mapping[[#This Row],[KODE BARANG]],[1]!KINONF15[[KDBRG]:[HRG_JLMT_CTN+PPN]],14,0),0)</f>
        <v>0</v>
      </c>
      <c r="N325">
        <f>IFERROR(VLOOKUP(Fix_Mapping[[#This Row],[KODE BARANG]],[1]!KINONF15[[KDBRG]:[HRG_JLMT_CTN+PPN]],15,0),0)</f>
        <v>0</v>
      </c>
      <c r="O325">
        <f>IFERROR(VLOOKUP(Fix_Mapping[[#This Row],[KODE BARANG]],[1]!KINONF15[[KDBRG]:[HRG_JLMT_CTN+PPN]],16,0),0)</f>
        <v>0</v>
      </c>
      <c r="P325">
        <f>IFERROR(VLOOKUP(Fix_Mapping[[#This Row],[KODE BARANG]],[1]!KINONF15[[KDBRG]:[HRG_JLMT_CTN+PPN]],17,0),0)</f>
        <v>0</v>
      </c>
      <c r="Q325">
        <f>IFERROR(VLOOKUP(Fix_Mapping[[#This Row],[KODE BARANG]],[1]!KINONF15[[KDBRG]:[HRG_JLMT_CTN+PPN]],18,0),0)</f>
        <v>0</v>
      </c>
      <c r="R325" t="s">
        <v>2555</v>
      </c>
      <c r="S325" t="s">
        <v>447</v>
      </c>
      <c r="T325" t="s">
        <v>448</v>
      </c>
      <c r="U325">
        <v>0</v>
      </c>
      <c r="V325">
        <v>0</v>
      </c>
      <c r="W325">
        <v>0</v>
      </c>
    </row>
    <row r="326" spans="1:23">
      <c r="A326" t="s">
        <v>1614</v>
      </c>
      <c r="B326" t="s">
        <v>1615</v>
      </c>
      <c r="C326">
        <v>4</v>
      </c>
      <c r="D326">
        <f>IFERROR(VLOOKUP(Fix_Mapping[[#This Row],[KODE BARANG]],[1]!KINONF15[[KDBRG]:[HRG_JLMT_CTN+PPN]],5,0),0)</f>
        <v>0</v>
      </c>
      <c r="E326" t="s">
        <v>2196</v>
      </c>
      <c r="F326">
        <f>IFERROR(VLOOKUP(Fix_Mapping[[#This Row],[KODE BARANG]],[1]!KINONF15[[KDBRG]:[HRG_JLMT_CTN+PPN]],7,0),0)</f>
        <v>0</v>
      </c>
      <c r="G326">
        <f>IFERROR(VLOOKUP(Fix_Mapping[[#This Row],[KODE BARANG]],[1]!KINONF15[[KDBRG]:[HRG_JLMT_CTN+PPN]],8,0),0)</f>
        <v>0</v>
      </c>
      <c r="H326">
        <f>IFERROR(VLOOKUP(Fix_Mapping[[#This Row],[KODE BARANG]],[1]!KINONF15[[KDBRG]:[HRG_JLMT_CTN+PPN]],9,0),0)</f>
        <v>0</v>
      </c>
      <c r="I326">
        <f>IFERROR(VLOOKUP(Fix_Mapping[[#This Row],[KODE BARANG]],[1]!KINONF15[[KDBRG]:[HRG_JLMT_CTN+PPN]],10,0),0)</f>
        <v>0</v>
      </c>
      <c r="J326">
        <f>IFERROR(VLOOKUP(Fix_Mapping[[#This Row],[KODE BARANG]],[1]!KINONF15[[KDBRG]:[HRG_JLMT_CTN+PPN]],11,0),0)</f>
        <v>0</v>
      </c>
      <c r="K326">
        <f>IFERROR(VLOOKUP(Fix_Mapping[[#This Row],[KODE BARANG]],[1]!KINONF15[[KDBRG]:[HRG_JLMT_CTN+PPN]],12,0),0)</f>
        <v>0</v>
      </c>
      <c r="L326">
        <f>IFERROR(VLOOKUP(Fix_Mapping[[#This Row],[KODE BARANG]],[1]!KINONF15[[KDBRG]:[HRG_JLMT_CTN+PPN]],13,0),0)</f>
        <v>0</v>
      </c>
      <c r="M326">
        <f>IFERROR(VLOOKUP(Fix_Mapping[[#This Row],[KODE BARANG]],[1]!KINONF15[[KDBRG]:[HRG_JLMT_CTN+PPN]],14,0),0)</f>
        <v>0</v>
      </c>
      <c r="N326">
        <f>IFERROR(VLOOKUP(Fix_Mapping[[#This Row],[KODE BARANG]],[1]!KINONF15[[KDBRG]:[HRG_JLMT_CTN+PPN]],15,0),0)</f>
        <v>0</v>
      </c>
      <c r="O326">
        <f>IFERROR(VLOOKUP(Fix_Mapping[[#This Row],[KODE BARANG]],[1]!KINONF15[[KDBRG]:[HRG_JLMT_CTN+PPN]],16,0),0)</f>
        <v>0</v>
      </c>
      <c r="P326">
        <f>IFERROR(VLOOKUP(Fix_Mapping[[#This Row],[KODE BARANG]],[1]!KINONF15[[KDBRG]:[HRG_JLMT_CTN+PPN]],17,0),0)</f>
        <v>0</v>
      </c>
      <c r="Q326">
        <f>IFERROR(VLOOKUP(Fix_Mapping[[#This Row],[KODE BARANG]],[1]!KINONF15[[KDBRG]:[HRG_JLMT_CTN+PPN]],18,0),0)</f>
        <v>0</v>
      </c>
      <c r="R326" t="s">
        <v>2555</v>
      </c>
      <c r="S326" t="s">
        <v>449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1616</v>
      </c>
      <c r="B327" t="s">
        <v>1617</v>
      </c>
      <c r="C327">
        <v>60</v>
      </c>
      <c r="D327">
        <f>IFERROR(VLOOKUP(Fix_Mapping[[#This Row],[KODE BARANG]],[1]!KINONF15[[KDBRG]:[HRG_JLMT_CTN+PPN]],5,0),0)</f>
        <v>0</v>
      </c>
      <c r="E327" t="s">
        <v>2198</v>
      </c>
      <c r="F327">
        <f>IFERROR(VLOOKUP(Fix_Mapping[[#This Row],[KODE BARANG]],[1]!KINONF15[[KDBRG]:[HRG_JLMT_CTN+PPN]],7,0),0)</f>
        <v>0</v>
      </c>
      <c r="G327">
        <f>IFERROR(VLOOKUP(Fix_Mapping[[#This Row],[KODE BARANG]],[1]!KINONF15[[KDBRG]:[HRG_JLMT_CTN+PPN]],8,0),0)</f>
        <v>0</v>
      </c>
      <c r="H327">
        <f>IFERROR(VLOOKUP(Fix_Mapping[[#This Row],[KODE BARANG]],[1]!KINONF15[[KDBRG]:[HRG_JLMT_CTN+PPN]],9,0),0)</f>
        <v>0</v>
      </c>
      <c r="I327">
        <f>IFERROR(VLOOKUP(Fix_Mapping[[#This Row],[KODE BARANG]],[1]!KINONF15[[KDBRG]:[HRG_JLMT_CTN+PPN]],10,0),0)</f>
        <v>0</v>
      </c>
      <c r="J327">
        <f>IFERROR(VLOOKUP(Fix_Mapping[[#This Row],[KODE BARANG]],[1]!KINONF15[[KDBRG]:[HRG_JLMT_CTN+PPN]],11,0),0)</f>
        <v>0</v>
      </c>
      <c r="K327">
        <f>IFERROR(VLOOKUP(Fix_Mapping[[#This Row],[KODE BARANG]],[1]!KINONF15[[KDBRG]:[HRG_JLMT_CTN+PPN]],12,0),0)</f>
        <v>0</v>
      </c>
      <c r="L327">
        <f>IFERROR(VLOOKUP(Fix_Mapping[[#This Row],[KODE BARANG]],[1]!KINONF15[[KDBRG]:[HRG_JLMT_CTN+PPN]],13,0),0)</f>
        <v>0</v>
      </c>
      <c r="M327">
        <f>IFERROR(VLOOKUP(Fix_Mapping[[#This Row],[KODE BARANG]],[1]!KINONF15[[KDBRG]:[HRG_JLMT_CTN+PPN]],14,0),0)</f>
        <v>0</v>
      </c>
      <c r="N327">
        <f>IFERROR(VLOOKUP(Fix_Mapping[[#This Row],[KODE BARANG]],[1]!KINONF15[[KDBRG]:[HRG_JLMT_CTN+PPN]],15,0),0)</f>
        <v>0</v>
      </c>
      <c r="O327">
        <f>IFERROR(VLOOKUP(Fix_Mapping[[#This Row],[KODE BARANG]],[1]!KINONF15[[KDBRG]:[HRG_JLMT_CTN+PPN]],16,0),0)</f>
        <v>0</v>
      </c>
      <c r="P327">
        <f>IFERROR(VLOOKUP(Fix_Mapping[[#This Row],[KODE BARANG]],[1]!KINONF15[[KDBRG]:[HRG_JLMT_CTN+PPN]],17,0),0)</f>
        <v>0</v>
      </c>
      <c r="Q327">
        <f>IFERROR(VLOOKUP(Fix_Mapping[[#This Row],[KODE BARANG]],[1]!KINONF15[[KDBRG]:[HRG_JLMT_CTN+PPN]],18,0),0)</f>
        <v>0</v>
      </c>
      <c r="R327" t="s">
        <v>2555</v>
      </c>
      <c r="S327" t="s">
        <v>450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1618</v>
      </c>
      <c r="B328" t="s">
        <v>1619</v>
      </c>
      <c r="C328">
        <v>36</v>
      </c>
      <c r="D328">
        <f>IFERROR(VLOOKUP(Fix_Mapping[[#This Row],[KODE BARANG]],[1]!KINONF15[[KDBRG]:[HRG_JLMT_CTN+PPN]],5,0),0)</f>
        <v>0</v>
      </c>
      <c r="E328" t="s">
        <v>2200</v>
      </c>
      <c r="F328">
        <f>IFERROR(VLOOKUP(Fix_Mapping[[#This Row],[KODE BARANG]],[1]!KINONF15[[KDBRG]:[HRG_JLMT_CTN+PPN]],7,0),0)</f>
        <v>0</v>
      </c>
      <c r="G328">
        <f>IFERROR(VLOOKUP(Fix_Mapping[[#This Row],[KODE BARANG]],[1]!KINONF15[[KDBRG]:[HRG_JLMT_CTN+PPN]],8,0),0)</f>
        <v>0</v>
      </c>
      <c r="H328">
        <f>IFERROR(VLOOKUP(Fix_Mapping[[#This Row],[KODE BARANG]],[1]!KINONF15[[KDBRG]:[HRG_JLMT_CTN+PPN]],9,0),0)</f>
        <v>0</v>
      </c>
      <c r="I328">
        <f>IFERROR(VLOOKUP(Fix_Mapping[[#This Row],[KODE BARANG]],[1]!KINONF15[[KDBRG]:[HRG_JLMT_CTN+PPN]],10,0),0)</f>
        <v>0</v>
      </c>
      <c r="J328">
        <f>IFERROR(VLOOKUP(Fix_Mapping[[#This Row],[KODE BARANG]],[1]!KINONF15[[KDBRG]:[HRG_JLMT_CTN+PPN]],11,0),0)</f>
        <v>0</v>
      </c>
      <c r="K328">
        <f>IFERROR(VLOOKUP(Fix_Mapping[[#This Row],[KODE BARANG]],[1]!KINONF15[[KDBRG]:[HRG_JLMT_CTN+PPN]],12,0),0)</f>
        <v>0</v>
      </c>
      <c r="L328">
        <f>IFERROR(VLOOKUP(Fix_Mapping[[#This Row],[KODE BARANG]],[1]!KINONF15[[KDBRG]:[HRG_JLMT_CTN+PPN]],13,0),0)</f>
        <v>0</v>
      </c>
      <c r="M328">
        <f>IFERROR(VLOOKUP(Fix_Mapping[[#This Row],[KODE BARANG]],[1]!KINONF15[[KDBRG]:[HRG_JLMT_CTN+PPN]],14,0),0)</f>
        <v>0</v>
      </c>
      <c r="N328">
        <f>IFERROR(VLOOKUP(Fix_Mapping[[#This Row],[KODE BARANG]],[1]!KINONF15[[KDBRG]:[HRG_JLMT_CTN+PPN]],15,0),0)</f>
        <v>0</v>
      </c>
      <c r="O328">
        <f>IFERROR(VLOOKUP(Fix_Mapping[[#This Row],[KODE BARANG]],[1]!KINONF15[[KDBRG]:[HRG_JLMT_CTN+PPN]],16,0),0)</f>
        <v>0</v>
      </c>
      <c r="P328">
        <f>IFERROR(VLOOKUP(Fix_Mapping[[#This Row],[KODE BARANG]],[1]!KINONF15[[KDBRG]:[HRG_JLMT_CTN+PPN]],17,0),0)</f>
        <v>0</v>
      </c>
      <c r="Q328">
        <f>IFERROR(VLOOKUP(Fix_Mapping[[#This Row],[KODE BARANG]],[1]!KINONF15[[KDBRG]:[HRG_JLMT_CTN+PPN]],18,0),0)</f>
        <v>0</v>
      </c>
      <c r="R328" t="s">
        <v>2555</v>
      </c>
      <c r="S328" t="s">
        <v>612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1620</v>
      </c>
      <c r="B329" t="s">
        <v>1621</v>
      </c>
      <c r="C329">
        <v>36</v>
      </c>
      <c r="D329">
        <f>IFERROR(VLOOKUP(Fix_Mapping[[#This Row],[KODE BARANG]],[1]!KINONF15[[KDBRG]:[HRG_JLMT_CTN+PPN]],5,0),0)</f>
        <v>0</v>
      </c>
      <c r="E329" t="s">
        <v>2200</v>
      </c>
      <c r="F329">
        <f>IFERROR(VLOOKUP(Fix_Mapping[[#This Row],[KODE BARANG]],[1]!KINONF15[[KDBRG]:[HRG_JLMT_CTN+PPN]],7,0),0)</f>
        <v>0</v>
      </c>
      <c r="G329">
        <f>IFERROR(VLOOKUP(Fix_Mapping[[#This Row],[KODE BARANG]],[1]!KINONF15[[KDBRG]:[HRG_JLMT_CTN+PPN]],8,0),0)</f>
        <v>0</v>
      </c>
      <c r="H329">
        <f>IFERROR(VLOOKUP(Fix_Mapping[[#This Row],[KODE BARANG]],[1]!KINONF15[[KDBRG]:[HRG_JLMT_CTN+PPN]],9,0),0)</f>
        <v>0</v>
      </c>
      <c r="I329">
        <f>IFERROR(VLOOKUP(Fix_Mapping[[#This Row],[KODE BARANG]],[1]!KINONF15[[KDBRG]:[HRG_JLMT_CTN+PPN]],10,0),0)</f>
        <v>0</v>
      </c>
      <c r="J329">
        <f>IFERROR(VLOOKUP(Fix_Mapping[[#This Row],[KODE BARANG]],[1]!KINONF15[[KDBRG]:[HRG_JLMT_CTN+PPN]],11,0),0)</f>
        <v>0</v>
      </c>
      <c r="K329">
        <f>IFERROR(VLOOKUP(Fix_Mapping[[#This Row],[KODE BARANG]],[1]!KINONF15[[KDBRG]:[HRG_JLMT_CTN+PPN]],12,0),0)</f>
        <v>0</v>
      </c>
      <c r="L329">
        <f>IFERROR(VLOOKUP(Fix_Mapping[[#This Row],[KODE BARANG]],[1]!KINONF15[[KDBRG]:[HRG_JLMT_CTN+PPN]],13,0),0)</f>
        <v>0</v>
      </c>
      <c r="M329">
        <f>IFERROR(VLOOKUP(Fix_Mapping[[#This Row],[KODE BARANG]],[1]!KINONF15[[KDBRG]:[HRG_JLMT_CTN+PPN]],14,0),0)</f>
        <v>0</v>
      </c>
      <c r="N329">
        <f>IFERROR(VLOOKUP(Fix_Mapping[[#This Row],[KODE BARANG]],[1]!KINONF15[[KDBRG]:[HRG_JLMT_CTN+PPN]],15,0),0)</f>
        <v>0</v>
      </c>
      <c r="O329">
        <f>IFERROR(VLOOKUP(Fix_Mapping[[#This Row],[KODE BARANG]],[1]!KINONF15[[KDBRG]:[HRG_JLMT_CTN+PPN]],16,0),0)</f>
        <v>0</v>
      </c>
      <c r="P329">
        <f>IFERROR(VLOOKUP(Fix_Mapping[[#This Row],[KODE BARANG]],[1]!KINONF15[[KDBRG]:[HRG_JLMT_CTN+PPN]],17,0),0)</f>
        <v>0</v>
      </c>
      <c r="Q329">
        <f>IFERROR(VLOOKUP(Fix_Mapping[[#This Row],[KODE BARANG]],[1]!KINONF15[[KDBRG]:[HRG_JLMT_CTN+PPN]],18,0),0)</f>
        <v>0</v>
      </c>
      <c r="R329" t="s">
        <v>2555</v>
      </c>
      <c r="S329" t="s">
        <v>613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1622</v>
      </c>
      <c r="B330" t="s">
        <v>1623</v>
      </c>
      <c r="C330">
        <v>36</v>
      </c>
      <c r="D330">
        <f>IFERROR(VLOOKUP(Fix_Mapping[[#This Row],[KODE BARANG]],[1]!KINONF15[[KDBRG]:[HRG_JLMT_CTN+PPN]],5,0),0)</f>
        <v>0</v>
      </c>
      <c r="E330" t="s">
        <v>2200</v>
      </c>
      <c r="F330">
        <f>IFERROR(VLOOKUP(Fix_Mapping[[#This Row],[KODE BARANG]],[1]!KINONF15[[KDBRG]:[HRG_JLMT_CTN+PPN]],7,0),0)</f>
        <v>0</v>
      </c>
      <c r="G330">
        <f>IFERROR(VLOOKUP(Fix_Mapping[[#This Row],[KODE BARANG]],[1]!KINONF15[[KDBRG]:[HRG_JLMT_CTN+PPN]],8,0),0)</f>
        <v>0</v>
      </c>
      <c r="H330">
        <f>IFERROR(VLOOKUP(Fix_Mapping[[#This Row],[KODE BARANG]],[1]!KINONF15[[KDBRG]:[HRG_JLMT_CTN+PPN]],9,0),0)</f>
        <v>0</v>
      </c>
      <c r="I330">
        <f>IFERROR(VLOOKUP(Fix_Mapping[[#This Row],[KODE BARANG]],[1]!KINONF15[[KDBRG]:[HRG_JLMT_CTN+PPN]],10,0),0)</f>
        <v>0</v>
      </c>
      <c r="J330">
        <f>IFERROR(VLOOKUP(Fix_Mapping[[#This Row],[KODE BARANG]],[1]!KINONF15[[KDBRG]:[HRG_JLMT_CTN+PPN]],11,0),0)</f>
        <v>0</v>
      </c>
      <c r="K330">
        <f>IFERROR(VLOOKUP(Fix_Mapping[[#This Row],[KODE BARANG]],[1]!KINONF15[[KDBRG]:[HRG_JLMT_CTN+PPN]],12,0),0)</f>
        <v>0</v>
      </c>
      <c r="L330">
        <f>IFERROR(VLOOKUP(Fix_Mapping[[#This Row],[KODE BARANG]],[1]!KINONF15[[KDBRG]:[HRG_JLMT_CTN+PPN]],13,0),0)</f>
        <v>0</v>
      </c>
      <c r="M330">
        <f>IFERROR(VLOOKUP(Fix_Mapping[[#This Row],[KODE BARANG]],[1]!KINONF15[[KDBRG]:[HRG_JLMT_CTN+PPN]],14,0),0)</f>
        <v>0</v>
      </c>
      <c r="N330">
        <f>IFERROR(VLOOKUP(Fix_Mapping[[#This Row],[KODE BARANG]],[1]!KINONF15[[KDBRG]:[HRG_JLMT_CTN+PPN]],15,0),0)</f>
        <v>0</v>
      </c>
      <c r="O330">
        <f>IFERROR(VLOOKUP(Fix_Mapping[[#This Row],[KODE BARANG]],[1]!KINONF15[[KDBRG]:[HRG_JLMT_CTN+PPN]],16,0),0)</f>
        <v>0</v>
      </c>
      <c r="P330">
        <f>IFERROR(VLOOKUP(Fix_Mapping[[#This Row],[KODE BARANG]],[1]!KINONF15[[KDBRG]:[HRG_JLMT_CTN+PPN]],17,0),0)</f>
        <v>0</v>
      </c>
      <c r="Q330">
        <f>IFERROR(VLOOKUP(Fix_Mapping[[#This Row],[KODE BARANG]],[1]!KINONF15[[KDBRG]:[HRG_JLMT_CTN+PPN]],18,0),0)</f>
        <v>0</v>
      </c>
      <c r="R330" t="s">
        <v>2555</v>
      </c>
      <c r="S330" t="s">
        <v>614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1624</v>
      </c>
      <c r="B331" t="s">
        <v>1625</v>
      </c>
      <c r="C331">
        <v>36</v>
      </c>
      <c r="D331">
        <f>IFERROR(VLOOKUP(Fix_Mapping[[#This Row],[KODE BARANG]],[1]!KINONF15[[KDBRG]:[HRG_JLMT_CTN+PPN]],5,0),0)</f>
        <v>0</v>
      </c>
      <c r="E331" t="s">
        <v>2200</v>
      </c>
      <c r="F331">
        <f>IFERROR(VLOOKUP(Fix_Mapping[[#This Row],[KODE BARANG]],[1]!KINONF15[[KDBRG]:[HRG_JLMT_CTN+PPN]],7,0),0)</f>
        <v>0</v>
      </c>
      <c r="G331">
        <f>IFERROR(VLOOKUP(Fix_Mapping[[#This Row],[KODE BARANG]],[1]!KINONF15[[KDBRG]:[HRG_JLMT_CTN+PPN]],8,0),0)</f>
        <v>0</v>
      </c>
      <c r="H331">
        <f>IFERROR(VLOOKUP(Fix_Mapping[[#This Row],[KODE BARANG]],[1]!KINONF15[[KDBRG]:[HRG_JLMT_CTN+PPN]],9,0),0)</f>
        <v>0</v>
      </c>
      <c r="I331">
        <f>IFERROR(VLOOKUP(Fix_Mapping[[#This Row],[KODE BARANG]],[1]!KINONF15[[KDBRG]:[HRG_JLMT_CTN+PPN]],10,0),0)</f>
        <v>0</v>
      </c>
      <c r="J331">
        <f>IFERROR(VLOOKUP(Fix_Mapping[[#This Row],[KODE BARANG]],[1]!KINONF15[[KDBRG]:[HRG_JLMT_CTN+PPN]],11,0),0)</f>
        <v>0</v>
      </c>
      <c r="K331">
        <f>IFERROR(VLOOKUP(Fix_Mapping[[#This Row],[KODE BARANG]],[1]!KINONF15[[KDBRG]:[HRG_JLMT_CTN+PPN]],12,0),0)</f>
        <v>0</v>
      </c>
      <c r="L331">
        <f>IFERROR(VLOOKUP(Fix_Mapping[[#This Row],[KODE BARANG]],[1]!KINONF15[[KDBRG]:[HRG_JLMT_CTN+PPN]],13,0),0)</f>
        <v>0</v>
      </c>
      <c r="M331">
        <f>IFERROR(VLOOKUP(Fix_Mapping[[#This Row],[KODE BARANG]],[1]!KINONF15[[KDBRG]:[HRG_JLMT_CTN+PPN]],14,0),0)</f>
        <v>0</v>
      </c>
      <c r="N331">
        <f>IFERROR(VLOOKUP(Fix_Mapping[[#This Row],[KODE BARANG]],[1]!KINONF15[[KDBRG]:[HRG_JLMT_CTN+PPN]],15,0),0)</f>
        <v>0</v>
      </c>
      <c r="O331">
        <f>IFERROR(VLOOKUP(Fix_Mapping[[#This Row],[KODE BARANG]],[1]!KINONF15[[KDBRG]:[HRG_JLMT_CTN+PPN]],16,0),0)</f>
        <v>0</v>
      </c>
      <c r="P331">
        <f>IFERROR(VLOOKUP(Fix_Mapping[[#This Row],[KODE BARANG]],[1]!KINONF15[[KDBRG]:[HRG_JLMT_CTN+PPN]],17,0),0)</f>
        <v>0</v>
      </c>
      <c r="Q331">
        <f>IFERROR(VLOOKUP(Fix_Mapping[[#This Row],[KODE BARANG]],[1]!KINONF15[[KDBRG]:[HRG_JLMT_CTN+PPN]],18,0),0)</f>
        <v>0</v>
      </c>
      <c r="R331" t="s">
        <v>2555</v>
      </c>
      <c r="S331" t="s">
        <v>615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1626</v>
      </c>
      <c r="B332" t="s">
        <v>1627</v>
      </c>
      <c r="C332">
        <v>36</v>
      </c>
      <c r="D332">
        <f>IFERROR(VLOOKUP(Fix_Mapping[[#This Row],[KODE BARANG]],[1]!KINONF15[[KDBRG]:[HRG_JLMT_CTN+PPN]],5,0),0)</f>
        <v>0</v>
      </c>
      <c r="E332" t="s">
        <v>2200</v>
      </c>
      <c r="F332">
        <f>IFERROR(VLOOKUP(Fix_Mapping[[#This Row],[KODE BARANG]],[1]!KINONF15[[KDBRG]:[HRG_JLMT_CTN+PPN]],7,0),0)</f>
        <v>0</v>
      </c>
      <c r="G332">
        <f>IFERROR(VLOOKUP(Fix_Mapping[[#This Row],[KODE BARANG]],[1]!KINONF15[[KDBRG]:[HRG_JLMT_CTN+PPN]],8,0),0)</f>
        <v>0</v>
      </c>
      <c r="H332">
        <f>IFERROR(VLOOKUP(Fix_Mapping[[#This Row],[KODE BARANG]],[1]!KINONF15[[KDBRG]:[HRG_JLMT_CTN+PPN]],9,0),0)</f>
        <v>0</v>
      </c>
      <c r="I332">
        <f>IFERROR(VLOOKUP(Fix_Mapping[[#This Row],[KODE BARANG]],[1]!KINONF15[[KDBRG]:[HRG_JLMT_CTN+PPN]],10,0),0)</f>
        <v>0</v>
      </c>
      <c r="J332">
        <f>IFERROR(VLOOKUP(Fix_Mapping[[#This Row],[KODE BARANG]],[1]!KINONF15[[KDBRG]:[HRG_JLMT_CTN+PPN]],11,0),0)</f>
        <v>0</v>
      </c>
      <c r="K332">
        <f>IFERROR(VLOOKUP(Fix_Mapping[[#This Row],[KODE BARANG]],[1]!KINONF15[[KDBRG]:[HRG_JLMT_CTN+PPN]],12,0),0)</f>
        <v>0</v>
      </c>
      <c r="L332">
        <f>IFERROR(VLOOKUP(Fix_Mapping[[#This Row],[KODE BARANG]],[1]!KINONF15[[KDBRG]:[HRG_JLMT_CTN+PPN]],13,0),0)</f>
        <v>0</v>
      </c>
      <c r="M332">
        <f>IFERROR(VLOOKUP(Fix_Mapping[[#This Row],[KODE BARANG]],[1]!KINONF15[[KDBRG]:[HRG_JLMT_CTN+PPN]],14,0),0)</f>
        <v>0</v>
      </c>
      <c r="N332">
        <f>IFERROR(VLOOKUP(Fix_Mapping[[#This Row],[KODE BARANG]],[1]!KINONF15[[KDBRG]:[HRG_JLMT_CTN+PPN]],15,0),0)</f>
        <v>0</v>
      </c>
      <c r="O332">
        <f>IFERROR(VLOOKUP(Fix_Mapping[[#This Row],[KODE BARANG]],[1]!KINONF15[[KDBRG]:[HRG_JLMT_CTN+PPN]],16,0),0)</f>
        <v>0</v>
      </c>
      <c r="P332">
        <f>IFERROR(VLOOKUP(Fix_Mapping[[#This Row],[KODE BARANG]],[1]!KINONF15[[KDBRG]:[HRG_JLMT_CTN+PPN]],17,0),0)</f>
        <v>0</v>
      </c>
      <c r="Q332">
        <f>IFERROR(VLOOKUP(Fix_Mapping[[#This Row],[KODE BARANG]],[1]!KINONF15[[KDBRG]:[HRG_JLMT_CTN+PPN]],18,0),0)</f>
        <v>0</v>
      </c>
      <c r="R332" t="s">
        <v>2555</v>
      </c>
      <c r="S332" t="s">
        <v>616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1628</v>
      </c>
      <c r="B333" t="s">
        <v>1629</v>
      </c>
      <c r="C333">
        <v>36</v>
      </c>
      <c r="D333">
        <f>IFERROR(VLOOKUP(Fix_Mapping[[#This Row],[KODE BARANG]],[1]!KINONF15[[KDBRG]:[HRG_JLMT_CTN+PPN]],5,0),0)</f>
        <v>0</v>
      </c>
      <c r="E333" t="s">
        <v>2200</v>
      </c>
      <c r="F333">
        <f>IFERROR(VLOOKUP(Fix_Mapping[[#This Row],[KODE BARANG]],[1]!KINONF15[[KDBRG]:[HRG_JLMT_CTN+PPN]],7,0),0)</f>
        <v>0</v>
      </c>
      <c r="G333">
        <f>IFERROR(VLOOKUP(Fix_Mapping[[#This Row],[KODE BARANG]],[1]!KINONF15[[KDBRG]:[HRG_JLMT_CTN+PPN]],8,0),0)</f>
        <v>0</v>
      </c>
      <c r="H333">
        <f>IFERROR(VLOOKUP(Fix_Mapping[[#This Row],[KODE BARANG]],[1]!KINONF15[[KDBRG]:[HRG_JLMT_CTN+PPN]],9,0),0)</f>
        <v>0</v>
      </c>
      <c r="I333">
        <f>IFERROR(VLOOKUP(Fix_Mapping[[#This Row],[KODE BARANG]],[1]!KINONF15[[KDBRG]:[HRG_JLMT_CTN+PPN]],10,0),0)</f>
        <v>0</v>
      </c>
      <c r="J333">
        <f>IFERROR(VLOOKUP(Fix_Mapping[[#This Row],[KODE BARANG]],[1]!KINONF15[[KDBRG]:[HRG_JLMT_CTN+PPN]],11,0),0)</f>
        <v>0</v>
      </c>
      <c r="K333">
        <f>IFERROR(VLOOKUP(Fix_Mapping[[#This Row],[KODE BARANG]],[1]!KINONF15[[KDBRG]:[HRG_JLMT_CTN+PPN]],12,0),0)</f>
        <v>0</v>
      </c>
      <c r="L333">
        <f>IFERROR(VLOOKUP(Fix_Mapping[[#This Row],[KODE BARANG]],[1]!KINONF15[[KDBRG]:[HRG_JLMT_CTN+PPN]],13,0),0)</f>
        <v>0</v>
      </c>
      <c r="M333">
        <f>IFERROR(VLOOKUP(Fix_Mapping[[#This Row],[KODE BARANG]],[1]!KINONF15[[KDBRG]:[HRG_JLMT_CTN+PPN]],14,0),0)</f>
        <v>0</v>
      </c>
      <c r="N333">
        <f>IFERROR(VLOOKUP(Fix_Mapping[[#This Row],[KODE BARANG]],[1]!KINONF15[[KDBRG]:[HRG_JLMT_CTN+PPN]],15,0),0)</f>
        <v>0</v>
      </c>
      <c r="O333">
        <f>IFERROR(VLOOKUP(Fix_Mapping[[#This Row],[KODE BARANG]],[1]!KINONF15[[KDBRG]:[HRG_JLMT_CTN+PPN]],16,0),0)</f>
        <v>0</v>
      </c>
      <c r="P333">
        <f>IFERROR(VLOOKUP(Fix_Mapping[[#This Row],[KODE BARANG]],[1]!KINONF15[[KDBRG]:[HRG_JLMT_CTN+PPN]],17,0),0)</f>
        <v>0</v>
      </c>
      <c r="Q333">
        <f>IFERROR(VLOOKUP(Fix_Mapping[[#This Row],[KODE BARANG]],[1]!KINONF15[[KDBRG]:[HRG_JLMT_CTN+PPN]],18,0),0)</f>
        <v>0</v>
      </c>
      <c r="R333" t="s">
        <v>2555</v>
      </c>
      <c r="S333" t="s">
        <v>617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1630</v>
      </c>
      <c r="B334" t="s">
        <v>1631</v>
      </c>
      <c r="C334">
        <v>36</v>
      </c>
      <c r="D334">
        <f>IFERROR(VLOOKUP(Fix_Mapping[[#This Row],[KODE BARANG]],[1]!KINONF15[[KDBRG]:[HRG_JLMT_CTN+PPN]],5,0),0)</f>
        <v>0</v>
      </c>
      <c r="E334" t="s">
        <v>2200</v>
      </c>
      <c r="F334">
        <f>IFERROR(VLOOKUP(Fix_Mapping[[#This Row],[KODE BARANG]],[1]!KINONF15[[KDBRG]:[HRG_JLMT_CTN+PPN]],7,0),0)</f>
        <v>0</v>
      </c>
      <c r="G334">
        <f>IFERROR(VLOOKUP(Fix_Mapping[[#This Row],[KODE BARANG]],[1]!KINONF15[[KDBRG]:[HRG_JLMT_CTN+PPN]],8,0),0)</f>
        <v>0</v>
      </c>
      <c r="H334">
        <f>IFERROR(VLOOKUP(Fix_Mapping[[#This Row],[KODE BARANG]],[1]!KINONF15[[KDBRG]:[HRG_JLMT_CTN+PPN]],9,0),0)</f>
        <v>0</v>
      </c>
      <c r="I334">
        <f>IFERROR(VLOOKUP(Fix_Mapping[[#This Row],[KODE BARANG]],[1]!KINONF15[[KDBRG]:[HRG_JLMT_CTN+PPN]],10,0),0)</f>
        <v>0</v>
      </c>
      <c r="J334">
        <f>IFERROR(VLOOKUP(Fix_Mapping[[#This Row],[KODE BARANG]],[1]!KINONF15[[KDBRG]:[HRG_JLMT_CTN+PPN]],11,0),0)</f>
        <v>0</v>
      </c>
      <c r="K334">
        <f>IFERROR(VLOOKUP(Fix_Mapping[[#This Row],[KODE BARANG]],[1]!KINONF15[[KDBRG]:[HRG_JLMT_CTN+PPN]],12,0),0)</f>
        <v>0</v>
      </c>
      <c r="L334">
        <f>IFERROR(VLOOKUP(Fix_Mapping[[#This Row],[KODE BARANG]],[1]!KINONF15[[KDBRG]:[HRG_JLMT_CTN+PPN]],13,0),0)</f>
        <v>0</v>
      </c>
      <c r="M334">
        <f>IFERROR(VLOOKUP(Fix_Mapping[[#This Row],[KODE BARANG]],[1]!KINONF15[[KDBRG]:[HRG_JLMT_CTN+PPN]],14,0),0)</f>
        <v>0</v>
      </c>
      <c r="N334">
        <f>IFERROR(VLOOKUP(Fix_Mapping[[#This Row],[KODE BARANG]],[1]!KINONF15[[KDBRG]:[HRG_JLMT_CTN+PPN]],15,0),0)</f>
        <v>0</v>
      </c>
      <c r="O334">
        <f>IFERROR(VLOOKUP(Fix_Mapping[[#This Row],[KODE BARANG]],[1]!KINONF15[[KDBRG]:[HRG_JLMT_CTN+PPN]],16,0),0)</f>
        <v>0</v>
      </c>
      <c r="P334">
        <f>IFERROR(VLOOKUP(Fix_Mapping[[#This Row],[KODE BARANG]],[1]!KINONF15[[KDBRG]:[HRG_JLMT_CTN+PPN]],17,0),0)</f>
        <v>0</v>
      </c>
      <c r="Q334">
        <f>IFERROR(VLOOKUP(Fix_Mapping[[#This Row],[KODE BARANG]],[1]!KINONF15[[KDBRG]:[HRG_JLMT_CTN+PPN]],18,0),0)</f>
        <v>0</v>
      </c>
      <c r="R334" t="s">
        <v>2555</v>
      </c>
      <c r="S334" t="s">
        <v>618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1632</v>
      </c>
      <c r="B335" t="s">
        <v>1633</v>
      </c>
      <c r="C335">
        <v>36</v>
      </c>
      <c r="D335">
        <f>IFERROR(VLOOKUP(Fix_Mapping[[#This Row],[KODE BARANG]],[1]!KINONF15[[KDBRG]:[HRG_JLMT_CTN+PPN]],5,0),0)</f>
        <v>0</v>
      </c>
      <c r="E335" t="s">
        <v>2200</v>
      </c>
      <c r="F335">
        <f>IFERROR(VLOOKUP(Fix_Mapping[[#This Row],[KODE BARANG]],[1]!KINONF15[[KDBRG]:[HRG_JLMT_CTN+PPN]],7,0),0)</f>
        <v>0</v>
      </c>
      <c r="G335">
        <f>IFERROR(VLOOKUP(Fix_Mapping[[#This Row],[KODE BARANG]],[1]!KINONF15[[KDBRG]:[HRG_JLMT_CTN+PPN]],8,0),0)</f>
        <v>0</v>
      </c>
      <c r="H335">
        <f>IFERROR(VLOOKUP(Fix_Mapping[[#This Row],[KODE BARANG]],[1]!KINONF15[[KDBRG]:[HRG_JLMT_CTN+PPN]],9,0),0)</f>
        <v>0</v>
      </c>
      <c r="I335">
        <f>IFERROR(VLOOKUP(Fix_Mapping[[#This Row],[KODE BARANG]],[1]!KINONF15[[KDBRG]:[HRG_JLMT_CTN+PPN]],10,0),0)</f>
        <v>0</v>
      </c>
      <c r="J335">
        <f>IFERROR(VLOOKUP(Fix_Mapping[[#This Row],[KODE BARANG]],[1]!KINONF15[[KDBRG]:[HRG_JLMT_CTN+PPN]],11,0),0)</f>
        <v>0</v>
      </c>
      <c r="K335">
        <f>IFERROR(VLOOKUP(Fix_Mapping[[#This Row],[KODE BARANG]],[1]!KINONF15[[KDBRG]:[HRG_JLMT_CTN+PPN]],12,0),0)</f>
        <v>0</v>
      </c>
      <c r="L335">
        <f>IFERROR(VLOOKUP(Fix_Mapping[[#This Row],[KODE BARANG]],[1]!KINONF15[[KDBRG]:[HRG_JLMT_CTN+PPN]],13,0),0)</f>
        <v>0</v>
      </c>
      <c r="M335">
        <f>IFERROR(VLOOKUP(Fix_Mapping[[#This Row],[KODE BARANG]],[1]!KINONF15[[KDBRG]:[HRG_JLMT_CTN+PPN]],14,0),0)</f>
        <v>0</v>
      </c>
      <c r="N335">
        <f>IFERROR(VLOOKUP(Fix_Mapping[[#This Row],[KODE BARANG]],[1]!KINONF15[[KDBRG]:[HRG_JLMT_CTN+PPN]],15,0),0)</f>
        <v>0</v>
      </c>
      <c r="O335">
        <f>IFERROR(VLOOKUP(Fix_Mapping[[#This Row],[KODE BARANG]],[1]!KINONF15[[KDBRG]:[HRG_JLMT_CTN+PPN]],16,0),0)</f>
        <v>0</v>
      </c>
      <c r="P335">
        <f>IFERROR(VLOOKUP(Fix_Mapping[[#This Row],[KODE BARANG]],[1]!KINONF15[[KDBRG]:[HRG_JLMT_CTN+PPN]],17,0),0)</f>
        <v>0</v>
      </c>
      <c r="Q335">
        <f>IFERROR(VLOOKUP(Fix_Mapping[[#This Row],[KODE BARANG]],[1]!KINONF15[[KDBRG]:[HRG_JLMT_CTN+PPN]],18,0),0)</f>
        <v>0</v>
      </c>
      <c r="R335" t="s">
        <v>2555</v>
      </c>
      <c r="S335" t="s">
        <v>619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1634</v>
      </c>
      <c r="B336" t="s">
        <v>1635</v>
      </c>
      <c r="C336">
        <v>36</v>
      </c>
      <c r="D336">
        <f>IFERROR(VLOOKUP(Fix_Mapping[[#This Row],[KODE BARANG]],[1]!KINONF15[[KDBRG]:[HRG_JLMT_CTN+PPN]],5,0),0)</f>
        <v>0</v>
      </c>
      <c r="E336" t="s">
        <v>2200</v>
      </c>
      <c r="F336">
        <f>IFERROR(VLOOKUP(Fix_Mapping[[#This Row],[KODE BARANG]],[1]!KINONF15[[KDBRG]:[HRG_JLMT_CTN+PPN]],7,0),0)</f>
        <v>0</v>
      </c>
      <c r="G336">
        <f>IFERROR(VLOOKUP(Fix_Mapping[[#This Row],[KODE BARANG]],[1]!KINONF15[[KDBRG]:[HRG_JLMT_CTN+PPN]],8,0),0)</f>
        <v>0</v>
      </c>
      <c r="H336">
        <f>IFERROR(VLOOKUP(Fix_Mapping[[#This Row],[KODE BARANG]],[1]!KINONF15[[KDBRG]:[HRG_JLMT_CTN+PPN]],9,0),0)</f>
        <v>0</v>
      </c>
      <c r="I336">
        <f>IFERROR(VLOOKUP(Fix_Mapping[[#This Row],[KODE BARANG]],[1]!KINONF15[[KDBRG]:[HRG_JLMT_CTN+PPN]],10,0),0)</f>
        <v>0</v>
      </c>
      <c r="J336">
        <f>IFERROR(VLOOKUP(Fix_Mapping[[#This Row],[KODE BARANG]],[1]!KINONF15[[KDBRG]:[HRG_JLMT_CTN+PPN]],11,0),0)</f>
        <v>0</v>
      </c>
      <c r="K336">
        <f>IFERROR(VLOOKUP(Fix_Mapping[[#This Row],[KODE BARANG]],[1]!KINONF15[[KDBRG]:[HRG_JLMT_CTN+PPN]],12,0),0)</f>
        <v>0</v>
      </c>
      <c r="L336">
        <f>IFERROR(VLOOKUP(Fix_Mapping[[#This Row],[KODE BARANG]],[1]!KINONF15[[KDBRG]:[HRG_JLMT_CTN+PPN]],13,0),0)</f>
        <v>0</v>
      </c>
      <c r="M336">
        <f>IFERROR(VLOOKUP(Fix_Mapping[[#This Row],[KODE BARANG]],[1]!KINONF15[[KDBRG]:[HRG_JLMT_CTN+PPN]],14,0),0)</f>
        <v>0</v>
      </c>
      <c r="N336">
        <f>IFERROR(VLOOKUP(Fix_Mapping[[#This Row],[KODE BARANG]],[1]!KINONF15[[KDBRG]:[HRG_JLMT_CTN+PPN]],15,0),0)</f>
        <v>0</v>
      </c>
      <c r="O336">
        <f>IFERROR(VLOOKUP(Fix_Mapping[[#This Row],[KODE BARANG]],[1]!KINONF15[[KDBRG]:[HRG_JLMT_CTN+PPN]],16,0),0)</f>
        <v>0</v>
      </c>
      <c r="P336">
        <f>IFERROR(VLOOKUP(Fix_Mapping[[#This Row],[KODE BARANG]],[1]!KINONF15[[KDBRG]:[HRG_JLMT_CTN+PPN]],17,0),0)</f>
        <v>0</v>
      </c>
      <c r="Q336">
        <f>IFERROR(VLOOKUP(Fix_Mapping[[#This Row],[KODE BARANG]],[1]!KINONF15[[KDBRG]:[HRG_JLMT_CTN+PPN]],18,0),0)</f>
        <v>0</v>
      </c>
      <c r="R336" t="s">
        <v>2555</v>
      </c>
      <c r="S336" t="s">
        <v>620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1636</v>
      </c>
      <c r="B337" t="s">
        <v>1637</v>
      </c>
      <c r="C337">
        <v>36</v>
      </c>
      <c r="D337">
        <f>IFERROR(VLOOKUP(Fix_Mapping[[#This Row],[KODE BARANG]],[1]!KINONF15[[KDBRG]:[HRG_JLMT_CTN+PPN]],5,0),0)</f>
        <v>0</v>
      </c>
      <c r="E337" t="s">
        <v>2200</v>
      </c>
      <c r="F337">
        <f>IFERROR(VLOOKUP(Fix_Mapping[[#This Row],[KODE BARANG]],[1]!KINONF15[[KDBRG]:[HRG_JLMT_CTN+PPN]],7,0),0)</f>
        <v>0</v>
      </c>
      <c r="G337">
        <f>IFERROR(VLOOKUP(Fix_Mapping[[#This Row],[KODE BARANG]],[1]!KINONF15[[KDBRG]:[HRG_JLMT_CTN+PPN]],8,0),0)</f>
        <v>0</v>
      </c>
      <c r="H337">
        <f>IFERROR(VLOOKUP(Fix_Mapping[[#This Row],[KODE BARANG]],[1]!KINONF15[[KDBRG]:[HRG_JLMT_CTN+PPN]],9,0),0)</f>
        <v>0</v>
      </c>
      <c r="I337">
        <f>IFERROR(VLOOKUP(Fix_Mapping[[#This Row],[KODE BARANG]],[1]!KINONF15[[KDBRG]:[HRG_JLMT_CTN+PPN]],10,0),0)</f>
        <v>0</v>
      </c>
      <c r="J337">
        <f>IFERROR(VLOOKUP(Fix_Mapping[[#This Row],[KODE BARANG]],[1]!KINONF15[[KDBRG]:[HRG_JLMT_CTN+PPN]],11,0),0)</f>
        <v>0</v>
      </c>
      <c r="K337">
        <f>IFERROR(VLOOKUP(Fix_Mapping[[#This Row],[KODE BARANG]],[1]!KINONF15[[KDBRG]:[HRG_JLMT_CTN+PPN]],12,0),0)</f>
        <v>0</v>
      </c>
      <c r="L337">
        <f>IFERROR(VLOOKUP(Fix_Mapping[[#This Row],[KODE BARANG]],[1]!KINONF15[[KDBRG]:[HRG_JLMT_CTN+PPN]],13,0),0)</f>
        <v>0</v>
      </c>
      <c r="M337">
        <f>IFERROR(VLOOKUP(Fix_Mapping[[#This Row],[KODE BARANG]],[1]!KINONF15[[KDBRG]:[HRG_JLMT_CTN+PPN]],14,0),0)</f>
        <v>0</v>
      </c>
      <c r="N337">
        <f>IFERROR(VLOOKUP(Fix_Mapping[[#This Row],[KODE BARANG]],[1]!KINONF15[[KDBRG]:[HRG_JLMT_CTN+PPN]],15,0),0)</f>
        <v>0</v>
      </c>
      <c r="O337">
        <f>IFERROR(VLOOKUP(Fix_Mapping[[#This Row],[KODE BARANG]],[1]!KINONF15[[KDBRG]:[HRG_JLMT_CTN+PPN]],16,0),0)</f>
        <v>0</v>
      </c>
      <c r="P337">
        <f>IFERROR(VLOOKUP(Fix_Mapping[[#This Row],[KODE BARANG]],[1]!KINONF15[[KDBRG]:[HRG_JLMT_CTN+PPN]],17,0),0)</f>
        <v>0</v>
      </c>
      <c r="Q337">
        <f>IFERROR(VLOOKUP(Fix_Mapping[[#This Row],[KODE BARANG]],[1]!KINONF15[[KDBRG]:[HRG_JLMT_CTN+PPN]],18,0),0)</f>
        <v>0</v>
      </c>
      <c r="R337" t="s">
        <v>2555</v>
      </c>
      <c r="S337" t="s">
        <v>621</v>
      </c>
      <c r="T337">
        <v>0</v>
      </c>
      <c r="U337">
        <v>0</v>
      </c>
      <c r="V337">
        <v>0</v>
      </c>
      <c r="W337">
        <v>0</v>
      </c>
    </row>
    <row r="338" spans="1:23">
      <c r="A338" t="s">
        <v>1638</v>
      </c>
      <c r="B338" t="s">
        <v>1639</v>
      </c>
      <c r="C338">
        <v>36</v>
      </c>
      <c r="D338">
        <f>IFERROR(VLOOKUP(Fix_Mapping[[#This Row],[KODE BARANG]],[1]!KINONF15[[KDBRG]:[HRG_JLMT_CTN+PPN]],5,0),0)</f>
        <v>0</v>
      </c>
      <c r="E338" t="s">
        <v>2200</v>
      </c>
      <c r="F338">
        <f>IFERROR(VLOOKUP(Fix_Mapping[[#This Row],[KODE BARANG]],[1]!KINONF15[[KDBRG]:[HRG_JLMT_CTN+PPN]],7,0),0)</f>
        <v>0</v>
      </c>
      <c r="G338">
        <f>IFERROR(VLOOKUP(Fix_Mapping[[#This Row],[KODE BARANG]],[1]!KINONF15[[KDBRG]:[HRG_JLMT_CTN+PPN]],8,0),0)</f>
        <v>0</v>
      </c>
      <c r="H338">
        <f>IFERROR(VLOOKUP(Fix_Mapping[[#This Row],[KODE BARANG]],[1]!KINONF15[[KDBRG]:[HRG_JLMT_CTN+PPN]],9,0),0)</f>
        <v>0</v>
      </c>
      <c r="I338">
        <f>IFERROR(VLOOKUP(Fix_Mapping[[#This Row],[KODE BARANG]],[1]!KINONF15[[KDBRG]:[HRG_JLMT_CTN+PPN]],10,0),0)</f>
        <v>0</v>
      </c>
      <c r="J338">
        <f>IFERROR(VLOOKUP(Fix_Mapping[[#This Row],[KODE BARANG]],[1]!KINONF15[[KDBRG]:[HRG_JLMT_CTN+PPN]],11,0),0)</f>
        <v>0</v>
      </c>
      <c r="K338">
        <f>IFERROR(VLOOKUP(Fix_Mapping[[#This Row],[KODE BARANG]],[1]!KINONF15[[KDBRG]:[HRG_JLMT_CTN+PPN]],12,0),0)</f>
        <v>0</v>
      </c>
      <c r="L338">
        <f>IFERROR(VLOOKUP(Fix_Mapping[[#This Row],[KODE BARANG]],[1]!KINONF15[[KDBRG]:[HRG_JLMT_CTN+PPN]],13,0),0)</f>
        <v>0</v>
      </c>
      <c r="M338">
        <f>IFERROR(VLOOKUP(Fix_Mapping[[#This Row],[KODE BARANG]],[1]!KINONF15[[KDBRG]:[HRG_JLMT_CTN+PPN]],14,0),0)</f>
        <v>0</v>
      </c>
      <c r="N338">
        <f>IFERROR(VLOOKUP(Fix_Mapping[[#This Row],[KODE BARANG]],[1]!KINONF15[[KDBRG]:[HRG_JLMT_CTN+PPN]],15,0),0)</f>
        <v>0</v>
      </c>
      <c r="O338">
        <f>IFERROR(VLOOKUP(Fix_Mapping[[#This Row],[KODE BARANG]],[1]!KINONF15[[KDBRG]:[HRG_JLMT_CTN+PPN]],16,0),0)</f>
        <v>0</v>
      </c>
      <c r="P338">
        <f>IFERROR(VLOOKUP(Fix_Mapping[[#This Row],[KODE BARANG]],[1]!KINONF15[[KDBRG]:[HRG_JLMT_CTN+PPN]],17,0),0)</f>
        <v>0</v>
      </c>
      <c r="Q338">
        <f>IFERROR(VLOOKUP(Fix_Mapping[[#This Row],[KODE BARANG]],[1]!KINONF15[[KDBRG]:[HRG_JLMT_CTN+PPN]],18,0),0)</f>
        <v>0</v>
      </c>
      <c r="R338" t="s">
        <v>2555</v>
      </c>
      <c r="S338" t="s">
        <v>622</v>
      </c>
      <c r="T338">
        <v>0</v>
      </c>
      <c r="U338">
        <v>0</v>
      </c>
      <c r="V338">
        <v>0</v>
      </c>
      <c r="W338">
        <v>0</v>
      </c>
    </row>
    <row r="339" spans="1:23">
      <c r="A339" t="s">
        <v>1640</v>
      </c>
      <c r="B339" t="s">
        <v>1641</v>
      </c>
      <c r="C339">
        <v>36</v>
      </c>
      <c r="D339">
        <f>IFERROR(VLOOKUP(Fix_Mapping[[#This Row],[KODE BARANG]],[1]!KINONF15[[KDBRG]:[HRG_JLMT_CTN+PPN]],5,0),0)</f>
        <v>0</v>
      </c>
      <c r="E339" t="s">
        <v>2200</v>
      </c>
      <c r="F339">
        <f>IFERROR(VLOOKUP(Fix_Mapping[[#This Row],[KODE BARANG]],[1]!KINONF15[[KDBRG]:[HRG_JLMT_CTN+PPN]],7,0),0)</f>
        <v>0</v>
      </c>
      <c r="G339">
        <f>IFERROR(VLOOKUP(Fix_Mapping[[#This Row],[KODE BARANG]],[1]!KINONF15[[KDBRG]:[HRG_JLMT_CTN+PPN]],8,0),0)</f>
        <v>0</v>
      </c>
      <c r="H339">
        <f>IFERROR(VLOOKUP(Fix_Mapping[[#This Row],[KODE BARANG]],[1]!KINONF15[[KDBRG]:[HRG_JLMT_CTN+PPN]],9,0),0)</f>
        <v>0</v>
      </c>
      <c r="I339">
        <f>IFERROR(VLOOKUP(Fix_Mapping[[#This Row],[KODE BARANG]],[1]!KINONF15[[KDBRG]:[HRG_JLMT_CTN+PPN]],10,0),0)</f>
        <v>0</v>
      </c>
      <c r="J339">
        <f>IFERROR(VLOOKUP(Fix_Mapping[[#This Row],[KODE BARANG]],[1]!KINONF15[[KDBRG]:[HRG_JLMT_CTN+PPN]],11,0),0)</f>
        <v>0</v>
      </c>
      <c r="K339">
        <f>IFERROR(VLOOKUP(Fix_Mapping[[#This Row],[KODE BARANG]],[1]!KINONF15[[KDBRG]:[HRG_JLMT_CTN+PPN]],12,0),0)</f>
        <v>0</v>
      </c>
      <c r="L339">
        <f>IFERROR(VLOOKUP(Fix_Mapping[[#This Row],[KODE BARANG]],[1]!KINONF15[[KDBRG]:[HRG_JLMT_CTN+PPN]],13,0),0)</f>
        <v>0</v>
      </c>
      <c r="M339">
        <f>IFERROR(VLOOKUP(Fix_Mapping[[#This Row],[KODE BARANG]],[1]!KINONF15[[KDBRG]:[HRG_JLMT_CTN+PPN]],14,0),0)</f>
        <v>0</v>
      </c>
      <c r="N339">
        <f>IFERROR(VLOOKUP(Fix_Mapping[[#This Row],[KODE BARANG]],[1]!KINONF15[[KDBRG]:[HRG_JLMT_CTN+PPN]],15,0),0)</f>
        <v>0</v>
      </c>
      <c r="O339">
        <f>IFERROR(VLOOKUP(Fix_Mapping[[#This Row],[KODE BARANG]],[1]!KINONF15[[KDBRG]:[HRG_JLMT_CTN+PPN]],16,0),0)</f>
        <v>0</v>
      </c>
      <c r="P339">
        <f>IFERROR(VLOOKUP(Fix_Mapping[[#This Row],[KODE BARANG]],[1]!KINONF15[[KDBRG]:[HRG_JLMT_CTN+PPN]],17,0),0)</f>
        <v>0</v>
      </c>
      <c r="Q339">
        <f>IFERROR(VLOOKUP(Fix_Mapping[[#This Row],[KODE BARANG]],[1]!KINONF15[[KDBRG]:[HRG_JLMT_CTN+PPN]],18,0),0)</f>
        <v>0</v>
      </c>
      <c r="R339" t="s">
        <v>2555</v>
      </c>
      <c r="S339" t="s">
        <v>623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1642</v>
      </c>
      <c r="B340" t="s">
        <v>1643</v>
      </c>
      <c r="C340">
        <v>36</v>
      </c>
      <c r="D340">
        <f>IFERROR(VLOOKUP(Fix_Mapping[[#This Row],[KODE BARANG]],[1]!KINONF15[[KDBRG]:[HRG_JLMT_CTN+PPN]],5,0),0)</f>
        <v>0</v>
      </c>
      <c r="E340" t="s">
        <v>2200</v>
      </c>
      <c r="F340">
        <f>IFERROR(VLOOKUP(Fix_Mapping[[#This Row],[KODE BARANG]],[1]!KINONF15[[KDBRG]:[HRG_JLMT_CTN+PPN]],7,0),0)</f>
        <v>0</v>
      </c>
      <c r="G340">
        <f>IFERROR(VLOOKUP(Fix_Mapping[[#This Row],[KODE BARANG]],[1]!KINONF15[[KDBRG]:[HRG_JLMT_CTN+PPN]],8,0),0)</f>
        <v>0</v>
      </c>
      <c r="H340">
        <f>IFERROR(VLOOKUP(Fix_Mapping[[#This Row],[KODE BARANG]],[1]!KINONF15[[KDBRG]:[HRG_JLMT_CTN+PPN]],9,0),0)</f>
        <v>0</v>
      </c>
      <c r="I340">
        <f>IFERROR(VLOOKUP(Fix_Mapping[[#This Row],[KODE BARANG]],[1]!KINONF15[[KDBRG]:[HRG_JLMT_CTN+PPN]],10,0),0)</f>
        <v>0</v>
      </c>
      <c r="J340">
        <f>IFERROR(VLOOKUP(Fix_Mapping[[#This Row],[KODE BARANG]],[1]!KINONF15[[KDBRG]:[HRG_JLMT_CTN+PPN]],11,0),0)</f>
        <v>0</v>
      </c>
      <c r="K340">
        <f>IFERROR(VLOOKUP(Fix_Mapping[[#This Row],[KODE BARANG]],[1]!KINONF15[[KDBRG]:[HRG_JLMT_CTN+PPN]],12,0),0)</f>
        <v>0</v>
      </c>
      <c r="L340">
        <f>IFERROR(VLOOKUP(Fix_Mapping[[#This Row],[KODE BARANG]],[1]!KINONF15[[KDBRG]:[HRG_JLMT_CTN+PPN]],13,0),0)</f>
        <v>0</v>
      </c>
      <c r="M340">
        <f>IFERROR(VLOOKUP(Fix_Mapping[[#This Row],[KODE BARANG]],[1]!KINONF15[[KDBRG]:[HRG_JLMT_CTN+PPN]],14,0),0)</f>
        <v>0</v>
      </c>
      <c r="N340">
        <f>IFERROR(VLOOKUP(Fix_Mapping[[#This Row],[KODE BARANG]],[1]!KINONF15[[KDBRG]:[HRG_JLMT_CTN+PPN]],15,0),0)</f>
        <v>0</v>
      </c>
      <c r="O340">
        <f>IFERROR(VLOOKUP(Fix_Mapping[[#This Row],[KODE BARANG]],[1]!KINONF15[[KDBRG]:[HRG_JLMT_CTN+PPN]],16,0),0)</f>
        <v>0</v>
      </c>
      <c r="P340">
        <f>IFERROR(VLOOKUP(Fix_Mapping[[#This Row],[KODE BARANG]],[1]!KINONF15[[KDBRG]:[HRG_JLMT_CTN+PPN]],17,0),0)</f>
        <v>0</v>
      </c>
      <c r="Q340">
        <f>IFERROR(VLOOKUP(Fix_Mapping[[#This Row],[KODE BARANG]],[1]!KINONF15[[KDBRG]:[HRG_JLMT_CTN+PPN]],18,0),0)</f>
        <v>0</v>
      </c>
      <c r="R340" t="s">
        <v>2555</v>
      </c>
      <c r="S340" t="s">
        <v>624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1644</v>
      </c>
      <c r="B341" t="s">
        <v>1645</v>
      </c>
      <c r="C341">
        <v>36</v>
      </c>
      <c r="D341">
        <f>IFERROR(VLOOKUP(Fix_Mapping[[#This Row],[KODE BARANG]],[1]!KINONF15[[KDBRG]:[HRG_JLMT_CTN+PPN]],5,0),0)</f>
        <v>0</v>
      </c>
      <c r="E341" t="s">
        <v>2200</v>
      </c>
      <c r="F341">
        <f>IFERROR(VLOOKUP(Fix_Mapping[[#This Row],[KODE BARANG]],[1]!KINONF15[[KDBRG]:[HRG_JLMT_CTN+PPN]],7,0),0)</f>
        <v>0</v>
      </c>
      <c r="G341">
        <f>IFERROR(VLOOKUP(Fix_Mapping[[#This Row],[KODE BARANG]],[1]!KINONF15[[KDBRG]:[HRG_JLMT_CTN+PPN]],8,0),0)</f>
        <v>0</v>
      </c>
      <c r="H341">
        <f>IFERROR(VLOOKUP(Fix_Mapping[[#This Row],[KODE BARANG]],[1]!KINONF15[[KDBRG]:[HRG_JLMT_CTN+PPN]],9,0),0)</f>
        <v>0</v>
      </c>
      <c r="I341">
        <f>IFERROR(VLOOKUP(Fix_Mapping[[#This Row],[KODE BARANG]],[1]!KINONF15[[KDBRG]:[HRG_JLMT_CTN+PPN]],10,0),0)</f>
        <v>0</v>
      </c>
      <c r="J341">
        <f>IFERROR(VLOOKUP(Fix_Mapping[[#This Row],[KODE BARANG]],[1]!KINONF15[[KDBRG]:[HRG_JLMT_CTN+PPN]],11,0),0)</f>
        <v>0</v>
      </c>
      <c r="K341">
        <f>IFERROR(VLOOKUP(Fix_Mapping[[#This Row],[KODE BARANG]],[1]!KINONF15[[KDBRG]:[HRG_JLMT_CTN+PPN]],12,0),0)</f>
        <v>0</v>
      </c>
      <c r="L341">
        <f>IFERROR(VLOOKUP(Fix_Mapping[[#This Row],[KODE BARANG]],[1]!KINONF15[[KDBRG]:[HRG_JLMT_CTN+PPN]],13,0),0)</f>
        <v>0</v>
      </c>
      <c r="M341">
        <f>IFERROR(VLOOKUP(Fix_Mapping[[#This Row],[KODE BARANG]],[1]!KINONF15[[KDBRG]:[HRG_JLMT_CTN+PPN]],14,0),0)</f>
        <v>0</v>
      </c>
      <c r="N341">
        <f>IFERROR(VLOOKUP(Fix_Mapping[[#This Row],[KODE BARANG]],[1]!KINONF15[[KDBRG]:[HRG_JLMT_CTN+PPN]],15,0),0)</f>
        <v>0</v>
      </c>
      <c r="O341">
        <f>IFERROR(VLOOKUP(Fix_Mapping[[#This Row],[KODE BARANG]],[1]!KINONF15[[KDBRG]:[HRG_JLMT_CTN+PPN]],16,0),0)</f>
        <v>0</v>
      </c>
      <c r="P341">
        <f>IFERROR(VLOOKUP(Fix_Mapping[[#This Row],[KODE BARANG]],[1]!KINONF15[[KDBRG]:[HRG_JLMT_CTN+PPN]],17,0),0)</f>
        <v>0</v>
      </c>
      <c r="Q341">
        <f>IFERROR(VLOOKUP(Fix_Mapping[[#This Row],[KODE BARANG]],[1]!KINONF15[[KDBRG]:[HRG_JLMT_CTN+PPN]],18,0),0)</f>
        <v>0</v>
      </c>
      <c r="R341" t="s">
        <v>2555</v>
      </c>
      <c r="S341" t="s">
        <v>625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1646</v>
      </c>
      <c r="B342" t="s">
        <v>1647</v>
      </c>
      <c r="C342">
        <v>36</v>
      </c>
      <c r="D342">
        <f>IFERROR(VLOOKUP(Fix_Mapping[[#This Row],[KODE BARANG]],[1]!KINONF15[[KDBRG]:[HRG_JLMT_CTN+PPN]],5,0),0)</f>
        <v>0</v>
      </c>
      <c r="E342" t="s">
        <v>2210</v>
      </c>
      <c r="F342">
        <f>IFERROR(VLOOKUP(Fix_Mapping[[#This Row],[KODE BARANG]],[1]!KINONF15[[KDBRG]:[HRG_JLMT_CTN+PPN]],7,0),0)</f>
        <v>0</v>
      </c>
      <c r="G342">
        <f>IFERROR(VLOOKUP(Fix_Mapping[[#This Row],[KODE BARANG]],[1]!KINONF15[[KDBRG]:[HRG_JLMT_CTN+PPN]],8,0),0)</f>
        <v>0</v>
      </c>
      <c r="H342">
        <f>IFERROR(VLOOKUP(Fix_Mapping[[#This Row],[KODE BARANG]],[1]!KINONF15[[KDBRG]:[HRG_JLMT_CTN+PPN]],9,0),0)</f>
        <v>0</v>
      </c>
      <c r="I342">
        <f>IFERROR(VLOOKUP(Fix_Mapping[[#This Row],[KODE BARANG]],[1]!KINONF15[[KDBRG]:[HRG_JLMT_CTN+PPN]],10,0),0)</f>
        <v>0</v>
      </c>
      <c r="J342">
        <f>IFERROR(VLOOKUP(Fix_Mapping[[#This Row],[KODE BARANG]],[1]!KINONF15[[KDBRG]:[HRG_JLMT_CTN+PPN]],11,0),0)</f>
        <v>0</v>
      </c>
      <c r="K342">
        <f>IFERROR(VLOOKUP(Fix_Mapping[[#This Row],[KODE BARANG]],[1]!KINONF15[[KDBRG]:[HRG_JLMT_CTN+PPN]],12,0),0)</f>
        <v>0</v>
      </c>
      <c r="L342">
        <f>IFERROR(VLOOKUP(Fix_Mapping[[#This Row],[KODE BARANG]],[1]!KINONF15[[KDBRG]:[HRG_JLMT_CTN+PPN]],13,0),0)</f>
        <v>0</v>
      </c>
      <c r="M342">
        <f>IFERROR(VLOOKUP(Fix_Mapping[[#This Row],[KODE BARANG]],[1]!KINONF15[[KDBRG]:[HRG_JLMT_CTN+PPN]],14,0),0)</f>
        <v>0</v>
      </c>
      <c r="N342">
        <f>IFERROR(VLOOKUP(Fix_Mapping[[#This Row],[KODE BARANG]],[1]!KINONF15[[KDBRG]:[HRG_JLMT_CTN+PPN]],15,0),0)</f>
        <v>0</v>
      </c>
      <c r="O342">
        <f>IFERROR(VLOOKUP(Fix_Mapping[[#This Row],[KODE BARANG]],[1]!KINONF15[[KDBRG]:[HRG_JLMT_CTN+PPN]],16,0),0)</f>
        <v>0</v>
      </c>
      <c r="P342">
        <f>IFERROR(VLOOKUP(Fix_Mapping[[#This Row],[KODE BARANG]],[1]!KINONF15[[KDBRG]:[HRG_JLMT_CTN+PPN]],17,0),0)</f>
        <v>0</v>
      </c>
      <c r="Q342">
        <f>IFERROR(VLOOKUP(Fix_Mapping[[#This Row],[KODE BARANG]],[1]!KINONF15[[KDBRG]:[HRG_JLMT_CTN+PPN]],18,0),0)</f>
        <v>0</v>
      </c>
      <c r="R342" t="s">
        <v>2555</v>
      </c>
      <c r="S342" t="s">
        <v>626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1648</v>
      </c>
      <c r="B343" t="s">
        <v>1649</v>
      </c>
      <c r="C343">
        <v>36</v>
      </c>
      <c r="D343">
        <f>IFERROR(VLOOKUP(Fix_Mapping[[#This Row],[KODE BARANG]],[1]!KINONF15[[KDBRG]:[HRG_JLMT_CTN+PPN]],5,0),0)</f>
        <v>0</v>
      </c>
      <c r="E343" t="s">
        <v>2210</v>
      </c>
      <c r="F343">
        <f>IFERROR(VLOOKUP(Fix_Mapping[[#This Row],[KODE BARANG]],[1]!KINONF15[[KDBRG]:[HRG_JLMT_CTN+PPN]],7,0),0)</f>
        <v>0</v>
      </c>
      <c r="G343">
        <f>IFERROR(VLOOKUP(Fix_Mapping[[#This Row],[KODE BARANG]],[1]!KINONF15[[KDBRG]:[HRG_JLMT_CTN+PPN]],8,0),0)</f>
        <v>0</v>
      </c>
      <c r="H343">
        <f>IFERROR(VLOOKUP(Fix_Mapping[[#This Row],[KODE BARANG]],[1]!KINONF15[[KDBRG]:[HRG_JLMT_CTN+PPN]],9,0),0)</f>
        <v>0</v>
      </c>
      <c r="I343">
        <f>IFERROR(VLOOKUP(Fix_Mapping[[#This Row],[KODE BARANG]],[1]!KINONF15[[KDBRG]:[HRG_JLMT_CTN+PPN]],10,0),0)</f>
        <v>0</v>
      </c>
      <c r="J343">
        <f>IFERROR(VLOOKUP(Fix_Mapping[[#This Row],[KODE BARANG]],[1]!KINONF15[[KDBRG]:[HRG_JLMT_CTN+PPN]],11,0),0)</f>
        <v>0</v>
      </c>
      <c r="K343">
        <f>IFERROR(VLOOKUP(Fix_Mapping[[#This Row],[KODE BARANG]],[1]!KINONF15[[KDBRG]:[HRG_JLMT_CTN+PPN]],12,0),0)</f>
        <v>0</v>
      </c>
      <c r="L343">
        <f>IFERROR(VLOOKUP(Fix_Mapping[[#This Row],[KODE BARANG]],[1]!KINONF15[[KDBRG]:[HRG_JLMT_CTN+PPN]],13,0),0)</f>
        <v>0</v>
      </c>
      <c r="M343">
        <f>IFERROR(VLOOKUP(Fix_Mapping[[#This Row],[KODE BARANG]],[1]!KINONF15[[KDBRG]:[HRG_JLMT_CTN+PPN]],14,0),0)</f>
        <v>0</v>
      </c>
      <c r="N343">
        <f>IFERROR(VLOOKUP(Fix_Mapping[[#This Row],[KODE BARANG]],[1]!KINONF15[[KDBRG]:[HRG_JLMT_CTN+PPN]],15,0),0)</f>
        <v>0</v>
      </c>
      <c r="O343">
        <f>IFERROR(VLOOKUP(Fix_Mapping[[#This Row],[KODE BARANG]],[1]!KINONF15[[KDBRG]:[HRG_JLMT_CTN+PPN]],16,0),0)</f>
        <v>0</v>
      </c>
      <c r="P343">
        <f>IFERROR(VLOOKUP(Fix_Mapping[[#This Row],[KODE BARANG]],[1]!KINONF15[[KDBRG]:[HRG_JLMT_CTN+PPN]],17,0),0)</f>
        <v>0</v>
      </c>
      <c r="Q343">
        <f>IFERROR(VLOOKUP(Fix_Mapping[[#This Row],[KODE BARANG]],[1]!KINONF15[[KDBRG]:[HRG_JLMT_CTN+PPN]],18,0),0)</f>
        <v>0</v>
      </c>
      <c r="R343" t="s">
        <v>2555</v>
      </c>
      <c r="S343" t="s">
        <v>627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1650</v>
      </c>
      <c r="B344" t="s">
        <v>1651</v>
      </c>
      <c r="C344">
        <v>36</v>
      </c>
      <c r="D344">
        <f>IFERROR(VLOOKUP(Fix_Mapping[[#This Row],[KODE BARANG]],[1]!KINONF15[[KDBRG]:[HRG_JLMT_CTN+PPN]],5,0),0)</f>
        <v>0</v>
      </c>
      <c r="E344" t="s">
        <v>2210</v>
      </c>
      <c r="F344">
        <f>IFERROR(VLOOKUP(Fix_Mapping[[#This Row],[KODE BARANG]],[1]!KINONF15[[KDBRG]:[HRG_JLMT_CTN+PPN]],7,0),0)</f>
        <v>0</v>
      </c>
      <c r="G344">
        <f>IFERROR(VLOOKUP(Fix_Mapping[[#This Row],[KODE BARANG]],[1]!KINONF15[[KDBRG]:[HRG_JLMT_CTN+PPN]],8,0),0)</f>
        <v>0</v>
      </c>
      <c r="H344">
        <f>IFERROR(VLOOKUP(Fix_Mapping[[#This Row],[KODE BARANG]],[1]!KINONF15[[KDBRG]:[HRG_JLMT_CTN+PPN]],9,0),0)</f>
        <v>0</v>
      </c>
      <c r="I344">
        <f>IFERROR(VLOOKUP(Fix_Mapping[[#This Row],[KODE BARANG]],[1]!KINONF15[[KDBRG]:[HRG_JLMT_CTN+PPN]],10,0),0)</f>
        <v>0</v>
      </c>
      <c r="J344">
        <f>IFERROR(VLOOKUP(Fix_Mapping[[#This Row],[KODE BARANG]],[1]!KINONF15[[KDBRG]:[HRG_JLMT_CTN+PPN]],11,0),0)</f>
        <v>0</v>
      </c>
      <c r="K344">
        <f>IFERROR(VLOOKUP(Fix_Mapping[[#This Row],[KODE BARANG]],[1]!KINONF15[[KDBRG]:[HRG_JLMT_CTN+PPN]],12,0),0)</f>
        <v>0</v>
      </c>
      <c r="L344">
        <f>IFERROR(VLOOKUP(Fix_Mapping[[#This Row],[KODE BARANG]],[1]!KINONF15[[KDBRG]:[HRG_JLMT_CTN+PPN]],13,0),0)</f>
        <v>0</v>
      </c>
      <c r="M344">
        <f>IFERROR(VLOOKUP(Fix_Mapping[[#This Row],[KODE BARANG]],[1]!KINONF15[[KDBRG]:[HRG_JLMT_CTN+PPN]],14,0),0)</f>
        <v>0</v>
      </c>
      <c r="N344">
        <f>IFERROR(VLOOKUP(Fix_Mapping[[#This Row],[KODE BARANG]],[1]!KINONF15[[KDBRG]:[HRG_JLMT_CTN+PPN]],15,0),0)</f>
        <v>0</v>
      </c>
      <c r="O344">
        <f>IFERROR(VLOOKUP(Fix_Mapping[[#This Row],[KODE BARANG]],[1]!KINONF15[[KDBRG]:[HRG_JLMT_CTN+PPN]],16,0),0)</f>
        <v>0</v>
      </c>
      <c r="P344">
        <f>IFERROR(VLOOKUP(Fix_Mapping[[#This Row],[KODE BARANG]],[1]!KINONF15[[KDBRG]:[HRG_JLMT_CTN+PPN]],17,0),0)</f>
        <v>0</v>
      </c>
      <c r="Q344">
        <f>IFERROR(VLOOKUP(Fix_Mapping[[#This Row],[KODE BARANG]],[1]!KINONF15[[KDBRG]:[HRG_JLMT_CTN+PPN]],18,0),0)</f>
        <v>0</v>
      </c>
      <c r="R344" t="s">
        <v>2555</v>
      </c>
      <c r="S344" t="s">
        <v>628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1652</v>
      </c>
      <c r="B345" t="s">
        <v>1653</v>
      </c>
      <c r="C345">
        <v>36</v>
      </c>
      <c r="D345">
        <f>IFERROR(VLOOKUP(Fix_Mapping[[#This Row],[KODE BARANG]],[1]!KINONF15[[KDBRG]:[HRG_JLMT_CTN+PPN]],5,0),0)</f>
        <v>0</v>
      </c>
      <c r="E345" t="s">
        <v>2210</v>
      </c>
      <c r="F345">
        <f>IFERROR(VLOOKUP(Fix_Mapping[[#This Row],[KODE BARANG]],[1]!KINONF15[[KDBRG]:[HRG_JLMT_CTN+PPN]],7,0),0)</f>
        <v>0</v>
      </c>
      <c r="G345">
        <f>IFERROR(VLOOKUP(Fix_Mapping[[#This Row],[KODE BARANG]],[1]!KINONF15[[KDBRG]:[HRG_JLMT_CTN+PPN]],8,0),0)</f>
        <v>0</v>
      </c>
      <c r="H345">
        <f>IFERROR(VLOOKUP(Fix_Mapping[[#This Row],[KODE BARANG]],[1]!KINONF15[[KDBRG]:[HRG_JLMT_CTN+PPN]],9,0),0)</f>
        <v>0</v>
      </c>
      <c r="I345">
        <f>IFERROR(VLOOKUP(Fix_Mapping[[#This Row],[KODE BARANG]],[1]!KINONF15[[KDBRG]:[HRG_JLMT_CTN+PPN]],10,0),0)</f>
        <v>0</v>
      </c>
      <c r="J345">
        <f>IFERROR(VLOOKUP(Fix_Mapping[[#This Row],[KODE BARANG]],[1]!KINONF15[[KDBRG]:[HRG_JLMT_CTN+PPN]],11,0),0)</f>
        <v>0</v>
      </c>
      <c r="K345">
        <f>IFERROR(VLOOKUP(Fix_Mapping[[#This Row],[KODE BARANG]],[1]!KINONF15[[KDBRG]:[HRG_JLMT_CTN+PPN]],12,0),0)</f>
        <v>0</v>
      </c>
      <c r="L345">
        <f>IFERROR(VLOOKUP(Fix_Mapping[[#This Row],[KODE BARANG]],[1]!KINONF15[[KDBRG]:[HRG_JLMT_CTN+PPN]],13,0),0)</f>
        <v>0</v>
      </c>
      <c r="M345">
        <f>IFERROR(VLOOKUP(Fix_Mapping[[#This Row],[KODE BARANG]],[1]!KINONF15[[KDBRG]:[HRG_JLMT_CTN+PPN]],14,0),0)</f>
        <v>0</v>
      </c>
      <c r="N345">
        <f>IFERROR(VLOOKUP(Fix_Mapping[[#This Row],[KODE BARANG]],[1]!KINONF15[[KDBRG]:[HRG_JLMT_CTN+PPN]],15,0),0)</f>
        <v>0</v>
      </c>
      <c r="O345">
        <f>IFERROR(VLOOKUP(Fix_Mapping[[#This Row],[KODE BARANG]],[1]!KINONF15[[KDBRG]:[HRG_JLMT_CTN+PPN]],16,0),0)</f>
        <v>0</v>
      </c>
      <c r="P345">
        <f>IFERROR(VLOOKUP(Fix_Mapping[[#This Row],[KODE BARANG]],[1]!KINONF15[[KDBRG]:[HRG_JLMT_CTN+PPN]],17,0),0)</f>
        <v>0</v>
      </c>
      <c r="Q345">
        <f>IFERROR(VLOOKUP(Fix_Mapping[[#This Row],[KODE BARANG]],[1]!KINONF15[[KDBRG]:[HRG_JLMT_CTN+PPN]],18,0),0)</f>
        <v>0</v>
      </c>
      <c r="R345" t="s">
        <v>2555</v>
      </c>
      <c r="S345" t="s">
        <v>629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1654</v>
      </c>
      <c r="B346" t="s">
        <v>1655</v>
      </c>
      <c r="C346">
        <v>36</v>
      </c>
      <c r="D346">
        <f>IFERROR(VLOOKUP(Fix_Mapping[[#This Row],[KODE BARANG]],[1]!KINONF15[[KDBRG]:[HRG_JLMT_CTN+PPN]],5,0),0)</f>
        <v>0</v>
      </c>
      <c r="E346" t="s">
        <v>2210</v>
      </c>
      <c r="F346">
        <f>IFERROR(VLOOKUP(Fix_Mapping[[#This Row],[KODE BARANG]],[1]!KINONF15[[KDBRG]:[HRG_JLMT_CTN+PPN]],7,0),0)</f>
        <v>0</v>
      </c>
      <c r="G346">
        <f>IFERROR(VLOOKUP(Fix_Mapping[[#This Row],[KODE BARANG]],[1]!KINONF15[[KDBRG]:[HRG_JLMT_CTN+PPN]],8,0),0)</f>
        <v>0</v>
      </c>
      <c r="H346">
        <f>IFERROR(VLOOKUP(Fix_Mapping[[#This Row],[KODE BARANG]],[1]!KINONF15[[KDBRG]:[HRG_JLMT_CTN+PPN]],9,0),0)</f>
        <v>0</v>
      </c>
      <c r="I346">
        <f>IFERROR(VLOOKUP(Fix_Mapping[[#This Row],[KODE BARANG]],[1]!KINONF15[[KDBRG]:[HRG_JLMT_CTN+PPN]],10,0),0)</f>
        <v>0</v>
      </c>
      <c r="J346">
        <f>IFERROR(VLOOKUP(Fix_Mapping[[#This Row],[KODE BARANG]],[1]!KINONF15[[KDBRG]:[HRG_JLMT_CTN+PPN]],11,0),0)</f>
        <v>0</v>
      </c>
      <c r="K346">
        <f>IFERROR(VLOOKUP(Fix_Mapping[[#This Row],[KODE BARANG]],[1]!KINONF15[[KDBRG]:[HRG_JLMT_CTN+PPN]],12,0),0)</f>
        <v>0</v>
      </c>
      <c r="L346">
        <f>IFERROR(VLOOKUP(Fix_Mapping[[#This Row],[KODE BARANG]],[1]!KINONF15[[KDBRG]:[HRG_JLMT_CTN+PPN]],13,0),0)</f>
        <v>0</v>
      </c>
      <c r="M346">
        <f>IFERROR(VLOOKUP(Fix_Mapping[[#This Row],[KODE BARANG]],[1]!KINONF15[[KDBRG]:[HRG_JLMT_CTN+PPN]],14,0),0)</f>
        <v>0</v>
      </c>
      <c r="N346">
        <f>IFERROR(VLOOKUP(Fix_Mapping[[#This Row],[KODE BARANG]],[1]!KINONF15[[KDBRG]:[HRG_JLMT_CTN+PPN]],15,0),0)</f>
        <v>0</v>
      </c>
      <c r="O346">
        <f>IFERROR(VLOOKUP(Fix_Mapping[[#This Row],[KODE BARANG]],[1]!KINONF15[[KDBRG]:[HRG_JLMT_CTN+PPN]],16,0),0)</f>
        <v>0</v>
      </c>
      <c r="P346">
        <f>IFERROR(VLOOKUP(Fix_Mapping[[#This Row],[KODE BARANG]],[1]!KINONF15[[KDBRG]:[HRG_JLMT_CTN+PPN]],17,0),0)</f>
        <v>0</v>
      </c>
      <c r="Q346">
        <f>IFERROR(VLOOKUP(Fix_Mapping[[#This Row],[KODE BARANG]],[1]!KINONF15[[KDBRG]:[HRG_JLMT_CTN+PPN]],18,0),0)</f>
        <v>0</v>
      </c>
      <c r="R346" t="s">
        <v>2555</v>
      </c>
      <c r="S346" t="s">
        <v>630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1656</v>
      </c>
      <c r="B347" t="s">
        <v>1657</v>
      </c>
      <c r="C347">
        <v>36</v>
      </c>
      <c r="D347">
        <f>IFERROR(VLOOKUP(Fix_Mapping[[#This Row],[KODE BARANG]],[1]!KINONF15[[KDBRG]:[HRG_JLMT_CTN+PPN]],5,0),0)</f>
        <v>0</v>
      </c>
      <c r="E347" t="s">
        <v>2210</v>
      </c>
      <c r="F347">
        <f>IFERROR(VLOOKUP(Fix_Mapping[[#This Row],[KODE BARANG]],[1]!KINONF15[[KDBRG]:[HRG_JLMT_CTN+PPN]],7,0),0)</f>
        <v>0</v>
      </c>
      <c r="G347">
        <f>IFERROR(VLOOKUP(Fix_Mapping[[#This Row],[KODE BARANG]],[1]!KINONF15[[KDBRG]:[HRG_JLMT_CTN+PPN]],8,0),0)</f>
        <v>0</v>
      </c>
      <c r="H347">
        <f>IFERROR(VLOOKUP(Fix_Mapping[[#This Row],[KODE BARANG]],[1]!KINONF15[[KDBRG]:[HRG_JLMT_CTN+PPN]],9,0),0)</f>
        <v>0</v>
      </c>
      <c r="I347">
        <f>IFERROR(VLOOKUP(Fix_Mapping[[#This Row],[KODE BARANG]],[1]!KINONF15[[KDBRG]:[HRG_JLMT_CTN+PPN]],10,0),0)</f>
        <v>0</v>
      </c>
      <c r="J347">
        <f>IFERROR(VLOOKUP(Fix_Mapping[[#This Row],[KODE BARANG]],[1]!KINONF15[[KDBRG]:[HRG_JLMT_CTN+PPN]],11,0),0)</f>
        <v>0</v>
      </c>
      <c r="K347">
        <f>IFERROR(VLOOKUP(Fix_Mapping[[#This Row],[KODE BARANG]],[1]!KINONF15[[KDBRG]:[HRG_JLMT_CTN+PPN]],12,0),0)</f>
        <v>0</v>
      </c>
      <c r="L347">
        <f>IFERROR(VLOOKUP(Fix_Mapping[[#This Row],[KODE BARANG]],[1]!KINONF15[[KDBRG]:[HRG_JLMT_CTN+PPN]],13,0),0)</f>
        <v>0</v>
      </c>
      <c r="M347">
        <f>IFERROR(VLOOKUP(Fix_Mapping[[#This Row],[KODE BARANG]],[1]!KINONF15[[KDBRG]:[HRG_JLMT_CTN+PPN]],14,0),0)</f>
        <v>0</v>
      </c>
      <c r="N347">
        <f>IFERROR(VLOOKUP(Fix_Mapping[[#This Row],[KODE BARANG]],[1]!KINONF15[[KDBRG]:[HRG_JLMT_CTN+PPN]],15,0),0)</f>
        <v>0</v>
      </c>
      <c r="O347">
        <f>IFERROR(VLOOKUP(Fix_Mapping[[#This Row],[KODE BARANG]],[1]!KINONF15[[KDBRG]:[HRG_JLMT_CTN+PPN]],16,0),0)</f>
        <v>0</v>
      </c>
      <c r="P347">
        <f>IFERROR(VLOOKUP(Fix_Mapping[[#This Row],[KODE BARANG]],[1]!KINONF15[[KDBRG]:[HRG_JLMT_CTN+PPN]],17,0),0)</f>
        <v>0</v>
      </c>
      <c r="Q347">
        <f>IFERROR(VLOOKUP(Fix_Mapping[[#This Row],[KODE BARANG]],[1]!KINONF15[[KDBRG]:[HRG_JLMT_CTN+PPN]],18,0),0)</f>
        <v>0</v>
      </c>
      <c r="R347" t="s">
        <v>2555</v>
      </c>
      <c r="S347" t="s">
        <v>631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1658</v>
      </c>
      <c r="B348" t="s">
        <v>1659</v>
      </c>
      <c r="C348">
        <v>36</v>
      </c>
      <c r="D348">
        <f>IFERROR(VLOOKUP(Fix_Mapping[[#This Row],[KODE BARANG]],[1]!KINONF15[[KDBRG]:[HRG_JLMT_CTN+PPN]],5,0),0)</f>
        <v>0</v>
      </c>
      <c r="E348" t="s">
        <v>2210</v>
      </c>
      <c r="F348">
        <f>IFERROR(VLOOKUP(Fix_Mapping[[#This Row],[KODE BARANG]],[1]!KINONF15[[KDBRG]:[HRG_JLMT_CTN+PPN]],7,0),0)</f>
        <v>0</v>
      </c>
      <c r="G348">
        <f>IFERROR(VLOOKUP(Fix_Mapping[[#This Row],[KODE BARANG]],[1]!KINONF15[[KDBRG]:[HRG_JLMT_CTN+PPN]],8,0),0)</f>
        <v>0</v>
      </c>
      <c r="H348">
        <f>IFERROR(VLOOKUP(Fix_Mapping[[#This Row],[KODE BARANG]],[1]!KINONF15[[KDBRG]:[HRG_JLMT_CTN+PPN]],9,0),0)</f>
        <v>0</v>
      </c>
      <c r="I348">
        <f>IFERROR(VLOOKUP(Fix_Mapping[[#This Row],[KODE BARANG]],[1]!KINONF15[[KDBRG]:[HRG_JLMT_CTN+PPN]],10,0),0)</f>
        <v>0</v>
      </c>
      <c r="J348">
        <f>IFERROR(VLOOKUP(Fix_Mapping[[#This Row],[KODE BARANG]],[1]!KINONF15[[KDBRG]:[HRG_JLMT_CTN+PPN]],11,0),0)</f>
        <v>0</v>
      </c>
      <c r="K348">
        <f>IFERROR(VLOOKUP(Fix_Mapping[[#This Row],[KODE BARANG]],[1]!KINONF15[[KDBRG]:[HRG_JLMT_CTN+PPN]],12,0),0)</f>
        <v>0</v>
      </c>
      <c r="L348">
        <f>IFERROR(VLOOKUP(Fix_Mapping[[#This Row],[KODE BARANG]],[1]!KINONF15[[KDBRG]:[HRG_JLMT_CTN+PPN]],13,0),0)</f>
        <v>0</v>
      </c>
      <c r="M348">
        <f>IFERROR(VLOOKUP(Fix_Mapping[[#This Row],[KODE BARANG]],[1]!KINONF15[[KDBRG]:[HRG_JLMT_CTN+PPN]],14,0),0)</f>
        <v>0</v>
      </c>
      <c r="N348">
        <f>IFERROR(VLOOKUP(Fix_Mapping[[#This Row],[KODE BARANG]],[1]!KINONF15[[KDBRG]:[HRG_JLMT_CTN+PPN]],15,0),0)</f>
        <v>0</v>
      </c>
      <c r="O348">
        <f>IFERROR(VLOOKUP(Fix_Mapping[[#This Row],[KODE BARANG]],[1]!KINONF15[[KDBRG]:[HRG_JLMT_CTN+PPN]],16,0),0)</f>
        <v>0</v>
      </c>
      <c r="P348">
        <f>IFERROR(VLOOKUP(Fix_Mapping[[#This Row],[KODE BARANG]],[1]!KINONF15[[KDBRG]:[HRG_JLMT_CTN+PPN]],17,0),0)</f>
        <v>0</v>
      </c>
      <c r="Q348">
        <f>IFERROR(VLOOKUP(Fix_Mapping[[#This Row],[KODE BARANG]],[1]!KINONF15[[KDBRG]:[HRG_JLMT_CTN+PPN]],18,0),0)</f>
        <v>0</v>
      </c>
      <c r="R348" t="s">
        <v>2555</v>
      </c>
      <c r="S348" t="s">
        <v>632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1660</v>
      </c>
      <c r="B349" t="s">
        <v>1661</v>
      </c>
      <c r="C349">
        <v>36</v>
      </c>
      <c r="D349">
        <f>IFERROR(VLOOKUP(Fix_Mapping[[#This Row],[KODE BARANG]],[1]!KINONF15[[KDBRG]:[HRG_JLMT_CTN+PPN]],5,0),0)</f>
        <v>0</v>
      </c>
      <c r="E349" t="s">
        <v>2210</v>
      </c>
      <c r="F349">
        <f>IFERROR(VLOOKUP(Fix_Mapping[[#This Row],[KODE BARANG]],[1]!KINONF15[[KDBRG]:[HRG_JLMT_CTN+PPN]],7,0),0)</f>
        <v>0</v>
      </c>
      <c r="G349">
        <f>IFERROR(VLOOKUP(Fix_Mapping[[#This Row],[KODE BARANG]],[1]!KINONF15[[KDBRG]:[HRG_JLMT_CTN+PPN]],8,0),0)</f>
        <v>0</v>
      </c>
      <c r="H349">
        <f>IFERROR(VLOOKUP(Fix_Mapping[[#This Row],[KODE BARANG]],[1]!KINONF15[[KDBRG]:[HRG_JLMT_CTN+PPN]],9,0),0)</f>
        <v>0</v>
      </c>
      <c r="I349">
        <f>IFERROR(VLOOKUP(Fix_Mapping[[#This Row],[KODE BARANG]],[1]!KINONF15[[KDBRG]:[HRG_JLMT_CTN+PPN]],10,0),0)</f>
        <v>0</v>
      </c>
      <c r="J349">
        <f>IFERROR(VLOOKUP(Fix_Mapping[[#This Row],[KODE BARANG]],[1]!KINONF15[[KDBRG]:[HRG_JLMT_CTN+PPN]],11,0),0)</f>
        <v>0</v>
      </c>
      <c r="K349">
        <f>IFERROR(VLOOKUP(Fix_Mapping[[#This Row],[KODE BARANG]],[1]!KINONF15[[KDBRG]:[HRG_JLMT_CTN+PPN]],12,0),0)</f>
        <v>0</v>
      </c>
      <c r="L349">
        <f>IFERROR(VLOOKUP(Fix_Mapping[[#This Row],[KODE BARANG]],[1]!KINONF15[[KDBRG]:[HRG_JLMT_CTN+PPN]],13,0),0)</f>
        <v>0</v>
      </c>
      <c r="M349">
        <f>IFERROR(VLOOKUP(Fix_Mapping[[#This Row],[KODE BARANG]],[1]!KINONF15[[KDBRG]:[HRG_JLMT_CTN+PPN]],14,0),0)</f>
        <v>0</v>
      </c>
      <c r="N349">
        <f>IFERROR(VLOOKUP(Fix_Mapping[[#This Row],[KODE BARANG]],[1]!KINONF15[[KDBRG]:[HRG_JLMT_CTN+PPN]],15,0),0)</f>
        <v>0</v>
      </c>
      <c r="O349">
        <f>IFERROR(VLOOKUP(Fix_Mapping[[#This Row],[KODE BARANG]],[1]!KINONF15[[KDBRG]:[HRG_JLMT_CTN+PPN]],16,0),0)</f>
        <v>0</v>
      </c>
      <c r="P349">
        <f>IFERROR(VLOOKUP(Fix_Mapping[[#This Row],[KODE BARANG]],[1]!KINONF15[[KDBRG]:[HRG_JLMT_CTN+PPN]],17,0),0)</f>
        <v>0</v>
      </c>
      <c r="Q349">
        <f>IFERROR(VLOOKUP(Fix_Mapping[[#This Row],[KODE BARANG]],[1]!KINONF15[[KDBRG]:[HRG_JLMT_CTN+PPN]],18,0),0)</f>
        <v>0</v>
      </c>
      <c r="R349" t="s">
        <v>2555</v>
      </c>
      <c r="S349" t="s">
        <v>633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1662</v>
      </c>
      <c r="B350" t="s">
        <v>1663</v>
      </c>
      <c r="C350">
        <v>36</v>
      </c>
      <c r="D350">
        <f>IFERROR(VLOOKUP(Fix_Mapping[[#This Row],[KODE BARANG]],[1]!KINONF15[[KDBRG]:[HRG_JLMT_CTN+PPN]],5,0),0)</f>
        <v>0</v>
      </c>
      <c r="E350" t="s">
        <v>2210</v>
      </c>
      <c r="F350">
        <f>IFERROR(VLOOKUP(Fix_Mapping[[#This Row],[KODE BARANG]],[1]!KINONF15[[KDBRG]:[HRG_JLMT_CTN+PPN]],7,0),0)</f>
        <v>0</v>
      </c>
      <c r="G350">
        <f>IFERROR(VLOOKUP(Fix_Mapping[[#This Row],[KODE BARANG]],[1]!KINONF15[[KDBRG]:[HRG_JLMT_CTN+PPN]],8,0),0)</f>
        <v>0</v>
      </c>
      <c r="H350">
        <f>IFERROR(VLOOKUP(Fix_Mapping[[#This Row],[KODE BARANG]],[1]!KINONF15[[KDBRG]:[HRG_JLMT_CTN+PPN]],9,0),0)</f>
        <v>0</v>
      </c>
      <c r="I350">
        <f>IFERROR(VLOOKUP(Fix_Mapping[[#This Row],[KODE BARANG]],[1]!KINONF15[[KDBRG]:[HRG_JLMT_CTN+PPN]],10,0),0)</f>
        <v>0</v>
      </c>
      <c r="J350">
        <f>IFERROR(VLOOKUP(Fix_Mapping[[#This Row],[KODE BARANG]],[1]!KINONF15[[KDBRG]:[HRG_JLMT_CTN+PPN]],11,0),0)</f>
        <v>0</v>
      </c>
      <c r="K350">
        <f>IFERROR(VLOOKUP(Fix_Mapping[[#This Row],[KODE BARANG]],[1]!KINONF15[[KDBRG]:[HRG_JLMT_CTN+PPN]],12,0),0)</f>
        <v>0</v>
      </c>
      <c r="L350">
        <f>IFERROR(VLOOKUP(Fix_Mapping[[#This Row],[KODE BARANG]],[1]!KINONF15[[KDBRG]:[HRG_JLMT_CTN+PPN]],13,0),0)</f>
        <v>0</v>
      </c>
      <c r="M350">
        <f>IFERROR(VLOOKUP(Fix_Mapping[[#This Row],[KODE BARANG]],[1]!KINONF15[[KDBRG]:[HRG_JLMT_CTN+PPN]],14,0),0)</f>
        <v>0</v>
      </c>
      <c r="N350">
        <f>IFERROR(VLOOKUP(Fix_Mapping[[#This Row],[KODE BARANG]],[1]!KINONF15[[KDBRG]:[HRG_JLMT_CTN+PPN]],15,0),0)</f>
        <v>0</v>
      </c>
      <c r="O350">
        <f>IFERROR(VLOOKUP(Fix_Mapping[[#This Row],[KODE BARANG]],[1]!KINONF15[[KDBRG]:[HRG_JLMT_CTN+PPN]],16,0),0)</f>
        <v>0</v>
      </c>
      <c r="P350">
        <f>IFERROR(VLOOKUP(Fix_Mapping[[#This Row],[KODE BARANG]],[1]!KINONF15[[KDBRG]:[HRG_JLMT_CTN+PPN]],17,0),0)</f>
        <v>0</v>
      </c>
      <c r="Q350">
        <f>IFERROR(VLOOKUP(Fix_Mapping[[#This Row],[KODE BARANG]],[1]!KINONF15[[KDBRG]:[HRG_JLMT_CTN+PPN]],18,0),0)</f>
        <v>0</v>
      </c>
      <c r="R350" t="s">
        <v>2555</v>
      </c>
      <c r="S350" t="s">
        <v>634</v>
      </c>
      <c r="T350">
        <v>0</v>
      </c>
      <c r="U350">
        <v>0</v>
      </c>
      <c r="V350">
        <v>0</v>
      </c>
      <c r="W350">
        <v>0</v>
      </c>
    </row>
    <row r="351" spans="1:23">
      <c r="A351" t="s">
        <v>1664</v>
      </c>
      <c r="B351" t="s">
        <v>1665</v>
      </c>
      <c r="C351">
        <v>36</v>
      </c>
      <c r="D351">
        <f>IFERROR(VLOOKUP(Fix_Mapping[[#This Row],[KODE BARANG]],[1]!KINONF15[[KDBRG]:[HRG_JLMT_CTN+PPN]],5,0),0)</f>
        <v>0</v>
      </c>
      <c r="E351" t="s">
        <v>2210</v>
      </c>
      <c r="F351">
        <f>IFERROR(VLOOKUP(Fix_Mapping[[#This Row],[KODE BARANG]],[1]!KINONF15[[KDBRG]:[HRG_JLMT_CTN+PPN]],7,0),0)</f>
        <v>0</v>
      </c>
      <c r="G351">
        <f>IFERROR(VLOOKUP(Fix_Mapping[[#This Row],[KODE BARANG]],[1]!KINONF15[[KDBRG]:[HRG_JLMT_CTN+PPN]],8,0),0)</f>
        <v>0</v>
      </c>
      <c r="H351">
        <f>IFERROR(VLOOKUP(Fix_Mapping[[#This Row],[KODE BARANG]],[1]!KINONF15[[KDBRG]:[HRG_JLMT_CTN+PPN]],9,0),0)</f>
        <v>0</v>
      </c>
      <c r="I351">
        <f>IFERROR(VLOOKUP(Fix_Mapping[[#This Row],[KODE BARANG]],[1]!KINONF15[[KDBRG]:[HRG_JLMT_CTN+PPN]],10,0),0)</f>
        <v>0</v>
      </c>
      <c r="J351">
        <f>IFERROR(VLOOKUP(Fix_Mapping[[#This Row],[KODE BARANG]],[1]!KINONF15[[KDBRG]:[HRG_JLMT_CTN+PPN]],11,0),0)</f>
        <v>0</v>
      </c>
      <c r="K351">
        <f>IFERROR(VLOOKUP(Fix_Mapping[[#This Row],[KODE BARANG]],[1]!KINONF15[[KDBRG]:[HRG_JLMT_CTN+PPN]],12,0),0)</f>
        <v>0</v>
      </c>
      <c r="L351">
        <f>IFERROR(VLOOKUP(Fix_Mapping[[#This Row],[KODE BARANG]],[1]!KINONF15[[KDBRG]:[HRG_JLMT_CTN+PPN]],13,0),0)</f>
        <v>0</v>
      </c>
      <c r="M351">
        <f>IFERROR(VLOOKUP(Fix_Mapping[[#This Row],[KODE BARANG]],[1]!KINONF15[[KDBRG]:[HRG_JLMT_CTN+PPN]],14,0),0)</f>
        <v>0</v>
      </c>
      <c r="N351">
        <f>IFERROR(VLOOKUP(Fix_Mapping[[#This Row],[KODE BARANG]],[1]!KINONF15[[KDBRG]:[HRG_JLMT_CTN+PPN]],15,0),0)</f>
        <v>0</v>
      </c>
      <c r="O351">
        <f>IFERROR(VLOOKUP(Fix_Mapping[[#This Row],[KODE BARANG]],[1]!KINONF15[[KDBRG]:[HRG_JLMT_CTN+PPN]],16,0),0)</f>
        <v>0</v>
      </c>
      <c r="P351">
        <f>IFERROR(VLOOKUP(Fix_Mapping[[#This Row],[KODE BARANG]],[1]!KINONF15[[KDBRG]:[HRG_JLMT_CTN+PPN]],17,0),0)</f>
        <v>0</v>
      </c>
      <c r="Q351">
        <f>IFERROR(VLOOKUP(Fix_Mapping[[#This Row],[KODE BARANG]],[1]!KINONF15[[KDBRG]:[HRG_JLMT_CTN+PPN]],18,0),0)</f>
        <v>0</v>
      </c>
      <c r="R351" t="s">
        <v>2555</v>
      </c>
      <c r="S351" t="s">
        <v>635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1666</v>
      </c>
      <c r="B352" t="s">
        <v>1667</v>
      </c>
      <c r="C352">
        <v>36</v>
      </c>
      <c r="D352">
        <f>IFERROR(VLOOKUP(Fix_Mapping[[#This Row],[KODE BARANG]],[1]!KINONF15[[KDBRG]:[HRG_JLMT_CTN+PPN]],5,0),0)</f>
        <v>0</v>
      </c>
      <c r="E352" t="s">
        <v>2220</v>
      </c>
      <c r="F352">
        <f>IFERROR(VLOOKUP(Fix_Mapping[[#This Row],[KODE BARANG]],[1]!KINONF15[[KDBRG]:[HRG_JLMT_CTN+PPN]],7,0),0)</f>
        <v>0</v>
      </c>
      <c r="G352">
        <f>IFERROR(VLOOKUP(Fix_Mapping[[#This Row],[KODE BARANG]],[1]!KINONF15[[KDBRG]:[HRG_JLMT_CTN+PPN]],8,0),0)</f>
        <v>0</v>
      </c>
      <c r="H352">
        <f>IFERROR(VLOOKUP(Fix_Mapping[[#This Row],[KODE BARANG]],[1]!KINONF15[[KDBRG]:[HRG_JLMT_CTN+PPN]],9,0),0)</f>
        <v>0</v>
      </c>
      <c r="I352">
        <f>IFERROR(VLOOKUP(Fix_Mapping[[#This Row],[KODE BARANG]],[1]!KINONF15[[KDBRG]:[HRG_JLMT_CTN+PPN]],10,0),0)</f>
        <v>0</v>
      </c>
      <c r="J352">
        <f>IFERROR(VLOOKUP(Fix_Mapping[[#This Row],[KODE BARANG]],[1]!KINONF15[[KDBRG]:[HRG_JLMT_CTN+PPN]],11,0),0)</f>
        <v>0</v>
      </c>
      <c r="K352">
        <f>IFERROR(VLOOKUP(Fix_Mapping[[#This Row],[KODE BARANG]],[1]!KINONF15[[KDBRG]:[HRG_JLMT_CTN+PPN]],12,0),0)</f>
        <v>0</v>
      </c>
      <c r="L352">
        <f>IFERROR(VLOOKUP(Fix_Mapping[[#This Row],[KODE BARANG]],[1]!KINONF15[[KDBRG]:[HRG_JLMT_CTN+PPN]],13,0),0)</f>
        <v>0</v>
      </c>
      <c r="M352">
        <f>IFERROR(VLOOKUP(Fix_Mapping[[#This Row],[KODE BARANG]],[1]!KINONF15[[KDBRG]:[HRG_JLMT_CTN+PPN]],14,0),0)</f>
        <v>0</v>
      </c>
      <c r="N352">
        <f>IFERROR(VLOOKUP(Fix_Mapping[[#This Row],[KODE BARANG]],[1]!KINONF15[[KDBRG]:[HRG_JLMT_CTN+PPN]],15,0),0)</f>
        <v>0</v>
      </c>
      <c r="O352">
        <f>IFERROR(VLOOKUP(Fix_Mapping[[#This Row],[KODE BARANG]],[1]!KINONF15[[KDBRG]:[HRG_JLMT_CTN+PPN]],16,0),0)</f>
        <v>0</v>
      </c>
      <c r="P352">
        <f>IFERROR(VLOOKUP(Fix_Mapping[[#This Row],[KODE BARANG]],[1]!KINONF15[[KDBRG]:[HRG_JLMT_CTN+PPN]],17,0),0)</f>
        <v>0</v>
      </c>
      <c r="Q352">
        <f>IFERROR(VLOOKUP(Fix_Mapping[[#This Row],[KODE BARANG]],[1]!KINONF15[[KDBRG]:[HRG_JLMT_CTN+PPN]],18,0),0)</f>
        <v>0</v>
      </c>
      <c r="R352" t="s">
        <v>2555</v>
      </c>
      <c r="S352" t="s">
        <v>646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1668</v>
      </c>
      <c r="B353" t="s">
        <v>1669</v>
      </c>
      <c r="C353">
        <v>36</v>
      </c>
      <c r="D353">
        <f>IFERROR(VLOOKUP(Fix_Mapping[[#This Row],[KODE BARANG]],[1]!KINONF15[[KDBRG]:[HRG_JLMT_CTN+PPN]],5,0),0)</f>
        <v>0</v>
      </c>
      <c r="E353" t="s">
        <v>2220</v>
      </c>
      <c r="F353">
        <f>IFERROR(VLOOKUP(Fix_Mapping[[#This Row],[KODE BARANG]],[1]!KINONF15[[KDBRG]:[HRG_JLMT_CTN+PPN]],7,0),0)</f>
        <v>0</v>
      </c>
      <c r="G353">
        <f>IFERROR(VLOOKUP(Fix_Mapping[[#This Row],[KODE BARANG]],[1]!KINONF15[[KDBRG]:[HRG_JLMT_CTN+PPN]],8,0),0)</f>
        <v>0</v>
      </c>
      <c r="H353">
        <f>IFERROR(VLOOKUP(Fix_Mapping[[#This Row],[KODE BARANG]],[1]!KINONF15[[KDBRG]:[HRG_JLMT_CTN+PPN]],9,0),0)</f>
        <v>0</v>
      </c>
      <c r="I353">
        <f>IFERROR(VLOOKUP(Fix_Mapping[[#This Row],[KODE BARANG]],[1]!KINONF15[[KDBRG]:[HRG_JLMT_CTN+PPN]],10,0),0)</f>
        <v>0</v>
      </c>
      <c r="J353">
        <f>IFERROR(VLOOKUP(Fix_Mapping[[#This Row],[KODE BARANG]],[1]!KINONF15[[KDBRG]:[HRG_JLMT_CTN+PPN]],11,0),0)</f>
        <v>0</v>
      </c>
      <c r="K353">
        <f>IFERROR(VLOOKUP(Fix_Mapping[[#This Row],[KODE BARANG]],[1]!KINONF15[[KDBRG]:[HRG_JLMT_CTN+PPN]],12,0),0)</f>
        <v>0</v>
      </c>
      <c r="L353">
        <f>IFERROR(VLOOKUP(Fix_Mapping[[#This Row],[KODE BARANG]],[1]!KINONF15[[KDBRG]:[HRG_JLMT_CTN+PPN]],13,0),0)</f>
        <v>0</v>
      </c>
      <c r="M353">
        <f>IFERROR(VLOOKUP(Fix_Mapping[[#This Row],[KODE BARANG]],[1]!KINONF15[[KDBRG]:[HRG_JLMT_CTN+PPN]],14,0),0)</f>
        <v>0</v>
      </c>
      <c r="N353">
        <f>IFERROR(VLOOKUP(Fix_Mapping[[#This Row],[KODE BARANG]],[1]!KINONF15[[KDBRG]:[HRG_JLMT_CTN+PPN]],15,0),0)</f>
        <v>0</v>
      </c>
      <c r="O353">
        <f>IFERROR(VLOOKUP(Fix_Mapping[[#This Row],[KODE BARANG]],[1]!KINONF15[[KDBRG]:[HRG_JLMT_CTN+PPN]],16,0),0)</f>
        <v>0</v>
      </c>
      <c r="P353">
        <f>IFERROR(VLOOKUP(Fix_Mapping[[#This Row],[KODE BARANG]],[1]!KINONF15[[KDBRG]:[HRG_JLMT_CTN+PPN]],17,0),0)</f>
        <v>0</v>
      </c>
      <c r="Q353">
        <f>IFERROR(VLOOKUP(Fix_Mapping[[#This Row],[KODE BARANG]],[1]!KINONF15[[KDBRG]:[HRG_JLMT_CTN+PPN]],18,0),0)</f>
        <v>0</v>
      </c>
      <c r="R353" t="s">
        <v>2555</v>
      </c>
      <c r="S353" t="s">
        <v>649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1670</v>
      </c>
      <c r="B354" t="s">
        <v>1671</v>
      </c>
      <c r="C354">
        <v>36</v>
      </c>
      <c r="D354">
        <f>IFERROR(VLOOKUP(Fix_Mapping[[#This Row],[KODE BARANG]],[1]!KINONF15[[KDBRG]:[HRG_JLMT_CTN+PPN]],5,0),0)</f>
        <v>0</v>
      </c>
      <c r="E354" t="s">
        <v>2220</v>
      </c>
      <c r="F354">
        <f>IFERROR(VLOOKUP(Fix_Mapping[[#This Row],[KODE BARANG]],[1]!KINONF15[[KDBRG]:[HRG_JLMT_CTN+PPN]],7,0),0)</f>
        <v>0</v>
      </c>
      <c r="G354">
        <f>IFERROR(VLOOKUP(Fix_Mapping[[#This Row],[KODE BARANG]],[1]!KINONF15[[KDBRG]:[HRG_JLMT_CTN+PPN]],8,0),0)</f>
        <v>0</v>
      </c>
      <c r="H354">
        <f>IFERROR(VLOOKUP(Fix_Mapping[[#This Row],[KODE BARANG]],[1]!KINONF15[[KDBRG]:[HRG_JLMT_CTN+PPN]],9,0),0)</f>
        <v>0</v>
      </c>
      <c r="I354">
        <f>IFERROR(VLOOKUP(Fix_Mapping[[#This Row],[KODE BARANG]],[1]!KINONF15[[KDBRG]:[HRG_JLMT_CTN+PPN]],10,0),0)</f>
        <v>0</v>
      </c>
      <c r="J354">
        <f>IFERROR(VLOOKUP(Fix_Mapping[[#This Row],[KODE BARANG]],[1]!KINONF15[[KDBRG]:[HRG_JLMT_CTN+PPN]],11,0),0)</f>
        <v>0</v>
      </c>
      <c r="K354">
        <f>IFERROR(VLOOKUP(Fix_Mapping[[#This Row],[KODE BARANG]],[1]!KINONF15[[KDBRG]:[HRG_JLMT_CTN+PPN]],12,0),0)</f>
        <v>0</v>
      </c>
      <c r="L354">
        <f>IFERROR(VLOOKUP(Fix_Mapping[[#This Row],[KODE BARANG]],[1]!KINONF15[[KDBRG]:[HRG_JLMT_CTN+PPN]],13,0),0)</f>
        <v>0</v>
      </c>
      <c r="M354">
        <f>IFERROR(VLOOKUP(Fix_Mapping[[#This Row],[KODE BARANG]],[1]!KINONF15[[KDBRG]:[HRG_JLMT_CTN+PPN]],14,0),0)</f>
        <v>0</v>
      </c>
      <c r="N354">
        <f>IFERROR(VLOOKUP(Fix_Mapping[[#This Row],[KODE BARANG]],[1]!KINONF15[[KDBRG]:[HRG_JLMT_CTN+PPN]],15,0),0)</f>
        <v>0</v>
      </c>
      <c r="O354">
        <f>IFERROR(VLOOKUP(Fix_Mapping[[#This Row],[KODE BARANG]],[1]!KINONF15[[KDBRG]:[HRG_JLMT_CTN+PPN]],16,0),0)</f>
        <v>0</v>
      </c>
      <c r="P354">
        <f>IFERROR(VLOOKUP(Fix_Mapping[[#This Row],[KODE BARANG]],[1]!KINONF15[[KDBRG]:[HRG_JLMT_CTN+PPN]],17,0),0)</f>
        <v>0</v>
      </c>
      <c r="Q354">
        <f>IFERROR(VLOOKUP(Fix_Mapping[[#This Row],[KODE BARANG]],[1]!KINONF15[[KDBRG]:[HRG_JLMT_CTN+PPN]],18,0),0)</f>
        <v>0</v>
      </c>
      <c r="R354" t="s">
        <v>2555</v>
      </c>
      <c r="S354" t="s">
        <v>652</v>
      </c>
      <c r="T354">
        <v>0</v>
      </c>
      <c r="U354">
        <v>0</v>
      </c>
      <c r="V354">
        <v>0</v>
      </c>
      <c r="W354">
        <v>0</v>
      </c>
    </row>
    <row r="355" spans="1:23">
      <c r="A355" t="s">
        <v>1672</v>
      </c>
      <c r="B355" t="s">
        <v>1673</v>
      </c>
      <c r="C355">
        <v>36</v>
      </c>
      <c r="D355">
        <f>IFERROR(VLOOKUP(Fix_Mapping[[#This Row],[KODE BARANG]],[1]!KINONF15[[KDBRG]:[HRG_JLMT_CTN+PPN]],5,0),0)</f>
        <v>0</v>
      </c>
      <c r="E355" t="s">
        <v>2220</v>
      </c>
      <c r="F355">
        <f>IFERROR(VLOOKUP(Fix_Mapping[[#This Row],[KODE BARANG]],[1]!KINONF15[[KDBRG]:[HRG_JLMT_CTN+PPN]],7,0),0)</f>
        <v>0</v>
      </c>
      <c r="G355">
        <f>IFERROR(VLOOKUP(Fix_Mapping[[#This Row],[KODE BARANG]],[1]!KINONF15[[KDBRG]:[HRG_JLMT_CTN+PPN]],8,0),0)</f>
        <v>0</v>
      </c>
      <c r="H355">
        <f>IFERROR(VLOOKUP(Fix_Mapping[[#This Row],[KODE BARANG]],[1]!KINONF15[[KDBRG]:[HRG_JLMT_CTN+PPN]],9,0),0)</f>
        <v>0</v>
      </c>
      <c r="I355">
        <f>IFERROR(VLOOKUP(Fix_Mapping[[#This Row],[KODE BARANG]],[1]!KINONF15[[KDBRG]:[HRG_JLMT_CTN+PPN]],10,0),0)</f>
        <v>0</v>
      </c>
      <c r="J355">
        <f>IFERROR(VLOOKUP(Fix_Mapping[[#This Row],[KODE BARANG]],[1]!KINONF15[[KDBRG]:[HRG_JLMT_CTN+PPN]],11,0),0)</f>
        <v>0</v>
      </c>
      <c r="K355">
        <f>IFERROR(VLOOKUP(Fix_Mapping[[#This Row],[KODE BARANG]],[1]!KINONF15[[KDBRG]:[HRG_JLMT_CTN+PPN]],12,0),0)</f>
        <v>0</v>
      </c>
      <c r="L355">
        <f>IFERROR(VLOOKUP(Fix_Mapping[[#This Row],[KODE BARANG]],[1]!KINONF15[[KDBRG]:[HRG_JLMT_CTN+PPN]],13,0),0)</f>
        <v>0</v>
      </c>
      <c r="M355">
        <f>IFERROR(VLOOKUP(Fix_Mapping[[#This Row],[KODE BARANG]],[1]!KINONF15[[KDBRG]:[HRG_JLMT_CTN+PPN]],14,0),0)</f>
        <v>0</v>
      </c>
      <c r="N355">
        <f>IFERROR(VLOOKUP(Fix_Mapping[[#This Row],[KODE BARANG]],[1]!KINONF15[[KDBRG]:[HRG_JLMT_CTN+PPN]],15,0),0)</f>
        <v>0</v>
      </c>
      <c r="O355">
        <f>IFERROR(VLOOKUP(Fix_Mapping[[#This Row],[KODE BARANG]],[1]!KINONF15[[KDBRG]:[HRG_JLMT_CTN+PPN]],16,0),0)</f>
        <v>0</v>
      </c>
      <c r="P355">
        <f>IFERROR(VLOOKUP(Fix_Mapping[[#This Row],[KODE BARANG]],[1]!KINONF15[[KDBRG]:[HRG_JLMT_CTN+PPN]],17,0),0)</f>
        <v>0</v>
      </c>
      <c r="Q355">
        <f>IFERROR(VLOOKUP(Fix_Mapping[[#This Row],[KODE BARANG]],[1]!KINONF15[[KDBRG]:[HRG_JLMT_CTN+PPN]],18,0),0)</f>
        <v>0</v>
      </c>
      <c r="R355" t="s">
        <v>2555</v>
      </c>
      <c r="S355" t="s">
        <v>650</v>
      </c>
      <c r="T355">
        <v>0</v>
      </c>
      <c r="U355">
        <v>0</v>
      </c>
      <c r="V355">
        <v>0</v>
      </c>
      <c r="W355">
        <v>0</v>
      </c>
    </row>
    <row r="356" spans="1:23">
      <c r="A356" t="s">
        <v>1674</v>
      </c>
      <c r="B356" t="s">
        <v>1675</v>
      </c>
      <c r="C356">
        <v>36</v>
      </c>
      <c r="D356">
        <f>IFERROR(VLOOKUP(Fix_Mapping[[#This Row],[KODE BARANG]],[1]!KINONF15[[KDBRG]:[HRG_JLMT_CTN+PPN]],5,0),0)</f>
        <v>0</v>
      </c>
      <c r="E356" t="s">
        <v>2220</v>
      </c>
      <c r="F356">
        <f>IFERROR(VLOOKUP(Fix_Mapping[[#This Row],[KODE BARANG]],[1]!KINONF15[[KDBRG]:[HRG_JLMT_CTN+PPN]],7,0),0)</f>
        <v>0</v>
      </c>
      <c r="G356">
        <f>IFERROR(VLOOKUP(Fix_Mapping[[#This Row],[KODE BARANG]],[1]!KINONF15[[KDBRG]:[HRG_JLMT_CTN+PPN]],8,0),0)</f>
        <v>0</v>
      </c>
      <c r="H356">
        <f>IFERROR(VLOOKUP(Fix_Mapping[[#This Row],[KODE BARANG]],[1]!KINONF15[[KDBRG]:[HRG_JLMT_CTN+PPN]],9,0),0)</f>
        <v>0</v>
      </c>
      <c r="I356">
        <f>IFERROR(VLOOKUP(Fix_Mapping[[#This Row],[KODE BARANG]],[1]!KINONF15[[KDBRG]:[HRG_JLMT_CTN+PPN]],10,0),0)</f>
        <v>0</v>
      </c>
      <c r="J356">
        <f>IFERROR(VLOOKUP(Fix_Mapping[[#This Row],[KODE BARANG]],[1]!KINONF15[[KDBRG]:[HRG_JLMT_CTN+PPN]],11,0),0)</f>
        <v>0</v>
      </c>
      <c r="K356">
        <f>IFERROR(VLOOKUP(Fix_Mapping[[#This Row],[KODE BARANG]],[1]!KINONF15[[KDBRG]:[HRG_JLMT_CTN+PPN]],12,0),0)</f>
        <v>0</v>
      </c>
      <c r="L356">
        <f>IFERROR(VLOOKUP(Fix_Mapping[[#This Row],[KODE BARANG]],[1]!KINONF15[[KDBRG]:[HRG_JLMT_CTN+PPN]],13,0),0)</f>
        <v>0</v>
      </c>
      <c r="M356">
        <f>IFERROR(VLOOKUP(Fix_Mapping[[#This Row],[KODE BARANG]],[1]!KINONF15[[KDBRG]:[HRG_JLMT_CTN+PPN]],14,0),0)</f>
        <v>0</v>
      </c>
      <c r="N356">
        <f>IFERROR(VLOOKUP(Fix_Mapping[[#This Row],[KODE BARANG]],[1]!KINONF15[[KDBRG]:[HRG_JLMT_CTN+PPN]],15,0),0)</f>
        <v>0</v>
      </c>
      <c r="O356">
        <f>IFERROR(VLOOKUP(Fix_Mapping[[#This Row],[KODE BARANG]],[1]!KINONF15[[KDBRG]:[HRG_JLMT_CTN+PPN]],16,0),0)</f>
        <v>0</v>
      </c>
      <c r="P356">
        <f>IFERROR(VLOOKUP(Fix_Mapping[[#This Row],[KODE BARANG]],[1]!KINONF15[[KDBRG]:[HRG_JLMT_CTN+PPN]],17,0),0)</f>
        <v>0</v>
      </c>
      <c r="Q356">
        <f>IFERROR(VLOOKUP(Fix_Mapping[[#This Row],[KODE BARANG]],[1]!KINONF15[[KDBRG]:[HRG_JLMT_CTN+PPN]],18,0),0)</f>
        <v>0</v>
      </c>
      <c r="R356" t="s">
        <v>2555</v>
      </c>
      <c r="S356" t="s">
        <v>651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1676</v>
      </c>
      <c r="B357" t="s">
        <v>1677</v>
      </c>
      <c r="C357">
        <v>36</v>
      </c>
      <c r="D357">
        <f>IFERROR(VLOOKUP(Fix_Mapping[[#This Row],[KODE BARANG]],[1]!KINONF15[[KDBRG]:[HRG_JLMT_CTN+PPN]],5,0),0)</f>
        <v>0</v>
      </c>
      <c r="E357" t="s">
        <v>2220</v>
      </c>
      <c r="F357">
        <f>IFERROR(VLOOKUP(Fix_Mapping[[#This Row],[KODE BARANG]],[1]!KINONF15[[KDBRG]:[HRG_JLMT_CTN+PPN]],7,0),0)</f>
        <v>0</v>
      </c>
      <c r="G357">
        <f>IFERROR(VLOOKUP(Fix_Mapping[[#This Row],[KODE BARANG]],[1]!KINONF15[[KDBRG]:[HRG_JLMT_CTN+PPN]],8,0),0)</f>
        <v>0</v>
      </c>
      <c r="H357">
        <f>IFERROR(VLOOKUP(Fix_Mapping[[#This Row],[KODE BARANG]],[1]!KINONF15[[KDBRG]:[HRG_JLMT_CTN+PPN]],9,0),0)</f>
        <v>0</v>
      </c>
      <c r="I357">
        <f>IFERROR(VLOOKUP(Fix_Mapping[[#This Row],[KODE BARANG]],[1]!KINONF15[[KDBRG]:[HRG_JLMT_CTN+PPN]],10,0),0)</f>
        <v>0</v>
      </c>
      <c r="J357">
        <f>IFERROR(VLOOKUP(Fix_Mapping[[#This Row],[KODE BARANG]],[1]!KINONF15[[KDBRG]:[HRG_JLMT_CTN+PPN]],11,0),0)</f>
        <v>0</v>
      </c>
      <c r="K357">
        <f>IFERROR(VLOOKUP(Fix_Mapping[[#This Row],[KODE BARANG]],[1]!KINONF15[[KDBRG]:[HRG_JLMT_CTN+PPN]],12,0),0)</f>
        <v>0</v>
      </c>
      <c r="L357">
        <f>IFERROR(VLOOKUP(Fix_Mapping[[#This Row],[KODE BARANG]],[1]!KINONF15[[KDBRG]:[HRG_JLMT_CTN+PPN]],13,0),0)</f>
        <v>0</v>
      </c>
      <c r="M357">
        <f>IFERROR(VLOOKUP(Fix_Mapping[[#This Row],[KODE BARANG]],[1]!KINONF15[[KDBRG]:[HRG_JLMT_CTN+PPN]],14,0),0)</f>
        <v>0</v>
      </c>
      <c r="N357">
        <f>IFERROR(VLOOKUP(Fix_Mapping[[#This Row],[KODE BARANG]],[1]!KINONF15[[KDBRG]:[HRG_JLMT_CTN+PPN]],15,0),0)</f>
        <v>0</v>
      </c>
      <c r="O357">
        <f>IFERROR(VLOOKUP(Fix_Mapping[[#This Row],[KODE BARANG]],[1]!KINONF15[[KDBRG]:[HRG_JLMT_CTN+PPN]],16,0),0)</f>
        <v>0</v>
      </c>
      <c r="P357">
        <f>IFERROR(VLOOKUP(Fix_Mapping[[#This Row],[KODE BARANG]],[1]!KINONF15[[KDBRG]:[HRG_JLMT_CTN+PPN]],17,0),0)</f>
        <v>0</v>
      </c>
      <c r="Q357">
        <f>IFERROR(VLOOKUP(Fix_Mapping[[#This Row],[KODE BARANG]],[1]!KINONF15[[KDBRG]:[HRG_JLMT_CTN+PPN]],18,0),0)</f>
        <v>0</v>
      </c>
      <c r="R357" t="s">
        <v>2555</v>
      </c>
      <c r="S357" t="s">
        <v>653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1678</v>
      </c>
      <c r="B358" t="s">
        <v>1679</v>
      </c>
      <c r="C358">
        <v>36</v>
      </c>
      <c r="D358">
        <f>IFERROR(VLOOKUP(Fix_Mapping[[#This Row],[KODE BARANG]],[1]!KINONF15[[KDBRG]:[HRG_JLMT_CTN+PPN]],5,0),0)</f>
        <v>0</v>
      </c>
      <c r="E358" t="s">
        <v>2220</v>
      </c>
      <c r="F358">
        <f>IFERROR(VLOOKUP(Fix_Mapping[[#This Row],[KODE BARANG]],[1]!KINONF15[[KDBRG]:[HRG_JLMT_CTN+PPN]],7,0),0)</f>
        <v>0</v>
      </c>
      <c r="G358">
        <f>IFERROR(VLOOKUP(Fix_Mapping[[#This Row],[KODE BARANG]],[1]!KINONF15[[KDBRG]:[HRG_JLMT_CTN+PPN]],8,0),0)</f>
        <v>0</v>
      </c>
      <c r="H358">
        <f>IFERROR(VLOOKUP(Fix_Mapping[[#This Row],[KODE BARANG]],[1]!KINONF15[[KDBRG]:[HRG_JLMT_CTN+PPN]],9,0),0)</f>
        <v>0</v>
      </c>
      <c r="I358">
        <f>IFERROR(VLOOKUP(Fix_Mapping[[#This Row],[KODE BARANG]],[1]!KINONF15[[KDBRG]:[HRG_JLMT_CTN+PPN]],10,0),0)</f>
        <v>0</v>
      </c>
      <c r="J358">
        <f>IFERROR(VLOOKUP(Fix_Mapping[[#This Row],[KODE BARANG]],[1]!KINONF15[[KDBRG]:[HRG_JLMT_CTN+PPN]],11,0),0)</f>
        <v>0</v>
      </c>
      <c r="K358">
        <f>IFERROR(VLOOKUP(Fix_Mapping[[#This Row],[KODE BARANG]],[1]!KINONF15[[KDBRG]:[HRG_JLMT_CTN+PPN]],12,0),0)</f>
        <v>0</v>
      </c>
      <c r="L358">
        <f>IFERROR(VLOOKUP(Fix_Mapping[[#This Row],[KODE BARANG]],[1]!KINONF15[[KDBRG]:[HRG_JLMT_CTN+PPN]],13,0),0)</f>
        <v>0</v>
      </c>
      <c r="M358">
        <f>IFERROR(VLOOKUP(Fix_Mapping[[#This Row],[KODE BARANG]],[1]!KINONF15[[KDBRG]:[HRG_JLMT_CTN+PPN]],14,0),0)</f>
        <v>0</v>
      </c>
      <c r="N358">
        <f>IFERROR(VLOOKUP(Fix_Mapping[[#This Row],[KODE BARANG]],[1]!KINONF15[[KDBRG]:[HRG_JLMT_CTN+PPN]],15,0),0)</f>
        <v>0</v>
      </c>
      <c r="O358">
        <f>IFERROR(VLOOKUP(Fix_Mapping[[#This Row],[KODE BARANG]],[1]!KINONF15[[KDBRG]:[HRG_JLMT_CTN+PPN]],16,0),0)</f>
        <v>0</v>
      </c>
      <c r="P358">
        <f>IFERROR(VLOOKUP(Fix_Mapping[[#This Row],[KODE BARANG]],[1]!KINONF15[[KDBRG]:[HRG_JLMT_CTN+PPN]],17,0),0)</f>
        <v>0</v>
      </c>
      <c r="Q358">
        <f>IFERROR(VLOOKUP(Fix_Mapping[[#This Row],[KODE BARANG]],[1]!KINONF15[[KDBRG]:[HRG_JLMT_CTN+PPN]],18,0),0)</f>
        <v>0</v>
      </c>
      <c r="R358" t="s">
        <v>2555</v>
      </c>
      <c r="S358" t="s">
        <v>647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1680</v>
      </c>
      <c r="B359" t="s">
        <v>1681</v>
      </c>
      <c r="C359">
        <v>36</v>
      </c>
      <c r="D359">
        <f>IFERROR(VLOOKUP(Fix_Mapping[[#This Row],[KODE BARANG]],[1]!KINONF15[[KDBRG]:[HRG_JLMT_CTN+PPN]],5,0),0)</f>
        <v>0</v>
      </c>
      <c r="E359" t="s">
        <v>2220</v>
      </c>
      <c r="F359">
        <f>IFERROR(VLOOKUP(Fix_Mapping[[#This Row],[KODE BARANG]],[1]!KINONF15[[KDBRG]:[HRG_JLMT_CTN+PPN]],7,0),0)</f>
        <v>0</v>
      </c>
      <c r="G359">
        <f>IFERROR(VLOOKUP(Fix_Mapping[[#This Row],[KODE BARANG]],[1]!KINONF15[[KDBRG]:[HRG_JLMT_CTN+PPN]],8,0),0)</f>
        <v>0</v>
      </c>
      <c r="H359">
        <f>IFERROR(VLOOKUP(Fix_Mapping[[#This Row],[KODE BARANG]],[1]!KINONF15[[KDBRG]:[HRG_JLMT_CTN+PPN]],9,0),0)</f>
        <v>0</v>
      </c>
      <c r="I359">
        <f>IFERROR(VLOOKUP(Fix_Mapping[[#This Row],[KODE BARANG]],[1]!KINONF15[[KDBRG]:[HRG_JLMT_CTN+PPN]],10,0),0)</f>
        <v>0</v>
      </c>
      <c r="J359">
        <f>IFERROR(VLOOKUP(Fix_Mapping[[#This Row],[KODE BARANG]],[1]!KINONF15[[KDBRG]:[HRG_JLMT_CTN+PPN]],11,0),0)</f>
        <v>0</v>
      </c>
      <c r="K359">
        <f>IFERROR(VLOOKUP(Fix_Mapping[[#This Row],[KODE BARANG]],[1]!KINONF15[[KDBRG]:[HRG_JLMT_CTN+PPN]],12,0),0)</f>
        <v>0</v>
      </c>
      <c r="L359">
        <f>IFERROR(VLOOKUP(Fix_Mapping[[#This Row],[KODE BARANG]],[1]!KINONF15[[KDBRG]:[HRG_JLMT_CTN+PPN]],13,0),0)</f>
        <v>0</v>
      </c>
      <c r="M359">
        <f>IFERROR(VLOOKUP(Fix_Mapping[[#This Row],[KODE BARANG]],[1]!KINONF15[[KDBRG]:[HRG_JLMT_CTN+PPN]],14,0),0)</f>
        <v>0</v>
      </c>
      <c r="N359">
        <f>IFERROR(VLOOKUP(Fix_Mapping[[#This Row],[KODE BARANG]],[1]!KINONF15[[KDBRG]:[HRG_JLMT_CTN+PPN]],15,0),0)</f>
        <v>0</v>
      </c>
      <c r="O359">
        <f>IFERROR(VLOOKUP(Fix_Mapping[[#This Row],[KODE BARANG]],[1]!KINONF15[[KDBRG]:[HRG_JLMT_CTN+PPN]],16,0),0)</f>
        <v>0</v>
      </c>
      <c r="P359">
        <f>IFERROR(VLOOKUP(Fix_Mapping[[#This Row],[KODE BARANG]],[1]!KINONF15[[KDBRG]:[HRG_JLMT_CTN+PPN]],17,0),0)</f>
        <v>0</v>
      </c>
      <c r="Q359">
        <f>IFERROR(VLOOKUP(Fix_Mapping[[#This Row],[KODE BARANG]],[1]!KINONF15[[KDBRG]:[HRG_JLMT_CTN+PPN]],18,0),0)</f>
        <v>0</v>
      </c>
      <c r="R359" t="s">
        <v>2555</v>
      </c>
      <c r="S359" t="s">
        <v>648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1682</v>
      </c>
      <c r="B360" t="s">
        <v>1683</v>
      </c>
      <c r="C360">
        <v>36</v>
      </c>
      <c r="D360">
        <f>IFERROR(VLOOKUP(Fix_Mapping[[#This Row],[KODE BARANG]],[1]!KINONF15[[KDBRG]:[HRG_JLMT_CTN+PPN]],5,0),0)</f>
        <v>0</v>
      </c>
      <c r="E360" t="s">
        <v>2218</v>
      </c>
      <c r="F360">
        <f>IFERROR(VLOOKUP(Fix_Mapping[[#This Row],[KODE BARANG]],[1]!KINONF15[[KDBRG]:[HRG_JLMT_CTN+PPN]],7,0),0)</f>
        <v>0</v>
      </c>
      <c r="G360">
        <f>IFERROR(VLOOKUP(Fix_Mapping[[#This Row],[KODE BARANG]],[1]!KINONF15[[KDBRG]:[HRG_JLMT_CTN+PPN]],8,0),0)</f>
        <v>0</v>
      </c>
      <c r="H360">
        <f>IFERROR(VLOOKUP(Fix_Mapping[[#This Row],[KODE BARANG]],[1]!KINONF15[[KDBRG]:[HRG_JLMT_CTN+PPN]],9,0),0)</f>
        <v>0</v>
      </c>
      <c r="I360">
        <f>IFERROR(VLOOKUP(Fix_Mapping[[#This Row],[KODE BARANG]],[1]!KINONF15[[KDBRG]:[HRG_JLMT_CTN+PPN]],10,0),0)</f>
        <v>0</v>
      </c>
      <c r="J360">
        <f>IFERROR(VLOOKUP(Fix_Mapping[[#This Row],[KODE BARANG]],[1]!KINONF15[[KDBRG]:[HRG_JLMT_CTN+PPN]],11,0),0)</f>
        <v>0</v>
      </c>
      <c r="K360">
        <f>IFERROR(VLOOKUP(Fix_Mapping[[#This Row],[KODE BARANG]],[1]!KINONF15[[KDBRG]:[HRG_JLMT_CTN+PPN]],12,0),0)</f>
        <v>0</v>
      </c>
      <c r="L360">
        <f>IFERROR(VLOOKUP(Fix_Mapping[[#This Row],[KODE BARANG]],[1]!KINONF15[[KDBRG]:[HRG_JLMT_CTN+PPN]],13,0),0)</f>
        <v>0</v>
      </c>
      <c r="M360">
        <f>IFERROR(VLOOKUP(Fix_Mapping[[#This Row],[KODE BARANG]],[1]!KINONF15[[KDBRG]:[HRG_JLMT_CTN+PPN]],14,0),0)</f>
        <v>0</v>
      </c>
      <c r="N360">
        <f>IFERROR(VLOOKUP(Fix_Mapping[[#This Row],[KODE BARANG]],[1]!KINONF15[[KDBRG]:[HRG_JLMT_CTN+PPN]],15,0),0)</f>
        <v>0</v>
      </c>
      <c r="O360">
        <f>IFERROR(VLOOKUP(Fix_Mapping[[#This Row],[KODE BARANG]],[1]!KINONF15[[KDBRG]:[HRG_JLMT_CTN+PPN]],16,0),0)</f>
        <v>0</v>
      </c>
      <c r="P360">
        <f>IFERROR(VLOOKUP(Fix_Mapping[[#This Row],[KODE BARANG]],[1]!KINONF15[[KDBRG]:[HRG_JLMT_CTN+PPN]],17,0),0)</f>
        <v>0</v>
      </c>
      <c r="Q360">
        <f>IFERROR(VLOOKUP(Fix_Mapping[[#This Row],[KODE BARANG]],[1]!KINONF15[[KDBRG]:[HRG_JLMT_CTN+PPN]],18,0),0)</f>
        <v>0</v>
      </c>
      <c r="R360" t="s">
        <v>2555</v>
      </c>
      <c r="S360" t="s">
        <v>644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1684</v>
      </c>
      <c r="B361" t="s">
        <v>1685</v>
      </c>
      <c r="C361">
        <v>36</v>
      </c>
      <c r="D361">
        <f>IFERROR(VLOOKUP(Fix_Mapping[[#This Row],[KODE BARANG]],[1]!KINONF15[[KDBRG]:[HRG_JLMT_CTN+PPN]],5,0),0)</f>
        <v>0</v>
      </c>
      <c r="E361" t="s">
        <v>2218</v>
      </c>
      <c r="F361">
        <f>IFERROR(VLOOKUP(Fix_Mapping[[#This Row],[KODE BARANG]],[1]!KINONF15[[KDBRG]:[HRG_JLMT_CTN+PPN]],7,0),0)</f>
        <v>0</v>
      </c>
      <c r="G361">
        <f>IFERROR(VLOOKUP(Fix_Mapping[[#This Row],[KODE BARANG]],[1]!KINONF15[[KDBRG]:[HRG_JLMT_CTN+PPN]],8,0),0)</f>
        <v>0</v>
      </c>
      <c r="H361">
        <f>IFERROR(VLOOKUP(Fix_Mapping[[#This Row],[KODE BARANG]],[1]!KINONF15[[KDBRG]:[HRG_JLMT_CTN+PPN]],9,0),0)</f>
        <v>0</v>
      </c>
      <c r="I361">
        <f>IFERROR(VLOOKUP(Fix_Mapping[[#This Row],[KODE BARANG]],[1]!KINONF15[[KDBRG]:[HRG_JLMT_CTN+PPN]],10,0),0)</f>
        <v>0</v>
      </c>
      <c r="J361">
        <f>IFERROR(VLOOKUP(Fix_Mapping[[#This Row],[KODE BARANG]],[1]!KINONF15[[KDBRG]:[HRG_JLMT_CTN+PPN]],11,0),0)</f>
        <v>0</v>
      </c>
      <c r="K361">
        <f>IFERROR(VLOOKUP(Fix_Mapping[[#This Row],[KODE BARANG]],[1]!KINONF15[[KDBRG]:[HRG_JLMT_CTN+PPN]],12,0),0)</f>
        <v>0</v>
      </c>
      <c r="L361">
        <f>IFERROR(VLOOKUP(Fix_Mapping[[#This Row],[KODE BARANG]],[1]!KINONF15[[KDBRG]:[HRG_JLMT_CTN+PPN]],13,0),0)</f>
        <v>0</v>
      </c>
      <c r="M361">
        <f>IFERROR(VLOOKUP(Fix_Mapping[[#This Row],[KODE BARANG]],[1]!KINONF15[[KDBRG]:[HRG_JLMT_CTN+PPN]],14,0),0)</f>
        <v>0</v>
      </c>
      <c r="N361">
        <f>IFERROR(VLOOKUP(Fix_Mapping[[#This Row],[KODE BARANG]],[1]!KINONF15[[KDBRG]:[HRG_JLMT_CTN+PPN]],15,0),0)</f>
        <v>0</v>
      </c>
      <c r="O361">
        <f>IFERROR(VLOOKUP(Fix_Mapping[[#This Row],[KODE BARANG]],[1]!KINONF15[[KDBRG]:[HRG_JLMT_CTN+PPN]],16,0),0)</f>
        <v>0</v>
      </c>
      <c r="P361">
        <f>IFERROR(VLOOKUP(Fix_Mapping[[#This Row],[KODE BARANG]],[1]!KINONF15[[KDBRG]:[HRG_JLMT_CTN+PPN]],17,0),0)</f>
        <v>0</v>
      </c>
      <c r="Q361">
        <f>IFERROR(VLOOKUP(Fix_Mapping[[#This Row],[KODE BARANG]],[1]!KINONF15[[KDBRG]:[HRG_JLMT_CTN+PPN]],18,0),0)</f>
        <v>0</v>
      </c>
      <c r="R361" t="s">
        <v>2555</v>
      </c>
      <c r="S361" t="s">
        <v>645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1686</v>
      </c>
      <c r="B362" t="s">
        <v>1687</v>
      </c>
      <c r="C362">
        <v>36</v>
      </c>
      <c r="D362">
        <f>IFERROR(VLOOKUP(Fix_Mapping[[#This Row],[KODE BARANG]],[1]!KINONF15[[KDBRG]:[HRG_JLMT_CTN+PPN]],5,0),0)</f>
        <v>0</v>
      </c>
      <c r="E362" t="s">
        <v>2212</v>
      </c>
      <c r="F362">
        <f>IFERROR(VLOOKUP(Fix_Mapping[[#This Row],[KODE BARANG]],[1]!KINONF15[[KDBRG]:[HRG_JLMT_CTN+PPN]],7,0),0)</f>
        <v>0</v>
      </c>
      <c r="G362">
        <f>IFERROR(VLOOKUP(Fix_Mapping[[#This Row],[KODE BARANG]],[1]!KINONF15[[KDBRG]:[HRG_JLMT_CTN+PPN]],8,0),0)</f>
        <v>0</v>
      </c>
      <c r="H362">
        <f>IFERROR(VLOOKUP(Fix_Mapping[[#This Row],[KODE BARANG]],[1]!KINONF15[[KDBRG]:[HRG_JLMT_CTN+PPN]],9,0),0)</f>
        <v>0</v>
      </c>
      <c r="I362">
        <f>IFERROR(VLOOKUP(Fix_Mapping[[#This Row],[KODE BARANG]],[1]!KINONF15[[KDBRG]:[HRG_JLMT_CTN+PPN]],10,0),0)</f>
        <v>0</v>
      </c>
      <c r="J362">
        <f>IFERROR(VLOOKUP(Fix_Mapping[[#This Row],[KODE BARANG]],[1]!KINONF15[[KDBRG]:[HRG_JLMT_CTN+PPN]],11,0),0)</f>
        <v>0</v>
      </c>
      <c r="K362">
        <f>IFERROR(VLOOKUP(Fix_Mapping[[#This Row],[KODE BARANG]],[1]!KINONF15[[KDBRG]:[HRG_JLMT_CTN+PPN]],12,0),0)</f>
        <v>0</v>
      </c>
      <c r="L362">
        <f>IFERROR(VLOOKUP(Fix_Mapping[[#This Row],[KODE BARANG]],[1]!KINONF15[[KDBRG]:[HRG_JLMT_CTN+PPN]],13,0),0)</f>
        <v>0</v>
      </c>
      <c r="M362">
        <f>IFERROR(VLOOKUP(Fix_Mapping[[#This Row],[KODE BARANG]],[1]!KINONF15[[KDBRG]:[HRG_JLMT_CTN+PPN]],14,0),0)</f>
        <v>0</v>
      </c>
      <c r="N362">
        <f>IFERROR(VLOOKUP(Fix_Mapping[[#This Row],[KODE BARANG]],[1]!KINONF15[[KDBRG]:[HRG_JLMT_CTN+PPN]],15,0),0)</f>
        <v>0</v>
      </c>
      <c r="O362">
        <f>IFERROR(VLOOKUP(Fix_Mapping[[#This Row],[KODE BARANG]],[1]!KINONF15[[KDBRG]:[HRG_JLMT_CTN+PPN]],16,0),0)</f>
        <v>0</v>
      </c>
      <c r="P362">
        <f>IFERROR(VLOOKUP(Fix_Mapping[[#This Row],[KODE BARANG]],[1]!KINONF15[[KDBRG]:[HRG_JLMT_CTN+PPN]],17,0),0)</f>
        <v>0</v>
      </c>
      <c r="Q362">
        <f>IFERROR(VLOOKUP(Fix_Mapping[[#This Row],[KODE BARANG]],[1]!KINONF15[[KDBRG]:[HRG_JLMT_CTN+PPN]],18,0),0)</f>
        <v>0</v>
      </c>
      <c r="R362" t="s">
        <v>2555</v>
      </c>
      <c r="S362" t="s">
        <v>636</v>
      </c>
      <c r="T362">
        <v>0</v>
      </c>
      <c r="U362">
        <v>0</v>
      </c>
      <c r="V362">
        <v>0</v>
      </c>
      <c r="W362">
        <v>0</v>
      </c>
    </row>
    <row r="363" spans="1:23">
      <c r="A363" t="s">
        <v>1688</v>
      </c>
      <c r="B363" t="s">
        <v>1689</v>
      </c>
      <c r="C363">
        <v>36</v>
      </c>
      <c r="D363">
        <f>IFERROR(VLOOKUP(Fix_Mapping[[#This Row],[KODE BARANG]],[1]!KINONF15[[KDBRG]:[HRG_JLMT_CTN+PPN]],5,0),0)</f>
        <v>0</v>
      </c>
      <c r="E363" t="s">
        <v>2212</v>
      </c>
      <c r="F363">
        <f>IFERROR(VLOOKUP(Fix_Mapping[[#This Row],[KODE BARANG]],[1]!KINONF15[[KDBRG]:[HRG_JLMT_CTN+PPN]],7,0),0)</f>
        <v>0</v>
      </c>
      <c r="G363">
        <f>IFERROR(VLOOKUP(Fix_Mapping[[#This Row],[KODE BARANG]],[1]!KINONF15[[KDBRG]:[HRG_JLMT_CTN+PPN]],8,0),0)</f>
        <v>0</v>
      </c>
      <c r="H363">
        <f>IFERROR(VLOOKUP(Fix_Mapping[[#This Row],[KODE BARANG]],[1]!KINONF15[[KDBRG]:[HRG_JLMT_CTN+PPN]],9,0),0)</f>
        <v>0</v>
      </c>
      <c r="I363">
        <f>IFERROR(VLOOKUP(Fix_Mapping[[#This Row],[KODE BARANG]],[1]!KINONF15[[KDBRG]:[HRG_JLMT_CTN+PPN]],10,0),0)</f>
        <v>0</v>
      </c>
      <c r="J363">
        <f>IFERROR(VLOOKUP(Fix_Mapping[[#This Row],[KODE BARANG]],[1]!KINONF15[[KDBRG]:[HRG_JLMT_CTN+PPN]],11,0),0)</f>
        <v>0</v>
      </c>
      <c r="K363">
        <f>IFERROR(VLOOKUP(Fix_Mapping[[#This Row],[KODE BARANG]],[1]!KINONF15[[KDBRG]:[HRG_JLMT_CTN+PPN]],12,0),0)</f>
        <v>0</v>
      </c>
      <c r="L363">
        <f>IFERROR(VLOOKUP(Fix_Mapping[[#This Row],[KODE BARANG]],[1]!KINONF15[[KDBRG]:[HRG_JLMT_CTN+PPN]],13,0),0)</f>
        <v>0</v>
      </c>
      <c r="M363">
        <f>IFERROR(VLOOKUP(Fix_Mapping[[#This Row],[KODE BARANG]],[1]!KINONF15[[KDBRG]:[HRG_JLMT_CTN+PPN]],14,0),0)</f>
        <v>0</v>
      </c>
      <c r="N363">
        <f>IFERROR(VLOOKUP(Fix_Mapping[[#This Row],[KODE BARANG]],[1]!KINONF15[[KDBRG]:[HRG_JLMT_CTN+PPN]],15,0),0)</f>
        <v>0</v>
      </c>
      <c r="O363">
        <f>IFERROR(VLOOKUP(Fix_Mapping[[#This Row],[KODE BARANG]],[1]!KINONF15[[KDBRG]:[HRG_JLMT_CTN+PPN]],16,0),0)</f>
        <v>0</v>
      </c>
      <c r="P363">
        <f>IFERROR(VLOOKUP(Fix_Mapping[[#This Row],[KODE BARANG]],[1]!KINONF15[[KDBRG]:[HRG_JLMT_CTN+PPN]],17,0),0)</f>
        <v>0</v>
      </c>
      <c r="Q363">
        <f>IFERROR(VLOOKUP(Fix_Mapping[[#This Row],[KODE BARANG]],[1]!KINONF15[[KDBRG]:[HRG_JLMT_CTN+PPN]],18,0),0)</f>
        <v>0</v>
      </c>
      <c r="R363" t="s">
        <v>2555</v>
      </c>
      <c r="S363" t="s">
        <v>639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1690</v>
      </c>
      <c r="B364" t="s">
        <v>1691</v>
      </c>
      <c r="C364">
        <v>36</v>
      </c>
      <c r="D364">
        <f>IFERROR(VLOOKUP(Fix_Mapping[[#This Row],[KODE BARANG]],[1]!KINONF15[[KDBRG]:[HRG_JLMT_CTN+PPN]],5,0),0)</f>
        <v>0</v>
      </c>
      <c r="E364" t="s">
        <v>2212</v>
      </c>
      <c r="F364">
        <f>IFERROR(VLOOKUP(Fix_Mapping[[#This Row],[KODE BARANG]],[1]!KINONF15[[KDBRG]:[HRG_JLMT_CTN+PPN]],7,0),0)</f>
        <v>0</v>
      </c>
      <c r="G364">
        <f>IFERROR(VLOOKUP(Fix_Mapping[[#This Row],[KODE BARANG]],[1]!KINONF15[[KDBRG]:[HRG_JLMT_CTN+PPN]],8,0),0)</f>
        <v>0</v>
      </c>
      <c r="H364">
        <f>IFERROR(VLOOKUP(Fix_Mapping[[#This Row],[KODE BARANG]],[1]!KINONF15[[KDBRG]:[HRG_JLMT_CTN+PPN]],9,0),0)</f>
        <v>0</v>
      </c>
      <c r="I364">
        <f>IFERROR(VLOOKUP(Fix_Mapping[[#This Row],[KODE BARANG]],[1]!KINONF15[[KDBRG]:[HRG_JLMT_CTN+PPN]],10,0),0)</f>
        <v>0</v>
      </c>
      <c r="J364">
        <f>IFERROR(VLOOKUP(Fix_Mapping[[#This Row],[KODE BARANG]],[1]!KINONF15[[KDBRG]:[HRG_JLMT_CTN+PPN]],11,0),0)</f>
        <v>0</v>
      </c>
      <c r="K364">
        <f>IFERROR(VLOOKUP(Fix_Mapping[[#This Row],[KODE BARANG]],[1]!KINONF15[[KDBRG]:[HRG_JLMT_CTN+PPN]],12,0),0)</f>
        <v>0</v>
      </c>
      <c r="L364">
        <f>IFERROR(VLOOKUP(Fix_Mapping[[#This Row],[KODE BARANG]],[1]!KINONF15[[KDBRG]:[HRG_JLMT_CTN+PPN]],13,0),0)</f>
        <v>0</v>
      </c>
      <c r="M364">
        <f>IFERROR(VLOOKUP(Fix_Mapping[[#This Row],[KODE BARANG]],[1]!KINONF15[[KDBRG]:[HRG_JLMT_CTN+PPN]],14,0),0)</f>
        <v>0</v>
      </c>
      <c r="N364">
        <f>IFERROR(VLOOKUP(Fix_Mapping[[#This Row],[KODE BARANG]],[1]!KINONF15[[KDBRG]:[HRG_JLMT_CTN+PPN]],15,0),0)</f>
        <v>0</v>
      </c>
      <c r="O364">
        <f>IFERROR(VLOOKUP(Fix_Mapping[[#This Row],[KODE BARANG]],[1]!KINONF15[[KDBRG]:[HRG_JLMT_CTN+PPN]],16,0),0)</f>
        <v>0</v>
      </c>
      <c r="P364">
        <f>IFERROR(VLOOKUP(Fix_Mapping[[#This Row],[KODE BARANG]],[1]!KINONF15[[KDBRG]:[HRG_JLMT_CTN+PPN]],17,0),0)</f>
        <v>0</v>
      </c>
      <c r="Q364">
        <f>IFERROR(VLOOKUP(Fix_Mapping[[#This Row],[KODE BARANG]],[1]!KINONF15[[KDBRG]:[HRG_JLMT_CTN+PPN]],18,0),0)</f>
        <v>0</v>
      </c>
      <c r="R364" t="s">
        <v>2555</v>
      </c>
      <c r="S364" t="s">
        <v>642</v>
      </c>
      <c r="T364">
        <v>0</v>
      </c>
      <c r="U364">
        <v>0</v>
      </c>
      <c r="V364">
        <v>0</v>
      </c>
      <c r="W364">
        <v>0</v>
      </c>
    </row>
    <row r="365" spans="1:23">
      <c r="A365" t="s">
        <v>1692</v>
      </c>
      <c r="B365" t="s">
        <v>1693</v>
      </c>
      <c r="C365">
        <v>36</v>
      </c>
      <c r="D365">
        <f>IFERROR(VLOOKUP(Fix_Mapping[[#This Row],[KODE BARANG]],[1]!KINONF15[[KDBRG]:[HRG_JLMT_CTN+PPN]],5,0),0)</f>
        <v>0</v>
      </c>
      <c r="E365" t="s">
        <v>2212</v>
      </c>
      <c r="F365">
        <f>IFERROR(VLOOKUP(Fix_Mapping[[#This Row],[KODE BARANG]],[1]!KINONF15[[KDBRG]:[HRG_JLMT_CTN+PPN]],7,0),0)</f>
        <v>0</v>
      </c>
      <c r="G365">
        <f>IFERROR(VLOOKUP(Fix_Mapping[[#This Row],[KODE BARANG]],[1]!KINONF15[[KDBRG]:[HRG_JLMT_CTN+PPN]],8,0),0)</f>
        <v>0</v>
      </c>
      <c r="H365">
        <f>IFERROR(VLOOKUP(Fix_Mapping[[#This Row],[KODE BARANG]],[1]!KINONF15[[KDBRG]:[HRG_JLMT_CTN+PPN]],9,0),0)</f>
        <v>0</v>
      </c>
      <c r="I365">
        <f>IFERROR(VLOOKUP(Fix_Mapping[[#This Row],[KODE BARANG]],[1]!KINONF15[[KDBRG]:[HRG_JLMT_CTN+PPN]],10,0),0)</f>
        <v>0</v>
      </c>
      <c r="J365">
        <f>IFERROR(VLOOKUP(Fix_Mapping[[#This Row],[KODE BARANG]],[1]!KINONF15[[KDBRG]:[HRG_JLMT_CTN+PPN]],11,0),0)</f>
        <v>0</v>
      </c>
      <c r="K365">
        <f>IFERROR(VLOOKUP(Fix_Mapping[[#This Row],[KODE BARANG]],[1]!KINONF15[[KDBRG]:[HRG_JLMT_CTN+PPN]],12,0),0)</f>
        <v>0</v>
      </c>
      <c r="L365">
        <f>IFERROR(VLOOKUP(Fix_Mapping[[#This Row],[KODE BARANG]],[1]!KINONF15[[KDBRG]:[HRG_JLMT_CTN+PPN]],13,0),0)</f>
        <v>0</v>
      </c>
      <c r="M365">
        <f>IFERROR(VLOOKUP(Fix_Mapping[[#This Row],[KODE BARANG]],[1]!KINONF15[[KDBRG]:[HRG_JLMT_CTN+PPN]],14,0),0)</f>
        <v>0</v>
      </c>
      <c r="N365">
        <f>IFERROR(VLOOKUP(Fix_Mapping[[#This Row],[KODE BARANG]],[1]!KINONF15[[KDBRG]:[HRG_JLMT_CTN+PPN]],15,0),0)</f>
        <v>0</v>
      </c>
      <c r="O365">
        <f>IFERROR(VLOOKUP(Fix_Mapping[[#This Row],[KODE BARANG]],[1]!KINONF15[[KDBRG]:[HRG_JLMT_CTN+PPN]],16,0),0)</f>
        <v>0</v>
      </c>
      <c r="P365">
        <f>IFERROR(VLOOKUP(Fix_Mapping[[#This Row],[KODE BARANG]],[1]!KINONF15[[KDBRG]:[HRG_JLMT_CTN+PPN]],17,0),0)</f>
        <v>0</v>
      </c>
      <c r="Q365">
        <f>IFERROR(VLOOKUP(Fix_Mapping[[#This Row],[KODE BARANG]],[1]!KINONF15[[KDBRG]:[HRG_JLMT_CTN+PPN]],18,0),0)</f>
        <v>0</v>
      </c>
      <c r="R365" t="s">
        <v>2555</v>
      </c>
      <c r="S365" t="s">
        <v>640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1694</v>
      </c>
      <c r="B366" t="s">
        <v>1695</v>
      </c>
      <c r="C366">
        <v>36</v>
      </c>
      <c r="D366">
        <f>IFERROR(VLOOKUP(Fix_Mapping[[#This Row],[KODE BARANG]],[1]!KINONF15[[KDBRG]:[HRG_JLMT_CTN+PPN]],5,0),0)</f>
        <v>0</v>
      </c>
      <c r="E366" t="s">
        <v>2212</v>
      </c>
      <c r="F366">
        <f>IFERROR(VLOOKUP(Fix_Mapping[[#This Row],[KODE BARANG]],[1]!KINONF15[[KDBRG]:[HRG_JLMT_CTN+PPN]],7,0),0)</f>
        <v>0</v>
      </c>
      <c r="G366">
        <f>IFERROR(VLOOKUP(Fix_Mapping[[#This Row],[KODE BARANG]],[1]!KINONF15[[KDBRG]:[HRG_JLMT_CTN+PPN]],8,0),0)</f>
        <v>0</v>
      </c>
      <c r="H366">
        <f>IFERROR(VLOOKUP(Fix_Mapping[[#This Row],[KODE BARANG]],[1]!KINONF15[[KDBRG]:[HRG_JLMT_CTN+PPN]],9,0),0)</f>
        <v>0</v>
      </c>
      <c r="I366">
        <f>IFERROR(VLOOKUP(Fix_Mapping[[#This Row],[KODE BARANG]],[1]!KINONF15[[KDBRG]:[HRG_JLMT_CTN+PPN]],10,0),0)</f>
        <v>0</v>
      </c>
      <c r="J366">
        <f>IFERROR(VLOOKUP(Fix_Mapping[[#This Row],[KODE BARANG]],[1]!KINONF15[[KDBRG]:[HRG_JLMT_CTN+PPN]],11,0),0)</f>
        <v>0</v>
      </c>
      <c r="K366">
        <f>IFERROR(VLOOKUP(Fix_Mapping[[#This Row],[KODE BARANG]],[1]!KINONF15[[KDBRG]:[HRG_JLMT_CTN+PPN]],12,0),0)</f>
        <v>0</v>
      </c>
      <c r="L366">
        <f>IFERROR(VLOOKUP(Fix_Mapping[[#This Row],[KODE BARANG]],[1]!KINONF15[[KDBRG]:[HRG_JLMT_CTN+PPN]],13,0),0)</f>
        <v>0</v>
      </c>
      <c r="M366">
        <f>IFERROR(VLOOKUP(Fix_Mapping[[#This Row],[KODE BARANG]],[1]!KINONF15[[KDBRG]:[HRG_JLMT_CTN+PPN]],14,0),0)</f>
        <v>0</v>
      </c>
      <c r="N366">
        <f>IFERROR(VLOOKUP(Fix_Mapping[[#This Row],[KODE BARANG]],[1]!KINONF15[[KDBRG]:[HRG_JLMT_CTN+PPN]],15,0),0)</f>
        <v>0</v>
      </c>
      <c r="O366">
        <f>IFERROR(VLOOKUP(Fix_Mapping[[#This Row],[KODE BARANG]],[1]!KINONF15[[KDBRG]:[HRG_JLMT_CTN+PPN]],16,0),0)</f>
        <v>0</v>
      </c>
      <c r="P366">
        <f>IFERROR(VLOOKUP(Fix_Mapping[[#This Row],[KODE BARANG]],[1]!KINONF15[[KDBRG]:[HRG_JLMT_CTN+PPN]],17,0),0)</f>
        <v>0</v>
      </c>
      <c r="Q366">
        <f>IFERROR(VLOOKUP(Fix_Mapping[[#This Row],[KODE BARANG]],[1]!KINONF15[[KDBRG]:[HRG_JLMT_CTN+PPN]],18,0),0)</f>
        <v>0</v>
      </c>
      <c r="R366" t="s">
        <v>2555</v>
      </c>
      <c r="S366" t="s">
        <v>641</v>
      </c>
      <c r="T366">
        <v>0</v>
      </c>
      <c r="U366">
        <v>0</v>
      </c>
      <c r="V366">
        <v>0</v>
      </c>
      <c r="W366">
        <v>0</v>
      </c>
    </row>
    <row r="367" spans="1:23">
      <c r="A367" t="s">
        <v>1696</v>
      </c>
      <c r="B367" t="s">
        <v>1697</v>
      </c>
      <c r="C367">
        <v>36</v>
      </c>
      <c r="D367">
        <f>IFERROR(VLOOKUP(Fix_Mapping[[#This Row],[KODE BARANG]],[1]!KINONF15[[KDBRG]:[HRG_JLMT_CTN+PPN]],5,0),0)</f>
        <v>0</v>
      </c>
      <c r="E367" t="s">
        <v>2212</v>
      </c>
      <c r="F367">
        <f>IFERROR(VLOOKUP(Fix_Mapping[[#This Row],[KODE BARANG]],[1]!KINONF15[[KDBRG]:[HRG_JLMT_CTN+PPN]],7,0),0)</f>
        <v>0</v>
      </c>
      <c r="G367">
        <f>IFERROR(VLOOKUP(Fix_Mapping[[#This Row],[KODE BARANG]],[1]!KINONF15[[KDBRG]:[HRG_JLMT_CTN+PPN]],8,0),0)</f>
        <v>0</v>
      </c>
      <c r="H367">
        <f>IFERROR(VLOOKUP(Fix_Mapping[[#This Row],[KODE BARANG]],[1]!KINONF15[[KDBRG]:[HRG_JLMT_CTN+PPN]],9,0),0)</f>
        <v>0</v>
      </c>
      <c r="I367">
        <f>IFERROR(VLOOKUP(Fix_Mapping[[#This Row],[KODE BARANG]],[1]!KINONF15[[KDBRG]:[HRG_JLMT_CTN+PPN]],10,0),0)</f>
        <v>0</v>
      </c>
      <c r="J367">
        <f>IFERROR(VLOOKUP(Fix_Mapping[[#This Row],[KODE BARANG]],[1]!KINONF15[[KDBRG]:[HRG_JLMT_CTN+PPN]],11,0),0)</f>
        <v>0</v>
      </c>
      <c r="K367">
        <f>IFERROR(VLOOKUP(Fix_Mapping[[#This Row],[KODE BARANG]],[1]!KINONF15[[KDBRG]:[HRG_JLMT_CTN+PPN]],12,0),0)</f>
        <v>0</v>
      </c>
      <c r="L367">
        <f>IFERROR(VLOOKUP(Fix_Mapping[[#This Row],[KODE BARANG]],[1]!KINONF15[[KDBRG]:[HRG_JLMT_CTN+PPN]],13,0),0)</f>
        <v>0</v>
      </c>
      <c r="M367">
        <f>IFERROR(VLOOKUP(Fix_Mapping[[#This Row],[KODE BARANG]],[1]!KINONF15[[KDBRG]:[HRG_JLMT_CTN+PPN]],14,0),0)</f>
        <v>0</v>
      </c>
      <c r="N367">
        <f>IFERROR(VLOOKUP(Fix_Mapping[[#This Row],[KODE BARANG]],[1]!KINONF15[[KDBRG]:[HRG_JLMT_CTN+PPN]],15,0),0)</f>
        <v>0</v>
      </c>
      <c r="O367">
        <f>IFERROR(VLOOKUP(Fix_Mapping[[#This Row],[KODE BARANG]],[1]!KINONF15[[KDBRG]:[HRG_JLMT_CTN+PPN]],16,0),0)</f>
        <v>0</v>
      </c>
      <c r="P367">
        <f>IFERROR(VLOOKUP(Fix_Mapping[[#This Row],[KODE BARANG]],[1]!KINONF15[[KDBRG]:[HRG_JLMT_CTN+PPN]],17,0),0)</f>
        <v>0</v>
      </c>
      <c r="Q367">
        <f>IFERROR(VLOOKUP(Fix_Mapping[[#This Row],[KODE BARANG]],[1]!KINONF15[[KDBRG]:[HRG_JLMT_CTN+PPN]],18,0),0)</f>
        <v>0</v>
      </c>
      <c r="R367" t="s">
        <v>2555</v>
      </c>
      <c r="S367" t="s">
        <v>643</v>
      </c>
      <c r="T367">
        <v>0</v>
      </c>
      <c r="U367">
        <v>0</v>
      </c>
      <c r="V367">
        <v>0</v>
      </c>
      <c r="W367">
        <v>0</v>
      </c>
    </row>
    <row r="368" spans="1:23">
      <c r="A368" t="s">
        <v>1698</v>
      </c>
      <c r="B368" t="s">
        <v>1699</v>
      </c>
      <c r="C368">
        <v>36</v>
      </c>
      <c r="D368">
        <f>IFERROR(VLOOKUP(Fix_Mapping[[#This Row],[KODE BARANG]],[1]!KINONF15[[KDBRG]:[HRG_JLMT_CTN+PPN]],5,0),0)</f>
        <v>0</v>
      </c>
      <c r="E368" t="s">
        <v>2212</v>
      </c>
      <c r="F368">
        <f>IFERROR(VLOOKUP(Fix_Mapping[[#This Row],[KODE BARANG]],[1]!KINONF15[[KDBRG]:[HRG_JLMT_CTN+PPN]],7,0),0)</f>
        <v>0</v>
      </c>
      <c r="G368">
        <f>IFERROR(VLOOKUP(Fix_Mapping[[#This Row],[KODE BARANG]],[1]!KINONF15[[KDBRG]:[HRG_JLMT_CTN+PPN]],8,0),0)</f>
        <v>0</v>
      </c>
      <c r="H368">
        <f>IFERROR(VLOOKUP(Fix_Mapping[[#This Row],[KODE BARANG]],[1]!KINONF15[[KDBRG]:[HRG_JLMT_CTN+PPN]],9,0),0)</f>
        <v>0</v>
      </c>
      <c r="I368">
        <f>IFERROR(VLOOKUP(Fix_Mapping[[#This Row],[KODE BARANG]],[1]!KINONF15[[KDBRG]:[HRG_JLMT_CTN+PPN]],10,0),0)</f>
        <v>0</v>
      </c>
      <c r="J368">
        <f>IFERROR(VLOOKUP(Fix_Mapping[[#This Row],[KODE BARANG]],[1]!KINONF15[[KDBRG]:[HRG_JLMT_CTN+PPN]],11,0),0)</f>
        <v>0</v>
      </c>
      <c r="K368">
        <f>IFERROR(VLOOKUP(Fix_Mapping[[#This Row],[KODE BARANG]],[1]!KINONF15[[KDBRG]:[HRG_JLMT_CTN+PPN]],12,0),0)</f>
        <v>0</v>
      </c>
      <c r="L368">
        <f>IFERROR(VLOOKUP(Fix_Mapping[[#This Row],[KODE BARANG]],[1]!KINONF15[[KDBRG]:[HRG_JLMT_CTN+PPN]],13,0),0)</f>
        <v>0</v>
      </c>
      <c r="M368">
        <f>IFERROR(VLOOKUP(Fix_Mapping[[#This Row],[KODE BARANG]],[1]!KINONF15[[KDBRG]:[HRG_JLMT_CTN+PPN]],14,0),0)</f>
        <v>0</v>
      </c>
      <c r="N368">
        <f>IFERROR(VLOOKUP(Fix_Mapping[[#This Row],[KODE BARANG]],[1]!KINONF15[[KDBRG]:[HRG_JLMT_CTN+PPN]],15,0),0)</f>
        <v>0</v>
      </c>
      <c r="O368">
        <f>IFERROR(VLOOKUP(Fix_Mapping[[#This Row],[KODE BARANG]],[1]!KINONF15[[KDBRG]:[HRG_JLMT_CTN+PPN]],16,0),0)</f>
        <v>0</v>
      </c>
      <c r="P368">
        <f>IFERROR(VLOOKUP(Fix_Mapping[[#This Row],[KODE BARANG]],[1]!KINONF15[[KDBRG]:[HRG_JLMT_CTN+PPN]],17,0),0)</f>
        <v>0</v>
      </c>
      <c r="Q368">
        <f>IFERROR(VLOOKUP(Fix_Mapping[[#This Row],[KODE BARANG]],[1]!KINONF15[[KDBRG]:[HRG_JLMT_CTN+PPN]],18,0),0)</f>
        <v>0</v>
      </c>
      <c r="R368" t="s">
        <v>2555</v>
      </c>
      <c r="S368" t="s">
        <v>637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1700</v>
      </c>
      <c r="B369" t="s">
        <v>1701</v>
      </c>
      <c r="C369">
        <v>36</v>
      </c>
      <c r="D369">
        <f>IFERROR(VLOOKUP(Fix_Mapping[[#This Row],[KODE BARANG]],[1]!KINONF15[[KDBRG]:[HRG_JLMT_CTN+PPN]],5,0),0)</f>
        <v>0</v>
      </c>
      <c r="E369" t="s">
        <v>2212</v>
      </c>
      <c r="F369">
        <f>IFERROR(VLOOKUP(Fix_Mapping[[#This Row],[KODE BARANG]],[1]!KINONF15[[KDBRG]:[HRG_JLMT_CTN+PPN]],7,0),0)</f>
        <v>0</v>
      </c>
      <c r="G369">
        <f>IFERROR(VLOOKUP(Fix_Mapping[[#This Row],[KODE BARANG]],[1]!KINONF15[[KDBRG]:[HRG_JLMT_CTN+PPN]],8,0),0)</f>
        <v>0</v>
      </c>
      <c r="H369">
        <f>IFERROR(VLOOKUP(Fix_Mapping[[#This Row],[KODE BARANG]],[1]!KINONF15[[KDBRG]:[HRG_JLMT_CTN+PPN]],9,0),0)</f>
        <v>0</v>
      </c>
      <c r="I369">
        <f>IFERROR(VLOOKUP(Fix_Mapping[[#This Row],[KODE BARANG]],[1]!KINONF15[[KDBRG]:[HRG_JLMT_CTN+PPN]],10,0),0)</f>
        <v>0</v>
      </c>
      <c r="J369">
        <f>IFERROR(VLOOKUP(Fix_Mapping[[#This Row],[KODE BARANG]],[1]!KINONF15[[KDBRG]:[HRG_JLMT_CTN+PPN]],11,0),0)</f>
        <v>0</v>
      </c>
      <c r="K369">
        <f>IFERROR(VLOOKUP(Fix_Mapping[[#This Row],[KODE BARANG]],[1]!KINONF15[[KDBRG]:[HRG_JLMT_CTN+PPN]],12,0),0)</f>
        <v>0</v>
      </c>
      <c r="L369">
        <f>IFERROR(VLOOKUP(Fix_Mapping[[#This Row],[KODE BARANG]],[1]!KINONF15[[KDBRG]:[HRG_JLMT_CTN+PPN]],13,0),0)</f>
        <v>0</v>
      </c>
      <c r="M369">
        <f>IFERROR(VLOOKUP(Fix_Mapping[[#This Row],[KODE BARANG]],[1]!KINONF15[[KDBRG]:[HRG_JLMT_CTN+PPN]],14,0),0)</f>
        <v>0</v>
      </c>
      <c r="N369">
        <f>IFERROR(VLOOKUP(Fix_Mapping[[#This Row],[KODE BARANG]],[1]!KINONF15[[KDBRG]:[HRG_JLMT_CTN+PPN]],15,0),0)</f>
        <v>0</v>
      </c>
      <c r="O369">
        <f>IFERROR(VLOOKUP(Fix_Mapping[[#This Row],[KODE BARANG]],[1]!KINONF15[[KDBRG]:[HRG_JLMT_CTN+PPN]],16,0),0)</f>
        <v>0</v>
      </c>
      <c r="P369">
        <f>IFERROR(VLOOKUP(Fix_Mapping[[#This Row],[KODE BARANG]],[1]!KINONF15[[KDBRG]:[HRG_JLMT_CTN+PPN]],17,0),0)</f>
        <v>0</v>
      </c>
      <c r="Q369">
        <f>IFERROR(VLOOKUP(Fix_Mapping[[#This Row],[KODE BARANG]],[1]!KINONF15[[KDBRG]:[HRG_JLMT_CTN+PPN]],18,0),0)</f>
        <v>0</v>
      </c>
      <c r="R369" t="s">
        <v>2555</v>
      </c>
      <c r="S369" t="s">
        <v>638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1702</v>
      </c>
      <c r="B370" t="s">
        <v>1703</v>
      </c>
      <c r="C370">
        <v>48</v>
      </c>
      <c r="D370">
        <f>IFERROR(VLOOKUP(Fix_Mapping[[#This Row],[KODE BARANG]],[1]!KINONF15[[KDBRG]:[HRG_JLMT_CTN+PPN]],5,0),0)</f>
        <v>0</v>
      </c>
      <c r="E370" t="s">
        <v>2214</v>
      </c>
      <c r="F370">
        <f>IFERROR(VLOOKUP(Fix_Mapping[[#This Row],[KODE BARANG]],[1]!KINONF15[[KDBRG]:[HRG_JLMT_CTN+PPN]],7,0),0)</f>
        <v>0</v>
      </c>
      <c r="G370">
        <f>IFERROR(VLOOKUP(Fix_Mapping[[#This Row],[KODE BARANG]],[1]!KINONF15[[KDBRG]:[HRG_JLMT_CTN+PPN]],8,0),0)</f>
        <v>0</v>
      </c>
      <c r="H370">
        <f>IFERROR(VLOOKUP(Fix_Mapping[[#This Row],[KODE BARANG]],[1]!KINONF15[[KDBRG]:[HRG_JLMT_CTN+PPN]],9,0),0)</f>
        <v>0</v>
      </c>
      <c r="I370">
        <f>IFERROR(VLOOKUP(Fix_Mapping[[#This Row],[KODE BARANG]],[1]!KINONF15[[KDBRG]:[HRG_JLMT_CTN+PPN]],10,0),0)</f>
        <v>0</v>
      </c>
      <c r="J370">
        <f>IFERROR(VLOOKUP(Fix_Mapping[[#This Row],[KODE BARANG]],[1]!KINONF15[[KDBRG]:[HRG_JLMT_CTN+PPN]],11,0),0)</f>
        <v>0</v>
      </c>
      <c r="K370">
        <f>IFERROR(VLOOKUP(Fix_Mapping[[#This Row],[KODE BARANG]],[1]!KINONF15[[KDBRG]:[HRG_JLMT_CTN+PPN]],12,0),0)</f>
        <v>0</v>
      </c>
      <c r="L370">
        <f>IFERROR(VLOOKUP(Fix_Mapping[[#This Row],[KODE BARANG]],[1]!KINONF15[[KDBRG]:[HRG_JLMT_CTN+PPN]],13,0),0)</f>
        <v>0</v>
      </c>
      <c r="M370">
        <f>IFERROR(VLOOKUP(Fix_Mapping[[#This Row],[KODE BARANG]],[1]!KINONF15[[KDBRG]:[HRG_JLMT_CTN+PPN]],14,0),0)</f>
        <v>0</v>
      </c>
      <c r="N370">
        <f>IFERROR(VLOOKUP(Fix_Mapping[[#This Row],[KODE BARANG]],[1]!KINONF15[[KDBRG]:[HRG_JLMT_CTN+PPN]],15,0),0)</f>
        <v>0</v>
      </c>
      <c r="O370">
        <f>IFERROR(VLOOKUP(Fix_Mapping[[#This Row],[KODE BARANG]],[1]!KINONF15[[KDBRG]:[HRG_JLMT_CTN+PPN]],16,0),0)</f>
        <v>0</v>
      </c>
      <c r="P370">
        <f>IFERROR(VLOOKUP(Fix_Mapping[[#This Row],[KODE BARANG]],[1]!KINONF15[[KDBRG]:[HRG_JLMT_CTN+PPN]],17,0),0)</f>
        <v>0</v>
      </c>
      <c r="Q370">
        <f>IFERROR(VLOOKUP(Fix_Mapping[[#This Row],[KODE BARANG]],[1]!KINONF15[[KDBRG]:[HRG_JLMT_CTN+PPN]],18,0),0)</f>
        <v>0</v>
      </c>
      <c r="R370" t="s">
        <v>2555</v>
      </c>
      <c r="S370" t="s">
        <v>665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1704</v>
      </c>
      <c r="B371" t="s">
        <v>1705</v>
      </c>
      <c r="C371">
        <v>48</v>
      </c>
      <c r="D371">
        <f>IFERROR(VLOOKUP(Fix_Mapping[[#This Row],[KODE BARANG]],[1]!KINONF15[[KDBRG]:[HRG_JLMT_CTN+PPN]],5,0),0)</f>
        <v>0</v>
      </c>
      <c r="E371" t="s">
        <v>2214</v>
      </c>
      <c r="F371">
        <f>IFERROR(VLOOKUP(Fix_Mapping[[#This Row],[KODE BARANG]],[1]!KINONF15[[KDBRG]:[HRG_JLMT_CTN+PPN]],7,0),0)</f>
        <v>0</v>
      </c>
      <c r="G371">
        <f>IFERROR(VLOOKUP(Fix_Mapping[[#This Row],[KODE BARANG]],[1]!KINONF15[[KDBRG]:[HRG_JLMT_CTN+PPN]],8,0),0)</f>
        <v>0</v>
      </c>
      <c r="H371">
        <f>IFERROR(VLOOKUP(Fix_Mapping[[#This Row],[KODE BARANG]],[1]!KINONF15[[KDBRG]:[HRG_JLMT_CTN+PPN]],9,0),0)</f>
        <v>0</v>
      </c>
      <c r="I371">
        <f>IFERROR(VLOOKUP(Fix_Mapping[[#This Row],[KODE BARANG]],[1]!KINONF15[[KDBRG]:[HRG_JLMT_CTN+PPN]],10,0),0)</f>
        <v>0</v>
      </c>
      <c r="J371">
        <f>IFERROR(VLOOKUP(Fix_Mapping[[#This Row],[KODE BARANG]],[1]!KINONF15[[KDBRG]:[HRG_JLMT_CTN+PPN]],11,0),0)</f>
        <v>0</v>
      </c>
      <c r="K371">
        <f>IFERROR(VLOOKUP(Fix_Mapping[[#This Row],[KODE BARANG]],[1]!KINONF15[[KDBRG]:[HRG_JLMT_CTN+PPN]],12,0),0)</f>
        <v>0</v>
      </c>
      <c r="L371">
        <f>IFERROR(VLOOKUP(Fix_Mapping[[#This Row],[KODE BARANG]],[1]!KINONF15[[KDBRG]:[HRG_JLMT_CTN+PPN]],13,0),0)</f>
        <v>0</v>
      </c>
      <c r="M371">
        <f>IFERROR(VLOOKUP(Fix_Mapping[[#This Row],[KODE BARANG]],[1]!KINONF15[[KDBRG]:[HRG_JLMT_CTN+PPN]],14,0),0)</f>
        <v>0</v>
      </c>
      <c r="N371">
        <f>IFERROR(VLOOKUP(Fix_Mapping[[#This Row],[KODE BARANG]],[1]!KINONF15[[KDBRG]:[HRG_JLMT_CTN+PPN]],15,0),0)</f>
        <v>0</v>
      </c>
      <c r="O371">
        <f>IFERROR(VLOOKUP(Fix_Mapping[[#This Row],[KODE BARANG]],[1]!KINONF15[[KDBRG]:[HRG_JLMT_CTN+PPN]],16,0),0)</f>
        <v>0</v>
      </c>
      <c r="P371">
        <f>IFERROR(VLOOKUP(Fix_Mapping[[#This Row],[KODE BARANG]],[1]!KINONF15[[KDBRG]:[HRG_JLMT_CTN+PPN]],17,0),0)</f>
        <v>0</v>
      </c>
      <c r="Q371">
        <f>IFERROR(VLOOKUP(Fix_Mapping[[#This Row],[KODE BARANG]],[1]!KINONF15[[KDBRG]:[HRG_JLMT_CTN+PPN]],18,0),0)</f>
        <v>0</v>
      </c>
      <c r="R371" t="s">
        <v>2555</v>
      </c>
      <c r="S371" t="s">
        <v>666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1706</v>
      </c>
      <c r="B372" t="s">
        <v>1707</v>
      </c>
      <c r="C372">
        <v>48</v>
      </c>
      <c r="D372">
        <f>IFERROR(VLOOKUP(Fix_Mapping[[#This Row],[KODE BARANG]],[1]!KINONF15[[KDBRG]:[HRG_JLMT_CTN+PPN]],5,0),0)</f>
        <v>0</v>
      </c>
      <c r="E372" t="s">
        <v>2214</v>
      </c>
      <c r="F372">
        <f>IFERROR(VLOOKUP(Fix_Mapping[[#This Row],[KODE BARANG]],[1]!KINONF15[[KDBRG]:[HRG_JLMT_CTN+PPN]],7,0),0)</f>
        <v>0</v>
      </c>
      <c r="G372">
        <f>IFERROR(VLOOKUP(Fix_Mapping[[#This Row],[KODE BARANG]],[1]!KINONF15[[KDBRG]:[HRG_JLMT_CTN+PPN]],8,0),0)</f>
        <v>0</v>
      </c>
      <c r="H372">
        <f>IFERROR(VLOOKUP(Fix_Mapping[[#This Row],[KODE BARANG]],[1]!KINONF15[[KDBRG]:[HRG_JLMT_CTN+PPN]],9,0),0)</f>
        <v>0</v>
      </c>
      <c r="I372">
        <f>IFERROR(VLOOKUP(Fix_Mapping[[#This Row],[KODE BARANG]],[1]!KINONF15[[KDBRG]:[HRG_JLMT_CTN+PPN]],10,0),0)</f>
        <v>0</v>
      </c>
      <c r="J372">
        <f>IFERROR(VLOOKUP(Fix_Mapping[[#This Row],[KODE BARANG]],[1]!KINONF15[[KDBRG]:[HRG_JLMT_CTN+PPN]],11,0),0)</f>
        <v>0</v>
      </c>
      <c r="K372">
        <f>IFERROR(VLOOKUP(Fix_Mapping[[#This Row],[KODE BARANG]],[1]!KINONF15[[KDBRG]:[HRG_JLMT_CTN+PPN]],12,0),0)</f>
        <v>0</v>
      </c>
      <c r="L372">
        <f>IFERROR(VLOOKUP(Fix_Mapping[[#This Row],[KODE BARANG]],[1]!KINONF15[[KDBRG]:[HRG_JLMT_CTN+PPN]],13,0),0)</f>
        <v>0</v>
      </c>
      <c r="M372">
        <f>IFERROR(VLOOKUP(Fix_Mapping[[#This Row],[KODE BARANG]],[1]!KINONF15[[KDBRG]:[HRG_JLMT_CTN+PPN]],14,0),0)</f>
        <v>0</v>
      </c>
      <c r="N372">
        <f>IFERROR(VLOOKUP(Fix_Mapping[[#This Row],[KODE BARANG]],[1]!KINONF15[[KDBRG]:[HRG_JLMT_CTN+PPN]],15,0),0)</f>
        <v>0</v>
      </c>
      <c r="O372">
        <f>IFERROR(VLOOKUP(Fix_Mapping[[#This Row],[KODE BARANG]],[1]!KINONF15[[KDBRG]:[HRG_JLMT_CTN+PPN]],16,0),0)</f>
        <v>0</v>
      </c>
      <c r="P372">
        <f>IFERROR(VLOOKUP(Fix_Mapping[[#This Row],[KODE BARANG]],[1]!KINONF15[[KDBRG]:[HRG_JLMT_CTN+PPN]],17,0),0)</f>
        <v>0</v>
      </c>
      <c r="Q372">
        <f>IFERROR(VLOOKUP(Fix_Mapping[[#This Row],[KODE BARANG]],[1]!KINONF15[[KDBRG]:[HRG_JLMT_CTN+PPN]],18,0),0)</f>
        <v>0</v>
      </c>
      <c r="R372" t="s">
        <v>2555</v>
      </c>
      <c r="S372" t="s">
        <v>667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1708</v>
      </c>
      <c r="B373" t="s">
        <v>1709</v>
      </c>
      <c r="C373">
        <v>48</v>
      </c>
      <c r="D373">
        <f>IFERROR(VLOOKUP(Fix_Mapping[[#This Row],[KODE BARANG]],[1]!KINONF15[[KDBRG]:[HRG_JLMT_CTN+PPN]],5,0),0)</f>
        <v>0</v>
      </c>
      <c r="E373" t="s">
        <v>2216</v>
      </c>
      <c r="F373">
        <f>IFERROR(VLOOKUP(Fix_Mapping[[#This Row],[KODE BARANG]],[1]!KINONF15[[KDBRG]:[HRG_JLMT_CTN+PPN]],7,0),0)</f>
        <v>0</v>
      </c>
      <c r="G373">
        <f>IFERROR(VLOOKUP(Fix_Mapping[[#This Row],[KODE BARANG]],[1]!KINONF15[[KDBRG]:[HRG_JLMT_CTN+PPN]],8,0),0)</f>
        <v>0</v>
      </c>
      <c r="H373">
        <f>IFERROR(VLOOKUP(Fix_Mapping[[#This Row],[KODE BARANG]],[1]!KINONF15[[KDBRG]:[HRG_JLMT_CTN+PPN]],9,0),0)</f>
        <v>0</v>
      </c>
      <c r="I373">
        <f>IFERROR(VLOOKUP(Fix_Mapping[[#This Row],[KODE BARANG]],[1]!KINONF15[[KDBRG]:[HRG_JLMT_CTN+PPN]],10,0),0)</f>
        <v>0</v>
      </c>
      <c r="J373">
        <f>IFERROR(VLOOKUP(Fix_Mapping[[#This Row],[KODE BARANG]],[1]!KINONF15[[KDBRG]:[HRG_JLMT_CTN+PPN]],11,0),0)</f>
        <v>0</v>
      </c>
      <c r="K373">
        <f>IFERROR(VLOOKUP(Fix_Mapping[[#This Row],[KODE BARANG]],[1]!KINONF15[[KDBRG]:[HRG_JLMT_CTN+PPN]],12,0),0)</f>
        <v>0</v>
      </c>
      <c r="L373">
        <f>IFERROR(VLOOKUP(Fix_Mapping[[#This Row],[KODE BARANG]],[1]!KINONF15[[KDBRG]:[HRG_JLMT_CTN+PPN]],13,0),0)</f>
        <v>0</v>
      </c>
      <c r="M373">
        <f>IFERROR(VLOOKUP(Fix_Mapping[[#This Row],[KODE BARANG]],[1]!KINONF15[[KDBRG]:[HRG_JLMT_CTN+PPN]],14,0),0)</f>
        <v>0</v>
      </c>
      <c r="N373">
        <f>IFERROR(VLOOKUP(Fix_Mapping[[#This Row],[KODE BARANG]],[1]!KINONF15[[KDBRG]:[HRG_JLMT_CTN+PPN]],15,0),0)</f>
        <v>0</v>
      </c>
      <c r="O373">
        <f>IFERROR(VLOOKUP(Fix_Mapping[[#This Row],[KODE BARANG]],[1]!KINONF15[[KDBRG]:[HRG_JLMT_CTN+PPN]],16,0),0)</f>
        <v>0</v>
      </c>
      <c r="P373">
        <f>IFERROR(VLOOKUP(Fix_Mapping[[#This Row],[KODE BARANG]],[1]!KINONF15[[KDBRG]:[HRG_JLMT_CTN+PPN]],17,0),0)</f>
        <v>0</v>
      </c>
      <c r="Q373">
        <f>IFERROR(VLOOKUP(Fix_Mapping[[#This Row],[KODE BARANG]],[1]!KINONF15[[KDBRG]:[HRG_JLMT_CTN+PPN]],18,0),0)</f>
        <v>0</v>
      </c>
      <c r="R373" t="s">
        <v>2555</v>
      </c>
      <c r="S373" t="s">
        <v>654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1710</v>
      </c>
      <c r="B374" t="s">
        <v>1711</v>
      </c>
      <c r="C374">
        <v>48</v>
      </c>
      <c r="D374">
        <f>IFERROR(VLOOKUP(Fix_Mapping[[#This Row],[KODE BARANG]],[1]!KINONF15[[KDBRG]:[HRG_JLMT_CTN+PPN]],5,0),0)</f>
        <v>0</v>
      </c>
      <c r="E374" t="s">
        <v>2216</v>
      </c>
      <c r="F374">
        <f>IFERROR(VLOOKUP(Fix_Mapping[[#This Row],[KODE BARANG]],[1]!KINONF15[[KDBRG]:[HRG_JLMT_CTN+PPN]],7,0),0)</f>
        <v>0</v>
      </c>
      <c r="G374">
        <f>IFERROR(VLOOKUP(Fix_Mapping[[#This Row],[KODE BARANG]],[1]!KINONF15[[KDBRG]:[HRG_JLMT_CTN+PPN]],8,0),0)</f>
        <v>0</v>
      </c>
      <c r="H374">
        <f>IFERROR(VLOOKUP(Fix_Mapping[[#This Row],[KODE BARANG]],[1]!KINONF15[[KDBRG]:[HRG_JLMT_CTN+PPN]],9,0),0)</f>
        <v>0</v>
      </c>
      <c r="I374">
        <f>IFERROR(VLOOKUP(Fix_Mapping[[#This Row],[KODE BARANG]],[1]!KINONF15[[KDBRG]:[HRG_JLMT_CTN+PPN]],10,0),0)</f>
        <v>0</v>
      </c>
      <c r="J374">
        <f>IFERROR(VLOOKUP(Fix_Mapping[[#This Row],[KODE BARANG]],[1]!KINONF15[[KDBRG]:[HRG_JLMT_CTN+PPN]],11,0),0)</f>
        <v>0</v>
      </c>
      <c r="K374">
        <f>IFERROR(VLOOKUP(Fix_Mapping[[#This Row],[KODE BARANG]],[1]!KINONF15[[KDBRG]:[HRG_JLMT_CTN+PPN]],12,0),0)</f>
        <v>0</v>
      </c>
      <c r="L374">
        <f>IFERROR(VLOOKUP(Fix_Mapping[[#This Row],[KODE BARANG]],[1]!KINONF15[[KDBRG]:[HRG_JLMT_CTN+PPN]],13,0),0)</f>
        <v>0</v>
      </c>
      <c r="M374">
        <f>IFERROR(VLOOKUP(Fix_Mapping[[#This Row],[KODE BARANG]],[1]!KINONF15[[KDBRG]:[HRG_JLMT_CTN+PPN]],14,0),0)</f>
        <v>0</v>
      </c>
      <c r="N374">
        <f>IFERROR(VLOOKUP(Fix_Mapping[[#This Row],[KODE BARANG]],[1]!KINONF15[[KDBRG]:[HRG_JLMT_CTN+PPN]],15,0),0)</f>
        <v>0</v>
      </c>
      <c r="O374">
        <f>IFERROR(VLOOKUP(Fix_Mapping[[#This Row],[KODE BARANG]],[1]!KINONF15[[KDBRG]:[HRG_JLMT_CTN+PPN]],16,0),0)</f>
        <v>0</v>
      </c>
      <c r="P374">
        <f>IFERROR(VLOOKUP(Fix_Mapping[[#This Row],[KODE BARANG]],[1]!KINONF15[[KDBRG]:[HRG_JLMT_CTN+PPN]],17,0),0)</f>
        <v>0</v>
      </c>
      <c r="Q374">
        <f>IFERROR(VLOOKUP(Fix_Mapping[[#This Row],[KODE BARANG]],[1]!KINONF15[[KDBRG]:[HRG_JLMT_CTN+PPN]],18,0),0)</f>
        <v>0</v>
      </c>
      <c r="R374" t="s">
        <v>2555</v>
      </c>
      <c r="S374" t="s">
        <v>657</v>
      </c>
      <c r="T374" t="s">
        <v>658</v>
      </c>
      <c r="U374">
        <v>0</v>
      </c>
      <c r="V374">
        <v>0</v>
      </c>
      <c r="W374">
        <v>0</v>
      </c>
    </row>
    <row r="375" spans="1:23">
      <c r="A375" t="s">
        <v>1712</v>
      </c>
      <c r="B375" t="s">
        <v>1713</v>
      </c>
      <c r="C375">
        <v>48</v>
      </c>
      <c r="D375">
        <f>IFERROR(VLOOKUP(Fix_Mapping[[#This Row],[KODE BARANG]],[1]!KINONF15[[KDBRG]:[HRG_JLMT_CTN+PPN]],5,0),0)</f>
        <v>0</v>
      </c>
      <c r="E375" t="s">
        <v>2216</v>
      </c>
      <c r="F375">
        <f>IFERROR(VLOOKUP(Fix_Mapping[[#This Row],[KODE BARANG]],[1]!KINONF15[[KDBRG]:[HRG_JLMT_CTN+PPN]],7,0),0)</f>
        <v>0</v>
      </c>
      <c r="G375">
        <f>IFERROR(VLOOKUP(Fix_Mapping[[#This Row],[KODE BARANG]],[1]!KINONF15[[KDBRG]:[HRG_JLMT_CTN+PPN]],8,0),0)</f>
        <v>0</v>
      </c>
      <c r="H375">
        <f>IFERROR(VLOOKUP(Fix_Mapping[[#This Row],[KODE BARANG]],[1]!KINONF15[[KDBRG]:[HRG_JLMT_CTN+PPN]],9,0),0)</f>
        <v>0</v>
      </c>
      <c r="I375">
        <f>IFERROR(VLOOKUP(Fix_Mapping[[#This Row],[KODE BARANG]],[1]!KINONF15[[KDBRG]:[HRG_JLMT_CTN+PPN]],10,0),0)</f>
        <v>0</v>
      </c>
      <c r="J375">
        <f>IFERROR(VLOOKUP(Fix_Mapping[[#This Row],[KODE BARANG]],[1]!KINONF15[[KDBRG]:[HRG_JLMT_CTN+PPN]],11,0),0)</f>
        <v>0</v>
      </c>
      <c r="K375">
        <f>IFERROR(VLOOKUP(Fix_Mapping[[#This Row],[KODE BARANG]],[1]!KINONF15[[KDBRG]:[HRG_JLMT_CTN+PPN]],12,0),0)</f>
        <v>0</v>
      </c>
      <c r="L375">
        <f>IFERROR(VLOOKUP(Fix_Mapping[[#This Row],[KODE BARANG]],[1]!KINONF15[[KDBRG]:[HRG_JLMT_CTN+PPN]],13,0),0)</f>
        <v>0</v>
      </c>
      <c r="M375">
        <f>IFERROR(VLOOKUP(Fix_Mapping[[#This Row],[KODE BARANG]],[1]!KINONF15[[KDBRG]:[HRG_JLMT_CTN+PPN]],14,0),0)</f>
        <v>0</v>
      </c>
      <c r="N375">
        <f>IFERROR(VLOOKUP(Fix_Mapping[[#This Row],[KODE BARANG]],[1]!KINONF15[[KDBRG]:[HRG_JLMT_CTN+PPN]],15,0),0)</f>
        <v>0</v>
      </c>
      <c r="O375">
        <f>IFERROR(VLOOKUP(Fix_Mapping[[#This Row],[KODE BARANG]],[1]!KINONF15[[KDBRG]:[HRG_JLMT_CTN+PPN]],16,0),0)</f>
        <v>0</v>
      </c>
      <c r="P375">
        <f>IFERROR(VLOOKUP(Fix_Mapping[[#This Row],[KODE BARANG]],[1]!KINONF15[[KDBRG]:[HRG_JLMT_CTN+PPN]],17,0),0)</f>
        <v>0</v>
      </c>
      <c r="Q375">
        <f>IFERROR(VLOOKUP(Fix_Mapping[[#This Row],[KODE BARANG]],[1]!KINONF15[[KDBRG]:[HRG_JLMT_CTN+PPN]],18,0),0)</f>
        <v>0</v>
      </c>
      <c r="R375" t="s">
        <v>2555</v>
      </c>
      <c r="S375" t="s">
        <v>660</v>
      </c>
      <c r="T375" t="s">
        <v>659</v>
      </c>
      <c r="U375">
        <v>0</v>
      </c>
      <c r="V375">
        <v>0</v>
      </c>
      <c r="W375">
        <v>0</v>
      </c>
    </row>
    <row r="376" spans="1:23">
      <c r="A376" t="s">
        <v>1714</v>
      </c>
      <c r="B376" t="s">
        <v>1715</v>
      </c>
      <c r="C376">
        <v>48</v>
      </c>
      <c r="D376">
        <f>IFERROR(VLOOKUP(Fix_Mapping[[#This Row],[KODE BARANG]],[1]!KINONF15[[KDBRG]:[HRG_JLMT_CTN+PPN]],5,0),0)</f>
        <v>0</v>
      </c>
      <c r="E376" t="s">
        <v>2216</v>
      </c>
      <c r="F376">
        <f>IFERROR(VLOOKUP(Fix_Mapping[[#This Row],[KODE BARANG]],[1]!KINONF15[[KDBRG]:[HRG_JLMT_CTN+PPN]],7,0),0)</f>
        <v>0</v>
      </c>
      <c r="G376">
        <f>IFERROR(VLOOKUP(Fix_Mapping[[#This Row],[KODE BARANG]],[1]!KINONF15[[KDBRG]:[HRG_JLMT_CTN+PPN]],8,0),0)</f>
        <v>0</v>
      </c>
      <c r="H376">
        <f>IFERROR(VLOOKUP(Fix_Mapping[[#This Row],[KODE BARANG]],[1]!KINONF15[[KDBRG]:[HRG_JLMT_CTN+PPN]],9,0),0)</f>
        <v>0</v>
      </c>
      <c r="I376">
        <f>IFERROR(VLOOKUP(Fix_Mapping[[#This Row],[KODE BARANG]],[1]!KINONF15[[KDBRG]:[HRG_JLMT_CTN+PPN]],10,0),0)</f>
        <v>0</v>
      </c>
      <c r="J376">
        <f>IFERROR(VLOOKUP(Fix_Mapping[[#This Row],[KODE BARANG]],[1]!KINONF15[[KDBRG]:[HRG_JLMT_CTN+PPN]],11,0),0)</f>
        <v>0</v>
      </c>
      <c r="K376">
        <f>IFERROR(VLOOKUP(Fix_Mapping[[#This Row],[KODE BARANG]],[1]!KINONF15[[KDBRG]:[HRG_JLMT_CTN+PPN]],12,0),0)</f>
        <v>0</v>
      </c>
      <c r="L376">
        <f>IFERROR(VLOOKUP(Fix_Mapping[[#This Row],[KODE BARANG]],[1]!KINONF15[[KDBRG]:[HRG_JLMT_CTN+PPN]],13,0),0)</f>
        <v>0</v>
      </c>
      <c r="M376">
        <f>IFERROR(VLOOKUP(Fix_Mapping[[#This Row],[KODE BARANG]],[1]!KINONF15[[KDBRG]:[HRG_JLMT_CTN+PPN]],14,0),0)</f>
        <v>0</v>
      </c>
      <c r="N376">
        <f>IFERROR(VLOOKUP(Fix_Mapping[[#This Row],[KODE BARANG]],[1]!KINONF15[[KDBRG]:[HRG_JLMT_CTN+PPN]],15,0),0)</f>
        <v>0</v>
      </c>
      <c r="O376">
        <f>IFERROR(VLOOKUP(Fix_Mapping[[#This Row],[KODE BARANG]],[1]!KINONF15[[KDBRG]:[HRG_JLMT_CTN+PPN]],16,0),0)</f>
        <v>0</v>
      </c>
      <c r="P376">
        <f>IFERROR(VLOOKUP(Fix_Mapping[[#This Row],[KODE BARANG]],[1]!KINONF15[[KDBRG]:[HRG_JLMT_CTN+PPN]],17,0),0)</f>
        <v>0</v>
      </c>
      <c r="Q376">
        <f>IFERROR(VLOOKUP(Fix_Mapping[[#This Row],[KODE BARANG]],[1]!KINONF15[[KDBRG]:[HRG_JLMT_CTN+PPN]],18,0),0)</f>
        <v>0</v>
      </c>
      <c r="R376" t="s">
        <v>2555</v>
      </c>
      <c r="S376" t="s">
        <v>655</v>
      </c>
      <c r="T376">
        <v>0</v>
      </c>
      <c r="U376">
        <v>0</v>
      </c>
      <c r="V376">
        <v>0</v>
      </c>
      <c r="W376">
        <v>0</v>
      </c>
    </row>
    <row r="377" spans="1:23">
      <c r="A377" t="s">
        <v>1716</v>
      </c>
      <c r="B377" t="s">
        <v>1717</v>
      </c>
      <c r="C377">
        <v>48</v>
      </c>
      <c r="D377">
        <f>IFERROR(VLOOKUP(Fix_Mapping[[#This Row],[KODE BARANG]],[1]!KINONF15[[KDBRG]:[HRG_JLMT_CTN+PPN]],5,0),0)</f>
        <v>0</v>
      </c>
      <c r="E377" t="s">
        <v>2216</v>
      </c>
      <c r="F377">
        <f>IFERROR(VLOOKUP(Fix_Mapping[[#This Row],[KODE BARANG]],[1]!KINONF15[[KDBRG]:[HRG_JLMT_CTN+PPN]],7,0),0)</f>
        <v>0</v>
      </c>
      <c r="G377">
        <f>IFERROR(VLOOKUP(Fix_Mapping[[#This Row],[KODE BARANG]],[1]!KINONF15[[KDBRG]:[HRG_JLMT_CTN+PPN]],8,0),0)</f>
        <v>0</v>
      </c>
      <c r="H377">
        <f>IFERROR(VLOOKUP(Fix_Mapping[[#This Row],[KODE BARANG]],[1]!KINONF15[[KDBRG]:[HRG_JLMT_CTN+PPN]],9,0),0)</f>
        <v>0</v>
      </c>
      <c r="I377">
        <f>IFERROR(VLOOKUP(Fix_Mapping[[#This Row],[KODE BARANG]],[1]!KINONF15[[KDBRG]:[HRG_JLMT_CTN+PPN]],10,0),0)</f>
        <v>0</v>
      </c>
      <c r="J377">
        <f>IFERROR(VLOOKUP(Fix_Mapping[[#This Row],[KODE BARANG]],[1]!KINONF15[[KDBRG]:[HRG_JLMT_CTN+PPN]],11,0),0)</f>
        <v>0</v>
      </c>
      <c r="K377">
        <f>IFERROR(VLOOKUP(Fix_Mapping[[#This Row],[KODE BARANG]],[1]!KINONF15[[KDBRG]:[HRG_JLMT_CTN+PPN]],12,0),0)</f>
        <v>0</v>
      </c>
      <c r="L377">
        <f>IFERROR(VLOOKUP(Fix_Mapping[[#This Row],[KODE BARANG]],[1]!KINONF15[[KDBRG]:[HRG_JLMT_CTN+PPN]],13,0),0)</f>
        <v>0</v>
      </c>
      <c r="M377">
        <f>IFERROR(VLOOKUP(Fix_Mapping[[#This Row],[KODE BARANG]],[1]!KINONF15[[KDBRG]:[HRG_JLMT_CTN+PPN]],14,0),0)</f>
        <v>0</v>
      </c>
      <c r="N377">
        <f>IFERROR(VLOOKUP(Fix_Mapping[[#This Row],[KODE BARANG]],[1]!KINONF15[[KDBRG]:[HRG_JLMT_CTN+PPN]],15,0),0)</f>
        <v>0</v>
      </c>
      <c r="O377">
        <f>IFERROR(VLOOKUP(Fix_Mapping[[#This Row],[KODE BARANG]],[1]!KINONF15[[KDBRG]:[HRG_JLMT_CTN+PPN]],16,0),0)</f>
        <v>0</v>
      </c>
      <c r="P377">
        <f>IFERROR(VLOOKUP(Fix_Mapping[[#This Row],[KODE BARANG]],[1]!KINONF15[[KDBRG]:[HRG_JLMT_CTN+PPN]],17,0),0)</f>
        <v>0</v>
      </c>
      <c r="Q377">
        <f>IFERROR(VLOOKUP(Fix_Mapping[[#This Row],[KODE BARANG]],[1]!KINONF15[[KDBRG]:[HRG_JLMT_CTN+PPN]],18,0),0)</f>
        <v>0</v>
      </c>
      <c r="R377" t="s">
        <v>2555</v>
      </c>
      <c r="S377" t="s">
        <v>656</v>
      </c>
      <c r="T377">
        <v>0</v>
      </c>
      <c r="U377">
        <v>0</v>
      </c>
      <c r="V377">
        <v>0</v>
      </c>
      <c r="W377">
        <v>0</v>
      </c>
    </row>
    <row r="378" spans="1:23">
      <c r="A378" t="s">
        <v>1718</v>
      </c>
      <c r="B378" t="s">
        <v>1719</v>
      </c>
      <c r="C378">
        <v>24</v>
      </c>
      <c r="D378">
        <f>IFERROR(VLOOKUP(Fix_Mapping[[#This Row],[KODE BARANG]],[1]!KINONF15[[KDBRG]:[HRG_JLMT_CTN+PPN]],5,0),0)</f>
        <v>0</v>
      </c>
      <c r="E378" t="s">
        <v>2194</v>
      </c>
      <c r="F378">
        <f>IFERROR(VLOOKUP(Fix_Mapping[[#This Row],[KODE BARANG]],[1]!KINONF15[[KDBRG]:[HRG_JLMT_CTN+PPN]],7,0),0)</f>
        <v>0</v>
      </c>
      <c r="G378">
        <f>IFERROR(VLOOKUP(Fix_Mapping[[#This Row],[KODE BARANG]],[1]!KINONF15[[KDBRG]:[HRG_JLMT_CTN+PPN]],8,0),0)</f>
        <v>0</v>
      </c>
      <c r="H378">
        <f>IFERROR(VLOOKUP(Fix_Mapping[[#This Row],[KODE BARANG]],[1]!KINONF15[[KDBRG]:[HRG_JLMT_CTN+PPN]],9,0),0)</f>
        <v>0</v>
      </c>
      <c r="I378">
        <f>IFERROR(VLOOKUP(Fix_Mapping[[#This Row],[KODE BARANG]],[1]!KINONF15[[KDBRG]:[HRG_JLMT_CTN+PPN]],10,0),0)</f>
        <v>0</v>
      </c>
      <c r="J378">
        <f>IFERROR(VLOOKUP(Fix_Mapping[[#This Row],[KODE BARANG]],[1]!KINONF15[[KDBRG]:[HRG_JLMT_CTN+PPN]],11,0),0)</f>
        <v>0</v>
      </c>
      <c r="K378">
        <f>IFERROR(VLOOKUP(Fix_Mapping[[#This Row],[KODE BARANG]],[1]!KINONF15[[KDBRG]:[HRG_JLMT_CTN+PPN]],12,0),0)</f>
        <v>0</v>
      </c>
      <c r="L378">
        <f>IFERROR(VLOOKUP(Fix_Mapping[[#This Row],[KODE BARANG]],[1]!KINONF15[[KDBRG]:[HRG_JLMT_CTN+PPN]],13,0),0)</f>
        <v>0</v>
      </c>
      <c r="M378">
        <f>IFERROR(VLOOKUP(Fix_Mapping[[#This Row],[KODE BARANG]],[1]!KINONF15[[KDBRG]:[HRG_JLMT_CTN+PPN]],14,0),0)</f>
        <v>0</v>
      </c>
      <c r="N378">
        <f>IFERROR(VLOOKUP(Fix_Mapping[[#This Row],[KODE BARANG]],[1]!KINONF15[[KDBRG]:[HRG_JLMT_CTN+PPN]],15,0),0)</f>
        <v>0</v>
      </c>
      <c r="O378">
        <f>IFERROR(VLOOKUP(Fix_Mapping[[#This Row],[KODE BARANG]],[1]!KINONF15[[KDBRG]:[HRG_JLMT_CTN+PPN]],16,0),0)</f>
        <v>0</v>
      </c>
      <c r="P378">
        <f>IFERROR(VLOOKUP(Fix_Mapping[[#This Row],[KODE BARANG]],[1]!KINONF15[[KDBRG]:[HRG_JLMT_CTN+PPN]],17,0),0)</f>
        <v>0</v>
      </c>
      <c r="Q378">
        <f>IFERROR(VLOOKUP(Fix_Mapping[[#This Row],[KODE BARANG]],[1]!KINONF15[[KDBRG]:[HRG_JLMT_CTN+PPN]],18,0),0)</f>
        <v>0</v>
      </c>
      <c r="R378" t="s">
        <v>2555</v>
      </c>
      <c r="S378" t="s">
        <v>661</v>
      </c>
      <c r="T378" t="s">
        <v>662</v>
      </c>
      <c r="U378">
        <v>0</v>
      </c>
      <c r="V378">
        <v>0</v>
      </c>
      <c r="W378">
        <v>0</v>
      </c>
    </row>
    <row r="379" spans="1:23">
      <c r="A379" t="s">
        <v>1720</v>
      </c>
      <c r="B379" t="s">
        <v>1721</v>
      </c>
      <c r="C379">
        <v>24</v>
      </c>
      <c r="D379">
        <f>IFERROR(VLOOKUP(Fix_Mapping[[#This Row],[KODE BARANG]],[1]!KINONF15[[KDBRG]:[HRG_JLMT_CTN+PPN]],5,0),0)</f>
        <v>0</v>
      </c>
      <c r="E379" t="s">
        <v>2194</v>
      </c>
      <c r="F379">
        <f>IFERROR(VLOOKUP(Fix_Mapping[[#This Row],[KODE BARANG]],[1]!KINONF15[[KDBRG]:[HRG_JLMT_CTN+PPN]],7,0),0)</f>
        <v>0</v>
      </c>
      <c r="G379">
        <f>IFERROR(VLOOKUP(Fix_Mapping[[#This Row],[KODE BARANG]],[1]!KINONF15[[KDBRG]:[HRG_JLMT_CTN+PPN]],8,0),0)</f>
        <v>0</v>
      </c>
      <c r="H379">
        <f>IFERROR(VLOOKUP(Fix_Mapping[[#This Row],[KODE BARANG]],[1]!KINONF15[[KDBRG]:[HRG_JLMT_CTN+PPN]],9,0),0)</f>
        <v>0</v>
      </c>
      <c r="I379">
        <f>IFERROR(VLOOKUP(Fix_Mapping[[#This Row],[KODE BARANG]],[1]!KINONF15[[KDBRG]:[HRG_JLMT_CTN+PPN]],10,0),0)</f>
        <v>0</v>
      </c>
      <c r="J379">
        <f>IFERROR(VLOOKUP(Fix_Mapping[[#This Row],[KODE BARANG]],[1]!KINONF15[[KDBRG]:[HRG_JLMT_CTN+PPN]],11,0),0)</f>
        <v>0</v>
      </c>
      <c r="K379">
        <f>IFERROR(VLOOKUP(Fix_Mapping[[#This Row],[KODE BARANG]],[1]!KINONF15[[KDBRG]:[HRG_JLMT_CTN+PPN]],12,0),0)</f>
        <v>0</v>
      </c>
      <c r="L379">
        <f>IFERROR(VLOOKUP(Fix_Mapping[[#This Row],[KODE BARANG]],[1]!KINONF15[[KDBRG]:[HRG_JLMT_CTN+PPN]],13,0),0)</f>
        <v>0</v>
      </c>
      <c r="M379">
        <f>IFERROR(VLOOKUP(Fix_Mapping[[#This Row],[KODE BARANG]],[1]!KINONF15[[KDBRG]:[HRG_JLMT_CTN+PPN]],14,0),0)</f>
        <v>0</v>
      </c>
      <c r="N379">
        <f>IFERROR(VLOOKUP(Fix_Mapping[[#This Row],[KODE BARANG]],[1]!KINONF15[[KDBRG]:[HRG_JLMT_CTN+PPN]],15,0),0)</f>
        <v>0</v>
      </c>
      <c r="O379">
        <f>IFERROR(VLOOKUP(Fix_Mapping[[#This Row],[KODE BARANG]],[1]!KINONF15[[KDBRG]:[HRG_JLMT_CTN+PPN]],16,0),0)</f>
        <v>0</v>
      </c>
      <c r="P379">
        <f>IFERROR(VLOOKUP(Fix_Mapping[[#This Row],[KODE BARANG]],[1]!KINONF15[[KDBRG]:[HRG_JLMT_CTN+PPN]],17,0),0)</f>
        <v>0</v>
      </c>
      <c r="Q379">
        <f>IFERROR(VLOOKUP(Fix_Mapping[[#This Row],[KODE BARANG]],[1]!KINONF15[[KDBRG]:[HRG_JLMT_CTN+PPN]],18,0),0)</f>
        <v>0</v>
      </c>
      <c r="R379" t="s">
        <v>2555</v>
      </c>
      <c r="S379" t="s">
        <v>664</v>
      </c>
      <c r="T379" t="s">
        <v>663</v>
      </c>
      <c r="U379">
        <v>0</v>
      </c>
      <c r="V379">
        <v>0</v>
      </c>
      <c r="W379">
        <v>0</v>
      </c>
    </row>
    <row r="380" spans="1:23">
      <c r="A380" t="s">
        <v>1722</v>
      </c>
      <c r="B380" t="s">
        <v>1723</v>
      </c>
      <c r="C380">
        <v>24</v>
      </c>
      <c r="D380">
        <f>IFERROR(VLOOKUP(Fix_Mapping[[#This Row],[KODE BARANG]],[1]!KINONF15[[KDBRG]:[HRG_JLMT_CTN+PPN]],5,0),0)</f>
        <v>0</v>
      </c>
      <c r="E380" t="s">
        <v>2192</v>
      </c>
      <c r="F380">
        <f>IFERROR(VLOOKUP(Fix_Mapping[[#This Row],[KODE BARANG]],[1]!KINONF15[[KDBRG]:[HRG_JLMT_CTN+PPN]],7,0),0)</f>
        <v>0</v>
      </c>
      <c r="G380">
        <f>IFERROR(VLOOKUP(Fix_Mapping[[#This Row],[KODE BARANG]],[1]!KINONF15[[KDBRG]:[HRG_JLMT_CTN+PPN]],8,0),0)</f>
        <v>0</v>
      </c>
      <c r="H380">
        <f>IFERROR(VLOOKUP(Fix_Mapping[[#This Row],[KODE BARANG]],[1]!KINONF15[[KDBRG]:[HRG_JLMT_CTN+PPN]],9,0),0)</f>
        <v>0</v>
      </c>
      <c r="I380">
        <f>IFERROR(VLOOKUP(Fix_Mapping[[#This Row],[KODE BARANG]],[1]!KINONF15[[KDBRG]:[HRG_JLMT_CTN+PPN]],10,0),0)</f>
        <v>0</v>
      </c>
      <c r="J380">
        <f>IFERROR(VLOOKUP(Fix_Mapping[[#This Row],[KODE BARANG]],[1]!KINONF15[[KDBRG]:[HRG_JLMT_CTN+PPN]],11,0),0)</f>
        <v>0</v>
      </c>
      <c r="K380">
        <f>IFERROR(VLOOKUP(Fix_Mapping[[#This Row],[KODE BARANG]],[1]!KINONF15[[KDBRG]:[HRG_JLMT_CTN+PPN]],12,0),0)</f>
        <v>0</v>
      </c>
      <c r="L380">
        <f>IFERROR(VLOOKUP(Fix_Mapping[[#This Row],[KODE BARANG]],[1]!KINONF15[[KDBRG]:[HRG_JLMT_CTN+PPN]],13,0),0)</f>
        <v>0</v>
      </c>
      <c r="M380">
        <f>IFERROR(VLOOKUP(Fix_Mapping[[#This Row],[KODE BARANG]],[1]!KINONF15[[KDBRG]:[HRG_JLMT_CTN+PPN]],14,0),0)</f>
        <v>0</v>
      </c>
      <c r="N380">
        <f>IFERROR(VLOOKUP(Fix_Mapping[[#This Row],[KODE BARANG]],[1]!KINONF15[[KDBRG]:[HRG_JLMT_CTN+PPN]],15,0),0)</f>
        <v>0</v>
      </c>
      <c r="O380">
        <f>IFERROR(VLOOKUP(Fix_Mapping[[#This Row],[KODE BARANG]],[1]!KINONF15[[KDBRG]:[HRG_JLMT_CTN+PPN]],16,0),0)</f>
        <v>0</v>
      </c>
      <c r="P380">
        <f>IFERROR(VLOOKUP(Fix_Mapping[[#This Row],[KODE BARANG]],[1]!KINONF15[[KDBRG]:[HRG_JLMT_CTN+PPN]],17,0),0)</f>
        <v>0</v>
      </c>
      <c r="Q380">
        <f>IFERROR(VLOOKUP(Fix_Mapping[[#This Row],[KODE BARANG]],[1]!KINONF15[[KDBRG]:[HRG_JLMT_CTN+PPN]],18,0),0)</f>
        <v>0</v>
      </c>
      <c r="R380" t="s">
        <v>2555</v>
      </c>
      <c r="S380" t="s">
        <v>875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1724</v>
      </c>
      <c r="B381" t="s">
        <v>1725</v>
      </c>
      <c r="C381">
        <v>144</v>
      </c>
      <c r="D381">
        <f>IFERROR(VLOOKUP(Fix_Mapping[[#This Row],[KODE BARANG]],[1]!KINONF15[[KDBRG]:[HRG_JLMT_CTN+PPN]],5,0),0)</f>
        <v>0</v>
      </c>
      <c r="E381" t="s">
        <v>2172</v>
      </c>
      <c r="F381">
        <f>IFERROR(VLOOKUP(Fix_Mapping[[#This Row],[KODE BARANG]],[1]!KINONF15[[KDBRG]:[HRG_JLMT_CTN+PPN]],7,0),0)</f>
        <v>0</v>
      </c>
      <c r="G381">
        <f>IFERROR(VLOOKUP(Fix_Mapping[[#This Row],[KODE BARANG]],[1]!KINONF15[[KDBRG]:[HRG_JLMT_CTN+PPN]],8,0),0)</f>
        <v>0</v>
      </c>
      <c r="H381">
        <f>IFERROR(VLOOKUP(Fix_Mapping[[#This Row],[KODE BARANG]],[1]!KINONF15[[KDBRG]:[HRG_JLMT_CTN+PPN]],9,0),0)</f>
        <v>0</v>
      </c>
      <c r="I381">
        <f>IFERROR(VLOOKUP(Fix_Mapping[[#This Row],[KODE BARANG]],[1]!KINONF15[[KDBRG]:[HRG_JLMT_CTN+PPN]],10,0),0)</f>
        <v>0</v>
      </c>
      <c r="J381">
        <f>IFERROR(VLOOKUP(Fix_Mapping[[#This Row],[KODE BARANG]],[1]!KINONF15[[KDBRG]:[HRG_JLMT_CTN+PPN]],11,0),0)</f>
        <v>0</v>
      </c>
      <c r="K381">
        <f>IFERROR(VLOOKUP(Fix_Mapping[[#This Row],[KODE BARANG]],[1]!KINONF15[[KDBRG]:[HRG_JLMT_CTN+PPN]],12,0),0)</f>
        <v>0</v>
      </c>
      <c r="L381">
        <f>IFERROR(VLOOKUP(Fix_Mapping[[#This Row],[KODE BARANG]],[1]!KINONF15[[KDBRG]:[HRG_JLMT_CTN+PPN]],13,0),0)</f>
        <v>0</v>
      </c>
      <c r="M381">
        <f>IFERROR(VLOOKUP(Fix_Mapping[[#This Row],[KODE BARANG]],[1]!KINONF15[[KDBRG]:[HRG_JLMT_CTN+PPN]],14,0),0)</f>
        <v>0</v>
      </c>
      <c r="N381">
        <f>IFERROR(VLOOKUP(Fix_Mapping[[#This Row],[KODE BARANG]],[1]!KINONF15[[KDBRG]:[HRG_JLMT_CTN+PPN]],15,0),0)</f>
        <v>0</v>
      </c>
      <c r="O381">
        <f>IFERROR(VLOOKUP(Fix_Mapping[[#This Row],[KODE BARANG]],[1]!KINONF15[[KDBRG]:[HRG_JLMT_CTN+PPN]],16,0),0)</f>
        <v>0</v>
      </c>
      <c r="P381">
        <f>IFERROR(VLOOKUP(Fix_Mapping[[#This Row],[KODE BARANG]],[1]!KINONF15[[KDBRG]:[HRG_JLMT_CTN+PPN]],17,0),0)</f>
        <v>0</v>
      </c>
      <c r="Q381">
        <f>IFERROR(VLOOKUP(Fix_Mapping[[#This Row],[KODE BARANG]],[1]!KINONF15[[KDBRG]:[HRG_JLMT_CTN+PPN]],18,0),0)</f>
        <v>0</v>
      </c>
      <c r="R381" t="s">
        <v>2555</v>
      </c>
      <c r="S381" t="s">
        <v>885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1726</v>
      </c>
      <c r="B382" t="s">
        <v>1727</v>
      </c>
      <c r="C382">
        <v>144</v>
      </c>
      <c r="D382">
        <f>IFERROR(VLOOKUP(Fix_Mapping[[#This Row],[KODE BARANG]],[1]!KINONF15[[KDBRG]:[HRG_JLMT_CTN+PPN]],5,0),0)</f>
        <v>0</v>
      </c>
      <c r="E382" t="s">
        <v>2172</v>
      </c>
      <c r="F382">
        <f>IFERROR(VLOOKUP(Fix_Mapping[[#This Row],[KODE BARANG]],[1]!KINONF15[[KDBRG]:[HRG_JLMT_CTN+PPN]],7,0),0)</f>
        <v>0</v>
      </c>
      <c r="G382">
        <f>IFERROR(VLOOKUP(Fix_Mapping[[#This Row],[KODE BARANG]],[1]!KINONF15[[KDBRG]:[HRG_JLMT_CTN+PPN]],8,0),0)</f>
        <v>0</v>
      </c>
      <c r="H382">
        <f>IFERROR(VLOOKUP(Fix_Mapping[[#This Row],[KODE BARANG]],[1]!KINONF15[[KDBRG]:[HRG_JLMT_CTN+PPN]],9,0),0)</f>
        <v>0</v>
      </c>
      <c r="I382">
        <f>IFERROR(VLOOKUP(Fix_Mapping[[#This Row],[KODE BARANG]],[1]!KINONF15[[KDBRG]:[HRG_JLMT_CTN+PPN]],10,0),0)</f>
        <v>0</v>
      </c>
      <c r="J382">
        <f>IFERROR(VLOOKUP(Fix_Mapping[[#This Row],[KODE BARANG]],[1]!KINONF15[[KDBRG]:[HRG_JLMT_CTN+PPN]],11,0),0)</f>
        <v>0</v>
      </c>
      <c r="K382">
        <f>IFERROR(VLOOKUP(Fix_Mapping[[#This Row],[KODE BARANG]],[1]!KINONF15[[KDBRG]:[HRG_JLMT_CTN+PPN]],12,0),0)</f>
        <v>0</v>
      </c>
      <c r="L382">
        <f>IFERROR(VLOOKUP(Fix_Mapping[[#This Row],[KODE BARANG]],[1]!KINONF15[[KDBRG]:[HRG_JLMT_CTN+PPN]],13,0),0)</f>
        <v>0</v>
      </c>
      <c r="M382">
        <f>IFERROR(VLOOKUP(Fix_Mapping[[#This Row],[KODE BARANG]],[1]!KINONF15[[KDBRG]:[HRG_JLMT_CTN+PPN]],14,0),0)</f>
        <v>0</v>
      </c>
      <c r="N382">
        <f>IFERROR(VLOOKUP(Fix_Mapping[[#This Row],[KODE BARANG]],[1]!KINONF15[[KDBRG]:[HRG_JLMT_CTN+PPN]],15,0),0)</f>
        <v>0</v>
      </c>
      <c r="O382">
        <f>IFERROR(VLOOKUP(Fix_Mapping[[#This Row],[KODE BARANG]],[1]!KINONF15[[KDBRG]:[HRG_JLMT_CTN+PPN]],16,0),0)</f>
        <v>0</v>
      </c>
      <c r="P382">
        <f>IFERROR(VLOOKUP(Fix_Mapping[[#This Row],[KODE BARANG]],[1]!KINONF15[[KDBRG]:[HRG_JLMT_CTN+PPN]],17,0),0)</f>
        <v>0</v>
      </c>
      <c r="Q382">
        <f>IFERROR(VLOOKUP(Fix_Mapping[[#This Row],[KODE BARANG]],[1]!KINONF15[[KDBRG]:[HRG_JLMT_CTN+PPN]],18,0),0)</f>
        <v>0</v>
      </c>
      <c r="R382" t="s">
        <v>2555</v>
      </c>
      <c r="S382" t="s">
        <v>915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1728</v>
      </c>
      <c r="B383" t="s">
        <v>1729</v>
      </c>
      <c r="C383">
        <v>144</v>
      </c>
      <c r="D383">
        <f>IFERROR(VLOOKUP(Fix_Mapping[[#This Row],[KODE BARANG]],[1]!KINONF15[[KDBRG]:[HRG_JLMT_CTN+PPN]],5,0),0)</f>
        <v>0</v>
      </c>
      <c r="E383" t="s">
        <v>2172</v>
      </c>
      <c r="F383">
        <f>IFERROR(VLOOKUP(Fix_Mapping[[#This Row],[KODE BARANG]],[1]!KINONF15[[KDBRG]:[HRG_JLMT_CTN+PPN]],7,0),0)</f>
        <v>0</v>
      </c>
      <c r="G383">
        <f>IFERROR(VLOOKUP(Fix_Mapping[[#This Row],[KODE BARANG]],[1]!KINONF15[[KDBRG]:[HRG_JLMT_CTN+PPN]],8,0),0)</f>
        <v>0</v>
      </c>
      <c r="H383">
        <f>IFERROR(VLOOKUP(Fix_Mapping[[#This Row],[KODE BARANG]],[1]!KINONF15[[KDBRG]:[HRG_JLMT_CTN+PPN]],9,0),0)</f>
        <v>0</v>
      </c>
      <c r="I383">
        <f>IFERROR(VLOOKUP(Fix_Mapping[[#This Row],[KODE BARANG]],[1]!KINONF15[[KDBRG]:[HRG_JLMT_CTN+PPN]],10,0),0)</f>
        <v>0</v>
      </c>
      <c r="J383">
        <f>IFERROR(VLOOKUP(Fix_Mapping[[#This Row],[KODE BARANG]],[1]!KINONF15[[KDBRG]:[HRG_JLMT_CTN+PPN]],11,0),0)</f>
        <v>0</v>
      </c>
      <c r="K383">
        <f>IFERROR(VLOOKUP(Fix_Mapping[[#This Row],[KODE BARANG]],[1]!KINONF15[[KDBRG]:[HRG_JLMT_CTN+PPN]],12,0),0)</f>
        <v>0</v>
      </c>
      <c r="L383">
        <f>IFERROR(VLOOKUP(Fix_Mapping[[#This Row],[KODE BARANG]],[1]!KINONF15[[KDBRG]:[HRG_JLMT_CTN+PPN]],13,0),0)</f>
        <v>0</v>
      </c>
      <c r="M383">
        <f>IFERROR(VLOOKUP(Fix_Mapping[[#This Row],[KODE BARANG]],[1]!KINONF15[[KDBRG]:[HRG_JLMT_CTN+PPN]],14,0),0)</f>
        <v>0</v>
      </c>
      <c r="N383">
        <f>IFERROR(VLOOKUP(Fix_Mapping[[#This Row],[KODE BARANG]],[1]!KINONF15[[KDBRG]:[HRG_JLMT_CTN+PPN]],15,0),0)</f>
        <v>0</v>
      </c>
      <c r="O383">
        <f>IFERROR(VLOOKUP(Fix_Mapping[[#This Row],[KODE BARANG]],[1]!KINONF15[[KDBRG]:[HRG_JLMT_CTN+PPN]],16,0),0)</f>
        <v>0</v>
      </c>
      <c r="P383">
        <f>IFERROR(VLOOKUP(Fix_Mapping[[#This Row],[KODE BARANG]],[1]!KINONF15[[KDBRG]:[HRG_JLMT_CTN+PPN]],17,0),0)</f>
        <v>0</v>
      </c>
      <c r="Q383">
        <f>IFERROR(VLOOKUP(Fix_Mapping[[#This Row],[KODE BARANG]],[1]!KINONF15[[KDBRG]:[HRG_JLMT_CTN+PPN]],18,0),0)</f>
        <v>0</v>
      </c>
      <c r="R383" t="s">
        <v>2555</v>
      </c>
      <c r="S383" t="s">
        <v>901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2439</v>
      </c>
      <c r="B384" t="s">
        <v>2441</v>
      </c>
      <c r="C384">
        <v>24</v>
      </c>
      <c r="D384">
        <f>IFERROR(VLOOKUP(Fix_Mapping[[#This Row],[KODE BARANG]],[1]!KINONF15[[KDBRG]:[HRG_JLMT_CTN+PPN]],5,0),0)</f>
        <v>0</v>
      </c>
      <c r="E384" t="s">
        <v>2172</v>
      </c>
      <c r="F384">
        <f>IFERROR(VLOOKUP(Fix_Mapping[[#This Row],[KODE BARANG]],[1]!KINONF15[[KDBRG]:[HRG_JLMT_CTN+PPN]],7,0),0)</f>
        <v>0</v>
      </c>
      <c r="G384">
        <f>IFERROR(VLOOKUP(Fix_Mapping[[#This Row],[KODE BARANG]],[1]!KINONF15[[KDBRG]:[HRG_JLMT_CTN+PPN]],8,0),0)</f>
        <v>0</v>
      </c>
      <c r="H384">
        <f>IFERROR(VLOOKUP(Fix_Mapping[[#This Row],[KODE BARANG]],[1]!KINONF15[[KDBRG]:[HRG_JLMT_CTN+PPN]],9,0),0)</f>
        <v>0</v>
      </c>
      <c r="I384">
        <f>IFERROR(VLOOKUP(Fix_Mapping[[#This Row],[KODE BARANG]],[1]!KINONF15[[KDBRG]:[HRG_JLMT_CTN+PPN]],10,0),0)</f>
        <v>0</v>
      </c>
      <c r="J384">
        <f>IFERROR(VLOOKUP(Fix_Mapping[[#This Row],[KODE BARANG]],[1]!KINONF15[[KDBRG]:[HRG_JLMT_CTN+PPN]],11,0),0)</f>
        <v>0</v>
      </c>
      <c r="K384">
        <f>IFERROR(VLOOKUP(Fix_Mapping[[#This Row],[KODE BARANG]],[1]!KINONF15[[KDBRG]:[HRG_JLMT_CTN+PPN]],12,0),0)</f>
        <v>0</v>
      </c>
      <c r="L384">
        <f>IFERROR(VLOOKUP(Fix_Mapping[[#This Row],[KODE BARANG]],[1]!KINONF15[[KDBRG]:[HRG_JLMT_CTN+PPN]],13,0),0)</f>
        <v>0</v>
      </c>
      <c r="M384">
        <f>IFERROR(VLOOKUP(Fix_Mapping[[#This Row],[KODE BARANG]],[1]!KINONF15[[KDBRG]:[HRG_JLMT_CTN+PPN]],14,0),0)</f>
        <v>0</v>
      </c>
      <c r="N384">
        <f>IFERROR(VLOOKUP(Fix_Mapping[[#This Row],[KODE BARANG]],[1]!KINONF15[[KDBRG]:[HRG_JLMT_CTN+PPN]],15,0),0)</f>
        <v>0</v>
      </c>
      <c r="O384">
        <f>IFERROR(VLOOKUP(Fix_Mapping[[#This Row],[KODE BARANG]],[1]!KINONF15[[KDBRG]:[HRG_JLMT_CTN+PPN]],16,0),0)</f>
        <v>0</v>
      </c>
      <c r="P384">
        <f>IFERROR(VLOOKUP(Fix_Mapping[[#This Row],[KODE BARANG]],[1]!KINONF15[[KDBRG]:[HRG_JLMT_CTN+PPN]],17,0),0)</f>
        <v>0</v>
      </c>
      <c r="Q384">
        <f>IFERROR(VLOOKUP(Fix_Mapping[[#This Row],[KODE BARANG]],[1]!KINONF15[[KDBRG]:[HRG_JLMT_CTN+PPN]],18,0),0)</f>
        <v>0</v>
      </c>
      <c r="R384" t="s">
        <v>2555</v>
      </c>
      <c r="S384" t="s">
        <v>2437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1730</v>
      </c>
      <c r="B385" t="s">
        <v>1731</v>
      </c>
      <c r="C385">
        <v>144</v>
      </c>
      <c r="D385">
        <f>IFERROR(VLOOKUP(Fix_Mapping[[#This Row],[KODE BARANG]],[1]!KINONF15[[KDBRG]:[HRG_JLMT_CTN+PPN]],5,0),0)</f>
        <v>0</v>
      </c>
      <c r="E385" t="s">
        <v>2172</v>
      </c>
      <c r="F385">
        <f>IFERROR(VLOOKUP(Fix_Mapping[[#This Row],[KODE BARANG]],[1]!KINONF15[[KDBRG]:[HRG_JLMT_CTN+PPN]],7,0),0)</f>
        <v>0</v>
      </c>
      <c r="G385">
        <f>IFERROR(VLOOKUP(Fix_Mapping[[#This Row],[KODE BARANG]],[1]!KINONF15[[KDBRG]:[HRG_JLMT_CTN+PPN]],8,0),0)</f>
        <v>0</v>
      </c>
      <c r="H385">
        <f>IFERROR(VLOOKUP(Fix_Mapping[[#This Row],[KODE BARANG]],[1]!KINONF15[[KDBRG]:[HRG_JLMT_CTN+PPN]],9,0),0)</f>
        <v>0</v>
      </c>
      <c r="I385">
        <f>IFERROR(VLOOKUP(Fix_Mapping[[#This Row],[KODE BARANG]],[1]!KINONF15[[KDBRG]:[HRG_JLMT_CTN+PPN]],10,0),0)</f>
        <v>0</v>
      </c>
      <c r="J385">
        <f>IFERROR(VLOOKUP(Fix_Mapping[[#This Row],[KODE BARANG]],[1]!KINONF15[[KDBRG]:[HRG_JLMT_CTN+PPN]],11,0),0)</f>
        <v>0</v>
      </c>
      <c r="K385">
        <f>IFERROR(VLOOKUP(Fix_Mapping[[#This Row],[KODE BARANG]],[1]!KINONF15[[KDBRG]:[HRG_JLMT_CTN+PPN]],12,0),0)</f>
        <v>0</v>
      </c>
      <c r="L385">
        <f>IFERROR(VLOOKUP(Fix_Mapping[[#This Row],[KODE BARANG]],[1]!KINONF15[[KDBRG]:[HRG_JLMT_CTN+PPN]],13,0),0)</f>
        <v>0</v>
      </c>
      <c r="M385">
        <f>IFERROR(VLOOKUP(Fix_Mapping[[#This Row],[KODE BARANG]],[1]!KINONF15[[KDBRG]:[HRG_JLMT_CTN+PPN]],14,0),0)</f>
        <v>0</v>
      </c>
      <c r="N385">
        <f>IFERROR(VLOOKUP(Fix_Mapping[[#This Row],[KODE BARANG]],[1]!KINONF15[[KDBRG]:[HRG_JLMT_CTN+PPN]],15,0),0)</f>
        <v>0</v>
      </c>
      <c r="O385">
        <f>IFERROR(VLOOKUP(Fix_Mapping[[#This Row],[KODE BARANG]],[1]!KINONF15[[KDBRG]:[HRG_JLMT_CTN+PPN]],16,0),0)</f>
        <v>0</v>
      </c>
      <c r="P385">
        <f>IFERROR(VLOOKUP(Fix_Mapping[[#This Row],[KODE BARANG]],[1]!KINONF15[[KDBRG]:[HRG_JLMT_CTN+PPN]],17,0),0)</f>
        <v>0</v>
      </c>
      <c r="Q385">
        <f>IFERROR(VLOOKUP(Fix_Mapping[[#This Row],[KODE BARANG]],[1]!KINONF15[[KDBRG]:[HRG_JLMT_CTN+PPN]],18,0),0)</f>
        <v>0</v>
      </c>
      <c r="R385" t="s">
        <v>2555</v>
      </c>
      <c r="S385" t="s">
        <v>909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1732</v>
      </c>
      <c r="B386" t="s">
        <v>1733</v>
      </c>
      <c r="C386">
        <v>144</v>
      </c>
      <c r="D386">
        <f>IFERROR(VLOOKUP(Fix_Mapping[[#This Row],[KODE BARANG]],[1]!KINONF15[[KDBRG]:[HRG_JLMT_CTN+PPN]],5,0),0)</f>
        <v>0</v>
      </c>
      <c r="E386" t="s">
        <v>2172</v>
      </c>
      <c r="F386">
        <f>IFERROR(VLOOKUP(Fix_Mapping[[#This Row],[KODE BARANG]],[1]!KINONF15[[KDBRG]:[HRG_JLMT_CTN+PPN]],7,0),0)</f>
        <v>0</v>
      </c>
      <c r="G386">
        <f>IFERROR(VLOOKUP(Fix_Mapping[[#This Row],[KODE BARANG]],[1]!KINONF15[[KDBRG]:[HRG_JLMT_CTN+PPN]],8,0),0)</f>
        <v>0</v>
      </c>
      <c r="H386">
        <f>IFERROR(VLOOKUP(Fix_Mapping[[#This Row],[KODE BARANG]],[1]!KINONF15[[KDBRG]:[HRG_JLMT_CTN+PPN]],9,0),0)</f>
        <v>0</v>
      </c>
      <c r="I386">
        <f>IFERROR(VLOOKUP(Fix_Mapping[[#This Row],[KODE BARANG]],[1]!KINONF15[[KDBRG]:[HRG_JLMT_CTN+PPN]],10,0),0)</f>
        <v>0</v>
      </c>
      <c r="J386">
        <f>IFERROR(VLOOKUP(Fix_Mapping[[#This Row],[KODE BARANG]],[1]!KINONF15[[KDBRG]:[HRG_JLMT_CTN+PPN]],11,0),0)</f>
        <v>0</v>
      </c>
      <c r="K386">
        <f>IFERROR(VLOOKUP(Fix_Mapping[[#This Row],[KODE BARANG]],[1]!KINONF15[[KDBRG]:[HRG_JLMT_CTN+PPN]],12,0),0)</f>
        <v>0</v>
      </c>
      <c r="L386">
        <f>IFERROR(VLOOKUP(Fix_Mapping[[#This Row],[KODE BARANG]],[1]!KINONF15[[KDBRG]:[HRG_JLMT_CTN+PPN]],13,0),0)</f>
        <v>0</v>
      </c>
      <c r="M386">
        <f>IFERROR(VLOOKUP(Fix_Mapping[[#This Row],[KODE BARANG]],[1]!KINONF15[[KDBRG]:[HRG_JLMT_CTN+PPN]],14,0),0)</f>
        <v>0</v>
      </c>
      <c r="N386">
        <f>IFERROR(VLOOKUP(Fix_Mapping[[#This Row],[KODE BARANG]],[1]!KINONF15[[KDBRG]:[HRG_JLMT_CTN+PPN]],15,0),0)</f>
        <v>0</v>
      </c>
      <c r="O386">
        <f>IFERROR(VLOOKUP(Fix_Mapping[[#This Row],[KODE BARANG]],[1]!KINONF15[[KDBRG]:[HRG_JLMT_CTN+PPN]],16,0),0)</f>
        <v>0</v>
      </c>
      <c r="P386">
        <f>IFERROR(VLOOKUP(Fix_Mapping[[#This Row],[KODE BARANG]],[1]!KINONF15[[KDBRG]:[HRG_JLMT_CTN+PPN]],17,0),0)</f>
        <v>0</v>
      </c>
      <c r="Q386">
        <f>IFERROR(VLOOKUP(Fix_Mapping[[#This Row],[KODE BARANG]],[1]!KINONF15[[KDBRG]:[HRG_JLMT_CTN+PPN]],18,0),0)</f>
        <v>0</v>
      </c>
      <c r="R386" t="s">
        <v>2555</v>
      </c>
      <c r="S386" t="s">
        <v>860</v>
      </c>
      <c r="T386" t="s">
        <v>861</v>
      </c>
      <c r="U386">
        <v>0</v>
      </c>
      <c r="V386">
        <v>0</v>
      </c>
      <c r="W386">
        <v>0</v>
      </c>
    </row>
    <row r="387" spans="1:23">
      <c r="A387" t="s">
        <v>2408</v>
      </c>
      <c r="B387" t="s">
        <v>1734</v>
      </c>
      <c r="C387">
        <v>24</v>
      </c>
      <c r="D387">
        <f>IFERROR(VLOOKUP(Fix_Mapping[[#This Row],[KODE BARANG]],[1]!KINONF15[[KDBRG]:[HRG_JLMT_CTN+PPN]],5,0),0)</f>
        <v>0</v>
      </c>
      <c r="E387" t="s">
        <v>2172</v>
      </c>
      <c r="F387">
        <f>IFERROR(VLOOKUP(Fix_Mapping[[#This Row],[KODE BARANG]],[1]!KINONF15[[KDBRG]:[HRG_JLMT_CTN+PPN]],7,0),0)</f>
        <v>0</v>
      </c>
      <c r="G387">
        <f>IFERROR(VLOOKUP(Fix_Mapping[[#This Row],[KODE BARANG]],[1]!KINONF15[[KDBRG]:[HRG_JLMT_CTN+PPN]],8,0),0)</f>
        <v>0</v>
      </c>
      <c r="H387">
        <f>IFERROR(VLOOKUP(Fix_Mapping[[#This Row],[KODE BARANG]],[1]!KINONF15[[KDBRG]:[HRG_JLMT_CTN+PPN]],9,0),0)</f>
        <v>0</v>
      </c>
      <c r="I387">
        <f>IFERROR(VLOOKUP(Fix_Mapping[[#This Row],[KODE BARANG]],[1]!KINONF15[[KDBRG]:[HRG_JLMT_CTN+PPN]],10,0),0)</f>
        <v>0</v>
      </c>
      <c r="J387">
        <f>IFERROR(VLOOKUP(Fix_Mapping[[#This Row],[KODE BARANG]],[1]!KINONF15[[KDBRG]:[HRG_JLMT_CTN+PPN]],11,0),0)</f>
        <v>0</v>
      </c>
      <c r="K387">
        <f>IFERROR(VLOOKUP(Fix_Mapping[[#This Row],[KODE BARANG]],[1]!KINONF15[[KDBRG]:[HRG_JLMT_CTN+PPN]],12,0),0)</f>
        <v>0</v>
      </c>
      <c r="L387">
        <f>IFERROR(VLOOKUP(Fix_Mapping[[#This Row],[KODE BARANG]],[1]!KINONF15[[KDBRG]:[HRG_JLMT_CTN+PPN]],13,0),0)</f>
        <v>0</v>
      </c>
      <c r="M387">
        <f>IFERROR(VLOOKUP(Fix_Mapping[[#This Row],[KODE BARANG]],[1]!KINONF15[[KDBRG]:[HRG_JLMT_CTN+PPN]],14,0),0)</f>
        <v>0</v>
      </c>
      <c r="N387">
        <f>IFERROR(VLOOKUP(Fix_Mapping[[#This Row],[KODE BARANG]],[1]!KINONF15[[KDBRG]:[HRG_JLMT_CTN+PPN]],15,0),0)</f>
        <v>0</v>
      </c>
      <c r="O387">
        <f>IFERROR(VLOOKUP(Fix_Mapping[[#This Row],[KODE BARANG]],[1]!KINONF15[[KDBRG]:[HRG_JLMT_CTN+PPN]],16,0),0)</f>
        <v>0</v>
      </c>
      <c r="P387">
        <f>IFERROR(VLOOKUP(Fix_Mapping[[#This Row],[KODE BARANG]],[1]!KINONF15[[KDBRG]:[HRG_JLMT_CTN+PPN]],17,0),0)</f>
        <v>0</v>
      </c>
      <c r="Q387">
        <f>IFERROR(VLOOKUP(Fix_Mapping[[#This Row],[KODE BARANG]],[1]!KINONF15[[KDBRG]:[HRG_JLMT_CTN+PPN]],18,0),0)</f>
        <v>0</v>
      </c>
      <c r="R387" t="s">
        <v>2555</v>
      </c>
      <c r="S387" t="s">
        <v>866</v>
      </c>
      <c r="T387">
        <v>0</v>
      </c>
      <c r="U387">
        <v>0</v>
      </c>
      <c r="V387">
        <v>0</v>
      </c>
      <c r="W387">
        <v>0</v>
      </c>
    </row>
    <row r="388" spans="1:23">
      <c r="A388" t="s">
        <v>1735</v>
      </c>
      <c r="B388" t="s">
        <v>1736</v>
      </c>
      <c r="C388">
        <v>36</v>
      </c>
      <c r="D388">
        <f>IFERROR(VLOOKUP(Fix_Mapping[[#This Row],[KODE BARANG]],[1]!KINONF15[[KDBRG]:[HRG_JLMT_CTN+PPN]],5,0),0)</f>
        <v>0</v>
      </c>
      <c r="E388" t="s">
        <v>2174</v>
      </c>
      <c r="F388">
        <f>IFERROR(VLOOKUP(Fix_Mapping[[#This Row],[KODE BARANG]],[1]!KINONF15[[KDBRG]:[HRG_JLMT_CTN+PPN]],7,0),0)</f>
        <v>0</v>
      </c>
      <c r="G388">
        <f>IFERROR(VLOOKUP(Fix_Mapping[[#This Row],[KODE BARANG]],[1]!KINONF15[[KDBRG]:[HRG_JLMT_CTN+PPN]],8,0),0)</f>
        <v>0</v>
      </c>
      <c r="H388">
        <f>IFERROR(VLOOKUP(Fix_Mapping[[#This Row],[KODE BARANG]],[1]!KINONF15[[KDBRG]:[HRG_JLMT_CTN+PPN]],9,0),0)</f>
        <v>0</v>
      </c>
      <c r="I388">
        <f>IFERROR(VLOOKUP(Fix_Mapping[[#This Row],[KODE BARANG]],[1]!KINONF15[[KDBRG]:[HRG_JLMT_CTN+PPN]],10,0),0)</f>
        <v>0</v>
      </c>
      <c r="J388">
        <f>IFERROR(VLOOKUP(Fix_Mapping[[#This Row],[KODE BARANG]],[1]!KINONF15[[KDBRG]:[HRG_JLMT_CTN+PPN]],11,0),0)</f>
        <v>0</v>
      </c>
      <c r="K388">
        <f>IFERROR(VLOOKUP(Fix_Mapping[[#This Row],[KODE BARANG]],[1]!KINONF15[[KDBRG]:[HRG_JLMT_CTN+PPN]],12,0),0)</f>
        <v>0</v>
      </c>
      <c r="L388">
        <f>IFERROR(VLOOKUP(Fix_Mapping[[#This Row],[KODE BARANG]],[1]!KINONF15[[KDBRG]:[HRG_JLMT_CTN+PPN]],13,0),0)</f>
        <v>0</v>
      </c>
      <c r="M388">
        <f>IFERROR(VLOOKUP(Fix_Mapping[[#This Row],[KODE BARANG]],[1]!KINONF15[[KDBRG]:[HRG_JLMT_CTN+PPN]],14,0),0)</f>
        <v>0</v>
      </c>
      <c r="N388">
        <f>IFERROR(VLOOKUP(Fix_Mapping[[#This Row],[KODE BARANG]],[1]!KINONF15[[KDBRG]:[HRG_JLMT_CTN+PPN]],15,0),0)</f>
        <v>0</v>
      </c>
      <c r="O388">
        <f>IFERROR(VLOOKUP(Fix_Mapping[[#This Row],[KODE BARANG]],[1]!KINONF15[[KDBRG]:[HRG_JLMT_CTN+PPN]],16,0),0)</f>
        <v>0</v>
      </c>
      <c r="P388">
        <f>IFERROR(VLOOKUP(Fix_Mapping[[#This Row],[KODE BARANG]],[1]!KINONF15[[KDBRG]:[HRG_JLMT_CTN+PPN]],17,0),0)</f>
        <v>0</v>
      </c>
      <c r="Q388">
        <f>IFERROR(VLOOKUP(Fix_Mapping[[#This Row],[KODE BARANG]],[1]!KINONF15[[KDBRG]:[HRG_JLMT_CTN+PPN]],18,0),0)</f>
        <v>0</v>
      </c>
      <c r="R388" t="s">
        <v>2555</v>
      </c>
      <c r="S388" t="s">
        <v>891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1737</v>
      </c>
      <c r="B389" t="s">
        <v>1738</v>
      </c>
      <c r="C389">
        <v>36</v>
      </c>
      <c r="D389">
        <f>IFERROR(VLOOKUP(Fix_Mapping[[#This Row],[KODE BARANG]],[1]!KINONF15[[KDBRG]:[HRG_JLMT_CTN+PPN]],5,0),0)</f>
        <v>0</v>
      </c>
      <c r="E389" t="s">
        <v>2174</v>
      </c>
      <c r="F389">
        <f>IFERROR(VLOOKUP(Fix_Mapping[[#This Row],[KODE BARANG]],[1]!KINONF15[[KDBRG]:[HRG_JLMT_CTN+PPN]],7,0),0)</f>
        <v>0</v>
      </c>
      <c r="G389">
        <f>IFERROR(VLOOKUP(Fix_Mapping[[#This Row],[KODE BARANG]],[1]!KINONF15[[KDBRG]:[HRG_JLMT_CTN+PPN]],8,0),0)</f>
        <v>0</v>
      </c>
      <c r="H389">
        <f>IFERROR(VLOOKUP(Fix_Mapping[[#This Row],[KODE BARANG]],[1]!KINONF15[[KDBRG]:[HRG_JLMT_CTN+PPN]],9,0),0)</f>
        <v>0</v>
      </c>
      <c r="I389">
        <f>IFERROR(VLOOKUP(Fix_Mapping[[#This Row],[KODE BARANG]],[1]!KINONF15[[KDBRG]:[HRG_JLMT_CTN+PPN]],10,0),0)</f>
        <v>0</v>
      </c>
      <c r="J389">
        <f>IFERROR(VLOOKUP(Fix_Mapping[[#This Row],[KODE BARANG]],[1]!KINONF15[[KDBRG]:[HRG_JLMT_CTN+PPN]],11,0),0)</f>
        <v>0</v>
      </c>
      <c r="K389">
        <f>IFERROR(VLOOKUP(Fix_Mapping[[#This Row],[KODE BARANG]],[1]!KINONF15[[KDBRG]:[HRG_JLMT_CTN+PPN]],12,0),0)</f>
        <v>0</v>
      </c>
      <c r="L389">
        <f>IFERROR(VLOOKUP(Fix_Mapping[[#This Row],[KODE BARANG]],[1]!KINONF15[[KDBRG]:[HRG_JLMT_CTN+PPN]],13,0),0)</f>
        <v>0</v>
      </c>
      <c r="M389">
        <f>IFERROR(VLOOKUP(Fix_Mapping[[#This Row],[KODE BARANG]],[1]!KINONF15[[KDBRG]:[HRG_JLMT_CTN+PPN]],14,0),0)</f>
        <v>0</v>
      </c>
      <c r="N389">
        <f>IFERROR(VLOOKUP(Fix_Mapping[[#This Row],[KODE BARANG]],[1]!KINONF15[[KDBRG]:[HRG_JLMT_CTN+PPN]],15,0),0)</f>
        <v>0</v>
      </c>
      <c r="O389">
        <f>IFERROR(VLOOKUP(Fix_Mapping[[#This Row],[KODE BARANG]],[1]!KINONF15[[KDBRG]:[HRG_JLMT_CTN+PPN]],16,0),0)</f>
        <v>0</v>
      </c>
      <c r="P389">
        <f>IFERROR(VLOOKUP(Fix_Mapping[[#This Row],[KODE BARANG]],[1]!KINONF15[[KDBRG]:[HRG_JLMT_CTN+PPN]],17,0),0)</f>
        <v>0</v>
      </c>
      <c r="Q389">
        <f>IFERROR(VLOOKUP(Fix_Mapping[[#This Row],[KODE BARANG]],[1]!KINONF15[[KDBRG]:[HRG_JLMT_CTN+PPN]],18,0),0)</f>
        <v>0</v>
      </c>
      <c r="R389" t="s">
        <v>2555</v>
      </c>
      <c r="S389" t="s">
        <v>895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1739</v>
      </c>
      <c r="B390" t="s">
        <v>1740</v>
      </c>
      <c r="C390">
        <v>36</v>
      </c>
      <c r="D390">
        <f>IFERROR(VLOOKUP(Fix_Mapping[[#This Row],[KODE BARANG]],[1]!KINONF15[[KDBRG]:[HRG_JLMT_CTN+PPN]],5,0),0)</f>
        <v>0</v>
      </c>
      <c r="E390" t="s">
        <v>2174</v>
      </c>
      <c r="F390">
        <f>IFERROR(VLOOKUP(Fix_Mapping[[#This Row],[KODE BARANG]],[1]!KINONF15[[KDBRG]:[HRG_JLMT_CTN+PPN]],7,0),0)</f>
        <v>0</v>
      </c>
      <c r="G390">
        <f>IFERROR(VLOOKUP(Fix_Mapping[[#This Row],[KODE BARANG]],[1]!KINONF15[[KDBRG]:[HRG_JLMT_CTN+PPN]],8,0),0)</f>
        <v>0</v>
      </c>
      <c r="H390">
        <f>IFERROR(VLOOKUP(Fix_Mapping[[#This Row],[KODE BARANG]],[1]!KINONF15[[KDBRG]:[HRG_JLMT_CTN+PPN]],9,0),0)</f>
        <v>0</v>
      </c>
      <c r="I390">
        <f>IFERROR(VLOOKUP(Fix_Mapping[[#This Row],[KODE BARANG]],[1]!KINONF15[[KDBRG]:[HRG_JLMT_CTN+PPN]],10,0),0)</f>
        <v>0</v>
      </c>
      <c r="J390">
        <f>IFERROR(VLOOKUP(Fix_Mapping[[#This Row],[KODE BARANG]],[1]!KINONF15[[KDBRG]:[HRG_JLMT_CTN+PPN]],11,0),0)</f>
        <v>0</v>
      </c>
      <c r="K390">
        <f>IFERROR(VLOOKUP(Fix_Mapping[[#This Row],[KODE BARANG]],[1]!KINONF15[[KDBRG]:[HRG_JLMT_CTN+PPN]],12,0),0)</f>
        <v>0</v>
      </c>
      <c r="L390">
        <f>IFERROR(VLOOKUP(Fix_Mapping[[#This Row],[KODE BARANG]],[1]!KINONF15[[KDBRG]:[HRG_JLMT_CTN+PPN]],13,0),0)</f>
        <v>0</v>
      </c>
      <c r="M390">
        <f>IFERROR(VLOOKUP(Fix_Mapping[[#This Row],[KODE BARANG]],[1]!KINONF15[[KDBRG]:[HRG_JLMT_CTN+PPN]],14,0),0)</f>
        <v>0</v>
      </c>
      <c r="N390">
        <f>IFERROR(VLOOKUP(Fix_Mapping[[#This Row],[KODE BARANG]],[1]!KINONF15[[KDBRG]:[HRG_JLMT_CTN+PPN]],15,0),0)</f>
        <v>0</v>
      </c>
      <c r="O390">
        <f>IFERROR(VLOOKUP(Fix_Mapping[[#This Row],[KODE BARANG]],[1]!KINONF15[[KDBRG]:[HRG_JLMT_CTN+PPN]],16,0),0)</f>
        <v>0</v>
      </c>
      <c r="P390">
        <f>IFERROR(VLOOKUP(Fix_Mapping[[#This Row],[KODE BARANG]],[1]!KINONF15[[KDBRG]:[HRG_JLMT_CTN+PPN]],17,0),0)</f>
        <v>0</v>
      </c>
      <c r="Q390">
        <f>IFERROR(VLOOKUP(Fix_Mapping[[#This Row],[KODE BARANG]],[1]!KINONF15[[KDBRG]:[HRG_JLMT_CTN+PPN]],18,0),0)</f>
        <v>0</v>
      </c>
      <c r="R390" t="s">
        <v>2555</v>
      </c>
      <c r="S390" t="s">
        <v>869</v>
      </c>
      <c r="T390">
        <v>0</v>
      </c>
      <c r="U390">
        <v>0</v>
      </c>
      <c r="V390">
        <v>0</v>
      </c>
      <c r="W390">
        <v>0</v>
      </c>
    </row>
    <row r="391" spans="1:23">
      <c r="A391" t="s">
        <v>1741</v>
      </c>
      <c r="B391" t="s">
        <v>1742</v>
      </c>
      <c r="C391">
        <v>36</v>
      </c>
      <c r="D391">
        <f>IFERROR(VLOOKUP(Fix_Mapping[[#This Row],[KODE BARANG]],[1]!KINONF15[[KDBRG]:[HRG_JLMT_CTN+PPN]],5,0),0)</f>
        <v>0</v>
      </c>
      <c r="E391" t="s">
        <v>2174</v>
      </c>
      <c r="F391">
        <f>IFERROR(VLOOKUP(Fix_Mapping[[#This Row],[KODE BARANG]],[1]!KINONF15[[KDBRG]:[HRG_JLMT_CTN+PPN]],7,0),0)</f>
        <v>0</v>
      </c>
      <c r="G391">
        <f>IFERROR(VLOOKUP(Fix_Mapping[[#This Row],[KODE BARANG]],[1]!KINONF15[[KDBRG]:[HRG_JLMT_CTN+PPN]],8,0),0)</f>
        <v>0</v>
      </c>
      <c r="H391">
        <f>IFERROR(VLOOKUP(Fix_Mapping[[#This Row],[KODE BARANG]],[1]!KINONF15[[KDBRG]:[HRG_JLMT_CTN+PPN]],9,0),0)</f>
        <v>0</v>
      </c>
      <c r="I391">
        <f>IFERROR(VLOOKUP(Fix_Mapping[[#This Row],[KODE BARANG]],[1]!KINONF15[[KDBRG]:[HRG_JLMT_CTN+PPN]],10,0),0)</f>
        <v>0</v>
      </c>
      <c r="J391">
        <f>IFERROR(VLOOKUP(Fix_Mapping[[#This Row],[KODE BARANG]],[1]!KINONF15[[KDBRG]:[HRG_JLMT_CTN+PPN]],11,0),0)</f>
        <v>0</v>
      </c>
      <c r="K391">
        <f>IFERROR(VLOOKUP(Fix_Mapping[[#This Row],[KODE BARANG]],[1]!KINONF15[[KDBRG]:[HRG_JLMT_CTN+PPN]],12,0),0)</f>
        <v>0</v>
      </c>
      <c r="L391">
        <f>IFERROR(VLOOKUP(Fix_Mapping[[#This Row],[KODE BARANG]],[1]!KINONF15[[KDBRG]:[HRG_JLMT_CTN+PPN]],13,0),0)</f>
        <v>0</v>
      </c>
      <c r="M391">
        <f>IFERROR(VLOOKUP(Fix_Mapping[[#This Row],[KODE BARANG]],[1]!KINONF15[[KDBRG]:[HRG_JLMT_CTN+PPN]],14,0),0)</f>
        <v>0</v>
      </c>
      <c r="N391">
        <f>IFERROR(VLOOKUP(Fix_Mapping[[#This Row],[KODE BARANG]],[1]!KINONF15[[KDBRG]:[HRG_JLMT_CTN+PPN]],15,0),0)</f>
        <v>0</v>
      </c>
      <c r="O391">
        <f>IFERROR(VLOOKUP(Fix_Mapping[[#This Row],[KODE BARANG]],[1]!KINONF15[[KDBRG]:[HRG_JLMT_CTN+PPN]],16,0),0)</f>
        <v>0</v>
      </c>
      <c r="P391">
        <f>IFERROR(VLOOKUP(Fix_Mapping[[#This Row],[KODE BARANG]],[1]!KINONF15[[KDBRG]:[HRG_JLMT_CTN+PPN]],17,0),0)</f>
        <v>0</v>
      </c>
      <c r="Q391">
        <f>IFERROR(VLOOKUP(Fix_Mapping[[#This Row],[KODE BARANG]],[1]!KINONF15[[KDBRG]:[HRG_JLMT_CTN+PPN]],18,0),0)</f>
        <v>0</v>
      </c>
      <c r="R391" t="s">
        <v>2555</v>
      </c>
      <c r="S391" t="s">
        <v>876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1743</v>
      </c>
      <c r="B392" t="s">
        <v>1744</v>
      </c>
      <c r="C392">
        <v>48</v>
      </c>
      <c r="D392">
        <f>IFERROR(VLOOKUP(Fix_Mapping[[#This Row],[KODE BARANG]],[1]!KINONF15[[KDBRG]:[HRG_JLMT_CTN+PPN]],5,0),0)</f>
        <v>0</v>
      </c>
      <c r="E392" t="s">
        <v>2176</v>
      </c>
      <c r="F392">
        <f>IFERROR(VLOOKUP(Fix_Mapping[[#This Row],[KODE BARANG]],[1]!KINONF15[[KDBRG]:[HRG_JLMT_CTN+PPN]],7,0),0)</f>
        <v>0</v>
      </c>
      <c r="G392">
        <f>IFERROR(VLOOKUP(Fix_Mapping[[#This Row],[KODE BARANG]],[1]!KINONF15[[KDBRG]:[HRG_JLMT_CTN+PPN]],8,0),0)</f>
        <v>0</v>
      </c>
      <c r="H392">
        <f>IFERROR(VLOOKUP(Fix_Mapping[[#This Row],[KODE BARANG]],[1]!KINONF15[[KDBRG]:[HRG_JLMT_CTN+PPN]],9,0),0)</f>
        <v>0</v>
      </c>
      <c r="I392">
        <f>IFERROR(VLOOKUP(Fix_Mapping[[#This Row],[KODE BARANG]],[1]!KINONF15[[KDBRG]:[HRG_JLMT_CTN+PPN]],10,0),0)</f>
        <v>0</v>
      </c>
      <c r="J392">
        <f>IFERROR(VLOOKUP(Fix_Mapping[[#This Row],[KODE BARANG]],[1]!KINONF15[[KDBRG]:[HRG_JLMT_CTN+PPN]],11,0),0)</f>
        <v>0</v>
      </c>
      <c r="K392">
        <f>IFERROR(VLOOKUP(Fix_Mapping[[#This Row],[KODE BARANG]],[1]!KINONF15[[KDBRG]:[HRG_JLMT_CTN+PPN]],12,0),0)</f>
        <v>0</v>
      </c>
      <c r="L392">
        <f>IFERROR(VLOOKUP(Fix_Mapping[[#This Row],[KODE BARANG]],[1]!KINONF15[[KDBRG]:[HRG_JLMT_CTN+PPN]],13,0),0)</f>
        <v>0</v>
      </c>
      <c r="M392">
        <f>IFERROR(VLOOKUP(Fix_Mapping[[#This Row],[KODE BARANG]],[1]!KINONF15[[KDBRG]:[HRG_JLMT_CTN+PPN]],14,0),0)</f>
        <v>0</v>
      </c>
      <c r="N392">
        <f>IFERROR(VLOOKUP(Fix_Mapping[[#This Row],[KODE BARANG]],[1]!KINONF15[[KDBRG]:[HRG_JLMT_CTN+PPN]],15,0),0)</f>
        <v>0</v>
      </c>
      <c r="O392">
        <f>IFERROR(VLOOKUP(Fix_Mapping[[#This Row],[KODE BARANG]],[1]!KINONF15[[KDBRG]:[HRG_JLMT_CTN+PPN]],16,0),0)</f>
        <v>0</v>
      </c>
      <c r="P392">
        <f>IFERROR(VLOOKUP(Fix_Mapping[[#This Row],[KODE BARANG]],[1]!KINONF15[[KDBRG]:[HRG_JLMT_CTN+PPN]],17,0),0)</f>
        <v>0</v>
      </c>
      <c r="Q392">
        <f>IFERROR(VLOOKUP(Fix_Mapping[[#This Row],[KODE BARANG]],[1]!KINONF15[[KDBRG]:[HRG_JLMT_CTN+PPN]],18,0),0)</f>
        <v>0</v>
      </c>
      <c r="R392" t="s">
        <v>2555</v>
      </c>
      <c r="S392" t="s">
        <v>858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1745</v>
      </c>
      <c r="B393" t="s">
        <v>1746</v>
      </c>
      <c r="C393">
        <v>24</v>
      </c>
      <c r="D393">
        <f>IFERROR(VLOOKUP(Fix_Mapping[[#This Row],[KODE BARANG]],[1]!KINONF15[[KDBRG]:[HRG_JLMT_CTN+PPN]],5,0),0)</f>
        <v>0</v>
      </c>
      <c r="E393" t="s">
        <v>2176</v>
      </c>
      <c r="F393">
        <f>IFERROR(VLOOKUP(Fix_Mapping[[#This Row],[KODE BARANG]],[1]!KINONF15[[KDBRG]:[HRG_JLMT_CTN+PPN]],7,0),0)</f>
        <v>0</v>
      </c>
      <c r="G393">
        <f>IFERROR(VLOOKUP(Fix_Mapping[[#This Row],[KODE BARANG]],[1]!KINONF15[[KDBRG]:[HRG_JLMT_CTN+PPN]],8,0),0)</f>
        <v>0</v>
      </c>
      <c r="H393">
        <f>IFERROR(VLOOKUP(Fix_Mapping[[#This Row],[KODE BARANG]],[1]!KINONF15[[KDBRG]:[HRG_JLMT_CTN+PPN]],9,0),0)</f>
        <v>0</v>
      </c>
      <c r="I393">
        <f>IFERROR(VLOOKUP(Fix_Mapping[[#This Row],[KODE BARANG]],[1]!KINONF15[[KDBRG]:[HRG_JLMT_CTN+PPN]],10,0),0)</f>
        <v>0</v>
      </c>
      <c r="J393">
        <f>IFERROR(VLOOKUP(Fix_Mapping[[#This Row],[KODE BARANG]],[1]!KINONF15[[KDBRG]:[HRG_JLMT_CTN+PPN]],11,0),0)</f>
        <v>0</v>
      </c>
      <c r="K393">
        <f>IFERROR(VLOOKUP(Fix_Mapping[[#This Row],[KODE BARANG]],[1]!KINONF15[[KDBRG]:[HRG_JLMT_CTN+PPN]],12,0),0)</f>
        <v>0</v>
      </c>
      <c r="L393">
        <f>IFERROR(VLOOKUP(Fix_Mapping[[#This Row],[KODE BARANG]],[1]!KINONF15[[KDBRG]:[HRG_JLMT_CTN+PPN]],13,0),0)</f>
        <v>0</v>
      </c>
      <c r="M393">
        <f>IFERROR(VLOOKUP(Fix_Mapping[[#This Row],[KODE BARANG]],[1]!KINONF15[[KDBRG]:[HRG_JLMT_CTN+PPN]],14,0),0)</f>
        <v>0</v>
      </c>
      <c r="N393">
        <f>IFERROR(VLOOKUP(Fix_Mapping[[#This Row],[KODE BARANG]],[1]!KINONF15[[KDBRG]:[HRG_JLMT_CTN+PPN]],15,0),0)</f>
        <v>0</v>
      </c>
      <c r="O393">
        <f>IFERROR(VLOOKUP(Fix_Mapping[[#This Row],[KODE BARANG]],[1]!KINONF15[[KDBRG]:[HRG_JLMT_CTN+PPN]],16,0),0)</f>
        <v>0</v>
      </c>
      <c r="P393">
        <f>IFERROR(VLOOKUP(Fix_Mapping[[#This Row],[KODE BARANG]],[1]!KINONF15[[KDBRG]:[HRG_JLMT_CTN+PPN]],17,0),0)</f>
        <v>0</v>
      </c>
      <c r="Q393">
        <f>IFERROR(VLOOKUP(Fix_Mapping[[#This Row],[KODE BARANG]],[1]!KINONF15[[KDBRG]:[HRG_JLMT_CTN+PPN]],18,0),0)</f>
        <v>0</v>
      </c>
      <c r="R393" t="s">
        <v>2555</v>
      </c>
      <c r="S393" t="s">
        <v>859</v>
      </c>
      <c r="T393">
        <v>0</v>
      </c>
      <c r="U393">
        <v>0</v>
      </c>
      <c r="V393">
        <v>0</v>
      </c>
      <c r="W393">
        <v>0</v>
      </c>
    </row>
    <row r="394" spans="1:23">
      <c r="A394" t="s">
        <v>1747</v>
      </c>
      <c r="B394" t="s">
        <v>1748</v>
      </c>
      <c r="C394">
        <v>48</v>
      </c>
      <c r="D394">
        <f>IFERROR(VLOOKUP(Fix_Mapping[[#This Row],[KODE BARANG]],[1]!KINONF15[[KDBRG]:[HRG_JLMT_CTN+PPN]],5,0),0)</f>
        <v>0</v>
      </c>
      <c r="E394" t="s">
        <v>2176</v>
      </c>
      <c r="F394">
        <f>IFERROR(VLOOKUP(Fix_Mapping[[#This Row],[KODE BARANG]],[1]!KINONF15[[KDBRG]:[HRG_JLMT_CTN+PPN]],7,0),0)</f>
        <v>0</v>
      </c>
      <c r="G394">
        <f>IFERROR(VLOOKUP(Fix_Mapping[[#This Row],[KODE BARANG]],[1]!KINONF15[[KDBRG]:[HRG_JLMT_CTN+PPN]],8,0),0)</f>
        <v>0</v>
      </c>
      <c r="H394">
        <f>IFERROR(VLOOKUP(Fix_Mapping[[#This Row],[KODE BARANG]],[1]!KINONF15[[KDBRG]:[HRG_JLMT_CTN+PPN]],9,0),0)</f>
        <v>0</v>
      </c>
      <c r="I394">
        <f>IFERROR(VLOOKUP(Fix_Mapping[[#This Row],[KODE BARANG]],[1]!KINONF15[[KDBRG]:[HRG_JLMT_CTN+PPN]],10,0),0)</f>
        <v>0</v>
      </c>
      <c r="J394">
        <f>IFERROR(VLOOKUP(Fix_Mapping[[#This Row],[KODE BARANG]],[1]!KINONF15[[KDBRG]:[HRG_JLMT_CTN+PPN]],11,0),0)</f>
        <v>0</v>
      </c>
      <c r="K394">
        <f>IFERROR(VLOOKUP(Fix_Mapping[[#This Row],[KODE BARANG]],[1]!KINONF15[[KDBRG]:[HRG_JLMT_CTN+PPN]],12,0),0)</f>
        <v>0</v>
      </c>
      <c r="L394">
        <f>IFERROR(VLOOKUP(Fix_Mapping[[#This Row],[KODE BARANG]],[1]!KINONF15[[KDBRG]:[HRG_JLMT_CTN+PPN]],13,0),0)</f>
        <v>0</v>
      </c>
      <c r="M394">
        <f>IFERROR(VLOOKUP(Fix_Mapping[[#This Row],[KODE BARANG]],[1]!KINONF15[[KDBRG]:[HRG_JLMT_CTN+PPN]],14,0),0)</f>
        <v>0</v>
      </c>
      <c r="N394">
        <f>IFERROR(VLOOKUP(Fix_Mapping[[#This Row],[KODE BARANG]],[1]!KINONF15[[KDBRG]:[HRG_JLMT_CTN+PPN]],15,0),0)</f>
        <v>0</v>
      </c>
      <c r="O394">
        <f>IFERROR(VLOOKUP(Fix_Mapping[[#This Row],[KODE BARANG]],[1]!KINONF15[[KDBRG]:[HRG_JLMT_CTN+PPN]],16,0),0)</f>
        <v>0</v>
      </c>
      <c r="P394">
        <f>IFERROR(VLOOKUP(Fix_Mapping[[#This Row],[KODE BARANG]],[1]!KINONF15[[KDBRG]:[HRG_JLMT_CTN+PPN]],17,0),0)</f>
        <v>0</v>
      </c>
      <c r="Q394">
        <f>IFERROR(VLOOKUP(Fix_Mapping[[#This Row],[KODE BARANG]],[1]!KINONF15[[KDBRG]:[HRG_JLMT_CTN+PPN]],18,0),0)</f>
        <v>0</v>
      </c>
      <c r="R394" t="s">
        <v>2555</v>
      </c>
      <c r="S394" t="s">
        <v>883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1749</v>
      </c>
      <c r="B395" t="s">
        <v>1750</v>
      </c>
      <c r="C395">
        <v>24</v>
      </c>
      <c r="D395">
        <f>IFERROR(VLOOKUP(Fix_Mapping[[#This Row],[KODE BARANG]],[1]!KINONF15[[KDBRG]:[HRG_JLMT_CTN+PPN]],5,0),0)</f>
        <v>0</v>
      </c>
      <c r="E395" t="s">
        <v>2176</v>
      </c>
      <c r="F395">
        <f>IFERROR(VLOOKUP(Fix_Mapping[[#This Row],[KODE BARANG]],[1]!KINONF15[[KDBRG]:[HRG_JLMT_CTN+PPN]],7,0),0)</f>
        <v>0</v>
      </c>
      <c r="G395">
        <f>IFERROR(VLOOKUP(Fix_Mapping[[#This Row],[KODE BARANG]],[1]!KINONF15[[KDBRG]:[HRG_JLMT_CTN+PPN]],8,0),0)</f>
        <v>0</v>
      </c>
      <c r="H395">
        <f>IFERROR(VLOOKUP(Fix_Mapping[[#This Row],[KODE BARANG]],[1]!KINONF15[[KDBRG]:[HRG_JLMT_CTN+PPN]],9,0),0)</f>
        <v>0</v>
      </c>
      <c r="I395">
        <f>IFERROR(VLOOKUP(Fix_Mapping[[#This Row],[KODE BARANG]],[1]!KINONF15[[KDBRG]:[HRG_JLMT_CTN+PPN]],10,0),0)</f>
        <v>0</v>
      </c>
      <c r="J395">
        <f>IFERROR(VLOOKUP(Fix_Mapping[[#This Row],[KODE BARANG]],[1]!KINONF15[[KDBRG]:[HRG_JLMT_CTN+PPN]],11,0),0)</f>
        <v>0</v>
      </c>
      <c r="K395">
        <f>IFERROR(VLOOKUP(Fix_Mapping[[#This Row],[KODE BARANG]],[1]!KINONF15[[KDBRG]:[HRG_JLMT_CTN+PPN]],12,0),0)</f>
        <v>0</v>
      </c>
      <c r="L395">
        <f>IFERROR(VLOOKUP(Fix_Mapping[[#This Row],[KODE BARANG]],[1]!KINONF15[[KDBRG]:[HRG_JLMT_CTN+PPN]],13,0),0)</f>
        <v>0</v>
      </c>
      <c r="M395">
        <f>IFERROR(VLOOKUP(Fix_Mapping[[#This Row],[KODE BARANG]],[1]!KINONF15[[KDBRG]:[HRG_JLMT_CTN+PPN]],14,0),0)</f>
        <v>0</v>
      </c>
      <c r="N395">
        <f>IFERROR(VLOOKUP(Fix_Mapping[[#This Row],[KODE BARANG]],[1]!KINONF15[[KDBRG]:[HRG_JLMT_CTN+PPN]],15,0),0)</f>
        <v>0</v>
      </c>
      <c r="O395">
        <f>IFERROR(VLOOKUP(Fix_Mapping[[#This Row],[KODE BARANG]],[1]!KINONF15[[KDBRG]:[HRG_JLMT_CTN+PPN]],16,0),0)</f>
        <v>0</v>
      </c>
      <c r="P395">
        <f>IFERROR(VLOOKUP(Fix_Mapping[[#This Row],[KODE BARANG]],[1]!KINONF15[[KDBRG]:[HRG_JLMT_CTN+PPN]],17,0),0)</f>
        <v>0</v>
      </c>
      <c r="Q395">
        <f>IFERROR(VLOOKUP(Fix_Mapping[[#This Row],[KODE BARANG]],[1]!KINONF15[[KDBRG]:[HRG_JLMT_CTN+PPN]],18,0),0)</f>
        <v>0</v>
      </c>
      <c r="R395" t="s">
        <v>2555</v>
      </c>
      <c r="S395" t="s">
        <v>884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1751</v>
      </c>
      <c r="B396" t="s">
        <v>1752</v>
      </c>
      <c r="C396">
        <v>144</v>
      </c>
      <c r="D396">
        <f>IFERROR(VLOOKUP(Fix_Mapping[[#This Row],[KODE BARANG]],[1]!KINONF15[[KDBRG]:[HRG_JLMT_CTN+PPN]],5,0),0)</f>
        <v>0</v>
      </c>
      <c r="E396" t="s">
        <v>2164</v>
      </c>
      <c r="F396">
        <f>IFERROR(VLOOKUP(Fix_Mapping[[#This Row],[KODE BARANG]],[1]!KINONF15[[KDBRG]:[HRG_JLMT_CTN+PPN]],7,0),0)</f>
        <v>0</v>
      </c>
      <c r="G396">
        <f>IFERROR(VLOOKUP(Fix_Mapping[[#This Row],[KODE BARANG]],[1]!KINONF15[[KDBRG]:[HRG_JLMT_CTN+PPN]],8,0),0)</f>
        <v>0</v>
      </c>
      <c r="H396">
        <f>IFERROR(VLOOKUP(Fix_Mapping[[#This Row],[KODE BARANG]],[1]!KINONF15[[KDBRG]:[HRG_JLMT_CTN+PPN]],9,0),0)</f>
        <v>0</v>
      </c>
      <c r="I396">
        <f>IFERROR(VLOOKUP(Fix_Mapping[[#This Row],[KODE BARANG]],[1]!KINONF15[[KDBRG]:[HRG_JLMT_CTN+PPN]],10,0),0)</f>
        <v>0</v>
      </c>
      <c r="J396">
        <f>IFERROR(VLOOKUP(Fix_Mapping[[#This Row],[KODE BARANG]],[1]!KINONF15[[KDBRG]:[HRG_JLMT_CTN+PPN]],11,0),0)</f>
        <v>0</v>
      </c>
      <c r="K396">
        <f>IFERROR(VLOOKUP(Fix_Mapping[[#This Row],[KODE BARANG]],[1]!KINONF15[[KDBRG]:[HRG_JLMT_CTN+PPN]],12,0),0)</f>
        <v>0</v>
      </c>
      <c r="L396">
        <f>IFERROR(VLOOKUP(Fix_Mapping[[#This Row],[KODE BARANG]],[1]!KINONF15[[KDBRG]:[HRG_JLMT_CTN+PPN]],13,0),0)</f>
        <v>0</v>
      </c>
      <c r="M396">
        <f>IFERROR(VLOOKUP(Fix_Mapping[[#This Row],[KODE BARANG]],[1]!KINONF15[[KDBRG]:[HRG_JLMT_CTN+PPN]],14,0),0)</f>
        <v>0</v>
      </c>
      <c r="N396">
        <f>IFERROR(VLOOKUP(Fix_Mapping[[#This Row],[KODE BARANG]],[1]!KINONF15[[KDBRG]:[HRG_JLMT_CTN+PPN]],15,0),0)</f>
        <v>0</v>
      </c>
      <c r="O396">
        <f>IFERROR(VLOOKUP(Fix_Mapping[[#This Row],[KODE BARANG]],[1]!KINONF15[[KDBRG]:[HRG_JLMT_CTN+PPN]],16,0),0)</f>
        <v>0</v>
      </c>
      <c r="P396">
        <f>IFERROR(VLOOKUP(Fix_Mapping[[#This Row],[KODE BARANG]],[1]!KINONF15[[KDBRG]:[HRG_JLMT_CTN+PPN]],17,0),0)</f>
        <v>0</v>
      </c>
      <c r="Q396">
        <f>IFERROR(VLOOKUP(Fix_Mapping[[#This Row],[KODE BARANG]],[1]!KINONF15[[KDBRG]:[HRG_JLMT_CTN+PPN]],18,0),0)</f>
        <v>0</v>
      </c>
      <c r="R396" t="s">
        <v>2555</v>
      </c>
      <c r="S396" t="s">
        <v>886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2409</v>
      </c>
      <c r="B397" t="s">
        <v>1753</v>
      </c>
      <c r="C397">
        <v>24</v>
      </c>
      <c r="D397">
        <f>IFERROR(VLOOKUP(Fix_Mapping[[#This Row],[KODE BARANG]],[1]!KINONF15[[KDBRG]:[HRG_JLMT_CTN+PPN]],5,0),0)</f>
        <v>0</v>
      </c>
      <c r="E397" t="s">
        <v>2164</v>
      </c>
      <c r="F397">
        <f>IFERROR(VLOOKUP(Fix_Mapping[[#This Row],[KODE BARANG]],[1]!KINONF15[[KDBRG]:[HRG_JLMT_CTN+PPN]],7,0),0)</f>
        <v>0</v>
      </c>
      <c r="G397">
        <f>IFERROR(VLOOKUP(Fix_Mapping[[#This Row],[KODE BARANG]],[1]!KINONF15[[KDBRG]:[HRG_JLMT_CTN+PPN]],8,0),0)</f>
        <v>0</v>
      </c>
      <c r="H397">
        <f>IFERROR(VLOOKUP(Fix_Mapping[[#This Row],[KODE BARANG]],[1]!KINONF15[[KDBRG]:[HRG_JLMT_CTN+PPN]],9,0),0)</f>
        <v>0</v>
      </c>
      <c r="I397">
        <f>IFERROR(VLOOKUP(Fix_Mapping[[#This Row],[KODE BARANG]],[1]!KINONF15[[KDBRG]:[HRG_JLMT_CTN+PPN]],10,0),0)</f>
        <v>0</v>
      </c>
      <c r="J397">
        <f>IFERROR(VLOOKUP(Fix_Mapping[[#This Row],[KODE BARANG]],[1]!KINONF15[[KDBRG]:[HRG_JLMT_CTN+PPN]],11,0),0)</f>
        <v>0</v>
      </c>
      <c r="K397">
        <f>IFERROR(VLOOKUP(Fix_Mapping[[#This Row],[KODE BARANG]],[1]!KINONF15[[KDBRG]:[HRG_JLMT_CTN+PPN]],12,0),0)</f>
        <v>0</v>
      </c>
      <c r="L397">
        <f>IFERROR(VLOOKUP(Fix_Mapping[[#This Row],[KODE BARANG]],[1]!KINONF15[[KDBRG]:[HRG_JLMT_CTN+PPN]],13,0),0)</f>
        <v>0</v>
      </c>
      <c r="M397">
        <f>IFERROR(VLOOKUP(Fix_Mapping[[#This Row],[KODE BARANG]],[1]!KINONF15[[KDBRG]:[HRG_JLMT_CTN+PPN]],14,0),0)</f>
        <v>0</v>
      </c>
      <c r="N397">
        <f>IFERROR(VLOOKUP(Fix_Mapping[[#This Row],[KODE BARANG]],[1]!KINONF15[[KDBRG]:[HRG_JLMT_CTN+PPN]],15,0),0)</f>
        <v>0</v>
      </c>
      <c r="O397">
        <f>IFERROR(VLOOKUP(Fix_Mapping[[#This Row],[KODE BARANG]],[1]!KINONF15[[KDBRG]:[HRG_JLMT_CTN+PPN]],16,0),0)</f>
        <v>0</v>
      </c>
      <c r="P397">
        <f>IFERROR(VLOOKUP(Fix_Mapping[[#This Row],[KODE BARANG]],[1]!KINONF15[[KDBRG]:[HRG_JLMT_CTN+PPN]],17,0),0)</f>
        <v>0</v>
      </c>
      <c r="Q397">
        <f>IFERROR(VLOOKUP(Fix_Mapping[[#This Row],[KODE BARANG]],[1]!KINONF15[[KDBRG]:[HRG_JLMT_CTN+PPN]],18,0),0)</f>
        <v>0</v>
      </c>
      <c r="R397" t="s">
        <v>2555</v>
      </c>
      <c r="S397" t="s">
        <v>870</v>
      </c>
      <c r="T397" t="s">
        <v>871</v>
      </c>
      <c r="U397">
        <v>0</v>
      </c>
      <c r="V397">
        <v>0</v>
      </c>
      <c r="W397">
        <v>0</v>
      </c>
    </row>
    <row r="398" spans="1:23">
      <c r="A398" t="s">
        <v>1754</v>
      </c>
      <c r="B398" t="s">
        <v>1755</v>
      </c>
      <c r="C398">
        <v>144</v>
      </c>
      <c r="D398">
        <f>IFERROR(VLOOKUP(Fix_Mapping[[#This Row],[KODE BARANG]],[1]!KINONF15[[KDBRG]:[HRG_JLMT_CTN+PPN]],5,0),0)</f>
        <v>0</v>
      </c>
      <c r="E398" t="s">
        <v>2164</v>
      </c>
      <c r="F398">
        <f>IFERROR(VLOOKUP(Fix_Mapping[[#This Row],[KODE BARANG]],[1]!KINONF15[[KDBRG]:[HRG_JLMT_CTN+PPN]],7,0),0)</f>
        <v>0</v>
      </c>
      <c r="G398">
        <f>IFERROR(VLOOKUP(Fix_Mapping[[#This Row],[KODE BARANG]],[1]!KINONF15[[KDBRG]:[HRG_JLMT_CTN+PPN]],8,0),0)</f>
        <v>0</v>
      </c>
      <c r="H398">
        <f>IFERROR(VLOOKUP(Fix_Mapping[[#This Row],[KODE BARANG]],[1]!KINONF15[[KDBRG]:[HRG_JLMT_CTN+PPN]],9,0),0)</f>
        <v>0</v>
      </c>
      <c r="I398">
        <f>IFERROR(VLOOKUP(Fix_Mapping[[#This Row],[KODE BARANG]],[1]!KINONF15[[KDBRG]:[HRG_JLMT_CTN+PPN]],10,0),0)</f>
        <v>0</v>
      </c>
      <c r="J398">
        <f>IFERROR(VLOOKUP(Fix_Mapping[[#This Row],[KODE BARANG]],[1]!KINONF15[[KDBRG]:[HRG_JLMT_CTN+PPN]],11,0),0)</f>
        <v>0</v>
      </c>
      <c r="K398">
        <f>IFERROR(VLOOKUP(Fix_Mapping[[#This Row],[KODE BARANG]],[1]!KINONF15[[KDBRG]:[HRG_JLMT_CTN+PPN]],12,0),0)</f>
        <v>0</v>
      </c>
      <c r="L398">
        <f>IFERROR(VLOOKUP(Fix_Mapping[[#This Row],[KODE BARANG]],[1]!KINONF15[[KDBRG]:[HRG_JLMT_CTN+PPN]],13,0),0)</f>
        <v>0</v>
      </c>
      <c r="M398">
        <f>IFERROR(VLOOKUP(Fix_Mapping[[#This Row],[KODE BARANG]],[1]!KINONF15[[KDBRG]:[HRG_JLMT_CTN+PPN]],14,0),0)</f>
        <v>0</v>
      </c>
      <c r="N398">
        <f>IFERROR(VLOOKUP(Fix_Mapping[[#This Row],[KODE BARANG]],[1]!KINONF15[[KDBRG]:[HRG_JLMT_CTN+PPN]],15,0),0)</f>
        <v>0</v>
      </c>
      <c r="O398">
        <f>IFERROR(VLOOKUP(Fix_Mapping[[#This Row],[KODE BARANG]],[1]!KINONF15[[KDBRG]:[HRG_JLMT_CTN+PPN]],16,0),0)</f>
        <v>0</v>
      </c>
      <c r="P398">
        <f>IFERROR(VLOOKUP(Fix_Mapping[[#This Row],[KODE BARANG]],[1]!KINONF15[[KDBRG]:[HRG_JLMT_CTN+PPN]],17,0),0)</f>
        <v>0</v>
      </c>
      <c r="Q398">
        <f>IFERROR(VLOOKUP(Fix_Mapping[[#This Row],[KODE BARANG]],[1]!KINONF15[[KDBRG]:[HRG_JLMT_CTN+PPN]],18,0),0)</f>
        <v>0</v>
      </c>
      <c r="R398" t="s">
        <v>2555</v>
      </c>
      <c r="S398" t="s">
        <v>900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1756</v>
      </c>
      <c r="B399" t="s">
        <v>1757</v>
      </c>
      <c r="C399">
        <v>144</v>
      </c>
      <c r="D399">
        <f>IFERROR(VLOOKUP(Fix_Mapping[[#This Row],[KODE BARANG]],[1]!KINONF15[[KDBRG]:[HRG_JLMT_CTN+PPN]],5,0),0)</f>
        <v>0</v>
      </c>
      <c r="E399" t="s">
        <v>2164</v>
      </c>
      <c r="F399">
        <f>IFERROR(VLOOKUP(Fix_Mapping[[#This Row],[KODE BARANG]],[1]!KINONF15[[KDBRG]:[HRG_JLMT_CTN+PPN]],7,0),0)</f>
        <v>0</v>
      </c>
      <c r="G399">
        <f>IFERROR(VLOOKUP(Fix_Mapping[[#This Row],[KODE BARANG]],[1]!KINONF15[[KDBRG]:[HRG_JLMT_CTN+PPN]],8,0),0)</f>
        <v>0</v>
      </c>
      <c r="H399">
        <f>IFERROR(VLOOKUP(Fix_Mapping[[#This Row],[KODE BARANG]],[1]!KINONF15[[KDBRG]:[HRG_JLMT_CTN+PPN]],9,0),0)</f>
        <v>0</v>
      </c>
      <c r="I399">
        <f>IFERROR(VLOOKUP(Fix_Mapping[[#This Row],[KODE BARANG]],[1]!KINONF15[[KDBRG]:[HRG_JLMT_CTN+PPN]],10,0),0)</f>
        <v>0</v>
      </c>
      <c r="J399">
        <f>IFERROR(VLOOKUP(Fix_Mapping[[#This Row],[KODE BARANG]],[1]!KINONF15[[KDBRG]:[HRG_JLMT_CTN+PPN]],11,0),0)</f>
        <v>0</v>
      </c>
      <c r="K399">
        <f>IFERROR(VLOOKUP(Fix_Mapping[[#This Row],[KODE BARANG]],[1]!KINONF15[[KDBRG]:[HRG_JLMT_CTN+PPN]],12,0),0)</f>
        <v>0</v>
      </c>
      <c r="L399">
        <f>IFERROR(VLOOKUP(Fix_Mapping[[#This Row],[KODE BARANG]],[1]!KINONF15[[KDBRG]:[HRG_JLMT_CTN+PPN]],13,0),0)</f>
        <v>0</v>
      </c>
      <c r="M399">
        <f>IFERROR(VLOOKUP(Fix_Mapping[[#This Row],[KODE BARANG]],[1]!KINONF15[[KDBRG]:[HRG_JLMT_CTN+PPN]],14,0),0)</f>
        <v>0</v>
      </c>
      <c r="N399">
        <f>IFERROR(VLOOKUP(Fix_Mapping[[#This Row],[KODE BARANG]],[1]!KINONF15[[KDBRG]:[HRG_JLMT_CTN+PPN]],15,0),0)</f>
        <v>0</v>
      </c>
      <c r="O399">
        <f>IFERROR(VLOOKUP(Fix_Mapping[[#This Row],[KODE BARANG]],[1]!KINONF15[[KDBRG]:[HRG_JLMT_CTN+PPN]],16,0),0)</f>
        <v>0</v>
      </c>
      <c r="P399">
        <f>IFERROR(VLOOKUP(Fix_Mapping[[#This Row],[KODE BARANG]],[1]!KINONF15[[KDBRG]:[HRG_JLMT_CTN+PPN]],17,0),0)</f>
        <v>0</v>
      </c>
      <c r="Q399">
        <f>IFERROR(VLOOKUP(Fix_Mapping[[#This Row],[KODE BARANG]],[1]!KINONF15[[KDBRG]:[HRG_JLMT_CTN+PPN]],18,0),0)</f>
        <v>0</v>
      </c>
      <c r="R399" t="s">
        <v>2555</v>
      </c>
      <c r="S399" t="s">
        <v>908</v>
      </c>
      <c r="T399">
        <v>0</v>
      </c>
      <c r="U399">
        <v>0</v>
      </c>
      <c r="V399">
        <v>0</v>
      </c>
      <c r="W399">
        <v>0</v>
      </c>
    </row>
    <row r="400" spans="1:23">
      <c r="A400" t="s">
        <v>2410</v>
      </c>
      <c r="B400" t="s">
        <v>1758</v>
      </c>
      <c r="C400">
        <v>24</v>
      </c>
      <c r="D400">
        <f>IFERROR(VLOOKUP(Fix_Mapping[[#This Row],[KODE BARANG]],[1]!KINONF15[[KDBRG]:[HRG_JLMT_CTN+PPN]],5,0),0)</f>
        <v>0</v>
      </c>
      <c r="E400" t="s">
        <v>2164</v>
      </c>
      <c r="F400">
        <f>IFERROR(VLOOKUP(Fix_Mapping[[#This Row],[KODE BARANG]],[1]!KINONF15[[KDBRG]:[HRG_JLMT_CTN+PPN]],7,0),0)</f>
        <v>0</v>
      </c>
      <c r="G400">
        <f>IFERROR(VLOOKUP(Fix_Mapping[[#This Row],[KODE BARANG]],[1]!KINONF15[[KDBRG]:[HRG_JLMT_CTN+PPN]],8,0),0)</f>
        <v>0</v>
      </c>
      <c r="H400">
        <f>IFERROR(VLOOKUP(Fix_Mapping[[#This Row],[KODE BARANG]],[1]!KINONF15[[KDBRG]:[HRG_JLMT_CTN+PPN]],9,0),0)</f>
        <v>0</v>
      </c>
      <c r="I400">
        <f>IFERROR(VLOOKUP(Fix_Mapping[[#This Row],[KODE BARANG]],[1]!KINONF15[[KDBRG]:[HRG_JLMT_CTN+PPN]],10,0),0)</f>
        <v>0</v>
      </c>
      <c r="J400">
        <f>IFERROR(VLOOKUP(Fix_Mapping[[#This Row],[KODE BARANG]],[1]!KINONF15[[KDBRG]:[HRG_JLMT_CTN+PPN]],11,0),0)</f>
        <v>0</v>
      </c>
      <c r="K400">
        <f>IFERROR(VLOOKUP(Fix_Mapping[[#This Row],[KODE BARANG]],[1]!KINONF15[[KDBRG]:[HRG_JLMT_CTN+PPN]],12,0),0)</f>
        <v>0</v>
      </c>
      <c r="L400">
        <f>IFERROR(VLOOKUP(Fix_Mapping[[#This Row],[KODE BARANG]],[1]!KINONF15[[KDBRG]:[HRG_JLMT_CTN+PPN]],13,0),0)</f>
        <v>0</v>
      </c>
      <c r="M400">
        <f>IFERROR(VLOOKUP(Fix_Mapping[[#This Row],[KODE BARANG]],[1]!KINONF15[[KDBRG]:[HRG_JLMT_CTN+PPN]],14,0),0)</f>
        <v>0</v>
      </c>
      <c r="N400">
        <f>IFERROR(VLOOKUP(Fix_Mapping[[#This Row],[KODE BARANG]],[1]!KINONF15[[KDBRG]:[HRG_JLMT_CTN+PPN]],15,0),0)</f>
        <v>0</v>
      </c>
      <c r="O400">
        <f>IFERROR(VLOOKUP(Fix_Mapping[[#This Row],[KODE BARANG]],[1]!KINONF15[[KDBRG]:[HRG_JLMT_CTN+PPN]],16,0),0)</f>
        <v>0</v>
      </c>
      <c r="P400">
        <f>IFERROR(VLOOKUP(Fix_Mapping[[#This Row],[KODE BARANG]],[1]!KINONF15[[KDBRG]:[HRG_JLMT_CTN+PPN]],17,0),0)</f>
        <v>0</v>
      </c>
      <c r="Q400">
        <f>IFERROR(VLOOKUP(Fix_Mapping[[#This Row],[KODE BARANG]],[1]!KINONF15[[KDBRG]:[HRG_JLMT_CTN+PPN]],18,0),0)</f>
        <v>0</v>
      </c>
      <c r="R400" t="s">
        <v>2555</v>
      </c>
      <c r="S400" t="s">
        <v>892</v>
      </c>
      <c r="T400">
        <v>0</v>
      </c>
      <c r="U400">
        <v>0</v>
      </c>
      <c r="V400">
        <v>0</v>
      </c>
      <c r="W400">
        <v>0</v>
      </c>
    </row>
    <row r="401" spans="1:23">
      <c r="A401" t="s">
        <v>1759</v>
      </c>
      <c r="B401" t="s">
        <v>1760</v>
      </c>
      <c r="C401">
        <v>144</v>
      </c>
      <c r="D401">
        <f>IFERROR(VLOOKUP(Fix_Mapping[[#This Row],[KODE BARANG]],[1]!KINONF15[[KDBRG]:[HRG_JLMT_CTN+PPN]],5,0),0)</f>
        <v>0</v>
      </c>
      <c r="E401" t="s">
        <v>2164</v>
      </c>
      <c r="F401">
        <f>IFERROR(VLOOKUP(Fix_Mapping[[#This Row],[KODE BARANG]],[1]!KINONF15[[KDBRG]:[HRG_JLMT_CTN+PPN]],7,0),0)</f>
        <v>0</v>
      </c>
      <c r="G401">
        <f>IFERROR(VLOOKUP(Fix_Mapping[[#This Row],[KODE BARANG]],[1]!KINONF15[[KDBRG]:[HRG_JLMT_CTN+PPN]],8,0),0)</f>
        <v>0</v>
      </c>
      <c r="H401">
        <f>IFERROR(VLOOKUP(Fix_Mapping[[#This Row],[KODE BARANG]],[1]!KINONF15[[KDBRG]:[HRG_JLMT_CTN+PPN]],9,0),0)</f>
        <v>0</v>
      </c>
      <c r="I401">
        <f>IFERROR(VLOOKUP(Fix_Mapping[[#This Row],[KODE BARANG]],[1]!KINONF15[[KDBRG]:[HRG_JLMT_CTN+PPN]],10,0),0)</f>
        <v>0</v>
      </c>
      <c r="J401">
        <f>IFERROR(VLOOKUP(Fix_Mapping[[#This Row],[KODE BARANG]],[1]!KINONF15[[KDBRG]:[HRG_JLMT_CTN+PPN]],11,0),0)</f>
        <v>0</v>
      </c>
      <c r="K401">
        <f>IFERROR(VLOOKUP(Fix_Mapping[[#This Row],[KODE BARANG]],[1]!KINONF15[[KDBRG]:[HRG_JLMT_CTN+PPN]],12,0),0)</f>
        <v>0</v>
      </c>
      <c r="L401">
        <f>IFERROR(VLOOKUP(Fix_Mapping[[#This Row],[KODE BARANG]],[1]!KINONF15[[KDBRG]:[HRG_JLMT_CTN+PPN]],13,0),0)</f>
        <v>0</v>
      </c>
      <c r="M401">
        <f>IFERROR(VLOOKUP(Fix_Mapping[[#This Row],[KODE BARANG]],[1]!KINONF15[[KDBRG]:[HRG_JLMT_CTN+PPN]],14,0),0)</f>
        <v>0</v>
      </c>
      <c r="N401">
        <f>IFERROR(VLOOKUP(Fix_Mapping[[#This Row],[KODE BARANG]],[1]!KINONF15[[KDBRG]:[HRG_JLMT_CTN+PPN]],15,0),0)</f>
        <v>0</v>
      </c>
      <c r="O401">
        <f>IFERROR(VLOOKUP(Fix_Mapping[[#This Row],[KODE BARANG]],[1]!KINONF15[[KDBRG]:[HRG_JLMT_CTN+PPN]],16,0),0)</f>
        <v>0</v>
      </c>
      <c r="P401">
        <f>IFERROR(VLOOKUP(Fix_Mapping[[#This Row],[KODE BARANG]],[1]!KINONF15[[KDBRG]:[HRG_JLMT_CTN+PPN]],17,0),0)</f>
        <v>0</v>
      </c>
      <c r="Q401">
        <f>IFERROR(VLOOKUP(Fix_Mapping[[#This Row],[KODE BARANG]],[1]!KINONF15[[KDBRG]:[HRG_JLMT_CTN+PPN]],18,0),0)</f>
        <v>0</v>
      </c>
      <c r="R401" t="s">
        <v>2555</v>
      </c>
      <c r="S401" t="s">
        <v>914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1761</v>
      </c>
      <c r="B402" t="s">
        <v>1762</v>
      </c>
      <c r="C402">
        <v>72</v>
      </c>
      <c r="D402">
        <f>IFERROR(VLOOKUP(Fix_Mapping[[#This Row],[KODE BARANG]],[1]!KINONF15[[KDBRG]:[HRG_JLMT_CTN+PPN]],5,0),0)</f>
        <v>0</v>
      </c>
      <c r="E402" t="s">
        <v>2160</v>
      </c>
      <c r="F402">
        <f>IFERROR(VLOOKUP(Fix_Mapping[[#This Row],[KODE BARANG]],[1]!KINONF15[[KDBRG]:[HRG_JLMT_CTN+PPN]],7,0),0)</f>
        <v>0</v>
      </c>
      <c r="G402">
        <f>IFERROR(VLOOKUP(Fix_Mapping[[#This Row],[KODE BARANG]],[1]!KINONF15[[KDBRG]:[HRG_JLMT_CTN+PPN]],8,0),0)</f>
        <v>0</v>
      </c>
      <c r="H402">
        <f>IFERROR(VLOOKUP(Fix_Mapping[[#This Row],[KODE BARANG]],[1]!KINONF15[[KDBRG]:[HRG_JLMT_CTN+PPN]],9,0),0)</f>
        <v>0</v>
      </c>
      <c r="I402">
        <f>IFERROR(VLOOKUP(Fix_Mapping[[#This Row],[KODE BARANG]],[1]!KINONF15[[KDBRG]:[HRG_JLMT_CTN+PPN]],10,0),0)</f>
        <v>0</v>
      </c>
      <c r="J402">
        <f>IFERROR(VLOOKUP(Fix_Mapping[[#This Row],[KODE BARANG]],[1]!KINONF15[[KDBRG]:[HRG_JLMT_CTN+PPN]],11,0),0)</f>
        <v>0</v>
      </c>
      <c r="K402">
        <f>IFERROR(VLOOKUP(Fix_Mapping[[#This Row],[KODE BARANG]],[1]!KINONF15[[KDBRG]:[HRG_JLMT_CTN+PPN]],12,0),0)</f>
        <v>0</v>
      </c>
      <c r="L402">
        <f>IFERROR(VLOOKUP(Fix_Mapping[[#This Row],[KODE BARANG]],[1]!KINONF15[[KDBRG]:[HRG_JLMT_CTN+PPN]],13,0),0)</f>
        <v>0</v>
      </c>
      <c r="M402">
        <f>IFERROR(VLOOKUP(Fix_Mapping[[#This Row],[KODE BARANG]],[1]!KINONF15[[KDBRG]:[HRG_JLMT_CTN+PPN]],14,0),0)</f>
        <v>0</v>
      </c>
      <c r="N402">
        <f>IFERROR(VLOOKUP(Fix_Mapping[[#This Row],[KODE BARANG]],[1]!KINONF15[[KDBRG]:[HRG_JLMT_CTN+PPN]],15,0),0)</f>
        <v>0</v>
      </c>
      <c r="O402">
        <f>IFERROR(VLOOKUP(Fix_Mapping[[#This Row],[KODE BARANG]],[1]!KINONF15[[KDBRG]:[HRG_JLMT_CTN+PPN]],16,0),0)</f>
        <v>0</v>
      </c>
      <c r="P402">
        <f>IFERROR(VLOOKUP(Fix_Mapping[[#This Row],[KODE BARANG]],[1]!KINONF15[[KDBRG]:[HRG_JLMT_CTN+PPN]],17,0),0)</f>
        <v>0</v>
      </c>
      <c r="Q402">
        <f>IFERROR(VLOOKUP(Fix_Mapping[[#This Row],[KODE BARANG]],[1]!KINONF15[[KDBRG]:[HRG_JLMT_CTN+PPN]],18,0),0)</f>
        <v>0</v>
      </c>
      <c r="R402" t="s">
        <v>2555</v>
      </c>
      <c r="S402" t="s">
        <v>887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1763</v>
      </c>
      <c r="B403" t="s">
        <v>1764</v>
      </c>
      <c r="C403">
        <v>72</v>
      </c>
      <c r="D403">
        <f>IFERROR(VLOOKUP(Fix_Mapping[[#This Row],[KODE BARANG]],[1]!KINONF15[[KDBRG]:[HRG_JLMT_CTN+PPN]],5,0),0)</f>
        <v>0</v>
      </c>
      <c r="E403" t="s">
        <v>2160</v>
      </c>
      <c r="F403">
        <f>IFERROR(VLOOKUP(Fix_Mapping[[#This Row],[KODE BARANG]],[1]!KINONF15[[KDBRG]:[HRG_JLMT_CTN+PPN]],7,0),0)</f>
        <v>0</v>
      </c>
      <c r="G403">
        <f>IFERROR(VLOOKUP(Fix_Mapping[[#This Row],[KODE BARANG]],[1]!KINONF15[[KDBRG]:[HRG_JLMT_CTN+PPN]],8,0),0)</f>
        <v>0</v>
      </c>
      <c r="H403">
        <f>IFERROR(VLOOKUP(Fix_Mapping[[#This Row],[KODE BARANG]],[1]!KINONF15[[KDBRG]:[HRG_JLMT_CTN+PPN]],9,0),0)</f>
        <v>0</v>
      </c>
      <c r="I403">
        <f>IFERROR(VLOOKUP(Fix_Mapping[[#This Row],[KODE BARANG]],[1]!KINONF15[[KDBRG]:[HRG_JLMT_CTN+PPN]],10,0),0)</f>
        <v>0</v>
      </c>
      <c r="J403">
        <f>IFERROR(VLOOKUP(Fix_Mapping[[#This Row],[KODE BARANG]],[1]!KINONF15[[KDBRG]:[HRG_JLMT_CTN+PPN]],11,0),0)</f>
        <v>0</v>
      </c>
      <c r="K403">
        <f>IFERROR(VLOOKUP(Fix_Mapping[[#This Row],[KODE BARANG]],[1]!KINONF15[[KDBRG]:[HRG_JLMT_CTN+PPN]],12,0),0)</f>
        <v>0</v>
      </c>
      <c r="L403">
        <f>IFERROR(VLOOKUP(Fix_Mapping[[#This Row],[KODE BARANG]],[1]!KINONF15[[KDBRG]:[HRG_JLMT_CTN+PPN]],13,0),0)</f>
        <v>0</v>
      </c>
      <c r="M403">
        <f>IFERROR(VLOOKUP(Fix_Mapping[[#This Row],[KODE BARANG]],[1]!KINONF15[[KDBRG]:[HRG_JLMT_CTN+PPN]],14,0),0)</f>
        <v>0</v>
      </c>
      <c r="N403">
        <f>IFERROR(VLOOKUP(Fix_Mapping[[#This Row],[KODE BARANG]],[1]!KINONF15[[KDBRG]:[HRG_JLMT_CTN+PPN]],15,0),0)</f>
        <v>0</v>
      </c>
      <c r="O403">
        <f>IFERROR(VLOOKUP(Fix_Mapping[[#This Row],[KODE BARANG]],[1]!KINONF15[[KDBRG]:[HRG_JLMT_CTN+PPN]],16,0),0)</f>
        <v>0</v>
      </c>
      <c r="P403">
        <f>IFERROR(VLOOKUP(Fix_Mapping[[#This Row],[KODE BARANG]],[1]!KINONF15[[KDBRG]:[HRG_JLMT_CTN+PPN]],17,0),0)</f>
        <v>0</v>
      </c>
      <c r="Q403">
        <f>IFERROR(VLOOKUP(Fix_Mapping[[#This Row],[KODE BARANG]],[1]!KINONF15[[KDBRG]:[HRG_JLMT_CTN+PPN]],18,0),0)</f>
        <v>0</v>
      </c>
      <c r="R403" t="s">
        <v>2555</v>
      </c>
      <c r="S403" t="s">
        <v>863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1765</v>
      </c>
      <c r="B404" t="s">
        <v>1766</v>
      </c>
      <c r="C404">
        <v>144</v>
      </c>
      <c r="D404">
        <f>IFERROR(VLOOKUP(Fix_Mapping[[#This Row],[KODE BARANG]],[1]!KINONF15[[KDBRG]:[HRG_JLMT_CTN+PPN]],5,0),0)</f>
        <v>0</v>
      </c>
      <c r="E404" t="s">
        <v>2162</v>
      </c>
      <c r="F404">
        <f>IFERROR(VLOOKUP(Fix_Mapping[[#This Row],[KODE BARANG]],[1]!KINONF15[[KDBRG]:[HRG_JLMT_CTN+PPN]],7,0),0)</f>
        <v>0</v>
      </c>
      <c r="G404">
        <f>IFERROR(VLOOKUP(Fix_Mapping[[#This Row],[KODE BARANG]],[1]!KINONF15[[KDBRG]:[HRG_JLMT_CTN+PPN]],8,0),0)</f>
        <v>0</v>
      </c>
      <c r="H404">
        <f>IFERROR(VLOOKUP(Fix_Mapping[[#This Row],[KODE BARANG]],[1]!KINONF15[[KDBRG]:[HRG_JLMT_CTN+PPN]],9,0),0)</f>
        <v>0</v>
      </c>
      <c r="I404">
        <f>IFERROR(VLOOKUP(Fix_Mapping[[#This Row],[KODE BARANG]],[1]!KINONF15[[KDBRG]:[HRG_JLMT_CTN+PPN]],10,0),0)</f>
        <v>0</v>
      </c>
      <c r="J404">
        <f>IFERROR(VLOOKUP(Fix_Mapping[[#This Row],[KODE BARANG]],[1]!KINONF15[[KDBRG]:[HRG_JLMT_CTN+PPN]],11,0),0)</f>
        <v>0</v>
      </c>
      <c r="K404">
        <f>IFERROR(VLOOKUP(Fix_Mapping[[#This Row],[KODE BARANG]],[1]!KINONF15[[KDBRG]:[HRG_JLMT_CTN+PPN]],12,0),0)</f>
        <v>0</v>
      </c>
      <c r="L404">
        <f>IFERROR(VLOOKUP(Fix_Mapping[[#This Row],[KODE BARANG]],[1]!KINONF15[[KDBRG]:[HRG_JLMT_CTN+PPN]],13,0),0)</f>
        <v>0</v>
      </c>
      <c r="M404">
        <f>IFERROR(VLOOKUP(Fix_Mapping[[#This Row],[KODE BARANG]],[1]!KINONF15[[KDBRG]:[HRG_JLMT_CTN+PPN]],14,0),0)</f>
        <v>0</v>
      </c>
      <c r="N404">
        <f>IFERROR(VLOOKUP(Fix_Mapping[[#This Row],[KODE BARANG]],[1]!KINONF15[[KDBRG]:[HRG_JLMT_CTN+PPN]],15,0),0)</f>
        <v>0</v>
      </c>
      <c r="O404">
        <f>IFERROR(VLOOKUP(Fix_Mapping[[#This Row],[KODE BARANG]],[1]!KINONF15[[KDBRG]:[HRG_JLMT_CTN+PPN]],16,0),0)</f>
        <v>0</v>
      </c>
      <c r="P404">
        <f>IFERROR(VLOOKUP(Fix_Mapping[[#This Row],[KODE BARANG]],[1]!KINONF15[[KDBRG]:[HRG_JLMT_CTN+PPN]],17,0),0)</f>
        <v>0</v>
      </c>
      <c r="Q404">
        <f>IFERROR(VLOOKUP(Fix_Mapping[[#This Row],[KODE BARANG]],[1]!KINONF15[[KDBRG]:[HRG_JLMT_CTN+PPN]],18,0),0)</f>
        <v>0</v>
      </c>
      <c r="R404" t="s">
        <v>2555</v>
      </c>
      <c r="S404" t="s">
        <v>862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1767</v>
      </c>
      <c r="B405" t="s">
        <v>1768</v>
      </c>
      <c r="C405">
        <v>144</v>
      </c>
      <c r="D405">
        <f>IFERROR(VLOOKUP(Fix_Mapping[[#This Row],[KODE BARANG]],[1]!KINONF15[[KDBRG]:[HRG_JLMT_CTN+PPN]],5,0),0)</f>
        <v>0</v>
      </c>
      <c r="E405" t="s">
        <v>2162</v>
      </c>
      <c r="F405">
        <f>IFERROR(VLOOKUP(Fix_Mapping[[#This Row],[KODE BARANG]],[1]!KINONF15[[KDBRG]:[HRG_JLMT_CTN+PPN]],7,0),0)</f>
        <v>0</v>
      </c>
      <c r="G405">
        <f>IFERROR(VLOOKUP(Fix_Mapping[[#This Row],[KODE BARANG]],[1]!KINONF15[[KDBRG]:[HRG_JLMT_CTN+PPN]],8,0),0)</f>
        <v>0</v>
      </c>
      <c r="H405">
        <f>IFERROR(VLOOKUP(Fix_Mapping[[#This Row],[KODE BARANG]],[1]!KINONF15[[KDBRG]:[HRG_JLMT_CTN+PPN]],9,0),0)</f>
        <v>0</v>
      </c>
      <c r="I405">
        <f>IFERROR(VLOOKUP(Fix_Mapping[[#This Row],[KODE BARANG]],[1]!KINONF15[[KDBRG]:[HRG_JLMT_CTN+PPN]],10,0),0)</f>
        <v>0</v>
      </c>
      <c r="J405">
        <f>IFERROR(VLOOKUP(Fix_Mapping[[#This Row],[KODE BARANG]],[1]!KINONF15[[KDBRG]:[HRG_JLMT_CTN+PPN]],11,0),0)</f>
        <v>0</v>
      </c>
      <c r="K405">
        <f>IFERROR(VLOOKUP(Fix_Mapping[[#This Row],[KODE BARANG]],[1]!KINONF15[[KDBRG]:[HRG_JLMT_CTN+PPN]],12,0),0)</f>
        <v>0</v>
      </c>
      <c r="L405">
        <f>IFERROR(VLOOKUP(Fix_Mapping[[#This Row],[KODE BARANG]],[1]!KINONF15[[KDBRG]:[HRG_JLMT_CTN+PPN]],13,0),0)</f>
        <v>0</v>
      </c>
      <c r="M405">
        <f>IFERROR(VLOOKUP(Fix_Mapping[[#This Row],[KODE BARANG]],[1]!KINONF15[[KDBRG]:[HRG_JLMT_CTN+PPN]],14,0),0)</f>
        <v>0</v>
      </c>
      <c r="N405">
        <f>IFERROR(VLOOKUP(Fix_Mapping[[#This Row],[KODE BARANG]],[1]!KINONF15[[KDBRG]:[HRG_JLMT_CTN+PPN]],15,0),0)</f>
        <v>0</v>
      </c>
      <c r="O405">
        <f>IFERROR(VLOOKUP(Fix_Mapping[[#This Row],[KODE BARANG]],[1]!KINONF15[[KDBRG]:[HRG_JLMT_CTN+PPN]],16,0),0)</f>
        <v>0</v>
      </c>
      <c r="P405">
        <f>IFERROR(VLOOKUP(Fix_Mapping[[#This Row],[KODE BARANG]],[1]!KINONF15[[KDBRG]:[HRG_JLMT_CTN+PPN]],17,0),0)</f>
        <v>0</v>
      </c>
      <c r="Q405">
        <f>IFERROR(VLOOKUP(Fix_Mapping[[#This Row],[KODE BARANG]],[1]!KINONF15[[KDBRG]:[HRG_JLMT_CTN+PPN]],18,0),0)</f>
        <v>0</v>
      </c>
      <c r="R405" t="s">
        <v>2555</v>
      </c>
      <c r="S405" t="s">
        <v>864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1769</v>
      </c>
      <c r="B406" t="s">
        <v>1770</v>
      </c>
      <c r="C406">
        <v>144</v>
      </c>
      <c r="D406">
        <f>IFERROR(VLOOKUP(Fix_Mapping[[#This Row],[KODE BARANG]],[1]!KINONF15[[KDBRG]:[HRG_JLMT_CTN+PPN]],5,0),0)</f>
        <v>0</v>
      </c>
      <c r="E406" t="s">
        <v>2162</v>
      </c>
      <c r="F406">
        <f>IFERROR(VLOOKUP(Fix_Mapping[[#This Row],[KODE BARANG]],[1]!KINONF15[[KDBRG]:[HRG_JLMT_CTN+PPN]],7,0),0)</f>
        <v>0</v>
      </c>
      <c r="G406">
        <f>IFERROR(VLOOKUP(Fix_Mapping[[#This Row],[KODE BARANG]],[1]!KINONF15[[KDBRG]:[HRG_JLMT_CTN+PPN]],8,0),0)</f>
        <v>0</v>
      </c>
      <c r="H406">
        <f>IFERROR(VLOOKUP(Fix_Mapping[[#This Row],[KODE BARANG]],[1]!KINONF15[[KDBRG]:[HRG_JLMT_CTN+PPN]],9,0),0)</f>
        <v>0</v>
      </c>
      <c r="I406">
        <f>IFERROR(VLOOKUP(Fix_Mapping[[#This Row],[KODE BARANG]],[1]!KINONF15[[KDBRG]:[HRG_JLMT_CTN+PPN]],10,0),0)</f>
        <v>0</v>
      </c>
      <c r="J406">
        <f>IFERROR(VLOOKUP(Fix_Mapping[[#This Row],[KODE BARANG]],[1]!KINONF15[[KDBRG]:[HRG_JLMT_CTN+PPN]],11,0),0)</f>
        <v>0</v>
      </c>
      <c r="K406">
        <f>IFERROR(VLOOKUP(Fix_Mapping[[#This Row],[KODE BARANG]],[1]!KINONF15[[KDBRG]:[HRG_JLMT_CTN+PPN]],12,0),0)</f>
        <v>0</v>
      </c>
      <c r="L406">
        <f>IFERROR(VLOOKUP(Fix_Mapping[[#This Row],[KODE BARANG]],[1]!KINONF15[[KDBRG]:[HRG_JLMT_CTN+PPN]],13,0),0)</f>
        <v>0</v>
      </c>
      <c r="M406">
        <f>IFERROR(VLOOKUP(Fix_Mapping[[#This Row],[KODE BARANG]],[1]!KINONF15[[KDBRG]:[HRG_JLMT_CTN+PPN]],14,0),0)</f>
        <v>0</v>
      </c>
      <c r="N406">
        <f>IFERROR(VLOOKUP(Fix_Mapping[[#This Row],[KODE BARANG]],[1]!KINONF15[[KDBRG]:[HRG_JLMT_CTN+PPN]],15,0),0)</f>
        <v>0</v>
      </c>
      <c r="O406">
        <f>IFERROR(VLOOKUP(Fix_Mapping[[#This Row],[KODE BARANG]],[1]!KINONF15[[KDBRG]:[HRG_JLMT_CTN+PPN]],16,0),0)</f>
        <v>0</v>
      </c>
      <c r="P406">
        <f>IFERROR(VLOOKUP(Fix_Mapping[[#This Row],[KODE BARANG]],[1]!KINONF15[[KDBRG]:[HRG_JLMT_CTN+PPN]],17,0),0)</f>
        <v>0</v>
      </c>
      <c r="Q406">
        <f>IFERROR(VLOOKUP(Fix_Mapping[[#This Row],[KODE BARANG]],[1]!KINONF15[[KDBRG]:[HRG_JLMT_CTN+PPN]],18,0),0)</f>
        <v>0</v>
      </c>
      <c r="R406" t="s">
        <v>2555</v>
      </c>
      <c r="S406" t="s">
        <v>902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1771</v>
      </c>
      <c r="B407" t="s">
        <v>1772</v>
      </c>
      <c r="C407">
        <v>144</v>
      </c>
      <c r="D407">
        <f>IFERROR(VLOOKUP(Fix_Mapping[[#This Row],[KODE BARANG]],[1]!KINONF15[[KDBRG]:[HRG_JLMT_CTN+PPN]],5,0),0)</f>
        <v>0</v>
      </c>
      <c r="E407" t="s">
        <v>2162</v>
      </c>
      <c r="F407">
        <f>IFERROR(VLOOKUP(Fix_Mapping[[#This Row],[KODE BARANG]],[1]!KINONF15[[KDBRG]:[HRG_JLMT_CTN+PPN]],7,0),0)</f>
        <v>0</v>
      </c>
      <c r="G407">
        <f>IFERROR(VLOOKUP(Fix_Mapping[[#This Row],[KODE BARANG]],[1]!KINONF15[[KDBRG]:[HRG_JLMT_CTN+PPN]],8,0),0)</f>
        <v>0</v>
      </c>
      <c r="H407">
        <f>IFERROR(VLOOKUP(Fix_Mapping[[#This Row],[KODE BARANG]],[1]!KINONF15[[KDBRG]:[HRG_JLMT_CTN+PPN]],9,0),0)</f>
        <v>0</v>
      </c>
      <c r="I407">
        <f>IFERROR(VLOOKUP(Fix_Mapping[[#This Row],[KODE BARANG]],[1]!KINONF15[[KDBRG]:[HRG_JLMT_CTN+PPN]],10,0),0)</f>
        <v>0</v>
      </c>
      <c r="J407">
        <f>IFERROR(VLOOKUP(Fix_Mapping[[#This Row],[KODE BARANG]],[1]!KINONF15[[KDBRG]:[HRG_JLMT_CTN+PPN]],11,0),0)</f>
        <v>0</v>
      </c>
      <c r="K407">
        <f>IFERROR(VLOOKUP(Fix_Mapping[[#This Row],[KODE BARANG]],[1]!KINONF15[[KDBRG]:[HRG_JLMT_CTN+PPN]],12,0),0)</f>
        <v>0</v>
      </c>
      <c r="L407">
        <f>IFERROR(VLOOKUP(Fix_Mapping[[#This Row],[KODE BARANG]],[1]!KINONF15[[KDBRG]:[HRG_JLMT_CTN+PPN]],13,0),0)</f>
        <v>0</v>
      </c>
      <c r="M407">
        <f>IFERROR(VLOOKUP(Fix_Mapping[[#This Row],[KODE BARANG]],[1]!KINONF15[[KDBRG]:[HRG_JLMT_CTN+PPN]],14,0),0)</f>
        <v>0</v>
      </c>
      <c r="N407">
        <f>IFERROR(VLOOKUP(Fix_Mapping[[#This Row],[KODE BARANG]],[1]!KINONF15[[KDBRG]:[HRG_JLMT_CTN+PPN]],15,0),0)</f>
        <v>0</v>
      </c>
      <c r="O407">
        <f>IFERROR(VLOOKUP(Fix_Mapping[[#This Row],[KODE BARANG]],[1]!KINONF15[[KDBRG]:[HRG_JLMT_CTN+PPN]],16,0),0)</f>
        <v>0</v>
      </c>
      <c r="P407">
        <f>IFERROR(VLOOKUP(Fix_Mapping[[#This Row],[KODE BARANG]],[1]!KINONF15[[KDBRG]:[HRG_JLMT_CTN+PPN]],17,0),0)</f>
        <v>0</v>
      </c>
      <c r="Q407">
        <f>IFERROR(VLOOKUP(Fix_Mapping[[#This Row],[KODE BARANG]],[1]!KINONF15[[KDBRG]:[HRG_JLMT_CTN+PPN]],18,0),0)</f>
        <v>0</v>
      </c>
      <c r="R407" t="s">
        <v>2555</v>
      </c>
      <c r="S407" t="s">
        <v>888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1773</v>
      </c>
      <c r="B408" t="s">
        <v>1774</v>
      </c>
      <c r="C408">
        <v>144</v>
      </c>
      <c r="D408">
        <f>IFERROR(VLOOKUP(Fix_Mapping[[#This Row],[KODE BARANG]],[1]!KINONF15[[KDBRG]:[HRG_JLMT_CTN+PPN]],5,0),0)</f>
        <v>0</v>
      </c>
      <c r="E408" t="s">
        <v>2166</v>
      </c>
      <c r="F408">
        <f>IFERROR(VLOOKUP(Fix_Mapping[[#This Row],[KODE BARANG]],[1]!KINONF15[[KDBRG]:[HRG_JLMT_CTN+PPN]],7,0),0)</f>
        <v>0</v>
      </c>
      <c r="G408">
        <f>IFERROR(VLOOKUP(Fix_Mapping[[#This Row],[KODE BARANG]],[1]!KINONF15[[KDBRG]:[HRG_JLMT_CTN+PPN]],8,0),0)</f>
        <v>0</v>
      </c>
      <c r="H408">
        <f>IFERROR(VLOOKUP(Fix_Mapping[[#This Row],[KODE BARANG]],[1]!KINONF15[[KDBRG]:[HRG_JLMT_CTN+PPN]],9,0),0)</f>
        <v>0</v>
      </c>
      <c r="I408">
        <f>IFERROR(VLOOKUP(Fix_Mapping[[#This Row],[KODE BARANG]],[1]!KINONF15[[KDBRG]:[HRG_JLMT_CTN+PPN]],10,0),0)</f>
        <v>0</v>
      </c>
      <c r="J408">
        <f>IFERROR(VLOOKUP(Fix_Mapping[[#This Row],[KODE BARANG]],[1]!KINONF15[[KDBRG]:[HRG_JLMT_CTN+PPN]],11,0),0)</f>
        <v>0</v>
      </c>
      <c r="K408">
        <f>IFERROR(VLOOKUP(Fix_Mapping[[#This Row],[KODE BARANG]],[1]!KINONF15[[KDBRG]:[HRG_JLMT_CTN+PPN]],12,0),0)</f>
        <v>0</v>
      </c>
      <c r="L408">
        <f>IFERROR(VLOOKUP(Fix_Mapping[[#This Row],[KODE BARANG]],[1]!KINONF15[[KDBRG]:[HRG_JLMT_CTN+PPN]],13,0),0)</f>
        <v>0</v>
      </c>
      <c r="M408">
        <f>IFERROR(VLOOKUP(Fix_Mapping[[#This Row],[KODE BARANG]],[1]!KINONF15[[KDBRG]:[HRG_JLMT_CTN+PPN]],14,0),0)</f>
        <v>0</v>
      </c>
      <c r="N408">
        <f>IFERROR(VLOOKUP(Fix_Mapping[[#This Row],[KODE BARANG]],[1]!KINONF15[[KDBRG]:[HRG_JLMT_CTN+PPN]],15,0),0)</f>
        <v>0</v>
      </c>
      <c r="O408">
        <f>IFERROR(VLOOKUP(Fix_Mapping[[#This Row],[KODE BARANG]],[1]!KINONF15[[KDBRG]:[HRG_JLMT_CTN+PPN]],16,0),0)</f>
        <v>0</v>
      </c>
      <c r="P408">
        <f>IFERROR(VLOOKUP(Fix_Mapping[[#This Row],[KODE BARANG]],[1]!KINONF15[[KDBRG]:[HRG_JLMT_CTN+PPN]],17,0),0)</f>
        <v>0</v>
      </c>
      <c r="Q408">
        <f>IFERROR(VLOOKUP(Fix_Mapping[[#This Row],[KODE BARANG]],[1]!KINONF15[[KDBRG]:[HRG_JLMT_CTN+PPN]],18,0),0)</f>
        <v>0</v>
      </c>
      <c r="R408" t="s">
        <v>2555</v>
      </c>
      <c r="S408" t="s">
        <v>857</v>
      </c>
      <c r="T408">
        <v>0</v>
      </c>
      <c r="U408">
        <v>0</v>
      </c>
      <c r="V408">
        <v>0</v>
      </c>
      <c r="W408">
        <v>0</v>
      </c>
    </row>
    <row r="409" spans="1:23">
      <c r="A409" t="s">
        <v>1775</v>
      </c>
      <c r="B409" t="s">
        <v>1776</v>
      </c>
      <c r="C409">
        <v>288</v>
      </c>
      <c r="D409">
        <f>IFERROR(VLOOKUP(Fix_Mapping[[#This Row],[KODE BARANG]],[1]!KINONF15[[KDBRG]:[HRG_JLMT_CTN+PPN]],5,0),0)</f>
        <v>0</v>
      </c>
      <c r="E409" t="s">
        <v>2166</v>
      </c>
      <c r="F409">
        <f>IFERROR(VLOOKUP(Fix_Mapping[[#This Row],[KODE BARANG]],[1]!KINONF15[[KDBRG]:[HRG_JLMT_CTN+PPN]],7,0),0)</f>
        <v>0</v>
      </c>
      <c r="G409">
        <f>IFERROR(VLOOKUP(Fix_Mapping[[#This Row],[KODE BARANG]],[1]!KINONF15[[KDBRG]:[HRG_JLMT_CTN+PPN]],8,0),0)</f>
        <v>0</v>
      </c>
      <c r="H409">
        <f>IFERROR(VLOOKUP(Fix_Mapping[[#This Row],[KODE BARANG]],[1]!KINONF15[[KDBRG]:[HRG_JLMT_CTN+PPN]],9,0),0)</f>
        <v>0</v>
      </c>
      <c r="I409">
        <f>IFERROR(VLOOKUP(Fix_Mapping[[#This Row],[KODE BARANG]],[1]!KINONF15[[KDBRG]:[HRG_JLMT_CTN+PPN]],10,0),0)</f>
        <v>0</v>
      </c>
      <c r="J409">
        <f>IFERROR(VLOOKUP(Fix_Mapping[[#This Row],[KODE BARANG]],[1]!KINONF15[[KDBRG]:[HRG_JLMT_CTN+PPN]],11,0),0)</f>
        <v>0</v>
      </c>
      <c r="K409">
        <f>IFERROR(VLOOKUP(Fix_Mapping[[#This Row],[KODE BARANG]],[1]!KINONF15[[KDBRG]:[HRG_JLMT_CTN+PPN]],12,0),0)</f>
        <v>0</v>
      </c>
      <c r="L409">
        <f>IFERROR(VLOOKUP(Fix_Mapping[[#This Row],[KODE BARANG]],[1]!KINONF15[[KDBRG]:[HRG_JLMT_CTN+PPN]],13,0),0)</f>
        <v>0</v>
      </c>
      <c r="M409">
        <f>IFERROR(VLOOKUP(Fix_Mapping[[#This Row],[KODE BARANG]],[1]!KINONF15[[KDBRG]:[HRG_JLMT_CTN+PPN]],14,0),0)</f>
        <v>0</v>
      </c>
      <c r="N409">
        <f>IFERROR(VLOOKUP(Fix_Mapping[[#This Row],[KODE BARANG]],[1]!KINONF15[[KDBRG]:[HRG_JLMT_CTN+PPN]],15,0),0)</f>
        <v>0</v>
      </c>
      <c r="O409">
        <f>IFERROR(VLOOKUP(Fix_Mapping[[#This Row],[KODE BARANG]],[1]!KINONF15[[KDBRG]:[HRG_JLMT_CTN+PPN]],16,0),0)</f>
        <v>0</v>
      </c>
      <c r="P409">
        <f>IFERROR(VLOOKUP(Fix_Mapping[[#This Row],[KODE BARANG]],[1]!KINONF15[[KDBRG]:[HRG_JLMT_CTN+PPN]],17,0),0)</f>
        <v>0</v>
      </c>
      <c r="Q409">
        <f>IFERROR(VLOOKUP(Fix_Mapping[[#This Row],[KODE BARANG]],[1]!KINONF15[[KDBRG]:[HRG_JLMT_CTN+PPN]],18,0),0)</f>
        <v>0</v>
      </c>
      <c r="R409" t="s">
        <v>2555</v>
      </c>
      <c r="S409" t="s">
        <v>882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1777</v>
      </c>
      <c r="B410" t="s">
        <v>1778</v>
      </c>
      <c r="C410">
        <v>24</v>
      </c>
      <c r="D410">
        <f>IFERROR(VLOOKUP(Fix_Mapping[[#This Row],[KODE BARANG]],[1]!KINONF15[[KDBRG]:[HRG_JLMT_CTN+PPN]],5,0),0)</f>
        <v>0</v>
      </c>
      <c r="E410" t="s">
        <v>2168</v>
      </c>
      <c r="F410">
        <f>IFERROR(VLOOKUP(Fix_Mapping[[#This Row],[KODE BARANG]],[1]!KINONF15[[KDBRG]:[HRG_JLMT_CTN+PPN]],7,0),0)</f>
        <v>0</v>
      </c>
      <c r="G410">
        <f>IFERROR(VLOOKUP(Fix_Mapping[[#This Row],[KODE BARANG]],[1]!KINONF15[[KDBRG]:[HRG_JLMT_CTN+PPN]],8,0),0)</f>
        <v>0</v>
      </c>
      <c r="H410">
        <f>IFERROR(VLOOKUP(Fix_Mapping[[#This Row],[KODE BARANG]],[1]!KINONF15[[KDBRG]:[HRG_JLMT_CTN+PPN]],9,0),0)</f>
        <v>0</v>
      </c>
      <c r="I410">
        <f>IFERROR(VLOOKUP(Fix_Mapping[[#This Row],[KODE BARANG]],[1]!KINONF15[[KDBRG]:[HRG_JLMT_CTN+PPN]],10,0),0)</f>
        <v>0</v>
      </c>
      <c r="J410">
        <f>IFERROR(VLOOKUP(Fix_Mapping[[#This Row],[KODE BARANG]],[1]!KINONF15[[KDBRG]:[HRG_JLMT_CTN+PPN]],11,0),0)</f>
        <v>0</v>
      </c>
      <c r="K410">
        <f>IFERROR(VLOOKUP(Fix_Mapping[[#This Row],[KODE BARANG]],[1]!KINONF15[[KDBRG]:[HRG_JLMT_CTN+PPN]],12,0),0)</f>
        <v>0</v>
      </c>
      <c r="L410">
        <f>IFERROR(VLOOKUP(Fix_Mapping[[#This Row],[KODE BARANG]],[1]!KINONF15[[KDBRG]:[HRG_JLMT_CTN+PPN]],13,0),0)</f>
        <v>0</v>
      </c>
      <c r="M410">
        <f>IFERROR(VLOOKUP(Fix_Mapping[[#This Row],[KODE BARANG]],[1]!KINONF15[[KDBRG]:[HRG_JLMT_CTN+PPN]],14,0),0)</f>
        <v>0</v>
      </c>
      <c r="N410">
        <f>IFERROR(VLOOKUP(Fix_Mapping[[#This Row],[KODE BARANG]],[1]!KINONF15[[KDBRG]:[HRG_JLMT_CTN+PPN]],15,0),0)</f>
        <v>0</v>
      </c>
      <c r="O410">
        <f>IFERROR(VLOOKUP(Fix_Mapping[[#This Row],[KODE BARANG]],[1]!KINONF15[[KDBRG]:[HRG_JLMT_CTN+PPN]],16,0),0)</f>
        <v>0</v>
      </c>
      <c r="P410">
        <f>IFERROR(VLOOKUP(Fix_Mapping[[#This Row],[KODE BARANG]],[1]!KINONF15[[KDBRG]:[HRG_JLMT_CTN+PPN]],17,0),0)</f>
        <v>0</v>
      </c>
      <c r="Q410">
        <f>IFERROR(VLOOKUP(Fix_Mapping[[#This Row],[KODE BARANG]],[1]!KINONF15[[KDBRG]:[HRG_JLMT_CTN+PPN]],18,0),0)</f>
        <v>0</v>
      </c>
      <c r="R410" t="s">
        <v>2555</v>
      </c>
      <c r="S410" t="s">
        <v>889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1779</v>
      </c>
      <c r="B411" t="s">
        <v>1780</v>
      </c>
      <c r="C411">
        <v>24</v>
      </c>
      <c r="D411">
        <f>IFERROR(VLOOKUP(Fix_Mapping[[#This Row],[KODE BARANG]],[1]!KINONF15[[KDBRG]:[HRG_JLMT_CTN+PPN]],5,0),0)</f>
        <v>0</v>
      </c>
      <c r="E411" t="s">
        <v>2168</v>
      </c>
      <c r="F411">
        <f>IFERROR(VLOOKUP(Fix_Mapping[[#This Row],[KODE BARANG]],[1]!KINONF15[[KDBRG]:[HRG_JLMT_CTN+PPN]],7,0),0)</f>
        <v>0</v>
      </c>
      <c r="G411">
        <f>IFERROR(VLOOKUP(Fix_Mapping[[#This Row],[KODE BARANG]],[1]!KINONF15[[KDBRG]:[HRG_JLMT_CTN+PPN]],8,0),0)</f>
        <v>0</v>
      </c>
      <c r="H411">
        <f>IFERROR(VLOOKUP(Fix_Mapping[[#This Row],[KODE BARANG]],[1]!KINONF15[[KDBRG]:[HRG_JLMT_CTN+PPN]],9,0),0)</f>
        <v>0</v>
      </c>
      <c r="I411">
        <f>IFERROR(VLOOKUP(Fix_Mapping[[#This Row],[KODE BARANG]],[1]!KINONF15[[KDBRG]:[HRG_JLMT_CTN+PPN]],10,0),0)</f>
        <v>0</v>
      </c>
      <c r="J411">
        <f>IFERROR(VLOOKUP(Fix_Mapping[[#This Row],[KODE BARANG]],[1]!KINONF15[[KDBRG]:[HRG_JLMT_CTN+PPN]],11,0),0)</f>
        <v>0</v>
      </c>
      <c r="K411">
        <f>IFERROR(VLOOKUP(Fix_Mapping[[#This Row],[KODE BARANG]],[1]!KINONF15[[KDBRG]:[HRG_JLMT_CTN+PPN]],12,0),0)</f>
        <v>0</v>
      </c>
      <c r="L411">
        <f>IFERROR(VLOOKUP(Fix_Mapping[[#This Row],[KODE BARANG]],[1]!KINONF15[[KDBRG]:[HRG_JLMT_CTN+PPN]],13,0),0)</f>
        <v>0</v>
      </c>
      <c r="M411">
        <f>IFERROR(VLOOKUP(Fix_Mapping[[#This Row],[KODE BARANG]],[1]!KINONF15[[KDBRG]:[HRG_JLMT_CTN+PPN]],14,0),0)</f>
        <v>0</v>
      </c>
      <c r="N411">
        <f>IFERROR(VLOOKUP(Fix_Mapping[[#This Row],[KODE BARANG]],[1]!KINONF15[[KDBRG]:[HRG_JLMT_CTN+PPN]],15,0),0)</f>
        <v>0</v>
      </c>
      <c r="O411">
        <f>IFERROR(VLOOKUP(Fix_Mapping[[#This Row],[KODE BARANG]],[1]!KINONF15[[KDBRG]:[HRG_JLMT_CTN+PPN]],16,0),0)</f>
        <v>0</v>
      </c>
      <c r="P411">
        <f>IFERROR(VLOOKUP(Fix_Mapping[[#This Row],[KODE BARANG]],[1]!KINONF15[[KDBRG]:[HRG_JLMT_CTN+PPN]],17,0),0)</f>
        <v>0</v>
      </c>
      <c r="Q411">
        <f>IFERROR(VLOOKUP(Fix_Mapping[[#This Row],[KODE BARANG]],[1]!KINONF15[[KDBRG]:[HRG_JLMT_CTN+PPN]],18,0),0)</f>
        <v>0</v>
      </c>
      <c r="R411" t="s">
        <v>2555</v>
      </c>
      <c r="S411" t="s">
        <v>903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1781</v>
      </c>
      <c r="B412" t="s">
        <v>1782</v>
      </c>
      <c r="C412">
        <v>24</v>
      </c>
      <c r="D412">
        <f>IFERROR(VLOOKUP(Fix_Mapping[[#This Row],[KODE BARANG]],[1]!KINONF15[[KDBRG]:[HRG_JLMT_CTN+PPN]],5,0),0)</f>
        <v>0</v>
      </c>
      <c r="E412" t="s">
        <v>2168</v>
      </c>
      <c r="F412">
        <f>IFERROR(VLOOKUP(Fix_Mapping[[#This Row],[KODE BARANG]],[1]!KINONF15[[KDBRG]:[HRG_JLMT_CTN+PPN]],7,0),0)</f>
        <v>0</v>
      </c>
      <c r="G412">
        <f>IFERROR(VLOOKUP(Fix_Mapping[[#This Row],[KODE BARANG]],[1]!KINONF15[[KDBRG]:[HRG_JLMT_CTN+PPN]],8,0),0)</f>
        <v>0</v>
      </c>
      <c r="H412">
        <f>IFERROR(VLOOKUP(Fix_Mapping[[#This Row],[KODE BARANG]],[1]!KINONF15[[KDBRG]:[HRG_JLMT_CTN+PPN]],9,0),0)</f>
        <v>0</v>
      </c>
      <c r="I412">
        <f>IFERROR(VLOOKUP(Fix_Mapping[[#This Row],[KODE BARANG]],[1]!KINONF15[[KDBRG]:[HRG_JLMT_CTN+PPN]],10,0),0)</f>
        <v>0</v>
      </c>
      <c r="J412">
        <f>IFERROR(VLOOKUP(Fix_Mapping[[#This Row],[KODE BARANG]],[1]!KINONF15[[KDBRG]:[HRG_JLMT_CTN+PPN]],11,0),0)</f>
        <v>0</v>
      </c>
      <c r="K412">
        <f>IFERROR(VLOOKUP(Fix_Mapping[[#This Row],[KODE BARANG]],[1]!KINONF15[[KDBRG]:[HRG_JLMT_CTN+PPN]],12,0),0)</f>
        <v>0</v>
      </c>
      <c r="L412">
        <f>IFERROR(VLOOKUP(Fix_Mapping[[#This Row],[KODE BARANG]],[1]!KINONF15[[KDBRG]:[HRG_JLMT_CTN+PPN]],13,0),0)</f>
        <v>0</v>
      </c>
      <c r="M412">
        <f>IFERROR(VLOOKUP(Fix_Mapping[[#This Row],[KODE BARANG]],[1]!KINONF15[[KDBRG]:[HRG_JLMT_CTN+PPN]],14,0),0)</f>
        <v>0</v>
      </c>
      <c r="N412">
        <f>IFERROR(VLOOKUP(Fix_Mapping[[#This Row],[KODE BARANG]],[1]!KINONF15[[KDBRG]:[HRG_JLMT_CTN+PPN]],15,0),0)</f>
        <v>0</v>
      </c>
      <c r="O412">
        <f>IFERROR(VLOOKUP(Fix_Mapping[[#This Row],[KODE BARANG]],[1]!KINONF15[[KDBRG]:[HRG_JLMT_CTN+PPN]],16,0),0)</f>
        <v>0</v>
      </c>
      <c r="P412">
        <f>IFERROR(VLOOKUP(Fix_Mapping[[#This Row],[KODE BARANG]],[1]!KINONF15[[KDBRG]:[HRG_JLMT_CTN+PPN]],17,0),0)</f>
        <v>0</v>
      </c>
      <c r="Q412">
        <f>IFERROR(VLOOKUP(Fix_Mapping[[#This Row],[KODE BARANG]],[1]!KINONF15[[KDBRG]:[HRG_JLMT_CTN+PPN]],18,0),0)</f>
        <v>0</v>
      </c>
      <c r="R412" t="s">
        <v>2555</v>
      </c>
      <c r="S412" t="s">
        <v>865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1783</v>
      </c>
      <c r="B413" t="s">
        <v>1784</v>
      </c>
      <c r="C413">
        <v>36</v>
      </c>
      <c r="D413">
        <f>IFERROR(VLOOKUP(Fix_Mapping[[#This Row],[KODE BARANG]],[1]!KINONF15[[KDBRG]:[HRG_JLMT_CTN+PPN]],5,0),0)</f>
        <v>0</v>
      </c>
      <c r="E413" t="s">
        <v>2170</v>
      </c>
      <c r="F413">
        <f>IFERROR(VLOOKUP(Fix_Mapping[[#This Row],[KODE BARANG]],[1]!KINONF15[[KDBRG]:[HRG_JLMT_CTN+PPN]],7,0),0)</f>
        <v>0</v>
      </c>
      <c r="G413">
        <f>IFERROR(VLOOKUP(Fix_Mapping[[#This Row],[KODE BARANG]],[1]!KINONF15[[KDBRG]:[HRG_JLMT_CTN+PPN]],8,0),0)</f>
        <v>0</v>
      </c>
      <c r="H413">
        <f>IFERROR(VLOOKUP(Fix_Mapping[[#This Row],[KODE BARANG]],[1]!KINONF15[[KDBRG]:[HRG_JLMT_CTN+PPN]],9,0),0)</f>
        <v>0</v>
      </c>
      <c r="I413">
        <f>IFERROR(VLOOKUP(Fix_Mapping[[#This Row],[KODE BARANG]],[1]!KINONF15[[KDBRG]:[HRG_JLMT_CTN+PPN]],10,0),0)</f>
        <v>0</v>
      </c>
      <c r="J413">
        <f>IFERROR(VLOOKUP(Fix_Mapping[[#This Row],[KODE BARANG]],[1]!KINONF15[[KDBRG]:[HRG_JLMT_CTN+PPN]],11,0),0)</f>
        <v>0</v>
      </c>
      <c r="K413">
        <f>IFERROR(VLOOKUP(Fix_Mapping[[#This Row],[KODE BARANG]],[1]!KINONF15[[KDBRG]:[HRG_JLMT_CTN+PPN]],12,0),0)</f>
        <v>0</v>
      </c>
      <c r="L413">
        <f>IFERROR(VLOOKUP(Fix_Mapping[[#This Row],[KODE BARANG]],[1]!KINONF15[[KDBRG]:[HRG_JLMT_CTN+PPN]],13,0),0)</f>
        <v>0</v>
      </c>
      <c r="M413">
        <f>IFERROR(VLOOKUP(Fix_Mapping[[#This Row],[KODE BARANG]],[1]!KINONF15[[KDBRG]:[HRG_JLMT_CTN+PPN]],14,0),0)</f>
        <v>0</v>
      </c>
      <c r="N413">
        <f>IFERROR(VLOOKUP(Fix_Mapping[[#This Row],[KODE BARANG]],[1]!KINONF15[[KDBRG]:[HRG_JLMT_CTN+PPN]],15,0),0)</f>
        <v>0</v>
      </c>
      <c r="O413">
        <f>IFERROR(VLOOKUP(Fix_Mapping[[#This Row],[KODE BARANG]],[1]!KINONF15[[KDBRG]:[HRG_JLMT_CTN+PPN]],16,0),0)</f>
        <v>0</v>
      </c>
      <c r="P413">
        <f>IFERROR(VLOOKUP(Fix_Mapping[[#This Row],[KODE BARANG]],[1]!KINONF15[[KDBRG]:[HRG_JLMT_CTN+PPN]],17,0),0)</f>
        <v>0</v>
      </c>
      <c r="Q413">
        <f>IFERROR(VLOOKUP(Fix_Mapping[[#This Row],[KODE BARANG]],[1]!KINONF15[[KDBRG]:[HRG_JLMT_CTN+PPN]],18,0),0)</f>
        <v>0</v>
      </c>
      <c r="R413" t="s">
        <v>2555</v>
      </c>
      <c r="S413" t="s">
        <v>904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1785</v>
      </c>
      <c r="B414" t="s">
        <v>1786</v>
      </c>
      <c r="C414">
        <v>36</v>
      </c>
      <c r="D414">
        <f>IFERROR(VLOOKUP(Fix_Mapping[[#This Row],[KODE BARANG]],[1]!KINONF15[[KDBRG]:[HRG_JLMT_CTN+PPN]],5,0),0)</f>
        <v>0</v>
      </c>
      <c r="E414" t="s">
        <v>2170</v>
      </c>
      <c r="F414">
        <f>IFERROR(VLOOKUP(Fix_Mapping[[#This Row],[KODE BARANG]],[1]!KINONF15[[KDBRG]:[HRG_JLMT_CTN+PPN]],7,0),0)</f>
        <v>0</v>
      </c>
      <c r="G414">
        <f>IFERROR(VLOOKUP(Fix_Mapping[[#This Row],[KODE BARANG]],[1]!KINONF15[[KDBRG]:[HRG_JLMT_CTN+PPN]],8,0),0)</f>
        <v>0</v>
      </c>
      <c r="H414">
        <f>IFERROR(VLOOKUP(Fix_Mapping[[#This Row],[KODE BARANG]],[1]!KINONF15[[KDBRG]:[HRG_JLMT_CTN+PPN]],9,0),0)</f>
        <v>0</v>
      </c>
      <c r="I414">
        <f>IFERROR(VLOOKUP(Fix_Mapping[[#This Row],[KODE BARANG]],[1]!KINONF15[[KDBRG]:[HRG_JLMT_CTN+PPN]],10,0),0)</f>
        <v>0</v>
      </c>
      <c r="J414">
        <f>IFERROR(VLOOKUP(Fix_Mapping[[#This Row],[KODE BARANG]],[1]!KINONF15[[KDBRG]:[HRG_JLMT_CTN+PPN]],11,0),0)</f>
        <v>0</v>
      </c>
      <c r="K414">
        <f>IFERROR(VLOOKUP(Fix_Mapping[[#This Row],[KODE BARANG]],[1]!KINONF15[[KDBRG]:[HRG_JLMT_CTN+PPN]],12,0),0)</f>
        <v>0</v>
      </c>
      <c r="L414">
        <f>IFERROR(VLOOKUP(Fix_Mapping[[#This Row],[KODE BARANG]],[1]!KINONF15[[KDBRG]:[HRG_JLMT_CTN+PPN]],13,0),0)</f>
        <v>0</v>
      </c>
      <c r="M414">
        <f>IFERROR(VLOOKUP(Fix_Mapping[[#This Row],[KODE BARANG]],[1]!KINONF15[[KDBRG]:[HRG_JLMT_CTN+PPN]],14,0),0)</f>
        <v>0</v>
      </c>
      <c r="N414">
        <f>IFERROR(VLOOKUP(Fix_Mapping[[#This Row],[KODE BARANG]],[1]!KINONF15[[KDBRG]:[HRG_JLMT_CTN+PPN]],15,0),0)</f>
        <v>0</v>
      </c>
      <c r="O414">
        <f>IFERROR(VLOOKUP(Fix_Mapping[[#This Row],[KODE BARANG]],[1]!KINONF15[[KDBRG]:[HRG_JLMT_CTN+PPN]],16,0),0)</f>
        <v>0</v>
      </c>
      <c r="P414">
        <f>IFERROR(VLOOKUP(Fix_Mapping[[#This Row],[KODE BARANG]],[1]!KINONF15[[KDBRG]:[HRG_JLMT_CTN+PPN]],17,0),0)</f>
        <v>0</v>
      </c>
      <c r="Q414">
        <f>IFERROR(VLOOKUP(Fix_Mapping[[#This Row],[KODE BARANG]],[1]!KINONF15[[KDBRG]:[HRG_JLMT_CTN+PPN]],18,0),0)</f>
        <v>0</v>
      </c>
      <c r="R414" t="s">
        <v>2555</v>
      </c>
      <c r="S414" t="s">
        <v>905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1787</v>
      </c>
      <c r="B415" t="s">
        <v>1788</v>
      </c>
      <c r="C415">
        <v>36</v>
      </c>
      <c r="D415">
        <f>IFERROR(VLOOKUP(Fix_Mapping[[#This Row],[KODE BARANG]],[1]!KINONF15[[KDBRG]:[HRG_JLMT_CTN+PPN]],5,0),0)</f>
        <v>0</v>
      </c>
      <c r="E415" t="s">
        <v>2170</v>
      </c>
      <c r="F415">
        <f>IFERROR(VLOOKUP(Fix_Mapping[[#This Row],[KODE BARANG]],[1]!KINONF15[[KDBRG]:[HRG_JLMT_CTN+PPN]],7,0),0)</f>
        <v>0</v>
      </c>
      <c r="G415">
        <f>IFERROR(VLOOKUP(Fix_Mapping[[#This Row],[KODE BARANG]],[1]!KINONF15[[KDBRG]:[HRG_JLMT_CTN+PPN]],8,0),0)</f>
        <v>0</v>
      </c>
      <c r="H415">
        <f>IFERROR(VLOOKUP(Fix_Mapping[[#This Row],[KODE BARANG]],[1]!KINONF15[[KDBRG]:[HRG_JLMT_CTN+PPN]],9,0),0)</f>
        <v>0</v>
      </c>
      <c r="I415">
        <f>IFERROR(VLOOKUP(Fix_Mapping[[#This Row],[KODE BARANG]],[1]!KINONF15[[KDBRG]:[HRG_JLMT_CTN+PPN]],10,0),0)</f>
        <v>0</v>
      </c>
      <c r="J415">
        <f>IFERROR(VLOOKUP(Fix_Mapping[[#This Row],[KODE BARANG]],[1]!KINONF15[[KDBRG]:[HRG_JLMT_CTN+PPN]],11,0),0)</f>
        <v>0</v>
      </c>
      <c r="K415">
        <f>IFERROR(VLOOKUP(Fix_Mapping[[#This Row],[KODE BARANG]],[1]!KINONF15[[KDBRG]:[HRG_JLMT_CTN+PPN]],12,0),0)</f>
        <v>0</v>
      </c>
      <c r="L415">
        <f>IFERROR(VLOOKUP(Fix_Mapping[[#This Row],[KODE BARANG]],[1]!KINONF15[[KDBRG]:[HRG_JLMT_CTN+PPN]],13,0),0)</f>
        <v>0</v>
      </c>
      <c r="M415">
        <f>IFERROR(VLOOKUP(Fix_Mapping[[#This Row],[KODE BARANG]],[1]!KINONF15[[KDBRG]:[HRG_JLMT_CTN+PPN]],14,0),0)</f>
        <v>0</v>
      </c>
      <c r="N415">
        <f>IFERROR(VLOOKUP(Fix_Mapping[[#This Row],[KODE BARANG]],[1]!KINONF15[[KDBRG]:[HRG_JLMT_CTN+PPN]],15,0),0)</f>
        <v>0</v>
      </c>
      <c r="O415">
        <f>IFERROR(VLOOKUP(Fix_Mapping[[#This Row],[KODE BARANG]],[1]!KINONF15[[KDBRG]:[HRG_JLMT_CTN+PPN]],16,0),0)</f>
        <v>0</v>
      </c>
      <c r="P415">
        <f>IFERROR(VLOOKUP(Fix_Mapping[[#This Row],[KODE BARANG]],[1]!KINONF15[[KDBRG]:[HRG_JLMT_CTN+PPN]],17,0),0)</f>
        <v>0</v>
      </c>
      <c r="Q415">
        <f>IFERROR(VLOOKUP(Fix_Mapping[[#This Row],[KODE BARANG]],[1]!KINONF15[[KDBRG]:[HRG_JLMT_CTN+PPN]],18,0),0)</f>
        <v>0</v>
      </c>
      <c r="R415" t="s">
        <v>2555</v>
      </c>
      <c r="S415" t="s">
        <v>907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1789</v>
      </c>
      <c r="B416" t="s">
        <v>1790</v>
      </c>
      <c r="C416">
        <v>36</v>
      </c>
      <c r="D416">
        <f>IFERROR(VLOOKUP(Fix_Mapping[[#This Row],[KODE BARANG]],[1]!KINONF15[[KDBRG]:[HRG_JLMT_CTN+PPN]],5,0),0)</f>
        <v>0</v>
      </c>
      <c r="E416" t="s">
        <v>2170</v>
      </c>
      <c r="F416">
        <f>IFERROR(VLOOKUP(Fix_Mapping[[#This Row],[KODE BARANG]],[1]!KINONF15[[KDBRG]:[HRG_JLMT_CTN+PPN]],7,0),0)</f>
        <v>0</v>
      </c>
      <c r="G416">
        <f>IFERROR(VLOOKUP(Fix_Mapping[[#This Row],[KODE BARANG]],[1]!KINONF15[[KDBRG]:[HRG_JLMT_CTN+PPN]],8,0),0)</f>
        <v>0</v>
      </c>
      <c r="H416">
        <f>IFERROR(VLOOKUP(Fix_Mapping[[#This Row],[KODE BARANG]],[1]!KINONF15[[KDBRG]:[HRG_JLMT_CTN+PPN]],9,0),0)</f>
        <v>0</v>
      </c>
      <c r="I416">
        <f>IFERROR(VLOOKUP(Fix_Mapping[[#This Row],[KODE BARANG]],[1]!KINONF15[[KDBRG]:[HRG_JLMT_CTN+PPN]],10,0),0)</f>
        <v>0</v>
      </c>
      <c r="J416">
        <f>IFERROR(VLOOKUP(Fix_Mapping[[#This Row],[KODE BARANG]],[1]!KINONF15[[KDBRG]:[HRG_JLMT_CTN+PPN]],11,0),0)</f>
        <v>0</v>
      </c>
      <c r="K416">
        <f>IFERROR(VLOOKUP(Fix_Mapping[[#This Row],[KODE BARANG]],[1]!KINONF15[[KDBRG]:[HRG_JLMT_CTN+PPN]],12,0),0)</f>
        <v>0</v>
      </c>
      <c r="L416">
        <f>IFERROR(VLOOKUP(Fix_Mapping[[#This Row],[KODE BARANG]],[1]!KINONF15[[KDBRG]:[HRG_JLMT_CTN+PPN]],13,0),0)</f>
        <v>0</v>
      </c>
      <c r="M416">
        <f>IFERROR(VLOOKUP(Fix_Mapping[[#This Row],[KODE BARANG]],[1]!KINONF15[[KDBRG]:[HRG_JLMT_CTN+PPN]],14,0),0)</f>
        <v>0</v>
      </c>
      <c r="N416">
        <f>IFERROR(VLOOKUP(Fix_Mapping[[#This Row],[KODE BARANG]],[1]!KINONF15[[KDBRG]:[HRG_JLMT_CTN+PPN]],15,0),0)</f>
        <v>0</v>
      </c>
      <c r="O416">
        <f>IFERROR(VLOOKUP(Fix_Mapping[[#This Row],[KODE BARANG]],[1]!KINONF15[[KDBRG]:[HRG_JLMT_CTN+PPN]],16,0),0)</f>
        <v>0</v>
      </c>
      <c r="P416">
        <f>IFERROR(VLOOKUP(Fix_Mapping[[#This Row],[KODE BARANG]],[1]!KINONF15[[KDBRG]:[HRG_JLMT_CTN+PPN]],17,0),0)</f>
        <v>0</v>
      </c>
      <c r="Q416">
        <f>IFERROR(VLOOKUP(Fix_Mapping[[#This Row],[KODE BARANG]],[1]!KINONF15[[KDBRG]:[HRG_JLMT_CTN+PPN]],18,0),0)</f>
        <v>0</v>
      </c>
      <c r="R416" t="s">
        <v>2555</v>
      </c>
      <c r="S416" t="s">
        <v>910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1791</v>
      </c>
      <c r="B417" t="s">
        <v>1792</v>
      </c>
      <c r="C417">
        <v>36</v>
      </c>
      <c r="D417">
        <f>IFERROR(VLOOKUP(Fix_Mapping[[#This Row],[KODE BARANG]],[1]!KINONF15[[KDBRG]:[HRG_JLMT_CTN+PPN]],5,0),0)</f>
        <v>0</v>
      </c>
      <c r="E417" t="s">
        <v>2170</v>
      </c>
      <c r="F417">
        <f>IFERROR(VLOOKUP(Fix_Mapping[[#This Row],[KODE BARANG]],[1]!KINONF15[[KDBRG]:[HRG_JLMT_CTN+PPN]],7,0),0)</f>
        <v>0</v>
      </c>
      <c r="G417">
        <f>IFERROR(VLOOKUP(Fix_Mapping[[#This Row],[KODE BARANG]],[1]!KINONF15[[KDBRG]:[HRG_JLMT_CTN+PPN]],8,0),0)</f>
        <v>0</v>
      </c>
      <c r="H417">
        <f>IFERROR(VLOOKUP(Fix_Mapping[[#This Row],[KODE BARANG]],[1]!KINONF15[[KDBRG]:[HRG_JLMT_CTN+PPN]],9,0),0)</f>
        <v>0</v>
      </c>
      <c r="I417">
        <f>IFERROR(VLOOKUP(Fix_Mapping[[#This Row],[KODE BARANG]],[1]!KINONF15[[KDBRG]:[HRG_JLMT_CTN+PPN]],10,0),0)</f>
        <v>0</v>
      </c>
      <c r="J417">
        <f>IFERROR(VLOOKUP(Fix_Mapping[[#This Row],[KODE BARANG]],[1]!KINONF15[[KDBRG]:[HRG_JLMT_CTN+PPN]],11,0),0)</f>
        <v>0</v>
      </c>
      <c r="K417">
        <f>IFERROR(VLOOKUP(Fix_Mapping[[#This Row],[KODE BARANG]],[1]!KINONF15[[KDBRG]:[HRG_JLMT_CTN+PPN]],12,0),0)</f>
        <v>0</v>
      </c>
      <c r="L417">
        <f>IFERROR(VLOOKUP(Fix_Mapping[[#This Row],[KODE BARANG]],[1]!KINONF15[[KDBRG]:[HRG_JLMT_CTN+PPN]],13,0),0)</f>
        <v>0</v>
      </c>
      <c r="M417">
        <f>IFERROR(VLOOKUP(Fix_Mapping[[#This Row],[KODE BARANG]],[1]!KINONF15[[KDBRG]:[HRG_JLMT_CTN+PPN]],14,0),0)</f>
        <v>0</v>
      </c>
      <c r="N417">
        <f>IFERROR(VLOOKUP(Fix_Mapping[[#This Row],[KODE BARANG]],[1]!KINONF15[[KDBRG]:[HRG_JLMT_CTN+PPN]],15,0),0)</f>
        <v>0</v>
      </c>
      <c r="O417">
        <f>IFERROR(VLOOKUP(Fix_Mapping[[#This Row],[KODE BARANG]],[1]!KINONF15[[KDBRG]:[HRG_JLMT_CTN+PPN]],16,0),0)</f>
        <v>0</v>
      </c>
      <c r="P417">
        <f>IFERROR(VLOOKUP(Fix_Mapping[[#This Row],[KODE BARANG]],[1]!KINONF15[[KDBRG]:[HRG_JLMT_CTN+PPN]],17,0),0)</f>
        <v>0</v>
      </c>
      <c r="Q417">
        <f>IFERROR(VLOOKUP(Fix_Mapping[[#This Row],[KODE BARANG]],[1]!KINONF15[[KDBRG]:[HRG_JLMT_CTN+PPN]],18,0),0)</f>
        <v>0</v>
      </c>
      <c r="R417" t="s">
        <v>2555</v>
      </c>
      <c r="S417" t="s">
        <v>911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1793</v>
      </c>
      <c r="B418" t="s">
        <v>1794</v>
      </c>
      <c r="C418">
        <v>36</v>
      </c>
      <c r="D418">
        <f>IFERROR(VLOOKUP(Fix_Mapping[[#This Row],[KODE BARANG]],[1]!KINONF15[[KDBRG]:[HRG_JLMT_CTN+PPN]],5,0),0)</f>
        <v>0</v>
      </c>
      <c r="E418" t="s">
        <v>2170</v>
      </c>
      <c r="F418">
        <f>IFERROR(VLOOKUP(Fix_Mapping[[#This Row],[KODE BARANG]],[1]!KINONF15[[KDBRG]:[HRG_JLMT_CTN+PPN]],7,0),0)</f>
        <v>0</v>
      </c>
      <c r="G418">
        <f>IFERROR(VLOOKUP(Fix_Mapping[[#This Row],[KODE BARANG]],[1]!KINONF15[[KDBRG]:[HRG_JLMT_CTN+PPN]],8,0),0)</f>
        <v>0</v>
      </c>
      <c r="H418">
        <f>IFERROR(VLOOKUP(Fix_Mapping[[#This Row],[KODE BARANG]],[1]!KINONF15[[KDBRG]:[HRG_JLMT_CTN+PPN]],9,0),0)</f>
        <v>0</v>
      </c>
      <c r="I418">
        <f>IFERROR(VLOOKUP(Fix_Mapping[[#This Row],[KODE BARANG]],[1]!KINONF15[[KDBRG]:[HRG_JLMT_CTN+PPN]],10,0),0)</f>
        <v>0</v>
      </c>
      <c r="J418">
        <f>IFERROR(VLOOKUP(Fix_Mapping[[#This Row],[KODE BARANG]],[1]!KINONF15[[KDBRG]:[HRG_JLMT_CTN+PPN]],11,0),0)</f>
        <v>0</v>
      </c>
      <c r="K418">
        <f>IFERROR(VLOOKUP(Fix_Mapping[[#This Row],[KODE BARANG]],[1]!KINONF15[[KDBRG]:[HRG_JLMT_CTN+PPN]],12,0),0)</f>
        <v>0</v>
      </c>
      <c r="L418">
        <f>IFERROR(VLOOKUP(Fix_Mapping[[#This Row],[KODE BARANG]],[1]!KINONF15[[KDBRG]:[HRG_JLMT_CTN+PPN]],13,0),0)</f>
        <v>0</v>
      </c>
      <c r="M418">
        <f>IFERROR(VLOOKUP(Fix_Mapping[[#This Row],[KODE BARANG]],[1]!KINONF15[[KDBRG]:[HRG_JLMT_CTN+PPN]],14,0),0)</f>
        <v>0</v>
      </c>
      <c r="N418">
        <f>IFERROR(VLOOKUP(Fix_Mapping[[#This Row],[KODE BARANG]],[1]!KINONF15[[KDBRG]:[HRG_JLMT_CTN+PPN]],15,0),0)</f>
        <v>0</v>
      </c>
      <c r="O418">
        <f>IFERROR(VLOOKUP(Fix_Mapping[[#This Row],[KODE BARANG]],[1]!KINONF15[[KDBRG]:[HRG_JLMT_CTN+PPN]],16,0),0)</f>
        <v>0</v>
      </c>
      <c r="P418">
        <f>IFERROR(VLOOKUP(Fix_Mapping[[#This Row],[KODE BARANG]],[1]!KINONF15[[KDBRG]:[HRG_JLMT_CTN+PPN]],17,0),0)</f>
        <v>0</v>
      </c>
      <c r="Q418">
        <f>IFERROR(VLOOKUP(Fix_Mapping[[#This Row],[KODE BARANG]],[1]!KINONF15[[KDBRG]:[HRG_JLMT_CTN+PPN]],18,0),0)</f>
        <v>0</v>
      </c>
      <c r="R418" t="s">
        <v>2555</v>
      </c>
      <c r="S418" t="s">
        <v>913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1795</v>
      </c>
      <c r="B419" t="s">
        <v>1796</v>
      </c>
      <c r="C419">
        <v>36</v>
      </c>
      <c r="D419">
        <f>IFERROR(VLOOKUP(Fix_Mapping[[#This Row],[KODE BARANG]],[1]!KINONF15[[KDBRG]:[HRG_JLMT_CTN+PPN]],5,0),0)</f>
        <v>0</v>
      </c>
      <c r="E419" t="s">
        <v>2170</v>
      </c>
      <c r="F419">
        <f>IFERROR(VLOOKUP(Fix_Mapping[[#This Row],[KODE BARANG]],[1]!KINONF15[[KDBRG]:[HRG_JLMT_CTN+PPN]],7,0),0)</f>
        <v>0</v>
      </c>
      <c r="G419">
        <f>IFERROR(VLOOKUP(Fix_Mapping[[#This Row],[KODE BARANG]],[1]!KINONF15[[KDBRG]:[HRG_JLMT_CTN+PPN]],8,0),0)</f>
        <v>0</v>
      </c>
      <c r="H419">
        <f>IFERROR(VLOOKUP(Fix_Mapping[[#This Row],[KODE BARANG]],[1]!KINONF15[[KDBRG]:[HRG_JLMT_CTN+PPN]],9,0),0)</f>
        <v>0</v>
      </c>
      <c r="I419">
        <f>IFERROR(VLOOKUP(Fix_Mapping[[#This Row],[KODE BARANG]],[1]!KINONF15[[KDBRG]:[HRG_JLMT_CTN+PPN]],10,0),0)</f>
        <v>0</v>
      </c>
      <c r="J419">
        <f>IFERROR(VLOOKUP(Fix_Mapping[[#This Row],[KODE BARANG]],[1]!KINONF15[[KDBRG]:[HRG_JLMT_CTN+PPN]],11,0),0)</f>
        <v>0</v>
      </c>
      <c r="K419">
        <f>IFERROR(VLOOKUP(Fix_Mapping[[#This Row],[KODE BARANG]],[1]!KINONF15[[KDBRG]:[HRG_JLMT_CTN+PPN]],12,0),0)</f>
        <v>0</v>
      </c>
      <c r="L419">
        <f>IFERROR(VLOOKUP(Fix_Mapping[[#This Row],[KODE BARANG]],[1]!KINONF15[[KDBRG]:[HRG_JLMT_CTN+PPN]],13,0),0)</f>
        <v>0</v>
      </c>
      <c r="M419">
        <f>IFERROR(VLOOKUP(Fix_Mapping[[#This Row],[KODE BARANG]],[1]!KINONF15[[KDBRG]:[HRG_JLMT_CTN+PPN]],14,0),0)</f>
        <v>0</v>
      </c>
      <c r="N419">
        <f>IFERROR(VLOOKUP(Fix_Mapping[[#This Row],[KODE BARANG]],[1]!KINONF15[[KDBRG]:[HRG_JLMT_CTN+PPN]],15,0),0)</f>
        <v>0</v>
      </c>
      <c r="O419">
        <f>IFERROR(VLOOKUP(Fix_Mapping[[#This Row],[KODE BARANG]],[1]!KINONF15[[KDBRG]:[HRG_JLMT_CTN+PPN]],16,0),0)</f>
        <v>0</v>
      </c>
      <c r="P419">
        <f>IFERROR(VLOOKUP(Fix_Mapping[[#This Row],[KODE BARANG]],[1]!KINONF15[[KDBRG]:[HRG_JLMT_CTN+PPN]],17,0),0)</f>
        <v>0</v>
      </c>
      <c r="Q419">
        <f>IFERROR(VLOOKUP(Fix_Mapping[[#This Row],[KODE BARANG]],[1]!KINONF15[[KDBRG]:[HRG_JLMT_CTN+PPN]],18,0),0)</f>
        <v>0</v>
      </c>
      <c r="R419" t="s">
        <v>2555</v>
      </c>
      <c r="S419" t="s">
        <v>890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1797</v>
      </c>
      <c r="B420" t="s">
        <v>1798</v>
      </c>
      <c r="C420">
        <v>36</v>
      </c>
      <c r="D420">
        <f>IFERROR(VLOOKUP(Fix_Mapping[[#This Row],[KODE BARANG]],[1]!KINONF15[[KDBRG]:[HRG_JLMT_CTN+PPN]],5,0),0)</f>
        <v>0</v>
      </c>
      <c r="E420" t="s">
        <v>2170</v>
      </c>
      <c r="F420">
        <f>IFERROR(VLOOKUP(Fix_Mapping[[#This Row],[KODE BARANG]],[1]!KINONF15[[KDBRG]:[HRG_JLMT_CTN+PPN]],7,0),0)</f>
        <v>0</v>
      </c>
      <c r="G420">
        <f>IFERROR(VLOOKUP(Fix_Mapping[[#This Row],[KODE BARANG]],[1]!KINONF15[[KDBRG]:[HRG_JLMT_CTN+PPN]],8,0),0)</f>
        <v>0</v>
      </c>
      <c r="H420">
        <f>IFERROR(VLOOKUP(Fix_Mapping[[#This Row],[KODE BARANG]],[1]!KINONF15[[KDBRG]:[HRG_JLMT_CTN+PPN]],9,0),0)</f>
        <v>0</v>
      </c>
      <c r="I420">
        <f>IFERROR(VLOOKUP(Fix_Mapping[[#This Row],[KODE BARANG]],[1]!KINONF15[[KDBRG]:[HRG_JLMT_CTN+PPN]],10,0),0)</f>
        <v>0</v>
      </c>
      <c r="J420">
        <f>IFERROR(VLOOKUP(Fix_Mapping[[#This Row],[KODE BARANG]],[1]!KINONF15[[KDBRG]:[HRG_JLMT_CTN+PPN]],11,0),0)</f>
        <v>0</v>
      </c>
      <c r="K420">
        <f>IFERROR(VLOOKUP(Fix_Mapping[[#This Row],[KODE BARANG]],[1]!KINONF15[[KDBRG]:[HRG_JLMT_CTN+PPN]],12,0),0)</f>
        <v>0</v>
      </c>
      <c r="L420">
        <f>IFERROR(VLOOKUP(Fix_Mapping[[#This Row],[KODE BARANG]],[1]!KINONF15[[KDBRG]:[HRG_JLMT_CTN+PPN]],13,0),0)</f>
        <v>0</v>
      </c>
      <c r="M420">
        <f>IFERROR(VLOOKUP(Fix_Mapping[[#This Row],[KODE BARANG]],[1]!KINONF15[[KDBRG]:[HRG_JLMT_CTN+PPN]],14,0),0)</f>
        <v>0</v>
      </c>
      <c r="N420">
        <f>IFERROR(VLOOKUP(Fix_Mapping[[#This Row],[KODE BARANG]],[1]!KINONF15[[KDBRG]:[HRG_JLMT_CTN+PPN]],15,0),0)</f>
        <v>0</v>
      </c>
      <c r="O420">
        <f>IFERROR(VLOOKUP(Fix_Mapping[[#This Row],[KODE BARANG]],[1]!KINONF15[[KDBRG]:[HRG_JLMT_CTN+PPN]],16,0),0)</f>
        <v>0</v>
      </c>
      <c r="P420">
        <f>IFERROR(VLOOKUP(Fix_Mapping[[#This Row],[KODE BARANG]],[1]!KINONF15[[KDBRG]:[HRG_JLMT_CTN+PPN]],17,0),0)</f>
        <v>0</v>
      </c>
      <c r="Q420">
        <f>IFERROR(VLOOKUP(Fix_Mapping[[#This Row],[KODE BARANG]],[1]!KINONF15[[KDBRG]:[HRG_JLMT_CTN+PPN]],18,0),0)</f>
        <v>0</v>
      </c>
      <c r="R420" t="s">
        <v>2555</v>
      </c>
      <c r="S420" t="s">
        <v>893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1799</v>
      </c>
      <c r="B421" t="s">
        <v>1800</v>
      </c>
      <c r="C421">
        <v>36</v>
      </c>
      <c r="D421">
        <f>IFERROR(VLOOKUP(Fix_Mapping[[#This Row],[KODE BARANG]],[1]!KINONF15[[KDBRG]:[HRG_JLMT_CTN+PPN]],5,0),0)</f>
        <v>0</v>
      </c>
      <c r="E421" t="s">
        <v>2170</v>
      </c>
      <c r="F421">
        <f>IFERROR(VLOOKUP(Fix_Mapping[[#This Row],[KODE BARANG]],[1]!KINONF15[[KDBRG]:[HRG_JLMT_CTN+PPN]],7,0),0)</f>
        <v>0</v>
      </c>
      <c r="G421">
        <f>IFERROR(VLOOKUP(Fix_Mapping[[#This Row],[KODE BARANG]],[1]!KINONF15[[KDBRG]:[HRG_JLMT_CTN+PPN]],8,0),0)</f>
        <v>0</v>
      </c>
      <c r="H421">
        <f>IFERROR(VLOOKUP(Fix_Mapping[[#This Row],[KODE BARANG]],[1]!KINONF15[[KDBRG]:[HRG_JLMT_CTN+PPN]],9,0),0)</f>
        <v>0</v>
      </c>
      <c r="I421">
        <f>IFERROR(VLOOKUP(Fix_Mapping[[#This Row],[KODE BARANG]],[1]!KINONF15[[KDBRG]:[HRG_JLMT_CTN+PPN]],10,0),0)</f>
        <v>0</v>
      </c>
      <c r="J421">
        <f>IFERROR(VLOOKUP(Fix_Mapping[[#This Row],[KODE BARANG]],[1]!KINONF15[[KDBRG]:[HRG_JLMT_CTN+PPN]],11,0),0)</f>
        <v>0</v>
      </c>
      <c r="K421">
        <f>IFERROR(VLOOKUP(Fix_Mapping[[#This Row],[KODE BARANG]],[1]!KINONF15[[KDBRG]:[HRG_JLMT_CTN+PPN]],12,0),0)</f>
        <v>0</v>
      </c>
      <c r="L421">
        <f>IFERROR(VLOOKUP(Fix_Mapping[[#This Row],[KODE BARANG]],[1]!KINONF15[[KDBRG]:[HRG_JLMT_CTN+PPN]],13,0),0)</f>
        <v>0</v>
      </c>
      <c r="M421">
        <f>IFERROR(VLOOKUP(Fix_Mapping[[#This Row],[KODE BARANG]],[1]!KINONF15[[KDBRG]:[HRG_JLMT_CTN+PPN]],14,0),0)</f>
        <v>0</v>
      </c>
      <c r="N421">
        <f>IFERROR(VLOOKUP(Fix_Mapping[[#This Row],[KODE BARANG]],[1]!KINONF15[[KDBRG]:[HRG_JLMT_CTN+PPN]],15,0),0)</f>
        <v>0</v>
      </c>
      <c r="O421">
        <f>IFERROR(VLOOKUP(Fix_Mapping[[#This Row],[KODE BARANG]],[1]!KINONF15[[KDBRG]:[HRG_JLMT_CTN+PPN]],16,0),0)</f>
        <v>0</v>
      </c>
      <c r="P421">
        <f>IFERROR(VLOOKUP(Fix_Mapping[[#This Row],[KODE BARANG]],[1]!KINONF15[[KDBRG]:[HRG_JLMT_CTN+PPN]],17,0),0)</f>
        <v>0</v>
      </c>
      <c r="Q421">
        <f>IFERROR(VLOOKUP(Fix_Mapping[[#This Row],[KODE BARANG]],[1]!KINONF15[[KDBRG]:[HRG_JLMT_CTN+PPN]],18,0),0)</f>
        <v>0</v>
      </c>
      <c r="R421" t="s">
        <v>2555</v>
      </c>
      <c r="S421" t="s">
        <v>898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1801</v>
      </c>
      <c r="B422" t="s">
        <v>1802</v>
      </c>
      <c r="C422">
        <v>36</v>
      </c>
      <c r="D422">
        <f>IFERROR(VLOOKUP(Fix_Mapping[[#This Row],[KODE BARANG]],[1]!KINONF15[[KDBRG]:[HRG_JLMT_CTN+PPN]],5,0),0)</f>
        <v>0</v>
      </c>
      <c r="E422" t="s">
        <v>2170</v>
      </c>
      <c r="F422">
        <f>IFERROR(VLOOKUP(Fix_Mapping[[#This Row],[KODE BARANG]],[1]!KINONF15[[KDBRG]:[HRG_JLMT_CTN+PPN]],7,0),0)</f>
        <v>0</v>
      </c>
      <c r="G422">
        <f>IFERROR(VLOOKUP(Fix_Mapping[[#This Row],[KODE BARANG]],[1]!KINONF15[[KDBRG]:[HRG_JLMT_CTN+PPN]],8,0),0)</f>
        <v>0</v>
      </c>
      <c r="H422">
        <f>IFERROR(VLOOKUP(Fix_Mapping[[#This Row],[KODE BARANG]],[1]!KINONF15[[KDBRG]:[HRG_JLMT_CTN+PPN]],9,0),0)</f>
        <v>0</v>
      </c>
      <c r="I422">
        <f>IFERROR(VLOOKUP(Fix_Mapping[[#This Row],[KODE BARANG]],[1]!KINONF15[[KDBRG]:[HRG_JLMT_CTN+PPN]],10,0),0)</f>
        <v>0</v>
      </c>
      <c r="J422">
        <f>IFERROR(VLOOKUP(Fix_Mapping[[#This Row],[KODE BARANG]],[1]!KINONF15[[KDBRG]:[HRG_JLMT_CTN+PPN]],11,0),0)</f>
        <v>0</v>
      </c>
      <c r="K422">
        <f>IFERROR(VLOOKUP(Fix_Mapping[[#This Row],[KODE BARANG]],[1]!KINONF15[[KDBRG]:[HRG_JLMT_CTN+PPN]],12,0),0)</f>
        <v>0</v>
      </c>
      <c r="L422">
        <f>IFERROR(VLOOKUP(Fix_Mapping[[#This Row],[KODE BARANG]],[1]!KINONF15[[KDBRG]:[HRG_JLMT_CTN+PPN]],13,0),0)</f>
        <v>0</v>
      </c>
      <c r="M422">
        <f>IFERROR(VLOOKUP(Fix_Mapping[[#This Row],[KODE BARANG]],[1]!KINONF15[[KDBRG]:[HRG_JLMT_CTN+PPN]],14,0),0)</f>
        <v>0</v>
      </c>
      <c r="N422">
        <f>IFERROR(VLOOKUP(Fix_Mapping[[#This Row],[KODE BARANG]],[1]!KINONF15[[KDBRG]:[HRG_JLMT_CTN+PPN]],15,0),0)</f>
        <v>0</v>
      </c>
      <c r="O422">
        <f>IFERROR(VLOOKUP(Fix_Mapping[[#This Row],[KODE BARANG]],[1]!KINONF15[[KDBRG]:[HRG_JLMT_CTN+PPN]],16,0),0)</f>
        <v>0</v>
      </c>
      <c r="P422">
        <f>IFERROR(VLOOKUP(Fix_Mapping[[#This Row],[KODE BARANG]],[1]!KINONF15[[KDBRG]:[HRG_JLMT_CTN+PPN]],17,0),0)</f>
        <v>0</v>
      </c>
      <c r="Q422">
        <f>IFERROR(VLOOKUP(Fix_Mapping[[#This Row],[KODE BARANG]],[1]!KINONF15[[KDBRG]:[HRG_JLMT_CTN+PPN]],18,0),0)</f>
        <v>0</v>
      </c>
      <c r="R422" t="s">
        <v>2555</v>
      </c>
      <c r="S422" t="s">
        <v>867</v>
      </c>
      <c r="T422" t="s">
        <v>868</v>
      </c>
      <c r="U422">
        <v>0</v>
      </c>
      <c r="V422">
        <v>0</v>
      </c>
      <c r="W422">
        <v>0</v>
      </c>
    </row>
    <row r="423" spans="1:23">
      <c r="A423" t="s">
        <v>1803</v>
      </c>
      <c r="B423" t="s">
        <v>1804</v>
      </c>
      <c r="C423">
        <v>36</v>
      </c>
      <c r="D423">
        <f>IFERROR(VLOOKUP(Fix_Mapping[[#This Row],[KODE BARANG]],[1]!KINONF15[[KDBRG]:[HRG_JLMT_CTN+PPN]],5,0),0)</f>
        <v>0</v>
      </c>
      <c r="E423" t="s">
        <v>2170</v>
      </c>
      <c r="F423">
        <f>IFERROR(VLOOKUP(Fix_Mapping[[#This Row],[KODE BARANG]],[1]!KINONF15[[KDBRG]:[HRG_JLMT_CTN+PPN]],7,0),0)</f>
        <v>0</v>
      </c>
      <c r="G423">
        <f>IFERROR(VLOOKUP(Fix_Mapping[[#This Row],[KODE BARANG]],[1]!KINONF15[[KDBRG]:[HRG_JLMT_CTN+PPN]],8,0),0)</f>
        <v>0</v>
      </c>
      <c r="H423">
        <f>IFERROR(VLOOKUP(Fix_Mapping[[#This Row],[KODE BARANG]],[1]!KINONF15[[KDBRG]:[HRG_JLMT_CTN+PPN]],9,0),0)</f>
        <v>0</v>
      </c>
      <c r="I423">
        <f>IFERROR(VLOOKUP(Fix_Mapping[[#This Row],[KODE BARANG]],[1]!KINONF15[[KDBRG]:[HRG_JLMT_CTN+PPN]],10,0),0)</f>
        <v>0</v>
      </c>
      <c r="J423">
        <f>IFERROR(VLOOKUP(Fix_Mapping[[#This Row],[KODE BARANG]],[1]!KINONF15[[KDBRG]:[HRG_JLMT_CTN+PPN]],11,0),0)</f>
        <v>0</v>
      </c>
      <c r="K423">
        <f>IFERROR(VLOOKUP(Fix_Mapping[[#This Row],[KODE BARANG]],[1]!KINONF15[[KDBRG]:[HRG_JLMT_CTN+PPN]],12,0),0)</f>
        <v>0</v>
      </c>
      <c r="L423">
        <f>IFERROR(VLOOKUP(Fix_Mapping[[#This Row],[KODE BARANG]],[1]!KINONF15[[KDBRG]:[HRG_JLMT_CTN+PPN]],13,0),0)</f>
        <v>0</v>
      </c>
      <c r="M423">
        <f>IFERROR(VLOOKUP(Fix_Mapping[[#This Row],[KODE BARANG]],[1]!KINONF15[[KDBRG]:[HRG_JLMT_CTN+PPN]],14,0),0)</f>
        <v>0</v>
      </c>
      <c r="N423">
        <f>IFERROR(VLOOKUP(Fix_Mapping[[#This Row],[KODE BARANG]],[1]!KINONF15[[KDBRG]:[HRG_JLMT_CTN+PPN]],15,0),0)</f>
        <v>0</v>
      </c>
      <c r="O423">
        <f>IFERROR(VLOOKUP(Fix_Mapping[[#This Row],[KODE BARANG]],[1]!KINONF15[[KDBRG]:[HRG_JLMT_CTN+PPN]],16,0),0)</f>
        <v>0</v>
      </c>
      <c r="P423">
        <f>IFERROR(VLOOKUP(Fix_Mapping[[#This Row],[KODE BARANG]],[1]!KINONF15[[KDBRG]:[HRG_JLMT_CTN+PPN]],17,0),0)</f>
        <v>0</v>
      </c>
      <c r="Q423">
        <f>IFERROR(VLOOKUP(Fix_Mapping[[#This Row],[KODE BARANG]],[1]!KINONF15[[KDBRG]:[HRG_JLMT_CTN+PPN]],18,0),0)</f>
        <v>0</v>
      </c>
      <c r="R423" t="s">
        <v>2555</v>
      </c>
      <c r="S423" t="s">
        <v>872</v>
      </c>
      <c r="T423" t="s">
        <v>873</v>
      </c>
      <c r="U423">
        <v>0</v>
      </c>
      <c r="V423">
        <v>0</v>
      </c>
      <c r="W423">
        <v>0</v>
      </c>
    </row>
    <row r="424" spans="1:23">
      <c r="A424" t="s">
        <v>1805</v>
      </c>
      <c r="B424" t="s">
        <v>1806</v>
      </c>
      <c r="C424">
        <v>36</v>
      </c>
      <c r="D424">
        <f>IFERROR(VLOOKUP(Fix_Mapping[[#This Row],[KODE BARANG]],[1]!KINONF15[[KDBRG]:[HRG_JLMT_CTN+PPN]],5,0),0)</f>
        <v>0</v>
      </c>
      <c r="E424" t="s">
        <v>2170</v>
      </c>
      <c r="F424">
        <f>IFERROR(VLOOKUP(Fix_Mapping[[#This Row],[KODE BARANG]],[1]!KINONF15[[KDBRG]:[HRG_JLMT_CTN+PPN]],7,0),0)</f>
        <v>0</v>
      </c>
      <c r="G424">
        <f>IFERROR(VLOOKUP(Fix_Mapping[[#This Row],[KODE BARANG]],[1]!KINONF15[[KDBRG]:[HRG_JLMT_CTN+PPN]],8,0),0)</f>
        <v>0</v>
      </c>
      <c r="H424">
        <f>IFERROR(VLOOKUP(Fix_Mapping[[#This Row],[KODE BARANG]],[1]!KINONF15[[KDBRG]:[HRG_JLMT_CTN+PPN]],9,0),0)</f>
        <v>0</v>
      </c>
      <c r="I424">
        <f>IFERROR(VLOOKUP(Fix_Mapping[[#This Row],[KODE BARANG]],[1]!KINONF15[[KDBRG]:[HRG_JLMT_CTN+PPN]],10,0),0)</f>
        <v>0</v>
      </c>
      <c r="J424">
        <f>IFERROR(VLOOKUP(Fix_Mapping[[#This Row],[KODE BARANG]],[1]!KINONF15[[KDBRG]:[HRG_JLMT_CTN+PPN]],11,0),0)</f>
        <v>0</v>
      </c>
      <c r="K424">
        <f>IFERROR(VLOOKUP(Fix_Mapping[[#This Row],[KODE BARANG]],[1]!KINONF15[[KDBRG]:[HRG_JLMT_CTN+PPN]],12,0),0)</f>
        <v>0</v>
      </c>
      <c r="L424">
        <f>IFERROR(VLOOKUP(Fix_Mapping[[#This Row],[KODE BARANG]],[1]!KINONF15[[KDBRG]:[HRG_JLMT_CTN+PPN]],13,0),0)</f>
        <v>0</v>
      </c>
      <c r="M424">
        <f>IFERROR(VLOOKUP(Fix_Mapping[[#This Row],[KODE BARANG]],[1]!KINONF15[[KDBRG]:[HRG_JLMT_CTN+PPN]],14,0),0)</f>
        <v>0</v>
      </c>
      <c r="N424">
        <f>IFERROR(VLOOKUP(Fix_Mapping[[#This Row],[KODE BARANG]],[1]!KINONF15[[KDBRG]:[HRG_JLMT_CTN+PPN]],15,0),0)</f>
        <v>0</v>
      </c>
      <c r="O424">
        <f>IFERROR(VLOOKUP(Fix_Mapping[[#This Row],[KODE BARANG]],[1]!KINONF15[[KDBRG]:[HRG_JLMT_CTN+PPN]],16,0),0)</f>
        <v>0</v>
      </c>
      <c r="P424">
        <f>IFERROR(VLOOKUP(Fix_Mapping[[#This Row],[KODE BARANG]],[1]!KINONF15[[KDBRG]:[HRG_JLMT_CTN+PPN]],17,0),0)</f>
        <v>0</v>
      </c>
      <c r="Q424">
        <f>IFERROR(VLOOKUP(Fix_Mapping[[#This Row],[KODE BARANG]],[1]!KINONF15[[KDBRG]:[HRG_JLMT_CTN+PPN]],18,0),0)</f>
        <v>0</v>
      </c>
      <c r="R424" t="s">
        <v>2555</v>
      </c>
      <c r="S424" t="s">
        <v>879</v>
      </c>
      <c r="T424" t="s">
        <v>880</v>
      </c>
      <c r="U424">
        <v>0</v>
      </c>
      <c r="V424">
        <v>0</v>
      </c>
      <c r="W424">
        <v>0</v>
      </c>
    </row>
    <row r="425" spans="1:23">
      <c r="A425" t="s">
        <v>1807</v>
      </c>
      <c r="B425" t="s">
        <v>1808</v>
      </c>
      <c r="C425">
        <v>36</v>
      </c>
      <c r="D425">
        <f>IFERROR(VLOOKUP(Fix_Mapping[[#This Row],[KODE BARANG]],[1]!KINONF15[[KDBRG]:[HRG_JLMT_CTN+PPN]],5,0),0)</f>
        <v>0</v>
      </c>
      <c r="E425" t="s">
        <v>2170</v>
      </c>
      <c r="F425">
        <f>IFERROR(VLOOKUP(Fix_Mapping[[#This Row],[KODE BARANG]],[1]!KINONF15[[KDBRG]:[HRG_JLMT_CTN+PPN]],7,0),0)</f>
        <v>0</v>
      </c>
      <c r="G425">
        <f>IFERROR(VLOOKUP(Fix_Mapping[[#This Row],[KODE BARANG]],[1]!KINONF15[[KDBRG]:[HRG_JLMT_CTN+PPN]],8,0),0)</f>
        <v>0</v>
      </c>
      <c r="H425">
        <f>IFERROR(VLOOKUP(Fix_Mapping[[#This Row],[KODE BARANG]],[1]!KINONF15[[KDBRG]:[HRG_JLMT_CTN+PPN]],9,0),0)</f>
        <v>0</v>
      </c>
      <c r="I425">
        <f>IFERROR(VLOOKUP(Fix_Mapping[[#This Row],[KODE BARANG]],[1]!KINONF15[[KDBRG]:[HRG_JLMT_CTN+PPN]],10,0),0)</f>
        <v>0</v>
      </c>
      <c r="J425">
        <f>IFERROR(VLOOKUP(Fix_Mapping[[#This Row],[KODE BARANG]],[1]!KINONF15[[KDBRG]:[HRG_JLMT_CTN+PPN]],11,0),0)</f>
        <v>0</v>
      </c>
      <c r="K425">
        <f>IFERROR(VLOOKUP(Fix_Mapping[[#This Row],[KODE BARANG]],[1]!KINONF15[[KDBRG]:[HRG_JLMT_CTN+PPN]],12,0),0)</f>
        <v>0</v>
      </c>
      <c r="L425">
        <f>IFERROR(VLOOKUP(Fix_Mapping[[#This Row],[KODE BARANG]],[1]!KINONF15[[KDBRG]:[HRG_JLMT_CTN+PPN]],13,0),0)</f>
        <v>0</v>
      </c>
      <c r="M425">
        <f>IFERROR(VLOOKUP(Fix_Mapping[[#This Row],[KODE BARANG]],[1]!KINONF15[[KDBRG]:[HRG_JLMT_CTN+PPN]],14,0),0)</f>
        <v>0</v>
      </c>
      <c r="N425">
        <f>IFERROR(VLOOKUP(Fix_Mapping[[#This Row],[KODE BARANG]],[1]!KINONF15[[KDBRG]:[HRG_JLMT_CTN+PPN]],15,0),0)</f>
        <v>0</v>
      </c>
      <c r="O425">
        <f>IFERROR(VLOOKUP(Fix_Mapping[[#This Row],[KODE BARANG]],[1]!KINONF15[[KDBRG]:[HRG_JLMT_CTN+PPN]],16,0),0)</f>
        <v>0</v>
      </c>
      <c r="P425">
        <f>IFERROR(VLOOKUP(Fix_Mapping[[#This Row],[KODE BARANG]],[1]!KINONF15[[KDBRG]:[HRG_JLMT_CTN+PPN]],17,0),0)</f>
        <v>0</v>
      </c>
      <c r="Q425">
        <f>IFERROR(VLOOKUP(Fix_Mapping[[#This Row],[KODE BARANG]],[1]!KINONF15[[KDBRG]:[HRG_JLMT_CTN+PPN]],18,0),0)</f>
        <v>0</v>
      </c>
      <c r="R425" t="s">
        <v>2555</v>
      </c>
      <c r="S425" t="s">
        <v>916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1809</v>
      </c>
      <c r="B426" t="s">
        <v>1810</v>
      </c>
      <c r="C426">
        <v>36</v>
      </c>
      <c r="D426">
        <f>IFERROR(VLOOKUP(Fix_Mapping[[#This Row],[KODE BARANG]],[1]!KINONF15[[KDBRG]:[HRG_JLMT_CTN+PPN]],5,0),0)</f>
        <v>0</v>
      </c>
      <c r="E426" t="s">
        <v>2170</v>
      </c>
      <c r="F426">
        <f>IFERROR(VLOOKUP(Fix_Mapping[[#This Row],[KODE BARANG]],[1]!KINONF15[[KDBRG]:[HRG_JLMT_CTN+PPN]],7,0),0)</f>
        <v>0</v>
      </c>
      <c r="G426">
        <f>IFERROR(VLOOKUP(Fix_Mapping[[#This Row],[KODE BARANG]],[1]!KINONF15[[KDBRG]:[HRG_JLMT_CTN+PPN]],8,0),0)</f>
        <v>0</v>
      </c>
      <c r="H426">
        <f>IFERROR(VLOOKUP(Fix_Mapping[[#This Row],[KODE BARANG]],[1]!KINONF15[[KDBRG]:[HRG_JLMT_CTN+PPN]],9,0),0)</f>
        <v>0</v>
      </c>
      <c r="I426">
        <f>IFERROR(VLOOKUP(Fix_Mapping[[#This Row],[KODE BARANG]],[1]!KINONF15[[KDBRG]:[HRG_JLMT_CTN+PPN]],10,0),0)</f>
        <v>0</v>
      </c>
      <c r="J426">
        <f>IFERROR(VLOOKUP(Fix_Mapping[[#This Row],[KODE BARANG]],[1]!KINONF15[[KDBRG]:[HRG_JLMT_CTN+PPN]],11,0),0)</f>
        <v>0</v>
      </c>
      <c r="K426">
        <f>IFERROR(VLOOKUP(Fix_Mapping[[#This Row],[KODE BARANG]],[1]!KINONF15[[KDBRG]:[HRG_JLMT_CTN+PPN]],12,0),0)</f>
        <v>0</v>
      </c>
      <c r="L426">
        <f>IFERROR(VLOOKUP(Fix_Mapping[[#This Row],[KODE BARANG]],[1]!KINONF15[[KDBRG]:[HRG_JLMT_CTN+PPN]],13,0),0)</f>
        <v>0</v>
      </c>
      <c r="M426">
        <f>IFERROR(VLOOKUP(Fix_Mapping[[#This Row],[KODE BARANG]],[1]!KINONF15[[KDBRG]:[HRG_JLMT_CTN+PPN]],14,0),0)</f>
        <v>0</v>
      </c>
      <c r="N426">
        <f>IFERROR(VLOOKUP(Fix_Mapping[[#This Row],[KODE BARANG]],[1]!KINONF15[[KDBRG]:[HRG_JLMT_CTN+PPN]],15,0),0)</f>
        <v>0</v>
      </c>
      <c r="O426">
        <f>IFERROR(VLOOKUP(Fix_Mapping[[#This Row],[KODE BARANG]],[1]!KINONF15[[KDBRG]:[HRG_JLMT_CTN+PPN]],16,0),0)</f>
        <v>0</v>
      </c>
      <c r="P426">
        <f>IFERROR(VLOOKUP(Fix_Mapping[[#This Row],[KODE BARANG]],[1]!KINONF15[[KDBRG]:[HRG_JLMT_CTN+PPN]],17,0),0)</f>
        <v>0</v>
      </c>
      <c r="Q426">
        <f>IFERROR(VLOOKUP(Fix_Mapping[[#This Row],[KODE BARANG]],[1]!KINONF15[[KDBRG]:[HRG_JLMT_CTN+PPN]],18,0),0)</f>
        <v>0</v>
      </c>
      <c r="R426" t="s">
        <v>2555</v>
      </c>
      <c r="S426" t="s">
        <v>917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1811</v>
      </c>
      <c r="B427" t="s">
        <v>1812</v>
      </c>
      <c r="C427">
        <v>36</v>
      </c>
      <c r="D427">
        <f>IFERROR(VLOOKUP(Fix_Mapping[[#This Row],[KODE BARANG]],[1]!KINONF15[[KDBRG]:[HRG_JLMT_CTN+PPN]],5,0),0)</f>
        <v>0</v>
      </c>
      <c r="E427" t="s">
        <v>2170</v>
      </c>
      <c r="F427">
        <f>IFERROR(VLOOKUP(Fix_Mapping[[#This Row],[KODE BARANG]],[1]!KINONF15[[KDBRG]:[HRG_JLMT_CTN+PPN]],7,0),0)</f>
        <v>0</v>
      </c>
      <c r="G427">
        <f>IFERROR(VLOOKUP(Fix_Mapping[[#This Row],[KODE BARANG]],[1]!KINONF15[[KDBRG]:[HRG_JLMT_CTN+PPN]],8,0),0)</f>
        <v>0</v>
      </c>
      <c r="H427">
        <f>IFERROR(VLOOKUP(Fix_Mapping[[#This Row],[KODE BARANG]],[1]!KINONF15[[KDBRG]:[HRG_JLMT_CTN+PPN]],9,0),0)</f>
        <v>0</v>
      </c>
      <c r="I427">
        <f>IFERROR(VLOOKUP(Fix_Mapping[[#This Row],[KODE BARANG]],[1]!KINONF15[[KDBRG]:[HRG_JLMT_CTN+PPN]],10,0),0)</f>
        <v>0</v>
      </c>
      <c r="J427">
        <f>IFERROR(VLOOKUP(Fix_Mapping[[#This Row],[KODE BARANG]],[1]!KINONF15[[KDBRG]:[HRG_JLMT_CTN+PPN]],11,0),0)</f>
        <v>0</v>
      </c>
      <c r="K427">
        <f>IFERROR(VLOOKUP(Fix_Mapping[[#This Row],[KODE BARANG]],[1]!KINONF15[[KDBRG]:[HRG_JLMT_CTN+PPN]],12,0),0)</f>
        <v>0</v>
      </c>
      <c r="L427">
        <f>IFERROR(VLOOKUP(Fix_Mapping[[#This Row],[KODE BARANG]],[1]!KINONF15[[KDBRG]:[HRG_JLMT_CTN+PPN]],13,0),0)</f>
        <v>0</v>
      </c>
      <c r="M427">
        <f>IFERROR(VLOOKUP(Fix_Mapping[[#This Row],[KODE BARANG]],[1]!KINONF15[[KDBRG]:[HRG_JLMT_CTN+PPN]],14,0),0)</f>
        <v>0</v>
      </c>
      <c r="N427">
        <f>IFERROR(VLOOKUP(Fix_Mapping[[#This Row],[KODE BARANG]],[1]!KINONF15[[KDBRG]:[HRG_JLMT_CTN+PPN]],15,0),0)</f>
        <v>0</v>
      </c>
      <c r="O427">
        <f>IFERROR(VLOOKUP(Fix_Mapping[[#This Row],[KODE BARANG]],[1]!KINONF15[[KDBRG]:[HRG_JLMT_CTN+PPN]],16,0),0)</f>
        <v>0</v>
      </c>
      <c r="P427">
        <f>IFERROR(VLOOKUP(Fix_Mapping[[#This Row],[KODE BARANG]],[1]!KINONF15[[KDBRG]:[HRG_JLMT_CTN+PPN]],17,0),0)</f>
        <v>0</v>
      </c>
      <c r="Q427">
        <f>IFERROR(VLOOKUP(Fix_Mapping[[#This Row],[KODE BARANG]],[1]!KINONF15[[KDBRG]:[HRG_JLMT_CTN+PPN]],18,0),0)</f>
        <v>0</v>
      </c>
      <c r="R427" t="s">
        <v>2555</v>
      </c>
      <c r="S427" t="s">
        <v>919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1813</v>
      </c>
      <c r="B428" t="s">
        <v>1814</v>
      </c>
      <c r="C428">
        <v>36</v>
      </c>
      <c r="D428">
        <f>IFERROR(VLOOKUP(Fix_Mapping[[#This Row],[KODE BARANG]],[1]!KINONF15[[KDBRG]:[HRG_JLMT_CTN+PPN]],5,0),0)</f>
        <v>0</v>
      </c>
      <c r="E428" t="s">
        <v>2170</v>
      </c>
      <c r="F428">
        <f>IFERROR(VLOOKUP(Fix_Mapping[[#This Row],[KODE BARANG]],[1]!KINONF15[[KDBRG]:[HRG_JLMT_CTN+PPN]],7,0),0)</f>
        <v>0</v>
      </c>
      <c r="G428">
        <f>IFERROR(VLOOKUP(Fix_Mapping[[#This Row],[KODE BARANG]],[1]!KINONF15[[KDBRG]:[HRG_JLMT_CTN+PPN]],8,0),0)</f>
        <v>0</v>
      </c>
      <c r="H428">
        <f>IFERROR(VLOOKUP(Fix_Mapping[[#This Row],[KODE BARANG]],[1]!KINONF15[[KDBRG]:[HRG_JLMT_CTN+PPN]],9,0),0)</f>
        <v>0</v>
      </c>
      <c r="I428">
        <f>IFERROR(VLOOKUP(Fix_Mapping[[#This Row],[KODE BARANG]],[1]!KINONF15[[KDBRG]:[HRG_JLMT_CTN+PPN]],10,0),0)</f>
        <v>0</v>
      </c>
      <c r="J428">
        <f>IFERROR(VLOOKUP(Fix_Mapping[[#This Row],[KODE BARANG]],[1]!KINONF15[[KDBRG]:[HRG_JLMT_CTN+PPN]],11,0),0)</f>
        <v>0</v>
      </c>
      <c r="K428">
        <f>IFERROR(VLOOKUP(Fix_Mapping[[#This Row],[KODE BARANG]],[1]!KINONF15[[KDBRG]:[HRG_JLMT_CTN+PPN]],12,0),0)</f>
        <v>0</v>
      </c>
      <c r="L428">
        <f>IFERROR(VLOOKUP(Fix_Mapping[[#This Row],[KODE BARANG]],[1]!KINONF15[[KDBRG]:[HRG_JLMT_CTN+PPN]],13,0),0)</f>
        <v>0</v>
      </c>
      <c r="M428">
        <f>IFERROR(VLOOKUP(Fix_Mapping[[#This Row],[KODE BARANG]],[1]!KINONF15[[KDBRG]:[HRG_JLMT_CTN+PPN]],14,0),0)</f>
        <v>0</v>
      </c>
      <c r="N428">
        <f>IFERROR(VLOOKUP(Fix_Mapping[[#This Row],[KODE BARANG]],[1]!KINONF15[[KDBRG]:[HRG_JLMT_CTN+PPN]],15,0),0)</f>
        <v>0</v>
      </c>
      <c r="O428">
        <f>IFERROR(VLOOKUP(Fix_Mapping[[#This Row],[KODE BARANG]],[1]!KINONF15[[KDBRG]:[HRG_JLMT_CTN+PPN]],16,0),0)</f>
        <v>0</v>
      </c>
      <c r="P428">
        <f>IFERROR(VLOOKUP(Fix_Mapping[[#This Row],[KODE BARANG]],[1]!KINONF15[[KDBRG]:[HRG_JLMT_CTN+PPN]],17,0),0)</f>
        <v>0</v>
      </c>
      <c r="Q428">
        <f>IFERROR(VLOOKUP(Fix_Mapping[[#This Row],[KODE BARANG]],[1]!KINONF15[[KDBRG]:[HRG_JLMT_CTN+PPN]],18,0),0)</f>
        <v>0</v>
      </c>
      <c r="R428" t="s">
        <v>2555</v>
      </c>
      <c r="S428" t="s">
        <v>920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1815</v>
      </c>
      <c r="B429" t="s">
        <v>1816</v>
      </c>
      <c r="C429">
        <v>36</v>
      </c>
      <c r="D429">
        <f>IFERROR(VLOOKUP(Fix_Mapping[[#This Row],[KODE BARANG]],[1]!KINONF15[[KDBRG]:[HRG_JLMT_CTN+PPN]],5,0),0)</f>
        <v>0</v>
      </c>
      <c r="E429" t="s">
        <v>2170</v>
      </c>
      <c r="F429">
        <f>IFERROR(VLOOKUP(Fix_Mapping[[#This Row],[KODE BARANG]],[1]!KINONF15[[KDBRG]:[HRG_JLMT_CTN+PPN]],7,0),0)</f>
        <v>0</v>
      </c>
      <c r="G429">
        <f>IFERROR(VLOOKUP(Fix_Mapping[[#This Row],[KODE BARANG]],[1]!KINONF15[[KDBRG]:[HRG_JLMT_CTN+PPN]],8,0),0)</f>
        <v>0</v>
      </c>
      <c r="H429">
        <f>IFERROR(VLOOKUP(Fix_Mapping[[#This Row],[KODE BARANG]],[1]!KINONF15[[KDBRG]:[HRG_JLMT_CTN+PPN]],9,0),0)</f>
        <v>0</v>
      </c>
      <c r="I429">
        <f>IFERROR(VLOOKUP(Fix_Mapping[[#This Row],[KODE BARANG]],[1]!KINONF15[[KDBRG]:[HRG_JLMT_CTN+PPN]],10,0),0)</f>
        <v>0</v>
      </c>
      <c r="J429">
        <f>IFERROR(VLOOKUP(Fix_Mapping[[#This Row],[KODE BARANG]],[1]!KINONF15[[KDBRG]:[HRG_JLMT_CTN+PPN]],11,0),0)</f>
        <v>0</v>
      </c>
      <c r="K429">
        <f>IFERROR(VLOOKUP(Fix_Mapping[[#This Row],[KODE BARANG]],[1]!KINONF15[[KDBRG]:[HRG_JLMT_CTN+PPN]],12,0),0)</f>
        <v>0</v>
      </c>
      <c r="L429">
        <f>IFERROR(VLOOKUP(Fix_Mapping[[#This Row],[KODE BARANG]],[1]!KINONF15[[KDBRG]:[HRG_JLMT_CTN+PPN]],13,0),0)</f>
        <v>0</v>
      </c>
      <c r="M429">
        <f>IFERROR(VLOOKUP(Fix_Mapping[[#This Row],[KODE BARANG]],[1]!KINONF15[[KDBRG]:[HRG_JLMT_CTN+PPN]],14,0),0)</f>
        <v>0</v>
      </c>
      <c r="N429">
        <f>IFERROR(VLOOKUP(Fix_Mapping[[#This Row],[KODE BARANG]],[1]!KINONF15[[KDBRG]:[HRG_JLMT_CTN+PPN]],15,0),0)</f>
        <v>0</v>
      </c>
      <c r="O429">
        <f>IFERROR(VLOOKUP(Fix_Mapping[[#This Row],[KODE BARANG]],[1]!KINONF15[[KDBRG]:[HRG_JLMT_CTN+PPN]],16,0),0)</f>
        <v>0</v>
      </c>
      <c r="P429">
        <f>IFERROR(VLOOKUP(Fix_Mapping[[#This Row],[KODE BARANG]],[1]!KINONF15[[KDBRG]:[HRG_JLMT_CTN+PPN]],17,0),0)</f>
        <v>0</v>
      </c>
      <c r="Q429">
        <f>IFERROR(VLOOKUP(Fix_Mapping[[#This Row],[KODE BARANG]],[1]!KINONF15[[KDBRG]:[HRG_JLMT_CTN+PPN]],18,0),0)</f>
        <v>0</v>
      </c>
      <c r="R429" t="s">
        <v>2555</v>
      </c>
      <c r="S429" t="s">
        <v>921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1817</v>
      </c>
      <c r="B430" t="s">
        <v>1818</v>
      </c>
      <c r="C430">
        <v>36</v>
      </c>
      <c r="D430">
        <f>IFERROR(VLOOKUP(Fix_Mapping[[#This Row],[KODE BARANG]],[1]!KINONF15[[KDBRG]:[HRG_JLMT_CTN+PPN]],5,0),0)</f>
        <v>0</v>
      </c>
      <c r="E430" t="s">
        <v>2170</v>
      </c>
      <c r="F430">
        <f>IFERROR(VLOOKUP(Fix_Mapping[[#This Row],[KODE BARANG]],[1]!KINONF15[[KDBRG]:[HRG_JLMT_CTN+PPN]],7,0),0)</f>
        <v>0</v>
      </c>
      <c r="G430">
        <f>IFERROR(VLOOKUP(Fix_Mapping[[#This Row],[KODE BARANG]],[1]!KINONF15[[KDBRG]:[HRG_JLMT_CTN+PPN]],8,0),0)</f>
        <v>0</v>
      </c>
      <c r="H430">
        <f>IFERROR(VLOOKUP(Fix_Mapping[[#This Row],[KODE BARANG]],[1]!KINONF15[[KDBRG]:[HRG_JLMT_CTN+PPN]],9,0),0)</f>
        <v>0</v>
      </c>
      <c r="I430">
        <f>IFERROR(VLOOKUP(Fix_Mapping[[#This Row],[KODE BARANG]],[1]!KINONF15[[KDBRG]:[HRG_JLMT_CTN+PPN]],10,0),0)</f>
        <v>0</v>
      </c>
      <c r="J430">
        <f>IFERROR(VLOOKUP(Fix_Mapping[[#This Row],[KODE BARANG]],[1]!KINONF15[[KDBRG]:[HRG_JLMT_CTN+PPN]],11,0),0)</f>
        <v>0</v>
      </c>
      <c r="K430">
        <f>IFERROR(VLOOKUP(Fix_Mapping[[#This Row],[KODE BARANG]],[1]!KINONF15[[KDBRG]:[HRG_JLMT_CTN+PPN]],12,0),0)</f>
        <v>0</v>
      </c>
      <c r="L430">
        <f>IFERROR(VLOOKUP(Fix_Mapping[[#This Row],[KODE BARANG]],[1]!KINONF15[[KDBRG]:[HRG_JLMT_CTN+PPN]],13,0),0)</f>
        <v>0</v>
      </c>
      <c r="M430">
        <f>IFERROR(VLOOKUP(Fix_Mapping[[#This Row],[KODE BARANG]],[1]!KINONF15[[KDBRG]:[HRG_JLMT_CTN+PPN]],14,0),0)</f>
        <v>0</v>
      </c>
      <c r="N430">
        <f>IFERROR(VLOOKUP(Fix_Mapping[[#This Row],[KODE BARANG]],[1]!KINONF15[[KDBRG]:[HRG_JLMT_CTN+PPN]],15,0),0)</f>
        <v>0</v>
      </c>
      <c r="O430">
        <f>IFERROR(VLOOKUP(Fix_Mapping[[#This Row],[KODE BARANG]],[1]!KINONF15[[KDBRG]:[HRG_JLMT_CTN+PPN]],16,0),0)</f>
        <v>0</v>
      </c>
      <c r="P430">
        <f>IFERROR(VLOOKUP(Fix_Mapping[[#This Row],[KODE BARANG]],[1]!KINONF15[[KDBRG]:[HRG_JLMT_CTN+PPN]],17,0),0)</f>
        <v>0</v>
      </c>
      <c r="Q430">
        <f>IFERROR(VLOOKUP(Fix_Mapping[[#This Row],[KODE BARANG]],[1]!KINONF15[[KDBRG]:[HRG_JLMT_CTN+PPN]],18,0),0)</f>
        <v>0</v>
      </c>
      <c r="R430" t="s">
        <v>2555</v>
      </c>
      <c r="S430" t="s">
        <v>923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1819</v>
      </c>
      <c r="B431" t="s">
        <v>1820</v>
      </c>
      <c r="C431">
        <v>24</v>
      </c>
      <c r="D431">
        <f>IFERROR(VLOOKUP(Fix_Mapping[[#This Row],[KODE BARANG]],[1]!KINONF15[[KDBRG]:[HRG_JLMT_CTN+PPN]],5,0),0)</f>
        <v>0</v>
      </c>
      <c r="E431" t="s">
        <v>2190</v>
      </c>
      <c r="F431">
        <f>IFERROR(VLOOKUP(Fix_Mapping[[#This Row],[KODE BARANG]],[1]!KINONF15[[KDBRG]:[HRG_JLMT_CTN+PPN]],7,0),0)</f>
        <v>0</v>
      </c>
      <c r="G431">
        <f>IFERROR(VLOOKUP(Fix_Mapping[[#This Row],[KODE BARANG]],[1]!KINONF15[[KDBRG]:[HRG_JLMT_CTN+PPN]],8,0),0)</f>
        <v>0</v>
      </c>
      <c r="H431">
        <f>IFERROR(VLOOKUP(Fix_Mapping[[#This Row],[KODE BARANG]],[1]!KINONF15[[KDBRG]:[HRG_JLMT_CTN+PPN]],9,0),0)</f>
        <v>0</v>
      </c>
      <c r="I431">
        <f>IFERROR(VLOOKUP(Fix_Mapping[[#This Row],[KODE BARANG]],[1]!KINONF15[[KDBRG]:[HRG_JLMT_CTN+PPN]],10,0),0)</f>
        <v>0</v>
      </c>
      <c r="J431">
        <f>IFERROR(VLOOKUP(Fix_Mapping[[#This Row],[KODE BARANG]],[1]!KINONF15[[KDBRG]:[HRG_JLMT_CTN+PPN]],11,0),0)</f>
        <v>0</v>
      </c>
      <c r="K431">
        <f>IFERROR(VLOOKUP(Fix_Mapping[[#This Row],[KODE BARANG]],[1]!KINONF15[[KDBRG]:[HRG_JLMT_CTN+PPN]],12,0),0)</f>
        <v>0</v>
      </c>
      <c r="L431">
        <f>IFERROR(VLOOKUP(Fix_Mapping[[#This Row],[KODE BARANG]],[1]!KINONF15[[KDBRG]:[HRG_JLMT_CTN+PPN]],13,0),0)</f>
        <v>0</v>
      </c>
      <c r="M431">
        <f>IFERROR(VLOOKUP(Fix_Mapping[[#This Row],[KODE BARANG]],[1]!KINONF15[[KDBRG]:[HRG_JLMT_CTN+PPN]],14,0),0)</f>
        <v>0</v>
      </c>
      <c r="N431">
        <f>IFERROR(VLOOKUP(Fix_Mapping[[#This Row],[KODE BARANG]],[1]!KINONF15[[KDBRG]:[HRG_JLMT_CTN+PPN]],15,0),0)</f>
        <v>0</v>
      </c>
      <c r="O431">
        <f>IFERROR(VLOOKUP(Fix_Mapping[[#This Row],[KODE BARANG]],[1]!KINONF15[[KDBRG]:[HRG_JLMT_CTN+PPN]],16,0),0)</f>
        <v>0</v>
      </c>
      <c r="P431">
        <f>IFERROR(VLOOKUP(Fix_Mapping[[#This Row],[KODE BARANG]],[1]!KINONF15[[KDBRG]:[HRG_JLMT_CTN+PPN]],17,0),0)</f>
        <v>0</v>
      </c>
      <c r="Q431">
        <f>IFERROR(VLOOKUP(Fix_Mapping[[#This Row],[KODE BARANG]],[1]!KINONF15[[KDBRG]:[HRG_JLMT_CTN+PPN]],18,0),0)</f>
        <v>0</v>
      </c>
      <c r="R431" t="s">
        <v>2555</v>
      </c>
      <c r="S431" t="s">
        <v>874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1821</v>
      </c>
      <c r="B432" t="s">
        <v>1822</v>
      </c>
      <c r="C432">
        <v>24</v>
      </c>
      <c r="D432">
        <f>IFERROR(VLOOKUP(Fix_Mapping[[#This Row],[KODE BARANG]],[1]!KINONF15[[KDBRG]:[HRG_JLMT_CTN+PPN]],5,0),0)</f>
        <v>0</v>
      </c>
      <c r="E432" t="s">
        <v>2190</v>
      </c>
      <c r="F432">
        <f>IFERROR(VLOOKUP(Fix_Mapping[[#This Row],[KODE BARANG]],[1]!KINONF15[[KDBRG]:[HRG_JLMT_CTN+PPN]],7,0),0)</f>
        <v>0</v>
      </c>
      <c r="G432">
        <f>IFERROR(VLOOKUP(Fix_Mapping[[#This Row],[KODE BARANG]],[1]!KINONF15[[KDBRG]:[HRG_JLMT_CTN+PPN]],8,0),0)</f>
        <v>0</v>
      </c>
      <c r="H432">
        <f>IFERROR(VLOOKUP(Fix_Mapping[[#This Row],[KODE BARANG]],[1]!KINONF15[[KDBRG]:[HRG_JLMT_CTN+PPN]],9,0),0)</f>
        <v>0</v>
      </c>
      <c r="I432">
        <f>IFERROR(VLOOKUP(Fix_Mapping[[#This Row],[KODE BARANG]],[1]!KINONF15[[KDBRG]:[HRG_JLMT_CTN+PPN]],10,0),0)</f>
        <v>0</v>
      </c>
      <c r="J432">
        <f>IFERROR(VLOOKUP(Fix_Mapping[[#This Row],[KODE BARANG]],[1]!KINONF15[[KDBRG]:[HRG_JLMT_CTN+PPN]],11,0),0)</f>
        <v>0</v>
      </c>
      <c r="K432">
        <f>IFERROR(VLOOKUP(Fix_Mapping[[#This Row],[KODE BARANG]],[1]!KINONF15[[KDBRG]:[HRG_JLMT_CTN+PPN]],12,0),0)</f>
        <v>0</v>
      </c>
      <c r="L432">
        <f>IFERROR(VLOOKUP(Fix_Mapping[[#This Row],[KODE BARANG]],[1]!KINONF15[[KDBRG]:[HRG_JLMT_CTN+PPN]],13,0),0)</f>
        <v>0</v>
      </c>
      <c r="M432">
        <f>IFERROR(VLOOKUP(Fix_Mapping[[#This Row],[KODE BARANG]],[1]!KINONF15[[KDBRG]:[HRG_JLMT_CTN+PPN]],14,0),0)</f>
        <v>0</v>
      </c>
      <c r="N432">
        <f>IFERROR(VLOOKUP(Fix_Mapping[[#This Row],[KODE BARANG]],[1]!KINONF15[[KDBRG]:[HRG_JLMT_CTN+PPN]],15,0),0)</f>
        <v>0</v>
      </c>
      <c r="O432">
        <f>IFERROR(VLOOKUP(Fix_Mapping[[#This Row],[KODE BARANG]],[1]!KINONF15[[KDBRG]:[HRG_JLMT_CTN+PPN]],16,0),0)</f>
        <v>0</v>
      </c>
      <c r="P432">
        <f>IFERROR(VLOOKUP(Fix_Mapping[[#This Row],[KODE BARANG]],[1]!KINONF15[[KDBRG]:[HRG_JLMT_CTN+PPN]],17,0),0)</f>
        <v>0</v>
      </c>
      <c r="Q432">
        <f>IFERROR(VLOOKUP(Fix_Mapping[[#This Row],[KODE BARANG]],[1]!KINONF15[[KDBRG]:[HRG_JLMT_CTN+PPN]],18,0),0)</f>
        <v>0</v>
      </c>
      <c r="R432" t="s">
        <v>2555</v>
      </c>
      <c r="S432" t="s">
        <v>922</v>
      </c>
      <c r="T432">
        <v>0</v>
      </c>
      <c r="U432">
        <v>0</v>
      </c>
      <c r="V432">
        <v>0</v>
      </c>
      <c r="W432">
        <v>0</v>
      </c>
    </row>
    <row r="433" spans="1:23">
      <c r="A433" t="s">
        <v>1823</v>
      </c>
      <c r="B433" t="s">
        <v>1824</v>
      </c>
      <c r="C433">
        <v>24</v>
      </c>
      <c r="D433">
        <f>IFERROR(VLOOKUP(Fix_Mapping[[#This Row],[KODE BARANG]],[1]!KINONF15[[KDBRG]:[HRG_JLMT_CTN+PPN]],5,0),0)</f>
        <v>0</v>
      </c>
      <c r="E433" t="s">
        <v>2190</v>
      </c>
      <c r="F433">
        <f>IFERROR(VLOOKUP(Fix_Mapping[[#This Row],[KODE BARANG]],[1]!KINONF15[[KDBRG]:[HRG_JLMT_CTN+PPN]],7,0),0)</f>
        <v>0</v>
      </c>
      <c r="G433">
        <f>IFERROR(VLOOKUP(Fix_Mapping[[#This Row],[KODE BARANG]],[1]!KINONF15[[KDBRG]:[HRG_JLMT_CTN+PPN]],8,0),0)</f>
        <v>0</v>
      </c>
      <c r="H433">
        <f>IFERROR(VLOOKUP(Fix_Mapping[[#This Row],[KODE BARANG]],[1]!KINONF15[[KDBRG]:[HRG_JLMT_CTN+PPN]],9,0),0)</f>
        <v>0</v>
      </c>
      <c r="I433">
        <f>IFERROR(VLOOKUP(Fix_Mapping[[#This Row],[KODE BARANG]],[1]!KINONF15[[KDBRG]:[HRG_JLMT_CTN+PPN]],10,0),0)</f>
        <v>0</v>
      </c>
      <c r="J433">
        <f>IFERROR(VLOOKUP(Fix_Mapping[[#This Row],[KODE BARANG]],[1]!KINONF15[[KDBRG]:[HRG_JLMT_CTN+PPN]],11,0),0)</f>
        <v>0</v>
      </c>
      <c r="K433">
        <f>IFERROR(VLOOKUP(Fix_Mapping[[#This Row],[KODE BARANG]],[1]!KINONF15[[KDBRG]:[HRG_JLMT_CTN+PPN]],12,0),0)</f>
        <v>0</v>
      </c>
      <c r="L433">
        <f>IFERROR(VLOOKUP(Fix_Mapping[[#This Row],[KODE BARANG]],[1]!KINONF15[[KDBRG]:[HRG_JLMT_CTN+PPN]],13,0),0)</f>
        <v>0</v>
      </c>
      <c r="M433">
        <f>IFERROR(VLOOKUP(Fix_Mapping[[#This Row],[KODE BARANG]],[1]!KINONF15[[KDBRG]:[HRG_JLMT_CTN+PPN]],14,0),0)</f>
        <v>0</v>
      </c>
      <c r="N433">
        <f>IFERROR(VLOOKUP(Fix_Mapping[[#This Row],[KODE BARANG]],[1]!KINONF15[[KDBRG]:[HRG_JLMT_CTN+PPN]],15,0),0)</f>
        <v>0</v>
      </c>
      <c r="O433">
        <f>IFERROR(VLOOKUP(Fix_Mapping[[#This Row],[KODE BARANG]],[1]!KINONF15[[KDBRG]:[HRG_JLMT_CTN+PPN]],16,0),0)</f>
        <v>0</v>
      </c>
      <c r="P433">
        <f>IFERROR(VLOOKUP(Fix_Mapping[[#This Row],[KODE BARANG]],[1]!KINONF15[[KDBRG]:[HRG_JLMT_CTN+PPN]],17,0),0)</f>
        <v>0</v>
      </c>
      <c r="Q433">
        <f>IFERROR(VLOOKUP(Fix_Mapping[[#This Row],[KODE BARANG]],[1]!KINONF15[[KDBRG]:[HRG_JLMT_CTN+PPN]],18,0),0)</f>
        <v>0</v>
      </c>
      <c r="R433" t="s">
        <v>2555</v>
      </c>
      <c r="S433" t="s">
        <v>918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1825</v>
      </c>
      <c r="B434" t="s">
        <v>1826</v>
      </c>
      <c r="C434">
        <v>24</v>
      </c>
      <c r="D434">
        <f>IFERROR(VLOOKUP(Fix_Mapping[[#This Row],[KODE BARANG]],[1]!KINONF15[[KDBRG]:[HRG_JLMT_CTN+PPN]],5,0),0)</f>
        <v>0</v>
      </c>
      <c r="E434" t="s">
        <v>2190</v>
      </c>
      <c r="F434">
        <f>IFERROR(VLOOKUP(Fix_Mapping[[#This Row],[KODE BARANG]],[1]!KINONF15[[KDBRG]:[HRG_JLMT_CTN+PPN]],7,0),0)</f>
        <v>0</v>
      </c>
      <c r="G434">
        <f>IFERROR(VLOOKUP(Fix_Mapping[[#This Row],[KODE BARANG]],[1]!KINONF15[[KDBRG]:[HRG_JLMT_CTN+PPN]],8,0),0)</f>
        <v>0</v>
      </c>
      <c r="H434">
        <f>IFERROR(VLOOKUP(Fix_Mapping[[#This Row],[KODE BARANG]],[1]!KINONF15[[KDBRG]:[HRG_JLMT_CTN+PPN]],9,0),0)</f>
        <v>0</v>
      </c>
      <c r="I434">
        <f>IFERROR(VLOOKUP(Fix_Mapping[[#This Row],[KODE BARANG]],[1]!KINONF15[[KDBRG]:[HRG_JLMT_CTN+PPN]],10,0),0)</f>
        <v>0</v>
      </c>
      <c r="J434">
        <f>IFERROR(VLOOKUP(Fix_Mapping[[#This Row],[KODE BARANG]],[1]!KINONF15[[KDBRG]:[HRG_JLMT_CTN+PPN]],11,0),0)</f>
        <v>0</v>
      </c>
      <c r="K434">
        <f>IFERROR(VLOOKUP(Fix_Mapping[[#This Row],[KODE BARANG]],[1]!KINONF15[[KDBRG]:[HRG_JLMT_CTN+PPN]],12,0),0)</f>
        <v>0</v>
      </c>
      <c r="L434">
        <f>IFERROR(VLOOKUP(Fix_Mapping[[#This Row],[KODE BARANG]],[1]!KINONF15[[KDBRG]:[HRG_JLMT_CTN+PPN]],13,0),0)</f>
        <v>0</v>
      </c>
      <c r="M434">
        <f>IFERROR(VLOOKUP(Fix_Mapping[[#This Row],[KODE BARANG]],[1]!KINONF15[[KDBRG]:[HRG_JLMT_CTN+PPN]],14,0),0)</f>
        <v>0</v>
      </c>
      <c r="N434">
        <f>IFERROR(VLOOKUP(Fix_Mapping[[#This Row],[KODE BARANG]],[1]!KINONF15[[KDBRG]:[HRG_JLMT_CTN+PPN]],15,0),0)</f>
        <v>0</v>
      </c>
      <c r="O434">
        <f>IFERROR(VLOOKUP(Fix_Mapping[[#This Row],[KODE BARANG]],[1]!KINONF15[[KDBRG]:[HRG_JLMT_CTN+PPN]],16,0),0)</f>
        <v>0</v>
      </c>
      <c r="P434">
        <f>IFERROR(VLOOKUP(Fix_Mapping[[#This Row],[KODE BARANG]],[1]!KINONF15[[KDBRG]:[HRG_JLMT_CTN+PPN]],17,0),0)</f>
        <v>0</v>
      </c>
      <c r="Q434">
        <f>IFERROR(VLOOKUP(Fix_Mapping[[#This Row],[KODE BARANG]],[1]!KINONF15[[KDBRG]:[HRG_JLMT_CTN+PPN]],18,0),0)</f>
        <v>0</v>
      </c>
      <c r="R434" t="s">
        <v>2555</v>
      </c>
      <c r="S434" t="s">
        <v>912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1827</v>
      </c>
      <c r="B435" t="s">
        <v>1828</v>
      </c>
      <c r="C435">
        <v>24</v>
      </c>
      <c r="D435">
        <f>IFERROR(VLOOKUP(Fix_Mapping[[#This Row],[KODE BARANG]],[1]!KINONF15[[KDBRG]:[HRG_JLMT_CTN+PPN]],5,0),0)</f>
        <v>0</v>
      </c>
      <c r="E435" t="s">
        <v>2190</v>
      </c>
      <c r="F435">
        <f>IFERROR(VLOOKUP(Fix_Mapping[[#This Row],[KODE BARANG]],[1]!KINONF15[[KDBRG]:[HRG_JLMT_CTN+PPN]],7,0),0)</f>
        <v>0</v>
      </c>
      <c r="G435">
        <f>IFERROR(VLOOKUP(Fix_Mapping[[#This Row],[KODE BARANG]],[1]!KINONF15[[KDBRG]:[HRG_JLMT_CTN+PPN]],8,0),0)</f>
        <v>0</v>
      </c>
      <c r="H435">
        <f>IFERROR(VLOOKUP(Fix_Mapping[[#This Row],[KODE BARANG]],[1]!KINONF15[[KDBRG]:[HRG_JLMT_CTN+PPN]],9,0),0)</f>
        <v>0</v>
      </c>
      <c r="I435">
        <f>IFERROR(VLOOKUP(Fix_Mapping[[#This Row],[KODE BARANG]],[1]!KINONF15[[KDBRG]:[HRG_JLMT_CTN+PPN]],10,0),0)</f>
        <v>0</v>
      </c>
      <c r="J435">
        <f>IFERROR(VLOOKUP(Fix_Mapping[[#This Row],[KODE BARANG]],[1]!KINONF15[[KDBRG]:[HRG_JLMT_CTN+PPN]],11,0),0)</f>
        <v>0</v>
      </c>
      <c r="K435">
        <f>IFERROR(VLOOKUP(Fix_Mapping[[#This Row],[KODE BARANG]],[1]!KINONF15[[KDBRG]:[HRG_JLMT_CTN+PPN]],12,0),0)</f>
        <v>0</v>
      </c>
      <c r="L435">
        <f>IFERROR(VLOOKUP(Fix_Mapping[[#This Row],[KODE BARANG]],[1]!KINONF15[[KDBRG]:[HRG_JLMT_CTN+PPN]],13,0),0)</f>
        <v>0</v>
      </c>
      <c r="M435">
        <f>IFERROR(VLOOKUP(Fix_Mapping[[#This Row],[KODE BARANG]],[1]!KINONF15[[KDBRG]:[HRG_JLMT_CTN+PPN]],14,0),0)</f>
        <v>0</v>
      </c>
      <c r="N435">
        <f>IFERROR(VLOOKUP(Fix_Mapping[[#This Row],[KODE BARANG]],[1]!KINONF15[[KDBRG]:[HRG_JLMT_CTN+PPN]],15,0),0)</f>
        <v>0</v>
      </c>
      <c r="O435">
        <f>IFERROR(VLOOKUP(Fix_Mapping[[#This Row],[KODE BARANG]],[1]!KINONF15[[KDBRG]:[HRG_JLMT_CTN+PPN]],16,0),0)</f>
        <v>0</v>
      </c>
      <c r="P435">
        <f>IFERROR(VLOOKUP(Fix_Mapping[[#This Row],[KODE BARANG]],[1]!KINONF15[[KDBRG]:[HRG_JLMT_CTN+PPN]],17,0),0)</f>
        <v>0</v>
      </c>
      <c r="Q435">
        <f>IFERROR(VLOOKUP(Fix_Mapping[[#This Row],[KODE BARANG]],[1]!KINONF15[[KDBRG]:[HRG_JLMT_CTN+PPN]],18,0),0)</f>
        <v>0</v>
      </c>
      <c r="R435" t="s">
        <v>2555</v>
      </c>
      <c r="S435" t="s">
        <v>894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1829</v>
      </c>
      <c r="B436" t="s">
        <v>1830</v>
      </c>
      <c r="C436">
        <v>24</v>
      </c>
      <c r="D436">
        <f>IFERROR(VLOOKUP(Fix_Mapping[[#This Row],[KODE BARANG]],[1]!KINONF15[[KDBRG]:[HRG_JLMT_CTN+PPN]],5,0),0)</f>
        <v>0</v>
      </c>
      <c r="E436" t="s">
        <v>2190</v>
      </c>
      <c r="F436">
        <f>IFERROR(VLOOKUP(Fix_Mapping[[#This Row],[KODE BARANG]],[1]!KINONF15[[KDBRG]:[HRG_JLMT_CTN+PPN]],7,0),0)</f>
        <v>0</v>
      </c>
      <c r="G436">
        <f>IFERROR(VLOOKUP(Fix_Mapping[[#This Row],[KODE BARANG]],[1]!KINONF15[[KDBRG]:[HRG_JLMT_CTN+PPN]],8,0),0)</f>
        <v>0</v>
      </c>
      <c r="H436">
        <f>IFERROR(VLOOKUP(Fix_Mapping[[#This Row],[KODE BARANG]],[1]!KINONF15[[KDBRG]:[HRG_JLMT_CTN+PPN]],9,0),0)</f>
        <v>0</v>
      </c>
      <c r="I436">
        <f>IFERROR(VLOOKUP(Fix_Mapping[[#This Row],[KODE BARANG]],[1]!KINONF15[[KDBRG]:[HRG_JLMT_CTN+PPN]],10,0),0)</f>
        <v>0</v>
      </c>
      <c r="J436">
        <f>IFERROR(VLOOKUP(Fix_Mapping[[#This Row],[KODE BARANG]],[1]!KINONF15[[KDBRG]:[HRG_JLMT_CTN+PPN]],11,0),0)</f>
        <v>0</v>
      </c>
      <c r="K436">
        <f>IFERROR(VLOOKUP(Fix_Mapping[[#This Row],[KODE BARANG]],[1]!KINONF15[[KDBRG]:[HRG_JLMT_CTN+PPN]],12,0),0)</f>
        <v>0</v>
      </c>
      <c r="L436">
        <f>IFERROR(VLOOKUP(Fix_Mapping[[#This Row],[KODE BARANG]],[1]!KINONF15[[KDBRG]:[HRG_JLMT_CTN+PPN]],13,0),0)</f>
        <v>0</v>
      </c>
      <c r="M436">
        <f>IFERROR(VLOOKUP(Fix_Mapping[[#This Row],[KODE BARANG]],[1]!KINONF15[[KDBRG]:[HRG_JLMT_CTN+PPN]],14,0),0)</f>
        <v>0</v>
      </c>
      <c r="N436">
        <f>IFERROR(VLOOKUP(Fix_Mapping[[#This Row],[KODE BARANG]],[1]!KINONF15[[KDBRG]:[HRG_JLMT_CTN+PPN]],15,0),0)</f>
        <v>0</v>
      </c>
      <c r="O436">
        <f>IFERROR(VLOOKUP(Fix_Mapping[[#This Row],[KODE BARANG]],[1]!KINONF15[[KDBRG]:[HRG_JLMT_CTN+PPN]],16,0),0)</f>
        <v>0</v>
      </c>
      <c r="P436">
        <f>IFERROR(VLOOKUP(Fix_Mapping[[#This Row],[KODE BARANG]],[1]!KINONF15[[KDBRG]:[HRG_JLMT_CTN+PPN]],17,0),0)</f>
        <v>0</v>
      </c>
      <c r="Q436">
        <f>IFERROR(VLOOKUP(Fix_Mapping[[#This Row],[KODE BARANG]],[1]!KINONF15[[KDBRG]:[HRG_JLMT_CTN+PPN]],18,0),0)</f>
        <v>0</v>
      </c>
      <c r="R436" t="s">
        <v>2555</v>
      </c>
      <c r="S436" t="s">
        <v>906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1831</v>
      </c>
      <c r="B437" t="s">
        <v>1832</v>
      </c>
      <c r="C437">
        <v>36</v>
      </c>
      <c r="D437">
        <f>IFERROR(VLOOKUP(Fix_Mapping[[#This Row],[KODE BARANG]],[1]!KINONF15[[KDBRG]:[HRG_JLMT_CTN+PPN]],5,0),0)</f>
        <v>0</v>
      </c>
      <c r="E437" t="s">
        <v>2178</v>
      </c>
      <c r="F437">
        <f>IFERROR(VLOOKUP(Fix_Mapping[[#This Row],[KODE BARANG]],[1]!KINONF15[[KDBRG]:[HRG_JLMT_CTN+PPN]],7,0),0)</f>
        <v>0</v>
      </c>
      <c r="G437">
        <f>IFERROR(VLOOKUP(Fix_Mapping[[#This Row],[KODE BARANG]],[1]!KINONF15[[KDBRG]:[HRG_JLMT_CTN+PPN]],8,0),0)</f>
        <v>0</v>
      </c>
      <c r="H437">
        <f>IFERROR(VLOOKUP(Fix_Mapping[[#This Row],[KODE BARANG]],[1]!KINONF15[[KDBRG]:[HRG_JLMT_CTN+PPN]],9,0),0)</f>
        <v>0</v>
      </c>
      <c r="I437">
        <f>IFERROR(VLOOKUP(Fix_Mapping[[#This Row],[KODE BARANG]],[1]!KINONF15[[KDBRG]:[HRG_JLMT_CTN+PPN]],10,0),0)</f>
        <v>0</v>
      </c>
      <c r="J437">
        <f>IFERROR(VLOOKUP(Fix_Mapping[[#This Row],[KODE BARANG]],[1]!KINONF15[[KDBRG]:[HRG_JLMT_CTN+PPN]],11,0),0)</f>
        <v>0</v>
      </c>
      <c r="K437">
        <f>IFERROR(VLOOKUP(Fix_Mapping[[#This Row],[KODE BARANG]],[1]!KINONF15[[KDBRG]:[HRG_JLMT_CTN+PPN]],12,0),0)</f>
        <v>0</v>
      </c>
      <c r="L437">
        <f>IFERROR(VLOOKUP(Fix_Mapping[[#This Row],[KODE BARANG]],[1]!KINONF15[[KDBRG]:[HRG_JLMT_CTN+PPN]],13,0),0)</f>
        <v>0</v>
      </c>
      <c r="M437">
        <f>IFERROR(VLOOKUP(Fix_Mapping[[#This Row],[KODE BARANG]],[1]!KINONF15[[KDBRG]:[HRG_JLMT_CTN+PPN]],14,0),0)</f>
        <v>0</v>
      </c>
      <c r="N437">
        <f>IFERROR(VLOOKUP(Fix_Mapping[[#This Row],[KODE BARANG]],[1]!KINONF15[[KDBRG]:[HRG_JLMT_CTN+PPN]],15,0),0)</f>
        <v>0</v>
      </c>
      <c r="O437">
        <f>IFERROR(VLOOKUP(Fix_Mapping[[#This Row],[KODE BARANG]],[1]!KINONF15[[KDBRG]:[HRG_JLMT_CTN+PPN]],16,0),0)</f>
        <v>0</v>
      </c>
      <c r="P437">
        <f>IFERROR(VLOOKUP(Fix_Mapping[[#This Row],[KODE BARANG]],[1]!KINONF15[[KDBRG]:[HRG_JLMT_CTN+PPN]],17,0),0)</f>
        <v>0</v>
      </c>
      <c r="Q437">
        <f>IFERROR(VLOOKUP(Fix_Mapping[[#This Row],[KODE BARANG]],[1]!KINONF15[[KDBRG]:[HRG_JLMT_CTN+PPN]],18,0),0)</f>
        <v>0</v>
      </c>
      <c r="R437" t="s">
        <v>2555</v>
      </c>
      <c r="S437" t="s">
        <v>877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1833</v>
      </c>
      <c r="B438" t="s">
        <v>1834</v>
      </c>
      <c r="C438">
        <v>36</v>
      </c>
      <c r="D438">
        <f>IFERROR(VLOOKUP(Fix_Mapping[[#This Row],[KODE BARANG]],[1]!KINONF15[[KDBRG]:[HRG_JLMT_CTN+PPN]],5,0),0)</f>
        <v>0</v>
      </c>
      <c r="E438" t="s">
        <v>2178</v>
      </c>
      <c r="F438">
        <f>IFERROR(VLOOKUP(Fix_Mapping[[#This Row],[KODE BARANG]],[1]!KINONF15[[KDBRG]:[HRG_JLMT_CTN+PPN]],7,0),0)</f>
        <v>0</v>
      </c>
      <c r="G438">
        <f>IFERROR(VLOOKUP(Fix_Mapping[[#This Row],[KODE BARANG]],[1]!KINONF15[[KDBRG]:[HRG_JLMT_CTN+PPN]],8,0),0)</f>
        <v>0</v>
      </c>
      <c r="H438">
        <f>IFERROR(VLOOKUP(Fix_Mapping[[#This Row],[KODE BARANG]],[1]!KINONF15[[KDBRG]:[HRG_JLMT_CTN+PPN]],9,0),0)</f>
        <v>0</v>
      </c>
      <c r="I438">
        <f>IFERROR(VLOOKUP(Fix_Mapping[[#This Row],[KODE BARANG]],[1]!KINONF15[[KDBRG]:[HRG_JLMT_CTN+PPN]],10,0),0)</f>
        <v>0</v>
      </c>
      <c r="J438">
        <f>IFERROR(VLOOKUP(Fix_Mapping[[#This Row],[KODE BARANG]],[1]!KINONF15[[KDBRG]:[HRG_JLMT_CTN+PPN]],11,0),0)</f>
        <v>0</v>
      </c>
      <c r="K438">
        <f>IFERROR(VLOOKUP(Fix_Mapping[[#This Row],[KODE BARANG]],[1]!KINONF15[[KDBRG]:[HRG_JLMT_CTN+PPN]],12,0),0)</f>
        <v>0</v>
      </c>
      <c r="L438">
        <f>IFERROR(VLOOKUP(Fix_Mapping[[#This Row],[KODE BARANG]],[1]!KINONF15[[KDBRG]:[HRG_JLMT_CTN+PPN]],13,0),0)</f>
        <v>0</v>
      </c>
      <c r="M438">
        <f>IFERROR(VLOOKUP(Fix_Mapping[[#This Row],[KODE BARANG]],[1]!KINONF15[[KDBRG]:[HRG_JLMT_CTN+PPN]],14,0),0)</f>
        <v>0</v>
      </c>
      <c r="N438">
        <f>IFERROR(VLOOKUP(Fix_Mapping[[#This Row],[KODE BARANG]],[1]!KINONF15[[KDBRG]:[HRG_JLMT_CTN+PPN]],15,0),0)</f>
        <v>0</v>
      </c>
      <c r="O438">
        <f>IFERROR(VLOOKUP(Fix_Mapping[[#This Row],[KODE BARANG]],[1]!KINONF15[[KDBRG]:[HRG_JLMT_CTN+PPN]],16,0),0)</f>
        <v>0</v>
      </c>
      <c r="P438">
        <f>IFERROR(VLOOKUP(Fix_Mapping[[#This Row],[KODE BARANG]],[1]!KINONF15[[KDBRG]:[HRG_JLMT_CTN+PPN]],17,0),0)</f>
        <v>0</v>
      </c>
      <c r="Q438">
        <f>IFERROR(VLOOKUP(Fix_Mapping[[#This Row],[KODE BARANG]],[1]!KINONF15[[KDBRG]:[HRG_JLMT_CTN+PPN]],18,0),0)</f>
        <v>0</v>
      </c>
      <c r="R438" t="s">
        <v>2555</v>
      </c>
      <c r="S438" t="s">
        <v>881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1835</v>
      </c>
      <c r="B439" t="s">
        <v>1836</v>
      </c>
      <c r="C439">
        <v>36</v>
      </c>
      <c r="D439">
        <f>IFERROR(VLOOKUP(Fix_Mapping[[#This Row],[KODE BARANG]],[1]!KINONF15[[KDBRG]:[HRG_JLMT_CTN+PPN]],5,0),0)</f>
        <v>0</v>
      </c>
      <c r="E439" t="s">
        <v>2178</v>
      </c>
      <c r="F439">
        <f>IFERROR(VLOOKUP(Fix_Mapping[[#This Row],[KODE BARANG]],[1]!KINONF15[[KDBRG]:[HRG_JLMT_CTN+PPN]],7,0),0)</f>
        <v>0</v>
      </c>
      <c r="G439">
        <f>IFERROR(VLOOKUP(Fix_Mapping[[#This Row],[KODE BARANG]],[1]!KINONF15[[KDBRG]:[HRG_JLMT_CTN+PPN]],8,0),0)</f>
        <v>0</v>
      </c>
      <c r="H439">
        <f>IFERROR(VLOOKUP(Fix_Mapping[[#This Row],[KODE BARANG]],[1]!KINONF15[[KDBRG]:[HRG_JLMT_CTN+PPN]],9,0),0)</f>
        <v>0</v>
      </c>
      <c r="I439">
        <f>IFERROR(VLOOKUP(Fix_Mapping[[#This Row],[KODE BARANG]],[1]!KINONF15[[KDBRG]:[HRG_JLMT_CTN+PPN]],10,0),0)</f>
        <v>0</v>
      </c>
      <c r="J439">
        <f>IFERROR(VLOOKUP(Fix_Mapping[[#This Row],[KODE BARANG]],[1]!KINONF15[[KDBRG]:[HRG_JLMT_CTN+PPN]],11,0),0)</f>
        <v>0</v>
      </c>
      <c r="K439">
        <f>IFERROR(VLOOKUP(Fix_Mapping[[#This Row],[KODE BARANG]],[1]!KINONF15[[KDBRG]:[HRG_JLMT_CTN+PPN]],12,0),0)</f>
        <v>0</v>
      </c>
      <c r="L439">
        <f>IFERROR(VLOOKUP(Fix_Mapping[[#This Row],[KODE BARANG]],[1]!KINONF15[[KDBRG]:[HRG_JLMT_CTN+PPN]],13,0),0)</f>
        <v>0</v>
      </c>
      <c r="M439">
        <f>IFERROR(VLOOKUP(Fix_Mapping[[#This Row],[KODE BARANG]],[1]!KINONF15[[KDBRG]:[HRG_JLMT_CTN+PPN]],14,0),0)</f>
        <v>0</v>
      </c>
      <c r="N439">
        <f>IFERROR(VLOOKUP(Fix_Mapping[[#This Row],[KODE BARANG]],[1]!KINONF15[[KDBRG]:[HRG_JLMT_CTN+PPN]],15,0),0)</f>
        <v>0</v>
      </c>
      <c r="O439">
        <f>IFERROR(VLOOKUP(Fix_Mapping[[#This Row],[KODE BARANG]],[1]!KINONF15[[KDBRG]:[HRG_JLMT_CTN+PPN]],16,0),0)</f>
        <v>0</v>
      </c>
      <c r="P439">
        <f>IFERROR(VLOOKUP(Fix_Mapping[[#This Row],[KODE BARANG]],[1]!KINONF15[[KDBRG]:[HRG_JLMT_CTN+PPN]],17,0),0)</f>
        <v>0</v>
      </c>
      <c r="Q439">
        <f>IFERROR(VLOOKUP(Fix_Mapping[[#This Row],[KODE BARANG]],[1]!KINONF15[[KDBRG]:[HRG_JLMT_CTN+PPN]],18,0),0)</f>
        <v>0</v>
      </c>
      <c r="R439" t="s">
        <v>2555</v>
      </c>
      <c r="S439" t="s">
        <v>896</v>
      </c>
      <c r="T439">
        <v>0</v>
      </c>
      <c r="U439">
        <v>0</v>
      </c>
      <c r="V439">
        <v>0</v>
      </c>
      <c r="W439">
        <v>0</v>
      </c>
    </row>
    <row r="440" spans="1:23">
      <c r="A440" t="s">
        <v>1837</v>
      </c>
      <c r="B440" t="s">
        <v>1838</v>
      </c>
      <c r="C440">
        <v>36</v>
      </c>
      <c r="D440">
        <f>IFERROR(VLOOKUP(Fix_Mapping[[#This Row],[KODE BARANG]],[1]!KINONF15[[KDBRG]:[HRG_JLMT_CTN+PPN]],5,0),0)</f>
        <v>0</v>
      </c>
      <c r="E440" t="s">
        <v>2178</v>
      </c>
      <c r="F440">
        <f>IFERROR(VLOOKUP(Fix_Mapping[[#This Row],[KODE BARANG]],[1]!KINONF15[[KDBRG]:[HRG_JLMT_CTN+PPN]],7,0),0)</f>
        <v>0</v>
      </c>
      <c r="G440">
        <f>IFERROR(VLOOKUP(Fix_Mapping[[#This Row],[KODE BARANG]],[1]!KINONF15[[KDBRG]:[HRG_JLMT_CTN+PPN]],8,0),0)</f>
        <v>0</v>
      </c>
      <c r="H440">
        <f>IFERROR(VLOOKUP(Fix_Mapping[[#This Row],[KODE BARANG]],[1]!KINONF15[[KDBRG]:[HRG_JLMT_CTN+PPN]],9,0),0)</f>
        <v>0</v>
      </c>
      <c r="I440">
        <f>IFERROR(VLOOKUP(Fix_Mapping[[#This Row],[KODE BARANG]],[1]!KINONF15[[KDBRG]:[HRG_JLMT_CTN+PPN]],10,0),0)</f>
        <v>0</v>
      </c>
      <c r="J440">
        <f>IFERROR(VLOOKUP(Fix_Mapping[[#This Row],[KODE BARANG]],[1]!KINONF15[[KDBRG]:[HRG_JLMT_CTN+PPN]],11,0),0)</f>
        <v>0</v>
      </c>
      <c r="K440">
        <f>IFERROR(VLOOKUP(Fix_Mapping[[#This Row],[KODE BARANG]],[1]!KINONF15[[KDBRG]:[HRG_JLMT_CTN+PPN]],12,0),0)</f>
        <v>0</v>
      </c>
      <c r="L440">
        <f>IFERROR(VLOOKUP(Fix_Mapping[[#This Row],[KODE BARANG]],[1]!KINONF15[[KDBRG]:[HRG_JLMT_CTN+PPN]],13,0),0)</f>
        <v>0</v>
      </c>
      <c r="M440">
        <f>IFERROR(VLOOKUP(Fix_Mapping[[#This Row],[KODE BARANG]],[1]!KINONF15[[KDBRG]:[HRG_JLMT_CTN+PPN]],14,0),0)</f>
        <v>0</v>
      </c>
      <c r="N440">
        <f>IFERROR(VLOOKUP(Fix_Mapping[[#This Row],[KODE BARANG]],[1]!KINONF15[[KDBRG]:[HRG_JLMT_CTN+PPN]],15,0),0)</f>
        <v>0</v>
      </c>
      <c r="O440">
        <f>IFERROR(VLOOKUP(Fix_Mapping[[#This Row],[KODE BARANG]],[1]!KINONF15[[KDBRG]:[HRG_JLMT_CTN+PPN]],16,0),0)</f>
        <v>0</v>
      </c>
      <c r="P440">
        <f>IFERROR(VLOOKUP(Fix_Mapping[[#This Row],[KODE BARANG]],[1]!KINONF15[[KDBRG]:[HRG_JLMT_CTN+PPN]],17,0),0)</f>
        <v>0</v>
      </c>
      <c r="Q440">
        <f>IFERROR(VLOOKUP(Fix_Mapping[[#This Row],[KODE BARANG]],[1]!KINONF15[[KDBRG]:[HRG_JLMT_CTN+PPN]],18,0),0)</f>
        <v>0</v>
      </c>
      <c r="R440" t="s">
        <v>2555</v>
      </c>
      <c r="S440" t="s">
        <v>899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1839</v>
      </c>
      <c r="B441" t="s">
        <v>1840</v>
      </c>
      <c r="C441">
        <v>36</v>
      </c>
      <c r="D441">
        <f>IFERROR(VLOOKUP(Fix_Mapping[[#This Row],[KODE BARANG]],[1]!KINONF15[[KDBRG]:[HRG_JLMT_CTN+PPN]],5,0),0)</f>
        <v>0</v>
      </c>
      <c r="E441" t="s">
        <v>2180</v>
      </c>
      <c r="F441">
        <f>IFERROR(VLOOKUP(Fix_Mapping[[#This Row],[KODE BARANG]],[1]!KINONF15[[KDBRG]:[HRG_JLMT_CTN+PPN]],7,0),0)</f>
        <v>0</v>
      </c>
      <c r="G441">
        <f>IFERROR(VLOOKUP(Fix_Mapping[[#This Row],[KODE BARANG]],[1]!KINONF15[[KDBRG]:[HRG_JLMT_CTN+PPN]],8,0),0)</f>
        <v>0</v>
      </c>
      <c r="H441">
        <f>IFERROR(VLOOKUP(Fix_Mapping[[#This Row],[KODE BARANG]],[1]!KINONF15[[KDBRG]:[HRG_JLMT_CTN+PPN]],9,0),0)</f>
        <v>0</v>
      </c>
      <c r="I441">
        <f>IFERROR(VLOOKUP(Fix_Mapping[[#This Row],[KODE BARANG]],[1]!KINONF15[[KDBRG]:[HRG_JLMT_CTN+PPN]],10,0),0)</f>
        <v>0</v>
      </c>
      <c r="J441">
        <f>IFERROR(VLOOKUP(Fix_Mapping[[#This Row],[KODE BARANG]],[1]!KINONF15[[KDBRG]:[HRG_JLMT_CTN+PPN]],11,0),0)</f>
        <v>0</v>
      </c>
      <c r="K441">
        <f>IFERROR(VLOOKUP(Fix_Mapping[[#This Row],[KODE BARANG]],[1]!KINONF15[[KDBRG]:[HRG_JLMT_CTN+PPN]],12,0),0)</f>
        <v>0</v>
      </c>
      <c r="L441">
        <f>IFERROR(VLOOKUP(Fix_Mapping[[#This Row],[KODE BARANG]],[1]!KINONF15[[KDBRG]:[HRG_JLMT_CTN+PPN]],13,0),0)</f>
        <v>0</v>
      </c>
      <c r="M441">
        <f>IFERROR(VLOOKUP(Fix_Mapping[[#This Row],[KODE BARANG]],[1]!KINONF15[[KDBRG]:[HRG_JLMT_CTN+PPN]],14,0),0)</f>
        <v>0</v>
      </c>
      <c r="N441">
        <f>IFERROR(VLOOKUP(Fix_Mapping[[#This Row],[KODE BARANG]],[1]!KINONF15[[KDBRG]:[HRG_JLMT_CTN+PPN]],15,0),0)</f>
        <v>0</v>
      </c>
      <c r="O441">
        <f>IFERROR(VLOOKUP(Fix_Mapping[[#This Row],[KODE BARANG]],[1]!KINONF15[[KDBRG]:[HRG_JLMT_CTN+PPN]],16,0),0)</f>
        <v>0</v>
      </c>
      <c r="P441">
        <f>IFERROR(VLOOKUP(Fix_Mapping[[#This Row],[KODE BARANG]],[1]!KINONF15[[KDBRG]:[HRG_JLMT_CTN+PPN]],17,0),0)</f>
        <v>0</v>
      </c>
      <c r="Q441">
        <f>IFERROR(VLOOKUP(Fix_Mapping[[#This Row],[KODE BARANG]],[1]!KINONF15[[KDBRG]:[HRG_JLMT_CTN+PPN]],18,0),0)</f>
        <v>0</v>
      </c>
      <c r="R441" t="s">
        <v>2555</v>
      </c>
      <c r="S441" t="s">
        <v>878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1841</v>
      </c>
      <c r="B442" t="s">
        <v>1842</v>
      </c>
      <c r="C442">
        <v>36</v>
      </c>
      <c r="D442">
        <f>IFERROR(VLOOKUP(Fix_Mapping[[#This Row],[KODE BARANG]],[1]!KINONF15[[KDBRG]:[HRG_JLMT_CTN+PPN]],5,0),0)</f>
        <v>0</v>
      </c>
      <c r="E442" t="s">
        <v>2180</v>
      </c>
      <c r="F442">
        <f>IFERROR(VLOOKUP(Fix_Mapping[[#This Row],[KODE BARANG]],[1]!KINONF15[[KDBRG]:[HRG_JLMT_CTN+PPN]],7,0),0)</f>
        <v>0</v>
      </c>
      <c r="G442">
        <f>IFERROR(VLOOKUP(Fix_Mapping[[#This Row],[KODE BARANG]],[1]!KINONF15[[KDBRG]:[HRG_JLMT_CTN+PPN]],8,0),0)</f>
        <v>0</v>
      </c>
      <c r="H442">
        <f>IFERROR(VLOOKUP(Fix_Mapping[[#This Row],[KODE BARANG]],[1]!KINONF15[[KDBRG]:[HRG_JLMT_CTN+PPN]],9,0),0)</f>
        <v>0</v>
      </c>
      <c r="I442">
        <f>IFERROR(VLOOKUP(Fix_Mapping[[#This Row],[KODE BARANG]],[1]!KINONF15[[KDBRG]:[HRG_JLMT_CTN+PPN]],10,0),0)</f>
        <v>0</v>
      </c>
      <c r="J442">
        <f>IFERROR(VLOOKUP(Fix_Mapping[[#This Row],[KODE BARANG]],[1]!KINONF15[[KDBRG]:[HRG_JLMT_CTN+PPN]],11,0),0)</f>
        <v>0</v>
      </c>
      <c r="K442">
        <f>IFERROR(VLOOKUP(Fix_Mapping[[#This Row],[KODE BARANG]],[1]!KINONF15[[KDBRG]:[HRG_JLMT_CTN+PPN]],12,0),0)</f>
        <v>0</v>
      </c>
      <c r="L442">
        <f>IFERROR(VLOOKUP(Fix_Mapping[[#This Row],[KODE BARANG]],[1]!KINONF15[[KDBRG]:[HRG_JLMT_CTN+PPN]],13,0),0)</f>
        <v>0</v>
      </c>
      <c r="M442">
        <f>IFERROR(VLOOKUP(Fix_Mapping[[#This Row],[KODE BARANG]],[1]!KINONF15[[KDBRG]:[HRG_JLMT_CTN+PPN]],14,0),0)</f>
        <v>0</v>
      </c>
      <c r="N442">
        <f>IFERROR(VLOOKUP(Fix_Mapping[[#This Row],[KODE BARANG]],[1]!KINONF15[[KDBRG]:[HRG_JLMT_CTN+PPN]],15,0),0)</f>
        <v>0</v>
      </c>
      <c r="O442">
        <f>IFERROR(VLOOKUP(Fix_Mapping[[#This Row],[KODE BARANG]],[1]!KINONF15[[KDBRG]:[HRG_JLMT_CTN+PPN]],16,0),0)</f>
        <v>0</v>
      </c>
      <c r="P442">
        <f>IFERROR(VLOOKUP(Fix_Mapping[[#This Row],[KODE BARANG]],[1]!KINONF15[[KDBRG]:[HRG_JLMT_CTN+PPN]],17,0),0)</f>
        <v>0</v>
      </c>
      <c r="Q442">
        <f>IFERROR(VLOOKUP(Fix_Mapping[[#This Row],[KODE BARANG]],[1]!KINONF15[[KDBRG]:[HRG_JLMT_CTN+PPN]],18,0),0)</f>
        <v>0</v>
      </c>
      <c r="R442" t="s">
        <v>2555</v>
      </c>
      <c r="S442" t="s">
        <v>897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1843</v>
      </c>
      <c r="B443" t="s">
        <v>1844</v>
      </c>
      <c r="C443">
        <v>36</v>
      </c>
      <c r="D443">
        <f>IFERROR(VLOOKUP(Fix_Mapping[[#This Row],[KODE BARANG]],[1]!KINONF15[[KDBRG]:[HRG_JLMT_CTN+PPN]],5,0),0)</f>
        <v>0</v>
      </c>
      <c r="E443" t="s">
        <v>2182</v>
      </c>
      <c r="F443">
        <f>IFERROR(VLOOKUP(Fix_Mapping[[#This Row],[KODE BARANG]],[1]!KINONF15[[KDBRG]:[HRG_JLMT_CTN+PPN]],7,0),0)</f>
        <v>0</v>
      </c>
      <c r="G443">
        <f>IFERROR(VLOOKUP(Fix_Mapping[[#This Row],[KODE BARANG]],[1]!KINONF15[[KDBRG]:[HRG_JLMT_CTN+PPN]],8,0),0)</f>
        <v>0</v>
      </c>
      <c r="H443">
        <f>IFERROR(VLOOKUP(Fix_Mapping[[#This Row],[KODE BARANG]],[1]!KINONF15[[KDBRG]:[HRG_JLMT_CTN+PPN]],9,0),0)</f>
        <v>0</v>
      </c>
      <c r="I443">
        <f>IFERROR(VLOOKUP(Fix_Mapping[[#This Row],[KODE BARANG]],[1]!KINONF15[[KDBRG]:[HRG_JLMT_CTN+PPN]],10,0),0)</f>
        <v>0</v>
      </c>
      <c r="J443">
        <f>IFERROR(VLOOKUP(Fix_Mapping[[#This Row],[KODE BARANG]],[1]!KINONF15[[KDBRG]:[HRG_JLMT_CTN+PPN]],11,0),0)</f>
        <v>0</v>
      </c>
      <c r="K443">
        <f>IFERROR(VLOOKUP(Fix_Mapping[[#This Row],[KODE BARANG]],[1]!KINONF15[[KDBRG]:[HRG_JLMT_CTN+PPN]],12,0),0)</f>
        <v>0</v>
      </c>
      <c r="L443">
        <f>IFERROR(VLOOKUP(Fix_Mapping[[#This Row],[KODE BARANG]],[1]!KINONF15[[KDBRG]:[HRG_JLMT_CTN+PPN]],13,0),0)</f>
        <v>0</v>
      </c>
      <c r="M443">
        <f>IFERROR(VLOOKUP(Fix_Mapping[[#This Row],[KODE BARANG]],[1]!KINONF15[[KDBRG]:[HRG_JLMT_CTN+PPN]],14,0),0)</f>
        <v>0</v>
      </c>
      <c r="N443">
        <f>IFERROR(VLOOKUP(Fix_Mapping[[#This Row],[KODE BARANG]],[1]!KINONF15[[KDBRG]:[HRG_JLMT_CTN+PPN]],15,0),0)</f>
        <v>0</v>
      </c>
      <c r="O443">
        <f>IFERROR(VLOOKUP(Fix_Mapping[[#This Row],[KODE BARANG]],[1]!KINONF15[[KDBRG]:[HRG_JLMT_CTN+PPN]],16,0),0)</f>
        <v>0</v>
      </c>
      <c r="P443">
        <f>IFERROR(VLOOKUP(Fix_Mapping[[#This Row],[KODE BARANG]],[1]!KINONF15[[KDBRG]:[HRG_JLMT_CTN+PPN]],17,0),0)</f>
        <v>0</v>
      </c>
      <c r="Q443">
        <f>IFERROR(VLOOKUP(Fix_Mapping[[#This Row],[KODE BARANG]],[1]!KINONF15[[KDBRG]:[HRG_JLMT_CTN+PPN]],18,0),0)</f>
        <v>0</v>
      </c>
      <c r="R443" t="s">
        <v>2555</v>
      </c>
      <c r="S443" t="s">
        <v>597</v>
      </c>
      <c r="T443" t="s">
        <v>596</v>
      </c>
      <c r="U443">
        <v>0</v>
      </c>
      <c r="V443">
        <v>0</v>
      </c>
      <c r="W443">
        <v>0</v>
      </c>
    </row>
    <row r="444" spans="1:23">
      <c r="A444" t="s">
        <v>1845</v>
      </c>
      <c r="B444" t="s">
        <v>1846</v>
      </c>
      <c r="C444">
        <v>36</v>
      </c>
      <c r="D444">
        <f>IFERROR(VLOOKUP(Fix_Mapping[[#This Row],[KODE BARANG]],[1]!KINONF15[[KDBRG]:[HRG_JLMT_CTN+PPN]],5,0),0)</f>
        <v>0</v>
      </c>
      <c r="E444" t="s">
        <v>2184</v>
      </c>
      <c r="F444">
        <f>IFERROR(VLOOKUP(Fix_Mapping[[#This Row],[KODE BARANG]],[1]!KINONF15[[KDBRG]:[HRG_JLMT_CTN+PPN]],7,0),0)</f>
        <v>0</v>
      </c>
      <c r="G444">
        <f>IFERROR(VLOOKUP(Fix_Mapping[[#This Row],[KODE BARANG]],[1]!KINONF15[[KDBRG]:[HRG_JLMT_CTN+PPN]],8,0),0)</f>
        <v>0</v>
      </c>
      <c r="H444">
        <f>IFERROR(VLOOKUP(Fix_Mapping[[#This Row],[KODE BARANG]],[1]!KINONF15[[KDBRG]:[HRG_JLMT_CTN+PPN]],9,0),0)</f>
        <v>0</v>
      </c>
      <c r="I444">
        <f>IFERROR(VLOOKUP(Fix_Mapping[[#This Row],[KODE BARANG]],[1]!KINONF15[[KDBRG]:[HRG_JLMT_CTN+PPN]],10,0),0)</f>
        <v>0</v>
      </c>
      <c r="J444">
        <f>IFERROR(VLOOKUP(Fix_Mapping[[#This Row],[KODE BARANG]],[1]!KINONF15[[KDBRG]:[HRG_JLMT_CTN+PPN]],11,0),0)</f>
        <v>0</v>
      </c>
      <c r="K444">
        <f>IFERROR(VLOOKUP(Fix_Mapping[[#This Row],[KODE BARANG]],[1]!KINONF15[[KDBRG]:[HRG_JLMT_CTN+PPN]],12,0),0)</f>
        <v>0</v>
      </c>
      <c r="L444">
        <f>IFERROR(VLOOKUP(Fix_Mapping[[#This Row],[KODE BARANG]],[1]!KINONF15[[KDBRG]:[HRG_JLMT_CTN+PPN]],13,0),0)</f>
        <v>0</v>
      </c>
      <c r="M444">
        <f>IFERROR(VLOOKUP(Fix_Mapping[[#This Row],[KODE BARANG]],[1]!KINONF15[[KDBRG]:[HRG_JLMT_CTN+PPN]],14,0),0)</f>
        <v>0</v>
      </c>
      <c r="N444">
        <f>IFERROR(VLOOKUP(Fix_Mapping[[#This Row],[KODE BARANG]],[1]!KINONF15[[KDBRG]:[HRG_JLMT_CTN+PPN]],15,0),0)</f>
        <v>0</v>
      </c>
      <c r="O444">
        <f>IFERROR(VLOOKUP(Fix_Mapping[[#This Row],[KODE BARANG]],[1]!KINONF15[[KDBRG]:[HRG_JLMT_CTN+PPN]],16,0),0)</f>
        <v>0</v>
      </c>
      <c r="P444">
        <f>IFERROR(VLOOKUP(Fix_Mapping[[#This Row],[KODE BARANG]],[1]!KINONF15[[KDBRG]:[HRG_JLMT_CTN+PPN]],17,0),0)</f>
        <v>0</v>
      </c>
      <c r="Q444">
        <f>IFERROR(VLOOKUP(Fix_Mapping[[#This Row],[KODE BARANG]],[1]!KINONF15[[KDBRG]:[HRG_JLMT_CTN+PPN]],18,0),0)</f>
        <v>0</v>
      </c>
      <c r="R444" t="s">
        <v>2555</v>
      </c>
      <c r="S444" t="s">
        <v>598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1847</v>
      </c>
      <c r="B445" t="s">
        <v>1848</v>
      </c>
      <c r="C445">
        <v>72</v>
      </c>
      <c r="D445">
        <f>IFERROR(VLOOKUP(Fix_Mapping[[#This Row],[KODE BARANG]],[1]!KINONF15[[KDBRG]:[HRG_JLMT_CTN+PPN]],5,0),0)</f>
        <v>0</v>
      </c>
      <c r="E445" t="s">
        <v>2186</v>
      </c>
      <c r="F445">
        <f>IFERROR(VLOOKUP(Fix_Mapping[[#This Row],[KODE BARANG]],[1]!KINONF15[[KDBRG]:[HRG_JLMT_CTN+PPN]],7,0),0)</f>
        <v>0</v>
      </c>
      <c r="G445">
        <f>IFERROR(VLOOKUP(Fix_Mapping[[#This Row],[KODE BARANG]],[1]!KINONF15[[KDBRG]:[HRG_JLMT_CTN+PPN]],8,0),0)</f>
        <v>0</v>
      </c>
      <c r="H445">
        <f>IFERROR(VLOOKUP(Fix_Mapping[[#This Row],[KODE BARANG]],[1]!KINONF15[[KDBRG]:[HRG_JLMT_CTN+PPN]],9,0),0)</f>
        <v>0</v>
      </c>
      <c r="I445">
        <f>IFERROR(VLOOKUP(Fix_Mapping[[#This Row],[KODE BARANG]],[1]!KINONF15[[KDBRG]:[HRG_JLMT_CTN+PPN]],10,0),0)</f>
        <v>0</v>
      </c>
      <c r="J445">
        <f>IFERROR(VLOOKUP(Fix_Mapping[[#This Row],[KODE BARANG]],[1]!KINONF15[[KDBRG]:[HRG_JLMT_CTN+PPN]],11,0),0)</f>
        <v>0</v>
      </c>
      <c r="K445">
        <f>IFERROR(VLOOKUP(Fix_Mapping[[#This Row],[KODE BARANG]],[1]!KINONF15[[KDBRG]:[HRG_JLMT_CTN+PPN]],12,0),0)</f>
        <v>0</v>
      </c>
      <c r="L445">
        <f>IFERROR(VLOOKUP(Fix_Mapping[[#This Row],[KODE BARANG]],[1]!KINONF15[[KDBRG]:[HRG_JLMT_CTN+PPN]],13,0),0)</f>
        <v>0</v>
      </c>
      <c r="M445">
        <f>IFERROR(VLOOKUP(Fix_Mapping[[#This Row],[KODE BARANG]],[1]!KINONF15[[KDBRG]:[HRG_JLMT_CTN+PPN]],14,0),0)</f>
        <v>0</v>
      </c>
      <c r="N445">
        <f>IFERROR(VLOOKUP(Fix_Mapping[[#This Row],[KODE BARANG]],[1]!KINONF15[[KDBRG]:[HRG_JLMT_CTN+PPN]],15,0),0)</f>
        <v>0</v>
      </c>
      <c r="O445">
        <f>IFERROR(VLOOKUP(Fix_Mapping[[#This Row],[KODE BARANG]],[1]!KINONF15[[KDBRG]:[HRG_JLMT_CTN+PPN]],16,0),0)</f>
        <v>0</v>
      </c>
      <c r="P445">
        <f>IFERROR(VLOOKUP(Fix_Mapping[[#This Row],[KODE BARANG]],[1]!KINONF15[[KDBRG]:[HRG_JLMT_CTN+PPN]],17,0),0)</f>
        <v>0</v>
      </c>
      <c r="Q445">
        <f>IFERROR(VLOOKUP(Fix_Mapping[[#This Row],[KODE BARANG]],[1]!KINONF15[[KDBRG]:[HRG_JLMT_CTN+PPN]],18,0),0)</f>
        <v>0</v>
      </c>
      <c r="R445" t="s">
        <v>2555</v>
      </c>
      <c r="S445" t="s">
        <v>584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1849</v>
      </c>
      <c r="B446" t="s">
        <v>1850</v>
      </c>
      <c r="C446">
        <v>36</v>
      </c>
      <c r="D446">
        <f>IFERROR(VLOOKUP(Fix_Mapping[[#This Row],[KODE BARANG]],[1]!KINONF15[[KDBRG]:[HRG_JLMT_CTN+PPN]],5,0),0)</f>
        <v>0</v>
      </c>
      <c r="E446" t="s">
        <v>2186</v>
      </c>
      <c r="F446">
        <f>IFERROR(VLOOKUP(Fix_Mapping[[#This Row],[KODE BARANG]],[1]!KINONF15[[KDBRG]:[HRG_JLMT_CTN+PPN]],7,0),0)</f>
        <v>0</v>
      </c>
      <c r="G446">
        <f>IFERROR(VLOOKUP(Fix_Mapping[[#This Row],[KODE BARANG]],[1]!KINONF15[[KDBRG]:[HRG_JLMT_CTN+PPN]],8,0),0)</f>
        <v>0</v>
      </c>
      <c r="H446">
        <f>IFERROR(VLOOKUP(Fix_Mapping[[#This Row],[KODE BARANG]],[1]!KINONF15[[KDBRG]:[HRG_JLMT_CTN+PPN]],9,0),0)</f>
        <v>0</v>
      </c>
      <c r="I446">
        <f>IFERROR(VLOOKUP(Fix_Mapping[[#This Row],[KODE BARANG]],[1]!KINONF15[[KDBRG]:[HRG_JLMT_CTN+PPN]],10,0),0)</f>
        <v>0</v>
      </c>
      <c r="J446">
        <f>IFERROR(VLOOKUP(Fix_Mapping[[#This Row],[KODE BARANG]],[1]!KINONF15[[KDBRG]:[HRG_JLMT_CTN+PPN]],11,0),0)</f>
        <v>0</v>
      </c>
      <c r="K446">
        <f>IFERROR(VLOOKUP(Fix_Mapping[[#This Row],[KODE BARANG]],[1]!KINONF15[[KDBRG]:[HRG_JLMT_CTN+PPN]],12,0),0)</f>
        <v>0</v>
      </c>
      <c r="L446">
        <f>IFERROR(VLOOKUP(Fix_Mapping[[#This Row],[KODE BARANG]],[1]!KINONF15[[KDBRG]:[HRG_JLMT_CTN+PPN]],13,0),0)</f>
        <v>0</v>
      </c>
      <c r="M446">
        <f>IFERROR(VLOOKUP(Fix_Mapping[[#This Row],[KODE BARANG]],[1]!KINONF15[[KDBRG]:[HRG_JLMT_CTN+PPN]],14,0),0)</f>
        <v>0</v>
      </c>
      <c r="N446">
        <f>IFERROR(VLOOKUP(Fix_Mapping[[#This Row],[KODE BARANG]],[1]!KINONF15[[KDBRG]:[HRG_JLMT_CTN+PPN]],15,0),0)</f>
        <v>0</v>
      </c>
      <c r="O446">
        <f>IFERROR(VLOOKUP(Fix_Mapping[[#This Row],[KODE BARANG]],[1]!KINONF15[[KDBRG]:[HRG_JLMT_CTN+PPN]],16,0),0)</f>
        <v>0</v>
      </c>
      <c r="P446">
        <f>IFERROR(VLOOKUP(Fix_Mapping[[#This Row],[KODE BARANG]],[1]!KINONF15[[KDBRG]:[HRG_JLMT_CTN+PPN]],17,0),0)</f>
        <v>0</v>
      </c>
      <c r="Q446">
        <f>IFERROR(VLOOKUP(Fix_Mapping[[#This Row],[KODE BARANG]],[1]!KINONF15[[KDBRG]:[HRG_JLMT_CTN+PPN]],18,0),0)</f>
        <v>0</v>
      </c>
      <c r="R446" t="s">
        <v>2555</v>
      </c>
      <c r="S446" t="s">
        <v>585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1851</v>
      </c>
      <c r="B447" t="s">
        <v>1852</v>
      </c>
      <c r="C447">
        <v>36</v>
      </c>
      <c r="D447">
        <f>IFERROR(VLOOKUP(Fix_Mapping[[#This Row],[KODE BARANG]],[1]!KINONF15[[KDBRG]:[HRG_JLMT_CTN+PPN]],5,0),0)</f>
        <v>0</v>
      </c>
      <c r="E447" t="s">
        <v>2186</v>
      </c>
      <c r="F447">
        <f>IFERROR(VLOOKUP(Fix_Mapping[[#This Row],[KODE BARANG]],[1]!KINONF15[[KDBRG]:[HRG_JLMT_CTN+PPN]],7,0),0)</f>
        <v>0</v>
      </c>
      <c r="G447">
        <f>IFERROR(VLOOKUP(Fix_Mapping[[#This Row],[KODE BARANG]],[1]!KINONF15[[KDBRG]:[HRG_JLMT_CTN+PPN]],8,0),0)</f>
        <v>0</v>
      </c>
      <c r="H447">
        <f>IFERROR(VLOOKUP(Fix_Mapping[[#This Row],[KODE BARANG]],[1]!KINONF15[[KDBRG]:[HRG_JLMT_CTN+PPN]],9,0),0)</f>
        <v>0</v>
      </c>
      <c r="I447">
        <f>IFERROR(VLOOKUP(Fix_Mapping[[#This Row],[KODE BARANG]],[1]!KINONF15[[KDBRG]:[HRG_JLMT_CTN+PPN]],10,0),0)</f>
        <v>0</v>
      </c>
      <c r="J447">
        <f>IFERROR(VLOOKUP(Fix_Mapping[[#This Row],[KODE BARANG]],[1]!KINONF15[[KDBRG]:[HRG_JLMT_CTN+PPN]],11,0),0)</f>
        <v>0</v>
      </c>
      <c r="K447">
        <f>IFERROR(VLOOKUP(Fix_Mapping[[#This Row],[KODE BARANG]],[1]!KINONF15[[KDBRG]:[HRG_JLMT_CTN+PPN]],12,0),0)</f>
        <v>0</v>
      </c>
      <c r="L447">
        <f>IFERROR(VLOOKUP(Fix_Mapping[[#This Row],[KODE BARANG]],[1]!KINONF15[[KDBRG]:[HRG_JLMT_CTN+PPN]],13,0),0)</f>
        <v>0</v>
      </c>
      <c r="M447">
        <f>IFERROR(VLOOKUP(Fix_Mapping[[#This Row],[KODE BARANG]],[1]!KINONF15[[KDBRG]:[HRG_JLMT_CTN+PPN]],14,0),0)</f>
        <v>0</v>
      </c>
      <c r="N447">
        <f>IFERROR(VLOOKUP(Fix_Mapping[[#This Row],[KODE BARANG]],[1]!KINONF15[[KDBRG]:[HRG_JLMT_CTN+PPN]],15,0),0)</f>
        <v>0</v>
      </c>
      <c r="O447">
        <f>IFERROR(VLOOKUP(Fix_Mapping[[#This Row],[KODE BARANG]],[1]!KINONF15[[KDBRG]:[HRG_JLMT_CTN+PPN]],16,0),0)</f>
        <v>0</v>
      </c>
      <c r="P447">
        <f>IFERROR(VLOOKUP(Fix_Mapping[[#This Row],[KODE BARANG]],[1]!KINONF15[[KDBRG]:[HRG_JLMT_CTN+PPN]],17,0),0)</f>
        <v>0</v>
      </c>
      <c r="Q447">
        <f>IFERROR(VLOOKUP(Fix_Mapping[[#This Row],[KODE BARANG]],[1]!KINONF15[[KDBRG]:[HRG_JLMT_CTN+PPN]],18,0),0)</f>
        <v>0</v>
      </c>
      <c r="R447" t="s">
        <v>2555</v>
      </c>
      <c r="S447" t="s">
        <v>586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1853</v>
      </c>
      <c r="B448" t="s">
        <v>1854</v>
      </c>
      <c r="C448">
        <v>72</v>
      </c>
      <c r="D448">
        <f>IFERROR(VLOOKUP(Fix_Mapping[[#This Row],[KODE BARANG]],[1]!KINONF15[[KDBRG]:[HRG_JLMT_CTN+PPN]],5,0),0)</f>
        <v>0</v>
      </c>
      <c r="E448" t="s">
        <v>2186</v>
      </c>
      <c r="F448">
        <f>IFERROR(VLOOKUP(Fix_Mapping[[#This Row],[KODE BARANG]],[1]!KINONF15[[KDBRG]:[HRG_JLMT_CTN+PPN]],7,0),0)</f>
        <v>0</v>
      </c>
      <c r="G448">
        <f>IFERROR(VLOOKUP(Fix_Mapping[[#This Row],[KODE BARANG]],[1]!KINONF15[[KDBRG]:[HRG_JLMT_CTN+PPN]],8,0),0)</f>
        <v>0</v>
      </c>
      <c r="H448">
        <f>IFERROR(VLOOKUP(Fix_Mapping[[#This Row],[KODE BARANG]],[1]!KINONF15[[KDBRG]:[HRG_JLMT_CTN+PPN]],9,0),0)</f>
        <v>0</v>
      </c>
      <c r="I448">
        <f>IFERROR(VLOOKUP(Fix_Mapping[[#This Row],[KODE BARANG]],[1]!KINONF15[[KDBRG]:[HRG_JLMT_CTN+PPN]],10,0),0)</f>
        <v>0</v>
      </c>
      <c r="J448">
        <f>IFERROR(VLOOKUP(Fix_Mapping[[#This Row],[KODE BARANG]],[1]!KINONF15[[KDBRG]:[HRG_JLMT_CTN+PPN]],11,0),0)</f>
        <v>0</v>
      </c>
      <c r="K448">
        <f>IFERROR(VLOOKUP(Fix_Mapping[[#This Row],[KODE BARANG]],[1]!KINONF15[[KDBRG]:[HRG_JLMT_CTN+PPN]],12,0),0)</f>
        <v>0</v>
      </c>
      <c r="L448">
        <f>IFERROR(VLOOKUP(Fix_Mapping[[#This Row],[KODE BARANG]],[1]!KINONF15[[KDBRG]:[HRG_JLMT_CTN+PPN]],13,0),0)</f>
        <v>0</v>
      </c>
      <c r="M448">
        <f>IFERROR(VLOOKUP(Fix_Mapping[[#This Row],[KODE BARANG]],[1]!KINONF15[[KDBRG]:[HRG_JLMT_CTN+PPN]],14,0),0)</f>
        <v>0</v>
      </c>
      <c r="N448">
        <f>IFERROR(VLOOKUP(Fix_Mapping[[#This Row],[KODE BARANG]],[1]!KINONF15[[KDBRG]:[HRG_JLMT_CTN+PPN]],15,0),0)</f>
        <v>0</v>
      </c>
      <c r="O448">
        <f>IFERROR(VLOOKUP(Fix_Mapping[[#This Row],[KODE BARANG]],[1]!KINONF15[[KDBRG]:[HRG_JLMT_CTN+PPN]],16,0),0)</f>
        <v>0</v>
      </c>
      <c r="P448">
        <f>IFERROR(VLOOKUP(Fix_Mapping[[#This Row],[KODE BARANG]],[1]!KINONF15[[KDBRG]:[HRG_JLMT_CTN+PPN]],17,0),0)</f>
        <v>0</v>
      </c>
      <c r="Q448">
        <f>IFERROR(VLOOKUP(Fix_Mapping[[#This Row],[KODE BARANG]],[1]!KINONF15[[KDBRG]:[HRG_JLMT_CTN+PPN]],18,0),0)</f>
        <v>0</v>
      </c>
      <c r="R448" t="s">
        <v>2555</v>
      </c>
      <c r="S448" t="s">
        <v>587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1855</v>
      </c>
      <c r="B449" t="s">
        <v>1856</v>
      </c>
      <c r="C449">
        <v>36</v>
      </c>
      <c r="D449">
        <f>IFERROR(VLOOKUP(Fix_Mapping[[#This Row],[KODE BARANG]],[1]!KINONF15[[KDBRG]:[HRG_JLMT_CTN+PPN]],5,0),0)</f>
        <v>0</v>
      </c>
      <c r="E449" t="s">
        <v>2186</v>
      </c>
      <c r="F449">
        <f>IFERROR(VLOOKUP(Fix_Mapping[[#This Row],[KODE BARANG]],[1]!KINONF15[[KDBRG]:[HRG_JLMT_CTN+PPN]],7,0),0)</f>
        <v>0</v>
      </c>
      <c r="G449">
        <f>IFERROR(VLOOKUP(Fix_Mapping[[#This Row],[KODE BARANG]],[1]!KINONF15[[KDBRG]:[HRG_JLMT_CTN+PPN]],8,0),0)</f>
        <v>0</v>
      </c>
      <c r="H449">
        <f>IFERROR(VLOOKUP(Fix_Mapping[[#This Row],[KODE BARANG]],[1]!KINONF15[[KDBRG]:[HRG_JLMT_CTN+PPN]],9,0),0)</f>
        <v>0</v>
      </c>
      <c r="I449">
        <f>IFERROR(VLOOKUP(Fix_Mapping[[#This Row],[KODE BARANG]],[1]!KINONF15[[KDBRG]:[HRG_JLMT_CTN+PPN]],10,0),0)</f>
        <v>0</v>
      </c>
      <c r="J449">
        <f>IFERROR(VLOOKUP(Fix_Mapping[[#This Row],[KODE BARANG]],[1]!KINONF15[[KDBRG]:[HRG_JLMT_CTN+PPN]],11,0),0)</f>
        <v>0</v>
      </c>
      <c r="K449">
        <f>IFERROR(VLOOKUP(Fix_Mapping[[#This Row],[KODE BARANG]],[1]!KINONF15[[KDBRG]:[HRG_JLMT_CTN+PPN]],12,0),0)</f>
        <v>0</v>
      </c>
      <c r="L449">
        <f>IFERROR(VLOOKUP(Fix_Mapping[[#This Row],[KODE BARANG]],[1]!KINONF15[[KDBRG]:[HRG_JLMT_CTN+PPN]],13,0),0)</f>
        <v>0</v>
      </c>
      <c r="M449">
        <f>IFERROR(VLOOKUP(Fix_Mapping[[#This Row],[KODE BARANG]],[1]!KINONF15[[KDBRG]:[HRG_JLMT_CTN+PPN]],14,0),0)</f>
        <v>0</v>
      </c>
      <c r="N449">
        <f>IFERROR(VLOOKUP(Fix_Mapping[[#This Row],[KODE BARANG]],[1]!KINONF15[[KDBRG]:[HRG_JLMT_CTN+PPN]],15,0),0)</f>
        <v>0</v>
      </c>
      <c r="O449">
        <f>IFERROR(VLOOKUP(Fix_Mapping[[#This Row],[KODE BARANG]],[1]!KINONF15[[KDBRG]:[HRG_JLMT_CTN+PPN]],16,0),0)</f>
        <v>0</v>
      </c>
      <c r="P449">
        <f>IFERROR(VLOOKUP(Fix_Mapping[[#This Row],[KODE BARANG]],[1]!KINONF15[[KDBRG]:[HRG_JLMT_CTN+PPN]],17,0),0)</f>
        <v>0</v>
      </c>
      <c r="Q449">
        <f>IFERROR(VLOOKUP(Fix_Mapping[[#This Row],[KODE BARANG]],[1]!KINONF15[[KDBRG]:[HRG_JLMT_CTN+PPN]],18,0),0)</f>
        <v>0</v>
      </c>
      <c r="R449" t="s">
        <v>2555</v>
      </c>
      <c r="S449" t="s">
        <v>588</v>
      </c>
      <c r="T449">
        <v>0</v>
      </c>
      <c r="U449">
        <v>0</v>
      </c>
      <c r="V449">
        <v>0</v>
      </c>
      <c r="W449">
        <v>0</v>
      </c>
    </row>
    <row r="450" spans="1:23">
      <c r="A450" t="s">
        <v>1857</v>
      </c>
      <c r="B450" t="s">
        <v>1858</v>
      </c>
      <c r="C450">
        <v>36</v>
      </c>
      <c r="D450">
        <f>IFERROR(VLOOKUP(Fix_Mapping[[#This Row],[KODE BARANG]],[1]!KINONF15[[KDBRG]:[HRG_JLMT_CTN+PPN]],5,0),0)</f>
        <v>0</v>
      </c>
      <c r="E450" t="s">
        <v>2186</v>
      </c>
      <c r="F450">
        <f>IFERROR(VLOOKUP(Fix_Mapping[[#This Row],[KODE BARANG]],[1]!KINONF15[[KDBRG]:[HRG_JLMT_CTN+PPN]],7,0),0)</f>
        <v>0</v>
      </c>
      <c r="G450">
        <f>IFERROR(VLOOKUP(Fix_Mapping[[#This Row],[KODE BARANG]],[1]!KINONF15[[KDBRG]:[HRG_JLMT_CTN+PPN]],8,0),0)</f>
        <v>0</v>
      </c>
      <c r="H450">
        <f>IFERROR(VLOOKUP(Fix_Mapping[[#This Row],[KODE BARANG]],[1]!KINONF15[[KDBRG]:[HRG_JLMT_CTN+PPN]],9,0),0)</f>
        <v>0</v>
      </c>
      <c r="I450">
        <f>IFERROR(VLOOKUP(Fix_Mapping[[#This Row],[KODE BARANG]],[1]!KINONF15[[KDBRG]:[HRG_JLMT_CTN+PPN]],10,0),0)</f>
        <v>0</v>
      </c>
      <c r="J450">
        <f>IFERROR(VLOOKUP(Fix_Mapping[[#This Row],[KODE BARANG]],[1]!KINONF15[[KDBRG]:[HRG_JLMT_CTN+PPN]],11,0),0)</f>
        <v>0</v>
      </c>
      <c r="K450">
        <f>IFERROR(VLOOKUP(Fix_Mapping[[#This Row],[KODE BARANG]],[1]!KINONF15[[KDBRG]:[HRG_JLMT_CTN+PPN]],12,0),0)</f>
        <v>0</v>
      </c>
      <c r="L450">
        <f>IFERROR(VLOOKUP(Fix_Mapping[[#This Row],[KODE BARANG]],[1]!KINONF15[[KDBRG]:[HRG_JLMT_CTN+PPN]],13,0),0)</f>
        <v>0</v>
      </c>
      <c r="M450">
        <f>IFERROR(VLOOKUP(Fix_Mapping[[#This Row],[KODE BARANG]],[1]!KINONF15[[KDBRG]:[HRG_JLMT_CTN+PPN]],14,0),0)</f>
        <v>0</v>
      </c>
      <c r="N450">
        <f>IFERROR(VLOOKUP(Fix_Mapping[[#This Row],[KODE BARANG]],[1]!KINONF15[[KDBRG]:[HRG_JLMT_CTN+PPN]],15,0),0)</f>
        <v>0</v>
      </c>
      <c r="O450">
        <f>IFERROR(VLOOKUP(Fix_Mapping[[#This Row],[KODE BARANG]],[1]!KINONF15[[KDBRG]:[HRG_JLMT_CTN+PPN]],16,0),0)</f>
        <v>0</v>
      </c>
      <c r="P450">
        <f>IFERROR(VLOOKUP(Fix_Mapping[[#This Row],[KODE BARANG]],[1]!KINONF15[[KDBRG]:[HRG_JLMT_CTN+PPN]],17,0),0)</f>
        <v>0</v>
      </c>
      <c r="Q450">
        <f>IFERROR(VLOOKUP(Fix_Mapping[[#This Row],[KODE BARANG]],[1]!KINONF15[[KDBRG]:[HRG_JLMT_CTN+PPN]],18,0),0)</f>
        <v>0</v>
      </c>
      <c r="R450" t="s">
        <v>2555</v>
      </c>
      <c r="S450" t="s">
        <v>589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1859</v>
      </c>
      <c r="B451" t="s">
        <v>1860</v>
      </c>
      <c r="C451">
        <v>72</v>
      </c>
      <c r="D451">
        <f>IFERROR(VLOOKUP(Fix_Mapping[[#This Row],[KODE BARANG]],[1]!KINONF15[[KDBRG]:[HRG_JLMT_CTN+PPN]],5,0),0)</f>
        <v>0</v>
      </c>
      <c r="E451" t="s">
        <v>2188</v>
      </c>
      <c r="F451">
        <f>IFERROR(VLOOKUP(Fix_Mapping[[#This Row],[KODE BARANG]],[1]!KINONF15[[KDBRG]:[HRG_JLMT_CTN+PPN]],7,0),0)</f>
        <v>0</v>
      </c>
      <c r="G451">
        <f>IFERROR(VLOOKUP(Fix_Mapping[[#This Row],[KODE BARANG]],[1]!KINONF15[[KDBRG]:[HRG_JLMT_CTN+PPN]],8,0),0)</f>
        <v>0</v>
      </c>
      <c r="H451">
        <f>IFERROR(VLOOKUP(Fix_Mapping[[#This Row],[KODE BARANG]],[1]!KINONF15[[KDBRG]:[HRG_JLMT_CTN+PPN]],9,0),0)</f>
        <v>0</v>
      </c>
      <c r="I451">
        <f>IFERROR(VLOOKUP(Fix_Mapping[[#This Row],[KODE BARANG]],[1]!KINONF15[[KDBRG]:[HRG_JLMT_CTN+PPN]],10,0),0)</f>
        <v>0</v>
      </c>
      <c r="J451">
        <f>IFERROR(VLOOKUP(Fix_Mapping[[#This Row],[KODE BARANG]],[1]!KINONF15[[KDBRG]:[HRG_JLMT_CTN+PPN]],11,0),0)</f>
        <v>0</v>
      </c>
      <c r="K451">
        <f>IFERROR(VLOOKUP(Fix_Mapping[[#This Row],[KODE BARANG]],[1]!KINONF15[[KDBRG]:[HRG_JLMT_CTN+PPN]],12,0),0)</f>
        <v>0</v>
      </c>
      <c r="L451">
        <f>IFERROR(VLOOKUP(Fix_Mapping[[#This Row],[KODE BARANG]],[1]!KINONF15[[KDBRG]:[HRG_JLMT_CTN+PPN]],13,0),0)</f>
        <v>0</v>
      </c>
      <c r="M451">
        <f>IFERROR(VLOOKUP(Fix_Mapping[[#This Row],[KODE BARANG]],[1]!KINONF15[[KDBRG]:[HRG_JLMT_CTN+PPN]],14,0),0)</f>
        <v>0</v>
      </c>
      <c r="N451">
        <f>IFERROR(VLOOKUP(Fix_Mapping[[#This Row],[KODE BARANG]],[1]!KINONF15[[KDBRG]:[HRG_JLMT_CTN+PPN]],15,0),0)</f>
        <v>0</v>
      </c>
      <c r="O451">
        <f>IFERROR(VLOOKUP(Fix_Mapping[[#This Row],[KODE BARANG]],[1]!KINONF15[[KDBRG]:[HRG_JLMT_CTN+PPN]],16,0),0)</f>
        <v>0</v>
      </c>
      <c r="P451">
        <f>IFERROR(VLOOKUP(Fix_Mapping[[#This Row],[KODE BARANG]],[1]!KINONF15[[KDBRG]:[HRG_JLMT_CTN+PPN]],17,0),0)</f>
        <v>0</v>
      </c>
      <c r="Q451">
        <f>IFERROR(VLOOKUP(Fix_Mapping[[#This Row],[KODE BARANG]],[1]!KINONF15[[KDBRG]:[HRG_JLMT_CTN+PPN]],18,0),0)</f>
        <v>0</v>
      </c>
      <c r="R451" t="s">
        <v>2555</v>
      </c>
      <c r="S451" t="s">
        <v>574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1861</v>
      </c>
      <c r="B452" t="s">
        <v>1862</v>
      </c>
      <c r="C452">
        <v>36</v>
      </c>
      <c r="D452">
        <f>IFERROR(VLOOKUP(Fix_Mapping[[#This Row],[KODE BARANG]],[1]!KINONF15[[KDBRG]:[HRG_JLMT_CTN+PPN]],5,0),0)</f>
        <v>0</v>
      </c>
      <c r="E452" t="s">
        <v>2188</v>
      </c>
      <c r="F452">
        <f>IFERROR(VLOOKUP(Fix_Mapping[[#This Row],[KODE BARANG]],[1]!KINONF15[[KDBRG]:[HRG_JLMT_CTN+PPN]],7,0),0)</f>
        <v>0</v>
      </c>
      <c r="G452">
        <f>IFERROR(VLOOKUP(Fix_Mapping[[#This Row],[KODE BARANG]],[1]!KINONF15[[KDBRG]:[HRG_JLMT_CTN+PPN]],8,0),0)</f>
        <v>0</v>
      </c>
      <c r="H452">
        <f>IFERROR(VLOOKUP(Fix_Mapping[[#This Row],[KODE BARANG]],[1]!KINONF15[[KDBRG]:[HRG_JLMT_CTN+PPN]],9,0),0)</f>
        <v>0</v>
      </c>
      <c r="I452">
        <f>IFERROR(VLOOKUP(Fix_Mapping[[#This Row],[KODE BARANG]],[1]!KINONF15[[KDBRG]:[HRG_JLMT_CTN+PPN]],10,0),0)</f>
        <v>0</v>
      </c>
      <c r="J452">
        <f>IFERROR(VLOOKUP(Fix_Mapping[[#This Row],[KODE BARANG]],[1]!KINONF15[[KDBRG]:[HRG_JLMT_CTN+PPN]],11,0),0)</f>
        <v>0</v>
      </c>
      <c r="K452">
        <f>IFERROR(VLOOKUP(Fix_Mapping[[#This Row],[KODE BARANG]],[1]!KINONF15[[KDBRG]:[HRG_JLMT_CTN+PPN]],12,0),0)</f>
        <v>0</v>
      </c>
      <c r="L452">
        <f>IFERROR(VLOOKUP(Fix_Mapping[[#This Row],[KODE BARANG]],[1]!KINONF15[[KDBRG]:[HRG_JLMT_CTN+PPN]],13,0),0)</f>
        <v>0</v>
      </c>
      <c r="M452">
        <f>IFERROR(VLOOKUP(Fix_Mapping[[#This Row],[KODE BARANG]],[1]!KINONF15[[KDBRG]:[HRG_JLMT_CTN+PPN]],14,0),0)</f>
        <v>0</v>
      </c>
      <c r="N452">
        <f>IFERROR(VLOOKUP(Fix_Mapping[[#This Row],[KODE BARANG]],[1]!KINONF15[[KDBRG]:[HRG_JLMT_CTN+PPN]],15,0),0)</f>
        <v>0</v>
      </c>
      <c r="O452">
        <f>IFERROR(VLOOKUP(Fix_Mapping[[#This Row],[KODE BARANG]],[1]!KINONF15[[KDBRG]:[HRG_JLMT_CTN+PPN]],16,0),0)</f>
        <v>0</v>
      </c>
      <c r="P452">
        <f>IFERROR(VLOOKUP(Fix_Mapping[[#This Row],[KODE BARANG]],[1]!KINONF15[[KDBRG]:[HRG_JLMT_CTN+PPN]],17,0),0)</f>
        <v>0</v>
      </c>
      <c r="Q452">
        <f>IFERROR(VLOOKUP(Fix_Mapping[[#This Row],[KODE BARANG]],[1]!KINONF15[[KDBRG]:[HRG_JLMT_CTN+PPN]],18,0),0)</f>
        <v>0</v>
      </c>
      <c r="R452" t="s">
        <v>2555</v>
      </c>
      <c r="S452" t="s">
        <v>575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1863</v>
      </c>
      <c r="B453" t="s">
        <v>1864</v>
      </c>
      <c r="C453">
        <v>36</v>
      </c>
      <c r="D453">
        <f>IFERROR(VLOOKUP(Fix_Mapping[[#This Row],[KODE BARANG]],[1]!KINONF15[[KDBRG]:[HRG_JLMT_CTN+PPN]],5,0),0)</f>
        <v>0</v>
      </c>
      <c r="E453" t="s">
        <v>2188</v>
      </c>
      <c r="F453">
        <f>IFERROR(VLOOKUP(Fix_Mapping[[#This Row],[KODE BARANG]],[1]!KINONF15[[KDBRG]:[HRG_JLMT_CTN+PPN]],7,0),0)</f>
        <v>0</v>
      </c>
      <c r="G453">
        <f>IFERROR(VLOOKUP(Fix_Mapping[[#This Row],[KODE BARANG]],[1]!KINONF15[[KDBRG]:[HRG_JLMT_CTN+PPN]],8,0),0)</f>
        <v>0</v>
      </c>
      <c r="H453">
        <f>IFERROR(VLOOKUP(Fix_Mapping[[#This Row],[KODE BARANG]],[1]!KINONF15[[KDBRG]:[HRG_JLMT_CTN+PPN]],9,0),0)</f>
        <v>0</v>
      </c>
      <c r="I453">
        <f>IFERROR(VLOOKUP(Fix_Mapping[[#This Row],[KODE BARANG]],[1]!KINONF15[[KDBRG]:[HRG_JLMT_CTN+PPN]],10,0),0)</f>
        <v>0</v>
      </c>
      <c r="J453">
        <f>IFERROR(VLOOKUP(Fix_Mapping[[#This Row],[KODE BARANG]],[1]!KINONF15[[KDBRG]:[HRG_JLMT_CTN+PPN]],11,0),0)</f>
        <v>0</v>
      </c>
      <c r="K453">
        <f>IFERROR(VLOOKUP(Fix_Mapping[[#This Row],[KODE BARANG]],[1]!KINONF15[[KDBRG]:[HRG_JLMT_CTN+PPN]],12,0),0)</f>
        <v>0</v>
      </c>
      <c r="L453">
        <f>IFERROR(VLOOKUP(Fix_Mapping[[#This Row],[KODE BARANG]],[1]!KINONF15[[KDBRG]:[HRG_JLMT_CTN+PPN]],13,0),0)</f>
        <v>0</v>
      </c>
      <c r="M453">
        <f>IFERROR(VLOOKUP(Fix_Mapping[[#This Row],[KODE BARANG]],[1]!KINONF15[[KDBRG]:[HRG_JLMT_CTN+PPN]],14,0),0)</f>
        <v>0</v>
      </c>
      <c r="N453">
        <f>IFERROR(VLOOKUP(Fix_Mapping[[#This Row],[KODE BARANG]],[1]!KINONF15[[KDBRG]:[HRG_JLMT_CTN+PPN]],15,0),0)</f>
        <v>0</v>
      </c>
      <c r="O453">
        <f>IFERROR(VLOOKUP(Fix_Mapping[[#This Row],[KODE BARANG]],[1]!KINONF15[[KDBRG]:[HRG_JLMT_CTN+PPN]],16,0),0)</f>
        <v>0</v>
      </c>
      <c r="P453">
        <f>IFERROR(VLOOKUP(Fix_Mapping[[#This Row],[KODE BARANG]],[1]!KINONF15[[KDBRG]:[HRG_JLMT_CTN+PPN]],17,0),0)</f>
        <v>0</v>
      </c>
      <c r="Q453">
        <f>IFERROR(VLOOKUP(Fix_Mapping[[#This Row],[KODE BARANG]],[1]!KINONF15[[KDBRG]:[HRG_JLMT_CTN+PPN]],18,0),0)</f>
        <v>0</v>
      </c>
      <c r="R453" t="s">
        <v>2555</v>
      </c>
      <c r="S453" t="s">
        <v>576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1865</v>
      </c>
      <c r="B454" t="s">
        <v>1866</v>
      </c>
      <c r="C454">
        <v>36</v>
      </c>
      <c r="D454">
        <f>IFERROR(VLOOKUP(Fix_Mapping[[#This Row],[KODE BARANG]],[1]!KINONF15[[KDBRG]:[HRG_JLMT_CTN+PPN]],5,0),0)</f>
        <v>0</v>
      </c>
      <c r="E454" t="s">
        <v>2188</v>
      </c>
      <c r="F454">
        <f>IFERROR(VLOOKUP(Fix_Mapping[[#This Row],[KODE BARANG]],[1]!KINONF15[[KDBRG]:[HRG_JLMT_CTN+PPN]],7,0),0)</f>
        <v>0</v>
      </c>
      <c r="G454">
        <f>IFERROR(VLOOKUP(Fix_Mapping[[#This Row],[KODE BARANG]],[1]!KINONF15[[KDBRG]:[HRG_JLMT_CTN+PPN]],8,0),0)</f>
        <v>0</v>
      </c>
      <c r="H454">
        <f>IFERROR(VLOOKUP(Fix_Mapping[[#This Row],[KODE BARANG]],[1]!KINONF15[[KDBRG]:[HRG_JLMT_CTN+PPN]],9,0),0)</f>
        <v>0</v>
      </c>
      <c r="I454">
        <f>IFERROR(VLOOKUP(Fix_Mapping[[#This Row],[KODE BARANG]],[1]!KINONF15[[KDBRG]:[HRG_JLMT_CTN+PPN]],10,0),0)</f>
        <v>0</v>
      </c>
      <c r="J454">
        <f>IFERROR(VLOOKUP(Fix_Mapping[[#This Row],[KODE BARANG]],[1]!KINONF15[[KDBRG]:[HRG_JLMT_CTN+PPN]],11,0),0)</f>
        <v>0</v>
      </c>
      <c r="K454">
        <f>IFERROR(VLOOKUP(Fix_Mapping[[#This Row],[KODE BARANG]],[1]!KINONF15[[KDBRG]:[HRG_JLMT_CTN+PPN]],12,0),0)</f>
        <v>0</v>
      </c>
      <c r="L454">
        <f>IFERROR(VLOOKUP(Fix_Mapping[[#This Row],[KODE BARANG]],[1]!KINONF15[[KDBRG]:[HRG_JLMT_CTN+PPN]],13,0),0)</f>
        <v>0</v>
      </c>
      <c r="M454">
        <f>IFERROR(VLOOKUP(Fix_Mapping[[#This Row],[KODE BARANG]],[1]!KINONF15[[KDBRG]:[HRG_JLMT_CTN+PPN]],14,0),0)</f>
        <v>0</v>
      </c>
      <c r="N454">
        <f>IFERROR(VLOOKUP(Fix_Mapping[[#This Row],[KODE BARANG]],[1]!KINONF15[[KDBRG]:[HRG_JLMT_CTN+PPN]],15,0),0)</f>
        <v>0</v>
      </c>
      <c r="O454">
        <f>IFERROR(VLOOKUP(Fix_Mapping[[#This Row],[KODE BARANG]],[1]!KINONF15[[KDBRG]:[HRG_JLMT_CTN+PPN]],16,0),0)</f>
        <v>0</v>
      </c>
      <c r="P454">
        <f>IFERROR(VLOOKUP(Fix_Mapping[[#This Row],[KODE BARANG]],[1]!KINONF15[[KDBRG]:[HRG_JLMT_CTN+PPN]],17,0),0)</f>
        <v>0</v>
      </c>
      <c r="Q454">
        <f>IFERROR(VLOOKUP(Fix_Mapping[[#This Row],[KODE BARANG]],[1]!KINONF15[[KDBRG]:[HRG_JLMT_CTN+PPN]],18,0),0)</f>
        <v>0</v>
      </c>
      <c r="R454" t="s">
        <v>2555</v>
      </c>
      <c r="S454" t="s">
        <v>578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1867</v>
      </c>
      <c r="B455" t="s">
        <v>1868</v>
      </c>
      <c r="C455">
        <v>36</v>
      </c>
      <c r="D455">
        <f>IFERROR(VLOOKUP(Fix_Mapping[[#This Row],[KODE BARANG]],[1]!KINONF15[[KDBRG]:[HRG_JLMT_CTN+PPN]],5,0),0)</f>
        <v>0</v>
      </c>
      <c r="E455" t="s">
        <v>2188</v>
      </c>
      <c r="F455">
        <f>IFERROR(VLOOKUP(Fix_Mapping[[#This Row],[KODE BARANG]],[1]!KINONF15[[KDBRG]:[HRG_JLMT_CTN+PPN]],7,0),0)</f>
        <v>0</v>
      </c>
      <c r="G455">
        <f>IFERROR(VLOOKUP(Fix_Mapping[[#This Row],[KODE BARANG]],[1]!KINONF15[[KDBRG]:[HRG_JLMT_CTN+PPN]],8,0),0)</f>
        <v>0</v>
      </c>
      <c r="H455">
        <f>IFERROR(VLOOKUP(Fix_Mapping[[#This Row],[KODE BARANG]],[1]!KINONF15[[KDBRG]:[HRG_JLMT_CTN+PPN]],9,0),0)</f>
        <v>0</v>
      </c>
      <c r="I455">
        <f>IFERROR(VLOOKUP(Fix_Mapping[[#This Row],[KODE BARANG]],[1]!KINONF15[[KDBRG]:[HRG_JLMT_CTN+PPN]],10,0),0)</f>
        <v>0</v>
      </c>
      <c r="J455">
        <f>IFERROR(VLOOKUP(Fix_Mapping[[#This Row],[KODE BARANG]],[1]!KINONF15[[KDBRG]:[HRG_JLMT_CTN+PPN]],11,0),0)</f>
        <v>0</v>
      </c>
      <c r="K455">
        <f>IFERROR(VLOOKUP(Fix_Mapping[[#This Row],[KODE BARANG]],[1]!KINONF15[[KDBRG]:[HRG_JLMT_CTN+PPN]],12,0),0)</f>
        <v>0</v>
      </c>
      <c r="L455">
        <f>IFERROR(VLOOKUP(Fix_Mapping[[#This Row],[KODE BARANG]],[1]!KINONF15[[KDBRG]:[HRG_JLMT_CTN+PPN]],13,0),0)</f>
        <v>0</v>
      </c>
      <c r="M455">
        <f>IFERROR(VLOOKUP(Fix_Mapping[[#This Row],[KODE BARANG]],[1]!KINONF15[[KDBRG]:[HRG_JLMT_CTN+PPN]],14,0),0)</f>
        <v>0</v>
      </c>
      <c r="N455">
        <f>IFERROR(VLOOKUP(Fix_Mapping[[#This Row],[KODE BARANG]],[1]!KINONF15[[KDBRG]:[HRG_JLMT_CTN+PPN]],15,0),0)</f>
        <v>0</v>
      </c>
      <c r="O455">
        <f>IFERROR(VLOOKUP(Fix_Mapping[[#This Row],[KODE BARANG]],[1]!KINONF15[[KDBRG]:[HRG_JLMT_CTN+PPN]],16,0),0)</f>
        <v>0</v>
      </c>
      <c r="P455">
        <f>IFERROR(VLOOKUP(Fix_Mapping[[#This Row],[KODE BARANG]],[1]!KINONF15[[KDBRG]:[HRG_JLMT_CTN+PPN]],17,0),0)</f>
        <v>0</v>
      </c>
      <c r="Q455">
        <f>IFERROR(VLOOKUP(Fix_Mapping[[#This Row],[KODE BARANG]],[1]!KINONF15[[KDBRG]:[HRG_JLMT_CTN+PPN]],18,0),0)</f>
        <v>0</v>
      </c>
      <c r="R455" t="s">
        <v>2555</v>
      </c>
      <c r="S455" t="s">
        <v>579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1869</v>
      </c>
      <c r="B456" t="s">
        <v>1870</v>
      </c>
      <c r="C456">
        <v>72</v>
      </c>
      <c r="D456">
        <f>IFERROR(VLOOKUP(Fix_Mapping[[#This Row],[KODE BARANG]],[1]!KINONF15[[KDBRG]:[HRG_JLMT_CTN+PPN]],5,0),0)</f>
        <v>0</v>
      </c>
      <c r="E456" t="s">
        <v>2188</v>
      </c>
      <c r="F456">
        <f>IFERROR(VLOOKUP(Fix_Mapping[[#This Row],[KODE BARANG]],[1]!KINONF15[[KDBRG]:[HRG_JLMT_CTN+PPN]],7,0),0)</f>
        <v>0</v>
      </c>
      <c r="G456">
        <f>IFERROR(VLOOKUP(Fix_Mapping[[#This Row],[KODE BARANG]],[1]!KINONF15[[KDBRG]:[HRG_JLMT_CTN+PPN]],8,0),0)</f>
        <v>0</v>
      </c>
      <c r="H456">
        <f>IFERROR(VLOOKUP(Fix_Mapping[[#This Row],[KODE BARANG]],[1]!KINONF15[[KDBRG]:[HRG_JLMT_CTN+PPN]],9,0),0)</f>
        <v>0</v>
      </c>
      <c r="I456">
        <f>IFERROR(VLOOKUP(Fix_Mapping[[#This Row],[KODE BARANG]],[1]!KINONF15[[KDBRG]:[HRG_JLMT_CTN+PPN]],10,0),0)</f>
        <v>0</v>
      </c>
      <c r="J456">
        <f>IFERROR(VLOOKUP(Fix_Mapping[[#This Row],[KODE BARANG]],[1]!KINONF15[[KDBRG]:[HRG_JLMT_CTN+PPN]],11,0),0)</f>
        <v>0</v>
      </c>
      <c r="K456">
        <f>IFERROR(VLOOKUP(Fix_Mapping[[#This Row],[KODE BARANG]],[1]!KINONF15[[KDBRG]:[HRG_JLMT_CTN+PPN]],12,0),0)</f>
        <v>0</v>
      </c>
      <c r="L456">
        <f>IFERROR(VLOOKUP(Fix_Mapping[[#This Row],[KODE BARANG]],[1]!KINONF15[[KDBRG]:[HRG_JLMT_CTN+PPN]],13,0),0)</f>
        <v>0</v>
      </c>
      <c r="M456">
        <f>IFERROR(VLOOKUP(Fix_Mapping[[#This Row],[KODE BARANG]],[1]!KINONF15[[KDBRG]:[HRG_JLMT_CTN+PPN]],14,0),0)</f>
        <v>0</v>
      </c>
      <c r="N456">
        <f>IFERROR(VLOOKUP(Fix_Mapping[[#This Row],[KODE BARANG]],[1]!KINONF15[[KDBRG]:[HRG_JLMT_CTN+PPN]],15,0),0)</f>
        <v>0</v>
      </c>
      <c r="O456">
        <f>IFERROR(VLOOKUP(Fix_Mapping[[#This Row],[KODE BARANG]],[1]!KINONF15[[KDBRG]:[HRG_JLMT_CTN+PPN]],16,0),0)</f>
        <v>0</v>
      </c>
      <c r="P456">
        <f>IFERROR(VLOOKUP(Fix_Mapping[[#This Row],[KODE BARANG]],[1]!KINONF15[[KDBRG]:[HRG_JLMT_CTN+PPN]],17,0),0)</f>
        <v>0</v>
      </c>
      <c r="Q456">
        <f>IFERROR(VLOOKUP(Fix_Mapping[[#This Row],[KODE BARANG]],[1]!KINONF15[[KDBRG]:[HRG_JLMT_CTN+PPN]],18,0),0)</f>
        <v>0</v>
      </c>
      <c r="R456" t="s">
        <v>2555</v>
      </c>
      <c r="S456" t="s">
        <v>577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1871</v>
      </c>
      <c r="B457" t="s">
        <v>1872</v>
      </c>
      <c r="C457">
        <v>36</v>
      </c>
      <c r="D457">
        <f>IFERROR(VLOOKUP(Fix_Mapping[[#This Row],[KODE BARANG]],[1]!KINONF15[[KDBRG]:[HRG_JLMT_CTN+PPN]],5,0),0)</f>
        <v>0</v>
      </c>
      <c r="E457" t="s">
        <v>2188</v>
      </c>
      <c r="F457">
        <f>IFERROR(VLOOKUP(Fix_Mapping[[#This Row],[KODE BARANG]],[1]!KINONF15[[KDBRG]:[HRG_JLMT_CTN+PPN]],7,0),0)</f>
        <v>0</v>
      </c>
      <c r="G457">
        <f>IFERROR(VLOOKUP(Fix_Mapping[[#This Row],[KODE BARANG]],[1]!KINONF15[[KDBRG]:[HRG_JLMT_CTN+PPN]],8,0),0)</f>
        <v>0</v>
      </c>
      <c r="H457">
        <f>IFERROR(VLOOKUP(Fix_Mapping[[#This Row],[KODE BARANG]],[1]!KINONF15[[KDBRG]:[HRG_JLMT_CTN+PPN]],9,0),0)</f>
        <v>0</v>
      </c>
      <c r="I457">
        <f>IFERROR(VLOOKUP(Fix_Mapping[[#This Row],[KODE BARANG]],[1]!KINONF15[[KDBRG]:[HRG_JLMT_CTN+PPN]],10,0),0)</f>
        <v>0</v>
      </c>
      <c r="J457">
        <f>IFERROR(VLOOKUP(Fix_Mapping[[#This Row],[KODE BARANG]],[1]!KINONF15[[KDBRG]:[HRG_JLMT_CTN+PPN]],11,0),0)</f>
        <v>0</v>
      </c>
      <c r="K457">
        <f>IFERROR(VLOOKUP(Fix_Mapping[[#This Row],[KODE BARANG]],[1]!KINONF15[[KDBRG]:[HRG_JLMT_CTN+PPN]],12,0),0)</f>
        <v>0</v>
      </c>
      <c r="L457">
        <f>IFERROR(VLOOKUP(Fix_Mapping[[#This Row],[KODE BARANG]],[1]!KINONF15[[KDBRG]:[HRG_JLMT_CTN+PPN]],13,0),0)</f>
        <v>0</v>
      </c>
      <c r="M457">
        <f>IFERROR(VLOOKUP(Fix_Mapping[[#This Row],[KODE BARANG]],[1]!KINONF15[[KDBRG]:[HRG_JLMT_CTN+PPN]],14,0),0)</f>
        <v>0</v>
      </c>
      <c r="N457">
        <f>IFERROR(VLOOKUP(Fix_Mapping[[#This Row],[KODE BARANG]],[1]!KINONF15[[KDBRG]:[HRG_JLMT_CTN+PPN]],15,0),0)</f>
        <v>0</v>
      </c>
      <c r="O457">
        <f>IFERROR(VLOOKUP(Fix_Mapping[[#This Row],[KODE BARANG]],[1]!KINONF15[[KDBRG]:[HRG_JLMT_CTN+PPN]],16,0),0)</f>
        <v>0</v>
      </c>
      <c r="P457">
        <f>IFERROR(VLOOKUP(Fix_Mapping[[#This Row],[KODE BARANG]],[1]!KINONF15[[KDBRG]:[HRG_JLMT_CTN+PPN]],17,0),0)</f>
        <v>0</v>
      </c>
      <c r="Q457">
        <f>IFERROR(VLOOKUP(Fix_Mapping[[#This Row],[KODE BARANG]],[1]!KINONF15[[KDBRG]:[HRG_JLMT_CTN+PPN]],18,0),0)</f>
        <v>0</v>
      </c>
      <c r="R457" t="s">
        <v>2555</v>
      </c>
      <c r="S457" t="s">
        <v>580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1873</v>
      </c>
      <c r="B458" t="s">
        <v>1874</v>
      </c>
      <c r="C458">
        <v>36</v>
      </c>
      <c r="D458">
        <f>IFERROR(VLOOKUP(Fix_Mapping[[#This Row],[KODE BARANG]],[1]!KINONF15[[KDBRG]:[HRG_JLMT_CTN+PPN]],5,0),0)</f>
        <v>0</v>
      </c>
      <c r="E458" t="s">
        <v>2188</v>
      </c>
      <c r="F458">
        <f>IFERROR(VLOOKUP(Fix_Mapping[[#This Row],[KODE BARANG]],[1]!KINONF15[[KDBRG]:[HRG_JLMT_CTN+PPN]],7,0),0)</f>
        <v>0</v>
      </c>
      <c r="G458">
        <f>IFERROR(VLOOKUP(Fix_Mapping[[#This Row],[KODE BARANG]],[1]!KINONF15[[KDBRG]:[HRG_JLMT_CTN+PPN]],8,0),0)</f>
        <v>0</v>
      </c>
      <c r="H458">
        <f>IFERROR(VLOOKUP(Fix_Mapping[[#This Row],[KODE BARANG]],[1]!KINONF15[[KDBRG]:[HRG_JLMT_CTN+PPN]],9,0),0)</f>
        <v>0</v>
      </c>
      <c r="I458">
        <f>IFERROR(VLOOKUP(Fix_Mapping[[#This Row],[KODE BARANG]],[1]!KINONF15[[KDBRG]:[HRG_JLMT_CTN+PPN]],10,0),0)</f>
        <v>0</v>
      </c>
      <c r="J458">
        <f>IFERROR(VLOOKUP(Fix_Mapping[[#This Row],[KODE BARANG]],[1]!KINONF15[[KDBRG]:[HRG_JLMT_CTN+PPN]],11,0),0)</f>
        <v>0</v>
      </c>
      <c r="K458">
        <f>IFERROR(VLOOKUP(Fix_Mapping[[#This Row],[KODE BARANG]],[1]!KINONF15[[KDBRG]:[HRG_JLMT_CTN+PPN]],12,0),0)</f>
        <v>0</v>
      </c>
      <c r="L458">
        <f>IFERROR(VLOOKUP(Fix_Mapping[[#This Row],[KODE BARANG]],[1]!KINONF15[[KDBRG]:[HRG_JLMT_CTN+PPN]],13,0),0)</f>
        <v>0</v>
      </c>
      <c r="M458">
        <f>IFERROR(VLOOKUP(Fix_Mapping[[#This Row],[KODE BARANG]],[1]!KINONF15[[KDBRG]:[HRG_JLMT_CTN+PPN]],14,0),0)</f>
        <v>0</v>
      </c>
      <c r="N458">
        <f>IFERROR(VLOOKUP(Fix_Mapping[[#This Row],[KODE BARANG]],[1]!KINONF15[[KDBRG]:[HRG_JLMT_CTN+PPN]],15,0),0)</f>
        <v>0</v>
      </c>
      <c r="O458">
        <f>IFERROR(VLOOKUP(Fix_Mapping[[#This Row],[KODE BARANG]],[1]!KINONF15[[KDBRG]:[HRG_JLMT_CTN+PPN]],16,0),0)</f>
        <v>0</v>
      </c>
      <c r="P458">
        <f>IFERROR(VLOOKUP(Fix_Mapping[[#This Row],[KODE BARANG]],[1]!KINONF15[[KDBRG]:[HRG_JLMT_CTN+PPN]],17,0),0)</f>
        <v>0</v>
      </c>
      <c r="Q458">
        <f>IFERROR(VLOOKUP(Fix_Mapping[[#This Row],[KODE BARANG]],[1]!KINONF15[[KDBRG]:[HRG_JLMT_CTN+PPN]],18,0),0)</f>
        <v>0</v>
      </c>
      <c r="R458" t="s">
        <v>2555</v>
      </c>
      <c r="S458" t="s">
        <v>581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1875</v>
      </c>
      <c r="B459" t="s">
        <v>1876</v>
      </c>
      <c r="C459">
        <v>36</v>
      </c>
      <c r="D459">
        <f>IFERROR(VLOOKUP(Fix_Mapping[[#This Row],[KODE BARANG]],[1]!KINONF15[[KDBRG]:[HRG_JLMT_CTN+PPN]],5,0),0)</f>
        <v>0</v>
      </c>
      <c r="E459" t="s">
        <v>2188</v>
      </c>
      <c r="F459">
        <f>IFERROR(VLOOKUP(Fix_Mapping[[#This Row],[KODE BARANG]],[1]!KINONF15[[KDBRG]:[HRG_JLMT_CTN+PPN]],7,0),0)</f>
        <v>0</v>
      </c>
      <c r="G459">
        <f>IFERROR(VLOOKUP(Fix_Mapping[[#This Row],[KODE BARANG]],[1]!KINONF15[[KDBRG]:[HRG_JLMT_CTN+PPN]],8,0),0)</f>
        <v>0</v>
      </c>
      <c r="H459">
        <f>IFERROR(VLOOKUP(Fix_Mapping[[#This Row],[KODE BARANG]],[1]!KINONF15[[KDBRG]:[HRG_JLMT_CTN+PPN]],9,0),0)</f>
        <v>0</v>
      </c>
      <c r="I459">
        <f>IFERROR(VLOOKUP(Fix_Mapping[[#This Row],[KODE BARANG]],[1]!KINONF15[[KDBRG]:[HRG_JLMT_CTN+PPN]],10,0),0)</f>
        <v>0</v>
      </c>
      <c r="J459">
        <f>IFERROR(VLOOKUP(Fix_Mapping[[#This Row],[KODE BARANG]],[1]!KINONF15[[KDBRG]:[HRG_JLMT_CTN+PPN]],11,0),0)</f>
        <v>0</v>
      </c>
      <c r="K459">
        <f>IFERROR(VLOOKUP(Fix_Mapping[[#This Row],[KODE BARANG]],[1]!KINONF15[[KDBRG]:[HRG_JLMT_CTN+PPN]],12,0),0)</f>
        <v>0</v>
      </c>
      <c r="L459">
        <f>IFERROR(VLOOKUP(Fix_Mapping[[#This Row],[KODE BARANG]],[1]!KINONF15[[KDBRG]:[HRG_JLMT_CTN+PPN]],13,0),0)</f>
        <v>0</v>
      </c>
      <c r="M459">
        <f>IFERROR(VLOOKUP(Fix_Mapping[[#This Row],[KODE BARANG]],[1]!KINONF15[[KDBRG]:[HRG_JLMT_CTN+PPN]],14,0),0)</f>
        <v>0</v>
      </c>
      <c r="N459">
        <f>IFERROR(VLOOKUP(Fix_Mapping[[#This Row],[KODE BARANG]],[1]!KINONF15[[KDBRG]:[HRG_JLMT_CTN+PPN]],15,0),0)</f>
        <v>0</v>
      </c>
      <c r="O459">
        <f>IFERROR(VLOOKUP(Fix_Mapping[[#This Row],[KODE BARANG]],[1]!KINONF15[[KDBRG]:[HRG_JLMT_CTN+PPN]],16,0),0)</f>
        <v>0</v>
      </c>
      <c r="P459">
        <f>IFERROR(VLOOKUP(Fix_Mapping[[#This Row],[KODE BARANG]],[1]!KINONF15[[KDBRG]:[HRG_JLMT_CTN+PPN]],17,0),0)</f>
        <v>0</v>
      </c>
      <c r="Q459">
        <f>IFERROR(VLOOKUP(Fix_Mapping[[#This Row],[KODE BARANG]],[1]!KINONF15[[KDBRG]:[HRG_JLMT_CTN+PPN]],18,0),0)</f>
        <v>0</v>
      </c>
      <c r="R459" t="s">
        <v>2555</v>
      </c>
      <c r="S459" t="s">
        <v>582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1877</v>
      </c>
      <c r="B460" t="s">
        <v>1878</v>
      </c>
      <c r="C460">
        <v>36</v>
      </c>
      <c r="D460">
        <f>IFERROR(VLOOKUP(Fix_Mapping[[#This Row],[KODE BARANG]],[1]!KINONF15[[KDBRG]:[HRG_JLMT_CTN+PPN]],5,0),0)</f>
        <v>0</v>
      </c>
      <c r="E460" t="s">
        <v>2188</v>
      </c>
      <c r="F460">
        <f>IFERROR(VLOOKUP(Fix_Mapping[[#This Row],[KODE BARANG]],[1]!KINONF15[[KDBRG]:[HRG_JLMT_CTN+PPN]],7,0),0)</f>
        <v>0</v>
      </c>
      <c r="G460">
        <f>IFERROR(VLOOKUP(Fix_Mapping[[#This Row],[KODE BARANG]],[1]!KINONF15[[KDBRG]:[HRG_JLMT_CTN+PPN]],8,0),0)</f>
        <v>0</v>
      </c>
      <c r="H460">
        <f>IFERROR(VLOOKUP(Fix_Mapping[[#This Row],[KODE BARANG]],[1]!KINONF15[[KDBRG]:[HRG_JLMT_CTN+PPN]],9,0),0)</f>
        <v>0</v>
      </c>
      <c r="I460">
        <f>IFERROR(VLOOKUP(Fix_Mapping[[#This Row],[KODE BARANG]],[1]!KINONF15[[KDBRG]:[HRG_JLMT_CTN+PPN]],10,0),0)</f>
        <v>0</v>
      </c>
      <c r="J460">
        <f>IFERROR(VLOOKUP(Fix_Mapping[[#This Row],[KODE BARANG]],[1]!KINONF15[[KDBRG]:[HRG_JLMT_CTN+PPN]],11,0),0)</f>
        <v>0</v>
      </c>
      <c r="K460">
        <f>IFERROR(VLOOKUP(Fix_Mapping[[#This Row],[KODE BARANG]],[1]!KINONF15[[KDBRG]:[HRG_JLMT_CTN+PPN]],12,0),0)</f>
        <v>0</v>
      </c>
      <c r="L460">
        <f>IFERROR(VLOOKUP(Fix_Mapping[[#This Row],[KODE BARANG]],[1]!KINONF15[[KDBRG]:[HRG_JLMT_CTN+PPN]],13,0),0)</f>
        <v>0</v>
      </c>
      <c r="M460">
        <f>IFERROR(VLOOKUP(Fix_Mapping[[#This Row],[KODE BARANG]],[1]!KINONF15[[KDBRG]:[HRG_JLMT_CTN+PPN]],14,0),0)</f>
        <v>0</v>
      </c>
      <c r="N460">
        <f>IFERROR(VLOOKUP(Fix_Mapping[[#This Row],[KODE BARANG]],[1]!KINONF15[[KDBRG]:[HRG_JLMT_CTN+PPN]],15,0),0)</f>
        <v>0</v>
      </c>
      <c r="O460">
        <f>IFERROR(VLOOKUP(Fix_Mapping[[#This Row],[KODE BARANG]],[1]!KINONF15[[KDBRG]:[HRG_JLMT_CTN+PPN]],16,0),0)</f>
        <v>0</v>
      </c>
      <c r="P460">
        <f>IFERROR(VLOOKUP(Fix_Mapping[[#This Row],[KODE BARANG]],[1]!KINONF15[[KDBRG]:[HRG_JLMT_CTN+PPN]],17,0),0)</f>
        <v>0</v>
      </c>
      <c r="Q460">
        <f>IFERROR(VLOOKUP(Fix_Mapping[[#This Row],[KODE BARANG]],[1]!KINONF15[[KDBRG]:[HRG_JLMT_CTN+PPN]],18,0),0)</f>
        <v>0</v>
      </c>
      <c r="R460" t="s">
        <v>2555</v>
      </c>
      <c r="S460" t="s">
        <v>583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1879</v>
      </c>
      <c r="B461" t="s">
        <v>1880</v>
      </c>
      <c r="C461">
        <v>72</v>
      </c>
      <c r="D461">
        <f>IFERROR(VLOOKUP(Fix_Mapping[[#This Row],[KODE BARANG]],[1]!KINONF15[[KDBRG]:[HRG_JLMT_CTN+PPN]],5,0),0)</f>
        <v>0</v>
      </c>
      <c r="E461" t="s">
        <v>2252</v>
      </c>
      <c r="F461">
        <f>IFERROR(VLOOKUP(Fix_Mapping[[#This Row],[KODE BARANG]],[1]!KINONF15[[KDBRG]:[HRG_JLMT_CTN+PPN]],7,0),0)</f>
        <v>0</v>
      </c>
      <c r="G461">
        <f>IFERROR(VLOOKUP(Fix_Mapping[[#This Row],[KODE BARANG]],[1]!KINONF15[[KDBRG]:[HRG_JLMT_CTN+PPN]],8,0),0)</f>
        <v>0</v>
      </c>
      <c r="H461">
        <f>IFERROR(VLOOKUP(Fix_Mapping[[#This Row],[KODE BARANG]],[1]!KINONF15[[KDBRG]:[HRG_JLMT_CTN+PPN]],9,0),0)</f>
        <v>0</v>
      </c>
      <c r="I461">
        <f>IFERROR(VLOOKUP(Fix_Mapping[[#This Row],[KODE BARANG]],[1]!KINONF15[[KDBRG]:[HRG_JLMT_CTN+PPN]],10,0),0)</f>
        <v>0</v>
      </c>
      <c r="J461">
        <f>IFERROR(VLOOKUP(Fix_Mapping[[#This Row],[KODE BARANG]],[1]!KINONF15[[KDBRG]:[HRG_JLMT_CTN+PPN]],11,0),0)</f>
        <v>0</v>
      </c>
      <c r="K461">
        <f>IFERROR(VLOOKUP(Fix_Mapping[[#This Row],[KODE BARANG]],[1]!KINONF15[[KDBRG]:[HRG_JLMT_CTN+PPN]],12,0),0)</f>
        <v>0</v>
      </c>
      <c r="L461">
        <f>IFERROR(VLOOKUP(Fix_Mapping[[#This Row],[KODE BARANG]],[1]!KINONF15[[KDBRG]:[HRG_JLMT_CTN+PPN]],13,0),0)</f>
        <v>0</v>
      </c>
      <c r="M461">
        <f>IFERROR(VLOOKUP(Fix_Mapping[[#This Row],[KODE BARANG]],[1]!KINONF15[[KDBRG]:[HRG_JLMT_CTN+PPN]],14,0),0)</f>
        <v>0</v>
      </c>
      <c r="N461">
        <f>IFERROR(VLOOKUP(Fix_Mapping[[#This Row],[KODE BARANG]],[1]!KINONF15[[KDBRG]:[HRG_JLMT_CTN+PPN]],15,0),0)</f>
        <v>0</v>
      </c>
      <c r="O461">
        <f>IFERROR(VLOOKUP(Fix_Mapping[[#This Row],[KODE BARANG]],[1]!KINONF15[[KDBRG]:[HRG_JLMT_CTN+PPN]],16,0),0)</f>
        <v>0</v>
      </c>
      <c r="P461">
        <f>IFERROR(VLOOKUP(Fix_Mapping[[#This Row],[KODE BARANG]],[1]!KINONF15[[KDBRG]:[HRG_JLMT_CTN+PPN]],17,0),0)</f>
        <v>0</v>
      </c>
      <c r="Q461">
        <f>IFERROR(VLOOKUP(Fix_Mapping[[#This Row],[KODE BARANG]],[1]!KINONF15[[KDBRG]:[HRG_JLMT_CTN+PPN]],18,0),0)</f>
        <v>0</v>
      </c>
      <c r="R461" t="s">
        <v>2555</v>
      </c>
      <c r="S461" t="s">
        <v>593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1881</v>
      </c>
      <c r="B462" t="s">
        <v>1882</v>
      </c>
      <c r="C462">
        <v>36</v>
      </c>
      <c r="D462">
        <f>IFERROR(VLOOKUP(Fix_Mapping[[#This Row],[KODE BARANG]],[1]!KINONF15[[KDBRG]:[HRG_JLMT_CTN+PPN]],5,0),0)</f>
        <v>0</v>
      </c>
      <c r="E462" t="s">
        <v>2252</v>
      </c>
      <c r="F462">
        <f>IFERROR(VLOOKUP(Fix_Mapping[[#This Row],[KODE BARANG]],[1]!KINONF15[[KDBRG]:[HRG_JLMT_CTN+PPN]],7,0),0)</f>
        <v>0</v>
      </c>
      <c r="G462">
        <f>IFERROR(VLOOKUP(Fix_Mapping[[#This Row],[KODE BARANG]],[1]!KINONF15[[KDBRG]:[HRG_JLMT_CTN+PPN]],8,0),0)</f>
        <v>0</v>
      </c>
      <c r="H462">
        <f>IFERROR(VLOOKUP(Fix_Mapping[[#This Row],[KODE BARANG]],[1]!KINONF15[[KDBRG]:[HRG_JLMT_CTN+PPN]],9,0),0)</f>
        <v>0</v>
      </c>
      <c r="I462">
        <f>IFERROR(VLOOKUP(Fix_Mapping[[#This Row],[KODE BARANG]],[1]!KINONF15[[KDBRG]:[HRG_JLMT_CTN+PPN]],10,0),0)</f>
        <v>0</v>
      </c>
      <c r="J462">
        <f>IFERROR(VLOOKUP(Fix_Mapping[[#This Row],[KODE BARANG]],[1]!KINONF15[[KDBRG]:[HRG_JLMT_CTN+PPN]],11,0),0)</f>
        <v>0</v>
      </c>
      <c r="K462">
        <f>IFERROR(VLOOKUP(Fix_Mapping[[#This Row],[KODE BARANG]],[1]!KINONF15[[KDBRG]:[HRG_JLMT_CTN+PPN]],12,0),0)</f>
        <v>0</v>
      </c>
      <c r="L462">
        <f>IFERROR(VLOOKUP(Fix_Mapping[[#This Row],[KODE BARANG]],[1]!KINONF15[[KDBRG]:[HRG_JLMT_CTN+PPN]],13,0),0)</f>
        <v>0</v>
      </c>
      <c r="M462">
        <f>IFERROR(VLOOKUP(Fix_Mapping[[#This Row],[KODE BARANG]],[1]!KINONF15[[KDBRG]:[HRG_JLMT_CTN+PPN]],14,0),0)</f>
        <v>0</v>
      </c>
      <c r="N462">
        <f>IFERROR(VLOOKUP(Fix_Mapping[[#This Row],[KODE BARANG]],[1]!KINONF15[[KDBRG]:[HRG_JLMT_CTN+PPN]],15,0),0)</f>
        <v>0</v>
      </c>
      <c r="O462">
        <f>IFERROR(VLOOKUP(Fix_Mapping[[#This Row],[KODE BARANG]],[1]!KINONF15[[KDBRG]:[HRG_JLMT_CTN+PPN]],16,0),0)</f>
        <v>0</v>
      </c>
      <c r="P462">
        <f>IFERROR(VLOOKUP(Fix_Mapping[[#This Row],[KODE BARANG]],[1]!KINONF15[[KDBRG]:[HRG_JLMT_CTN+PPN]],17,0),0)</f>
        <v>0</v>
      </c>
      <c r="Q462">
        <f>IFERROR(VLOOKUP(Fix_Mapping[[#This Row],[KODE BARANG]],[1]!KINONF15[[KDBRG]:[HRG_JLMT_CTN+PPN]],18,0),0)</f>
        <v>0</v>
      </c>
      <c r="R462" t="s">
        <v>2555</v>
      </c>
      <c r="S462" t="s">
        <v>594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1883</v>
      </c>
      <c r="B463" t="s">
        <v>1884</v>
      </c>
      <c r="C463">
        <v>36</v>
      </c>
      <c r="D463">
        <f>IFERROR(VLOOKUP(Fix_Mapping[[#This Row],[KODE BARANG]],[1]!KINONF15[[KDBRG]:[HRG_JLMT_CTN+PPN]],5,0),0)</f>
        <v>0</v>
      </c>
      <c r="E463" t="s">
        <v>2252</v>
      </c>
      <c r="F463">
        <f>IFERROR(VLOOKUP(Fix_Mapping[[#This Row],[KODE BARANG]],[1]!KINONF15[[KDBRG]:[HRG_JLMT_CTN+PPN]],7,0),0)</f>
        <v>0</v>
      </c>
      <c r="G463">
        <f>IFERROR(VLOOKUP(Fix_Mapping[[#This Row],[KODE BARANG]],[1]!KINONF15[[KDBRG]:[HRG_JLMT_CTN+PPN]],8,0),0)</f>
        <v>0</v>
      </c>
      <c r="H463">
        <f>IFERROR(VLOOKUP(Fix_Mapping[[#This Row],[KODE BARANG]],[1]!KINONF15[[KDBRG]:[HRG_JLMT_CTN+PPN]],9,0),0)</f>
        <v>0</v>
      </c>
      <c r="I463">
        <f>IFERROR(VLOOKUP(Fix_Mapping[[#This Row],[KODE BARANG]],[1]!KINONF15[[KDBRG]:[HRG_JLMT_CTN+PPN]],10,0),0)</f>
        <v>0</v>
      </c>
      <c r="J463">
        <f>IFERROR(VLOOKUP(Fix_Mapping[[#This Row],[KODE BARANG]],[1]!KINONF15[[KDBRG]:[HRG_JLMT_CTN+PPN]],11,0),0)</f>
        <v>0</v>
      </c>
      <c r="K463">
        <f>IFERROR(VLOOKUP(Fix_Mapping[[#This Row],[KODE BARANG]],[1]!KINONF15[[KDBRG]:[HRG_JLMT_CTN+PPN]],12,0),0)</f>
        <v>0</v>
      </c>
      <c r="L463">
        <f>IFERROR(VLOOKUP(Fix_Mapping[[#This Row],[KODE BARANG]],[1]!KINONF15[[KDBRG]:[HRG_JLMT_CTN+PPN]],13,0),0)</f>
        <v>0</v>
      </c>
      <c r="M463">
        <f>IFERROR(VLOOKUP(Fix_Mapping[[#This Row],[KODE BARANG]],[1]!KINONF15[[KDBRG]:[HRG_JLMT_CTN+PPN]],14,0),0)</f>
        <v>0</v>
      </c>
      <c r="N463">
        <f>IFERROR(VLOOKUP(Fix_Mapping[[#This Row],[KODE BARANG]],[1]!KINONF15[[KDBRG]:[HRG_JLMT_CTN+PPN]],15,0),0)</f>
        <v>0</v>
      </c>
      <c r="O463">
        <f>IFERROR(VLOOKUP(Fix_Mapping[[#This Row],[KODE BARANG]],[1]!KINONF15[[KDBRG]:[HRG_JLMT_CTN+PPN]],16,0),0)</f>
        <v>0</v>
      </c>
      <c r="P463">
        <f>IFERROR(VLOOKUP(Fix_Mapping[[#This Row],[KODE BARANG]],[1]!KINONF15[[KDBRG]:[HRG_JLMT_CTN+PPN]],17,0),0)</f>
        <v>0</v>
      </c>
      <c r="Q463">
        <f>IFERROR(VLOOKUP(Fix_Mapping[[#This Row],[KODE BARANG]],[1]!KINONF15[[KDBRG]:[HRG_JLMT_CTN+PPN]],18,0),0)</f>
        <v>0</v>
      </c>
      <c r="R463" t="s">
        <v>2555</v>
      </c>
      <c r="S463" t="s">
        <v>595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1885</v>
      </c>
      <c r="B464" t="s">
        <v>1886</v>
      </c>
      <c r="C464">
        <v>72</v>
      </c>
      <c r="D464">
        <f>IFERROR(VLOOKUP(Fix_Mapping[[#This Row],[KODE BARANG]],[1]!KINONF15[[KDBRG]:[HRG_JLMT_CTN+PPN]],5,0),0)</f>
        <v>0</v>
      </c>
      <c r="E464" t="s">
        <v>2252</v>
      </c>
      <c r="F464">
        <f>IFERROR(VLOOKUP(Fix_Mapping[[#This Row],[KODE BARANG]],[1]!KINONF15[[KDBRG]:[HRG_JLMT_CTN+PPN]],7,0),0)</f>
        <v>0</v>
      </c>
      <c r="G464">
        <f>IFERROR(VLOOKUP(Fix_Mapping[[#This Row],[KODE BARANG]],[1]!KINONF15[[KDBRG]:[HRG_JLMT_CTN+PPN]],8,0),0)</f>
        <v>0</v>
      </c>
      <c r="H464">
        <f>IFERROR(VLOOKUP(Fix_Mapping[[#This Row],[KODE BARANG]],[1]!KINONF15[[KDBRG]:[HRG_JLMT_CTN+PPN]],9,0),0)</f>
        <v>0</v>
      </c>
      <c r="I464">
        <f>IFERROR(VLOOKUP(Fix_Mapping[[#This Row],[KODE BARANG]],[1]!KINONF15[[KDBRG]:[HRG_JLMT_CTN+PPN]],10,0),0)</f>
        <v>0</v>
      </c>
      <c r="J464">
        <f>IFERROR(VLOOKUP(Fix_Mapping[[#This Row],[KODE BARANG]],[1]!KINONF15[[KDBRG]:[HRG_JLMT_CTN+PPN]],11,0),0)</f>
        <v>0</v>
      </c>
      <c r="K464">
        <f>IFERROR(VLOOKUP(Fix_Mapping[[#This Row],[KODE BARANG]],[1]!KINONF15[[KDBRG]:[HRG_JLMT_CTN+PPN]],12,0),0)</f>
        <v>0</v>
      </c>
      <c r="L464">
        <f>IFERROR(VLOOKUP(Fix_Mapping[[#This Row],[KODE BARANG]],[1]!KINONF15[[KDBRG]:[HRG_JLMT_CTN+PPN]],13,0),0)</f>
        <v>0</v>
      </c>
      <c r="M464">
        <f>IFERROR(VLOOKUP(Fix_Mapping[[#This Row],[KODE BARANG]],[1]!KINONF15[[KDBRG]:[HRG_JLMT_CTN+PPN]],14,0),0)</f>
        <v>0</v>
      </c>
      <c r="N464">
        <f>IFERROR(VLOOKUP(Fix_Mapping[[#This Row],[KODE BARANG]],[1]!KINONF15[[KDBRG]:[HRG_JLMT_CTN+PPN]],15,0),0)</f>
        <v>0</v>
      </c>
      <c r="O464">
        <f>IFERROR(VLOOKUP(Fix_Mapping[[#This Row],[KODE BARANG]],[1]!KINONF15[[KDBRG]:[HRG_JLMT_CTN+PPN]],16,0),0)</f>
        <v>0</v>
      </c>
      <c r="P464">
        <f>IFERROR(VLOOKUP(Fix_Mapping[[#This Row],[KODE BARANG]],[1]!KINONF15[[KDBRG]:[HRG_JLMT_CTN+PPN]],17,0),0)</f>
        <v>0</v>
      </c>
      <c r="Q464">
        <f>IFERROR(VLOOKUP(Fix_Mapping[[#This Row],[KODE BARANG]],[1]!KINONF15[[KDBRG]:[HRG_JLMT_CTN+PPN]],18,0),0)</f>
        <v>0</v>
      </c>
      <c r="R464" t="s">
        <v>2555</v>
      </c>
      <c r="S464" t="s">
        <v>590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1887</v>
      </c>
      <c r="B465" t="s">
        <v>1888</v>
      </c>
      <c r="C465">
        <v>36</v>
      </c>
      <c r="D465">
        <f>IFERROR(VLOOKUP(Fix_Mapping[[#This Row],[KODE BARANG]],[1]!KINONF15[[KDBRG]:[HRG_JLMT_CTN+PPN]],5,0),0)</f>
        <v>0</v>
      </c>
      <c r="E465" t="s">
        <v>2252</v>
      </c>
      <c r="F465">
        <f>IFERROR(VLOOKUP(Fix_Mapping[[#This Row],[KODE BARANG]],[1]!KINONF15[[KDBRG]:[HRG_JLMT_CTN+PPN]],7,0),0)</f>
        <v>0</v>
      </c>
      <c r="G465">
        <f>IFERROR(VLOOKUP(Fix_Mapping[[#This Row],[KODE BARANG]],[1]!KINONF15[[KDBRG]:[HRG_JLMT_CTN+PPN]],8,0),0)</f>
        <v>0</v>
      </c>
      <c r="H465">
        <f>IFERROR(VLOOKUP(Fix_Mapping[[#This Row],[KODE BARANG]],[1]!KINONF15[[KDBRG]:[HRG_JLMT_CTN+PPN]],9,0),0)</f>
        <v>0</v>
      </c>
      <c r="I465">
        <f>IFERROR(VLOOKUP(Fix_Mapping[[#This Row],[KODE BARANG]],[1]!KINONF15[[KDBRG]:[HRG_JLMT_CTN+PPN]],10,0),0)</f>
        <v>0</v>
      </c>
      <c r="J465">
        <f>IFERROR(VLOOKUP(Fix_Mapping[[#This Row],[KODE BARANG]],[1]!KINONF15[[KDBRG]:[HRG_JLMT_CTN+PPN]],11,0),0)</f>
        <v>0</v>
      </c>
      <c r="K465">
        <f>IFERROR(VLOOKUP(Fix_Mapping[[#This Row],[KODE BARANG]],[1]!KINONF15[[KDBRG]:[HRG_JLMT_CTN+PPN]],12,0),0)</f>
        <v>0</v>
      </c>
      <c r="L465">
        <f>IFERROR(VLOOKUP(Fix_Mapping[[#This Row],[KODE BARANG]],[1]!KINONF15[[KDBRG]:[HRG_JLMT_CTN+PPN]],13,0),0)</f>
        <v>0</v>
      </c>
      <c r="M465">
        <f>IFERROR(VLOOKUP(Fix_Mapping[[#This Row],[KODE BARANG]],[1]!KINONF15[[KDBRG]:[HRG_JLMT_CTN+PPN]],14,0),0)</f>
        <v>0</v>
      </c>
      <c r="N465">
        <f>IFERROR(VLOOKUP(Fix_Mapping[[#This Row],[KODE BARANG]],[1]!KINONF15[[KDBRG]:[HRG_JLMT_CTN+PPN]],15,0),0)</f>
        <v>0</v>
      </c>
      <c r="O465">
        <f>IFERROR(VLOOKUP(Fix_Mapping[[#This Row],[KODE BARANG]],[1]!KINONF15[[KDBRG]:[HRG_JLMT_CTN+PPN]],16,0),0)</f>
        <v>0</v>
      </c>
      <c r="P465">
        <f>IFERROR(VLOOKUP(Fix_Mapping[[#This Row],[KODE BARANG]],[1]!KINONF15[[KDBRG]:[HRG_JLMT_CTN+PPN]],17,0),0)</f>
        <v>0</v>
      </c>
      <c r="Q465">
        <f>IFERROR(VLOOKUP(Fix_Mapping[[#This Row],[KODE BARANG]],[1]!KINONF15[[KDBRG]:[HRG_JLMT_CTN+PPN]],18,0),0)</f>
        <v>0</v>
      </c>
      <c r="R465" t="s">
        <v>2555</v>
      </c>
      <c r="S465" t="s">
        <v>591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1889</v>
      </c>
      <c r="B466" t="s">
        <v>1890</v>
      </c>
      <c r="C466">
        <v>36</v>
      </c>
      <c r="D466">
        <f>IFERROR(VLOOKUP(Fix_Mapping[[#This Row],[KODE BARANG]],[1]!KINONF15[[KDBRG]:[HRG_JLMT_CTN+PPN]],5,0),0)</f>
        <v>0</v>
      </c>
      <c r="E466" t="s">
        <v>2252</v>
      </c>
      <c r="F466">
        <f>IFERROR(VLOOKUP(Fix_Mapping[[#This Row],[KODE BARANG]],[1]!KINONF15[[KDBRG]:[HRG_JLMT_CTN+PPN]],7,0),0)</f>
        <v>0</v>
      </c>
      <c r="G466">
        <f>IFERROR(VLOOKUP(Fix_Mapping[[#This Row],[KODE BARANG]],[1]!KINONF15[[KDBRG]:[HRG_JLMT_CTN+PPN]],8,0),0)</f>
        <v>0</v>
      </c>
      <c r="H466">
        <f>IFERROR(VLOOKUP(Fix_Mapping[[#This Row],[KODE BARANG]],[1]!KINONF15[[KDBRG]:[HRG_JLMT_CTN+PPN]],9,0),0)</f>
        <v>0</v>
      </c>
      <c r="I466">
        <f>IFERROR(VLOOKUP(Fix_Mapping[[#This Row],[KODE BARANG]],[1]!KINONF15[[KDBRG]:[HRG_JLMT_CTN+PPN]],10,0),0)</f>
        <v>0</v>
      </c>
      <c r="J466">
        <f>IFERROR(VLOOKUP(Fix_Mapping[[#This Row],[KODE BARANG]],[1]!KINONF15[[KDBRG]:[HRG_JLMT_CTN+PPN]],11,0),0)</f>
        <v>0</v>
      </c>
      <c r="K466">
        <f>IFERROR(VLOOKUP(Fix_Mapping[[#This Row],[KODE BARANG]],[1]!KINONF15[[KDBRG]:[HRG_JLMT_CTN+PPN]],12,0),0)</f>
        <v>0</v>
      </c>
      <c r="L466">
        <f>IFERROR(VLOOKUP(Fix_Mapping[[#This Row],[KODE BARANG]],[1]!KINONF15[[KDBRG]:[HRG_JLMT_CTN+PPN]],13,0),0)</f>
        <v>0</v>
      </c>
      <c r="M466">
        <f>IFERROR(VLOOKUP(Fix_Mapping[[#This Row],[KODE BARANG]],[1]!KINONF15[[KDBRG]:[HRG_JLMT_CTN+PPN]],14,0),0)</f>
        <v>0</v>
      </c>
      <c r="N466">
        <f>IFERROR(VLOOKUP(Fix_Mapping[[#This Row],[KODE BARANG]],[1]!KINONF15[[KDBRG]:[HRG_JLMT_CTN+PPN]],15,0),0)</f>
        <v>0</v>
      </c>
      <c r="O466">
        <f>IFERROR(VLOOKUP(Fix_Mapping[[#This Row],[KODE BARANG]],[1]!KINONF15[[KDBRG]:[HRG_JLMT_CTN+PPN]],16,0),0)</f>
        <v>0</v>
      </c>
      <c r="P466">
        <f>IFERROR(VLOOKUP(Fix_Mapping[[#This Row],[KODE BARANG]],[1]!KINONF15[[KDBRG]:[HRG_JLMT_CTN+PPN]],17,0),0)</f>
        <v>0</v>
      </c>
      <c r="Q466">
        <f>IFERROR(VLOOKUP(Fix_Mapping[[#This Row],[KODE BARANG]],[1]!KINONF15[[KDBRG]:[HRG_JLMT_CTN+PPN]],18,0),0)</f>
        <v>0</v>
      </c>
      <c r="R466" t="s">
        <v>2555</v>
      </c>
      <c r="S466" t="s">
        <v>592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1891</v>
      </c>
      <c r="B467" t="s">
        <v>1892</v>
      </c>
      <c r="C467">
        <v>72</v>
      </c>
      <c r="D467">
        <f>IFERROR(VLOOKUP(Fix_Mapping[[#This Row],[KODE BARANG]],[1]!KINONF15[[KDBRG]:[HRG_JLMT_CTN+PPN]],5,0),0)</f>
        <v>0</v>
      </c>
      <c r="E467" t="s">
        <v>2254</v>
      </c>
      <c r="F467">
        <f>IFERROR(VLOOKUP(Fix_Mapping[[#This Row],[KODE BARANG]],[1]!KINONF15[[KDBRG]:[HRG_JLMT_CTN+PPN]],7,0),0)</f>
        <v>0</v>
      </c>
      <c r="G467">
        <f>IFERROR(VLOOKUP(Fix_Mapping[[#This Row],[KODE BARANG]],[1]!KINONF15[[KDBRG]:[HRG_JLMT_CTN+PPN]],8,0),0)</f>
        <v>0</v>
      </c>
      <c r="H467">
        <f>IFERROR(VLOOKUP(Fix_Mapping[[#This Row],[KODE BARANG]],[1]!KINONF15[[KDBRG]:[HRG_JLMT_CTN+PPN]],9,0),0)</f>
        <v>0</v>
      </c>
      <c r="I467">
        <f>IFERROR(VLOOKUP(Fix_Mapping[[#This Row],[KODE BARANG]],[1]!KINONF15[[KDBRG]:[HRG_JLMT_CTN+PPN]],10,0),0)</f>
        <v>0</v>
      </c>
      <c r="J467">
        <f>IFERROR(VLOOKUP(Fix_Mapping[[#This Row],[KODE BARANG]],[1]!KINONF15[[KDBRG]:[HRG_JLMT_CTN+PPN]],11,0),0)</f>
        <v>0</v>
      </c>
      <c r="K467">
        <f>IFERROR(VLOOKUP(Fix_Mapping[[#This Row],[KODE BARANG]],[1]!KINONF15[[KDBRG]:[HRG_JLMT_CTN+PPN]],12,0),0)</f>
        <v>0</v>
      </c>
      <c r="L467">
        <f>IFERROR(VLOOKUP(Fix_Mapping[[#This Row],[KODE BARANG]],[1]!KINONF15[[KDBRG]:[HRG_JLMT_CTN+PPN]],13,0),0)</f>
        <v>0</v>
      </c>
      <c r="M467">
        <f>IFERROR(VLOOKUP(Fix_Mapping[[#This Row],[KODE BARANG]],[1]!KINONF15[[KDBRG]:[HRG_JLMT_CTN+PPN]],14,0),0)</f>
        <v>0</v>
      </c>
      <c r="N467">
        <f>IFERROR(VLOOKUP(Fix_Mapping[[#This Row],[KODE BARANG]],[1]!KINONF15[[KDBRG]:[HRG_JLMT_CTN+PPN]],15,0),0)</f>
        <v>0</v>
      </c>
      <c r="O467">
        <f>IFERROR(VLOOKUP(Fix_Mapping[[#This Row],[KODE BARANG]],[1]!KINONF15[[KDBRG]:[HRG_JLMT_CTN+PPN]],16,0),0)</f>
        <v>0</v>
      </c>
      <c r="P467">
        <f>IFERROR(VLOOKUP(Fix_Mapping[[#This Row],[KODE BARANG]],[1]!KINONF15[[KDBRG]:[HRG_JLMT_CTN+PPN]],17,0),0)</f>
        <v>0</v>
      </c>
      <c r="Q467">
        <f>IFERROR(VLOOKUP(Fix_Mapping[[#This Row],[KODE BARANG]],[1]!KINONF15[[KDBRG]:[HRG_JLMT_CTN+PPN]],18,0),0)</f>
        <v>0</v>
      </c>
      <c r="R467" t="s">
        <v>2555</v>
      </c>
      <c r="S467" t="s">
        <v>599</v>
      </c>
      <c r="T467">
        <v>0</v>
      </c>
      <c r="U467">
        <v>0</v>
      </c>
      <c r="V467">
        <v>0</v>
      </c>
      <c r="W467">
        <v>0</v>
      </c>
    </row>
    <row r="468" spans="1:23">
      <c r="A468" t="s">
        <v>1893</v>
      </c>
      <c r="B468" t="s">
        <v>1894</v>
      </c>
      <c r="C468">
        <v>36</v>
      </c>
      <c r="D468">
        <f>IFERROR(VLOOKUP(Fix_Mapping[[#This Row],[KODE BARANG]],[1]!KINONF15[[KDBRG]:[HRG_JLMT_CTN+PPN]],5,0),0)</f>
        <v>0</v>
      </c>
      <c r="E468" t="s">
        <v>2254</v>
      </c>
      <c r="F468">
        <f>IFERROR(VLOOKUP(Fix_Mapping[[#This Row],[KODE BARANG]],[1]!KINONF15[[KDBRG]:[HRG_JLMT_CTN+PPN]],7,0),0)</f>
        <v>0</v>
      </c>
      <c r="G468">
        <f>IFERROR(VLOOKUP(Fix_Mapping[[#This Row],[KODE BARANG]],[1]!KINONF15[[KDBRG]:[HRG_JLMT_CTN+PPN]],8,0),0)</f>
        <v>0</v>
      </c>
      <c r="H468">
        <f>IFERROR(VLOOKUP(Fix_Mapping[[#This Row],[KODE BARANG]],[1]!KINONF15[[KDBRG]:[HRG_JLMT_CTN+PPN]],9,0),0)</f>
        <v>0</v>
      </c>
      <c r="I468">
        <f>IFERROR(VLOOKUP(Fix_Mapping[[#This Row],[KODE BARANG]],[1]!KINONF15[[KDBRG]:[HRG_JLMT_CTN+PPN]],10,0),0)</f>
        <v>0</v>
      </c>
      <c r="J468">
        <f>IFERROR(VLOOKUP(Fix_Mapping[[#This Row],[KODE BARANG]],[1]!KINONF15[[KDBRG]:[HRG_JLMT_CTN+PPN]],11,0),0)</f>
        <v>0</v>
      </c>
      <c r="K468">
        <f>IFERROR(VLOOKUP(Fix_Mapping[[#This Row],[KODE BARANG]],[1]!KINONF15[[KDBRG]:[HRG_JLMT_CTN+PPN]],12,0),0)</f>
        <v>0</v>
      </c>
      <c r="L468">
        <f>IFERROR(VLOOKUP(Fix_Mapping[[#This Row],[KODE BARANG]],[1]!KINONF15[[KDBRG]:[HRG_JLMT_CTN+PPN]],13,0),0)</f>
        <v>0</v>
      </c>
      <c r="M468">
        <f>IFERROR(VLOOKUP(Fix_Mapping[[#This Row],[KODE BARANG]],[1]!KINONF15[[KDBRG]:[HRG_JLMT_CTN+PPN]],14,0),0)</f>
        <v>0</v>
      </c>
      <c r="N468">
        <f>IFERROR(VLOOKUP(Fix_Mapping[[#This Row],[KODE BARANG]],[1]!KINONF15[[KDBRG]:[HRG_JLMT_CTN+PPN]],15,0),0)</f>
        <v>0</v>
      </c>
      <c r="O468">
        <f>IFERROR(VLOOKUP(Fix_Mapping[[#This Row],[KODE BARANG]],[1]!KINONF15[[KDBRG]:[HRG_JLMT_CTN+PPN]],16,0),0)</f>
        <v>0</v>
      </c>
      <c r="P468">
        <f>IFERROR(VLOOKUP(Fix_Mapping[[#This Row],[KODE BARANG]],[1]!KINONF15[[KDBRG]:[HRG_JLMT_CTN+PPN]],17,0),0)</f>
        <v>0</v>
      </c>
      <c r="Q468">
        <f>IFERROR(VLOOKUP(Fix_Mapping[[#This Row],[KODE BARANG]],[1]!KINONF15[[KDBRG]:[HRG_JLMT_CTN+PPN]],18,0),0)</f>
        <v>0</v>
      </c>
      <c r="R468" t="s">
        <v>2555</v>
      </c>
      <c r="S468" t="s">
        <v>600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1895</v>
      </c>
      <c r="B469" t="s">
        <v>1896</v>
      </c>
      <c r="C469">
        <v>36</v>
      </c>
      <c r="D469">
        <f>IFERROR(VLOOKUP(Fix_Mapping[[#This Row],[KODE BARANG]],[1]!KINONF15[[KDBRG]:[HRG_JLMT_CTN+PPN]],5,0),0)</f>
        <v>0</v>
      </c>
      <c r="E469" t="s">
        <v>2254</v>
      </c>
      <c r="F469">
        <f>IFERROR(VLOOKUP(Fix_Mapping[[#This Row],[KODE BARANG]],[1]!KINONF15[[KDBRG]:[HRG_JLMT_CTN+PPN]],7,0),0)</f>
        <v>0</v>
      </c>
      <c r="G469">
        <f>IFERROR(VLOOKUP(Fix_Mapping[[#This Row],[KODE BARANG]],[1]!KINONF15[[KDBRG]:[HRG_JLMT_CTN+PPN]],8,0),0)</f>
        <v>0</v>
      </c>
      <c r="H469">
        <f>IFERROR(VLOOKUP(Fix_Mapping[[#This Row],[KODE BARANG]],[1]!KINONF15[[KDBRG]:[HRG_JLMT_CTN+PPN]],9,0),0)</f>
        <v>0</v>
      </c>
      <c r="I469">
        <f>IFERROR(VLOOKUP(Fix_Mapping[[#This Row],[KODE BARANG]],[1]!KINONF15[[KDBRG]:[HRG_JLMT_CTN+PPN]],10,0),0)</f>
        <v>0</v>
      </c>
      <c r="J469">
        <f>IFERROR(VLOOKUP(Fix_Mapping[[#This Row],[KODE BARANG]],[1]!KINONF15[[KDBRG]:[HRG_JLMT_CTN+PPN]],11,0),0)</f>
        <v>0</v>
      </c>
      <c r="K469">
        <f>IFERROR(VLOOKUP(Fix_Mapping[[#This Row],[KODE BARANG]],[1]!KINONF15[[KDBRG]:[HRG_JLMT_CTN+PPN]],12,0),0)</f>
        <v>0</v>
      </c>
      <c r="L469">
        <f>IFERROR(VLOOKUP(Fix_Mapping[[#This Row],[KODE BARANG]],[1]!KINONF15[[KDBRG]:[HRG_JLMT_CTN+PPN]],13,0),0)</f>
        <v>0</v>
      </c>
      <c r="M469">
        <f>IFERROR(VLOOKUP(Fix_Mapping[[#This Row],[KODE BARANG]],[1]!KINONF15[[KDBRG]:[HRG_JLMT_CTN+PPN]],14,0),0)</f>
        <v>0</v>
      </c>
      <c r="N469">
        <f>IFERROR(VLOOKUP(Fix_Mapping[[#This Row],[KODE BARANG]],[1]!KINONF15[[KDBRG]:[HRG_JLMT_CTN+PPN]],15,0),0)</f>
        <v>0</v>
      </c>
      <c r="O469">
        <f>IFERROR(VLOOKUP(Fix_Mapping[[#This Row],[KODE BARANG]],[1]!KINONF15[[KDBRG]:[HRG_JLMT_CTN+PPN]],16,0),0)</f>
        <v>0</v>
      </c>
      <c r="P469">
        <f>IFERROR(VLOOKUP(Fix_Mapping[[#This Row],[KODE BARANG]],[1]!KINONF15[[KDBRG]:[HRG_JLMT_CTN+PPN]],17,0),0)</f>
        <v>0</v>
      </c>
      <c r="Q469">
        <f>IFERROR(VLOOKUP(Fix_Mapping[[#This Row],[KODE BARANG]],[1]!KINONF15[[KDBRG]:[HRG_JLMT_CTN+PPN]],18,0),0)</f>
        <v>0</v>
      </c>
      <c r="R469" t="s">
        <v>2555</v>
      </c>
      <c r="S469" t="s">
        <v>601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1897</v>
      </c>
      <c r="B470" t="s">
        <v>1898</v>
      </c>
      <c r="C470">
        <v>72</v>
      </c>
      <c r="D470">
        <f>IFERROR(VLOOKUP(Fix_Mapping[[#This Row],[KODE BARANG]],[1]!KINONF15[[KDBRG]:[HRG_JLMT_CTN+PPN]],5,0),0)</f>
        <v>0</v>
      </c>
      <c r="E470" t="s">
        <v>2246</v>
      </c>
      <c r="F470">
        <f>IFERROR(VLOOKUP(Fix_Mapping[[#This Row],[KODE BARANG]],[1]!KINONF15[[KDBRG]:[HRG_JLMT_CTN+PPN]],7,0),0)</f>
        <v>0</v>
      </c>
      <c r="G470">
        <f>IFERROR(VLOOKUP(Fix_Mapping[[#This Row],[KODE BARANG]],[1]!KINONF15[[KDBRG]:[HRG_JLMT_CTN+PPN]],8,0),0)</f>
        <v>0</v>
      </c>
      <c r="H470">
        <f>IFERROR(VLOOKUP(Fix_Mapping[[#This Row],[KODE BARANG]],[1]!KINONF15[[KDBRG]:[HRG_JLMT_CTN+PPN]],9,0),0)</f>
        <v>0</v>
      </c>
      <c r="I470">
        <f>IFERROR(VLOOKUP(Fix_Mapping[[#This Row],[KODE BARANG]],[1]!KINONF15[[KDBRG]:[HRG_JLMT_CTN+PPN]],10,0),0)</f>
        <v>0</v>
      </c>
      <c r="J470">
        <f>IFERROR(VLOOKUP(Fix_Mapping[[#This Row],[KODE BARANG]],[1]!KINONF15[[KDBRG]:[HRG_JLMT_CTN+PPN]],11,0),0)</f>
        <v>0</v>
      </c>
      <c r="K470">
        <f>IFERROR(VLOOKUP(Fix_Mapping[[#This Row],[KODE BARANG]],[1]!KINONF15[[KDBRG]:[HRG_JLMT_CTN+PPN]],12,0),0)</f>
        <v>0</v>
      </c>
      <c r="L470">
        <f>IFERROR(VLOOKUP(Fix_Mapping[[#This Row],[KODE BARANG]],[1]!KINONF15[[KDBRG]:[HRG_JLMT_CTN+PPN]],13,0),0)</f>
        <v>0</v>
      </c>
      <c r="M470">
        <f>IFERROR(VLOOKUP(Fix_Mapping[[#This Row],[KODE BARANG]],[1]!KINONF15[[KDBRG]:[HRG_JLMT_CTN+PPN]],14,0),0)</f>
        <v>0</v>
      </c>
      <c r="N470">
        <f>IFERROR(VLOOKUP(Fix_Mapping[[#This Row],[KODE BARANG]],[1]!KINONF15[[KDBRG]:[HRG_JLMT_CTN+PPN]],15,0),0)</f>
        <v>0</v>
      </c>
      <c r="O470">
        <f>IFERROR(VLOOKUP(Fix_Mapping[[#This Row],[KODE BARANG]],[1]!KINONF15[[KDBRG]:[HRG_JLMT_CTN+PPN]],16,0),0)</f>
        <v>0</v>
      </c>
      <c r="P470">
        <f>IFERROR(VLOOKUP(Fix_Mapping[[#This Row],[KODE BARANG]],[1]!KINONF15[[KDBRG]:[HRG_JLMT_CTN+PPN]],17,0),0)</f>
        <v>0</v>
      </c>
      <c r="Q470">
        <f>IFERROR(VLOOKUP(Fix_Mapping[[#This Row],[KODE BARANG]],[1]!KINONF15[[KDBRG]:[HRG_JLMT_CTN+PPN]],18,0),0)</f>
        <v>0</v>
      </c>
      <c r="R470" t="s">
        <v>2555</v>
      </c>
      <c r="S470" t="s">
        <v>602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1899</v>
      </c>
      <c r="B471" t="s">
        <v>1900</v>
      </c>
      <c r="C471">
        <v>36</v>
      </c>
      <c r="D471">
        <f>IFERROR(VLOOKUP(Fix_Mapping[[#This Row],[KODE BARANG]],[1]!KINONF15[[KDBRG]:[HRG_JLMT_CTN+PPN]],5,0),0)</f>
        <v>0</v>
      </c>
      <c r="E471" t="s">
        <v>2246</v>
      </c>
      <c r="F471">
        <f>IFERROR(VLOOKUP(Fix_Mapping[[#This Row],[KODE BARANG]],[1]!KINONF15[[KDBRG]:[HRG_JLMT_CTN+PPN]],7,0),0)</f>
        <v>0</v>
      </c>
      <c r="G471">
        <f>IFERROR(VLOOKUP(Fix_Mapping[[#This Row],[KODE BARANG]],[1]!KINONF15[[KDBRG]:[HRG_JLMT_CTN+PPN]],8,0),0)</f>
        <v>0</v>
      </c>
      <c r="H471">
        <f>IFERROR(VLOOKUP(Fix_Mapping[[#This Row],[KODE BARANG]],[1]!KINONF15[[KDBRG]:[HRG_JLMT_CTN+PPN]],9,0),0)</f>
        <v>0</v>
      </c>
      <c r="I471">
        <f>IFERROR(VLOOKUP(Fix_Mapping[[#This Row],[KODE BARANG]],[1]!KINONF15[[KDBRG]:[HRG_JLMT_CTN+PPN]],10,0),0)</f>
        <v>0</v>
      </c>
      <c r="J471">
        <f>IFERROR(VLOOKUP(Fix_Mapping[[#This Row],[KODE BARANG]],[1]!KINONF15[[KDBRG]:[HRG_JLMT_CTN+PPN]],11,0),0)</f>
        <v>0</v>
      </c>
      <c r="K471">
        <f>IFERROR(VLOOKUP(Fix_Mapping[[#This Row],[KODE BARANG]],[1]!KINONF15[[KDBRG]:[HRG_JLMT_CTN+PPN]],12,0),0)</f>
        <v>0</v>
      </c>
      <c r="L471">
        <f>IFERROR(VLOOKUP(Fix_Mapping[[#This Row],[KODE BARANG]],[1]!KINONF15[[KDBRG]:[HRG_JLMT_CTN+PPN]],13,0),0)</f>
        <v>0</v>
      </c>
      <c r="M471">
        <f>IFERROR(VLOOKUP(Fix_Mapping[[#This Row],[KODE BARANG]],[1]!KINONF15[[KDBRG]:[HRG_JLMT_CTN+PPN]],14,0),0)</f>
        <v>0</v>
      </c>
      <c r="N471">
        <f>IFERROR(VLOOKUP(Fix_Mapping[[#This Row],[KODE BARANG]],[1]!KINONF15[[KDBRG]:[HRG_JLMT_CTN+PPN]],15,0),0)</f>
        <v>0</v>
      </c>
      <c r="O471">
        <f>IFERROR(VLOOKUP(Fix_Mapping[[#This Row],[KODE BARANG]],[1]!KINONF15[[KDBRG]:[HRG_JLMT_CTN+PPN]],16,0),0)</f>
        <v>0</v>
      </c>
      <c r="P471">
        <f>IFERROR(VLOOKUP(Fix_Mapping[[#This Row],[KODE BARANG]],[1]!KINONF15[[KDBRG]:[HRG_JLMT_CTN+PPN]],17,0),0)</f>
        <v>0</v>
      </c>
      <c r="Q471">
        <f>IFERROR(VLOOKUP(Fix_Mapping[[#This Row],[KODE BARANG]],[1]!KINONF15[[KDBRG]:[HRG_JLMT_CTN+PPN]],18,0),0)</f>
        <v>0</v>
      </c>
      <c r="R471" t="s">
        <v>2555</v>
      </c>
      <c r="S471" t="s">
        <v>603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1901</v>
      </c>
      <c r="B472" t="s">
        <v>1902</v>
      </c>
      <c r="C472">
        <v>36</v>
      </c>
      <c r="D472">
        <f>IFERROR(VLOOKUP(Fix_Mapping[[#This Row],[KODE BARANG]],[1]!KINONF15[[KDBRG]:[HRG_JLMT_CTN+PPN]],5,0),0)</f>
        <v>0</v>
      </c>
      <c r="E472" t="s">
        <v>2246</v>
      </c>
      <c r="F472">
        <f>IFERROR(VLOOKUP(Fix_Mapping[[#This Row],[KODE BARANG]],[1]!KINONF15[[KDBRG]:[HRG_JLMT_CTN+PPN]],7,0),0)</f>
        <v>0</v>
      </c>
      <c r="G472">
        <f>IFERROR(VLOOKUP(Fix_Mapping[[#This Row],[KODE BARANG]],[1]!KINONF15[[KDBRG]:[HRG_JLMT_CTN+PPN]],8,0),0)</f>
        <v>0</v>
      </c>
      <c r="H472">
        <f>IFERROR(VLOOKUP(Fix_Mapping[[#This Row],[KODE BARANG]],[1]!KINONF15[[KDBRG]:[HRG_JLMT_CTN+PPN]],9,0),0)</f>
        <v>0</v>
      </c>
      <c r="I472">
        <f>IFERROR(VLOOKUP(Fix_Mapping[[#This Row],[KODE BARANG]],[1]!KINONF15[[KDBRG]:[HRG_JLMT_CTN+PPN]],10,0),0)</f>
        <v>0</v>
      </c>
      <c r="J472">
        <f>IFERROR(VLOOKUP(Fix_Mapping[[#This Row],[KODE BARANG]],[1]!KINONF15[[KDBRG]:[HRG_JLMT_CTN+PPN]],11,0),0)</f>
        <v>0</v>
      </c>
      <c r="K472">
        <f>IFERROR(VLOOKUP(Fix_Mapping[[#This Row],[KODE BARANG]],[1]!KINONF15[[KDBRG]:[HRG_JLMT_CTN+PPN]],12,0),0)</f>
        <v>0</v>
      </c>
      <c r="L472">
        <f>IFERROR(VLOOKUP(Fix_Mapping[[#This Row],[KODE BARANG]],[1]!KINONF15[[KDBRG]:[HRG_JLMT_CTN+PPN]],13,0),0)</f>
        <v>0</v>
      </c>
      <c r="M472">
        <f>IFERROR(VLOOKUP(Fix_Mapping[[#This Row],[KODE BARANG]],[1]!KINONF15[[KDBRG]:[HRG_JLMT_CTN+PPN]],14,0),0)</f>
        <v>0</v>
      </c>
      <c r="N472">
        <f>IFERROR(VLOOKUP(Fix_Mapping[[#This Row],[KODE BARANG]],[1]!KINONF15[[KDBRG]:[HRG_JLMT_CTN+PPN]],15,0),0)</f>
        <v>0</v>
      </c>
      <c r="O472">
        <f>IFERROR(VLOOKUP(Fix_Mapping[[#This Row],[KODE BARANG]],[1]!KINONF15[[KDBRG]:[HRG_JLMT_CTN+PPN]],16,0),0)</f>
        <v>0</v>
      </c>
      <c r="P472">
        <f>IFERROR(VLOOKUP(Fix_Mapping[[#This Row],[KODE BARANG]],[1]!KINONF15[[KDBRG]:[HRG_JLMT_CTN+PPN]],17,0),0)</f>
        <v>0</v>
      </c>
      <c r="Q472">
        <f>IFERROR(VLOOKUP(Fix_Mapping[[#This Row],[KODE BARANG]],[1]!KINONF15[[KDBRG]:[HRG_JLMT_CTN+PPN]],18,0),0)</f>
        <v>0</v>
      </c>
      <c r="R472" t="s">
        <v>2555</v>
      </c>
      <c r="S472" t="s">
        <v>610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1903</v>
      </c>
      <c r="B473" t="s">
        <v>1904</v>
      </c>
      <c r="C473">
        <v>72</v>
      </c>
      <c r="D473">
        <f>IFERROR(VLOOKUP(Fix_Mapping[[#This Row],[KODE BARANG]],[1]!KINONF15[[KDBRG]:[HRG_JLMT_CTN+PPN]],5,0),0)</f>
        <v>0</v>
      </c>
      <c r="E473" t="s">
        <v>2246</v>
      </c>
      <c r="F473">
        <f>IFERROR(VLOOKUP(Fix_Mapping[[#This Row],[KODE BARANG]],[1]!KINONF15[[KDBRG]:[HRG_JLMT_CTN+PPN]],7,0),0)</f>
        <v>0</v>
      </c>
      <c r="G473">
        <f>IFERROR(VLOOKUP(Fix_Mapping[[#This Row],[KODE BARANG]],[1]!KINONF15[[KDBRG]:[HRG_JLMT_CTN+PPN]],8,0),0)</f>
        <v>0</v>
      </c>
      <c r="H473">
        <f>IFERROR(VLOOKUP(Fix_Mapping[[#This Row],[KODE BARANG]],[1]!KINONF15[[KDBRG]:[HRG_JLMT_CTN+PPN]],9,0),0)</f>
        <v>0</v>
      </c>
      <c r="I473">
        <f>IFERROR(VLOOKUP(Fix_Mapping[[#This Row],[KODE BARANG]],[1]!KINONF15[[KDBRG]:[HRG_JLMT_CTN+PPN]],10,0),0)</f>
        <v>0</v>
      </c>
      <c r="J473">
        <f>IFERROR(VLOOKUP(Fix_Mapping[[#This Row],[KODE BARANG]],[1]!KINONF15[[KDBRG]:[HRG_JLMT_CTN+PPN]],11,0),0)</f>
        <v>0</v>
      </c>
      <c r="K473">
        <f>IFERROR(VLOOKUP(Fix_Mapping[[#This Row],[KODE BARANG]],[1]!KINONF15[[KDBRG]:[HRG_JLMT_CTN+PPN]],12,0),0)</f>
        <v>0</v>
      </c>
      <c r="L473">
        <f>IFERROR(VLOOKUP(Fix_Mapping[[#This Row],[KODE BARANG]],[1]!KINONF15[[KDBRG]:[HRG_JLMT_CTN+PPN]],13,0),0)</f>
        <v>0</v>
      </c>
      <c r="M473">
        <f>IFERROR(VLOOKUP(Fix_Mapping[[#This Row],[KODE BARANG]],[1]!KINONF15[[KDBRG]:[HRG_JLMT_CTN+PPN]],14,0),0)</f>
        <v>0</v>
      </c>
      <c r="N473">
        <f>IFERROR(VLOOKUP(Fix_Mapping[[#This Row],[KODE BARANG]],[1]!KINONF15[[KDBRG]:[HRG_JLMT_CTN+PPN]],15,0),0)</f>
        <v>0</v>
      </c>
      <c r="O473">
        <f>IFERROR(VLOOKUP(Fix_Mapping[[#This Row],[KODE BARANG]],[1]!KINONF15[[KDBRG]:[HRG_JLMT_CTN+PPN]],16,0),0)</f>
        <v>0</v>
      </c>
      <c r="P473">
        <f>IFERROR(VLOOKUP(Fix_Mapping[[#This Row],[KODE BARANG]],[1]!KINONF15[[KDBRG]:[HRG_JLMT_CTN+PPN]],17,0),0)</f>
        <v>0</v>
      </c>
      <c r="Q473">
        <f>IFERROR(VLOOKUP(Fix_Mapping[[#This Row],[KODE BARANG]],[1]!KINONF15[[KDBRG]:[HRG_JLMT_CTN+PPN]],18,0),0)</f>
        <v>0</v>
      </c>
      <c r="R473" t="s">
        <v>2555</v>
      </c>
      <c r="S473" t="s">
        <v>604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1905</v>
      </c>
      <c r="B474" t="s">
        <v>1906</v>
      </c>
      <c r="C474">
        <v>36</v>
      </c>
      <c r="D474">
        <f>IFERROR(VLOOKUP(Fix_Mapping[[#This Row],[KODE BARANG]],[1]!KINONF15[[KDBRG]:[HRG_JLMT_CTN+PPN]],5,0),0)</f>
        <v>0</v>
      </c>
      <c r="E474" t="s">
        <v>2246</v>
      </c>
      <c r="F474">
        <f>IFERROR(VLOOKUP(Fix_Mapping[[#This Row],[KODE BARANG]],[1]!KINONF15[[KDBRG]:[HRG_JLMT_CTN+PPN]],7,0),0)</f>
        <v>0</v>
      </c>
      <c r="G474">
        <f>IFERROR(VLOOKUP(Fix_Mapping[[#This Row],[KODE BARANG]],[1]!KINONF15[[KDBRG]:[HRG_JLMT_CTN+PPN]],8,0),0)</f>
        <v>0</v>
      </c>
      <c r="H474">
        <f>IFERROR(VLOOKUP(Fix_Mapping[[#This Row],[KODE BARANG]],[1]!KINONF15[[KDBRG]:[HRG_JLMT_CTN+PPN]],9,0),0)</f>
        <v>0</v>
      </c>
      <c r="I474">
        <f>IFERROR(VLOOKUP(Fix_Mapping[[#This Row],[KODE BARANG]],[1]!KINONF15[[KDBRG]:[HRG_JLMT_CTN+PPN]],10,0),0)</f>
        <v>0</v>
      </c>
      <c r="J474">
        <f>IFERROR(VLOOKUP(Fix_Mapping[[#This Row],[KODE BARANG]],[1]!KINONF15[[KDBRG]:[HRG_JLMT_CTN+PPN]],11,0),0)</f>
        <v>0</v>
      </c>
      <c r="K474">
        <f>IFERROR(VLOOKUP(Fix_Mapping[[#This Row],[KODE BARANG]],[1]!KINONF15[[KDBRG]:[HRG_JLMT_CTN+PPN]],12,0),0)</f>
        <v>0</v>
      </c>
      <c r="L474">
        <f>IFERROR(VLOOKUP(Fix_Mapping[[#This Row],[KODE BARANG]],[1]!KINONF15[[KDBRG]:[HRG_JLMT_CTN+PPN]],13,0),0)</f>
        <v>0</v>
      </c>
      <c r="M474">
        <f>IFERROR(VLOOKUP(Fix_Mapping[[#This Row],[KODE BARANG]],[1]!KINONF15[[KDBRG]:[HRG_JLMT_CTN+PPN]],14,0),0)</f>
        <v>0</v>
      </c>
      <c r="N474">
        <f>IFERROR(VLOOKUP(Fix_Mapping[[#This Row],[KODE BARANG]],[1]!KINONF15[[KDBRG]:[HRG_JLMT_CTN+PPN]],15,0),0)</f>
        <v>0</v>
      </c>
      <c r="O474">
        <f>IFERROR(VLOOKUP(Fix_Mapping[[#This Row],[KODE BARANG]],[1]!KINONF15[[KDBRG]:[HRG_JLMT_CTN+PPN]],16,0),0)</f>
        <v>0</v>
      </c>
      <c r="P474">
        <f>IFERROR(VLOOKUP(Fix_Mapping[[#This Row],[KODE BARANG]],[1]!KINONF15[[KDBRG]:[HRG_JLMT_CTN+PPN]],17,0),0)</f>
        <v>0</v>
      </c>
      <c r="Q474">
        <f>IFERROR(VLOOKUP(Fix_Mapping[[#This Row],[KODE BARANG]],[1]!KINONF15[[KDBRG]:[HRG_JLMT_CTN+PPN]],18,0),0)</f>
        <v>0</v>
      </c>
      <c r="R474" t="s">
        <v>2555</v>
      </c>
      <c r="S474" t="s">
        <v>605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1907</v>
      </c>
      <c r="B475" t="s">
        <v>1908</v>
      </c>
      <c r="C475">
        <v>72</v>
      </c>
      <c r="D475">
        <f>IFERROR(VLOOKUP(Fix_Mapping[[#This Row],[KODE BARANG]],[1]!KINONF15[[KDBRG]:[HRG_JLMT_CTN+PPN]],5,0),0)</f>
        <v>0</v>
      </c>
      <c r="E475" t="s">
        <v>2246</v>
      </c>
      <c r="F475">
        <f>IFERROR(VLOOKUP(Fix_Mapping[[#This Row],[KODE BARANG]],[1]!KINONF15[[KDBRG]:[HRG_JLMT_CTN+PPN]],7,0),0)</f>
        <v>0</v>
      </c>
      <c r="G475">
        <f>IFERROR(VLOOKUP(Fix_Mapping[[#This Row],[KODE BARANG]],[1]!KINONF15[[KDBRG]:[HRG_JLMT_CTN+PPN]],8,0),0)</f>
        <v>0</v>
      </c>
      <c r="H475">
        <f>IFERROR(VLOOKUP(Fix_Mapping[[#This Row],[KODE BARANG]],[1]!KINONF15[[KDBRG]:[HRG_JLMT_CTN+PPN]],9,0),0)</f>
        <v>0</v>
      </c>
      <c r="I475">
        <f>IFERROR(VLOOKUP(Fix_Mapping[[#This Row],[KODE BARANG]],[1]!KINONF15[[KDBRG]:[HRG_JLMT_CTN+PPN]],10,0),0)</f>
        <v>0</v>
      </c>
      <c r="J475">
        <f>IFERROR(VLOOKUP(Fix_Mapping[[#This Row],[KODE BARANG]],[1]!KINONF15[[KDBRG]:[HRG_JLMT_CTN+PPN]],11,0),0)</f>
        <v>0</v>
      </c>
      <c r="K475">
        <f>IFERROR(VLOOKUP(Fix_Mapping[[#This Row],[KODE BARANG]],[1]!KINONF15[[KDBRG]:[HRG_JLMT_CTN+PPN]],12,0),0)</f>
        <v>0</v>
      </c>
      <c r="L475">
        <f>IFERROR(VLOOKUP(Fix_Mapping[[#This Row],[KODE BARANG]],[1]!KINONF15[[KDBRG]:[HRG_JLMT_CTN+PPN]],13,0),0)</f>
        <v>0</v>
      </c>
      <c r="M475">
        <f>IFERROR(VLOOKUP(Fix_Mapping[[#This Row],[KODE BARANG]],[1]!KINONF15[[KDBRG]:[HRG_JLMT_CTN+PPN]],14,0),0)</f>
        <v>0</v>
      </c>
      <c r="N475">
        <f>IFERROR(VLOOKUP(Fix_Mapping[[#This Row],[KODE BARANG]],[1]!KINONF15[[KDBRG]:[HRG_JLMT_CTN+PPN]],15,0),0)</f>
        <v>0</v>
      </c>
      <c r="O475">
        <f>IFERROR(VLOOKUP(Fix_Mapping[[#This Row],[KODE BARANG]],[1]!KINONF15[[KDBRG]:[HRG_JLMT_CTN+PPN]],16,0),0)</f>
        <v>0</v>
      </c>
      <c r="P475">
        <f>IFERROR(VLOOKUP(Fix_Mapping[[#This Row],[KODE BARANG]],[1]!KINONF15[[KDBRG]:[HRG_JLMT_CTN+PPN]],17,0),0)</f>
        <v>0</v>
      </c>
      <c r="Q475">
        <f>IFERROR(VLOOKUP(Fix_Mapping[[#This Row],[KODE BARANG]],[1]!KINONF15[[KDBRG]:[HRG_JLMT_CTN+PPN]],18,0),0)</f>
        <v>0</v>
      </c>
      <c r="R475" t="s">
        <v>2555</v>
      </c>
      <c r="S475" t="s">
        <v>606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1909</v>
      </c>
      <c r="B476" t="s">
        <v>1910</v>
      </c>
      <c r="C476">
        <v>36</v>
      </c>
      <c r="D476">
        <f>IFERROR(VLOOKUP(Fix_Mapping[[#This Row],[KODE BARANG]],[1]!KINONF15[[KDBRG]:[HRG_JLMT_CTN+PPN]],5,0),0)</f>
        <v>0</v>
      </c>
      <c r="E476" t="s">
        <v>2246</v>
      </c>
      <c r="F476">
        <f>IFERROR(VLOOKUP(Fix_Mapping[[#This Row],[KODE BARANG]],[1]!KINONF15[[KDBRG]:[HRG_JLMT_CTN+PPN]],7,0),0)</f>
        <v>0</v>
      </c>
      <c r="G476">
        <f>IFERROR(VLOOKUP(Fix_Mapping[[#This Row],[KODE BARANG]],[1]!KINONF15[[KDBRG]:[HRG_JLMT_CTN+PPN]],8,0),0)</f>
        <v>0</v>
      </c>
      <c r="H476">
        <f>IFERROR(VLOOKUP(Fix_Mapping[[#This Row],[KODE BARANG]],[1]!KINONF15[[KDBRG]:[HRG_JLMT_CTN+PPN]],9,0),0)</f>
        <v>0</v>
      </c>
      <c r="I476">
        <f>IFERROR(VLOOKUP(Fix_Mapping[[#This Row],[KODE BARANG]],[1]!KINONF15[[KDBRG]:[HRG_JLMT_CTN+PPN]],10,0),0)</f>
        <v>0</v>
      </c>
      <c r="J476">
        <f>IFERROR(VLOOKUP(Fix_Mapping[[#This Row],[KODE BARANG]],[1]!KINONF15[[KDBRG]:[HRG_JLMT_CTN+PPN]],11,0),0)</f>
        <v>0</v>
      </c>
      <c r="K476">
        <f>IFERROR(VLOOKUP(Fix_Mapping[[#This Row],[KODE BARANG]],[1]!KINONF15[[KDBRG]:[HRG_JLMT_CTN+PPN]],12,0),0)</f>
        <v>0</v>
      </c>
      <c r="L476">
        <f>IFERROR(VLOOKUP(Fix_Mapping[[#This Row],[KODE BARANG]],[1]!KINONF15[[KDBRG]:[HRG_JLMT_CTN+PPN]],13,0),0)</f>
        <v>0</v>
      </c>
      <c r="M476">
        <f>IFERROR(VLOOKUP(Fix_Mapping[[#This Row],[KODE BARANG]],[1]!KINONF15[[KDBRG]:[HRG_JLMT_CTN+PPN]],14,0),0)</f>
        <v>0</v>
      </c>
      <c r="N476">
        <f>IFERROR(VLOOKUP(Fix_Mapping[[#This Row],[KODE BARANG]],[1]!KINONF15[[KDBRG]:[HRG_JLMT_CTN+PPN]],15,0),0)</f>
        <v>0</v>
      </c>
      <c r="O476">
        <f>IFERROR(VLOOKUP(Fix_Mapping[[#This Row],[KODE BARANG]],[1]!KINONF15[[KDBRG]:[HRG_JLMT_CTN+PPN]],16,0),0)</f>
        <v>0</v>
      </c>
      <c r="P476">
        <f>IFERROR(VLOOKUP(Fix_Mapping[[#This Row],[KODE BARANG]],[1]!KINONF15[[KDBRG]:[HRG_JLMT_CTN+PPN]],17,0),0)</f>
        <v>0</v>
      </c>
      <c r="Q476">
        <f>IFERROR(VLOOKUP(Fix_Mapping[[#This Row],[KODE BARANG]],[1]!KINONF15[[KDBRG]:[HRG_JLMT_CTN+PPN]],18,0),0)</f>
        <v>0</v>
      </c>
      <c r="R476" t="s">
        <v>2555</v>
      </c>
      <c r="S476" t="s">
        <v>607</v>
      </c>
      <c r="T476">
        <v>0</v>
      </c>
      <c r="U476">
        <v>0</v>
      </c>
      <c r="V476">
        <v>0</v>
      </c>
      <c r="W476">
        <v>0</v>
      </c>
    </row>
    <row r="477" spans="1:23">
      <c r="A477" t="s">
        <v>1911</v>
      </c>
      <c r="B477" t="s">
        <v>1912</v>
      </c>
      <c r="C477">
        <v>36</v>
      </c>
      <c r="D477">
        <f>IFERROR(VLOOKUP(Fix_Mapping[[#This Row],[KODE BARANG]],[1]!KINONF15[[KDBRG]:[HRG_JLMT_CTN+PPN]],5,0),0)</f>
        <v>0</v>
      </c>
      <c r="E477" t="s">
        <v>2246</v>
      </c>
      <c r="F477">
        <f>IFERROR(VLOOKUP(Fix_Mapping[[#This Row],[KODE BARANG]],[1]!KINONF15[[KDBRG]:[HRG_JLMT_CTN+PPN]],7,0),0)</f>
        <v>0</v>
      </c>
      <c r="G477">
        <f>IFERROR(VLOOKUP(Fix_Mapping[[#This Row],[KODE BARANG]],[1]!KINONF15[[KDBRG]:[HRG_JLMT_CTN+PPN]],8,0),0)</f>
        <v>0</v>
      </c>
      <c r="H477">
        <f>IFERROR(VLOOKUP(Fix_Mapping[[#This Row],[KODE BARANG]],[1]!KINONF15[[KDBRG]:[HRG_JLMT_CTN+PPN]],9,0),0)</f>
        <v>0</v>
      </c>
      <c r="I477">
        <f>IFERROR(VLOOKUP(Fix_Mapping[[#This Row],[KODE BARANG]],[1]!KINONF15[[KDBRG]:[HRG_JLMT_CTN+PPN]],10,0),0)</f>
        <v>0</v>
      </c>
      <c r="J477">
        <f>IFERROR(VLOOKUP(Fix_Mapping[[#This Row],[KODE BARANG]],[1]!KINONF15[[KDBRG]:[HRG_JLMT_CTN+PPN]],11,0),0)</f>
        <v>0</v>
      </c>
      <c r="K477">
        <f>IFERROR(VLOOKUP(Fix_Mapping[[#This Row],[KODE BARANG]],[1]!KINONF15[[KDBRG]:[HRG_JLMT_CTN+PPN]],12,0),0)</f>
        <v>0</v>
      </c>
      <c r="L477">
        <f>IFERROR(VLOOKUP(Fix_Mapping[[#This Row],[KODE BARANG]],[1]!KINONF15[[KDBRG]:[HRG_JLMT_CTN+PPN]],13,0),0)</f>
        <v>0</v>
      </c>
      <c r="M477">
        <f>IFERROR(VLOOKUP(Fix_Mapping[[#This Row],[KODE BARANG]],[1]!KINONF15[[KDBRG]:[HRG_JLMT_CTN+PPN]],14,0),0)</f>
        <v>0</v>
      </c>
      <c r="N477">
        <f>IFERROR(VLOOKUP(Fix_Mapping[[#This Row],[KODE BARANG]],[1]!KINONF15[[KDBRG]:[HRG_JLMT_CTN+PPN]],15,0),0)</f>
        <v>0</v>
      </c>
      <c r="O477">
        <f>IFERROR(VLOOKUP(Fix_Mapping[[#This Row],[KODE BARANG]],[1]!KINONF15[[KDBRG]:[HRG_JLMT_CTN+PPN]],16,0),0)</f>
        <v>0</v>
      </c>
      <c r="P477">
        <f>IFERROR(VLOOKUP(Fix_Mapping[[#This Row],[KODE BARANG]],[1]!KINONF15[[KDBRG]:[HRG_JLMT_CTN+PPN]],17,0),0)</f>
        <v>0</v>
      </c>
      <c r="Q477">
        <f>IFERROR(VLOOKUP(Fix_Mapping[[#This Row],[KODE BARANG]],[1]!KINONF15[[KDBRG]:[HRG_JLMT_CTN+PPN]],18,0),0)</f>
        <v>0</v>
      </c>
      <c r="R477" t="s">
        <v>2555</v>
      </c>
      <c r="S477" t="s">
        <v>611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1913</v>
      </c>
      <c r="B478" t="s">
        <v>1914</v>
      </c>
      <c r="C478">
        <v>72</v>
      </c>
      <c r="D478">
        <f>IFERROR(VLOOKUP(Fix_Mapping[[#This Row],[KODE BARANG]],[1]!KINONF15[[KDBRG]:[HRG_JLMT_CTN+PPN]],5,0),0)</f>
        <v>0</v>
      </c>
      <c r="E478" t="s">
        <v>2246</v>
      </c>
      <c r="F478">
        <f>IFERROR(VLOOKUP(Fix_Mapping[[#This Row],[KODE BARANG]],[1]!KINONF15[[KDBRG]:[HRG_JLMT_CTN+PPN]],7,0),0)</f>
        <v>0</v>
      </c>
      <c r="G478">
        <f>IFERROR(VLOOKUP(Fix_Mapping[[#This Row],[KODE BARANG]],[1]!KINONF15[[KDBRG]:[HRG_JLMT_CTN+PPN]],8,0),0)</f>
        <v>0</v>
      </c>
      <c r="H478">
        <f>IFERROR(VLOOKUP(Fix_Mapping[[#This Row],[KODE BARANG]],[1]!KINONF15[[KDBRG]:[HRG_JLMT_CTN+PPN]],9,0),0)</f>
        <v>0</v>
      </c>
      <c r="I478">
        <f>IFERROR(VLOOKUP(Fix_Mapping[[#This Row],[KODE BARANG]],[1]!KINONF15[[KDBRG]:[HRG_JLMT_CTN+PPN]],10,0),0)</f>
        <v>0</v>
      </c>
      <c r="J478">
        <f>IFERROR(VLOOKUP(Fix_Mapping[[#This Row],[KODE BARANG]],[1]!KINONF15[[KDBRG]:[HRG_JLMT_CTN+PPN]],11,0),0)</f>
        <v>0</v>
      </c>
      <c r="K478">
        <f>IFERROR(VLOOKUP(Fix_Mapping[[#This Row],[KODE BARANG]],[1]!KINONF15[[KDBRG]:[HRG_JLMT_CTN+PPN]],12,0),0)</f>
        <v>0</v>
      </c>
      <c r="L478">
        <f>IFERROR(VLOOKUP(Fix_Mapping[[#This Row],[KODE BARANG]],[1]!KINONF15[[KDBRG]:[HRG_JLMT_CTN+PPN]],13,0),0)</f>
        <v>0</v>
      </c>
      <c r="M478">
        <f>IFERROR(VLOOKUP(Fix_Mapping[[#This Row],[KODE BARANG]],[1]!KINONF15[[KDBRG]:[HRG_JLMT_CTN+PPN]],14,0),0)</f>
        <v>0</v>
      </c>
      <c r="N478">
        <f>IFERROR(VLOOKUP(Fix_Mapping[[#This Row],[KODE BARANG]],[1]!KINONF15[[KDBRG]:[HRG_JLMT_CTN+PPN]],15,0),0)</f>
        <v>0</v>
      </c>
      <c r="O478">
        <f>IFERROR(VLOOKUP(Fix_Mapping[[#This Row],[KODE BARANG]],[1]!KINONF15[[KDBRG]:[HRG_JLMT_CTN+PPN]],16,0),0)</f>
        <v>0</v>
      </c>
      <c r="P478">
        <f>IFERROR(VLOOKUP(Fix_Mapping[[#This Row],[KODE BARANG]],[1]!KINONF15[[KDBRG]:[HRG_JLMT_CTN+PPN]],17,0),0)</f>
        <v>0</v>
      </c>
      <c r="Q478">
        <f>IFERROR(VLOOKUP(Fix_Mapping[[#This Row],[KODE BARANG]],[1]!KINONF15[[KDBRG]:[HRG_JLMT_CTN+PPN]],18,0),0)</f>
        <v>0</v>
      </c>
      <c r="R478" t="s">
        <v>2555</v>
      </c>
      <c r="S478" t="s">
        <v>608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1915</v>
      </c>
      <c r="B479" t="s">
        <v>1916</v>
      </c>
      <c r="C479">
        <v>36</v>
      </c>
      <c r="D479">
        <f>IFERROR(VLOOKUP(Fix_Mapping[[#This Row],[KODE BARANG]],[1]!KINONF15[[KDBRG]:[HRG_JLMT_CTN+PPN]],5,0),0)</f>
        <v>0</v>
      </c>
      <c r="E479" t="s">
        <v>2246</v>
      </c>
      <c r="F479">
        <f>IFERROR(VLOOKUP(Fix_Mapping[[#This Row],[KODE BARANG]],[1]!KINONF15[[KDBRG]:[HRG_JLMT_CTN+PPN]],7,0),0)</f>
        <v>0</v>
      </c>
      <c r="G479">
        <f>IFERROR(VLOOKUP(Fix_Mapping[[#This Row],[KODE BARANG]],[1]!KINONF15[[KDBRG]:[HRG_JLMT_CTN+PPN]],8,0),0)</f>
        <v>0</v>
      </c>
      <c r="H479">
        <f>IFERROR(VLOOKUP(Fix_Mapping[[#This Row],[KODE BARANG]],[1]!KINONF15[[KDBRG]:[HRG_JLMT_CTN+PPN]],9,0),0)</f>
        <v>0</v>
      </c>
      <c r="I479">
        <f>IFERROR(VLOOKUP(Fix_Mapping[[#This Row],[KODE BARANG]],[1]!KINONF15[[KDBRG]:[HRG_JLMT_CTN+PPN]],10,0),0)</f>
        <v>0</v>
      </c>
      <c r="J479">
        <f>IFERROR(VLOOKUP(Fix_Mapping[[#This Row],[KODE BARANG]],[1]!KINONF15[[KDBRG]:[HRG_JLMT_CTN+PPN]],11,0),0)</f>
        <v>0</v>
      </c>
      <c r="K479">
        <f>IFERROR(VLOOKUP(Fix_Mapping[[#This Row],[KODE BARANG]],[1]!KINONF15[[KDBRG]:[HRG_JLMT_CTN+PPN]],12,0),0)</f>
        <v>0</v>
      </c>
      <c r="L479">
        <f>IFERROR(VLOOKUP(Fix_Mapping[[#This Row],[KODE BARANG]],[1]!KINONF15[[KDBRG]:[HRG_JLMT_CTN+PPN]],13,0),0)</f>
        <v>0</v>
      </c>
      <c r="M479">
        <f>IFERROR(VLOOKUP(Fix_Mapping[[#This Row],[KODE BARANG]],[1]!KINONF15[[KDBRG]:[HRG_JLMT_CTN+PPN]],14,0),0)</f>
        <v>0</v>
      </c>
      <c r="N479">
        <f>IFERROR(VLOOKUP(Fix_Mapping[[#This Row],[KODE BARANG]],[1]!KINONF15[[KDBRG]:[HRG_JLMT_CTN+PPN]],15,0),0)</f>
        <v>0</v>
      </c>
      <c r="O479">
        <f>IFERROR(VLOOKUP(Fix_Mapping[[#This Row],[KODE BARANG]],[1]!KINONF15[[KDBRG]:[HRG_JLMT_CTN+PPN]],16,0),0)</f>
        <v>0</v>
      </c>
      <c r="P479">
        <f>IFERROR(VLOOKUP(Fix_Mapping[[#This Row],[KODE BARANG]],[1]!KINONF15[[KDBRG]:[HRG_JLMT_CTN+PPN]],17,0),0)</f>
        <v>0</v>
      </c>
      <c r="Q479">
        <f>IFERROR(VLOOKUP(Fix_Mapping[[#This Row],[KODE BARANG]],[1]!KINONF15[[KDBRG]:[HRG_JLMT_CTN+PPN]],18,0),0)</f>
        <v>0</v>
      </c>
      <c r="R479" t="s">
        <v>2555</v>
      </c>
      <c r="S479" t="s">
        <v>609</v>
      </c>
      <c r="T479">
        <v>0</v>
      </c>
      <c r="U479">
        <v>0</v>
      </c>
      <c r="V479">
        <v>0</v>
      </c>
      <c r="W479">
        <v>0</v>
      </c>
    </row>
    <row r="480" spans="1:23">
      <c r="A480" t="s">
        <v>1917</v>
      </c>
      <c r="B480" t="s">
        <v>1918</v>
      </c>
      <c r="C480">
        <v>72</v>
      </c>
      <c r="D480">
        <f>IFERROR(VLOOKUP(Fix_Mapping[[#This Row],[KODE BARANG]],[1]!KINONF15[[KDBRG]:[HRG_JLMT_CTN+PPN]],5,0),0)</f>
        <v>0</v>
      </c>
      <c r="E480" t="s">
        <v>2248</v>
      </c>
      <c r="F480">
        <f>IFERROR(VLOOKUP(Fix_Mapping[[#This Row],[KODE BARANG]],[1]!KINONF15[[KDBRG]:[HRG_JLMT_CTN+PPN]],7,0),0)</f>
        <v>0</v>
      </c>
      <c r="G480">
        <f>IFERROR(VLOOKUP(Fix_Mapping[[#This Row],[KODE BARANG]],[1]!KINONF15[[KDBRG]:[HRG_JLMT_CTN+PPN]],8,0),0)</f>
        <v>0</v>
      </c>
      <c r="H480">
        <f>IFERROR(VLOOKUP(Fix_Mapping[[#This Row],[KODE BARANG]],[1]!KINONF15[[KDBRG]:[HRG_JLMT_CTN+PPN]],9,0),0)</f>
        <v>0</v>
      </c>
      <c r="I480">
        <f>IFERROR(VLOOKUP(Fix_Mapping[[#This Row],[KODE BARANG]],[1]!KINONF15[[KDBRG]:[HRG_JLMT_CTN+PPN]],10,0),0)</f>
        <v>0</v>
      </c>
      <c r="J480">
        <f>IFERROR(VLOOKUP(Fix_Mapping[[#This Row],[KODE BARANG]],[1]!KINONF15[[KDBRG]:[HRG_JLMT_CTN+PPN]],11,0),0)</f>
        <v>0</v>
      </c>
      <c r="K480">
        <f>IFERROR(VLOOKUP(Fix_Mapping[[#This Row],[KODE BARANG]],[1]!KINONF15[[KDBRG]:[HRG_JLMT_CTN+PPN]],12,0),0)</f>
        <v>0</v>
      </c>
      <c r="L480">
        <f>IFERROR(VLOOKUP(Fix_Mapping[[#This Row],[KODE BARANG]],[1]!KINONF15[[KDBRG]:[HRG_JLMT_CTN+PPN]],13,0),0)</f>
        <v>0</v>
      </c>
      <c r="M480">
        <f>IFERROR(VLOOKUP(Fix_Mapping[[#This Row],[KODE BARANG]],[1]!KINONF15[[KDBRG]:[HRG_JLMT_CTN+PPN]],14,0),0)</f>
        <v>0</v>
      </c>
      <c r="N480">
        <f>IFERROR(VLOOKUP(Fix_Mapping[[#This Row],[KODE BARANG]],[1]!KINONF15[[KDBRG]:[HRG_JLMT_CTN+PPN]],15,0),0)</f>
        <v>0</v>
      </c>
      <c r="O480">
        <f>IFERROR(VLOOKUP(Fix_Mapping[[#This Row],[KODE BARANG]],[1]!KINONF15[[KDBRG]:[HRG_JLMT_CTN+PPN]],16,0),0)</f>
        <v>0</v>
      </c>
      <c r="P480">
        <f>IFERROR(VLOOKUP(Fix_Mapping[[#This Row],[KODE BARANG]],[1]!KINONF15[[KDBRG]:[HRG_JLMT_CTN+PPN]],17,0),0)</f>
        <v>0</v>
      </c>
      <c r="Q480">
        <f>IFERROR(VLOOKUP(Fix_Mapping[[#This Row],[KODE BARANG]],[1]!KINONF15[[KDBRG]:[HRG_JLMT_CTN+PPN]],18,0),0)</f>
        <v>0</v>
      </c>
      <c r="R480" t="s">
        <v>2555</v>
      </c>
      <c r="S480" t="s">
        <v>571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1919</v>
      </c>
      <c r="B481" t="s">
        <v>1920</v>
      </c>
      <c r="C481">
        <v>72</v>
      </c>
      <c r="D481">
        <f>IFERROR(VLOOKUP(Fix_Mapping[[#This Row],[KODE BARANG]],[1]!KINONF15[[KDBRG]:[HRG_JLMT_CTN+PPN]],5,0),0)</f>
        <v>0</v>
      </c>
      <c r="E481" t="s">
        <v>2248</v>
      </c>
      <c r="F481">
        <f>IFERROR(VLOOKUP(Fix_Mapping[[#This Row],[KODE BARANG]],[1]!KINONF15[[KDBRG]:[HRG_JLMT_CTN+PPN]],7,0),0)</f>
        <v>0</v>
      </c>
      <c r="G481">
        <f>IFERROR(VLOOKUP(Fix_Mapping[[#This Row],[KODE BARANG]],[1]!KINONF15[[KDBRG]:[HRG_JLMT_CTN+PPN]],8,0),0)</f>
        <v>0</v>
      </c>
      <c r="H481">
        <f>IFERROR(VLOOKUP(Fix_Mapping[[#This Row],[KODE BARANG]],[1]!KINONF15[[KDBRG]:[HRG_JLMT_CTN+PPN]],9,0),0)</f>
        <v>0</v>
      </c>
      <c r="I481">
        <f>IFERROR(VLOOKUP(Fix_Mapping[[#This Row],[KODE BARANG]],[1]!KINONF15[[KDBRG]:[HRG_JLMT_CTN+PPN]],10,0),0)</f>
        <v>0</v>
      </c>
      <c r="J481">
        <f>IFERROR(VLOOKUP(Fix_Mapping[[#This Row],[KODE BARANG]],[1]!KINONF15[[KDBRG]:[HRG_JLMT_CTN+PPN]],11,0),0)</f>
        <v>0</v>
      </c>
      <c r="K481">
        <f>IFERROR(VLOOKUP(Fix_Mapping[[#This Row],[KODE BARANG]],[1]!KINONF15[[KDBRG]:[HRG_JLMT_CTN+PPN]],12,0),0)</f>
        <v>0</v>
      </c>
      <c r="L481">
        <f>IFERROR(VLOOKUP(Fix_Mapping[[#This Row],[KODE BARANG]],[1]!KINONF15[[KDBRG]:[HRG_JLMT_CTN+PPN]],13,0),0)</f>
        <v>0</v>
      </c>
      <c r="M481">
        <f>IFERROR(VLOOKUP(Fix_Mapping[[#This Row],[KODE BARANG]],[1]!KINONF15[[KDBRG]:[HRG_JLMT_CTN+PPN]],14,0),0)</f>
        <v>0</v>
      </c>
      <c r="N481">
        <f>IFERROR(VLOOKUP(Fix_Mapping[[#This Row],[KODE BARANG]],[1]!KINONF15[[KDBRG]:[HRG_JLMT_CTN+PPN]],15,0),0)</f>
        <v>0</v>
      </c>
      <c r="O481">
        <f>IFERROR(VLOOKUP(Fix_Mapping[[#This Row],[KODE BARANG]],[1]!KINONF15[[KDBRG]:[HRG_JLMT_CTN+PPN]],16,0),0)</f>
        <v>0</v>
      </c>
      <c r="P481">
        <f>IFERROR(VLOOKUP(Fix_Mapping[[#This Row],[KODE BARANG]],[1]!KINONF15[[KDBRG]:[HRG_JLMT_CTN+PPN]],17,0),0)</f>
        <v>0</v>
      </c>
      <c r="Q481">
        <f>IFERROR(VLOOKUP(Fix_Mapping[[#This Row],[KODE BARANG]],[1]!KINONF15[[KDBRG]:[HRG_JLMT_CTN+PPN]],18,0),0)</f>
        <v>0</v>
      </c>
      <c r="R481" t="s">
        <v>2555</v>
      </c>
      <c r="S481" t="s">
        <v>569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1921</v>
      </c>
      <c r="B482" t="s">
        <v>1922</v>
      </c>
      <c r="C482">
        <v>72</v>
      </c>
      <c r="D482">
        <f>IFERROR(VLOOKUP(Fix_Mapping[[#This Row],[KODE BARANG]],[1]!KINONF15[[KDBRG]:[HRG_JLMT_CTN+PPN]],5,0),0)</f>
        <v>0</v>
      </c>
      <c r="E482" t="s">
        <v>2248</v>
      </c>
      <c r="F482">
        <f>IFERROR(VLOOKUP(Fix_Mapping[[#This Row],[KODE BARANG]],[1]!KINONF15[[KDBRG]:[HRG_JLMT_CTN+PPN]],7,0),0)</f>
        <v>0</v>
      </c>
      <c r="G482">
        <f>IFERROR(VLOOKUP(Fix_Mapping[[#This Row],[KODE BARANG]],[1]!KINONF15[[KDBRG]:[HRG_JLMT_CTN+PPN]],8,0),0)</f>
        <v>0</v>
      </c>
      <c r="H482">
        <f>IFERROR(VLOOKUP(Fix_Mapping[[#This Row],[KODE BARANG]],[1]!KINONF15[[KDBRG]:[HRG_JLMT_CTN+PPN]],9,0),0)</f>
        <v>0</v>
      </c>
      <c r="I482">
        <f>IFERROR(VLOOKUP(Fix_Mapping[[#This Row],[KODE BARANG]],[1]!KINONF15[[KDBRG]:[HRG_JLMT_CTN+PPN]],10,0),0)</f>
        <v>0</v>
      </c>
      <c r="J482">
        <f>IFERROR(VLOOKUP(Fix_Mapping[[#This Row],[KODE BARANG]],[1]!KINONF15[[KDBRG]:[HRG_JLMT_CTN+PPN]],11,0),0)</f>
        <v>0</v>
      </c>
      <c r="K482">
        <f>IFERROR(VLOOKUP(Fix_Mapping[[#This Row],[KODE BARANG]],[1]!KINONF15[[KDBRG]:[HRG_JLMT_CTN+PPN]],12,0),0)</f>
        <v>0</v>
      </c>
      <c r="L482">
        <f>IFERROR(VLOOKUP(Fix_Mapping[[#This Row],[KODE BARANG]],[1]!KINONF15[[KDBRG]:[HRG_JLMT_CTN+PPN]],13,0),0)</f>
        <v>0</v>
      </c>
      <c r="M482">
        <f>IFERROR(VLOOKUP(Fix_Mapping[[#This Row],[KODE BARANG]],[1]!KINONF15[[KDBRG]:[HRG_JLMT_CTN+PPN]],14,0),0)</f>
        <v>0</v>
      </c>
      <c r="N482">
        <f>IFERROR(VLOOKUP(Fix_Mapping[[#This Row],[KODE BARANG]],[1]!KINONF15[[KDBRG]:[HRG_JLMT_CTN+PPN]],15,0),0)</f>
        <v>0</v>
      </c>
      <c r="O482">
        <f>IFERROR(VLOOKUP(Fix_Mapping[[#This Row],[KODE BARANG]],[1]!KINONF15[[KDBRG]:[HRG_JLMT_CTN+PPN]],16,0),0)</f>
        <v>0</v>
      </c>
      <c r="P482">
        <f>IFERROR(VLOOKUP(Fix_Mapping[[#This Row],[KODE BARANG]],[1]!KINONF15[[KDBRG]:[HRG_JLMT_CTN+PPN]],17,0),0)</f>
        <v>0</v>
      </c>
      <c r="Q482">
        <f>IFERROR(VLOOKUP(Fix_Mapping[[#This Row],[KODE BARANG]],[1]!KINONF15[[KDBRG]:[HRG_JLMT_CTN+PPN]],18,0),0)</f>
        <v>0</v>
      </c>
      <c r="R482" t="s">
        <v>2555</v>
      </c>
      <c r="S482" t="s">
        <v>572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1923</v>
      </c>
      <c r="B483" t="s">
        <v>1924</v>
      </c>
      <c r="C483">
        <v>72</v>
      </c>
      <c r="D483">
        <f>IFERROR(VLOOKUP(Fix_Mapping[[#This Row],[KODE BARANG]],[1]!KINONF15[[KDBRG]:[HRG_JLMT_CTN+PPN]],5,0),0)</f>
        <v>0</v>
      </c>
      <c r="E483" t="s">
        <v>2248</v>
      </c>
      <c r="F483">
        <f>IFERROR(VLOOKUP(Fix_Mapping[[#This Row],[KODE BARANG]],[1]!KINONF15[[KDBRG]:[HRG_JLMT_CTN+PPN]],7,0),0)</f>
        <v>0</v>
      </c>
      <c r="G483">
        <f>IFERROR(VLOOKUP(Fix_Mapping[[#This Row],[KODE BARANG]],[1]!KINONF15[[KDBRG]:[HRG_JLMT_CTN+PPN]],8,0),0)</f>
        <v>0</v>
      </c>
      <c r="H483">
        <f>IFERROR(VLOOKUP(Fix_Mapping[[#This Row],[KODE BARANG]],[1]!KINONF15[[KDBRG]:[HRG_JLMT_CTN+PPN]],9,0),0)</f>
        <v>0</v>
      </c>
      <c r="I483">
        <f>IFERROR(VLOOKUP(Fix_Mapping[[#This Row],[KODE BARANG]],[1]!KINONF15[[KDBRG]:[HRG_JLMT_CTN+PPN]],10,0),0)</f>
        <v>0</v>
      </c>
      <c r="J483">
        <f>IFERROR(VLOOKUP(Fix_Mapping[[#This Row],[KODE BARANG]],[1]!KINONF15[[KDBRG]:[HRG_JLMT_CTN+PPN]],11,0),0)</f>
        <v>0</v>
      </c>
      <c r="K483">
        <f>IFERROR(VLOOKUP(Fix_Mapping[[#This Row],[KODE BARANG]],[1]!KINONF15[[KDBRG]:[HRG_JLMT_CTN+PPN]],12,0),0)</f>
        <v>0</v>
      </c>
      <c r="L483">
        <f>IFERROR(VLOOKUP(Fix_Mapping[[#This Row],[KODE BARANG]],[1]!KINONF15[[KDBRG]:[HRG_JLMT_CTN+PPN]],13,0),0)</f>
        <v>0</v>
      </c>
      <c r="M483">
        <f>IFERROR(VLOOKUP(Fix_Mapping[[#This Row],[KODE BARANG]],[1]!KINONF15[[KDBRG]:[HRG_JLMT_CTN+PPN]],14,0),0)</f>
        <v>0</v>
      </c>
      <c r="N483">
        <f>IFERROR(VLOOKUP(Fix_Mapping[[#This Row],[KODE BARANG]],[1]!KINONF15[[KDBRG]:[HRG_JLMT_CTN+PPN]],15,0),0)</f>
        <v>0</v>
      </c>
      <c r="O483">
        <f>IFERROR(VLOOKUP(Fix_Mapping[[#This Row],[KODE BARANG]],[1]!KINONF15[[KDBRG]:[HRG_JLMT_CTN+PPN]],16,0),0)</f>
        <v>0</v>
      </c>
      <c r="P483">
        <f>IFERROR(VLOOKUP(Fix_Mapping[[#This Row],[KODE BARANG]],[1]!KINONF15[[KDBRG]:[HRG_JLMT_CTN+PPN]],17,0),0)</f>
        <v>0</v>
      </c>
      <c r="Q483">
        <f>IFERROR(VLOOKUP(Fix_Mapping[[#This Row],[KODE BARANG]],[1]!KINONF15[[KDBRG]:[HRG_JLMT_CTN+PPN]],18,0),0)</f>
        <v>0</v>
      </c>
      <c r="R483" t="s">
        <v>2555</v>
      </c>
      <c r="S483" t="s">
        <v>570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1925</v>
      </c>
      <c r="B484" t="s">
        <v>1926</v>
      </c>
      <c r="C484">
        <v>72</v>
      </c>
      <c r="D484">
        <f>IFERROR(VLOOKUP(Fix_Mapping[[#This Row],[KODE BARANG]],[1]!KINONF15[[KDBRG]:[HRG_JLMT_CTN+PPN]],5,0),0)</f>
        <v>0</v>
      </c>
      <c r="E484" t="s">
        <v>2250</v>
      </c>
      <c r="F484">
        <f>IFERROR(VLOOKUP(Fix_Mapping[[#This Row],[KODE BARANG]],[1]!KINONF15[[KDBRG]:[HRG_JLMT_CTN+PPN]],7,0),0)</f>
        <v>0</v>
      </c>
      <c r="G484">
        <f>IFERROR(VLOOKUP(Fix_Mapping[[#This Row],[KODE BARANG]],[1]!KINONF15[[KDBRG]:[HRG_JLMT_CTN+PPN]],8,0),0)</f>
        <v>0</v>
      </c>
      <c r="H484">
        <f>IFERROR(VLOOKUP(Fix_Mapping[[#This Row],[KODE BARANG]],[1]!KINONF15[[KDBRG]:[HRG_JLMT_CTN+PPN]],9,0),0)</f>
        <v>0</v>
      </c>
      <c r="I484">
        <f>IFERROR(VLOOKUP(Fix_Mapping[[#This Row],[KODE BARANG]],[1]!KINONF15[[KDBRG]:[HRG_JLMT_CTN+PPN]],10,0),0)</f>
        <v>0</v>
      </c>
      <c r="J484">
        <f>IFERROR(VLOOKUP(Fix_Mapping[[#This Row],[KODE BARANG]],[1]!KINONF15[[KDBRG]:[HRG_JLMT_CTN+PPN]],11,0),0)</f>
        <v>0</v>
      </c>
      <c r="K484">
        <f>IFERROR(VLOOKUP(Fix_Mapping[[#This Row],[KODE BARANG]],[1]!KINONF15[[KDBRG]:[HRG_JLMT_CTN+PPN]],12,0),0)</f>
        <v>0</v>
      </c>
      <c r="L484">
        <f>IFERROR(VLOOKUP(Fix_Mapping[[#This Row],[KODE BARANG]],[1]!KINONF15[[KDBRG]:[HRG_JLMT_CTN+PPN]],13,0),0)</f>
        <v>0</v>
      </c>
      <c r="M484">
        <f>IFERROR(VLOOKUP(Fix_Mapping[[#This Row],[KODE BARANG]],[1]!KINONF15[[KDBRG]:[HRG_JLMT_CTN+PPN]],14,0),0)</f>
        <v>0</v>
      </c>
      <c r="N484">
        <f>IFERROR(VLOOKUP(Fix_Mapping[[#This Row],[KODE BARANG]],[1]!KINONF15[[KDBRG]:[HRG_JLMT_CTN+PPN]],15,0),0)</f>
        <v>0</v>
      </c>
      <c r="O484">
        <f>IFERROR(VLOOKUP(Fix_Mapping[[#This Row],[KODE BARANG]],[1]!KINONF15[[KDBRG]:[HRG_JLMT_CTN+PPN]],16,0),0)</f>
        <v>0</v>
      </c>
      <c r="P484">
        <f>IFERROR(VLOOKUP(Fix_Mapping[[#This Row],[KODE BARANG]],[1]!KINONF15[[KDBRG]:[HRG_JLMT_CTN+PPN]],17,0),0)</f>
        <v>0</v>
      </c>
      <c r="Q484">
        <f>IFERROR(VLOOKUP(Fix_Mapping[[#This Row],[KODE BARANG]],[1]!KINONF15[[KDBRG]:[HRG_JLMT_CTN+PPN]],18,0),0)</f>
        <v>0</v>
      </c>
      <c r="R484" t="s">
        <v>2555</v>
      </c>
      <c r="S484" t="s">
        <v>573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1927</v>
      </c>
      <c r="B485" t="s">
        <v>1928</v>
      </c>
      <c r="C485">
        <v>72</v>
      </c>
      <c r="D485">
        <f>IFERROR(VLOOKUP(Fix_Mapping[[#This Row],[KODE BARANG]],[1]!KINONF15[[KDBRG]:[HRG_JLMT_CTN+PPN]],5,0),0)</f>
        <v>0</v>
      </c>
      <c r="E485" t="s">
        <v>2250</v>
      </c>
      <c r="F485">
        <f>IFERROR(VLOOKUP(Fix_Mapping[[#This Row],[KODE BARANG]],[1]!KINONF15[[KDBRG]:[HRG_JLMT_CTN+PPN]],7,0),0)</f>
        <v>0</v>
      </c>
      <c r="G485">
        <f>IFERROR(VLOOKUP(Fix_Mapping[[#This Row],[KODE BARANG]],[1]!KINONF15[[KDBRG]:[HRG_JLMT_CTN+PPN]],8,0),0)</f>
        <v>0</v>
      </c>
      <c r="H485">
        <f>IFERROR(VLOOKUP(Fix_Mapping[[#This Row],[KODE BARANG]],[1]!KINONF15[[KDBRG]:[HRG_JLMT_CTN+PPN]],9,0),0)</f>
        <v>0</v>
      </c>
      <c r="I485">
        <f>IFERROR(VLOOKUP(Fix_Mapping[[#This Row],[KODE BARANG]],[1]!KINONF15[[KDBRG]:[HRG_JLMT_CTN+PPN]],10,0),0)</f>
        <v>0</v>
      </c>
      <c r="J485">
        <f>IFERROR(VLOOKUP(Fix_Mapping[[#This Row],[KODE BARANG]],[1]!KINONF15[[KDBRG]:[HRG_JLMT_CTN+PPN]],11,0),0)</f>
        <v>0</v>
      </c>
      <c r="K485">
        <f>IFERROR(VLOOKUP(Fix_Mapping[[#This Row],[KODE BARANG]],[1]!KINONF15[[KDBRG]:[HRG_JLMT_CTN+PPN]],12,0),0)</f>
        <v>0</v>
      </c>
      <c r="L485">
        <f>IFERROR(VLOOKUP(Fix_Mapping[[#This Row],[KODE BARANG]],[1]!KINONF15[[KDBRG]:[HRG_JLMT_CTN+PPN]],13,0),0)</f>
        <v>0</v>
      </c>
      <c r="M485">
        <f>IFERROR(VLOOKUP(Fix_Mapping[[#This Row],[KODE BARANG]],[1]!KINONF15[[KDBRG]:[HRG_JLMT_CTN+PPN]],14,0),0)</f>
        <v>0</v>
      </c>
      <c r="N485">
        <f>IFERROR(VLOOKUP(Fix_Mapping[[#This Row],[KODE BARANG]],[1]!KINONF15[[KDBRG]:[HRG_JLMT_CTN+PPN]],15,0),0)</f>
        <v>0</v>
      </c>
      <c r="O485">
        <f>IFERROR(VLOOKUP(Fix_Mapping[[#This Row],[KODE BARANG]],[1]!KINONF15[[KDBRG]:[HRG_JLMT_CTN+PPN]],16,0),0)</f>
        <v>0</v>
      </c>
      <c r="P485">
        <f>IFERROR(VLOOKUP(Fix_Mapping[[#This Row],[KODE BARANG]],[1]!KINONF15[[KDBRG]:[HRG_JLMT_CTN+PPN]],17,0),0)</f>
        <v>0</v>
      </c>
      <c r="Q485">
        <f>IFERROR(VLOOKUP(Fix_Mapping[[#This Row],[KODE BARANG]],[1]!KINONF15[[KDBRG]:[HRG_JLMT_CTN+PPN]],18,0),0)</f>
        <v>0</v>
      </c>
      <c r="R485" t="s">
        <v>2555</v>
      </c>
      <c r="S485" t="s">
        <v>553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1929</v>
      </c>
      <c r="B486" t="s">
        <v>1930</v>
      </c>
      <c r="C486">
        <v>72</v>
      </c>
      <c r="D486">
        <f>IFERROR(VLOOKUP(Fix_Mapping[[#This Row],[KODE BARANG]],[1]!KINONF15[[KDBRG]:[HRG_JLMT_CTN+PPN]],5,0),0)</f>
        <v>0</v>
      </c>
      <c r="E486" t="s">
        <v>2250</v>
      </c>
      <c r="F486">
        <f>IFERROR(VLOOKUP(Fix_Mapping[[#This Row],[KODE BARANG]],[1]!KINONF15[[KDBRG]:[HRG_JLMT_CTN+PPN]],7,0),0)</f>
        <v>0</v>
      </c>
      <c r="G486">
        <f>IFERROR(VLOOKUP(Fix_Mapping[[#This Row],[KODE BARANG]],[1]!KINONF15[[KDBRG]:[HRG_JLMT_CTN+PPN]],8,0),0)</f>
        <v>0</v>
      </c>
      <c r="H486">
        <f>IFERROR(VLOOKUP(Fix_Mapping[[#This Row],[KODE BARANG]],[1]!KINONF15[[KDBRG]:[HRG_JLMT_CTN+PPN]],9,0),0)</f>
        <v>0</v>
      </c>
      <c r="I486">
        <f>IFERROR(VLOOKUP(Fix_Mapping[[#This Row],[KODE BARANG]],[1]!KINONF15[[KDBRG]:[HRG_JLMT_CTN+PPN]],10,0),0)</f>
        <v>0</v>
      </c>
      <c r="J486">
        <f>IFERROR(VLOOKUP(Fix_Mapping[[#This Row],[KODE BARANG]],[1]!KINONF15[[KDBRG]:[HRG_JLMT_CTN+PPN]],11,0),0)</f>
        <v>0</v>
      </c>
      <c r="K486">
        <f>IFERROR(VLOOKUP(Fix_Mapping[[#This Row],[KODE BARANG]],[1]!KINONF15[[KDBRG]:[HRG_JLMT_CTN+PPN]],12,0),0)</f>
        <v>0</v>
      </c>
      <c r="L486">
        <f>IFERROR(VLOOKUP(Fix_Mapping[[#This Row],[KODE BARANG]],[1]!KINONF15[[KDBRG]:[HRG_JLMT_CTN+PPN]],13,0),0)</f>
        <v>0</v>
      </c>
      <c r="M486">
        <f>IFERROR(VLOOKUP(Fix_Mapping[[#This Row],[KODE BARANG]],[1]!KINONF15[[KDBRG]:[HRG_JLMT_CTN+PPN]],14,0),0)</f>
        <v>0</v>
      </c>
      <c r="N486">
        <f>IFERROR(VLOOKUP(Fix_Mapping[[#This Row],[KODE BARANG]],[1]!KINONF15[[KDBRG]:[HRG_JLMT_CTN+PPN]],15,0),0)</f>
        <v>0</v>
      </c>
      <c r="O486">
        <f>IFERROR(VLOOKUP(Fix_Mapping[[#This Row],[KODE BARANG]],[1]!KINONF15[[KDBRG]:[HRG_JLMT_CTN+PPN]],16,0),0)</f>
        <v>0</v>
      </c>
      <c r="P486">
        <f>IFERROR(VLOOKUP(Fix_Mapping[[#This Row],[KODE BARANG]],[1]!KINONF15[[KDBRG]:[HRG_JLMT_CTN+PPN]],17,0),0)</f>
        <v>0</v>
      </c>
      <c r="Q486">
        <f>IFERROR(VLOOKUP(Fix_Mapping[[#This Row],[KODE BARANG]],[1]!KINONF15[[KDBRG]:[HRG_JLMT_CTN+PPN]],18,0),0)</f>
        <v>0</v>
      </c>
      <c r="R486" t="s">
        <v>2555</v>
      </c>
      <c r="S486" t="s">
        <v>554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1931</v>
      </c>
      <c r="B487" t="s">
        <v>1932</v>
      </c>
      <c r="C487">
        <v>72</v>
      </c>
      <c r="D487">
        <f>IFERROR(VLOOKUP(Fix_Mapping[[#This Row],[KODE BARANG]],[1]!KINONF15[[KDBRG]:[HRG_JLMT_CTN+PPN]],5,0),0)</f>
        <v>0</v>
      </c>
      <c r="E487" t="s">
        <v>2250</v>
      </c>
      <c r="F487">
        <f>IFERROR(VLOOKUP(Fix_Mapping[[#This Row],[KODE BARANG]],[1]!KINONF15[[KDBRG]:[HRG_JLMT_CTN+PPN]],7,0),0)</f>
        <v>0</v>
      </c>
      <c r="G487">
        <f>IFERROR(VLOOKUP(Fix_Mapping[[#This Row],[KODE BARANG]],[1]!KINONF15[[KDBRG]:[HRG_JLMT_CTN+PPN]],8,0),0)</f>
        <v>0</v>
      </c>
      <c r="H487">
        <f>IFERROR(VLOOKUP(Fix_Mapping[[#This Row],[KODE BARANG]],[1]!KINONF15[[KDBRG]:[HRG_JLMT_CTN+PPN]],9,0),0)</f>
        <v>0</v>
      </c>
      <c r="I487">
        <f>IFERROR(VLOOKUP(Fix_Mapping[[#This Row],[KODE BARANG]],[1]!KINONF15[[KDBRG]:[HRG_JLMT_CTN+PPN]],10,0),0)</f>
        <v>0</v>
      </c>
      <c r="J487">
        <f>IFERROR(VLOOKUP(Fix_Mapping[[#This Row],[KODE BARANG]],[1]!KINONF15[[KDBRG]:[HRG_JLMT_CTN+PPN]],11,0),0)</f>
        <v>0</v>
      </c>
      <c r="K487">
        <f>IFERROR(VLOOKUP(Fix_Mapping[[#This Row],[KODE BARANG]],[1]!KINONF15[[KDBRG]:[HRG_JLMT_CTN+PPN]],12,0),0)</f>
        <v>0</v>
      </c>
      <c r="L487">
        <f>IFERROR(VLOOKUP(Fix_Mapping[[#This Row],[KODE BARANG]],[1]!KINONF15[[KDBRG]:[HRG_JLMT_CTN+PPN]],13,0),0)</f>
        <v>0</v>
      </c>
      <c r="M487">
        <f>IFERROR(VLOOKUP(Fix_Mapping[[#This Row],[KODE BARANG]],[1]!KINONF15[[KDBRG]:[HRG_JLMT_CTN+PPN]],14,0),0)</f>
        <v>0</v>
      </c>
      <c r="N487">
        <f>IFERROR(VLOOKUP(Fix_Mapping[[#This Row],[KODE BARANG]],[1]!KINONF15[[KDBRG]:[HRG_JLMT_CTN+PPN]],15,0),0)</f>
        <v>0</v>
      </c>
      <c r="O487">
        <f>IFERROR(VLOOKUP(Fix_Mapping[[#This Row],[KODE BARANG]],[1]!KINONF15[[KDBRG]:[HRG_JLMT_CTN+PPN]],16,0),0)</f>
        <v>0</v>
      </c>
      <c r="P487">
        <f>IFERROR(VLOOKUP(Fix_Mapping[[#This Row],[KODE BARANG]],[1]!KINONF15[[KDBRG]:[HRG_JLMT_CTN+PPN]],17,0),0)</f>
        <v>0</v>
      </c>
      <c r="Q487">
        <f>IFERROR(VLOOKUP(Fix_Mapping[[#This Row],[KODE BARANG]],[1]!KINONF15[[KDBRG]:[HRG_JLMT_CTN+PPN]],18,0),0)</f>
        <v>0</v>
      </c>
      <c r="R487" t="s">
        <v>2555</v>
      </c>
      <c r="S487" t="s">
        <v>555</v>
      </c>
      <c r="T487">
        <v>0</v>
      </c>
      <c r="U487">
        <v>0</v>
      </c>
      <c r="V487">
        <v>0</v>
      </c>
      <c r="W487">
        <v>0</v>
      </c>
    </row>
    <row r="488" spans="1:23">
      <c r="A488" t="s">
        <v>1933</v>
      </c>
      <c r="B488" t="s">
        <v>1934</v>
      </c>
      <c r="C488">
        <v>72</v>
      </c>
      <c r="D488">
        <f>IFERROR(VLOOKUP(Fix_Mapping[[#This Row],[KODE BARANG]],[1]!KINONF15[[KDBRG]:[HRG_JLMT_CTN+PPN]],5,0),0)</f>
        <v>0</v>
      </c>
      <c r="E488" t="s">
        <v>2250</v>
      </c>
      <c r="F488">
        <f>IFERROR(VLOOKUP(Fix_Mapping[[#This Row],[KODE BARANG]],[1]!KINONF15[[KDBRG]:[HRG_JLMT_CTN+PPN]],7,0),0)</f>
        <v>0</v>
      </c>
      <c r="G488">
        <f>IFERROR(VLOOKUP(Fix_Mapping[[#This Row],[KODE BARANG]],[1]!KINONF15[[KDBRG]:[HRG_JLMT_CTN+PPN]],8,0),0)</f>
        <v>0</v>
      </c>
      <c r="H488">
        <f>IFERROR(VLOOKUP(Fix_Mapping[[#This Row],[KODE BARANG]],[1]!KINONF15[[KDBRG]:[HRG_JLMT_CTN+PPN]],9,0),0)</f>
        <v>0</v>
      </c>
      <c r="I488">
        <f>IFERROR(VLOOKUP(Fix_Mapping[[#This Row],[KODE BARANG]],[1]!KINONF15[[KDBRG]:[HRG_JLMT_CTN+PPN]],10,0),0)</f>
        <v>0</v>
      </c>
      <c r="J488">
        <f>IFERROR(VLOOKUP(Fix_Mapping[[#This Row],[KODE BARANG]],[1]!KINONF15[[KDBRG]:[HRG_JLMT_CTN+PPN]],11,0),0)</f>
        <v>0</v>
      </c>
      <c r="K488">
        <f>IFERROR(VLOOKUP(Fix_Mapping[[#This Row],[KODE BARANG]],[1]!KINONF15[[KDBRG]:[HRG_JLMT_CTN+PPN]],12,0),0)</f>
        <v>0</v>
      </c>
      <c r="L488">
        <f>IFERROR(VLOOKUP(Fix_Mapping[[#This Row],[KODE BARANG]],[1]!KINONF15[[KDBRG]:[HRG_JLMT_CTN+PPN]],13,0),0)</f>
        <v>0</v>
      </c>
      <c r="M488">
        <f>IFERROR(VLOOKUP(Fix_Mapping[[#This Row],[KODE BARANG]],[1]!KINONF15[[KDBRG]:[HRG_JLMT_CTN+PPN]],14,0),0)</f>
        <v>0</v>
      </c>
      <c r="N488">
        <f>IFERROR(VLOOKUP(Fix_Mapping[[#This Row],[KODE BARANG]],[1]!KINONF15[[KDBRG]:[HRG_JLMT_CTN+PPN]],15,0),0)</f>
        <v>0</v>
      </c>
      <c r="O488">
        <f>IFERROR(VLOOKUP(Fix_Mapping[[#This Row],[KODE BARANG]],[1]!KINONF15[[KDBRG]:[HRG_JLMT_CTN+PPN]],16,0),0)</f>
        <v>0</v>
      </c>
      <c r="P488">
        <f>IFERROR(VLOOKUP(Fix_Mapping[[#This Row],[KODE BARANG]],[1]!KINONF15[[KDBRG]:[HRG_JLMT_CTN+PPN]],17,0),0)</f>
        <v>0</v>
      </c>
      <c r="Q488">
        <f>IFERROR(VLOOKUP(Fix_Mapping[[#This Row],[KODE BARANG]],[1]!KINONF15[[KDBRG]:[HRG_JLMT_CTN+PPN]],18,0),0)</f>
        <v>0</v>
      </c>
      <c r="R488" t="s">
        <v>2555</v>
      </c>
      <c r="S488" t="s">
        <v>556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1935</v>
      </c>
      <c r="B489" t="s">
        <v>1936</v>
      </c>
      <c r="C489">
        <v>72</v>
      </c>
      <c r="D489">
        <f>IFERROR(VLOOKUP(Fix_Mapping[[#This Row],[KODE BARANG]],[1]!KINONF15[[KDBRG]:[HRG_JLMT_CTN+PPN]],5,0),0)</f>
        <v>0</v>
      </c>
      <c r="E489" t="s">
        <v>2250</v>
      </c>
      <c r="F489">
        <f>IFERROR(VLOOKUP(Fix_Mapping[[#This Row],[KODE BARANG]],[1]!KINONF15[[KDBRG]:[HRG_JLMT_CTN+PPN]],7,0),0)</f>
        <v>0</v>
      </c>
      <c r="G489">
        <f>IFERROR(VLOOKUP(Fix_Mapping[[#This Row],[KODE BARANG]],[1]!KINONF15[[KDBRG]:[HRG_JLMT_CTN+PPN]],8,0),0)</f>
        <v>0</v>
      </c>
      <c r="H489">
        <f>IFERROR(VLOOKUP(Fix_Mapping[[#This Row],[KODE BARANG]],[1]!KINONF15[[KDBRG]:[HRG_JLMT_CTN+PPN]],9,0),0)</f>
        <v>0</v>
      </c>
      <c r="I489">
        <f>IFERROR(VLOOKUP(Fix_Mapping[[#This Row],[KODE BARANG]],[1]!KINONF15[[KDBRG]:[HRG_JLMT_CTN+PPN]],10,0),0)</f>
        <v>0</v>
      </c>
      <c r="J489">
        <f>IFERROR(VLOOKUP(Fix_Mapping[[#This Row],[KODE BARANG]],[1]!KINONF15[[KDBRG]:[HRG_JLMT_CTN+PPN]],11,0),0)</f>
        <v>0</v>
      </c>
      <c r="K489">
        <f>IFERROR(VLOOKUP(Fix_Mapping[[#This Row],[KODE BARANG]],[1]!KINONF15[[KDBRG]:[HRG_JLMT_CTN+PPN]],12,0),0)</f>
        <v>0</v>
      </c>
      <c r="L489">
        <f>IFERROR(VLOOKUP(Fix_Mapping[[#This Row],[KODE BARANG]],[1]!KINONF15[[KDBRG]:[HRG_JLMT_CTN+PPN]],13,0),0)</f>
        <v>0</v>
      </c>
      <c r="M489">
        <f>IFERROR(VLOOKUP(Fix_Mapping[[#This Row],[KODE BARANG]],[1]!KINONF15[[KDBRG]:[HRG_JLMT_CTN+PPN]],14,0),0)</f>
        <v>0</v>
      </c>
      <c r="N489">
        <f>IFERROR(VLOOKUP(Fix_Mapping[[#This Row],[KODE BARANG]],[1]!KINONF15[[KDBRG]:[HRG_JLMT_CTN+PPN]],15,0),0)</f>
        <v>0</v>
      </c>
      <c r="O489">
        <f>IFERROR(VLOOKUP(Fix_Mapping[[#This Row],[KODE BARANG]],[1]!KINONF15[[KDBRG]:[HRG_JLMT_CTN+PPN]],16,0),0)</f>
        <v>0</v>
      </c>
      <c r="P489">
        <f>IFERROR(VLOOKUP(Fix_Mapping[[#This Row],[KODE BARANG]],[1]!KINONF15[[KDBRG]:[HRG_JLMT_CTN+PPN]],17,0),0)</f>
        <v>0</v>
      </c>
      <c r="Q489">
        <f>IFERROR(VLOOKUP(Fix_Mapping[[#This Row],[KODE BARANG]],[1]!KINONF15[[KDBRG]:[HRG_JLMT_CTN+PPN]],18,0),0)</f>
        <v>0</v>
      </c>
      <c r="R489" t="s">
        <v>2555</v>
      </c>
      <c r="S489" t="s">
        <v>557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1937</v>
      </c>
      <c r="B490" t="s">
        <v>1938</v>
      </c>
      <c r="C490">
        <v>72</v>
      </c>
      <c r="D490">
        <f>IFERROR(VLOOKUP(Fix_Mapping[[#This Row],[KODE BARANG]],[1]!KINONF15[[KDBRG]:[HRG_JLMT_CTN+PPN]],5,0),0)</f>
        <v>0</v>
      </c>
      <c r="E490" t="s">
        <v>2250</v>
      </c>
      <c r="F490">
        <f>IFERROR(VLOOKUP(Fix_Mapping[[#This Row],[KODE BARANG]],[1]!KINONF15[[KDBRG]:[HRG_JLMT_CTN+PPN]],7,0),0)</f>
        <v>0</v>
      </c>
      <c r="G490">
        <f>IFERROR(VLOOKUP(Fix_Mapping[[#This Row],[KODE BARANG]],[1]!KINONF15[[KDBRG]:[HRG_JLMT_CTN+PPN]],8,0),0)</f>
        <v>0</v>
      </c>
      <c r="H490">
        <f>IFERROR(VLOOKUP(Fix_Mapping[[#This Row],[KODE BARANG]],[1]!KINONF15[[KDBRG]:[HRG_JLMT_CTN+PPN]],9,0),0)</f>
        <v>0</v>
      </c>
      <c r="I490">
        <f>IFERROR(VLOOKUP(Fix_Mapping[[#This Row],[KODE BARANG]],[1]!KINONF15[[KDBRG]:[HRG_JLMT_CTN+PPN]],10,0),0)</f>
        <v>0</v>
      </c>
      <c r="J490">
        <f>IFERROR(VLOOKUP(Fix_Mapping[[#This Row],[KODE BARANG]],[1]!KINONF15[[KDBRG]:[HRG_JLMT_CTN+PPN]],11,0),0)</f>
        <v>0</v>
      </c>
      <c r="K490">
        <f>IFERROR(VLOOKUP(Fix_Mapping[[#This Row],[KODE BARANG]],[1]!KINONF15[[KDBRG]:[HRG_JLMT_CTN+PPN]],12,0),0)</f>
        <v>0</v>
      </c>
      <c r="L490">
        <f>IFERROR(VLOOKUP(Fix_Mapping[[#This Row],[KODE BARANG]],[1]!KINONF15[[KDBRG]:[HRG_JLMT_CTN+PPN]],13,0),0)</f>
        <v>0</v>
      </c>
      <c r="M490">
        <f>IFERROR(VLOOKUP(Fix_Mapping[[#This Row],[KODE BARANG]],[1]!KINONF15[[KDBRG]:[HRG_JLMT_CTN+PPN]],14,0),0)</f>
        <v>0</v>
      </c>
      <c r="N490">
        <f>IFERROR(VLOOKUP(Fix_Mapping[[#This Row],[KODE BARANG]],[1]!KINONF15[[KDBRG]:[HRG_JLMT_CTN+PPN]],15,0),0)</f>
        <v>0</v>
      </c>
      <c r="O490">
        <f>IFERROR(VLOOKUP(Fix_Mapping[[#This Row],[KODE BARANG]],[1]!KINONF15[[KDBRG]:[HRG_JLMT_CTN+PPN]],16,0),0)</f>
        <v>0</v>
      </c>
      <c r="P490">
        <f>IFERROR(VLOOKUP(Fix_Mapping[[#This Row],[KODE BARANG]],[1]!KINONF15[[KDBRG]:[HRG_JLMT_CTN+PPN]],17,0),0)</f>
        <v>0</v>
      </c>
      <c r="Q490">
        <f>IFERROR(VLOOKUP(Fix_Mapping[[#This Row],[KODE BARANG]],[1]!KINONF15[[KDBRG]:[HRG_JLMT_CTN+PPN]],18,0),0)</f>
        <v>0</v>
      </c>
      <c r="R490" t="s">
        <v>2555</v>
      </c>
      <c r="S490" t="s">
        <v>558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1939</v>
      </c>
      <c r="B491" t="s">
        <v>1940</v>
      </c>
      <c r="C491">
        <v>72</v>
      </c>
      <c r="D491">
        <f>IFERROR(VLOOKUP(Fix_Mapping[[#This Row],[KODE BARANG]],[1]!KINONF15[[KDBRG]:[HRG_JLMT_CTN+PPN]],5,0),0)</f>
        <v>0</v>
      </c>
      <c r="E491" t="s">
        <v>2250</v>
      </c>
      <c r="F491">
        <f>IFERROR(VLOOKUP(Fix_Mapping[[#This Row],[KODE BARANG]],[1]!KINONF15[[KDBRG]:[HRG_JLMT_CTN+PPN]],7,0),0)</f>
        <v>0</v>
      </c>
      <c r="G491">
        <f>IFERROR(VLOOKUP(Fix_Mapping[[#This Row],[KODE BARANG]],[1]!KINONF15[[KDBRG]:[HRG_JLMT_CTN+PPN]],8,0),0)</f>
        <v>0</v>
      </c>
      <c r="H491">
        <f>IFERROR(VLOOKUP(Fix_Mapping[[#This Row],[KODE BARANG]],[1]!KINONF15[[KDBRG]:[HRG_JLMT_CTN+PPN]],9,0),0)</f>
        <v>0</v>
      </c>
      <c r="I491">
        <f>IFERROR(VLOOKUP(Fix_Mapping[[#This Row],[KODE BARANG]],[1]!KINONF15[[KDBRG]:[HRG_JLMT_CTN+PPN]],10,0),0)</f>
        <v>0</v>
      </c>
      <c r="J491">
        <f>IFERROR(VLOOKUP(Fix_Mapping[[#This Row],[KODE BARANG]],[1]!KINONF15[[KDBRG]:[HRG_JLMT_CTN+PPN]],11,0),0)</f>
        <v>0</v>
      </c>
      <c r="K491">
        <f>IFERROR(VLOOKUP(Fix_Mapping[[#This Row],[KODE BARANG]],[1]!KINONF15[[KDBRG]:[HRG_JLMT_CTN+PPN]],12,0),0)</f>
        <v>0</v>
      </c>
      <c r="L491">
        <f>IFERROR(VLOOKUP(Fix_Mapping[[#This Row],[KODE BARANG]],[1]!KINONF15[[KDBRG]:[HRG_JLMT_CTN+PPN]],13,0),0)</f>
        <v>0</v>
      </c>
      <c r="M491">
        <f>IFERROR(VLOOKUP(Fix_Mapping[[#This Row],[KODE BARANG]],[1]!KINONF15[[KDBRG]:[HRG_JLMT_CTN+PPN]],14,0),0)</f>
        <v>0</v>
      </c>
      <c r="N491">
        <f>IFERROR(VLOOKUP(Fix_Mapping[[#This Row],[KODE BARANG]],[1]!KINONF15[[KDBRG]:[HRG_JLMT_CTN+PPN]],15,0),0)</f>
        <v>0</v>
      </c>
      <c r="O491">
        <f>IFERROR(VLOOKUP(Fix_Mapping[[#This Row],[KODE BARANG]],[1]!KINONF15[[KDBRG]:[HRG_JLMT_CTN+PPN]],16,0),0)</f>
        <v>0</v>
      </c>
      <c r="P491">
        <f>IFERROR(VLOOKUP(Fix_Mapping[[#This Row],[KODE BARANG]],[1]!KINONF15[[KDBRG]:[HRG_JLMT_CTN+PPN]],17,0),0)</f>
        <v>0</v>
      </c>
      <c r="Q491">
        <f>IFERROR(VLOOKUP(Fix_Mapping[[#This Row],[KODE BARANG]],[1]!KINONF15[[KDBRG]:[HRG_JLMT_CTN+PPN]],18,0),0)</f>
        <v>0</v>
      </c>
      <c r="R491" t="s">
        <v>2555</v>
      </c>
      <c r="S491" t="s">
        <v>559</v>
      </c>
      <c r="T491">
        <v>0</v>
      </c>
      <c r="U491">
        <v>0</v>
      </c>
      <c r="V491">
        <v>0</v>
      </c>
      <c r="W491">
        <v>0</v>
      </c>
    </row>
    <row r="492" spans="1:23">
      <c r="A492" t="s">
        <v>1941</v>
      </c>
      <c r="B492" t="s">
        <v>1942</v>
      </c>
      <c r="C492">
        <v>72</v>
      </c>
      <c r="D492">
        <f>IFERROR(VLOOKUP(Fix_Mapping[[#This Row],[KODE BARANG]],[1]!KINONF15[[KDBRG]:[HRG_JLMT_CTN+PPN]],5,0),0)</f>
        <v>0</v>
      </c>
      <c r="E492" t="s">
        <v>2250</v>
      </c>
      <c r="F492">
        <f>IFERROR(VLOOKUP(Fix_Mapping[[#This Row],[KODE BARANG]],[1]!KINONF15[[KDBRG]:[HRG_JLMT_CTN+PPN]],7,0),0)</f>
        <v>0</v>
      </c>
      <c r="G492">
        <f>IFERROR(VLOOKUP(Fix_Mapping[[#This Row],[KODE BARANG]],[1]!KINONF15[[KDBRG]:[HRG_JLMT_CTN+PPN]],8,0),0)</f>
        <v>0</v>
      </c>
      <c r="H492">
        <f>IFERROR(VLOOKUP(Fix_Mapping[[#This Row],[KODE BARANG]],[1]!KINONF15[[KDBRG]:[HRG_JLMT_CTN+PPN]],9,0),0)</f>
        <v>0</v>
      </c>
      <c r="I492">
        <f>IFERROR(VLOOKUP(Fix_Mapping[[#This Row],[KODE BARANG]],[1]!KINONF15[[KDBRG]:[HRG_JLMT_CTN+PPN]],10,0),0)</f>
        <v>0</v>
      </c>
      <c r="J492">
        <f>IFERROR(VLOOKUP(Fix_Mapping[[#This Row],[KODE BARANG]],[1]!KINONF15[[KDBRG]:[HRG_JLMT_CTN+PPN]],11,0),0)</f>
        <v>0</v>
      </c>
      <c r="K492">
        <f>IFERROR(VLOOKUP(Fix_Mapping[[#This Row],[KODE BARANG]],[1]!KINONF15[[KDBRG]:[HRG_JLMT_CTN+PPN]],12,0),0)</f>
        <v>0</v>
      </c>
      <c r="L492">
        <f>IFERROR(VLOOKUP(Fix_Mapping[[#This Row],[KODE BARANG]],[1]!KINONF15[[KDBRG]:[HRG_JLMT_CTN+PPN]],13,0),0)</f>
        <v>0</v>
      </c>
      <c r="M492">
        <f>IFERROR(VLOOKUP(Fix_Mapping[[#This Row],[KODE BARANG]],[1]!KINONF15[[KDBRG]:[HRG_JLMT_CTN+PPN]],14,0),0)</f>
        <v>0</v>
      </c>
      <c r="N492">
        <f>IFERROR(VLOOKUP(Fix_Mapping[[#This Row],[KODE BARANG]],[1]!KINONF15[[KDBRG]:[HRG_JLMT_CTN+PPN]],15,0),0)</f>
        <v>0</v>
      </c>
      <c r="O492">
        <f>IFERROR(VLOOKUP(Fix_Mapping[[#This Row],[KODE BARANG]],[1]!KINONF15[[KDBRG]:[HRG_JLMT_CTN+PPN]],16,0),0)</f>
        <v>0</v>
      </c>
      <c r="P492">
        <f>IFERROR(VLOOKUP(Fix_Mapping[[#This Row],[KODE BARANG]],[1]!KINONF15[[KDBRG]:[HRG_JLMT_CTN+PPN]],17,0),0)</f>
        <v>0</v>
      </c>
      <c r="Q492">
        <f>IFERROR(VLOOKUP(Fix_Mapping[[#This Row],[KODE BARANG]],[1]!KINONF15[[KDBRG]:[HRG_JLMT_CTN+PPN]],18,0),0)</f>
        <v>0</v>
      </c>
      <c r="R492" t="s">
        <v>2555</v>
      </c>
      <c r="S492" t="s">
        <v>560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1943</v>
      </c>
      <c r="B493" t="s">
        <v>1944</v>
      </c>
      <c r="C493">
        <v>72</v>
      </c>
      <c r="D493">
        <f>IFERROR(VLOOKUP(Fix_Mapping[[#This Row],[KODE BARANG]],[1]!KINONF15[[KDBRG]:[HRG_JLMT_CTN+PPN]],5,0),0)</f>
        <v>0</v>
      </c>
      <c r="E493" t="s">
        <v>2250</v>
      </c>
      <c r="F493">
        <f>IFERROR(VLOOKUP(Fix_Mapping[[#This Row],[KODE BARANG]],[1]!KINONF15[[KDBRG]:[HRG_JLMT_CTN+PPN]],7,0),0)</f>
        <v>0</v>
      </c>
      <c r="G493">
        <f>IFERROR(VLOOKUP(Fix_Mapping[[#This Row],[KODE BARANG]],[1]!KINONF15[[KDBRG]:[HRG_JLMT_CTN+PPN]],8,0),0)</f>
        <v>0</v>
      </c>
      <c r="H493">
        <f>IFERROR(VLOOKUP(Fix_Mapping[[#This Row],[KODE BARANG]],[1]!KINONF15[[KDBRG]:[HRG_JLMT_CTN+PPN]],9,0),0)</f>
        <v>0</v>
      </c>
      <c r="I493">
        <f>IFERROR(VLOOKUP(Fix_Mapping[[#This Row],[KODE BARANG]],[1]!KINONF15[[KDBRG]:[HRG_JLMT_CTN+PPN]],10,0),0)</f>
        <v>0</v>
      </c>
      <c r="J493">
        <f>IFERROR(VLOOKUP(Fix_Mapping[[#This Row],[KODE BARANG]],[1]!KINONF15[[KDBRG]:[HRG_JLMT_CTN+PPN]],11,0),0)</f>
        <v>0</v>
      </c>
      <c r="K493">
        <f>IFERROR(VLOOKUP(Fix_Mapping[[#This Row],[KODE BARANG]],[1]!KINONF15[[KDBRG]:[HRG_JLMT_CTN+PPN]],12,0),0)</f>
        <v>0</v>
      </c>
      <c r="L493">
        <f>IFERROR(VLOOKUP(Fix_Mapping[[#This Row],[KODE BARANG]],[1]!KINONF15[[KDBRG]:[HRG_JLMT_CTN+PPN]],13,0),0)</f>
        <v>0</v>
      </c>
      <c r="M493">
        <f>IFERROR(VLOOKUP(Fix_Mapping[[#This Row],[KODE BARANG]],[1]!KINONF15[[KDBRG]:[HRG_JLMT_CTN+PPN]],14,0),0)</f>
        <v>0</v>
      </c>
      <c r="N493">
        <f>IFERROR(VLOOKUP(Fix_Mapping[[#This Row],[KODE BARANG]],[1]!KINONF15[[KDBRG]:[HRG_JLMT_CTN+PPN]],15,0),0)</f>
        <v>0</v>
      </c>
      <c r="O493">
        <f>IFERROR(VLOOKUP(Fix_Mapping[[#This Row],[KODE BARANG]],[1]!KINONF15[[KDBRG]:[HRG_JLMT_CTN+PPN]],16,0),0)</f>
        <v>0</v>
      </c>
      <c r="P493">
        <f>IFERROR(VLOOKUP(Fix_Mapping[[#This Row],[KODE BARANG]],[1]!KINONF15[[KDBRG]:[HRG_JLMT_CTN+PPN]],17,0),0)</f>
        <v>0</v>
      </c>
      <c r="Q493">
        <f>IFERROR(VLOOKUP(Fix_Mapping[[#This Row],[KODE BARANG]],[1]!KINONF15[[KDBRG]:[HRG_JLMT_CTN+PPN]],18,0),0)</f>
        <v>0</v>
      </c>
      <c r="R493" t="s">
        <v>2555</v>
      </c>
      <c r="S493" t="s">
        <v>561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1945</v>
      </c>
      <c r="B494" t="s">
        <v>1946</v>
      </c>
      <c r="C494">
        <v>72</v>
      </c>
      <c r="D494">
        <f>IFERROR(VLOOKUP(Fix_Mapping[[#This Row],[KODE BARANG]],[1]!KINONF15[[KDBRG]:[HRG_JLMT_CTN+PPN]],5,0),0)</f>
        <v>0</v>
      </c>
      <c r="E494" t="s">
        <v>2250</v>
      </c>
      <c r="F494">
        <f>IFERROR(VLOOKUP(Fix_Mapping[[#This Row],[KODE BARANG]],[1]!KINONF15[[KDBRG]:[HRG_JLMT_CTN+PPN]],7,0),0)</f>
        <v>0</v>
      </c>
      <c r="G494">
        <f>IFERROR(VLOOKUP(Fix_Mapping[[#This Row],[KODE BARANG]],[1]!KINONF15[[KDBRG]:[HRG_JLMT_CTN+PPN]],8,0),0)</f>
        <v>0</v>
      </c>
      <c r="H494">
        <f>IFERROR(VLOOKUP(Fix_Mapping[[#This Row],[KODE BARANG]],[1]!KINONF15[[KDBRG]:[HRG_JLMT_CTN+PPN]],9,0),0)</f>
        <v>0</v>
      </c>
      <c r="I494">
        <f>IFERROR(VLOOKUP(Fix_Mapping[[#This Row],[KODE BARANG]],[1]!KINONF15[[KDBRG]:[HRG_JLMT_CTN+PPN]],10,0),0)</f>
        <v>0</v>
      </c>
      <c r="J494">
        <f>IFERROR(VLOOKUP(Fix_Mapping[[#This Row],[KODE BARANG]],[1]!KINONF15[[KDBRG]:[HRG_JLMT_CTN+PPN]],11,0),0)</f>
        <v>0</v>
      </c>
      <c r="K494">
        <f>IFERROR(VLOOKUP(Fix_Mapping[[#This Row],[KODE BARANG]],[1]!KINONF15[[KDBRG]:[HRG_JLMT_CTN+PPN]],12,0),0)</f>
        <v>0</v>
      </c>
      <c r="L494">
        <f>IFERROR(VLOOKUP(Fix_Mapping[[#This Row],[KODE BARANG]],[1]!KINONF15[[KDBRG]:[HRG_JLMT_CTN+PPN]],13,0),0)</f>
        <v>0</v>
      </c>
      <c r="M494">
        <f>IFERROR(VLOOKUP(Fix_Mapping[[#This Row],[KODE BARANG]],[1]!KINONF15[[KDBRG]:[HRG_JLMT_CTN+PPN]],14,0),0)</f>
        <v>0</v>
      </c>
      <c r="N494">
        <f>IFERROR(VLOOKUP(Fix_Mapping[[#This Row],[KODE BARANG]],[1]!KINONF15[[KDBRG]:[HRG_JLMT_CTN+PPN]],15,0),0)</f>
        <v>0</v>
      </c>
      <c r="O494">
        <f>IFERROR(VLOOKUP(Fix_Mapping[[#This Row],[KODE BARANG]],[1]!KINONF15[[KDBRG]:[HRG_JLMT_CTN+PPN]],16,0),0)</f>
        <v>0</v>
      </c>
      <c r="P494">
        <f>IFERROR(VLOOKUP(Fix_Mapping[[#This Row],[KODE BARANG]],[1]!KINONF15[[KDBRG]:[HRG_JLMT_CTN+PPN]],17,0),0)</f>
        <v>0</v>
      </c>
      <c r="Q494">
        <f>IFERROR(VLOOKUP(Fix_Mapping[[#This Row],[KODE BARANG]],[1]!KINONF15[[KDBRG]:[HRG_JLMT_CTN+PPN]],18,0),0)</f>
        <v>0</v>
      </c>
      <c r="R494" t="s">
        <v>2555</v>
      </c>
      <c r="S494" t="s">
        <v>562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1947</v>
      </c>
      <c r="B495" t="s">
        <v>1948</v>
      </c>
      <c r="C495">
        <v>72</v>
      </c>
      <c r="D495">
        <f>IFERROR(VLOOKUP(Fix_Mapping[[#This Row],[KODE BARANG]],[1]!KINONF15[[KDBRG]:[HRG_JLMT_CTN+PPN]],5,0),0)</f>
        <v>0</v>
      </c>
      <c r="E495" t="s">
        <v>2250</v>
      </c>
      <c r="F495">
        <f>IFERROR(VLOOKUP(Fix_Mapping[[#This Row],[KODE BARANG]],[1]!KINONF15[[KDBRG]:[HRG_JLMT_CTN+PPN]],7,0),0)</f>
        <v>0</v>
      </c>
      <c r="G495">
        <f>IFERROR(VLOOKUP(Fix_Mapping[[#This Row],[KODE BARANG]],[1]!KINONF15[[KDBRG]:[HRG_JLMT_CTN+PPN]],8,0),0)</f>
        <v>0</v>
      </c>
      <c r="H495">
        <f>IFERROR(VLOOKUP(Fix_Mapping[[#This Row],[KODE BARANG]],[1]!KINONF15[[KDBRG]:[HRG_JLMT_CTN+PPN]],9,0),0)</f>
        <v>0</v>
      </c>
      <c r="I495">
        <f>IFERROR(VLOOKUP(Fix_Mapping[[#This Row],[KODE BARANG]],[1]!KINONF15[[KDBRG]:[HRG_JLMT_CTN+PPN]],10,0),0)</f>
        <v>0</v>
      </c>
      <c r="J495">
        <f>IFERROR(VLOOKUP(Fix_Mapping[[#This Row],[KODE BARANG]],[1]!KINONF15[[KDBRG]:[HRG_JLMT_CTN+PPN]],11,0),0)</f>
        <v>0</v>
      </c>
      <c r="K495">
        <f>IFERROR(VLOOKUP(Fix_Mapping[[#This Row],[KODE BARANG]],[1]!KINONF15[[KDBRG]:[HRG_JLMT_CTN+PPN]],12,0),0)</f>
        <v>0</v>
      </c>
      <c r="L495">
        <f>IFERROR(VLOOKUP(Fix_Mapping[[#This Row],[KODE BARANG]],[1]!KINONF15[[KDBRG]:[HRG_JLMT_CTN+PPN]],13,0),0)</f>
        <v>0</v>
      </c>
      <c r="M495">
        <f>IFERROR(VLOOKUP(Fix_Mapping[[#This Row],[KODE BARANG]],[1]!KINONF15[[KDBRG]:[HRG_JLMT_CTN+PPN]],14,0),0)</f>
        <v>0</v>
      </c>
      <c r="N495">
        <f>IFERROR(VLOOKUP(Fix_Mapping[[#This Row],[KODE BARANG]],[1]!KINONF15[[KDBRG]:[HRG_JLMT_CTN+PPN]],15,0),0)</f>
        <v>0</v>
      </c>
      <c r="O495">
        <f>IFERROR(VLOOKUP(Fix_Mapping[[#This Row],[KODE BARANG]],[1]!KINONF15[[KDBRG]:[HRG_JLMT_CTN+PPN]],16,0),0)</f>
        <v>0</v>
      </c>
      <c r="P495">
        <f>IFERROR(VLOOKUP(Fix_Mapping[[#This Row],[KODE BARANG]],[1]!KINONF15[[KDBRG]:[HRG_JLMT_CTN+PPN]],17,0),0)</f>
        <v>0</v>
      </c>
      <c r="Q495">
        <f>IFERROR(VLOOKUP(Fix_Mapping[[#This Row],[KODE BARANG]],[1]!KINONF15[[KDBRG]:[HRG_JLMT_CTN+PPN]],18,0),0)</f>
        <v>0</v>
      </c>
      <c r="R495" t="s">
        <v>2555</v>
      </c>
      <c r="S495" t="s">
        <v>563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1949</v>
      </c>
      <c r="B496" t="s">
        <v>1950</v>
      </c>
      <c r="C496">
        <v>72</v>
      </c>
      <c r="D496">
        <f>IFERROR(VLOOKUP(Fix_Mapping[[#This Row],[KODE BARANG]],[1]!KINONF15[[KDBRG]:[HRG_JLMT_CTN+PPN]],5,0),0)</f>
        <v>0</v>
      </c>
      <c r="E496" t="s">
        <v>2250</v>
      </c>
      <c r="F496">
        <f>IFERROR(VLOOKUP(Fix_Mapping[[#This Row],[KODE BARANG]],[1]!KINONF15[[KDBRG]:[HRG_JLMT_CTN+PPN]],7,0),0)</f>
        <v>0</v>
      </c>
      <c r="G496">
        <f>IFERROR(VLOOKUP(Fix_Mapping[[#This Row],[KODE BARANG]],[1]!KINONF15[[KDBRG]:[HRG_JLMT_CTN+PPN]],8,0),0)</f>
        <v>0</v>
      </c>
      <c r="H496">
        <f>IFERROR(VLOOKUP(Fix_Mapping[[#This Row],[KODE BARANG]],[1]!KINONF15[[KDBRG]:[HRG_JLMT_CTN+PPN]],9,0),0)</f>
        <v>0</v>
      </c>
      <c r="I496">
        <f>IFERROR(VLOOKUP(Fix_Mapping[[#This Row],[KODE BARANG]],[1]!KINONF15[[KDBRG]:[HRG_JLMT_CTN+PPN]],10,0),0)</f>
        <v>0</v>
      </c>
      <c r="J496">
        <f>IFERROR(VLOOKUP(Fix_Mapping[[#This Row],[KODE BARANG]],[1]!KINONF15[[KDBRG]:[HRG_JLMT_CTN+PPN]],11,0),0)</f>
        <v>0</v>
      </c>
      <c r="K496">
        <f>IFERROR(VLOOKUP(Fix_Mapping[[#This Row],[KODE BARANG]],[1]!KINONF15[[KDBRG]:[HRG_JLMT_CTN+PPN]],12,0),0)</f>
        <v>0</v>
      </c>
      <c r="L496">
        <f>IFERROR(VLOOKUP(Fix_Mapping[[#This Row],[KODE BARANG]],[1]!KINONF15[[KDBRG]:[HRG_JLMT_CTN+PPN]],13,0),0)</f>
        <v>0</v>
      </c>
      <c r="M496">
        <f>IFERROR(VLOOKUP(Fix_Mapping[[#This Row],[KODE BARANG]],[1]!KINONF15[[KDBRG]:[HRG_JLMT_CTN+PPN]],14,0),0)</f>
        <v>0</v>
      </c>
      <c r="N496">
        <f>IFERROR(VLOOKUP(Fix_Mapping[[#This Row],[KODE BARANG]],[1]!KINONF15[[KDBRG]:[HRG_JLMT_CTN+PPN]],15,0),0)</f>
        <v>0</v>
      </c>
      <c r="O496">
        <f>IFERROR(VLOOKUP(Fix_Mapping[[#This Row],[KODE BARANG]],[1]!KINONF15[[KDBRG]:[HRG_JLMT_CTN+PPN]],16,0),0)</f>
        <v>0</v>
      </c>
      <c r="P496">
        <f>IFERROR(VLOOKUP(Fix_Mapping[[#This Row],[KODE BARANG]],[1]!KINONF15[[KDBRG]:[HRG_JLMT_CTN+PPN]],17,0),0)</f>
        <v>0</v>
      </c>
      <c r="Q496">
        <f>IFERROR(VLOOKUP(Fix_Mapping[[#This Row],[KODE BARANG]],[1]!KINONF15[[KDBRG]:[HRG_JLMT_CTN+PPN]],18,0),0)</f>
        <v>0</v>
      </c>
      <c r="R496" t="s">
        <v>2555</v>
      </c>
      <c r="S496" t="s">
        <v>564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1951</v>
      </c>
      <c r="B497" t="s">
        <v>1952</v>
      </c>
      <c r="C497">
        <v>72</v>
      </c>
      <c r="D497">
        <f>IFERROR(VLOOKUP(Fix_Mapping[[#This Row],[KODE BARANG]],[1]!KINONF15[[KDBRG]:[HRG_JLMT_CTN+PPN]],5,0),0)</f>
        <v>0</v>
      </c>
      <c r="E497" t="s">
        <v>2250</v>
      </c>
      <c r="F497">
        <f>IFERROR(VLOOKUP(Fix_Mapping[[#This Row],[KODE BARANG]],[1]!KINONF15[[KDBRG]:[HRG_JLMT_CTN+PPN]],7,0),0)</f>
        <v>0</v>
      </c>
      <c r="G497">
        <f>IFERROR(VLOOKUP(Fix_Mapping[[#This Row],[KODE BARANG]],[1]!KINONF15[[KDBRG]:[HRG_JLMT_CTN+PPN]],8,0),0)</f>
        <v>0</v>
      </c>
      <c r="H497">
        <f>IFERROR(VLOOKUP(Fix_Mapping[[#This Row],[KODE BARANG]],[1]!KINONF15[[KDBRG]:[HRG_JLMT_CTN+PPN]],9,0),0)</f>
        <v>0</v>
      </c>
      <c r="I497">
        <f>IFERROR(VLOOKUP(Fix_Mapping[[#This Row],[KODE BARANG]],[1]!KINONF15[[KDBRG]:[HRG_JLMT_CTN+PPN]],10,0),0)</f>
        <v>0</v>
      </c>
      <c r="J497">
        <f>IFERROR(VLOOKUP(Fix_Mapping[[#This Row],[KODE BARANG]],[1]!KINONF15[[KDBRG]:[HRG_JLMT_CTN+PPN]],11,0),0)</f>
        <v>0</v>
      </c>
      <c r="K497">
        <f>IFERROR(VLOOKUP(Fix_Mapping[[#This Row],[KODE BARANG]],[1]!KINONF15[[KDBRG]:[HRG_JLMT_CTN+PPN]],12,0),0)</f>
        <v>0</v>
      </c>
      <c r="L497">
        <f>IFERROR(VLOOKUP(Fix_Mapping[[#This Row],[KODE BARANG]],[1]!KINONF15[[KDBRG]:[HRG_JLMT_CTN+PPN]],13,0),0)</f>
        <v>0</v>
      </c>
      <c r="M497">
        <f>IFERROR(VLOOKUP(Fix_Mapping[[#This Row],[KODE BARANG]],[1]!KINONF15[[KDBRG]:[HRG_JLMT_CTN+PPN]],14,0),0)</f>
        <v>0</v>
      </c>
      <c r="N497">
        <f>IFERROR(VLOOKUP(Fix_Mapping[[#This Row],[KODE BARANG]],[1]!KINONF15[[KDBRG]:[HRG_JLMT_CTN+PPN]],15,0),0)</f>
        <v>0</v>
      </c>
      <c r="O497">
        <f>IFERROR(VLOOKUP(Fix_Mapping[[#This Row],[KODE BARANG]],[1]!KINONF15[[KDBRG]:[HRG_JLMT_CTN+PPN]],16,0),0)</f>
        <v>0</v>
      </c>
      <c r="P497">
        <f>IFERROR(VLOOKUP(Fix_Mapping[[#This Row],[KODE BARANG]],[1]!KINONF15[[KDBRG]:[HRG_JLMT_CTN+PPN]],17,0),0)</f>
        <v>0</v>
      </c>
      <c r="Q497">
        <f>IFERROR(VLOOKUP(Fix_Mapping[[#This Row],[KODE BARANG]],[1]!KINONF15[[KDBRG]:[HRG_JLMT_CTN+PPN]],18,0),0)</f>
        <v>0</v>
      </c>
      <c r="R497" t="s">
        <v>2555</v>
      </c>
      <c r="S497" t="s">
        <v>565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1953</v>
      </c>
      <c r="B498" t="s">
        <v>1954</v>
      </c>
      <c r="C498">
        <v>72</v>
      </c>
      <c r="D498">
        <f>IFERROR(VLOOKUP(Fix_Mapping[[#This Row],[KODE BARANG]],[1]!KINONF15[[KDBRG]:[HRG_JLMT_CTN+PPN]],5,0),0)</f>
        <v>0</v>
      </c>
      <c r="E498" t="s">
        <v>2250</v>
      </c>
      <c r="F498">
        <f>IFERROR(VLOOKUP(Fix_Mapping[[#This Row],[KODE BARANG]],[1]!KINONF15[[KDBRG]:[HRG_JLMT_CTN+PPN]],7,0),0)</f>
        <v>0</v>
      </c>
      <c r="G498">
        <f>IFERROR(VLOOKUP(Fix_Mapping[[#This Row],[KODE BARANG]],[1]!KINONF15[[KDBRG]:[HRG_JLMT_CTN+PPN]],8,0),0)</f>
        <v>0</v>
      </c>
      <c r="H498">
        <f>IFERROR(VLOOKUP(Fix_Mapping[[#This Row],[KODE BARANG]],[1]!KINONF15[[KDBRG]:[HRG_JLMT_CTN+PPN]],9,0),0)</f>
        <v>0</v>
      </c>
      <c r="I498">
        <f>IFERROR(VLOOKUP(Fix_Mapping[[#This Row],[KODE BARANG]],[1]!KINONF15[[KDBRG]:[HRG_JLMT_CTN+PPN]],10,0),0)</f>
        <v>0</v>
      </c>
      <c r="J498">
        <f>IFERROR(VLOOKUP(Fix_Mapping[[#This Row],[KODE BARANG]],[1]!KINONF15[[KDBRG]:[HRG_JLMT_CTN+PPN]],11,0),0)</f>
        <v>0</v>
      </c>
      <c r="K498">
        <f>IFERROR(VLOOKUP(Fix_Mapping[[#This Row],[KODE BARANG]],[1]!KINONF15[[KDBRG]:[HRG_JLMT_CTN+PPN]],12,0),0)</f>
        <v>0</v>
      </c>
      <c r="L498">
        <f>IFERROR(VLOOKUP(Fix_Mapping[[#This Row],[KODE BARANG]],[1]!KINONF15[[KDBRG]:[HRG_JLMT_CTN+PPN]],13,0),0)</f>
        <v>0</v>
      </c>
      <c r="M498">
        <f>IFERROR(VLOOKUP(Fix_Mapping[[#This Row],[KODE BARANG]],[1]!KINONF15[[KDBRG]:[HRG_JLMT_CTN+PPN]],14,0),0)</f>
        <v>0</v>
      </c>
      <c r="N498">
        <f>IFERROR(VLOOKUP(Fix_Mapping[[#This Row],[KODE BARANG]],[1]!KINONF15[[KDBRG]:[HRG_JLMT_CTN+PPN]],15,0),0)</f>
        <v>0</v>
      </c>
      <c r="O498">
        <f>IFERROR(VLOOKUP(Fix_Mapping[[#This Row],[KODE BARANG]],[1]!KINONF15[[KDBRG]:[HRG_JLMT_CTN+PPN]],16,0),0)</f>
        <v>0</v>
      </c>
      <c r="P498">
        <f>IFERROR(VLOOKUP(Fix_Mapping[[#This Row],[KODE BARANG]],[1]!KINONF15[[KDBRG]:[HRG_JLMT_CTN+PPN]],17,0),0)</f>
        <v>0</v>
      </c>
      <c r="Q498">
        <f>IFERROR(VLOOKUP(Fix_Mapping[[#This Row],[KODE BARANG]],[1]!KINONF15[[KDBRG]:[HRG_JLMT_CTN+PPN]],18,0),0)</f>
        <v>0</v>
      </c>
      <c r="R498" t="s">
        <v>2555</v>
      </c>
      <c r="S498" t="s">
        <v>566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1955</v>
      </c>
      <c r="B499" t="s">
        <v>1956</v>
      </c>
      <c r="C499">
        <v>72</v>
      </c>
      <c r="D499">
        <f>IFERROR(VLOOKUP(Fix_Mapping[[#This Row],[KODE BARANG]],[1]!KINONF15[[KDBRG]:[HRG_JLMT_CTN+PPN]],5,0),0)</f>
        <v>0</v>
      </c>
      <c r="E499" t="s">
        <v>2250</v>
      </c>
      <c r="F499">
        <f>IFERROR(VLOOKUP(Fix_Mapping[[#This Row],[KODE BARANG]],[1]!KINONF15[[KDBRG]:[HRG_JLMT_CTN+PPN]],7,0),0)</f>
        <v>0</v>
      </c>
      <c r="G499">
        <f>IFERROR(VLOOKUP(Fix_Mapping[[#This Row],[KODE BARANG]],[1]!KINONF15[[KDBRG]:[HRG_JLMT_CTN+PPN]],8,0),0)</f>
        <v>0</v>
      </c>
      <c r="H499">
        <f>IFERROR(VLOOKUP(Fix_Mapping[[#This Row],[KODE BARANG]],[1]!KINONF15[[KDBRG]:[HRG_JLMT_CTN+PPN]],9,0),0)</f>
        <v>0</v>
      </c>
      <c r="I499">
        <f>IFERROR(VLOOKUP(Fix_Mapping[[#This Row],[KODE BARANG]],[1]!KINONF15[[KDBRG]:[HRG_JLMT_CTN+PPN]],10,0),0)</f>
        <v>0</v>
      </c>
      <c r="J499">
        <f>IFERROR(VLOOKUP(Fix_Mapping[[#This Row],[KODE BARANG]],[1]!KINONF15[[KDBRG]:[HRG_JLMT_CTN+PPN]],11,0),0)</f>
        <v>0</v>
      </c>
      <c r="K499">
        <f>IFERROR(VLOOKUP(Fix_Mapping[[#This Row],[KODE BARANG]],[1]!KINONF15[[KDBRG]:[HRG_JLMT_CTN+PPN]],12,0),0)</f>
        <v>0</v>
      </c>
      <c r="L499">
        <f>IFERROR(VLOOKUP(Fix_Mapping[[#This Row],[KODE BARANG]],[1]!KINONF15[[KDBRG]:[HRG_JLMT_CTN+PPN]],13,0),0)</f>
        <v>0</v>
      </c>
      <c r="M499">
        <f>IFERROR(VLOOKUP(Fix_Mapping[[#This Row],[KODE BARANG]],[1]!KINONF15[[KDBRG]:[HRG_JLMT_CTN+PPN]],14,0),0)</f>
        <v>0</v>
      </c>
      <c r="N499">
        <f>IFERROR(VLOOKUP(Fix_Mapping[[#This Row],[KODE BARANG]],[1]!KINONF15[[KDBRG]:[HRG_JLMT_CTN+PPN]],15,0),0)</f>
        <v>0</v>
      </c>
      <c r="O499">
        <f>IFERROR(VLOOKUP(Fix_Mapping[[#This Row],[KODE BARANG]],[1]!KINONF15[[KDBRG]:[HRG_JLMT_CTN+PPN]],16,0),0)</f>
        <v>0</v>
      </c>
      <c r="P499">
        <f>IFERROR(VLOOKUP(Fix_Mapping[[#This Row],[KODE BARANG]],[1]!KINONF15[[KDBRG]:[HRG_JLMT_CTN+PPN]],17,0),0)</f>
        <v>0</v>
      </c>
      <c r="Q499">
        <f>IFERROR(VLOOKUP(Fix_Mapping[[#This Row],[KODE BARANG]],[1]!KINONF15[[KDBRG]:[HRG_JLMT_CTN+PPN]],18,0),0)</f>
        <v>0</v>
      </c>
      <c r="R499" t="s">
        <v>2555</v>
      </c>
      <c r="S499" t="s">
        <v>567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1957</v>
      </c>
      <c r="B500" t="s">
        <v>1958</v>
      </c>
      <c r="C500">
        <v>72</v>
      </c>
      <c r="D500">
        <f>IFERROR(VLOOKUP(Fix_Mapping[[#This Row],[KODE BARANG]],[1]!KINONF15[[KDBRG]:[HRG_JLMT_CTN+PPN]],5,0),0)</f>
        <v>0</v>
      </c>
      <c r="E500" t="s">
        <v>2250</v>
      </c>
      <c r="F500">
        <f>IFERROR(VLOOKUP(Fix_Mapping[[#This Row],[KODE BARANG]],[1]!KINONF15[[KDBRG]:[HRG_JLMT_CTN+PPN]],7,0),0)</f>
        <v>0</v>
      </c>
      <c r="G500">
        <f>IFERROR(VLOOKUP(Fix_Mapping[[#This Row],[KODE BARANG]],[1]!KINONF15[[KDBRG]:[HRG_JLMT_CTN+PPN]],8,0),0)</f>
        <v>0</v>
      </c>
      <c r="H500">
        <f>IFERROR(VLOOKUP(Fix_Mapping[[#This Row],[KODE BARANG]],[1]!KINONF15[[KDBRG]:[HRG_JLMT_CTN+PPN]],9,0),0)</f>
        <v>0</v>
      </c>
      <c r="I500">
        <f>IFERROR(VLOOKUP(Fix_Mapping[[#This Row],[KODE BARANG]],[1]!KINONF15[[KDBRG]:[HRG_JLMT_CTN+PPN]],10,0),0)</f>
        <v>0</v>
      </c>
      <c r="J500">
        <f>IFERROR(VLOOKUP(Fix_Mapping[[#This Row],[KODE BARANG]],[1]!KINONF15[[KDBRG]:[HRG_JLMT_CTN+PPN]],11,0),0)</f>
        <v>0</v>
      </c>
      <c r="K500">
        <f>IFERROR(VLOOKUP(Fix_Mapping[[#This Row],[KODE BARANG]],[1]!KINONF15[[KDBRG]:[HRG_JLMT_CTN+PPN]],12,0),0)</f>
        <v>0</v>
      </c>
      <c r="L500">
        <f>IFERROR(VLOOKUP(Fix_Mapping[[#This Row],[KODE BARANG]],[1]!KINONF15[[KDBRG]:[HRG_JLMT_CTN+PPN]],13,0),0)</f>
        <v>0</v>
      </c>
      <c r="M500">
        <f>IFERROR(VLOOKUP(Fix_Mapping[[#This Row],[KODE BARANG]],[1]!KINONF15[[KDBRG]:[HRG_JLMT_CTN+PPN]],14,0),0)</f>
        <v>0</v>
      </c>
      <c r="N500">
        <f>IFERROR(VLOOKUP(Fix_Mapping[[#This Row],[KODE BARANG]],[1]!KINONF15[[KDBRG]:[HRG_JLMT_CTN+PPN]],15,0),0)</f>
        <v>0</v>
      </c>
      <c r="O500">
        <f>IFERROR(VLOOKUP(Fix_Mapping[[#This Row],[KODE BARANG]],[1]!KINONF15[[KDBRG]:[HRG_JLMT_CTN+PPN]],16,0),0)</f>
        <v>0</v>
      </c>
      <c r="P500">
        <f>IFERROR(VLOOKUP(Fix_Mapping[[#This Row],[KODE BARANG]],[1]!KINONF15[[KDBRG]:[HRG_JLMT_CTN+PPN]],17,0),0)</f>
        <v>0</v>
      </c>
      <c r="Q500">
        <f>IFERROR(VLOOKUP(Fix_Mapping[[#This Row],[KODE BARANG]],[1]!KINONF15[[KDBRG]:[HRG_JLMT_CTN+PPN]],18,0),0)</f>
        <v>0</v>
      </c>
      <c r="R500" t="s">
        <v>2555</v>
      </c>
      <c r="S500" t="s">
        <v>568</v>
      </c>
      <c r="T500">
        <v>0</v>
      </c>
      <c r="U500">
        <v>0</v>
      </c>
      <c r="V500">
        <v>0</v>
      </c>
      <c r="W500">
        <v>0</v>
      </c>
    </row>
    <row r="501" spans="1:23">
      <c r="A501" t="s">
        <v>1959</v>
      </c>
      <c r="B501" t="s">
        <v>1960</v>
      </c>
      <c r="C501">
        <v>24</v>
      </c>
      <c r="D501">
        <f>IFERROR(VLOOKUP(Fix_Mapping[[#This Row],[KODE BARANG]],[1]!KINONF15[[KDBRG]:[HRG_JLMT_CTN+PPN]],5,0),0)</f>
        <v>0</v>
      </c>
      <c r="E501" t="s">
        <v>2266</v>
      </c>
      <c r="F501">
        <f>IFERROR(VLOOKUP(Fix_Mapping[[#This Row],[KODE BARANG]],[1]!KINONF15[[KDBRG]:[HRG_JLMT_CTN+PPN]],7,0),0)</f>
        <v>0</v>
      </c>
      <c r="G501">
        <f>IFERROR(VLOOKUP(Fix_Mapping[[#This Row],[KODE BARANG]],[1]!KINONF15[[KDBRG]:[HRG_JLMT_CTN+PPN]],8,0),0)</f>
        <v>0</v>
      </c>
      <c r="H501">
        <f>IFERROR(VLOOKUP(Fix_Mapping[[#This Row],[KODE BARANG]],[1]!KINONF15[[KDBRG]:[HRG_JLMT_CTN+PPN]],9,0),0)</f>
        <v>0</v>
      </c>
      <c r="I501">
        <f>IFERROR(VLOOKUP(Fix_Mapping[[#This Row],[KODE BARANG]],[1]!KINONF15[[KDBRG]:[HRG_JLMT_CTN+PPN]],10,0),0)</f>
        <v>0</v>
      </c>
      <c r="J501">
        <f>IFERROR(VLOOKUP(Fix_Mapping[[#This Row],[KODE BARANG]],[1]!KINONF15[[KDBRG]:[HRG_JLMT_CTN+PPN]],11,0),0)</f>
        <v>0</v>
      </c>
      <c r="K501">
        <f>IFERROR(VLOOKUP(Fix_Mapping[[#This Row],[KODE BARANG]],[1]!KINONF15[[KDBRG]:[HRG_JLMT_CTN+PPN]],12,0),0)</f>
        <v>0</v>
      </c>
      <c r="L501">
        <f>IFERROR(VLOOKUP(Fix_Mapping[[#This Row],[KODE BARANG]],[1]!KINONF15[[KDBRG]:[HRG_JLMT_CTN+PPN]],13,0),0)</f>
        <v>0</v>
      </c>
      <c r="M501">
        <f>IFERROR(VLOOKUP(Fix_Mapping[[#This Row],[KODE BARANG]],[1]!KINONF15[[KDBRG]:[HRG_JLMT_CTN+PPN]],14,0),0)</f>
        <v>0</v>
      </c>
      <c r="N501">
        <f>IFERROR(VLOOKUP(Fix_Mapping[[#This Row],[KODE BARANG]],[1]!KINONF15[[KDBRG]:[HRG_JLMT_CTN+PPN]],15,0),0)</f>
        <v>0</v>
      </c>
      <c r="O501">
        <f>IFERROR(VLOOKUP(Fix_Mapping[[#This Row],[KODE BARANG]],[1]!KINONF15[[KDBRG]:[HRG_JLMT_CTN+PPN]],16,0),0)</f>
        <v>0</v>
      </c>
      <c r="P501">
        <f>IFERROR(VLOOKUP(Fix_Mapping[[#This Row],[KODE BARANG]],[1]!KINONF15[[KDBRG]:[HRG_JLMT_CTN+PPN]],17,0),0)</f>
        <v>0</v>
      </c>
      <c r="Q501">
        <f>IFERROR(VLOOKUP(Fix_Mapping[[#This Row],[KODE BARANG]],[1]!KINONF15[[KDBRG]:[HRG_JLMT_CTN+PPN]],18,0),0)</f>
        <v>0</v>
      </c>
      <c r="R501" t="s">
        <v>2555</v>
      </c>
      <c r="S501" t="s">
        <v>533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1961</v>
      </c>
      <c r="B502" t="s">
        <v>1962</v>
      </c>
      <c r="C502">
        <v>24</v>
      </c>
      <c r="D502">
        <f>IFERROR(VLOOKUP(Fix_Mapping[[#This Row],[KODE BARANG]],[1]!KINONF15[[KDBRG]:[HRG_JLMT_CTN+PPN]],5,0),0)</f>
        <v>0</v>
      </c>
      <c r="E502" t="s">
        <v>2266</v>
      </c>
      <c r="F502">
        <f>IFERROR(VLOOKUP(Fix_Mapping[[#This Row],[KODE BARANG]],[1]!KINONF15[[KDBRG]:[HRG_JLMT_CTN+PPN]],7,0),0)</f>
        <v>0</v>
      </c>
      <c r="G502">
        <f>IFERROR(VLOOKUP(Fix_Mapping[[#This Row],[KODE BARANG]],[1]!KINONF15[[KDBRG]:[HRG_JLMT_CTN+PPN]],8,0),0)</f>
        <v>0</v>
      </c>
      <c r="H502">
        <f>IFERROR(VLOOKUP(Fix_Mapping[[#This Row],[KODE BARANG]],[1]!KINONF15[[KDBRG]:[HRG_JLMT_CTN+PPN]],9,0),0)</f>
        <v>0</v>
      </c>
      <c r="I502">
        <f>IFERROR(VLOOKUP(Fix_Mapping[[#This Row],[KODE BARANG]],[1]!KINONF15[[KDBRG]:[HRG_JLMT_CTN+PPN]],10,0),0)</f>
        <v>0</v>
      </c>
      <c r="J502">
        <f>IFERROR(VLOOKUP(Fix_Mapping[[#This Row],[KODE BARANG]],[1]!KINONF15[[KDBRG]:[HRG_JLMT_CTN+PPN]],11,0),0)</f>
        <v>0</v>
      </c>
      <c r="K502">
        <f>IFERROR(VLOOKUP(Fix_Mapping[[#This Row],[KODE BARANG]],[1]!KINONF15[[KDBRG]:[HRG_JLMT_CTN+PPN]],12,0),0)</f>
        <v>0</v>
      </c>
      <c r="L502">
        <f>IFERROR(VLOOKUP(Fix_Mapping[[#This Row],[KODE BARANG]],[1]!KINONF15[[KDBRG]:[HRG_JLMT_CTN+PPN]],13,0),0)</f>
        <v>0</v>
      </c>
      <c r="M502">
        <f>IFERROR(VLOOKUP(Fix_Mapping[[#This Row],[KODE BARANG]],[1]!KINONF15[[KDBRG]:[HRG_JLMT_CTN+PPN]],14,0),0)</f>
        <v>0</v>
      </c>
      <c r="N502">
        <f>IFERROR(VLOOKUP(Fix_Mapping[[#This Row],[KODE BARANG]],[1]!KINONF15[[KDBRG]:[HRG_JLMT_CTN+PPN]],15,0),0)</f>
        <v>0</v>
      </c>
      <c r="O502">
        <f>IFERROR(VLOOKUP(Fix_Mapping[[#This Row],[KODE BARANG]],[1]!KINONF15[[KDBRG]:[HRG_JLMT_CTN+PPN]],16,0),0)</f>
        <v>0</v>
      </c>
      <c r="P502">
        <f>IFERROR(VLOOKUP(Fix_Mapping[[#This Row],[KODE BARANG]],[1]!KINONF15[[KDBRG]:[HRG_JLMT_CTN+PPN]],17,0),0)</f>
        <v>0</v>
      </c>
      <c r="Q502">
        <f>IFERROR(VLOOKUP(Fix_Mapping[[#This Row],[KODE BARANG]],[1]!KINONF15[[KDBRG]:[HRG_JLMT_CTN+PPN]],18,0),0)</f>
        <v>0</v>
      </c>
      <c r="R502" t="s">
        <v>2555</v>
      </c>
      <c r="S502" t="s">
        <v>540</v>
      </c>
      <c r="T502">
        <v>0</v>
      </c>
      <c r="U502">
        <v>0</v>
      </c>
      <c r="V502">
        <v>0</v>
      </c>
      <c r="W502">
        <v>0</v>
      </c>
    </row>
    <row r="503" spans="1:23">
      <c r="A503" t="s">
        <v>1963</v>
      </c>
      <c r="B503" t="s">
        <v>1964</v>
      </c>
      <c r="C503">
        <v>24</v>
      </c>
      <c r="D503">
        <f>IFERROR(VLOOKUP(Fix_Mapping[[#This Row],[KODE BARANG]],[1]!KINONF15[[KDBRG]:[HRG_JLMT_CTN+PPN]],5,0),0)</f>
        <v>0</v>
      </c>
      <c r="E503" t="s">
        <v>2266</v>
      </c>
      <c r="F503">
        <f>IFERROR(VLOOKUP(Fix_Mapping[[#This Row],[KODE BARANG]],[1]!KINONF15[[KDBRG]:[HRG_JLMT_CTN+PPN]],7,0),0)</f>
        <v>0</v>
      </c>
      <c r="G503">
        <f>IFERROR(VLOOKUP(Fix_Mapping[[#This Row],[KODE BARANG]],[1]!KINONF15[[KDBRG]:[HRG_JLMT_CTN+PPN]],8,0),0)</f>
        <v>0</v>
      </c>
      <c r="H503">
        <f>IFERROR(VLOOKUP(Fix_Mapping[[#This Row],[KODE BARANG]],[1]!KINONF15[[KDBRG]:[HRG_JLMT_CTN+PPN]],9,0),0)</f>
        <v>0</v>
      </c>
      <c r="I503">
        <f>IFERROR(VLOOKUP(Fix_Mapping[[#This Row],[KODE BARANG]],[1]!KINONF15[[KDBRG]:[HRG_JLMT_CTN+PPN]],10,0),0)</f>
        <v>0</v>
      </c>
      <c r="J503">
        <f>IFERROR(VLOOKUP(Fix_Mapping[[#This Row],[KODE BARANG]],[1]!KINONF15[[KDBRG]:[HRG_JLMT_CTN+PPN]],11,0),0)</f>
        <v>0</v>
      </c>
      <c r="K503">
        <f>IFERROR(VLOOKUP(Fix_Mapping[[#This Row],[KODE BARANG]],[1]!KINONF15[[KDBRG]:[HRG_JLMT_CTN+PPN]],12,0),0)</f>
        <v>0</v>
      </c>
      <c r="L503">
        <f>IFERROR(VLOOKUP(Fix_Mapping[[#This Row],[KODE BARANG]],[1]!KINONF15[[KDBRG]:[HRG_JLMT_CTN+PPN]],13,0),0)</f>
        <v>0</v>
      </c>
      <c r="M503">
        <f>IFERROR(VLOOKUP(Fix_Mapping[[#This Row],[KODE BARANG]],[1]!KINONF15[[KDBRG]:[HRG_JLMT_CTN+PPN]],14,0),0)</f>
        <v>0</v>
      </c>
      <c r="N503">
        <f>IFERROR(VLOOKUP(Fix_Mapping[[#This Row],[KODE BARANG]],[1]!KINONF15[[KDBRG]:[HRG_JLMT_CTN+PPN]],15,0),0)</f>
        <v>0</v>
      </c>
      <c r="O503">
        <f>IFERROR(VLOOKUP(Fix_Mapping[[#This Row],[KODE BARANG]],[1]!KINONF15[[KDBRG]:[HRG_JLMT_CTN+PPN]],16,0),0)</f>
        <v>0</v>
      </c>
      <c r="P503">
        <f>IFERROR(VLOOKUP(Fix_Mapping[[#This Row],[KODE BARANG]],[1]!KINONF15[[KDBRG]:[HRG_JLMT_CTN+PPN]],17,0),0)</f>
        <v>0</v>
      </c>
      <c r="Q503">
        <f>IFERROR(VLOOKUP(Fix_Mapping[[#This Row],[KODE BARANG]],[1]!KINONF15[[KDBRG]:[HRG_JLMT_CTN+PPN]],18,0),0)</f>
        <v>0</v>
      </c>
      <c r="R503" t="s">
        <v>2555</v>
      </c>
      <c r="S503" t="s">
        <v>546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1965</v>
      </c>
      <c r="B504" t="s">
        <v>1966</v>
      </c>
      <c r="C504">
        <v>36</v>
      </c>
      <c r="D504">
        <f>IFERROR(VLOOKUP(Fix_Mapping[[#This Row],[KODE BARANG]],[1]!KINONF15[[KDBRG]:[HRG_JLMT_CTN+PPN]],5,0),0)</f>
        <v>0</v>
      </c>
      <c r="E504" t="s">
        <v>2268</v>
      </c>
      <c r="F504">
        <f>IFERROR(VLOOKUP(Fix_Mapping[[#This Row],[KODE BARANG]],[1]!KINONF15[[KDBRG]:[HRG_JLMT_CTN+PPN]],7,0),0)</f>
        <v>0</v>
      </c>
      <c r="G504">
        <f>IFERROR(VLOOKUP(Fix_Mapping[[#This Row],[KODE BARANG]],[1]!KINONF15[[KDBRG]:[HRG_JLMT_CTN+PPN]],8,0),0)</f>
        <v>0</v>
      </c>
      <c r="H504">
        <f>IFERROR(VLOOKUP(Fix_Mapping[[#This Row],[KODE BARANG]],[1]!KINONF15[[KDBRG]:[HRG_JLMT_CTN+PPN]],9,0),0)</f>
        <v>0</v>
      </c>
      <c r="I504">
        <f>IFERROR(VLOOKUP(Fix_Mapping[[#This Row],[KODE BARANG]],[1]!KINONF15[[KDBRG]:[HRG_JLMT_CTN+PPN]],10,0),0)</f>
        <v>0</v>
      </c>
      <c r="J504">
        <f>IFERROR(VLOOKUP(Fix_Mapping[[#This Row],[KODE BARANG]],[1]!KINONF15[[KDBRG]:[HRG_JLMT_CTN+PPN]],11,0),0)</f>
        <v>0</v>
      </c>
      <c r="K504">
        <f>IFERROR(VLOOKUP(Fix_Mapping[[#This Row],[KODE BARANG]],[1]!KINONF15[[KDBRG]:[HRG_JLMT_CTN+PPN]],12,0),0)</f>
        <v>0</v>
      </c>
      <c r="L504">
        <f>IFERROR(VLOOKUP(Fix_Mapping[[#This Row],[KODE BARANG]],[1]!KINONF15[[KDBRG]:[HRG_JLMT_CTN+PPN]],13,0),0)</f>
        <v>0</v>
      </c>
      <c r="M504">
        <f>IFERROR(VLOOKUP(Fix_Mapping[[#This Row],[KODE BARANG]],[1]!KINONF15[[KDBRG]:[HRG_JLMT_CTN+PPN]],14,0),0)</f>
        <v>0</v>
      </c>
      <c r="N504">
        <f>IFERROR(VLOOKUP(Fix_Mapping[[#This Row],[KODE BARANG]],[1]!KINONF15[[KDBRG]:[HRG_JLMT_CTN+PPN]],15,0),0)</f>
        <v>0</v>
      </c>
      <c r="O504">
        <f>IFERROR(VLOOKUP(Fix_Mapping[[#This Row],[KODE BARANG]],[1]!KINONF15[[KDBRG]:[HRG_JLMT_CTN+PPN]],16,0),0)</f>
        <v>0</v>
      </c>
      <c r="P504">
        <f>IFERROR(VLOOKUP(Fix_Mapping[[#This Row],[KODE BARANG]],[1]!KINONF15[[KDBRG]:[HRG_JLMT_CTN+PPN]],17,0),0)</f>
        <v>0</v>
      </c>
      <c r="Q504">
        <f>IFERROR(VLOOKUP(Fix_Mapping[[#This Row],[KODE BARANG]],[1]!KINONF15[[KDBRG]:[HRG_JLMT_CTN+PPN]],18,0),0)</f>
        <v>0</v>
      </c>
      <c r="R504" t="s">
        <v>2555</v>
      </c>
      <c r="S504" t="s">
        <v>534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1967</v>
      </c>
      <c r="B505" t="s">
        <v>1968</v>
      </c>
      <c r="C505">
        <v>36</v>
      </c>
      <c r="D505">
        <f>IFERROR(VLOOKUP(Fix_Mapping[[#This Row],[KODE BARANG]],[1]!KINONF15[[KDBRG]:[HRG_JLMT_CTN+PPN]],5,0),0)</f>
        <v>0</v>
      </c>
      <c r="E505" t="s">
        <v>2268</v>
      </c>
      <c r="F505">
        <f>IFERROR(VLOOKUP(Fix_Mapping[[#This Row],[KODE BARANG]],[1]!KINONF15[[KDBRG]:[HRG_JLMT_CTN+PPN]],7,0),0)</f>
        <v>0</v>
      </c>
      <c r="G505">
        <f>IFERROR(VLOOKUP(Fix_Mapping[[#This Row],[KODE BARANG]],[1]!KINONF15[[KDBRG]:[HRG_JLMT_CTN+PPN]],8,0),0)</f>
        <v>0</v>
      </c>
      <c r="H505">
        <f>IFERROR(VLOOKUP(Fix_Mapping[[#This Row],[KODE BARANG]],[1]!KINONF15[[KDBRG]:[HRG_JLMT_CTN+PPN]],9,0),0)</f>
        <v>0</v>
      </c>
      <c r="I505">
        <f>IFERROR(VLOOKUP(Fix_Mapping[[#This Row],[KODE BARANG]],[1]!KINONF15[[KDBRG]:[HRG_JLMT_CTN+PPN]],10,0),0)</f>
        <v>0</v>
      </c>
      <c r="J505">
        <f>IFERROR(VLOOKUP(Fix_Mapping[[#This Row],[KODE BARANG]],[1]!KINONF15[[KDBRG]:[HRG_JLMT_CTN+PPN]],11,0),0)</f>
        <v>0</v>
      </c>
      <c r="K505">
        <f>IFERROR(VLOOKUP(Fix_Mapping[[#This Row],[KODE BARANG]],[1]!KINONF15[[KDBRG]:[HRG_JLMT_CTN+PPN]],12,0),0)</f>
        <v>0</v>
      </c>
      <c r="L505">
        <f>IFERROR(VLOOKUP(Fix_Mapping[[#This Row],[KODE BARANG]],[1]!KINONF15[[KDBRG]:[HRG_JLMT_CTN+PPN]],13,0),0)</f>
        <v>0</v>
      </c>
      <c r="M505">
        <f>IFERROR(VLOOKUP(Fix_Mapping[[#This Row],[KODE BARANG]],[1]!KINONF15[[KDBRG]:[HRG_JLMT_CTN+PPN]],14,0),0)</f>
        <v>0</v>
      </c>
      <c r="N505">
        <f>IFERROR(VLOOKUP(Fix_Mapping[[#This Row],[KODE BARANG]],[1]!KINONF15[[KDBRG]:[HRG_JLMT_CTN+PPN]],15,0),0)</f>
        <v>0</v>
      </c>
      <c r="O505">
        <f>IFERROR(VLOOKUP(Fix_Mapping[[#This Row],[KODE BARANG]],[1]!KINONF15[[KDBRG]:[HRG_JLMT_CTN+PPN]],16,0),0)</f>
        <v>0</v>
      </c>
      <c r="P505">
        <f>IFERROR(VLOOKUP(Fix_Mapping[[#This Row],[KODE BARANG]],[1]!KINONF15[[KDBRG]:[HRG_JLMT_CTN+PPN]],17,0),0)</f>
        <v>0</v>
      </c>
      <c r="Q505">
        <f>IFERROR(VLOOKUP(Fix_Mapping[[#This Row],[KODE BARANG]],[1]!KINONF15[[KDBRG]:[HRG_JLMT_CTN+PPN]],18,0),0)</f>
        <v>0</v>
      </c>
      <c r="R505" t="s">
        <v>2555</v>
      </c>
      <c r="S505" t="s">
        <v>541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1969</v>
      </c>
      <c r="B506" t="s">
        <v>1970</v>
      </c>
      <c r="C506">
        <v>36</v>
      </c>
      <c r="D506">
        <f>IFERROR(VLOOKUP(Fix_Mapping[[#This Row],[KODE BARANG]],[1]!KINONF15[[KDBRG]:[HRG_JLMT_CTN+PPN]],5,0),0)</f>
        <v>0</v>
      </c>
      <c r="E506" t="s">
        <v>2270</v>
      </c>
      <c r="F506">
        <f>IFERROR(VLOOKUP(Fix_Mapping[[#This Row],[KODE BARANG]],[1]!KINONF15[[KDBRG]:[HRG_JLMT_CTN+PPN]],7,0),0)</f>
        <v>0</v>
      </c>
      <c r="G506">
        <f>IFERROR(VLOOKUP(Fix_Mapping[[#This Row],[KODE BARANG]],[1]!KINONF15[[KDBRG]:[HRG_JLMT_CTN+PPN]],8,0),0)</f>
        <v>0</v>
      </c>
      <c r="H506">
        <f>IFERROR(VLOOKUP(Fix_Mapping[[#This Row],[KODE BARANG]],[1]!KINONF15[[KDBRG]:[HRG_JLMT_CTN+PPN]],9,0),0)</f>
        <v>0</v>
      </c>
      <c r="I506">
        <f>IFERROR(VLOOKUP(Fix_Mapping[[#This Row],[KODE BARANG]],[1]!KINONF15[[KDBRG]:[HRG_JLMT_CTN+PPN]],10,0),0)</f>
        <v>0</v>
      </c>
      <c r="J506">
        <f>IFERROR(VLOOKUP(Fix_Mapping[[#This Row],[KODE BARANG]],[1]!KINONF15[[KDBRG]:[HRG_JLMT_CTN+PPN]],11,0),0)</f>
        <v>0</v>
      </c>
      <c r="K506">
        <f>IFERROR(VLOOKUP(Fix_Mapping[[#This Row],[KODE BARANG]],[1]!KINONF15[[KDBRG]:[HRG_JLMT_CTN+PPN]],12,0),0)</f>
        <v>0</v>
      </c>
      <c r="L506">
        <f>IFERROR(VLOOKUP(Fix_Mapping[[#This Row],[KODE BARANG]],[1]!KINONF15[[KDBRG]:[HRG_JLMT_CTN+PPN]],13,0),0)</f>
        <v>0</v>
      </c>
      <c r="M506">
        <f>IFERROR(VLOOKUP(Fix_Mapping[[#This Row],[KODE BARANG]],[1]!KINONF15[[KDBRG]:[HRG_JLMT_CTN+PPN]],14,0),0)</f>
        <v>0</v>
      </c>
      <c r="N506">
        <f>IFERROR(VLOOKUP(Fix_Mapping[[#This Row],[KODE BARANG]],[1]!KINONF15[[KDBRG]:[HRG_JLMT_CTN+PPN]],15,0),0)</f>
        <v>0</v>
      </c>
      <c r="O506">
        <f>IFERROR(VLOOKUP(Fix_Mapping[[#This Row],[KODE BARANG]],[1]!KINONF15[[KDBRG]:[HRG_JLMT_CTN+PPN]],16,0),0)</f>
        <v>0</v>
      </c>
      <c r="P506">
        <f>IFERROR(VLOOKUP(Fix_Mapping[[#This Row],[KODE BARANG]],[1]!KINONF15[[KDBRG]:[HRG_JLMT_CTN+PPN]],17,0),0)</f>
        <v>0</v>
      </c>
      <c r="Q506">
        <f>IFERROR(VLOOKUP(Fix_Mapping[[#This Row],[KODE BARANG]],[1]!KINONF15[[KDBRG]:[HRG_JLMT_CTN+PPN]],18,0),0)</f>
        <v>0</v>
      </c>
      <c r="R506" t="s">
        <v>2555</v>
      </c>
      <c r="S506" t="s">
        <v>537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1971</v>
      </c>
      <c r="B507" t="s">
        <v>1972</v>
      </c>
      <c r="C507">
        <v>36</v>
      </c>
      <c r="D507">
        <f>IFERROR(VLOOKUP(Fix_Mapping[[#This Row],[KODE BARANG]],[1]!KINONF15[[KDBRG]:[HRG_JLMT_CTN+PPN]],5,0),0)</f>
        <v>0</v>
      </c>
      <c r="E507" t="s">
        <v>2270</v>
      </c>
      <c r="F507">
        <f>IFERROR(VLOOKUP(Fix_Mapping[[#This Row],[KODE BARANG]],[1]!KINONF15[[KDBRG]:[HRG_JLMT_CTN+PPN]],7,0),0)</f>
        <v>0</v>
      </c>
      <c r="G507">
        <f>IFERROR(VLOOKUP(Fix_Mapping[[#This Row],[KODE BARANG]],[1]!KINONF15[[KDBRG]:[HRG_JLMT_CTN+PPN]],8,0),0)</f>
        <v>0</v>
      </c>
      <c r="H507">
        <f>IFERROR(VLOOKUP(Fix_Mapping[[#This Row],[KODE BARANG]],[1]!KINONF15[[KDBRG]:[HRG_JLMT_CTN+PPN]],9,0),0)</f>
        <v>0</v>
      </c>
      <c r="I507">
        <f>IFERROR(VLOOKUP(Fix_Mapping[[#This Row],[KODE BARANG]],[1]!KINONF15[[KDBRG]:[HRG_JLMT_CTN+PPN]],10,0),0)</f>
        <v>0</v>
      </c>
      <c r="J507">
        <f>IFERROR(VLOOKUP(Fix_Mapping[[#This Row],[KODE BARANG]],[1]!KINONF15[[KDBRG]:[HRG_JLMT_CTN+PPN]],11,0),0)</f>
        <v>0</v>
      </c>
      <c r="K507">
        <f>IFERROR(VLOOKUP(Fix_Mapping[[#This Row],[KODE BARANG]],[1]!KINONF15[[KDBRG]:[HRG_JLMT_CTN+PPN]],12,0),0)</f>
        <v>0</v>
      </c>
      <c r="L507">
        <f>IFERROR(VLOOKUP(Fix_Mapping[[#This Row],[KODE BARANG]],[1]!KINONF15[[KDBRG]:[HRG_JLMT_CTN+PPN]],13,0),0)</f>
        <v>0</v>
      </c>
      <c r="M507">
        <f>IFERROR(VLOOKUP(Fix_Mapping[[#This Row],[KODE BARANG]],[1]!KINONF15[[KDBRG]:[HRG_JLMT_CTN+PPN]],14,0),0)</f>
        <v>0</v>
      </c>
      <c r="N507">
        <f>IFERROR(VLOOKUP(Fix_Mapping[[#This Row],[KODE BARANG]],[1]!KINONF15[[KDBRG]:[HRG_JLMT_CTN+PPN]],15,0),0)</f>
        <v>0</v>
      </c>
      <c r="O507">
        <f>IFERROR(VLOOKUP(Fix_Mapping[[#This Row],[KODE BARANG]],[1]!KINONF15[[KDBRG]:[HRG_JLMT_CTN+PPN]],16,0),0)</f>
        <v>0</v>
      </c>
      <c r="P507">
        <f>IFERROR(VLOOKUP(Fix_Mapping[[#This Row],[KODE BARANG]],[1]!KINONF15[[KDBRG]:[HRG_JLMT_CTN+PPN]],17,0),0)</f>
        <v>0</v>
      </c>
      <c r="Q507">
        <f>IFERROR(VLOOKUP(Fix_Mapping[[#This Row],[KODE BARANG]],[1]!KINONF15[[KDBRG]:[HRG_JLMT_CTN+PPN]],18,0),0)</f>
        <v>0</v>
      </c>
      <c r="R507" t="s">
        <v>2555</v>
      </c>
      <c r="S507" t="s">
        <v>544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1973</v>
      </c>
      <c r="B508" t="s">
        <v>1974</v>
      </c>
      <c r="C508">
        <v>36</v>
      </c>
      <c r="D508">
        <f>IFERROR(VLOOKUP(Fix_Mapping[[#This Row],[KODE BARANG]],[1]!KINONF15[[KDBRG]:[HRG_JLMT_CTN+PPN]],5,0),0)</f>
        <v>0</v>
      </c>
      <c r="E508" t="s">
        <v>2272</v>
      </c>
      <c r="F508">
        <f>IFERROR(VLOOKUP(Fix_Mapping[[#This Row],[KODE BARANG]],[1]!KINONF15[[KDBRG]:[HRG_JLMT_CTN+PPN]],7,0),0)</f>
        <v>0</v>
      </c>
      <c r="G508">
        <f>IFERROR(VLOOKUP(Fix_Mapping[[#This Row],[KODE BARANG]],[1]!KINONF15[[KDBRG]:[HRG_JLMT_CTN+PPN]],8,0),0)</f>
        <v>0</v>
      </c>
      <c r="H508">
        <f>IFERROR(VLOOKUP(Fix_Mapping[[#This Row],[KODE BARANG]],[1]!KINONF15[[KDBRG]:[HRG_JLMT_CTN+PPN]],9,0),0)</f>
        <v>0</v>
      </c>
      <c r="I508">
        <f>IFERROR(VLOOKUP(Fix_Mapping[[#This Row],[KODE BARANG]],[1]!KINONF15[[KDBRG]:[HRG_JLMT_CTN+PPN]],10,0),0)</f>
        <v>0</v>
      </c>
      <c r="J508">
        <f>IFERROR(VLOOKUP(Fix_Mapping[[#This Row],[KODE BARANG]],[1]!KINONF15[[KDBRG]:[HRG_JLMT_CTN+PPN]],11,0),0)</f>
        <v>0</v>
      </c>
      <c r="K508">
        <f>IFERROR(VLOOKUP(Fix_Mapping[[#This Row],[KODE BARANG]],[1]!KINONF15[[KDBRG]:[HRG_JLMT_CTN+PPN]],12,0),0)</f>
        <v>0</v>
      </c>
      <c r="L508">
        <f>IFERROR(VLOOKUP(Fix_Mapping[[#This Row],[KODE BARANG]],[1]!KINONF15[[KDBRG]:[HRG_JLMT_CTN+PPN]],13,0),0)</f>
        <v>0</v>
      </c>
      <c r="M508">
        <f>IFERROR(VLOOKUP(Fix_Mapping[[#This Row],[KODE BARANG]],[1]!KINONF15[[KDBRG]:[HRG_JLMT_CTN+PPN]],14,0),0)</f>
        <v>0</v>
      </c>
      <c r="N508">
        <f>IFERROR(VLOOKUP(Fix_Mapping[[#This Row],[KODE BARANG]],[1]!KINONF15[[KDBRG]:[HRG_JLMT_CTN+PPN]],15,0),0)</f>
        <v>0</v>
      </c>
      <c r="O508">
        <f>IFERROR(VLOOKUP(Fix_Mapping[[#This Row],[KODE BARANG]],[1]!KINONF15[[KDBRG]:[HRG_JLMT_CTN+PPN]],16,0),0)</f>
        <v>0</v>
      </c>
      <c r="P508">
        <f>IFERROR(VLOOKUP(Fix_Mapping[[#This Row],[KODE BARANG]],[1]!KINONF15[[KDBRG]:[HRG_JLMT_CTN+PPN]],17,0),0)</f>
        <v>0</v>
      </c>
      <c r="Q508">
        <f>IFERROR(VLOOKUP(Fix_Mapping[[#This Row],[KODE BARANG]],[1]!KINONF15[[KDBRG]:[HRG_JLMT_CTN+PPN]],18,0),0)</f>
        <v>0</v>
      </c>
      <c r="R508" t="s">
        <v>2555</v>
      </c>
      <c r="S508" t="s">
        <v>532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2449</v>
      </c>
      <c r="B509" t="s">
        <v>1975</v>
      </c>
      <c r="C509">
        <v>12</v>
      </c>
      <c r="D509">
        <f>IFERROR(VLOOKUP(Fix_Mapping[[#This Row],[KODE BARANG]],[1]!KINONF15[[KDBRG]:[HRG_JLMT_CTN+PPN]],5,0),0)</f>
        <v>0</v>
      </c>
      <c r="E509" t="s">
        <v>2556</v>
      </c>
      <c r="F509">
        <f>IFERROR(VLOOKUP(Fix_Mapping[[#This Row],[KODE BARANG]],[1]!KINONF15[[KDBRG]:[HRG_JLMT_CTN+PPN]],7,0),0)</f>
        <v>0</v>
      </c>
      <c r="G509">
        <f>IFERROR(VLOOKUP(Fix_Mapping[[#This Row],[KODE BARANG]],[1]!KINONF15[[KDBRG]:[HRG_JLMT_CTN+PPN]],8,0),0)</f>
        <v>0</v>
      </c>
      <c r="H509">
        <f>IFERROR(VLOOKUP(Fix_Mapping[[#This Row],[KODE BARANG]],[1]!KINONF15[[KDBRG]:[HRG_JLMT_CTN+PPN]],9,0),0)</f>
        <v>0</v>
      </c>
      <c r="I509">
        <f>IFERROR(VLOOKUP(Fix_Mapping[[#This Row],[KODE BARANG]],[1]!KINONF15[[KDBRG]:[HRG_JLMT_CTN+PPN]],10,0),0)</f>
        <v>0</v>
      </c>
      <c r="J509">
        <f>IFERROR(VLOOKUP(Fix_Mapping[[#This Row],[KODE BARANG]],[1]!KINONF15[[KDBRG]:[HRG_JLMT_CTN+PPN]],11,0),0)</f>
        <v>0</v>
      </c>
      <c r="K509">
        <f>IFERROR(VLOOKUP(Fix_Mapping[[#This Row],[KODE BARANG]],[1]!KINONF15[[KDBRG]:[HRG_JLMT_CTN+PPN]],12,0),0)</f>
        <v>0</v>
      </c>
      <c r="L509">
        <f>IFERROR(VLOOKUP(Fix_Mapping[[#This Row],[KODE BARANG]],[1]!KINONF15[[KDBRG]:[HRG_JLMT_CTN+PPN]],13,0),0)</f>
        <v>0</v>
      </c>
      <c r="M509">
        <f>IFERROR(VLOOKUP(Fix_Mapping[[#This Row],[KODE BARANG]],[1]!KINONF15[[KDBRG]:[HRG_JLMT_CTN+PPN]],14,0),0)</f>
        <v>0</v>
      </c>
      <c r="N509">
        <f>IFERROR(VLOOKUP(Fix_Mapping[[#This Row],[KODE BARANG]],[1]!KINONF15[[KDBRG]:[HRG_JLMT_CTN+PPN]],15,0),0)</f>
        <v>0</v>
      </c>
      <c r="O509">
        <f>IFERROR(VLOOKUP(Fix_Mapping[[#This Row],[KODE BARANG]],[1]!KINONF15[[KDBRG]:[HRG_JLMT_CTN+PPN]],16,0),0)</f>
        <v>0</v>
      </c>
      <c r="P509">
        <f>IFERROR(VLOOKUP(Fix_Mapping[[#This Row],[KODE BARANG]],[1]!KINONF15[[KDBRG]:[HRG_JLMT_CTN+PPN]],17,0),0)</f>
        <v>0</v>
      </c>
      <c r="Q509">
        <f>IFERROR(VLOOKUP(Fix_Mapping[[#This Row],[KODE BARANG]],[1]!KINONF15[[KDBRG]:[HRG_JLMT_CTN+PPN]],18,0),0)</f>
        <v>0</v>
      </c>
      <c r="R509" t="s">
        <v>2555</v>
      </c>
      <c r="S509" t="s">
        <v>538</v>
      </c>
      <c r="T509">
        <v>0</v>
      </c>
      <c r="U509">
        <v>0</v>
      </c>
      <c r="V509">
        <v>0</v>
      </c>
      <c r="W509">
        <v>0</v>
      </c>
    </row>
    <row r="510" spans="1:23">
      <c r="A510" t="s">
        <v>1976</v>
      </c>
      <c r="B510" t="s">
        <v>1977</v>
      </c>
      <c r="C510">
        <v>36</v>
      </c>
      <c r="D510">
        <f>IFERROR(VLOOKUP(Fix_Mapping[[#This Row],[KODE BARANG]],[1]!KINONF15[[KDBRG]:[HRG_JLMT_CTN+PPN]],5,0),0)</f>
        <v>0</v>
      </c>
      <c r="E510" t="s">
        <v>2272</v>
      </c>
      <c r="F510">
        <f>IFERROR(VLOOKUP(Fix_Mapping[[#This Row],[KODE BARANG]],[1]!KINONF15[[KDBRG]:[HRG_JLMT_CTN+PPN]],7,0),0)</f>
        <v>0</v>
      </c>
      <c r="G510">
        <f>IFERROR(VLOOKUP(Fix_Mapping[[#This Row],[KODE BARANG]],[1]!KINONF15[[KDBRG]:[HRG_JLMT_CTN+PPN]],8,0),0)</f>
        <v>0</v>
      </c>
      <c r="H510">
        <f>IFERROR(VLOOKUP(Fix_Mapping[[#This Row],[KODE BARANG]],[1]!KINONF15[[KDBRG]:[HRG_JLMT_CTN+PPN]],9,0),0)</f>
        <v>0</v>
      </c>
      <c r="I510">
        <f>IFERROR(VLOOKUP(Fix_Mapping[[#This Row],[KODE BARANG]],[1]!KINONF15[[KDBRG]:[HRG_JLMT_CTN+PPN]],10,0),0)</f>
        <v>0</v>
      </c>
      <c r="J510">
        <f>IFERROR(VLOOKUP(Fix_Mapping[[#This Row],[KODE BARANG]],[1]!KINONF15[[KDBRG]:[HRG_JLMT_CTN+PPN]],11,0),0)</f>
        <v>0</v>
      </c>
      <c r="K510">
        <f>IFERROR(VLOOKUP(Fix_Mapping[[#This Row],[KODE BARANG]],[1]!KINONF15[[KDBRG]:[HRG_JLMT_CTN+PPN]],12,0),0)</f>
        <v>0</v>
      </c>
      <c r="L510">
        <f>IFERROR(VLOOKUP(Fix_Mapping[[#This Row],[KODE BARANG]],[1]!KINONF15[[KDBRG]:[HRG_JLMT_CTN+PPN]],13,0),0)</f>
        <v>0</v>
      </c>
      <c r="M510">
        <f>IFERROR(VLOOKUP(Fix_Mapping[[#This Row],[KODE BARANG]],[1]!KINONF15[[KDBRG]:[HRG_JLMT_CTN+PPN]],14,0),0)</f>
        <v>0</v>
      </c>
      <c r="N510">
        <f>IFERROR(VLOOKUP(Fix_Mapping[[#This Row],[KODE BARANG]],[1]!KINONF15[[KDBRG]:[HRG_JLMT_CTN+PPN]],15,0),0)</f>
        <v>0</v>
      </c>
      <c r="O510">
        <f>IFERROR(VLOOKUP(Fix_Mapping[[#This Row],[KODE BARANG]],[1]!KINONF15[[KDBRG]:[HRG_JLMT_CTN+PPN]],16,0),0)</f>
        <v>0</v>
      </c>
      <c r="P510">
        <f>IFERROR(VLOOKUP(Fix_Mapping[[#This Row],[KODE BARANG]],[1]!KINONF15[[KDBRG]:[HRG_JLMT_CTN+PPN]],17,0),0)</f>
        <v>0</v>
      </c>
      <c r="Q510">
        <f>IFERROR(VLOOKUP(Fix_Mapping[[#This Row],[KODE BARANG]],[1]!KINONF15[[KDBRG]:[HRG_JLMT_CTN+PPN]],18,0),0)</f>
        <v>0</v>
      </c>
      <c r="R510" t="s">
        <v>2555</v>
      </c>
      <c r="S510" t="s">
        <v>539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2450</v>
      </c>
      <c r="B511" t="s">
        <v>1978</v>
      </c>
      <c r="C511">
        <v>12</v>
      </c>
      <c r="D511">
        <f>IFERROR(VLOOKUP(Fix_Mapping[[#This Row],[KODE BARANG]],[1]!KINONF15[[KDBRG]:[HRG_JLMT_CTN+PPN]],5,0),0)</f>
        <v>0</v>
      </c>
      <c r="E511" t="s">
        <v>2556</v>
      </c>
      <c r="F511">
        <f>IFERROR(VLOOKUP(Fix_Mapping[[#This Row],[KODE BARANG]],[1]!KINONF15[[KDBRG]:[HRG_JLMT_CTN+PPN]],7,0),0)</f>
        <v>0</v>
      </c>
      <c r="G511">
        <f>IFERROR(VLOOKUP(Fix_Mapping[[#This Row],[KODE BARANG]],[1]!KINONF15[[KDBRG]:[HRG_JLMT_CTN+PPN]],8,0),0)</f>
        <v>0</v>
      </c>
      <c r="H511">
        <f>IFERROR(VLOOKUP(Fix_Mapping[[#This Row],[KODE BARANG]],[1]!KINONF15[[KDBRG]:[HRG_JLMT_CTN+PPN]],9,0),0)</f>
        <v>0</v>
      </c>
      <c r="I511">
        <f>IFERROR(VLOOKUP(Fix_Mapping[[#This Row],[KODE BARANG]],[1]!KINONF15[[KDBRG]:[HRG_JLMT_CTN+PPN]],10,0),0)</f>
        <v>0</v>
      </c>
      <c r="J511">
        <f>IFERROR(VLOOKUP(Fix_Mapping[[#This Row],[KODE BARANG]],[1]!KINONF15[[KDBRG]:[HRG_JLMT_CTN+PPN]],11,0),0)</f>
        <v>0</v>
      </c>
      <c r="K511">
        <f>IFERROR(VLOOKUP(Fix_Mapping[[#This Row],[KODE BARANG]],[1]!KINONF15[[KDBRG]:[HRG_JLMT_CTN+PPN]],12,0),0)</f>
        <v>0</v>
      </c>
      <c r="L511">
        <f>IFERROR(VLOOKUP(Fix_Mapping[[#This Row],[KODE BARANG]],[1]!KINONF15[[KDBRG]:[HRG_JLMT_CTN+PPN]],13,0),0)</f>
        <v>0</v>
      </c>
      <c r="M511">
        <f>IFERROR(VLOOKUP(Fix_Mapping[[#This Row],[KODE BARANG]],[1]!KINONF15[[KDBRG]:[HRG_JLMT_CTN+PPN]],14,0),0)</f>
        <v>0</v>
      </c>
      <c r="N511">
        <f>IFERROR(VLOOKUP(Fix_Mapping[[#This Row],[KODE BARANG]],[1]!KINONF15[[KDBRG]:[HRG_JLMT_CTN+PPN]],15,0),0)</f>
        <v>0</v>
      </c>
      <c r="O511">
        <f>IFERROR(VLOOKUP(Fix_Mapping[[#This Row],[KODE BARANG]],[1]!KINONF15[[KDBRG]:[HRG_JLMT_CTN+PPN]],16,0),0)</f>
        <v>0</v>
      </c>
      <c r="P511">
        <f>IFERROR(VLOOKUP(Fix_Mapping[[#This Row],[KODE BARANG]],[1]!KINONF15[[KDBRG]:[HRG_JLMT_CTN+PPN]],17,0),0)</f>
        <v>0</v>
      </c>
      <c r="Q511">
        <f>IFERROR(VLOOKUP(Fix_Mapping[[#This Row],[KODE BARANG]],[1]!KINONF15[[KDBRG]:[HRG_JLMT_CTN+PPN]],18,0),0)</f>
        <v>0</v>
      </c>
      <c r="R511" t="s">
        <v>2555</v>
      </c>
      <c r="S511" t="s">
        <v>545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2451</v>
      </c>
      <c r="B512" t="s">
        <v>1979</v>
      </c>
      <c r="C512">
        <v>12</v>
      </c>
      <c r="D512">
        <f>IFERROR(VLOOKUP(Fix_Mapping[[#This Row],[KODE BARANG]],[1]!KINONF15[[KDBRG]:[HRG_JLMT_CTN+PPN]],5,0),0)</f>
        <v>0</v>
      </c>
      <c r="E512" t="s">
        <v>2556</v>
      </c>
      <c r="F512">
        <f>IFERROR(VLOOKUP(Fix_Mapping[[#This Row],[KODE BARANG]],[1]!KINONF15[[KDBRG]:[HRG_JLMT_CTN+PPN]],7,0),0)</f>
        <v>0</v>
      </c>
      <c r="G512">
        <f>IFERROR(VLOOKUP(Fix_Mapping[[#This Row],[KODE BARANG]],[1]!KINONF15[[KDBRG]:[HRG_JLMT_CTN+PPN]],8,0),0)</f>
        <v>0</v>
      </c>
      <c r="H512">
        <f>IFERROR(VLOOKUP(Fix_Mapping[[#This Row],[KODE BARANG]],[1]!KINONF15[[KDBRG]:[HRG_JLMT_CTN+PPN]],9,0),0)</f>
        <v>0</v>
      </c>
      <c r="I512">
        <f>IFERROR(VLOOKUP(Fix_Mapping[[#This Row],[KODE BARANG]],[1]!KINONF15[[KDBRG]:[HRG_JLMT_CTN+PPN]],10,0),0)</f>
        <v>0</v>
      </c>
      <c r="J512">
        <f>IFERROR(VLOOKUP(Fix_Mapping[[#This Row],[KODE BARANG]],[1]!KINONF15[[KDBRG]:[HRG_JLMT_CTN+PPN]],11,0),0)</f>
        <v>0</v>
      </c>
      <c r="K512">
        <f>IFERROR(VLOOKUP(Fix_Mapping[[#This Row],[KODE BARANG]],[1]!KINONF15[[KDBRG]:[HRG_JLMT_CTN+PPN]],12,0),0)</f>
        <v>0</v>
      </c>
      <c r="L512">
        <f>IFERROR(VLOOKUP(Fix_Mapping[[#This Row],[KODE BARANG]],[1]!KINONF15[[KDBRG]:[HRG_JLMT_CTN+PPN]],13,0),0)</f>
        <v>0</v>
      </c>
      <c r="M512">
        <f>IFERROR(VLOOKUP(Fix_Mapping[[#This Row],[KODE BARANG]],[1]!KINONF15[[KDBRG]:[HRG_JLMT_CTN+PPN]],14,0),0)</f>
        <v>0</v>
      </c>
      <c r="N512">
        <f>IFERROR(VLOOKUP(Fix_Mapping[[#This Row],[KODE BARANG]],[1]!KINONF15[[KDBRG]:[HRG_JLMT_CTN+PPN]],15,0),0)</f>
        <v>0</v>
      </c>
      <c r="O512">
        <f>IFERROR(VLOOKUP(Fix_Mapping[[#This Row],[KODE BARANG]],[1]!KINONF15[[KDBRG]:[HRG_JLMT_CTN+PPN]],16,0),0)</f>
        <v>0</v>
      </c>
      <c r="P512">
        <f>IFERROR(VLOOKUP(Fix_Mapping[[#This Row],[KODE BARANG]],[1]!KINONF15[[KDBRG]:[HRG_JLMT_CTN+PPN]],17,0),0)</f>
        <v>0</v>
      </c>
      <c r="Q512">
        <f>IFERROR(VLOOKUP(Fix_Mapping[[#This Row],[KODE BARANG]],[1]!KINONF15[[KDBRG]:[HRG_JLMT_CTN+PPN]],18,0),0)</f>
        <v>0</v>
      </c>
      <c r="R512" t="s">
        <v>2555</v>
      </c>
      <c r="S512" t="s">
        <v>550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1980</v>
      </c>
      <c r="B513" t="s">
        <v>1981</v>
      </c>
      <c r="C513">
        <v>36</v>
      </c>
      <c r="D513">
        <f>IFERROR(VLOOKUP(Fix_Mapping[[#This Row],[KODE BARANG]],[1]!KINONF15[[KDBRG]:[HRG_JLMT_CTN+PPN]],5,0),0)</f>
        <v>0</v>
      </c>
      <c r="E513" t="s">
        <v>2256</v>
      </c>
      <c r="F513">
        <f>IFERROR(VLOOKUP(Fix_Mapping[[#This Row],[KODE BARANG]],[1]!KINONF15[[KDBRG]:[HRG_JLMT_CTN+PPN]],7,0),0)</f>
        <v>0</v>
      </c>
      <c r="G513">
        <f>IFERROR(VLOOKUP(Fix_Mapping[[#This Row],[KODE BARANG]],[1]!KINONF15[[KDBRG]:[HRG_JLMT_CTN+PPN]],8,0),0)</f>
        <v>0</v>
      </c>
      <c r="H513">
        <f>IFERROR(VLOOKUP(Fix_Mapping[[#This Row],[KODE BARANG]],[1]!KINONF15[[KDBRG]:[HRG_JLMT_CTN+PPN]],9,0),0)</f>
        <v>0</v>
      </c>
      <c r="I513">
        <f>IFERROR(VLOOKUP(Fix_Mapping[[#This Row],[KODE BARANG]],[1]!KINONF15[[KDBRG]:[HRG_JLMT_CTN+PPN]],10,0),0)</f>
        <v>0</v>
      </c>
      <c r="J513">
        <f>IFERROR(VLOOKUP(Fix_Mapping[[#This Row],[KODE BARANG]],[1]!KINONF15[[KDBRG]:[HRG_JLMT_CTN+PPN]],11,0),0)</f>
        <v>0</v>
      </c>
      <c r="K513">
        <f>IFERROR(VLOOKUP(Fix_Mapping[[#This Row],[KODE BARANG]],[1]!KINONF15[[KDBRG]:[HRG_JLMT_CTN+PPN]],12,0),0)</f>
        <v>0</v>
      </c>
      <c r="L513">
        <f>IFERROR(VLOOKUP(Fix_Mapping[[#This Row],[KODE BARANG]],[1]!KINONF15[[KDBRG]:[HRG_JLMT_CTN+PPN]],13,0),0)</f>
        <v>0</v>
      </c>
      <c r="M513">
        <f>IFERROR(VLOOKUP(Fix_Mapping[[#This Row],[KODE BARANG]],[1]!KINONF15[[KDBRG]:[HRG_JLMT_CTN+PPN]],14,0),0)</f>
        <v>0</v>
      </c>
      <c r="N513">
        <f>IFERROR(VLOOKUP(Fix_Mapping[[#This Row],[KODE BARANG]],[1]!KINONF15[[KDBRG]:[HRG_JLMT_CTN+PPN]],15,0),0)</f>
        <v>0</v>
      </c>
      <c r="O513">
        <f>IFERROR(VLOOKUP(Fix_Mapping[[#This Row],[KODE BARANG]],[1]!KINONF15[[KDBRG]:[HRG_JLMT_CTN+PPN]],16,0),0)</f>
        <v>0</v>
      </c>
      <c r="P513">
        <f>IFERROR(VLOOKUP(Fix_Mapping[[#This Row],[KODE BARANG]],[1]!KINONF15[[KDBRG]:[HRG_JLMT_CTN+PPN]],17,0),0)</f>
        <v>0</v>
      </c>
      <c r="Q513">
        <f>IFERROR(VLOOKUP(Fix_Mapping[[#This Row],[KODE BARANG]],[1]!KINONF15[[KDBRG]:[HRG_JLMT_CTN+PPN]],18,0),0)</f>
        <v>0</v>
      </c>
      <c r="R513" t="s">
        <v>2555</v>
      </c>
      <c r="S513" t="s">
        <v>536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1982</v>
      </c>
      <c r="B514" t="s">
        <v>1983</v>
      </c>
      <c r="C514">
        <v>36</v>
      </c>
      <c r="D514">
        <f>IFERROR(VLOOKUP(Fix_Mapping[[#This Row],[KODE BARANG]],[1]!KINONF15[[KDBRG]:[HRG_JLMT_CTN+PPN]],5,0),0)</f>
        <v>0</v>
      </c>
      <c r="E514" t="s">
        <v>2256</v>
      </c>
      <c r="F514">
        <f>IFERROR(VLOOKUP(Fix_Mapping[[#This Row],[KODE BARANG]],[1]!KINONF15[[KDBRG]:[HRG_JLMT_CTN+PPN]],7,0),0)</f>
        <v>0</v>
      </c>
      <c r="G514">
        <f>IFERROR(VLOOKUP(Fix_Mapping[[#This Row],[KODE BARANG]],[1]!KINONF15[[KDBRG]:[HRG_JLMT_CTN+PPN]],8,0),0)</f>
        <v>0</v>
      </c>
      <c r="H514">
        <f>IFERROR(VLOOKUP(Fix_Mapping[[#This Row],[KODE BARANG]],[1]!KINONF15[[KDBRG]:[HRG_JLMT_CTN+PPN]],9,0),0)</f>
        <v>0</v>
      </c>
      <c r="I514">
        <f>IFERROR(VLOOKUP(Fix_Mapping[[#This Row],[KODE BARANG]],[1]!KINONF15[[KDBRG]:[HRG_JLMT_CTN+PPN]],10,0),0)</f>
        <v>0</v>
      </c>
      <c r="J514">
        <f>IFERROR(VLOOKUP(Fix_Mapping[[#This Row],[KODE BARANG]],[1]!KINONF15[[KDBRG]:[HRG_JLMT_CTN+PPN]],11,0),0)</f>
        <v>0</v>
      </c>
      <c r="K514">
        <f>IFERROR(VLOOKUP(Fix_Mapping[[#This Row],[KODE BARANG]],[1]!KINONF15[[KDBRG]:[HRG_JLMT_CTN+PPN]],12,0),0)</f>
        <v>0</v>
      </c>
      <c r="L514">
        <f>IFERROR(VLOOKUP(Fix_Mapping[[#This Row],[KODE BARANG]],[1]!KINONF15[[KDBRG]:[HRG_JLMT_CTN+PPN]],13,0),0)</f>
        <v>0</v>
      </c>
      <c r="M514">
        <f>IFERROR(VLOOKUP(Fix_Mapping[[#This Row],[KODE BARANG]],[1]!KINONF15[[KDBRG]:[HRG_JLMT_CTN+PPN]],14,0),0)</f>
        <v>0</v>
      </c>
      <c r="N514">
        <f>IFERROR(VLOOKUP(Fix_Mapping[[#This Row],[KODE BARANG]],[1]!KINONF15[[KDBRG]:[HRG_JLMT_CTN+PPN]],15,0),0)</f>
        <v>0</v>
      </c>
      <c r="O514">
        <f>IFERROR(VLOOKUP(Fix_Mapping[[#This Row],[KODE BARANG]],[1]!KINONF15[[KDBRG]:[HRG_JLMT_CTN+PPN]],16,0),0)</f>
        <v>0</v>
      </c>
      <c r="P514">
        <f>IFERROR(VLOOKUP(Fix_Mapping[[#This Row],[KODE BARANG]],[1]!KINONF15[[KDBRG]:[HRG_JLMT_CTN+PPN]],17,0),0)</f>
        <v>0</v>
      </c>
      <c r="Q514">
        <f>IFERROR(VLOOKUP(Fix_Mapping[[#This Row],[KODE BARANG]],[1]!KINONF15[[KDBRG]:[HRG_JLMT_CTN+PPN]],18,0),0)</f>
        <v>0</v>
      </c>
      <c r="R514" t="s">
        <v>2555</v>
      </c>
      <c r="S514" t="s">
        <v>543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1984</v>
      </c>
      <c r="B515" t="s">
        <v>1985</v>
      </c>
      <c r="C515">
        <v>36</v>
      </c>
      <c r="D515">
        <f>IFERROR(VLOOKUP(Fix_Mapping[[#This Row],[KODE BARANG]],[1]!KINONF15[[KDBRG]:[HRG_JLMT_CTN+PPN]],5,0),0)</f>
        <v>0</v>
      </c>
      <c r="E515" t="s">
        <v>2256</v>
      </c>
      <c r="F515">
        <f>IFERROR(VLOOKUP(Fix_Mapping[[#This Row],[KODE BARANG]],[1]!KINONF15[[KDBRG]:[HRG_JLMT_CTN+PPN]],7,0),0)</f>
        <v>0</v>
      </c>
      <c r="G515">
        <f>IFERROR(VLOOKUP(Fix_Mapping[[#This Row],[KODE BARANG]],[1]!KINONF15[[KDBRG]:[HRG_JLMT_CTN+PPN]],8,0),0)</f>
        <v>0</v>
      </c>
      <c r="H515">
        <f>IFERROR(VLOOKUP(Fix_Mapping[[#This Row],[KODE BARANG]],[1]!KINONF15[[KDBRG]:[HRG_JLMT_CTN+PPN]],9,0),0)</f>
        <v>0</v>
      </c>
      <c r="I515">
        <f>IFERROR(VLOOKUP(Fix_Mapping[[#This Row],[KODE BARANG]],[1]!KINONF15[[KDBRG]:[HRG_JLMT_CTN+PPN]],10,0),0)</f>
        <v>0</v>
      </c>
      <c r="J515">
        <f>IFERROR(VLOOKUP(Fix_Mapping[[#This Row],[KODE BARANG]],[1]!KINONF15[[KDBRG]:[HRG_JLMT_CTN+PPN]],11,0),0)</f>
        <v>0</v>
      </c>
      <c r="K515">
        <f>IFERROR(VLOOKUP(Fix_Mapping[[#This Row],[KODE BARANG]],[1]!KINONF15[[KDBRG]:[HRG_JLMT_CTN+PPN]],12,0),0)</f>
        <v>0</v>
      </c>
      <c r="L515">
        <f>IFERROR(VLOOKUP(Fix_Mapping[[#This Row],[KODE BARANG]],[1]!KINONF15[[KDBRG]:[HRG_JLMT_CTN+PPN]],13,0),0)</f>
        <v>0</v>
      </c>
      <c r="M515">
        <f>IFERROR(VLOOKUP(Fix_Mapping[[#This Row],[KODE BARANG]],[1]!KINONF15[[KDBRG]:[HRG_JLMT_CTN+PPN]],14,0),0)</f>
        <v>0</v>
      </c>
      <c r="N515">
        <f>IFERROR(VLOOKUP(Fix_Mapping[[#This Row],[KODE BARANG]],[1]!KINONF15[[KDBRG]:[HRG_JLMT_CTN+PPN]],15,0),0)</f>
        <v>0</v>
      </c>
      <c r="O515">
        <f>IFERROR(VLOOKUP(Fix_Mapping[[#This Row],[KODE BARANG]],[1]!KINONF15[[KDBRG]:[HRG_JLMT_CTN+PPN]],16,0),0)</f>
        <v>0</v>
      </c>
      <c r="P515">
        <f>IFERROR(VLOOKUP(Fix_Mapping[[#This Row],[KODE BARANG]],[1]!KINONF15[[KDBRG]:[HRG_JLMT_CTN+PPN]],17,0),0)</f>
        <v>0</v>
      </c>
      <c r="Q515">
        <f>IFERROR(VLOOKUP(Fix_Mapping[[#This Row],[KODE BARANG]],[1]!KINONF15[[KDBRG]:[HRG_JLMT_CTN+PPN]],18,0),0)</f>
        <v>0</v>
      </c>
      <c r="R515" t="s">
        <v>2555</v>
      </c>
      <c r="S515" t="s">
        <v>548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1986</v>
      </c>
      <c r="B516" t="s">
        <v>1987</v>
      </c>
      <c r="C516">
        <v>36</v>
      </c>
      <c r="D516">
        <f>IFERROR(VLOOKUP(Fix_Mapping[[#This Row],[KODE BARANG]],[1]!KINONF15[[KDBRG]:[HRG_JLMT_CTN+PPN]],5,0),0)</f>
        <v>0</v>
      </c>
      <c r="E516" t="s">
        <v>2258</v>
      </c>
      <c r="F516">
        <f>IFERROR(VLOOKUP(Fix_Mapping[[#This Row],[KODE BARANG]],[1]!KINONF15[[KDBRG]:[HRG_JLMT_CTN+PPN]],7,0),0)</f>
        <v>0</v>
      </c>
      <c r="G516">
        <f>IFERROR(VLOOKUP(Fix_Mapping[[#This Row],[KODE BARANG]],[1]!KINONF15[[KDBRG]:[HRG_JLMT_CTN+PPN]],8,0),0)</f>
        <v>0</v>
      </c>
      <c r="H516">
        <f>IFERROR(VLOOKUP(Fix_Mapping[[#This Row],[KODE BARANG]],[1]!KINONF15[[KDBRG]:[HRG_JLMT_CTN+PPN]],9,0),0)</f>
        <v>0</v>
      </c>
      <c r="I516">
        <f>IFERROR(VLOOKUP(Fix_Mapping[[#This Row],[KODE BARANG]],[1]!KINONF15[[KDBRG]:[HRG_JLMT_CTN+PPN]],10,0),0)</f>
        <v>0</v>
      </c>
      <c r="J516">
        <f>IFERROR(VLOOKUP(Fix_Mapping[[#This Row],[KODE BARANG]],[1]!KINONF15[[KDBRG]:[HRG_JLMT_CTN+PPN]],11,0),0)</f>
        <v>0</v>
      </c>
      <c r="K516">
        <f>IFERROR(VLOOKUP(Fix_Mapping[[#This Row],[KODE BARANG]],[1]!KINONF15[[KDBRG]:[HRG_JLMT_CTN+PPN]],12,0),0)</f>
        <v>0</v>
      </c>
      <c r="L516">
        <f>IFERROR(VLOOKUP(Fix_Mapping[[#This Row],[KODE BARANG]],[1]!KINONF15[[KDBRG]:[HRG_JLMT_CTN+PPN]],13,0),0)</f>
        <v>0</v>
      </c>
      <c r="M516">
        <f>IFERROR(VLOOKUP(Fix_Mapping[[#This Row],[KODE BARANG]],[1]!KINONF15[[KDBRG]:[HRG_JLMT_CTN+PPN]],14,0),0)</f>
        <v>0</v>
      </c>
      <c r="N516">
        <f>IFERROR(VLOOKUP(Fix_Mapping[[#This Row],[KODE BARANG]],[1]!KINONF15[[KDBRG]:[HRG_JLMT_CTN+PPN]],15,0),0)</f>
        <v>0</v>
      </c>
      <c r="O516">
        <f>IFERROR(VLOOKUP(Fix_Mapping[[#This Row],[KODE BARANG]],[1]!KINONF15[[KDBRG]:[HRG_JLMT_CTN+PPN]],16,0),0)</f>
        <v>0</v>
      </c>
      <c r="P516">
        <f>IFERROR(VLOOKUP(Fix_Mapping[[#This Row],[KODE BARANG]],[1]!KINONF15[[KDBRG]:[HRG_JLMT_CTN+PPN]],17,0),0)</f>
        <v>0</v>
      </c>
      <c r="Q516">
        <f>IFERROR(VLOOKUP(Fix_Mapping[[#This Row],[KODE BARANG]],[1]!KINONF15[[KDBRG]:[HRG_JLMT_CTN+PPN]],18,0),0)</f>
        <v>0</v>
      </c>
      <c r="R516" t="s">
        <v>2555</v>
      </c>
      <c r="S516" t="s">
        <v>535</v>
      </c>
      <c r="T516">
        <v>0</v>
      </c>
      <c r="U516">
        <v>0</v>
      </c>
      <c r="V516">
        <v>0</v>
      </c>
      <c r="W516">
        <v>0</v>
      </c>
    </row>
    <row r="517" spans="1:23">
      <c r="A517" t="s">
        <v>1988</v>
      </c>
      <c r="B517" t="s">
        <v>1989</v>
      </c>
      <c r="C517">
        <v>36</v>
      </c>
      <c r="D517">
        <f>IFERROR(VLOOKUP(Fix_Mapping[[#This Row],[KODE BARANG]],[1]!KINONF15[[KDBRG]:[HRG_JLMT_CTN+PPN]],5,0),0)</f>
        <v>0</v>
      </c>
      <c r="E517" t="s">
        <v>2258</v>
      </c>
      <c r="F517">
        <f>IFERROR(VLOOKUP(Fix_Mapping[[#This Row],[KODE BARANG]],[1]!KINONF15[[KDBRG]:[HRG_JLMT_CTN+PPN]],7,0),0)</f>
        <v>0</v>
      </c>
      <c r="G517">
        <f>IFERROR(VLOOKUP(Fix_Mapping[[#This Row],[KODE BARANG]],[1]!KINONF15[[KDBRG]:[HRG_JLMT_CTN+PPN]],8,0),0)</f>
        <v>0</v>
      </c>
      <c r="H517">
        <f>IFERROR(VLOOKUP(Fix_Mapping[[#This Row],[KODE BARANG]],[1]!KINONF15[[KDBRG]:[HRG_JLMT_CTN+PPN]],9,0),0)</f>
        <v>0</v>
      </c>
      <c r="I517">
        <f>IFERROR(VLOOKUP(Fix_Mapping[[#This Row],[KODE BARANG]],[1]!KINONF15[[KDBRG]:[HRG_JLMT_CTN+PPN]],10,0),0)</f>
        <v>0</v>
      </c>
      <c r="J517">
        <f>IFERROR(VLOOKUP(Fix_Mapping[[#This Row],[KODE BARANG]],[1]!KINONF15[[KDBRG]:[HRG_JLMT_CTN+PPN]],11,0),0)</f>
        <v>0</v>
      </c>
      <c r="K517">
        <f>IFERROR(VLOOKUP(Fix_Mapping[[#This Row],[KODE BARANG]],[1]!KINONF15[[KDBRG]:[HRG_JLMT_CTN+PPN]],12,0),0)</f>
        <v>0</v>
      </c>
      <c r="L517">
        <f>IFERROR(VLOOKUP(Fix_Mapping[[#This Row],[KODE BARANG]],[1]!KINONF15[[KDBRG]:[HRG_JLMT_CTN+PPN]],13,0),0)</f>
        <v>0</v>
      </c>
      <c r="M517">
        <f>IFERROR(VLOOKUP(Fix_Mapping[[#This Row],[KODE BARANG]],[1]!KINONF15[[KDBRG]:[HRG_JLMT_CTN+PPN]],14,0),0)</f>
        <v>0</v>
      </c>
      <c r="N517">
        <f>IFERROR(VLOOKUP(Fix_Mapping[[#This Row],[KODE BARANG]],[1]!KINONF15[[KDBRG]:[HRG_JLMT_CTN+PPN]],15,0),0)</f>
        <v>0</v>
      </c>
      <c r="O517">
        <f>IFERROR(VLOOKUP(Fix_Mapping[[#This Row],[KODE BARANG]],[1]!KINONF15[[KDBRG]:[HRG_JLMT_CTN+PPN]],16,0),0)</f>
        <v>0</v>
      </c>
      <c r="P517">
        <f>IFERROR(VLOOKUP(Fix_Mapping[[#This Row],[KODE BARANG]],[1]!KINONF15[[KDBRG]:[HRG_JLMT_CTN+PPN]],17,0),0)</f>
        <v>0</v>
      </c>
      <c r="Q517">
        <f>IFERROR(VLOOKUP(Fix_Mapping[[#This Row],[KODE BARANG]],[1]!KINONF15[[KDBRG]:[HRG_JLMT_CTN+PPN]],18,0),0)</f>
        <v>0</v>
      </c>
      <c r="R517" t="s">
        <v>2555</v>
      </c>
      <c r="S517" t="s">
        <v>542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1990</v>
      </c>
      <c r="B518" t="s">
        <v>1991</v>
      </c>
      <c r="C518">
        <v>36</v>
      </c>
      <c r="D518">
        <f>IFERROR(VLOOKUP(Fix_Mapping[[#This Row],[KODE BARANG]],[1]!KINONF15[[KDBRG]:[HRG_JLMT_CTN+PPN]],5,0),0)</f>
        <v>0</v>
      </c>
      <c r="E518" t="s">
        <v>2258</v>
      </c>
      <c r="F518">
        <f>IFERROR(VLOOKUP(Fix_Mapping[[#This Row],[KODE BARANG]],[1]!KINONF15[[KDBRG]:[HRG_JLMT_CTN+PPN]],7,0),0)</f>
        <v>0</v>
      </c>
      <c r="G518">
        <f>IFERROR(VLOOKUP(Fix_Mapping[[#This Row],[KODE BARANG]],[1]!KINONF15[[KDBRG]:[HRG_JLMT_CTN+PPN]],8,0),0)</f>
        <v>0</v>
      </c>
      <c r="H518">
        <f>IFERROR(VLOOKUP(Fix_Mapping[[#This Row],[KODE BARANG]],[1]!KINONF15[[KDBRG]:[HRG_JLMT_CTN+PPN]],9,0),0)</f>
        <v>0</v>
      </c>
      <c r="I518">
        <f>IFERROR(VLOOKUP(Fix_Mapping[[#This Row],[KODE BARANG]],[1]!KINONF15[[KDBRG]:[HRG_JLMT_CTN+PPN]],10,0),0)</f>
        <v>0</v>
      </c>
      <c r="J518">
        <f>IFERROR(VLOOKUP(Fix_Mapping[[#This Row],[KODE BARANG]],[1]!KINONF15[[KDBRG]:[HRG_JLMT_CTN+PPN]],11,0),0)</f>
        <v>0</v>
      </c>
      <c r="K518">
        <f>IFERROR(VLOOKUP(Fix_Mapping[[#This Row],[KODE BARANG]],[1]!KINONF15[[KDBRG]:[HRG_JLMT_CTN+PPN]],12,0),0)</f>
        <v>0</v>
      </c>
      <c r="L518">
        <f>IFERROR(VLOOKUP(Fix_Mapping[[#This Row],[KODE BARANG]],[1]!KINONF15[[KDBRG]:[HRG_JLMT_CTN+PPN]],13,0),0)</f>
        <v>0</v>
      </c>
      <c r="M518">
        <f>IFERROR(VLOOKUP(Fix_Mapping[[#This Row],[KODE BARANG]],[1]!KINONF15[[KDBRG]:[HRG_JLMT_CTN+PPN]],14,0),0)</f>
        <v>0</v>
      </c>
      <c r="N518">
        <f>IFERROR(VLOOKUP(Fix_Mapping[[#This Row],[KODE BARANG]],[1]!KINONF15[[KDBRG]:[HRG_JLMT_CTN+PPN]],15,0),0)</f>
        <v>0</v>
      </c>
      <c r="O518">
        <f>IFERROR(VLOOKUP(Fix_Mapping[[#This Row],[KODE BARANG]],[1]!KINONF15[[KDBRG]:[HRG_JLMT_CTN+PPN]],16,0),0)</f>
        <v>0</v>
      </c>
      <c r="P518">
        <f>IFERROR(VLOOKUP(Fix_Mapping[[#This Row],[KODE BARANG]],[1]!KINONF15[[KDBRG]:[HRG_JLMT_CTN+PPN]],17,0),0)</f>
        <v>0</v>
      </c>
      <c r="Q518">
        <f>IFERROR(VLOOKUP(Fix_Mapping[[#This Row],[KODE BARANG]],[1]!KINONF15[[KDBRG]:[HRG_JLMT_CTN+PPN]],18,0),0)</f>
        <v>0</v>
      </c>
      <c r="R518" t="s">
        <v>2555</v>
      </c>
      <c r="S518" t="s">
        <v>547</v>
      </c>
      <c r="T518">
        <v>0</v>
      </c>
      <c r="U518">
        <v>0</v>
      </c>
      <c r="V518">
        <v>0</v>
      </c>
      <c r="W518">
        <v>0</v>
      </c>
    </row>
    <row r="519" spans="1:23">
      <c r="A519" t="s">
        <v>1992</v>
      </c>
      <c r="B519" t="s">
        <v>1993</v>
      </c>
      <c r="C519">
        <v>36</v>
      </c>
      <c r="D519">
        <f>IFERROR(VLOOKUP(Fix_Mapping[[#This Row],[KODE BARANG]],[1]!KINONF15[[KDBRG]:[HRG_JLMT_CTN+PPN]],5,0),0)</f>
        <v>0</v>
      </c>
      <c r="E519" t="s">
        <v>2258</v>
      </c>
      <c r="F519">
        <f>IFERROR(VLOOKUP(Fix_Mapping[[#This Row],[KODE BARANG]],[1]!KINONF15[[KDBRG]:[HRG_JLMT_CTN+PPN]],7,0),0)</f>
        <v>0</v>
      </c>
      <c r="G519">
        <f>IFERROR(VLOOKUP(Fix_Mapping[[#This Row],[KODE BARANG]],[1]!KINONF15[[KDBRG]:[HRG_JLMT_CTN+PPN]],8,0),0)</f>
        <v>0</v>
      </c>
      <c r="H519">
        <f>IFERROR(VLOOKUP(Fix_Mapping[[#This Row],[KODE BARANG]],[1]!KINONF15[[KDBRG]:[HRG_JLMT_CTN+PPN]],9,0),0)</f>
        <v>0</v>
      </c>
      <c r="I519">
        <f>IFERROR(VLOOKUP(Fix_Mapping[[#This Row],[KODE BARANG]],[1]!KINONF15[[KDBRG]:[HRG_JLMT_CTN+PPN]],10,0),0)</f>
        <v>0</v>
      </c>
      <c r="J519">
        <f>IFERROR(VLOOKUP(Fix_Mapping[[#This Row],[KODE BARANG]],[1]!KINONF15[[KDBRG]:[HRG_JLMT_CTN+PPN]],11,0),0)</f>
        <v>0</v>
      </c>
      <c r="K519">
        <f>IFERROR(VLOOKUP(Fix_Mapping[[#This Row],[KODE BARANG]],[1]!KINONF15[[KDBRG]:[HRG_JLMT_CTN+PPN]],12,0),0)</f>
        <v>0</v>
      </c>
      <c r="L519">
        <f>IFERROR(VLOOKUP(Fix_Mapping[[#This Row],[KODE BARANG]],[1]!KINONF15[[KDBRG]:[HRG_JLMT_CTN+PPN]],13,0),0)</f>
        <v>0</v>
      </c>
      <c r="M519">
        <f>IFERROR(VLOOKUP(Fix_Mapping[[#This Row],[KODE BARANG]],[1]!KINONF15[[KDBRG]:[HRG_JLMT_CTN+PPN]],14,0),0)</f>
        <v>0</v>
      </c>
      <c r="N519">
        <f>IFERROR(VLOOKUP(Fix_Mapping[[#This Row],[KODE BARANG]],[1]!KINONF15[[KDBRG]:[HRG_JLMT_CTN+PPN]],15,0),0)</f>
        <v>0</v>
      </c>
      <c r="O519">
        <f>IFERROR(VLOOKUP(Fix_Mapping[[#This Row],[KODE BARANG]],[1]!KINONF15[[KDBRG]:[HRG_JLMT_CTN+PPN]],16,0),0)</f>
        <v>0</v>
      </c>
      <c r="P519">
        <f>IFERROR(VLOOKUP(Fix_Mapping[[#This Row],[KODE BARANG]],[1]!KINONF15[[KDBRG]:[HRG_JLMT_CTN+PPN]],17,0),0)</f>
        <v>0</v>
      </c>
      <c r="Q519">
        <f>IFERROR(VLOOKUP(Fix_Mapping[[#This Row],[KODE BARANG]],[1]!KINONF15[[KDBRG]:[HRG_JLMT_CTN+PPN]],18,0),0)</f>
        <v>0</v>
      </c>
      <c r="R519" t="s">
        <v>2555</v>
      </c>
      <c r="S519" t="s">
        <v>551</v>
      </c>
      <c r="T519">
        <v>0</v>
      </c>
      <c r="U519">
        <v>0</v>
      </c>
      <c r="V519">
        <v>0</v>
      </c>
      <c r="W519">
        <v>0</v>
      </c>
    </row>
    <row r="520" spans="1:23">
      <c r="A520" t="s">
        <v>1994</v>
      </c>
      <c r="B520" t="s">
        <v>1995</v>
      </c>
      <c r="C520">
        <v>36</v>
      </c>
      <c r="D520">
        <f>IFERROR(VLOOKUP(Fix_Mapping[[#This Row],[KODE BARANG]],[1]!KINONF15[[KDBRG]:[HRG_JLMT_CTN+PPN]],5,0),0)</f>
        <v>0</v>
      </c>
      <c r="E520" t="s">
        <v>2260</v>
      </c>
      <c r="F520">
        <f>IFERROR(VLOOKUP(Fix_Mapping[[#This Row],[KODE BARANG]],[1]!KINONF15[[KDBRG]:[HRG_JLMT_CTN+PPN]],7,0),0)</f>
        <v>0</v>
      </c>
      <c r="G520">
        <f>IFERROR(VLOOKUP(Fix_Mapping[[#This Row],[KODE BARANG]],[1]!KINONF15[[KDBRG]:[HRG_JLMT_CTN+PPN]],8,0),0)</f>
        <v>0</v>
      </c>
      <c r="H520">
        <f>IFERROR(VLOOKUP(Fix_Mapping[[#This Row],[KODE BARANG]],[1]!KINONF15[[KDBRG]:[HRG_JLMT_CTN+PPN]],9,0),0)</f>
        <v>0</v>
      </c>
      <c r="I520">
        <f>IFERROR(VLOOKUP(Fix_Mapping[[#This Row],[KODE BARANG]],[1]!KINONF15[[KDBRG]:[HRG_JLMT_CTN+PPN]],10,0),0)</f>
        <v>0</v>
      </c>
      <c r="J520">
        <f>IFERROR(VLOOKUP(Fix_Mapping[[#This Row],[KODE BARANG]],[1]!KINONF15[[KDBRG]:[HRG_JLMT_CTN+PPN]],11,0),0)</f>
        <v>0</v>
      </c>
      <c r="K520">
        <f>IFERROR(VLOOKUP(Fix_Mapping[[#This Row],[KODE BARANG]],[1]!KINONF15[[KDBRG]:[HRG_JLMT_CTN+PPN]],12,0),0)</f>
        <v>0</v>
      </c>
      <c r="L520">
        <f>IFERROR(VLOOKUP(Fix_Mapping[[#This Row],[KODE BARANG]],[1]!KINONF15[[KDBRG]:[HRG_JLMT_CTN+PPN]],13,0),0)</f>
        <v>0</v>
      </c>
      <c r="M520">
        <f>IFERROR(VLOOKUP(Fix_Mapping[[#This Row],[KODE BARANG]],[1]!KINONF15[[KDBRG]:[HRG_JLMT_CTN+PPN]],14,0),0)</f>
        <v>0</v>
      </c>
      <c r="N520">
        <f>IFERROR(VLOOKUP(Fix_Mapping[[#This Row],[KODE BARANG]],[1]!KINONF15[[KDBRG]:[HRG_JLMT_CTN+PPN]],15,0),0)</f>
        <v>0</v>
      </c>
      <c r="O520">
        <f>IFERROR(VLOOKUP(Fix_Mapping[[#This Row],[KODE BARANG]],[1]!KINONF15[[KDBRG]:[HRG_JLMT_CTN+PPN]],16,0),0)</f>
        <v>0</v>
      </c>
      <c r="P520">
        <f>IFERROR(VLOOKUP(Fix_Mapping[[#This Row],[KODE BARANG]],[1]!KINONF15[[KDBRG]:[HRG_JLMT_CTN+PPN]],17,0),0)</f>
        <v>0</v>
      </c>
      <c r="Q520">
        <f>IFERROR(VLOOKUP(Fix_Mapping[[#This Row],[KODE BARANG]],[1]!KINONF15[[KDBRG]:[HRG_JLMT_CTN+PPN]],18,0),0)</f>
        <v>0</v>
      </c>
      <c r="R520" t="s">
        <v>2555</v>
      </c>
      <c r="S520" t="s">
        <v>552</v>
      </c>
      <c r="T520">
        <v>0</v>
      </c>
      <c r="U520">
        <v>0</v>
      </c>
      <c r="V520">
        <v>0</v>
      </c>
      <c r="W520">
        <v>0</v>
      </c>
    </row>
    <row r="521" spans="1:23">
      <c r="A521" t="s">
        <v>1996</v>
      </c>
      <c r="B521" t="s">
        <v>1997</v>
      </c>
      <c r="C521">
        <v>36</v>
      </c>
      <c r="D521">
        <f>IFERROR(VLOOKUP(Fix_Mapping[[#This Row],[KODE BARANG]],[1]!KINONF15[[KDBRG]:[HRG_JLMT_CTN+PPN]],5,0),0)</f>
        <v>0</v>
      </c>
      <c r="E521" t="s">
        <v>2260</v>
      </c>
      <c r="F521">
        <f>IFERROR(VLOOKUP(Fix_Mapping[[#This Row],[KODE BARANG]],[1]!KINONF15[[KDBRG]:[HRG_JLMT_CTN+PPN]],7,0),0)</f>
        <v>0</v>
      </c>
      <c r="G521">
        <f>IFERROR(VLOOKUP(Fix_Mapping[[#This Row],[KODE BARANG]],[1]!KINONF15[[KDBRG]:[HRG_JLMT_CTN+PPN]],8,0),0)</f>
        <v>0</v>
      </c>
      <c r="H521">
        <f>IFERROR(VLOOKUP(Fix_Mapping[[#This Row],[KODE BARANG]],[1]!KINONF15[[KDBRG]:[HRG_JLMT_CTN+PPN]],9,0),0)</f>
        <v>0</v>
      </c>
      <c r="I521">
        <f>IFERROR(VLOOKUP(Fix_Mapping[[#This Row],[KODE BARANG]],[1]!KINONF15[[KDBRG]:[HRG_JLMT_CTN+PPN]],10,0),0)</f>
        <v>0</v>
      </c>
      <c r="J521">
        <f>IFERROR(VLOOKUP(Fix_Mapping[[#This Row],[KODE BARANG]],[1]!KINONF15[[KDBRG]:[HRG_JLMT_CTN+PPN]],11,0),0)</f>
        <v>0</v>
      </c>
      <c r="K521">
        <f>IFERROR(VLOOKUP(Fix_Mapping[[#This Row],[KODE BARANG]],[1]!KINONF15[[KDBRG]:[HRG_JLMT_CTN+PPN]],12,0),0)</f>
        <v>0</v>
      </c>
      <c r="L521">
        <f>IFERROR(VLOOKUP(Fix_Mapping[[#This Row],[KODE BARANG]],[1]!KINONF15[[KDBRG]:[HRG_JLMT_CTN+PPN]],13,0),0)</f>
        <v>0</v>
      </c>
      <c r="M521">
        <f>IFERROR(VLOOKUP(Fix_Mapping[[#This Row],[KODE BARANG]],[1]!KINONF15[[KDBRG]:[HRG_JLMT_CTN+PPN]],14,0),0)</f>
        <v>0</v>
      </c>
      <c r="N521">
        <f>IFERROR(VLOOKUP(Fix_Mapping[[#This Row],[KODE BARANG]],[1]!KINONF15[[KDBRG]:[HRG_JLMT_CTN+PPN]],15,0),0)</f>
        <v>0</v>
      </c>
      <c r="O521">
        <f>IFERROR(VLOOKUP(Fix_Mapping[[#This Row],[KODE BARANG]],[1]!KINONF15[[KDBRG]:[HRG_JLMT_CTN+PPN]],16,0),0)</f>
        <v>0</v>
      </c>
      <c r="P521">
        <f>IFERROR(VLOOKUP(Fix_Mapping[[#This Row],[KODE BARANG]],[1]!KINONF15[[KDBRG]:[HRG_JLMT_CTN+PPN]],17,0),0)</f>
        <v>0</v>
      </c>
      <c r="Q521">
        <f>IFERROR(VLOOKUP(Fix_Mapping[[#This Row],[KODE BARANG]],[1]!KINONF15[[KDBRG]:[HRG_JLMT_CTN+PPN]],18,0),0)</f>
        <v>0</v>
      </c>
      <c r="R521" t="s">
        <v>2555</v>
      </c>
      <c r="S521" t="s">
        <v>549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1998</v>
      </c>
      <c r="B522" t="s">
        <v>1999</v>
      </c>
      <c r="C522">
        <v>72</v>
      </c>
      <c r="D522">
        <f>IFERROR(VLOOKUP(Fix_Mapping[[#This Row],[KODE BARANG]],[1]!KINONF15[[KDBRG]:[HRG_JLMT_CTN+PPN]],5,0),0)</f>
        <v>0</v>
      </c>
      <c r="E522" t="s">
        <v>2262</v>
      </c>
      <c r="F522">
        <f>IFERROR(VLOOKUP(Fix_Mapping[[#This Row],[KODE BARANG]],[1]!KINONF15[[KDBRG]:[HRG_JLMT_CTN+PPN]],7,0),0)</f>
        <v>0</v>
      </c>
      <c r="G522">
        <f>IFERROR(VLOOKUP(Fix_Mapping[[#This Row],[KODE BARANG]],[1]!KINONF15[[KDBRG]:[HRG_JLMT_CTN+PPN]],8,0),0)</f>
        <v>0</v>
      </c>
      <c r="H522">
        <f>IFERROR(VLOOKUP(Fix_Mapping[[#This Row],[KODE BARANG]],[1]!KINONF15[[KDBRG]:[HRG_JLMT_CTN+PPN]],9,0),0)</f>
        <v>0</v>
      </c>
      <c r="I522">
        <f>IFERROR(VLOOKUP(Fix_Mapping[[#This Row],[KODE BARANG]],[1]!KINONF15[[KDBRG]:[HRG_JLMT_CTN+PPN]],10,0),0)</f>
        <v>0</v>
      </c>
      <c r="J522">
        <f>IFERROR(VLOOKUP(Fix_Mapping[[#This Row],[KODE BARANG]],[1]!KINONF15[[KDBRG]:[HRG_JLMT_CTN+PPN]],11,0),0)</f>
        <v>0</v>
      </c>
      <c r="K522">
        <f>IFERROR(VLOOKUP(Fix_Mapping[[#This Row],[KODE BARANG]],[1]!KINONF15[[KDBRG]:[HRG_JLMT_CTN+PPN]],12,0),0)</f>
        <v>0</v>
      </c>
      <c r="L522">
        <f>IFERROR(VLOOKUP(Fix_Mapping[[#This Row],[KODE BARANG]],[1]!KINONF15[[KDBRG]:[HRG_JLMT_CTN+PPN]],13,0),0)</f>
        <v>0</v>
      </c>
      <c r="M522">
        <f>IFERROR(VLOOKUP(Fix_Mapping[[#This Row],[KODE BARANG]],[1]!KINONF15[[KDBRG]:[HRG_JLMT_CTN+PPN]],14,0),0)</f>
        <v>0</v>
      </c>
      <c r="N522">
        <f>IFERROR(VLOOKUP(Fix_Mapping[[#This Row],[KODE BARANG]],[1]!KINONF15[[KDBRG]:[HRG_JLMT_CTN+PPN]],15,0),0)</f>
        <v>0</v>
      </c>
      <c r="O522">
        <f>IFERROR(VLOOKUP(Fix_Mapping[[#This Row],[KODE BARANG]],[1]!KINONF15[[KDBRG]:[HRG_JLMT_CTN+PPN]],16,0),0)</f>
        <v>0</v>
      </c>
      <c r="P522">
        <f>IFERROR(VLOOKUP(Fix_Mapping[[#This Row],[KODE BARANG]],[1]!KINONF15[[KDBRG]:[HRG_JLMT_CTN+PPN]],17,0),0)</f>
        <v>0</v>
      </c>
      <c r="Q522">
        <f>IFERROR(VLOOKUP(Fix_Mapping[[#This Row],[KODE BARANG]],[1]!KINONF15[[KDBRG]:[HRG_JLMT_CTN+PPN]],18,0),0)</f>
        <v>0</v>
      </c>
      <c r="R522" t="s">
        <v>2555</v>
      </c>
      <c r="S522" t="s">
        <v>2432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2000</v>
      </c>
      <c r="B523" t="s">
        <v>2001</v>
      </c>
      <c r="C523">
        <v>72</v>
      </c>
      <c r="D523">
        <f>IFERROR(VLOOKUP(Fix_Mapping[[#This Row],[KODE BARANG]],[1]!KINONF15[[KDBRG]:[HRG_JLMT_CTN+PPN]],5,0),0)</f>
        <v>0</v>
      </c>
      <c r="E523" t="s">
        <v>2262</v>
      </c>
      <c r="F523">
        <f>IFERROR(VLOOKUP(Fix_Mapping[[#This Row],[KODE BARANG]],[1]!KINONF15[[KDBRG]:[HRG_JLMT_CTN+PPN]],7,0),0)</f>
        <v>0</v>
      </c>
      <c r="G523">
        <f>IFERROR(VLOOKUP(Fix_Mapping[[#This Row],[KODE BARANG]],[1]!KINONF15[[KDBRG]:[HRG_JLMT_CTN+PPN]],8,0),0)</f>
        <v>0</v>
      </c>
      <c r="H523">
        <f>IFERROR(VLOOKUP(Fix_Mapping[[#This Row],[KODE BARANG]],[1]!KINONF15[[KDBRG]:[HRG_JLMT_CTN+PPN]],9,0),0)</f>
        <v>0</v>
      </c>
      <c r="I523">
        <f>IFERROR(VLOOKUP(Fix_Mapping[[#This Row],[KODE BARANG]],[1]!KINONF15[[KDBRG]:[HRG_JLMT_CTN+PPN]],10,0),0)</f>
        <v>0</v>
      </c>
      <c r="J523">
        <f>IFERROR(VLOOKUP(Fix_Mapping[[#This Row],[KODE BARANG]],[1]!KINONF15[[KDBRG]:[HRG_JLMT_CTN+PPN]],11,0),0)</f>
        <v>0</v>
      </c>
      <c r="K523">
        <f>IFERROR(VLOOKUP(Fix_Mapping[[#This Row],[KODE BARANG]],[1]!KINONF15[[KDBRG]:[HRG_JLMT_CTN+PPN]],12,0),0)</f>
        <v>0</v>
      </c>
      <c r="L523">
        <f>IFERROR(VLOOKUP(Fix_Mapping[[#This Row],[KODE BARANG]],[1]!KINONF15[[KDBRG]:[HRG_JLMT_CTN+PPN]],13,0),0)</f>
        <v>0</v>
      </c>
      <c r="M523">
        <f>IFERROR(VLOOKUP(Fix_Mapping[[#This Row],[KODE BARANG]],[1]!KINONF15[[KDBRG]:[HRG_JLMT_CTN+PPN]],14,0),0)</f>
        <v>0</v>
      </c>
      <c r="N523">
        <f>IFERROR(VLOOKUP(Fix_Mapping[[#This Row],[KODE BARANG]],[1]!KINONF15[[KDBRG]:[HRG_JLMT_CTN+PPN]],15,0),0)</f>
        <v>0</v>
      </c>
      <c r="O523">
        <f>IFERROR(VLOOKUP(Fix_Mapping[[#This Row],[KODE BARANG]],[1]!KINONF15[[KDBRG]:[HRG_JLMT_CTN+PPN]],16,0),0)</f>
        <v>0</v>
      </c>
      <c r="P523">
        <f>IFERROR(VLOOKUP(Fix_Mapping[[#This Row],[KODE BARANG]],[1]!KINONF15[[KDBRG]:[HRG_JLMT_CTN+PPN]],17,0),0)</f>
        <v>0</v>
      </c>
      <c r="Q523">
        <f>IFERROR(VLOOKUP(Fix_Mapping[[#This Row],[KODE BARANG]],[1]!KINONF15[[KDBRG]:[HRG_JLMT_CTN+PPN]],18,0),0)</f>
        <v>0</v>
      </c>
      <c r="R523" t="s">
        <v>2555</v>
      </c>
      <c r="S523" t="s">
        <v>2431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2002</v>
      </c>
      <c r="B524" t="s">
        <v>2003</v>
      </c>
      <c r="C524">
        <v>72</v>
      </c>
      <c r="D524">
        <f>IFERROR(VLOOKUP(Fix_Mapping[[#This Row],[KODE BARANG]],[1]!KINONF15[[KDBRG]:[HRG_JLMT_CTN+PPN]],5,0),0)</f>
        <v>0</v>
      </c>
      <c r="E524" t="s">
        <v>2226</v>
      </c>
      <c r="F524">
        <f>IFERROR(VLOOKUP(Fix_Mapping[[#This Row],[KODE BARANG]],[1]!KINONF15[[KDBRG]:[HRG_JLMT_CTN+PPN]],7,0),0)</f>
        <v>0</v>
      </c>
      <c r="G524">
        <f>IFERROR(VLOOKUP(Fix_Mapping[[#This Row],[KODE BARANG]],[1]!KINONF15[[KDBRG]:[HRG_JLMT_CTN+PPN]],8,0),0)</f>
        <v>0</v>
      </c>
      <c r="H524">
        <f>IFERROR(VLOOKUP(Fix_Mapping[[#This Row],[KODE BARANG]],[1]!KINONF15[[KDBRG]:[HRG_JLMT_CTN+PPN]],9,0),0)</f>
        <v>0</v>
      </c>
      <c r="I524">
        <f>IFERROR(VLOOKUP(Fix_Mapping[[#This Row],[KODE BARANG]],[1]!KINONF15[[KDBRG]:[HRG_JLMT_CTN+PPN]],10,0),0)</f>
        <v>0</v>
      </c>
      <c r="J524">
        <f>IFERROR(VLOOKUP(Fix_Mapping[[#This Row],[KODE BARANG]],[1]!KINONF15[[KDBRG]:[HRG_JLMT_CTN+PPN]],11,0),0)</f>
        <v>0</v>
      </c>
      <c r="K524">
        <f>IFERROR(VLOOKUP(Fix_Mapping[[#This Row],[KODE BARANG]],[1]!KINONF15[[KDBRG]:[HRG_JLMT_CTN+PPN]],12,0),0)</f>
        <v>0</v>
      </c>
      <c r="L524">
        <f>IFERROR(VLOOKUP(Fix_Mapping[[#This Row],[KODE BARANG]],[1]!KINONF15[[KDBRG]:[HRG_JLMT_CTN+PPN]],13,0),0)</f>
        <v>0</v>
      </c>
      <c r="M524">
        <f>IFERROR(VLOOKUP(Fix_Mapping[[#This Row],[KODE BARANG]],[1]!KINONF15[[KDBRG]:[HRG_JLMT_CTN+PPN]],14,0),0)</f>
        <v>0</v>
      </c>
      <c r="N524">
        <f>IFERROR(VLOOKUP(Fix_Mapping[[#This Row],[KODE BARANG]],[1]!KINONF15[[KDBRG]:[HRG_JLMT_CTN+PPN]],15,0),0)</f>
        <v>0</v>
      </c>
      <c r="O524">
        <f>IFERROR(VLOOKUP(Fix_Mapping[[#This Row],[KODE BARANG]],[1]!KINONF15[[KDBRG]:[HRG_JLMT_CTN+PPN]],16,0),0)</f>
        <v>0</v>
      </c>
      <c r="P524">
        <f>IFERROR(VLOOKUP(Fix_Mapping[[#This Row],[KODE BARANG]],[1]!KINONF15[[KDBRG]:[HRG_JLMT_CTN+PPN]],17,0),0)</f>
        <v>0</v>
      </c>
      <c r="Q524">
        <f>IFERROR(VLOOKUP(Fix_Mapping[[#This Row],[KODE BARANG]],[1]!KINONF15[[KDBRG]:[HRG_JLMT_CTN+PPN]],18,0),0)</f>
        <v>0</v>
      </c>
      <c r="R524" t="s">
        <v>2555</v>
      </c>
      <c r="S524" t="s">
        <v>1037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2004</v>
      </c>
      <c r="B525" t="s">
        <v>2005</v>
      </c>
      <c r="C525">
        <v>72</v>
      </c>
      <c r="D525">
        <f>IFERROR(VLOOKUP(Fix_Mapping[[#This Row],[KODE BARANG]],[1]!KINONF15[[KDBRG]:[HRG_JLMT_CTN+PPN]],5,0),0)</f>
        <v>0</v>
      </c>
      <c r="E525" t="s">
        <v>2226</v>
      </c>
      <c r="F525">
        <f>IFERROR(VLOOKUP(Fix_Mapping[[#This Row],[KODE BARANG]],[1]!KINONF15[[KDBRG]:[HRG_JLMT_CTN+PPN]],7,0),0)</f>
        <v>0</v>
      </c>
      <c r="G525">
        <f>IFERROR(VLOOKUP(Fix_Mapping[[#This Row],[KODE BARANG]],[1]!KINONF15[[KDBRG]:[HRG_JLMT_CTN+PPN]],8,0),0)</f>
        <v>0</v>
      </c>
      <c r="H525">
        <f>IFERROR(VLOOKUP(Fix_Mapping[[#This Row],[KODE BARANG]],[1]!KINONF15[[KDBRG]:[HRG_JLMT_CTN+PPN]],9,0),0)</f>
        <v>0</v>
      </c>
      <c r="I525">
        <f>IFERROR(VLOOKUP(Fix_Mapping[[#This Row],[KODE BARANG]],[1]!KINONF15[[KDBRG]:[HRG_JLMT_CTN+PPN]],10,0),0)</f>
        <v>0</v>
      </c>
      <c r="J525">
        <f>IFERROR(VLOOKUP(Fix_Mapping[[#This Row],[KODE BARANG]],[1]!KINONF15[[KDBRG]:[HRG_JLMT_CTN+PPN]],11,0),0)</f>
        <v>0</v>
      </c>
      <c r="K525">
        <f>IFERROR(VLOOKUP(Fix_Mapping[[#This Row],[KODE BARANG]],[1]!KINONF15[[KDBRG]:[HRG_JLMT_CTN+PPN]],12,0),0)</f>
        <v>0</v>
      </c>
      <c r="L525">
        <f>IFERROR(VLOOKUP(Fix_Mapping[[#This Row],[KODE BARANG]],[1]!KINONF15[[KDBRG]:[HRG_JLMT_CTN+PPN]],13,0),0)</f>
        <v>0</v>
      </c>
      <c r="M525">
        <f>IFERROR(VLOOKUP(Fix_Mapping[[#This Row],[KODE BARANG]],[1]!KINONF15[[KDBRG]:[HRG_JLMT_CTN+PPN]],14,0),0)</f>
        <v>0</v>
      </c>
      <c r="N525">
        <f>IFERROR(VLOOKUP(Fix_Mapping[[#This Row],[KODE BARANG]],[1]!KINONF15[[KDBRG]:[HRG_JLMT_CTN+PPN]],15,0),0)</f>
        <v>0</v>
      </c>
      <c r="O525">
        <f>IFERROR(VLOOKUP(Fix_Mapping[[#This Row],[KODE BARANG]],[1]!KINONF15[[KDBRG]:[HRG_JLMT_CTN+PPN]],16,0),0)</f>
        <v>0</v>
      </c>
      <c r="P525">
        <f>IFERROR(VLOOKUP(Fix_Mapping[[#This Row],[KODE BARANG]],[1]!KINONF15[[KDBRG]:[HRG_JLMT_CTN+PPN]],17,0),0)</f>
        <v>0</v>
      </c>
      <c r="Q525">
        <f>IFERROR(VLOOKUP(Fix_Mapping[[#This Row],[KODE BARANG]],[1]!KINONF15[[KDBRG]:[HRG_JLMT_CTN+PPN]],18,0),0)</f>
        <v>0</v>
      </c>
      <c r="R525" t="s">
        <v>2555</v>
      </c>
      <c r="S525" t="s">
        <v>1028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2006</v>
      </c>
      <c r="B526" t="s">
        <v>2007</v>
      </c>
      <c r="C526">
        <v>72</v>
      </c>
      <c r="D526">
        <f>IFERROR(VLOOKUP(Fix_Mapping[[#This Row],[KODE BARANG]],[1]!KINONF15[[KDBRG]:[HRG_JLMT_CTN+PPN]],5,0),0)</f>
        <v>0</v>
      </c>
      <c r="E526" t="s">
        <v>2226</v>
      </c>
      <c r="F526">
        <f>IFERROR(VLOOKUP(Fix_Mapping[[#This Row],[KODE BARANG]],[1]!KINONF15[[KDBRG]:[HRG_JLMT_CTN+PPN]],7,0),0)</f>
        <v>0</v>
      </c>
      <c r="G526">
        <f>IFERROR(VLOOKUP(Fix_Mapping[[#This Row],[KODE BARANG]],[1]!KINONF15[[KDBRG]:[HRG_JLMT_CTN+PPN]],8,0),0)</f>
        <v>0</v>
      </c>
      <c r="H526">
        <f>IFERROR(VLOOKUP(Fix_Mapping[[#This Row],[KODE BARANG]],[1]!KINONF15[[KDBRG]:[HRG_JLMT_CTN+PPN]],9,0),0)</f>
        <v>0</v>
      </c>
      <c r="I526">
        <f>IFERROR(VLOOKUP(Fix_Mapping[[#This Row],[KODE BARANG]],[1]!KINONF15[[KDBRG]:[HRG_JLMT_CTN+PPN]],10,0),0)</f>
        <v>0</v>
      </c>
      <c r="J526">
        <f>IFERROR(VLOOKUP(Fix_Mapping[[#This Row],[KODE BARANG]],[1]!KINONF15[[KDBRG]:[HRG_JLMT_CTN+PPN]],11,0),0)</f>
        <v>0</v>
      </c>
      <c r="K526">
        <f>IFERROR(VLOOKUP(Fix_Mapping[[#This Row],[KODE BARANG]],[1]!KINONF15[[KDBRG]:[HRG_JLMT_CTN+PPN]],12,0),0)</f>
        <v>0</v>
      </c>
      <c r="L526">
        <f>IFERROR(VLOOKUP(Fix_Mapping[[#This Row],[KODE BARANG]],[1]!KINONF15[[KDBRG]:[HRG_JLMT_CTN+PPN]],13,0),0)</f>
        <v>0</v>
      </c>
      <c r="M526">
        <f>IFERROR(VLOOKUP(Fix_Mapping[[#This Row],[KODE BARANG]],[1]!KINONF15[[KDBRG]:[HRG_JLMT_CTN+PPN]],14,0),0)</f>
        <v>0</v>
      </c>
      <c r="N526">
        <f>IFERROR(VLOOKUP(Fix_Mapping[[#This Row],[KODE BARANG]],[1]!KINONF15[[KDBRG]:[HRG_JLMT_CTN+PPN]],15,0),0)</f>
        <v>0</v>
      </c>
      <c r="O526">
        <f>IFERROR(VLOOKUP(Fix_Mapping[[#This Row],[KODE BARANG]],[1]!KINONF15[[KDBRG]:[HRG_JLMT_CTN+PPN]],16,0),0)</f>
        <v>0</v>
      </c>
      <c r="P526">
        <f>IFERROR(VLOOKUP(Fix_Mapping[[#This Row],[KODE BARANG]],[1]!KINONF15[[KDBRG]:[HRG_JLMT_CTN+PPN]],17,0),0)</f>
        <v>0</v>
      </c>
      <c r="Q526">
        <f>IFERROR(VLOOKUP(Fix_Mapping[[#This Row],[KODE BARANG]],[1]!KINONF15[[KDBRG]:[HRG_JLMT_CTN+PPN]],18,0),0)</f>
        <v>0</v>
      </c>
      <c r="R526" t="s">
        <v>2555</v>
      </c>
      <c r="S526" t="s">
        <v>1029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2008</v>
      </c>
      <c r="B527" t="s">
        <v>2009</v>
      </c>
      <c r="C527">
        <v>72</v>
      </c>
      <c r="D527">
        <f>IFERROR(VLOOKUP(Fix_Mapping[[#This Row],[KODE BARANG]],[1]!KINONF15[[KDBRG]:[HRG_JLMT_CTN+PPN]],5,0),0)</f>
        <v>0</v>
      </c>
      <c r="E527" t="s">
        <v>2226</v>
      </c>
      <c r="F527">
        <f>IFERROR(VLOOKUP(Fix_Mapping[[#This Row],[KODE BARANG]],[1]!KINONF15[[KDBRG]:[HRG_JLMT_CTN+PPN]],7,0),0)</f>
        <v>0</v>
      </c>
      <c r="G527">
        <f>IFERROR(VLOOKUP(Fix_Mapping[[#This Row],[KODE BARANG]],[1]!KINONF15[[KDBRG]:[HRG_JLMT_CTN+PPN]],8,0),0)</f>
        <v>0</v>
      </c>
      <c r="H527">
        <f>IFERROR(VLOOKUP(Fix_Mapping[[#This Row],[KODE BARANG]],[1]!KINONF15[[KDBRG]:[HRG_JLMT_CTN+PPN]],9,0),0)</f>
        <v>0</v>
      </c>
      <c r="I527">
        <f>IFERROR(VLOOKUP(Fix_Mapping[[#This Row],[KODE BARANG]],[1]!KINONF15[[KDBRG]:[HRG_JLMT_CTN+PPN]],10,0),0)</f>
        <v>0</v>
      </c>
      <c r="J527">
        <f>IFERROR(VLOOKUP(Fix_Mapping[[#This Row],[KODE BARANG]],[1]!KINONF15[[KDBRG]:[HRG_JLMT_CTN+PPN]],11,0),0)</f>
        <v>0</v>
      </c>
      <c r="K527">
        <f>IFERROR(VLOOKUP(Fix_Mapping[[#This Row],[KODE BARANG]],[1]!KINONF15[[KDBRG]:[HRG_JLMT_CTN+PPN]],12,0),0)</f>
        <v>0</v>
      </c>
      <c r="L527">
        <f>IFERROR(VLOOKUP(Fix_Mapping[[#This Row],[KODE BARANG]],[1]!KINONF15[[KDBRG]:[HRG_JLMT_CTN+PPN]],13,0),0)</f>
        <v>0</v>
      </c>
      <c r="M527">
        <f>IFERROR(VLOOKUP(Fix_Mapping[[#This Row],[KODE BARANG]],[1]!KINONF15[[KDBRG]:[HRG_JLMT_CTN+PPN]],14,0),0)</f>
        <v>0</v>
      </c>
      <c r="N527">
        <f>IFERROR(VLOOKUP(Fix_Mapping[[#This Row],[KODE BARANG]],[1]!KINONF15[[KDBRG]:[HRG_JLMT_CTN+PPN]],15,0),0)</f>
        <v>0</v>
      </c>
      <c r="O527">
        <f>IFERROR(VLOOKUP(Fix_Mapping[[#This Row],[KODE BARANG]],[1]!KINONF15[[KDBRG]:[HRG_JLMT_CTN+PPN]],16,0),0)</f>
        <v>0</v>
      </c>
      <c r="P527">
        <f>IFERROR(VLOOKUP(Fix_Mapping[[#This Row],[KODE BARANG]],[1]!KINONF15[[KDBRG]:[HRG_JLMT_CTN+PPN]],17,0),0)</f>
        <v>0</v>
      </c>
      <c r="Q527">
        <f>IFERROR(VLOOKUP(Fix_Mapping[[#This Row],[KODE BARANG]],[1]!KINONF15[[KDBRG]:[HRG_JLMT_CTN+PPN]],18,0),0)</f>
        <v>0</v>
      </c>
      <c r="R527" t="s">
        <v>2555</v>
      </c>
      <c r="S527" t="s">
        <v>1030</v>
      </c>
      <c r="T527">
        <v>0</v>
      </c>
      <c r="U527">
        <v>0</v>
      </c>
      <c r="V527">
        <v>0</v>
      </c>
      <c r="W527">
        <v>0</v>
      </c>
    </row>
    <row r="528" spans="1:23">
      <c r="A528" t="s">
        <v>2010</v>
      </c>
      <c r="B528" t="s">
        <v>2011</v>
      </c>
      <c r="C528">
        <v>72</v>
      </c>
      <c r="D528">
        <f>IFERROR(VLOOKUP(Fix_Mapping[[#This Row],[KODE BARANG]],[1]!KINONF15[[KDBRG]:[HRG_JLMT_CTN+PPN]],5,0),0)</f>
        <v>0</v>
      </c>
      <c r="E528" t="s">
        <v>2226</v>
      </c>
      <c r="F528">
        <f>IFERROR(VLOOKUP(Fix_Mapping[[#This Row],[KODE BARANG]],[1]!KINONF15[[KDBRG]:[HRG_JLMT_CTN+PPN]],7,0),0)</f>
        <v>0</v>
      </c>
      <c r="G528">
        <f>IFERROR(VLOOKUP(Fix_Mapping[[#This Row],[KODE BARANG]],[1]!KINONF15[[KDBRG]:[HRG_JLMT_CTN+PPN]],8,0),0)</f>
        <v>0</v>
      </c>
      <c r="H528">
        <f>IFERROR(VLOOKUP(Fix_Mapping[[#This Row],[KODE BARANG]],[1]!KINONF15[[KDBRG]:[HRG_JLMT_CTN+PPN]],9,0),0)</f>
        <v>0</v>
      </c>
      <c r="I528">
        <f>IFERROR(VLOOKUP(Fix_Mapping[[#This Row],[KODE BARANG]],[1]!KINONF15[[KDBRG]:[HRG_JLMT_CTN+PPN]],10,0),0)</f>
        <v>0</v>
      </c>
      <c r="J528">
        <f>IFERROR(VLOOKUP(Fix_Mapping[[#This Row],[KODE BARANG]],[1]!KINONF15[[KDBRG]:[HRG_JLMT_CTN+PPN]],11,0),0)</f>
        <v>0</v>
      </c>
      <c r="K528">
        <f>IFERROR(VLOOKUP(Fix_Mapping[[#This Row],[KODE BARANG]],[1]!KINONF15[[KDBRG]:[HRG_JLMT_CTN+PPN]],12,0),0)</f>
        <v>0</v>
      </c>
      <c r="L528">
        <f>IFERROR(VLOOKUP(Fix_Mapping[[#This Row],[KODE BARANG]],[1]!KINONF15[[KDBRG]:[HRG_JLMT_CTN+PPN]],13,0),0)</f>
        <v>0</v>
      </c>
      <c r="M528">
        <f>IFERROR(VLOOKUP(Fix_Mapping[[#This Row],[KODE BARANG]],[1]!KINONF15[[KDBRG]:[HRG_JLMT_CTN+PPN]],14,0),0)</f>
        <v>0</v>
      </c>
      <c r="N528">
        <f>IFERROR(VLOOKUP(Fix_Mapping[[#This Row],[KODE BARANG]],[1]!KINONF15[[KDBRG]:[HRG_JLMT_CTN+PPN]],15,0),0)</f>
        <v>0</v>
      </c>
      <c r="O528">
        <f>IFERROR(VLOOKUP(Fix_Mapping[[#This Row],[KODE BARANG]],[1]!KINONF15[[KDBRG]:[HRG_JLMT_CTN+PPN]],16,0),0)</f>
        <v>0</v>
      </c>
      <c r="P528">
        <f>IFERROR(VLOOKUP(Fix_Mapping[[#This Row],[KODE BARANG]],[1]!KINONF15[[KDBRG]:[HRG_JLMT_CTN+PPN]],17,0),0)</f>
        <v>0</v>
      </c>
      <c r="Q528">
        <f>IFERROR(VLOOKUP(Fix_Mapping[[#This Row],[KODE BARANG]],[1]!KINONF15[[KDBRG]:[HRG_JLMT_CTN+PPN]],18,0),0)</f>
        <v>0</v>
      </c>
      <c r="R528" t="s">
        <v>2555</v>
      </c>
      <c r="S528" t="s">
        <v>1039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2012</v>
      </c>
      <c r="B529" t="s">
        <v>2013</v>
      </c>
      <c r="C529">
        <v>72</v>
      </c>
      <c r="D529">
        <f>IFERROR(VLOOKUP(Fix_Mapping[[#This Row],[KODE BARANG]],[1]!KINONF15[[KDBRG]:[HRG_JLMT_CTN+PPN]],5,0),0)</f>
        <v>0</v>
      </c>
      <c r="E529" t="s">
        <v>2226</v>
      </c>
      <c r="F529">
        <f>IFERROR(VLOOKUP(Fix_Mapping[[#This Row],[KODE BARANG]],[1]!KINONF15[[KDBRG]:[HRG_JLMT_CTN+PPN]],7,0),0)</f>
        <v>0</v>
      </c>
      <c r="G529">
        <f>IFERROR(VLOOKUP(Fix_Mapping[[#This Row],[KODE BARANG]],[1]!KINONF15[[KDBRG]:[HRG_JLMT_CTN+PPN]],8,0),0)</f>
        <v>0</v>
      </c>
      <c r="H529">
        <f>IFERROR(VLOOKUP(Fix_Mapping[[#This Row],[KODE BARANG]],[1]!KINONF15[[KDBRG]:[HRG_JLMT_CTN+PPN]],9,0),0)</f>
        <v>0</v>
      </c>
      <c r="I529">
        <f>IFERROR(VLOOKUP(Fix_Mapping[[#This Row],[KODE BARANG]],[1]!KINONF15[[KDBRG]:[HRG_JLMT_CTN+PPN]],10,0),0)</f>
        <v>0</v>
      </c>
      <c r="J529">
        <f>IFERROR(VLOOKUP(Fix_Mapping[[#This Row],[KODE BARANG]],[1]!KINONF15[[KDBRG]:[HRG_JLMT_CTN+PPN]],11,0),0)</f>
        <v>0</v>
      </c>
      <c r="K529">
        <f>IFERROR(VLOOKUP(Fix_Mapping[[#This Row],[KODE BARANG]],[1]!KINONF15[[KDBRG]:[HRG_JLMT_CTN+PPN]],12,0),0)</f>
        <v>0</v>
      </c>
      <c r="L529">
        <f>IFERROR(VLOOKUP(Fix_Mapping[[#This Row],[KODE BARANG]],[1]!KINONF15[[KDBRG]:[HRG_JLMT_CTN+PPN]],13,0),0)</f>
        <v>0</v>
      </c>
      <c r="M529">
        <f>IFERROR(VLOOKUP(Fix_Mapping[[#This Row],[KODE BARANG]],[1]!KINONF15[[KDBRG]:[HRG_JLMT_CTN+PPN]],14,0),0)</f>
        <v>0</v>
      </c>
      <c r="N529">
        <f>IFERROR(VLOOKUP(Fix_Mapping[[#This Row],[KODE BARANG]],[1]!KINONF15[[KDBRG]:[HRG_JLMT_CTN+PPN]],15,0),0)</f>
        <v>0</v>
      </c>
      <c r="O529">
        <f>IFERROR(VLOOKUP(Fix_Mapping[[#This Row],[KODE BARANG]],[1]!KINONF15[[KDBRG]:[HRG_JLMT_CTN+PPN]],16,0),0)</f>
        <v>0</v>
      </c>
      <c r="P529">
        <f>IFERROR(VLOOKUP(Fix_Mapping[[#This Row],[KODE BARANG]],[1]!KINONF15[[KDBRG]:[HRG_JLMT_CTN+PPN]],17,0),0)</f>
        <v>0</v>
      </c>
      <c r="Q529">
        <f>IFERROR(VLOOKUP(Fix_Mapping[[#This Row],[KODE BARANG]],[1]!KINONF15[[KDBRG]:[HRG_JLMT_CTN+PPN]],18,0),0)</f>
        <v>0</v>
      </c>
      <c r="R529" t="s">
        <v>2555</v>
      </c>
      <c r="S529" t="s">
        <v>1032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2014</v>
      </c>
      <c r="B530" t="s">
        <v>2015</v>
      </c>
      <c r="C530">
        <v>72</v>
      </c>
      <c r="D530">
        <f>IFERROR(VLOOKUP(Fix_Mapping[[#This Row],[KODE BARANG]],[1]!KINONF15[[KDBRG]:[HRG_JLMT_CTN+PPN]],5,0),0)</f>
        <v>0</v>
      </c>
      <c r="E530" t="s">
        <v>2226</v>
      </c>
      <c r="F530">
        <f>IFERROR(VLOOKUP(Fix_Mapping[[#This Row],[KODE BARANG]],[1]!KINONF15[[KDBRG]:[HRG_JLMT_CTN+PPN]],7,0),0)</f>
        <v>0</v>
      </c>
      <c r="G530">
        <f>IFERROR(VLOOKUP(Fix_Mapping[[#This Row],[KODE BARANG]],[1]!KINONF15[[KDBRG]:[HRG_JLMT_CTN+PPN]],8,0),0)</f>
        <v>0</v>
      </c>
      <c r="H530">
        <f>IFERROR(VLOOKUP(Fix_Mapping[[#This Row],[KODE BARANG]],[1]!KINONF15[[KDBRG]:[HRG_JLMT_CTN+PPN]],9,0),0)</f>
        <v>0</v>
      </c>
      <c r="I530">
        <f>IFERROR(VLOOKUP(Fix_Mapping[[#This Row],[KODE BARANG]],[1]!KINONF15[[KDBRG]:[HRG_JLMT_CTN+PPN]],10,0),0)</f>
        <v>0</v>
      </c>
      <c r="J530">
        <f>IFERROR(VLOOKUP(Fix_Mapping[[#This Row],[KODE BARANG]],[1]!KINONF15[[KDBRG]:[HRG_JLMT_CTN+PPN]],11,0),0)</f>
        <v>0</v>
      </c>
      <c r="K530">
        <f>IFERROR(VLOOKUP(Fix_Mapping[[#This Row],[KODE BARANG]],[1]!KINONF15[[KDBRG]:[HRG_JLMT_CTN+PPN]],12,0),0)</f>
        <v>0</v>
      </c>
      <c r="L530">
        <f>IFERROR(VLOOKUP(Fix_Mapping[[#This Row],[KODE BARANG]],[1]!KINONF15[[KDBRG]:[HRG_JLMT_CTN+PPN]],13,0),0)</f>
        <v>0</v>
      </c>
      <c r="M530">
        <f>IFERROR(VLOOKUP(Fix_Mapping[[#This Row],[KODE BARANG]],[1]!KINONF15[[KDBRG]:[HRG_JLMT_CTN+PPN]],14,0),0)</f>
        <v>0</v>
      </c>
      <c r="N530">
        <f>IFERROR(VLOOKUP(Fix_Mapping[[#This Row],[KODE BARANG]],[1]!KINONF15[[KDBRG]:[HRG_JLMT_CTN+PPN]],15,0),0)</f>
        <v>0</v>
      </c>
      <c r="O530">
        <f>IFERROR(VLOOKUP(Fix_Mapping[[#This Row],[KODE BARANG]],[1]!KINONF15[[KDBRG]:[HRG_JLMT_CTN+PPN]],16,0),0)</f>
        <v>0</v>
      </c>
      <c r="P530">
        <f>IFERROR(VLOOKUP(Fix_Mapping[[#This Row],[KODE BARANG]],[1]!KINONF15[[KDBRG]:[HRG_JLMT_CTN+PPN]],17,0),0)</f>
        <v>0</v>
      </c>
      <c r="Q530">
        <f>IFERROR(VLOOKUP(Fix_Mapping[[#This Row],[KODE BARANG]],[1]!KINONF15[[KDBRG]:[HRG_JLMT_CTN+PPN]],18,0),0)</f>
        <v>0</v>
      </c>
      <c r="R530" t="s">
        <v>2555</v>
      </c>
      <c r="S530" t="s">
        <v>1031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2016</v>
      </c>
      <c r="B531" t="s">
        <v>2017</v>
      </c>
      <c r="C531">
        <v>72</v>
      </c>
      <c r="D531">
        <f>IFERROR(VLOOKUP(Fix_Mapping[[#This Row],[KODE BARANG]],[1]!KINONF15[[KDBRG]:[HRG_JLMT_CTN+PPN]],5,0),0)</f>
        <v>0</v>
      </c>
      <c r="E531" t="s">
        <v>2226</v>
      </c>
      <c r="F531">
        <f>IFERROR(VLOOKUP(Fix_Mapping[[#This Row],[KODE BARANG]],[1]!KINONF15[[KDBRG]:[HRG_JLMT_CTN+PPN]],7,0),0)</f>
        <v>0</v>
      </c>
      <c r="G531">
        <f>IFERROR(VLOOKUP(Fix_Mapping[[#This Row],[KODE BARANG]],[1]!KINONF15[[KDBRG]:[HRG_JLMT_CTN+PPN]],8,0),0)</f>
        <v>0</v>
      </c>
      <c r="H531">
        <f>IFERROR(VLOOKUP(Fix_Mapping[[#This Row],[KODE BARANG]],[1]!KINONF15[[KDBRG]:[HRG_JLMT_CTN+PPN]],9,0),0)</f>
        <v>0</v>
      </c>
      <c r="I531">
        <f>IFERROR(VLOOKUP(Fix_Mapping[[#This Row],[KODE BARANG]],[1]!KINONF15[[KDBRG]:[HRG_JLMT_CTN+PPN]],10,0),0)</f>
        <v>0</v>
      </c>
      <c r="J531">
        <f>IFERROR(VLOOKUP(Fix_Mapping[[#This Row],[KODE BARANG]],[1]!KINONF15[[KDBRG]:[HRG_JLMT_CTN+PPN]],11,0),0)</f>
        <v>0</v>
      </c>
      <c r="K531">
        <f>IFERROR(VLOOKUP(Fix_Mapping[[#This Row],[KODE BARANG]],[1]!KINONF15[[KDBRG]:[HRG_JLMT_CTN+PPN]],12,0),0)</f>
        <v>0</v>
      </c>
      <c r="L531">
        <f>IFERROR(VLOOKUP(Fix_Mapping[[#This Row],[KODE BARANG]],[1]!KINONF15[[KDBRG]:[HRG_JLMT_CTN+PPN]],13,0),0)</f>
        <v>0</v>
      </c>
      <c r="M531">
        <f>IFERROR(VLOOKUP(Fix_Mapping[[#This Row],[KODE BARANG]],[1]!KINONF15[[KDBRG]:[HRG_JLMT_CTN+PPN]],14,0),0)</f>
        <v>0</v>
      </c>
      <c r="N531">
        <f>IFERROR(VLOOKUP(Fix_Mapping[[#This Row],[KODE BARANG]],[1]!KINONF15[[KDBRG]:[HRG_JLMT_CTN+PPN]],15,0),0)</f>
        <v>0</v>
      </c>
      <c r="O531">
        <f>IFERROR(VLOOKUP(Fix_Mapping[[#This Row],[KODE BARANG]],[1]!KINONF15[[KDBRG]:[HRG_JLMT_CTN+PPN]],16,0),0)</f>
        <v>0</v>
      </c>
      <c r="P531">
        <f>IFERROR(VLOOKUP(Fix_Mapping[[#This Row],[KODE BARANG]],[1]!KINONF15[[KDBRG]:[HRG_JLMT_CTN+PPN]],17,0),0)</f>
        <v>0</v>
      </c>
      <c r="Q531">
        <f>IFERROR(VLOOKUP(Fix_Mapping[[#This Row],[KODE BARANG]],[1]!KINONF15[[KDBRG]:[HRG_JLMT_CTN+PPN]],18,0),0)</f>
        <v>0</v>
      </c>
      <c r="R531" t="s">
        <v>2555</v>
      </c>
      <c r="S531" t="s">
        <v>1038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2018</v>
      </c>
      <c r="B532" t="s">
        <v>2019</v>
      </c>
      <c r="C532">
        <v>72</v>
      </c>
      <c r="D532">
        <f>IFERROR(VLOOKUP(Fix_Mapping[[#This Row],[KODE BARANG]],[1]!KINONF15[[KDBRG]:[HRG_JLMT_CTN+PPN]],5,0),0)</f>
        <v>0</v>
      </c>
      <c r="E532" t="s">
        <v>2226</v>
      </c>
      <c r="F532">
        <f>IFERROR(VLOOKUP(Fix_Mapping[[#This Row],[KODE BARANG]],[1]!KINONF15[[KDBRG]:[HRG_JLMT_CTN+PPN]],7,0),0)</f>
        <v>0</v>
      </c>
      <c r="G532">
        <f>IFERROR(VLOOKUP(Fix_Mapping[[#This Row],[KODE BARANG]],[1]!KINONF15[[KDBRG]:[HRG_JLMT_CTN+PPN]],8,0),0)</f>
        <v>0</v>
      </c>
      <c r="H532">
        <f>IFERROR(VLOOKUP(Fix_Mapping[[#This Row],[KODE BARANG]],[1]!KINONF15[[KDBRG]:[HRG_JLMT_CTN+PPN]],9,0),0)</f>
        <v>0</v>
      </c>
      <c r="I532">
        <f>IFERROR(VLOOKUP(Fix_Mapping[[#This Row],[KODE BARANG]],[1]!KINONF15[[KDBRG]:[HRG_JLMT_CTN+PPN]],10,0),0)</f>
        <v>0</v>
      </c>
      <c r="J532">
        <f>IFERROR(VLOOKUP(Fix_Mapping[[#This Row],[KODE BARANG]],[1]!KINONF15[[KDBRG]:[HRG_JLMT_CTN+PPN]],11,0),0)</f>
        <v>0</v>
      </c>
      <c r="K532">
        <f>IFERROR(VLOOKUP(Fix_Mapping[[#This Row],[KODE BARANG]],[1]!KINONF15[[KDBRG]:[HRG_JLMT_CTN+PPN]],12,0),0)</f>
        <v>0</v>
      </c>
      <c r="L532">
        <f>IFERROR(VLOOKUP(Fix_Mapping[[#This Row],[KODE BARANG]],[1]!KINONF15[[KDBRG]:[HRG_JLMT_CTN+PPN]],13,0),0)</f>
        <v>0</v>
      </c>
      <c r="M532">
        <f>IFERROR(VLOOKUP(Fix_Mapping[[#This Row],[KODE BARANG]],[1]!KINONF15[[KDBRG]:[HRG_JLMT_CTN+PPN]],14,0),0)</f>
        <v>0</v>
      </c>
      <c r="N532">
        <f>IFERROR(VLOOKUP(Fix_Mapping[[#This Row],[KODE BARANG]],[1]!KINONF15[[KDBRG]:[HRG_JLMT_CTN+PPN]],15,0),0)</f>
        <v>0</v>
      </c>
      <c r="O532">
        <f>IFERROR(VLOOKUP(Fix_Mapping[[#This Row],[KODE BARANG]],[1]!KINONF15[[KDBRG]:[HRG_JLMT_CTN+PPN]],16,0),0)</f>
        <v>0</v>
      </c>
      <c r="P532">
        <f>IFERROR(VLOOKUP(Fix_Mapping[[#This Row],[KODE BARANG]],[1]!KINONF15[[KDBRG]:[HRG_JLMT_CTN+PPN]],17,0),0)</f>
        <v>0</v>
      </c>
      <c r="Q532">
        <f>IFERROR(VLOOKUP(Fix_Mapping[[#This Row],[KODE BARANG]],[1]!KINONF15[[KDBRG]:[HRG_JLMT_CTN+PPN]],18,0),0)</f>
        <v>0</v>
      </c>
      <c r="R532" t="s">
        <v>2555</v>
      </c>
      <c r="S532" t="s">
        <v>1033</v>
      </c>
      <c r="T532">
        <v>0</v>
      </c>
      <c r="U532">
        <v>0</v>
      </c>
      <c r="V532">
        <v>0</v>
      </c>
      <c r="W532">
        <v>0</v>
      </c>
    </row>
    <row r="533" spans="1:23">
      <c r="A533" t="s">
        <v>2020</v>
      </c>
      <c r="B533" t="s">
        <v>2021</v>
      </c>
      <c r="C533">
        <v>72</v>
      </c>
      <c r="D533">
        <f>IFERROR(VLOOKUP(Fix_Mapping[[#This Row],[KODE BARANG]],[1]!KINONF15[[KDBRG]:[HRG_JLMT_CTN+PPN]],5,0),0)</f>
        <v>0</v>
      </c>
      <c r="E533" t="s">
        <v>2226</v>
      </c>
      <c r="F533">
        <f>IFERROR(VLOOKUP(Fix_Mapping[[#This Row],[KODE BARANG]],[1]!KINONF15[[KDBRG]:[HRG_JLMT_CTN+PPN]],7,0),0)</f>
        <v>0</v>
      </c>
      <c r="G533">
        <f>IFERROR(VLOOKUP(Fix_Mapping[[#This Row],[KODE BARANG]],[1]!KINONF15[[KDBRG]:[HRG_JLMT_CTN+PPN]],8,0),0)</f>
        <v>0</v>
      </c>
      <c r="H533">
        <f>IFERROR(VLOOKUP(Fix_Mapping[[#This Row],[KODE BARANG]],[1]!KINONF15[[KDBRG]:[HRG_JLMT_CTN+PPN]],9,0),0)</f>
        <v>0</v>
      </c>
      <c r="I533">
        <f>IFERROR(VLOOKUP(Fix_Mapping[[#This Row],[KODE BARANG]],[1]!KINONF15[[KDBRG]:[HRG_JLMT_CTN+PPN]],10,0),0)</f>
        <v>0</v>
      </c>
      <c r="J533">
        <f>IFERROR(VLOOKUP(Fix_Mapping[[#This Row],[KODE BARANG]],[1]!KINONF15[[KDBRG]:[HRG_JLMT_CTN+PPN]],11,0),0)</f>
        <v>0</v>
      </c>
      <c r="K533">
        <f>IFERROR(VLOOKUP(Fix_Mapping[[#This Row],[KODE BARANG]],[1]!KINONF15[[KDBRG]:[HRG_JLMT_CTN+PPN]],12,0),0)</f>
        <v>0</v>
      </c>
      <c r="L533">
        <f>IFERROR(VLOOKUP(Fix_Mapping[[#This Row],[KODE BARANG]],[1]!KINONF15[[KDBRG]:[HRG_JLMT_CTN+PPN]],13,0),0)</f>
        <v>0</v>
      </c>
      <c r="M533">
        <f>IFERROR(VLOOKUP(Fix_Mapping[[#This Row],[KODE BARANG]],[1]!KINONF15[[KDBRG]:[HRG_JLMT_CTN+PPN]],14,0),0)</f>
        <v>0</v>
      </c>
      <c r="N533">
        <f>IFERROR(VLOOKUP(Fix_Mapping[[#This Row],[KODE BARANG]],[1]!KINONF15[[KDBRG]:[HRG_JLMT_CTN+PPN]],15,0),0)</f>
        <v>0</v>
      </c>
      <c r="O533">
        <f>IFERROR(VLOOKUP(Fix_Mapping[[#This Row],[KODE BARANG]],[1]!KINONF15[[KDBRG]:[HRG_JLMT_CTN+PPN]],16,0),0)</f>
        <v>0</v>
      </c>
      <c r="P533">
        <f>IFERROR(VLOOKUP(Fix_Mapping[[#This Row],[KODE BARANG]],[1]!KINONF15[[KDBRG]:[HRG_JLMT_CTN+PPN]],17,0),0)</f>
        <v>0</v>
      </c>
      <c r="Q533">
        <f>IFERROR(VLOOKUP(Fix_Mapping[[#This Row],[KODE BARANG]],[1]!KINONF15[[KDBRG]:[HRG_JLMT_CTN+PPN]],18,0),0)</f>
        <v>0</v>
      </c>
      <c r="R533" t="s">
        <v>2555</v>
      </c>
      <c r="S533" t="s">
        <v>1034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2022</v>
      </c>
      <c r="B534" t="s">
        <v>2023</v>
      </c>
      <c r="C534">
        <v>72</v>
      </c>
      <c r="D534">
        <f>IFERROR(VLOOKUP(Fix_Mapping[[#This Row],[KODE BARANG]],[1]!KINONF15[[KDBRG]:[HRG_JLMT_CTN+PPN]],5,0),0)</f>
        <v>0</v>
      </c>
      <c r="E534" t="s">
        <v>2226</v>
      </c>
      <c r="F534">
        <f>IFERROR(VLOOKUP(Fix_Mapping[[#This Row],[KODE BARANG]],[1]!KINONF15[[KDBRG]:[HRG_JLMT_CTN+PPN]],7,0),0)</f>
        <v>0</v>
      </c>
      <c r="G534">
        <f>IFERROR(VLOOKUP(Fix_Mapping[[#This Row],[KODE BARANG]],[1]!KINONF15[[KDBRG]:[HRG_JLMT_CTN+PPN]],8,0),0)</f>
        <v>0</v>
      </c>
      <c r="H534">
        <f>IFERROR(VLOOKUP(Fix_Mapping[[#This Row],[KODE BARANG]],[1]!KINONF15[[KDBRG]:[HRG_JLMT_CTN+PPN]],9,0),0)</f>
        <v>0</v>
      </c>
      <c r="I534">
        <f>IFERROR(VLOOKUP(Fix_Mapping[[#This Row],[KODE BARANG]],[1]!KINONF15[[KDBRG]:[HRG_JLMT_CTN+PPN]],10,0),0)</f>
        <v>0</v>
      </c>
      <c r="J534">
        <f>IFERROR(VLOOKUP(Fix_Mapping[[#This Row],[KODE BARANG]],[1]!KINONF15[[KDBRG]:[HRG_JLMT_CTN+PPN]],11,0),0)</f>
        <v>0</v>
      </c>
      <c r="K534">
        <f>IFERROR(VLOOKUP(Fix_Mapping[[#This Row],[KODE BARANG]],[1]!KINONF15[[KDBRG]:[HRG_JLMT_CTN+PPN]],12,0),0)</f>
        <v>0</v>
      </c>
      <c r="L534">
        <f>IFERROR(VLOOKUP(Fix_Mapping[[#This Row],[KODE BARANG]],[1]!KINONF15[[KDBRG]:[HRG_JLMT_CTN+PPN]],13,0),0)</f>
        <v>0</v>
      </c>
      <c r="M534">
        <f>IFERROR(VLOOKUP(Fix_Mapping[[#This Row],[KODE BARANG]],[1]!KINONF15[[KDBRG]:[HRG_JLMT_CTN+PPN]],14,0),0)</f>
        <v>0</v>
      </c>
      <c r="N534">
        <f>IFERROR(VLOOKUP(Fix_Mapping[[#This Row],[KODE BARANG]],[1]!KINONF15[[KDBRG]:[HRG_JLMT_CTN+PPN]],15,0),0)</f>
        <v>0</v>
      </c>
      <c r="O534">
        <f>IFERROR(VLOOKUP(Fix_Mapping[[#This Row],[KODE BARANG]],[1]!KINONF15[[KDBRG]:[HRG_JLMT_CTN+PPN]],16,0),0)</f>
        <v>0</v>
      </c>
      <c r="P534">
        <f>IFERROR(VLOOKUP(Fix_Mapping[[#This Row],[KODE BARANG]],[1]!KINONF15[[KDBRG]:[HRG_JLMT_CTN+PPN]],17,0),0)</f>
        <v>0</v>
      </c>
      <c r="Q534">
        <f>IFERROR(VLOOKUP(Fix_Mapping[[#This Row],[KODE BARANG]],[1]!KINONF15[[KDBRG]:[HRG_JLMT_CTN+PPN]],18,0),0)</f>
        <v>0</v>
      </c>
      <c r="R534" t="s">
        <v>2555</v>
      </c>
      <c r="S534" t="s">
        <v>1036</v>
      </c>
      <c r="T534">
        <v>0</v>
      </c>
      <c r="U534">
        <v>0</v>
      </c>
      <c r="V534">
        <v>0</v>
      </c>
      <c r="W534">
        <v>0</v>
      </c>
    </row>
    <row r="535" spans="1:23">
      <c r="A535" t="s">
        <v>2024</v>
      </c>
      <c r="B535" t="s">
        <v>2025</v>
      </c>
      <c r="C535">
        <v>72</v>
      </c>
      <c r="D535">
        <f>IFERROR(VLOOKUP(Fix_Mapping[[#This Row],[KODE BARANG]],[1]!KINONF15[[KDBRG]:[HRG_JLMT_CTN+PPN]],5,0),0)</f>
        <v>0</v>
      </c>
      <c r="E535" t="s">
        <v>2226</v>
      </c>
      <c r="F535">
        <f>IFERROR(VLOOKUP(Fix_Mapping[[#This Row],[KODE BARANG]],[1]!KINONF15[[KDBRG]:[HRG_JLMT_CTN+PPN]],7,0),0)</f>
        <v>0</v>
      </c>
      <c r="G535">
        <f>IFERROR(VLOOKUP(Fix_Mapping[[#This Row],[KODE BARANG]],[1]!KINONF15[[KDBRG]:[HRG_JLMT_CTN+PPN]],8,0),0)</f>
        <v>0</v>
      </c>
      <c r="H535">
        <f>IFERROR(VLOOKUP(Fix_Mapping[[#This Row],[KODE BARANG]],[1]!KINONF15[[KDBRG]:[HRG_JLMT_CTN+PPN]],9,0),0)</f>
        <v>0</v>
      </c>
      <c r="I535">
        <f>IFERROR(VLOOKUP(Fix_Mapping[[#This Row],[KODE BARANG]],[1]!KINONF15[[KDBRG]:[HRG_JLMT_CTN+PPN]],10,0),0)</f>
        <v>0</v>
      </c>
      <c r="J535">
        <f>IFERROR(VLOOKUP(Fix_Mapping[[#This Row],[KODE BARANG]],[1]!KINONF15[[KDBRG]:[HRG_JLMT_CTN+PPN]],11,0),0)</f>
        <v>0</v>
      </c>
      <c r="K535">
        <f>IFERROR(VLOOKUP(Fix_Mapping[[#This Row],[KODE BARANG]],[1]!KINONF15[[KDBRG]:[HRG_JLMT_CTN+PPN]],12,0),0)</f>
        <v>0</v>
      </c>
      <c r="L535">
        <f>IFERROR(VLOOKUP(Fix_Mapping[[#This Row],[KODE BARANG]],[1]!KINONF15[[KDBRG]:[HRG_JLMT_CTN+PPN]],13,0),0)</f>
        <v>0</v>
      </c>
      <c r="M535">
        <f>IFERROR(VLOOKUP(Fix_Mapping[[#This Row],[KODE BARANG]],[1]!KINONF15[[KDBRG]:[HRG_JLMT_CTN+PPN]],14,0),0)</f>
        <v>0</v>
      </c>
      <c r="N535">
        <f>IFERROR(VLOOKUP(Fix_Mapping[[#This Row],[KODE BARANG]],[1]!KINONF15[[KDBRG]:[HRG_JLMT_CTN+PPN]],15,0),0)</f>
        <v>0</v>
      </c>
      <c r="O535">
        <f>IFERROR(VLOOKUP(Fix_Mapping[[#This Row],[KODE BARANG]],[1]!KINONF15[[KDBRG]:[HRG_JLMT_CTN+PPN]],16,0),0)</f>
        <v>0</v>
      </c>
      <c r="P535">
        <f>IFERROR(VLOOKUP(Fix_Mapping[[#This Row],[KODE BARANG]],[1]!KINONF15[[KDBRG]:[HRG_JLMT_CTN+PPN]],17,0),0)</f>
        <v>0</v>
      </c>
      <c r="Q535">
        <f>IFERROR(VLOOKUP(Fix_Mapping[[#This Row],[KODE BARANG]],[1]!KINONF15[[KDBRG]:[HRG_JLMT_CTN+PPN]],18,0),0)</f>
        <v>0</v>
      </c>
      <c r="R535" t="s">
        <v>2555</v>
      </c>
      <c r="S535" t="s">
        <v>1035</v>
      </c>
      <c r="T535">
        <v>0</v>
      </c>
      <c r="U535">
        <v>0</v>
      </c>
      <c r="V535">
        <v>0</v>
      </c>
      <c r="W535">
        <v>0</v>
      </c>
    </row>
    <row r="536" spans="1:23">
      <c r="A536" t="s">
        <v>2026</v>
      </c>
      <c r="B536" t="s">
        <v>2424</v>
      </c>
      <c r="C536">
        <v>72</v>
      </c>
      <c r="D536">
        <f>IFERROR(VLOOKUP(Fix_Mapping[[#This Row],[KODE BARANG]],[1]!KINONF15[[KDBRG]:[HRG_JLMT_CTN+PPN]],5,0),0)</f>
        <v>0</v>
      </c>
      <c r="E536" t="s">
        <v>2228</v>
      </c>
      <c r="F536">
        <f>IFERROR(VLOOKUP(Fix_Mapping[[#This Row],[KODE BARANG]],[1]!KINONF15[[KDBRG]:[HRG_JLMT_CTN+PPN]],7,0),0)</f>
        <v>0</v>
      </c>
      <c r="G536">
        <f>IFERROR(VLOOKUP(Fix_Mapping[[#This Row],[KODE BARANG]],[1]!KINONF15[[KDBRG]:[HRG_JLMT_CTN+PPN]],8,0),0)</f>
        <v>0</v>
      </c>
      <c r="H536">
        <f>IFERROR(VLOOKUP(Fix_Mapping[[#This Row],[KODE BARANG]],[1]!KINONF15[[KDBRG]:[HRG_JLMT_CTN+PPN]],9,0),0)</f>
        <v>0</v>
      </c>
      <c r="I536">
        <f>IFERROR(VLOOKUP(Fix_Mapping[[#This Row],[KODE BARANG]],[1]!KINONF15[[KDBRG]:[HRG_JLMT_CTN+PPN]],10,0),0)</f>
        <v>0</v>
      </c>
      <c r="J536">
        <f>IFERROR(VLOOKUP(Fix_Mapping[[#This Row],[KODE BARANG]],[1]!KINONF15[[KDBRG]:[HRG_JLMT_CTN+PPN]],11,0),0)</f>
        <v>0</v>
      </c>
      <c r="K536">
        <f>IFERROR(VLOOKUP(Fix_Mapping[[#This Row],[KODE BARANG]],[1]!KINONF15[[KDBRG]:[HRG_JLMT_CTN+PPN]],12,0),0)</f>
        <v>0</v>
      </c>
      <c r="L536">
        <f>IFERROR(VLOOKUP(Fix_Mapping[[#This Row],[KODE BARANG]],[1]!KINONF15[[KDBRG]:[HRG_JLMT_CTN+PPN]],13,0),0)</f>
        <v>0</v>
      </c>
      <c r="M536">
        <f>IFERROR(VLOOKUP(Fix_Mapping[[#This Row],[KODE BARANG]],[1]!KINONF15[[KDBRG]:[HRG_JLMT_CTN+PPN]],14,0),0)</f>
        <v>0</v>
      </c>
      <c r="N536">
        <f>IFERROR(VLOOKUP(Fix_Mapping[[#This Row],[KODE BARANG]],[1]!KINONF15[[KDBRG]:[HRG_JLMT_CTN+PPN]],15,0),0)</f>
        <v>0</v>
      </c>
      <c r="O536">
        <f>IFERROR(VLOOKUP(Fix_Mapping[[#This Row],[KODE BARANG]],[1]!KINONF15[[KDBRG]:[HRG_JLMT_CTN+PPN]],16,0),0)</f>
        <v>0</v>
      </c>
      <c r="P536">
        <f>IFERROR(VLOOKUP(Fix_Mapping[[#This Row],[KODE BARANG]],[1]!KINONF15[[KDBRG]:[HRG_JLMT_CTN+PPN]],17,0),0)</f>
        <v>0</v>
      </c>
      <c r="Q536">
        <f>IFERROR(VLOOKUP(Fix_Mapping[[#This Row],[KODE BARANG]],[1]!KINONF15[[KDBRG]:[HRG_JLMT_CTN+PPN]],18,0),0)</f>
        <v>0</v>
      </c>
      <c r="R536" t="s">
        <v>2555</v>
      </c>
      <c r="S536" t="s">
        <v>362</v>
      </c>
      <c r="T536">
        <v>0</v>
      </c>
      <c r="U536">
        <v>0</v>
      </c>
      <c r="V536">
        <v>0</v>
      </c>
      <c r="W536">
        <v>0</v>
      </c>
    </row>
    <row r="537" spans="1:23">
      <c r="A537" t="s">
        <v>2027</v>
      </c>
      <c r="B537" t="s">
        <v>2028</v>
      </c>
      <c r="C537">
        <v>24</v>
      </c>
      <c r="D537">
        <f>IFERROR(VLOOKUP(Fix_Mapping[[#This Row],[KODE BARANG]],[1]!KINONF15[[KDBRG]:[HRG_JLMT_CTN+PPN]],5,0),0)</f>
        <v>0</v>
      </c>
      <c r="E537" t="s">
        <v>2228</v>
      </c>
      <c r="F537">
        <f>IFERROR(VLOOKUP(Fix_Mapping[[#This Row],[KODE BARANG]],[1]!KINONF15[[KDBRG]:[HRG_JLMT_CTN+PPN]],7,0),0)</f>
        <v>0</v>
      </c>
      <c r="G537">
        <f>IFERROR(VLOOKUP(Fix_Mapping[[#This Row],[KODE BARANG]],[1]!KINONF15[[KDBRG]:[HRG_JLMT_CTN+PPN]],8,0),0)</f>
        <v>0</v>
      </c>
      <c r="H537">
        <f>IFERROR(VLOOKUP(Fix_Mapping[[#This Row],[KODE BARANG]],[1]!KINONF15[[KDBRG]:[HRG_JLMT_CTN+PPN]],9,0),0)</f>
        <v>0</v>
      </c>
      <c r="I537">
        <f>IFERROR(VLOOKUP(Fix_Mapping[[#This Row],[KODE BARANG]],[1]!KINONF15[[KDBRG]:[HRG_JLMT_CTN+PPN]],10,0),0)</f>
        <v>0</v>
      </c>
      <c r="J537">
        <f>IFERROR(VLOOKUP(Fix_Mapping[[#This Row],[KODE BARANG]],[1]!KINONF15[[KDBRG]:[HRG_JLMT_CTN+PPN]],11,0),0)</f>
        <v>0</v>
      </c>
      <c r="K537">
        <f>IFERROR(VLOOKUP(Fix_Mapping[[#This Row],[KODE BARANG]],[1]!KINONF15[[KDBRG]:[HRG_JLMT_CTN+PPN]],12,0),0)</f>
        <v>0</v>
      </c>
      <c r="L537">
        <f>IFERROR(VLOOKUP(Fix_Mapping[[#This Row],[KODE BARANG]],[1]!KINONF15[[KDBRG]:[HRG_JLMT_CTN+PPN]],13,0),0)</f>
        <v>0</v>
      </c>
      <c r="M537">
        <f>IFERROR(VLOOKUP(Fix_Mapping[[#This Row],[KODE BARANG]],[1]!KINONF15[[KDBRG]:[HRG_JLMT_CTN+PPN]],14,0),0)</f>
        <v>0</v>
      </c>
      <c r="N537">
        <f>IFERROR(VLOOKUP(Fix_Mapping[[#This Row],[KODE BARANG]],[1]!KINONF15[[KDBRG]:[HRG_JLMT_CTN+PPN]],15,0),0)</f>
        <v>0</v>
      </c>
      <c r="O537">
        <f>IFERROR(VLOOKUP(Fix_Mapping[[#This Row],[KODE BARANG]],[1]!KINONF15[[KDBRG]:[HRG_JLMT_CTN+PPN]],16,0),0)</f>
        <v>0</v>
      </c>
      <c r="P537">
        <f>IFERROR(VLOOKUP(Fix_Mapping[[#This Row],[KODE BARANG]],[1]!KINONF15[[KDBRG]:[HRG_JLMT_CTN+PPN]],17,0),0)</f>
        <v>0</v>
      </c>
      <c r="Q537">
        <f>IFERROR(VLOOKUP(Fix_Mapping[[#This Row],[KODE BARANG]],[1]!KINONF15[[KDBRG]:[HRG_JLMT_CTN+PPN]],18,0),0)</f>
        <v>0</v>
      </c>
      <c r="R537" t="s">
        <v>2555</v>
      </c>
      <c r="S537" t="s">
        <v>363</v>
      </c>
      <c r="T537">
        <v>0</v>
      </c>
      <c r="U537">
        <v>0</v>
      </c>
      <c r="V537">
        <v>0</v>
      </c>
      <c r="W537">
        <v>0</v>
      </c>
    </row>
    <row r="538" spans="1:23">
      <c r="A538" t="s">
        <v>2029</v>
      </c>
      <c r="B538" t="s">
        <v>2030</v>
      </c>
      <c r="C538">
        <v>72</v>
      </c>
      <c r="D538">
        <f>IFERROR(VLOOKUP(Fix_Mapping[[#This Row],[KODE BARANG]],[1]!KINONF15[[KDBRG]:[HRG_JLMT_CTN+PPN]],5,0),0)</f>
        <v>0</v>
      </c>
      <c r="E538" t="s">
        <v>2228</v>
      </c>
      <c r="F538">
        <f>IFERROR(VLOOKUP(Fix_Mapping[[#This Row],[KODE BARANG]],[1]!KINONF15[[KDBRG]:[HRG_JLMT_CTN+PPN]],7,0),0)</f>
        <v>0</v>
      </c>
      <c r="G538">
        <f>IFERROR(VLOOKUP(Fix_Mapping[[#This Row],[KODE BARANG]],[1]!KINONF15[[KDBRG]:[HRG_JLMT_CTN+PPN]],8,0),0)</f>
        <v>0</v>
      </c>
      <c r="H538">
        <f>IFERROR(VLOOKUP(Fix_Mapping[[#This Row],[KODE BARANG]],[1]!KINONF15[[KDBRG]:[HRG_JLMT_CTN+PPN]],9,0),0)</f>
        <v>0</v>
      </c>
      <c r="I538">
        <f>IFERROR(VLOOKUP(Fix_Mapping[[#This Row],[KODE BARANG]],[1]!KINONF15[[KDBRG]:[HRG_JLMT_CTN+PPN]],10,0),0)</f>
        <v>0</v>
      </c>
      <c r="J538">
        <f>IFERROR(VLOOKUP(Fix_Mapping[[#This Row],[KODE BARANG]],[1]!KINONF15[[KDBRG]:[HRG_JLMT_CTN+PPN]],11,0),0)</f>
        <v>0</v>
      </c>
      <c r="K538">
        <f>IFERROR(VLOOKUP(Fix_Mapping[[#This Row],[KODE BARANG]],[1]!KINONF15[[KDBRG]:[HRG_JLMT_CTN+PPN]],12,0),0)</f>
        <v>0</v>
      </c>
      <c r="L538">
        <f>IFERROR(VLOOKUP(Fix_Mapping[[#This Row],[KODE BARANG]],[1]!KINONF15[[KDBRG]:[HRG_JLMT_CTN+PPN]],13,0),0)</f>
        <v>0</v>
      </c>
      <c r="M538">
        <f>IFERROR(VLOOKUP(Fix_Mapping[[#This Row],[KODE BARANG]],[1]!KINONF15[[KDBRG]:[HRG_JLMT_CTN+PPN]],14,0),0)</f>
        <v>0</v>
      </c>
      <c r="N538">
        <f>IFERROR(VLOOKUP(Fix_Mapping[[#This Row],[KODE BARANG]],[1]!KINONF15[[KDBRG]:[HRG_JLMT_CTN+PPN]],15,0),0)</f>
        <v>0</v>
      </c>
      <c r="O538">
        <f>IFERROR(VLOOKUP(Fix_Mapping[[#This Row],[KODE BARANG]],[1]!KINONF15[[KDBRG]:[HRG_JLMT_CTN+PPN]],16,0),0)</f>
        <v>0</v>
      </c>
      <c r="P538">
        <f>IFERROR(VLOOKUP(Fix_Mapping[[#This Row],[KODE BARANG]],[1]!KINONF15[[KDBRG]:[HRG_JLMT_CTN+PPN]],17,0),0)</f>
        <v>0</v>
      </c>
      <c r="Q538">
        <f>IFERROR(VLOOKUP(Fix_Mapping[[#This Row],[KODE BARANG]],[1]!KINONF15[[KDBRG]:[HRG_JLMT_CTN+PPN]],18,0),0)</f>
        <v>0</v>
      </c>
      <c r="R538" t="s">
        <v>2555</v>
      </c>
      <c r="S538" t="s">
        <v>1040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2440</v>
      </c>
      <c r="B539" t="s">
        <v>2442</v>
      </c>
      <c r="C539">
        <v>12</v>
      </c>
      <c r="D539">
        <f>IFERROR(VLOOKUP(Fix_Mapping[[#This Row],[KODE BARANG]],[1]!KINONF15[[KDBRG]:[HRG_JLMT_CTN+PPN]],5,0),0)</f>
        <v>0</v>
      </c>
      <c r="E539" t="s">
        <v>2228</v>
      </c>
      <c r="F539">
        <f>IFERROR(VLOOKUP(Fix_Mapping[[#This Row],[KODE BARANG]],[1]!KINONF15[[KDBRG]:[HRG_JLMT_CTN+PPN]],7,0),0)</f>
        <v>0</v>
      </c>
      <c r="G539">
        <f>IFERROR(VLOOKUP(Fix_Mapping[[#This Row],[KODE BARANG]],[1]!KINONF15[[KDBRG]:[HRG_JLMT_CTN+PPN]],8,0),0)</f>
        <v>0</v>
      </c>
      <c r="H539">
        <f>IFERROR(VLOOKUP(Fix_Mapping[[#This Row],[KODE BARANG]],[1]!KINONF15[[KDBRG]:[HRG_JLMT_CTN+PPN]],9,0),0)</f>
        <v>0</v>
      </c>
      <c r="I539">
        <f>IFERROR(VLOOKUP(Fix_Mapping[[#This Row],[KODE BARANG]],[1]!KINONF15[[KDBRG]:[HRG_JLMT_CTN+PPN]],10,0),0)</f>
        <v>0</v>
      </c>
      <c r="J539">
        <f>IFERROR(VLOOKUP(Fix_Mapping[[#This Row],[KODE BARANG]],[1]!KINONF15[[KDBRG]:[HRG_JLMT_CTN+PPN]],11,0),0)</f>
        <v>0</v>
      </c>
      <c r="K539">
        <f>IFERROR(VLOOKUP(Fix_Mapping[[#This Row],[KODE BARANG]],[1]!KINONF15[[KDBRG]:[HRG_JLMT_CTN+PPN]],12,0),0)</f>
        <v>0</v>
      </c>
      <c r="L539">
        <f>IFERROR(VLOOKUP(Fix_Mapping[[#This Row],[KODE BARANG]],[1]!KINONF15[[KDBRG]:[HRG_JLMT_CTN+PPN]],13,0),0)</f>
        <v>0</v>
      </c>
      <c r="M539">
        <f>IFERROR(VLOOKUP(Fix_Mapping[[#This Row],[KODE BARANG]],[1]!KINONF15[[KDBRG]:[HRG_JLMT_CTN+PPN]],14,0),0)</f>
        <v>0</v>
      </c>
      <c r="N539">
        <f>IFERROR(VLOOKUP(Fix_Mapping[[#This Row],[KODE BARANG]],[1]!KINONF15[[KDBRG]:[HRG_JLMT_CTN+PPN]],15,0),0)</f>
        <v>0</v>
      </c>
      <c r="O539">
        <f>IFERROR(VLOOKUP(Fix_Mapping[[#This Row],[KODE BARANG]],[1]!KINONF15[[KDBRG]:[HRG_JLMT_CTN+PPN]],16,0),0)</f>
        <v>0</v>
      </c>
      <c r="P539">
        <f>IFERROR(VLOOKUP(Fix_Mapping[[#This Row],[KODE BARANG]],[1]!KINONF15[[KDBRG]:[HRG_JLMT_CTN+PPN]],17,0),0)</f>
        <v>0</v>
      </c>
      <c r="Q539">
        <f>IFERROR(VLOOKUP(Fix_Mapping[[#This Row],[KODE BARANG]],[1]!KINONF15[[KDBRG]:[HRG_JLMT_CTN+PPN]],18,0),0)</f>
        <v>0</v>
      </c>
      <c r="R539" t="s">
        <v>2555</v>
      </c>
      <c r="S539" t="s">
        <v>2436</v>
      </c>
      <c r="T539">
        <v>0</v>
      </c>
      <c r="U539">
        <v>0</v>
      </c>
      <c r="V539">
        <v>0</v>
      </c>
      <c r="W539">
        <v>0</v>
      </c>
    </row>
    <row r="540" spans="1:23">
      <c r="A540" t="s">
        <v>2031</v>
      </c>
      <c r="B540" t="s">
        <v>2032</v>
      </c>
      <c r="C540">
        <v>72</v>
      </c>
      <c r="D540">
        <f>IFERROR(VLOOKUP(Fix_Mapping[[#This Row],[KODE BARANG]],[1]!KINONF15[[KDBRG]:[HRG_JLMT_CTN+PPN]],5,0),0)</f>
        <v>0</v>
      </c>
      <c r="E540" t="s">
        <v>2228</v>
      </c>
      <c r="F540">
        <f>IFERROR(VLOOKUP(Fix_Mapping[[#This Row],[KODE BARANG]],[1]!KINONF15[[KDBRG]:[HRG_JLMT_CTN+PPN]],7,0),0)</f>
        <v>0</v>
      </c>
      <c r="G540">
        <f>IFERROR(VLOOKUP(Fix_Mapping[[#This Row],[KODE BARANG]],[1]!KINONF15[[KDBRG]:[HRG_JLMT_CTN+PPN]],8,0),0)</f>
        <v>0</v>
      </c>
      <c r="H540">
        <f>IFERROR(VLOOKUP(Fix_Mapping[[#This Row],[KODE BARANG]],[1]!KINONF15[[KDBRG]:[HRG_JLMT_CTN+PPN]],9,0),0)</f>
        <v>0</v>
      </c>
      <c r="I540">
        <f>IFERROR(VLOOKUP(Fix_Mapping[[#This Row],[KODE BARANG]],[1]!KINONF15[[KDBRG]:[HRG_JLMT_CTN+PPN]],10,0),0)</f>
        <v>0</v>
      </c>
      <c r="J540">
        <f>IFERROR(VLOOKUP(Fix_Mapping[[#This Row],[KODE BARANG]],[1]!KINONF15[[KDBRG]:[HRG_JLMT_CTN+PPN]],11,0),0)</f>
        <v>0</v>
      </c>
      <c r="K540">
        <f>IFERROR(VLOOKUP(Fix_Mapping[[#This Row],[KODE BARANG]],[1]!KINONF15[[KDBRG]:[HRG_JLMT_CTN+PPN]],12,0),0)</f>
        <v>0</v>
      </c>
      <c r="L540">
        <f>IFERROR(VLOOKUP(Fix_Mapping[[#This Row],[KODE BARANG]],[1]!KINONF15[[KDBRG]:[HRG_JLMT_CTN+PPN]],13,0),0)</f>
        <v>0</v>
      </c>
      <c r="M540">
        <f>IFERROR(VLOOKUP(Fix_Mapping[[#This Row],[KODE BARANG]],[1]!KINONF15[[KDBRG]:[HRG_JLMT_CTN+PPN]],14,0),0)</f>
        <v>0</v>
      </c>
      <c r="N540">
        <f>IFERROR(VLOOKUP(Fix_Mapping[[#This Row],[KODE BARANG]],[1]!KINONF15[[KDBRG]:[HRG_JLMT_CTN+PPN]],15,0),0)</f>
        <v>0</v>
      </c>
      <c r="O540">
        <f>IFERROR(VLOOKUP(Fix_Mapping[[#This Row],[KODE BARANG]],[1]!KINONF15[[KDBRG]:[HRG_JLMT_CTN+PPN]],16,0),0)</f>
        <v>0</v>
      </c>
      <c r="P540">
        <f>IFERROR(VLOOKUP(Fix_Mapping[[#This Row],[KODE BARANG]],[1]!KINONF15[[KDBRG]:[HRG_JLMT_CTN+PPN]],17,0),0)</f>
        <v>0</v>
      </c>
      <c r="Q540">
        <f>IFERROR(VLOOKUP(Fix_Mapping[[#This Row],[KODE BARANG]],[1]!KINONF15[[KDBRG]:[HRG_JLMT_CTN+PPN]],18,0),0)</f>
        <v>0</v>
      </c>
      <c r="R540" t="s">
        <v>2555</v>
      </c>
      <c r="S540" t="s">
        <v>364</v>
      </c>
      <c r="T540">
        <v>0</v>
      </c>
      <c r="U540">
        <v>0</v>
      </c>
      <c r="V540">
        <v>0</v>
      </c>
      <c r="W540">
        <v>0</v>
      </c>
    </row>
    <row r="541" spans="1:23">
      <c r="A541" t="s">
        <v>2033</v>
      </c>
      <c r="B541" t="s">
        <v>2034</v>
      </c>
      <c r="C541">
        <v>24</v>
      </c>
      <c r="D541">
        <f>IFERROR(VLOOKUP(Fix_Mapping[[#This Row],[KODE BARANG]],[1]!KINONF15[[KDBRG]:[HRG_JLMT_CTN+PPN]],5,0),0)</f>
        <v>0</v>
      </c>
      <c r="E541" t="s">
        <v>2228</v>
      </c>
      <c r="F541">
        <f>IFERROR(VLOOKUP(Fix_Mapping[[#This Row],[KODE BARANG]],[1]!KINONF15[[KDBRG]:[HRG_JLMT_CTN+PPN]],7,0),0)</f>
        <v>0</v>
      </c>
      <c r="G541">
        <f>IFERROR(VLOOKUP(Fix_Mapping[[#This Row],[KODE BARANG]],[1]!KINONF15[[KDBRG]:[HRG_JLMT_CTN+PPN]],8,0),0)</f>
        <v>0</v>
      </c>
      <c r="H541">
        <f>IFERROR(VLOOKUP(Fix_Mapping[[#This Row],[KODE BARANG]],[1]!KINONF15[[KDBRG]:[HRG_JLMT_CTN+PPN]],9,0),0)</f>
        <v>0</v>
      </c>
      <c r="I541">
        <f>IFERROR(VLOOKUP(Fix_Mapping[[#This Row],[KODE BARANG]],[1]!KINONF15[[KDBRG]:[HRG_JLMT_CTN+PPN]],10,0),0)</f>
        <v>0</v>
      </c>
      <c r="J541">
        <f>IFERROR(VLOOKUP(Fix_Mapping[[#This Row],[KODE BARANG]],[1]!KINONF15[[KDBRG]:[HRG_JLMT_CTN+PPN]],11,0),0)</f>
        <v>0</v>
      </c>
      <c r="K541">
        <f>IFERROR(VLOOKUP(Fix_Mapping[[#This Row],[KODE BARANG]],[1]!KINONF15[[KDBRG]:[HRG_JLMT_CTN+PPN]],12,0),0)</f>
        <v>0</v>
      </c>
      <c r="L541">
        <f>IFERROR(VLOOKUP(Fix_Mapping[[#This Row],[KODE BARANG]],[1]!KINONF15[[KDBRG]:[HRG_JLMT_CTN+PPN]],13,0),0)</f>
        <v>0</v>
      </c>
      <c r="M541">
        <f>IFERROR(VLOOKUP(Fix_Mapping[[#This Row],[KODE BARANG]],[1]!KINONF15[[KDBRG]:[HRG_JLMT_CTN+PPN]],14,0),0)</f>
        <v>0</v>
      </c>
      <c r="N541">
        <f>IFERROR(VLOOKUP(Fix_Mapping[[#This Row],[KODE BARANG]],[1]!KINONF15[[KDBRG]:[HRG_JLMT_CTN+PPN]],15,0),0)</f>
        <v>0</v>
      </c>
      <c r="O541">
        <f>IFERROR(VLOOKUP(Fix_Mapping[[#This Row],[KODE BARANG]],[1]!KINONF15[[KDBRG]:[HRG_JLMT_CTN+PPN]],16,0),0)</f>
        <v>0</v>
      </c>
      <c r="P541">
        <f>IFERROR(VLOOKUP(Fix_Mapping[[#This Row],[KODE BARANG]],[1]!KINONF15[[KDBRG]:[HRG_JLMT_CTN+PPN]],17,0),0)</f>
        <v>0</v>
      </c>
      <c r="Q541">
        <f>IFERROR(VLOOKUP(Fix_Mapping[[#This Row],[KODE BARANG]],[1]!KINONF15[[KDBRG]:[HRG_JLMT_CTN+PPN]],18,0),0)</f>
        <v>0</v>
      </c>
      <c r="R541" t="s">
        <v>2555</v>
      </c>
      <c r="S541" t="s">
        <v>365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2035</v>
      </c>
      <c r="B542" t="s">
        <v>2425</v>
      </c>
      <c r="C542">
        <v>48</v>
      </c>
      <c r="D542">
        <f>IFERROR(VLOOKUP(Fix_Mapping[[#This Row],[KODE BARANG]],[1]!KINONF15[[KDBRG]:[HRG_JLMT_CTN+PPN]],5,0),0)</f>
        <v>0</v>
      </c>
      <c r="E542" t="s">
        <v>2228</v>
      </c>
      <c r="F542">
        <f>IFERROR(VLOOKUP(Fix_Mapping[[#This Row],[KODE BARANG]],[1]!KINONF15[[KDBRG]:[HRG_JLMT_CTN+PPN]],7,0),0)</f>
        <v>0</v>
      </c>
      <c r="G542">
        <f>IFERROR(VLOOKUP(Fix_Mapping[[#This Row],[KODE BARANG]],[1]!KINONF15[[KDBRG]:[HRG_JLMT_CTN+PPN]],8,0),0)</f>
        <v>0</v>
      </c>
      <c r="H542">
        <f>IFERROR(VLOOKUP(Fix_Mapping[[#This Row],[KODE BARANG]],[1]!KINONF15[[KDBRG]:[HRG_JLMT_CTN+PPN]],9,0),0)</f>
        <v>0</v>
      </c>
      <c r="I542">
        <f>IFERROR(VLOOKUP(Fix_Mapping[[#This Row],[KODE BARANG]],[1]!KINONF15[[KDBRG]:[HRG_JLMT_CTN+PPN]],10,0),0)</f>
        <v>0</v>
      </c>
      <c r="J542">
        <f>IFERROR(VLOOKUP(Fix_Mapping[[#This Row],[KODE BARANG]],[1]!KINONF15[[KDBRG]:[HRG_JLMT_CTN+PPN]],11,0),0)</f>
        <v>0</v>
      </c>
      <c r="K542">
        <f>IFERROR(VLOOKUP(Fix_Mapping[[#This Row],[KODE BARANG]],[1]!KINONF15[[KDBRG]:[HRG_JLMT_CTN+PPN]],12,0),0)</f>
        <v>0</v>
      </c>
      <c r="L542">
        <f>IFERROR(VLOOKUP(Fix_Mapping[[#This Row],[KODE BARANG]],[1]!KINONF15[[KDBRG]:[HRG_JLMT_CTN+PPN]],13,0),0)</f>
        <v>0</v>
      </c>
      <c r="M542">
        <f>IFERROR(VLOOKUP(Fix_Mapping[[#This Row],[KODE BARANG]],[1]!KINONF15[[KDBRG]:[HRG_JLMT_CTN+PPN]],14,0),0)</f>
        <v>0</v>
      </c>
      <c r="N542">
        <f>IFERROR(VLOOKUP(Fix_Mapping[[#This Row],[KODE BARANG]],[1]!KINONF15[[KDBRG]:[HRG_JLMT_CTN+PPN]],15,0),0)</f>
        <v>0</v>
      </c>
      <c r="O542">
        <f>IFERROR(VLOOKUP(Fix_Mapping[[#This Row],[KODE BARANG]],[1]!KINONF15[[KDBRG]:[HRG_JLMT_CTN+PPN]],16,0),0)</f>
        <v>0</v>
      </c>
      <c r="P542">
        <f>IFERROR(VLOOKUP(Fix_Mapping[[#This Row],[KODE BARANG]],[1]!KINONF15[[KDBRG]:[HRG_JLMT_CTN+PPN]],17,0),0)</f>
        <v>0</v>
      </c>
      <c r="Q542">
        <f>IFERROR(VLOOKUP(Fix_Mapping[[#This Row],[KODE BARANG]],[1]!KINONF15[[KDBRG]:[HRG_JLMT_CTN+PPN]],18,0),0)</f>
        <v>0</v>
      </c>
      <c r="R542" t="s">
        <v>2555</v>
      </c>
      <c r="S542" t="s">
        <v>366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2435</v>
      </c>
      <c r="B543" t="s">
        <v>2443</v>
      </c>
      <c r="C543">
        <v>12</v>
      </c>
      <c r="D543">
        <f>IFERROR(VLOOKUP(Fix_Mapping[[#This Row],[KODE BARANG]],[1]!KINONF15[[KDBRG]:[HRG_JLMT_CTN+PPN]],5,0),0)</f>
        <v>0</v>
      </c>
      <c r="E543" t="s">
        <v>2228</v>
      </c>
      <c r="F543">
        <f>IFERROR(VLOOKUP(Fix_Mapping[[#This Row],[KODE BARANG]],[1]!KINONF15[[KDBRG]:[HRG_JLMT_CTN+PPN]],7,0),0)</f>
        <v>0</v>
      </c>
      <c r="G543">
        <f>IFERROR(VLOOKUP(Fix_Mapping[[#This Row],[KODE BARANG]],[1]!KINONF15[[KDBRG]:[HRG_JLMT_CTN+PPN]],8,0),0)</f>
        <v>0</v>
      </c>
      <c r="H543">
        <f>IFERROR(VLOOKUP(Fix_Mapping[[#This Row],[KODE BARANG]],[1]!KINONF15[[KDBRG]:[HRG_JLMT_CTN+PPN]],9,0),0)</f>
        <v>0</v>
      </c>
      <c r="I543">
        <f>IFERROR(VLOOKUP(Fix_Mapping[[#This Row],[KODE BARANG]],[1]!KINONF15[[KDBRG]:[HRG_JLMT_CTN+PPN]],10,0),0)</f>
        <v>0</v>
      </c>
      <c r="J543">
        <f>IFERROR(VLOOKUP(Fix_Mapping[[#This Row],[KODE BARANG]],[1]!KINONF15[[KDBRG]:[HRG_JLMT_CTN+PPN]],11,0),0)</f>
        <v>0</v>
      </c>
      <c r="K543">
        <f>IFERROR(VLOOKUP(Fix_Mapping[[#This Row],[KODE BARANG]],[1]!KINONF15[[KDBRG]:[HRG_JLMT_CTN+PPN]],12,0),0)</f>
        <v>0</v>
      </c>
      <c r="L543">
        <f>IFERROR(VLOOKUP(Fix_Mapping[[#This Row],[KODE BARANG]],[1]!KINONF15[[KDBRG]:[HRG_JLMT_CTN+PPN]],13,0),0)</f>
        <v>0</v>
      </c>
      <c r="M543">
        <f>IFERROR(VLOOKUP(Fix_Mapping[[#This Row],[KODE BARANG]],[1]!KINONF15[[KDBRG]:[HRG_JLMT_CTN+PPN]],14,0),0)</f>
        <v>0</v>
      </c>
      <c r="N543">
        <f>IFERROR(VLOOKUP(Fix_Mapping[[#This Row],[KODE BARANG]],[1]!KINONF15[[KDBRG]:[HRG_JLMT_CTN+PPN]],15,0),0)</f>
        <v>0</v>
      </c>
      <c r="O543">
        <f>IFERROR(VLOOKUP(Fix_Mapping[[#This Row],[KODE BARANG]],[1]!KINONF15[[KDBRG]:[HRG_JLMT_CTN+PPN]],16,0),0)</f>
        <v>0</v>
      </c>
      <c r="P543">
        <f>IFERROR(VLOOKUP(Fix_Mapping[[#This Row],[KODE BARANG]],[1]!KINONF15[[KDBRG]:[HRG_JLMT_CTN+PPN]],17,0),0)</f>
        <v>0</v>
      </c>
      <c r="Q543">
        <f>IFERROR(VLOOKUP(Fix_Mapping[[#This Row],[KODE BARANG]],[1]!KINONF15[[KDBRG]:[HRG_JLMT_CTN+PPN]],18,0),0)</f>
        <v>0</v>
      </c>
      <c r="R543" t="s">
        <v>2555</v>
      </c>
      <c r="S543" t="s">
        <v>2434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2036</v>
      </c>
      <c r="B544" t="s">
        <v>2426</v>
      </c>
      <c r="C544">
        <v>72</v>
      </c>
      <c r="D544">
        <f>IFERROR(VLOOKUP(Fix_Mapping[[#This Row],[KODE BARANG]],[1]!KINONF15[[KDBRG]:[HRG_JLMT_CTN+PPN]],5,0),0)</f>
        <v>0</v>
      </c>
      <c r="E544" t="s">
        <v>2228</v>
      </c>
      <c r="F544">
        <f>IFERROR(VLOOKUP(Fix_Mapping[[#This Row],[KODE BARANG]],[1]!KINONF15[[KDBRG]:[HRG_JLMT_CTN+PPN]],7,0),0)</f>
        <v>0</v>
      </c>
      <c r="G544">
        <f>IFERROR(VLOOKUP(Fix_Mapping[[#This Row],[KODE BARANG]],[1]!KINONF15[[KDBRG]:[HRG_JLMT_CTN+PPN]],8,0),0)</f>
        <v>0</v>
      </c>
      <c r="H544">
        <f>IFERROR(VLOOKUP(Fix_Mapping[[#This Row],[KODE BARANG]],[1]!KINONF15[[KDBRG]:[HRG_JLMT_CTN+PPN]],9,0),0)</f>
        <v>0</v>
      </c>
      <c r="I544">
        <f>IFERROR(VLOOKUP(Fix_Mapping[[#This Row],[KODE BARANG]],[1]!KINONF15[[KDBRG]:[HRG_JLMT_CTN+PPN]],10,0),0)</f>
        <v>0</v>
      </c>
      <c r="J544">
        <f>IFERROR(VLOOKUP(Fix_Mapping[[#This Row],[KODE BARANG]],[1]!KINONF15[[KDBRG]:[HRG_JLMT_CTN+PPN]],11,0),0)</f>
        <v>0</v>
      </c>
      <c r="K544">
        <f>IFERROR(VLOOKUP(Fix_Mapping[[#This Row],[KODE BARANG]],[1]!KINONF15[[KDBRG]:[HRG_JLMT_CTN+PPN]],12,0),0)</f>
        <v>0</v>
      </c>
      <c r="L544">
        <f>IFERROR(VLOOKUP(Fix_Mapping[[#This Row],[KODE BARANG]],[1]!KINONF15[[KDBRG]:[HRG_JLMT_CTN+PPN]],13,0),0)</f>
        <v>0</v>
      </c>
      <c r="M544">
        <f>IFERROR(VLOOKUP(Fix_Mapping[[#This Row],[KODE BARANG]],[1]!KINONF15[[KDBRG]:[HRG_JLMT_CTN+PPN]],14,0),0)</f>
        <v>0</v>
      </c>
      <c r="N544">
        <f>IFERROR(VLOOKUP(Fix_Mapping[[#This Row],[KODE BARANG]],[1]!KINONF15[[KDBRG]:[HRG_JLMT_CTN+PPN]],15,0),0)</f>
        <v>0</v>
      </c>
      <c r="O544">
        <f>IFERROR(VLOOKUP(Fix_Mapping[[#This Row],[KODE BARANG]],[1]!KINONF15[[KDBRG]:[HRG_JLMT_CTN+PPN]],16,0),0)</f>
        <v>0</v>
      </c>
      <c r="P544">
        <f>IFERROR(VLOOKUP(Fix_Mapping[[#This Row],[KODE BARANG]],[1]!KINONF15[[KDBRG]:[HRG_JLMT_CTN+PPN]],17,0),0)</f>
        <v>0</v>
      </c>
      <c r="Q544">
        <f>IFERROR(VLOOKUP(Fix_Mapping[[#This Row],[KODE BARANG]],[1]!KINONF15[[KDBRG]:[HRG_JLMT_CTN+PPN]],18,0),0)</f>
        <v>0</v>
      </c>
      <c r="R544" t="s">
        <v>2555</v>
      </c>
      <c r="S544" t="s">
        <v>367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2037</v>
      </c>
      <c r="B545" t="s">
        <v>2038</v>
      </c>
      <c r="C545">
        <v>24</v>
      </c>
      <c r="D545">
        <f>IFERROR(VLOOKUP(Fix_Mapping[[#This Row],[KODE BARANG]],[1]!KINONF15[[KDBRG]:[HRG_JLMT_CTN+PPN]],5,0),0)</f>
        <v>0</v>
      </c>
      <c r="E545" t="s">
        <v>2228</v>
      </c>
      <c r="F545">
        <f>IFERROR(VLOOKUP(Fix_Mapping[[#This Row],[KODE BARANG]],[1]!KINONF15[[KDBRG]:[HRG_JLMT_CTN+PPN]],7,0),0)</f>
        <v>0</v>
      </c>
      <c r="G545">
        <f>IFERROR(VLOOKUP(Fix_Mapping[[#This Row],[KODE BARANG]],[1]!KINONF15[[KDBRG]:[HRG_JLMT_CTN+PPN]],8,0),0)</f>
        <v>0</v>
      </c>
      <c r="H545">
        <f>IFERROR(VLOOKUP(Fix_Mapping[[#This Row],[KODE BARANG]],[1]!KINONF15[[KDBRG]:[HRG_JLMT_CTN+PPN]],9,0),0)</f>
        <v>0</v>
      </c>
      <c r="I545">
        <f>IFERROR(VLOOKUP(Fix_Mapping[[#This Row],[KODE BARANG]],[1]!KINONF15[[KDBRG]:[HRG_JLMT_CTN+PPN]],10,0),0)</f>
        <v>0</v>
      </c>
      <c r="J545">
        <f>IFERROR(VLOOKUP(Fix_Mapping[[#This Row],[KODE BARANG]],[1]!KINONF15[[KDBRG]:[HRG_JLMT_CTN+PPN]],11,0),0)</f>
        <v>0</v>
      </c>
      <c r="K545">
        <f>IFERROR(VLOOKUP(Fix_Mapping[[#This Row],[KODE BARANG]],[1]!KINONF15[[KDBRG]:[HRG_JLMT_CTN+PPN]],12,0),0)</f>
        <v>0</v>
      </c>
      <c r="L545">
        <f>IFERROR(VLOOKUP(Fix_Mapping[[#This Row],[KODE BARANG]],[1]!KINONF15[[KDBRG]:[HRG_JLMT_CTN+PPN]],13,0),0)</f>
        <v>0</v>
      </c>
      <c r="M545">
        <f>IFERROR(VLOOKUP(Fix_Mapping[[#This Row],[KODE BARANG]],[1]!KINONF15[[KDBRG]:[HRG_JLMT_CTN+PPN]],14,0),0)</f>
        <v>0</v>
      </c>
      <c r="N545">
        <f>IFERROR(VLOOKUP(Fix_Mapping[[#This Row],[KODE BARANG]],[1]!KINONF15[[KDBRG]:[HRG_JLMT_CTN+PPN]],15,0),0)</f>
        <v>0</v>
      </c>
      <c r="O545">
        <f>IFERROR(VLOOKUP(Fix_Mapping[[#This Row],[KODE BARANG]],[1]!KINONF15[[KDBRG]:[HRG_JLMT_CTN+PPN]],16,0),0)</f>
        <v>0</v>
      </c>
      <c r="P545">
        <f>IFERROR(VLOOKUP(Fix_Mapping[[#This Row],[KODE BARANG]],[1]!KINONF15[[KDBRG]:[HRG_JLMT_CTN+PPN]],17,0),0)</f>
        <v>0</v>
      </c>
      <c r="Q545">
        <f>IFERROR(VLOOKUP(Fix_Mapping[[#This Row],[KODE BARANG]],[1]!KINONF15[[KDBRG]:[HRG_JLMT_CTN+PPN]],18,0),0)</f>
        <v>0</v>
      </c>
      <c r="R545" t="s">
        <v>2555</v>
      </c>
      <c r="S545" t="s">
        <v>368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2039</v>
      </c>
      <c r="B546" t="s">
        <v>2427</v>
      </c>
      <c r="C546">
        <v>48</v>
      </c>
      <c r="D546">
        <f>IFERROR(VLOOKUP(Fix_Mapping[[#This Row],[KODE BARANG]],[1]!KINONF15[[KDBRG]:[HRG_JLMT_CTN+PPN]],5,0),0)</f>
        <v>0</v>
      </c>
      <c r="E546" t="s">
        <v>2228</v>
      </c>
      <c r="F546">
        <f>IFERROR(VLOOKUP(Fix_Mapping[[#This Row],[KODE BARANG]],[1]!KINONF15[[KDBRG]:[HRG_JLMT_CTN+PPN]],7,0),0)</f>
        <v>0</v>
      </c>
      <c r="G546">
        <f>IFERROR(VLOOKUP(Fix_Mapping[[#This Row],[KODE BARANG]],[1]!KINONF15[[KDBRG]:[HRG_JLMT_CTN+PPN]],8,0),0)</f>
        <v>0</v>
      </c>
      <c r="H546">
        <f>IFERROR(VLOOKUP(Fix_Mapping[[#This Row],[KODE BARANG]],[1]!KINONF15[[KDBRG]:[HRG_JLMT_CTN+PPN]],9,0),0)</f>
        <v>0</v>
      </c>
      <c r="I546">
        <f>IFERROR(VLOOKUP(Fix_Mapping[[#This Row],[KODE BARANG]],[1]!KINONF15[[KDBRG]:[HRG_JLMT_CTN+PPN]],10,0),0)</f>
        <v>0</v>
      </c>
      <c r="J546">
        <f>IFERROR(VLOOKUP(Fix_Mapping[[#This Row],[KODE BARANG]],[1]!KINONF15[[KDBRG]:[HRG_JLMT_CTN+PPN]],11,0),0)</f>
        <v>0</v>
      </c>
      <c r="K546">
        <f>IFERROR(VLOOKUP(Fix_Mapping[[#This Row],[KODE BARANG]],[1]!KINONF15[[KDBRG]:[HRG_JLMT_CTN+PPN]],12,0),0)</f>
        <v>0</v>
      </c>
      <c r="L546">
        <f>IFERROR(VLOOKUP(Fix_Mapping[[#This Row],[KODE BARANG]],[1]!KINONF15[[KDBRG]:[HRG_JLMT_CTN+PPN]],13,0),0)</f>
        <v>0</v>
      </c>
      <c r="M546">
        <f>IFERROR(VLOOKUP(Fix_Mapping[[#This Row],[KODE BARANG]],[1]!KINONF15[[KDBRG]:[HRG_JLMT_CTN+PPN]],14,0),0)</f>
        <v>0</v>
      </c>
      <c r="N546">
        <f>IFERROR(VLOOKUP(Fix_Mapping[[#This Row],[KODE BARANG]],[1]!KINONF15[[KDBRG]:[HRG_JLMT_CTN+PPN]],15,0),0)</f>
        <v>0</v>
      </c>
      <c r="O546">
        <f>IFERROR(VLOOKUP(Fix_Mapping[[#This Row],[KODE BARANG]],[1]!KINONF15[[KDBRG]:[HRG_JLMT_CTN+PPN]],16,0),0)</f>
        <v>0</v>
      </c>
      <c r="P546">
        <f>IFERROR(VLOOKUP(Fix_Mapping[[#This Row],[KODE BARANG]],[1]!KINONF15[[KDBRG]:[HRG_JLMT_CTN+PPN]],17,0),0)</f>
        <v>0</v>
      </c>
      <c r="Q546">
        <f>IFERROR(VLOOKUP(Fix_Mapping[[#This Row],[KODE BARANG]],[1]!KINONF15[[KDBRG]:[HRG_JLMT_CTN+PPN]],18,0),0)</f>
        <v>0</v>
      </c>
      <c r="R546" t="s">
        <v>2555</v>
      </c>
      <c r="S546" t="s">
        <v>369</v>
      </c>
      <c r="T546">
        <v>0</v>
      </c>
      <c r="U546">
        <v>0</v>
      </c>
      <c r="V546">
        <v>0</v>
      </c>
      <c r="W546">
        <v>0</v>
      </c>
    </row>
    <row r="547" spans="1:23">
      <c r="A547" t="s">
        <v>2040</v>
      </c>
      <c r="B547" t="s">
        <v>2041</v>
      </c>
      <c r="C547">
        <v>48</v>
      </c>
      <c r="D547">
        <f>IFERROR(VLOOKUP(Fix_Mapping[[#This Row],[KODE BARANG]],[1]!KINONF15[[KDBRG]:[HRG_JLMT_CTN+PPN]],5,0),0)</f>
        <v>0</v>
      </c>
      <c r="E547" t="s">
        <v>2222</v>
      </c>
      <c r="F547">
        <f>IFERROR(VLOOKUP(Fix_Mapping[[#This Row],[KODE BARANG]],[1]!KINONF15[[KDBRG]:[HRG_JLMT_CTN+PPN]],7,0),0)</f>
        <v>0</v>
      </c>
      <c r="G547">
        <f>IFERROR(VLOOKUP(Fix_Mapping[[#This Row],[KODE BARANG]],[1]!KINONF15[[KDBRG]:[HRG_JLMT_CTN+PPN]],8,0),0)</f>
        <v>0</v>
      </c>
      <c r="H547">
        <f>IFERROR(VLOOKUP(Fix_Mapping[[#This Row],[KODE BARANG]],[1]!KINONF15[[KDBRG]:[HRG_JLMT_CTN+PPN]],9,0),0)</f>
        <v>0</v>
      </c>
      <c r="I547">
        <f>IFERROR(VLOOKUP(Fix_Mapping[[#This Row],[KODE BARANG]],[1]!KINONF15[[KDBRG]:[HRG_JLMT_CTN+PPN]],10,0),0)</f>
        <v>0</v>
      </c>
      <c r="J547">
        <f>IFERROR(VLOOKUP(Fix_Mapping[[#This Row],[KODE BARANG]],[1]!KINONF15[[KDBRG]:[HRG_JLMT_CTN+PPN]],11,0),0)</f>
        <v>0</v>
      </c>
      <c r="K547">
        <f>IFERROR(VLOOKUP(Fix_Mapping[[#This Row],[KODE BARANG]],[1]!KINONF15[[KDBRG]:[HRG_JLMT_CTN+PPN]],12,0),0)</f>
        <v>0</v>
      </c>
      <c r="L547">
        <f>IFERROR(VLOOKUP(Fix_Mapping[[#This Row],[KODE BARANG]],[1]!KINONF15[[KDBRG]:[HRG_JLMT_CTN+PPN]],13,0),0)</f>
        <v>0</v>
      </c>
      <c r="M547">
        <f>IFERROR(VLOOKUP(Fix_Mapping[[#This Row],[KODE BARANG]],[1]!KINONF15[[KDBRG]:[HRG_JLMT_CTN+PPN]],14,0),0)</f>
        <v>0</v>
      </c>
      <c r="N547">
        <f>IFERROR(VLOOKUP(Fix_Mapping[[#This Row],[KODE BARANG]],[1]!KINONF15[[KDBRG]:[HRG_JLMT_CTN+PPN]],15,0),0)</f>
        <v>0</v>
      </c>
      <c r="O547">
        <f>IFERROR(VLOOKUP(Fix_Mapping[[#This Row],[KODE BARANG]],[1]!KINONF15[[KDBRG]:[HRG_JLMT_CTN+PPN]],16,0),0)</f>
        <v>0</v>
      </c>
      <c r="P547">
        <f>IFERROR(VLOOKUP(Fix_Mapping[[#This Row],[KODE BARANG]],[1]!KINONF15[[KDBRG]:[HRG_JLMT_CTN+PPN]],17,0),0)</f>
        <v>0</v>
      </c>
      <c r="Q547">
        <f>IFERROR(VLOOKUP(Fix_Mapping[[#This Row],[KODE BARANG]],[1]!KINONF15[[KDBRG]:[HRG_JLMT_CTN+PPN]],18,0),0)</f>
        <v>0</v>
      </c>
      <c r="R547" t="s">
        <v>2555</v>
      </c>
      <c r="S547" t="s">
        <v>370</v>
      </c>
      <c r="T547" t="s">
        <v>2470</v>
      </c>
      <c r="U547">
        <v>0</v>
      </c>
      <c r="V547">
        <v>0</v>
      </c>
      <c r="W547">
        <v>0</v>
      </c>
    </row>
    <row r="548" spans="1:23">
      <c r="A548" t="s">
        <v>2042</v>
      </c>
      <c r="B548" t="s">
        <v>2043</v>
      </c>
      <c r="C548">
        <v>48</v>
      </c>
      <c r="D548">
        <f>IFERROR(VLOOKUP(Fix_Mapping[[#This Row],[KODE BARANG]],[1]!KINONF15[[KDBRG]:[HRG_JLMT_CTN+PPN]],5,0),0)</f>
        <v>0</v>
      </c>
      <c r="E548" t="s">
        <v>2222</v>
      </c>
      <c r="F548">
        <f>IFERROR(VLOOKUP(Fix_Mapping[[#This Row],[KODE BARANG]],[1]!KINONF15[[KDBRG]:[HRG_JLMT_CTN+PPN]],7,0),0)</f>
        <v>0</v>
      </c>
      <c r="G548">
        <f>IFERROR(VLOOKUP(Fix_Mapping[[#This Row],[KODE BARANG]],[1]!KINONF15[[KDBRG]:[HRG_JLMT_CTN+PPN]],8,0),0)</f>
        <v>0</v>
      </c>
      <c r="H548">
        <f>IFERROR(VLOOKUP(Fix_Mapping[[#This Row],[KODE BARANG]],[1]!KINONF15[[KDBRG]:[HRG_JLMT_CTN+PPN]],9,0),0)</f>
        <v>0</v>
      </c>
      <c r="I548">
        <f>IFERROR(VLOOKUP(Fix_Mapping[[#This Row],[KODE BARANG]],[1]!KINONF15[[KDBRG]:[HRG_JLMT_CTN+PPN]],10,0),0)</f>
        <v>0</v>
      </c>
      <c r="J548">
        <f>IFERROR(VLOOKUP(Fix_Mapping[[#This Row],[KODE BARANG]],[1]!KINONF15[[KDBRG]:[HRG_JLMT_CTN+PPN]],11,0),0)</f>
        <v>0</v>
      </c>
      <c r="K548">
        <f>IFERROR(VLOOKUP(Fix_Mapping[[#This Row],[KODE BARANG]],[1]!KINONF15[[KDBRG]:[HRG_JLMT_CTN+PPN]],12,0),0)</f>
        <v>0</v>
      </c>
      <c r="L548">
        <f>IFERROR(VLOOKUP(Fix_Mapping[[#This Row],[KODE BARANG]],[1]!KINONF15[[KDBRG]:[HRG_JLMT_CTN+PPN]],13,0),0)</f>
        <v>0</v>
      </c>
      <c r="M548">
        <f>IFERROR(VLOOKUP(Fix_Mapping[[#This Row],[KODE BARANG]],[1]!KINONF15[[KDBRG]:[HRG_JLMT_CTN+PPN]],14,0),0)</f>
        <v>0</v>
      </c>
      <c r="N548">
        <f>IFERROR(VLOOKUP(Fix_Mapping[[#This Row],[KODE BARANG]],[1]!KINONF15[[KDBRG]:[HRG_JLMT_CTN+PPN]],15,0),0)</f>
        <v>0</v>
      </c>
      <c r="O548">
        <f>IFERROR(VLOOKUP(Fix_Mapping[[#This Row],[KODE BARANG]],[1]!KINONF15[[KDBRG]:[HRG_JLMT_CTN+PPN]],16,0),0)</f>
        <v>0</v>
      </c>
      <c r="P548">
        <f>IFERROR(VLOOKUP(Fix_Mapping[[#This Row],[KODE BARANG]],[1]!KINONF15[[KDBRG]:[HRG_JLMT_CTN+PPN]],17,0),0)</f>
        <v>0</v>
      </c>
      <c r="Q548">
        <f>IFERROR(VLOOKUP(Fix_Mapping[[#This Row],[KODE BARANG]],[1]!KINONF15[[KDBRG]:[HRG_JLMT_CTN+PPN]],18,0),0)</f>
        <v>0</v>
      </c>
      <c r="R548" t="s">
        <v>2555</v>
      </c>
      <c r="S548" t="s">
        <v>371</v>
      </c>
      <c r="T548" t="s">
        <v>372</v>
      </c>
      <c r="U548">
        <v>0</v>
      </c>
      <c r="V548">
        <v>0</v>
      </c>
      <c r="W548">
        <v>0</v>
      </c>
    </row>
    <row r="549" spans="1:23">
      <c r="A549" t="s">
        <v>2044</v>
      </c>
      <c r="B549" t="s">
        <v>2045</v>
      </c>
      <c r="C549">
        <v>36</v>
      </c>
      <c r="D549">
        <f>IFERROR(VLOOKUP(Fix_Mapping[[#This Row],[KODE BARANG]],[1]!KINONF15[[KDBRG]:[HRG_JLMT_CTN+PPN]],5,0),0)</f>
        <v>0</v>
      </c>
      <c r="E549" t="s">
        <v>2222</v>
      </c>
      <c r="F549">
        <f>IFERROR(VLOOKUP(Fix_Mapping[[#This Row],[KODE BARANG]],[1]!KINONF15[[KDBRG]:[HRG_JLMT_CTN+PPN]],7,0),0)</f>
        <v>0</v>
      </c>
      <c r="G549">
        <f>IFERROR(VLOOKUP(Fix_Mapping[[#This Row],[KODE BARANG]],[1]!KINONF15[[KDBRG]:[HRG_JLMT_CTN+PPN]],8,0),0)</f>
        <v>0</v>
      </c>
      <c r="H549">
        <f>IFERROR(VLOOKUP(Fix_Mapping[[#This Row],[KODE BARANG]],[1]!KINONF15[[KDBRG]:[HRG_JLMT_CTN+PPN]],9,0),0)</f>
        <v>0</v>
      </c>
      <c r="I549">
        <f>IFERROR(VLOOKUP(Fix_Mapping[[#This Row],[KODE BARANG]],[1]!KINONF15[[KDBRG]:[HRG_JLMT_CTN+PPN]],10,0),0)</f>
        <v>0</v>
      </c>
      <c r="J549">
        <f>IFERROR(VLOOKUP(Fix_Mapping[[#This Row],[KODE BARANG]],[1]!KINONF15[[KDBRG]:[HRG_JLMT_CTN+PPN]],11,0),0)</f>
        <v>0</v>
      </c>
      <c r="K549">
        <f>IFERROR(VLOOKUP(Fix_Mapping[[#This Row],[KODE BARANG]],[1]!KINONF15[[KDBRG]:[HRG_JLMT_CTN+PPN]],12,0),0)</f>
        <v>0</v>
      </c>
      <c r="L549">
        <f>IFERROR(VLOOKUP(Fix_Mapping[[#This Row],[KODE BARANG]],[1]!KINONF15[[KDBRG]:[HRG_JLMT_CTN+PPN]],13,0),0)</f>
        <v>0</v>
      </c>
      <c r="M549">
        <f>IFERROR(VLOOKUP(Fix_Mapping[[#This Row],[KODE BARANG]],[1]!KINONF15[[KDBRG]:[HRG_JLMT_CTN+PPN]],14,0),0)</f>
        <v>0</v>
      </c>
      <c r="N549">
        <f>IFERROR(VLOOKUP(Fix_Mapping[[#This Row],[KODE BARANG]],[1]!KINONF15[[KDBRG]:[HRG_JLMT_CTN+PPN]],15,0),0)</f>
        <v>0</v>
      </c>
      <c r="O549">
        <f>IFERROR(VLOOKUP(Fix_Mapping[[#This Row],[KODE BARANG]],[1]!KINONF15[[KDBRG]:[HRG_JLMT_CTN+PPN]],16,0),0)</f>
        <v>0</v>
      </c>
      <c r="P549">
        <f>IFERROR(VLOOKUP(Fix_Mapping[[#This Row],[KODE BARANG]],[1]!KINONF15[[KDBRG]:[HRG_JLMT_CTN+PPN]],17,0),0)</f>
        <v>0</v>
      </c>
      <c r="Q549">
        <f>IFERROR(VLOOKUP(Fix_Mapping[[#This Row],[KODE BARANG]],[1]!KINONF15[[KDBRG]:[HRG_JLMT_CTN+PPN]],18,0),0)</f>
        <v>0</v>
      </c>
      <c r="R549" t="s">
        <v>2555</v>
      </c>
      <c r="S549" t="s">
        <v>373</v>
      </c>
      <c r="T549" t="s">
        <v>374</v>
      </c>
      <c r="U549">
        <v>0</v>
      </c>
      <c r="V549">
        <v>0</v>
      </c>
      <c r="W549">
        <v>0</v>
      </c>
    </row>
    <row r="550" spans="1:23">
      <c r="A550" t="s">
        <v>2046</v>
      </c>
      <c r="B550" t="s">
        <v>2047</v>
      </c>
      <c r="C550">
        <v>36</v>
      </c>
      <c r="D550">
        <f>IFERROR(VLOOKUP(Fix_Mapping[[#This Row],[KODE BARANG]],[1]!KINONF15[[KDBRG]:[HRG_JLMT_CTN+PPN]],5,0),0)</f>
        <v>0</v>
      </c>
      <c r="E550" t="s">
        <v>2222</v>
      </c>
      <c r="F550">
        <f>IFERROR(VLOOKUP(Fix_Mapping[[#This Row],[KODE BARANG]],[1]!KINONF15[[KDBRG]:[HRG_JLMT_CTN+PPN]],7,0),0)</f>
        <v>0</v>
      </c>
      <c r="G550">
        <f>IFERROR(VLOOKUP(Fix_Mapping[[#This Row],[KODE BARANG]],[1]!KINONF15[[KDBRG]:[HRG_JLMT_CTN+PPN]],8,0),0)</f>
        <v>0</v>
      </c>
      <c r="H550">
        <f>IFERROR(VLOOKUP(Fix_Mapping[[#This Row],[KODE BARANG]],[1]!KINONF15[[KDBRG]:[HRG_JLMT_CTN+PPN]],9,0),0)</f>
        <v>0</v>
      </c>
      <c r="I550">
        <f>IFERROR(VLOOKUP(Fix_Mapping[[#This Row],[KODE BARANG]],[1]!KINONF15[[KDBRG]:[HRG_JLMT_CTN+PPN]],10,0),0)</f>
        <v>0</v>
      </c>
      <c r="J550">
        <f>IFERROR(VLOOKUP(Fix_Mapping[[#This Row],[KODE BARANG]],[1]!KINONF15[[KDBRG]:[HRG_JLMT_CTN+PPN]],11,0),0)</f>
        <v>0</v>
      </c>
      <c r="K550">
        <f>IFERROR(VLOOKUP(Fix_Mapping[[#This Row],[KODE BARANG]],[1]!KINONF15[[KDBRG]:[HRG_JLMT_CTN+PPN]],12,0),0)</f>
        <v>0</v>
      </c>
      <c r="L550">
        <f>IFERROR(VLOOKUP(Fix_Mapping[[#This Row],[KODE BARANG]],[1]!KINONF15[[KDBRG]:[HRG_JLMT_CTN+PPN]],13,0),0)</f>
        <v>0</v>
      </c>
      <c r="M550">
        <f>IFERROR(VLOOKUP(Fix_Mapping[[#This Row],[KODE BARANG]],[1]!KINONF15[[KDBRG]:[HRG_JLMT_CTN+PPN]],14,0),0)</f>
        <v>0</v>
      </c>
      <c r="N550">
        <f>IFERROR(VLOOKUP(Fix_Mapping[[#This Row],[KODE BARANG]],[1]!KINONF15[[KDBRG]:[HRG_JLMT_CTN+PPN]],15,0),0)</f>
        <v>0</v>
      </c>
      <c r="O550">
        <f>IFERROR(VLOOKUP(Fix_Mapping[[#This Row],[KODE BARANG]],[1]!KINONF15[[KDBRG]:[HRG_JLMT_CTN+PPN]],16,0),0)</f>
        <v>0</v>
      </c>
      <c r="P550">
        <f>IFERROR(VLOOKUP(Fix_Mapping[[#This Row],[KODE BARANG]],[1]!KINONF15[[KDBRG]:[HRG_JLMT_CTN+PPN]],17,0),0)</f>
        <v>0</v>
      </c>
      <c r="Q550">
        <f>IFERROR(VLOOKUP(Fix_Mapping[[#This Row],[KODE BARANG]],[1]!KINONF15[[KDBRG]:[HRG_JLMT_CTN+PPN]],18,0),0)</f>
        <v>0</v>
      </c>
      <c r="R550" t="s">
        <v>2555</v>
      </c>
      <c r="S550" t="s">
        <v>375</v>
      </c>
      <c r="T550" t="s">
        <v>376</v>
      </c>
      <c r="U550">
        <v>0</v>
      </c>
      <c r="V550">
        <v>0</v>
      </c>
      <c r="W550">
        <v>0</v>
      </c>
    </row>
    <row r="551" spans="1:23">
      <c r="A551" t="s">
        <v>2048</v>
      </c>
      <c r="B551" t="s">
        <v>2049</v>
      </c>
      <c r="C551">
        <v>48</v>
      </c>
      <c r="D551">
        <f>IFERROR(VLOOKUP(Fix_Mapping[[#This Row],[KODE BARANG]],[1]!KINONF15[[KDBRG]:[HRG_JLMT_CTN+PPN]],5,0),0)</f>
        <v>0</v>
      </c>
      <c r="E551" t="s">
        <v>2222</v>
      </c>
      <c r="F551">
        <f>IFERROR(VLOOKUP(Fix_Mapping[[#This Row],[KODE BARANG]],[1]!KINONF15[[KDBRG]:[HRG_JLMT_CTN+PPN]],7,0),0)</f>
        <v>0</v>
      </c>
      <c r="G551">
        <f>IFERROR(VLOOKUP(Fix_Mapping[[#This Row],[KODE BARANG]],[1]!KINONF15[[KDBRG]:[HRG_JLMT_CTN+PPN]],8,0),0)</f>
        <v>0</v>
      </c>
      <c r="H551">
        <f>IFERROR(VLOOKUP(Fix_Mapping[[#This Row],[KODE BARANG]],[1]!KINONF15[[KDBRG]:[HRG_JLMT_CTN+PPN]],9,0),0)</f>
        <v>0</v>
      </c>
      <c r="I551">
        <f>IFERROR(VLOOKUP(Fix_Mapping[[#This Row],[KODE BARANG]],[1]!KINONF15[[KDBRG]:[HRG_JLMT_CTN+PPN]],10,0),0)</f>
        <v>0</v>
      </c>
      <c r="J551">
        <f>IFERROR(VLOOKUP(Fix_Mapping[[#This Row],[KODE BARANG]],[1]!KINONF15[[KDBRG]:[HRG_JLMT_CTN+PPN]],11,0),0)</f>
        <v>0</v>
      </c>
      <c r="K551">
        <f>IFERROR(VLOOKUP(Fix_Mapping[[#This Row],[KODE BARANG]],[1]!KINONF15[[KDBRG]:[HRG_JLMT_CTN+PPN]],12,0),0)</f>
        <v>0</v>
      </c>
      <c r="L551">
        <f>IFERROR(VLOOKUP(Fix_Mapping[[#This Row],[KODE BARANG]],[1]!KINONF15[[KDBRG]:[HRG_JLMT_CTN+PPN]],13,0),0)</f>
        <v>0</v>
      </c>
      <c r="M551">
        <f>IFERROR(VLOOKUP(Fix_Mapping[[#This Row],[KODE BARANG]],[1]!KINONF15[[KDBRG]:[HRG_JLMT_CTN+PPN]],14,0),0)</f>
        <v>0</v>
      </c>
      <c r="N551">
        <f>IFERROR(VLOOKUP(Fix_Mapping[[#This Row],[KODE BARANG]],[1]!KINONF15[[KDBRG]:[HRG_JLMT_CTN+PPN]],15,0),0)</f>
        <v>0</v>
      </c>
      <c r="O551">
        <f>IFERROR(VLOOKUP(Fix_Mapping[[#This Row],[KODE BARANG]],[1]!KINONF15[[KDBRG]:[HRG_JLMT_CTN+PPN]],16,0),0)</f>
        <v>0</v>
      </c>
      <c r="P551">
        <f>IFERROR(VLOOKUP(Fix_Mapping[[#This Row],[KODE BARANG]],[1]!KINONF15[[KDBRG]:[HRG_JLMT_CTN+PPN]],17,0),0)</f>
        <v>0</v>
      </c>
      <c r="Q551">
        <f>IFERROR(VLOOKUP(Fix_Mapping[[#This Row],[KODE BARANG]],[1]!KINONF15[[KDBRG]:[HRG_JLMT_CTN+PPN]],18,0),0)</f>
        <v>0</v>
      </c>
      <c r="R551" t="s">
        <v>2555</v>
      </c>
      <c r="S551" t="s">
        <v>377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2050</v>
      </c>
      <c r="B552" t="s">
        <v>2051</v>
      </c>
      <c r="C552">
        <v>48</v>
      </c>
      <c r="D552">
        <f>IFERROR(VLOOKUP(Fix_Mapping[[#This Row],[KODE BARANG]],[1]!KINONF15[[KDBRG]:[HRG_JLMT_CTN+PPN]],5,0),0)</f>
        <v>0</v>
      </c>
      <c r="E552" t="s">
        <v>2222</v>
      </c>
      <c r="F552">
        <f>IFERROR(VLOOKUP(Fix_Mapping[[#This Row],[KODE BARANG]],[1]!KINONF15[[KDBRG]:[HRG_JLMT_CTN+PPN]],7,0),0)</f>
        <v>0</v>
      </c>
      <c r="G552">
        <f>IFERROR(VLOOKUP(Fix_Mapping[[#This Row],[KODE BARANG]],[1]!KINONF15[[KDBRG]:[HRG_JLMT_CTN+PPN]],8,0),0)</f>
        <v>0</v>
      </c>
      <c r="H552">
        <f>IFERROR(VLOOKUP(Fix_Mapping[[#This Row],[KODE BARANG]],[1]!KINONF15[[KDBRG]:[HRG_JLMT_CTN+PPN]],9,0),0)</f>
        <v>0</v>
      </c>
      <c r="I552">
        <f>IFERROR(VLOOKUP(Fix_Mapping[[#This Row],[KODE BARANG]],[1]!KINONF15[[KDBRG]:[HRG_JLMT_CTN+PPN]],10,0),0)</f>
        <v>0</v>
      </c>
      <c r="J552">
        <f>IFERROR(VLOOKUP(Fix_Mapping[[#This Row],[KODE BARANG]],[1]!KINONF15[[KDBRG]:[HRG_JLMT_CTN+PPN]],11,0),0)</f>
        <v>0</v>
      </c>
      <c r="K552">
        <f>IFERROR(VLOOKUP(Fix_Mapping[[#This Row],[KODE BARANG]],[1]!KINONF15[[KDBRG]:[HRG_JLMT_CTN+PPN]],12,0),0)</f>
        <v>0</v>
      </c>
      <c r="L552">
        <f>IFERROR(VLOOKUP(Fix_Mapping[[#This Row],[KODE BARANG]],[1]!KINONF15[[KDBRG]:[HRG_JLMT_CTN+PPN]],13,0),0)</f>
        <v>0</v>
      </c>
      <c r="M552">
        <f>IFERROR(VLOOKUP(Fix_Mapping[[#This Row],[KODE BARANG]],[1]!KINONF15[[KDBRG]:[HRG_JLMT_CTN+PPN]],14,0),0)</f>
        <v>0</v>
      </c>
      <c r="N552">
        <f>IFERROR(VLOOKUP(Fix_Mapping[[#This Row],[KODE BARANG]],[1]!KINONF15[[KDBRG]:[HRG_JLMT_CTN+PPN]],15,0),0)</f>
        <v>0</v>
      </c>
      <c r="O552">
        <f>IFERROR(VLOOKUP(Fix_Mapping[[#This Row],[KODE BARANG]],[1]!KINONF15[[KDBRG]:[HRG_JLMT_CTN+PPN]],16,0),0)</f>
        <v>0</v>
      </c>
      <c r="P552">
        <f>IFERROR(VLOOKUP(Fix_Mapping[[#This Row],[KODE BARANG]],[1]!KINONF15[[KDBRG]:[HRG_JLMT_CTN+PPN]],17,0),0)</f>
        <v>0</v>
      </c>
      <c r="Q552">
        <f>IFERROR(VLOOKUP(Fix_Mapping[[#This Row],[KODE BARANG]],[1]!KINONF15[[KDBRG]:[HRG_JLMT_CTN+PPN]],18,0),0)</f>
        <v>0</v>
      </c>
      <c r="R552" t="s">
        <v>2555</v>
      </c>
      <c r="S552" t="s">
        <v>378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2052</v>
      </c>
      <c r="B553" t="s">
        <v>2053</v>
      </c>
      <c r="C553">
        <v>36</v>
      </c>
      <c r="D553">
        <f>IFERROR(VLOOKUP(Fix_Mapping[[#This Row],[KODE BARANG]],[1]!KINONF15[[KDBRG]:[HRG_JLMT_CTN+PPN]],5,0),0)</f>
        <v>0</v>
      </c>
      <c r="E553" t="s">
        <v>2222</v>
      </c>
      <c r="F553">
        <f>IFERROR(VLOOKUP(Fix_Mapping[[#This Row],[KODE BARANG]],[1]!KINONF15[[KDBRG]:[HRG_JLMT_CTN+PPN]],7,0),0)</f>
        <v>0</v>
      </c>
      <c r="G553">
        <f>IFERROR(VLOOKUP(Fix_Mapping[[#This Row],[KODE BARANG]],[1]!KINONF15[[KDBRG]:[HRG_JLMT_CTN+PPN]],8,0),0)</f>
        <v>0</v>
      </c>
      <c r="H553">
        <f>IFERROR(VLOOKUP(Fix_Mapping[[#This Row],[KODE BARANG]],[1]!KINONF15[[KDBRG]:[HRG_JLMT_CTN+PPN]],9,0),0)</f>
        <v>0</v>
      </c>
      <c r="I553">
        <f>IFERROR(VLOOKUP(Fix_Mapping[[#This Row],[KODE BARANG]],[1]!KINONF15[[KDBRG]:[HRG_JLMT_CTN+PPN]],10,0),0)</f>
        <v>0</v>
      </c>
      <c r="J553">
        <f>IFERROR(VLOOKUP(Fix_Mapping[[#This Row],[KODE BARANG]],[1]!KINONF15[[KDBRG]:[HRG_JLMT_CTN+PPN]],11,0),0)</f>
        <v>0</v>
      </c>
      <c r="K553">
        <f>IFERROR(VLOOKUP(Fix_Mapping[[#This Row],[KODE BARANG]],[1]!KINONF15[[KDBRG]:[HRG_JLMT_CTN+PPN]],12,0),0)</f>
        <v>0</v>
      </c>
      <c r="L553">
        <f>IFERROR(VLOOKUP(Fix_Mapping[[#This Row],[KODE BARANG]],[1]!KINONF15[[KDBRG]:[HRG_JLMT_CTN+PPN]],13,0),0)</f>
        <v>0</v>
      </c>
      <c r="M553">
        <f>IFERROR(VLOOKUP(Fix_Mapping[[#This Row],[KODE BARANG]],[1]!KINONF15[[KDBRG]:[HRG_JLMT_CTN+PPN]],14,0),0)</f>
        <v>0</v>
      </c>
      <c r="N553">
        <f>IFERROR(VLOOKUP(Fix_Mapping[[#This Row],[KODE BARANG]],[1]!KINONF15[[KDBRG]:[HRG_JLMT_CTN+PPN]],15,0),0)</f>
        <v>0</v>
      </c>
      <c r="O553">
        <f>IFERROR(VLOOKUP(Fix_Mapping[[#This Row],[KODE BARANG]],[1]!KINONF15[[KDBRG]:[HRG_JLMT_CTN+PPN]],16,0),0)</f>
        <v>0</v>
      </c>
      <c r="P553">
        <f>IFERROR(VLOOKUP(Fix_Mapping[[#This Row],[KODE BARANG]],[1]!KINONF15[[KDBRG]:[HRG_JLMT_CTN+PPN]],17,0),0)</f>
        <v>0</v>
      </c>
      <c r="Q553">
        <f>IFERROR(VLOOKUP(Fix_Mapping[[#This Row],[KODE BARANG]],[1]!KINONF15[[KDBRG]:[HRG_JLMT_CTN+PPN]],18,0),0)</f>
        <v>0</v>
      </c>
      <c r="R553" t="s">
        <v>2555</v>
      </c>
      <c r="S553" t="s">
        <v>379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2054</v>
      </c>
      <c r="B554" t="s">
        <v>2055</v>
      </c>
      <c r="C554">
        <v>36</v>
      </c>
      <c r="D554">
        <f>IFERROR(VLOOKUP(Fix_Mapping[[#This Row],[KODE BARANG]],[1]!KINONF15[[KDBRG]:[HRG_JLMT_CTN+PPN]],5,0),0)</f>
        <v>0</v>
      </c>
      <c r="E554" t="s">
        <v>2222</v>
      </c>
      <c r="F554">
        <f>IFERROR(VLOOKUP(Fix_Mapping[[#This Row],[KODE BARANG]],[1]!KINONF15[[KDBRG]:[HRG_JLMT_CTN+PPN]],7,0),0)</f>
        <v>0</v>
      </c>
      <c r="G554">
        <f>IFERROR(VLOOKUP(Fix_Mapping[[#This Row],[KODE BARANG]],[1]!KINONF15[[KDBRG]:[HRG_JLMT_CTN+PPN]],8,0),0)</f>
        <v>0</v>
      </c>
      <c r="H554">
        <f>IFERROR(VLOOKUP(Fix_Mapping[[#This Row],[KODE BARANG]],[1]!KINONF15[[KDBRG]:[HRG_JLMT_CTN+PPN]],9,0),0)</f>
        <v>0</v>
      </c>
      <c r="I554">
        <f>IFERROR(VLOOKUP(Fix_Mapping[[#This Row],[KODE BARANG]],[1]!KINONF15[[KDBRG]:[HRG_JLMT_CTN+PPN]],10,0),0)</f>
        <v>0</v>
      </c>
      <c r="J554">
        <f>IFERROR(VLOOKUP(Fix_Mapping[[#This Row],[KODE BARANG]],[1]!KINONF15[[KDBRG]:[HRG_JLMT_CTN+PPN]],11,0),0)</f>
        <v>0</v>
      </c>
      <c r="K554">
        <f>IFERROR(VLOOKUP(Fix_Mapping[[#This Row],[KODE BARANG]],[1]!KINONF15[[KDBRG]:[HRG_JLMT_CTN+PPN]],12,0),0)</f>
        <v>0</v>
      </c>
      <c r="L554">
        <f>IFERROR(VLOOKUP(Fix_Mapping[[#This Row],[KODE BARANG]],[1]!KINONF15[[KDBRG]:[HRG_JLMT_CTN+PPN]],13,0),0)</f>
        <v>0</v>
      </c>
      <c r="M554">
        <f>IFERROR(VLOOKUP(Fix_Mapping[[#This Row],[KODE BARANG]],[1]!KINONF15[[KDBRG]:[HRG_JLMT_CTN+PPN]],14,0),0)</f>
        <v>0</v>
      </c>
      <c r="N554">
        <f>IFERROR(VLOOKUP(Fix_Mapping[[#This Row],[KODE BARANG]],[1]!KINONF15[[KDBRG]:[HRG_JLMT_CTN+PPN]],15,0),0)</f>
        <v>0</v>
      </c>
      <c r="O554">
        <f>IFERROR(VLOOKUP(Fix_Mapping[[#This Row],[KODE BARANG]],[1]!KINONF15[[KDBRG]:[HRG_JLMT_CTN+PPN]],16,0),0)</f>
        <v>0</v>
      </c>
      <c r="P554">
        <f>IFERROR(VLOOKUP(Fix_Mapping[[#This Row],[KODE BARANG]],[1]!KINONF15[[KDBRG]:[HRG_JLMT_CTN+PPN]],17,0),0)</f>
        <v>0</v>
      </c>
      <c r="Q554">
        <f>IFERROR(VLOOKUP(Fix_Mapping[[#This Row],[KODE BARANG]],[1]!KINONF15[[KDBRG]:[HRG_JLMT_CTN+PPN]],18,0),0)</f>
        <v>0</v>
      </c>
      <c r="R554" t="s">
        <v>2555</v>
      </c>
      <c r="S554" t="s">
        <v>380</v>
      </c>
      <c r="T554">
        <v>0</v>
      </c>
      <c r="U554">
        <v>0</v>
      </c>
      <c r="V554">
        <v>0</v>
      </c>
      <c r="W554">
        <v>0</v>
      </c>
    </row>
    <row r="555" spans="1:23">
      <c r="A555" t="s">
        <v>2056</v>
      </c>
      <c r="B555" t="s">
        <v>2057</v>
      </c>
      <c r="C555">
        <v>48</v>
      </c>
      <c r="D555">
        <f>IFERROR(VLOOKUP(Fix_Mapping[[#This Row],[KODE BARANG]],[1]!KINONF15[[KDBRG]:[HRG_JLMT_CTN+PPN]],5,0),0)</f>
        <v>0</v>
      </c>
      <c r="E555" t="s">
        <v>2222</v>
      </c>
      <c r="F555">
        <f>IFERROR(VLOOKUP(Fix_Mapping[[#This Row],[KODE BARANG]],[1]!KINONF15[[KDBRG]:[HRG_JLMT_CTN+PPN]],7,0),0)</f>
        <v>0</v>
      </c>
      <c r="G555">
        <f>IFERROR(VLOOKUP(Fix_Mapping[[#This Row],[KODE BARANG]],[1]!KINONF15[[KDBRG]:[HRG_JLMT_CTN+PPN]],8,0),0)</f>
        <v>0</v>
      </c>
      <c r="H555">
        <f>IFERROR(VLOOKUP(Fix_Mapping[[#This Row],[KODE BARANG]],[1]!KINONF15[[KDBRG]:[HRG_JLMT_CTN+PPN]],9,0),0)</f>
        <v>0</v>
      </c>
      <c r="I555">
        <f>IFERROR(VLOOKUP(Fix_Mapping[[#This Row],[KODE BARANG]],[1]!KINONF15[[KDBRG]:[HRG_JLMT_CTN+PPN]],10,0),0)</f>
        <v>0</v>
      </c>
      <c r="J555">
        <f>IFERROR(VLOOKUP(Fix_Mapping[[#This Row],[KODE BARANG]],[1]!KINONF15[[KDBRG]:[HRG_JLMT_CTN+PPN]],11,0),0)</f>
        <v>0</v>
      </c>
      <c r="K555">
        <f>IFERROR(VLOOKUP(Fix_Mapping[[#This Row],[KODE BARANG]],[1]!KINONF15[[KDBRG]:[HRG_JLMT_CTN+PPN]],12,0),0)</f>
        <v>0</v>
      </c>
      <c r="L555">
        <f>IFERROR(VLOOKUP(Fix_Mapping[[#This Row],[KODE BARANG]],[1]!KINONF15[[KDBRG]:[HRG_JLMT_CTN+PPN]],13,0),0)</f>
        <v>0</v>
      </c>
      <c r="M555">
        <f>IFERROR(VLOOKUP(Fix_Mapping[[#This Row],[KODE BARANG]],[1]!KINONF15[[KDBRG]:[HRG_JLMT_CTN+PPN]],14,0),0)</f>
        <v>0</v>
      </c>
      <c r="N555">
        <f>IFERROR(VLOOKUP(Fix_Mapping[[#This Row],[KODE BARANG]],[1]!KINONF15[[KDBRG]:[HRG_JLMT_CTN+PPN]],15,0),0)</f>
        <v>0</v>
      </c>
      <c r="O555">
        <f>IFERROR(VLOOKUP(Fix_Mapping[[#This Row],[KODE BARANG]],[1]!KINONF15[[KDBRG]:[HRG_JLMT_CTN+PPN]],16,0),0)</f>
        <v>0</v>
      </c>
      <c r="P555">
        <f>IFERROR(VLOOKUP(Fix_Mapping[[#This Row],[KODE BARANG]],[1]!KINONF15[[KDBRG]:[HRG_JLMT_CTN+PPN]],17,0),0)</f>
        <v>0</v>
      </c>
      <c r="Q555">
        <f>IFERROR(VLOOKUP(Fix_Mapping[[#This Row],[KODE BARANG]],[1]!KINONF15[[KDBRG]:[HRG_JLMT_CTN+PPN]],18,0),0)</f>
        <v>0</v>
      </c>
      <c r="R555" t="s">
        <v>2555</v>
      </c>
      <c r="S555" t="s">
        <v>381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2058</v>
      </c>
      <c r="B556" t="s">
        <v>2059</v>
      </c>
      <c r="C556">
        <v>48</v>
      </c>
      <c r="D556">
        <f>IFERROR(VLOOKUP(Fix_Mapping[[#This Row],[KODE BARANG]],[1]!KINONF15[[KDBRG]:[HRG_JLMT_CTN+PPN]],5,0),0)</f>
        <v>0</v>
      </c>
      <c r="E556" t="s">
        <v>2222</v>
      </c>
      <c r="F556">
        <f>IFERROR(VLOOKUP(Fix_Mapping[[#This Row],[KODE BARANG]],[1]!KINONF15[[KDBRG]:[HRG_JLMT_CTN+PPN]],7,0),0)</f>
        <v>0</v>
      </c>
      <c r="G556">
        <f>IFERROR(VLOOKUP(Fix_Mapping[[#This Row],[KODE BARANG]],[1]!KINONF15[[KDBRG]:[HRG_JLMT_CTN+PPN]],8,0),0)</f>
        <v>0</v>
      </c>
      <c r="H556">
        <f>IFERROR(VLOOKUP(Fix_Mapping[[#This Row],[KODE BARANG]],[1]!KINONF15[[KDBRG]:[HRG_JLMT_CTN+PPN]],9,0),0)</f>
        <v>0</v>
      </c>
      <c r="I556">
        <f>IFERROR(VLOOKUP(Fix_Mapping[[#This Row],[KODE BARANG]],[1]!KINONF15[[KDBRG]:[HRG_JLMT_CTN+PPN]],10,0),0)</f>
        <v>0</v>
      </c>
      <c r="J556">
        <f>IFERROR(VLOOKUP(Fix_Mapping[[#This Row],[KODE BARANG]],[1]!KINONF15[[KDBRG]:[HRG_JLMT_CTN+PPN]],11,0),0)</f>
        <v>0</v>
      </c>
      <c r="K556">
        <f>IFERROR(VLOOKUP(Fix_Mapping[[#This Row],[KODE BARANG]],[1]!KINONF15[[KDBRG]:[HRG_JLMT_CTN+PPN]],12,0),0)</f>
        <v>0</v>
      </c>
      <c r="L556">
        <f>IFERROR(VLOOKUP(Fix_Mapping[[#This Row],[KODE BARANG]],[1]!KINONF15[[KDBRG]:[HRG_JLMT_CTN+PPN]],13,0),0)</f>
        <v>0</v>
      </c>
      <c r="M556">
        <f>IFERROR(VLOOKUP(Fix_Mapping[[#This Row],[KODE BARANG]],[1]!KINONF15[[KDBRG]:[HRG_JLMT_CTN+PPN]],14,0),0)</f>
        <v>0</v>
      </c>
      <c r="N556">
        <f>IFERROR(VLOOKUP(Fix_Mapping[[#This Row],[KODE BARANG]],[1]!KINONF15[[KDBRG]:[HRG_JLMT_CTN+PPN]],15,0),0)</f>
        <v>0</v>
      </c>
      <c r="O556">
        <f>IFERROR(VLOOKUP(Fix_Mapping[[#This Row],[KODE BARANG]],[1]!KINONF15[[KDBRG]:[HRG_JLMT_CTN+PPN]],16,0),0)</f>
        <v>0</v>
      </c>
      <c r="P556">
        <f>IFERROR(VLOOKUP(Fix_Mapping[[#This Row],[KODE BARANG]],[1]!KINONF15[[KDBRG]:[HRG_JLMT_CTN+PPN]],17,0),0)</f>
        <v>0</v>
      </c>
      <c r="Q556">
        <f>IFERROR(VLOOKUP(Fix_Mapping[[#This Row],[KODE BARANG]],[1]!KINONF15[[KDBRG]:[HRG_JLMT_CTN+PPN]],18,0),0)</f>
        <v>0</v>
      </c>
      <c r="R556" t="s">
        <v>2555</v>
      </c>
      <c r="S556" t="s">
        <v>382</v>
      </c>
      <c r="T556" t="s">
        <v>383</v>
      </c>
      <c r="U556">
        <v>0</v>
      </c>
      <c r="V556">
        <v>0</v>
      </c>
      <c r="W556">
        <v>0</v>
      </c>
    </row>
    <row r="557" spans="1:23">
      <c r="A557" t="s">
        <v>2060</v>
      </c>
      <c r="B557" t="s">
        <v>2061</v>
      </c>
      <c r="C557">
        <v>36</v>
      </c>
      <c r="D557">
        <f>IFERROR(VLOOKUP(Fix_Mapping[[#This Row],[KODE BARANG]],[1]!KINONF15[[KDBRG]:[HRG_JLMT_CTN+PPN]],5,0),0)</f>
        <v>0</v>
      </c>
      <c r="E557" t="s">
        <v>2222</v>
      </c>
      <c r="F557">
        <f>IFERROR(VLOOKUP(Fix_Mapping[[#This Row],[KODE BARANG]],[1]!KINONF15[[KDBRG]:[HRG_JLMT_CTN+PPN]],7,0),0)</f>
        <v>0</v>
      </c>
      <c r="G557">
        <f>IFERROR(VLOOKUP(Fix_Mapping[[#This Row],[KODE BARANG]],[1]!KINONF15[[KDBRG]:[HRG_JLMT_CTN+PPN]],8,0),0)</f>
        <v>0</v>
      </c>
      <c r="H557">
        <f>IFERROR(VLOOKUP(Fix_Mapping[[#This Row],[KODE BARANG]],[1]!KINONF15[[KDBRG]:[HRG_JLMT_CTN+PPN]],9,0),0)</f>
        <v>0</v>
      </c>
      <c r="I557">
        <f>IFERROR(VLOOKUP(Fix_Mapping[[#This Row],[KODE BARANG]],[1]!KINONF15[[KDBRG]:[HRG_JLMT_CTN+PPN]],10,0),0)</f>
        <v>0</v>
      </c>
      <c r="J557">
        <f>IFERROR(VLOOKUP(Fix_Mapping[[#This Row],[KODE BARANG]],[1]!KINONF15[[KDBRG]:[HRG_JLMT_CTN+PPN]],11,0),0)</f>
        <v>0</v>
      </c>
      <c r="K557">
        <f>IFERROR(VLOOKUP(Fix_Mapping[[#This Row],[KODE BARANG]],[1]!KINONF15[[KDBRG]:[HRG_JLMT_CTN+PPN]],12,0),0)</f>
        <v>0</v>
      </c>
      <c r="L557">
        <f>IFERROR(VLOOKUP(Fix_Mapping[[#This Row],[KODE BARANG]],[1]!KINONF15[[KDBRG]:[HRG_JLMT_CTN+PPN]],13,0),0)</f>
        <v>0</v>
      </c>
      <c r="M557">
        <f>IFERROR(VLOOKUP(Fix_Mapping[[#This Row],[KODE BARANG]],[1]!KINONF15[[KDBRG]:[HRG_JLMT_CTN+PPN]],14,0),0)</f>
        <v>0</v>
      </c>
      <c r="N557">
        <f>IFERROR(VLOOKUP(Fix_Mapping[[#This Row],[KODE BARANG]],[1]!KINONF15[[KDBRG]:[HRG_JLMT_CTN+PPN]],15,0),0)</f>
        <v>0</v>
      </c>
      <c r="O557">
        <f>IFERROR(VLOOKUP(Fix_Mapping[[#This Row],[KODE BARANG]],[1]!KINONF15[[KDBRG]:[HRG_JLMT_CTN+PPN]],16,0),0)</f>
        <v>0</v>
      </c>
      <c r="P557">
        <f>IFERROR(VLOOKUP(Fix_Mapping[[#This Row],[KODE BARANG]],[1]!KINONF15[[KDBRG]:[HRG_JLMT_CTN+PPN]],17,0),0)</f>
        <v>0</v>
      </c>
      <c r="Q557">
        <f>IFERROR(VLOOKUP(Fix_Mapping[[#This Row],[KODE BARANG]],[1]!KINONF15[[KDBRG]:[HRG_JLMT_CTN+PPN]],18,0),0)</f>
        <v>0</v>
      </c>
      <c r="R557" t="s">
        <v>2555</v>
      </c>
      <c r="S557" t="s">
        <v>384</v>
      </c>
      <c r="T557">
        <v>0</v>
      </c>
      <c r="U557">
        <v>0</v>
      </c>
      <c r="V557">
        <v>0</v>
      </c>
      <c r="W557">
        <v>0</v>
      </c>
    </row>
    <row r="558" spans="1:23">
      <c r="A558" t="s">
        <v>2062</v>
      </c>
      <c r="B558" t="s">
        <v>2063</v>
      </c>
      <c r="C558">
        <v>36</v>
      </c>
      <c r="D558">
        <f>IFERROR(VLOOKUP(Fix_Mapping[[#This Row],[KODE BARANG]],[1]!KINONF15[[KDBRG]:[HRG_JLMT_CTN+PPN]],5,0),0)</f>
        <v>0</v>
      </c>
      <c r="E558" t="s">
        <v>2222</v>
      </c>
      <c r="F558">
        <f>IFERROR(VLOOKUP(Fix_Mapping[[#This Row],[KODE BARANG]],[1]!KINONF15[[KDBRG]:[HRG_JLMT_CTN+PPN]],7,0),0)</f>
        <v>0</v>
      </c>
      <c r="G558">
        <f>IFERROR(VLOOKUP(Fix_Mapping[[#This Row],[KODE BARANG]],[1]!KINONF15[[KDBRG]:[HRG_JLMT_CTN+PPN]],8,0),0)</f>
        <v>0</v>
      </c>
      <c r="H558">
        <f>IFERROR(VLOOKUP(Fix_Mapping[[#This Row],[KODE BARANG]],[1]!KINONF15[[KDBRG]:[HRG_JLMT_CTN+PPN]],9,0),0)</f>
        <v>0</v>
      </c>
      <c r="I558">
        <f>IFERROR(VLOOKUP(Fix_Mapping[[#This Row],[KODE BARANG]],[1]!KINONF15[[KDBRG]:[HRG_JLMT_CTN+PPN]],10,0),0)</f>
        <v>0</v>
      </c>
      <c r="J558">
        <f>IFERROR(VLOOKUP(Fix_Mapping[[#This Row],[KODE BARANG]],[1]!KINONF15[[KDBRG]:[HRG_JLMT_CTN+PPN]],11,0),0)</f>
        <v>0</v>
      </c>
      <c r="K558">
        <f>IFERROR(VLOOKUP(Fix_Mapping[[#This Row],[KODE BARANG]],[1]!KINONF15[[KDBRG]:[HRG_JLMT_CTN+PPN]],12,0),0)</f>
        <v>0</v>
      </c>
      <c r="L558">
        <f>IFERROR(VLOOKUP(Fix_Mapping[[#This Row],[KODE BARANG]],[1]!KINONF15[[KDBRG]:[HRG_JLMT_CTN+PPN]],13,0),0)</f>
        <v>0</v>
      </c>
      <c r="M558">
        <f>IFERROR(VLOOKUP(Fix_Mapping[[#This Row],[KODE BARANG]],[1]!KINONF15[[KDBRG]:[HRG_JLMT_CTN+PPN]],14,0),0)</f>
        <v>0</v>
      </c>
      <c r="N558">
        <f>IFERROR(VLOOKUP(Fix_Mapping[[#This Row],[KODE BARANG]],[1]!KINONF15[[KDBRG]:[HRG_JLMT_CTN+PPN]],15,0),0)</f>
        <v>0</v>
      </c>
      <c r="O558">
        <f>IFERROR(VLOOKUP(Fix_Mapping[[#This Row],[KODE BARANG]],[1]!KINONF15[[KDBRG]:[HRG_JLMT_CTN+PPN]],16,0),0)</f>
        <v>0</v>
      </c>
      <c r="P558">
        <f>IFERROR(VLOOKUP(Fix_Mapping[[#This Row],[KODE BARANG]],[1]!KINONF15[[KDBRG]:[HRG_JLMT_CTN+PPN]],17,0),0)</f>
        <v>0</v>
      </c>
      <c r="Q558">
        <f>IFERROR(VLOOKUP(Fix_Mapping[[#This Row],[KODE BARANG]],[1]!KINONF15[[KDBRG]:[HRG_JLMT_CTN+PPN]],18,0),0)</f>
        <v>0</v>
      </c>
      <c r="R558" t="s">
        <v>2555</v>
      </c>
      <c r="S558" t="s">
        <v>385</v>
      </c>
      <c r="T558" t="s">
        <v>386</v>
      </c>
      <c r="U558">
        <v>0</v>
      </c>
      <c r="V558">
        <v>0</v>
      </c>
      <c r="W558">
        <v>0</v>
      </c>
    </row>
    <row r="559" spans="1:23">
      <c r="A559" t="s">
        <v>2108</v>
      </c>
      <c r="B559" t="s">
        <v>2109</v>
      </c>
      <c r="C559">
        <v>6</v>
      </c>
      <c r="D559">
        <f>IFERROR(VLOOKUP(Fix_Mapping[[#This Row],[KODE BARANG]],[1]!KINONF15[[KDBRG]:[HRG_JLMT_CTN+PPN]],5,0),0)</f>
        <v>0</v>
      </c>
      <c r="E559" t="s">
        <v>2242</v>
      </c>
      <c r="F559">
        <f>IFERROR(VLOOKUP(Fix_Mapping[[#This Row],[KODE BARANG]],[1]!KINONF15[[KDBRG]:[HRG_JLMT_CTN+PPN]],7,0),0)</f>
        <v>0</v>
      </c>
      <c r="G559">
        <f>IFERROR(VLOOKUP(Fix_Mapping[[#This Row],[KODE BARANG]],[1]!KINONF15[[KDBRG]:[HRG_JLMT_CTN+PPN]],8,0),0)</f>
        <v>0</v>
      </c>
      <c r="H559">
        <f>IFERROR(VLOOKUP(Fix_Mapping[[#This Row],[KODE BARANG]],[1]!KINONF15[[KDBRG]:[HRG_JLMT_CTN+PPN]],9,0),0)</f>
        <v>0</v>
      </c>
      <c r="I559">
        <f>IFERROR(VLOOKUP(Fix_Mapping[[#This Row],[KODE BARANG]],[1]!KINONF15[[KDBRG]:[HRG_JLMT_CTN+PPN]],10,0),0)</f>
        <v>0</v>
      </c>
      <c r="J559">
        <f>IFERROR(VLOOKUP(Fix_Mapping[[#This Row],[KODE BARANG]],[1]!KINONF15[[KDBRG]:[HRG_JLMT_CTN+PPN]],11,0),0)</f>
        <v>0</v>
      </c>
      <c r="K559">
        <f>IFERROR(VLOOKUP(Fix_Mapping[[#This Row],[KODE BARANG]],[1]!KINONF15[[KDBRG]:[HRG_JLMT_CTN+PPN]],12,0),0)</f>
        <v>0</v>
      </c>
      <c r="L559">
        <f>IFERROR(VLOOKUP(Fix_Mapping[[#This Row],[KODE BARANG]],[1]!KINONF15[[KDBRG]:[HRG_JLMT_CTN+PPN]],13,0),0)</f>
        <v>0</v>
      </c>
      <c r="M559">
        <f>IFERROR(VLOOKUP(Fix_Mapping[[#This Row],[KODE BARANG]],[1]!KINONF15[[KDBRG]:[HRG_JLMT_CTN+PPN]],14,0),0)</f>
        <v>0</v>
      </c>
      <c r="N559">
        <f>IFERROR(VLOOKUP(Fix_Mapping[[#This Row],[KODE BARANG]],[1]!KINONF15[[KDBRG]:[HRG_JLMT_CTN+PPN]],15,0),0)</f>
        <v>0</v>
      </c>
      <c r="O559">
        <f>IFERROR(VLOOKUP(Fix_Mapping[[#This Row],[KODE BARANG]],[1]!KINONF15[[KDBRG]:[HRG_JLMT_CTN+PPN]],16,0),0)</f>
        <v>0</v>
      </c>
      <c r="P559">
        <f>IFERROR(VLOOKUP(Fix_Mapping[[#This Row],[KODE BARANG]],[1]!KINONF15[[KDBRG]:[HRG_JLMT_CTN+PPN]],17,0),0)</f>
        <v>0</v>
      </c>
      <c r="Q559">
        <f>IFERROR(VLOOKUP(Fix_Mapping[[#This Row],[KODE BARANG]],[1]!KINONF15[[KDBRG]:[HRG_JLMT_CTN+PPN]],18,0),0)</f>
        <v>0</v>
      </c>
      <c r="R559" t="s">
        <v>2555</v>
      </c>
      <c r="S559" t="s">
        <v>431</v>
      </c>
      <c r="T559">
        <v>0</v>
      </c>
      <c r="U559">
        <v>0</v>
      </c>
      <c r="V559">
        <v>0</v>
      </c>
      <c r="W559">
        <v>0</v>
      </c>
    </row>
    <row r="560" spans="1:23">
      <c r="A560" t="s">
        <v>2110</v>
      </c>
      <c r="B560" t="s">
        <v>2111</v>
      </c>
      <c r="C560">
        <v>96</v>
      </c>
      <c r="D560">
        <f>IFERROR(VLOOKUP(Fix_Mapping[[#This Row],[KODE BARANG]],[1]!KINONF15[[KDBRG]:[HRG_JLMT_CTN+PPN]],5,0),0)</f>
        <v>0</v>
      </c>
      <c r="E560" t="s">
        <v>2244</v>
      </c>
      <c r="F560">
        <f>IFERROR(VLOOKUP(Fix_Mapping[[#This Row],[KODE BARANG]],[1]!KINONF15[[KDBRG]:[HRG_JLMT_CTN+PPN]],7,0),0)</f>
        <v>0</v>
      </c>
      <c r="G560">
        <f>IFERROR(VLOOKUP(Fix_Mapping[[#This Row],[KODE BARANG]],[1]!KINONF15[[KDBRG]:[HRG_JLMT_CTN+PPN]],8,0),0)</f>
        <v>0</v>
      </c>
      <c r="H560">
        <f>IFERROR(VLOOKUP(Fix_Mapping[[#This Row],[KODE BARANG]],[1]!KINONF15[[KDBRG]:[HRG_JLMT_CTN+PPN]],9,0),0)</f>
        <v>0</v>
      </c>
      <c r="I560">
        <f>IFERROR(VLOOKUP(Fix_Mapping[[#This Row],[KODE BARANG]],[1]!KINONF15[[KDBRG]:[HRG_JLMT_CTN+PPN]],10,0),0)</f>
        <v>0</v>
      </c>
      <c r="J560">
        <f>IFERROR(VLOOKUP(Fix_Mapping[[#This Row],[KODE BARANG]],[1]!KINONF15[[KDBRG]:[HRG_JLMT_CTN+PPN]],11,0),0)</f>
        <v>0</v>
      </c>
      <c r="K560">
        <f>IFERROR(VLOOKUP(Fix_Mapping[[#This Row],[KODE BARANG]],[1]!KINONF15[[KDBRG]:[HRG_JLMT_CTN+PPN]],12,0),0)</f>
        <v>0</v>
      </c>
      <c r="L560">
        <f>IFERROR(VLOOKUP(Fix_Mapping[[#This Row],[KODE BARANG]],[1]!KINONF15[[KDBRG]:[HRG_JLMT_CTN+PPN]],13,0),0)</f>
        <v>0</v>
      </c>
      <c r="M560">
        <f>IFERROR(VLOOKUP(Fix_Mapping[[#This Row],[KODE BARANG]],[1]!KINONF15[[KDBRG]:[HRG_JLMT_CTN+PPN]],14,0),0)</f>
        <v>0</v>
      </c>
      <c r="N560">
        <f>IFERROR(VLOOKUP(Fix_Mapping[[#This Row],[KODE BARANG]],[1]!KINONF15[[KDBRG]:[HRG_JLMT_CTN+PPN]],15,0),0)</f>
        <v>0</v>
      </c>
      <c r="O560">
        <f>IFERROR(VLOOKUP(Fix_Mapping[[#This Row],[KODE BARANG]],[1]!KINONF15[[KDBRG]:[HRG_JLMT_CTN+PPN]],16,0),0)</f>
        <v>0</v>
      </c>
      <c r="P560">
        <f>IFERROR(VLOOKUP(Fix_Mapping[[#This Row],[KODE BARANG]],[1]!KINONF15[[KDBRG]:[HRG_JLMT_CTN+PPN]],17,0),0)</f>
        <v>0</v>
      </c>
      <c r="Q560">
        <f>IFERROR(VLOOKUP(Fix_Mapping[[#This Row],[KODE BARANG]],[1]!KINONF15[[KDBRG]:[HRG_JLMT_CTN+PPN]],18,0),0)</f>
        <v>0</v>
      </c>
      <c r="R560" t="s">
        <v>2555</v>
      </c>
      <c r="S560" t="s">
        <v>436</v>
      </c>
      <c r="T560">
        <v>0</v>
      </c>
      <c r="U560">
        <v>0</v>
      </c>
      <c r="V560">
        <v>0</v>
      </c>
      <c r="W560">
        <v>0</v>
      </c>
    </row>
    <row r="561" spans="1:23">
      <c r="A561" t="s">
        <v>2112</v>
      </c>
      <c r="B561" t="s">
        <v>2113</v>
      </c>
      <c r="C561">
        <v>48</v>
      </c>
      <c r="D561">
        <f>IFERROR(VLOOKUP(Fix_Mapping[[#This Row],[KODE BARANG]],[1]!KINONF15[[KDBRG]:[HRG_JLMT_CTN+PPN]],5,0),0)</f>
        <v>0</v>
      </c>
      <c r="E561" t="s">
        <v>2244</v>
      </c>
      <c r="F561">
        <f>IFERROR(VLOOKUP(Fix_Mapping[[#This Row],[KODE BARANG]],[1]!KINONF15[[KDBRG]:[HRG_JLMT_CTN+PPN]],7,0),0)</f>
        <v>0</v>
      </c>
      <c r="G561">
        <f>IFERROR(VLOOKUP(Fix_Mapping[[#This Row],[KODE BARANG]],[1]!KINONF15[[KDBRG]:[HRG_JLMT_CTN+PPN]],8,0),0)</f>
        <v>0</v>
      </c>
      <c r="H561">
        <f>IFERROR(VLOOKUP(Fix_Mapping[[#This Row],[KODE BARANG]],[1]!KINONF15[[KDBRG]:[HRG_JLMT_CTN+PPN]],9,0),0)</f>
        <v>0</v>
      </c>
      <c r="I561">
        <f>IFERROR(VLOOKUP(Fix_Mapping[[#This Row],[KODE BARANG]],[1]!KINONF15[[KDBRG]:[HRG_JLMT_CTN+PPN]],10,0),0)</f>
        <v>0</v>
      </c>
      <c r="J561">
        <f>IFERROR(VLOOKUP(Fix_Mapping[[#This Row],[KODE BARANG]],[1]!KINONF15[[KDBRG]:[HRG_JLMT_CTN+PPN]],11,0),0)</f>
        <v>0</v>
      </c>
      <c r="K561">
        <f>IFERROR(VLOOKUP(Fix_Mapping[[#This Row],[KODE BARANG]],[1]!KINONF15[[KDBRG]:[HRG_JLMT_CTN+PPN]],12,0),0)</f>
        <v>0</v>
      </c>
      <c r="L561">
        <f>IFERROR(VLOOKUP(Fix_Mapping[[#This Row],[KODE BARANG]],[1]!KINONF15[[KDBRG]:[HRG_JLMT_CTN+PPN]],13,0),0)</f>
        <v>0</v>
      </c>
      <c r="M561">
        <f>IFERROR(VLOOKUP(Fix_Mapping[[#This Row],[KODE BARANG]],[1]!KINONF15[[KDBRG]:[HRG_JLMT_CTN+PPN]],14,0),0)</f>
        <v>0</v>
      </c>
      <c r="N561">
        <f>IFERROR(VLOOKUP(Fix_Mapping[[#This Row],[KODE BARANG]],[1]!KINONF15[[KDBRG]:[HRG_JLMT_CTN+PPN]],15,0),0)</f>
        <v>0</v>
      </c>
      <c r="O561">
        <f>IFERROR(VLOOKUP(Fix_Mapping[[#This Row],[KODE BARANG]],[1]!KINONF15[[KDBRG]:[HRG_JLMT_CTN+PPN]],16,0),0)</f>
        <v>0</v>
      </c>
      <c r="P561">
        <f>IFERROR(VLOOKUP(Fix_Mapping[[#This Row],[KODE BARANG]],[1]!KINONF15[[KDBRG]:[HRG_JLMT_CTN+PPN]],17,0),0)</f>
        <v>0</v>
      </c>
      <c r="Q561">
        <f>IFERROR(VLOOKUP(Fix_Mapping[[#This Row],[KODE BARANG]],[1]!KINONF15[[KDBRG]:[HRG_JLMT_CTN+PPN]],18,0),0)</f>
        <v>0</v>
      </c>
      <c r="R561" t="s">
        <v>2555</v>
      </c>
      <c r="S561" t="s">
        <v>437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2114</v>
      </c>
      <c r="B562" t="s">
        <v>2115</v>
      </c>
      <c r="C562">
        <v>36</v>
      </c>
      <c r="D562">
        <f>IFERROR(VLOOKUP(Fix_Mapping[[#This Row],[KODE BARANG]],[1]!KINONF15[[KDBRG]:[HRG_JLMT_CTN+PPN]],5,0),0)</f>
        <v>0</v>
      </c>
      <c r="E562" t="s">
        <v>2232</v>
      </c>
      <c r="F562">
        <f>IFERROR(VLOOKUP(Fix_Mapping[[#This Row],[KODE BARANG]],[1]!KINONF15[[KDBRG]:[HRG_JLMT_CTN+PPN]],7,0),0)</f>
        <v>0</v>
      </c>
      <c r="G562">
        <f>IFERROR(VLOOKUP(Fix_Mapping[[#This Row],[KODE BARANG]],[1]!KINONF15[[KDBRG]:[HRG_JLMT_CTN+PPN]],8,0),0)</f>
        <v>0</v>
      </c>
      <c r="H562">
        <f>IFERROR(VLOOKUP(Fix_Mapping[[#This Row],[KODE BARANG]],[1]!KINONF15[[KDBRG]:[HRG_JLMT_CTN+PPN]],9,0),0)</f>
        <v>0</v>
      </c>
      <c r="I562">
        <f>IFERROR(VLOOKUP(Fix_Mapping[[#This Row],[KODE BARANG]],[1]!KINONF15[[KDBRG]:[HRG_JLMT_CTN+PPN]],10,0),0)</f>
        <v>0</v>
      </c>
      <c r="J562">
        <f>IFERROR(VLOOKUP(Fix_Mapping[[#This Row],[KODE BARANG]],[1]!KINONF15[[KDBRG]:[HRG_JLMT_CTN+PPN]],11,0),0)</f>
        <v>0</v>
      </c>
      <c r="K562">
        <f>IFERROR(VLOOKUP(Fix_Mapping[[#This Row],[KODE BARANG]],[1]!KINONF15[[KDBRG]:[HRG_JLMT_CTN+PPN]],12,0),0)</f>
        <v>0</v>
      </c>
      <c r="L562">
        <f>IFERROR(VLOOKUP(Fix_Mapping[[#This Row],[KODE BARANG]],[1]!KINONF15[[KDBRG]:[HRG_JLMT_CTN+PPN]],13,0),0)</f>
        <v>0</v>
      </c>
      <c r="M562">
        <f>IFERROR(VLOOKUP(Fix_Mapping[[#This Row],[KODE BARANG]],[1]!KINONF15[[KDBRG]:[HRG_JLMT_CTN+PPN]],14,0),0)</f>
        <v>0</v>
      </c>
      <c r="N562">
        <f>IFERROR(VLOOKUP(Fix_Mapping[[#This Row],[KODE BARANG]],[1]!KINONF15[[KDBRG]:[HRG_JLMT_CTN+PPN]],15,0),0)</f>
        <v>0</v>
      </c>
      <c r="O562">
        <f>IFERROR(VLOOKUP(Fix_Mapping[[#This Row],[KODE BARANG]],[1]!KINONF15[[KDBRG]:[HRG_JLMT_CTN+PPN]],16,0),0)</f>
        <v>0</v>
      </c>
      <c r="P562">
        <f>IFERROR(VLOOKUP(Fix_Mapping[[#This Row],[KODE BARANG]],[1]!KINONF15[[KDBRG]:[HRG_JLMT_CTN+PPN]],17,0),0)</f>
        <v>0</v>
      </c>
      <c r="Q562">
        <f>IFERROR(VLOOKUP(Fix_Mapping[[#This Row],[KODE BARANG]],[1]!KINONF15[[KDBRG]:[HRG_JLMT_CTN+PPN]],18,0),0)</f>
        <v>0</v>
      </c>
      <c r="R562" t="s">
        <v>2555</v>
      </c>
      <c r="S562" t="s">
        <v>421</v>
      </c>
      <c r="T562" t="s">
        <v>422</v>
      </c>
      <c r="U562">
        <v>0</v>
      </c>
      <c r="V562">
        <v>0</v>
      </c>
      <c r="W562">
        <v>0</v>
      </c>
    </row>
    <row r="563" spans="1:23">
      <c r="A563" t="s">
        <v>2116</v>
      </c>
      <c r="B563" t="s">
        <v>2117</v>
      </c>
      <c r="C563">
        <v>36</v>
      </c>
      <c r="D563">
        <f>IFERROR(VLOOKUP(Fix_Mapping[[#This Row],[KODE BARANG]],[1]!KINONF15[[KDBRG]:[HRG_JLMT_CTN+PPN]],5,0),0)</f>
        <v>0</v>
      </c>
      <c r="E563" t="s">
        <v>2232</v>
      </c>
      <c r="F563">
        <f>IFERROR(VLOOKUP(Fix_Mapping[[#This Row],[KODE BARANG]],[1]!KINONF15[[KDBRG]:[HRG_JLMT_CTN+PPN]],7,0),0)</f>
        <v>0</v>
      </c>
      <c r="G563">
        <f>IFERROR(VLOOKUP(Fix_Mapping[[#This Row],[KODE BARANG]],[1]!KINONF15[[KDBRG]:[HRG_JLMT_CTN+PPN]],8,0),0)</f>
        <v>0</v>
      </c>
      <c r="H563">
        <f>IFERROR(VLOOKUP(Fix_Mapping[[#This Row],[KODE BARANG]],[1]!KINONF15[[KDBRG]:[HRG_JLMT_CTN+PPN]],9,0),0)</f>
        <v>0</v>
      </c>
      <c r="I563">
        <f>IFERROR(VLOOKUP(Fix_Mapping[[#This Row],[KODE BARANG]],[1]!KINONF15[[KDBRG]:[HRG_JLMT_CTN+PPN]],10,0),0)</f>
        <v>0</v>
      </c>
      <c r="J563">
        <f>IFERROR(VLOOKUP(Fix_Mapping[[#This Row],[KODE BARANG]],[1]!KINONF15[[KDBRG]:[HRG_JLMT_CTN+PPN]],11,0),0)</f>
        <v>0</v>
      </c>
      <c r="K563">
        <f>IFERROR(VLOOKUP(Fix_Mapping[[#This Row],[KODE BARANG]],[1]!KINONF15[[KDBRG]:[HRG_JLMT_CTN+PPN]],12,0),0)</f>
        <v>0</v>
      </c>
      <c r="L563">
        <f>IFERROR(VLOOKUP(Fix_Mapping[[#This Row],[KODE BARANG]],[1]!KINONF15[[KDBRG]:[HRG_JLMT_CTN+PPN]],13,0),0)</f>
        <v>0</v>
      </c>
      <c r="M563">
        <f>IFERROR(VLOOKUP(Fix_Mapping[[#This Row],[KODE BARANG]],[1]!KINONF15[[KDBRG]:[HRG_JLMT_CTN+PPN]],14,0),0)</f>
        <v>0</v>
      </c>
      <c r="N563">
        <f>IFERROR(VLOOKUP(Fix_Mapping[[#This Row],[KODE BARANG]],[1]!KINONF15[[KDBRG]:[HRG_JLMT_CTN+PPN]],15,0),0)</f>
        <v>0</v>
      </c>
      <c r="O563">
        <f>IFERROR(VLOOKUP(Fix_Mapping[[#This Row],[KODE BARANG]],[1]!KINONF15[[KDBRG]:[HRG_JLMT_CTN+PPN]],16,0),0)</f>
        <v>0</v>
      </c>
      <c r="P563">
        <f>IFERROR(VLOOKUP(Fix_Mapping[[#This Row],[KODE BARANG]],[1]!KINONF15[[KDBRG]:[HRG_JLMT_CTN+PPN]],17,0),0)</f>
        <v>0</v>
      </c>
      <c r="Q563">
        <f>IFERROR(VLOOKUP(Fix_Mapping[[#This Row],[KODE BARANG]],[1]!KINONF15[[KDBRG]:[HRG_JLMT_CTN+PPN]],18,0),0)</f>
        <v>0</v>
      </c>
      <c r="R563" t="s">
        <v>2555</v>
      </c>
      <c r="S563" t="s">
        <v>423</v>
      </c>
      <c r="T563" t="s">
        <v>2471</v>
      </c>
      <c r="U563">
        <v>0</v>
      </c>
      <c r="V563">
        <v>0</v>
      </c>
      <c r="W563">
        <v>0</v>
      </c>
    </row>
    <row r="564" spans="1:23">
      <c r="A564" t="s">
        <v>2118</v>
      </c>
      <c r="B564" t="s">
        <v>2119</v>
      </c>
      <c r="C564">
        <v>36</v>
      </c>
      <c r="D564">
        <f>IFERROR(VLOOKUP(Fix_Mapping[[#This Row],[KODE BARANG]],[1]!KINONF15[[KDBRG]:[HRG_JLMT_CTN+PPN]],5,0),0)</f>
        <v>0</v>
      </c>
      <c r="E564" t="s">
        <v>2232</v>
      </c>
      <c r="F564">
        <f>IFERROR(VLOOKUP(Fix_Mapping[[#This Row],[KODE BARANG]],[1]!KINONF15[[KDBRG]:[HRG_JLMT_CTN+PPN]],7,0),0)</f>
        <v>0</v>
      </c>
      <c r="G564">
        <f>IFERROR(VLOOKUP(Fix_Mapping[[#This Row],[KODE BARANG]],[1]!KINONF15[[KDBRG]:[HRG_JLMT_CTN+PPN]],8,0),0)</f>
        <v>0</v>
      </c>
      <c r="H564">
        <f>IFERROR(VLOOKUP(Fix_Mapping[[#This Row],[KODE BARANG]],[1]!KINONF15[[KDBRG]:[HRG_JLMT_CTN+PPN]],9,0),0)</f>
        <v>0</v>
      </c>
      <c r="I564">
        <f>IFERROR(VLOOKUP(Fix_Mapping[[#This Row],[KODE BARANG]],[1]!KINONF15[[KDBRG]:[HRG_JLMT_CTN+PPN]],10,0),0)</f>
        <v>0</v>
      </c>
      <c r="J564">
        <f>IFERROR(VLOOKUP(Fix_Mapping[[#This Row],[KODE BARANG]],[1]!KINONF15[[KDBRG]:[HRG_JLMT_CTN+PPN]],11,0),0)</f>
        <v>0</v>
      </c>
      <c r="K564">
        <f>IFERROR(VLOOKUP(Fix_Mapping[[#This Row],[KODE BARANG]],[1]!KINONF15[[KDBRG]:[HRG_JLMT_CTN+PPN]],12,0),0)</f>
        <v>0</v>
      </c>
      <c r="L564">
        <f>IFERROR(VLOOKUP(Fix_Mapping[[#This Row],[KODE BARANG]],[1]!KINONF15[[KDBRG]:[HRG_JLMT_CTN+PPN]],13,0),0)</f>
        <v>0</v>
      </c>
      <c r="M564">
        <f>IFERROR(VLOOKUP(Fix_Mapping[[#This Row],[KODE BARANG]],[1]!KINONF15[[KDBRG]:[HRG_JLMT_CTN+PPN]],14,0),0)</f>
        <v>0</v>
      </c>
      <c r="N564">
        <f>IFERROR(VLOOKUP(Fix_Mapping[[#This Row],[KODE BARANG]],[1]!KINONF15[[KDBRG]:[HRG_JLMT_CTN+PPN]],15,0),0)</f>
        <v>0</v>
      </c>
      <c r="O564">
        <f>IFERROR(VLOOKUP(Fix_Mapping[[#This Row],[KODE BARANG]],[1]!KINONF15[[KDBRG]:[HRG_JLMT_CTN+PPN]],16,0),0)</f>
        <v>0</v>
      </c>
      <c r="P564">
        <f>IFERROR(VLOOKUP(Fix_Mapping[[#This Row],[KODE BARANG]],[1]!KINONF15[[KDBRG]:[HRG_JLMT_CTN+PPN]],17,0),0)</f>
        <v>0</v>
      </c>
      <c r="Q564">
        <f>IFERROR(VLOOKUP(Fix_Mapping[[#This Row],[KODE BARANG]],[1]!KINONF15[[KDBRG]:[HRG_JLMT_CTN+PPN]],18,0),0)</f>
        <v>0</v>
      </c>
      <c r="R564" t="s">
        <v>2555</v>
      </c>
      <c r="S564" t="s">
        <v>424</v>
      </c>
      <c r="T564">
        <v>0</v>
      </c>
      <c r="U564">
        <v>0</v>
      </c>
      <c r="V564">
        <v>0</v>
      </c>
      <c r="W564">
        <v>0</v>
      </c>
    </row>
    <row r="565" spans="1:23">
      <c r="A565" t="s">
        <v>2120</v>
      </c>
      <c r="B565" t="s">
        <v>2121</v>
      </c>
      <c r="C565">
        <v>12</v>
      </c>
      <c r="D565">
        <f>IFERROR(VLOOKUP(Fix_Mapping[[#This Row],[KODE BARANG]],[1]!KINONF15[[KDBRG]:[HRG_JLMT_CTN+PPN]],5,0),0)</f>
        <v>0</v>
      </c>
      <c r="E565" t="s">
        <v>2232</v>
      </c>
      <c r="F565">
        <f>IFERROR(VLOOKUP(Fix_Mapping[[#This Row],[KODE BARANG]],[1]!KINONF15[[KDBRG]:[HRG_JLMT_CTN+PPN]],7,0),0)</f>
        <v>0</v>
      </c>
      <c r="G565">
        <f>IFERROR(VLOOKUP(Fix_Mapping[[#This Row],[KODE BARANG]],[1]!KINONF15[[KDBRG]:[HRG_JLMT_CTN+PPN]],8,0),0)</f>
        <v>0</v>
      </c>
      <c r="H565">
        <f>IFERROR(VLOOKUP(Fix_Mapping[[#This Row],[KODE BARANG]],[1]!KINONF15[[KDBRG]:[HRG_JLMT_CTN+PPN]],9,0),0)</f>
        <v>0</v>
      </c>
      <c r="I565">
        <f>IFERROR(VLOOKUP(Fix_Mapping[[#This Row],[KODE BARANG]],[1]!KINONF15[[KDBRG]:[HRG_JLMT_CTN+PPN]],10,0),0)</f>
        <v>0</v>
      </c>
      <c r="J565">
        <f>IFERROR(VLOOKUP(Fix_Mapping[[#This Row],[KODE BARANG]],[1]!KINONF15[[KDBRG]:[HRG_JLMT_CTN+PPN]],11,0),0)</f>
        <v>0</v>
      </c>
      <c r="K565">
        <f>IFERROR(VLOOKUP(Fix_Mapping[[#This Row],[KODE BARANG]],[1]!KINONF15[[KDBRG]:[HRG_JLMT_CTN+PPN]],12,0),0)</f>
        <v>0</v>
      </c>
      <c r="L565">
        <f>IFERROR(VLOOKUP(Fix_Mapping[[#This Row],[KODE BARANG]],[1]!KINONF15[[KDBRG]:[HRG_JLMT_CTN+PPN]],13,0),0)</f>
        <v>0</v>
      </c>
      <c r="M565">
        <f>IFERROR(VLOOKUP(Fix_Mapping[[#This Row],[KODE BARANG]],[1]!KINONF15[[KDBRG]:[HRG_JLMT_CTN+PPN]],14,0),0)</f>
        <v>0</v>
      </c>
      <c r="N565">
        <f>IFERROR(VLOOKUP(Fix_Mapping[[#This Row],[KODE BARANG]],[1]!KINONF15[[KDBRG]:[HRG_JLMT_CTN+PPN]],15,0),0)</f>
        <v>0</v>
      </c>
      <c r="O565">
        <f>IFERROR(VLOOKUP(Fix_Mapping[[#This Row],[KODE BARANG]],[1]!KINONF15[[KDBRG]:[HRG_JLMT_CTN+PPN]],16,0),0)</f>
        <v>0</v>
      </c>
      <c r="P565">
        <f>IFERROR(VLOOKUP(Fix_Mapping[[#This Row],[KODE BARANG]],[1]!KINONF15[[KDBRG]:[HRG_JLMT_CTN+PPN]],17,0),0)</f>
        <v>0</v>
      </c>
      <c r="Q565">
        <f>IFERROR(VLOOKUP(Fix_Mapping[[#This Row],[KODE BARANG]],[1]!KINONF15[[KDBRG]:[HRG_JLMT_CTN+PPN]],18,0),0)</f>
        <v>0</v>
      </c>
      <c r="R565" t="s">
        <v>2555</v>
      </c>
      <c r="S565" t="s">
        <v>425</v>
      </c>
      <c r="T565">
        <v>0</v>
      </c>
      <c r="U565">
        <v>0</v>
      </c>
      <c r="V565">
        <v>0</v>
      </c>
      <c r="W565">
        <v>0</v>
      </c>
    </row>
    <row r="566" spans="1:23">
      <c r="A566" t="s">
        <v>2122</v>
      </c>
      <c r="B566" t="s">
        <v>2123</v>
      </c>
      <c r="C566">
        <v>12</v>
      </c>
      <c r="D566">
        <f>IFERROR(VLOOKUP(Fix_Mapping[[#This Row],[KODE BARANG]],[1]!KINONF15[[KDBRG]:[HRG_JLMT_CTN+PPN]],5,0),0)</f>
        <v>0</v>
      </c>
      <c r="E566" t="s">
        <v>2232</v>
      </c>
      <c r="F566">
        <f>IFERROR(VLOOKUP(Fix_Mapping[[#This Row],[KODE BARANG]],[1]!KINONF15[[KDBRG]:[HRG_JLMT_CTN+PPN]],7,0),0)</f>
        <v>0</v>
      </c>
      <c r="G566">
        <f>IFERROR(VLOOKUP(Fix_Mapping[[#This Row],[KODE BARANG]],[1]!KINONF15[[KDBRG]:[HRG_JLMT_CTN+PPN]],8,0),0)</f>
        <v>0</v>
      </c>
      <c r="H566">
        <f>IFERROR(VLOOKUP(Fix_Mapping[[#This Row],[KODE BARANG]],[1]!KINONF15[[KDBRG]:[HRG_JLMT_CTN+PPN]],9,0),0)</f>
        <v>0</v>
      </c>
      <c r="I566">
        <f>IFERROR(VLOOKUP(Fix_Mapping[[#This Row],[KODE BARANG]],[1]!KINONF15[[KDBRG]:[HRG_JLMT_CTN+PPN]],10,0),0)</f>
        <v>0</v>
      </c>
      <c r="J566">
        <f>IFERROR(VLOOKUP(Fix_Mapping[[#This Row],[KODE BARANG]],[1]!KINONF15[[KDBRG]:[HRG_JLMT_CTN+PPN]],11,0),0)</f>
        <v>0</v>
      </c>
      <c r="K566">
        <f>IFERROR(VLOOKUP(Fix_Mapping[[#This Row],[KODE BARANG]],[1]!KINONF15[[KDBRG]:[HRG_JLMT_CTN+PPN]],12,0),0)</f>
        <v>0</v>
      </c>
      <c r="L566">
        <f>IFERROR(VLOOKUP(Fix_Mapping[[#This Row],[KODE BARANG]],[1]!KINONF15[[KDBRG]:[HRG_JLMT_CTN+PPN]],13,0),0)</f>
        <v>0</v>
      </c>
      <c r="M566">
        <f>IFERROR(VLOOKUP(Fix_Mapping[[#This Row],[KODE BARANG]],[1]!KINONF15[[KDBRG]:[HRG_JLMT_CTN+PPN]],14,0),0)</f>
        <v>0</v>
      </c>
      <c r="N566">
        <f>IFERROR(VLOOKUP(Fix_Mapping[[#This Row],[KODE BARANG]],[1]!KINONF15[[KDBRG]:[HRG_JLMT_CTN+PPN]],15,0),0)</f>
        <v>0</v>
      </c>
      <c r="O566">
        <f>IFERROR(VLOOKUP(Fix_Mapping[[#This Row],[KODE BARANG]],[1]!KINONF15[[KDBRG]:[HRG_JLMT_CTN+PPN]],16,0),0)</f>
        <v>0</v>
      </c>
      <c r="P566">
        <f>IFERROR(VLOOKUP(Fix_Mapping[[#This Row],[KODE BARANG]],[1]!KINONF15[[KDBRG]:[HRG_JLMT_CTN+PPN]],17,0),0)</f>
        <v>0</v>
      </c>
      <c r="Q566">
        <f>IFERROR(VLOOKUP(Fix_Mapping[[#This Row],[KODE BARANG]],[1]!KINONF15[[KDBRG]:[HRG_JLMT_CTN+PPN]],18,0),0)</f>
        <v>0</v>
      </c>
      <c r="R566" t="s">
        <v>2555</v>
      </c>
      <c r="S566" t="s">
        <v>426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2124</v>
      </c>
      <c r="B567" t="s">
        <v>2125</v>
      </c>
      <c r="C567">
        <v>12</v>
      </c>
      <c r="D567">
        <f>IFERROR(VLOOKUP(Fix_Mapping[[#This Row],[KODE BARANG]],[1]!KINONF15[[KDBRG]:[HRG_JLMT_CTN+PPN]],5,0),0)</f>
        <v>0</v>
      </c>
      <c r="E567" t="s">
        <v>2232</v>
      </c>
      <c r="F567">
        <f>IFERROR(VLOOKUP(Fix_Mapping[[#This Row],[KODE BARANG]],[1]!KINONF15[[KDBRG]:[HRG_JLMT_CTN+PPN]],7,0),0)</f>
        <v>0</v>
      </c>
      <c r="G567">
        <f>IFERROR(VLOOKUP(Fix_Mapping[[#This Row],[KODE BARANG]],[1]!KINONF15[[KDBRG]:[HRG_JLMT_CTN+PPN]],8,0),0)</f>
        <v>0</v>
      </c>
      <c r="H567">
        <f>IFERROR(VLOOKUP(Fix_Mapping[[#This Row],[KODE BARANG]],[1]!KINONF15[[KDBRG]:[HRG_JLMT_CTN+PPN]],9,0),0)</f>
        <v>0</v>
      </c>
      <c r="I567">
        <f>IFERROR(VLOOKUP(Fix_Mapping[[#This Row],[KODE BARANG]],[1]!KINONF15[[KDBRG]:[HRG_JLMT_CTN+PPN]],10,0),0)</f>
        <v>0</v>
      </c>
      <c r="J567">
        <f>IFERROR(VLOOKUP(Fix_Mapping[[#This Row],[KODE BARANG]],[1]!KINONF15[[KDBRG]:[HRG_JLMT_CTN+PPN]],11,0),0)</f>
        <v>0</v>
      </c>
      <c r="K567">
        <f>IFERROR(VLOOKUP(Fix_Mapping[[#This Row],[KODE BARANG]],[1]!KINONF15[[KDBRG]:[HRG_JLMT_CTN+PPN]],12,0),0)</f>
        <v>0</v>
      </c>
      <c r="L567">
        <f>IFERROR(VLOOKUP(Fix_Mapping[[#This Row],[KODE BARANG]],[1]!KINONF15[[KDBRG]:[HRG_JLMT_CTN+PPN]],13,0),0)</f>
        <v>0</v>
      </c>
      <c r="M567">
        <f>IFERROR(VLOOKUP(Fix_Mapping[[#This Row],[KODE BARANG]],[1]!KINONF15[[KDBRG]:[HRG_JLMT_CTN+PPN]],14,0),0)</f>
        <v>0</v>
      </c>
      <c r="N567">
        <f>IFERROR(VLOOKUP(Fix_Mapping[[#This Row],[KODE BARANG]],[1]!KINONF15[[KDBRG]:[HRG_JLMT_CTN+PPN]],15,0),0)</f>
        <v>0</v>
      </c>
      <c r="O567">
        <f>IFERROR(VLOOKUP(Fix_Mapping[[#This Row],[KODE BARANG]],[1]!KINONF15[[KDBRG]:[HRG_JLMT_CTN+PPN]],16,0),0)</f>
        <v>0</v>
      </c>
      <c r="P567">
        <f>IFERROR(VLOOKUP(Fix_Mapping[[#This Row],[KODE BARANG]],[1]!KINONF15[[KDBRG]:[HRG_JLMT_CTN+PPN]],17,0),0)</f>
        <v>0</v>
      </c>
      <c r="Q567">
        <f>IFERROR(VLOOKUP(Fix_Mapping[[#This Row],[KODE BARANG]],[1]!KINONF15[[KDBRG]:[HRG_JLMT_CTN+PPN]],18,0),0)</f>
        <v>0</v>
      </c>
      <c r="R567" t="s">
        <v>2555</v>
      </c>
      <c r="S567" t="s">
        <v>427</v>
      </c>
      <c r="T567">
        <v>0</v>
      </c>
      <c r="U567">
        <v>0</v>
      </c>
      <c r="V567">
        <v>0</v>
      </c>
      <c r="W567">
        <v>0</v>
      </c>
    </row>
    <row r="568" spans="1:23">
      <c r="A568" t="s">
        <v>2126</v>
      </c>
      <c r="B568" t="s">
        <v>2127</v>
      </c>
      <c r="C568">
        <v>12</v>
      </c>
      <c r="D568">
        <f>IFERROR(VLOOKUP(Fix_Mapping[[#This Row],[KODE BARANG]],[1]!KINONF15[[KDBRG]:[HRG_JLMT_CTN+PPN]],5,0),0)</f>
        <v>0</v>
      </c>
      <c r="E568" t="s">
        <v>2232</v>
      </c>
      <c r="F568">
        <f>IFERROR(VLOOKUP(Fix_Mapping[[#This Row],[KODE BARANG]],[1]!KINONF15[[KDBRG]:[HRG_JLMT_CTN+PPN]],7,0),0)</f>
        <v>0</v>
      </c>
      <c r="G568">
        <f>IFERROR(VLOOKUP(Fix_Mapping[[#This Row],[KODE BARANG]],[1]!KINONF15[[KDBRG]:[HRG_JLMT_CTN+PPN]],8,0),0)</f>
        <v>0</v>
      </c>
      <c r="H568">
        <f>IFERROR(VLOOKUP(Fix_Mapping[[#This Row],[KODE BARANG]],[1]!KINONF15[[KDBRG]:[HRG_JLMT_CTN+PPN]],9,0),0)</f>
        <v>0</v>
      </c>
      <c r="I568">
        <f>IFERROR(VLOOKUP(Fix_Mapping[[#This Row],[KODE BARANG]],[1]!KINONF15[[KDBRG]:[HRG_JLMT_CTN+PPN]],10,0),0)</f>
        <v>0</v>
      </c>
      <c r="J568">
        <f>IFERROR(VLOOKUP(Fix_Mapping[[#This Row],[KODE BARANG]],[1]!KINONF15[[KDBRG]:[HRG_JLMT_CTN+PPN]],11,0),0)</f>
        <v>0</v>
      </c>
      <c r="K568">
        <f>IFERROR(VLOOKUP(Fix_Mapping[[#This Row],[KODE BARANG]],[1]!KINONF15[[KDBRG]:[HRG_JLMT_CTN+PPN]],12,0),0)</f>
        <v>0</v>
      </c>
      <c r="L568">
        <f>IFERROR(VLOOKUP(Fix_Mapping[[#This Row],[KODE BARANG]],[1]!KINONF15[[KDBRG]:[HRG_JLMT_CTN+PPN]],13,0),0)</f>
        <v>0</v>
      </c>
      <c r="M568">
        <f>IFERROR(VLOOKUP(Fix_Mapping[[#This Row],[KODE BARANG]],[1]!KINONF15[[KDBRG]:[HRG_JLMT_CTN+PPN]],14,0),0)</f>
        <v>0</v>
      </c>
      <c r="N568">
        <f>IFERROR(VLOOKUP(Fix_Mapping[[#This Row],[KODE BARANG]],[1]!KINONF15[[KDBRG]:[HRG_JLMT_CTN+PPN]],15,0),0)</f>
        <v>0</v>
      </c>
      <c r="O568">
        <f>IFERROR(VLOOKUP(Fix_Mapping[[#This Row],[KODE BARANG]],[1]!KINONF15[[KDBRG]:[HRG_JLMT_CTN+PPN]],16,0),0)</f>
        <v>0</v>
      </c>
      <c r="P568">
        <f>IFERROR(VLOOKUP(Fix_Mapping[[#This Row],[KODE BARANG]],[1]!KINONF15[[KDBRG]:[HRG_JLMT_CTN+PPN]],17,0),0)</f>
        <v>0</v>
      </c>
      <c r="Q568">
        <f>IFERROR(VLOOKUP(Fix_Mapping[[#This Row],[KODE BARANG]],[1]!KINONF15[[KDBRG]:[HRG_JLMT_CTN+PPN]],18,0),0)</f>
        <v>0</v>
      </c>
      <c r="R568" t="s">
        <v>2555</v>
      </c>
      <c r="S568" t="s">
        <v>428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2128</v>
      </c>
      <c r="B569" t="s">
        <v>2129</v>
      </c>
      <c r="C569">
        <v>12</v>
      </c>
      <c r="D569">
        <f>IFERROR(VLOOKUP(Fix_Mapping[[#This Row],[KODE BARANG]],[1]!KINONF15[[KDBRG]:[HRG_JLMT_CTN+PPN]],5,0),0)</f>
        <v>0</v>
      </c>
      <c r="E569" t="s">
        <v>2232</v>
      </c>
      <c r="F569">
        <f>IFERROR(VLOOKUP(Fix_Mapping[[#This Row],[KODE BARANG]],[1]!KINONF15[[KDBRG]:[HRG_JLMT_CTN+PPN]],7,0),0)</f>
        <v>0</v>
      </c>
      <c r="G569">
        <f>IFERROR(VLOOKUP(Fix_Mapping[[#This Row],[KODE BARANG]],[1]!KINONF15[[KDBRG]:[HRG_JLMT_CTN+PPN]],8,0),0)</f>
        <v>0</v>
      </c>
      <c r="H569">
        <f>IFERROR(VLOOKUP(Fix_Mapping[[#This Row],[KODE BARANG]],[1]!KINONF15[[KDBRG]:[HRG_JLMT_CTN+PPN]],9,0),0)</f>
        <v>0</v>
      </c>
      <c r="I569">
        <f>IFERROR(VLOOKUP(Fix_Mapping[[#This Row],[KODE BARANG]],[1]!KINONF15[[KDBRG]:[HRG_JLMT_CTN+PPN]],10,0),0)</f>
        <v>0</v>
      </c>
      <c r="J569">
        <f>IFERROR(VLOOKUP(Fix_Mapping[[#This Row],[KODE BARANG]],[1]!KINONF15[[KDBRG]:[HRG_JLMT_CTN+PPN]],11,0),0)</f>
        <v>0</v>
      </c>
      <c r="K569">
        <f>IFERROR(VLOOKUP(Fix_Mapping[[#This Row],[KODE BARANG]],[1]!KINONF15[[KDBRG]:[HRG_JLMT_CTN+PPN]],12,0),0)</f>
        <v>0</v>
      </c>
      <c r="L569">
        <f>IFERROR(VLOOKUP(Fix_Mapping[[#This Row],[KODE BARANG]],[1]!KINONF15[[KDBRG]:[HRG_JLMT_CTN+PPN]],13,0),0)</f>
        <v>0</v>
      </c>
      <c r="M569">
        <f>IFERROR(VLOOKUP(Fix_Mapping[[#This Row],[KODE BARANG]],[1]!KINONF15[[KDBRG]:[HRG_JLMT_CTN+PPN]],14,0),0)</f>
        <v>0</v>
      </c>
      <c r="N569">
        <f>IFERROR(VLOOKUP(Fix_Mapping[[#This Row],[KODE BARANG]],[1]!KINONF15[[KDBRG]:[HRG_JLMT_CTN+PPN]],15,0),0)</f>
        <v>0</v>
      </c>
      <c r="O569">
        <f>IFERROR(VLOOKUP(Fix_Mapping[[#This Row],[KODE BARANG]],[1]!KINONF15[[KDBRG]:[HRG_JLMT_CTN+PPN]],16,0),0)</f>
        <v>0</v>
      </c>
      <c r="P569">
        <f>IFERROR(VLOOKUP(Fix_Mapping[[#This Row],[KODE BARANG]],[1]!KINONF15[[KDBRG]:[HRG_JLMT_CTN+PPN]],17,0),0)</f>
        <v>0</v>
      </c>
      <c r="Q569">
        <f>IFERROR(VLOOKUP(Fix_Mapping[[#This Row],[KODE BARANG]],[1]!KINONF15[[KDBRG]:[HRG_JLMT_CTN+PPN]],18,0),0)</f>
        <v>0</v>
      </c>
      <c r="R569" t="s">
        <v>2555</v>
      </c>
      <c r="S569" t="s">
        <v>429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2130</v>
      </c>
      <c r="B570" t="s">
        <v>2131</v>
      </c>
      <c r="C570">
        <v>12</v>
      </c>
      <c r="D570">
        <f>IFERROR(VLOOKUP(Fix_Mapping[[#This Row],[KODE BARANG]],[1]!KINONF15[[KDBRG]:[HRG_JLMT_CTN+PPN]],5,0),0)</f>
        <v>0</v>
      </c>
      <c r="E570" t="s">
        <v>2232</v>
      </c>
      <c r="F570">
        <f>IFERROR(VLOOKUP(Fix_Mapping[[#This Row],[KODE BARANG]],[1]!KINONF15[[KDBRG]:[HRG_JLMT_CTN+PPN]],7,0),0)</f>
        <v>0</v>
      </c>
      <c r="G570">
        <f>IFERROR(VLOOKUP(Fix_Mapping[[#This Row],[KODE BARANG]],[1]!KINONF15[[KDBRG]:[HRG_JLMT_CTN+PPN]],8,0),0)</f>
        <v>0</v>
      </c>
      <c r="H570">
        <f>IFERROR(VLOOKUP(Fix_Mapping[[#This Row],[KODE BARANG]],[1]!KINONF15[[KDBRG]:[HRG_JLMT_CTN+PPN]],9,0),0)</f>
        <v>0</v>
      </c>
      <c r="I570">
        <f>IFERROR(VLOOKUP(Fix_Mapping[[#This Row],[KODE BARANG]],[1]!KINONF15[[KDBRG]:[HRG_JLMT_CTN+PPN]],10,0),0)</f>
        <v>0</v>
      </c>
      <c r="J570">
        <f>IFERROR(VLOOKUP(Fix_Mapping[[#This Row],[KODE BARANG]],[1]!KINONF15[[KDBRG]:[HRG_JLMT_CTN+PPN]],11,0),0)</f>
        <v>0</v>
      </c>
      <c r="K570">
        <f>IFERROR(VLOOKUP(Fix_Mapping[[#This Row],[KODE BARANG]],[1]!KINONF15[[KDBRG]:[HRG_JLMT_CTN+PPN]],12,0),0)</f>
        <v>0</v>
      </c>
      <c r="L570">
        <f>IFERROR(VLOOKUP(Fix_Mapping[[#This Row],[KODE BARANG]],[1]!KINONF15[[KDBRG]:[HRG_JLMT_CTN+PPN]],13,0),0)</f>
        <v>0</v>
      </c>
      <c r="M570">
        <f>IFERROR(VLOOKUP(Fix_Mapping[[#This Row],[KODE BARANG]],[1]!KINONF15[[KDBRG]:[HRG_JLMT_CTN+PPN]],14,0),0)</f>
        <v>0</v>
      </c>
      <c r="N570">
        <f>IFERROR(VLOOKUP(Fix_Mapping[[#This Row],[KODE BARANG]],[1]!KINONF15[[KDBRG]:[HRG_JLMT_CTN+PPN]],15,0),0)</f>
        <v>0</v>
      </c>
      <c r="O570">
        <f>IFERROR(VLOOKUP(Fix_Mapping[[#This Row],[KODE BARANG]],[1]!KINONF15[[KDBRG]:[HRG_JLMT_CTN+PPN]],16,0),0)</f>
        <v>0</v>
      </c>
      <c r="P570">
        <f>IFERROR(VLOOKUP(Fix_Mapping[[#This Row],[KODE BARANG]],[1]!KINONF15[[KDBRG]:[HRG_JLMT_CTN+PPN]],17,0),0)</f>
        <v>0</v>
      </c>
      <c r="Q570">
        <f>IFERROR(VLOOKUP(Fix_Mapping[[#This Row],[KODE BARANG]],[1]!KINONF15[[KDBRG]:[HRG_JLMT_CTN+PPN]],18,0),0)</f>
        <v>0</v>
      </c>
      <c r="R570" t="s">
        <v>2555</v>
      </c>
      <c r="S570" t="s">
        <v>430</v>
      </c>
      <c r="T570">
        <v>0</v>
      </c>
      <c r="U570">
        <v>0</v>
      </c>
      <c r="V570">
        <v>0</v>
      </c>
      <c r="W570">
        <v>0</v>
      </c>
    </row>
    <row r="571" spans="1:23">
      <c r="A571" t="s">
        <v>2132</v>
      </c>
      <c r="B571" t="s">
        <v>2133</v>
      </c>
      <c r="C571">
        <v>36</v>
      </c>
      <c r="D571">
        <f>IFERROR(VLOOKUP(Fix_Mapping[[#This Row],[KODE BARANG]],[1]!KINONF15[[KDBRG]:[HRG_JLMT_CTN+PPN]],5,0),0)</f>
        <v>0</v>
      </c>
      <c r="E571" t="s">
        <v>2234</v>
      </c>
      <c r="F571">
        <f>IFERROR(VLOOKUP(Fix_Mapping[[#This Row],[KODE BARANG]],[1]!KINONF15[[KDBRG]:[HRG_JLMT_CTN+PPN]],7,0),0)</f>
        <v>0</v>
      </c>
      <c r="G571">
        <f>IFERROR(VLOOKUP(Fix_Mapping[[#This Row],[KODE BARANG]],[1]!KINONF15[[KDBRG]:[HRG_JLMT_CTN+PPN]],8,0),0)</f>
        <v>0</v>
      </c>
      <c r="H571">
        <f>IFERROR(VLOOKUP(Fix_Mapping[[#This Row],[KODE BARANG]],[1]!KINONF15[[KDBRG]:[HRG_JLMT_CTN+PPN]],9,0),0)</f>
        <v>0</v>
      </c>
      <c r="I571">
        <f>IFERROR(VLOOKUP(Fix_Mapping[[#This Row],[KODE BARANG]],[1]!KINONF15[[KDBRG]:[HRG_JLMT_CTN+PPN]],10,0),0)</f>
        <v>0</v>
      </c>
      <c r="J571">
        <f>IFERROR(VLOOKUP(Fix_Mapping[[#This Row],[KODE BARANG]],[1]!KINONF15[[KDBRG]:[HRG_JLMT_CTN+PPN]],11,0),0)</f>
        <v>0</v>
      </c>
      <c r="K571">
        <f>IFERROR(VLOOKUP(Fix_Mapping[[#This Row],[KODE BARANG]],[1]!KINONF15[[KDBRG]:[HRG_JLMT_CTN+PPN]],12,0),0)</f>
        <v>0</v>
      </c>
      <c r="L571">
        <f>IFERROR(VLOOKUP(Fix_Mapping[[#This Row],[KODE BARANG]],[1]!KINONF15[[KDBRG]:[HRG_JLMT_CTN+PPN]],13,0),0)</f>
        <v>0</v>
      </c>
      <c r="M571">
        <f>IFERROR(VLOOKUP(Fix_Mapping[[#This Row],[KODE BARANG]],[1]!KINONF15[[KDBRG]:[HRG_JLMT_CTN+PPN]],14,0),0)</f>
        <v>0</v>
      </c>
      <c r="N571">
        <f>IFERROR(VLOOKUP(Fix_Mapping[[#This Row],[KODE BARANG]],[1]!KINONF15[[KDBRG]:[HRG_JLMT_CTN+PPN]],15,0),0)</f>
        <v>0</v>
      </c>
      <c r="O571">
        <f>IFERROR(VLOOKUP(Fix_Mapping[[#This Row],[KODE BARANG]],[1]!KINONF15[[KDBRG]:[HRG_JLMT_CTN+PPN]],16,0),0)</f>
        <v>0</v>
      </c>
      <c r="P571">
        <f>IFERROR(VLOOKUP(Fix_Mapping[[#This Row],[KODE BARANG]],[1]!KINONF15[[KDBRG]:[HRG_JLMT_CTN+PPN]],17,0),0)</f>
        <v>0</v>
      </c>
      <c r="Q571">
        <f>IFERROR(VLOOKUP(Fix_Mapping[[#This Row],[KODE BARANG]],[1]!KINONF15[[KDBRG]:[HRG_JLMT_CTN+PPN]],18,0),0)</f>
        <v>0</v>
      </c>
      <c r="R571" t="s">
        <v>2555</v>
      </c>
      <c r="S571" t="s">
        <v>435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2134</v>
      </c>
      <c r="B572" t="s">
        <v>2135</v>
      </c>
      <c r="C572">
        <v>6</v>
      </c>
      <c r="D572">
        <f>IFERROR(VLOOKUP(Fix_Mapping[[#This Row],[KODE BARANG]],[1]!KINONF15[[KDBRG]:[HRG_JLMT_CTN+PPN]],5,0),0)</f>
        <v>0</v>
      </c>
      <c r="E572" t="s">
        <v>2236</v>
      </c>
      <c r="F572">
        <f>IFERROR(VLOOKUP(Fix_Mapping[[#This Row],[KODE BARANG]],[1]!KINONF15[[KDBRG]:[HRG_JLMT_CTN+PPN]],7,0),0)</f>
        <v>0</v>
      </c>
      <c r="G572">
        <f>IFERROR(VLOOKUP(Fix_Mapping[[#This Row],[KODE BARANG]],[1]!KINONF15[[KDBRG]:[HRG_JLMT_CTN+PPN]],8,0),0)</f>
        <v>0</v>
      </c>
      <c r="H572">
        <f>IFERROR(VLOOKUP(Fix_Mapping[[#This Row],[KODE BARANG]],[1]!KINONF15[[KDBRG]:[HRG_JLMT_CTN+PPN]],9,0),0)</f>
        <v>0</v>
      </c>
      <c r="I572">
        <f>IFERROR(VLOOKUP(Fix_Mapping[[#This Row],[KODE BARANG]],[1]!KINONF15[[KDBRG]:[HRG_JLMT_CTN+PPN]],10,0),0)</f>
        <v>0</v>
      </c>
      <c r="J572">
        <f>IFERROR(VLOOKUP(Fix_Mapping[[#This Row],[KODE BARANG]],[1]!KINONF15[[KDBRG]:[HRG_JLMT_CTN+PPN]],11,0),0)</f>
        <v>0</v>
      </c>
      <c r="K572">
        <f>IFERROR(VLOOKUP(Fix_Mapping[[#This Row],[KODE BARANG]],[1]!KINONF15[[KDBRG]:[HRG_JLMT_CTN+PPN]],12,0),0)</f>
        <v>0</v>
      </c>
      <c r="L572">
        <f>IFERROR(VLOOKUP(Fix_Mapping[[#This Row],[KODE BARANG]],[1]!KINONF15[[KDBRG]:[HRG_JLMT_CTN+PPN]],13,0),0)</f>
        <v>0</v>
      </c>
      <c r="M572">
        <f>IFERROR(VLOOKUP(Fix_Mapping[[#This Row],[KODE BARANG]],[1]!KINONF15[[KDBRG]:[HRG_JLMT_CTN+PPN]],14,0),0)</f>
        <v>0</v>
      </c>
      <c r="N572">
        <f>IFERROR(VLOOKUP(Fix_Mapping[[#This Row],[KODE BARANG]],[1]!KINONF15[[KDBRG]:[HRG_JLMT_CTN+PPN]],15,0),0)</f>
        <v>0</v>
      </c>
      <c r="O572">
        <f>IFERROR(VLOOKUP(Fix_Mapping[[#This Row],[KODE BARANG]],[1]!KINONF15[[KDBRG]:[HRG_JLMT_CTN+PPN]],16,0),0)</f>
        <v>0</v>
      </c>
      <c r="P572">
        <f>IFERROR(VLOOKUP(Fix_Mapping[[#This Row],[KODE BARANG]],[1]!KINONF15[[KDBRG]:[HRG_JLMT_CTN+PPN]],17,0),0)</f>
        <v>0</v>
      </c>
      <c r="Q572">
        <f>IFERROR(VLOOKUP(Fix_Mapping[[#This Row],[KODE BARANG]],[1]!KINONF15[[KDBRG]:[HRG_JLMT_CTN+PPN]],18,0),0)</f>
        <v>0</v>
      </c>
      <c r="R572" t="s">
        <v>2555</v>
      </c>
      <c r="S572" t="s">
        <v>434</v>
      </c>
      <c r="T572">
        <v>0</v>
      </c>
      <c r="U572">
        <v>0</v>
      </c>
      <c r="V572">
        <v>0</v>
      </c>
      <c r="W572">
        <v>0</v>
      </c>
    </row>
    <row r="573" spans="1:23">
      <c r="A573" t="s">
        <v>2136</v>
      </c>
      <c r="B573" t="s">
        <v>2137</v>
      </c>
      <c r="C573">
        <v>24</v>
      </c>
      <c r="D573">
        <f>IFERROR(VLOOKUP(Fix_Mapping[[#This Row],[KODE BARANG]],[1]!KINONF15[[KDBRG]:[HRG_JLMT_CTN+PPN]],5,0),0)</f>
        <v>0</v>
      </c>
      <c r="E573" t="s">
        <v>2238</v>
      </c>
      <c r="F573">
        <f>IFERROR(VLOOKUP(Fix_Mapping[[#This Row],[KODE BARANG]],[1]!KINONF15[[KDBRG]:[HRG_JLMT_CTN+PPN]],7,0),0)</f>
        <v>0</v>
      </c>
      <c r="G573">
        <f>IFERROR(VLOOKUP(Fix_Mapping[[#This Row],[KODE BARANG]],[1]!KINONF15[[KDBRG]:[HRG_JLMT_CTN+PPN]],8,0),0)</f>
        <v>0</v>
      </c>
      <c r="H573">
        <f>IFERROR(VLOOKUP(Fix_Mapping[[#This Row],[KODE BARANG]],[1]!KINONF15[[KDBRG]:[HRG_JLMT_CTN+PPN]],9,0),0)</f>
        <v>0</v>
      </c>
      <c r="I573">
        <f>IFERROR(VLOOKUP(Fix_Mapping[[#This Row],[KODE BARANG]],[1]!KINONF15[[KDBRG]:[HRG_JLMT_CTN+PPN]],10,0),0)</f>
        <v>0</v>
      </c>
      <c r="J573">
        <f>IFERROR(VLOOKUP(Fix_Mapping[[#This Row],[KODE BARANG]],[1]!KINONF15[[KDBRG]:[HRG_JLMT_CTN+PPN]],11,0),0)</f>
        <v>0</v>
      </c>
      <c r="K573">
        <f>IFERROR(VLOOKUP(Fix_Mapping[[#This Row],[KODE BARANG]],[1]!KINONF15[[KDBRG]:[HRG_JLMT_CTN+PPN]],12,0),0)</f>
        <v>0</v>
      </c>
      <c r="L573">
        <f>IFERROR(VLOOKUP(Fix_Mapping[[#This Row],[KODE BARANG]],[1]!KINONF15[[KDBRG]:[HRG_JLMT_CTN+PPN]],13,0),0)</f>
        <v>0</v>
      </c>
      <c r="M573">
        <f>IFERROR(VLOOKUP(Fix_Mapping[[#This Row],[KODE BARANG]],[1]!KINONF15[[KDBRG]:[HRG_JLMT_CTN+PPN]],14,0),0)</f>
        <v>0</v>
      </c>
      <c r="N573">
        <f>IFERROR(VLOOKUP(Fix_Mapping[[#This Row],[KODE BARANG]],[1]!KINONF15[[KDBRG]:[HRG_JLMT_CTN+PPN]],15,0),0)</f>
        <v>0</v>
      </c>
      <c r="O573">
        <f>IFERROR(VLOOKUP(Fix_Mapping[[#This Row],[KODE BARANG]],[1]!KINONF15[[KDBRG]:[HRG_JLMT_CTN+PPN]],16,0),0)</f>
        <v>0</v>
      </c>
      <c r="P573">
        <f>IFERROR(VLOOKUP(Fix_Mapping[[#This Row],[KODE BARANG]],[1]!KINONF15[[KDBRG]:[HRG_JLMT_CTN+PPN]],17,0),0)</f>
        <v>0</v>
      </c>
      <c r="Q573">
        <f>IFERROR(VLOOKUP(Fix_Mapping[[#This Row],[KODE BARANG]],[1]!KINONF15[[KDBRG]:[HRG_JLMT_CTN+PPN]],18,0),0)</f>
        <v>0</v>
      </c>
      <c r="R573" t="s">
        <v>2555</v>
      </c>
      <c r="S573" t="s">
        <v>412</v>
      </c>
      <c r="T573">
        <v>0</v>
      </c>
      <c r="U573">
        <v>0</v>
      </c>
      <c r="V573">
        <v>0</v>
      </c>
      <c r="W573">
        <v>0</v>
      </c>
    </row>
    <row r="574" spans="1:23">
      <c r="A574" t="s">
        <v>2138</v>
      </c>
      <c r="B574" t="s">
        <v>2139</v>
      </c>
      <c r="C574">
        <v>24</v>
      </c>
      <c r="D574">
        <f>IFERROR(VLOOKUP(Fix_Mapping[[#This Row],[KODE BARANG]],[1]!KINONF15[[KDBRG]:[HRG_JLMT_CTN+PPN]],5,0),0)</f>
        <v>0</v>
      </c>
      <c r="E574" t="s">
        <v>2238</v>
      </c>
      <c r="F574">
        <f>IFERROR(VLOOKUP(Fix_Mapping[[#This Row],[KODE BARANG]],[1]!KINONF15[[KDBRG]:[HRG_JLMT_CTN+PPN]],7,0),0)</f>
        <v>0</v>
      </c>
      <c r="G574">
        <f>IFERROR(VLOOKUP(Fix_Mapping[[#This Row],[KODE BARANG]],[1]!KINONF15[[KDBRG]:[HRG_JLMT_CTN+PPN]],8,0),0)</f>
        <v>0</v>
      </c>
      <c r="H574">
        <f>IFERROR(VLOOKUP(Fix_Mapping[[#This Row],[KODE BARANG]],[1]!KINONF15[[KDBRG]:[HRG_JLMT_CTN+PPN]],9,0),0)</f>
        <v>0</v>
      </c>
      <c r="I574">
        <f>IFERROR(VLOOKUP(Fix_Mapping[[#This Row],[KODE BARANG]],[1]!KINONF15[[KDBRG]:[HRG_JLMT_CTN+PPN]],10,0),0)</f>
        <v>0</v>
      </c>
      <c r="J574">
        <f>IFERROR(VLOOKUP(Fix_Mapping[[#This Row],[KODE BARANG]],[1]!KINONF15[[KDBRG]:[HRG_JLMT_CTN+PPN]],11,0),0)</f>
        <v>0</v>
      </c>
      <c r="K574">
        <f>IFERROR(VLOOKUP(Fix_Mapping[[#This Row],[KODE BARANG]],[1]!KINONF15[[KDBRG]:[HRG_JLMT_CTN+PPN]],12,0),0)</f>
        <v>0</v>
      </c>
      <c r="L574">
        <f>IFERROR(VLOOKUP(Fix_Mapping[[#This Row],[KODE BARANG]],[1]!KINONF15[[KDBRG]:[HRG_JLMT_CTN+PPN]],13,0),0)</f>
        <v>0</v>
      </c>
      <c r="M574">
        <f>IFERROR(VLOOKUP(Fix_Mapping[[#This Row],[KODE BARANG]],[1]!KINONF15[[KDBRG]:[HRG_JLMT_CTN+PPN]],14,0),0)</f>
        <v>0</v>
      </c>
      <c r="N574">
        <f>IFERROR(VLOOKUP(Fix_Mapping[[#This Row],[KODE BARANG]],[1]!KINONF15[[KDBRG]:[HRG_JLMT_CTN+PPN]],15,0),0)</f>
        <v>0</v>
      </c>
      <c r="O574">
        <f>IFERROR(VLOOKUP(Fix_Mapping[[#This Row],[KODE BARANG]],[1]!KINONF15[[KDBRG]:[HRG_JLMT_CTN+PPN]],16,0),0)</f>
        <v>0</v>
      </c>
      <c r="P574">
        <f>IFERROR(VLOOKUP(Fix_Mapping[[#This Row],[KODE BARANG]],[1]!KINONF15[[KDBRG]:[HRG_JLMT_CTN+PPN]],17,0),0)</f>
        <v>0</v>
      </c>
      <c r="Q574">
        <f>IFERROR(VLOOKUP(Fix_Mapping[[#This Row],[KODE BARANG]],[1]!KINONF15[[KDBRG]:[HRG_JLMT_CTN+PPN]],18,0),0)</f>
        <v>0</v>
      </c>
      <c r="R574" t="s">
        <v>2555</v>
      </c>
      <c r="S574" t="s">
        <v>413</v>
      </c>
      <c r="T574">
        <v>0</v>
      </c>
      <c r="U574">
        <v>0</v>
      </c>
      <c r="V574">
        <v>0</v>
      </c>
      <c r="W574">
        <v>0</v>
      </c>
    </row>
    <row r="575" spans="1:23">
      <c r="A575" t="s">
        <v>2140</v>
      </c>
      <c r="B575" t="s">
        <v>2141</v>
      </c>
      <c r="C575">
        <v>36</v>
      </c>
      <c r="D575">
        <f>IFERROR(VLOOKUP(Fix_Mapping[[#This Row],[KODE BARANG]],[1]!KINONF15[[KDBRG]:[HRG_JLMT_CTN+PPN]],5,0),0)</f>
        <v>0</v>
      </c>
      <c r="E575" t="s">
        <v>2238</v>
      </c>
      <c r="F575">
        <f>IFERROR(VLOOKUP(Fix_Mapping[[#This Row],[KODE BARANG]],[1]!KINONF15[[KDBRG]:[HRG_JLMT_CTN+PPN]],7,0),0)</f>
        <v>0</v>
      </c>
      <c r="G575">
        <f>IFERROR(VLOOKUP(Fix_Mapping[[#This Row],[KODE BARANG]],[1]!KINONF15[[KDBRG]:[HRG_JLMT_CTN+PPN]],8,0),0)</f>
        <v>0</v>
      </c>
      <c r="H575">
        <f>IFERROR(VLOOKUP(Fix_Mapping[[#This Row],[KODE BARANG]],[1]!KINONF15[[KDBRG]:[HRG_JLMT_CTN+PPN]],9,0),0)</f>
        <v>0</v>
      </c>
      <c r="I575">
        <f>IFERROR(VLOOKUP(Fix_Mapping[[#This Row],[KODE BARANG]],[1]!KINONF15[[KDBRG]:[HRG_JLMT_CTN+PPN]],10,0),0)</f>
        <v>0</v>
      </c>
      <c r="J575">
        <f>IFERROR(VLOOKUP(Fix_Mapping[[#This Row],[KODE BARANG]],[1]!KINONF15[[KDBRG]:[HRG_JLMT_CTN+PPN]],11,0),0)</f>
        <v>0</v>
      </c>
      <c r="K575">
        <f>IFERROR(VLOOKUP(Fix_Mapping[[#This Row],[KODE BARANG]],[1]!KINONF15[[KDBRG]:[HRG_JLMT_CTN+PPN]],12,0),0)</f>
        <v>0</v>
      </c>
      <c r="L575">
        <f>IFERROR(VLOOKUP(Fix_Mapping[[#This Row],[KODE BARANG]],[1]!KINONF15[[KDBRG]:[HRG_JLMT_CTN+PPN]],13,0),0)</f>
        <v>0</v>
      </c>
      <c r="M575">
        <f>IFERROR(VLOOKUP(Fix_Mapping[[#This Row],[KODE BARANG]],[1]!KINONF15[[KDBRG]:[HRG_JLMT_CTN+PPN]],14,0),0)</f>
        <v>0</v>
      </c>
      <c r="N575">
        <f>IFERROR(VLOOKUP(Fix_Mapping[[#This Row],[KODE BARANG]],[1]!KINONF15[[KDBRG]:[HRG_JLMT_CTN+PPN]],15,0),0)</f>
        <v>0</v>
      </c>
      <c r="O575">
        <f>IFERROR(VLOOKUP(Fix_Mapping[[#This Row],[KODE BARANG]],[1]!KINONF15[[KDBRG]:[HRG_JLMT_CTN+PPN]],16,0),0)</f>
        <v>0</v>
      </c>
      <c r="P575">
        <f>IFERROR(VLOOKUP(Fix_Mapping[[#This Row],[KODE BARANG]],[1]!KINONF15[[KDBRG]:[HRG_JLMT_CTN+PPN]],17,0),0)</f>
        <v>0</v>
      </c>
      <c r="Q575">
        <f>IFERROR(VLOOKUP(Fix_Mapping[[#This Row],[KODE BARANG]],[1]!KINONF15[[KDBRG]:[HRG_JLMT_CTN+PPN]],18,0),0)</f>
        <v>0</v>
      </c>
      <c r="R575" t="s">
        <v>2555</v>
      </c>
      <c r="S575" t="s">
        <v>432</v>
      </c>
      <c r="T575">
        <v>0</v>
      </c>
      <c r="U575">
        <v>0</v>
      </c>
      <c r="V575">
        <v>0</v>
      </c>
      <c r="W575">
        <v>0</v>
      </c>
    </row>
    <row r="576" spans="1:23">
      <c r="A576" t="s">
        <v>2142</v>
      </c>
      <c r="B576" t="s">
        <v>2143</v>
      </c>
      <c r="C576">
        <v>36</v>
      </c>
      <c r="D576">
        <f>IFERROR(VLOOKUP(Fix_Mapping[[#This Row],[KODE BARANG]],[1]!KINONF15[[KDBRG]:[HRG_JLMT_CTN+PPN]],5,0),0)</f>
        <v>0</v>
      </c>
      <c r="E576" t="s">
        <v>2238</v>
      </c>
      <c r="F576">
        <f>IFERROR(VLOOKUP(Fix_Mapping[[#This Row],[KODE BARANG]],[1]!KINONF15[[KDBRG]:[HRG_JLMT_CTN+PPN]],7,0),0)</f>
        <v>0</v>
      </c>
      <c r="G576">
        <f>IFERROR(VLOOKUP(Fix_Mapping[[#This Row],[KODE BARANG]],[1]!KINONF15[[KDBRG]:[HRG_JLMT_CTN+PPN]],8,0),0)</f>
        <v>0</v>
      </c>
      <c r="H576">
        <f>IFERROR(VLOOKUP(Fix_Mapping[[#This Row],[KODE BARANG]],[1]!KINONF15[[KDBRG]:[HRG_JLMT_CTN+PPN]],9,0),0)</f>
        <v>0</v>
      </c>
      <c r="I576">
        <f>IFERROR(VLOOKUP(Fix_Mapping[[#This Row],[KODE BARANG]],[1]!KINONF15[[KDBRG]:[HRG_JLMT_CTN+PPN]],10,0),0)</f>
        <v>0</v>
      </c>
      <c r="J576">
        <f>IFERROR(VLOOKUP(Fix_Mapping[[#This Row],[KODE BARANG]],[1]!KINONF15[[KDBRG]:[HRG_JLMT_CTN+PPN]],11,0),0)</f>
        <v>0</v>
      </c>
      <c r="K576">
        <f>IFERROR(VLOOKUP(Fix_Mapping[[#This Row],[KODE BARANG]],[1]!KINONF15[[KDBRG]:[HRG_JLMT_CTN+PPN]],12,0),0)</f>
        <v>0</v>
      </c>
      <c r="L576">
        <f>IFERROR(VLOOKUP(Fix_Mapping[[#This Row],[KODE BARANG]],[1]!KINONF15[[KDBRG]:[HRG_JLMT_CTN+PPN]],13,0),0)</f>
        <v>0</v>
      </c>
      <c r="M576">
        <f>IFERROR(VLOOKUP(Fix_Mapping[[#This Row],[KODE BARANG]],[1]!KINONF15[[KDBRG]:[HRG_JLMT_CTN+PPN]],14,0),0)</f>
        <v>0</v>
      </c>
      <c r="N576">
        <f>IFERROR(VLOOKUP(Fix_Mapping[[#This Row],[KODE BARANG]],[1]!KINONF15[[KDBRG]:[HRG_JLMT_CTN+PPN]],15,0),0)</f>
        <v>0</v>
      </c>
      <c r="O576">
        <f>IFERROR(VLOOKUP(Fix_Mapping[[#This Row],[KODE BARANG]],[1]!KINONF15[[KDBRG]:[HRG_JLMT_CTN+PPN]],16,0),0)</f>
        <v>0</v>
      </c>
      <c r="P576">
        <f>IFERROR(VLOOKUP(Fix_Mapping[[#This Row],[KODE BARANG]],[1]!KINONF15[[KDBRG]:[HRG_JLMT_CTN+PPN]],17,0),0)</f>
        <v>0</v>
      </c>
      <c r="Q576">
        <f>IFERROR(VLOOKUP(Fix_Mapping[[#This Row],[KODE BARANG]],[1]!KINONF15[[KDBRG]:[HRG_JLMT_CTN+PPN]],18,0),0)</f>
        <v>0</v>
      </c>
      <c r="R576" t="s">
        <v>2555</v>
      </c>
      <c r="S576" t="s">
        <v>433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2144</v>
      </c>
      <c r="B577" t="s">
        <v>2145</v>
      </c>
      <c r="C577">
        <v>120</v>
      </c>
      <c r="D577">
        <f>IFERROR(VLOOKUP(Fix_Mapping[[#This Row],[KODE BARANG]],[1]!KINONF15[[KDBRG]:[HRG_JLMT_CTN+PPN]],5,0),0)</f>
        <v>0</v>
      </c>
      <c r="E577" t="s">
        <v>2240</v>
      </c>
      <c r="F577">
        <f>IFERROR(VLOOKUP(Fix_Mapping[[#This Row],[KODE BARANG]],[1]!KINONF15[[KDBRG]:[HRG_JLMT_CTN+PPN]],7,0),0)</f>
        <v>0</v>
      </c>
      <c r="G577">
        <f>IFERROR(VLOOKUP(Fix_Mapping[[#This Row],[KODE BARANG]],[1]!KINONF15[[KDBRG]:[HRG_JLMT_CTN+PPN]],8,0),0)</f>
        <v>0</v>
      </c>
      <c r="H577">
        <f>IFERROR(VLOOKUP(Fix_Mapping[[#This Row],[KODE BARANG]],[1]!KINONF15[[KDBRG]:[HRG_JLMT_CTN+PPN]],9,0),0)</f>
        <v>0</v>
      </c>
      <c r="I577">
        <f>IFERROR(VLOOKUP(Fix_Mapping[[#This Row],[KODE BARANG]],[1]!KINONF15[[KDBRG]:[HRG_JLMT_CTN+PPN]],10,0),0)</f>
        <v>0</v>
      </c>
      <c r="J577">
        <f>IFERROR(VLOOKUP(Fix_Mapping[[#This Row],[KODE BARANG]],[1]!KINONF15[[KDBRG]:[HRG_JLMT_CTN+PPN]],11,0),0)</f>
        <v>0</v>
      </c>
      <c r="K577">
        <f>IFERROR(VLOOKUP(Fix_Mapping[[#This Row],[KODE BARANG]],[1]!KINONF15[[KDBRG]:[HRG_JLMT_CTN+PPN]],12,0),0)</f>
        <v>0</v>
      </c>
      <c r="L577">
        <f>IFERROR(VLOOKUP(Fix_Mapping[[#This Row],[KODE BARANG]],[1]!KINONF15[[KDBRG]:[HRG_JLMT_CTN+PPN]],13,0),0)</f>
        <v>0</v>
      </c>
      <c r="M577">
        <f>IFERROR(VLOOKUP(Fix_Mapping[[#This Row],[KODE BARANG]],[1]!KINONF15[[KDBRG]:[HRG_JLMT_CTN+PPN]],14,0),0)</f>
        <v>0</v>
      </c>
      <c r="N577">
        <f>IFERROR(VLOOKUP(Fix_Mapping[[#This Row],[KODE BARANG]],[1]!KINONF15[[KDBRG]:[HRG_JLMT_CTN+PPN]],15,0),0)</f>
        <v>0</v>
      </c>
      <c r="O577">
        <f>IFERROR(VLOOKUP(Fix_Mapping[[#This Row],[KODE BARANG]],[1]!KINONF15[[KDBRG]:[HRG_JLMT_CTN+PPN]],16,0),0)</f>
        <v>0</v>
      </c>
      <c r="P577">
        <f>IFERROR(VLOOKUP(Fix_Mapping[[#This Row],[KODE BARANG]],[1]!KINONF15[[KDBRG]:[HRG_JLMT_CTN+PPN]],17,0),0)</f>
        <v>0</v>
      </c>
      <c r="Q577">
        <f>IFERROR(VLOOKUP(Fix_Mapping[[#This Row],[KODE BARANG]],[1]!KINONF15[[KDBRG]:[HRG_JLMT_CTN+PPN]],18,0),0)</f>
        <v>0</v>
      </c>
      <c r="R577" t="s">
        <v>2555</v>
      </c>
      <c r="S577" t="s">
        <v>414</v>
      </c>
      <c r="T577">
        <v>0</v>
      </c>
      <c r="U577">
        <v>0</v>
      </c>
      <c r="V577">
        <v>0</v>
      </c>
      <c r="W577">
        <v>0</v>
      </c>
    </row>
    <row r="578" spans="1:23">
      <c r="A578" t="s">
        <v>2146</v>
      </c>
      <c r="B578" t="s">
        <v>2147</v>
      </c>
      <c r="C578">
        <v>12</v>
      </c>
      <c r="D578">
        <f>IFERROR(VLOOKUP(Fix_Mapping[[#This Row],[KODE BARANG]],[1]!KINONF15[[KDBRG]:[HRG_JLMT_CTN+PPN]],5,0),0)</f>
        <v>0</v>
      </c>
      <c r="E578" t="s">
        <v>2240</v>
      </c>
      <c r="F578">
        <f>IFERROR(VLOOKUP(Fix_Mapping[[#This Row],[KODE BARANG]],[1]!KINONF15[[KDBRG]:[HRG_JLMT_CTN+PPN]],7,0),0)</f>
        <v>0</v>
      </c>
      <c r="G578">
        <f>IFERROR(VLOOKUP(Fix_Mapping[[#This Row],[KODE BARANG]],[1]!KINONF15[[KDBRG]:[HRG_JLMT_CTN+PPN]],8,0),0)</f>
        <v>0</v>
      </c>
      <c r="H578">
        <f>IFERROR(VLOOKUP(Fix_Mapping[[#This Row],[KODE BARANG]],[1]!KINONF15[[KDBRG]:[HRG_JLMT_CTN+PPN]],9,0),0)</f>
        <v>0</v>
      </c>
      <c r="I578">
        <f>IFERROR(VLOOKUP(Fix_Mapping[[#This Row],[KODE BARANG]],[1]!KINONF15[[KDBRG]:[HRG_JLMT_CTN+PPN]],10,0),0)</f>
        <v>0</v>
      </c>
      <c r="J578">
        <f>IFERROR(VLOOKUP(Fix_Mapping[[#This Row],[KODE BARANG]],[1]!KINONF15[[KDBRG]:[HRG_JLMT_CTN+PPN]],11,0),0)</f>
        <v>0</v>
      </c>
      <c r="K578">
        <f>IFERROR(VLOOKUP(Fix_Mapping[[#This Row],[KODE BARANG]],[1]!KINONF15[[KDBRG]:[HRG_JLMT_CTN+PPN]],12,0),0)</f>
        <v>0</v>
      </c>
      <c r="L578">
        <f>IFERROR(VLOOKUP(Fix_Mapping[[#This Row],[KODE BARANG]],[1]!KINONF15[[KDBRG]:[HRG_JLMT_CTN+PPN]],13,0),0)</f>
        <v>0</v>
      </c>
      <c r="M578">
        <f>IFERROR(VLOOKUP(Fix_Mapping[[#This Row],[KODE BARANG]],[1]!KINONF15[[KDBRG]:[HRG_JLMT_CTN+PPN]],14,0),0)</f>
        <v>0</v>
      </c>
      <c r="N578">
        <f>IFERROR(VLOOKUP(Fix_Mapping[[#This Row],[KODE BARANG]],[1]!KINONF15[[KDBRG]:[HRG_JLMT_CTN+PPN]],15,0),0)</f>
        <v>0</v>
      </c>
      <c r="O578">
        <f>IFERROR(VLOOKUP(Fix_Mapping[[#This Row],[KODE BARANG]],[1]!KINONF15[[KDBRG]:[HRG_JLMT_CTN+PPN]],16,0),0)</f>
        <v>0</v>
      </c>
      <c r="P578">
        <f>IFERROR(VLOOKUP(Fix_Mapping[[#This Row],[KODE BARANG]],[1]!KINONF15[[KDBRG]:[HRG_JLMT_CTN+PPN]],17,0),0)</f>
        <v>0</v>
      </c>
      <c r="Q578">
        <f>IFERROR(VLOOKUP(Fix_Mapping[[#This Row],[KODE BARANG]],[1]!KINONF15[[KDBRG]:[HRG_JLMT_CTN+PPN]],18,0),0)</f>
        <v>0</v>
      </c>
      <c r="R578" t="s">
        <v>2555</v>
      </c>
      <c r="S578" t="s">
        <v>415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2148</v>
      </c>
      <c r="B579" t="s">
        <v>2149</v>
      </c>
      <c r="C579">
        <v>12</v>
      </c>
      <c r="D579">
        <f>IFERROR(VLOOKUP(Fix_Mapping[[#This Row],[KODE BARANG]],[1]!KINONF15[[KDBRG]:[HRG_JLMT_CTN+PPN]],5,0),0)</f>
        <v>0</v>
      </c>
      <c r="E579" t="s">
        <v>2240</v>
      </c>
      <c r="F579">
        <f>IFERROR(VLOOKUP(Fix_Mapping[[#This Row],[KODE BARANG]],[1]!KINONF15[[KDBRG]:[HRG_JLMT_CTN+PPN]],7,0),0)</f>
        <v>0</v>
      </c>
      <c r="G579">
        <f>IFERROR(VLOOKUP(Fix_Mapping[[#This Row],[KODE BARANG]],[1]!KINONF15[[KDBRG]:[HRG_JLMT_CTN+PPN]],8,0),0)</f>
        <v>0</v>
      </c>
      <c r="H579">
        <f>IFERROR(VLOOKUP(Fix_Mapping[[#This Row],[KODE BARANG]],[1]!KINONF15[[KDBRG]:[HRG_JLMT_CTN+PPN]],9,0),0)</f>
        <v>0</v>
      </c>
      <c r="I579">
        <f>IFERROR(VLOOKUP(Fix_Mapping[[#This Row],[KODE BARANG]],[1]!KINONF15[[KDBRG]:[HRG_JLMT_CTN+PPN]],10,0),0)</f>
        <v>0</v>
      </c>
      <c r="J579">
        <f>IFERROR(VLOOKUP(Fix_Mapping[[#This Row],[KODE BARANG]],[1]!KINONF15[[KDBRG]:[HRG_JLMT_CTN+PPN]],11,0),0)</f>
        <v>0</v>
      </c>
      <c r="K579">
        <f>IFERROR(VLOOKUP(Fix_Mapping[[#This Row],[KODE BARANG]],[1]!KINONF15[[KDBRG]:[HRG_JLMT_CTN+PPN]],12,0),0)</f>
        <v>0</v>
      </c>
      <c r="L579">
        <f>IFERROR(VLOOKUP(Fix_Mapping[[#This Row],[KODE BARANG]],[1]!KINONF15[[KDBRG]:[HRG_JLMT_CTN+PPN]],13,0),0)</f>
        <v>0</v>
      </c>
      <c r="M579">
        <f>IFERROR(VLOOKUP(Fix_Mapping[[#This Row],[KODE BARANG]],[1]!KINONF15[[KDBRG]:[HRG_JLMT_CTN+PPN]],14,0),0)</f>
        <v>0</v>
      </c>
      <c r="N579">
        <f>IFERROR(VLOOKUP(Fix_Mapping[[#This Row],[KODE BARANG]],[1]!KINONF15[[KDBRG]:[HRG_JLMT_CTN+PPN]],15,0),0)</f>
        <v>0</v>
      </c>
      <c r="O579">
        <f>IFERROR(VLOOKUP(Fix_Mapping[[#This Row],[KODE BARANG]],[1]!KINONF15[[KDBRG]:[HRG_JLMT_CTN+PPN]],16,0),0)</f>
        <v>0</v>
      </c>
      <c r="P579">
        <f>IFERROR(VLOOKUP(Fix_Mapping[[#This Row],[KODE BARANG]],[1]!KINONF15[[KDBRG]:[HRG_JLMT_CTN+PPN]],17,0),0)</f>
        <v>0</v>
      </c>
      <c r="Q579">
        <f>IFERROR(VLOOKUP(Fix_Mapping[[#This Row],[KODE BARANG]],[1]!KINONF15[[KDBRG]:[HRG_JLMT_CTN+PPN]],18,0),0)</f>
        <v>0</v>
      </c>
      <c r="R579" t="s">
        <v>2555</v>
      </c>
      <c r="S579" t="s">
        <v>416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2150</v>
      </c>
      <c r="B580" t="s">
        <v>2151</v>
      </c>
      <c r="C580">
        <v>12</v>
      </c>
      <c r="D580">
        <f>IFERROR(VLOOKUP(Fix_Mapping[[#This Row],[KODE BARANG]],[1]!KINONF15[[KDBRG]:[HRG_JLMT_CTN+PPN]],5,0),0)</f>
        <v>0</v>
      </c>
      <c r="E580" t="s">
        <v>2240</v>
      </c>
      <c r="F580">
        <f>IFERROR(VLOOKUP(Fix_Mapping[[#This Row],[KODE BARANG]],[1]!KINONF15[[KDBRG]:[HRG_JLMT_CTN+PPN]],7,0),0)</f>
        <v>0</v>
      </c>
      <c r="G580">
        <f>IFERROR(VLOOKUP(Fix_Mapping[[#This Row],[KODE BARANG]],[1]!KINONF15[[KDBRG]:[HRG_JLMT_CTN+PPN]],8,0),0)</f>
        <v>0</v>
      </c>
      <c r="H580">
        <f>IFERROR(VLOOKUP(Fix_Mapping[[#This Row],[KODE BARANG]],[1]!KINONF15[[KDBRG]:[HRG_JLMT_CTN+PPN]],9,0),0)</f>
        <v>0</v>
      </c>
      <c r="I580">
        <f>IFERROR(VLOOKUP(Fix_Mapping[[#This Row],[KODE BARANG]],[1]!KINONF15[[KDBRG]:[HRG_JLMT_CTN+PPN]],10,0),0)</f>
        <v>0</v>
      </c>
      <c r="J580">
        <f>IFERROR(VLOOKUP(Fix_Mapping[[#This Row],[KODE BARANG]],[1]!KINONF15[[KDBRG]:[HRG_JLMT_CTN+PPN]],11,0),0)</f>
        <v>0</v>
      </c>
      <c r="K580">
        <f>IFERROR(VLOOKUP(Fix_Mapping[[#This Row],[KODE BARANG]],[1]!KINONF15[[KDBRG]:[HRG_JLMT_CTN+PPN]],12,0),0)</f>
        <v>0</v>
      </c>
      <c r="L580">
        <f>IFERROR(VLOOKUP(Fix_Mapping[[#This Row],[KODE BARANG]],[1]!KINONF15[[KDBRG]:[HRG_JLMT_CTN+PPN]],13,0),0)</f>
        <v>0</v>
      </c>
      <c r="M580">
        <f>IFERROR(VLOOKUP(Fix_Mapping[[#This Row],[KODE BARANG]],[1]!KINONF15[[KDBRG]:[HRG_JLMT_CTN+PPN]],14,0),0)</f>
        <v>0</v>
      </c>
      <c r="N580">
        <f>IFERROR(VLOOKUP(Fix_Mapping[[#This Row],[KODE BARANG]],[1]!KINONF15[[KDBRG]:[HRG_JLMT_CTN+PPN]],15,0),0)</f>
        <v>0</v>
      </c>
      <c r="O580">
        <f>IFERROR(VLOOKUP(Fix_Mapping[[#This Row],[KODE BARANG]],[1]!KINONF15[[KDBRG]:[HRG_JLMT_CTN+PPN]],16,0),0)</f>
        <v>0</v>
      </c>
      <c r="P580">
        <f>IFERROR(VLOOKUP(Fix_Mapping[[#This Row],[KODE BARANG]],[1]!KINONF15[[KDBRG]:[HRG_JLMT_CTN+PPN]],17,0),0)</f>
        <v>0</v>
      </c>
      <c r="Q580">
        <f>IFERROR(VLOOKUP(Fix_Mapping[[#This Row],[KODE BARANG]],[1]!KINONF15[[KDBRG]:[HRG_JLMT_CTN+PPN]],18,0),0)</f>
        <v>0</v>
      </c>
      <c r="R580" t="s">
        <v>2555</v>
      </c>
      <c r="S580" t="s">
        <v>417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2152</v>
      </c>
      <c r="B581" t="s">
        <v>2153</v>
      </c>
      <c r="C581">
        <v>12</v>
      </c>
      <c r="D581">
        <f>IFERROR(VLOOKUP(Fix_Mapping[[#This Row],[KODE BARANG]],[1]!KINONF15[[KDBRG]:[HRG_JLMT_CTN+PPN]],5,0),0)</f>
        <v>0</v>
      </c>
      <c r="E581" t="s">
        <v>2240</v>
      </c>
      <c r="F581">
        <f>IFERROR(VLOOKUP(Fix_Mapping[[#This Row],[KODE BARANG]],[1]!KINONF15[[KDBRG]:[HRG_JLMT_CTN+PPN]],7,0),0)</f>
        <v>0</v>
      </c>
      <c r="G581">
        <f>IFERROR(VLOOKUP(Fix_Mapping[[#This Row],[KODE BARANG]],[1]!KINONF15[[KDBRG]:[HRG_JLMT_CTN+PPN]],8,0),0)</f>
        <v>0</v>
      </c>
      <c r="H581">
        <f>IFERROR(VLOOKUP(Fix_Mapping[[#This Row],[KODE BARANG]],[1]!KINONF15[[KDBRG]:[HRG_JLMT_CTN+PPN]],9,0),0)</f>
        <v>0</v>
      </c>
      <c r="I581">
        <f>IFERROR(VLOOKUP(Fix_Mapping[[#This Row],[KODE BARANG]],[1]!KINONF15[[KDBRG]:[HRG_JLMT_CTN+PPN]],10,0),0)</f>
        <v>0</v>
      </c>
      <c r="J581">
        <f>IFERROR(VLOOKUP(Fix_Mapping[[#This Row],[KODE BARANG]],[1]!KINONF15[[KDBRG]:[HRG_JLMT_CTN+PPN]],11,0),0)</f>
        <v>0</v>
      </c>
      <c r="K581">
        <f>IFERROR(VLOOKUP(Fix_Mapping[[#This Row],[KODE BARANG]],[1]!KINONF15[[KDBRG]:[HRG_JLMT_CTN+PPN]],12,0),0)</f>
        <v>0</v>
      </c>
      <c r="L581">
        <f>IFERROR(VLOOKUP(Fix_Mapping[[#This Row],[KODE BARANG]],[1]!KINONF15[[KDBRG]:[HRG_JLMT_CTN+PPN]],13,0),0)</f>
        <v>0</v>
      </c>
      <c r="M581">
        <f>IFERROR(VLOOKUP(Fix_Mapping[[#This Row],[KODE BARANG]],[1]!KINONF15[[KDBRG]:[HRG_JLMT_CTN+PPN]],14,0),0)</f>
        <v>0</v>
      </c>
      <c r="N581">
        <f>IFERROR(VLOOKUP(Fix_Mapping[[#This Row],[KODE BARANG]],[1]!KINONF15[[KDBRG]:[HRG_JLMT_CTN+PPN]],15,0),0)</f>
        <v>0</v>
      </c>
      <c r="O581">
        <f>IFERROR(VLOOKUP(Fix_Mapping[[#This Row],[KODE BARANG]],[1]!KINONF15[[KDBRG]:[HRG_JLMT_CTN+PPN]],16,0),0)</f>
        <v>0</v>
      </c>
      <c r="P581">
        <f>IFERROR(VLOOKUP(Fix_Mapping[[#This Row],[KODE BARANG]],[1]!KINONF15[[KDBRG]:[HRG_JLMT_CTN+PPN]],17,0),0)</f>
        <v>0</v>
      </c>
      <c r="Q581">
        <f>IFERROR(VLOOKUP(Fix_Mapping[[#This Row],[KODE BARANG]],[1]!KINONF15[[KDBRG]:[HRG_JLMT_CTN+PPN]],18,0),0)</f>
        <v>0</v>
      </c>
      <c r="R581" t="s">
        <v>2555</v>
      </c>
      <c r="S581" t="s">
        <v>418</v>
      </c>
      <c r="T581">
        <v>0</v>
      </c>
      <c r="U581">
        <v>0</v>
      </c>
      <c r="V581">
        <v>0</v>
      </c>
      <c r="W581">
        <v>0</v>
      </c>
    </row>
    <row r="582" spans="1:23">
      <c r="A582" t="s">
        <v>2154</v>
      </c>
      <c r="B582" t="s">
        <v>2155</v>
      </c>
      <c r="C582">
        <v>4</v>
      </c>
      <c r="D582">
        <f>IFERROR(VLOOKUP(Fix_Mapping[[#This Row],[KODE BARANG]],[1]!KINONF15[[KDBRG]:[HRG_JLMT_CTN+PPN]],5,0),0)</f>
        <v>0</v>
      </c>
      <c r="E582" t="s">
        <v>2240</v>
      </c>
      <c r="F582">
        <f>IFERROR(VLOOKUP(Fix_Mapping[[#This Row],[KODE BARANG]],[1]!KINONF15[[KDBRG]:[HRG_JLMT_CTN+PPN]],7,0),0)</f>
        <v>0</v>
      </c>
      <c r="G582">
        <f>IFERROR(VLOOKUP(Fix_Mapping[[#This Row],[KODE BARANG]],[1]!KINONF15[[KDBRG]:[HRG_JLMT_CTN+PPN]],8,0),0)</f>
        <v>0</v>
      </c>
      <c r="H582">
        <f>IFERROR(VLOOKUP(Fix_Mapping[[#This Row],[KODE BARANG]],[1]!KINONF15[[KDBRG]:[HRG_JLMT_CTN+PPN]],9,0),0)</f>
        <v>0</v>
      </c>
      <c r="I582">
        <f>IFERROR(VLOOKUP(Fix_Mapping[[#This Row],[KODE BARANG]],[1]!KINONF15[[KDBRG]:[HRG_JLMT_CTN+PPN]],10,0),0)</f>
        <v>0</v>
      </c>
      <c r="J582">
        <f>IFERROR(VLOOKUP(Fix_Mapping[[#This Row],[KODE BARANG]],[1]!KINONF15[[KDBRG]:[HRG_JLMT_CTN+PPN]],11,0),0)</f>
        <v>0</v>
      </c>
      <c r="K582">
        <f>IFERROR(VLOOKUP(Fix_Mapping[[#This Row],[KODE BARANG]],[1]!KINONF15[[KDBRG]:[HRG_JLMT_CTN+PPN]],12,0),0)</f>
        <v>0</v>
      </c>
      <c r="L582">
        <f>IFERROR(VLOOKUP(Fix_Mapping[[#This Row],[KODE BARANG]],[1]!KINONF15[[KDBRG]:[HRG_JLMT_CTN+PPN]],13,0),0)</f>
        <v>0</v>
      </c>
      <c r="M582">
        <f>IFERROR(VLOOKUP(Fix_Mapping[[#This Row],[KODE BARANG]],[1]!KINONF15[[KDBRG]:[HRG_JLMT_CTN+PPN]],14,0),0)</f>
        <v>0</v>
      </c>
      <c r="N582">
        <f>IFERROR(VLOOKUP(Fix_Mapping[[#This Row],[KODE BARANG]],[1]!KINONF15[[KDBRG]:[HRG_JLMT_CTN+PPN]],15,0),0)</f>
        <v>0</v>
      </c>
      <c r="O582">
        <f>IFERROR(VLOOKUP(Fix_Mapping[[#This Row],[KODE BARANG]],[1]!KINONF15[[KDBRG]:[HRG_JLMT_CTN+PPN]],16,0),0)</f>
        <v>0</v>
      </c>
      <c r="P582">
        <f>IFERROR(VLOOKUP(Fix_Mapping[[#This Row],[KODE BARANG]],[1]!KINONF15[[KDBRG]:[HRG_JLMT_CTN+PPN]],17,0),0)</f>
        <v>0</v>
      </c>
      <c r="Q582">
        <f>IFERROR(VLOOKUP(Fix_Mapping[[#This Row],[KODE BARANG]],[1]!KINONF15[[KDBRG]:[HRG_JLMT_CTN+PPN]],18,0),0)</f>
        <v>0</v>
      </c>
      <c r="R582" t="s">
        <v>2555</v>
      </c>
      <c r="S582" t="s">
        <v>420</v>
      </c>
      <c r="T582">
        <v>0</v>
      </c>
      <c r="U582">
        <v>0</v>
      </c>
      <c r="V582">
        <v>0</v>
      </c>
      <c r="W582">
        <v>0</v>
      </c>
    </row>
    <row r="583" spans="1:23">
      <c r="A583" t="s">
        <v>2156</v>
      </c>
      <c r="B583" t="s">
        <v>2157</v>
      </c>
      <c r="C583">
        <v>6</v>
      </c>
      <c r="D583">
        <f>IFERROR(VLOOKUP(Fix_Mapping[[#This Row],[KODE BARANG]],[1]!KINONF15[[KDBRG]:[HRG_JLMT_CTN+PPN]],5,0),0)</f>
        <v>0</v>
      </c>
      <c r="E583" t="s">
        <v>2240</v>
      </c>
      <c r="F583">
        <f>IFERROR(VLOOKUP(Fix_Mapping[[#This Row],[KODE BARANG]],[1]!KINONF15[[KDBRG]:[HRG_JLMT_CTN+PPN]],7,0),0)</f>
        <v>0</v>
      </c>
      <c r="G583">
        <f>IFERROR(VLOOKUP(Fix_Mapping[[#This Row],[KODE BARANG]],[1]!KINONF15[[KDBRG]:[HRG_JLMT_CTN+PPN]],8,0),0)</f>
        <v>0</v>
      </c>
      <c r="H583">
        <f>IFERROR(VLOOKUP(Fix_Mapping[[#This Row],[KODE BARANG]],[1]!KINONF15[[KDBRG]:[HRG_JLMT_CTN+PPN]],9,0),0)</f>
        <v>0</v>
      </c>
      <c r="I583">
        <f>IFERROR(VLOOKUP(Fix_Mapping[[#This Row],[KODE BARANG]],[1]!KINONF15[[KDBRG]:[HRG_JLMT_CTN+PPN]],10,0),0)</f>
        <v>0</v>
      </c>
      <c r="J583">
        <f>IFERROR(VLOOKUP(Fix_Mapping[[#This Row],[KODE BARANG]],[1]!KINONF15[[KDBRG]:[HRG_JLMT_CTN+PPN]],11,0),0)</f>
        <v>0</v>
      </c>
      <c r="K583">
        <f>IFERROR(VLOOKUP(Fix_Mapping[[#This Row],[KODE BARANG]],[1]!KINONF15[[KDBRG]:[HRG_JLMT_CTN+PPN]],12,0),0)</f>
        <v>0</v>
      </c>
      <c r="L583">
        <f>IFERROR(VLOOKUP(Fix_Mapping[[#This Row],[KODE BARANG]],[1]!KINONF15[[KDBRG]:[HRG_JLMT_CTN+PPN]],13,0),0)</f>
        <v>0</v>
      </c>
      <c r="M583">
        <f>IFERROR(VLOOKUP(Fix_Mapping[[#This Row],[KODE BARANG]],[1]!KINONF15[[KDBRG]:[HRG_JLMT_CTN+PPN]],14,0),0)</f>
        <v>0</v>
      </c>
      <c r="N583">
        <f>IFERROR(VLOOKUP(Fix_Mapping[[#This Row],[KODE BARANG]],[1]!KINONF15[[KDBRG]:[HRG_JLMT_CTN+PPN]],15,0),0)</f>
        <v>0</v>
      </c>
      <c r="O583">
        <f>IFERROR(VLOOKUP(Fix_Mapping[[#This Row],[KODE BARANG]],[1]!KINONF15[[KDBRG]:[HRG_JLMT_CTN+PPN]],16,0),0)</f>
        <v>0</v>
      </c>
      <c r="P583">
        <f>IFERROR(VLOOKUP(Fix_Mapping[[#This Row],[KODE BARANG]],[1]!KINONF15[[KDBRG]:[HRG_JLMT_CTN+PPN]],17,0),0)</f>
        <v>0</v>
      </c>
      <c r="Q583">
        <f>IFERROR(VLOOKUP(Fix_Mapping[[#This Row],[KODE BARANG]],[1]!KINONF15[[KDBRG]:[HRG_JLMT_CTN+PPN]],18,0),0)</f>
        <v>0</v>
      </c>
      <c r="R583" t="s">
        <v>2555</v>
      </c>
      <c r="S583" t="s">
        <v>419</v>
      </c>
      <c r="T583">
        <v>0</v>
      </c>
      <c r="U583">
        <v>0</v>
      </c>
      <c r="V583">
        <v>0</v>
      </c>
      <c r="W583">
        <v>0</v>
      </c>
    </row>
    <row r="584" spans="1:23">
      <c r="A584" t="s">
        <v>3455</v>
      </c>
      <c r="B584" t="s">
        <v>3456</v>
      </c>
      <c r="C584">
        <v>12</v>
      </c>
      <c r="D584">
        <f>IFERROR(VLOOKUP(Fix_Mapping[[#This Row],[KODE BARANG]],[1]!KINONF15[[KDBRG]:[HRG_JLMT_CTN+PPN]],5,0),0)</f>
        <v>0</v>
      </c>
      <c r="E584" t="s">
        <v>3457</v>
      </c>
      <c r="F584">
        <f>IFERROR(VLOOKUP(Fix_Mapping[[#This Row],[KODE BARANG]],[1]!KINONF15[[KDBRG]:[HRG_JLMT_CTN+PPN]],7,0),0)</f>
        <v>0</v>
      </c>
      <c r="G584">
        <f>IFERROR(VLOOKUP(Fix_Mapping[[#This Row],[KODE BARANG]],[1]!KINONF15[[KDBRG]:[HRG_JLMT_CTN+PPN]],8,0),0)</f>
        <v>0</v>
      </c>
      <c r="H584">
        <f>IFERROR(VLOOKUP(Fix_Mapping[[#This Row],[KODE BARANG]],[1]!KINONF15[[KDBRG]:[HRG_JLMT_CTN+PPN]],9,0),0)</f>
        <v>0</v>
      </c>
      <c r="I584">
        <f>IFERROR(VLOOKUP(Fix_Mapping[[#This Row],[KODE BARANG]],[1]!KINONF15[[KDBRG]:[HRG_JLMT_CTN+PPN]],10,0),0)</f>
        <v>0</v>
      </c>
      <c r="J584">
        <f>IFERROR(VLOOKUP(Fix_Mapping[[#This Row],[KODE BARANG]],[1]!KINONF15[[KDBRG]:[HRG_JLMT_CTN+PPN]],11,0),0)</f>
        <v>0</v>
      </c>
      <c r="K584">
        <f>IFERROR(VLOOKUP(Fix_Mapping[[#This Row],[KODE BARANG]],[1]!KINONF15[[KDBRG]:[HRG_JLMT_CTN+PPN]],12,0),0)</f>
        <v>0</v>
      </c>
      <c r="L584">
        <f>IFERROR(VLOOKUP(Fix_Mapping[[#This Row],[KODE BARANG]],[1]!KINONF15[[KDBRG]:[HRG_JLMT_CTN+PPN]],13,0),0)</f>
        <v>0</v>
      </c>
      <c r="M584">
        <f>IFERROR(VLOOKUP(Fix_Mapping[[#This Row],[KODE BARANG]],[1]!KINONF15[[KDBRG]:[HRG_JLMT_CTN+PPN]],14,0),0)</f>
        <v>0</v>
      </c>
      <c r="N584">
        <f>IFERROR(VLOOKUP(Fix_Mapping[[#This Row],[KODE BARANG]],[1]!KINONF15[[KDBRG]:[HRG_JLMT_CTN+PPN]],15,0),0)</f>
        <v>0</v>
      </c>
      <c r="O584">
        <f>IFERROR(VLOOKUP(Fix_Mapping[[#This Row],[KODE BARANG]],[1]!KINONF15[[KDBRG]:[HRG_JLMT_CTN+PPN]],16,0),0)</f>
        <v>0</v>
      </c>
      <c r="P584">
        <f>IFERROR(VLOOKUP(Fix_Mapping[[#This Row],[KODE BARANG]],[1]!KINONF15[[KDBRG]:[HRG_JLMT_CTN+PPN]],17,0),0)</f>
        <v>0</v>
      </c>
      <c r="Q584">
        <f>IFERROR(VLOOKUP(Fix_Mapping[[#This Row],[KODE BARANG]],[1]!KINONF15[[KDBRG]:[HRG_JLMT_CTN+PPN]],18,0),0)</f>
        <v>0</v>
      </c>
      <c r="R584" t="s">
        <v>2555</v>
      </c>
      <c r="S584">
        <v>203048</v>
      </c>
    </row>
    <row r="585" spans="1:23">
      <c r="A585" t="s">
        <v>2082</v>
      </c>
      <c r="B585" t="s">
        <v>2083</v>
      </c>
      <c r="C585">
        <v>24</v>
      </c>
      <c r="D585">
        <f>IFERROR(VLOOKUP(Fix_Mapping[[#This Row],[KODE BARANG]],[1]!KINONF15[[KDBRG]:[HRG_JLMT_CTN+PPN]],5,0),0)</f>
        <v>0</v>
      </c>
      <c r="E585" t="s">
        <v>2230</v>
      </c>
      <c r="F585">
        <f>IFERROR(VLOOKUP(Fix_Mapping[[#This Row],[KODE BARANG]],[1]!KINONF15[[KDBRG]:[HRG_JLMT_CTN+PPN]],7,0),0)</f>
        <v>0</v>
      </c>
      <c r="G585">
        <f>IFERROR(VLOOKUP(Fix_Mapping[[#This Row],[KODE BARANG]],[1]!KINONF15[[KDBRG]:[HRG_JLMT_CTN+PPN]],8,0),0)</f>
        <v>0</v>
      </c>
      <c r="H585">
        <f>IFERROR(VLOOKUP(Fix_Mapping[[#This Row],[KODE BARANG]],[1]!KINONF15[[KDBRG]:[HRG_JLMT_CTN+PPN]],9,0),0)</f>
        <v>0</v>
      </c>
      <c r="I585">
        <f>IFERROR(VLOOKUP(Fix_Mapping[[#This Row],[KODE BARANG]],[1]!KINONF15[[KDBRG]:[HRG_JLMT_CTN+PPN]],10,0),0)</f>
        <v>0</v>
      </c>
      <c r="J585">
        <f>IFERROR(VLOOKUP(Fix_Mapping[[#This Row],[KODE BARANG]],[1]!KINONF15[[KDBRG]:[HRG_JLMT_CTN+PPN]],11,0),0)</f>
        <v>0</v>
      </c>
      <c r="K585">
        <f>IFERROR(VLOOKUP(Fix_Mapping[[#This Row],[KODE BARANG]],[1]!KINONF15[[KDBRG]:[HRG_JLMT_CTN+PPN]],12,0),0)</f>
        <v>0</v>
      </c>
      <c r="L585">
        <f>IFERROR(VLOOKUP(Fix_Mapping[[#This Row],[KODE BARANG]],[1]!KINONF15[[KDBRG]:[HRG_JLMT_CTN+PPN]],13,0),0)</f>
        <v>0</v>
      </c>
      <c r="M585">
        <f>IFERROR(VLOOKUP(Fix_Mapping[[#This Row],[KODE BARANG]],[1]!KINONF15[[KDBRG]:[HRG_JLMT_CTN+PPN]],14,0),0)</f>
        <v>0</v>
      </c>
      <c r="N585">
        <f>IFERROR(VLOOKUP(Fix_Mapping[[#This Row],[KODE BARANG]],[1]!KINONF15[[KDBRG]:[HRG_JLMT_CTN+PPN]],15,0),0)</f>
        <v>0</v>
      </c>
      <c r="O585">
        <f>IFERROR(VLOOKUP(Fix_Mapping[[#This Row],[KODE BARANG]],[1]!KINONF15[[KDBRG]:[HRG_JLMT_CTN+PPN]],16,0),0)</f>
        <v>0</v>
      </c>
      <c r="P585">
        <f>IFERROR(VLOOKUP(Fix_Mapping[[#This Row],[KODE BARANG]],[1]!KINONF15[[KDBRG]:[HRG_JLMT_CTN+PPN]],17,0),0)</f>
        <v>0</v>
      </c>
      <c r="Q585">
        <f>IFERROR(VLOOKUP(Fix_Mapping[[#This Row],[KODE BARANG]],[1]!KINONF15[[KDBRG]:[HRG_JLMT_CTN+PPN]],18,0),0)</f>
        <v>0</v>
      </c>
      <c r="R585" t="s">
        <v>2555</v>
      </c>
      <c r="S585" t="s">
        <v>407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2084</v>
      </c>
      <c r="B586" t="s">
        <v>2085</v>
      </c>
      <c r="C586">
        <v>24</v>
      </c>
      <c r="D586">
        <f>IFERROR(VLOOKUP(Fix_Mapping[[#This Row],[KODE BARANG]],[1]!KINONF15[[KDBRG]:[HRG_JLMT_CTN+PPN]],5,0),0)</f>
        <v>0</v>
      </c>
      <c r="E586" t="s">
        <v>2230</v>
      </c>
      <c r="F586">
        <f>IFERROR(VLOOKUP(Fix_Mapping[[#This Row],[KODE BARANG]],[1]!KINONF15[[KDBRG]:[HRG_JLMT_CTN+PPN]],7,0),0)</f>
        <v>0</v>
      </c>
      <c r="G586">
        <f>IFERROR(VLOOKUP(Fix_Mapping[[#This Row],[KODE BARANG]],[1]!KINONF15[[KDBRG]:[HRG_JLMT_CTN+PPN]],8,0),0)</f>
        <v>0</v>
      </c>
      <c r="H586">
        <f>IFERROR(VLOOKUP(Fix_Mapping[[#This Row],[KODE BARANG]],[1]!KINONF15[[KDBRG]:[HRG_JLMT_CTN+PPN]],9,0),0)</f>
        <v>0</v>
      </c>
      <c r="I586">
        <f>IFERROR(VLOOKUP(Fix_Mapping[[#This Row],[KODE BARANG]],[1]!KINONF15[[KDBRG]:[HRG_JLMT_CTN+PPN]],10,0),0)</f>
        <v>0</v>
      </c>
      <c r="J586">
        <f>IFERROR(VLOOKUP(Fix_Mapping[[#This Row],[KODE BARANG]],[1]!KINONF15[[KDBRG]:[HRG_JLMT_CTN+PPN]],11,0),0)</f>
        <v>0</v>
      </c>
      <c r="K586">
        <f>IFERROR(VLOOKUP(Fix_Mapping[[#This Row],[KODE BARANG]],[1]!KINONF15[[KDBRG]:[HRG_JLMT_CTN+PPN]],12,0),0)</f>
        <v>0</v>
      </c>
      <c r="L586">
        <f>IFERROR(VLOOKUP(Fix_Mapping[[#This Row],[KODE BARANG]],[1]!KINONF15[[KDBRG]:[HRG_JLMT_CTN+PPN]],13,0),0)</f>
        <v>0</v>
      </c>
      <c r="M586">
        <f>IFERROR(VLOOKUP(Fix_Mapping[[#This Row],[KODE BARANG]],[1]!KINONF15[[KDBRG]:[HRG_JLMT_CTN+PPN]],14,0),0)</f>
        <v>0</v>
      </c>
      <c r="N586">
        <f>IFERROR(VLOOKUP(Fix_Mapping[[#This Row],[KODE BARANG]],[1]!KINONF15[[KDBRG]:[HRG_JLMT_CTN+PPN]],15,0),0)</f>
        <v>0</v>
      </c>
      <c r="O586">
        <f>IFERROR(VLOOKUP(Fix_Mapping[[#This Row],[KODE BARANG]],[1]!KINONF15[[KDBRG]:[HRG_JLMT_CTN+PPN]],16,0),0)</f>
        <v>0</v>
      </c>
      <c r="P586">
        <f>IFERROR(VLOOKUP(Fix_Mapping[[#This Row],[KODE BARANG]],[1]!KINONF15[[KDBRG]:[HRG_JLMT_CTN+PPN]],17,0),0)</f>
        <v>0</v>
      </c>
      <c r="Q586">
        <f>IFERROR(VLOOKUP(Fix_Mapping[[#This Row],[KODE BARANG]],[1]!KINONF15[[KDBRG]:[HRG_JLMT_CTN+PPN]],18,0),0)</f>
        <v>0</v>
      </c>
      <c r="R586" t="s">
        <v>2555</v>
      </c>
      <c r="S586" t="s">
        <v>408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2086</v>
      </c>
      <c r="B587" t="s">
        <v>2087</v>
      </c>
      <c r="C587">
        <v>24</v>
      </c>
      <c r="D587">
        <f>IFERROR(VLOOKUP(Fix_Mapping[[#This Row],[KODE BARANG]],[1]!KINONF15[[KDBRG]:[HRG_JLMT_CTN+PPN]],5,0),0)</f>
        <v>0</v>
      </c>
      <c r="E587" t="s">
        <v>2230</v>
      </c>
      <c r="F587">
        <f>IFERROR(VLOOKUP(Fix_Mapping[[#This Row],[KODE BARANG]],[1]!KINONF15[[KDBRG]:[HRG_JLMT_CTN+PPN]],7,0),0)</f>
        <v>0</v>
      </c>
      <c r="G587">
        <f>IFERROR(VLOOKUP(Fix_Mapping[[#This Row],[KODE BARANG]],[1]!KINONF15[[KDBRG]:[HRG_JLMT_CTN+PPN]],8,0),0)</f>
        <v>0</v>
      </c>
      <c r="H587">
        <f>IFERROR(VLOOKUP(Fix_Mapping[[#This Row],[KODE BARANG]],[1]!KINONF15[[KDBRG]:[HRG_JLMT_CTN+PPN]],9,0),0)</f>
        <v>0</v>
      </c>
      <c r="I587">
        <f>IFERROR(VLOOKUP(Fix_Mapping[[#This Row],[KODE BARANG]],[1]!KINONF15[[KDBRG]:[HRG_JLMT_CTN+PPN]],10,0),0)</f>
        <v>0</v>
      </c>
      <c r="J587">
        <f>IFERROR(VLOOKUP(Fix_Mapping[[#This Row],[KODE BARANG]],[1]!KINONF15[[KDBRG]:[HRG_JLMT_CTN+PPN]],11,0),0)</f>
        <v>0</v>
      </c>
      <c r="K587">
        <f>IFERROR(VLOOKUP(Fix_Mapping[[#This Row],[KODE BARANG]],[1]!KINONF15[[KDBRG]:[HRG_JLMT_CTN+PPN]],12,0),0)</f>
        <v>0</v>
      </c>
      <c r="L587">
        <f>IFERROR(VLOOKUP(Fix_Mapping[[#This Row],[KODE BARANG]],[1]!KINONF15[[KDBRG]:[HRG_JLMT_CTN+PPN]],13,0),0)</f>
        <v>0</v>
      </c>
      <c r="M587">
        <f>IFERROR(VLOOKUP(Fix_Mapping[[#This Row],[KODE BARANG]],[1]!KINONF15[[KDBRG]:[HRG_JLMT_CTN+PPN]],14,0),0)</f>
        <v>0</v>
      </c>
      <c r="N587">
        <f>IFERROR(VLOOKUP(Fix_Mapping[[#This Row],[KODE BARANG]],[1]!KINONF15[[KDBRG]:[HRG_JLMT_CTN+PPN]],15,0),0)</f>
        <v>0</v>
      </c>
      <c r="O587">
        <f>IFERROR(VLOOKUP(Fix_Mapping[[#This Row],[KODE BARANG]],[1]!KINONF15[[KDBRG]:[HRG_JLMT_CTN+PPN]],16,0),0)</f>
        <v>0</v>
      </c>
      <c r="P587">
        <f>IFERROR(VLOOKUP(Fix_Mapping[[#This Row],[KODE BARANG]],[1]!KINONF15[[KDBRG]:[HRG_JLMT_CTN+PPN]],17,0),0)</f>
        <v>0</v>
      </c>
      <c r="Q587">
        <f>IFERROR(VLOOKUP(Fix_Mapping[[#This Row],[KODE BARANG]],[1]!KINONF15[[KDBRG]:[HRG_JLMT_CTN+PPN]],18,0),0)</f>
        <v>0</v>
      </c>
      <c r="R587" t="s">
        <v>2555</v>
      </c>
      <c r="S587" t="s">
        <v>406</v>
      </c>
      <c r="T587">
        <v>0</v>
      </c>
      <c r="U587">
        <v>0</v>
      </c>
      <c r="V587">
        <v>0</v>
      </c>
      <c r="W587">
        <v>0</v>
      </c>
    </row>
    <row r="588" spans="1:23">
      <c r="A588" t="s">
        <v>2088</v>
      </c>
      <c r="B588" t="s">
        <v>2089</v>
      </c>
      <c r="C588">
        <v>12</v>
      </c>
      <c r="D588">
        <f>IFERROR(VLOOKUP(Fix_Mapping[[#This Row],[KODE BARANG]],[1]!KINONF15[[KDBRG]:[HRG_JLMT_CTN+PPN]],5,0),0)</f>
        <v>0</v>
      </c>
      <c r="E588" t="s">
        <v>2230</v>
      </c>
      <c r="F588">
        <f>IFERROR(VLOOKUP(Fix_Mapping[[#This Row],[KODE BARANG]],[1]!KINONF15[[KDBRG]:[HRG_JLMT_CTN+PPN]],7,0),0)</f>
        <v>0</v>
      </c>
      <c r="G588">
        <f>IFERROR(VLOOKUP(Fix_Mapping[[#This Row],[KODE BARANG]],[1]!KINONF15[[KDBRG]:[HRG_JLMT_CTN+PPN]],8,0),0)</f>
        <v>0</v>
      </c>
      <c r="H588">
        <f>IFERROR(VLOOKUP(Fix_Mapping[[#This Row],[KODE BARANG]],[1]!KINONF15[[KDBRG]:[HRG_JLMT_CTN+PPN]],9,0),0)</f>
        <v>0</v>
      </c>
      <c r="I588">
        <f>IFERROR(VLOOKUP(Fix_Mapping[[#This Row],[KODE BARANG]],[1]!KINONF15[[KDBRG]:[HRG_JLMT_CTN+PPN]],10,0),0)</f>
        <v>0</v>
      </c>
      <c r="J588">
        <f>IFERROR(VLOOKUP(Fix_Mapping[[#This Row],[KODE BARANG]],[1]!KINONF15[[KDBRG]:[HRG_JLMT_CTN+PPN]],11,0),0)</f>
        <v>0</v>
      </c>
      <c r="K588">
        <f>IFERROR(VLOOKUP(Fix_Mapping[[#This Row],[KODE BARANG]],[1]!KINONF15[[KDBRG]:[HRG_JLMT_CTN+PPN]],12,0),0)</f>
        <v>0</v>
      </c>
      <c r="L588">
        <f>IFERROR(VLOOKUP(Fix_Mapping[[#This Row],[KODE BARANG]],[1]!KINONF15[[KDBRG]:[HRG_JLMT_CTN+PPN]],13,0),0)</f>
        <v>0</v>
      </c>
      <c r="M588">
        <f>IFERROR(VLOOKUP(Fix_Mapping[[#This Row],[KODE BARANG]],[1]!KINONF15[[KDBRG]:[HRG_JLMT_CTN+PPN]],14,0),0)</f>
        <v>0</v>
      </c>
      <c r="N588">
        <f>IFERROR(VLOOKUP(Fix_Mapping[[#This Row],[KODE BARANG]],[1]!KINONF15[[KDBRG]:[HRG_JLMT_CTN+PPN]],15,0),0)</f>
        <v>0</v>
      </c>
      <c r="O588">
        <f>IFERROR(VLOOKUP(Fix_Mapping[[#This Row],[KODE BARANG]],[1]!KINONF15[[KDBRG]:[HRG_JLMT_CTN+PPN]],16,0),0)</f>
        <v>0</v>
      </c>
      <c r="P588">
        <f>IFERROR(VLOOKUP(Fix_Mapping[[#This Row],[KODE BARANG]],[1]!KINONF15[[KDBRG]:[HRG_JLMT_CTN+PPN]],17,0),0)</f>
        <v>0</v>
      </c>
      <c r="Q588">
        <f>IFERROR(VLOOKUP(Fix_Mapping[[#This Row],[KODE BARANG]],[1]!KINONF15[[KDBRG]:[HRG_JLMT_CTN+PPN]],18,0),0)</f>
        <v>0</v>
      </c>
      <c r="R588" t="s">
        <v>2555</v>
      </c>
      <c r="S588" t="s">
        <v>402</v>
      </c>
      <c r="T588">
        <v>0</v>
      </c>
      <c r="U588">
        <v>0</v>
      </c>
      <c r="V588">
        <v>0</v>
      </c>
      <c r="W588">
        <v>0</v>
      </c>
    </row>
    <row r="589" spans="1:23">
      <c r="A589" t="s">
        <v>2090</v>
      </c>
      <c r="B589" t="s">
        <v>2091</v>
      </c>
      <c r="C589">
        <v>24</v>
      </c>
      <c r="D589">
        <f>IFERROR(VLOOKUP(Fix_Mapping[[#This Row],[KODE BARANG]],[1]!KINONF15[[KDBRG]:[HRG_JLMT_CTN+PPN]],5,0),0)</f>
        <v>0</v>
      </c>
      <c r="E589" t="s">
        <v>2230</v>
      </c>
      <c r="F589">
        <f>IFERROR(VLOOKUP(Fix_Mapping[[#This Row],[KODE BARANG]],[1]!KINONF15[[KDBRG]:[HRG_JLMT_CTN+PPN]],7,0),0)</f>
        <v>0</v>
      </c>
      <c r="G589">
        <f>IFERROR(VLOOKUP(Fix_Mapping[[#This Row],[KODE BARANG]],[1]!KINONF15[[KDBRG]:[HRG_JLMT_CTN+PPN]],8,0),0)</f>
        <v>0</v>
      </c>
      <c r="H589">
        <f>IFERROR(VLOOKUP(Fix_Mapping[[#This Row],[KODE BARANG]],[1]!KINONF15[[KDBRG]:[HRG_JLMT_CTN+PPN]],9,0),0)</f>
        <v>0</v>
      </c>
      <c r="I589">
        <f>IFERROR(VLOOKUP(Fix_Mapping[[#This Row],[KODE BARANG]],[1]!KINONF15[[KDBRG]:[HRG_JLMT_CTN+PPN]],10,0),0)</f>
        <v>0</v>
      </c>
      <c r="J589">
        <f>IFERROR(VLOOKUP(Fix_Mapping[[#This Row],[KODE BARANG]],[1]!KINONF15[[KDBRG]:[HRG_JLMT_CTN+PPN]],11,0),0)</f>
        <v>0</v>
      </c>
      <c r="K589">
        <f>IFERROR(VLOOKUP(Fix_Mapping[[#This Row],[KODE BARANG]],[1]!KINONF15[[KDBRG]:[HRG_JLMT_CTN+PPN]],12,0),0)</f>
        <v>0</v>
      </c>
      <c r="L589">
        <f>IFERROR(VLOOKUP(Fix_Mapping[[#This Row],[KODE BARANG]],[1]!KINONF15[[KDBRG]:[HRG_JLMT_CTN+PPN]],13,0),0)</f>
        <v>0</v>
      </c>
      <c r="M589">
        <f>IFERROR(VLOOKUP(Fix_Mapping[[#This Row],[KODE BARANG]],[1]!KINONF15[[KDBRG]:[HRG_JLMT_CTN+PPN]],14,0),0)</f>
        <v>0</v>
      </c>
      <c r="N589">
        <f>IFERROR(VLOOKUP(Fix_Mapping[[#This Row],[KODE BARANG]],[1]!KINONF15[[KDBRG]:[HRG_JLMT_CTN+PPN]],15,0),0)</f>
        <v>0</v>
      </c>
      <c r="O589">
        <f>IFERROR(VLOOKUP(Fix_Mapping[[#This Row],[KODE BARANG]],[1]!KINONF15[[KDBRG]:[HRG_JLMT_CTN+PPN]],16,0),0)</f>
        <v>0</v>
      </c>
      <c r="P589">
        <f>IFERROR(VLOOKUP(Fix_Mapping[[#This Row],[KODE BARANG]],[1]!KINONF15[[KDBRG]:[HRG_JLMT_CTN+PPN]],17,0),0)</f>
        <v>0</v>
      </c>
      <c r="Q589">
        <f>IFERROR(VLOOKUP(Fix_Mapping[[#This Row],[KODE BARANG]],[1]!KINONF15[[KDBRG]:[HRG_JLMT_CTN+PPN]],18,0),0)</f>
        <v>0</v>
      </c>
      <c r="R589" t="s">
        <v>2555</v>
      </c>
      <c r="S589" t="s">
        <v>400</v>
      </c>
      <c r="T589">
        <v>0</v>
      </c>
      <c r="U589">
        <v>0</v>
      </c>
      <c r="V589">
        <v>0</v>
      </c>
      <c r="W589">
        <v>0</v>
      </c>
    </row>
    <row r="590" spans="1:23">
      <c r="A590" t="s">
        <v>2092</v>
      </c>
      <c r="B590" t="s">
        <v>2093</v>
      </c>
      <c r="C590">
        <v>24</v>
      </c>
      <c r="D590">
        <f>IFERROR(VLOOKUP(Fix_Mapping[[#This Row],[KODE BARANG]],[1]!KINONF15[[KDBRG]:[HRG_JLMT_CTN+PPN]],5,0),0)</f>
        <v>0</v>
      </c>
      <c r="E590" t="s">
        <v>2230</v>
      </c>
      <c r="F590">
        <f>IFERROR(VLOOKUP(Fix_Mapping[[#This Row],[KODE BARANG]],[1]!KINONF15[[KDBRG]:[HRG_JLMT_CTN+PPN]],7,0),0)</f>
        <v>0</v>
      </c>
      <c r="G590">
        <f>IFERROR(VLOOKUP(Fix_Mapping[[#This Row],[KODE BARANG]],[1]!KINONF15[[KDBRG]:[HRG_JLMT_CTN+PPN]],8,0),0)</f>
        <v>0</v>
      </c>
      <c r="H590">
        <f>IFERROR(VLOOKUP(Fix_Mapping[[#This Row],[KODE BARANG]],[1]!KINONF15[[KDBRG]:[HRG_JLMT_CTN+PPN]],9,0),0)</f>
        <v>0</v>
      </c>
      <c r="I590">
        <f>IFERROR(VLOOKUP(Fix_Mapping[[#This Row],[KODE BARANG]],[1]!KINONF15[[KDBRG]:[HRG_JLMT_CTN+PPN]],10,0),0)</f>
        <v>0</v>
      </c>
      <c r="J590">
        <f>IFERROR(VLOOKUP(Fix_Mapping[[#This Row],[KODE BARANG]],[1]!KINONF15[[KDBRG]:[HRG_JLMT_CTN+PPN]],11,0),0)</f>
        <v>0</v>
      </c>
      <c r="K590">
        <f>IFERROR(VLOOKUP(Fix_Mapping[[#This Row],[KODE BARANG]],[1]!KINONF15[[KDBRG]:[HRG_JLMT_CTN+PPN]],12,0),0)</f>
        <v>0</v>
      </c>
      <c r="L590">
        <f>IFERROR(VLOOKUP(Fix_Mapping[[#This Row],[KODE BARANG]],[1]!KINONF15[[KDBRG]:[HRG_JLMT_CTN+PPN]],13,0),0)</f>
        <v>0</v>
      </c>
      <c r="M590">
        <f>IFERROR(VLOOKUP(Fix_Mapping[[#This Row],[KODE BARANG]],[1]!KINONF15[[KDBRG]:[HRG_JLMT_CTN+PPN]],14,0),0)</f>
        <v>0</v>
      </c>
      <c r="N590">
        <f>IFERROR(VLOOKUP(Fix_Mapping[[#This Row],[KODE BARANG]],[1]!KINONF15[[KDBRG]:[HRG_JLMT_CTN+PPN]],15,0),0)</f>
        <v>0</v>
      </c>
      <c r="O590">
        <f>IFERROR(VLOOKUP(Fix_Mapping[[#This Row],[KODE BARANG]],[1]!KINONF15[[KDBRG]:[HRG_JLMT_CTN+PPN]],16,0),0)</f>
        <v>0</v>
      </c>
      <c r="P590">
        <f>IFERROR(VLOOKUP(Fix_Mapping[[#This Row],[KODE BARANG]],[1]!KINONF15[[KDBRG]:[HRG_JLMT_CTN+PPN]],17,0),0)</f>
        <v>0</v>
      </c>
      <c r="Q590">
        <f>IFERROR(VLOOKUP(Fix_Mapping[[#This Row],[KODE BARANG]],[1]!KINONF15[[KDBRG]:[HRG_JLMT_CTN+PPN]],18,0),0)</f>
        <v>0</v>
      </c>
      <c r="R590" t="s">
        <v>2555</v>
      </c>
      <c r="S590" t="s">
        <v>401</v>
      </c>
      <c r="T590">
        <v>0</v>
      </c>
      <c r="U590">
        <v>0</v>
      </c>
      <c r="V590">
        <v>0</v>
      </c>
      <c r="W590">
        <v>0</v>
      </c>
    </row>
    <row r="591" spans="1:23">
      <c r="A591" t="s">
        <v>2094</v>
      </c>
      <c r="B591" t="s">
        <v>2095</v>
      </c>
      <c r="C591">
        <v>24</v>
      </c>
      <c r="D591">
        <f>IFERROR(VLOOKUP(Fix_Mapping[[#This Row],[KODE BARANG]],[1]!KINONF15[[KDBRG]:[HRG_JLMT_CTN+PPN]],5,0),0)</f>
        <v>0</v>
      </c>
      <c r="E591" t="s">
        <v>2230</v>
      </c>
      <c r="F591">
        <f>IFERROR(VLOOKUP(Fix_Mapping[[#This Row],[KODE BARANG]],[1]!KINONF15[[KDBRG]:[HRG_JLMT_CTN+PPN]],7,0),0)</f>
        <v>0</v>
      </c>
      <c r="G591">
        <f>IFERROR(VLOOKUP(Fix_Mapping[[#This Row],[KODE BARANG]],[1]!KINONF15[[KDBRG]:[HRG_JLMT_CTN+PPN]],8,0),0)</f>
        <v>0</v>
      </c>
      <c r="H591">
        <f>IFERROR(VLOOKUP(Fix_Mapping[[#This Row],[KODE BARANG]],[1]!KINONF15[[KDBRG]:[HRG_JLMT_CTN+PPN]],9,0),0)</f>
        <v>0</v>
      </c>
      <c r="I591">
        <f>IFERROR(VLOOKUP(Fix_Mapping[[#This Row],[KODE BARANG]],[1]!KINONF15[[KDBRG]:[HRG_JLMT_CTN+PPN]],10,0),0)</f>
        <v>0</v>
      </c>
      <c r="J591">
        <f>IFERROR(VLOOKUP(Fix_Mapping[[#This Row],[KODE BARANG]],[1]!KINONF15[[KDBRG]:[HRG_JLMT_CTN+PPN]],11,0),0)</f>
        <v>0</v>
      </c>
      <c r="K591">
        <f>IFERROR(VLOOKUP(Fix_Mapping[[#This Row],[KODE BARANG]],[1]!KINONF15[[KDBRG]:[HRG_JLMT_CTN+PPN]],12,0),0)</f>
        <v>0</v>
      </c>
      <c r="L591">
        <f>IFERROR(VLOOKUP(Fix_Mapping[[#This Row],[KODE BARANG]],[1]!KINONF15[[KDBRG]:[HRG_JLMT_CTN+PPN]],13,0),0)</f>
        <v>0</v>
      </c>
      <c r="M591">
        <f>IFERROR(VLOOKUP(Fix_Mapping[[#This Row],[KODE BARANG]],[1]!KINONF15[[KDBRG]:[HRG_JLMT_CTN+PPN]],14,0),0)</f>
        <v>0</v>
      </c>
      <c r="N591">
        <f>IFERROR(VLOOKUP(Fix_Mapping[[#This Row],[KODE BARANG]],[1]!KINONF15[[KDBRG]:[HRG_JLMT_CTN+PPN]],15,0),0)</f>
        <v>0</v>
      </c>
      <c r="O591">
        <f>IFERROR(VLOOKUP(Fix_Mapping[[#This Row],[KODE BARANG]],[1]!KINONF15[[KDBRG]:[HRG_JLMT_CTN+PPN]],16,0),0)</f>
        <v>0</v>
      </c>
      <c r="P591">
        <f>IFERROR(VLOOKUP(Fix_Mapping[[#This Row],[KODE BARANG]],[1]!KINONF15[[KDBRG]:[HRG_JLMT_CTN+PPN]],17,0),0)</f>
        <v>0</v>
      </c>
      <c r="Q591">
        <f>IFERROR(VLOOKUP(Fix_Mapping[[#This Row],[KODE BARANG]],[1]!KINONF15[[KDBRG]:[HRG_JLMT_CTN+PPN]],18,0),0)</f>
        <v>0</v>
      </c>
      <c r="R591" t="s">
        <v>2555</v>
      </c>
      <c r="S591" t="s">
        <v>399</v>
      </c>
      <c r="T591">
        <v>0</v>
      </c>
      <c r="U591">
        <v>0</v>
      </c>
      <c r="V591">
        <v>0</v>
      </c>
      <c r="W591">
        <v>0</v>
      </c>
    </row>
    <row r="592" spans="1:23">
      <c r="A592" t="s">
        <v>2096</v>
      </c>
      <c r="B592" t="s">
        <v>2097</v>
      </c>
      <c r="C592">
        <v>24</v>
      </c>
      <c r="D592">
        <f>IFERROR(VLOOKUP(Fix_Mapping[[#This Row],[KODE BARANG]],[1]!KINONF15[[KDBRG]:[HRG_JLMT_CTN+PPN]],5,0),0)</f>
        <v>0</v>
      </c>
      <c r="E592" t="s">
        <v>2230</v>
      </c>
      <c r="F592">
        <f>IFERROR(VLOOKUP(Fix_Mapping[[#This Row],[KODE BARANG]],[1]!KINONF15[[KDBRG]:[HRG_JLMT_CTN+PPN]],7,0),0)</f>
        <v>0</v>
      </c>
      <c r="G592">
        <f>IFERROR(VLOOKUP(Fix_Mapping[[#This Row],[KODE BARANG]],[1]!KINONF15[[KDBRG]:[HRG_JLMT_CTN+PPN]],8,0),0)</f>
        <v>0</v>
      </c>
      <c r="H592">
        <f>IFERROR(VLOOKUP(Fix_Mapping[[#This Row],[KODE BARANG]],[1]!KINONF15[[KDBRG]:[HRG_JLMT_CTN+PPN]],9,0),0)</f>
        <v>0</v>
      </c>
      <c r="I592">
        <f>IFERROR(VLOOKUP(Fix_Mapping[[#This Row],[KODE BARANG]],[1]!KINONF15[[KDBRG]:[HRG_JLMT_CTN+PPN]],10,0),0)</f>
        <v>0</v>
      </c>
      <c r="J592">
        <f>IFERROR(VLOOKUP(Fix_Mapping[[#This Row],[KODE BARANG]],[1]!KINONF15[[KDBRG]:[HRG_JLMT_CTN+PPN]],11,0),0)</f>
        <v>0</v>
      </c>
      <c r="K592">
        <f>IFERROR(VLOOKUP(Fix_Mapping[[#This Row],[KODE BARANG]],[1]!KINONF15[[KDBRG]:[HRG_JLMT_CTN+PPN]],12,0),0)</f>
        <v>0</v>
      </c>
      <c r="L592">
        <f>IFERROR(VLOOKUP(Fix_Mapping[[#This Row],[KODE BARANG]],[1]!KINONF15[[KDBRG]:[HRG_JLMT_CTN+PPN]],13,0),0)</f>
        <v>0</v>
      </c>
      <c r="M592">
        <f>IFERROR(VLOOKUP(Fix_Mapping[[#This Row],[KODE BARANG]],[1]!KINONF15[[KDBRG]:[HRG_JLMT_CTN+PPN]],14,0),0)</f>
        <v>0</v>
      </c>
      <c r="N592">
        <f>IFERROR(VLOOKUP(Fix_Mapping[[#This Row],[KODE BARANG]],[1]!KINONF15[[KDBRG]:[HRG_JLMT_CTN+PPN]],15,0),0)</f>
        <v>0</v>
      </c>
      <c r="O592">
        <f>IFERROR(VLOOKUP(Fix_Mapping[[#This Row],[KODE BARANG]],[1]!KINONF15[[KDBRG]:[HRG_JLMT_CTN+PPN]],16,0),0)</f>
        <v>0</v>
      </c>
      <c r="P592">
        <f>IFERROR(VLOOKUP(Fix_Mapping[[#This Row],[KODE BARANG]],[1]!KINONF15[[KDBRG]:[HRG_JLMT_CTN+PPN]],17,0),0)</f>
        <v>0</v>
      </c>
      <c r="Q592">
        <f>IFERROR(VLOOKUP(Fix_Mapping[[#This Row],[KODE BARANG]],[1]!KINONF15[[KDBRG]:[HRG_JLMT_CTN+PPN]],18,0),0)</f>
        <v>0</v>
      </c>
      <c r="R592" t="s">
        <v>2555</v>
      </c>
      <c r="S592" t="s">
        <v>410</v>
      </c>
      <c r="T592">
        <v>0</v>
      </c>
      <c r="U592">
        <v>0</v>
      </c>
      <c r="V592">
        <v>0</v>
      </c>
      <c r="W592">
        <v>0</v>
      </c>
    </row>
    <row r="593" spans="1:23">
      <c r="A593" t="s">
        <v>2098</v>
      </c>
      <c r="B593" t="s">
        <v>2099</v>
      </c>
      <c r="C593">
        <v>24</v>
      </c>
      <c r="D593">
        <f>IFERROR(VLOOKUP(Fix_Mapping[[#This Row],[KODE BARANG]],[1]!KINONF15[[KDBRG]:[HRG_JLMT_CTN+PPN]],5,0),0)</f>
        <v>0</v>
      </c>
      <c r="E593" t="s">
        <v>2230</v>
      </c>
      <c r="F593">
        <f>IFERROR(VLOOKUP(Fix_Mapping[[#This Row],[KODE BARANG]],[1]!KINONF15[[KDBRG]:[HRG_JLMT_CTN+PPN]],7,0),0)</f>
        <v>0</v>
      </c>
      <c r="G593">
        <f>IFERROR(VLOOKUP(Fix_Mapping[[#This Row],[KODE BARANG]],[1]!KINONF15[[KDBRG]:[HRG_JLMT_CTN+PPN]],8,0),0)</f>
        <v>0</v>
      </c>
      <c r="H593">
        <f>IFERROR(VLOOKUP(Fix_Mapping[[#This Row],[KODE BARANG]],[1]!KINONF15[[KDBRG]:[HRG_JLMT_CTN+PPN]],9,0),0)</f>
        <v>0</v>
      </c>
      <c r="I593">
        <f>IFERROR(VLOOKUP(Fix_Mapping[[#This Row],[KODE BARANG]],[1]!KINONF15[[KDBRG]:[HRG_JLMT_CTN+PPN]],10,0),0)</f>
        <v>0</v>
      </c>
      <c r="J593">
        <f>IFERROR(VLOOKUP(Fix_Mapping[[#This Row],[KODE BARANG]],[1]!KINONF15[[KDBRG]:[HRG_JLMT_CTN+PPN]],11,0),0)</f>
        <v>0</v>
      </c>
      <c r="K593">
        <f>IFERROR(VLOOKUP(Fix_Mapping[[#This Row],[KODE BARANG]],[1]!KINONF15[[KDBRG]:[HRG_JLMT_CTN+PPN]],12,0),0)</f>
        <v>0</v>
      </c>
      <c r="L593">
        <f>IFERROR(VLOOKUP(Fix_Mapping[[#This Row],[KODE BARANG]],[1]!KINONF15[[KDBRG]:[HRG_JLMT_CTN+PPN]],13,0),0)</f>
        <v>0</v>
      </c>
      <c r="M593">
        <f>IFERROR(VLOOKUP(Fix_Mapping[[#This Row],[KODE BARANG]],[1]!KINONF15[[KDBRG]:[HRG_JLMT_CTN+PPN]],14,0),0)</f>
        <v>0</v>
      </c>
      <c r="N593">
        <f>IFERROR(VLOOKUP(Fix_Mapping[[#This Row],[KODE BARANG]],[1]!KINONF15[[KDBRG]:[HRG_JLMT_CTN+PPN]],15,0),0)</f>
        <v>0</v>
      </c>
      <c r="O593">
        <f>IFERROR(VLOOKUP(Fix_Mapping[[#This Row],[KODE BARANG]],[1]!KINONF15[[KDBRG]:[HRG_JLMT_CTN+PPN]],16,0),0)</f>
        <v>0</v>
      </c>
      <c r="P593">
        <f>IFERROR(VLOOKUP(Fix_Mapping[[#This Row],[KODE BARANG]],[1]!KINONF15[[KDBRG]:[HRG_JLMT_CTN+PPN]],17,0),0)</f>
        <v>0</v>
      </c>
      <c r="Q593">
        <f>IFERROR(VLOOKUP(Fix_Mapping[[#This Row],[KODE BARANG]],[1]!KINONF15[[KDBRG]:[HRG_JLMT_CTN+PPN]],18,0),0)</f>
        <v>0</v>
      </c>
      <c r="R593" t="s">
        <v>2555</v>
      </c>
      <c r="S593" t="s">
        <v>411</v>
      </c>
      <c r="T593">
        <v>0</v>
      </c>
      <c r="U593">
        <v>0</v>
      </c>
      <c r="V593">
        <v>0</v>
      </c>
      <c r="W593">
        <v>0</v>
      </c>
    </row>
    <row r="594" spans="1:23">
      <c r="A594" t="s">
        <v>2100</v>
      </c>
      <c r="B594" t="s">
        <v>2101</v>
      </c>
      <c r="C594">
        <v>24</v>
      </c>
      <c r="D594">
        <f>IFERROR(VLOOKUP(Fix_Mapping[[#This Row],[KODE BARANG]],[1]!KINONF15[[KDBRG]:[HRG_JLMT_CTN+PPN]],5,0),0)</f>
        <v>0</v>
      </c>
      <c r="E594" t="s">
        <v>2230</v>
      </c>
      <c r="F594">
        <f>IFERROR(VLOOKUP(Fix_Mapping[[#This Row],[KODE BARANG]],[1]!KINONF15[[KDBRG]:[HRG_JLMT_CTN+PPN]],7,0),0)</f>
        <v>0</v>
      </c>
      <c r="G594">
        <f>IFERROR(VLOOKUP(Fix_Mapping[[#This Row],[KODE BARANG]],[1]!KINONF15[[KDBRG]:[HRG_JLMT_CTN+PPN]],8,0),0)</f>
        <v>0</v>
      </c>
      <c r="H594">
        <f>IFERROR(VLOOKUP(Fix_Mapping[[#This Row],[KODE BARANG]],[1]!KINONF15[[KDBRG]:[HRG_JLMT_CTN+PPN]],9,0),0)</f>
        <v>0</v>
      </c>
      <c r="I594">
        <f>IFERROR(VLOOKUP(Fix_Mapping[[#This Row],[KODE BARANG]],[1]!KINONF15[[KDBRG]:[HRG_JLMT_CTN+PPN]],10,0),0)</f>
        <v>0</v>
      </c>
      <c r="J594">
        <f>IFERROR(VLOOKUP(Fix_Mapping[[#This Row],[KODE BARANG]],[1]!KINONF15[[KDBRG]:[HRG_JLMT_CTN+PPN]],11,0),0)</f>
        <v>0</v>
      </c>
      <c r="K594">
        <f>IFERROR(VLOOKUP(Fix_Mapping[[#This Row],[KODE BARANG]],[1]!KINONF15[[KDBRG]:[HRG_JLMT_CTN+PPN]],12,0),0)</f>
        <v>0</v>
      </c>
      <c r="L594">
        <f>IFERROR(VLOOKUP(Fix_Mapping[[#This Row],[KODE BARANG]],[1]!KINONF15[[KDBRG]:[HRG_JLMT_CTN+PPN]],13,0),0)</f>
        <v>0</v>
      </c>
      <c r="M594">
        <f>IFERROR(VLOOKUP(Fix_Mapping[[#This Row],[KODE BARANG]],[1]!KINONF15[[KDBRG]:[HRG_JLMT_CTN+PPN]],14,0),0)</f>
        <v>0</v>
      </c>
      <c r="N594">
        <f>IFERROR(VLOOKUP(Fix_Mapping[[#This Row],[KODE BARANG]],[1]!KINONF15[[KDBRG]:[HRG_JLMT_CTN+PPN]],15,0),0)</f>
        <v>0</v>
      </c>
      <c r="O594">
        <f>IFERROR(VLOOKUP(Fix_Mapping[[#This Row],[KODE BARANG]],[1]!KINONF15[[KDBRG]:[HRG_JLMT_CTN+PPN]],16,0),0)</f>
        <v>0</v>
      </c>
      <c r="P594">
        <f>IFERROR(VLOOKUP(Fix_Mapping[[#This Row],[KODE BARANG]],[1]!KINONF15[[KDBRG]:[HRG_JLMT_CTN+PPN]],17,0),0)</f>
        <v>0</v>
      </c>
      <c r="Q594">
        <f>IFERROR(VLOOKUP(Fix_Mapping[[#This Row],[KODE BARANG]],[1]!KINONF15[[KDBRG]:[HRG_JLMT_CTN+PPN]],18,0),0)</f>
        <v>0</v>
      </c>
      <c r="R594" t="s">
        <v>2555</v>
      </c>
      <c r="S594" t="s">
        <v>409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2102</v>
      </c>
      <c r="B595" t="s">
        <v>2103</v>
      </c>
      <c r="C595">
        <v>24</v>
      </c>
      <c r="D595">
        <f>IFERROR(VLOOKUP(Fix_Mapping[[#This Row],[KODE BARANG]],[1]!KINONF15[[KDBRG]:[HRG_JLMT_CTN+PPN]],5,0),0)</f>
        <v>0</v>
      </c>
      <c r="E595" t="s">
        <v>2230</v>
      </c>
      <c r="F595">
        <f>IFERROR(VLOOKUP(Fix_Mapping[[#This Row],[KODE BARANG]],[1]!KINONF15[[KDBRG]:[HRG_JLMT_CTN+PPN]],7,0),0)</f>
        <v>0</v>
      </c>
      <c r="G595">
        <f>IFERROR(VLOOKUP(Fix_Mapping[[#This Row],[KODE BARANG]],[1]!KINONF15[[KDBRG]:[HRG_JLMT_CTN+PPN]],8,0),0)</f>
        <v>0</v>
      </c>
      <c r="H595">
        <f>IFERROR(VLOOKUP(Fix_Mapping[[#This Row],[KODE BARANG]],[1]!KINONF15[[KDBRG]:[HRG_JLMT_CTN+PPN]],9,0),0)</f>
        <v>0</v>
      </c>
      <c r="I595">
        <f>IFERROR(VLOOKUP(Fix_Mapping[[#This Row],[KODE BARANG]],[1]!KINONF15[[KDBRG]:[HRG_JLMT_CTN+PPN]],10,0),0)</f>
        <v>0</v>
      </c>
      <c r="J595">
        <f>IFERROR(VLOOKUP(Fix_Mapping[[#This Row],[KODE BARANG]],[1]!KINONF15[[KDBRG]:[HRG_JLMT_CTN+PPN]],11,0),0)</f>
        <v>0</v>
      </c>
      <c r="K595">
        <f>IFERROR(VLOOKUP(Fix_Mapping[[#This Row],[KODE BARANG]],[1]!KINONF15[[KDBRG]:[HRG_JLMT_CTN+PPN]],12,0),0)</f>
        <v>0</v>
      </c>
      <c r="L595">
        <f>IFERROR(VLOOKUP(Fix_Mapping[[#This Row],[KODE BARANG]],[1]!KINONF15[[KDBRG]:[HRG_JLMT_CTN+PPN]],13,0),0)</f>
        <v>0</v>
      </c>
      <c r="M595">
        <f>IFERROR(VLOOKUP(Fix_Mapping[[#This Row],[KODE BARANG]],[1]!KINONF15[[KDBRG]:[HRG_JLMT_CTN+PPN]],14,0),0)</f>
        <v>0</v>
      </c>
      <c r="N595">
        <f>IFERROR(VLOOKUP(Fix_Mapping[[#This Row],[KODE BARANG]],[1]!KINONF15[[KDBRG]:[HRG_JLMT_CTN+PPN]],15,0),0)</f>
        <v>0</v>
      </c>
      <c r="O595">
        <f>IFERROR(VLOOKUP(Fix_Mapping[[#This Row],[KODE BARANG]],[1]!KINONF15[[KDBRG]:[HRG_JLMT_CTN+PPN]],16,0),0)</f>
        <v>0</v>
      </c>
      <c r="P595">
        <f>IFERROR(VLOOKUP(Fix_Mapping[[#This Row],[KODE BARANG]],[1]!KINONF15[[KDBRG]:[HRG_JLMT_CTN+PPN]],17,0),0)</f>
        <v>0</v>
      </c>
      <c r="Q595">
        <f>IFERROR(VLOOKUP(Fix_Mapping[[#This Row],[KODE BARANG]],[1]!KINONF15[[KDBRG]:[HRG_JLMT_CTN+PPN]],18,0),0)</f>
        <v>0</v>
      </c>
      <c r="R595" t="s">
        <v>2555</v>
      </c>
      <c r="S595" t="s">
        <v>404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2104</v>
      </c>
      <c r="B596" t="s">
        <v>2105</v>
      </c>
      <c r="C596">
        <v>24</v>
      </c>
      <c r="D596">
        <f>IFERROR(VLOOKUP(Fix_Mapping[[#This Row],[KODE BARANG]],[1]!KINONF15[[KDBRG]:[HRG_JLMT_CTN+PPN]],5,0),0)</f>
        <v>0</v>
      </c>
      <c r="E596" t="s">
        <v>2230</v>
      </c>
      <c r="F596">
        <f>IFERROR(VLOOKUP(Fix_Mapping[[#This Row],[KODE BARANG]],[1]!KINONF15[[KDBRG]:[HRG_JLMT_CTN+PPN]],7,0),0)</f>
        <v>0</v>
      </c>
      <c r="G596">
        <f>IFERROR(VLOOKUP(Fix_Mapping[[#This Row],[KODE BARANG]],[1]!KINONF15[[KDBRG]:[HRG_JLMT_CTN+PPN]],8,0),0)</f>
        <v>0</v>
      </c>
      <c r="H596">
        <f>IFERROR(VLOOKUP(Fix_Mapping[[#This Row],[KODE BARANG]],[1]!KINONF15[[KDBRG]:[HRG_JLMT_CTN+PPN]],9,0),0)</f>
        <v>0</v>
      </c>
      <c r="I596">
        <f>IFERROR(VLOOKUP(Fix_Mapping[[#This Row],[KODE BARANG]],[1]!KINONF15[[KDBRG]:[HRG_JLMT_CTN+PPN]],10,0),0)</f>
        <v>0</v>
      </c>
      <c r="J596">
        <f>IFERROR(VLOOKUP(Fix_Mapping[[#This Row],[KODE BARANG]],[1]!KINONF15[[KDBRG]:[HRG_JLMT_CTN+PPN]],11,0),0)</f>
        <v>0</v>
      </c>
      <c r="K596">
        <f>IFERROR(VLOOKUP(Fix_Mapping[[#This Row],[KODE BARANG]],[1]!KINONF15[[KDBRG]:[HRG_JLMT_CTN+PPN]],12,0),0)</f>
        <v>0</v>
      </c>
      <c r="L596">
        <f>IFERROR(VLOOKUP(Fix_Mapping[[#This Row],[KODE BARANG]],[1]!KINONF15[[KDBRG]:[HRG_JLMT_CTN+PPN]],13,0),0)</f>
        <v>0</v>
      </c>
      <c r="M596">
        <f>IFERROR(VLOOKUP(Fix_Mapping[[#This Row],[KODE BARANG]],[1]!KINONF15[[KDBRG]:[HRG_JLMT_CTN+PPN]],14,0),0)</f>
        <v>0</v>
      </c>
      <c r="N596">
        <f>IFERROR(VLOOKUP(Fix_Mapping[[#This Row],[KODE BARANG]],[1]!KINONF15[[KDBRG]:[HRG_JLMT_CTN+PPN]],15,0),0)</f>
        <v>0</v>
      </c>
      <c r="O596">
        <f>IFERROR(VLOOKUP(Fix_Mapping[[#This Row],[KODE BARANG]],[1]!KINONF15[[KDBRG]:[HRG_JLMT_CTN+PPN]],16,0),0)</f>
        <v>0</v>
      </c>
      <c r="P596">
        <f>IFERROR(VLOOKUP(Fix_Mapping[[#This Row],[KODE BARANG]],[1]!KINONF15[[KDBRG]:[HRG_JLMT_CTN+PPN]],17,0),0)</f>
        <v>0</v>
      </c>
      <c r="Q596">
        <f>IFERROR(VLOOKUP(Fix_Mapping[[#This Row],[KODE BARANG]],[1]!KINONF15[[KDBRG]:[HRG_JLMT_CTN+PPN]],18,0),0)</f>
        <v>0</v>
      </c>
      <c r="R596" t="s">
        <v>2555</v>
      </c>
      <c r="S596" t="s">
        <v>405</v>
      </c>
      <c r="T596">
        <v>0</v>
      </c>
      <c r="U596">
        <v>0</v>
      </c>
      <c r="V596">
        <v>0</v>
      </c>
      <c r="W596">
        <v>0</v>
      </c>
    </row>
    <row r="597" spans="1:23">
      <c r="A597" t="s">
        <v>2106</v>
      </c>
      <c r="B597" t="s">
        <v>2107</v>
      </c>
      <c r="C597">
        <v>24</v>
      </c>
      <c r="D597">
        <f>IFERROR(VLOOKUP(Fix_Mapping[[#This Row],[KODE BARANG]],[1]!KINONF15[[KDBRG]:[HRG_JLMT_CTN+PPN]],5,0),0)</f>
        <v>0</v>
      </c>
      <c r="E597" t="s">
        <v>2230</v>
      </c>
      <c r="F597">
        <f>IFERROR(VLOOKUP(Fix_Mapping[[#This Row],[KODE BARANG]],[1]!KINONF15[[KDBRG]:[HRG_JLMT_CTN+PPN]],7,0),0)</f>
        <v>0</v>
      </c>
      <c r="G597">
        <f>IFERROR(VLOOKUP(Fix_Mapping[[#This Row],[KODE BARANG]],[1]!KINONF15[[KDBRG]:[HRG_JLMT_CTN+PPN]],8,0),0)</f>
        <v>0</v>
      </c>
      <c r="H597">
        <f>IFERROR(VLOOKUP(Fix_Mapping[[#This Row],[KODE BARANG]],[1]!KINONF15[[KDBRG]:[HRG_JLMT_CTN+PPN]],9,0),0)</f>
        <v>0</v>
      </c>
      <c r="I597">
        <f>IFERROR(VLOOKUP(Fix_Mapping[[#This Row],[KODE BARANG]],[1]!KINONF15[[KDBRG]:[HRG_JLMT_CTN+PPN]],10,0),0)</f>
        <v>0</v>
      </c>
      <c r="J597">
        <f>IFERROR(VLOOKUP(Fix_Mapping[[#This Row],[KODE BARANG]],[1]!KINONF15[[KDBRG]:[HRG_JLMT_CTN+PPN]],11,0),0)</f>
        <v>0</v>
      </c>
      <c r="K597">
        <f>IFERROR(VLOOKUP(Fix_Mapping[[#This Row],[KODE BARANG]],[1]!KINONF15[[KDBRG]:[HRG_JLMT_CTN+PPN]],12,0),0)</f>
        <v>0</v>
      </c>
      <c r="L597">
        <f>IFERROR(VLOOKUP(Fix_Mapping[[#This Row],[KODE BARANG]],[1]!KINONF15[[KDBRG]:[HRG_JLMT_CTN+PPN]],13,0),0)</f>
        <v>0</v>
      </c>
      <c r="M597">
        <f>IFERROR(VLOOKUP(Fix_Mapping[[#This Row],[KODE BARANG]],[1]!KINONF15[[KDBRG]:[HRG_JLMT_CTN+PPN]],14,0),0)</f>
        <v>0</v>
      </c>
      <c r="N597">
        <f>IFERROR(VLOOKUP(Fix_Mapping[[#This Row],[KODE BARANG]],[1]!KINONF15[[KDBRG]:[HRG_JLMT_CTN+PPN]],15,0),0)</f>
        <v>0</v>
      </c>
      <c r="O597">
        <f>IFERROR(VLOOKUP(Fix_Mapping[[#This Row],[KODE BARANG]],[1]!KINONF15[[KDBRG]:[HRG_JLMT_CTN+PPN]],16,0),0)</f>
        <v>0</v>
      </c>
      <c r="P597">
        <f>IFERROR(VLOOKUP(Fix_Mapping[[#This Row],[KODE BARANG]],[1]!KINONF15[[KDBRG]:[HRG_JLMT_CTN+PPN]],17,0),0)</f>
        <v>0</v>
      </c>
      <c r="Q597">
        <f>IFERROR(VLOOKUP(Fix_Mapping[[#This Row],[KODE BARANG]],[1]!KINONF15[[KDBRG]:[HRG_JLMT_CTN+PPN]],18,0),0)</f>
        <v>0</v>
      </c>
      <c r="R597" t="s">
        <v>2555</v>
      </c>
      <c r="S597" t="s">
        <v>403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2064</v>
      </c>
      <c r="B598" t="s">
        <v>2065</v>
      </c>
      <c r="C598">
        <v>12</v>
      </c>
      <c r="D598">
        <f>IFERROR(VLOOKUP(Fix_Mapping[[#This Row],[KODE BARANG]],[1]!KINONF15[[KDBRG]:[HRG_JLMT_CTN+PPN]],5,0),0)</f>
        <v>0</v>
      </c>
      <c r="E598" t="s">
        <v>2224</v>
      </c>
      <c r="F598">
        <f>IFERROR(VLOOKUP(Fix_Mapping[[#This Row],[KODE BARANG]],[1]!KINONF15[[KDBRG]:[HRG_JLMT_CTN+PPN]],7,0),0)</f>
        <v>0</v>
      </c>
      <c r="G598">
        <f>IFERROR(VLOOKUP(Fix_Mapping[[#This Row],[KODE BARANG]],[1]!KINONF15[[KDBRG]:[HRG_JLMT_CTN+PPN]],8,0),0)</f>
        <v>0</v>
      </c>
      <c r="H598">
        <f>IFERROR(VLOOKUP(Fix_Mapping[[#This Row],[KODE BARANG]],[1]!KINONF15[[KDBRG]:[HRG_JLMT_CTN+PPN]],9,0),0)</f>
        <v>0</v>
      </c>
      <c r="I598">
        <f>IFERROR(VLOOKUP(Fix_Mapping[[#This Row],[KODE BARANG]],[1]!KINONF15[[KDBRG]:[HRG_JLMT_CTN+PPN]],10,0),0)</f>
        <v>0</v>
      </c>
      <c r="J598">
        <f>IFERROR(VLOOKUP(Fix_Mapping[[#This Row],[KODE BARANG]],[1]!KINONF15[[KDBRG]:[HRG_JLMT_CTN+PPN]],11,0),0)</f>
        <v>0</v>
      </c>
      <c r="K598">
        <f>IFERROR(VLOOKUP(Fix_Mapping[[#This Row],[KODE BARANG]],[1]!KINONF15[[KDBRG]:[HRG_JLMT_CTN+PPN]],12,0),0)</f>
        <v>0</v>
      </c>
      <c r="L598">
        <f>IFERROR(VLOOKUP(Fix_Mapping[[#This Row],[KODE BARANG]],[1]!KINONF15[[KDBRG]:[HRG_JLMT_CTN+PPN]],13,0),0)</f>
        <v>0</v>
      </c>
      <c r="M598">
        <f>IFERROR(VLOOKUP(Fix_Mapping[[#This Row],[KODE BARANG]],[1]!KINONF15[[KDBRG]:[HRG_JLMT_CTN+PPN]],14,0),0)</f>
        <v>0</v>
      </c>
      <c r="N598">
        <f>IFERROR(VLOOKUP(Fix_Mapping[[#This Row],[KODE BARANG]],[1]!KINONF15[[KDBRG]:[HRG_JLMT_CTN+PPN]],15,0),0)</f>
        <v>0</v>
      </c>
      <c r="O598">
        <f>IFERROR(VLOOKUP(Fix_Mapping[[#This Row],[KODE BARANG]],[1]!KINONF15[[KDBRG]:[HRG_JLMT_CTN+PPN]],16,0),0)</f>
        <v>0</v>
      </c>
      <c r="P598">
        <f>IFERROR(VLOOKUP(Fix_Mapping[[#This Row],[KODE BARANG]],[1]!KINONF15[[KDBRG]:[HRG_JLMT_CTN+PPN]],17,0),0)</f>
        <v>0</v>
      </c>
      <c r="Q598">
        <f>IFERROR(VLOOKUP(Fix_Mapping[[#This Row],[KODE BARANG]],[1]!KINONF15[[KDBRG]:[HRG_JLMT_CTN+PPN]],18,0),0)</f>
        <v>0</v>
      </c>
      <c r="R598" t="s">
        <v>2555</v>
      </c>
      <c r="S598" t="s">
        <v>387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2066</v>
      </c>
      <c r="B599" t="s">
        <v>2067</v>
      </c>
      <c r="C599">
        <v>12</v>
      </c>
      <c r="D599">
        <f>IFERROR(VLOOKUP(Fix_Mapping[[#This Row],[KODE BARANG]],[1]!KINONF15[[KDBRG]:[HRG_JLMT_CTN+PPN]],5,0),0)</f>
        <v>0</v>
      </c>
      <c r="E599" t="s">
        <v>2224</v>
      </c>
      <c r="F599">
        <f>IFERROR(VLOOKUP(Fix_Mapping[[#This Row],[KODE BARANG]],[1]!KINONF15[[KDBRG]:[HRG_JLMT_CTN+PPN]],7,0),0)</f>
        <v>0</v>
      </c>
      <c r="G599">
        <f>IFERROR(VLOOKUP(Fix_Mapping[[#This Row],[KODE BARANG]],[1]!KINONF15[[KDBRG]:[HRG_JLMT_CTN+PPN]],8,0),0)</f>
        <v>0</v>
      </c>
      <c r="H599">
        <f>IFERROR(VLOOKUP(Fix_Mapping[[#This Row],[KODE BARANG]],[1]!KINONF15[[KDBRG]:[HRG_JLMT_CTN+PPN]],9,0),0)</f>
        <v>0</v>
      </c>
      <c r="I599">
        <f>IFERROR(VLOOKUP(Fix_Mapping[[#This Row],[KODE BARANG]],[1]!KINONF15[[KDBRG]:[HRG_JLMT_CTN+PPN]],10,0),0)</f>
        <v>0</v>
      </c>
      <c r="J599">
        <f>IFERROR(VLOOKUP(Fix_Mapping[[#This Row],[KODE BARANG]],[1]!KINONF15[[KDBRG]:[HRG_JLMT_CTN+PPN]],11,0),0)</f>
        <v>0</v>
      </c>
      <c r="K599">
        <f>IFERROR(VLOOKUP(Fix_Mapping[[#This Row],[KODE BARANG]],[1]!KINONF15[[KDBRG]:[HRG_JLMT_CTN+PPN]],12,0),0)</f>
        <v>0</v>
      </c>
      <c r="L599">
        <f>IFERROR(VLOOKUP(Fix_Mapping[[#This Row],[KODE BARANG]],[1]!KINONF15[[KDBRG]:[HRG_JLMT_CTN+PPN]],13,0),0)</f>
        <v>0</v>
      </c>
      <c r="M599">
        <f>IFERROR(VLOOKUP(Fix_Mapping[[#This Row],[KODE BARANG]],[1]!KINONF15[[KDBRG]:[HRG_JLMT_CTN+PPN]],14,0),0)</f>
        <v>0</v>
      </c>
      <c r="N599">
        <f>IFERROR(VLOOKUP(Fix_Mapping[[#This Row],[KODE BARANG]],[1]!KINONF15[[KDBRG]:[HRG_JLMT_CTN+PPN]],15,0),0)</f>
        <v>0</v>
      </c>
      <c r="O599">
        <f>IFERROR(VLOOKUP(Fix_Mapping[[#This Row],[KODE BARANG]],[1]!KINONF15[[KDBRG]:[HRG_JLMT_CTN+PPN]],16,0),0)</f>
        <v>0</v>
      </c>
      <c r="P599">
        <f>IFERROR(VLOOKUP(Fix_Mapping[[#This Row],[KODE BARANG]],[1]!KINONF15[[KDBRG]:[HRG_JLMT_CTN+PPN]],17,0),0)</f>
        <v>0</v>
      </c>
      <c r="Q599">
        <f>IFERROR(VLOOKUP(Fix_Mapping[[#This Row],[KODE BARANG]],[1]!KINONF15[[KDBRG]:[HRG_JLMT_CTN+PPN]],18,0),0)</f>
        <v>0</v>
      </c>
      <c r="R599" t="s">
        <v>2555</v>
      </c>
      <c r="S599" t="s">
        <v>389</v>
      </c>
      <c r="T599" t="s">
        <v>388</v>
      </c>
      <c r="U599">
        <v>0</v>
      </c>
      <c r="V599">
        <v>0</v>
      </c>
      <c r="W599">
        <v>0</v>
      </c>
    </row>
    <row r="600" spans="1:23">
      <c r="A600" t="s">
        <v>2068</v>
      </c>
      <c r="B600" t="s">
        <v>2069</v>
      </c>
      <c r="C600">
        <v>4</v>
      </c>
      <c r="D600">
        <f>IFERROR(VLOOKUP(Fix_Mapping[[#This Row],[KODE BARANG]],[1]!KINONF15[[KDBRG]:[HRG_JLMT_CTN+PPN]],5,0),0)</f>
        <v>0</v>
      </c>
      <c r="E600" t="s">
        <v>2224</v>
      </c>
      <c r="F600">
        <f>IFERROR(VLOOKUP(Fix_Mapping[[#This Row],[KODE BARANG]],[1]!KINONF15[[KDBRG]:[HRG_JLMT_CTN+PPN]],7,0),0)</f>
        <v>0</v>
      </c>
      <c r="G600">
        <f>IFERROR(VLOOKUP(Fix_Mapping[[#This Row],[KODE BARANG]],[1]!KINONF15[[KDBRG]:[HRG_JLMT_CTN+PPN]],8,0),0)</f>
        <v>0</v>
      </c>
      <c r="H600">
        <f>IFERROR(VLOOKUP(Fix_Mapping[[#This Row],[KODE BARANG]],[1]!KINONF15[[KDBRG]:[HRG_JLMT_CTN+PPN]],9,0),0)</f>
        <v>0</v>
      </c>
      <c r="I600">
        <f>IFERROR(VLOOKUP(Fix_Mapping[[#This Row],[KODE BARANG]],[1]!KINONF15[[KDBRG]:[HRG_JLMT_CTN+PPN]],10,0),0)</f>
        <v>0</v>
      </c>
      <c r="J600">
        <f>IFERROR(VLOOKUP(Fix_Mapping[[#This Row],[KODE BARANG]],[1]!KINONF15[[KDBRG]:[HRG_JLMT_CTN+PPN]],11,0),0)</f>
        <v>0</v>
      </c>
      <c r="K600">
        <f>IFERROR(VLOOKUP(Fix_Mapping[[#This Row],[KODE BARANG]],[1]!KINONF15[[KDBRG]:[HRG_JLMT_CTN+PPN]],12,0),0)</f>
        <v>0</v>
      </c>
      <c r="L600">
        <f>IFERROR(VLOOKUP(Fix_Mapping[[#This Row],[KODE BARANG]],[1]!KINONF15[[KDBRG]:[HRG_JLMT_CTN+PPN]],13,0),0)</f>
        <v>0</v>
      </c>
      <c r="M600">
        <f>IFERROR(VLOOKUP(Fix_Mapping[[#This Row],[KODE BARANG]],[1]!KINONF15[[KDBRG]:[HRG_JLMT_CTN+PPN]],14,0),0)</f>
        <v>0</v>
      </c>
      <c r="N600">
        <f>IFERROR(VLOOKUP(Fix_Mapping[[#This Row],[KODE BARANG]],[1]!KINONF15[[KDBRG]:[HRG_JLMT_CTN+PPN]],15,0),0)</f>
        <v>0</v>
      </c>
      <c r="O600">
        <f>IFERROR(VLOOKUP(Fix_Mapping[[#This Row],[KODE BARANG]],[1]!KINONF15[[KDBRG]:[HRG_JLMT_CTN+PPN]],16,0),0)</f>
        <v>0</v>
      </c>
      <c r="P600">
        <f>IFERROR(VLOOKUP(Fix_Mapping[[#This Row],[KODE BARANG]],[1]!KINONF15[[KDBRG]:[HRG_JLMT_CTN+PPN]],17,0),0)</f>
        <v>0</v>
      </c>
      <c r="Q600">
        <f>IFERROR(VLOOKUP(Fix_Mapping[[#This Row],[KODE BARANG]],[1]!KINONF15[[KDBRG]:[HRG_JLMT_CTN+PPN]],18,0),0)</f>
        <v>0</v>
      </c>
      <c r="R600" t="s">
        <v>2555</v>
      </c>
      <c r="S600" t="s">
        <v>390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2070</v>
      </c>
      <c r="B601" t="s">
        <v>2071</v>
      </c>
      <c r="C601">
        <v>12</v>
      </c>
      <c r="D601">
        <f>IFERROR(VLOOKUP(Fix_Mapping[[#This Row],[KODE BARANG]],[1]!KINONF15[[KDBRG]:[HRG_JLMT_CTN+PPN]],5,0),0)</f>
        <v>0</v>
      </c>
      <c r="E601" t="s">
        <v>2224</v>
      </c>
      <c r="F601">
        <f>IFERROR(VLOOKUP(Fix_Mapping[[#This Row],[KODE BARANG]],[1]!KINONF15[[KDBRG]:[HRG_JLMT_CTN+PPN]],7,0),0)</f>
        <v>0</v>
      </c>
      <c r="G601">
        <f>IFERROR(VLOOKUP(Fix_Mapping[[#This Row],[KODE BARANG]],[1]!KINONF15[[KDBRG]:[HRG_JLMT_CTN+PPN]],8,0),0)</f>
        <v>0</v>
      </c>
      <c r="H601">
        <f>IFERROR(VLOOKUP(Fix_Mapping[[#This Row],[KODE BARANG]],[1]!KINONF15[[KDBRG]:[HRG_JLMT_CTN+PPN]],9,0),0)</f>
        <v>0</v>
      </c>
      <c r="I601">
        <f>IFERROR(VLOOKUP(Fix_Mapping[[#This Row],[KODE BARANG]],[1]!KINONF15[[KDBRG]:[HRG_JLMT_CTN+PPN]],10,0),0)</f>
        <v>0</v>
      </c>
      <c r="J601">
        <f>IFERROR(VLOOKUP(Fix_Mapping[[#This Row],[KODE BARANG]],[1]!KINONF15[[KDBRG]:[HRG_JLMT_CTN+PPN]],11,0),0)</f>
        <v>0</v>
      </c>
      <c r="K601">
        <f>IFERROR(VLOOKUP(Fix_Mapping[[#This Row],[KODE BARANG]],[1]!KINONF15[[KDBRG]:[HRG_JLMT_CTN+PPN]],12,0),0)</f>
        <v>0</v>
      </c>
      <c r="L601">
        <f>IFERROR(VLOOKUP(Fix_Mapping[[#This Row],[KODE BARANG]],[1]!KINONF15[[KDBRG]:[HRG_JLMT_CTN+PPN]],13,0),0)</f>
        <v>0</v>
      </c>
      <c r="M601">
        <f>IFERROR(VLOOKUP(Fix_Mapping[[#This Row],[KODE BARANG]],[1]!KINONF15[[KDBRG]:[HRG_JLMT_CTN+PPN]],14,0),0)</f>
        <v>0</v>
      </c>
      <c r="N601">
        <f>IFERROR(VLOOKUP(Fix_Mapping[[#This Row],[KODE BARANG]],[1]!KINONF15[[KDBRG]:[HRG_JLMT_CTN+PPN]],15,0),0)</f>
        <v>0</v>
      </c>
      <c r="O601">
        <f>IFERROR(VLOOKUP(Fix_Mapping[[#This Row],[KODE BARANG]],[1]!KINONF15[[KDBRG]:[HRG_JLMT_CTN+PPN]],16,0),0)</f>
        <v>0</v>
      </c>
      <c r="P601">
        <f>IFERROR(VLOOKUP(Fix_Mapping[[#This Row],[KODE BARANG]],[1]!KINONF15[[KDBRG]:[HRG_JLMT_CTN+PPN]],17,0),0)</f>
        <v>0</v>
      </c>
      <c r="Q601">
        <f>IFERROR(VLOOKUP(Fix_Mapping[[#This Row],[KODE BARANG]],[1]!KINONF15[[KDBRG]:[HRG_JLMT_CTN+PPN]],18,0),0)</f>
        <v>0</v>
      </c>
      <c r="R601" t="s">
        <v>2555</v>
      </c>
      <c r="S601" t="s">
        <v>391</v>
      </c>
      <c r="T601">
        <v>0</v>
      </c>
      <c r="U601">
        <v>0</v>
      </c>
      <c r="V601">
        <v>0</v>
      </c>
      <c r="W601">
        <v>0</v>
      </c>
    </row>
    <row r="602" spans="1:23">
      <c r="A602" t="s">
        <v>2072</v>
      </c>
      <c r="B602" t="s">
        <v>2073</v>
      </c>
      <c r="C602">
        <v>12</v>
      </c>
      <c r="D602">
        <f>IFERROR(VLOOKUP(Fix_Mapping[[#This Row],[KODE BARANG]],[1]!KINONF15[[KDBRG]:[HRG_JLMT_CTN+PPN]],5,0),0)</f>
        <v>0</v>
      </c>
      <c r="E602" t="s">
        <v>2224</v>
      </c>
      <c r="F602">
        <f>IFERROR(VLOOKUP(Fix_Mapping[[#This Row],[KODE BARANG]],[1]!KINONF15[[KDBRG]:[HRG_JLMT_CTN+PPN]],7,0),0)</f>
        <v>0</v>
      </c>
      <c r="G602">
        <f>IFERROR(VLOOKUP(Fix_Mapping[[#This Row],[KODE BARANG]],[1]!KINONF15[[KDBRG]:[HRG_JLMT_CTN+PPN]],8,0),0)</f>
        <v>0</v>
      </c>
      <c r="H602">
        <f>IFERROR(VLOOKUP(Fix_Mapping[[#This Row],[KODE BARANG]],[1]!KINONF15[[KDBRG]:[HRG_JLMT_CTN+PPN]],9,0),0)</f>
        <v>0</v>
      </c>
      <c r="I602">
        <f>IFERROR(VLOOKUP(Fix_Mapping[[#This Row],[KODE BARANG]],[1]!KINONF15[[KDBRG]:[HRG_JLMT_CTN+PPN]],10,0),0)</f>
        <v>0</v>
      </c>
      <c r="J602">
        <f>IFERROR(VLOOKUP(Fix_Mapping[[#This Row],[KODE BARANG]],[1]!KINONF15[[KDBRG]:[HRG_JLMT_CTN+PPN]],11,0),0)</f>
        <v>0</v>
      </c>
      <c r="K602">
        <f>IFERROR(VLOOKUP(Fix_Mapping[[#This Row],[KODE BARANG]],[1]!KINONF15[[KDBRG]:[HRG_JLMT_CTN+PPN]],12,0),0)</f>
        <v>0</v>
      </c>
      <c r="L602">
        <f>IFERROR(VLOOKUP(Fix_Mapping[[#This Row],[KODE BARANG]],[1]!KINONF15[[KDBRG]:[HRG_JLMT_CTN+PPN]],13,0),0)</f>
        <v>0</v>
      </c>
      <c r="M602">
        <f>IFERROR(VLOOKUP(Fix_Mapping[[#This Row],[KODE BARANG]],[1]!KINONF15[[KDBRG]:[HRG_JLMT_CTN+PPN]],14,0),0)</f>
        <v>0</v>
      </c>
      <c r="N602">
        <f>IFERROR(VLOOKUP(Fix_Mapping[[#This Row],[KODE BARANG]],[1]!KINONF15[[KDBRG]:[HRG_JLMT_CTN+PPN]],15,0),0)</f>
        <v>0</v>
      </c>
      <c r="O602">
        <f>IFERROR(VLOOKUP(Fix_Mapping[[#This Row],[KODE BARANG]],[1]!KINONF15[[KDBRG]:[HRG_JLMT_CTN+PPN]],16,0),0)</f>
        <v>0</v>
      </c>
      <c r="P602">
        <f>IFERROR(VLOOKUP(Fix_Mapping[[#This Row],[KODE BARANG]],[1]!KINONF15[[KDBRG]:[HRG_JLMT_CTN+PPN]],17,0),0)</f>
        <v>0</v>
      </c>
      <c r="Q602">
        <f>IFERROR(VLOOKUP(Fix_Mapping[[#This Row],[KODE BARANG]],[1]!KINONF15[[KDBRG]:[HRG_JLMT_CTN+PPN]],18,0),0)</f>
        <v>0</v>
      </c>
      <c r="R602" t="s">
        <v>2555</v>
      </c>
      <c r="S602" t="s">
        <v>393</v>
      </c>
      <c r="T602" t="s">
        <v>392</v>
      </c>
      <c r="U602">
        <v>0</v>
      </c>
      <c r="V602">
        <v>0</v>
      </c>
      <c r="W602">
        <v>0</v>
      </c>
    </row>
    <row r="603" spans="1:23">
      <c r="A603" t="s">
        <v>2074</v>
      </c>
      <c r="B603" t="s">
        <v>2075</v>
      </c>
      <c r="C603">
        <v>4</v>
      </c>
      <c r="D603">
        <f>IFERROR(VLOOKUP(Fix_Mapping[[#This Row],[KODE BARANG]],[1]!KINONF15[[KDBRG]:[HRG_JLMT_CTN+PPN]],5,0),0)</f>
        <v>0</v>
      </c>
      <c r="E603" t="s">
        <v>2224</v>
      </c>
      <c r="F603">
        <f>IFERROR(VLOOKUP(Fix_Mapping[[#This Row],[KODE BARANG]],[1]!KINONF15[[KDBRG]:[HRG_JLMT_CTN+PPN]],7,0),0)</f>
        <v>0</v>
      </c>
      <c r="G603">
        <f>IFERROR(VLOOKUP(Fix_Mapping[[#This Row],[KODE BARANG]],[1]!KINONF15[[KDBRG]:[HRG_JLMT_CTN+PPN]],8,0),0)</f>
        <v>0</v>
      </c>
      <c r="H603">
        <f>IFERROR(VLOOKUP(Fix_Mapping[[#This Row],[KODE BARANG]],[1]!KINONF15[[KDBRG]:[HRG_JLMT_CTN+PPN]],9,0),0)</f>
        <v>0</v>
      </c>
      <c r="I603">
        <f>IFERROR(VLOOKUP(Fix_Mapping[[#This Row],[KODE BARANG]],[1]!KINONF15[[KDBRG]:[HRG_JLMT_CTN+PPN]],10,0),0)</f>
        <v>0</v>
      </c>
      <c r="J603">
        <f>IFERROR(VLOOKUP(Fix_Mapping[[#This Row],[KODE BARANG]],[1]!KINONF15[[KDBRG]:[HRG_JLMT_CTN+PPN]],11,0),0)</f>
        <v>0</v>
      </c>
      <c r="K603">
        <f>IFERROR(VLOOKUP(Fix_Mapping[[#This Row],[KODE BARANG]],[1]!KINONF15[[KDBRG]:[HRG_JLMT_CTN+PPN]],12,0),0)</f>
        <v>0</v>
      </c>
      <c r="L603">
        <f>IFERROR(VLOOKUP(Fix_Mapping[[#This Row],[KODE BARANG]],[1]!KINONF15[[KDBRG]:[HRG_JLMT_CTN+PPN]],13,0),0)</f>
        <v>0</v>
      </c>
      <c r="M603">
        <f>IFERROR(VLOOKUP(Fix_Mapping[[#This Row],[KODE BARANG]],[1]!KINONF15[[KDBRG]:[HRG_JLMT_CTN+PPN]],14,0),0)</f>
        <v>0</v>
      </c>
      <c r="N603">
        <f>IFERROR(VLOOKUP(Fix_Mapping[[#This Row],[KODE BARANG]],[1]!KINONF15[[KDBRG]:[HRG_JLMT_CTN+PPN]],15,0),0)</f>
        <v>0</v>
      </c>
      <c r="O603">
        <f>IFERROR(VLOOKUP(Fix_Mapping[[#This Row],[KODE BARANG]],[1]!KINONF15[[KDBRG]:[HRG_JLMT_CTN+PPN]],16,0),0)</f>
        <v>0</v>
      </c>
      <c r="P603">
        <f>IFERROR(VLOOKUP(Fix_Mapping[[#This Row],[KODE BARANG]],[1]!KINONF15[[KDBRG]:[HRG_JLMT_CTN+PPN]],17,0),0)</f>
        <v>0</v>
      </c>
      <c r="Q603">
        <f>IFERROR(VLOOKUP(Fix_Mapping[[#This Row],[KODE BARANG]],[1]!KINONF15[[KDBRG]:[HRG_JLMT_CTN+PPN]],18,0),0)</f>
        <v>0</v>
      </c>
      <c r="R603" t="s">
        <v>2555</v>
      </c>
      <c r="S603" t="s">
        <v>394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2076</v>
      </c>
      <c r="B604" t="s">
        <v>2077</v>
      </c>
      <c r="C604">
        <v>12</v>
      </c>
      <c r="D604">
        <f>IFERROR(VLOOKUP(Fix_Mapping[[#This Row],[KODE BARANG]],[1]!KINONF15[[KDBRG]:[HRG_JLMT_CTN+PPN]],5,0),0)</f>
        <v>0</v>
      </c>
      <c r="E604" t="s">
        <v>2224</v>
      </c>
      <c r="F604">
        <f>IFERROR(VLOOKUP(Fix_Mapping[[#This Row],[KODE BARANG]],[1]!KINONF15[[KDBRG]:[HRG_JLMT_CTN+PPN]],7,0),0)</f>
        <v>0</v>
      </c>
      <c r="G604">
        <f>IFERROR(VLOOKUP(Fix_Mapping[[#This Row],[KODE BARANG]],[1]!KINONF15[[KDBRG]:[HRG_JLMT_CTN+PPN]],8,0),0)</f>
        <v>0</v>
      </c>
      <c r="H604">
        <f>IFERROR(VLOOKUP(Fix_Mapping[[#This Row],[KODE BARANG]],[1]!KINONF15[[KDBRG]:[HRG_JLMT_CTN+PPN]],9,0),0)</f>
        <v>0</v>
      </c>
      <c r="I604">
        <f>IFERROR(VLOOKUP(Fix_Mapping[[#This Row],[KODE BARANG]],[1]!KINONF15[[KDBRG]:[HRG_JLMT_CTN+PPN]],10,0),0)</f>
        <v>0</v>
      </c>
      <c r="J604">
        <f>IFERROR(VLOOKUP(Fix_Mapping[[#This Row],[KODE BARANG]],[1]!KINONF15[[KDBRG]:[HRG_JLMT_CTN+PPN]],11,0),0)</f>
        <v>0</v>
      </c>
      <c r="K604">
        <f>IFERROR(VLOOKUP(Fix_Mapping[[#This Row],[KODE BARANG]],[1]!KINONF15[[KDBRG]:[HRG_JLMT_CTN+PPN]],12,0),0)</f>
        <v>0</v>
      </c>
      <c r="L604">
        <f>IFERROR(VLOOKUP(Fix_Mapping[[#This Row],[KODE BARANG]],[1]!KINONF15[[KDBRG]:[HRG_JLMT_CTN+PPN]],13,0),0)</f>
        <v>0</v>
      </c>
      <c r="M604">
        <f>IFERROR(VLOOKUP(Fix_Mapping[[#This Row],[KODE BARANG]],[1]!KINONF15[[KDBRG]:[HRG_JLMT_CTN+PPN]],14,0),0)</f>
        <v>0</v>
      </c>
      <c r="N604">
        <f>IFERROR(VLOOKUP(Fix_Mapping[[#This Row],[KODE BARANG]],[1]!KINONF15[[KDBRG]:[HRG_JLMT_CTN+PPN]],15,0),0)</f>
        <v>0</v>
      </c>
      <c r="O604">
        <f>IFERROR(VLOOKUP(Fix_Mapping[[#This Row],[KODE BARANG]],[1]!KINONF15[[KDBRG]:[HRG_JLMT_CTN+PPN]],16,0),0)</f>
        <v>0</v>
      </c>
      <c r="P604">
        <f>IFERROR(VLOOKUP(Fix_Mapping[[#This Row],[KODE BARANG]],[1]!KINONF15[[KDBRG]:[HRG_JLMT_CTN+PPN]],17,0),0)</f>
        <v>0</v>
      </c>
      <c r="Q604">
        <f>IFERROR(VLOOKUP(Fix_Mapping[[#This Row],[KODE BARANG]],[1]!KINONF15[[KDBRG]:[HRG_JLMT_CTN+PPN]],18,0),0)</f>
        <v>0</v>
      </c>
      <c r="R604" t="s">
        <v>2555</v>
      </c>
      <c r="S604" t="s">
        <v>395</v>
      </c>
      <c r="T604">
        <v>0</v>
      </c>
      <c r="U604">
        <v>0</v>
      </c>
      <c r="V604">
        <v>0</v>
      </c>
      <c r="W604">
        <v>0</v>
      </c>
    </row>
    <row r="605" spans="1:23">
      <c r="A605" t="s">
        <v>2078</v>
      </c>
      <c r="B605" t="s">
        <v>2079</v>
      </c>
      <c r="C605">
        <v>12</v>
      </c>
      <c r="D605">
        <f>IFERROR(VLOOKUP(Fix_Mapping[[#This Row],[KODE BARANG]],[1]!KINONF15[[KDBRG]:[HRG_JLMT_CTN+PPN]],5,0),0)</f>
        <v>0</v>
      </c>
      <c r="E605" t="s">
        <v>2224</v>
      </c>
      <c r="F605">
        <f>IFERROR(VLOOKUP(Fix_Mapping[[#This Row],[KODE BARANG]],[1]!KINONF15[[KDBRG]:[HRG_JLMT_CTN+PPN]],7,0),0)</f>
        <v>0</v>
      </c>
      <c r="G605">
        <f>IFERROR(VLOOKUP(Fix_Mapping[[#This Row],[KODE BARANG]],[1]!KINONF15[[KDBRG]:[HRG_JLMT_CTN+PPN]],8,0),0)</f>
        <v>0</v>
      </c>
      <c r="H605">
        <f>IFERROR(VLOOKUP(Fix_Mapping[[#This Row],[KODE BARANG]],[1]!KINONF15[[KDBRG]:[HRG_JLMT_CTN+PPN]],9,0),0)</f>
        <v>0</v>
      </c>
      <c r="I605">
        <f>IFERROR(VLOOKUP(Fix_Mapping[[#This Row],[KODE BARANG]],[1]!KINONF15[[KDBRG]:[HRG_JLMT_CTN+PPN]],10,0),0)</f>
        <v>0</v>
      </c>
      <c r="J605">
        <f>IFERROR(VLOOKUP(Fix_Mapping[[#This Row],[KODE BARANG]],[1]!KINONF15[[KDBRG]:[HRG_JLMT_CTN+PPN]],11,0),0)</f>
        <v>0</v>
      </c>
      <c r="K605">
        <f>IFERROR(VLOOKUP(Fix_Mapping[[#This Row],[KODE BARANG]],[1]!KINONF15[[KDBRG]:[HRG_JLMT_CTN+PPN]],12,0),0)</f>
        <v>0</v>
      </c>
      <c r="L605">
        <f>IFERROR(VLOOKUP(Fix_Mapping[[#This Row],[KODE BARANG]],[1]!KINONF15[[KDBRG]:[HRG_JLMT_CTN+PPN]],13,0),0)</f>
        <v>0</v>
      </c>
      <c r="M605">
        <f>IFERROR(VLOOKUP(Fix_Mapping[[#This Row],[KODE BARANG]],[1]!KINONF15[[KDBRG]:[HRG_JLMT_CTN+PPN]],14,0),0)</f>
        <v>0</v>
      </c>
      <c r="N605">
        <f>IFERROR(VLOOKUP(Fix_Mapping[[#This Row],[KODE BARANG]],[1]!KINONF15[[KDBRG]:[HRG_JLMT_CTN+PPN]],15,0),0)</f>
        <v>0</v>
      </c>
      <c r="O605">
        <f>IFERROR(VLOOKUP(Fix_Mapping[[#This Row],[KODE BARANG]],[1]!KINONF15[[KDBRG]:[HRG_JLMT_CTN+PPN]],16,0),0)</f>
        <v>0</v>
      </c>
      <c r="P605">
        <f>IFERROR(VLOOKUP(Fix_Mapping[[#This Row],[KODE BARANG]],[1]!KINONF15[[KDBRG]:[HRG_JLMT_CTN+PPN]],17,0),0)</f>
        <v>0</v>
      </c>
      <c r="Q605">
        <f>IFERROR(VLOOKUP(Fix_Mapping[[#This Row],[KODE BARANG]],[1]!KINONF15[[KDBRG]:[HRG_JLMT_CTN+PPN]],18,0),0)</f>
        <v>0</v>
      </c>
      <c r="R605" t="s">
        <v>2555</v>
      </c>
      <c r="S605" t="s">
        <v>397</v>
      </c>
      <c r="T605" t="s">
        <v>396</v>
      </c>
      <c r="U605">
        <v>0</v>
      </c>
      <c r="V605">
        <v>0</v>
      </c>
      <c r="W605">
        <v>0</v>
      </c>
    </row>
    <row r="606" spans="1:23">
      <c r="A606" t="s">
        <v>2080</v>
      </c>
      <c r="B606" t="s">
        <v>2081</v>
      </c>
      <c r="C606">
        <v>4</v>
      </c>
      <c r="D606">
        <f>IFERROR(VLOOKUP(Fix_Mapping[[#This Row],[KODE BARANG]],[1]!KINONF15[[KDBRG]:[HRG_JLMT_CTN+PPN]],5,0),0)</f>
        <v>0</v>
      </c>
      <c r="E606" t="s">
        <v>2224</v>
      </c>
      <c r="F606">
        <f>IFERROR(VLOOKUP(Fix_Mapping[[#This Row],[KODE BARANG]],[1]!KINONF15[[KDBRG]:[HRG_JLMT_CTN+PPN]],7,0),0)</f>
        <v>0</v>
      </c>
      <c r="G606">
        <f>IFERROR(VLOOKUP(Fix_Mapping[[#This Row],[KODE BARANG]],[1]!KINONF15[[KDBRG]:[HRG_JLMT_CTN+PPN]],8,0),0)</f>
        <v>0</v>
      </c>
      <c r="H606">
        <f>IFERROR(VLOOKUP(Fix_Mapping[[#This Row],[KODE BARANG]],[1]!KINONF15[[KDBRG]:[HRG_JLMT_CTN+PPN]],9,0),0)</f>
        <v>0</v>
      </c>
      <c r="I606">
        <f>IFERROR(VLOOKUP(Fix_Mapping[[#This Row],[KODE BARANG]],[1]!KINONF15[[KDBRG]:[HRG_JLMT_CTN+PPN]],10,0),0)</f>
        <v>0</v>
      </c>
      <c r="J606">
        <f>IFERROR(VLOOKUP(Fix_Mapping[[#This Row],[KODE BARANG]],[1]!KINONF15[[KDBRG]:[HRG_JLMT_CTN+PPN]],11,0),0)</f>
        <v>0</v>
      </c>
      <c r="K606">
        <f>IFERROR(VLOOKUP(Fix_Mapping[[#This Row],[KODE BARANG]],[1]!KINONF15[[KDBRG]:[HRG_JLMT_CTN+PPN]],12,0),0)</f>
        <v>0</v>
      </c>
      <c r="L606">
        <f>IFERROR(VLOOKUP(Fix_Mapping[[#This Row],[KODE BARANG]],[1]!KINONF15[[KDBRG]:[HRG_JLMT_CTN+PPN]],13,0),0)</f>
        <v>0</v>
      </c>
      <c r="M606">
        <f>IFERROR(VLOOKUP(Fix_Mapping[[#This Row],[KODE BARANG]],[1]!KINONF15[[KDBRG]:[HRG_JLMT_CTN+PPN]],14,0),0)</f>
        <v>0</v>
      </c>
      <c r="N606">
        <f>IFERROR(VLOOKUP(Fix_Mapping[[#This Row],[KODE BARANG]],[1]!KINONF15[[KDBRG]:[HRG_JLMT_CTN+PPN]],15,0),0)</f>
        <v>0</v>
      </c>
      <c r="O606">
        <f>IFERROR(VLOOKUP(Fix_Mapping[[#This Row],[KODE BARANG]],[1]!KINONF15[[KDBRG]:[HRG_JLMT_CTN+PPN]],16,0),0)</f>
        <v>0</v>
      </c>
      <c r="P606">
        <f>IFERROR(VLOOKUP(Fix_Mapping[[#This Row],[KODE BARANG]],[1]!KINONF15[[KDBRG]:[HRG_JLMT_CTN+PPN]],17,0),0)</f>
        <v>0</v>
      </c>
      <c r="Q606">
        <f>IFERROR(VLOOKUP(Fix_Mapping[[#This Row],[KODE BARANG]],[1]!KINONF15[[KDBRG]:[HRG_JLMT_CTN+PPN]],18,0),0)</f>
        <v>0</v>
      </c>
      <c r="R606" t="s">
        <v>2555</v>
      </c>
      <c r="S606" t="s">
        <v>398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2411</v>
      </c>
      <c r="B607" t="s">
        <v>1398</v>
      </c>
      <c r="C607">
        <v>36</v>
      </c>
      <c r="D607">
        <f>IFERROR(VLOOKUP(Fix_Mapping[[#This Row],[KODE BARANG]],[1]!KINONF15[[KDBRG]:[HRG_JLMT_CTN+PPN]],5,0),0)</f>
        <v>0</v>
      </c>
      <c r="E607" t="s">
        <v>2349</v>
      </c>
      <c r="F607">
        <f>IFERROR(VLOOKUP(Fix_Mapping[[#This Row],[KODE BARANG]],[1]!KINONF15[[KDBRG]:[HRG_JLMT_CTN+PPN]],7,0),0)</f>
        <v>0</v>
      </c>
      <c r="G607">
        <f>IFERROR(VLOOKUP(Fix_Mapping[[#This Row],[KODE BARANG]],[1]!KINONF15[[KDBRG]:[HRG_JLMT_CTN+PPN]],8,0),0)</f>
        <v>0</v>
      </c>
      <c r="H607">
        <f>IFERROR(VLOOKUP(Fix_Mapping[[#This Row],[KODE BARANG]],[1]!KINONF15[[KDBRG]:[HRG_JLMT_CTN+PPN]],9,0),0)</f>
        <v>0</v>
      </c>
      <c r="I607">
        <f>IFERROR(VLOOKUP(Fix_Mapping[[#This Row],[KODE BARANG]],[1]!KINONF15[[KDBRG]:[HRG_JLMT_CTN+PPN]],10,0),0)</f>
        <v>0</v>
      </c>
      <c r="J607">
        <f>IFERROR(VLOOKUP(Fix_Mapping[[#This Row],[KODE BARANG]],[1]!KINONF15[[KDBRG]:[HRG_JLMT_CTN+PPN]],11,0),0)</f>
        <v>0</v>
      </c>
      <c r="K607">
        <f>IFERROR(VLOOKUP(Fix_Mapping[[#This Row],[KODE BARANG]],[1]!KINONF15[[KDBRG]:[HRG_JLMT_CTN+PPN]],12,0),0)</f>
        <v>0</v>
      </c>
      <c r="L607">
        <f>IFERROR(VLOOKUP(Fix_Mapping[[#This Row],[KODE BARANG]],[1]!KINONF15[[KDBRG]:[HRG_JLMT_CTN+PPN]],13,0),0)</f>
        <v>0</v>
      </c>
      <c r="M607">
        <f>IFERROR(VLOOKUP(Fix_Mapping[[#This Row],[KODE BARANG]],[1]!KINONF15[[KDBRG]:[HRG_JLMT_CTN+PPN]],14,0),0)</f>
        <v>0</v>
      </c>
      <c r="N607">
        <f>IFERROR(VLOOKUP(Fix_Mapping[[#This Row],[KODE BARANG]],[1]!KINONF15[[KDBRG]:[HRG_JLMT_CTN+PPN]],15,0),0)</f>
        <v>0</v>
      </c>
      <c r="O607">
        <f>IFERROR(VLOOKUP(Fix_Mapping[[#This Row],[KODE BARANG]],[1]!KINONF15[[KDBRG]:[HRG_JLMT_CTN+PPN]],16,0),0)</f>
        <v>0</v>
      </c>
      <c r="P607">
        <f>IFERROR(VLOOKUP(Fix_Mapping[[#This Row],[KODE BARANG]],[1]!KINONF15[[KDBRG]:[HRG_JLMT_CTN+PPN]],17,0),0)</f>
        <v>0</v>
      </c>
      <c r="Q607">
        <f>IFERROR(VLOOKUP(Fix_Mapping[[#This Row],[KODE BARANG]],[1]!KINONF15[[KDBRG]:[HRG_JLMT_CTN+PPN]],18,0),0)</f>
        <v>0</v>
      </c>
      <c r="R607" t="s">
        <v>2555</v>
      </c>
      <c r="S607" t="s">
        <v>438</v>
      </c>
      <c r="T607">
        <v>0</v>
      </c>
      <c r="U607">
        <v>0</v>
      </c>
      <c r="V607">
        <v>0</v>
      </c>
      <c r="W607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5D83-4AEF-49A6-88C7-2CC66AF204B0}">
  <sheetPr>
    <tabColor rgb="FF00B050"/>
  </sheetPr>
  <dimension ref="A1:AB604"/>
  <sheetViews>
    <sheetView workbookViewId="0">
      <selection activeCell="M11" sqref="M11"/>
    </sheetView>
  </sheetViews>
  <sheetFormatPr defaultRowHeight="15"/>
  <cols>
    <col min="1" max="1" width="21.5703125" bestFit="1" customWidth="1"/>
    <col min="2" max="2" width="19.42578125" bestFit="1" customWidth="1"/>
    <col min="3" max="3" width="35.5703125" bestFit="1" customWidth="1"/>
    <col min="4" max="4" width="21.7109375" bestFit="1" customWidth="1"/>
    <col min="5" max="5" width="21.42578125" bestFit="1" customWidth="1"/>
    <col min="6" max="6" width="57.140625" bestFit="1" customWidth="1"/>
    <col min="7" max="7" width="22.7109375" bestFit="1" customWidth="1"/>
    <col min="8" max="8" width="22.85546875" bestFit="1" customWidth="1"/>
    <col min="9" max="9" width="25.7109375" bestFit="1" customWidth="1"/>
    <col min="10" max="10" width="25.85546875" bestFit="1" customWidth="1"/>
    <col min="11" max="11" width="26.140625" bestFit="1" customWidth="1"/>
    <col min="12" max="12" width="26.28515625" bestFit="1" customWidth="1"/>
    <col min="13" max="13" width="20.7109375" bestFit="1" customWidth="1"/>
    <col min="14" max="14" width="19.140625" bestFit="1" customWidth="1"/>
    <col min="15" max="15" width="20.28515625" bestFit="1" customWidth="1"/>
    <col min="16" max="16" width="14.85546875" bestFit="1" customWidth="1"/>
    <col min="17" max="17" width="12.85546875" bestFit="1" customWidth="1"/>
    <col min="18" max="18" width="17.7109375" bestFit="1" customWidth="1"/>
    <col min="19" max="19" width="19.5703125" bestFit="1" customWidth="1"/>
    <col min="20" max="20" width="19.7109375" bestFit="1" customWidth="1"/>
    <col min="21" max="21" width="9.85546875" bestFit="1" customWidth="1"/>
    <col min="22" max="22" width="18" bestFit="1" customWidth="1"/>
    <col min="23" max="23" width="10.28515625" bestFit="1" customWidth="1"/>
    <col min="24" max="24" width="6" bestFit="1" customWidth="1"/>
    <col min="25" max="25" width="11.7109375" bestFit="1" customWidth="1"/>
    <col min="26" max="26" width="13.85546875" bestFit="1" customWidth="1"/>
    <col min="27" max="28" width="11.28515625" customWidth="1"/>
    <col min="29" max="29" width="30.140625" bestFit="1" customWidth="1"/>
    <col min="30" max="30" width="44.85546875" bestFit="1" customWidth="1"/>
    <col min="31" max="31" width="29.140625" bestFit="1" customWidth="1"/>
    <col min="32" max="32" width="26.85546875" bestFit="1" customWidth="1"/>
    <col min="33" max="33" width="30.140625" bestFit="1" customWidth="1"/>
    <col min="34" max="34" width="19.7109375" bestFit="1" customWidth="1"/>
    <col min="35" max="35" width="30.140625" bestFit="1" customWidth="1"/>
    <col min="36" max="36" width="40.42578125" bestFit="1" customWidth="1"/>
    <col min="37" max="37" width="31.140625" bestFit="1" customWidth="1"/>
    <col min="38" max="38" width="18.5703125" bestFit="1" customWidth="1"/>
    <col min="39" max="39" width="22.7109375" bestFit="1" customWidth="1"/>
    <col min="40" max="40" width="22.85546875" bestFit="1" customWidth="1"/>
    <col min="41" max="41" width="23" bestFit="1" customWidth="1"/>
    <col min="42" max="42" width="22.7109375" bestFit="1" customWidth="1"/>
    <col min="43" max="43" width="25.7109375" bestFit="1" customWidth="1"/>
    <col min="44" max="44" width="25.85546875" bestFit="1" customWidth="1"/>
    <col min="45" max="45" width="25.28515625" bestFit="1" customWidth="1"/>
    <col min="46" max="46" width="25.7109375" bestFit="1" customWidth="1"/>
    <col min="47" max="47" width="26.140625" bestFit="1" customWidth="1"/>
    <col min="48" max="48" width="26.28515625" bestFit="1" customWidth="1"/>
    <col min="49" max="49" width="26.42578125" bestFit="1" customWidth="1"/>
    <col min="50" max="50" width="26.140625" bestFit="1" customWidth="1"/>
    <col min="51" max="51" width="20.7109375" bestFit="1" customWidth="1"/>
    <col min="52" max="52" width="19.140625" bestFit="1" customWidth="1"/>
    <col min="53" max="53" width="20.28515625" bestFit="1" customWidth="1"/>
    <col min="54" max="54" width="14.85546875" bestFit="1" customWidth="1"/>
    <col min="55" max="55" width="12.85546875" bestFit="1" customWidth="1"/>
    <col min="56" max="56" width="17.7109375" bestFit="1" customWidth="1"/>
    <col min="57" max="57" width="19.5703125" bestFit="1" customWidth="1"/>
    <col min="58" max="58" width="10.28515625" bestFit="1" customWidth="1"/>
    <col min="59" max="59" width="6" bestFit="1" customWidth="1"/>
    <col min="60" max="60" width="11.7109375" bestFit="1" customWidth="1"/>
    <col min="61" max="61" width="13.85546875" bestFit="1" customWidth="1"/>
    <col min="62" max="63" width="11.28515625" bestFit="1" customWidth="1"/>
  </cols>
  <sheetData>
    <row r="1" spans="1:28">
      <c r="A1" t="s">
        <v>144</v>
      </c>
      <c r="B1" t="s">
        <v>1</v>
      </c>
      <c r="C1" t="s">
        <v>37</v>
      </c>
      <c r="D1" t="s">
        <v>324</v>
      </c>
      <c r="E1" t="s">
        <v>30</v>
      </c>
      <c r="F1" t="s">
        <v>22</v>
      </c>
      <c r="G1" t="s">
        <v>41</v>
      </c>
      <c r="H1" t="s">
        <v>40</v>
      </c>
      <c r="I1" t="s">
        <v>132</v>
      </c>
      <c r="J1" t="s">
        <v>133</v>
      </c>
      <c r="K1" t="s">
        <v>136</v>
      </c>
      <c r="L1" t="s">
        <v>137</v>
      </c>
      <c r="M1" t="s">
        <v>118</v>
      </c>
      <c r="N1" t="s">
        <v>119</v>
      </c>
      <c r="O1" t="s">
        <v>122</v>
      </c>
      <c r="P1" t="s">
        <v>123</v>
      </c>
      <c r="Q1" t="s">
        <v>120</v>
      </c>
      <c r="R1" t="s">
        <v>143</v>
      </c>
      <c r="S1" t="s">
        <v>124</v>
      </c>
      <c r="T1" t="s">
        <v>325</v>
      </c>
      <c r="U1" t="s">
        <v>5</v>
      </c>
      <c r="V1" t="s">
        <v>13</v>
      </c>
      <c r="W1" t="s">
        <v>125</v>
      </c>
      <c r="X1" t="s">
        <v>126</v>
      </c>
      <c r="Y1" t="s">
        <v>128</v>
      </c>
      <c r="Z1" t="s">
        <v>129</v>
      </c>
      <c r="AA1" t="s">
        <v>130</v>
      </c>
      <c r="AB1" t="s">
        <v>121</v>
      </c>
    </row>
    <row r="2" spans="1:28">
      <c r="A2">
        <v>1</v>
      </c>
      <c r="B2" t="s">
        <v>979</v>
      </c>
      <c r="C2" t="s">
        <v>2158</v>
      </c>
      <c r="D2" t="s">
        <v>2159</v>
      </c>
      <c r="E2" t="s">
        <v>1041</v>
      </c>
      <c r="F2" t="s">
        <v>1042</v>
      </c>
      <c r="G2">
        <v>19511.7104</v>
      </c>
      <c r="H2">
        <v>702421.57440000004</v>
      </c>
      <c r="I2">
        <v>21441.439999999999</v>
      </c>
      <c r="J2">
        <v>771891.84</v>
      </c>
      <c r="K2">
        <v>23603.599999999999</v>
      </c>
      <c r="L2">
        <v>849729.6</v>
      </c>
      <c r="M2">
        <v>45616</v>
      </c>
      <c r="O2" t="s">
        <v>326</v>
      </c>
      <c r="P2" t="s">
        <v>127</v>
      </c>
      <c r="Q2" t="s">
        <v>140</v>
      </c>
      <c r="R2" t="s">
        <v>2446</v>
      </c>
      <c r="S2" t="s">
        <v>2444</v>
      </c>
      <c r="T2" t="s">
        <v>2445</v>
      </c>
      <c r="U2">
        <v>36</v>
      </c>
      <c r="V2" t="s">
        <v>357</v>
      </c>
      <c r="W2" t="s">
        <v>141</v>
      </c>
      <c r="X2" t="s">
        <v>142</v>
      </c>
      <c r="Y2">
        <v>11611</v>
      </c>
      <c r="Z2">
        <v>11612</v>
      </c>
      <c r="AA2" t="s">
        <v>1025</v>
      </c>
      <c r="AB2">
        <v>1</v>
      </c>
    </row>
    <row r="3" spans="1:28">
      <c r="A3">
        <v>1</v>
      </c>
      <c r="B3" t="s">
        <v>887</v>
      </c>
      <c r="C3" t="s">
        <v>2160</v>
      </c>
      <c r="D3" t="s">
        <v>2161</v>
      </c>
      <c r="E3" t="s">
        <v>1761</v>
      </c>
      <c r="F3" t="s">
        <v>1762</v>
      </c>
      <c r="G3">
        <v>5738.7421000000004</v>
      </c>
      <c r="H3">
        <v>413189.43120000005</v>
      </c>
      <c r="I3">
        <v>6306.31</v>
      </c>
      <c r="J3">
        <v>454054.32</v>
      </c>
      <c r="K3">
        <v>6801.8</v>
      </c>
      <c r="L3">
        <v>489729.60000000003</v>
      </c>
      <c r="M3">
        <v>45616</v>
      </c>
      <c r="O3" t="s">
        <v>326</v>
      </c>
      <c r="P3" t="s">
        <v>127</v>
      </c>
      <c r="Q3" t="s">
        <v>140</v>
      </c>
      <c r="R3" t="s">
        <v>2446</v>
      </c>
      <c r="S3" t="s">
        <v>2444</v>
      </c>
      <c r="T3" t="s">
        <v>2445</v>
      </c>
      <c r="U3">
        <v>72</v>
      </c>
      <c r="V3" t="s">
        <v>1022</v>
      </c>
      <c r="W3" t="s">
        <v>141</v>
      </c>
      <c r="X3" t="s">
        <v>142</v>
      </c>
      <c r="Y3">
        <v>11611</v>
      </c>
      <c r="Z3">
        <v>11612</v>
      </c>
      <c r="AA3" t="s">
        <v>1025</v>
      </c>
      <c r="AB3">
        <v>1</v>
      </c>
    </row>
    <row r="4" spans="1:28">
      <c r="A4">
        <v>1</v>
      </c>
      <c r="B4" t="s">
        <v>863</v>
      </c>
      <c r="C4" t="s">
        <v>2160</v>
      </c>
      <c r="D4" t="s">
        <v>2161</v>
      </c>
      <c r="E4" t="s">
        <v>1763</v>
      </c>
      <c r="F4" t="s">
        <v>1764</v>
      </c>
      <c r="G4">
        <v>5738.7421000000004</v>
      </c>
      <c r="H4">
        <v>413189.43120000005</v>
      </c>
      <c r="I4">
        <v>6306.31</v>
      </c>
      <c r="J4">
        <v>454054.32</v>
      </c>
      <c r="K4">
        <v>6801.8</v>
      </c>
      <c r="L4">
        <v>489729.60000000003</v>
      </c>
      <c r="M4">
        <v>45616</v>
      </c>
      <c r="O4" t="s">
        <v>326</v>
      </c>
      <c r="P4" t="s">
        <v>127</v>
      </c>
      <c r="Q4" t="s">
        <v>140</v>
      </c>
      <c r="R4" t="s">
        <v>2446</v>
      </c>
      <c r="S4" t="s">
        <v>2444</v>
      </c>
      <c r="T4" t="s">
        <v>2445</v>
      </c>
      <c r="U4">
        <v>72</v>
      </c>
      <c r="V4" t="s">
        <v>1022</v>
      </c>
      <c r="W4" t="s">
        <v>141</v>
      </c>
      <c r="X4" t="s">
        <v>142</v>
      </c>
      <c r="Y4">
        <v>11611</v>
      </c>
      <c r="Z4">
        <v>11612</v>
      </c>
      <c r="AA4" t="s">
        <v>1025</v>
      </c>
      <c r="AB4">
        <v>1</v>
      </c>
    </row>
    <row r="5" spans="1:28">
      <c r="A5">
        <v>1</v>
      </c>
      <c r="B5" t="s">
        <v>862</v>
      </c>
      <c r="C5" t="s">
        <v>2162</v>
      </c>
      <c r="D5" t="s">
        <v>2163</v>
      </c>
      <c r="E5" t="s">
        <v>1765</v>
      </c>
      <c r="F5" t="s">
        <v>1766</v>
      </c>
      <c r="G5">
        <v>6148.6516000000001</v>
      </c>
      <c r="H5">
        <v>885405.83039999998</v>
      </c>
      <c r="I5">
        <v>6756.76</v>
      </c>
      <c r="J5">
        <v>972973.44000000006</v>
      </c>
      <c r="K5">
        <v>7297.3</v>
      </c>
      <c r="L5">
        <v>1050811.2</v>
      </c>
      <c r="M5">
        <v>45616</v>
      </c>
      <c r="O5" t="s">
        <v>326</v>
      </c>
      <c r="P5" t="s">
        <v>127</v>
      </c>
      <c r="Q5" t="s">
        <v>140</v>
      </c>
      <c r="R5" t="s">
        <v>2446</v>
      </c>
      <c r="S5" t="s">
        <v>2444</v>
      </c>
      <c r="T5" t="s">
        <v>2445</v>
      </c>
      <c r="U5">
        <v>144</v>
      </c>
      <c r="V5" t="s">
        <v>1022</v>
      </c>
      <c r="W5" t="s">
        <v>141</v>
      </c>
      <c r="X5" t="s">
        <v>142</v>
      </c>
      <c r="Y5">
        <v>11611</v>
      </c>
      <c r="Z5">
        <v>11612</v>
      </c>
      <c r="AA5" t="s">
        <v>1025</v>
      </c>
      <c r="AB5">
        <v>1</v>
      </c>
    </row>
    <row r="6" spans="1:28">
      <c r="A6">
        <v>1</v>
      </c>
      <c r="B6" t="s">
        <v>864</v>
      </c>
      <c r="C6" t="s">
        <v>2162</v>
      </c>
      <c r="D6" t="s">
        <v>2163</v>
      </c>
      <c r="E6" t="s">
        <v>1767</v>
      </c>
      <c r="F6" t="s">
        <v>1768</v>
      </c>
      <c r="G6">
        <v>6148.6516000000001</v>
      </c>
      <c r="H6">
        <v>885405.83039999998</v>
      </c>
      <c r="I6">
        <v>6756.76</v>
      </c>
      <c r="J6">
        <v>972973.44000000006</v>
      </c>
      <c r="K6">
        <v>7297.3</v>
      </c>
      <c r="L6">
        <v>1050811.2</v>
      </c>
      <c r="M6">
        <v>45616</v>
      </c>
      <c r="O6" t="s">
        <v>326</v>
      </c>
      <c r="P6" t="s">
        <v>127</v>
      </c>
      <c r="Q6" t="s">
        <v>140</v>
      </c>
      <c r="R6" t="s">
        <v>2446</v>
      </c>
      <c r="S6" t="s">
        <v>2444</v>
      </c>
      <c r="T6" t="s">
        <v>2445</v>
      </c>
      <c r="U6">
        <v>144</v>
      </c>
      <c r="V6" t="s">
        <v>1022</v>
      </c>
      <c r="W6" t="s">
        <v>141</v>
      </c>
      <c r="X6" t="s">
        <v>142</v>
      </c>
      <c r="Y6">
        <v>11611</v>
      </c>
      <c r="Z6">
        <v>11612</v>
      </c>
      <c r="AA6" t="s">
        <v>1025</v>
      </c>
      <c r="AB6">
        <v>1</v>
      </c>
    </row>
    <row r="7" spans="1:28">
      <c r="A7">
        <v>1</v>
      </c>
      <c r="B7" t="s">
        <v>902</v>
      </c>
      <c r="C7" t="s">
        <v>2162</v>
      </c>
      <c r="D7" t="s">
        <v>2163</v>
      </c>
      <c r="E7" t="s">
        <v>1769</v>
      </c>
      <c r="F7" t="s">
        <v>1770</v>
      </c>
      <c r="G7">
        <v>6148.6516000000001</v>
      </c>
      <c r="H7">
        <v>885405.83039999998</v>
      </c>
      <c r="I7">
        <v>6756.76</v>
      </c>
      <c r="J7">
        <v>972973.44000000006</v>
      </c>
      <c r="K7">
        <v>7297.3</v>
      </c>
      <c r="L7">
        <v>1050811.2</v>
      </c>
      <c r="M7">
        <v>45616</v>
      </c>
      <c r="O7" t="s">
        <v>326</v>
      </c>
      <c r="P7" t="s">
        <v>127</v>
      </c>
      <c r="Q7" t="s">
        <v>140</v>
      </c>
      <c r="R7" t="s">
        <v>2446</v>
      </c>
      <c r="S7" t="s">
        <v>2444</v>
      </c>
      <c r="T7" t="s">
        <v>2445</v>
      </c>
      <c r="U7">
        <v>144</v>
      </c>
      <c r="V7" t="s">
        <v>1022</v>
      </c>
      <c r="W7" t="s">
        <v>141</v>
      </c>
      <c r="X7" t="s">
        <v>142</v>
      </c>
      <c r="Y7">
        <v>11611</v>
      </c>
      <c r="Z7">
        <v>11612</v>
      </c>
      <c r="AA7" t="s">
        <v>1025</v>
      </c>
      <c r="AB7">
        <v>1</v>
      </c>
    </row>
    <row r="8" spans="1:28">
      <c r="A8">
        <v>1</v>
      </c>
      <c r="B8" t="s">
        <v>888</v>
      </c>
      <c r="C8" t="s">
        <v>2162</v>
      </c>
      <c r="D8" t="s">
        <v>2163</v>
      </c>
      <c r="E8" t="s">
        <v>1771</v>
      </c>
      <c r="F8" t="s">
        <v>1772</v>
      </c>
      <c r="G8">
        <v>6148.6516000000001</v>
      </c>
      <c r="H8">
        <v>885405.83039999998</v>
      </c>
      <c r="I8">
        <v>6756.76</v>
      </c>
      <c r="J8">
        <v>972973.44000000006</v>
      </c>
      <c r="K8">
        <v>7297.3</v>
      </c>
      <c r="L8">
        <v>1050811.2</v>
      </c>
      <c r="M8">
        <v>45616</v>
      </c>
      <c r="O8" t="s">
        <v>326</v>
      </c>
      <c r="P8" t="s">
        <v>127</v>
      </c>
      <c r="Q8" t="s">
        <v>140</v>
      </c>
      <c r="R8" t="s">
        <v>2446</v>
      </c>
      <c r="S8" t="s">
        <v>2444</v>
      </c>
      <c r="T8" t="s">
        <v>2445</v>
      </c>
      <c r="U8">
        <v>144</v>
      </c>
      <c r="V8" t="s">
        <v>1022</v>
      </c>
      <c r="W8" t="s">
        <v>141</v>
      </c>
      <c r="X8" t="s">
        <v>142</v>
      </c>
      <c r="Y8">
        <v>11611</v>
      </c>
      <c r="Z8">
        <v>11612</v>
      </c>
      <c r="AA8" t="s">
        <v>1025</v>
      </c>
      <c r="AB8">
        <v>1</v>
      </c>
    </row>
    <row r="9" spans="1:28">
      <c r="A9">
        <v>1</v>
      </c>
      <c r="B9" t="s">
        <v>914</v>
      </c>
      <c r="C9" t="s">
        <v>2164</v>
      </c>
      <c r="D9" t="s">
        <v>2165</v>
      </c>
      <c r="E9" t="s">
        <v>1759</v>
      </c>
      <c r="F9" t="s">
        <v>1760</v>
      </c>
      <c r="G9">
        <v>6148.6516000000001</v>
      </c>
      <c r="H9">
        <v>885405.83039999998</v>
      </c>
      <c r="I9">
        <v>6756.76</v>
      </c>
      <c r="J9">
        <v>972973.44000000006</v>
      </c>
      <c r="K9">
        <v>7297.3</v>
      </c>
      <c r="L9">
        <v>1050811.2</v>
      </c>
      <c r="M9">
        <v>45616</v>
      </c>
      <c r="O9" t="s">
        <v>326</v>
      </c>
      <c r="P9" t="s">
        <v>127</v>
      </c>
      <c r="Q9" t="s">
        <v>140</v>
      </c>
      <c r="R9" t="s">
        <v>2446</v>
      </c>
      <c r="S9" t="s">
        <v>2444</v>
      </c>
      <c r="T9" t="s">
        <v>2445</v>
      </c>
      <c r="U9">
        <v>144</v>
      </c>
      <c r="V9" t="s">
        <v>1022</v>
      </c>
      <c r="W9" t="s">
        <v>141</v>
      </c>
      <c r="X9" t="s">
        <v>142</v>
      </c>
      <c r="Y9">
        <v>11611</v>
      </c>
      <c r="Z9">
        <v>11612</v>
      </c>
      <c r="AA9" t="s">
        <v>1025</v>
      </c>
      <c r="AB9">
        <v>1</v>
      </c>
    </row>
    <row r="10" spans="1:28">
      <c r="A10">
        <v>1</v>
      </c>
      <c r="B10" t="s">
        <v>857</v>
      </c>
      <c r="C10" t="s">
        <v>2166</v>
      </c>
      <c r="D10" t="s">
        <v>2167</v>
      </c>
      <c r="E10" t="s">
        <v>1773</v>
      </c>
      <c r="F10" t="s">
        <v>1774</v>
      </c>
      <c r="G10">
        <v>12297.294100000001</v>
      </c>
      <c r="H10">
        <v>1770810.3504000001</v>
      </c>
      <c r="I10">
        <v>13513.51</v>
      </c>
      <c r="J10">
        <v>1945945.44</v>
      </c>
      <c r="K10">
        <v>14594.59</v>
      </c>
      <c r="L10">
        <v>2101620.96</v>
      </c>
      <c r="M10">
        <v>45616</v>
      </c>
      <c r="O10" t="s">
        <v>326</v>
      </c>
      <c r="P10" t="s">
        <v>127</v>
      </c>
      <c r="Q10" t="s">
        <v>140</v>
      </c>
      <c r="R10" t="s">
        <v>2446</v>
      </c>
      <c r="S10" t="s">
        <v>2444</v>
      </c>
      <c r="T10" t="s">
        <v>2445</v>
      </c>
      <c r="U10">
        <v>144</v>
      </c>
      <c r="V10" t="s">
        <v>1023</v>
      </c>
      <c r="W10" t="s">
        <v>141</v>
      </c>
      <c r="X10" t="s">
        <v>142</v>
      </c>
      <c r="Y10">
        <v>11611</v>
      </c>
      <c r="Z10">
        <v>11612</v>
      </c>
      <c r="AA10" t="s">
        <v>1025</v>
      </c>
      <c r="AB10">
        <v>1</v>
      </c>
    </row>
    <row r="11" spans="1:28">
      <c r="A11">
        <v>1</v>
      </c>
      <c r="B11" t="s">
        <v>889</v>
      </c>
      <c r="C11" t="s">
        <v>2168</v>
      </c>
      <c r="D11" t="s">
        <v>2169</v>
      </c>
      <c r="E11" t="s">
        <v>1777</v>
      </c>
      <c r="F11" t="s">
        <v>1778</v>
      </c>
      <c r="G11">
        <v>62716.217199999999</v>
      </c>
      <c r="H11">
        <v>1505189.2127999999</v>
      </c>
      <c r="I11">
        <v>68918.92</v>
      </c>
      <c r="J11">
        <v>1654054.08</v>
      </c>
      <c r="K11">
        <v>72972.97</v>
      </c>
      <c r="L11">
        <v>1751351.28</v>
      </c>
      <c r="M11">
        <v>45616</v>
      </c>
      <c r="O11" t="s">
        <v>326</v>
      </c>
      <c r="P11" t="s">
        <v>127</v>
      </c>
      <c r="Q11" t="s">
        <v>140</v>
      </c>
      <c r="R11" t="s">
        <v>2446</v>
      </c>
      <c r="S11" t="s">
        <v>2444</v>
      </c>
      <c r="T11" t="s">
        <v>2445</v>
      </c>
      <c r="U11">
        <v>24</v>
      </c>
      <c r="V11" t="s">
        <v>357</v>
      </c>
      <c r="W11" t="s">
        <v>141</v>
      </c>
      <c r="X11" t="s">
        <v>142</v>
      </c>
      <c r="Y11">
        <v>11611</v>
      </c>
      <c r="Z11">
        <v>11612</v>
      </c>
      <c r="AA11" t="s">
        <v>1025</v>
      </c>
      <c r="AB11">
        <v>1</v>
      </c>
    </row>
    <row r="12" spans="1:28">
      <c r="A12">
        <v>1</v>
      </c>
      <c r="B12" t="s">
        <v>903</v>
      </c>
      <c r="C12" t="s">
        <v>2168</v>
      </c>
      <c r="D12" t="s">
        <v>2169</v>
      </c>
      <c r="E12" t="s">
        <v>1779</v>
      </c>
      <c r="F12" t="s">
        <v>1780</v>
      </c>
      <c r="G12">
        <v>62716.217199999999</v>
      </c>
      <c r="H12">
        <v>1505189.2127999999</v>
      </c>
      <c r="I12">
        <v>68918.92</v>
      </c>
      <c r="J12">
        <v>1654054.08</v>
      </c>
      <c r="K12">
        <v>72972.97</v>
      </c>
      <c r="L12">
        <v>1751351.28</v>
      </c>
      <c r="M12">
        <v>45616</v>
      </c>
      <c r="O12" t="s">
        <v>326</v>
      </c>
      <c r="P12" t="s">
        <v>127</v>
      </c>
      <c r="Q12" t="s">
        <v>140</v>
      </c>
      <c r="R12" t="s">
        <v>2446</v>
      </c>
      <c r="S12" t="s">
        <v>2444</v>
      </c>
      <c r="T12" t="s">
        <v>2445</v>
      </c>
      <c r="U12">
        <v>24</v>
      </c>
      <c r="V12" t="s">
        <v>357</v>
      </c>
      <c r="W12" t="s">
        <v>141</v>
      </c>
      <c r="X12" t="s">
        <v>142</v>
      </c>
      <c r="Y12">
        <v>11611</v>
      </c>
      <c r="Z12">
        <v>11612</v>
      </c>
      <c r="AA12" t="s">
        <v>1025</v>
      </c>
      <c r="AB12">
        <v>1</v>
      </c>
    </row>
    <row r="13" spans="1:28">
      <c r="A13">
        <v>1</v>
      </c>
      <c r="B13" t="s">
        <v>865</v>
      </c>
      <c r="C13" t="s">
        <v>2168</v>
      </c>
      <c r="D13" t="s">
        <v>2169</v>
      </c>
      <c r="E13" t="s">
        <v>1781</v>
      </c>
      <c r="F13" t="s">
        <v>1782</v>
      </c>
      <c r="G13">
        <v>62716.217199999999</v>
      </c>
      <c r="H13">
        <v>1505189.2127999999</v>
      </c>
      <c r="I13">
        <v>68918.92</v>
      </c>
      <c r="J13">
        <v>1654054.08</v>
      </c>
      <c r="K13">
        <v>72972.97</v>
      </c>
      <c r="L13">
        <v>1751351.28</v>
      </c>
      <c r="M13">
        <v>45616</v>
      </c>
      <c r="O13" t="s">
        <v>326</v>
      </c>
      <c r="P13" t="s">
        <v>127</v>
      </c>
      <c r="Q13" t="s">
        <v>140</v>
      </c>
      <c r="R13" t="s">
        <v>2446</v>
      </c>
      <c r="S13" t="s">
        <v>2444</v>
      </c>
      <c r="T13" t="s">
        <v>2445</v>
      </c>
      <c r="U13">
        <v>24</v>
      </c>
      <c r="V13" t="s">
        <v>357</v>
      </c>
      <c r="W13" t="s">
        <v>141</v>
      </c>
      <c r="X13" t="s">
        <v>142</v>
      </c>
      <c r="Y13">
        <v>11611</v>
      </c>
      <c r="Z13">
        <v>11612</v>
      </c>
      <c r="AA13" t="s">
        <v>1025</v>
      </c>
      <c r="AB13">
        <v>1</v>
      </c>
    </row>
    <row r="14" spans="1:28">
      <c r="A14">
        <v>1</v>
      </c>
      <c r="B14" t="s">
        <v>904</v>
      </c>
      <c r="C14" t="s">
        <v>2170</v>
      </c>
      <c r="D14" t="s">
        <v>2171</v>
      </c>
      <c r="E14" t="s">
        <v>1783</v>
      </c>
      <c r="F14" t="s">
        <v>1784</v>
      </c>
      <c r="G14">
        <v>7157.4866999999995</v>
      </c>
      <c r="H14">
        <v>257669.52119999999</v>
      </c>
      <c r="I14">
        <v>7865.37</v>
      </c>
      <c r="J14">
        <v>283153.32</v>
      </c>
      <c r="K14">
        <v>8501</v>
      </c>
      <c r="L14">
        <v>306036</v>
      </c>
      <c r="M14">
        <v>45616</v>
      </c>
      <c r="O14" t="s">
        <v>326</v>
      </c>
      <c r="P14" t="s">
        <v>127</v>
      </c>
      <c r="Q14" t="s">
        <v>140</v>
      </c>
      <c r="R14" t="s">
        <v>2446</v>
      </c>
      <c r="S14" t="s">
        <v>2444</v>
      </c>
      <c r="T14" t="s">
        <v>2445</v>
      </c>
      <c r="U14">
        <v>36</v>
      </c>
      <c r="V14" t="s">
        <v>357</v>
      </c>
      <c r="W14" t="s">
        <v>141</v>
      </c>
      <c r="X14" t="s">
        <v>142</v>
      </c>
      <c r="Y14">
        <v>11611</v>
      </c>
      <c r="Z14">
        <v>11612</v>
      </c>
      <c r="AA14" t="s">
        <v>1025</v>
      </c>
      <c r="AB14">
        <v>1</v>
      </c>
    </row>
    <row r="15" spans="1:28">
      <c r="A15">
        <v>1</v>
      </c>
      <c r="B15" t="s">
        <v>905</v>
      </c>
      <c r="C15" t="s">
        <v>2170</v>
      </c>
      <c r="D15" t="s">
        <v>2171</v>
      </c>
      <c r="E15" t="s">
        <v>1785</v>
      </c>
      <c r="F15" t="s">
        <v>1786</v>
      </c>
      <c r="G15">
        <v>12203.928099999999</v>
      </c>
      <c r="H15">
        <v>439341.41159999999</v>
      </c>
      <c r="I15">
        <v>13410.91</v>
      </c>
      <c r="J15">
        <v>482792.76</v>
      </c>
      <c r="K15">
        <v>14502</v>
      </c>
      <c r="L15">
        <v>522072</v>
      </c>
      <c r="M15">
        <v>45616</v>
      </c>
      <c r="O15" t="s">
        <v>326</v>
      </c>
      <c r="P15" t="s">
        <v>127</v>
      </c>
      <c r="Q15" t="s">
        <v>140</v>
      </c>
      <c r="R15" t="s">
        <v>2446</v>
      </c>
      <c r="S15" t="s">
        <v>2444</v>
      </c>
      <c r="T15" t="s">
        <v>2445</v>
      </c>
      <c r="U15">
        <v>36</v>
      </c>
      <c r="V15" t="s">
        <v>357</v>
      </c>
      <c r="W15" t="s">
        <v>141</v>
      </c>
      <c r="X15" t="s">
        <v>142</v>
      </c>
      <c r="Y15">
        <v>11611</v>
      </c>
      <c r="Z15">
        <v>11612</v>
      </c>
      <c r="AA15" t="s">
        <v>1025</v>
      </c>
      <c r="AB15">
        <v>1</v>
      </c>
    </row>
    <row r="16" spans="1:28">
      <c r="A16">
        <v>1</v>
      </c>
      <c r="B16" t="s">
        <v>907</v>
      </c>
      <c r="C16" t="s">
        <v>2170</v>
      </c>
      <c r="D16" t="s">
        <v>2171</v>
      </c>
      <c r="E16" t="s">
        <v>1787</v>
      </c>
      <c r="F16" t="s">
        <v>1788</v>
      </c>
      <c r="G16">
        <v>19839.637999999999</v>
      </c>
      <c r="H16">
        <v>714226.96799999999</v>
      </c>
      <c r="I16">
        <v>21801.8</v>
      </c>
      <c r="J16">
        <v>784864.79999999993</v>
      </c>
      <c r="K16">
        <v>23513.51</v>
      </c>
      <c r="L16">
        <v>846486.36</v>
      </c>
      <c r="M16">
        <v>45616</v>
      </c>
      <c r="O16" t="s">
        <v>326</v>
      </c>
      <c r="P16" t="s">
        <v>127</v>
      </c>
      <c r="Q16" t="s">
        <v>140</v>
      </c>
      <c r="R16" t="s">
        <v>2446</v>
      </c>
      <c r="S16" t="s">
        <v>2444</v>
      </c>
      <c r="T16" t="s">
        <v>2445</v>
      </c>
      <c r="U16">
        <v>36</v>
      </c>
      <c r="V16" t="s">
        <v>357</v>
      </c>
      <c r="W16" t="s">
        <v>141</v>
      </c>
      <c r="X16" t="s">
        <v>142</v>
      </c>
      <c r="Y16">
        <v>11611</v>
      </c>
      <c r="Z16">
        <v>11612</v>
      </c>
      <c r="AA16" t="s">
        <v>1025</v>
      </c>
      <c r="AB16">
        <v>1</v>
      </c>
    </row>
    <row r="17" spans="1:28">
      <c r="A17">
        <v>1</v>
      </c>
      <c r="B17" t="s">
        <v>882</v>
      </c>
      <c r="C17" t="s">
        <v>2166</v>
      </c>
      <c r="D17" t="s">
        <v>2167</v>
      </c>
      <c r="E17" t="s">
        <v>1775</v>
      </c>
      <c r="F17" t="s">
        <v>1776</v>
      </c>
      <c r="G17">
        <v>6148.6516000000001</v>
      </c>
      <c r="H17">
        <v>1770811.6608</v>
      </c>
      <c r="I17">
        <v>6756.76</v>
      </c>
      <c r="J17">
        <v>1945946.8800000001</v>
      </c>
      <c r="K17">
        <v>7297.3</v>
      </c>
      <c r="L17">
        <v>2101622.4</v>
      </c>
      <c r="M17">
        <v>45616</v>
      </c>
      <c r="O17" t="s">
        <v>326</v>
      </c>
      <c r="P17" t="s">
        <v>127</v>
      </c>
      <c r="Q17" t="s">
        <v>140</v>
      </c>
      <c r="R17" t="s">
        <v>2446</v>
      </c>
      <c r="S17" t="s">
        <v>2444</v>
      </c>
      <c r="T17" t="s">
        <v>2445</v>
      </c>
      <c r="U17">
        <v>288</v>
      </c>
      <c r="V17" t="s">
        <v>1023</v>
      </c>
      <c r="W17" t="s">
        <v>141</v>
      </c>
      <c r="X17" t="s">
        <v>142</v>
      </c>
      <c r="Y17">
        <v>11611</v>
      </c>
      <c r="Z17">
        <v>11612</v>
      </c>
      <c r="AA17" t="s">
        <v>1025</v>
      </c>
      <c r="AB17">
        <v>1</v>
      </c>
    </row>
    <row r="18" spans="1:28">
      <c r="A18">
        <v>1</v>
      </c>
      <c r="B18" t="s">
        <v>892</v>
      </c>
      <c r="C18" t="s">
        <v>2164</v>
      </c>
      <c r="D18" t="s">
        <v>2165</v>
      </c>
      <c r="E18" t="s">
        <v>2410</v>
      </c>
      <c r="F18" t="s">
        <v>1758</v>
      </c>
      <c r="G18">
        <v>16396.3982</v>
      </c>
      <c r="H18">
        <v>393513.55680000002</v>
      </c>
      <c r="I18">
        <v>18018.02</v>
      </c>
      <c r="J18">
        <v>432432.48</v>
      </c>
      <c r="K18">
        <v>19639.64</v>
      </c>
      <c r="L18">
        <v>471351.36</v>
      </c>
      <c r="M18">
        <v>45616</v>
      </c>
      <c r="O18" t="s">
        <v>326</v>
      </c>
      <c r="P18" t="s">
        <v>127</v>
      </c>
      <c r="Q18" t="s">
        <v>140</v>
      </c>
      <c r="R18" t="s">
        <v>2446</v>
      </c>
      <c r="S18" t="s">
        <v>2444</v>
      </c>
      <c r="T18" t="s">
        <v>2445</v>
      </c>
      <c r="U18">
        <v>24</v>
      </c>
      <c r="V18" t="s">
        <v>1021</v>
      </c>
      <c r="W18" t="s">
        <v>141</v>
      </c>
      <c r="X18" t="s">
        <v>142</v>
      </c>
      <c r="Y18">
        <v>11611</v>
      </c>
      <c r="Z18">
        <v>11612</v>
      </c>
      <c r="AA18" t="s">
        <v>1025</v>
      </c>
      <c r="AB18">
        <v>1</v>
      </c>
    </row>
    <row r="19" spans="1:28">
      <c r="A19">
        <v>1</v>
      </c>
      <c r="B19" t="s">
        <v>908</v>
      </c>
      <c r="C19" t="s">
        <v>2164</v>
      </c>
      <c r="D19" t="s">
        <v>2165</v>
      </c>
      <c r="E19" t="s">
        <v>1756</v>
      </c>
      <c r="F19" t="s">
        <v>1757</v>
      </c>
      <c r="G19">
        <v>6148.6516000000001</v>
      </c>
      <c r="H19">
        <v>885405.83039999998</v>
      </c>
      <c r="I19">
        <v>6756.76</v>
      </c>
      <c r="J19">
        <v>972973.44000000006</v>
      </c>
      <c r="K19">
        <v>7297.3</v>
      </c>
      <c r="L19">
        <v>1050811.2</v>
      </c>
      <c r="M19">
        <v>45616</v>
      </c>
      <c r="O19" t="s">
        <v>326</v>
      </c>
      <c r="P19" t="s">
        <v>127</v>
      </c>
      <c r="Q19" t="s">
        <v>140</v>
      </c>
      <c r="R19" t="s">
        <v>2446</v>
      </c>
      <c r="S19" t="s">
        <v>2444</v>
      </c>
      <c r="T19" t="s">
        <v>2445</v>
      </c>
      <c r="U19">
        <v>144</v>
      </c>
      <c r="V19" t="s">
        <v>1022</v>
      </c>
      <c r="W19" t="s">
        <v>141</v>
      </c>
      <c r="X19" t="s">
        <v>142</v>
      </c>
      <c r="Y19">
        <v>11611</v>
      </c>
      <c r="Z19">
        <v>11612</v>
      </c>
      <c r="AA19" t="s">
        <v>1025</v>
      </c>
      <c r="AB19">
        <v>1</v>
      </c>
    </row>
    <row r="20" spans="1:28">
      <c r="A20">
        <v>1</v>
      </c>
      <c r="B20" t="s">
        <v>900</v>
      </c>
      <c r="C20" t="s">
        <v>2164</v>
      </c>
      <c r="D20" t="s">
        <v>2165</v>
      </c>
      <c r="E20" t="s">
        <v>1754</v>
      </c>
      <c r="F20" t="s">
        <v>1755</v>
      </c>
      <c r="G20">
        <v>6148.6516000000001</v>
      </c>
      <c r="H20">
        <v>885405.83039999998</v>
      </c>
      <c r="I20">
        <v>6756.76</v>
      </c>
      <c r="J20">
        <v>972973.44000000006</v>
      </c>
      <c r="K20">
        <v>7297.3</v>
      </c>
      <c r="L20">
        <v>1050811.2</v>
      </c>
      <c r="M20">
        <v>45616</v>
      </c>
      <c r="O20" t="s">
        <v>326</v>
      </c>
      <c r="P20" t="s">
        <v>127</v>
      </c>
      <c r="Q20" t="s">
        <v>140</v>
      </c>
      <c r="R20" t="s">
        <v>2446</v>
      </c>
      <c r="S20" t="s">
        <v>2444</v>
      </c>
      <c r="T20" t="s">
        <v>2445</v>
      </c>
      <c r="U20">
        <v>144</v>
      </c>
      <c r="V20" t="s">
        <v>1022</v>
      </c>
      <c r="W20" t="s">
        <v>141</v>
      </c>
      <c r="X20" t="s">
        <v>142</v>
      </c>
      <c r="Y20">
        <v>11611</v>
      </c>
      <c r="Z20">
        <v>11612</v>
      </c>
      <c r="AA20" t="s">
        <v>1025</v>
      </c>
      <c r="AB20">
        <v>1</v>
      </c>
    </row>
    <row r="21" spans="1:28">
      <c r="A21">
        <v>1</v>
      </c>
      <c r="B21" t="s">
        <v>901</v>
      </c>
      <c r="C21" t="s">
        <v>2172</v>
      </c>
      <c r="D21" t="s">
        <v>2173</v>
      </c>
      <c r="E21" t="s">
        <v>1728</v>
      </c>
      <c r="F21" t="s">
        <v>1729</v>
      </c>
      <c r="G21">
        <v>6148.6486298611107</v>
      </c>
      <c r="H21">
        <v>885405.40269999998</v>
      </c>
      <c r="I21">
        <v>6756.7567361111105</v>
      </c>
      <c r="J21">
        <v>972972.97</v>
      </c>
      <c r="K21">
        <v>7297.2973000000002</v>
      </c>
      <c r="L21">
        <v>1050810.8112000001</v>
      </c>
      <c r="M21">
        <v>45616</v>
      </c>
      <c r="O21" t="s">
        <v>326</v>
      </c>
      <c r="P21" t="s">
        <v>127</v>
      </c>
      <c r="Q21" t="s">
        <v>140</v>
      </c>
      <c r="R21" t="s">
        <v>2446</v>
      </c>
      <c r="S21" t="s">
        <v>2444</v>
      </c>
      <c r="T21" t="s">
        <v>2445</v>
      </c>
      <c r="U21">
        <v>144</v>
      </c>
      <c r="V21" t="s">
        <v>1022</v>
      </c>
      <c r="W21" t="s">
        <v>141</v>
      </c>
      <c r="X21" t="s">
        <v>142</v>
      </c>
      <c r="Y21">
        <v>11611</v>
      </c>
      <c r="Z21">
        <v>11612</v>
      </c>
      <c r="AA21" t="s">
        <v>1025</v>
      </c>
      <c r="AB21">
        <v>1</v>
      </c>
    </row>
    <row r="22" spans="1:28">
      <c r="A22">
        <v>1</v>
      </c>
      <c r="B22" t="s">
        <v>2437</v>
      </c>
      <c r="C22" t="s">
        <v>2172</v>
      </c>
      <c r="D22" t="s">
        <v>2173</v>
      </c>
      <c r="E22" t="s">
        <v>2439</v>
      </c>
      <c r="F22" t="s">
        <v>2441</v>
      </c>
      <c r="G22">
        <v>16396.396396396394</v>
      </c>
      <c r="H22">
        <v>393513.51351351349</v>
      </c>
      <c r="I22">
        <v>18018.018018018014</v>
      </c>
      <c r="J22">
        <v>432432.43243243231</v>
      </c>
      <c r="K22">
        <v>19639.639639639638</v>
      </c>
      <c r="L22">
        <v>471351.3513513513</v>
      </c>
      <c r="M22">
        <v>45616</v>
      </c>
      <c r="O22" t="s">
        <v>326</v>
      </c>
      <c r="P22" t="s">
        <v>127</v>
      </c>
      <c r="Q22" t="s">
        <v>140</v>
      </c>
      <c r="R22" t="s">
        <v>2446</v>
      </c>
      <c r="S22" t="s">
        <v>2444</v>
      </c>
      <c r="T22" t="s">
        <v>2445</v>
      </c>
      <c r="U22">
        <v>24</v>
      </c>
      <c r="V22" t="s">
        <v>1021</v>
      </c>
      <c r="W22" t="s">
        <v>141</v>
      </c>
      <c r="X22" t="s">
        <v>142</v>
      </c>
      <c r="Y22">
        <v>11611</v>
      </c>
      <c r="Z22">
        <v>11612</v>
      </c>
      <c r="AA22" t="s">
        <v>1025</v>
      </c>
      <c r="AB22">
        <v>1</v>
      </c>
    </row>
    <row r="23" spans="1:28">
      <c r="A23">
        <v>1</v>
      </c>
      <c r="B23" t="s">
        <v>909</v>
      </c>
      <c r="C23" t="s">
        <v>2172</v>
      </c>
      <c r="D23" t="s">
        <v>2173</v>
      </c>
      <c r="E23" t="s">
        <v>1730</v>
      </c>
      <c r="F23" t="s">
        <v>1731</v>
      </c>
      <c r="G23">
        <v>6148.6486298611107</v>
      </c>
      <c r="H23">
        <v>885405.40269999998</v>
      </c>
      <c r="I23">
        <v>6756.7567361111105</v>
      </c>
      <c r="J23">
        <v>972972.97</v>
      </c>
      <c r="K23">
        <v>7297.2973000000002</v>
      </c>
      <c r="L23">
        <v>1050810.8112000001</v>
      </c>
      <c r="M23">
        <v>45616</v>
      </c>
      <c r="O23" t="s">
        <v>326</v>
      </c>
      <c r="P23" t="s">
        <v>127</v>
      </c>
      <c r="Q23" t="s">
        <v>140</v>
      </c>
      <c r="R23" t="s">
        <v>2446</v>
      </c>
      <c r="S23" t="s">
        <v>2444</v>
      </c>
      <c r="T23" t="s">
        <v>2445</v>
      </c>
      <c r="U23">
        <v>144</v>
      </c>
      <c r="V23" t="s">
        <v>1022</v>
      </c>
      <c r="W23" t="s">
        <v>141</v>
      </c>
      <c r="X23" t="s">
        <v>142</v>
      </c>
      <c r="Y23">
        <v>11611</v>
      </c>
      <c r="Z23">
        <v>11612</v>
      </c>
      <c r="AA23" t="s">
        <v>1025</v>
      </c>
      <c r="AB23">
        <v>1</v>
      </c>
    </row>
    <row r="24" spans="1:28">
      <c r="A24">
        <v>1</v>
      </c>
      <c r="B24" t="s">
        <v>860</v>
      </c>
      <c r="C24" t="s">
        <v>2172</v>
      </c>
      <c r="D24" t="s">
        <v>2173</v>
      </c>
      <c r="E24" t="s">
        <v>1732</v>
      </c>
      <c r="F24" t="s">
        <v>1733</v>
      </c>
      <c r="G24">
        <v>6148.6486880000002</v>
      </c>
      <c r="H24">
        <v>885405.41107200005</v>
      </c>
      <c r="I24">
        <v>6756.7567567567567</v>
      </c>
      <c r="J24">
        <v>972972.97297297302</v>
      </c>
      <c r="K24">
        <v>7297.2973000000002</v>
      </c>
      <c r="L24">
        <v>1050810.8112000001</v>
      </c>
      <c r="M24">
        <v>45616</v>
      </c>
      <c r="O24" t="s">
        <v>326</v>
      </c>
      <c r="P24" t="s">
        <v>127</v>
      </c>
      <c r="Q24" t="s">
        <v>140</v>
      </c>
      <c r="R24" t="s">
        <v>2446</v>
      </c>
      <c r="S24" t="s">
        <v>2444</v>
      </c>
      <c r="T24" t="s">
        <v>2445</v>
      </c>
      <c r="U24">
        <v>144</v>
      </c>
      <c r="V24" t="s">
        <v>1022</v>
      </c>
      <c r="W24" t="s">
        <v>141</v>
      </c>
      <c r="X24" t="s">
        <v>142</v>
      </c>
      <c r="Y24">
        <v>11611</v>
      </c>
      <c r="Z24">
        <v>11612</v>
      </c>
      <c r="AA24" t="s">
        <v>1025</v>
      </c>
      <c r="AB24">
        <v>1</v>
      </c>
    </row>
    <row r="25" spans="1:28">
      <c r="A25">
        <v>1</v>
      </c>
      <c r="B25" t="s">
        <v>866</v>
      </c>
      <c r="C25" t="s">
        <v>2172</v>
      </c>
      <c r="D25" t="s">
        <v>2173</v>
      </c>
      <c r="E25" t="s">
        <v>2408</v>
      </c>
      <c r="F25" t="s">
        <v>1734</v>
      </c>
      <c r="G25">
        <v>17462.162141666668</v>
      </c>
      <c r="H25">
        <v>419091.89140000002</v>
      </c>
      <c r="I25">
        <v>19189.189166666667</v>
      </c>
      <c r="J25">
        <v>460540.54000000004</v>
      </c>
      <c r="K25">
        <v>20720.720720720721</v>
      </c>
      <c r="L25">
        <v>497297.29729729728</v>
      </c>
      <c r="M25">
        <v>45616</v>
      </c>
      <c r="O25" t="s">
        <v>326</v>
      </c>
      <c r="P25" t="s">
        <v>127</v>
      </c>
      <c r="Q25" t="s">
        <v>140</v>
      </c>
      <c r="R25" t="s">
        <v>2446</v>
      </c>
      <c r="S25" t="s">
        <v>2444</v>
      </c>
      <c r="T25" t="s">
        <v>2445</v>
      </c>
      <c r="U25">
        <v>24</v>
      </c>
      <c r="V25" t="s">
        <v>1021</v>
      </c>
      <c r="W25" t="s">
        <v>141</v>
      </c>
      <c r="X25" t="s">
        <v>142</v>
      </c>
      <c r="Y25">
        <v>11611</v>
      </c>
      <c r="Z25">
        <v>11612</v>
      </c>
      <c r="AA25" t="s">
        <v>1025</v>
      </c>
      <c r="AB25">
        <v>1</v>
      </c>
    </row>
    <row r="26" spans="1:28">
      <c r="A26">
        <v>1</v>
      </c>
      <c r="B26" t="s">
        <v>891</v>
      </c>
      <c r="C26" t="s">
        <v>2174</v>
      </c>
      <c r="D26" t="s">
        <v>2175</v>
      </c>
      <c r="E26" t="s">
        <v>1735</v>
      </c>
      <c r="F26" t="s">
        <v>1736</v>
      </c>
      <c r="G26">
        <v>6123.5992999999999</v>
      </c>
      <c r="H26">
        <v>220449.5748</v>
      </c>
      <c r="I26">
        <v>6729.23</v>
      </c>
      <c r="J26">
        <v>242252.27999999997</v>
      </c>
      <c r="K26">
        <v>7274.77</v>
      </c>
      <c r="L26">
        <v>261891.72000000003</v>
      </c>
      <c r="M26">
        <v>45616</v>
      </c>
      <c r="O26" t="s">
        <v>326</v>
      </c>
      <c r="P26" t="s">
        <v>127</v>
      </c>
      <c r="Q26" t="s">
        <v>140</v>
      </c>
      <c r="R26" t="s">
        <v>2446</v>
      </c>
      <c r="S26" t="s">
        <v>2444</v>
      </c>
      <c r="T26" t="s">
        <v>2445</v>
      </c>
      <c r="U26">
        <v>36</v>
      </c>
      <c r="V26" t="s">
        <v>357</v>
      </c>
      <c r="W26" t="s">
        <v>141</v>
      </c>
      <c r="X26" t="s">
        <v>142</v>
      </c>
      <c r="Y26">
        <v>11611</v>
      </c>
      <c r="Z26">
        <v>11612</v>
      </c>
      <c r="AA26" t="s">
        <v>1025</v>
      </c>
      <c r="AB26">
        <v>1</v>
      </c>
    </row>
    <row r="27" spans="1:28">
      <c r="A27">
        <v>1</v>
      </c>
      <c r="B27" t="s">
        <v>895</v>
      </c>
      <c r="C27" t="s">
        <v>2174</v>
      </c>
      <c r="D27" t="s">
        <v>2175</v>
      </c>
      <c r="E27" t="s">
        <v>1737</v>
      </c>
      <c r="F27" t="s">
        <v>1738</v>
      </c>
      <c r="G27">
        <v>10507.360499999999</v>
      </c>
      <c r="H27">
        <v>378264.97799999994</v>
      </c>
      <c r="I27">
        <v>11546.55</v>
      </c>
      <c r="J27">
        <v>415675.8</v>
      </c>
      <c r="K27">
        <v>12500</v>
      </c>
      <c r="L27">
        <v>450000</v>
      </c>
      <c r="M27">
        <v>45616</v>
      </c>
      <c r="O27" t="s">
        <v>326</v>
      </c>
      <c r="P27" t="s">
        <v>127</v>
      </c>
      <c r="Q27" t="s">
        <v>140</v>
      </c>
      <c r="R27" t="s">
        <v>2446</v>
      </c>
      <c r="S27" t="s">
        <v>2444</v>
      </c>
      <c r="T27" t="s">
        <v>2445</v>
      </c>
      <c r="U27">
        <v>36</v>
      </c>
      <c r="V27" t="s">
        <v>357</v>
      </c>
      <c r="W27" t="s">
        <v>141</v>
      </c>
      <c r="X27" t="s">
        <v>142</v>
      </c>
      <c r="Y27">
        <v>11611</v>
      </c>
      <c r="Z27">
        <v>11612</v>
      </c>
      <c r="AA27" t="s">
        <v>1025</v>
      </c>
      <c r="AB27">
        <v>1</v>
      </c>
    </row>
    <row r="28" spans="1:28">
      <c r="A28">
        <v>1</v>
      </c>
      <c r="B28" t="s">
        <v>869</v>
      </c>
      <c r="C28" t="s">
        <v>2174</v>
      </c>
      <c r="D28" t="s">
        <v>2175</v>
      </c>
      <c r="E28" t="s">
        <v>1739</v>
      </c>
      <c r="F28" t="s">
        <v>1740</v>
      </c>
      <c r="G28">
        <v>6123.5992999999999</v>
      </c>
      <c r="H28">
        <v>220449.5748</v>
      </c>
      <c r="I28">
        <v>6729.23</v>
      </c>
      <c r="J28">
        <v>242252.27999999997</v>
      </c>
      <c r="K28">
        <v>7274.77</v>
      </c>
      <c r="L28">
        <v>261891.72000000003</v>
      </c>
      <c r="M28">
        <v>45616</v>
      </c>
      <c r="O28" t="s">
        <v>326</v>
      </c>
      <c r="P28" t="s">
        <v>127</v>
      </c>
      <c r="Q28" t="s">
        <v>140</v>
      </c>
      <c r="R28" t="s">
        <v>2446</v>
      </c>
      <c r="S28" t="s">
        <v>2444</v>
      </c>
      <c r="T28" t="s">
        <v>2445</v>
      </c>
      <c r="U28">
        <v>36</v>
      </c>
      <c r="V28" t="s">
        <v>357</v>
      </c>
      <c r="W28" t="s">
        <v>141</v>
      </c>
      <c r="X28" t="s">
        <v>142</v>
      </c>
      <c r="Y28">
        <v>11611</v>
      </c>
      <c r="Z28">
        <v>11612</v>
      </c>
      <c r="AA28" t="s">
        <v>1025</v>
      </c>
      <c r="AB28">
        <v>1</v>
      </c>
    </row>
    <row r="29" spans="1:28">
      <c r="A29">
        <v>1</v>
      </c>
      <c r="B29" t="s">
        <v>876</v>
      </c>
      <c r="C29" t="s">
        <v>2174</v>
      </c>
      <c r="D29" t="s">
        <v>2175</v>
      </c>
      <c r="E29" t="s">
        <v>1741</v>
      </c>
      <c r="F29" t="s">
        <v>1742</v>
      </c>
      <c r="G29">
        <v>10507.360499999999</v>
      </c>
      <c r="H29">
        <v>378264.97799999994</v>
      </c>
      <c r="I29">
        <v>11546.55</v>
      </c>
      <c r="J29">
        <v>415675.8</v>
      </c>
      <c r="K29">
        <v>12500</v>
      </c>
      <c r="L29">
        <v>450000</v>
      </c>
      <c r="M29">
        <v>45616</v>
      </c>
      <c r="O29" t="s">
        <v>326</v>
      </c>
      <c r="P29" t="s">
        <v>127</v>
      </c>
      <c r="Q29" t="s">
        <v>140</v>
      </c>
      <c r="R29" t="s">
        <v>2446</v>
      </c>
      <c r="S29" t="s">
        <v>2444</v>
      </c>
      <c r="T29" t="s">
        <v>2445</v>
      </c>
      <c r="U29">
        <v>36</v>
      </c>
      <c r="V29" t="s">
        <v>357</v>
      </c>
      <c r="W29" t="s">
        <v>141</v>
      </c>
      <c r="X29" t="s">
        <v>142</v>
      </c>
      <c r="Y29">
        <v>11611</v>
      </c>
      <c r="Z29">
        <v>11612</v>
      </c>
      <c r="AA29" t="s">
        <v>1025</v>
      </c>
      <c r="AB29">
        <v>1</v>
      </c>
    </row>
    <row r="30" spans="1:28">
      <c r="A30">
        <v>1</v>
      </c>
      <c r="B30" t="s">
        <v>858</v>
      </c>
      <c r="C30" t="s">
        <v>2176</v>
      </c>
      <c r="D30" t="s">
        <v>2177</v>
      </c>
      <c r="E30" t="s">
        <v>1743</v>
      </c>
      <c r="F30" t="s">
        <v>1744</v>
      </c>
      <c r="G30">
        <v>11996.693800000001</v>
      </c>
      <c r="H30">
        <v>575841.30240000004</v>
      </c>
      <c r="I30">
        <v>13183.18</v>
      </c>
      <c r="J30">
        <v>632792.64</v>
      </c>
      <c r="K30">
        <v>14234.23</v>
      </c>
      <c r="L30">
        <v>683243.04</v>
      </c>
      <c r="M30">
        <v>45616</v>
      </c>
      <c r="O30" t="s">
        <v>326</v>
      </c>
      <c r="P30" t="s">
        <v>127</v>
      </c>
      <c r="Q30" t="s">
        <v>140</v>
      </c>
      <c r="R30" t="s">
        <v>2446</v>
      </c>
      <c r="S30" t="s">
        <v>2444</v>
      </c>
      <c r="T30" t="s">
        <v>2445</v>
      </c>
      <c r="U30">
        <v>48</v>
      </c>
      <c r="V30" t="s">
        <v>1024</v>
      </c>
      <c r="W30" t="s">
        <v>141</v>
      </c>
      <c r="X30" t="s">
        <v>142</v>
      </c>
      <c r="Y30">
        <v>11611</v>
      </c>
      <c r="Z30">
        <v>11612</v>
      </c>
      <c r="AA30" t="s">
        <v>1025</v>
      </c>
      <c r="AB30">
        <v>1</v>
      </c>
    </row>
    <row r="31" spans="1:28">
      <c r="A31">
        <v>1</v>
      </c>
      <c r="B31" t="s">
        <v>859</v>
      </c>
      <c r="C31" t="s">
        <v>2176</v>
      </c>
      <c r="D31" t="s">
        <v>2177</v>
      </c>
      <c r="E31" t="s">
        <v>1745</v>
      </c>
      <c r="F31" t="s">
        <v>1746</v>
      </c>
      <c r="G31">
        <v>46039.711899999995</v>
      </c>
      <c r="H31">
        <v>1104953.0855999999</v>
      </c>
      <c r="I31">
        <v>50593.09</v>
      </c>
      <c r="J31">
        <v>1214234.1599999999</v>
      </c>
      <c r="K31">
        <v>54684.68</v>
      </c>
      <c r="L31">
        <v>1312432.32</v>
      </c>
      <c r="M31">
        <v>45616</v>
      </c>
      <c r="O31" t="s">
        <v>326</v>
      </c>
      <c r="P31" t="s">
        <v>127</v>
      </c>
      <c r="Q31" t="s">
        <v>140</v>
      </c>
      <c r="R31" t="s">
        <v>2446</v>
      </c>
      <c r="S31" t="s">
        <v>2444</v>
      </c>
      <c r="T31" t="s">
        <v>2445</v>
      </c>
      <c r="U31">
        <v>24</v>
      </c>
      <c r="V31" t="s">
        <v>1019</v>
      </c>
      <c r="W31" t="s">
        <v>141</v>
      </c>
      <c r="X31" t="s">
        <v>142</v>
      </c>
      <c r="Y31">
        <v>11611</v>
      </c>
      <c r="Z31">
        <v>11612</v>
      </c>
      <c r="AA31" t="s">
        <v>1025</v>
      </c>
      <c r="AB31">
        <v>1</v>
      </c>
    </row>
    <row r="32" spans="1:28">
      <c r="A32">
        <v>1</v>
      </c>
      <c r="B32" t="s">
        <v>883</v>
      </c>
      <c r="C32" t="s">
        <v>2176</v>
      </c>
      <c r="D32" t="s">
        <v>2177</v>
      </c>
      <c r="E32" t="s">
        <v>1747</v>
      </c>
      <c r="F32" t="s">
        <v>1748</v>
      </c>
      <c r="G32">
        <v>11996.693800000001</v>
      </c>
      <c r="H32">
        <v>575841.30240000004</v>
      </c>
      <c r="I32">
        <v>13183.18</v>
      </c>
      <c r="J32">
        <v>632792.64</v>
      </c>
      <c r="K32">
        <v>14234.23</v>
      </c>
      <c r="L32">
        <v>683243.04</v>
      </c>
      <c r="M32">
        <v>45616</v>
      </c>
      <c r="O32" t="s">
        <v>326</v>
      </c>
      <c r="P32" t="s">
        <v>127</v>
      </c>
      <c r="Q32" t="s">
        <v>140</v>
      </c>
      <c r="R32" t="s">
        <v>2446</v>
      </c>
      <c r="S32" t="s">
        <v>2444</v>
      </c>
      <c r="T32" t="s">
        <v>2445</v>
      </c>
      <c r="U32">
        <v>48</v>
      </c>
      <c r="V32" t="s">
        <v>1024</v>
      </c>
      <c r="W32" t="s">
        <v>141</v>
      </c>
      <c r="X32" t="s">
        <v>142</v>
      </c>
      <c r="Y32">
        <v>11611</v>
      </c>
      <c r="Z32">
        <v>11612</v>
      </c>
      <c r="AA32" t="s">
        <v>1025</v>
      </c>
      <c r="AB32">
        <v>1</v>
      </c>
    </row>
    <row r="33" spans="1:28">
      <c r="A33">
        <v>1</v>
      </c>
      <c r="B33" t="s">
        <v>884</v>
      </c>
      <c r="C33" t="s">
        <v>2176</v>
      </c>
      <c r="D33" t="s">
        <v>2177</v>
      </c>
      <c r="E33" t="s">
        <v>1749</v>
      </c>
      <c r="F33" t="s">
        <v>1750</v>
      </c>
      <c r="G33">
        <v>46039.711899999995</v>
      </c>
      <c r="H33">
        <v>1104953.0855999999</v>
      </c>
      <c r="I33">
        <v>50593.09</v>
      </c>
      <c r="J33">
        <v>1214234.1599999999</v>
      </c>
      <c r="K33">
        <v>54684.68</v>
      </c>
      <c r="L33">
        <v>1312432.32</v>
      </c>
      <c r="M33">
        <v>45616</v>
      </c>
      <c r="O33" t="s">
        <v>326</v>
      </c>
      <c r="P33" t="s">
        <v>127</v>
      </c>
      <c r="Q33" t="s">
        <v>140</v>
      </c>
      <c r="R33" t="s">
        <v>2446</v>
      </c>
      <c r="S33" t="s">
        <v>2444</v>
      </c>
      <c r="T33" t="s">
        <v>2445</v>
      </c>
      <c r="U33">
        <v>24</v>
      </c>
      <c r="V33" t="s">
        <v>1019</v>
      </c>
      <c r="W33" t="s">
        <v>141</v>
      </c>
      <c r="X33" t="s">
        <v>142</v>
      </c>
      <c r="Y33">
        <v>11611</v>
      </c>
      <c r="Z33">
        <v>11612</v>
      </c>
      <c r="AA33" t="s">
        <v>1025</v>
      </c>
      <c r="AB33">
        <v>1</v>
      </c>
    </row>
    <row r="34" spans="1:28">
      <c r="A34">
        <v>1</v>
      </c>
      <c r="B34" t="s">
        <v>886</v>
      </c>
      <c r="C34" t="s">
        <v>2164</v>
      </c>
      <c r="D34" t="s">
        <v>2165</v>
      </c>
      <c r="E34" t="s">
        <v>1751</v>
      </c>
      <c r="F34" t="s">
        <v>1752</v>
      </c>
      <c r="G34">
        <v>6148.6516000000001</v>
      </c>
      <c r="H34">
        <v>885405.83039999998</v>
      </c>
      <c r="I34">
        <v>6756.76</v>
      </c>
      <c r="J34">
        <v>972973.44000000006</v>
      </c>
      <c r="K34">
        <v>7297.3</v>
      </c>
      <c r="L34">
        <v>1050811.2</v>
      </c>
      <c r="M34">
        <v>45616</v>
      </c>
      <c r="O34" t="s">
        <v>326</v>
      </c>
      <c r="P34" t="s">
        <v>127</v>
      </c>
      <c r="Q34" t="s">
        <v>140</v>
      </c>
      <c r="R34" t="s">
        <v>2446</v>
      </c>
      <c r="S34" t="s">
        <v>2444</v>
      </c>
      <c r="T34" t="s">
        <v>2445</v>
      </c>
      <c r="U34">
        <v>144</v>
      </c>
      <c r="V34" t="s">
        <v>1022</v>
      </c>
      <c r="W34" t="s">
        <v>141</v>
      </c>
      <c r="X34" t="s">
        <v>142</v>
      </c>
      <c r="Y34">
        <v>11611</v>
      </c>
      <c r="Z34">
        <v>11612</v>
      </c>
      <c r="AA34" t="s">
        <v>1025</v>
      </c>
      <c r="AB34">
        <v>1</v>
      </c>
    </row>
    <row r="35" spans="1:28">
      <c r="A35">
        <v>1</v>
      </c>
      <c r="B35" t="s">
        <v>870</v>
      </c>
      <c r="C35" t="s">
        <v>2164</v>
      </c>
      <c r="D35" t="s">
        <v>2165</v>
      </c>
      <c r="E35" t="s">
        <v>2409</v>
      </c>
      <c r="F35" t="s">
        <v>1753</v>
      </c>
      <c r="G35">
        <v>16396.3982</v>
      </c>
      <c r="H35">
        <v>393513.55680000002</v>
      </c>
      <c r="I35">
        <v>18018.02</v>
      </c>
      <c r="J35">
        <v>432432.48</v>
      </c>
      <c r="K35">
        <v>19639.64</v>
      </c>
      <c r="L35">
        <v>471351.36</v>
      </c>
      <c r="M35">
        <v>45616</v>
      </c>
      <c r="O35" t="s">
        <v>326</v>
      </c>
      <c r="P35" t="s">
        <v>127</v>
      </c>
      <c r="Q35" t="s">
        <v>140</v>
      </c>
      <c r="R35" t="s">
        <v>2446</v>
      </c>
      <c r="S35" t="s">
        <v>2444</v>
      </c>
      <c r="T35" t="s">
        <v>2445</v>
      </c>
      <c r="U35">
        <v>24</v>
      </c>
      <c r="V35" t="s">
        <v>1021</v>
      </c>
      <c r="W35" t="s">
        <v>141</v>
      </c>
      <c r="X35" t="s">
        <v>142</v>
      </c>
      <c r="Y35">
        <v>11611</v>
      </c>
      <c r="Z35">
        <v>11612</v>
      </c>
      <c r="AA35" t="s">
        <v>1025</v>
      </c>
      <c r="AB35">
        <v>1</v>
      </c>
    </row>
    <row r="36" spans="1:28">
      <c r="A36">
        <v>1</v>
      </c>
      <c r="B36" t="s">
        <v>910</v>
      </c>
      <c r="C36" t="s">
        <v>2170</v>
      </c>
      <c r="D36" t="s">
        <v>2171</v>
      </c>
      <c r="E36" t="s">
        <v>1789</v>
      </c>
      <c r="F36" t="s">
        <v>1790</v>
      </c>
      <c r="G36">
        <v>7157.4866999999995</v>
      </c>
      <c r="H36">
        <v>257669.52119999999</v>
      </c>
      <c r="I36">
        <v>7865.37</v>
      </c>
      <c r="J36">
        <v>283153.32</v>
      </c>
      <c r="K36">
        <v>8501</v>
      </c>
      <c r="L36">
        <v>306036</v>
      </c>
      <c r="M36">
        <v>45616</v>
      </c>
      <c r="O36" t="s">
        <v>326</v>
      </c>
      <c r="P36" t="s">
        <v>127</v>
      </c>
      <c r="Q36" t="s">
        <v>140</v>
      </c>
      <c r="R36" t="s">
        <v>2446</v>
      </c>
      <c r="S36" t="s">
        <v>2444</v>
      </c>
      <c r="T36" t="s">
        <v>2445</v>
      </c>
      <c r="U36">
        <v>36</v>
      </c>
      <c r="V36" t="s">
        <v>357</v>
      </c>
      <c r="W36" t="s">
        <v>141</v>
      </c>
      <c r="X36" t="s">
        <v>142</v>
      </c>
      <c r="Y36">
        <v>11611</v>
      </c>
      <c r="Z36">
        <v>11612</v>
      </c>
      <c r="AA36" t="s">
        <v>1025</v>
      </c>
      <c r="AB36">
        <v>1</v>
      </c>
    </row>
    <row r="37" spans="1:28">
      <c r="A37">
        <v>1</v>
      </c>
      <c r="B37" t="s">
        <v>911</v>
      </c>
      <c r="C37" t="s">
        <v>2170</v>
      </c>
      <c r="D37" t="s">
        <v>2171</v>
      </c>
      <c r="E37" t="s">
        <v>1791</v>
      </c>
      <c r="F37" t="s">
        <v>1792</v>
      </c>
      <c r="G37">
        <v>12203.928099999999</v>
      </c>
      <c r="H37">
        <v>439341.41159999999</v>
      </c>
      <c r="I37">
        <v>13410.91</v>
      </c>
      <c r="J37">
        <v>482792.76</v>
      </c>
      <c r="K37">
        <v>14502</v>
      </c>
      <c r="L37">
        <v>522072</v>
      </c>
      <c r="M37">
        <v>45616</v>
      </c>
      <c r="O37" t="s">
        <v>326</v>
      </c>
      <c r="P37" t="s">
        <v>127</v>
      </c>
      <c r="Q37" t="s">
        <v>140</v>
      </c>
      <c r="R37" t="s">
        <v>2446</v>
      </c>
      <c r="S37" t="s">
        <v>2444</v>
      </c>
      <c r="T37" t="s">
        <v>2445</v>
      </c>
      <c r="U37">
        <v>36</v>
      </c>
      <c r="V37" t="s">
        <v>357</v>
      </c>
      <c r="W37" t="s">
        <v>141</v>
      </c>
      <c r="X37" t="s">
        <v>142</v>
      </c>
      <c r="Y37">
        <v>11611</v>
      </c>
      <c r="Z37">
        <v>11612</v>
      </c>
      <c r="AA37" t="s">
        <v>1025</v>
      </c>
      <c r="AB37">
        <v>1</v>
      </c>
    </row>
    <row r="38" spans="1:28">
      <c r="A38">
        <v>1</v>
      </c>
      <c r="B38" t="s">
        <v>913</v>
      </c>
      <c r="C38" t="s">
        <v>2170</v>
      </c>
      <c r="D38" t="s">
        <v>2171</v>
      </c>
      <c r="E38" t="s">
        <v>1793</v>
      </c>
      <c r="F38" t="s">
        <v>1794</v>
      </c>
      <c r="G38">
        <v>19839.637999999999</v>
      </c>
      <c r="H38">
        <v>714226.96799999999</v>
      </c>
      <c r="I38">
        <v>21801.8</v>
      </c>
      <c r="J38">
        <v>784864.79999999993</v>
      </c>
      <c r="K38">
        <v>23513.51</v>
      </c>
      <c r="L38">
        <v>846486.36</v>
      </c>
      <c r="M38">
        <v>45616</v>
      </c>
      <c r="O38" t="s">
        <v>326</v>
      </c>
      <c r="P38" t="s">
        <v>127</v>
      </c>
      <c r="Q38" t="s">
        <v>140</v>
      </c>
      <c r="R38" t="s">
        <v>2446</v>
      </c>
      <c r="S38" t="s">
        <v>2444</v>
      </c>
      <c r="T38" t="s">
        <v>2445</v>
      </c>
      <c r="U38">
        <v>36</v>
      </c>
      <c r="V38" t="s">
        <v>357</v>
      </c>
      <c r="W38" t="s">
        <v>141</v>
      </c>
      <c r="X38" t="s">
        <v>142</v>
      </c>
      <c r="Y38">
        <v>11611</v>
      </c>
      <c r="Z38">
        <v>11612</v>
      </c>
      <c r="AA38" t="s">
        <v>1025</v>
      </c>
      <c r="AB38">
        <v>1</v>
      </c>
    </row>
    <row r="39" spans="1:28">
      <c r="A39">
        <v>1</v>
      </c>
      <c r="B39" t="s">
        <v>890</v>
      </c>
      <c r="C39" t="s">
        <v>2170</v>
      </c>
      <c r="D39" t="s">
        <v>2171</v>
      </c>
      <c r="E39" t="s">
        <v>1795</v>
      </c>
      <c r="F39" t="s">
        <v>1796</v>
      </c>
      <c r="G39">
        <v>7157.4866999999995</v>
      </c>
      <c r="H39">
        <v>257669.52119999999</v>
      </c>
      <c r="I39">
        <v>7865.37</v>
      </c>
      <c r="J39">
        <v>283153.32</v>
      </c>
      <c r="K39">
        <v>8501</v>
      </c>
      <c r="L39">
        <v>306036</v>
      </c>
      <c r="M39">
        <v>45616</v>
      </c>
      <c r="O39" t="s">
        <v>326</v>
      </c>
      <c r="P39" t="s">
        <v>127</v>
      </c>
      <c r="Q39" t="s">
        <v>140</v>
      </c>
      <c r="R39" t="s">
        <v>2446</v>
      </c>
      <c r="S39" t="s">
        <v>2444</v>
      </c>
      <c r="T39" t="s">
        <v>2445</v>
      </c>
      <c r="U39">
        <v>36</v>
      </c>
      <c r="V39" t="s">
        <v>357</v>
      </c>
      <c r="W39" t="s">
        <v>141</v>
      </c>
      <c r="X39" t="s">
        <v>142</v>
      </c>
      <c r="Y39">
        <v>11611</v>
      </c>
      <c r="Z39">
        <v>11612</v>
      </c>
      <c r="AA39" t="s">
        <v>1025</v>
      </c>
      <c r="AB39">
        <v>1</v>
      </c>
    </row>
    <row r="40" spans="1:28">
      <c r="A40">
        <v>1</v>
      </c>
      <c r="B40" t="s">
        <v>896</v>
      </c>
      <c r="C40" t="s">
        <v>2178</v>
      </c>
      <c r="D40" t="s">
        <v>2179</v>
      </c>
      <c r="E40" t="s">
        <v>1835</v>
      </c>
      <c r="F40" t="s">
        <v>1836</v>
      </c>
      <c r="G40">
        <v>16396.3982</v>
      </c>
      <c r="H40">
        <v>590270.33519999997</v>
      </c>
      <c r="I40">
        <v>18018.02</v>
      </c>
      <c r="J40">
        <v>648648.72</v>
      </c>
      <c r="K40">
        <v>19639.64</v>
      </c>
      <c r="L40">
        <v>707027.04</v>
      </c>
      <c r="M40">
        <v>45616</v>
      </c>
      <c r="O40" t="s">
        <v>326</v>
      </c>
      <c r="P40" t="s">
        <v>127</v>
      </c>
      <c r="Q40" t="s">
        <v>140</v>
      </c>
      <c r="R40" t="s">
        <v>2446</v>
      </c>
      <c r="S40" t="s">
        <v>2444</v>
      </c>
      <c r="T40" t="s">
        <v>2445</v>
      </c>
      <c r="U40">
        <v>36</v>
      </c>
      <c r="V40" t="s">
        <v>357</v>
      </c>
      <c r="W40" t="s">
        <v>141</v>
      </c>
      <c r="X40" t="s">
        <v>142</v>
      </c>
      <c r="Y40">
        <v>11611</v>
      </c>
      <c r="Z40">
        <v>11612</v>
      </c>
      <c r="AA40" t="s">
        <v>1025</v>
      </c>
      <c r="AB40">
        <v>1</v>
      </c>
    </row>
    <row r="41" spans="1:28">
      <c r="A41">
        <v>1</v>
      </c>
      <c r="B41" t="s">
        <v>899</v>
      </c>
      <c r="C41" t="s">
        <v>2178</v>
      </c>
      <c r="D41" t="s">
        <v>2179</v>
      </c>
      <c r="E41" t="s">
        <v>1837</v>
      </c>
      <c r="F41" t="s">
        <v>1838</v>
      </c>
      <c r="G41">
        <v>27054.0543</v>
      </c>
      <c r="H41">
        <v>973945.95479999995</v>
      </c>
      <c r="I41">
        <v>29729.73</v>
      </c>
      <c r="J41">
        <v>1070270.28</v>
      </c>
      <c r="K41">
        <v>32432.43</v>
      </c>
      <c r="L41">
        <v>1167567.48</v>
      </c>
      <c r="M41">
        <v>45616</v>
      </c>
      <c r="O41" t="s">
        <v>326</v>
      </c>
      <c r="P41" t="s">
        <v>127</v>
      </c>
      <c r="Q41" t="s">
        <v>140</v>
      </c>
      <c r="R41" t="s">
        <v>2446</v>
      </c>
      <c r="S41" t="s">
        <v>2444</v>
      </c>
      <c r="T41" t="s">
        <v>2445</v>
      </c>
      <c r="U41">
        <v>36</v>
      </c>
      <c r="V41" t="s">
        <v>357</v>
      </c>
      <c r="W41" t="s">
        <v>141</v>
      </c>
      <c r="X41" t="s">
        <v>142</v>
      </c>
      <c r="Y41">
        <v>11611</v>
      </c>
      <c r="Z41">
        <v>11612</v>
      </c>
      <c r="AA41" t="s">
        <v>1025</v>
      </c>
      <c r="AB41">
        <v>1</v>
      </c>
    </row>
    <row r="42" spans="1:28">
      <c r="A42">
        <v>1</v>
      </c>
      <c r="B42" t="s">
        <v>878</v>
      </c>
      <c r="C42" t="s">
        <v>2180</v>
      </c>
      <c r="D42" t="s">
        <v>2181</v>
      </c>
      <c r="E42" t="s">
        <v>1839</v>
      </c>
      <c r="F42" t="s">
        <v>1840</v>
      </c>
      <c r="G42">
        <v>17216.217199999999</v>
      </c>
      <c r="H42">
        <v>619783.81920000003</v>
      </c>
      <c r="I42">
        <v>18918.919999999998</v>
      </c>
      <c r="J42">
        <v>681081.11999999988</v>
      </c>
      <c r="K42">
        <v>20360.36</v>
      </c>
      <c r="L42">
        <v>732972.96</v>
      </c>
      <c r="M42">
        <v>45616</v>
      </c>
      <c r="O42" t="s">
        <v>326</v>
      </c>
      <c r="P42" t="s">
        <v>127</v>
      </c>
      <c r="Q42" t="s">
        <v>140</v>
      </c>
      <c r="R42" t="s">
        <v>2446</v>
      </c>
      <c r="S42" t="s">
        <v>2444</v>
      </c>
      <c r="T42" t="s">
        <v>2445</v>
      </c>
      <c r="U42">
        <v>36</v>
      </c>
      <c r="V42" t="s">
        <v>357</v>
      </c>
      <c r="W42" t="s">
        <v>141</v>
      </c>
      <c r="X42" t="s">
        <v>142</v>
      </c>
      <c r="Y42">
        <v>11611</v>
      </c>
      <c r="Z42">
        <v>11612</v>
      </c>
      <c r="AA42" t="s">
        <v>1025</v>
      </c>
      <c r="AB42">
        <v>1</v>
      </c>
    </row>
    <row r="43" spans="1:28">
      <c r="A43">
        <v>1</v>
      </c>
      <c r="B43" t="s">
        <v>897</v>
      </c>
      <c r="C43" t="s">
        <v>2180</v>
      </c>
      <c r="D43" t="s">
        <v>2181</v>
      </c>
      <c r="E43" t="s">
        <v>1841</v>
      </c>
      <c r="F43" t="s">
        <v>1842</v>
      </c>
      <c r="G43">
        <v>17216.217199999999</v>
      </c>
      <c r="H43">
        <v>619783.81920000003</v>
      </c>
      <c r="I43">
        <v>18918.919999999998</v>
      </c>
      <c r="J43">
        <v>681081.11999999988</v>
      </c>
      <c r="K43">
        <v>20360.36</v>
      </c>
      <c r="L43">
        <v>732972.96</v>
      </c>
      <c r="M43">
        <v>45616</v>
      </c>
      <c r="O43" t="s">
        <v>326</v>
      </c>
      <c r="P43" t="s">
        <v>127</v>
      </c>
      <c r="Q43" t="s">
        <v>140</v>
      </c>
      <c r="R43" t="s">
        <v>2446</v>
      </c>
      <c r="S43" t="s">
        <v>2444</v>
      </c>
      <c r="T43" t="s">
        <v>2445</v>
      </c>
      <c r="U43">
        <v>36</v>
      </c>
      <c r="V43" t="s">
        <v>357</v>
      </c>
      <c r="W43" t="s">
        <v>141</v>
      </c>
      <c r="X43" t="s">
        <v>142</v>
      </c>
      <c r="Y43">
        <v>11611</v>
      </c>
      <c r="Z43">
        <v>11612</v>
      </c>
      <c r="AA43" t="s">
        <v>1025</v>
      </c>
      <c r="AB43">
        <v>1</v>
      </c>
    </row>
    <row r="44" spans="1:28">
      <c r="A44">
        <v>1</v>
      </c>
      <c r="B44" t="s">
        <v>597</v>
      </c>
      <c r="C44" t="s">
        <v>2182</v>
      </c>
      <c r="D44" t="s">
        <v>2183</v>
      </c>
      <c r="E44" t="s">
        <v>1843</v>
      </c>
      <c r="F44" t="s">
        <v>1844</v>
      </c>
      <c r="G44">
        <v>15330.633499999998</v>
      </c>
      <c r="H44">
        <v>551902.80599999998</v>
      </c>
      <c r="I44">
        <v>16846.849999999999</v>
      </c>
      <c r="J44">
        <v>606486.6</v>
      </c>
      <c r="K44">
        <v>18198.2</v>
      </c>
      <c r="L44">
        <v>655135.20000000007</v>
      </c>
      <c r="M44">
        <v>45616</v>
      </c>
      <c r="O44" t="s">
        <v>326</v>
      </c>
      <c r="P44" t="s">
        <v>127</v>
      </c>
      <c r="Q44" t="s">
        <v>140</v>
      </c>
      <c r="R44" t="s">
        <v>2446</v>
      </c>
      <c r="S44" t="s">
        <v>2444</v>
      </c>
      <c r="T44" t="s">
        <v>2445</v>
      </c>
      <c r="U44">
        <v>36</v>
      </c>
      <c r="V44" t="s">
        <v>357</v>
      </c>
      <c r="W44" t="s">
        <v>141</v>
      </c>
      <c r="X44" t="s">
        <v>142</v>
      </c>
      <c r="Y44">
        <v>11611</v>
      </c>
      <c r="Z44">
        <v>11612</v>
      </c>
      <c r="AA44" t="s">
        <v>1025</v>
      </c>
      <c r="AB44">
        <v>1</v>
      </c>
    </row>
    <row r="45" spans="1:28">
      <c r="A45">
        <v>1</v>
      </c>
      <c r="B45" t="s">
        <v>598</v>
      </c>
      <c r="C45" t="s">
        <v>2184</v>
      </c>
      <c r="D45" t="s">
        <v>2185</v>
      </c>
      <c r="E45" t="s">
        <v>1845</v>
      </c>
      <c r="F45" t="s">
        <v>1846</v>
      </c>
      <c r="G45">
        <v>13205.929100000001</v>
      </c>
      <c r="H45">
        <v>475413.44760000007</v>
      </c>
      <c r="I45">
        <v>14512.01</v>
      </c>
      <c r="J45">
        <v>522432.36</v>
      </c>
      <c r="K45">
        <v>14939.94</v>
      </c>
      <c r="L45">
        <v>537837.84</v>
      </c>
      <c r="M45">
        <v>45616</v>
      </c>
      <c r="O45" t="s">
        <v>326</v>
      </c>
      <c r="P45" t="s">
        <v>127</v>
      </c>
      <c r="Q45" t="s">
        <v>140</v>
      </c>
      <c r="R45" t="s">
        <v>2446</v>
      </c>
      <c r="S45" t="s">
        <v>2444</v>
      </c>
      <c r="T45" t="s">
        <v>2445</v>
      </c>
      <c r="U45">
        <v>36</v>
      </c>
      <c r="V45" t="s">
        <v>357</v>
      </c>
      <c r="W45" t="s">
        <v>141</v>
      </c>
      <c r="X45" t="s">
        <v>142</v>
      </c>
      <c r="Y45">
        <v>11611</v>
      </c>
      <c r="Z45">
        <v>11612</v>
      </c>
      <c r="AA45" t="s">
        <v>1025</v>
      </c>
      <c r="AB45">
        <v>1</v>
      </c>
    </row>
    <row r="46" spans="1:28">
      <c r="A46">
        <v>1</v>
      </c>
      <c r="B46" t="s">
        <v>584</v>
      </c>
      <c r="C46" t="s">
        <v>2186</v>
      </c>
      <c r="D46" t="s">
        <v>2187</v>
      </c>
      <c r="E46" t="s">
        <v>1847</v>
      </c>
      <c r="F46" t="s">
        <v>1848</v>
      </c>
      <c r="G46">
        <v>7280.4549999999999</v>
      </c>
      <c r="H46">
        <v>524192.76</v>
      </c>
      <c r="I46">
        <v>8000.5</v>
      </c>
      <c r="J46">
        <v>576036</v>
      </c>
      <c r="K46">
        <v>8637.39</v>
      </c>
      <c r="L46">
        <v>621892.07999999996</v>
      </c>
      <c r="M46">
        <v>45616</v>
      </c>
      <c r="O46" t="s">
        <v>326</v>
      </c>
      <c r="P46" t="s">
        <v>127</v>
      </c>
      <c r="Q46" t="s">
        <v>140</v>
      </c>
      <c r="R46" t="s">
        <v>2446</v>
      </c>
      <c r="S46" t="s">
        <v>2444</v>
      </c>
      <c r="T46" t="s">
        <v>2445</v>
      </c>
      <c r="U46">
        <v>72</v>
      </c>
      <c r="V46" t="s">
        <v>357</v>
      </c>
      <c r="W46" t="s">
        <v>141</v>
      </c>
      <c r="X46" t="s">
        <v>142</v>
      </c>
      <c r="Y46">
        <v>11611</v>
      </c>
      <c r="Z46">
        <v>11612</v>
      </c>
      <c r="AA46" t="s">
        <v>1025</v>
      </c>
      <c r="AB46">
        <v>1</v>
      </c>
    </row>
    <row r="47" spans="1:28">
      <c r="A47">
        <v>1</v>
      </c>
      <c r="B47" t="s">
        <v>585</v>
      </c>
      <c r="C47" t="s">
        <v>2186</v>
      </c>
      <c r="D47" t="s">
        <v>2187</v>
      </c>
      <c r="E47" t="s">
        <v>1849</v>
      </c>
      <c r="F47" t="s">
        <v>1850</v>
      </c>
      <c r="G47">
        <v>14023.473099999999</v>
      </c>
      <c r="H47">
        <v>504845.03159999999</v>
      </c>
      <c r="I47">
        <v>15410.41</v>
      </c>
      <c r="J47">
        <v>554774.76</v>
      </c>
      <c r="K47">
        <v>16636.64</v>
      </c>
      <c r="L47">
        <v>598919.04</v>
      </c>
      <c r="M47">
        <v>45616</v>
      </c>
      <c r="O47" t="s">
        <v>326</v>
      </c>
      <c r="P47" t="s">
        <v>127</v>
      </c>
      <c r="Q47" t="s">
        <v>140</v>
      </c>
      <c r="R47" t="s">
        <v>2446</v>
      </c>
      <c r="S47" t="s">
        <v>2444</v>
      </c>
      <c r="T47" t="s">
        <v>2445</v>
      </c>
      <c r="U47">
        <v>36</v>
      </c>
      <c r="V47" t="s">
        <v>357</v>
      </c>
      <c r="W47" t="s">
        <v>141</v>
      </c>
      <c r="X47" t="s">
        <v>142</v>
      </c>
      <c r="Y47">
        <v>11611</v>
      </c>
      <c r="Z47">
        <v>11612</v>
      </c>
      <c r="AA47" t="s">
        <v>1025</v>
      </c>
      <c r="AB47">
        <v>1</v>
      </c>
    </row>
    <row r="48" spans="1:28">
      <c r="A48">
        <v>1</v>
      </c>
      <c r="B48" t="s">
        <v>586</v>
      </c>
      <c r="C48" t="s">
        <v>2186</v>
      </c>
      <c r="D48" t="s">
        <v>2187</v>
      </c>
      <c r="E48" t="s">
        <v>1851</v>
      </c>
      <c r="F48" t="s">
        <v>1852</v>
      </c>
      <c r="G48">
        <v>24239.342400000001</v>
      </c>
      <c r="H48">
        <v>872616.32640000002</v>
      </c>
      <c r="I48">
        <v>26636.639999999999</v>
      </c>
      <c r="J48">
        <v>958919.04</v>
      </c>
      <c r="K48">
        <v>28773.77</v>
      </c>
      <c r="L48">
        <v>1035855.72</v>
      </c>
      <c r="M48">
        <v>45616</v>
      </c>
      <c r="O48" t="s">
        <v>326</v>
      </c>
      <c r="P48" t="s">
        <v>127</v>
      </c>
      <c r="Q48" t="s">
        <v>140</v>
      </c>
      <c r="R48" t="s">
        <v>2446</v>
      </c>
      <c r="S48" t="s">
        <v>2444</v>
      </c>
      <c r="T48" t="s">
        <v>2445</v>
      </c>
      <c r="U48">
        <v>36</v>
      </c>
      <c r="V48" t="s">
        <v>357</v>
      </c>
      <c r="W48" t="s">
        <v>141</v>
      </c>
      <c r="X48" t="s">
        <v>142</v>
      </c>
      <c r="Y48">
        <v>11611</v>
      </c>
      <c r="Z48">
        <v>11612</v>
      </c>
      <c r="AA48" t="s">
        <v>1025</v>
      </c>
      <c r="AB48">
        <v>1</v>
      </c>
    </row>
    <row r="49" spans="1:28">
      <c r="A49">
        <v>1</v>
      </c>
      <c r="B49" t="s">
        <v>587</v>
      </c>
      <c r="C49" t="s">
        <v>2186</v>
      </c>
      <c r="D49" t="s">
        <v>2187</v>
      </c>
      <c r="E49" t="s">
        <v>1853</v>
      </c>
      <c r="F49" t="s">
        <v>1854</v>
      </c>
      <c r="G49">
        <v>7911.2579000000005</v>
      </c>
      <c r="H49">
        <v>569610.56880000001</v>
      </c>
      <c r="I49">
        <v>8693.69</v>
      </c>
      <c r="J49">
        <v>625945.68000000005</v>
      </c>
      <c r="K49">
        <v>9414.41</v>
      </c>
      <c r="L49">
        <v>677837.52</v>
      </c>
      <c r="M49">
        <v>45616</v>
      </c>
      <c r="O49" t="s">
        <v>326</v>
      </c>
      <c r="P49" t="s">
        <v>127</v>
      </c>
      <c r="Q49" t="s">
        <v>140</v>
      </c>
      <c r="R49" t="s">
        <v>2446</v>
      </c>
      <c r="S49" t="s">
        <v>2444</v>
      </c>
      <c r="T49" t="s">
        <v>2445</v>
      </c>
      <c r="U49">
        <v>72</v>
      </c>
      <c r="V49" t="s">
        <v>357</v>
      </c>
      <c r="W49" t="s">
        <v>141</v>
      </c>
      <c r="X49" t="s">
        <v>142</v>
      </c>
      <c r="Y49">
        <v>11611</v>
      </c>
      <c r="Z49">
        <v>11612</v>
      </c>
      <c r="AA49" t="s">
        <v>1025</v>
      </c>
      <c r="AB49">
        <v>1</v>
      </c>
    </row>
    <row r="50" spans="1:28">
      <c r="A50">
        <v>1</v>
      </c>
      <c r="B50" t="s">
        <v>588</v>
      </c>
      <c r="C50" t="s">
        <v>2186</v>
      </c>
      <c r="D50" t="s">
        <v>2187</v>
      </c>
      <c r="E50" t="s">
        <v>1855</v>
      </c>
      <c r="F50" t="s">
        <v>1856</v>
      </c>
      <c r="G50">
        <v>15494.597299999999</v>
      </c>
      <c r="H50">
        <v>557805.50280000002</v>
      </c>
      <c r="I50">
        <v>17027.03</v>
      </c>
      <c r="J50">
        <v>612973.07999999996</v>
      </c>
      <c r="K50">
        <v>18378.38</v>
      </c>
      <c r="L50">
        <v>661621.68000000005</v>
      </c>
      <c r="M50">
        <v>45616</v>
      </c>
      <c r="O50" t="s">
        <v>326</v>
      </c>
      <c r="P50" t="s">
        <v>127</v>
      </c>
      <c r="Q50" t="s">
        <v>140</v>
      </c>
      <c r="R50" t="s">
        <v>2446</v>
      </c>
      <c r="S50" t="s">
        <v>2444</v>
      </c>
      <c r="T50" t="s">
        <v>2445</v>
      </c>
      <c r="U50">
        <v>36</v>
      </c>
      <c r="V50" t="s">
        <v>357</v>
      </c>
      <c r="W50" t="s">
        <v>141</v>
      </c>
      <c r="X50" t="s">
        <v>142</v>
      </c>
      <c r="Y50">
        <v>11611</v>
      </c>
      <c r="Z50">
        <v>11612</v>
      </c>
      <c r="AA50" t="s">
        <v>1025</v>
      </c>
      <c r="AB50">
        <v>1</v>
      </c>
    </row>
    <row r="51" spans="1:28">
      <c r="A51">
        <v>1</v>
      </c>
      <c r="B51" t="s">
        <v>589</v>
      </c>
      <c r="C51" t="s">
        <v>2186</v>
      </c>
      <c r="D51" t="s">
        <v>2187</v>
      </c>
      <c r="E51" t="s">
        <v>1857</v>
      </c>
      <c r="F51" t="s">
        <v>1858</v>
      </c>
      <c r="G51">
        <v>26890.090499999998</v>
      </c>
      <c r="H51">
        <v>968043.25799999991</v>
      </c>
      <c r="I51">
        <v>29549.55</v>
      </c>
      <c r="J51">
        <v>1063783.8</v>
      </c>
      <c r="K51">
        <v>31936.94</v>
      </c>
      <c r="L51">
        <v>1149729.8399999999</v>
      </c>
      <c r="M51">
        <v>45616</v>
      </c>
      <c r="O51" t="s">
        <v>326</v>
      </c>
      <c r="P51" t="s">
        <v>127</v>
      </c>
      <c r="Q51" t="s">
        <v>140</v>
      </c>
      <c r="R51" t="s">
        <v>2446</v>
      </c>
      <c r="S51" t="s">
        <v>2444</v>
      </c>
      <c r="T51" t="s">
        <v>2445</v>
      </c>
      <c r="U51">
        <v>36</v>
      </c>
      <c r="V51" t="s">
        <v>357</v>
      </c>
      <c r="W51" t="s">
        <v>141</v>
      </c>
      <c r="X51" t="s">
        <v>142</v>
      </c>
      <c r="Y51">
        <v>11611</v>
      </c>
      <c r="Z51">
        <v>11612</v>
      </c>
      <c r="AA51" t="s">
        <v>1025</v>
      </c>
      <c r="AB51">
        <v>1</v>
      </c>
    </row>
    <row r="52" spans="1:28">
      <c r="A52">
        <v>1</v>
      </c>
      <c r="B52" t="s">
        <v>574</v>
      </c>
      <c r="C52" t="s">
        <v>2188</v>
      </c>
      <c r="D52" t="s">
        <v>2189</v>
      </c>
      <c r="E52" t="s">
        <v>1859</v>
      </c>
      <c r="F52" t="s">
        <v>1860</v>
      </c>
      <c r="G52">
        <v>5082.8869000000004</v>
      </c>
      <c r="H52">
        <v>365967.85680000001</v>
      </c>
      <c r="I52">
        <v>5585.59</v>
      </c>
      <c r="J52">
        <v>402162.48</v>
      </c>
      <c r="K52">
        <v>6081.08</v>
      </c>
      <c r="L52">
        <v>437837.76</v>
      </c>
      <c r="M52">
        <v>45616</v>
      </c>
      <c r="O52" t="s">
        <v>326</v>
      </c>
      <c r="P52" t="s">
        <v>127</v>
      </c>
      <c r="Q52" t="s">
        <v>140</v>
      </c>
      <c r="R52" t="s">
        <v>2446</v>
      </c>
      <c r="S52" t="s">
        <v>2444</v>
      </c>
      <c r="T52" t="s">
        <v>2445</v>
      </c>
      <c r="U52">
        <v>72</v>
      </c>
      <c r="V52" t="s">
        <v>357</v>
      </c>
      <c r="W52" t="s">
        <v>141</v>
      </c>
      <c r="X52" t="s">
        <v>142</v>
      </c>
      <c r="Y52">
        <v>11611</v>
      </c>
      <c r="Z52">
        <v>11612</v>
      </c>
      <c r="AA52" t="s">
        <v>1025</v>
      </c>
      <c r="AB52">
        <v>1</v>
      </c>
    </row>
    <row r="53" spans="1:28">
      <c r="A53">
        <v>1</v>
      </c>
      <c r="B53" t="s">
        <v>575</v>
      </c>
      <c r="C53" t="s">
        <v>2188</v>
      </c>
      <c r="D53" t="s">
        <v>2189</v>
      </c>
      <c r="E53" t="s">
        <v>1861</v>
      </c>
      <c r="F53" t="s">
        <v>1862</v>
      </c>
      <c r="G53">
        <v>7337.3846000000003</v>
      </c>
      <c r="H53">
        <v>264145.8456</v>
      </c>
      <c r="I53">
        <v>8063.06</v>
      </c>
      <c r="J53">
        <v>290270.16000000003</v>
      </c>
      <c r="K53">
        <v>8693.69</v>
      </c>
      <c r="L53">
        <v>312972.84000000003</v>
      </c>
      <c r="M53">
        <v>45616</v>
      </c>
      <c r="O53" t="s">
        <v>326</v>
      </c>
      <c r="P53" t="s">
        <v>127</v>
      </c>
      <c r="Q53" t="s">
        <v>140</v>
      </c>
      <c r="R53" t="s">
        <v>2446</v>
      </c>
      <c r="S53" t="s">
        <v>2444</v>
      </c>
      <c r="T53" t="s">
        <v>2445</v>
      </c>
      <c r="U53">
        <v>36</v>
      </c>
      <c r="V53" t="s">
        <v>357</v>
      </c>
      <c r="W53" t="s">
        <v>141</v>
      </c>
      <c r="X53" t="s">
        <v>142</v>
      </c>
      <c r="Y53">
        <v>11611</v>
      </c>
      <c r="Z53">
        <v>11612</v>
      </c>
      <c r="AA53" t="s">
        <v>1025</v>
      </c>
      <c r="AB53">
        <v>1</v>
      </c>
    </row>
    <row r="54" spans="1:28">
      <c r="A54">
        <v>1</v>
      </c>
      <c r="B54" t="s">
        <v>576</v>
      </c>
      <c r="C54" t="s">
        <v>2188</v>
      </c>
      <c r="D54" t="s">
        <v>2189</v>
      </c>
      <c r="E54" t="s">
        <v>1863</v>
      </c>
      <c r="F54" t="s">
        <v>1864</v>
      </c>
      <c r="G54">
        <v>12748.1991</v>
      </c>
      <c r="H54">
        <v>458935.16759999999</v>
      </c>
      <c r="I54">
        <v>14009.01</v>
      </c>
      <c r="J54">
        <v>504324.36</v>
      </c>
      <c r="K54">
        <v>15135.14</v>
      </c>
      <c r="L54">
        <v>544865.04</v>
      </c>
      <c r="M54">
        <v>45616</v>
      </c>
      <c r="O54" t="s">
        <v>326</v>
      </c>
      <c r="P54" t="s">
        <v>127</v>
      </c>
      <c r="Q54" t="s">
        <v>140</v>
      </c>
      <c r="R54" t="s">
        <v>2446</v>
      </c>
      <c r="S54" t="s">
        <v>2444</v>
      </c>
      <c r="T54" t="s">
        <v>2445</v>
      </c>
      <c r="U54">
        <v>36</v>
      </c>
      <c r="V54" t="s">
        <v>357</v>
      </c>
      <c r="W54" t="s">
        <v>141</v>
      </c>
      <c r="X54" t="s">
        <v>142</v>
      </c>
      <c r="Y54">
        <v>11611</v>
      </c>
      <c r="Z54">
        <v>11612</v>
      </c>
      <c r="AA54" t="s">
        <v>1025</v>
      </c>
      <c r="AB54">
        <v>1</v>
      </c>
    </row>
    <row r="55" spans="1:28">
      <c r="A55">
        <v>1</v>
      </c>
      <c r="B55" t="s">
        <v>881</v>
      </c>
      <c r="C55" t="s">
        <v>2178</v>
      </c>
      <c r="D55" t="s">
        <v>2179</v>
      </c>
      <c r="E55" t="s">
        <v>1833</v>
      </c>
      <c r="F55" t="s">
        <v>1834</v>
      </c>
      <c r="G55">
        <v>27054.0543</v>
      </c>
      <c r="H55">
        <v>973945.95479999995</v>
      </c>
      <c r="I55">
        <v>29729.73</v>
      </c>
      <c r="J55">
        <v>1070270.28</v>
      </c>
      <c r="K55">
        <v>32432.43</v>
      </c>
      <c r="L55">
        <v>1167567.48</v>
      </c>
      <c r="M55">
        <v>45616</v>
      </c>
      <c r="O55" t="s">
        <v>326</v>
      </c>
      <c r="P55" t="s">
        <v>127</v>
      </c>
      <c r="Q55" t="s">
        <v>140</v>
      </c>
      <c r="R55" t="s">
        <v>2446</v>
      </c>
      <c r="S55" t="s">
        <v>2444</v>
      </c>
      <c r="T55" t="s">
        <v>2445</v>
      </c>
      <c r="U55">
        <v>36</v>
      </c>
      <c r="V55" t="s">
        <v>357</v>
      </c>
      <c r="W55" t="s">
        <v>141</v>
      </c>
      <c r="X55" t="s">
        <v>142</v>
      </c>
      <c r="Y55">
        <v>11611</v>
      </c>
      <c r="Z55">
        <v>11612</v>
      </c>
      <c r="AA55" t="s">
        <v>1025</v>
      </c>
      <c r="AB55">
        <v>1</v>
      </c>
    </row>
    <row r="56" spans="1:28">
      <c r="A56">
        <v>1</v>
      </c>
      <c r="B56" t="s">
        <v>915</v>
      </c>
      <c r="C56" t="s">
        <v>2172</v>
      </c>
      <c r="D56" t="s">
        <v>2173</v>
      </c>
      <c r="E56" t="s">
        <v>1726</v>
      </c>
      <c r="F56" t="s">
        <v>1727</v>
      </c>
      <c r="G56">
        <v>6148.6486298611107</v>
      </c>
      <c r="H56">
        <v>885405.40269999998</v>
      </c>
      <c r="I56">
        <v>6756.7567361111105</v>
      </c>
      <c r="J56">
        <v>972972.97</v>
      </c>
      <c r="K56">
        <v>7297.2973000000002</v>
      </c>
      <c r="L56">
        <v>1050810.8112000001</v>
      </c>
      <c r="M56">
        <v>45616</v>
      </c>
      <c r="O56" t="s">
        <v>326</v>
      </c>
      <c r="P56" t="s">
        <v>127</v>
      </c>
      <c r="Q56" t="s">
        <v>140</v>
      </c>
      <c r="R56" t="s">
        <v>2446</v>
      </c>
      <c r="S56" t="s">
        <v>2444</v>
      </c>
      <c r="T56" t="s">
        <v>2445</v>
      </c>
      <c r="U56">
        <v>144</v>
      </c>
      <c r="V56" t="s">
        <v>1022</v>
      </c>
      <c r="W56" t="s">
        <v>141</v>
      </c>
      <c r="X56" t="s">
        <v>142</v>
      </c>
      <c r="Y56">
        <v>11611</v>
      </c>
      <c r="Z56">
        <v>11612</v>
      </c>
      <c r="AA56" t="s">
        <v>1025</v>
      </c>
      <c r="AB56">
        <v>1</v>
      </c>
    </row>
    <row r="57" spans="1:28">
      <c r="A57">
        <v>1</v>
      </c>
      <c r="B57" t="s">
        <v>877</v>
      </c>
      <c r="C57" t="s">
        <v>2178</v>
      </c>
      <c r="D57" t="s">
        <v>2179</v>
      </c>
      <c r="E57" t="s">
        <v>1831</v>
      </c>
      <c r="F57" t="s">
        <v>1832</v>
      </c>
      <c r="G57">
        <v>16396.3982</v>
      </c>
      <c r="H57">
        <v>590270.33519999997</v>
      </c>
      <c r="I57">
        <v>18018.02</v>
      </c>
      <c r="J57">
        <v>648648.72</v>
      </c>
      <c r="K57">
        <v>19639.64</v>
      </c>
      <c r="L57">
        <v>707027.04</v>
      </c>
      <c r="M57">
        <v>45616</v>
      </c>
      <c r="O57" t="s">
        <v>326</v>
      </c>
      <c r="P57" t="s">
        <v>127</v>
      </c>
      <c r="Q57" t="s">
        <v>140</v>
      </c>
      <c r="R57" t="s">
        <v>2446</v>
      </c>
      <c r="S57" t="s">
        <v>2444</v>
      </c>
      <c r="T57" t="s">
        <v>2445</v>
      </c>
      <c r="U57">
        <v>36</v>
      </c>
      <c r="V57" t="s">
        <v>357</v>
      </c>
      <c r="W57" t="s">
        <v>141</v>
      </c>
      <c r="X57" t="s">
        <v>142</v>
      </c>
      <c r="Y57">
        <v>11611</v>
      </c>
      <c r="Z57">
        <v>11612</v>
      </c>
      <c r="AA57" t="s">
        <v>1025</v>
      </c>
      <c r="AB57">
        <v>1</v>
      </c>
    </row>
    <row r="58" spans="1:28">
      <c r="A58">
        <v>1</v>
      </c>
      <c r="B58" t="s">
        <v>894</v>
      </c>
      <c r="C58" t="s">
        <v>2190</v>
      </c>
      <c r="D58" t="s">
        <v>2191</v>
      </c>
      <c r="E58" t="s">
        <v>1827</v>
      </c>
      <c r="F58" t="s">
        <v>1828</v>
      </c>
      <c r="G58">
        <v>13527.0226</v>
      </c>
      <c r="H58">
        <v>324648.54240000003</v>
      </c>
      <c r="I58">
        <v>14864.86</v>
      </c>
      <c r="J58">
        <v>356756.64</v>
      </c>
      <c r="K58">
        <v>16036.04</v>
      </c>
      <c r="L58">
        <v>384864.96</v>
      </c>
      <c r="M58">
        <v>45616</v>
      </c>
      <c r="O58" t="s">
        <v>326</v>
      </c>
      <c r="P58" t="s">
        <v>127</v>
      </c>
      <c r="Q58" t="s">
        <v>140</v>
      </c>
      <c r="R58" t="s">
        <v>2446</v>
      </c>
      <c r="S58" t="s">
        <v>2444</v>
      </c>
      <c r="T58" t="s">
        <v>2445</v>
      </c>
      <c r="U58">
        <v>24</v>
      </c>
      <c r="V58" t="s">
        <v>1019</v>
      </c>
      <c r="W58" t="s">
        <v>141</v>
      </c>
      <c r="X58" t="s">
        <v>142</v>
      </c>
      <c r="Y58">
        <v>11611</v>
      </c>
      <c r="Z58">
        <v>11612</v>
      </c>
      <c r="AA58" t="s">
        <v>1025</v>
      </c>
      <c r="AB58">
        <v>1</v>
      </c>
    </row>
    <row r="59" spans="1:28">
      <c r="A59">
        <v>1</v>
      </c>
      <c r="B59" t="s">
        <v>893</v>
      </c>
      <c r="C59" t="s">
        <v>2170</v>
      </c>
      <c r="D59" t="s">
        <v>2171</v>
      </c>
      <c r="E59" t="s">
        <v>1797</v>
      </c>
      <c r="F59" t="s">
        <v>1798</v>
      </c>
      <c r="G59">
        <v>12203.928099999999</v>
      </c>
      <c r="H59">
        <v>439341.41159999999</v>
      </c>
      <c r="I59">
        <v>13410.91</v>
      </c>
      <c r="J59">
        <v>482792.76</v>
      </c>
      <c r="K59">
        <v>14502</v>
      </c>
      <c r="L59">
        <v>522072</v>
      </c>
      <c r="M59">
        <v>45616</v>
      </c>
      <c r="O59" t="s">
        <v>326</v>
      </c>
      <c r="P59" t="s">
        <v>127</v>
      </c>
      <c r="Q59" t="s">
        <v>140</v>
      </c>
      <c r="R59" t="s">
        <v>2446</v>
      </c>
      <c r="S59" t="s">
        <v>2444</v>
      </c>
      <c r="T59" t="s">
        <v>2445</v>
      </c>
      <c r="U59">
        <v>36</v>
      </c>
      <c r="V59" t="s">
        <v>357</v>
      </c>
      <c r="W59" t="s">
        <v>141</v>
      </c>
      <c r="X59" t="s">
        <v>142</v>
      </c>
      <c r="Y59">
        <v>11611</v>
      </c>
      <c r="Z59">
        <v>11612</v>
      </c>
      <c r="AA59" t="s">
        <v>1025</v>
      </c>
      <c r="AB59">
        <v>1</v>
      </c>
    </row>
    <row r="60" spans="1:28">
      <c r="A60">
        <v>1</v>
      </c>
      <c r="B60" t="s">
        <v>898</v>
      </c>
      <c r="C60" t="s">
        <v>2170</v>
      </c>
      <c r="D60" t="s">
        <v>2171</v>
      </c>
      <c r="E60" t="s">
        <v>1799</v>
      </c>
      <c r="F60" t="s">
        <v>1800</v>
      </c>
      <c r="G60">
        <v>19839.637999999999</v>
      </c>
      <c r="H60">
        <v>714226.96799999999</v>
      </c>
      <c r="I60">
        <v>21801.8</v>
      </c>
      <c r="J60">
        <v>784864.79999999993</v>
      </c>
      <c r="K60">
        <v>23513.51</v>
      </c>
      <c r="L60">
        <v>846486.36</v>
      </c>
      <c r="M60">
        <v>45616</v>
      </c>
      <c r="O60" t="s">
        <v>326</v>
      </c>
      <c r="P60" t="s">
        <v>127</v>
      </c>
      <c r="Q60" t="s">
        <v>140</v>
      </c>
      <c r="R60" t="s">
        <v>2446</v>
      </c>
      <c r="S60" t="s">
        <v>2444</v>
      </c>
      <c r="T60" t="s">
        <v>2445</v>
      </c>
      <c r="U60">
        <v>36</v>
      </c>
      <c r="V60" t="s">
        <v>357</v>
      </c>
      <c r="W60" t="s">
        <v>141</v>
      </c>
      <c r="X60" t="s">
        <v>142</v>
      </c>
      <c r="Y60">
        <v>11611</v>
      </c>
      <c r="Z60">
        <v>11612</v>
      </c>
      <c r="AA60" t="s">
        <v>1025</v>
      </c>
      <c r="AB60">
        <v>1</v>
      </c>
    </row>
    <row r="61" spans="1:28">
      <c r="A61">
        <v>1</v>
      </c>
      <c r="B61" t="s">
        <v>867</v>
      </c>
      <c r="C61" t="s">
        <v>2170</v>
      </c>
      <c r="D61" t="s">
        <v>2171</v>
      </c>
      <c r="E61" t="s">
        <v>1801</v>
      </c>
      <c r="F61" t="s">
        <v>1802</v>
      </c>
      <c r="G61">
        <v>7157.4866999999995</v>
      </c>
      <c r="H61">
        <v>257669.52119999999</v>
      </c>
      <c r="I61">
        <v>7865.37</v>
      </c>
      <c r="J61">
        <v>283153.32</v>
      </c>
      <c r="K61">
        <v>8501</v>
      </c>
      <c r="L61">
        <v>306036</v>
      </c>
      <c r="M61">
        <v>45616</v>
      </c>
      <c r="O61" t="s">
        <v>326</v>
      </c>
      <c r="P61" t="s">
        <v>127</v>
      </c>
      <c r="Q61" t="s">
        <v>140</v>
      </c>
      <c r="R61" t="s">
        <v>2446</v>
      </c>
      <c r="S61" t="s">
        <v>2444</v>
      </c>
      <c r="T61" t="s">
        <v>2445</v>
      </c>
      <c r="U61">
        <v>36</v>
      </c>
      <c r="V61" t="s">
        <v>357</v>
      </c>
      <c r="W61" t="s">
        <v>141</v>
      </c>
      <c r="X61" t="s">
        <v>142</v>
      </c>
      <c r="Y61">
        <v>11611</v>
      </c>
      <c r="Z61">
        <v>11612</v>
      </c>
      <c r="AA61" t="s">
        <v>1025</v>
      </c>
      <c r="AB61">
        <v>1</v>
      </c>
    </row>
    <row r="62" spans="1:28">
      <c r="A62">
        <v>1</v>
      </c>
      <c r="B62" t="s">
        <v>872</v>
      </c>
      <c r="C62" t="s">
        <v>2170</v>
      </c>
      <c r="D62" t="s">
        <v>2171</v>
      </c>
      <c r="E62" t="s">
        <v>1803</v>
      </c>
      <c r="F62" t="s">
        <v>1804</v>
      </c>
      <c r="G62">
        <v>12203.928099999999</v>
      </c>
      <c r="H62">
        <v>439341.41159999999</v>
      </c>
      <c r="I62">
        <v>13410.91</v>
      </c>
      <c r="J62">
        <v>482792.76</v>
      </c>
      <c r="K62">
        <v>14502</v>
      </c>
      <c r="L62">
        <v>522072</v>
      </c>
      <c r="M62">
        <v>45616</v>
      </c>
      <c r="O62" t="s">
        <v>326</v>
      </c>
      <c r="P62" t="s">
        <v>127</v>
      </c>
      <c r="Q62" t="s">
        <v>140</v>
      </c>
      <c r="R62" t="s">
        <v>2446</v>
      </c>
      <c r="S62" t="s">
        <v>2444</v>
      </c>
      <c r="T62" t="s">
        <v>2445</v>
      </c>
      <c r="U62">
        <v>36</v>
      </c>
      <c r="V62" t="s">
        <v>357</v>
      </c>
      <c r="W62" t="s">
        <v>141</v>
      </c>
      <c r="X62" t="s">
        <v>142</v>
      </c>
      <c r="Y62">
        <v>11611</v>
      </c>
      <c r="Z62">
        <v>11612</v>
      </c>
      <c r="AA62" t="s">
        <v>1025</v>
      </c>
      <c r="AB62">
        <v>1</v>
      </c>
    </row>
    <row r="63" spans="1:28">
      <c r="A63">
        <v>1</v>
      </c>
      <c r="B63" t="s">
        <v>879</v>
      </c>
      <c r="C63" t="s">
        <v>2170</v>
      </c>
      <c r="D63" t="s">
        <v>2171</v>
      </c>
      <c r="E63" t="s">
        <v>1805</v>
      </c>
      <c r="F63" t="s">
        <v>1806</v>
      </c>
      <c r="G63">
        <v>19839.637999999999</v>
      </c>
      <c r="H63">
        <v>714226.96799999999</v>
      </c>
      <c r="I63">
        <v>21801.8</v>
      </c>
      <c r="J63">
        <v>784864.79999999993</v>
      </c>
      <c r="K63">
        <v>23513.51</v>
      </c>
      <c r="L63">
        <v>846486.36</v>
      </c>
      <c r="M63">
        <v>45616</v>
      </c>
      <c r="O63" t="s">
        <v>326</v>
      </c>
      <c r="P63" t="s">
        <v>127</v>
      </c>
      <c r="Q63" t="s">
        <v>140</v>
      </c>
      <c r="R63" t="s">
        <v>2446</v>
      </c>
      <c r="S63" t="s">
        <v>2444</v>
      </c>
      <c r="T63" t="s">
        <v>2445</v>
      </c>
      <c r="U63">
        <v>36</v>
      </c>
      <c r="V63" t="s">
        <v>357</v>
      </c>
      <c r="W63" t="s">
        <v>141</v>
      </c>
      <c r="X63" t="s">
        <v>142</v>
      </c>
      <c r="Y63">
        <v>11611</v>
      </c>
      <c r="Z63">
        <v>11612</v>
      </c>
      <c r="AA63" t="s">
        <v>1025</v>
      </c>
      <c r="AB63">
        <v>1</v>
      </c>
    </row>
    <row r="64" spans="1:28">
      <c r="A64">
        <v>1</v>
      </c>
      <c r="B64" t="s">
        <v>916</v>
      </c>
      <c r="C64" t="s">
        <v>2170</v>
      </c>
      <c r="D64" t="s">
        <v>2171</v>
      </c>
      <c r="E64" t="s">
        <v>1807</v>
      </c>
      <c r="F64" t="s">
        <v>1808</v>
      </c>
      <c r="G64">
        <v>7157.4866999999995</v>
      </c>
      <c r="H64">
        <v>257669.52119999999</v>
      </c>
      <c r="I64">
        <v>7865.37</v>
      </c>
      <c r="J64">
        <v>283153.32</v>
      </c>
      <c r="K64">
        <v>8501</v>
      </c>
      <c r="L64">
        <v>306036</v>
      </c>
      <c r="M64">
        <v>45616</v>
      </c>
      <c r="O64" t="s">
        <v>326</v>
      </c>
      <c r="P64" t="s">
        <v>127</v>
      </c>
      <c r="Q64" t="s">
        <v>140</v>
      </c>
      <c r="R64" t="s">
        <v>2446</v>
      </c>
      <c r="S64" t="s">
        <v>2444</v>
      </c>
      <c r="T64" t="s">
        <v>2445</v>
      </c>
      <c r="U64">
        <v>36</v>
      </c>
      <c r="V64" t="s">
        <v>357</v>
      </c>
      <c r="W64" t="s">
        <v>141</v>
      </c>
      <c r="X64" t="s">
        <v>142</v>
      </c>
      <c r="Y64">
        <v>11611</v>
      </c>
      <c r="Z64">
        <v>11612</v>
      </c>
      <c r="AA64" t="s">
        <v>1025</v>
      </c>
      <c r="AB64">
        <v>1</v>
      </c>
    </row>
    <row r="65" spans="1:28">
      <c r="A65">
        <v>1</v>
      </c>
      <c r="B65" t="s">
        <v>917</v>
      </c>
      <c r="C65" t="s">
        <v>2170</v>
      </c>
      <c r="D65" t="s">
        <v>2171</v>
      </c>
      <c r="E65" t="s">
        <v>1809</v>
      </c>
      <c r="F65" t="s">
        <v>1810</v>
      </c>
      <c r="G65">
        <v>12203.928099999999</v>
      </c>
      <c r="H65">
        <v>439341.41159999999</v>
      </c>
      <c r="I65">
        <v>13410.91</v>
      </c>
      <c r="J65">
        <v>482792.76</v>
      </c>
      <c r="K65">
        <v>14502</v>
      </c>
      <c r="L65">
        <v>522072</v>
      </c>
      <c r="M65">
        <v>45616</v>
      </c>
      <c r="O65" t="s">
        <v>326</v>
      </c>
      <c r="P65" t="s">
        <v>127</v>
      </c>
      <c r="Q65" t="s">
        <v>140</v>
      </c>
      <c r="R65" t="s">
        <v>2446</v>
      </c>
      <c r="S65" t="s">
        <v>2444</v>
      </c>
      <c r="T65" t="s">
        <v>2445</v>
      </c>
      <c r="U65">
        <v>36</v>
      </c>
      <c r="V65" t="s">
        <v>357</v>
      </c>
      <c r="W65" t="s">
        <v>141</v>
      </c>
      <c r="X65" t="s">
        <v>142</v>
      </c>
      <c r="Y65">
        <v>11611</v>
      </c>
      <c r="Z65">
        <v>11612</v>
      </c>
      <c r="AA65" t="s">
        <v>1025</v>
      </c>
      <c r="AB65">
        <v>1</v>
      </c>
    </row>
    <row r="66" spans="1:28">
      <c r="A66">
        <v>1</v>
      </c>
      <c r="B66" t="s">
        <v>919</v>
      </c>
      <c r="C66" t="s">
        <v>2170</v>
      </c>
      <c r="D66" t="s">
        <v>2171</v>
      </c>
      <c r="E66" t="s">
        <v>1811</v>
      </c>
      <c r="F66" t="s">
        <v>1812</v>
      </c>
      <c r="G66">
        <v>19839.637999999999</v>
      </c>
      <c r="H66">
        <v>714226.96799999999</v>
      </c>
      <c r="I66">
        <v>21801.8</v>
      </c>
      <c r="J66">
        <v>784864.79999999993</v>
      </c>
      <c r="K66">
        <v>23513.51</v>
      </c>
      <c r="L66">
        <v>846486.36</v>
      </c>
      <c r="M66">
        <v>45616</v>
      </c>
      <c r="O66" t="s">
        <v>326</v>
      </c>
      <c r="P66" t="s">
        <v>127</v>
      </c>
      <c r="Q66" t="s">
        <v>140</v>
      </c>
      <c r="R66" t="s">
        <v>2446</v>
      </c>
      <c r="S66" t="s">
        <v>2444</v>
      </c>
      <c r="T66" t="s">
        <v>2445</v>
      </c>
      <c r="U66">
        <v>36</v>
      </c>
      <c r="V66" t="s">
        <v>357</v>
      </c>
      <c r="W66" t="s">
        <v>141</v>
      </c>
      <c r="X66" t="s">
        <v>142</v>
      </c>
      <c r="Y66">
        <v>11611</v>
      </c>
      <c r="Z66">
        <v>11612</v>
      </c>
      <c r="AA66" t="s">
        <v>1025</v>
      </c>
      <c r="AB66">
        <v>1</v>
      </c>
    </row>
    <row r="67" spans="1:28">
      <c r="A67">
        <v>1</v>
      </c>
      <c r="B67" t="s">
        <v>920</v>
      </c>
      <c r="C67" t="s">
        <v>2170</v>
      </c>
      <c r="D67" t="s">
        <v>2171</v>
      </c>
      <c r="E67" t="s">
        <v>1813</v>
      </c>
      <c r="F67" t="s">
        <v>1814</v>
      </c>
      <c r="G67">
        <v>7157.4866999999995</v>
      </c>
      <c r="H67">
        <v>257669.52119999999</v>
      </c>
      <c r="I67">
        <v>7865.37</v>
      </c>
      <c r="J67">
        <v>283153.32</v>
      </c>
      <c r="K67">
        <v>8501</v>
      </c>
      <c r="L67">
        <v>306036</v>
      </c>
      <c r="M67">
        <v>45616</v>
      </c>
      <c r="O67" t="s">
        <v>326</v>
      </c>
      <c r="P67" t="s">
        <v>127</v>
      </c>
      <c r="Q67" t="s">
        <v>140</v>
      </c>
      <c r="R67" t="s">
        <v>2446</v>
      </c>
      <c r="S67" t="s">
        <v>2444</v>
      </c>
      <c r="T67" t="s">
        <v>2445</v>
      </c>
      <c r="U67">
        <v>36</v>
      </c>
      <c r="V67" t="s">
        <v>357</v>
      </c>
      <c r="W67" t="s">
        <v>141</v>
      </c>
      <c r="X67" t="s">
        <v>142</v>
      </c>
      <c r="Y67">
        <v>11611</v>
      </c>
      <c r="Z67">
        <v>11612</v>
      </c>
      <c r="AA67" t="s">
        <v>1025</v>
      </c>
      <c r="AB67">
        <v>1</v>
      </c>
    </row>
    <row r="68" spans="1:28">
      <c r="A68">
        <v>1</v>
      </c>
      <c r="B68" t="s">
        <v>921</v>
      </c>
      <c r="C68" t="s">
        <v>2170</v>
      </c>
      <c r="D68" t="s">
        <v>2171</v>
      </c>
      <c r="E68" t="s">
        <v>1815</v>
      </c>
      <c r="F68" t="s">
        <v>1816</v>
      </c>
      <c r="G68">
        <v>12203.928099999999</v>
      </c>
      <c r="H68">
        <v>439341.41159999999</v>
      </c>
      <c r="I68">
        <v>13410.91</v>
      </c>
      <c r="J68">
        <v>482792.76</v>
      </c>
      <c r="K68">
        <v>14502</v>
      </c>
      <c r="L68">
        <v>522072</v>
      </c>
      <c r="M68">
        <v>45616</v>
      </c>
      <c r="O68" t="s">
        <v>326</v>
      </c>
      <c r="P68" t="s">
        <v>127</v>
      </c>
      <c r="Q68" t="s">
        <v>140</v>
      </c>
      <c r="R68" t="s">
        <v>2446</v>
      </c>
      <c r="S68" t="s">
        <v>2444</v>
      </c>
      <c r="T68" t="s">
        <v>2445</v>
      </c>
      <c r="U68">
        <v>36</v>
      </c>
      <c r="V68" t="s">
        <v>357</v>
      </c>
      <c r="W68" t="s">
        <v>141</v>
      </c>
      <c r="X68" t="s">
        <v>142</v>
      </c>
      <c r="Y68">
        <v>11611</v>
      </c>
      <c r="Z68">
        <v>11612</v>
      </c>
      <c r="AA68" t="s">
        <v>1025</v>
      </c>
      <c r="AB68">
        <v>1</v>
      </c>
    </row>
    <row r="69" spans="1:28">
      <c r="A69">
        <v>1</v>
      </c>
      <c r="B69" t="s">
        <v>923</v>
      </c>
      <c r="C69" t="s">
        <v>2170</v>
      </c>
      <c r="D69" t="s">
        <v>2171</v>
      </c>
      <c r="E69" t="s">
        <v>1817</v>
      </c>
      <c r="F69" t="s">
        <v>1818</v>
      </c>
      <c r="G69">
        <v>19839.637999999999</v>
      </c>
      <c r="H69">
        <v>714226.96799999999</v>
      </c>
      <c r="I69">
        <v>21801.8</v>
      </c>
      <c r="J69">
        <v>784864.79999999993</v>
      </c>
      <c r="K69">
        <v>23513.51</v>
      </c>
      <c r="L69">
        <v>846486.36</v>
      </c>
      <c r="M69">
        <v>45616</v>
      </c>
      <c r="O69" t="s">
        <v>326</v>
      </c>
      <c r="P69" t="s">
        <v>127</v>
      </c>
      <c r="Q69" t="s">
        <v>140</v>
      </c>
      <c r="R69" t="s">
        <v>2446</v>
      </c>
      <c r="S69" t="s">
        <v>2444</v>
      </c>
      <c r="T69" t="s">
        <v>2445</v>
      </c>
      <c r="U69">
        <v>36</v>
      </c>
      <c r="V69" t="s">
        <v>357</v>
      </c>
      <c r="W69" t="s">
        <v>141</v>
      </c>
      <c r="X69" t="s">
        <v>142</v>
      </c>
      <c r="Y69">
        <v>11611</v>
      </c>
      <c r="Z69">
        <v>11612</v>
      </c>
      <c r="AA69" t="s">
        <v>1025</v>
      </c>
      <c r="AB69">
        <v>1</v>
      </c>
    </row>
    <row r="70" spans="1:28">
      <c r="A70">
        <v>1</v>
      </c>
      <c r="B70" t="s">
        <v>874</v>
      </c>
      <c r="C70" t="s">
        <v>2190</v>
      </c>
      <c r="D70" t="s">
        <v>2191</v>
      </c>
      <c r="E70" t="s">
        <v>1819</v>
      </c>
      <c r="F70" t="s">
        <v>1820</v>
      </c>
      <c r="G70">
        <v>13527.0226</v>
      </c>
      <c r="H70">
        <v>324648.54240000003</v>
      </c>
      <c r="I70">
        <v>14864.86</v>
      </c>
      <c r="J70">
        <v>356756.64</v>
      </c>
      <c r="K70">
        <v>16036.04</v>
      </c>
      <c r="L70">
        <v>384864.96</v>
      </c>
      <c r="M70">
        <v>45616</v>
      </c>
      <c r="O70" t="s">
        <v>326</v>
      </c>
      <c r="P70" t="s">
        <v>127</v>
      </c>
      <c r="Q70" t="s">
        <v>140</v>
      </c>
      <c r="R70" t="s">
        <v>2446</v>
      </c>
      <c r="S70" t="s">
        <v>2444</v>
      </c>
      <c r="T70" t="s">
        <v>2445</v>
      </c>
      <c r="U70">
        <v>24</v>
      </c>
      <c r="V70" t="s">
        <v>1019</v>
      </c>
      <c r="W70" t="s">
        <v>141</v>
      </c>
      <c r="X70" t="s">
        <v>142</v>
      </c>
      <c r="Y70">
        <v>11611</v>
      </c>
      <c r="Z70">
        <v>11612</v>
      </c>
      <c r="AA70" t="s">
        <v>1025</v>
      </c>
      <c r="AB70">
        <v>1</v>
      </c>
    </row>
    <row r="71" spans="1:28">
      <c r="A71">
        <v>1</v>
      </c>
      <c r="B71" t="s">
        <v>922</v>
      </c>
      <c r="C71" t="s">
        <v>2190</v>
      </c>
      <c r="D71" t="s">
        <v>2191</v>
      </c>
      <c r="E71" t="s">
        <v>1821</v>
      </c>
      <c r="F71" t="s">
        <v>1822</v>
      </c>
      <c r="G71">
        <v>13527.0226</v>
      </c>
      <c r="H71">
        <v>324648.54240000003</v>
      </c>
      <c r="I71">
        <v>14864.86</v>
      </c>
      <c r="J71">
        <v>356756.64</v>
      </c>
      <c r="K71">
        <v>16036.04</v>
      </c>
      <c r="L71">
        <v>384864.96</v>
      </c>
      <c r="M71">
        <v>45616</v>
      </c>
      <c r="O71" t="s">
        <v>326</v>
      </c>
      <c r="P71" t="s">
        <v>127</v>
      </c>
      <c r="Q71" t="s">
        <v>140</v>
      </c>
      <c r="R71" t="s">
        <v>2446</v>
      </c>
      <c r="S71" t="s">
        <v>2444</v>
      </c>
      <c r="T71" t="s">
        <v>2445</v>
      </c>
      <c r="U71">
        <v>24</v>
      </c>
      <c r="V71" t="s">
        <v>1019</v>
      </c>
      <c r="W71" t="s">
        <v>141</v>
      </c>
      <c r="X71" t="s">
        <v>142</v>
      </c>
      <c r="Y71">
        <v>11611</v>
      </c>
      <c r="Z71">
        <v>11612</v>
      </c>
      <c r="AA71" t="s">
        <v>1025</v>
      </c>
      <c r="AB71">
        <v>1</v>
      </c>
    </row>
    <row r="72" spans="1:28">
      <c r="A72">
        <v>1</v>
      </c>
      <c r="B72" t="s">
        <v>918</v>
      </c>
      <c r="C72" t="s">
        <v>2190</v>
      </c>
      <c r="D72" t="s">
        <v>2191</v>
      </c>
      <c r="E72" t="s">
        <v>1823</v>
      </c>
      <c r="F72" t="s">
        <v>1824</v>
      </c>
      <c r="G72">
        <v>13527.0226</v>
      </c>
      <c r="H72">
        <v>324648.54240000003</v>
      </c>
      <c r="I72">
        <v>14864.86</v>
      </c>
      <c r="J72">
        <v>356756.64</v>
      </c>
      <c r="K72">
        <v>16036.04</v>
      </c>
      <c r="L72">
        <v>384864.96</v>
      </c>
      <c r="M72">
        <v>45616</v>
      </c>
      <c r="O72" t="s">
        <v>326</v>
      </c>
      <c r="P72" t="s">
        <v>127</v>
      </c>
      <c r="Q72" t="s">
        <v>140</v>
      </c>
      <c r="R72" t="s">
        <v>2446</v>
      </c>
      <c r="S72" t="s">
        <v>2444</v>
      </c>
      <c r="T72" t="s">
        <v>2445</v>
      </c>
      <c r="U72">
        <v>24</v>
      </c>
      <c r="V72" t="s">
        <v>1019</v>
      </c>
      <c r="W72" t="s">
        <v>141</v>
      </c>
      <c r="X72" t="s">
        <v>142</v>
      </c>
      <c r="Y72">
        <v>11611</v>
      </c>
      <c r="Z72">
        <v>11612</v>
      </c>
      <c r="AA72" t="s">
        <v>1025</v>
      </c>
      <c r="AB72">
        <v>1</v>
      </c>
    </row>
    <row r="73" spans="1:28">
      <c r="A73">
        <v>1</v>
      </c>
      <c r="B73" t="s">
        <v>912</v>
      </c>
      <c r="C73" t="s">
        <v>2190</v>
      </c>
      <c r="D73" t="s">
        <v>2191</v>
      </c>
      <c r="E73" t="s">
        <v>1825</v>
      </c>
      <c r="F73" t="s">
        <v>1826</v>
      </c>
      <c r="G73">
        <v>13527.0226</v>
      </c>
      <c r="H73">
        <v>324648.54240000003</v>
      </c>
      <c r="I73">
        <v>14864.86</v>
      </c>
      <c r="J73">
        <v>356756.64</v>
      </c>
      <c r="K73">
        <v>16036.04</v>
      </c>
      <c r="L73">
        <v>384864.96</v>
      </c>
      <c r="M73">
        <v>45616</v>
      </c>
      <c r="O73" t="s">
        <v>326</v>
      </c>
      <c r="P73" t="s">
        <v>127</v>
      </c>
      <c r="Q73" t="s">
        <v>140</v>
      </c>
      <c r="R73" t="s">
        <v>2446</v>
      </c>
      <c r="S73" t="s">
        <v>2444</v>
      </c>
      <c r="T73" t="s">
        <v>2445</v>
      </c>
      <c r="U73">
        <v>24</v>
      </c>
      <c r="V73" t="s">
        <v>1019</v>
      </c>
      <c r="W73" t="s">
        <v>141</v>
      </c>
      <c r="X73" t="s">
        <v>142</v>
      </c>
      <c r="Y73">
        <v>11611</v>
      </c>
      <c r="Z73">
        <v>11612</v>
      </c>
      <c r="AA73" t="s">
        <v>1025</v>
      </c>
      <c r="AB73">
        <v>1</v>
      </c>
    </row>
    <row r="74" spans="1:28">
      <c r="A74">
        <v>1</v>
      </c>
      <c r="B74" t="s">
        <v>906</v>
      </c>
      <c r="C74" t="s">
        <v>2190</v>
      </c>
      <c r="D74" t="s">
        <v>2191</v>
      </c>
      <c r="E74" t="s">
        <v>1829</v>
      </c>
      <c r="F74" t="s">
        <v>1830</v>
      </c>
      <c r="G74">
        <v>13527.0226</v>
      </c>
      <c r="H74">
        <v>324648.54240000003</v>
      </c>
      <c r="I74">
        <v>14864.86</v>
      </c>
      <c r="J74">
        <v>356756.64</v>
      </c>
      <c r="K74">
        <v>16036.04</v>
      </c>
      <c r="L74">
        <v>384864.96</v>
      </c>
      <c r="M74">
        <v>45616</v>
      </c>
      <c r="O74" t="s">
        <v>326</v>
      </c>
      <c r="P74" t="s">
        <v>127</v>
      </c>
      <c r="Q74" t="s">
        <v>140</v>
      </c>
      <c r="R74" t="s">
        <v>2446</v>
      </c>
      <c r="S74" t="s">
        <v>2444</v>
      </c>
      <c r="T74" t="s">
        <v>2445</v>
      </c>
      <c r="U74">
        <v>24</v>
      </c>
      <c r="V74" t="s">
        <v>1019</v>
      </c>
      <c r="W74" t="s">
        <v>141</v>
      </c>
      <c r="X74" t="s">
        <v>142</v>
      </c>
      <c r="Y74">
        <v>11611</v>
      </c>
      <c r="Z74">
        <v>11612</v>
      </c>
      <c r="AA74" t="s">
        <v>1025</v>
      </c>
      <c r="AB74">
        <v>1</v>
      </c>
    </row>
    <row r="75" spans="1:28">
      <c r="A75">
        <v>1</v>
      </c>
      <c r="B75" t="s">
        <v>885</v>
      </c>
      <c r="C75" t="s">
        <v>2172</v>
      </c>
      <c r="D75" t="s">
        <v>2173</v>
      </c>
      <c r="E75" t="s">
        <v>1724</v>
      </c>
      <c r="F75" t="s">
        <v>1725</v>
      </c>
      <c r="G75">
        <v>6148.6486880000002</v>
      </c>
      <c r="H75">
        <v>885405.41107200005</v>
      </c>
      <c r="I75">
        <v>6756.7568000000001</v>
      </c>
      <c r="J75">
        <v>972972.97920000006</v>
      </c>
      <c r="K75">
        <v>7297.2973000000002</v>
      </c>
      <c r="L75">
        <v>1050810.8112000001</v>
      </c>
      <c r="M75">
        <v>45616</v>
      </c>
      <c r="O75" t="s">
        <v>326</v>
      </c>
      <c r="P75" t="s">
        <v>127</v>
      </c>
      <c r="Q75" t="s">
        <v>140</v>
      </c>
      <c r="R75" t="s">
        <v>2446</v>
      </c>
      <c r="S75" t="s">
        <v>2444</v>
      </c>
      <c r="T75" t="s">
        <v>2445</v>
      </c>
      <c r="U75">
        <v>144</v>
      </c>
      <c r="V75" t="s">
        <v>1022</v>
      </c>
      <c r="W75" t="s">
        <v>141</v>
      </c>
      <c r="X75" t="s">
        <v>142</v>
      </c>
      <c r="Y75">
        <v>11611</v>
      </c>
      <c r="Z75">
        <v>11612</v>
      </c>
      <c r="AA75" t="s">
        <v>1025</v>
      </c>
      <c r="AB75">
        <v>1</v>
      </c>
    </row>
    <row r="76" spans="1:28">
      <c r="A76">
        <v>1</v>
      </c>
      <c r="B76" t="s">
        <v>875</v>
      </c>
      <c r="C76" t="s">
        <v>2192</v>
      </c>
      <c r="D76" t="s">
        <v>2193</v>
      </c>
      <c r="E76" t="s">
        <v>1722</v>
      </c>
      <c r="F76" t="s">
        <v>1723</v>
      </c>
      <c r="G76">
        <v>27054.0543</v>
      </c>
      <c r="H76">
        <v>649297.30319999997</v>
      </c>
      <c r="I76">
        <v>29729.73</v>
      </c>
      <c r="J76">
        <v>713513.52</v>
      </c>
      <c r="K76">
        <v>31801.8</v>
      </c>
      <c r="L76">
        <v>763243.2</v>
      </c>
      <c r="M76">
        <v>45616</v>
      </c>
      <c r="O76" t="s">
        <v>326</v>
      </c>
      <c r="P76" t="s">
        <v>127</v>
      </c>
      <c r="Q76" t="s">
        <v>140</v>
      </c>
      <c r="R76" t="s">
        <v>2446</v>
      </c>
      <c r="S76" t="s">
        <v>2444</v>
      </c>
      <c r="T76" t="s">
        <v>2445</v>
      </c>
      <c r="U76">
        <v>24</v>
      </c>
      <c r="V76" t="s">
        <v>357</v>
      </c>
      <c r="W76" t="s">
        <v>141</v>
      </c>
      <c r="X76" t="s">
        <v>142</v>
      </c>
      <c r="Y76">
        <v>11611</v>
      </c>
      <c r="Z76">
        <v>11612</v>
      </c>
      <c r="AA76" t="s">
        <v>1025</v>
      </c>
      <c r="AB76">
        <v>1</v>
      </c>
    </row>
    <row r="77" spans="1:28">
      <c r="A77">
        <v>1</v>
      </c>
      <c r="B77" t="s">
        <v>664</v>
      </c>
      <c r="C77" t="s">
        <v>2194</v>
      </c>
      <c r="D77" t="s">
        <v>2195</v>
      </c>
      <c r="E77" t="s">
        <v>1720</v>
      </c>
      <c r="F77" t="s">
        <v>1721</v>
      </c>
      <c r="G77">
        <v>0</v>
      </c>
      <c r="H77">
        <v>0</v>
      </c>
      <c r="I77">
        <v>9009.0090090090071</v>
      </c>
      <c r="J77">
        <v>216216.21621621615</v>
      </c>
      <c r="K77">
        <v>0</v>
      </c>
      <c r="L77">
        <v>0</v>
      </c>
      <c r="M77">
        <v>45616</v>
      </c>
      <c r="O77" t="s">
        <v>326</v>
      </c>
      <c r="P77" t="s">
        <v>127</v>
      </c>
      <c r="Q77" t="s">
        <v>140</v>
      </c>
      <c r="R77" t="s">
        <v>2446</v>
      </c>
      <c r="S77" t="s">
        <v>2444</v>
      </c>
      <c r="T77" t="s">
        <v>2445</v>
      </c>
      <c r="U77">
        <v>24</v>
      </c>
      <c r="V77" t="s">
        <v>360</v>
      </c>
      <c r="W77" t="s">
        <v>141</v>
      </c>
      <c r="X77" t="s">
        <v>142</v>
      </c>
      <c r="Y77">
        <v>11611</v>
      </c>
      <c r="Z77">
        <v>11612</v>
      </c>
      <c r="AA77" t="s">
        <v>1025</v>
      </c>
      <c r="AB77">
        <v>1</v>
      </c>
    </row>
    <row r="78" spans="1:28">
      <c r="A78">
        <v>1</v>
      </c>
      <c r="B78" t="s">
        <v>449</v>
      </c>
      <c r="C78" t="s">
        <v>2196</v>
      </c>
      <c r="D78" t="s">
        <v>2197</v>
      </c>
      <c r="E78" t="s">
        <v>1614</v>
      </c>
      <c r="F78" t="s">
        <v>1615</v>
      </c>
      <c r="G78">
        <v>127830.40270000001</v>
      </c>
      <c r="H78">
        <v>511321.61080000002</v>
      </c>
      <c r="I78">
        <v>140472.97</v>
      </c>
      <c r="J78">
        <v>561891.88</v>
      </c>
      <c r="K78">
        <v>151711.71</v>
      </c>
      <c r="L78">
        <v>606846.84</v>
      </c>
      <c r="M78">
        <v>45616</v>
      </c>
      <c r="O78" t="s">
        <v>326</v>
      </c>
      <c r="P78" t="s">
        <v>127</v>
      </c>
      <c r="Q78" t="s">
        <v>140</v>
      </c>
      <c r="R78" t="s">
        <v>2446</v>
      </c>
      <c r="S78" t="s">
        <v>2444</v>
      </c>
      <c r="T78" t="s">
        <v>2445</v>
      </c>
      <c r="U78">
        <v>4</v>
      </c>
      <c r="V78" t="s">
        <v>358</v>
      </c>
      <c r="W78" t="s">
        <v>141</v>
      </c>
      <c r="X78" t="s">
        <v>142</v>
      </c>
      <c r="Y78">
        <v>11611</v>
      </c>
      <c r="Z78">
        <v>11612</v>
      </c>
      <c r="AA78" t="s">
        <v>1025</v>
      </c>
      <c r="AB78">
        <v>1</v>
      </c>
    </row>
    <row r="79" spans="1:28">
      <c r="A79">
        <v>1</v>
      </c>
      <c r="B79" t="s">
        <v>450</v>
      </c>
      <c r="C79" t="s">
        <v>2198</v>
      </c>
      <c r="D79" t="s">
        <v>2199</v>
      </c>
      <c r="E79" t="s">
        <v>1616</v>
      </c>
      <c r="F79" t="s">
        <v>1617</v>
      </c>
      <c r="G79">
        <v>8934.6712000000007</v>
      </c>
      <c r="H79">
        <v>536080.272</v>
      </c>
      <c r="I79">
        <v>9818.32</v>
      </c>
      <c r="J79">
        <v>589099.19999999995</v>
      </c>
      <c r="K79">
        <v>9818.32</v>
      </c>
      <c r="L79">
        <v>589099.19999999995</v>
      </c>
      <c r="M79">
        <v>45616</v>
      </c>
      <c r="O79" t="s">
        <v>326</v>
      </c>
      <c r="P79" t="s">
        <v>127</v>
      </c>
      <c r="Q79" t="s">
        <v>140</v>
      </c>
      <c r="R79" t="s">
        <v>2446</v>
      </c>
      <c r="S79" t="s">
        <v>2444</v>
      </c>
      <c r="T79" t="s">
        <v>2445</v>
      </c>
      <c r="U79">
        <v>60</v>
      </c>
      <c r="V79" t="s">
        <v>1023</v>
      </c>
      <c r="W79" t="s">
        <v>141</v>
      </c>
      <c r="X79" t="s">
        <v>142</v>
      </c>
      <c r="Y79">
        <v>11611</v>
      </c>
      <c r="Z79">
        <v>11612</v>
      </c>
      <c r="AA79" t="s">
        <v>1025</v>
      </c>
      <c r="AB79">
        <v>1</v>
      </c>
    </row>
    <row r="80" spans="1:28">
      <c r="A80">
        <v>1</v>
      </c>
      <c r="B80" t="s">
        <v>612</v>
      </c>
      <c r="C80" t="s">
        <v>2200</v>
      </c>
      <c r="D80" t="s">
        <v>2201</v>
      </c>
      <c r="E80" t="s">
        <v>1618</v>
      </c>
      <c r="F80" t="s">
        <v>1619</v>
      </c>
      <c r="G80">
        <v>7091.4389000000001</v>
      </c>
      <c r="H80">
        <v>255291.80040000001</v>
      </c>
      <c r="I80">
        <v>7792.79</v>
      </c>
      <c r="J80">
        <v>280540.44</v>
      </c>
      <c r="K80">
        <v>8423.42</v>
      </c>
      <c r="L80">
        <v>303243.12</v>
      </c>
      <c r="M80">
        <v>45616</v>
      </c>
      <c r="O80" t="s">
        <v>326</v>
      </c>
      <c r="P80" t="s">
        <v>127</v>
      </c>
      <c r="Q80" t="s">
        <v>140</v>
      </c>
      <c r="R80" t="s">
        <v>2446</v>
      </c>
      <c r="S80" t="s">
        <v>2444</v>
      </c>
      <c r="T80" t="s">
        <v>2445</v>
      </c>
      <c r="U80">
        <v>36</v>
      </c>
      <c r="V80" t="s">
        <v>357</v>
      </c>
      <c r="W80" t="s">
        <v>141</v>
      </c>
      <c r="X80" t="s">
        <v>142</v>
      </c>
      <c r="Y80">
        <v>11611</v>
      </c>
      <c r="Z80">
        <v>11612</v>
      </c>
      <c r="AA80" t="s">
        <v>1025</v>
      </c>
      <c r="AB80">
        <v>1</v>
      </c>
    </row>
    <row r="81" spans="1:28">
      <c r="A81">
        <v>1</v>
      </c>
      <c r="B81" t="s">
        <v>613</v>
      </c>
      <c r="C81" t="s">
        <v>2200</v>
      </c>
      <c r="D81" t="s">
        <v>2201</v>
      </c>
      <c r="E81" t="s">
        <v>1620</v>
      </c>
      <c r="F81" t="s">
        <v>1621</v>
      </c>
      <c r="G81">
        <v>12051.348399999999</v>
      </c>
      <c r="H81">
        <v>433848.54239999998</v>
      </c>
      <c r="I81">
        <v>13243.24</v>
      </c>
      <c r="J81">
        <v>476756.64</v>
      </c>
      <c r="K81">
        <v>14324.32</v>
      </c>
      <c r="L81">
        <v>515675.52</v>
      </c>
      <c r="M81">
        <v>45616</v>
      </c>
      <c r="O81" t="s">
        <v>326</v>
      </c>
      <c r="P81" t="s">
        <v>127</v>
      </c>
      <c r="Q81" t="s">
        <v>140</v>
      </c>
      <c r="R81" t="s">
        <v>2446</v>
      </c>
      <c r="S81" t="s">
        <v>2444</v>
      </c>
      <c r="T81" t="s">
        <v>2445</v>
      </c>
      <c r="U81">
        <v>36</v>
      </c>
      <c r="V81" t="s">
        <v>357</v>
      </c>
      <c r="W81" t="s">
        <v>141</v>
      </c>
      <c r="X81" t="s">
        <v>142</v>
      </c>
      <c r="Y81">
        <v>11611</v>
      </c>
      <c r="Z81">
        <v>11612</v>
      </c>
      <c r="AA81" t="s">
        <v>1025</v>
      </c>
      <c r="AB81">
        <v>1</v>
      </c>
    </row>
    <row r="82" spans="1:28">
      <c r="A82">
        <v>1</v>
      </c>
      <c r="B82" t="s">
        <v>614</v>
      </c>
      <c r="C82" t="s">
        <v>2200</v>
      </c>
      <c r="D82" t="s">
        <v>2201</v>
      </c>
      <c r="E82" t="s">
        <v>1622</v>
      </c>
      <c r="F82" t="s">
        <v>1623</v>
      </c>
      <c r="G82">
        <v>7091.4389000000001</v>
      </c>
      <c r="H82">
        <v>255291.80040000001</v>
      </c>
      <c r="I82">
        <v>7792.79</v>
      </c>
      <c r="J82">
        <v>280540.44</v>
      </c>
      <c r="K82">
        <v>8423.42</v>
      </c>
      <c r="L82">
        <v>303243.12</v>
      </c>
      <c r="M82">
        <v>45616</v>
      </c>
      <c r="O82" t="s">
        <v>326</v>
      </c>
      <c r="P82" t="s">
        <v>127</v>
      </c>
      <c r="Q82" t="s">
        <v>140</v>
      </c>
      <c r="R82" t="s">
        <v>2446</v>
      </c>
      <c r="S82" t="s">
        <v>2444</v>
      </c>
      <c r="T82" t="s">
        <v>2445</v>
      </c>
      <c r="U82">
        <v>36</v>
      </c>
      <c r="V82" t="s">
        <v>357</v>
      </c>
      <c r="W82" t="s">
        <v>141</v>
      </c>
      <c r="X82" t="s">
        <v>142</v>
      </c>
      <c r="Y82">
        <v>11611</v>
      </c>
      <c r="Z82">
        <v>11612</v>
      </c>
      <c r="AA82" t="s">
        <v>1025</v>
      </c>
      <c r="AB82">
        <v>1</v>
      </c>
    </row>
    <row r="83" spans="1:28">
      <c r="A83">
        <v>1</v>
      </c>
      <c r="B83" t="s">
        <v>615</v>
      </c>
      <c r="C83" t="s">
        <v>2200</v>
      </c>
      <c r="D83" t="s">
        <v>2201</v>
      </c>
      <c r="E83" t="s">
        <v>1624</v>
      </c>
      <c r="F83" t="s">
        <v>1625</v>
      </c>
      <c r="G83">
        <v>12051.348399999999</v>
      </c>
      <c r="H83">
        <v>433848.54239999998</v>
      </c>
      <c r="I83">
        <v>13243.24</v>
      </c>
      <c r="J83">
        <v>476756.64</v>
      </c>
      <c r="K83">
        <v>14324.32</v>
      </c>
      <c r="L83">
        <v>515675.52</v>
      </c>
      <c r="M83">
        <v>45616</v>
      </c>
      <c r="O83" t="s">
        <v>326</v>
      </c>
      <c r="P83" t="s">
        <v>127</v>
      </c>
      <c r="Q83" t="s">
        <v>140</v>
      </c>
      <c r="R83" t="s">
        <v>2446</v>
      </c>
      <c r="S83" t="s">
        <v>2444</v>
      </c>
      <c r="T83" t="s">
        <v>2445</v>
      </c>
      <c r="U83">
        <v>36</v>
      </c>
      <c r="V83" t="s">
        <v>357</v>
      </c>
      <c r="W83" t="s">
        <v>141</v>
      </c>
      <c r="X83" t="s">
        <v>142</v>
      </c>
      <c r="Y83">
        <v>11611</v>
      </c>
      <c r="Z83">
        <v>11612</v>
      </c>
      <c r="AA83" t="s">
        <v>1025</v>
      </c>
      <c r="AB83">
        <v>1</v>
      </c>
    </row>
    <row r="84" spans="1:28">
      <c r="A84">
        <v>1</v>
      </c>
      <c r="B84" t="s">
        <v>616</v>
      </c>
      <c r="C84" t="s">
        <v>2200</v>
      </c>
      <c r="D84" t="s">
        <v>2201</v>
      </c>
      <c r="E84" t="s">
        <v>1626</v>
      </c>
      <c r="F84" t="s">
        <v>1627</v>
      </c>
      <c r="G84">
        <v>7091.4389000000001</v>
      </c>
      <c r="H84">
        <v>255291.80040000001</v>
      </c>
      <c r="I84">
        <v>7792.79</v>
      </c>
      <c r="J84">
        <v>280540.44</v>
      </c>
      <c r="K84">
        <v>8423.42</v>
      </c>
      <c r="L84">
        <v>303243.12</v>
      </c>
      <c r="M84">
        <v>45616</v>
      </c>
      <c r="O84" t="s">
        <v>326</v>
      </c>
      <c r="P84" t="s">
        <v>127</v>
      </c>
      <c r="Q84" t="s">
        <v>140</v>
      </c>
      <c r="R84" t="s">
        <v>2446</v>
      </c>
      <c r="S84" t="s">
        <v>2444</v>
      </c>
      <c r="T84" t="s">
        <v>2445</v>
      </c>
      <c r="U84">
        <v>36</v>
      </c>
      <c r="V84" t="s">
        <v>357</v>
      </c>
      <c r="W84" t="s">
        <v>141</v>
      </c>
      <c r="X84" t="s">
        <v>142</v>
      </c>
      <c r="Y84">
        <v>11611</v>
      </c>
      <c r="Z84">
        <v>11612</v>
      </c>
      <c r="AA84" t="s">
        <v>1025</v>
      </c>
      <c r="AB84">
        <v>1</v>
      </c>
    </row>
    <row r="85" spans="1:28">
      <c r="A85">
        <v>1</v>
      </c>
      <c r="B85" t="s">
        <v>617</v>
      </c>
      <c r="C85" t="s">
        <v>2200</v>
      </c>
      <c r="D85" t="s">
        <v>2201</v>
      </c>
      <c r="E85" t="s">
        <v>1628</v>
      </c>
      <c r="F85" t="s">
        <v>1629</v>
      </c>
      <c r="G85">
        <v>12051.348399999999</v>
      </c>
      <c r="H85">
        <v>433848.54239999998</v>
      </c>
      <c r="I85">
        <v>13243.24</v>
      </c>
      <c r="J85">
        <v>476756.64</v>
      </c>
      <c r="K85">
        <v>14324.32</v>
      </c>
      <c r="L85">
        <v>515675.52</v>
      </c>
      <c r="M85">
        <v>45616</v>
      </c>
      <c r="O85" t="s">
        <v>326</v>
      </c>
      <c r="P85" t="s">
        <v>127</v>
      </c>
      <c r="Q85" t="s">
        <v>140</v>
      </c>
      <c r="R85" t="s">
        <v>2446</v>
      </c>
      <c r="S85" t="s">
        <v>2444</v>
      </c>
      <c r="T85" t="s">
        <v>2445</v>
      </c>
      <c r="U85">
        <v>36</v>
      </c>
      <c r="V85" t="s">
        <v>357</v>
      </c>
      <c r="W85" t="s">
        <v>141</v>
      </c>
      <c r="X85" t="s">
        <v>142</v>
      </c>
      <c r="Y85">
        <v>11611</v>
      </c>
      <c r="Z85">
        <v>11612</v>
      </c>
      <c r="AA85" t="s">
        <v>1025</v>
      </c>
      <c r="AB85">
        <v>1</v>
      </c>
    </row>
    <row r="86" spans="1:28">
      <c r="A86">
        <v>1</v>
      </c>
      <c r="B86" t="s">
        <v>618</v>
      </c>
      <c r="C86" t="s">
        <v>2200</v>
      </c>
      <c r="D86" t="s">
        <v>2201</v>
      </c>
      <c r="E86" t="s">
        <v>1630</v>
      </c>
      <c r="F86" t="s">
        <v>1631</v>
      </c>
      <c r="G86">
        <v>7091.4389000000001</v>
      </c>
      <c r="H86">
        <v>255291.80040000001</v>
      </c>
      <c r="I86">
        <v>7792.79</v>
      </c>
      <c r="J86">
        <v>280540.44</v>
      </c>
      <c r="K86">
        <v>8423.42</v>
      </c>
      <c r="L86">
        <v>303243.12</v>
      </c>
      <c r="M86">
        <v>45616</v>
      </c>
      <c r="O86" t="s">
        <v>326</v>
      </c>
      <c r="P86" t="s">
        <v>127</v>
      </c>
      <c r="Q86" t="s">
        <v>140</v>
      </c>
      <c r="R86" t="s">
        <v>2446</v>
      </c>
      <c r="S86" t="s">
        <v>2444</v>
      </c>
      <c r="T86" t="s">
        <v>2445</v>
      </c>
      <c r="U86">
        <v>36</v>
      </c>
      <c r="V86" t="s">
        <v>357</v>
      </c>
      <c r="W86" t="s">
        <v>141</v>
      </c>
      <c r="X86" t="s">
        <v>142</v>
      </c>
      <c r="Y86">
        <v>11611</v>
      </c>
      <c r="Z86">
        <v>11612</v>
      </c>
      <c r="AA86" t="s">
        <v>1025</v>
      </c>
      <c r="AB86">
        <v>1</v>
      </c>
    </row>
    <row r="87" spans="1:28">
      <c r="A87">
        <v>1</v>
      </c>
      <c r="B87" t="s">
        <v>619</v>
      </c>
      <c r="C87" t="s">
        <v>2200</v>
      </c>
      <c r="D87" t="s">
        <v>2201</v>
      </c>
      <c r="E87" t="s">
        <v>1632</v>
      </c>
      <c r="F87" t="s">
        <v>1633</v>
      </c>
      <c r="G87">
        <v>12051.348399999999</v>
      </c>
      <c r="H87">
        <v>433848.54239999998</v>
      </c>
      <c r="I87">
        <v>13243.24</v>
      </c>
      <c r="J87">
        <v>476756.64</v>
      </c>
      <c r="K87">
        <v>14324.32</v>
      </c>
      <c r="L87">
        <v>515675.52</v>
      </c>
      <c r="M87">
        <v>45616</v>
      </c>
      <c r="O87" t="s">
        <v>326</v>
      </c>
      <c r="P87" t="s">
        <v>127</v>
      </c>
      <c r="Q87" t="s">
        <v>140</v>
      </c>
      <c r="R87" t="s">
        <v>2446</v>
      </c>
      <c r="S87" t="s">
        <v>2444</v>
      </c>
      <c r="T87" t="s">
        <v>2445</v>
      </c>
      <c r="U87">
        <v>36</v>
      </c>
      <c r="V87" t="s">
        <v>357</v>
      </c>
      <c r="W87" t="s">
        <v>141</v>
      </c>
      <c r="X87" t="s">
        <v>142</v>
      </c>
      <c r="Y87">
        <v>11611</v>
      </c>
      <c r="Z87">
        <v>11612</v>
      </c>
      <c r="AA87" t="s">
        <v>1025</v>
      </c>
      <c r="AB87">
        <v>1</v>
      </c>
    </row>
    <row r="88" spans="1:28">
      <c r="A88">
        <v>1</v>
      </c>
      <c r="B88" t="s">
        <v>620</v>
      </c>
      <c r="C88" t="s">
        <v>2200</v>
      </c>
      <c r="D88" t="s">
        <v>2201</v>
      </c>
      <c r="E88" t="s">
        <v>1634</v>
      </c>
      <c r="F88" t="s">
        <v>1635</v>
      </c>
      <c r="G88">
        <v>7091.4389000000001</v>
      </c>
      <c r="H88">
        <v>255291.80040000001</v>
      </c>
      <c r="I88">
        <v>7792.79</v>
      </c>
      <c r="J88">
        <v>280540.44</v>
      </c>
      <c r="K88">
        <v>8423.42</v>
      </c>
      <c r="L88">
        <v>303243.12</v>
      </c>
      <c r="M88">
        <v>45616</v>
      </c>
      <c r="O88" t="s">
        <v>326</v>
      </c>
      <c r="P88" t="s">
        <v>127</v>
      </c>
      <c r="Q88" t="s">
        <v>140</v>
      </c>
      <c r="R88" t="s">
        <v>2446</v>
      </c>
      <c r="S88" t="s">
        <v>2444</v>
      </c>
      <c r="T88" t="s">
        <v>2445</v>
      </c>
      <c r="U88">
        <v>36</v>
      </c>
      <c r="V88" t="s">
        <v>357</v>
      </c>
      <c r="W88" t="s">
        <v>141</v>
      </c>
      <c r="X88" t="s">
        <v>142</v>
      </c>
      <c r="Y88">
        <v>11611</v>
      </c>
      <c r="Z88">
        <v>11612</v>
      </c>
      <c r="AA88" t="s">
        <v>1025</v>
      </c>
      <c r="AB88">
        <v>1</v>
      </c>
    </row>
    <row r="89" spans="1:28">
      <c r="A89">
        <v>1</v>
      </c>
      <c r="B89" t="s">
        <v>621</v>
      </c>
      <c r="C89" t="s">
        <v>2200</v>
      </c>
      <c r="D89" t="s">
        <v>2201</v>
      </c>
      <c r="E89" t="s">
        <v>1636</v>
      </c>
      <c r="F89" t="s">
        <v>1637</v>
      </c>
      <c r="G89">
        <v>12051.348399999999</v>
      </c>
      <c r="H89">
        <v>433848.54239999998</v>
      </c>
      <c r="I89">
        <v>13243.24</v>
      </c>
      <c r="J89">
        <v>476756.64</v>
      </c>
      <c r="K89">
        <v>14324.32</v>
      </c>
      <c r="L89">
        <v>515675.52</v>
      </c>
      <c r="M89">
        <v>45616</v>
      </c>
      <c r="O89" t="s">
        <v>326</v>
      </c>
      <c r="P89" t="s">
        <v>127</v>
      </c>
      <c r="Q89" t="s">
        <v>140</v>
      </c>
      <c r="R89" t="s">
        <v>2446</v>
      </c>
      <c r="S89" t="s">
        <v>2444</v>
      </c>
      <c r="T89" t="s">
        <v>2445</v>
      </c>
      <c r="U89">
        <v>36</v>
      </c>
      <c r="V89" t="s">
        <v>357</v>
      </c>
      <c r="W89" t="s">
        <v>141</v>
      </c>
      <c r="X89" t="s">
        <v>142</v>
      </c>
      <c r="Y89">
        <v>11611</v>
      </c>
      <c r="Z89">
        <v>11612</v>
      </c>
      <c r="AA89" t="s">
        <v>1025</v>
      </c>
      <c r="AB89">
        <v>1</v>
      </c>
    </row>
    <row r="90" spans="1:28">
      <c r="A90">
        <v>1</v>
      </c>
      <c r="B90" t="s">
        <v>622</v>
      </c>
      <c r="C90" t="s">
        <v>2200</v>
      </c>
      <c r="D90" t="s">
        <v>2201</v>
      </c>
      <c r="E90" t="s">
        <v>1638</v>
      </c>
      <c r="F90" t="s">
        <v>1639</v>
      </c>
      <c r="G90">
        <v>7091.4389000000001</v>
      </c>
      <c r="H90">
        <v>255291.80040000001</v>
      </c>
      <c r="I90">
        <v>7792.79</v>
      </c>
      <c r="J90">
        <v>280540.44</v>
      </c>
      <c r="K90">
        <v>8423.42</v>
      </c>
      <c r="L90">
        <v>303243.12</v>
      </c>
      <c r="M90">
        <v>45616</v>
      </c>
      <c r="O90" t="s">
        <v>326</v>
      </c>
      <c r="P90" t="s">
        <v>127</v>
      </c>
      <c r="Q90" t="s">
        <v>140</v>
      </c>
      <c r="R90" t="s">
        <v>2446</v>
      </c>
      <c r="S90" t="s">
        <v>2444</v>
      </c>
      <c r="T90" t="s">
        <v>2445</v>
      </c>
      <c r="U90">
        <v>36</v>
      </c>
      <c r="V90" t="s">
        <v>357</v>
      </c>
      <c r="W90" t="s">
        <v>141</v>
      </c>
      <c r="X90" t="s">
        <v>142</v>
      </c>
      <c r="Y90">
        <v>11611</v>
      </c>
      <c r="Z90">
        <v>11612</v>
      </c>
      <c r="AA90" t="s">
        <v>1025</v>
      </c>
      <c r="AB90">
        <v>1</v>
      </c>
    </row>
    <row r="91" spans="1:28">
      <c r="A91">
        <v>1</v>
      </c>
      <c r="B91" t="s">
        <v>623</v>
      </c>
      <c r="C91" t="s">
        <v>2200</v>
      </c>
      <c r="D91" t="s">
        <v>2201</v>
      </c>
      <c r="E91" t="s">
        <v>1640</v>
      </c>
      <c r="F91" t="s">
        <v>1641</v>
      </c>
      <c r="G91">
        <v>12051.348399999999</v>
      </c>
      <c r="H91">
        <v>433848.54239999998</v>
      </c>
      <c r="I91">
        <v>13243.24</v>
      </c>
      <c r="J91">
        <v>476756.64</v>
      </c>
      <c r="K91">
        <v>14324.32</v>
      </c>
      <c r="L91">
        <v>515675.52</v>
      </c>
      <c r="M91">
        <v>45616</v>
      </c>
      <c r="O91" t="s">
        <v>326</v>
      </c>
      <c r="P91" t="s">
        <v>127</v>
      </c>
      <c r="Q91" t="s">
        <v>140</v>
      </c>
      <c r="R91" t="s">
        <v>2446</v>
      </c>
      <c r="S91" t="s">
        <v>2444</v>
      </c>
      <c r="T91" t="s">
        <v>2445</v>
      </c>
      <c r="U91">
        <v>36</v>
      </c>
      <c r="V91" t="s">
        <v>357</v>
      </c>
      <c r="W91" t="s">
        <v>141</v>
      </c>
      <c r="X91" t="s">
        <v>142</v>
      </c>
      <c r="Y91">
        <v>11611</v>
      </c>
      <c r="Z91">
        <v>11612</v>
      </c>
      <c r="AA91" t="s">
        <v>1025</v>
      </c>
      <c r="AB91">
        <v>1</v>
      </c>
    </row>
    <row r="92" spans="1:28">
      <c r="A92">
        <v>1</v>
      </c>
      <c r="B92" t="s">
        <v>624</v>
      </c>
      <c r="C92" t="s">
        <v>2200</v>
      </c>
      <c r="D92" t="s">
        <v>2201</v>
      </c>
      <c r="E92" t="s">
        <v>1642</v>
      </c>
      <c r="F92" t="s">
        <v>1643</v>
      </c>
      <c r="G92">
        <v>7091.4389000000001</v>
      </c>
      <c r="H92">
        <v>255291.80040000001</v>
      </c>
      <c r="I92">
        <v>7792.79</v>
      </c>
      <c r="J92">
        <v>280540.44</v>
      </c>
      <c r="K92">
        <v>8423.42</v>
      </c>
      <c r="L92">
        <v>303243.12</v>
      </c>
      <c r="M92">
        <v>45616</v>
      </c>
      <c r="O92" t="s">
        <v>326</v>
      </c>
      <c r="P92" t="s">
        <v>127</v>
      </c>
      <c r="Q92" t="s">
        <v>140</v>
      </c>
      <c r="R92" t="s">
        <v>2446</v>
      </c>
      <c r="S92" t="s">
        <v>2444</v>
      </c>
      <c r="T92" t="s">
        <v>2445</v>
      </c>
      <c r="U92">
        <v>36</v>
      </c>
      <c r="V92" t="s">
        <v>357</v>
      </c>
      <c r="W92" t="s">
        <v>141</v>
      </c>
      <c r="X92" t="s">
        <v>142</v>
      </c>
      <c r="Y92">
        <v>11611</v>
      </c>
      <c r="Z92">
        <v>11612</v>
      </c>
      <c r="AA92" t="s">
        <v>1025</v>
      </c>
      <c r="AB92">
        <v>1</v>
      </c>
    </row>
    <row r="93" spans="1:28">
      <c r="A93">
        <v>1</v>
      </c>
      <c r="B93" t="s">
        <v>447</v>
      </c>
      <c r="C93" t="s">
        <v>2196</v>
      </c>
      <c r="D93" t="s">
        <v>2197</v>
      </c>
      <c r="E93" t="s">
        <v>1612</v>
      </c>
      <c r="F93" t="s">
        <v>1613</v>
      </c>
      <c r="G93">
        <v>0</v>
      </c>
      <c r="H93">
        <v>0</v>
      </c>
      <c r="I93">
        <v>9054.0540540540533</v>
      </c>
      <c r="J93">
        <v>217297.29729729728</v>
      </c>
      <c r="K93">
        <v>0</v>
      </c>
      <c r="L93">
        <v>0</v>
      </c>
      <c r="M93">
        <v>45616</v>
      </c>
      <c r="O93" t="s">
        <v>326</v>
      </c>
      <c r="P93" t="s">
        <v>127</v>
      </c>
      <c r="Q93" t="s">
        <v>140</v>
      </c>
      <c r="R93" t="s">
        <v>2446</v>
      </c>
      <c r="S93" t="s">
        <v>2444</v>
      </c>
      <c r="T93" t="s">
        <v>2445</v>
      </c>
      <c r="U93">
        <v>24</v>
      </c>
      <c r="V93" t="s">
        <v>357</v>
      </c>
      <c r="W93" t="s">
        <v>141</v>
      </c>
      <c r="X93" t="s">
        <v>142</v>
      </c>
      <c r="Y93">
        <v>11611</v>
      </c>
      <c r="Z93">
        <v>11612</v>
      </c>
      <c r="AA93" t="s">
        <v>1025</v>
      </c>
      <c r="AB93">
        <v>1</v>
      </c>
    </row>
    <row r="94" spans="1:28">
      <c r="A94">
        <v>1</v>
      </c>
      <c r="B94" t="s">
        <v>625</v>
      </c>
      <c r="C94" t="s">
        <v>2200</v>
      </c>
      <c r="D94" t="s">
        <v>2201</v>
      </c>
      <c r="E94" t="s">
        <v>1644</v>
      </c>
      <c r="F94" t="s">
        <v>1645</v>
      </c>
      <c r="G94">
        <v>12051.348399999999</v>
      </c>
      <c r="H94">
        <v>433848.54239999998</v>
      </c>
      <c r="I94">
        <v>13243.24</v>
      </c>
      <c r="J94">
        <v>476756.64</v>
      </c>
      <c r="K94">
        <v>14324.32</v>
      </c>
      <c r="L94">
        <v>515675.52</v>
      </c>
      <c r="M94">
        <v>45616</v>
      </c>
      <c r="O94" t="s">
        <v>326</v>
      </c>
      <c r="P94" t="s">
        <v>127</v>
      </c>
      <c r="Q94" t="s">
        <v>140</v>
      </c>
      <c r="R94" t="s">
        <v>2446</v>
      </c>
      <c r="S94" t="s">
        <v>2444</v>
      </c>
      <c r="T94" t="s">
        <v>2445</v>
      </c>
      <c r="U94">
        <v>36</v>
      </c>
      <c r="V94" t="s">
        <v>357</v>
      </c>
      <c r="W94" t="s">
        <v>141</v>
      </c>
      <c r="X94" t="s">
        <v>142</v>
      </c>
      <c r="Y94">
        <v>11611</v>
      </c>
      <c r="Z94">
        <v>11612</v>
      </c>
      <c r="AA94" t="s">
        <v>1025</v>
      </c>
      <c r="AB94">
        <v>1</v>
      </c>
    </row>
    <row r="95" spans="1:28">
      <c r="A95">
        <v>1</v>
      </c>
      <c r="B95" t="s">
        <v>446</v>
      </c>
      <c r="C95" t="s">
        <v>2196</v>
      </c>
      <c r="D95" t="s">
        <v>2197</v>
      </c>
      <c r="E95" t="s">
        <v>1610</v>
      </c>
      <c r="F95" t="s">
        <v>1611</v>
      </c>
      <c r="G95">
        <v>6205.5811999999996</v>
      </c>
      <c r="H95">
        <v>223400.92319999999</v>
      </c>
      <c r="I95">
        <v>6819.32</v>
      </c>
      <c r="J95">
        <v>245495.52</v>
      </c>
      <c r="K95">
        <v>7274.77</v>
      </c>
      <c r="L95">
        <v>261891.72000000003</v>
      </c>
      <c r="M95">
        <v>45616</v>
      </c>
      <c r="O95" t="s">
        <v>326</v>
      </c>
      <c r="P95" t="s">
        <v>127</v>
      </c>
      <c r="Q95" t="s">
        <v>140</v>
      </c>
      <c r="R95" t="s">
        <v>2446</v>
      </c>
      <c r="S95" t="s">
        <v>2444</v>
      </c>
      <c r="T95" t="s">
        <v>2445</v>
      </c>
      <c r="U95">
        <v>36</v>
      </c>
      <c r="V95" t="s">
        <v>357</v>
      </c>
      <c r="W95" t="s">
        <v>141</v>
      </c>
      <c r="X95" t="s">
        <v>142</v>
      </c>
      <c r="Y95">
        <v>11611</v>
      </c>
      <c r="Z95">
        <v>11612</v>
      </c>
      <c r="AA95" t="s">
        <v>1025</v>
      </c>
      <c r="AB95">
        <v>1</v>
      </c>
    </row>
    <row r="96" spans="1:28">
      <c r="A96">
        <v>1</v>
      </c>
      <c r="B96" t="s">
        <v>443</v>
      </c>
      <c r="C96" t="s">
        <v>2202</v>
      </c>
      <c r="D96" t="s">
        <v>2203</v>
      </c>
      <c r="E96" t="s">
        <v>1606</v>
      </c>
      <c r="F96" t="s">
        <v>1607</v>
      </c>
      <c r="G96">
        <v>0</v>
      </c>
      <c r="H96">
        <v>0</v>
      </c>
      <c r="I96">
        <v>140472.97297297296</v>
      </c>
      <c r="J96">
        <v>561891.89189189184</v>
      </c>
      <c r="K96">
        <v>0</v>
      </c>
      <c r="L96">
        <v>0</v>
      </c>
      <c r="M96">
        <v>45616</v>
      </c>
      <c r="O96" t="s">
        <v>326</v>
      </c>
      <c r="P96" t="s">
        <v>127</v>
      </c>
      <c r="Q96" t="s">
        <v>140</v>
      </c>
      <c r="R96" t="s">
        <v>2446</v>
      </c>
      <c r="S96" t="s">
        <v>2444</v>
      </c>
      <c r="T96" t="s">
        <v>2445</v>
      </c>
      <c r="U96">
        <v>4</v>
      </c>
      <c r="V96" t="s">
        <v>358</v>
      </c>
      <c r="W96" t="s">
        <v>141</v>
      </c>
      <c r="X96" t="s">
        <v>142</v>
      </c>
      <c r="Y96">
        <v>11611</v>
      </c>
      <c r="Z96">
        <v>11612</v>
      </c>
      <c r="AA96" t="s">
        <v>1025</v>
      </c>
      <c r="AB96">
        <v>1</v>
      </c>
    </row>
    <row r="97" spans="1:28">
      <c r="A97">
        <v>1</v>
      </c>
      <c r="B97" t="s">
        <v>1000</v>
      </c>
      <c r="C97" t="s">
        <v>2331</v>
      </c>
      <c r="D97" t="s">
        <v>2332</v>
      </c>
      <c r="E97" t="s">
        <v>1562</v>
      </c>
      <c r="F97" t="s">
        <v>1563</v>
      </c>
      <c r="G97">
        <v>21305.065600000002</v>
      </c>
      <c r="H97">
        <v>511321.57440000004</v>
      </c>
      <c r="I97">
        <v>23412.16</v>
      </c>
      <c r="J97">
        <v>561891.83999999997</v>
      </c>
      <c r="K97">
        <v>24579.58</v>
      </c>
      <c r="L97">
        <v>589909.92000000004</v>
      </c>
      <c r="M97">
        <v>45616</v>
      </c>
      <c r="O97" t="s">
        <v>326</v>
      </c>
      <c r="P97" t="s">
        <v>127</v>
      </c>
      <c r="Q97" t="s">
        <v>140</v>
      </c>
      <c r="R97" t="s">
        <v>2446</v>
      </c>
      <c r="S97" t="s">
        <v>2444</v>
      </c>
      <c r="T97" t="s">
        <v>2445</v>
      </c>
      <c r="U97">
        <v>24</v>
      </c>
      <c r="V97" t="s">
        <v>357</v>
      </c>
      <c r="W97" t="s">
        <v>141</v>
      </c>
      <c r="X97" t="s">
        <v>142</v>
      </c>
      <c r="Y97">
        <v>11611</v>
      </c>
      <c r="Z97">
        <v>11612</v>
      </c>
      <c r="AA97" t="s">
        <v>1025</v>
      </c>
      <c r="AB97">
        <v>1</v>
      </c>
    </row>
    <row r="98" spans="1:28">
      <c r="A98">
        <v>1</v>
      </c>
      <c r="B98" t="s">
        <v>1001</v>
      </c>
      <c r="C98" t="s">
        <v>2331</v>
      </c>
      <c r="D98" t="s">
        <v>2332</v>
      </c>
      <c r="E98" t="s">
        <v>1564</v>
      </c>
      <c r="F98" t="s">
        <v>1565</v>
      </c>
      <c r="G98">
        <v>21305.065600000002</v>
      </c>
      <c r="H98">
        <v>511321.57440000004</v>
      </c>
      <c r="I98">
        <v>23412.16</v>
      </c>
      <c r="J98">
        <v>561891.83999999997</v>
      </c>
      <c r="K98">
        <v>24579.58</v>
      </c>
      <c r="L98">
        <v>589909.92000000004</v>
      </c>
      <c r="M98">
        <v>45616</v>
      </c>
      <c r="O98" t="s">
        <v>326</v>
      </c>
      <c r="P98" t="s">
        <v>127</v>
      </c>
      <c r="Q98" t="s">
        <v>140</v>
      </c>
      <c r="R98" t="s">
        <v>2446</v>
      </c>
      <c r="S98" t="s">
        <v>2444</v>
      </c>
      <c r="T98" t="s">
        <v>2445</v>
      </c>
      <c r="U98">
        <v>24</v>
      </c>
      <c r="V98" t="s">
        <v>357</v>
      </c>
      <c r="W98" t="s">
        <v>141</v>
      </c>
      <c r="X98" t="s">
        <v>142</v>
      </c>
      <c r="Y98">
        <v>11611</v>
      </c>
      <c r="Z98">
        <v>11612</v>
      </c>
      <c r="AA98" t="s">
        <v>1025</v>
      </c>
      <c r="AB98">
        <v>1</v>
      </c>
    </row>
    <row r="99" spans="1:28">
      <c r="A99">
        <v>1</v>
      </c>
      <c r="B99" t="s">
        <v>1002</v>
      </c>
      <c r="C99" t="s">
        <v>2331</v>
      </c>
      <c r="D99" t="s">
        <v>2332</v>
      </c>
      <c r="E99" t="s">
        <v>1566</v>
      </c>
      <c r="F99" t="s">
        <v>1567</v>
      </c>
      <c r="G99">
        <v>21305.065600000002</v>
      </c>
      <c r="H99">
        <v>511321.57440000004</v>
      </c>
      <c r="I99">
        <v>23412.16</v>
      </c>
      <c r="J99">
        <v>561891.83999999997</v>
      </c>
      <c r="K99">
        <v>24579.58</v>
      </c>
      <c r="L99">
        <v>589909.92000000004</v>
      </c>
      <c r="M99">
        <v>45616</v>
      </c>
      <c r="O99" t="s">
        <v>326</v>
      </c>
      <c r="P99" t="s">
        <v>127</v>
      </c>
      <c r="Q99" t="s">
        <v>140</v>
      </c>
      <c r="R99" t="s">
        <v>2446</v>
      </c>
      <c r="S99" t="s">
        <v>2444</v>
      </c>
      <c r="T99" t="s">
        <v>2445</v>
      </c>
      <c r="U99">
        <v>24</v>
      </c>
      <c r="V99" t="s">
        <v>357</v>
      </c>
      <c r="W99" t="s">
        <v>141</v>
      </c>
      <c r="X99" t="s">
        <v>142</v>
      </c>
      <c r="Y99">
        <v>11611</v>
      </c>
      <c r="Z99">
        <v>11612</v>
      </c>
      <c r="AA99" t="s">
        <v>1025</v>
      </c>
      <c r="AB99">
        <v>1</v>
      </c>
    </row>
    <row r="100" spans="1:28">
      <c r="A100">
        <v>1</v>
      </c>
      <c r="B100" t="s">
        <v>1016</v>
      </c>
      <c r="C100" t="s">
        <v>2208</v>
      </c>
      <c r="D100" t="s">
        <v>2209</v>
      </c>
      <c r="E100" t="s">
        <v>1594</v>
      </c>
      <c r="F100" t="s">
        <v>1595</v>
      </c>
      <c r="G100">
        <v>26849.095000000001</v>
      </c>
      <c r="H100">
        <v>644378.28</v>
      </c>
      <c r="I100">
        <v>29504.5</v>
      </c>
      <c r="J100">
        <v>708108</v>
      </c>
      <c r="K100">
        <v>31846.85</v>
      </c>
      <c r="L100">
        <v>764324.39999999991</v>
      </c>
      <c r="M100">
        <v>45616</v>
      </c>
      <c r="O100" t="s">
        <v>326</v>
      </c>
      <c r="P100" t="s">
        <v>127</v>
      </c>
      <c r="Q100" t="s">
        <v>140</v>
      </c>
      <c r="R100" t="s">
        <v>2446</v>
      </c>
      <c r="S100" t="s">
        <v>2444</v>
      </c>
      <c r="T100" t="s">
        <v>2445</v>
      </c>
      <c r="U100">
        <v>24</v>
      </c>
      <c r="V100" t="s">
        <v>357</v>
      </c>
      <c r="W100" t="s">
        <v>141</v>
      </c>
      <c r="X100" t="s">
        <v>142</v>
      </c>
      <c r="Y100">
        <v>11611</v>
      </c>
      <c r="Z100">
        <v>11612</v>
      </c>
      <c r="AA100" t="s">
        <v>1025</v>
      </c>
      <c r="AB100">
        <v>1</v>
      </c>
    </row>
    <row r="101" spans="1:28">
      <c r="A101">
        <v>1</v>
      </c>
      <c r="B101" t="s">
        <v>1017</v>
      </c>
      <c r="C101" t="s">
        <v>2208</v>
      </c>
      <c r="D101" t="s">
        <v>2209</v>
      </c>
      <c r="E101" t="s">
        <v>1596</v>
      </c>
      <c r="F101" t="s">
        <v>1597</v>
      </c>
      <c r="G101">
        <v>0</v>
      </c>
      <c r="H101">
        <v>0</v>
      </c>
      <c r="I101">
        <v>29504.504504504501</v>
      </c>
      <c r="J101">
        <v>708108.10810810805</v>
      </c>
      <c r="K101">
        <v>0</v>
      </c>
      <c r="L101">
        <v>0</v>
      </c>
      <c r="M101">
        <v>45616</v>
      </c>
      <c r="O101" t="s">
        <v>326</v>
      </c>
      <c r="P101" t="s">
        <v>127</v>
      </c>
      <c r="Q101" t="s">
        <v>140</v>
      </c>
      <c r="R101" t="s">
        <v>2446</v>
      </c>
      <c r="S101" t="s">
        <v>2444</v>
      </c>
      <c r="T101" t="s">
        <v>2445</v>
      </c>
      <c r="U101">
        <v>24</v>
      </c>
      <c r="V101" t="s">
        <v>357</v>
      </c>
      <c r="W101" t="s">
        <v>141</v>
      </c>
      <c r="X101" t="s">
        <v>142</v>
      </c>
      <c r="Y101">
        <v>11611</v>
      </c>
      <c r="Z101">
        <v>11612</v>
      </c>
      <c r="AA101" t="s">
        <v>1025</v>
      </c>
      <c r="AB101">
        <v>1</v>
      </c>
    </row>
    <row r="102" spans="1:28">
      <c r="A102">
        <v>1</v>
      </c>
      <c r="B102" t="s">
        <v>1018</v>
      </c>
      <c r="C102" t="s">
        <v>2208</v>
      </c>
      <c r="D102" t="s">
        <v>2209</v>
      </c>
      <c r="E102" t="s">
        <v>1598</v>
      </c>
      <c r="F102" t="s">
        <v>1599</v>
      </c>
      <c r="G102">
        <v>0</v>
      </c>
      <c r="H102">
        <v>0</v>
      </c>
      <c r="I102">
        <v>29504.504504504501</v>
      </c>
      <c r="J102">
        <v>708108.10810810805</v>
      </c>
      <c r="K102">
        <v>0</v>
      </c>
      <c r="L102">
        <v>0</v>
      </c>
      <c r="M102">
        <v>45616</v>
      </c>
      <c r="O102" t="s">
        <v>326</v>
      </c>
      <c r="P102" t="s">
        <v>127</v>
      </c>
      <c r="Q102" t="s">
        <v>140</v>
      </c>
      <c r="R102" t="s">
        <v>2446</v>
      </c>
      <c r="S102" t="s">
        <v>2444</v>
      </c>
      <c r="T102" t="s">
        <v>2445</v>
      </c>
      <c r="U102">
        <v>24</v>
      </c>
      <c r="V102" t="s">
        <v>357</v>
      </c>
      <c r="W102" t="s">
        <v>141</v>
      </c>
      <c r="X102" t="s">
        <v>142</v>
      </c>
      <c r="Y102">
        <v>11611</v>
      </c>
      <c r="Z102">
        <v>11612</v>
      </c>
      <c r="AA102" t="s">
        <v>1025</v>
      </c>
      <c r="AB102">
        <v>1</v>
      </c>
    </row>
    <row r="103" spans="1:28">
      <c r="A103">
        <v>1</v>
      </c>
      <c r="B103" t="s">
        <v>1010</v>
      </c>
      <c r="C103" t="s">
        <v>2206</v>
      </c>
      <c r="D103" t="s">
        <v>2207</v>
      </c>
      <c r="E103" t="s">
        <v>1582</v>
      </c>
      <c r="F103" t="s">
        <v>1583</v>
      </c>
      <c r="G103">
        <v>45622.977400000003</v>
      </c>
      <c r="H103">
        <v>547475.72880000004</v>
      </c>
      <c r="I103">
        <v>50135.14</v>
      </c>
      <c r="J103">
        <v>601621.67999999993</v>
      </c>
      <c r="K103">
        <v>54144.14</v>
      </c>
      <c r="L103">
        <v>649729.67999999993</v>
      </c>
      <c r="M103">
        <v>45616</v>
      </c>
      <c r="O103" t="s">
        <v>326</v>
      </c>
      <c r="P103" t="s">
        <v>127</v>
      </c>
      <c r="Q103" t="s">
        <v>140</v>
      </c>
      <c r="R103" t="s">
        <v>2446</v>
      </c>
      <c r="S103" t="s">
        <v>2444</v>
      </c>
      <c r="T103" t="s">
        <v>2445</v>
      </c>
      <c r="U103">
        <v>12</v>
      </c>
      <c r="V103" t="s">
        <v>357</v>
      </c>
      <c r="W103" t="s">
        <v>141</v>
      </c>
      <c r="X103" t="s">
        <v>142</v>
      </c>
      <c r="Y103">
        <v>11611</v>
      </c>
      <c r="Z103">
        <v>11612</v>
      </c>
      <c r="AA103" t="s">
        <v>1025</v>
      </c>
      <c r="AB103">
        <v>1</v>
      </c>
    </row>
    <row r="104" spans="1:28">
      <c r="A104">
        <v>1</v>
      </c>
      <c r="B104" t="s">
        <v>1011</v>
      </c>
      <c r="C104" t="s">
        <v>2206</v>
      </c>
      <c r="D104" t="s">
        <v>2207</v>
      </c>
      <c r="E104" t="s">
        <v>1584</v>
      </c>
      <c r="F104" t="s">
        <v>1585</v>
      </c>
      <c r="G104">
        <v>0</v>
      </c>
      <c r="H104">
        <v>0</v>
      </c>
      <c r="I104">
        <v>50135.135135135126</v>
      </c>
      <c r="J104">
        <v>601621.62162162154</v>
      </c>
      <c r="K104">
        <v>0</v>
      </c>
      <c r="L104">
        <v>0</v>
      </c>
      <c r="M104">
        <v>45616</v>
      </c>
      <c r="O104" t="s">
        <v>326</v>
      </c>
      <c r="P104" t="s">
        <v>127</v>
      </c>
      <c r="Q104" t="s">
        <v>140</v>
      </c>
      <c r="R104" t="s">
        <v>2446</v>
      </c>
      <c r="S104" t="s">
        <v>2444</v>
      </c>
      <c r="T104" t="s">
        <v>2445</v>
      </c>
      <c r="U104">
        <v>12</v>
      </c>
      <c r="V104" t="s">
        <v>357</v>
      </c>
      <c r="W104" t="s">
        <v>141</v>
      </c>
      <c r="X104" t="s">
        <v>142</v>
      </c>
      <c r="Y104">
        <v>11611</v>
      </c>
      <c r="Z104">
        <v>11612</v>
      </c>
      <c r="AA104" t="s">
        <v>1025</v>
      </c>
      <c r="AB104">
        <v>1</v>
      </c>
    </row>
    <row r="105" spans="1:28">
      <c r="A105">
        <v>1</v>
      </c>
      <c r="B105" t="s">
        <v>1012</v>
      </c>
      <c r="C105" t="s">
        <v>2206</v>
      </c>
      <c r="D105" t="s">
        <v>2207</v>
      </c>
      <c r="E105" t="s">
        <v>1586</v>
      </c>
      <c r="F105" t="s">
        <v>1587</v>
      </c>
      <c r="G105">
        <v>0</v>
      </c>
      <c r="H105">
        <v>0</v>
      </c>
      <c r="I105">
        <v>50135.135135135126</v>
      </c>
      <c r="J105">
        <v>601621.62162162154</v>
      </c>
      <c r="K105">
        <v>0</v>
      </c>
      <c r="L105">
        <v>0</v>
      </c>
      <c r="M105">
        <v>45616</v>
      </c>
      <c r="O105" t="s">
        <v>326</v>
      </c>
      <c r="P105" t="s">
        <v>127</v>
      </c>
      <c r="Q105" t="s">
        <v>140</v>
      </c>
      <c r="R105" t="s">
        <v>2446</v>
      </c>
      <c r="S105" t="s">
        <v>2444</v>
      </c>
      <c r="T105" t="s">
        <v>2445</v>
      </c>
      <c r="U105">
        <v>12</v>
      </c>
      <c r="V105" t="s">
        <v>357</v>
      </c>
      <c r="W105" t="s">
        <v>141</v>
      </c>
      <c r="X105" t="s">
        <v>142</v>
      </c>
      <c r="Y105">
        <v>11611</v>
      </c>
      <c r="Z105">
        <v>11612</v>
      </c>
      <c r="AA105" t="s">
        <v>1025</v>
      </c>
      <c r="AB105">
        <v>1</v>
      </c>
    </row>
    <row r="106" spans="1:28">
      <c r="A106">
        <v>1</v>
      </c>
      <c r="B106" t="s">
        <v>1013</v>
      </c>
      <c r="C106" t="s">
        <v>2206</v>
      </c>
      <c r="D106" t="s">
        <v>2207</v>
      </c>
      <c r="E106" t="s">
        <v>1588</v>
      </c>
      <c r="F106" t="s">
        <v>1589</v>
      </c>
      <c r="G106">
        <v>0</v>
      </c>
      <c r="H106">
        <v>0</v>
      </c>
      <c r="I106">
        <v>50135.135135135126</v>
      </c>
      <c r="J106">
        <v>601621.62162162154</v>
      </c>
      <c r="K106">
        <v>0</v>
      </c>
      <c r="L106">
        <v>0</v>
      </c>
      <c r="M106">
        <v>45616</v>
      </c>
      <c r="O106" t="s">
        <v>326</v>
      </c>
      <c r="P106" t="s">
        <v>127</v>
      </c>
      <c r="Q106" t="s">
        <v>140</v>
      </c>
      <c r="R106" t="s">
        <v>2446</v>
      </c>
      <c r="S106" t="s">
        <v>2444</v>
      </c>
      <c r="T106" t="s">
        <v>2445</v>
      </c>
      <c r="U106">
        <v>12</v>
      </c>
      <c r="V106" t="s">
        <v>357</v>
      </c>
      <c r="W106" t="s">
        <v>141</v>
      </c>
      <c r="X106" t="s">
        <v>142</v>
      </c>
      <c r="Y106">
        <v>11611</v>
      </c>
      <c r="Z106">
        <v>11612</v>
      </c>
      <c r="AA106" t="s">
        <v>1025</v>
      </c>
      <c r="AB106">
        <v>1</v>
      </c>
    </row>
    <row r="107" spans="1:28">
      <c r="A107">
        <v>1</v>
      </c>
      <c r="B107" t="s">
        <v>1014</v>
      </c>
      <c r="C107" t="s">
        <v>2206</v>
      </c>
      <c r="D107" t="s">
        <v>2207</v>
      </c>
      <c r="E107" t="s">
        <v>1590</v>
      </c>
      <c r="F107" t="s">
        <v>1591</v>
      </c>
      <c r="G107">
        <v>45622.977400000003</v>
      </c>
      <c r="H107">
        <v>547475.72880000004</v>
      </c>
      <c r="I107">
        <v>50135.14</v>
      </c>
      <c r="J107">
        <v>601621.67999999993</v>
      </c>
      <c r="K107">
        <v>54144.14</v>
      </c>
      <c r="L107">
        <v>649729.67999999993</v>
      </c>
      <c r="M107">
        <v>45616</v>
      </c>
      <c r="O107" t="s">
        <v>326</v>
      </c>
      <c r="P107" t="s">
        <v>127</v>
      </c>
      <c r="Q107" t="s">
        <v>140</v>
      </c>
      <c r="R107" t="s">
        <v>2446</v>
      </c>
      <c r="S107" t="s">
        <v>2444</v>
      </c>
      <c r="T107" t="s">
        <v>2445</v>
      </c>
      <c r="U107">
        <v>12</v>
      </c>
      <c r="V107" t="s">
        <v>357</v>
      </c>
      <c r="W107" t="s">
        <v>141</v>
      </c>
      <c r="X107" t="s">
        <v>142</v>
      </c>
      <c r="Y107">
        <v>11611</v>
      </c>
      <c r="Z107">
        <v>11612</v>
      </c>
      <c r="AA107" t="s">
        <v>1025</v>
      </c>
      <c r="AB107">
        <v>1</v>
      </c>
    </row>
    <row r="108" spans="1:28">
      <c r="A108">
        <v>1</v>
      </c>
      <c r="B108" t="s">
        <v>1015</v>
      </c>
      <c r="C108" t="s">
        <v>2206</v>
      </c>
      <c r="D108" t="s">
        <v>2207</v>
      </c>
      <c r="E108" t="s">
        <v>1592</v>
      </c>
      <c r="F108" t="s">
        <v>1593</v>
      </c>
      <c r="G108">
        <v>0</v>
      </c>
      <c r="H108">
        <v>0</v>
      </c>
      <c r="I108">
        <v>50135.135135135126</v>
      </c>
      <c r="J108">
        <v>601621.62162162154</v>
      </c>
      <c r="K108">
        <v>0</v>
      </c>
      <c r="L108">
        <v>0</v>
      </c>
      <c r="M108">
        <v>45616</v>
      </c>
      <c r="O108" t="s">
        <v>326</v>
      </c>
      <c r="P108" t="s">
        <v>127</v>
      </c>
      <c r="Q108" t="s">
        <v>140</v>
      </c>
      <c r="R108" t="s">
        <v>2446</v>
      </c>
      <c r="S108" t="s">
        <v>2444</v>
      </c>
      <c r="T108" t="s">
        <v>2445</v>
      </c>
      <c r="U108">
        <v>12</v>
      </c>
      <c r="V108" t="s">
        <v>357</v>
      </c>
      <c r="W108" t="s">
        <v>141</v>
      </c>
      <c r="X108" t="s">
        <v>142</v>
      </c>
      <c r="Y108">
        <v>11611</v>
      </c>
      <c r="Z108">
        <v>11612</v>
      </c>
      <c r="AA108" t="s">
        <v>1025</v>
      </c>
      <c r="AB108">
        <v>1</v>
      </c>
    </row>
    <row r="109" spans="1:28">
      <c r="A109">
        <v>1</v>
      </c>
      <c r="B109" t="s">
        <v>439</v>
      </c>
      <c r="C109" t="s">
        <v>2202</v>
      </c>
      <c r="D109" t="s">
        <v>2203</v>
      </c>
      <c r="E109" t="s">
        <v>1600</v>
      </c>
      <c r="F109" t="s">
        <v>1601</v>
      </c>
      <c r="G109">
        <v>3402.2533999999996</v>
      </c>
      <c r="H109">
        <v>122481.12239999999</v>
      </c>
      <c r="I109">
        <v>3738.74</v>
      </c>
      <c r="J109">
        <v>134594.63999999998</v>
      </c>
      <c r="K109">
        <v>4054.05</v>
      </c>
      <c r="L109">
        <v>145945.80000000002</v>
      </c>
      <c r="M109">
        <v>45616</v>
      </c>
      <c r="O109" t="s">
        <v>326</v>
      </c>
      <c r="P109" t="s">
        <v>127</v>
      </c>
      <c r="Q109" t="s">
        <v>140</v>
      </c>
      <c r="R109" t="s">
        <v>2446</v>
      </c>
      <c r="S109" t="s">
        <v>2444</v>
      </c>
      <c r="T109" t="s">
        <v>2445</v>
      </c>
      <c r="U109">
        <v>36</v>
      </c>
      <c r="V109" t="s">
        <v>357</v>
      </c>
      <c r="W109" t="s">
        <v>141</v>
      </c>
      <c r="X109" t="s">
        <v>142</v>
      </c>
      <c r="Y109">
        <v>11611</v>
      </c>
      <c r="Z109">
        <v>11612</v>
      </c>
      <c r="AA109" t="s">
        <v>1025</v>
      </c>
      <c r="AB109">
        <v>1</v>
      </c>
    </row>
    <row r="110" spans="1:28">
      <c r="A110">
        <v>1</v>
      </c>
      <c r="B110" t="s">
        <v>440</v>
      </c>
      <c r="C110" t="s">
        <v>2202</v>
      </c>
      <c r="D110" t="s">
        <v>2203</v>
      </c>
      <c r="E110" t="s">
        <v>1602</v>
      </c>
      <c r="F110" t="s">
        <v>1603</v>
      </c>
      <c r="G110">
        <v>0</v>
      </c>
      <c r="H110">
        <v>0</v>
      </c>
      <c r="I110">
        <v>4999.9999999999991</v>
      </c>
      <c r="J110">
        <v>179999.99999999997</v>
      </c>
      <c r="K110">
        <v>0</v>
      </c>
      <c r="L110">
        <v>0</v>
      </c>
      <c r="M110">
        <v>45616</v>
      </c>
      <c r="O110" t="s">
        <v>326</v>
      </c>
      <c r="P110" t="s">
        <v>127</v>
      </c>
      <c r="Q110" t="s">
        <v>140</v>
      </c>
      <c r="R110" t="s">
        <v>2446</v>
      </c>
      <c r="S110" t="s">
        <v>2444</v>
      </c>
      <c r="T110" t="s">
        <v>2445</v>
      </c>
      <c r="U110">
        <v>36</v>
      </c>
      <c r="V110" t="s">
        <v>357</v>
      </c>
      <c r="W110" t="s">
        <v>141</v>
      </c>
      <c r="X110" t="s">
        <v>142</v>
      </c>
      <c r="Y110">
        <v>11611</v>
      </c>
      <c r="Z110">
        <v>11612</v>
      </c>
      <c r="AA110" t="s">
        <v>1025</v>
      </c>
      <c r="AB110">
        <v>1</v>
      </c>
    </row>
    <row r="111" spans="1:28">
      <c r="A111">
        <v>1</v>
      </c>
      <c r="B111" t="s">
        <v>441</v>
      </c>
      <c r="C111" t="s">
        <v>2202</v>
      </c>
      <c r="D111" t="s">
        <v>2203</v>
      </c>
      <c r="E111" t="s">
        <v>1604</v>
      </c>
      <c r="F111" t="s">
        <v>1605</v>
      </c>
      <c r="G111">
        <v>34084.004499999995</v>
      </c>
      <c r="H111">
        <v>409008.05399999995</v>
      </c>
      <c r="I111">
        <v>37454.949999999997</v>
      </c>
      <c r="J111">
        <v>449459.39999999997</v>
      </c>
      <c r="K111">
        <v>42139.64</v>
      </c>
      <c r="L111">
        <v>505675.68</v>
      </c>
      <c r="M111">
        <v>45616</v>
      </c>
      <c r="O111" t="s">
        <v>326</v>
      </c>
      <c r="P111" t="s">
        <v>127</v>
      </c>
      <c r="Q111" t="s">
        <v>140</v>
      </c>
      <c r="R111" t="s">
        <v>2446</v>
      </c>
      <c r="S111" t="s">
        <v>2444</v>
      </c>
      <c r="T111" t="s">
        <v>2445</v>
      </c>
      <c r="U111">
        <v>12</v>
      </c>
      <c r="V111" t="s">
        <v>357</v>
      </c>
      <c r="W111" t="s">
        <v>141</v>
      </c>
      <c r="X111" t="s">
        <v>142</v>
      </c>
      <c r="Y111">
        <v>11611</v>
      </c>
      <c r="Z111">
        <v>11612</v>
      </c>
      <c r="AA111" t="s">
        <v>1025</v>
      </c>
      <c r="AB111">
        <v>1</v>
      </c>
    </row>
    <row r="112" spans="1:28">
      <c r="A112">
        <v>1</v>
      </c>
      <c r="B112" t="s">
        <v>444</v>
      </c>
      <c r="C112" t="s">
        <v>2196</v>
      </c>
      <c r="D112" t="s">
        <v>2197</v>
      </c>
      <c r="E112" t="s">
        <v>1608</v>
      </c>
      <c r="F112" t="s">
        <v>1609</v>
      </c>
      <c r="G112">
        <v>4386.0361999999996</v>
      </c>
      <c r="H112">
        <v>315794.60639999999</v>
      </c>
      <c r="I112">
        <v>4819.82</v>
      </c>
      <c r="J112">
        <v>347027.04</v>
      </c>
      <c r="K112">
        <v>5315.32</v>
      </c>
      <c r="L112">
        <v>382703.04</v>
      </c>
      <c r="M112">
        <v>45616</v>
      </c>
      <c r="O112" t="s">
        <v>326</v>
      </c>
      <c r="P112" t="s">
        <v>127</v>
      </c>
      <c r="Q112" t="s">
        <v>140</v>
      </c>
      <c r="R112" t="s">
        <v>2446</v>
      </c>
      <c r="S112" t="s">
        <v>2444</v>
      </c>
      <c r="T112" t="s">
        <v>2445</v>
      </c>
      <c r="U112">
        <v>72</v>
      </c>
      <c r="V112" t="s">
        <v>357</v>
      </c>
      <c r="W112" t="s">
        <v>141</v>
      </c>
      <c r="X112" t="s">
        <v>142</v>
      </c>
      <c r="Y112">
        <v>11611</v>
      </c>
      <c r="Z112">
        <v>11612</v>
      </c>
      <c r="AA112" t="s">
        <v>1025</v>
      </c>
      <c r="AB112">
        <v>1</v>
      </c>
    </row>
    <row r="113" spans="1:28">
      <c r="A113">
        <v>1</v>
      </c>
      <c r="B113" t="s">
        <v>578</v>
      </c>
      <c r="C113" t="s">
        <v>2188</v>
      </c>
      <c r="D113" t="s">
        <v>2189</v>
      </c>
      <c r="E113" t="s">
        <v>1865</v>
      </c>
      <c r="F113" t="s">
        <v>1866</v>
      </c>
      <c r="G113">
        <v>7337.3846000000003</v>
      </c>
      <c r="H113">
        <v>264145.8456</v>
      </c>
      <c r="I113">
        <v>8063.06</v>
      </c>
      <c r="J113">
        <v>290270.16000000003</v>
      </c>
      <c r="K113">
        <v>8693.69</v>
      </c>
      <c r="L113">
        <v>312972.84000000003</v>
      </c>
      <c r="M113">
        <v>45616</v>
      </c>
      <c r="O113" t="s">
        <v>326</v>
      </c>
      <c r="P113" t="s">
        <v>127</v>
      </c>
      <c r="Q113" t="s">
        <v>140</v>
      </c>
      <c r="R113" t="s">
        <v>2446</v>
      </c>
      <c r="S113" t="s">
        <v>2444</v>
      </c>
      <c r="T113" t="s">
        <v>2445</v>
      </c>
      <c r="U113">
        <v>36</v>
      </c>
      <c r="V113" t="s">
        <v>357</v>
      </c>
      <c r="W113" t="s">
        <v>141</v>
      </c>
      <c r="X113" t="s">
        <v>142</v>
      </c>
      <c r="Y113">
        <v>11611</v>
      </c>
      <c r="Z113">
        <v>11612</v>
      </c>
      <c r="AA113" t="s">
        <v>1025</v>
      </c>
      <c r="AB113">
        <v>1</v>
      </c>
    </row>
    <row r="114" spans="1:28">
      <c r="A114">
        <v>1</v>
      </c>
      <c r="B114" t="s">
        <v>626</v>
      </c>
      <c r="C114" t="s">
        <v>2210</v>
      </c>
      <c r="D114" t="s">
        <v>2211</v>
      </c>
      <c r="E114" t="s">
        <v>1646</v>
      </c>
      <c r="F114" t="s">
        <v>1647</v>
      </c>
      <c r="G114">
        <v>7132.4344000000001</v>
      </c>
      <c r="H114">
        <v>256767.6384</v>
      </c>
      <c r="I114">
        <v>7837.84</v>
      </c>
      <c r="J114">
        <v>282162.24</v>
      </c>
      <c r="K114">
        <v>8423.42</v>
      </c>
      <c r="L114">
        <v>303243.12</v>
      </c>
      <c r="M114">
        <v>45616</v>
      </c>
      <c r="O114" t="s">
        <v>326</v>
      </c>
      <c r="P114" t="s">
        <v>127</v>
      </c>
      <c r="Q114" t="s">
        <v>140</v>
      </c>
      <c r="R114" t="s">
        <v>2446</v>
      </c>
      <c r="S114" t="s">
        <v>2444</v>
      </c>
      <c r="T114" t="s">
        <v>2445</v>
      </c>
      <c r="U114">
        <v>36</v>
      </c>
      <c r="V114" t="s">
        <v>357</v>
      </c>
      <c r="W114" t="s">
        <v>141</v>
      </c>
      <c r="X114" t="s">
        <v>142</v>
      </c>
      <c r="Y114">
        <v>11611</v>
      </c>
      <c r="Z114">
        <v>11612</v>
      </c>
      <c r="AA114" t="s">
        <v>1025</v>
      </c>
      <c r="AB114">
        <v>1</v>
      </c>
    </row>
    <row r="115" spans="1:28">
      <c r="A115">
        <v>1</v>
      </c>
      <c r="B115" t="s">
        <v>628</v>
      </c>
      <c r="C115" t="s">
        <v>2210</v>
      </c>
      <c r="D115" t="s">
        <v>2211</v>
      </c>
      <c r="E115" t="s">
        <v>1650</v>
      </c>
      <c r="F115" t="s">
        <v>1651</v>
      </c>
      <c r="G115">
        <v>7132.4344000000001</v>
      </c>
      <c r="H115">
        <v>256767.6384</v>
      </c>
      <c r="I115">
        <v>7837.84</v>
      </c>
      <c r="J115">
        <v>282162.24</v>
      </c>
      <c r="K115">
        <v>8423.42</v>
      </c>
      <c r="L115">
        <v>303243.12</v>
      </c>
      <c r="M115">
        <v>45616</v>
      </c>
      <c r="O115" t="s">
        <v>326</v>
      </c>
      <c r="P115" t="s">
        <v>127</v>
      </c>
      <c r="Q115" t="s">
        <v>140</v>
      </c>
      <c r="R115" t="s">
        <v>2446</v>
      </c>
      <c r="S115" t="s">
        <v>2444</v>
      </c>
      <c r="T115" t="s">
        <v>2445</v>
      </c>
      <c r="U115">
        <v>36</v>
      </c>
      <c r="V115" t="s">
        <v>357</v>
      </c>
      <c r="W115" t="s">
        <v>141</v>
      </c>
      <c r="X115" t="s">
        <v>142</v>
      </c>
      <c r="Y115">
        <v>11611</v>
      </c>
      <c r="Z115">
        <v>11612</v>
      </c>
      <c r="AA115" t="s">
        <v>1025</v>
      </c>
      <c r="AB115">
        <v>1</v>
      </c>
    </row>
    <row r="116" spans="1:28">
      <c r="A116">
        <v>1</v>
      </c>
      <c r="B116" t="s">
        <v>642</v>
      </c>
      <c r="C116" t="s">
        <v>2212</v>
      </c>
      <c r="D116" t="s">
        <v>2213</v>
      </c>
      <c r="E116" t="s">
        <v>1690</v>
      </c>
      <c r="F116" t="s">
        <v>1691</v>
      </c>
      <c r="G116">
        <v>10755.581200000001</v>
      </c>
      <c r="H116">
        <v>387200.92320000002</v>
      </c>
      <c r="I116">
        <v>11819.32</v>
      </c>
      <c r="J116">
        <v>425495.52</v>
      </c>
      <c r="K116">
        <v>12762.76</v>
      </c>
      <c r="L116">
        <v>459459.36</v>
      </c>
      <c r="M116">
        <v>45616</v>
      </c>
      <c r="O116" t="s">
        <v>326</v>
      </c>
      <c r="P116" t="s">
        <v>127</v>
      </c>
      <c r="Q116" t="s">
        <v>140</v>
      </c>
      <c r="R116" t="s">
        <v>2446</v>
      </c>
      <c r="S116" t="s">
        <v>2444</v>
      </c>
      <c r="T116" t="s">
        <v>2445</v>
      </c>
      <c r="U116">
        <v>36</v>
      </c>
      <c r="V116" t="s">
        <v>357</v>
      </c>
      <c r="W116" t="s">
        <v>141</v>
      </c>
      <c r="X116" t="s">
        <v>142</v>
      </c>
      <c r="Y116">
        <v>11611</v>
      </c>
      <c r="Z116">
        <v>11612</v>
      </c>
      <c r="AA116" t="s">
        <v>1025</v>
      </c>
      <c r="AB116">
        <v>1</v>
      </c>
    </row>
    <row r="117" spans="1:28">
      <c r="A117">
        <v>1</v>
      </c>
      <c r="B117" t="s">
        <v>640</v>
      </c>
      <c r="C117" t="s">
        <v>2212</v>
      </c>
      <c r="D117" t="s">
        <v>2213</v>
      </c>
      <c r="E117" t="s">
        <v>1692</v>
      </c>
      <c r="F117" t="s">
        <v>1693</v>
      </c>
      <c r="G117">
        <v>10755.581200000001</v>
      </c>
      <c r="H117">
        <v>387200.92320000002</v>
      </c>
      <c r="I117">
        <v>11819.32</v>
      </c>
      <c r="J117">
        <v>425495.52</v>
      </c>
      <c r="K117">
        <v>12762.76</v>
      </c>
      <c r="L117">
        <v>459459.36</v>
      </c>
      <c r="M117">
        <v>45616</v>
      </c>
      <c r="O117" t="s">
        <v>326</v>
      </c>
      <c r="P117" t="s">
        <v>127</v>
      </c>
      <c r="Q117" t="s">
        <v>140</v>
      </c>
      <c r="R117" t="s">
        <v>2446</v>
      </c>
      <c r="S117" t="s">
        <v>2444</v>
      </c>
      <c r="T117" t="s">
        <v>2445</v>
      </c>
      <c r="U117">
        <v>36</v>
      </c>
      <c r="V117" t="s">
        <v>357</v>
      </c>
      <c r="W117" t="s">
        <v>141</v>
      </c>
      <c r="X117" t="s">
        <v>142</v>
      </c>
      <c r="Y117">
        <v>11611</v>
      </c>
      <c r="Z117">
        <v>11612</v>
      </c>
      <c r="AA117" t="s">
        <v>1025</v>
      </c>
      <c r="AB117">
        <v>1</v>
      </c>
    </row>
    <row r="118" spans="1:28">
      <c r="A118">
        <v>1</v>
      </c>
      <c r="B118" t="s">
        <v>641</v>
      </c>
      <c r="C118" t="s">
        <v>2212</v>
      </c>
      <c r="D118" t="s">
        <v>2213</v>
      </c>
      <c r="E118" t="s">
        <v>1694</v>
      </c>
      <c r="F118" t="s">
        <v>1695</v>
      </c>
      <c r="G118">
        <v>10755.581200000001</v>
      </c>
      <c r="H118">
        <v>387200.92320000002</v>
      </c>
      <c r="I118">
        <v>11819.32</v>
      </c>
      <c r="J118">
        <v>425495.52</v>
      </c>
      <c r="K118">
        <v>12762.76</v>
      </c>
      <c r="L118">
        <v>459459.36</v>
      </c>
      <c r="M118">
        <v>45616</v>
      </c>
      <c r="O118" t="s">
        <v>326</v>
      </c>
      <c r="P118" t="s">
        <v>127</v>
      </c>
      <c r="Q118" t="s">
        <v>140</v>
      </c>
      <c r="R118" t="s">
        <v>2446</v>
      </c>
      <c r="S118" t="s">
        <v>2444</v>
      </c>
      <c r="T118" t="s">
        <v>2445</v>
      </c>
      <c r="U118">
        <v>36</v>
      </c>
      <c r="V118" t="s">
        <v>357</v>
      </c>
      <c r="W118" t="s">
        <v>141</v>
      </c>
      <c r="X118" t="s">
        <v>142</v>
      </c>
      <c r="Y118">
        <v>11611</v>
      </c>
      <c r="Z118">
        <v>11612</v>
      </c>
      <c r="AA118" t="s">
        <v>1025</v>
      </c>
      <c r="AB118">
        <v>1</v>
      </c>
    </row>
    <row r="119" spans="1:28">
      <c r="A119">
        <v>1</v>
      </c>
      <c r="B119" t="s">
        <v>643</v>
      </c>
      <c r="C119" t="s">
        <v>2212</v>
      </c>
      <c r="D119" t="s">
        <v>2213</v>
      </c>
      <c r="E119" t="s">
        <v>1696</v>
      </c>
      <c r="F119" t="s">
        <v>1697</v>
      </c>
      <c r="G119">
        <v>10755.581200000001</v>
      </c>
      <c r="H119">
        <v>387200.92320000002</v>
      </c>
      <c r="I119">
        <v>11819.32</v>
      </c>
      <c r="J119">
        <v>425495.52</v>
      </c>
      <c r="K119">
        <v>12762.76</v>
      </c>
      <c r="L119">
        <v>459459.36</v>
      </c>
      <c r="M119">
        <v>45616</v>
      </c>
      <c r="O119" t="s">
        <v>326</v>
      </c>
      <c r="P119" t="s">
        <v>127</v>
      </c>
      <c r="Q119" t="s">
        <v>140</v>
      </c>
      <c r="R119" t="s">
        <v>2446</v>
      </c>
      <c r="S119" t="s">
        <v>2444</v>
      </c>
      <c r="T119" t="s">
        <v>2445</v>
      </c>
      <c r="U119">
        <v>36</v>
      </c>
      <c r="V119" t="s">
        <v>357</v>
      </c>
      <c r="W119" t="s">
        <v>141</v>
      </c>
      <c r="X119" t="s">
        <v>142</v>
      </c>
      <c r="Y119">
        <v>11611</v>
      </c>
      <c r="Z119">
        <v>11612</v>
      </c>
      <c r="AA119" t="s">
        <v>1025</v>
      </c>
      <c r="AB119">
        <v>1</v>
      </c>
    </row>
    <row r="120" spans="1:28">
      <c r="A120">
        <v>1</v>
      </c>
      <c r="B120" t="s">
        <v>637</v>
      </c>
      <c r="C120" t="s">
        <v>2212</v>
      </c>
      <c r="D120" t="s">
        <v>2213</v>
      </c>
      <c r="E120" t="s">
        <v>1698</v>
      </c>
      <c r="F120" t="s">
        <v>1699</v>
      </c>
      <c r="G120">
        <v>10755.581200000001</v>
      </c>
      <c r="H120">
        <v>387200.92320000002</v>
      </c>
      <c r="I120">
        <v>11819.32</v>
      </c>
      <c r="J120">
        <v>425495.52</v>
      </c>
      <c r="K120">
        <v>12762.76</v>
      </c>
      <c r="L120">
        <v>459459.36</v>
      </c>
      <c r="M120">
        <v>45616</v>
      </c>
      <c r="O120" t="s">
        <v>326</v>
      </c>
      <c r="P120" t="s">
        <v>127</v>
      </c>
      <c r="Q120" t="s">
        <v>140</v>
      </c>
      <c r="R120" t="s">
        <v>2446</v>
      </c>
      <c r="S120" t="s">
        <v>2444</v>
      </c>
      <c r="T120" t="s">
        <v>2445</v>
      </c>
      <c r="U120">
        <v>36</v>
      </c>
      <c r="V120" t="s">
        <v>357</v>
      </c>
      <c r="W120" t="s">
        <v>141</v>
      </c>
      <c r="X120" t="s">
        <v>142</v>
      </c>
      <c r="Y120">
        <v>11611</v>
      </c>
      <c r="Z120">
        <v>11612</v>
      </c>
      <c r="AA120" t="s">
        <v>1025</v>
      </c>
      <c r="AB120">
        <v>1</v>
      </c>
    </row>
    <row r="121" spans="1:28">
      <c r="A121">
        <v>1</v>
      </c>
      <c r="B121" t="s">
        <v>638</v>
      </c>
      <c r="C121" t="s">
        <v>2212</v>
      </c>
      <c r="D121" t="s">
        <v>2213</v>
      </c>
      <c r="E121" t="s">
        <v>1700</v>
      </c>
      <c r="F121" t="s">
        <v>1701</v>
      </c>
      <c r="G121">
        <v>10755.581200000001</v>
      </c>
      <c r="H121">
        <v>387200.92320000002</v>
      </c>
      <c r="I121">
        <v>11819.32</v>
      </c>
      <c r="J121">
        <v>425495.52</v>
      </c>
      <c r="K121">
        <v>12762.76</v>
      </c>
      <c r="L121">
        <v>459459.36</v>
      </c>
      <c r="M121">
        <v>45616</v>
      </c>
      <c r="O121" t="s">
        <v>326</v>
      </c>
      <c r="P121" t="s">
        <v>127</v>
      </c>
      <c r="Q121" t="s">
        <v>140</v>
      </c>
      <c r="R121" t="s">
        <v>2446</v>
      </c>
      <c r="S121" t="s">
        <v>2444</v>
      </c>
      <c r="T121" t="s">
        <v>2445</v>
      </c>
      <c r="U121">
        <v>36</v>
      </c>
      <c r="V121" t="s">
        <v>357</v>
      </c>
      <c r="W121" t="s">
        <v>141</v>
      </c>
      <c r="X121" t="s">
        <v>142</v>
      </c>
      <c r="Y121">
        <v>11611</v>
      </c>
      <c r="Z121">
        <v>11612</v>
      </c>
      <c r="AA121" t="s">
        <v>1025</v>
      </c>
      <c r="AB121">
        <v>1</v>
      </c>
    </row>
    <row r="122" spans="1:28">
      <c r="A122">
        <v>1</v>
      </c>
      <c r="B122" t="s">
        <v>665</v>
      </c>
      <c r="C122" t="s">
        <v>2214</v>
      </c>
      <c r="D122" t="s">
        <v>2215</v>
      </c>
      <c r="E122" t="s">
        <v>1702</v>
      </c>
      <c r="F122" t="s">
        <v>1703</v>
      </c>
      <c r="G122">
        <v>7993.2398000000003</v>
      </c>
      <c r="H122">
        <v>383675.51040000003</v>
      </c>
      <c r="I122">
        <v>8783.7800000000007</v>
      </c>
      <c r="J122">
        <v>421621.44000000006</v>
      </c>
      <c r="K122">
        <v>9459.4599999999991</v>
      </c>
      <c r="L122">
        <v>454054.07999999996</v>
      </c>
      <c r="M122">
        <v>45616</v>
      </c>
      <c r="O122" t="s">
        <v>326</v>
      </c>
      <c r="P122" t="s">
        <v>127</v>
      </c>
      <c r="Q122" t="s">
        <v>140</v>
      </c>
      <c r="R122" t="s">
        <v>2446</v>
      </c>
      <c r="S122" t="s">
        <v>2444</v>
      </c>
      <c r="T122" t="s">
        <v>2445</v>
      </c>
      <c r="U122">
        <v>48</v>
      </c>
      <c r="V122" t="s">
        <v>1019</v>
      </c>
      <c r="W122" t="s">
        <v>141</v>
      </c>
      <c r="X122" t="s">
        <v>142</v>
      </c>
      <c r="Y122">
        <v>11611</v>
      </c>
      <c r="Z122">
        <v>11612</v>
      </c>
      <c r="AA122" t="s">
        <v>1025</v>
      </c>
      <c r="AB122">
        <v>1</v>
      </c>
    </row>
    <row r="123" spans="1:28">
      <c r="A123">
        <v>1</v>
      </c>
      <c r="B123" t="s">
        <v>666</v>
      </c>
      <c r="C123" t="s">
        <v>2214</v>
      </c>
      <c r="D123" t="s">
        <v>2215</v>
      </c>
      <c r="E123" t="s">
        <v>1704</v>
      </c>
      <c r="F123" t="s">
        <v>1705</v>
      </c>
      <c r="G123">
        <v>7993.2398000000003</v>
      </c>
      <c r="H123">
        <v>383675.51040000003</v>
      </c>
      <c r="I123">
        <v>8783.7800000000007</v>
      </c>
      <c r="J123">
        <v>421621.44000000006</v>
      </c>
      <c r="K123">
        <v>9459.4599999999991</v>
      </c>
      <c r="L123">
        <v>454054.07999999996</v>
      </c>
      <c r="M123">
        <v>45616</v>
      </c>
      <c r="O123" t="s">
        <v>326</v>
      </c>
      <c r="P123" t="s">
        <v>127</v>
      </c>
      <c r="Q123" t="s">
        <v>140</v>
      </c>
      <c r="R123" t="s">
        <v>2446</v>
      </c>
      <c r="S123" t="s">
        <v>2444</v>
      </c>
      <c r="T123" t="s">
        <v>2445</v>
      </c>
      <c r="U123">
        <v>48</v>
      </c>
      <c r="V123" t="s">
        <v>1019</v>
      </c>
      <c r="W123" t="s">
        <v>141</v>
      </c>
      <c r="X123" t="s">
        <v>142</v>
      </c>
      <c r="Y123">
        <v>11611</v>
      </c>
      <c r="Z123">
        <v>11612</v>
      </c>
      <c r="AA123" t="s">
        <v>1025</v>
      </c>
      <c r="AB123">
        <v>1</v>
      </c>
    </row>
    <row r="124" spans="1:28">
      <c r="A124">
        <v>1</v>
      </c>
      <c r="B124" t="s">
        <v>667</v>
      </c>
      <c r="C124" t="s">
        <v>2214</v>
      </c>
      <c r="D124" t="s">
        <v>2215</v>
      </c>
      <c r="E124" t="s">
        <v>1706</v>
      </c>
      <c r="F124" t="s">
        <v>1707</v>
      </c>
      <c r="G124">
        <v>7993.2398000000003</v>
      </c>
      <c r="H124">
        <v>383675.51040000003</v>
      </c>
      <c r="I124">
        <v>8783.7800000000007</v>
      </c>
      <c r="J124">
        <v>421621.44000000006</v>
      </c>
      <c r="K124">
        <v>9459.4599999999991</v>
      </c>
      <c r="L124">
        <v>454054.07999999996</v>
      </c>
      <c r="M124">
        <v>45616</v>
      </c>
      <c r="O124" t="s">
        <v>326</v>
      </c>
      <c r="P124" t="s">
        <v>127</v>
      </c>
      <c r="Q124" t="s">
        <v>140</v>
      </c>
      <c r="R124" t="s">
        <v>2446</v>
      </c>
      <c r="S124" t="s">
        <v>2444</v>
      </c>
      <c r="T124" t="s">
        <v>2445</v>
      </c>
      <c r="U124">
        <v>48</v>
      </c>
      <c r="V124" t="s">
        <v>1019</v>
      </c>
      <c r="W124" t="s">
        <v>141</v>
      </c>
      <c r="X124" t="s">
        <v>142</v>
      </c>
      <c r="Y124">
        <v>11611</v>
      </c>
      <c r="Z124">
        <v>11612</v>
      </c>
      <c r="AA124" t="s">
        <v>1025</v>
      </c>
      <c r="AB124">
        <v>1</v>
      </c>
    </row>
    <row r="125" spans="1:28">
      <c r="A125">
        <v>1</v>
      </c>
      <c r="B125" t="s">
        <v>654</v>
      </c>
      <c r="C125" t="s">
        <v>2216</v>
      </c>
      <c r="D125" t="s">
        <v>2217</v>
      </c>
      <c r="E125" t="s">
        <v>1708</v>
      </c>
      <c r="F125" t="s">
        <v>1709</v>
      </c>
      <c r="G125">
        <v>5328.8325999999997</v>
      </c>
      <c r="H125">
        <v>255783.96479999999</v>
      </c>
      <c r="I125">
        <v>5855.86</v>
      </c>
      <c r="J125">
        <v>281081.27999999997</v>
      </c>
      <c r="K125">
        <v>6396.4</v>
      </c>
      <c r="L125">
        <v>307027.19999999995</v>
      </c>
      <c r="M125">
        <v>45616</v>
      </c>
      <c r="O125" t="s">
        <v>326</v>
      </c>
      <c r="P125" t="s">
        <v>127</v>
      </c>
      <c r="Q125" t="s">
        <v>140</v>
      </c>
      <c r="R125" t="s">
        <v>2446</v>
      </c>
      <c r="S125" t="s">
        <v>2444</v>
      </c>
      <c r="T125" t="s">
        <v>2445</v>
      </c>
      <c r="U125">
        <v>48</v>
      </c>
      <c r="V125" t="s">
        <v>1021</v>
      </c>
      <c r="W125" t="s">
        <v>141</v>
      </c>
      <c r="X125" t="s">
        <v>142</v>
      </c>
      <c r="Y125">
        <v>11611</v>
      </c>
      <c r="Z125">
        <v>11612</v>
      </c>
      <c r="AA125" t="s">
        <v>1025</v>
      </c>
      <c r="AB125">
        <v>1</v>
      </c>
    </row>
    <row r="126" spans="1:28">
      <c r="A126">
        <v>1</v>
      </c>
      <c r="B126" t="s">
        <v>657</v>
      </c>
      <c r="C126" t="s">
        <v>2216</v>
      </c>
      <c r="D126" t="s">
        <v>2217</v>
      </c>
      <c r="E126" t="s">
        <v>1710</v>
      </c>
      <c r="F126" t="s">
        <v>1711</v>
      </c>
      <c r="G126">
        <v>0</v>
      </c>
      <c r="H126">
        <v>0</v>
      </c>
      <c r="I126">
        <v>5855.8558558558552</v>
      </c>
      <c r="J126">
        <v>281081.08108108107</v>
      </c>
      <c r="K126">
        <v>0</v>
      </c>
      <c r="L126">
        <v>0</v>
      </c>
      <c r="M126">
        <v>45616</v>
      </c>
      <c r="O126" t="s">
        <v>326</v>
      </c>
      <c r="P126" t="s">
        <v>127</v>
      </c>
      <c r="Q126" t="s">
        <v>140</v>
      </c>
      <c r="R126" t="s">
        <v>2446</v>
      </c>
      <c r="S126" t="s">
        <v>2444</v>
      </c>
      <c r="T126" t="s">
        <v>2445</v>
      </c>
      <c r="U126">
        <v>48</v>
      </c>
      <c r="V126" t="s">
        <v>1021</v>
      </c>
      <c r="W126" t="s">
        <v>141</v>
      </c>
      <c r="X126" t="s">
        <v>142</v>
      </c>
      <c r="Y126">
        <v>11611</v>
      </c>
      <c r="Z126">
        <v>11612</v>
      </c>
      <c r="AA126" t="s">
        <v>1025</v>
      </c>
      <c r="AB126">
        <v>1</v>
      </c>
    </row>
    <row r="127" spans="1:28">
      <c r="A127">
        <v>1</v>
      </c>
      <c r="B127" t="s">
        <v>660</v>
      </c>
      <c r="C127" t="s">
        <v>2216</v>
      </c>
      <c r="D127" t="s">
        <v>2217</v>
      </c>
      <c r="E127" t="s">
        <v>1712</v>
      </c>
      <c r="F127" t="s">
        <v>1713</v>
      </c>
      <c r="G127">
        <v>0</v>
      </c>
      <c r="H127">
        <v>0</v>
      </c>
      <c r="I127">
        <v>5855.8558558558552</v>
      </c>
      <c r="J127">
        <v>281081.08108108107</v>
      </c>
      <c r="K127">
        <v>0</v>
      </c>
      <c r="L127">
        <v>0</v>
      </c>
      <c r="M127">
        <v>45616</v>
      </c>
      <c r="O127" t="s">
        <v>326</v>
      </c>
      <c r="P127" t="s">
        <v>127</v>
      </c>
      <c r="Q127" t="s">
        <v>140</v>
      </c>
      <c r="R127" t="s">
        <v>2446</v>
      </c>
      <c r="S127" t="s">
        <v>2444</v>
      </c>
      <c r="T127" t="s">
        <v>2445</v>
      </c>
      <c r="U127">
        <v>48</v>
      </c>
      <c r="V127" t="s">
        <v>1021</v>
      </c>
      <c r="W127" t="s">
        <v>141</v>
      </c>
      <c r="X127" t="s">
        <v>142</v>
      </c>
      <c r="Y127">
        <v>11611</v>
      </c>
      <c r="Z127">
        <v>11612</v>
      </c>
      <c r="AA127" t="s">
        <v>1025</v>
      </c>
      <c r="AB127">
        <v>1</v>
      </c>
    </row>
    <row r="128" spans="1:28">
      <c r="A128">
        <v>1</v>
      </c>
      <c r="B128" t="s">
        <v>655</v>
      </c>
      <c r="C128" t="s">
        <v>2216</v>
      </c>
      <c r="D128" t="s">
        <v>2217</v>
      </c>
      <c r="E128" t="s">
        <v>1714</v>
      </c>
      <c r="F128" t="s">
        <v>1715</v>
      </c>
      <c r="G128">
        <v>5328.8325999999997</v>
      </c>
      <c r="H128">
        <v>255783.96479999999</v>
      </c>
      <c r="I128">
        <v>5855.86</v>
      </c>
      <c r="J128">
        <v>281081.27999999997</v>
      </c>
      <c r="K128">
        <v>6396.4</v>
      </c>
      <c r="L128">
        <v>307027.19999999995</v>
      </c>
      <c r="M128">
        <v>45616</v>
      </c>
      <c r="O128" t="s">
        <v>326</v>
      </c>
      <c r="P128" t="s">
        <v>127</v>
      </c>
      <c r="Q128" t="s">
        <v>140</v>
      </c>
      <c r="R128" t="s">
        <v>2446</v>
      </c>
      <c r="S128" t="s">
        <v>2444</v>
      </c>
      <c r="T128" t="s">
        <v>2445</v>
      </c>
      <c r="U128">
        <v>48</v>
      </c>
      <c r="V128" t="s">
        <v>1021</v>
      </c>
      <c r="W128" t="s">
        <v>141</v>
      </c>
      <c r="X128" t="s">
        <v>142</v>
      </c>
      <c r="Y128">
        <v>11611</v>
      </c>
      <c r="Z128">
        <v>11612</v>
      </c>
      <c r="AA128" t="s">
        <v>1025</v>
      </c>
      <c r="AB128">
        <v>1</v>
      </c>
    </row>
    <row r="129" spans="1:28">
      <c r="A129">
        <v>1</v>
      </c>
      <c r="B129" t="s">
        <v>656</v>
      </c>
      <c r="C129" t="s">
        <v>2216</v>
      </c>
      <c r="D129" t="s">
        <v>2217</v>
      </c>
      <c r="E129" t="s">
        <v>1716</v>
      </c>
      <c r="F129" t="s">
        <v>1717</v>
      </c>
      <c r="G129">
        <v>5328.8325999999997</v>
      </c>
      <c r="H129">
        <v>255783.96479999999</v>
      </c>
      <c r="I129">
        <v>5855.86</v>
      </c>
      <c r="J129">
        <v>281081.27999999997</v>
      </c>
      <c r="K129">
        <v>6396.4</v>
      </c>
      <c r="L129">
        <v>307027.19999999995</v>
      </c>
      <c r="M129">
        <v>45616</v>
      </c>
      <c r="O129" t="s">
        <v>326</v>
      </c>
      <c r="P129" t="s">
        <v>127</v>
      </c>
      <c r="Q129" t="s">
        <v>140</v>
      </c>
      <c r="R129" t="s">
        <v>2446</v>
      </c>
      <c r="S129" t="s">
        <v>2444</v>
      </c>
      <c r="T129" t="s">
        <v>2445</v>
      </c>
      <c r="U129">
        <v>48</v>
      </c>
      <c r="V129" t="s">
        <v>1021</v>
      </c>
      <c r="W129" t="s">
        <v>141</v>
      </c>
      <c r="X129" t="s">
        <v>142</v>
      </c>
      <c r="Y129">
        <v>11611</v>
      </c>
      <c r="Z129">
        <v>11612</v>
      </c>
      <c r="AA129" t="s">
        <v>1025</v>
      </c>
      <c r="AB129">
        <v>1</v>
      </c>
    </row>
    <row r="130" spans="1:28">
      <c r="A130">
        <v>1</v>
      </c>
      <c r="B130" t="s">
        <v>661</v>
      </c>
      <c r="C130" t="s">
        <v>2194</v>
      </c>
      <c r="D130" t="s">
        <v>2195</v>
      </c>
      <c r="E130" t="s">
        <v>1718</v>
      </c>
      <c r="F130" t="s">
        <v>1719</v>
      </c>
      <c r="G130">
        <v>0</v>
      </c>
      <c r="H130">
        <v>0</v>
      </c>
      <c r="I130">
        <v>9009.0090090090071</v>
      </c>
      <c r="J130">
        <v>216216.21621621615</v>
      </c>
      <c r="K130">
        <v>0</v>
      </c>
      <c r="L130">
        <v>0</v>
      </c>
      <c r="M130">
        <v>45616</v>
      </c>
      <c r="O130" t="s">
        <v>326</v>
      </c>
      <c r="P130" t="s">
        <v>127</v>
      </c>
      <c r="Q130" t="s">
        <v>140</v>
      </c>
      <c r="R130" t="s">
        <v>2446</v>
      </c>
      <c r="S130" t="s">
        <v>2444</v>
      </c>
      <c r="T130" t="s">
        <v>2445</v>
      </c>
      <c r="U130">
        <v>24</v>
      </c>
      <c r="V130" t="s">
        <v>360</v>
      </c>
      <c r="W130" t="s">
        <v>141</v>
      </c>
      <c r="X130" t="s">
        <v>142</v>
      </c>
      <c r="Y130">
        <v>11611</v>
      </c>
      <c r="Z130">
        <v>11612</v>
      </c>
      <c r="AA130" t="s">
        <v>1025</v>
      </c>
      <c r="AB130">
        <v>1</v>
      </c>
    </row>
    <row r="131" spans="1:28">
      <c r="A131">
        <v>1</v>
      </c>
      <c r="B131" t="s">
        <v>639</v>
      </c>
      <c r="C131" t="s">
        <v>2212</v>
      </c>
      <c r="D131" t="s">
        <v>2213</v>
      </c>
      <c r="E131" t="s">
        <v>1688</v>
      </c>
      <c r="F131" t="s">
        <v>1689</v>
      </c>
      <c r="G131">
        <v>10755.581200000001</v>
      </c>
      <c r="H131">
        <v>387200.92320000002</v>
      </c>
      <c r="I131">
        <v>11819.32</v>
      </c>
      <c r="J131">
        <v>425495.52</v>
      </c>
      <c r="K131">
        <v>12762.76</v>
      </c>
      <c r="L131">
        <v>459459.36</v>
      </c>
      <c r="M131">
        <v>45616</v>
      </c>
      <c r="O131" t="s">
        <v>326</v>
      </c>
      <c r="P131" t="s">
        <v>127</v>
      </c>
      <c r="Q131" t="s">
        <v>140</v>
      </c>
      <c r="R131" t="s">
        <v>2446</v>
      </c>
      <c r="S131" t="s">
        <v>2444</v>
      </c>
      <c r="T131" t="s">
        <v>2445</v>
      </c>
      <c r="U131">
        <v>36</v>
      </c>
      <c r="V131" t="s">
        <v>357</v>
      </c>
      <c r="W131" t="s">
        <v>141</v>
      </c>
      <c r="X131" t="s">
        <v>142</v>
      </c>
      <c r="Y131">
        <v>11611</v>
      </c>
      <c r="Z131">
        <v>11612</v>
      </c>
      <c r="AA131" t="s">
        <v>1025</v>
      </c>
      <c r="AB131">
        <v>1</v>
      </c>
    </row>
    <row r="132" spans="1:28">
      <c r="A132">
        <v>1</v>
      </c>
      <c r="B132" t="s">
        <v>627</v>
      </c>
      <c r="C132" t="s">
        <v>2210</v>
      </c>
      <c r="D132" t="s">
        <v>2211</v>
      </c>
      <c r="E132" t="s">
        <v>1648</v>
      </c>
      <c r="F132" t="s">
        <v>1649</v>
      </c>
      <c r="G132">
        <v>12297.294100000001</v>
      </c>
      <c r="H132">
        <v>442702.58760000003</v>
      </c>
      <c r="I132">
        <v>13513.51</v>
      </c>
      <c r="J132">
        <v>486486.36</v>
      </c>
      <c r="K132">
        <v>14594.59</v>
      </c>
      <c r="L132">
        <v>525405.24</v>
      </c>
      <c r="M132">
        <v>45616</v>
      </c>
      <c r="O132" t="s">
        <v>326</v>
      </c>
      <c r="P132" t="s">
        <v>127</v>
      </c>
      <c r="Q132" t="s">
        <v>140</v>
      </c>
      <c r="R132" t="s">
        <v>2446</v>
      </c>
      <c r="S132" t="s">
        <v>2444</v>
      </c>
      <c r="T132" t="s">
        <v>2445</v>
      </c>
      <c r="U132">
        <v>36</v>
      </c>
      <c r="V132" t="s">
        <v>357</v>
      </c>
      <c r="W132" t="s">
        <v>141</v>
      </c>
      <c r="X132" t="s">
        <v>142</v>
      </c>
      <c r="Y132">
        <v>11611</v>
      </c>
      <c r="Z132">
        <v>11612</v>
      </c>
      <c r="AA132" t="s">
        <v>1025</v>
      </c>
      <c r="AB132">
        <v>1</v>
      </c>
    </row>
    <row r="133" spans="1:28">
      <c r="A133">
        <v>1</v>
      </c>
      <c r="B133" t="s">
        <v>636</v>
      </c>
      <c r="C133" t="s">
        <v>2212</v>
      </c>
      <c r="D133" t="s">
        <v>2213</v>
      </c>
      <c r="E133" t="s">
        <v>1686</v>
      </c>
      <c r="F133" t="s">
        <v>1687</v>
      </c>
      <c r="G133">
        <v>10755.581200000001</v>
      </c>
      <c r="H133">
        <v>387200.92320000002</v>
      </c>
      <c r="I133">
        <v>11819.32</v>
      </c>
      <c r="J133">
        <v>425495.52</v>
      </c>
      <c r="K133">
        <v>12762.76</v>
      </c>
      <c r="L133">
        <v>459459.36</v>
      </c>
      <c r="M133">
        <v>45616</v>
      </c>
      <c r="O133" t="s">
        <v>326</v>
      </c>
      <c r="P133" t="s">
        <v>127</v>
      </c>
      <c r="Q133" t="s">
        <v>140</v>
      </c>
      <c r="R133" t="s">
        <v>2446</v>
      </c>
      <c r="S133" t="s">
        <v>2444</v>
      </c>
      <c r="T133" t="s">
        <v>2445</v>
      </c>
      <c r="U133">
        <v>36</v>
      </c>
      <c r="V133" t="s">
        <v>357</v>
      </c>
      <c r="W133" t="s">
        <v>141</v>
      </c>
      <c r="X133" t="s">
        <v>142</v>
      </c>
      <c r="Y133">
        <v>11611</v>
      </c>
      <c r="Z133">
        <v>11612</v>
      </c>
      <c r="AA133" t="s">
        <v>1025</v>
      </c>
      <c r="AB133">
        <v>1</v>
      </c>
    </row>
    <row r="134" spans="1:28">
      <c r="A134">
        <v>1</v>
      </c>
      <c r="B134" t="s">
        <v>644</v>
      </c>
      <c r="C134" t="s">
        <v>2218</v>
      </c>
      <c r="D134" t="s">
        <v>2219</v>
      </c>
      <c r="E134" t="s">
        <v>1682</v>
      </c>
      <c r="F134" t="s">
        <v>1683</v>
      </c>
      <c r="G134">
        <v>13117.1131</v>
      </c>
      <c r="H134">
        <v>472216.07160000002</v>
      </c>
      <c r="I134">
        <v>14414.41</v>
      </c>
      <c r="J134">
        <v>518918.76</v>
      </c>
      <c r="K134">
        <v>15585.59</v>
      </c>
      <c r="L134">
        <v>561081.24</v>
      </c>
      <c r="M134">
        <v>45616</v>
      </c>
      <c r="O134" t="s">
        <v>326</v>
      </c>
      <c r="P134" t="s">
        <v>127</v>
      </c>
      <c r="Q134" t="s">
        <v>140</v>
      </c>
      <c r="R134" t="s">
        <v>2446</v>
      </c>
      <c r="S134" t="s">
        <v>2444</v>
      </c>
      <c r="T134" t="s">
        <v>2445</v>
      </c>
      <c r="U134">
        <v>36</v>
      </c>
      <c r="V134" t="s">
        <v>357</v>
      </c>
      <c r="W134" t="s">
        <v>141</v>
      </c>
      <c r="X134" t="s">
        <v>142</v>
      </c>
      <c r="Y134">
        <v>11611</v>
      </c>
      <c r="Z134">
        <v>11612</v>
      </c>
      <c r="AA134" t="s">
        <v>1025</v>
      </c>
      <c r="AB134">
        <v>1</v>
      </c>
    </row>
    <row r="135" spans="1:28">
      <c r="A135">
        <v>1</v>
      </c>
      <c r="B135" t="s">
        <v>629</v>
      </c>
      <c r="C135" t="s">
        <v>2210</v>
      </c>
      <c r="D135" t="s">
        <v>2211</v>
      </c>
      <c r="E135" t="s">
        <v>1652</v>
      </c>
      <c r="F135" t="s">
        <v>1653</v>
      </c>
      <c r="G135">
        <v>12297.294100000001</v>
      </c>
      <c r="H135">
        <v>442702.58760000003</v>
      </c>
      <c r="I135">
        <v>13513.51</v>
      </c>
      <c r="J135">
        <v>486486.36</v>
      </c>
      <c r="K135">
        <v>14594.59</v>
      </c>
      <c r="L135">
        <v>525405.24</v>
      </c>
      <c r="M135">
        <v>45616</v>
      </c>
      <c r="O135" t="s">
        <v>326</v>
      </c>
      <c r="P135" t="s">
        <v>127</v>
      </c>
      <c r="Q135" t="s">
        <v>140</v>
      </c>
      <c r="R135" t="s">
        <v>2446</v>
      </c>
      <c r="S135" t="s">
        <v>2444</v>
      </c>
      <c r="T135" t="s">
        <v>2445</v>
      </c>
      <c r="U135">
        <v>36</v>
      </c>
      <c r="V135" t="s">
        <v>357</v>
      </c>
      <c r="W135" t="s">
        <v>141</v>
      </c>
      <c r="X135" t="s">
        <v>142</v>
      </c>
      <c r="Y135">
        <v>11611</v>
      </c>
      <c r="Z135">
        <v>11612</v>
      </c>
      <c r="AA135" t="s">
        <v>1025</v>
      </c>
      <c r="AB135">
        <v>1</v>
      </c>
    </row>
    <row r="136" spans="1:28">
      <c r="A136">
        <v>1</v>
      </c>
      <c r="B136" t="s">
        <v>630</v>
      </c>
      <c r="C136" t="s">
        <v>2210</v>
      </c>
      <c r="D136" t="s">
        <v>2211</v>
      </c>
      <c r="E136" t="s">
        <v>1654</v>
      </c>
      <c r="F136" t="s">
        <v>1655</v>
      </c>
      <c r="G136">
        <v>7132.4344000000001</v>
      </c>
      <c r="H136">
        <v>256767.6384</v>
      </c>
      <c r="I136">
        <v>7837.84</v>
      </c>
      <c r="J136">
        <v>282162.24</v>
      </c>
      <c r="K136">
        <v>8423.42</v>
      </c>
      <c r="L136">
        <v>303243.12</v>
      </c>
      <c r="M136">
        <v>45616</v>
      </c>
      <c r="O136" t="s">
        <v>326</v>
      </c>
      <c r="P136" t="s">
        <v>127</v>
      </c>
      <c r="Q136" t="s">
        <v>140</v>
      </c>
      <c r="R136" t="s">
        <v>2446</v>
      </c>
      <c r="S136" t="s">
        <v>2444</v>
      </c>
      <c r="T136" t="s">
        <v>2445</v>
      </c>
      <c r="U136">
        <v>36</v>
      </c>
      <c r="V136" t="s">
        <v>357</v>
      </c>
      <c r="W136" t="s">
        <v>141</v>
      </c>
      <c r="X136" t="s">
        <v>142</v>
      </c>
      <c r="Y136">
        <v>11611</v>
      </c>
      <c r="Z136">
        <v>11612</v>
      </c>
      <c r="AA136" t="s">
        <v>1025</v>
      </c>
      <c r="AB136">
        <v>1</v>
      </c>
    </row>
    <row r="137" spans="1:28">
      <c r="A137">
        <v>1</v>
      </c>
      <c r="B137" t="s">
        <v>631</v>
      </c>
      <c r="C137" t="s">
        <v>2210</v>
      </c>
      <c r="D137" t="s">
        <v>2211</v>
      </c>
      <c r="E137" t="s">
        <v>1656</v>
      </c>
      <c r="F137" t="s">
        <v>1657</v>
      </c>
      <c r="G137">
        <v>12297.294100000001</v>
      </c>
      <c r="H137">
        <v>442702.58760000003</v>
      </c>
      <c r="I137">
        <v>13513.51</v>
      </c>
      <c r="J137">
        <v>486486.36</v>
      </c>
      <c r="K137">
        <v>14594.59</v>
      </c>
      <c r="L137">
        <v>525405.24</v>
      </c>
      <c r="M137">
        <v>45616</v>
      </c>
      <c r="O137" t="s">
        <v>326</v>
      </c>
      <c r="P137" t="s">
        <v>127</v>
      </c>
      <c r="Q137" t="s">
        <v>140</v>
      </c>
      <c r="R137" t="s">
        <v>2446</v>
      </c>
      <c r="S137" t="s">
        <v>2444</v>
      </c>
      <c r="T137" t="s">
        <v>2445</v>
      </c>
      <c r="U137">
        <v>36</v>
      </c>
      <c r="V137" t="s">
        <v>357</v>
      </c>
      <c r="W137" t="s">
        <v>141</v>
      </c>
      <c r="X137" t="s">
        <v>142</v>
      </c>
      <c r="Y137">
        <v>11611</v>
      </c>
      <c r="Z137">
        <v>11612</v>
      </c>
      <c r="AA137" t="s">
        <v>1025</v>
      </c>
      <c r="AB137">
        <v>1</v>
      </c>
    </row>
    <row r="138" spans="1:28">
      <c r="A138">
        <v>1</v>
      </c>
      <c r="B138" t="s">
        <v>632</v>
      </c>
      <c r="C138" t="s">
        <v>2210</v>
      </c>
      <c r="D138" t="s">
        <v>2211</v>
      </c>
      <c r="E138" t="s">
        <v>1658</v>
      </c>
      <c r="F138" t="s">
        <v>1659</v>
      </c>
      <c r="G138">
        <v>7132.4344000000001</v>
      </c>
      <c r="H138">
        <v>256767.6384</v>
      </c>
      <c r="I138">
        <v>7837.84</v>
      </c>
      <c r="J138">
        <v>282162.24</v>
      </c>
      <c r="K138">
        <v>8423.42</v>
      </c>
      <c r="L138">
        <v>303243.12</v>
      </c>
      <c r="M138">
        <v>45616</v>
      </c>
      <c r="O138" t="s">
        <v>326</v>
      </c>
      <c r="P138" t="s">
        <v>127</v>
      </c>
      <c r="Q138" t="s">
        <v>140</v>
      </c>
      <c r="R138" t="s">
        <v>2446</v>
      </c>
      <c r="S138" t="s">
        <v>2444</v>
      </c>
      <c r="T138" t="s">
        <v>2445</v>
      </c>
      <c r="U138">
        <v>36</v>
      </c>
      <c r="V138" t="s">
        <v>357</v>
      </c>
      <c r="W138" t="s">
        <v>141</v>
      </c>
      <c r="X138" t="s">
        <v>142</v>
      </c>
      <c r="Y138">
        <v>11611</v>
      </c>
      <c r="Z138">
        <v>11612</v>
      </c>
      <c r="AA138" t="s">
        <v>1025</v>
      </c>
      <c r="AB138">
        <v>1</v>
      </c>
    </row>
    <row r="139" spans="1:28">
      <c r="A139">
        <v>1</v>
      </c>
      <c r="B139" t="s">
        <v>633</v>
      </c>
      <c r="C139" t="s">
        <v>2210</v>
      </c>
      <c r="D139" t="s">
        <v>2211</v>
      </c>
      <c r="E139" t="s">
        <v>1660</v>
      </c>
      <c r="F139" t="s">
        <v>1661</v>
      </c>
      <c r="G139">
        <v>12297.294100000001</v>
      </c>
      <c r="H139">
        <v>442702.58760000003</v>
      </c>
      <c r="I139">
        <v>13513.51</v>
      </c>
      <c r="J139">
        <v>486486.36</v>
      </c>
      <c r="K139">
        <v>14594.59</v>
      </c>
      <c r="L139">
        <v>525405.24</v>
      </c>
      <c r="M139">
        <v>45616</v>
      </c>
      <c r="O139" t="s">
        <v>326</v>
      </c>
      <c r="P139" t="s">
        <v>127</v>
      </c>
      <c r="Q139" t="s">
        <v>140</v>
      </c>
      <c r="R139" t="s">
        <v>2446</v>
      </c>
      <c r="S139" t="s">
        <v>2444</v>
      </c>
      <c r="T139" t="s">
        <v>2445</v>
      </c>
      <c r="U139">
        <v>36</v>
      </c>
      <c r="V139" t="s">
        <v>357</v>
      </c>
      <c r="W139" t="s">
        <v>141</v>
      </c>
      <c r="X139" t="s">
        <v>142</v>
      </c>
      <c r="Y139">
        <v>11611</v>
      </c>
      <c r="Z139">
        <v>11612</v>
      </c>
      <c r="AA139" t="s">
        <v>1025</v>
      </c>
      <c r="AB139">
        <v>1</v>
      </c>
    </row>
    <row r="140" spans="1:28">
      <c r="A140">
        <v>1</v>
      </c>
      <c r="B140" t="s">
        <v>634</v>
      </c>
      <c r="C140" t="s">
        <v>2210</v>
      </c>
      <c r="D140" t="s">
        <v>2211</v>
      </c>
      <c r="E140" t="s">
        <v>1662</v>
      </c>
      <c r="F140" t="s">
        <v>1663</v>
      </c>
      <c r="G140">
        <v>7132.4344000000001</v>
      </c>
      <c r="H140">
        <v>256767.6384</v>
      </c>
      <c r="I140">
        <v>7837.84</v>
      </c>
      <c r="J140">
        <v>282162.24</v>
      </c>
      <c r="K140">
        <v>8423.42</v>
      </c>
      <c r="L140">
        <v>303243.12</v>
      </c>
      <c r="M140">
        <v>45616</v>
      </c>
      <c r="O140" t="s">
        <v>326</v>
      </c>
      <c r="P140" t="s">
        <v>127</v>
      </c>
      <c r="Q140" t="s">
        <v>140</v>
      </c>
      <c r="R140" t="s">
        <v>2446</v>
      </c>
      <c r="S140" t="s">
        <v>2444</v>
      </c>
      <c r="T140" t="s">
        <v>2445</v>
      </c>
      <c r="U140">
        <v>36</v>
      </c>
      <c r="V140" t="s">
        <v>357</v>
      </c>
      <c r="W140" t="s">
        <v>141</v>
      </c>
      <c r="X140" t="s">
        <v>142</v>
      </c>
      <c r="Y140">
        <v>11611</v>
      </c>
      <c r="Z140">
        <v>11612</v>
      </c>
      <c r="AA140" t="s">
        <v>1025</v>
      </c>
      <c r="AB140">
        <v>1</v>
      </c>
    </row>
    <row r="141" spans="1:28">
      <c r="A141">
        <v>1</v>
      </c>
      <c r="B141" t="s">
        <v>635</v>
      </c>
      <c r="C141" t="s">
        <v>2210</v>
      </c>
      <c r="D141" t="s">
        <v>2211</v>
      </c>
      <c r="E141" t="s">
        <v>1664</v>
      </c>
      <c r="F141" t="s">
        <v>1665</v>
      </c>
      <c r="G141">
        <v>12297.294100000001</v>
      </c>
      <c r="H141">
        <v>442702.58760000003</v>
      </c>
      <c r="I141">
        <v>13513.51</v>
      </c>
      <c r="J141">
        <v>486486.36</v>
      </c>
      <c r="K141">
        <v>14594.59</v>
      </c>
      <c r="L141">
        <v>525405.24</v>
      </c>
      <c r="M141">
        <v>45616</v>
      </c>
      <c r="O141" t="s">
        <v>326</v>
      </c>
      <c r="P141" t="s">
        <v>127</v>
      </c>
      <c r="Q141" t="s">
        <v>140</v>
      </c>
      <c r="R141" t="s">
        <v>2446</v>
      </c>
      <c r="S141" t="s">
        <v>2444</v>
      </c>
      <c r="T141" t="s">
        <v>2445</v>
      </c>
      <c r="U141">
        <v>36</v>
      </c>
      <c r="V141" t="s">
        <v>357</v>
      </c>
      <c r="W141" t="s">
        <v>141</v>
      </c>
      <c r="X141" t="s">
        <v>142</v>
      </c>
      <c r="Y141">
        <v>11611</v>
      </c>
      <c r="Z141">
        <v>11612</v>
      </c>
      <c r="AA141" t="s">
        <v>1025</v>
      </c>
      <c r="AB141">
        <v>1</v>
      </c>
    </row>
    <row r="142" spans="1:28">
      <c r="A142">
        <v>1</v>
      </c>
      <c r="B142" t="s">
        <v>646</v>
      </c>
      <c r="C142" t="s">
        <v>2220</v>
      </c>
      <c r="D142" t="s">
        <v>2221</v>
      </c>
      <c r="E142" t="s">
        <v>1666</v>
      </c>
      <c r="F142" t="s">
        <v>1667</v>
      </c>
      <c r="G142">
        <v>10177.148800000001</v>
      </c>
      <c r="H142">
        <v>366377.35680000001</v>
      </c>
      <c r="I142">
        <v>11183.68</v>
      </c>
      <c r="J142">
        <v>402612.47999999998</v>
      </c>
      <c r="K142">
        <v>12092.09</v>
      </c>
      <c r="L142">
        <v>435315.24</v>
      </c>
      <c r="M142">
        <v>45616</v>
      </c>
      <c r="O142" t="s">
        <v>326</v>
      </c>
      <c r="P142" t="s">
        <v>127</v>
      </c>
      <c r="Q142" t="s">
        <v>140</v>
      </c>
      <c r="R142" t="s">
        <v>2446</v>
      </c>
      <c r="S142" t="s">
        <v>2444</v>
      </c>
      <c r="T142" t="s">
        <v>2445</v>
      </c>
      <c r="U142">
        <v>36</v>
      </c>
      <c r="V142" t="s">
        <v>357</v>
      </c>
      <c r="W142" t="s">
        <v>141</v>
      </c>
      <c r="X142" t="s">
        <v>142</v>
      </c>
      <c r="Y142">
        <v>11611</v>
      </c>
      <c r="Z142">
        <v>11612</v>
      </c>
      <c r="AA142" t="s">
        <v>1025</v>
      </c>
      <c r="AB142">
        <v>1</v>
      </c>
    </row>
    <row r="143" spans="1:28">
      <c r="A143">
        <v>1</v>
      </c>
      <c r="B143" t="s">
        <v>649</v>
      </c>
      <c r="C143" t="s">
        <v>2220</v>
      </c>
      <c r="D143" t="s">
        <v>2221</v>
      </c>
      <c r="E143" t="s">
        <v>1668</v>
      </c>
      <c r="F143" t="s">
        <v>1669</v>
      </c>
      <c r="G143">
        <v>10177.148800000001</v>
      </c>
      <c r="H143">
        <v>366377.35680000001</v>
      </c>
      <c r="I143">
        <v>11183.68</v>
      </c>
      <c r="J143">
        <v>402612.47999999998</v>
      </c>
      <c r="K143">
        <v>12092.09</v>
      </c>
      <c r="L143">
        <v>435315.24</v>
      </c>
      <c r="M143">
        <v>45616</v>
      </c>
      <c r="O143" t="s">
        <v>326</v>
      </c>
      <c r="P143" t="s">
        <v>127</v>
      </c>
      <c r="Q143" t="s">
        <v>140</v>
      </c>
      <c r="R143" t="s">
        <v>2446</v>
      </c>
      <c r="S143" t="s">
        <v>2444</v>
      </c>
      <c r="T143" t="s">
        <v>2445</v>
      </c>
      <c r="U143">
        <v>36</v>
      </c>
      <c r="V143" t="s">
        <v>357</v>
      </c>
      <c r="W143" t="s">
        <v>141</v>
      </c>
      <c r="X143" t="s">
        <v>142</v>
      </c>
      <c r="Y143">
        <v>11611</v>
      </c>
      <c r="Z143">
        <v>11612</v>
      </c>
      <c r="AA143" t="s">
        <v>1025</v>
      </c>
      <c r="AB143">
        <v>1</v>
      </c>
    </row>
    <row r="144" spans="1:28">
      <c r="A144">
        <v>1</v>
      </c>
      <c r="B144" t="s">
        <v>652</v>
      </c>
      <c r="C144" t="s">
        <v>2220</v>
      </c>
      <c r="D144" t="s">
        <v>2221</v>
      </c>
      <c r="E144" t="s">
        <v>1670</v>
      </c>
      <c r="F144" t="s">
        <v>1671</v>
      </c>
      <c r="G144">
        <v>10177.148800000001</v>
      </c>
      <c r="H144">
        <v>366377.35680000001</v>
      </c>
      <c r="I144">
        <v>11183.68</v>
      </c>
      <c r="J144">
        <v>402612.47999999998</v>
      </c>
      <c r="K144">
        <v>12092.09</v>
      </c>
      <c r="L144">
        <v>435315.24</v>
      </c>
      <c r="M144">
        <v>45616</v>
      </c>
      <c r="O144" t="s">
        <v>326</v>
      </c>
      <c r="P144" t="s">
        <v>127</v>
      </c>
      <c r="Q144" t="s">
        <v>140</v>
      </c>
      <c r="R144" t="s">
        <v>2446</v>
      </c>
      <c r="S144" t="s">
        <v>2444</v>
      </c>
      <c r="T144" t="s">
        <v>2445</v>
      </c>
      <c r="U144">
        <v>36</v>
      </c>
      <c r="V144" t="s">
        <v>357</v>
      </c>
      <c r="W144" t="s">
        <v>141</v>
      </c>
      <c r="X144" t="s">
        <v>142</v>
      </c>
      <c r="Y144">
        <v>11611</v>
      </c>
      <c r="Z144">
        <v>11612</v>
      </c>
      <c r="AA144" t="s">
        <v>1025</v>
      </c>
      <c r="AB144">
        <v>1</v>
      </c>
    </row>
    <row r="145" spans="1:28">
      <c r="A145">
        <v>1</v>
      </c>
      <c r="B145" t="s">
        <v>650</v>
      </c>
      <c r="C145" t="s">
        <v>2220</v>
      </c>
      <c r="D145" t="s">
        <v>2221</v>
      </c>
      <c r="E145" t="s">
        <v>1672</v>
      </c>
      <c r="F145" t="s">
        <v>1673</v>
      </c>
      <c r="G145">
        <v>10177.148800000001</v>
      </c>
      <c r="H145">
        <v>366377.35680000001</v>
      </c>
      <c r="I145">
        <v>11183.68</v>
      </c>
      <c r="J145">
        <v>402612.47999999998</v>
      </c>
      <c r="K145">
        <v>12092.09</v>
      </c>
      <c r="L145">
        <v>435315.24</v>
      </c>
      <c r="M145">
        <v>45616</v>
      </c>
      <c r="O145" t="s">
        <v>326</v>
      </c>
      <c r="P145" t="s">
        <v>127</v>
      </c>
      <c r="Q145" t="s">
        <v>140</v>
      </c>
      <c r="R145" t="s">
        <v>2446</v>
      </c>
      <c r="S145" t="s">
        <v>2444</v>
      </c>
      <c r="T145" t="s">
        <v>2445</v>
      </c>
      <c r="U145">
        <v>36</v>
      </c>
      <c r="V145" t="s">
        <v>357</v>
      </c>
      <c r="W145" t="s">
        <v>141</v>
      </c>
      <c r="X145" t="s">
        <v>142</v>
      </c>
      <c r="Y145">
        <v>11611</v>
      </c>
      <c r="Z145">
        <v>11612</v>
      </c>
      <c r="AA145" t="s">
        <v>1025</v>
      </c>
      <c r="AB145">
        <v>1</v>
      </c>
    </row>
    <row r="146" spans="1:28">
      <c r="A146">
        <v>1</v>
      </c>
      <c r="B146" t="s">
        <v>651</v>
      </c>
      <c r="C146" t="s">
        <v>2220</v>
      </c>
      <c r="D146" t="s">
        <v>2221</v>
      </c>
      <c r="E146" t="s">
        <v>1674</v>
      </c>
      <c r="F146" t="s">
        <v>1675</v>
      </c>
      <c r="G146">
        <v>10177.148800000001</v>
      </c>
      <c r="H146">
        <v>366377.35680000001</v>
      </c>
      <c r="I146">
        <v>11183.68</v>
      </c>
      <c r="J146">
        <v>402612.47999999998</v>
      </c>
      <c r="K146">
        <v>12092.09</v>
      </c>
      <c r="L146">
        <v>435315.24</v>
      </c>
      <c r="M146">
        <v>45616</v>
      </c>
      <c r="O146" t="s">
        <v>326</v>
      </c>
      <c r="P146" t="s">
        <v>127</v>
      </c>
      <c r="Q146" t="s">
        <v>140</v>
      </c>
      <c r="R146" t="s">
        <v>2446</v>
      </c>
      <c r="S146" t="s">
        <v>2444</v>
      </c>
      <c r="T146" t="s">
        <v>2445</v>
      </c>
      <c r="U146">
        <v>36</v>
      </c>
      <c r="V146" t="s">
        <v>357</v>
      </c>
      <c r="W146" t="s">
        <v>141</v>
      </c>
      <c r="X146" t="s">
        <v>142</v>
      </c>
      <c r="Y146">
        <v>11611</v>
      </c>
      <c r="Z146">
        <v>11612</v>
      </c>
      <c r="AA146" t="s">
        <v>1025</v>
      </c>
      <c r="AB146">
        <v>1</v>
      </c>
    </row>
    <row r="147" spans="1:28">
      <c r="A147">
        <v>1</v>
      </c>
      <c r="B147" t="s">
        <v>653</v>
      </c>
      <c r="C147" t="s">
        <v>2220</v>
      </c>
      <c r="D147" t="s">
        <v>2221</v>
      </c>
      <c r="E147" t="s">
        <v>1676</v>
      </c>
      <c r="F147" t="s">
        <v>1677</v>
      </c>
      <c r="G147">
        <v>10177.148800000001</v>
      </c>
      <c r="H147">
        <v>366377.35680000001</v>
      </c>
      <c r="I147">
        <v>11183.68</v>
      </c>
      <c r="J147">
        <v>402612.47999999998</v>
      </c>
      <c r="K147">
        <v>12092.09</v>
      </c>
      <c r="L147">
        <v>435315.24</v>
      </c>
      <c r="M147">
        <v>45616</v>
      </c>
      <c r="O147" t="s">
        <v>326</v>
      </c>
      <c r="P147" t="s">
        <v>127</v>
      </c>
      <c r="Q147" t="s">
        <v>140</v>
      </c>
      <c r="R147" t="s">
        <v>2446</v>
      </c>
      <c r="S147" t="s">
        <v>2444</v>
      </c>
      <c r="T147" t="s">
        <v>2445</v>
      </c>
      <c r="U147">
        <v>36</v>
      </c>
      <c r="V147" t="s">
        <v>357</v>
      </c>
      <c r="W147" t="s">
        <v>141</v>
      </c>
      <c r="X147" t="s">
        <v>142</v>
      </c>
      <c r="Y147">
        <v>11611</v>
      </c>
      <c r="Z147">
        <v>11612</v>
      </c>
      <c r="AA147" t="s">
        <v>1025</v>
      </c>
      <c r="AB147">
        <v>1</v>
      </c>
    </row>
    <row r="148" spans="1:28">
      <c r="A148">
        <v>1</v>
      </c>
      <c r="B148" t="s">
        <v>647</v>
      </c>
      <c r="C148" t="s">
        <v>2220</v>
      </c>
      <c r="D148" t="s">
        <v>2221</v>
      </c>
      <c r="E148" t="s">
        <v>1678</v>
      </c>
      <c r="F148" t="s">
        <v>1679</v>
      </c>
      <c r="G148">
        <v>10177.148800000001</v>
      </c>
      <c r="H148">
        <v>366377.35680000001</v>
      </c>
      <c r="I148">
        <v>11183.68</v>
      </c>
      <c r="J148">
        <v>402612.47999999998</v>
      </c>
      <c r="K148">
        <v>12092.09</v>
      </c>
      <c r="L148">
        <v>435315.24</v>
      </c>
      <c r="M148">
        <v>45616</v>
      </c>
      <c r="O148" t="s">
        <v>326</v>
      </c>
      <c r="P148" t="s">
        <v>127</v>
      </c>
      <c r="Q148" t="s">
        <v>140</v>
      </c>
      <c r="R148" t="s">
        <v>2446</v>
      </c>
      <c r="S148" t="s">
        <v>2444</v>
      </c>
      <c r="T148" t="s">
        <v>2445</v>
      </c>
      <c r="U148">
        <v>36</v>
      </c>
      <c r="V148" t="s">
        <v>357</v>
      </c>
      <c r="W148" t="s">
        <v>141</v>
      </c>
      <c r="X148" t="s">
        <v>142</v>
      </c>
      <c r="Y148">
        <v>11611</v>
      </c>
      <c r="Z148">
        <v>11612</v>
      </c>
      <c r="AA148" t="s">
        <v>1025</v>
      </c>
      <c r="AB148">
        <v>1</v>
      </c>
    </row>
    <row r="149" spans="1:28">
      <c r="A149">
        <v>1</v>
      </c>
      <c r="B149" t="s">
        <v>648</v>
      </c>
      <c r="C149" t="s">
        <v>2220</v>
      </c>
      <c r="D149" t="s">
        <v>2221</v>
      </c>
      <c r="E149" t="s">
        <v>1680</v>
      </c>
      <c r="F149" t="s">
        <v>1681</v>
      </c>
      <c r="G149">
        <v>10177.148800000001</v>
      </c>
      <c r="H149">
        <v>366377.35680000001</v>
      </c>
      <c r="I149">
        <v>11183.68</v>
      </c>
      <c r="J149">
        <v>402612.47999999998</v>
      </c>
      <c r="K149">
        <v>12092.09</v>
      </c>
      <c r="L149">
        <v>435315.24</v>
      </c>
      <c r="M149">
        <v>45616</v>
      </c>
      <c r="O149" t="s">
        <v>326</v>
      </c>
      <c r="P149" t="s">
        <v>127</v>
      </c>
      <c r="Q149" t="s">
        <v>140</v>
      </c>
      <c r="R149" t="s">
        <v>2446</v>
      </c>
      <c r="S149" t="s">
        <v>2444</v>
      </c>
      <c r="T149" t="s">
        <v>2445</v>
      </c>
      <c r="U149">
        <v>36</v>
      </c>
      <c r="V149" t="s">
        <v>357</v>
      </c>
      <c r="W149" t="s">
        <v>141</v>
      </c>
      <c r="X149" t="s">
        <v>142</v>
      </c>
      <c r="Y149">
        <v>11611</v>
      </c>
      <c r="Z149">
        <v>11612</v>
      </c>
      <c r="AA149" t="s">
        <v>1025</v>
      </c>
      <c r="AB149">
        <v>1</v>
      </c>
    </row>
    <row r="150" spans="1:28">
      <c r="A150">
        <v>1</v>
      </c>
      <c r="B150" t="s">
        <v>645</v>
      </c>
      <c r="C150" t="s">
        <v>2218</v>
      </c>
      <c r="D150" t="s">
        <v>2219</v>
      </c>
      <c r="E150" t="s">
        <v>1684</v>
      </c>
      <c r="F150" t="s">
        <v>1685</v>
      </c>
      <c r="G150">
        <v>13117.1131</v>
      </c>
      <c r="H150">
        <v>472216.07160000002</v>
      </c>
      <c r="I150">
        <v>14414.41</v>
      </c>
      <c r="J150">
        <v>518918.76</v>
      </c>
      <c r="K150">
        <v>15585.59</v>
      </c>
      <c r="L150">
        <v>561081.24</v>
      </c>
      <c r="M150">
        <v>45616</v>
      </c>
      <c r="O150" t="s">
        <v>326</v>
      </c>
      <c r="P150" t="s">
        <v>127</v>
      </c>
      <c r="Q150" t="s">
        <v>140</v>
      </c>
      <c r="R150" t="s">
        <v>2446</v>
      </c>
      <c r="S150" t="s">
        <v>2444</v>
      </c>
      <c r="T150" t="s">
        <v>2445</v>
      </c>
      <c r="U150">
        <v>36</v>
      </c>
      <c r="V150" t="s">
        <v>357</v>
      </c>
      <c r="W150" t="s">
        <v>141</v>
      </c>
      <c r="X150" t="s">
        <v>142</v>
      </c>
      <c r="Y150">
        <v>11611</v>
      </c>
      <c r="Z150">
        <v>11612</v>
      </c>
      <c r="AA150" t="s">
        <v>1025</v>
      </c>
      <c r="AB150">
        <v>1</v>
      </c>
    </row>
    <row r="151" spans="1:28">
      <c r="A151">
        <v>1</v>
      </c>
      <c r="B151" t="s">
        <v>999</v>
      </c>
      <c r="C151" t="s">
        <v>2331</v>
      </c>
      <c r="D151" t="s">
        <v>2332</v>
      </c>
      <c r="E151" t="s">
        <v>1560</v>
      </c>
      <c r="F151" t="s">
        <v>1561</v>
      </c>
      <c r="G151">
        <v>21305.065600000002</v>
      </c>
      <c r="H151">
        <v>511321.57440000004</v>
      </c>
      <c r="I151">
        <v>23412.16</v>
      </c>
      <c r="J151">
        <v>561891.83999999997</v>
      </c>
      <c r="K151">
        <v>24579.58</v>
      </c>
      <c r="L151">
        <v>589909.92000000004</v>
      </c>
      <c r="M151">
        <v>45616</v>
      </c>
      <c r="O151" t="s">
        <v>326</v>
      </c>
      <c r="P151" t="s">
        <v>127</v>
      </c>
      <c r="Q151" t="s">
        <v>140</v>
      </c>
      <c r="R151" t="s">
        <v>2446</v>
      </c>
      <c r="S151" t="s">
        <v>2444</v>
      </c>
      <c r="T151" t="s">
        <v>2445</v>
      </c>
      <c r="U151">
        <v>24</v>
      </c>
      <c r="V151" t="s">
        <v>357</v>
      </c>
      <c r="W151" t="s">
        <v>141</v>
      </c>
      <c r="X151" t="s">
        <v>142</v>
      </c>
      <c r="Y151">
        <v>11611</v>
      </c>
      <c r="Z151">
        <v>11612</v>
      </c>
      <c r="AA151" t="s">
        <v>1025</v>
      </c>
      <c r="AB151">
        <v>1</v>
      </c>
    </row>
    <row r="152" spans="1:28">
      <c r="A152">
        <v>1</v>
      </c>
      <c r="B152" t="s">
        <v>579</v>
      </c>
      <c r="C152" t="s">
        <v>2188</v>
      </c>
      <c r="D152" t="s">
        <v>2189</v>
      </c>
      <c r="E152" t="s">
        <v>1867</v>
      </c>
      <c r="F152" t="s">
        <v>1868</v>
      </c>
      <c r="G152">
        <v>12748.1991</v>
      </c>
      <c r="H152">
        <v>458935.16759999999</v>
      </c>
      <c r="I152">
        <v>14009.01</v>
      </c>
      <c r="J152">
        <v>504324.36</v>
      </c>
      <c r="K152">
        <v>15135.14</v>
      </c>
      <c r="L152">
        <v>544865.04</v>
      </c>
      <c r="M152">
        <v>45616</v>
      </c>
      <c r="O152" t="s">
        <v>326</v>
      </c>
      <c r="P152" t="s">
        <v>127</v>
      </c>
      <c r="Q152" t="s">
        <v>140</v>
      </c>
      <c r="R152" t="s">
        <v>2446</v>
      </c>
      <c r="S152" t="s">
        <v>2444</v>
      </c>
      <c r="T152" t="s">
        <v>2445</v>
      </c>
      <c r="U152">
        <v>36</v>
      </c>
      <c r="V152" t="s">
        <v>357</v>
      </c>
      <c r="W152" t="s">
        <v>141</v>
      </c>
      <c r="X152" t="s">
        <v>142</v>
      </c>
      <c r="Y152">
        <v>11611</v>
      </c>
      <c r="Z152">
        <v>11612</v>
      </c>
      <c r="AA152" t="s">
        <v>1025</v>
      </c>
      <c r="AB152">
        <v>1</v>
      </c>
    </row>
    <row r="153" spans="1:28">
      <c r="A153">
        <v>1</v>
      </c>
      <c r="B153" t="s">
        <v>580</v>
      </c>
      <c r="C153" t="s">
        <v>2188</v>
      </c>
      <c r="D153" t="s">
        <v>2189</v>
      </c>
      <c r="E153" t="s">
        <v>1871</v>
      </c>
      <c r="F153" t="s">
        <v>1872</v>
      </c>
      <c r="G153">
        <v>7337.3846000000003</v>
      </c>
      <c r="H153">
        <v>264145.8456</v>
      </c>
      <c r="I153">
        <v>8063.06</v>
      </c>
      <c r="J153">
        <v>290270.16000000003</v>
      </c>
      <c r="K153">
        <v>8693.69</v>
      </c>
      <c r="L153">
        <v>312972.84000000003</v>
      </c>
      <c r="M153">
        <v>45616</v>
      </c>
      <c r="O153" t="s">
        <v>326</v>
      </c>
      <c r="P153" t="s">
        <v>127</v>
      </c>
      <c r="Q153" t="s">
        <v>140</v>
      </c>
      <c r="R153" t="s">
        <v>2446</v>
      </c>
      <c r="S153" t="s">
        <v>2444</v>
      </c>
      <c r="T153" t="s">
        <v>2445</v>
      </c>
      <c r="U153">
        <v>36</v>
      </c>
      <c r="V153" t="s">
        <v>357</v>
      </c>
      <c r="W153" t="s">
        <v>141</v>
      </c>
      <c r="X153" t="s">
        <v>142</v>
      </c>
      <c r="Y153">
        <v>11611</v>
      </c>
      <c r="Z153">
        <v>11612</v>
      </c>
      <c r="AA153" t="s">
        <v>1025</v>
      </c>
      <c r="AB153">
        <v>1</v>
      </c>
    </row>
    <row r="154" spans="1:28">
      <c r="A154">
        <v>1</v>
      </c>
      <c r="B154" t="s">
        <v>379</v>
      </c>
      <c r="C154" t="s">
        <v>2222</v>
      </c>
      <c r="D154" t="s">
        <v>2223</v>
      </c>
      <c r="E154" t="s">
        <v>2052</v>
      </c>
      <c r="F154" t="s">
        <v>2053</v>
      </c>
      <c r="G154">
        <v>7091.4389000000001</v>
      </c>
      <c r="H154">
        <v>255291.80040000001</v>
      </c>
      <c r="I154">
        <v>7792.79</v>
      </c>
      <c r="J154">
        <v>280540.44</v>
      </c>
      <c r="K154">
        <v>8423.42</v>
      </c>
      <c r="L154">
        <v>303243.12</v>
      </c>
      <c r="M154">
        <v>45616</v>
      </c>
      <c r="O154" t="s">
        <v>326</v>
      </c>
      <c r="P154" t="s">
        <v>127</v>
      </c>
      <c r="Q154" t="s">
        <v>140</v>
      </c>
      <c r="R154" t="s">
        <v>2446</v>
      </c>
      <c r="S154" t="s">
        <v>2444</v>
      </c>
      <c r="T154" t="s">
        <v>2445</v>
      </c>
      <c r="U154">
        <v>36</v>
      </c>
      <c r="V154" t="s">
        <v>1021</v>
      </c>
      <c r="W154" t="s">
        <v>141</v>
      </c>
      <c r="X154" t="s">
        <v>142</v>
      </c>
      <c r="Y154">
        <v>11611</v>
      </c>
      <c r="Z154">
        <v>11612</v>
      </c>
      <c r="AA154" t="s">
        <v>1025</v>
      </c>
      <c r="AB154">
        <v>1</v>
      </c>
    </row>
    <row r="155" spans="1:28">
      <c r="A155">
        <v>1</v>
      </c>
      <c r="B155" t="s">
        <v>380</v>
      </c>
      <c r="C155" t="s">
        <v>2222</v>
      </c>
      <c r="D155" t="s">
        <v>2223</v>
      </c>
      <c r="E155" t="s">
        <v>2054</v>
      </c>
      <c r="F155" t="s">
        <v>2055</v>
      </c>
      <c r="G155">
        <v>7091.4389000000001</v>
      </c>
      <c r="H155">
        <v>255291.80040000001</v>
      </c>
      <c r="I155">
        <v>7792.79</v>
      </c>
      <c r="J155">
        <v>280540.44</v>
      </c>
      <c r="K155">
        <v>8423.42</v>
      </c>
      <c r="L155">
        <v>303243.12</v>
      </c>
      <c r="M155">
        <v>45616</v>
      </c>
      <c r="O155" t="s">
        <v>326</v>
      </c>
      <c r="P155" t="s">
        <v>127</v>
      </c>
      <c r="Q155" t="s">
        <v>140</v>
      </c>
      <c r="R155" t="s">
        <v>2446</v>
      </c>
      <c r="S155" t="s">
        <v>2444</v>
      </c>
      <c r="T155" t="s">
        <v>2445</v>
      </c>
      <c r="U155">
        <v>36</v>
      </c>
      <c r="V155" t="s">
        <v>1021</v>
      </c>
      <c r="W155" t="s">
        <v>141</v>
      </c>
      <c r="X155" t="s">
        <v>142</v>
      </c>
      <c r="Y155">
        <v>11611</v>
      </c>
      <c r="Z155">
        <v>11612</v>
      </c>
      <c r="AA155" t="s">
        <v>1025</v>
      </c>
      <c r="AB155">
        <v>1</v>
      </c>
    </row>
    <row r="156" spans="1:28">
      <c r="A156">
        <v>1</v>
      </c>
      <c r="B156" t="s">
        <v>381</v>
      </c>
      <c r="C156" t="s">
        <v>2222</v>
      </c>
      <c r="D156" t="s">
        <v>2223</v>
      </c>
      <c r="E156" t="s">
        <v>2056</v>
      </c>
      <c r="F156" t="s">
        <v>2057</v>
      </c>
      <c r="G156">
        <v>5328.8325999999997</v>
      </c>
      <c r="H156">
        <v>255783.96479999999</v>
      </c>
      <c r="I156">
        <v>5855.86</v>
      </c>
      <c r="J156">
        <v>281081.27999999997</v>
      </c>
      <c r="K156">
        <v>6306.31</v>
      </c>
      <c r="L156">
        <v>302702.88</v>
      </c>
      <c r="M156">
        <v>45616</v>
      </c>
      <c r="O156" t="s">
        <v>326</v>
      </c>
      <c r="P156" t="s">
        <v>127</v>
      </c>
      <c r="Q156" t="s">
        <v>140</v>
      </c>
      <c r="R156" t="s">
        <v>2446</v>
      </c>
      <c r="S156" t="s">
        <v>2444</v>
      </c>
      <c r="T156" t="s">
        <v>2445</v>
      </c>
      <c r="U156">
        <v>48</v>
      </c>
      <c r="V156" t="s">
        <v>1021</v>
      </c>
      <c r="W156" t="s">
        <v>141</v>
      </c>
      <c r="X156" t="s">
        <v>142</v>
      </c>
      <c r="Y156">
        <v>11611</v>
      </c>
      <c r="Z156">
        <v>11612</v>
      </c>
      <c r="AA156" t="s">
        <v>1025</v>
      </c>
      <c r="AB156">
        <v>1</v>
      </c>
    </row>
    <row r="157" spans="1:28">
      <c r="A157">
        <v>1</v>
      </c>
      <c r="B157" t="s">
        <v>382</v>
      </c>
      <c r="C157" t="s">
        <v>2222</v>
      </c>
      <c r="D157" t="s">
        <v>2223</v>
      </c>
      <c r="E157" t="s">
        <v>2058</v>
      </c>
      <c r="F157" t="s">
        <v>2059</v>
      </c>
      <c r="G157">
        <v>5328.8325999999997</v>
      </c>
      <c r="H157">
        <v>255783.96479999999</v>
      </c>
      <c r="I157">
        <v>5855.86</v>
      </c>
      <c r="J157">
        <v>281081.27999999997</v>
      </c>
      <c r="K157">
        <v>6306.31</v>
      </c>
      <c r="L157">
        <v>302702.88</v>
      </c>
      <c r="M157">
        <v>45616</v>
      </c>
      <c r="O157" t="s">
        <v>326</v>
      </c>
      <c r="P157" t="s">
        <v>127</v>
      </c>
      <c r="Q157" t="s">
        <v>140</v>
      </c>
      <c r="R157" t="s">
        <v>2446</v>
      </c>
      <c r="S157" t="s">
        <v>2444</v>
      </c>
      <c r="T157" t="s">
        <v>2445</v>
      </c>
      <c r="U157">
        <v>48</v>
      </c>
      <c r="V157" t="s">
        <v>1021</v>
      </c>
      <c r="W157" t="s">
        <v>141</v>
      </c>
      <c r="X157" t="s">
        <v>142</v>
      </c>
      <c r="Y157">
        <v>11611</v>
      </c>
      <c r="Z157">
        <v>11612</v>
      </c>
      <c r="AA157" t="s">
        <v>1025</v>
      </c>
      <c r="AB157">
        <v>1</v>
      </c>
    </row>
    <row r="158" spans="1:28">
      <c r="A158">
        <v>1</v>
      </c>
      <c r="B158" t="s">
        <v>384</v>
      </c>
      <c r="C158" t="s">
        <v>2222</v>
      </c>
      <c r="D158" t="s">
        <v>2223</v>
      </c>
      <c r="E158" t="s">
        <v>2060</v>
      </c>
      <c r="F158" t="s">
        <v>2061</v>
      </c>
      <c r="G158">
        <v>10001.8009</v>
      </c>
      <c r="H158">
        <v>360064.83240000001</v>
      </c>
      <c r="I158">
        <v>10990.99</v>
      </c>
      <c r="J158">
        <v>395675.64</v>
      </c>
      <c r="K158">
        <v>11891.89</v>
      </c>
      <c r="L158">
        <v>428108.04</v>
      </c>
      <c r="M158">
        <v>45616</v>
      </c>
      <c r="O158" t="s">
        <v>326</v>
      </c>
      <c r="P158" t="s">
        <v>127</v>
      </c>
      <c r="Q158" t="s">
        <v>140</v>
      </c>
      <c r="R158" t="s">
        <v>2446</v>
      </c>
      <c r="S158" t="s">
        <v>2444</v>
      </c>
      <c r="T158" t="s">
        <v>2445</v>
      </c>
      <c r="U158">
        <v>36</v>
      </c>
      <c r="V158" t="s">
        <v>1021</v>
      </c>
      <c r="W158" t="s">
        <v>141</v>
      </c>
      <c r="X158" t="s">
        <v>142</v>
      </c>
      <c r="Y158">
        <v>11611</v>
      </c>
      <c r="Z158">
        <v>11612</v>
      </c>
      <c r="AA158" t="s">
        <v>1025</v>
      </c>
      <c r="AB158">
        <v>1</v>
      </c>
    </row>
    <row r="159" spans="1:28">
      <c r="A159">
        <v>1</v>
      </c>
      <c r="B159" t="s">
        <v>385</v>
      </c>
      <c r="C159" t="s">
        <v>2222</v>
      </c>
      <c r="D159" t="s">
        <v>2223</v>
      </c>
      <c r="E159" t="s">
        <v>2062</v>
      </c>
      <c r="F159" t="s">
        <v>2063</v>
      </c>
      <c r="G159">
        <v>10001.8009</v>
      </c>
      <c r="H159">
        <v>360064.83240000001</v>
      </c>
      <c r="I159">
        <v>10990.99</v>
      </c>
      <c r="J159">
        <v>395675.64</v>
      </c>
      <c r="K159">
        <v>11891.89</v>
      </c>
      <c r="L159">
        <v>428108.04</v>
      </c>
      <c r="M159">
        <v>45616</v>
      </c>
      <c r="O159" t="s">
        <v>326</v>
      </c>
      <c r="P159" t="s">
        <v>127</v>
      </c>
      <c r="Q159" t="s">
        <v>140</v>
      </c>
      <c r="R159" t="s">
        <v>2446</v>
      </c>
      <c r="S159" t="s">
        <v>2444</v>
      </c>
      <c r="T159" t="s">
        <v>2445</v>
      </c>
      <c r="U159">
        <v>36</v>
      </c>
      <c r="V159" t="s">
        <v>1021</v>
      </c>
      <c r="W159" t="s">
        <v>141</v>
      </c>
      <c r="X159" t="s">
        <v>142</v>
      </c>
      <c r="Y159">
        <v>11611</v>
      </c>
      <c r="Z159">
        <v>11612</v>
      </c>
      <c r="AA159" t="s">
        <v>1025</v>
      </c>
      <c r="AB159">
        <v>1</v>
      </c>
    </row>
    <row r="160" spans="1:28">
      <c r="A160">
        <v>1</v>
      </c>
      <c r="B160" t="s">
        <v>378</v>
      </c>
      <c r="C160" t="s">
        <v>2222</v>
      </c>
      <c r="D160" t="s">
        <v>2223</v>
      </c>
      <c r="E160" t="s">
        <v>2050</v>
      </c>
      <c r="F160" t="s">
        <v>2051</v>
      </c>
      <c r="G160">
        <v>3033.3303000000001</v>
      </c>
      <c r="H160">
        <v>145599.85440000001</v>
      </c>
      <c r="I160">
        <v>3333.33</v>
      </c>
      <c r="J160">
        <v>159999.84</v>
      </c>
      <c r="K160">
        <v>3648.65</v>
      </c>
      <c r="L160">
        <v>175135.2</v>
      </c>
      <c r="M160">
        <v>45616</v>
      </c>
      <c r="O160" t="s">
        <v>326</v>
      </c>
      <c r="P160" t="s">
        <v>127</v>
      </c>
      <c r="Q160" t="s">
        <v>140</v>
      </c>
      <c r="R160" t="s">
        <v>2446</v>
      </c>
      <c r="S160" t="s">
        <v>2444</v>
      </c>
      <c r="T160" t="s">
        <v>2445</v>
      </c>
      <c r="U160">
        <v>48</v>
      </c>
      <c r="V160" t="s">
        <v>1021</v>
      </c>
      <c r="W160" t="s">
        <v>141</v>
      </c>
      <c r="X160" t="s">
        <v>142</v>
      </c>
      <c r="Y160">
        <v>11611</v>
      </c>
      <c r="Z160">
        <v>11612</v>
      </c>
      <c r="AA160" t="s">
        <v>1025</v>
      </c>
      <c r="AB160">
        <v>1</v>
      </c>
    </row>
    <row r="161" spans="1:28">
      <c r="A161">
        <v>1</v>
      </c>
      <c r="B161" t="s">
        <v>431</v>
      </c>
      <c r="C161" t="s">
        <v>2242</v>
      </c>
      <c r="D161" t="s">
        <v>2243</v>
      </c>
      <c r="E161" t="s">
        <v>2108</v>
      </c>
      <c r="F161" t="s">
        <v>2109</v>
      </c>
      <c r="G161">
        <v>60584.684684684675</v>
      </c>
      <c r="H161">
        <v>363508.10810810805</v>
      </c>
      <c r="I161">
        <v>66576.576576576568</v>
      </c>
      <c r="J161">
        <v>399459.45945945941</v>
      </c>
      <c r="K161">
        <v>73558.55855855855</v>
      </c>
      <c r="L161">
        <v>441351.3513513513</v>
      </c>
      <c r="M161">
        <v>45616</v>
      </c>
      <c r="O161" t="s">
        <v>326</v>
      </c>
      <c r="P161" t="s">
        <v>127</v>
      </c>
      <c r="Q161" t="s">
        <v>140</v>
      </c>
      <c r="R161" t="s">
        <v>2446</v>
      </c>
      <c r="S161" t="s">
        <v>2444</v>
      </c>
      <c r="T161" t="s">
        <v>2445</v>
      </c>
      <c r="U161">
        <v>6</v>
      </c>
      <c r="V161" t="s">
        <v>360</v>
      </c>
      <c r="W161" t="s">
        <v>141</v>
      </c>
      <c r="X161" t="s">
        <v>142</v>
      </c>
      <c r="Y161">
        <v>11611</v>
      </c>
      <c r="Z161">
        <v>11612</v>
      </c>
      <c r="AA161" t="s">
        <v>1025</v>
      </c>
      <c r="AB161">
        <v>1</v>
      </c>
    </row>
    <row r="162" spans="1:28">
      <c r="A162">
        <v>1</v>
      </c>
      <c r="B162" t="s">
        <v>437</v>
      </c>
      <c r="C162" t="s">
        <v>2244</v>
      </c>
      <c r="D162" t="s">
        <v>2245</v>
      </c>
      <c r="E162" t="s">
        <v>2112</v>
      </c>
      <c r="F162" t="s">
        <v>2113</v>
      </c>
      <c r="G162">
        <v>19317.006799999999</v>
      </c>
      <c r="H162">
        <v>927216.3263999999</v>
      </c>
      <c r="I162">
        <v>21227.48</v>
      </c>
      <c r="J162">
        <v>1018919.04</v>
      </c>
      <c r="K162">
        <v>22850.98</v>
      </c>
      <c r="L162">
        <v>1096847.04</v>
      </c>
      <c r="M162">
        <v>45616</v>
      </c>
      <c r="O162" t="s">
        <v>326</v>
      </c>
      <c r="P162" t="s">
        <v>127</v>
      </c>
      <c r="Q162" t="s">
        <v>140</v>
      </c>
      <c r="R162" t="s">
        <v>2446</v>
      </c>
      <c r="S162" t="s">
        <v>2444</v>
      </c>
      <c r="T162" t="s">
        <v>2445</v>
      </c>
      <c r="U162">
        <v>48</v>
      </c>
      <c r="V162" t="s">
        <v>357</v>
      </c>
      <c r="W162" t="s">
        <v>141</v>
      </c>
      <c r="X162" t="s">
        <v>142</v>
      </c>
      <c r="Y162">
        <v>11611</v>
      </c>
      <c r="Z162">
        <v>11612</v>
      </c>
      <c r="AA162" t="s">
        <v>1025</v>
      </c>
      <c r="AB162">
        <v>1</v>
      </c>
    </row>
    <row r="163" spans="1:28">
      <c r="A163">
        <v>1</v>
      </c>
      <c r="B163" t="s">
        <v>421</v>
      </c>
      <c r="C163" t="s">
        <v>2232</v>
      </c>
      <c r="D163" t="s">
        <v>2233</v>
      </c>
      <c r="E163" t="s">
        <v>2114</v>
      </c>
      <c r="F163" t="s">
        <v>2115</v>
      </c>
      <c r="G163">
        <v>2607.4866999999999</v>
      </c>
      <c r="H163">
        <v>93869.521200000003</v>
      </c>
      <c r="I163">
        <v>2865.37</v>
      </c>
      <c r="J163">
        <v>103153.31999999999</v>
      </c>
      <c r="K163">
        <v>3160.66</v>
      </c>
      <c r="L163">
        <v>113783.76</v>
      </c>
      <c r="M163">
        <v>45616</v>
      </c>
      <c r="O163" t="s">
        <v>326</v>
      </c>
      <c r="P163" t="s">
        <v>127</v>
      </c>
      <c r="Q163" t="s">
        <v>140</v>
      </c>
      <c r="R163" t="s">
        <v>2446</v>
      </c>
      <c r="S163" t="s">
        <v>2444</v>
      </c>
      <c r="T163" t="s">
        <v>2445</v>
      </c>
      <c r="U163">
        <v>36</v>
      </c>
      <c r="V163" t="s">
        <v>356</v>
      </c>
      <c r="W163" t="s">
        <v>141</v>
      </c>
      <c r="X163" t="s">
        <v>142</v>
      </c>
      <c r="Y163">
        <v>11611</v>
      </c>
      <c r="Z163">
        <v>11612</v>
      </c>
      <c r="AA163" t="s">
        <v>1025</v>
      </c>
      <c r="AB163">
        <v>1</v>
      </c>
    </row>
    <row r="164" spans="1:28">
      <c r="A164">
        <v>1</v>
      </c>
      <c r="B164" t="s">
        <v>423</v>
      </c>
      <c r="C164" t="s">
        <v>2232</v>
      </c>
      <c r="D164" t="s">
        <v>2233</v>
      </c>
      <c r="E164" t="s">
        <v>2116</v>
      </c>
      <c r="F164" t="s">
        <v>2117</v>
      </c>
      <c r="G164">
        <v>8728.8019000000004</v>
      </c>
      <c r="H164">
        <v>314236.86840000004</v>
      </c>
      <c r="I164">
        <v>9592.09</v>
      </c>
      <c r="J164">
        <v>345315.24</v>
      </c>
      <c r="K164">
        <v>10753.25</v>
      </c>
      <c r="L164">
        <v>387117</v>
      </c>
      <c r="M164">
        <v>45616</v>
      </c>
      <c r="O164" t="s">
        <v>326</v>
      </c>
      <c r="P164" t="s">
        <v>127</v>
      </c>
      <c r="Q164" t="s">
        <v>140</v>
      </c>
      <c r="R164" t="s">
        <v>2446</v>
      </c>
      <c r="S164" t="s">
        <v>2444</v>
      </c>
      <c r="T164" t="s">
        <v>2445</v>
      </c>
      <c r="U164">
        <v>36</v>
      </c>
      <c r="V164" t="s">
        <v>357</v>
      </c>
      <c r="W164" t="s">
        <v>141</v>
      </c>
      <c r="X164" t="s">
        <v>142</v>
      </c>
      <c r="Y164">
        <v>11611</v>
      </c>
      <c r="Z164">
        <v>11612</v>
      </c>
      <c r="AA164" t="s">
        <v>1025</v>
      </c>
      <c r="AB164">
        <v>1</v>
      </c>
    </row>
    <row r="165" spans="1:28">
      <c r="A165">
        <v>1</v>
      </c>
      <c r="B165" t="s">
        <v>424</v>
      </c>
      <c r="C165" t="s">
        <v>2232</v>
      </c>
      <c r="D165" t="s">
        <v>2233</v>
      </c>
      <c r="E165" t="s">
        <v>2118</v>
      </c>
      <c r="F165" t="s">
        <v>2119</v>
      </c>
      <c r="G165">
        <v>8728.8019000000004</v>
      </c>
      <c r="H165">
        <v>314236.86840000004</v>
      </c>
      <c r="I165">
        <v>9592.09</v>
      </c>
      <c r="J165">
        <v>345315.24</v>
      </c>
      <c r="K165">
        <v>10753.25</v>
      </c>
      <c r="L165">
        <v>387117</v>
      </c>
      <c r="M165">
        <v>45616</v>
      </c>
      <c r="O165" t="s">
        <v>326</v>
      </c>
      <c r="P165" t="s">
        <v>127</v>
      </c>
      <c r="Q165" t="s">
        <v>140</v>
      </c>
      <c r="R165" t="s">
        <v>2446</v>
      </c>
      <c r="S165" t="s">
        <v>2444</v>
      </c>
      <c r="T165" t="s">
        <v>2445</v>
      </c>
      <c r="U165">
        <v>36</v>
      </c>
      <c r="V165" t="s">
        <v>357</v>
      </c>
      <c r="W165" t="s">
        <v>141</v>
      </c>
      <c r="X165" t="s">
        <v>142</v>
      </c>
      <c r="Y165">
        <v>11611</v>
      </c>
      <c r="Z165">
        <v>11612</v>
      </c>
      <c r="AA165" t="s">
        <v>1025</v>
      </c>
      <c r="AB165">
        <v>1</v>
      </c>
    </row>
    <row r="166" spans="1:28">
      <c r="A166">
        <v>1</v>
      </c>
      <c r="B166" t="s">
        <v>425</v>
      </c>
      <c r="C166" t="s">
        <v>2232</v>
      </c>
      <c r="D166" t="s">
        <v>2233</v>
      </c>
      <c r="E166" t="s">
        <v>2120</v>
      </c>
      <c r="F166" t="s">
        <v>2121</v>
      </c>
      <c r="G166">
        <v>20188.058799999999</v>
      </c>
      <c r="H166">
        <v>242256.70559999999</v>
      </c>
      <c r="I166">
        <v>22184.68</v>
      </c>
      <c r="J166">
        <v>266216.16000000003</v>
      </c>
      <c r="K166">
        <v>25075.08</v>
      </c>
      <c r="L166">
        <v>300900.96000000002</v>
      </c>
      <c r="M166">
        <v>45616</v>
      </c>
      <c r="O166" t="s">
        <v>326</v>
      </c>
      <c r="P166" t="s">
        <v>127</v>
      </c>
      <c r="Q166" t="s">
        <v>140</v>
      </c>
      <c r="R166" t="s">
        <v>2446</v>
      </c>
      <c r="S166" t="s">
        <v>2444</v>
      </c>
      <c r="T166" t="s">
        <v>2445</v>
      </c>
      <c r="U166">
        <v>12</v>
      </c>
      <c r="V166" t="s">
        <v>356</v>
      </c>
      <c r="W166" t="s">
        <v>141</v>
      </c>
      <c r="X166" t="s">
        <v>142</v>
      </c>
      <c r="Y166">
        <v>11611</v>
      </c>
      <c r="Z166">
        <v>11612</v>
      </c>
      <c r="AA166" t="s">
        <v>1025</v>
      </c>
      <c r="AB166">
        <v>1</v>
      </c>
    </row>
    <row r="167" spans="1:28">
      <c r="A167">
        <v>1</v>
      </c>
      <c r="B167" t="s">
        <v>426</v>
      </c>
      <c r="C167" t="s">
        <v>2232</v>
      </c>
      <c r="D167" t="s">
        <v>2233</v>
      </c>
      <c r="E167" t="s">
        <v>2122</v>
      </c>
      <c r="F167" t="s">
        <v>2123</v>
      </c>
      <c r="G167">
        <v>20188.058799999999</v>
      </c>
      <c r="H167">
        <v>242256.70559999999</v>
      </c>
      <c r="I167">
        <v>22184.68</v>
      </c>
      <c r="J167">
        <v>266216.16000000003</v>
      </c>
      <c r="K167">
        <v>25075.08</v>
      </c>
      <c r="L167">
        <v>300900.96000000002</v>
      </c>
      <c r="M167">
        <v>45616</v>
      </c>
      <c r="O167" t="s">
        <v>326</v>
      </c>
      <c r="P167" t="s">
        <v>127</v>
      </c>
      <c r="Q167" t="s">
        <v>140</v>
      </c>
      <c r="R167" t="s">
        <v>2446</v>
      </c>
      <c r="S167" t="s">
        <v>2444</v>
      </c>
      <c r="T167" t="s">
        <v>2445</v>
      </c>
      <c r="U167">
        <v>12</v>
      </c>
      <c r="V167" t="s">
        <v>356</v>
      </c>
      <c r="W167" t="s">
        <v>141</v>
      </c>
      <c r="X167" t="s">
        <v>142</v>
      </c>
      <c r="Y167">
        <v>11611</v>
      </c>
      <c r="Z167">
        <v>11612</v>
      </c>
      <c r="AA167" t="s">
        <v>1025</v>
      </c>
      <c r="AB167">
        <v>1</v>
      </c>
    </row>
    <row r="168" spans="1:28">
      <c r="A168">
        <v>1</v>
      </c>
      <c r="B168" t="s">
        <v>436</v>
      </c>
      <c r="C168" t="s">
        <v>2244</v>
      </c>
      <c r="D168" t="s">
        <v>2245</v>
      </c>
      <c r="E168" t="s">
        <v>2110</v>
      </c>
      <c r="F168" t="s">
        <v>2111</v>
      </c>
      <c r="G168">
        <v>9658.5033999999996</v>
      </c>
      <c r="H168">
        <v>927216.3263999999</v>
      </c>
      <c r="I168">
        <v>10613.74</v>
      </c>
      <c r="J168">
        <v>1018919.04</v>
      </c>
      <c r="K168">
        <v>11425.49</v>
      </c>
      <c r="L168">
        <v>1096847.04</v>
      </c>
      <c r="M168">
        <v>45616</v>
      </c>
      <c r="O168" t="s">
        <v>326</v>
      </c>
      <c r="P168" t="s">
        <v>127</v>
      </c>
      <c r="Q168" t="s">
        <v>140</v>
      </c>
      <c r="R168" t="s">
        <v>2446</v>
      </c>
      <c r="S168" t="s">
        <v>2444</v>
      </c>
      <c r="T168" t="s">
        <v>2445</v>
      </c>
      <c r="U168">
        <v>96</v>
      </c>
      <c r="V168" t="s">
        <v>357</v>
      </c>
      <c r="W168" t="s">
        <v>141</v>
      </c>
      <c r="X168" t="s">
        <v>142</v>
      </c>
      <c r="Y168">
        <v>11611</v>
      </c>
      <c r="Z168">
        <v>11612</v>
      </c>
      <c r="AA168" t="s">
        <v>1025</v>
      </c>
      <c r="AB168">
        <v>1</v>
      </c>
    </row>
    <row r="169" spans="1:28">
      <c r="A169">
        <v>1</v>
      </c>
      <c r="B169" t="s">
        <v>377</v>
      </c>
      <c r="C169" t="s">
        <v>2222</v>
      </c>
      <c r="D169" t="s">
        <v>2223</v>
      </c>
      <c r="E169" t="s">
        <v>2048</v>
      </c>
      <c r="F169" t="s">
        <v>2049</v>
      </c>
      <c r="G169">
        <v>3033.3303000000001</v>
      </c>
      <c r="H169">
        <v>145599.85440000001</v>
      </c>
      <c r="I169">
        <v>3333.33</v>
      </c>
      <c r="J169">
        <v>159999.84</v>
      </c>
      <c r="K169">
        <v>3648.65</v>
      </c>
      <c r="L169">
        <v>175135.2</v>
      </c>
      <c r="M169">
        <v>45616</v>
      </c>
      <c r="O169" t="s">
        <v>326</v>
      </c>
      <c r="P169" t="s">
        <v>127</v>
      </c>
      <c r="Q169" t="s">
        <v>140</v>
      </c>
      <c r="R169" t="s">
        <v>2446</v>
      </c>
      <c r="S169" t="s">
        <v>2444</v>
      </c>
      <c r="T169" t="s">
        <v>2445</v>
      </c>
      <c r="U169">
        <v>48</v>
      </c>
      <c r="V169" t="s">
        <v>1021</v>
      </c>
      <c r="W169" t="s">
        <v>141</v>
      </c>
      <c r="X169" t="s">
        <v>142</v>
      </c>
      <c r="Y169">
        <v>11611</v>
      </c>
      <c r="Z169">
        <v>11612</v>
      </c>
      <c r="AA169" t="s">
        <v>1025</v>
      </c>
      <c r="AB169">
        <v>1</v>
      </c>
    </row>
    <row r="170" spans="1:28">
      <c r="A170">
        <v>1</v>
      </c>
      <c r="B170" t="s">
        <v>375</v>
      </c>
      <c r="C170" t="s">
        <v>2222</v>
      </c>
      <c r="D170" t="s">
        <v>2223</v>
      </c>
      <c r="E170" t="s">
        <v>2046</v>
      </c>
      <c r="F170" t="s">
        <v>2047</v>
      </c>
      <c r="G170">
        <v>0</v>
      </c>
      <c r="H170">
        <v>0</v>
      </c>
      <c r="I170">
        <v>12252.252252252252</v>
      </c>
      <c r="J170">
        <v>441081.08108108107</v>
      </c>
      <c r="K170">
        <v>0</v>
      </c>
      <c r="L170">
        <v>0</v>
      </c>
      <c r="M170">
        <v>45616</v>
      </c>
      <c r="O170" t="s">
        <v>326</v>
      </c>
      <c r="P170" t="s">
        <v>127</v>
      </c>
      <c r="Q170" t="s">
        <v>140</v>
      </c>
      <c r="R170" t="s">
        <v>2446</v>
      </c>
      <c r="S170" t="s">
        <v>2444</v>
      </c>
      <c r="T170" t="s">
        <v>2445</v>
      </c>
      <c r="U170">
        <v>36</v>
      </c>
      <c r="V170" t="s">
        <v>1021</v>
      </c>
      <c r="W170" t="s">
        <v>141</v>
      </c>
      <c r="X170" t="s">
        <v>142</v>
      </c>
      <c r="Y170">
        <v>11611</v>
      </c>
      <c r="Z170">
        <v>11612</v>
      </c>
      <c r="AA170" t="s">
        <v>1025</v>
      </c>
      <c r="AB170">
        <v>1</v>
      </c>
    </row>
    <row r="171" spans="1:28">
      <c r="A171">
        <v>1</v>
      </c>
      <c r="B171" t="s">
        <v>373</v>
      </c>
      <c r="C171" t="s">
        <v>2222</v>
      </c>
      <c r="D171" t="s">
        <v>2223</v>
      </c>
      <c r="E171" t="s">
        <v>2044</v>
      </c>
      <c r="F171" t="s">
        <v>2045</v>
      </c>
      <c r="G171">
        <v>11149.547500000001</v>
      </c>
      <c r="H171">
        <v>401383.71</v>
      </c>
      <c r="I171">
        <v>12252.25</v>
      </c>
      <c r="J171">
        <v>441081</v>
      </c>
      <c r="K171">
        <v>13018.02</v>
      </c>
      <c r="L171">
        <v>468648.72000000003</v>
      </c>
      <c r="M171">
        <v>45616</v>
      </c>
      <c r="O171" t="s">
        <v>326</v>
      </c>
      <c r="P171" t="s">
        <v>127</v>
      </c>
      <c r="Q171" t="s">
        <v>140</v>
      </c>
      <c r="R171" t="s">
        <v>2446</v>
      </c>
      <c r="S171" t="s">
        <v>2444</v>
      </c>
      <c r="T171" t="s">
        <v>2445</v>
      </c>
      <c r="U171">
        <v>36</v>
      </c>
      <c r="V171" t="s">
        <v>1021</v>
      </c>
      <c r="W171" t="s">
        <v>141</v>
      </c>
      <c r="X171" t="s">
        <v>142</v>
      </c>
      <c r="Y171">
        <v>11611</v>
      </c>
      <c r="Z171">
        <v>11612</v>
      </c>
      <c r="AA171" t="s">
        <v>1025</v>
      </c>
      <c r="AB171">
        <v>1</v>
      </c>
    </row>
    <row r="172" spans="1:28">
      <c r="A172">
        <v>1</v>
      </c>
      <c r="B172" t="s">
        <v>1036</v>
      </c>
      <c r="C172" t="s">
        <v>2226</v>
      </c>
      <c r="D172" t="s">
        <v>2227</v>
      </c>
      <c r="E172" t="s">
        <v>2022</v>
      </c>
      <c r="F172" t="s">
        <v>2023</v>
      </c>
      <c r="G172">
        <v>9018.0179736111113</v>
      </c>
      <c r="H172">
        <v>649297.29410000006</v>
      </c>
      <c r="I172">
        <v>9909.9098611111112</v>
      </c>
      <c r="J172">
        <v>713513.51</v>
      </c>
      <c r="K172">
        <v>10900.900900900901</v>
      </c>
      <c r="L172">
        <v>784864.86486486485</v>
      </c>
      <c r="M172">
        <v>45616</v>
      </c>
      <c r="O172" t="s">
        <v>326</v>
      </c>
      <c r="P172" t="s">
        <v>127</v>
      </c>
      <c r="Q172" t="s">
        <v>140</v>
      </c>
      <c r="R172" t="s">
        <v>2446</v>
      </c>
      <c r="S172" t="s">
        <v>2444</v>
      </c>
      <c r="T172" t="s">
        <v>2445</v>
      </c>
      <c r="U172">
        <v>72</v>
      </c>
      <c r="V172" t="s">
        <v>1023</v>
      </c>
      <c r="W172" t="s">
        <v>141</v>
      </c>
      <c r="X172" t="s">
        <v>142</v>
      </c>
      <c r="Y172">
        <v>11611</v>
      </c>
      <c r="Z172">
        <v>11612</v>
      </c>
      <c r="AA172" t="s">
        <v>1025</v>
      </c>
      <c r="AB172">
        <v>1</v>
      </c>
    </row>
    <row r="173" spans="1:28">
      <c r="A173">
        <v>1</v>
      </c>
      <c r="B173" t="s">
        <v>1035</v>
      </c>
      <c r="C173" t="s">
        <v>2226</v>
      </c>
      <c r="D173" t="s">
        <v>2227</v>
      </c>
      <c r="E173" t="s">
        <v>2024</v>
      </c>
      <c r="F173" t="s">
        <v>2025</v>
      </c>
      <c r="G173">
        <v>9018.0179736111113</v>
      </c>
      <c r="H173">
        <v>649297.29410000006</v>
      </c>
      <c r="I173">
        <v>9909.9098611111112</v>
      </c>
      <c r="J173">
        <v>713513.51</v>
      </c>
      <c r="K173">
        <v>10900.900900900901</v>
      </c>
      <c r="L173">
        <v>784864.86486486485</v>
      </c>
      <c r="M173">
        <v>45616</v>
      </c>
      <c r="O173" t="s">
        <v>326</v>
      </c>
      <c r="P173" t="s">
        <v>127</v>
      </c>
      <c r="Q173" t="s">
        <v>140</v>
      </c>
      <c r="R173" t="s">
        <v>2446</v>
      </c>
      <c r="S173" t="s">
        <v>2444</v>
      </c>
      <c r="T173" t="s">
        <v>2445</v>
      </c>
      <c r="U173">
        <v>72</v>
      </c>
      <c r="V173" t="s">
        <v>1023</v>
      </c>
      <c r="W173" t="s">
        <v>141</v>
      </c>
      <c r="X173" t="s">
        <v>142</v>
      </c>
      <c r="Y173">
        <v>11611</v>
      </c>
      <c r="Z173">
        <v>11612</v>
      </c>
      <c r="AA173" t="s">
        <v>1025</v>
      </c>
      <c r="AB173">
        <v>1</v>
      </c>
    </row>
    <row r="174" spans="1:28">
      <c r="A174">
        <v>1</v>
      </c>
      <c r="B174" t="s">
        <v>362</v>
      </c>
      <c r="C174" t="s">
        <v>2228</v>
      </c>
      <c r="D174" t="s">
        <v>2229</v>
      </c>
      <c r="E174" t="s">
        <v>2026</v>
      </c>
      <c r="F174" t="s">
        <v>2424</v>
      </c>
      <c r="G174">
        <v>6771.7103999999999</v>
      </c>
      <c r="H174">
        <v>487563.14879999997</v>
      </c>
      <c r="I174">
        <v>7441.44</v>
      </c>
      <c r="J174">
        <v>535783.67999999993</v>
      </c>
      <c r="K174">
        <v>8018.02</v>
      </c>
      <c r="L174">
        <v>577297.44000000006</v>
      </c>
      <c r="M174">
        <v>45616</v>
      </c>
      <c r="O174" t="s">
        <v>326</v>
      </c>
      <c r="P174" t="s">
        <v>127</v>
      </c>
      <c r="Q174" t="s">
        <v>140</v>
      </c>
      <c r="R174" t="s">
        <v>2446</v>
      </c>
      <c r="S174" t="s">
        <v>2444</v>
      </c>
      <c r="T174" t="s">
        <v>2445</v>
      </c>
      <c r="U174">
        <v>72</v>
      </c>
      <c r="V174" t="s">
        <v>1024</v>
      </c>
      <c r="W174" t="s">
        <v>141</v>
      </c>
      <c r="X174" t="s">
        <v>142</v>
      </c>
      <c r="Y174">
        <v>11611</v>
      </c>
      <c r="Z174">
        <v>11612</v>
      </c>
      <c r="AA174" t="s">
        <v>1025</v>
      </c>
      <c r="AB174">
        <v>1</v>
      </c>
    </row>
    <row r="175" spans="1:28">
      <c r="A175">
        <v>1</v>
      </c>
      <c r="B175" t="s">
        <v>363</v>
      </c>
      <c r="C175" t="s">
        <v>2228</v>
      </c>
      <c r="D175" t="s">
        <v>2229</v>
      </c>
      <c r="E175" t="s">
        <v>2027</v>
      </c>
      <c r="F175" t="s">
        <v>2028</v>
      </c>
      <c r="G175">
        <v>34292.376300000004</v>
      </c>
      <c r="H175">
        <v>823017.03120000008</v>
      </c>
      <c r="I175">
        <v>37683.93</v>
      </c>
      <c r="J175">
        <v>904414.32000000007</v>
      </c>
      <c r="K175">
        <v>40679.43</v>
      </c>
      <c r="L175">
        <v>976306.32000000007</v>
      </c>
      <c r="M175">
        <v>45616</v>
      </c>
      <c r="O175" t="s">
        <v>326</v>
      </c>
      <c r="P175" t="s">
        <v>127</v>
      </c>
      <c r="Q175" t="s">
        <v>140</v>
      </c>
      <c r="R175" t="s">
        <v>2446</v>
      </c>
      <c r="S175" t="s">
        <v>2444</v>
      </c>
      <c r="T175" t="s">
        <v>2445</v>
      </c>
      <c r="U175">
        <v>24</v>
      </c>
      <c r="V175" t="s">
        <v>1019</v>
      </c>
      <c r="W175" t="s">
        <v>141</v>
      </c>
      <c r="X175" t="s">
        <v>142</v>
      </c>
      <c r="Y175">
        <v>11611</v>
      </c>
      <c r="Z175">
        <v>11612</v>
      </c>
      <c r="AA175" t="s">
        <v>1025</v>
      </c>
      <c r="AB175">
        <v>1</v>
      </c>
    </row>
    <row r="176" spans="1:28">
      <c r="A176">
        <v>1</v>
      </c>
      <c r="B176" t="s">
        <v>1040</v>
      </c>
      <c r="C176" t="s">
        <v>2228</v>
      </c>
      <c r="D176" t="s">
        <v>2229</v>
      </c>
      <c r="E176" t="s">
        <v>2029</v>
      </c>
      <c r="F176" t="s">
        <v>2030</v>
      </c>
      <c r="G176">
        <v>6771.7116638888892</v>
      </c>
      <c r="H176">
        <v>487563.23980000004</v>
      </c>
      <c r="I176">
        <v>7441.4413888888894</v>
      </c>
      <c r="J176">
        <v>535783.78</v>
      </c>
      <c r="K176">
        <v>8018.0180180180178</v>
      </c>
      <c r="L176">
        <v>577297.29729729728</v>
      </c>
      <c r="M176">
        <v>45616</v>
      </c>
      <c r="O176" t="s">
        <v>326</v>
      </c>
      <c r="P176" t="s">
        <v>127</v>
      </c>
      <c r="Q176" t="s">
        <v>140</v>
      </c>
      <c r="R176" t="s">
        <v>2446</v>
      </c>
      <c r="S176" t="s">
        <v>2444</v>
      </c>
      <c r="T176" t="s">
        <v>2445</v>
      </c>
      <c r="U176">
        <v>72</v>
      </c>
      <c r="V176" t="s">
        <v>1024</v>
      </c>
      <c r="W176" t="s">
        <v>141</v>
      </c>
      <c r="X176" t="s">
        <v>142</v>
      </c>
      <c r="Y176">
        <v>11611</v>
      </c>
      <c r="Z176">
        <v>11612</v>
      </c>
      <c r="AA176" t="s">
        <v>1025</v>
      </c>
      <c r="AB176">
        <v>1</v>
      </c>
    </row>
    <row r="177" spans="1:28">
      <c r="A177">
        <v>1</v>
      </c>
      <c r="B177" t="s">
        <v>2436</v>
      </c>
      <c r="C177" t="s">
        <v>2228</v>
      </c>
      <c r="D177" t="s">
        <v>2229</v>
      </c>
      <c r="E177" t="s">
        <v>2440</v>
      </c>
      <c r="F177" t="s">
        <v>2442</v>
      </c>
      <c r="G177">
        <v>73496.846846846835</v>
      </c>
      <c r="H177">
        <v>881962.16216216201</v>
      </c>
      <c r="I177">
        <v>80765.765765765755</v>
      </c>
      <c r="J177">
        <v>969189.18918918911</v>
      </c>
      <c r="K177">
        <v>80765.765765765755</v>
      </c>
      <c r="L177">
        <v>969189.18918918911</v>
      </c>
      <c r="M177">
        <v>45616</v>
      </c>
      <c r="O177" t="s">
        <v>326</v>
      </c>
      <c r="P177" t="s">
        <v>127</v>
      </c>
      <c r="Q177" t="s">
        <v>140</v>
      </c>
      <c r="R177" t="s">
        <v>2446</v>
      </c>
      <c r="S177" t="s">
        <v>2444</v>
      </c>
      <c r="T177" t="s">
        <v>2445</v>
      </c>
      <c r="U177">
        <v>12</v>
      </c>
      <c r="V177" t="s">
        <v>2433</v>
      </c>
      <c r="W177" t="s">
        <v>141</v>
      </c>
      <c r="X177" t="s">
        <v>142</v>
      </c>
      <c r="Y177">
        <v>11611</v>
      </c>
      <c r="Z177">
        <v>11612</v>
      </c>
      <c r="AA177" t="s">
        <v>1025</v>
      </c>
      <c r="AB177">
        <v>1</v>
      </c>
    </row>
    <row r="178" spans="1:28">
      <c r="A178">
        <v>1</v>
      </c>
      <c r="B178" t="s">
        <v>364</v>
      </c>
      <c r="C178" t="s">
        <v>2228</v>
      </c>
      <c r="D178" t="s">
        <v>2229</v>
      </c>
      <c r="E178" t="s">
        <v>2031</v>
      </c>
      <c r="F178" t="s">
        <v>2032</v>
      </c>
      <c r="G178">
        <v>6771.7103999999999</v>
      </c>
      <c r="H178">
        <v>487563.14879999997</v>
      </c>
      <c r="I178">
        <v>7441.44</v>
      </c>
      <c r="J178">
        <v>535783.67999999993</v>
      </c>
      <c r="K178">
        <v>8018.02</v>
      </c>
      <c r="L178">
        <v>577297.44000000006</v>
      </c>
      <c r="M178">
        <v>45616</v>
      </c>
      <c r="O178" t="s">
        <v>326</v>
      </c>
      <c r="P178" t="s">
        <v>127</v>
      </c>
      <c r="Q178" t="s">
        <v>140</v>
      </c>
      <c r="R178" t="s">
        <v>2446</v>
      </c>
      <c r="S178" t="s">
        <v>2444</v>
      </c>
      <c r="T178" t="s">
        <v>2445</v>
      </c>
      <c r="U178">
        <v>72</v>
      </c>
      <c r="V178" t="s">
        <v>1024</v>
      </c>
      <c r="W178" t="s">
        <v>141</v>
      </c>
      <c r="X178" t="s">
        <v>142</v>
      </c>
      <c r="Y178">
        <v>11611</v>
      </c>
      <c r="Z178">
        <v>11612</v>
      </c>
      <c r="AA178" t="s">
        <v>1025</v>
      </c>
      <c r="AB178">
        <v>1</v>
      </c>
    </row>
    <row r="179" spans="1:28">
      <c r="A179">
        <v>1</v>
      </c>
      <c r="B179" t="s">
        <v>365</v>
      </c>
      <c r="C179" t="s">
        <v>2228</v>
      </c>
      <c r="D179" t="s">
        <v>2229</v>
      </c>
      <c r="E179" t="s">
        <v>2033</v>
      </c>
      <c r="F179" t="s">
        <v>2034</v>
      </c>
      <c r="G179">
        <v>34292.376300000004</v>
      </c>
      <c r="H179">
        <v>823017.03120000008</v>
      </c>
      <c r="I179">
        <v>37683.93</v>
      </c>
      <c r="J179">
        <v>904414.32000000007</v>
      </c>
      <c r="K179">
        <v>40679.43</v>
      </c>
      <c r="L179">
        <v>976306.32000000007</v>
      </c>
      <c r="M179">
        <v>45616</v>
      </c>
      <c r="O179" t="s">
        <v>326</v>
      </c>
      <c r="P179" t="s">
        <v>127</v>
      </c>
      <c r="Q179" t="s">
        <v>140</v>
      </c>
      <c r="R179" t="s">
        <v>2446</v>
      </c>
      <c r="S179" t="s">
        <v>2444</v>
      </c>
      <c r="T179" t="s">
        <v>2445</v>
      </c>
      <c r="U179">
        <v>24</v>
      </c>
      <c r="V179" t="s">
        <v>1019</v>
      </c>
      <c r="W179" t="s">
        <v>141</v>
      </c>
      <c r="X179" t="s">
        <v>142</v>
      </c>
      <c r="Y179">
        <v>11611</v>
      </c>
      <c r="Z179">
        <v>11612</v>
      </c>
      <c r="AA179" t="s">
        <v>1025</v>
      </c>
      <c r="AB179">
        <v>1</v>
      </c>
    </row>
    <row r="180" spans="1:28">
      <c r="A180">
        <v>1</v>
      </c>
      <c r="B180" t="s">
        <v>366</v>
      </c>
      <c r="C180" t="s">
        <v>2228</v>
      </c>
      <c r="D180" t="s">
        <v>2229</v>
      </c>
      <c r="E180" t="s">
        <v>2035</v>
      </c>
      <c r="F180" t="s">
        <v>2425</v>
      </c>
      <c r="G180">
        <v>14230.707399999999</v>
      </c>
      <c r="H180">
        <v>683073.95519999997</v>
      </c>
      <c r="I180">
        <v>15638.14</v>
      </c>
      <c r="J180">
        <v>750630.72</v>
      </c>
      <c r="K180">
        <v>16711.71</v>
      </c>
      <c r="L180">
        <v>802162.08</v>
      </c>
      <c r="M180">
        <v>45616</v>
      </c>
      <c r="O180" t="s">
        <v>326</v>
      </c>
      <c r="P180" t="s">
        <v>127</v>
      </c>
      <c r="Q180" t="s">
        <v>140</v>
      </c>
      <c r="R180" t="s">
        <v>2446</v>
      </c>
      <c r="S180" t="s">
        <v>2444</v>
      </c>
      <c r="T180" t="s">
        <v>2445</v>
      </c>
      <c r="U180">
        <v>48</v>
      </c>
      <c r="V180" t="s">
        <v>1020</v>
      </c>
      <c r="W180" t="s">
        <v>141</v>
      </c>
      <c r="X180" t="s">
        <v>142</v>
      </c>
      <c r="Y180">
        <v>11611</v>
      </c>
      <c r="Z180">
        <v>11612</v>
      </c>
      <c r="AA180" t="s">
        <v>1025</v>
      </c>
      <c r="AB180">
        <v>1</v>
      </c>
    </row>
    <row r="181" spans="1:28">
      <c r="A181">
        <v>1</v>
      </c>
      <c r="B181" t="s">
        <v>2434</v>
      </c>
      <c r="C181" t="s">
        <v>2228</v>
      </c>
      <c r="D181" t="s">
        <v>2229</v>
      </c>
      <c r="E181" t="s">
        <v>2435</v>
      </c>
      <c r="F181" t="s">
        <v>2443</v>
      </c>
      <c r="G181">
        <v>73496.85070000001</v>
      </c>
      <c r="H181">
        <v>881962.20840000012</v>
      </c>
      <c r="I181">
        <v>80765.77</v>
      </c>
      <c r="J181">
        <v>969189.24</v>
      </c>
      <c r="K181">
        <v>80765.77</v>
      </c>
      <c r="L181">
        <v>969189.24</v>
      </c>
      <c r="M181">
        <v>45616</v>
      </c>
      <c r="O181" t="s">
        <v>326</v>
      </c>
      <c r="P181" t="s">
        <v>127</v>
      </c>
      <c r="Q181" t="s">
        <v>140</v>
      </c>
      <c r="R181" t="s">
        <v>2446</v>
      </c>
      <c r="S181" t="s">
        <v>2444</v>
      </c>
      <c r="T181" t="s">
        <v>2445</v>
      </c>
      <c r="U181">
        <v>12</v>
      </c>
      <c r="V181" t="s">
        <v>2433</v>
      </c>
      <c r="W181" t="s">
        <v>141</v>
      </c>
      <c r="X181" t="s">
        <v>142</v>
      </c>
      <c r="Y181">
        <v>11611</v>
      </c>
      <c r="Z181">
        <v>11612</v>
      </c>
      <c r="AA181" t="s">
        <v>1025</v>
      </c>
      <c r="AB181">
        <v>1</v>
      </c>
    </row>
    <row r="182" spans="1:28">
      <c r="A182">
        <v>1</v>
      </c>
      <c r="B182" t="s">
        <v>367</v>
      </c>
      <c r="C182" t="s">
        <v>2228</v>
      </c>
      <c r="D182" t="s">
        <v>2229</v>
      </c>
      <c r="E182" t="s">
        <v>2036</v>
      </c>
      <c r="F182" t="s">
        <v>2426</v>
      </c>
      <c r="G182">
        <v>6771.7103999999999</v>
      </c>
      <c r="H182">
        <v>487563.14879999997</v>
      </c>
      <c r="I182">
        <v>7441.44</v>
      </c>
      <c r="J182">
        <v>535783.67999999993</v>
      </c>
      <c r="K182">
        <v>8018.02</v>
      </c>
      <c r="L182">
        <v>577297.44000000006</v>
      </c>
      <c r="M182">
        <v>45616</v>
      </c>
      <c r="O182" t="s">
        <v>326</v>
      </c>
      <c r="P182" t="s">
        <v>127</v>
      </c>
      <c r="Q182" t="s">
        <v>140</v>
      </c>
      <c r="R182" t="s">
        <v>2446</v>
      </c>
      <c r="S182" t="s">
        <v>2444</v>
      </c>
      <c r="T182" t="s">
        <v>2445</v>
      </c>
      <c r="U182">
        <v>72</v>
      </c>
      <c r="V182" t="s">
        <v>1024</v>
      </c>
      <c r="W182" t="s">
        <v>141</v>
      </c>
      <c r="X182" t="s">
        <v>142</v>
      </c>
      <c r="Y182">
        <v>11611</v>
      </c>
      <c r="Z182">
        <v>11612</v>
      </c>
      <c r="AA182" t="s">
        <v>1025</v>
      </c>
      <c r="AB182">
        <v>1</v>
      </c>
    </row>
    <row r="183" spans="1:28">
      <c r="A183">
        <v>1</v>
      </c>
      <c r="B183" t="s">
        <v>368</v>
      </c>
      <c r="C183" t="s">
        <v>2228</v>
      </c>
      <c r="D183" t="s">
        <v>2229</v>
      </c>
      <c r="E183" t="s">
        <v>2037</v>
      </c>
      <c r="F183" t="s">
        <v>2038</v>
      </c>
      <c r="G183">
        <v>34292.376300000004</v>
      </c>
      <c r="H183">
        <v>823017.03120000008</v>
      </c>
      <c r="I183">
        <v>37683.93</v>
      </c>
      <c r="J183">
        <v>904414.32000000007</v>
      </c>
      <c r="K183">
        <v>40679.43</v>
      </c>
      <c r="L183">
        <v>976306.32000000007</v>
      </c>
      <c r="M183">
        <v>45616</v>
      </c>
      <c r="O183" t="s">
        <v>326</v>
      </c>
      <c r="P183" t="s">
        <v>127</v>
      </c>
      <c r="Q183" t="s">
        <v>140</v>
      </c>
      <c r="R183" t="s">
        <v>2446</v>
      </c>
      <c r="S183" t="s">
        <v>2444</v>
      </c>
      <c r="T183" t="s">
        <v>2445</v>
      </c>
      <c r="U183">
        <v>24</v>
      </c>
      <c r="V183" t="s">
        <v>1019</v>
      </c>
      <c r="W183" t="s">
        <v>141</v>
      </c>
      <c r="X183" t="s">
        <v>142</v>
      </c>
      <c r="Y183">
        <v>11611</v>
      </c>
      <c r="Z183">
        <v>11612</v>
      </c>
      <c r="AA183" t="s">
        <v>1025</v>
      </c>
      <c r="AB183">
        <v>1</v>
      </c>
    </row>
    <row r="184" spans="1:28">
      <c r="A184">
        <v>1</v>
      </c>
      <c r="B184" t="s">
        <v>369</v>
      </c>
      <c r="C184" t="s">
        <v>2228</v>
      </c>
      <c r="D184" t="s">
        <v>2229</v>
      </c>
      <c r="E184" t="s">
        <v>2039</v>
      </c>
      <c r="F184" t="s">
        <v>2427</v>
      </c>
      <c r="G184">
        <v>14230.707399999999</v>
      </c>
      <c r="H184">
        <v>683073.95519999997</v>
      </c>
      <c r="I184">
        <v>15638.14</v>
      </c>
      <c r="J184">
        <v>750630.72</v>
      </c>
      <c r="K184">
        <v>16711.71</v>
      </c>
      <c r="L184">
        <v>802162.08</v>
      </c>
      <c r="M184">
        <v>45616</v>
      </c>
      <c r="O184" t="s">
        <v>326</v>
      </c>
      <c r="P184" t="s">
        <v>127</v>
      </c>
      <c r="Q184" t="s">
        <v>140</v>
      </c>
      <c r="R184" t="s">
        <v>2446</v>
      </c>
      <c r="S184" t="s">
        <v>2444</v>
      </c>
      <c r="T184" t="s">
        <v>2445</v>
      </c>
      <c r="U184">
        <v>48</v>
      </c>
      <c r="V184" t="s">
        <v>1020</v>
      </c>
      <c r="W184" t="s">
        <v>141</v>
      </c>
      <c r="X184" t="s">
        <v>142</v>
      </c>
      <c r="Y184">
        <v>11611</v>
      </c>
      <c r="Z184">
        <v>11612</v>
      </c>
      <c r="AA184" t="s">
        <v>1025</v>
      </c>
      <c r="AB184">
        <v>1</v>
      </c>
    </row>
    <row r="185" spans="1:28">
      <c r="A185">
        <v>1</v>
      </c>
      <c r="B185" t="s">
        <v>370</v>
      </c>
      <c r="C185" t="s">
        <v>2222</v>
      </c>
      <c r="D185" t="s">
        <v>2223</v>
      </c>
      <c r="E185" t="s">
        <v>2040</v>
      </c>
      <c r="F185" t="s">
        <v>2041</v>
      </c>
      <c r="G185">
        <v>6189.6379999999999</v>
      </c>
      <c r="H185">
        <v>297102.62400000001</v>
      </c>
      <c r="I185">
        <v>6801.8</v>
      </c>
      <c r="J185">
        <v>326486.40000000002</v>
      </c>
      <c r="K185">
        <v>7387.39</v>
      </c>
      <c r="L185">
        <v>354594.72000000003</v>
      </c>
      <c r="M185">
        <v>45616</v>
      </c>
      <c r="O185" t="s">
        <v>326</v>
      </c>
      <c r="P185" t="s">
        <v>127</v>
      </c>
      <c r="Q185" t="s">
        <v>140</v>
      </c>
      <c r="R185" t="s">
        <v>2446</v>
      </c>
      <c r="S185" t="s">
        <v>2444</v>
      </c>
      <c r="T185" t="s">
        <v>2445</v>
      </c>
      <c r="U185">
        <v>48</v>
      </c>
      <c r="V185" t="s">
        <v>1021</v>
      </c>
      <c r="W185" t="s">
        <v>141</v>
      </c>
      <c r="X185" t="s">
        <v>142</v>
      </c>
      <c r="Y185">
        <v>11611</v>
      </c>
      <c r="Z185">
        <v>11612</v>
      </c>
      <c r="AA185" t="s">
        <v>1025</v>
      </c>
      <c r="AB185">
        <v>1</v>
      </c>
    </row>
    <row r="186" spans="1:28">
      <c r="A186">
        <v>1</v>
      </c>
      <c r="B186" t="s">
        <v>371</v>
      </c>
      <c r="C186" t="s">
        <v>2222</v>
      </c>
      <c r="D186" t="s">
        <v>2223</v>
      </c>
      <c r="E186" t="s">
        <v>2042</v>
      </c>
      <c r="F186" t="s">
        <v>2043</v>
      </c>
      <c r="G186">
        <v>6189.6379999999999</v>
      </c>
      <c r="H186">
        <v>297102.62400000001</v>
      </c>
      <c r="I186">
        <v>6801.8</v>
      </c>
      <c r="J186">
        <v>326486.40000000002</v>
      </c>
      <c r="K186">
        <v>7387.39</v>
      </c>
      <c r="L186">
        <v>354594.72000000003</v>
      </c>
      <c r="M186">
        <v>45616</v>
      </c>
      <c r="O186" t="s">
        <v>326</v>
      </c>
      <c r="P186" t="s">
        <v>127</v>
      </c>
      <c r="Q186" t="s">
        <v>140</v>
      </c>
      <c r="R186" t="s">
        <v>2446</v>
      </c>
      <c r="S186" t="s">
        <v>2444</v>
      </c>
      <c r="T186" t="s">
        <v>2445</v>
      </c>
      <c r="U186">
        <v>48</v>
      </c>
      <c r="V186" t="s">
        <v>1021</v>
      </c>
      <c r="W186" t="s">
        <v>141</v>
      </c>
      <c r="X186" t="s">
        <v>142</v>
      </c>
      <c r="Y186">
        <v>11611</v>
      </c>
      <c r="Z186">
        <v>11612</v>
      </c>
      <c r="AA186" t="s">
        <v>1025</v>
      </c>
      <c r="AB186">
        <v>1</v>
      </c>
    </row>
    <row r="187" spans="1:28">
      <c r="A187">
        <v>1</v>
      </c>
      <c r="B187" t="s">
        <v>427</v>
      </c>
      <c r="C187" t="s">
        <v>2232</v>
      </c>
      <c r="D187" t="s">
        <v>2233</v>
      </c>
      <c r="E187" t="s">
        <v>2124</v>
      </c>
      <c r="F187" t="s">
        <v>2125</v>
      </c>
      <c r="G187">
        <v>20188.058799999999</v>
      </c>
      <c r="H187">
        <v>242256.70559999999</v>
      </c>
      <c r="I187">
        <v>22184.68</v>
      </c>
      <c r="J187">
        <v>266216.16000000003</v>
      </c>
      <c r="K187">
        <v>25075.08</v>
      </c>
      <c r="L187">
        <v>300900.96000000002</v>
      </c>
      <c r="M187">
        <v>45616</v>
      </c>
      <c r="O187" t="s">
        <v>326</v>
      </c>
      <c r="P187" t="s">
        <v>127</v>
      </c>
      <c r="Q187" t="s">
        <v>140</v>
      </c>
      <c r="R187" t="s">
        <v>2446</v>
      </c>
      <c r="S187" t="s">
        <v>2444</v>
      </c>
      <c r="T187" t="s">
        <v>2445</v>
      </c>
      <c r="U187">
        <v>12</v>
      </c>
      <c r="V187" t="s">
        <v>356</v>
      </c>
      <c r="W187" t="s">
        <v>141</v>
      </c>
      <c r="X187" t="s">
        <v>142</v>
      </c>
      <c r="Y187">
        <v>11611</v>
      </c>
      <c r="Z187">
        <v>11612</v>
      </c>
      <c r="AA187" t="s">
        <v>1025</v>
      </c>
      <c r="AB187">
        <v>1</v>
      </c>
    </row>
    <row r="188" spans="1:28">
      <c r="A188">
        <v>1</v>
      </c>
      <c r="B188" t="s">
        <v>428</v>
      </c>
      <c r="C188" t="s">
        <v>2232</v>
      </c>
      <c r="D188" t="s">
        <v>2233</v>
      </c>
      <c r="E188" t="s">
        <v>2126</v>
      </c>
      <c r="F188" t="s">
        <v>2127</v>
      </c>
      <c r="G188">
        <v>24943.018100000001</v>
      </c>
      <c r="H188">
        <v>299316.21720000001</v>
      </c>
      <c r="I188">
        <v>27409.91</v>
      </c>
      <c r="J188">
        <v>328918.92</v>
      </c>
      <c r="K188">
        <v>30855.86</v>
      </c>
      <c r="L188">
        <v>370270.32</v>
      </c>
      <c r="M188">
        <v>45616</v>
      </c>
      <c r="O188" t="s">
        <v>326</v>
      </c>
      <c r="P188" t="s">
        <v>127</v>
      </c>
      <c r="Q188" t="s">
        <v>140</v>
      </c>
      <c r="R188" t="s">
        <v>2446</v>
      </c>
      <c r="S188" t="s">
        <v>2444</v>
      </c>
      <c r="T188" t="s">
        <v>2445</v>
      </c>
      <c r="U188">
        <v>12</v>
      </c>
      <c r="V188" t="s">
        <v>357</v>
      </c>
      <c r="W188" t="s">
        <v>141</v>
      </c>
      <c r="X188" t="s">
        <v>142</v>
      </c>
      <c r="Y188">
        <v>11611</v>
      </c>
      <c r="Z188">
        <v>11612</v>
      </c>
      <c r="AA188" t="s">
        <v>1025</v>
      </c>
      <c r="AB188">
        <v>1</v>
      </c>
    </row>
    <row r="189" spans="1:28">
      <c r="A189">
        <v>1</v>
      </c>
      <c r="B189" t="s">
        <v>429</v>
      </c>
      <c r="C189" t="s">
        <v>2232</v>
      </c>
      <c r="D189" t="s">
        <v>2233</v>
      </c>
      <c r="E189" t="s">
        <v>2128</v>
      </c>
      <c r="F189" t="s">
        <v>2129</v>
      </c>
      <c r="G189">
        <v>35908.1086</v>
      </c>
      <c r="H189">
        <v>430897.30319999997</v>
      </c>
      <c r="I189">
        <v>39459.46</v>
      </c>
      <c r="J189">
        <v>473513.52</v>
      </c>
      <c r="K189">
        <v>44406.91</v>
      </c>
      <c r="L189">
        <v>532882.92000000004</v>
      </c>
      <c r="M189">
        <v>45616</v>
      </c>
      <c r="O189" t="s">
        <v>326</v>
      </c>
      <c r="P189" t="s">
        <v>127</v>
      </c>
      <c r="Q189" t="s">
        <v>140</v>
      </c>
      <c r="R189" t="s">
        <v>2446</v>
      </c>
      <c r="S189" t="s">
        <v>2444</v>
      </c>
      <c r="T189" t="s">
        <v>2445</v>
      </c>
      <c r="U189">
        <v>12</v>
      </c>
      <c r="V189" t="s">
        <v>356</v>
      </c>
      <c r="W189" t="s">
        <v>141</v>
      </c>
      <c r="X189" t="s">
        <v>142</v>
      </c>
      <c r="Y189">
        <v>11611</v>
      </c>
      <c r="Z189">
        <v>11612</v>
      </c>
      <c r="AA189" t="s">
        <v>1025</v>
      </c>
      <c r="AB189">
        <v>1</v>
      </c>
    </row>
    <row r="190" spans="1:28">
      <c r="A190">
        <v>1</v>
      </c>
      <c r="B190" t="s">
        <v>430</v>
      </c>
      <c r="C190" t="s">
        <v>2232</v>
      </c>
      <c r="D190" t="s">
        <v>2233</v>
      </c>
      <c r="E190" t="s">
        <v>2130</v>
      </c>
      <c r="F190" t="s">
        <v>2131</v>
      </c>
      <c r="G190">
        <v>35908.1086</v>
      </c>
      <c r="H190">
        <v>430897.30319999997</v>
      </c>
      <c r="I190">
        <v>39459.46</v>
      </c>
      <c r="J190">
        <v>473513.52</v>
      </c>
      <c r="K190">
        <v>44406.91</v>
      </c>
      <c r="L190">
        <v>532882.92000000004</v>
      </c>
      <c r="M190">
        <v>45616</v>
      </c>
      <c r="O190" t="s">
        <v>326</v>
      </c>
      <c r="P190" t="s">
        <v>127</v>
      </c>
      <c r="Q190" t="s">
        <v>140</v>
      </c>
      <c r="R190" t="s">
        <v>2446</v>
      </c>
      <c r="S190" t="s">
        <v>2444</v>
      </c>
      <c r="T190" t="s">
        <v>2445</v>
      </c>
      <c r="U190">
        <v>12</v>
      </c>
      <c r="V190" t="s">
        <v>356</v>
      </c>
      <c r="W190" t="s">
        <v>141</v>
      </c>
      <c r="X190" t="s">
        <v>142</v>
      </c>
      <c r="Y190">
        <v>11611</v>
      </c>
      <c r="Z190">
        <v>11612</v>
      </c>
      <c r="AA190" t="s">
        <v>1025</v>
      </c>
      <c r="AB190">
        <v>1</v>
      </c>
    </row>
    <row r="191" spans="1:28">
      <c r="A191">
        <v>1</v>
      </c>
      <c r="B191" t="s">
        <v>399</v>
      </c>
      <c r="C191" t="s">
        <v>2230</v>
      </c>
      <c r="D191" t="s">
        <v>2231</v>
      </c>
      <c r="E191" t="s">
        <v>2094</v>
      </c>
      <c r="F191" t="s">
        <v>2095</v>
      </c>
      <c r="G191">
        <v>13117.1131</v>
      </c>
      <c r="H191">
        <v>314810.7144</v>
      </c>
      <c r="I191">
        <v>14414.41</v>
      </c>
      <c r="J191">
        <v>345945.83999999997</v>
      </c>
      <c r="K191">
        <v>15585.59</v>
      </c>
      <c r="L191">
        <v>374054.16000000003</v>
      </c>
      <c r="M191">
        <v>45616</v>
      </c>
      <c r="O191" t="s">
        <v>326</v>
      </c>
      <c r="P191" t="s">
        <v>127</v>
      </c>
      <c r="Q191" t="s">
        <v>140</v>
      </c>
      <c r="R191" t="s">
        <v>2446</v>
      </c>
      <c r="S191" t="s">
        <v>2444</v>
      </c>
      <c r="T191" t="s">
        <v>2445</v>
      </c>
      <c r="U191">
        <v>24</v>
      </c>
      <c r="V191" t="s">
        <v>356</v>
      </c>
      <c r="W191" t="s">
        <v>141</v>
      </c>
      <c r="X191" t="s">
        <v>142</v>
      </c>
      <c r="Y191">
        <v>11611</v>
      </c>
      <c r="Z191">
        <v>11612</v>
      </c>
      <c r="AA191" t="s">
        <v>1025</v>
      </c>
      <c r="AB191">
        <v>1</v>
      </c>
    </row>
    <row r="192" spans="1:28">
      <c r="A192">
        <v>1</v>
      </c>
      <c r="B192" t="s">
        <v>410</v>
      </c>
      <c r="C192" t="s">
        <v>2230</v>
      </c>
      <c r="D192" t="s">
        <v>2231</v>
      </c>
      <c r="E192" t="s">
        <v>2096</v>
      </c>
      <c r="F192" t="s">
        <v>2097</v>
      </c>
      <c r="G192">
        <v>19566.365000000002</v>
      </c>
      <c r="H192">
        <v>469592.76</v>
      </c>
      <c r="I192">
        <v>21501.5</v>
      </c>
      <c r="J192">
        <v>516036</v>
      </c>
      <c r="K192">
        <v>23231.98</v>
      </c>
      <c r="L192">
        <v>557567.52</v>
      </c>
      <c r="M192">
        <v>45616</v>
      </c>
      <c r="O192" t="s">
        <v>326</v>
      </c>
      <c r="P192" t="s">
        <v>127</v>
      </c>
      <c r="Q192" t="s">
        <v>140</v>
      </c>
      <c r="R192" t="s">
        <v>2446</v>
      </c>
      <c r="S192" t="s">
        <v>2444</v>
      </c>
      <c r="T192" t="s">
        <v>2445</v>
      </c>
      <c r="U192">
        <v>24</v>
      </c>
      <c r="V192" t="s">
        <v>357</v>
      </c>
      <c r="W192" t="s">
        <v>141</v>
      </c>
      <c r="X192" t="s">
        <v>142</v>
      </c>
      <c r="Y192">
        <v>11611</v>
      </c>
      <c r="Z192">
        <v>11612</v>
      </c>
      <c r="AA192" t="s">
        <v>1025</v>
      </c>
      <c r="AB192">
        <v>1</v>
      </c>
    </row>
    <row r="193" spans="1:28">
      <c r="A193">
        <v>1</v>
      </c>
      <c r="B193" t="s">
        <v>411</v>
      </c>
      <c r="C193" t="s">
        <v>2230</v>
      </c>
      <c r="D193" t="s">
        <v>2231</v>
      </c>
      <c r="E193" t="s">
        <v>2098</v>
      </c>
      <c r="F193" t="s">
        <v>2099</v>
      </c>
      <c r="G193">
        <v>19566.365000000002</v>
      </c>
      <c r="H193">
        <v>469592.76</v>
      </c>
      <c r="I193">
        <v>21501.501501501498</v>
      </c>
      <c r="J193">
        <v>516036.03603603598</v>
      </c>
      <c r="K193">
        <v>0</v>
      </c>
      <c r="L193">
        <v>0</v>
      </c>
      <c r="M193">
        <v>45616</v>
      </c>
      <c r="O193" t="s">
        <v>326</v>
      </c>
      <c r="P193" t="s">
        <v>127</v>
      </c>
      <c r="Q193" t="s">
        <v>140</v>
      </c>
      <c r="R193" t="s">
        <v>2446</v>
      </c>
      <c r="S193" t="s">
        <v>2444</v>
      </c>
      <c r="T193" t="s">
        <v>2445</v>
      </c>
      <c r="U193">
        <v>24</v>
      </c>
      <c r="V193" t="s">
        <v>357</v>
      </c>
      <c r="W193" t="s">
        <v>141</v>
      </c>
      <c r="X193" t="s">
        <v>142</v>
      </c>
      <c r="Y193">
        <v>11611</v>
      </c>
      <c r="Z193">
        <v>11612</v>
      </c>
      <c r="AA193" t="s">
        <v>1025</v>
      </c>
      <c r="AB193">
        <v>1</v>
      </c>
    </row>
    <row r="194" spans="1:28">
      <c r="A194">
        <v>1</v>
      </c>
      <c r="B194" t="s">
        <v>409</v>
      </c>
      <c r="C194" t="s">
        <v>2230</v>
      </c>
      <c r="D194" t="s">
        <v>2231</v>
      </c>
      <c r="E194" t="s">
        <v>2100</v>
      </c>
      <c r="F194" t="s">
        <v>2101</v>
      </c>
      <c r="G194">
        <v>13117.1131</v>
      </c>
      <c r="H194">
        <v>314810.7144</v>
      </c>
      <c r="I194">
        <v>14414.41</v>
      </c>
      <c r="J194">
        <v>345945.83999999997</v>
      </c>
      <c r="K194">
        <v>15585.59</v>
      </c>
      <c r="L194">
        <v>374054.16000000003</v>
      </c>
      <c r="M194">
        <v>45616</v>
      </c>
      <c r="O194" t="s">
        <v>326</v>
      </c>
      <c r="P194" t="s">
        <v>127</v>
      </c>
      <c r="Q194" t="s">
        <v>140</v>
      </c>
      <c r="R194" t="s">
        <v>2446</v>
      </c>
      <c r="S194" t="s">
        <v>2444</v>
      </c>
      <c r="T194" t="s">
        <v>2445</v>
      </c>
      <c r="U194">
        <v>24</v>
      </c>
      <c r="V194" t="s">
        <v>356</v>
      </c>
      <c r="W194" t="s">
        <v>141</v>
      </c>
      <c r="X194" t="s">
        <v>142</v>
      </c>
      <c r="Y194">
        <v>11611</v>
      </c>
      <c r="Z194">
        <v>11612</v>
      </c>
      <c r="AA194" t="s">
        <v>1025</v>
      </c>
      <c r="AB194">
        <v>1</v>
      </c>
    </row>
    <row r="195" spans="1:28">
      <c r="A195">
        <v>1</v>
      </c>
      <c r="B195" t="s">
        <v>404</v>
      </c>
      <c r="C195" t="s">
        <v>2230</v>
      </c>
      <c r="D195" t="s">
        <v>2231</v>
      </c>
      <c r="E195" t="s">
        <v>2102</v>
      </c>
      <c r="F195" t="s">
        <v>2103</v>
      </c>
      <c r="G195">
        <v>19566.365000000002</v>
      </c>
      <c r="H195">
        <v>469592.76</v>
      </c>
      <c r="I195">
        <v>21501.5</v>
      </c>
      <c r="J195">
        <v>516036</v>
      </c>
      <c r="K195">
        <v>23231.98</v>
      </c>
      <c r="L195">
        <v>557567.52</v>
      </c>
      <c r="M195">
        <v>45616</v>
      </c>
      <c r="O195" t="s">
        <v>326</v>
      </c>
      <c r="P195" t="s">
        <v>127</v>
      </c>
      <c r="Q195" t="s">
        <v>140</v>
      </c>
      <c r="R195" t="s">
        <v>2446</v>
      </c>
      <c r="S195" t="s">
        <v>2444</v>
      </c>
      <c r="T195" t="s">
        <v>2445</v>
      </c>
      <c r="U195">
        <v>24</v>
      </c>
      <c r="V195" t="s">
        <v>357</v>
      </c>
      <c r="W195" t="s">
        <v>141</v>
      </c>
      <c r="X195" t="s">
        <v>142</v>
      </c>
      <c r="Y195">
        <v>11611</v>
      </c>
      <c r="Z195">
        <v>11612</v>
      </c>
      <c r="AA195" t="s">
        <v>1025</v>
      </c>
      <c r="AB195">
        <v>1</v>
      </c>
    </row>
    <row r="196" spans="1:28">
      <c r="A196">
        <v>1</v>
      </c>
      <c r="B196" t="s">
        <v>405</v>
      </c>
      <c r="C196" t="s">
        <v>2230</v>
      </c>
      <c r="D196" t="s">
        <v>2231</v>
      </c>
      <c r="E196" t="s">
        <v>2104</v>
      </c>
      <c r="F196" t="s">
        <v>2105</v>
      </c>
      <c r="G196">
        <v>0</v>
      </c>
      <c r="H196">
        <v>0</v>
      </c>
      <c r="I196">
        <v>21501.501501501498</v>
      </c>
      <c r="J196">
        <v>516036.03603603598</v>
      </c>
      <c r="K196">
        <v>0</v>
      </c>
      <c r="L196">
        <v>0</v>
      </c>
      <c r="M196">
        <v>45616</v>
      </c>
      <c r="O196" t="s">
        <v>326</v>
      </c>
      <c r="P196" t="s">
        <v>127</v>
      </c>
      <c r="Q196" t="s">
        <v>140</v>
      </c>
      <c r="R196" t="s">
        <v>2446</v>
      </c>
      <c r="S196" t="s">
        <v>2444</v>
      </c>
      <c r="T196" t="s">
        <v>2445</v>
      </c>
      <c r="U196">
        <v>24</v>
      </c>
      <c r="V196" t="s">
        <v>357</v>
      </c>
      <c r="W196" t="s">
        <v>141</v>
      </c>
      <c r="X196" t="s">
        <v>142</v>
      </c>
      <c r="Y196">
        <v>11611</v>
      </c>
      <c r="Z196">
        <v>11612</v>
      </c>
      <c r="AA196" t="s">
        <v>1025</v>
      </c>
      <c r="AB196">
        <v>1</v>
      </c>
    </row>
    <row r="197" spans="1:28">
      <c r="A197">
        <v>1</v>
      </c>
      <c r="B197" t="s">
        <v>403</v>
      </c>
      <c r="C197" t="s">
        <v>2230</v>
      </c>
      <c r="D197" t="s">
        <v>2231</v>
      </c>
      <c r="E197" t="s">
        <v>2106</v>
      </c>
      <c r="F197" t="s">
        <v>2107</v>
      </c>
      <c r="G197">
        <v>13117.1131</v>
      </c>
      <c r="H197">
        <v>314810.7144</v>
      </c>
      <c r="I197">
        <v>14414.41</v>
      </c>
      <c r="J197">
        <v>345945.83999999997</v>
      </c>
      <c r="K197">
        <v>15585.59</v>
      </c>
      <c r="L197">
        <v>374054.16000000003</v>
      </c>
      <c r="M197">
        <v>45616</v>
      </c>
      <c r="O197" t="s">
        <v>326</v>
      </c>
      <c r="P197" t="s">
        <v>127</v>
      </c>
      <c r="Q197" t="s">
        <v>140</v>
      </c>
      <c r="R197" t="s">
        <v>2446</v>
      </c>
      <c r="S197" t="s">
        <v>2444</v>
      </c>
      <c r="T197" t="s">
        <v>2445</v>
      </c>
      <c r="U197">
        <v>24</v>
      </c>
      <c r="V197" t="s">
        <v>356</v>
      </c>
      <c r="W197" t="s">
        <v>141</v>
      </c>
      <c r="X197" t="s">
        <v>142</v>
      </c>
      <c r="Y197">
        <v>11611</v>
      </c>
      <c r="Z197">
        <v>11612</v>
      </c>
      <c r="AA197" t="s">
        <v>1025</v>
      </c>
      <c r="AB197">
        <v>1</v>
      </c>
    </row>
    <row r="198" spans="1:28">
      <c r="A198">
        <v>1</v>
      </c>
      <c r="B198" t="s">
        <v>387</v>
      </c>
      <c r="C198" t="s">
        <v>2224</v>
      </c>
      <c r="D198" t="s">
        <v>2225</v>
      </c>
      <c r="E198" t="s">
        <v>2064</v>
      </c>
      <c r="F198" t="s">
        <v>2065</v>
      </c>
      <c r="G198">
        <v>13076.126700000001</v>
      </c>
      <c r="H198">
        <v>156913.52040000001</v>
      </c>
      <c r="I198">
        <v>14369.37</v>
      </c>
      <c r="J198">
        <v>172432.44</v>
      </c>
      <c r="K198">
        <v>15540.54</v>
      </c>
      <c r="L198">
        <v>186486.48</v>
      </c>
      <c r="M198">
        <v>45616</v>
      </c>
      <c r="O198" t="s">
        <v>326</v>
      </c>
      <c r="P198" t="s">
        <v>127</v>
      </c>
      <c r="Q198" t="s">
        <v>140</v>
      </c>
      <c r="R198" t="s">
        <v>2446</v>
      </c>
      <c r="S198" t="s">
        <v>2444</v>
      </c>
      <c r="T198" t="s">
        <v>2445</v>
      </c>
      <c r="U198">
        <v>12</v>
      </c>
      <c r="V198" t="s">
        <v>356</v>
      </c>
      <c r="W198" t="s">
        <v>141</v>
      </c>
      <c r="X198" t="s">
        <v>142</v>
      </c>
      <c r="Y198">
        <v>11611</v>
      </c>
      <c r="Z198">
        <v>11612</v>
      </c>
      <c r="AA198" t="s">
        <v>1025</v>
      </c>
      <c r="AB198">
        <v>1</v>
      </c>
    </row>
    <row r="199" spans="1:28">
      <c r="A199">
        <v>1</v>
      </c>
      <c r="B199" t="s">
        <v>389</v>
      </c>
      <c r="C199" t="s">
        <v>2224</v>
      </c>
      <c r="D199" t="s">
        <v>2225</v>
      </c>
      <c r="E199" t="s">
        <v>2066</v>
      </c>
      <c r="F199" t="s">
        <v>2067</v>
      </c>
      <c r="G199">
        <v>21069.3665</v>
      </c>
      <c r="H199">
        <v>252832.39799999999</v>
      </c>
      <c r="I199">
        <v>23153.15</v>
      </c>
      <c r="J199">
        <v>277837.80000000005</v>
      </c>
      <c r="K199">
        <v>24954.95</v>
      </c>
      <c r="L199">
        <v>299459.40000000002</v>
      </c>
      <c r="M199">
        <v>45616</v>
      </c>
      <c r="O199" t="s">
        <v>326</v>
      </c>
      <c r="P199" t="s">
        <v>127</v>
      </c>
      <c r="Q199" t="s">
        <v>140</v>
      </c>
      <c r="R199" t="s">
        <v>2446</v>
      </c>
      <c r="S199" t="s">
        <v>2444</v>
      </c>
      <c r="T199" t="s">
        <v>2445</v>
      </c>
      <c r="U199">
        <v>12</v>
      </c>
      <c r="V199" t="s">
        <v>357</v>
      </c>
      <c r="W199" t="s">
        <v>141</v>
      </c>
      <c r="X199" t="s">
        <v>142</v>
      </c>
      <c r="Y199">
        <v>11611</v>
      </c>
      <c r="Z199">
        <v>11612</v>
      </c>
      <c r="AA199" t="s">
        <v>1025</v>
      </c>
      <c r="AB199">
        <v>1</v>
      </c>
    </row>
    <row r="200" spans="1:28">
      <c r="A200">
        <v>1</v>
      </c>
      <c r="B200" t="s">
        <v>390</v>
      </c>
      <c r="C200" t="s">
        <v>2224</v>
      </c>
      <c r="D200" t="s">
        <v>2225</v>
      </c>
      <c r="E200" t="s">
        <v>2068</v>
      </c>
      <c r="F200" t="s">
        <v>2069</v>
      </c>
      <c r="G200">
        <v>72144.144799999995</v>
      </c>
      <c r="H200">
        <v>288576.57919999998</v>
      </c>
      <c r="I200">
        <v>79279.28</v>
      </c>
      <c r="J200">
        <v>317117.12</v>
      </c>
      <c r="K200">
        <v>85630.63</v>
      </c>
      <c r="L200">
        <v>342522.52</v>
      </c>
      <c r="M200">
        <v>45616</v>
      </c>
      <c r="O200" t="s">
        <v>326</v>
      </c>
      <c r="P200" t="s">
        <v>127</v>
      </c>
      <c r="Q200" t="s">
        <v>140</v>
      </c>
      <c r="R200" t="s">
        <v>2446</v>
      </c>
      <c r="S200" t="s">
        <v>2444</v>
      </c>
      <c r="T200" t="s">
        <v>2445</v>
      </c>
      <c r="U200">
        <v>4</v>
      </c>
      <c r="V200" t="s">
        <v>358</v>
      </c>
      <c r="W200" t="s">
        <v>141</v>
      </c>
      <c r="X200" t="s">
        <v>142</v>
      </c>
      <c r="Y200">
        <v>11611</v>
      </c>
      <c r="Z200">
        <v>11612</v>
      </c>
      <c r="AA200" t="s">
        <v>1025</v>
      </c>
      <c r="AB200">
        <v>1</v>
      </c>
    </row>
    <row r="201" spans="1:28">
      <c r="A201">
        <v>1</v>
      </c>
      <c r="B201" t="s">
        <v>391</v>
      </c>
      <c r="C201" t="s">
        <v>2224</v>
      </c>
      <c r="D201" t="s">
        <v>2225</v>
      </c>
      <c r="E201" t="s">
        <v>2070</v>
      </c>
      <c r="F201" t="s">
        <v>2071</v>
      </c>
      <c r="G201">
        <v>13076.126700000001</v>
      </c>
      <c r="H201">
        <v>156913.52040000001</v>
      </c>
      <c r="I201">
        <v>14369.37</v>
      </c>
      <c r="J201">
        <v>172432.44</v>
      </c>
      <c r="K201">
        <v>15540.54</v>
      </c>
      <c r="L201">
        <v>186486.48</v>
      </c>
      <c r="M201">
        <v>45616</v>
      </c>
      <c r="O201" t="s">
        <v>326</v>
      </c>
      <c r="P201" t="s">
        <v>127</v>
      </c>
      <c r="Q201" t="s">
        <v>140</v>
      </c>
      <c r="R201" t="s">
        <v>2446</v>
      </c>
      <c r="S201" t="s">
        <v>2444</v>
      </c>
      <c r="T201" t="s">
        <v>2445</v>
      </c>
      <c r="U201">
        <v>12</v>
      </c>
      <c r="V201" t="s">
        <v>356</v>
      </c>
      <c r="W201" t="s">
        <v>141</v>
      </c>
      <c r="X201" t="s">
        <v>142</v>
      </c>
      <c r="Y201">
        <v>11611</v>
      </c>
      <c r="Z201">
        <v>11612</v>
      </c>
      <c r="AA201" t="s">
        <v>1025</v>
      </c>
      <c r="AB201">
        <v>1</v>
      </c>
    </row>
    <row r="202" spans="1:28">
      <c r="A202">
        <v>1</v>
      </c>
      <c r="B202" t="s">
        <v>393</v>
      </c>
      <c r="C202" t="s">
        <v>2224</v>
      </c>
      <c r="D202" t="s">
        <v>2225</v>
      </c>
      <c r="E202" t="s">
        <v>2072</v>
      </c>
      <c r="F202" t="s">
        <v>2073</v>
      </c>
      <c r="G202">
        <v>21069.3665</v>
      </c>
      <c r="H202">
        <v>252832.39799999999</v>
      </c>
      <c r="I202">
        <v>23153.15</v>
      </c>
      <c r="J202">
        <v>277837.80000000005</v>
      </c>
      <c r="K202">
        <v>24954.95</v>
      </c>
      <c r="L202">
        <v>299459.40000000002</v>
      </c>
      <c r="M202">
        <v>45616</v>
      </c>
      <c r="O202" t="s">
        <v>326</v>
      </c>
      <c r="P202" t="s">
        <v>127</v>
      </c>
      <c r="Q202" t="s">
        <v>140</v>
      </c>
      <c r="R202" t="s">
        <v>2446</v>
      </c>
      <c r="S202" t="s">
        <v>2444</v>
      </c>
      <c r="T202" t="s">
        <v>2445</v>
      </c>
      <c r="U202">
        <v>12</v>
      </c>
      <c r="V202" t="s">
        <v>357</v>
      </c>
      <c r="W202" t="s">
        <v>141</v>
      </c>
      <c r="X202" t="s">
        <v>142</v>
      </c>
      <c r="Y202">
        <v>11611</v>
      </c>
      <c r="Z202">
        <v>11612</v>
      </c>
      <c r="AA202" t="s">
        <v>1025</v>
      </c>
      <c r="AB202">
        <v>1</v>
      </c>
    </row>
    <row r="203" spans="1:28">
      <c r="A203">
        <v>1</v>
      </c>
      <c r="B203" t="s">
        <v>394</v>
      </c>
      <c r="C203" t="s">
        <v>2224</v>
      </c>
      <c r="D203" t="s">
        <v>2225</v>
      </c>
      <c r="E203" t="s">
        <v>2074</v>
      </c>
      <c r="F203" t="s">
        <v>2075</v>
      </c>
      <c r="G203">
        <v>72144.144799999995</v>
      </c>
      <c r="H203">
        <v>288576.57919999998</v>
      </c>
      <c r="I203">
        <v>79279.28</v>
      </c>
      <c r="J203">
        <v>317117.12</v>
      </c>
      <c r="K203">
        <v>85630.63</v>
      </c>
      <c r="L203">
        <v>342522.52</v>
      </c>
      <c r="M203">
        <v>45616</v>
      </c>
      <c r="O203" t="s">
        <v>326</v>
      </c>
      <c r="P203" t="s">
        <v>127</v>
      </c>
      <c r="Q203" t="s">
        <v>140</v>
      </c>
      <c r="R203" t="s">
        <v>2446</v>
      </c>
      <c r="S203" t="s">
        <v>2444</v>
      </c>
      <c r="T203" t="s">
        <v>2445</v>
      </c>
      <c r="U203">
        <v>4</v>
      </c>
      <c r="V203" t="s">
        <v>358</v>
      </c>
      <c r="W203" t="s">
        <v>141</v>
      </c>
      <c r="X203" t="s">
        <v>142</v>
      </c>
      <c r="Y203">
        <v>11611</v>
      </c>
      <c r="Z203">
        <v>11612</v>
      </c>
      <c r="AA203" t="s">
        <v>1025</v>
      </c>
      <c r="AB203">
        <v>1</v>
      </c>
    </row>
    <row r="204" spans="1:28">
      <c r="A204">
        <v>1</v>
      </c>
      <c r="B204" t="s">
        <v>395</v>
      </c>
      <c r="C204" t="s">
        <v>2224</v>
      </c>
      <c r="D204" t="s">
        <v>2225</v>
      </c>
      <c r="E204" t="s">
        <v>2076</v>
      </c>
      <c r="F204" t="s">
        <v>2077</v>
      </c>
      <c r="G204">
        <v>13076.126700000001</v>
      </c>
      <c r="H204">
        <v>156913.52040000001</v>
      </c>
      <c r="I204">
        <v>14369.37</v>
      </c>
      <c r="J204">
        <v>172432.44</v>
      </c>
      <c r="K204">
        <v>15540.54</v>
      </c>
      <c r="L204">
        <v>186486.48</v>
      </c>
      <c r="M204">
        <v>45616</v>
      </c>
      <c r="O204" t="s">
        <v>326</v>
      </c>
      <c r="P204" t="s">
        <v>127</v>
      </c>
      <c r="Q204" t="s">
        <v>140</v>
      </c>
      <c r="R204" t="s">
        <v>2446</v>
      </c>
      <c r="S204" t="s">
        <v>2444</v>
      </c>
      <c r="T204" t="s">
        <v>2445</v>
      </c>
      <c r="U204">
        <v>12</v>
      </c>
      <c r="V204" t="s">
        <v>356</v>
      </c>
      <c r="W204" t="s">
        <v>141</v>
      </c>
      <c r="X204" t="s">
        <v>142</v>
      </c>
      <c r="Y204">
        <v>11611</v>
      </c>
      <c r="Z204">
        <v>11612</v>
      </c>
      <c r="AA204" t="s">
        <v>1025</v>
      </c>
      <c r="AB204">
        <v>1</v>
      </c>
    </row>
    <row r="205" spans="1:28">
      <c r="A205">
        <v>1</v>
      </c>
      <c r="B205" t="s">
        <v>397</v>
      </c>
      <c r="C205" t="s">
        <v>2224</v>
      </c>
      <c r="D205" t="s">
        <v>2225</v>
      </c>
      <c r="E205" t="s">
        <v>2078</v>
      </c>
      <c r="F205" t="s">
        <v>2079</v>
      </c>
      <c r="G205">
        <v>21069.3665</v>
      </c>
      <c r="H205">
        <v>252832.39799999999</v>
      </c>
      <c r="I205">
        <v>23153.15</v>
      </c>
      <c r="J205">
        <v>277837.80000000005</v>
      </c>
      <c r="K205">
        <v>24954.95</v>
      </c>
      <c r="L205">
        <v>299459.40000000002</v>
      </c>
      <c r="M205">
        <v>45616</v>
      </c>
      <c r="O205" t="s">
        <v>326</v>
      </c>
      <c r="P205" t="s">
        <v>127</v>
      </c>
      <c r="Q205" t="s">
        <v>140</v>
      </c>
      <c r="R205" t="s">
        <v>2446</v>
      </c>
      <c r="S205" t="s">
        <v>2444</v>
      </c>
      <c r="T205" t="s">
        <v>2445</v>
      </c>
      <c r="U205">
        <v>12</v>
      </c>
      <c r="V205" t="s">
        <v>357</v>
      </c>
      <c r="W205" t="s">
        <v>141</v>
      </c>
      <c r="X205" t="s">
        <v>142</v>
      </c>
      <c r="Y205">
        <v>11611</v>
      </c>
      <c r="Z205">
        <v>11612</v>
      </c>
      <c r="AA205" t="s">
        <v>1025</v>
      </c>
      <c r="AB205">
        <v>1</v>
      </c>
    </row>
    <row r="206" spans="1:28">
      <c r="A206">
        <v>1</v>
      </c>
      <c r="B206" t="s">
        <v>401</v>
      </c>
      <c r="C206" t="s">
        <v>2230</v>
      </c>
      <c r="D206" t="s">
        <v>2231</v>
      </c>
      <c r="E206" t="s">
        <v>2092</v>
      </c>
      <c r="F206" t="s">
        <v>2093</v>
      </c>
      <c r="G206">
        <v>19566.365000000002</v>
      </c>
      <c r="H206">
        <v>469592.76</v>
      </c>
      <c r="I206">
        <v>21501.501501501498</v>
      </c>
      <c r="J206">
        <v>516036.03603603598</v>
      </c>
      <c r="K206">
        <v>23231.98</v>
      </c>
      <c r="L206">
        <v>557567.52</v>
      </c>
      <c r="M206">
        <v>45616</v>
      </c>
      <c r="O206" t="s">
        <v>326</v>
      </c>
      <c r="P206" t="s">
        <v>127</v>
      </c>
      <c r="Q206" t="s">
        <v>140</v>
      </c>
      <c r="R206" t="s">
        <v>2446</v>
      </c>
      <c r="S206" t="s">
        <v>2444</v>
      </c>
      <c r="T206" t="s">
        <v>2445</v>
      </c>
      <c r="U206">
        <v>24</v>
      </c>
      <c r="V206" t="s">
        <v>357</v>
      </c>
      <c r="W206" t="s">
        <v>141</v>
      </c>
      <c r="X206" t="s">
        <v>142</v>
      </c>
      <c r="Y206">
        <v>11611</v>
      </c>
      <c r="Z206">
        <v>11612</v>
      </c>
      <c r="AA206" t="s">
        <v>1025</v>
      </c>
      <c r="AB206">
        <v>1</v>
      </c>
    </row>
    <row r="207" spans="1:28">
      <c r="A207">
        <v>1</v>
      </c>
      <c r="B207" t="s">
        <v>1034</v>
      </c>
      <c r="C207" t="s">
        <v>2226</v>
      </c>
      <c r="D207" t="s">
        <v>2227</v>
      </c>
      <c r="E207" t="s">
        <v>2020</v>
      </c>
      <c r="F207" t="s">
        <v>2021</v>
      </c>
      <c r="G207">
        <v>9018.0179736111113</v>
      </c>
      <c r="H207">
        <v>649297.29410000006</v>
      </c>
      <c r="I207">
        <v>9909.9098611111112</v>
      </c>
      <c r="J207">
        <v>713513.51</v>
      </c>
      <c r="K207">
        <v>10900.900900900901</v>
      </c>
      <c r="L207">
        <v>784864.86486486485</v>
      </c>
      <c r="M207">
        <v>45616</v>
      </c>
      <c r="O207" t="s">
        <v>326</v>
      </c>
      <c r="P207" t="s">
        <v>127</v>
      </c>
      <c r="Q207" t="s">
        <v>140</v>
      </c>
      <c r="R207" t="s">
        <v>2446</v>
      </c>
      <c r="S207" t="s">
        <v>2444</v>
      </c>
      <c r="T207" t="s">
        <v>2445</v>
      </c>
      <c r="U207">
        <v>72</v>
      </c>
      <c r="V207" t="s">
        <v>1023</v>
      </c>
      <c r="W207" t="s">
        <v>141</v>
      </c>
      <c r="X207" t="s">
        <v>142</v>
      </c>
      <c r="Y207">
        <v>11611</v>
      </c>
      <c r="Z207">
        <v>11612</v>
      </c>
      <c r="AA207" t="s">
        <v>1025</v>
      </c>
      <c r="AB207">
        <v>1</v>
      </c>
    </row>
    <row r="208" spans="1:28">
      <c r="A208">
        <v>1</v>
      </c>
      <c r="B208" t="s">
        <v>400</v>
      </c>
      <c r="C208" t="s">
        <v>2230</v>
      </c>
      <c r="D208" t="s">
        <v>2231</v>
      </c>
      <c r="E208" t="s">
        <v>2090</v>
      </c>
      <c r="F208" t="s">
        <v>2091</v>
      </c>
      <c r="G208">
        <v>19566.365000000002</v>
      </c>
      <c r="H208">
        <v>469592.76</v>
      </c>
      <c r="I208">
        <v>21501.5</v>
      </c>
      <c r="J208">
        <v>516036</v>
      </c>
      <c r="K208">
        <v>23231.98</v>
      </c>
      <c r="L208">
        <v>557567.52</v>
      </c>
      <c r="M208">
        <v>45616</v>
      </c>
      <c r="O208" t="s">
        <v>326</v>
      </c>
      <c r="P208" t="s">
        <v>127</v>
      </c>
      <c r="Q208" t="s">
        <v>140</v>
      </c>
      <c r="R208" t="s">
        <v>2446</v>
      </c>
      <c r="S208" t="s">
        <v>2444</v>
      </c>
      <c r="T208" t="s">
        <v>2445</v>
      </c>
      <c r="U208">
        <v>24</v>
      </c>
      <c r="V208" t="s">
        <v>357</v>
      </c>
      <c r="W208" t="s">
        <v>141</v>
      </c>
      <c r="X208" t="s">
        <v>142</v>
      </c>
      <c r="Y208">
        <v>11611</v>
      </c>
      <c r="Z208">
        <v>11612</v>
      </c>
      <c r="AA208" t="s">
        <v>1025</v>
      </c>
      <c r="AB208">
        <v>1</v>
      </c>
    </row>
    <row r="209" spans="1:28">
      <c r="A209">
        <v>1</v>
      </c>
      <c r="B209" t="s">
        <v>406</v>
      </c>
      <c r="C209" t="s">
        <v>2230</v>
      </c>
      <c r="D209" t="s">
        <v>2231</v>
      </c>
      <c r="E209" t="s">
        <v>2086</v>
      </c>
      <c r="F209" t="s">
        <v>2087</v>
      </c>
      <c r="G209">
        <v>13117.1131</v>
      </c>
      <c r="H209">
        <v>314810.7144</v>
      </c>
      <c r="I209">
        <v>14414.41</v>
      </c>
      <c r="J209">
        <v>345945.83999999997</v>
      </c>
      <c r="K209">
        <v>15585.59</v>
      </c>
      <c r="L209">
        <v>374054.16000000003</v>
      </c>
      <c r="M209">
        <v>45616</v>
      </c>
      <c r="O209" t="s">
        <v>326</v>
      </c>
      <c r="P209" t="s">
        <v>127</v>
      </c>
      <c r="Q209" t="s">
        <v>140</v>
      </c>
      <c r="R209" t="s">
        <v>2446</v>
      </c>
      <c r="S209" t="s">
        <v>2444</v>
      </c>
      <c r="T209" t="s">
        <v>2445</v>
      </c>
      <c r="U209">
        <v>24</v>
      </c>
      <c r="V209" t="s">
        <v>356</v>
      </c>
      <c r="W209" t="s">
        <v>141</v>
      </c>
      <c r="X209" t="s">
        <v>142</v>
      </c>
      <c r="Y209">
        <v>11611</v>
      </c>
      <c r="Z209">
        <v>11612</v>
      </c>
      <c r="AA209" t="s">
        <v>1025</v>
      </c>
      <c r="AB209">
        <v>1</v>
      </c>
    </row>
    <row r="210" spans="1:28">
      <c r="A210">
        <v>1</v>
      </c>
      <c r="B210" t="s">
        <v>435</v>
      </c>
      <c r="C210" t="s">
        <v>2234</v>
      </c>
      <c r="D210" t="s">
        <v>2235</v>
      </c>
      <c r="E210" t="s">
        <v>2132</v>
      </c>
      <c r="F210" t="s">
        <v>2133</v>
      </c>
      <c r="G210">
        <v>22378.801899999999</v>
      </c>
      <c r="H210">
        <v>805636.86839999992</v>
      </c>
      <c r="I210">
        <v>24592.09</v>
      </c>
      <c r="J210">
        <v>885315.24</v>
      </c>
      <c r="K210">
        <v>26549.05</v>
      </c>
      <c r="L210">
        <v>955765.79999999993</v>
      </c>
      <c r="M210">
        <v>45616</v>
      </c>
      <c r="O210" t="s">
        <v>326</v>
      </c>
      <c r="P210" t="s">
        <v>127</v>
      </c>
      <c r="Q210" t="s">
        <v>140</v>
      </c>
      <c r="R210" t="s">
        <v>2446</v>
      </c>
      <c r="S210" t="s">
        <v>2444</v>
      </c>
      <c r="T210" t="s">
        <v>2445</v>
      </c>
      <c r="U210">
        <v>36</v>
      </c>
      <c r="V210" t="s">
        <v>1021</v>
      </c>
      <c r="W210" t="s">
        <v>141</v>
      </c>
      <c r="X210" t="s">
        <v>142</v>
      </c>
      <c r="Y210">
        <v>11611</v>
      </c>
      <c r="Z210">
        <v>11612</v>
      </c>
      <c r="AA210" t="s">
        <v>1025</v>
      </c>
      <c r="AB210">
        <v>1</v>
      </c>
    </row>
    <row r="211" spans="1:28">
      <c r="A211">
        <v>1</v>
      </c>
      <c r="B211" t="s">
        <v>434</v>
      </c>
      <c r="C211" t="s">
        <v>2236</v>
      </c>
      <c r="D211" t="s">
        <v>2237</v>
      </c>
      <c r="E211" t="s">
        <v>2134</v>
      </c>
      <c r="F211" t="s">
        <v>2135</v>
      </c>
      <c r="G211">
        <v>0</v>
      </c>
      <c r="H211">
        <v>0</v>
      </c>
      <c r="I211">
        <v>86366.366366366361</v>
      </c>
      <c r="J211">
        <v>518198.19819819817</v>
      </c>
      <c r="K211">
        <v>0</v>
      </c>
      <c r="L211">
        <v>0</v>
      </c>
      <c r="M211">
        <v>45616</v>
      </c>
      <c r="O211" t="s">
        <v>326</v>
      </c>
      <c r="P211" t="s">
        <v>127</v>
      </c>
      <c r="Q211" t="s">
        <v>140</v>
      </c>
      <c r="R211" t="s">
        <v>2446</v>
      </c>
      <c r="S211" t="s">
        <v>2444</v>
      </c>
      <c r="T211" t="s">
        <v>2445</v>
      </c>
      <c r="U211">
        <v>6</v>
      </c>
      <c r="V211" t="s">
        <v>360</v>
      </c>
      <c r="W211" t="s">
        <v>141</v>
      </c>
      <c r="X211" t="s">
        <v>142</v>
      </c>
      <c r="Y211">
        <v>11611</v>
      </c>
      <c r="Z211">
        <v>11612</v>
      </c>
      <c r="AA211" t="s">
        <v>1025</v>
      </c>
      <c r="AB211">
        <v>1</v>
      </c>
    </row>
    <row r="212" spans="1:28">
      <c r="A212">
        <v>1</v>
      </c>
      <c r="B212" t="s">
        <v>412</v>
      </c>
      <c r="C212" t="s">
        <v>2238</v>
      </c>
      <c r="D212" t="s">
        <v>2239</v>
      </c>
      <c r="E212" t="s">
        <v>2136</v>
      </c>
      <c r="F212" t="s">
        <v>2137</v>
      </c>
      <c r="G212">
        <v>17373.3469</v>
      </c>
      <c r="H212">
        <v>416960.32559999998</v>
      </c>
      <c r="I212">
        <v>19091.59</v>
      </c>
      <c r="J212">
        <v>458198.16000000003</v>
      </c>
      <c r="K212">
        <v>20634.38</v>
      </c>
      <c r="L212">
        <v>495225.12</v>
      </c>
      <c r="M212">
        <v>45616</v>
      </c>
      <c r="O212" t="s">
        <v>326</v>
      </c>
      <c r="P212" t="s">
        <v>127</v>
      </c>
      <c r="Q212" t="s">
        <v>140</v>
      </c>
      <c r="R212" t="s">
        <v>2446</v>
      </c>
      <c r="S212" t="s">
        <v>2444</v>
      </c>
      <c r="T212" t="s">
        <v>2445</v>
      </c>
      <c r="U212">
        <v>24</v>
      </c>
      <c r="V212" t="s">
        <v>356</v>
      </c>
      <c r="W212" t="s">
        <v>141</v>
      </c>
      <c r="X212" t="s">
        <v>142</v>
      </c>
      <c r="Y212">
        <v>11611</v>
      </c>
      <c r="Z212">
        <v>11612</v>
      </c>
      <c r="AA212" t="s">
        <v>1025</v>
      </c>
      <c r="AB212">
        <v>1</v>
      </c>
    </row>
    <row r="213" spans="1:28">
      <c r="A213">
        <v>1</v>
      </c>
      <c r="B213" t="s">
        <v>413</v>
      </c>
      <c r="C213" t="s">
        <v>2238</v>
      </c>
      <c r="D213" t="s">
        <v>2239</v>
      </c>
      <c r="E213" t="s">
        <v>2138</v>
      </c>
      <c r="F213" t="s">
        <v>2139</v>
      </c>
      <c r="G213">
        <v>22835.394400000001</v>
      </c>
      <c r="H213">
        <v>548049.4656</v>
      </c>
      <c r="I213">
        <v>25093.84</v>
      </c>
      <c r="J213">
        <v>602252.16</v>
      </c>
      <c r="K213">
        <v>27124.62</v>
      </c>
      <c r="L213">
        <v>650990.88</v>
      </c>
      <c r="M213">
        <v>45616</v>
      </c>
      <c r="O213" t="s">
        <v>326</v>
      </c>
      <c r="P213" t="s">
        <v>127</v>
      </c>
      <c r="Q213" t="s">
        <v>140</v>
      </c>
      <c r="R213" t="s">
        <v>2446</v>
      </c>
      <c r="S213" t="s">
        <v>2444</v>
      </c>
      <c r="T213" t="s">
        <v>2445</v>
      </c>
      <c r="U213">
        <v>24</v>
      </c>
      <c r="V213" t="s">
        <v>357</v>
      </c>
      <c r="W213" t="s">
        <v>141</v>
      </c>
      <c r="X213" t="s">
        <v>142</v>
      </c>
      <c r="Y213">
        <v>11611</v>
      </c>
      <c r="Z213">
        <v>11612</v>
      </c>
      <c r="AA213" t="s">
        <v>1025</v>
      </c>
      <c r="AB213">
        <v>1</v>
      </c>
    </row>
    <row r="214" spans="1:28">
      <c r="A214">
        <v>1</v>
      </c>
      <c r="B214" t="s">
        <v>432</v>
      </c>
      <c r="C214" t="s">
        <v>2238</v>
      </c>
      <c r="D214" t="s">
        <v>2239</v>
      </c>
      <c r="E214" t="s">
        <v>2140</v>
      </c>
      <c r="F214" t="s">
        <v>2141</v>
      </c>
      <c r="G214">
        <v>11003.8019</v>
      </c>
      <c r="H214">
        <v>396136.86840000004</v>
      </c>
      <c r="I214">
        <v>12092.09</v>
      </c>
      <c r="J214">
        <v>435315.24</v>
      </c>
      <c r="K214">
        <v>13053.05</v>
      </c>
      <c r="L214">
        <v>469909.8</v>
      </c>
      <c r="M214">
        <v>45616</v>
      </c>
      <c r="O214" t="s">
        <v>326</v>
      </c>
      <c r="P214" t="s">
        <v>127</v>
      </c>
      <c r="Q214" t="s">
        <v>140</v>
      </c>
      <c r="R214" t="s">
        <v>2446</v>
      </c>
      <c r="S214" t="s">
        <v>2444</v>
      </c>
      <c r="T214" t="s">
        <v>2445</v>
      </c>
      <c r="U214">
        <v>36</v>
      </c>
      <c r="V214" t="s">
        <v>357</v>
      </c>
      <c r="W214" t="s">
        <v>141</v>
      </c>
      <c r="X214" t="s">
        <v>142</v>
      </c>
      <c r="Y214">
        <v>11611</v>
      </c>
      <c r="Z214">
        <v>11612</v>
      </c>
      <c r="AA214" t="s">
        <v>1025</v>
      </c>
      <c r="AB214">
        <v>1</v>
      </c>
    </row>
    <row r="215" spans="1:28">
      <c r="A215">
        <v>1</v>
      </c>
      <c r="B215" t="s">
        <v>433</v>
      </c>
      <c r="C215" t="s">
        <v>2238</v>
      </c>
      <c r="D215" t="s">
        <v>2239</v>
      </c>
      <c r="E215" t="s">
        <v>2142</v>
      </c>
      <c r="F215" t="s">
        <v>2143</v>
      </c>
      <c r="G215">
        <v>18284.2569</v>
      </c>
      <c r="H215">
        <v>658233.24840000004</v>
      </c>
      <c r="I215">
        <v>20092.59</v>
      </c>
      <c r="J215">
        <v>723333.24</v>
      </c>
      <c r="K215">
        <v>21791.79</v>
      </c>
      <c r="L215">
        <v>784504.44000000006</v>
      </c>
      <c r="M215">
        <v>45616</v>
      </c>
      <c r="O215" t="s">
        <v>326</v>
      </c>
      <c r="P215" t="s">
        <v>127</v>
      </c>
      <c r="Q215" t="s">
        <v>140</v>
      </c>
      <c r="R215" t="s">
        <v>2446</v>
      </c>
      <c r="S215" t="s">
        <v>2444</v>
      </c>
      <c r="T215" t="s">
        <v>2445</v>
      </c>
      <c r="U215">
        <v>36</v>
      </c>
      <c r="V215" t="s">
        <v>357</v>
      </c>
      <c r="W215" t="s">
        <v>141</v>
      </c>
      <c r="X215" t="s">
        <v>142</v>
      </c>
      <c r="Y215">
        <v>11611</v>
      </c>
      <c r="Z215">
        <v>11612</v>
      </c>
      <c r="AA215" t="s">
        <v>1025</v>
      </c>
      <c r="AB215">
        <v>1</v>
      </c>
    </row>
    <row r="216" spans="1:28">
      <c r="A216">
        <v>1</v>
      </c>
      <c r="B216" t="s">
        <v>414</v>
      </c>
      <c r="C216" t="s">
        <v>2240</v>
      </c>
      <c r="D216" t="s">
        <v>2241</v>
      </c>
      <c r="E216" t="s">
        <v>2144</v>
      </c>
      <c r="F216" t="s">
        <v>2145</v>
      </c>
      <c r="G216">
        <v>621.01351351351343</v>
      </c>
      <c r="H216">
        <v>74521.621621621613</v>
      </c>
      <c r="I216">
        <v>682.43243243243239</v>
      </c>
      <c r="J216">
        <v>81891.891891891893</v>
      </c>
      <c r="K216">
        <v>682.43243243243239</v>
      </c>
      <c r="L216">
        <v>81891.891891891893</v>
      </c>
      <c r="M216">
        <v>45616</v>
      </c>
      <c r="O216" t="s">
        <v>326</v>
      </c>
      <c r="P216" t="s">
        <v>127</v>
      </c>
      <c r="Q216" t="s">
        <v>140</v>
      </c>
      <c r="R216" t="s">
        <v>2446</v>
      </c>
      <c r="S216" t="s">
        <v>2444</v>
      </c>
      <c r="T216" t="s">
        <v>2445</v>
      </c>
      <c r="U216">
        <v>120</v>
      </c>
      <c r="V216" t="s">
        <v>1022</v>
      </c>
      <c r="W216" t="s">
        <v>141</v>
      </c>
      <c r="X216" t="s">
        <v>142</v>
      </c>
      <c r="Y216">
        <v>11611</v>
      </c>
      <c r="Z216">
        <v>11612</v>
      </c>
      <c r="AA216" t="s">
        <v>1025</v>
      </c>
      <c r="AB216">
        <v>1</v>
      </c>
    </row>
    <row r="217" spans="1:28">
      <c r="A217">
        <v>1</v>
      </c>
      <c r="B217" t="s">
        <v>415</v>
      </c>
      <c r="C217" t="s">
        <v>2240</v>
      </c>
      <c r="D217" t="s">
        <v>2241</v>
      </c>
      <c r="E217" t="s">
        <v>2146</v>
      </c>
      <c r="F217" t="s">
        <v>2147</v>
      </c>
      <c r="G217">
        <v>16027.477477477472</v>
      </c>
      <c r="H217">
        <v>192329.72972972968</v>
      </c>
      <c r="I217">
        <v>17612.612612612607</v>
      </c>
      <c r="J217">
        <v>211351.3513513513</v>
      </c>
      <c r="K217">
        <v>19009.009009009005</v>
      </c>
      <c r="L217">
        <v>228108.10810810805</v>
      </c>
      <c r="M217">
        <v>45616</v>
      </c>
      <c r="O217" t="s">
        <v>326</v>
      </c>
      <c r="P217" t="s">
        <v>127</v>
      </c>
      <c r="Q217" t="s">
        <v>140</v>
      </c>
      <c r="R217" t="s">
        <v>2446</v>
      </c>
      <c r="S217" t="s">
        <v>2444</v>
      </c>
      <c r="T217" t="s">
        <v>2445</v>
      </c>
      <c r="U217">
        <v>12</v>
      </c>
      <c r="V217" t="s">
        <v>356</v>
      </c>
      <c r="W217" t="s">
        <v>141</v>
      </c>
      <c r="X217" t="s">
        <v>142</v>
      </c>
      <c r="Y217">
        <v>11611</v>
      </c>
      <c r="Z217">
        <v>11612</v>
      </c>
      <c r="AA217" t="s">
        <v>1025</v>
      </c>
      <c r="AB217">
        <v>1</v>
      </c>
    </row>
    <row r="218" spans="1:28">
      <c r="A218">
        <v>1</v>
      </c>
      <c r="B218" t="s">
        <v>416</v>
      </c>
      <c r="C218" t="s">
        <v>2240</v>
      </c>
      <c r="D218" t="s">
        <v>2241</v>
      </c>
      <c r="E218" t="s">
        <v>2148</v>
      </c>
      <c r="F218" t="s">
        <v>2149</v>
      </c>
      <c r="G218">
        <v>16027.477477477472</v>
      </c>
      <c r="H218">
        <v>192329.72972972968</v>
      </c>
      <c r="I218">
        <v>17612.612612612607</v>
      </c>
      <c r="J218">
        <v>211351.3513513513</v>
      </c>
      <c r="K218">
        <v>19009.009009009005</v>
      </c>
      <c r="L218">
        <v>228108.10810810805</v>
      </c>
      <c r="M218">
        <v>45616</v>
      </c>
      <c r="O218" t="s">
        <v>326</v>
      </c>
      <c r="P218" t="s">
        <v>127</v>
      </c>
      <c r="Q218" t="s">
        <v>140</v>
      </c>
      <c r="R218" t="s">
        <v>2446</v>
      </c>
      <c r="S218" t="s">
        <v>2444</v>
      </c>
      <c r="T218" t="s">
        <v>2445</v>
      </c>
      <c r="U218">
        <v>12</v>
      </c>
      <c r="V218" t="s">
        <v>356</v>
      </c>
      <c r="W218" t="s">
        <v>141</v>
      </c>
      <c r="X218" t="s">
        <v>142</v>
      </c>
      <c r="Y218">
        <v>11611</v>
      </c>
      <c r="Z218">
        <v>11612</v>
      </c>
      <c r="AA218" t="s">
        <v>1025</v>
      </c>
      <c r="AB218">
        <v>1</v>
      </c>
    </row>
    <row r="219" spans="1:28">
      <c r="A219">
        <v>1</v>
      </c>
      <c r="B219" t="s">
        <v>417</v>
      </c>
      <c r="C219" t="s">
        <v>2240</v>
      </c>
      <c r="D219" t="s">
        <v>2241</v>
      </c>
      <c r="E219" t="s">
        <v>2150</v>
      </c>
      <c r="F219" t="s">
        <v>2151</v>
      </c>
      <c r="G219">
        <v>24266.666666666668</v>
      </c>
      <c r="H219">
        <v>291200</v>
      </c>
      <c r="I219">
        <v>26666.666666666668</v>
      </c>
      <c r="J219">
        <v>320000</v>
      </c>
      <c r="K219">
        <v>28738.738738738739</v>
      </c>
      <c r="L219">
        <v>344864.86486486485</v>
      </c>
      <c r="M219">
        <v>45616</v>
      </c>
      <c r="O219" t="s">
        <v>326</v>
      </c>
      <c r="P219" t="s">
        <v>127</v>
      </c>
      <c r="Q219" t="s">
        <v>140</v>
      </c>
      <c r="R219" t="s">
        <v>2446</v>
      </c>
      <c r="S219" t="s">
        <v>2444</v>
      </c>
      <c r="T219" t="s">
        <v>2445</v>
      </c>
      <c r="U219">
        <v>12</v>
      </c>
      <c r="V219" t="s">
        <v>357</v>
      </c>
      <c r="W219" t="s">
        <v>141</v>
      </c>
      <c r="X219" t="s">
        <v>142</v>
      </c>
      <c r="Y219">
        <v>11611</v>
      </c>
      <c r="Z219">
        <v>11612</v>
      </c>
      <c r="AA219" t="s">
        <v>1025</v>
      </c>
      <c r="AB219">
        <v>1</v>
      </c>
    </row>
    <row r="220" spans="1:28">
      <c r="A220">
        <v>1</v>
      </c>
      <c r="B220" t="s">
        <v>418</v>
      </c>
      <c r="C220" t="s">
        <v>2240</v>
      </c>
      <c r="D220" t="s">
        <v>2241</v>
      </c>
      <c r="E220" t="s">
        <v>2152</v>
      </c>
      <c r="F220" t="s">
        <v>2153</v>
      </c>
      <c r="G220">
        <v>28324.774774774774</v>
      </c>
      <c r="H220">
        <v>339897.29729729728</v>
      </c>
      <c r="I220">
        <v>31126.126126126124</v>
      </c>
      <c r="J220">
        <v>373513.51351351349</v>
      </c>
      <c r="K220">
        <v>33603.603603603595</v>
      </c>
      <c r="L220">
        <v>403243.24324324314</v>
      </c>
      <c r="M220">
        <v>45616</v>
      </c>
      <c r="O220" t="s">
        <v>326</v>
      </c>
      <c r="P220" t="s">
        <v>127</v>
      </c>
      <c r="Q220" t="s">
        <v>140</v>
      </c>
      <c r="R220" t="s">
        <v>2446</v>
      </c>
      <c r="S220" t="s">
        <v>2444</v>
      </c>
      <c r="T220" t="s">
        <v>2445</v>
      </c>
      <c r="U220">
        <v>12</v>
      </c>
      <c r="V220" t="s">
        <v>356</v>
      </c>
      <c r="W220" t="s">
        <v>141</v>
      </c>
      <c r="X220" t="s">
        <v>142</v>
      </c>
      <c r="Y220">
        <v>11611</v>
      </c>
      <c r="Z220">
        <v>11612</v>
      </c>
      <c r="AA220" t="s">
        <v>1025</v>
      </c>
      <c r="AB220">
        <v>1</v>
      </c>
    </row>
    <row r="221" spans="1:28">
      <c r="A221">
        <v>1</v>
      </c>
      <c r="B221" t="s">
        <v>420</v>
      </c>
      <c r="C221" t="s">
        <v>2240</v>
      </c>
      <c r="D221" t="s">
        <v>2241</v>
      </c>
      <c r="E221" t="s">
        <v>2154</v>
      </c>
      <c r="F221" t="s">
        <v>2155</v>
      </c>
      <c r="G221">
        <v>118668.9231</v>
      </c>
      <c r="H221">
        <v>474675.6924</v>
      </c>
      <c r="I221">
        <v>130405.41</v>
      </c>
      <c r="J221">
        <v>521621.64</v>
      </c>
      <c r="K221">
        <v>140945.95000000001</v>
      </c>
      <c r="L221">
        <v>563783.80000000005</v>
      </c>
      <c r="M221">
        <v>45616</v>
      </c>
      <c r="O221" t="s">
        <v>326</v>
      </c>
      <c r="P221" t="s">
        <v>127</v>
      </c>
      <c r="Q221" t="s">
        <v>140</v>
      </c>
      <c r="R221" t="s">
        <v>2446</v>
      </c>
      <c r="S221" t="s">
        <v>2444</v>
      </c>
      <c r="T221" t="s">
        <v>2445</v>
      </c>
      <c r="U221">
        <v>4</v>
      </c>
      <c r="V221" t="s">
        <v>358</v>
      </c>
      <c r="W221" t="s">
        <v>141</v>
      </c>
      <c r="X221" t="s">
        <v>142</v>
      </c>
      <c r="Y221">
        <v>11611</v>
      </c>
      <c r="Z221">
        <v>11612</v>
      </c>
      <c r="AA221" t="s">
        <v>1025</v>
      </c>
      <c r="AB221">
        <v>1</v>
      </c>
    </row>
    <row r="222" spans="1:28">
      <c r="A222">
        <v>1</v>
      </c>
      <c r="B222" t="s">
        <v>419</v>
      </c>
      <c r="C222" t="s">
        <v>2240</v>
      </c>
      <c r="D222" t="s">
        <v>2241</v>
      </c>
      <c r="E222" t="s">
        <v>2156</v>
      </c>
      <c r="F222" t="s">
        <v>2157</v>
      </c>
      <c r="G222">
        <v>45500</v>
      </c>
      <c r="H222">
        <v>273000</v>
      </c>
      <c r="I222">
        <v>50000</v>
      </c>
      <c r="J222">
        <v>300000</v>
      </c>
      <c r="K222">
        <v>53963.96</v>
      </c>
      <c r="L222">
        <v>323783.76</v>
      </c>
      <c r="M222">
        <v>45616</v>
      </c>
      <c r="O222" t="s">
        <v>326</v>
      </c>
      <c r="P222" t="s">
        <v>127</v>
      </c>
      <c r="Q222" t="s">
        <v>140</v>
      </c>
      <c r="R222" t="s">
        <v>2446</v>
      </c>
      <c r="S222" t="s">
        <v>2444</v>
      </c>
      <c r="T222" t="s">
        <v>2445</v>
      </c>
      <c r="U222">
        <v>6</v>
      </c>
      <c r="V222" t="s">
        <v>357</v>
      </c>
      <c r="W222" t="s">
        <v>141</v>
      </c>
      <c r="X222" t="s">
        <v>142</v>
      </c>
      <c r="Y222">
        <v>11611</v>
      </c>
      <c r="Z222">
        <v>11612</v>
      </c>
      <c r="AA222" t="s">
        <v>1025</v>
      </c>
      <c r="AB222">
        <v>1</v>
      </c>
    </row>
    <row r="223" spans="1:28">
      <c r="A223">
        <v>1</v>
      </c>
      <c r="B223" t="s">
        <v>407</v>
      </c>
      <c r="C223" t="s">
        <v>2230</v>
      </c>
      <c r="D223" t="s">
        <v>2231</v>
      </c>
      <c r="E223" t="s">
        <v>2082</v>
      </c>
      <c r="F223" t="s">
        <v>2083</v>
      </c>
      <c r="G223">
        <v>19566.365000000002</v>
      </c>
      <c r="H223">
        <v>469592.76</v>
      </c>
      <c r="I223">
        <v>21501.5</v>
      </c>
      <c r="J223">
        <v>516036</v>
      </c>
      <c r="K223">
        <v>23231.98</v>
      </c>
      <c r="L223">
        <v>557567.52</v>
      </c>
      <c r="M223">
        <v>45616</v>
      </c>
      <c r="O223" t="s">
        <v>326</v>
      </c>
      <c r="P223" t="s">
        <v>127</v>
      </c>
      <c r="Q223" t="s">
        <v>140</v>
      </c>
      <c r="R223" t="s">
        <v>2446</v>
      </c>
      <c r="S223" t="s">
        <v>2444</v>
      </c>
      <c r="T223" t="s">
        <v>2445</v>
      </c>
      <c r="U223">
        <v>24</v>
      </c>
      <c r="V223" t="s">
        <v>357</v>
      </c>
      <c r="W223" t="s">
        <v>141</v>
      </c>
      <c r="X223" t="s">
        <v>142</v>
      </c>
      <c r="Y223">
        <v>11611</v>
      </c>
      <c r="Z223">
        <v>11612</v>
      </c>
      <c r="AA223" t="s">
        <v>1025</v>
      </c>
      <c r="AB223">
        <v>1</v>
      </c>
    </row>
    <row r="224" spans="1:28">
      <c r="A224">
        <v>1</v>
      </c>
      <c r="B224" t="s">
        <v>408</v>
      </c>
      <c r="C224" t="s">
        <v>2230</v>
      </c>
      <c r="D224" t="s">
        <v>2231</v>
      </c>
      <c r="E224" t="s">
        <v>2084</v>
      </c>
      <c r="F224" t="s">
        <v>2085</v>
      </c>
      <c r="G224">
        <v>19566.365000000002</v>
      </c>
      <c r="H224">
        <v>469592.76</v>
      </c>
      <c r="I224">
        <v>21501.501501501498</v>
      </c>
      <c r="J224">
        <v>516036.03603603598</v>
      </c>
      <c r="K224">
        <v>23231.98</v>
      </c>
      <c r="L224">
        <v>557567.52</v>
      </c>
      <c r="M224">
        <v>45616</v>
      </c>
      <c r="O224" t="s">
        <v>326</v>
      </c>
      <c r="P224" t="s">
        <v>127</v>
      </c>
      <c r="Q224" t="s">
        <v>140</v>
      </c>
      <c r="R224" t="s">
        <v>2446</v>
      </c>
      <c r="S224" t="s">
        <v>2444</v>
      </c>
      <c r="T224" t="s">
        <v>2445</v>
      </c>
      <c r="U224">
        <v>24</v>
      </c>
      <c r="V224" t="s">
        <v>357</v>
      </c>
      <c r="W224" t="s">
        <v>141</v>
      </c>
      <c r="X224" t="s">
        <v>142</v>
      </c>
      <c r="Y224">
        <v>11611</v>
      </c>
      <c r="Z224">
        <v>11612</v>
      </c>
      <c r="AA224" t="s">
        <v>1025</v>
      </c>
      <c r="AB224">
        <v>1</v>
      </c>
    </row>
    <row r="225" spans="1:28">
      <c r="A225">
        <v>1</v>
      </c>
      <c r="B225" t="s">
        <v>402</v>
      </c>
      <c r="C225" t="s">
        <v>2230</v>
      </c>
      <c r="D225" t="s">
        <v>2231</v>
      </c>
      <c r="E225" t="s">
        <v>2088</v>
      </c>
      <c r="F225" t="s">
        <v>2089</v>
      </c>
      <c r="G225">
        <v>15474.094999999999</v>
      </c>
      <c r="H225">
        <v>185689.13999999998</v>
      </c>
      <c r="I225">
        <v>17004.5</v>
      </c>
      <c r="J225">
        <v>204054</v>
      </c>
      <c r="K225">
        <v>18370.87</v>
      </c>
      <c r="L225">
        <v>220450.44</v>
      </c>
      <c r="M225">
        <v>45616</v>
      </c>
      <c r="O225" t="s">
        <v>326</v>
      </c>
      <c r="P225" t="s">
        <v>127</v>
      </c>
      <c r="Q225" t="s">
        <v>140</v>
      </c>
      <c r="R225" t="s">
        <v>2446</v>
      </c>
      <c r="S225" t="s">
        <v>2444</v>
      </c>
      <c r="T225" t="s">
        <v>2445</v>
      </c>
      <c r="U225">
        <v>12</v>
      </c>
      <c r="V225" t="s">
        <v>357</v>
      </c>
      <c r="W225" t="s">
        <v>141</v>
      </c>
      <c r="X225" t="s">
        <v>142</v>
      </c>
      <c r="Y225">
        <v>11611</v>
      </c>
      <c r="Z225">
        <v>11612</v>
      </c>
      <c r="AA225" t="s">
        <v>1025</v>
      </c>
      <c r="AB225">
        <v>1</v>
      </c>
    </row>
    <row r="226" spans="1:28">
      <c r="A226">
        <v>1</v>
      </c>
      <c r="B226" t="s">
        <v>1033</v>
      </c>
      <c r="C226" t="s">
        <v>2226</v>
      </c>
      <c r="D226" t="s">
        <v>2227</v>
      </c>
      <c r="E226" t="s">
        <v>2018</v>
      </c>
      <c r="F226" t="s">
        <v>2019</v>
      </c>
      <c r="G226">
        <v>9018.0179736111113</v>
      </c>
      <c r="H226">
        <v>649297.29410000006</v>
      </c>
      <c r="I226">
        <v>9909.9098611111112</v>
      </c>
      <c r="J226">
        <v>713513.51</v>
      </c>
      <c r="K226">
        <v>10900.900900900901</v>
      </c>
      <c r="L226">
        <v>784864.86486486485</v>
      </c>
      <c r="M226">
        <v>45616</v>
      </c>
      <c r="O226" t="s">
        <v>326</v>
      </c>
      <c r="P226" t="s">
        <v>127</v>
      </c>
      <c r="Q226" t="s">
        <v>140</v>
      </c>
      <c r="R226" t="s">
        <v>2446</v>
      </c>
      <c r="S226" t="s">
        <v>2444</v>
      </c>
      <c r="T226" t="s">
        <v>2445</v>
      </c>
      <c r="U226">
        <v>72</v>
      </c>
      <c r="V226" t="s">
        <v>1023</v>
      </c>
      <c r="W226" t="s">
        <v>141</v>
      </c>
      <c r="X226" t="s">
        <v>142</v>
      </c>
      <c r="Y226">
        <v>11611</v>
      </c>
      <c r="Z226">
        <v>11612</v>
      </c>
      <c r="AA226" t="s">
        <v>1025</v>
      </c>
      <c r="AB226">
        <v>1</v>
      </c>
    </row>
    <row r="227" spans="1:28">
      <c r="A227">
        <v>1</v>
      </c>
      <c r="B227" t="s">
        <v>1038</v>
      </c>
      <c r="C227" t="s">
        <v>2226</v>
      </c>
      <c r="D227" t="s">
        <v>2227</v>
      </c>
      <c r="E227" t="s">
        <v>2016</v>
      </c>
      <c r="F227" t="s">
        <v>2017</v>
      </c>
      <c r="G227">
        <v>9018.0179736111113</v>
      </c>
      <c r="H227">
        <v>649297.29410000006</v>
      </c>
      <c r="I227">
        <v>9909.9098611111112</v>
      </c>
      <c r="J227">
        <v>713513.51</v>
      </c>
      <c r="K227">
        <v>10900.900900900901</v>
      </c>
      <c r="L227">
        <v>784864.86486486485</v>
      </c>
      <c r="M227">
        <v>45616</v>
      </c>
      <c r="O227" t="s">
        <v>326</v>
      </c>
      <c r="P227" t="s">
        <v>127</v>
      </c>
      <c r="Q227" t="s">
        <v>140</v>
      </c>
      <c r="R227" t="s">
        <v>2446</v>
      </c>
      <c r="S227" t="s">
        <v>2444</v>
      </c>
      <c r="T227" t="s">
        <v>2445</v>
      </c>
      <c r="U227">
        <v>72</v>
      </c>
      <c r="V227" t="s">
        <v>1023</v>
      </c>
      <c r="W227" t="s">
        <v>141</v>
      </c>
      <c r="X227" t="s">
        <v>142</v>
      </c>
      <c r="Y227">
        <v>11611</v>
      </c>
      <c r="Z227">
        <v>11612</v>
      </c>
      <c r="AA227" t="s">
        <v>1025</v>
      </c>
      <c r="AB227">
        <v>1</v>
      </c>
    </row>
    <row r="228" spans="1:28">
      <c r="A228">
        <v>1</v>
      </c>
      <c r="B228" t="s">
        <v>1031</v>
      </c>
      <c r="C228" t="s">
        <v>2226</v>
      </c>
      <c r="D228" t="s">
        <v>2227</v>
      </c>
      <c r="E228" t="s">
        <v>2014</v>
      </c>
      <c r="F228" t="s">
        <v>2015</v>
      </c>
      <c r="G228">
        <v>9018.0179736111113</v>
      </c>
      <c r="H228">
        <v>649297.29410000006</v>
      </c>
      <c r="I228">
        <v>9909.9098611111112</v>
      </c>
      <c r="J228">
        <v>713513.51</v>
      </c>
      <c r="K228">
        <v>10900.900900900901</v>
      </c>
      <c r="L228">
        <v>784864.86486486485</v>
      </c>
      <c r="M228">
        <v>45616</v>
      </c>
      <c r="O228" t="s">
        <v>326</v>
      </c>
      <c r="P228" t="s">
        <v>127</v>
      </c>
      <c r="Q228" t="s">
        <v>140</v>
      </c>
      <c r="R228" t="s">
        <v>2446</v>
      </c>
      <c r="S228" t="s">
        <v>2444</v>
      </c>
      <c r="T228" t="s">
        <v>2445</v>
      </c>
      <c r="U228">
        <v>72</v>
      </c>
      <c r="V228" t="s">
        <v>1023</v>
      </c>
      <c r="W228" t="s">
        <v>141</v>
      </c>
      <c r="X228" t="s">
        <v>142</v>
      </c>
      <c r="Y228">
        <v>11611</v>
      </c>
      <c r="Z228">
        <v>11612</v>
      </c>
      <c r="AA228" t="s">
        <v>1025</v>
      </c>
      <c r="AB228">
        <v>1</v>
      </c>
    </row>
    <row r="229" spans="1:28">
      <c r="A229">
        <v>1</v>
      </c>
      <c r="B229" t="s">
        <v>611</v>
      </c>
      <c r="C229" t="s">
        <v>2246</v>
      </c>
      <c r="D229" t="s">
        <v>2247</v>
      </c>
      <c r="E229" t="s">
        <v>1911</v>
      </c>
      <c r="F229" t="s">
        <v>1912</v>
      </c>
      <c r="G229">
        <v>12907.603800000001</v>
      </c>
      <c r="H229">
        <v>464673.73680000001</v>
      </c>
      <c r="I229">
        <v>14184.18</v>
      </c>
      <c r="J229">
        <v>510630.48</v>
      </c>
      <c r="K229">
        <v>15320.32</v>
      </c>
      <c r="L229">
        <v>551531.52000000002</v>
      </c>
      <c r="M229">
        <v>45616</v>
      </c>
      <c r="O229" t="s">
        <v>326</v>
      </c>
      <c r="P229" t="s">
        <v>127</v>
      </c>
      <c r="Q229" t="s">
        <v>140</v>
      </c>
      <c r="R229" t="s">
        <v>2446</v>
      </c>
      <c r="S229" t="s">
        <v>2444</v>
      </c>
      <c r="T229" t="s">
        <v>2445</v>
      </c>
      <c r="U229">
        <v>36</v>
      </c>
      <c r="V229" t="s">
        <v>357</v>
      </c>
      <c r="W229" t="s">
        <v>141</v>
      </c>
      <c r="X229" t="s">
        <v>142</v>
      </c>
      <c r="Y229">
        <v>11611</v>
      </c>
      <c r="Z229">
        <v>11612</v>
      </c>
      <c r="AA229" t="s">
        <v>1025</v>
      </c>
      <c r="AB229">
        <v>1</v>
      </c>
    </row>
    <row r="230" spans="1:28">
      <c r="A230">
        <v>1</v>
      </c>
      <c r="B230" t="s">
        <v>608</v>
      </c>
      <c r="C230" t="s">
        <v>2246</v>
      </c>
      <c r="D230" t="s">
        <v>2247</v>
      </c>
      <c r="E230" t="s">
        <v>1913</v>
      </c>
      <c r="F230" t="s">
        <v>1914</v>
      </c>
      <c r="G230">
        <v>6494.7974000000004</v>
      </c>
      <c r="H230">
        <v>467625.41280000005</v>
      </c>
      <c r="I230">
        <v>7137.14</v>
      </c>
      <c r="J230">
        <v>513874.08</v>
      </c>
      <c r="K230">
        <v>7727.73</v>
      </c>
      <c r="L230">
        <v>556396.55999999994</v>
      </c>
      <c r="M230">
        <v>45616</v>
      </c>
      <c r="O230" t="s">
        <v>326</v>
      </c>
      <c r="P230" t="s">
        <v>127</v>
      </c>
      <c r="Q230" t="s">
        <v>140</v>
      </c>
      <c r="R230" t="s">
        <v>2446</v>
      </c>
      <c r="S230" t="s">
        <v>2444</v>
      </c>
      <c r="T230" t="s">
        <v>2445</v>
      </c>
      <c r="U230">
        <v>72</v>
      </c>
      <c r="V230" t="s">
        <v>357</v>
      </c>
      <c r="W230" t="s">
        <v>141</v>
      </c>
      <c r="X230" t="s">
        <v>142</v>
      </c>
      <c r="Y230">
        <v>11611</v>
      </c>
      <c r="Z230">
        <v>11612</v>
      </c>
      <c r="AA230" t="s">
        <v>1025</v>
      </c>
      <c r="AB230">
        <v>1</v>
      </c>
    </row>
    <row r="231" spans="1:28">
      <c r="A231">
        <v>1</v>
      </c>
      <c r="B231" t="s">
        <v>609</v>
      </c>
      <c r="C231" t="s">
        <v>2246</v>
      </c>
      <c r="D231" t="s">
        <v>2247</v>
      </c>
      <c r="E231" t="s">
        <v>1915</v>
      </c>
      <c r="F231" t="s">
        <v>1916</v>
      </c>
      <c r="G231">
        <v>12907.603800000001</v>
      </c>
      <c r="H231">
        <v>464673.73680000001</v>
      </c>
      <c r="I231">
        <v>14184.18</v>
      </c>
      <c r="J231">
        <v>510630.48</v>
      </c>
      <c r="K231">
        <v>15320.32</v>
      </c>
      <c r="L231">
        <v>551531.52000000002</v>
      </c>
      <c r="M231">
        <v>45616</v>
      </c>
      <c r="O231" t="s">
        <v>326</v>
      </c>
      <c r="P231" t="s">
        <v>127</v>
      </c>
      <c r="Q231" t="s">
        <v>140</v>
      </c>
      <c r="R231" t="s">
        <v>2446</v>
      </c>
      <c r="S231" t="s">
        <v>2444</v>
      </c>
      <c r="T231" t="s">
        <v>2445</v>
      </c>
      <c r="U231">
        <v>36</v>
      </c>
      <c r="V231" t="s">
        <v>357</v>
      </c>
      <c r="W231" t="s">
        <v>141</v>
      </c>
      <c r="X231" t="s">
        <v>142</v>
      </c>
      <c r="Y231">
        <v>11611</v>
      </c>
      <c r="Z231">
        <v>11612</v>
      </c>
      <c r="AA231" t="s">
        <v>1025</v>
      </c>
      <c r="AB231">
        <v>1</v>
      </c>
    </row>
    <row r="232" spans="1:28">
      <c r="A232">
        <v>1</v>
      </c>
      <c r="B232" t="s">
        <v>571</v>
      </c>
      <c r="C232" t="s">
        <v>2248</v>
      </c>
      <c r="D232" t="s">
        <v>2249</v>
      </c>
      <c r="E232" t="s">
        <v>1917</v>
      </c>
      <c r="F232" t="s">
        <v>1918</v>
      </c>
      <c r="G232">
        <v>4918.9231</v>
      </c>
      <c r="H232">
        <v>354162.4632</v>
      </c>
      <c r="I232">
        <v>5405.41</v>
      </c>
      <c r="J232">
        <v>389189.52</v>
      </c>
      <c r="K232">
        <v>6486.49</v>
      </c>
      <c r="L232">
        <v>467027.27999999997</v>
      </c>
      <c r="M232">
        <v>45616</v>
      </c>
      <c r="O232" t="s">
        <v>326</v>
      </c>
      <c r="P232" t="s">
        <v>127</v>
      </c>
      <c r="Q232" t="s">
        <v>140</v>
      </c>
      <c r="R232" t="s">
        <v>2446</v>
      </c>
      <c r="S232" t="s">
        <v>2444</v>
      </c>
      <c r="T232" t="s">
        <v>2445</v>
      </c>
      <c r="U232">
        <v>72</v>
      </c>
      <c r="V232" t="s">
        <v>1022</v>
      </c>
      <c r="W232" t="s">
        <v>141</v>
      </c>
      <c r="X232" t="s">
        <v>142</v>
      </c>
      <c r="Y232">
        <v>11611</v>
      </c>
      <c r="Z232">
        <v>11612</v>
      </c>
      <c r="AA232" t="s">
        <v>1025</v>
      </c>
      <c r="AB232">
        <v>1</v>
      </c>
    </row>
    <row r="233" spans="1:28">
      <c r="A233">
        <v>1</v>
      </c>
      <c r="B233" t="s">
        <v>569</v>
      </c>
      <c r="C233" t="s">
        <v>2248</v>
      </c>
      <c r="D233" t="s">
        <v>2249</v>
      </c>
      <c r="E233" t="s">
        <v>1919</v>
      </c>
      <c r="F233" t="s">
        <v>1920</v>
      </c>
      <c r="G233">
        <v>4918.9231</v>
      </c>
      <c r="H233">
        <v>354162.4632</v>
      </c>
      <c r="I233">
        <v>5405.41</v>
      </c>
      <c r="J233">
        <v>389189.52</v>
      </c>
      <c r="K233">
        <v>6486.49</v>
      </c>
      <c r="L233">
        <v>467027.27999999997</v>
      </c>
      <c r="M233">
        <v>45616</v>
      </c>
      <c r="O233" t="s">
        <v>326</v>
      </c>
      <c r="P233" t="s">
        <v>127</v>
      </c>
      <c r="Q233" t="s">
        <v>140</v>
      </c>
      <c r="R233" t="s">
        <v>2446</v>
      </c>
      <c r="S233" t="s">
        <v>2444</v>
      </c>
      <c r="T233" t="s">
        <v>2445</v>
      </c>
      <c r="U233">
        <v>72</v>
      </c>
      <c r="V233" t="s">
        <v>1022</v>
      </c>
      <c r="W233" t="s">
        <v>141</v>
      </c>
      <c r="X233" t="s">
        <v>142</v>
      </c>
      <c r="Y233">
        <v>11611</v>
      </c>
      <c r="Z233">
        <v>11612</v>
      </c>
      <c r="AA233" t="s">
        <v>1025</v>
      </c>
      <c r="AB233">
        <v>1</v>
      </c>
    </row>
    <row r="234" spans="1:28">
      <c r="A234">
        <v>1</v>
      </c>
      <c r="B234" t="s">
        <v>572</v>
      </c>
      <c r="C234" t="s">
        <v>2248</v>
      </c>
      <c r="D234" t="s">
        <v>2249</v>
      </c>
      <c r="E234" t="s">
        <v>1921</v>
      </c>
      <c r="F234" t="s">
        <v>1922</v>
      </c>
      <c r="G234">
        <v>4918.9231</v>
      </c>
      <c r="H234">
        <v>354162.4632</v>
      </c>
      <c r="I234">
        <v>5405.41</v>
      </c>
      <c r="J234">
        <v>389189.52</v>
      </c>
      <c r="K234">
        <v>6486.49</v>
      </c>
      <c r="L234">
        <v>467027.27999999997</v>
      </c>
      <c r="M234">
        <v>45616</v>
      </c>
      <c r="O234" t="s">
        <v>326</v>
      </c>
      <c r="P234" t="s">
        <v>127</v>
      </c>
      <c r="Q234" t="s">
        <v>140</v>
      </c>
      <c r="R234" t="s">
        <v>2446</v>
      </c>
      <c r="S234" t="s">
        <v>2444</v>
      </c>
      <c r="T234" t="s">
        <v>2445</v>
      </c>
      <c r="U234">
        <v>72</v>
      </c>
      <c r="V234" t="s">
        <v>1022</v>
      </c>
      <c r="W234" t="s">
        <v>141</v>
      </c>
      <c r="X234" t="s">
        <v>142</v>
      </c>
      <c r="Y234">
        <v>11611</v>
      </c>
      <c r="Z234">
        <v>11612</v>
      </c>
      <c r="AA234" t="s">
        <v>1025</v>
      </c>
      <c r="AB234">
        <v>1</v>
      </c>
    </row>
    <row r="235" spans="1:28">
      <c r="A235">
        <v>1</v>
      </c>
      <c r="B235" t="s">
        <v>570</v>
      </c>
      <c r="C235" t="s">
        <v>2248</v>
      </c>
      <c r="D235" t="s">
        <v>2249</v>
      </c>
      <c r="E235" t="s">
        <v>1923</v>
      </c>
      <c r="F235" t="s">
        <v>1924</v>
      </c>
      <c r="G235">
        <v>4918.9231</v>
      </c>
      <c r="H235">
        <v>354162.4632</v>
      </c>
      <c r="I235">
        <v>5405.41</v>
      </c>
      <c r="J235">
        <v>389189.52</v>
      </c>
      <c r="K235">
        <v>6486.49</v>
      </c>
      <c r="L235">
        <v>467027.27999999997</v>
      </c>
      <c r="M235">
        <v>45616</v>
      </c>
      <c r="O235" t="s">
        <v>326</v>
      </c>
      <c r="P235" t="s">
        <v>127</v>
      </c>
      <c r="Q235" t="s">
        <v>140</v>
      </c>
      <c r="R235" t="s">
        <v>2446</v>
      </c>
      <c r="S235" t="s">
        <v>2444</v>
      </c>
      <c r="T235" t="s">
        <v>2445</v>
      </c>
      <c r="U235">
        <v>72</v>
      </c>
      <c r="V235" t="s">
        <v>1022</v>
      </c>
      <c r="W235" t="s">
        <v>141</v>
      </c>
      <c r="X235" t="s">
        <v>142</v>
      </c>
      <c r="Y235">
        <v>11611</v>
      </c>
      <c r="Z235">
        <v>11612</v>
      </c>
      <c r="AA235" t="s">
        <v>1025</v>
      </c>
      <c r="AB235">
        <v>1</v>
      </c>
    </row>
    <row r="236" spans="1:28">
      <c r="A236">
        <v>1</v>
      </c>
      <c r="B236" t="s">
        <v>573</v>
      </c>
      <c r="C236" t="s">
        <v>2250</v>
      </c>
      <c r="D236" t="s">
        <v>2251</v>
      </c>
      <c r="E236" t="s">
        <v>1925</v>
      </c>
      <c r="F236" t="s">
        <v>1926</v>
      </c>
      <c r="G236">
        <v>9018.0180999999993</v>
      </c>
      <c r="H236">
        <v>649297.30319999997</v>
      </c>
      <c r="I236">
        <v>9909.91</v>
      </c>
      <c r="J236">
        <v>713513.52</v>
      </c>
      <c r="K236">
        <v>10900.9</v>
      </c>
      <c r="L236">
        <v>784864.79999999993</v>
      </c>
      <c r="M236">
        <v>45616</v>
      </c>
      <c r="O236" t="s">
        <v>326</v>
      </c>
      <c r="P236" t="s">
        <v>127</v>
      </c>
      <c r="Q236" t="s">
        <v>140</v>
      </c>
      <c r="R236" t="s">
        <v>2446</v>
      </c>
      <c r="S236" t="s">
        <v>2444</v>
      </c>
      <c r="T236" t="s">
        <v>2445</v>
      </c>
      <c r="U236">
        <v>72</v>
      </c>
      <c r="V236" t="s">
        <v>1023</v>
      </c>
      <c r="W236" t="s">
        <v>141</v>
      </c>
      <c r="X236" t="s">
        <v>142</v>
      </c>
      <c r="Y236">
        <v>11611</v>
      </c>
      <c r="Z236">
        <v>11612</v>
      </c>
      <c r="AA236" t="s">
        <v>1025</v>
      </c>
      <c r="AB236">
        <v>1</v>
      </c>
    </row>
    <row r="237" spans="1:28">
      <c r="A237">
        <v>1</v>
      </c>
      <c r="B237" t="s">
        <v>553</v>
      </c>
      <c r="C237" t="s">
        <v>2250</v>
      </c>
      <c r="D237" t="s">
        <v>2251</v>
      </c>
      <c r="E237" t="s">
        <v>1927</v>
      </c>
      <c r="F237" t="s">
        <v>1928</v>
      </c>
      <c r="G237">
        <v>9018.0180999999993</v>
      </c>
      <c r="H237">
        <v>649297.30319999997</v>
      </c>
      <c r="I237">
        <v>9909.91</v>
      </c>
      <c r="J237">
        <v>713513.52</v>
      </c>
      <c r="K237">
        <v>10900.9</v>
      </c>
      <c r="L237">
        <v>784864.79999999993</v>
      </c>
      <c r="M237">
        <v>45616</v>
      </c>
      <c r="O237" t="s">
        <v>326</v>
      </c>
      <c r="P237" t="s">
        <v>127</v>
      </c>
      <c r="Q237" t="s">
        <v>140</v>
      </c>
      <c r="R237" t="s">
        <v>2446</v>
      </c>
      <c r="S237" t="s">
        <v>2444</v>
      </c>
      <c r="T237" t="s">
        <v>2445</v>
      </c>
      <c r="U237">
        <v>72</v>
      </c>
      <c r="V237" t="s">
        <v>1023</v>
      </c>
      <c r="W237" t="s">
        <v>141</v>
      </c>
      <c r="X237" t="s">
        <v>142</v>
      </c>
      <c r="Y237">
        <v>11611</v>
      </c>
      <c r="Z237">
        <v>11612</v>
      </c>
      <c r="AA237" t="s">
        <v>1025</v>
      </c>
      <c r="AB237">
        <v>1</v>
      </c>
    </row>
    <row r="238" spans="1:28">
      <c r="A238">
        <v>1</v>
      </c>
      <c r="B238" t="s">
        <v>554</v>
      </c>
      <c r="C238" t="s">
        <v>2250</v>
      </c>
      <c r="D238" t="s">
        <v>2251</v>
      </c>
      <c r="E238" t="s">
        <v>1929</v>
      </c>
      <c r="F238" t="s">
        <v>1930</v>
      </c>
      <c r="G238">
        <v>9018.0180999999993</v>
      </c>
      <c r="H238">
        <v>649297.30319999997</v>
      </c>
      <c r="I238">
        <v>9909.91</v>
      </c>
      <c r="J238">
        <v>713513.52</v>
      </c>
      <c r="K238">
        <v>10900.9</v>
      </c>
      <c r="L238">
        <v>784864.79999999993</v>
      </c>
      <c r="M238">
        <v>45616</v>
      </c>
      <c r="O238" t="s">
        <v>326</v>
      </c>
      <c r="P238" t="s">
        <v>127</v>
      </c>
      <c r="Q238" t="s">
        <v>140</v>
      </c>
      <c r="R238" t="s">
        <v>2446</v>
      </c>
      <c r="S238" t="s">
        <v>2444</v>
      </c>
      <c r="T238" t="s">
        <v>2445</v>
      </c>
      <c r="U238">
        <v>72</v>
      </c>
      <c r="V238" t="s">
        <v>1023</v>
      </c>
      <c r="W238" t="s">
        <v>141</v>
      </c>
      <c r="X238" t="s">
        <v>142</v>
      </c>
      <c r="Y238">
        <v>11611</v>
      </c>
      <c r="Z238">
        <v>11612</v>
      </c>
      <c r="AA238" t="s">
        <v>1025</v>
      </c>
      <c r="AB238">
        <v>1</v>
      </c>
    </row>
    <row r="239" spans="1:28">
      <c r="A239">
        <v>1</v>
      </c>
      <c r="B239" t="s">
        <v>555</v>
      </c>
      <c r="C239" t="s">
        <v>2250</v>
      </c>
      <c r="D239" t="s">
        <v>2251</v>
      </c>
      <c r="E239" t="s">
        <v>1931</v>
      </c>
      <c r="F239" t="s">
        <v>1932</v>
      </c>
      <c r="G239">
        <v>9018.0180999999993</v>
      </c>
      <c r="H239">
        <v>649297.30319999997</v>
      </c>
      <c r="I239">
        <v>9909.91</v>
      </c>
      <c r="J239">
        <v>713513.52</v>
      </c>
      <c r="K239">
        <v>10900.9</v>
      </c>
      <c r="L239">
        <v>784864.79999999993</v>
      </c>
      <c r="M239">
        <v>45616</v>
      </c>
      <c r="O239" t="s">
        <v>326</v>
      </c>
      <c r="P239" t="s">
        <v>127</v>
      </c>
      <c r="Q239" t="s">
        <v>140</v>
      </c>
      <c r="R239" t="s">
        <v>2446</v>
      </c>
      <c r="S239" t="s">
        <v>2444</v>
      </c>
      <c r="T239" t="s">
        <v>2445</v>
      </c>
      <c r="U239">
        <v>72</v>
      </c>
      <c r="V239" t="s">
        <v>1023</v>
      </c>
      <c r="W239" t="s">
        <v>141</v>
      </c>
      <c r="X239" t="s">
        <v>142</v>
      </c>
      <c r="Y239">
        <v>11611</v>
      </c>
      <c r="Z239">
        <v>11612</v>
      </c>
      <c r="AA239" t="s">
        <v>1025</v>
      </c>
      <c r="AB239">
        <v>1</v>
      </c>
    </row>
    <row r="240" spans="1:28">
      <c r="A240">
        <v>1</v>
      </c>
      <c r="B240" t="s">
        <v>556</v>
      </c>
      <c r="C240" t="s">
        <v>2250</v>
      </c>
      <c r="D240" t="s">
        <v>2251</v>
      </c>
      <c r="E240" t="s">
        <v>1933</v>
      </c>
      <c r="F240" t="s">
        <v>1934</v>
      </c>
      <c r="G240">
        <v>9018.0180999999993</v>
      </c>
      <c r="H240">
        <v>649297.30319999997</v>
      </c>
      <c r="I240">
        <v>9909.91</v>
      </c>
      <c r="J240">
        <v>713513.52</v>
      </c>
      <c r="K240">
        <v>10900.9</v>
      </c>
      <c r="L240">
        <v>784864.79999999993</v>
      </c>
      <c r="M240">
        <v>45616</v>
      </c>
      <c r="O240" t="s">
        <v>326</v>
      </c>
      <c r="P240" t="s">
        <v>127</v>
      </c>
      <c r="Q240" t="s">
        <v>140</v>
      </c>
      <c r="R240" t="s">
        <v>2446</v>
      </c>
      <c r="S240" t="s">
        <v>2444</v>
      </c>
      <c r="T240" t="s">
        <v>2445</v>
      </c>
      <c r="U240">
        <v>72</v>
      </c>
      <c r="V240" t="s">
        <v>1023</v>
      </c>
      <c r="W240" t="s">
        <v>141</v>
      </c>
      <c r="X240" t="s">
        <v>142</v>
      </c>
      <c r="Y240">
        <v>11611</v>
      </c>
      <c r="Z240">
        <v>11612</v>
      </c>
      <c r="AA240" t="s">
        <v>1025</v>
      </c>
      <c r="AB240">
        <v>1</v>
      </c>
    </row>
    <row r="241" spans="1:28">
      <c r="A241">
        <v>1</v>
      </c>
      <c r="B241" t="s">
        <v>557</v>
      </c>
      <c r="C241" t="s">
        <v>2250</v>
      </c>
      <c r="D241" t="s">
        <v>2251</v>
      </c>
      <c r="E241" t="s">
        <v>1935</v>
      </c>
      <c r="F241" t="s">
        <v>1936</v>
      </c>
      <c r="G241">
        <v>9018.0180999999993</v>
      </c>
      <c r="H241">
        <v>649297.30319999997</v>
      </c>
      <c r="I241">
        <v>9909.91</v>
      </c>
      <c r="J241">
        <v>713513.52</v>
      </c>
      <c r="K241">
        <v>10900.9</v>
      </c>
      <c r="L241">
        <v>784864.79999999993</v>
      </c>
      <c r="M241">
        <v>45616</v>
      </c>
      <c r="O241" t="s">
        <v>326</v>
      </c>
      <c r="P241" t="s">
        <v>127</v>
      </c>
      <c r="Q241" t="s">
        <v>140</v>
      </c>
      <c r="R241" t="s">
        <v>2446</v>
      </c>
      <c r="S241" t="s">
        <v>2444</v>
      </c>
      <c r="T241" t="s">
        <v>2445</v>
      </c>
      <c r="U241">
        <v>72</v>
      </c>
      <c r="V241" t="s">
        <v>1023</v>
      </c>
      <c r="W241" t="s">
        <v>141</v>
      </c>
      <c r="X241" t="s">
        <v>142</v>
      </c>
      <c r="Y241">
        <v>11611</v>
      </c>
      <c r="Z241">
        <v>11612</v>
      </c>
      <c r="AA241" t="s">
        <v>1025</v>
      </c>
      <c r="AB241">
        <v>1</v>
      </c>
    </row>
    <row r="242" spans="1:28">
      <c r="A242">
        <v>1</v>
      </c>
      <c r="B242" t="s">
        <v>558</v>
      </c>
      <c r="C242" t="s">
        <v>2250</v>
      </c>
      <c r="D242" t="s">
        <v>2251</v>
      </c>
      <c r="E242" t="s">
        <v>1937</v>
      </c>
      <c r="F242" t="s">
        <v>1938</v>
      </c>
      <c r="G242">
        <v>9018.0180999999993</v>
      </c>
      <c r="H242">
        <v>649297.30319999997</v>
      </c>
      <c r="I242">
        <v>9909.91</v>
      </c>
      <c r="J242">
        <v>713513.52</v>
      </c>
      <c r="K242">
        <v>10900.9</v>
      </c>
      <c r="L242">
        <v>784864.79999999993</v>
      </c>
      <c r="M242">
        <v>45616</v>
      </c>
      <c r="O242" t="s">
        <v>326</v>
      </c>
      <c r="P242" t="s">
        <v>127</v>
      </c>
      <c r="Q242" t="s">
        <v>140</v>
      </c>
      <c r="R242" t="s">
        <v>2446</v>
      </c>
      <c r="S242" t="s">
        <v>2444</v>
      </c>
      <c r="T242" t="s">
        <v>2445</v>
      </c>
      <c r="U242">
        <v>72</v>
      </c>
      <c r="V242" t="s">
        <v>1023</v>
      </c>
      <c r="W242" t="s">
        <v>141</v>
      </c>
      <c r="X242" t="s">
        <v>142</v>
      </c>
      <c r="Y242">
        <v>11611</v>
      </c>
      <c r="Z242">
        <v>11612</v>
      </c>
      <c r="AA242" t="s">
        <v>1025</v>
      </c>
      <c r="AB242">
        <v>1</v>
      </c>
    </row>
    <row r="243" spans="1:28">
      <c r="A243">
        <v>1</v>
      </c>
      <c r="B243" t="s">
        <v>559</v>
      </c>
      <c r="C243" t="s">
        <v>2250</v>
      </c>
      <c r="D243" t="s">
        <v>2251</v>
      </c>
      <c r="E243" t="s">
        <v>1939</v>
      </c>
      <c r="F243" t="s">
        <v>1940</v>
      </c>
      <c r="G243">
        <v>9018.0180999999993</v>
      </c>
      <c r="H243">
        <v>649297.30319999997</v>
      </c>
      <c r="I243">
        <v>9909.91</v>
      </c>
      <c r="J243">
        <v>713513.52</v>
      </c>
      <c r="K243">
        <v>10900.9</v>
      </c>
      <c r="L243">
        <v>784864.79999999993</v>
      </c>
      <c r="M243">
        <v>45616</v>
      </c>
      <c r="O243" t="s">
        <v>326</v>
      </c>
      <c r="P243" t="s">
        <v>127</v>
      </c>
      <c r="Q243" t="s">
        <v>140</v>
      </c>
      <c r="R243" t="s">
        <v>2446</v>
      </c>
      <c r="S243" t="s">
        <v>2444</v>
      </c>
      <c r="T243" t="s">
        <v>2445</v>
      </c>
      <c r="U243">
        <v>72</v>
      </c>
      <c r="V243" t="s">
        <v>1023</v>
      </c>
      <c r="W243" t="s">
        <v>141</v>
      </c>
      <c r="X243" t="s">
        <v>142</v>
      </c>
      <c r="Y243">
        <v>11611</v>
      </c>
      <c r="Z243">
        <v>11612</v>
      </c>
      <c r="AA243" t="s">
        <v>1025</v>
      </c>
      <c r="AB243">
        <v>1</v>
      </c>
    </row>
    <row r="244" spans="1:28">
      <c r="A244">
        <v>1</v>
      </c>
      <c r="B244" t="s">
        <v>607</v>
      </c>
      <c r="C244" t="s">
        <v>2246</v>
      </c>
      <c r="D244" t="s">
        <v>2247</v>
      </c>
      <c r="E244" t="s">
        <v>1909</v>
      </c>
      <c r="F244" t="s">
        <v>1910</v>
      </c>
      <c r="G244">
        <v>12907.603800000001</v>
      </c>
      <c r="H244">
        <v>464673.73680000001</v>
      </c>
      <c r="I244">
        <v>14184.18</v>
      </c>
      <c r="J244">
        <v>510630.48</v>
      </c>
      <c r="K244">
        <v>15320.32</v>
      </c>
      <c r="L244">
        <v>551531.52000000002</v>
      </c>
      <c r="M244">
        <v>45616</v>
      </c>
      <c r="O244" t="s">
        <v>326</v>
      </c>
      <c r="P244" t="s">
        <v>127</v>
      </c>
      <c r="Q244" t="s">
        <v>140</v>
      </c>
      <c r="R244" t="s">
        <v>2446</v>
      </c>
      <c r="S244" t="s">
        <v>2444</v>
      </c>
      <c r="T244" t="s">
        <v>2445</v>
      </c>
      <c r="U244">
        <v>36</v>
      </c>
      <c r="V244" t="s">
        <v>357</v>
      </c>
      <c r="W244" t="s">
        <v>141</v>
      </c>
      <c r="X244" t="s">
        <v>142</v>
      </c>
      <c r="Y244">
        <v>11611</v>
      </c>
      <c r="Z244">
        <v>11612</v>
      </c>
      <c r="AA244" t="s">
        <v>1025</v>
      </c>
      <c r="AB244">
        <v>1</v>
      </c>
    </row>
    <row r="245" spans="1:28">
      <c r="A245">
        <v>1</v>
      </c>
      <c r="B245" t="s">
        <v>560</v>
      </c>
      <c r="C245" t="s">
        <v>2250</v>
      </c>
      <c r="D245" t="s">
        <v>2251</v>
      </c>
      <c r="E245" t="s">
        <v>1941</v>
      </c>
      <c r="F245" t="s">
        <v>1942</v>
      </c>
      <c r="G245">
        <v>9018.0180999999993</v>
      </c>
      <c r="H245">
        <v>649297.30319999997</v>
      </c>
      <c r="I245">
        <v>9909.91</v>
      </c>
      <c r="J245">
        <v>713513.52</v>
      </c>
      <c r="K245">
        <v>10900.9</v>
      </c>
      <c r="L245">
        <v>784864.79999999993</v>
      </c>
      <c r="M245">
        <v>45616</v>
      </c>
      <c r="O245" t="s">
        <v>326</v>
      </c>
      <c r="P245" t="s">
        <v>127</v>
      </c>
      <c r="Q245" t="s">
        <v>140</v>
      </c>
      <c r="R245" t="s">
        <v>2446</v>
      </c>
      <c r="S245" t="s">
        <v>2444</v>
      </c>
      <c r="T245" t="s">
        <v>2445</v>
      </c>
      <c r="U245">
        <v>72</v>
      </c>
      <c r="V245" t="s">
        <v>1023</v>
      </c>
      <c r="W245" t="s">
        <v>141</v>
      </c>
      <c r="X245" t="s">
        <v>142</v>
      </c>
      <c r="Y245">
        <v>11611</v>
      </c>
      <c r="Z245">
        <v>11612</v>
      </c>
      <c r="AA245" t="s">
        <v>1025</v>
      </c>
      <c r="AB245">
        <v>1</v>
      </c>
    </row>
    <row r="246" spans="1:28">
      <c r="A246">
        <v>1</v>
      </c>
      <c r="B246" t="s">
        <v>606</v>
      </c>
      <c r="C246" t="s">
        <v>2246</v>
      </c>
      <c r="D246" t="s">
        <v>2247</v>
      </c>
      <c r="E246" t="s">
        <v>1907</v>
      </c>
      <c r="F246" t="s">
        <v>1908</v>
      </c>
      <c r="G246">
        <v>6494.7974000000004</v>
      </c>
      <c r="H246">
        <v>467625.41280000005</v>
      </c>
      <c r="I246">
        <v>7137.14</v>
      </c>
      <c r="J246">
        <v>513874.08</v>
      </c>
      <c r="K246">
        <v>7727.73</v>
      </c>
      <c r="L246">
        <v>556396.55999999994</v>
      </c>
      <c r="M246">
        <v>45616</v>
      </c>
      <c r="O246" t="s">
        <v>326</v>
      </c>
      <c r="P246" t="s">
        <v>127</v>
      </c>
      <c r="Q246" t="s">
        <v>140</v>
      </c>
      <c r="R246" t="s">
        <v>2446</v>
      </c>
      <c r="S246" t="s">
        <v>2444</v>
      </c>
      <c r="T246" t="s">
        <v>2445</v>
      </c>
      <c r="U246">
        <v>72</v>
      </c>
      <c r="V246" t="s">
        <v>357</v>
      </c>
      <c r="W246" t="s">
        <v>141</v>
      </c>
      <c r="X246" t="s">
        <v>142</v>
      </c>
      <c r="Y246">
        <v>11611</v>
      </c>
      <c r="Z246">
        <v>11612</v>
      </c>
      <c r="AA246" t="s">
        <v>1025</v>
      </c>
      <c r="AB246">
        <v>1</v>
      </c>
    </row>
    <row r="247" spans="1:28">
      <c r="A247">
        <v>1</v>
      </c>
      <c r="B247" t="s">
        <v>604</v>
      </c>
      <c r="C247" t="s">
        <v>2246</v>
      </c>
      <c r="D247" t="s">
        <v>2247</v>
      </c>
      <c r="E247" t="s">
        <v>1903</v>
      </c>
      <c r="F247" t="s">
        <v>1904</v>
      </c>
      <c r="G247">
        <v>6494.7974000000004</v>
      </c>
      <c r="H247">
        <v>467625.41280000005</v>
      </c>
      <c r="I247">
        <v>7137.14</v>
      </c>
      <c r="J247">
        <v>513874.08</v>
      </c>
      <c r="K247">
        <v>7727.73</v>
      </c>
      <c r="L247">
        <v>556396.55999999994</v>
      </c>
      <c r="M247">
        <v>45616</v>
      </c>
      <c r="O247" t="s">
        <v>326</v>
      </c>
      <c r="P247" t="s">
        <v>127</v>
      </c>
      <c r="Q247" t="s">
        <v>140</v>
      </c>
      <c r="R247" t="s">
        <v>2446</v>
      </c>
      <c r="S247" t="s">
        <v>2444</v>
      </c>
      <c r="T247" t="s">
        <v>2445</v>
      </c>
      <c r="U247">
        <v>72</v>
      </c>
      <c r="V247" t="s">
        <v>357</v>
      </c>
      <c r="W247" t="s">
        <v>141</v>
      </c>
      <c r="X247" t="s">
        <v>142</v>
      </c>
      <c r="Y247">
        <v>11611</v>
      </c>
      <c r="Z247">
        <v>11612</v>
      </c>
      <c r="AA247" t="s">
        <v>1025</v>
      </c>
      <c r="AB247">
        <v>1</v>
      </c>
    </row>
    <row r="248" spans="1:28">
      <c r="A248">
        <v>1</v>
      </c>
      <c r="B248" t="s">
        <v>581</v>
      </c>
      <c r="C248" t="s">
        <v>2188</v>
      </c>
      <c r="D248" t="s">
        <v>2189</v>
      </c>
      <c r="E248" t="s">
        <v>1873</v>
      </c>
      <c r="F248" t="s">
        <v>1874</v>
      </c>
      <c r="G248">
        <v>12748.1991</v>
      </c>
      <c r="H248">
        <v>458935.16759999999</v>
      </c>
      <c r="I248">
        <v>14009.01</v>
      </c>
      <c r="J248">
        <v>504324.36</v>
      </c>
      <c r="K248">
        <v>15135.14</v>
      </c>
      <c r="L248">
        <v>544865.04</v>
      </c>
      <c r="M248">
        <v>45616</v>
      </c>
      <c r="O248" t="s">
        <v>326</v>
      </c>
      <c r="P248" t="s">
        <v>127</v>
      </c>
      <c r="Q248" t="s">
        <v>140</v>
      </c>
      <c r="R248" t="s">
        <v>2446</v>
      </c>
      <c r="S248" t="s">
        <v>2444</v>
      </c>
      <c r="T248" t="s">
        <v>2445</v>
      </c>
      <c r="U248">
        <v>36</v>
      </c>
      <c r="V248" t="s">
        <v>357</v>
      </c>
      <c r="W248" t="s">
        <v>141</v>
      </c>
      <c r="X248" t="s">
        <v>142</v>
      </c>
      <c r="Y248">
        <v>11611</v>
      </c>
      <c r="Z248">
        <v>11612</v>
      </c>
      <c r="AA248" t="s">
        <v>1025</v>
      </c>
      <c r="AB248">
        <v>1</v>
      </c>
    </row>
    <row r="249" spans="1:28">
      <c r="A249">
        <v>1</v>
      </c>
      <c r="B249" t="s">
        <v>582</v>
      </c>
      <c r="C249" t="s">
        <v>2188</v>
      </c>
      <c r="D249" t="s">
        <v>2189</v>
      </c>
      <c r="E249" t="s">
        <v>1875</v>
      </c>
      <c r="F249" t="s">
        <v>1876</v>
      </c>
      <c r="G249">
        <v>7337.3846000000003</v>
      </c>
      <c r="H249">
        <v>264145.8456</v>
      </c>
      <c r="I249">
        <v>8063.06</v>
      </c>
      <c r="J249">
        <v>290270.16000000003</v>
      </c>
      <c r="K249">
        <v>8693.69</v>
      </c>
      <c r="L249">
        <v>312972.84000000003</v>
      </c>
      <c r="M249">
        <v>45616</v>
      </c>
      <c r="O249" t="s">
        <v>326</v>
      </c>
      <c r="P249" t="s">
        <v>127</v>
      </c>
      <c r="Q249" t="s">
        <v>140</v>
      </c>
      <c r="R249" t="s">
        <v>2446</v>
      </c>
      <c r="S249" t="s">
        <v>2444</v>
      </c>
      <c r="T249" t="s">
        <v>2445</v>
      </c>
      <c r="U249">
        <v>36</v>
      </c>
      <c r="V249" t="s">
        <v>357</v>
      </c>
      <c r="W249" t="s">
        <v>141</v>
      </c>
      <c r="X249" t="s">
        <v>142</v>
      </c>
      <c r="Y249">
        <v>11611</v>
      </c>
      <c r="Z249">
        <v>11612</v>
      </c>
      <c r="AA249" t="s">
        <v>1025</v>
      </c>
      <c r="AB249">
        <v>1</v>
      </c>
    </row>
    <row r="250" spans="1:28">
      <c r="A250">
        <v>1</v>
      </c>
      <c r="B250" t="s">
        <v>583</v>
      </c>
      <c r="C250" t="s">
        <v>2188</v>
      </c>
      <c r="D250" t="s">
        <v>2189</v>
      </c>
      <c r="E250" t="s">
        <v>1877</v>
      </c>
      <c r="F250" t="s">
        <v>1878</v>
      </c>
      <c r="G250">
        <v>12748.1991</v>
      </c>
      <c r="H250">
        <v>458935.16759999999</v>
      </c>
      <c r="I250">
        <v>14009.01</v>
      </c>
      <c r="J250">
        <v>504324.36</v>
      </c>
      <c r="K250">
        <v>15135.14</v>
      </c>
      <c r="L250">
        <v>544865.04</v>
      </c>
      <c r="M250">
        <v>45616</v>
      </c>
      <c r="O250" t="s">
        <v>326</v>
      </c>
      <c r="P250" t="s">
        <v>127</v>
      </c>
      <c r="Q250" t="s">
        <v>140</v>
      </c>
      <c r="R250" t="s">
        <v>2446</v>
      </c>
      <c r="S250" t="s">
        <v>2444</v>
      </c>
      <c r="T250" t="s">
        <v>2445</v>
      </c>
      <c r="U250">
        <v>36</v>
      </c>
      <c r="V250" t="s">
        <v>357</v>
      </c>
      <c r="W250" t="s">
        <v>141</v>
      </c>
      <c r="X250" t="s">
        <v>142</v>
      </c>
      <c r="Y250">
        <v>11611</v>
      </c>
      <c r="Z250">
        <v>11612</v>
      </c>
      <c r="AA250" t="s">
        <v>1025</v>
      </c>
      <c r="AB250">
        <v>1</v>
      </c>
    </row>
    <row r="251" spans="1:28">
      <c r="A251">
        <v>1</v>
      </c>
      <c r="B251" t="s">
        <v>593</v>
      </c>
      <c r="C251" t="s">
        <v>2252</v>
      </c>
      <c r="D251" t="s">
        <v>2253</v>
      </c>
      <c r="E251" t="s">
        <v>1879</v>
      </c>
      <c r="F251" t="s">
        <v>1880</v>
      </c>
      <c r="G251">
        <v>4757.2343000000001</v>
      </c>
      <c r="H251">
        <v>342520.86959999998</v>
      </c>
      <c r="I251">
        <v>5227.7299999999996</v>
      </c>
      <c r="J251">
        <v>376396.55999999994</v>
      </c>
      <c r="K251">
        <v>5681.93</v>
      </c>
      <c r="L251">
        <v>409098.96</v>
      </c>
      <c r="M251">
        <v>45616</v>
      </c>
      <c r="O251" t="s">
        <v>326</v>
      </c>
      <c r="P251" t="s">
        <v>127</v>
      </c>
      <c r="Q251" t="s">
        <v>140</v>
      </c>
      <c r="R251" t="s">
        <v>2446</v>
      </c>
      <c r="S251" t="s">
        <v>2444</v>
      </c>
      <c r="T251" t="s">
        <v>2445</v>
      </c>
      <c r="U251">
        <v>72</v>
      </c>
      <c r="V251" t="s">
        <v>357</v>
      </c>
      <c r="W251" t="s">
        <v>141</v>
      </c>
      <c r="X251" t="s">
        <v>142</v>
      </c>
      <c r="Y251">
        <v>11611</v>
      </c>
      <c r="Z251">
        <v>11612</v>
      </c>
      <c r="AA251" t="s">
        <v>1025</v>
      </c>
      <c r="AB251">
        <v>1</v>
      </c>
    </row>
    <row r="252" spans="1:28">
      <c r="A252">
        <v>1</v>
      </c>
      <c r="B252" t="s">
        <v>594</v>
      </c>
      <c r="C252" t="s">
        <v>2252</v>
      </c>
      <c r="D252" t="s">
        <v>2253</v>
      </c>
      <c r="E252" t="s">
        <v>1881</v>
      </c>
      <c r="F252" t="s">
        <v>1882</v>
      </c>
      <c r="G252">
        <v>7116.4911999999995</v>
      </c>
      <c r="H252">
        <v>256193.68319999997</v>
      </c>
      <c r="I252">
        <v>7820.32</v>
      </c>
      <c r="J252">
        <v>281531.52000000002</v>
      </c>
      <c r="K252">
        <v>8455.9599999999991</v>
      </c>
      <c r="L252">
        <v>304414.55999999994</v>
      </c>
      <c r="M252">
        <v>45616</v>
      </c>
      <c r="O252" t="s">
        <v>326</v>
      </c>
      <c r="P252" t="s">
        <v>127</v>
      </c>
      <c r="Q252" t="s">
        <v>140</v>
      </c>
      <c r="R252" t="s">
        <v>2446</v>
      </c>
      <c r="S252" t="s">
        <v>2444</v>
      </c>
      <c r="T252" t="s">
        <v>2445</v>
      </c>
      <c r="U252">
        <v>36</v>
      </c>
      <c r="V252" t="s">
        <v>357</v>
      </c>
      <c r="W252" t="s">
        <v>141</v>
      </c>
      <c r="X252" t="s">
        <v>142</v>
      </c>
      <c r="Y252">
        <v>11611</v>
      </c>
      <c r="Z252">
        <v>11612</v>
      </c>
      <c r="AA252" t="s">
        <v>1025</v>
      </c>
      <c r="AB252">
        <v>1</v>
      </c>
    </row>
    <row r="253" spans="1:28">
      <c r="A253">
        <v>1</v>
      </c>
      <c r="B253" t="s">
        <v>595</v>
      </c>
      <c r="C253" t="s">
        <v>2252</v>
      </c>
      <c r="D253" t="s">
        <v>2253</v>
      </c>
      <c r="E253" t="s">
        <v>1883</v>
      </c>
      <c r="F253" t="s">
        <v>1884</v>
      </c>
      <c r="G253">
        <v>11914.7119</v>
      </c>
      <c r="H253">
        <v>428929.62839999999</v>
      </c>
      <c r="I253">
        <v>13093.09</v>
      </c>
      <c r="J253">
        <v>471351.24</v>
      </c>
      <c r="K253">
        <v>14547.05</v>
      </c>
      <c r="L253">
        <v>523693.8</v>
      </c>
      <c r="M253">
        <v>45616</v>
      </c>
      <c r="O253" t="s">
        <v>326</v>
      </c>
      <c r="P253" t="s">
        <v>127</v>
      </c>
      <c r="Q253" t="s">
        <v>140</v>
      </c>
      <c r="R253" t="s">
        <v>2446</v>
      </c>
      <c r="S253" t="s">
        <v>2444</v>
      </c>
      <c r="T253" t="s">
        <v>2445</v>
      </c>
      <c r="U253">
        <v>36</v>
      </c>
      <c r="V253" t="s">
        <v>357</v>
      </c>
      <c r="W253" t="s">
        <v>141</v>
      </c>
      <c r="X253" t="s">
        <v>142</v>
      </c>
      <c r="Y253">
        <v>11611</v>
      </c>
      <c r="Z253">
        <v>11612</v>
      </c>
      <c r="AA253" t="s">
        <v>1025</v>
      </c>
      <c r="AB253">
        <v>1</v>
      </c>
    </row>
    <row r="254" spans="1:28">
      <c r="A254">
        <v>1</v>
      </c>
      <c r="B254" t="s">
        <v>590</v>
      </c>
      <c r="C254" t="s">
        <v>2252</v>
      </c>
      <c r="D254" t="s">
        <v>2253</v>
      </c>
      <c r="E254" t="s">
        <v>1885</v>
      </c>
      <c r="F254" t="s">
        <v>1886</v>
      </c>
      <c r="G254">
        <v>4757.2343000000001</v>
      </c>
      <c r="H254">
        <v>342520.86959999998</v>
      </c>
      <c r="I254">
        <v>5227.7299999999996</v>
      </c>
      <c r="J254">
        <v>376396.55999999994</v>
      </c>
      <c r="K254">
        <v>5681.93</v>
      </c>
      <c r="L254">
        <v>409098.96</v>
      </c>
      <c r="M254">
        <v>45616</v>
      </c>
      <c r="O254" t="s">
        <v>326</v>
      </c>
      <c r="P254" t="s">
        <v>127</v>
      </c>
      <c r="Q254" t="s">
        <v>140</v>
      </c>
      <c r="R254" t="s">
        <v>2446</v>
      </c>
      <c r="S254" t="s">
        <v>2444</v>
      </c>
      <c r="T254" t="s">
        <v>2445</v>
      </c>
      <c r="U254">
        <v>72</v>
      </c>
      <c r="V254" t="s">
        <v>357</v>
      </c>
      <c r="W254" t="s">
        <v>141</v>
      </c>
      <c r="X254" t="s">
        <v>142</v>
      </c>
      <c r="Y254">
        <v>11611</v>
      </c>
      <c r="Z254">
        <v>11612</v>
      </c>
      <c r="AA254" t="s">
        <v>1025</v>
      </c>
      <c r="AB254">
        <v>1</v>
      </c>
    </row>
    <row r="255" spans="1:28">
      <c r="A255">
        <v>1</v>
      </c>
      <c r="B255" t="s">
        <v>591</v>
      </c>
      <c r="C255" t="s">
        <v>2252</v>
      </c>
      <c r="D255" t="s">
        <v>2253</v>
      </c>
      <c r="E255" t="s">
        <v>1887</v>
      </c>
      <c r="F255" t="s">
        <v>1888</v>
      </c>
      <c r="G255">
        <v>7116.4911999999995</v>
      </c>
      <c r="H255">
        <v>256193.68319999997</v>
      </c>
      <c r="I255">
        <v>7820.32</v>
      </c>
      <c r="J255">
        <v>281531.52000000002</v>
      </c>
      <c r="K255">
        <v>8455.9599999999991</v>
      </c>
      <c r="L255">
        <v>304414.55999999994</v>
      </c>
      <c r="M255">
        <v>45616</v>
      </c>
      <c r="O255" t="s">
        <v>326</v>
      </c>
      <c r="P255" t="s">
        <v>127</v>
      </c>
      <c r="Q255" t="s">
        <v>140</v>
      </c>
      <c r="R255" t="s">
        <v>2446</v>
      </c>
      <c r="S255" t="s">
        <v>2444</v>
      </c>
      <c r="T255" t="s">
        <v>2445</v>
      </c>
      <c r="U255">
        <v>36</v>
      </c>
      <c r="V255" t="s">
        <v>357</v>
      </c>
      <c r="W255" t="s">
        <v>141</v>
      </c>
      <c r="X255" t="s">
        <v>142</v>
      </c>
      <c r="Y255">
        <v>11611</v>
      </c>
      <c r="Z255">
        <v>11612</v>
      </c>
      <c r="AA255" t="s">
        <v>1025</v>
      </c>
      <c r="AB255">
        <v>1</v>
      </c>
    </row>
    <row r="256" spans="1:28">
      <c r="A256">
        <v>1</v>
      </c>
      <c r="B256" t="s">
        <v>592</v>
      </c>
      <c r="C256" t="s">
        <v>2252</v>
      </c>
      <c r="D256" t="s">
        <v>2253</v>
      </c>
      <c r="E256" t="s">
        <v>1889</v>
      </c>
      <c r="F256" t="s">
        <v>1890</v>
      </c>
      <c r="G256">
        <v>11914.7119</v>
      </c>
      <c r="H256">
        <v>428929.62839999999</v>
      </c>
      <c r="I256">
        <v>13093.09</v>
      </c>
      <c r="J256">
        <v>471351.24</v>
      </c>
      <c r="K256">
        <v>14547.05</v>
      </c>
      <c r="L256">
        <v>523693.8</v>
      </c>
      <c r="M256">
        <v>45616</v>
      </c>
      <c r="O256" t="s">
        <v>326</v>
      </c>
      <c r="P256" t="s">
        <v>127</v>
      </c>
      <c r="Q256" t="s">
        <v>140</v>
      </c>
      <c r="R256" t="s">
        <v>2446</v>
      </c>
      <c r="S256" t="s">
        <v>2444</v>
      </c>
      <c r="T256" t="s">
        <v>2445</v>
      </c>
      <c r="U256">
        <v>36</v>
      </c>
      <c r="V256" t="s">
        <v>357</v>
      </c>
      <c r="W256" t="s">
        <v>141</v>
      </c>
      <c r="X256" t="s">
        <v>142</v>
      </c>
      <c r="Y256">
        <v>11611</v>
      </c>
      <c r="Z256">
        <v>11612</v>
      </c>
      <c r="AA256" t="s">
        <v>1025</v>
      </c>
      <c r="AB256">
        <v>1</v>
      </c>
    </row>
    <row r="257" spans="1:28">
      <c r="A257">
        <v>1</v>
      </c>
      <c r="B257" t="s">
        <v>599</v>
      </c>
      <c r="C257" t="s">
        <v>2254</v>
      </c>
      <c r="D257" t="s">
        <v>2255</v>
      </c>
      <c r="E257" t="s">
        <v>1891</v>
      </c>
      <c r="F257" t="s">
        <v>1892</v>
      </c>
      <c r="G257">
        <v>7911.2579000000005</v>
      </c>
      <c r="H257">
        <v>569610.56880000001</v>
      </c>
      <c r="I257">
        <v>8693.69</v>
      </c>
      <c r="J257">
        <v>625945.68000000005</v>
      </c>
      <c r="K257">
        <v>9414.41</v>
      </c>
      <c r="L257">
        <v>677837.52</v>
      </c>
      <c r="M257">
        <v>45616</v>
      </c>
      <c r="O257" t="s">
        <v>326</v>
      </c>
      <c r="P257" t="s">
        <v>127</v>
      </c>
      <c r="Q257" t="s">
        <v>140</v>
      </c>
      <c r="R257" t="s">
        <v>2446</v>
      </c>
      <c r="S257" t="s">
        <v>2444</v>
      </c>
      <c r="T257" t="s">
        <v>2445</v>
      </c>
      <c r="U257">
        <v>72</v>
      </c>
      <c r="V257" t="s">
        <v>357</v>
      </c>
      <c r="W257" t="s">
        <v>141</v>
      </c>
      <c r="X257" t="s">
        <v>142</v>
      </c>
      <c r="Y257">
        <v>11611</v>
      </c>
      <c r="Z257">
        <v>11612</v>
      </c>
      <c r="AA257" t="s">
        <v>1025</v>
      </c>
      <c r="AB257">
        <v>1</v>
      </c>
    </row>
    <row r="258" spans="1:28">
      <c r="A258">
        <v>1</v>
      </c>
      <c r="B258" t="s">
        <v>600</v>
      </c>
      <c r="C258" t="s">
        <v>2254</v>
      </c>
      <c r="D258" t="s">
        <v>2255</v>
      </c>
      <c r="E258" t="s">
        <v>1893</v>
      </c>
      <c r="F258" t="s">
        <v>1894</v>
      </c>
      <c r="G258">
        <v>15494.597299999999</v>
      </c>
      <c r="H258">
        <v>557805.50280000002</v>
      </c>
      <c r="I258">
        <v>17027.03</v>
      </c>
      <c r="J258">
        <v>612973.07999999996</v>
      </c>
      <c r="K258">
        <v>18378.38</v>
      </c>
      <c r="L258">
        <v>661621.68000000005</v>
      </c>
      <c r="M258">
        <v>45616</v>
      </c>
      <c r="O258" t="s">
        <v>326</v>
      </c>
      <c r="P258" t="s">
        <v>127</v>
      </c>
      <c r="Q258" t="s">
        <v>140</v>
      </c>
      <c r="R258" t="s">
        <v>2446</v>
      </c>
      <c r="S258" t="s">
        <v>2444</v>
      </c>
      <c r="T258" t="s">
        <v>2445</v>
      </c>
      <c r="U258">
        <v>36</v>
      </c>
      <c r="V258" t="s">
        <v>357</v>
      </c>
      <c r="W258" t="s">
        <v>141</v>
      </c>
      <c r="X258" t="s">
        <v>142</v>
      </c>
      <c r="Y258">
        <v>11611</v>
      </c>
      <c r="Z258">
        <v>11612</v>
      </c>
      <c r="AA258" t="s">
        <v>1025</v>
      </c>
      <c r="AB258">
        <v>1</v>
      </c>
    </row>
    <row r="259" spans="1:28">
      <c r="A259">
        <v>1</v>
      </c>
      <c r="B259" t="s">
        <v>601</v>
      </c>
      <c r="C259" t="s">
        <v>2254</v>
      </c>
      <c r="D259" t="s">
        <v>2255</v>
      </c>
      <c r="E259" t="s">
        <v>1895</v>
      </c>
      <c r="F259" t="s">
        <v>1896</v>
      </c>
      <c r="G259">
        <v>26890.090499999998</v>
      </c>
      <c r="H259">
        <v>968043.25799999991</v>
      </c>
      <c r="I259">
        <v>29549.55</v>
      </c>
      <c r="J259">
        <v>1063783.8</v>
      </c>
      <c r="K259">
        <v>31936.94</v>
      </c>
      <c r="L259">
        <v>1149729.8399999999</v>
      </c>
      <c r="M259">
        <v>45616</v>
      </c>
      <c r="O259" t="s">
        <v>326</v>
      </c>
      <c r="P259" t="s">
        <v>127</v>
      </c>
      <c r="Q259" t="s">
        <v>140</v>
      </c>
      <c r="R259" t="s">
        <v>2446</v>
      </c>
      <c r="S259" t="s">
        <v>2444</v>
      </c>
      <c r="T259" t="s">
        <v>2445</v>
      </c>
      <c r="U259">
        <v>36</v>
      </c>
      <c r="V259" t="s">
        <v>357</v>
      </c>
      <c r="W259" t="s">
        <v>141</v>
      </c>
      <c r="X259" t="s">
        <v>142</v>
      </c>
      <c r="Y259">
        <v>11611</v>
      </c>
      <c r="Z259">
        <v>11612</v>
      </c>
      <c r="AA259" t="s">
        <v>1025</v>
      </c>
      <c r="AB259">
        <v>1</v>
      </c>
    </row>
    <row r="260" spans="1:28">
      <c r="A260">
        <v>1</v>
      </c>
      <c r="B260" t="s">
        <v>602</v>
      </c>
      <c r="C260" t="s">
        <v>2246</v>
      </c>
      <c r="D260" t="s">
        <v>2247</v>
      </c>
      <c r="E260" t="s">
        <v>1897</v>
      </c>
      <c r="F260" t="s">
        <v>1898</v>
      </c>
      <c r="G260">
        <v>6494.7974000000004</v>
      </c>
      <c r="H260">
        <v>467625.41280000005</v>
      </c>
      <c r="I260">
        <v>7137.14</v>
      </c>
      <c r="J260">
        <v>513874.08</v>
      </c>
      <c r="K260">
        <v>7727.73</v>
      </c>
      <c r="L260">
        <v>556396.55999999994</v>
      </c>
      <c r="M260">
        <v>45616</v>
      </c>
      <c r="O260" t="s">
        <v>326</v>
      </c>
      <c r="P260" t="s">
        <v>127</v>
      </c>
      <c r="Q260" t="s">
        <v>140</v>
      </c>
      <c r="R260" t="s">
        <v>2446</v>
      </c>
      <c r="S260" t="s">
        <v>2444</v>
      </c>
      <c r="T260" t="s">
        <v>2445</v>
      </c>
      <c r="U260">
        <v>72</v>
      </c>
      <c r="V260" t="s">
        <v>357</v>
      </c>
      <c r="W260" t="s">
        <v>141</v>
      </c>
      <c r="X260" t="s">
        <v>142</v>
      </c>
      <c r="Y260">
        <v>11611</v>
      </c>
      <c r="Z260">
        <v>11612</v>
      </c>
      <c r="AA260" t="s">
        <v>1025</v>
      </c>
      <c r="AB260">
        <v>1</v>
      </c>
    </row>
    <row r="261" spans="1:28">
      <c r="A261">
        <v>1</v>
      </c>
      <c r="B261" t="s">
        <v>603</v>
      </c>
      <c r="C261" t="s">
        <v>2246</v>
      </c>
      <c r="D261" t="s">
        <v>2247</v>
      </c>
      <c r="E261" t="s">
        <v>1899</v>
      </c>
      <c r="F261" t="s">
        <v>1900</v>
      </c>
      <c r="G261">
        <v>12907.603800000001</v>
      </c>
      <c r="H261">
        <v>464673.73680000001</v>
      </c>
      <c r="I261">
        <v>14184.18</v>
      </c>
      <c r="J261">
        <v>510630.48</v>
      </c>
      <c r="K261">
        <v>15320.32</v>
      </c>
      <c r="L261">
        <v>551531.52000000002</v>
      </c>
      <c r="M261">
        <v>45616</v>
      </c>
      <c r="O261" t="s">
        <v>326</v>
      </c>
      <c r="P261" t="s">
        <v>127</v>
      </c>
      <c r="Q261" t="s">
        <v>140</v>
      </c>
      <c r="R261" t="s">
        <v>2446</v>
      </c>
      <c r="S261" t="s">
        <v>2444</v>
      </c>
      <c r="T261" t="s">
        <v>2445</v>
      </c>
      <c r="U261">
        <v>36</v>
      </c>
      <c r="V261" t="s">
        <v>357</v>
      </c>
      <c r="W261" t="s">
        <v>141</v>
      </c>
      <c r="X261" t="s">
        <v>142</v>
      </c>
      <c r="Y261">
        <v>11611</v>
      </c>
      <c r="Z261">
        <v>11612</v>
      </c>
      <c r="AA261" t="s">
        <v>1025</v>
      </c>
      <c r="AB261">
        <v>1</v>
      </c>
    </row>
    <row r="262" spans="1:28">
      <c r="A262">
        <v>1</v>
      </c>
      <c r="B262" t="s">
        <v>610</v>
      </c>
      <c r="C262" t="s">
        <v>2246</v>
      </c>
      <c r="D262" t="s">
        <v>2247</v>
      </c>
      <c r="E262" t="s">
        <v>1901</v>
      </c>
      <c r="F262" t="s">
        <v>1902</v>
      </c>
      <c r="G262">
        <v>12907.603800000001</v>
      </c>
      <c r="H262">
        <v>464673.73680000001</v>
      </c>
      <c r="I262">
        <v>14184.18</v>
      </c>
      <c r="J262">
        <v>510630.48</v>
      </c>
      <c r="K262">
        <v>15320.32</v>
      </c>
      <c r="L262">
        <v>551531.52000000002</v>
      </c>
      <c r="M262">
        <v>45616</v>
      </c>
      <c r="O262" t="s">
        <v>326</v>
      </c>
      <c r="P262" t="s">
        <v>127</v>
      </c>
      <c r="Q262" t="s">
        <v>140</v>
      </c>
      <c r="R262" t="s">
        <v>2446</v>
      </c>
      <c r="S262" t="s">
        <v>2444</v>
      </c>
      <c r="T262" t="s">
        <v>2445</v>
      </c>
      <c r="U262">
        <v>36</v>
      </c>
      <c r="V262" t="s">
        <v>357</v>
      </c>
      <c r="W262" t="s">
        <v>141</v>
      </c>
      <c r="X262" t="s">
        <v>142</v>
      </c>
      <c r="Y262">
        <v>11611</v>
      </c>
      <c r="Z262">
        <v>11612</v>
      </c>
      <c r="AA262" t="s">
        <v>1025</v>
      </c>
      <c r="AB262">
        <v>1</v>
      </c>
    </row>
    <row r="263" spans="1:28">
      <c r="A263">
        <v>1</v>
      </c>
      <c r="B263" t="s">
        <v>605</v>
      </c>
      <c r="C263" t="s">
        <v>2246</v>
      </c>
      <c r="D263" t="s">
        <v>2247</v>
      </c>
      <c r="E263" t="s">
        <v>1905</v>
      </c>
      <c r="F263" t="s">
        <v>1906</v>
      </c>
      <c r="G263">
        <v>12907.603800000001</v>
      </c>
      <c r="H263">
        <v>464673.73680000001</v>
      </c>
      <c r="I263">
        <v>14184.18</v>
      </c>
      <c r="J263">
        <v>510630.48</v>
      </c>
      <c r="K263">
        <v>15320.32</v>
      </c>
      <c r="L263">
        <v>551531.52000000002</v>
      </c>
      <c r="M263">
        <v>45616</v>
      </c>
      <c r="O263" t="s">
        <v>326</v>
      </c>
      <c r="P263" t="s">
        <v>127</v>
      </c>
      <c r="Q263" t="s">
        <v>140</v>
      </c>
      <c r="R263" t="s">
        <v>2446</v>
      </c>
      <c r="S263" t="s">
        <v>2444</v>
      </c>
      <c r="T263" t="s">
        <v>2445</v>
      </c>
      <c r="U263">
        <v>36</v>
      </c>
      <c r="V263" t="s">
        <v>357</v>
      </c>
      <c r="W263" t="s">
        <v>141</v>
      </c>
      <c r="X263" t="s">
        <v>142</v>
      </c>
      <c r="Y263">
        <v>11611</v>
      </c>
      <c r="Z263">
        <v>11612</v>
      </c>
      <c r="AA263" t="s">
        <v>1025</v>
      </c>
      <c r="AB263">
        <v>1</v>
      </c>
    </row>
    <row r="264" spans="1:28">
      <c r="A264">
        <v>1</v>
      </c>
      <c r="B264" t="s">
        <v>577</v>
      </c>
      <c r="C264" t="s">
        <v>2188</v>
      </c>
      <c r="D264" t="s">
        <v>2189</v>
      </c>
      <c r="E264" t="s">
        <v>1869</v>
      </c>
      <c r="F264" t="s">
        <v>1870</v>
      </c>
      <c r="G264">
        <v>5082.8869000000004</v>
      </c>
      <c r="H264">
        <v>365967.85680000001</v>
      </c>
      <c r="I264">
        <v>5585.59</v>
      </c>
      <c r="J264">
        <v>402162.48</v>
      </c>
      <c r="K264">
        <v>6081.08</v>
      </c>
      <c r="L264">
        <v>437837.76</v>
      </c>
      <c r="M264">
        <v>45616</v>
      </c>
      <c r="O264" t="s">
        <v>326</v>
      </c>
      <c r="P264" t="s">
        <v>127</v>
      </c>
      <c r="Q264" t="s">
        <v>140</v>
      </c>
      <c r="R264" t="s">
        <v>2446</v>
      </c>
      <c r="S264" t="s">
        <v>2444</v>
      </c>
      <c r="T264" t="s">
        <v>2445</v>
      </c>
      <c r="U264">
        <v>72</v>
      </c>
      <c r="V264" t="s">
        <v>357</v>
      </c>
      <c r="W264" t="s">
        <v>141</v>
      </c>
      <c r="X264" t="s">
        <v>142</v>
      </c>
      <c r="Y264">
        <v>11611</v>
      </c>
      <c r="Z264">
        <v>11612</v>
      </c>
      <c r="AA264" t="s">
        <v>1025</v>
      </c>
      <c r="AB264">
        <v>1</v>
      </c>
    </row>
    <row r="265" spans="1:28">
      <c r="A265">
        <v>1</v>
      </c>
      <c r="B265" t="s">
        <v>561</v>
      </c>
      <c r="C265" t="s">
        <v>2250</v>
      </c>
      <c r="D265" t="s">
        <v>2251</v>
      </c>
      <c r="E265" t="s">
        <v>1943</v>
      </c>
      <c r="F265" t="s">
        <v>1944</v>
      </c>
      <c r="G265">
        <v>9018.0180999999993</v>
      </c>
      <c r="H265">
        <v>649297.30319999997</v>
      </c>
      <c r="I265">
        <v>9909.91</v>
      </c>
      <c r="J265">
        <v>713513.52</v>
      </c>
      <c r="K265">
        <v>10900.9</v>
      </c>
      <c r="L265">
        <v>784864.79999999993</v>
      </c>
      <c r="M265">
        <v>45616</v>
      </c>
      <c r="O265" t="s">
        <v>326</v>
      </c>
      <c r="P265" t="s">
        <v>127</v>
      </c>
      <c r="Q265" t="s">
        <v>140</v>
      </c>
      <c r="R265" t="s">
        <v>2446</v>
      </c>
      <c r="S265" t="s">
        <v>2444</v>
      </c>
      <c r="T265" t="s">
        <v>2445</v>
      </c>
      <c r="U265">
        <v>72</v>
      </c>
      <c r="V265" t="s">
        <v>1023</v>
      </c>
      <c r="W265" t="s">
        <v>141</v>
      </c>
      <c r="X265" t="s">
        <v>142</v>
      </c>
      <c r="Y265">
        <v>11611</v>
      </c>
      <c r="Z265">
        <v>11612</v>
      </c>
      <c r="AA265" t="s">
        <v>1025</v>
      </c>
      <c r="AB265">
        <v>1</v>
      </c>
    </row>
    <row r="266" spans="1:28">
      <c r="A266">
        <v>1</v>
      </c>
      <c r="B266" t="s">
        <v>563</v>
      </c>
      <c r="C266" t="s">
        <v>2250</v>
      </c>
      <c r="D266" t="s">
        <v>2251</v>
      </c>
      <c r="E266" t="s">
        <v>1947</v>
      </c>
      <c r="F266" t="s">
        <v>1948</v>
      </c>
      <c r="G266">
        <v>9018.0180999999993</v>
      </c>
      <c r="H266">
        <v>649297.30319999997</v>
      </c>
      <c r="I266">
        <v>9909.91</v>
      </c>
      <c r="J266">
        <v>713513.52</v>
      </c>
      <c r="K266">
        <v>10900.9</v>
      </c>
      <c r="L266">
        <v>784864.79999999993</v>
      </c>
      <c r="M266">
        <v>45616</v>
      </c>
      <c r="O266" t="s">
        <v>326</v>
      </c>
      <c r="P266" t="s">
        <v>127</v>
      </c>
      <c r="Q266" t="s">
        <v>140</v>
      </c>
      <c r="R266" t="s">
        <v>2446</v>
      </c>
      <c r="S266" t="s">
        <v>2444</v>
      </c>
      <c r="T266" t="s">
        <v>2445</v>
      </c>
      <c r="U266">
        <v>72</v>
      </c>
      <c r="V266" t="s">
        <v>1023</v>
      </c>
      <c r="W266" t="s">
        <v>141</v>
      </c>
      <c r="X266" t="s">
        <v>142</v>
      </c>
      <c r="Y266">
        <v>11611</v>
      </c>
      <c r="Z266">
        <v>11612</v>
      </c>
      <c r="AA266" t="s">
        <v>1025</v>
      </c>
      <c r="AB266">
        <v>1</v>
      </c>
    </row>
    <row r="267" spans="1:28">
      <c r="A267">
        <v>1</v>
      </c>
      <c r="B267" t="s">
        <v>548</v>
      </c>
      <c r="C267" t="s">
        <v>2256</v>
      </c>
      <c r="D267" t="s">
        <v>2257</v>
      </c>
      <c r="E267" t="s">
        <v>1984</v>
      </c>
      <c r="F267" t="s">
        <v>1985</v>
      </c>
      <c r="G267">
        <v>9550.9009050000004</v>
      </c>
      <c r="H267">
        <v>343832.43258000002</v>
      </c>
      <c r="I267">
        <v>10495.495500000001</v>
      </c>
      <c r="J267">
        <v>377837.83800000005</v>
      </c>
      <c r="K267">
        <v>10495.495500000001</v>
      </c>
      <c r="L267">
        <v>377837.83800000005</v>
      </c>
      <c r="M267">
        <v>45616</v>
      </c>
      <c r="O267" t="s">
        <v>326</v>
      </c>
      <c r="P267" t="s">
        <v>127</v>
      </c>
      <c r="Q267" t="s">
        <v>140</v>
      </c>
      <c r="R267" t="s">
        <v>2446</v>
      </c>
      <c r="S267" t="s">
        <v>2444</v>
      </c>
      <c r="T267" t="s">
        <v>2445</v>
      </c>
      <c r="U267">
        <v>36</v>
      </c>
      <c r="V267" t="s">
        <v>357</v>
      </c>
      <c r="W267" t="s">
        <v>141</v>
      </c>
      <c r="X267" t="s">
        <v>142</v>
      </c>
      <c r="Y267">
        <v>11611</v>
      </c>
      <c r="Z267">
        <v>11612</v>
      </c>
      <c r="AA267" t="s">
        <v>1025</v>
      </c>
      <c r="AB267">
        <v>1</v>
      </c>
    </row>
    <row r="268" spans="1:28">
      <c r="A268">
        <v>1</v>
      </c>
      <c r="B268" t="s">
        <v>535</v>
      </c>
      <c r="C268" t="s">
        <v>2258</v>
      </c>
      <c r="D268" t="s">
        <v>2259</v>
      </c>
      <c r="E268" t="s">
        <v>1986</v>
      </c>
      <c r="F268" t="s">
        <v>1987</v>
      </c>
      <c r="G268">
        <v>8198.1981899999992</v>
      </c>
      <c r="H268">
        <v>295135.13483999996</v>
      </c>
      <c r="I268">
        <v>9009.009</v>
      </c>
      <c r="J268">
        <v>324324.32400000002</v>
      </c>
      <c r="K268">
        <v>9009.009</v>
      </c>
      <c r="L268">
        <v>324324.32400000002</v>
      </c>
      <c r="M268">
        <v>45616</v>
      </c>
      <c r="O268" t="s">
        <v>326</v>
      </c>
      <c r="P268" t="s">
        <v>127</v>
      </c>
      <c r="Q268" t="s">
        <v>140</v>
      </c>
      <c r="R268" t="s">
        <v>2446</v>
      </c>
      <c r="S268" t="s">
        <v>2444</v>
      </c>
      <c r="T268" t="s">
        <v>2445</v>
      </c>
      <c r="U268">
        <v>36</v>
      </c>
      <c r="V268" t="s">
        <v>357</v>
      </c>
      <c r="W268" t="s">
        <v>141</v>
      </c>
      <c r="X268" t="s">
        <v>142</v>
      </c>
      <c r="Y268">
        <v>11611</v>
      </c>
      <c r="Z268">
        <v>11612</v>
      </c>
      <c r="AA268" t="s">
        <v>1025</v>
      </c>
      <c r="AB268">
        <v>1</v>
      </c>
    </row>
    <row r="269" spans="1:28">
      <c r="A269">
        <v>1</v>
      </c>
      <c r="B269" t="s">
        <v>542</v>
      </c>
      <c r="C269" t="s">
        <v>2258</v>
      </c>
      <c r="D269" t="s">
        <v>2259</v>
      </c>
      <c r="E269" t="s">
        <v>1988</v>
      </c>
      <c r="F269" t="s">
        <v>1989</v>
      </c>
      <c r="G269">
        <v>8198.1981899999992</v>
      </c>
      <c r="H269">
        <v>295135.13483999996</v>
      </c>
      <c r="I269">
        <v>9009.009</v>
      </c>
      <c r="J269">
        <v>324324.32400000002</v>
      </c>
      <c r="K269">
        <v>9009.009</v>
      </c>
      <c r="L269">
        <v>324324.32400000002</v>
      </c>
      <c r="M269">
        <v>45616</v>
      </c>
      <c r="O269" t="s">
        <v>326</v>
      </c>
      <c r="P269" t="s">
        <v>127</v>
      </c>
      <c r="Q269" t="s">
        <v>140</v>
      </c>
      <c r="R269" t="s">
        <v>2446</v>
      </c>
      <c r="S269" t="s">
        <v>2444</v>
      </c>
      <c r="T269" t="s">
        <v>2445</v>
      </c>
      <c r="U269">
        <v>36</v>
      </c>
      <c r="V269" t="s">
        <v>357</v>
      </c>
      <c r="W269" t="s">
        <v>141</v>
      </c>
      <c r="X269" t="s">
        <v>142</v>
      </c>
      <c r="Y269">
        <v>11611</v>
      </c>
      <c r="Z269">
        <v>11612</v>
      </c>
      <c r="AA269" t="s">
        <v>1025</v>
      </c>
      <c r="AB269">
        <v>1</v>
      </c>
    </row>
    <row r="270" spans="1:28">
      <c r="A270">
        <v>1</v>
      </c>
      <c r="B270" t="s">
        <v>547</v>
      </c>
      <c r="C270" t="s">
        <v>2258</v>
      </c>
      <c r="D270" t="s">
        <v>2259</v>
      </c>
      <c r="E270" t="s">
        <v>1990</v>
      </c>
      <c r="F270" t="s">
        <v>1991</v>
      </c>
      <c r="G270">
        <v>8198.1981899999992</v>
      </c>
      <c r="H270">
        <v>295135.13483999996</v>
      </c>
      <c r="I270">
        <v>9009.009</v>
      </c>
      <c r="J270">
        <v>324324.32400000002</v>
      </c>
      <c r="K270">
        <v>9009.009</v>
      </c>
      <c r="L270">
        <v>324324.32400000002</v>
      </c>
      <c r="M270">
        <v>45616</v>
      </c>
      <c r="O270" t="s">
        <v>326</v>
      </c>
      <c r="P270" t="s">
        <v>127</v>
      </c>
      <c r="Q270" t="s">
        <v>140</v>
      </c>
      <c r="R270" t="s">
        <v>2446</v>
      </c>
      <c r="S270" t="s">
        <v>2444</v>
      </c>
      <c r="T270" t="s">
        <v>2445</v>
      </c>
      <c r="U270">
        <v>36</v>
      </c>
      <c r="V270" t="s">
        <v>357</v>
      </c>
      <c r="W270" t="s">
        <v>141</v>
      </c>
      <c r="X270" t="s">
        <v>142</v>
      </c>
      <c r="Y270">
        <v>11611</v>
      </c>
      <c r="Z270">
        <v>11612</v>
      </c>
      <c r="AA270" t="s">
        <v>1025</v>
      </c>
      <c r="AB270">
        <v>1</v>
      </c>
    </row>
    <row r="271" spans="1:28">
      <c r="A271">
        <v>1</v>
      </c>
      <c r="B271" t="s">
        <v>551</v>
      </c>
      <c r="C271" t="s">
        <v>2258</v>
      </c>
      <c r="D271" t="s">
        <v>2259</v>
      </c>
      <c r="E271" t="s">
        <v>1992</v>
      </c>
      <c r="F271" t="s">
        <v>1993</v>
      </c>
      <c r="G271">
        <v>8198.1981899999992</v>
      </c>
      <c r="H271">
        <v>295135.13483999996</v>
      </c>
      <c r="I271">
        <v>9009.009</v>
      </c>
      <c r="J271">
        <v>324324.32400000002</v>
      </c>
      <c r="K271">
        <v>9009.009</v>
      </c>
      <c r="L271">
        <v>324324.32400000002</v>
      </c>
      <c r="M271">
        <v>45616</v>
      </c>
      <c r="O271" t="s">
        <v>326</v>
      </c>
      <c r="P271" t="s">
        <v>127</v>
      </c>
      <c r="Q271" t="s">
        <v>140</v>
      </c>
      <c r="R271" t="s">
        <v>2446</v>
      </c>
      <c r="S271" t="s">
        <v>2444</v>
      </c>
      <c r="T271" t="s">
        <v>2445</v>
      </c>
      <c r="U271">
        <v>36</v>
      </c>
      <c r="V271" t="s">
        <v>357</v>
      </c>
      <c r="W271" t="s">
        <v>141</v>
      </c>
      <c r="X271" t="s">
        <v>142</v>
      </c>
      <c r="Y271">
        <v>11611</v>
      </c>
      <c r="Z271">
        <v>11612</v>
      </c>
      <c r="AA271" t="s">
        <v>1025</v>
      </c>
      <c r="AB271">
        <v>1</v>
      </c>
    </row>
    <row r="272" spans="1:28">
      <c r="A272">
        <v>1</v>
      </c>
      <c r="B272" t="s">
        <v>552</v>
      </c>
      <c r="C272" t="s">
        <v>2260</v>
      </c>
      <c r="D272" t="s">
        <v>2261</v>
      </c>
      <c r="E272" t="s">
        <v>1994</v>
      </c>
      <c r="F272" t="s">
        <v>1995</v>
      </c>
      <c r="G272">
        <v>0</v>
      </c>
      <c r="H272">
        <v>0</v>
      </c>
      <c r="I272">
        <v>13198.198198198197</v>
      </c>
      <c r="J272">
        <v>475135.13513513509</v>
      </c>
      <c r="K272">
        <v>0</v>
      </c>
      <c r="L272">
        <v>0</v>
      </c>
      <c r="M272">
        <v>45616</v>
      </c>
      <c r="O272" t="s">
        <v>326</v>
      </c>
      <c r="P272" t="s">
        <v>127</v>
      </c>
      <c r="Q272" t="s">
        <v>140</v>
      </c>
      <c r="R272" t="s">
        <v>2446</v>
      </c>
      <c r="S272" t="s">
        <v>2444</v>
      </c>
      <c r="T272" t="s">
        <v>2445</v>
      </c>
      <c r="U272">
        <v>36</v>
      </c>
      <c r="V272" t="s">
        <v>357</v>
      </c>
      <c r="W272" t="s">
        <v>141</v>
      </c>
      <c r="X272" t="s">
        <v>142</v>
      </c>
      <c r="Y272">
        <v>11611</v>
      </c>
      <c r="Z272">
        <v>11612</v>
      </c>
      <c r="AA272" t="s">
        <v>1025</v>
      </c>
      <c r="AB272">
        <v>1</v>
      </c>
    </row>
    <row r="273" spans="1:28">
      <c r="A273">
        <v>1</v>
      </c>
      <c r="B273" t="s">
        <v>549</v>
      </c>
      <c r="C273" t="s">
        <v>2260</v>
      </c>
      <c r="D273" t="s">
        <v>2261</v>
      </c>
      <c r="E273" t="s">
        <v>1996</v>
      </c>
      <c r="F273" t="s">
        <v>1997</v>
      </c>
      <c r="G273">
        <v>12010.360362000001</v>
      </c>
      <c r="H273">
        <v>432372.97303200007</v>
      </c>
      <c r="I273">
        <v>13198.198200000001</v>
      </c>
      <c r="J273">
        <v>475135.13520000002</v>
      </c>
      <c r="K273">
        <v>13198.198200000001</v>
      </c>
      <c r="L273">
        <v>475135.13520000002</v>
      </c>
      <c r="M273">
        <v>45616</v>
      </c>
      <c r="O273" t="s">
        <v>326</v>
      </c>
      <c r="P273" t="s">
        <v>127</v>
      </c>
      <c r="Q273" t="s">
        <v>140</v>
      </c>
      <c r="R273" t="s">
        <v>2446</v>
      </c>
      <c r="S273" t="s">
        <v>2444</v>
      </c>
      <c r="T273" t="s">
        <v>2445</v>
      </c>
      <c r="U273">
        <v>36</v>
      </c>
      <c r="V273" t="s">
        <v>357</v>
      </c>
      <c r="W273" t="s">
        <v>141</v>
      </c>
      <c r="X273" t="s">
        <v>142</v>
      </c>
      <c r="Y273">
        <v>11611</v>
      </c>
      <c r="Z273">
        <v>11612</v>
      </c>
      <c r="AA273" t="s">
        <v>1025</v>
      </c>
      <c r="AB273">
        <v>1</v>
      </c>
    </row>
    <row r="274" spans="1:28">
      <c r="A274">
        <v>1</v>
      </c>
      <c r="B274" t="s">
        <v>2432</v>
      </c>
      <c r="C274" t="s">
        <v>2262</v>
      </c>
      <c r="D274" t="s">
        <v>2263</v>
      </c>
      <c r="E274" t="s">
        <v>1998</v>
      </c>
      <c r="F274" t="s">
        <v>1999</v>
      </c>
      <c r="G274">
        <v>4918.9189189189183</v>
      </c>
      <c r="H274">
        <v>354162.16216216213</v>
      </c>
      <c r="I274">
        <v>5405.405405405405</v>
      </c>
      <c r="J274">
        <v>389189.18918918917</v>
      </c>
      <c r="K274">
        <v>6486.4864864864858</v>
      </c>
      <c r="L274">
        <v>467027.02702702698</v>
      </c>
      <c r="M274">
        <v>45616</v>
      </c>
      <c r="O274" t="s">
        <v>326</v>
      </c>
      <c r="P274" t="s">
        <v>127</v>
      </c>
      <c r="Q274" t="s">
        <v>140</v>
      </c>
      <c r="R274" t="s">
        <v>2446</v>
      </c>
      <c r="S274" t="s">
        <v>2444</v>
      </c>
      <c r="T274" t="s">
        <v>2445</v>
      </c>
      <c r="U274">
        <v>72</v>
      </c>
      <c r="V274" t="s">
        <v>1023</v>
      </c>
      <c r="W274" t="s">
        <v>141</v>
      </c>
      <c r="X274" t="s">
        <v>142</v>
      </c>
      <c r="Y274">
        <v>11611</v>
      </c>
      <c r="Z274">
        <v>11612</v>
      </c>
      <c r="AA274" t="s">
        <v>1025</v>
      </c>
      <c r="AB274">
        <v>1</v>
      </c>
    </row>
    <row r="275" spans="1:28">
      <c r="A275">
        <v>1</v>
      </c>
      <c r="B275" t="s">
        <v>2431</v>
      </c>
      <c r="C275" t="s">
        <v>2262</v>
      </c>
      <c r="D275" t="s">
        <v>2263</v>
      </c>
      <c r="E275" t="s">
        <v>2000</v>
      </c>
      <c r="F275" t="s">
        <v>2001</v>
      </c>
      <c r="G275">
        <v>4918.9189189189183</v>
      </c>
      <c r="H275">
        <v>354162.16216216213</v>
      </c>
      <c r="I275">
        <v>5405.405405405405</v>
      </c>
      <c r="J275">
        <v>389189.18918918917</v>
      </c>
      <c r="K275">
        <v>6486.4864864864858</v>
      </c>
      <c r="L275">
        <v>467027.02702702698</v>
      </c>
      <c r="M275">
        <v>45616</v>
      </c>
      <c r="O275" t="s">
        <v>326</v>
      </c>
      <c r="P275" t="s">
        <v>127</v>
      </c>
      <c r="Q275" t="s">
        <v>140</v>
      </c>
      <c r="R275" t="s">
        <v>2446</v>
      </c>
      <c r="S275" t="s">
        <v>2444</v>
      </c>
      <c r="T275" t="s">
        <v>2445</v>
      </c>
      <c r="U275">
        <v>72</v>
      </c>
      <c r="V275" t="s">
        <v>1023</v>
      </c>
      <c r="W275" t="s">
        <v>141</v>
      </c>
      <c r="X275" t="s">
        <v>142</v>
      </c>
      <c r="Y275">
        <v>11611</v>
      </c>
      <c r="Z275">
        <v>11612</v>
      </c>
      <c r="AA275" t="s">
        <v>1025</v>
      </c>
      <c r="AB275">
        <v>1</v>
      </c>
    </row>
    <row r="276" spans="1:28">
      <c r="A276">
        <v>1</v>
      </c>
      <c r="B276" t="s">
        <v>1037</v>
      </c>
      <c r="C276" t="s">
        <v>2226</v>
      </c>
      <c r="D276" t="s">
        <v>2227</v>
      </c>
      <c r="E276" t="s">
        <v>2002</v>
      </c>
      <c r="F276" t="s">
        <v>2003</v>
      </c>
      <c r="G276">
        <v>9018.0179736111113</v>
      </c>
      <c r="H276">
        <v>649297.29410000006</v>
      </c>
      <c r="I276">
        <v>9909.9098611111112</v>
      </c>
      <c r="J276">
        <v>713513.51</v>
      </c>
      <c r="K276">
        <v>10900.900900900901</v>
      </c>
      <c r="L276">
        <v>784864.86486486485</v>
      </c>
      <c r="M276">
        <v>45616</v>
      </c>
      <c r="O276" t="s">
        <v>326</v>
      </c>
      <c r="P276" t="s">
        <v>127</v>
      </c>
      <c r="Q276" t="s">
        <v>140</v>
      </c>
      <c r="R276" t="s">
        <v>2446</v>
      </c>
      <c r="S276" t="s">
        <v>2444</v>
      </c>
      <c r="T276" t="s">
        <v>2445</v>
      </c>
      <c r="U276">
        <v>72</v>
      </c>
      <c r="V276" t="s">
        <v>1023</v>
      </c>
      <c r="W276" t="s">
        <v>141</v>
      </c>
      <c r="X276" t="s">
        <v>142</v>
      </c>
      <c r="Y276">
        <v>11611</v>
      </c>
      <c r="Z276">
        <v>11612</v>
      </c>
      <c r="AA276" t="s">
        <v>1025</v>
      </c>
      <c r="AB276">
        <v>1</v>
      </c>
    </row>
    <row r="277" spans="1:28">
      <c r="A277">
        <v>1</v>
      </c>
      <c r="B277" t="s">
        <v>1028</v>
      </c>
      <c r="C277" t="s">
        <v>2226</v>
      </c>
      <c r="D277" t="s">
        <v>2227</v>
      </c>
      <c r="E277" t="s">
        <v>2004</v>
      </c>
      <c r="F277" t="s">
        <v>2005</v>
      </c>
      <c r="G277">
        <v>9837.8378583333324</v>
      </c>
      <c r="H277">
        <v>708324.32579999999</v>
      </c>
      <c r="I277">
        <v>10810.810833333333</v>
      </c>
      <c r="J277">
        <v>778378.38</v>
      </c>
      <c r="K277">
        <v>11801.801801801801</v>
      </c>
      <c r="L277">
        <v>849729.7297297297</v>
      </c>
      <c r="M277">
        <v>45616</v>
      </c>
      <c r="O277" t="s">
        <v>326</v>
      </c>
      <c r="P277" t="s">
        <v>127</v>
      </c>
      <c r="Q277" t="s">
        <v>140</v>
      </c>
      <c r="R277" t="s">
        <v>2446</v>
      </c>
      <c r="S277" t="s">
        <v>2444</v>
      </c>
      <c r="T277" t="s">
        <v>2445</v>
      </c>
      <c r="U277">
        <v>72</v>
      </c>
      <c r="V277" t="s">
        <v>1023</v>
      </c>
      <c r="W277" t="s">
        <v>141</v>
      </c>
      <c r="X277" t="s">
        <v>142</v>
      </c>
      <c r="Y277">
        <v>11611</v>
      </c>
      <c r="Z277">
        <v>11612</v>
      </c>
      <c r="AA277" t="s">
        <v>1025</v>
      </c>
      <c r="AB277">
        <v>1</v>
      </c>
    </row>
    <row r="278" spans="1:28">
      <c r="A278">
        <v>1</v>
      </c>
      <c r="B278" t="s">
        <v>1029</v>
      </c>
      <c r="C278" t="s">
        <v>2226</v>
      </c>
      <c r="D278" t="s">
        <v>2227</v>
      </c>
      <c r="E278" t="s">
        <v>2006</v>
      </c>
      <c r="F278" t="s">
        <v>2007</v>
      </c>
      <c r="G278">
        <v>9018.0179736111113</v>
      </c>
      <c r="H278">
        <v>649297.29410000006</v>
      </c>
      <c r="I278">
        <v>9909.9098611111112</v>
      </c>
      <c r="J278">
        <v>713513.51</v>
      </c>
      <c r="K278">
        <v>10900.900900900901</v>
      </c>
      <c r="L278">
        <v>784864.86486486485</v>
      </c>
      <c r="M278">
        <v>45616</v>
      </c>
      <c r="O278" t="s">
        <v>326</v>
      </c>
      <c r="P278" t="s">
        <v>127</v>
      </c>
      <c r="Q278" t="s">
        <v>140</v>
      </c>
      <c r="R278" t="s">
        <v>2446</v>
      </c>
      <c r="S278" t="s">
        <v>2444</v>
      </c>
      <c r="T278" t="s">
        <v>2445</v>
      </c>
      <c r="U278">
        <v>72</v>
      </c>
      <c r="V278" t="s">
        <v>1023</v>
      </c>
      <c r="W278" t="s">
        <v>141</v>
      </c>
      <c r="X278" t="s">
        <v>142</v>
      </c>
      <c r="Y278">
        <v>11611</v>
      </c>
      <c r="Z278">
        <v>11612</v>
      </c>
      <c r="AA278" t="s">
        <v>1025</v>
      </c>
      <c r="AB278">
        <v>1</v>
      </c>
    </row>
    <row r="279" spans="1:28">
      <c r="A279">
        <v>1</v>
      </c>
      <c r="B279" t="s">
        <v>1030</v>
      </c>
      <c r="C279" t="s">
        <v>2226</v>
      </c>
      <c r="D279" t="s">
        <v>2227</v>
      </c>
      <c r="E279" t="s">
        <v>2008</v>
      </c>
      <c r="F279" t="s">
        <v>2009</v>
      </c>
      <c r="G279">
        <v>9018.0179736111113</v>
      </c>
      <c r="H279">
        <v>649297.29410000006</v>
      </c>
      <c r="I279">
        <v>9909.9098611111112</v>
      </c>
      <c r="J279">
        <v>713513.51</v>
      </c>
      <c r="K279">
        <v>10900.900900900901</v>
      </c>
      <c r="L279">
        <v>784864.86486486485</v>
      </c>
      <c r="M279">
        <v>45616</v>
      </c>
      <c r="O279" t="s">
        <v>326</v>
      </c>
      <c r="P279" t="s">
        <v>127</v>
      </c>
      <c r="Q279" t="s">
        <v>140</v>
      </c>
      <c r="R279" t="s">
        <v>2446</v>
      </c>
      <c r="S279" t="s">
        <v>2444</v>
      </c>
      <c r="T279" t="s">
        <v>2445</v>
      </c>
      <c r="U279">
        <v>72</v>
      </c>
      <c r="V279" t="s">
        <v>1023</v>
      </c>
      <c r="W279" t="s">
        <v>141</v>
      </c>
      <c r="X279" t="s">
        <v>142</v>
      </c>
      <c r="Y279">
        <v>11611</v>
      </c>
      <c r="Z279">
        <v>11612</v>
      </c>
      <c r="AA279" t="s">
        <v>1025</v>
      </c>
      <c r="AB279">
        <v>1</v>
      </c>
    </row>
    <row r="280" spans="1:28">
      <c r="A280">
        <v>1</v>
      </c>
      <c r="B280" t="s">
        <v>1039</v>
      </c>
      <c r="C280" t="s">
        <v>2226</v>
      </c>
      <c r="D280" t="s">
        <v>2227</v>
      </c>
      <c r="E280" t="s">
        <v>2010</v>
      </c>
      <c r="F280" t="s">
        <v>2011</v>
      </c>
      <c r="G280">
        <v>9018.0179736111113</v>
      </c>
      <c r="H280">
        <v>649297.29410000006</v>
      </c>
      <c r="I280">
        <v>9909.9098611111112</v>
      </c>
      <c r="J280">
        <v>713513.51</v>
      </c>
      <c r="K280">
        <v>10900.900900900901</v>
      </c>
      <c r="L280">
        <v>784864.86486486485</v>
      </c>
      <c r="M280">
        <v>45616</v>
      </c>
      <c r="O280" t="s">
        <v>326</v>
      </c>
      <c r="P280" t="s">
        <v>127</v>
      </c>
      <c r="Q280" t="s">
        <v>140</v>
      </c>
      <c r="R280" t="s">
        <v>2446</v>
      </c>
      <c r="S280" t="s">
        <v>2444</v>
      </c>
      <c r="T280" t="s">
        <v>2445</v>
      </c>
      <c r="U280">
        <v>72</v>
      </c>
      <c r="V280" t="s">
        <v>1023</v>
      </c>
      <c r="W280" t="s">
        <v>141</v>
      </c>
      <c r="X280" t="s">
        <v>142</v>
      </c>
      <c r="Y280">
        <v>11611</v>
      </c>
      <c r="Z280">
        <v>11612</v>
      </c>
      <c r="AA280" t="s">
        <v>1025</v>
      </c>
      <c r="AB280">
        <v>1</v>
      </c>
    </row>
    <row r="281" spans="1:28">
      <c r="A281">
        <v>1</v>
      </c>
      <c r="B281" t="s">
        <v>1032</v>
      </c>
      <c r="C281" t="s">
        <v>2226</v>
      </c>
      <c r="D281" t="s">
        <v>2227</v>
      </c>
      <c r="E281" t="s">
        <v>2012</v>
      </c>
      <c r="F281" t="s">
        <v>2013</v>
      </c>
      <c r="G281">
        <v>9018.0179736111113</v>
      </c>
      <c r="H281">
        <v>649297.29410000006</v>
      </c>
      <c r="I281">
        <v>9909.9098611111112</v>
      </c>
      <c r="J281">
        <v>713513.51</v>
      </c>
      <c r="K281">
        <v>10900.900900900901</v>
      </c>
      <c r="L281">
        <v>784864.86486486485</v>
      </c>
      <c r="M281">
        <v>45616</v>
      </c>
      <c r="O281" t="s">
        <v>326</v>
      </c>
      <c r="P281" t="s">
        <v>127</v>
      </c>
      <c r="Q281" t="s">
        <v>140</v>
      </c>
      <c r="R281" t="s">
        <v>2446</v>
      </c>
      <c r="S281" t="s">
        <v>2444</v>
      </c>
      <c r="T281" t="s">
        <v>2445</v>
      </c>
      <c r="U281">
        <v>72</v>
      </c>
      <c r="V281" t="s">
        <v>1023</v>
      </c>
      <c r="W281" t="s">
        <v>141</v>
      </c>
      <c r="X281" t="s">
        <v>142</v>
      </c>
      <c r="Y281">
        <v>11611</v>
      </c>
      <c r="Z281">
        <v>11612</v>
      </c>
      <c r="AA281" t="s">
        <v>1025</v>
      </c>
      <c r="AB281">
        <v>1</v>
      </c>
    </row>
    <row r="282" spans="1:28">
      <c r="A282">
        <v>1</v>
      </c>
      <c r="B282" t="s">
        <v>543</v>
      </c>
      <c r="C282" t="s">
        <v>2256</v>
      </c>
      <c r="D282" t="s">
        <v>2257</v>
      </c>
      <c r="E282" t="s">
        <v>1982</v>
      </c>
      <c r="F282" t="s">
        <v>1983</v>
      </c>
      <c r="G282">
        <v>9550.9009050000004</v>
      </c>
      <c r="H282">
        <v>343832.43258000002</v>
      </c>
      <c r="I282">
        <v>10495.495500000001</v>
      </c>
      <c r="J282">
        <v>377837.83800000005</v>
      </c>
      <c r="K282">
        <v>10495.495500000001</v>
      </c>
      <c r="L282">
        <v>377837.83800000005</v>
      </c>
      <c r="M282">
        <v>45616</v>
      </c>
      <c r="O282" t="s">
        <v>326</v>
      </c>
      <c r="P282" t="s">
        <v>127</v>
      </c>
      <c r="Q282" t="s">
        <v>140</v>
      </c>
      <c r="R282" t="s">
        <v>2446</v>
      </c>
      <c r="S282" t="s">
        <v>2444</v>
      </c>
      <c r="T282" t="s">
        <v>2445</v>
      </c>
      <c r="U282">
        <v>36</v>
      </c>
      <c r="V282" t="s">
        <v>357</v>
      </c>
      <c r="W282" t="s">
        <v>141</v>
      </c>
      <c r="X282" t="s">
        <v>142</v>
      </c>
      <c r="Y282">
        <v>11611</v>
      </c>
      <c r="Z282">
        <v>11612</v>
      </c>
      <c r="AA282" t="s">
        <v>1025</v>
      </c>
      <c r="AB282">
        <v>1</v>
      </c>
    </row>
    <row r="283" spans="1:28">
      <c r="A283">
        <v>1</v>
      </c>
      <c r="B283" t="s">
        <v>562</v>
      </c>
      <c r="C283" t="s">
        <v>2250</v>
      </c>
      <c r="D283" t="s">
        <v>2251</v>
      </c>
      <c r="E283" t="s">
        <v>1945</v>
      </c>
      <c r="F283" t="s">
        <v>1946</v>
      </c>
      <c r="G283">
        <v>9018.0180999999993</v>
      </c>
      <c r="H283">
        <v>649297.30319999997</v>
      </c>
      <c r="I283">
        <v>9909.91</v>
      </c>
      <c r="J283">
        <v>713513.52</v>
      </c>
      <c r="K283">
        <v>10900.9</v>
      </c>
      <c r="L283">
        <v>784864.79999999993</v>
      </c>
      <c r="M283">
        <v>45616</v>
      </c>
      <c r="O283" t="s">
        <v>326</v>
      </c>
      <c r="P283" t="s">
        <v>127</v>
      </c>
      <c r="Q283" t="s">
        <v>140</v>
      </c>
      <c r="R283" t="s">
        <v>2446</v>
      </c>
      <c r="S283" t="s">
        <v>2444</v>
      </c>
      <c r="T283" t="s">
        <v>2445</v>
      </c>
      <c r="U283">
        <v>72</v>
      </c>
      <c r="V283" t="s">
        <v>1023</v>
      </c>
      <c r="W283" t="s">
        <v>141</v>
      </c>
      <c r="X283" t="s">
        <v>142</v>
      </c>
      <c r="Y283">
        <v>11611</v>
      </c>
      <c r="Z283">
        <v>11612</v>
      </c>
      <c r="AA283" t="s">
        <v>1025</v>
      </c>
      <c r="AB283">
        <v>1</v>
      </c>
    </row>
    <row r="284" spans="1:28">
      <c r="A284">
        <v>1</v>
      </c>
      <c r="B284" t="s">
        <v>536</v>
      </c>
      <c r="C284" t="s">
        <v>2256</v>
      </c>
      <c r="D284" t="s">
        <v>2257</v>
      </c>
      <c r="E284" t="s">
        <v>1980</v>
      </c>
      <c r="F284" t="s">
        <v>1981</v>
      </c>
      <c r="G284">
        <v>9550.9009050000004</v>
      </c>
      <c r="H284">
        <v>343832.43258000002</v>
      </c>
      <c r="I284">
        <v>10495.495500000001</v>
      </c>
      <c r="J284">
        <v>377837.83800000005</v>
      </c>
      <c r="K284">
        <v>10495.495500000001</v>
      </c>
      <c r="L284">
        <v>377837.83800000005</v>
      </c>
      <c r="M284">
        <v>45616</v>
      </c>
      <c r="O284" t="s">
        <v>326</v>
      </c>
      <c r="P284" t="s">
        <v>127</v>
      </c>
      <c r="Q284" t="s">
        <v>140</v>
      </c>
      <c r="R284" t="s">
        <v>2446</v>
      </c>
      <c r="S284" t="s">
        <v>2444</v>
      </c>
      <c r="T284" t="s">
        <v>2445</v>
      </c>
      <c r="U284">
        <v>36</v>
      </c>
      <c r="V284" t="s">
        <v>357</v>
      </c>
      <c r="W284" t="s">
        <v>141</v>
      </c>
      <c r="X284" t="s">
        <v>142</v>
      </c>
      <c r="Y284">
        <v>11611</v>
      </c>
      <c r="Z284">
        <v>11612</v>
      </c>
      <c r="AA284" t="s">
        <v>1025</v>
      </c>
      <c r="AB284">
        <v>1</v>
      </c>
    </row>
    <row r="285" spans="1:28">
      <c r="A285">
        <v>1</v>
      </c>
      <c r="B285" t="s">
        <v>545</v>
      </c>
      <c r="C285" t="s">
        <v>2264</v>
      </c>
      <c r="D285" t="s">
        <v>2457</v>
      </c>
      <c r="E285" t="s">
        <v>2450</v>
      </c>
      <c r="F285" t="s">
        <v>1978</v>
      </c>
      <c r="G285">
        <v>0</v>
      </c>
      <c r="H285">
        <v>0</v>
      </c>
      <c r="I285">
        <v>25360.360360360359</v>
      </c>
      <c r="J285">
        <v>304324.32432432432</v>
      </c>
      <c r="K285">
        <v>0</v>
      </c>
      <c r="L285">
        <v>0</v>
      </c>
      <c r="M285">
        <v>45616</v>
      </c>
      <c r="O285" t="s">
        <v>326</v>
      </c>
      <c r="P285" t="s">
        <v>127</v>
      </c>
      <c r="Q285" t="s">
        <v>140</v>
      </c>
      <c r="R285" t="s">
        <v>2446</v>
      </c>
      <c r="S285" t="s">
        <v>2444</v>
      </c>
      <c r="T285" t="s">
        <v>2445</v>
      </c>
      <c r="U285">
        <v>12</v>
      </c>
      <c r="V285" t="s">
        <v>357</v>
      </c>
      <c r="W285" t="s">
        <v>141</v>
      </c>
      <c r="X285" t="s">
        <v>142</v>
      </c>
      <c r="Y285">
        <v>11611</v>
      </c>
      <c r="Z285">
        <v>11612</v>
      </c>
      <c r="AA285" t="s">
        <v>1025</v>
      </c>
      <c r="AB285">
        <v>1</v>
      </c>
    </row>
    <row r="286" spans="1:28">
      <c r="A286">
        <v>1</v>
      </c>
      <c r="B286" t="s">
        <v>564</v>
      </c>
      <c r="C286" t="s">
        <v>2250</v>
      </c>
      <c r="D286" t="s">
        <v>2251</v>
      </c>
      <c r="E286" t="s">
        <v>1949</v>
      </c>
      <c r="F286" t="s">
        <v>1950</v>
      </c>
      <c r="G286">
        <v>9018.0180999999993</v>
      </c>
      <c r="H286">
        <v>649297.30319999997</v>
      </c>
      <c r="I286">
        <v>9909.91</v>
      </c>
      <c r="J286">
        <v>713513.52</v>
      </c>
      <c r="K286">
        <v>10900.9</v>
      </c>
      <c r="L286">
        <v>784864.79999999993</v>
      </c>
      <c r="M286">
        <v>45616</v>
      </c>
      <c r="O286" t="s">
        <v>326</v>
      </c>
      <c r="P286" t="s">
        <v>127</v>
      </c>
      <c r="Q286" t="s">
        <v>140</v>
      </c>
      <c r="R286" t="s">
        <v>2446</v>
      </c>
      <c r="S286" t="s">
        <v>2444</v>
      </c>
      <c r="T286" t="s">
        <v>2445</v>
      </c>
      <c r="U286">
        <v>72</v>
      </c>
      <c r="V286" t="s">
        <v>1023</v>
      </c>
      <c r="W286" t="s">
        <v>141</v>
      </c>
      <c r="X286" t="s">
        <v>142</v>
      </c>
      <c r="Y286">
        <v>11611</v>
      </c>
      <c r="Z286">
        <v>11612</v>
      </c>
      <c r="AA286" t="s">
        <v>1025</v>
      </c>
      <c r="AB286">
        <v>1</v>
      </c>
    </row>
    <row r="287" spans="1:28">
      <c r="A287">
        <v>1</v>
      </c>
      <c r="B287" t="s">
        <v>565</v>
      </c>
      <c r="C287" t="s">
        <v>2250</v>
      </c>
      <c r="D287" t="s">
        <v>2251</v>
      </c>
      <c r="E287" t="s">
        <v>1951</v>
      </c>
      <c r="F287" t="s">
        <v>1952</v>
      </c>
      <c r="G287">
        <v>9018.0180999999993</v>
      </c>
      <c r="H287">
        <v>649297.30319999997</v>
      </c>
      <c r="I287">
        <v>9909.91</v>
      </c>
      <c r="J287">
        <v>713513.52</v>
      </c>
      <c r="K287">
        <v>10900.9</v>
      </c>
      <c r="L287">
        <v>784864.79999999993</v>
      </c>
      <c r="M287">
        <v>45616</v>
      </c>
      <c r="O287" t="s">
        <v>326</v>
      </c>
      <c r="P287" t="s">
        <v>127</v>
      </c>
      <c r="Q287" t="s">
        <v>140</v>
      </c>
      <c r="R287" t="s">
        <v>2446</v>
      </c>
      <c r="S287" t="s">
        <v>2444</v>
      </c>
      <c r="T287" t="s">
        <v>2445</v>
      </c>
      <c r="U287">
        <v>72</v>
      </c>
      <c r="V287" t="s">
        <v>1023</v>
      </c>
      <c r="W287" t="s">
        <v>141</v>
      </c>
      <c r="X287" t="s">
        <v>142</v>
      </c>
      <c r="Y287">
        <v>11611</v>
      </c>
      <c r="Z287">
        <v>11612</v>
      </c>
      <c r="AA287" t="s">
        <v>1025</v>
      </c>
      <c r="AB287">
        <v>1</v>
      </c>
    </row>
    <row r="288" spans="1:28">
      <c r="A288">
        <v>1</v>
      </c>
      <c r="B288" t="s">
        <v>566</v>
      </c>
      <c r="C288" t="s">
        <v>2250</v>
      </c>
      <c r="D288" t="s">
        <v>2251</v>
      </c>
      <c r="E288" t="s">
        <v>1953</v>
      </c>
      <c r="F288" t="s">
        <v>1954</v>
      </c>
      <c r="G288">
        <v>9018.0180999999993</v>
      </c>
      <c r="H288">
        <v>649297.30319999997</v>
      </c>
      <c r="I288">
        <v>9909.91</v>
      </c>
      <c r="J288">
        <v>713513.52</v>
      </c>
      <c r="K288">
        <v>10900.9</v>
      </c>
      <c r="L288">
        <v>784864.79999999993</v>
      </c>
      <c r="M288">
        <v>45616</v>
      </c>
      <c r="O288" t="s">
        <v>326</v>
      </c>
      <c r="P288" t="s">
        <v>127</v>
      </c>
      <c r="Q288" t="s">
        <v>140</v>
      </c>
      <c r="R288" t="s">
        <v>2446</v>
      </c>
      <c r="S288" t="s">
        <v>2444</v>
      </c>
      <c r="T288" t="s">
        <v>2445</v>
      </c>
      <c r="U288">
        <v>72</v>
      </c>
      <c r="V288" t="s">
        <v>1023</v>
      </c>
      <c r="W288" t="s">
        <v>141</v>
      </c>
      <c r="X288" t="s">
        <v>142</v>
      </c>
      <c r="Y288">
        <v>11611</v>
      </c>
      <c r="Z288">
        <v>11612</v>
      </c>
      <c r="AA288" t="s">
        <v>1025</v>
      </c>
      <c r="AB288">
        <v>1</v>
      </c>
    </row>
    <row r="289" spans="1:28">
      <c r="A289">
        <v>1</v>
      </c>
      <c r="B289" t="s">
        <v>567</v>
      </c>
      <c r="C289" t="s">
        <v>2250</v>
      </c>
      <c r="D289" t="s">
        <v>2251</v>
      </c>
      <c r="E289" t="s">
        <v>1955</v>
      </c>
      <c r="F289" t="s">
        <v>1956</v>
      </c>
      <c r="G289">
        <v>9018.0180999999993</v>
      </c>
      <c r="H289">
        <v>649297.30319999997</v>
      </c>
      <c r="I289">
        <v>9909.91</v>
      </c>
      <c r="J289">
        <v>713513.52</v>
      </c>
      <c r="K289">
        <v>10900.9</v>
      </c>
      <c r="L289">
        <v>784864.79999999993</v>
      </c>
      <c r="M289">
        <v>45616</v>
      </c>
      <c r="O289" t="s">
        <v>326</v>
      </c>
      <c r="P289" t="s">
        <v>127</v>
      </c>
      <c r="Q289" t="s">
        <v>140</v>
      </c>
      <c r="R289" t="s">
        <v>2446</v>
      </c>
      <c r="S289" t="s">
        <v>2444</v>
      </c>
      <c r="T289" t="s">
        <v>2445</v>
      </c>
      <c r="U289">
        <v>72</v>
      </c>
      <c r="V289" t="s">
        <v>1023</v>
      </c>
      <c r="W289" t="s">
        <v>141</v>
      </c>
      <c r="X289" t="s">
        <v>142</v>
      </c>
      <c r="Y289">
        <v>11611</v>
      </c>
      <c r="Z289">
        <v>11612</v>
      </c>
      <c r="AA289" t="s">
        <v>1025</v>
      </c>
      <c r="AB289">
        <v>1</v>
      </c>
    </row>
    <row r="290" spans="1:28">
      <c r="A290">
        <v>1</v>
      </c>
      <c r="B290" t="s">
        <v>568</v>
      </c>
      <c r="C290" t="s">
        <v>2250</v>
      </c>
      <c r="D290" t="s">
        <v>2251</v>
      </c>
      <c r="E290" t="s">
        <v>1957</v>
      </c>
      <c r="F290" t="s">
        <v>1958</v>
      </c>
      <c r="G290">
        <v>9018.0180999999993</v>
      </c>
      <c r="H290">
        <v>649297.30319999997</v>
      </c>
      <c r="I290">
        <v>9909.91</v>
      </c>
      <c r="J290">
        <v>713513.52</v>
      </c>
      <c r="K290">
        <v>10900.9</v>
      </c>
      <c r="L290">
        <v>784864.79999999993</v>
      </c>
      <c r="M290">
        <v>45616</v>
      </c>
      <c r="O290" t="s">
        <v>326</v>
      </c>
      <c r="P290" t="s">
        <v>127</v>
      </c>
      <c r="Q290" t="s">
        <v>140</v>
      </c>
      <c r="R290" t="s">
        <v>2446</v>
      </c>
      <c r="S290" t="s">
        <v>2444</v>
      </c>
      <c r="T290" t="s">
        <v>2445</v>
      </c>
      <c r="U290">
        <v>72</v>
      </c>
      <c r="V290" t="s">
        <v>1023</v>
      </c>
      <c r="W290" t="s">
        <v>141</v>
      </c>
      <c r="X290" t="s">
        <v>142</v>
      </c>
      <c r="Y290">
        <v>11611</v>
      </c>
      <c r="Z290">
        <v>11612</v>
      </c>
      <c r="AA290" t="s">
        <v>1025</v>
      </c>
      <c r="AB290">
        <v>1</v>
      </c>
    </row>
    <row r="291" spans="1:28">
      <c r="A291">
        <v>1</v>
      </c>
      <c r="B291" t="s">
        <v>533</v>
      </c>
      <c r="C291" t="s">
        <v>2266</v>
      </c>
      <c r="D291" t="s">
        <v>2267</v>
      </c>
      <c r="E291" t="s">
        <v>1959</v>
      </c>
      <c r="F291" t="s">
        <v>1960</v>
      </c>
      <c r="G291">
        <v>8608.1081450000001</v>
      </c>
      <c r="H291">
        <v>206594.59548000002</v>
      </c>
      <c r="I291">
        <v>9459.4595000000008</v>
      </c>
      <c r="J291">
        <v>227027.02800000002</v>
      </c>
      <c r="K291">
        <v>9459.4595000000008</v>
      </c>
      <c r="L291">
        <v>227027.02800000002</v>
      </c>
      <c r="M291">
        <v>45616</v>
      </c>
      <c r="O291" t="s">
        <v>326</v>
      </c>
      <c r="P291" t="s">
        <v>127</v>
      </c>
      <c r="Q291" t="s">
        <v>140</v>
      </c>
      <c r="R291" t="s">
        <v>2446</v>
      </c>
      <c r="S291" t="s">
        <v>2444</v>
      </c>
      <c r="T291" t="s">
        <v>2445</v>
      </c>
      <c r="U291">
        <v>24</v>
      </c>
      <c r="V291" t="s">
        <v>1019</v>
      </c>
      <c r="W291" t="s">
        <v>141</v>
      </c>
      <c r="X291" t="s">
        <v>142</v>
      </c>
      <c r="Y291">
        <v>11611</v>
      </c>
      <c r="Z291">
        <v>11612</v>
      </c>
      <c r="AA291" t="s">
        <v>1025</v>
      </c>
      <c r="AB291">
        <v>1</v>
      </c>
    </row>
    <row r="292" spans="1:28">
      <c r="A292">
        <v>1</v>
      </c>
      <c r="B292" t="s">
        <v>540</v>
      </c>
      <c r="C292" t="s">
        <v>2266</v>
      </c>
      <c r="D292" t="s">
        <v>2267</v>
      </c>
      <c r="E292" t="s">
        <v>1961</v>
      </c>
      <c r="F292" t="s">
        <v>1962</v>
      </c>
      <c r="G292">
        <v>8608.1081450000001</v>
      </c>
      <c r="H292">
        <v>206594.59548000002</v>
      </c>
      <c r="I292">
        <v>9459.4595000000008</v>
      </c>
      <c r="J292">
        <v>227027.02800000002</v>
      </c>
      <c r="K292">
        <v>9459.4595000000008</v>
      </c>
      <c r="L292">
        <v>227027.02800000002</v>
      </c>
      <c r="M292">
        <v>45616</v>
      </c>
      <c r="O292" t="s">
        <v>326</v>
      </c>
      <c r="P292" t="s">
        <v>127</v>
      </c>
      <c r="Q292" t="s">
        <v>140</v>
      </c>
      <c r="R292" t="s">
        <v>2446</v>
      </c>
      <c r="S292" t="s">
        <v>2444</v>
      </c>
      <c r="T292" t="s">
        <v>2445</v>
      </c>
      <c r="U292">
        <v>24</v>
      </c>
      <c r="V292" t="s">
        <v>1019</v>
      </c>
      <c r="W292" t="s">
        <v>141</v>
      </c>
      <c r="X292" t="s">
        <v>142</v>
      </c>
      <c r="Y292">
        <v>11611</v>
      </c>
      <c r="Z292">
        <v>11612</v>
      </c>
      <c r="AA292" t="s">
        <v>1025</v>
      </c>
      <c r="AB292">
        <v>1</v>
      </c>
    </row>
    <row r="293" spans="1:28">
      <c r="A293">
        <v>1</v>
      </c>
      <c r="B293" t="s">
        <v>546</v>
      </c>
      <c r="C293" t="s">
        <v>2266</v>
      </c>
      <c r="D293" t="s">
        <v>2267</v>
      </c>
      <c r="E293" t="s">
        <v>1963</v>
      </c>
      <c r="F293" t="s">
        <v>1964</v>
      </c>
      <c r="G293">
        <v>8608.1081450000001</v>
      </c>
      <c r="H293">
        <v>206594.59548000002</v>
      </c>
      <c r="I293">
        <v>9459.4595000000008</v>
      </c>
      <c r="J293">
        <v>227027.02800000002</v>
      </c>
      <c r="K293">
        <v>9459.4595000000008</v>
      </c>
      <c r="L293">
        <v>227027.02800000002</v>
      </c>
      <c r="M293">
        <v>45616</v>
      </c>
      <c r="O293" t="s">
        <v>326</v>
      </c>
      <c r="P293" t="s">
        <v>127</v>
      </c>
      <c r="Q293" t="s">
        <v>140</v>
      </c>
      <c r="R293" t="s">
        <v>2446</v>
      </c>
      <c r="S293" t="s">
        <v>2444</v>
      </c>
      <c r="T293" t="s">
        <v>2445</v>
      </c>
      <c r="U293">
        <v>24</v>
      </c>
      <c r="V293" t="s">
        <v>1019</v>
      </c>
      <c r="W293" t="s">
        <v>141</v>
      </c>
      <c r="X293" t="s">
        <v>142</v>
      </c>
      <c r="Y293">
        <v>11611</v>
      </c>
      <c r="Z293">
        <v>11612</v>
      </c>
      <c r="AA293" t="s">
        <v>1025</v>
      </c>
      <c r="AB293">
        <v>1</v>
      </c>
    </row>
    <row r="294" spans="1:28">
      <c r="A294">
        <v>1</v>
      </c>
      <c r="B294" t="s">
        <v>534</v>
      </c>
      <c r="C294" t="s">
        <v>2268</v>
      </c>
      <c r="D294" t="s">
        <v>2269</v>
      </c>
      <c r="E294" t="s">
        <v>1965</v>
      </c>
      <c r="F294" t="s">
        <v>1966</v>
      </c>
      <c r="G294">
        <v>9550.9009050000004</v>
      </c>
      <c r="H294">
        <v>343832.43258000002</v>
      </c>
      <c r="I294">
        <v>10495.495500000001</v>
      </c>
      <c r="J294">
        <v>377837.83800000005</v>
      </c>
      <c r="K294">
        <v>10495.495500000001</v>
      </c>
      <c r="L294">
        <v>377837.83800000005</v>
      </c>
      <c r="M294">
        <v>45616</v>
      </c>
      <c r="O294" t="s">
        <v>326</v>
      </c>
      <c r="P294" t="s">
        <v>127</v>
      </c>
      <c r="Q294" t="s">
        <v>140</v>
      </c>
      <c r="R294" t="s">
        <v>2446</v>
      </c>
      <c r="S294" t="s">
        <v>2444</v>
      </c>
      <c r="T294" t="s">
        <v>2445</v>
      </c>
      <c r="U294">
        <v>36</v>
      </c>
      <c r="V294" t="s">
        <v>357</v>
      </c>
      <c r="W294" t="s">
        <v>141</v>
      </c>
      <c r="X294" t="s">
        <v>142</v>
      </c>
      <c r="Y294">
        <v>11611</v>
      </c>
      <c r="Z294">
        <v>11612</v>
      </c>
      <c r="AA294" t="s">
        <v>1025</v>
      </c>
      <c r="AB294">
        <v>1</v>
      </c>
    </row>
    <row r="295" spans="1:28">
      <c r="A295">
        <v>1</v>
      </c>
      <c r="B295" t="s">
        <v>541</v>
      </c>
      <c r="C295" t="s">
        <v>2268</v>
      </c>
      <c r="D295" t="s">
        <v>2269</v>
      </c>
      <c r="E295" t="s">
        <v>1967</v>
      </c>
      <c r="F295" t="s">
        <v>1968</v>
      </c>
      <c r="G295">
        <v>9550.9009050000004</v>
      </c>
      <c r="H295">
        <v>343832.43258000002</v>
      </c>
      <c r="I295">
        <v>10495.495500000001</v>
      </c>
      <c r="J295">
        <v>377837.83800000005</v>
      </c>
      <c r="K295">
        <v>10495.495500000001</v>
      </c>
      <c r="L295">
        <v>377837.83800000005</v>
      </c>
      <c r="M295">
        <v>45616</v>
      </c>
      <c r="O295" t="s">
        <v>326</v>
      </c>
      <c r="P295" t="s">
        <v>127</v>
      </c>
      <c r="Q295" t="s">
        <v>140</v>
      </c>
      <c r="R295" t="s">
        <v>2446</v>
      </c>
      <c r="S295" t="s">
        <v>2444</v>
      </c>
      <c r="T295" t="s">
        <v>2445</v>
      </c>
      <c r="U295">
        <v>36</v>
      </c>
      <c r="V295" t="s">
        <v>357</v>
      </c>
      <c r="W295" t="s">
        <v>141</v>
      </c>
      <c r="X295" t="s">
        <v>142</v>
      </c>
      <c r="Y295">
        <v>11611</v>
      </c>
      <c r="Z295">
        <v>11612</v>
      </c>
      <c r="AA295" t="s">
        <v>1025</v>
      </c>
      <c r="AB295">
        <v>1</v>
      </c>
    </row>
    <row r="296" spans="1:28">
      <c r="A296">
        <v>1</v>
      </c>
      <c r="B296" t="s">
        <v>537</v>
      </c>
      <c r="C296" t="s">
        <v>2270</v>
      </c>
      <c r="D296" t="s">
        <v>2271</v>
      </c>
      <c r="E296" t="s">
        <v>1969</v>
      </c>
      <c r="F296" t="s">
        <v>1970</v>
      </c>
      <c r="G296">
        <v>0</v>
      </c>
      <c r="H296">
        <v>0</v>
      </c>
      <c r="I296">
        <v>6216.2162162162158</v>
      </c>
      <c r="J296">
        <v>223783.78378378376</v>
      </c>
      <c r="K296">
        <v>0</v>
      </c>
      <c r="L296">
        <v>0</v>
      </c>
      <c r="M296">
        <v>45616</v>
      </c>
      <c r="O296" t="s">
        <v>326</v>
      </c>
      <c r="P296" t="s">
        <v>127</v>
      </c>
      <c r="Q296" t="s">
        <v>140</v>
      </c>
      <c r="R296" t="s">
        <v>2446</v>
      </c>
      <c r="S296" t="s">
        <v>2444</v>
      </c>
      <c r="T296" t="s">
        <v>2445</v>
      </c>
      <c r="U296">
        <v>36</v>
      </c>
      <c r="V296" t="s">
        <v>357</v>
      </c>
      <c r="W296" t="s">
        <v>141</v>
      </c>
      <c r="X296" t="s">
        <v>142</v>
      </c>
      <c r="Y296">
        <v>11611</v>
      </c>
      <c r="Z296">
        <v>11612</v>
      </c>
      <c r="AA296" t="s">
        <v>1025</v>
      </c>
      <c r="AB296">
        <v>1</v>
      </c>
    </row>
    <row r="297" spans="1:28">
      <c r="A297">
        <v>1</v>
      </c>
      <c r="B297" t="s">
        <v>544</v>
      </c>
      <c r="C297" t="s">
        <v>2270</v>
      </c>
      <c r="D297" t="s">
        <v>2271</v>
      </c>
      <c r="E297" t="s">
        <v>1971</v>
      </c>
      <c r="F297" t="s">
        <v>1972</v>
      </c>
      <c r="G297">
        <v>0</v>
      </c>
      <c r="H297">
        <v>0</v>
      </c>
      <c r="I297">
        <v>6216.2162162162158</v>
      </c>
      <c r="J297">
        <v>223783.78378378376</v>
      </c>
      <c r="K297">
        <v>0</v>
      </c>
      <c r="L297">
        <v>0</v>
      </c>
      <c r="M297">
        <v>45616</v>
      </c>
      <c r="O297" t="s">
        <v>326</v>
      </c>
      <c r="P297" t="s">
        <v>127</v>
      </c>
      <c r="Q297" t="s">
        <v>140</v>
      </c>
      <c r="R297" t="s">
        <v>2446</v>
      </c>
      <c r="S297" t="s">
        <v>2444</v>
      </c>
      <c r="T297" t="s">
        <v>2445</v>
      </c>
      <c r="U297">
        <v>36</v>
      </c>
      <c r="V297" t="s">
        <v>357</v>
      </c>
      <c r="W297" t="s">
        <v>141</v>
      </c>
      <c r="X297" t="s">
        <v>142</v>
      </c>
      <c r="Y297">
        <v>11611</v>
      </c>
      <c r="Z297">
        <v>11612</v>
      </c>
      <c r="AA297" t="s">
        <v>1025</v>
      </c>
      <c r="AB297">
        <v>1</v>
      </c>
    </row>
    <row r="298" spans="1:28">
      <c r="A298">
        <v>1</v>
      </c>
      <c r="B298" t="s">
        <v>532</v>
      </c>
      <c r="C298" t="s">
        <v>2272</v>
      </c>
      <c r="D298" t="s">
        <v>2265</v>
      </c>
      <c r="E298" t="s">
        <v>1973</v>
      </c>
      <c r="F298" t="s">
        <v>1974</v>
      </c>
      <c r="G298">
        <v>8608.1081450000001</v>
      </c>
      <c r="H298">
        <v>309891.89322000003</v>
      </c>
      <c r="I298">
        <v>9459.4595000000008</v>
      </c>
      <c r="J298">
        <v>340540.54200000002</v>
      </c>
      <c r="K298">
        <v>9459.4595000000008</v>
      </c>
      <c r="L298">
        <v>340540.54200000002</v>
      </c>
      <c r="M298">
        <v>45616</v>
      </c>
      <c r="O298" t="s">
        <v>326</v>
      </c>
      <c r="P298" t="s">
        <v>127</v>
      </c>
      <c r="Q298" t="s">
        <v>140</v>
      </c>
      <c r="R298" t="s">
        <v>2446</v>
      </c>
      <c r="S298" t="s">
        <v>2444</v>
      </c>
      <c r="T298" t="s">
        <v>2445</v>
      </c>
      <c r="U298">
        <v>36</v>
      </c>
      <c r="V298" t="s">
        <v>357</v>
      </c>
      <c r="W298" t="s">
        <v>141</v>
      </c>
      <c r="X298" t="s">
        <v>142</v>
      </c>
      <c r="Y298">
        <v>11611</v>
      </c>
      <c r="Z298">
        <v>11612</v>
      </c>
      <c r="AA298" t="s">
        <v>1025</v>
      </c>
      <c r="AB298">
        <v>1</v>
      </c>
    </row>
    <row r="299" spans="1:28">
      <c r="A299">
        <v>1</v>
      </c>
      <c r="B299" t="s">
        <v>538</v>
      </c>
      <c r="C299" t="s">
        <v>2264</v>
      </c>
      <c r="D299" t="s">
        <v>2457</v>
      </c>
      <c r="E299" t="s">
        <v>2449</v>
      </c>
      <c r="F299" t="s">
        <v>1975</v>
      </c>
      <c r="G299">
        <v>0</v>
      </c>
      <c r="H299">
        <v>0</v>
      </c>
      <c r="I299">
        <v>25360.360360360359</v>
      </c>
      <c r="J299">
        <v>304324.32432432432</v>
      </c>
      <c r="K299">
        <v>0</v>
      </c>
      <c r="L299">
        <v>0</v>
      </c>
      <c r="M299">
        <v>45616</v>
      </c>
      <c r="O299" t="s">
        <v>326</v>
      </c>
      <c r="P299" t="s">
        <v>127</v>
      </c>
      <c r="Q299" t="s">
        <v>140</v>
      </c>
      <c r="R299" t="s">
        <v>2446</v>
      </c>
      <c r="S299" t="s">
        <v>2444</v>
      </c>
      <c r="T299" t="s">
        <v>2445</v>
      </c>
      <c r="U299">
        <v>12</v>
      </c>
      <c r="V299" t="s">
        <v>357</v>
      </c>
      <c r="W299" t="s">
        <v>141</v>
      </c>
      <c r="X299" t="s">
        <v>142</v>
      </c>
      <c r="Y299">
        <v>11611</v>
      </c>
      <c r="Z299">
        <v>11612</v>
      </c>
      <c r="AA299" t="s">
        <v>1025</v>
      </c>
      <c r="AB299">
        <v>1</v>
      </c>
    </row>
    <row r="300" spans="1:28">
      <c r="A300">
        <v>1</v>
      </c>
      <c r="B300" t="s">
        <v>539</v>
      </c>
      <c r="C300" t="s">
        <v>2272</v>
      </c>
      <c r="D300" t="s">
        <v>2265</v>
      </c>
      <c r="E300" t="s">
        <v>1976</v>
      </c>
      <c r="F300" t="s">
        <v>1977</v>
      </c>
      <c r="G300">
        <v>8608.1081450000001</v>
      </c>
      <c r="H300">
        <v>309891.89322000003</v>
      </c>
      <c r="I300">
        <v>9459.4595000000008</v>
      </c>
      <c r="J300">
        <v>340540.54200000002</v>
      </c>
      <c r="K300">
        <v>9459.4595000000008</v>
      </c>
      <c r="L300">
        <v>340540.54200000002</v>
      </c>
      <c r="M300">
        <v>45616</v>
      </c>
      <c r="O300" t="s">
        <v>326</v>
      </c>
      <c r="P300" t="s">
        <v>127</v>
      </c>
      <c r="Q300" t="s">
        <v>140</v>
      </c>
      <c r="R300" t="s">
        <v>2446</v>
      </c>
      <c r="S300" t="s">
        <v>2444</v>
      </c>
      <c r="T300" t="s">
        <v>2445</v>
      </c>
      <c r="U300">
        <v>36</v>
      </c>
      <c r="V300" t="s">
        <v>357</v>
      </c>
      <c r="W300" t="s">
        <v>141</v>
      </c>
      <c r="X300" t="s">
        <v>142</v>
      </c>
      <c r="Y300">
        <v>11611</v>
      </c>
      <c r="Z300">
        <v>11612</v>
      </c>
      <c r="AA300" t="s">
        <v>1025</v>
      </c>
      <c r="AB300">
        <v>1</v>
      </c>
    </row>
    <row r="301" spans="1:28">
      <c r="A301">
        <v>1</v>
      </c>
      <c r="B301" t="s">
        <v>550</v>
      </c>
      <c r="C301" t="s">
        <v>2264</v>
      </c>
      <c r="D301" t="s">
        <v>2457</v>
      </c>
      <c r="E301" t="s">
        <v>2451</v>
      </c>
      <c r="F301" t="s">
        <v>1979</v>
      </c>
      <c r="G301">
        <v>0</v>
      </c>
      <c r="H301">
        <v>0</v>
      </c>
      <c r="I301">
        <v>25360.360360360359</v>
      </c>
      <c r="J301">
        <v>304324.32432432432</v>
      </c>
      <c r="K301">
        <v>0</v>
      </c>
      <c r="L301">
        <v>0</v>
      </c>
      <c r="M301">
        <v>45616</v>
      </c>
      <c r="O301" t="s">
        <v>326</v>
      </c>
      <c r="P301" t="s">
        <v>127</v>
      </c>
      <c r="Q301" t="s">
        <v>140</v>
      </c>
      <c r="R301" t="s">
        <v>2446</v>
      </c>
      <c r="S301" t="s">
        <v>2444</v>
      </c>
      <c r="T301" t="s">
        <v>2445</v>
      </c>
      <c r="U301">
        <v>12</v>
      </c>
      <c r="V301" t="s">
        <v>357</v>
      </c>
      <c r="W301" t="s">
        <v>141</v>
      </c>
      <c r="X301" t="s">
        <v>142</v>
      </c>
      <c r="Y301">
        <v>11611</v>
      </c>
      <c r="Z301">
        <v>11612</v>
      </c>
      <c r="AA301" t="s">
        <v>1025</v>
      </c>
      <c r="AB301">
        <v>1</v>
      </c>
    </row>
    <row r="302" spans="1:28">
      <c r="A302">
        <v>1</v>
      </c>
      <c r="B302" t="s">
        <v>398</v>
      </c>
      <c r="C302" t="s">
        <v>2224</v>
      </c>
      <c r="D302" t="s">
        <v>2225</v>
      </c>
      <c r="E302" t="s">
        <v>2080</v>
      </c>
      <c r="F302" t="s">
        <v>2081</v>
      </c>
      <c r="G302">
        <v>72144.144799999995</v>
      </c>
      <c r="H302">
        <v>288576.57919999998</v>
      </c>
      <c r="I302">
        <v>79279.28</v>
      </c>
      <c r="J302">
        <v>317117.12</v>
      </c>
      <c r="K302">
        <v>85630.63</v>
      </c>
      <c r="L302">
        <v>342522.52</v>
      </c>
      <c r="M302">
        <v>45616</v>
      </c>
      <c r="O302" t="s">
        <v>326</v>
      </c>
      <c r="P302" t="s">
        <v>127</v>
      </c>
      <c r="Q302" t="s">
        <v>140</v>
      </c>
      <c r="R302" t="s">
        <v>2446</v>
      </c>
      <c r="S302" t="s">
        <v>2444</v>
      </c>
      <c r="T302" t="s">
        <v>2445</v>
      </c>
      <c r="U302">
        <v>4</v>
      </c>
      <c r="V302" t="s">
        <v>358</v>
      </c>
      <c r="W302" t="s">
        <v>141</v>
      </c>
      <c r="X302" t="s">
        <v>142</v>
      </c>
      <c r="Y302">
        <v>11611</v>
      </c>
      <c r="Z302">
        <v>11612</v>
      </c>
      <c r="AA302" t="s">
        <v>1025</v>
      </c>
      <c r="AB302">
        <v>1</v>
      </c>
    </row>
    <row r="303" spans="1:28">
      <c r="A303">
        <v>1</v>
      </c>
      <c r="B303" t="s">
        <v>1009</v>
      </c>
      <c r="C303" t="s">
        <v>2204</v>
      </c>
      <c r="D303" t="s">
        <v>2205</v>
      </c>
      <c r="E303" t="s">
        <v>1580</v>
      </c>
      <c r="F303" t="s">
        <v>1581</v>
      </c>
      <c r="G303">
        <v>12782.360499999999</v>
      </c>
      <c r="H303">
        <v>460164.97799999994</v>
      </c>
      <c r="I303">
        <v>14046.55</v>
      </c>
      <c r="J303">
        <v>505675.8</v>
      </c>
      <c r="K303">
        <v>14749.75</v>
      </c>
      <c r="L303">
        <v>530991</v>
      </c>
      <c r="M303">
        <v>45616</v>
      </c>
      <c r="O303" t="s">
        <v>326</v>
      </c>
      <c r="P303" t="s">
        <v>127</v>
      </c>
      <c r="Q303" t="s">
        <v>140</v>
      </c>
      <c r="R303" t="s">
        <v>2446</v>
      </c>
      <c r="S303" t="s">
        <v>2444</v>
      </c>
      <c r="T303" t="s">
        <v>2445</v>
      </c>
      <c r="U303">
        <v>36</v>
      </c>
      <c r="V303" t="s">
        <v>357</v>
      </c>
      <c r="W303" t="s">
        <v>141</v>
      </c>
      <c r="X303" t="s">
        <v>142</v>
      </c>
      <c r="Y303">
        <v>11611</v>
      </c>
      <c r="Z303">
        <v>11612</v>
      </c>
      <c r="AA303" t="s">
        <v>1025</v>
      </c>
      <c r="AB303">
        <v>1</v>
      </c>
    </row>
    <row r="304" spans="1:28">
      <c r="A304">
        <v>1</v>
      </c>
      <c r="B304" t="s">
        <v>1007</v>
      </c>
      <c r="C304" t="s">
        <v>2204</v>
      </c>
      <c r="D304" t="s">
        <v>2205</v>
      </c>
      <c r="E304" t="s">
        <v>1576</v>
      </c>
      <c r="F304" t="s">
        <v>1577</v>
      </c>
      <c r="G304">
        <v>12782.360499999999</v>
      </c>
      <c r="H304">
        <v>460164.97799999994</v>
      </c>
      <c r="I304">
        <v>14046.55</v>
      </c>
      <c r="J304">
        <v>505675.8</v>
      </c>
      <c r="K304">
        <v>14749.75</v>
      </c>
      <c r="L304">
        <v>530991</v>
      </c>
      <c r="M304">
        <v>45616</v>
      </c>
      <c r="O304" t="s">
        <v>326</v>
      </c>
      <c r="P304" t="s">
        <v>127</v>
      </c>
      <c r="Q304" t="s">
        <v>140</v>
      </c>
      <c r="R304" t="s">
        <v>2446</v>
      </c>
      <c r="S304" t="s">
        <v>2444</v>
      </c>
      <c r="T304" t="s">
        <v>2445</v>
      </c>
      <c r="U304">
        <v>36</v>
      </c>
      <c r="V304" t="s">
        <v>357</v>
      </c>
      <c r="W304" t="s">
        <v>141</v>
      </c>
      <c r="X304" t="s">
        <v>142</v>
      </c>
      <c r="Y304">
        <v>11611</v>
      </c>
      <c r="Z304">
        <v>11612</v>
      </c>
      <c r="AA304" t="s">
        <v>1025</v>
      </c>
      <c r="AB304">
        <v>1</v>
      </c>
    </row>
    <row r="305" spans="1:28">
      <c r="A305">
        <v>1</v>
      </c>
      <c r="B305" t="s">
        <v>508</v>
      </c>
      <c r="C305" t="s">
        <v>2275</v>
      </c>
      <c r="D305" t="s">
        <v>2276</v>
      </c>
      <c r="E305" t="s">
        <v>1212</v>
      </c>
      <c r="F305" t="s">
        <v>1213</v>
      </c>
      <c r="G305">
        <v>40990.995500000005</v>
      </c>
      <c r="H305">
        <v>983783.89200000011</v>
      </c>
      <c r="I305">
        <v>45045.05</v>
      </c>
      <c r="J305">
        <v>1081081.2000000002</v>
      </c>
      <c r="K305">
        <v>48648.65</v>
      </c>
      <c r="L305">
        <v>1167567.6000000001</v>
      </c>
      <c r="M305">
        <v>45616</v>
      </c>
      <c r="O305" t="s">
        <v>326</v>
      </c>
      <c r="P305" t="s">
        <v>127</v>
      </c>
      <c r="Q305" t="s">
        <v>140</v>
      </c>
      <c r="R305" t="s">
        <v>2446</v>
      </c>
      <c r="S305" t="s">
        <v>2444</v>
      </c>
      <c r="T305" t="s">
        <v>2445</v>
      </c>
      <c r="U305">
        <v>24</v>
      </c>
      <c r="V305" t="s">
        <v>357</v>
      </c>
      <c r="W305" t="s">
        <v>141</v>
      </c>
      <c r="X305" t="s">
        <v>142</v>
      </c>
      <c r="Y305">
        <v>11611</v>
      </c>
      <c r="Z305">
        <v>11612</v>
      </c>
      <c r="AA305" t="s">
        <v>1025</v>
      </c>
      <c r="AB305">
        <v>1</v>
      </c>
    </row>
    <row r="306" spans="1:28">
      <c r="A306">
        <v>1</v>
      </c>
      <c r="B306" t="s">
        <v>478</v>
      </c>
      <c r="C306" t="s">
        <v>2277</v>
      </c>
      <c r="D306" t="s">
        <v>2278</v>
      </c>
      <c r="E306" t="s">
        <v>1214</v>
      </c>
      <c r="F306" t="s">
        <v>1215</v>
      </c>
      <c r="G306">
        <v>24594.597299999998</v>
      </c>
      <c r="H306">
        <v>590270.33519999997</v>
      </c>
      <c r="I306">
        <v>27027.03</v>
      </c>
      <c r="J306">
        <v>648648.72</v>
      </c>
      <c r="K306">
        <v>29369.37</v>
      </c>
      <c r="L306">
        <v>704864.88</v>
      </c>
      <c r="M306">
        <v>45616</v>
      </c>
      <c r="O306" t="s">
        <v>326</v>
      </c>
      <c r="P306" t="s">
        <v>127</v>
      </c>
      <c r="Q306" t="s">
        <v>140</v>
      </c>
      <c r="R306" t="s">
        <v>2446</v>
      </c>
      <c r="S306" t="s">
        <v>2444</v>
      </c>
      <c r="T306" t="s">
        <v>2445</v>
      </c>
      <c r="U306">
        <v>24</v>
      </c>
      <c r="V306" t="s">
        <v>359</v>
      </c>
      <c r="W306" t="s">
        <v>141</v>
      </c>
      <c r="X306" t="s">
        <v>142</v>
      </c>
      <c r="Y306">
        <v>11611</v>
      </c>
      <c r="Z306">
        <v>11612</v>
      </c>
      <c r="AA306" t="s">
        <v>1025</v>
      </c>
      <c r="AB306">
        <v>1</v>
      </c>
    </row>
    <row r="307" spans="1:28">
      <c r="A307">
        <v>1</v>
      </c>
      <c r="B307" t="s">
        <v>479</v>
      </c>
      <c r="C307" t="s">
        <v>2277</v>
      </c>
      <c r="D307" t="s">
        <v>2278</v>
      </c>
      <c r="E307" t="s">
        <v>1216</v>
      </c>
      <c r="F307" t="s">
        <v>1217</v>
      </c>
      <c r="G307">
        <v>53288.289599999996</v>
      </c>
      <c r="H307">
        <v>1278918.9504</v>
      </c>
      <c r="I307">
        <v>58558.559999999998</v>
      </c>
      <c r="J307">
        <v>1405405.44</v>
      </c>
      <c r="K307">
        <v>63603.6</v>
      </c>
      <c r="L307">
        <v>1526486.4</v>
      </c>
      <c r="M307">
        <v>45616</v>
      </c>
      <c r="O307" t="s">
        <v>326</v>
      </c>
      <c r="P307" t="s">
        <v>127</v>
      </c>
      <c r="Q307" t="s">
        <v>140</v>
      </c>
      <c r="R307" t="s">
        <v>2446</v>
      </c>
      <c r="S307" t="s">
        <v>2444</v>
      </c>
      <c r="T307" t="s">
        <v>2445</v>
      </c>
      <c r="U307">
        <v>24</v>
      </c>
      <c r="V307" t="s">
        <v>359</v>
      </c>
      <c r="W307" t="s">
        <v>141</v>
      </c>
      <c r="X307" t="s">
        <v>142</v>
      </c>
      <c r="Y307">
        <v>11611</v>
      </c>
      <c r="Z307">
        <v>11612</v>
      </c>
      <c r="AA307" t="s">
        <v>1025</v>
      </c>
      <c r="AB307">
        <v>1</v>
      </c>
    </row>
    <row r="308" spans="1:28">
      <c r="A308">
        <v>1</v>
      </c>
      <c r="B308" t="s">
        <v>480</v>
      </c>
      <c r="C308" t="s">
        <v>2277</v>
      </c>
      <c r="D308" t="s">
        <v>2278</v>
      </c>
      <c r="E308" t="s">
        <v>2412</v>
      </c>
      <c r="F308" t="s">
        <v>2419</v>
      </c>
      <c r="G308">
        <v>53288.288288288277</v>
      </c>
      <c r="H308">
        <v>639459.45945945929</v>
      </c>
      <c r="I308">
        <v>58558.558558558543</v>
      </c>
      <c r="J308">
        <v>702702.70270270249</v>
      </c>
      <c r="K308">
        <v>63603.603603603602</v>
      </c>
      <c r="L308">
        <v>763243.2432432432</v>
      </c>
      <c r="M308">
        <v>45616</v>
      </c>
      <c r="O308" t="s">
        <v>326</v>
      </c>
      <c r="P308" t="s">
        <v>127</v>
      </c>
      <c r="Q308" t="s">
        <v>140</v>
      </c>
      <c r="R308" t="s">
        <v>2446</v>
      </c>
      <c r="S308" t="s">
        <v>2444</v>
      </c>
      <c r="T308" t="s">
        <v>2445</v>
      </c>
      <c r="U308">
        <v>12</v>
      </c>
      <c r="V308" t="s">
        <v>357</v>
      </c>
      <c r="W308" t="s">
        <v>141</v>
      </c>
      <c r="X308" t="s">
        <v>142</v>
      </c>
      <c r="Y308">
        <v>11611</v>
      </c>
      <c r="Z308">
        <v>11612</v>
      </c>
      <c r="AA308" t="s">
        <v>1025</v>
      </c>
      <c r="AB308">
        <v>1</v>
      </c>
    </row>
    <row r="309" spans="1:28">
      <c r="A309">
        <v>1</v>
      </c>
      <c r="B309" t="s">
        <v>481</v>
      </c>
      <c r="C309" t="s">
        <v>2277</v>
      </c>
      <c r="D309" t="s">
        <v>2278</v>
      </c>
      <c r="E309" t="s">
        <v>1218</v>
      </c>
      <c r="F309" t="s">
        <v>1219</v>
      </c>
      <c r="G309">
        <v>24594.597299999998</v>
      </c>
      <c r="H309">
        <v>590270.33519999997</v>
      </c>
      <c r="I309">
        <v>27027.03</v>
      </c>
      <c r="J309">
        <v>648648.72</v>
      </c>
      <c r="K309">
        <v>29369.37</v>
      </c>
      <c r="L309">
        <v>704864.88</v>
      </c>
      <c r="M309">
        <v>45616</v>
      </c>
      <c r="O309" t="s">
        <v>326</v>
      </c>
      <c r="P309" t="s">
        <v>127</v>
      </c>
      <c r="Q309" t="s">
        <v>140</v>
      </c>
      <c r="R309" t="s">
        <v>2446</v>
      </c>
      <c r="S309" t="s">
        <v>2444</v>
      </c>
      <c r="T309" t="s">
        <v>2445</v>
      </c>
      <c r="U309">
        <v>24</v>
      </c>
      <c r="V309" t="s">
        <v>359</v>
      </c>
      <c r="W309" t="s">
        <v>141</v>
      </c>
      <c r="X309" t="s">
        <v>142</v>
      </c>
      <c r="Y309">
        <v>11611</v>
      </c>
      <c r="Z309">
        <v>11612</v>
      </c>
      <c r="AA309" t="s">
        <v>1025</v>
      </c>
      <c r="AB309">
        <v>1</v>
      </c>
    </row>
    <row r="310" spans="1:28">
      <c r="A310">
        <v>1</v>
      </c>
      <c r="B310" t="s">
        <v>482</v>
      </c>
      <c r="C310" t="s">
        <v>2277</v>
      </c>
      <c r="D310" t="s">
        <v>2278</v>
      </c>
      <c r="E310" t="s">
        <v>1220</v>
      </c>
      <c r="F310" t="s">
        <v>1221</v>
      </c>
      <c r="G310">
        <v>53288.289599999996</v>
      </c>
      <c r="H310">
        <v>1278918.9504</v>
      </c>
      <c r="I310">
        <v>58558.559999999998</v>
      </c>
      <c r="J310">
        <v>1405405.44</v>
      </c>
      <c r="K310">
        <v>63603.6</v>
      </c>
      <c r="L310">
        <v>1526486.4</v>
      </c>
      <c r="M310">
        <v>45616</v>
      </c>
      <c r="O310" t="s">
        <v>326</v>
      </c>
      <c r="P310" t="s">
        <v>127</v>
      </c>
      <c r="Q310" t="s">
        <v>140</v>
      </c>
      <c r="R310" t="s">
        <v>2446</v>
      </c>
      <c r="S310" t="s">
        <v>2444</v>
      </c>
      <c r="T310" t="s">
        <v>2445</v>
      </c>
      <c r="U310">
        <v>24</v>
      </c>
      <c r="V310" t="s">
        <v>359</v>
      </c>
      <c r="W310" t="s">
        <v>141</v>
      </c>
      <c r="X310" t="s">
        <v>142</v>
      </c>
      <c r="Y310">
        <v>11611</v>
      </c>
      <c r="Z310">
        <v>11612</v>
      </c>
      <c r="AA310" t="s">
        <v>1025</v>
      </c>
      <c r="AB310">
        <v>1</v>
      </c>
    </row>
    <row r="311" spans="1:28">
      <c r="A311">
        <v>1</v>
      </c>
      <c r="B311" t="s">
        <v>998</v>
      </c>
      <c r="C311" t="s">
        <v>2273</v>
      </c>
      <c r="D311" t="s">
        <v>2274</v>
      </c>
      <c r="E311" t="s">
        <v>1210</v>
      </c>
      <c r="F311" t="s">
        <v>1211</v>
      </c>
      <c r="G311">
        <v>28611.7104</v>
      </c>
      <c r="H311">
        <v>686681.04960000003</v>
      </c>
      <c r="I311">
        <v>31441.439999999999</v>
      </c>
      <c r="J311">
        <v>754594.55999999994</v>
      </c>
      <c r="K311">
        <v>31441.439999999999</v>
      </c>
      <c r="L311">
        <v>754594.55999999994</v>
      </c>
      <c r="M311">
        <v>45616</v>
      </c>
      <c r="O311" t="s">
        <v>326</v>
      </c>
      <c r="P311" t="s">
        <v>127</v>
      </c>
      <c r="Q311" t="s">
        <v>140</v>
      </c>
      <c r="R311" t="s">
        <v>2446</v>
      </c>
      <c r="S311" t="s">
        <v>2444</v>
      </c>
      <c r="T311" t="s">
        <v>2445</v>
      </c>
      <c r="U311">
        <v>24</v>
      </c>
      <c r="V311" t="s">
        <v>1021</v>
      </c>
      <c r="W311" t="s">
        <v>141</v>
      </c>
      <c r="X311" t="s">
        <v>142</v>
      </c>
      <c r="Y311">
        <v>11611</v>
      </c>
      <c r="Z311">
        <v>11612</v>
      </c>
      <c r="AA311" t="s">
        <v>1025</v>
      </c>
      <c r="AB311">
        <v>1</v>
      </c>
    </row>
    <row r="312" spans="1:28">
      <c r="A312">
        <v>1</v>
      </c>
      <c r="B312" t="s">
        <v>483</v>
      </c>
      <c r="C312" t="s">
        <v>2277</v>
      </c>
      <c r="D312" t="s">
        <v>2278</v>
      </c>
      <c r="E312" t="s">
        <v>2429</v>
      </c>
      <c r="F312" t="s">
        <v>2430</v>
      </c>
      <c r="G312">
        <v>53288.289599999996</v>
      </c>
      <c r="H312">
        <v>639459.47519999999</v>
      </c>
      <c r="I312">
        <v>58558.559999999998</v>
      </c>
      <c r="J312">
        <v>702702.72</v>
      </c>
      <c r="K312">
        <v>63603.6</v>
      </c>
      <c r="L312">
        <v>763243.2</v>
      </c>
      <c r="M312">
        <v>45616</v>
      </c>
      <c r="O312" t="s">
        <v>326</v>
      </c>
      <c r="P312" t="s">
        <v>127</v>
      </c>
      <c r="Q312" t="s">
        <v>140</v>
      </c>
      <c r="R312" t="s">
        <v>2446</v>
      </c>
      <c r="S312" t="s">
        <v>2444</v>
      </c>
      <c r="T312" t="s">
        <v>2445</v>
      </c>
      <c r="U312">
        <v>12</v>
      </c>
      <c r="V312" t="s">
        <v>357</v>
      </c>
      <c r="W312" t="s">
        <v>141</v>
      </c>
      <c r="X312" t="s">
        <v>142</v>
      </c>
      <c r="Y312">
        <v>11611</v>
      </c>
      <c r="Z312">
        <v>11612</v>
      </c>
      <c r="AA312" t="s">
        <v>1025</v>
      </c>
      <c r="AB312">
        <v>1</v>
      </c>
    </row>
    <row r="313" spans="1:28">
      <c r="A313">
        <v>1</v>
      </c>
      <c r="B313" t="s">
        <v>485</v>
      </c>
      <c r="C313" t="s">
        <v>2277</v>
      </c>
      <c r="D313" t="s">
        <v>2278</v>
      </c>
      <c r="E313" t="s">
        <v>1224</v>
      </c>
      <c r="F313" t="s">
        <v>1225</v>
      </c>
      <c r="G313">
        <v>53288.289599999996</v>
      </c>
      <c r="H313">
        <v>1278918.9504</v>
      </c>
      <c r="I313">
        <v>58558.559999999998</v>
      </c>
      <c r="J313">
        <v>1405405.44</v>
      </c>
      <c r="K313">
        <v>63603.6</v>
      </c>
      <c r="L313">
        <v>1526486.4</v>
      </c>
      <c r="M313">
        <v>45616</v>
      </c>
      <c r="O313" t="s">
        <v>326</v>
      </c>
      <c r="P313" t="s">
        <v>127</v>
      </c>
      <c r="Q313" t="s">
        <v>140</v>
      </c>
      <c r="R313" t="s">
        <v>2446</v>
      </c>
      <c r="S313" t="s">
        <v>2444</v>
      </c>
      <c r="T313" t="s">
        <v>2445</v>
      </c>
      <c r="U313">
        <v>24</v>
      </c>
      <c r="V313" t="s">
        <v>359</v>
      </c>
      <c r="W313" t="s">
        <v>141</v>
      </c>
      <c r="X313" t="s">
        <v>142</v>
      </c>
      <c r="Y313">
        <v>11611</v>
      </c>
      <c r="Z313">
        <v>11612</v>
      </c>
      <c r="AA313" t="s">
        <v>1025</v>
      </c>
      <c r="AB313">
        <v>1</v>
      </c>
    </row>
    <row r="314" spans="1:28">
      <c r="A314">
        <v>1</v>
      </c>
      <c r="B314" t="s">
        <v>486</v>
      </c>
      <c r="C314" t="s">
        <v>2277</v>
      </c>
      <c r="D314" t="s">
        <v>2278</v>
      </c>
      <c r="E314" t="s">
        <v>1226</v>
      </c>
      <c r="F314" t="s">
        <v>1227</v>
      </c>
      <c r="G314">
        <v>24594.597299999998</v>
      </c>
      <c r="H314">
        <v>590270.33519999997</v>
      </c>
      <c r="I314">
        <v>27027.03</v>
      </c>
      <c r="J314">
        <v>648648.72</v>
      </c>
      <c r="K314">
        <v>29369.37</v>
      </c>
      <c r="L314">
        <v>704864.88</v>
      </c>
      <c r="M314">
        <v>45616</v>
      </c>
      <c r="O314" t="s">
        <v>326</v>
      </c>
      <c r="P314" t="s">
        <v>127</v>
      </c>
      <c r="Q314" t="s">
        <v>140</v>
      </c>
      <c r="R314" t="s">
        <v>2446</v>
      </c>
      <c r="S314" t="s">
        <v>2444</v>
      </c>
      <c r="T314" t="s">
        <v>2445</v>
      </c>
      <c r="U314">
        <v>24</v>
      </c>
      <c r="V314" t="s">
        <v>359</v>
      </c>
      <c r="W314" t="s">
        <v>141</v>
      </c>
      <c r="X314" t="s">
        <v>142</v>
      </c>
      <c r="Y314">
        <v>11611</v>
      </c>
      <c r="Z314">
        <v>11612</v>
      </c>
      <c r="AA314" t="s">
        <v>1025</v>
      </c>
      <c r="AB314">
        <v>1</v>
      </c>
    </row>
    <row r="315" spans="1:28">
      <c r="A315">
        <v>1</v>
      </c>
      <c r="B315" t="s">
        <v>488</v>
      </c>
      <c r="C315" t="s">
        <v>2277</v>
      </c>
      <c r="D315" t="s">
        <v>2278</v>
      </c>
      <c r="E315" t="s">
        <v>1228</v>
      </c>
      <c r="F315" t="s">
        <v>1229</v>
      </c>
      <c r="G315">
        <v>53288.289599999996</v>
      </c>
      <c r="H315">
        <v>639459.47519999999</v>
      </c>
      <c r="I315">
        <v>58558.559999999998</v>
      </c>
      <c r="J315">
        <v>702702.72</v>
      </c>
      <c r="K315">
        <v>63603.6</v>
      </c>
      <c r="L315">
        <v>763243.2</v>
      </c>
      <c r="M315">
        <v>45616</v>
      </c>
      <c r="O315" t="s">
        <v>326</v>
      </c>
      <c r="P315" t="s">
        <v>127</v>
      </c>
      <c r="Q315" t="s">
        <v>140</v>
      </c>
      <c r="R315" t="s">
        <v>2446</v>
      </c>
      <c r="S315" t="s">
        <v>2444</v>
      </c>
      <c r="T315" t="s">
        <v>2445</v>
      </c>
      <c r="U315">
        <v>12</v>
      </c>
      <c r="V315" t="s">
        <v>357</v>
      </c>
      <c r="W315" t="s">
        <v>141</v>
      </c>
      <c r="X315" t="s">
        <v>142</v>
      </c>
      <c r="Y315">
        <v>11611</v>
      </c>
      <c r="Z315">
        <v>11612</v>
      </c>
      <c r="AA315" t="s">
        <v>1025</v>
      </c>
      <c r="AB315">
        <v>1</v>
      </c>
    </row>
    <row r="316" spans="1:28">
      <c r="A316">
        <v>1</v>
      </c>
      <c r="B316" t="s">
        <v>487</v>
      </c>
      <c r="C316" t="s">
        <v>2277</v>
      </c>
      <c r="D316" t="s">
        <v>2278</v>
      </c>
      <c r="E316" t="s">
        <v>1230</v>
      </c>
      <c r="F316" t="s">
        <v>1231</v>
      </c>
      <c r="G316">
        <v>53288.289599999996</v>
      </c>
      <c r="H316">
        <v>1278918.9504</v>
      </c>
      <c r="I316">
        <v>58558.559999999998</v>
      </c>
      <c r="J316">
        <v>1405405.44</v>
      </c>
      <c r="K316">
        <v>63603.6</v>
      </c>
      <c r="L316">
        <v>1526486.4</v>
      </c>
      <c r="M316">
        <v>45616</v>
      </c>
      <c r="O316" t="s">
        <v>326</v>
      </c>
      <c r="P316" t="s">
        <v>127</v>
      </c>
      <c r="Q316" t="s">
        <v>140</v>
      </c>
      <c r="R316" t="s">
        <v>2446</v>
      </c>
      <c r="S316" t="s">
        <v>2444</v>
      </c>
      <c r="T316" t="s">
        <v>2445</v>
      </c>
      <c r="U316">
        <v>24</v>
      </c>
      <c r="V316" t="s">
        <v>359</v>
      </c>
      <c r="W316" t="s">
        <v>141</v>
      </c>
      <c r="X316" t="s">
        <v>142</v>
      </c>
      <c r="Y316">
        <v>11611</v>
      </c>
      <c r="Z316">
        <v>11612</v>
      </c>
      <c r="AA316" t="s">
        <v>1025</v>
      </c>
      <c r="AB316">
        <v>1</v>
      </c>
    </row>
    <row r="317" spans="1:28">
      <c r="A317">
        <v>1</v>
      </c>
      <c r="B317" t="s">
        <v>489</v>
      </c>
      <c r="C317" t="s">
        <v>2279</v>
      </c>
      <c r="D317" t="s">
        <v>2280</v>
      </c>
      <c r="E317" t="s">
        <v>1232</v>
      </c>
      <c r="F317" t="s">
        <v>1233</v>
      </c>
      <c r="G317">
        <v>5833.2456000000002</v>
      </c>
      <c r="H317">
        <v>419993.68320000003</v>
      </c>
      <c r="I317">
        <v>6410.16</v>
      </c>
      <c r="J317">
        <v>461531.52</v>
      </c>
      <c r="K317">
        <v>6969.47</v>
      </c>
      <c r="L317">
        <v>501801.84</v>
      </c>
      <c r="M317">
        <v>45616</v>
      </c>
      <c r="O317" t="s">
        <v>326</v>
      </c>
      <c r="P317" t="s">
        <v>127</v>
      </c>
      <c r="Q317" t="s">
        <v>140</v>
      </c>
      <c r="R317" t="s">
        <v>2446</v>
      </c>
      <c r="S317" t="s">
        <v>2444</v>
      </c>
      <c r="T317" t="s">
        <v>2445</v>
      </c>
      <c r="U317">
        <v>72</v>
      </c>
      <c r="V317" t="s">
        <v>1022</v>
      </c>
      <c r="W317" t="s">
        <v>141</v>
      </c>
      <c r="X317" t="s">
        <v>142</v>
      </c>
      <c r="Y317">
        <v>11611</v>
      </c>
      <c r="Z317">
        <v>11612</v>
      </c>
      <c r="AA317" t="s">
        <v>1025</v>
      </c>
      <c r="AB317">
        <v>1</v>
      </c>
    </row>
    <row r="318" spans="1:28">
      <c r="A318">
        <v>1</v>
      </c>
      <c r="B318" t="s">
        <v>490</v>
      </c>
      <c r="C318" t="s">
        <v>2279</v>
      </c>
      <c r="D318" t="s">
        <v>2280</v>
      </c>
      <c r="E318" t="s">
        <v>1234</v>
      </c>
      <c r="F318" t="s">
        <v>1235</v>
      </c>
      <c r="G318">
        <v>31271.567600000002</v>
      </c>
      <c r="H318">
        <v>1125776.4336000001</v>
      </c>
      <c r="I318">
        <v>34364.36</v>
      </c>
      <c r="J318">
        <v>1237116.96</v>
      </c>
      <c r="K318">
        <v>37705.21</v>
      </c>
      <c r="L318">
        <v>1357387.56</v>
      </c>
      <c r="M318">
        <v>45616</v>
      </c>
      <c r="O318" t="s">
        <v>326</v>
      </c>
      <c r="P318" t="s">
        <v>127</v>
      </c>
      <c r="Q318" t="s">
        <v>140</v>
      </c>
      <c r="R318" t="s">
        <v>2446</v>
      </c>
      <c r="S318" t="s">
        <v>2444</v>
      </c>
      <c r="T318" t="s">
        <v>2445</v>
      </c>
      <c r="U318">
        <v>36</v>
      </c>
      <c r="V318" t="s">
        <v>1021</v>
      </c>
      <c r="W318" t="s">
        <v>141</v>
      </c>
      <c r="X318" t="s">
        <v>142</v>
      </c>
      <c r="Y318">
        <v>11611</v>
      </c>
      <c r="Z318">
        <v>11612</v>
      </c>
      <c r="AA318" t="s">
        <v>1025</v>
      </c>
      <c r="AB318">
        <v>1</v>
      </c>
    </row>
    <row r="319" spans="1:28">
      <c r="A319">
        <v>1</v>
      </c>
      <c r="B319" t="s">
        <v>484</v>
      </c>
      <c r="C319" t="s">
        <v>2277</v>
      </c>
      <c r="D319" t="s">
        <v>2278</v>
      </c>
      <c r="E319" t="s">
        <v>1222</v>
      </c>
      <c r="F319" t="s">
        <v>1223</v>
      </c>
      <c r="G319">
        <v>24594.597299999998</v>
      </c>
      <c r="H319">
        <v>590270.33519999997</v>
      </c>
      <c r="I319">
        <v>27027.03</v>
      </c>
      <c r="J319">
        <v>648648.72</v>
      </c>
      <c r="K319">
        <v>29369.37</v>
      </c>
      <c r="L319">
        <v>704864.88</v>
      </c>
      <c r="M319">
        <v>45616</v>
      </c>
      <c r="O319" t="s">
        <v>326</v>
      </c>
      <c r="P319" t="s">
        <v>127</v>
      </c>
      <c r="Q319" t="s">
        <v>140</v>
      </c>
      <c r="R319" t="s">
        <v>2446</v>
      </c>
      <c r="S319" t="s">
        <v>2444</v>
      </c>
      <c r="T319" t="s">
        <v>2445</v>
      </c>
      <c r="U319">
        <v>24</v>
      </c>
      <c r="V319" t="s">
        <v>359</v>
      </c>
      <c r="W319" t="s">
        <v>141</v>
      </c>
      <c r="X319" t="s">
        <v>142</v>
      </c>
      <c r="Y319">
        <v>11611</v>
      </c>
      <c r="Z319">
        <v>11612</v>
      </c>
      <c r="AA319" t="s">
        <v>1025</v>
      </c>
      <c r="AB319">
        <v>1</v>
      </c>
    </row>
    <row r="320" spans="1:28">
      <c r="A320">
        <v>1</v>
      </c>
      <c r="B320" t="s">
        <v>997</v>
      </c>
      <c r="C320" t="s">
        <v>2273</v>
      </c>
      <c r="D320" t="s">
        <v>2274</v>
      </c>
      <c r="E320" t="s">
        <v>1208</v>
      </c>
      <c r="F320" t="s">
        <v>1209</v>
      </c>
      <c r="G320">
        <v>28611.7104</v>
      </c>
      <c r="H320">
        <v>686681.04960000003</v>
      </c>
      <c r="I320">
        <v>31441.439999999999</v>
      </c>
      <c r="J320">
        <v>754594.55999999994</v>
      </c>
      <c r="K320">
        <v>31441.439999999999</v>
      </c>
      <c r="L320">
        <v>754594.55999999994</v>
      </c>
      <c r="M320">
        <v>45616</v>
      </c>
      <c r="O320" t="s">
        <v>326</v>
      </c>
      <c r="P320" t="s">
        <v>127</v>
      </c>
      <c r="Q320" t="s">
        <v>140</v>
      </c>
      <c r="R320" t="s">
        <v>2446</v>
      </c>
      <c r="S320" t="s">
        <v>2444</v>
      </c>
      <c r="T320" t="s">
        <v>2445</v>
      </c>
      <c r="U320">
        <v>24</v>
      </c>
      <c r="V320" t="s">
        <v>1021</v>
      </c>
      <c r="W320" t="s">
        <v>141</v>
      </c>
      <c r="X320" t="s">
        <v>142</v>
      </c>
      <c r="Y320">
        <v>11611</v>
      </c>
      <c r="Z320">
        <v>11612</v>
      </c>
      <c r="AA320" t="s">
        <v>1025</v>
      </c>
      <c r="AB320">
        <v>1</v>
      </c>
    </row>
    <row r="321" spans="1:28">
      <c r="A321">
        <v>1</v>
      </c>
      <c r="B321" t="s">
        <v>996</v>
      </c>
      <c r="C321" t="s">
        <v>2273</v>
      </c>
      <c r="D321" t="s">
        <v>2274</v>
      </c>
      <c r="E321" t="s">
        <v>1206</v>
      </c>
      <c r="F321" t="s">
        <v>1207</v>
      </c>
      <c r="G321">
        <v>28611.7104</v>
      </c>
      <c r="H321">
        <v>686681.04960000003</v>
      </c>
      <c r="I321">
        <v>31441.439999999999</v>
      </c>
      <c r="J321">
        <v>754594.55999999994</v>
      </c>
      <c r="K321">
        <v>31441.439999999999</v>
      </c>
      <c r="L321">
        <v>754594.55999999994</v>
      </c>
      <c r="M321">
        <v>45616</v>
      </c>
      <c r="O321" t="s">
        <v>326</v>
      </c>
      <c r="P321" t="s">
        <v>127</v>
      </c>
      <c r="Q321" t="s">
        <v>140</v>
      </c>
      <c r="R321" t="s">
        <v>2446</v>
      </c>
      <c r="S321" t="s">
        <v>2444</v>
      </c>
      <c r="T321" t="s">
        <v>2445</v>
      </c>
      <c r="U321">
        <v>24</v>
      </c>
      <c r="V321" t="s">
        <v>1021</v>
      </c>
      <c r="W321" t="s">
        <v>141</v>
      </c>
      <c r="X321" t="s">
        <v>142</v>
      </c>
      <c r="Y321">
        <v>11611</v>
      </c>
      <c r="Z321">
        <v>11612</v>
      </c>
      <c r="AA321" t="s">
        <v>1025</v>
      </c>
      <c r="AB321">
        <v>1</v>
      </c>
    </row>
    <row r="322" spans="1:28">
      <c r="A322">
        <v>1</v>
      </c>
      <c r="B322" t="s">
        <v>995</v>
      </c>
      <c r="C322" t="s">
        <v>2273</v>
      </c>
      <c r="D322" t="s">
        <v>2274</v>
      </c>
      <c r="E322" t="s">
        <v>1204</v>
      </c>
      <c r="F322" t="s">
        <v>1205</v>
      </c>
      <c r="G322">
        <v>28611.7104</v>
      </c>
      <c r="H322">
        <v>686681.04960000003</v>
      </c>
      <c r="I322">
        <v>31441.439999999999</v>
      </c>
      <c r="J322">
        <v>754594.55999999994</v>
      </c>
      <c r="K322">
        <v>31441.439999999999</v>
      </c>
      <c r="L322">
        <v>754594.55999999994</v>
      </c>
      <c r="M322">
        <v>45616</v>
      </c>
      <c r="O322" t="s">
        <v>326</v>
      </c>
      <c r="P322" t="s">
        <v>127</v>
      </c>
      <c r="Q322" t="s">
        <v>140</v>
      </c>
      <c r="R322" t="s">
        <v>2446</v>
      </c>
      <c r="S322" t="s">
        <v>2444</v>
      </c>
      <c r="T322" t="s">
        <v>2445</v>
      </c>
      <c r="U322">
        <v>24</v>
      </c>
      <c r="V322" t="s">
        <v>1021</v>
      </c>
      <c r="W322" t="s">
        <v>141</v>
      </c>
      <c r="X322" t="s">
        <v>142</v>
      </c>
      <c r="Y322">
        <v>11611</v>
      </c>
      <c r="Z322">
        <v>11612</v>
      </c>
      <c r="AA322" t="s">
        <v>1025</v>
      </c>
      <c r="AB322">
        <v>1</v>
      </c>
    </row>
    <row r="323" spans="1:28">
      <c r="A323">
        <v>1</v>
      </c>
      <c r="B323" t="s">
        <v>810</v>
      </c>
      <c r="C323" t="s">
        <v>2281</v>
      </c>
      <c r="D323" t="s">
        <v>2282</v>
      </c>
      <c r="E323" t="s">
        <v>1180</v>
      </c>
      <c r="F323" t="s">
        <v>1181</v>
      </c>
      <c r="G323">
        <v>13155.8336</v>
      </c>
      <c r="H323">
        <v>473610.00959999999</v>
      </c>
      <c r="I323">
        <v>14456.96</v>
      </c>
      <c r="J323">
        <v>520450.55999999994</v>
      </c>
      <c r="K323">
        <v>15728.23</v>
      </c>
      <c r="L323">
        <v>566216.28</v>
      </c>
      <c r="M323">
        <v>45616</v>
      </c>
      <c r="O323" t="s">
        <v>326</v>
      </c>
      <c r="P323" t="s">
        <v>127</v>
      </c>
      <c r="Q323" t="s">
        <v>140</v>
      </c>
      <c r="R323" t="s">
        <v>2446</v>
      </c>
      <c r="S323" t="s">
        <v>2444</v>
      </c>
      <c r="T323" t="s">
        <v>2445</v>
      </c>
      <c r="U323">
        <v>36</v>
      </c>
      <c r="V323" t="s">
        <v>357</v>
      </c>
      <c r="W323" t="s">
        <v>141</v>
      </c>
      <c r="X323" t="s">
        <v>142</v>
      </c>
      <c r="Y323">
        <v>11611</v>
      </c>
      <c r="Z323">
        <v>11612</v>
      </c>
      <c r="AA323" t="s">
        <v>1025</v>
      </c>
      <c r="AB323">
        <v>1</v>
      </c>
    </row>
    <row r="324" spans="1:28">
      <c r="A324">
        <v>1</v>
      </c>
      <c r="B324" t="s">
        <v>811</v>
      </c>
      <c r="C324" t="s">
        <v>2281</v>
      </c>
      <c r="D324" t="s">
        <v>2282</v>
      </c>
      <c r="E324" t="s">
        <v>1182</v>
      </c>
      <c r="F324" t="s">
        <v>1183</v>
      </c>
      <c r="G324">
        <v>13155.8336</v>
      </c>
      <c r="H324">
        <v>473610.00959999999</v>
      </c>
      <c r="I324">
        <v>14456.96</v>
      </c>
      <c r="J324">
        <v>520450.55999999994</v>
      </c>
      <c r="K324">
        <v>15728.23</v>
      </c>
      <c r="L324">
        <v>566216.28</v>
      </c>
      <c r="M324">
        <v>45616</v>
      </c>
      <c r="O324" t="s">
        <v>326</v>
      </c>
      <c r="P324" t="s">
        <v>127</v>
      </c>
      <c r="Q324" t="s">
        <v>140</v>
      </c>
      <c r="R324" t="s">
        <v>2446</v>
      </c>
      <c r="S324" t="s">
        <v>2444</v>
      </c>
      <c r="T324" t="s">
        <v>2445</v>
      </c>
      <c r="U324">
        <v>36</v>
      </c>
      <c r="V324" t="s">
        <v>357</v>
      </c>
      <c r="W324" t="s">
        <v>141</v>
      </c>
      <c r="X324" t="s">
        <v>142</v>
      </c>
      <c r="Y324">
        <v>11611</v>
      </c>
      <c r="Z324">
        <v>11612</v>
      </c>
      <c r="AA324" t="s">
        <v>1025</v>
      </c>
      <c r="AB324">
        <v>1</v>
      </c>
    </row>
    <row r="325" spans="1:28">
      <c r="A325">
        <v>1</v>
      </c>
      <c r="B325" t="s">
        <v>835</v>
      </c>
      <c r="C325" t="s">
        <v>2283</v>
      </c>
      <c r="D325" t="s">
        <v>2284</v>
      </c>
      <c r="E325" t="s">
        <v>2368</v>
      </c>
      <c r="F325" t="s">
        <v>1184</v>
      </c>
      <c r="G325">
        <v>5328.8325999999997</v>
      </c>
      <c r="H325">
        <v>255783.96479999999</v>
      </c>
      <c r="I325">
        <v>5855.86</v>
      </c>
      <c r="J325">
        <v>281081.27999999997</v>
      </c>
      <c r="K325">
        <v>6396.4</v>
      </c>
      <c r="L325">
        <v>307027.19999999995</v>
      </c>
      <c r="M325">
        <v>45616</v>
      </c>
      <c r="O325" t="s">
        <v>326</v>
      </c>
      <c r="P325" t="s">
        <v>127</v>
      </c>
      <c r="Q325" t="s">
        <v>140</v>
      </c>
      <c r="R325" t="s">
        <v>2446</v>
      </c>
      <c r="S325" t="s">
        <v>2444</v>
      </c>
      <c r="T325" t="s">
        <v>2445</v>
      </c>
      <c r="U325">
        <v>48</v>
      </c>
      <c r="V325" t="s">
        <v>1021</v>
      </c>
      <c r="W325" t="s">
        <v>141</v>
      </c>
      <c r="X325" t="s">
        <v>142</v>
      </c>
      <c r="Y325">
        <v>11611</v>
      </c>
      <c r="Z325">
        <v>11612</v>
      </c>
      <c r="AA325" t="s">
        <v>1025</v>
      </c>
      <c r="AB325">
        <v>1</v>
      </c>
    </row>
    <row r="326" spans="1:28">
      <c r="A326">
        <v>1</v>
      </c>
      <c r="B326" t="s">
        <v>837</v>
      </c>
      <c r="C326" t="s">
        <v>2283</v>
      </c>
      <c r="D326" t="s">
        <v>2284</v>
      </c>
      <c r="E326" t="s">
        <v>2369</v>
      </c>
      <c r="F326" t="s">
        <v>1185</v>
      </c>
      <c r="G326">
        <v>5328.8288288288286</v>
      </c>
      <c r="H326">
        <v>255783.78378378379</v>
      </c>
      <c r="I326">
        <v>5855.8558558558552</v>
      </c>
      <c r="J326">
        <v>281081.08108108107</v>
      </c>
      <c r="K326">
        <v>6396.3963963963952</v>
      </c>
      <c r="L326">
        <v>307027.02702702698</v>
      </c>
      <c r="M326">
        <v>45616</v>
      </c>
      <c r="O326" t="s">
        <v>326</v>
      </c>
      <c r="P326" t="s">
        <v>127</v>
      </c>
      <c r="Q326" t="s">
        <v>140</v>
      </c>
      <c r="R326" t="s">
        <v>2446</v>
      </c>
      <c r="S326" t="s">
        <v>2444</v>
      </c>
      <c r="T326" t="s">
        <v>2445</v>
      </c>
      <c r="U326">
        <v>48</v>
      </c>
      <c r="V326" t="s">
        <v>1021</v>
      </c>
      <c r="W326" t="s">
        <v>141</v>
      </c>
      <c r="X326" t="s">
        <v>142</v>
      </c>
      <c r="Y326">
        <v>11611</v>
      </c>
      <c r="Z326">
        <v>11612</v>
      </c>
      <c r="AA326" t="s">
        <v>1025</v>
      </c>
      <c r="AB326">
        <v>1</v>
      </c>
    </row>
    <row r="327" spans="1:28">
      <c r="A327">
        <v>1</v>
      </c>
      <c r="B327" t="s">
        <v>839</v>
      </c>
      <c r="C327" t="s">
        <v>2283</v>
      </c>
      <c r="D327" t="s">
        <v>2284</v>
      </c>
      <c r="E327" t="s">
        <v>2370</v>
      </c>
      <c r="F327" t="s">
        <v>1186</v>
      </c>
      <c r="G327">
        <v>5328.8288288288286</v>
      </c>
      <c r="H327">
        <v>255783.78378378379</v>
      </c>
      <c r="I327">
        <v>5855.8558558558552</v>
      </c>
      <c r="J327">
        <v>281081.08108108107</v>
      </c>
      <c r="K327">
        <v>6396.3963963963952</v>
      </c>
      <c r="L327">
        <v>307027.02702702698</v>
      </c>
      <c r="M327">
        <v>45616</v>
      </c>
      <c r="O327" t="s">
        <v>326</v>
      </c>
      <c r="P327" t="s">
        <v>127</v>
      </c>
      <c r="Q327" t="s">
        <v>140</v>
      </c>
      <c r="R327" t="s">
        <v>2446</v>
      </c>
      <c r="S327" t="s">
        <v>2444</v>
      </c>
      <c r="T327" t="s">
        <v>2445</v>
      </c>
      <c r="U327">
        <v>48</v>
      </c>
      <c r="V327" t="s">
        <v>1021</v>
      </c>
      <c r="W327" t="s">
        <v>141</v>
      </c>
      <c r="X327" t="s">
        <v>142</v>
      </c>
      <c r="Y327">
        <v>11611</v>
      </c>
      <c r="Z327">
        <v>11612</v>
      </c>
      <c r="AA327" t="s">
        <v>1025</v>
      </c>
      <c r="AB327">
        <v>1</v>
      </c>
    </row>
    <row r="328" spans="1:28">
      <c r="A328">
        <v>1</v>
      </c>
      <c r="B328" t="s">
        <v>840</v>
      </c>
      <c r="C328" t="s">
        <v>2283</v>
      </c>
      <c r="D328" t="s">
        <v>2284</v>
      </c>
      <c r="E328" t="s">
        <v>2371</v>
      </c>
      <c r="F328" t="s">
        <v>1187</v>
      </c>
      <c r="G328">
        <v>5328.8325999999997</v>
      </c>
      <c r="H328">
        <v>255783.96479999999</v>
      </c>
      <c r="I328">
        <v>5855.86</v>
      </c>
      <c r="J328">
        <v>281081.27999999997</v>
      </c>
      <c r="K328">
        <v>6396.4</v>
      </c>
      <c r="L328">
        <v>307027.19999999995</v>
      </c>
      <c r="M328">
        <v>45616</v>
      </c>
      <c r="O328" t="s">
        <v>326</v>
      </c>
      <c r="P328" t="s">
        <v>127</v>
      </c>
      <c r="Q328" t="s">
        <v>140</v>
      </c>
      <c r="R328" t="s">
        <v>2446</v>
      </c>
      <c r="S328" t="s">
        <v>2444</v>
      </c>
      <c r="T328" t="s">
        <v>2445</v>
      </c>
      <c r="U328">
        <v>48</v>
      </c>
      <c r="V328" t="s">
        <v>1021</v>
      </c>
      <c r="W328" t="s">
        <v>141</v>
      </c>
      <c r="X328" t="s">
        <v>142</v>
      </c>
      <c r="Y328">
        <v>11611</v>
      </c>
      <c r="Z328">
        <v>11612</v>
      </c>
      <c r="AA328" t="s">
        <v>1025</v>
      </c>
      <c r="AB328">
        <v>1</v>
      </c>
    </row>
    <row r="329" spans="1:28">
      <c r="A329">
        <v>1</v>
      </c>
      <c r="B329" t="s">
        <v>842</v>
      </c>
      <c r="C329" t="s">
        <v>2283</v>
      </c>
      <c r="D329" t="s">
        <v>2284</v>
      </c>
      <c r="E329" t="s">
        <v>2372</v>
      </c>
      <c r="F329" t="s">
        <v>1188</v>
      </c>
      <c r="G329">
        <v>5328.8325999999997</v>
      </c>
      <c r="H329">
        <v>255783.96479999999</v>
      </c>
      <c r="I329">
        <v>5855.86</v>
      </c>
      <c r="J329">
        <v>281081.27999999997</v>
      </c>
      <c r="K329">
        <v>6396.4</v>
      </c>
      <c r="L329">
        <v>307027.19999999995</v>
      </c>
      <c r="M329">
        <v>45616</v>
      </c>
      <c r="O329" t="s">
        <v>326</v>
      </c>
      <c r="P329" t="s">
        <v>127</v>
      </c>
      <c r="Q329" t="s">
        <v>140</v>
      </c>
      <c r="R329" t="s">
        <v>2446</v>
      </c>
      <c r="S329" t="s">
        <v>2444</v>
      </c>
      <c r="T329" t="s">
        <v>2445</v>
      </c>
      <c r="U329">
        <v>48</v>
      </c>
      <c r="V329" t="s">
        <v>1021</v>
      </c>
      <c r="W329" t="s">
        <v>141</v>
      </c>
      <c r="X329" t="s">
        <v>142</v>
      </c>
      <c r="Y329">
        <v>11611</v>
      </c>
      <c r="Z329">
        <v>11612</v>
      </c>
      <c r="AA329" t="s">
        <v>1025</v>
      </c>
      <c r="AB329">
        <v>1</v>
      </c>
    </row>
    <row r="330" spans="1:28">
      <c r="A330">
        <v>1</v>
      </c>
      <c r="B330" t="s">
        <v>843</v>
      </c>
      <c r="C330" t="s">
        <v>2283</v>
      </c>
      <c r="D330" t="s">
        <v>2284</v>
      </c>
      <c r="E330" t="s">
        <v>2373</v>
      </c>
      <c r="F330" t="s">
        <v>1189</v>
      </c>
      <c r="G330">
        <v>5328.8325999999997</v>
      </c>
      <c r="H330">
        <v>255783.96479999999</v>
      </c>
      <c r="I330">
        <v>5855.86</v>
      </c>
      <c r="J330">
        <v>281081.27999999997</v>
      </c>
      <c r="K330">
        <v>6396.4</v>
      </c>
      <c r="L330">
        <v>307027.19999999995</v>
      </c>
      <c r="M330">
        <v>45616</v>
      </c>
      <c r="O330" t="s">
        <v>326</v>
      </c>
      <c r="P330" t="s">
        <v>127</v>
      </c>
      <c r="Q330" t="s">
        <v>140</v>
      </c>
      <c r="R330" t="s">
        <v>2446</v>
      </c>
      <c r="S330" t="s">
        <v>2444</v>
      </c>
      <c r="T330" t="s">
        <v>2445</v>
      </c>
      <c r="U330">
        <v>48</v>
      </c>
      <c r="V330" t="s">
        <v>1021</v>
      </c>
      <c r="W330" t="s">
        <v>141</v>
      </c>
      <c r="X330" t="s">
        <v>142</v>
      </c>
      <c r="Y330">
        <v>11611</v>
      </c>
      <c r="Z330">
        <v>11612</v>
      </c>
      <c r="AA330" t="s">
        <v>1025</v>
      </c>
      <c r="AB330">
        <v>1</v>
      </c>
    </row>
    <row r="331" spans="1:28">
      <c r="A331">
        <v>1</v>
      </c>
      <c r="B331" t="s">
        <v>844</v>
      </c>
      <c r="C331" t="s">
        <v>2283</v>
      </c>
      <c r="D331" t="s">
        <v>2284</v>
      </c>
      <c r="E331" t="s">
        <v>1190</v>
      </c>
      <c r="F331" t="s">
        <v>1191</v>
      </c>
      <c r="G331">
        <v>4058.1086</v>
      </c>
      <c r="H331">
        <v>194789.21280000001</v>
      </c>
      <c r="I331">
        <v>4459.46</v>
      </c>
      <c r="J331">
        <v>214054.08000000002</v>
      </c>
      <c r="K331">
        <v>4819.82</v>
      </c>
      <c r="L331">
        <v>231351.36</v>
      </c>
      <c r="M331">
        <v>45616</v>
      </c>
      <c r="O331" t="s">
        <v>326</v>
      </c>
      <c r="P331" t="s">
        <v>127</v>
      </c>
      <c r="Q331" t="s">
        <v>140</v>
      </c>
      <c r="R331" t="s">
        <v>2446</v>
      </c>
      <c r="S331" t="s">
        <v>2444</v>
      </c>
      <c r="T331" t="s">
        <v>2445</v>
      </c>
      <c r="U331">
        <v>48</v>
      </c>
      <c r="V331" t="s">
        <v>360</v>
      </c>
      <c r="W331" t="s">
        <v>141</v>
      </c>
      <c r="X331" t="s">
        <v>142</v>
      </c>
      <c r="Y331">
        <v>11611</v>
      </c>
      <c r="Z331">
        <v>11612</v>
      </c>
      <c r="AA331" t="s">
        <v>1025</v>
      </c>
      <c r="AB331">
        <v>1</v>
      </c>
    </row>
    <row r="332" spans="1:28">
      <c r="A332">
        <v>1</v>
      </c>
      <c r="B332" t="s">
        <v>845</v>
      </c>
      <c r="C332" t="s">
        <v>2285</v>
      </c>
      <c r="D332" t="s">
        <v>2286</v>
      </c>
      <c r="E332" t="s">
        <v>1192</v>
      </c>
      <c r="F332" t="s">
        <v>1193</v>
      </c>
      <c r="G332">
        <v>8198.1990999999998</v>
      </c>
      <c r="H332">
        <v>196756.77840000001</v>
      </c>
      <c r="I332">
        <v>9009.01</v>
      </c>
      <c r="J332">
        <v>216216.24</v>
      </c>
      <c r="K332">
        <v>9819.82</v>
      </c>
      <c r="L332">
        <v>235675.68</v>
      </c>
      <c r="M332">
        <v>45616</v>
      </c>
      <c r="O332" t="s">
        <v>326</v>
      </c>
      <c r="P332" t="s">
        <v>127</v>
      </c>
      <c r="Q332" t="s">
        <v>140</v>
      </c>
      <c r="R332" t="s">
        <v>2446</v>
      </c>
      <c r="S332" t="s">
        <v>2444</v>
      </c>
      <c r="T332" t="s">
        <v>2445</v>
      </c>
      <c r="U332">
        <v>24</v>
      </c>
      <c r="V332" t="s">
        <v>360</v>
      </c>
      <c r="W332" t="s">
        <v>141</v>
      </c>
      <c r="X332" t="s">
        <v>142</v>
      </c>
      <c r="Y332">
        <v>11611</v>
      </c>
      <c r="Z332">
        <v>11612</v>
      </c>
      <c r="AA332" t="s">
        <v>1025</v>
      </c>
      <c r="AB332">
        <v>1</v>
      </c>
    </row>
    <row r="333" spans="1:28">
      <c r="A333">
        <v>1</v>
      </c>
      <c r="B333" t="s">
        <v>846</v>
      </c>
      <c r="C333" t="s">
        <v>2285</v>
      </c>
      <c r="D333" t="s">
        <v>2286</v>
      </c>
      <c r="E333" t="s">
        <v>1194</v>
      </c>
      <c r="F333" t="s">
        <v>1195</v>
      </c>
      <c r="G333">
        <v>8198.19</v>
      </c>
      <c r="H333">
        <v>196756.56</v>
      </c>
      <c r="I333">
        <v>9009</v>
      </c>
      <c r="J333">
        <v>216216</v>
      </c>
      <c r="K333">
        <v>9685</v>
      </c>
      <c r="L333">
        <v>232440</v>
      </c>
      <c r="M333">
        <v>45616</v>
      </c>
      <c r="O333" t="s">
        <v>326</v>
      </c>
      <c r="P333" t="s">
        <v>127</v>
      </c>
      <c r="Q333" t="s">
        <v>140</v>
      </c>
      <c r="R333" t="s">
        <v>2446</v>
      </c>
      <c r="S333" t="s">
        <v>2444</v>
      </c>
      <c r="T333" t="s">
        <v>2445</v>
      </c>
      <c r="U333">
        <v>24</v>
      </c>
      <c r="V333" t="s">
        <v>360</v>
      </c>
      <c r="W333" t="s">
        <v>141</v>
      </c>
      <c r="X333" t="s">
        <v>142</v>
      </c>
      <c r="Y333">
        <v>11611</v>
      </c>
      <c r="Z333">
        <v>11612</v>
      </c>
      <c r="AA333" t="s">
        <v>1025</v>
      </c>
      <c r="AB333">
        <v>1</v>
      </c>
    </row>
    <row r="334" spans="1:28">
      <c r="A334">
        <v>1</v>
      </c>
      <c r="B334" t="s">
        <v>991</v>
      </c>
      <c r="C334" t="s">
        <v>2273</v>
      </c>
      <c r="D334" t="s">
        <v>2274</v>
      </c>
      <c r="E334" t="s">
        <v>1196</v>
      </c>
      <c r="F334" t="s">
        <v>1197</v>
      </c>
      <c r="G334">
        <v>28611.7104</v>
      </c>
      <c r="H334">
        <v>686681.04960000003</v>
      </c>
      <c r="I334">
        <v>31441.439999999999</v>
      </c>
      <c r="J334">
        <v>754594.55999999994</v>
      </c>
      <c r="K334">
        <v>31441.439999999999</v>
      </c>
      <c r="L334">
        <v>754594.55999999994</v>
      </c>
      <c r="M334">
        <v>45616</v>
      </c>
      <c r="O334" t="s">
        <v>326</v>
      </c>
      <c r="P334" t="s">
        <v>127</v>
      </c>
      <c r="Q334" t="s">
        <v>140</v>
      </c>
      <c r="R334" t="s">
        <v>2446</v>
      </c>
      <c r="S334" t="s">
        <v>2444</v>
      </c>
      <c r="T334" t="s">
        <v>2445</v>
      </c>
      <c r="U334">
        <v>24</v>
      </c>
      <c r="V334" t="s">
        <v>1021</v>
      </c>
      <c r="W334" t="s">
        <v>141</v>
      </c>
      <c r="X334" t="s">
        <v>142</v>
      </c>
      <c r="Y334">
        <v>11611</v>
      </c>
      <c r="Z334">
        <v>11612</v>
      </c>
      <c r="AA334" t="s">
        <v>1025</v>
      </c>
      <c r="AB334">
        <v>1</v>
      </c>
    </row>
    <row r="335" spans="1:28">
      <c r="A335">
        <v>1</v>
      </c>
      <c r="B335" t="s">
        <v>992</v>
      </c>
      <c r="C335" t="s">
        <v>2273</v>
      </c>
      <c r="D335" t="s">
        <v>2274</v>
      </c>
      <c r="E335" t="s">
        <v>1198</v>
      </c>
      <c r="F335" t="s">
        <v>1199</v>
      </c>
      <c r="G335">
        <v>28611.7104</v>
      </c>
      <c r="H335">
        <v>686681.04960000003</v>
      </c>
      <c r="I335">
        <v>31441.439999999999</v>
      </c>
      <c r="J335">
        <v>754594.55999999994</v>
      </c>
      <c r="K335">
        <v>31441.439999999999</v>
      </c>
      <c r="L335">
        <v>754594.55999999994</v>
      </c>
      <c r="M335">
        <v>45616</v>
      </c>
      <c r="O335" t="s">
        <v>326</v>
      </c>
      <c r="P335" t="s">
        <v>127</v>
      </c>
      <c r="Q335" t="s">
        <v>140</v>
      </c>
      <c r="R335" t="s">
        <v>2446</v>
      </c>
      <c r="S335" t="s">
        <v>2444</v>
      </c>
      <c r="T335" t="s">
        <v>2445</v>
      </c>
      <c r="U335">
        <v>24</v>
      </c>
      <c r="V335" t="s">
        <v>1021</v>
      </c>
      <c r="W335" t="s">
        <v>141</v>
      </c>
      <c r="X335" t="s">
        <v>142</v>
      </c>
      <c r="Y335">
        <v>11611</v>
      </c>
      <c r="Z335">
        <v>11612</v>
      </c>
      <c r="AA335" t="s">
        <v>1025</v>
      </c>
      <c r="AB335">
        <v>1</v>
      </c>
    </row>
    <row r="336" spans="1:28">
      <c r="A336">
        <v>1</v>
      </c>
      <c r="B336" t="s">
        <v>993</v>
      </c>
      <c r="C336" t="s">
        <v>2273</v>
      </c>
      <c r="D336" t="s">
        <v>2274</v>
      </c>
      <c r="E336" t="s">
        <v>1200</v>
      </c>
      <c r="F336" t="s">
        <v>1201</v>
      </c>
      <c r="G336">
        <v>28611.7104</v>
      </c>
      <c r="H336">
        <v>686681.04960000003</v>
      </c>
      <c r="I336">
        <v>31441.439999999999</v>
      </c>
      <c r="J336">
        <v>754594.55999999994</v>
      </c>
      <c r="K336">
        <v>31441.439999999999</v>
      </c>
      <c r="L336">
        <v>754594.55999999994</v>
      </c>
      <c r="M336">
        <v>45616</v>
      </c>
      <c r="O336" t="s">
        <v>326</v>
      </c>
      <c r="P336" t="s">
        <v>127</v>
      </c>
      <c r="Q336" t="s">
        <v>140</v>
      </c>
      <c r="R336" t="s">
        <v>2446</v>
      </c>
      <c r="S336" t="s">
        <v>2444</v>
      </c>
      <c r="T336" t="s">
        <v>2445</v>
      </c>
      <c r="U336">
        <v>24</v>
      </c>
      <c r="V336" t="s">
        <v>1021</v>
      </c>
      <c r="W336" t="s">
        <v>141</v>
      </c>
      <c r="X336" t="s">
        <v>142</v>
      </c>
      <c r="Y336">
        <v>11611</v>
      </c>
      <c r="Z336">
        <v>11612</v>
      </c>
      <c r="AA336" t="s">
        <v>1025</v>
      </c>
      <c r="AB336">
        <v>1</v>
      </c>
    </row>
    <row r="337" spans="1:28">
      <c r="A337">
        <v>1</v>
      </c>
      <c r="B337" t="s">
        <v>994</v>
      </c>
      <c r="C337" t="s">
        <v>2273</v>
      </c>
      <c r="D337" t="s">
        <v>2274</v>
      </c>
      <c r="E337" t="s">
        <v>1202</v>
      </c>
      <c r="F337" t="s">
        <v>1203</v>
      </c>
      <c r="G337">
        <v>28611.7104</v>
      </c>
      <c r="H337">
        <v>686681.04960000003</v>
      </c>
      <c r="I337">
        <v>31441.439999999999</v>
      </c>
      <c r="J337">
        <v>754594.55999999994</v>
      </c>
      <c r="K337">
        <v>31441.439999999999</v>
      </c>
      <c r="L337">
        <v>754594.55999999994</v>
      </c>
      <c r="M337">
        <v>45616</v>
      </c>
      <c r="O337" t="s">
        <v>326</v>
      </c>
      <c r="P337" t="s">
        <v>127</v>
      </c>
      <c r="Q337" t="s">
        <v>140</v>
      </c>
      <c r="R337" t="s">
        <v>2446</v>
      </c>
      <c r="S337" t="s">
        <v>2444</v>
      </c>
      <c r="T337" t="s">
        <v>2445</v>
      </c>
      <c r="U337">
        <v>24</v>
      </c>
      <c r="V337" t="s">
        <v>1021</v>
      </c>
      <c r="W337" t="s">
        <v>141</v>
      </c>
      <c r="X337" t="s">
        <v>142</v>
      </c>
      <c r="Y337">
        <v>11611</v>
      </c>
      <c r="Z337">
        <v>11612</v>
      </c>
      <c r="AA337" t="s">
        <v>1025</v>
      </c>
      <c r="AB337">
        <v>1</v>
      </c>
    </row>
    <row r="338" spans="1:28">
      <c r="A338">
        <v>1</v>
      </c>
      <c r="B338" t="s">
        <v>493</v>
      </c>
      <c r="C338" t="s">
        <v>2279</v>
      </c>
      <c r="D338" t="s">
        <v>2280</v>
      </c>
      <c r="E338" t="s">
        <v>1236</v>
      </c>
      <c r="F338" t="s">
        <v>1237</v>
      </c>
      <c r="G338">
        <v>5833.2456000000002</v>
      </c>
      <c r="H338">
        <v>419993.68320000003</v>
      </c>
      <c r="I338">
        <v>6410.16</v>
      </c>
      <c r="J338">
        <v>461531.52</v>
      </c>
      <c r="K338">
        <v>6969.47</v>
      </c>
      <c r="L338">
        <v>501801.84</v>
      </c>
      <c r="M338">
        <v>45616</v>
      </c>
      <c r="O338" t="s">
        <v>326</v>
      </c>
      <c r="P338" t="s">
        <v>127</v>
      </c>
      <c r="Q338" t="s">
        <v>140</v>
      </c>
      <c r="R338" t="s">
        <v>2446</v>
      </c>
      <c r="S338" t="s">
        <v>2444</v>
      </c>
      <c r="T338" t="s">
        <v>2445</v>
      </c>
      <c r="U338">
        <v>72</v>
      </c>
      <c r="V338" t="s">
        <v>1022</v>
      </c>
      <c r="W338" t="s">
        <v>141</v>
      </c>
      <c r="X338" t="s">
        <v>142</v>
      </c>
      <c r="Y338">
        <v>11611</v>
      </c>
      <c r="Z338">
        <v>11612</v>
      </c>
      <c r="AA338" t="s">
        <v>1025</v>
      </c>
      <c r="AB338">
        <v>1</v>
      </c>
    </row>
    <row r="339" spans="1:28">
      <c r="A339">
        <v>1</v>
      </c>
      <c r="B339" t="s">
        <v>494</v>
      </c>
      <c r="C339" t="s">
        <v>2279</v>
      </c>
      <c r="D339" t="s">
        <v>2280</v>
      </c>
      <c r="E339" t="s">
        <v>1238</v>
      </c>
      <c r="F339" t="s">
        <v>1239</v>
      </c>
      <c r="G339">
        <v>31271.567600000002</v>
      </c>
      <c r="H339">
        <v>1125776.4336000001</v>
      </c>
      <c r="I339">
        <v>34364.36</v>
      </c>
      <c r="J339">
        <v>1237116.96</v>
      </c>
      <c r="K339">
        <v>37705.21</v>
      </c>
      <c r="L339">
        <v>1357387.56</v>
      </c>
      <c r="M339">
        <v>45616</v>
      </c>
      <c r="O339" t="s">
        <v>326</v>
      </c>
      <c r="P339" t="s">
        <v>127</v>
      </c>
      <c r="Q339" t="s">
        <v>140</v>
      </c>
      <c r="R339" t="s">
        <v>2446</v>
      </c>
      <c r="S339" t="s">
        <v>2444</v>
      </c>
      <c r="T339" t="s">
        <v>2445</v>
      </c>
      <c r="U339">
        <v>36</v>
      </c>
      <c r="V339" t="s">
        <v>1021</v>
      </c>
      <c r="W339" t="s">
        <v>141</v>
      </c>
      <c r="X339" t="s">
        <v>142</v>
      </c>
      <c r="Y339">
        <v>11611</v>
      </c>
      <c r="Z339">
        <v>11612</v>
      </c>
      <c r="AA339" t="s">
        <v>1025</v>
      </c>
      <c r="AB339">
        <v>1</v>
      </c>
    </row>
    <row r="340" spans="1:28">
      <c r="A340">
        <v>1</v>
      </c>
      <c r="B340" t="s">
        <v>491</v>
      </c>
      <c r="C340" t="s">
        <v>2279</v>
      </c>
      <c r="D340" t="s">
        <v>2280</v>
      </c>
      <c r="E340" t="s">
        <v>1240</v>
      </c>
      <c r="F340" t="s">
        <v>1241</v>
      </c>
      <c r="G340">
        <v>5833.2456000000002</v>
      </c>
      <c r="H340">
        <v>419993.68320000003</v>
      </c>
      <c r="I340">
        <v>6410.16</v>
      </c>
      <c r="J340">
        <v>461531.52</v>
      </c>
      <c r="K340">
        <v>6969.47</v>
      </c>
      <c r="L340">
        <v>501801.84</v>
      </c>
      <c r="M340">
        <v>45616</v>
      </c>
      <c r="O340" t="s">
        <v>326</v>
      </c>
      <c r="P340" t="s">
        <v>127</v>
      </c>
      <c r="Q340" t="s">
        <v>140</v>
      </c>
      <c r="R340" t="s">
        <v>2446</v>
      </c>
      <c r="S340" t="s">
        <v>2444</v>
      </c>
      <c r="T340" t="s">
        <v>2445</v>
      </c>
      <c r="U340">
        <v>72</v>
      </c>
      <c r="V340" t="s">
        <v>1022</v>
      </c>
      <c r="W340" t="s">
        <v>141</v>
      </c>
      <c r="X340" t="s">
        <v>142</v>
      </c>
      <c r="Y340">
        <v>11611</v>
      </c>
      <c r="Z340">
        <v>11612</v>
      </c>
      <c r="AA340" t="s">
        <v>1025</v>
      </c>
      <c r="AB340">
        <v>1</v>
      </c>
    </row>
    <row r="341" spans="1:28">
      <c r="A341">
        <v>1</v>
      </c>
      <c r="B341" t="s">
        <v>492</v>
      </c>
      <c r="C341" t="s">
        <v>2279</v>
      </c>
      <c r="D341" t="s">
        <v>2280</v>
      </c>
      <c r="E341" t="s">
        <v>1242</v>
      </c>
      <c r="F341" t="s">
        <v>1243</v>
      </c>
      <c r="G341">
        <v>31271.567600000002</v>
      </c>
      <c r="H341">
        <v>1125776.4336000001</v>
      </c>
      <c r="I341">
        <v>34364.36</v>
      </c>
      <c r="J341">
        <v>1237116.96</v>
      </c>
      <c r="K341">
        <v>37705.21</v>
      </c>
      <c r="L341">
        <v>1357387.56</v>
      </c>
      <c r="M341">
        <v>45616</v>
      </c>
      <c r="O341" t="s">
        <v>326</v>
      </c>
      <c r="P341" t="s">
        <v>127</v>
      </c>
      <c r="Q341" t="s">
        <v>140</v>
      </c>
      <c r="R341" t="s">
        <v>2446</v>
      </c>
      <c r="S341" t="s">
        <v>2444</v>
      </c>
      <c r="T341" t="s">
        <v>2445</v>
      </c>
      <c r="U341">
        <v>36</v>
      </c>
      <c r="V341" t="s">
        <v>1021</v>
      </c>
      <c r="W341" t="s">
        <v>141</v>
      </c>
      <c r="X341" t="s">
        <v>142</v>
      </c>
      <c r="Y341">
        <v>11611</v>
      </c>
      <c r="Z341">
        <v>11612</v>
      </c>
      <c r="AA341" t="s">
        <v>1025</v>
      </c>
      <c r="AB341">
        <v>1</v>
      </c>
    </row>
    <row r="342" spans="1:28">
      <c r="A342">
        <v>1</v>
      </c>
      <c r="B342" t="s">
        <v>468</v>
      </c>
      <c r="C342" t="s">
        <v>2287</v>
      </c>
      <c r="D342" t="s">
        <v>2288</v>
      </c>
      <c r="E342" t="s">
        <v>1286</v>
      </c>
      <c r="F342" t="s">
        <v>1287</v>
      </c>
      <c r="G342">
        <v>36732.022600000004</v>
      </c>
      <c r="H342">
        <v>734640.45200000005</v>
      </c>
      <c r="I342">
        <v>40364.86</v>
      </c>
      <c r="J342">
        <v>807297.2</v>
      </c>
      <c r="K342">
        <v>43585.59</v>
      </c>
      <c r="L342">
        <v>871711.79999999993</v>
      </c>
      <c r="M342">
        <v>45616</v>
      </c>
      <c r="O342" t="s">
        <v>326</v>
      </c>
      <c r="P342" t="s">
        <v>127</v>
      </c>
      <c r="Q342" t="s">
        <v>140</v>
      </c>
      <c r="R342" t="s">
        <v>2446</v>
      </c>
      <c r="S342" t="s">
        <v>2444</v>
      </c>
      <c r="T342" t="s">
        <v>2445</v>
      </c>
      <c r="U342">
        <v>20</v>
      </c>
      <c r="V342" t="s">
        <v>357</v>
      </c>
      <c r="W342" t="s">
        <v>141</v>
      </c>
      <c r="X342" t="s">
        <v>142</v>
      </c>
      <c r="Y342">
        <v>11611</v>
      </c>
      <c r="Z342">
        <v>11612</v>
      </c>
      <c r="AA342" t="s">
        <v>1025</v>
      </c>
      <c r="AB342">
        <v>1</v>
      </c>
    </row>
    <row r="343" spans="1:28">
      <c r="A343">
        <v>1</v>
      </c>
      <c r="B343" t="s">
        <v>463</v>
      </c>
      <c r="C343" t="s">
        <v>2289</v>
      </c>
      <c r="D343" t="s">
        <v>2290</v>
      </c>
      <c r="E343" t="s">
        <v>1288</v>
      </c>
      <c r="F343" t="s">
        <v>1289</v>
      </c>
      <c r="G343">
        <v>9263.9639639639609</v>
      </c>
      <c r="H343">
        <v>667005.40540540521</v>
      </c>
      <c r="I343">
        <v>10180.180180180178</v>
      </c>
      <c r="J343">
        <v>732972.97297297278</v>
      </c>
      <c r="K343">
        <v>11396.396396396394</v>
      </c>
      <c r="L343">
        <v>820540.54054054036</v>
      </c>
      <c r="M343">
        <v>45616</v>
      </c>
      <c r="O343" t="s">
        <v>326</v>
      </c>
      <c r="P343" t="s">
        <v>127</v>
      </c>
      <c r="Q343" t="s">
        <v>140</v>
      </c>
      <c r="R343" t="s">
        <v>2446</v>
      </c>
      <c r="S343" t="s">
        <v>2444</v>
      </c>
      <c r="T343" t="s">
        <v>2445</v>
      </c>
      <c r="U343">
        <v>72</v>
      </c>
      <c r="V343" t="s">
        <v>1024</v>
      </c>
      <c r="W343" t="s">
        <v>141</v>
      </c>
      <c r="X343" t="s">
        <v>142</v>
      </c>
      <c r="Y343">
        <v>11611</v>
      </c>
      <c r="Z343">
        <v>11612</v>
      </c>
      <c r="AA343" t="s">
        <v>1025</v>
      </c>
      <c r="AB343">
        <v>1</v>
      </c>
    </row>
    <row r="344" spans="1:28">
      <c r="A344">
        <v>1</v>
      </c>
      <c r="B344" t="s">
        <v>464</v>
      </c>
      <c r="C344" t="s">
        <v>2289</v>
      </c>
      <c r="D344" t="s">
        <v>2290</v>
      </c>
      <c r="E344" t="s">
        <v>1290</v>
      </c>
      <c r="F344" t="s">
        <v>1291</v>
      </c>
      <c r="G344">
        <v>35117.891899999995</v>
      </c>
      <c r="H344">
        <v>1264244.1083999998</v>
      </c>
      <c r="I344">
        <v>38591.089999999997</v>
      </c>
      <c r="J344">
        <v>1389279.2399999998</v>
      </c>
      <c r="K344">
        <v>41684.18</v>
      </c>
      <c r="L344">
        <v>1500630.48</v>
      </c>
      <c r="M344">
        <v>45616</v>
      </c>
      <c r="O344" t="s">
        <v>326</v>
      </c>
      <c r="P344" t="s">
        <v>127</v>
      </c>
      <c r="Q344" t="s">
        <v>140</v>
      </c>
      <c r="R344" t="s">
        <v>2446</v>
      </c>
      <c r="S344" t="s">
        <v>2444</v>
      </c>
      <c r="T344" t="s">
        <v>2445</v>
      </c>
      <c r="U344">
        <v>36</v>
      </c>
      <c r="V344" t="s">
        <v>357</v>
      </c>
      <c r="W344" t="s">
        <v>141</v>
      </c>
      <c r="X344" t="s">
        <v>142</v>
      </c>
      <c r="Y344">
        <v>11611</v>
      </c>
      <c r="Z344">
        <v>11612</v>
      </c>
      <c r="AA344" t="s">
        <v>1025</v>
      </c>
      <c r="AB344">
        <v>1</v>
      </c>
    </row>
    <row r="345" spans="1:28">
      <c r="A345">
        <v>1</v>
      </c>
      <c r="B345" t="s">
        <v>465</v>
      </c>
      <c r="C345" t="s">
        <v>2289</v>
      </c>
      <c r="D345" t="s">
        <v>2290</v>
      </c>
      <c r="E345" t="s">
        <v>1292</v>
      </c>
      <c r="F345" t="s">
        <v>1293</v>
      </c>
      <c r="G345">
        <v>9263.9639639639609</v>
      </c>
      <c r="H345">
        <v>667005.40540540521</v>
      </c>
      <c r="I345">
        <v>10180.180180180178</v>
      </c>
      <c r="J345">
        <v>732972.97297297278</v>
      </c>
      <c r="K345">
        <v>11396.396396396394</v>
      </c>
      <c r="L345">
        <v>820540.54054054036</v>
      </c>
      <c r="M345">
        <v>45616</v>
      </c>
      <c r="O345" t="s">
        <v>326</v>
      </c>
      <c r="P345" t="s">
        <v>127</v>
      </c>
      <c r="Q345" t="s">
        <v>140</v>
      </c>
      <c r="R345" t="s">
        <v>2446</v>
      </c>
      <c r="S345" t="s">
        <v>2444</v>
      </c>
      <c r="T345" t="s">
        <v>2445</v>
      </c>
      <c r="U345">
        <v>72</v>
      </c>
      <c r="V345" t="s">
        <v>1024</v>
      </c>
      <c r="W345" t="s">
        <v>141</v>
      </c>
      <c r="X345" t="s">
        <v>142</v>
      </c>
      <c r="Y345">
        <v>11611</v>
      </c>
      <c r="Z345">
        <v>11612</v>
      </c>
      <c r="AA345" t="s">
        <v>1025</v>
      </c>
      <c r="AB345">
        <v>1</v>
      </c>
    </row>
    <row r="346" spans="1:28">
      <c r="A346">
        <v>1</v>
      </c>
      <c r="B346" t="s">
        <v>466</v>
      </c>
      <c r="C346" t="s">
        <v>2289</v>
      </c>
      <c r="D346" t="s">
        <v>2290</v>
      </c>
      <c r="E346" t="s">
        <v>1294</v>
      </c>
      <c r="F346" t="s">
        <v>1295</v>
      </c>
      <c r="G346">
        <v>35117.891899999995</v>
      </c>
      <c r="H346">
        <v>1264244.1083999998</v>
      </c>
      <c r="I346">
        <v>38591.089999999997</v>
      </c>
      <c r="J346">
        <v>1389279.2399999998</v>
      </c>
      <c r="K346">
        <v>41684.18</v>
      </c>
      <c r="L346">
        <v>1500630.48</v>
      </c>
      <c r="M346">
        <v>45616</v>
      </c>
      <c r="O346" t="s">
        <v>326</v>
      </c>
      <c r="P346" t="s">
        <v>127</v>
      </c>
      <c r="Q346" t="s">
        <v>140</v>
      </c>
      <c r="R346" t="s">
        <v>2446</v>
      </c>
      <c r="S346" t="s">
        <v>2444</v>
      </c>
      <c r="T346" t="s">
        <v>2445</v>
      </c>
      <c r="U346">
        <v>36</v>
      </c>
      <c r="V346" t="s">
        <v>357</v>
      </c>
      <c r="W346" t="s">
        <v>141</v>
      </c>
      <c r="X346" t="s">
        <v>142</v>
      </c>
      <c r="Y346">
        <v>11611</v>
      </c>
      <c r="Z346">
        <v>11612</v>
      </c>
      <c r="AA346" t="s">
        <v>1025</v>
      </c>
      <c r="AB346">
        <v>1</v>
      </c>
    </row>
    <row r="347" spans="1:28">
      <c r="A347">
        <v>1</v>
      </c>
      <c r="B347" t="s">
        <v>475</v>
      </c>
      <c r="C347" t="s">
        <v>2291</v>
      </c>
      <c r="D347" t="s">
        <v>2292</v>
      </c>
      <c r="E347" t="s">
        <v>1296</v>
      </c>
      <c r="F347" t="s">
        <v>1297</v>
      </c>
      <c r="G347">
        <v>9263.9639639639609</v>
      </c>
      <c r="H347">
        <v>667005.40540540521</v>
      </c>
      <c r="I347">
        <v>10180.180180180178</v>
      </c>
      <c r="J347">
        <v>732972.97297297278</v>
      </c>
      <c r="K347">
        <v>11396.396396396394</v>
      </c>
      <c r="L347">
        <v>820540.54054054036</v>
      </c>
      <c r="M347">
        <v>45616</v>
      </c>
      <c r="O347" t="s">
        <v>326</v>
      </c>
      <c r="P347" t="s">
        <v>127</v>
      </c>
      <c r="Q347" t="s">
        <v>140</v>
      </c>
      <c r="R347" t="s">
        <v>2446</v>
      </c>
      <c r="S347" t="s">
        <v>2444</v>
      </c>
      <c r="T347" t="s">
        <v>2445</v>
      </c>
      <c r="U347">
        <v>72</v>
      </c>
      <c r="V347" t="s">
        <v>1024</v>
      </c>
      <c r="W347" t="s">
        <v>141</v>
      </c>
      <c r="X347" t="s">
        <v>142</v>
      </c>
      <c r="Y347">
        <v>11611</v>
      </c>
      <c r="Z347">
        <v>11612</v>
      </c>
      <c r="AA347" t="s">
        <v>1025</v>
      </c>
      <c r="AB347">
        <v>1</v>
      </c>
    </row>
    <row r="348" spans="1:28">
      <c r="A348">
        <v>1</v>
      </c>
      <c r="B348" t="s">
        <v>458</v>
      </c>
      <c r="C348" t="s">
        <v>2291</v>
      </c>
      <c r="D348" t="s">
        <v>2292</v>
      </c>
      <c r="E348" t="s">
        <v>1298</v>
      </c>
      <c r="F348" t="s">
        <v>1299</v>
      </c>
      <c r="G348">
        <v>61978.380100000002</v>
      </c>
      <c r="H348">
        <v>743740.5612</v>
      </c>
      <c r="I348">
        <v>68108.11</v>
      </c>
      <c r="J348">
        <v>817297.32000000007</v>
      </c>
      <c r="K348">
        <v>74241.740000000005</v>
      </c>
      <c r="L348">
        <v>890900.88000000012</v>
      </c>
      <c r="M348">
        <v>45616</v>
      </c>
      <c r="O348" t="s">
        <v>326</v>
      </c>
      <c r="P348" t="s">
        <v>127</v>
      </c>
      <c r="Q348" t="s">
        <v>140</v>
      </c>
      <c r="R348" t="s">
        <v>2446</v>
      </c>
      <c r="S348" t="s">
        <v>2444</v>
      </c>
      <c r="T348" t="s">
        <v>2445</v>
      </c>
      <c r="U348">
        <v>12</v>
      </c>
      <c r="V348" t="s">
        <v>1019</v>
      </c>
      <c r="W348" t="s">
        <v>141</v>
      </c>
      <c r="X348" t="s">
        <v>142</v>
      </c>
      <c r="Y348">
        <v>11611</v>
      </c>
      <c r="Z348">
        <v>11612</v>
      </c>
      <c r="AA348" t="s">
        <v>1025</v>
      </c>
      <c r="AB348">
        <v>1</v>
      </c>
    </row>
    <row r="349" spans="1:28">
      <c r="A349">
        <v>1</v>
      </c>
      <c r="B349" t="s">
        <v>476</v>
      </c>
      <c r="C349" t="s">
        <v>2291</v>
      </c>
      <c r="D349" t="s">
        <v>2292</v>
      </c>
      <c r="E349" t="s">
        <v>1300</v>
      </c>
      <c r="F349" t="s">
        <v>2452</v>
      </c>
      <c r="G349">
        <v>9263.9639639639609</v>
      </c>
      <c r="H349">
        <v>667005.40540540521</v>
      </c>
      <c r="I349">
        <v>10180.180180180178</v>
      </c>
      <c r="J349">
        <v>732972.97297297278</v>
      </c>
      <c r="K349">
        <v>11396.396396396394</v>
      </c>
      <c r="L349">
        <v>820540.54054054036</v>
      </c>
      <c r="M349">
        <v>45616</v>
      </c>
      <c r="O349" t="s">
        <v>326</v>
      </c>
      <c r="P349" t="s">
        <v>127</v>
      </c>
      <c r="Q349" t="s">
        <v>140</v>
      </c>
      <c r="R349" t="s">
        <v>2446</v>
      </c>
      <c r="S349" t="s">
        <v>2444</v>
      </c>
      <c r="T349" t="s">
        <v>2445</v>
      </c>
      <c r="U349">
        <v>72</v>
      </c>
      <c r="V349" t="s">
        <v>1024</v>
      </c>
      <c r="W349" t="s">
        <v>141</v>
      </c>
      <c r="X349" t="s">
        <v>142</v>
      </c>
      <c r="Y349">
        <v>11611</v>
      </c>
      <c r="Z349">
        <v>11612</v>
      </c>
      <c r="AA349" t="s">
        <v>1025</v>
      </c>
      <c r="AB349">
        <v>1</v>
      </c>
    </row>
    <row r="350" spans="1:28">
      <c r="A350">
        <v>1</v>
      </c>
      <c r="B350" t="s">
        <v>459</v>
      </c>
      <c r="C350" t="s">
        <v>2291</v>
      </c>
      <c r="D350" t="s">
        <v>2292</v>
      </c>
      <c r="E350" t="s">
        <v>1301</v>
      </c>
      <c r="F350" t="s">
        <v>2453</v>
      </c>
      <c r="G350">
        <v>61978.380100000002</v>
      </c>
      <c r="H350">
        <v>743740.5612</v>
      </c>
      <c r="I350">
        <v>68108.11</v>
      </c>
      <c r="J350">
        <v>817297.32000000007</v>
      </c>
      <c r="K350">
        <v>74241.740000000005</v>
      </c>
      <c r="L350">
        <v>890900.88000000012</v>
      </c>
      <c r="M350">
        <v>45616</v>
      </c>
      <c r="O350" t="s">
        <v>326</v>
      </c>
      <c r="P350" t="s">
        <v>127</v>
      </c>
      <c r="Q350" t="s">
        <v>140</v>
      </c>
      <c r="R350" t="s">
        <v>2446</v>
      </c>
      <c r="S350" t="s">
        <v>2444</v>
      </c>
      <c r="T350" t="s">
        <v>2445</v>
      </c>
      <c r="U350">
        <v>12</v>
      </c>
      <c r="V350" t="s">
        <v>1019</v>
      </c>
      <c r="W350" t="s">
        <v>141</v>
      </c>
      <c r="X350" t="s">
        <v>142</v>
      </c>
      <c r="Y350">
        <v>11611</v>
      </c>
      <c r="Z350">
        <v>11612</v>
      </c>
      <c r="AA350" t="s">
        <v>1025</v>
      </c>
      <c r="AB350">
        <v>1</v>
      </c>
    </row>
    <row r="351" spans="1:28">
      <c r="A351">
        <v>1</v>
      </c>
      <c r="B351" t="s">
        <v>477</v>
      </c>
      <c r="C351" t="s">
        <v>2291</v>
      </c>
      <c r="D351" t="s">
        <v>2292</v>
      </c>
      <c r="E351" t="s">
        <v>1302</v>
      </c>
      <c r="F351" t="s">
        <v>2454</v>
      </c>
      <c r="G351">
        <v>9263.9639639639609</v>
      </c>
      <c r="H351">
        <v>667005.40540540521</v>
      </c>
      <c r="I351">
        <v>10180.180180180178</v>
      </c>
      <c r="J351">
        <v>732972.97297297278</v>
      </c>
      <c r="K351">
        <v>11396.396396396394</v>
      </c>
      <c r="L351">
        <v>820540.54054054036</v>
      </c>
      <c r="M351">
        <v>45616</v>
      </c>
      <c r="O351" t="s">
        <v>326</v>
      </c>
      <c r="P351" t="s">
        <v>127</v>
      </c>
      <c r="Q351" t="s">
        <v>140</v>
      </c>
      <c r="R351" t="s">
        <v>2446</v>
      </c>
      <c r="S351" t="s">
        <v>2444</v>
      </c>
      <c r="T351" t="s">
        <v>2445</v>
      </c>
      <c r="U351">
        <v>72</v>
      </c>
      <c r="V351" t="s">
        <v>1024</v>
      </c>
      <c r="W351" t="s">
        <v>141</v>
      </c>
      <c r="X351" t="s">
        <v>142</v>
      </c>
      <c r="Y351">
        <v>11611</v>
      </c>
      <c r="Z351">
        <v>11612</v>
      </c>
      <c r="AA351" t="s">
        <v>1025</v>
      </c>
      <c r="AB351">
        <v>1</v>
      </c>
    </row>
    <row r="352" spans="1:28">
      <c r="A352">
        <v>1</v>
      </c>
      <c r="B352" t="s">
        <v>460</v>
      </c>
      <c r="C352" t="s">
        <v>2291</v>
      </c>
      <c r="D352" t="s">
        <v>2292</v>
      </c>
      <c r="E352" t="s">
        <v>1303</v>
      </c>
      <c r="F352" t="s">
        <v>2455</v>
      </c>
      <c r="G352">
        <v>61978.380100000002</v>
      </c>
      <c r="H352">
        <v>743740.5612</v>
      </c>
      <c r="I352">
        <v>68108.11</v>
      </c>
      <c r="J352">
        <v>817297.32000000007</v>
      </c>
      <c r="K352">
        <v>74241.740000000005</v>
      </c>
      <c r="L352">
        <v>890900.88000000012</v>
      </c>
      <c r="M352">
        <v>45616</v>
      </c>
      <c r="O352" t="s">
        <v>326</v>
      </c>
      <c r="P352" t="s">
        <v>127</v>
      </c>
      <c r="Q352" t="s">
        <v>140</v>
      </c>
      <c r="R352" t="s">
        <v>2446</v>
      </c>
      <c r="S352" t="s">
        <v>2444</v>
      </c>
      <c r="T352" t="s">
        <v>2445</v>
      </c>
      <c r="U352">
        <v>12</v>
      </c>
      <c r="V352" t="s">
        <v>1019</v>
      </c>
      <c r="W352" t="s">
        <v>141</v>
      </c>
      <c r="X352" t="s">
        <v>142</v>
      </c>
      <c r="Y352">
        <v>11611</v>
      </c>
      <c r="Z352">
        <v>11612</v>
      </c>
      <c r="AA352" t="s">
        <v>1025</v>
      </c>
      <c r="AB352">
        <v>1</v>
      </c>
    </row>
    <row r="353" spans="1:28">
      <c r="A353">
        <v>1</v>
      </c>
      <c r="B353" t="s">
        <v>454</v>
      </c>
      <c r="C353" t="s">
        <v>2297</v>
      </c>
      <c r="D353" t="s">
        <v>2298</v>
      </c>
      <c r="E353" t="s">
        <v>1254</v>
      </c>
      <c r="F353" t="s">
        <v>1255</v>
      </c>
      <c r="G353">
        <v>18036.36</v>
      </c>
      <c r="H353">
        <v>324654.48</v>
      </c>
      <c r="I353">
        <v>19819.819819819819</v>
      </c>
      <c r="J353">
        <v>356756.75675675675</v>
      </c>
      <c r="K353">
        <v>21441.439999999999</v>
      </c>
      <c r="L353">
        <v>385945.92</v>
      </c>
      <c r="M353">
        <v>45616</v>
      </c>
      <c r="O353" t="s">
        <v>326</v>
      </c>
      <c r="P353" t="s">
        <v>127</v>
      </c>
      <c r="Q353" t="s">
        <v>140</v>
      </c>
      <c r="R353" t="s">
        <v>2446</v>
      </c>
      <c r="S353" t="s">
        <v>2444</v>
      </c>
      <c r="T353" t="s">
        <v>2445</v>
      </c>
      <c r="U353">
        <v>18</v>
      </c>
      <c r="V353" t="s">
        <v>357</v>
      </c>
      <c r="W353" t="s">
        <v>141</v>
      </c>
      <c r="X353" t="s">
        <v>142</v>
      </c>
      <c r="Y353">
        <v>11611</v>
      </c>
      <c r="Z353">
        <v>11612</v>
      </c>
      <c r="AA353" t="s">
        <v>1025</v>
      </c>
      <c r="AB353">
        <v>1</v>
      </c>
    </row>
    <row r="354" spans="1:28">
      <c r="A354">
        <v>1</v>
      </c>
      <c r="B354" t="s">
        <v>452</v>
      </c>
      <c r="C354" t="s">
        <v>2297</v>
      </c>
      <c r="D354" t="s">
        <v>2298</v>
      </c>
      <c r="E354" t="s">
        <v>1256</v>
      </c>
      <c r="F354" t="s">
        <v>1257</v>
      </c>
      <c r="G354">
        <v>18036.38</v>
      </c>
      <c r="H354">
        <v>324654.84000000003</v>
      </c>
      <c r="I354">
        <v>19819.819819819819</v>
      </c>
      <c r="J354">
        <v>356756.75675675675</v>
      </c>
      <c r="K354">
        <v>21441.439999999999</v>
      </c>
      <c r="L354">
        <v>385945.92</v>
      </c>
      <c r="M354">
        <v>45616</v>
      </c>
      <c r="O354" t="s">
        <v>326</v>
      </c>
      <c r="P354" t="s">
        <v>127</v>
      </c>
      <c r="Q354" t="s">
        <v>140</v>
      </c>
      <c r="R354" t="s">
        <v>2446</v>
      </c>
      <c r="S354" t="s">
        <v>2444</v>
      </c>
      <c r="T354" t="s">
        <v>2445</v>
      </c>
      <c r="U354">
        <v>18</v>
      </c>
      <c r="V354" t="s">
        <v>357</v>
      </c>
      <c r="W354" t="s">
        <v>141</v>
      </c>
      <c r="X354" t="s">
        <v>142</v>
      </c>
      <c r="Y354">
        <v>11611</v>
      </c>
      <c r="Z354">
        <v>11612</v>
      </c>
      <c r="AA354" t="s">
        <v>1025</v>
      </c>
      <c r="AB354">
        <v>1</v>
      </c>
    </row>
    <row r="355" spans="1:28">
      <c r="A355">
        <v>1</v>
      </c>
      <c r="B355" t="s">
        <v>924</v>
      </c>
      <c r="C355" t="s">
        <v>2293</v>
      </c>
      <c r="D355" t="s">
        <v>2294</v>
      </c>
      <c r="E355" t="s">
        <v>1304</v>
      </c>
      <c r="F355" t="s">
        <v>1305</v>
      </c>
      <c r="G355">
        <v>6579.0542999999998</v>
      </c>
      <c r="H355">
        <v>236845.95480000001</v>
      </c>
      <c r="I355">
        <v>7229.73</v>
      </c>
      <c r="J355">
        <v>260270.27999999997</v>
      </c>
      <c r="K355">
        <v>7790.29</v>
      </c>
      <c r="L355">
        <v>280450.44</v>
      </c>
      <c r="M355">
        <v>45616</v>
      </c>
      <c r="O355" t="s">
        <v>326</v>
      </c>
      <c r="P355" t="s">
        <v>127</v>
      </c>
      <c r="Q355" t="s">
        <v>140</v>
      </c>
      <c r="R355" t="s">
        <v>2446</v>
      </c>
      <c r="S355" t="s">
        <v>2444</v>
      </c>
      <c r="T355" t="s">
        <v>2445</v>
      </c>
      <c r="U355">
        <v>36</v>
      </c>
      <c r="V355" t="s">
        <v>357</v>
      </c>
      <c r="W355" t="s">
        <v>141</v>
      </c>
      <c r="X355" t="s">
        <v>142</v>
      </c>
      <c r="Y355">
        <v>11611</v>
      </c>
      <c r="Z355">
        <v>11612</v>
      </c>
      <c r="AA355" t="s">
        <v>1025</v>
      </c>
      <c r="AB355">
        <v>1</v>
      </c>
    </row>
    <row r="356" spans="1:28">
      <c r="A356">
        <v>1</v>
      </c>
      <c r="B356" t="s">
        <v>925</v>
      </c>
      <c r="C356" t="s">
        <v>2293</v>
      </c>
      <c r="D356" t="s">
        <v>2294</v>
      </c>
      <c r="E356" t="s">
        <v>1306</v>
      </c>
      <c r="F356" t="s">
        <v>1307</v>
      </c>
      <c r="G356">
        <v>11600.450450450448</v>
      </c>
      <c r="H356">
        <v>417616.2162162161</v>
      </c>
      <c r="I356">
        <v>12747.747747747744</v>
      </c>
      <c r="J356">
        <v>458918.91891891882</v>
      </c>
      <c r="K356">
        <v>13738.738738738737</v>
      </c>
      <c r="L356">
        <v>494594.59459459456</v>
      </c>
      <c r="M356">
        <v>45616</v>
      </c>
      <c r="O356" t="s">
        <v>326</v>
      </c>
      <c r="P356" t="s">
        <v>127</v>
      </c>
      <c r="Q356" t="s">
        <v>140</v>
      </c>
      <c r="R356" t="s">
        <v>2446</v>
      </c>
      <c r="S356" t="s">
        <v>2444</v>
      </c>
      <c r="T356" t="s">
        <v>2445</v>
      </c>
      <c r="U356">
        <v>36</v>
      </c>
      <c r="V356" t="s">
        <v>357</v>
      </c>
      <c r="W356" t="s">
        <v>141</v>
      </c>
      <c r="X356" t="s">
        <v>142</v>
      </c>
      <c r="Y356">
        <v>11611</v>
      </c>
      <c r="Z356">
        <v>11612</v>
      </c>
      <c r="AA356" t="s">
        <v>1025</v>
      </c>
      <c r="AB356">
        <v>1</v>
      </c>
    </row>
    <row r="357" spans="1:28">
      <c r="A357">
        <v>1</v>
      </c>
      <c r="B357" t="s">
        <v>467</v>
      </c>
      <c r="C357" t="s">
        <v>2287</v>
      </c>
      <c r="D357" t="s">
        <v>2288</v>
      </c>
      <c r="E357" t="s">
        <v>1284</v>
      </c>
      <c r="F357" t="s">
        <v>1285</v>
      </c>
      <c r="G357">
        <v>18077.0226</v>
      </c>
      <c r="H357">
        <v>433848.54240000003</v>
      </c>
      <c r="I357">
        <v>19864.86</v>
      </c>
      <c r="J357">
        <v>476756.64</v>
      </c>
      <c r="K357">
        <v>21621.62</v>
      </c>
      <c r="L357">
        <v>518918.88</v>
      </c>
      <c r="M357">
        <v>45616</v>
      </c>
      <c r="O357" t="s">
        <v>326</v>
      </c>
      <c r="P357" t="s">
        <v>127</v>
      </c>
      <c r="Q357" t="s">
        <v>140</v>
      </c>
      <c r="R357" t="s">
        <v>2446</v>
      </c>
      <c r="S357" t="s">
        <v>2444</v>
      </c>
      <c r="T357" t="s">
        <v>2445</v>
      </c>
      <c r="U357">
        <v>24</v>
      </c>
      <c r="V357" t="s">
        <v>1023</v>
      </c>
      <c r="W357" t="s">
        <v>141</v>
      </c>
      <c r="X357" t="s">
        <v>142</v>
      </c>
      <c r="Y357">
        <v>11611</v>
      </c>
      <c r="Z357">
        <v>11612</v>
      </c>
      <c r="AA357" t="s">
        <v>1025</v>
      </c>
      <c r="AB357">
        <v>1</v>
      </c>
    </row>
    <row r="358" spans="1:28">
      <c r="A358">
        <v>1</v>
      </c>
      <c r="B358" t="s">
        <v>809</v>
      </c>
      <c r="C358" t="s">
        <v>2281</v>
      </c>
      <c r="D358" t="s">
        <v>2282</v>
      </c>
      <c r="E358" t="s">
        <v>1178</v>
      </c>
      <c r="F358" t="s">
        <v>1179</v>
      </c>
      <c r="G358">
        <v>12989.5857</v>
      </c>
      <c r="H358">
        <v>467625.08519999997</v>
      </c>
      <c r="I358">
        <v>14274.27</v>
      </c>
      <c r="J358">
        <v>513873.72000000003</v>
      </c>
      <c r="K358">
        <v>15417.92</v>
      </c>
      <c r="L358">
        <v>555045.12</v>
      </c>
      <c r="M358">
        <v>45616</v>
      </c>
      <c r="O358" t="s">
        <v>326</v>
      </c>
      <c r="P358" t="s">
        <v>127</v>
      </c>
      <c r="Q358" t="s">
        <v>140</v>
      </c>
      <c r="R358" t="s">
        <v>2446</v>
      </c>
      <c r="S358" t="s">
        <v>2444</v>
      </c>
      <c r="T358" t="s">
        <v>2445</v>
      </c>
      <c r="U358">
        <v>36</v>
      </c>
      <c r="V358" t="s">
        <v>357</v>
      </c>
      <c r="W358" t="s">
        <v>141</v>
      </c>
      <c r="X358" t="s">
        <v>142</v>
      </c>
      <c r="Y358">
        <v>11611</v>
      </c>
      <c r="Z358">
        <v>11612</v>
      </c>
      <c r="AA358" t="s">
        <v>1025</v>
      </c>
      <c r="AB358">
        <v>1</v>
      </c>
    </row>
    <row r="359" spans="1:28">
      <c r="A359">
        <v>1</v>
      </c>
      <c r="B359" t="s">
        <v>456</v>
      </c>
      <c r="C359" t="s">
        <v>2287</v>
      </c>
      <c r="D359" t="s">
        <v>2288</v>
      </c>
      <c r="E359" t="s">
        <v>1282</v>
      </c>
      <c r="F359" t="s">
        <v>1283</v>
      </c>
      <c r="G359">
        <v>61978.380100000002</v>
      </c>
      <c r="H359">
        <v>743740.5612</v>
      </c>
      <c r="I359">
        <v>68108.11</v>
      </c>
      <c r="J359">
        <v>817297.32000000007</v>
      </c>
      <c r="K359">
        <v>74241.740000000005</v>
      </c>
      <c r="L359">
        <v>890900.88000000012</v>
      </c>
      <c r="M359">
        <v>45616</v>
      </c>
      <c r="O359" t="s">
        <v>326</v>
      </c>
      <c r="P359" t="s">
        <v>127</v>
      </c>
      <c r="Q359" t="s">
        <v>140</v>
      </c>
      <c r="R359" t="s">
        <v>2446</v>
      </c>
      <c r="S359" t="s">
        <v>2444</v>
      </c>
      <c r="T359" t="s">
        <v>2445</v>
      </c>
      <c r="U359">
        <v>12</v>
      </c>
      <c r="V359" t="s">
        <v>1019</v>
      </c>
      <c r="W359" t="s">
        <v>141</v>
      </c>
      <c r="X359" t="s">
        <v>142</v>
      </c>
      <c r="Y359">
        <v>11611</v>
      </c>
      <c r="Z359">
        <v>11612</v>
      </c>
      <c r="AA359" t="s">
        <v>1025</v>
      </c>
      <c r="AB359">
        <v>1</v>
      </c>
    </row>
    <row r="360" spans="1:28">
      <c r="A360">
        <v>1</v>
      </c>
      <c r="B360" t="s">
        <v>455</v>
      </c>
      <c r="C360" t="s">
        <v>2287</v>
      </c>
      <c r="D360" t="s">
        <v>2288</v>
      </c>
      <c r="E360" t="s">
        <v>1278</v>
      </c>
      <c r="F360" t="s">
        <v>1279</v>
      </c>
      <c r="G360">
        <v>61978.380100000002</v>
      </c>
      <c r="H360">
        <v>743740.5612</v>
      </c>
      <c r="I360">
        <v>68108.11</v>
      </c>
      <c r="J360">
        <v>817297.32000000007</v>
      </c>
      <c r="K360">
        <v>74241.740000000005</v>
      </c>
      <c r="L360">
        <v>890900.88000000012</v>
      </c>
      <c r="M360">
        <v>45616</v>
      </c>
      <c r="O360" t="s">
        <v>326</v>
      </c>
      <c r="P360" t="s">
        <v>127</v>
      </c>
      <c r="Q360" t="s">
        <v>140</v>
      </c>
      <c r="R360" t="s">
        <v>2446</v>
      </c>
      <c r="S360" t="s">
        <v>2444</v>
      </c>
      <c r="T360" t="s">
        <v>2445</v>
      </c>
      <c r="U360">
        <v>12</v>
      </c>
      <c r="V360" t="s">
        <v>1019</v>
      </c>
      <c r="W360" t="s">
        <v>141</v>
      </c>
      <c r="X360" t="s">
        <v>142</v>
      </c>
      <c r="Y360">
        <v>11611</v>
      </c>
      <c r="Z360">
        <v>11612</v>
      </c>
      <c r="AA360" t="s">
        <v>1025</v>
      </c>
      <c r="AB360">
        <v>1</v>
      </c>
    </row>
    <row r="361" spans="1:28">
      <c r="A361">
        <v>1</v>
      </c>
      <c r="B361" t="s">
        <v>495</v>
      </c>
      <c r="C361" t="s">
        <v>2295</v>
      </c>
      <c r="D361" t="s">
        <v>2296</v>
      </c>
      <c r="E361" t="s">
        <v>1244</v>
      </c>
      <c r="F361" t="s">
        <v>1245</v>
      </c>
      <c r="G361">
        <v>0</v>
      </c>
      <c r="H361">
        <v>0</v>
      </c>
      <c r="I361">
        <v>2162.1621621621616</v>
      </c>
      <c r="J361">
        <v>311351.35135135124</v>
      </c>
      <c r="K361">
        <v>0</v>
      </c>
      <c r="L361">
        <v>0</v>
      </c>
      <c r="M361">
        <v>45616</v>
      </c>
      <c r="O361" t="s">
        <v>326</v>
      </c>
      <c r="P361" t="s">
        <v>127</v>
      </c>
      <c r="Q361" t="s">
        <v>140</v>
      </c>
      <c r="R361" t="s">
        <v>2446</v>
      </c>
      <c r="S361" t="s">
        <v>2444</v>
      </c>
      <c r="T361" t="s">
        <v>2445</v>
      </c>
      <c r="U361">
        <v>144</v>
      </c>
      <c r="V361" t="s">
        <v>1022</v>
      </c>
      <c r="W361" t="s">
        <v>141</v>
      </c>
      <c r="X361" t="s">
        <v>142</v>
      </c>
      <c r="Y361">
        <v>11611</v>
      </c>
      <c r="Z361">
        <v>11612</v>
      </c>
      <c r="AA361" t="s">
        <v>1025</v>
      </c>
      <c r="AB361">
        <v>1</v>
      </c>
    </row>
    <row r="362" spans="1:28">
      <c r="A362">
        <v>1</v>
      </c>
      <c r="B362" t="s">
        <v>496</v>
      </c>
      <c r="C362" t="s">
        <v>2295</v>
      </c>
      <c r="D362" t="s">
        <v>2296</v>
      </c>
      <c r="E362" t="s">
        <v>1246</v>
      </c>
      <c r="F362" t="s">
        <v>1247</v>
      </c>
      <c r="G362">
        <v>5574.7782999999999</v>
      </c>
      <c r="H362">
        <v>401384.03759999998</v>
      </c>
      <c r="I362">
        <v>6126.13</v>
      </c>
      <c r="J362">
        <v>441081.36</v>
      </c>
      <c r="K362">
        <v>6666.67</v>
      </c>
      <c r="L362">
        <v>480000.24</v>
      </c>
      <c r="M362">
        <v>45616</v>
      </c>
      <c r="O362" t="s">
        <v>326</v>
      </c>
      <c r="P362" t="s">
        <v>127</v>
      </c>
      <c r="Q362" t="s">
        <v>140</v>
      </c>
      <c r="R362" t="s">
        <v>2446</v>
      </c>
      <c r="S362" t="s">
        <v>2444</v>
      </c>
      <c r="T362" t="s">
        <v>2445</v>
      </c>
      <c r="U362">
        <v>72</v>
      </c>
      <c r="V362" t="s">
        <v>1022</v>
      </c>
      <c r="W362" t="s">
        <v>141</v>
      </c>
      <c r="X362" t="s">
        <v>142</v>
      </c>
      <c r="Y362">
        <v>11611</v>
      </c>
      <c r="Z362">
        <v>11612</v>
      </c>
      <c r="AA362" t="s">
        <v>1025</v>
      </c>
      <c r="AB362">
        <v>1</v>
      </c>
    </row>
    <row r="363" spans="1:28">
      <c r="A363">
        <v>1</v>
      </c>
      <c r="B363" t="s">
        <v>499</v>
      </c>
      <c r="C363" t="s">
        <v>2295</v>
      </c>
      <c r="D363" t="s">
        <v>2296</v>
      </c>
      <c r="E363" t="s">
        <v>1248</v>
      </c>
      <c r="F363" t="s">
        <v>1249</v>
      </c>
      <c r="G363">
        <v>5574.7782999999999</v>
      </c>
      <c r="H363">
        <v>401384.03759999998</v>
      </c>
      <c r="I363">
        <v>6126.13</v>
      </c>
      <c r="J363">
        <v>441081.36</v>
      </c>
      <c r="K363">
        <v>6666.67</v>
      </c>
      <c r="L363">
        <v>480000.24</v>
      </c>
      <c r="M363">
        <v>45616</v>
      </c>
      <c r="O363" t="s">
        <v>326</v>
      </c>
      <c r="P363" t="s">
        <v>127</v>
      </c>
      <c r="Q363" t="s">
        <v>140</v>
      </c>
      <c r="R363" t="s">
        <v>2446</v>
      </c>
      <c r="S363" t="s">
        <v>2444</v>
      </c>
      <c r="T363" t="s">
        <v>2445</v>
      </c>
      <c r="U363">
        <v>72</v>
      </c>
      <c r="V363" t="s">
        <v>1022</v>
      </c>
      <c r="W363" t="s">
        <v>141</v>
      </c>
      <c r="X363" t="s">
        <v>142</v>
      </c>
      <c r="Y363">
        <v>11611</v>
      </c>
      <c r="Z363">
        <v>11612</v>
      </c>
      <c r="AA363" t="s">
        <v>1025</v>
      </c>
      <c r="AB363">
        <v>1</v>
      </c>
    </row>
    <row r="364" spans="1:28">
      <c r="A364">
        <v>1</v>
      </c>
      <c r="B364" t="s">
        <v>502</v>
      </c>
      <c r="C364" t="s">
        <v>2295</v>
      </c>
      <c r="D364" t="s">
        <v>2296</v>
      </c>
      <c r="E364" t="s">
        <v>1250</v>
      </c>
      <c r="F364" t="s">
        <v>1251</v>
      </c>
      <c r="G364">
        <v>5574.7782999999999</v>
      </c>
      <c r="H364">
        <v>401384.03759999998</v>
      </c>
      <c r="I364">
        <v>6126.13</v>
      </c>
      <c r="J364">
        <v>441081.36</v>
      </c>
      <c r="K364">
        <v>6666.67</v>
      </c>
      <c r="L364">
        <v>480000.24</v>
      </c>
      <c r="M364">
        <v>45616</v>
      </c>
      <c r="O364" t="s">
        <v>326</v>
      </c>
      <c r="P364" t="s">
        <v>127</v>
      </c>
      <c r="Q364" t="s">
        <v>140</v>
      </c>
      <c r="R364" t="s">
        <v>2446</v>
      </c>
      <c r="S364" t="s">
        <v>2444</v>
      </c>
      <c r="T364" t="s">
        <v>2445</v>
      </c>
      <c r="U364">
        <v>72</v>
      </c>
      <c r="V364" t="s">
        <v>1022</v>
      </c>
      <c r="W364" t="s">
        <v>141</v>
      </c>
      <c r="X364" t="s">
        <v>142</v>
      </c>
      <c r="Y364">
        <v>11611</v>
      </c>
      <c r="Z364">
        <v>11612</v>
      </c>
      <c r="AA364" t="s">
        <v>1025</v>
      </c>
      <c r="AB364">
        <v>1</v>
      </c>
    </row>
    <row r="365" spans="1:28">
      <c r="A365">
        <v>1</v>
      </c>
      <c r="B365" t="s">
        <v>505</v>
      </c>
      <c r="C365" t="s">
        <v>2295</v>
      </c>
      <c r="D365" t="s">
        <v>2296</v>
      </c>
      <c r="E365" t="s">
        <v>1252</v>
      </c>
      <c r="F365" t="s">
        <v>1253</v>
      </c>
      <c r="G365">
        <v>5574.7782999999999</v>
      </c>
      <c r="H365">
        <v>401384.03759999998</v>
      </c>
      <c r="I365">
        <v>6126.13</v>
      </c>
      <c r="J365">
        <v>441081.36</v>
      </c>
      <c r="K365">
        <v>6666.67</v>
      </c>
      <c r="L365">
        <v>480000.24</v>
      </c>
      <c r="M365">
        <v>45616</v>
      </c>
      <c r="O365" t="s">
        <v>326</v>
      </c>
      <c r="P365" t="s">
        <v>127</v>
      </c>
      <c r="Q365" t="s">
        <v>140</v>
      </c>
      <c r="R365" t="s">
        <v>2446</v>
      </c>
      <c r="S365" t="s">
        <v>2444</v>
      </c>
      <c r="T365" t="s">
        <v>2445</v>
      </c>
      <c r="U365">
        <v>72</v>
      </c>
      <c r="V365" t="s">
        <v>1022</v>
      </c>
      <c r="W365" t="s">
        <v>141</v>
      </c>
      <c r="X365" t="s">
        <v>142</v>
      </c>
      <c r="Y365">
        <v>11611</v>
      </c>
      <c r="Z365">
        <v>11612</v>
      </c>
      <c r="AA365" t="s">
        <v>1025</v>
      </c>
      <c r="AB365">
        <v>1</v>
      </c>
    </row>
    <row r="366" spans="1:28">
      <c r="A366">
        <v>1</v>
      </c>
      <c r="B366" t="s">
        <v>469</v>
      </c>
      <c r="C366" t="s">
        <v>2287</v>
      </c>
      <c r="D366" t="s">
        <v>2288</v>
      </c>
      <c r="E366" t="s">
        <v>1258</v>
      </c>
      <c r="F366" t="s">
        <v>1259</v>
      </c>
      <c r="G366">
        <v>9263.9639639639609</v>
      </c>
      <c r="H366">
        <v>667005.40540540521</v>
      </c>
      <c r="I366">
        <v>10180.180180180178</v>
      </c>
      <c r="J366">
        <v>732972.97297297278</v>
      </c>
      <c r="K366">
        <v>11396.396396396394</v>
      </c>
      <c r="L366">
        <v>820540.54054054036</v>
      </c>
      <c r="M366">
        <v>45616</v>
      </c>
      <c r="O366" t="s">
        <v>326</v>
      </c>
      <c r="P366" t="s">
        <v>127</v>
      </c>
      <c r="Q366" t="s">
        <v>140</v>
      </c>
      <c r="R366" t="s">
        <v>2446</v>
      </c>
      <c r="S366" t="s">
        <v>2444</v>
      </c>
      <c r="T366" t="s">
        <v>2445</v>
      </c>
      <c r="U366">
        <v>72</v>
      </c>
      <c r="V366" t="s">
        <v>1024</v>
      </c>
      <c r="W366" t="s">
        <v>141</v>
      </c>
      <c r="X366" t="s">
        <v>142</v>
      </c>
      <c r="Y366">
        <v>11611</v>
      </c>
      <c r="Z366">
        <v>11612</v>
      </c>
      <c r="AA366" t="s">
        <v>1025</v>
      </c>
      <c r="AB366">
        <v>1</v>
      </c>
    </row>
    <row r="367" spans="1:28">
      <c r="A367">
        <v>1</v>
      </c>
      <c r="B367" t="s">
        <v>451</v>
      </c>
      <c r="C367" t="s">
        <v>2287</v>
      </c>
      <c r="D367" t="s">
        <v>2288</v>
      </c>
      <c r="E367" t="s">
        <v>1260</v>
      </c>
      <c r="F367" t="s">
        <v>1261</v>
      </c>
      <c r="G367">
        <v>61978.380100000002</v>
      </c>
      <c r="H367">
        <v>743740.5612</v>
      </c>
      <c r="I367">
        <v>68108.11</v>
      </c>
      <c r="J367">
        <v>817297.32000000007</v>
      </c>
      <c r="K367">
        <v>74241.740000000005</v>
      </c>
      <c r="L367">
        <v>890900.88000000012</v>
      </c>
      <c r="M367">
        <v>45616</v>
      </c>
      <c r="O367" t="s">
        <v>326</v>
      </c>
      <c r="P367" t="s">
        <v>127</v>
      </c>
      <c r="Q367" t="s">
        <v>140</v>
      </c>
      <c r="R367" t="s">
        <v>2446</v>
      </c>
      <c r="S367" t="s">
        <v>2444</v>
      </c>
      <c r="T367" t="s">
        <v>2445</v>
      </c>
      <c r="U367">
        <v>12</v>
      </c>
      <c r="V367" t="s">
        <v>1019</v>
      </c>
      <c r="W367" t="s">
        <v>141</v>
      </c>
      <c r="X367" t="s">
        <v>142</v>
      </c>
      <c r="Y367">
        <v>11611</v>
      </c>
      <c r="Z367">
        <v>11612</v>
      </c>
      <c r="AA367" t="s">
        <v>1025</v>
      </c>
      <c r="AB367">
        <v>1</v>
      </c>
    </row>
    <row r="368" spans="1:28">
      <c r="A368">
        <v>1</v>
      </c>
      <c r="B368" t="s">
        <v>474</v>
      </c>
      <c r="C368" t="s">
        <v>2287</v>
      </c>
      <c r="D368" t="s">
        <v>2288</v>
      </c>
      <c r="E368" t="s">
        <v>1262</v>
      </c>
      <c r="F368" t="s">
        <v>1263</v>
      </c>
      <c r="G368">
        <v>9263.9639639639609</v>
      </c>
      <c r="H368">
        <v>667005.40540540521</v>
      </c>
      <c r="I368">
        <v>10180.180180180178</v>
      </c>
      <c r="J368">
        <v>732972.97297297278</v>
      </c>
      <c r="K368">
        <v>11396.396396396394</v>
      </c>
      <c r="L368">
        <v>820540.54054054036</v>
      </c>
      <c r="M368">
        <v>45616</v>
      </c>
      <c r="O368" t="s">
        <v>326</v>
      </c>
      <c r="P368" t="s">
        <v>127</v>
      </c>
      <c r="Q368" t="s">
        <v>140</v>
      </c>
      <c r="R368" t="s">
        <v>2446</v>
      </c>
      <c r="S368" t="s">
        <v>2444</v>
      </c>
      <c r="T368" t="s">
        <v>2445</v>
      </c>
      <c r="U368">
        <v>72</v>
      </c>
      <c r="V368" t="s">
        <v>1024</v>
      </c>
      <c r="W368" t="s">
        <v>141</v>
      </c>
      <c r="X368" t="s">
        <v>142</v>
      </c>
      <c r="Y368">
        <v>11611</v>
      </c>
      <c r="Z368">
        <v>11612</v>
      </c>
      <c r="AA368" t="s">
        <v>1025</v>
      </c>
      <c r="AB368">
        <v>1</v>
      </c>
    </row>
    <row r="369" spans="1:28">
      <c r="A369">
        <v>1</v>
      </c>
      <c r="B369" t="s">
        <v>457</v>
      </c>
      <c r="C369" t="s">
        <v>2287</v>
      </c>
      <c r="D369" t="s">
        <v>2288</v>
      </c>
      <c r="E369" t="s">
        <v>1264</v>
      </c>
      <c r="F369" t="s">
        <v>1265</v>
      </c>
      <c r="G369">
        <v>61978.380100000002</v>
      </c>
      <c r="H369">
        <v>743740.5612</v>
      </c>
      <c r="I369">
        <v>68108.11</v>
      </c>
      <c r="J369">
        <v>817297.32000000007</v>
      </c>
      <c r="K369">
        <v>74241.740000000005</v>
      </c>
      <c r="L369">
        <v>890900.88000000012</v>
      </c>
      <c r="M369">
        <v>45616</v>
      </c>
      <c r="O369" t="s">
        <v>326</v>
      </c>
      <c r="P369" t="s">
        <v>127</v>
      </c>
      <c r="Q369" t="s">
        <v>140</v>
      </c>
      <c r="R369" t="s">
        <v>2446</v>
      </c>
      <c r="S369" t="s">
        <v>2444</v>
      </c>
      <c r="T369" t="s">
        <v>2445</v>
      </c>
      <c r="U369">
        <v>12</v>
      </c>
      <c r="V369" t="s">
        <v>1019</v>
      </c>
      <c r="W369" t="s">
        <v>141</v>
      </c>
      <c r="X369" t="s">
        <v>142</v>
      </c>
      <c r="Y369">
        <v>11611</v>
      </c>
      <c r="Z369">
        <v>11612</v>
      </c>
      <c r="AA369" t="s">
        <v>1025</v>
      </c>
      <c r="AB369">
        <v>1</v>
      </c>
    </row>
    <row r="370" spans="1:28">
      <c r="A370">
        <v>1</v>
      </c>
      <c r="B370" t="s">
        <v>470</v>
      </c>
      <c r="C370" t="s">
        <v>2287</v>
      </c>
      <c r="D370" t="s">
        <v>2288</v>
      </c>
      <c r="E370" t="s">
        <v>1266</v>
      </c>
      <c r="F370" t="s">
        <v>1267</v>
      </c>
      <c r="G370">
        <v>31317.113100000002</v>
      </c>
      <c r="H370">
        <v>1127416.0716000001</v>
      </c>
      <c r="I370">
        <v>34414.410000000003</v>
      </c>
      <c r="J370">
        <v>1238918.7600000002</v>
      </c>
      <c r="K370">
        <v>37387.39</v>
      </c>
      <c r="L370">
        <v>1345946.04</v>
      </c>
      <c r="M370">
        <v>45616</v>
      </c>
      <c r="O370" t="s">
        <v>326</v>
      </c>
      <c r="P370" t="s">
        <v>127</v>
      </c>
      <c r="Q370" t="s">
        <v>140</v>
      </c>
      <c r="R370" t="s">
        <v>2446</v>
      </c>
      <c r="S370" t="s">
        <v>2444</v>
      </c>
      <c r="T370" t="s">
        <v>2445</v>
      </c>
      <c r="U370">
        <v>36</v>
      </c>
      <c r="V370" t="s">
        <v>357</v>
      </c>
      <c r="W370" t="s">
        <v>141</v>
      </c>
      <c r="X370" t="s">
        <v>142</v>
      </c>
      <c r="Y370">
        <v>11611</v>
      </c>
      <c r="Z370">
        <v>11612</v>
      </c>
      <c r="AA370" t="s">
        <v>1025</v>
      </c>
      <c r="AB370">
        <v>1</v>
      </c>
    </row>
    <row r="371" spans="1:28">
      <c r="A371">
        <v>1</v>
      </c>
      <c r="B371" t="s">
        <v>471</v>
      </c>
      <c r="C371" t="s">
        <v>2287</v>
      </c>
      <c r="D371" t="s">
        <v>2288</v>
      </c>
      <c r="E371" t="s">
        <v>1268</v>
      </c>
      <c r="F371" t="s">
        <v>1269</v>
      </c>
      <c r="G371">
        <v>9263.9639639639609</v>
      </c>
      <c r="H371">
        <v>667005.40540540521</v>
      </c>
      <c r="I371">
        <v>10180.180180180178</v>
      </c>
      <c r="J371">
        <v>732972.97297297278</v>
      </c>
      <c r="K371">
        <v>11396.396396396394</v>
      </c>
      <c r="L371">
        <v>820540.54054054036</v>
      </c>
      <c r="M371">
        <v>45616</v>
      </c>
      <c r="O371" t="s">
        <v>326</v>
      </c>
      <c r="P371" t="s">
        <v>127</v>
      </c>
      <c r="Q371" t="s">
        <v>140</v>
      </c>
      <c r="R371" t="s">
        <v>2446</v>
      </c>
      <c r="S371" t="s">
        <v>2444</v>
      </c>
      <c r="T371" t="s">
        <v>2445</v>
      </c>
      <c r="U371">
        <v>72</v>
      </c>
      <c r="V371" t="s">
        <v>1024</v>
      </c>
      <c r="W371" t="s">
        <v>141</v>
      </c>
      <c r="X371" t="s">
        <v>142</v>
      </c>
      <c r="Y371">
        <v>11611</v>
      </c>
      <c r="Z371">
        <v>11612</v>
      </c>
      <c r="AA371" t="s">
        <v>1025</v>
      </c>
      <c r="AB371">
        <v>1</v>
      </c>
    </row>
    <row r="372" spans="1:28">
      <c r="A372">
        <v>1</v>
      </c>
      <c r="B372" t="s">
        <v>453</v>
      </c>
      <c r="C372" t="s">
        <v>2287</v>
      </c>
      <c r="D372" t="s">
        <v>2288</v>
      </c>
      <c r="E372" t="s">
        <v>1270</v>
      </c>
      <c r="F372" t="s">
        <v>1271</v>
      </c>
      <c r="G372">
        <v>61978.380100000002</v>
      </c>
      <c r="H372">
        <v>743740.5612</v>
      </c>
      <c r="I372">
        <v>68108.11</v>
      </c>
      <c r="J372">
        <v>817297.32000000007</v>
      </c>
      <c r="K372">
        <v>74241.740000000005</v>
      </c>
      <c r="L372">
        <v>890900.88000000012</v>
      </c>
      <c r="M372">
        <v>45616</v>
      </c>
      <c r="O372" t="s">
        <v>326</v>
      </c>
      <c r="P372" t="s">
        <v>127</v>
      </c>
      <c r="Q372" t="s">
        <v>140</v>
      </c>
      <c r="R372" t="s">
        <v>2446</v>
      </c>
      <c r="S372" t="s">
        <v>2444</v>
      </c>
      <c r="T372" t="s">
        <v>2445</v>
      </c>
      <c r="U372">
        <v>12</v>
      </c>
      <c r="V372" t="s">
        <v>1019</v>
      </c>
      <c r="W372" t="s">
        <v>141</v>
      </c>
      <c r="X372" t="s">
        <v>142</v>
      </c>
      <c r="Y372">
        <v>11611</v>
      </c>
      <c r="Z372">
        <v>11612</v>
      </c>
      <c r="AA372" t="s">
        <v>1025</v>
      </c>
      <c r="AB372">
        <v>1</v>
      </c>
    </row>
    <row r="373" spans="1:28">
      <c r="A373">
        <v>1</v>
      </c>
      <c r="B373" t="s">
        <v>462</v>
      </c>
      <c r="C373" t="s">
        <v>2287</v>
      </c>
      <c r="D373" t="s">
        <v>2288</v>
      </c>
      <c r="E373" t="s">
        <v>1272</v>
      </c>
      <c r="F373" t="s">
        <v>1273</v>
      </c>
      <c r="G373">
        <v>20372.5249</v>
      </c>
      <c r="H373">
        <v>977881.19519999996</v>
      </c>
      <c r="I373">
        <v>22387.39</v>
      </c>
      <c r="J373">
        <v>1074594.72</v>
      </c>
      <c r="K373">
        <v>24459.46</v>
      </c>
      <c r="L373">
        <v>1174054.08</v>
      </c>
      <c r="M373">
        <v>45616</v>
      </c>
      <c r="O373" t="s">
        <v>326</v>
      </c>
      <c r="P373" t="s">
        <v>127</v>
      </c>
      <c r="Q373" t="s">
        <v>140</v>
      </c>
      <c r="R373" t="s">
        <v>2446</v>
      </c>
      <c r="S373" t="s">
        <v>2444</v>
      </c>
      <c r="T373" t="s">
        <v>2445</v>
      </c>
      <c r="U373">
        <v>48</v>
      </c>
      <c r="V373" t="s">
        <v>1024</v>
      </c>
      <c r="W373" t="s">
        <v>141</v>
      </c>
      <c r="X373" t="s">
        <v>142</v>
      </c>
      <c r="Y373">
        <v>11611</v>
      </c>
      <c r="Z373">
        <v>11612</v>
      </c>
      <c r="AA373" t="s">
        <v>1025</v>
      </c>
      <c r="AB373">
        <v>1</v>
      </c>
    </row>
    <row r="374" spans="1:28">
      <c r="A374">
        <v>1</v>
      </c>
      <c r="B374" t="s">
        <v>461</v>
      </c>
      <c r="C374" t="s">
        <v>2287</v>
      </c>
      <c r="D374" t="s">
        <v>2288</v>
      </c>
      <c r="E374" t="s">
        <v>1274</v>
      </c>
      <c r="F374" t="s">
        <v>1275</v>
      </c>
      <c r="G374">
        <v>20372.5249</v>
      </c>
      <c r="H374">
        <v>977881.19519999996</v>
      </c>
      <c r="I374">
        <v>22387.39</v>
      </c>
      <c r="J374">
        <v>1074594.72</v>
      </c>
      <c r="K374">
        <v>24459.46</v>
      </c>
      <c r="L374">
        <v>1174054.08</v>
      </c>
      <c r="M374">
        <v>45616</v>
      </c>
      <c r="O374" t="s">
        <v>326</v>
      </c>
      <c r="P374" t="s">
        <v>127</v>
      </c>
      <c r="Q374" t="s">
        <v>140</v>
      </c>
      <c r="R374" t="s">
        <v>2446</v>
      </c>
      <c r="S374" t="s">
        <v>2444</v>
      </c>
      <c r="T374" t="s">
        <v>2445</v>
      </c>
      <c r="U374">
        <v>48</v>
      </c>
      <c r="V374" t="s">
        <v>1024</v>
      </c>
      <c r="W374" t="s">
        <v>141</v>
      </c>
      <c r="X374" t="s">
        <v>142</v>
      </c>
      <c r="Y374">
        <v>11611</v>
      </c>
      <c r="Z374">
        <v>11612</v>
      </c>
      <c r="AA374" t="s">
        <v>1025</v>
      </c>
      <c r="AB374">
        <v>1</v>
      </c>
    </row>
    <row r="375" spans="1:28">
      <c r="A375">
        <v>1</v>
      </c>
      <c r="B375" t="s">
        <v>472</v>
      </c>
      <c r="C375" t="s">
        <v>2287</v>
      </c>
      <c r="D375" t="s">
        <v>2288</v>
      </c>
      <c r="E375" t="s">
        <v>1276</v>
      </c>
      <c r="F375" t="s">
        <v>1277</v>
      </c>
      <c r="G375">
        <v>9263.9639639639609</v>
      </c>
      <c r="H375">
        <v>667005.40540540521</v>
      </c>
      <c r="I375">
        <v>10180.180180180178</v>
      </c>
      <c r="J375">
        <v>732972.97297297278</v>
      </c>
      <c r="K375">
        <v>11396.396396396394</v>
      </c>
      <c r="L375">
        <v>820540.54054054036</v>
      </c>
      <c r="M375">
        <v>45616</v>
      </c>
      <c r="O375" t="s">
        <v>326</v>
      </c>
      <c r="P375" t="s">
        <v>127</v>
      </c>
      <c r="Q375" t="s">
        <v>140</v>
      </c>
      <c r="R375" t="s">
        <v>2446</v>
      </c>
      <c r="S375" t="s">
        <v>2444</v>
      </c>
      <c r="T375" t="s">
        <v>2445</v>
      </c>
      <c r="U375">
        <v>72</v>
      </c>
      <c r="V375" t="s">
        <v>1024</v>
      </c>
      <c r="W375" t="s">
        <v>141</v>
      </c>
      <c r="X375" t="s">
        <v>142</v>
      </c>
      <c r="Y375">
        <v>11611</v>
      </c>
      <c r="Z375">
        <v>11612</v>
      </c>
      <c r="AA375" t="s">
        <v>1025</v>
      </c>
      <c r="AB375">
        <v>1</v>
      </c>
    </row>
    <row r="376" spans="1:28">
      <c r="A376">
        <v>1</v>
      </c>
      <c r="B376" t="s">
        <v>473</v>
      </c>
      <c r="C376" t="s">
        <v>2287</v>
      </c>
      <c r="D376" t="s">
        <v>2288</v>
      </c>
      <c r="E376" t="s">
        <v>1280</v>
      </c>
      <c r="F376" t="s">
        <v>1281</v>
      </c>
      <c r="G376">
        <v>9263.9639639639609</v>
      </c>
      <c r="H376">
        <v>667005.40540540521</v>
      </c>
      <c r="I376">
        <v>10180.180180180178</v>
      </c>
      <c r="J376">
        <v>732972.97297297278</v>
      </c>
      <c r="K376">
        <v>11396.396396396394</v>
      </c>
      <c r="L376">
        <v>820540.54054054036</v>
      </c>
      <c r="M376">
        <v>45616</v>
      </c>
      <c r="O376" t="s">
        <v>326</v>
      </c>
      <c r="P376" t="s">
        <v>127</v>
      </c>
      <c r="Q376" t="s">
        <v>140</v>
      </c>
      <c r="R376" t="s">
        <v>2446</v>
      </c>
      <c r="S376" t="s">
        <v>2444</v>
      </c>
      <c r="T376" t="s">
        <v>2445</v>
      </c>
      <c r="U376">
        <v>72</v>
      </c>
      <c r="V376" t="s">
        <v>1024</v>
      </c>
      <c r="W376" t="s">
        <v>141</v>
      </c>
      <c r="X376" t="s">
        <v>142</v>
      </c>
      <c r="Y376">
        <v>11611</v>
      </c>
      <c r="Z376">
        <v>11612</v>
      </c>
      <c r="AA376" t="s">
        <v>1025</v>
      </c>
      <c r="AB376">
        <v>1</v>
      </c>
    </row>
    <row r="377" spans="1:28">
      <c r="A377">
        <v>1</v>
      </c>
      <c r="B377" t="s">
        <v>808</v>
      </c>
      <c r="C377" t="s">
        <v>2281</v>
      </c>
      <c r="D377" t="s">
        <v>2282</v>
      </c>
      <c r="E377" t="s">
        <v>1176</v>
      </c>
      <c r="F377" t="s">
        <v>1177</v>
      </c>
      <c r="G377">
        <v>12989.5857</v>
      </c>
      <c r="H377">
        <v>467625.08519999997</v>
      </c>
      <c r="I377">
        <v>14274.27</v>
      </c>
      <c r="J377">
        <v>513873.72000000003</v>
      </c>
      <c r="K377">
        <v>15380.38</v>
      </c>
      <c r="L377">
        <v>553693.67999999993</v>
      </c>
      <c r="M377">
        <v>45616</v>
      </c>
      <c r="O377" t="s">
        <v>326</v>
      </c>
      <c r="P377" t="s">
        <v>127</v>
      </c>
      <c r="Q377" t="s">
        <v>140</v>
      </c>
      <c r="R377" t="s">
        <v>2446</v>
      </c>
      <c r="S377" t="s">
        <v>2444</v>
      </c>
      <c r="T377" t="s">
        <v>2445</v>
      </c>
      <c r="U377">
        <v>36</v>
      </c>
      <c r="V377" t="s">
        <v>357</v>
      </c>
      <c r="W377" t="s">
        <v>141</v>
      </c>
      <c r="X377" t="s">
        <v>142</v>
      </c>
      <c r="Y377">
        <v>11611</v>
      </c>
      <c r="Z377">
        <v>11612</v>
      </c>
      <c r="AA377" t="s">
        <v>1025</v>
      </c>
      <c r="AB377">
        <v>1</v>
      </c>
    </row>
    <row r="378" spans="1:28">
      <c r="A378">
        <v>1</v>
      </c>
      <c r="B378" t="s">
        <v>807</v>
      </c>
      <c r="C378" t="s">
        <v>2281</v>
      </c>
      <c r="D378" t="s">
        <v>2282</v>
      </c>
      <c r="E378" t="s">
        <v>1174</v>
      </c>
      <c r="F378" t="s">
        <v>1175</v>
      </c>
      <c r="G378">
        <v>12989.5857</v>
      </c>
      <c r="H378">
        <v>467625.08519999997</v>
      </c>
      <c r="I378">
        <v>14274.27</v>
      </c>
      <c r="J378">
        <v>513873.72000000003</v>
      </c>
      <c r="K378">
        <v>15380.38</v>
      </c>
      <c r="L378">
        <v>553693.67999999993</v>
      </c>
      <c r="M378">
        <v>45616</v>
      </c>
      <c r="O378" t="s">
        <v>326</v>
      </c>
      <c r="P378" t="s">
        <v>127</v>
      </c>
      <c r="Q378" t="s">
        <v>140</v>
      </c>
      <c r="R378" t="s">
        <v>2446</v>
      </c>
      <c r="S378" t="s">
        <v>2444</v>
      </c>
      <c r="T378" t="s">
        <v>2445</v>
      </c>
      <c r="U378">
        <v>36</v>
      </c>
      <c r="V378" t="s">
        <v>357</v>
      </c>
      <c r="W378" t="s">
        <v>141</v>
      </c>
      <c r="X378" t="s">
        <v>142</v>
      </c>
      <c r="Y378">
        <v>11611</v>
      </c>
      <c r="Z378">
        <v>11612</v>
      </c>
      <c r="AA378" t="s">
        <v>1025</v>
      </c>
      <c r="AB378">
        <v>1</v>
      </c>
    </row>
    <row r="379" spans="1:28">
      <c r="A379">
        <v>1</v>
      </c>
      <c r="B379" t="s">
        <v>806</v>
      </c>
      <c r="C379" t="s">
        <v>2281</v>
      </c>
      <c r="D379" t="s">
        <v>2282</v>
      </c>
      <c r="E379" t="s">
        <v>1172</v>
      </c>
      <c r="F379" t="s">
        <v>1173</v>
      </c>
      <c r="G379">
        <v>13319.797399999999</v>
      </c>
      <c r="H379">
        <v>479512.70639999997</v>
      </c>
      <c r="I379">
        <v>14637.14</v>
      </c>
      <c r="J379">
        <v>526937.04</v>
      </c>
      <c r="K379">
        <v>15728.23</v>
      </c>
      <c r="L379">
        <v>566216.28</v>
      </c>
      <c r="M379">
        <v>45616</v>
      </c>
      <c r="O379" t="s">
        <v>326</v>
      </c>
      <c r="P379" t="s">
        <v>127</v>
      </c>
      <c r="Q379" t="s">
        <v>140</v>
      </c>
      <c r="R379" t="s">
        <v>2446</v>
      </c>
      <c r="S379" t="s">
        <v>2444</v>
      </c>
      <c r="T379" t="s">
        <v>2445</v>
      </c>
      <c r="U379">
        <v>36</v>
      </c>
      <c r="V379" t="s">
        <v>357</v>
      </c>
      <c r="W379" t="s">
        <v>141</v>
      </c>
      <c r="X379" t="s">
        <v>142</v>
      </c>
      <c r="Y379">
        <v>11611</v>
      </c>
      <c r="Z379">
        <v>11612</v>
      </c>
      <c r="AA379" t="s">
        <v>1025</v>
      </c>
      <c r="AB379">
        <v>1</v>
      </c>
    </row>
    <row r="380" spans="1:28">
      <c r="A380">
        <v>1</v>
      </c>
      <c r="B380" t="s">
        <v>510</v>
      </c>
      <c r="C380" t="s">
        <v>2299</v>
      </c>
      <c r="D380" t="s">
        <v>2300</v>
      </c>
      <c r="E380" t="s">
        <v>1081</v>
      </c>
      <c r="F380" t="s">
        <v>1082</v>
      </c>
      <c r="G380">
        <v>7032.4163000000008</v>
      </c>
      <c r="H380">
        <v>703241.63000000012</v>
      </c>
      <c r="I380">
        <v>7727.93</v>
      </c>
      <c r="J380">
        <v>772793</v>
      </c>
      <c r="K380">
        <v>8363.9599999999991</v>
      </c>
      <c r="L380">
        <v>836395.99999999988</v>
      </c>
      <c r="M380">
        <v>45616</v>
      </c>
      <c r="O380" t="s">
        <v>326</v>
      </c>
      <c r="P380" t="s">
        <v>127</v>
      </c>
      <c r="Q380" t="s">
        <v>140</v>
      </c>
      <c r="R380" t="s">
        <v>2446</v>
      </c>
      <c r="S380" t="s">
        <v>2444</v>
      </c>
      <c r="T380" t="s">
        <v>2445</v>
      </c>
      <c r="U380">
        <v>100</v>
      </c>
      <c r="V380" t="s">
        <v>1023</v>
      </c>
      <c r="W380" t="s">
        <v>141</v>
      </c>
      <c r="X380" t="s">
        <v>142</v>
      </c>
      <c r="Y380">
        <v>11611</v>
      </c>
      <c r="Z380">
        <v>11612</v>
      </c>
      <c r="AA380" t="s">
        <v>1025</v>
      </c>
      <c r="AB380">
        <v>1</v>
      </c>
    </row>
    <row r="381" spans="1:28">
      <c r="A381">
        <v>1</v>
      </c>
      <c r="B381" t="s">
        <v>511</v>
      </c>
      <c r="C381" t="s">
        <v>2299</v>
      </c>
      <c r="D381" t="s">
        <v>2300</v>
      </c>
      <c r="E381" t="s">
        <v>1083</v>
      </c>
      <c r="F381" t="s">
        <v>1084</v>
      </c>
      <c r="G381">
        <v>7032.4163000000008</v>
      </c>
      <c r="H381">
        <v>703241.63000000012</v>
      </c>
      <c r="I381">
        <v>7727.93</v>
      </c>
      <c r="J381">
        <v>772793</v>
      </c>
      <c r="K381">
        <v>8363.9599999999991</v>
      </c>
      <c r="L381">
        <v>836395.99999999988</v>
      </c>
      <c r="M381">
        <v>45616</v>
      </c>
      <c r="O381" t="s">
        <v>326</v>
      </c>
      <c r="P381" t="s">
        <v>127</v>
      </c>
      <c r="Q381" t="s">
        <v>140</v>
      </c>
      <c r="R381" t="s">
        <v>2446</v>
      </c>
      <c r="S381" t="s">
        <v>2444</v>
      </c>
      <c r="T381" t="s">
        <v>2445</v>
      </c>
      <c r="U381">
        <v>100</v>
      </c>
      <c r="V381" t="s">
        <v>1023</v>
      </c>
      <c r="W381" t="s">
        <v>141</v>
      </c>
      <c r="X381" t="s">
        <v>142</v>
      </c>
      <c r="Y381">
        <v>11611</v>
      </c>
      <c r="Z381">
        <v>11612</v>
      </c>
      <c r="AA381" t="s">
        <v>1025</v>
      </c>
      <c r="AB381">
        <v>1</v>
      </c>
    </row>
    <row r="382" spans="1:28">
      <c r="A382">
        <v>1</v>
      </c>
      <c r="B382" t="s">
        <v>512</v>
      </c>
      <c r="C382" t="s">
        <v>2299</v>
      </c>
      <c r="D382" t="s">
        <v>2300</v>
      </c>
      <c r="E382" t="s">
        <v>1085</v>
      </c>
      <c r="F382" t="s">
        <v>1086</v>
      </c>
      <c r="G382">
        <v>7032.4163000000008</v>
      </c>
      <c r="H382">
        <v>703241.63000000012</v>
      </c>
      <c r="I382">
        <v>7727.93</v>
      </c>
      <c r="J382">
        <v>772793</v>
      </c>
      <c r="K382">
        <v>8363.9599999999991</v>
      </c>
      <c r="L382">
        <v>836395.99999999988</v>
      </c>
      <c r="M382">
        <v>45616</v>
      </c>
      <c r="O382" t="s">
        <v>326</v>
      </c>
      <c r="P382" t="s">
        <v>127</v>
      </c>
      <c r="Q382" t="s">
        <v>140</v>
      </c>
      <c r="R382" t="s">
        <v>2446</v>
      </c>
      <c r="S382" t="s">
        <v>2444</v>
      </c>
      <c r="T382" t="s">
        <v>2445</v>
      </c>
      <c r="U382">
        <v>100</v>
      </c>
      <c r="V382" t="s">
        <v>1023</v>
      </c>
      <c r="W382" t="s">
        <v>141</v>
      </c>
      <c r="X382" t="s">
        <v>142</v>
      </c>
      <c r="Y382">
        <v>11611</v>
      </c>
      <c r="Z382">
        <v>11612</v>
      </c>
      <c r="AA382" t="s">
        <v>1025</v>
      </c>
      <c r="AB382">
        <v>1</v>
      </c>
    </row>
    <row r="383" spans="1:28">
      <c r="A383">
        <v>1</v>
      </c>
      <c r="B383" t="s">
        <v>513</v>
      </c>
      <c r="C383" t="s">
        <v>2299</v>
      </c>
      <c r="D383" t="s">
        <v>2300</v>
      </c>
      <c r="E383" t="s">
        <v>1087</v>
      </c>
      <c r="F383" t="s">
        <v>1088</v>
      </c>
      <c r="G383">
        <v>7032.4163000000008</v>
      </c>
      <c r="H383">
        <v>703241.63000000012</v>
      </c>
      <c r="I383">
        <v>7727.93</v>
      </c>
      <c r="J383">
        <v>772793</v>
      </c>
      <c r="K383">
        <v>8363.9599999999991</v>
      </c>
      <c r="L383">
        <v>836395.99999999988</v>
      </c>
      <c r="M383">
        <v>45616</v>
      </c>
      <c r="O383" t="s">
        <v>326</v>
      </c>
      <c r="P383" t="s">
        <v>127</v>
      </c>
      <c r="Q383" t="s">
        <v>140</v>
      </c>
      <c r="R383" t="s">
        <v>2446</v>
      </c>
      <c r="S383" t="s">
        <v>2444</v>
      </c>
      <c r="T383" t="s">
        <v>2445</v>
      </c>
      <c r="U383">
        <v>100</v>
      </c>
      <c r="V383" t="s">
        <v>1023</v>
      </c>
      <c r="W383" t="s">
        <v>141</v>
      </c>
      <c r="X383" t="s">
        <v>142</v>
      </c>
      <c r="Y383">
        <v>11611</v>
      </c>
      <c r="Z383">
        <v>11612</v>
      </c>
      <c r="AA383" t="s">
        <v>1025</v>
      </c>
      <c r="AB383">
        <v>1</v>
      </c>
    </row>
    <row r="384" spans="1:28">
      <c r="A384">
        <v>1</v>
      </c>
      <c r="B384" t="s">
        <v>514</v>
      </c>
      <c r="C384" t="s">
        <v>2299</v>
      </c>
      <c r="D384" t="s">
        <v>2300</v>
      </c>
      <c r="E384" t="s">
        <v>1089</v>
      </c>
      <c r="F384" t="s">
        <v>1090</v>
      </c>
      <c r="G384">
        <v>7032.4163000000008</v>
      </c>
      <c r="H384">
        <v>703241.63000000012</v>
      </c>
      <c r="I384">
        <v>7727.93</v>
      </c>
      <c r="J384">
        <v>772793</v>
      </c>
      <c r="K384">
        <v>8363.9599999999991</v>
      </c>
      <c r="L384">
        <v>836395.99999999988</v>
      </c>
      <c r="M384">
        <v>45616</v>
      </c>
      <c r="O384" t="s">
        <v>326</v>
      </c>
      <c r="P384" t="s">
        <v>127</v>
      </c>
      <c r="Q384" t="s">
        <v>140</v>
      </c>
      <c r="R384" t="s">
        <v>2446</v>
      </c>
      <c r="S384" t="s">
        <v>2444</v>
      </c>
      <c r="T384" t="s">
        <v>2445</v>
      </c>
      <c r="U384">
        <v>100</v>
      </c>
      <c r="V384" t="s">
        <v>1023</v>
      </c>
      <c r="W384" t="s">
        <v>141</v>
      </c>
      <c r="X384" t="s">
        <v>142</v>
      </c>
      <c r="Y384">
        <v>11611</v>
      </c>
      <c r="Z384">
        <v>11612</v>
      </c>
      <c r="AA384" t="s">
        <v>1025</v>
      </c>
      <c r="AB384">
        <v>1</v>
      </c>
    </row>
    <row r="385" spans="1:28">
      <c r="A385">
        <v>1</v>
      </c>
      <c r="B385" t="s">
        <v>515</v>
      </c>
      <c r="C385" t="s">
        <v>2299</v>
      </c>
      <c r="D385" t="s">
        <v>2300</v>
      </c>
      <c r="E385" t="s">
        <v>1091</v>
      </c>
      <c r="F385" t="s">
        <v>1092</v>
      </c>
      <c r="G385">
        <v>7032.4163000000008</v>
      </c>
      <c r="H385">
        <v>703241.63000000012</v>
      </c>
      <c r="I385">
        <v>7727.93</v>
      </c>
      <c r="J385">
        <v>772793</v>
      </c>
      <c r="K385">
        <v>8363.9599999999991</v>
      </c>
      <c r="L385">
        <v>836395.99999999988</v>
      </c>
      <c r="M385">
        <v>45616</v>
      </c>
      <c r="O385" t="s">
        <v>326</v>
      </c>
      <c r="P385" t="s">
        <v>127</v>
      </c>
      <c r="Q385" t="s">
        <v>140</v>
      </c>
      <c r="R385" t="s">
        <v>2446</v>
      </c>
      <c r="S385" t="s">
        <v>2444</v>
      </c>
      <c r="T385" t="s">
        <v>2445</v>
      </c>
      <c r="U385">
        <v>100</v>
      </c>
      <c r="V385" t="s">
        <v>1023</v>
      </c>
      <c r="W385" t="s">
        <v>141</v>
      </c>
      <c r="X385" t="s">
        <v>142</v>
      </c>
      <c r="Y385">
        <v>11611</v>
      </c>
      <c r="Z385">
        <v>11612</v>
      </c>
      <c r="AA385" t="s">
        <v>1025</v>
      </c>
      <c r="AB385">
        <v>1</v>
      </c>
    </row>
    <row r="386" spans="1:28">
      <c r="A386">
        <v>1</v>
      </c>
      <c r="B386" t="s">
        <v>516</v>
      </c>
      <c r="C386" t="s">
        <v>2299</v>
      </c>
      <c r="D386" t="s">
        <v>2300</v>
      </c>
      <c r="E386" t="s">
        <v>1093</v>
      </c>
      <c r="F386" t="s">
        <v>1094</v>
      </c>
      <c r="G386">
        <v>7032.4163000000008</v>
      </c>
      <c r="H386">
        <v>703241.63000000012</v>
      </c>
      <c r="I386">
        <v>7727.93</v>
      </c>
      <c r="J386">
        <v>772793</v>
      </c>
      <c r="K386">
        <v>8363.9599999999991</v>
      </c>
      <c r="L386">
        <v>836395.99999999988</v>
      </c>
      <c r="M386">
        <v>45616</v>
      </c>
      <c r="O386" t="s">
        <v>326</v>
      </c>
      <c r="P386" t="s">
        <v>127</v>
      </c>
      <c r="Q386" t="s">
        <v>140</v>
      </c>
      <c r="R386" t="s">
        <v>2446</v>
      </c>
      <c r="S386" t="s">
        <v>2444</v>
      </c>
      <c r="T386" t="s">
        <v>2445</v>
      </c>
      <c r="U386">
        <v>100</v>
      </c>
      <c r="V386" t="s">
        <v>1023</v>
      </c>
      <c r="W386" t="s">
        <v>141</v>
      </c>
      <c r="X386" t="s">
        <v>142</v>
      </c>
      <c r="Y386">
        <v>11611</v>
      </c>
      <c r="Z386">
        <v>11612</v>
      </c>
      <c r="AA386" t="s">
        <v>1025</v>
      </c>
      <c r="AB386">
        <v>1</v>
      </c>
    </row>
    <row r="387" spans="1:28">
      <c r="A387">
        <v>1</v>
      </c>
      <c r="B387" t="s">
        <v>517</v>
      </c>
      <c r="C387" t="s">
        <v>2299</v>
      </c>
      <c r="D387" t="s">
        <v>2300</v>
      </c>
      <c r="E387" t="s">
        <v>1095</v>
      </c>
      <c r="F387" t="s">
        <v>1096</v>
      </c>
      <c r="G387">
        <v>7032.4163000000008</v>
      </c>
      <c r="H387">
        <v>703241.63000000012</v>
      </c>
      <c r="I387">
        <v>7727.93</v>
      </c>
      <c r="J387">
        <v>772793</v>
      </c>
      <c r="K387">
        <v>8363.9599999999991</v>
      </c>
      <c r="L387">
        <v>836395.99999999988</v>
      </c>
      <c r="M387">
        <v>45616</v>
      </c>
      <c r="O387" t="s">
        <v>326</v>
      </c>
      <c r="P387" t="s">
        <v>127</v>
      </c>
      <c r="Q387" t="s">
        <v>140</v>
      </c>
      <c r="R387" t="s">
        <v>2446</v>
      </c>
      <c r="S387" t="s">
        <v>2444</v>
      </c>
      <c r="T387" t="s">
        <v>2445</v>
      </c>
      <c r="U387">
        <v>100</v>
      </c>
      <c r="V387" t="s">
        <v>1023</v>
      </c>
      <c r="W387" t="s">
        <v>141</v>
      </c>
      <c r="X387" t="s">
        <v>142</v>
      </c>
      <c r="Y387">
        <v>11611</v>
      </c>
      <c r="Z387">
        <v>11612</v>
      </c>
      <c r="AA387" t="s">
        <v>1025</v>
      </c>
      <c r="AB387">
        <v>1</v>
      </c>
    </row>
    <row r="388" spans="1:28">
      <c r="A388">
        <v>1</v>
      </c>
      <c r="B388" t="s">
        <v>518</v>
      </c>
      <c r="C388" t="s">
        <v>2299</v>
      </c>
      <c r="D388" t="s">
        <v>2300</v>
      </c>
      <c r="E388" t="s">
        <v>1097</v>
      </c>
      <c r="F388" t="s">
        <v>1098</v>
      </c>
      <c r="G388">
        <v>7032.4163000000008</v>
      </c>
      <c r="H388">
        <v>703241.63000000012</v>
      </c>
      <c r="I388">
        <v>7727.93</v>
      </c>
      <c r="J388">
        <v>772793</v>
      </c>
      <c r="K388">
        <v>8363.9599999999991</v>
      </c>
      <c r="L388">
        <v>836395.99999999988</v>
      </c>
      <c r="M388">
        <v>45616</v>
      </c>
      <c r="O388" t="s">
        <v>326</v>
      </c>
      <c r="P388" t="s">
        <v>127</v>
      </c>
      <c r="Q388" t="s">
        <v>140</v>
      </c>
      <c r="R388" t="s">
        <v>2446</v>
      </c>
      <c r="S388" t="s">
        <v>2444</v>
      </c>
      <c r="T388" t="s">
        <v>2445</v>
      </c>
      <c r="U388">
        <v>100</v>
      </c>
      <c r="V388" t="s">
        <v>1023</v>
      </c>
      <c r="W388" t="s">
        <v>141</v>
      </c>
      <c r="X388" t="s">
        <v>142</v>
      </c>
      <c r="Y388">
        <v>11611</v>
      </c>
      <c r="Z388">
        <v>11612</v>
      </c>
      <c r="AA388" t="s">
        <v>1025</v>
      </c>
      <c r="AB388">
        <v>1</v>
      </c>
    </row>
    <row r="389" spans="1:28">
      <c r="A389">
        <v>1</v>
      </c>
      <c r="B389" t="s">
        <v>526</v>
      </c>
      <c r="C389" t="s">
        <v>2299</v>
      </c>
      <c r="D389" t="s">
        <v>2300</v>
      </c>
      <c r="E389" t="s">
        <v>1099</v>
      </c>
      <c r="F389" t="s">
        <v>1100</v>
      </c>
      <c r="G389">
        <v>14891.203599999999</v>
      </c>
      <c r="H389">
        <v>1489120.3599999999</v>
      </c>
      <c r="I389">
        <v>16363.96</v>
      </c>
      <c r="J389">
        <v>1636396</v>
      </c>
      <c r="K389">
        <v>17727.93</v>
      </c>
      <c r="L389">
        <v>1772793</v>
      </c>
      <c r="M389">
        <v>45616</v>
      </c>
      <c r="O389" t="s">
        <v>326</v>
      </c>
      <c r="P389" t="s">
        <v>127</v>
      </c>
      <c r="Q389" t="s">
        <v>140</v>
      </c>
      <c r="R389" t="s">
        <v>2446</v>
      </c>
      <c r="S389" t="s">
        <v>2444</v>
      </c>
      <c r="T389" t="s">
        <v>2445</v>
      </c>
      <c r="U389">
        <v>100</v>
      </c>
      <c r="V389" t="s">
        <v>1023</v>
      </c>
      <c r="W389" t="s">
        <v>141</v>
      </c>
      <c r="X389" t="s">
        <v>142</v>
      </c>
      <c r="Y389">
        <v>11611</v>
      </c>
      <c r="Z389">
        <v>11612</v>
      </c>
      <c r="AA389" t="s">
        <v>1025</v>
      </c>
      <c r="AB389">
        <v>1</v>
      </c>
    </row>
    <row r="390" spans="1:28">
      <c r="A390">
        <v>1</v>
      </c>
      <c r="B390" t="s">
        <v>527</v>
      </c>
      <c r="C390" t="s">
        <v>2299</v>
      </c>
      <c r="D390" t="s">
        <v>2300</v>
      </c>
      <c r="E390" t="s">
        <v>1101</v>
      </c>
      <c r="F390" t="s">
        <v>1102</v>
      </c>
      <c r="G390">
        <v>14891.203599999999</v>
      </c>
      <c r="H390">
        <v>1489120.3599999999</v>
      </c>
      <c r="I390">
        <v>16363.96</v>
      </c>
      <c r="J390">
        <v>1636396</v>
      </c>
      <c r="K390">
        <v>17727.93</v>
      </c>
      <c r="L390">
        <v>1772793</v>
      </c>
      <c r="M390">
        <v>45616</v>
      </c>
      <c r="O390" t="s">
        <v>326</v>
      </c>
      <c r="P390" t="s">
        <v>127</v>
      </c>
      <c r="Q390" t="s">
        <v>140</v>
      </c>
      <c r="R390" t="s">
        <v>2446</v>
      </c>
      <c r="S390" t="s">
        <v>2444</v>
      </c>
      <c r="T390" t="s">
        <v>2445</v>
      </c>
      <c r="U390">
        <v>100</v>
      </c>
      <c r="V390" t="s">
        <v>1023</v>
      </c>
      <c r="W390" t="s">
        <v>141</v>
      </c>
      <c r="X390" t="s">
        <v>142</v>
      </c>
      <c r="Y390">
        <v>11611</v>
      </c>
      <c r="Z390">
        <v>11612</v>
      </c>
      <c r="AA390" t="s">
        <v>1025</v>
      </c>
      <c r="AB390">
        <v>1</v>
      </c>
    </row>
    <row r="391" spans="1:28">
      <c r="A391">
        <v>1</v>
      </c>
      <c r="B391" t="s">
        <v>528</v>
      </c>
      <c r="C391" t="s">
        <v>2299</v>
      </c>
      <c r="D391" t="s">
        <v>2300</v>
      </c>
      <c r="E391" t="s">
        <v>1103</v>
      </c>
      <c r="F391" t="s">
        <v>1104</v>
      </c>
      <c r="G391">
        <v>14891.203599999999</v>
      </c>
      <c r="H391">
        <v>1489120.3599999999</v>
      </c>
      <c r="I391">
        <v>16363.96</v>
      </c>
      <c r="J391">
        <v>1636396</v>
      </c>
      <c r="K391">
        <v>17727.93</v>
      </c>
      <c r="L391">
        <v>1772793</v>
      </c>
      <c r="M391">
        <v>45616</v>
      </c>
      <c r="O391" t="s">
        <v>326</v>
      </c>
      <c r="P391" t="s">
        <v>127</v>
      </c>
      <c r="Q391" t="s">
        <v>140</v>
      </c>
      <c r="R391" t="s">
        <v>2446</v>
      </c>
      <c r="S391" t="s">
        <v>2444</v>
      </c>
      <c r="T391" t="s">
        <v>2445</v>
      </c>
      <c r="U391">
        <v>100</v>
      </c>
      <c r="V391" t="s">
        <v>1023</v>
      </c>
      <c r="W391" t="s">
        <v>141</v>
      </c>
      <c r="X391" t="s">
        <v>142</v>
      </c>
      <c r="Y391">
        <v>11611</v>
      </c>
      <c r="Z391">
        <v>11612</v>
      </c>
      <c r="AA391" t="s">
        <v>1025</v>
      </c>
      <c r="AB391">
        <v>1</v>
      </c>
    </row>
    <row r="392" spans="1:28">
      <c r="A392">
        <v>1</v>
      </c>
      <c r="B392" t="s">
        <v>529</v>
      </c>
      <c r="C392" t="s">
        <v>2299</v>
      </c>
      <c r="D392" t="s">
        <v>2300</v>
      </c>
      <c r="E392" t="s">
        <v>1105</v>
      </c>
      <c r="F392" t="s">
        <v>1106</v>
      </c>
      <c r="G392">
        <v>14891.203599999999</v>
      </c>
      <c r="H392">
        <v>1489120.3599999999</v>
      </c>
      <c r="I392">
        <v>16363.96</v>
      </c>
      <c r="J392">
        <v>1636396</v>
      </c>
      <c r="K392">
        <v>17727.93</v>
      </c>
      <c r="L392">
        <v>1772793</v>
      </c>
      <c r="M392">
        <v>45616</v>
      </c>
      <c r="O392" t="s">
        <v>326</v>
      </c>
      <c r="P392" t="s">
        <v>127</v>
      </c>
      <c r="Q392" t="s">
        <v>140</v>
      </c>
      <c r="R392" t="s">
        <v>2446</v>
      </c>
      <c r="S392" t="s">
        <v>2444</v>
      </c>
      <c r="T392" t="s">
        <v>2445</v>
      </c>
      <c r="U392">
        <v>100</v>
      </c>
      <c r="V392" t="s">
        <v>1023</v>
      </c>
      <c r="W392" t="s">
        <v>141</v>
      </c>
      <c r="X392" t="s">
        <v>142</v>
      </c>
      <c r="Y392">
        <v>11611</v>
      </c>
      <c r="Z392">
        <v>11612</v>
      </c>
      <c r="AA392" t="s">
        <v>1025</v>
      </c>
      <c r="AB392">
        <v>1</v>
      </c>
    </row>
    <row r="393" spans="1:28">
      <c r="A393">
        <v>1</v>
      </c>
      <c r="B393" t="s">
        <v>530</v>
      </c>
      <c r="C393" t="s">
        <v>2299</v>
      </c>
      <c r="D393" t="s">
        <v>2300</v>
      </c>
      <c r="E393" t="s">
        <v>1107</v>
      </c>
      <c r="F393" t="s">
        <v>1108</v>
      </c>
      <c r="G393">
        <v>7032.4163000000008</v>
      </c>
      <c r="H393">
        <v>703241.63000000012</v>
      </c>
      <c r="I393">
        <v>7727.93</v>
      </c>
      <c r="J393">
        <v>772793</v>
      </c>
      <c r="K393">
        <v>8363.9599999999991</v>
      </c>
      <c r="L393">
        <v>836395.99999999988</v>
      </c>
      <c r="M393">
        <v>45616</v>
      </c>
      <c r="O393" t="s">
        <v>326</v>
      </c>
      <c r="P393" t="s">
        <v>127</v>
      </c>
      <c r="Q393" t="s">
        <v>140</v>
      </c>
      <c r="R393" t="s">
        <v>2446</v>
      </c>
      <c r="S393" t="s">
        <v>2444</v>
      </c>
      <c r="T393" t="s">
        <v>2445</v>
      </c>
      <c r="U393">
        <v>100</v>
      </c>
      <c r="V393" t="s">
        <v>1023</v>
      </c>
      <c r="W393" t="s">
        <v>141</v>
      </c>
      <c r="X393" t="s">
        <v>142</v>
      </c>
      <c r="Y393">
        <v>11611</v>
      </c>
      <c r="Z393">
        <v>11612</v>
      </c>
      <c r="AA393" t="s">
        <v>1025</v>
      </c>
      <c r="AB393">
        <v>1</v>
      </c>
    </row>
    <row r="394" spans="1:28">
      <c r="A394">
        <v>1</v>
      </c>
      <c r="B394" t="s">
        <v>531</v>
      </c>
      <c r="C394" t="s">
        <v>2299</v>
      </c>
      <c r="D394" t="s">
        <v>2300</v>
      </c>
      <c r="E394" t="s">
        <v>1109</v>
      </c>
      <c r="F394" t="s">
        <v>1110</v>
      </c>
      <c r="G394">
        <v>7032.4163000000008</v>
      </c>
      <c r="H394">
        <v>703241.63000000012</v>
      </c>
      <c r="I394">
        <v>7727.93</v>
      </c>
      <c r="J394">
        <v>772793</v>
      </c>
      <c r="K394">
        <v>8363.9599999999991</v>
      </c>
      <c r="L394">
        <v>836395.99999999988</v>
      </c>
      <c r="M394">
        <v>45616</v>
      </c>
      <c r="O394" t="s">
        <v>326</v>
      </c>
      <c r="P394" t="s">
        <v>127</v>
      </c>
      <c r="Q394" t="s">
        <v>140</v>
      </c>
      <c r="R394" t="s">
        <v>2446</v>
      </c>
      <c r="S394" t="s">
        <v>2444</v>
      </c>
      <c r="T394" t="s">
        <v>2445</v>
      </c>
      <c r="U394">
        <v>100</v>
      </c>
      <c r="V394" t="s">
        <v>1023</v>
      </c>
      <c r="W394" t="s">
        <v>141</v>
      </c>
      <c r="X394" t="s">
        <v>142</v>
      </c>
      <c r="Y394">
        <v>11611</v>
      </c>
      <c r="Z394">
        <v>11612</v>
      </c>
      <c r="AA394" t="s">
        <v>1025</v>
      </c>
      <c r="AB394">
        <v>1</v>
      </c>
    </row>
    <row r="395" spans="1:28">
      <c r="A395">
        <v>1</v>
      </c>
      <c r="B395" t="s">
        <v>509</v>
      </c>
      <c r="C395" t="s">
        <v>2299</v>
      </c>
      <c r="D395" t="s">
        <v>2300</v>
      </c>
      <c r="E395" t="s">
        <v>1079</v>
      </c>
      <c r="F395" t="s">
        <v>1080</v>
      </c>
      <c r="G395">
        <v>7032.4163000000008</v>
      </c>
      <c r="H395">
        <v>703241.63000000012</v>
      </c>
      <c r="I395">
        <v>7727.93</v>
      </c>
      <c r="J395">
        <v>772793</v>
      </c>
      <c r="K395">
        <v>8363.9599999999991</v>
      </c>
      <c r="L395">
        <v>836395.99999999988</v>
      </c>
      <c r="M395">
        <v>45616</v>
      </c>
      <c r="O395" t="s">
        <v>326</v>
      </c>
      <c r="P395" t="s">
        <v>127</v>
      </c>
      <c r="Q395" t="s">
        <v>140</v>
      </c>
      <c r="R395" t="s">
        <v>2446</v>
      </c>
      <c r="S395" t="s">
        <v>2444</v>
      </c>
      <c r="T395" t="s">
        <v>2445</v>
      </c>
      <c r="U395">
        <v>100</v>
      </c>
      <c r="V395" t="s">
        <v>1023</v>
      </c>
      <c r="W395" t="s">
        <v>141</v>
      </c>
      <c r="X395" t="s">
        <v>142</v>
      </c>
      <c r="Y395">
        <v>11611</v>
      </c>
      <c r="Z395">
        <v>11612</v>
      </c>
      <c r="AA395" t="s">
        <v>1025</v>
      </c>
      <c r="AB395">
        <v>1</v>
      </c>
    </row>
    <row r="396" spans="1:28">
      <c r="A396">
        <v>1</v>
      </c>
      <c r="B396" t="s">
        <v>831</v>
      </c>
      <c r="C396" t="s">
        <v>2305</v>
      </c>
      <c r="D396" t="s">
        <v>2306</v>
      </c>
      <c r="E396" t="s">
        <v>1111</v>
      </c>
      <c r="F396" t="s">
        <v>1112</v>
      </c>
      <c r="G396">
        <v>16396.396396396394</v>
      </c>
      <c r="H396">
        <v>393513.51351351349</v>
      </c>
      <c r="I396">
        <v>18018.018018018014</v>
      </c>
      <c r="J396">
        <v>432432.43243243231</v>
      </c>
      <c r="K396">
        <v>19459.459459459456</v>
      </c>
      <c r="L396">
        <v>467027.02702702698</v>
      </c>
      <c r="M396">
        <v>45616</v>
      </c>
      <c r="O396" t="s">
        <v>326</v>
      </c>
      <c r="P396" t="s">
        <v>127</v>
      </c>
      <c r="Q396" t="s">
        <v>140</v>
      </c>
      <c r="R396" t="s">
        <v>2446</v>
      </c>
      <c r="S396" t="s">
        <v>2444</v>
      </c>
      <c r="T396" t="s">
        <v>2445</v>
      </c>
      <c r="U396">
        <v>24</v>
      </c>
      <c r="V396" t="s">
        <v>357</v>
      </c>
      <c r="W396" t="s">
        <v>141</v>
      </c>
      <c r="X396" t="s">
        <v>142</v>
      </c>
      <c r="Y396">
        <v>11611</v>
      </c>
      <c r="Z396">
        <v>11612</v>
      </c>
      <c r="AA396" t="s">
        <v>1025</v>
      </c>
      <c r="AB396">
        <v>1</v>
      </c>
    </row>
    <row r="397" spans="1:28">
      <c r="A397">
        <v>1</v>
      </c>
      <c r="B397" t="s">
        <v>525</v>
      </c>
      <c r="C397" t="s">
        <v>2299</v>
      </c>
      <c r="D397" t="s">
        <v>2300</v>
      </c>
      <c r="E397" t="s">
        <v>1077</v>
      </c>
      <c r="F397" t="s">
        <v>1078</v>
      </c>
      <c r="G397">
        <v>7032.4163000000008</v>
      </c>
      <c r="H397">
        <v>703241.63000000012</v>
      </c>
      <c r="I397">
        <v>7727.93</v>
      </c>
      <c r="J397">
        <v>772793</v>
      </c>
      <c r="K397">
        <v>8363.9599999999991</v>
      </c>
      <c r="L397">
        <v>836395.99999999988</v>
      </c>
      <c r="M397">
        <v>45616</v>
      </c>
      <c r="O397" t="s">
        <v>326</v>
      </c>
      <c r="P397" t="s">
        <v>127</v>
      </c>
      <c r="Q397" t="s">
        <v>140</v>
      </c>
      <c r="R397" t="s">
        <v>2446</v>
      </c>
      <c r="S397" t="s">
        <v>2444</v>
      </c>
      <c r="T397" t="s">
        <v>2445</v>
      </c>
      <c r="U397">
        <v>100</v>
      </c>
      <c r="V397" t="s">
        <v>1023</v>
      </c>
      <c r="W397" t="s">
        <v>141</v>
      </c>
      <c r="X397" t="s">
        <v>142</v>
      </c>
      <c r="Y397">
        <v>11611</v>
      </c>
      <c r="Z397">
        <v>11612</v>
      </c>
      <c r="AA397" t="s">
        <v>1025</v>
      </c>
      <c r="AB397">
        <v>1</v>
      </c>
    </row>
    <row r="398" spans="1:28">
      <c r="A398">
        <v>1</v>
      </c>
      <c r="B398" t="s">
        <v>523</v>
      </c>
      <c r="C398" t="s">
        <v>2299</v>
      </c>
      <c r="D398" t="s">
        <v>2300</v>
      </c>
      <c r="E398" t="s">
        <v>1073</v>
      </c>
      <c r="F398" t="s">
        <v>1074</v>
      </c>
      <c r="G398">
        <v>7032.4163000000008</v>
      </c>
      <c r="H398">
        <v>703241.63000000012</v>
      </c>
      <c r="I398">
        <v>7727.93</v>
      </c>
      <c r="J398">
        <v>772793</v>
      </c>
      <c r="K398">
        <v>8363.9599999999991</v>
      </c>
      <c r="L398">
        <v>836395.99999999988</v>
      </c>
      <c r="M398">
        <v>45616</v>
      </c>
      <c r="O398" t="s">
        <v>326</v>
      </c>
      <c r="P398" t="s">
        <v>127</v>
      </c>
      <c r="Q398" t="s">
        <v>140</v>
      </c>
      <c r="R398" t="s">
        <v>2446</v>
      </c>
      <c r="S398" t="s">
        <v>2444</v>
      </c>
      <c r="T398" t="s">
        <v>2445</v>
      </c>
      <c r="U398">
        <v>100</v>
      </c>
      <c r="V398" t="s">
        <v>1023</v>
      </c>
      <c r="W398" t="s">
        <v>141</v>
      </c>
      <c r="X398" t="s">
        <v>142</v>
      </c>
      <c r="Y398">
        <v>11611</v>
      </c>
      <c r="Z398">
        <v>11612</v>
      </c>
      <c r="AA398" t="s">
        <v>1025</v>
      </c>
      <c r="AB398">
        <v>1</v>
      </c>
    </row>
    <row r="399" spans="1:28">
      <c r="A399">
        <v>1</v>
      </c>
      <c r="B399" t="s">
        <v>980</v>
      </c>
      <c r="C399" t="s">
        <v>2158</v>
      </c>
      <c r="D399" t="s">
        <v>2159</v>
      </c>
      <c r="E399" t="s">
        <v>1043</v>
      </c>
      <c r="F399" t="s">
        <v>1044</v>
      </c>
      <c r="G399">
        <v>39023.4208</v>
      </c>
      <c r="H399">
        <v>1404843.1488000001</v>
      </c>
      <c r="I399">
        <v>42882.879999999997</v>
      </c>
      <c r="J399">
        <v>1543783.68</v>
      </c>
      <c r="K399">
        <v>47297.3</v>
      </c>
      <c r="L399">
        <v>1702702.8</v>
      </c>
      <c r="M399">
        <v>45616</v>
      </c>
      <c r="O399" t="s">
        <v>326</v>
      </c>
      <c r="P399" t="s">
        <v>127</v>
      </c>
      <c r="Q399" t="s">
        <v>140</v>
      </c>
      <c r="R399" t="s">
        <v>2446</v>
      </c>
      <c r="S399" t="s">
        <v>2444</v>
      </c>
      <c r="T399" t="s">
        <v>2445</v>
      </c>
      <c r="U399">
        <v>36</v>
      </c>
      <c r="V399" t="s">
        <v>357</v>
      </c>
      <c r="W399" t="s">
        <v>141</v>
      </c>
      <c r="X399" t="s">
        <v>142</v>
      </c>
      <c r="Y399">
        <v>11611</v>
      </c>
      <c r="Z399">
        <v>11612</v>
      </c>
      <c r="AA399" t="s">
        <v>1025</v>
      </c>
      <c r="AB399">
        <v>1</v>
      </c>
    </row>
    <row r="400" spans="1:28">
      <c r="A400">
        <v>1</v>
      </c>
      <c r="B400" t="s">
        <v>981</v>
      </c>
      <c r="C400" t="s">
        <v>2158</v>
      </c>
      <c r="D400" t="s">
        <v>2159</v>
      </c>
      <c r="E400" t="s">
        <v>1045</v>
      </c>
      <c r="F400" t="s">
        <v>1046</v>
      </c>
      <c r="G400">
        <v>21716.1126</v>
      </c>
      <c r="H400">
        <v>781780.05359999998</v>
      </c>
      <c r="I400">
        <v>23863.86</v>
      </c>
      <c r="J400">
        <v>859098.96</v>
      </c>
      <c r="K400">
        <v>26539.040000000001</v>
      </c>
      <c r="L400">
        <v>955405.44000000006</v>
      </c>
      <c r="M400">
        <v>45616</v>
      </c>
      <c r="O400" t="s">
        <v>326</v>
      </c>
      <c r="P400" t="s">
        <v>127</v>
      </c>
      <c r="Q400" t="s">
        <v>140</v>
      </c>
      <c r="R400" t="s">
        <v>2446</v>
      </c>
      <c r="S400" t="s">
        <v>2444</v>
      </c>
      <c r="T400" t="s">
        <v>2445</v>
      </c>
      <c r="U400">
        <v>36</v>
      </c>
      <c r="V400" t="s">
        <v>357</v>
      </c>
      <c r="W400" t="s">
        <v>141</v>
      </c>
      <c r="X400" t="s">
        <v>142</v>
      </c>
      <c r="Y400">
        <v>11611</v>
      </c>
      <c r="Z400">
        <v>11612</v>
      </c>
      <c r="AA400" t="s">
        <v>1025</v>
      </c>
      <c r="AB400">
        <v>1</v>
      </c>
    </row>
    <row r="401" spans="1:28">
      <c r="A401">
        <v>1</v>
      </c>
      <c r="B401" t="s">
        <v>982</v>
      </c>
      <c r="C401" t="s">
        <v>2158</v>
      </c>
      <c r="D401" t="s">
        <v>2159</v>
      </c>
      <c r="E401" t="s">
        <v>1047</v>
      </c>
      <c r="F401" t="s">
        <v>1048</v>
      </c>
      <c r="G401">
        <v>39089.4686</v>
      </c>
      <c r="H401">
        <v>1407220.8696000001</v>
      </c>
      <c r="I401">
        <v>42955.46</v>
      </c>
      <c r="J401">
        <v>1546396.56</v>
      </c>
      <c r="K401">
        <v>48300.800000000003</v>
      </c>
      <c r="L401">
        <v>1738828.8</v>
      </c>
      <c r="M401">
        <v>45616</v>
      </c>
      <c r="O401" t="s">
        <v>326</v>
      </c>
      <c r="P401" t="s">
        <v>127</v>
      </c>
      <c r="Q401" t="s">
        <v>140</v>
      </c>
      <c r="R401" t="s">
        <v>2446</v>
      </c>
      <c r="S401" t="s">
        <v>2444</v>
      </c>
      <c r="T401" t="s">
        <v>2445</v>
      </c>
      <c r="U401">
        <v>36</v>
      </c>
      <c r="V401" t="s">
        <v>357</v>
      </c>
      <c r="W401" t="s">
        <v>141</v>
      </c>
      <c r="X401" t="s">
        <v>142</v>
      </c>
      <c r="Y401">
        <v>11611</v>
      </c>
      <c r="Z401">
        <v>11612</v>
      </c>
      <c r="AA401" t="s">
        <v>1025</v>
      </c>
      <c r="AB401">
        <v>1</v>
      </c>
    </row>
    <row r="402" spans="1:28">
      <c r="A402">
        <v>1</v>
      </c>
      <c r="B402" t="s">
        <v>983</v>
      </c>
      <c r="C402" t="s">
        <v>2158</v>
      </c>
      <c r="D402" t="s">
        <v>2159</v>
      </c>
      <c r="E402" t="s">
        <v>1049</v>
      </c>
      <c r="F402" t="s">
        <v>1050</v>
      </c>
      <c r="G402">
        <v>19511.7104</v>
      </c>
      <c r="H402">
        <v>702421.57440000004</v>
      </c>
      <c r="I402">
        <v>21441.439999999999</v>
      </c>
      <c r="J402">
        <v>771891.84</v>
      </c>
      <c r="K402">
        <v>23603.599999999999</v>
      </c>
      <c r="L402">
        <v>849729.6</v>
      </c>
      <c r="M402">
        <v>45616</v>
      </c>
      <c r="O402" t="s">
        <v>326</v>
      </c>
      <c r="P402" t="s">
        <v>127</v>
      </c>
      <c r="Q402" t="s">
        <v>140</v>
      </c>
      <c r="R402" t="s">
        <v>2446</v>
      </c>
      <c r="S402" t="s">
        <v>2444</v>
      </c>
      <c r="T402" t="s">
        <v>2445</v>
      </c>
      <c r="U402">
        <v>36</v>
      </c>
      <c r="V402" t="s">
        <v>357</v>
      </c>
      <c r="W402" t="s">
        <v>141</v>
      </c>
      <c r="X402" t="s">
        <v>142</v>
      </c>
      <c r="Y402">
        <v>11611</v>
      </c>
      <c r="Z402">
        <v>11612</v>
      </c>
      <c r="AA402" t="s">
        <v>1025</v>
      </c>
      <c r="AB402">
        <v>1</v>
      </c>
    </row>
    <row r="403" spans="1:28">
      <c r="A403">
        <v>1</v>
      </c>
      <c r="B403" t="s">
        <v>984</v>
      </c>
      <c r="C403" t="s">
        <v>2158</v>
      </c>
      <c r="D403" t="s">
        <v>2159</v>
      </c>
      <c r="E403" t="s">
        <v>1051</v>
      </c>
      <c r="F403" t="s">
        <v>1052</v>
      </c>
      <c r="G403">
        <v>39023.4208</v>
      </c>
      <c r="H403">
        <v>1404843.1488000001</v>
      </c>
      <c r="I403">
        <v>42882.879999999997</v>
      </c>
      <c r="J403">
        <v>1543783.68</v>
      </c>
      <c r="K403">
        <v>47297.3</v>
      </c>
      <c r="L403">
        <v>1702702.8</v>
      </c>
      <c r="M403">
        <v>45616</v>
      </c>
      <c r="O403" t="s">
        <v>326</v>
      </c>
      <c r="P403" t="s">
        <v>127</v>
      </c>
      <c r="Q403" t="s">
        <v>140</v>
      </c>
      <c r="R403" t="s">
        <v>2446</v>
      </c>
      <c r="S403" t="s">
        <v>2444</v>
      </c>
      <c r="T403" t="s">
        <v>2445</v>
      </c>
      <c r="U403">
        <v>36</v>
      </c>
      <c r="V403" t="s">
        <v>357</v>
      </c>
      <c r="W403" t="s">
        <v>141</v>
      </c>
      <c r="X403" t="s">
        <v>142</v>
      </c>
      <c r="Y403">
        <v>11611</v>
      </c>
      <c r="Z403">
        <v>11612</v>
      </c>
      <c r="AA403" t="s">
        <v>1025</v>
      </c>
      <c r="AB403">
        <v>1</v>
      </c>
    </row>
    <row r="404" spans="1:28">
      <c r="A404">
        <v>1</v>
      </c>
      <c r="B404" t="s">
        <v>985</v>
      </c>
      <c r="C404" t="s">
        <v>2301</v>
      </c>
      <c r="D404" t="s">
        <v>2302</v>
      </c>
      <c r="E404" t="s">
        <v>1053</v>
      </c>
      <c r="F404" t="s">
        <v>1054</v>
      </c>
      <c r="G404">
        <v>19110.91</v>
      </c>
      <c r="H404">
        <v>687992.76</v>
      </c>
      <c r="I404">
        <v>21001</v>
      </c>
      <c r="J404">
        <v>756036</v>
      </c>
      <c r="K404">
        <v>23388.39</v>
      </c>
      <c r="L404">
        <v>841982.04</v>
      </c>
      <c r="M404">
        <v>45616</v>
      </c>
      <c r="O404" t="s">
        <v>326</v>
      </c>
      <c r="P404" t="s">
        <v>127</v>
      </c>
      <c r="Q404" t="s">
        <v>140</v>
      </c>
      <c r="R404" t="s">
        <v>2446</v>
      </c>
      <c r="S404" t="s">
        <v>2444</v>
      </c>
      <c r="T404" t="s">
        <v>2445</v>
      </c>
      <c r="U404">
        <v>36</v>
      </c>
      <c r="V404" t="s">
        <v>357</v>
      </c>
      <c r="W404" t="s">
        <v>141</v>
      </c>
      <c r="X404" t="s">
        <v>142</v>
      </c>
      <c r="Y404">
        <v>11611</v>
      </c>
      <c r="Z404">
        <v>11612</v>
      </c>
      <c r="AA404" t="s">
        <v>1025</v>
      </c>
      <c r="AB404">
        <v>1</v>
      </c>
    </row>
    <row r="405" spans="1:28">
      <c r="A405">
        <v>1</v>
      </c>
      <c r="B405" t="s">
        <v>986</v>
      </c>
      <c r="C405" t="s">
        <v>2301</v>
      </c>
      <c r="D405" t="s">
        <v>2302</v>
      </c>
      <c r="E405" t="s">
        <v>1055</v>
      </c>
      <c r="F405" t="s">
        <v>1056</v>
      </c>
      <c r="G405">
        <v>37351.905500000001</v>
      </c>
      <c r="H405">
        <v>1344668.598</v>
      </c>
      <c r="I405">
        <v>41046.050000000003</v>
      </c>
      <c r="J405">
        <v>1477657.8</v>
      </c>
      <c r="K405">
        <v>45818.32</v>
      </c>
      <c r="L405">
        <v>1649459.52</v>
      </c>
      <c r="M405">
        <v>45616</v>
      </c>
      <c r="O405" t="s">
        <v>326</v>
      </c>
      <c r="P405" t="s">
        <v>127</v>
      </c>
      <c r="Q405" t="s">
        <v>140</v>
      </c>
      <c r="R405" t="s">
        <v>2446</v>
      </c>
      <c r="S405" t="s">
        <v>2444</v>
      </c>
      <c r="T405" t="s">
        <v>2445</v>
      </c>
      <c r="U405">
        <v>36</v>
      </c>
      <c r="V405" t="s">
        <v>357</v>
      </c>
      <c r="W405" t="s">
        <v>141</v>
      </c>
      <c r="X405" t="s">
        <v>142</v>
      </c>
      <c r="Y405">
        <v>11611</v>
      </c>
      <c r="Z405">
        <v>11612</v>
      </c>
      <c r="AA405" t="s">
        <v>1025</v>
      </c>
      <c r="AB405">
        <v>1</v>
      </c>
    </row>
    <row r="406" spans="1:28">
      <c r="A406">
        <v>1</v>
      </c>
      <c r="B406" t="s">
        <v>987</v>
      </c>
      <c r="C406" t="s">
        <v>2301</v>
      </c>
      <c r="D406" t="s">
        <v>2302</v>
      </c>
      <c r="E406" t="s">
        <v>1057</v>
      </c>
      <c r="F406" t="s">
        <v>1058</v>
      </c>
      <c r="G406">
        <v>19110.91</v>
      </c>
      <c r="H406">
        <v>687992.76</v>
      </c>
      <c r="I406">
        <v>21001</v>
      </c>
      <c r="J406">
        <v>756036</v>
      </c>
      <c r="K406">
        <v>23388.39</v>
      </c>
      <c r="L406">
        <v>841982.04</v>
      </c>
      <c r="M406">
        <v>45616</v>
      </c>
      <c r="O406" t="s">
        <v>326</v>
      </c>
      <c r="P406" t="s">
        <v>127</v>
      </c>
      <c r="Q406" t="s">
        <v>140</v>
      </c>
      <c r="R406" t="s">
        <v>2446</v>
      </c>
      <c r="S406" t="s">
        <v>2444</v>
      </c>
      <c r="T406" t="s">
        <v>2445</v>
      </c>
      <c r="U406">
        <v>36</v>
      </c>
      <c r="V406" t="s">
        <v>357</v>
      </c>
      <c r="W406" t="s">
        <v>141</v>
      </c>
      <c r="X406" t="s">
        <v>142</v>
      </c>
      <c r="Y406">
        <v>11611</v>
      </c>
      <c r="Z406">
        <v>11612</v>
      </c>
      <c r="AA406" t="s">
        <v>1025</v>
      </c>
      <c r="AB406">
        <v>1</v>
      </c>
    </row>
    <row r="407" spans="1:28">
      <c r="A407">
        <v>1</v>
      </c>
      <c r="B407" t="s">
        <v>988</v>
      </c>
      <c r="C407" t="s">
        <v>2301</v>
      </c>
      <c r="D407" t="s">
        <v>2302</v>
      </c>
      <c r="E407" t="s">
        <v>1059</v>
      </c>
      <c r="F407" t="s">
        <v>1060</v>
      </c>
      <c r="G407">
        <v>37351.905500000001</v>
      </c>
      <c r="H407">
        <v>1344668.598</v>
      </c>
      <c r="I407">
        <v>41046.050000000003</v>
      </c>
      <c r="J407">
        <v>1477657.8</v>
      </c>
      <c r="K407">
        <v>45818.32</v>
      </c>
      <c r="L407">
        <v>1649459.52</v>
      </c>
      <c r="M407">
        <v>45616</v>
      </c>
      <c r="O407" t="s">
        <v>326</v>
      </c>
      <c r="P407" t="s">
        <v>127</v>
      </c>
      <c r="Q407" t="s">
        <v>140</v>
      </c>
      <c r="R407" t="s">
        <v>2446</v>
      </c>
      <c r="S407" t="s">
        <v>2444</v>
      </c>
      <c r="T407" t="s">
        <v>2445</v>
      </c>
      <c r="U407">
        <v>36</v>
      </c>
      <c r="V407" t="s">
        <v>357</v>
      </c>
      <c r="W407" t="s">
        <v>141</v>
      </c>
      <c r="X407" t="s">
        <v>142</v>
      </c>
      <c r="Y407">
        <v>11611</v>
      </c>
      <c r="Z407">
        <v>11612</v>
      </c>
      <c r="AA407" t="s">
        <v>1025</v>
      </c>
      <c r="AB407">
        <v>1</v>
      </c>
    </row>
    <row r="408" spans="1:28">
      <c r="A408">
        <v>1</v>
      </c>
      <c r="B408" t="s">
        <v>989</v>
      </c>
      <c r="C408" t="s">
        <v>2303</v>
      </c>
      <c r="D408" t="s">
        <v>2304</v>
      </c>
      <c r="E408" t="s">
        <v>1061</v>
      </c>
      <c r="F408" t="s">
        <v>1062</v>
      </c>
      <c r="G408">
        <v>39089.4686</v>
      </c>
      <c r="H408">
        <v>1407220.8696000001</v>
      </c>
      <c r="I408">
        <v>42955.46</v>
      </c>
      <c r="J408">
        <v>1546396.56</v>
      </c>
      <c r="K408">
        <v>47920.42</v>
      </c>
      <c r="L408">
        <v>1725135.1199999999</v>
      </c>
      <c r="M408">
        <v>45616</v>
      </c>
      <c r="O408" t="s">
        <v>326</v>
      </c>
      <c r="P408" t="s">
        <v>127</v>
      </c>
      <c r="Q408" t="s">
        <v>140</v>
      </c>
      <c r="R408" t="s">
        <v>2446</v>
      </c>
      <c r="S408" t="s">
        <v>2444</v>
      </c>
      <c r="T408" t="s">
        <v>2445</v>
      </c>
      <c r="U408">
        <v>36</v>
      </c>
      <c r="V408" t="s">
        <v>357</v>
      </c>
      <c r="W408" t="s">
        <v>141</v>
      </c>
      <c r="X408" t="s">
        <v>142</v>
      </c>
      <c r="Y408">
        <v>11611</v>
      </c>
      <c r="Z408">
        <v>11612</v>
      </c>
      <c r="AA408" t="s">
        <v>1025</v>
      </c>
      <c r="AB408">
        <v>1</v>
      </c>
    </row>
    <row r="409" spans="1:28">
      <c r="A409">
        <v>1</v>
      </c>
      <c r="B409" t="s">
        <v>990</v>
      </c>
      <c r="C409" t="s">
        <v>2303</v>
      </c>
      <c r="D409" t="s">
        <v>2304</v>
      </c>
      <c r="E409" t="s">
        <v>1063</v>
      </c>
      <c r="F409" t="s">
        <v>1064</v>
      </c>
      <c r="G409">
        <v>39089.4686</v>
      </c>
      <c r="H409">
        <v>1407220.8696000001</v>
      </c>
      <c r="I409">
        <v>42955.46</v>
      </c>
      <c r="J409">
        <v>1546396.56</v>
      </c>
      <c r="K409">
        <v>47920.42</v>
      </c>
      <c r="L409">
        <v>1725135.1199999999</v>
      </c>
      <c r="M409">
        <v>45616</v>
      </c>
      <c r="O409" t="s">
        <v>326</v>
      </c>
      <c r="P409" t="s">
        <v>127</v>
      </c>
      <c r="Q409" t="s">
        <v>140</v>
      </c>
      <c r="R409" t="s">
        <v>2446</v>
      </c>
      <c r="S409" t="s">
        <v>2444</v>
      </c>
      <c r="T409" t="s">
        <v>2445</v>
      </c>
      <c r="U409">
        <v>36</v>
      </c>
      <c r="V409" t="s">
        <v>357</v>
      </c>
      <c r="W409" t="s">
        <v>141</v>
      </c>
      <c r="X409" t="s">
        <v>142</v>
      </c>
      <c r="Y409">
        <v>11611</v>
      </c>
      <c r="Z409">
        <v>11612</v>
      </c>
      <c r="AA409" t="s">
        <v>1025</v>
      </c>
      <c r="AB409">
        <v>1</v>
      </c>
    </row>
    <row r="410" spans="1:28">
      <c r="A410">
        <v>1</v>
      </c>
      <c r="B410" t="s">
        <v>519</v>
      </c>
      <c r="C410" t="s">
        <v>2299</v>
      </c>
      <c r="D410" t="s">
        <v>2300</v>
      </c>
      <c r="E410" t="s">
        <v>1065</v>
      </c>
      <c r="F410" t="s">
        <v>1066</v>
      </c>
      <c r="G410">
        <v>7032.4163000000008</v>
      </c>
      <c r="H410">
        <v>703241.63000000012</v>
      </c>
      <c r="I410">
        <v>7727.93</v>
      </c>
      <c r="J410">
        <v>772793</v>
      </c>
      <c r="K410">
        <v>8363.9599999999991</v>
      </c>
      <c r="L410">
        <v>836395.99999999988</v>
      </c>
      <c r="M410">
        <v>45616</v>
      </c>
      <c r="O410" t="s">
        <v>326</v>
      </c>
      <c r="P410" t="s">
        <v>127</v>
      </c>
      <c r="Q410" t="s">
        <v>140</v>
      </c>
      <c r="R410" t="s">
        <v>2446</v>
      </c>
      <c r="S410" t="s">
        <v>2444</v>
      </c>
      <c r="T410" t="s">
        <v>2445</v>
      </c>
      <c r="U410">
        <v>100</v>
      </c>
      <c r="V410" t="s">
        <v>1023</v>
      </c>
      <c r="W410" t="s">
        <v>141</v>
      </c>
      <c r="X410" t="s">
        <v>142</v>
      </c>
      <c r="Y410">
        <v>11611</v>
      </c>
      <c r="Z410">
        <v>11612</v>
      </c>
      <c r="AA410" t="s">
        <v>1025</v>
      </c>
      <c r="AB410">
        <v>1</v>
      </c>
    </row>
    <row r="411" spans="1:28">
      <c r="A411">
        <v>1</v>
      </c>
      <c r="B411" t="s">
        <v>520</v>
      </c>
      <c r="C411" t="s">
        <v>2299</v>
      </c>
      <c r="D411" t="s">
        <v>2300</v>
      </c>
      <c r="E411" t="s">
        <v>1067</v>
      </c>
      <c r="F411" t="s">
        <v>1068</v>
      </c>
      <c r="G411">
        <v>7032.4163000000008</v>
      </c>
      <c r="H411">
        <v>703241.63000000012</v>
      </c>
      <c r="I411">
        <v>7727.93</v>
      </c>
      <c r="J411">
        <v>772793</v>
      </c>
      <c r="K411">
        <v>8363.9599999999991</v>
      </c>
      <c r="L411">
        <v>836395.99999999988</v>
      </c>
      <c r="M411">
        <v>45616</v>
      </c>
      <c r="O411" t="s">
        <v>326</v>
      </c>
      <c r="P411" t="s">
        <v>127</v>
      </c>
      <c r="Q411" t="s">
        <v>140</v>
      </c>
      <c r="R411" t="s">
        <v>2446</v>
      </c>
      <c r="S411" t="s">
        <v>2444</v>
      </c>
      <c r="T411" t="s">
        <v>2445</v>
      </c>
      <c r="U411">
        <v>100</v>
      </c>
      <c r="V411" t="s">
        <v>1023</v>
      </c>
      <c r="W411" t="s">
        <v>141</v>
      </c>
      <c r="X411" t="s">
        <v>142</v>
      </c>
      <c r="Y411">
        <v>11611</v>
      </c>
      <c r="Z411">
        <v>11612</v>
      </c>
      <c r="AA411" t="s">
        <v>1025</v>
      </c>
      <c r="AB411">
        <v>1</v>
      </c>
    </row>
    <row r="412" spans="1:28">
      <c r="A412">
        <v>1</v>
      </c>
      <c r="B412" t="s">
        <v>521</v>
      </c>
      <c r="C412" t="s">
        <v>2299</v>
      </c>
      <c r="D412" t="s">
        <v>2300</v>
      </c>
      <c r="E412" t="s">
        <v>1069</v>
      </c>
      <c r="F412" t="s">
        <v>1070</v>
      </c>
      <c r="G412">
        <v>7032.4163000000008</v>
      </c>
      <c r="H412">
        <v>703241.63000000012</v>
      </c>
      <c r="I412">
        <v>7727.93</v>
      </c>
      <c r="J412">
        <v>772793</v>
      </c>
      <c r="K412">
        <v>8363.9599999999991</v>
      </c>
      <c r="L412">
        <v>836395.99999999988</v>
      </c>
      <c r="M412">
        <v>45616</v>
      </c>
      <c r="O412" t="s">
        <v>326</v>
      </c>
      <c r="P412" t="s">
        <v>127</v>
      </c>
      <c r="Q412" t="s">
        <v>140</v>
      </c>
      <c r="R412" t="s">
        <v>2446</v>
      </c>
      <c r="S412" t="s">
        <v>2444</v>
      </c>
      <c r="T412" t="s">
        <v>2445</v>
      </c>
      <c r="U412">
        <v>100</v>
      </c>
      <c r="V412" t="s">
        <v>1023</v>
      </c>
      <c r="W412" t="s">
        <v>141</v>
      </c>
      <c r="X412" t="s">
        <v>142</v>
      </c>
      <c r="Y412">
        <v>11611</v>
      </c>
      <c r="Z412">
        <v>11612</v>
      </c>
      <c r="AA412" t="s">
        <v>1025</v>
      </c>
      <c r="AB412">
        <v>1</v>
      </c>
    </row>
    <row r="413" spans="1:28">
      <c r="A413">
        <v>1</v>
      </c>
      <c r="B413" t="s">
        <v>522</v>
      </c>
      <c r="C413" t="s">
        <v>2299</v>
      </c>
      <c r="D413" t="s">
        <v>2300</v>
      </c>
      <c r="E413" t="s">
        <v>1071</v>
      </c>
      <c r="F413" t="s">
        <v>1072</v>
      </c>
      <c r="G413">
        <v>7032.4163000000008</v>
      </c>
      <c r="H413">
        <v>703241.63000000012</v>
      </c>
      <c r="I413">
        <v>7727.93</v>
      </c>
      <c r="J413">
        <v>772793</v>
      </c>
      <c r="K413">
        <v>8363.9599999999991</v>
      </c>
      <c r="L413">
        <v>836395.99999999988</v>
      </c>
      <c r="M413">
        <v>45616</v>
      </c>
      <c r="O413" t="s">
        <v>326</v>
      </c>
      <c r="P413" t="s">
        <v>127</v>
      </c>
      <c r="Q413" t="s">
        <v>140</v>
      </c>
      <c r="R413" t="s">
        <v>2446</v>
      </c>
      <c r="S413" t="s">
        <v>2444</v>
      </c>
      <c r="T413" t="s">
        <v>2445</v>
      </c>
      <c r="U413">
        <v>100</v>
      </c>
      <c r="V413" t="s">
        <v>1023</v>
      </c>
      <c r="W413" t="s">
        <v>141</v>
      </c>
      <c r="X413" t="s">
        <v>142</v>
      </c>
      <c r="Y413">
        <v>11611</v>
      </c>
      <c r="Z413">
        <v>11612</v>
      </c>
      <c r="AA413" t="s">
        <v>1025</v>
      </c>
      <c r="AB413">
        <v>1</v>
      </c>
    </row>
    <row r="414" spans="1:28">
      <c r="A414">
        <v>1</v>
      </c>
      <c r="B414" t="s">
        <v>524</v>
      </c>
      <c r="C414" t="s">
        <v>2299</v>
      </c>
      <c r="D414" t="s">
        <v>2300</v>
      </c>
      <c r="E414" t="s">
        <v>1075</v>
      </c>
      <c r="F414" t="s">
        <v>1076</v>
      </c>
      <c r="G414">
        <v>7032.4163000000008</v>
      </c>
      <c r="H414">
        <v>703241.63000000012</v>
      </c>
      <c r="I414">
        <v>7727.93</v>
      </c>
      <c r="J414">
        <v>772793</v>
      </c>
      <c r="K414">
        <v>8363.9599999999991</v>
      </c>
      <c r="L414">
        <v>836395.99999999988</v>
      </c>
      <c r="M414">
        <v>45616</v>
      </c>
      <c r="O414" t="s">
        <v>326</v>
      </c>
      <c r="P414" t="s">
        <v>127</v>
      </c>
      <c r="Q414" t="s">
        <v>140</v>
      </c>
      <c r="R414" t="s">
        <v>2446</v>
      </c>
      <c r="S414" t="s">
        <v>2444</v>
      </c>
      <c r="T414" t="s">
        <v>2445</v>
      </c>
      <c r="U414">
        <v>100</v>
      </c>
      <c r="V414" t="s">
        <v>1023</v>
      </c>
      <c r="W414" t="s">
        <v>141</v>
      </c>
      <c r="X414" t="s">
        <v>142</v>
      </c>
      <c r="Y414">
        <v>11611</v>
      </c>
      <c r="Z414">
        <v>11612</v>
      </c>
      <c r="AA414" t="s">
        <v>1025</v>
      </c>
      <c r="AB414">
        <v>1</v>
      </c>
    </row>
    <row r="415" spans="1:28">
      <c r="A415">
        <v>1</v>
      </c>
      <c r="B415" t="s">
        <v>928</v>
      </c>
      <c r="C415" t="s">
        <v>2293</v>
      </c>
      <c r="D415" t="s">
        <v>2294</v>
      </c>
      <c r="E415" t="s">
        <v>1308</v>
      </c>
      <c r="F415" t="s">
        <v>1309</v>
      </c>
      <c r="G415">
        <v>6579.0542999999998</v>
      </c>
      <c r="H415">
        <v>236845.95480000001</v>
      </c>
      <c r="I415">
        <v>7229.73</v>
      </c>
      <c r="J415">
        <v>260270.27999999997</v>
      </c>
      <c r="K415">
        <v>7790.29</v>
      </c>
      <c r="L415">
        <v>280450.44</v>
      </c>
      <c r="M415">
        <v>45616</v>
      </c>
      <c r="O415" t="s">
        <v>326</v>
      </c>
      <c r="P415" t="s">
        <v>127</v>
      </c>
      <c r="Q415" t="s">
        <v>140</v>
      </c>
      <c r="R415" t="s">
        <v>2446</v>
      </c>
      <c r="S415" t="s">
        <v>2444</v>
      </c>
      <c r="T415" t="s">
        <v>2445</v>
      </c>
      <c r="U415">
        <v>36</v>
      </c>
      <c r="V415" t="s">
        <v>357</v>
      </c>
      <c r="W415" t="s">
        <v>141</v>
      </c>
      <c r="X415" t="s">
        <v>142</v>
      </c>
      <c r="Y415">
        <v>11611</v>
      </c>
      <c r="Z415">
        <v>11612</v>
      </c>
      <c r="AA415" t="s">
        <v>1025</v>
      </c>
      <c r="AB415">
        <v>1</v>
      </c>
    </row>
    <row r="416" spans="1:28">
      <c r="A416">
        <v>1</v>
      </c>
      <c r="B416" t="s">
        <v>832</v>
      </c>
      <c r="C416" t="s">
        <v>2305</v>
      </c>
      <c r="D416" t="s">
        <v>2306</v>
      </c>
      <c r="E416" t="s">
        <v>1113</v>
      </c>
      <c r="F416" t="s">
        <v>1114</v>
      </c>
      <c r="G416">
        <v>17216.217199999999</v>
      </c>
      <c r="H416">
        <v>413189.21279999998</v>
      </c>
      <c r="I416">
        <v>18918.919999999998</v>
      </c>
      <c r="J416">
        <v>454054.07999999996</v>
      </c>
      <c r="K416">
        <v>20450.45</v>
      </c>
      <c r="L416">
        <v>490810.80000000005</v>
      </c>
      <c r="M416">
        <v>45616</v>
      </c>
      <c r="O416" t="s">
        <v>326</v>
      </c>
      <c r="P416" t="s">
        <v>127</v>
      </c>
      <c r="Q416" t="s">
        <v>140</v>
      </c>
      <c r="R416" t="s">
        <v>2446</v>
      </c>
      <c r="S416" t="s">
        <v>2444</v>
      </c>
      <c r="T416" t="s">
        <v>2445</v>
      </c>
      <c r="U416">
        <v>24</v>
      </c>
      <c r="V416" t="s">
        <v>357</v>
      </c>
      <c r="W416" t="s">
        <v>141</v>
      </c>
      <c r="X416" t="s">
        <v>142</v>
      </c>
      <c r="Y416">
        <v>11611</v>
      </c>
      <c r="Z416">
        <v>11612</v>
      </c>
      <c r="AA416" t="s">
        <v>1025</v>
      </c>
      <c r="AB416">
        <v>1</v>
      </c>
    </row>
    <row r="417" spans="1:28">
      <c r="A417">
        <v>1</v>
      </c>
      <c r="B417" t="s">
        <v>834</v>
      </c>
      <c r="C417" t="s">
        <v>2305</v>
      </c>
      <c r="D417" t="s">
        <v>2306</v>
      </c>
      <c r="E417" t="s">
        <v>1116</v>
      </c>
      <c r="F417" t="s">
        <v>1117</v>
      </c>
      <c r="G417">
        <v>17216.217199999999</v>
      </c>
      <c r="H417">
        <v>413189.21279999998</v>
      </c>
      <c r="I417">
        <v>18918.919999999998</v>
      </c>
      <c r="J417">
        <v>454054.07999999996</v>
      </c>
      <c r="K417">
        <v>20450.45</v>
      </c>
      <c r="L417">
        <v>490810.80000000005</v>
      </c>
      <c r="M417">
        <v>45616</v>
      </c>
      <c r="O417" t="s">
        <v>326</v>
      </c>
      <c r="P417" t="s">
        <v>127</v>
      </c>
      <c r="Q417" t="s">
        <v>140</v>
      </c>
      <c r="R417" t="s">
        <v>2446</v>
      </c>
      <c r="S417" t="s">
        <v>2444</v>
      </c>
      <c r="T417" t="s">
        <v>2445</v>
      </c>
      <c r="U417">
        <v>24</v>
      </c>
      <c r="V417" t="s">
        <v>357</v>
      </c>
      <c r="W417" t="s">
        <v>141</v>
      </c>
      <c r="X417" t="s">
        <v>142</v>
      </c>
      <c r="Y417">
        <v>11611</v>
      </c>
      <c r="Z417">
        <v>11612</v>
      </c>
      <c r="AA417" t="s">
        <v>1025</v>
      </c>
      <c r="AB417">
        <v>1</v>
      </c>
    </row>
    <row r="418" spans="1:28">
      <c r="A418">
        <v>1</v>
      </c>
      <c r="B418" t="s">
        <v>820</v>
      </c>
      <c r="C418" t="s">
        <v>2307</v>
      </c>
      <c r="D418" t="s">
        <v>2308</v>
      </c>
      <c r="E418" t="s">
        <v>1148</v>
      </c>
      <c r="F418" t="s">
        <v>2416</v>
      </c>
      <c r="G418">
        <v>327.92759999999998</v>
      </c>
      <c r="H418">
        <v>7870.2623999999996</v>
      </c>
      <c r="I418">
        <v>360.36</v>
      </c>
      <c r="J418">
        <v>8648.64</v>
      </c>
      <c r="K418">
        <v>777.78</v>
      </c>
      <c r="L418">
        <v>18666.72</v>
      </c>
      <c r="M418">
        <v>45616</v>
      </c>
      <c r="O418" t="s">
        <v>326</v>
      </c>
      <c r="P418" t="s">
        <v>127</v>
      </c>
      <c r="Q418" t="s">
        <v>140</v>
      </c>
      <c r="R418" t="s">
        <v>2446</v>
      </c>
      <c r="S418" t="s">
        <v>2444</v>
      </c>
      <c r="T418" t="s">
        <v>2445</v>
      </c>
      <c r="U418">
        <v>24</v>
      </c>
      <c r="V418" t="s">
        <v>1027</v>
      </c>
      <c r="W418" t="s">
        <v>141</v>
      </c>
      <c r="X418" t="s">
        <v>142</v>
      </c>
      <c r="Y418">
        <v>11611</v>
      </c>
      <c r="Z418">
        <v>11612</v>
      </c>
      <c r="AA418" t="s">
        <v>1025</v>
      </c>
      <c r="AB418">
        <v>1</v>
      </c>
    </row>
    <row r="419" spans="1:28">
      <c r="A419">
        <v>1</v>
      </c>
      <c r="B419" t="s">
        <v>822</v>
      </c>
      <c r="C419" t="s">
        <v>2307</v>
      </c>
      <c r="D419" t="s">
        <v>2308</v>
      </c>
      <c r="E419" t="s">
        <v>1149</v>
      </c>
      <c r="F419" t="s">
        <v>2417</v>
      </c>
      <c r="G419">
        <v>327.92759999999998</v>
      </c>
      <c r="H419">
        <v>7870.2623999999996</v>
      </c>
      <c r="I419">
        <v>360.36</v>
      </c>
      <c r="J419">
        <v>8648.64</v>
      </c>
      <c r="K419">
        <v>777.78</v>
      </c>
      <c r="L419">
        <v>18666.72</v>
      </c>
      <c r="M419">
        <v>45616</v>
      </c>
      <c r="O419" t="s">
        <v>326</v>
      </c>
      <c r="P419" t="s">
        <v>127</v>
      </c>
      <c r="Q419" t="s">
        <v>140</v>
      </c>
      <c r="R419" t="s">
        <v>2446</v>
      </c>
      <c r="S419" t="s">
        <v>2444</v>
      </c>
      <c r="T419" t="s">
        <v>2445</v>
      </c>
      <c r="U419">
        <v>24</v>
      </c>
      <c r="V419" t="s">
        <v>1027</v>
      </c>
      <c r="W419" t="s">
        <v>141</v>
      </c>
      <c r="X419" t="s">
        <v>142</v>
      </c>
      <c r="Y419">
        <v>11611</v>
      </c>
      <c r="Z419">
        <v>11612</v>
      </c>
      <c r="AA419" t="s">
        <v>1025</v>
      </c>
      <c r="AB419">
        <v>1</v>
      </c>
    </row>
    <row r="420" spans="1:28">
      <c r="A420">
        <v>1</v>
      </c>
      <c r="B420" t="s">
        <v>824</v>
      </c>
      <c r="C420" t="s">
        <v>2307</v>
      </c>
      <c r="D420" t="s">
        <v>2308</v>
      </c>
      <c r="E420" t="s">
        <v>1150</v>
      </c>
      <c r="F420" t="s">
        <v>2418</v>
      </c>
      <c r="G420">
        <v>327.9279279279279</v>
      </c>
      <c r="H420">
        <v>7870.27027027027</v>
      </c>
      <c r="I420">
        <v>360.36036036036035</v>
      </c>
      <c r="J420">
        <v>8648.6486486486483</v>
      </c>
      <c r="K420">
        <v>777.77777777777771</v>
      </c>
      <c r="L420">
        <v>18666.666666666664</v>
      </c>
      <c r="M420">
        <v>45616</v>
      </c>
      <c r="O420" t="s">
        <v>326</v>
      </c>
      <c r="P420" t="s">
        <v>127</v>
      </c>
      <c r="Q420" t="s">
        <v>140</v>
      </c>
      <c r="R420" t="s">
        <v>2446</v>
      </c>
      <c r="S420" t="s">
        <v>2444</v>
      </c>
      <c r="T420" t="s">
        <v>2445</v>
      </c>
      <c r="U420">
        <v>24</v>
      </c>
      <c r="V420" t="s">
        <v>1027</v>
      </c>
      <c r="W420" t="s">
        <v>141</v>
      </c>
      <c r="X420" t="s">
        <v>142</v>
      </c>
      <c r="Y420">
        <v>11611</v>
      </c>
      <c r="Z420">
        <v>11612</v>
      </c>
      <c r="AA420" t="s">
        <v>1025</v>
      </c>
      <c r="AB420">
        <v>1</v>
      </c>
    </row>
    <row r="421" spans="1:28">
      <c r="A421">
        <v>1</v>
      </c>
      <c r="B421" t="s">
        <v>826</v>
      </c>
      <c r="C421" t="s">
        <v>2307</v>
      </c>
      <c r="D421" t="s">
        <v>2308</v>
      </c>
      <c r="E421" t="s">
        <v>2365</v>
      </c>
      <c r="F421" t="s">
        <v>1151</v>
      </c>
      <c r="G421">
        <v>11901.052799999999</v>
      </c>
      <c r="H421">
        <v>428437.9008</v>
      </c>
      <c r="I421">
        <v>13078.08</v>
      </c>
      <c r="J421">
        <v>470810.88</v>
      </c>
      <c r="K421">
        <v>14081.58</v>
      </c>
      <c r="L421">
        <v>506936.88</v>
      </c>
      <c r="M421">
        <v>45616</v>
      </c>
      <c r="O421" t="s">
        <v>326</v>
      </c>
      <c r="P421" t="s">
        <v>127</v>
      </c>
      <c r="Q421" t="s">
        <v>140</v>
      </c>
      <c r="R421" t="s">
        <v>2446</v>
      </c>
      <c r="S421" t="s">
        <v>2444</v>
      </c>
      <c r="T421" t="s">
        <v>2445</v>
      </c>
      <c r="U421">
        <v>36</v>
      </c>
      <c r="V421" t="s">
        <v>357</v>
      </c>
      <c r="W421" t="s">
        <v>141</v>
      </c>
      <c r="X421" t="s">
        <v>142</v>
      </c>
      <c r="Y421">
        <v>11611</v>
      </c>
      <c r="Z421">
        <v>11612</v>
      </c>
      <c r="AA421" t="s">
        <v>1025</v>
      </c>
      <c r="AB421">
        <v>1</v>
      </c>
    </row>
    <row r="422" spans="1:28">
      <c r="A422">
        <v>1</v>
      </c>
      <c r="B422" t="s">
        <v>827</v>
      </c>
      <c r="C422" t="s">
        <v>2307</v>
      </c>
      <c r="D422" t="s">
        <v>2308</v>
      </c>
      <c r="E422" t="s">
        <v>2366</v>
      </c>
      <c r="F422" t="s">
        <v>1152</v>
      </c>
      <c r="G422">
        <v>11901.052799999999</v>
      </c>
      <c r="H422">
        <v>428437.9008</v>
      </c>
      <c r="I422">
        <v>13078.08</v>
      </c>
      <c r="J422">
        <v>470810.88</v>
      </c>
      <c r="K422">
        <v>14081.58</v>
      </c>
      <c r="L422">
        <v>506936.88</v>
      </c>
      <c r="M422">
        <v>45616</v>
      </c>
      <c r="O422" t="s">
        <v>326</v>
      </c>
      <c r="P422" t="s">
        <v>127</v>
      </c>
      <c r="Q422" t="s">
        <v>140</v>
      </c>
      <c r="R422" t="s">
        <v>2446</v>
      </c>
      <c r="S422" t="s">
        <v>2444</v>
      </c>
      <c r="T422" t="s">
        <v>2445</v>
      </c>
      <c r="U422">
        <v>36</v>
      </c>
      <c r="V422" t="s">
        <v>357</v>
      </c>
      <c r="W422" t="s">
        <v>141</v>
      </c>
      <c r="X422" t="s">
        <v>142</v>
      </c>
      <c r="Y422">
        <v>11611</v>
      </c>
      <c r="Z422">
        <v>11612</v>
      </c>
      <c r="AA422" t="s">
        <v>1025</v>
      </c>
      <c r="AB422">
        <v>1</v>
      </c>
    </row>
    <row r="423" spans="1:28">
      <c r="A423">
        <v>1</v>
      </c>
      <c r="B423" t="s">
        <v>828</v>
      </c>
      <c r="C423" t="s">
        <v>2307</v>
      </c>
      <c r="D423" t="s">
        <v>2308</v>
      </c>
      <c r="E423" t="s">
        <v>2367</v>
      </c>
      <c r="F423" t="s">
        <v>1153</v>
      </c>
      <c r="G423">
        <v>11901.052799999999</v>
      </c>
      <c r="H423">
        <v>428437.9008</v>
      </c>
      <c r="I423">
        <v>13078.08</v>
      </c>
      <c r="J423">
        <v>470810.88</v>
      </c>
      <c r="K423">
        <v>14081.58</v>
      </c>
      <c r="L423">
        <v>506936.88</v>
      </c>
      <c r="M423">
        <v>45616</v>
      </c>
      <c r="O423" t="s">
        <v>326</v>
      </c>
      <c r="P423" t="s">
        <v>127</v>
      </c>
      <c r="Q423" t="s">
        <v>140</v>
      </c>
      <c r="R423" t="s">
        <v>2446</v>
      </c>
      <c r="S423" t="s">
        <v>2444</v>
      </c>
      <c r="T423" t="s">
        <v>2445</v>
      </c>
      <c r="U423">
        <v>36</v>
      </c>
      <c r="V423" t="s">
        <v>357</v>
      </c>
      <c r="W423" t="s">
        <v>141</v>
      </c>
      <c r="X423" t="s">
        <v>142</v>
      </c>
      <c r="Y423">
        <v>11611</v>
      </c>
      <c r="Z423">
        <v>11612</v>
      </c>
      <c r="AA423" t="s">
        <v>1025</v>
      </c>
      <c r="AB423">
        <v>1</v>
      </c>
    </row>
    <row r="424" spans="1:28">
      <c r="A424">
        <v>1</v>
      </c>
      <c r="B424" t="s">
        <v>790</v>
      </c>
      <c r="C424" t="s">
        <v>2281</v>
      </c>
      <c r="D424" t="s">
        <v>2282</v>
      </c>
      <c r="E424" t="s">
        <v>1154</v>
      </c>
      <c r="F424" t="s">
        <v>1155</v>
      </c>
      <c r="G424">
        <v>6991.2388000000001</v>
      </c>
      <c r="H424">
        <v>251684.5968</v>
      </c>
      <c r="I424">
        <v>7682.68</v>
      </c>
      <c r="J424">
        <v>276576.48</v>
      </c>
      <c r="K424">
        <v>8308.31</v>
      </c>
      <c r="L424">
        <v>299099.15999999997</v>
      </c>
      <c r="M424">
        <v>45616</v>
      </c>
      <c r="O424" t="s">
        <v>326</v>
      </c>
      <c r="P424" t="s">
        <v>127</v>
      </c>
      <c r="Q424" t="s">
        <v>140</v>
      </c>
      <c r="R424" t="s">
        <v>2446</v>
      </c>
      <c r="S424" t="s">
        <v>2444</v>
      </c>
      <c r="T424" t="s">
        <v>2445</v>
      </c>
      <c r="U424">
        <v>36</v>
      </c>
      <c r="V424" t="s">
        <v>357</v>
      </c>
      <c r="W424" t="s">
        <v>141</v>
      </c>
      <c r="X424" t="s">
        <v>142</v>
      </c>
      <c r="Y424">
        <v>11611</v>
      </c>
      <c r="Z424">
        <v>11612</v>
      </c>
      <c r="AA424" t="s">
        <v>1025</v>
      </c>
      <c r="AB424">
        <v>1</v>
      </c>
    </row>
    <row r="425" spans="1:28">
      <c r="A425">
        <v>1</v>
      </c>
      <c r="B425" t="s">
        <v>792</v>
      </c>
      <c r="C425" t="s">
        <v>2281</v>
      </c>
      <c r="D425" t="s">
        <v>2282</v>
      </c>
      <c r="E425" t="s">
        <v>1156</v>
      </c>
      <c r="F425" t="s">
        <v>1157</v>
      </c>
      <c r="G425">
        <v>11067.5656</v>
      </c>
      <c r="H425">
        <v>398432.3616</v>
      </c>
      <c r="I425">
        <v>12162.16</v>
      </c>
      <c r="J425">
        <v>437837.76</v>
      </c>
      <c r="K425">
        <v>15728.23</v>
      </c>
      <c r="L425">
        <v>566216.28</v>
      </c>
      <c r="M425">
        <v>45616</v>
      </c>
      <c r="O425" t="s">
        <v>326</v>
      </c>
      <c r="P425" t="s">
        <v>127</v>
      </c>
      <c r="Q425" t="s">
        <v>140</v>
      </c>
      <c r="R425" t="s">
        <v>2446</v>
      </c>
      <c r="S425" t="s">
        <v>2444</v>
      </c>
      <c r="T425" t="s">
        <v>2445</v>
      </c>
      <c r="U425">
        <v>36</v>
      </c>
      <c r="V425" t="s">
        <v>357</v>
      </c>
      <c r="W425" t="s">
        <v>141</v>
      </c>
      <c r="X425" t="s">
        <v>142</v>
      </c>
      <c r="Y425">
        <v>11611</v>
      </c>
      <c r="Z425">
        <v>11612</v>
      </c>
      <c r="AA425" t="s">
        <v>1025</v>
      </c>
      <c r="AB425">
        <v>1</v>
      </c>
    </row>
    <row r="426" spans="1:28">
      <c r="A426">
        <v>1</v>
      </c>
      <c r="B426" t="s">
        <v>794</v>
      </c>
      <c r="C426" t="s">
        <v>2281</v>
      </c>
      <c r="D426" t="s">
        <v>2282</v>
      </c>
      <c r="E426" t="s">
        <v>1158</v>
      </c>
      <c r="F426" t="s">
        <v>1159</v>
      </c>
      <c r="G426">
        <v>6991.2388000000001</v>
      </c>
      <c r="H426">
        <v>251684.5968</v>
      </c>
      <c r="I426">
        <v>7682.68</v>
      </c>
      <c r="J426">
        <v>276576.48</v>
      </c>
      <c r="K426">
        <v>8308.31</v>
      </c>
      <c r="L426">
        <v>299099.15999999997</v>
      </c>
      <c r="M426">
        <v>45616</v>
      </c>
      <c r="O426" t="s">
        <v>326</v>
      </c>
      <c r="P426" t="s">
        <v>127</v>
      </c>
      <c r="Q426" t="s">
        <v>140</v>
      </c>
      <c r="R426" t="s">
        <v>2446</v>
      </c>
      <c r="S426" t="s">
        <v>2444</v>
      </c>
      <c r="T426" t="s">
        <v>2445</v>
      </c>
      <c r="U426">
        <v>36</v>
      </c>
      <c r="V426" t="s">
        <v>357</v>
      </c>
      <c r="W426" t="s">
        <v>141</v>
      </c>
      <c r="X426" t="s">
        <v>142</v>
      </c>
      <c r="Y426">
        <v>11611</v>
      </c>
      <c r="Z426">
        <v>11612</v>
      </c>
      <c r="AA426" t="s">
        <v>1025</v>
      </c>
      <c r="AB426">
        <v>1</v>
      </c>
    </row>
    <row r="427" spans="1:28">
      <c r="A427">
        <v>1</v>
      </c>
      <c r="B427" t="s">
        <v>796</v>
      </c>
      <c r="C427" t="s">
        <v>2281</v>
      </c>
      <c r="D427" t="s">
        <v>2282</v>
      </c>
      <c r="E427" t="s">
        <v>1160</v>
      </c>
      <c r="F427" t="s">
        <v>1161</v>
      </c>
      <c r="G427">
        <v>11067.5656</v>
      </c>
      <c r="H427">
        <v>398432.3616</v>
      </c>
      <c r="I427">
        <v>12162.16</v>
      </c>
      <c r="J427">
        <v>437837.76</v>
      </c>
      <c r="K427">
        <v>15728.23</v>
      </c>
      <c r="L427">
        <v>566216.28</v>
      </c>
      <c r="M427">
        <v>45616</v>
      </c>
      <c r="O427" t="s">
        <v>326</v>
      </c>
      <c r="P427" t="s">
        <v>127</v>
      </c>
      <c r="Q427" t="s">
        <v>140</v>
      </c>
      <c r="R427" t="s">
        <v>2446</v>
      </c>
      <c r="S427" t="s">
        <v>2444</v>
      </c>
      <c r="T427" t="s">
        <v>2445</v>
      </c>
      <c r="U427">
        <v>36</v>
      </c>
      <c r="V427" t="s">
        <v>357</v>
      </c>
      <c r="W427" t="s">
        <v>141</v>
      </c>
      <c r="X427" t="s">
        <v>142</v>
      </c>
      <c r="Y427">
        <v>11611</v>
      </c>
      <c r="Z427">
        <v>11612</v>
      </c>
      <c r="AA427" t="s">
        <v>1025</v>
      </c>
      <c r="AB427">
        <v>1</v>
      </c>
    </row>
    <row r="428" spans="1:28">
      <c r="A428">
        <v>1</v>
      </c>
      <c r="B428" t="s">
        <v>798</v>
      </c>
      <c r="C428" t="s">
        <v>2281</v>
      </c>
      <c r="D428" t="s">
        <v>2282</v>
      </c>
      <c r="E428" t="s">
        <v>1162</v>
      </c>
      <c r="F428" t="s">
        <v>1163</v>
      </c>
      <c r="G428">
        <v>6991.2388000000001</v>
      </c>
      <c r="H428">
        <v>251684.5968</v>
      </c>
      <c r="I428">
        <v>7682.68</v>
      </c>
      <c r="J428">
        <v>276576.48</v>
      </c>
      <c r="K428">
        <v>8308.31</v>
      </c>
      <c r="L428">
        <v>299099.15999999997</v>
      </c>
      <c r="M428">
        <v>45616</v>
      </c>
      <c r="O428" t="s">
        <v>326</v>
      </c>
      <c r="P428" t="s">
        <v>127</v>
      </c>
      <c r="Q428" t="s">
        <v>140</v>
      </c>
      <c r="R428" t="s">
        <v>2446</v>
      </c>
      <c r="S428" t="s">
        <v>2444</v>
      </c>
      <c r="T428" t="s">
        <v>2445</v>
      </c>
      <c r="U428">
        <v>36</v>
      </c>
      <c r="V428" t="s">
        <v>357</v>
      </c>
      <c r="W428" t="s">
        <v>141</v>
      </c>
      <c r="X428" t="s">
        <v>142</v>
      </c>
      <c r="Y428">
        <v>11611</v>
      </c>
      <c r="Z428">
        <v>11612</v>
      </c>
      <c r="AA428" t="s">
        <v>1025</v>
      </c>
      <c r="AB428">
        <v>1</v>
      </c>
    </row>
    <row r="429" spans="1:28">
      <c r="A429">
        <v>1</v>
      </c>
      <c r="B429" t="s">
        <v>800</v>
      </c>
      <c r="C429" t="s">
        <v>2281</v>
      </c>
      <c r="D429" t="s">
        <v>2282</v>
      </c>
      <c r="E429" t="s">
        <v>1164</v>
      </c>
      <c r="F429" t="s">
        <v>1165</v>
      </c>
      <c r="G429">
        <v>11067.5656</v>
      </c>
      <c r="H429">
        <v>398432.3616</v>
      </c>
      <c r="I429">
        <v>12162.16</v>
      </c>
      <c r="J429">
        <v>437837.76</v>
      </c>
      <c r="K429">
        <v>15728.23</v>
      </c>
      <c r="L429">
        <v>566216.28</v>
      </c>
      <c r="M429">
        <v>45616</v>
      </c>
      <c r="O429" t="s">
        <v>326</v>
      </c>
      <c r="P429" t="s">
        <v>127</v>
      </c>
      <c r="Q429" t="s">
        <v>140</v>
      </c>
      <c r="R429" t="s">
        <v>2446</v>
      </c>
      <c r="S429" t="s">
        <v>2444</v>
      </c>
      <c r="T429" t="s">
        <v>2445</v>
      </c>
      <c r="U429">
        <v>36</v>
      </c>
      <c r="V429" t="s">
        <v>357</v>
      </c>
      <c r="W429" t="s">
        <v>141</v>
      </c>
      <c r="X429" t="s">
        <v>142</v>
      </c>
      <c r="Y429">
        <v>11611</v>
      </c>
      <c r="Z429">
        <v>11612</v>
      </c>
      <c r="AA429" t="s">
        <v>1025</v>
      </c>
      <c r="AB429">
        <v>1</v>
      </c>
    </row>
    <row r="430" spans="1:28">
      <c r="A430">
        <v>1</v>
      </c>
      <c r="B430" t="s">
        <v>801</v>
      </c>
      <c r="C430" t="s">
        <v>2281</v>
      </c>
      <c r="D430" t="s">
        <v>2282</v>
      </c>
      <c r="E430" t="s">
        <v>1166</v>
      </c>
      <c r="F430" t="s">
        <v>1167</v>
      </c>
      <c r="G430">
        <v>6991.2388000000001</v>
      </c>
      <c r="H430">
        <v>251684.5968</v>
      </c>
      <c r="I430">
        <v>7682.68</v>
      </c>
      <c r="J430">
        <v>276576.48</v>
      </c>
      <c r="K430">
        <v>8308.31</v>
      </c>
      <c r="L430">
        <v>299099.15999999997</v>
      </c>
      <c r="M430">
        <v>45616</v>
      </c>
      <c r="O430" t="s">
        <v>326</v>
      </c>
      <c r="P430" t="s">
        <v>127</v>
      </c>
      <c r="Q430" t="s">
        <v>140</v>
      </c>
      <c r="R430" t="s">
        <v>2446</v>
      </c>
      <c r="S430" t="s">
        <v>2444</v>
      </c>
      <c r="T430" t="s">
        <v>2445</v>
      </c>
      <c r="U430">
        <v>36</v>
      </c>
      <c r="V430" t="s">
        <v>357</v>
      </c>
      <c r="W430" t="s">
        <v>141</v>
      </c>
      <c r="X430" t="s">
        <v>142</v>
      </c>
      <c r="Y430">
        <v>11611</v>
      </c>
      <c r="Z430">
        <v>11612</v>
      </c>
      <c r="AA430" t="s">
        <v>1025</v>
      </c>
      <c r="AB430">
        <v>1</v>
      </c>
    </row>
    <row r="431" spans="1:28">
      <c r="A431">
        <v>1</v>
      </c>
      <c r="B431" t="s">
        <v>803</v>
      </c>
      <c r="C431" t="s">
        <v>2281</v>
      </c>
      <c r="D431" t="s">
        <v>2282</v>
      </c>
      <c r="E431" t="s">
        <v>1168</v>
      </c>
      <c r="F431" t="s">
        <v>1169</v>
      </c>
      <c r="G431">
        <v>11067.5656</v>
      </c>
      <c r="H431">
        <v>398432.3616</v>
      </c>
      <c r="I431">
        <v>12162.16</v>
      </c>
      <c r="J431">
        <v>437837.76</v>
      </c>
      <c r="K431">
        <v>15728.23</v>
      </c>
      <c r="L431">
        <v>566216.28</v>
      </c>
      <c r="M431">
        <v>45616</v>
      </c>
      <c r="O431" t="s">
        <v>326</v>
      </c>
      <c r="P431" t="s">
        <v>127</v>
      </c>
      <c r="Q431" t="s">
        <v>140</v>
      </c>
      <c r="R431" t="s">
        <v>2446</v>
      </c>
      <c r="S431" t="s">
        <v>2444</v>
      </c>
      <c r="T431" t="s">
        <v>2445</v>
      </c>
      <c r="U431">
        <v>36</v>
      </c>
      <c r="V431" t="s">
        <v>357</v>
      </c>
      <c r="W431" t="s">
        <v>141</v>
      </c>
      <c r="X431" t="s">
        <v>142</v>
      </c>
      <c r="Y431">
        <v>11611</v>
      </c>
      <c r="Z431">
        <v>11612</v>
      </c>
      <c r="AA431" t="s">
        <v>1025</v>
      </c>
      <c r="AB431">
        <v>1</v>
      </c>
    </row>
    <row r="432" spans="1:28">
      <c r="A432">
        <v>1</v>
      </c>
      <c r="B432" t="s">
        <v>805</v>
      </c>
      <c r="C432" t="s">
        <v>2281</v>
      </c>
      <c r="D432" t="s">
        <v>2282</v>
      </c>
      <c r="E432" t="s">
        <v>1170</v>
      </c>
      <c r="F432" t="s">
        <v>1171</v>
      </c>
      <c r="G432">
        <v>11067.5656</v>
      </c>
      <c r="H432">
        <v>398432.3616</v>
      </c>
      <c r="I432">
        <v>12162.16</v>
      </c>
      <c r="J432">
        <v>437837.76</v>
      </c>
      <c r="K432">
        <v>13153.15</v>
      </c>
      <c r="L432">
        <v>473513.39999999997</v>
      </c>
      <c r="M432">
        <v>45616</v>
      </c>
      <c r="O432" t="s">
        <v>326</v>
      </c>
      <c r="P432" t="s">
        <v>127</v>
      </c>
      <c r="Q432" t="s">
        <v>140</v>
      </c>
      <c r="R432" t="s">
        <v>2446</v>
      </c>
      <c r="S432" t="s">
        <v>2444</v>
      </c>
      <c r="T432" t="s">
        <v>2445</v>
      </c>
      <c r="U432">
        <v>36</v>
      </c>
      <c r="V432" t="s">
        <v>357</v>
      </c>
      <c r="W432" t="s">
        <v>141</v>
      </c>
      <c r="X432" t="s">
        <v>142</v>
      </c>
      <c r="Y432">
        <v>11611</v>
      </c>
      <c r="Z432">
        <v>11612</v>
      </c>
      <c r="AA432" t="s">
        <v>1025</v>
      </c>
      <c r="AB432">
        <v>1</v>
      </c>
    </row>
    <row r="433" spans="1:28">
      <c r="A433">
        <v>1</v>
      </c>
      <c r="B433" t="s">
        <v>819</v>
      </c>
      <c r="C433" t="s">
        <v>2307</v>
      </c>
      <c r="D433" t="s">
        <v>2308</v>
      </c>
      <c r="E433" t="s">
        <v>2364</v>
      </c>
      <c r="F433" t="s">
        <v>1147</v>
      </c>
      <c r="G433">
        <v>10259.1307</v>
      </c>
      <c r="H433">
        <v>369328.70519999997</v>
      </c>
      <c r="I433">
        <v>11273.77</v>
      </c>
      <c r="J433">
        <v>405855.72000000003</v>
      </c>
      <c r="K433">
        <v>12182.18</v>
      </c>
      <c r="L433">
        <v>438558.48</v>
      </c>
      <c r="M433">
        <v>45616</v>
      </c>
      <c r="O433" t="s">
        <v>326</v>
      </c>
      <c r="P433" t="s">
        <v>127</v>
      </c>
      <c r="Q433" t="s">
        <v>140</v>
      </c>
      <c r="R433" t="s">
        <v>2446</v>
      </c>
      <c r="S433" t="s">
        <v>2444</v>
      </c>
      <c r="T433" t="s">
        <v>2445</v>
      </c>
      <c r="U433">
        <v>36</v>
      </c>
      <c r="V433" t="s">
        <v>357</v>
      </c>
      <c r="W433" t="s">
        <v>141</v>
      </c>
      <c r="X433" t="s">
        <v>142</v>
      </c>
      <c r="Y433">
        <v>11611</v>
      </c>
      <c r="Z433">
        <v>11612</v>
      </c>
      <c r="AA433" t="s">
        <v>1025</v>
      </c>
      <c r="AB433">
        <v>1</v>
      </c>
    </row>
    <row r="434" spans="1:28">
      <c r="A434">
        <v>1</v>
      </c>
      <c r="B434" t="s">
        <v>833</v>
      </c>
      <c r="C434" t="s">
        <v>2305</v>
      </c>
      <c r="D434" t="s">
        <v>2306</v>
      </c>
      <c r="E434" t="s">
        <v>2356</v>
      </c>
      <c r="F434" t="s">
        <v>1115</v>
      </c>
      <c r="G434">
        <v>10329.72972972973</v>
      </c>
      <c r="H434">
        <v>247913.51351351352</v>
      </c>
      <c r="I434">
        <v>11351.351351351352</v>
      </c>
      <c r="J434">
        <v>272432.43243243243</v>
      </c>
      <c r="K434">
        <v>12252.252252252249</v>
      </c>
      <c r="L434">
        <v>294054.05405405397</v>
      </c>
      <c r="M434">
        <v>45616</v>
      </c>
      <c r="O434" t="s">
        <v>326</v>
      </c>
      <c r="P434" t="s">
        <v>127</v>
      </c>
      <c r="Q434" t="s">
        <v>140</v>
      </c>
      <c r="R434" t="s">
        <v>2446</v>
      </c>
      <c r="S434" t="s">
        <v>2444</v>
      </c>
      <c r="T434" t="s">
        <v>2445</v>
      </c>
      <c r="U434">
        <v>24</v>
      </c>
      <c r="V434" t="s">
        <v>356</v>
      </c>
      <c r="W434" t="s">
        <v>141</v>
      </c>
      <c r="X434" t="s">
        <v>142</v>
      </c>
      <c r="Y434">
        <v>11611</v>
      </c>
      <c r="Z434">
        <v>11612</v>
      </c>
      <c r="AA434" t="s">
        <v>1025</v>
      </c>
      <c r="AB434">
        <v>1</v>
      </c>
    </row>
    <row r="435" spans="1:28">
      <c r="A435">
        <v>1</v>
      </c>
      <c r="B435" t="s">
        <v>817</v>
      </c>
      <c r="C435" t="s">
        <v>2307</v>
      </c>
      <c r="D435" t="s">
        <v>2308</v>
      </c>
      <c r="E435" t="s">
        <v>2363</v>
      </c>
      <c r="F435" t="s">
        <v>1146</v>
      </c>
      <c r="G435">
        <v>11901.052799999999</v>
      </c>
      <c r="H435">
        <v>428437.9008</v>
      </c>
      <c r="I435">
        <v>13078.08</v>
      </c>
      <c r="J435">
        <v>470810.88</v>
      </c>
      <c r="K435">
        <v>14081.58</v>
      </c>
      <c r="L435">
        <v>506936.88</v>
      </c>
      <c r="M435">
        <v>45616</v>
      </c>
      <c r="O435" t="s">
        <v>326</v>
      </c>
      <c r="P435" t="s">
        <v>127</v>
      </c>
      <c r="Q435" t="s">
        <v>140</v>
      </c>
      <c r="R435" t="s">
        <v>2446</v>
      </c>
      <c r="S435" t="s">
        <v>2444</v>
      </c>
      <c r="T435" t="s">
        <v>2445</v>
      </c>
      <c r="U435">
        <v>36</v>
      </c>
      <c r="V435" t="s">
        <v>357</v>
      </c>
      <c r="W435" t="s">
        <v>141</v>
      </c>
      <c r="X435" t="s">
        <v>142</v>
      </c>
      <c r="Y435">
        <v>11611</v>
      </c>
      <c r="Z435">
        <v>11612</v>
      </c>
      <c r="AA435" t="s">
        <v>1025</v>
      </c>
      <c r="AB435">
        <v>1</v>
      </c>
    </row>
    <row r="436" spans="1:28">
      <c r="A436">
        <v>1</v>
      </c>
      <c r="B436" t="s">
        <v>815</v>
      </c>
      <c r="C436" t="s">
        <v>2307</v>
      </c>
      <c r="D436" t="s">
        <v>2308</v>
      </c>
      <c r="E436" t="s">
        <v>2361</v>
      </c>
      <c r="F436" t="s">
        <v>1144</v>
      </c>
      <c r="G436">
        <v>11901.052799999999</v>
      </c>
      <c r="H436">
        <v>428437.9008</v>
      </c>
      <c r="I436">
        <v>13078.08</v>
      </c>
      <c r="J436">
        <v>470810.88</v>
      </c>
      <c r="K436">
        <v>14081.58</v>
      </c>
      <c r="L436">
        <v>506936.88</v>
      </c>
      <c r="M436">
        <v>45616</v>
      </c>
      <c r="O436" t="s">
        <v>326</v>
      </c>
      <c r="P436" t="s">
        <v>127</v>
      </c>
      <c r="Q436" t="s">
        <v>140</v>
      </c>
      <c r="R436" t="s">
        <v>2446</v>
      </c>
      <c r="S436" t="s">
        <v>2444</v>
      </c>
      <c r="T436" t="s">
        <v>2445</v>
      </c>
      <c r="U436">
        <v>36</v>
      </c>
      <c r="V436" t="s">
        <v>357</v>
      </c>
      <c r="W436" t="s">
        <v>141</v>
      </c>
      <c r="X436" t="s">
        <v>142</v>
      </c>
      <c r="Y436">
        <v>11611</v>
      </c>
      <c r="Z436">
        <v>11612</v>
      </c>
      <c r="AA436" t="s">
        <v>1025</v>
      </c>
      <c r="AB436">
        <v>1</v>
      </c>
    </row>
    <row r="437" spans="1:28">
      <c r="A437">
        <v>1</v>
      </c>
      <c r="B437" t="s">
        <v>856</v>
      </c>
      <c r="C437" t="s">
        <v>2309</v>
      </c>
      <c r="D437" t="s">
        <v>2310</v>
      </c>
      <c r="E437" t="s">
        <v>1118</v>
      </c>
      <c r="F437" t="s">
        <v>1119</v>
      </c>
      <c r="G437">
        <v>13865.205900000001</v>
      </c>
      <c r="H437">
        <v>332764.94160000002</v>
      </c>
      <c r="I437">
        <v>15236.49</v>
      </c>
      <c r="J437">
        <v>365675.76</v>
      </c>
      <c r="K437">
        <v>16448.95</v>
      </c>
      <c r="L437">
        <v>394774.80000000005</v>
      </c>
      <c r="M437">
        <v>45616</v>
      </c>
      <c r="O437" t="s">
        <v>326</v>
      </c>
      <c r="P437" t="s">
        <v>127</v>
      </c>
      <c r="Q437" t="s">
        <v>140</v>
      </c>
      <c r="R437" t="s">
        <v>2446</v>
      </c>
      <c r="S437" t="s">
        <v>2444</v>
      </c>
      <c r="T437" t="s">
        <v>2445</v>
      </c>
      <c r="U437">
        <v>24</v>
      </c>
      <c r="V437" t="s">
        <v>357</v>
      </c>
      <c r="W437" t="s">
        <v>141</v>
      </c>
      <c r="X437" t="s">
        <v>142</v>
      </c>
      <c r="Y437">
        <v>11611</v>
      </c>
      <c r="Z437">
        <v>11612</v>
      </c>
      <c r="AA437" t="s">
        <v>1025</v>
      </c>
      <c r="AB437">
        <v>1</v>
      </c>
    </row>
    <row r="438" spans="1:28">
      <c r="A438">
        <v>1</v>
      </c>
      <c r="B438" t="s">
        <v>855</v>
      </c>
      <c r="C438" t="s">
        <v>2311</v>
      </c>
      <c r="D438" t="s">
        <v>2312</v>
      </c>
      <c r="E438" t="s">
        <v>1120</v>
      </c>
      <c r="F438" t="s">
        <v>1121</v>
      </c>
      <c r="G438">
        <v>16878.042999999998</v>
      </c>
      <c r="H438">
        <v>405073.03199999995</v>
      </c>
      <c r="I438">
        <v>18547.3</v>
      </c>
      <c r="J438">
        <v>445135.19999999995</v>
      </c>
      <c r="K438">
        <v>20228.98</v>
      </c>
      <c r="L438">
        <v>485495.52</v>
      </c>
      <c r="M438">
        <v>45616</v>
      </c>
      <c r="O438" t="s">
        <v>326</v>
      </c>
      <c r="P438" t="s">
        <v>127</v>
      </c>
      <c r="Q438" t="s">
        <v>140</v>
      </c>
      <c r="R438" t="s">
        <v>2446</v>
      </c>
      <c r="S438" t="s">
        <v>2444</v>
      </c>
      <c r="T438" t="s">
        <v>2445</v>
      </c>
      <c r="U438">
        <v>24</v>
      </c>
      <c r="V438" t="s">
        <v>357</v>
      </c>
      <c r="W438" t="s">
        <v>141</v>
      </c>
      <c r="X438" t="s">
        <v>142</v>
      </c>
      <c r="Y438">
        <v>11611</v>
      </c>
      <c r="Z438">
        <v>11612</v>
      </c>
      <c r="AA438" t="s">
        <v>1025</v>
      </c>
      <c r="AB438">
        <v>1</v>
      </c>
    </row>
    <row r="439" spans="1:28">
      <c r="A439">
        <v>1</v>
      </c>
      <c r="B439" t="s">
        <v>829</v>
      </c>
      <c r="C439" t="s">
        <v>2313</v>
      </c>
      <c r="D439" t="s">
        <v>2314</v>
      </c>
      <c r="E439" t="s">
        <v>1122</v>
      </c>
      <c r="F439" t="s">
        <v>1123</v>
      </c>
      <c r="G439">
        <v>15098.3469</v>
      </c>
      <c r="H439">
        <v>543540.48840000003</v>
      </c>
      <c r="I439">
        <v>16591.59</v>
      </c>
      <c r="J439">
        <v>597297.24</v>
      </c>
      <c r="K439">
        <v>17955.46</v>
      </c>
      <c r="L439">
        <v>646396.55999999994</v>
      </c>
      <c r="M439">
        <v>45616</v>
      </c>
      <c r="O439" t="s">
        <v>326</v>
      </c>
      <c r="P439" t="s">
        <v>127</v>
      </c>
      <c r="Q439" t="s">
        <v>140</v>
      </c>
      <c r="R439" t="s">
        <v>2446</v>
      </c>
      <c r="S439" t="s">
        <v>2444</v>
      </c>
      <c r="T439" t="s">
        <v>2445</v>
      </c>
      <c r="U439">
        <v>36</v>
      </c>
      <c r="V439" t="s">
        <v>357</v>
      </c>
      <c r="W439" t="s">
        <v>141</v>
      </c>
      <c r="X439" t="s">
        <v>142</v>
      </c>
      <c r="Y439">
        <v>11611</v>
      </c>
      <c r="Z439">
        <v>11612</v>
      </c>
      <c r="AA439" t="s">
        <v>1025</v>
      </c>
      <c r="AB439">
        <v>1</v>
      </c>
    </row>
    <row r="440" spans="1:28">
      <c r="A440">
        <v>1</v>
      </c>
      <c r="B440" t="s">
        <v>830</v>
      </c>
      <c r="C440" t="s">
        <v>2313</v>
      </c>
      <c r="D440" t="s">
        <v>2314</v>
      </c>
      <c r="E440" t="s">
        <v>2357</v>
      </c>
      <c r="F440" t="s">
        <v>1124</v>
      </c>
      <c r="G440">
        <v>11771.250400000001</v>
      </c>
      <c r="H440">
        <v>282510.00959999999</v>
      </c>
      <c r="I440">
        <v>12935.44</v>
      </c>
      <c r="J440">
        <v>310450.56</v>
      </c>
      <c r="K440">
        <v>14069.07</v>
      </c>
      <c r="L440">
        <v>337657.68</v>
      </c>
      <c r="M440">
        <v>45616</v>
      </c>
      <c r="O440" t="s">
        <v>326</v>
      </c>
      <c r="P440" t="s">
        <v>127</v>
      </c>
      <c r="Q440" t="s">
        <v>140</v>
      </c>
      <c r="R440" t="s">
        <v>2446</v>
      </c>
      <c r="S440" t="s">
        <v>2444</v>
      </c>
      <c r="T440" t="s">
        <v>2445</v>
      </c>
      <c r="U440">
        <v>24</v>
      </c>
      <c r="V440" t="s">
        <v>356</v>
      </c>
      <c r="W440" t="s">
        <v>141</v>
      </c>
      <c r="X440" t="s">
        <v>142</v>
      </c>
      <c r="Y440">
        <v>11611</v>
      </c>
      <c r="Z440">
        <v>11612</v>
      </c>
      <c r="AA440" t="s">
        <v>1025</v>
      </c>
      <c r="AB440">
        <v>1</v>
      </c>
    </row>
    <row r="441" spans="1:28">
      <c r="A441">
        <v>1</v>
      </c>
      <c r="B441" t="s">
        <v>847</v>
      </c>
      <c r="C441" t="s">
        <v>2315</v>
      </c>
      <c r="D441" t="s">
        <v>2316</v>
      </c>
      <c r="E441" t="s">
        <v>1125</v>
      </c>
      <c r="F441" t="s">
        <v>1126</v>
      </c>
      <c r="G441">
        <v>4345.0407000000005</v>
      </c>
      <c r="H441">
        <v>156421.46520000001</v>
      </c>
      <c r="I441">
        <v>4774.7700000000004</v>
      </c>
      <c r="J441">
        <v>171891.72000000003</v>
      </c>
      <c r="K441">
        <v>5135.1400000000003</v>
      </c>
      <c r="L441">
        <v>184865.04</v>
      </c>
      <c r="M441">
        <v>45616</v>
      </c>
      <c r="O441" t="s">
        <v>326</v>
      </c>
      <c r="P441" t="s">
        <v>127</v>
      </c>
      <c r="Q441" t="s">
        <v>140</v>
      </c>
      <c r="R441" t="s">
        <v>2446</v>
      </c>
      <c r="S441" t="s">
        <v>2444</v>
      </c>
      <c r="T441" t="s">
        <v>2445</v>
      </c>
      <c r="U441">
        <v>36</v>
      </c>
      <c r="V441" t="s">
        <v>357</v>
      </c>
      <c r="W441" t="s">
        <v>141</v>
      </c>
      <c r="X441" t="s">
        <v>142</v>
      </c>
      <c r="Y441">
        <v>11611</v>
      </c>
      <c r="Z441">
        <v>11612</v>
      </c>
      <c r="AA441" t="s">
        <v>1025</v>
      </c>
      <c r="AB441">
        <v>1</v>
      </c>
    </row>
    <row r="442" spans="1:28">
      <c r="A442">
        <v>1</v>
      </c>
      <c r="B442" t="s">
        <v>848</v>
      </c>
      <c r="C442" t="s">
        <v>2315</v>
      </c>
      <c r="D442" t="s">
        <v>2316</v>
      </c>
      <c r="E442" t="s">
        <v>1127</v>
      </c>
      <c r="F442" t="s">
        <v>1128</v>
      </c>
      <c r="G442">
        <v>8567.1131000000005</v>
      </c>
      <c r="H442">
        <v>308416.07160000002</v>
      </c>
      <c r="I442">
        <v>9414.41</v>
      </c>
      <c r="J442">
        <v>338918.76</v>
      </c>
      <c r="K442">
        <v>10135.14</v>
      </c>
      <c r="L442">
        <v>364865.04</v>
      </c>
      <c r="M442">
        <v>45616</v>
      </c>
      <c r="O442" t="s">
        <v>326</v>
      </c>
      <c r="P442" t="s">
        <v>127</v>
      </c>
      <c r="Q442" t="s">
        <v>140</v>
      </c>
      <c r="R442" t="s">
        <v>2446</v>
      </c>
      <c r="S442" t="s">
        <v>2444</v>
      </c>
      <c r="T442" t="s">
        <v>2445</v>
      </c>
      <c r="U442">
        <v>36</v>
      </c>
      <c r="V442" t="s">
        <v>357</v>
      </c>
      <c r="W442" t="s">
        <v>141</v>
      </c>
      <c r="X442" t="s">
        <v>142</v>
      </c>
      <c r="Y442">
        <v>11611</v>
      </c>
      <c r="Z442">
        <v>11612</v>
      </c>
      <c r="AA442" t="s">
        <v>1025</v>
      </c>
      <c r="AB442">
        <v>1</v>
      </c>
    </row>
    <row r="443" spans="1:28">
      <c r="A443">
        <v>1</v>
      </c>
      <c r="B443" t="s">
        <v>849</v>
      </c>
      <c r="C443" t="s">
        <v>2315</v>
      </c>
      <c r="D443" t="s">
        <v>2316</v>
      </c>
      <c r="E443" t="s">
        <v>1129</v>
      </c>
      <c r="F443" t="s">
        <v>1130</v>
      </c>
      <c r="G443">
        <v>4345.0407000000005</v>
      </c>
      <c r="H443">
        <v>156421.46520000001</v>
      </c>
      <c r="I443">
        <v>4774.7700000000004</v>
      </c>
      <c r="J443">
        <v>171891.72000000003</v>
      </c>
      <c r="K443">
        <v>5135.1400000000003</v>
      </c>
      <c r="L443">
        <v>184865.04</v>
      </c>
      <c r="M443">
        <v>45616</v>
      </c>
      <c r="O443" t="s">
        <v>326</v>
      </c>
      <c r="P443" t="s">
        <v>127</v>
      </c>
      <c r="Q443" t="s">
        <v>140</v>
      </c>
      <c r="R443" t="s">
        <v>2446</v>
      </c>
      <c r="S443" t="s">
        <v>2444</v>
      </c>
      <c r="T443" t="s">
        <v>2445</v>
      </c>
      <c r="U443">
        <v>36</v>
      </c>
      <c r="V443" t="s">
        <v>357</v>
      </c>
      <c r="W443" t="s">
        <v>141</v>
      </c>
      <c r="X443" t="s">
        <v>142</v>
      </c>
      <c r="Y443">
        <v>11611</v>
      </c>
      <c r="Z443">
        <v>11612</v>
      </c>
      <c r="AA443" t="s">
        <v>1025</v>
      </c>
      <c r="AB443">
        <v>1</v>
      </c>
    </row>
    <row r="444" spans="1:28">
      <c r="A444">
        <v>1</v>
      </c>
      <c r="B444" t="s">
        <v>850</v>
      </c>
      <c r="C444" t="s">
        <v>2315</v>
      </c>
      <c r="D444" t="s">
        <v>2316</v>
      </c>
      <c r="E444" t="s">
        <v>1131</v>
      </c>
      <c r="F444" t="s">
        <v>1132</v>
      </c>
      <c r="G444">
        <v>8567.1131000000005</v>
      </c>
      <c r="H444">
        <v>308416.07160000002</v>
      </c>
      <c r="I444">
        <v>9414.41</v>
      </c>
      <c r="J444">
        <v>338918.76</v>
      </c>
      <c r="K444">
        <v>10135.14</v>
      </c>
      <c r="L444">
        <v>364865.04</v>
      </c>
      <c r="M444">
        <v>45616</v>
      </c>
      <c r="O444" t="s">
        <v>326</v>
      </c>
      <c r="P444" t="s">
        <v>127</v>
      </c>
      <c r="Q444" t="s">
        <v>140</v>
      </c>
      <c r="R444" t="s">
        <v>2446</v>
      </c>
      <c r="S444" t="s">
        <v>2444</v>
      </c>
      <c r="T444" t="s">
        <v>2445</v>
      </c>
      <c r="U444">
        <v>36</v>
      </c>
      <c r="V444" t="s">
        <v>357</v>
      </c>
      <c r="W444" t="s">
        <v>141</v>
      </c>
      <c r="X444" t="s">
        <v>142</v>
      </c>
      <c r="Y444">
        <v>11611</v>
      </c>
      <c r="Z444">
        <v>11612</v>
      </c>
      <c r="AA444" t="s">
        <v>1025</v>
      </c>
      <c r="AB444">
        <v>1</v>
      </c>
    </row>
    <row r="445" spans="1:28">
      <c r="A445">
        <v>1</v>
      </c>
      <c r="B445" t="s">
        <v>851</v>
      </c>
      <c r="C445" t="s">
        <v>2315</v>
      </c>
      <c r="D445" t="s">
        <v>2316</v>
      </c>
      <c r="E445" t="s">
        <v>1133</v>
      </c>
      <c r="F445" t="s">
        <v>1134</v>
      </c>
      <c r="G445">
        <v>4345.0407000000005</v>
      </c>
      <c r="H445">
        <v>156421.46520000001</v>
      </c>
      <c r="I445">
        <v>4774.7700000000004</v>
      </c>
      <c r="J445">
        <v>171891.72000000003</v>
      </c>
      <c r="K445">
        <v>5135.1400000000003</v>
      </c>
      <c r="L445">
        <v>184865.04</v>
      </c>
      <c r="M445">
        <v>45616</v>
      </c>
      <c r="O445" t="s">
        <v>326</v>
      </c>
      <c r="P445" t="s">
        <v>127</v>
      </c>
      <c r="Q445" t="s">
        <v>140</v>
      </c>
      <c r="R445" t="s">
        <v>2446</v>
      </c>
      <c r="S445" t="s">
        <v>2444</v>
      </c>
      <c r="T445" t="s">
        <v>2445</v>
      </c>
      <c r="U445">
        <v>36</v>
      </c>
      <c r="V445" t="s">
        <v>357</v>
      </c>
      <c r="W445" t="s">
        <v>141</v>
      </c>
      <c r="X445" t="s">
        <v>142</v>
      </c>
      <c r="Y445">
        <v>11611</v>
      </c>
      <c r="Z445">
        <v>11612</v>
      </c>
      <c r="AA445" t="s">
        <v>1025</v>
      </c>
      <c r="AB445">
        <v>1</v>
      </c>
    </row>
    <row r="446" spans="1:28">
      <c r="A446">
        <v>1</v>
      </c>
      <c r="B446" t="s">
        <v>852</v>
      </c>
      <c r="C446" t="s">
        <v>2315</v>
      </c>
      <c r="D446" t="s">
        <v>2316</v>
      </c>
      <c r="E446" t="s">
        <v>1135</v>
      </c>
      <c r="F446" t="s">
        <v>1136</v>
      </c>
      <c r="G446">
        <v>8567.1131000000005</v>
      </c>
      <c r="H446">
        <v>308416.07160000002</v>
      </c>
      <c r="I446">
        <v>9414.41</v>
      </c>
      <c r="J446">
        <v>338918.76</v>
      </c>
      <c r="K446">
        <v>10135.14</v>
      </c>
      <c r="L446">
        <v>364865.04</v>
      </c>
      <c r="M446">
        <v>45616</v>
      </c>
      <c r="O446" t="s">
        <v>326</v>
      </c>
      <c r="P446" t="s">
        <v>127</v>
      </c>
      <c r="Q446" t="s">
        <v>140</v>
      </c>
      <c r="R446" t="s">
        <v>2446</v>
      </c>
      <c r="S446" t="s">
        <v>2444</v>
      </c>
      <c r="T446" t="s">
        <v>2445</v>
      </c>
      <c r="U446">
        <v>36</v>
      </c>
      <c r="V446" t="s">
        <v>357</v>
      </c>
      <c r="W446" t="s">
        <v>141</v>
      </c>
      <c r="X446" t="s">
        <v>142</v>
      </c>
      <c r="Y446">
        <v>11611</v>
      </c>
      <c r="Z446">
        <v>11612</v>
      </c>
      <c r="AA446" t="s">
        <v>1025</v>
      </c>
      <c r="AB446">
        <v>1</v>
      </c>
    </row>
    <row r="447" spans="1:28">
      <c r="A447">
        <v>1</v>
      </c>
      <c r="B447" t="s">
        <v>853</v>
      </c>
      <c r="C447" t="s">
        <v>2315</v>
      </c>
      <c r="D447" t="s">
        <v>2316</v>
      </c>
      <c r="E447" t="s">
        <v>1137</v>
      </c>
      <c r="F447" t="s">
        <v>1138</v>
      </c>
      <c r="G447">
        <v>8150.3785999999991</v>
      </c>
      <c r="H447">
        <v>293413.62959999999</v>
      </c>
      <c r="I447">
        <v>8956.4599999999991</v>
      </c>
      <c r="J447">
        <v>322432.55999999994</v>
      </c>
      <c r="K447">
        <v>9672.17</v>
      </c>
      <c r="L447">
        <v>348198.12</v>
      </c>
      <c r="M447">
        <v>45616</v>
      </c>
      <c r="O447" t="s">
        <v>326</v>
      </c>
      <c r="P447" t="s">
        <v>127</v>
      </c>
      <c r="Q447" t="s">
        <v>140</v>
      </c>
      <c r="R447" t="s">
        <v>2446</v>
      </c>
      <c r="S447" t="s">
        <v>2444</v>
      </c>
      <c r="T447" t="s">
        <v>2445</v>
      </c>
      <c r="U447">
        <v>36</v>
      </c>
      <c r="V447" t="s">
        <v>357</v>
      </c>
      <c r="W447" t="s">
        <v>141</v>
      </c>
      <c r="X447" t="s">
        <v>142</v>
      </c>
      <c r="Y447">
        <v>11611</v>
      </c>
      <c r="Z447">
        <v>11612</v>
      </c>
      <c r="AA447" t="s">
        <v>1025</v>
      </c>
      <c r="AB447">
        <v>1</v>
      </c>
    </row>
    <row r="448" spans="1:28">
      <c r="A448">
        <v>1</v>
      </c>
      <c r="B448" t="s">
        <v>854</v>
      </c>
      <c r="C448" t="s">
        <v>2315</v>
      </c>
      <c r="D448" t="s">
        <v>2316</v>
      </c>
      <c r="E448" t="s">
        <v>1139</v>
      </c>
      <c r="F448" t="s">
        <v>1140</v>
      </c>
      <c r="G448">
        <v>8150.3785999999991</v>
      </c>
      <c r="H448">
        <v>293413.62959999999</v>
      </c>
      <c r="I448">
        <v>8956.4599999999991</v>
      </c>
      <c r="J448">
        <v>322432.55999999994</v>
      </c>
      <c r="K448">
        <v>9672.17</v>
      </c>
      <c r="L448">
        <v>348198.12</v>
      </c>
      <c r="M448">
        <v>45616</v>
      </c>
      <c r="O448" t="s">
        <v>326</v>
      </c>
      <c r="P448" t="s">
        <v>127</v>
      </c>
      <c r="Q448" t="s">
        <v>140</v>
      </c>
      <c r="R448" t="s">
        <v>2446</v>
      </c>
      <c r="S448" t="s">
        <v>2444</v>
      </c>
      <c r="T448" t="s">
        <v>2445</v>
      </c>
      <c r="U448">
        <v>36</v>
      </c>
      <c r="V448" t="s">
        <v>357</v>
      </c>
      <c r="W448" t="s">
        <v>141</v>
      </c>
      <c r="X448" t="s">
        <v>142</v>
      </c>
      <c r="Y448">
        <v>11611</v>
      </c>
      <c r="Z448">
        <v>11612</v>
      </c>
      <c r="AA448" t="s">
        <v>1025</v>
      </c>
      <c r="AB448">
        <v>1</v>
      </c>
    </row>
    <row r="449" spans="1:28">
      <c r="A449">
        <v>1</v>
      </c>
      <c r="B449" t="s">
        <v>812</v>
      </c>
      <c r="C449" t="s">
        <v>2307</v>
      </c>
      <c r="D449" t="s">
        <v>2308</v>
      </c>
      <c r="E449" t="s">
        <v>2358</v>
      </c>
      <c r="F449" t="s">
        <v>1141</v>
      </c>
      <c r="G449">
        <v>6394.5972999999994</v>
      </c>
      <c r="H449">
        <v>230205.50279999999</v>
      </c>
      <c r="I449">
        <v>7027.03</v>
      </c>
      <c r="J449">
        <v>252973.08</v>
      </c>
      <c r="K449">
        <v>7612.61</v>
      </c>
      <c r="L449">
        <v>274053.95999999996</v>
      </c>
      <c r="M449">
        <v>45616</v>
      </c>
      <c r="O449" t="s">
        <v>326</v>
      </c>
      <c r="P449" t="s">
        <v>127</v>
      </c>
      <c r="Q449" t="s">
        <v>140</v>
      </c>
      <c r="R449" t="s">
        <v>2446</v>
      </c>
      <c r="S449" t="s">
        <v>2444</v>
      </c>
      <c r="T449" t="s">
        <v>2445</v>
      </c>
      <c r="U449">
        <v>36</v>
      </c>
      <c r="V449" t="s">
        <v>357</v>
      </c>
      <c r="W449" t="s">
        <v>141</v>
      </c>
      <c r="X449" t="s">
        <v>142</v>
      </c>
      <c r="Y449">
        <v>11611</v>
      </c>
      <c r="Z449">
        <v>11612</v>
      </c>
      <c r="AA449" t="s">
        <v>1025</v>
      </c>
      <c r="AB449">
        <v>1</v>
      </c>
    </row>
    <row r="450" spans="1:28">
      <c r="A450">
        <v>1</v>
      </c>
      <c r="B450" t="s">
        <v>813</v>
      </c>
      <c r="C450" t="s">
        <v>2307</v>
      </c>
      <c r="D450" t="s">
        <v>2308</v>
      </c>
      <c r="E450" t="s">
        <v>2359</v>
      </c>
      <c r="F450" t="s">
        <v>1142</v>
      </c>
      <c r="G450">
        <v>11901.052799999999</v>
      </c>
      <c r="H450">
        <v>428437.9008</v>
      </c>
      <c r="I450">
        <v>13078.08</v>
      </c>
      <c r="J450">
        <v>470810.88</v>
      </c>
      <c r="K450">
        <v>14081.58</v>
      </c>
      <c r="L450">
        <v>506936.88</v>
      </c>
      <c r="M450">
        <v>45616</v>
      </c>
      <c r="O450" t="s">
        <v>326</v>
      </c>
      <c r="P450" t="s">
        <v>127</v>
      </c>
      <c r="Q450" t="s">
        <v>140</v>
      </c>
      <c r="R450" t="s">
        <v>2446</v>
      </c>
      <c r="S450" t="s">
        <v>2444</v>
      </c>
      <c r="T450" t="s">
        <v>2445</v>
      </c>
      <c r="U450">
        <v>36</v>
      </c>
      <c r="V450" t="s">
        <v>357</v>
      </c>
      <c r="W450" t="s">
        <v>141</v>
      </c>
      <c r="X450" t="s">
        <v>142</v>
      </c>
      <c r="Y450">
        <v>11611</v>
      </c>
      <c r="Z450">
        <v>11612</v>
      </c>
      <c r="AA450" t="s">
        <v>1025</v>
      </c>
      <c r="AB450">
        <v>1</v>
      </c>
    </row>
    <row r="451" spans="1:28">
      <c r="A451">
        <v>1</v>
      </c>
      <c r="B451" t="s">
        <v>814</v>
      </c>
      <c r="C451" t="s">
        <v>2307</v>
      </c>
      <c r="D451" t="s">
        <v>2308</v>
      </c>
      <c r="E451" t="s">
        <v>2360</v>
      </c>
      <c r="F451" t="s">
        <v>1143</v>
      </c>
      <c r="G451">
        <v>6394.5972999999994</v>
      </c>
      <c r="H451">
        <v>230205.50279999999</v>
      </c>
      <c r="I451">
        <v>7027.03</v>
      </c>
      <c r="J451">
        <v>252973.08</v>
      </c>
      <c r="K451">
        <v>7612.61</v>
      </c>
      <c r="L451">
        <v>274053.95999999996</v>
      </c>
      <c r="M451">
        <v>45616</v>
      </c>
      <c r="O451" t="s">
        <v>326</v>
      </c>
      <c r="P451" t="s">
        <v>127</v>
      </c>
      <c r="Q451" t="s">
        <v>140</v>
      </c>
      <c r="R451" t="s">
        <v>2446</v>
      </c>
      <c r="S451" t="s">
        <v>2444</v>
      </c>
      <c r="T451" t="s">
        <v>2445</v>
      </c>
      <c r="U451">
        <v>36</v>
      </c>
      <c r="V451" t="s">
        <v>357</v>
      </c>
      <c r="W451" t="s">
        <v>141</v>
      </c>
      <c r="X451" t="s">
        <v>142</v>
      </c>
      <c r="Y451">
        <v>11611</v>
      </c>
      <c r="Z451">
        <v>11612</v>
      </c>
      <c r="AA451" t="s">
        <v>1025</v>
      </c>
      <c r="AB451">
        <v>1</v>
      </c>
    </row>
    <row r="452" spans="1:28">
      <c r="A452">
        <v>1</v>
      </c>
      <c r="B452" t="s">
        <v>816</v>
      </c>
      <c r="C452" t="s">
        <v>2307</v>
      </c>
      <c r="D452" t="s">
        <v>2308</v>
      </c>
      <c r="E452" t="s">
        <v>2362</v>
      </c>
      <c r="F452" t="s">
        <v>1145</v>
      </c>
      <c r="G452">
        <v>6394.5972999999994</v>
      </c>
      <c r="H452">
        <v>230205.50279999999</v>
      </c>
      <c r="I452">
        <v>7027.03</v>
      </c>
      <c r="J452">
        <v>252973.08</v>
      </c>
      <c r="K452">
        <v>7612.61</v>
      </c>
      <c r="L452">
        <v>274053.95999999996</v>
      </c>
      <c r="M452">
        <v>45616</v>
      </c>
      <c r="O452" t="s">
        <v>326</v>
      </c>
      <c r="P452" t="s">
        <v>127</v>
      </c>
      <c r="Q452" t="s">
        <v>140</v>
      </c>
      <c r="R452" t="s">
        <v>2446</v>
      </c>
      <c r="S452" t="s">
        <v>2444</v>
      </c>
      <c r="T452" t="s">
        <v>2445</v>
      </c>
      <c r="U452">
        <v>36</v>
      </c>
      <c r="V452" t="s">
        <v>357</v>
      </c>
      <c r="W452" t="s">
        <v>141</v>
      </c>
      <c r="X452" t="s">
        <v>142</v>
      </c>
      <c r="Y452">
        <v>11611</v>
      </c>
      <c r="Z452">
        <v>11612</v>
      </c>
      <c r="AA452" t="s">
        <v>1025</v>
      </c>
      <c r="AB452">
        <v>1</v>
      </c>
    </row>
    <row r="453" spans="1:28">
      <c r="A453">
        <v>1</v>
      </c>
      <c r="B453" t="s">
        <v>1008</v>
      </c>
      <c r="C453" t="s">
        <v>2204</v>
      </c>
      <c r="D453" t="s">
        <v>2205</v>
      </c>
      <c r="E453" t="s">
        <v>1578</v>
      </c>
      <c r="F453" t="s">
        <v>1579</v>
      </c>
      <c r="G453">
        <v>12782.360499999999</v>
      </c>
      <c r="H453">
        <v>460164.97799999994</v>
      </c>
      <c r="I453">
        <v>14046.55</v>
      </c>
      <c r="J453">
        <v>505675.8</v>
      </c>
      <c r="K453">
        <v>14749.75</v>
      </c>
      <c r="L453">
        <v>530991</v>
      </c>
      <c r="M453">
        <v>45616</v>
      </c>
      <c r="O453" t="s">
        <v>326</v>
      </c>
      <c r="P453" t="s">
        <v>127</v>
      </c>
      <c r="Q453" t="s">
        <v>140</v>
      </c>
      <c r="R453" t="s">
        <v>2446</v>
      </c>
      <c r="S453" t="s">
        <v>2444</v>
      </c>
      <c r="T453" t="s">
        <v>2445</v>
      </c>
      <c r="U453">
        <v>36</v>
      </c>
      <c r="V453" t="s">
        <v>357</v>
      </c>
      <c r="W453" t="s">
        <v>141</v>
      </c>
      <c r="X453" t="s">
        <v>142</v>
      </c>
      <c r="Y453">
        <v>11611</v>
      </c>
      <c r="Z453">
        <v>11612</v>
      </c>
      <c r="AA453" t="s">
        <v>1025</v>
      </c>
      <c r="AB453">
        <v>1</v>
      </c>
    </row>
    <row r="454" spans="1:28">
      <c r="A454">
        <v>1</v>
      </c>
      <c r="B454" t="s">
        <v>929</v>
      </c>
      <c r="C454" t="s">
        <v>2293</v>
      </c>
      <c r="D454" t="s">
        <v>2294</v>
      </c>
      <c r="E454" t="s">
        <v>1310</v>
      </c>
      <c r="F454" t="s">
        <v>1311</v>
      </c>
      <c r="G454">
        <v>11600.452499999999</v>
      </c>
      <c r="H454">
        <v>417616.29</v>
      </c>
      <c r="I454">
        <v>12747.75</v>
      </c>
      <c r="J454">
        <v>458919</v>
      </c>
      <c r="K454">
        <v>13738.74</v>
      </c>
      <c r="L454">
        <v>494594.64</v>
      </c>
      <c r="M454">
        <v>45616</v>
      </c>
      <c r="O454" t="s">
        <v>326</v>
      </c>
      <c r="P454" t="s">
        <v>127</v>
      </c>
      <c r="Q454" t="s">
        <v>140</v>
      </c>
      <c r="R454" t="s">
        <v>2446</v>
      </c>
      <c r="S454" t="s">
        <v>2444</v>
      </c>
      <c r="T454" t="s">
        <v>2445</v>
      </c>
      <c r="U454">
        <v>36</v>
      </c>
      <c r="V454" t="s">
        <v>357</v>
      </c>
      <c r="W454" t="s">
        <v>141</v>
      </c>
      <c r="X454" t="s">
        <v>142</v>
      </c>
      <c r="Y454">
        <v>11611</v>
      </c>
      <c r="Z454">
        <v>11612</v>
      </c>
      <c r="AA454" t="s">
        <v>1025</v>
      </c>
      <c r="AB454">
        <v>1</v>
      </c>
    </row>
    <row r="455" spans="1:28">
      <c r="A455">
        <v>1</v>
      </c>
      <c r="B455" t="s">
        <v>939</v>
      </c>
      <c r="C455" t="s">
        <v>2293</v>
      </c>
      <c r="D455" t="s">
        <v>2294</v>
      </c>
      <c r="E455" t="s">
        <v>1314</v>
      </c>
      <c r="F455" t="s">
        <v>1315</v>
      </c>
      <c r="G455">
        <v>11600.452499999999</v>
      </c>
      <c r="H455">
        <v>417616.29</v>
      </c>
      <c r="I455">
        <v>12747.75</v>
      </c>
      <c r="J455">
        <v>458919</v>
      </c>
      <c r="K455">
        <v>13738.74</v>
      </c>
      <c r="L455">
        <v>494594.64</v>
      </c>
      <c r="M455">
        <v>45616</v>
      </c>
      <c r="O455" t="s">
        <v>326</v>
      </c>
      <c r="P455" t="s">
        <v>127</v>
      </c>
      <c r="Q455" t="s">
        <v>140</v>
      </c>
      <c r="R455" t="s">
        <v>2446</v>
      </c>
      <c r="S455" t="s">
        <v>2444</v>
      </c>
      <c r="T455" t="s">
        <v>2445</v>
      </c>
      <c r="U455">
        <v>36</v>
      </c>
      <c r="V455" t="s">
        <v>357</v>
      </c>
      <c r="W455" t="s">
        <v>141</v>
      </c>
      <c r="X455" t="s">
        <v>142</v>
      </c>
      <c r="Y455">
        <v>11611</v>
      </c>
      <c r="Z455">
        <v>11612</v>
      </c>
      <c r="AA455" t="s">
        <v>1025</v>
      </c>
      <c r="AB455">
        <v>1</v>
      </c>
    </row>
    <row r="456" spans="1:28">
      <c r="A456">
        <v>1</v>
      </c>
      <c r="B456" t="s">
        <v>777</v>
      </c>
      <c r="C456" t="s">
        <v>2319</v>
      </c>
      <c r="D456" t="s">
        <v>2320</v>
      </c>
      <c r="E456" t="s">
        <v>1478</v>
      </c>
      <c r="F456" t="s">
        <v>2421</v>
      </c>
      <c r="G456">
        <v>15699.547500000001</v>
      </c>
      <c r="H456">
        <v>565183.71</v>
      </c>
      <c r="I456">
        <v>17252.25</v>
      </c>
      <c r="J456">
        <v>621081</v>
      </c>
      <c r="K456">
        <v>18648.650000000001</v>
      </c>
      <c r="L456">
        <v>671351.4</v>
      </c>
      <c r="M456">
        <v>45616</v>
      </c>
      <c r="O456" t="s">
        <v>326</v>
      </c>
      <c r="P456" t="s">
        <v>127</v>
      </c>
      <c r="Q456" t="s">
        <v>140</v>
      </c>
      <c r="R456" t="s">
        <v>2446</v>
      </c>
      <c r="S456" t="s">
        <v>2444</v>
      </c>
      <c r="T456" t="s">
        <v>2445</v>
      </c>
      <c r="U456">
        <v>36</v>
      </c>
      <c r="V456" t="s">
        <v>357</v>
      </c>
      <c r="W456" t="s">
        <v>141</v>
      </c>
      <c r="X456" t="s">
        <v>142</v>
      </c>
      <c r="Y456">
        <v>11611</v>
      </c>
      <c r="Z456">
        <v>11612</v>
      </c>
      <c r="AA456" t="s">
        <v>1025</v>
      </c>
      <c r="AB456">
        <v>1</v>
      </c>
    </row>
    <row r="457" spans="1:28">
      <c r="A457">
        <v>1</v>
      </c>
      <c r="B457" t="s">
        <v>713</v>
      </c>
      <c r="C457" t="s">
        <v>2319</v>
      </c>
      <c r="D457" t="s">
        <v>2320</v>
      </c>
      <c r="E457" t="s">
        <v>1480</v>
      </c>
      <c r="F457" t="s">
        <v>1479</v>
      </c>
      <c r="G457">
        <v>15057.360499999999</v>
      </c>
      <c r="H457">
        <v>361376.652</v>
      </c>
      <c r="I457">
        <v>16546.55</v>
      </c>
      <c r="J457">
        <v>397117.19999999995</v>
      </c>
      <c r="K457">
        <v>17957.96</v>
      </c>
      <c r="L457">
        <v>430991.04</v>
      </c>
      <c r="M457">
        <v>45616</v>
      </c>
      <c r="O457" t="s">
        <v>326</v>
      </c>
      <c r="P457" t="s">
        <v>127</v>
      </c>
      <c r="Q457" t="s">
        <v>140</v>
      </c>
      <c r="R457" t="s">
        <v>2446</v>
      </c>
      <c r="S457" t="s">
        <v>2444</v>
      </c>
      <c r="T457" t="s">
        <v>2445</v>
      </c>
      <c r="U457">
        <v>24</v>
      </c>
      <c r="V457" t="s">
        <v>357</v>
      </c>
      <c r="W457" t="s">
        <v>141</v>
      </c>
      <c r="X457" t="s">
        <v>142</v>
      </c>
      <c r="Y457">
        <v>11611</v>
      </c>
      <c r="Z457">
        <v>11612</v>
      </c>
      <c r="AA457" t="s">
        <v>1025</v>
      </c>
      <c r="AB457">
        <v>1</v>
      </c>
    </row>
    <row r="458" spans="1:28">
      <c r="A458">
        <v>1</v>
      </c>
      <c r="B458" t="s">
        <v>779</v>
      </c>
      <c r="C458" t="s">
        <v>2319</v>
      </c>
      <c r="D458" t="s">
        <v>2320</v>
      </c>
      <c r="E458" t="s">
        <v>1482</v>
      </c>
      <c r="F458" t="s">
        <v>2422</v>
      </c>
      <c r="G458">
        <v>15699.547500000001</v>
      </c>
      <c r="H458">
        <v>565183.71</v>
      </c>
      <c r="I458">
        <v>17252.25</v>
      </c>
      <c r="J458">
        <v>621081</v>
      </c>
      <c r="K458">
        <v>18648.650000000001</v>
      </c>
      <c r="L458">
        <v>671351.4</v>
      </c>
      <c r="M458">
        <v>45616</v>
      </c>
      <c r="O458" t="s">
        <v>326</v>
      </c>
      <c r="P458" t="s">
        <v>127</v>
      </c>
      <c r="Q458" t="s">
        <v>140</v>
      </c>
      <c r="R458" t="s">
        <v>2446</v>
      </c>
      <c r="S458" t="s">
        <v>2444</v>
      </c>
      <c r="T458" t="s">
        <v>2445</v>
      </c>
      <c r="U458">
        <v>36</v>
      </c>
      <c r="V458" t="s">
        <v>357</v>
      </c>
      <c r="W458" t="s">
        <v>141</v>
      </c>
      <c r="X458" t="s">
        <v>142</v>
      </c>
      <c r="Y458">
        <v>11611</v>
      </c>
      <c r="Z458">
        <v>11612</v>
      </c>
      <c r="AA458" t="s">
        <v>1025</v>
      </c>
      <c r="AB458">
        <v>1</v>
      </c>
    </row>
    <row r="459" spans="1:28">
      <c r="A459">
        <v>1</v>
      </c>
      <c r="B459" t="s">
        <v>714</v>
      </c>
      <c r="C459" t="s">
        <v>2319</v>
      </c>
      <c r="D459" t="s">
        <v>2320</v>
      </c>
      <c r="E459" t="s">
        <v>1484</v>
      </c>
      <c r="F459" t="s">
        <v>1481</v>
      </c>
      <c r="G459">
        <v>15057.360499999999</v>
      </c>
      <c r="H459">
        <v>361376.652</v>
      </c>
      <c r="I459">
        <v>16546.55</v>
      </c>
      <c r="J459">
        <v>397117.19999999995</v>
      </c>
      <c r="K459">
        <v>17957.96</v>
      </c>
      <c r="L459">
        <v>430991.04</v>
      </c>
      <c r="M459">
        <v>45616</v>
      </c>
      <c r="O459" t="s">
        <v>326</v>
      </c>
      <c r="P459" t="s">
        <v>127</v>
      </c>
      <c r="Q459" t="s">
        <v>140</v>
      </c>
      <c r="R459" t="s">
        <v>2446</v>
      </c>
      <c r="S459" t="s">
        <v>2444</v>
      </c>
      <c r="T459" t="s">
        <v>2445</v>
      </c>
      <c r="U459">
        <v>24</v>
      </c>
      <c r="V459" t="s">
        <v>357</v>
      </c>
      <c r="W459" t="s">
        <v>141</v>
      </c>
      <c r="X459" t="s">
        <v>142</v>
      </c>
      <c r="Y459">
        <v>11611</v>
      </c>
      <c r="Z459">
        <v>11612</v>
      </c>
      <c r="AA459" t="s">
        <v>1025</v>
      </c>
      <c r="AB459">
        <v>1</v>
      </c>
    </row>
    <row r="460" spans="1:28">
      <c r="A460">
        <v>1</v>
      </c>
      <c r="B460" t="s">
        <v>780</v>
      </c>
      <c r="C460" t="s">
        <v>2319</v>
      </c>
      <c r="D460" t="s">
        <v>2320</v>
      </c>
      <c r="E460" t="s">
        <v>1486</v>
      </c>
      <c r="F460" t="s">
        <v>1483</v>
      </c>
      <c r="G460">
        <v>0</v>
      </c>
      <c r="H460">
        <v>0</v>
      </c>
      <c r="I460">
        <v>17252.252252252252</v>
      </c>
      <c r="J460">
        <v>621081.08108108107</v>
      </c>
      <c r="K460">
        <v>0</v>
      </c>
      <c r="L460">
        <v>0</v>
      </c>
      <c r="M460">
        <v>45616</v>
      </c>
      <c r="O460" t="s">
        <v>326</v>
      </c>
      <c r="P460" t="s">
        <v>127</v>
      </c>
      <c r="Q460" t="s">
        <v>140</v>
      </c>
      <c r="R460" t="s">
        <v>2446</v>
      </c>
      <c r="S460" t="s">
        <v>2444</v>
      </c>
      <c r="T460" t="s">
        <v>2445</v>
      </c>
      <c r="U460">
        <v>36</v>
      </c>
      <c r="V460" t="s">
        <v>357</v>
      </c>
      <c r="W460" t="s">
        <v>141</v>
      </c>
      <c r="X460" t="s">
        <v>142</v>
      </c>
      <c r="Y460">
        <v>11611</v>
      </c>
      <c r="Z460">
        <v>11612</v>
      </c>
      <c r="AA460" t="s">
        <v>1025</v>
      </c>
      <c r="AB460">
        <v>1</v>
      </c>
    </row>
    <row r="461" spans="1:28">
      <c r="A461">
        <v>1</v>
      </c>
      <c r="B461" t="s">
        <v>782</v>
      </c>
      <c r="C461" t="s">
        <v>2319</v>
      </c>
      <c r="D461" t="s">
        <v>2320</v>
      </c>
      <c r="E461" t="s">
        <v>1488</v>
      </c>
      <c r="F461" t="s">
        <v>1485</v>
      </c>
      <c r="G461">
        <v>15699.547500000001</v>
      </c>
      <c r="H461">
        <v>565183.71</v>
      </c>
      <c r="I461">
        <v>17252.25</v>
      </c>
      <c r="J461">
        <v>621081</v>
      </c>
      <c r="K461">
        <v>18648.650000000001</v>
      </c>
      <c r="L461">
        <v>671351.4</v>
      </c>
      <c r="M461">
        <v>45616</v>
      </c>
      <c r="O461" t="s">
        <v>326</v>
      </c>
      <c r="P461" t="s">
        <v>127</v>
      </c>
      <c r="Q461" t="s">
        <v>140</v>
      </c>
      <c r="R461" t="s">
        <v>2446</v>
      </c>
      <c r="S461" t="s">
        <v>2444</v>
      </c>
      <c r="T461" t="s">
        <v>2445</v>
      </c>
      <c r="U461">
        <v>36</v>
      </c>
      <c r="V461" t="s">
        <v>357</v>
      </c>
      <c r="W461" t="s">
        <v>141</v>
      </c>
      <c r="X461" t="s">
        <v>142</v>
      </c>
      <c r="Y461">
        <v>11611</v>
      </c>
      <c r="Z461">
        <v>11612</v>
      </c>
      <c r="AA461" t="s">
        <v>1025</v>
      </c>
      <c r="AB461">
        <v>1</v>
      </c>
    </row>
    <row r="462" spans="1:28">
      <c r="A462">
        <v>1</v>
      </c>
      <c r="B462" t="s">
        <v>712</v>
      </c>
      <c r="C462" t="s">
        <v>2319</v>
      </c>
      <c r="D462" t="s">
        <v>2320</v>
      </c>
      <c r="E462" t="s">
        <v>1476</v>
      </c>
      <c r="F462" t="s">
        <v>1477</v>
      </c>
      <c r="G462">
        <v>15057.360499999999</v>
      </c>
      <c r="H462">
        <v>361376.652</v>
      </c>
      <c r="I462">
        <v>16546.55</v>
      </c>
      <c r="J462">
        <v>397117.19999999995</v>
      </c>
      <c r="K462">
        <v>17957.96</v>
      </c>
      <c r="L462">
        <v>430991.04</v>
      </c>
      <c r="M462">
        <v>45616</v>
      </c>
      <c r="O462" t="s">
        <v>326</v>
      </c>
      <c r="P462" t="s">
        <v>127</v>
      </c>
      <c r="Q462" t="s">
        <v>140</v>
      </c>
      <c r="R462" t="s">
        <v>2446</v>
      </c>
      <c r="S462" t="s">
        <v>2444</v>
      </c>
      <c r="T462" t="s">
        <v>2445</v>
      </c>
      <c r="U462">
        <v>24</v>
      </c>
      <c r="V462" t="s">
        <v>357</v>
      </c>
      <c r="W462" t="s">
        <v>141</v>
      </c>
      <c r="X462" t="s">
        <v>142</v>
      </c>
      <c r="Y462">
        <v>11611</v>
      </c>
      <c r="Z462">
        <v>11612</v>
      </c>
      <c r="AA462" t="s">
        <v>1025</v>
      </c>
      <c r="AB462">
        <v>1</v>
      </c>
    </row>
    <row r="463" spans="1:28">
      <c r="A463">
        <v>1</v>
      </c>
      <c r="B463" t="s">
        <v>783</v>
      </c>
      <c r="C463" t="s">
        <v>2319</v>
      </c>
      <c r="D463" t="s">
        <v>2320</v>
      </c>
      <c r="E463" t="s">
        <v>2413</v>
      </c>
      <c r="F463" t="s">
        <v>2423</v>
      </c>
      <c r="G463">
        <v>15699.547500000001</v>
      </c>
      <c r="H463">
        <v>565183.71</v>
      </c>
      <c r="I463">
        <v>17252.25</v>
      </c>
      <c r="J463">
        <v>621081</v>
      </c>
      <c r="K463">
        <v>18648.650000000001</v>
      </c>
      <c r="L463">
        <v>671351.4</v>
      </c>
      <c r="M463">
        <v>45616</v>
      </c>
      <c r="O463" t="s">
        <v>326</v>
      </c>
      <c r="P463" t="s">
        <v>127</v>
      </c>
      <c r="Q463" t="s">
        <v>140</v>
      </c>
      <c r="R463" t="s">
        <v>2446</v>
      </c>
      <c r="S463" t="s">
        <v>2444</v>
      </c>
      <c r="T463" t="s">
        <v>2445</v>
      </c>
      <c r="U463">
        <v>36</v>
      </c>
      <c r="V463" t="s">
        <v>357</v>
      </c>
      <c r="W463" t="s">
        <v>141</v>
      </c>
      <c r="X463" t="s">
        <v>142</v>
      </c>
      <c r="Y463">
        <v>11611</v>
      </c>
      <c r="Z463">
        <v>11612</v>
      </c>
      <c r="AA463" t="s">
        <v>1025</v>
      </c>
      <c r="AB463">
        <v>1</v>
      </c>
    </row>
    <row r="464" spans="1:28">
      <c r="A464">
        <v>1</v>
      </c>
      <c r="B464" t="s">
        <v>744</v>
      </c>
      <c r="C464" t="s">
        <v>2321</v>
      </c>
      <c r="D464" t="s">
        <v>2322</v>
      </c>
      <c r="E464" t="s">
        <v>1490</v>
      </c>
      <c r="F464" t="s">
        <v>1491</v>
      </c>
      <c r="G464">
        <v>6148.6516000000001</v>
      </c>
      <c r="H464">
        <v>221351.45759999999</v>
      </c>
      <c r="I464">
        <v>6756.76</v>
      </c>
      <c r="J464">
        <v>243243.36000000002</v>
      </c>
      <c r="K464">
        <v>7297.3</v>
      </c>
      <c r="L464">
        <v>262702.8</v>
      </c>
      <c r="M464">
        <v>45616</v>
      </c>
      <c r="O464" t="s">
        <v>326</v>
      </c>
      <c r="P464" t="s">
        <v>127</v>
      </c>
      <c r="Q464" t="s">
        <v>140</v>
      </c>
      <c r="R464" t="s">
        <v>2446</v>
      </c>
      <c r="S464" t="s">
        <v>2444</v>
      </c>
      <c r="T464" t="s">
        <v>2445</v>
      </c>
      <c r="U464">
        <v>36</v>
      </c>
      <c r="V464" t="s">
        <v>357</v>
      </c>
      <c r="W464" t="s">
        <v>141</v>
      </c>
      <c r="X464" t="s">
        <v>142</v>
      </c>
      <c r="Y464">
        <v>11611</v>
      </c>
      <c r="Z464">
        <v>11612</v>
      </c>
      <c r="AA464" t="s">
        <v>1025</v>
      </c>
      <c r="AB464">
        <v>1</v>
      </c>
    </row>
    <row r="465" spans="1:28">
      <c r="A465">
        <v>1</v>
      </c>
      <c r="B465" t="s">
        <v>745</v>
      </c>
      <c r="C465" t="s">
        <v>2321</v>
      </c>
      <c r="D465" t="s">
        <v>2322</v>
      </c>
      <c r="E465" t="s">
        <v>1492</v>
      </c>
      <c r="F465" t="s">
        <v>1493</v>
      </c>
      <c r="G465">
        <v>12493.1443</v>
      </c>
      <c r="H465">
        <v>449753.1948</v>
      </c>
      <c r="I465">
        <v>13728.73</v>
      </c>
      <c r="J465">
        <v>494234.27999999997</v>
      </c>
      <c r="K465">
        <v>14877.38</v>
      </c>
      <c r="L465">
        <v>535585.67999999993</v>
      </c>
      <c r="M465">
        <v>45616</v>
      </c>
      <c r="O465" t="s">
        <v>326</v>
      </c>
      <c r="P465" t="s">
        <v>127</v>
      </c>
      <c r="Q465" t="s">
        <v>140</v>
      </c>
      <c r="R465" t="s">
        <v>2446</v>
      </c>
      <c r="S465" t="s">
        <v>2444</v>
      </c>
      <c r="T465" t="s">
        <v>2445</v>
      </c>
      <c r="U465">
        <v>36</v>
      </c>
      <c r="V465" t="s">
        <v>357</v>
      </c>
      <c r="W465" t="s">
        <v>141</v>
      </c>
      <c r="X465" t="s">
        <v>142</v>
      </c>
      <c r="Y465">
        <v>11611</v>
      </c>
      <c r="Z465">
        <v>11612</v>
      </c>
      <c r="AA465" t="s">
        <v>1025</v>
      </c>
      <c r="AB465">
        <v>1</v>
      </c>
    </row>
    <row r="466" spans="1:28">
      <c r="A466">
        <v>1</v>
      </c>
      <c r="B466" t="s">
        <v>736</v>
      </c>
      <c r="C466" t="s">
        <v>2321</v>
      </c>
      <c r="D466" t="s">
        <v>2322</v>
      </c>
      <c r="E466" t="s">
        <v>1494</v>
      </c>
      <c r="F466" t="s">
        <v>1495</v>
      </c>
      <c r="G466">
        <v>6148.6516000000001</v>
      </c>
      <c r="H466">
        <v>221351.45759999999</v>
      </c>
      <c r="I466">
        <v>6756.76</v>
      </c>
      <c r="J466">
        <v>243243.36000000002</v>
      </c>
      <c r="K466">
        <v>7297.3</v>
      </c>
      <c r="L466">
        <v>262702.8</v>
      </c>
      <c r="M466">
        <v>45616</v>
      </c>
      <c r="O466" t="s">
        <v>326</v>
      </c>
      <c r="P466" t="s">
        <v>127</v>
      </c>
      <c r="Q466" t="s">
        <v>140</v>
      </c>
      <c r="R466" t="s">
        <v>2446</v>
      </c>
      <c r="S466" t="s">
        <v>2444</v>
      </c>
      <c r="T466" t="s">
        <v>2445</v>
      </c>
      <c r="U466">
        <v>36</v>
      </c>
      <c r="V466" t="s">
        <v>357</v>
      </c>
      <c r="W466" t="s">
        <v>141</v>
      </c>
      <c r="X466" t="s">
        <v>142</v>
      </c>
      <c r="Y466">
        <v>11611</v>
      </c>
      <c r="Z466">
        <v>11612</v>
      </c>
      <c r="AA466" t="s">
        <v>1025</v>
      </c>
      <c r="AB466">
        <v>1</v>
      </c>
    </row>
    <row r="467" spans="1:28">
      <c r="A467">
        <v>1</v>
      </c>
      <c r="B467" t="s">
        <v>737</v>
      </c>
      <c r="C467" t="s">
        <v>2321</v>
      </c>
      <c r="D467" t="s">
        <v>2322</v>
      </c>
      <c r="E467" t="s">
        <v>1496</v>
      </c>
      <c r="F467" t="s">
        <v>1497</v>
      </c>
      <c r="G467">
        <v>12493.1443</v>
      </c>
      <c r="H467">
        <v>449753.1948</v>
      </c>
      <c r="I467">
        <v>13728.73</v>
      </c>
      <c r="J467">
        <v>494234.27999999997</v>
      </c>
      <c r="K467">
        <v>14877.38</v>
      </c>
      <c r="L467">
        <v>535585.67999999993</v>
      </c>
      <c r="M467">
        <v>45616</v>
      </c>
      <c r="O467" t="s">
        <v>326</v>
      </c>
      <c r="P467" t="s">
        <v>127</v>
      </c>
      <c r="Q467" t="s">
        <v>140</v>
      </c>
      <c r="R467" t="s">
        <v>2446</v>
      </c>
      <c r="S467" t="s">
        <v>2444</v>
      </c>
      <c r="T467" t="s">
        <v>2445</v>
      </c>
      <c r="U467">
        <v>36</v>
      </c>
      <c r="V467" t="s">
        <v>357</v>
      </c>
      <c r="W467" t="s">
        <v>141</v>
      </c>
      <c r="X467" t="s">
        <v>142</v>
      </c>
      <c r="Y467">
        <v>11611</v>
      </c>
      <c r="Z467">
        <v>11612</v>
      </c>
      <c r="AA467" t="s">
        <v>1025</v>
      </c>
      <c r="AB467">
        <v>1</v>
      </c>
    </row>
    <row r="468" spans="1:28">
      <c r="A468">
        <v>1</v>
      </c>
      <c r="B468" t="s">
        <v>748</v>
      </c>
      <c r="C468" t="s">
        <v>2321</v>
      </c>
      <c r="D468" t="s">
        <v>2322</v>
      </c>
      <c r="E468" t="s">
        <v>1498</v>
      </c>
      <c r="F468" t="s">
        <v>1499</v>
      </c>
      <c r="G468">
        <v>6148.6516000000001</v>
      </c>
      <c r="H468">
        <v>221351.45759999999</v>
      </c>
      <c r="I468">
        <v>6756.76</v>
      </c>
      <c r="J468">
        <v>243243.36000000002</v>
      </c>
      <c r="K468">
        <v>7297.3</v>
      </c>
      <c r="L468">
        <v>262702.8</v>
      </c>
      <c r="M468">
        <v>45616</v>
      </c>
      <c r="O468" t="s">
        <v>326</v>
      </c>
      <c r="P468" t="s">
        <v>127</v>
      </c>
      <c r="Q468" t="s">
        <v>140</v>
      </c>
      <c r="R468" t="s">
        <v>2446</v>
      </c>
      <c r="S468" t="s">
        <v>2444</v>
      </c>
      <c r="T468" t="s">
        <v>2445</v>
      </c>
      <c r="U468">
        <v>36</v>
      </c>
      <c r="V468" t="s">
        <v>357</v>
      </c>
      <c r="W468" t="s">
        <v>141</v>
      </c>
      <c r="X468" t="s">
        <v>142</v>
      </c>
      <c r="Y468">
        <v>11611</v>
      </c>
      <c r="Z468">
        <v>11612</v>
      </c>
      <c r="AA468" t="s">
        <v>1025</v>
      </c>
      <c r="AB468">
        <v>1</v>
      </c>
    </row>
    <row r="469" spans="1:28">
      <c r="A469">
        <v>1</v>
      </c>
      <c r="B469" t="s">
        <v>749</v>
      </c>
      <c r="C469" t="s">
        <v>2321</v>
      </c>
      <c r="D469" t="s">
        <v>2322</v>
      </c>
      <c r="E469" t="s">
        <v>1500</v>
      </c>
      <c r="F469" t="s">
        <v>1501</v>
      </c>
      <c r="G469">
        <v>12493.1443</v>
      </c>
      <c r="H469">
        <v>449753.1948</v>
      </c>
      <c r="I469">
        <v>13728.73</v>
      </c>
      <c r="J469">
        <v>494234.27999999997</v>
      </c>
      <c r="K469">
        <v>14877.38</v>
      </c>
      <c r="L469">
        <v>535585.67999999993</v>
      </c>
      <c r="M469">
        <v>45616</v>
      </c>
      <c r="O469" t="s">
        <v>326</v>
      </c>
      <c r="P469" t="s">
        <v>127</v>
      </c>
      <c r="Q469" t="s">
        <v>140</v>
      </c>
      <c r="R469" t="s">
        <v>2446</v>
      </c>
      <c r="S469" t="s">
        <v>2444</v>
      </c>
      <c r="T469" t="s">
        <v>2445</v>
      </c>
      <c r="U469">
        <v>36</v>
      </c>
      <c r="V469" t="s">
        <v>357</v>
      </c>
      <c r="W469" t="s">
        <v>141</v>
      </c>
      <c r="X469" t="s">
        <v>142</v>
      </c>
      <c r="Y469">
        <v>11611</v>
      </c>
      <c r="Z469">
        <v>11612</v>
      </c>
      <c r="AA469" t="s">
        <v>1025</v>
      </c>
      <c r="AB469">
        <v>1</v>
      </c>
    </row>
    <row r="470" spans="1:28">
      <c r="A470">
        <v>1</v>
      </c>
      <c r="B470" t="s">
        <v>785</v>
      </c>
      <c r="C470" t="s">
        <v>2319</v>
      </c>
      <c r="D470" t="s">
        <v>2320</v>
      </c>
      <c r="E470" t="s">
        <v>2415</v>
      </c>
      <c r="F470" t="s">
        <v>1489</v>
      </c>
      <c r="G470">
        <v>15699.547500000001</v>
      </c>
      <c r="H470">
        <v>565183.71</v>
      </c>
      <c r="I470">
        <v>17252.25</v>
      </c>
      <c r="J470">
        <v>621081</v>
      </c>
      <c r="K470">
        <v>18648.650000000001</v>
      </c>
      <c r="L470">
        <v>671351.4</v>
      </c>
      <c r="M470">
        <v>45616</v>
      </c>
      <c r="O470" t="s">
        <v>326</v>
      </c>
      <c r="P470" t="s">
        <v>127</v>
      </c>
      <c r="Q470" t="s">
        <v>140</v>
      </c>
      <c r="R470" t="s">
        <v>2446</v>
      </c>
      <c r="S470" t="s">
        <v>2444</v>
      </c>
      <c r="T470" t="s">
        <v>2445</v>
      </c>
      <c r="U470">
        <v>36</v>
      </c>
      <c r="V470" t="s">
        <v>357</v>
      </c>
      <c r="W470" t="s">
        <v>141</v>
      </c>
      <c r="X470" t="s">
        <v>142</v>
      </c>
      <c r="Y470">
        <v>11611</v>
      </c>
      <c r="Z470">
        <v>11612</v>
      </c>
      <c r="AA470" t="s">
        <v>1025</v>
      </c>
      <c r="AB470">
        <v>1</v>
      </c>
    </row>
    <row r="471" spans="1:28">
      <c r="A471">
        <v>1</v>
      </c>
      <c r="B471" t="s">
        <v>759</v>
      </c>
      <c r="C471" t="s">
        <v>2317</v>
      </c>
      <c r="D471" t="s">
        <v>2318</v>
      </c>
      <c r="E471" t="s">
        <v>2403</v>
      </c>
      <c r="F471" t="s">
        <v>1475</v>
      </c>
      <c r="G471">
        <v>11901.052799999999</v>
      </c>
      <c r="H471">
        <v>428437.9008</v>
      </c>
      <c r="I471">
        <v>13078.08</v>
      </c>
      <c r="J471">
        <v>470810.88</v>
      </c>
      <c r="K471">
        <v>14081.58</v>
      </c>
      <c r="L471">
        <v>506936.88</v>
      </c>
      <c r="M471">
        <v>45616</v>
      </c>
      <c r="O471" t="s">
        <v>326</v>
      </c>
      <c r="P471" t="s">
        <v>127</v>
      </c>
      <c r="Q471" t="s">
        <v>140</v>
      </c>
      <c r="R471" t="s">
        <v>2446</v>
      </c>
      <c r="S471" t="s">
        <v>2444</v>
      </c>
      <c r="T471" t="s">
        <v>2445</v>
      </c>
      <c r="U471">
        <v>36</v>
      </c>
      <c r="V471" t="s">
        <v>357</v>
      </c>
      <c r="W471" t="s">
        <v>141</v>
      </c>
      <c r="X471" t="s">
        <v>142</v>
      </c>
      <c r="Y471">
        <v>11611</v>
      </c>
      <c r="Z471">
        <v>11612</v>
      </c>
      <c r="AA471" t="s">
        <v>1025</v>
      </c>
      <c r="AB471">
        <v>1</v>
      </c>
    </row>
    <row r="472" spans="1:28">
      <c r="A472">
        <v>1</v>
      </c>
      <c r="B472" t="s">
        <v>758</v>
      </c>
      <c r="C472" t="s">
        <v>2317</v>
      </c>
      <c r="D472" t="s">
        <v>2318</v>
      </c>
      <c r="E472" t="s">
        <v>2402</v>
      </c>
      <c r="F472" t="s">
        <v>1474</v>
      </c>
      <c r="G472">
        <v>6394.5972999999994</v>
      </c>
      <c r="H472">
        <v>230205.50279999999</v>
      </c>
      <c r="I472">
        <v>7027.03</v>
      </c>
      <c r="J472">
        <v>252973.08</v>
      </c>
      <c r="K472">
        <v>7612.61</v>
      </c>
      <c r="L472">
        <v>274053.95999999996</v>
      </c>
      <c r="M472">
        <v>45616</v>
      </c>
      <c r="O472" t="s">
        <v>326</v>
      </c>
      <c r="P472" t="s">
        <v>127</v>
      </c>
      <c r="Q472" t="s">
        <v>140</v>
      </c>
      <c r="R472" t="s">
        <v>2446</v>
      </c>
      <c r="S472" t="s">
        <v>2444</v>
      </c>
      <c r="T472" t="s">
        <v>2445</v>
      </c>
      <c r="U472">
        <v>36</v>
      </c>
      <c r="V472" t="s">
        <v>357</v>
      </c>
      <c r="W472" t="s">
        <v>141</v>
      </c>
      <c r="X472" t="s">
        <v>142</v>
      </c>
      <c r="Y472">
        <v>11611</v>
      </c>
      <c r="Z472">
        <v>11612</v>
      </c>
      <c r="AA472" t="s">
        <v>1025</v>
      </c>
      <c r="AB472">
        <v>1</v>
      </c>
    </row>
    <row r="473" spans="1:28">
      <c r="A473">
        <v>1</v>
      </c>
      <c r="B473" t="s">
        <v>765</v>
      </c>
      <c r="C473" t="s">
        <v>2317</v>
      </c>
      <c r="D473" t="s">
        <v>2318</v>
      </c>
      <c r="E473" t="s">
        <v>2401</v>
      </c>
      <c r="F473" t="s">
        <v>1473</v>
      </c>
      <c r="G473">
        <v>11901.052799999999</v>
      </c>
      <c r="H473">
        <v>428437.9008</v>
      </c>
      <c r="I473">
        <v>13078.08</v>
      </c>
      <c r="J473">
        <v>470810.88</v>
      </c>
      <c r="K473">
        <v>14081.58</v>
      </c>
      <c r="L473">
        <v>506936.88</v>
      </c>
      <c r="M473">
        <v>45616</v>
      </c>
      <c r="O473" t="s">
        <v>326</v>
      </c>
      <c r="P473" t="s">
        <v>127</v>
      </c>
      <c r="Q473" t="s">
        <v>140</v>
      </c>
      <c r="R473" t="s">
        <v>2446</v>
      </c>
      <c r="S473" t="s">
        <v>2444</v>
      </c>
      <c r="T473" t="s">
        <v>2445</v>
      </c>
      <c r="U473">
        <v>36</v>
      </c>
      <c r="V473" t="s">
        <v>357</v>
      </c>
      <c r="W473" t="s">
        <v>141</v>
      </c>
      <c r="X473" t="s">
        <v>142</v>
      </c>
      <c r="Y473">
        <v>11611</v>
      </c>
      <c r="Z473">
        <v>11612</v>
      </c>
      <c r="AA473" t="s">
        <v>1025</v>
      </c>
      <c r="AB473">
        <v>1</v>
      </c>
    </row>
    <row r="474" spans="1:28">
      <c r="A474">
        <v>1</v>
      </c>
      <c r="B474" t="s">
        <v>697</v>
      </c>
      <c r="C474" t="s">
        <v>2317</v>
      </c>
      <c r="D474" t="s">
        <v>2318</v>
      </c>
      <c r="E474" t="s">
        <v>2389</v>
      </c>
      <c r="F474" t="s">
        <v>1456</v>
      </c>
      <c r="G474">
        <v>2234.0045</v>
      </c>
      <c r="H474">
        <v>160848.32399999999</v>
      </c>
      <c r="I474">
        <v>2454.9499999999998</v>
      </c>
      <c r="J474">
        <v>176756.4</v>
      </c>
      <c r="K474">
        <v>2727.73</v>
      </c>
      <c r="L474">
        <v>196396.56</v>
      </c>
      <c r="M474">
        <v>45616</v>
      </c>
      <c r="O474" t="s">
        <v>326</v>
      </c>
      <c r="P474" t="s">
        <v>127</v>
      </c>
      <c r="Q474" t="s">
        <v>140</v>
      </c>
      <c r="R474" t="s">
        <v>2446</v>
      </c>
      <c r="S474" t="s">
        <v>2444</v>
      </c>
      <c r="T474" t="s">
        <v>2445</v>
      </c>
      <c r="U474">
        <v>72</v>
      </c>
      <c r="V474" t="s">
        <v>357</v>
      </c>
      <c r="W474" t="s">
        <v>141</v>
      </c>
      <c r="X474" t="s">
        <v>142</v>
      </c>
      <c r="Y474">
        <v>11611</v>
      </c>
      <c r="Z474">
        <v>11612</v>
      </c>
      <c r="AA474" t="s">
        <v>1025</v>
      </c>
      <c r="AB474">
        <v>1</v>
      </c>
    </row>
    <row r="475" spans="1:28">
      <c r="A475">
        <v>1</v>
      </c>
      <c r="B475" t="s">
        <v>698</v>
      </c>
      <c r="C475" t="s">
        <v>2317</v>
      </c>
      <c r="D475" t="s">
        <v>2318</v>
      </c>
      <c r="E475" t="s">
        <v>2390</v>
      </c>
      <c r="F475" t="s">
        <v>1457</v>
      </c>
      <c r="G475">
        <v>6394.5972999999994</v>
      </c>
      <c r="H475">
        <v>230205.50279999999</v>
      </c>
      <c r="I475">
        <v>7027.03</v>
      </c>
      <c r="J475">
        <v>252973.08</v>
      </c>
      <c r="K475">
        <v>7612.61</v>
      </c>
      <c r="L475">
        <v>274053.95999999996</v>
      </c>
      <c r="M475">
        <v>45616</v>
      </c>
      <c r="O475" t="s">
        <v>326</v>
      </c>
      <c r="P475" t="s">
        <v>127</v>
      </c>
      <c r="Q475" t="s">
        <v>140</v>
      </c>
      <c r="R475" t="s">
        <v>2446</v>
      </c>
      <c r="S475" t="s">
        <v>2444</v>
      </c>
      <c r="T475" t="s">
        <v>2445</v>
      </c>
      <c r="U475">
        <v>36</v>
      </c>
      <c r="V475" t="s">
        <v>357</v>
      </c>
      <c r="W475" t="s">
        <v>141</v>
      </c>
      <c r="X475" t="s">
        <v>142</v>
      </c>
      <c r="Y475">
        <v>11611</v>
      </c>
      <c r="Z475">
        <v>11612</v>
      </c>
      <c r="AA475" t="s">
        <v>1025</v>
      </c>
      <c r="AB475">
        <v>1</v>
      </c>
    </row>
    <row r="476" spans="1:28">
      <c r="A476">
        <v>1</v>
      </c>
      <c r="B476" t="s">
        <v>699</v>
      </c>
      <c r="C476" t="s">
        <v>2317</v>
      </c>
      <c r="D476" t="s">
        <v>2318</v>
      </c>
      <c r="E476" t="s">
        <v>2391</v>
      </c>
      <c r="F476" t="s">
        <v>1458</v>
      </c>
      <c r="G476">
        <v>11901.052799999999</v>
      </c>
      <c r="H476">
        <v>428437.9008</v>
      </c>
      <c r="I476">
        <v>13078.08</v>
      </c>
      <c r="J476">
        <v>470810.88</v>
      </c>
      <c r="K476">
        <v>14081.58</v>
      </c>
      <c r="L476">
        <v>506936.88</v>
      </c>
      <c r="M476">
        <v>45616</v>
      </c>
      <c r="O476" t="s">
        <v>326</v>
      </c>
      <c r="P476" t="s">
        <v>127</v>
      </c>
      <c r="Q476" t="s">
        <v>140</v>
      </c>
      <c r="R476" t="s">
        <v>2446</v>
      </c>
      <c r="S476" t="s">
        <v>2444</v>
      </c>
      <c r="T476" t="s">
        <v>2445</v>
      </c>
      <c r="U476">
        <v>36</v>
      </c>
      <c r="V476" t="s">
        <v>357</v>
      </c>
      <c r="W476" t="s">
        <v>141</v>
      </c>
      <c r="X476" t="s">
        <v>142</v>
      </c>
      <c r="Y476">
        <v>11611</v>
      </c>
      <c r="Z476">
        <v>11612</v>
      </c>
      <c r="AA476" t="s">
        <v>1025</v>
      </c>
      <c r="AB476">
        <v>1</v>
      </c>
    </row>
    <row r="477" spans="1:28">
      <c r="A477">
        <v>1</v>
      </c>
      <c r="B477" t="s">
        <v>755</v>
      </c>
      <c r="C477" t="s">
        <v>2317</v>
      </c>
      <c r="D477" t="s">
        <v>2318</v>
      </c>
      <c r="E477" t="s">
        <v>2392</v>
      </c>
      <c r="F477" t="s">
        <v>1459</v>
      </c>
      <c r="G477">
        <v>40314.710800000001</v>
      </c>
      <c r="H477">
        <v>483776.52960000001</v>
      </c>
      <c r="I477">
        <v>44301.88</v>
      </c>
      <c r="J477">
        <v>531622.55999999994</v>
      </c>
      <c r="K477">
        <v>47841.29</v>
      </c>
      <c r="L477">
        <v>574095.48</v>
      </c>
      <c r="M477">
        <v>45616</v>
      </c>
      <c r="O477" t="s">
        <v>326</v>
      </c>
      <c r="P477" t="s">
        <v>127</v>
      </c>
      <c r="Q477" t="s">
        <v>140</v>
      </c>
      <c r="R477" t="s">
        <v>2446</v>
      </c>
      <c r="S477" t="s">
        <v>2444</v>
      </c>
      <c r="T477" t="s">
        <v>2445</v>
      </c>
      <c r="U477">
        <v>12</v>
      </c>
      <c r="V477" t="s">
        <v>357</v>
      </c>
      <c r="W477" t="s">
        <v>141</v>
      </c>
      <c r="X477" t="s">
        <v>142</v>
      </c>
      <c r="Y477">
        <v>11611</v>
      </c>
      <c r="Z477">
        <v>11612</v>
      </c>
      <c r="AA477" t="s">
        <v>1025</v>
      </c>
      <c r="AB477">
        <v>1</v>
      </c>
    </row>
    <row r="478" spans="1:28">
      <c r="A478">
        <v>1</v>
      </c>
      <c r="B478" t="s">
        <v>756</v>
      </c>
      <c r="C478" t="s">
        <v>2317</v>
      </c>
      <c r="D478" t="s">
        <v>2318</v>
      </c>
      <c r="E478" t="s">
        <v>1460</v>
      </c>
      <c r="F478" t="s">
        <v>1461</v>
      </c>
      <c r="G478">
        <v>0</v>
      </c>
      <c r="H478">
        <v>0</v>
      </c>
      <c r="I478">
        <v>29639.639639639634</v>
      </c>
      <c r="J478">
        <v>355675.67567567562</v>
      </c>
      <c r="K478">
        <v>0</v>
      </c>
      <c r="L478">
        <v>0</v>
      </c>
      <c r="M478">
        <v>45616</v>
      </c>
      <c r="O478" t="s">
        <v>326</v>
      </c>
      <c r="P478" t="s">
        <v>127</v>
      </c>
      <c r="Q478" t="s">
        <v>140</v>
      </c>
      <c r="R478" t="s">
        <v>2446</v>
      </c>
      <c r="S478" t="s">
        <v>2444</v>
      </c>
      <c r="T478" t="s">
        <v>2445</v>
      </c>
      <c r="U478">
        <v>12</v>
      </c>
      <c r="V478" t="s">
        <v>356</v>
      </c>
      <c r="W478" t="s">
        <v>141</v>
      </c>
      <c r="X478" t="s">
        <v>142</v>
      </c>
      <c r="Y478">
        <v>11611</v>
      </c>
      <c r="Z478">
        <v>11612</v>
      </c>
      <c r="AA478" t="s">
        <v>1025</v>
      </c>
      <c r="AB478">
        <v>1</v>
      </c>
    </row>
    <row r="479" spans="1:28">
      <c r="A479">
        <v>1</v>
      </c>
      <c r="B479" t="s">
        <v>700</v>
      </c>
      <c r="C479" t="s">
        <v>2317</v>
      </c>
      <c r="D479" t="s">
        <v>2318</v>
      </c>
      <c r="E479" t="s">
        <v>1462</v>
      </c>
      <c r="F479" t="s">
        <v>2420</v>
      </c>
      <c r="G479">
        <v>0</v>
      </c>
      <c r="H479">
        <v>0</v>
      </c>
      <c r="I479">
        <v>405.40540540540536</v>
      </c>
      <c r="J479">
        <v>9729.7297297297282</v>
      </c>
      <c r="K479">
        <v>0</v>
      </c>
      <c r="L479">
        <v>0</v>
      </c>
      <c r="M479">
        <v>45616</v>
      </c>
      <c r="O479" t="s">
        <v>326</v>
      </c>
      <c r="P479" t="s">
        <v>127</v>
      </c>
      <c r="Q479" t="s">
        <v>140</v>
      </c>
      <c r="R479" t="s">
        <v>2446</v>
      </c>
      <c r="S479" t="s">
        <v>2444</v>
      </c>
      <c r="T479" t="s">
        <v>2445</v>
      </c>
      <c r="U479">
        <v>24</v>
      </c>
      <c r="V479" t="s">
        <v>1027</v>
      </c>
      <c r="W479" t="s">
        <v>141</v>
      </c>
      <c r="X479" t="s">
        <v>142</v>
      </c>
      <c r="Y479">
        <v>11611</v>
      </c>
      <c r="Z479">
        <v>11612</v>
      </c>
      <c r="AA479" t="s">
        <v>1025</v>
      </c>
      <c r="AB479">
        <v>1</v>
      </c>
    </row>
    <row r="480" spans="1:28">
      <c r="A480">
        <v>1</v>
      </c>
      <c r="B480" t="s">
        <v>701</v>
      </c>
      <c r="C480" t="s">
        <v>2317</v>
      </c>
      <c r="D480" t="s">
        <v>2318</v>
      </c>
      <c r="E480" t="s">
        <v>2393</v>
      </c>
      <c r="F480" t="s">
        <v>1463</v>
      </c>
      <c r="G480">
        <v>368.92310000000003</v>
      </c>
      <c r="H480">
        <v>44270.772000000004</v>
      </c>
      <c r="I480">
        <v>405.41</v>
      </c>
      <c r="J480">
        <v>48649.200000000004</v>
      </c>
      <c r="K480">
        <v>855.86</v>
      </c>
      <c r="L480">
        <v>102703.2</v>
      </c>
      <c r="M480">
        <v>45616</v>
      </c>
      <c r="O480" t="s">
        <v>326</v>
      </c>
      <c r="P480" t="s">
        <v>127</v>
      </c>
      <c r="Q480" t="s">
        <v>140</v>
      </c>
      <c r="R480" t="s">
        <v>2446</v>
      </c>
      <c r="S480" t="s">
        <v>2444</v>
      </c>
      <c r="T480" t="s">
        <v>2445</v>
      </c>
      <c r="U480">
        <v>120</v>
      </c>
      <c r="V480" t="s">
        <v>1022</v>
      </c>
      <c r="W480" t="s">
        <v>141</v>
      </c>
      <c r="X480" t="s">
        <v>142</v>
      </c>
      <c r="Y480">
        <v>11611</v>
      </c>
      <c r="Z480">
        <v>11612</v>
      </c>
      <c r="AA480" t="s">
        <v>1025</v>
      </c>
      <c r="AB480">
        <v>1</v>
      </c>
    </row>
    <row r="481" spans="1:28">
      <c r="A481">
        <v>1</v>
      </c>
      <c r="B481" t="s">
        <v>703</v>
      </c>
      <c r="C481" t="s">
        <v>2317</v>
      </c>
      <c r="D481" t="s">
        <v>2318</v>
      </c>
      <c r="E481" t="s">
        <v>2394</v>
      </c>
      <c r="F481" t="s">
        <v>1464</v>
      </c>
      <c r="G481">
        <v>2234.0045</v>
      </c>
      <c r="H481">
        <v>160848.32399999999</v>
      </c>
      <c r="I481">
        <v>2454.9499999999998</v>
      </c>
      <c r="J481">
        <v>176756.4</v>
      </c>
      <c r="K481">
        <v>2727.73</v>
      </c>
      <c r="L481">
        <v>196396.56</v>
      </c>
      <c r="M481">
        <v>45616</v>
      </c>
      <c r="O481" t="s">
        <v>326</v>
      </c>
      <c r="P481" t="s">
        <v>127</v>
      </c>
      <c r="Q481" t="s">
        <v>140</v>
      </c>
      <c r="R481" t="s">
        <v>2446</v>
      </c>
      <c r="S481" t="s">
        <v>2444</v>
      </c>
      <c r="T481" t="s">
        <v>2445</v>
      </c>
      <c r="U481">
        <v>72</v>
      </c>
      <c r="V481" t="s">
        <v>357</v>
      </c>
      <c r="W481" t="s">
        <v>141</v>
      </c>
      <c r="X481" t="s">
        <v>142</v>
      </c>
      <c r="Y481">
        <v>11611</v>
      </c>
      <c r="Z481">
        <v>11612</v>
      </c>
      <c r="AA481" t="s">
        <v>1025</v>
      </c>
      <c r="AB481">
        <v>1</v>
      </c>
    </row>
    <row r="482" spans="1:28">
      <c r="A482">
        <v>1</v>
      </c>
      <c r="B482" t="s">
        <v>704</v>
      </c>
      <c r="C482" t="s">
        <v>2317</v>
      </c>
      <c r="D482" t="s">
        <v>2318</v>
      </c>
      <c r="E482" t="s">
        <v>2395</v>
      </c>
      <c r="F482" t="s">
        <v>1465</v>
      </c>
      <c r="G482">
        <v>6394.5972999999994</v>
      </c>
      <c r="H482">
        <v>230205.50279999999</v>
      </c>
      <c r="I482">
        <v>7027.03</v>
      </c>
      <c r="J482">
        <v>252973.08</v>
      </c>
      <c r="K482">
        <v>7612.61</v>
      </c>
      <c r="L482">
        <v>274053.95999999996</v>
      </c>
      <c r="M482">
        <v>45616</v>
      </c>
      <c r="O482" t="s">
        <v>326</v>
      </c>
      <c r="P482" t="s">
        <v>127</v>
      </c>
      <c r="Q482" t="s">
        <v>140</v>
      </c>
      <c r="R482" t="s">
        <v>2446</v>
      </c>
      <c r="S482" t="s">
        <v>2444</v>
      </c>
      <c r="T482" t="s">
        <v>2445</v>
      </c>
      <c r="U482">
        <v>36</v>
      </c>
      <c r="V482" t="s">
        <v>357</v>
      </c>
      <c r="W482" t="s">
        <v>141</v>
      </c>
      <c r="X482" t="s">
        <v>142</v>
      </c>
      <c r="Y482">
        <v>11611</v>
      </c>
      <c r="Z482">
        <v>11612</v>
      </c>
      <c r="AA482" t="s">
        <v>1025</v>
      </c>
      <c r="AB482">
        <v>1</v>
      </c>
    </row>
    <row r="483" spans="1:28">
      <c r="A483">
        <v>1</v>
      </c>
      <c r="B483" t="s">
        <v>705</v>
      </c>
      <c r="C483" t="s">
        <v>2317</v>
      </c>
      <c r="D483" t="s">
        <v>2318</v>
      </c>
      <c r="E483" t="s">
        <v>2396</v>
      </c>
      <c r="F483" t="s">
        <v>1466</v>
      </c>
      <c r="G483">
        <v>11901.052799999999</v>
      </c>
      <c r="H483">
        <v>428437.9008</v>
      </c>
      <c r="I483">
        <v>13078.08</v>
      </c>
      <c r="J483">
        <v>470810.88</v>
      </c>
      <c r="K483">
        <v>14081.58</v>
      </c>
      <c r="L483">
        <v>506936.88</v>
      </c>
      <c r="M483">
        <v>45616</v>
      </c>
      <c r="O483" t="s">
        <v>326</v>
      </c>
      <c r="P483" t="s">
        <v>127</v>
      </c>
      <c r="Q483" t="s">
        <v>140</v>
      </c>
      <c r="R483" t="s">
        <v>2446</v>
      </c>
      <c r="S483" t="s">
        <v>2444</v>
      </c>
      <c r="T483" t="s">
        <v>2445</v>
      </c>
      <c r="U483">
        <v>36</v>
      </c>
      <c r="V483" t="s">
        <v>357</v>
      </c>
      <c r="W483" t="s">
        <v>141</v>
      </c>
      <c r="X483" t="s">
        <v>142</v>
      </c>
      <c r="Y483">
        <v>11611</v>
      </c>
      <c r="Z483">
        <v>11612</v>
      </c>
      <c r="AA483" t="s">
        <v>1025</v>
      </c>
      <c r="AB483">
        <v>1</v>
      </c>
    </row>
    <row r="484" spans="1:28">
      <c r="A484">
        <v>1</v>
      </c>
      <c r="B484" t="s">
        <v>761</v>
      </c>
      <c r="C484" t="s">
        <v>2317</v>
      </c>
      <c r="D484" t="s">
        <v>2318</v>
      </c>
      <c r="E484" t="s">
        <v>2397</v>
      </c>
      <c r="F484" t="s">
        <v>1467</v>
      </c>
      <c r="G484">
        <v>40314.710800000001</v>
      </c>
      <c r="H484">
        <v>483776.52960000001</v>
      </c>
      <c r="I484">
        <v>44301.88</v>
      </c>
      <c r="J484">
        <v>531622.55999999994</v>
      </c>
      <c r="K484">
        <v>47841.29</v>
      </c>
      <c r="L484">
        <v>574095.48</v>
      </c>
      <c r="M484">
        <v>45616</v>
      </c>
      <c r="O484" t="s">
        <v>326</v>
      </c>
      <c r="P484" t="s">
        <v>127</v>
      </c>
      <c r="Q484" t="s">
        <v>140</v>
      </c>
      <c r="R484" t="s">
        <v>2446</v>
      </c>
      <c r="S484" t="s">
        <v>2444</v>
      </c>
      <c r="T484" t="s">
        <v>2445</v>
      </c>
      <c r="U484">
        <v>12</v>
      </c>
      <c r="V484" t="s">
        <v>357</v>
      </c>
      <c r="W484" t="s">
        <v>141</v>
      </c>
      <c r="X484" t="s">
        <v>142</v>
      </c>
      <c r="Y484">
        <v>11611</v>
      </c>
      <c r="Z484">
        <v>11612</v>
      </c>
      <c r="AA484" t="s">
        <v>1025</v>
      </c>
      <c r="AB484">
        <v>1</v>
      </c>
    </row>
    <row r="485" spans="1:28">
      <c r="A485">
        <v>1</v>
      </c>
      <c r="B485" t="s">
        <v>762</v>
      </c>
      <c r="C485" t="s">
        <v>2317</v>
      </c>
      <c r="D485" t="s">
        <v>2318</v>
      </c>
      <c r="E485" t="s">
        <v>1468</v>
      </c>
      <c r="F485" t="s">
        <v>1469</v>
      </c>
      <c r="G485">
        <v>26972.072400000001</v>
      </c>
      <c r="H485">
        <v>323664.8688</v>
      </c>
      <c r="I485">
        <v>29639.64</v>
      </c>
      <c r="J485">
        <v>355675.68</v>
      </c>
      <c r="K485">
        <v>32004.5</v>
      </c>
      <c r="L485">
        <v>384054</v>
      </c>
      <c r="M485">
        <v>45616</v>
      </c>
      <c r="O485" t="s">
        <v>326</v>
      </c>
      <c r="P485" t="s">
        <v>127</v>
      </c>
      <c r="Q485" t="s">
        <v>140</v>
      </c>
      <c r="R485" t="s">
        <v>2446</v>
      </c>
      <c r="S485" t="s">
        <v>2444</v>
      </c>
      <c r="T485" t="s">
        <v>2445</v>
      </c>
      <c r="U485">
        <v>12</v>
      </c>
      <c r="V485" t="s">
        <v>356</v>
      </c>
      <c r="W485" t="s">
        <v>141</v>
      </c>
      <c r="X485" t="s">
        <v>142</v>
      </c>
      <c r="Y485">
        <v>11611</v>
      </c>
      <c r="Z485">
        <v>11612</v>
      </c>
      <c r="AA485" t="s">
        <v>1025</v>
      </c>
      <c r="AB485">
        <v>1</v>
      </c>
    </row>
    <row r="486" spans="1:28">
      <c r="A486">
        <v>1</v>
      </c>
      <c r="B486" t="s">
        <v>763</v>
      </c>
      <c r="C486" t="s">
        <v>2317</v>
      </c>
      <c r="D486" t="s">
        <v>2318</v>
      </c>
      <c r="E486" t="s">
        <v>2398</v>
      </c>
      <c r="F486" t="s">
        <v>1470</v>
      </c>
      <c r="G486">
        <v>11901.052799999999</v>
      </c>
      <c r="H486">
        <v>428437.9008</v>
      </c>
      <c r="I486">
        <v>13078.08</v>
      </c>
      <c r="J486">
        <v>470810.88</v>
      </c>
      <c r="K486">
        <v>14081.58</v>
      </c>
      <c r="L486">
        <v>506936.88</v>
      </c>
      <c r="M486">
        <v>45616</v>
      </c>
      <c r="O486" t="s">
        <v>326</v>
      </c>
      <c r="P486" t="s">
        <v>127</v>
      </c>
      <c r="Q486" t="s">
        <v>140</v>
      </c>
      <c r="R486" t="s">
        <v>2446</v>
      </c>
      <c r="S486" t="s">
        <v>2444</v>
      </c>
      <c r="T486" t="s">
        <v>2445</v>
      </c>
      <c r="U486">
        <v>36</v>
      </c>
      <c r="V486" t="s">
        <v>357</v>
      </c>
      <c r="W486" t="s">
        <v>141</v>
      </c>
      <c r="X486" t="s">
        <v>142</v>
      </c>
      <c r="Y486">
        <v>11611</v>
      </c>
      <c r="Z486">
        <v>11612</v>
      </c>
      <c r="AA486" t="s">
        <v>1025</v>
      </c>
      <c r="AB486">
        <v>1</v>
      </c>
    </row>
    <row r="487" spans="1:28">
      <c r="A487">
        <v>1</v>
      </c>
      <c r="B487" t="s">
        <v>774</v>
      </c>
      <c r="C487" t="s">
        <v>2317</v>
      </c>
      <c r="D487" t="s">
        <v>2318</v>
      </c>
      <c r="E487" t="s">
        <v>2399</v>
      </c>
      <c r="F487" t="s">
        <v>1471</v>
      </c>
      <c r="G487">
        <v>6251.1266999999998</v>
      </c>
      <c r="H487">
        <v>225040.5612</v>
      </c>
      <c r="I487">
        <v>6869.37</v>
      </c>
      <c r="J487">
        <v>247297.32</v>
      </c>
      <c r="K487">
        <v>7424.92</v>
      </c>
      <c r="L487">
        <v>267297.12</v>
      </c>
      <c r="M487">
        <v>45616</v>
      </c>
      <c r="O487" t="s">
        <v>326</v>
      </c>
      <c r="P487" t="s">
        <v>127</v>
      </c>
      <c r="Q487" t="s">
        <v>140</v>
      </c>
      <c r="R487" t="s">
        <v>2446</v>
      </c>
      <c r="S487" t="s">
        <v>2444</v>
      </c>
      <c r="T487" t="s">
        <v>2445</v>
      </c>
      <c r="U487">
        <v>36</v>
      </c>
      <c r="V487" t="s">
        <v>357</v>
      </c>
      <c r="W487" t="s">
        <v>141</v>
      </c>
      <c r="X487" t="s">
        <v>142</v>
      </c>
      <c r="Y487">
        <v>11611</v>
      </c>
      <c r="Z487">
        <v>11612</v>
      </c>
      <c r="AA487" t="s">
        <v>1025</v>
      </c>
      <c r="AB487">
        <v>1</v>
      </c>
    </row>
    <row r="488" spans="1:28">
      <c r="A488">
        <v>1</v>
      </c>
      <c r="B488" t="s">
        <v>775</v>
      </c>
      <c r="C488" t="s">
        <v>2317</v>
      </c>
      <c r="D488" t="s">
        <v>2318</v>
      </c>
      <c r="E488" t="s">
        <v>2400</v>
      </c>
      <c r="F488" t="s">
        <v>1472</v>
      </c>
      <c r="G488">
        <v>11848.673200000001</v>
      </c>
      <c r="H488">
        <v>426552.23520000005</v>
      </c>
      <c r="I488">
        <v>13020.52</v>
      </c>
      <c r="J488">
        <v>468738.72000000003</v>
      </c>
      <c r="K488">
        <v>14066.57</v>
      </c>
      <c r="L488">
        <v>506396.52</v>
      </c>
      <c r="M488">
        <v>45616</v>
      </c>
      <c r="O488" t="s">
        <v>326</v>
      </c>
      <c r="P488" t="s">
        <v>127</v>
      </c>
      <c r="Q488" t="s">
        <v>140</v>
      </c>
      <c r="R488" t="s">
        <v>2446</v>
      </c>
      <c r="S488" t="s">
        <v>2444</v>
      </c>
      <c r="T488" t="s">
        <v>2445</v>
      </c>
      <c r="U488">
        <v>36</v>
      </c>
      <c r="V488" t="s">
        <v>357</v>
      </c>
      <c r="W488" t="s">
        <v>141</v>
      </c>
      <c r="X488" t="s">
        <v>142</v>
      </c>
      <c r="Y488">
        <v>11611</v>
      </c>
      <c r="Z488">
        <v>11612</v>
      </c>
      <c r="AA488" t="s">
        <v>1025</v>
      </c>
      <c r="AB488">
        <v>1</v>
      </c>
    </row>
    <row r="489" spans="1:28">
      <c r="A489">
        <v>1</v>
      </c>
      <c r="B489" t="s">
        <v>738</v>
      </c>
      <c r="C489" t="s">
        <v>2321</v>
      </c>
      <c r="D489" t="s">
        <v>2322</v>
      </c>
      <c r="E489" t="s">
        <v>1502</v>
      </c>
      <c r="F489" t="s">
        <v>1503</v>
      </c>
      <c r="G489">
        <v>6148.6516000000001</v>
      </c>
      <c r="H489">
        <v>221351.45759999999</v>
      </c>
      <c r="I489">
        <v>6756.76</v>
      </c>
      <c r="J489">
        <v>243243.36000000002</v>
      </c>
      <c r="K489">
        <v>7297.3</v>
      </c>
      <c r="L489">
        <v>262702.8</v>
      </c>
      <c r="M489">
        <v>45616</v>
      </c>
      <c r="O489" t="s">
        <v>326</v>
      </c>
      <c r="P489" t="s">
        <v>127</v>
      </c>
      <c r="Q489" t="s">
        <v>140</v>
      </c>
      <c r="R489" t="s">
        <v>2446</v>
      </c>
      <c r="S489" t="s">
        <v>2444</v>
      </c>
      <c r="T489" t="s">
        <v>2445</v>
      </c>
      <c r="U489">
        <v>36</v>
      </c>
      <c r="V489" t="s">
        <v>357</v>
      </c>
      <c r="W489" t="s">
        <v>141</v>
      </c>
      <c r="X489" t="s">
        <v>142</v>
      </c>
      <c r="Y489">
        <v>11611</v>
      </c>
      <c r="Z489">
        <v>11612</v>
      </c>
      <c r="AA489" t="s">
        <v>1025</v>
      </c>
      <c r="AB489">
        <v>1</v>
      </c>
    </row>
    <row r="490" spans="1:28">
      <c r="A490">
        <v>1</v>
      </c>
      <c r="B490" t="s">
        <v>739</v>
      </c>
      <c r="C490" t="s">
        <v>2321</v>
      </c>
      <c r="D490" t="s">
        <v>2322</v>
      </c>
      <c r="E490" t="s">
        <v>1504</v>
      </c>
      <c r="F490" t="s">
        <v>1505</v>
      </c>
      <c r="G490">
        <v>12493.1443</v>
      </c>
      <c r="H490">
        <v>449753.1948</v>
      </c>
      <c r="I490">
        <v>13728.73</v>
      </c>
      <c r="J490">
        <v>494234.27999999997</v>
      </c>
      <c r="K490">
        <v>14877.38</v>
      </c>
      <c r="L490">
        <v>535585.67999999993</v>
      </c>
      <c r="M490">
        <v>45616</v>
      </c>
      <c r="O490" t="s">
        <v>326</v>
      </c>
      <c r="P490" t="s">
        <v>127</v>
      </c>
      <c r="Q490" t="s">
        <v>140</v>
      </c>
      <c r="R490" t="s">
        <v>2446</v>
      </c>
      <c r="S490" t="s">
        <v>2444</v>
      </c>
      <c r="T490" t="s">
        <v>2445</v>
      </c>
      <c r="U490">
        <v>36</v>
      </c>
      <c r="V490" t="s">
        <v>357</v>
      </c>
      <c r="W490" t="s">
        <v>141</v>
      </c>
      <c r="X490" t="s">
        <v>142</v>
      </c>
      <c r="Y490">
        <v>11611</v>
      </c>
      <c r="Z490">
        <v>11612</v>
      </c>
      <c r="AA490" t="s">
        <v>1025</v>
      </c>
      <c r="AB490">
        <v>1</v>
      </c>
    </row>
    <row r="491" spans="1:28">
      <c r="A491">
        <v>1</v>
      </c>
      <c r="B491" t="s">
        <v>746</v>
      </c>
      <c r="C491" t="s">
        <v>2321</v>
      </c>
      <c r="D491" t="s">
        <v>2322</v>
      </c>
      <c r="E491" t="s">
        <v>1506</v>
      </c>
      <c r="F491" t="s">
        <v>1507</v>
      </c>
      <c r="G491">
        <v>6148.6516000000001</v>
      </c>
      <c r="H491">
        <v>221351.45759999999</v>
      </c>
      <c r="I491">
        <v>6756.76</v>
      </c>
      <c r="J491">
        <v>243243.36000000002</v>
      </c>
      <c r="K491">
        <v>7297.3</v>
      </c>
      <c r="L491">
        <v>262702.8</v>
      </c>
      <c r="M491">
        <v>45616</v>
      </c>
      <c r="O491" t="s">
        <v>326</v>
      </c>
      <c r="P491" t="s">
        <v>127</v>
      </c>
      <c r="Q491" t="s">
        <v>140</v>
      </c>
      <c r="R491" t="s">
        <v>2446</v>
      </c>
      <c r="S491" t="s">
        <v>2444</v>
      </c>
      <c r="T491" t="s">
        <v>2445</v>
      </c>
      <c r="U491">
        <v>36</v>
      </c>
      <c r="V491" t="s">
        <v>357</v>
      </c>
      <c r="W491" t="s">
        <v>141</v>
      </c>
      <c r="X491" t="s">
        <v>142</v>
      </c>
      <c r="Y491">
        <v>11611</v>
      </c>
      <c r="Z491">
        <v>11612</v>
      </c>
      <c r="AA491" t="s">
        <v>1025</v>
      </c>
      <c r="AB491">
        <v>1</v>
      </c>
    </row>
    <row r="492" spans="1:28">
      <c r="A492">
        <v>1</v>
      </c>
      <c r="B492" t="s">
        <v>747</v>
      </c>
      <c r="C492" t="s">
        <v>2321</v>
      </c>
      <c r="D492" t="s">
        <v>2322</v>
      </c>
      <c r="E492" t="s">
        <v>1508</v>
      </c>
      <c r="F492" t="s">
        <v>1509</v>
      </c>
      <c r="G492">
        <v>12493.1443</v>
      </c>
      <c r="H492">
        <v>449753.1948</v>
      </c>
      <c r="I492">
        <v>13728.73</v>
      </c>
      <c r="J492">
        <v>494234.27999999997</v>
      </c>
      <c r="K492">
        <v>14877.38</v>
      </c>
      <c r="L492">
        <v>535585.67999999993</v>
      </c>
      <c r="M492">
        <v>45616</v>
      </c>
      <c r="O492" t="s">
        <v>326</v>
      </c>
      <c r="P492" t="s">
        <v>127</v>
      </c>
      <c r="Q492" t="s">
        <v>140</v>
      </c>
      <c r="R492" t="s">
        <v>2446</v>
      </c>
      <c r="S492" t="s">
        <v>2444</v>
      </c>
      <c r="T492" t="s">
        <v>2445</v>
      </c>
      <c r="U492">
        <v>36</v>
      </c>
      <c r="V492" t="s">
        <v>357</v>
      </c>
      <c r="W492" t="s">
        <v>141</v>
      </c>
      <c r="X492" t="s">
        <v>142</v>
      </c>
      <c r="Y492">
        <v>11611</v>
      </c>
      <c r="Z492">
        <v>11612</v>
      </c>
      <c r="AA492" t="s">
        <v>1025</v>
      </c>
      <c r="AB492">
        <v>1</v>
      </c>
    </row>
    <row r="493" spans="1:28">
      <c r="A493">
        <v>1</v>
      </c>
      <c r="B493" t="s">
        <v>719</v>
      </c>
      <c r="C493" t="s">
        <v>2325</v>
      </c>
      <c r="D493" t="s">
        <v>2326</v>
      </c>
      <c r="E493" t="s">
        <v>1547</v>
      </c>
      <c r="F493" t="s">
        <v>1548</v>
      </c>
      <c r="G493">
        <v>17216.217199999999</v>
      </c>
      <c r="H493">
        <v>413189.21279999998</v>
      </c>
      <c r="I493">
        <v>18918.919999999998</v>
      </c>
      <c r="J493">
        <v>454054.07999999996</v>
      </c>
      <c r="K493">
        <v>20450.45</v>
      </c>
      <c r="L493">
        <v>490810.80000000005</v>
      </c>
      <c r="M493">
        <v>45616</v>
      </c>
      <c r="O493" t="s">
        <v>326</v>
      </c>
      <c r="P493" t="s">
        <v>127</v>
      </c>
      <c r="Q493" t="s">
        <v>140</v>
      </c>
      <c r="R493" t="s">
        <v>2446</v>
      </c>
      <c r="S493" t="s">
        <v>2444</v>
      </c>
      <c r="T493" t="s">
        <v>2445</v>
      </c>
      <c r="U493">
        <v>24</v>
      </c>
      <c r="V493" t="s">
        <v>357</v>
      </c>
      <c r="W493" t="s">
        <v>141</v>
      </c>
      <c r="X493" t="s">
        <v>142</v>
      </c>
      <c r="Y493">
        <v>11611</v>
      </c>
      <c r="Z493">
        <v>11612</v>
      </c>
      <c r="AA493" t="s">
        <v>1025</v>
      </c>
      <c r="AB493">
        <v>1</v>
      </c>
    </row>
    <row r="494" spans="1:28">
      <c r="A494">
        <v>1</v>
      </c>
      <c r="B494" t="s">
        <v>722</v>
      </c>
      <c r="C494" t="s">
        <v>2325</v>
      </c>
      <c r="D494" t="s">
        <v>2326</v>
      </c>
      <c r="E494" t="s">
        <v>2405</v>
      </c>
      <c r="F494" t="s">
        <v>1549</v>
      </c>
      <c r="G494">
        <v>10329.72972972973</v>
      </c>
      <c r="H494">
        <v>247913.51351351352</v>
      </c>
      <c r="I494">
        <v>11351.351351351352</v>
      </c>
      <c r="J494">
        <v>272432.43243243243</v>
      </c>
      <c r="K494">
        <v>12252.25225225225</v>
      </c>
      <c r="L494">
        <v>294054.05405405402</v>
      </c>
      <c r="M494">
        <v>45616</v>
      </c>
      <c r="O494" t="s">
        <v>326</v>
      </c>
      <c r="P494" t="s">
        <v>127</v>
      </c>
      <c r="Q494" t="s">
        <v>140</v>
      </c>
      <c r="R494" t="s">
        <v>2446</v>
      </c>
      <c r="S494" t="s">
        <v>2444</v>
      </c>
      <c r="T494" t="s">
        <v>2445</v>
      </c>
      <c r="U494">
        <v>24</v>
      </c>
      <c r="V494" t="s">
        <v>356</v>
      </c>
      <c r="W494" t="s">
        <v>141</v>
      </c>
      <c r="X494" t="s">
        <v>142</v>
      </c>
      <c r="Y494">
        <v>11611</v>
      </c>
      <c r="Z494">
        <v>11612</v>
      </c>
      <c r="AA494" t="s">
        <v>1025</v>
      </c>
      <c r="AB494">
        <v>1</v>
      </c>
    </row>
    <row r="495" spans="1:28">
      <c r="A495">
        <v>1</v>
      </c>
      <c r="B495" t="s">
        <v>723</v>
      </c>
      <c r="C495" t="s">
        <v>2325</v>
      </c>
      <c r="D495" t="s">
        <v>2326</v>
      </c>
      <c r="E495" t="s">
        <v>2406</v>
      </c>
      <c r="F495" t="s">
        <v>1550</v>
      </c>
      <c r="G495">
        <v>16396.39639639638</v>
      </c>
      <c r="H495">
        <v>393513.51351351314</v>
      </c>
      <c r="I495">
        <v>18018.018018018</v>
      </c>
      <c r="J495">
        <v>432432.43243243196</v>
      </c>
      <c r="K495">
        <v>19459.4594594595</v>
      </c>
      <c r="L495">
        <v>467027.02702702803</v>
      </c>
      <c r="M495">
        <v>45616</v>
      </c>
      <c r="O495" t="s">
        <v>326</v>
      </c>
      <c r="P495" t="s">
        <v>127</v>
      </c>
      <c r="Q495" t="s">
        <v>140</v>
      </c>
      <c r="R495" t="s">
        <v>2446</v>
      </c>
      <c r="S495" t="s">
        <v>2444</v>
      </c>
      <c r="T495" t="s">
        <v>2445</v>
      </c>
      <c r="U495">
        <v>24</v>
      </c>
      <c r="V495" t="s">
        <v>357</v>
      </c>
      <c r="W495" t="s">
        <v>141</v>
      </c>
      <c r="X495" t="s">
        <v>142</v>
      </c>
      <c r="Y495">
        <v>11611</v>
      </c>
      <c r="Z495">
        <v>11612</v>
      </c>
      <c r="AA495" t="s">
        <v>1025</v>
      </c>
      <c r="AB495">
        <v>1</v>
      </c>
    </row>
    <row r="496" spans="1:28">
      <c r="A496">
        <v>1</v>
      </c>
      <c r="B496" t="s">
        <v>776</v>
      </c>
      <c r="C496" t="s">
        <v>2325</v>
      </c>
      <c r="D496" t="s">
        <v>2326</v>
      </c>
      <c r="E496" t="s">
        <v>1551</v>
      </c>
      <c r="F496" t="s">
        <v>1552</v>
      </c>
      <c r="G496">
        <v>17216.217199999999</v>
      </c>
      <c r="H496">
        <v>413189.21279999998</v>
      </c>
      <c r="I496">
        <v>18918.919999999998</v>
      </c>
      <c r="J496">
        <v>454054.07999999996</v>
      </c>
      <c r="K496">
        <v>20450.45</v>
      </c>
      <c r="L496">
        <v>490810.80000000005</v>
      </c>
      <c r="M496">
        <v>45616</v>
      </c>
      <c r="O496" t="s">
        <v>326</v>
      </c>
      <c r="P496" t="s">
        <v>127</v>
      </c>
      <c r="Q496" t="s">
        <v>140</v>
      </c>
      <c r="R496" t="s">
        <v>2446</v>
      </c>
      <c r="S496" t="s">
        <v>2444</v>
      </c>
      <c r="T496" t="s">
        <v>2445</v>
      </c>
      <c r="U496">
        <v>24</v>
      </c>
      <c r="V496" t="s">
        <v>357</v>
      </c>
      <c r="W496" t="s">
        <v>141</v>
      </c>
      <c r="X496" t="s">
        <v>142</v>
      </c>
      <c r="Y496">
        <v>11611</v>
      </c>
      <c r="Z496">
        <v>11612</v>
      </c>
      <c r="AA496" t="s">
        <v>1025</v>
      </c>
      <c r="AB496">
        <v>1</v>
      </c>
    </row>
    <row r="497" spans="1:28">
      <c r="A497">
        <v>1</v>
      </c>
      <c r="B497" t="s">
        <v>720</v>
      </c>
      <c r="C497" t="s">
        <v>2325</v>
      </c>
      <c r="D497" t="s">
        <v>2326</v>
      </c>
      <c r="E497" t="s">
        <v>1555</v>
      </c>
      <c r="F497" t="s">
        <v>1554</v>
      </c>
      <c r="G497">
        <v>14141.8914</v>
      </c>
      <c r="H497">
        <v>339405.39360000001</v>
      </c>
      <c r="I497">
        <v>15540.54</v>
      </c>
      <c r="J497">
        <v>372972.96</v>
      </c>
      <c r="K497">
        <v>16801.8</v>
      </c>
      <c r="L497">
        <v>403243.19999999995</v>
      </c>
      <c r="M497">
        <v>45616</v>
      </c>
      <c r="O497" t="s">
        <v>326</v>
      </c>
      <c r="P497" t="s">
        <v>127</v>
      </c>
      <c r="Q497" t="s">
        <v>140</v>
      </c>
      <c r="R497" t="s">
        <v>2446</v>
      </c>
      <c r="S497" t="s">
        <v>2444</v>
      </c>
      <c r="T497" t="s">
        <v>2445</v>
      </c>
      <c r="U497">
        <v>24</v>
      </c>
      <c r="V497" t="s">
        <v>356</v>
      </c>
      <c r="W497" t="s">
        <v>141</v>
      </c>
      <c r="X497" t="s">
        <v>142</v>
      </c>
      <c r="Y497">
        <v>11611</v>
      </c>
      <c r="Z497">
        <v>11612</v>
      </c>
      <c r="AA497" t="s">
        <v>1025</v>
      </c>
      <c r="AB497">
        <v>1</v>
      </c>
    </row>
    <row r="498" spans="1:28">
      <c r="A498">
        <v>1</v>
      </c>
      <c r="B498" t="s">
        <v>721</v>
      </c>
      <c r="C498" t="s">
        <v>2325</v>
      </c>
      <c r="D498" t="s">
        <v>2326</v>
      </c>
      <c r="E498" t="s">
        <v>1553</v>
      </c>
      <c r="F498" t="s">
        <v>1556</v>
      </c>
      <c r="G498">
        <v>17216.217199999999</v>
      </c>
      <c r="H498">
        <v>413189.21279999998</v>
      </c>
      <c r="I498">
        <v>18918.919999999998</v>
      </c>
      <c r="J498">
        <v>454054.07999999996</v>
      </c>
      <c r="K498">
        <v>20450.45</v>
      </c>
      <c r="L498">
        <v>490810.80000000005</v>
      </c>
      <c r="M498">
        <v>45616</v>
      </c>
      <c r="O498" t="s">
        <v>326</v>
      </c>
      <c r="P498" t="s">
        <v>127</v>
      </c>
      <c r="Q498" t="s">
        <v>140</v>
      </c>
      <c r="R498" t="s">
        <v>2446</v>
      </c>
      <c r="S498" t="s">
        <v>2444</v>
      </c>
      <c r="T498" t="s">
        <v>2445</v>
      </c>
      <c r="U498">
        <v>24</v>
      </c>
      <c r="V498" t="s">
        <v>357</v>
      </c>
      <c r="W498" t="s">
        <v>141</v>
      </c>
      <c r="X498" t="s">
        <v>142</v>
      </c>
      <c r="Y498">
        <v>11611</v>
      </c>
      <c r="Z498">
        <v>11612</v>
      </c>
      <c r="AA498" t="s">
        <v>1025</v>
      </c>
      <c r="AB498">
        <v>1</v>
      </c>
    </row>
    <row r="499" spans="1:28">
      <c r="A499">
        <v>1</v>
      </c>
      <c r="B499" t="s">
        <v>673</v>
      </c>
      <c r="C499" t="s">
        <v>2327</v>
      </c>
      <c r="D499" t="s">
        <v>2328</v>
      </c>
      <c r="E499" t="s">
        <v>2407</v>
      </c>
      <c r="F499" t="s">
        <v>1557</v>
      </c>
      <c r="G499">
        <v>13865.205900000001</v>
      </c>
      <c r="H499">
        <v>332764.94160000002</v>
      </c>
      <c r="I499">
        <v>15236.49</v>
      </c>
      <c r="J499">
        <v>365675.76</v>
      </c>
      <c r="K499">
        <v>16448.95</v>
      </c>
      <c r="L499">
        <v>394774.80000000005</v>
      </c>
      <c r="M499">
        <v>45616</v>
      </c>
      <c r="O499" t="s">
        <v>326</v>
      </c>
      <c r="P499" t="s">
        <v>127</v>
      </c>
      <c r="Q499" t="s">
        <v>140</v>
      </c>
      <c r="R499" t="s">
        <v>2446</v>
      </c>
      <c r="S499" t="s">
        <v>2444</v>
      </c>
      <c r="T499" t="s">
        <v>2445</v>
      </c>
      <c r="U499">
        <v>24</v>
      </c>
      <c r="V499" t="s">
        <v>357</v>
      </c>
      <c r="W499" t="s">
        <v>141</v>
      </c>
      <c r="X499" t="s">
        <v>142</v>
      </c>
      <c r="Y499">
        <v>11611</v>
      </c>
      <c r="Z499">
        <v>11612</v>
      </c>
      <c r="AA499" t="s">
        <v>1025</v>
      </c>
      <c r="AB499">
        <v>1</v>
      </c>
    </row>
    <row r="500" spans="1:28">
      <c r="A500">
        <v>1</v>
      </c>
      <c r="B500" t="s">
        <v>725</v>
      </c>
      <c r="C500" t="s">
        <v>2329</v>
      </c>
      <c r="D500" t="s">
        <v>2330</v>
      </c>
      <c r="E500" t="s">
        <v>1558</v>
      </c>
      <c r="F500" t="s">
        <v>1559</v>
      </c>
      <c r="G500">
        <v>16878.040540540536</v>
      </c>
      <c r="H500">
        <v>405072.9729729729</v>
      </c>
      <c r="I500">
        <v>18547.297297297293</v>
      </c>
      <c r="J500">
        <v>445135.13513513503</v>
      </c>
      <c r="K500">
        <v>20228.978978978979</v>
      </c>
      <c r="L500">
        <v>485495.4954954955</v>
      </c>
      <c r="M500">
        <v>45616</v>
      </c>
      <c r="O500" t="s">
        <v>326</v>
      </c>
      <c r="P500" t="s">
        <v>127</v>
      </c>
      <c r="Q500" t="s">
        <v>140</v>
      </c>
      <c r="R500" t="s">
        <v>2446</v>
      </c>
      <c r="S500" t="s">
        <v>2444</v>
      </c>
      <c r="T500" t="s">
        <v>2445</v>
      </c>
      <c r="U500">
        <v>24</v>
      </c>
      <c r="V500" t="s">
        <v>357</v>
      </c>
      <c r="W500" t="s">
        <v>141</v>
      </c>
      <c r="X500" t="s">
        <v>142</v>
      </c>
      <c r="Y500">
        <v>11611</v>
      </c>
      <c r="Z500">
        <v>11612</v>
      </c>
      <c r="AA500" t="s">
        <v>1025</v>
      </c>
      <c r="AB500">
        <v>1</v>
      </c>
    </row>
    <row r="501" spans="1:28">
      <c r="A501">
        <v>1</v>
      </c>
      <c r="B501" t="s">
        <v>972</v>
      </c>
      <c r="C501" t="s">
        <v>2350</v>
      </c>
      <c r="D501" t="s">
        <v>2351</v>
      </c>
      <c r="E501" t="s">
        <v>1399</v>
      </c>
      <c r="F501" t="s">
        <v>1400</v>
      </c>
      <c r="G501">
        <v>15471.82</v>
      </c>
      <c r="H501">
        <v>556985.52</v>
      </c>
      <c r="I501">
        <v>17002</v>
      </c>
      <c r="J501">
        <v>612072</v>
      </c>
      <c r="K501">
        <v>18916.419999999998</v>
      </c>
      <c r="L501">
        <v>680991.11999999988</v>
      </c>
      <c r="M501">
        <v>45616</v>
      </c>
      <c r="O501" t="s">
        <v>326</v>
      </c>
      <c r="P501" t="s">
        <v>127</v>
      </c>
      <c r="Q501" t="s">
        <v>140</v>
      </c>
      <c r="R501" t="s">
        <v>2446</v>
      </c>
      <c r="S501" t="s">
        <v>2444</v>
      </c>
      <c r="T501" t="s">
        <v>2445</v>
      </c>
      <c r="U501">
        <v>36</v>
      </c>
      <c r="V501" t="s">
        <v>357</v>
      </c>
      <c r="W501" t="s">
        <v>141</v>
      </c>
      <c r="X501" t="s">
        <v>142</v>
      </c>
      <c r="Y501">
        <v>11611</v>
      </c>
      <c r="Z501">
        <v>11612</v>
      </c>
      <c r="AA501" t="s">
        <v>1025</v>
      </c>
      <c r="AB501">
        <v>1</v>
      </c>
    </row>
    <row r="502" spans="1:28">
      <c r="A502">
        <v>1</v>
      </c>
      <c r="B502" t="s">
        <v>973</v>
      </c>
      <c r="C502" t="s">
        <v>2350</v>
      </c>
      <c r="D502" t="s">
        <v>2351</v>
      </c>
      <c r="E502" t="s">
        <v>1401</v>
      </c>
      <c r="F502" t="s">
        <v>1402</v>
      </c>
      <c r="G502">
        <v>15471.82</v>
      </c>
      <c r="H502">
        <v>556985.52</v>
      </c>
      <c r="I502">
        <v>17002</v>
      </c>
      <c r="J502">
        <v>612072</v>
      </c>
      <c r="K502">
        <v>18916.419999999998</v>
      </c>
      <c r="L502">
        <v>680991.11999999988</v>
      </c>
      <c r="M502">
        <v>45616</v>
      </c>
      <c r="O502" t="s">
        <v>326</v>
      </c>
      <c r="P502" t="s">
        <v>127</v>
      </c>
      <c r="Q502" t="s">
        <v>140</v>
      </c>
      <c r="R502" t="s">
        <v>2446</v>
      </c>
      <c r="S502" t="s">
        <v>2444</v>
      </c>
      <c r="T502" t="s">
        <v>2445</v>
      </c>
      <c r="U502">
        <v>36</v>
      </c>
      <c r="V502" t="s">
        <v>357</v>
      </c>
      <c r="W502" t="s">
        <v>141</v>
      </c>
      <c r="X502" t="s">
        <v>142</v>
      </c>
      <c r="Y502">
        <v>11611</v>
      </c>
      <c r="Z502">
        <v>11612</v>
      </c>
      <c r="AA502" t="s">
        <v>1025</v>
      </c>
      <c r="AB502">
        <v>1</v>
      </c>
    </row>
    <row r="503" spans="1:28">
      <c r="A503">
        <v>1</v>
      </c>
      <c r="B503" t="s">
        <v>974</v>
      </c>
      <c r="C503" t="s">
        <v>2350</v>
      </c>
      <c r="D503" t="s">
        <v>2351</v>
      </c>
      <c r="E503" t="s">
        <v>1403</v>
      </c>
      <c r="F503" t="s">
        <v>1404</v>
      </c>
      <c r="G503">
        <v>15471.82</v>
      </c>
      <c r="H503">
        <v>556985.52</v>
      </c>
      <c r="I503">
        <v>17002</v>
      </c>
      <c r="J503">
        <v>612072</v>
      </c>
      <c r="K503">
        <v>18916.419999999998</v>
      </c>
      <c r="L503">
        <v>680991.11999999988</v>
      </c>
      <c r="M503">
        <v>45616</v>
      </c>
      <c r="O503" t="s">
        <v>326</v>
      </c>
      <c r="P503" t="s">
        <v>127</v>
      </c>
      <c r="Q503" t="s">
        <v>140</v>
      </c>
      <c r="R503" t="s">
        <v>2446</v>
      </c>
      <c r="S503" t="s">
        <v>2444</v>
      </c>
      <c r="T503" t="s">
        <v>2445</v>
      </c>
      <c r="U503">
        <v>36</v>
      </c>
      <c r="V503" t="s">
        <v>357</v>
      </c>
      <c r="W503" t="s">
        <v>141</v>
      </c>
      <c r="X503" t="s">
        <v>142</v>
      </c>
      <c r="Y503">
        <v>11611</v>
      </c>
      <c r="Z503">
        <v>11612</v>
      </c>
      <c r="AA503" t="s">
        <v>1025</v>
      </c>
      <c r="AB503">
        <v>1</v>
      </c>
    </row>
    <row r="504" spans="1:28">
      <c r="A504">
        <v>1</v>
      </c>
      <c r="B504" t="s">
        <v>1003</v>
      </c>
      <c r="C504" t="s">
        <v>2204</v>
      </c>
      <c r="D504" t="s">
        <v>2205</v>
      </c>
      <c r="E504" t="s">
        <v>1568</v>
      </c>
      <c r="F504" t="s">
        <v>1569</v>
      </c>
      <c r="G504">
        <v>12782.360499999999</v>
      </c>
      <c r="H504">
        <v>460164.97799999994</v>
      </c>
      <c r="I504">
        <v>14046.55</v>
      </c>
      <c r="J504">
        <v>505675.8</v>
      </c>
      <c r="K504">
        <v>14749.75</v>
      </c>
      <c r="L504">
        <v>530991</v>
      </c>
      <c r="M504">
        <v>45616</v>
      </c>
      <c r="O504" t="s">
        <v>326</v>
      </c>
      <c r="P504" t="s">
        <v>127</v>
      </c>
      <c r="Q504" t="s">
        <v>140</v>
      </c>
      <c r="R504" t="s">
        <v>2446</v>
      </c>
      <c r="S504" t="s">
        <v>2444</v>
      </c>
      <c r="T504" t="s">
        <v>2445</v>
      </c>
      <c r="U504">
        <v>36</v>
      </c>
      <c r="V504" t="s">
        <v>357</v>
      </c>
      <c r="W504" t="s">
        <v>141</v>
      </c>
      <c r="X504" t="s">
        <v>142</v>
      </c>
      <c r="Y504">
        <v>11611</v>
      </c>
      <c r="Z504">
        <v>11612</v>
      </c>
      <c r="AA504" t="s">
        <v>1025</v>
      </c>
      <c r="AB504">
        <v>1</v>
      </c>
    </row>
    <row r="505" spans="1:28">
      <c r="A505">
        <v>1</v>
      </c>
      <c r="B505" t="s">
        <v>1004</v>
      </c>
      <c r="C505" t="s">
        <v>2204</v>
      </c>
      <c r="D505" t="s">
        <v>2205</v>
      </c>
      <c r="E505" t="s">
        <v>1570</v>
      </c>
      <c r="F505" t="s">
        <v>1571</v>
      </c>
      <c r="G505">
        <v>12782.360499999999</v>
      </c>
      <c r="H505">
        <v>460164.97799999994</v>
      </c>
      <c r="I505">
        <v>14046.55</v>
      </c>
      <c r="J505">
        <v>505675.8</v>
      </c>
      <c r="K505">
        <v>14749.75</v>
      </c>
      <c r="L505">
        <v>530991</v>
      </c>
      <c r="M505">
        <v>45616</v>
      </c>
      <c r="O505" t="s">
        <v>326</v>
      </c>
      <c r="P505" t="s">
        <v>127</v>
      </c>
      <c r="Q505" t="s">
        <v>140</v>
      </c>
      <c r="R505" t="s">
        <v>2446</v>
      </c>
      <c r="S505" t="s">
        <v>2444</v>
      </c>
      <c r="T505" t="s">
        <v>2445</v>
      </c>
      <c r="U505">
        <v>36</v>
      </c>
      <c r="V505" t="s">
        <v>357</v>
      </c>
      <c r="W505" t="s">
        <v>141</v>
      </c>
      <c r="X505" t="s">
        <v>142</v>
      </c>
      <c r="Y505">
        <v>11611</v>
      </c>
      <c r="Z505">
        <v>11612</v>
      </c>
      <c r="AA505" t="s">
        <v>1025</v>
      </c>
      <c r="AB505">
        <v>1</v>
      </c>
    </row>
    <row r="506" spans="1:28">
      <c r="A506">
        <v>1</v>
      </c>
      <c r="B506" t="s">
        <v>1005</v>
      </c>
      <c r="C506" t="s">
        <v>2204</v>
      </c>
      <c r="D506" t="s">
        <v>2205</v>
      </c>
      <c r="E506" t="s">
        <v>1572</v>
      </c>
      <c r="F506" t="s">
        <v>1573</v>
      </c>
      <c r="G506">
        <v>12782.360499999999</v>
      </c>
      <c r="H506">
        <v>460164.97799999994</v>
      </c>
      <c r="I506">
        <v>14046.55</v>
      </c>
      <c r="J506">
        <v>505675.8</v>
      </c>
      <c r="K506">
        <v>14749.75</v>
      </c>
      <c r="L506">
        <v>530991</v>
      </c>
      <c r="M506">
        <v>45616</v>
      </c>
      <c r="O506" t="s">
        <v>326</v>
      </c>
      <c r="P506" t="s">
        <v>127</v>
      </c>
      <c r="Q506" t="s">
        <v>140</v>
      </c>
      <c r="R506" t="s">
        <v>2446</v>
      </c>
      <c r="S506" t="s">
        <v>2444</v>
      </c>
      <c r="T506" t="s">
        <v>2445</v>
      </c>
      <c r="U506">
        <v>36</v>
      </c>
      <c r="V506" t="s">
        <v>357</v>
      </c>
      <c r="W506" t="s">
        <v>141</v>
      </c>
      <c r="X506" t="s">
        <v>142</v>
      </c>
      <c r="Y506">
        <v>11611</v>
      </c>
      <c r="Z506">
        <v>11612</v>
      </c>
      <c r="AA506" t="s">
        <v>1025</v>
      </c>
      <c r="AB506">
        <v>1</v>
      </c>
    </row>
    <row r="507" spans="1:28">
      <c r="A507">
        <v>1</v>
      </c>
      <c r="B507" t="s">
        <v>1006</v>
      </c>
      <c r="C507" t="s">
        <v>2204</v>
      </c>
      <c r="D507" t="s">
        <v>2205</v>
      </c>
      <c r="E507" t="s">
        <v>1574</v>
      </c>
      <c r="F507" t="s">
        <v>1575</v>
      </c>
      <c r="G507">
        <v>12782.360499999999</v>
      </c>
      <c r="H507">
        <v>460164.97799999994</v>
      </c>
      <c r="I507">
        <v>14046.55</v>
      </c>
      <c r="J507">
        <v>505675.8</v>
      </c>
      <c r="K507">
        <v>14749.75</v>
      </c>
      <c r="L507">
        <v>530991</v>
      </c>
      <c r="M507">
        <v>45616</v>
      </c>
      <c r="O507" t="s">
        <v>326</v>
      </c>
      <c r="P507" t="s">
        <v>127</v>
      </c>
      <c r="Q507" t="s">
        <v>140</v>
      </c>
      <c r="R507" t="s">
        <v>2446</v>
      </c>
      <c r="S507" t="s">
        <v>2444</v>
      </c>
      <c r="T507" t="s">
        <v>2445</v>
      </c>
      <c r="U507">
        <v>36</v>
      </c>
      <c r="V507" t="s">
        <v>357</v>
      </c>
      <c r="W507" t="s">
        <v>141</v>
      </c>
      <c r="X507" t="s">
        <v>142</v>
      </c>
      <c r="Y507">
        <v>11611</v>
      </c>
      <c r="Z507">
        <v>11612</v>
      </c>
      <c r="AA507" t="s">
        <v>1025</v>
      </c>
      <c r="AB507">
        <v>1</v>
      </c>
    </row>
    <row r="508" spans="1:28">
      <c r="A508">
        <v>1</v>
      </c>
      <c r="B508" t="s">
        <v>724</v>
      </c>
      <c r="C508" t="s">
        <v>2325</v>
      </c>
      <c r="D508" t="s">
        <v>2326</v>
      </c>
      <c r="E508" t="s">
        <v>2404</v>
      </c>
      <c r="F508" t="s">
        <v>1546</v>
      </c>
      <c r="G508">
        <v>662.0068</v>
      </c>
      <c r="H508">
        <v>105921.088</v>
      </c>
      <c r="I508">
        <v>727.48</v>
      </c>
      <c r="J508">
        <v>116396.8</v>
      </c>
      <c r="K508">
        <v>777.59</v>
      </c>
      <c r="L508">
        <v>124414.40000000001</v>
      </c>
      <c r="M508">
        <v>45616</v>
      </c>
      <c r="O508" t="s">
        <v>326</v>
      </c>
      <c r="P508" t="s">
        <v>127</v>
      </c>
      <c r="Q508" t="s">
        <v>140</v>
      </c>
      <c r="R508" t="s">
        <v>2446</v>
      </c>
      <c r="S508" t="s">
        <v>2444</v>
      </c>
      <c r="T508" t="s">
        <v>2445</v>
      </c>
      <c r="U508">
        <v>160</v>
      </c>
      <c r="V508" t="s">
        <v>1022</v>
      </c>
      <c r="W508" t="s">
        <v>141</v>
      </c>
      <c r="X508" t="s">
        <v>142</v>
      </c>
      <c r="Y508">
        <v>11611</v>
      </c>
      <c r="Z508">
        <v>11612</v>
      </c>
      <c r="AA508" t="s">
        <v>1025</v>
      </c>
      <c r="AB508">
        <v>1</v>
      </c>
    </row>
    <row r="509" spans="1:28">
      <c r="A509">
        <v>1</v>
      </c>
      <c r="B509" t="s">
        <v>695</v>
      </c>
      <c r="C509" t="s">
        <v>2317</v>
      </c>
      <c r="D509" t="s">
        <v>2318</v>
      </c>
      <c r="E509" t="s">
        <v>2388</v>
      </c>
      <c r="F509" t="s">
        <v>1455</v>
      </c>
      <c r="G509">
        <v>0</v>
      </c>
      <c r="H509">
        <v>0</v>
      </c>
      <c r="I509">
        <v>405.40540540540536</v>
      </c>
      <c r="J509">
        <v>48648.648648648646</v>
      </c>
      <c r="K509">
        <v>0</v>
      </c>
      <c r="L509">
        <v>0</v>
      </c>
      <c r="M509">
        <v>45616</v>
      </c>
      <c r="O509" t="s">
        <v>326</v>
      </c>
      <c r="P509" t="s">
        <v>127</v>
      </c>
      <c r="Q509" t="s">
        <v>140</v>
      </c>
      <c r="R509" t="s">
        <v>2446</v>
      </c>
      <c r="S509" t="s">
        <v>2444</v>
      </c>
      <c r="T509" t="s">
        <v>2445</v>
      </c>
      <c r="U509">
        <v>120</v>
      </c>
      <c r="V509" t="s">
        <v>1022</v>
      </c>
      <c r="W509" t="s">
        <v>141</v>
      </c>
      <c r="X509" t="s">
        <v>142</v>
      </c>
      <c r="Y509">
        <v>11611</v>
      </c>
      <c r="Z509">
        <v>11612</v>
      </c>
      <c r="AA509" t="s">
        <v>1025</v>
      </c>
      <c r="AB509">
        <v>1</v>
      </c>
    </row>
    <row r="510" spans="1:28">
      <c r="A510">
        <v>1</v>
      </c>
      <c r="B510" t="s">
        <v>691</v>
      </c>
      <c r="C510" t="s">
        <v>2323</v>
      </c>
      <c r="D510" t="s">
        <v>2324</v>
      </c>
      <c r="E510" t="s">
        <v>1544</v>
      </c>
      <c r="F510" t="s">
        <v>1545</v>
      </c>
      <c r="G510">
        <v>6949.1149000000005</v>
      </c>
      <c r="H510">
        <v>500336.27280000004</v>
      </c>
      <c r="I510">
        <v>7636.39</v>
      </c>
      <c r="J510">
        <v>549820.08000000007</v>
      </c>
      <c r="K510">
        <v>8248.25</v>
      </c>
      <c r="L510">
        <v>593874</v>
      </c>
      <c r="M510">
        <v>45616</v>
      </c>
      <c r="O510" t="s">
        <v>326</v>
      </c>
      <c r="P510" t="s">
        <v>127</v>
      </c>
      <c r="Q510" t="s">
        <v>140</v>
      </c>
      <c r="R510" t="s">
        <v>2446</v>
      </c>
      <c r="S510" t="s">
        <v>2444</v>
      </c>
      <c r="T510" t="s">
        <v>2445</v>
      </c>
      <c r="U510">
        <v>72</v>
      </c>
      <c r="V510" t="s">
        <v>357</v>
      </c>
      <c r="W510" t="s">
        <v>141</v>
      </c>
      <c r="X510" t="s">
        <v>142</v>
      </c>
      <c r="Y510">
        <v>11611</v>
      </c>
      <c r="Z510">
        <v>11612</v>
      </c>
      <c r="AA510" t="s">
        <v>1025</v>
      </c>
      <c r="AB510">
        <v>1</v>
      </c>
    </row>
    <row r="511" spans="1:28">
      <c r="A511">
        <v>1</v>
      </c>
      <c r="B511" t="s">
        <v>732</v>
      </c>
      <c r="C511" t="s">
        <v>2323</v>
      </c>
      <c r="D511" t="s">
        <v>2324</v>
      </c>
      <c r="E511" t="s">
        <v>1540</v>
      </c>
      <c r="F511" t="s">
        <v>1541</v>
      </c>
      <c r="G511">
        <v>13319.797399999999</v>
      </c>
      <c r="H511">
        <v>479512.70639999997</v>
      </c>
      <c r="I511">
        <v>14637.14</v>
      </c>
      <c r="J511">
        <v>526937.04</v>
      </c>
      <c r="K511">
        <v>15728.23</v>
      </c>
      <c r="L511">
        <v>566216.28</v>
      </c>
      <c r="M511">
        <v>45616</v>
      </c>
      <c r="O511" t="s">
        <v>326</v>
      </c>
      <c r="P511" t="s">
        <v>127</v>
      </c>
      <c r="Q511" t="s">
        <v>140</v>
      </c>
      <c r="R511" t="s">
        <v>2446</v>
      </c>
      <c r="S511" t="s">
        <v>2444</v>
      </c>
      <c r="T511" t="s">
        <v>2445</v>
      </c>
      <c r="U511">
        <v>36</v>
      </c>
      <c r="V511" t="s">
        <v>357</v>
      </c>
      <c r="W511" t="s">
        <v>141</v>
      </c>
      <c r="X511" t="s">
        <v>142</v>
      </c>
      <c r="Y511">
        <v>11611</v>
      </c>
      <c r="Z511">
        <v>11612</v>
      </c>
      <c r="AA511" t="s">
        <v>1025</v>
      </c>
      <c r="AB511">
        <v>1</v>
      </c>
    </row>
    <row r="512" spans="1:28">
      <c r="A512">
        <v>1</v>
      </c>
      <c r="B512" t="s">
        <v>742</v>
      </c>
      <c r="C512" t="s">
        <v>2321</v>
      </c>
      <c r="D512" t="s">
        <v>2322</v>
      </c>
      <c r="E512" t="s">
        <v>1510</v>
      </c>
      <c r="F512" t="s">
        <v>1511</v>
      </c>
      <c r="G512">
        <v>6148.6516000000001</v>
      </c>
      <c r="H512">
        <v>221351.45759999999</v>
      </c>
      <c r="I512">
        <v>6756.76</v>
      </c>
      <c r="J512">
        <v>243243.36000000002</v>
      </c>
      <c r="K512">
        <v>7297.3</v>
      </c>
      <c r="L512">
        <v>262702.8</v>
      </c>
      <c r="M512">
        <v>45616</v>
      </c>
      <c r="O512" t="s">
        <v>326</v>
      </c>
      <c r="P512" t="s">
        <v>127</v>
      </c>
      <c r="Q512" t="s">
        <v>140</v>
      </c>
      <c r="R512" t="s">
        <v>2446</v>
      </c>
      <c r="S512" t="s">
        <v>2444</v>
      </c>
      <c r="T512" t="s">
        <v>2445</v>
      </c>
      <c r="U512">
        <v>36</v>
      </c>
      <c r="V512" t="s">
        <v>357</v>
      </c>
      <c r="W512" t="s">
        <v>141</v>
      </c>
      <c r="X512" t="s">
        <v>142</v>
      </c>
      <c r="Y512">
        <v>11611</v>
      </c>
      <c r="Z512">
        <v>11612</v>
      </c>
      <c r="AA512" t="s">
        <v>1025</v>
      </c>
      <c r="AB512">
        <v>1</v>
      </c>
    </row>
    <row r="513" spans="1:28">
      <c r="A513">
        <v>1</v>
      </c>
      <c r="B513" t="s">
        <v>743</v>
      </c>
      <c r="C513" t="s">
        <v>2321</v>
      </c>
      <c r="D513" t="s">
        <v>2322</v>
      </c>
      <c r="E513" t="s">
        <v>1512</v>
      </c>
      <c r="F513" t="s">
        <v>1513</v>
      </c>
      <c r="G513">
        <v>12493.1443</v>
      </c>
      <c r="H513">
        <v>449753.1948</v>
      </c>
      <c r="I513">
        <v>13728.73</v>
      </c>
      <c r="J513">
        <v>494234.27999999997</v>
      </c>
      <c r="K513">
        <v>14877.38</v>
      </c>
      <c r="L513">
        <v>535585.67999999993</v>
      </c>
      <c r="M513">
        <v>45616</v>
      </c>
      <c r="O513" t="s">
        <v>326</v>
      </c>
      <c r="P513" t="s">
        <v>127</v>
      </c>
      <c r="Q513" t="s">
        <v>140</v>
      </c>
      <c r="R513" t="s">
        <v>2446</v>
      </c>
      <c r="S513" t="s">
        <v>2444</v>
      </c>
      <c r="T513" t="s">
        <v>2445</v>
      </c>
      <c r="U513">
        <v>36</v>
      </c>
      <c r="V513" t="s">
        <v>357</v>
      </c>
      <c r="W513" t="s">
        <v>141</v>
      </c>
      <c r="X513" t="s">
        <v>142</v>
      </c>
      <c r="Y513">
        <v>11611</v>
      </c>
      <c r="Z513">
        <v>11612</v>
      </c>
      <c r="AA513" t="s">
        <v>1025</v>
      </c>
      <c r="AB513">
        <v>1</v>
      </c>
    </row>
    <row r="514" spans="1:28">
      <c r="A514">
        <v>1</v>
      </c>
      <c r="B514" t="s">
        <v>740</v>
      </c>
      <c r="C514" t="s">
        <v>2321</v>
      </c>
      <c r="D514" t="s">
        <v>2322</v>
      </c>
      <c r="E514" t="s">
        <v>1514</v>
      </c>
      <c r="F514" t="s">
        <v>1515</v>
      </c>
      <c r="G514">
        <v>6148.6516000000001</v>
      </c>
      <c r="H514">
        <v>221351.45759999999</v>
      </c>
      <c r="I514">
        <v>6756.76</v>
      </c>
      <c r="J514">
        <v>243243.36000000002</v>
      </c>
      <c r="K514">
        <v>7297.3</v>
      </c>
      <c r="L514">
        <v>262702.8</v>
      </c>
      <c r="M514">
        <v>45616</v>
      </c>
      <c r="O514" t="s">
        <v>326</v>
      </c>
      <c r="P514" t="s">
        <v>127</v>
      </c>
      <c r="Q514" t="s">
        <v>140</v>
      </c>
      <c r="R514" t="s">
        <v>2446</v>
      </c>
      <c r="S514" t="s">
        <v>2444</v>
      </c>
      <c r="T514" t="s">
        <v>2445</v>
      </c>
      <c r="U514">
        <v>36</v>
      </c>
      <c r="V514" t="s">
        <v>357</v>
      </c>
      <c r="W514" t="s">
        <v>141</v>
      </c>
      <c r="X514" t="s">
        <v>142</v>
      </c>
      <c r="Y514">
        <v>11611</v>
      </c>
      <c r="Z514">
        <v>11612</v>
      </c>
      <c r="AA514" t="s">
        <v>1025</v>
      </c>
      <c r="AB514">
        <v>1</v>
      </c>
    </row>
    <row r="515" spans="1:28">
      <c r="A515">
        <v>1</v>
      </c>
      <c r="B515" t="s">
        <v>741</v>
      </c>
      <c r="C515" t="s">
        <v>2321</v>
      </c>
      <c r="D515" t="s">
        <v>2322</v>
      </c>
      <c r="E515" t="s">
        <v>1516</v>
      </c>
      <c r="F515" t="s">
        <v>1517</v>
      </c>
      <c r="G515">
        <v>12493.1443</v>
      </c>
      <c r="H515">
        <v>449753.1948</v>
      </c>
      <c r="I515">
        <v>13728.73</v>
      </c>
      <c r="J515">
        <v>494234.27999999997</v>
      </c>
      <c r="K515">
        <v>14877.38</v>
      </c>
      <c r="L515">
        <v>535585.67999999993</v>
      </c>
      <c r="M515">
        <v>45616</v>
      </c>
      <c r="O515" t="s">
        <v>326</v>
      </c>
      <c r="P515" t="s">
        <v>127</v>
      </c>
      <c r="Q515" t="s">
        <v>140</v>
      </c>
      <c r="R515" t="s">
        <v>2446</v>
      </c>
      <c r="S515" t="s">
        <v>2444</v>
      </c>
      <c r="T515" t="s">
        <v>2445</v>
      </c>
      <c r="U515">
        <v>36</v>
      </c>
      <c r="V515" t="s">
        <v>357</v>
      </c>
      <c r="W515" t="s">
        <v>141</v>
      </c>
      <c r="X515" t="s">
        <v>142</v>
      </c>
      <c r="Y515">
        <v>11611</v>
      </c>
      <c r="Z515">
        <v>11612</v>
      </c>
      <c r="AA515" t="s">
        <v>1025</v>
      </c>
      <c r="AB515">
        <v>1</v>
      </c>
    </row>
    <row r="516" spans="1:28">
      <c r="A516">
        <v>1</v>
      </c>
      <c r="B516" t="s">
        <v>734</v>
      </c>
      <c r="C516" t="s">
        <v>2323</v>
      </c>
      <c r="D516" t="s">
        <v>2324</v>
      </c>
      <c r="E516" t="s">
        <v>1518</v>
      </c>
      <c r="F516" t="s">
        <v>1519</v>
      </c>
      <c r="G516">
        <v>13319.797399999999</v>
      </c>
      <c r="H516">
        <v>479512.70639999997</v>
      </c>
      <c r="I516">
        <v>14637.14</v>
      </c>
      <c r="J516">
        <v>526937.04</v>
      </c>
      <c r="K516">
        <v>15728.23</v>
      </c>
      <c r="L516">
        <v>566216.28</v>
      </c>
      <c r="M516">
        <v>45616</v>
      </c>
      <c r="O516" t="s">
        <v>326</v>
      </c>
      <c r="P516" t="s">
        <v>127</v>
      </c>
      <c r="Q516" t="s">
        <v>140</v>
      </c>
      <c r="R516" t="s">
        <v>2446</v>
      </c>
      <c r="S516" t="s">
        <v>2444</v>
      </c>
      <c r="T516" t="s">
        <v>2445</v>
      </c>
      <c r="U516">
        <v>36</v>
      </c>
      <c r="V516" t="s">
        <v>357</v>
      </c>
      <c r="W516" t="s">
        <v>141</v>
      </c>
      <c r="X516" t="s">
        <v>142</v>
      </c>
      <c r="Y516">
        <v>11611</v>
      </c>
      <c r="Z516">
        <v>11612</v>
      </c>
      <c r="AA516" t="s">
        <v>1025</v>
      </c>
      <c r="AB516">
        <v>1</v>
      </c>
    </row>
    <row r="517" spans="1:28">
      <c r="A517">
        <v>1</v>
      </c>
      <c r="B517" t="s">
        <v>726</v>
      </c>
      <c r="C517" t="s">
        <v>2323</v>
      </c>
      <c r="D517" t="s">
        <v>2324</v>
      </c>
      <c r="E517" t="s">
        <v>1520</v>
      </c>
      <c r="F517" t="s">
        <v>1521</v>
      </c>
      <c r="G517">
        <v>13319.797399999999</v>
      </c>
      <c r="H517">
        <v>479512.70639999997</v>
      </c>
      <c r="I517">
        <v>14637.14</v>
      </c>
      <c r="J517">
        <v>526937.04</v>
      </c>
      <c r="K517">
        <v>15728.23</v>
      </c>
      <c r="L517">
        <v>566216.28</v>
      </c>
      <c r="M517">
        <v>45616</v>
      </c>
      <c r="O517" t="s">
        <v>326</v>
      </c>
      <c r="P517" t="s">
        <v>127</v>
      </c>
      <c r="Q517" t="s">
        <v>140</v>
      </c>
      <c r="R517" t="s">
        <v>2446</v>
      </c>
      <c r="S517" t="s">
        <v>2444</v>
      </c>
      <c r="T517" t="s">
        <v>2445</v>
      </c>
      <c r="U517">
        <v>36</v>
      </c>
      <c r="V517" t="s">
        <v>357</v>
      </c>
      <c r="W517" t="s">
        <v>141</v>
      </c>
      <c r="X517" t="s">
        <v>142</v>
      </c>
      <c r="Y517">
        <v>11611</v>
      </c>
      <c r="Z517">
        <v>11612</v>
      </c>
      <c r="AA517" t="s">
        <v>1025</v>
      </c>
      <c r="AB517">
        <v>1</v>
      </c>
    </row>
    <row r="518" spans="1:28">
      <c r="A518">
        <v>1</v>
      </c>
      <c r="B518" t="s">
        <v>750</v>
      </c>
      <c r="C518" t="s">
        <v>2323</v>
      </c>
      <c r="D518" t="s">
        <v>2324</v>
      </c>
      <c r="E518" t="s">
        <v>1522</v>
      </c>
      <c r="F518" t="s">
        <v>1523</v>
      </c>
      <c r="G518">
        <v>13319.797399999999</v>
      </c>
      <c r="H518">
        <v>479512.70639999997</v>
      </c>
      <c r="I518">
        <v>14637.14</v>
      </c>
      <c r="J518">
        <v>526937.04</v>
      </c>
      <c r="K518">
        <v>15728.23</v>
      </c>
      <c r="L518">
        <v>566216.28</v>
      </c>
      <c r="M518">
        <v>45616</v>
      </c>
      <c r="O518" t="s">
        <v>326</v>
      </c>
      <c r="P518" t="s">
        <v>127</v>
      </c>
      <c r="Q518" t="s">
        <v>140</v>
      </c>
      <c r="R518" t="s">
        <v>2446</v>
      </c>
      <c r="S518" t="s">
        <v>2444</v>
      </c>
      <c r="T518" t="s">
        <v>2445</v>
      </c>
      <c r="U518">
        <v>36</v>
      </c>
      <c r="V518" t="s">
        <v>357</v>
      </c>
      <c r="W518" t="s">
        <v>141</v>
      </c>
      <c r="X518" t="s">
        <v>142</v>
      </c>
      <c r="Y518">
        <v>11611</v>
      </c>
      <c r="Z518">
        <v>11612</v>
      </c>
      <c r="AA518" t="s">
        <v>1025</v>
      </c>
      <c r="AB518">
        <v>1</v>
      </c>
    </row>
    <row r="519" spans="1:28">
      <c r="A519">
        <v>1</v>
      </c>
      <c r="B519" t="s">
        <v>728</v>
      </c>
      <c r="C519" t="s">
        <v>2323</v>
      </c>
      <c r="D519" t="s">
        <v>2324</v>
      </c>
      <c r="E519" t="s">
        <v>1524</v>
      </c>
      <c r="F519" t="s">
        <v>1525</v>
      </c>
      <c r="G519">
        <v>13319.797399999999</v>
      </c>
      <c r="H519">
        <v>479512.70639999997</v>
      </c>
      <c r="I519">
        <v>14637.14</v>
      </c>
      <c r="J519">
        <v>526937.04</v>
      </c>
      <c r="K519">
        <v>15728.23</v>
      </c>
      <c r="L519">
        <v>566216.28</v>
      </c>
      <c r="M519">
        <v>45616</v>
      </c>
      <c r="O519" t="s">
        <v>326</v>
      </c>
      <c r="P519" t="s">
        <v>127</v>
      </c>
      <c r="Q519" t="s">
        <v>140</v>
      </c>
      <c r="R519" t="s">
        <v>2446</v>
      </c>
      <c r="S519" t="s">
        <v>2444</v>
      </c>
      <c r="T519" t="s">
        <v>2445</v>
      </c>
      <c r="U519">
        <v>36</v>
      </c>
      <c r="V519" t="s">
        <v>357</v>
      </c>
      <c r="W519" t="s">
        <v>141</v>
      </c>
      <c r="X519" t="s">
        <v>142</v>
      </c>
      <c r="Y519">
        <v>11611</v>
      </c>
      <c r="Z519">
        <v>11612</v>
      </c>
      <c r="AA519" t="s">
        <v>1025</v>
      </c>
      <c r="AB519">
        <v>1</v>
      </c>
    </row>
    <row r="520" spans="1:28">
      <c r="A520">
        <v>1</v>
      </c>
      <c r="B520" t="s">
        <v>685</v>
      </c>
      <c r="C520" t="s">
        <v>2323</v>
      </c>
      <c r="D520" t="s">
        <v>2324</v>
      </c>
      <c r="E520" t="s">
        <v>1526</v>
      </c>
      <c r="F520" t="s">
        <v>1527</v>
      </c>
      <c r="G520">
        <v>6991.2388000000001</v>
      </c>
      <c r="H520">
        <v>251684.5968</v>
      </c>
      <c r="I520">
        <v>7682.68</v>
      </c>
      <c r="J520">
        <v>276576.48</v>
      </c>
      <c r="K520">
        <v>8308.31</v>
      </c>
      <c r="L520">
        <v>299099.15999999997</v>
      </c>
      <c r="M520">
        <v>45616</v>
      </c>
      <c r="O520" t="s">
        <v>326</v>
      </c>
      <c r="P520" t="s">
        <v>127</v>
      </c>
      <c r="Q520" t="s">
        <v>140</v>
      </c>
      <c r="R520" t="s">
        <v>2446</v>
      </c>
      <c r="S520" t="s">
        <v>2444</v>
      </c>
      <c r="T520" t="s">
        <v>2445</v>
      </c>
      <c r="U520">
        <v>36</v>
      </c>
      <c r="V520" t="s">
        <v>357</v>
      </c>
      <c r="W520" t="s">
        <v>141</v>
      </c>
      <c r="X520" t="s">
        <v>142</v>
      </c>
      <c r="Y520">
        <v>11611</v>
      </c>
      <c r="Z520">
        <v>11612</v>
      </c>
      <c r="AA520" t="s">
        <v>1025</v>
      </c>
      <c r="AB520">
        <v>1</v>
      </c>
    </row>
    <row r="521" spans="1:28">
      <c r="A521">
        <v>1</v>
      </c>
      <c r="B521" t="s">
        <v>686</v>
      </c>
      <c r="C521" t="s">
        <v>2323</v>
      </c>
      <c r="D521" t="s">
        <v>2324</v>
      </c>
      <c r="E521" t="s">
        <v>1528</v>
      </c>
      <c r="F521" t="s">
        <v>1529</v>
      </c>
      <c r="G521">
        <v>11067.5656</v>
      </c>
      <c r="H521">
        <v>398432.3616</v>
      </c>
      <c r="I521">
        <v>12162.16</v>
      </c>
      <c r="J521">
        <v>437837.76</v>
      </c>
      <c r="K521">
        <v>13153.15</v>
      </c>
      <c r="L521">
        <v>473513.39999999997</v>
      </c>
      <c r="M521">
        <v>45616</v>
      </c>
      <c r="O521" t="s">
        <v>326</v>
      </c>
      <c r="P521" t="s">
        <v>127</v>
      </c>
      <c r="Q521" t="s">
        <v>140</v>
      </c>
      <c r="R521" t="s">
        <v>2446</v>
      </c>
      <c r="S521" t="s">
        <v>2444</v>
      </c>
      <c r="T521" t="s">
        <v>2445</v>
      </c>
      <c r="U521">
        <v>36</v>
      </c>
      <c r="V521" t="s">
        <v>357</v>
      </c>
      <c r="W521" t="s">
        <v>141</v>
      </c>
      <c r="X521" t="s">
        <v>142</v>
      </c>
      <c r="Y521">
        <v>11611</v>
      </c>
      <c r="Z521">
        <v>11612</v>
      </c>
      <c r="AA521" t="s">
        <v>1025</v>
      </c>
      <c r="AB521">
        <v>1</v>
      </c>
    </row>
    <row r="522" spans="1:28">
      <c r="A522">
        <v>1</v>
      </c>
      <c r="B522" t="s">
        <v>735</v>
      </c>
      <c r="C522" t="s">
        <v>2323</v>
      </c>
      <c r="D522" t="s">
        <v>2324</v>
      </c>
      <c r="E522" t="s">
        <v>1530</v>
      </c>
      <c r="F522" t="s">
        <v>1531</v>
      </c>
      <c r="G522">
        <v>13319.797399999999</v>
      </c>
      <c r="H522">
        <v>479512.70639999997</v>
      </c>
      <c r="I522">
        <v>14637.14</v>
      </c>
      <c r="J522">
        <v>526937.04</v>
      </c>
      <c r="K522">
        <v>15728.23</v>
      </c>
      <c r="L522">
        <v>566216.28</v>
      </c>
      <c r="M522">
        <v>45616</v>
      </c>
      <c r="O522" t="s">
        <v>326</v>
      </c>
      <c r="P522" t="s">
        <v>127</v>
      </c>
      <c r="Q522" t="s">
        <v>140</v>
      </c>
      <c r="R522" t="s">
        <v>2446</v>
      </c>
      <c r="S522" t="s">
        <v>2444</v>
      </c>
      <c r="T522" t="s">
        <v>2445</v>
      </c>
      <c r="U522">
        <v>36</v>
      </c>
      <c r="V522" t="s">
        <v>357</v>
      </c>
      <c r="W522" t="s">
        <v>141</v>
      </c>
      <c r="X522" t="s">
        <v>142</v>
      </c>
      <c r="Y522">
        <v>11611</v>
      </c>
      <c r="Z522">
        <v>11612</v>
      </c>
      <c r="AA522" t="s">
        <v>1025</v>
      </c>
      <c r="AB522">
        <v>1</v>
      </c>
    </row>
    <row r="523" spans="1:28">
      <c r="A523">
        <v>1</v>
      </c>
      <c r="B523" t="s">
        <v>687</v>
      </c>
      <c r="C523" t="s">
        <v>2323</v>
      </c>
      <c r="D523" t="s">
        <v>2324</v>
      </c>
      <c r="E523" t="s">
        <v>1532</v>
      </c>
      <c r="F523" t="s">
        <v>1533</v>
      </c>
      <c r="G523">
        <v>6991.2388000000001</v>
      </c>
      <c r="H523">
        <v>251684.5968</v>
      </c>
      <c r="I523">
        <v>7682.68</v>
      </c>
      <c r="J523">
        <v>276576.48</v>
      </c>
      <c r="K523">
        <v>8308.31</v>
      </c>
      <c r="L523">
        <v>299099.15999999997</v>
      </c>
      <c r="M523">
        <v>45616</v>
      </c>
      <c r="O523" t="s">
        <v>326</v>
      </c>
      <c r="P523" t="s">
        <v>127</v>
      </c>
      <c r="Q523" t="s">
        <v>140</v>
      </c>
      <c r="R523" t="s">
        <v>2446</v>
      </c>
      <c r="S523" t="s">
        <v>2444</v>
      </c>
      <c r="T523" t="s">
        <v>2445</v>
      </c>
      <c r="U523">
        <v>36</v>
      </c>
      <c r="V523" t="s">
        <v>357</v>
      </c>
      <c r="W523" t="s">
        <v>141</v>
      </c>
      <c r="X523" t="s">
        <v>142</v>
      </c>
      <c r="Y523">
        <v>11611</v>
      </c>
      <c r="Z523">
        <v>11612</v>
      </c>
      <c r="AA523" t="s">
        <v>1025</v>
      </c>
      <c r="AB523">
        <v>1</v>
      </c>
    </row>
    <row r="524" spans="1:28">
      <c r="A524">
        <v>1</v>
      </c>
      <c r="B524" t="s">
        <v>688</v>
      </c>
      <c r="C524" t="s">
        <v>2323</v>
      </c>
      <c r="D524" t="s">
        <v>2324</v>
      </c>
      <c r="E524" t="s">
        <v>1534</v>
      </c>
      <c r="F524" t="s">
        <v>1535</v>
      </c>
      <c r="G524">
        <v>11067.5656</v>
      </c>
      <c r="H524">
        <v>398432.3616</v>
      </c>
      <c r="I524">
        <v>12162.16</v>
      </c>
      <c r="J524">
        <v>437837.76</v>
      </c>
      <c r="K524">
        <v>13153.15</v>
      </c>
      <c r="L524">
        <v>473513.39999999997</v>
      </c>
      <c r="M524">
        <v>45616</v>
      </c>
      <c r="O524" t="s">
        <v>326</v>
      </c>
      <c r="P524" t="s">
        <v>127</v>
      </c>
      <c r="Q524" t="s">
        <v>140</v>
      </c>
      <c r="R524" t="s">
        <v>2446</v>
      </c>
      <c r="S524" t="s">
        <v>2444</v>
      </c>
      <c r="T524" t="s">
        <v>2445</v>
      </c>
      <c r="U524">
        <v>36</v>
      </c>
      <c r="V524" t="s">
        <v>357</v>
      </c>
      <c r="W524" t="s">
        <v>141</v>
      </c>
      <c r="X524" t="s">
        <v>142</v>
      </c>
      <c r="Y524">
        <v>11611</v>
      </c>
      <c r="Z524">
        <v>11612</v>
      </c>
      <c r="AA524" t="s">
        <v>1025</v>
      </c>
      <c r="AB524">
        <v>1</v>
      </c>
    </row>
    <row r="525" spans="1:28">
      <c r="A525">
        <v>1</v>
      </c>
      <c r="B525" t="s">
        <v>689</v>
      </c>
      <c r="C525" t="s">
        <v>2323</v>
      </c>
      <c r="D525" t="s">
        <v>2324</v>
      </c>
      <c r="E525" t="s">
        <v>1536</v>
      </c>
      <c r="F525" t="s">
        <v>1537</v>
      </c>
      <c r="G525">
        <v>6991.2388000000001</v>
      </c>
      <c r="H525">
        <v>251684.5968</v>
      </c>
      <c r="I525">
        <v>7682.68</v>
      </c>
      <c r="J525">
        <v>276576.48</v>
      </c>
      <c r="K525">
        <v>8308.31</v>
      </c>
      <c r="L525">
        <v>299099.15999999997</v>
      </c>
      <c r="M525">
        <v>45616</v>
      </c>
      <c r="O525" t="s">
        <v>326</v>
      </c>
      <c r="P525" t="s">
        <v>127</v>
      </c>
      <c r="Q525" t="s">
        <v>140</v>
      </c>
      <c r="R525" t="s">
        <v>2446</v>
      </c>
      <c r="S525" t="s">
        <v>2444</v>
      </c>
      <c r="T525" t="s">
        <v>2445</v>
      </c>
      <c r="U525">
        <v>36</v>
      </c>
      <c r="V525" t="s">
        <v>357</v>
      </c>
      <c r="W525" t="s">
        <v>141</v>
      </c>
      <c r="X525" t="s">
        <v>142</v>
      </c>
      <c r="Y525">
        <v>11611</v>
      </c>
      <c r="Z525">
        <v>11612</v>
      </c>
      <c r="AA525" t="s">
        <v>1025</v>
      </c>
      <c r="AB525">
        <v>1</v>
      </c>
    </row>
    <row r="526" spans="1:28">
      <c r="A526">
        <v>1</v>
      </c>
      <c r="B526" t="s">
        <v>690</v>
      </c>
      <c r="C526" t="s">
        <v>2323</v>
      </c>
      <c r="D526" t="s">
        <v>2324</v>
      </c>
      <c r="E526" t="s">
        <v>1538</v>
      </c>
      <c r="F526" t="s">
        <v>1539</v>
      </c>
      <c r="G526">
        <v>11067.5656</v>
      </c>
      <c r="H526">
        <v>398432.3616</v>
      </c>
      <c r="I526">
        <v>12162.16</v>
      </c>
      <c r="J526">
        <v>437837.76</v>
      </c>
      <c r="K526">
        <v>13153.15</v>
      </c>
      <c r="L526">
        <v>473513.39999999997</v>
      </c>
      <c r="M526">
        <v>45616</v>
      </c>
      <c r="O526" t="s">
        <v>326</v>
      </c>
      <c r="P526" t="s">
        <v>127</v>
      </c>
      <c r="Q526" t="s">
        <v>140</v>
      </c>
      <c r="R526" t="s">
        <v>2446</v>
      </c>
      <c r="S526" t="s">
        <v>2444</v>
      </c>
      <c r="T526" t="s">
        <v>2445</v>
      </c>
      <c r="U526">
        <v>36</v>
      </c>
      <c r="V526" t="s">
        <v>357</v>
      </c>
      <c r="W526" t="s">
        <v>141</v>
      </c>
      <c r="X526" t="s">
        <v>142</v>
      </c>
      <c r="Y526">
        <v>11611</v>
      </c>
      <c r="Z526">
        <v>11612</v>
      </c>
      <c r="AA526" t="s">
        <v>1025</v>
      </c>
      <c r="AB526">
        <v>1</v>
      </c>
    </row>
    <row r="527" spans="1:28">
      <c r="A527">
        <v>1</v>
      </c>
      <c r="B527" t="s">
        <v>730</v>
      </c>
      <c r="C527" t="s">
        <v>2323</v>
      </c>
      <c r="D527" t="s">
        <v>2324</v>
      </c>
      <c r="E527" t="s">
        <v>1542</v>
      </c>
      <c r="F527" t="s">
        <v>1543</v>
      </c>
      <c r="G527">
        <v>13319.797399999999</v>
      </c>
      <c r="H527">
        <v>479512.70639999997</v>
      </c>
      <c r="I527">
        <v>14637.14</v>
      </c>
      <c r="J527">
        <v>526937.04</v>
      </c>
      <c r="K527">
        <v>15728.23</v>
      </c>
      <c r="L527">
        <v>566216.28</v>
      </c>
      <c r="M527">
        <v>45616</v>
      </c>
      <c r="O527" t="s">
        <v>326</v>
      </c>
      <c r="P527" t="s">
        <v>127</v>
      </c>
      <c r="Q527" t="s">
        <v>140</v>
      </c>
      <c r="R527" t="s">
        <v>2446</v>
      </c>
      <c r="S527" t="s">
        <v>2444</v>
      </c>
      <c r="T527" t="s">
        <v>2445</v>
      </c>
      <c r="U527">
        <v>36</v>
      </c>
      <c r="V527" t="s">
        <v>357</v>
      </c>
      <c r="W527" t="s">
        <v>141</v>
      </c>
      <c r="X527" t="s">
        <v>142</v>
      </c>
      <c r="Y527">
        <v>11611</v>
      </c>
      <c r="Z527">
        <v>11612</v>
      </c>
      <c r="AA527" t="s">
        <v>1025</v>
      </c>
      <c r="AB527">
        <v>1</v>
      </c>
    </row>
    <row r="528" spans="1:28">
      <c r="A528">
        <v>1</v>
      </c>
      <c r="B528" t="s">
        <v>938</v>
      </c>
      <c r="C528" t="s">
        <v>2293</v>
      </c>
      <c r="D528" t="s">
        <v>2294</v>
      </c>
      <c r="E528" t="s">
        <v>1312</v>
      </c>
      <c r="F528" t="s">
        <v>1313</v>
      </c>
      <c r="G528">
        <v>6579.0542999999998</v>
      </c>
      <c r="H528">
        <v>236845.95480000001</v>
      </c>
      <c r="I528">
        <v>7229.73</v>
      </c>
      <c r="J528">
        <v>260270.27999999997</v>
      </c>
      <c r="K528">
        <v>7790.29</v>
      </c>
      <c r="L528">
        <v>280450.44</v>
      </c>
      <c r="M528">
        <v>45616</v>
      </c>
      <c r="O528" t="s">
        <v>326</v>
      </c>
      <c r="P528" t="s">
        <v>127</v>
      </c>
      <c r="Q528" t="s">
        <v>140</v>
      </c>
      <c r="R528" t="s">
        <v>2446</v>
      </c>
      <c r="S528" t="s">
        <v>2444</v>
      </c>
      <c r="T528" t="s">
        <v>2445</v>
      </c>
      <c r="U528">
        <v>36</v>
      </c>
      <c r="V528" t="s">
        <v>357</v>
      </c>
      <c r="W528" t="s">
        <v>141</v>
      </c>
      <c r="X528" t="s">
        <v>142</v>
      </c>
      <c r="Y528">
        <v>11611</v>
      </c>
      <c r="Z528">
        <v>11612</v>
      </c>
      <c r="AA528" t="s">
        <v>1025</v>
      </c>
      <c r="AB528">
        <v>1</v>
      </c>
    </row>
    <row r="529" spans="1:28">
      <c r="A529">
        <v>1</v>
      </c>
      <c r="B529" t="s">
        <v>694</v>
      </c>
      <c r="C529" t="s">
        <v>2317</v>
      </c>
      <c r="D529" t="s">
        <v>2318</v>
      </c>
      <c r="E529" t="s">
        <v>1453</v>
      </c>
      <c r="F529" t="s">
        <v>1454</v>
      </c>
      <c r="G529">
        <v>346.71909999999997</v>
      </c>
      <c r="H529">
        <v>8321.2583999999988</v>
      </c>
      <c r="I529">
        <v>381.01</v>
      </c>
      <c r="J529">
        <v>9144.24</v>
      </c>
      <c r="K529">
        <v>381.01</v>
      </c>
      <c r="L529">
        <v>9144.24</v>
      </c>
      <c r="M529">
        <v>45616</v>
      </c>
      <c r="O529" t="s">
        <v>326</v>
      </c>
      <c r="P529" t="s">
        <v>127</v>
      </c>
      <c r="Q529" t="s">
        <v>140</v>
      </c>
      <c r="R529" t="s">
        <v>2446</v>
      </c>
      <c r="S529" t="s">
        <v>2444</v>
      </c>
      <c r="T529" t="s">
        <v>2445</v>
      </c>
      <c r="U529">
        <v>24</v>
      </c>
      <c r="V529" t="s">
        <v>1027</v>
      </c>
      <c r="W529" t="s">
        <v>141</v>
      </c>
      <c r="X529" t="s">
        <v>142</v>
      </c>
      <c r="Y529">
        <v>11611</v>
      </c>
      <c r="Z529">
        <v>11612</v>
      </c>
      <c r="AA529" t="s">
        <v>1025</v>
      </c>
      <c r="AB529">
        <v>1</v>
      </c>
    </row>
    <row r="530" spans="1:28">
      <c r="A530">
        <v>1</v>
      </c>
      <c r="B530" t="s">
        <v>706</v>
      </c>
      <c r="C530" t="s">
        <v>2317</v>
      </c>
      <c r="D530" t="s">
        <v>2318</v>
      </c>
      <c r="E530" t="s">
        <v>1450</v>
      </c>
      <c r="F530" t="s">
        <v>1451</v>
      </c>
      <c r="G530">
        <v>0</v>
      </c>
      <c r="H530">
        <v>0</v>
      </c>
      <c r="I530">
        <v>2286.036036036036</v>
      </c>
      <c r="J530">
        <v>54864.864864864867</v>
      </c>
      <c r="K530">
        <v>0</v>
      </c>
      <c r="L530">
        <v>0</v>
      </c>
      <c r="M530">
        <v>45616</v>
      </c>
      <c r="O530" t="s">
        <v>326</v>
      </c>
      <c r="P530" t="s">
        <v>127</v>
      </c>
      <c r="Q530" t="s">
        <v>140</v>
      </c>
      <c r="R530" t="s">
        <v>2446</v>
      </c>
      <c r="S530" t="s">
        <v>2444</v>
      </c>
      <c r="T530" t="s">
        <v>2445</v>
      </c>
      <c r="U530">
        <v>24</v>
      </c>
      <c r="V530" t="s">
        <v>1027</v>
      </c>
      <c r="W530" t="s">
        <v>141</v>
      </c>
      <c r="X530" t="s">
        <v>142</v>
      </c>
      <c r="Y530">
        <v>11611</v>
      </c>
      <c r="Z530">
        <v>11612</v>
      </c>
      <c r="AA530" t="s">
        <v>1025</v>
      </c>
      <c r="AB530">
        <v>1</v>
      </c>
    </row>
    <row r="531" spans="1:28">
      <c r="A531">
        <v>1</v>
      </c>
      <c r="B531" t="s">
        <v>965</v>
      </c>
      <c r="C531" t="s">
        <v>2333</v>
      </c>
      <c r="D531" t="s">
        <v>2334</v>
      </c>
      <c r="E531" t="s">
        <v>1354</v>
      </c>
      <c r="F531" t="s">
        <v>1355</v>
      </c>
      <c r="G531">
        <v>13158.1086</v>
      </c>
      <c r="H531">
        <v>473691.90960000001</v>
      </c>
      <c r="I531">
        <v>14459.46</v>
      </c>
      <c r="J531">
        <v>520540.55999999994</v>
      </c>
      <c r="K531">
        <v>15900.9</v>
      </c>
      <c r="L531">
        <v>572432.4</v>
      </c>
      <c r="M531">
        <v>45616</v>
      </c>
      <c r="O531" t="s">
        <v>326</v>
      </c>
      <c r="P531" t="s">
        <v>127</v>
      </c>
      <c r="Q531" t="s">
        <v>140</v>
      </c>
      <c r="R531" t="s">
        <v>2446</v>
      </c>
      <c r="S531" t="s">
        <v>2444</v>
      </c>
      <c r="T531" t="s">
        <v>2445</v>
      </c>
      <c r="U531">
        <v>36</v>
      </c>
      <c r="V531" t="s">
        <v>357</v>
      </c>
      <c r="W531" t="s">
        <v>141</v>
      </c>
      <c r="X531" t="s">
        <v>142</v>
      </c>
      <c r="Y531">
        <v>11611</v>
      </c>
      <c r="Z531">
        <v>11612</v>
      </c>
      <c r="AA531" t="s">
        <v>1025</v>
      </c>
      <c r="AB531">
        <v>1</v>
      </c>
    </row>
    <row r="532" spans="1:28">
      <c r="A532">
        <v>1</v>
      </c>
      <c r="B532" t="s">
        <v>966</v>
      </c>
      <c r="C532" t="s">
        <v>2333</v>
      </c>
      <c r="D532" t="s">
        <v>2334</v>
      </c>
      <c r="E532" t="s">
        <v>1356</v>
      </c>
      <c r="F532" t="s">
        <v>1357</v>
      </c>
      <c r="G532">
        <v>6371.82</v>
      </c>
      <c r="H532">
        <v>229385.52</v>
      </c>
      <c r="I532">
        <v>7002</v>
      </c>
      <c r="J532">
        <v>252072</v>
      </c>
      <c r="K532">
        <v>7592.59</v>
      </c>
      <c r="L532">
        <v>273333.24</v>
      </c>
      <c r="M532">
        <v>45616</v>
      </c>
      <c r="O532" t="s">
        <v>326</v>
      </c>
      <c r="P532" t="s">
        <v>127</v>
      </c>
      <c r="Q532" t="s">
        <v>140</v>
      </c>
      <c r="R532" t="s">
        <v>2446</v>
      </c>
      <c r="S532" t="s">
        <v>2444</v>
      </c>
      <c r="T532" t="s">
        <v>2445</v>
      </c>
      <c r="U532">
        <v>36</v>
      </c>
      <c r="V532" t="s">
        <v>357</v>
      </c>
      <c r="W532" t="s">
        <v>141</v>
      </c>
      <c r="X532" t="s">
        <v>142</v>
      </c>
      <c r="Y532">
        <v>11611</v>
      </c>
      <c r="Z532">
        <v>11612</v>
      </c>
      <c r="AA532" t="s">
        <v>1025</v>
      </c>
      <c r="AB532">
        <v>1</v>
      </c>
    </row>
    <row r="533" spans="1:28">
      <c r="A533">
        <v>1</v>
      </c>
      <c r="B533" t="s">
        <v>967</v>
      </c>
      <c r="C533" t="s">
        <v>2333</v>
      </c>
      <c r="D533" t="s">
        <v>2334</v>
      </c>
      <c r="E533" t="s">
        <v>1358</v>
      </c>
      <c r="F533" t="s">
        <v>1359</v>
      </c>
      <c r="G533">
        <v>13158.1086</v>
      </c>
      <c r="H533">
        <v>473691.90960000001</v>
      </c>
      <c r="I533">
        <v>14459.46</v>
      </c>
      <c r="J533">
        <v>520540.55999999994</v>
      </c>
      <c r="K533">
        <v>15900.9</v>
      </c>
      <c r="L533">
        <v>572432.4</v>
      </c>
      <c r="M533">
        <v>45616</v>
      </c>
      <c r="O533" t="s">
        <v>326</v>
      </c>
      <c r="P533" t="s">
        <v>127</v>
      </c>
      <c r="Q533" t="s">
        <v>140</v>
      </c>
      <c r="R533" t="s">
        <v>2446</v>
      </c>
      <c r="S533" t="s">
        <v>2444</v>
      </c>
      <c r="T533" t="s">
        <v>2445</v>
      </c>
      <c r="U533">
        <v>36</v>
      </c>
      <c r="V533" t="s">
        <v>357</v>
      </c>
      <c r="W533" t="s">
        <v>141</v>
      </c>
      <c r="X533" t="s">
        <v>142</v>
      </c>
      <c r="Y533">
        <v>11611</v>
      </c>
      <c r="Z533">
        <v>11612</v>
      </c>
      <c r="AA533" t="s">
        <v>1025</v>
      </c>
      <c r="AB533">
        <v>1</v>
      </c>
    </row>
    <row r="534" spans="1:28">
      <c r="A534">
        <v>1</v>
      </c>
      <c r="B534" t="s">
        <v>952</v>
      </c>
      <c r="C534" t="s">
        <v>2335</v>
      </c>
      <c r="D534" t="s">
        <v>2336</v>
      </c>
      <c r="E534" t="s">
        <v>1360</v>
      </c>
      <c r="F534" t="s">
        <v>1361</v>
      </c>
      <c r="G534">
        <v>8273.3469000000005</v>
      </c>
      <c r="H534">
        <v>297840.48840000003</v>
      </c>
      <c r="I534">
        <v>9091.59</v>
      </c>
      <c r="J534">
        <v>327297.24</v>
      </c>
      <c r="K534">
        <v>10115.120000000001</v>
      </c>
      <c r="L534">
        <v>364144.32</v>
      </c>
      <c r="M534">
        <v>45616</v>
      </c>
      <c r="O534" t="s">
        <v>326</v>
      </c>
      <c r="P534" t="s">
        <v>127</v>
      </c>
      <c r="Q534" t="s">
        <v>140</v>
      </c>
      <c r="R534" t="s">
        <v>2446</v>
      </c>
      <c r="S534" t="s">
        <v>2444</v>
      </c>
      <c r="T534" t="s">
        <v>2445</v>
      </c>
      <c r="U534">
        <v>36</v>
      </c>
      <c r="V534" t="s">
        <v>357</v>
      </c>
      <c r="W534" t="s">
        <v>141</v>
      </c>
      <c r="X534" t="s">
        <v>142</v>
      </c>
      <c r="Y534">
        <v>11611</v>
      </c>
      <c r="Z534">
        <v>11612</v>
      </c>
      <c r="AA534" t="s">
        <v>1025</v>
      </c>
      <c r="AB534">
        <v>1</v>
      </c>
    </row>
    <row r="535" spans="1:28">
      <c r="A535">
        <v>1</v>
      </c>
      <c r="B535" t="s">
        <v>953</v>
      </c>
      <c r="C535" t="s">
        <v>2335</v>
      </c>
      <c r="D535" t="s">
        <v>2336</v>
      </c>
      <c r="E535" t="s">
        <v>1362</v>
      </c>
      <c r="F535" t="s">
        <v>1363</v>
      </c>
      <c r="G535">
        <v>11996.693800000001</v>
      </c>
      <c r="H535">
        <v>431880.97680000006</v>
      </c>
      <c r="I535">
        <v>13183.18</v>
      </c>
      <c r="J535">
        <v>474594.48</v>
      </c>
      <c r="K535">
        <v>14609.61</v>
      </c>
      <c r="L535">
        <v>525945.96</v>
      </c>
      <c r="M535">
        <v>45616</v>
      </c>
      <c r="O535" t="s">
        <v>326</v>
      </c>
      <c r="P535" t="s">
        <v>127</v>
      </c>
      <c r="Q535" t="s">
        <v>140</v>
      </c>
      <c r="R535" t="s">
        <v>2446</v>
      </c>
      <c r="S535" t="s">
        <v>2444</v>
      </c>
      <c r="T535" t="s">
        <v>2445</v>
      </c>
      <c r="U535">
        <v>36</v>
      </c>
      <c r="V535" t="s">
        <v>357</v>
      </c>
      <c r="W535" t="s">
        <v>141</v>
      </c>
      <c r="X535" t="s">
        <v>142</v>
      </c>
      <c r="Y535">
        <v>11611</v>
      </c>
      <c r="Z535">
        <v>11612</v>
      </c>
      <c r="AA535" t="s">
        <v>1025</v>
      </c>
      <c r="AB535">
        <v>1</v>
      </c>
    </row>
    <row r="536" spans="1:28">
      <c r="A536">
        <v>1</v>
      </c>
      <c r="B536" t="s">
        <v>954</v>
      </c>
      <c r="C536" t="s">
        <v>2335</v>
      </c>
      <c r="D536" t="s">
        <v>2336</v>
      </c>
      <c r="E536" t="s">
        <v>1364</v>
      </c>
      <c r="F536" t="s">
        <v>1365</v>
      </c>
      <c r="G536">
        <v>8273.3469000000005</v>
      </c>
      <c r="H536">
        <v>297840.48840000003</v>
      </c>
      <c r="I536">
        <v>9091.59</v>
      </c>
      <c r="J536">
        <v>327297.24</v>
      </c>
      <c r="K536">
        <v>10115.120000000001</v>
      </c>
      <c r="L536">
        <v>364144.32</v>
      </c>
      <c r="M536">
        <v>45616</v>
      </c>
      <c r="O536" t="s">
        <v>326</v>
      </c>
      <c r="P536" t="s">
        <v>127</v>
      </c>
      <c r="Q536" t="s">
        <v>140</v>
      </c>
      <c r="R536" t="s">
        <v>2446</v>
      </c>
      <c r="S536" t="s">
        <v>2444</v>
      </c>
      <c r="T536" t="s">
        <v>2445</v>
      </c>
      <c r="U536">
        <v>36</v>
      </c>
      <c r="V536" t="s">
        <v>357</v>
      </c>
      <c r="W536" t="s">
        <v>141</v>
      </c>
      <c r="X536" t="s">
        <v>142</v>
      </c>
      <c r="Y536">
        <v>11611</v>
      </c>
      <c r="Z536">
        <v>11612</v>
      </c>
      <c r="AA536" t="s">
        <v>1025</v>
      </c>
      <c r="AB536">
        <v>1</v>
      </c>
    </row>
    <row r="537" spans="1:28">
      <c r="A537">
        <v>1</v>
      </c>
      <c r="B537" t="s">
        <v>955</v>
      </c>
      <c r="C537" t="s">
        <v>2335</v>
      </c>
      <c r="D537" t="s">
        <v>2336</v>
      </c>
      <c r="E537" t="s">
        <v>1366</v>
      </c>
      <c r="F537" t="s">
        <v>1367</v>
      </c>
      <c r="G537">
        <v>11996.693800000001</v>
      </c>
      <c r="H537">
        <v>431880.97680000006</v>
      </c>
      <c r="I537">
        <v>13183.18</v>
      </c>
      <c r="J537">
        <v>474594.48</v>
      </c>
      <c r="K537">
        <v>14609.61</v>
      </c>
      <c r="L537">
        <v>525945.96</v>
      </c>
      <c r="M537">
        <v>45616</v>
      </c>
      <c r="O537" t="s">
        <v>326</v>
      </c>
      <c r="P537" t="s">
        <v>127</v>
      </c>
      <c r="Q537" t="s">
        <v>140</v>
      </c>
      <c r="R537" t="s">
        <v>2446</v>
      </c>
      <c r="S537" t="s">
        <v>2444</v>
      </c>
      <c r="T537" t="s">
        <v>2445</v>
      </c>
      <c r="U537">
        <v>36</v>
      </c>
      <c r="V537" t="s">
        <v>357</v>
      </c>
      <c r="W537" t="s">
        <v>141</v>
      </c>
      <c r="X537" t="s">
        <v>142</v>
      </c>
      <c r="Y537">
        <v>11611</v>
      </c>
      <c r="Z537">
        <v>11612</v>
      </c>
      <c r="AA537" t="s">
        <v>1025</v>
      </c>
      <c r="AB537">
        <v>1</v>
      </c>
    </row>
    <row r="538" spans="1:28">
      <c r="A538">
        <v>1</v>
      </c>
      <c r="B538" t="s">
        <v>956</v>
      </c>
      <c r="C538" t="s">
        <v>2335</v>
      </c>
      <c r="D538" t="s">
        <v>2336</v>
      </c>
      <c r="E538" t="s">
        <v>1368</v>
      </c>
      <c r="F538" t="s">
        <v>1369</v>
      </c>
      <c r="G538">
        <v>8273.3469000000005</v>
      </c>
      <c r="H538">
        <v>297840.48840000003</v>
      </c>
      <c r="I538">
        <v>9091.59</v>
      </c>
      <c r="J538">
        <v>327297.24</v>
      </c>
      <c r="K538">
        <v>10115.120000000001</v>
      </c>
      <c r="L538">
        <v>364144.32</v>
      </c>
      <c r="M538">
        <v>45616</v>
      </c>
      <c r="O538" t="s">
        <v>326</v>
      </c>
      <c r="P538" t="s">
        <v>127</v>
      </c>
      <c r="Q538" t="s">
        <v>140</v>
      </c>
      <c r="R538" t="s">
        <v>2446</v>
      </c>
      <c r="S538" t="s">
        <v>2444</v>
      </c>
      <c r="T538" t="s">
        <v>2445</v>
      </c>
      <c r="U538">
        <v>36</v>
      </c>
      <c r="V538" t="s">
        <v>357</v>
      </c>
      <c r="W538" t="s">
        <v>141</v>
      </c>
      <c r="X538" t="s">
        <v>142</v>
      </c>
      <c r="Y538">
        <v>11611</v>
      </c>
      <c r="Z538">
        <v>11612</v>
      </c>
      <c r="AA538" t="s">
        <v>1025</v>
      </c>
      <c r="AB538">
        <v>1</v>
      </c>
    </row>
    <row r="539" spans="1:28">
      <c r="A539">
        <v>1</v>
      </c>
      <c r="B539" t="s">
        <v>957</v>
      </c>
      <c r="C539" t="s">
        <v>2335</v>
      </c>
      <c r="D539" t="s">
        <v>2336</v>
      </c>
      <c r="E539" t="s">
        <v>1370</v>
      </c>
      <c r="F539" t="s">
        <v>1371</v>
      </c>
      <c r="G539">
        <v>11996.693800000001</v>
      </c>
      <c r="H539">
        <v>431880.97680000006</v>
      </c>
      <c r="I539">
        <v>13183.18</v>
      </c>
      <c r="J539">
        <v>474594.48</v>
      </c>
      <c r="K539">
        <v>14609.61</v>
      </c>
      <c r="L539">
        <v>525945.96</v>
      </c>
      <c r="M539">
        <v>45616</v>
      </c>
      <c r="O539" t="s">
        <v>326</v>
      </c>
      <c r="P539" t="s">
        <v>127</v>
      </c>
      <c r="Q539" t="s">
        <v>140</v>
      </c>
      <c r="R539" t="s">
        <v>2446</v>
      </c>
      <c r="S539" t="s">
        <v>2444</v>
      </c>
      <c r="T539" t="s">
        <v>2445</v>
      </c>
      <c r="U539">
        <v>36</v>
      </c>
      <c r="V539" t="s">
        <v>357</v>
      </c>
      <c r="W539" t="s">
        <v>141</v>
      </c>
      <c r="X539" t="s">
        <v>142</v>
      </c>
      <c r="Y539">
        <v>11611</v>
      </c>
      <c r="Z539">
        <v>11612</v>
      </c>
      <c r="AA539" t="s">
        <v>1025</v>
      </c>
      <c r="AB539">
        <v>1</v>
      </c>
    </row>
    <row r="540" spans="1:28">
      <c r="A540">
        <v>1</v>
      </c>
      <c r="B540" t="s">
        <v>958</v>
      </c>
      <c r="C540" t="s">
        <v>2335</v>
      </c>
      <c r="D540" t="s">
        <v>2336</v>
      </c>
      <c r="E540" t="s">
        <v>1372</v>
      </c>
      <c r="F540" t="s">
        <v>1373</v>
      </c>
      <c r="G540">
        <v>8273.3469000000005</v>
      </c>
      <c r="H540">
        <v>297840.48840000003</v>
      </c>
      <c r="I540">
        <v>9091.59</v>
      </c>
      <c r="J540">
        <v>327297.24</v>
      </c>
      <c r="K540">
        <v>10115.120000000001</v>
      </c>
      <c r="L540">
        <v>364144.32</v>
      </c>
      <c r="M540">
        <v>45616</v>
      </c>
      <c r="O540" t="s">
        <v>326</v>
      </c>
      <c r="P540" t="s">
        <v>127</v>
      </c>
      <c r="Q540" t="s">
        <v>140</v>
      </c>
      <c r="R540" t="s">
        <v>2446</v>
      </c>
      <c r="S540" t="s">
        <v>2444</v>
      </c>
      <c r="T540" t="s">
        <v>2445</v>
      </c>
      <c r="U540">
        <v>36</v>
      </c>
      <c r="V540" t="s">
        <v>357</v>
      </c>
      <c r="W540" t="s">
        <v>141</v>
      </c>
      <c r="X540" t="s">
        <v>142</v>
      </c>
      <c r="Y540">
        <v>11611</v>
      </c>
      <c r="Z540">
        <v>11612</v>
      </c>
      <c r="AA540" t="s">
        <v>1025</v>
      </c>
      <c r="AB540">
        <v>1</v>
      </c>
    </row>
    <row r="541" spans="1:28">
      <c r="A541">
        <v>1</v>
      </c>
      <c r="B541" t="s">
        <v>959</v>
      </c>
      <c r="C541" t="s">
        <v>2335</v>
      </c>
      <c r="D541" t="s">
        <v>2336</v>
      </c>
      <c r="E541" t="s">
        <v>1374</v>
      </c>
      <c r="F541" t="s">
        <v>1375</v>
      </c>
      <c r="G541">
        <v>11996.693800000001</v>
      </c>
      <c r="H541">
        <v>431880.97680000006</v>
      </c>
      <c r="I541">
        <v>13183.18</v>
      </c>
      <c r="J541">
        <v>474594.48</v>
      </c>
      <c r="K541">
        <v>14609.61</v>
      </c>
      <c r="L541">
        <v>525945.96</v>
      </c>
      <c r="M541">
        <v>45616</v>
      </c>
      <c r="O541" t="s">
        <v>326</v>
      </c>
      <c r="P541" t="s">
        <v>127</v>
      </c>
      <c r="Q541" t="s">
        <v>140</v>
      </c>
      <c r="R541" t="s">
        <v>2446</v>
      </c>
      <c r="S541" t="s">
        <v>2444</v>
      </c>
      <c r="T541" t="s">
        <v>2445</v>
      </c>
      <c r="U541">
        <v>36</v>
      </c>
      <c r="V541" t="s">
        <v>357</v>
      </c>
      <c r="W541" t="s">
        <v>141</v>
      </c>
      <c r="X541" t="s">
        <v>142</v>
      </c>
      <c r="Y541">
        <v>11611</v>
      </c>
      <c r="Z541">
        <v>11612</v>
      </c>
      <c r="AA541" t="s">
        <v>1025</v>
      </c>
      <c r="AB541">
        <v>1</v>
      </c>
    </row>
    <row r="542" spans="1:28">
      <c r="A542">
        <v>1</v>
      </c>
      <c r="B542" t="s">
        <v>942</v>
      </c>
      <c r="C542" t="s">
        <v>2337</v>
      </c>
      <c r="D542" t="s">
        <v>2338</v>
      </c>
      <c r="E542" t="s">
        <v>1376</v>
      </c>
      <c r="F542" t="s">
        <v>1377</v>
      </c>
      <c r="G542">
        <v>12989.5857</v>
      </c>
      <c r="H542">
        <v>467625.08519999997</v>
      </c>
      <c r="I542">
        <v>14274.27</v>
      </c>
      <c r="J542">
        <v>513873.72000000003</v>
      </c>
      <c r="K542">
        <v>15455.46</v>
      </c>
      <c r="L542">
        <v>556396.55999999994</v>
      </c>
      <c r="M542">
        <v>45616</v>
      </c>
      <c r="O542" t="s">
        <v>326</v>
      </c>
      <c r="P542" t="s">
        <v>127</v>
      </c>
      <c r="Q542" t="s">
        <v>140</v>
      </c>
      <c r="R542" t="s">
        <v>2446</v>
      </c>
      <c r="S542" t="s">
        <v>2444</v>
      </c>
      <c r="T542" t="s">
        <v>2445</v>
      </c>
      <c r="U542">
        <v>36</v>
      </c>
      <c r="V542" t="s">
        <v>357</v>
      </c>
      <c r="W542" t="s">
        <v>141</v>
      </c>
      <c r="X542" t="s">
        <v>142</v>
      </c>
      <c r="Y542">
        <v>11611</v>
      </c>
      <c r="Z542">
        <v>11612</v>
      </c>
      <c r="AA542" t="s">
        <v>1025</v>
      </c>
      <c r="AB542">
        <v>1</v>
      </c>
    </row>
    <row r="543" spans="1:28">
      <c r="A543">
        <v>1</v>
      </c>
      <c r="B543" t="s">
        <v>944</v>
      </c>
      <c r="C543" t="s">
        <v>2337</v>
      </c>
      <c r="D543" t="s">
        <v>2338</v>
      </c>
      <c r="E543" t="s">
        <v>1378</v>
      </c>
      <c r="F543" t="s">
        <v>1379</v>
      </c>
      <c r="G543">
        <v>12989.5857</v>
      </c>
      <c r="H543">
        <v>467625.08519999997</v>
      </c>
      <c r="I543">
        <v>14274.27</v>
      </c>
      <c r="J543">
        <v>513873.72000000003</v>
      </c>
      <c r="K543">
        <v>15455.46</v>
      </c>
      <c r="L543">
        <v>556396.55999999994</v>
      </c>
      <c r="M543">
        <v>45616</v>
      </c>
      <c r="O543" t="s">
        <v>326</v>
      </c>
      <c r="P543" t="s">
        <v>127</v>
      </c>
      <c r="Q543" t="s">
        <v>140</v>
      </c>
      <c r="R543" t="s">
        <v>2446</v>
      </c>
      <c r="S543" t="s">
        <v>2444</v>
      </c>
      <c r="T543" t="s">
        <v>2445</v>
      </c>
      <c r="U543">
        <v>36</v>
      </c>
      <c r="V543" t="s">
        <v>357</v>
      </c>
      <c r="W543" t="s">
        <v>141</v>
      </c>
      <c r="X543" t="s">
        <v>142</v>
      </c>
      <c r="Y543">
        <v>11611</v>
      </c>
      <c r="Z543">
        <v>11612</v>
      </c>
      <c r="AA543" t="s">
        <v>1025</v>
      </c>
      <c r="AB543">
        <v>1</v>
      </c>
    </row>
    <row r="544" spans="1:28">
      <c r="A544">
        <v>1</v>
      </c>
      <c r="B544" t="s">
        <v>946</v>
      </c>
      <c r="C544" t="s">
        <v>2337</v>
      </c>
      <c r="D544" t="s">
        <v>2338</v>
      </c>
      <c r="E544" t="s">
        <v>1380</v>
      </c>
      <c r="F544" t="s">
        <v>1381</v>
      </c>
      <c r="G544">
        <v>12989.5857</v>
      </c>
      <c r="H544">
        <v>467625.08519999997</v>
      </c>
      <c r="I544">
        <v>14274.27</v>
      </c>
      <c r="J544">
        <v>513873.72000000003</v>
      </c>
      <c r="K544">
        <v>15455.46</v>
      </c>
      <c r="L544">
        <v>556396.55999999994</v>
      </c>
      <c r="M544">
        <v>45616</v>
      </c>
      <c r="O544" t="s">
        <v>326</v>
      </c>
      <c r="P544" t="s">
        <v>127</v>
      </c>
      <c r="Q544" t="s">
        <v>140</v>
      </c>
      <c r="R544" t="s">
        <v>2446</v>
      </c>
      <c r="S544" t="s">
        <v>2444</v>
      </c>
      <c r="T544" t="s">
        <v>2445</v>
      </c>
      <c r="U544">
        <v>36</v>
      </c>
      <c r="V544" t="s">
        <v>357</v>
      </c>
      <c r="W544" t="s">
        <v>141</v>
      </c>
      <c r="X544" t="s">
        <v>142</v>
      </c>
      <c r="Y544">
        <v>11611</v>
      </c>
      <c r="Z544">
        <v>11612</v>
      </c>
      <c r="AA544" t="s">
        <v>1025</v>
      </c>
      <c r="AB544">
        <v>1</v>
      </c>
    </row>
    <row r="545" spans="1:28">
      <c r="A545">
        <v>1</v>
      </c>
      <c r="B545" t="s">
        <v>948</v>
      </c>
      <c r="C545" t="s">
        <v>2337</v>
      </c>
      <c r="D545" t="s">
        <v>2338</v>
      </c>
      <c r="E545" t="s">
        <v>1382</v>
      </c>
      <c r="F545" t="s">
        <v>1383</v>
      </c>
      <c r="G545">
        <v>12989.5857</v>
      </c>
      <c r="H545">
        <v>467625.08519999997</v>
      </c>
      <c r="I545">
        <v>14274.27</v>
      </c>
      <c r="J545">
        <v>513873.72000000003</v>
      </c>
      <c r="K545">
        <v>15455.46</v>
      </c>
      <c r="L545">
        <v>556396.55999999994</v>
      </c>
      <c r="M545">
        <v>45616</v>
      </c>
      <c r="O545" t="s">
        <v>326</v>
      </c>
      <c r="P545" t="s">
        <v>127</v>
      </c>
      <c r="Q545" t="s">
        <v>140</v>
      </c>
      <c r="R545" t="s">
        <v>2446</v>
      </c>
      <c r="S545" t="s">
        <v>2444</v>
      </c>
      <c r="T545" t="s">
        <v>2445</v>
      </c>
      <c r="U545">
        <v>36</v>
      </c>
      <c r="V545" t="s">
        <v>357</v>
      </c>
      <c r="W545" t="s">
        <v>141</v>
      </c>
      <c r="X545" t="s">
        <v>142</v>
      </c>
      <c r="Y545">
        <v>11611</v>
      </c>
      <c r="Z545">
        <v>11612</v>
      </c>
      <c r="AA545" t="s">
        <v>1025</v>
      </c>
      <c r="AB545">
        <v>1</v>
      </c>
    </row>
    <row r="546" spans="1:28">
      <c r="A546">
        <v>1</v>
      </c>
      <c r="B546" t="s">
        <v>964</v>
      </c>
      <c r="C546" t="s">
        <v>2333</v>
      </c>
      <c r="D546" t="s">
        <v>2334</v>
      </c>
      <c r="E546" t="s">
        <v>1352</v>
      </c>
      <c r="F546" t="s">
        <v>1353</v>
      </c>
      <c r="G546">
        <v>6371.82</v>
      </c>
      <c r="H546">
        <v>229385.52</v>
      </c>
      <c r="I546">
        <v>7002</v>
      </c>
      <c r="J546">
        <v>252072</v>
      </c>
      <c r="K546">
        <v>7592.59</v>
      </c>
      <c r="L546">
        <v>273333.24</v>
      </c>
      <c r="M546">
        <v>45616</v>
      </c>
      <c r="O546" t="s">
        <v>326</v>
      </c>
      <c r="P546" t="s">
        <v>127</v>
      </c>
      <c r="Q546" t="s">
        <v>140</v>
      </c>
      <c r="R546" t="s">
        <v>2446</v>
      </c>
      <c r="S546" t="s">
        <v>2444</v>
      </c>
      <c r="T546" t="s">
        <v>2445</v>
      </c>
      <c r="U546">
        <v>36</v>
      </c>
      <c r="V546" t="s">
        <v>357</v>
      </c>
      <c r="W546" t="s">
        <v>141</v>
      </c>
      <c r="X546" t="s">
        <v>142</v>
      </c>
      <c r="Y546">
        <v>11611</v>
      </c>
      <c r="Z546">
        <v>11612</v>
      </c>
      <c r="AA546" t="s">
        <v>1025</v>
      </c>
      <c r="AB546">
        <v>1</v>
      </c>
    </row>
    <row r="547" spans="1:28">
      <c r="A547">
        <v>1</v>
      </c>
      <c r="B547" t="s">
        <v>950</v>
      </c>
      <c r="C547" t="s">
        <v>2337</v>
      </c>
      <c r="D547" t="s">
        <v>2338</v>
      </c>
      <c r="E547" t="s">
        <v>1384</v>
      </c>
      <c r="F547" t="s">
        <v>1385</v>
      </c>
      <c r="G547">
        <v>12989.5857</v>
      </c>
      <c r="H547">
        <v>467625.08519999997</v>
      </c>
      <c r="I547">
        <v>14274.27</v>
      </c>
      <c r="J547">
        <v>513873.72000000003</v>
      </c>
      <c r="K547">
        <v>15455.46</v>
      </c>
      <c r="L547">
        <v>556396.55999999994</v>
      </c>
      <c r="M547">
        <v>45616</v>
      </c>
      <c r="O547" t="s">
        <v>326</v>
      </c>
      <c r="P547" t="s">
        <v>127</v>
      </c>
      <c r="Q547" t="s">
        <v>140</v>
      </c>
      <c r="R547" t="s">
        <v>2446</v>
      </c>
      <c r="S547" t="s">
        <v>2444</v>
      </c>
      <c r="T547" t="s">
        <v>2445</v>
      </c>
      <c r="U547">
        <v>36</v>
      </c>
      <c r="V547" t="s">
        <v>357</v>
      </c>
      <c r="W547" t="s">
        <v>141</v>
      </c>
      <c r="X547" t="s">
        <v>142</v>
      </c>
      <c r="Y547">
        <v>11611</v>
      </c>
      <c r="Z547">
        <v>11612</v>
      </c>
      <c r="AA547" t="s">
        <v>1025</v>
      </c>
      <c r="AB547">
        <v>1</v>
      </c>
    </row>
    <row r="548" spans="1:28">
      <c r="A548">
        <v>1</v>
      </c>
      <c r="B548" t="s">
        <v>963</v>
      </c>
      <c r="C548" t="s">
        <v>2333</v>
      </c>
      <c r="D548" t="s">
        <v>2334</v>
      </c>
      <c r="E548" t="s">
        <v>1350</v>
      </c>
      <c r="F548" t="s">
        <v>1351</v>
      </c>
      <c r="G548">
        <v>13158.1086</v>
      </c>
      <c r="H548">
        <v>473691.90960000001</v>
      </c>
      <c r="I548">
        <v>14459.46</v>
      </c>
      <c r="J548">
        <v>520540.55999999994</v>
      </c>
      <c r="K548">
        <v>15900.9</v>
      </c>
      <c r="L548">
        <v>572432.4</v>
      </c>
      <c r="M548">
        <v>45616</v>
      </c>
      <c r="O548" t="s">
        <v>326</v>
      </c>
      <c r="P548" t="s">
        <v>127</v>
      </c>
      <c r="Q548" t="s">
        <v>140</v>
      </c>
      <c r="R548" t="s">
        <v>2446</v>
      </c>
      <c r="S548" t="s">
        <v>2444</v>
      </c>
      <c r="T548" t="s">
        <v>2445</v>
      </c>
      <c r="U548">
        <v>36</v>
      </c>
      <c r="V548" t="s">
        <v>357</v>
      </c>
      <c r="W548" t="s">
        <v>141</v>
      </c>
      <c r="X548" t="s">
        <v>142</v>
      </c>
      <c r="Y548">
        <v>11611</v>
      </c>
      <c r="Z548">
        <v>11612</v>
      </c>
      <c r="AA548" t="s">
        <v>1025</v>
      </c>
      <c r="AB548">
        <v>1</v>
      </c>
    </row>
    <row r="549" spans="1:28">
      <c r="A549">
        <v>1</v>
      </c>
      <c r="B549" t="s">
        <v>961</v>
      </c>
      <c r="C549" t="s">
        <v>2333</v>
      </c>
      <c r="D549" t="s">
        <v>2334</v>
      </c>
      <c r="E549" t="s">
        <v>1346</v>
      </c>
      <c r="F549" t="s">
        <v>1347</v>
      </c>
      <c r="G549">
        <v>13158.1086</v>
      </c>
      <c r="H549">
        <v>473691.90960000001</v>
      </c>
      <c r="I549">
        <v>14459.46</v>
      </c>
      <c r="J549">
        <v>520540.55999999994</v>
      </c>
      <c r="K549">
        <v>15900.9</v>
      </c>
      <c r="L549">
        <v>572432.4</v>
      </c>
      <c r="M549">
        <v>45616</v>
      </c>
      <c r="O549" t="s">
        <v>326</v>
      </c>
      <c r="P549" t="s">
        <v>127</v>
      </c>
      <c r="Q549" t="s">
        <v>140</v>
      </c>
      <c r="R549" t="s">
        <v>2446</v>
      </c>
      <c r="S549" t="s">
        <v>2444</v>
      </c>
      <c r="T549" t="s">
        <v>2445</v>
      </c>
      <c r="U549">
        <v>36</v>
      </c>
      <c r="V549" t="s">
        <v>357</v>
      </c>
      <c r="W549" t="s">
        <v>141</v>
      </c>
      <c r="X549" t="s">
        <v>142</v>
      </c>
      <c r="Y549">
        <v>11611</v>
      </c>
      <c r="Z549">
        <v>11612</v>
      </c>
      <c r="AA549" t="s">
        <v>1025</v>
      </c>
      <c r="AB549">
        <v>1</v>
      </c>
    </row>
    <row r="550" spans="1:28">
      <c r="A550">
        <v>1</v>
      </c>
      <c r="B550" t="s">
        <v>940</v>
      </c>
      <c r="C550" t="s">
        <v>2293</v>
      </c>
      <c r="D550" t="s">
        <v>2294</v>
      </c>
      <c r="E550" t="s">
        <v>1316</v>
      </c>
      <c r="F550" t="s">
        <v>1317</v>
      </c>
      <c r="G550">
        <v>6579.0542999999998</v>
      </c>
      <c r="H550">
        <v>236845.95480000001</v>
      </c>
      <c r="I550">
        <v>7229.73</v>
      </c>
      <c r="J550">
        <v>260270.27999999997</v>
      </c>
      <c r="K550">
        <v>7790.29</v>
      </c>
      <c r="L550">
        <v>280450.44</v>
      </c>
      <c r="M550">
        <v>45616</v>
      </c>
      <c r="O550" t="s">
        <v>326</v>
      </c>
      <c r="P550" t="s">
        <v>127</v>
      </c>
      <c r="Q550" t="s">
        <v>140</v>
      </c>
      <c r="R550" t="s">
        <v>2446</v>
      </c>
      <c r="S550" t="s">
        <v>2444</v>
      </c>
      <c r="T550" t="s">
        <v>2445</v>
      </c>
      <c r="U550">
        <v>36</v>
      </c>
      <c r="V550" t="s">
        <v>357</v>
      </c>
      <c r="W550" t="s">
        <v>141</v>
      </c>
      <c r="X550" t="s">
        <v>142</v>
      </c>
      <c r="Y550">
        <v>11611</v>
      </c>
      <c r="Z550">
        <v>11612</v>
      </c>
      <c r="AA550" t="s">
        <v>1025</v>
      </c>
      <c r="AB550">
        <v>1</v>
      </c>
    </row>
    <row r="551" spans="1:28">
      <c r="A551">
        <v>1</v>
      </c>
      <c r="B551" t="s">
        <v>941</v>
      </c>
      <c r="C551" t="s">
        <v>2293</v>
      </c>
      <c r="D551" t="s">
        <v>2294</v>
      </c>
      <c r="E551" t="s">
        <v>1318</v>
      </c>
      <c r="F551" t="s">
        <v>1319</v>
      </c>
      <c r="G551">
        <v>11600.452499999999</v>
      </c>
      <c r="H551">
        <v>417616.29</v>
      </c>
      <c r="I551">
        <v>12747.75</v>
      </c>
      <c r="J551">
        <v>458919</v>
      </c>
      <c r="K551">
        <v>13738.74</v>
      </c>
      <c r="L551">
        <v>494594.64</v>
      </c>
      <c r="M551">
        <v>45616</v>
      </c>
      <c r="O551" t="s">
        <v>326</v>
      </c>
      <c r="P551" t="s">
        <v>127</v>
      </c>
      <c r="Q551" t="s">
        <v>140</v>
      </c>
      <c r="R551" t="s">
        <v>2446</v>
      </c>
      <c r="S551" t="s">
        <v>2444</v>
      </c>
      <c r="T551" t="s">
        <v>2445</v>
      </c>
      <c r="U551">
        <v>36</v>
      </c>
      <c r="V551" t="s">
        <v>357</v>
      </c>
      <c r="W551" t="s">
        <v>141</v>
      </c>
      <c r="X551" t="s">
        <v>142</v>
      </c>
      <c r="Y551">
        <v>11611</v>
      </c>
      <c r="Z551">
        <v>11612</v>
      </c>
      <c r="AA551" t="s">
        <v>1025</v>
      </c>
      <c r="AB551">
        <v>1</v>
      </c>
    </row>
    <row r="552" spans="1:28">
      <c r="A552">
        <v>1</v>
      </c>
      <c r="B552" t="s">
        <v>936</v>
      </c>
      <c r="C552" t="s">
        <v>2293</v>
      </c>
      <c r="D552" t="s">
        <v>2294</v>
      </c>
      <c r="E552" t="s">
        <v>1320</v>
      </c>
      <c r="F552" t="s">
        <v>1321</v>
      </c>
      <c r="G552">
        <v>6579.0542999999998</v>
      </c>
      <c r="H552">
        <v>236845.95480000001</v>
      </c>
      <c r="I552">
        <v>7229.73</v>
      </c>
      <c r="J552">
        <v>260270.27999999997</v>
      </c>
      <c r="K552">
        <v>7790.29</v>
      </c>
      <c r="L552">
        <v>280450.44</v>
      </c>
      <c r="M552">
        <v>45616</v>
      </c>
      <c r="O552" t="s">
        <v>326</v>
      </c>
      <c r="P552" t="s">
        <v>127</v>
      </c>
      <c r="Q552" t="s">
        <v>140</v>
      </c>
      <c r="R552" t="s">
        <v>2446</v>
      </c>
      <c r="S552" t="s">
        <v>2444</v>
      </c>
      <c r="T552" t="s">
        <v>2445</v>
      </c>
      <c r="U552">
        <v>36</v>
      </c>
      <c r="V552" t="s">
        <v>357</v>
      </c>
      <c r="W552" t="s">
        <v>141</v>
      </c>
      <c r="X552" t="s">
        <v>142</v>
      </c>
      <c r="Y552">
        <v>11611</v>
      </c>
      <c r="Z552">
        <v>11612</v>
      </c>
      <c r="AA552" t="s">
        <v>1025</v>
      </c>
      <c r="AB552">
        <v>1</v>
      </c>
    </row>
    <row r="553" spans="1:28">
      <c r="A553">
        <v>1</v>
      </c>
      <c r="B553" t="s">
        <v>937</v>
      </c>
      <c r="C553" t="s">
        <v>2293</v>
      </c>
      <c r="D553" t="s">
        <v>2294</v>
      </c>
      <c r="E553" t="s">
        <v>1322</v>
      </c>
      <c r="F553" t="s">
        <v>1323</v>
      </c>
      <c r="G553">
        <v>11600.452499999999</v>
      </c>
      <c r="H553">
        <v>417616.29</v>
      </c>
      <c r="I553">
        <v>12747.75</v>
      </c>
      <c r="J553">
        <v>458919</v>
      </c>
      <c r="K553">
        <v>13738.74</v>
      </c>
      <c r="L553">
        <v>494594.64</v>
      </c>
      <c r="M553">
        <v>45616</v>
      </c>
      <c r="O553" t="s">
        <v>326</v>
      </c>
      <c r="P553" t="s">
        <v>127</v>
      </c>
      <c r="Q553" t="s">
        <v>140</v>
      </c>
      <c r="R553" t="s">
        <v>2446</v>
      </c>
      <c r="S553" t="s">
        <v>2444</v>
      </c>
      <c r="T553" t="s">
        <v>2445</v>
      </c>
      <c r="U553">
        <v>36</v>
      </c>
      <c r="V553" t="s">
        <v>357</v>
      </c>
      <c r="W553" t="s">
        <v>141</v>
      </c>
      <c r="X553" t="s">
        <v>142</v>
      </c>
      <c r="Y553">
        <v>11611</v>
      </c>
      <c r="Z553">
        <v>11612</v>
      </c>
      <c r="AA553" t="s">
        <v>1025</v>
      </c>
      <c r="AB553">
        <v>1</v>
      </c>
    </row>
    <row r="554" spans="1:28">
      <c r="A554">
        <v>1</v>
      </c>
      <c r="B554" t="s">
        <v>926</v>
      </c>
      <c r="C554" t="s">
        <v>2293</v>
      </c>
      <c r="D554" t="s">
        <v>2294</v>
      </c>
      <c r="E554" t="s">
        <v>1324</v>
      </c>
      <c r="F554" t="s">
        <v>1325</v>
      </c>
      <c r="G554">
        <v>6579.0542999999998</v>
      </c>
      <c r="H554">
        <v>236845.95480000001</v>
      </c>
      <c r="I554">
        <v>7229.73</v>
      </c>
      <c r="J554">
        <v>260270.27999999997</v>
      </c>
      <c r="K554">
        <v>7790.29</v>
      </c>
      <c r="L554">
        <v>280450.44</v>
      </c>
      <c r="M554">
        <v>45616</v>
      </c>
      <c r="O554" t="s">
        <v>326</v>
      </c>
      <c r="P554" t="s">
        <v>127</v>
      </c>
      <c r="Q554" t="s">
        <v>140</v>
      </c>
      <c r="R554" t="s">
        <v>2446</v>
      </c>
      <c r="S554" t="s">
        <v>2444</v>
      </c>
      <c r="T554" t="s">
        <v>2445</v>
      </c>
      <c r="U554">
        <v>36</v>
      </c>
      <c r="V554" t="s">
        <v>357</v>
      </c>
      <c r="W554" t="s">
        <v>141</v>
      </c>
      <c r="X554" t="s">
        <v>142</v>
      </c>
      <c r="Y554">
        <v>11611</v>
      </c>
      <c r="Z554">
        <v>11612</v>
      </c>
      <c r="AA554" t="s">
        <v>1025</v>
      </c>
      <c r="AB554">
        <v>1</v>
      </c>
    </row>
    <row r="555" spans="1:28">
      <c r="A555">
        <v>1</v>
      </c>
      <c r="B555" t="s">
        <v>927</v>
      </c>
      <c r="C555" t="s">
        <v>2293</v>
      </c>
      <c r="D555" t="s">
        <v>2294</v>
      </c>
      <c r="E555" t="s">
        <v>1326</v>
      </c>
      <c r="F555" t="s">
        <v>1327</v>
      </c>
      <c r="G555">
        <v>11600.452499999999</v>
      </c>
      <c r="H555">
        <v>417616.29</v>
      </c>
      <c r="I555">
        <v>12747.75</v>
      </c>
      <c r="J555">
        <v>458919</v>
      </c>
      <c r="K555">
        <v>13738.74</v>
      </c>
      <c r="L555">
        <v>494594.64</v>
      </c>
      <c r="M555">
        <v>45616</v>
      </c>
      <c r="O555" t="s">
        <v>326</v>
      </c>
      <c r="P555" t="s">
        <v>127</v>
      </c>
      <c r="Q555" t="s">
        <v>140</v>
      </c>
      <c r="R555" t="s">
        <v>2446</v>
      </c>
      <c r="S555" t="s">
        <v>2444</v>
      </c>
      <c r="T555" t="s">
        <v>2445</v>
      </c>
      <c r="U555">
        <v>36</v>
      </c>
      <c r="V555" t="s">
        <v>357</v>
      </c>
      <c r="W555" t="s">
        <v>141</v>
      </c>
      <c r="X555" t="s">
        <v>142</v>
      </c>
      <c r="Y555">
        <v>11611</v>
      </c>
      <c r="Z555">
        <v>11612</v>
      </c>
      <c r="AA555" t="s">
        <v>1025</v>
      </c>
      <c r="AB555">
        <v>1</v>
      </c>
    </row>
    <row r="556" spans="1:28">
      <c r="A556">
        <v>1</v>
      </c>
      <c r="B556" t="s">
        <v>932</v>
      </c>
      <c r="C556" t="s">
        <v>2293</v>
      </c>
      <c r="D556" t="s">
        <v>2294</v>
      </c>
      <c r="E556" t="s">
        <v>1328</v>
      </c>
      <c r="F556" t="s">
        <v>1329</v>
      </c>
      <c r="G556">
        <v>6579.0542999999998</v>
      </c>
      <c r="H556">
        <v>236845.95480000001</v>
      </c>
      <c r="I556">
        <v>7229.73</v>
      </c>
      <c r="J556">
        <v>260270.27999999997</v>
      </c>
      <c r="K556">
        <v>7790.29</v>
      </c>
      <c r="L556">
        <v>280450.44</v>
      </c>
      <c r="M556">
        <v>45616</v>
      </c>
      <c r="O556" t="s">
        <v>326</v>
      </c>
      <c r="P556" t="s">
        <v>127</v>
      </c>
      <c r="Q556" t="s">
        <v>140</v>
      </c>
      <c r="R556" t="s">
        <v>2446</v>
      </c>
      <c r="S556" t="s">
        <v>2444</v>
      </c>
      <c r="T556" t="s">
        <v>2445</v>
      </c>
      <c r="U556">
        <v>36</v>
      </c>
      <c r="V556" t="s">
        <v>357</v>
      </c>
      <c r="W556" t="s">
        <v>141</v>
      </c>
      <c r="X556" t="s">
        <v>142</v>
      </c>
      <c r="Y556">
        <v>11611</v>
      </c>
      <c r="Z556">
        <v>11612</v>
      </c>
      <c r="AA556" t="s">
        <v>1025</v>
      </c>
      <c r="AB556">
        <v>1</v>
      </c>
    </row>
    <row r="557" spans="1:28">
      <c r="A557">
        <v>1</v>
      </c>
      <c r="B557" t="s">
        <v>933</v>
      </c>
      <c r="C557" t="s">
        <v>2293</v>
      </c>
      <c r="D557" t="s">
        <v>2294</v>
      </c>
      <c r="E557" t="s">
        <v>1330</v>
      </c>
      <c r="F557" t="s">
        <v>1331</v>
      </c>
      <c r="G557">
        <v>11600.452499999999</v>
      </c>
      <c r="H557">
        <v>417616.29</v>
      </c>
      <c r="I557">
        <v>12747.75</v>
      </c>
      <c r="J557">
        <v>458919</v>
      </c>
      <c r="K557">
        <v>13738.74</v>
      </c>
      <c r="L557">
        <v>494594.64</v>
      </c>
      <c r="M557">
        <v>45616</v>
      </c>
      <c r="O557" t="s">
        <v>326</v>
      </c>
      <c r="P557" t="s">
        <v>127</v>
      </c>
      <c r="Q557" t="s">
        <v>140</v>
      </c>
      <c r="R557" t="s">
        <v>2446</v>
      </c>
      <c r="S557" t="s">
        <v>2444</v>
      </c>
      <c r="T557" t="s">
        <v>2445</v>
      </c>
      <c r="U557">
        <v>36</v>
      </c>
      <c r="V557" t="s">
        <v>357</v>
      </c>
      <c r="W557" t="s">
        <v>141</v>
      </c>
      <c r="X557" t="s">
        <v>142</v>
      </c>
      <c r="Y557">
        <v>11611</v>
      </c>
      <c r="Z557">
        <v>11612</v>
      </c>
      <c r="AA557" t="s">
        <v>1025</v>
      </c>
      <c r="AB557">
        <v>1</v>
      </c>
    </row>
    <row r="558" spans="1:28">
      <c r="A558">
        <v>1</v>
      </c>
      <c r="B558" t="s">
        <v>934</v>
      </c>
      <c r="C558" t="s">
        <v>2293</v>
      </c>
      <c r="D558" t="s">
        <v>2294</v>
      </c>
      <c r="E558" t="s">
        <v>1332</v>
      </c>
      <c r="F558" t="s">
        <v>1333</v>
      </c>
      <c r="G558">
        <v>6579.0542999999998</v>
      </c>
      <c r="H558">
        <v>236845.95480000001</v>
      </c>
      <c r="I558">
        <v>7229.73</v>
      </c>
      <c r="J558">
        <v>260270.27999999997</v>
      </c>
      <c r="K558">
        <v>7790.29</v>
      </c>
      <c r="L558">
        <v>280450.44</v>
      </c>
      <c r="M558">
        <v>45616</v>
      </c>
      <c r="O558" t="s">
        <v>326</v>
      </c>
      <c r="P558" t="s">
        <v>127</v>
      </c>
      <c r="Q558" t="s">
        <v>140</v>
      </c>
      <c r="R558" t="s">
        <v>2446</v>
      </c>
      <c r="S558" t="s">
        <v>2444</v>
      </c>
      <c r="T558" t="s">
        <v>2445</v>
      </c>
      <c r="U558">
        <v>36</v>
      </c>
      <c r="V558" t="s">
        <v>357</v>
      </c>
      <c r="W558" t="s">
        <v>141</v>
      </c>
      <c r="X558" t="s">
        <v>142</v>
      </c>
      <c r="Y558">
        <v>11611</v>
      </c>
      <c r="Z558">
        <v>11612</v>
      </c>
      <c r="AA558" t="s">
        <v>1025</v>
      </c>
      <c r="AB558">
        <v>1</v>
      </c>
    </row>
    <row r="559" spans="1:28">
      <c r="A559">
        <v>1</v>
      </c>
      <c r="B559" t="s">
        <v>935</v>
      </c>
      <c r="C559" t="s">
        <v>2293</v>
      </c>
      <c r="D559" t="s">
        <v>2294</v>
      </c>
      <c r="E559" t="s">
        <v>1334</v>
      </c>
      <c r="F559" t="s">
        <v>1335</v>
      </c>
      <c r="G559">
        <v>11600.452499999999</v>
      </c>
      <c r="H559">
        <v>417616.29</v>
      </c>
      <c r="I559">
        <v>12747.75</v>
      </c>
      <c r="J559">
        <v>458919</v>
      </c>
      <c r="K559">
        <v>13738.74</v>
      </c>
      <c r="L559">
        <v>494594.64</v>
      </c>
      <c r="M559">
        <v>45616</v>
      </c>
      <c r="O559" t="s">
        <v>326</v>
      </c>
      <c r="P559" t="s">
        <v>127</v>
      </c>
      <c r="Q559" t="s">
        <v>140</v>
      </c>
      <c r="R559" t="s">
        <v>2446</v>
      </c>
      <c r="S559" t="s">
        <v>2444</v>
      </c>
      <c r="T559" t="s">
        <v>2445</v>
      </c>
      <c r="U559">
        <v>36</v>
      </c>
      <c r="V559" t="s">
        <v>357</v>
      </c>
      <c r="W559" t="s">
        <v>141</v>
      </c>
      <c r="X559" t="s">
        <v>142</v>
      </c>
      <c r="Y559">
        <v>11611</v>
      </c>
      <c r="Z559">
        <v>11612</v>
      </c>
      <c r="AA559" t="s">
        <v>1025</v>
      </c>
      <c r="AB559">
        <v>1</v>
      </c>
    </row>
    <row r="560" spans="1:28">
      <c r="A560">
        <v>1</v>
      </c>
      <c r="B560" t="s">
        <v>930</v>
      </c>
      <c r="C560" t="s">
        <v>2293</v>
      </c>
      <c r="D560" t="s">
        <v>2294</v>
      </c>
      <c r="E560" t="s">
        <v>1336</v>
      </c>
      <c r="F560" t="s">
        <v>1337</v>
      </c>
      <c r="G560">
        <v>6579.0542999999998</v>
      </c>
      <c r="H560">
        <v>236845.95480000001</v>
      </c>
      <c r="I560">
        <v>7229.73</v>
      </c>
      <c r="J560">
        <v>260270.27999999997</v>
      </c>
      <c r="K560">
        <v>7790.29</v>
      </c>
      <c r="L560">
        <v>280450.44</v>
      </c>
      <c r="M560">
        <v>45616</v>
      </c>
      <c r="O560" t="s">
        <v>326</v>
      </c>
      <c r="P560" t="s">
        <v>127</v>
      </c>
      <c r="Q560" t="s">
        <v>140</v>
      </c>
      <c r="R560" t="s">
        <v>2446</v>
      </c>
      <c r="S560" t="s">
        <v>2444</v>
      </c>
      <c r="T560" t="s">
        <v>2445</v>
      </c>
      <c r="U560">
        <v>36</v>
      </c>
      <c r="V560" t="s">
        <v>357</v>
      </c>
      <c r="W560" t="s">
        <v>141</v>
      </c>
      <c r="X560" t="s">
        <v>142</v>
      </c>
      <c r="Y560">
        <v>11611</v>
      </c>
      <c r="Z560">
        <v>11612</v>
      </c>
      <c r="AA560" t="s">
        <v>1025</v>
      </c>
      <c r="AB560">
        <v>1</v>
      </c>
    </row>
    <row r="561" spans="1:28">
      <c r="A561">
        <v>1</v>
      </c>
      <c r="B561" t="s">
        <v>931</v>
      </c>
      <c r="C561" t="s">
        <v>2293</v>
      </c>
      <c r="D561" t="s">
        <v>2294</v>
      </c>
      <c r="E561" t="s">
        <v>1338</v>
      </c>
      <c r="F561" t="s">
        <v>1339</v>
      </c>
      <c r="G561">
        <v>11600.450450450448</v>
      </c>
      <c r="H561">
        <v>417616.2162162161</v>
      </c>
      <c r="I561">
        <v>12747.747747747744</v>
      </c>
      <c r="J561">
        <v>458918.91891891882</v>
      </c>
      <c r="K561">
        <v>13738.738738738737</v>
      </c>
      <c r="L561">
        <v>494594.59459459456</v>
      </c>
      <c r="M561">
        <v>45616</v>
      </c>
      <c r="O561" t="s">
        <v>326</v>
      </c>
      <c r="P561" t="s">
        <v>127</v>
      </c>
      <c r="Q561" t="s">
        <v>140</v>
      </c>
      <c r="R561" t="s">
        <v>2446</v>
      </c>
      <c r="S561" t="s">
        <v>2444</v>
      </c>
      <c r="T561" t="s">
        <v>2445</v>
      </c>
      <c r="U561">
        <v>36</v>
      </c>
      <c r="V561" t="s">
        <v>357</v>
      </c>
      <c r="W561" t="s">
        <v>141</v>
      </c>
      <c r="X561" t="s">
        <v>142</v>
      </c>
      <c r="Y561">
        <v>11611</v>
      </c>
      <c r="Z561">
        <v>11612</v>
      </c>
      <c r="AA561" t="s">
        <v>1025</v>
      </c>
      <c r="AB561">
        <v>1</v>
      </c>
    </row>
    <row r="562" spans="1:28">
      <c r="A562">
        <v>1</v>
      </c>
      <c r="B562" t="s">
        <v>975</v>
      </c>
      <c r="C562" t="s">
        <v>2339</v>
      </c>
      <c r="D562" t="s">
        <v>2340</v>
      </c>
      <c r="E562" t="s">
        <v>1340</v>
      </c>
      <c r="F562" t="s">
        <v>1341</v>
      </c>
      <c r="G562">
        <v>29783.371800000001</v>
      </c>
      <c r="H562">
        <v>714800.92320000008</v>
      </c>
      <c r="I562">
        <v>32728.98</v>
      </c>
      <c r="J562">
        <v>785495.52</v>
      </c>
      <c r="K562">
        <v>35349.1</v>
      </c>
      <c r="L562">
        <v>848378.39999999991</v>
      </c>
      <c r="M562">
        <v>45616</v>
      </c>
      <c r="O562" t="s">
        <v>326</v>
      </c>
      <c r="P562" t="s">
        <v>127</v>
      </c>
      <c r="Q562" t="s">
        <v>140</v>
      </c>
      <c r="R562" t="s">
        <v>2446</v>
      </c>
      <c r="S562" t="s">
        <v>2444</v>
      </c>
      <c r="T562" t="s">
        <v>2445</v>
      </c>
      <c r="U562">
        <v>24</v>
      </c>
      <c r="V562" t="s">
        <v>357</v>
      </c>
      <c r="W562" t="s">
        <v>141</v>
      </c>
      <c r="X562" t="s">
        <v>142</v>
      </c>
      <c r="Y562">
        <v>11611</v>
      </c>
      <c r="Z562">
        <v>11612</v>
      </c>
      <c r="AA562" t="s">
        <v>1025</v>
      </c>
      <c r="AB562">
        <v>1</v>
      </c>
    </row>
    <row r="563" spans="1:28">
      <c r="A563">
        <v>1</v>
      </c>
      <c r="B563" t="s">
        <v>976</v>
      </c>
      <c r="C563" t="s">
        <v>2339</v>
      </c>
      <c r="D563" t="s">
        <v>2340</v>
      </c>
      <c r="E563" t="s">
        <v>1342</v>
      </c>
      <c r="F563" t="s">
        <v>1343</v>
      </c>
      <c r="G563">
        <v>29783.371800000001</v>
      </c>
      <c r="H563">
        <v>714800.92320000008</v>
      </c>
      <c r="I563">
        <v>32728.98</v>
      </c>
      <c r="J563">
        <v>785495.52</v>
      </c>
      <c r="K563">
        <v>35349.1</v>
      </c>
      <c r="L563">
        <v>848378.39999999991</v>
      </c>
      <c r="M563">
        <v>45616</v>
      </c>
      <c r="O563" t="s">
        <v>326</v>
      </c>
      <c r="P563" t="s">
        <v>127</v>
      </c>
      <c r="Q563" t="s">
        <v>140</v>
      </c>
      <c r="R563" t="s">
        <v>2446</v>
      </c>
      <c r="S563" t="s">
        <v>2444</v>
      </c>
      <c r="T563" t="s">
        <v>2445</v>
      </c>
      <c r="U563">
        <v>24</v>
      </c>
      <c r="V563" t="s">
        <v>357</v>
      </c>
      <c r="W563" t="s">
        <v>141</v>
      </c>
      <c r="X563" t="s">
        <v>142</v>
      </c>
      <c r="Y563">
        <v>11611</v>
      </c>
      <c r="Z563">
        <v>11612</v>
      </c>
      <c r="AA563" t="s">
        <v>1025</v>
      </c>
      <c r="AB563">
        <v>1</v>
      </c>
    </row>
    <row r="564" spans="1:28">
      <c r="A564">
        <v>1</v>
      </c>
      <c r="B564" t="s">
        <v>960</v>
      </c>
      <c r="C564" t="s">
        <v>2333</v>
      </c>
      <c r="D564" t="s">
        <v>2334</v>
      </c>
      <c r="E564" t="s">
        <v>1344</v>
      </c>
      <c r="F564" t="s">
        <v>1345</v>
      </c>
      <c r="G564">
        <v>6371.82</v>
      </c>
      <c r="H564">
        <v>229385.52</v>
      </c>
      <c r="I564">
        <v>7002</v>
      </c>
      <c r="J564">
        <v>252072</v>
      </c>
      <c r="K564">
        <v>7592.59</v>
      </c>
      <c r="L564">
        <v>273333.24</v>
      </c>
      <c r="M564">
        <v>45616</v>
      </c>
      <c r="O564" t="s">
        <v>326</v>
      </c>
      <c r="P564" t="s">
        <v>127</v>
      </c>
      <c r="Q564" t="s">
        <v>140</v>
      </c>
      <c r="R564" t="s">
        <v>2446</v>
      </c>
      <c r="S564" t="s">
        <v>2444</v>
      </c>
      <c r="T564" t="s">
        <v>2445</v>
      </c>
      <c r="U564">
        <v>36</v>
      </c>
      <c r="V564" t="s">
        <v>357</v>
      </c>
      <c r="W564" t="s">
        <v>141</v>
      </c>
      <c r="X564" t="s">
        <v>142</v>
      </c>
      <c r="Y564">
        <v>11611</v>
      </c>
      <c r="Z564">
        <v>11612</v>
      </c>
      <c r="AA564" t="s">
        <v>1025</v>
      </c>
      <c r="AB564">
        <v>1</v>
      </c>
    </row>
    <row r="565" spans="1:28">
      <c r="A565">
        <v>1</v>
      </c>
      <c r="B565" t="s">
        <v>962</v>
      </c>
      <c r="C565" t="s">
        <v>2333</v>
      </c>
      <c r="D565" t="s">
        <v>2334</v>
      </c>
      <c r="E565" t="s">
        <v>1348</v>
      </c>
      <c r="F565" t="s">
        <v>1349</v>
      </c>
      <c r="G565">
        <v>6371.82</v>
      </c>
      <c r="H565">
        <v>229385.52</v>
      </c>
      <c r="I565">
        <v>7002</v>
      </c>
      <c r="J565">
        <v>252072</v>
      </c>
      <c r="K565">
        <v>7592.59</v>
      </c>
      <c r="L565">
        <v>273333.24</v>
      </c>
      <c r="M565">
        <v>45616</v>
      </c>
      <c r="O565" t="s">
        <v>326</v>
      </c>
      <c r="P565" t="s">
        <v>127</v>
      </c>
      <c r="Q565" t="s">
        <v>140</v>
      </c>
      <c r="R565" t="s">
        <v>2446</v>
      </c>
      <c r="S565" t="s">
        <v>2444</v>
      </c>
      <c r="T565" t="s">
        <v>2445</v>
      </c>
      <c r="U565">
        <v>36</v>
      </c>
      <c r="V565" t="s">
        <v>357</v>
      </c>
      <c r="W565" t="s">
        <v>141</v>
      </c>
      <c r="X565" t="s">
        <v>142</v>
      </c>
      <c r="Y565">
        <v>11611</v>
      </c>
      <c r="Z565">
        <v>11612</v>
      </c>
      <c r="AA565" t="s">
        <v>1025</v>
      </c>
      <c r="AB565">
        <v>1</v>
      </c>
    </row>
    <row r="566" spans="1:28">
      <c r="A566">
        <v>1</v>
      </c>
      <c r="B566" t="s">
        <v>707</v>
      </c>
      <c r="C566" t="s">
        <v>2317</v>
      </c>
      <c r="D566" t="s">
        <v>2318</v>
      </c>
      <c r="E566" t="s">
        <v>2387</v>
      </c>
      <c r="F566" t="s">
        <v>1452</v>
      </c>
      <c r="G566">
        <v>0</v>
      </c>
      <c r="H566">
        <v>0</v>
      </c>
      <c r="I566">
        <v>405.40540540540536</v>
      </c>
      <c r="J566">
        <v>48648.648648648646</v>
      </c>
      <c r="K566">
        <v>0</v>
      </c>
      <c r="L566">
        <v>0</v>
      </c>
      <c r="M566">
        <v>45616</v>
      </c>
      <c r="O566" t="s">
        <v>326</v>
      </c>
      <c r="P566" t="s">
        <v>127</v>
      </c>
      <c r="Q566" t="s">
        <v>140</v>
      </c>
      <c r="R566" t="s">
        <v>2446</v>
      </c>
      <c r="S566" t="s">
        <v>2444</v>
      </c>
      <c r="T566" t="s">
        <v>2445</v>
      </c>
      <c r="U566">
        <v>120</v>
      </c>
      <c r="V566" t="s">
        <v>1022</v>
      </c>
      <c r="W566" t="s">
        <v>141</v>
      </c>
      <c r="X566" t="s">
        <v>142</v>
      </c>
      <c r="Y566">
        <v>11611</v>
      </c>
      <c r="Z566">
        <v>11612</v>
      </c>
      <c r="AA566" t="s">
        <v>1025</v>
      </c>
      <c r="AB566">
        <v>1</v>
      </c>
    </row>
    <row r="567" spans="1:28">
      <c r="A567">
        <v>1</v>
      </c>
      <c r="B567" t="s">
        <v>977</v>
      </c>
      <c r="C567" t="s">
        <v>2341</v>
      </c>
      <c r="D567" t="s">
        <v>2342</v>
      </c>
      <c r="E567" t="s">
        <v>1386</v>
      </c>
      <c r="F567" t="s">
        <v>1387</v>
      </c>
      <c r="G567">
        <v>11600.450450450448</v>
      </c>
      <c r="H567">
        <v>417616.2162162161</v>
      </c>
      <c r="I567">
        <v>12747.747747747744</v>
      </c>
      <c r="J567">
        <v>458918.91891891882</v>
      </c>
      <c r="K567">
        <v>13738.738738738737</v>
      </c>
      <c r="L567">
        <v>494594.59459459456</v>
      </c>
      <c r="M567">
        <v>45616</v>
      </c>
      <c r="O567" t="s">
        <v>326</v>
      </c>
      <c r="P567" t="s">
        <v>127</v>
      </c>
      <c r="Q567" t="s">
        <v>140</v>
      </c>
      <c r="R567" t="s">
        <v>2446</v>
      </c>
      <c r="S567" t="s">
        <v>2444</v>
      </c>
      <c r="T567" t="s">
        <v>2445</v>
      </c>
      <c r="U567">
        <v>36</v>
      </c>
      <c r="V567" t="s">
        <v>357</v>
      </c>
      <c r="W567" t="s">
        <v>141</v>
      </c>
      <c r="X567" t="s">
        <v>142</v>
      </c>
      <c r="Y567">
        <v>11611</v>
      </c>
      <c r="Z567">
        <v>11612</v>
      </c>
      <c r="AA567" t="s">
        <v>1025</v>
      </c>
      <c r="AB567">
        <v>1</v>
      </c>
    </row>
    <row r="568" spans="1:28">
      <c r="A568">
        <v>1</v>
      </c>
      <c r="B568" t="s">
        <v>968</v>
      </c>
      <c r="C568" t="s">
        <v>2347</v>
      </c>
      <c r="D568" t="s">
        <v>2348</v>
      </c>
      <c r="E568" t="s">
        <v>1390</v>
      </c>
      <c r="F568" t="s">
        <v>1391</v>
      </c>
      <c r="G568">
        <v>15471.82</v>
      </c>
      <c r="H568">
        <v>556985.52</v>
      </c>
      <c r="I568">
        <v>17002</v>
      </c>
      <c r="J568">
        <v>612072</v>
      </c>
      <c r="K568">
        <v>18916.419999999998</v>
      </c>
      <c r="L568">
        <v>680991.11999999988</v>
      </c>
      <c r="M568">
        <v>45616</v>
      </c>
      <c r="O568" t="s">
        <v>326</v>
      </c>
      <c r="P568" t="s">
        <v>127</v>
      </c>
      <c r="Q568" t="s">
        <v>140</v>
      </c>
      <c r="R568" t="s">
        <v>2446</v>
      </c>
      <c r="S568" t="s">
        <v>2444</v>
      </c>
      <c r="T568" t="s">
        <v>2445</v>
      </c>
      <c r="U568">
        <v>36</v>
      </c>
      <c r="V568" t="s">
        <v>357</v>
      </c>
      <c r="W568" t="s">
        <v>141</v>
      </c>
      <c r="X568" t="s">
        <v>142</v>
      </c>
      <c r="Y568">
        <v>11611</v>
      </c>
      <c r="Z568">
        <v>11612</v>
      </c>
      <c r="AA568" t="s">
        <v>1025</v>
      </c>
      <c r="AB568">
        <v>1</v>
      </c>
    </row>
    <row r="569" spans="1:28">
      <c r="A569">
        <v>1</v>
      </c>
      <c r="B569" t="s">
        <v>788</v>
      </c>
      <c r="C569" t="s">
        <v>2345</v>
      </c>
      <c r="D569" t="s">
        <v>2346</v>
      </c>
      <c r="E569" t="s">
        <v>1435</v>
      </c>
      <c r="F569" t="s">
        <v>1436</v>
      </c>
      <c r="G569">
        <v>8150.3785999999991</v>
      </c>
      <c r="H569">
        <v>293413.62959999999</v>
      </c>
      <c r="I569">
        <v>8956.4599999999991</v>
      </c>
      <c r="J569">
        <v>322432.55999999994</v>
      </c>
      <c r="K569">
        <v>9672.17</v>
      </c>
      <c r="L569">
        <v>348198.12</v>
      </c>
      <c r="M569">
        <v>45616</v>
      </c>
      <c r="O569" t="s">
        <v>326</v>
      </c>
      <c r="P569" t="s">
        <v>127</v>
      </c>
      <c r="Q569" t="s">
        <v>140</v>
      </c>
      <c r="R569" t="s">
        <v>2446</v>
      </c>
      <c r="S569" t="s">
        <v>2444</v>
      </c>
      <c r="T569" t="s">
        <v>2445</v>
      </c>
      <c r="U569">
        <v>36</v>
      </c>
      <c r="V569" t="s">
        <v>357</v>
      </c>
      <c r="W569" t="s">
        <v>141</v>
      </c>
      <c r="X569" t="s">
        <v>142</v>
      </c>
      <c r="Y569">
        <v>11611</v>
      </c>
      <c r="Z569">
        <v>11612</v>
      </c>
      <c r="AA569" t="s">
        <v>1025</v>
      </c>
      <c r="AB569">
        <v>1</v>
      </c>
    </row>
    <row r="570" spans="1:28">
      <c r="A570">
        <v>1</v>
      </c>
      <c r="B570" t="s">
        <v>760</v>
      </c>
      <c r="C570" t="s">
        <v>2317</v>
      </c>
      <c r="D570" t="s">
        <v>2318</v>
      </c>
      <c r="E570" t="s">
        <v>2374</v>
      </c>
      <c r="F570" t="s">
        <v>1437</v>
      </c>
      <c r="G570">
        <v>11901.052799999999</v>
      </c>
      <c r="H570">
        <v>428437.9008</v>
      </c>
      <c r="I570">
        <v>13078.08</v>
      </c>
      <c r="J570">
        <v>470810.88</v>
      </c>
      <c r="K570">
        <v>14081.58</v>
      </c>
      <c r="L570">
        <v>506936.88</v>
      </c>
      <c r="M570">
        <v>45616</v>
      </c>
      <c r="O570" t="s">
        <v>326</v>
      </c>
      <c r="P570" t="s">
        <v>127</v>
      </c>
      <c r="Q570" t="s">
        <v>140</v>
      </c>
      <c r="R570" t="s">
        <v>2446</v>
      </c>
      <c r="S570" t="s">
        <v>2444</v>
      </c>
      <c r="T570" t="s">
        <v>2445</v>
      </c>
      <c r="U570">
        <v>36</v>
      </c>
      <c r="V570" t="s">
        <v>357</v>
      </c>
      <c r="W570" t="s">
        <v>141</v>
      </c>
      <c r="X570" t="s">
        <v>142</v>
      </c>
      <c r="Y570">
        <v>11611</v>
      </c>
      <c r="Z570">
        <v>11612</v>
      </c>
      <c r="AA570" t="s">
        <v>1025</v>
      </c>
      <c r="AB570">
        <v>1</v>
      </c>
    </row>
    <row r="571" spans="1:28">
      <c r="A571">
        <v>1</v>
      </c>
      <c r="B571" t="s">
        <v>752</v>
      </c>
      <c r="C571" t="s">
        <v>2317</v>
      </c>
      <c r="D571" t="s">
        <v>2318</v>
      </c>
      <c r="E571" t="s">
        <v>2448</v>
      </c>
      <c r="F571" t="s">
        <v>2456</v>
      </c>
      <c r="G571">
        <v>11901.052799999999</v>
      </c>
      <c r="H571">
        <v>428437.9008</v>
      </c>
      <c r="I571">
        <v>13078.08</v>
      </c>
      <c r="J571">
        <v>470810.88</v>
      </c>
      <c r="K571">
        <v>13078.08</v>
      </c>
      <c r="L571">
        <v>470810.88</v>
      </c>
      <c r="M571">
        <v>45621</v>
      </c>
      <c r="O571" t="s">
        <v>326</v>
      </c>
      <c r="P571" t="s">
        <v>127</v>
      </c>
      <c r="Q571" t="s">
        <v>140</v>
      </c>
      <c r="R571" t="s">
        <v>2446</v>
      </c>
      <c r="U571">
        <v>36</v>
      </c>
      <c r="V571" t="s">
        <v>357</v>
      </c>
      <c r="W571" t="s">
        <v>141</v>
      </c>
      <c r="X571" t="s">
        <v>142</v>
      </c>
      <c r="Y571">
        <v>11611</v>
      </c>
      <c r="Z571">
        <v>11612</v>
      </c>
      <c r="AB571">
        <v>1</v>
      </c>
    </row>
    <row r="572" spans="1:28">
      <c r="A572">
        <v>1</v>
      </c>
      <c r="C572" t="s">
        <v>2317</v>
      </c>
      <c r="D572" t="s">
        <v>2318</v>
      </c>
      <c r="E572" t="s">
        <v>2375</v>
      </c>
      <c r="F572" t="s">
        <v>1438</v>
      </c>
      <c r="G572">
        <v>11901.052799999999</v>
      </c>
      <c r="H572">
        <v>428437.9008</v>
      </c>
      <c r="I572">
        <v>13078.08</v>
      </c>
      <c r="J572">
        <v>470810.88</v>
      </c>
      <c r="K572">
        <v>13078.08</v>
      </c>
      <c r="L572">
        <v>470810.88</v>
      </c>
      <c r="M572">
        <v>45616</v>
      </c>
      <c r="O572" t="s">
        <v>326</v>
      </c>
      <c r="P572" t="s">
        <v>127</v>
      </c>
      <c r="Q572" t="s">
        <v>140</v>
      </c>
      <c r="R572" t="s">
        <v>2446</v>
      </c>
      <c r="S572" t="s">
        <v>2444</v>
      </c>
      <c r="T572" t="s">
        <v>2445</v>
      </c>
      <c r="U572">
        <v>36</v>
      </c>
      <c r="V572" t="s">
        <v>357</v>
      </c>
      <c r="W572" t="s">
        <v>141</v>
      </c>
      <c r="X572" t="s">
        <v>142</v>
      </c>
      <c r="Y572">
        <v>11611</v>
      </c>
      <c r="Z572">
        <v>11612</v>
      </c>
      <c r="AA572" t="s">
        <v>1025</v>
      </c>
      <c r="AB572">
        <v>1</v>
      </c>
    </row>
    <row r="573" spans="1:28">
      <c r="A573">
        <v>1</v>
      </c>
      <c r="B573" t="s">
        <v>754</v>
      </c>
      <c r="C573" t="s">
        <v>2317</v>
      </c>
      <c r="D573" t="s">
        <v>2318</v>
      </c>
      <c r="E573" t="s">
        <v>2376</v>
      </c>
      <c r="F573" t="s">
        <v>1439</v>
      </c>
      <c r="G573">
        <v>40314.710800000001</v>
      </c>
      <c r="H573">
        <v>483776.52960000001</v>
      </c>
      <c r="I573">
        <v>44301.88</v>
      </c>
      <c r="J573">
        <v>531622.55999999994</v>
      </c>
      <c r="K573">
        <v>47841.29</v>
      </c>
      <c r="L573">
        <v>574095.48</v>
      </c>
      <c r="M573">
        <v>45616</v>
      </c>
      <c r="O573" t="s">
        <v>326</v>
      </c>
      <c r="P573" t="s">
        <v>127</v>
      </c>
      <c r="Q573" t="s">
        <v>140</v>
      </c>
      <c r="R573" t="s">
        <v>2446</v>
      </c>
      <c r="S573" t="s">
        <v>2444</v>
      </c>
      <c r="T573" t="s">
        <v>2445</v>
      </c>
      <c r="U573">
        <v>12</v>
      </c>
      <c r="V573" t="s">
        <v>357</v>
      </c>
      <c r="W573" t="s">
        <v>141</v>
      </c>
      <c r="X573" t="s">
        <v>142</v>
      </c>
      <c r="Y573">
        <v>11611</v>
      </c>
      <c r="Z573">
        <v>11612</v>
      </c>
      <c r="AA573" t="s">
        <v>1025</v>
      </c>
      <c r="AB573">
        <v>1</v>
      </c>
    </row>
    <row r="574" spans="1:28">
      <c r="A574">
        <v>1</v>
      </c>
      <c r="B574" t="s">
        <v>772</v>
      </c>
      <c r="C574" t="s">
        <v>2317</v>
      </c>
      <c r="D574" t="s">
        <v>2318</v>
      </c>
      <c r="E574" t="s">
        <v>2377</v>
      </c>
      <c r="F574" t="s">
        <v>1440</v>
      </c>
      <c r="G574">
        <v>6251.1266999999998</v>
      </c>
      <c r="H574">
        <v>225040.5612</v>
      </c>
      <c r="I574">
        <v>6869.37</v>
      </c>
      <c r="J574">
        <v>247297.32</v>
      </c>
      <c r="K574">
        <v>7424.92</v>
      </c>
      <c r="L574">
        <v>267297.12</v>
      </c>
      <c r="M574">
        <v>45616</v>
      </c>
      <c r="O574" t="s">
        <v>326</v>
      </c>
      <c r="P574" t="s">
        <v>127</v>
      </c>
      <c r="Q574" t="s">
        <v>140</v>
      </c>
      <c r="R574" t="s">
        <v>2446</v>
      </c>
      <c r="S574" t="s">
        <v>2444</v>
      </c>
      <c r="T574" t="s">
        <v>2445</v>
      </c>
      <c r="U574">
        <v>36</v>
      </c>
      <c r="V574" t="s">
        <v>357</v>
      </c>
      <c r="W574" t="s">
        <v>141</v>
      </c>
      <c r="X574" t="s">
        <v>142</v>
      </c>
      <c r="Y574">
        <v>11611</v>
      </c>
      <c r="Z574">
        <v>11612</v>
      </c>
      <c r="AA574" t="s">
        <v>1025</v>
      </c>
      <c r="AB574">
        <v>1</v>
      </c>
    </row>
    <row r="575" spans="1:28">
      <c r="A575">
        <v>1</v>
      </c>
      <c r="B575" t="s">
        <v>773</v>
      </c>
      <c r="C575" t="s">
        <v>2317</v>
      </c>
      <c r="D575" t="s">
        <v>2318</v>
      </c>
      <c r="E575" t="s">
        <v>2378</v>
      </c>
      <c r="F575" t="s">
        <v>1441</v>
      </c>
      <c r="G575">
        <v>11848.673200000001</v>
      </c>
      <c r="H575">
        <v>426552.23520000005</v>
      </c>
      <c r="I575">
        <v>13020.52</v>
      </c>
      <c r="J575">
        <v>468738.72000000003</v>
      </c>
      <c r="K575">
        <v>14066.57</v>
      </c>
      <c r="L575">
        <v>506396.52</v>
      </c>
      <c r="M575">
        <v>45616</v>
      </c>
      <c r="O575" t="s">
        <v>326</v>
      </c>
      <c r="P575" t="s">
        <v>127</v>
      </c>
      <c r="Q575" t="s">
        <v>140</v>
      </c>
      <c r="R575" t="s">
        <v>2446</v>
      </c>
      <c r="S575" t="s">
        <v>2444</v>
      </c>
      <c r="T575" t="s">
        <v>2445</v>
      </c>
      <c r="U575">
        <v>36</v>
      </c>
      <c r="V575" t="s">
        <v>357</v>
      </c>
      <c r="W575" t="s">
        <v>141</v>
      </c>
      <c r="X575" t="s">
        <v>142</v>
      </c>
      <c r="Y575">
        <v>11611</v>
      </c>
      <c r="Z575">
        <v>11612</v>
      </c>
      <c r="AA575" t="s">
        <v>1025</v>
      </c>
      <c r="AB575">
        <v>1</v>
      </c>
    </row>
    <row r="576" spans="1:28">
      <c r="A576">
        <v>1</v>
      </c>
      <c r="B576" t="s">
        <v>771</v>
      </c>
      <c r="C576" t="s">
        <v>2317</v>
      </c>
      <c r="D576" t="s">
        <v>2318</v>
      </c>
      <c r="E576" t="s">
        <v>2379</v>
      </c>
      <c r="F576" t="s">
        <v>1442</v>
      </c>
      <c r="G576">
        <v>40314.710800000001</v>
      </c>
      <c r="H576">
        <v>483776.52960000001</v>
      </c>
      <c r="I576">
        <v>44301.88</v>
      </c>
      <c r="J576">
        <v>531622.55999999994</v>
      </c>
      <c r="K576">
        <v>47841.29</v>
      </c>
      <c r="L576">
        <v>574095.48</v>
      </c>
      <c r="M576">
        <v>45616</v>
      </c>
      <c r="O576" t="s">
        <v>326</v>
      </c>
      <c r="P576" t="s">
        <v>127</v>
      </c>
      <c r="Q576" t="s">
        <v>140</v>
      </c>
      <c r="R576" t="s">
        <v>2446</v>
      </c>
      <c r="S576" t="s">
        <v>2444</v>
      </c>
      <c r="T576" t="s">
        <v>2445</v>
      </c>
      <c r="U576">
        <v>12</v>
      </c>
      <c r="V576" t="s">
        <v>357</v>
      </c>
      <c r="W576" t="s">
        <v>141</v>
      </c>
      <c r="X576" t="s">
        <v>142</v>
      </c>
      <c r="Y576">
        <v>11611</v>
      </c>
      <c r="Z576">
        <v>11612</v>
      </c>
      <c r="AA576" t="s">
        <v>1025</v>
      </c>
      <c r="AB576">
        <v>1</v>
      </c>
    </row>
    <row r="577" spans="1:28">
      <c r="A577">
        <v>1</v>
      </c>
      <c r="B577" t="s">
        <v>768</v>
      </c>
      <c r="C577" t="s">
        <v>2317</v>
      </c>
      <c r="D577" t="s">
        <v>2318</v>
      </c>
      <c r="E577" t="s">
        <v>2380</v>
      </c>
      <c r="F577" t="s">
        <v>1443</v>
      </c>
      <c r="G577">
        <v>6394.5945945945941</v>
      </c>
      <c r="H577">
        <v>230205.40540540538</v>
      </c>
      <c r="I577">
        <v>7027.0270270270266</v>
      </c>
      <c r="J577">
        <v>252972.97297297296</v>
      </c>
      <c r="K577">
        <v>7612.6126126126101</v>
      </c>
      <c r="L577">
        <v>274054.05405405397</v>
      </c>
      <c r="M577">
        <v>45616</v>
      </c>
      <c r="O577" t="s">
        <v>326</v>
      </c>
      <c r="P577" t="s">
        <v>127</v>
      </c>
      <c r="Q577" t="s">
        <v>140</v>
      </c>
      <c r="R577" t="s">
        <v>2446</v>
      </c>
      <c r="S577" t="s">
        <v>2444</v>
      </c>
      <c r="T577" t="s">
        <v>2445</v>
      </c>
      <c r="U577">
        <v>36</v>
      </c>
      <c r="V577" t="s">
        <v>357</v>
      </c>
      <c r="W577" t="s">
        <v>141</v>
      </c>
      <c r="X577" t="s">
        <v>142</v>
      </c>
      <c r="Y577">
        <v>11611</v>
      </c>
      <c r="Z577">
        <v>11612</v>
      </c>
      <c r="AA577" t="s">
        <v>1025</v>
      </c>
      <c r="AB577">
        <v>1</v>
      </c>
    </row>
    <row r="578" spans="1:28">
      <c r="A578">
        <v>1</v>
      </c>
      <c r="B578" t="s">
        <v>769</v>
      </c>
      <c r="C578" t="s">
        <v>2317</v>
      </c>
      <c r="D578" t="s">
        <v>2318</v>
      </c>
      <c r="E578" t="s">
        <v>2381</v>
      </c>
      <c r="F578" t="s">
        <v>1444</v>
      </c>
      <c r="G578">
        <v>11901.052799999999</v>
      </c>
      <c r="H578">
        <v>428437.9008</v>
      </c>
      <c r="I578">
        <v>13078.08</v>
      </c>
      <c r="J578">
        <v>470810.88</v>
      </c>
      <c r="K578">
        <v>14081.58</v>
      </c>
      <c r="L578">
        <v>506936.88</v>
      </c>
      <c r="M578">
        <v>45616</v>
      </c>
      <c r="O578" t="s">
        <v>326</v>
      </c>
      <c r="P578" t="s">
        <v>127</v>
      </c>
      <c r="Q578" t="s">
        <v>140</v>
      </c>
      <c r="R578" t="s">
        <v>2446</v>
      </c>
      <c r="S578" t="s">
        <v>2444</v>
      </c>
      <c r="T578" t="s">
        <v>2445</v>
      </c>
      <c r="U578">
        <v>36</v>
      </c>
      <c r="V578" t="s">
        <v>357</v>
      </c>
      <c r="W578" t="s">
        <v>141</v>
      </c>
      <c r="X578" t="s">
        <v>142</v>
      </c>
      <c r="Y578">
        <v>11611</v>
      </c>
      <c r="Z578">
        <v>11612</v>
      </c>
      <c r="AA578" t="s">
        <v>1025</v>
      </c>
      <c r="AB578">
        <v>1</v>
      </c>
    </row>
    <row r="579" spans="1:28">
      <c r="A579">
        <v>1</v>
      </c>
      <c r="B579" t="s">
        <v>770</v>
      </c>
      <c r="C579" t="s">
        <v>2317</v>
      </c>
      <c r="D579" t="s">
        <v>2318</v>
      </c>
      <c r="E579" t="s">
        <v>2382</v>
      </c>
      <c r="F579" t="s">
        <v>1445</v>
      </c>
      <c r="G579">
        <v>40314.710800000001</v>
      </c>
      <c r="H579">
        <v>483776.52960000001</v>
      </c>
      <c r="I579">
        <v>44301.88</v>
      </c>
      <c r="J579">
        <v>531622.55999999994</v>
      </c>
      <c r="K579">
        <v>47841.29</v>
      </c>
      <c r="L579">
        <v>574095.48</v>
      </c>
      <c r="M579">
        <v>45616</v>
      </c>
      <c r="O579" t="s">
        <v>326</v>
      </c>
      <c r="P579" t="s">
        <v>127</v>
      </c>
      <c r="Q579" t="s">
        <v>140</v>
      </c>
      <c r="R579" t="s">
        <v>2446</v>
      </c>
      <c r="S579" t="s">
        <v>2444</v>
      </c>
      <c r="T579" t="s">
        <v>2445</v>
      </c>
      <c r="U579">
        <v>12</v>
      </c>
      <c r="V579" t="s">
        <v>357</v>
      </c>
      <c r="W579" t="s">
        <v>141</v>
      </c>
      <c r="X579" t="s">
        <v>142</v>
      </c>
      <c r="Y579">
        <v>11611</v>
      </c>
      <c r="Z579">
        <v>11612</v>
      </c>
      <c r="AA579" t="s">
        <v>1025</v>
      </c>
      <c r="AB579">
        <v>1</v>
      </c>
    </row>
    <row r="580" spans="1:28">
      <c r="A580">
        <v>1</v>
      </c>
      <c r="B580" t="s">
        <v>709</v>
      </c>
      <c r="C580" t="s">
        <v>2317</v>
      </c>
      <c r="D580" t="s">
        <v>2318</v>
      </c>
      <c r="E580" t="s">
        <v>2383</v>
      </c>
      <c r="F580" t="s">
        <v>1446</v>
      </c>
      <c r="G580">
        <v>2234.0045</v>
      </c>
      <c r="H580">
        <v>160848.32399999999</v>
      </c>
      <c r="I580">
        <v>2454.9499999999998</v>
      </c>
      <c r="J580">
        <v>176756.4</v>
      </c>
      <c r="K580">
        <v>2727.73</v>
      </c>
      <c r="L580">
        <v>196396.56</v>
      </c>
      <c r="M580">
        <v>45616</v>
      </c>
      <c r="O580" t="s">
        <v>326</v>
      </c>
      <c r="P580" t="s">
        <v>127</v>
      </c>
      <c r="Q580" t="s">
        <v>140</v>
      </c>
      <c r="R580" t="s">
        <v>2446</v>
      </c>
      <c r="S580" t="s">
        <v>2444</v>
      </c>
      <c r="T580" t="s">
        <v>2445</v>
      </c>
      <c r="U580">
        <v>72</v>
      </c>
      <c r="V580" t="s">
        <v>357</v>
      </c>
      <c r="W580" t="s">
        <v>141</v>
      </c>
      <c r="X580" t="s">
        <v>142</v>
      </c>
      <c r="Y580">
        <v>11611</v>
      </c>
      <c r="Z580">
        <v>11612</v>
      </c>
      <c r="AA580" t="s">
        <v>1025</v>
      </c>
      <c r="AB580">
        <v>1</v>
      </c>
    </row>
    <row r="581" spans="1:28">
      <c r="A581">
        <v>1</v>
      </c>
      <c r="B581" t="s">
        <v>710</v>
      </c>
      <c r="C581" t="s">
        <v>2317</v>
      </c>
      <c r="D581" t="s">
        <v>2318</v>
      </c>
      <c r="E581" t="s">
        <v>2384</v>
      </c>
      <c r="F581" t="s">
        <v>1447</v>
      </c>
      <c r="G581">
        <v>6394.5972999999994</v>
      </c>
      <c r="H581">
        <v>230205.50279999999</v>
      </c>
      <c r="I581">
        <v>7027.03</v>
      </c>
      <c r="J581">
        <v>252973.08</v>
      </c>
      <c r="K581">
        <v>7612.61</v>
      </c>
      <c r="L581">
        <v>274053.95999999996</v>
      </c>
      <c r="M581">
        <v>45616</v>
      </c>
      <c r="O581" t="s">
        <v>326</v>
      </c>
      <c r="P581" t="s">
        <v>127</v>
      </c>
      <c r="Q581" t="s">
        <v>140</v>
      </c>
      <c r="R581" t="s">
        <v>2446</v>
      </c>
      <c r="S581" t="s">
        <v>2444</v>
      </c>
      <c r="T581" t="s">
        <v>2445</v>
      </c>
      <c r="U581">
        <v>36</v>
      </c>
      <c r="V581" t="s">
        <v>357</v>
      </c>
      <c r="W581" t="s">
        <v>141</v>
      </c>
      <c r="X581" t="s">
        <v>142</v>
      </c>
      <c r="Y581">
        <v>11611</v>
      </c>
      <c r="Z581">
        <v>11612</v>
      </c>
      <c r="AA581" t="s">
        <v>1025</v>
      </c>
      <c r="AB581">
        <v>1</v>
      </c>
    </row>
    <row r="582" spans="1:28">
      <c r="A582">
        <v>1</v>
      </c>
      <c r="B582" t="s">
        <v>711</v>
      </c>
      <c r="C582" t="s">
        <v>2317</v>
      </c>
      <c r="D582" t="s">
        <v>2318</v>
      </c>
      <c r="E582" t="s">
        <v>2385</v>
      </c>
      <c r="F582" t="s">
        <v>1448</v>
      </c>
      <c r="G582">
        <v>11901.052799999999</v>
      </c>
      <c r="H582">
        <v>428437.9008</v>
      </c>
      <c r="I582">
        <v>13078.08</v>
      </c>
      <c r="J582">
        <v>470810.88</v>
      </c>
      <c r="K582">
        <v>14081.58</v>
      </c>
      <c r="L582">
        <v>506936.88</v>
      </c>
      <c r="M582">
        <v>45616</v>
      </c>
      <c r="O582" t="s">
        <v>326</v>
      </c>
      <c r="P582" t="s">
        <v>127</v>
      </c>
      <c r="Q582" t="s">
        <v>140</v>
      </c>
      <c r="R582" t="s">
        <v>2446</v>
      </c>
      <c r="S582" t="s">
        <v>2444</v>
      </c>
      <c r="T582" t="s">
        <v>2445</v>
      </c>
      <c r="U582">
        <v>36</v>
      </c>
      <c r="V582" t="s">
        <v>357</v>
      </c>
      <c r="W582" t="s">
        <v>141</v>
      </c>
      <c r="X582" t="s">
        <v>142</v>
      </c>
      <c r="Y582">
        <v>11611</v>
      </c>
      <c r="Z582">
        <v>11612</v>
      </c>
      <c r="AA582" t="s">
        <v>1025</v>
      </c>
      <c r="AB582">
        <v>1</v>
      </c>
    </row>
    <row r="583" spans="1:28">
      <c r="A583">
        <v>1</v>
      </c>
      <c r="B583" t="s">
        <v>753</v>
      </c>
      <c r="C583" t="s">
        <v>2317</v>
      </c>
      <c r="D583" t="s">
        <v>2318</v>
      </c>
      <c r="E583" t="s">
        <v>2386</v>
      </c>
      <c r="F583" t="s">
        <v>1449</v>
      </c>
      <c r="G583">
        <v>11901.052799999999</v>
      </c>
      <c r="H583">
        <v>428437.9008</v>
      </c>
      <c r="I583">
        <v>13078.08</v>
      </c>
      <c r="J583">
        <v>470810.88</v>
      </c>
      <c r="K583">
        <v>14081.58</v>
      </c>
      <c r="L583">
        <v>506936.88</v>
      </c>
      <c r="M583">
        <v>45616</v>
      </c>
      <c r="O583" t="s">
        <v>326</v>
      </c>
      <c r="P583" t="s">
        <v>127</v>
      </c>
      <c r="Q583" t="s">
        <v>140</v>
      </c>
      <c r="R583" t="s">
        <v>2446</v>
      </c>
      <c r="S583" t="s">
        <v>2444</v>
      </c>
      <c r="T583" t="s">
        <v>2445</v>
      </c>
      <c r="U583">
        <v>36</v>
      </c>
      <c r="V583" t="s">
        <v>357</v>
      </c>
      <c r="W583" t="s">
        <v>141</v>
      </c>
      <c r="X583" t="s">
        <v>142</v>
      </c>
      <c r="Y583">
        <v>11611</v>
      </c>
      <c r="Z583">
        <v>11612</v>
      </c>
      <c r="AA583" t="s">
        <v>1025</v>
      </c>
      <c r="AB583">
        <v>1</v>
      </c>
    </row>
    <row r="584" spans="1:28">
      <c r="A584">
        <v>1</v>
      </c>
      <c r="B584" t="s">
        <v>787</v>
      </c>
      <c r="C584" t="s">
        <v>2345</v>
      </c>
      <c r="D584" t="s">
        <v>2346</v>
      </c>
      <c r="E584" t="s">
        <v>1433</v>
      </c>
      <c r="F584" t="s">
        <v>1434</v>
      </c>
      <c r="G584">
        <v>8150.3785999999991</v>
      </c>
      <c r="H584">
        <v>293413.62959999999</v>
      </c>
      <c r="I584">
        <v>8956.4599999999991</v>
      </c>
      <c r="J584">
        <v>322432.55999999994</v>
      </c>
      <c r="K584">
        <v>9672.17</v>
      </c>
      <c r="L584">
        <v>348198.12</v>
      </c>
      <c r="M584">
        <v>45616</v>
      </c>
      <c r="O584" t="s">
        <v>326</v>
      </c>
      <c r="P584" t="s">
        <v>127</v>
      </c>
      <c r="Q584" t="s">
        <v>140</v>
      </c>
      <c r="R584" t="s">
        <v>2446</v>
      </c>
      <c r="S584" t="s">
        <v>2444</v>
      </c>
      <c r="T584" t="s">
        <v>2445</v>
      </c>
      <c r="U584">
        <v>36</v>
      </c>
      <c r="V584" t="s">
        <v>357</v>
      </c>
      <c r="W584" t="s">
        <v>141</v>
      </c>
      <c r="X584" t="s">
        <v>142</v>
      </c>
      <c r="Y584">
        <v>11611</v>
      </c>
      <c r="Z584">
        <v>11612</v>
      </c>
      <c r="AA584" t="s">
        <v>1025</v>
      </c>
      <c r="AB584">
        <v>1</v>
      </c>
    </row>
    <row r="585" spans="1:28">
      <c r="A585">
        <v>1</v>
      </c>
      <c r="B585" t="s">
        <v>978</v>
      </c>
      <c r="C585" t="s">
        <v>2341</v>
      </c>
      <c r="D585" t="s">
        <v>2342</v>
      </c>
      <c r="E585" t="s">
        <v>1388</v>
      </c>
      <c r="F585" t="s">
        <v>1389</v>
      </c>
      <c r="G585">
        <v>11600.450450450448</v>
      </c>
      <c r="H585">
        <v>417616.2162162161</v>
      </c>
      <c r="I585">
        <v>12747.747747747744</v>
      </c>
      <c r="J585">
        <v>458918.91891891882</v>
      </c>
      <c r="K585">
        <v>13738.738738738737</v>
      </c>
      <c r="L585">
        <v>494594.59459459456</v>
      </c>
      <c r="M585">
        <v>45616</v>
      </c>
      <c r="O585" t="s">
        <v>326</v>
      </c>
      <c r="P585" t="s">
        <v>127</v>
      </c>
      <c r="Q585" t="s">
        <v>140</v>
      </c>
      <c r="R585" t="s">
        <v>2446</v>
      </c>
      <c r="S585" t="s">
        <v>2444</v>
      </c>
      <c r="T585" t="s">
        <v>2445</v>
      </c>
      <c r="U585">
        <v>36</v>
      </c>
      <c r="V585" t="s">
        <v>357</v>
      </c>
      <c r="W585" t="s">
        <v>141</v>
      </c>
      <c r="X585" t="s">
        <v>142</v>
      </c>
      <c r="Y585">
        <v>11611</v>
      </c>
      <c r="Z585">
        <v>11612</v>
      </c>
      <c r="AA585" t="s">
        <v>1025</v>
      </c>
      <c r="AB585">
        <v>1</v>
      </c>
    </row>
    <row r="586" spans="1:28">
      <c r="A586">
        <v>1</v>
      </c>
      <c r="B586" t="s">
        <v>693</v>
      </c>
      <c r="C586" t="s">
        <v>2345</v>
      </c>
      <c r="D586" t="s">
        <v>2346</v>
      </c>
      <c r="E586" t="s">
        <v>1431</v>
      </c>
      <c r="F586" t="s">
        <v>1432</v>
      </c>
      <c r="G586">
        <v>8150.3785999999991</v>
      </c>
      <c r="H586">
        <v>293413.62959999999</v>
      </c>
      <c r="I586">
        <v>8956.4599999999991</v>
      </c>
      <c r="J586">
        <v>322432.55999999994</v>
      </c>
      <c r="K586">
        <v>9672.17</v>
      </c>
      <c r="L586">
        <v>348198.12</v>
      </c>
      <c r="M586">
        <v>45616</v>
      </c>
      <c r="O586" t="s">
        <v>326</v>
      </c>
      <c r="P586" t="s">
        <v>127</v>
      </c>
      <c r="Q586" t="s">
        <v>140</v>
      </c>
      <c r="R586" t="s">
        <v>2446</v>
      </c>
      <c r="S586" t="s">
        <v>2444</v>
      </c>
      <c r="T586" t="s">
        <v>2445</v>
      </c>
      <c r="U586">
        <v>36</v>
      </c>
      <c r="V586" t="s">
        <v>357</v>
      </c>
      <c r="W586" t="s">
        <v>141</v>
      </c>
      <c r="X586" t="s">
        <v>142</v>
      </c>
      <c r="Y586">
        <v>11611</v>
      </c>
      <c r="Z586">
        <v>11612</v>
      </c>
      <c r="AA586" t="s">
        <v>1025</v>
      </c>
      <c r="AB586">
        <v>1</v>
      </c>
    </row>
    <row r="587" spans="1:28">
      <c r="A587">
        <v>1</v>
      </c>
      <c r="B587" t="s">
        <v>786</v>
      </c>
      <c r="C587" t="s">
        <v>2345</v>
      </c>
      <c r="D587" t="s">
        <v>2346</v>
      </c>
      <c r="E587" t="s">
        <v>1427</v>
      </c>
      <c r="F587" t="s">
        <v>1428</v>
      </c>
      <c r="G587">
        <v>8150.3785999999991</v>
      </c>
      <c r="H587">
        <v>293413.62959999999</v>
      </c>
      <c r="I587">
        <v>8956.4599999999991</v>
      </c>
      <c r="J587">
        <v>322432.55999999994</v>
      </c>
      <c r="K587">
        <v>9672.17</v>
      </c>
      <c r="L587">
        <v>348198.12</v>
      </c>
      <c r="M587">
        <v>45616</v>
      </c>
      <c r="O587" t="s">
        <v>326</v>
      </c>
      <c r="P587" t="s">
        <v>127</v>
      </c>
      <c r="Q587" t="s">
        <v>140</v>
      </c>
      <c r="R587" t="s">
        <v>2446</v>
      </c>
      <c r="S587" t="s">
        <v>2444</v>
      </c>
      <c r="T587" t="s">
        <v>2445</v>
      </c>
      <c r="U587">
        <v>36</v>
      </c>
      <c r="V587" t="s">
        <v>357</v>
      </c>
      <c r="W587" t="s">
        <v>141</v>
      </c>
      <c r="X587" t="s">
        <v>142</v>
      </c>
      <c r="Y587">
        <v>11611</v>
      </c>
      <c r="Z587">
        <v>11612</v>
      </c>
      <c r="AA587" t="s">
        <v>1025</v>
      </c>
      <c r="AB587">
        <v>1</v>
      </c>
    </row>
    <row r="588" spans="1:28">
      <c r="A588">
        <v>1</v>
      </c>
      <c r="B588" t="s">
        <v>969</v>
      </c>
      <c r="C588" t="s">
        <v>2347</v>
      </c>
      <c r="D588" t="s">
        <v>2348</v>
      </c>
      <c r="E588" t="s">
        <v>1392</v>
      </c>
      <c r="F588" t="s">
        <v>1393</v>
      </c>
      <c r="G588">
        <v>15471.82</v>
      </c>
      <c r="H588">
        <v>556985.52</v>
      </c>
      <c r="I588">
        <v>17002</v>
      </c>
      <c r="J588">
        <v>612072</v>
      </c>
      <c r="K588">
        <v>18916.419999999998</v>
      </c>
      <c r="L588">
        <v>680991.11999999988</v>
      </c>
      <c r="M588">
        <v>45616</v>
      </c>
      <c r="O588" t="s">
        <v>326</v>
      </c>
      <c r="P588" t="s">
        <v>127</v>
      </c>
      <c r="Q588" t="s">
        <v>140</v>
      </c>
      <c r="R588" t="s">
        <v>2446</v>
      </c>
      <c r="S588" t="s">
        <v>2444</v>
      </c>
      <c r="T588" t="s">
        <v>2445</v>
      </c>
      <c r="U588">
        <v>36</v>
      </c>
      <c r="V588" t="s">
        <v>357</v>
      </c>
      <c r="W588" t="s">
        <v>141</v>
      </c>
      <c r="X588" t="s">
        <v>142</v>
      </c>
      <c r="Y588">
        <v>11611</v>
      </c>
      <c r="Z588">
        <v>11612</v>
      </c>
      <c r="AA588" t="s">
        <v>1025</v>
      </c>
      <c r="AB588">
        <v>1</v>
      </c>
    </row>
    <row r="589" spans="1:28">
      <c r="A589">
        <v>1</v>
      </c>
      <c r="B589" t="s">
        <v>970</v>
      </c>
      <c r="C589" t="s">
        <v>2347</v>
      </c>
      <c r="D589" t="s">
        <v>2348</v>
      </c>
      <c r="E589" t="s">
        <v>1394</v>
      </c>
      <c r="F589" t="s">
        <v>1395</v>
      </c>
      <c r="G589">
        <v>15471.82</v>
      </c>
      <c r="H589">
        <v>556985.52</v>
      </c>
      <c r="I589">
        <v>17002</v>
      </c>
      <c r="J589">
        <v>612072</v>
      </c>
      <c r="K589">
        <v>18916.419999999998</v>
      </c>
      <c r="L589">
        <v>680991.11999999988</v>
      </c>
      <c r="M589">
        <v>45616</v>
      </c>
      <c r="O589" t="s">
        <v>326</v>
      </c>
      <c r="P589" t="s">
        <v>127</v>
      </c>
      <c r="Q589" t="s">
        <v>140</v>
      </c>
      <c r="R589" t="s">
        <v>2446</v>
      </c>
      <c r="S589" t="s">
        <v>2444</v>
      </c>
      <c r="T589" t="s">
        <v>2445</v>
      </c>
      <c r="U589">
        <v>36</v>
      </c>
      <c r="V589" t="s">
        <v>357</v>
      </c>
      <c r="W589" t="s">
        <v>141</v>
      </c>
      <c r="X589" t="s">
        <v>142</v>
      </c>
      <c r="Y589">
        <v>11611</v>
      </c>
      <c r="Z589">
        <v>11612</v>
      </c>
      <c r="AA589" t="s">
        <v>1025</v>
      </c>
      <c r="AB589">
        <v>1</v>
      </c>
    </row>
    <row r="590" spans="1:28">
      <c r="A590">
        <v>1</v>
      </c>
      <c r="B590" t="s">
        <v>971</v>
      </c>
      <c r="C590" t="s">
        <v>2347</v>
      </c>
      <c r="D590" t="s">
        <v>2348</v>
      </c>
      <c r="E590" t="s">
        <v>1396</v>
      </c>
      <c r="F590" t="s">
        <v>1397</v>
      </c>
      <c r="G590">
        <v>15471.82</v>
      </c>
      <c r="H590">
        <v>556985.52</v>
      </c>
      <c r="I590">
        <v>17002</v>
      </c>
      <c r="J590">
        <v>612072</v>
      </c>
      <c r="K590">
        <v>18916.419999999998</v>
      </c>
      <c r="L590">
        <v>680991.11999999988</v>
      </c>
      <c r="M590">
        <v>45616</v>
      </c>
      <c r="O590" t="s">
        <v>326</v>
      </c>
      <c r="P590" t="s">
        <v>127</v>
      </c>
      <c r="Q590" t="s">
        <v>140</v>
      </c>
      <c r="R590" t="s">
        <v>2446</v>
      </c>
      <c r="S590" t="s">
        <v>2444</v>
      </c>
      <c r="T590" t="s">
        <v>2445</v>
      </c>
      <c r="U590">
        <v>36</v>
      </c>
      <c r="V590" t="s">
        <v>357</v>
      </c>
      <c r="W590" t="s">
        <v>141</v>
      </c>
      <c r="X590" t="s">
        <v>142</v>
      </c>
      <c r="Y590">
        <v>11611</v>
      </c>
      <c r="Z590">
        <v>11612</v>
      </c>
      <c r="AA590" t="s">
        <v>1025</v>
      </c>
      <c r="AB590">
        <v>1</v>
      </c>
    </row>
    <row r="591" spans="1:28">
      <c r="A591">
        <v>1</v>
      </c>
      <c r="B591" t="s">
        <v>751</v>
      </c>
      <c r="C591" t="s">
        <v>2352</v>
      </c>
      <c r="D591" t="s">
        <v>2353</v>
      </c>
      <c r="E591" t="s">
        <v>1405</v>
      </c>
      <c r="F591" t="s">
        <v>1406</v>
      </c>
      <c r="G591">
        <v>0</v>
      </c>
      <c r="H591">
        <v>0</v>
      </c>
      <c r="I591">
        <v>6391.3913913913902</v>
      </c>
      <c r="J591">
        <v>230090.09009009006</v>
      </c>
      <c r="K591">
        <v>0</v>
      </c>
      <c r="L591">
        <v>0</v>
      </c>
      <c r="M591">
        <v>45616</v>
      </c>
      <c r="O591" t="s">
        <v>326</v>
      </c>
      <c r="P591" t="s">
        <v>127</v>
      </c>
      <c r="Q591" t="s">
        <v>140</v>
      </c>
      <c r="R591" t="s">
        <v>2446</v>
      </c>
      <c r="S591" t="s">
        <v>2444</v>
      </c>
      <c r="T591" t="s">
        <v>2445</v>
      </c>
      <c r="U591">
        <v>36</v>
      </c>
      <c r="V591" t="s">
        <v>357</v>
      </c>
      <c r="W591" t="s">
        <v>141</v>
      </c>
      <c r="X591" t="s">
        <v>142</v>
      </c>
      <c r="Y591">
        <v>11611</v>
      </c>
      <c r="Z591">
        <v>11612</v>
      </c>
      <c r="AA591" t="s">
        <v>1025</v>
      </c>
      <c r="AB591">
        <v>1</v>
      </c>
    </row>
    <row r="592" spans="1:28">
      <c r="A592">
        <v>1</v>
      </c>
      <c r="B592" t="s">
        <v>715</v>
      </c>
      <c r="C592" t="s">
        <v>2354</v>
      </c>
      <c r="D592" t="s">
        <v>2355</v>
      </c>
      <c r="E592" t="s">
        <v>1409</v>
      </c>
      <c r="F592" t="s">
        <v>1408</v>
      </c>
      <c r="G592">
        <v>8232.3604999999989</v>
      </c>
      <c r="H592">
        <v>197576.65199999997</v>
      </c>
      <c r="I592">
        <v>9046.5499999999993</v>
      </c>
      <c r="J592">
        <v>217117.19999999998</v>
      </c>
      <c r="K592">
        <v>9819.82</v>
      </c>
      <c r="L592">
        <v>235675.68</v>
      </c>
      <c r="M592">
        <v>45616</v>
      </c>
      <c r="O592" t="s">
        <v>326</v>
      </c>
      <c r="P592" t="s">
        <v>127</v>
      </c>
      <c r="Q592" t="s">
        <v>140</v>
      </c>
      <c r="R592" t="s">
        <v>2446</v>
      </c>
      <c r="S592" t="s">
        <v>2444</v>
      </c>
      <c r="T592" t="s">
        <v>2445</v>
      </c>
      <c r="U592">
        <v>24</v>
      </c>
      <c r="V592" t="s">
        <v>356</v>
      </c>
      <c r="W592" t="s">
        <v>141</v>
      </c>
      <c r="X592" t="s">
        <v>142</v>
      </c>
      <c r="Y592">
        <v>11611</v>
      </c>
      <c r="Z592">
        <v>11612</v>
      </c>
      <c r="AA592" t="s">
        <v>1025</v>
      </c>
      <c r="AB592">
        <v>1</v>
      </c>
    </row>
    <row r="593" spans="1:28">
      <c r="A593">
        <v>1</v>
      </c>
      <c r="B593" t="s">
        <v>716</v>
      </c>
      <c r="C593" t="s">
        <v>2354</v>
      </c>
      <c r="D593" t="s">
        <v>2355</v>
      </c>
      <c r="E593" t="s">
        <v>1407</v>
      </c>
      <c r="F593" t="s">
        <v>1410</v>
      </c>
      <c r="G593">
        <v>11873.725499999999</v>
      </c>
      <c r="H593">
        <v>284969.41199999995</v>
      </c>
      <c r="I593">
        <v>13048.05</v>
      </c>
      <c r="J593">
        <v>313153.19999999995</v>
      </c>
      <c r="K593">
        <v>14091.59</v>
      </c>
      <c r="L593">
        <v>338198.16000000003</v>
      </c>
      <c r="M593">
        <v>45616</v>
      </c>
      <c r="O593" t="s">
        <v>326</v>
      </c>
      <c r="P593" t="s">
        <v>127</v>
      </c>
      <c r="Q593" t="s">
        <v>140</v>
      </c>
      <c r="R593" t="s">
        <v>2446</v>
      </c>
      <c r="S593" t="s">
        <v>2444</v>
      </c>
      <c r="T593" t="s">
        <v>2445</v>
      </c>
      <c r="U593">
        <v>24</v>
      </c>
      <c r="V593" t="s">
        <v>357</v>
      </c>
      <c r="W593" t="s">
        <v>141</v>
      </c>
      <c r="X593" t="s">
        <v>142</v>
      </c>
      <c r="Y593">
        <v>11611</v>
      </c>
      <c r="Z593">
        <v>11612</v>
      </c>
      <c r="AA593" t="s">
        <v>1025</v>
      </c>
      <c r="AB593">
        <v>1</v>
      </c>
    </row>
    <row r="594" spans="1:28">
      <c r="A594">
        <v>1</v>
      </c>
      <c r="B594" t="s">
        <v>717</v>
      </c>
      <c r="C594" t="s">
        <v>2354</v>
      </c>
      <c r="D594" t="s">
        <v>2355</v>
      </c>
      <c r="E594" t="s">
        <v>1413</v>
      </c>
      <c r="F594" t="s">
        <v>1412</v>
      </c>
      <c r="G594">
        <v>8232.3604999999989</v>
      </c>
      <c r="H594">
        <v>197576.65199999997</v>
      </c>
      <c r="I594">
        <v>9046.5499999999993</v>
      </c>
      <c r="J594">
        <v>217117.19999999998</v>
      </c>
      <c r="K594">
        <v>9819.82</v>
      </c>
      <c r="L594">
        <v>235675.68</v>
      </c>
      <c r="M594">
        <v>45616</v>
      </c>
      <c r="O594" t="s">
        <v>326</v>
      </c>
      <c r="P594" t="s">
        <v>127</v>
      </c>
      <c r="Q594" t="s">
        <v>140</v>
      </c>
      <c r="R594" t="s">
        <v>2446</v>
      </c>
      <c r="S594" t="s">
        <v>2444</v>
      </c>
      <c r="T594" t="s">
        <v>2445</v>
      </c>
      <c r="U594">
        <v>24</v>
      </c>
      <c r="V594" t="s">
        <v>356</v>
      </c>
      <c r="W594" t="s">
        <v>141</v>
      </c>
      <c r="X594" t="s">
        <v>142</v>
      </c>
      <c r="Y594">
        <v>11611</v>
      </c>
      <c r="Z594">
        <v>11612</v>
      </c>
      <c r="AA594" t="s">
        <v>1025</v>
      </c>
      <c r="AB594">
        <v>1</v>
      </c>
    </row>
    <row r="595" spans="1:28">
      <c r="A595">
        <v>1</v>
      </c>
      <c r="B595" t="s">
        <v>438</v>
      </c>
      <c r="C595" t="s">
        <v>2349</v>
      </c>
      <c r="D595" t="s">
        <v>2428</v>
      </c>
      <c r="E595" t="s">
        <v>2411</v>
      </c>
      <c r="F595" t="s">
        <v>1398</v>
      </c>
      <c r="G595">
        <v>9266.238800000001</v>
      </c>
      <c r="H595">
        <v>333584.59680000006</v>
      </c>
      <c r="I595">
        <v>10182.68</v>
      </c>
      <c r="J595">
        <v>366576.48</v>
      </c>
      <c r="K595">
        <v>11051.05</v>
      </c>
      <c r="L595">
        <v>397837.8</v>
      </c>
      <c r="M595">
        <v>45616</v>
      </c>
      <c r="O595" t="s">
        <v>326</v>
      </c>
      <c r="P595" t="s">
        <v>127</v>
      </c>
      <c r="Q595" t="s">
        <v>140</v>
      </c>
      <c r="R595" t="s">
        <v>2446</v>
      </c>
      <c r="S595" t="s">
        <v>2444</v>
      </c>
      <c r="T595" t="s">
        <v>2445</v>
      </c>
      <c r="U595">
        <v>36</v>
      </c>
      <c r="V595" t="s">
        <v>1021</v>
      </c>
      <c r="W595" t="s">
        <v>141</v>
      </c>
      <c r="X595" t="s">
        <v>142</v>
      </c>
      <c r="Y595">
        <v>11611</v>
      </c>
      <c r="Z595">
        <v>11612</v>
      </c>
      <c r="AA595" t="s">
        <v>1025</v>
      </c>
      <c r="AB595">
        <v>1</v>
      </c>
    </row>
    <row r="596" spans="1:28">
      <c r="A596">
        <v>1</v>
      </c>
      <c r="B596" t="s">
        <v>718</v>
      </c>
      <c r="C596" t="s">
        <v>2354</v>
      </c>
      <c r="D596" t="s">
        <v>2355</v>
      </c>
      <c r="E596" t="s">
        <v>1411</v>
      </c>
      <c r="F596" t="s">
        <v>1414</v>
      </c>
      <c r="G596">
        <v>11873.725499999999</v>
      </c>
      <c r="H596">
        <v>284969.41199999995</v>
      </c>
      <c r="I596">
        <v>13048.05</v>
      </c>
      <c r="J596">
        <v>313153.19999999995</v>
      </c>
      <c r="K596">
        <v>14091.59</v>
      </c>
      <c r="L596">
        <v>338198.16000000003</v>
      </c>
      <c r="M596">
        <v>45616</v>
      </c>
      <c r="O596" t="s">
        <v>326</v>
      </c>
      <c r="P596" t="s">
        <v>127</v>
      </c>
      <c r="Q596" t="s">
        <v>140</v>
      </c>
      <c r="R596" t="s">
        <v>2446</v>
      </c>
      <c r="S596" t="s">
        <v>2444</v>
      </c>
      <c r="T596" t="s">
        <v>2445</v>
      </c>
      <c r="U596">
        <v>24</v>
      </c>
      <c r="V596" t="s">
        <v>357</v>
      </c>
      <c r="W596" t="s">
        <v>141</v>
      </c>
      <c r="X596" t="s">
        <v>142</v>
      </c>
      <c r="Y596">
        <v>11611</v>
      </c>
      <c r="Z596">
        <v>11612</v>
      </c>
      <c r="AA596" t="s">
        <v>1025</v>
      </c>
      <c r="AB596">
        <v>1</v>
      </c>
    </row>
    <row r="597" spans="1:28">
      <c r="A597">
        <v>1</v>
      </c>
      <c r="B597" t="s">
        <v>669</v>
      </c>
      <c r="C597" t="s">
        <v>2343</v>
      </c>
      <c r="D597" t="s">
        <v>2344</v>
      </c>
      <c r="E597" t="s">
        <v>1415</v>
      </c>
      <c r="F597" t="s">
        <v>1416</v>
      </c>
      <c r="G597">
        <v>3484.2352999999998</v>
      </c>
      <c r="H597">
        <v>125432.4708</v>
      </c>
      <c r="I597">
        <v>3828.83</v>
      </c>
      <c r="J597">
        <v>137837.88</v>
      </c>
      <c r="K597">
        <v>4144.1400000000003</v>
      </c>
      <c r="L597">
        <v>149189.04</v>
      </c>
      <c r="M597">
        <v>45616</v>
      </c>
      <c r="O597" t="s">
        <v>326</v>
      </c>
      <c r="P597" t="s">
        <v>127</v>
      </c>
      <c r="Q597" t="s">
        <v>140</v>
      </c>
      <c r="R597" t="s">
        <v>2446</v>
      </c>
      <c r="S597" t="s">
        <v>2444</v>
      </c>
      <c r="T597" t="s">
        <v>2445</v>
      </c>
      <c r="U597">
        <v>36</v>
      </c>
      <c r="V597" t="s">
        <v>357</v>
      </c>
      <c r="W597" t="s">
        <v>141</v>
      </c>
      <c r="X597" t="s">
        <v>142</v>
      </c>
      <c r="Y597">
        <v>11611</v>
      </c>
      <c r="Z597">
        <v>11612</v>
      </c>
      <c r="AA597" t="s">
        <v>1025</v>
      </c>
      <c r="AB597">
        <v>1</v>
      </c>
    </row>
    <row r="598" spans="1:28">
      <c r="A598">
        <v>1</v>
      </c>
      <c r="B598" t="s">
        <v>674</v>
      </c>
      <c r="C598" t="s">
        <v>2343</v>
      </c>
      <c r="D598" t="s">
        <v>2344</v>
      </c>
      <c r="E598" t="s">
        <v>1417</v>
      </c>
      <c r="F598" t="s">
        <v>1418</v>
      </c>
      <c r="G598">
        <v>3484.2352999999998</v>
      </c>
      <c r="H598">
        <v>125432.4708</v>
      </c>
      <c r="I598">
        <v>3828.83</v>
      </c>
      <c r="J598">
        <v>137837.88</v>
      </c>
      <c r="K598">
        <v>4144.1400000000003</v>
      </c>
      <c r="L598">
        <v>149189.04</v>
      </c>
      <c r="M598">
        <v>45616</v>
      </c>
      <c r="O598" t="s">
        <v>326</v>
      </c>
      <c r="P598" t="s">
        <v>127</v>
      </c>
      <c r="Q598" t="s">
        <v>140</v>
      </c>
      <c r="R598" t="s">
        <v>2446</v>
      </c>
      <c r="S598" t="s">
        <v>2444</v>
      </c>
      <c r="T598" t="s">
        <v>2445</v>
      </c>
      <c r="U598">
        <v>36</v>
      </c>
      <c r="V598" t="s">
        <v>357</v>
      </c>
      <c r="W598" t="s">
        <v>141</v>
      </c>
      <c r="X598" t="s">
        <v>142</v>
      </c>
      <c r="Y598">
        <v>11611</v>
      </c>
      <c r="Z598">
        <v>11612</v>
      </c>
      <c r="AA598" t="s">
        <v>1025</v>
      </c>
      <c r="AB598">
        <v>1</v>
      </c>
    </row>
    <row r="599" spans="1:28">
      <c r="A599">
        <v>1</v>
      </c>
      <c r="B599" t="s">
        <v>678</v>
      </c>
      <c r="C599" t="s">
        <v>2343</v>
      </c>
      <c r="D599" t="s">
        <v>2344</v>
      </c>
      <c r="E599" t="s">
        <v>1419</v>
      </c>
      <c r="F599" t="s">
        <v>1420</v>
      </c>
      <c r="G599">
        <v>3484.2352999999998</v>
      </c>
      <c r="H599">
        <v>125432.4708</v>
      </c>
      <c r="I599">
        <v>3828.83</v>
      </c>
      <c r="J599">
        <v>137837.88</v>
      </c>
      <c r="K599">
        <v>4144.1400000000003</v>
      </c>
      <c r="L599">
        <v>149189.04</v>
      </c>
      <c r="M599">
        <v>45616</v>
      </c>
      <c r="O599" t="s">
        <v>326</v>
      </c>
      <c r="P599" t="s">
        <v>127</v>
      </c>
      <c r="Q599" t="s">
        <v>140</v>
      </c>
      <c r="R599" t="s">
        <v>2446</v>
      </c>
      <c r="S599" t="s">
        <v>2444</v>
      </c>
      <c r="T599" t="s">
        <v>2445</v>
      </c>
      <c r="U599">
        <v>36</v>
      </c>
      <c r="V599" t="s">
        <v>357</v>
      </c>
      <c r="W599" t="s">
        <v>141</v>
      </c>
      <c r="X599" t="s">
        <v>142</v>
      </c>
      <c r="Y599">
        <v>11611</v>
      </c>
      <c r="Z599">
        <v>11612</v>
      </c>
      <c r="AA599" t="s">
        <v>1025</v>
      </c>
      <c r="AB599">
        <v>1</v>
      </c>
    </row>
    <row r="600" spans="1:28">
      <c r="A600">
        <v>1</v>
      </c>
      <c r="B600" t="s">
        <v>681</v>
      </c>
      <c r="C600" t="s">
        <v>2343</v>
      </c>
      <c r="D600" t="s">
        <v>2344</v>
      </c>
      <c r="E600" t="s">
        <v>1421</v>
      </c>
      <c r="F600" t="s">
        <v>1422</v>
      </c>
      <c r="G600">
        <v>3484.2352999999998</v>
      </c>
      <c r="H600">
        <v>125432.4708</v>
      </c>
      <c r="I600">
        <v>3828.83</v>
      </c>
      <c r="J600">
        <v>137837.88</v>
      </c>
      <c r="K600">
        <v>4144.1400000000003</v>
      </c>
      <c r="L600">
        <v>149189.04</v>
      </c>
      <c r="M600">
        <v>45616</v>
      </c>
      <c r="O600" t="s">
        <v>326</v>
      </c>
      <c r="P600" t="s">
        <v>127</v>
      </c>
      <c r="Q600" t="s">
        <v>140</v>
      </c>
      <c r="R600" t="s">
        <v>2446</v>
      </c>
      <c r="S600" t="s">
        <v>2444</v>
      </c>
      <c r="T600" t="s">
        <v>2445</v>
      </c>
      <c r="U600">
        <v>36</v>
      </c>
      <c r="V600" t="s">
        <v>357</v>
      </c>
      <c r="W600" t="s">
        <v>141</v>
      </c>
      <c r="X600" t="s">
        <v>142</v>
      </c>
      <c r="Y600">
        <v>11611</v>
      </c>
      <c r="Z600">
        <v>11612</v>
      </c>
      <c r="AA600" t="s">
        <v>1025</v>
      </c>
      <c r="AB600">
        <v>1</v>
      </c>
    </row>
    <row r="601" spans="1:28">
      <c r="A601">
        <v>1</v>
      </c>
      <c r="B601" t="s">
        <v>668</v>
      </c>
      <c r="C601" t="s">
        <v>2343</v>
      </c>
      <c r="D601" t="s">
        <v>2344</v>
      </c>
      <c r="E601" t="s">
        <v>1423</v>
      </c>
      <c r="F601" t="s">
        <v>1424</v>
      </c>
      <c r="G601">
        <v>4136.6779999999999</v>
      </c>
      <c r="H601">
        <v>297840.81599999999</v>
      </c>
      <c r="I601">
        <v>4545.8</v>
      </c>
      <c r="J601">
        <v>327297.60000000003</v>
      </c>
      <c r="K601">
        <v>4909.91</v>
      </c>
      <c r="L601">
        <v>353513.52</v>
      </c>
      <c r="M601">
        <v>45616</v>
      </c>
      <c r="O601" t="s">
        <v>326</v>
      </c>
      <c r="P601" t="s">
        <v>127</v>
      </c>
      <c r="Q601" t="s">
        <v>140</v>
      </c>
      <c r="R601" t="s">
        <v>2446</v>
      </c>
      <c r="S601" t="s">
        <v>2444</v>
      </c>
      <c r="T601" t="s">
        <v>2445</v>
      </c>
      <c r="U601">
        <v>72</v>
      </c>
      <c r="V601" t="s">
        <v>357</v>
      </c>
      <c r="W601" t="s">
        <v>141</v>
      </c>
      <c r="X601" t="s">
        <v>142</v>
      </c>
      <c r="Y601">
        <v>11611</v>
      </c>
      <c r="Z601">
        <v>11612</v>
      </c>
      <c r="AA601" t="s">
        <v>1025</v>
      </c>
      <c r="AB601">
        <v>1</v>
      </c>
    </row>
    <row r="602" spans="1:28">
      <c r="A602">
        <v>1</v>
      </c>
      <c r="B602" t="s">
        <v>672</v>
      </c>
      <c r="C602" t="s">
        <v>2343</v>
      </c>
      <c r="D602" t="s">
        <v>2344</v>
      </c>
      <c r="E602" t="s">
        <v>1425</v>
      </c>
      <c r="F602" t="s">
        <v>1426</v>
      </c>
      <c r="G602">
        <v>11996.693800000001</v>
      </c>
      <c r="H602">
        <v>431880.97680000006</v>
      </c>
      <c r="I602">
        <v>13183.18</v>
      </c>
      <c r="J602">
        <v>474594.48</v>
      </c>
      <c r="K602">
        <v>14236.74</v>
      </c>
      <c r="L602">
        <v>512522.64</v>
      </c>
      <c r="M602">
        <v>45616</v>
      </c>
      <c r="O602" t="s">
        <v>326</v>
      </c>
      <c r="P602" t="s">
        <v>127</v>
      </c>
      <c r="Q602" t="s">
        <v>140</v>
      </c>
      <c r="R602" t="s">
        <v>2446</v>
      </c>
      <c r="S602" t="s">
        <v>2444</v>
      </c>
      <c r="T602" t="s">
        <v>2445</v>
      </c>
      <c r="U602">
        <v>36</v>
      </c>
      <c r="V602" t="s">
        <v>357</v>
      </c>
      <c r="W602" t="s">
        <v>141</v>
      </c>
      <c r="X602" t="s">
        <v>142</v>
      </c>
      <c r="Y602">
        <v>11611</v>
      </c>
      <c r="Z602">
        <v>11612</v>
      </c>
      <c r="AA602" t="s">
        <v>1025</v>
      </c>
      <c r="AB602">
        <v>1</v>
      </c>
    </row>
    <row r="603" spans="1:28">
      <c r="A603">
        <v>1</v>
      </c>
      <c r="B603" t="s">
        <v>692</v>
      </c>
      <c r="C603" t="s">
        <v>2345</v>
      </c>
      <c r="D603" t="s">
        <v>2346</v>
      </c>
      <c r="E603" t="s">
        <v>1429</v>
      </c>
      <c r="F603" t="s">
        <v>1430</v>
      </c>
      <c r="G603">
        <v>8150.3785999999991</v>
      </c>
      <c r="H603">
        <v>293413.62959999999</v>
      </c>
      <c r="I603">
        <v>8956.4599999999991</v>
      </c>
      <c r="J603">
        <v>322432.55999999994</v>
      </c>
      <c r="K603">
        <v>9672.17</v>
      </c>
      <c r="L603">
        <v>348198.12</v>
      </c>
      <c r="M603">
        <v>45616</v>
      </c>
      <c r="O603" t="s">
        <v>326</v>
      </c>
      <c r="P603" t="s">
        <v>127</v>
      </c>
      <c r="Q603" t="s">
        <v>140</v>
      </c>
      <c r="R603" t="s">
        <v>2446</v>
      </c>
      <c r="S603" t="s">
        <v>2444</v>
      </c>
      <c r="T603" t="s">
        <v>2445</v>
      </c>
      <c r="U603">
        <v>36</v>
      </c>
      <c r="V603" t="s">
        <v>357</v>
      </c>
      <c r="W603" t="s">
        <v>141</v>
      </c>
      <c r="X603" t="s">
        <v>142</v>
      </c>
      <c r="Y603">
        <v>11611</v>
      </c>
      <c r="Z603">
        <v>11612</v>
      </c>
      <c r="AA603" t="s">
        <v>1025</v>
      </c>
      <c r="AB603">
        <v>1</v>
      </c>
    </row>
    <row r="604" spans="1:28">
      <c r="A604">
        <v>2</v>
      </c>
      <c r="B604" t="s">
        <v>784</v>
      </c>
      <c r="C604" t="s">
        <v>2319</v>
      </c>
      <c r="D604" t="s">
        <v>2320</v>
      </c>
      <c r="E604" t="s">
        <v>2414</v>
      </c>
      <c r="F604" t="s">
        <v>1487</v>
      </c>
      <c r="G604">
        <v>15699.547500000001</v>
      </c>
      <c r="H604">
        <v>565183.71</v>
      </c>
      <c r="I604">
        <v>17252.25</v>
      </c>
      <c r="J604">
        <v>621081</v>
      </c>
      <c r="K604">
        <v>18648.650000000001</v>
      </c>
      <c r="L604">
        <v>671351.4</v>
      </c>
      <c r="M604">
        <v>45616</v>
      </c>
      <c r="O604" t="s">
        <v>326</v>
      </c>
      <c r="P604" t="s">
        <v>127</v>
      </c>
      <c r="Q604" t="s">
        <v>140</v>
      </c>
      <c r="R604" t="s">
        <v>2446</v>
      </c>
      <c r="S604" t="s">
        <v>2444</v>
      </c>
      <c r="T604" t="s">
        <v>2445</v>
      </c>
      <c r="U604">
        <v>36</v>
      </c>
      <c r="V604" t="s">
        <v>357</v>
      </c>
      <c r="W604" t="s">
        <v>141</v>
      </c>
      <c r="X604" t="s">
        <v>142</v>
      </c>
      <c r="Y604">
        <v>11611</v>
      </c>
      <c r="Z604">
        <v>11612</v>
      </c>
      <c r="AA604" t="s">
        <v>1025</v>
      </c>
      <c r="AB604">
        <v>1</v>
      </c>
    </row>
  </sheetData>
  <phoneticPr fontId="11" type="noConversion"/>
  <conditionalFormatting sqref="E1:E1048576">
    <cfRule type="duplicateValues" dxfId="34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9FB-0599-423E-98D5-A7707B80244B}">
  <sheetPr>
    <tabColor rgb="FF00B050"/>
  </sheetPr>
  <dimension ref="A1:AF608"/>
  <sheetViews>
    <sheetView topLeftCell="A136" workbookViewId="0">
      <selection activeCell="E27" sqref="E27"/>
    </sheetView>
  </sheetViews>
  <sheetFormatPr defaultRowHeight="15"/>
  <cols>
    <col min="1" max="1" width="21.5703125" bestFit="1" customWidth="1"/>
    <col min="2" max="2" width="6.140625" bestFit="1" customWidth="1"/>
    <col min="3" max="3" width="12" bestFit="1" customWidth="1"/>
    <col min="4" max="4" width="13.5703125" bestFit="1" customWidth="1"/>
    <col min="5" max="5" width="46.85546875" bestFit="1" customWidth="1"/>
    <col min="6" max="6" width="9.85546875" bestFit="1" customWidth="1"/>
    <col min="7" max="7" width="18" bestFit="1" customWidth="1"/>
    <col min="8" max="8" width="22.5703125" bestFit="1" customWidth="1"/>
    <col min="9" max="9" width="21.7109375" bestFit="1" customWidth="1"/>
    <col min="10" max="10" width="21.42578125" bestFit="1" customWidth="1"/>
    <col min="11" max="11" width="54.7109375" bestFit="1" customWidth="1"/>
    <col min="12" max="12" width="22.7109375" bestFit="1" customWidth="1"/>
    <col min="13" max="13" width="22.85546875" bestFit="1" customWidth="1"/>
    <col min="14" max="14" width="25.7109375" bestFit="1" customWidth="1"/>
    <col min="15" max="15" width="25.85546875" bestFit="1" customWidth="1"/>
    <col min="16" max="16" width="26.140625" bestFit="1" customWidth="1"/>
    <col min="17" max="17" width="26.28515625" bestFit="1" customWidth="1"/>
    <col min="18" max="18" width="20.7109375" bestFit="1" customWidth="1"/>
    <col min="19" max="19" width="19.140625" bestFit="1" customWidth="1"/>
    <col min="20" max="20" width="20.28515625" bestFit="1" customWidth="1"/>
    <col min="21" max="21" width="14.85546875" bestFit="1" customWidth="1"/>
    <col min="22" max="22" width="12.85546875" bestFit="1" customWidth="1"/>
    <col min="23" max="23" width="17.7109375" bestFit="1" customWidth="1"/>
    <col min="24" max="24" width="17.5703125" bestFit="1" customWidth="1"/>
    <col min="25" max="25" width="19.5703125" bestFit="1" customWidth="1"/>
    <col min="26" max="26" width="19.7109375" bestFit="1" customWidth="1"/>
    <col min="27" max="27" width="10.28515625" bestFit="1" customWidth="1"/>
    <col min="28" max="28" width="6" bestFit="1" customWidth="1"/>
    <col min="29" max="29" width="11.7109375" bestFit="1" customWidth="1"/>
    <col min="30" max="30" width="13.85546875" bestFit="1" customWidth="1"/>
    <col min="31" max="32" width="11.28515625" bestFit="1" customWidth="1"/>
  </cols>
  <sheetData>
    <row r="1" spans="1:32">
      <c r="A1" t="s">
        <v>144</v>
      </c>
      <c r="B1" t="s">
        <v>12</v>
      </c>
      <c r="C1" t="s">
        <v>1</v>
      </c>
      <c r="D1" t="s">
        <v>9</v>
      </c>
      <c r="E1" t="s">
        <v>8</v>
      </c>
      <c r="F1" t="s">
        <v>5</v>
      </c>
      <c r="G1" t="s">
        <v>13</v>
      </c>
      <c r="H1" t="s">
        <v>37</v>
      </c>
      <c r="I1" t="s">
        <v>324</v>
      </c>
      <c r="J1" t="s">
        <v>30</v>
      </c>
      <c r="K1" t="s">
        <v>22</v>
      </c>
      <c r="L1" t="s">
        <v>41</v>
      </c>
      <c r="M1" t="s">
        <v>40</v>
      </c>
      <c r="N1" t="s">
        <v>132</v>
      </c>
      <c r="O1" t="s">
        <v>133</v>
      </c>
      <c r="P1" t="s">
        <v>136</v>
      </c>
      <c r="Q1" t="s">
        <v>137</v>
      </c>
      <c r="R1" t="s">
        <v>118</v>
      </c>
      <c r="S1" t="s">
        <v>119</v>
      </c>
      <c r="T1" t="s">
        <v>122</v>
      </c>
      <c r="U1" t="s">
        <v>123</v>
      </c>
      <c r="V1" t="s">
        <v>120</v>
      </c>
      <c r="W1" t="s">
        <v>143</v>
      </c>
      <c r="X1" t="s">
        <v>2460</v>
      </c>
      <c r="Y1" t="s">
        <v>124</v>
      </c>
      <c r="Z1" t="s">
        <v>325</v>
      </c>
      <c r="AA1" t="s">
        <v>125</v>
      </c>
      <c r="AB1" t="s">
        <v>126</v>
      </c>
      <c r="AC1" t="s">
        <v>128</v>
      </c>
      <c r="AD1" t="s">
        <v>129</v>
      </c>
      <c r="AE1" t="s">
        <v>130</v>
      </c>
      <c r="AF1" t="s">
        <v>121</v>
      </c>
    </row>
    <row r="2" spans="1:32">
      <c r="A2">
        <v>1</v>
      </c>
      <c r="B2">
        <v>1</v>
      </c>
      <c r="D2" t="s">
        <v>2458</v>
      </c>
      <c r="E2" t="s">
        <v>2863</v>
      </c>
      <c r="F2">
        <v>36</v>
      </c>
      <c r="G2" t="s">
        <v>357</v>
      </c>
      <c r="H2" t="s">
        <v>2518</v>
      </c>
      <c r="I2" t="s">
        <v>2159</v>
      </c>
      <c r="J2" t="s">
        <v>1041</v>
      </c>
      <c r="K2" t="s">
        <v>1042</v>
      </c>
      <c r="L2">
        <v>7560</v>
      </c>
      <c r="M2">
        <v>272160</v>
      </c>
      <c r="N2">
        <v>8400</v>
      </c>
      <c r="O2">
        <v>302400</v>
      </c>
      <c r="P2">
        <v>8400</v>
      </c>
      <c r="Q2">
        <v>302400</v>
      </c>
      <c r="R2" s="49">
        <v>45616</v>
      </c>
      <c r="T2" t="s">
        <v>2468</v>
      </c>
      <c r="U2" t="s">
        <v>127</v>
      </c>
      <c r="V2" t="s">
        <v>140</v>
      </c>
      <c r="W2">
        <v>10060</v>
      </c>
      <c r="X2" t="s">
        <v>1026</v>
      </c>
      <c r="Y2" t="s">
        <v>2465</v>
      </c>
      <c r="Z2" t="s">
        <v>2466</v>
      </c>
      <c r="AA2" t="s">
        <v>141</v>
      </c>
      <c r="AB2" t="s">
        <v>142</v>
      </c>
      <c r="AC2">
        <v>11611</v>
      </c>
      <c r="AD2">
        <v>11612</v>
      </c>
      <c r="AE2">
        <v>108</v>
      </c>
      <c r="AF2">
        <v>1</v>
      </c>
    </row>
    <row r="3" spans="1:32">
      <c r="A3">
        <v>1</v>
      </c>
      <c r="B3">
        <v>2</v>
      </c>
      <c r="D3" t="s">
        <v>2458</v>
      </c>
      <c r="E3" t="s">
        <v>2864</v>
      </c>
      <c r="F3">
        <v>36</v>
      </c>
      <c r="G3" t="s">
        <v>357</v>
      </c>
      <c r="H3" t="s">
        <v>2518</v>
      </c>
      <c r="I3" t="s">
        <v>2159</v>
      </c>
      <c r="J3" t="s">
        <v>1043</v>
      </c>
      <c r="K3" t="s">
        <v>1044</v>
      </c>
      <c r="L3">
        <v>7560</v>
      </c>
      <c r="M3">
        <v>272160</v>
      </c>
      <c r="N3">
        <v>8400</v>
      </c>
      <c r="O3">
        <v>302400</v>
      </c>
      <c r="P3">
        <v>8400</v>
      </c>
      <c r="Q3">
        <v>302400</v>
      </c>
      <c r="R3" s="49"/>
      <c r="T3" t="s">
        <v>2468</v>
      </c>
      <c r="U3" t="s">
        <v>127</v>
      </c>
      <c r="V3" t="s">
        <v>140</v>
      </c>
      <c r="W3">
        <v>10150</v>
      </c>
      <c r="X3" t="s">
        <v>2464</v>
      </c>
      <c r="Y3" t="s">
        <v>2465</v>
      </c>
      <c r="Z3" t="s">
        <v>2466</v>
      </c>
      <c r="AA3" t="s">
        <v>141</v>
      </c>
      <c r="AB3" t="s">
        <v>142</v>
      </c>
      <c r="AC3">
        <v>11611</v>
      </c>
      <c r="AD3">
        <v>11612</v>
      </c>
      <c r="AE3">
        <v>108</v>
      </c>
      <c r="AF3">
        <v>1</v>
      </c>
    </row>
    <row r="4" spans="1:32">
      <c r="A4">
        <v>1</v>
      </c>
      <c r="E4" t="s">
        <v>2865</v>
      </c>
      <c r="F4">
        <v>36</v>
      </c>
      <c r="G4" t="s">
        <v>357</v>
      </c>
      <c r="H4" t="s">
        <v>2518</v>
      </c>
      <c r="I4" t="s">
        <v>2159</v>
      </c>
      <c r="J4" t="s">
        <v>1045</v>
      </c>
      <c r="K4" t="s">
        <v>1046</v>
      </c>
      <c r="L4">
        <v>0</v>
      </c>
      <c r="M4">
        <v>0</v>
      </c>
      <c r="O4">
        <v>0</v>
      </c>
      <c r="P4">
        <v>0</v>
      </c>
      <c r="Q4">
        <v>0</v>
      </c>
      <c r="R4" s="49"/>
      <c r="T4" t="s">
        <v>2468</v>
      </c>
      <c r="U4" t="s">
        <v>127</v>
      </c>
      <c r="V4" t="s">
        <v>140</v>
      </c>
      <c r="W4">
        <v>60</v>
      </c>
      <c r="X4" t="s">
        <v>1026</v>
      </c>
      <c r="AA4" t="s">
        <v>141</v>
      </c>
      <c r="AB4" t="s">
        <v>142</v>
      </c>
      <c r="AC4">
        <v>11611</v>
      </c>
      <c r="AD4">
        <v>11612</v>
      </c>
      <c r="AF4">
        <v>1</v>
      </c>
    </row>
    <row r="5" spans="1:32">
      <c r="A5">
        <v>1</v>
      </c>
      <c r="E5" t="s">
        <v>2866</v>
      </c>
      <c r="F5">
        <v>36</v>
      </c>
      <c r="G5" t="s">
        <v>357</v>
      </c>
      <c r="H5" t="s">
        <v>2518</v>
      </c>
      <c r="I5" t="s">
        <v>2159</v>
      </c>
      <c r="J5" t="s">
        <v>1047</v>
      </c>
      <c r="K5" t="s">
        <v>1048</v>
      </c>
      <c r="L5">
        <v>0</v>
      </c>
      <c r="M5">
        <v>0</v>
      </c>
      <c r="O5">
        <v>0</v>
      </c>
      <c r="P5">
        <v>0</v>
      </c>
      <c r="Q5">
        <v>0</v>
      </c>
      <c r="R5" s="49"/>
      <c r="T5" t="s">
        <v>2468</v>
      </c>
      <c r="U5" t="s">
        <v>127</v>
      </c>
      <c r="V5" t="s">
        <v>140</v>
      </c>
      <c r="W5">
        <v>150</v>
      </c>
      <c r="X5" t="s">
        <v>2464</v>
      </c>
      <c r="AA5" t="s">
        <v>141</v>
      </c>
      <c r="AB5" t="s">
        <v>142</v>
      </c>
      <c r="AC5">
        <v>11611</v>
      </c>
      <c r="AD5">
        <v>11612</v>
      </c>
      <c r="AF5">
        <v>1</v>
      </c>
    </row>
    <row r="6" spans="1:32">
      <c r="A6">
        <v>1</v>
      </c>
      <c r="E6" t="s">
        <v>2867</v>
      </c>
      <c r="F6">
        <v>36</v>
      </c>
      <c r="G6" t="s">
        <v>357</v>
      </c>
      <c r="H6" t="s">
        <v>2518</v>
      </c>
      <c r="I6" t="s">
        <v>2159</v>
      </c>
      <c r="J6" t="s">
        <v>1049</v>
      </c>
      <c r="K6" t="s">
        <v>1050</v>
      </c>
      <c r="L6">
        <v>0</v>
      </c>
      <c r="M6">
        <v>0</v>
      </c>
      <c r="O6">
        <v>0</v>
      </c>
      <c r="P6">
        <v>0</v>
      </c>
      <c r="Q6">
        <v>0</v>
      </c>
      <c r="R6" s="49"/>
      <c r="T6" t="s">
        <v>2468</v>
      </c>
      <c r="U6" t="s">
        <v>127</v>
      </c>
      <c r="V6" t="s">
        <v>140</v>
      </c>
      <c r="W6">
        <v>60</v>
      </c>
      <c r="X6" t="s">
        <v>1026</v>
      </c>
      <c r="AA6" t="s">
        <v>141</v>
      </c>
      <c r="AB6" t="s">
        <v>142</v>
      </c>
      <c r="AC6">
        <v>11611</v>
      </c>
      <c r="AD6">
        <v>11612</v>
      </c>
      <c r="AF6">
        <v>1</v>
      </c>
    </row>
    <row r="7" spans="1:32">
      <c r="A7">
        <v>1</v>
      </c>
      <c r="E7" t="s">
        <v>2868</v>
      </c>
      <c r="F7">
        <v>36</v>
      </c>
      <c r="G7" t="s">
        <v>357</v>
      </c>
      <c r="H7" t="s">
        <v>2518</v>
      </c>
      <c r="I7" t="s">
        <v>2159</v>
      </c>
      <c r="J7" t="s">
        <v>1051</v>
      </c>
      <c r="K7" t="s">
        <v>1052</v>
      </c>
      <c r="L7">
        <v>0</v>
      </c>
      <c r="M7">
        <v>0</v>
      </c>
      <c r="O7">
        <v>0</v>
      </c>
      <c r="P7">
        <v>0</v>
      </c>
      <c r="Q7">
        <v>0</v>
      </c>
      <c r="R7" s="49"/>
      <c r="T7" t="s">
        <v>2468</v>
      </c>
      <c r="U7" t="s">
        <v>127</v>
      </c>
      <c r="V7" t="s">
        <v>140</v>
      </c>
      <c r="W7">
        <v>150</v>
      </c>
      <c r="X7" t="s">
        <v>2464</v>
      </c>
      <c r="AA7" t="s">
        <v>141</v>
      </c>
      <c r="AB7" t="s">
        <v>142</v>
      </c>
      <c r="AC7">
        <v>11611</v>
      </c>
      <c r="AD7">
        <v>11612</v>
      </c>
      <c r="AF7">
        <v>1</v>
      </c>
    </row>
    <row r="8" spans="1:32">
      <c r="A8">
        <v>1</v>
      </c>
      <c r="E8" t="s">
        <v>2869</v>
      </c>
      <c r="F8">
        <v>36</v>
      </c>
      <c r="G8" t="s">
        <v>357</v>
      </c>
      <c r="H8" t="s">
        <v>2526</v>
      </c>
      <c r="I8" t="s">
        <v>2302</v>
      </c>
      <c r="J8" t="s">
        <v>1053</v>
      </c>
      <c r="K8" t="s">
        <v>1054</v>
      </c>
      <c r="L8">
        <v>0</v>
      </c>
      <c r="M8">
        <v>0</v>
      </c>
      <c r="O8">
        <v>0</v>
      </c>
      <c r="P8">
        <v>0</v>
      </c>
      <c r="Q8">
        <v>0</v>
      </c>
      <c r="R8" s="49"/>
      <c r="T8" t="s">
        <v>2468</v>
      </c>
      <c r="U8" t="s">
        <v>127</v>
      </c>
      <c r="V8" t="s">
        <v>140</v>
      </c>
      <c r="W8">
        <v>60</v>
      </c>
      <c r="X8" t="s">
        <v>1026</v>
      </c>
      <c r="AA8" t="s">
        <v>141</v>
      </c>
      <c r="AB8" t="s">
        <v>142</v>
      </c>
      <c r="AC8">
        <v>11611</v>
      </c>
      <c r="AD8">
        <v>11612</v>
      </c>
      <c r="AF8">
        <v>1</v>
      </c>
    </row>
    <row r="9" spans="1:32">
      <c r="A9">
        <v>1</v>
      </c>
      <c r="E9" t="s">
        <v>2870</v>
      </c>
      <c r="F9">
        <v>36</v>
      </c>
      <c r="G9" t="s">
        <v>357</v>
      </c>
      <c r="H9" t="s">
        <v>2526</v>
      </c>
      <c r="I9" t="s">
        <v>2302</v>
      </c>
      <c r="J9" t="s">
        <v>1055</v>
      </c>
      <c r="K9" t="s">
        <v>1056</v>
      </c>
      <c r="L9">
        <v>0</v>
      </c>
      <c r="M9">
        <v>0</v>
      </c>
      <c r="O9">
        <v>0</v>
      </c>
      <c r="P9">
        <v>0</v>
      </c>
      <c r="Q9">
        <v>0</v>
      </c>
      <c r="R9" s="49"/>
      <c r="T9" t="s">
        <v>2468</v>
      </c>
      <c r="U9" t="s">
        <v>127</v>
      </c>
      <c r="V9" t="s">
        <v>140</v>
      </c>
      <c r="W9">
        <v>150</v>
      </c>
      <c r="X9" t="s">
        <v>2464</v>
      </c>
      <c r="AA9" t="s">
        <v>141</v>
      </c>
      <c r="AB9" t="s">
        <v>142</v>
      </c>
      <c r="AC9">
        <v>11611</v>
      </c>
      <c r="AD9">
        <v>11612</v>
      </c>
      <c r="AF9">
        <v>1</v>
      </c>
    </row>
    <row r="10" spans="1:32">
      <c r="A10">
        <v>1</v>
      </c>
      <c r="E10" t="s">
        <v>2871</v>
      </c>
      <c r="F10">
        <v>36</v>
      </c>
      <c r="G10" t="s">
        <v>357</v>
      </c>
      <c r="H10" t="s">
        <v>2526</v>
      </c>
      <c r="I10" t="s">
        <v>2302</v>
      </c>
      <c r="J10" t="s">
        <v>1057</v>
      </c>
      <c r="K10" t="s">
        <v>1058</v>
      </c>
      <c r="L10">
        <v>0</v>
      </c>
      <c r="M10">
        <v>0</v>
      </c>
      <c r="O10">
        <v>0</v>
      </c>
      <c r="P10">
        <v>0</v>
      </c>
      <c r="Q10">
        <v>0</v>
      </c>
      <c r="R10" s="49"/>
      <c r="T10" t="s">
        <v>2468</v>
      </c>
      <c r="U10" t="s">
        <v>127</v>
      </c>
      <c r="V10" t="s">
        <v>140</v>
      </c>
      <c r="W10">
        <v>60</v>
      </c>
      <c r="X10" t="s">
        <v>1026</v>
      </c>
      <c r="AA10" t="s">
        <v>141</v>
      </c>
      <c r="AB10" t="s">
        <v>142</v>
      </c>
      <c r="AC10">
        <v>11611</v>
      </c>
      <c r="AD10">
        <v>11612</v>
      </c>
      <c r="AF10">
        <v>1</v>
      </c>
    </row>
    <row r="11" spans="1:32">
      <c r="A11">
        <v>1</v>
      </c>
      <c r="E11" t="s">
        <v>2872</v>
      </c>
      <c r="F11">
        <v>36</v>
      </c>
      <c r="G11" t="s">
        <v>357</v>
      </c>
      <c r="H11" t="s">
        <v>2526</v>
      </c>
      <c r="I11" t="s">
        <v>2302</v>
      </c>
      <c r="J11" t="s">
        <v>1059</v>
      </c>
      <c r="K11" t="s">
        <v>1060</v>
      </c>
      <c r="L11">
        <v>0</v>
      </c>
      <c r="M11">
        <v>0</v>
      </c>
      <c r="O11">
        <v>0</v>
      </c>
      <c r="P11">
        <v>0</v>
      </c>
      <c r="Q11">
        <v>0</v>
      </c>
      <c r="R11" s="49"/>
      <c r="T11" t="s">
        <v>2468</v>
      </c>
      <c r="U11" t="s">
        <v>127</v>
      </c>
      <c r="V11" t="s">
        <v>140</v>
      </c>
      <c r="W11">
        <v>150</v>
      </c>
      <c r="X11" t="s">
        <v>2464</v>
      </c>
      <c r="AA11" t="s">
        <v>141</v>
      </c>
      <c r="AB11" t="s">
        <v>142</v>
      </c>
      <c r="AC11">
        <v>11611</v>
      </c>
      <c r="AD11">
        <v>11612</v>
      </c>
      <c r="AF11">
        <v>1</v>
      </c>
    </row>
    <row r="12" spans="1:32">
      <c r="A12">
        <v>1</v>
      </c>
      <c r="E12" t="s">
        <v>2873</v>
      </c>
      <c r="F12">
        <v>36</v>
      </c>
      <c r="G12" t="s">
        <v>357</v>
      </c>
      <c r="H12" t="s">
        <v>2874</v>
      </c>
      <c r="I12" t="s">
        <v>2304</v>
      </c>
      <c r="J12" t="s">
        <v>1061</v>
      </c>
      <c r="K12" t="s">
        <v>2830</v>
      </c>
      <c r="L12">
        <v>0</v>
      </c>
      <c r="M12">
        <v>0</v>
      </c>
      <c r="O12">
        <v>0</v>
      </c>
      <c r="P12">
        <v>0</v>
      </c>
      <c r="Q12">
        <v>0</v>
      </c>
      <c r="R12" s="49"/>
      <c r="T12" t="s">
        <v>2468</v>
      </c>
      <c r="U12" t="s">
        <v>127</v>
      </c>
      <c r="V12" t="s">
        <v>140</v>
      </c>
      <c r="W12">
        <v>150</v>
      </c>
      <c r="X12" t="s">
        <v>2464</v>
      </c>
      <c r="AA12" t="s">
        <v>141</v>
      </c>
      <c r="AB12" t="s">
        <v>142</v>
      </c>
      <c r="AC12">
        <v>11611</v>
      </c>
      <c r="AD12">
        <v>11612</v>
      </c>
      <c r="AF12">
        <v>1</v>
      </c>
    </row>
    <row r="13" spans="1:32">
      <c r="A13">
        <v>1</v>
      </c>
      <c r="E13" t="s">
        <v>2875</v>
      </c>
      <c r="F13">
        <v>36</v>
      </c>
      <c r="G13" t="s">
        <v>357</v>
      </c>
      <c r="H13" t="s">
        <v>2874</v>
      </c>
      <c r="I13" t="s">
        <v>2304</v>
      </c>
      <c r="J13" t="s">
        <v>1063</v>
      </c>
      <c r="K13" t="s">
        <v>1064</v>
      </c>
      <c r="L13">
        <v>0</v>
      </c>
      <c r="M13">
        <v>0</v>
      </c>
      <c r="O13">
        <v>0</v>
      </c>
      <c r="P13">
        <v>0</v>
      </c>
      <c r="Q13">
        <v>0</v>
      </c>
      <c r="R13" s="49"/>
      <c r="T13" t="s">
        <v>2468</v>
      </c>
      <c r="U13" t="s">
        <v>127</v>
      </c>
      <c r="V13" t="s">
        <v>140</v>
      </c>
      <c r="W13">
        <v>150</v>
      </c>
      <c r="X13" t="s">
        <v>2464</v>
      </c>
      <c r="AA13" t="s">
        <v>141</v>
      </c>
      <c r="AB13" t="s">
        <v>142</v>
      </c>
      <c r="AC13">
        <v>11611</v>
      </c>
      <c r="AD13">
        <v>11612</v>
      </c>
      <c r="AF13">
        <v>1</v>
      </c>
    </row>
    <row r="14" spans="1:32">
      <c r="A14">
        <v>1</v>
      </c>
      <c r="E14" t="s">
        <v>2876</v>
      </c>
      <c r="F14">
        <v>100</v>
      </c>
      <c r="G14" t="s">
        <v>1023</v>
      </c>
      <c r="H14" t="s">
        <v>2529</v>
      </c>
      <c r="I14" t="s">
        <v>2300</v>
      </c>
      <c r="J14" t="s">
        <v>1065</v>
      </c>
      <c r="K14" t="s">
        <v>1066</v>
      </c>
      <c r="L14">
        <v>0</v>
      </c>
      <c r="M14">
        <v>0</v>
      </c>
      <c r="O14">
        <v>0</v>
      </c>
      <c r="P14">
        <v>0</v>
      </c>
      <c r="Q14">
        <v>0</v>
      </c>
      <c r="R14" s="49"/>
      <c r="T14" t="s">
        <v>2468</v>
      </c>
      <c r="U14" t="s">
        <v>127</v>
      </c>
      <c r="V14" t="s">
        <v>140</v>
      </c>
      <c r="W14">
        <v>0</v>
      </c>
      <c r="X14">
        <v>0</v>
      </c>
      <c r="AA14" t="s">
        <v>141</v>
      </c>
      <c r="AB14" t="s">
        <v>142</v>
      </c>
      <c r="AC14">
        <v>11611</v>
      </c>
      <c r="AD14">
        <v>11612</v>
      </c>
      <c r="AF14">
        <v>1</v>
      </c>
    </row>
    <row r="15" spans="1:32">
      <c r="A15">
        <v>1</v>
      </c>
      <c r="E15" t="s">
        <v>2877</v>
      </c>
      <c r="F15">
        <v>100</v>
      </c>
      <c r="G15" t="s">
        <v>1023</v>
      </c>
      <c r="H15" t="s">
        <v>2529</v>
      </c>
      <c r="I15" t="s">
        <v>2300</v>
      </c>
      <c r="J15" t="s">
        <v>1067</v>
      </c>
      <c r="K15" t="s">
        <v>1068</v>
      </c>
      <c r="L15">
        <v>0</v>
      </c>
      <c r="M15">
        <v>0</v>
      </c>
      <c r="O15">
        <v>0</v>
      </c>
      <c r="P15">
        <v>0</v>
      </c>
      <c r="Q15">
        <v>0</v>
      </c>
      <c r="R15" s="49"/>
      <c r="T15" t="s">
        <v>2468</v>
      </c>
      <c r="U15" t="s">
        <v>127</v>
      </c>
      <c r="V15" t="s">
        <v>140</v>
      </c>
      <c r="W15">
        <v>0</v>
      </c>
      <c r="X15">
        <v>0</v>
      </c>
      <c r="AA15" t="s">
        <v>141</v>
      </c>
      <c r="AB15" t="s">
        <v>142</v>
      </c>
      <c r="AC15">
        <v>11611</v>
      </c>
      <c r="AD15">
        <v>11612</v>
      </c>
      <c r="AF15">
        <v>1</v>
      </c>
    </row>
    <row r="16" spans="1:32">
      <c r="A16">
        <v>1</v>
      </c>
      <c r="E16" t="s">
        <v>2878</v>
      </c>
      <c r="F16">
        <v>100</v>
      </c>
      <c r="G16" t="s">
        <v>1023</v>
      </c>
      <c r="H16" t="s">
        <v>2529</v>
      </c>
      <c r="I16" t="s">
        <v>2300</v>
      </c>
      <c r="J16" t="s">
        <v>1069</v>
      </c>
      <c r="K16" t="s">
        <v>1070</v>
      </c>
      <c r="L16">
        <v>0</v>
      </c>
      <c r="M16">
        <v>0</v>
      </c>
      <c r="O16">
        <v>0</v>
      </c>
      <c r="P16">
        <v>0</v>
      </c>
      <c r="Q16">
        <v>0</v>
      </c>
      <c r="R16" s="49"/>
      <c r="T16" t="s">
        <v>2468</v>
      </c>
      <c r="U16" t="s">
        <v>127</v>
      </c>
      <c r="V16" t="s">
        <v>140</v>
      </c>
      <c r="W16">
        <v>0</v>
      </c>
      <c r="X16">
        <v>0</v>
      </c>
      <c r="AA16" t="s">
        <v>141</v>
      </c>
      <c r="AB16" t="s">
        <v>142</v>
      </c>
      <c r="AC16">
        <v>11611</v>
      </c>
      <c r="AD16">
        <v>11612</v>
      </c>
      <c r="AF16">
        <v>1</v>
      </c>
    </row>
    <row r="17" spans="1:32">
      <c r="A17">
        <v>1</v>
      </c>
      <c r="E17" t="s">
        <v>2879</v>
      </c>
      <c r="F17">
        <v>100</v>
      </c>
      <c r="G17" t="s">
        <v>1023</v>
      </c>
      <c r="H17" t="s">
        <v>2529</v>
      </c>
      <c r="I17" t="s">
        <v>2300</v>
      </c>
      <c r="J17" t="s">
        <v>1071</v>
      </c>
      <c r="K17" t="s">
        <v>1072</v>
      </c>
      <c r="L17">
        <v>0</v>
      </c>
      <c r="M17">
        <v>0</v>
      </c>
      <c r="O17">
        <v>0</v>
      </c>
      <c r="P17">
        <v>0</v>
      </c>
      <c r="Q17">
        <v>0</v>
      </c>
      <c r="R17" s="49"/>
      <c r="T17" t="s">
        <v>2468</v>
      </c>
      <c r="U17" t="s">
        <v>127</v>
      </c>
      <c r="V17" t="s">
        <v>140</v>
      </c>
      <c r="W17">
        <v>0</v>
      </c>
      <c r="X17">
        <v>0</v>
      </c>
      <c r="AA17" t="s">
        <v>141</v>
      </c>
      <c r="AB17" t="s">
        <v>142</v>
      </c>
      <c r="AC17">
        <v>11611</v>
      </c>
      <c r="AD17">
        <v>11612</v>
      </c>
      <c r="AF17">
        <v>1</v>
      </c>
    </row>
    <row r="18" spans="1:32">
      <c r="A18">
        <v>1</v>
      </c>
      <c r="E18" t="s">
        <v>2880</v>
      </c>
      <c r="F18">
        <v>100</v>
      </c>
      <c r="G18" t="s">
        <v>1023</v>
      </c>
      <c r="H18" t="s">
        <v>2529</v>
      </c>
      <c r="I18" t="s">
        <v>2300</v>
      </c>
      <c r="J18" t="s">
        <v>1073</v>
      </c>
      <c r="K18" t="s">
        <v>1074</v>
      </c>
      <c r="L18">
        <v>0</v>
      </c>
      <c r="M18">
        <v>0</v>
      </c>
      <c r="O18">
        <v>0</v>
      </c>
      <c r="P18">
        <v>0</v>
      </c>
      <c r="Q18">
        <v>0</v>
      </c>
      <c r="R18" s="49"/>
      <c r="T18" t="s">
        <v>2468</v>
      </c>
      <c r="U18" t="s">
        <v>127</v>
      </c>
      <c r="V18" t="s">
        <v>140</v>
      </c>
      <c r="W18">
        <v>0</v>
      </c>
      <c r="X18">
        <v>0</v>
      </c>
      <c r="AA18" t="s">
        <v>141</v>
      </c>
      <c r="AB18" t="s">
        <v>142</v>
      </c>
      <c r="AC18">
        <v>11611</v>
      </c>
      <c r="AD18">
        <v>11612</v>
      </c>
      <c r="AF18">
        <v>1</v>
      </c>
    </row>
    <row r="19" spans="1:32">
      <c r="A19">
        <v>1</v>
      </c>
      <c r="E19" t="s">
        <v>2881</v>
      </c>
      <c r="F19">
        <v>100</v>
      </c>
      <c r="G19" t="s">
        <v>1023</v>
      </c>
      <c r="H19" t="s">
        <v>2529</v>
      </c>
      <c r="I19" t="s">
        <v>2300</v>
      </c>
      <c r="J19" t="s">
        <v>1075</v>
      </c>
      <c r="K19" t="s">
        <v>2831</v>
      </c>
      <c r="L19">
        <v>0</v>
      </c>
      <c r="M19">
        <v>0</v>
      </c>
      <c r="O19">
        <v>0</v>
      </c>
      <c r="P19">
        <v>0</v>
      </c>
      <c r="Q19">
        <v>0</v>
      </c>
      <c r="R19" s="49"/>
      <c r="T19" t="s">
        <v>2468</v>
      </c>
      <c r="U19" t="s">
        <v>127</v>
      </c>
      <c r="V19" t="s">
        <v>140</v>
      </c>
      <c r="W19">
        <v>0</v>
      </c>
      <c r="X19">
        <v>0</v>
      </c>
      <c r="AA19" t="s">
        <v>141</v>
      </c>
      <c r="AB19" t="s">
        <v>142</v>
      </c>
      <c r="AC19">
        <v>11611</v>
      </c>
      <c r="AD19">
        <v>11612</v>
      </c>
      <c r="AF19">
        <v>1</v>
      </c>
    </row>
    <row r="20" spans="1:32">
      <c r="A20">
        <v>1</v>
      </c>
      <c r="E20" t="s">
        <v>2882</v>
      </c>
      <c r="F20">
        <v>100</v>
      </c>
      <c r="G20" t="s">
        <v>1023</v>
      </c>
      <c r="H20" t="s">
        <v>2529</v>
      </c>
      <c r="I20" t="s">
        <v>2300</v>
      </c>
      <c r="J20" t="s">
        <v>1077</v>
      </c>
      <c r="K20" t="s">
        <v>1078</v>
      </c>
      <c r="L20">
        <v>0</v>
      </c>
      <c r="M20">
        <v>0</v>
      </c>
      <c r="O20">
        <v>0</v>
      </c>
      <c r="P20">
        <v>0</v>
      </c>
      <c r="Q20">
        <v>0</v>
      </c>
      <c r="R20" s="49"/>
      <c r="T20" t="s">
        <v>2468</v>
      </c>
      <c r="U20" t="s">
        <v>127</v>
      </c>
      <c r="V20" t="s">
        <v>140</v>
      </c>
      <c r="W20">
        <v>0</v>
      </c>
      <c r="X20">
        <v>0</v>
      </c>
      <c r="AA20" t="s">
        <v>141</v>
      </c>
      <c r="AB20" t="s">
        <v>142</v>
      </c>
      <c r="AC20">
        <v>11611</v>
      </c>
      <c r="AD20">
        <v>11612</v>
      </c>
      <c r="AF20">
        <v>1</v>
      </c>
    </row>
    <row r="21" spans="1:32">
      <c r="A21">
        <v>1</v>
      </c>
      <c r="E21" t="s">
        <v>2883</v>
      </c>
      <c r="F21">
        <v>100</v>
      </c>
      <c r="G21" t="s">
        <v>1023</v>
      </c>
      <c r="H21" t="s">
        <v>2529</v>
      </c>
      <c r="I21" t="s">
        <v>2300</v>
      </c>
      <c r="J21" t="s">
        <v>1079</v>
      </c>
      <c r="K21" t="s">
        <v>1080</v>
      </c>
      <c r="L21">
        <v>0</v>
      </c>
      <c r="M21">
        <v>0</v>
      </c>
      <c r="O21">
        <v>0</v>
      </c>
      <c r="P21">
        <v>0</v>
      </c>
      <c r="Q21">
        <v>0</v>
      </c>
      <c r="R21" s="49"/>
      <c r="T21" t="s">
        <v>2468</v>
      </c>
      <c r="U21" t="s">
        <v>127</v>
      </c>
      <c r="V21" t="s">
        <v>140</v>
      </c>
      <c r="W21">
        <v>0</v>
      </c>
      <c r="X21">
        <v>0</v>
      </c>
      <c r="AA21" t="s">
        <v>141</v>
      </c>
      <c r="AB21" t="s">
        <v>142</v>
      </c>
      <c r="AC21">
        <v>11611</v>
      </c>
      <c r="AD21">
        <v>11612</v>
      </c>
      <c r="AF21">
        <v>1</v>
      </c>
    </row>
    <row r="22" spans="1:32">
      <c r="A22">
        <v>1</v>
      </c>
      <c r="E22" t="s">
        <v>2884</v>
      </c>
      <c r="F22">
        <v>100</v>
      </c>
      <c r="G22" t="s">
        <v>1023</v>
      </c>
      <c r="H22" t="s">
        <v>2529</v>
      </c>
      <c r="I22" t="s">
        <v>2300</v>
      </c>
      <c r="J22" t="s">
        <v>1081</v>
      </c>
      <c r="K22" t="s">
        <v>1082</v>
      </c>
      <c r="L22">
        <v>0</v>
      </c>
      <c r="M22">
        <v>0</v>
      </c>
      <c r="O22">
        <v>0</v>
      </c>
      <c r="P22">
        <v>0</v>
      </c>
      <c r="Q22">
        <v>0</v>
      </c>
      <c r="R22" s="49"/>
      <c r="T22" t="s">
        <v>2468</v>
      </c>
      <c r="U22" t="s">
        <v>127</v>
      </c>
      <c r="V22" t="s">
        <v>140</v>
      </c>
      <c r="W22">
        <v>0</v>
      </c>
      <c r="X22">
        <v>0</v>
      </c>
      <c r="AA22" t="s">
        <v>141</v>
      </c>
      <c r="AB22" t="s">
        <v>142</v>
      </c>
      <c r="AC22">
        <v>11611</v>
      </c>
      <c r="AD22">
        <v>11612</v>
      </c>
      <c r="AF22">
        <v>1</v>
      </c>
    </row>
    <row r="23" spans="1:32">
      <c r="A23">
        <v>1</v>
      </c>
      <c r="E23" t="s">
        <v>2885</v>
      </c>
      <c r="F23">
        <v>100</v>
      </c>
      <c r="G23" t="s">
        <v>1023</v>
      </c>
      <c r="H23" t="s">
        <v>2529</v>
      </c>
      <c r="I23" t="s">
        <v>2300</v>
      </c>
      <c r="J23" t="s">
        <v>1083</v>
      </c>
      <c r="K23" t="s">
        <v>1084</v>
      </c>
      <c r="L23">
        <v>0</v>
      </c>
      <c r="M23">
        <v>0</v>
      </c>
      <c r="O23">
        <v>0</v>
      </c>
      <c r="P23">
        <v>0</v>
      </c>
      <c r="Q23">
        <v>0</v>
      </c>
      <c r="R23" s="49"/>
      <c r="T23" t="s">
        <v>2468</v>
      </c>
      <c r="U23" t="s">
        <v>127</v>
      </c>
      <c r="V23" t="s">
        <v>140</v>
      </c>
      <c r="W23">
        <v>0</v>
      </c>
      <c r="X23">
        <v>0</v>
      </c>
      <c r="AA23" t="s">
        <v>141</v>
      </c>
      <c r="AB23" t="s">
        <v>142</v>
      </c>
      <c r="AC23">
        <v>11611</v>
      </c>
      <c r="AD23">
        <v>11612</v>
      </c>
      <c r="AF23">
        <v>1</v>
      </c>
    </row>
    <row r="24" spans="1:32">
      <c r="A24">
        <v>1</v>
      </c>
      <c r="E24" t="s">
        <v>2886</v>
      </c>
      <c r="F24">
        <v>100</v>
      </c>
      <c r="G24" t="s">
        <v>1023</v>
      </c>
      <c r="H24" t="s">
        <v>2529</v>
      </c>
      <c r="I24" t="s">
        <v>2300</v>
      </c>
      <c r="J24" t="s">
        <v>1085</v>
      </c>
      <c r="K24" t="s">
        <v>1086</v>
      </c>
      <c r="L24">
        <v>0</v>
      </c>
      <c r="M24">
        <v>0</v>
      </c>
      <c r="O24">
        <v>0</v>
      </c>
      <c r="P24">
        <v>0</v>
      </c>
      <c r="Q24">
        <v>0</v>
      </c>
      <c r="R24" s="49"/>
      <c r="T24" t="s">
        <v>2468</v>
      </c>
      <c r="U24" t="s">
        <v>127</v>
      </c>
      <c r="V24" t="s">
        <v>140</v>
      </c>
      <c r="W24">
        <v>0</v>
      </c>
      <c r="X24">
        <v>0</v>
      </c>
      <c r="AA24" t="s">
        <v>141</v>
      </c>
      <c r="AB24" t="s">
        <v>142</v>
      </c>
      <c r="AC24">
        <v>11611</v>
      </c>
      <c r="AD24">
        <v>11612</v>
      </c>
      <c r="AF24">
        <v>1</v>
      </c>
    </row>
    <row r="25" spans="1:32">
      <c r="A25">
        <v>1</v>
      </c>
      <c r="E25" t="s">
        <v>2887</v>
      </c>
      <c r="F25">
        <v>100</v>
      </c>
      <c r="G25" t="s">
        <v>1023</v>
      </c>
      <c r="H25" t="s">
        <v>2529</v>
      </c>
      <c r="I25" t="s">
        <v>2300</v>
      </c>
      <c r="J25" t="s">
        <v>1087</v>
      </c>
      <c r="K25" t="s">
        <v>1088</v>
      </c>
      <c r="L25">
        <v>0</v>
      </c>
      <c r="M25">
        <v>0</v>
      </c>
      <c r="O25">
        <v>0</v>
      </c>
      <c r="P25">
        <v>0</v>
      </c>
      <c r="Q25">
        <v>0</v>
      </c>
      <c r="R25" s="49"/>
      <c r="T25" t="s">
        <v>2468</v>
      </c>
      <c r="U25" t="s">
        <v>127</v>
      </c>
      <c r="V25" t="s">
        <v>140</v>
      </c>
      <c r="W25">
        <v>0</v>
      </c>
      <c r="X25">
        <v>0</v>
      </c>
      <c r="AA25" t="s">
        <v>141</v>
      </c>
      <c r="AB25" t="s">
        <v>142</v>
      </c>
      <c r="AC25">
        <v>11611</v>
      </c>
      <c r="AD25">
        <v>11612</v>
      </c>
      <c r="AF25">
        <v>1</v>
      </c>
    </row>
    <row r="26" spans="1:32">
      <c r="A26">
        <v>1</v>
      </c>
      <c r="E26" t="s">
        <v>2888</v>
      </c>
      <c r="F26">
        <v>100</v>
      </c>
      <c r="G26" t="s">
        <v>1023</v>
      </c>
      <c r="H26" t="s">
        <v>2529</v>
      </c>
      <c r="I26" t="s">
        <v>2300</v>
      </c>
      <c r="J26" t="s">
        <v>1089</v>
      </c>
      <c r="K26" t="s">
        <v>1090</v>
      </c>
      <c r="L26">
        <v>0</v>
      </c>
      <c r="M26">
        <v>0</v>
      </c>
      <c r="O26">
        <v>0</v>
      </c>
      <c r="P26">
        <v>0</v>
      </c>
      <c r="Q26">
        <v>0</v>
      </c>
      <c r="R26" s="49"/>
      <c r="T26" t="s">
        <v>2468</v>
      </c>
      <c r="U26" t="s">
        <v>127</v>
      </c>
      <c r="V26" t="s">
        <v>140</v>
      </c>
      <c r="W26">
        <v>0</v>
      </c>
      <c r="X26">
        <v>0</v>
      </c>
      <c r="AA26" t="s">
        <v>141</v>
      </c>
      <c r="AB26" t="s">
        <v>142</v>
      </c>
      <c r="AC26">
        <v>11611</v>
      </c>
      <c r="AD26">
        <v>11612</v>
      </c>
      <c r="AF26">
        <v>1</v>
      </c>
    </row>
    <row r="27" spans="1:32">
      <c r="A27">
        <v>1</v>
      </c>
      <c r="E27" t="s">
        <v>2889</v>
      </c>
      <c r="F27">
        <v>100</v>
      </c>
      <c r="G27" t="s">
        <v>1023</v>
      </c>
      <c r="H27" t="s">
        <v>2529</v>
      </c>
      <c r="I27" t="s">
        <v>2300</v>
      </c>
      <c r="J27" t="s">
        <v>1091</v>
      </c>
      <c r="K27" t="s">
        <v>1092</v>
      </c>
      <c r="L27">
        <v>0</v>
      </c>
      <c r="M27">
        <v>0</v>
      </c>
      <c r="O27">
        <v>0</v>
      </c>
      <c r="P27">
        <v>0</v>
      </c>
      <c r="Q27">
        <v>0</v>
      </c>
      <c r="R27" s="49"/>
      <c r="T27" t="s">
        <v>2468</v>
      </c>
      <c r="U27" t="s">
        <v>127</v>
      </c>
      <c r="V27" t="s">
        <v>140</v>
      </c>
      <c r="W27">
        <v>0</v>
      </c>
      <c r="X27">
        <v>0</v>
      </c>
      <c r="AA27" t="s">
        <v>141</v>
      </c>
      <c r="AB27" t="s">
        <v>142</v>
      </c>
      <c r="AC27">
        <v>11611</v>
      </c>
      <c r="AD27">
        <v>11612</v>
      </c>
      <c r="AF27">
        <v>1</v>
      </c>
    </row>
    <row r="28" spans="1:32">
      <c r="A28">
        <v>1</v>
      </c>
      <c r="E28" t="s">
        <v>2890</v>
      </c>
      <c r="F28">
        <v>100</v>
      </c>
      <c r="G28" t="s">
        <v>1023</v>
      </c>
      <c r="H28" t="s">
        <v>2529</v>
      </c>
      <c r="I28" t="s">
        <v>2300</v>
      </c>
      <c r="J28" t="s">
        <v>1093</v>
      </c>
      <c r="K28" t="s">
        <v>1094</v>
      </c>
      <c r="L28">
        <v>0</v>
      </c>
      <c r="M28">
        <v>0</v>
      </c>
      <c r="O28">
        <v>0</v>
      </c>
      <c r="P28">
        <v>0</v>
      </c>
      <c r="Q28">
        <v>0</v>
      </c>
      <c r="R28" s="49"/>
      <c r="T28" t="s">
        <v>2468</v>
      </c>
      <c r="U28" t="s">
        <v>127</v>
      </c>
      <c r="V28" t="s">
        <v>140</v>
      </c>
      <c r="W28">
        <v>0</v>
      </c>
      <c r="X28">
        <v>0</v>
      </c>
      <c r="AA28" t="s">
        <v>141</v>
      </c>
      <c r="AB28" t="s">
        <v>142</v>
      </c>
      <c r="AC28">
        <v>11611</v>
      </c>
      <c r="AD28">
        <v>11612</v>
      </c>
      <c r="AF28">
        <v>1</v>
      </c>
    </row>
    <row r="29" spans="1:32">
      <c r="A29">
        <v>1</v>
      </c>
      <c r="E29" t="s">
        <v>2891</v>
      </c>
      <c r="F29">
        <v>100</v>
      </c>
      <c r="G29" t="s">
        <v>1023</v>
      </c>
      <c r="H29" t="s">
        <v>2529</v>
      </c>
      <c r="I29" t="s">
        <v>2300</v>
      </c>
      <c r="J29" t="s">
        <v>1095</v>
      </c>
      <c r="K29" t="s">
        <v>1096</v>
      </c>
      <c r="L29">
        <v>0</v>
      </c>
      <c r="M29">
        <v>0</v>
      </c>
      <c r="O29">
        <v>0</v>
      </c>
      <c r="P29">
        <v>0</v>
      </c>
      <c r="Q29">
        <v>0</v>
      </c>
      <c r="R29" s="49"/>
      <c r="T29" t="s">
        <v>2468</v>
      </c>
      <c r="U29" t="s">
        <v>127</v>
      </c>
      <c r="V29" t="s">
        <v>140</v>
      </c>
      <c r="W29">
        <v>0</v>
      </c>
      <c r="X29">
        <v>0</v>
      </c>
      <c r="AA29" t="s">
        <v>141</v>
      </c>
      <c r="AB29" t="s">
        <v>142</v>
      </c>
      <c r="AC29">
        <v>11611</v>
      </c>
      <c r="AD29">
        <v>11612</v>
      </c>
      <c r="AF29">
        <v>1</v>
      </c>
    </row>
    <row r="30" spans="1:32">
      <c r="A30">
        <v>1</v>
      </c>
      <c r="E30" t="s">
        <v>2892</v>
      </c>
      <c r="F30">
        <v>100</v>
      </c>
      <c r="G30" t="s">
        <v>1023</v>
      </c>
      <c r="H30" t="s">
        <v>2529</v>
      </c>
      <c r="I30" t="s">
        <v>2300</v>
      </c>
      <c r="J30" t="s">
        <v>1097</v>
      </c>
      <c r="K30" t="s">
        <v>1098</v>
      </c>
      <c r="L30">
        <v>0</v>
      </c>
      <c r="M30">
        <v>0</v>
      </c>
      <c r="O30">
        <v>0</v>
      </c>
      <c r="P30">
        <v>0</v>
      </c>
      <c r="Q30">
        <v>0</v>
      </c>
      <c r="R30" s="49"/>
      <c r="T30" t="s">
        <v>2468</v>
      </c>
      <c r="U30" t="s">
        <v>127</v>
      </c>
      <c r="V30" t="s">
        <v>140</v>
      </c>
      <c r="W30">
        <v>0</v>
      </c>
      <c r="X30">
        <v>0</v>
      </c>
      <c r="AA30" t="s">
        <v>141</v>
      </c>
      <c r="AB30" t="s">
        <v>142</v>
      </c>
      <c r="AC30">
        <v>11611</v>
      </c>
      <c r="AD30">
        <v>11612</v>
      </c>
      <c r="AF30">
        <v>1</v>
      </c>
    </row>
    <row r="31" spans="1:32">
      <c r="A31">
        <v>1</v>
      </c>
      <c r="E31" t="s">
        <v>2893</v>
      </c>
      <c r="F31">
        <v>100</v>
      </c>
      <c r="G31" t="s">
        <v>1023</v>
      </c>
      <c r="H31" t="s">
        <v>2529</v>
      </c>
      <c r="I31" t="s">
        <v>2300</v>
      </c>
      <c r="J31" t="s">
        <v>1099</v>
      </c>
      <c r="K31" t="s">
        <v>2832</v>
      </c>
      <c r="L31">
        <v>0</v>
      </c>
      <c r="M31">
        <v>0</v>
      </c>
      <c r="O31">
        <v>0</v>
      </c>
      <c r="P31">
        <v>0</v>
      </c>
      <c r="Q31">
        <v>0</v>
      </c>
      <c r="R31" s="49"/>
      <c r="T31" t="s">
        <v>2468</v>
      </c>
      <c r="U31" t="s">
        <v>127</v>
      </c>
      <c r="V31" t="s">
        <v>140</v>
      </c>
      <c r="W31">
        <v>0</v>
      </c>
      <c r="X31">
        <v>0</v>
      </c>
      <c r="AA31" t="s">
        <v>141</v>
      </c>
      <c r="AB31" t="s">
        <v>142</v>
      </c>
      <c r="AC31">
        <v>11611</v>
      </c>
      <c r="AD31">
        <v>11612</v>
      </c>
      <c r="AF31">
        <v>1</v>
      </c>
    </row>
    <row r="32" spans="1:32">
      <c r="A32">
        <v>1</v>
      </c>
      <c r="E32" t="s">
        <v>2894</v>
      </c>
      <c r="F32">
        <v>100</v>
      </c>
      <c r="G32" t="s">
        <v>1023</v>
      </c>
      <c r="H32" t="s">
        <v>2529</v>
      </c>
      <c r="I32" t="s">
        <v>2300</v>
      </c>
      <c r="J32" t="s">
        <v>1101</v>
      </c>
      <c r="K32" t="s">
        <v>2833</v>
      </c>
      <c r="L32">
        <v>0</v>
      </c>
      <c r="M32">
        <v>0</v>
      </c>
      <c r="O32">
        <v>0</v>
      </c>
      <c r="P32">
        <v>0</v>
      </c>
      <c r="Q32">
        <v>0</v>
      </c>
      <c r="R32" s="49"/>
      <c r="T32" t="s">
        <v>2468</v>
      </c>
      <c r="U32" t="s">
        <v>127</v>
      </c>
      <c r="V32" t="s">
        <v>140</v>
      </c>
      <c r="W32">
        <v>0</v>
      </c>
      <c r="X32">
        <v>0</v>
      </c>
      <c r="AA32" t="s">
        <v>141</v>
      </c>
      <c r="AB32" t="s">
        <v>142</v>
      </c>
      <c r="AC32">
        <v>11611</v>
      </c>
      <c r="AD32">
        <v>11612</v>
      </c>
      <c r="AF32">
        <v>1</v>
      </c>
    </row>
    <row r="33" spans="1:32">
      <c r="A33">
        <v>1</v>
      </c>
      <c r="E33" t="s">
        <v>2895</v>
      </c>
      <c r="F33">
        <v>100</v>
      </c>
      <c r="G33" t="s">
        <v>1023</v>
      </c>
      <c r="H33" t="s">
        <v>2529</v>
      </c>
      <c r="I33" t="s">
        <v>2300</v>
      </c>
      <c r="J33" t="s">
        <v>1103</v>
      </c>
      <c r="K33" t="s">
        <v>2834</v>
      </c>
      <c r="L33">
        <v>0</v>
      </c>
      <c r="M33">
        <v>0</v>
      </c>
      <c r="O33">
        <v>0</v>
      </c>
      <c r="P33">
        <v>0</v>
      </c>
      <c r="Q33">
        <v>0</v>
      </c>
      <c r="R33" s="49"/>
      <c r="T33" t="s">
        <v>2468</v>
      </c>
      <c r="U33" t="s">
        <v>127</v>
      </c>
      <c r="V33" t="s">
        <v>140</v>
      </c>
      <c r="W33">
        <v>0</v>
      </c>
      <c r="X33">
        <v>0</v>
      </c>
      <c r="AA33" t="s">
        <v>141</v>
      </c>
      <c r="AB33" t="s">
        <v>142</v>
      </c>
      <c r="AC33">
        <v>11611</v>
      </c>
      <c r="AD33">
        <v>11612</v>
      </c>
      <c r="AF33">
        <v>1</v>
      </c>
    </row>
    <row r="34" spans="1:32">
      <c r="A34">
        <v>1</v>
      </c>
      <c r="E34" t="s">
        <v>2896</v>
      </c>
      <c r="F34">
        <v>100</v>
      </c>
      <c r="G34" t="s">
        <v>1023</v>
      </c>
      <c r="H34" t="s">
        <v>2529</v>
      </c>
      <c r="I34" t="s">
        <v>2300</v>
      </c>
      <c r="J34" t="s">
        <v>1105</v>
      </c>
      <c r="K34" t="s">
        <v>2835</v>
      </c>
      <c r="L34">
        <v>0</v>
      </c>
      <c r="M34">
        <v>0</v>
      </c>
      <c r="O34">
        <v>0</v>
      </c>
      <c r="P34">
        <v>0</v>
      </c>
      <c r="Q34">
        <v>0</v>
      </c>
      <c r="R34" s="49"/>
      <c r="T34" t="s">
        <v>2468</v>
      </c>
      <c r="U34" t="s">
        <v>127</v>
      </c>
      <c r="V34" t="s">
        <v>140</v>
      </c>
      <c r="W34">
        <v>0</v>
      </c>
      <c r="X34">
        <v>0</v>
      </c>
      <c r="AA34" t="s">
        <v>141</v>
      </c>
      <c r="AB34" t="s">
        <v>142</v>
      </c>
      <c r="AC34">
        <v>11611</v>
      </c>
      <c r="AD34">
        <v>11612</v>
      </c>
      <c r="AF34">
        <v>1</v>
      </c>
    </row>
    <row r="35" spans="1:32">
      <c r="A35">
        <v>1</v>
      </c>
      <c r="E35" t="s">
        <v>2897</v>
      </c>
      <c r="F35">
        <v>100</v>
      </c>
      <c r="G35" t="s">
        <v>1023</v>
      </c>
      <c r="H35" t="s">
        <v>2529</v>
      </c>
      <c r="I35" t="s">
        <v>2300</v>
      </c>
      <c r="J35" t="s">
        <v>1107</v>
      </c>
      <c r="K35" t="s">
        <v>1108</v>
      </c>
      <c r="L35">
        <v>0</v>
      </c>
      <c r="M35">
        <v>0</v>
      </c>
      <c r="O35">
        <v>0</v>
      </c>
      <c r="P35">
        <v>0</v>
      </c>
      <c r="Q35">
        <v>0</v>
      </c>
      <c r="R35" s="49"/>
      <c r="T35" t="s">
        <v>2468</v>
      </c>
      <c r="U35" t="s">
        <v>127</v>
      </c>
      <c r="V35" t="s">
        <v>140</v>
      </c>
      <c r="W35">
        <v>0</v>
      </c>
      <c r="X35">
        <v>0</v>
      </c>
      <c r="AA35" t="s">
        <v>141</v>
      </c>
      <c r="AB35" t="s">
        <v>142</v>
      </c>
      <c r="AC35">
        <v>11611</v>
      </c>
      <c r="AD35">
        <v>11612</v>
      </c>
      <c r="AF35">
        <v>1</v>
      </c>
    </row>
    <row r="36" spans="1:32">
      <c r="A36">
        <v>1</v>
      </c>
      <c r="E36" t="s">
        <v>2898</v>
      </c>
      <c r="F36">
        <v>100</v>
      </c>
      <c r="G36" t="s">
        <v>1023</v>
      </c>
      <c r="H36" t="s">
        <v>2529</v>
      </c>
      <c r="I36" t="s">
        <v>2300</v>
      </c>
      <c r="J36" t="s">
        <v>1109</v>
      </c>
      <c r="K36" t="s">
        <v>1110</v>
      </c>
      <c r="L36">
        <v>0</v>
      </c>
      <c r="M36">
        <v>0</v>
      </c>
      <c r="O36">
        <v>0</v>
      </c>
      <c r="P36">
        <v>0</v>
      </c>
      <c r="Q36">
        <v>0</v>
      </c>
      <c r="R36" s="49"/>
      <c r="T36" t="s">
        <v>2468</v>
      </c>
      <c r="U36" t="s">
        <v>127</v>
      </c>
      <c r="V36" t="s">
        <v>140</v>
      </c>
      <c r="W36">
        <v>0</v>
      </c>
      <c r="X36">
        <v>0</v>
      </c>
      <c r="AA36" t="s">
        <v>141</v>
      </c>
      <c r="AB36" t="s">
        <v>142</v>
      </c>
      <c r="AC36">
        <v>11611</v>
      </c>
      <c r="AD36">
        <v>11612</v>
      </c>
      <c r="AF36">
        <v>1</v>
      </c>
    </row>
    <row r="37" spans="1:32">
      <c r="A37">
        <v>1</v>
      </c>
      <c r="E37" t="s">
        <v>2899</v>
      </c>
      <c r="F37">
        <v>24</v>
      </c>
      <c r="G37" t="s">
        <v>2900</v>
      </c>
      <c r="H37" t="s">
        <v>2901</v>
      </c>
      <c r="I37" t="s">
        <v>2306</v>
      </c>
      <c r="J37" t="s">
        <v>1111</v>
      </c>
      <c r="K37" t="s">
        <v>2836</v>
      </c>
      <c r="L37">
        <v>0</v>
      </c>
      <c r="M37">
        <v>0</v>
      </c>
      <c r="O37">
        <v>0</v>
      </c>
      <c r="P37">
        <v>0</v>
      </c>
      <c r="Q37">
        <v>0</v>
      </c>
      <c r="R37" s="49"/>
      <c r="T37" t="s">
        <v>2468</v>
      </c>
      <c r="U37" t="s">
        <v>127</v>
      </c>
      <c r="V37" t="s">
        <v>140</v>
      </c>
      <c r="W37">
        <v>250</v>
      </c>
      <c r="X37">
        <v>0</v>
      </c>
      <c r="AA37" t="s">
        <v>141</v>
      </c>
      <c r="AB37" t="s">
        <v>142</v>
      </c>
      <c r="AC37">
        <v>11611</v>
      </c>
      <c r="AD37">
        <v>11612</v>
      </c>
      <c r="AF37">
        <v>1</v>
      </c>
    </row>
    <row r="38" spans="1:32">
      <c r="A38">
        <v>1</v>
      </c>
      <c r="E38" t="s">
        <v>2902</v>
      </c>
      <c r="F38">
        <v>24</v>
      </c>
      <c r="G38" t="s">
        <v>2900</v>
      </c>
      <c r="H38" t="s">
        <v>2901</v>
      </c>
      <c r="I38" t="s">
        <v>2306</v>
      </c>
      <c r="J38" t="s">
        <v>1113</v>
      </c>
      <c r="K38" t="s">
        <v>2837</v>
      </c>
      <c r="L38">
        <v>0</v>
      </c>
      <c r="M38">
        <v>0</v>
      </c>
      <c r="O38">
        <v>0</v>
      </c>
      <c r="P38">
        <v>0</v>
      </c>
      <c r="Q38">
        <v>0</v>
      </c>
      <c r="R38" s="49"/>
      <c r="T38" t="s">
        <v>2468</v>
      </c>
      <c r="U38" t="s">
        <v>127</v>
      </c>
      <c r="V38" t="s">
        <v>140</v>
      </c>
      <c r="W38">
        <v>280</v>
      </c>
      <c r="X38">
        <v>0</v>
      </c>
      <c r="AA38" t="s">
        <v>141</v>
      </c>
      <c r="AB38" t="s">
        <v>142</v>
      </c>
      <c r="AC38">
        <v>11611</v>
      </c>
      <c r="AD38">
        <v>11612</v>
      </c>
      <c r="AF38">
        <v>1</v>
      </c>
    </row>
    <row r="39" spans="1:32">
      <c r="A39">
        <v>1</v>
      </c>
      <c r="E39" t="s">
        <v>2903</v>
      </c>
      <c r="F39">
        <v>24</v>
      </c>
      <c r="G39" t="s">
        <v>2900</v>
      </c>
      <c r="H39" t="s">
        <v>2901</v>
      </c>
      <c r="I39" t="s">
        <v>2306</v>
      </c>
      <c r="J39" t="s">
        <v>2662</v>
      </c>
      <c r="K39" t="s">
        <v>2838</v>
      </c>
      <c r="L39">
        <v>0</v>
      </c>
      <c r="M39">
        <v>0</v>
      </c>
      <c r="O39">
        <v>0</v>
      </c>
      <c r="P39">
        <v>0</v>
      </c>
      <c r="Q39">
        <v>0</v>
      </c>
      <c r="R39" s="49"/>
      <c r="T39" t="s">
        <v>2468</v>
      </c>
      <c r="U39" t="s">
        <v>127</v>
      </c>
      <c r="V39" t="s">
        <v>140</v>
      </c>
      <c r="W39">
        <v>280</v>
      </c>
      <c r="X39">
        <v>0</v>
      </c>
      <c r="AA39" t="s">
        <v>141</v>
      </c>
      <c r="AB39" t="s">
        <v>142</v>
      </c>
      <c r="AC39">
        <v>11611</v>
      </c>
      <c r="AD39">
        <v>11612</v>
      </c>
      <c r="AF39">
        <v>1</v>
      </c>
    </row>
    <row r="40" spans="1:32">
      <c r="A40">
        <v>1</v>
      </c>
      <c r="E40" t="s">
        <v>2904</v>
      </c>
      <c r="F40">
        <v>24</v>
      </c>
      <c r="G40" t="s">
        <v>2900</v>
      </c>
      <c r="H40" t="s">
        <v>2905</v>
      </c>
      <c r="I40" t="s">
        <v>2310</v>
      </c>
      <c r="J40" t="s">
        <v>1118</v>
      </c>
      <c r="K40" t="s">
        <v>2839</v>
      </c>
      <c r="L40">
        <v>0</v>
      </c>
      <c r="M40">
        <v>0</v>
      </c>
      <c r="O40">
        <v>0</v>
      </c>
      <c r="P40">
        <v>0</v>
      </c>
      <c r="Q40">
        <v>0</v>
      </c>
      <c r="R40" s="49"/>
      <c r="T40" t="s">
        <v>2468</v>
      </c>
      <c r="U40" t="s">
        <v>127</v>
      </c>
      <c r="V40" t="s">
        <v>140</v>
      </c>
      <c r="W40">
        <v>100</v>
      </c>
      <c r="X40">
        <v>0</v>
      </c>
      <c r="AA40" t="s">
        <v>141</v>
      </c>
      <c r="AB40" t="s">
        <v>142</v>
      </c>
      <c r="AC40">
        <v>11611</v>
      </c>
      <c r="AD40">
        <v>11612</v>
      </c>
      <c r="AF40">
        <v>1</v>
      </c>
    </row>
    <row r="41" spans="1:32">
      <c r="A41">
        <v>1</v>
      </c>
      <c r="E41" t="s">
        <v>2906</v>
      </c>
      <c r="F41">
        <v>24</v>
      </c>
      <c r="G41" t="s">
        <v>2900</v>
      </c>
      <c r="H41" t="s">
        <v>2524</v>
      </c>
      <c r="I41" t="s">
        <v>2312</v>
      </c>
      <c r="J41" t="s">
        <v>1120</v>
      </c>
      <c r="K41" t="s">
        <v>2840</v>
      </c>
      <c r="L41">
        <v>0</v>
      </c>
      <c r="M41">
        <v>0</v>
      </c>
      <c r="O41">
        <v>0</v>
      </c>
      <c r="P41">
        <v>0</v>
      </c>
      <c r="Q41">
        <v>0</v>
      </c>
      <c r="R41" s="49"/>
      <c r="T41" t="s">
        <v>2468</v>
      </c>
      <c r="U41" t="s">
        <v>127</v>
      </c>
      <c r="V41" t="s">
        <v>140</v>
      </c>
      <c r="W41">
        <v>100</v>
      </c>
      <c r="X41">
        <v>0</v>
      </c>
      <c r="AA41" t="s">
        <v>141</v>
      </c>
      <c r="AB41" t="s">
        <v>142</v>
      </c>
      <c r="AC41">
        <v>11611</v>
      </c>
      <c r="AD41">
        <v>11612</v>
      </c>
      <c r="AF41">
        <v>1</v>
      </c>
    </row>
    <row r="42" spans="1:32">
      <c r="A42">
        <v>1</v>
      </c>
      <c r="E42" t="s">
        <v>2907</v>
      </c>
      <c r="F42">
        <v>36</v>
      </c>
      <c r="G42" t="s">
        <v>2900</v>
      </c>
      <c r="H42" t="s">
        <v>2524</v>
      </c>
      <c r="I42" t="s">
        <v>2314</v>
      </c>
      <c r="J42" t="s">
        <v>1122</v>
      </c>
      <c r="K42" t="s">
        <v>2841</v>
      </c>
      <c r="L42">
        <v>0</v>
      </c>
      <c r="M42">
        <v>0</v>
      </c>
      <c r="O42">
        <v>0</v>
      </c>
      <c r="P42">
        <v>0</v>
      </c>
      <c r="Q42">
        <v>0</v>
      </c>
      <c r="R42" s="49"/>
      <c r="T42" t="s">
        <v>2468</v>
      </c>
      <c r="U42" t="s">
        <v>127</v>
      </c>
      <c r="V42" t="s">
        <v>140</v>
      </c>
      <c r="W42">
        <v>250</v>
      </c>
      <c r="X42">
        <v>0</v>
      </c>
      <c r="AA42" t="s">
        <v>141</v>
      </c>
      <c r="AB42" t="s">
        <v>142</v>
      </c>
      <c r="AC42">
        <v>11611</v>
      </c>
      <c r="AD42">
        <v>11612</v>
      </c>
      <c r="AF42">
        <v>1</v>
      </c>
    </row>
    <row r="43" spans="1:32">
      <c r="A43">
        <v>1</v>
      </c>
      <c r="E43" t="s">
        <v>2908</v>
      </c>
      <c r="F43">
        <v>36</v>
      </c>
      <c r="G43" t="s">
        <v>2900</v>
      </c>
      <c r="H43" t="s">
        <v>2524</v>
      </c>
      <c r="I43" t="s">
        <v>2316</v>
      </c>
      <c r="J43" t="s">
        <v>1125</v>
      </c>
      <c r="K43" t="s">
        <v>2841</v>
      </c>
      <c r="L43">
        <v>0</v>
      </c>
      <c r="M43">
        <v>0</v>
      </c>
      <c r="O43">
        <v>0</v>
      </c>
      <c r="P43">
        <v>0</v>
      </c>
      <c r="Q43">
        <v>0</v>
      </c>
      <c r="R43" s="49"/>
      <c r="T43" t="s">
        <v>2468</v>
      </c>
      <c r="U43" t="s">
        <v>127</v>
      </c>
      <c r="V43" t="s">
        <v>140</v>
      </c>
      <c r="W43">
        <v>60</v>
      </c>
      <c r="X43">
        <v>0</v>
      </c>
      <c r="AA43" t="s">
        <v>141</v>
      </c>
      <c r="AB43" t="s">
        <v>142</v>
      </c>
      <c r="AC43">
        <v>11611</v>
      </c>
      <c r="AD43">
        <v>11612</v>
      </c>
      <c r="AF43">
        <v>1</v>
      </c>
    </row>
    <row r="44" spans="1:32">
      <c r="A44">
        <v>1</v>
      </c>
      <c r="E44" t="s">
        <v>2909</v>
      </c>
      <c r="F44">
        <v>36</v>
      </c>
      <c r="G44" t="s">
        <v>2900</v>
      </c>
      <c r="H44" t="s">
        <v>2524</v>
      </c>
      <c r="I44" t="s">
        <v>2316</v>
      </c>
      <c r="J44" t="s">
        <v>2663</v>
      </c>
      <c r="K44" t="s">
        <v>2841</v>
      </c>
      <c r="L44">
        <v>0</v>
      </c>
      <c r="M44">
        <v>0</v>
      </c>
      <c r="O44">
        <v>0</v>
      </c>
      <c r="P44">
        <v>0</v>
      </c>
      <c r="Q44">
        <v>0</v>
      </c>
      <c r="R44" s="49"/>
      <c r="T44" t="s">
        <v>2468</v>
      </c>
      <c r="U44" t="s">
        <v>127</v>
      </c>
      <c r="V44" t="s">
        <v>140</v>
      </c>
      <c r="W44">
        <v>150</v>
      </c>
      <c r="X44">
        <v>0</v>
      </c>
      <c r="AA44" t="s">
        <v>141</v>
      </c>
      <c r="AB44" t="s">
        <v>142</v>
      </c>
      <c r="AC44">
        <v>11611</v>
      </c>
      <c r="AD44">
        <v>11612</v>
      </c>
      <c r="AF44">
        <v>1</v>
      </c>
    </row>
    <row r="45" spans="1:32">
      <c r="A45">
        <v>1</v>
      </c>
      <c r="E45" t="s">
        <v>2910</v>
      </c>
      <c r="F45">
        <v>36</v>
      </c>
      <c r="G45" t="s">
        <v>2900</v>
      </c>
      <c r="H45" t="s">
        <v>2524</v>
      </c>
      <c r="I45" t="s">
        <v>2316</v>
      </c>
      <c r="J45" t="s">
        <v>1129</v>
      </c>
      <c r="K45" t="s">
        <v>2841</v>
      </c>
      <c r="L45">
        <v>0</v>
      </c>
      <c r="M45">
        <v>0</v>
      </c>
      <c r="O45">
        <v>0</v>
      </c>
      <c r="P45">
        <v>0</v>
      </c>
      <c r="Q45">
        <v>0</v>
      </c>
      <c r="R45" s="49"/>
      <c r="T45" t="s">
        <v>2468</v>
      </c>
      <c r="U45" t="s">
        <v>127</v>
      </c>
      <c r="V45" t="s">
        <v>140</v>
      </c>
      <c r="W45">
        <v>60</v>
      </c>
      <c r="X45">
        <v>0</v>
      </c>
      <c r="AA45" t="s">
        <v>141</v>
      </c>
      <c r="AB45" t="s">
        <v>142</v>
      </c>
      <c r="AC45">
        <v>11611</v>
      </c>
      <c r="AD45">
        <v>11612</v>
      </c>
      <c r="AF45">
        <v>1</v>
      </c>
    </row>
    <row r="46" spans="1:32">
      <c r="A46">
        <v>1</v>
      </c>
      <c r="E46" t="s">
        <v>2911</v>
      </c>
      <c r="F46">
        <v>36</v>
      </c>
      <c r="G46" t="s">
        <v>2900</v>
      </c>
      <c r="H46" t="s">
        <v>2524</v>
      </c>
      <c r="I46" t="s">
        <v>2316</v>
      </c>
      <c r="J46" t="s">
        <v>1131</v>
      </c>
      <c r="K46" t="s">
        <v>2841</v>
      </c>
      <c r="L46">
        <v>0</v>
      </c>
      <c r="M46">
        <v>0</v>
      </c>
      <c r="O46">
        <v>0</v>
      </c>
      <c r="P46">
        <v>0</v>
      </c>
      <c r="Q46">
        <v>0</v>
      </c>
      <c r="R46" s="49"/>
      <c r="T46" t="s">
        <v>2468</v>
      </c>
      <c r="U46" t="s">
        <v>127</v>
      </c>
      <c r="V46" t="s">
        <v>140</v>
      </c>
      <c r="W46">
        <v>150</v>
      </c>
      <c r="X46">
        <v>0</v>
      </c>
      <c r="AA46" t="s">
        <v>141</v>
      </c>
      <c r="AB46" t="s">
        <v>142</v>
      </c>
      <c r="AC46">
        <v>11611</v>
      </c>
      <c r="AD46">
        <v>11612</v>
      </c>
      <c r="AF46">
        <v>1</v>
      </c>
    </row>
    <row r="47" spans="1:32">
      <c r="A47">
        <v>1</v>
      </c>
      <c r="E47" t="s">
        <v>2912</v>
      </c>
      <c r="F47">
        <v>36</v>
      </c>
      <c r="G47" t="s">
        <v>2900</v>
      </c>
      <c r="H47" t="s">
        <v>2524</v>
      </c>
      <c r="I47" t="s">
        <v>2316</v>
      </c>
      <c r="J47" t="s">
        <v>1133</v>
      </c>
      <c r="K47" t="s">
        <v>2841</v>
      </c>
      <c r="L47">
        <v>0</v>
      </c>
      <c r="M47">
        <v>0</v>
      </c>
      <c r="O47">
        <v>0</v>
      </c>
      <c r="P47">
        <v>0</v>
      </c>
      <c r="Q47">
        <v>0</v>
      </c>
      <c r="R47" s="49"/>
      <c r="T47" t="s">
        <v>2468</v>
      </c>
      <c r="U47" t="s">
        <v>127</v>
      </c>
      <c r="V47" t="s">
        <v>140</v>
      </c>
      <c r="W47">
        <v>60</v>
      </c>
      <c r="X47">
        <v>0</v>
      </c>
      <c r="AA47" t="s">
        <v>141</v>
      </c>
      <c r="AB47" t="s">
        <v>142</v>
      </c>
      <c r="AC47">
        <v>11611</v>
      </c>
      <c r="AD47">
        <v>11612</v>
      </c>
      <c r="AF47">
        <v>1</v>
      </c>
    </row>
    <row r="48" spans="1:32">
      <c r="A48">
        <v>1</v>
      </c>
      <c r="E48" t="s">
        <v>2913</v>
      </c>
      <c r="F48">
        <v>36</v>
      </c>
      <c r="G48" t="s">
        <v>2900</v>
      </c>
      <c r="H48" t="s">
        <v>2524</v>
      </c>
      <c r="I48" t="s">
        <v>2316</v>
      </c>
      <c r="J48" t="s">
        <v>1135</v>
      </c>
      <c r="K48" t="s">
        <v>2841</v>
      </c>
      <c r="L48">
        <v>0</v>
      </c>
      <c r="M48">
        <v>0</v>
      </c>
      <c r="O48">
        <v>0</v>
      </c>
      <c r="P48">
        <v>0</v>
      </c>
      <c r="Q48">
        <v>0</v>
      </c>
      <c r="R48" s="49"/>
      <c r="T48" t="s">
        <v>2468</v>
      </c>
      <c r="U48" t="s">
        <v>127</v>
      </c>
      <c r="V48" t="s">
        <v>140</v>
      </c>
      <c r="W48">
        <v>150</v>
      </c>
      <c r="X48">
        <v>0</v>
      </c>
      <c r="AA48" t="s">
        <v>141</v>
      </c>
      <c r="AB48" t="s">
        <v>142</v>
      </c>
      <c r="AC48">
        <v>11611</v>
      </c>
      <c r="AD48">
        <v>11612</v>
      </c>
      <c r="AF48">
        <v>1</v>
      </c>
    </row>
    <row r="49" spans="1:32">
      <c r="A49">
        <v>1</v>
      </c>
      <c r="E49" t="s">
        <v>2914</v>
      </c>
      <c r="F49">
        <v>36</v>
      </c>
      <c r="G49" t="s">
        <v>2900</v>
      </c>
      <c r="H49" t="s">
        <v>2524</v>
      </c>
      <c r="I49" t="s">
        <v>2316</v>
      </c>
      <c r="J49" t="s">
        <v>1137</v>
      </c>
      <c r="K49" t="s">
        <v>2841</v>
      </c>
      <c r="L49">
        <v>0</v>
      </c>
      <c r="M49">
        <v>0</v>
      </c>
      <c r="O49">
        <v>0</v>
      </c>
      <c r="P49">
        <v>0</v>
      </c>
      <c r="Q49">
        <v>0</v>
      </c>
      <c r="R49" s="49"/>
      <c r="T49" t="s">
        <v>2468</v>
      </c>
      <c r="U49" t="s">
        <v>127</v>
      </c>
      <c r="V49" t="s">
        <v>140</v>
      </c>
      <c r="W49">
        <v>150</v>
      </c>
      <c r="X49">
        <v>0</v>
      </c>
      <c r="AA49" t="s">
        <v>141</v>
      </c>
      <c r="AB49" t="s">
        <v>142</v>
      </c>
      <c r="AC49">
        <v>11611</v>
      </c>
      <c r="AD49">
        <v>11612</v>
      </c>
      <c r="AF49">
        <v>1</v>
      </c>
    </row>
    <row r="50" spans="1:32">
      <c r="A50">
        <v>1</v>
      </c>
      <c r="E50" t="s">
        <v>2915</v>
      </c>
      <c r="F50">
        <v>36</v>
      </c>
      <c r="G50" t="s">
        <v>2900</v>
      </c>
      <c r="H50" t="s">
        <v>2524</v>
      </c>
      <c r="I50" t="s">
        <v>2316</v>
      </c>
      <c r="J50" t="s">
        <v>1139</v>
      </c>
      <c r="K50" t="s">
        <v>2841</v>
      </c>
      <c r="L50">
        <v>0</v>
      </c>
      <c r="M50">
        <v>0</v>
      </c>
      <c r="O50">
        <v>0</v>
      </c>
      <c r="P50">
        <v>0</v>
      </c>
      <c r="Q50">
        <v>0</v>
      </c>
      <c r="R50" s="49"/>
      <c r="T50" t="s">
        <v>2468</v>
      </c>
      <c r="U50" t="s">
        <v>127</v>
      </c>
      <c r="V50" t="s">
        <v>140</v>
      </c>
      <c r="W50">
        <v>150</v>
      </c>
      <c r="X50">
        <v>0</v>
      </c>
      <c r="AA50" t="s">
        <v>141</v>
      </c>
      <c r="AB50" t="s">
        <v>142</v>
      </c>
      <c r="AC50">
        <v>11611</v>
      </c>
      <c r="AD50">
        <v>11612</v>
      </c>
      <c r="AF50">
        <v>1</v>
      </c>
    </row>
    <row r="51" spans="1:32">
      <c r="A51">
        <v>1</v>
      </c>
      <c r="E51" t="s">
        <v>2916</v>
      </c>
      <c r="F51">
        <v>120</v>
      </c>
      <c r="G51" t="s">
        <v>2900</v>
      </c>
      <c r="H51" t="s">
        <v>2524</v>
      </c>
      <c r="I51" t="s">
        <v>2308</v>
      </c>
      <c r="J51" t="s">
        <v>1148</v>
      </c>
      <c r="K51" t="s">
        <v>2842</v>
      </c>
      <c r="L51">
        <v>0</v>
      </c>
      <c r="M51">
        <v>0</v>
      </c>
      <c r="O51">
        <v>0</v>
      </c>
      <c r="P51">
        <v>0</v>
      </c>
      <c r="Q51">
        <v>0</v>
      </c>
      <c r="R51" s="49"/>
      <c r="T51" t="s">
        <v>2468</v>
      </c>
      <c r="U51" t="s">
        <v>127</v>
      </c>
      <c r="V51" t="s">
        <v>140</v>
      </c>
      <c r="W51">
        <v>10</v>
      </c>
      <c r="X51">
        <v>0</v>
      </c>
      <c r="AA51" t="s">
        <v>141</v>
      </c>
      <c r="AB51" t="s">
        <v>142</v>
      </c>
      <c r="AC51">
        <v>11611</v>
      </c>
      <c r="AD51">
        <v>11612</v>
      </c>
      <c r="AF51">
        <v>1</v>
      </c>
    </row>
    <row r="52" spans="1:32">
      <c r="A52">
        <v>1</v>
      </c>
      <c r="E52" t="s">
        <v>2917</v>
      </c>
      <c r="F52">
        <v>120</v>
      </c>
      <c r="G52" t="s">
        <v>2900</v>
      </c>
      <c r="H52" t="s">
        <v>2524</v>
      </c>
      <c r="I52" t="s">
        <v>2308</v>
      </c>
      <c r="J52" t="s">
        <v>2664</v>
      </c>
      <c r="K52" t="s">
        <v>2842</v>
      </c>
      <c r="L52">
        <v>0</v>
      </c>
      <c r="M52">
        <v>0</v>
      </c>
      <c r="O52">
        <v>0</v>
      </c>
      <c r="P52">
        <v>0</v>
      </c>
      <c r="Q52">
        <v>0</v>
      </c>
      <c r="R52" s="49"/>
      <c r="T52" t="s">
        <v>2468</v>
      </c>
      <c r="U52" t="s">
        <v>127</v>
      </c>
      <c r="V52" t="s">
        <v>140</v>
      </c>
      <c r="W52">
        <v>10</v>
      </c>
      <c r="X52">
        <v>0</v>
      </c>
      <c r="AA52" t="s">
        <v>141</v>
      </c>
      <c r="AB52" t="s">
        <v>142</v>
      </c>
      <c r="AC52">
        <v>11611</v>
      </c>
      <c r="AD52">
        <v>11612</v>
      </c>
      <c r="AF52">
        <v>1</v>
      </c>
    </row>
    <row r="53" spans="1:32">
      <c r="A53">
        <v>1</v>
      </c>
      <c r="E53" t="s">
        <v>2918</v>
      </c>
      <c r="F53">
        <v>120</v>
      </c>
      <c r="G53" t="s">
        <v>2900</v>
      </c>
      <c r="H53" t="s">
        <v>2524</v>
      </c>
      <c r="I53" t="s">
        <v>2308</v>
      </c>
      <c r="J53" t="s">
        <v>2665</v>
      </c>
      <c r="K53" t="s">
        <v>2842</v>
      </c>
      <c r="L53">
        <v>0</v>
      </c>
      <c r="M53">
        <v>0</v>
      </c>
      <c r="O53">
        <v>0</v>
      </c>
      <c r="P53">
        <v>0</v>
      </c>
      <c r="Q53">
        <v>0</v>
      </c>
      <c r="R53" s="49"/>
      <c r="T53" t="s">
        <v>2468</v>
      </c>
      <c r="U53" t="s">
        <v>127</v>
      </c>
      <c r="V53" t="s">
        <v>140</v>
      </c>
      <c r="W53">
        <v>10</v>
      </c>
      <c r="X53">
        <v>0</v>
      </c>
      <c r="AA53" t="s">
        <v>141</v>
      </c>
      <c r="AB53" t="s">
        <v>142</v>
      </c>
      <c r="AC53">
        <v>11611</v>
      </c>
      <c r="AD53">
        <v>11612</v>
      </c>
      <c r="AF53">
        <v>1</v>
      </c>
    </row>
    <row r="54" spans="1:32">
      <c r="A54">
        <v>1</v>
      </c>
      <c r="E54" t="s">
        <v>2919</v>
      </c>
      <c r="F54">
        <v>36</v>
      </c>
      <c r="G54" t="s">
        <v>2900</v>
      </c>
      <c r="H54" t="s">
        <v>2524</v>
      </c>
      <c r="I54" t="s">
        <v>2282</v>
      </c>
      <c r="J54" t="s">
        <v>2666</v>
      </c>
      <c r="K54" t="s">
        <v>2841</v>
      </c>
      <c r="L54">
        <v>0</v>
      </c>
      <c r="M54">
        <v>0</v>
      </c>
      <c r="O54">
        <v>0</v>
      </c>
      <c r="P54">
        <v>0</v>
      </c>
      <c r="Q54">
        <v>0</v>
      </c>
      <c r="R54" s="49"/>
      <c r="T54" t="s">
        <v>2468</v>
      </c>
      <c r="U54" t="s">
        <v>127</v>
      </c>
      <c r="V54" t="s">
        <v>140</v>
      </c>
      <c r="W54">
        <v>60</v>
      </c>
      <c r="X54">
        <v>0</v>
      </c>
      <c r="AA54" t="s">
        <v>141</v>
      </c>
      <c r="AB54" t="s">
        <v>142</v>
      </c>
      <c r="AC54">
        <v>11611</v>
      </c>
      <c r="AD54">
        <v>11612</v>
      </c>
      <c r="AF54">
        <v>1</v>
      </c>
    </row>
    <row r="55" spans="1:32">
      <c r="A55">
        <v>1</v>
      </c>
      <c r="E55" t="s">
        <v>2920</v>
      </c>
      <c r="F55">
        <v>36</v>
      </c>
      <c r="G55" t="s">
        <v>2900</v>
      </c>
      <c r="H55" t="s">
        <v>2524</v>
      </c>
      <c r="I55" t="s">
        <v>2282</v>
      </c>
      <c r="J55" t="s">
        <v>2667</v>
      </c>
      <c r="K55" t="s">
        <v>2841</v>
      </c>
      <c r="L55">
        <v>0</v>
      </c>
      <c r="M55">
        <v>0</v>
      </c>
      <c r="O55">
        <v>0</v>
      </c>
      <c r="P55">
        <v>0</v>
      </c>
      <c r="Q55">
        <v>0</v>
      </c>
      <c r="R55" s="49"/>
      <c r="T55" t="s">
        <v>2468</v>
      </c>
      <c r="U55" t="s">
        <v>127</v>
      </c>
      <c r="V55" t="s">
        <v>140</v>
      </c>
      <c r="W55">
        <v>125</v>
      </c>
      <c r="X55">
        <v>0</v>
      </c>
      <c r="AA55" t="s">
        <v>141</v>
      </c>
      <c r="AB55" t="s">
        <v>142</v>
      </c>
      <c r="AC55">
        <v>11611</v>
      </c>
      <c r="AD55">
        <v>11612</v>
      </c>
      <c r="AF55">
        <v>1</v>
      </c>
    </row>
    <row r="56" spans="1:32">
      <c r="A56">
        <v>2</v>
      </c>
      <c r="E56" t="s">
        <v>2921</v>
      </c>
      <c r="F56">
        <v>36</v>
      </c>
      <c r="G56" t="s">
        <v>2900</v>
      </c>
      <c r="H56" t="s">
        <v>2524</v>
      </c>
      <c r="I56" t="s">
        <v>2282</v>
      </c>
      <c r="J56" t="s">
        <v>1156</v>
      </c>
      <c r="K56" t="s">
        <v>2841</v>
      </c>
      <c r="L56">
        <v>0</v>
      </c>
      <c r="M56">
        <v>0</v>
      </c>
      <c r="O56">
        <v>0</v>
      </c>
      <c r="P56">
        <v>0</v>
      </c>
      <c r="Q56">
        <v>0</v>
      </c>
      <c r="R56" s="49"/>
      <c r="T56" t="s">
        <v>2468</v>
      </c>
      <c r="U56" t="s">
        <v>127</v>
      </c>
      <c r="V56" t="s">
        <v>140</v>
      </c>
      <c r="W56">
        <v>125</v>
      </c>
      <c r="X56">
        <v>0</v>
      </c>
      <c r="AA56" t="s">
        <v>141</v>
      </c>
      <c r="AB56" t="s">
        <v>142</v>
      </c>
      <c r="AC56">
        <v>11611</v>
      </c>
      <c r="AD56">
        <v>11612</v>
      </c>
      <c r="AF56">
        <v>1</v>
      </c>
    </row>
    <row r="57" spans="1:32">
      <c r="A57">
        <v>1</v>
      </c>
      <c r="E57" t="s">
        <v>2922</v>
      </c>
      <c r="F57">
        <v>36</v>
      </c>
      <c r="G57" t="s">
        <v>2900</v>
      </c>
      <c r="H57" t="s">
        <v>2524</v>
      </c>
      <c r="I57" t="s">
        <v>2282</v>
      </c>
      <c r="J57" t="s">
        <v>1158</v>
      </c>
      <c r="K57" t="s">
        <v>2841</v>
      </c>
      <c r="L57">
        <v>0</v>
      </c>
      <c r="M57">
        <v>0</v>
      </c>
      <c r="O57">
        <v>0</v>
      </c>
      <c r="P57">
        <v>0</v>
      </c>
      <c r="Q57">
        <v>0</v>
      </c>
      <c r="R57" s="49"/>
      <c r="T57" t="s">
        <v>2468</v>
      </c>
      <c r="U57" t="s">
        <v>127</v>
      </c>
      <c r="V57" t="s">
        <v>140</v>
      </c>
      <c r="W57">
        <v>60</v>
      </c>
      <c r="X57">
        <v>0</v>
      </c>
      <c r="AA57" t="s">
        <v>141</v>
      </c>
      <c r="AB57" t="s">
        <v>142</v>
      </c>
      <c r="AC57">
        <v>11611</v>
      </c>
      <c r="AD57">
        <v>11612</v>
      </c>
      <c r="AF57">
        <v>1</v>
      </c>
    </row>
    <row r="58" spans="1:32">
      <c r="A58">
        <v>1</v>
      </c>
      <c r="E58" t="s">
        <v>2923</v>
      </c>
      <c r="F58">
        <v>36</v>
      </c>
      <c r="G58" t="s">
        <v>2900</v>
      </c>
      <c r="H58" t="s">
        <v>2524</v>
      </c>
      <c r="I58" t="s">
        <v>2282</v>
      </c>
      <c r="J58" t="s">
        <v>2668</v>
      </c>
      <c r="K58" t="s">
        <v>2841</v>
      </c>
      <c r="L58">
        <v>0</v>
      </c>
      <c r="M58">
        <v>0</v>
      </c>
      <c r="O58">
        <v>0</v>
      </c>
      <c r="P58">
        <v>0</v>
      </c>
      <c r="Q58">
        <v>0</v>
      </c>
      <c r="R58" s="49"/>
      <c r="T58" t="s">
        <v>2468</v>
      </c>
      <c r="U58" t="s">
        <v>127</v>
      </c>
      <c r="V58" t="s">
        <v>140</v>
      </c>
      <c r="W58">
        <v>125</v>
      </c>
      <c r="X58">
        <v>0</v>
      </c>
      <c r="AA58" t="s">
        <v>141</v>
      </c>
      <c r="AB58" t="s">
        <v>142</v>
      </c>
      <c r="AC58">
        <v>11611</v>
      </c>
      <c r="AD58">
        <v>11612</v>
      </c>
      <c r="AF58">
        <v>1</v>
      </c>
    </row>
    <row r="59" spans="1:32">
      <c r="A59">
        <v>1</v>
      </c>
      <c r="E59" t="s">
        <v>2924</v>
      </c>
      <c r="F59">
        <v>36</v>
      </c>
      <c r="G59" t="s">
        <v>2900</v>
      </c>
      <c r="H59" t="s">
        <v>2524</v>
      </c>
      <c r="I59" t="s">
        <v>2282</v>
      </c>
      <c r="J59" t="s">
        <v>2669</v>
      </c>
      <c r="K59" t="s">
        <v>2841</v>
      </c>
      <c r="L59">
        <v>0</v>
      </c>
      <c r="M59">
        <v>0</v>
      </c>
      <c r="O59">
        <v>0</v>
      </c>
      <c r="P59">
        <v>0</v>
      </c>
      <c r="Q59">
        <v>0</v>
      </c>
      <c r="R59" s="49"/>
      <c r="T59" t="s">
        <v>2468</v>
      </c>
      <c r="U59" t="s">
        <v>127</v>
      </c>
      <c r="V59" t="s">
        <v>140</v>
      </c>
      <c r="W59">
        <v>60</v>
      </c>
      <c r="X59">
        <v>0</v>
      </c>
      <c r="AA59" t="s">
        <v>141</v>
      </c>
      <c r="AB59" t="s">
        <v>142</v>
      </c>
      <c r="AC59">
        <v>11611</v>
      </c>
      <c r="AD59">
        <v>11612</v>
      </c>
      <c r="AF59">
        <v>1</v>
      </c>
    </row>
    <row r="60" spans="1:32">
      <c r="A60">
        <v>2</v>
      </c>
      <c r="E60" t="s">
        <v>2925</v>
      </c>
      <c r="F60">
        <v>36</v>
      </c>
      <c r="G60" t="s">
        <v>2900</v>
      </c>
      <c r="H60" t="s">
        <v>2524</v>
      </c>
      <c r="I60" t="s">
        <v>2282</v>
      </c>
      <c r="J60" t="s">
        <v>1162</v>
      </c>
      <c r="K60" t="s">
        <v>2841</v>
      </c>
      <c r="L60">
        <v>0</v>
      </c>
      <c r="M60">
        <v>0</v>
      </c>
      <c r="O60">
        <v>0</v>
      </c>
      <c r="P60">
        <v>0</v>
      </c>
      <c r="Q60">
        <v>0</v>
      </c>
      <c r="R60" s="49"/>
      <c r="T60" t="s">
        <v>2468</v>
      </c>
      <c r="U60" t="s">
        <v>127</v>
      </c>
      <c r="V60" t="s">
        <v>140</v>
      </c>
      <c r="W60">
        <v>60</v>
      </c>
      <c r="X60">
        <v>0</v>
      </c>
      <c r="AA60" t="s">
        <v>141</v>
      </c>
      <c r="AB60" t="s">
        <v>142</v>
      </c>
      <c r="AC60">
        <v>11611</v>
      </c>
      <c r="AD60">
        <v>11612</v>
      </c>
      <c r="AF60">
        <v>1</v>
      </c>
    </row>
    <row r="61" spans="1:32">
      <c r="A61">
        <v>1</v>
      </c>
      <c r="E61" t="s">
        <v>2926</v>
      </c>
      <c r="F61">
        <v>36</v>
      </c>
      <c r="G61" t="s">
        <v>2900</v>
      </c>
      <c r="H61" t="s">
        <v>2524</v>
      </c>
      <c r="I61" t="s">
        <v>2282</v>
      </c>
      <c r="J61" t="s">
        <v>1164</v>
      </c>
      <c r="K61" t="s">
        <v>2841</v>
      </c>
      <c r="L61">
        <v>0</v>
      </c>
      <c r="M61">
        <v>0</v>
      </c>
      <c r="O61">
        <v>0</v>
      </c>
      <c r="P61">
        <v>0</v>
      </c>
      <c r="Q61">
        <v>0</v>
      </c>
      <c r="R61" s="49"/>
      <c r="T61" t="s">
        <v>2468</v>
      </c>
      <c r="U61" t="s">
        <v>127</v>
      </c>
      <c r="V61" t="s">
        <v>140</v>
      </c>
      <c r="W61">
        <v>125</v>
      </c>
      <c r="X61">
        <v>0</v>
      </c>
      <c r="AA61" t="s">
        <v>141</v>
      </c>
      <c r="AB61" t="s">
        <v>142</v>
      </c>
      <c r="AC61">
        <v>11611</v>
      </c>
      <c r="AD61">
        <v>11612</v>
      </c>
      <c r="AF61">
        <v>1</v>
      </c>
    </row>
    <row r="62" spans="1:32">
      <c r="A62">
        <v>1</v>
      </c>
      <c r="E62" t="s">
        <v>2927</v>
      </c>
      <c r="F62">
        <v>36</v>
      </c>
      <c r="G62" t="s">
        <v>2900</v>
      </c>
      <c r="H62" t="s">
        <v>2524</v>
      </c>
      <c r="I62" t="s">
        <v>2282</v>
      </c>
      <c r="J62" t="s">
        <v>1166</v>
      </c>
      <c r="K62" t="s">
        <v>2841</v>
      </c>
      <c r="L62">
        <v>0</v>
      </c>
      <c r="M62">
        <v>0</v>
      </c>
      <c r="O62">
        <v>0</v>
      </c>
      <c r="P62">
        <v>0</v>
      </c>
      <c r="Q62">
        <v>0</v>
      </c>
      <c r="R62" s="49"/>
      <c r="T62" t="s">
        <v>2468</v>
      </c>
      <c r="U62" t="s">
        <v>127</v>
      </c>
      <c r="V62" t="s">
        <v>140</v>
      </c>
      <c r="W62">
        <v>60</v>
      </c>
      <c r="X62">
        <v>0</v>
      </c>
      <c r="AA62" t="s">
        <v>141</v>
      </c>
      <c r="AB62" t="s">
        <v>142</v>
      </c>
      <c r="AC62">
        <v>11611</v>
      </c>
      <c r="AD62">
        <v>11612</v>
      </c>
      <c r="AF62">
        <v>1</v>
      </c>
    </row>
    <row r="63" spans="1:32">
      <c r="A63">
        <v>1</v>
      </c>
      <c r="E63" t="s">
        <v>2928</v>
      </c>
      <c r="F63">
        <v>36</v>
      </c>
      <c r="G63" t="s">
        <v>2900</v>
      </c>
      <c r="H63" t="s">
        <v>2524</v>
      </c>
      <c r="I63" t="s">
        <v>2282</v>
      </c>
      <c r="J63" t="s">
        <v>1168</v>
      </c>
      <c r="K63" t="s">
        <v>2841</v>
      </c>
      <c r="L63">
        <v>0</v>
      </c>
      <c r="M63">
        <v>0</v>
      </c>
      <c r="O63">
        <v>0</v>
      </c>
      <c r="P63">
        <v>0</v>
      </c>
      <c r="Q63">
        <v>0</v>
      </c>
      <c r="R63" s="49"/>
      <c r="T63" t="s">
        <v>2468</v>
      </c>
      <c r="U63" t="s">
        <v>127</v>
      </c>
      <c r="V63" t="s">
        <v>140</v>
      </c>
      <c r="W63">
        <v>125</v>
      </c>
      <c r="X63">
        <v>0</v>
      </c>
      <c r="AA63" t="s">
        <v>141</v>
      </c>
      <c r="AB63" t="s">
        <v>142</v>
      </c>
      <c r="AC63">
        <v>11611</v>
      </c>
      <c r="AD63">
        <v>11612</v>
      </c>
      <c r="AF63">
        <v>1</v>
      </c>
    </row>
    <row r="64" spans="1:32">
      <c r="A64">
        <v>1</v>
      </c>
      <c r="E64" t="s">
        <v>2929</v>
      </c>
      <c r="F64">
        <v>36</v>
      </c>
      <c r="G64" t="s">
        <v>2900</v>
      </c>
      <c r="H64" t="s">
        <v>2524</v>
      </c>
      <c r="I64" t="s">
        <v>2282</v>
      </c>
      <c r="J64" t="s">
        <v>1170</v>
      </c>
      <c r="K64" t="s">
        <v>2841</v>
      </c>
      <c r="L64">
        <v>0</v>
      </c>
      <c r="M64">
        <v>0</v>
      </c>
      <c r="O64">
        <v>0</v>
      </c>
      <c r="P64">
        <v>0</v>
      </c>
      <c r="Q64">
        <v>0</v>
      </c>
      <c r="R64" s="49"/>
      <c r="T64" t="s">
        <v>2468</v>
      </c>
      <c r="U64" t="s">
        <v>127</v>
      </c>
      <c r="V64" t="s">
        <v>140</v>
      </c>
      <c r="W64">
        <v>100</v>
      </c>
      <c r="X64">
        <v>0</v>
      </c>
      <c r="AA64" t="s">
        <v>141</v>
      </c>
      <c r="AB64" t="s">
        <v>142</v>
      </c>
      <c r="AC64">
        <v>11611</v>
      </c>
      <c r="AD64">
        <v>11612</v>
      </c>
      <c r="AF64">
        <v>1</v>
      </c>
    </row>
    <row r="65" spans="1:32">
      <c r="A65">
        <v>1</v>
      </c>
      <c r="E65" t="s">
        <v>2930</v>
      </c>
      <c r="F65">
        <v>36</v>
      </c>
      <c r="G65" t="s">
        <v>2900</v>
      </c>
      <c r="H65" t="s">
        <v>2524</v>
      </c>
      <c r="I65" t="s">
        <v>2282</v>
      </c>
      <c r="J65" t="s">
        <v>1172</v>
      </c>
      <c r="K65" t="s">
        <v>2841</v>
      </c>
      <c r="L65">
        <v>0</v>
      </c>
      <c r="M65">
        <v>0</v>
      </c>
      <c r="O65">
        <v>0</v>
      </c>
      <c r="P65">
        <v>0</v>
      </c>
      <c r="Q65">
        <v>0</v>
      </c>
      <c r="R65" s="49"/>
      <c r="T65" t="s">
        <v>2468</v>
      </c>
      <c r="U65" t="s">
        <v>127</v>
      </c>
      <c r="V65" t="s">
        <v>140</v>
      </c>
      <c r="W65">
        <v>125</v>
      </c>
      <c r="X65">
        <v>0</v>
      </c>
      <c r="AA65" t="s">
        <v>141</v>
      </c>
      <c r="AB65" t="s">
        <v>142</v>
      </c>
      <c r="AC65">
        <v>11611</v>
      </c>
      <c r="AD65">
        <v>11612</v>
      </c>
      <c r="AF65">
        <v>1</v>
      </c>
    </row>
    <row r="66" spans="1:32">
      <c r="A66">
        <v>1</v>
      </c>
      <c r="E66" t="s">
        <v>2931</v>
      </c>
      <c r="F66">
        <v>36</v>
      </c>
      <c r="G66" t="s">
        <v>2900</v>
      </c>
      <c r="H66" t="s">
        <v>2524</v>
      </c>
      <c r="I66" t="s">
        <v>2282</v>
      </c>
      <c r="J66" t="s">
        <v>1174</v>
      </c>
      <c r="K66" t="s">
        <v>2841</v>
      </c>
      <c r="L66">
        <v>0</v>
      </c>
      <c r="M66">
        <v>0</v>
      </c>
      <c r="O66">
        <v>0</v>
      </c>
      <c r="P66">
        <v>0</v>
      </c>
      <c r="Q66">
        <v>0</v>
      </c>
      <c r="R66" s="49"/>
      <c r="T66" t="s">
        <v>2468</v>
      </c>
      <c r="U66" t="s">
        <v>127</v>
      </c>
      <c r="V66" t="s">
        <v>140</v>
      </c>
      <c r="W66">
        <v>125</v>
      </c>
      <c r="X66">
        <v>0</v>
      </c>
      <c r="AA66" t="s">
        <v>141</v>
      </c>
      <c r="AB66" t="s">
        <v>142</v>
      </c>
      <c r="AC66">
        <v>11611</v>
      </c>
      <c r="AD66">
        <v>11612</v>
      </c>
      <c r="AF66">
        <v>1</v>
      </c>
    </row>
    <row r="67" spans="1:32">
      <c r="A67">
        <v>1</v>
      </c>
      <c r="E67" t="s">
        <v>2932</v>
      </c>
      <c r="F67">
        <v>36</v>
      </c>
      <c r="G67" t="s">
        <v>2900</v>
      </c>
      <c r="H67" t="s">
        <v>2524</v>
      </c>
      <c r="I67" t="s">
        <v>2282</v>
      </c>
      <c r="J67" t="s">
        <v>1176</v>
      </c>
      <c r="K67" t="s">
        <v>2841</v>
      </c>
      <c r="L67">
        <v>0</v>
      </c>
      <c r="M67">
        <v>0</v>
      </c>
      <c r="O67">
        <v>0</v>
      </c>
      <c r="P67">
        <v>0</v>
      </c>
      <c r="Q67">
        <v>0</v>
      </c>
      <c r="R67" s="49"/>
      <c r="T67" t="s">
        <v>2468</v>
      </c>
      <c r="U67" t="s">
        <v>127</v>
      </c>
      <c r="V67" t="s">
        <v>140</v>
      </c>
      <c r="W67">
        <v>125</v>
      </c>
      <c r="X67">
        <v>0</v>
      </c>
      <c r="AA67" t="s">
        <v>141</v>
      </c>
      <c r="AB67" t="s">
        <v>142</v>
      </c>
      <c r="AC67">
        <v>11611</v>
      </c>
      <c r="AD67">
        <v>11612</v>
      </c>
      <c r="AF67">
        <v>1</v>
      </c>
    </row>
    <row r="68" spans="1:32">
      <c r="A68">
        <v>1</v>
      </c>
      <c r="E68" t="s">
        <v>2933</v>
      </c>
      <c r="F68">
        <v>36</v>
      </c>
      <c r="G68" t="s">
        <v>2900</v>
      </c>
      <c r="H68" t="s">
        <v>2524</v>
      </c>
      <c r="I68" t="s">
        <v>2282</v>
      </c>
      <c r="J68" t="s">
        <v>1178</v>
      </c>
      <c r="K68" t="s">
        <v>2841</v>
      </c>
      <c r="L68">
        <v>0</v>
      </c>
      <c r="M68">
        <v>0</v>
      </c>
      <c r="O68">
        <v>0</v>
      </c>
      <c r="P68">
        <v>0</v>
      </c>
      <c r="Q68">
        <v>0</v>
      </c>
      <c r="R68" s="49"/>
      <c r="T68" t="s">
        <v>2468</v>
      </c>
      <c r="U68" t="s">
        <v>127</v>
      </c>
      <c r="V68" t="s">
        <v>140</v>
      </c>
      <c r="W68">
        <v>125</v>
      </c>
      <c r="X68">
        <v>0</v>
      </c>
      <c r="AA68" t="s">
        <v>141</v>
      </c>
      <c r="AB68" t="s">
        <v>142</v>
      </c>
      <c r="AC68">
        <v>11611</v>
      </c>
      <c r="AD68">
        <v>11612</v>
      </c>
      <c r="AF68">
        <v>1</v>
      </c>
    </row>
    <row r="69" spans="1:32">
      <c r="A69">
        <v>1</v>
      </c>
      <c r="E69" t="s">
        <v>2934</v>
      </c>
      <c r="F69">
        <v>36</v>
      </c>
      <c r="G69" t="s">
        <v>2900</v>
      </c>
      <c r="H69" t="s">
        <v>2524</v>
      </c>
      <c r="I69" t="s">
        <v>2282</v>
      </c>
      <c r="J69" t="s">
        <v>1180</v>
      </c>
      <c r="K69" t="s">
        <v>2841</v>
      </c>
      <c r="L69">
        <v>0</v>
      </c>
      <c r="M69">
        <v>0</v>
      </c>
      <c r="O69">
        <v>0</v>
      </c>
      <c r="P69">
        <v>0</v>
      </c>
      <c r="Q69">
        <v>0</v>
      </c>
      <c r="R69" s="49"/>
      <c r="T69" t="s">
        <v>2468</v>
      </c>
      <c r="U69" t="s">
        <v>127</v>
      </c>
      <c r="V69" t="s">
        <v>140</v>
      </c>
      <c r="W69">
        <v>125</v>
      </c>
      <c r="X69">
        <v>0</v>
      </c>
      <c r="AA69" t="s">
        <v>141</v>
      </c>
      <c r="AB69" t="s">
        <v>142</v>
      </c>
      <c r="AC69">
        <v>11611</v>
      </c>
      <c r="AD69">
        <v>11612</v>
      </c>
      <c r="AF69">
        <v>1</v>
      </c>
    </row>
    <row r="70" spans="1:32">
      <c r="A70">
        <v>1</v>
      </c>
      <c r="E70" t="s">
        <v>2935</v>
      </c>
      <c r="F70">
        <v>36</v>
      </c>
      <c r="G70" t="s">
        <v>2900</v>
      </c>
      <c r="H70" t="s">
        <v>2524</v>
      </c>
      <c r="I70" t="s">
        <v>2282</v>
      </c>
      <c r="J70" t="s">
        <v>1182</v>
      </c>
      <c r="K70" t="s">
        <v>2841</v>
      </c>
      <c r="L70">
        <v>0</v>
      </c>
      <c r="M70">
        <v>0</v>
      </c>
      <c r="O70">
        <v>0</v>
      </c>
      <c r="P70">
        <v>0</v>
      </c>
      <c r="Q70">
        <v>0</v>
      </c>
      <c r="R70" s="49"/>
      <c r="T70" t="s">
        <v>2468</v>
      </c>
      <c r="U70" t="s">
        <v>127</v>
      </c>
      <c r="V70" t="s">
        <v>140</v>
      </c>
      <c r="W70">
        <v>125</v>
      </c>
      <c r="X70">
        <v>0</v>
      </c>
      <c r="AA70" t="s">
        <v>141</v>
      </c>
      <c r="AB70" t="s">
        <v>142</v>
      </c>
      <c r="AC70">
        <v>11611</v>
      </c>
      <c r="AD70">
        <v>11612</v>
      </c>
      <c r="AF70">
        <v>1</v>
      </c>
    </row>
    <row r="71" spans="1:32">
      <c r="A71">
        <v>1</v>
      </c>
      <c r="E71" t="s">
        <v>2936</v>
      </c>
      <c r="F71">
        <v>48</v>
      </c>
      <c r="G71" t="s">
        <v>2900</v>
      </c>
      <c r="H71" t="s">
        <v>2524</v>
      </c>
      <c r="I71" t="s">
        <v>2284</v>
      </c>
      <c r="J71" t="s">
        <v>1190</v>
      </c>
      <c r="K71" t="s">
        <v>2843</v>
      </c>
      <c r="L71">
        <v>0</v>
      </c>
      <c r="M71">
        <v>0</v>
      </c>
      <c r="O71">
        <v>0</v>
      </c>
      <c r="P71">
        <v>0</v>
      </c>
      <c r="Q71">
        <v>0</v>
      </c>
      <c r="R71" s="49"/>
      <c r="T71" t="s">
        <v>2468</v>
      </c>
      <c r="U71" t="s">
        <v>127</v>
      </c>
      <c r="V71" t="s">
        <v>140</v>
      </c>
      <c r="W71">
        <v>45</v>
      </c>
      <c r="X71">
        <v>0</v>
      </c>
      <c r="AA71" t="s">
        <v>141</v>
      </c>
      <c r="AB71" t="s">
        <v>142</v>
      </c>
      <c r="AC71">
        <v>11611</v>
      </c>
      <c r="AD71">
        <v>11612</v>
      </c>
      <c r="AF71">
        <v>1</v>
      </c>
    </row>
    <row r="72" spans="1:32">
      <c r="A72">
        <v>1</v>
      </c>
      <c r="E72" t="s">
        <v>2937</v>
      </c>
      <c r="F72">
        <v>24</v>
      </c>
      <c r="G72" t="s">
        <v>2900</v>
      </c>
      <c r="H72" t="s">
        <v>2524</v>
      </c>
      <c r="I72" t="s">
        <v>2286</v>
      </c>
      <c r="J72" t="s">
        <v>2670</v>
      </c>
      <c r="K72" t="s">
        <v>2840</v>
      </c>
      <c r="L72">
        <v>0</v>
      </c>
      <c r="M72">
        <v>0</v>
      </c>
      <c r="O72">
        <v>0</v>
      </c>
      <c r="P72">
        <v>0</v>
      </c>
      <c r="Q72">
        <v>0</v>
      </c>
      <c r="R72" s="49"/>
      <c r="T72" t="s">
        <v>2468</v>
      </c>
      <c r="U72" t="s">
        <v>127</v>
      </c>
      <c r="V72" t="s">
        <v>140</v>
      </c>
      <c r="W72">
        <v>50</v>
      </c>
      <c r="X72">
        <v>0</v>
      </c>
      <c r="AA72" t="s">
        <v>141</v>
      </c>
      <c r="AB72" t="s">
        <v>142</v>
      </c>
      <c r="AC72">
        <v>11611</v>
      </c>
      <c r="AD72">
        <v>11612</v>
      </c>
      <c r="AF72">
        <v>1</v>
      </c>
    </row>
    <row r="73" spans="1:32">
      <c r="A73">
        <v>1</v>
      </c>
      <c r="E73" t="s">
        <v>2938</v>
      </c>
      <c r="F73">
        <v>24</v>
      </c>
      <c r="G73" t="s">
        <v>2900</v>
      </c>
      <c r="H73" t="s">
        <v>2524</v>
      </c>
      <c r="I73" t="s">
        <v>2286</v>
      </c>
      <c r="J73" t="s">
        <v>2671</v>
      </c>
      <c r="K73" t="s">
        <v>2840</v>
      </c>
      <c r="L73">
        <v>0</v>
      </c>
      <c r="M73">
        <v>0</v>
      </c>
      <c r="O73">
        <v>0</v>
      </c>
      <c r="P73">
        <v>0</v>
      </c>
      <c r="Q73">
        <v>0</v>
      </c>
      <c r="R73" s="49"/>
      <c r="T73" t="s">
        <v>2468</v>
      </c>
      <c r="U73" t="s">
        <v>127</v>
      </c>
      <c r="V73" t="s">
        <v>140</v>
      </c>
      <c r="W73">
        <v>45</v>
      </c>
      <c r="X73">
        <v>0</v>
      </c>
      <c r="AA73" t="s">
        <v>141</v>
      </c>
      <c r="AB73" t="s">
        <v>142</v>
      </c>
      <c r="AC73">
        <v>11611</v>
      </c>
      <c r="AD73">
        <v>11612</v>
      </c>
      <c r="AF73">
        <v>1</v>
      </c>
    </row>
    <row r="74" spans="1:32">
      <c r="A74">
        <v>1</v>
      </c>
      <c r="E74" t="s">
        <v>2939</v>
      </c>
      <c r="F74">
        <v>24</v>
      </c>
      <c r="G74" t="s">
        <v>2900</v>
      </c>
      <c r="H74" t="s">
        <v>2524</v>
      </c>
      <c r="I74" t="s">
        <v>2274</v>
      </c>
      <c r="J74" t="s">
        <v>2672</v>
      </c>
      <c r="K74" t="s">
        <v>2840</v>
      </c>
      <c r="L74">
        <v>0</v>
      </c>
      <c r="M74">
        <v>0</v>
      </c>
      <c r="O74">
        <v>0</v>
      </c>
      <c r="P74">
        <v>0</v>
      </c>
      <c r="Q74">
        <v>0</v>
      </c>
      <c r="R74" s="49"/>
      <c r="T74" t="s">
        <v>2468</v>
      </c>
      <c r="U74" t="s">
        <v>127</v>
      </c>
      <c r="V74" t="s">
        <v>140</v>
      </c>
      <c r="W74">
        <v>100</v>
      </c>
      <c r="X74">
        <v>0</v>
      </c>
      <c r="AA74" t="s">
        <v>141</v>
      </c>
      <c r="AB74" t="s">
        <v>142</v>
      </c>
      <c r="AC74">
        <v>11611</v>
      </c>
      <c r="AD74">
        <v>11612</v>
      </c>
      <c r="AF74">
        <v>1</v>
      </c>
    </row>
    <row r="75" spans="1:32">
      <c r="A75">
        <v>1</v>
      </c>
      <c r="E75" t="s">
        <v>2940</v>
      </c>
      <c r="F75">
        <v>24</v>
      </c>
      <c r="G75" t="s">
        <v>2900</v>
      </c>
      <c r="H75" t="s">
        <v>2524</v>
      </c>
      <c r="I75" t="s">
        <v>2274</v>
      </c>
      <c r="J75" t="s">
        <v>2673</v>
      </c>
      <c r="K75" t="s">
        <v>2840</v>
      </c>
      <c r="L75">
        <v>0</v>
      </c>
      <c r="M75">
        <v>0</v>
      </c>
      <c r="O75">
        <v>0</v>
      </c>
      <c r="P75">
        <v>0</v>
      </c>
      <c r="Q75">
        <v>0</v>
      </c>
      <c r="R75" s="49"/>
      <c r="T75" t="s">
        <v>2468</v>
      </c>
      <c r="U75" t="s">
        <v>127</v>
      </c>
      <c r="V75" t="s">
        <v>140</v>
      </c>
      <c r="W75">
        <v>100</v>
      </c>
      <c r="X75">
        <v>0</v>
      </c>
      <c r="AA75" t="s">
        <v>141</v>
      </c>
      <c r="AB75" t="s">
        <v>142</v>
      </c>
      <c r="AC75">
        <v>11611</v>
      </c>
      <c r="AD75">
        <v>11612</v>
      </c>
      <c r="AF75">
        <v>1</v>
      </c>
    </row>
    <row r="76" spans="1:32">
      <c r="A76">
        <v>1</v>
      </c>
      <c r="E76" t="s">
        <v>2941</v>
      </c>
      <c r="F76">
        <v>24</v>
      </c>
      <c r="G76" t="s">
        <v>2900</v>
      </c>
      <c r="H76" t="s">
        <v>2524</v>
      </c>
      <c r="I76" t="s">
        <v>2274</v>
      </c>
      <c r="J76" t="s">
        <v>2674</v>
      </c>
      <c r="K76" t="s">
        <v>2840</v>
      </c>
      <c r="L76">
        <v>0</v>
      </c>
      <c r="M76">
        <v>0</v>
      </c>
      <c r="O76">
        <v>0</v>
      </c>
      <c r="P76">
        <v>0</v>
      </c>
      <c r="Q76">
        <v>0</v>
      </c>
      <c r="R76" s="49"/>
      <c r="T76" t="s">
        <v>2468</v>
      </c>
      <c r="U76" t="s">
        <v>127</v>
      </c>
      <c r="V76" t="s">
        <v>140</v>
      </c>
      <c r="W76">
        <v>100</v>
      </c>
      <c r="X76">
        <v>0</v>
      </c>
      <c r="AA76" t="s">
        <v>141</v>
      </c>
      <c r="AB76" t="s">
        <v>142</v>
      </c>
      <c r="AC76">
        <v>11611</v>
      </c>
      <c r="AD76">
        <v>11612</v>
      </c>
      <c r="AF76">
        <v>1</v>
      </c>
    </row>
    <row r="77" spans="1:32">
      <c r="A77">
        <v>1</v>
      </c>
      <c r="E77" t="s">
        <v>2942</v>
      </c>
      <c r="F77">
        <v>24</v>
      </c>
      <c r="G77" t="s">
        <v>2900</v>
      </c>
      <c r="H77" t="s">
        <v>2524</v>
      </c>
      <c r="I77" t="s">
        <v>2274</v>
      </c>
      <c r="J77" t="s">
        <v>2675</v>
      </c>
      <c r="K77" t="s">
        <v>2840</v>
      </c>
      <c r="L77">
        <v>0</v>
      </c>
      <c r="M77">
        <v>0</v>
      </c>
      <c r="O77">
        <v>0</v>
      </c>
      <c r="P77">
        <v>0</v>
      </c>
      <c r="Q77">
        <v>0</v>
      </c>
      <c r="R77" s="49"/>
      <c r="T77" t="s">
        <v>2468</v>
      </c>
      <c r="U77" t="s">
        <v>127</v>
      </c>
      <c r="V77" t="s">
        <v>140</v>
      </c>
      <c r="W77">
        <v>100</v>
      </c>
      <c r="X77">
        <v>0</v>
      </c>
      <c r="AA77" t="s">
        <v>141</v>
      </c>
      <c r="AB77" t="s">
        <v>142</v>
      </c>
      <c r="AC77">
        <v>11611</v>
      </c>
      <c r="AD77">
        <v>11612</v>
      </c>
      <c r="AF77">
        <v>1</v>
      </c>
    </row>
    <row r="78" spans="1:32">
      <c r="A78">
        <v>1</v>
      </c>
      <c r="E78" t="s">
        <v>2943</v>
      </c>
      <c r="F78">
        <v>24</v>
      </c>
      <c r="G78" t="s">
        <v>2900</v>
      </c>
      <c r="H78" t="s">
        <v>2524</v>
      </c>
      <c r="I78" t="s">
        <v>2274</v>
      </c>
      <c r="J78" t="s">
        <v>1204</v>
      </c>
      <c r="K78" t="s">
        <v>2840</v>
      </c>
      <c r="L78">
        <v>0</v>
      </c>
      <c r="M78">
        <v>0</v>
      </c>
      <c r="O78">
        <v>0</v>
      </c>
      <c r="P78">
        <v>0</v>
      </c>
      <c r="Q78">
        <v>0</v>
      </c>
      <c r="R78" s="49"/>
      <c r="T78" t="s">
        <v>2468</v>
      </c>
      <c r="U78" t="s">
        <v>127</v>
      </c>
      <c r="V78" t="s">
        <v>140</v>
      </c>
      <c r="W78">
        <v>100</v>
      </c>
      <c r="X78">
        <v>0</v>
      </c>
      <c r="AA78" t="s">
        <v>141</v>
      </c>
      <c r="AB78" t="s">
        <v>142</v>
      </c>
      <c r="AC78">
        <v>11611</v>
      </c>
      <c r="AD78">
        <v>11612</v>
      </c>
      <c r="AF78">
        <v>1</v>
      </c>
    </row>
    <row r="79" spans="1:32">
      <c r="A79">
        <v>1</v>
      </c>
      <c r="E79" t="s">
        <v>2944</v>
      </c>
      <c r="F79">
        <v>24</v>
      </c>
      <c r="G79" t="s">
        <v>2900</v>
      </c>
      <c r="H79" t="s">
        <v>2524</v>
      </c>
      <c r="I79" t="s">
        <v>2274</v>
      </c>
      <c r="J79" t="s">
        <v>1206</v>
      </c>
      <c r="K79" t="s">
        <v>2840</v>
      </c>
      <c r="L79">
        <v>0</v>
      </c>
      <c r="M79">
        <v>0</v>
      </c>
      <c r="O79">
        <v>0</v>
      </c>
      <c r="P79">
        <v>0</v>
      </c>
      <c r="Q79">
        <v>0</v>
      </c>
      <c r="R79" s="49"/>
      <c r="T79" t="s">
        <v>2468</v>
      </c>
      <c r="U79" t="s">
        <v>127</v>
      </c>
      <c r="V79" t="s">
        <v>140</v>
      </c>
      <c r="W79">
        <v>100</v>
      </c>
      <c r="X79">
        <v>0</v>
      </c>
      <c r="AA79" t="s">
        <v>141</v>
      </c>
      <c r="AB79" t="s">
        <v>142</v>
      </c>
      <c r="AC79">
        <v>11611</v>
      </c>
      <c r="AD79">
        <v>11612</v>
      </c>
      <c r="AF79">
        <v>1</v>
      </c>
    </row>
    <row r="80" spans="1:32">
      <c r="A80">
        <v>1</v>
      </c>
      <c r="E80" t="s">
        <v>2945</v>
      </c>
      <c r="F80">
        <v>24</v>
      </c>
      <c r="G80" t="s">
        <v>2900</v>
      </c>
      <c r="H80" t="s">
        <v>2524</v>
      </c>
      <c r="I80" t="s">
        <v>2274</v>
      </c>
      <c r="J80" t="s">
        <v>1208</v>
      </c>
      <c r="K80" t="s">
        <v>2840</v>
      </c>
      <c r="L80">
        <v>0</v>
      </c>
      <c r="M80">
        <v>0</v>
      </c>
      <c r="O80">
        <v>0</v>
      </c>
      <c r="P80">
        <v>0</v>
      </c>
      <c r="Q80">
        <v>0</v>
      </c>
      <c r="R80" s="49"/>
      <c r="T80" t="s">
        <v>2468</v>
      </c>
      <c r="U80" t="s">
        <v>127</v>
      </c>
      <c r="V80" t="s">
        <v>140</v>
      </c>
      <c r="W80">
        <v>100</v>
      </c>
      <c r="X80">
        <v>0</v>
      </c>
      <c r="AA80" t="s">
        <v>141</v>
      </c>
      <c r="AB80" t="s">
        <v>142</v>
      </c>
      <c r="AC80">
        <v>11611</v>
      </c>
      <c r="AD80">
        <v>11612</v>
      </c>
      <c r="AF80">
        <v>1</v>
      </c>
    </row>
    <row r="81" spans="1:32">
      <c r="A81">
        <v>1</v>
      </c>
      <c r="E81" t="s">
        <v>2946</v>
      </c>
      <c r="F81">
        <v>24</v>
      </c>
      <c r="G81" t="s">
        <v>2900</v>
      </c>
      <c r="H81" t="s">
        <v>2524</v>
      </c>
      <c r="I81" t="s">
        <v>2274</v>
      </c>
      <c r="J81" t="s">
        <v>1210</v>
      </c>
      <c r="K81" t="s">
        <v>2840</v>
      </c>
      <c r="L81">
        <v>0</v>
      </c>
      <c r="M81">
        <v>0</v>
      </c>
      <c r="O81">
        <v>0</v>
      </c>
      <c r="P81">
        <v>0</v>
      </c>
      <c r="Q81">
        <v>0</v>
      </c>
      <c r="R81" s="49"/>
      <c r="T81" t="s">
        <v>2468</v>
      </c>
      <c r="U81" t="s">
        <v>127</v>
      </c>
      <c r="V81" t="s">
        <v>140</v>
      </c>
      <c r="W81">
        <v>100</v>
      </c>
      <c r="X81">
        <v>0</v>
      </c>
      <c r="AA81" t="s">
        <v>141</v>
      </c>
      <c r="AB81" t="s">
        <v>142</v>
      </c>
      <c r="AC81">
        <v>11611</v>
      </c>
      <c r="AD81">
        <v>11612</v>
      </c>
      <c r="AF81">
        <v>1</v>
      </c>
    </row>
    <row r="82" spans="1:32">
      <c r="A82">
        <v>1</v>
      </c>
      <c r="E82" t="s">
        <v>2947</v>
      </c>
      <c r="F82">
        <v>24</v>
      </c>
      <c r="G82" t="s">
        <v>2900</v>
      </c>
      <c r="H82" t="s">
        <v>2524</v>
      </c>
      <c r="I82" t="s">
        <v>2276</v>
      </c>
      <c r="J82" t="s">
        <v>1212</v>
      </c>
      <c r="K82" t="s">
        <v>2840</v>
      </c>
      <c r="L82">
        <v>0</v>
      </c>
      <c r="M82">
        <v>0</v>
      </c>
      <c r="O82">
        <v>0</v>
      </c>
      <c r="P82">
        <v>0</v>
      </c>
      <c r="Q82">
        <v>0</v>
      </c>
      <c r="R82" s="49"/>
      <c r="T82" t="s">
        <v>2468</v>
      </c>
      <c r="U82" t="s">
        <v>127</v>
      </c>
      <c r="V82" t="s">
        <v>140</v>
      </c>
      <c r="W82">
        <v>110</v>
      </c>
      <c r="X82">
        <v>0</v>
      </c>
      <c r="AA82" t="s">
        <v>141</v>
      </c>
      <c r="AB82" t="s">
        <v>142</v>
      </c>
      <c r="AC82">
        <v>11611</v>
      </c>
      <c r="AD82">
        <v>11612</v>
      </c>
      <c r="AF82">
        <v>1</v>
      </c>
    </row>
    <row r="83" spans="1:32">
      <c r="A83">
        <v>1</v>
      </c>
      <c r="E83" t="s">
        <v>2948</v>
      </c>
      <c r="F83">
        <v>24</v>
      </c>
      <c r="G83" t="s">
        <v>2900</v>
      </c>
      <c r="H83" t="s">
        <v>2524</v>
      </c>
      <c r="I83" t="s">
        <v>2278</v>
      </c>
      <c r="J83" t="s">
        <v>2676</v>
      </c>
      <c r="K83" t="s">
        <v>2840</v>
      </c>
      <c r="L83">
        <v>0</v>
      </c>
      <c r="M83">
        <v>0</v>
      </c>
      <c r="O83">
        <v>0</v>
      </c>
      <c r="P83">
        <v>0</v>
      </c>
      <c r="Q83">
        <v>0</v>
      </c>
      <c r="R83" s="49"/>
      <c r="T83" t="s">
        <v>2468</v>
      </c>
      <c r="U83" t="s">
        <v>127</v>
      </c>
      <c r="V83" t="s">
        <v>140</v>
      </c>
      <c r="W83">
        <v>50</v>
      </c>
      <c r="X83">
        <v>0</v>
      </c>
      <c r="AA83" t="s">
        <v>141</v>
      </c>
      <c r="AB83" t="s">
        <v>142</v>
      </c>
      <c r="AC83">
        <v>11611</v>
      </c>
      <c r="AD83">
        <v>11612</v>
      </c>
      <c r="AF83">
        <v>1</v>
      </c>
    </row>
    <row r="84" spans="1:32">
      <c r="A84">
        <v>1</v>
      </c>
      <c r="E84" t="s">
        <v>2949</v>
      </c>
      <c r="F84">
        <v>24</v>
      </c>
      <c r="G84" t="s">
        <v>2900</v>
      </c>
      <c r="H84" t="s">
        <v>2524</v>
      </c>
      <c r="I84" t="s">
        <v>2278</v>
      </c>
      <c r="J84" t="s">
        <v>2412</v>
      </c>
      <c r="K84" t="s">
        <v>2840</v>
      </c>
      <c r="L84">
        <v>0</v>
      </c>
      <c r="M84">
        <v>0</v>
      </c>
      <c r="O84">
        <v>0</v>
      </c>
      <c r="P84">
        <v>0</v>
      </c>
      <c r="Q84">
        <v>0</v>
      </c>
      <c r="R84" s="49"/>
      <c r="T84" t="s">
        <v>2468</v>
      </c>
      <c r="U84" t="s">
        <v>127</v>
      </c>
      <c r="V84" t="s">
        <v>140</v>
      </c>
      <c r="W84">
        <v>200</v>
      </c>
      <c r="X84">
        <v>0</v>
      </c>
      <c r="AA84" t="s">
        <v>141</v>
      </c>
      <c r="AB84" t="s">
        <v>142</v>
      </c>
      <c r="AC84">
        <v>11611</v>
      </c>
      <c r="AD84">
        <v>11612</v>
      </c>
      <c r="AF84">
        <v>1</v>
      </c>
    </row>
    <row r="85" spans="1:32">
      <c r="A85">
        <v>1</v>
      </c>
      <c r="E85" t="s">
        <v>2950</v>
      </c>
      <c r="F85">
        <v>24</v>
      </c>
      <c r="G85" t="s">
        <v>2900</v>
      </c>
      <c r="H85" t="s">
        <v>2524</v>
      </c>
      <c r="I85" t="s">
        <v>2278</v>
      </c>
      <c r="J85" t="s">
        <v>2677</v>
      </c>
      <c r="K85" t="s">
        <v>2840</v>
      </c>
      <c r="L85">
        <v>0</v>
      </c>
      <c r="M85">
        <v>0</v>
      </c>
      <c r="O85">
        <v>0</v>
      </c>
      <c r="P85">
        <v>0</v>
      </c>
      <c r="Q85">
        <v>0</v>
      </c>
      <c r="R85" s="49"/>
      <c r="T85" t="s">
        <v>2468</v>
      </c>
      <c r="U85" t="s">
        <v>127</v>
      </c>
      <c r="V85" t="s">
        <v>140</v>
      </c>
      <c r="W85">
        <v>50</v>
      </c>
      <c r="X85">
        <v>0</v>
      </c>
      <c r="AA85" t="s">
        <v>141</v>
      </c>
      <c r="AB85" t="s">
        <v>142</v>
      </c>
      <c r="AC85">
        <v>11611</v>
      </c>
      <c r="AD85">
        <v>11612</v>
      </c>
      <c r="AF85">
        <v>1</v>
      </c>
    </row>
    <row r="86" spans="1:32">
      <c r="A86">
        <v>1</v>
      </c>
      <c r="E86" t="s">
        <v>2951</v>
      </c>
      <c r="F86">
        <v>24</v>
      </c>
      <c r="G86" t="s">
        <v>2900</v>
      </c>
      <c r="H86" t="s">
        <v>2524</v>
      </c>
      <c r="I86" t="s">
        <v>2278</v>
      </c>
      <c r="J86" t="s">
        <v>2429</v>
      </c>
      <c r="K86" t="s">
        <v>2840</v>
      </c>
      <c r="L86">
        <v>0</v>
      </c>
      <c r="M86">
        <v>0</v>
      </c>
      <c r="O86">
        <v>0</v>
      </c>
      <c r="P86">
        <v>0</v>
      </c>
      <c r="Q86">
        <v>0</v>
      </c>
      <c r="R86" s="49"/>
      <c r="T86" t="s">
        <v>2468</v>
      </c>
      <c r="U86" t="s">
        <v>127</v>
      </c>
      <c r="V86" t="s">
        <v>140</v>
      </c>
      <c r="W86">
        <v>200</v>
      </c>
      <c r="X86">
        <v>0</v>
      </c>
      <c r="AA86" t="s">
        <v>141</v>
      </c>
      <c r="AB86" t="s">
        <v>142</v>
      </c>
      <c r="AC86">
        <v>11611</v>
      </c>
      <c r="AD86">
        <v>11612</v>
      </c>
      <c r="AF86">
        <v>1</v>
      </c>
    </row>
    <row r="87" spans="1:32">
      <c r="A87">
        <v>1</v>
      </c>
      <c r="E87" t="s">
        <v>2952</v>
      </c>
      <c r="F87">
        <v>24</v>
      </c>
      <c r="G87" t="s">
        <v>2900</v>
      </c>
      <c r="H87" t="s">
        <v>2524</v>
      </c>
      <c r="I87" t="s">
        <v>2278</v>
      </c>
      <c r="J87" t="s">
        <v>2678</v>
      </c>
      <c r="K87" t="s">
        <v>2840</v>
      </c>
      <c r="L87">
        <v>0</v>
      </c>
      <c r="M87">
        <v>0</v>
      </c>
      <c r="O87">
        <v>0</v>
      </c>
      <c r="P87">
        <v>0</v>
      </c>
      <c r="Q87">
        <v>0</v>
      </c>
      <c r="R87" s="49"/>
      <c r="T87" t="s">
        <v>2468</v>
      </c>
      <c r="U87" t="s">
        <v>127</v>
      </c>
      <c r="V87" t="s">
        <v>140</v>
      </c>
      <c r="W87">
        <v>50</v>
      </c>
      <c r="X87">
        <v>0</v>
      </c>
      <c r="AA87" t="s">
        <v>141</v>
      </c>
      <c r="AB87" t="s">
        <v>142</v>
      </c>
      <c r="AC87">
        <v>11611</v>
      </c>
      <c r="AD87">
        <v>11612</v>
      </c>
      <c r="AF87">
        <v>1</v>
      </c>
    </row>
    <row r="88" spans="1:32">
      <c r="A88">
        <v>1</v>
      </c>
      <c r="E88" t="s">
        <v>2953</v>
      </c>
      <c r="F88">
        <v>24</v>
      </c>
      <c r="G88" t="s">
        <v>2900</v>
      </c>
      <c r="H88" t="s">
        <v>2524</v>
      </c>
      <c r="I88" t="s">
        <v>2278</v>
      </c>
      <c r="J88" t="s">
        <v>2679</v>
      </c>
      <c r="K88" t="s">
        <v>2840</v>
      </c>
      <c r="L88">
        <v>0</v>
      </c>
      <c r="M88">
        <v>0</v>
      </c>
      <c r="O88">
        <v>0</v>
      </c>
      <c r="P88">
        <v>0</v>
      </c>
      <c r="Q88">
        <v>0</v>
      </c>
      <c r="R88" s="49"/>
      <c r="T88" t="s">
        <v>2468</v>
      </c>
      <c r="U88" t="s">
        <v>127</v>
      </c>
      <c r="V88" t="s">
        <v>140</v>
      </c>
      <c r="W88">
        <v>200</v>
      </c>
      <c r="X88">
        <v>0</v>
      </c>
      <c r="AA88" t="s">
        <v>141</v>
      </c>
      <c r="AB88" t="s">
        <v>142</v>
      </c>
      <c r="AC88">
        <v>11611</v>
      </c>
      <c r="AD88">
        <v>11612</v>
      </c>
      <c r="AF88">
        <v>1</v>
      </c>
    </row>
    <row r="89" spans="1:32">
      <c r="A89">
        <v>1</v>
      </c>
      <c r="E89" t="s">
        <v>2954</v>
      </c>
      <c r="F89">
        <v>24</v>
      </c>
      <c r="G89" t="s">
        <v>2900</v>
      </c>
      <c r="H89" t="s">
        <v>2524</v>
      </c>
      <c r="I89" t="s">
        <v>2278</v>
      </c>
      <c r="J89" t="s">
        <v>2680</v>
      </c>
      <c r="K89" t="s">
        <v>2840</v>
      </c>
      <c r="L89">
        <v>0</v>
      </c>
      <c r="M89">
        <v>0</v>
      </c>
      <c r="O89">
        <v>0</v>
      </c>
      <c r="P89">
        <v>0</v>
      </c>
      <c r="Q89">
        <v>0</v>
      </c>
      <c r="R89" s="49"/>
      <c r="T89" t="s">
        <v>2468</v>
      </c>
      <c r="U89" t="s">
        <v>127</v>
      </c>
      <c r="V89" t="s">
        <v>140</v>
      </c>
      <c r="W89">
        <v>50</v>
      </c>
      <c r="X89">
        <v>0</v>
      </c>
      <c r="AA89" t="s">
        <v>141</v>
      </c>
      <c r="AB89" t="s">
        <v>142</v>
      </c>
      <c r="AC89">
        <v>11611</v>
      </c>
      <c r="AD89">
        <v>11612</v>
      </c>
      <c r="AF89">
        <v>1</v>
      </c>
    </row>
    <row r="90" spans="1:32">
      <c r="A90">
        <v>1</v>
      </c>
      <c r="E90" t="s">
        <v>2955</v>
      </c>
      <c r="F90">
        <v>12</v>
      </c>
      <c r="G90" t="s">
        <v>2900</v>
      </c>
      <c r="H90" t="s">
        <v>2524</v>
      </c>
      <c r="I90" t="s">
        <v>2278</v>
      </c>
      <c r="J90" t="s">
        <v>1230</v>
      </c>
      <c r="K90" t="s">
        <v>2844</v>
      </c>
      <c r="L90">
        <v>0</v>
      </c>
      <c r="M90">
        <v>0</v>
      </c>
      <c r="O90">
        <v>0</v>
      </c>
      <c r="P90">
        <v>0</v>
      </c>
      <c r="Q90">
        <v>0</v>
      </c>
      <c r="R90" s="49"/>
      <c r="T90" t="s">
        <v>2468</v>
      </c>
      <c r="U90" t="s">
        <v>127</v>
      </c>
      <c r="V90" t="s">
        <v>140</v>
      </c>
      <c r="W90">
        <v>200</v>
      </c>
      <c r="X90">
        <v>0</v>
      </c>
      <c r="AA90" t="s">
        <v>141</v>
      </c>
      <c r="AB90" t="s">
        <v>142</v>
      </c>
      <c r="AC90">
        <v>11611</v>
      </c>
      <c r="AD90">
        <v>11612</v>
      </c>
      <c r="AF90">
        <v>1</v>
      </c>
    </row>
    <row r="91" spans="1:32">
      <c r="A91">
        <v>1</v>
      </c>
      <c r="E91" t="s">
        <v>2956</v>
      </c>
      <c r="F91">
        <v>72</v>
      </c>
      <c r="G91" t="s">
        <v>2900</v>
      </c>
      <c r="H91" t="s">
        <v>2524</v>
      </c>
      <c r="I91" t="s">
        <v>2280</v>
      </c>
      <c r="J91" t="s">
        <v>1232</v>
      </c>
      <c r="K91" t="s">
        <v>2845</v>
      </c>
      <c r="L91">
        <v>0</v>
      </c>
      <c r="M91">
        <v>0</v>
      </c>
      <c r="O91">
        <v>0</v>
      </c>
      <c r="P91">
        <v>0</v>
      </c>
      <c r="Q91">
        <v>0</v>
      </c>
      <c r="R91" s="49"/>
      <c r="T91" t="s">
        <v>2468</v>
      </c>
      <c r="U91" t="s">
        <v>127</v>
      </c>
      <c r="V91" t="s">
        <v>140</v>
      </c>
      <c r="W91">
        <v>18</v>
      </c>
      <c r="X91">
        <v>0</v>
      </c>
      <c r="AA91" t="s">
        <v>141</v>
      </c>
      <c r="AB91" t="s">
        <v>142</v>
      </c>
      <c r="AC91">
        <v>11611</v>
      </c>
      <c r="AD91">
        <v>11612</v>
      </c>
      <c r="AF91">
        <v>1</v>
      </c>
    </row>
    <row r="92" spans="1:32">
      <c r="A92">
        <v>1</v>
      </c>
      <c r="E92" t="s">
        <v>2957</v>
      </c>
      <c r="F92">
        <v>36</v>
      </c>
      <c r="G92" t="s">
        <v>2900</v>
      </c>
      <c r="H92" t="s">
        <v>2524</v>
      </c>
      <c r="I92" t="s">
        <v>2280</v>
      </c>
      <c r="J92" t="s">
        <v>1234</v>
      </c>
      <c r="K92" t="s">
        <v>2841</v>
      </c>
      <c r="L92">
        <v>0</v>
      </c>
      <c r="M92">
        <v>0</v>
      </c>
      <c r="O92">
        <v>0</v>
      </c>
      <c r="P92">
        <v>0</v>
      </c>
      <c r="Q92">
        <v>0</v>
      </c>
      <c r="R92" s="49"/>
      <c r="T92" t="s">
        <v>2468</v>
      </c>
      <c r="U92" t="s">
        <v>127</v>
      </c>
      <c r="V92" t="s">
        <v>140</v>
      </c>
      <c r="W92">
        <v>120</v>
      </c>
      <c r="X92">
        <v>0</v>
      </c>
      <c r="AA92" t="s">
        <v>141</v>
      </c>
      <c r="AB92" t="s">
        <v>142</v>
      </c>
      <c r="AC92">
        <v>11611</v>
      </c>
      <c r="AD92">
        <v>11612</v>
      </c>
      <c r="AF92">
        <v>1</v>
      </c>
    </row>
    <row r="93" spans="1:32">
      <c r="A93">
        <v>1</v>
      </c>
      <c r="E93" t="s">
        <v>2958</v>
      </c>
      <c r="F93">
        <v>72</v>
      </c>
      <c r="G93" t="s">
        <v>2900</v>
      </c>
      <c r="H93" t="s">
        <v>2524</v>
      </c>
      <c r="I93" t="s">
        <v>2280</v>
      </c>
      <c r="J93" t="s">
        <v>2681</v>
      </c>
      <c r="K93" t="s">
        <v>2845</v>
      </c>
      <c r="L93">
        <v>0</v>
      </c>
      <c r="M93">
        <v>0</v>
      </c>
      <c r="O93">
        <v>0</v>
      </c>
      <c r="P93">
        <v>0</v>
      </c>
      <c r="Q93">
        <v>0</v>
      </c>
      <c r="R93" s="49"/>
      <c r="T93" t="s">
        <v>2468</v>
      </c>
      <c r="U93" t="s">
        <v>127</v>
      </c>
      <c r="V93" t="s">
        <v>140</v>
      </c>
      <c r="W93">
        <v>18</v>
      </c>
      <c r="X93">
        <v>0</v>
      </c>
      <c r="AA93" t="s">
        <v>141</v>
      </c>
      <c r="AB93" t="s">
        <v>142</v>
      </c>
      <c r="AC93">
        <v>11611</v>
      </c>
      <c r="AD93">
        <v>11612</v>
      </c>
      <c r="AF93">
        <v>1</v>
      </c>
    </row>
    <row r="94" spans="1:32">
      <c r="A94">
        <v>1</v>
      </c>
      <c r="E94" t="s">
        <v>2959</v>
      </c>
      <c r="F94">
        <v>36</v>
      </c>
      <c r="G94" t="s">
        <v>2900</v>
      </c>
      <c r="H94" t="s">
        <v>2524</v>
      </c>
      <c r="I94" t="s">
        <v>2280</v>
      </c>
      <c r="J94" t="s">
        <v>2682</v>
      </c>
      <c r="K94" t="s">
        <v>2841</v>
      </c>
      <c r="L94">
        <v>0</v>
      </c>
      <c r="M94">
        <v>0</v>
      </c>
      <c r="O94">
        <v>0</v>
      </c>
      <c r="P94">
        <v>0</v>
      </c>
      <c r="Q94">
        <v>0</v>
      </c>
      <c r="R94" s="49"/>
      <c r="T94" t="s">
        <v>2468</v>
      </c>
      <c r="U94" t="s">
        <v>127</v>
      </c>
      <c r="V94" t="s">
        <v>140</v>
      </c>
      <c r="W94">
        <v>120</v>
      </c>
      <c r="X94">
        <v>0</v>
      </c>
      <c r="AA94" t="s">
        <v>141</v>
      </c>
      <c r="AB94" t="s">
        <v>142</v>
      </c>
      <c r="AC94">
        <v>11611</v>
      </c>
      <c r="AD94">
        <v>11612</v>
      </c>
      <c r="AF94">
        <v>1</v>
      </c>
    </row>
    <row r="95" spans="1:32">
      <c r="A95">
        <v>1</v>
      </c>
      <c r="E95" t="s">
        <v>2960</v>
      </c>
      <c r="F95">
        <v>72</v>
      </c>
      <c r="G95" t="s">
        <v>2900</v>
      </c>
      <c r="H95" t="s">
        <v>2961</v>
      </c>
      <c r="I95" t="s">
        <v>2280</v>
      </c>
      <c r="J95" t="s">
        <v>2683</v>
      </c>
      <c r="K95" t="s">
        <v>2846</v>
      </c>
      <c r="L95">
        <v>0</v>
      </c>
      <c r="M95">
        <v>0</v>
      </c>
      <c r="O95">
        <v>0</v>
      </c>
      <c r="P95">
        <v>0</v>
      </c>
      <c r="Q95">
        <v>0</v>
      </c>
      <c r="R95" s="49"/>
      <c r="T95" t="s">
        <v>2468</v>
      </c>
      <c r="U95" t="s">
        <v>127</v>
      </c>
      <c r="V95" t="s">
        <v>140</v>
      </c>
      <c r="W95">
        <v>18</v>
      </c>
      <c r="X95">
        <v>0</v>
      </c>
      <c r="AA95" t="s">
        <v>141</v>
      </c>
      <c r="AB95" t="s">
        <v>142</v>
      </c>
      <c r="AC95">
        <v>11611</v>
      </c>
      <c r="AD95">
        <v>11612</v>
      </c>
      <c r="AF95">
        <v>1</v>
      </c>
    </row>
    <row r="96" spans="1:32">
      <c r="A96">
        <v>1</v>
      </c>
      <c r="E96" t="s">
        <v>2962</v>
      </c>
      <c r="F96">
        <v>36</v>
      </c>
      <c r="G96" t="s">
        <v>2900</v>
      </c>
      <c r="H96" t="s">
        <v>2961</v>
      </c>
      <c r="I96" t="s">
        <v>2280</v>
      </c>
      <c r="J96" t="s">
        <v>1242</v>
      </c>
      <c r="K96" t="s">
        <v>2847</v>
      </c>
      <c r="L96">
        <v>0</v>
      </c>
      <c r="M96">
        <v>0</v>
      </c>
      <c r="O96">
        <v>0</v>
      </c>
      <c r="P96">
        <v>0</v>
      </c>
      <c r="Q96">
        <v>0</v>
      </c>
      <c r="R96" s="49"/>
      <c r="T96" t="s">
        <v>2468</v>
      </c>
      <c r="U96" t="s">
        <v>127</v>
      </c>
      <c r="V96" t="s">
        <v>140</v>
      </c>
      <c r="W96">
        <v>120</v>
      </c>
      <c r="X96">
        <v>0</v>
      </c>
      <c r="AA96" t="s">
        <v>141</v>
      </c>
      <c r="AB96" t="s">
        <v>142</v>
      </c>
      <c r="AC96">
        <v>11611</v>
      </c>
      <c r="AD96">
        <v>11612</v>
      </c>
      <c r="AF96">
        <v>1</v>
      </c>
    </row>
    <row r="97" spans="1:32">
      <c r="A97">
        <v>1</v>
      </c>
      <c r="E97" t="s">
        <v>2963</v>
      </c>
      <c r="F97">
        <v>144</v>
      </c>
      <c r="G97" t="s">
        <v>2900</v>
      </c>
      <c r="H97" t="s">
        <v>2961</v>
      </c>
      <c r="I97" t="s">
        <v>2296</v>
      </c>
      <c r="J97" t="s">
        <v>2684</v>
      </c>
      <c r="K97" t="s">
        <v>2848</v>
      </c>
      <c r="L97">
        <v>0</v>
      </c>
      <c r="M97">
        <v>0</v>
      </c>
      <c r="O97">
        <v>0</v>
      </c>
      <c r="P97">
        <v>0</v>
      </c>
      <c r="Q97">
        <v>0</v>
      </c>
      <c r="R97" s="49"/>
      <c r="T97" t="s">
        <v>2468</v>
      </c>
      <c r="U97" t="s">
        <v>127</v>
      </c>
      <c r="V97" t="s">
        <v>140</v>
      </c>
      <c r="W97">
        <v>12</v>
      </c>
      <c r="X97">
        <v>0</v>
      </c>
      <c r="AA97" t="s">
        <v>141</v>
      </c>
      <c r="AB97" t="s">
        <v>142</v>
      </c>
      <c r="AC97">
        <v>11611</v>
      </c>
      <c r="AD97">
        <v>11612</v>
      </c>
      <c r="AF97">
        <v>1</v>
      </c>
    </row>
    <row r="98" spans="1:32">
      <c r="A98">
        <v>1</v>
      </c>
      <c r="E98" t="s">
        <v>2964</v>
      </c>
      <c r="F98">
        <v>72</v>
      </c>
      <c r="G98" t="s">
        <v>2900</v>
      </c>
      <c r="H98" t="s">
        <v>2961</v>
      </c>
      <c r="I98" t="s">
        <v>2296</v>
      </c>
      <c r="J98" t="s">
        <v>1246</v>
      </c>
      <c r="K98" t="s">
        <v>2846</v>
      </c>
      <c r="L98">
        <v>0</v>
      </c>
      <c r="M98">
        <v>0</v>
      </c>
      <c r="O98">
        <v>0</v>
      </c>
      <c r="P98">
        <v>0</v>
      </c>
      <c r="Q98">
        <v>0</v>
      </c>
      <c r="R98" s="49"/>
      <c r="T98" t="s">
        <v>2468</v>
      </c>
      <c r="U98" t="s">
        <v>127</v>
      </c>
      <c r="V98" t="s">
        <v>140</v>
      </c>
      <c r="W98">
        <v>20</v>
      </c>
      <c r="X98">
        <v>0</v>
      </c>
      <c r="AA98" t="s">
        <v>141</v>
      </c>
      <c r="AB98" t="s">
        <v>142</v>
      </c>
      <c r="AC98">
        <v>11611</v>
      </c>
      <c r="AD98">
        <v>11612</v>
      </c>
      <c r="AF98">
        <v>1</v>
      </c>
    </row>
    <row r="99" spans="1:32">
      <c r="A99">
        <v>2</v>
      </c>
      <c r="E99" t="s">
        <v>2965</v>
      </c>
      <c r="F99">
        <v>72</v>
      </c>
      <c r="G99" t="s">
        <v>2900</v>
      </c>
      <c r="H99" t="s">
        <v>2961</v>
      </c>
      <c r="I99" t="s">
        <v>2296</v>
      </c>
      <c r="J99" t="s">
        <v>2685</v>
      </c>
      <c r="K99" t="s">
        <v>2846</v>
      </c>
      <c r="L99">
        <v>0</v>
      </c>
      <c r="M99">
        <v>0</v>
      </c>
      <c r="O99">
        <v>0</v>
      </c>
      <c r="P99">
        <v>0</v>
      </c>
      <c r="Q99">
        <v>0</v>
      </c>
      <c r="R99" s="49"/>
      <c r="T99" t="s">
        <v>2468</v>
      </c>
      <c r="U99" t="s">
        <v>127</v>
      </c>
      <c r="V99" t="s">
        <v>140</v>
      </c>
      <c r="W99">
        <v>20</v>
      </c>
      <c r="X99">
        <v>0</v>
      </c>
      <c r="AA99" t="s">
        <v>141</v>
      </c>
      <c r="AB99" t="s">
        <v>142</v>
      </c>
      <c r="AC99">
        <v>11611</v>
      </c>
      <c r="AD99">
        <v>11612</v>
      </c>
      <c r="AF99">
        <v>1</v>
      </c>
    </row>
    <row r="100" spans="1:32">
      <c r="A100">
        <v>1</v>
      </c>
      <c r="E100" t="s">
        <v>2966</v>
      </c>
      <c r="F100">
        <v>72</v>
      </c>
      <c r="G100" t="s">
        <v>2900</v>
      </c>
      <c r="H100" t="s">
        <v>2961</v>
      </c>
      <c r="I100" t="s">
        <v>2296</v>
      </c>
      <c r="J100" t="s">
        <v>2686</v>
      </c>
      <c r="K100" t="s">
        <v>2846</v>
      </c>
      <c r="L100">
        <v>0</v>
      </c>
      <c r="M100">
        <v>0</v>
      </c>
      <c r="O100">
        <v>0</v>
      </c>
      <c r="P100">
        <v>0</v>
      </c>
      <c r="Q100">
        <v>0</v>
      </c>
      <c r="R100" s="49"/>
      <c r="T100" t="s">
        <v>2468</v>
      </c>
      <c r="U100" t="s">
        <v>127</v>
      </c>
      <c r="V100" t="s">
        <v>140</v>
      </c>
      <c r="W100">
        <v>20</v>
      </c>
      <c r="X100">
        <v>0</v>
      </c>
      <c r="AA100" t="s">
        <v>141</v>
      </c>
      <c r="AB100" t="s">
        <v>142</v>
      </c>
      <c r="AC100">
        <v>11611</v>
      </c>
      <c r="AD100">
        <v>11612</v>
      </c>
      <c r="AF100">
        <v>1</v>
      </c>
    </row>
    <row r="101" spans="1:32">
      <c r="A101">
        <v>2</v>
      </c>
      <c r="E101" t="s">
        <v>2967</v>
      </c>
      <c r="F101">
        <v>72</v>
      </c>
      <c r="G101" t="s">
        <v>2900</v>
      </c>
      <c r="H101" t="s">
        <v>2961</v>
      </c>
      <c r="I101" t="s">
        <v>2296</v>
      </c>
      <c r="J101" t="s">
        <v>1248</v>
      </c>
      <c r="K101" t="s">
        <v>2846</v>
      </c>
      <c r="L101">
        <v>0</v>
      </c>
      <c r="M101">
        <v>0</v>
      </c>
      <c r="O101">
        <v>0</v>
      </c>
      <c r="P101">
        <v>0</v>
      </c>
      <c r="Q101">
        <v>0</v>
      </c>
      <c r="R101" s="49"/>
      <c r="T101" t="s">
        <v>2468</v>
      </c>
      <c r="U101" t="s">
        <v>127</v>
      </c>
      <c r="V101" t="s">
        <v>140</v>
      </c>
      <c r="W101">
        <v>20</v>
      </c>
      <c r="X101">
        <v>0</v>
      </c>
      <c r="AA101" t="s">
        <v>141</v>
      </c>
      <c r="AB101" t="s">
        <v>142</v>
      </c>
      <c r="AC101">
        <v>11611</v>
      </c>
      <c r="AD101">
        <v>11612</v>
      </c>
      <c r="AF101">
        <v>1</v>
      </c>
    </row>
    <row r="102" spans="1:32">
      <c r="A102">
        <v>1</v>
      </c>
      <c r="E102" t="s">
        <v>2968</v>
      </c>
      <c r="F102">
        <v>72</v>
      </c>
      <c r="G102" t="s">
        <v>2900</v>
      </c>
      <c r="H102" t="s">
        <v>2961</v>
      </c>
      <c r="I102" t="s">
        <v>2296</v>
      </c>
      <c r="J102" t="s">
        <v>1250</v>
      </c>
      <c r="K102" t="s">
        <v>2846</v>
      </c>
      <c r="L102">
        <v>0</v>
      </c>
      <c r="M102">
        <v>0</v>
      </c>
      <c r="O102">
        <v>0</v>
      </c>
      <c r="P102">
        <v>0</v>
      </c>
      <c r="Q102">
        <v>0</v>
      </c>
      <c r="R102" s="49"/>
      <c r="T102" t="s">
        <v>2468</v>
      </c>
      <c r="U102" t="s">
        <v>127</v>
      </c>
      <c r="V102" t="s">
        <v>140</v>
      </c>
      <c r="W102">
        <v>20</v>
      </c>
      <c r="X102">
        <v>0</v>
      </c>
      <c r="AA102" t="s">
        <v>141</v>
      </c>
      <c r="AB102" t="s">
        <v>142</v>
      </c>
      <c r="AC102">
        <v>11611</v>
      </c>
      <c r="AD102">
        <v>11612</v>
      </c>
      <c r="AF102">
        <v>1</v>
      </c>
    </row>
    <row r="103" spans="1:32">
      <c r="A103">
        <v>2</v>
      </c>
      <c r="E103" t="s">
        <v>2969</v>
      </c>
      <c r="F103">
        <v>72</v>
      </c>
      <c r="G103" t="s">
        <v>2900</v>
      </c>
      <c r="H103" t="s">
        <v>2961</v>
      </c>
      <c r="I103" t="s">
        <v>2296</v>
      </c>
      <c r="J103" t="s">
        <v>2687</v>
      </c>
      <c r="K103" t="s">
        <v>2846</v>
      </c>
      <c r="L103">
        <v>0</v>
      </c>
      <c r="M103">
        <v>0</v>
      </c>
      <c r="O103">
        <v>0</v>
      </c>
      <c r="P103">
        <v>0</v>
      </c>
      <c r="Q103">
        <v>0</v>
      </c>
      <c r="R103" s="49"/>
      <c r="T103" t="s">
        <v>2468</v>
      </c>
      <c r="U103" t="s">
        <v>127</v>
      </c>
      <c r="V103" t="s">
        <v>140</v>
      </c>
      <c r="W103">
        <v>20</v>
      </c>
      <c r="X103">
        <v>0</v>
      </c>
      <c r="AA103" t="s">
        <v>141</v>
      </c>
      <c r="AB103" t="s">
        <v>142</v>
      </c>
      <c r="AC103">
        <v>11611</v>
      </c>
      <c r="AD103">
        <v>11612</v>
      </c>
      <c r="AF103">
        <v>1</v>
      </c>
    </row>
    <row r="104" spans="1:32">
      <c r="A104">
        <v>1</v>
      </c>
      <c r="E104" t="s">
        <v>2970</v>
      </c>
      <c r="F104">
        <v>72</v>
      </c>
      <c r="G104" t="s">
        <v>2900</v>
      </c>
      <c r="H104" t="s">
        <v>2961</v>
      </c>
      <c r="I104" t="s">
        <v>2296</v>
      </c>
      <c r="J104" t="s">
        <v>1252</v>
      </c>
      <c r="K104" t="s">
        <v>2846</v>
      </c>
      <c r="L104">
        <v>0</v>
      </c>
      <c r="M104">
        <v>0</v>
      </c>
      <c r="O104">
        <v>0</v>
      </c>
      <c r="P104">
        <v>0</v>
      </c>
      <c r="Q104">
        <v>0</v>
      </c>
      <c r="R104" s="49"/>
      <c r="T104" t="s">
        <v>2468</v>
      </c>
      <c r="U104" t="s">
        <v>127</v>
      </c>
      <c r="V104" t="s">
        <v>140</v>
      </c>
      <c r="W104">
        <v>20</v>
      </c>
      <c r="X104">
        <v>0</v>
      </c>
      <c r="AA104" t="s">
        <v>141</v>
      </c>
      <c r="AB104" t="s">
        <v>142</v>
      </c>
      <c r="AC104">
        <v>11611</v>
      </c>
      <c r="AD104">
        <v>11612</v>
      </c>
      <c r="AF104">
        <v>1</v>
      </c>
    </row>
    <row r="105" spans="1:32">
      <c r="A105">
        <v>1</v>
      </c>
      <c r="E105" t="s">
        <v>2971</v>
      </c>
      <c r="F105">
        <v>18</v>
      </c>
      <c r="G105" t="s">
        <v>2900</v>
      </c>
      <c r="H105" t="s">
        <v>2961</v>
      </c>
      <c r="I105" t="s">
        <v>2298</v>
      </c>
      <c r="J105" t="s">
        <v>1254</v>
      </c>
      <c r="K105" t="s">
        <v>2849</v>
      </c>
      <c r="L105">
        <v>0</v>
      </c>
      <c r="M105">
        <v>0</v>
      </c>
      <c r="O105">
        <v>0</v>
      </c>
      <c r="P105">
        <v>0</v>
      </c>
      <c r="Q105">
        <v>0</v>
      </c>
      <c r="R105" s="49"/>
      <c r="T105" t="s">
        <v>2468</v>
      </c>
      <c r="U105" t="s">
        <v>127</v>
      </c>
      <c r="V105" t="s">
        <v>140</v>
      </c>
      <c r="W105">
        <v>100</v>
      </c>
      <c r="X105">
        <v>0</v>
      </c>
      <c r="AA105" t="s">
        <v>141</v>
      </c>
      <c r="AB105" t="s">
        <v>142</v>
      </c>
      <c r="AC105">
        <v>11611</v>
      </c>
      <c r="AD105">
        <v>11612</v>
      </c>
      <c r="AF105">
        <v>1</v>
      </c>
    </row>
    <row r="106" spans="1:32">
      <c r="A106">
        <v>1</v>
      </c>
      <c r="E106" t="s">
        <v>2972</v>
      </c>
      <c r="F106">
        <v>18</v>
      </c>
      <c r="G106" t="s">
        <v>2900</v>
      </c>
      <c r="H106" t="s">
        <v>2961</v>
      </c>
      <c r="I106" t="s">
        <v>2298</v>
      </c>
      <c r="J106" t="s">
        <v>1256</v>
      </c>
      <c r="K106" t="s">
        <v>2849</v>
      </c>
      <c r="L106">
        <v>0</v>
      </c>
      <c r="M106">
        <v>0</v>
      </c>
      <c r="O106">
        <v>0</v>
      </c>
      <c r="P106">
        <v>0</v>
      </c>
      <c r="Q106">
        <v>0</v>
      </c>
      <c r="R106" s="49"/>
      <c r="T106" t="s">
        <v>2468</v>
      </c>
      <c r="U106" t="s">
        <v>127</v>
      </c>
      <c r="V106" t="s">
        <v>140</v>
      </c>
      <c r="W106">
        <v>100</v>
      </c>
      <c r="X106">
        <v>0</v>
      </c>
      <c r="AA106" t="s">
        <v>141</v>
      </c>
      <c r="AB106" t="s">
        <v>142</v>
      </c>
      <c r="AC106">
        <v>11611</v>
      </c>
      <c r="AD106">
        <v>11612</v>
      </c>
      <c r="AF106">
        <v>1</v>
      </c>
    </row>
    <row r="107" spans="1:32">
      <c r="A107">
        <v>1</v>
      </c>
      <c r="E107" t="s">
        <v>2973</v>
      </c>
      <c r="F107">
        <v>72</v>
      </c>
      <c r="G107" t="s">
        <v>2900</v>
      </c>
      <c r="H107" t="s">
        <v>2961</v>
      </c>
      <c r="I107" t="s">
        <v>2288</v>
      </c>
      <c r="J107" t="s">
        <v>1260</v>
      </c>
      <c r="K107" t="s">
        <v>2846</v>
      </c>
      <c r="L107">
        <v>0</v>
      </c>
      <c r="M107">
        <v>0</v>
      </c>
      <c r="O107">
        <v>0</v>
      </c>
      <c r="P107">
        <v>0</v>
      </c>
      <c r="Q107">
        <v>0</v>
      </c>
      <c r="R107" s="49"/>
      <c r="T107" t="s">
        <v>2468</v>
      </c>
      <c r="U107" t="s">
        <v>127</v>
      </c>
      <c r="V107" t="s">
        <v>140</v>
      </c>
      <c r="W107">
        <v>1</v>
      </c>
      <c r="X107">
        <v>0</v>
      </c>
      <c r="AA107" t="s">
        <v>141</v>
      </c>
      <c r="AB107" t="s">
        <v>142</v>
      </c>
      <c r="AC107">
        <v>11611</v>
      </c>
      <c r="AD107">
        <v>11612</v>
      </c>
      <c r="AF107">
        <v>1</v>
      </c>
    </row>
    <row r="108" spans="1:32">
      <c r="A108">
        <v>1</v>
      </c>
      <c r="E108" t="s">
        <v>2974</v>
      </c>
      <c r="F108">
        <v>12</v>
      </c>
      <c r="G108" t="s">
        <v>2900</v>
      </c>
      <c r="H108" t="s">
        <v>2961</v>
      </c>
      <c r="I108" t="s">
        <v>2288</v>
      </c>
      <c r="J108" t="s">
        <v>1258</v>
      </c>
      <c r="K108" t="s">
        <v>2850</v>
      </c>
      <c r="L108">
        <v>0</v>
      </c>
      <c r="M108">
        <v>0</v>
      </c>
      <c r="O108">
        <v>0</v>
      </c>
      <c r="P108">
        <v>0</v>
      </c>
      <c r="Q108">
        <v>0</v>
      </c>
      <c r="R108" s="49"/>
      <c r="T108" t="s">
        <v>2468</v>
      </c>
      <c r="U108" t="s">
        <v>127</v>
      </c>
      <c r="V108" t="s">
        <v>140</v>
      </c>
      <c r="W108">
        <v>1</v>
      </c>
      <c r="X108">
        <v>0</v>
      </c>
      <c r="AA108" t="s">
        <v>141</v>
      </c>
      <c r="AB108" t="s">
        <v>142</v>
      </c>
      <c r="AC108">
        <v>11611</v>
      </c>
      <c r="AD108">
        <v>11612</v>
      </c>
      <c r="AF108">
        <v>1</v>
      </c>
    </row>
    <row r="109" spans="1:32">
      <c r="A109">
        <v>1</v>
      </c>
      <c r="E109" t="s">
        <v>2975</v>
      </c>
      <c r="F109">
        <v>72</v>
      </c>
      <c r="G109" t="s">
        <v>2900</v>
      </c>
      <c r="H109" t="s">
        <v>2961</v>
      </c>
      <c r="I109" t="s">
        <v>2288</v>
      </c>
      <c r="J109" t="s">
        <v>1264</v>
      </c>
      <c r="K109" t="s">
        <v>2846</v>
      </c>
      <c r="L109">
        <v>0</v>
      </c>
      <c r="M109">
        <v>0</v>
      </c>
      <c r="O109">
        <v>0</v>
      </c>
      <c r="P109">
        <v>0</v>
      </c>
      <c r="Q109">
        <v>0</v>
      </c>
      <c r="R109" s="49"/>
      <c r="T109" t="s">
        <v>2468</v>
      </c>
      <c r="U109" t="s">
        <v>127</v>
      </c>
      <c r="V109" t="s">
        <v>140</v>
      </c>
      <c r="W109">
        <v>1</v>
      </c>
      <c r="X109">
        <v>0</v>
      </c>
      <c r="AA109" t="s">
        <v>141</v>
      </c>
      <c r="AB109" t="s">
        <v>142</v>
      </c>
      <c r="AC109">
        <v>11611</v>
      </c>
      <c r="AD109">
        <v>11612</v>
      </c>
      <c r="AF109">
        <v>1</v>
      </c>
    </row>
    <row r="110" spans="1:32">
      <c r="A110">
        <v>1</v>
      </c>
      <c r="E110" t="s">
        <v>2976</v>
      </c>
      <c r="F110">
        <v>12</v>
      </c>
      <c r="G110" t="s">
        <v>2900</v>
      </c>
      <c r="H110" t="s">
        <v>2961</v>
      </c>
      <c r="I110" t="s">
        <v>2288</v>
      </c>
      <c r="J110" t="s">
        <v>2688</v>
      </c>
      <c r="K110" t="s">
        <v>2850</v>
      </c>
      <c r="L110">
        <v>0</v>
      </c>
      <c r="M110">
        <v>0</v>
      </c>
      <c r="O110">
        <v>0</v>
      </c>
      <c r="P110">
        <v>0</v>
      </c>
      <c r="Q110">
        <v>0</v>
      </c>
      <c r="R110" s="49"/>
      <c r="T110" t="s">
        <v>2468</v>
      </c>
      <c r="U110" t="s">
        <v>127</v>
      </c>
      <c r="V110" t="s">
        <v>140</v>
      </c>
      <c r="W110">
        <v>1</v>
      </c>
      <c r="X110">
        <v>0</v>
      </c>
      <c r="AA110" t="s">
        <v>141</v>
      </c>
      <c r="AB110" t="s">
        <v>142</v>
      </c>
      <c r="AC110">
        <v>11611</v>
      </c>
      <c r="AD110">
        <v>11612</v>
      </c>
      <c r="AF110">
        <v>1</v>
      </c>
    </row>
    <row r="111" spans="1:32">
      <c r="A111">
        <v>1</v>
      </c>
      <c r="E111" t="s">
        <v>2977</v>
      </c>
      <c r="F111">
        <v>36</v>
      </c>
      <c r="G111" t="s">
        <v>2900</v>
      </c>
      <c r="H111" t="s">
        <v>2961</v>
      </c>
      <c r="I111" t="s">
        <v>2288</v>
      </c>
      <c r="J111" t="s">
        <v>2689</v>
      </c>
      <c r="K111" t="s">
        <v>2847</v>
      </c>
      <c r="L111">
        <v>0</v>
      </c>
      <c r="M111">
        <v>0</v>
      </c>
      <c r="O111">
        <v>0</v>
      </c>
      <c r="P111">
        <v>0</v>
      </c>
      <c r="Q111">
        <v>0</v>
      </c>
      <c r="R111" s="49"/>
      <c r="T111" t="s">
        <v>2468</v>
      </c>
      <c r="U111" t="s">
        <v>127</v>
      </c>
      <c r="V111" t="s">
        <v>140</v>
      </c>
      <c r="W111">
        <v>45</v>
      </c>
      <c r="X111">
        <v>0</v>
      </c>
      <c r="AA111" t="s">
        <v>141</v>
      </c>
      <c r="AB111" t="s">
        <v>142</v>
      </c>
      <c r="AC111">
        <v>11611</v>
      </c>
      <c r="AD111">
        <v>11612</v>
      </c>
      <c r="AF111">
        <v>1</v>
      </c>
    </row>
    <row r="112" spans="1:32">
      <c r="A112">
        <v>1</v>
      </c>
      <c r="E112" t="s">
        <v>2978</v>
      </c>
      <c r="F112">
        <v>72</v>
      </c>
      <c r="G112" t="s">
        <v>2900</v>
      </c>
      <c r="H112" t="s">
        <v>2961</v>
      </c>
      <c r="I112" t="s">
        <v>2288</v>
      </c>
      <c r="J112" t="s">
        <v>1270</v>
      </c>
      <c r="K112" t="s">
        <v>2846</v>
      </c>
      <c r="L112">
        <v>0</v>
      </c>
      <c r="M112">
        <v>0</v>
      </c>
      <c r="O112">
        <v>0</v>
      </c>
      <c r="P112">
        <v>0</v>
      </c>
      <c r="Q112">
        <v>0</v>
      </c>
      <c r="R112" s="49"/>
      <c r="T112" t="s">
        <v>2468</v>
      </c>
      <c r="U112" t="s">
        <v>127</v>
      </c>
      <c r="V112" t="s">
        <v>140</v>
      </c>
      <c r="W112">
        <v>1</v>
      </c>
      <c r="X112">
        <v>0</v>
      </c>
      <c r="AA112" t="s">
        <v>141</v>
      </c>
      <c r="AB112" t="s">
        <v>142</v>
      </c>
      <c r="AC112">
        <v>11611</v>
      </c>
      <c r="AD112">
        <v>11612</v>
      </c>
      <c r="AF112">
        <v>1</v>
      </c>
    </row>
    <row r="113" spans="1:32">
      <c r="A113">
        <v>1</v>
      </c>
      <c r="E113" t="s">
        <v>2979</v>
      </c>
      <c r="F113">
        <v>12</v>
      </c>
      <c r="G113" t="s">
        <v>2900</v>
      </c>
      <c r="H113" t="s">
        <v>2961</v>
      </c>
      <c r="I113" t="s">
        <v>2288</v>
      </c>
      <c r="J113" t="s">
        <v>1268</v>
      </c>
      <c r="K113" t="s">
        <v>2850</v>
      </c>
      <c r="L113">
        <v>0</v>
      </c>
      <c r="M113">
        <v>0</v>
      </c>
      <c r="O113">
        <v>0</v>
      </c>
      <c r="P113">
        <v>0</v>
      </c>
      <c r="Q113">
        <v>0</v>
      </c>
      <c r="R113" s="49"/>
      <c r="T113" t="s">
        <v>2468</v>
      </c>
      <c r="U113" t="s">
        <v>127</v>
      </c>
      <c r="V113" t="s">
        <v>140</v>
      </c>
      <c r="W113">
        <v>1</v>
      </c>
      <c r="X113">
        <v>0</v>
      </c>
      <c r="AA113" t="s">
        <v>141</v>
      </c>
      <c r="AB113" t="s">
        <v>142</v>
      </c>
      <c r="AC113">
        <v>11611</v>
      </c>
      <c r="AD113">
        <v>11612</v>
      </c>
      <c r="AF113">
        <v>1</v>
      </c>
    </row>
    <row r="114" spans="1:32">
      <c r="A114">
        <v>1</v>
      </c>
      <c r="E114" t="s">
        <v>2980</v>
      </c>
      <c r="F114">
        <v>48</v>
      </c>
      <c r="G114" t="s">
        <v>2900</v>
      </c>
      <c r="H114" t="s">
        <v>2961</v>
      </c>
      <c r="I114" t="s">
        <v>2288</v>
      </c>
      <c r="J114" t="s">
        <v>1272</v>
      </c>
      <c r="K114" t="s">
        <v>2851</v>
      </c>
      <c r="L114">
        <v>0</v>
      </c>
      <c r="M114">
        <v>0</v>
      </c>
      <c r="O114">
        <v>0</v>
      </c>
      <c r="P114">
        <v>0</v>
      </c>
      <c r="Q114">
        <v>0</v>
      </c>
      <c r="R114" s="49"/>
      <c r="T114" t="s">
        <v>2468</v>
      </c>
      <c r="U114" t="s">
        <v>127</v>
      </c>
      <c r="V114" t="s">
        <v>140</v>
      </c>
      <c r="W114">
        <v>1</v>
      </c>
      <c r="X114">
        <v>0</v>
      </c>
      <c r="AA114" t="s">
        <v>141</v>
      </c>
      <c r="AB114" t="s">
        <v>142</v>
      </c>
      <c r="AC114">
        <v>11611</v>
      </c>
      <c r="AD114">
        <v>11612</v>
      </c>
      <c r="AF114">
        <v>1</v>
      </c>
    </row>
    <row r="115" spans="1:32">
      <c r="A115">
        <v>1</v>
      </c>
      <c r="E115" t="s">
        <v>2981</v>
      </c>
      <c r="F115">
        <v>48</v>
      </c>
      <c r="G115" t="s">
        <v>2900</v>
      </c>
      <c r="H115" t="s">
        <v>2961</v>
      </c>
      <c r="I115" t="s">
        <v>2288</v>
      </c>
      <c r="J115" t="s">
        <v>1274</v>
      </c>
      <c r="K115" t="s">
        <v>2851</v>
      </c>
      <c r="L115">
        <v>0</v>
      </c>
      <c r="M115">
        <v>0</v>
      </c>
      <c r="O115">
        <v>0</v>
      </c>
      <c r="P115">
        <v>0</v>
      </c>
      <c r="Q115">
        <v>0</v>
      </c>
      <c r="R115" s="49"/>
      <c r="T115" t="s">
        <v>2468</v>
      </c>
      <c r="U115" t="s">
        <v>127</v>
      </c>
      <c r="V115" t="s">
        <v>140</v>
      </c>
      <c r="W115">
        <v>1</v>
      </c>
      <c r="X115">
        <v>0</v>
      </c>
      <c r="AA115" t="s">
        <v>141</v>
      </c>
      <c r="AB115" t="s">
        <v>142</v>
      </c>
      <c r="AC115">
        <v>11611</v>
      </c>
      <c r="AD115">
        <v>11612</v>
      </c>
      <c r="AF115">
        <v>1</v>
      </c>
    </row>
    <row r="116" spans="1:32">
      <c r="A116">
        <v>1</v>
      </c>
      <c r="E116" t="s">
        <v>2982</v>
      </c>
      <c r="F116">
        <v>72</v>
      </c>
      <c r="G116" t="s">
        <v>2900</v>
      </c>
      <c r="H116" t="s">
        <v>2961</v>
      </c>
      <c r="I116" t="s">
        <v>2288</v>
      </c>
      <c r="J116" t="s">
        <v>1278</v>
      </c>
      <c r="K116" t="s">
        <v>2846</v>
      </c>
      <c r="L116">
        <v>0</v>
      </c>
      <c r="M116">
        <v>0</v>
      </c>
      <c r="O116">
        <v>0</v>
      </c>
      <c r="P116">
        <v>0</v>
      </c>
      <c r="Q116">
        <v>0</v>
      </c>
      <c r="R116" s="49"/>
      <c r="T116" t="s">
        <v>2468</v>
      </c>
      <c r="U116" t="s">
        <v>127</v>
      </c>
      <c r="V116" t="s">
        <v>140</v>
      </c>
      <c r="W116">
        <v>1</v>
      </c>
      <c r="X116">
        <v>0</v>
      </c>
      <c r="AA116" t="s">
        <v>141</v>
      </c>
      <c r="AB116" t="s">
        <v>142</v>
      </c>
      <c r="AC116">
        <v>11611</v>
      </c>
      <c r="AD116">
        <v>11612</v>
      </c>
      <c r="AF116">
        <v>1</v>
      </c>
    </row>
    <row r="117" spans="1:32">
      <c r="A117">
        <v>1</v>
      </c>
      <c r="E117" t="s">
        <v>2983</v>
      </c>
      <c r="F117">
        <v>12</v>
      </c>
      <c r="G117" t="s">
        <v>2900</v>
      </c>
      <c r="H117" t="s">
        <v>2961</v>
      </c>
      <c r="I117" t="s">
        <v>2288</v>
      </c>
      <c r="J117" t="s">
        <v>1276</v>
      </c>
      <c r="K117" t="s">
        <v>2850</v>
      </c>
      <c r="L117">
        <v>0</v>
      </c>
      <c r="M117">
        <v>0</v>
      </c>
      <c r="O117">
        <v>0</v>
      </c>
      <c r="P117">
        <v>0</v>
      </c>
      <c r="Q117">
        <v>0</v>
      </c>
      <c r="R117" s="49"/>
      <c r="T117" t="s">
        <v>2468</v>
      </c>
      <c r="U117" t="s">
        <v>127</v>
      </c>
      <c r="V117" t="s">
        <v>140</v>
      </c>
      <c r="W117">
        <v>1</v>
      </c>
      <c r="X117">
        <v>0</v>
      </c>
      <c r="AA117" t="s">
        <v>141</v>
      </c>
      <c r="AB117" t="s">
        <v>142</v>
      </c>
      <c r="AC117">
        <v>11611</v>
      </c>
      <c r="AD117">
        <v>11612</v>
      </c>
      <c r="AF117">
        <v>1</v>
      </c>
    </row>
    <row r="118" spans="1:32">
      <c r="A118">
        <v>1</v>
      </c>
      <c r="E118" t="s">
        <v>2984</v>
      </c>
      <c r="F118">
        <v>72</v>
      </c>
      <c r="G118" t="s">
        <v>2900</v>
      </c>
      <c r="H118" t="s">
        <v>2961</v>
      </c>
      <c r="I118" t="s">
        <v>2288</v>
      </c>
      <c r="J118" t="s">
        <v>1282</v>
      </c>
      <c r="K118" t="s">
        <v>2846</v>
      </c>
      <c r="L118">
        <v>0</v>
      </c>
      <c r="M118">
        <v>0</v>
      </c>
      <c r="O118">
        <v>0</v>
      </c>
      <c r="P118">
        <v>0</v>
      </c>
      <c r="Q118">
        <v>0</v>
      </c>
      <c r="R118" s="49"/>
      <c r="T118" t="s">
        <v>2468</v>
      </c>
      <c r="U118" t="s">
        <v>127</v>
      </c>
      <c r="V118" t="s">
        <v>140</v>
      </c>
      <c r="W118">
        <v>1</v>
      </c>
      <c r="X118">
        <v>0</v>
      </c>
      <c r="AA118" t="s">
        <v>141</v>
      </c>
      <c r="AB118" t="s">
        <v>142</v>
      </c>
      <c r="AC118">
        <v>11611</v>
      </c>
      <c r="AD118">
        <v>11612</v>
      </c>
      <c r="AF118">
        <v>1</v>
      </c>
    </row>
    <row r="119" spans="1:32">
      <c r="A119">
        <v>1</v>
      </c>
      <c r="E119" t="s">
        <v>2985</v>
      </c>
      <c r="F119">
        <v>12</v>
      </c>
      <c r="G119" t="s">
        <v>2900</v>
      </c>
      <c r="H119" t="s">
        <v>2961</v>
      </c>
      <c r="I119" t="s">
        <v>2288</v>
      </c>
      <c r="J119" t="s">
        <v>2690</v>
      </c>
      <c r="K119" t="s">
        <v>2850</v>
      </c>
      <c r="L119">
        <v>0</v>
      </c>
      <c r="M119">
        <v>0</v>
      </c>
      <c r="O119">
        <v>0</v>
      </c>
      <c r="P119">
        <v>0</v>
      </c>
      <c r="Q119">
        <v>0</v>
      </c>
      <c r="R119" s="49"/>
      <c r="T119" t="s">
        <v>2468</v>
      </c>
      <c r="U119" t="s">
        <v>127</v>
      </c>
      <c r="V119" t="s">
        <v>140</v>
      </c>
      <c r="W119">
        <v>1</v>
      </c>
      <c r="X119">
        <v>0</v>
      </c>
      <c r="AA119" t="s">
        <v>141</v>
      </c>
      <c r="AB119" t="s">
        <v>142</v>
      </c>
      <c r="AC119">
        <v>11611</v>
      </c>
      <c r="AD119">
        <v>11612</v>
      </c>
      <c r="AF119">
        <v>1</v>
      </c>
    </row>
    <row r="120" spans="1:32">
      <c r="A120">
        <v>1</v>
      </c>
      <c r="E120" t="s">
        <v>2986</v>
      </c>
      <c r="F120">
        <v>24</v>
      </c>
      <c r="G120" t="s">
        <v>2900</v>
      </c>
      <c r="H120" t="s">
        <v>2961</v>
      </c>
      <c r="I120" t="s">
        <v>2288</v>
      </c>
      <c r="J120" t="s">
        <v>2691</v>
      </c>
      <c r="K120" t="s">
        <v>2852</v>
      </c>
      <c r="L120">
        <v>0</v>
      </c>
      <c r="M120">
        <v>0</v>
      </c>
      <c r="O120">
        <v>0</v>
      </c>
      <c r="P120">
        <v>0</v>
      </c>
      <c r="Q120">
        <v>0</v>
      </c>
      <c r="R120" s="49"/>
      <c r="T120" t="s">
        <v>2468</v>
      </c>
      <c r="U120" t="s">
        <v>127</v>
      </c>
      <c r="V120" t="s">
        <v>140</v>
      </c>
      <c r="W120">
        <v>8</v>
      </c>
      <c r="X120">
        <v>0</v>
      </c>
      <c r="AA120" t="s">
        <v>141</v>
      </c>
      <c r="AB120" t="s">
        <v>142</v>
      </c>
      <c r="AC120">
        <v>11611</v>
      </c>
      <c r="AD120">
        <v>11612</v>
      </c>
      <c r="AF120">
        <v>1</v>
      </c>
    </row>
    <row r="121" spans="1:32">
      <c r="A121">
        <v>1</v>
      </c>
      <c r="E121" t="s">
        <v>2987</v>
      </c>
      <c r="F121">
        <v>20</v>
      </c>
      <c r="G121" t="s">
        <v>2900</v>
      </c>
      <c r="H121" t="s">
        <v>2961</v>
      </c>
      <c r="I121" t="s">
        <v>2288</v>
      </c>
      <c r="J121" t="s">
        <v>2692</v>
      </c>
      <c r="K121" t="s">
        <v>2853</v>
      </c>
      <c r="L121">
        <v>0</v>
      </c>
      <c r="M121">
        <v>0</v>
      </c>
      <c r="O121">
        <v>0</v>
      </c>
      <c r="P121">
        <v>0</v>
      </c>
      <c r="Q121">
        <v>0</v>
      </c>
      <c r="R121" s="49"/>
      <c r="T121" t="s">
        <v>2468</v>
      </c>
      <c r="U121" t="s">
        <v>127</v>
      </c>
      <c r="V121" t="s">
        <v>140</v>
      </c>
      <c r="W121">
        <v>34</v>
      </c>
      <c r="X121">
        <v>0</v>
      </c>
      <c r="AA121" t="s">
        <v>141</v>
      </c>
      <c r="AB121" t="s">
        <v>142</v>
      </c>
      <c r="AC121">
        <v>11611</v>
      </c>
      <c r="AD121">
        <v>11612</v>
      </c>
      <c r="AF121">
        <v>1</v>
      </c>
    </row>
    <row r="122" spans="1:32">
      <c r="A122">
        <v>1</v>
      </c>
      <c r="E122" t="s">
        <v>2988</v>
      </c>
      <c r="F122">
        <v>72</v>
      </c>
      <c r="G122" t="s">
        <v>2900</v>
      </c>
      <c r="H122" t="s">
        <v>2961</v>
      </c>
      <c r="I122" t="s">
        <v>2290</v>
      </c>
      <c r="J122" t="s">
        <v>2693</v>
      </c>
      <c r="K122" t="s">
        <v>2846</v>
      </c>
      <c r="L122">
        <v>0</v>
      </c>
      <c r="M122">
        <v>0</v>
      </c>
      <c r="O122">
        <v>0</v>
      </c>
      <c r="P122">
        <v>0</v>
      </c>
      <c r="Q122">
        <v>0</v>
      </c>
      <c r="R122" s="49"/>
      <c r="T122" t="s">
        <v>2468</v>
      </c>
      <c r="U122" t="s">
        <v>127</v>
      </c>
      <c r="V122" t="s">
        <v>140</v>
      </c>
      <c r="W122">
        <v>1</v>
      </c>
      <c r="X122">
        <v>0</v>
      </c>
      <c r="AA122" t="s">
        <v>141</v>
      </c>
      <c r="AB122" t="s">
        <v>142</v>
      </c>
      <c r="AC122">
        <v>11611</v>
      </c>
      <c r="AD122">
        <v>11612</v>
      </c>
      <c r="AF122">
        <v>1</v>
      </c>
    </row>
    <row r="123" spans="1:32">
      <c r="A123">
        <v>1</v>
      </c>
      <c r="E123" t="s">
        <v>2989</v>
      </c>
      <c r="F123">
        <v>36</v>
      </c>
      <c r="G123" t="s">
        <v>2900</v>
      </c>
      <c r="H123" t="s">
        <v>2961</v>
      </c>
      <c r="I123" t="s">
        <v>2290</v>
      </c>
      <c r="J123" t="s">
        <v>2694</v>
      </c>
      <c r="K123" t="s">
        <v>2847</v>
      </c>
      <c r="L123">
        <v>0</v>
      </c>
      <c r="M123">
        <v>0</v>
      </c>
      <c r="O123">
        <v>0</v>
      </c>
      <c r="P123">
        <v>0</v>
      </c>
      <c r="Q123">
        <v>0</v>
      </c>
      <c r="R123" s="49"/>
      <c r="T123" t="s">
        <v>2468</v>
      </c>
      <c r="U123" t="s">
        <v>127</v>
      </c>
      <c r="V123" t="s">
        <v>140</v>
      </c>
      <c r="W123">
        <v>30</v>
      </c>
      <c r="X123">
        <v>0</v>
      </c>
      <c r="AA123" t="s">
        <v>141</v>
      </c>
      <c r="AB123" t="s">
        <v>142</v>
      </c>
      <c r="AC123">
        <v>11611</v>
      </c>
      <c r="AD123">
        <v>11612</v>
      </c>
      <c r="AF123">
        <v>1</v>
      </c>
    </row>
    <row r="124" spans="1:32">
      <c r="A124">
        <v>1</v>
      </c>
      <c r="E124" t="s">
        <v>2990</v>
      </c>
      <c r="F124">
        <v>72</v>
      </c>
      <c r="G124" t="s">
        <v>2900</v>
      </c>
      <c r="H124" t="s">
        <v>2961</v>
      </c>
      <c r="I124" t="s">
        <v>2290</v>
      </c>
      <c r="J124" t="s">
        <v>2695</v>
      </c>
      <c r="K124" t="s">
        <v>2846</v>
      </c>
      <c r="L124">
        <v>0</v>
      </c>
      <c r="M124">
        <v>0</v>
      </c>
      <c r="O124">
        <v>0</v>
      </c>
      <c r="P124">
        <v>0</v>
      </c>
      <c r="Q124">
        <v>0</v>
      </c>
      <c r="R124" s="49"/>
      <c r="T124" t="s">
        <v>2468</v>
      </c>
      <c r="U124" t="s">
        <v>127</v>
      </c>
      <c r="V124" t="s">
        <v>140</v>
      </c>
      <c r="W124">
        <v>1</v>
      </c>
      <c r="X124">
        <v>0</v>
      </c>
      <c r="AA124" t="s">
        <v>141</v>
      </c>
      <c r="AB124" t="s">
        <v>142</v>
      </c>
      <c r="AC124">
        <v>11611</v>
      </c>
      <c r="AD124">
        <v>11612</v>
      </c>
      <c r="AF124">
        <v>1</v>
      </c>
    </row>
    <row r="125" spans="1:32">
      <c r="A125">
        <v>1</v>
      </c>
      <c r="E125" t="s">
        <v>2991</v>
      </c>
      <c r="F125">
        <v>36</v>
      </c>
      <c r="G125" t="s">
        <v>2900</v>
      </c>
      <c r="H125" t="s">
        <v>2961</v>
      </c>
      <c r="I125" t="s">
        <v>2290</v>
      </c>
      <c r="J125" t="s">
        <v>2696</v>
      </c>
      <c r="K125" t="s">
        <v>2847</v>
      </c>
      <c r="L125">
        <v>0</v>
      </c>
      <c r="M125">
        <v>0</v>
      </c>
      <c r="O125">
        <v>0</v>
      </c>
      <c r="P125">
        <v>0</v>
      </c>
      <c r="Q125">
        <v>0</v>
      </c>
      <c r="R125" s="49"/>
      <c r="T125" t="s">
        <v>2468</v>
      </c>
      <c r="U125" t="s">
        <v>127</v>
      </c>
      <c r="V125" t="s">
        <v>140</v>
      </c>
      <c r="W125">
        <v>30</v>
      </c>
      <c r="X125">
        <v>0</v>
      </c>
      <c r="AA125" t="s">
        <v>141</v>
      </c>
      <c r="AB125" t="s">
        <v>142</v>
      </c>
      <c r="AC125">
        <v>11611</v>
      </c>
      <c r="AD125">
        <v>11612</v>
      </c>
      <c r="AF125">
        <v>1</v>
      </c>
    </row>
    <row r="126" spans="1:32">
      <c r="A126">
        <v>1</v>
      </c>
      <c r="E126" t="s">
        <v>2992</v>
      </c>
      <c r="F126">
        <v>72</v>
      </c>
      <c r="G126" t="s">
        <v>2900</v>
      </c>
      <c r="H126" t="s">
        <v>2961</v>
      </c>
      <c r="I126" t="s">
        <v>2292</v>
      </c>
      <c r="J126" t="s">
        <v>1298</v>
      </c>
      <c r="K126" t="s">
        <v>2846</v>
      </c>
      <c r="L126">
        <v>0</v>
      </c>
      <c r="M126">
        <v>0</v>
      </c>
      <c r="O126">
        <v>0</v>
      </c>
      <c r="P126">
        <v>0</v>
      </c>
      <c r="Q126">
        <v>0</v>
      </c>
      <c r="R126" s="49"/>
      <c r="T126" t="s">
        <v>2468</v>
      </c>
      <c r="U126" t="s">
        <v>127</v>
      </c>
      <c r="V126" t="s">
        <v>140</v>
      </c>
      <c r="W126">
        <v>1</v>
      </c>
      <c r="X126">
        <v>0</v>
      </c>
      <c r="AA126" t="s">
        <v>141</v>
      </c>
      <c r="AB126" t="s">
        <v>142</v>
      </c>
      <c r="AC126">
        <v>11611</v>
      </c>
      <c r="AD126">
        <v>11612</v>
      </c>
      <c r="AF126">
        <v>1</v>
      </c>
    </row>
    <row r="127" spans="1:32">
      <c r="A127">
        <v>1</v>
      </c>
      <c r="E127" t="s">
        <v>2993</v>
      </c>
      <c r="F127">
        <v>12</v>
      </c>
      <c r="G127" t="s">
        <v>2900</v>
      </c>
      <c r="H127" t="s">
        <v>2961</v>
      </c>
      <c r="I127" t="s">
        <v>2292</v>
      </c>
      <c r="J127" t="s">
        <v>1296</v>
      </c>
      <c r="K127" t="s">
        <v>2850</v>
      </c>
      <c r="L127">
        <v>0</v>
      </c>
      <c r="M127">
        <v>0</v>
      </c>
      <c r="O127">
        <v>0</v>
      </c>
      <c r="P127">
        <v>0</v>
      </c>
      <c r="Q127">
        <v>0</v>
      </c>
      <c r="R127" s="49"/>
      <c r="T127" t="s">
        <v>2468</v>
      </c>
      <c r="U127" t="s">
        <v>127</v>
      </c>
      <c r="V127" t="s">
        <v>140</v>
      </c>
      <c r="W127">
        <v>1</v>
      </c>
      <c r="X127">
        <v>0</v>
      </c>
      <c r="AA127" t="s">
        <v>141</v>
      </c>
      <c r="AB127" t="s">
        <v>142</v>
      </c>
      <c r="AC127">
        <v>11611</v>
      </c>
      <c r="AD127">
        <v>11612</v>
      </c>
      <c r="AF127">
        <v>1</v>
      </c>
    </row>
    <row r="128" spans="1:32">
      <c r="A128">
        <v>1</v>
      </c>
      <c r="E128" t="s">
        <v>2994</v>
      </c>
      <c r="F128">
        <v>72</v>
      </c>
      <c r="G128" t="s">
        <v>2900</v>
      </c>
      <c r="H128" t="s">
        <v>2961</v>
      </c>
      <c r="I128" t="s">
        <v>2292</v>
      </c>
      <c r="J128" t="s">
        <v>1301</v>
      </c>
      <c r="K128" t="s">
        <v>2846</v>
      </c>
      <c r="L128">
        <v>0</v>
      </c>
      <c r="M128">
        <v>0</v>
      </c>
      <c r="O128">
        <v>0</v>
      </c>
      <c r="P128">
        <v>0</v>
      </c>
      <c r="Q128">
        <v>0</v>
      </c>
      <c r="R128" s="49"/>
      <c r="T128" t="s">
        <v>2468</v>
      </c>
      <c r="U128" t="s">
        <v>127</v>
      </c>
      <c r="V128" t="s">
        <v>140</v>
      </c>
      <c r="W128">
        <v>1</v>
      </c>
      <c r="X128">
        <v>0</v>
      </c>
      <c r="AA128" t="s">
        <v>141</v>
      </c>
      <c r="AB128" t="s">
        <v>142</v>
      </c>
      <c r="AC128">
        <v>11611</v>
      </c>
      <c r="AD128">
        <v>11612</v>
      </c>
      <c r="AF128">
        <v>1</v>
      </c>
    </row>
    <row r="129" spans="1:32">
      <c r="A129">
        <v>1</v>
      </c>
      <c r="E129" t="s">
        <v>2995</v>
      </c>
      <c r="F129">
        <v>12</v>
      </c>
      <c r="G129" t="s">
        <v>2900</v>
      </c>
      <c r="H129" t="s">
        <v>2961</v>
      </c>
      <c r="I129" t="s">
        <v>2292</v>
      </c>
      <c r="J129" t="s">
        <v>1300</v>
      </c>
      <c r="K129" t="s">
        <v>2850</v>
      </c>
      <c r="L129">
        <v>0</v>
      </c>
      <c r="M129">
        <v>0</v>
      </c>
      <c r="O129">
        <v>0</v>
      </c>
      <c r="P129">
        <v>0</v>
      </c>
      <c r="Q129">
        <v>0</v>
      </c>
      <c r="R129" s="49"/>
      <c r="T129" t="s">
        <v>2468</v>
      </c>
      <c r="U129" t="s">
        <v>127</v>
      </c>
      <c r="V129" t="s">
        <v>140</v>
      </c>
      <c r="W129">
        <v>1</v>
      </c>
      <c r="X129">
        <v>0</v>
      </c>
      <c r="AA129" t="s">
        <v>141</v>
      </c>
      <c r="AB129" t="s">
        <v>142</v>
      </c>
      <c r="AC129">
        <v>11611</v>
      </c>
      <c r="AD129">
        <v>11612</v>
      </c>
      <c r="AF129">
        <v>1</v>
      </c>
    </row>
    <row r="130" spans="1:32">
      <c r="A130">
        <v>1</v>
      </c>
      <c r="E130" t="s">
        <v>2996</v>
      </c>
      <c r="F130">
        <v>72</v>
      </c>
      <c r="G130" t="s">
        <v>2900</v>
      </c>
      <c r="H130" t="s">
        <v>2961</v>
      </c>
      <c r="I130" t="s">
        <v>2292</v>
      </c>
      <c r="J130" t="s">
        <v>1303</v>
      </c>
      <c r="K130" t="s">
        <v>2846</v>
      </c>
      <c r="L130">
        <v>0</v>
      </c>
      <c r="M130">
        <v>0</v>
      </c>
      <c r="O130">
        <v>0</v>
      </c>
      <c r="P130">
        <v>0</v>
      </c>
      <c r="Q130">
        <v>0</v>
      </c>
      <c r="R130" s="49"/>
      <c r="T130" t="s">
        <v>2468</v>
      </c>
      <c r="U130" t="s">
        <v>127</v>
      </c>
      <c r="V130" t="s">
        <v>140</v>
      </c>
      <c r="W130">
        <v>1</v>
      </c>
      <c r="X130">
        <v>0</v>
      </c>
      <c r="AA130" t="s">
        <v>141</v>
      </c>
      <c r="AB130" t="s">
        <v>142</v>
      </c>
      <c r="AC130">
        <v>11611</v>
      </c>
      <c r="AD130">
        <v>11612</v>
      </c>
      <c r="AF130">
        <v>1</v>
      </c>
    </row>
    <row r="131" spans="1:32">
      <c r="A131">
        <v>1</v>
      </c>
      <c r="E131" t="s">
        <v>2997</v>
      </c>
      <c r="F131">
        <v>12</v>
      </c>
      <c r="G131" t="s">
        <v>2900</v>
      </c>
      <c r="H131" t="s">
        <v>2961</v>
      </c>
      <c r="I131" t="s">
        <v>2292</v>
      </c>
      <c r="J131" t="s">
        <v>1302</v>
      </c>
      <c r="K131" t="s">
        <v>2850</v>
      </c>
      <c r="L131">
        <v>0</v>
      </c>
      <c r="M131">
        <v>0</v>
      </c>
      <c r="O131">
        <v>0</v>
      </c>
      <c r="P131">
        <v>0</v>
      </c>
      <c r="Q131">
        <v>0</v>
      </c>
      <c r="R131" s="49"/>
      <c r="T131" t="s">
        <v>2468</v>
      </c>
      <c r="U131" t="s">
        <v>127</v>
      </c>
      <c r="V131" t="s">
        <v>140</v>
      </c>
      <c r="W131">
        <v>1</v>
      </c>
      <c r="X131">
        <v>0</v>
      </c>
      <c r="AA131" t="s">
        <v>141</v>
      </c>
      <c r="AB131" t="s">
        <v>142</v>
      </c>
      <c r="AC131">
        <v>11611</v>
      </c>
      <c r="AD131">
        <v>11612</v>
      </c>
      <c r="AF131">
        <v>1</v>
      </c>
    </row>
    <row r="132" spans="1:32">
      <c r="A132">
        <v>1</v>
      </c>
      <c r="E132" t="s">
        <v>2998</v>
      </c>
      <c r="F132">
        <v>36</v>
      </c>
      <c r="G132" t="s">
        <v>2900</v>
      </c>
      <c r="H132" t="s">
        <v>2961</v>
      </c>
      <c r="I132" t="s">
        <v>2294</v>
      </c>
      <c r="J132" t="s">
        <v>1304</v>
      </c>
      <c r="K132" t="s">
        <v>2847</v>
      </c>
      <c r="L132">
        <v>0</v>
      </c>
      <c r="M132">
        <v>0</v>
      </c>
      <c r="O132">
        <v>0</v>
      </c>
      <c r="P132">
        <v>0</v>
      </c>
      <c r="Q132">
        <v>0</v>
      </c>
      <c r="R132" s="49"/>
      <c r="T132" t="s">
        <v>2468</v>
      </c>
      <c r="U132" t="s">
        <v>127</v>
      </c>
      <c r="V132" t="s">
        <v>140</v>
      </c>
      <c r="W132">
        <v>50</v>
      </c>
      <c r="X132">
        <v>0</v>
      </c>
      <c r="AA132" t="s">
        <v>141</v>
      </c>
      <c r="AB132" t="s">
        <v>142</v>
      </c>
      <c r="AC132">
        <v>11611</v>
      </c>
      <c r="AD132">
        <v>11612</v>
      </c>
      <c r="AF132">
        <v>1</v>
      </c>
    </row>
    <row r="133" spans="1:32">
      <c r="A133">
        <v>1</v>
      </c>
      <c r="E133" t="s">
        <v>2999</v>
      </c>
      <c r="F133">
        <v>36</v>
      </c>
      <c r="G133" t="s">
        <v>2900</v>
      </c>
      <c r="H133" t="s">
        <v>2961</v>
      </c>
      <c r="I133" t="s">
        <v>2294</v>
      </c>
      <c r="J133" t="s">
        <v>1306</v>
      </c>
      <c r="K133" t="s">
        <v>2847</v>
      </c>
      <c r="L133">
        <v>0</v>
      </c>
      <c r="M133">
        <v>0</v>
      </c>
      <c r="O133">
        <v>0</v>
      </c>
      <c r="P133">
        <v>0</v>
      </c>
      <c r="Q133">
        <v>0</v>
      </c>
      <c r="R133" s="49"/>
      <c r="T133" t="s">
        <v>2468</v>
      </c>
      <c r="U133" t="s">
        <v>127</v>
      </c>
      <c r="V133" t="s">
        <v>140</v>
      </c>
      <c r="W133">
        <v>100</v>
      </c>
      <c r="X133">
        <v>0</v>
      </c>
      <c r="AA133" t="s">
        <v>141</v>
      </c>
      <c r="AB133" t="s">
        <v>142</v>
      </c>
      <c r="AC133">
        <v>11611</v>
      </c>
      <c r="AD133">
        <v>11612</v>
      </c>
      <c r="AF133">
        <v>1</v>
      </c>
    </row>
    <row r="134" spans="1:32">
      <c r="A134">
        <v>1</v>
      </c>
      <c r="E134" t="s">
        <v>3000</v>
      </c>
      <c r="F134">
        <v>36</v>
      </c>
      <c r="G134" t="s">
        <v>2900</v>
      </c>
      <c r="H134" t="s">
        <v>2961</v>
      </c>
      <c r="I134" t="s">
        <v>2294</v>
      </c>
      <c r="J134" t="s">
        <v>1308</v>
      </c>
      <c r="K134" t="s">
        <v>2847</v>
      </c>
      <c r="L134">
        <v>0</v>
      </c>
      <c r="M134">
        <v>0</v>
      </c>
      <c r="O134">
        <v>0</v>
      </c>
      <c r="P134">
        <v>0</v>
      </c>
      <c r="Q134">
        <v>0</v>
      </c>
      <c r="R134" s="49"/>
      <c r="T134" t="s">
        <v>2468</v>
      </c>
      <c r="U134" t="s">
        <v>127</v>
      </c>
      <c r="V134" t="s">
        <v>140</v>
      </c>
      <c r="W134">
        <v>50</v>
      </c>
      <c r="X134">
        <v>0</v>
      </c>
      <c r="AA134" t="s">
        <v>141</v>
      </c>
      <c r="AB134" t="s">
        <v>142</v>
      </c>
      <c r="AC134">
        <v>11611</v>
      </c>
      <c r="AD134">
        <v>11612</v>
      </c>
      <c r="AF134">
        <v>1</v>
      </c>
    </row>
    <row r="135" spans="1:32">
      <c r="A135">
        <v>1</v>
      </c>
      <c r="E135" t="s">
        <v>3001</v>
      </c>
      <c r="F135">
        <v>36</v>
      </c>
      <c r="G135" t="s">
        <v>2900</v>
      </c>
      <c r="H135" t="s">
        <v>2961</v>
      </c>
      <c r="I135" t="s">
        <v>2294</v>
      </c>
      <c r="J135" t="s">
        <v>1310</v>
      </c>
      <c r="K135" t="s">
        <v>2847</v>
      </c>
      <c r="L135">
        <v>0</v>
      </c>
      <c r="M135">
        <v>0</v>
      </c>
      <c r="O135">
        <v>0</v>
      </c>
      <c r="P135">
        <v>0</v>
      </c>
      <c r="Q135">
        <v>0</v>
      </c>
      <c r="R135" s="49"/>
      <c r="T135" t="s">
        <v>2468</v>
      </c>
      <c r="U135" t="s">
        <v>127</v>
      </c>
      <c r="V135" t="s">
        <v>140</v>
      </c>
      <c r="W135">
        <v>100</v>
      </c>
      <c r="X135">
        <v>0</v>
      </c>
      <c r="AA135" t="s">
        <v>141</v>
      </c>
      <c r="AB135" t="s">
        <v>142</v>
      </c>
      <c r="AC135">
        <v>11611</v>
      </c>
      <c r="AD135">
        <v>11612</v>
      </c>
      <c r="AF135">
        <v>1</v>
      </c>
    </row>
    <row r="136" spans="1:32">
      <c r="A136">
        <v>1</v>
      </c>
      <c r="E136" t="s">
        <v>3002</v>
      </c>
      <c r="F136">
        <v>36</v>
      </c>
      <c r="G136" t="s">
        <v>2900</v>
      </c>
      <c r="H136" t="s">
        <v>2961</v>
      </c>
      <c r="I136" t="s">
        <v>2294</v>
      </c>
      <c r="J136" t="s">
        <v>1312</v>
      </c>
      <c r="K136" t="s">
        <v>2847</v>
      </c>
      <c r="L136">
        <v>0</v>
      </c>
      <c r="M136">
        <v>0</v>
      </c>
      <c r="O136">
        <v>0</v>
      </c>
      <c r="P136">
        <v>0</v>
      </c>
      <c r="Q136">
        <v>0</v>
      </c>
      <c r="R136" s="49"/>
      <c r="T136" t="s">
        <v>2468</v>
      </c>
      <c r="U136" t="s">
        <v>127</v>
      </c>
      <c r="V136" t="s">
        <v>140</v>
      </c>
      <c r="W136">
        <v>50</v>
      </c>
      <c r="X136">
        <v>0</v>
      </c>
      <c r="AA136" t="s">
        <v>141</v>
      </c>
      <c r="AB136" t="s">
        <v>142</v>
      </c>
      <c r="AC136">
        <v>11611</v>
      </c>
      <c r="AD136">
        <v>11612</v>
      </c>
      <c r="AF136">
        <v>1</v>
      </c>
    </row>
    <row r="137" spans="1:32">
      <c r="A137">
        <v>1</v>
      </c>
      <c r="E137" t="s">
        <v>3003</v>
      </c>
      <c r="F137">
        <v>36</v>
      </c>
      <c r="G137" t="s">
        <v>2900</v>
      </c>
      <c r="H137" t="s">
        <v>2961</v>
      </c>
      <c r="I137" t="s">
        <v>2294</v>
      </c>
      <c r="J137" t="s">
        <v>1314</v>
      </c>
      <c r="K137" t="s">
        <v>2847</v>
      </c>
      <c r="L137">
        <v>0</v>
      </c>
      <c r="M137">
        <v>0</v>
      </c>
      <c r="O137">
        <v>0</v>
      </c>
      <c r="P137">
        <v>0</v>
      </c>
      <c r="Q137">
        <v>0</v>
      </c>
      <c r="R137" s="49"/>
      <c r="T137" t="s">
        <v>2468</v>
      </c>
      <c r="U137" t="s">
        <v>127</v>
      </c>
      <c r="V137" t="s">
        <v>140</v>
      </c>
      <c r="W137">
        <v>100</v>
      </c>
      <c r="X137">
        <v>0</v>
      </c>
      <c r="AA137" t="s">
        <v>141</v>
      </c>
      <c r="AB137" t="s">
        <v>142</v>
      </c>
      <c r="AC137">
        <v>11611</v>
      </c>
      <c r="AD137">
        <v>11612</v>
      </c>
      <c r="AF137">
        <v>1</v>
      </c>
    </row>
    <row r="138" spans="1:32">
      <c r="A138">
        <v>1</v>
      </c>
      <c r="E138" t="s">
        <v>3004</v>
      </c>
      <c r="F138">
        <v>36</v>
      </c>
      <c r="G138" t="s">
        <v>2900</v>
      </c>
      <c r="H138" t="s">
        <v>2961</v>
      </c>
      <c r="I138" t="s">
        <v>2294</v>
      </c>
      <c r="J138" t="s">
        <v>1316</v>
      </c>
      <c r="K138" t="s">
        <v>2847</v>
      </c>
      <c r="L138">
        <v>0</v>
      </c>
      <c r="M138">
        <v>0</v>
      </c>
      <c r="O138">
        <v>0</v>
      </c>
      <c r="P138">
        <v>0</v>
      </c>
      <c r="Q138">
        <v>0</v>
      </c>
      <c r="R138" s="49"/>
      <c r="T138" t="s">
        <v>2468</v>
      </c>
      <c r="U138" t="s">
        <v>127</v>
      </c>
      <c r="V138" t="s">
        <v>140</v>
      </c>
      <c r="W138">
        <v>50</v>
      </c>
      <c r="X138">
        <v>0</v>
      </c>
      <c r="AA138" t="s">
        <v>141</v>
      </c>
      <c r="AB138" t="s">
        <v>142</v>
      </c>
      <c r="AC138">
        <v>11611</v>
      </c>
      <c r="AD138">
        <v>11612</v>
      </c>
      <c r="AF138">
        <v>1</v>
      </c>
    </row>
    <row r="139" spans="1:32">
      <c r="A139">
        <v>1</v>
      </c>
      <c r="E139" t="s">
        <v>3005</v>
      </c>
      <c r="F139">
        <v>36</v>
      </c>
      <c r="G139" t="s">
        <v>2900</v>
      </c>
      <c r="H139" t="s">
        <v>2961</v>
      </c>
      <c r="I139" t="s">
        <v>2294</v>
      </c>
      <c r="J139" t="s">
        <v>1318</v>
      </c>
      <c r="K139" t="s">
        <v>2847</v>
      </c>
      <c r="L139">
        <v>0</v>
      </c>
      <c r="M139">
        <v>0</v>
      </c>
      <c r="O139">
        <v>0</v>
      </c>
      <c r="P139">
        <v>0</v>
      </c>
      <c r="Q139">
        <v>0</v>
      </c>
      <c r="R139" s="49"/>
      <c r="T139" t="s">
        <v>2468</v>
      </c>
      <c r="U139" t="s">
        <v>127</v>
      </c>
      <c r="V139" t="s">
        <v>140</v>
      </c>
      <c r="W139">
        <v>100</v>
      </c>
      <c r="X139">
        <v>0</v>
      </c>
      <c r="AA139" t="s">
        <v>141</v>
      </c>
      <c r="AB139" t="s">
        <v>142</v>
      </c>
      <c r="AC139">
        <v>11611</v>
      </c>
      <c r="AD139">
        <v>11612</v>
      </c>
      <c r="AF139">
        <v>1</v>
      </c>
    </row>
    <row r="140" spans="1:32">
      <c r="A140">
        <v>1</v>
      </c>
      <c r="E140" t="s">
        <v>3006</v>
      </c>
      <c r="F140">
        <v>36</v>
      </c>
      <c r="G140" t="s">
        <v>2900</v>
      </c>
      <c r="H140" t="s">
        <v>2961</v>
      </c>
      <c r="I140" t="s">
        <v>2294</v>
      </c>
      <c r="J140" t="s">
        <v>1320</v>
      </c>
      <c r="K140" t="s">
        <v>2847</v>
      </c>
      <c r="L140">
        <v>0</v>
      </c>
      <c r="M140">
        <v>0</v>
      </c>
      <c r="O140">
        <v>0</v>
      </c>
      <c r="P140">
        <v>0</v>
      </c>
      <c r="Q140">
        <v>0</v>
      </c>
      <c r="R140" s="49"/>
      <c r="T140" t="s">
        <v>2468</v>
      </c>
      <c r="U140" t="s">
        <v>127</v>
      </c>
      <c r="V140" t="s">
        <v>140</v>
      </c>
      <c r="W140">
        <v>50</v>
      </c>
      <c r="X140">
        <v>0</v>
      </c>
      <c r="AA140" t="s">
        <v>141</v>
      </c>
      <c r="AB140" t="s">
        <v>142</v>
      </c>
      <c r="AC140">
        <v>11611</v>
      </c>
      <c r="AD140">
        <v>11612</v>
      </c>
      <c r="AF140">
        <v>1</v>
      </c>
    </row>
    <row r="141" spans="1:32">
      <c r="A141">
        <v>1</v>
      </c>
      <c r="E141" t="s">
        <v>3007</v>
      </c>
      <c r="F141">
        <v>36</v>
      </c>
      <c r="G141" t="s">
        <v>2900</v>
      </c>
      <c r="H141" t="s">
        <v>2961</v>
      </c>
      <c r="I141" t="s">
        <v>2294</v>
      </c>
      <c r="J141" t="s">
        <v>1322</v>
      </c>
      <c r="K141" t="s">
        <v>2847</v>
      </c>
      <c r="L141">
        <v>0</v>
      </c>
      <c r="M141">
        <v>0</v>
      </c>
      <c r="O141">
        <v>0</v>
      </c>
      <c r="P141">
        <v>0</v>
      </c>
      <c r="Q141">
        <v>0</v>
      </c>
      <c r="R141" s="49"/>
      <c r="T141" t="s">
        <v>2468</v>
      </c>
      <c r="U141" t="s">
        <v>127</v>
      </c>
      <c r="V141" t="s">
        <v>140</v>
      </c>
      <c r="W141">
        <v>100</v>
      </c>
      <c r="X141">
        <v>0</v>
      </c>
      <c r="AA141" t="s">
        <v>141</v>
      </c>
      <c r="AB141" t="s">
        <v>142</v>
      </c>
      <c r="AC141">
        <v>11611</v>
      </c>
      <c r="AD141">
        <v>11612</v>
      </c>
      <c r="AF141">
        <v>1</v>
      </c>
    </row>
    <row r="142" spans="1:32">
      <c r="A142">
        <v>1</v>
      </c>
      <c r="E142" t="s">
        <v>3008</v>
      </c>
      <c r="F142">
        <v>36</v>
      </c>
      <c r="G142" t="s">
        <v>2900</v>
      </c>
      <c r="H142" t="s">
        <v>2961</v>
      </c>
      <c r="I142" t="s">
        <v>2294</v>
      </c>
      <c r="J142" t="s">
        <v>1324</v>
      </c>
      <c r="K142" t="s">
        <v>2847</v>
      </c>
      <c r="L142">
        <v>0</v>
      </c>
      <c r="M142">
        <v>0</v>
      </c>
      <c r="O142">
        <v>0</v>
      </c>
      <c r="P142">
        <v>0</v>
      </c>
      <c r="Q142">
        <v>0</v>
      </c>
      <c r="R142" s="49"/>
      <c r="T142" t="s">
        <v>2468</v>
      </c>
      <c r="U142" t="s">
        <v>127</v>
      </c>
      <c r="V142" t="s">
        <v>140</v>
      </c>
      <c r="W142">
        <v>50</v>
      </c>
      <c r="X142">
        <v>0</v>
      </c>
      <c r="AA142" t="s">
        <v>141</v>
      </c>
      <c r="AB142" t="s">
        <v>142</v>
      </c>
      <c r="AC142">
        <v>11611</v>
      </c>
      <c r="AD142">
        <v>11612</v>
      </c>
      <c r="AF142">
        <v>1</v>
      </c>
    </row>
    <row r="143" spans="1:32">
      <c r="A143">
        <v>1</v>
      </c>
      <c r="E143" t="s">
        <v>3009</v>
      </c>
      <c r="F143">
        <v>36</v>
      </c>
      <c r="G143" t="s">
        <v>2900</v>
      </c>
      <c r="H143" t="s">
        <v>2961</v>
      </c>
      <c r="I143" t="s">
        <v>2294</v>
      </c>
      <c r="J143" t="s">
        <v>1326</v>
      </c>
      <c r="K143" t="s">
        <v>2847</v>
      </c>
      <c r="L143">
        <v>0</v>
      </c>
      <c r="M143">
        <v>0</v>
      </c>
      <c r="O143">
        <v>0</v>
      </c>
      <c r="P143">
        <v>0</v>
      </c>
      <c r="Q143">
        <v>0</v>
      </c>
      <c r="R143" s="49"/>
      <c r="T143" t="s">
        <v>2468</v>
      </c>
      <c r="U143" t="s">
        <v>127</v>
      </c>
      <c r="V143" t="s">
        <v>140</v>
      </c>
      <c r="W143">
        <v>100</v>
      </c>
      <c r="X143">
        <v>0</v>
      </c>
      <c r="AA143" t="s">
        <v>141</v>
      </c>
      <c r="AB143" t="s">
        <v>142</v>
      </c>
      <c r="AC143">
        <v>11611</v>
      </c>
      <c r="AD143">
        <v>11612</v>
      </c>
      <c r="AF143">
        <v>1</v>
      </c>
    </row>
    <row r="144" spans="1:32">
      <c r="A144">
        <v>1</v>
      </c>
      <c r="E144" t="s">
        <v>3010</v>
      </c>
      <c r="F144">
        <v>36</v>
      </c>
      <c r="G144" t="s">
        <v>2900</v>
      </c>
      <c r="H144" t="s">
        <v>2961</v>
      </c>
      <c r="I144" t="s">
        <v>2294</v>
      </c>
      <c r="J144" t="s">
        <v>1328</v>
      </c>
      <c r="K144" t="s">
        <v>2847</v>
      </c>
      <c r="L144">
        <v>0</v>
      </c>
      <c r="M144">
        <v>0</v>
      </c>
      <c r="O144">
        <v>0</v>
      </c>
      <c r="P144">
        <v>0</v>
      </c>
      <c r="Q144">
        <v>0</v>
      </c>
      <c r="R144" s="49"/>
      <c r="T144" t="s">
        <v>2468</v>
      </c>
      <c r="U144" t="s">
        <v>127</v>
      </c>
      <c r="V144" t="s">
        <v>140</v>
      </c>
      <c r="W144">
        <v>50</v>
      </c>
      <c r="X144">
        <v>0</v>
      </c>
      <c r="AA144" t="s">
        <v>141</v>
      </c>
      <c r="AB144" t="s">
        <v>142</v>
      </c>
      <c r="AC144">
        <v>11611</v>
      </c>
      <c r="AD144">
        <v>11612</v>
      </c>
      <c r="AF144">
        <v>1</v>
      </c>
    </row>
    <row r="145" spans="1:32">
      <c r="A145">
        <v>1</v>
      </c>
      <c r="E145" t="s">
        <v>3011</v>
      </c>
      <c r="F145">
        <v>36</v>
      </c>
      <c r="G145" t="s">
        <v>2900</v>
      </c>
      <c r="H145" t="s">
        <v>2961</v>
      </c>
      <c r="I145" t="s">
        <v>2294</v>
      </c>
      <c r="J145" t="s">
        <v>1330</v>
      </c>
      <c r="K145" t="s">
        <v>2847</v>
      </c>
      <c r="L145">
        <v>0</v>
      </c>
      <c r="M145">
        <v>0</v>
      </c>
      <c r="O145">
        <v>0</v>
      </c>
      <c r="P145">
        <v>0</v>
      </c>
      <c r="Q145">
        <v>0</v>
      </c>
      <c r="R145" s="49"/>
      <c r="T145" t="s">
        <v>2468</v>
      </c>
      <c r="U145" t="s">
        <v>127</v>
      </c>
      <c r="V145" t="s">
        <v>140</v>
      </c>
      <c r="W145">
        <v>100</v>
      </c>
      <c r="X145">
        <v>0</v>
      </c>
      <c r="AA145" t="s">
        <v>141</v>
      </c>
      <c r="AB145" t="s">
        <v>142</v>
      </c>
      <c r="AC145">
        <v>11611</v>
      </c>
      <c r="AD145">
        <v>11612</v>
      </c>
      <c r="AF145">
        <v>1</v>
      </c>
    </row>
    <row r="146" spans="1:32">
      <c r="A146">
        <v>1</v>
      </c>
      <c r="E146" t="s">
        <v>3012</v>
      </c>
      <c r="F146">
        <v>36</v>
      </c>
      <c r="G146" t="s">
        <v>2900</v>
      </c>
      <c r="H146" t="s">
        <v>2961</v>
      </c>
      <c r="I146" t="s">
        <v>2294</v>
      </c>
      <c r="J146" t="s">
        <v>1332</v>
      </c>
      <c r="K146" t="s">
        <v>2847</v>
      </c>
      <c r="L146">
        <v>0</v>
      </c>
      <c r="M146">
        <v>0</v>
      </c>
      <c r="O146">
        <v>0</v>
      </c>
      <c r="P146">
        <v>0</v>
      </c>
      <c r="Q146">
        <v>0</v>
      </c>
      <c r="R146" s="49"/>
      <c r="T146" t="s">
        <v>2468</v>
      </c>
      <c r="U146" t="s">
        <v>127</v>
      </c>
      <c r="V146" t="s">
        <v>140</v>
      </c>
      <c r="W146">
        <v>50</v>
      </c>
      <c r="X146">
        <v>0</v>
      </c>
      <c r="AA146" t="s">
        <v>141</v>
      </c>
      <c r="AB146" t="s">
        <v>142</v>
      </c>
      <c r="AC146">
        <v>11611</v>
      </c>
      <c r="AD146">
        <v>11612</v>
      </c>
      <c r="AF146">
        <v>1</v>
      </c>
    </row>
    <row r="147" spans="1:32">
      <c r="A147">
        <v>1</v>
      </c>
      <c r="E147" t="s">
        <v>3013</v>
      </c>
      <c r="F147">
        <v>36</v>
      </c>
      <c r="G147" t="s">
        <v>2900</v>
      </c>
      <c r="H147" t="s">
        <v>2961</v>
      </c>
      <c r="I147" t="s">
        <v>2294</v>
      </c>
      <c r="J147" t="s">
        <v>1334</v>
      </c>
      <c r="K147" t="s">
        <v>2847</v>
      </c>
      <c r="L147">
        <v>0</v>
      </c>
      <c r="M147">
        <v>0</v>
      </c>
      <c r="O147">
        <v>0</v>
      </c>
      <c r="P147">
        <v>0</v>
      </c>
      <c r="Q147">
        <v>0</v>
      </c>
      <c r="R147" s="49"/>
      <c r="T147" t="s">
        <v>2468</v>
      </c>
      <c r="U147" t="s">
        <v>127</v>
      </c>
      <c r="V147" t="s">
        <v>140</v>
      </c>
      <c r="W147">
        <v>100</v>
      </c>
      <c r="X147">
        <v>0</v>
      </c>
      <c r="AA147" t="s">
        <v>141</v>
      </c>
      <c r="AB147" t="s">
        <v>142</v>
      </c>
      <c r="AC147">
        <v>11611</v>
      </c>
      <c r="AD147">
        <v>11612</v>
      </c>
      <c r="AF147">
        <v>1</v>
      </c>
    </row>
    <row r="148" spans="1:32">
      <c r="A148">
        <v>1</v>
      </c>
      <c r="E148" t="s">
        <v>3014</v>
      </c>
      <c r="F148">
        <v>36</v>
      </c>
      <c r="G148" t="s">
        <v>2900</v>
      </c>
      <c r="H148" t="s">
        <v>2961</v>
      </c>
      <c r="I148" t="s">
        <v>2294</v>
      </c>
      <c r="J148" t="s">
        <v>1336</v>
      </c>
      <c r="K148" t="s">
        <v>2847</v>
      </c>
      <c r="L148">
        <v>0</v>
      </c>
      <c r="M148">
        <v>0</v>
      </c>
      <c r="O148">
        <v>0</v>
      </c>
      <c r="P148">
        <v>0</v>
      </c>
      <c r="Q148">
        <v>0</v>
      </c>
      <c r="R148" s="49"/>
      <c r="T148" t="s">
        <v>2468</v>
      </c>
      <c r="U148" t="s">
        <v>127</v>
      </c>
      <c r="V148" t="s">
        <v>140</v>
      </c>
      <c r="W148">
        <v>50</v>
      </c>
      <c r="X148">
        <v>0</v>
      </c>
      <c r="AA148" t="s">
        <v>141</v>
      </c>
      <c r="AB148" t="s">
        <v>142</v>
      </c>
      <c r="AC148">
        <v>11611</v>
      </c>
      <c r="AD148">
        <v>11612</v>
      </c>
      <c r="AF148">
        <v>1</v>
      </c>
    </row>
    <row r="149" spans="1:32">
      <c r="A149">
        <v>1</v>
      </c>
      <c r="E149" t="s">
        <v>3015</v>
      </c>
      <c r="F149">
        <v>36</v>
      </c>
      <c r="G149" t="s">
        <v>2900</v>
      </c>
      <c r="H149" t="s">
        <v>2961</v>
      </c>
      <c r="I149" t="s">
        <v>2294</v>
      </c>
      <c r="J149" t="s">
        <v>1338</v>
      </c>
      <c r="K149" t="s">
        <v>2847</v>
      </c>
      <c r="L149">
        <v>0</v>
      </c>
      <c r="M149">
        <v>0</v>
      </c>
      <c r="O149">
        <v>0</v>
      </c>
      <c r="P149">
        <v>0</v>
      </c>
      <c r="Q149">
        <v>0</v>
      </c>
      <c r="R149" s="49"/>
      <c r="T149" t="s">
        <v>2468</v>
      </c>
      <c r="U149" t="s">
        <v>127</v>
      </c>
      <c r="V149" t="s">
        <v>140</v>
      </c>
      <c r="W149">
        <v>100</v>
      </c>
      <c r="X149">
        <v>0</v>
      </c>
      <c r="AA149" t="s">
        <v>141</v>
      </c>
      <c r="AB149" t="s">
        <v>142</v>
      </c>
      <c r="AC149">
        <v>11611</v>
      </c>
      <c r="AD149">
        <v>11612</v>
      </c>
      <c r="AF149">
        <v>1</v>
      </c>
    </row>
    <row r="150" spans="1:32">
      <c r="A150">
        <v>1</v>
      </c>
      <c r="E150" t="s">
        <v>3016</v>
      </c>
      <c r="F150">
        <v>24</v>
      </c>
      <c r="G150" t="s">
        <v>2900</v>
      </c>
      <c r="H150" t="s">
        <v>2961</v>
      </c>
      <c r="I150" t="s">
        <v>2340</v>
      </c>
      <c r="J150" t="s">
        <v>1340</v>
      </c>
      <c r="K150" t="s">
        <v>2852</v>
      </c>
      <c r="L150">
        <v>0</v>
      </c>
      <c r="M150">
        <v>0</v>
      </c>
      <c r="O150">
        <v>0</v>
      </c>
      <c r="P150">
        <v>0</v>
      </c>
      <c r="Q150">
        <v>0</v>
      </c>
      <c r="R150" s="49"/>
      <c r="T150" t="s">
        <v>2468</v>
      </c>
      <c r="U150" t="s">
        <v>127</v>
      </c>
      <c r="V150" t="s">
        <v>140</v>
      </c>
      <c r="W150">
        <v>100</v>
      </c>
      <c r="X150">
        <v>0</v>
      </c>
      <c r="AA150" t="s">
        <v>141</v>
      </c>
      <c r="AB150" t="s">
        <v>142</v>
      </c>
      <c r="AC150">
        <v>11611</v>
      </c>
      <c r="AD150">
        <v>11612</v>
      </c>
      <c r="AF150">
        <v>1</v>
      </c>
    </row>
    <row r="151" spans="1:32">
      <c r="A151">
        <v>1</v>
      </c>
      <c r="E151" t="s">
        <v>3017</v>
      </c>
      <c r="F151">
        <v>24</v>
      </c>
      <c r="G151" t="s">
        <v>2900</v>
      </c>
      <c r="H151" t="s">
        <v>2961</v>
      </c>
      <c r="I151" t="s">
        <v>2340</v>
      </c>
      <c r="J151" t="s">
        <v>1342</v>
      </c>
      <c r="K151" t="s">
        <v>2852</v>
      </c>
      <c r="L151">
        <v>0</v>
      </c>
      <c r="M151">
        <v>0</v>
      </c>
      <c r="O151">
        <v>0</v>
      </c>
      <c r="P151">
        <v>0</v>
      </c>
      <c r="Q151">
        <v>0</v>
      </c>
      <c r="R151" s="49"/>
      <c r="T151" t="s">
        <v>2468</v>
      </c>
      <c r="U151" t="s">
        <v>127</v>
      </c>
      <c r="V151" t="s">
        <v>140</v>
      </c>
      <c r="W151">
        <v>100</v>
      </c>
      <c r="X151">
        <v>0</v>
      </c>
      <c r="AA151" t="s">
        <v>141</v>
      </c>
      <c r="AB151" t="s">
        <v>142</v>
      </c>
      <c r="AC151">
        <v>11611</v>
      </c>
      <c r="AD151">
        <v>11612</v>
      </c>
      <c r="AF151">
        <v>1</v>
      </c>
    </row>
    <row r="152" spans="1:32">
      <c r="A152">
        <v>1</v>
      </c>
      <c r="E152" t="s">
        <v>3018</v>
      </c>
      <c r="F152">
        <v>36</v>
      </c>
      <c r="G152" t="s">
        <v>2900</v>
      </c>
      <c r="H152" t="s">
        <v>2961</v>
      </c>
      <c r="I152" t="s">
        <v>2334</v>
      </c>
      <c r="J152" t="s">
        <v>1344</v>
      </c>
      <c r="K152" t="s">
        <v>2847</v>
      </c>
      <c r="L152">
        <v>0</v>
      </c>
      <c r="M152">
        <v>0</v>
      </c>
      <c r="O152">
        <v>0</v>
      </c>
      <c r="P152">
        <v>0</v>
      </c>
      <c r="Q152">
        <v>0</v>
      </c>
      <c r="R152" s="49"/>
      <c r="T152" t="s">
        <v>2468</v>
      </c>
      <c r="U152" t="s">
        <v>127</v>
      </c>
      <c r="V152" t="s">
        <v>140</v>
      </c>
      <c r="W152">
        <v>70</v>
      </c>
      <c r="X152">
        <v>0</v>
      </c>
      <c r="AA152" t="s">
        <v>141</v>
      </c>
      <c r="AB152" t="s">
        <v>142</v>
      </c>
      <c r="AC152">
        <v>11611</v>
      </c>
      <c r="AD152">
        <v>11612</v>
      </c>
      <c r="AF152">
        <v>1</v>
      </c>
    </row>
    <row r="153" spans="1:32">
      <c r="A153">
        <v>1</v>
      </c>
      <c r="E153" t="s">
        <v>3019</v>
      </c>
      <c r="F153">
        <v>36</v>
      </c>
      <c r="G153" t="s">
        <v>2900</v>
      </c>
      <c r="H153" t="s">
        <v>2961</v>
      </c>
      <c r="I153" t="s">
        <v>2334</v>
      </c>
      <c r="J153" t="s">
        <v>1346</v>
      </c>
      <c r="K153" t="s">
        <v>2847</v>
      </c>
      <c r="L153">
        <v>0</v>
      </c>
      <c r="M153">
        <v>0</v>
      </c>
      <c r="O153">
        <v>0</v>
      </c>
      <c r="P153">
        <v>0</v>
      </c>
      <c r="Q153">
        <v>0</v>
      </c>
      <c r="R153" s="49"/>
      <c r="T153" t="s">
        <v>2468</v>
      </c>
      <c r="U153" t="s">
        <v>127</v>
      </c>
      <c r="V153" t="s">
        <v>140</v>
      </c>
      <c r="W153">
        <v>125</v>
      </c>
      <c r="X153">
        <v>0</v>
      </c>
      <c r="AA153" t="s">
        <v>141</v>
      </c>
      <c r="AB153" t="s">
        <v>142</v>
      </c>
      <c r="AC153">
        <v>11611</v>
      </c>
      <c r="AD153">
        <v>11612</v>
      </c>
      <c r="AF153">
        <v>1</v>
      </c>
    </row>
    <row r="154" spans="1:32">
      <c r="A154">
        <v>1</v>
      </c>
      <c r="E154" t="s">
        <v>3020</v>
      </c>
      <c r="F154">
        <v>36</v>
      </c>
      <c r="G154" t="s">
        <v>2900</v>
      </c>
      <c r="H154" t="s">
        <v>2961</v>
      </c>
      <c r="I154" t="s">
        <v>2334</v>
      </c>
      <c r="J154" t="s">
        <v>1348</v>
      </c>
      <c r="K154" t="s">
        <v>2847</v>
      </c>
      <c r="L154">
        <v>0</v>
      </c>
      <c r="M154">
        <v>0</v>
      </c>
      <c r="O154">
        <v>0</v>
      </c>
      <c r="P154">
        <v>0</v>
      </c>
      <c r="Q154">
        <v>0</v>
      </c>
      <c r="R154" s="49"/>
      <c r="T154" t="s">
        <v>2468</v>
      </c>
      <c r="U154" t="s">
        <v>127</v>
      </c>
      <c r="V154" t="s">
        <v>140</v>
      </c>
      <c r="W154">
        <v>70</v>
      </c>
      <c r="X154">
        <v>0</v>
      </c>
      <c r="AA154" t="s">
        <v>141</v>
      </c>
      <c r="AB154" t="s">
        <v>142</v>
      </c>
      <c r="AC154">
        <v>11611</v>
      </c>
      <c r="AD154">
        <v>11612</v>
      </c>
      <c r="AF154">
        <v>1</v>
      </c>
    </row>
    <row r="155" spans="1:32">
      <c r="A155">
        <v>1</v>
      </c>
      <c r="E155" t="s">
        <v>3021</v>
      </c>
      <c r="F155">
        <v>36</v>
      </c>
      <c r="G155" t="s">
        <v>2900</v>
      </c>
      <c r="H155" t="s">
        <v>2961</v>
      </c>
      <c r="I155" t="s">
        <v>2334</v>
      </c>
      <c r="J155" t="s">
        <v>1350</v>
      </c>
      <c r="K155" t="s">
        <v>2847</v>
      </c>
      <c r="L155">
        <v>0</v>
      </c>
      <c r="M155">
        <v>0</v>
      </c>
      <c r="O155">
        <v>0</v>
      </c>
      <c r="P155">
        <v>0</v>
      </c>
      <c r="Q155">
        <v>0</v>
      </c>
      <c r="R155" s="49"/>
      <c r="T155" t="s">
        <v>2468</v>
      </c>
      <c r="U155" t="s">
        <v>127</v>
      </c>
      <c r="V155" t="s">
        <v>140</v>
      </c>
      <c r="W155">
        <v>125</v>
      </c>
      <c r="X155">
        <v>0</v>
      </c>
      <c r="AA155" t="s">
        <v>141</v>
      </c>
      <c r="AB155" t="s">
        <v>142</v>
      </c>
      <c r="AC155">
        <v>11611</v>
      </c>
      <c r="AD155">
        <v>11612</v>
      </c>
      <c r="AF155">
        <v>1</v>
      </c>
    </row>
    <row r="156" spans="1:32">
      <c r="A156">
        <v>1</v>
      </c>
      <c r="E156" t="s">
        <v>3022</v>
      </c>
      <c r="F156">
        <v>36</v>
      </c>
      <c r="G156" t="s">
        <v>2900</v>
      </c>
      <c r="H156" t="s">
        <v>2961</v>
      </c>
      <c r="I156" t="s">
        <v>2334</v>
      </c>
      <c r="J156" t="s">
        <v>1352</v>
      </c>
      <c r="K156" t="s">
        <v>2847</v>
      </c>
      <c r="L156">
        <v>0</v>
      </c>
      <c r="M156">
        <v>0</v>
      </c>
      <c r="O156">
        <v>0</v>
      </c>
      <c r="P156">
        <v>0</v>
      </c>
      <c r="Q156">
        <v>0</v>
      </c>
      <c r="R156" s="49"/>
      <c r="T156" t="s">
        <v>2468</v>
      </c>
      <c r="U156" t="s">
        <v>127</v>
      </c>
      <c r="V156" t="s">
        <v>140</v>
      </c>
      <c r="W156">
        <v>70</v>
      </c>
      <c r="X156">
        <v>0</v>
      </c>
      <c r="AA156" t="s">
        <v>141</v>
      </c>
      <c r="AB156" t="s">
        <v>142</v>
      </c>
      <c r="AC156">
        <v>11611</v>
      </c>
      <c r="AD156">
        <v>11612</v>
      </c>
      <c r="AF156">
        <v>1</v>
      </c>
    </row>
    <row r="157" spans="1:32">
      <c r="A157">
        <v>1</v>
      </c>
      <c r="E157" t="s">
        <v>3023</v>
      </c>
      <c r="F157">
        <v>36</v>
      </c>
      <c r="G157" t="s">
        <v>2900</v>
      </c>
      <c r="H157" t="s">
        <v>2961</v>
      </c>
      <c r="I157" t="s">
        <v>2334</v>
      </c>
      <c r="J157" t="s">
        <v>1354</v>
      </c>
      <c r="K157" t="s">
        <v>2847</v>
      </c>
      <c r="L157">
        <v>0</v>
      </c>
      <c r="M157">
        <v>0</v>
      </c>
      <c r="O157">
        <v>0</v>
      </c>
      <c r="P157">
        <v>0</v>
      </c>
      <c r="Q157">
        <v>0</v>
      </c>
      <c r="R157" s="49"/>
      <c r="T157" t="s">
        <v>2468</v>
      </c>
      <c r="U157" t="s">
        <v>127</v>
      </c>
      <c r="V157" t="s">
        <v>140</v>
      </c>
      <c r="W157">
        <v>125</v>
      </c>
      <c r="X157">
        <v>0</v>
      </c>
      <c r="AA157" t="s">
        <v>141</v>
      </c>
      <c r="AB157" t="s">
        <v>142</v>
      </c>
      <c r="AC157">
        <v>11611</v>
      </c>
      <c r="AD157">
        <v>11612</v>
      </c>
      <c r="AF157">
        <v>1</v>
      </c>
    </row>
    <row r="158" spans="1:32">
      <c r="A158">
        <v>1</v>
      </c>
      <c r="E158" t="s">
        <v>3024</v>
      </c>
      <c r="F158">
        <v>36</v>
      </c>
      <c r="G158" t="s">
        <v>2900</v>
      </c>
      <c r="H158" t="s">
        <v>2961</v>
      </c>
      <c r="I158" t="s">
        <v>2334</v>
      </c>
      <c r="J158" t="s">
        <v>1356</v>
      </c>
      <c r="K158" t="s">
        <v>2847</v>
      </c>
      <c r="L158">
        <v>0</v>
      </c>
      <c r="M158">
        <v>0</v>
      </c>
      <c r="O158">
        <v>0</v>
      </c>
      <c r="P158">
        <v>0</v>
      </c>
      <c r="Q158">
        <v>0</v>
      </c>
      <c r="R158" s="49"/>
      <c r="T158" t="s">
        <v>2468</v>
      </c>
      <c r="U158" t="s">
        <v>127</v>
      </c>
      <c r="V158" t="s">
        <v>140</v>
      </c>
      <c r="W158">
        <v>70</v>
      </c>
      <c r="X158">
        <v>0</v>
      </c>
      <c r="AA158" t="s">
        <v>141</v>
      </c>
      <c r="AB158" t="s">
        <v>142</v>
      </c>
      <c r="AC158">
        <v>11611</v>
      </c>
      <c r="AD158">
        <v>11612</v>
      </c>
      <c r="AF158">
        <v>1</v>
      </c>
    </row>
    <row r="159" spans="1:32">
      <c r="A159">
        <v>1</v>
      </c>
      <c r="E159" t="s">
        <v>3025</v>
      </c>
      <c r="F159">
        <v>36</v>
      </c>
      <c r="G159" t="s">
        <v>2900</v>
      </c>
      <c r="H159" t="s">
        <v>2961</v>
      </c>
      <c r="I159" t="s">
        <v>2334</v>
      </c>
      <c r="J159" t="s">
        <v>1358</v>
      </c>
      <c r="K159" t="s">
        <v>2847</v>
      </c>
      <c r="L159">
        <v>0</v>
      </c>
      <c r="M159">
        <v>0</v>
      </c>
      <c r="O159">
        <v>0</v>
      </c>
      <c r="P159">
        <v>0</v>
      </c>
      <c r="Q159">
        <v>0</v>
      </c>
      <c r="R159" s="49"/>
      <c r="T159" t="s">
        <v>2468</v>
      </c>
      <c r="U159" t="s">
        <v>127</v>
      </c>
      <c r="V159" t="s">
        <v>140</v>
      </c>
      <c r="W159">
        <v>125</v>
      </c>
      <c r="X159">
        <v>0</v>
      </c>
      <c r="AA159" t="s">
        <v>141</v>
      </c>
      <c r="AB159" t="s">
        <v>142</v>
      </c>
      <c r="AC159">
        <v>11611</v>
      </c>
      <c r="AD159">
        <v>11612</v>
      </c>
      <c r="AF159">
        <v>1</v>
      </c>
    </row>
    <row r="160" spans="1:32">
      <c r="A160">
        <v>1</v>
      </c>
      <c r="E160" t="s">
        <v>3026</v>
      </c>
      <c r="F160">
        <v>36</v>
      </c>
      <c r="G160" t="s">
        <v>2900</v>
      </c>
      <c r="H160" t="s">
        <v>2961</v>
      </c>
      <c r="I160" t="s">
        <v>2336</v>
      </c>
      <c r="J160" t="s">
        <v>1360</v>
      </c>
      <c r="K160" t="s">
        <v>2847</v>
      </c>
      <c r="L160">
        <v>0</v>
      </c>
      <c r="M160">
        <v>0</v>
      </c>
      <c r="O160">
        <v>0</v>
      </c>
      <c r="P160">
        <v>0</v>
      </c>
      <c r="Q160">
        <v>0</v>
      </c>
      <c r="R160" s="49"/>
      <c r="T160" t="s">
        <v>2468</v>
      </c>
      <c r="U160" t="s">
        <v>127</v>
      </c>
      <c r="V160" t="s">
        <v>140</v>
      </c>
      <c r="W160">
        <v>65</v>
      </c>
      <c r="X160">
        <v>0</v>
      </c>
      <c r="AA160" t="s">
        <v>141</v>
      </c>
      <c r="AB160" t="s">
        <v>142</v>
      </c>
      <c r="AC160">
        <v>11611</v>
      </c>
      <c r="AD160">
        <v>11612</v>
      </c>
      <c r="AF160">
        <v>1</v>
      </c>
    </row>
    <row r="161" spans="1:32">
      <c r="A161">
        <v>1</v>
      </c>
      <c r="E161" t="s">
        <v>3027</v>
      </c>
      <c r="F161">
        <v>36</v>
      </c>
      <c r="G161" t="s">
        <v>2900</v>
      </c>
      <c r="H161" t="s">
        <v>2961</v>
      </c>
      <c r="I161" t="s">
        <v>2336</v>
      </c>
      <c r="J161" t="s">
        <v>1362</v>
      </c>
      <c r="K161" t="s">
        <v>2847</v>
      </c>
      <c r="L161">
        <v>0</v>
      </c>
      <c r="M161">
        <v>0</v>
      </c>
      <c r="O161">
        <v>0</v>
      </c>
      <c r="P161">
        <v>0</v>
      </c>
      <c r="Q161">
        <v>0</v>
      </c>
      <c r="R161" s="49"/>
      <c r="T161" t="s">
        <v>2468</v>
      </c>
      <c r="U161" t="s">
        <v>127</v>
      </c>
      <c r="V161" t="s">
        <v>140</v>
      </c>
      <c r="W161">
        <v>105</v>
      </c>
      <c r="X161">
        <v>0</v>
      </c>
      <c r="AA161" t="s">
        <v>141</v>
      </c>
      <c r="AB161" t="s">
        <v>142</v>
      </c>
      <c r="AC161">
        <v>11611</v>
      </c>
      <c r="AD161">
        <v>11612</v>
      </c>
      <c r="AF161">
        <v>1</v>
      </c>
    </row>
    <row r="162" spans="1:32">
      <c r="A162">
        <v>1</v>
      </c>
      <c r="E162" t="s">
        <v>3028</v>
      </c>
      <c r="F162">
        <v>36</v>
      </c>
      <c r="G162" t="s">
        <v>2900</v>
      </c>
      <c r="H162" t="s">
        <v>2961</v>
      </c>
      <c r="I162" t="s">
        <v>2336</v>
      </c>
      <c r="J162" t="s">
        <v>1364</v>
      </c>
      <c r="K162" t="s">
        <v>2847</v>
      </c>
      <c r="L162">
        <v>0</v>
      </c>
      <c r="M162">
        <v>0</v>
      </c>
      <c r="O162">
        <v>0</v>
      </c>
      <c r="P162">
        <v>0</v>
      </c>
      <c r="Q162">
        <v>0</v>
      </c>
      <c r="R162" s="49"/>
      <c r="T162" t="s">
        <v>2468</v>
      </c>
      <c r="U162" t="s">
        <v>127</v>
      </c>
      <c r="V162" t="s">
        <v>140</v>
      </c>
      <c r="W162">
        <v>65</v>
      </c>
      <c r="X162">
        <v>0</v>
      </c>
      <c r="AA162" t="s">
        <v>141</v>
      </c>
      <c r="AB162" t="s">
        <v>142</v>
      </c>
      <c r="AC162">
        <v>11611</v>
      </c>
      <c r="AD162">
        <v>11612</v>
      </c>
      <c r="AF162">
        <v>1</v>
      </c>
    </row>
    <row r="163" spans="1:32">
      <c r="A163">
        <v>1</v>
      </c>
      <c r="E163" t="s">
        <v>3029</v>
      </c>
      <c r="F163">
        <v>36</v>
      </c>
      <c r="G163" t="s">
        <v>2900</v>
      </c>
      <c r="H163" t="s">
        <v>2961</v>
      </c>
      <c r="I163" t="s">
        <v>2336</v>
      </c>
      <c r="J163" t="s">
        <v>1366</v>
      </c>
      <c r="K163" t="s">
        <v>2847</v>
      </c>
      <c r="L163">
        <v>0</v>
      </c>
      <c r="M163">
        <v>0</v>
      </c>
      <c r="O163">
        <v>0</v>
      </c>
      <c r="P163">
        <v>0</v>
      </c>
      <c r="Q163">
        <v>0</v>
      </c>
      <c r="R163" s="49"/>
      <c r="T163" t="s">
        <v>2468</v>
      </c>
      <c r="U163" t="s">
        <v>127</v>
      </c>
      <c r="V163" t="s">
        <v>140</v>
      </c>
      <c r="W163">
        <v>105</v>
      </c>
      <c r="X163">
        <v>0</v>
      </c>
      <c r="AA163" t="s">
        <v>141</v>
      </c>
      <c r="AB163" t="s">
        <v>142</v>
      </c>
      <c r="AC163">
        <v>11611</v>
      </c>
      <c r="AD163">
        <v>11612</v>
      </c>
      <c r="AF163">
        <v>1</v>
      </c>
    </row>
    <row r="164" spans="1:32">
      <c r="A164">
        <v>1</v>
      </c>
      <c r="E164" t="s">
        <v>3030</v>
      </c>
      <c r="F164">
        <v>36</v>
      </c>
      <c r="G164" t="s">
        <v>2900</v>
      </c>
      <c r="H164" t="s">
        <v>2961</v>
      </c>
      <c r="I164" t="s">
        <v>2336</v>
      </c>
      <c r="J164" t="s">
        <v>1368</v>
      </c>
      <c r="K164" t="s">
        <v>2847</v>
      </c>
      <c r="L164">
        <v>0</v>
      </c>
      <c r="M164">
        <v>0</v>
      </c>
      <c r="O164">
        <v>0</v>
      </c>
      <c r="P164">
        <v>0</v>
      </c>
      <c r="Q164">
        <v>0</v>
      </c>
      <c r="R164" s="49"/>
      <c r="T164" t="s">
        <v>2468</v>
      </c>
      <c r="U164" t="s">
        <v>127</v>
      </c>
      <c r="V164" t="s">
        <v>140</v>
      </c>
      <c r="W164">
        <v>65</v>
      </c>
      <c r="X164">
        <v>0</v>
      </c>
      <c r="AA164" t="s">
        <v>141</v>
      </c>
      <c r="AB164" t="s">
        <v>142</v>
      </c>
      <c r="AC164">
        <v>11611</v>
      </c>
      <c r="AD164">
        <v>11612</v>
      </c>
      <c r="AF164">
        <v>1</v>
      </c>
    </row>
    <row r="165" spans="1:32">
      <c r="A165">
        <v>1</v>
      </c>
      <c r="E165" t="s">
        <v>3031</v>
      </c>
      <c r="F165">
        <v>36</v>
      </c>
      <c r="G165" t="s">
        <v>2900</v>
      </c>
      <c r="H165" t="s">
        <v>2961</v>
      </c>
      <c r="I165" t="s">
        <v>2336</v>
      </c>
      <c r="J165" t="s">
        <v>1370</v>
      </c>
      <c r="K165" t="s">
        <v>2847</v>
      </c>
      <c r="L165">
        <v>0</v>
      </c>
      <c r="M165">
        <v>0</v>
      </c>
      <c r="O165">
        <v>0</v>
      </c>
      <c r="P165">
        <v>0</v>
      </c>
      <c r="Q165">
        <v>0</v>
      </c>
      <c r="R165" s="49"/>
      <c r="T165" t="s">
        <v>2468</v>
      </c>
      <c r="U165" t="s">
        <v>127</v>
      </c>
      <c r="V165" t="s">
        <v>140</v>
      </c>
      <c r="W165">
        <v>105</v>
      </c>
      <c r="X165">
        <v>0</v>
      </c>
      <c r="AA165" t="s">
        <v>141</v>
      </c>
      <c r="AB165" t="s">
        <v>142</v>
      </c>
      <c r="AC165">
        <v>11611</v>
      </c>
      <c r="AD165">
        <v>11612</v>
      </c>
      <c r="AF165">
        <v>1</v>
      </c>
    </row>
    <row r="166" spans="1:32">
      <c r="A166">
        <v>1</v>
      </c>
      <c r="E166" t="s">
        <v>3032</v>
      </c>
      <c r="F166">
        <v>36</v>
      </c>
      <c r="G166" t="s">
        <v>2900</v>
      </c>
      <c r="H166" t="s">
        <v>2961</v>
      </c>
      <c r="I166" t="s">
        <v>2336</v>
      </c>
      <c r="J166" t="s">
        <v>1372</v>
      </c>
      <c r="K166" t="s">
        <v>2847</v>
      </c>
      <c r="L166">
        <v>0</v>
      </c>
      <c r="M166">
        <v>0</v>
      </c>
      <c r="O166">
        <v>0</v>
      </c>
      <c r="P166">
        <v>0</v>
      </c>
      <c r="Q166">
        <v>0</v>
      </c>
      <c r="R166" s="49"/>
      <c r="T166" t="s">
        <v>2468</v>
      </c>
      <c r="U166" t="s">
        <v>127</v>
      </c>
      <c r="V166" t="s">
        <v>140</v>
      </c>
      <c r="W166">
        <v>65</v>
      </c>
      <c r="X166">
        <v>0</v>
      </c>
      <c r="AA166" t="s">
        <v>141</v>
      </c>
      <c r="AB166" t="s">
        <v>142</v>
      </c>
      <c r="AC166">
        <v>11611</v>
      </c>
      <c r="AD166">
        <v>11612</v>
      </c>
      <c r="AF166">
        <v>1</v>
      </c>
    </row>
    <row r="167" spans="1:32">
      <c r="A167">
        <v>1</v>
      </c>
      <c r="E167" t="s">
        <v>3033</v>
      </c>
      <c r="F167">
        <v>36</v>
      </c>
      <c r="G167" t="s">
        <v>2900</v>
      </c>
      <c r="H167" t="s">
        <v>2961</v>
      </c>
      <c r="I167" t="s">
        <v>2336</v>
      </c>
      <c r="J167" t="s">
        <v>1374</v>
      </c>
      <c r="K167" t="s">
        <v>2847</v>
      </c>
      <c r="L167">
        <v>0</v>
      </c>
      <c r="M167">
        <v>0</v>
      </c>
      <c r="O167">
        <v>0</v>
      </c>
      <c r="P167">
        <v>0</v>
      </c>
      <c r="Q167">
        <v>0</v>
      </c>
      <c r="R167" s="49"/>
      <c r="T167" t="s">
        <v>2468</v>
      </c>
      <c r="U167" t="s">
        <v>127</v>
      </c>
      <c r="V167" t="s">
        <v>140</v>
      </c>
      <c r="W167">
        <v>105</v>
      </c>
      <c r="X167">
        <v>0</v>
      </c>
      <c r="AA167" t="s">
        <v>141</v>
      </c>
      <c r="AB167" t="s">
        <v>142</v>
      </c>
      <c r="AC167">
        <v>11611</v>
      </c>
      <c r="AD167">
        <v>11612</v>
      </c>
      <c r="AF167">
        <v>1</v>
      </c>
    </row>
    <row r="168" spans="1:32">
      <c r="A168">
        <v>1</v>
      </c>
      <c r="E168" t="s">
        <v>3034</v>
      </c>
      <c r="F168">
        <v>36</v>
      </c>
      <c r="G168" t="s">
        <v>2900</v>
      </c>
      <c r="H168" t="s">
        <v>2961</v>
      </c>
      <c r="I168" t="s">
        <v>2338</v>
      </c>
      <c r="J168" t="s">
        <v>1376</v>
      </c>
      <c r="K168" t="s">
        <v>2847</v>
      </c>
      <c r="L168">
        <v>0</v>
      </c>
      <c r="M168">
        <v>0</v>
      </c>
      <c r="O168">
        <v>0</v>
      </c>
      <c r="P168">
        <v>0</v>
      </c>
      <c r="Q168">
        <v>0</v>
      </c>
      <c r="R168" s="49"/>
      <c r="T168" t="s">
        <v>2468</v>
      </c>
      <c r="U168" t="s">
        <v>127</v>
      </c>
      <c r="V168" t="s">
        <v>140</v>
      </c>
      <c r="W168">
        <v>125</v>
      </c>
      <c r="X168">
        <v>0</v>
      </c>
      <c r="AA168" t="s">
        <v>141</v>
      </c>
      <c r="AB168" t="s">
        <v>142</v>
      </c>
      <c r="AC168">
        <v>11611</v>
      </c>
      <c r="AD168">
        <v>11612</v>
      </c>
      <c r="AF168">
        <v>1</v>
      </c>
    </row>
    <row r="169" spans="1:32">
      <c r="A169">
        <v>1</v>
      </c>
      <c r="E169" t="s">
        <v>3035</v>
      </c>
      <c r="F169">
        <v>36</v>
      </c>
      <c r="G169" t="s">
        <v>2900</v>
      </c>
      <c r="H169" t="s">
        <v>2961</v>
      </c>
      <c r="I169" t="s">
        <v>2338</v>
      </c>
      <c r="J169" t="s">
        <v>1378</v>
      </c>
      <c r="K169" t="s">
        <v>2847</v>
      </c>
      <c r="L169">
        <v>0</v>
      </c>
      <c r="M169">
        <v>0</v>
      </c>
      <c r="O169">
        <v>0</v>
      </c>
      <c r="P169">
        <v>0</v>
      </c>
      <c r="Q169">
        <v>0</v>
      </c>
      <c r="R169" s="49"/>
      <c r="T169" t="s">
        <v>2468</v>
      </c>
      <c r="U169" t="s">
        <v>127</v>
      </c>
      <c r="V169" t="s">
        <v>140</v>
      </c>
      <c r="W169">
        <v>125</v>
      </c>
      <c r="X169">
        <v>0</v>
      </c>
      <c r="AA169" t="s">
        <v>141</v>
      </c>
      <c r="AB169" t="s">
        <v>142</v>
      </c>
      <c r="AC169">
        <v>11611</v>
      </c>
      <c r="AD169">
        <v>11612</v>
      </c>
      <c r="AF169">
        <v>1</v>
      </c>
    </row>
    <row r="170" spans="1:32">
      <c r="A170">
        <v>1</v>
      </c>
      <c r="E170" t="s">
        <v>3036</v>
      </c>
      <c r="F170">
        <v>36</v>
      </c>
      <c r="G170" t="s">
        <v>2900</v>
      </c>
      <c r="H170" t="s">
        <v>2961</v>
      </c>
      <c r="I170" t="s">
        <v>2338</v>
      </c>
      <c r="J170" t="s">
        <v>1380</v>
      </c>
      <c r="K170" t="s">
        <v>2847</v>
      </c>
      <c r="L170">
        <v>0</v>
      </c>
      <c r="M170">
        <v>0</v>
      </c>
      <c r="O170">
        <v>0</v>
      </c>
      <c r="P170">
        <v>0</v>
      </c>
      <c r="Q170">
        <v>0</v>
      </c>
      <c r="R170" s="49"/>
      <c r="T170" t="s">
        <v>2468</v>
      </c>
      <c r="U170" t="s">
        <v>127</v>
      </c>
      <c r="V170" t="s">
        <v>140</v>
      </c>
      <c r="W170">
        <v>125</v>
      </c>
      <c r="X170">
        <v>0</v>
      </c>
      <c r="AA170" t="s">
        <v>141</v>
      </c>
      <c r="AB170" t="s">
        <v>142</v>
      </c>
      <c r="AC170">
        <v>11611</v>
      </c>
      <c r="AD170">
        <v>11612</v>
      </c>
      <c r="AF170">
        <v>1</v>
      </c>
    </row>
    <row r="171" spans="1:32">
      <c r="A171">
        <v>1</v>
      </c>
      <c r="E171" t="s">
        <v>3037</v>
      </c>
      <c r="F171">
        <v>36</v>
      </c>
      <c r="G171" t="s">
        <v>2900</v>
      </c>
      <c r="H171" t="s">
        <v>2961</v>
      </c>
      <c r="I171" t="s">
        <v>2338</v>
      </c>
      <c r="J171" t="s">
        <v>1382</v>
      </c>
      <c r="K171" t="s">
        <v>2847</v>
      </c>
      <c r="L171">
        <v>0</v>
      </c>
      <c r="M171">
        <v>0</v>
      </c>
      <c r="O171">
        <v>0</v>
      </c>
      <c r="P171">
        <v>0</v>
      </c>
      <c r="Q171">
        <v>0</v>
      </c>
      <c r="R171" s="49"/>
      <c r="T171" t="s">
        <v>2468</v>
      </c>
      <c r="U171" t="s">
        <v>127</v>
      </c>
      <c r="V171" t="s">
        <v>140</v>
      </c>
      <c r="W171">
        <v>125</v>
      </c>
      <c r="X171">
        <v>0</v>
      </c>
      <c r="AA171" t="s">
        <v>141</v>
      </c>
      <c r="AB171" t="s">
        <v>142</v>
      </c>
      <c r="AC171">
        <v>11611</v>
      </c>
      <c r="AD171">
        <v>11612</v>
      </c>
      <c r="AF171">
        <v>1</v>
      </c>
    </row>
    <row r="172" spans="1:32">
      <c r="A172">
        <v>1</v>
      </c>
      <c r="E172" t="s">
        <v>3038</v>
      </c>
      <c r="F172">
        <v>36</v>
      </c>
      <c r="G172" t="s">
        <v>2900</v>
      </c>
      <c r="H172" t="s">
        <v>2961</v>
      </c>
      <c r="I172" t="s">
        <v>2338</v>
      </c>
      <c r="J172" t="s">
        <v>1384</v>
      </c>
      <c r="K172" t="s">
        <v>2847</v>
      </c>
      <c r="L172">
        <v>0</v>
      </c>
      <c r="M172">
        <v>0</v>
      </c>
      <c r="O172">
        <v>0</v>
      </c>
      <c r="P172">
        <v>0</v>
      </c>
      <c r="Q172">
        <v>0</v>
      </c>
      <c r="R172" s="49"/>
      <c r="T172" t="s">
        <v>2468</v>
      </c>
      <c r="U172" t="s">
        <v>127</v>
      </c>
      <c r="V172" t="s">
        <v>140</v>
      </c>
      <c r="W172">
        <v>125</v>
      </c>
      <c r="X172">
        <v>0</v>
      </c>
      <c r="AA172" t="s">
        <v>141</v>
      </c>
      <c r="AB172" t="s">
        <v>142</v>
      </c>
      <c r="AC172">
        <v>11611</v>
      </c>
      <c r="AD172">
        <v>11612</v>
      </c>
      <c r="AF172">
        <v>1</v>
      </c>
    </row>
    <row r="173" spans="1:32">
      <c r="A173">
        <v>1</v>
      </c>
      <c r="E173" t="s">
        <v>3039</v>
      </c>
      <c r="F173">
        <v>36</v>
      </c>
      <c r="G173" t="s">
        <v>2900</v>
      </c>
      <c r="H173" t="s">
        <v>2961</v>
      </c>
      <c r="I173" t="s">
        <v>2342</v>
      </c>
      <c r="J173" t="s">
        <v>1386</v>
      </c>
      <c r="K173" t="s">
        <v>2847</v>
      </c>
      <c r="L173">
        <v>0</v>
      </c>
      <c r="M173">
        <v>0</v>
      </c>
      <c r="O173">
        <v>0</v>
      </c>
      <c r="P173">
        <v>0</v>
      </c>
      <c r="Q173">
        <v>0</v>
      </c>
      <c r="R173" s="49"/>
      <c r="T173" t="s">
        <v>2468</v>
      </c>
      <c r="U173" t="s">
        <v>127</v>
      </c>
      <c r="V173" t="s">
        <v>140</v>
      </c>
      <c r="W173">
        <v>100</v>
      </c>
      <c r="X173">
        <v>0</v>
      </c>
      <c r="AA173" t="s">
        <v>141</v>
      </c>
      <c r="AB173" t="s">
        <v>142</v>
      </c>
      <c r="AC173">
        <v>11611</v>
      </c>
      <c r="AD173">
        <v>11612</v>
      </c>
      <c r="AF173">
        <v>1</v>
      </c>
    </row>
    <row r="174" spans="1:32">
      <c r="A174">
        <v>1</v>
      </c>
      <c r="E174" t="s">
        <v>3040</v>
      </c>
      <c r="F174">
        <v>36</v>
      </c>
      <c r="G174" t="s">
        <v>2900</v>
      </c>
      <c r="H174" t="s">
        <v>2961</v>
      </c>
      <c r="I174" t="s">
        <v>2342</v>
      </c>
      <c r="J174" t="s">
        <v>1388</v>
      </c>
      <c r="K174" t="s">
        <v>2847</v>
      </c>
      <c r="L174">
        <v>0</v>
      </c>
      <c r="M174">
        <v>0</v>
      </c>
      <c r="O174">
        <v>0</v>
      </c>
      <c r="P174">
        <v>0</v>
      </c>
      <c r="Q174">
        <v>0</v>
      </c>
      <c r="R174" s="49"/>
      <c r="T174" t="s">
        <v>2468</v>
      </c>
      <c r="U174" t="s">
        <v>127</v>
      </c>
      <c r="V174" t="s">
        <v>140</v>
      </c>
      <c r="W174">
        <v>100</v>
      </c>
      <c r="X174">
        <v>0</v>
      </c>
      <c r="AA174" t="s">
        <v>141</v>
      </c>
      <c r="AB174" t="s">
        <v>142</v>
      </c>
      <c r="AC174">
        <v>11611</v>
      </c>
      <c r="AD174">
        <v>11612</v>
      </c>
      <c r="AF174">
        <v>1</v>
      </c>
    </row>
    <row r="175" spans="1:32">
      <c r="A175">
        <v>1</v>
      </c>
      <c r="E175" t="s">
        <v>3041</v>
      </c>
      <c r="F175">
        <v>36</v>
      </c>
      <c r="G175" t="s">
        <v>2900</v>
      </c>
      <c r="H175" t="s">
        <v>2961</v>
      </c>
      <c r="I175" t="s">
        <v>2348</v>
      </c>
      <c r="J175" t="s">
        <v>1390</v>
      </c>
      <c r="K175" t="s">
        <v>2847</v>
      </c>
      <c r="L175">
        <v>0</v>
      </c>
      <c r="M175">
        <v>0</v>
      </c>
      <c r="O175">
        <v>0</v>
      </c>
      <c r="P175">
        <v>0</v>
      </c>
      <c r="Q175">
        <v>0</v>
      </c>
      <c r="R175" s="49"/>
      <c r="T175" t="s">
        <v>2468</v>
      </c>
      <c r="U175" t="s">
        <v>127</v>
      </c>
      <c r="V175" t="s">
        <v>140</v>
      </c>
      <c r="W175">
        <v>110</v>
      </c>
      <c r="X175">
        <v>0</v>
      </c>
      <c r="AA175" t="s">
        <v>141</v>
      </c>
      <c r="AB175" t="s">
        <v>142</v>
      </c>
      <c r="AC175">
        <v>11611</v>
      </c>
      <c r="AD175">
        <v>11612</v>
      </c>
      <c r="AF175">
        <v>1</v>
      </c>
    </row>
    <row r="176" spans="1:32">
      <c r="A176">
        <v>1</v>
      </c>
      <c r="E176" t="s">
        <v>3042</v>
      </c>
      <c r="F176">
        <v>36</v>
      </c>
      <c r="G176" t="s">
        <v>2900</v>
      </c>
      <c r="H176" t="s">
        <v>2961</v>
      </c>
      <c r="I176" t="s">
        <v>2348</v>
      </c>
      <c r="J176" t="s">
        <v>2697</v>
      </c>
      <c r="K176" t="s">
        <v>2847</v>
      </c>
      <c r="L176">
        <v>0</v>
      </c>
      <c r="M176">
        <v>0</v>
      </c>
      <c r="O176">
        <v>0</v>
      </c>
      <c r="P176">
        <v>0</v>
      </c>
      <c r="Q176">
        <v>0</v>
      </c>
      <c r="R176" s="49"/>
      <c r="T176" t="s">
        <v>2468</v>
      </c>
      <c r="U176" t="s">
        <v>127</v>
      </c>
      <c r="V176" t="s">
        <v>140</v>
      </c>
      <c r="W176">
        <v>110</v>
      </c>
      <c r="X176">
        <v>0</v>
      </c>
      <c r="AA176" t="s">
        <v>141</v>
      </c>
      <c r="AB176" t="s">
        <v>142</v>
      </c>
      <c r="AC176">
        <v>11611</v>
      </c>
      <c r="AD176">
        <v>11612</v>
      </c>
      <c r="AF176">
        <v>1</v>
      </c>
    </row>
    <row r="177" spans="1:32">
      <c r="A177">
        <v>1</v>
      </c>
      <c r="E177" t="s">
        <v>3043</v>
      </c>
      <c r="F177">
        <v>36</v>
      </c>
      <c r="G177" t="s">
        <v>2900</v>
      </c>
      <c r="H177" t="s">
        <v>2961</v>
      </c>
      <c r="I177" t="s">
        <v>2348</v>
      </c>
      <c r="J177" t="s">
        <v>1394</v>
      </c>
      <c r="K177" t="s">
        <v>2847</v>
      </c>
      <c r="L177">
        <v>0</v>
      </c>
      <c r="M177">
        <v>0</v>
      </c>
      <c r="O177">
        <v>0</v>
      </c>
      <c r="P177">
        <v>0</v>
      </c>
      <c r="Q177">
        <v>0</v>
      </c>
      <c r="R177" s="49"/>
      <c r="T177" t="s">
        <v>2468</v>
      </c>
      <c r="U177" t="s">
        <v>127</v>
      </c>
      <c r="V177" t="s">
        <v>140</v>
      </c>
      <c r="W177">
        <v>110</v>
      </c>
      <c r="X177">
        <v>0</v>
      </c>
      <c r="AA177" t="s">
        <v>141</v>
      </c>
      <c r="AB177" t="s">
        <v>142</v>
      </c>
      <c r="AC177">
        <v>11611</v>
      </c>
      <c r="AD177">
        <v>11612</v>
      </c>
      <c r="AF177">
        <v>1</v>
      </c>
    </row>
    <row r="178" spans="1:32">
      <c r="A178">
        <v>1</v>
      </c>
      <c r="E178" t="s">
        <v>3044</v>
      </c>
      <c r="F178">
        <v>36</v>
      </c>
      <c r="G178" t="s">
        <v>2900</v>
      </c>
      <c r="H178" t="s">
        <v>2961</v>
      </c>
      <c r="I178" t="s">
        <v>2348</v>
      </c>
      <c r="J178" t="s">
        <v>2698</v>
      </c>
      <c r="K178" t="s">
        <v>2847</v>
      </c>
      <c r="L178">
        <v>0</v>
      </c>
      <c r="M178">
        <v>0</v>
      </c>
      <c r="O178">
        <v>0</v>
      </c>
      <c r="P178">
        <v>0</v>
      </c>
      <c r="Q178">
        <v>0</v>
      </c>
      <c r="R178" s="49"/>
      <c r="T178" t="s">
        <v>2468</v>
      </c>
      <c r="U178" t="s">
        <v>127</v>
      </c>
      <c r="V178" t="s">
        <v>140</v>
      </c>
      <c r="W178">
        <v>110</v>
      </c>
      <c r="X178">
        <v>0</v>
      </c>
      <c r="AA178" t="s">
        <v>141</v>
      </c>
      <c r="AB178" t="s">
        <v>142</v>
      </c>
      <c r="AC178">
        <v>11611</v>
      </c>
      <c r="AD178">
        <v>11612</v>
      </c>
      <c r="AF178">
        <v>1</v>
      </c>
    </row>
    <row r="179" spans="1:32">
      <c r="A179">
        <v>1</v>
      </c>
      <c r="E179" t="s">
        <v>3045</v>
      </c>
      <c r="F179">
        <v>36</v>
      </c>
      <c r="G179" t="s">
        <v>2900</v>
      </c>
      <c r="H179" t="s">
        <v>2961</v>
      </c>
      <c r="I179" t="s">
        <v>2351</v>
      </c>
      <c r="J179" t="s">
        <v>1399</v>
      </c>
      <c r="K179" t="s">
        <v>2847</v>
      </c>
      <c r="L179">
        <v>0</v>
      </c>
      <c r="M179">
        <v>0</v>
      </c>
      <c r="O179">
        <v>0</v>
      </c>
      <c r="P179">
        <v>0</v>
      </c>
      <c r="Q179">
        <v>0</v>
      </c>
      <c r="R179" s="49"/>
      <c r="T179" t="s">
        <v>2468</v>
      </c>
      <c r="U179" t="s">
        <v>127</v>
      </c>
      <c r="V179" t="s">
        <v>140</v>
      </c>
      <c r="W179">
        <v>110</v>
      </c>
      <c r="X179">
        <v>0</v>
      </c>
      <c r="AA179" t="s">
        <v>141</v>
      </c>
      <c r="AB179" t="s">
        <v>142</v>
      </c>
      <c r="AC179">
        <v>11611</v>
      </c>
      <c r="AD179">
        <v>11612</v>
      </c>
      <c r="AF179">
        <v>1</v>
      </c>
    </row>
    <row r="180" spans="1:32">
      <c r="A180">
        <v>1</v>
      </c>
      <c r="E180" t="s">
        <v>3046</v>
      </c>
      <c r="F180">
        <v>36</v>
      </c>
      <c r="G180" t="s">
        <v>2900</v>
      </c>
      <c r="H180" t="s">
        <v>2961</v>
      </c>
      <c r="I180" t="s">
        <v>2351</v>
      </c>
      <c r="J180" t="s">
        <v>1401</v>
      </c>
      <c r="K180" t="s">
        <v>2847</v>
      </c>
      <c r="L180">
        <v>0</v>
      </c>
      <c r="M180">
        <v>0</v>
      </c>
      <c r="O180">
        <v>0</v>
      </c>
      <c r="P180">
        <v>0</v>
      </c>
      <c r="Q180">
        <v>0</v>
      </c>
      <c r="R180" s="49"/>
      <c r="T180" t="s">
        <v>2468</v>
      </c>
      <c r="U180" t="s">
        <v>127</v>
      </c>
      <c r="V180" t="s">
        <v>140</v>
      </c>
      <c r="W180">
        <v>110</v>
      </c>
      <c r="X180">
        <v>0</v>
      </c>
      <c r="AA180" t="s">
        <v>141</v>
      </c>
      <c r="AB180" t="s">
        <v>142</v>
      </c>
      <c r="AC180">
        <v>11611</v>
      </c>
      <c r="AD180">
        <v>11612</v>
      </c>
      <c r="AF180">
        <v>1</v>
      </c>
    </row>
    <row r="181" spans="1:32">
      <c r="A181">
        <v>1</v>
      </c>
      <c r="E181" t="s">
        <v>3047</v>
      </c>
      <c r="F181">
        <v>36</v>
      </c>
      <c r="G181" t="s">
        <v>2900</v>
      </c>
      <c r="H181" t="s">
        <v>2961</v>
      </c>
      <c r="I181" t="s">
        <v>2351</v>
      </c>
      <c r="J181" t="s">
        <v>1403</v>
      </c>
      <c r="K181" t="s">
        <v>2847</v>
      </c>
      <c r="L181">
        <v>0</v>
      </c>
      <c r="M181">
        <v>0</v>
      </c>
      <c r="O181">
        <v>0</v>
      </c>
      <c r="P181">
        <v>0</v>
      </c>
      <c r="Q181">
        <v>0</v>
      </c>
      <c r="R181" s="49"/>
      <c r="T181" t="s">
        <v>2468</v>
      </c>
      <c r="U181" t="s">
        <v>127</v>
      </c>
      <c r="V181" t="s">
        <v>140</v>
      </c>
      <c r="W181">
        <v>110</v>
      </c>
      <c r="X181">
        <v>0</v>
      </c>
      <c r="AA181" t="s">
        <v>141</v>
      </c>
      <c r="AB181" t="s">
        <v>142</v>
      </c>
      <c r="AC181">
        <v>11611</v>
      </c>
      <c r="AD181">
        <v>11612</v>
      </c>
      <c r="AF181">
        <v>1</v>
      </c>
    </row>
    <row r="182" spans="1:32">
      <c r="A182">
        <v>1</v>
      </c>
      <c r="E182" t="s">
        <v>3048</v>
      </c>
      <c r="F182">
        <v>36</v>
      </c>
      <c r="G182" t="s">
        <v>2900</v>
      </c>
      <c r="H182" t="s">
        <v>2961</v>
      </c>
      <c r="I182" t="s">
        <v>2353</v>
      </c>
      <c r="J182" t="s">
        <v>1405</v>
      </c>
      <c r="K182" t="s">
        <v>2847</v>
      </c>
      <c r="L182">
        <v>0</v>
      </c>
      <c r="M182">
        <v>0</v>
      </c>
      <c r="O182">
        <v>0</v>
      </c>
      <c r="P182">
        <v>0</v>
      </c>
      <c r="Q182">
        <v>0</v>
      </c>
      <c r="R182" s="49"/>
      <c r="T182" t="s">
        <v>2468</v>
      </c>
      <c r="U182" t="s">
        <v>127</v>
      </c>
      <c r="V182" t="s">
        <v>140</v>
      </c>
      <c r="W182">
        <v>50</v>
      </c>
      <c r="X182">
        <v>0</v>
      </c>
      <c r="AA182" t="s">
        <v>141</v>
      </c>
      <c r="AB182" t="s">
        <v>142</v>
      </c>
      <c r="AC182">
        <v>11611</v>
      </c>
      <c r="AD182">
        <v>11612</v>
      </c>
      <c r="AF182">
        <v>1</v>
      </c>
    </row>
    <row r="183" spans="1:32">
      <c r="A183">
        <v>1</v>
      </c>
      <c r="E183" t="s">
        <v>3049</v>
      </c>
      <c r="F183">
        <v>24</v>
      </c>
      <c r="G183" t="s">
        <v>2900</v>
      </c>
      <c r="H183" t="s">
        <v>2961</v>
      </c>
      <c r="I183" t="s">
        <v>2355</v>
      </c>
      <c r="J183" t="s">
        <v>1407</v>
      </c>
      <c r="K183" t="s">
        <v>2852</v>
      </c>
      <c r="L183">
        <v>0</v>
      </c>
      <c r="M183">
        <v>0</v>
      </c>
      <c r="O183">
        <v>0</v>
      </c>
      <c r="P183">
        <v>0</v>
      </c>
      <c r="Q183">
        <v>0</v>
      </c>
      <c r="R183" s="49"/>
      <c r="T183" t="s">
        <v>2468</v>
      </c>
      <c r="U183" t="s">
        <v>127</v>
      </c>
      <c r="V183" t="s">
        <v>140</v>
      </c>
      <c r="W183">
        <v>200</v>
      </c>
      <c r="X183">
        <v>0</v>
      </c>
      <c r="AA183" t="s">
        <v>141</v>
      </c>
      <c r="AB183" t="s">
        <v>142</v>
      </c>
      <c r="AC183">
        <v>11611</v>
      </c>
      <c r="AD183">
        <v>11612</v>
      </c>
      <c r="AF183">
        <v>1</v>
      </c>
    </row>
    <row r="184" spans="1:32">
      <c r="A184">
        <v>1</v>
      </c>
      <c r="E184" t="s">
        <v>3050</v>
      </c>
      <c r="F184">
        <v>24</v>
      </c>
      <c r="G184" t="s">
        <v>2900</v>
      </c>
      <c r="H184" t="s">
        <v>2961</v>
      </c>
      <c r="I184" t="s">
        <v>2355</v>
      </c>
      <c r="J184" t="s">
        <v>1413</v>
      </c>
      <c r="K184" t="s">
        <v>2852</v>
      </c>
      <c r="L184">
        <v>0</v>
      </c>
      <c r="M184">
        <v>0</v>
      </c>
      <c r="O184">
        <v>0</v>
      </c>
      <c r="P184">
        <v>0</v>
      </c>
      <c r="Q184">
        <v>0</v>
      </c>
      <c r="R184" s="49"/>
      <c r="T184" t="s">
        <v>2468</v>
      </c>
      <c r="U184" t="s">
        <v>127</v>
      </c>
      <c r="V184" t="s">
        <v>140</v>
      </c>
      <c r="W184">
        <v>200</v>
      </c>
      <c r="X184">
        <v>0</v>
      </c>
      <c r="AA184" t="s">
        <v>141</v>
      </c>
      <c r="AB184" t="s">
        <v>142</v>
      </c>
      <c r="AC184">
        <v>11611</v>
      </c>
      <c r="AD184">
        <v>11612</v>
      </c>
      <c r="AF184">
        <v>1</v>
      </c>
    </row>
    <row r="185" spans="1:32">
      <c r="A185">
        <v>1</v>
      </c>
      <c r="E185" t="s">
        <v>3051</v>
      </c>
      <c r="F185">
        <v>24</v>
      </c>
      <c r="G185" t="s">
        <v>2900</v>
      </c>
      <c r="H185" t="s">
        <v>2961</v>
      </c>
      <c r="I185" t="s">
        <v>2355</v>
      </c>
      <c r="J185" t="s">
        <v>1411</v>
      </c>
      <c r="K185" t="s">
        <v>2852</v>
      </c>
      <c r="L185">
        <v>0</v>
      </c>
      <c r="M185">
        <v>0</v>
      </c>
      <c r="O185">
        <v>0</v>
      </c>
      <c r="P185">
        <v>0</v>
      </c>
      <c r="Q185">
        <v>0</v>
      </c>
      <c r="R185" s="49"/>
      <c r="T185" t="s">
        <v>2468</v>
      </c>
      <c r="U185" t="s">
        <v>127</v>
      </c>
      <c r="V185" t="s">
        <v>140</v>
      </c>
      <c r="W185">
        <v>200</v>
      </c>
      <c r="X185">
        <v>0</v>
      </c>
      <c r="AA185" t="s">
        <v>141</v>
      </c>
      <c r="AB185" t="s">
        <v>142</v>
      </c>
      <c r="AC185">
        <v>11611</v>
      </c>
      <c r="AD185">
        <v>11612</v>
      </c>
      <c r="AF185">
        <v>1</v>
      </c>
    </row>
    <row r="186" spans="1:32">
      <c r="A186">
        <v>1</v>
      </c>
      <c r="E186" t="s">
        <v>3052</v>
      </c>
      <c r="F186">
        <v>36</v>
      </c>
      <c r="G186" t="s">
        <v>2900</v>
      </c>
      <c r="H186" t="s">
        <v>2961</v>
      </c>
      <c r="I186" t="s">
        <v>2344</v>
      </c>
      <c r="J186" t="s">
        <v>1415</v>
      </c>
      <c r="K186" t="s">
        <v>2847</v>
      </c>
      <c r="L186">
        <v>0</v>
      </c>
      <c r="M186">
        <v>0</v>
      </c>
      <c r="O186">
        <v>0</v>
      </c>
      <c r="P186">
        <v>0</v>
      </c>
      <c r="Q186">
        <v>0</v>
      </c>
      <c r="R186" s="49"/>
      <c r="T186" t="s">
        <v>2468</v>
      </c>
      <c r="U186" t="s">
        <v>127</v>
      </c>
      <c r="V186" t="s">
        <v>140</v>
      </c>
      <c r="W186">
        <v>50</v>
      </c>
      <c r="X186">
        <v>0</v>
      </c>
      <c r="AA186" t="s">
        <v>141</v>
      </c>
      <c r="AB186" t="s">
        <v>142</v>
      </c>
      <c r="AC186">
        <v>11611</v>
      </c>
      <c r="AD186">
        <v>11612</v>
      </c>
      <c r="AF186">
        <v>1</v>
      </c>
    </row>
    <row r="187" spans="1:32">
      <c r="A187">
        <v>1</v>
      </c>
      <c r="E187" t="s">
        <v>3053</v>
      </c>
      <c r="F187">
        <v>36</v>
      </c>
      <c r="G187" t="s">
        <v>2900</v>
      </c>
      <c r="H187" t="s">
        <v>2961</v>
      </c>
      <c r="I187" t="s">
        <v>2344</v>
      </c>
      <c r="J187" t="s">
        <v>1417</v>
      </c>
      <c r="K187" t="s">
        <v>2847</v>
      </c>
      <c r="L187">
        <v>0</v>
      </c>
      <c r="M187">
        <v>0</v>
      </c>
      <c r="O187">
        <v>0</v>
      </c>
      <c r="P187">
        <v>0</v>
      </c>
      <c r="Q187">
        <v>0</v>
      </c>
      <c r="R187" s="49"/>
      <c r="T187" t="s">
        <v>2468</v>
      </c>
      <c r="U187" t="s">
        <v>127</v>
      </c>
      <c r="V187" t="s">
        <v>140</v>
      </c>
      <c r="W187">
        <v>50</v>
      </c>
      <c r="X187">
        <v>0</v>
      </c>
      <c r="AA187" t="s">
        <v>141</v>
      </c>
      <c r="AB187" t="s">
        <v>142</v>
      </c>
      <c r="AC187">
        <v>11611</v>
      </c>
      <c r="AD187">
        <v>11612</v>
      </c>
      <c r="AF187">
        <v>1</v>
      </c>
    </row>
    <row r="188" spans="1:32">
      <c r="A188">
        <v>2</v>
      </c>
      <c r="E188" t="s">
        <v>3054</v>
      </c>
      <c r="F188">
        <v>36</v>
      </c>
      <c r="G188" t="s">
        <v>2900</v>
      </c>
      <c r="H188" t="s">
        <v>2961</v>
      </c>
      <c r="I188" t="s">
        <v>2344</v>
      </c>
      <c r="J188" t="s">
        <v>2699</v>
      </c>
      <c r="K188" t="s">
        <v>2847</v>
      </c>
      <c r="L188">
        <v>0</v>
      </c>
      <c r="M188">
        <v>0</v>
      </c>
      <c r="O188">
        <v>0</v>
      </c>
      <c r="P188">
        <v>0</v>
      </c>
      <c r="Q188">
        <v>0</v>
      </c>
      <c r="R188" s="49"/>
      <c r="T188" t="s">
        <v>2468</v>
      </c>
      <c r="U188" t="s">
        <v>127</v>
      </c>
      <c r="V188" t="s">
        <v>140</v>
      </c>
      <c r="W188">
        <v>50</v>
      </c>
      <c r="X188">
        <v>0</v>
      </c>
      <c r="AA188" t="s">
        <v>141</v>
      </c>
      <c r="AB188" t="s">
        <v>142</v>
      </c>
      <c r="AC188">
        <v>11611</v>
      </c>
      <c r="AD188">
        <v>11612</v>
      </c>
      <c r="AF188">
        <v>1</v>
      </c>
    </row>
    <row r="189" spans="1:32">
      <c r="A189">
        <v>1</v>
      </c>
      <c r="E189" t="s">
        <v>3055</v>
      </c>
      <c r="F189">
        <v>36</v>
      </c>
      <c r="G189" t="s">
        <v>2900</v>
      </c>
      <c r="H189" t="s">
        <v>2961</v>
      </c>
      <c r="I189" t="s">
        <v>2344</v>
      </c>
      <c r="J189" t="s">
        <v>2700</v>
      </c>
      <c r="K189" t="s">
        <v>2847</v>
      </c>
      <c r="L189">
        <v>0</v>
      </c>
      <c r="M189">
        <v>0</v>
      </c>
      <c r="O189">
        <v>0</v>
      </c>
      <c r="P189">
        <v>0</v>
      </c>
      <c r="Q189">
        <v>0</v>
      </c>
      <c r="R189" s="49"/>
      <c r="T189" t="s">
        <v>2468</v>
      </c>
      <c r="U189" t="s">
        <v>127</v>
      </c>
      <c r="V189" t="s">
        <v>140</v>
      </c>
      <c r="W189">
        <v>50</v>
      </c>
      <c r="X189">
        <v>0</v>
      </c>
      <c r="AA189" t="s">
        <v>141</v>
      </c>
      <c r="AB189" t="s">
        <v>142</v>
      </c>
      <c r="AC189">
        <v>11611</v>
      </c>
      <c r="AD189">
        <v>11612</v>
      </c>
      <c r="AF189">
        <v>1</v>
      </c>
    </row>
    <row r="190" spans="1:32">
      <c r="A190">
        <v>1</v>
      </c>
      <c r="E190" t="s">
        <v>3056</v>
      </c>
      <c r="F190">
        <v>36</v>
      </c>
      <c r="G190" t="s">
        <v>2900</v>
      </c>
      <c r="H190" t="s">
        <v>2961</v>
      </c>
      <c r="I190" t="s">
        <v>2344</v>
      </c>
      <c r="J190" t="s">
        <v>2701</v>
      </c>
      <c r="K190" t="s">
        <v>2847</v>
      </c>
      <c r="L190">
        <v>0</v>
      </c>
      <c r="M190">
        <v>0</v>
      </c>
      <c r="O190">
        <v>0</v>
      </c>
      <c r="P190">
        <v>0</v>
      </c>
      <c r="Q190">
        <v>0</v>
      </c>
      <c r="R190" s="49"/>
      <c r="T190" t="s">
        <v>2468</v>
      </c>
      <c r="U190" t="s">
        <v>127</v>
      </c>
      <c r="V190" t="s">
        <v>140</v>
      </c>
      <c r="W190">
        <v>50</v>
      </c>
      <c r="X190">
        <v>0</v>
      </c>
      <c r="AA190" t="s">
        <v>141</v>
      </c>
      <c r="AB190" t="s">
        <v>142</v>
      </c>
      <c r="AC190">
        <v>11611</v>
      </c>
      <c r="AD190">
        <v>11612</v>
      </c>
      <c r="AF190">
        <v>1</v>
      </c>
    </row>
    <row r="191" spans="1:32">
      <c r="A191">
        <v>1</v>
      </c>
      <c r="E191" t="s">
        <v>3057</v>
      </c>
      <c r="F191">
        <v>72</v>
      </c>
      <c r="G191" t="s">
        <v>2900</v>
      </c>
      <c r="H191" t="s">
        <v>2961</v>
      </c>
      <c r="I191" t="s">
        <v>2344</v>
      </c>
      <c r="J191" t="s">
        <v>2702</v>
      </c>
      <c r="K191" t="s">
        <v>2846</v>
      </c>
      <c r="L191">
        <v>0</v>
      </c>
      <c r="M191">
        <v>0</v>
      </c>
      <c r="O191">
        <v>0</v>
      </c>
      <c r="P191">
        <v>0</v>
      </c>
      <c r="Q191">
        <v>0</v>
      </c>
      <c r="R191" s="49"/>
      <c r="T191" t="s">
        <v>2468</v>
      </c>
      <c r="U191" t="s">
        <v>127</v>
      </c>
      <c r="V191" t="s">
        <v>140</v>
      </c>
      <c r="W191">
        <v>18</v>
      </c>
      <c r="X191">
        <v>0</v>
      </c>
      <c r="AA191" t="s">
        <v>141</v>
      </c>
      <c r="AB191" t="s">
        <v>142</v>
      </c>
      <c r="AC191">
        <v>11611</v>
      </c>
      <c r="AD191">
        <v>11612</v>
      </c>
      <c r="AF191">
        <v>1</v>
      </c>
    </row>
    <row r="192" spans="1:32">
      <c r="A192">
        <v>1</v>
      </c>
      <c r="E192" t="s">
        <v>3058</v>
      </c>
      <c r="F192">
        <v>36</v>
      </c>
      <c r="G192" t="s">
        <v>2900</v>
      </c>
      <c r="H192" t="s">
        <v>2961</v>
      </c>
      <c r="I192" t="s">
        <v>2344</v>
      </c>
      <c r="J192" t="s">
        <v>1425</v>
      </c>
      <c r="K192" t="s">
        <v>2847</v>
      </c>
      <c r="L192">
        <v>0</v>
      </c>
      <c r="M192">
        <v>0</v>
      </c>
      <c r="O192">
        <v>0</v>
      </c>
      <c r="P192">
        <v>0</v>
      </c>
      <c r="Q192">
        <v>0</v>
      </c>
      <c r="R192" s="49"/>
      <c r="T192" t="s">
        <v>2468</v>
      </c>
      <c r="U192" t="s">
        <v>127</v>
      </c>
      <c r="V192" t="s">
        <v>140</v>
      </c>
      <c r="W192">
        <v>50</v>
      </c>
      <c r="X192">
        <v>0</v>
      </c>
      <c r="AA192" t="s">
        <v>141</v>
      </c>
      <c r="AB192" t="s">
        <v>142</v>
      </c>
      <c r="AC192">
        <v>11611</v>
      </c>
      <c r="AD192">
        <v>11612</v>
      </c>
      <c r="AF192">
        <v>1</v>
      </c>
    </row>
    <row r="193" spans="1:32">
      <c r="A193">
        <v>1</v>
      </c>
      <c r="E193" t="s">
        <v>3059</v>
      </c>
      <c r="F193">
        <v>36</v>
      </c>
      <c r="G193" t="s">
        <v>2900</v>
      </c>
      <c r="H193" t="s">
        <v>2961</v>
      </c>
      <c r="I193" t="s">
        <v>2346</v>
      </c>
      <c r="J193" t="s">
        <v>2703</v>
      </c>
      <c r="K193" t="s">
        <v>2847</v>
      </c>
      <c r="L193">
        <v>0</v>
      </c>
      <c r="M193">
        <v>0</v>
      </c>
      <c r="O193">
        <v>0</v>
      </c>
      <c r="P193">
        <v>0</v>
      </c>
      <c r="Q193">
        <v>0</v>
      </c>
      <c r="R193" s="49"/>
      <c r="T193" t="s">
        <v>2468</v>
      </c>
      <c r="U193" t="s">
        <v>127</v>
      </c>
      <c r="V193" t="s">
        <v>140</v>
      </c>
      <c r="W193">
        <v>150</v>
      </c>
      <c r="X193">
        <v>0</v>
      </c>
      <c r="AA193" t="s">
        <v>141</v>
      </c>
      <c r="AB193" t="s">
        <v>142</v>
      </c>
      <c r="AC193">
        <v>11611</v>
      </c>
      <c r="AD193">
        <v>11612</v>
      </c>
      <c r="AF193">
        <v>1</v>
      </c>
    </row>
    <row r="194" spans="1:32">
      <c r="A194">
        <v>1</v>
      </c>
      <c r="E194" t="s">
        <v>3060</v>
      </c>
      <c r="F194">
        <v>36</v>
      </c>
      <c r="G194" t="s">
        <v>2900</v>
      </c>
      <c r="H194" t="s">
        <v>2961</v>
      </c>
      <c r="I194" t="s">
        <v>2346</v>
      </c>
      <c r="J194" t="s">
        <v>2704</v>
      </c>
      <c r="K194" t="s">
        <v>2847</v>
      </c>
      <c r="L194">
        <v>0</v>
      </c>
      <c r="M194">
        <v>0</v>
      </c>
      <c r="O194">
        <v>0</v>
      </c>
      <c r="P194">
        <v>0</v>
      </c>
      <c r="Q194">
        <v>0</v>
      </c>
      <c r="R194" s="49"/>
      <c r="T194" t="s">
        <v>2468</v>
      </c>
      <c r="U194" t="s">
        <v>127</v>
      </c>
      <c r="V194" t="s">
        <v>140</v>
      </c>
      <c r="W194">
        <v>150</v>
      </c>
      <c r="X194">
        <v>0</v>
      </c>
      <c r="AA194" t="s">
        <v>141</v>
      </c>
      <c r="AB194" t="s">
        <v>142</v>
      </c>
      <c r="AC194">
        <v>11611</v>
      </c>
      <c r="AD194">
        <v>11612</v>
      </c>
      <c r="AF194">
        <v>1</v>
      </c>
    </row>
    <row r="195" spans="1:32">
      <c r="A195">
        <v>1</v>
      </c>
      <c r="E195" t="s">
        <v>3061</v>
      </c>
      <c r="F195">
        <v>36</v>
      </c>
      <c r="G195" t="s">
        <v>2900</v>
      </c>
      <c r="H195" t="s">
        <v>2961</v>
      </c>
      <c r="I195" t="s">
        <v>2346</v>
      </c>
      <c r="J195" t="s">
        <v>1431</v>
      </c>
      <c r="K195" t="s">
        <v>2847</v>
      </c>
      <c r="L195">
        <v>0</v>
      </c>
      <c r="M195">
        <v>0</v>
      </c>
      <c r="O195">
        <v>0</v>
      </c>
      <c r="P195">
        <v>0</v>
      </c>
      <c r="Q195">
        <v>0</v>
      </c>
      <c r="R195" s="49"/>
      <c r="T195" t="s">
        <v>2468</v>
      </c>
      <c r="U195" t="s">
        <v>127</v>
      </c>
      <c r="V195" t="s">
        <v>140</v>
      </c>
      <c r="W195">
        <v>150</v>
      </c>
      <c r="X195">
        <v>0</v>
      </c>
      <c r="AA195" t="s">
        <v>141</v>
      </c>
      <c r="AB195" t="s">
        <v>142</v>
      </c>
      <c r="AC195">
        <v>11611</v>
      </c>
      <c r="AD195">
        <v>11612</v>
      </c>
      <c r="AF195">
        <v>1</v>
      </c>
    </row>
    <row r="196" spans="1:32">
      <c r="A196">
        <v>1</v>
      </c>
      <c r="E196" t="s">
        <v>3062</v>
      </c>
      <c r="F196">
        <v>36</v>
      </c>
      <c r="G196" t="s">
        <v>2900</v>
      </c>
      <c r="H196" t="s">
        <v>2961</v>
      </c>
      <c r="I196" t="s">
        <v>2346</v>
      </c>
      <c r="J196" t="s">
        <v>2705</v>
      </c>
      <c r="K196" t="s">
        <v>2847</v>
      </c>
      <c r="L196">
        <v>0</v>
      </c>
      <c r="M196">
        <v>0</v>
      </c>
      <c r="O196">
        <v>0</v>
      </c>
      <c r="P196">
        <v>0</v>
      </c>
      <c r="Q196">
        <v>0</v>
      </c>
      <c r="R196" s="49"/>
      <c r="T196" t="s">
        <v>2468</v>
      </c>
      <c r="U196" t="s">
        <v>127</v>
      </c>
      <c r="V196" t="s">
        <v>140</v>
      </c>
      <c r="W196">
        <v>150</v>
      </c>
      <c r="X196">
        <v>0</v>
      </c>
      <c r="AA196" t="s">
        <v>141</v>
      </c>
      <c r="AB196" t="s">
        <v>142</v>
      </c>
      <c r="AC196">
        <v>11611</v>
      </c>
      <c r="AD196">
        <v>11612</v>
      </c>
      <c r="AF196">
        <v>1</v>
      </c>
    </row>
    <row r="197" spans="1:32">
      <c r="A197">
        <v>1</v>
      </c>
      <c r="E197" t="s">
        <v>3063</v>
      </c>
      <c r="F197">
        <v>36</v>
      </c>
      <c r="G197" t="s">
        <v>2900</v>
      </c>
      <c r="H197" t="s">
        <v>2961</v>
      </c>
      <c r="I197" t="s">
        <v>2346</v>
      </c>
      <c r="J197" t="s">
        <v>1435</v>
      </c>
      <c r="K197" t="s">
        <v>2847</v>
      </c>
      <c r="L197">
        <v>0</v>
      </c>
      <c r="M197">
        <v>0</v>
      </c>
      <c r="O197">
        <v>0</v>
      </c>
      <c r="P197">
        <v>0</v>
      </c>
      <c r="Q197">
        <v>0</v>
      </c>
      <c r="R197" s="49"/>
      <c r="T197" t="s">
        <v>2468</v>
      </c>
      <c r="U197" t="s">
        <v>127</v>
      </c>
      <c r="V197" t="s">
        <v>140</v>
      </c>
      <c r="W197">
        <v>150</v>
      </c>
      <c r="X197">
        <v>0</v>
      </c>
      <c r="AA197" t="s">
        <v>141</v>
      </c>
      <c r="AB197" t="s">
        <v>142</v>
      </c>
      <c r="AC197">
        <v>11611</v>
      </c>
      <c r="AD197">
        <v>11612</v>
      </c>
      <c r="AF197">
        <v>1</v>
      </c>
    </row>
    <row r="198" spans="1:32">
      <c r="A198">
        <v>1</v>
      </c>
      <c r="E198" t="s">
        <v>3064</v>
      </c>
      <c r="F198">
        <v>24</v>
      </c>
      <c r="G198" t="s">
        <v>2900</v>
      </c>
      <c r="H198" t="s">
        <v>2961</v>
      </c>
      <c r="I198" t="s">
        <v>2318</v>
      </c>
      <c r="J198" t="s">
        <v>2387</v>
      </c>
      <c r="K198" t="s">
        <v>2852</v>
      </c>
      <c r="L198">
        <v>0</v>
      </c>
      <c r="M198">
        <v>0</v>
      </c>
      <c r="O198">
        <v>0</v>
      </c>
      <c r="P198">
        <v>0</v>
      </c>
      <c r="Q198">
        <v>0</v>
      </c>
      <c r="R198" s="49"/>
      <c r="T198" t="s">
        <v>2468</v>
      </c>
      <c r="U198" t="s">
        <v>127</v>
      </c>
      <c r="V198" t="s">
        <v>140</v>
      </c>
      <c r="W198">
        <v>10</v>
      </c>
      <c r="X198">
        <v>0</v>
      </c>
      <c r="AA198" t="s">
        <v>141</v>
      </c>
      <c r="AB198" t="s">
        <v>142</v>
      </c>
      <c r="AC198">
        <v>11611</v>
      </c>
      <c r="AD198">
        <v>11612</v>
      </c>
      <c r="AF198">
        <v>1</v>
      </c>
    </row>
    <row r="199" spans="1:32">
      <c r="A199">
        <v>1</v>
      </c>
      <c r="E199" t="s">
        <v>3065</v>
      </c>
      <c r="F199">
        <v>24</v>
      </c>
      <c r="G199" t="s">
        <v>2900</v>
      </c>
      <c r="H199" t="s">
        <v>2961</v>
      </c>
      <c r="I199" t="s">
        <v>2318</v>
      </c>
      <c r="J199" t="s">
        <v>2660</v>
      </c>
      <c r="K199" t="s">
        <v>2852</v>
      </c>
      <c r="L199">
        <v>0</v>
      </c>
      <c r="M199">
        <v>0</v>
      </c>
      <c r="O199">
        <v>0</v>
      </c>
      <c r="P199">
        <v>0</v>
      </c>
      <c r="Q199">
        <v>0</v>
      </c>
      <c r="R199" s="49"/>
      <c r="T199" t="s">
        <v>2468</v>
      </c>
      <c r="U199" t="s">
        <v>127</v>
      </c>
      <c r="V199" t="s">
        <v>140</v>
      </c>
      <c r="W199">
        <v>10</v>
      </c>
      <c r="X199">
        <v>0</v>
      </c>
      <c r="AA199" t="s">
        <v>141</v>
      </c>
      <c r="AB199" t="s">
        <v>142</v>
      </c>
      <c r="AC199">
        <v>11611</v>
      </c>
      <c r="AD199">
        <v>11612</v>
      </c>
      <c r="AF199">
        <v>1</v>
      </c>
    </row>
    <row r="200" spans="1:32">
      <c r="A200">
        <v>1</v>
      </c>
      <c r="E200" t="s">
        <v>3066</v>
      </c>
      <c r="F200">
        <v>12</v>
      </c>
      <c r="G200" t="s">
        <v>2900</v>
      </c>
      <c r="H200" t="s">
        <v>2961</v>
      </c>
      <c r="I200" t="s">
        <v>2318</v>
      </c>
      <c r="J200" t="s">
        <v>2392</v>
      </c>
      <c r="K200" t="s">
        <v>2850</v>
      </c>
      <c r="L200">
        <v>0</v>
      </c>
      <c r="M200">
        <v>0</v>
      </c>
      <c r="O200">
        <v>0</v>
      </c>
      <c r="P200">
        <v>0</v>
      </c>
      <c r="Q200">
        <v>0</v>
      </c>
      <c r="R200" s="49"/>
      <c r="T200" t="s">
        <v>2468</v>
      </c>
      <c r="U200" t="s">
        <v>127</v>
      </c>
      <c r="V200" t="s">
        <v>140</v>
      </c>
      <c r="W200">
        <v>500</v>
      </c>
      <c r="X200">
        <v>0</v>
      </c>
      <c r="AA200" t="s">
        <v>141</v>
      </c>
      <c r="AB200" t="s">
        <v>142</v>
      </c>
      <c r="AC200">
        <v>11611</v>
      </c>
      <c r="AD200">
        <v>11612</v>
      </c>
      <c r="AF200">
        <v>1</v>
      </c>
    </row>
    <row r="201" spans="1:32">
      <c r="A201">
        <v>1</v>
      </c>
      <c r="E201" t="s">
        <v>3067</v>
      </c>
      <c r="F201">
        <v>120</v>
      </c>
      <c r="G201" t="s">
        <v>2900</v>
      </c>
      <c r="H201" t="s">
        <v>2961</v>
      </c>
      <c r="I201" t="s">
        <v>2318</v>
      </c>
      <c r="J201" t="s">
        <v>2661</v>
      </c>
      <c r="K201" t="s">
        <v>2854</v>
      </c>
      <c r="L201">
        <v>0</v>
      </c>
      <c r="M201">
        <v>0</v>
      </c>
      <c r="O201">
        <v>0</v>
      </c>
      <c r="P201">
        <v>0</v>
      </c>
      <c r="Q201">
        <v>0</v>
      </c>
      <c r="R201" s="49"/>
      <c r="T201" t="s">
        <v>2468</v>
      </c>
      <c r="U201" t="s">
        <v>127</v>
      </c>
      <c r="V201" t="s">
        <v>140</v>
      </c>
      <c r="W201">
        <v>10</v>
      </c>
      <c r="X201">
        <v>0</v>
      </c>
      <c r="AA201" t="s">
        <v>141</v>
      </c>
      <c r="AB201" t="s">
        <v>142</v>
      </c>
      <c r="AC201">
        <v>11611</v>
      </c>
      <c r="AD201">
        <v>11612</v>
      </c>
      <c r="AF201">
        <v>1</v>
      </c>
    </row>
    <row r="202" spans="1:32">
      <c r="A202">
        <v>1</v>
      </c>
      <c r="E202" t="s">
        <v>3068</v>
      </c>
      <c r="F202">
        <v>12</v>
      </c>
      <c r="G202" t="s">
        <v>2900</v>
      </c>
      <c r="H202" t="s">
        <v>2961</v>
      </c>
      <c r="I202" t="s">
        <v>2318</v>
      </c>
      <c r="J202" t="s">
        <v>1468</v>
      </c>
      <c r="K202" t="s">
        <v>2850</v>
      </c>
      <c r="L202">
        <v>0</v>
      </c>
      <c r="M202">
        <v>0</v>
      </c>
      <c r="O202">
        <v>0</v>
      </c>
      <c r="P202">
        <v>0</v>
      </c>
      <c r="Q202">
        <v>0</v>
      </c>
      <c r="R202" s="49"/>
      <c r="T202" t="s">
        <v>2468</v>
      </c>
      <c r="U202" t="s">
        <v>127</v>
      </c>
      <c r="V202" t="s">
        <v>140</v>
      </c>
      <c r="W202">
        <v>500</v>
      </c>
      <c r="X202">
        <v>0</v>
      </c>
      <c r="AA202" t="s">
        <v>141</v>
      </c>
      <c r="AB202" t="s">
        <v>142</v>
      </c>
      <c r="AC202">
        <v>11611</v>
      </c>
      <c r="AD202">
        <v>11612</v>
      </c>
      <c r="AF202">
        <v>1</v>
      </c>
    </row>
    <row r="203" spans="1:32">
      <c r="A203">
        <v>1</v>
      </c>
      <c r="E203" t="s">
        <v>3069</v>
      </c>
      <c r="F203">
        <v>24</v>
      </c>
      <c r="G203" t="s">
        <v>2900</v>
      </c>
      <c r="H203" t="s">
        <v>2961</v>
      </c>
      <c r="I203" t="s">
        <v>2320</v>
      </c>
      <c r="J203" t="s">
        <v>1476</v>
      </c>
      <c r="K203" t="s">
        <v>2852</v>
      </c>
      <c r="L203">
        <v>0</v>
      </c>
      <c r="M203">
        <v>0</v>
      </c>
      <c r="O203">
        <v>0</v>
      </c>
      <c r="P203">
        <v>0</v>
      </c>
      <c r="Q203">
        <v>0</v>
      </c>
      <c r="R203" s="49"/>
      <c r="T203" t="s">
        <v>2468</v>
      </c>
      <c r="U203" t="s">
        <v>127</v>
      </c>
      <c r="V203" t="s">
        <v>140</v>
      </c>
      <c r="W203">
        <v>250</v>
      </c>
      <c r="X203">
        <v>0</v>
      </c>
      <c r="AA203" t="s">
        <v>141</v>
      </c>
      <c r="AB203" t="s">
        <v>142</v>
      </c>
      <c r="AC203">
        <v>11611</v>
      </c>
      <c r="AD203">
        <v>11612</v>
      </c>
      <c r="AF203">
        <v>1</v>
      </c>
    </row>
    <row r="204" spans="1:32">
      <c r="A204">
        <v>1</v>
      </c>
      <c r="E204" t="s">
        <v>3070</v>
      </c>
      <c r="F204">
        <v>36</v>
      </c>
      <c r="G204" t="s">
        <v>2900</v>
      </c>
      <c r="H204" t="s">
        <v>2961</v>
      </c>
      <c r="I204" t="s">
        <v>2320</v>
      </c>
      <c r="J204" t="s">
        <v>2706</v>
      </c>
      <c r="K204" t="s">
        <v>2847</v>
      </c>
      <c r="L204">
        <v>0</v>
      </c>
      <c r="M204">
        <v>0</v>
      </c>
      <c r="O204">
        <v>0</v>
      </c>
      <c r="P204">
        <v>0</v>
      </c>
      <c r="Q204">
        <v>0</v>
      </c>
      <c r="R204" s="49"/>
      <c r="T204" t="s">
        <v>2468</v>
      </c>
      <c r="U204" t="s">
        <v>127</v>
      </c>
      <c r="V204" t="s">
        <v>140</v>
      </c>
      <c r="W204">
        <v>250</v>
      </c>
      <c r="X204">
        <v>0</v>
      </c>
      <c r="AA204" t="s">
        <v>141</v>
      </c>
      <c r="AB204" t="s">
        <v>142</v>
      </c>
      <c r="AC204">
        <v>11611</v>
      </c>
      <c r="AD204">
        <v>11612</v>
      </c>
      <c r="AF204">
        <v>1</v>
      </c>
    </row>
    <row r="205" spans="1:32">
      <c r="A205">
        <v>2</v>
      </c>
      <c r="E205" t="s">
        <v>3071</v>
      </c>
      <c r="F205">
        <v>36</v>
      </c>
      <c r="G205" t="s">
        <v>2900</v>
      </c>
      <c r="H205" t="s">
        <v>2961</v>
      </c>
      <c r="I205" t="s">
        <v>2320</v>
      </c>
      <c r="J205" t="s">
        <v>2707</v>
      </c>
      <c r="K205" t="s">
        <v>2847</v>
      </c>
      <c r="L205">
        <v>0</v>
      </c>
      <c r="M205">
        <v>0</v>
      </c>
      <c r="O205">
        <v>0</v>
      </c>
      <c r="P205">
        <v>0</v>
      </c>
      <c r="Q205">
        <v>0</v>
      </c>
      <c r="R205" s="49"/>
      <c r="T205" t="s">
        <v>2468</v>
      </c>
      <c r="U205" t="s">
        <v>127</v>
      </c>
      <c r="V205" t="s">
        <v>140</v>
      </c>
      <c r="W205">
        <v>250</v>
      </c>
      <c r="X205">
        <v>0</v>
      </c>
      <c r="AA205" t="s">
        <v>141</v>
      </c>
      <c r="AB205" t="s">
        <v>142</v>
      </c>
      <c r="AC205">
        <v>11611</v>
      </c>
      <c r="AD205">
        <v>11612</v>
      </c>
      <c r="AF205">
        <v>1</v>
      </c>
    </row>
    <row r="206" spans="1:32">
      <c r="A206">
        <v>1</v>
      </c>
      <c r="E206" t="s">
        <v>3072</v>
      </c>
      <c r="F206">
        <v>24</v>
      </c>
      <c r="G206" t="s">
        <v>2900</v>
      </c>
      <c r="H206" t="s">
        <v>2961</v>
      </c>
      <c r="I206" t="s">
        <v>2320</v>
      </c>
      <c r="J206" t="s">
        <v>2708</v>
      </c>
      <c r="K206" t="s">
        <v>2852</v>
      </c>
      <c r="L206">
        <v>0</v>
      </c>
      <c r="M206">
        <v>0</v>
      </c>
      <c r="O206">
        <v>0</v>
      </c>
      <c r="P206">
        <v>0</v>
      </c>
      <c r="Q206">
        <v>0</v>
      </c>
      <c r="R206" s="49"/>
      <c r="T206" t="s">
        <v>2468</v>
      </c>
      <c r="U206" t="s">
        <v>127</v>
      </c>
      <c r="V206" t="s">
        <v>140</v>
      </c>
      <c r="W206">
        <v>250</v>
      </c>
      <c r="X206">
        <v>0</v>
      </c>
      <c r="AA206" t="s">
        <v>141</v>
      </c>
      <c r="AB206" t="s">
        <v>142</v>
      </c>
      <c r="AC206">
        <v>11611</v>
      </c>
      <c r="AD206">
        <v>11612</v>
      </c>
      <c r="AF206">
        <v>1</v>
      </c>
    </row>
    <row r="207" spans="1:32">
      <c r="A207">
        <v>1</v>
      </c>
      <c r="E207" t="s">
        <v>3073</v>
      </c>
      <c r="F207">
        <v>36</v>
      </c>
      <c r="G207" t="s">
        <v>2900</v>
      </c>
      <c r="H207" t="s">
        <v>2961</v>
      </c>
      <c r="I207" t="s">
        <v>2320</v>
      </c>
      <c r="J207" t="s">
        <v>2709</v>
      </c>
      <c r="K207" t="s">
        <v>2847</v>
      </c>
      <c r="L207">
        <v>0</v>
      </c>
      <c r="M207">
        <v>0</v>
      </c>
      <c r="O207">
        <v>0</v>
      </c>
      <c r="P207">
        <v>0</v>
      </c>
      <c r="Q207">
        <v>0</v>
      </c>
      <c r="R207" s="49"/>
      <c r="T207" t="s">
        <v>2468</v>
      </c>
      <c r="U207" t="s">
        <v>127</v>
      </c>
      <c r="V207" t="s">
        <v>140</v>
      </c>
      <c r="W207">
        <v>250</v>
      </c>
      <c r="X207">
        <v>0</v>
      </c>
      <c r="AA207" t="s">
        <v>141</v>
      </c>
      <c r="AB207" t="s">
        <v>142</v>
      </c>
      <c r="AC207">
        <v>11611</v>
      </c>
      <c r="AD207">
        <v>11612</v>
      </c>
      <c r="AF207">
        <v>1</v>
      </c>
    </row>
    <row r="208" spans="1:32">
      <c r="A208">
        <v>1</v>
      </c>
      <c r="E208" t="s">
        <v>3074</v>
      </c>
      <c r="F208">
        <v>24</v>
      </c>
      <c r="G208" t="s">
        <v>2900</v>
      </c>
      <c r="H208" t="s">
        <v>2961</v>
      </c>
      <c r="I208" t="s">
        <v>2320</v>
      </c>
      <c r="J208" t="s">
        <v>2710</v>
      </c>
      <c r="K208" t="s">
        <v>2852</v>
      </c>
      <c r="L208">
        <v>0</v>
      </c>
      <c r="M208">
        <v>0</v>
      </c>
      <c r="O208">
        <v>0</v>
      </c>
      <c r="P208">
        <v>0</v>
      </c>
      <c r="Q208">
        <v>0</v>
      </c>
      <c r="R208" s="49"/>
      <c r="T208" t="s">
        <v>2468</v>
      </c>
      <c r="U208" t="s">
        <v>127</v>
      </c>
      <c r="V208" t="s">
        <v>140</v>
      </c>
      <c r="W208">
        <v>250</v>
      </c>
      <c r="X208">
        <v>0</v>
      </c>
      <c r="AA208" t="s">
        <v>141</v>
      </c>
      <c r="AB208" t="s">
        <v>142</v>
      </c>
      <c r="AC208">
        <v>11611</v>
      </c>
      <c r="AD208">
        <v>11612</v>
      </c>
      <c r="AF208">
        <v>1</v>
      </c>
    </row>
    <row r="209" spans="1:32">
      <c r="A209">
        <v>1</v>
      </c>
      <c r="E209" t="s">
        <v>3075</v>
      </c>
      <c r="F209">
        <v>36</v>
      </c>
      <c r="G209" t="s">
        <v>2900</v>
      </c>
      <c r="H209" t="s">
        <v>2961</v>
      </c>
      <c r="I209" t="s">
        <v>2320</v>
      </c>
      <c r="J209" t="s">
        <v>2711</v>
      </c>
      <c r="K209" t="s">
        <v>2847</v>
      </c>
      <c r="L209">
        <v>0</v>
      </c>
      <c r="M209">
        <v>0</v>
      </c>
      <c r="O209">
        <v>0</v>
      </c>
      <c r="P209">
        <v>0</v>
      </c>
      <c r="Q209">
        <v>0</v>
      </c>
      <c r="R209" s="49"/>
      <c r="T209" t="s">
        <v>2468</v>
      </c>
      <c r="U209" t="s">
        <v>127</v>
      </c>
      <c r="V209" t="s">
        <v>140</v>
      </c>
      <c r="W209">
        <v>250</v>
      </c>
      <c r="X209">
        <v>0</v>
      </c>
      <c r="AA209" t="s">
        <v>141</v>
      </c>
      <c r="AB209" t="s">
        <v>142</v>
      </c>
      <c r="AC209">
        <v>11611</v>
      </c>
      <c r="AD209">
        <v>11612</v>
      </c>
      <c r="AF209">
        <v>1</v>
      </c>
    </row>
    <row r="210" spans="1:32">
      <c r="A210">
        <v>2</v>
      </c>
      <c r="E210" t="s">
        <v>3076</v>
      </c>
      <c r="F210">
        <v>36</v>
      </c>
      <c r="G210" t="s">
        <v>2900</v>
      </c>
      <c r="H210" t="s">
        <v>2961</v>
      </c>
      <c r="I210" t="s">
        <v>2320</v>
      </c>
      <c r="J210" t="s">
        <v>2712</v>
      </c>
      <c r="K210" t="s">
        <v>2847</v>
      </c>
      <c r="L210">
        <v>0</v>
      </c>
      <c r="M210">
        <v>0</v>
      </c>
      <c r="O210">
        <v>0</v>
      </c>
      <c r="P210">
        <v>0</v>
      </c>
      <c r="Q210">
        <v>0</v>
      </c>
      <c r="R210" s="49"/>
      <c r="T210" t="s">
        <v>2468</v>
      </c>
      <c r="U210" t="s">
        <v>127</v>
      </c>
      <c r="V210" t="s">
        <v>140</v>
      </c>
      <c r="W210">
        <v>250</v>
      </c>
      <c r="X210">
        <v>0</v>
      </c>
      <c r="AA210" t="s">
        <v>141</v>
      </c>
      <c r="AB210" t="s">
        <v>142</v>
      </c>
      <c r="AC210">
        <v>11611</v>
      </c>
      <c r="AD210">
        <v>11612</v>
      </c>
      <c r="AF210">
        <v>1</v>
      </c>
    </row>
    <row r="211" spans="1:32">
      <c r="A211">
        <v>1</v>
      </c>
      <c r="E211" t="s">
        <v>3077</v>
      </c>
      <c r="F211">
        <v>36</v>
      </c>
      <c r="G211" t="s">
        <v>2900</v>
      </c>
      <c r="H211" t="s">
        <v>2961</v>
      </c>
      <c r="I211" t="s">
        <v>2320</v>
      </c>
      <c r="J211" t="s">
        <v>2713</v>
      </c>
      <c r="K211" t="s">
        <v>2847</v>
      </c>
      <c r="L211">
        <v>0</v>
      </c>
      <c r="M211">
        <v>0</v>
      </c>
      <c r="O211">
        <v>0</v>
      </c>
      <c r="P211">
        <v>0</v>
      </c>
      <c r="Q211">
        <v>0</v>
      </c>
      <c r="R211" s="49"/>
      <c r="T211" t="s">
        <v>2468</v>
      </c>
      <c r="U211" t="s">
        <v>127</v>
      </c>
      <c r="V211" t="s">
        <v>140</v>
      </c>
      <c r="W211">
        <v>250</v>
      </c>
      <c r="X211">
        <v>0</v>
      </c>
      <c r="AA211" t="s">
        <v>141</v>
      </c>
      <c r="AB211" t="s">
        <v>142</v>
      </c>
      <c r="AC211">
        <v>11611</v>
      </c>
      <c r="AD211">
        <v>11612</v>
      </c>
      <c r="AF211">
        <v>1</v>
      </c>
    </row>
    <row r="212" spans="1:32">
      <c r="A212">
        <v>1</v>
      </c>
      <c r="E212" t="s">
        <v>3078</v>
      </c>
      <c r="F212">
        <v>36</v>
      </c>
      <c r="G212" t="s">
        <v>2900</v>
      </c>
      <c r="H212" t="s">
        <v>2961</v>
      </c>
      <c r="I212" t="s">
        <v>2322</v>
      </c>
      <c r="J212" t="s">
        <v>2714</v>
      </c>
      <c r="K212" t="s">
        <v>2847</v>
      </c>
      <c r="L212">
        <v>0</v>
      </c>
      <c r="M212">
        <v>0</v>
      </c>
      <c r="O212">
        <v>0</v>
      </c>
      <c r="P212">
        <v>0</v>
      </c>
      <c r="Q212">
        <v>0</v>
      </c>
      <c r="R212" s="49"/>
      <c r="T212" t="s">
        <v>2468</v>
      </c>
      <c r="U212" t="s">
        <v>127</v>
      </c>
      <c r="V212" t="s">
        <v>140</v>
      </c>
      <c r="W212">
        <v>60</v>
      </c>
      <c r="X212">
        <v>0</v>
      </c>
      <c r="AA212" t="s">
        <v>141</v>
      </c>
      <c r="AB212" t="s">
        <v>142</v>
      </c>
      <c r="AC212">
        <v>11611</v>
      </c>
      <c r="AD212">
        <v>11612</v>
      </c>
      <c r="AF212">
        <v>1</v>
      </c>
    </row>
    <row r="213" spans="1:32">
      <c r="A213">
        <v>1</v>
      </c>
      <c r="E213" t="s">
        <v>3079</v>
      </c>
      <c r="F213">
        <v>36</v>
      </c>
      <c r="G213" t="s">
        <v>2900</v>
      </c>
      <c r="H213" t="s">
        <v>2961</v>
      </c>
      <c r="I213" t="s">
        <v>2322</v>
      </c>
      <c r="J213" t="s">
        <v>2715</v>
      </c>
      <c r="K213" t="s">
        <v>2847</v>
      </c>
      <c r="L213">
        <v>0</v>
      </c>
      <c r="M213">
        <v>0</v>
      </c>
      <c r="O213">
        <v>0</v>
      </c>
      <c r="P213">
        <v>0</v>
      </c>
      <c r="Q213">
        <v>0</v>
      </c>
      <c r="R213" s="49"/>
      <c r="T213" t="s">
        <v>2468</v>
      </c>
      <c r="U213" t="s">
        <v>127</v>
      </c>
      <c r="V213" t="s">
        <v>140</v>
      </c>
      <c r="W213">
        <v>125</v>
      </c>
      <c r="X213">
        <v>0</v>
      </c>
      <c r="AA213" t="s">
        <v>141</v>
      </c>
      <c r="AB213" t="s">
        <v>142</v>
      </c>
      <c r="AC213">
        <v>11611</v>
      </c>
      <c r="AD213">
        <v>11612</v>
      </c>
      <c r="AF213">
        <v>1</v>
      </c>
    </row>
    <row r="214" spans="1:32">
      <c r="A214">
        <v>1</v>
      </c>
      <c r="E214" t="s">
        <v>3080</v>
      </c>
      <c r="F214">
        <v>36</v>
      </c>
      <c r="G214" t="s">
        <v>2900</v>
      </c>
      <c r="H214" t="s">
        <v>2961</v>
      </c>
      <c r="I214" t="s">
        <v>2322</v>
      </c>
      <c r="J214" t="s">
        <v>2716</v>
      </c>
      <c r="K214" t="s">
        <v>2847</v>
      </c>
      <c r="L214">
        <v>0</v>
      </c>
      <c r="M214">
        <v>0</v>
      </c>
      <c r="O214">
        <v>0</v>
      </c>
      <c r="P214">
        <v>0</v>
      </c>
      <c r="Q214">
        <v>0</v>
      </c>
      <c r="R214" s="49"/>
      <c r="T214" t="s">
        <v>2468</v>
      </c>
      <c r="U214" t="s">
        <v>127</v>
      </c>
      <c r="V214" t="s">
        <v>140</v>
      </c>
      <c r="W214">
        <v>60</v>
      </c>
      <c r="X214">
        <v>0</v>
      </c>
      <c r="AA214" t="s">
        <v>141</v>
      </c>
      <c r="AB214" t="s">
        <v>142</v>
      </c>
      <c r="AC214">
        <v>11611</v>
      </c>
      <c r="AD214">
        <v>11612</v>
      </c>
      <c r="AF214">
        <v>1</v>
      </c>
    </row>
    <row r="215" spans="1:32">
      <c r="A215">
        <v>1</v>
      </c>
      <c r="E215" t="s">
        <v>3081</v>
      </c>
      <c r="F215">
        <v>36</v>
      </c>
      <c r="G215" t="s">
        <v>2900</v>
      </c>
      <c r="H215" t="s">
        <v>2961</v>
      </c>
      <c r="I215" t="s">
        <v>2322</v>
      </c>
      <c r="J215" t="s">
        <v>2717</v>
      </c>
      <c r="K215" t="s">
        <v>2847</v>
      </c>
      <c r="L215">
        <v>0</v>
      </c>
      <c r="M215">
        <v>0</v>
      </c>
      <c r="O215">
        <v>0</v>
      </c>
      <c r="P215">
        <v>0</v>
      </c>
      <c r="Q215">
        <v>0</v>
      </c>
      <c r="R215" s="49"/>
      <c r="T215" t="s">
        <v>2468</v>
      </c>
      <c r="U215" t="s">
        <v>127</v>
      </c>
      <c r="V215" t="s">
        <v>140</v>
      </c>
      <c r="W215">
        <v>125</v>
      </c>
      <c r="X215">
        <v>0</v>
      </c>
      <c r="AA215" t="s">
        <v>141</v>
      </c>
      <c r="AB215" t="s">
        <v>142</v>
      </c>
      <c r="AC215">
        <v>11611</v>
      </c>
      <c r="AD215">
        <v>11612</v>
      </c>
      <c r="AF215">
        <v>1</v>
      </c>
    </row>
    <row r="216" spans="1:32">
      <c r="A216">
        <v>1</v>
      </c>
      <c r="E216" t="s">
        <v>3082</v>
      </c>
      <c r="F216">
        <v>36</v>
      </c>
      <c r="G216" t="s">
        <v>2900</v>
      </c>
      <c r="H216" t="s">
        <v>2961</v>
      </c>
      <c r="I216" t="s">
        <v>2322</v>
      </c>
      <c r="J216" t="s">
        <v>1498</v>
      </c>
      <c r="K216" t="s">
        <v>2847</v>
      </c>
      <c r="L216">
        <v>0</v>
      </c>
      <c r="M216">
        <v>0</v>
      </c>
      <c r="O216">
        <v>0</v>
      </c>
      <c r="P216">
        <v>0</v>
      </c>
      <c r="Q216">
        <v>0</v>
      </c>
      <c r="R216" s="49"/>
      <c r="T216" t="s">
        <v>2468</v>
      </c>
      <c r="U216" t="s">
        <v>127</v>
      </c>
      <c r="V216" t="s">
        <v>140</v>
      </c>
      <c r="W216">
        <v>60</v>
      </c>
      <c r="X216">
        <v>0</v>
      </c>
      <c r="AA216" t="s">
        <v>141</v>
      </c>
      <c r="AB216" t="s">
        <v>142</v>
      </c>
      <c r="AC216">
        <v>11611</v>
      </c>
      <c r="AD216">
        <v>11612</v>
      </c>
      <c r="AF216">
        <v>1</v>
      </c>
    </row>
    <row r="217" spans="1:32">
      <c r="A217">
        <v>1</v>
      </c>
      <c r="E217" t="s">
        <v>3083</v>
      </c>
      <c r="F217">
        <v>36</v>
      </c>
      <c r="G217" t="s">
        <v>2900</v>
      </c>
      <c r="H217" t="s">
        <v>2961</v>
      </c>
      <c r="I217" t="s">
        <v>2322</v>
      </c>
      <c r="J217" t="s">
        <v>1500</v>
      </c>
      <c r="K217" t="s">
        <v>2847</v>
      </c>
      <c r="L217">
        <v>0</v>
      </c>
      <c r="M217">
        <v>0</v>
      </c>
      <c r="O217">
        <v>0</v>
      </c>
      <c r="P217">
        <v>0</v>
      </c>
      <c r="Q217">
        <v>0</v>
      </c>
      <c r="R217" s="49"/>
      <c r="T217" t="s">
        <v>2468</v>
      </c>
      <c r="U217" t="s">
        <v>127</v>
      </c>
      <c r="V217" t="s">
        <v>140</v>
      </c>
      <c r="W217">
        <v>125</v>
      </c>
      <c r="X217">
        <v>0</v>
      </c>
      <c r="AA217" t="s">
        <v>141</v>
      </c>
      <c r="AB217" t="s">
        <v>142</v>
      </c>
      <c r="AC217">
        <v>11611</v>
      </c>
      <c r="AD217">
        <v>11612</v>
      </c>
      <c r="AF217">
        <v>1</v>
      </c>
    </row>
    <row r="218" spans="1:32">
      <c r="A218">
        <v>1</v>
      </c>
      <c r="E218" t="s">
        <v>3084</v>
      </c>
      <c r="F218">
        <v>36</v>
      </c>
      <c r="G218" t="s">
        <v>2900</v>
      </c>
      <c r="H218" t="s">
        <v>2961</v>
      </c>
      <c r="I218" t="s">
        <v>2322</v>
      </c>
      <c r="J218" t="s">
        <v>1502</v>
      </c>
      <c r="K218" t="s">
        <v>2847</v>
      </c>
      <c r="L218">
        <v>0</v>
      </c>
      <c r="M218">
        <v>0</v>
      </c>
      <c r="O218">
        <v>0</v>
      </c>
      <c r="P218">
        <v>0</v>
      </c>
      <c r="Q218">
        <v>0</v>
      </c>
      <c r="R218" s="49"/>
      <c r="T218" t="s">
        <v>2468</v>
      </c>
      <c r="U218" t="s">
        <v>127</v>
      </c>
      <c r="V218" t="s">
        <v>140</v>
      </c>
      <c r="W218">
        <v>60</v>
      </c>
      <c r="X218">
        <v>0</v>
      </c>
      <c r="AA218" t="s">
        <v>141</v>
      </c>
      <c r="AB218" t="s">
        <v>142</v>
      </c>
      <c r="AC218">
        <v>11611</v>
      </c>
      <c r="AD218">
        <v>11612</v>
      </c>
      <c r="AF218">
        <v>1</v>
      </c>
    </row>
    <row r="219" spans="1:32">
      <c r="A219">
        <v>1</v>
      </c>
      <c r="E219" t="s">
        <v>3085</v>
      </c>
      <c r="F219">
        <v>36</v>
      </c>
      <c r="G219" t="s">
        <v>2900</v>
      </c>
      <c r="H219" t="s">
        <v>2961</v>
      </c>
      <c r="I219" t="s">
        <v>2322</v>
      </c>
      <c r="J219" t="s">
        <v>1504</v>
      </c>
      <c r="K219" t="s">
        <v>2847</v>
      </c>
      <c r="L219">
        <v>0</v>
      </c>
      <c r="M219">
        <v>0</v>
      </c>
      <c r="O219">
        <v>0</v>
      </c>
      <c r="P219">
        <v>0</v>
      </c>
      <c r="Q219">
        <v>0</v>
      </c>
      <c r="R219" s="49"/>
      <c r="T219" t="s">
        <v>2468</v>
      </c>
      <c r="U219" t="s">
        <v>127</v>
      </c>
      <c r="V219" t="s">
        <v>140</v>
      </c>
      <c r="W219">
        <v>125</v>
      </c>
      <c r="X219">
        <v>0</v>
      </c>
      <c r="AA219" t="s">
        <v>141</v>
      </c>
      <c r="AB219" t="s">
        <v>142</v>
      </c>
      <c r="AC219">
        <v>11611</v>
      </c>
      <c r="AD219">
        <v>11612</v>
      </c>
      <c r="AF219">
        <v>1</v>
      </c>
    </row>
    <row r="220" spans="1:32">
      <c r="A220">
        <v>1</v>
      </c>
      <c r="E220" t="s">
        <v>3086</v>
      </c>
      <c r="F220">
        <v>36</v>
      </c>
      <c r="G220" t="s">
        <v>2900</v>
      </c>
      <c r="H220" t="s">
        <v>2961</v>
      </c>
      <c r="I220" t="s">
        <v>2322</v>
      </c>
      <c r="J220" t="s">
        <v>1506</v>
      </c>
      <c r="K220" t="s">
        <v>2847</v>
      </c>
      <c r="L220">
        <v>0</v>
      </c>
      <c r="M220">
        <v>0</v>
      </c>
      <c r="O220">
        <v>0</v>
      </c>
      <c r="P220">
        <v>0</v>
      </c>
      <c r="Q220">
        <v>0</v>
      </c>
      <c r="R220" s="49"/>
      <c r="T220" t="s">
        <v>2468</v>
      </c>
      <c r="U220" t="s">
        <v>127</v>
      </c>
      <c r="V220" t="s">
        <v>140</v>
      </c>
      <c r="W220">
        <v>60</v>
      </c>
      <c r="X220">
        <v>0</v>
      </c>
      <c r="AA220" t="s">
        <v>141</v>
      </c>
      <c r="AB220" t="s">
        <v>142</v>
      </c>
      <c r="AC220">
        <v>11611</v>
      </c>
      <c r="AD220">
        <v>11612</v>
      </c>
      <c r="AF220">
        <v>1</v>
      </c>
    </row>
    <row r="221" spans="1:32">
      <c r="A221">
        <v>1</v>
      </c>
      <c r="E221" t="s">
        <v>3087</v>
      </c>
      <c r="F221">
        <v>36</v>
      </c>
      <c r="G221" t="s">
        <v>2900</v>
      </c>
      <c r="H221" t="s">
        <v>2961</v>
      </c>
      <c r="I221" t="s">
        <v>2322</v>
      </c>
      <c r="J221" t="s">
        <v>1508</v>
      </c>
      <c r="K221" t="s">
        <v>2847</v>
      </c>
      <c r="L221">
        <v>0</v>
      </c>
      <c r="M221">
        <v>0</v>
      </c>
      <c r="O221">
        <v>0</v>
      </c>
      <c r="P221">
        <v>0</v>
      </c>
      <c r="Q221">
        <v>0</v>
      </c>
      <c r="R221" s="49"/>
      <c r="T221" t="s">
        <v>2468</v>
      </c>
      <c r="U221" t="s">
        <v>127</v>
      </c>
      <c r="V221" t="s">
        <v>140</v>
      </c>
      <c r="W221">
        <v>125</v>
      </c>
      <c r="X221">
        <v>0</v>
      </c>
      <c r="AA221" t="s">
        <v>141</v>
      </c>
      <c r="AB221" t="s">
        <v>142</v>
      </c>
      <c r="AC221">
        <v>11611</v>
      </c>
      <c r="AD221">
        <v>11612</v>
      </c>
      <c r="AF221">
        <v>1</v>
      </c>
    </row>
    <row r="222" spans="1:32">
      <c r="A222">
        <v>1</v>
      </c>
      <c r="E222" t="s">
        <v>3088</v>
      </c>
      <c r="F222">
        <v>36</v>
      </c>
      <c r="G222" t="s">
        <v>2900</v>
      </c>
      <c r="H222" t="s">
        <v>2961</v>
      </c>
      <c r="I222" t="s">
        <v>2322</v>
      </c>
      <c r="J222" t="s">
        <v>1510</v>
      </c>
      <c r="K222" t="s">
        <v>2847</v>
      </c>
      <c r="L222">
        <v>0</v>
      </c>
      <c r="M222">
        <v>0</v>
      </c>
      <c r="O222">
        <v>0</v>
      </c>
      <c r="P222">
        <v>0</v>
      </c>
      <c r="Q222">
        <v>0</v>
      </c>
      <c r="R222" s="49"/>
      <c r="T222" t="s">
        <v>2468</v>
      </c>
      <c r="U222" t="s">
        <v>127</v>
      </c>
      <c r="V222" t="s">
        <v>140</v>
      </c>
      <c r="W222">
        <v>60</v>
      </c>
      <c r="X222">
        <v>0</v>
      </c>
      <c r="AA222" t="s">
        <v>141</v>
      </c>
      <c r="AB222" t="s">
        <v>142</v>
      </c>
      <c r="AC222">
        <v>11611</v>
      </c>
      <c r="AD222">
        <v>11612</v>
      </c>
      <c r="AF222">
        <v>1</v>
      </c>
    </row>
    <row r="223" spans="1:32">
      <c r="A223">
        <v>1</v>
      </c>
      <c r="E223" t="s">
        <v>3089</v>
      </c>
      <c r="F223">
        <v>36</v>
      </c>
      <c r="G223" t="s">
        <v>2900</v>
      </c>
      <c r="H223" t="s">
        <v>2961</v>
      </c>
      <c r="I223" t="s">
        <v>2322</v>
      </c>
      <c r="J223" t="s">
        <v>1512</v>
      </c>
      <c r="K223" t="s">
        <v>2847</v>
      </c>
      <c r="L223">
        <v>0</v>
      </c>
      <c r="M223">
        <v>0</v>
      </c>
      <c r="O223">
        <v>0</v>
      </c>
      <c r="P223">
        <v>0</v>
      </c>
      <c r="Q223">
        <v>0</v>
      </c>
      <c r="R223" s="49"/>
      <c r="T223" t="s">
        <v>2468</v>
      </c>
      <c r="U223" t="s">
        <v>127</v>
      </c>
      <c r="V223" t="s">
        <v>140</v>
      </c>
      <c r="W223">
        <v>125</v>
      </c>
      <c r="X223">
        <v>0</v>
      </c>
      <c r="AA223" t="s">
        <v>141</v>
      </c>
      <c r="AB223" t="s">
        <v>142</v>
      </c>
      <c r="AC223">
        <v>11611</v>
      </c>
      <c r="AD223">
        <v>11612</v>
      </c>
      <c r="AF223">
        <v>1</v>
      </c>
    </row>
    <row r="224" spans="1:32">
      <c r="A224">
        <v>1</v>
      </c>
      <c r="E224" t="s">
        <v>3090</v>
      </c>
      <c r="F224">
        <v>36</v>
      </c>
      <c r="G224" t="s">
        <v>2900</v>
      </c>
      <c r="H224" t="s">
        <v>2961</v>
      </c>
      <c r="I224" t="s">
        <v>2322</v>
      </c>
      <c r="J224" t="s">
        <v>1514</v>
      </c>
      <c r="K224" t="s">
        <v>2847</v>
      </c>
      <c r="L224">
        <v>0</v>
      </c>
      <c r="M224">
        <v>0</v>
      </c>
      <c r="O224">
        <v>0</v>
      </c>
      <c r="P224">
        <v>0</v>
      </c>
      <c r="Q224">
        <v>0</v>
      </c>
      <c r="R224" s="49"/>
      <c r="T224" t="s">
        <v>2468</v>
      </c>
      <c r="U224" t="s">
        <v>127</v>
      </c>
      <c r="V224" t="s">
        <v>140</v>
      </c>
      <c r="W224">
        <v>60</v>
      </c>
      <c r="X224">
        <v>0</v>
      </c>
      <c r="AA224" t="s">
        <v>141</v>
      </c>
      <c r="AB224" t="s">
        <v>142</v>
      </c>
      <c r="AC224">
        <v>11611</v>
      </c>
      <c r="AD224">
        <v>11612</v>
      </c>
      <c r="AF224">
        <v>1</v>
      </c>
    </row>
    <row r="225" spans="1:32">
      <c r="A225">
        <v>1</v>
      </c>
      <c r="E225" t="s">
        <v>3091</v>
      </c>
      <c r="F225">
        <v>36</v>
      </c>
      <c r="G225" t="s">
        <v>2900</v>
      </c>
      <c r="H225" t="s">
        <v>2961</v>
      </c>
      <c r="I225" t="s">
        <v>2322</v>
      </c>
      <c r="J225" t="s">
        <v>1516</v>
      </c>
      <c r="K225" t="s">
        <v>2847</v>
      </c>
      <c r="L225">
        <v>0</v>
      </c>
      <c r="M225">
        <v>0</v>
      </c>
      <c r="O225">
        <v>0</v>
      </c>
      <c r="P225">
        <v>0</v>
      </c>
      <c r="Q225">
        <v>0</v>
      </c>
      <c r="R225" s="49"/>
      <c r="T225" t="s">
        <v>2468</v>
      </c>
      <c r="U225" t="s">
        <v>127</v>
      </c>
      <c r="V225" t="s">
        <v>140</v>
      </c>
      <c r="W225">
        <v>125</v>
      </c>
      <c r="X225">
        <v>0</v>
      </c>
      <c r="AA225" t="s">
        <v>141</v>
      </c>
      <c r="AB225" t="s">
        <v>142</v>
      </c>
      <c r="AC225">
        <v>11611</v>
      </c>
      <c r="AD225">
        <v>11612</v>
      </c>
      <c r="AF225">
        <v>1</v>
      </c>
    </row>
    <row r="226" spans="1:32">
      <c r="A226">
        <v>1</v>
      </c>
      <c r="E226" t="s">
        <v>3092</v>
      </c>
      <c r="F226">
        <v>36</v>
      </c>
      <c r="G226" t="s">
        <v>2900</v>
      </c>
      <c r="H226" t="s">
        <v>2961</v>
      </c>
      <c r="I226" t="s">
        <v>2324</v>
      </c>
      <c r="J226" t="s">
        <v>1518</v>
      </c>
      <c r="K226" t="s">
        <v>2847</v>
      </c>
      <c r="L226">
        <v>0</v>
      </c>
      <c r="M226">
        <v>0</v>
      </c>
      <c r="O226">
        <v>0</v>
      </c>
      <c r="P226">
        <v>0</v>
      </c>
      <c r="Q226">
        <v>0</v>
      </c>
      <c r="R226" s="49"/>
      <c r="T226" t="s">
        <v>2468</v>
      </c>
      <c r="U226" t="s">
        <v>127</v>
      </c>
      <c r="V226" t="s">
        <v>140</v>
      </c>
      <c r="W226">
        <v>125</v>
      </c>
      <c r="X226">
        <v>0</v>
      </c>
      <c r="AA226" t="s">
        <v>141</v>
      </c>
      <c r="AB226" t="s">
        <v>142</v>
      </c>
      <c r="AC226">
        <v>11611</v>
      </c>
      <c r="AD226">
        <v>11612</v>
      </c>
      <c r="AF226">
        <v>1</v>
      </c>
    </row>
    <row r="227" spans="1:32">
      <c r="A227">
        <v>1</v>
      </c>
      <c r="E227" t="s">
        <v>3093</v>
      </c>
      <c r="F227">
        <v>36</v>
      </c>
      <c r="G227" t="s">
        <v>2900</v>
      </c>
      <c r="H227" t="s">
        <v>2961</v>
      </c>
      <c r="I227" t="s">
        <v>2324</v>
      </c>
      <c r="J227" t="s">
        <v>1520</v>
      </c>
      <c r="K227" t="s">
        <v>2847</v>
      </c>
      <c r="L227">
        <v>0</v>
      </c>
      <c r="M227">
        <v>0</v>
      </c>
      <c r="O227">
        <v>0</v>
      </c>
      <c r="P227">
        <v>0</v>
      </c>
      <c r="Q227">
        <v>0</v>
      </c>
      <c r="R227" s="49"/>
      <c r="T227" t="s">
        <v>2468</v>
      </c>
      <c r="U227" t="s">
        <v>127</v>
      </c>
      <c r="V227" t="s">
        <v>140</v>
      </c>
      <c r="W227">
        <v>125</v>
      </c>
      <c r="X227">
        <v>0</v>
      </c>
      <c r="AA227" t="s">
        <v>141</v>
      </c>
      <c r="AB227" t="s">
        <v>142</v>
      </c>
      <c r="AC227">
        <v>11611</v>
      </c>
      <c r="AD227">
        <v>11612</v>
      </c>
      <c r="AF227">
        <v>1</v>
      </c>
    </row>
    <row r="228" spans="1:32">
      <c r="A228">
        <v>1</v>
      </c>
      <c r="E228" t="s">
        <v>3094</v>
      </c>
      <c r="F228">
        <v>36</v>
      </c>
      <c r="G228" t="s">
        <v>2900</v>
      </c>
      <c r="H228" t="s">
        <v>2961</v>
      </c>
      <c r="I228" t="s">
        <v>2324</v>
      </c>
      <c r="J228" t="s">
        <v>1522</v>
      </c>
      <c r="K228" t="s">
        <v>2847</v>
      </c>
      <c r="L228">
        <v>0</v>
      </c>
      <c r="M228">
        <v>0</v>
      </c>
      <c r="O228">
        <v>0</v>
      </c>
      <c r="P228">
        <v>0</v>
      </c>
      <c r="Q228">
        <v>0</v>
      </c>
      <c r="R228" s="49"/>
      <c r="T228" t="s">
        <v>2468</v>
      </c>
      <c r="U228" t="s">
        <v>127</v>
      </c>
      <c r="V228" t="s">
        <v>140</v>
      </c>
      <c r="W228">
        <v>125</v>
      </c>
      <c r="X228">
        <v>0</v>
      </c>
      <c r="AA228" t="s">
        <v>141</v>
      </c>
      <c r="AB228" t="s">
        <v>142</v>
      </c>
      <c r="AC228">
        <v>11611</v>
      </c>
      <c r="AD228">
        <v>11612</v>
      </c>
      <c r="AF228">
        <v>1</v>
      </c>
    </row>
    <row r="229" spans="1:32">
      <c r="A229">
        <v>1</v>
      </c>
      <c r="E229" t="s">
        <v>3095</v>
      </c>
      <c r="F229">
        <v>36</v>
      </c>
      <c r="G229" t="s">
        <v>2900</v>
      </c>
      <c r="H229" t="s">
        <v>2961</v>
      </c>
      <c r="I229" t="s">
        <v>2324</v>
      </c>
      <c r="J229" t="s">
        <v>1524</v>
      </c>
      <c r="K229" t="s">
        <v>2847</v>
      </c>
      <c r="L229">
        <v>0</v>
      </c>
      <c r="M229">
        <v>0</v>
      </c>
      <c r="O229">
        <v>0</v>
      </c>
      <c r="P229">
        <v>0</v>
      </c>
      <c r="Q229">
        <v>0</v>
      </c>
      <c r="R229" s="49"/>
      <c r="T229" t="s">
        <v>2468</v>
      </c>
      <c r="U229" t="s">
        <v>127</v>
      </c>
      <c r="V229" t="s">
        <v>140</v>
      </c>
      <c r="W229">
        <v>125</v>
      </c>
      <c r="X229">
        <v>0</v>
      </c>
      <c r="AA229" t="s">
        <v>141</v>
      </c>
      <c r="AB229" t="s">
        <v>142</v>
      </c>
      <c r="AC229">
        <v>11611</v>
      </c>
      <c r="AD229">
        <v>11612</v>
      </c>
      <c r="AF229">
        <v>1</v>
      </c>
    </row>
    <row r="230" spans="1:32">
      <c r="A230">
        <v>1</v>
      </c>
      <c r="E230" t="s">
        <v>3096</v>
      </c>
      <c r="F230">
        <v>36</v>
      </c>
      <c r="G230" t="s">
        <v>2900</v>
      </c>
      <c r="H230" t="s">
        <v>2961</v>
      </c>
      <c r="I230" t="s">
        <v>2324</v>
      </c>
      <c r="J230" t="s">
        <v>1526</v>
      </c>
      <c r="K230" t="s">
        <v>2847</v>
      </c>
      <c r="L230">
        <v>0</v>
      </c>
      <c r="M230">
        <v>0</v>
      </c>
      <c r="O230">
        <v>0</v>
      </c>
      <c r="P230">
        <v>0</v>
      </c>
      <c r="Q230">
        <v>0</v>
      </c>
      <c r="R230" s="49"/>
      <c r="T230" t="s">
        <v>2468</v>
      </c>
      <c r="U230" t="s">
        <v>127</v>
      </c>
      <c r="V230" t="s">
        <v>140</v>
      </c>
      <c r="W230">
        <v>60</v>
      </c>
      <c r="X230">
        <v>0</v>
      </c>
      <c r="AA230" t="s">
        <v>141</v>
      </c>
      <c r="AB230" t="s">
        <v>142</v>
      </c>
      <c r="AC230">
        <v>11611</v>
      </c>
      <c r="AD230">
        <v>11612</v>
      </c>
      <c r="AF230">
        <v>1</v>
      </c>
    </row>
    <row r="231" spans="1:32">
      <c r="A231">
        <v>1</v>
      </c>
      <c r="E231" t="s">
        <v>3097</v>
      </c>
      <c r="F231">
        <v>36</v>
      </c>
      <c r="G231" t="s">
        <v>2900</v>
      </c>
      <c r="H231" t="s">
        <v>2961</v>
      </c>
      <c r="I231" t="s">
        <v>2324</v>
      </c>
      <c r="J231" t="s">
        <v>1528</v>
      </c>
      <c r="K231" t="s">
        <v>2847</v>
      </c>
      <c r="L231">
        <v>0</v>
      </c>
      <c r="M231">
        <v>0</v>
      </c>
      <c r="O231">
        <v>0</v>
      </c>
      <c r="P231">
        <v>0</v>
      </c>
      <c r="Q231">
        <v>0</v>
      </c>
      <c r="R231" s="49"/>
      <c r="T231" t="s">
        <v>2468</v>
      </c>
      <c r="U231" t="s">
        <v>127</v>
      </c>
      <c r="V231" t="s">
        <v>140</v>
      </c>
      <c r="W231">
        <v>100</v>
      </c>
      <c r="X231">
        <v>0</v>
      </c>
      <c r="AA231" t="s">
        <v>141</v>
      </c>
      <c r="AB231" t="s">
        <v>142</v>
      </c>
      <c r="AC231">
        <v>11611</v>
      </c>
      <c r="AD231">
        <v>11612</v>
      </c>
      <c r="AF231">
        <v>1</v>
      </c>
    </row>
    <row r="232" spans="1:32">
      <c r="A232">
        <v>1</v>
      </c>
      <c r="E232" t="s">
        <v>3098</v>
      </c>
      <c r="F232">
        <v>36</v>
      </c>
      <c r="G232" t="s">
        <v>2900</v>
      </c>
      <c r="H232" t="s">
        <v>2961</v>
      </c>
      <c r="I232" t="s">
        <v>2324</v>
      </c>
      <c r="J232" t="s">
        <v>1530</v>
      </c>
      <c r="K232" t="s">
        <v>2847</v>
      </c>
      <c r="L232">
        <v>0</v>
      </c>
      <c r="M232">
        <v>0</v>
      </c>
      <c r="O232">
        <v>0</v>
      </c>
      <c r="P232">
        <v>0</v>
      </c>
      <c r="Q232">
        <v>0</v>
      </c>
      <c r="R232" s="49"/>
      <c r="T232" t="s">
        <v>2468</v>
      </c>
      <c r="U232" t="s">
        <v>127</v>
      </c>
      <c r="V232" t="s">
        <v>140</v>
      </c>
      <c r="W232">
        <v>125</v>
      </c>
      <c r="X232">
        <v>0</v>
      </c>
      <c r="AA232" t="s">
        <v>141</v>
      </c>
      <c r="AB232" t="s">
        <v>142</v>
      </c>
      <c r="AC232">
        <v>11611</v>
      </c>
      <c r="AD232">
        <v>11612</v>
      </c>
      <c r="AF232">
        <v>1</v>
      </c>
    </row>
    <row r="233" spans="1:32">
      <c r="A233">
        <v>1</v>
      </c>
      <c r="E233" t="s">
        <v>3099</v>
      </c>
      <c r="F233">
        <v>36</v>
      </c>
      <c r="G233" t="s">
        <v>2900</v>
      </c>
      <c r="H233" t="s">
        <v>2961</v>
      </c>
      <c r="I233" t="s">
        <v>2324</v>
      </c>
      <c r="J233" t="s">
        <v>1532</v>
      </c>
      <c r="K233" t="s">
        <v>2847</v>
      </c>
      <c r="L233">
        <v>0</v>
      </c>
      <c r="M233">
        <v>0</v>
      </c>
      <c r="O233">
        <v>0</v>
      </c>
      <c r="P233">
        <v>0</v>
      </c>
      <c r="Q233">
        <v>0</v>
      </c>
      <c r="R233" s="49"/>
      <c r="T233" t="s">
        <v>2468</v>
      </c>
      <c r="U233" t="s">
        <v>127</v>
      </c>
      <c r="V233" t="s">
        <v>140</v>
      </c>
      <c r="W233">
        <v>60</v>
      </c>
      <c r="X233">
        <v>0</v>
      </c>
      <c r="AA233" t="s">
        <v>141</v>
      </c>
      <c r="AB233" t="s">
        <v>142</v>
      </c>
      <c r="AC233">
        <v>11611</v>
      </c>
      <c r="AD233">
        <v>11612</v>
      </c>
      <c r="AF233">
        <v>1</v>
      </c>
    </row>
    <row r="234" spans="1:32">
      <c r="A234">
        <v>1</v>
      </c>
      <c r="E234" t="s">
        <v>3100</v>
      </c>
      <c r="F234">
        <v>36</v>
      </c>
      <c r="G234" t="s">
        <v>2900</v>
      </c>
      <c r="H234" t="s">
        <v>2961</v>
      </c>
      <c r="I234" t="s">
        <v>2324</v>
      </c>
      <c r="J234" t="s">
        <v>1534</v>
      </c>
      <c r="K234" t="s">
        <v>2847</v>
      </c>
      <c r="L234">
        <v>0</v>
      </c>
      <c r="M234">
        <v>0</v>
      </c>
      <c r="O234">
        <v>0</v>
      </c>
      <c r="P234">
        <v>0</v>
      </c>
      <c r="Q234">
        <v>0</v>
      </c>
      <c r="R234" s="49"/>
      <c r="T234" t="s">
        <v>2468</v>
      </c>
      <c r="U234" t="s">
        <v>127</v>
      </c>
      <c r="V234" t="s">
        <v>140</v>
      </c>
      <c r="W234">
        <v>100</v>
      </c>
      <c r="X234">
        <v>0</v>
      </c>
      <c r="AA234" t="s">
        <v>141</v>
      </c>
      <c r="AB234" t="s">
        <v>142</v>
      </c>
      <c r="AC234">
        <v>11611</v>
      </c>
      <c r="AD234">
        <v>11612</v>
      </c>
      <c r="AF234">
        <v>1</v>
      </c>
    </row>
    <row r="235" spans="1:32">
      <c r="A235">
        <v>1</v>
      </c>
      <c r="E235" t="s">
        <v>3101</v>
      </c>
      <c r="F235">
        <v>36</v>
      </c>
      <c r="G235" t="s">
        <v>2900</v>
      </c>
      <c r="H235" t="s">
        <v>2961</v>
      </c>
      <c r="I235" t="s">
        <v>2324</v>
      </c>
      <c r="J235" t="s">
        <v>1536</v>
      </c>
      <c r="K235" t="s">
        <v>2847</v>
      </c>
      <c r="L235">
        <v>0</v>
      </c>
      <c r="M235">
        <v>0</v>
      </c>
      <c r="O235">
        <v>0</v>
      </c>
      <c r="P235">
        <v>0</v>
      </c>
      <c r="Q235">
        <v>0</v>
      </c>
      <c r="R235" s="49"/>
      <c r="T235" t="s">
        <v>2468</v>
      </c>
      <c r="U235" t="s">
        <v>127</v>
      </c>
      <c r="V235" t="s">
        <v>140</v>
      </c>
      <c r="W235">
        <v>60</v>
      </c>
      <c r="X235">
        <v>0</v>
      </c>
      <c r="AA235" t="s">
        <v>141</v>
      </c>
      <c r="AB235" t="s">
        <v>142</v>
      </c>
      <c r="AC235">
        <v>11611</v>
      </c>
      <c r="AD235">
        <v>11612</v>
      </c>
      <c r="AF235">
        <v>1</v>
      </c>
    </row>
    <row r="236" spans="1:32">
      <c r="A236">
        <v>1</v>
      </c>
      <c r="E236" t="s">
        <v>3102</v>
      </c>
      <c r="F236">
        <v>36</v>
      </c>
      <c r="G236" t="s">
        <v>2900</v>
      </c>
      <c r="H236" t="s">
        <v>2961</v>
      </c>
      <c r="I236" t="s">
        <v>2324</v>
      </c>
      <c r="J236" t="s">
        <v>1538</v>
      </c>
      <c r="K236" t="s">
        <v>2847</v>
      </c>
      <c r="L236">
        <v>0</v>
      </c>
      <c r="M236">
        <v>0</v>
      </c>
      <c r="O236">
        <v>0</v>
      </c>
      <c r="P236">
        <v>0</v>
      </c>
      <c r="Q236">
        <v>0</v>
      </c>
      <c r="R236" s="49"/>
      <c r="T236" t="s">
        <v>2468</v>
      </c>
      <c r="U236" t="s">
        <v>127</v>
      </c>
      <c r="V236" t="s">
        <v>140</v>
      </c>
      <c r="W236">
        <v>100</v>
      </c>
      <c r="X236">
        <v>0</v>
      </c>
      <c r="AA236" t="s">
        <v>141</v>
      </c>
      <c r="AB236" t="s">
        <v>142</v>
      </c>
      <c r="AC236">
        <v>11611</v>
      </c>
      <c r="AD236">
        <v>11612</v>
      </c>
      <c r="AF236">
        <v>1</v>
      </c>
    </row>
    <row r="237" spans="1:32">
      <c r="A237">
        <v>1</v>
      </c>
      <c r="E237" t="s">
        <v>3103</v>
      </c>
      <c r="F237">
        <v>36</v>
      </c>
      <c r="G237" t="s">
        <v>2900</v>
      </c>
      <c r="H237" t="s">
        <v>2961</v>
      </c>
      <c r="I237" t="s">
        <v>2324</v>
      </c>
      <c r="J237" t="s">
        <v>1540</v>
      </c>
      <c r="K237" t="s">
        <v>2847</v>
      </c>
      <c r="L237">
        <v>0</v>
      </c>
      <c r="M237">
        <v>0</v>
      </c>
      <c r="O237">
        <v>0</v>
      </c>
      <c r="P237">
        <v>0</v>
      </c>
      <c r="Q237">
        <v>0</v>
      </c>
      <c r="R237" s="49"/>
      <c r="T237" t="s">
        <v>2468</v>
      </c>
      <c r="U237" t="s">
        <v>127</v>
      </c>
      <c r="V237" t="s">
        <v>140</v>
      </c>
      <c r="W237">
        <v>125</v>
      </c>
      <c r="X237">
        <v>0</v>
      </c>
      <c r="AA237" t="s">
        <v>141</v>
      </c>
      <c r="AB237" t="s">
        <v>142</v>
      </c>
      <c r="AC237">
        <v>11611</v>
      </c>
      <c r="AD237">
        <v>11612</v>
      </c>
      <c r="AF237">
        <v>1</v>
      </c>
    </row>
    <row r="238" spans="1:32">
      <c r="A238">
        <v>1</v>
      </c>
      <c r="E238" t="s">
        <v>3104</v>
      </c>
      <c r="F238">
        <v>36</v>
      </c>
      <c r="G238" t="s">
        <v>2900</v>
      </c>
      <c r="H238" t="s">
        <v>2961</v>
      </c>
      <c r="I238" t="s">
        <v>2324</v>
      </c>
      <c r="J238" t="s">
        <v>1542</v>
      </c>
      <c r="K238" t="s">
        <v>2847</v>
      </c>
      <c r="L238">
        <v>0</v>
      </c>
      <c r="M238">
        <v>0</v>
      </c>
      <c r="O238">
        <v>0</v>
      </c>
      <c r="P238">
        <v>0</v>
      </c>
      <c r="Q238">
        <v>0</v>
      </c>
      <c r="R238" s="49"/>
      <c r="T238" t="s">
        <v>2468</v>
      </c>
      <c r="U238" t="s">
        <v>127</v>
      </c>
      <c r="V238" t="s">
        <v>140</v>
      </c>
      <c r="W238">
        <v>125</v>
      </c>
      <c r="X238">
        <v>0</v>
      </c>
      <c r="AA238" t="s">
        <v>141</v>
      </c>
      <c r="AB238" t="s">
        <v>142</v>
      </c>
      <c r="AC238">
        <v>11611</v>
      </c>
      <c r="AD238">
        <v>11612</v>
      </c>
      <c r="AF238">
        <v>1</v>
      </c>
    </row>
    <row r="239" spans="1:32">
      <c r="A239">
        <v>1</v>
      </c>
      <c r="E239" t="s">
        <v>3105</v>
      </c>
      <c r="F239">
        <v>72</v>
      </c>
      <c r="G239" t="s">
        <v>2900</v>
      </c>
      <c r="H239" t="s">
        <v>2961</v>
      </c>
      <c r="I239" t="s">
        <v>2324</v>
      </c>
      <c r="J239" t="s">
        <v>1544</v>
      </c>
      <c r="K239" t="s">
        <v>2846</v>
      </c>
      <c r="L239">
        <v>0</v>
      </c>
      <c r="M239">
        <v>0</v>
      </c>
      <c r="O239">
        <v>0</v>
      </c>
      <c r="P239">
        <v>0</v>
      </c>
      <c r="Q239">
        <v>0</v>
      </c>
      <c r="R239" s="49"/>
      <c r="T239" t="s">
        <v>2468</v>
      </c>
      <c r="U239" t="s">
        <v>127</v>
      </c>
      <c r="V239" t="s">
        <v>140</v>
      </c>
      <c r="W239">
        <v>9</v>
      </c>
      <c r="X239">
        <v>0</v>
      </c>
      <c r="AA239" t="s">
        <v>141</v>
      </c>
      <c r="AB239" t="s">
        <v>142</v>
      </c>
      <c r="AC239">
        <v>11611</v>
      </c>
      <c r="AD239">
        <v>11612</v>
      </c>
      <c r="AF239">
        <v>1</v>
      </c>
    </row>
    <row r="240" spans="1:32">
      <c r="A240">
        <v>1</v>
      </c>
      <c r="E240" t="s">
        <v>3106</v>
      </c>
      <c r="F240">
        <v>24</v>
      </c>
      <c r="G240" t="s">
        <v>2900</v>
      </c>
      <c r="H240" t="s">
        <v>2961</v>
      </c>
      <c r="I240" t="s">
        <v>2326</v>
      </c>
      <c r="J240" t="s">
        <v>1547</v>
      </c>
      <c r="K240" t="s">
        <v>2852</v>
      </c>
      <c r="L240">
        <v>0</v>
      </c>
      <c r="M240">
        <v>0</v>
      </c>
      <c r="O240">
        <v>0</v>
      </c>
      <c r="P240">
        <v>0</v>
      </c>
      <c r="Q240">
        <v>0</v>
      </c>
      <c r="R240" s="49"/>
      <c r="T240" t="s">
        <v>2468</v>
      </c>
      <c r="U240" t="s">
        <v>127</v>
      </c>
      <c r="V240" t="s">
        <v>140</v>
      </c>
      <c r="W240">
        <v>280</v>
      </c>
      <c r="X240">
        <v>0</v>
      </c>
      <c r="AA240" t="s">
        <v>141</v>
      </c>
      <c r="AB240" t="s">
        <v>142</v>
      </c>
      <c r="AC240">
        <v>11611</v>
      </c>
      <c r="AD240">
        <v>11612</v>
      </c>
      <c r="AF240">
        <v>1</v>
      </c>
    </row>
    <row r="241" spans="1:32">
      <c r="A241">
        <v>1</v>
      </c>
      <c r="E241" t="s">
        <v>3107</v>
      </c>
      <c r="F241">
        <v>24</v>
      </c>
      <c r="G241" t="s">
        <v>2900</v>
      </c>
      <c r="H241" t="s">
        <v>2961</v>
      </c>
      <c r="I241" t="s">
        <v>2326</v>
      </c>
      <c r="J241" t="s">
        <v>1551</v>
      </c>
      <c r="K241" t="s">
        <v>2852</v>
      </c>
      <c r="L241">
        <v>0</v>
      </c>
      <c r="M241">
        <v>0</v>
      </c>
      <c r="O241">
        <v>0</v>
      </c>
      <c r="P241">
        <v>0</v>
      </c>
      <c r="Q241">
        <v>0</v>
      </c>
      <c r="R241" s="49"/>
      <c r="T241" t="s">
        <v>2468</v>
      </c>
      <c r="U241" t="s">
        <v>127</v>
      </c>
      <c r="V241" t="s">
        <v>140</v>
      </c>
      <c r="W241">
        <v>280</v>
      </c>
      <c r="X241">
        <v>0</v>
      </c>
      <c r="AA241" t="s">
        <v>141</v>
      </c>
      <c r="AB241" t="s">
        <v>142</v>
      </c>
      <c r="AC241">
        <v>11611</v>
      </c>
      <c r="AD241">
        <v>11612</v>
      </c>
      <c r="AF241">
        <v>1</v>
      </c>
    </row>
    <row r="242" spans="1:32">
      <c r="A242">
        <v>1</v>
      </c>
      <c r="E242" t="s">
        <v>3108</v>
      </c>
      <c r="F242">
        <v>24</v>
      </c>
      <c r="G242" t="s">
        <v>2900</v>
      </c>
      <c r="H242" t="s">
        <v>2961</v>
      </c>
      <c r="I242" t="s">
        <v>2326</v>
      </c>
      <c r="J242" t="s">
        <v>1553</v>
      </c>
      <c r="K242" t="s">
        <v>2852</v>
      </c>
      <c r="L242">
        <v>0</v>
      </c>
      <c r="M242">
        <v>0</v>
      </c>
      <c r="O242">
        <v>0</v>
      </c>
      <c r="P242">
        <v>0</v>
      </c>
      <c r="Q242">
        <v>0</v>
      </c>
      <c r="R242" s="49"/>
      <c r="T242" t="s">
        <v>2468</v>
      </c>
      <c r="U242" t="s">
        <v>127</v>
      </c>
      <c r="V242" t="s">
        <v>140</v>
      </c>
      <c r="W242">
        <v>280</v>
      </c>
      <c r="X242">
        <v>0</v>
      </c>
      <c r="AA242" t="s">
        <v>141</v>
      </c>
      <c r="AB242" t="s">
        <v>142</v>
      </c>
      <c r="AC242">
        <v>11611</v>
      </c>
      <c r="AD242">
        <v>11612</v>
      </c>
      <c r="AF242">
        <v>1</v>
      </c>
    </row>
    <row r="243" spans="1:32">
      <c r="A243">
        <v>1</v>
      </c>
      <c r="E243" t="s">
        <v>3109</v>
      </c>
      <c r="F243">
        <v>24</v>
      </c>
      <c r="G243" t="s">
        <v>2900</v>
      </c>
      <c r="H243" t="s">
        <v>2961</v>
      </c>
      <c r="I243" t="s">
        <v>2330</v>
      </c>
      <c r="J243" t="s">
        <v>1558</v>
      </c>
      <c r="K243" t="s">
        <v>2852</v>
      </c>
      <c r="L243">
        <v>0</v>
      </c>
      <c r="M243">
        <v>0</v>
      </c>
      <c r="O243">
        <v>0</v>
      </c>
      <c r="P243">
        <v>0</v>
      </c>
      <c r="Q243">
        <v>0</v>
      </c>
      <c r="R243" s="49"/>
      <c r="T243" t="s">
        <v>2468</v>
      </c>
      <c r="U243" t="s">
        <v>127</v>
      </c>
      <c r="V243" t="s">
        <v>140</v>
      </c>
      <c r="W243">
        <v>100</v>
      </c>
      <c r="X243">
        <v>0</v>
      </c>
      <c r="AA243" t="s">
        <v>141</v>
      </c>
      <c r="AB243" t="s">
        <v>142</v>
      </c>
      <c r="AC243">
        <v>11611</v>
      </c>
      <c r="AD243">
        <v>11612</v>
      </c>
      <c r="AF243">
        <v>1</v>
      </c>
    </row>
    <row r="244" spans="1:32">
      <c r="A244">
        <v>1</v>
      </c>
      <c r="E244" t="s">
        <v>3110</v>
      </c>
      <c r="F244">
        <v>24</v>
      </c>
      <c r="G244" t="s">
        <v>2900</v>
      </c>
      <c r="H244" t="s">
        <v>2961</v>
      </c>
      <c r="I244" t="s">
        <v>2332</v>
      </c>
      <c r="J244" t="s">
        <v>1560</v>
      </c>
      <c r="K244" t="s">
        <v>2852</v>
      </c>
      <c r="L244">
        <v>0</v>
      </c>
      <c r="M244">
        <v>0</v>
      </c>
      <c r="O244">
        <v>0</v>
      </c>
      <c r="P244">
        <v>0</v>
      </c>
      <c r="Q244">
        <v>0</v>
      </c>
      <c r="R244" s="49"/>
      <c r="T244" t="s">
        <v>2468</v>
      </c>
      <c r="U244" t="s">
        <v>127</v>
      </c>
      <c r="V244" t="s">
        <v>140</v>
      </c>
      <c r="W244">
        <v>30</v>
      </c>
      <c r="X244">
        <v>0</v>
      </c>
      <c r="AA244" t="s">
        <v>141</v>
      </c>
      <c r="AB244" t="s">
        <v>142</v>
      </c>
      <c r="AC244">
        <v>11611</v>
      </c>
      <c r="AD244">
        <v>11612</v>
      </c>
      <c r="AF244">
        <v>1</v>
      </c>
    </row>
    <row r="245" spans="1:32">
      <c r="A245">
        <v>1</v>
      </c>
      <c r="E245" t="s">
        <v>3111</v>
      </c>
      <c r="F245">
        <v>24</v>
      </c>
      <c r="G245" t="s">
        <v>2900</v>
      </c>
      <c r="H245" t="s">
        <v>2961</v>
      </c>
      <c r="I245" t="s">
        <v>2332</v>
      </c>
      <c r="J245" t="s">
        <v>1562</v>
      </c>
      <c r="K245" t="s">
        <v>2852</v>
      </c>
      <c r="L245">
        <v>0</v>
      </c>
      <c r="M245">
        <v>0</v>
      </c>
      <c r="O245">
        <v>0</v>
      </c>
      <c r="P245">
        <v>0</v>
      </c>
      <c r="Q245">
        <v>0</v>
      </c>
      <c r="R245" s="49"/>
      <c r="T245" t="s">
        <v>2468</v>
      </c>
      <c r="U245" t="s">
        <v>127</v>
      </c>
      <c r="V245" t="s">
        <v>140</v>
      </c>
      <c r="W245">
        <v>30</v>
      </c>
      <c r="X245">
        <v>0</v>
      </c>
      <c r="AA245" t="s">
        <v>141</v>
      </c>
      <c r="AB245" t="s">
        <v>142</v>
      </c>
      <c r="AC245">
        <v>11611</v>
      </c>
      <c r="AD245">
        <v>11612</v>
      </c>
      <c r="AF245">
        <v>1</v>
      </c>
    </row>
    <row r="246" spans="1:32">
      <c r="A246">
        <v>1</v>
      </c>
      <c r="E246" t="s">
        <v>3112</v>
      </c>
      <c r="F246">
        <v>24</v>
      </c>
      <c r="G246" t="s">
        <v>2900</v>
      </c>
      <c r="H246" t="s">
        <v>2961</v>
      </c>
      <c r="I246" t="s">
        <v>2332</v>
      </c>
      <c r="J246" t="s">
        <v>1564</v>
      </c>
      <c r="K246" t="s">
        <v>2852</v>
      </c>
      <c r="L246">
        <v>0</v>
      </c>
      <c r="M246">
        <v>0</v>
      </c>
      <c r="O246">
        <v>0</v>
      </c>
      <c r="P246">
        <v>0</v>
      </c>
      <c r="Q246">
        <v>0</v>
      </c>
      <c r="R246" s="49"/>
      <c r="T246" t="s">
        <v>2468</v>
      </c>
      <c r="U246" t="s">
        <v>127</v>
      </c>
      <c r="V246" t="s">
        <v>140</v>
      </c>
      <c r="W246">
        <v>30</v>
      </c>
      <c r="X246">
        <v>0</v>
      </c>
      <c r="AA246" t="s">
        <v>141</v>
      </c>
      <c r="AB246" t="s">
        <v>142</v>
      </c>
      <c r="AC246">
        <v>11611</v>
      </c>
      <c r="AD246">
        <v>11612</v>
      </c>
      <c r="AF246">
        <v>1</v>
      </c>
    </row>
    <row r="247" spans="1:32">
      <c r="A247">
        <v>1</v>
      </c>
      <c r="E247" t="s">
        <v>3113</v>
      </c>
      <c r="F247">
        <v>24</v>
      </c>
      <c r="G247" t="s">
        <v>2900</v>
      </c>
      <c r="H247" t="s">
        <v>2961</v>
      </c>
      <c r="I247" t="s">
        <v>2332</v>
      </c>
      <c r="J247" t="s">
        <v>1566</v>
      </c>
      <c r="K247" t="s">
        <v>2852</v>
      </c>
      <c r="L247">
        <v>0</v>
      </c>
      <c r="M247">
        <v>0</v>
      </c>
      <c r="O247">
        <v>0</v>
      </c>
      <c r="P247">
        <v>0</v>
      </c>
      <c r="Q247">
        <v>0</v>
      </c>
      <c r="R247" s="49"/>
      <c r="T247" t="s">
        <v>2468</v>
      </c>
      <c r="U247" t="s">
        <v>127</v>
      </c>
      <c r="V247" t="s">
        <v>140</v>
      </c>
      <c r="W247">
        <v>30</v>
      </c>
      <c r="X247">
        <v>0</v>
      </c>
      <c r="AA247" t="s">
        <v>141</v>
      </c>
      <c r="AB247" t="s">
        <v>142</v>
      </c>
      <c r="AC247">
        <v>11611</v>
      </c>
      <c r="AD247">
        <v>11612</v>
      </c>
      <c r="AF247">
        <v>1</v>
      </c>
    </row>
    <row r="248" spans="1:32">
      <c r="A248">
        <v>1</v>
      </c>
      <c r="E248" t="s">
        <v>3114</v>
      </c>
      <c r="F248">
        <v>36</v>
      </c>
      <c r="G248" t="s">
        <v>2900</v>
      </c>
      <c r="H248" t="s">
        <v>2961</v>
      </c>
      <c r="I248" t="s">
        <v>2205</v>
      </c>
      <c r="J248" t="s">
        <v>1568</v>
      </c>
      <c r="K248" t="s">
        <v>2847</v>
      </c>
      <c r="L248">
        <v>0</v>
      </c>
      <c r="M248">
        <v>0</v>
      </c>
      <c r="O248">
        <v>0</v>
      </c>
      <c r="P248">
        <v>0</v>
      </c>
      <c r="Q248">
        <v>0</v>
      </c>
      <c r="R248" s="49"/>
      <c r="T248" t="s">
        <v>2468</v>
      </c>
      <c r="U248" t="s">
        <v>127</v>
      </c>
      <c r="V248" t="s">
        <v>140</v>
      </c>
      <c r="W248">
        <v>30</v>
      </c>
      <c r="X248">
        <v>0</v>
      </c>
      <c r="AA248" t="s">
        <v>141</v>
      </c>
      <c r="AB248" t="s">
        <v>142</v>
      </c>
      <c r="AC248">
        <v>11611</v>
      </c>
      <c r="AD248">
        <v>11612</v>
      </c>
      <c r="AF248">
        <v>1</v>
      </c>
    </row>
    <row r="249" spans="1:32">
      <c r="A249">
        <v>1</v>
      </c>
      <c r="E249" t="s">
        <v>3115</v>
      </c>
      <c r="F249">
        <v>36</v>
      </c>
      <c r="G249" t="s">
        <v>2900</v>
      </c>
      <c r="H249" t="s">
        <v>2961</v>
      </c>
      <c r="I249" t="s">
        <v>2205</v>
      </c>
      <c r="J249" t="s">
        <v>2718</v>
      </c>
      <c r="K249" t="s">
        <v>2847</v>
      </c>
      <c r="L249">
        <v>0</v>
      </c>
      <c r="M249">
        <v>0</v>
      </c>
      <c r="O249">
        <v>0</v>
      </c>
      <c r="P249">
        <v>0</v>
      </c>
      <c r="Q249">
        <v>0</v>
      </c>
      <c r="R249" s="49"/>
      <c r="T249" t="s">
        <v>2468</v>
      </c>
      <c r="U249" t="s">
        <v>127</v>
      </c>
      <c r="V249" t="s">
        <v>140</v>
      </c>
      <c r="W249">
        <v>30</v>
      </c>
      <c r="X249">
        <v>0</v>
      </c>
      <c r="AA249" t="s">
        <v>141</v>
      </c>
      <c r="AB249" t="s">
        <v>142</v>
      </c>
      <c r="AC249">
        <v>11611</v>
      </c>
      <c r="AD249">
        <v>11612</v>
      </c>
      <c r="AF249">
        <v>1</v>
      </c>
    </row>
    <row r="250" spans="1:32">
      <c r="A250">
        <v>1</v>
      </c>
      <c r="E250" t="s">
        <v>3116</v>
      </c>
      <c r="F250">
        <v>36</v>
      </c>
      <c r="G250" t="s">
        <v>2900</v>
      </c>
      <c r="H250" t="s">
        <v>2961</v>
      </c>
      <c r="I250" t="s">
        <v>2205</v>
      </c>
      <c r="J250" t="s">
        <v>1572</v>
      </c>
      <c r="K250" t="s">
        <v>2847</v>
      </c>
      <c r="L250">
        <v>0</v>
      </c>
      <c r="M250">
        <v>0</v>
      </c>
      <c r="O250">
        <v>0</v>
      </c>
      <c r="P250">
        <v>0</v>
      </c>
      <c r="Q250">
        <v>0</v>
      </c>
      <c r="R250" s="49"/>
      <c r="T250" t="s">
        <v>2468</v>
      </c>
      <c r="U250" t="s">
        <v>127</v>
      </c>
      <c r="V250" t="s">
        <v>140</v>
      </c>
      <c r="W250">
        <v>30</v>
      </c>
      <c r="X250">
        <v>0</v>
      </c>
      <c r="AA250" t="s">
        <v>141</v>
      </c>
      <c r="AB250" t="s">
        <v>142</v>
      </c>
      <c r="AC250">
        <v>11611</v>
      </c>
      <c r="AD250">
        <v>11612</v>
      </c>
      <c r="AF250">
        <v>1</v>
      </c>
    </row>
    <row r="251" spans="1:32">
      <c r="A251">
        <v>1</v>
      </c>
      <c r="E251" t="s">
        <v>3117</v>
      </c>
      <c r="F251">
        <v>36</v>
      </c>
      <c r="G251" t="s">
        <v>2900</v>
      </c>
      <c r="H251" t="s">
        <v>2961</v>
      </c>
      <c r="I251" t="s">
        <v>2205</v>
      </c>
      <c r="J251" t="s">
        <v>2719</v>
      </c>
      <c r="K251" t="s">
        <v>2847</v>
      </c>
      <c r="L251">
        <v>0</v>
      </c>
      <c r="M251">
        <v>0</v>
      </c>
      <c r="O251">
        <v>0</v>
      </c>
      <c r="P251">
        <v>0</v>
      </c>
      <c r="Q251">
        <v>0</v>
      </c>
      <c r="R251" s="49"/>
      <c r="T251" t="s">
        <v>2468</v>
      </c>
      <c r="U251" t="s">
        <v>127</v>
      </c>
      <c r="V251" t="s">
        <v>140</v>
      </c>
      <c r="W251">
        <v>30</v>
      </c>
      <c r="X251">
        <v>0</v>
      </c>
      <c r="AA251" t="s">
        <v>141</v>
      </c>
      <c r="AB251" t="s">
        <v>142</v>
      </c>
      <c r="AC251">
        <v>11611</v>
      </c>
      <c r="AD251">
        <v>11612</v>
      </c>
      <c r="AF251">
        <v>1</v>
      </c>
    </row>
    <row r="252" spans="1:32">
      <c r="A252">
        <v>1</v>
      </c>
      <c r="E252" t="s">
        <v>3118</v>
      </c>
      <c r="F252">
        <v>36</v>
      </c>
      <c r="G252" t="s">
        <v>2900</v>
      </c>
      <c r="H252" t="s">
        <v>2961</v>
      </c>
      <c r="I252" t="s">
        <v>2205</v>
      </c>
      <c r="J252" t="s">
        <v>1576</v>
      </c>
      <c r="K252" t="s">
        <v>2847</v>
      </c>
      <c r="L252">
        <v>0</v>
      </c>
      <c r="M252">
        <v>0</v>
      </c>
      <c r="O252">
        <v>0</v>
      </c>
      <c r="P252">
        <v>0</v>
      </c>
      <c r="Q252">
        <v>0</v>
      </c>
      <c r="R252" s="49"/>
      <c r="T252" t="s">
        <v>2468</v>
      </c>
      <c r="U252" t="s">
        <v>127</v>
      </c>
      <c r="V252" t="s">
        <v>140</v>
      </c>
      <c r="W252">
        <v>30</v>
      </c>
      <c r="X252">
        <v>0</v>
      </c>
      <c r="AA252" t="s">
        <v>141</v>
      </c>
      <c r="AB252" t="s">
        <v>142</v>
      </c>
      <c r="AC252">
        <v>11611</v>
      </c>
      <c r="AD252">
        <v>11612</v>
      </c>
      <c r="AF252">
        <v>1</v>
      </c>
    </row>
    <row r="253" spans="1:32">
      <c r="A253">
        <v>1</v>
      </c>
      <c r="E253" t="s">
        <v>3119</v>
      </c>
      <c r="F253">
        <v>36</v>
      </c>
      <c r="G253" t="s">
        <v>2900</v>
      </c>
      <c r="H253" t="s">
        <v>2961</v>
      </c>
      <c r="I253" t="s">
        <v>2205</v>
      </c>
      <c r="J253" t="s">
        <v>1578</v>
      </c>
      <c r="K253" t="s">
        <v>2847</v>
      </c>
      <c r="L253">
        <v>0</v>
      </c>
      <c r="M253">
        <v>0</v>
      </c>
      <c r="O253">
        <v>0</v>
      </c>
      <c r="P253">
        <v>0</v>
      </c>
      <c r="Q253">
        <v>0</v>
      </c>
      <c r="R253" s="49"/>
      <c r="T253" t="s">
        <v>2468</v>
      </c>
      <c r="U253" t="s">
        <v>127</v>
      </c>
      <c r="V253" t="s">
        <v>140</v>
      </c>
      <c r="W253">
        <v>30</v>
      </c>
      <c r="X253">
        <v>0</v>
      </c>
      <c r="AA253" t="s">
        <v>141</v>
      </c>
      <c r="AB253" t="s">
        <v>142</v>
      </c>
      <c r="AC253">
        <v>11611</v>
      </c>
      <c r="AD253">
        <v>11612</v>
      </c>
      <c r="AF253">
        <v>1</v>
      </c>
    </row>
    <row r="254" spans="1:32">
      <c r="A254">
        <v>1</v>
      </c>
      <c r="E254" t="s">
        <v>3120</v>
      </c>
      <c r="F254">
        <v>36</v>
      </c>
      <c r="G254" t="s">
        <v>2900</v>
      </c>
      <c r="H254" t="s">
        <v>2961</v>
      </c>
      <c r="I254" t="s">
        <v>2205</v>
      </c>
      <c r="J254" t="s">
        <v>2720</v>
      </c>
      <c r="K254" t="s">
        <v>2847</v>
      </c>
      <c r="L254">
        <v>0</v>
      </c>
      <c r="M254">
        <v>0</v>
      </c>
      <c r="O254">
        <v>0</v>
      </c>
      <c r="P254">
        <v>0</v>
      </c>
      <c r="Q254">
        <v>0</v>
      </c>
      <c r="R254" s="49"/>
      <c r="T254" t="s">
        <v>2468</v>
      </c>
      <c r="U254" t="s">
        <v>127</v>
      </c>
      <c r="V254" t="s">
        <v>140</v>
      </c>
      <c r="W254">
        <v>30</v>
      </c>
      <c r="X254">
        <v>0</v>
      </c>
      <c r="AA254" t="s">
        <v>141</v>
      </c>
      <c r="AB254" t="s">
        <v>142</v>
      </c>
      <c r="AC254">
        <v>11611</v>
      </c>
      <c r="AD254">
        <v>11612</v>
      </c>
      <c r="AF254">
        <v>1</v>
      </c>
    </row>
    <row r="255" spans="1:32">
      <c r="A255">
        <v>1</v>
      </c>
      <c r="E255" t="s">
        <v>3121</v>
      </c>
      <c r="F255">
        <v>12</v>
      </c>
      <c r="G255" t="s">
        <v>2900</v>
      </c>
      <c r="H255" t="s">
        <v>2961</v>
      </c>
      <c r="I255" t="s">
        <v>2207</v>
      </c>
      <c r="J255" t="s">
        <v>1582</v>
      </c>
      <c r="K255" t="s">
        <v>2850</v>
      </c>
      <c r="L255">
        <v>0</v>
      </c>
      <c r="M255">
        <v>0</v>
      </c>
      <c r="O255">
        <v>0</v>
      </c>
      <c r="P255">
        <v>0</v>
      </c>
      <c r="Q255">
        <v>0</v>
      </c>
      <c r="R255" s="49"/>
      <c r="T255" t="s">
        <v>2468</v>
      </c>
      <c r="U255" t="s">
        <v>127</v>
      </c>
      <c r="V255" t="s">
        <v>140</v>
      </c>
      <c r="W255">
        <v>50</v>
      </c>
      <c r="X255">
        <v>0</v>
      </c>
      <c r="AA255" t="s">
        <v>141</v>
      </c>
      <c r="AB255" t="s">
        <v>142</v>
      </c>
      <c r="AC255">
        <v>11611</v>
      </c>
      <c r="AD255">
        <v>11612</v>
      </c>
      <c r="AF255">
        <v>1</v>
      </c>
    </row>
    <row r="256" spans="1:32">
      <c r="A256">
        <v>1</v>
      </c>
      <c r="E256" t="s">
        <v>3122</v>
      </c>
      <c r="F256">
        <v>12</v>
      </c>
      <c r="G256" t="s">
        <v>2900</v>
      </c>
      <c r="H256" t="s">
        <v>2961</v>
      </c>
      <c r="I256" t="s">
        <v>2207</v>
      </c>
      <c r="J256" t="s">
        <v>1584</v>
      </c>
      <c r="K256" t="s">
        <v>2850</v>
      </c>
      <c r="L256">
        <v>0</v>
      </c>
      <c r="M256">
        <v>0</v>
      </c>
      <c r="O256">
        <v>0</v>
      </c>
      <c r="P256">
        <v>0</v>
      </c>
      <c r="Q256">
        <v>0</v>
      </c>
      <c r="R256" s="49"/>
      <c r="T256" t="s">
        <v>2468</v>
      </c>
      <c r="U256" t="s">
        <v>127</v>
      </c>
      <c r="V256" t="s">
        <v>140</v>
      </c>
      <c r="W256">
        <v>50</v>
      </c>
      <c r="X256">
        <v>0</v>
      </c>
      <c r="AA256" t="s">
        <v>141</v>
      </c>
      <c r="AB256" t="s">
        <v>142</v>
      </c>
      <c r="AC256">
        <v>11611</v>
      </c>
      <c r="AD256">
        <v>11612</v>
      </c>
      <c r="AF256">
        <v>1</v>
      </c>
    </row>
    <row r="257" spans="1:32">
      <c r="A257">
        <v>1</v>
      </c>
      <c r="E257" t="s">
        <v>3123</v>
      </c>
      <c r="F257">
        <v>12</v>
      </c>
      <c r="G257" t="s">
        <v>2900</v>
      </c>
      <c r="H257" t="s">
        <v>2961</v>
      </c>
      <c r="I257" t="s">
        <v>2207</v>
      </c>
      <c r="J257" t="s">
        <v>1586</v>
      </c>
      <c r="K257" t="s">
        <v>2850</v>
      </c>
      <c r="L257">
        <v>0</v>
      </c>
      <c r="M257">
        <v>0</v>
      </c>
      <c r="O257">
        <v>0</v>
      </c>
      <c r="P257">
        <v>0</v>
      </c>
      <c r="Q257">
        <v>0</v>
      </c>
      <c r="R257" s="49"/>
      <c r="T257" t="s">
        <v>2468</v>
      </c>
      <c r="U257" t="s">
        <v>127</v>
      </c>
      <c r="V257" t="s">
        <v>140</v>
      </c>
      <c r="W257">
        <v>50</v>
      </c>
      <c r="X257">
        <v>0</v>
      </c>
      <c r="AA257" t="s">
        <v>141</v>
      </c>
      <c r="AB257" t="s">
        <v>142</v>
      </c>
      <c r="AC257">
        <v>11611</v>
      </c>
      <c r="AD257">
        <v>11612</v>
      </c>
      <c r="AF257">
        <v>1</v>
      </c>
    </row>
    <row r="258" spans="1:32">
      <c r="A258">
        <v>1</v>
      </c>
      <c r="E258" t="s">
        <v>3124</v>
      </c>
      <c r="F258">
        <v>12</v>
      </c>
      <c r="G258" t="s">
        <v>2900</v>
      </c>
      <c r="H258" t="s">
        <v>2961</v>
      </c>
      <c r="I258" t="s">
        <v>2207</v>
      </c>
      <c r="J258" t="s">
        <v>1588</v>
      </c>
      <c r="K258" t="s">
        <v>2850</v>
      </c>
      <c r="L258">
        <v>0</v>
      </c>
      <c r="M258">
        <v>0</v>
      </c>
      <c r="O258">
        <v>0</v>
      </c>
      <c r="P258">
        <v>0</v>
      </c>
      <c r="Q258">
        <v>0</v>
      </c>
      <c r="R258" s="49"/>
      <c r="T258" t="s">
        <v>2468</v>
      </c>
      <c r="U258" t="s">
        <v>127</v>
      </c>
      <c r="V258" t="s">
        <v>140</v>
      </c>
      <c r="W258">
        <v>50</v>
      </c>
      <c r="X258">
        <v>0</v>
      </c>
      <c r="AA258" t="s">
        <v>141</v>
      </c>
      <c r="AB258" t="s">
        <v>142</v>
      </c>
      <c r="AC258">
        <v>11611</v>
      </c>
      <c r="AD258">
        <v>11612</v>
      </c>
      <c r="AF258">
        <v>1</v>
      </c>
    </row>
    <row r="259" spans="1:32">
      <c r="A259">
        <v>1</v>
      </c>
      <c r="E259" t="s">
        <v>3125</v>
      </c>
      <c r="F259">
        <v>12</v>
      </c>
      <c r="G259" t="s">
        <v>2900</v>
      </c>
      <c r="H259" t="s">
        <v>2961</v>
      </c>
      <c r="I259" t="s">
        <v>2207</v>
      </c>
      <c r="J259" t="s">
        <v>1590</v>
      </c>
      <c r="K259" t="s">
        <v>2850</v>
      </c>
      <c r="L259">
        <v>0</v>
      </c>
      <c r="M259">
        <v>0</v>
      </c>
      <c r="O259">
        <v>0</v>
      </c>
      <c r="P259">
        <v>0</v>
      </c>
      <c r="Q259">
        <v>0</v>
      </c>
      <c r="R259" s="49"/>
      <c r="T259" t="s">
        <v>2468</v>
      </c>
      <c r="U259" t="s">
        <v>127</v>
      </c>
      <c r="V259" t="s">
        <v>140</v>
      </c>
      <c r="W259">
        <v>50</v>
      </c>
      <c r="X259">
        <v>0</v>
      </c>
      <c r="AA259" t="s">
        <v>141</v>
      </c>
      <c r="AB259" t="s">
        <v>142</v>
      </c>
      <c r="AC259">
        <v>11611</v>
      </c>
      <c r="AD259">
        <v>11612</v>
      </c>
      <c r="AF259">
        <v>1</v>
      </c>
    </row>
    <row r="260" spans="1:32">
      <c r="A260">
        <v>1</v>
      </c>
      <c r="E260" t="s">
        <v>3126</v>
      </c>
      <c r="F260">
        <v>12</v>
      </c>
      <c r="G260" t="s">
        <v>2900</v>
      </c>
      <c r="H260" t="s">
        <v>2961</v>
      </c>
      <c r="I260" t="s">
        <v>2207</v>
      </c>
      <c r="J260" t="s">
        <v>1592</v>
      </c>
      <c r="K260" t="s">
        <v>2850</v>
      </c>
      <c r="L260">
        <v>0</v>
      </c>
      <c r="M260">
        <v>0</v>
      </c>
      <c r="O260">
        <v>0</v>
      </c>
      <c r="P260">
        <v>0</v>
      </c>
      <c r="Q260">
        <v>0</v>
      </c>
      <c r="R260" s="49"/>
      <c r="T260" t="s">
        <v>2468</v>
      </c>
      <c r="U260" t="s">
        <v>127</v>
      </c>
      <c r="V260" t="s">
        <v>140</v>
      </c>
      <c r="W260">
        <v>50</v>
      </c>
      <c r="X260">
        <v>0</v>
      </c>
      <c r="AA260" t="s">
        <v>141</v>
      </c>
      <c r="AB260" t="s">
        <v>142</v>
      </c>
      <c r="AC260">
        <v>11611</v>
      </c>
      <c r="AD260">
        <v>11612</v>
      </c>
      <c r="AF260">
        <v>1</v>
      </c>
    </row>
    <row r="261" spans="1:32">
      <c r="A261">
        <v>1</v>
      </c>
      <c r="E261" t="s">
        <v>3127</v>
      </c>
      <c r="F261">
        <v>24</v>
      </c>
      <c r="G261" t="s">
        <v>2900</v>
      </c>
      <c r="H261" t="s">
        <v>2961</v>
      </c>
      <c r="I261" t="s">
        <v>2209</v>
      </c>
      <c r="J261" t="s">
        <v>1594</v>
      </c>
      <c r="K261" t="s">
        <v>2852</v>
      </c>
      <c r="L261">
        <v>0</v>
      </c>
      <c r="M261">
        <v>0</v>
      </c>
      <c r="O261">
        <v>0</v>
      </c>
      <c r="P261">
        <v>0</v>
      </c>
      <c r="Q261">
        <v>0</v>
      </c>
      <c r="R261" s="49"/>
      <c r="T261" t="s">
        <v>2468</v>
      </c>
      <c r="U261" t="s">
        <v>127</v>
      </c>
      <c r="V261" t="s">
        <v>140</v>
      </c>
      <c r="W261">
        <v>50</v>
      </c>
      <c r="X261">
        <v>0</v>
      </c>
      <c r="AA261" t="s">
        <v>141</v>
      </c>
      <c r="AB261" t="s">
        <v>142</v>
      </c>
      <c r="AC261">
        <v>11611</v>
      </c>
      <c r="AD261">
        <v>11612</v>
      </c>
      <c r="AF261">
        <v>1</v>
      </c>
    </row>
    <row r="262" spans="1:32">
      <c r="A262">
        <v>1</v>
      </c>
      <c r="E262" t="s">
        <v>3128</v>
      </c>
      <c r="F262">
        <v>24</v>
      </c>
      <c r="G262" t="s">
        <v>2900</v>
      </c>
      <c r="H262" t="s">
        <v>2961</v>
      </c>
      <c r="I262" t="s">
        <v>2209</v>
      </c>
      <c r="J262" t="s">
        <v>1596</v>
      </c>
      <c r="K262" t="s">
        <v>2852</v>
      </c>
      <c r="L262">
        <v>0</v>
      </c>
      <c r="M262">
        <v>0</v>
      </c>
      <c r="O262">
        <v>0</v>
      </c>
      <c r="P262">
        <v>0</v>
      </c>
      <c r="Q262">
        <v>0</v>
      </c>
      <c r="R262" s="49"/>
      <c r="T262" t="s">
        <v>2468</v>
      </c>
      <c r="U262" t="s">
        <v>127</v>
      </c>
      <c r="V262" t="s">
        <v>140</v>
      </c>
      <c r="W262">
        <v>50</v>
      </c>
      <c r="X262">
        <v>0</v>
      </c>
      <c r="AA262" t="s">
        <v>141</v>
      </c>
      <c r="AB262" t="s">
        <v>142</v>
      </c>
      <c r="AC262">
        <v>11611</v>
      </c>
      <c r="AD262">
        <v>11612</v>
      </c>
      <c r="AF262">
        <v>1</v>
      </c>
    </row>
    <row r="263" spans="1:32">
      <c r="A263">
        <v>1</v>
      </c>
      <c r="E263" t="s">
        <v>3129</v>
      </c>
      <c r="F263">
        <v>24</v>
      </c>
      <c r="G263" t="s">
        <v>2900</v>
      </c>
      <c r="H263" t="s">
        <v>2961</v>
      </c>
      <c r="I263" t="s">
        <v>2209</v>
      </c>
      <c r="J263" t="s">
        <v>1598</v>
      </c>
      <c r="K263" t="s">
        <v>2852</v>
      </c>
      <c r="L263">
        <v>0</v>
      </c>
      <c r="M263">
        <v>0</v>
      </c>
      <c r="O263">
        <v>0</v>
      </c>
      <c r="P263">
        <v>0</v>
      </c>
      <c r="Q263">
        <v>0</v>
      </c>
      <c r="R263" s="49"/>
      <c r="T263" t="s">
        <v>2468</v>
      </c>
      <c r="U263" t="s">
        <v>127</v>
      </c>
      <c r="V263" t="s">
        <v>140</v>
      </c>
      <c r="W263">
        <v>50</v>
      </c>
      <c r="X263">
        <v>0</v>
      </c>
      <c r="AA263" t="s">
        <v>141</v>
      </c>
      <c r="AB263" t="s">
        <v>142</v>
      </c>
      <c r="AC263">
        <v>11611</v>
      </c>
      <c r="AD263">
        <v>11612</v>
      </c>
      <c r="AF263">
        <v>1</v>
      </c>
    </row>
    <row r="264" spans="1:32">
      <c r="A264">
        <v>1</v>
      </c>
      <c r="E264" t="s">
        <v>3130</v>
      </c>
      <c r="F264">
        <v>36</v>
      </c>
      <c r="G264" t="s">
        <v>2900</v>
      </c>
      <c r="H264" t="s">
        <v>2961</v>
      </c>
      <c r="I264" t="s">
        <v>2203</v>
      </c>
      <c r="J264" t="s">
        <v>1600</v>
      </c>
      <c r="K264" t="s">
        <v>2847</v>
      </c>
      <c r="L264">
        <v>0</v>
      </c>
      <c r="M264">
        <v>0</v>
      </c>
      <c r="O264">
        <v>0</v>
      </c>
      <c r="P264">
        <v>0</v>
      </c>
      <c r="Q264">
        <v>0</v>
      </c>
      <c r="R264" s="49"/>
      <c r="T264" t="s">
        <v>2468</v>
      </c>
      <c r="U264" t="s">
        <v>127</v>
      </c>
      <c r="V264" t="s">
        <v>140</v>
      </c>
      <c r="W264">
        <v>50</v>
      </c>
      <c r="X264">
        <v>0</v>
      </c>
      <c r="AA264" t="s">
        <v>141</v>
      </c>
      <c r="AB264" t="s">
        <v>142</v>
      </c>
      <c r="AC264">
        <v>11611</v>
      </c>
      <c r="AD264">
        <v>11612</v>
      </c>
      <c r="AF264">
        <v>1</v>
      </c>
    </row>
    <row r="265" spans="1:32">
      <c r="A265">
        <v>1</v>
      </c>
      <c r="E265" t="s">
        <v>3131</v>
      </c>
      <c r="F265">
        <v>36</v>
      </c>
      <c r="G265" t="s">
        <v>2900</v>
      </c>
      <c r="H265" t="s">
        <v>2961</v>
      </c>
      <c r="I265" t="s">
        <v>2203</v>
      </c>
      <c r="J265" t="s">
        <v>1602</v>
      </c>
      <c r="K265" t="s">
        <v>2847</v>
      </c>
      <c r="L265">
        <v>0</v>
      </c>
      <c r="M265">
        <v>0</v>
      </c>
      <c r="O265">
        <v>0</v>
      </c>
      <c r="P265">
        <v>0</v>
      </c>
      <c r="Q265">
        <v>0</v>
      </c>
      <c r="R265" s="49"/>
      <c r="T265" t="s">
        <v>2468</v>
      </c>
      <c r="U265" t="s">
        <v>127</v>
      </c>
      <c r="V265" t="s">
        <v>140</v>
      </c>
      <c r="W265">
        <v>100</v>
      </c>
      <c r="X265">
        <v>0</v>
      </c>
      <c r="AA265" t="s">
        <v>141</v>
      </c>
      <c r="AB265" t="s">
        <v>142</v>
      </c>
      <c r="AC265">
        <v>11611</v>
      </c>
      <c r="AD265">
        <v>11612</v>
      </c>
      <c r="AF265">
        <v>1</v>
      </c>
    </row>
    <row r="266" spans="1:32">
      <c r="A266">
        <v>1</v>
      </c>
      <c r="E266" t="s">
        <v>3132</v>
      </c>
      <c r="F266">
        <v>12</v>
      </c>
      <c r="G266" t="s">
        <v>2900</v>
      </c>
      <c r="H266" t="s">
        <v>2961</v>
      </c>
      <c r="I266" t="s">
        <v>2203</v>
      </c>
      <c r="J266" t="s">
        <v>1604</v>
      </c>
      <c r="K266" t="s">
        <v>2850</v>
      </c>
      <c r="L266">
        <v>0</v>
      </c>
      <c r="M266">
        <v>0</v>
      </c>
      <c r="O266">
        <v>0</v>
      </c>
      <c r="P266">
        <v>0</v>
      </c>
      <c r="Q266">
        <v>0</v>
      </c>
      <c r="R266" s="49"/>
      <c r="T266" t="s">
        <v>2468</v>
      </c>
      <c r="U266" t="s">
        <v>127</v>
      </c>
      <c r="V266" t="s">
        <v>140</v>
      </c>
      <c r="W266">
        <v>500</v>
      </c>
      <c r="X266">
        <v>0</v>
      </c>
      <c r="AA266" t="s">
        <v>141</v>
      </c>
      <c r="AB266" t="s">
        <v>142</v>
      </c>
      <c r="AC266">
        <v>11611</v>
      </c>
      <c r="AD266">
        <v>11612</v>
      </c>
      <c r="AF266">
        <v>1</v>
      </c>
    </row>
    <row r="267" spans="1:32">
      <c r="A267">
        <v>1</v>
      </c>
      <c r="E267" t="s">
        <v>3133</v>
      </c>
      <c r="F267">
        <v>4</v>
      </c>
      <c r="G267" t="s">
        <v>2900</v>
      </c>
      <c r="H267" t="s">
        <v>2961</v>
      </c>
      <c r="I267" t="s">
        <v>2203</v>
      </c>
      <c r="J267" t="s">
        <v>2721</v>
      </c>
      <c r="K267" t="s">
        <v>2855</v>
      </c>
      <c r="L267">
        <v>0</v>
      </c>
      <c r="M267">
        <v>0</v>
      </c>
      <c r="O267">
        <v>0</v>
      </c>
      <c r="P267">
        <v>0</v>
      </c>
      <c r="Q267">
        <v>0</v>
      </c>
      <c r="R267" s="49"/>
      <c r="T267" t="s">
        <v>2468</v>
      </c>
      <c r="U267" t="s">
        <v>127</v>
      </c>
      <c r="V267" t="s">
        <v>140</v>
      </c>
      <c r="W267">
        <v>1004</v>
      </c>
      <c r="X267">
        <v>0</v>
      </c>
      <c r="AA267" t="s">
        <v>141</v>
      </c>
      <c r="AB267" t="s">
        <v>142</v>
      </c>
      <c r="AC267">
        <v>11611</v>
      </c>
      <c r="AD267">
        <v>11612</v>
      </c>
      <c r="AF267">
        <v>1</v>
      </c>
    </row>
    <row r="268" spans="1:32">
      <c r="A268">
        <v>1</v>
      </c>
      <c r="E268" t="s">
        <v>3134</v>
      </c>
      <c r="F268">
        <v>72</v>
      </c>
      <c r="G268" t="s">
        <v>2900</v>
      </c>
      <c r="H268" t="s">
        <v>2961</v>
      </c>
      <c r="I268" t="s">
        <v>2197</v>
      </c>
      <c r="J268" t="s">
        <v>1608</v>
      </c>
      <c r="K268" t="s">
        <v>2846</v>
      </c>
      <c r="L268">
        <v>0</v>
      </c>
      <c r="M268">
        <v>0</v>
      </c>
      <c r="O268">
        <v>0</v>
      </c>
      <c r="P268">
        <v>0</v>
      </c>
      <c r="Q268">
        <v>0</v>
      </c>
      <c r="R268" s="49"/>
      <c r="T268" t="s">
        <v>2468</v>
      </c>
      <c r="U268" t="s">
        <v>127</v>
      </c>
      <c r="V268" t="s">
        <v>140</v>
      </c>
      <c r="W268">
        <v>18</v>
      </c>
      <c r="X268">
        <v>0</v>
      </c>
      <c r="AA268" t="s">
        <v>141</v>
      </c>
      <c r="AB268" t="s">
        <v>142</v>
      </c>
      <c r="AC268">
        <v>11611</v>
      </c>
      <c r="AD268">
        <v>11612</v>
      </c>
      <c r="AF268">
        <v>1</v>
      </c>
    </row>
    <row r="269" spans="1:32">
      <c r="A269">
        <v>1</v>
      </c>
      <c r="E269" t="s">
        <v>3135</v>
      </c>
      <c r="F269">
        <v>36</v>
      </c>
      <c r="G269" t="s">
        <v>2900</v>
      </c>
      <c r="H269" t="s">
        <v>2961</v>
      </c>
      <c r="I269" t="s">
        <v>2197</v>
      </c>
      <c r="J269" t="s">
        <v>1610</v>
      </c>
      <c r="K269" t="s">
        <v>2847</v>
      </c>
      <c r="L269">
        <v>0</v>
      </c>
      <c r="M269">
        <v>0</v>
      </c>
      <c r="O269">
        <v>0</v>
      </c>
      <c r="P269">
        <v>0</v>
      </c>
      <c r="Q269">
        <v>0</v>
      </c>
      <c r="R269" s="49"/>
      <c r="T269" t="s">
        <v>2468</v>
      </c>
      <c r="U269" t="s">
        <v>127</v>
      </c>
      <c r="V269" t="s">
        <v>140</v>
      </c>
      <c r="W269">
        <v>60</v>
      </c>
      <c r="X269">
        <v>0</v>
      </c>
      <c r="AA269" t="s">
        <v>141</v>
      </c>
      <c r="AB269" t="s">
        <v>142</v>
      </c>
      <c r="AC269">
        <v>11611</v>
      </c>
      <c r="AD269">
        <v>11612</v>
      </c>
      <c r="AF269">
        <v>1</v>
      </c>
    </row>
    <row r="270" spans="1:32">
      <c r="A270">
        <v>1</v>
      </c>
      <c r="E270" t="s">
        <v>3136</v>
      </c>
      <c r="F270">
        <v>24</v>
      </c>
      <c r="G270" t="s">
        <v>2900</v>
      </c>
      <c r="H270" t="s">
        <v>2961</v>
      </c>
      <c r="I270" t="s">
        <v>2197</v>
      </c>
      <c r="J270" t="s">
        <v>1612</v>
      </c>
      <c r="K270" t="s">
        <v>2852</v>
      </c>
      <c r="L270">
        <v>0</v>
      </c>
      <c r="M270">
        <v>0</v>
      </c>
      <c r="O270">
        <v>0</v>
      </c>
      <c r="P270">
        <v>0</v>
      </c>
      <c r="Q270">
        <v>0</v>
      </c>
      <c r="R270" s="49"/>
      <c r="T270" t="s">
        <v>2468</v>
      </c>
      <c r="U270" t="s">
        <v>127</v>
      </c>
      <c r="V270" t="s">
        <v>140</v>
      </c>
      <c r="W270">
        <v>100</v>
      </c>
      <c r="X270">
        <v>0</v>
      </c>
      <c r="AA270" t="s">
        <v>141</v>
      </c>
      <c r="AB270" t="s">
        <v>142</v>
      </c>
      <c r="AC270">
        <v>11611</v>
      </c>
      <c r="AD270">
        <v>11612</v>
      </c>
      <c r="AF270">
        <v>1</v>
      </c>
    </row>
    <row r="271" spans="1:32">
      <c r="A271">
        <v>1</v>
      </c>
      <c r="E271" t="s">
        <v>3137</v>
      </c>
      <c r="F271">
        <v>4</v>
      </c>
      <c r="G271" t="s">
        <v>2900</v>
      </c>
      <c r="H271" t="s">
        <v>2961</v>
      </c>
      <c r="I271" t="s">
        <v>2197</v>
      </c>
      <c r="J271" t="s">
        <v>2722</v>
      </c>
      <c r="K271" t="s">
        <v>2855</v>
      </c>
      <c r="L271">
        <v>0</v>
      </c>
      <c r="M271">
        <v>0</v>
      </c>
      <c r="O271">
        <v>0</v>
      </c>
      <c r="P271">
        <v>0</v>
      </c>
      <c r="Q271">
        <v>0</v>
      </c>
      <c r="R271" s="49"/>
      <c r="T271" t="s">
        <v>2468</v>
      </c>
      <c r="U271" t="s">
        <v>127</v>
      </c>
      <c r="V271" t="s">
        <v>140</v>
      </c>
      <c r="W271">
        <v>1004</v>
      </c>
      <c r="X271">
        <v>0</v>
      </c>
      <c r="AA271" t="s">
        <v>141</v>
      </c>
      <c r="AB271" t="s">
        <v>142</v>
      </c>
      <c r="AC271">
        <v>11611</v>
      </c>
      <c r="AD271">
        <v>11612</v>
      </c>
      <c r="AF271">
        <v>1</v>
      </c>
    </row>
    <row r="272" spans="1:32">
      <c r="A272">
        <v>1</v>
      </c>
      <c r="E272" t="s">
        <v>3138</v>
      </c>
      <c r="F272">
        <v>60</v>
      </c>
      <c r="G272" t="s">
        <v>2900</v>
      </c>
      <c r="H272" t="s">
        <v>2961</v>
      </c>
      <c r="I272" t="s">
        <v>2199</v>
      </c>
      <c r="J272" t="s">
        <v>1616</v>
      </c>
      <c r="K272" t="s">
        <v>2856</v>
      </c>
      <c r="L272">
        <v>0</v>
      </c>
      <c r="M272">
        <v>0</v>
      </c>
      <c r="O272">
        <v>0</v>
      </c>
      <c r="P272">
        <v>0</v>
      </c>
      <c r="Q272">
        <v>0</v>
      </c>
      <c r="R272" s="49"/>
      <c r="T272" t="s">
        <v>2468</v>
      </c>
      <c r="U272" t="s">
        <v>127</v>
      </c>
      <c r="V272" t="s">
        <v>140</v>
      </c>
      <c r="W272">
        <v>0</v>
      </c>
      <c r="X272">
        <v>0</v>
      </c>
      <c r="AA272" t="s">
        <v>141</v>
      </c>
      <c r="AB272" t="s">
        <v>142</v>
      </c>
      <c r="AC272">
        <v>11611</v>
      </c>
      <c r="AD272">
        <v>11612</v>
      </c>
      <c r="AF272">
        <v>1</v>
      </c>
    </row>
    <row r="273" spans="1:32">
      <c r="A273">
        <v>1</v>
      </c>
      <c r="E273" t="s">
        <v>3139</v>
      </c>
      <c r="F273">
        <v>36</v>
      </c>
      <c r="G273" t="s">
        <v>2900</v>
      </c>
      <c r="H273" t="s">
        <v>2961</v>
      </c>
      <c r="I273" t="s">
        <v>2201</v>
      </c>
      <c r="J273" t="s">
        <v>1618</v>
      </c>
      <c r="K273" t="s">
        <v>2847</v>
      </c>
      <c r="L273">
        <v>0</v>
      </c>
      <c r="M273">
        <v>0</v>
      </c>
      <c r="O273">
        <v>0</v>
      </c>
      <c r="P273">
        <v>0</v>
      </c>
      <c r="Q273">
        <v>0</v>
      </c>
      <c r="R273" s="49"/>
      <c r="T273" t="s">
        <v>2468</v>
      </c>
      <c r="U273" t="s">
        <v>127</v>
      </c>
      <c r="V273" t="s">
        <v>140</v>
      </c>
      <c r="W273">
        <v>75</v>
      </c>
      <c r="X273">
        <v>0</v>
      </c>
      <c r="AA273" t="s">
        <v>141</v>
      </c>
      <c r="AB273" t="s">
        <v>142</v>
      </c>
      <c r="AC273">
        <v>11611</v>
      </c>
      <c r="AD273">
        <v>11612</v>
      </c>
      <c r="AF273">
        <v>1</v>
      </c>
    </row>
    <row r="274" spans="1:32">
      <c r="A274">
        <v>1</v>
      </c>
      <c r="E274" t="s">
        <v>3140</v>
      </c>
      <c r="F274">
        <v>36</v>
      </c>
      <c r="G274" t="s">
        <v>2900</v>
      </c>
      <c r="H274" t="s">
        <v>2961</v>
      </c>
      <c r="I274" t="s">
        <v>2201</v>
      </c>
      <c r="J274" t="s">
        <v>1620</v>
      </c>
      <c r="K274" t="s">
        <v>2847</v>
      </c>
      <c r="L274">
        <v>0</v>
      </c>
      <c r="M274">
        <v>0</v>
      </c>
      <c r="O274">
        <v>0</v>
      </c>
      <c r="P274">
        <v>0</v>
      </c>
      <c r="Q274">
        <v>0</v>
      </c>
      <c r="R274" s="49"/>
      <c r="T274" t="s">
        <v>2468</v>
      </c>
      <c r="U274" t="s">
        <v>127</v>
      </c>
      <c r="V274" t="s">
        <v>140</v>
      </c>
      <c r="W274">
        <v>150</v>
      </c>
      <c r="X274">
        <v>0</v>
      </c>
      <c r="AA274" t="s">
        <v>141</v>
      </c>
      <c r="AB274" t="s">
        <v>142</v>
      </c>
      <c r="AC274">
        <v>11611</v>
      </c>
      <c r="AD274">
        <v>11612</v>
      </c>
      <c r="AF274">
        <v>1</v>
      </c>
    </row>
    <row r="275" spans="1:32">
      <c r="A275">
        <v>1</v>
      </c>
      <c r="E275" t="s">
        <v>3141</v>
      </c>
      <c r="F275">
        <v>36</v>
      </c>
      <c r="G275" t="s">
        <v>2900</v>
      </c>
      <c r="H275" t="s">
        <v>2961</v>
      </c>
      <c r="I275" t="s">
        <v>2201</v>
      </c>
      <c r="J275" t="s">
        <v>1622</v>
      </c>
      <c r="K275" t="s">
        <v>2847</v>
      </c>
      <c r="L275">
        <v>0</v>
      </c>
      <c r="M275">
        <v>0</v>
      </c>
      <c r="O275">
        <v>0</v>
      </c>
      <c r="P275">
        <v>0</v>
      </c>
      <c r="Q275">
        <v>0</v>
      </c>
      <c r="R275" s="49"/>
      <c r="T275" t="s">
        <v>2468</v>
      </c>
      <c r="U275" t="s">
        <v>127</v>
      </c>
      <c r="V275" t="s">
        <v>140</v>
      </c>
      <c r="W275">
        <v>75</v>
      </c>
      <c r="X275">
        <v>0</v>
      </c>
      <c r="AA275" t="s">
        <v>141</v>
      </c>
      <c r="AB275" t="s">
        <v>142</v>
      </c>
      <c r="AC275">
        <v>11611</v>
      </c>
      <c r="AD275">
        <v>11612</v>
      </c>
      <c r="AF275">
        <v>1</v>
      </c>
    </row>
    <row r="276" spans="1:32">
      <c r="A276">
        <v>1</v>
      </c>
      <c r="E276" t="s">
        <v>3142</v>
      </c>
      <c r="F276">
        <v>36</v>
      </c>
      <c r="G276" t="s">
        <v>2900</v>
      </c>
      <c r="H276" t="s">
        <v>2961</v>
      </c>
      <c r="I276" t="s">
        <v>2201</v>
      </c>
      <c r="J276" t="s">
        <v>1624</v>
      </c>
      <c r="K276" t="s">
        <v>2847</v>
      </c>
      <c r="L276">
        <v>0</v>
      </c>
      <c r="M276">
        <v>0</v>
      </c>
      <c r="O276">
        <v>0</v>
      </c>
      <c r="P276">
        <v>0</v>
      </c>
      <c r="Q276">
        <v>0</v>
      </c>
      <c r="R276" s="49"/>
      <c r="T276" t="s">
        <v>2468</v>
      </c>
      <c r="U276" t="s">
        <v>127</v>
      </c>
      <c r="V276" t="s">
        <v>140</v>
      </c>
      <c r="W276">
        <v>150</v>
      </c>
      <c r="X276">
        <v>0</v>
      </c>
      <c r="AA276" t="s">
        <v>141</v>
      </c>
      <c r="AB276" t="s">
        <v>142</v>
      </c>
      <c r="AC276">
        <v>11611</v>
      </c>
      <c r="AD276">
        <v>11612</v>
      </c>
      <c r="AF276">
        <v>1</v>
      </c>
    </row>
    <row r="277" spans="1:32">
      <c r="A277">
        <v>1</v>
      </c>
      <c r="E277" t="s">
        <v>3143</v>
      </c>
      <c r="F277">
        <v>36</v>
      </c>
      <c r="G277" t="s">
        <v>2900</v>
      </c>
      <c r="H277" t="s">
        <v>2961</v>
      </c>
      <c r="I277" t="s">
        <v>2201</v>
      </c>
      <c r="J277" t="s">
        <v>1626</v>
      </c>
      <c r="K277" t="s">
        <v>2847</v>
      </c>
      <c r="L277">
        <v>0</v>
      </c>
      <c r="M277">
        <v>0</v>
      </c>
      <c r="O277">
        <v>0</v>
      </c>
      <c r="P277">
        <v>0</v>
      </c>
      <c r="Q277">
        <v>0</v>
      </c>
      <c r="R277" s="49"/>
      <c r="T277" t="s">
        <v>2468</v>
      </c>
      <c r="U277" t="s">
        <v>127</v>
      </c>
      <c r="V277" t="s">
        <v>140</v>
      </c>
      <c r="W277">
        <v>75</v>
      </c>
      <c r="X277">
        <v>0</v>
      </c>
      <c r="AA277" t="s">
        <v>141</v>
      </c>
      <c r="AB277" t="s">
        <v>142</v>
      </c>
      <c r="AC277">
        <v>11611</v>
      </c>
      <c r="AD277">
        <v>11612</v>
      </c>
      <c r="AF277">
        <v>1</v>
      </c>
    </row>
    <row r="278" spans="1:32">
      <c r="A278">
        <v>1</v>
      </c>
      <c r="E278" t="s">
        <v>3144</v>
      </c>
      <c r="F278">
        <v>36</v>
      </c>
      <c r="G278" t="s">
        <v>2900</v>
      </c>
      <c r="H278" t="s">
        <v>2961</v>
      </c>
      <c r="I278" t="s">
        <v>2201</v>
      </c>
      <c r="J278" t="s">
        <v>1628</v>
      </c>
      <c r="K278" t="s">
        <v>2847</v>
      </c>
      <c r="L278">
        <v>0</v>
      </c>
      <c r="M278">
        <v>0</v>
      </c>
      <c r="O278">
        <v>0</v>
      </c>
      <c r="P278">
        <v>0</v>
      </c>
      <c r="Q278">
        <v>0</v>
      </c>
      <c r="R278" s="49"/>
      <c r="T278" t="s">
        <v>2468</v>
      </c>
      <c r="U278" t="s">
        <v>127</v>
      </c>
      <c r="V278" t="s">
        <v>140</v>
      </c>
      <c r="W278">
        <v>150</v>
      </c>
      <c r="X278">
        <v>0</v>
      </c>
      <c r="AA278" t="s">
        <v>141</v>
      </c>
      <c r="AB278" t="s">
        <v>142</v>
      </c>
      <c r="AC278">
        <v>11611</v>
      </c>
      <c r="AD278">
        <v>11612</v>
      </c>
      <c r="AF278">
        <v>1</v>
      </c>
    </row>
    <row r="279" spans="1:32">
      <c r="A279">
        <v>1</v>
      </c>
      <c r="E279" t="s">
        <v>3145</v>
      </c>
      <c r="F279">
        <v>36</v>
      </c>
      <c r="G279" t="s">
        <v>2900</v>
      </c>
      <c r="H279" t="s">
        <v>2961</v>
      </c>
      <c r="I279" t="s">
        <v>2201</v>
      </c>
      <c r="J279" t="s">
        <v>1630</v>
      </c>
      <c r="K279" t="s">
        <v>2847</v>
      </c>
      <c r="L279">
        <v>0</v>
      </c>
      <c r="M279">
        <v>0</v>
      </c>
      <c r="O279">
        <v>0</v>
      </c>
      <c r="P279">
        <v>0</v>
      </c>
      <c r="Q279">
        <v>0</v>
      </c>
      <c r="R279" s="49"/>
      <c r="T279" t="s">
        <v>2468</v>
      </c>
      <c r="U279" t="s">
        <v>127</v>
      </c>
      <c r="V279" t="s">
        <v>140</v>
      </c>
      <c r="W279">
        <v>75</v>
      </c>
      <c r="X279">
        <v>0</v>
      </c>
      <c r="AA279" t="s">
        <v>141</v>
      </c>
      <c r="AB279" t="s">
        <v>142</v>
      </c>
      <c r="AC279">
        <v>11611</v>
      </c>
      <c r="AD279">
        <v>11612</v>
      </c>
      <c r="AF279">
        <v>1</v>
      </c>
    </row>
    <row r="280" spans="1:32">
      <c r="A280">
        <v>1</v>
      </c>
      <c r="E280" t="s">
        <v>3146</v>
      </c>
      <c r="F280">
        <v>36</v>
      </c>
      <c r="G280" t="s">
        <v>2900</v>
      </c>
      <c r="H280" t="s">
        <v>2961</v>
      </c>
      <c r="I280" t="s">
        <v>2201</v>
      </c>
      <c r="J280" t="s">
        <v>1632</v>
      </c>
      <c r="K280" t="s">
        <v>2847</v>
      </c>
      <c r="L280">
        <v>0</v>
      </c>
      <c r="M280">
        <v>0</v>
      </c>
      <c r="O280">
        <v>0</v>
      </c>
      <c r="P280">
        <v>0</v>
      </c>
      <c r="Q280">
        <v>0</v>
      </c>
      <c r="R280" s="49"/>
      <c r="T280" t="s">
        <v>2468</v>
      </c>
      <c r="U280" t="s">
        <v>127</v>
      </c>
      <c r="V280" t="s">
        <v>140</v>
      </c>
      <c r="W280">
        <v>150</v>
      </c>
      <c r="X280">
        <v>0</v>
      </c>
      <c r="AA280" t="s">
        <v>141</v>
      </c>
      <c r="AB280" t="s">
        <v>142</v>
      </c>
      <c r="AC280">
        <v>11611</v>
      </c>
      <c r="AD280">
        <v>11612</v>
      </c>
      <c r="AF280">
        <v>1</v>
      </c>
    </row>
    <row r="281" spans="1:32">
      <c r="A281">
        <v>1</v>
      </c>
      <c r="E281" t="s">
        <v>3147</v>
      </c>
      <c r="F281">
        <v>36</v>
      </c>
      <c r="G281" t="s">
        <v>2900</v>
      </c>
      <c r="H281" t="s">
        <v>2961</v>
      </c>
      <c r="I281" t="s">
        <v>2201</v>
      </c>
      <c r="J281" t="s">
        <v>2723</v>
      </c>
      <c r="K281" t="s">
        <v>2847</v>
      </c>
      <c r="L281">
        <v>0</v>
      </c>
      <c r="M281">
        <v>0</v>
      </c>
      <c r="O281">
        <v>0</v>
      </c>
      <c r="P281">
        <v>0</v>
      </c>
      <c r="Q281">
        <v>0</v>
      </c>
      <c r="R281" s="49"/>
      <c r="T281" t="s">
        <v>2468</v>
      </c>
      <c r="U281" t="s">
        <v>127</v>
      </c>
      <c r="V281" t="s">
        <v>140</v>
      </c>
      <c r="W281">
        <v>75</v>
      </c>
      <c r="X281">
        <v>0</v>
      </c>
      <c r="AA281" t="s">
        <v>141</v>
      </c>
      <c r="AB281" t="s">
        <v>142</v>
      </c>
      <c r="AC281">
        <v>11611</v>
      </c>
      <c r="AD281">
        <v>11612</v>
      </c>
      <c r="AF281">
        <v>1</v>
      </c>
    </row>
    <row r="282" spans="1:32">
      <c r="A282">
        <v>1</v>
      </c>
      <c r="E282" t="s">
        <v>3148</v>
      </c>
      <c r="F282">
        <v>36</v>
      </c>
      <c r="G282" t="s">
        <v>2900</v>
      </c>
      <c r="H282" t="s">
        <v>2961</v>
      </c>
      <c r="I282" t="s">
        <v>2201</v>
      </c>
      <c r="J282" t="s">
        <v>1636</v>
      </c>
      <c r="K282" t="s">
        <v>2847</v>
      </c>
      <c r="L282">
        <v>0</v>
      </c>
      <c r="M282">
        <v>0</v>
      </c>
      <c r="O282">
        <v>0</v>
      </c>
      <c r="P282">
        <v>0</v>
      </c>
      <c r="Q282">
        <v>0</v>
      </c>
      <c r="R282" s="49"/>
      <c r="T282" t="s">
        <v>2468</v>
      </c>
      <c r="U282" t="s">
        <v>127</v>
      </c>
      <c r="V282" t="s">
        <v>140</v>
      </c>
      <c r="W282">
        <v>150</v>
      </c>
      <c r="X282">
        <v>0</v>
      </c>
      <c r="AA282" t="s">
        <v>141</v>
      </c>
      <c r="AB282" t="s">
        <v>142</v>
      </c>
      <c r="AC282">
        <v>11611</v>
      </c>
      <c r="AD282">
        <v>11612</v>
      </c>
      <c r="AF282">
        <v>1</v>
      </c>
    </row>
    <row r="283" spans="1:32">
      <c r="A283">
        <v>1</v>
      </c>
      <c r="E283" t="s">
        <v>3149</v>
      </c>
      <c r="F283">
        <v>36</v>
      </c>
      <c r="G283" t="s">
        <v>2900</v>
      </c>
      <c r="H283" t="s">
        <v>2961</v>
      </c>
      <c r="I283" t="s">
        <v>2201</v>
      </c>
      <c r="J283" t="s">
        <v>1638</v>
      </c>
      <c r="K283" t="s">
        <v>2847</v>
      </c>
      <c r="L283">
        <v>0</v>
      </c>
      <c r="M283">
        <v>0</v>
      </c>
      <c r="O283">
        <v>0</v>
      </c>
      <c r="P283">
        <v>0</v>
      </c>
      <c r="Q283">
        <v>0</v>
      </c>
      <c r="R283" s="49"/>
      <c r="T283" t="s">
        <v>2468</v>
      </c>
      <c r="U283" t="s">
        <v>127</v>
      </c>
      <c r="V283" t="s">
        <v>140</v>
      </c>
      <c r="W283">
        <v>75</v>
      </c>
      <c r="X283">
        <v>0</v>
      </c>
      <c r="AA283" t="s">
        <v>141</v>
      </c>
      <c r="AB283" t="s">
        <v>142</v>
      </c>
      <c r="AC283">
        <v>11611</v>
      </c>
      <c r="AD283">
        <v>11612</v>
      </c>
      <c r="AF283">
        <v>1</v>
      </c>
    </row>
    <row r="284" spans="1:32">
      <c r="A284">
        <v>1</v>
      </c>
      <c r="E284" t="s">
        <v>3150</v>
      </c>
      <c r="F284">
        <v>36</v>
      </c>
      <c r="G284" t="s">
        <v>2900</v>
      </c>
      <c r="H284" t="s">
        <v>2961</v>
      </c>
      <c r="I284" t="s">
        <v>2201</v>
      </c>
      <c r="J284" t="s">
        <v>1640</v>
      </c>
      <c r="K284" t="s">
        <v>2847</v>
      </c>
      <c r="L284">
        <v>0</v>
      </c>
      <c r="M284">
        <v>0</v>
      </c>
      <c r="O284">
        <v>0</v>
      </c>
      <c r="P284">
        <v>0</v>
      </c>
      <c r="Q284">
        <v>0</v>
      </c>
      <c r="R284" s="49"/>
      <c r="T284" t="s">
        <v>2468</v>
      </c>
      <c r="U284" t="s">
        <v>127</v>
      </c>
      <c r="V284" t="s">
        <v>140</v>
      </c>
      <c r="W284">
        <v>150</v>
      </c>
      <c r="X284">
        <v>0</v>
      </c>
      <c r="AA284" t="s">
        <v>141</v>
      </c>
      <c r="AB284" t="s">
        <v>142</v>
      </c>
      <c r="AC284">
        <v>11611</v>
      </c>
      <c r="AD284">
        <v>11612</v>
      </c>
      <c r="AF284">
        <v>1</v>
      </c>
    </row>
    <row r="285" spans="1:32">
      <c r="A285">
        <v>1</v>
      </c>
      <c r="E285" t="s">
        <v>3151</v>
      </c>
      <c r="F285">
        <v>36</v>
      </c>
      <c r="G285" t="s">
        <v>2900</v>
      </c>
      <c r="H285" t="s">
        <v>2961</v>
      </c>
      <c r="I285" t="s">
        <v>2201</v>
      </c>
      <c r="J285" t="s">
        <v>2724</v>
      </c>
      <c r="K285" t="s">
        <v>2847</v>
      </c>
      <c r="L285">
        <v>0</v>
      </c>
      <c r="M285">
        <v>0</v>
      </c>
      <c r="O285">
        <v>0</v>
      </c>
      <c r="P285">
        <v>0</v>
      </c>
      <c r="Q285">
        <v>0</v>
      </c>
      <c r="R285" s="49"/>
      <c r="T285" t="s">
        <v>2468</v>
      </c>
      <c r="U285" t="s">
        <v>127</v>
      </c>
      <c r="V285" t="s">
        <v>140</v>
      </c>
      <c r="W285">
        <v>75</v>
      </c>
      <c r="X285">
        <v>0</v>
      </c>
      <c r="AA285" t="s">
        <v>141</v>
      </c>
      <c r="AB285" t="s">
        <v>142</v>
      </c>
      <c r="AC285">
        <v>11611</v>
      </c>
      <c r="AD285">
        <v>11612</v>
      </c>
      <c r="AF285">
        <v>1</v>
      </c>
    </row>
    <row r="286" spans="1:32">
      <c r="A286">
        <v>1</v>
      </c>
      <c r="E286" t="s">
        <v>3152</v>
      </c>
      <c r="F286">
        <v>36</v>
      </c>
      <c r="G286" t="s">
        <v>2900</v>
      </c>
      <c r="H286" t="s">
        <v>2961</v>
      </c>
      <c r="I286" t="s">
        <v>2201</v>
      </c>
      <c r="J286" t="s">
        <v>1644</v>
      </c>
      <c r="K286" t="s">
        <v>2847</v>
      </c>
      <c r="L286">
        <v>0</v>
      </c>
      <c r="M286">
        <v>0</v>
      </c>
      <c r="O286">
        <v>0</v>
      </c>
      <c r="P286">
        <v>0</v>
      </c>
      <c r="Q286">
        <v>0</v>
      </c>
      <c r="R286" s="49"/>
      <c r="T286" t="s">
        <v>2468</v>
      </c>
      <c r="U286" t="s">
        <v>127</v>
      </c>
      <c r="V286" t="s">
        <v>140</v>
      </c>
      <c r="W286">
        <v>150</v>
      </c>
      <c r="X286">
        <v>0</v>
      </c>
      <c r="AA286" t="s">
        <v>141</v>
      </c>
      <c r="AB286" t="s">
        <v>142</v>
      </c>
      <c r="AC286">
        <v>11611</v>
      </c>
      <c r="AD286">
        <v>11612</v>
      </c>
      <c r="AF286">
        <v>1</v>
      </c>
    </row>
    <row r="287" spans="1:32">
      <c r="A287">
        <v>1</v>
      </c>
      <c r="E287" t="s">
        <v>3153</v>
      </c>
      <c r="F287">
        <v>36</v>
      </c>
      <c r="G287" t="s">
        <v>2900</v>
      </c>
      <c r="H287" t="s">
        <v>2961</v>
      </c>
      <c r="I287" t="s">
        <v>2211</v>
      </c>
      <c r="J287" t="s">
        <v>1646</v>
      </c>
      <c r="K287" t="s">
        <v>2847</v>
      </c>
      <c r="L287">
        <v>0</v>
      </c>
      <c r="M287">
        <v>0</v>
      </c>
      <c r="O287">
        <v>0</v>
      </c>
      <c r="P287">
        <v>0</v>
      </c>
      <c r="Q287">
        <v>0</v>
      </c>
      <c r="R287" s="49"/>
      <c r="T287" t="s">
        <v>2468</v>
      </c>
      <c r="U287" t="s">
        <v>127</v>
      </c>
      <c r="V287" t="s">
        <v>140</v>
      </c>
      <c r="W287">
        <v>50</v>
      </c>
      <c r="X287">
        <v>0</v>
      </c>
      <c r="AA287" t="s">
        <v>141</v>
      </c>
      <c r="AB287" t="s">
        <v>142</v>
      </c>
      <c r="AC287">
        <v>11611</v>
      </c>
      <c r="AD287">
        <v>11612</v>
      </c>
      <c r="AF287">
        <v>1</v>
      </c>
    </row>
    <row r="288" spans="1:32">
      <c r="A288">
        <v>1</v>
      </c>
      <c r="E288" t="s">
        <v>3154</v>
      </c>
      <c r="F288">
        <v>36</v>
      </c>
      <c r="G288" t="s">
        <v>2900</v>
      </c>
      <c r="H288" t="s">
        <v>2961</v>
      </c>
      <c r="I288" t="s">
        <v>2211</v>
      </c>
      <c r="J288" t="s">
        <v>1648</v>
      </c>
      <c r="K288" t="s">
        <v>2847</v>
      </c>
      <c r="L288">
        <v>0</v>
      </c>
      <c r="M288">
        <v>0</v>
      </c>
      <c r="O288">
        <v>0</v>
      </c>
      <c r="P288">
        <v>0</v>
      </c>
      <c r="Q288">
        <v>0</v>
      </c>
      <c r="R288" s="49"/>
      <c r="T288" t="s">
        <v>2468</v>
      </c>
      <c r="U288" t="s">
        <v>127</v>
      </c>
      <c r="V288" t="s">
        <v>140</v>
      </c>
      <c r="W288">
        <v>100</v>
      </c>
      <c r="X288">
        <v>0</v>
      </c>
      <c r="AA288" t="s">
        <v>141</v>
      </c>
      <c r="AB288" t="s">
        <v>142</v>
      </c>
      <c r="AC288">
        <v>11611</v>
      </c>
      <c r="AD288">
        <v>11612</v>
      </c>
      <c r="AF288">
        <v>1</v>
      </c>
    </row>
    <row r="289" spans="1:32">
      <c r="A289">
        <v>1</v>
      </c>
      <c r="E289" t="s">
        <v>3155</v>
      </c>
      <c r="F289">
        <v>36</v>
      </c>
      <c r="G289" t="s">
        <v>2900</v>
      </c>
      <c r="H289" t="s">
        <v>2961</v>
      </c>
      <c r="I289" t="s">
        <v>2211</v>
      </c>
      <c r="J289" t="s">
        <v>1650</v>
      </c>
      <c r="K289" t="s">
        <v>2847</v>
      </c>
      <c r="L289">
        <v>0</v>
      </c>
      <c r="M289">
        <v>0</v>
      </c>
      <c r="O289">
        <v>0</v>
      </c>
      <c r="P289">
        <v>0</v>
      </c>
      <c r="Q289">
        <v>0</v>
      </c>
      <c r="R289" s="49"/>
      <c r="T289" t="s">
        <v>2468</v>
      </c>
      <c r="U289" t="s">
        <v>127</v>
      </c>
      <c r="V289" t="s">
        <v>140</v>
      </c>
      <c r="W289">
        <v>50</v>
      </c>
      <c r="X289">
        <v>0</v>
      </c>
      <c r="AA289" t="s">
        <v>141</v>
      </c>
      <c r="AB289" t="s">
        <v>142</v>
      </c>
      <c r="AC289">
        <v>11611</v>
      </c>
      <c r="AD289">
        <v>11612</v>
      </c>
      <c r="AF289">
        <v>1</v>
      </c>
    </row>
    <row r="290" spans="1:32">
      <c r="A290">
        <v>1</v>
      </c>
      <c r="E290" t="s">
        <v>3156</v>
      </c>
      <c r="F290">
        <v>36</v>
      </c>
      <c r="G290" t="s">
        <v>2900</v>
      </c>
      <c r="H290" t="s">
        <v>2961</v>
      </c>
      <c r="I290" t="s">
        <v>2211</v>
      </c>
      <c r="J290" t="s">
        <v>1652</v>
      </c>
      <c r="K290" t="s">
        <v>2847</v>
      </c>
      <c r="L290">
        <v>0</v>
      </c>
      <c r="M290">
        <v>0</v>
      </c>
      <c r="O290">
        <v>0</v>
      </c>
      <c r="P290">
        <v>0</v>
      </c>
      <c r="Q290">
        <v>0</v>
      </c>
      <c r="R290" s="49"/>
      <c r="T290" t="s">
        <v>2468</v>
      </c>
      <c r="U290" t="s">
        <v>127</v>
      </c>
      <c r="V290" t="s">
        <v>140</v>
      </c>
      <c r="W290">
        <v>100</v>
      </c>
      <c r="X290">
        <v>0</v>
      </c>
      <c r="AA290" t="s">
        <v>141</v>
      </c>
      <c r="AB290" t="s">
        <v>142</v>
      </c>
      <c r="AC290">
        <v>11611</v>
      </c>
      <c r="AD290">
        <v>11612</v>
      </c>
      <c r="AF290">
        <v>1</v>
      </c>
    </row>
    <row r="291" spans="1:32">
      <c r="A291">
        <v>1</v>
      </c>
      <c r="E291" t="s">
        <v>3157</v>
      </c>
      <c r="F291">
        <v>36</v>
      </c>
      <c r="G291" t="s">
        <v>2900</v>
      </c>
      <c r="H291" t="s">
        <v>2961</v>
      </c>
      <c r="I291" t="s">
        <v>2211</v>
      </c>
      <c r="J291" t="s">
        <v>1654</v>
      </c>
      <c r="K291" t="s">
        <v>2847</v>
      </c>
      <c r="L291">
        <v>0</v>
      </c>
      <c r="M291">
        <v>0</v>
      </c>
      <c r="O291">
        <v>0</v>
      </c>
      <c r="P291">
        <v>0</v>
      </c>
      <c r="Q291">
        <v>0</v>
      </c>
      <c r="R291" s="49"/>
      <c r="T291" t="s">
        <v>2468</v>
      </c>
      <c r="U291" t="s">
        <v>127</v>
      </c>
      <c r="V291" t="s">
        <v>140</v>
      </c>
      <c r="W291">
        <v>50</v>
      </c>
      <c r="X291">
        <v>0</v>
      </c>
      <c r="AA291" t="s">
        <v>141</v>
      </c>
      <c r="AB291" t="s">
        <v>142</v>
      </c>
      <c r="AC291">
        <v>11611</v>
      </c>
      <c r="AD291">
        <v>11612</v>
      </c>
      <c r="AF291">
        <v>1</v>
      </c>
    </row>
    <row r="292" spans="1:32">
      <c r="A292">
        <v>1</v>
      </c>
      <c r="E292" t="s">
        <v>3158</v>
      </c>
      <c r="F292">
        <v>36</v>
      </c>
      <c r="G292" t="s">
        <v>2900</v>
      </c>
      <c r="H292" t="s">
        <v>2961</v>
      </c>
      <c r="I292" t="s">
        <v>2211</v>
      </c>
      <c r="J292" t="s">
        <v>1656</v>
      </c>
      <c r="K292" t="s">
        <v>2847</v>
      </c>
      <c r="L292">
        <v>0</v>
      </c>
      <c r="M292">
        <v>0</v>
      </c>
      <c r="O292">
        <v>0</v>
      </c>
      <c r="P292">
        <v>0</v>
      </c>
      <c r="Q292">
        <v>0</v>
      </c>
      <c r="R292" s="49"/>
      <c r="T292" t="s">
        <v>2468</v>
      </c>
      <c r="U292" t="s">
        <v>127</v>
      </c>
      <c r="V292" t="s">
        <v>140</v>
      </c>
      <c r="W292">
        <v>100</v>
      </c>
      <c r="X292">
        <v>0</v>
      </c>
      <c r="AA292" t="s">
        <v>141</v>
      </c>
      <c r="AB292" t="s">
        <v>142</v>
      </c>
      <c r="AC292">
        <v>11611</v>
      </c>
      <c r="AD292">
        <v>11612</v>
      </c>
      <c r="AF292">
        <v>1</v>
      </c>
    </row>
    <row r="293" spans="1:32">
      <c r="A293">
        <v>1</v>
      </c>
      <c r="E293" t="s">
        <v>3159</v>
      </c>
      <c r="F293">
        <v>36</v>
      </c>
      <c r="G293" t="s">
        <v>2900</v>
      </c>
      <c r="H293" t="s">
        <v>2961</v>
      </c>
      <c r="I293" t="s">
        <v>2211</v>
      </c>
      <c r="J293" t="s">
        <v>1658</v>
      </c>
      <c r="K293" t="s">
        <v>2847</v>
      </c>
      <c r="L293">
        <v>0</v>
      </c>
      <c r="M293">
        <v>0</v>
      </c>
      <c r="O293">
        <v>0</v>
      </c>
      <c r="P293">
        <v>0</v>
      </c>
      <c r="Q293">
        <v>0</v>
      </c>
      <c r="R293" s="49"/>
      <c r="T293" t="s">
        <v>2468</v>
      </c>
      <c r="U293" t="s">
        <v>127</v>
      </c>
      <c r="V293" t="s">
        <v>140</v>
      </c>
      <c r="W293">
        <v>50</v>
      </c>
      <c r="X293">
        <v>0</v>
      </c>
      <c r="AA293" t="s">
        <v>141</v>
      </c>
      <c r="AB293" t="s">
        <v>142</v>
      </c>
      <c r="AC293">
        <v>11611</v>
      </c>
      <c r="AD293">
        <v>11612</v>
      </c>
      <c r="AF293">
        <v>1</v>
      </c>
    </row>
    <row r="294" spans="1:32">
      <c r="A294">
        <v>1</v>
      </c>
      <c r="E294" t="s">
        <v>3160</v>
      </c>
      <c r="F294">
        <v>36</v>
      </c>
      <c r="G294" t="s">
        <v>2900</v>
      </c>
      <c r="H294" t="s">
        <v>2961</v>
      </c>
      <c r="I294" t="s">
        <v>2211</v>
      </c>
      <c r="J294" t="s">
        <v>1660</v>
      </c>
      <c r="K294" t="s">
        <v>2847</v>
      </c>
      <c r="L294">
        <v>0</v>
      </c>
      <c r="M294">
        <v>0</v>
      </c>
      <c r="O294">
        <v>0</v>
      </c>
      <c r="P294">
        <v>0</v>
      </c>
      <c r="Q294">
        <v>0</v>
      </c>
      <c r="R294" s="49"/>
      <c r="T294" t="s">
        <v>2468</v>
      </c>
      <c r="U294" t="s">
        <v>127</v>
      </c>
      <c r="V294" t="s">
        <v>140</v>
      </c>
      <c r="W294">
        <v>100</v>
      </c>
      <c r="X294">
        <v>0</v>
      </c>
      <c r="AA294" t="s">
        <v>141</v>
      </c>
      <c r="AB294" t="s">
        <v>142</v>
      </c>
      <c r="AC294">
        <v>11611</v>
      </c>
      <c r="AD294">
        <v>11612</v>
      </c>
      <c r="AF294">
        <v>1</v>
      </c>
    </row>
    <row r="295" spans="1:32">
      <c r="A295">
        <v>1</v>
      </c>
      <c r="E295" t="s">
        <v>3161</v>
      </c>
      <c r="F295">
        <v>36</v>
      </c>
      <c r="G295" t="s">
        <v>2900</v>
      </c>
      <c r="H295" t="s">
        <v>2961</v>
      </c>
      <c r="I295" t="s">
        <v>2211</v>
      </c>
      <c r="J295" t="s">
        <v>1662</v>
      </c>
      <c r="K295" t="s">
        <v>2847</v>
      </c>
      <c r="L295">
        <v>0</v>
      </c>
      <c r="M295">
        <v>0</v>
      </c>
      <c r="O295">
        <v>0</v>
      </c>
      <c r="P295">
        <v>0</v>
      </c>
      <c r="Q295">
        <v>0</v>
      </c>
      <c r="R295" s="49"/>
      <c r="T295" t="s">
        <v>2468</v>
      </c>
      <c r="U295" t="s">
        <v>127</v>
      </c>
      <c r="V295" t="s">
        <v>140</v>
      </c>
      <c r="W295">
        <v>50</v>
      </c>
      <c r="X295">
        <v>0</v>
      </c>
      <c r="AA295" t="s">
        <v>141</v>
      </c>
      <c r="AB295" t="s">
        <v>142</v>
      </c>
      <c r="AC295">
        <v>11611</v>
      </c>
      <c r="AD295">
        <v>11612</v>
      </c>
      <c r="AF295">
        <v>1</v>
      </c>
    </row>
    <row r="296" spans="1:32">
      <c r="A296">
        <v>1</v>
      </c>
      <c r="E296" t="s">
        <v>3162</v>
      </c>
      <c r="F296">
        <v>36</v>
      </c>
      <c r="G296" t="s">
        <v>2900</v>
      </c>
      <c r="H296" t="s">
        <v>2961</v>
      </c>
      <c r="I296" t="s">
        <v>2211</v>
      </c>
      <c r="J296" t="s">
        <v>1664</v>
      </c>
      <c r="K296" t="s">
        <v>2847</v>
      </c>
      <c r="L296">
        <v>0</v>
      </c>
      <c r="M296">
        <v>0</v>
      </c>
      <c r="O296">
        <v>0</v>
      </c>
      <c r="P296">
        <v>0</v>
      </c>
      <c r="Q296">
        <v>0</v>
      </c>
      <c r="R296" s="49"/>
      <c r="T296" t="s">
        <v>2468</v>
      </c>
      <c r="U296" t="s">
        <v>127</v>
      </c>
      <c r="V296" t="s">
        <v>140</v>
      </c>
      <c r="W296">
        <v>100</v>
      </c>
      <c r="X296">
        <v>0</v>
      </c>
      <c r="AA296" t="s">
        <v>141</v>
      </c>
      <c r="AB296" t="s">
        <v>142</v>
      </c>
      <c r="AC296">
        <v>11611</v>
      </c>
      <c r="AD296">
        <v>11612</v>
      </c>
      <c r="AF296">
        <v>1</v>
      </c>
    </row>
    <row r="297" spans="1:32">
      <c r="A297">
        <v>1</v>
      </c>
      <c r="E297" t="s">
        <v>3163</v>
      </c>
      <c r="F297">
        <v>36</v>
      </c>
      <c r="G297" t="s">
        <v>2900</v>
      </c>
      <c r="H297" t="s">
        <v>2961</v>
      </c>
      <c r="I297" t="s">
        <v>2221</v>
      </c>
      <c r="J297" t="s">
        <v>1666</v>
      </c>
      <c r="K297" t="s">
        <v>2847</v>
      </c>
      <c r="L297">
        <v>0</v>
      </c>
      <c r="M297">
        <v>0</v>
      </c>
      <c r="O297">
        <v>0</v>
      </c>
      <c r="P297">
        <v>0</v>
      </c>
      <c r="Q297">
        <v>0</v>
      </c>
      <c r="R297" s="49"/>
      <c r="T297" t="s">
        <v>2468</v>
      </c>
      <c r="U297" t="s">
        <v>127</v>
      </c>
      <c r="V297" t="s">
        <v>140</v>
      </c>
      <c r="W297">
        <v>150</v>
      </c>
      <c r="X297">
        <v>0</v>
      </c>
      <c r="AA297" t="s">
        <v>141</v>
      </c>
      <c r="AB297" t="s">
        <v>142</v>
      </c>
      <c r="AC297">
        <v>11611</v>
      </c>
      <c r="AD297">
        <v>11612</v>
      </c>
      <c r="AF297">
        <v>1</v>
      </c>
    </row>
    <row r="298" spans="1:32">
      <c r="A298">
        <v>1</v>
      </c>
      <c r="E298" t="s">
        <v>3164</v>
      </c>
      <c r="F298">
        <v>36</v>
      </c>
      <c r="G298" t="s">
        <v>2900</v>
      </c>
      <c r="H298" t="s">
        <v>2961</v>
      </c>
      <c r="I298" t="s">
        <v>2221</v>
      </c>
      <c r="J298" t="s">
        <v>1668</v>
      </c>
      <c r="K298" t="s">
        <v>2847</v>
      </c>
      <c r="L298">
        <v>0</v>
      </c>
      <c r="M298">
        <v>0</v>
      </c>
      <c r="O298">
        <v>0</v>
      </c>
      <c r="P298">
        <v>0</v>
      </c>
      <c r="Q298">
        <v>0</v>
      </c>
      <c r="R298" s="49"/>
      <c r="T298" t="s">
        <v>2468</v>
      </c>
      <c r="U298" t="s">
        <v>127</v>
      </c>
      <c r="V298" t="s">
        <v>140</v>
      </c>
      <c r="W298">
        <v>150</v>
      </c>
      <c r="X298">
        <v>0</v>
      </c>
      <c r="AA298" t="s">
        <v>141</v>
      </c>
      <c r="AB298" t="s">
        <v>142</v>
      </c>
      <c r="AC298">
        <v>11611</v>
      </c>
      <c r="AD298">
        <v>11612</v>
      </c>
      <c r="AF298">
        <v>1</v>
      </c>
    </row>
    <row r="299" spans="1:32">
      <c r="A299">
        <v>1</v>
      </c>
      <c r="E299" t="s">
        <v>3165</v>
      </c>
      <c r="F299">
        <v>36</v>
      </c>
      <c r="G299" t="s">
        <v>2900</v>
      </c>
      <c r="H299" t="s">
        <v>2961</v>
      </c>
      <c r="I299" t="s">
        <v>2221</v>
      </c>
      <c r="J299" t="s">
        <v>1670</v>
      </c>
      <c r="K299" t="s">
        <v>2847</v>
      </c>
      <c r="L299">
        <v>0</v>
      </c>
      <c r="M299">
        <v>0</v>
      </c>
      <c r="O299">
        <v>0</v>
      </c>
      <c r="P299">
        <v>0</v>
      </c>
      <c r="Q299">
        <v>0</v>
      </c>
      <c r="R299" s="49"/>
      <c r="T299" t="s">
        <v>2468</v>
      </c>
      <c r="U299" t="s">
        <v>127</v>
      </c>
      <c r="V299" t="s">
        <v>140</v>
      </c>
      <c r="W299">
        <v>150</v>
      </c>
      <c r="X299">
        <v>0</v>
      </c>
      <c r="AA299" t="s">
        <v>141</v>
      </c>
      <c r="AB299" t="s">
        <v>142</v>
      </c>
      <c r="AC299">
        <v>11611</v>
      </c>
      <c r="AD299">
        <v>11612</v>
      </c>
      <c r="AF299">
        <v>1</v>
      </c>
    </row>
    <row r="300" spans="1:32">
      <c r="A300">
        <v>1</v>
      </c>
      <c r="E300" t="s">
        <v>3166</v>
      </c>
      <c r="F300">
        <v>36</v>
      </c>
      <c r="G300" t="s">
        <v>2900</v>
      </c>
      <c r="H300" t="s">
        <v>2961</v>
      </c>
      <c r="I300" t="s">
        <v>2221</v>
      </c>
      <c r="J300" t="s">
        <v>1672</v>
      </c>
      <c r="K300" t="s">
        <v>2847</v>
      </c>
      <c r="L300">
        <v>0</v>
      </c>
      <c r="M300">
        <v>0</v>
      </c>
      <c r="O300">
        <v>0</v>
      </c>
      <c r="P300">
        <v>0</v>
      </c>
      <c r="Q300">
        <v>0</v>
      </c>
      <c r="R300" s="49"/>
      <c r="T300" t="s">
        <v>2468</v>
      </c>
      <c r="U300" t="s">
        <v>127</v>
      </c>
      <c r="V300" t="s">
        <v>140</v>
      </c>
      <c r="W300">
        <v>150</v>
      </c>
      <c r="X300">
        <v>0</v>
      </c>
      <c r="AA300" t="s">
        <v>141</v>
      </c>
      <c r="AB300" t="s">
        <v>142</v>
      </c>
      <c r="AC300">
        <v>11611</v>
      </c>
      <c r="AD300">
        <v>11612</v>
      </c>
      <c r="AF300">
        <v>1</v>
      </c>
    </row>
    <row r="301" spans="1:32">
      <c r="A301">
        <v>1</v>
      </c>
      <c r="E301" t="s">
        <v>3167</v>
      </c>
      <c r="F301">
        <v>36</v>
      </c>
      <c r="G301" t="s">
        <v>2900</v>
      </c>
      <c r="H301" t="s">
        <v>2961</v>
      </c>
      <c r="I301" t="s">
        <v>2221</v>
      </c>
      <c r="J301" t="s">
        <v>1674</v>
      </c>
      <c r="K301" t="s">
        <v>2847</v>
      </c>
      <c r="L301">
        <v>0</v>
      </c>
      <c r="M301">
        <v>0</v>
      </c>
      <c r="O301">
        <v>0</v>
      </c>
      <c r="P301">
        <v>0</v>
      </c>
      <c r="Q301">
        <v>0</v>
      </c>
      <c r="R301" s="49"/>
      <c r="T301" t="s">
        <v>2468</v>
      </c>
      <c r="U301" t="s">
        <v>127</v>
      </c>
      <c r="V301" t="s">
        <v>140</v>
      </c>
      <c r="W301">
        <v>150</v>
      </c>
      <c r="X301">
        <v>0</v>
      </c>
      <c r="AA301" t="s">
        <v>141</v>
      </c>
      <c r="AB301" t="s">
        <v>142</v>
      </c>
      <c r="AC301">
        <v>11611</v>
      </c>
      <c r="AD301">
        <v>11612</v>
      </c>
      <c r="AF301">
        <v>1</v>
      </c>
    </row>
    <row r="302" spans="1:32">
      <c r="A302">
        <v>1</v>
      </c>
      <c r="E302" t="s">
        <v>3168</v>
      </c>
      <c r="F302">
        <v>36</v>
      </c>
      <c r="G302" t="s">
        <v>2900</v>
      </c>
      <c r="H302" t="s">
        <v>2961</v>
      </c>
      <c r="I302" t="s">
        <v>2221</v>
      </c>
      <c r="J302" t="s">
        <v>1676</v>
      </c>
      <c r="K302" t="s">
        <v>2847</v>
      </c>
      <c r="L302">
        <v>0</v>
      </c>
      <c r="M302">
        <v>0</v>
      </c>
      <c r="O302">
        <v>0</v>
      </c>
      <c r="P302">
        <v>0</v>
      </c>
      <c r="Q302">
        <v>0</v>
      </c>
      <c r="R302" s="49"/>
      <c r="T302" t="s">
        <v>2468</v>
      </c>
      <c r="U302" t="s">
        <v>127</v>
      </c>
      <c r="V302" t="s">
        <v>140</v>
      </c>
      <c r="W302">
        <v>150</v>
      </c>
      <c r="X302">
        <v>0</v>
      </c>
      <c r="AA302" t="s">
        <v>141</v>
      </c>
      <c r="AB302" t="s">
        <v>142</v>
      </c>
      <c r="AC302">
        <v>11611</v>
      </c>
      <c r="AD302">
        <v>11612</v>
      </c>
      <c r="AF302">
        <v>1</v>
      </c>
    </row>
    <row r="303" spans="1:32">
      <c r="A303">
        <v>1</v>
      </c>
      <c r="E303" t="s">
        <v>3169</v>
      </c>
      <c r="F303">
        <v>36</v>
      </c>
      <c r="G303" t="s">
        <v>2900</v>
      </c>
      <c r="H303" t="s">
        <v>2961</v>
      </c>
      <c r="I303" t="s">
        <v>2221</v>
      </c>
      <c r="J303" t="s">
        <v>1678</v>
      </c>
      <c r="K303" t="s">
        <v>2847</v>
      </c>
      <c r="L303">
        <v>0</v>
      </c>
      <c r="M303">
        <v>0</v>
      </c>
      <c r="O303">
        <v>0</v>
      </c>
      <c r="P303">
        <v>0</v>
      </c>
      <c r="Q303">
        <v>0</v>
      </c>
      <c r="R303" s="49"/>
      <c r="T303" t="s">
        <v>2468</v>
      </c>
      <c r="U303" t="s">
        <v>127</v>
      </c>
      <c r="V303" t="s">
        <v>140</v>
      </c>
      <c r="W303">
        <v>150</v>
      </c>
      <c r="X303">
        <v>0</v>
      </c>
      <c r="AA303" t="s">
        <v>141</v>
      </c>
      <c r="AB303" t="s">
        <v>142</v>
      </c>
      <c r="AC303">
        <v>11611</v>
      </c>
      <c r="AD303">
        <v>11612</v>
      </c>
      <c r="AF303">
        <v>1</v>
      </c>
    </row>
    <row r="304" spans="1:32">
      <c r="A304">
        <v>1</v>
      </c>
      <c r="E304" t="s">
        <v>3170</v>
      </c>
      <c r="F304">
        <v>36</v>
      </c>
      <c r="G304" t="s">
        <v>2900</v>
      </c>
      <c r="H304" t="s">
        <v>2961</v>
      </c>
      <c r="I304" t="s">
        <v>2221</v>
      </c>
      <c r="J304" t="s">
        <v>1680</v>
      </c>
      <c r="K304" t="s">
        <v>2847</v>
      </c>
      <c r="L304">
        <v>0</v>
      </c>
      <c r="M304">
        <v>0</v>
      </c>
      <c r="O304">
        <v>0</v>
      </c>
      <c r="P304">
        <v>0</v>
      </c>
      <c r="Q304">
        <v>0</v>
      </c>
      <c r="R304" s="49"/>
      <c r="T304" t="s">
        <v>2468</v>
      </c>
      <c r="U304" t="s">
        <v>127</v>
      </c>
      <c r="V304" t="s">
        <v>140</v>
      </c>
      <c r="W304">
        <v>150</v>
      </c>
      <c r="X304">
        <v>0</v>
      </c>
      <c r="AA304" t="s">
        <v>141</v>
      </c>
      <c r="AB304" t="s">
        <v>142</v>
      </c>
      <c r="AC304">
        <v>11611</v>
      </c>
      <c r="AD304">
        <v>11612</v>
      </c>
      <c r="AF304">
        <v>1</v>
      </c>
    </row>
    <row r="305" spans="1:32">
      <c r="A305">
        <v>1</v>
      </c>
      <c r="E305" t="s">
        <v>3171</v>
      </c>
      <c r="F305">
        <v>36</v>
      </c>
      <c r="G305" t="s">
        <v>2900</v>
      </c>
      <c r="H305" t="s">
        <v>2961</v>
      </c>
      <c r="I305" t="s">
        <v>2219</v>
      </c>
      <c r="J305" t="s">
        <v>1682</v>
      </c>
      <c r="K305" t="s">
        <v>2847</v>
      </c>
      <c r="L305">
        <v>0</v>
      </c>
      <c r="M305">
        <v>0</v>
      </c>
      <c r="O305">
        <v>0</v>
      </c>
      <c r="P305">
        <v>0</v>
      </c>
      <c r="Q305">
        <v>0</v>
      </c>
      <c r="R305" s="49"/>
      <c r="T305" t="s">
        <v>2468</v>
      </c>
      <c r="U305" t="s">
        <v>127</v>
      </c>
      <c r="V305" t="s">
        <v>140</v>
      </c>
      <c r="W305">
        <v>175</v>
      </c>
      <c r="X305">
        <v>0</v>
      </c>
      <c r="AA305" t="s">
        <v>141</v>
      </c>
      <c r="AB305" t="s">
        <v>142</v>
      </c>
      <c r="AC305">
        <v>11611</v>
      </c>
      <c r="AD305">
        <v>11612</v>
      </c>
      <c r="AF305">
        <v>1</v>
      </c>
    </row>
    <row r="306" spans="1:32">
      <c r="A306">
        <v>1</v>
      </c>
      <c r="E306" t="s">
        <v>3172</v>
      </c>
      <c r="F306">
        <v>36</v>
      </c>
      <c r="G306" t="s">
        <v>2900</v>
      </c>
      <c r="H306" t="s">
        <v>2961</v>
      </c>
      <c r="I306" t="s">
        <v>2219</v>
      </c>
      <c r="J306" t="s">
        <v>1684</v>
      </c>
      <c r="K306" t="s">
        <v>2847</v>
      </c>
      <c r="L306">
        <v>0</v>
      </c>
      <c r="M306">
        <v>0</v>
      </c>
      <c r="O306">
        <v>0</v>
      </c>
      <c r="P306">
        <v>0</v>
      </c>
      <c r="Q306">
        <v>0</v>
      </c>
      <c r="R306" s="49"/>
      <c r="T306" t="s">
        <v>2468</v>
      </c>
      <c r="U306" t="s">
        <v>127</v>
      </c>
      <c r="V306" t="s">
        <v>140</v>
      </c>
      <c r="W306">
        <v>175</v>
      </c>
      <c r="X306">
        <v>0</v>
      </c>
      <c r="AA306" t="s">
        <v>141</v>
      </c>
      <c r="AB306" t="s">
        <v>142</v>
      </c>
      <c r="AC306">
        <v>11611</v>
      </c>
      <c r="AD306">
        <v>11612</v>
      </c>
      <c r="AF306">
        <v>1</v>
      </c>
    </row>
    <row r="307" spans="1:32">
      <c r="A307">
        <v>1</v>
      </c>
      <c r="E307" t="s">
        <v>3173</v>
      </c>
      <c r="F307">
        <v>36</v>
      </c>
      <c r="G307" t="s">
        <v>2900</v>
      </c>
      <c r="H307" t="s">
        <v>2961</v>
      </c>
      <c r="I307" t="s">
        <v>2213</v>
      </c>
      <c r="J307" t="s">
        <v>1686</v>
      </c>
      <c r="K307" t="s">
        <v>2847</v>
      </c>
      <c r="L307">
        <v>0</v>
      </c>
      <c r="M307">
        <v>0</v>
      </c>
      <c r="O307">
        <v>0</v>
      </c>
      <c r="P307">
        <v>0</v>
      </c>
      <c r="Q307">
        <v>0</v>
      </c>
      <c r="R307" s="49"/>
      <c r="T307" t="s">
        <v>2468</v>
      </c>
      <c r="U307" t="s">
        <v>127</v>
      </c>
      <c r="V307" t="s">
        <v>140</v>
      </c>
      <c r="W307">
        <v>100</v>
      </c>
      <c r="X307">
        <v>0</v>
      </c>
      <c r="AA307" t="s">
        <v>141</v>
      </c>
      <c r="AB307" t="s">
        <v>142</v>
      </c>
      <c r="AC307">
        <v>11611</v>
      </c>
      <c r="AD307">
        <v>11612</v>
      </c>
      <c r="AF307">
        <v>1</v>
      </c>
    </row>
    <row r="308" spans="1:32">
      <c r="A308">
        <v>1</v>
      </c>
      <c r="E308" t="s">
        <v>3174</v>
      </c>
      <c r="F308">
        <v>36</v>
      </c>
      <c r="G308" t="s">
        <v>2900</v>
      </c>
      <c r="H308" t="s">
        <v>2961</v>
      </c>
      <c r="I308" t="s">
        <v>2213</v>
      </c>
      <c r="J308" t="s">
        <v>1688</v>
      </c>
      <c r="K308" t="s">
        <v>2847</v>
      </c>
      <c r="L308">
        <v>0</v>
      </c>
      <c r="M308">
        <v>0</v>
      </c>
      <c r="O308">
        <v>0</v>
      </c>
      <c r="P308">
        <v>0</v>
      </c>
      <c r="Q308">
        <v>0</v>
      </c>
      <c r="R308" s="49"/>
      <c r="T308" t="s">
        <v>2468</v>
      </c>
      <c r="U308" t="s">
        <v>127</v>
      </c>
      <c r="V308" t="s">
        <v>140</v>
      </c>
      <c r="W308">
        <v>100</v>
      </c>
      <c r="X308">
        <v>0</v>
      </c>
      <c r="AA308" t="s">
        <v>141</v>
      </c>
      <c r="AB308" t="s">
        <v>142</v>
      </c>
      <c r="AC308">
        <v>11611</v>
      </c>
      <c r="AD308">
        <v>11612</v>
      </c>
      <c r="AF308">
        <v>1</v>
      </c>
    </row>
    <row r="309" spans="1:32">
      <c r="A309">
        <v>1</v>
      </c>
      <c r="E309" t="s">
        <v>3175</v>
      </c>
      <c r="F309">
        <v>36</v>
      </c>
      <c r="G309" t="s">
        <v>2900</v>
      </c>
      <c r="H309" t="s">
        <v>2961</v>
      </c>
      <c r="I309" t="s">
        <v>2213</v>
      </c>
      <c r="J309" t="s">
        <v>1690</v>
      </c>
      <c r="K309" t="s">
        <v>2847</v>
      </c>
      <c r="L309">
        <v>0</v>
      </c>
      <c r="M309">
        <v>0</v>
      </c>
      <c r="O309">
        <v>0</v>
      </c>
      <c r="P309">
        <v>0</v>
      </c>
      <c r="Q309">
        <v>0</v>
      </c>
      <c r="R309" s="49"/>
      <c r="T309" t="s">
        <v>2468</v>
      </c>
      <c r="U309" t="s">
        <v>127</v>
      </c>
      <c r="V309" t="s">
        <v>140</v>
      </c>
      <c r="W309">
        <v>100</v>
      </c>
      <c r="X309">
        <v>0</v>
      </c>
      <c r="AA309" t="s">
        <v>141</v>
      </c>
      <c r="AB309" t="s">
        <v>142</v>
      </c>
      <c r="AC309">
        <v>11611</v>
      </c>
      <c r="AD309">
        <v>11612</v>
      </c>
      <c r="AF309">
        <v>1</v>
      </c>
    </row>
    <row r="310" spans="1:32">
      <c r="A310">
        <v>1</v>
      </c>
      <c r="E310" t="s">
        <v>3176</v>
      </c>
      <c r="F310">
        <v>36</v>
      </c>
      <c r="G310" t="s">
        <v>2900</v>
      </c>
      <c r="H310" t="s">
        <v>2961</v>
      </c>
      <c r="I310" t="s">
        <v>2213</v>
      </c>
      <c r="J310" t="s">
        <v>1692</v>
      </c>
      <c r="K310" t="s">
        <v>2847</v>
      </c>
      <c r="L310">
        <v>0</v>
      </c>
      <c r="M310">
        <v>0</v>
      </c>
      <c r="O310">
        <v>0</v>
      </c>
      <c r="P310">
        <v>0</v>
      </c>
      <c r="Q310">
        <v>0</v>
      </c>
      <c r="R310" s="49"/>
      <c r="T310" t="s">
        <v>2468</v>
      </c>
      <c r="U310" t="s">
        <v>127</v>
      </c>
      <c r="V310" t="s">
        <v>140</v>
      </c>
      <c r="W310">
        <v>100</v>
      </c>
      <c r="X310">
        <v>0</v>
      </c>
      <c r="AA310" t="s">
        <v>141</v>
      </c>
      <c r="AB310" t="s">
        <v>142</v>
      </c>
      <c r="AC310">
        <v>11611</v>
      </c>
      <c r="AD310">
        <v>11612</v>
      </c>
      <c r="AF310">
        <v>1</v>
      </c>
    </row>
    <row r="311" spans="1:32">
      <c r="A311">
        <v>1</v>
      </c>
      <c r="E311" t="s">
        <v>3177</v>
      </c>
      <c r="F311">
        <v>36</v>
      </c>
      <c r="G311" t="s">
        <v>2900</v>
      </c>
      <c r="H311" t="s">
        <v>2961</v>
      </c>
      <c r="I311" t="s">
        <v>2213</v>
      </c>
      <c r="J311" t="s">
        <v>1694</v>
      </c>
      <c r="K311" t="s">
        <v>2847</v>
      </c>
      <c r="L311">
        <v>0</v>
      </c>
      <c r="M311">
        <v>0</v>
      </c>
      <c r="O311">
        <v>0</v>
      </c>
      <c r="P311">
        <v>0</v>
      </c>
      <c r="Q311">
        <v>0</v>
      </c>
      <c r="R311" s="49"/>
      <c r="T311" t="s">
        <v>2468</v>
      </c>
      <c r="U311" t="s">
        <v>127</v>
      </c>
      <c r="V311" t="s">
        <v>140</v>
      </c>
      <c r="W311">
        <v>100</v>
      </c>
      <c r="X311">
        <v>0</v>
      </c>
      <c r="AA311" t="s">
        <v>141</v>
      </c>
      <c r="AB311" t="s">
        <v>142</v>
      </c>
      <c r="AC311">
        <v>11611</v>
      </c>
      <c r="AD311">
        <v>11612</v>
      </c>
      <c r="AF311">
        <v>1</v>
      </c>
    </row>
    <row r="312" spans="1:32">
      <c r="A312">
        <v>1</v>
      </c>
      <c r="E312" t="s">
        <v>3178</v>
      </c>
      <c r="F312">
        <v>36</v>
      </c>
      <c r="G312" t="s">
        <v>2900</v>
      </c>
      <c r="H312" t="s">
        <v>2961</v>
      </c>
      <c r="I312" t="s">
        <v>2213</v>
      </c>
      <c r="J312" t="s">
        <v>1696</v>
      </c>
      <c r="K312" t="s">
        <v>2847</v>
      </c>
      <c r="L312">
        <v>0</v>
      </c>
      <c r="M312">
        <v>0</v>
      </c>
      <c r="O312">
        <v>0</v>
      </c>
      <c r="P312">
        <v>0</v>
      </c>
      <c r="Q312">
        <v>0</v>
      </c>
      <c r="R312" s="49"/>
      <c r="T312" t="s">
        <v>2468</v>
      </c>
      <c r="U312" t="s">
        <v>127</v>
      </c>
      <c r="V312" t="s">
        <v>140</v>
      </c>
      <c r="W312">
        <v>100</v>
      </c>
      <c r="X312">
        <v>0</v>
      </c>
      <c r="AA312" t="s">
        <v>141</v>
      </c>
      <c r="AB312" t="s">
        <v>142</v>
      </c>
      <c r="AC312">
        <v>11611</v>
      </c>
      <c r="AD312">
        <v>11612</v>
      </c>
      <c r="AF312">
        <v>1</v>
      </c>
    </row>
    <row r="313" spans="1:32">
      <c r="A313">
        <v>1</v>
      </c>
      <c r="E313" t="s">
        <v>3179</v>
      </c>
      <c r="F313">
        <v>36</v>
      </c>
      <c r="G313" t="s">
        <v>2900</v>
      </c>
      <c r="H313" t="s">
        <v>2961</v>
      </c>
      <c r="I313" t="s">
        <v>2213</v>
      </c>
      <c r="J313" t="s">
        <v>1698</v>
      </c>
      <c r="K313" t="s">
        <v>2847</v>
      </c>
      <c r="L313">
        <v>0</v>
      </c>
      <c r="M313">
        <v>0</v>
      </c>
      <c r="O313">
        <v>0</v>
      </c>
      <c r="P313">
        <v>0</v>
      </c>
      <c r="Q313">
        <v>0</v>
      </c>
      <c r="R313" s="49"/>
      <c r="T313" t="s">
        <v>2468</v>
      </c>
      <c r="U313" t="s">
        <v>127</v>
      </c>
      <c r="V313" t="s">
        <v>140</v>
      </c>
      <c r="W313">
        <v>100</v>
      </c>
      <c r="X313">
        <v>0</v>
      </c>
      <c r="AA313" t="s">
        <v>141</v>
      </c>
      <c r="AB313" t="s">
        <v>142</v>
      </c>
      <c r="AC313">
        <v>11611</v>
      </c>
      <c r="AD313">
        <v>11612</v>
      </c>
      <c r="AF313">
        <v>1</v>
      </c>
    </row>
    <row r="314" spans="1:32">
      <c r="A314">
        <v>1</v>
      </c>
      <c r="E314" t="s">
        <v>3180</v>
      </c>
      <c r="F314">
        <v>36</v>
      </c>
      <c r="G314" t="s">
        <v>2900</v>
      </c>
      <c r="H314" t="s">
        <v>2961</v>
      </c>
      <c r="I314" t="s">
        <v>2213</v>
      </c>
      <c r="J314" t="s">
        <v>1700</v>
      </c>
      <c r="K314" t="s">
        <v>2847</v>
      </c>
      <c r="L314">
        <v>0</v>
      </c>
      <c r="M314">
        <v>0</v>
      </c>
      <c r="O314">
        <v>0</v>
      </c>
      <c r="P314">
        <v>0</v>
      </c>
      <c r="Q314">
        <v>0</v>
      </c>
      <c r="R314" s="49"/>
      <c r="T314" t="s">
        <v>2468</v>
      </c>
      <c r="U314" t="s">
        <v>127</v>
      </c>
      <c r="V314" t="s">
        <v>140</v>
      </c>
      <c r="W314">
        <v>100</v>
      </c>
      <c r="X314">
        <v>0</v>
      </c>
      <c r="AA314" t="s">
        <v>141</v>
      </c>
      <c r="AB314" t="s">
        <v>142</v>
      </c>
      <c r="AC314">
        <v>11611</v>
      </c>
      <c r="AD314">
        <v>11612</v>
      </c>
      <c r="AF314">
        <v>1</v>
      </c>
    </row>
    <row r="315" spans="1:32">
      <c r="A315">
        <v>1</v>
      </c>
      <c r="E315" t="s">
        <v>3181</v>
      </c>
      <c r="F315">
        <v>48</v>
      </c>
      <c r="G315" t="s">
        <v>2900</v>
      </c>
      <c r="H315" t="s">
        <v>2961</v>
      </c>
      <c r="I315" t="s">
        <v>2215</v>
      </c>
      <c r="J315" t="s">
        <v>1702</v>
      </c>
      <c r="K315" t="s">
        <v>2851</v>
      </c>
      <c r="L315">
        <v>0</v>
      </c>
      <c r="M315">
        <v>0</v>
      </c>
      <c r="O315">
        <v>0</v>
      </c>
      <c r="P315">
        <v>0</v>
      </c>
      <c r="Q315">
        <v>0</v>
      </c>
      <c r="R315" s="49"/>
      <c r="T315" t="s">
        <v>2468</v>
      </c>
      <c r="U315" t="s">
        <v>127</v>
      </c>
      <c r="V315" t="s">
        <v>140</v>
      </c>
      <c r="W315">
        <v>75</v>
      </c>
      <c r="X315">
        <v>0</v>
      </c>
      <c r="AA315" t="s">
        <v>141</v>
      </c>
      <c r="AB315" t="s">
        <v>142</v>
      </c>
      <c r="AC315">
        <v>11611</v>
      </c>
      <c r="AD315">
        <v>11612</v>
      </c>
      <c r="AF315">
        <v>1</v>
      </c>
    </row>
    <row r="316" spans="1:32">
      <c r="A316">
        <v>1</v>
      </c>
      <c r="E316" t="s">
        <v>3182</v>
      </c>
      <c r="F316">
        <v>48</v>
      </c>
      <c r="G316" t="s">
        <v>2900</v>
      </c>
      <c r="H316" t="s">
        <v>2961</v>
      </c>
      <c r="I316" t="s">
        <v>2215</v>
      </c>
      <c r="J316" t="s">
        <v>1704</v>
      </c>
      <c r="K316" t="s">
        <v>2851</v>
      </c>
      <c r="L316">
        <v>0</v>
      </c>
      <c r="M316">
        <v>0</v>
      </c>
      <c r="O316">
        <v>0</v>
      </c>
      <c r="P316">
        <v>0</v>
      </c>
      <c r="Q316">
        <v>0</v>
      </c>
      <c r="R316" s="49"/>
      <c r="T316" t="s">
        <v>2468</v>
      </c>
      <c r="U316" t="s">
        <v>127</v>
      </c>
      <c r="V316" t="s">
        <v>140</v>
      </c>
      <c r="W316">
        <v>75</v>
      </c>
      <c r="X316">
        <v>0</v>
      </c>
      <c r="AA316" t="s">
        <v>141</v>
      </c>
      <c r="AB316" t="s">
        <v>142</v>
      </c>
      <c r="AC316">
        <v>11611</v>
      </c>
      <c r="AD316">
        <v>11612</v>
      </c>
      <c r="AF316">
        <v>1</v>
      </c>
    </row>
    <row r="317" spans="1:32">
      <c r="A317">
        <v>1</v>
      </c>
      <c r="E317" t="s">
        <v>3183</v>
      </c>
      <c r="F317">
        <v>48</v>
      </c>
      <c r="G317" t="s">
        <v>2900</v>
      </c>
      <c r="H317" t="s">
        <v>2961</v>
      </c>
      <c r="I317" t="s">
        <v>2215</v>
      </c>
      <c r="J317" t="s">
        <v>1706</v>
      </c>
      <c r="K317" t="s">
        <v>2851</v>
      </c>
      <c r="L317">
        <v>0</v>
      </c>
      <c r="M317">
        <v>0</v>
      </c>
      <c r="O317">
        <v>0</v>
      </c>
      <c r="P317">
        <v>0</v>
      </c>
      <c r="Q317">
        <v>0</v>
      </c>
      <c r="R317" s="49"/>
      <c r="T317" t="s">
        <v>2468</v>
      </c>
      <c r="U317" t="s">
        <v>127</v>
      </c>
      <c r="V317" t="s">
        <v>140</v>
      </c>
      <c r="W317">
        <v>75</v>
      </c>
      <c r="X317">
        <v>0</v>
      </c>
      <c r="AA317" t="s">
        <v>141</v>
      </c>
      <c r="AB317" t="s">
        <v>142</v>
      </c>
      <c r="AC317">
        <v>11611</v>
      </c>
      <c r="AD317">
        <v>11612</v>
      </c>
      <c r="AF317">
        <v>1</v>
      </c>
    </row>
    <row r="318" spans="1:32">
      <c r="A318">
        <v>1</v>
      </c>
      <c r="E318" t="s">
        <v>3184</v>
      </c>
      <c r="F318">
        <v>48</v>
      </c>
      <c r="G318" t="s">
        <v>2900</v>
      </c>
      <c r="H318" t="s">
        <v>2961</v>
      </c>
      <c r="I318" t="s">
        <v>2217</v>
      </c>
      <c r="J318" t="s">
        <v>1708</v>
      </c>
      <c r="K318" t="s">
        <v>2851</v>
      </c>
      <c r="L318">
        <v>0</v>
      </c>
      <c r="M318">
        <v>0</v>
      </c>
      <c r="O318">
        <v>0</v>
      </c>
      <c r="P318">
        <v>0</v>
      </c>
      <c r="Q318">
        <v>0</v>
      </c>
      <c r="R318" s="49"/>
      <c r="T318" t="s">
        <v>2468</v>
      </c>
      <c r="U318" t="s">
        <v>127</v>
      </c>
      <c r="V318" t="s">
        <v>140</v>
      </c>
      <c r="W318">
        <v>50</v>
      </c>
      <c r="X318">
        <v>0</v>
      </c>
      <c r="AA318" t="s">
        <v>141</v>
      </c>
      <c r="AB318" t="s">
        <v>142</v>
      </c>
      <c r="AC318">
        <v>11611</v>
      </c>
      <c r="AD318">
        <v>11612</v>
      </c>
      <c r="AF318">
        <v>1</v>
      </c>
    </row>
    <row r="319" spans="1:32">
      <c r="A319">
        <v>1</v>
      </c>
      <c r="E319" t="s">
        <v>3185</v>
      </c>
      <c r="F319">
        <v>48</v>
      </c>
      <c r="G319" t="s">
        <v>2900</v>
      </c>
      <c r="H319" t="s">
        <v>2961</v>
      </c>
      <c r="I319" t="s">
        <v>2217</v>
      </c>
      <c r="J319" t="s">
        <v>1710</v>
      </c>
      <c r="K319" t="s">
        <v>2851</v>
      </c>
      <c r="L319">
        <v>0</v>
      </c>
      <c r="M319">
        <v>0</v>
      </c>
      <c r="O319">
        <v>0</v>
      </c>
      <c r="P319">
        <v>0</v>
      </c>
      <c r="Q319">
        <v>0</v>
      </c>
      <c r="R319" s="49"/>
      <c r="T319" t="s">
        <v>2468</v>
      </c>
      <c r="U319" t="s">
        <v>127</v>
      </c>
      <c r="V319" t="s">
        <v>140</v>
      </c>
      <c r="W319">
        <v>50</v>
      </c>
      <c r="X319">
        <v>0</v>
      </c>
      <c r="AA319" t="s">
        <v>141</v>
      </c>
      <c r="AB319" t="s">
        <v>142</v>
      </c>
      <c r="AC319">
        <v>11611</v>
      </c>
      <c r="AD319">
        <v>11612</v>
      </c>
      <c r="AF319">
        <v>1</v>
      </c>
    </row>
    <row r="320" spans="1:32">
      <c r="A320">
        <v>1</v>
      </c>
      <c r="E320" t="s">
        <v>3186</v>
      </c>
      <c r="F320">
        <v>48</v>
      </c>
      <c r="G320" t="s">
        <v>2900</v>
      </c>
      <c r="H320" t="s">
        <v>2961</v>
      </c>
      <c r="I320" t="s">
        <v>2217</v>
      </c>
      <c r="J320" t="s">
        <v>1712</v>
      </c>
      <c r="K320" t="s">
        <v>2851</v>
      </c>
      <c r="L320">
        <v>0</v>
      </c>
      <c r="M320">
        <v>0</v>
      </c>
      <c r="O320">
        <v>0</v>
      </c>
      <c r="P320">
        <v>0</v>
      </c>
      <c r="Q320">
        <v>0</v>
      </c>
      <c r="R320" s="49"/>
      <c r="T320" t="s">
        <v>2468</v>
      </c>
      <c r="U320" t="s">
        <v>127</v>
      </c>
      <c r="V320" t="s">
        <v>140</v>
      </c>
      <c r="W320">
        <v>50</v>
      </c>
      <c r="X320">
        <v>0</v>
      </c>
      <c r="AA320" t="s">
        <v>141</v>
      </c>
      <c r="AB320" t="s">
        <v>142</v>
      </c>
      <c r="AC320">
        <v>11611</v>
      </c>
      <c r="AD320">
        <v>11612</v>
      </c>
      <c r="AF320">
        <v>1</v>
      </c>
    </row>
    <row r="321" spans="1:32">
      <c r="A321">
        <v>1</v>
      </c>
      <c r="E321" t="s">
        <v>3187</v>
      </c>
      <c r="F321">
        <v>48</v>
      </c>
      <c r="G321" t="s">
        <v>2900</v>
      </c>
      <c r="H321" t="s">
        <v>2961</v>
      </c>
      <c r="I321" t="s">
        <v>2217</v>
      </c>
      <c r="J321" t="s">
        <v>1714</v>
      </c>
      <c r="K321" t="s">
        <v>2851</v>
      </c>
      <c r="L321">
        <v>0</v>
      </c>
      <c r="M321">
        <v>0</v>
      </c>
      <c r="O321">
        <v>0</v>
      </c>
      <c r="P321">
        <v>0</v>
      </c>
      <c r="Q321">
        <v>0</v>
      </c>
      <c r="R321" s="49"/>
      <c r="T321" t="s">
        <v>2468</v>
      </c>
      <c r="U321" t="s">
        <v>127</v>
      </c>
      <c r="V321" t="s">
        <v>140</v>
      </c>
      <c r="W321">
        <v>50</v>
      </c>
      <c r="X321">
        <v>0</v>
      </c>
      <c r="AA321" t="s">
        <v>141</v>
      </c>
      <c r="AB321" t="s">
        <v>142</v>
      </c>
      <c r="AC321">
        <v>11611</v>
      </c>
      <c r="AD321">
        <v>11612</v>
      </c>
      <c r="AF321">
        <v>1</v>
      </c>
    </row>
    <row r="322" spans="1:32">
      <c r="A322">
        <v>1</v>
      </c>
      <c r="E322" t="s">
        <v>3188</v>
      </c>
      <c r="F322">
        <v>48</v>
      </c>
      <c r="G322" t="s">
        <v>2900</v>
      </c>
      <c r="H322" t="s">
        <v>2961</v>
      </c>
      <c r="I322" t="s">
        <v>2217</v>
      </c>
      <c r="J322" t="s">
        <v>1716</v>
      </c>
      <c r="K322" t="s">
        <v>2851</v>
      </c>
      <c r="L322">
        <v>0</v>
      </c>
      <c r="M322">
        <v>0</v>
      </c>
      <c r="O322">
        <v>0</v>
      </c>
      <c r="P322">
        <v>0</v>
      </c>
      <c r="Q322">
        <v>0</v>
      </c>
      <c r="R322" s="49"/>
      <c r="T322" t="s">
        <v>2468</v>
      </c>
      <c r="U322" t="s">
        <v>127</v>
      </c>
      <c r="V322" t="s">
        <v>140</v>
      </c>
      <c r="W322">
        <v>50</v>
      </c>
      <c r="X322">
        <v>0</v>
      </c>
      <c r="AA322" t="s">
        <v>141</v>
      </c>
      <c r="AB322" t="s">
        <v>142</v>
      </c>
      <c r="AC322">
        <v>11611</v>
      </c>
      <c r="AD322">
        <v>11612</v>
      </c>
      <c r="AF322">
        <v>1</v>
      </c>
    </row>
    <row r="323" spans="1:32">
      <c r="A323">
        <v>1</v>
      </c>
      <c r="E323" t="s">
        <v>3189</v>
      </c>
      <c r="F323">
        <v>24</v>
      </c>
      <c r="G323" t="s">
        <v>2900</v>
      </c>
      <c r="H323" t="s">
        <v>2961</v>
      </c>
      <c r="I323" t="s">
        <v>2195</v>
      </c>
      <c r="J323" t="s">
        <v>1718</v>
      </c>
      <c r="K323" t="s">
        <v>2852</v>
      </c>
      <c r="L323">
        <v>0</v>
      </c>
      <c r="M323">
        <v>0</v>
      </c>
      <c r="O323">
        <v>0</v>
      </c>
      <c r="P323">
        <v>0</v>
      </c>
      <c r="Q323">
        <v>0</v>
      </c>
      <c r="R323" s="49"/>
      <c r="T323" t="s">
        <v>2468</v>
      </c>
      <c r="U323" t="s">
        <v>127</v>
      </c>
      <c r="V323" t="s">
        <v>140</v>
      </c>
      <c r="W323">
        <v>50</v>
      </c>
      <c r="X323">
        <v>0</v>
      </c>
      <c r="AA323" t="s">
        <v>141</v>
      </c>
      <c r="AB323" t="s">
        <v>142</v>
      </c>
      <c r="AC323">
        <v>11611</v>
      </c>
      <c r="AD323">
        <v>11612</v>
      </c>
      <c r="AF323">
        <v>1</v>
      </c>
    </row>
    <row r="324" spans="1:32">
      <c r="A324">
        <v>1</v>
      </c>
      <c r="E324" t="s">
        <v>3190</v>
      </c>
      <c r="F324">
        <v>24</v>
      </c>
      <c r="G324" t="s">
        <v>2900</v>
      </c>
      <c r="H324" t="s">
        <v>2961</v>
      </c>
      <c r="I324" t="s">
        <v>2195</v>
      </c>
      <c r="J324" t="s">
        <v>1720</v>
      </c>
      <c r="K324" t="s">
        <v>2852</v>
      </c>
      <c r="L324">
        <v>0</v>
      </c>
      <c r="M324">
        <v>0</v>
      </c>
      <c r="O324">
        <v>0</v>
      </c>
      <c r="P324">
        <v>0</v>
      </c>
      <c r="Q324">
        <v>0</v>
      </c>
      <c r="R324" s="49"/>
      <c r="T324" t="s">
        <v>2468</v>
      </c>
      <c r="U324" t="s">
        <v>127</v>
      </c>
      <c r="V324" t="s">
        <v>140</v>
      </c>
      <c r="W324">
        <v>50</v>
      </c>
      <c r="X324">
        <v>0</v>
      </c>
      <c r="AA324" t="s">
        <v>141</v>
      </c>
      <c r="AB324" t="s">
        <v>142</v>
      </c>
      <c r="AC324">
        <v>11611</v>
      </c>
      <c r="AD324">
        <v>11612</v>
      </c>
      <c r="AF324">
        <v>1</v>
      </c>
    </row>
    <row r="325" spans="1:32">
      <c r="A325">
        <v>1</v>
      </c>
      <c r="E325" t="s">
        <v>3191</v>
      </c>
      <c r="F325">
        <v>24</v>
      </c>
      <c r="G325" t="s">
        <v>2900</v>
      </c>
      <c r="H325" t="s">
        <v>2961</v>
      </c>
      <c r="I325" t="s">
        <v>2193</v>
      </c>
      <c r="J325" t="s">
        <v>1722</v>
      </c>
      <c r="K325" t="s">
        <v>2852</v>
      </c>
      <c r="L325">
        <v>0</v>
      </c>
      <c r="M325">
        <v>0</v>
      </c>
      <c r="O325">
        <v>0</v>
      </c>
      <c r="P325">
        <v>0</v>
      </c>
      <c r="Q325">
        <v>0</v>
      </c>
      <c r="R325" s="49"/>
      <c r="T325" t="s">
        <v>2468</v>
      </c>
      <c r="U325" t="s">
        <v>127</v>
      </c>
      <c r="V325" t="s">
        <v>140</v>
      </c>
      <c r="W325">
        <v>100</v>
      </c>
      <c r="X325">
        <v>0</v>
      </c>
      <c r="AA325" t="s">
        <v>141</v>
      </c>
      <c r="AB325" t="s">
        <v>142</v>
      </c>
      <c r="AC325">
        <v>11611</v>
      </c>
      <c r="AD325">
        <v>11612</v>
      </c>
      <c r="AF325">
        <v>1</v>
      </c>
    </row>
    <row r="326" spans="1:32">
      <c r="A326">
        <v>1</v>
      </c>
      <c r="E326" t="s">
        <v>3192</v>
      </c>
      <c r="F326">
        <v>144</v>
      </c>
      <c r="G326" t="s">
        <v>2900</v>
      </c>
      <c r="H326" t="s">
        <v>2961</v>
      </c>
      <c r="I326" t="s">
        <v>2173</v>
      </c>
      <c r="J326" t="s">
        <v>1724</v>
      </c>
      <c r="K326" t="s">
        <v>2848</v>
      </c>
      <c r="L326">
        <v>0</v>
      </c>
      <c r="M326">
        <v>0</v>
      </c>
      <c r="O326">
        <v>0</v>
      </c>
      <c r="P326">
        <v>0</v>
      </c>
      <c r="Q326">
        <v>0</v>
      </c>
      <c r="R326" s="49"/>
      <c r="T326" t="s">
        <v>2468</v>
      </c>
      <c r="U326" t="s">
        <v>127</v>
      </c>
      <c r="V326" t="s">
        <v>140</v>
      </c>
      <c r="W326">
        <v>10</v>
      </c>
      <c r="X326">
        <v>0</v>
      </c>
      <c r="AA326" t="s">
        <v>141</v>
      </c>
      <c r="AB326" t="s">
        <v>142</v>
      </c>
      <c r="AC326">
        <v>11611</v>
      </c>
      <c r="AD326">
        <v>11612</v>
      </c>
      <c r="AF326">
        <v>1</v>
      </c>
    </row>
    <row r="327" spans="1:32">
      <c r="A327">
        <v>1</v>
      </c>
      <c r="E327" t="s">
        <v>3193</v>
      </c>
      <c r="F327">
        <v>144</v>
      </c>
      <c r="G327" t="s">
        <v>2900</v>
      </c>
      <c r="H327" t="s">
        <v>2961</v>
      </c>
      <c r="I327" t="s">
        <v>2173</v>
      </c>
      <c r="J327" t="s">
        <v>1726</v>
      </c>
      <c r="K327" t="s">
        <v>2848</v>
      </c>
      <c r="L327">
        <v>0</v>
      </c>
      <c r="M327">
        <v>0</v>
      </c>
      <c r="O327">
        <v>0</v>
      </c>
      <c r="P327">
        <v>0</v>
      </c>
      <c r="Q327">
        <v>0</v>
      </c>
      <c r="R327" s="49"/>
      <c r="T327" t="s">
        <v>2468</v>
      </c>
      <c r="U327" t="s">
        <v>127</v>
      </c>
      <c r="V327" t="s">
        <v>140</v>
      </c>
      <c r="W327">
        <v>15</v>
      </c>
      <c r="X327">
        <v>0</v>
      </c>
      <c r="AA327" t="s">
        <v>141</v>
      </c>
      <c r="AB327" t="s">
        <v>142</v>
      </c>
      <c r="AC327">
        <v>11611</v>
      </c>
      <c r="AD327">
        <v>11612</v>
      </c>
      <c r="AF327">
        <v>1</v>
      </c>
    </row>
    <row r="328" spans="1:32">
      <c r="A328">
        <v>1</v>
      </c>
      <c r="E328" t="s">
        <v>3194</v>
      </c>
      <c r="F328">
        <v>144</v>
      </c>
      <c r="G328" t="s">
        <v>2900</v>
      </c>
      <c r="H328" t="s">
        <v>2961</v>
      </c>
      <c r="I328" t="s">
        <v>2173</v>
      </c>
      <c r="J328" t="s">
        <v>1728</v>
      </c>
      <c r="K328" t="s">
        <v>2848</v>
      </c>
      <c r="L328">
        <v>0</v>
      </c>
      <c r="M328">
        <v>0</v>
      </c>
      <c r="O328">
        <v>0</v>
      </c>
      <c r="P328">
        <v>0</v>
      </c>
      <c r="Q328">
        <v>0</v>
      </c>
      <c r="R328" s="49"/>
      <c r="T328" t="s">
        <v>2468</v>
      </c>
      <c r="U328" t="s">
        <v>127</v>
      </c>
      <c r="V328" t="s">
        <v>140</v>
      </c>
      <c r="W328">
        <v>15</v>
      </c>
      <c r="X328">
        <v>0</v>
      </c>
      <c r="AA328" t="s">
        <v>141</v>
      </c>
      <c r="AB328" t="s">
        <v>142</v>
      </c>
      <c r="AC328">
        <v>11611</v>
      </c>
      <c r="AD328">
        <v>11612</v>
      </c>
      <c r="AF328">
        <v>1</v>
      </c>
    </row>
    <row r="329" spans="1:32">
      <c r="A329">
        <v>1</v>
      </c>
      <c r="E329" t="s">
        <v>3195</v>
      </c>
      <c r="F329">
        <v>144</v>
      </c>
      <c r="G329" t="s">
        <v>2900</v>
      </c>
      <c r="H329" t="s">
        <v>2961</v>
      </c>
      <c r="I329" t="s">
        <v>2173</v>
      </c>
      <c r="J329" t="s">
        <v>1730</v>
      </c>
      <c r="K329" t="s">
        <v>2848</v>
      </c>
      <c r="L329">
        <v>0</v>
      </c>
      <c r="M329">
        <v>0</v>
      </c>
      <c r="O329">
        <v>0</v>
      </c>
      <c r="P329">
        <v>0</v>
      </c>
      <c r="Q329">
        <v>0</v>
      </c>
      <c r="R329" s="49"/>
      <c r="T329" t="s">
        <v>2468</v>
      </c>
      <c r="U329" t="s">
        <v>127</v>
      </c>
      <c r="V329" t="s">
        <v>140</v>
      </c>
      <c r="W329">
        <v>15</v>
      </c>
      <c r="X329">
        <v>0</v>
      </c>
      <c r="AA329" t="s">
        <v>141</v>
      </c>
      <c r="AB329" t="s">
        <v>142</v>
      </c>
      <c r="AC329">
        <v>11611</v>
      </c>
      <c r="AD329">
        <v>11612</v>
      </c>
      <c r="AF329">
        <v>1</v>
      </c>
    </row>
    <row r="330" spans="1:32">
      <c r="A330">
        <v>1</v>
      </c>
      <c r="E330" t="s">
        <v>3196</v>
      </c>
      <c r="F330">
        <v>144</v>
      </c>
      <c r="G330" t="s">
        <v>2900</v>
      </c>
      <c r="H330" t="s">
        <v>2961</v>
      </c>
      <c r="I330" t="s">
        <v>2173</v>
      </c>
      <c r="J330" t="s">
        <v>1732</v>
      </c>
      <c r="K330" t="s">
        <v>2848</v>
      </c>
      <c r="L330">
        <v>0</v>
      </c>
      <c r="M330">
        <v>0</v>
      </c>
      <c r="O330">
        <v>0</v>
      </c>
      <c r="P330">
        <v>0</v>
      </c>
      <c r="Q330">
        <v>0</v>
      </c>
      <c r="R330" s="49"/>
      <c r="T330" t="s">
        <v>2468</v>
      </c>
      <c r="U330" t="s">
        <v>127</v>
      </c>
      <c r="V330" t="s">
        <v>140</v>
      </c>
      <c r="W330">
        <v>10</v>
      </c>
      <c r="X330">
        <v>0</v>
      </c>
      <c r="AA330" t="s">
        <v>141</v>
      </c>
      <c r="AB330" t="s">
        <v>142</v>
      </c>
      <c r="AC330">
        <v>11611</v>
      </c>
      <c r="AD330">
        <v>11612</v>
      </c>
      <c r="AF330">
        <v>1</v>
      </c>
    </row>
    <row r="331" spans="1:32">
      <c r="A331">
        <v>1</v>
      </c>
      <c r="E331" t="s">
        <v>3197</v>
      </c>
      <c r="F331">
        <v>36</v>
      </c>
      <c r="G331" t="s">
        <v>2900</v>
      </c>
      <c r="H331" t="s">
        <v>2961</v>
      </c>
      <c r="I331" t="s">
        <v>2175</v>
      </c>
      <c r="J331" t="s">
        <v>1735</v>
      </c>
      <c r="K331" t="s">
        <v>2847</v>
      </c>
      <c r="L331">
        <v>0</v>
      </c>
      <c r="M331">
        <v>0</v>
      </c>
      <c r="O331">
        <v>0</v>
      </c>
      <c r="P331">
        <v>0</v>
      </c>
      <c r="Q331">
        <v>0</v>
      </c>
      <c r="R331" s="49"/>
      <c r="T331" t="s">
        <v>2468</v>
      </c>
      <c r="U331" t="s">
        <v>127</v>
      </c>
      <c r="V331" t="s">
        <v>140</v>
      </c>
      <c r="W331">
        <v>60</v>
      </c>
      <c r="X331">
        <v>0</v>
      </c>
      <c r="AA331" t="s">
        <v>141</v>
      </c>
      <c r="AB331" t="s">
        <v>142</v>
      </c>
      <c r="AC331">
        <v>11611</v>
      </c>
      <c r="AD331">
        <v>11612</v>
      </c>
      <c r="AF331">
        <v>1</v>
      </c>
    </row>
    <row r="332" spans="1:32">
      <c r="A332">
        <v>1</v>
      </c>
      <c r="E332" t="s">
        <v>3198</v>
      </c>
      <c r="F332">
        <v>36</v>
      </c>
      <c r="G332" t="s">
        <v>2900</v>
      </c>
      <c r="H332" t="s">
        <v>2961</v>
      </c>
      <c r="I332" t="s">
        <v>2175</v>
      </c>
      <c r="J332" t="s">
        <v>1737</v>
      </c>
      <c r="K332" t="s">
        <v>2847</v>
      </c>
      <c r="L332">
        <v>0</v>
      </c>
      <c r="M332">
        <v>0</v>
      </c>
      <c r="O332">
        <v>0</v>
      </c>
      <c r="P332">
        <v>0</v>
      </c>
      <c r="Q332">
        <v>0</v>
      </c>
      <c r="R332" s="49"/>
      <c r="T332" t="s">
        <v>2468</v>
      </c>
      <c r="U332" t="s">
        <v>127</v>
      </c>
      <c r="V332" t="s">
        <v>140</v>
      </c>
      <c r="W332">
        <v>100</v>
      </c>
      <c r="X332">
        <v>0</v>
      </c>
      <c r="AA332" t="s">
        <v>141</v>
      </c>
      <c r="AB332" t="s">
        <v>142</v>
      </c>
      <c r="AC332">
        <v>11611</v>
      </c>
      <c r="AD332">
        <v>11612</v>
      </c>
      <c r="AF332">
        <v>1</v>
      </c>
    </row>
    <row r="333" spans="1:32">
      <c r="A333">
        <v>1</v>
      </c>
      <c r="E333" t="s">
        <v>3199</v>
      </c>
      <c r="F333">
        <v>36</v>
      </c>
      <c r="G333" t="s">
        <v>2900</v>
      </c>
      <c r="H333" t="s">
        <v>2961</v>
      </c>
      <c r="I333" t="s">
        <v>2175</v>
      </c>
      <c r="J333" t="s">
        <v>1739</v>
      </c>
      <c r="K333" t="s">
        <v>2847</v>
      </c>
      <c r="L333">
        <v>0</v>
      </c>
      <c r="M333">
        <v>0</v>
      </c>
      <c r="O333">
        <v>0</v>
      </c>
      <c r="P333">
        <v>0</v>
      </c>
      <c r="Q333">
        <v>0</v>
      </c>
      <c r="R333" s="49"/>
      <c r="T333" t="s">
        <v>2468</v>
      </c>
      <c r="U333" t="s">
        <v>127</v>
      </c>
      <c r="V333" t="s">
        <v>140</v>
      </c>
      <c r="W333">
        <v>60</v>
      </c>
      <c r="X333">
        <v>0</v>
      </c>
      <c r="AA333" t="s">
        <v>141</v>
      </c>
      <c r="AB333" t="s">
        <v>142</v>
      </c>
      <c r="AC333">
        <v>11611</v>
      </c>
      <c r="AD333">
        <v>11612</v>
      </c>
      <c r="AF333">
        <v>1</v>
      </c>
    </row>
    <row r="334" spans="1:32">
      <c r="A334">
        <v>1</v>
      </c>
      <c r="E334" t="s">
        <v>3200</v>
      </c>
      <c r="F334">
        <v>36</v>
      </c>
      <c r="G334" t="s">
        <v>2900</v>
      </c>
      <c r="H334" t="s">
        <v>2961</v>
      </c>
      <c r="I334" t="s">
        <v>2175</v>
      </c>
      <c r="J334" t="s">
        <v>1741</v>
      </c>
      <c r="K334" t="s">
        <v>2847</v>
      </c>
      <c r="L334">
        <v>0</v>
      </c>
      <c r="M334">
        <v>0</v>
      </c>
      <c r="O334">
        <v>0</v>
      </c>
      <c r="P334">
        <v>0</v>
      </c>
      <c r="Q334">
        <v>0</v>
      </c>
      <c r="R334" s="49"/>
      <c r="T334" t="s">
        <v>2468</v>
      </c>
      <c r="U334" t="s">
        <v>127</v>
      </c>
      <c r="V334" t="s">
        <v>140</v>
      </c>
      <c r="W334">
        <v>100</v>
      </c>
      <c r="X334">
        <v>0</v>
      </c>
      <c r="AA334" t="s">
        <v>141</v>
      </c>
      <c r="AB334" t="s">
        <v>142</v>
      </c>
      <c r="AC334">
        <v>11611</v>
      </c>
      <c r="AD334">
        <v>11612</v>
      </c>
      <c r="AF334">
        <v>1</v>
      </c>
    </row>
    <row r="335" spans="1:32">
      <c r="A335">
        <v>1</v>
      </c>
      <c r="E335" t="s">
        <v>3201</v>
      </c>
      <c r="F335">
        <v>48</v>
      </c>
      <c r="G335" t="s">
        <v>2900</v>
      </c>
      <c r="H335" t="s">
        <v>2961</v>
      </c>
      <c r="I335" t="s">
        <v>2177</v>
      </c>
      <c r="J335" t="s">
        <v>1743</v>
      </c>
      <c r="K335" t="s">
        <v>2851</v>
      </c>
      <c r="L335">
        <v>0</v>
      </c>
      <c r="M335">
        <v>0</v>
      </c>
      <c r="O335">
        <v>0</v>
      </c>
      <c r="P335">
        <v>0</v>
      </c>
      <c r="Q335">
        <v>0</v>
      </c>
      <c r="R335" s="49"/>
      <c r="T335" t="s">
        <v>2468</v>
      </c>
      <c r="U335" t="s">
        <v>127</v>
      </c>
      <c r="V335" t="s">
        <v>140</v>
      </c>
      <c r="W335">
        <v>3</v>
      </c>
      <c r="X335">
        <v>0</v>
      </c>
      <c r="AA335" t="s">
        <v>141</v>
      </c>
      <c r="AB335" t="s">
        <v>142</v>
      </c>
      <c r="AC335">
        <v>11611</v>
      </c>
      <c r="AD335">
        <v>11612</v>
      </c>
      <c r="AF335">
        <v>1</v>
      </c>
    </row>
    <row r="336" spans="1:32">
      <c r="A336">
        <v>1</v>
      </c>
      <c r="E336" t="s">
        <v>3202</v>
      </c>
      <c r="F336">
        <v>48</v>
      </c>
      <c r="G336" t="s">
        <v>2900</v>
      </c>
      <c r="H336" t="s">
        <v>2961</v>
      </c>
      <c r="I336" t="s">
        <v>2177</v>
      </c>
      <c r="J336" t="s">
        <v>1747</v>
      </c>
      <c r="K336" t="s">
        <v>2851</v>
      </c>
      <c r="L336">
        <v>0</v>
      </c>
      <c r="M336">
        <v>0</v>
      </c>
      <c r="O336">
        <v>0</v>
      </c>
      <c r="P336">
        <v>0</v>
      </c>
      <c r="Q336">
        <v>0</v>
      </c>
      <c r="R336" s="49"/>
      <c r="T336" t="s">
        <v>2468</v>
      </c>
      <c r="U336" t="s">
        <v>127</v>
      </c>
      <c r="V336" t="s">
        <v>140</v>
      </c>
      <c r="W336">
        <v>3</v>
      </c>
      <c r="X336">
        <v>0</v>
      </c>
      <c r="AA336" t="s">
        <v>141</v>
      </c>
      <c r="AB336" t="s">
        <v>142</v>
      </c>
      <c r="AC336">
        <v>11611</v>
      </c>
      <c r="AD336">
        <v>11612</v>
      </c>
      <c r="AF336">
        <v>1</v>
      </c>
    </row>
    <row r="337" spans="1:32">
      <c r="A337">
        <v>1</v>
      </c>
      <c r="E337" t="s">
        <v>3203</v>
      </c>
      <c r="F337">
        <v>24</v>
      </c>
      <c r="G337" t="s">
        <v>2900</v>
      </c>
      <c r="H337" t="s">
        <v>2961</v>
      </c>
      <c r="I337" t="s">
        <v>2177</v>
      </c>
      <c r="J337" t="s">
        <v>1749</v>
      </c>
      <c r="K337" t="s">
        <v>2852</v>
      </c>
      <c r="L337">
        <v>0</v>
      </c>
      <c r="M337">
        <v>0</v>
      </c>
      <c r="O337">
        <v>0</v>
      </c>
      <c r="P337">
        <v>0</v>
      </c>
      <c r="Q337">
        <v>0</v>
      </c>
      <c r="R337" s="49"/>
      <c r="T337" t="s">
        <v>2468</v>
      </c>
      <c r="U337" t="s">
        <v>127</v>
      </c>
      <c r="V337" t="s">
        <v>140</v>
      </c>
      <c r="W337">
        <v>3</v>
      </c>
      <c r="X337">
        <v>0</v>
      </c>
      <c r="AA337" t="s">
        <v>141</v>
      </c>
      <c r="AB337" t="s">
        <v>142</v>
      </c>
      <c r="AC337">
        <v>11611</v>
      </c>
      <c r="AD337">
        <v>11612</v>
      </c>
      <c r="AF337">
        <v>1</v>
      </c>
    </row>
    <row r="338" spans="1:32">
      <c r="A338">
        <v>1</v>
      </c>
      <c r="E338" t="s">
        <v>3204</v>
      </c>
      <c r="F338">
        <v>144</v>
      </c>
      <c r="G338" t="s">
        <v>2900</v>
      </c>
      <c r="H338" t="s">
        <v>2961</v>
      </c>
      <c r="I338" t="s">
        <v>2165</v>
      </c>
      <c r="J338" t="s">
        <v>1751</v>
      </c>
      <c r="K338" t="s">
        <v>2848</v>
      </c>
      <c r="L338">
        <v>0</v>
      </c>
      <c r="M338">
        <v>0</v>
      </c>
      <c r="O338">
        <v>0</v>
      </c>
      <c r="P338">
        <v>0</v>
      </c>
      <c r="Q338">
        <v>0</v>
      </c>
      <c r="R338" s="49"/>
      <c r="T338" t="s">
        <v>2468</v>
      </c>
      <c r="U338" t="s">
        <v>127</v>
      </c>
      <c r="V338" t="s">
        <v>140</v>
      </c>
      <c r="W338">
        <v>15</v>
      </c>
      <c r="X338">
        <v>0</v>
      </c>
      <c r="AA338" t="s">
        <v>141</v>
      </c>
      <c r="AB338" t="s">
        <v>142</v>
      </c>
      <c r="AC338">
        <v>11611</v>
      </c>
      <c r="AD338">
        <v>11612</v>
      </c>
      <c r="AF338">
        <v>1</v>
      </c>
    </row>
    <row r="339" spans="1:32">
      <c r="A339">
        <v>1</v>
      </c>
      <c r="E339" t="s">
        <v>3205</v>
      </c>
      <c r="F339">
        <v>144</v>
      </c>
      <c r="G339" t="s">
        <v>2900</v>
      </c>
      <c r="H339" t="s">
        <v>2961</v>
      </c>
      <c r="I339" t="s">
        <v>2165</v>
      </c>
      <c r="J339" t="s">
        <v>1754</v>
      </c>
      <c r="K339" t="s">
        <v>2848</v>
      </c>
      <c r="L339">
        <v>0</v>
      </c>
      <c r="M339">
        <v>0</v>
      </c>
      <c r="O339">
        <v>0</v>
      </c>
      <c r="P339">
        <v>0</v>
      </c>
      <c r="Q339">
        <v>0</v>
      </c>
      <c r="R339" s="49"/>
      <c r="T339" t="s">
        <v>2468</v>
      </c>
      <c r="U339" t="s">
        <v>127</v>
      </c>
      <c r="V339" t="s">
        <v>140</v>
      </c>
      <c r="W339">
        <v>15</v>
      </c>
      <c r="X339">
        <v>0</v>
      </c>
      <c r="AA339" t="s">
        <v>141</v>
      </c>
      <c r="AB339" t="s">
        <v>142</v>
      </c>
      <c r="AC339">
        <v>11611</v>
      </c>
      <c r="AD339">
        <v>11612</v>
      </c>
      <c r="AF339">
        <v>1</v>
      </c>
    </row>
    <row r="340" spans="1:32">
      <c r="A340">
        <v>1</v>
      </c>
      <c r="E340" t="s">
        <v>3206</v>
      </c>
      <c r="F340">
        <v>144</v>
      </c>
      <c r="G340" t="s">
        <v>2900</v>
      </c>
      <c r="H340" t="s">
        <v>2961</v>
      </c>
      <c r="I340" t="s">
        <v>2165</v>
      </c>
      <c r="J340" t="s">
        <v>2725</v>
      </c>
      <c r="K340" t="s">
        <v>2848</v>
      </c>
      <c r="L340">
        <v>0</v>
      </c>
      <c r="M340">
        <v>0</v>
      </c>
      <c r="O340">
        <v>0</v>
      </c>
      <c r="P340">
        <v>0</v>
      </c>
      <c r="Q340">
        <v>0</v>
      </c>
      <c r="R340" s="49"/>
      <c r="T340" t="s">
        <v>2468</v>
      </c>
      <c r="U340" t="s">
        <v>127</v>
      </c>
      <c r="V340" t="s">
        <v>140</v>
      </c>
      <c r="W340">
        <v>15</v>
      </c>
      <c r="X340">
        <v>0</v>
      </c>
      <c r="AA340" t="s">
        <v>141</v>
      </c>
      <c r="AB340" t="s">
        <v>142</v>
      </c>
      <c r="AC340">
        <v>11611</v>
      </c>
      <c r="AD340">
        <v>11612</v>
      </c>
      <c r="AF340">
        <v>1</v>
      </c>
    </row>
    <row r="341" spans="1:32">
      <c r="A341">
        <v>1</v>
      </c>
      <c r="E341" t="s">
        <v>3207</v>
      </c>
      <c r="F341">
        <v>144</v>
      </c>
      <c r="G341" t="s">
        <v>2900</v>
      </c>
      <c r="H341" t="s">
        <v>2961</v>
      </c>
      <c r="I341" t="s">
        <v>2165</v>
      </c>
      <c r="J341" t="s">
        <v>1759</v>
      </c>
      <c r="K341" t="s">
        <v>2848</v>
      </c>
      <c r="L341">
        <v>0</v>
      </c>
      <c r="M341">
        <v>0</v>
      </c>
      <c r="O341">
        <v>0</v>
      </c>
      <c r="P341">
        <v>0</v>
      </c>
      <c r="Q341">
        <v>0</v>
      </c>
      <c r="R341" s="49"/>
      <c r="T341" t="s">
        <v>2468</v>
      </c>
      <c r="U341" t="s">
        <v>127</v>
      </c>
      <c r="V341" t="s">
        <v>140</v>
      </c>
      <c r="W341">
        <v>15</v>
      </c>
      <c r="X341">
        <v>0</v>
      </c>
      <c r="AA341" t="s">
        <v>141</v>
      </c>
      <c r="AB341" t="s">
        <v>142</v>
      </c>
      <c r="AC341">
        <v>11611</v>
      </c>
      <c r="AD341">
        <v>11612</v>
      </c>
      <c r="AF341">
        <v>1</v>
      </c>
    </row>
    <row r="342" spans="1:32">
      <c r="A342">
        <v>1</v>
      </c>
      <c r="E342" t="s">
        <v>3208</v>
      </c>
      <c r="F342">
        <v>72</v>
      </c>
      <c r="G342" t="s">
        <v>2900</v>
      </c>
      <c r="H342" t="s">
        <v>2961</v>
      </c>
      <c r="I342" t="s">
        <v>2161</v>
      </c>
      <c r="J342" t="s">
        <v>1761</v>
      </c>
      <c r="K342" t="s">
        <v>2846</v>
      </c>
      <c r="L342">
        <v>0</v>
      </c>
      <c r="M342">
        <v>0</v>
      </c>
      <c r="O342">
        <v>0</v>
      </c>
      <c r="P342">
        <v>0</v>
      </c>
      <c r="Q342">
        <v>0</v>
      </c>
      <c r="R342" s="49"/>
      <c r="T342" t="s">
        <v>2468</v>
      </c>
      <c r="U342" t="s">
        <v>127</v>
      </c>
      <c r="V342" t="s">
        <v>140</v>
      </c>
      <c r="W342">
        <v>15</v>
      </c>
      <c r="X342">
        <v>0</v>
      </c>
      <c r="AA342" t="s">
        <v>141</v>
      </c>
      <c r="AB342" t="s">
        <v>142</v>
      </c>
      <c r="AC342">
        <v>11611</v>
      </c>
      <c r="AD342">
        <v>11612</v>
      </c>
      <c r="AF342">
        <v>1</v>
      </c>
    </row>
    <row r="343" spans="1:32">
      <c r="A343">
        <v>1</v>
      </c>
      <c r="E343" t="s">
        <v>3209</v>
      </c>
      <c r="F343">
        <v>72</v>
      </c>
      <c r="G343" t="s">
        <v>2900</v>
      </c>
      <c r="H343" t="s">
        <v>2961</v>
      </c>
      <c r="I343" t="s">
        <v>2161</v>
      </c>
      <c r="J343" t="s">
        <v>1763</v>
      </c>
      <c r="K343" t="s">
        <v>2846</v>
      </c>
      <c r="L343">
        <v>0</v>
      </c>
      <c r="M343">
        <v>0</v>
      </c>
      <c r="O343">
        <v>0</v>
      </c>
      <c r="P343">
        <v>0</v>
      </c>
      <c r="Q343">
        <v>0</v>
      </c>
      <c r="R343" s="49"/>
      <c r="T343" t="s">
        <v>2468</v>
      </c>
      <c r="U343" t="s">
        <v>127</v>
      </c>
      <c r="V343" t="s">
        <v>140</v>
      </c>
      <c r="W343">
        <v>15</v>
      </c>
      <c r="X343">
        <v>0</v>
      </c>
      <c r="AA343" t="s">
        <v>141</v>
      </c>
      <c r="AB343" t="s">
        <v>142</v>
      </c>
      <c r="AC343">
        <v>11611</v>
      </c>
      <c r="AD343">
        <v>11612</v>
      </c>
      <c r="AF343">
        <v>1</v>
      </c>
    </row>
    <row r="344" spans="1:32">
      <c r="A344">
        <v>1</v>
      </c>
      <c r="E344" t="s">
        <v>3210</v>
      </c>
      <c r="F344">
        <v>144</v>
      </c>
      <c r="G344" t="s">
        <v>2900</v>
      </c>
      <c r="H344" t="s">
        <v>2961</v>
      </c>
      <c r="I344" t="s">
        <v>2163</v>
      </c>
      <c r="J344" t="s">
        <v>1765</v>
      </c>
      <c r="K344" t="s">
        <v>2848</v>
      </c>
      <c r="L344">
        <v>0</v>
      </c>
      <c r="M344">
        <v>0</v>
      </c>
      <c r="O344">
        <v>0</v>
      </c>
      <c r="P344">
        <v>0</v>
      </c>
      <c r="Q344">
        <v>0</v>
      </c>
      <c r="R344" s="49"/>
      <c r="T344" t="s">
        <v>2468</v>
      </c>
      <c r="U344" t="s">
        <v>127</v>
      </c>
      <c r="V344" t="s">
        <v>140</v>
      </c>
      <c r="W344">
        <v>15</v>
      </c>
      <c r="X344">
        <v>0</v>
      </c>
      <c r="AA344" t="s">
        <v>141</v>
      </c>
      <c r="AB344" t="s">
        <v>142</v>
      </c>
      <c r="AC344">
        <v>11611</v>
      </c>
      <c r="AD344">
        <v>11612</v>
      </c>
      <c r="AF344">
        <v>1</v>
      </c>
    </row>
    <row r="345" spans="1:32">
      <c r="A345">
        <v>1</v>
      </c>
      <c r="E345" t="s">
        <v>3211</v>
      </c>
      <c r="F345">
        <v>144</v>
      </c>
      <c r="G345" t="s">
        <v>2900</v>
      </c>
      <c r="H345" t="s">
        <v>2961</v>
      </c>
      <c r="I345" t="s">
        <v>2163</v>
      </c>
      <c r="J345" t="s">
        <v>1767</v>
      </c>
      <c r="K345" t="s">
        <v>2848</v>
      </c>
      <c r="L345">
        <v>0</v>
      </c>
      <c r="M345">
        <v>0</v>
      </c>
      <c r="O345">
        <v>0</v>
      </c>
      <c r="P345">
        <v>0</v>
      </c>
      <c r="Q345">
        <v>0</v>
      </c>
      <c r="R345" s="49"/>
      <c r="T345" t="s">
        <v>2468</v>
      </c>
      <c r="U345" t="s">
        <v>127</v>
      </c>
      <c r="V345" t="s">
        <v>140</v>
      </c>
      <c r="W345">
        <v>15</v>
      </c>
      <c r="X345">
        <v>0</v>
      </c>
      <c r="AA345" t="s">
        <v>141</v>
      </c>
      <c r="AB345" t="s">
        <v>142</v>
      </c>
      <c r="AC345">
        <v>11611</v>
      </c>
      <c r="AD345">
        <v>11612</v>
      </c>
      <c r="AF345">
        <v>1</v>
      </c>
    </row>
    <row r="346" spans="1:32">
      <c r="A346">
        <v>1</v>
      </c>
      <c r="E346" t="s">
        <v>3212</v>
      </c>
      <c r="F346">
        <v>144</v>
      </c>
      <c r="G346" t="s">
        <v>2900</v>
      </c>
      <c r="H346" t="s">
        <v>2961</v>
      </c>
      <c r="I346" t="s">
        <v>2163</v>
      </c>
      <c r="J346" t="s">
        <v>2726</v>
      </c>
      <c r="K346" t="s">
        <v>2848</v>
      </c>
      <c r="L346">
        <v>0</v>
      </c>
      <c r="M346">
        <v>0</v>
      </c>
      <c r="O346">
        <v>0</v>
      </c>
      <c r="P346">
        <v>0</v>
      </c>
      <c r="Q346">
        <v>0</v>
      </c>
      <c r="R346" s="49"/>
      <c r="T346" t="s">
        <v>2468</v>
      </c>
      <c r="U346" t="s">
        <v>127</v>
      </c>
      <c r="V346" t="s">
        <v>140</v>
      </c>
      <c r="W346">
        <v>15</v>
      </c>
      <c r="X346">
        <v>0</v>
      </c>
      <c r="AA346" t="s">
        <v>141</v>
      </c>
      <c r="AB346" t="s">
        <v>142</v>
      </c>
      <c r="AC346">
        <v>11611</v>
      </c>
      <c r="AD346">
        <v>11612</v>
      </c>
      <c r="AF346">
        <v>1</v>
      </c>
    </row>
    <row r="347" spans="1:32">
      <c r="A347">
        <v>1</v>
      </c>
      <c r="E347" t="s">
        <v>3213</v>
      </c>
      <c r="F347">
        <v>144</v>
      </c>
      <c r="G347" t="s">
        <v>2900</v>
      </c>
      <c r="H347" t="s">
        <v>2961</v>
      </c>
      <c r="I347" t="s">
        <v>2163</v>
      </c>
      <c r="J347" t="s">
        <v>1771</v>
      </c>
      <c r="K347" t="s">
        <v>2848</v>
      </c>
      <c r="L347">
        <v>0</v>
      </c>
      <c r="M347">
        <v>0</v>
      </c>
      <c r="O347">
        <v>0</v>
      </c>
      <c r="P347">
        <v>0</v>
      </c>
      <c r="Q347">
        <v>0</v>
      </c>
      <c r="R347" s="49"/>
      <c r="T347" t="s">
        <v>2468</v>
      </c>
      <c r="U347" t="s">
        <v>127</v>
      </c>
      <c r="V347" t="s">
        <v>140</v>
      </c>
      <c r="W347">
        <v>15</v>
      </c>
      <c r="X347">
        <v>0</v>
      </c>
      <c r="AA347" t="s">
        <v>141</v>
      </c>
      <c r="AB347" t="s">
        <v>142</v>
      </c>
      <c r="AC347">
        <v>11611</v>
      </c>
      <c r="AD347">
        <v>11612</v>
      </c>
      <c r="AF347">
        <v>1</v>
      </c>
    </row>
    <row r="348" spans="1:32">
      <c r="A348">
        <v>1</v>
      </c>
      <c r="E348" t="s">
        <v>3214</v>
      </c>
      <c r="F348">
        <v>144</v>
      </c>
      <c r="G348" t="s">
        <v>2900</v>
      </c>
      <c r="H348" t="s">
        <v>2961</v>
      </c>
      <c r="I348" t="s">
        <v>2167</v>
      </c>
      <c r="J348" t="s">
        <v>2727</v>
      </c>
      <c r="K348" t="s">
        <v>2848</v>
      </c>
      <c r="L348">
        <v>0</v>
      </c>
      <c r="M348">
        <v>0</v>
      </c>
      <c r="O348">
        <v>0</v>
      </c>
      <c r="P348">
        <v>0</v>
      </c>
      <c r="Q348">
        <v>0</v>
      </c>
      <c r="R348" s="49"/>
      <c r="T348" t="s">
        <v>2468</v>
      </c>
      <c r="U348" t="s">
        <v>127</v>
      </c>
      <c r="V348" t="s">
        <v>140</v>
      </c>
      <c r="W348">
        <v>0</v>
      </c>
      <c r="X348">
        <v>0</v>
      </c>
      <c r="AA348" t="s">
        <v>141</v>
      </c>
      <c r="AB348" t="s">
        <v>142</v>
      </c>
      <c r="AC348">
        <v>11611</v>
      </c>
      <c r="AD348">
        <v>11612</v>
      </c>
      <c r="AF348">
        <v>1</v>
      </c>
    </row>
    <row r="349" spans="1:32">
      <c r="A349">
        <v>1</v>
      </c>
      <c r="E349" t="s">
        <v>3215</v>
      </c>
      <c r="F349">
        <v>288</v>
      </c>
      <c r="G349" t="s">
        <v>2900</v>
      </c>
      <c r="H349" t="s">
        <v>2961</v>
      </c>
      <c r="I349" t="s">
        <v>2167</v>
      </c>
      <c r="J349" t="s">
        <v>1775</v>
      </c>
      <c r="K349" t="s">
        <v>2857</v>
      </c>
      <c r="L349">
        <v>0</v>
      </c>
      <c r="M349">
        <v>0</v>
      </c>
      <c r="O349">
        <v>0</v>
      </c>
      <c r="P349">
        <v>0</v>
      </c>
      <c r="Q349">
        <v>0</v>
      </c>
      <c r="R349" s="49"/>
      <c r="T349" t="s">
        <v>2468</v>
      </c>
      <c r="U349" t="s">
        <v>127</v>
      </c>
      <c r="V349" t="s">
        <v>140</v>
      </c>
      <c r="W349">
        <v>0</v>
      </c>
      <c r="X349">
        <v>0</v>
      </c>
      <c r="AA349" t="s">
        <v>141</v>
      </c>
      <c r="AB349" t="s">
        <v>142</v>
      </c>
      <c r="AC349">
        <v>11611</v>
      </c>
      <c r="AD349">
        <v>11612</v>
      </c>
      <c r="AF349">
        <v>1</v>
      </c>
    </row>
    <row r="350" spans="1:32">
      <c r="A350">
        <v>1</v>
      </c>
      <c r="E350" t="s">
        <v>3216</v>
      </c>
      <c r="F350">
        <v>24</v>
      </c>
      <c r="G350" t="s">
        <v>2900</v>
      </c>
      <c r="H350" t="s">
        <v>2961</v>
      </c>
      <c r="I350" t="s">
        <v>2169</v>
      </c>
      <c r="J350" t="s">
        <v>2728</v>
      </c>
      <c r="K350" t="s">
        <v>2852</v>
      </c>
      <c r="L350">
        <v>0</v>
      </c>
      <c r="M350">
        <v>0</v>
      </c>
      <c r="O350">
        <v>0</v>
      </c>
      <c r="P350">
        <v>0</v>
      </c>
      <c r="Q350">
        <v>0</v>
      </c>
      <c r="R350" s="49"/>
      <c r="T350" t="s">
        <v>2468</v>
      </c>
      <c r="U350" t="s">
        <v>127</v>
      </c>
      <c r="V350" t="s">
        <v>140</v>
      </c>
      <c r="W350">
        <v>30</v>
      </c>
      <c r="X350">
        <v>0</v>
      </c>
      <c r="AA350" t="s">
        <v>141</v>
      </c>
      <c r="AB350" t="s">
        <v>142</v>
      </c>
      <c r="AC350">
        <v>11611</v>
      </c>
      <c r="AD350">
        <v>11612</v>
      </c>
      <c r="AF350">
        <v>1</v>
      </c>
    </row>
    <row r="351" spans="1:32">
      <c r="A351">
        <v>1</v>
      </c>
      <c r="E351" t="s">
        <v>3217</v>
      </c>
      <c r="F351">
        <v>24</v>
      </c>
      <c r="G351" t="s">
        <v>2900</v>
      </c>
      <c r="H351" t="s">
        <v>2961</v>
      </c>
      <c r="I351" t="s">
        <v>2169</v>
      </c>
      <c r="J351" t="s">
        <v>1779</v>
      </c>
      <c r="K351" t="s">
        <v>2852</v>
      </c>
      <c r="L351">
        <v>0</v>
      </c>
      <c r="M351">
        <v>0</v>
      </c>
      <c r="O351">
        <v>0</v>
      </c>
      <c r="P351">
        <v>0</v>
      </c>
      <c r="Q351">
        <v>0</v>
      </c>
      <c r="R351" s="49"/>
      <c r="T351" t="s">
        <v>2468</v>
      </c>
      <c r="U351" t="s">
        <v>127</v>
      </c>
      <c r="V351" t="s">
        <v>140</v>
      </c>
      <c r="W351">
        <v>30</v>
      </c>
      <c r="X351">
        <v>0</v>
      </c>
      <c r="AA351" t="s">
        <v>141</v>
      </c>
      <c r="AB351" t="s">
        <v>142</v>
      </c>
      <c r="AC351">
        <v>11611</v>
      </c>
      <c r="AD351">
        <v>11612</v>
      </c>
      <c r="AF351">
        <v>1</v>
      </c>
    </row>
    <row r="352" spans="1:32">
      <c r="A352">
        <v>1</v>
      </c>
      <c r="E352" t="s">
        <v>3218</v>
      </c>
      <c r="F352">
        <v>24</v>
      </c>
      <c r="G352" t="s">
        <v>2900</v>
      </c>
      <c r="H352" t="s">
        <v>2961</v>
      </c>
      <c r="I352" t="s">
        <v>2169</v>
      </c>
      <c r="J352" t="s">
        <v>1781</v>
      </c>
      <c r="K352" t="s">
        <v>2852</v>
      </c>
      <c r="L352">
        <v>0</v>
      </c>
      <c r="M352">
        <v>0</v>
      </c>
      <c r="O352">
        <v>0</v>
      </c>
      <c r="P352">
        <v>0</v>
      </c>
      <c r="Q352">
        <v>0</v>
      </c>
      <c r="R352" s="49"/>
      <c r="T352" t="s">
        <v>2468</v>
      </c>
      <c r="U352" t="s">
        <v>127</v>
      </c>
      <c r="V352" t="s">
        <v>140</v>
      </c>
      <c r="W352">
        <v>30</v>
      </c>
      <c r="X352">
        <v>0</v>
      </c>
      <c r="AA352" t="s">
        <v>141</v>
      </c>
      <c r="AB352" t="s">
        <v>142</v>
      </c>
      <c r="AC352">
        <v>11611</v>
      </c>
      <c r="AD352">
        <v>11612</v>
      </c>
      <c r="AF352">
        <v>1</v>
      </c>
    </row>
    <row r="353" spans="1:32">
      <c r="A353">
        <v>1</v>
      </c>
      <c r="E353" t="s">
        <v>3219</v>
      </c>
      <c r="F353">
        <v>36</v>
      </c>
      <c r="G353" t="s">
        <v>2900</v>
      </c>
      <c r="H353" t="s">
        <v>2961</v>
      </c>
      <c r="I353" t="s">
        <v>2171</v>
      </c>
      <c r="J353" t="s">
        <v>2729</v>
      </c>
      <c r="K353" t="s">
        <v>2847</v>
      </c>
      <c r="L353">
        <v>0</v>
      </c>
      <c r="M353">
        <v>0</v>
      </c>
      <c r="O353">
        <v>0</v>
      </c>
      <c r="P353">
        <v>0</v>
      </c>
      <c r="Q353">
        <v>0</v>
      </c>
      <c r="R353" s="49"/>
      <c r="T353" t="s">
        <v>2468</v>
      </c>
      <c r="U353" t="s">
        <v>127</v>
      </c>
      <c r="V353" t="s">
        <v>140</v>
      </c>
      <c r="W353">
        <v>60</v>
      </c>
      <c r="X353">
        <v>0</v>
      </c>
      <c r="AA353" t="s">
        <v>141</v>
      </c>
      <c r="AB353" t="s">
        <v>142</v>
      </c>
      <c r="AC353">
        <v>11611</v>
      </c>
      <c r="AD353">
        <v>11612</v>
      </c>
      <c r="AF353">
        <v>1</v>
      </c>
    </row>
    <row r="354" spans="1:32">
      <c r="A354">
        <v>1</v>
      </c>
      <c r="E354" t="s">
        <v>3220</v>
      </c>
      <c r="F354">
        <v>36</v>
      </c>
      <c r="G354" t="s">
        <v>2900</v>
      </c>
      <c r="H354" t="s">
        <v>2961</v>
      </c>
      <c r="I354" t="s">
        <v>2171</v>
      </c>
      <c r="J354" t="s">
        <v>1785</v>
      </c>
      <c r="K354" t="s">
        <v>2847</v>
      </c>
      <c r="L354">
        <v>0</v>
      </c>
      <c r="M354">
        <v>0</v>
      </c>
      <c r="O354">
        <v>0</v>
      </c>
      <c r="P354">
        <v>0</v>
      </c>
      <c r="Q354">
        <v>0</v>
      </c>
      <c r="R354" s="49"/>
      <c r="T354" t="s">
        <v>2468</v>
      </c>
      <c r="U354" t="s">
        <v>127</v>
      </c>
      <c r="V354" t="s">
        <v>140</v>
      </c>
      <c r="W354">
        <v>100</v>
      </c>
      <c r="X354">
        <v>0</v>
      </c>
      <c r="AA354" t="s">
        <v>141</v>
      </c>
      <c r="AB354" t="s">
        <v>142</v>
      </c>
      <c r="AC354">
        <v>11611</v>
      </c>
      <c r="AD354">
        <v>11612</v>
      </c>
      <c r="AF354">
        <v>1</v>
      </c>
    </row>
    <row r="355" spans="1:32">
      <c r="A355">
        <v>1</v>
      </c>
      <c r="E355" t="s">
        <v>3221</v>
      </c>
      <c r="F355">
        <v>36</v>
      </c>
      <c r="G355" t="s">
        <v>2900</v>
      </c>
      <c r="H355" t="s">
        <v>2961</v>
      </c>
      <c r="I355" t="s">
        <v>2171</v>
      </c>
      <c r="J355" t="s">
        <v>1787</v>
      </c>
      <c r="K355" t="s">
        <v>2847</v>
      </c>
      <c r="L355">
        <v>0</v>
      </c>
      <c r="M355">
        <v>0</v>
      </c>
      <c r="O355">
        <v>0</v>
      </c>
      <c r="P355">
        <v>0</v>
      </c>
      <c r="Q355">
        <v>0</v>
      </c>
      <c r="R355" s="49"/>
      <c r="T355" t="s">
        <v>2468</v>
      </c>
      <c r="U355" t="s">
        <v>127</v>
      </c>
      <c r="V355" t="s">
        <v>140</v>
      </c>
      <c r="W355">
        <v>200</v>
      </c>
      <c r="X355">
        <v>0</v>
      </c>
      <c r="AA355" t="s">
        <v>141</v>
      </c>
      <c r="AB355" t="s">
        <v>142</v>
      </c>
      <c r="AC355">
        <v>11611</v>
      </c>
      <c r="AD355">
        <v>11612</v>
      </c>
      <c r="AF355">
        <v>1</v>
      </c>
    </row>
    <row r="356" spans="1:32">
      <c r="A356">
        <v>1</v>
      </c>
      <c r="E356" t="s">
        <v>3222</v>
      </c>
      <c r="F356">
        <v>36</v>
      </c>
      <c r="G356" t="s">
        <v>2900</v>
      </c>
      <c r="H356" t="s">
        <v>2961</v>
      </c>
      <c r="I356" t="s">
        <v>2171</v>
      </c>
      <c r="J356" t="s">
        <v>1789</v>
      </c>
      <c r="K356" t="s">
        <v>2847</v>
      </c>
      <c r="L356">
        <v>0</v>
      </c>
      <c r="M356">
        <v>0</v>
      </c>
      <c r="O356">
        <v>0</v>
      </c>
      <c r="P356">
        <v>0</v>
      </c>
      <c r="Q356">
        <v>0</v>
      </c>
      <c r="R356" s="49"/>
      <c r="T356" t="s">
        <v>2468</v>
      </c>
      <c r="U356" t="s">
        <v>127</v>
      </c>
      <c r="V356" t="s">
        <v>140</v>
      </c>
      <c r="W356">
        <v>60</v>
      </c>
      <c r="X356">
        <v>0</v>
      </c>
      <c r="AA356" t="s">
        <v>141</v>
      </c>
      <c r="AB356" t="s">
        <v>142</v>
      </c>
      <c r="AC356">
        <v>11611</v>
      </c>
      <c r="AD356">
        <v>11612</v>
      </c>
      <c r="AF356">
        <v>1</v>
      </c>
    </row>
    <row r="357" spans="1:32">
      <c r="A357">
        <v>1</v>
      </c>
      <c r="E357" t="s">
        <v>3223</v>
      </c>
      <c r="F357">
        <v>36</v>
      </c>
      <c r="G357" t="s">
        <v>2900</v>
      </c>
      <c r="H357" t="s">
        <v>2961</v>
      </c>
      <c r="I357" t="s">
        <v>2171</v>
      </c>
      <c r="J357" t="s">
        <v>1791</v>
      </c>
      <c r="K357" t="s">
        <v>2847</v>
      </c>
      <c r="L357">
        <v>0</v>
      </c>
      <c r="M357">
        <v>0</v>
      </c>
      <c r="O357">
        <v>0</v>
      </c>
      <c r="P357">
        <v>0</v>
      </c>
      <c r="Q357">
        <v>0</v>
      </c>
      <c r="R357" s="49"/>
      <c r="T357" t="s">
        <v>2468</v>
      </c>
      <c r="U357" t="s">
        <v>127</v>
      </c>
      <c r="V357" t="s">
        <v>140</v>
      </c>
      <c r="W357">
        <v>100</v>
      </c>
      <c r="X357">
        <v>0</v>
      </c>
      <c r="AA357" t="s">
        <v>141</v>
      </c>
      <c r="AB357" t="s">
        <v>142</v>
      </c>
      <c r="AC357">
        <v>11611</v>
      </c>
      <c r="AD357">
        <v>11612</v>
      </c>
      <c r="AF357">
        <v>1</v>
      </c>
    </row>
    <row r="358" spans="1:32">
      <c r="A358">
        <v>1</v>
      </c>
      <c r="E358" t="s">
        <v>3224</v>
      </c>
      <c r="F358">
        <v>36</v>
      </c>
      <c r="G358" t="s">
        <v>2900</v>
      </c>
      <c r="H358" t="s">
        <v>2961</v>
      </c>
      <c r="I358" t="s">
        <v>2171</v>
      </c>
      <c r="J358" t="s">
        <v>1793</v>
      </c>
      <c r="K358" t="s">
        <v>2847</v>
      </c>
      <c r="L358">
        <v>0</v>
      </c>
      <c r="M358">
        <v>0</v>
      </c>
      <c r="O358">
        <v>0</v>
      </c>
      <c r="P358">
        <v>0</v>
      </c>
      <c r="Q358">
        <v>0</v>
      </c>
      <c r="R358" s="49"/>
      <c r="T358" t="s">
        <v>2468</v>
      </c>
      <c r="U358" t="s">
        <v>127</v>
      </c>
      <c r="V358" t="s">
        <v>140</v>
      </c>
      <c r="W358">
        <v>200</v>
      </c>
      <c r="X358">
        <v>0</v>
      </c>
      <c r="AA358" t="s">
        <v>141</v>
      </c>
      <c r="AB358" t="s">
        <v>142</v>
      </c>
      <c r="AC358">
        <v>11611</v>
      </c>
      <c r="AD358">
        <v>11612</v>
      </c>
      <c r="AF358">
        <v>1</v>
      </c>
    </row>
    <row r="359" spans="1:32">
      <c r="A359">
        <v>1</v>
      </c>
      <c r="E359" t="s">
        <v>3225</v>
      </c>
      <c r="F359">
        <v>36</v>
      </c>
      <c r="G359" t="s">
        <v>2900</v>
      </c>
      <c r="H359" t="s">
        <v>2961</v>
      </c>
      <c r="I359" t="s">
        <v>2171</v>
      </c>
      <c r="J359" t="s">
        <v>1795</v>
      </c>
      <c r="K359" t="s">
        <v>2847</v>
      </c>
      <c r="L359">
        <v>0</v>
      </c>
      <c r="M359">
        <v>0</v>
      </c>
      <c r="O359">
        <v>0</v>
      </c>
      <c r="P359">
        <v>0</v>
      </c>
      <c r="Q359">
        <v>0</v>
      </c>
      <c r="R359" s="49"/>
      <c r="T359" t="s">
        <v>2468</v>
      </c>
      <c r="U359" t="s">
        <v>127</v>
      </c>
      <c r="V359" t="s">
        <v>140</v>
      </c>
      <c r="W359">
        <v>60</v>
      </c>
      <c r="X359">
        <v>0</v>
      </c>
      <c r="AA359" t="s">
        <v>141</v>
      </c>
      <c r="AB359" t="s">
        <v>142</v>
      </c>
      <c r="AC359">
        <v>11611</v>
      </c>
      <c r="AD359">
        <v>11612</v>
      </c>
      <c r="AF359">
        <v>1</v>
      </c>
    </row>
    <row r="360" spans="1:32">
      <c r="A360">
        <v>1</v>
      </c>
      <c r="E360" t="s">
        <v>3226</v>
      </c>
      <c r="F360">
        <v>36</v>
      </c>
      <c r="G360" t="s">
        <v>2900</v>
      </c>
      <c r="H360" t="s">
        <v>2961</v>
      </c>
      <c r="I360" t="s">
        <v>2171</v>
      </c>
      <c r="J360" t="s">
        <v>1797</v>
      </c>
      <c r="K360" t="s">
        <v>2847</v>
      </c>
      <c r="L360">
        <v>0</v>
      </c>
      <c r="M360">
        <v>0</v>
      </c>
      <c r="O360">
        <v>0</v>
      </c>
      <c r="P360">
        <v>0</v>
      </c>
      <c r="Q360">
        <v>0</v>
      </c>
      <c r="R360" s="49"/>
      <c r="T360" t="s">
        <v>2468</v>
      </c>
      <c r="U360" t="s">
        <v>127</v>
      </c>
      <c r="V360" t="s">
        <v>140</v>
      </c>
      <c r="W360">
        <v>100</v>
      </c>
      <c r="X360">
        <v>0</v>
      </c>
      <c r="AA360" t="s">
        <v>141</v>
      </c>
      <c r="AB360" t="s">
        <v>142</v>
      </c>
      <c r="AC360">
        <v>11611</v>
      </c>
      <c r="AD360">
        <v>11612</v>
      </c>
      <c r="AF360">
        <v>1</v>
      </c>
    </row>
    <row r="361" spans="1:32">
      <c r="A361">
        <v>1</v>
      </c>
      <c r="E361" t="s">
        <v>3227</v>
      </c>
      <c r="F361">
        <v>36</v>
      </c>
      <c r="G361" t="s">
        <v>2900</v>
      </c>
      <c r="H361" t="s">
        <v>2961</v>
      </c>
      <c r="I361" t="s">
        <v>2171</v>
      </c>
      <c r="J361" t="s">
        <v>1799</v>
      </c>
      <c r="K361" t="s">
        <v>2847</v>
      </c>
      <c r="L361">
        <v>0</v>
      </c>
      <c r="M361">
        <v>0</v>
      </c>
      <c r="O361">
        <v>0</v>
      </c>
      <c r="P361">
        <v>0</v>
      </c>
      <c r="Q361">
        <v>0</v>
      </c>
      <c r="R361" s="49"/>
      <c r="T361" t="s">
        <v>2468</v>
      </c>
      <c r="U361" t="s">
        <v>127</v>
      </c>
      <c r="V361" t="s">
        <v>140</v>
      </c>
      <c r="W361">
        <v>200</v>
      </c>
      <c r="X361">
        <v>0</v>
      </c>
      <c r="AA361" t="s">
        <v>141</v>
      </c>
      <c r="AB361" t="s">
        <v>142</v>
      </c>
      <c r="AC361">
        <v>11611</v>
      </c>
      <c r="AD361">
        <v>11612</v>
      </c>
      <c r="AF361">
        <v>1</v>
      </c>
    </row>
    <row r="362" spans="1:32">
      <c r="A362">
        <v>1</v>
      </c>
      <c r="E362" t="s">
        <v>3228</v>
      </c>
      <c r="F362">
        <v>36</v>
      </c>
      <c r="G362" t="s">
        <v>2900</v>
      </c>
      <c r="H362" t="s">
        <v>2961</v>
      </c>
      <c r="I362" t="s">
        <v>2171</v>
      </c>
      <c r="J362" t="s">
        <v>1801</v>
      </c>
      <c r="K362" t="s">
        <v>2847</v>
      </c>
      <c r="L362">
        <v>0</v>
      </c>
      <c r="M362">
        <v>0</v>
      </c>
      <c r="O362">
        <v>0</v>
      </c>
      <c r="P362">
        <v>0</v>
      </c>
      <c r="Q362">
        <v>0</v>
      </c>
      <c r="R362" s="49"/>
      <c r="T362" t="s">
        <v>2468</v>
      </c>
      <c r="U362" t="s">
        <v>127</v>
      </c>
      <c r="V362" t="s">
        <v>140</v>
      </c>
      <c r="W362">
        <v>60</v>
      </c>
      <c r="X362">
        <v>0</v>
      </c>
      <c r="AA362" t="s">
        <v>141</v>
      </c>
      <c r="AB362" t="s">
        <v>142</v>
      </c>
      <c r="AC362">
        <v>11611</v>
      </c>
      <c r="AD362">
        <v>11612</v>
      </c>
      <c r="AF362">
        <v>1</v>
      </c>
    </row>
    <row r="363" spans="1:32">
      <c r="A363">
        <v>1</v>
      </c>
      <c r="E363" t="s">
        <v>3229</v>
      </c>
      <c r="F363">
        <v>36</v>
      </c>
      <c r="G363" t="s">
        <v>2900</v>
      </c>
      <c r="H363" t="s">
        <v>2961</v>
      </c>
      <c r="I363" t="s">
        <v>2171</v>
      </c>
      <c r="J363" t="s">
        <v>1803</v>
      </c>
      <c r="K363" t="s">
        <v>2847</v>
      </c>
      <c r="L363">
        <v>0</v>
      </c>
      <c r="M363">
        <v>0</v>
      </c>
      <c r="O363">
        <v>0</v>
      </c>
      <c r="P363">
        <v>0</v>
      </c>
      <c r="Q363">
        <v>0</v>
      </c>
      <c r="R363" s="49"/>
      <c r="T363" t="s">
        <v>2468</v>
      </c>
      <c r="U363" t="s">
        <v>127</v>
      </c>
      <c r="V363" t="s">
        <v>140</v>
      </c>
      <c r="W363">
        <v>100</v>
      </c>
      <c r="X363">
        <v>0</v>
      </c>
      <c r="AA363" t="s">
        <v>141</v>
      </c>
      <c r="AB363" t="s">
        <v>142</v>
      </c>
      <c r="AC363">
        <v>11611</v>
      </c>
      <c r="AD363">
        <v>11612</v>
      </c>
      <c r="AF363">
        <v>1</v>
      </c>
    </row>
    <row r="364" spans="1:32">
      <c r="A364">
        <v>1</v>
      </c>
      <c r="E364" t="s">
        <v>3230</v>
      </c>
      <c r="F364">
        <v>36</v>
      </c>
      <c r="G364" t="s">
        <v>2900</v>
      </c>
      <c r="H364" t="s">
        <v>2961</v>
      </c>
      <c r="I364" t="s">
        <v>2171</v>
      </c>
      <c r="J364" t="s">
        <v>1805</v>
      </c>
      <c r="K364" t="s">
        <v>2847</v>
      </c>
      <c r="L364">
        <v>0</v>
      </c>
      <c r="M364">
        <v>0</v>
      </c>
      <c r="O364">
        <v>0</v>
      </c>
      <c r="P364">
        <v>0</v>
      </c>
      <c r="Q364">
        <v>0</v>
      </c>
      <c r="R364" s="49"/>
      <c r="T364" t="s">
        <v>2468</v>
      </c>
      <c r="U364" t="s">
        <v>127</v>
      </c>
      <c r="V364" t="s">
        <v>140</v>
      </c>
      <c r="W364">
        <v>200</v>
      </c>
      <c r="X364">
        <v>0</v>
      </c>
      <c r="AA364" t="s">
        <v>141</v>
      </c>
      <c r="AB364" t="s">
        <v>142</v>
      </c>
      <c r="AC364">
        <v>11611</v>
      </c>
      <c r="AD364">
        <v>11612</v>
      </c>
      <c r="AF364">
        <v>1</v>
      </c>
    </row>
    <row r="365" spans="1:32">
      <c r="A365">
        <v>1</v>
      </c>
      <c r="E365" t="s">
        <v>3231</v>
      </c>
      <c r="F365">
        <v>36</v>
      </c>
      <c r="G365" t="s">
        <v>2900</v>
      </c>
      <c r="H365" t="s">
        <v>2961</v>
      </c>
      <c r="I365" t="s">
        <v>2171</v>
      </c>
      <c r="J365" t="s">
        <v>1807</v>
      </c>
      <c r="K365" t="s">
        <v>2847</v>
      </c>
      <c r="L365">
        <v>0</v>
      </c>
      <c r="M365">
        <v>0</v>
      </c>
      <c r="O365">
        <v>0</v>
      </c>
      <c r="P365">
        <v>0</v>
      </c>
      <c r="Q365">
        <v>0</v>
      </c>
      <c r="R365" s="49"/>
      <c r="T365" t="s">
        <v>2468</v>
      </c>
      <c r="U365" t="s">
        <v>127</v>
      </c>
      <c r="V365" t="s">
        <v>140</v>
      </c>
      <c r="W365">
        <v>60</v>
      </c>
      <c r="X365">
        <v>0</v>
      </c>
      <c r="AA365" t="s">
        <v>141</v>
      </c>
      <c r="AB365" t="s">
        <v>142</v>
      </c>
      <c r="AC365">
        <v>11611</v>
      </c>
      <c r="AD365">
        <v>11612</v>
      </c>
      <c r="AF365">
        <v>1</v>
      </c>
    </row>
    <row r="366" spans="1:32">
      <c r="A366">
        <v>1</v>
      </c>
      <c r="E366" t="s">
        <v>3232</v>
      </c>
      <c r="F366">
        <v>36</v>
      </c>
      <c r="G366" t="s">
        <v>2900</v>
      </c>
      <c r="H366" t="s">
        <v>2961</v>
      </c>
      <c r="I366" t="s">
        <v>2171</v>
      </c>
      <c r="J366" t="s">
        <v>1809</v>
      </c>
      <c r="K366" t="s">
        <v>2847</v>
      </c>
      <c r="L366">
        <v>0</v>
      </c>
      <c r="M366">
        <v>0</v>
      </c>
      <c r="O366">
        <v>0</v>
      </c>
      <c r="P366">
        <v>0</v>
      </c>
      <c r="Q366">
        <v>0</v>
      </c>
      <c r="R366" s="49"/>
      <c r="T366" t="s">
        <v>2468</v>
      </c>
      <c r="U366" t="s">
        <v>127</v>
      </c>
      <c r="V366" t="s">
        <v>140</v>
      </c>
      <c r="W366">
        <v>100</v>
      </c>
      <c r="X366">
        <v>0</v>
      </c>
      <c r="AA366" t="s">
        <v>141</v>
      </c>
      <c r="AB366" t="s">
        <v>142</v>
      </c>
      <c r="AC366">
        <v>11611</v>
      </c>
      <c r="AD366">
        <v>11612</v>
      </c>
      <c r="AF366">
        <v>1</v>
      </c>
    </row>
    <row r="367" spans="1:32">
      <c r="A367">
        <v>1</v>
      </c>
      <c r="E367" t="s">
        <v>3233</v>
      </c>
      <c r="F367">
        <v>36</v>
      </c>
      <c r="G367" t="s">
        <v>2900</v>
      </c>
      <c r="H367" t="s">
        <v>2961</v>
      </c>
      <c r="I367" t="s">
        <v>2171</v>
      </c>
      <c r="J367" t="s">
        <v>1811</v>
      </c>
      <c r="K367" t="s">
        <v>2847</v>
      </c>
      <c r="L367">
        <v>0</v>
      </c>
      <c r="M367">
        <v>0</v>
      </c>
      <c r="O367">
        <v>0</v>
      </c>
      <c r="P367">
        <v>0</v>
      </c>
      <c r="Q367">
        <v>0</v>
      </c>
      <c r="R367" s="49"/>
      <c r="T367" t="s">
        <v>2468</v>
      </c>
      <c r="U367" t="s">
        <v>127</v>
      </c>
      <c r="V367" t="s">
        <v>140</v>
      </c>
      <c r="W367">
        <v>200</v>
      </c>
      <c r="X367">
        <v>0</v>
      </c>
      <c r="AA367" t="s">
        <v>141</v>
      </c>
      <c r="AB367" t="s">
        <v>142</v>
      </c>
      <c r="AC367">
        <v>11611</v>
      </c>
      <c r="AD367">
        <v>11612</v>
      </c>
      <c r="AF367">
        <v>1</v>
      </c>
    </row>
    <row r="368" spans="1:32">
      <c r="A368">
        <v>1</v>
      </c>
      <c r="E368" t="s">
        <v>3234</v>
      </c>
      <c r="F368">
        <v>36</v>
      </c>
      <c r="G368" t="s">
        <v>2900</v>
      </c>
      <c r="H368" t="s">
        <v>2961</v>
      </c>
      <c r="I368" t="s">
        <v>2171</v>
      </c>
      <c r="J368" t="s">
        <v>1813</v>
      </c>
      <c r="K368" t="s">
        <v>2847</v>
      </c>
      <c r="L368">
        <v>0</v>
      </c>
      <c r="M368">
        <v>0</v>
      </c>
      <c r="O368">
        <v>0</v>
      </c>
      <c r="P368">
        <v>0</v>
      </c>
      <c r="Q368">
        <v>0</v>
      </c>
      <c r="R368" s="49"/>
      <c r="T368" t="s">
        <v>2468</v>
      </c>
      <c r="U368" t="s">
        <v>127</v>
      </c>
      <c r="V368" t="s">
        <v>140</v>
      </c>
      <c r="W368">
        <v>60</v>
      </c>
      <c r="X368">
        <v>0</v>
      </c>
      <c r="AA368" t="s">
        <v>141</v>
      </c>
      <c r="AB368" t="s">
        <v>142</v>
      </c>
      <c r="AC368">
        <v>11611</v>
      </c>
      <c r="AD368">
        <v>11612</v>
      </c>
      <c r="AF368">
        <v>1</v>
      </c>
    </row>
    <row r="369" spans="1:32">
      <c r="A369">
        <v>1</v>
      </c>
      <c r="E369" t="s">
        <v>3235</v>
      </c>
      <c r="F369">
        <v>36</v>
      </c>
      <c r="G369" t="s">
        <v>2900</v>
      </c>
      <c r="H369" t="s">
        <v>2961</v>
      </c>
      <c r="I369" t="s">
        <v>2171</v>
      </c>
      <c r="J369" t="s">
        <v>1815</v>
      </c>
      <c r="K369" t="s">
        <v>2847</v>
      </c>
      <c r="L369">
        <v>0</v>
      </c>
      <c r="M369">
        <v>0</v>
      </c>
      <c r="O369">
        <v>0</v>
      </c>
      <c r="P369">
        <v>0</v>
      </c>
      <c r="Q369">
        <v>0</v>
      </c>
      <c r="R369" s="49"/>
      <c r="T369" t="s">
        <v>2468</v>
      </c>
      <c r="U369" t="s">
        <v>127</v>
      </c>
      <c r="V369" t="s">
        <v>140</v>
      </c>
      <c r="W369">
        <v>100</v>
      </c>
      <c r="X369">
        <v>0</v>
      </c>
      <c r="AA369" t="s">
        <v>141</v>
      </c>
      <c r="AB369" t="s">
        <v>142</v>
      </c>
      <c r="AC369">
        <v>11611</v>
      </c>
      <c r="AD369">
        <v>11612</v>
      </c>
      <c r="AF369">
        <v>1</v>
      </c>
    </row>
    <row r="370" spans="1:32">
      <c r="A370">
        <v>1</v>
      </c>
      <c r="E370" t="s">
        <v>3236</v>
      </c>
      <c r="F370">
        <v>36</v>
      </c>
      <c r="G370" t="s">
        <v>2900</v>
      </c>
      <c r="H370" t="s">
        <v>2961</v>
      </c>
      <c r="I370" t="s">
        <v>2171</v>
      </c>
      <c r="J370" t="s">
        <v>1817</v>
      </c>
      <c r="K370" t="s">
        <v>2847</v>
      </c>
      <c r="L370">
        <v>0</v>
      </c>
      <c r="M370">
        <v>0</v>
      </c>
      <c r="O370">
        <v>0</v>
      </c>
      <c r="P370">
        <v>0</v>
      </c>
      <c r="Q370">
        <v>0</v>
      </c>
      <c r="R370" s="49"/>
      <c r="T370" t="s">
        <v>2468</v>
      </c>
      <c r="U370" t="s">
        <v>127</v>
      </c>
      <c r="V370" t="s">
        <v>140</v>
      </c>
      <c r="W370">
        <v>200</v>
      </c>
      <c r="X370">
        <v>0</v>
      </c>
      <c r="AA370" t="s">
        <v>141</v>
      </c>
      <c r="AB370" t="s">
        <v>142</v>
      </c>
      <c r="AC370">
        <v>11611</v>
      </c>
      <c r="AD370">
        <v>11612</v>
      </c>
      <c r="AF370">
        <v>1</v>
      </c>
    </row>
    <row r="371" spans="1:32">
      <c r="A371">
        <v>1</v>
      </c>
      <c r="E371" t="s">
        <v>3237</v>
      </c>
      <c r="F371">
        <v>24</v>
      </c>
      <c r="G371" t="s">
        <v>2900</v>
      </c>
      <c r="H371" t="s">
        <v>2961</v>
      </c>
      <c r="I371" t="s">
        <v>2191</v>
      </c>
      <c r="J371" t="s">
        <v>1819</v>
      </c>
      <c r="K371" t="s">
        <v>2852</v>
      </c>
      <c r="L371">
        <v>0</v>
      </c>
      <c r="M371">
        <v>0</v>
      </c>
      <c r="O371">
        <v>0</v>
      </c>
      <c r="P371">
        <v>0</v>
      </c>
      <c r="Q371">
        <v>0</v>
      </c>
      <c r="R371" s="49"/>
      <c r="T371" t="s">
        <v>2468</v>
      </c>
      <c r="U371" t="s">
        <v>127</v>
      </c>
      <c r="V371" t="s">
        <v>140</v>
      </c>
      <c r="W371">
        <v>100</v>
      </c>
      <c r="X371">
        <v>0</v>
      </c>
      <c r="AA371" t="s">
        <v>141</v>
      </c>
      <c r="AB371" t="s">
        <v>142</v>
      </c>
      <c r="AC371">
        <v>11611</v>
      </c>
      <c r="AD371">
        <v>11612</v>
      </c>
      <c r="AF371">
        <v>1</v>
      </c>
    </row>
    <row r="372" spans="1:32">
      <c r="A372">
        <v>1</v>
      </c>
      <c r="E372" t="s">
        <v>3238</v>
      </c>
      <c r="F372">
        <v>24</v>
      </c>
      <c r="G372" t="s">
        <v>2900</v>
      </c>
      <c r="H372" t="s">
        <v>2961</v>
      </c>
      <c r="I372" t="s">
        <v>2191</v>
      </c>
      <c r="J372" t="s">
        <v>1821</v>
      </c>
      <c r="K372" t="s">
        <v>2852</v>
      </c>
      <c r="L372">
        <v>0</v>
      </c>
      <c r="M372">
        <v>0</v>
      </c>
      <c r="O372">
        <v>0</v>
      </c>
      <c r="P372">
        <v>0</v>
      </c>
      <c r="Q372">
        <v>0</v>
      </c>
      <c r="R372" s="49"/>
      <c r="T372" t="s">
        <v>2468</v>
      </c>
      <c r="U372" t="s">
        <v>127</v>
      </c>
      <c r="V372" t="s">
        <v>140</v>
      </c>
      <c r="W372">
        <v>100</v>
      </c>
      <c r="X372">
        <v>0</v>
      </c>
      <c r="AA372" t="s">
        <v>141</v>
      </c>
      <c r="AB372" t="s">
        <v>142</v>
      </c>
      <c r="AC372">
        <v>11611</v>
      </c>
      <c r="AD372">
        <v>11612</v>
      </c>
      <c r="AF372">
        <v>1</v>
      </c>
    </row>
    <row r="373" spans="1:32">
      <c r="A373">
        <v>1</v>
      </c>
      <c r="E373" t="s">
        <v>3239</v>
      </c>
      <c r="F373">
        <v>24</v>
      </c>
      <c r="G373" t="s">
        <v>2900</v>
      </c>
      <c r="H373" t="s">
        <v>2961</v>
      </c>
      <c r="I373" t="s">
        <v>2191</v>
      </c>
      <c r="J373" t="s">
        <v>1823</v>
      </c>
      <c r="K373" t="s">
        <v>2852</v>
      </c>
      <c r="L373">
        <v>0</v>
      </c>
      <c r="M373">
        <v>0</v>
      </c>
      <c r="O373">
        <v>0</v>
      </c>
      <c r="P373">
        <v>0</v>
      </c>
      <c r="Q373">
        <v>0</v>
      </c>
      <c r="R373" s="49"/>
      <c r="T373" t="s">
        <v>2468</v>
      </c>
      <c r="U373" t="s">
        <v>127</v>
      </c>
      <c r="V373" t="s">
        <v>140</v>
      </c>
      <c r="W373">
        <v>100</v>
      </c>
      <c r="X373">
        <v>0</v>
      </c>
      <c r="AA373" t="s">
        <v>141</v>
      </c>
      <c r="AB373" t="s">
        <v>142</v>
      </c>
      <c r="AC373">
        <v>11611</v>
      </c>
      <c r="AD373">
        <v>11612</v>
      </c>
      <c r="AF373">
        <v>1</v>
      </c>
    </row>
    <row r="374" spans="1:32">
      <c r="A374">
        <v>1</v>
      </c>
      <c r="E374" t="s">
        <v>3240</v>
      </c>
      <c r="F374">
        <v>24</v>
      </c>
      <c r="G374" t="s">
        <v>2900</v>
      </c>
      <c r="H374" t="s">
        <v>2961</v>
      </c>
      <c r="I374" t="s">
        <v>2191</v>
      </c>
      <c r="J374" t="s">
        <v>1825</v>
      </c>
      <c r="K374" t="s">
        <v>2852</v>
      </c>
      <c r="L374">
        <v>0</v>
      </c>
      <c r="M374">
        <v>0</v>
      </c>
      <c r="O374">
        <v>0</v>
      </c>
      <c r="P374">
        <v>0</v>
      </c>
      <c r="Q374">
        <v>0</v>
      </c>
      <c r="R374" s="49"/>
      <c r="T374" t="s">
        <v>2468</v>
      </c>
      <c r="U374" t="s">
        <v>127</v>
      </c>
      <c r="V374" t="s">
        <v>140</v>
      </c>
      <c r="W374">
        <v>100</v>
      </c>
      <c r="X374">
        <v>0</v>
      </c>
      <c r="AA374" t="s">
        <v>141</v>
      </c>
      <c r="AB374" t="s">
        <v>142</v>
      </c>
      <c r="AC374">
        <v>11611</v>
      </c>
      <c r="AD374">
        <v>11612</v>
      </c>
      <c r="AF374">
        <v>1</v>
      </c>
    </row>
    <row r="375" spans="1:32">
      <c r="A375">
        <v>1</v>
      </c>
      <c r="E375" t="s">
        <v>3241</v>
      </c>
      <c r="F375">
        <v>24</v>
      </c>
      <c r="G375" t="s">
        <v>2900</v>
      </c>
      <c r="H375" t="s">
        <v>2961</v>
      </c>
      <c r="I375" t="s">
        <v>2191</v>
      </c>
      <c r="J375" t="s">
        <v>1827</v>
      </c>
      <c r="K375" t="s">
        <v>2852</v>
      </c>
      <c r="L375">
        <v>0</v>
      </c>
      <c r="M375">
        <v>0</v>
      </c>
      <c r="O375">
        <v>0</v>
      </c>
      <c r="P375">
        <v>0</v>
      </c>
      <c r="Q375">
        <v>0</v>
      </c>
      <c r="R375" s="49"/>
      <c r="T375" t="s">
        <v>2468</v>
      </c>
      <c r="U375" t="s">
        <v>127</v>
      </c>
      <c r="V375" t="s">
        <v>140</v>
      </c>
      <c r="W375">
        <v>100</v>
      </c>
      <c r="X375">
        <v>0</v>
      </c>
      <c r="AA375" t="s">
        <v>141</v>
      </c>
      <c r="AB375" t="s">
        <v>142</v>
      </c>
      <c r="AC375">
        <v>11611</v>
      </c>
      <c r="AD375">
        <v>11612</v>
      </c>
      <c r="AF375">
        <v>1</v>
      </c>
    </row>
    <row r="376" spans="1:32">
      <c r="A376">
        <v>1</v>
      </c>
      <c r="E376" t="s">
        <v>3242</v>
      </c>
      <c r="F376">
        <v>24</v>
      </c>
      <c r="G376" t="s">
        <v>2900</v>
      </c>
      <c r="H376" t="s">
        <v>2961</v>
      </c>
      <c r="I376" t="s">
        <v>2191</v>
      </c>
      <c r="J376" t="s">
        <v>1829</v>
      </c>
      <c r="K376" t="s">
        <v>2852</v>
      </c>
      <c r="L376">
        <v>0</v>
      </c>
      <c r="M376">
        <v>0</v>
      </c>
      <c r="O376">
        <v>0</v>
      </c>
      <c r="P376">
        <v>0</v>
      </c>
      <c r="Q376">
        <v>0</v>
      </c>
      <c r="R376" s="49"/>
      <c r="T376" t="s">
        <v>2468</v>
      </c>
      <c r="U376" t="s">
        <v>127</v>
      </c>
      <c r="V376" t="s">
        <v>140</v>
      </c>
      <c r="W376">
        <v>100</v>
      </c>
      <c r="X376">
        <v>0</v>
      </c>
      <c r="AA376" t="s">
        <v>141</v>
      </c>
      <c r="AB376" t="s">
        <v>142</v>
      </c>
      <c r="AC376">
        <v>11611</v>
      </c>
      <c r="AD376">
        <v>11612</v>
      </c>
      <c r="AF376">
        <v>1</v>
      </c>
    </row>
    <row r="377" spans="1:32">
      <c r="A377">
        <v>1</v>
      </c>
      <c r="E377" t="s">
        <v>3243</v>
      </c>
      <c r="F377">
        <v>36</v>
      </c>
      <c r="G377" t="s">
        <v>2900</v>
      </c>
      <c r="H377" t="s">
        <v>2961</v>
      </c>
      <c r="I377" t="s">
        <v>2179</v>
      </c>
      <c r="J377" t="s">
        <v>1831</v>
      </c>
      <c r="K377" t="s">
        <v>2847</v>
      </c>
      <c r="L377">
        <v>0</v>
      </c>
      <c r="M377">
        <v>0</v>
      </c>
      <c r="O377">
        <v>0</v>
      </c>
      <c r="P377">
        <v>0</v>
      </c>
      <c r="Q377">
        <v>0</v>
      </c>
      <c r="R377" s="49"/>
      <c r="T377" t="s">
        <v>2468</v>
      </c>
      <c r="U377" t="s">
        <v>127</v>
      </c>
      <c r="V377" t="s">
        <v>140</v>
      </c>
      <c r="W377">
        <v>100</v>
      </c>
      <c r="X377">
        <v>0</v>
      </c>
      <c r="AA377" t="s">
        <v>141</v>
      </c>
      <c r="AB377" t="s">
        <v>142</v>
      </c>
      <c r="AC377">
        <v>11611</v>
      </c>
      <c r="AD377">
        <v>11612</v>
      </c>
      <c r="AF377">
        <v>1</v>
      </c>
    </row>
    <row r="378" spans="1:32">
      <c r="A378">
        <v>1</v>
      </c>
      <c r="E378" t="s">
        <v>3244</v>
      </c>
      <c r="F378">
        <v>36</v>
      </c>
      <c r="G378" t="s">
        <v>2900</v>
      </c>
      <c r="H378" t="s">
        <v>2961</v>
      </c>
      <c r="I378" t="s">
        <v>2179</v>
      </c>
      <c r="J378" t="s">
        <v>1833</v>
      </c>
      <c r="K378" t="s">
        <v>2847</v>
      </c>
      <c r="L378">
        <v>0</v>
      </c>
      <c r="M378">
        <v>0</v>
      </c>
      <c r="O378">
        <v>0</v>
      </c>
      <c r="P378">
        <v>0</v>
      </c>
      <c r="Q378">
        <v>0</v>
      </c>
      <c r="R378" s="49"/>
      <c r="T378" t="s">
        <v>2468</v>
      </c>
      <c r="U378" t="s">
        <v>127</v>
      </c>
      <c r="V378" t="s">
        <v>140</v>
      </c>
      <c r="W378">
        <v>200</v>
      </c>
      <c r="X378">
        <v>0</v>
      </c>
      <c r="AA378" t="s">
        <v>141</v>
      </c>
      <c r="AB378" t="s">
        <v>142</v>
      </c>
      <c r="AC378">
        <v>11611</v>
      </c>
      <c r="AD378">
        <v>11612</v>
      </c>
      <c r="AF378">
        <v>1</v>
      </c>
    </row>
    <row r="379" spans="1:32">
      <c r="A379">
        <v>1</v>
      </c>
      <c r="E379" t="s">
        <v>3245</v>
      </c>
      <c r="F379">
        <v>36</v>
      </c>
      <c r="G379" t="s">
        <v>2900</v>
      </c>
      <c r="H379" t="s">
        <v>2961</v>
      </c>
      <c r="I379" t="s">
        <v>2179</v>
      </c>
      <c r="J379" t="s">
        <v>1835</v>
      </c>
      <c r="K379" t="s">
        <v>2847</v>
      </c>
      <c r="L379">
        <v>0</v>
      </c>
      <c r="M379">
        <v>0</v>
      </c>
      <c r="O379">
        <v>0</v>
      </c>
      <c r="P379">
        <v>0</v>
      </c>
      <c r="Q379">
        <v>0</v>
      </c>
      <c r="R379" s="49"/>
      <c r="T379" t="s">
        <v>2468</v>
      </c>
      <c r="U379" t="s">
        <v>127</v>
      </c>
      <c r="V379" t="s">
        <v>140</v>
      </c>
      <c r="W379">
        <v>100</v>
      </c>
      <c r="X379">
        <v>0</v>
      </c>
      <c r="AA379" t="s">
        <v>141</v>
      </c>
      <c r="AB379" t="s">
        <v>142</v>
      </c>
      <c r="AC379">
        <v>11611</v>
      </c>
      <c r="AD379">
        <v>11612</v>
      </c>
      <c r="AF379">
        <v>1</v>
      </c>
    </row>
    <row r="380" spans="1:32">
      <c r="A380">
        <v>1</v>
      </c>
      <c r="E380" t="s">
        <v>3246</v>
      </c>
      <c r="F380">
        <v>36</v>
      </c>
      <c r="G380" t="s">
        <v>2900</v>
      </c>
      <c r="H380" t="s">
        <v>2961</v>
      </c>
      <c r="I380" t="s">
        <v>2179</v>
      </c>
      <c r="J380" t="s">
        <v>1837</v>
      </c>
      <c r="K380" t="s">
        <v>2847</v>
      </c>
      <c r="L380">
        <v>0</v>
      </c>
      <c r="M380">
        <v>0</v>
      </c>
      <c r="O380">
        <v>0</v>
      </c>
      <c r="P380">
        <v>0</v>
      </c>
      <c r="Q380">
        <v>0</v>
      </c>
      <c r="R380" s="49"/>
      <c r="T380" t="s">
        <v>2468</v>
      </c>
      <c r="U380" t="s">
        <v>127</v>
      </c>
      <c r="V380" t="s">
        <v>140</v>
      </c>
      <c r="W380">
        <v>200</v>
      </c>
      <c r="X380">
        <v>0</v>
      </c>
      <c r="AA380" t="s">
        <v>141</v>
      </c>
      <c r="AB380" t="s">
        <v>142</v>
      </c>
      <c r="AC380">
        <v>11611</v>
      </c>
      <c r="AD380">
        <v>11612</v>
      </c>
      <c r="AF380">
        <v>1</v>
      </c>
    </row>
    <row r="381" spans="1:32">
      <c r="A381">
        <v>1</v>
      </c>
      <c r="E381" t="s">
        <v>3247</v>
      </c>
      <c r="F381">
        <v>36</v>
      </c>
      <c r="G381" t="s">
        <v>2900</v>
      </c>
      <c r="H381" t="s">
        <v>2961</v>
      </c>
      <c r="I381" t="s">
        <v>2181</v>
      </c>
      <c r="J381" t="s">
        <v>1839</v>
      </c>
      <c r="K381" t="s">
        <v>2847</v>
      </c>
      <c r="L381">
        <v>0</v>
      </c>
      <c r="M381">
        <v>0</v>
      </c>
      <c r="O381">
        <v>0</v>
      </c>
      <c r="P381">
        <v>0</v>
      </c>
      <c r="Q381">
        <v>0</v>
      </c>
      <c r="R381" s="49"/>
      <c r="T381" t="s">
        <v>2468</v>
      </c>
      <c r="U381" t="s">
        <v>127</v>
      </c>
      <c r="V381" t="s">
        <v>140</v>
      </c>
      <c r="W381">
        <v>100</v>
      </c>
      <c r="X381">
        <v>0</v>
      </c>
      <c r="AA381" t="s">
        <v>141</v>
      </c>
      <c r="AB381" t="s">
        <v>142</v>
      </c>
      <c r="AC381">
        <v>11611</v>
      </c>
      <c r="AD381">
        <v>11612</v>
      </c>
      <c r="AF381">
        <v>1</v>
      </c>
    </row>
    <row r="382" spans="1:32">
      <c r="A382">
        <v>1</v>
      </c>
      <c r="E382" t="s">
        <v>3248</v>
      </c>
      <c r="F382">
        <v>36</v>
      </c>
      <c r="G382" t="s">
        <v>2900</v>
      </c>
      <c r="H382" t="s">
        <v>2961</v>
      </c>
      <c r="I382" t="s">
        <v>2181</v>
      </c>
      <c r="J382" t="s">
        <v>1841</v>
      </c>
      <c r="K382" t="s">
        <v>2847</v>
      </c>
      <c r="L382">
        <v>0</v>
      </c>
      <c r="M382">
        <v>0</v>
      </c>
      <c r="O382">
        <v>0</v>
      </c>
      <c r="P382">
        <v>0</v>
      </c>
      <c r="Q382">
        <v>0</v>
      </c>
      <c r="R382" s="49"/>
      <c r="T382" t="s">
        <v>2468</v>
      </c>
      <c r="U382" t="s">
        <v>127</v>
      </c>
      <c r="V382" t="s">
        <v>140</v>
      </c>
      <c r="W382">
        <v>100</v>
      </c>
      <c r="X382">
        <v>0</v>
      </c>
      <c r="AA382" t="s">
        <v>141</v>
      </c>
      <c r="AB382" t="s">
        <v>142</v>
      </c>
      <c r="AC382">
        <v>11611</v>
      </c>
      <c r="AD382">
        <v>11612</v>
      </c>
      <c r="AF382">
        <v>1</v>
      </c>
    </row>
    <row r="383" spans="1:32">
      <c r="A383">
        <v>1</v>
      </c>
      <c r="E383" t="s">
        <v>3249</v>
      </c>
      <c r="F383">
        <v>36</v>
      </c>
      <c r="G383" t="s">
        <v>2900</v>
      </c>
      <c r="H383" t="s">
        <v>2961</v>
      </c>
      <c r="I383" t="s">
        <v>2183</v>
      </c>
      <c r="J383" t="s">
        <v>1843</v>
      </c>
      <c r="K383" t="s">
        <v>2847</v>
      </c>
      <c r="L383">
        <v>0</v>
      </c>
      <c r="M383">
        <v>0</v>
      </c>
      <c r="O383">
        <v>0</v>
      </c>
      <c r="P383">
        <v>0</v>
      </c>
      <c r="Q383">
        <v>0</v>
      </c>
      <c r="R383" s="49"/>
      <c r="T383" t="s">
        <v>2468</v>
      </c>
      <c r="U383" t="s">
        <v>127</v>
      </c>
      <c r="V383" t="s">
        <v>140</v>
      </c>
      <c r="W383">
        <v>100</v>
      </c>
      <c r="X383">
        <v>0</v>
      </c>
      <c r="AA383" t="s">
        <v>141</v>
      </c>
      <c r="AB383" t="s">
        <v>142</v>
      </c>
      <c r="AC383">
        <v>11611</v>
      </c>
      <c r="AD383">
        <v>11612</v>
      </c>
      <c r="AF383">
        <v>1</v>
      </c>
    </row>
    <row r="384" spans="1:32">
      <c r="A384">
        <v>1</v>
      </c>
      <c r="E384" t="s">
        <v>3250</v>
      </c>
      <c r="F384">
        <v>36</v>
      </c>
      <c r="G384" t="s">
        <v>2900</v>
      </c>
      <c r="H384" t="s">
        <v>2961</v>
      </c>
      <c r="I384" t="s">
        <v>2185</v>
      </c>
      <c r="J384" t="s">
        <v>1845</v>
      </c>
      <c r="K384" t="s">
        <v>2847</v>
      </c>
      <c r="L384">
        <v>0</v>
      </c>
      <c r="M384">
        <v>0</v>
      </c>
      <c r="O384">
        <v>0</v>
      </c>
      <c r="P384">
        <v>0</v>
      </c>
      <c r="Q384">
        <v>0</v>
      </c>
      <c r="R384" s="49"/>
      <c r="T384" t="s">
        <v>2468</v>
      </c>
      <c r="U384" t="s">
        <v>127</v>
      </c>
      <c r="V384" t="s">
        <v>140</v>
      </c>
      <c r="W384">
        <v>100</v>
      </c>
      <c r="X384">
        <v>0</v>
      </c>
      <c r="AA384" t="s">
        <v>141</v>
      </c>
      <c r="AB384" t="s">
        <v>142</v>
      </c>
      <c r="AC384">
        <v>11611</v>
      </c>
      <c r="AD384">
        <v>11612</v>
      </c>
      <c r="AF384">
        <v>1</v>
      </c>
    </row>
    <row r="385" spans="1:32">
      <c r="A385">
        <v>1</v>
      </c>
      <c r="E385" t="s">
        <v>3251</v>
      </c>
      <c r="F385">
        <v>72</v>
      </c>
      <c r="G385" t="s">
        <v>2900</v>
      </c>
      <c r="H385" t="s">
        <v>2961</v>
      </c>
      <c r="I385" t="s">
        <v>2187</v>
      </c>
      <c r="J385" t="s">
        <v>1847</v>
      </c>
      <c r="K385" t="s">
        <v>2846</v>
      </c>
      <c r="L385">
        <v>0</v>
      </c>
      <c r="M385">
        <v>0</v>
      </c>
      <c r="O385">
        <v>0</v>
      </c>
      <c r="P385">
        <v>0</v>
      </c>
      <c r="Q385">
        <v>0</v>
      </c>
      <c r="R385" s="49"/>
      <c r="T385" t="s">
        <v>2468</v>
      </c>
      <c r="U385" t="s">
        <v>127</v>
      </c>
      <c r="V385" t="s">
        <v>140</v>
      </c>
      <c r="W385">
        <v>50</v>
      </c>
      <c r="X385">
        <v>0</v>
      </c>
      <c r="AA385" t="s">
        <v>141</v>
      </c>
      <c r="AB385" t="s">
        <v>142</v>
      </c>
      <c r="AC385">
        <v>11611</v>
      </c>
      <c r="AD385">
        <v>11612</v>
      </c>
      <c r="AF385">
        <v>1</v>
      </c>
    </row>
    <row r="386" spans="1:32">
      <c r="A386">
        <v>1</v>
      </c>
      <c r="E386" t="s">
        <v>3252</v>
      </c>
      <c r="F386">
        <v>36</v>
      </c>
      <c r="G386" t="s">
        <v>2900</v>
      </c>
      <c r="H386" t="s">
        <v>2961</v>
      </c>
      <c r="I386" t="s">
        <v>2187</v>
      </c>
      <c r="J386" t="s">
        <v>1849</v>
      </c>
      <c r="K386" t="s">
        <v>2847</v>
      </c>
      <c r="L386">
        <v>0</v>
      </c>
      <c r="M386">
        <v>0</v>
      </c>
      <c r="O386">
        <v>0</v>
      </c>
      <c r="P386">
        <v>0</v>
      </c>
      <c r="Q386">
        <v>0</v>
      </c>
      <c r="R386" s="49"/>
      <c r="T386" t="s">
        <v>2468</v>
      </c>
      <c r="U386" t="s">
        <v>127</v>
      </c>
      <c r="V386" t="s">
        <v>140</v>
      </c>
      <c r="W386">
        <v>90</v>
      </c>
      <c r="X386">
        <v>0</v>
      </c>
      <c r="AA386" t="s">
        <v>141</v>
      </c>
      <c r="AB386" t="s">
        <v>142</v>
      </c>
      <c r="AC386">
        <v>11611</v>
      </c>
      <c r="AD386">
        <v>11612</v>
      </c>
      <c r="AF386">
        <v>1</v>
      </c>
    </row>
    <row r="387" spans="1:32">
      <c r="A387">
        <v>1</v>
      </c>
      <c r="E387" t="s">
        <v>3253</v>
      </c>
      <c r="F387">
        <v>36</v>
      </c>
      <c r="G387" t="s">
        <v>2900</v>
      </c>
      <c r="H387" t="s">
        <v>2961</v>
      </c>
      <c r="I387" t="s">
        <v>2187</v>
      </c>
      <c r="J387" t="s">
        <v>1851</v>
      </c>
      <c r="K387" t="s">
        <v>2847</v>
      </c>
      <c r="L387">
        <v>0</v>
      </c>
      <c r="M387">
        <v>0</v>
      </c>
      <c r="O387">
        <v>0</v>
      </c>
      <c r="P387">
        <v>0</v>
      </c>
      <c r="Q387">
        <v>0</v>
      </c>
      <c r="R387" s="49"/>
      <c r="T387" t="s">
        <v>2468</v>
      </c>
      <c r="U387" t="s">
        <v>127</v>
      </c>
      <c r="V387" t="s">
        <v>140</v>
      </c>
      <c r="W387">
        <v>200</v>
      </c>
      <c r="X387">
        <v>0</v>
      </c>
      <c r="AA387" t="s">
        <v>141</v>
      </c>
      <c r="AB387" t="s">
        <v>142</v>
      </c>
      <c r="AC387">
        <v>11611</v>
      </c>
      <c r="AD387">
        <v>11612</v>
      </c>
      <c r="AF387">
        <v>1</v>
      </c>
    </row>
    <row r="388" spans="1:32">
      <c r="A388">
        <v>1</v>
      </c>
      <c r="E388" t="s">
        <v>3254</v>
      </c>
      <c r="F388">
        <v>72</v>
      </c>
      <c r="G388" t="s">
        <v>2900</v>
      </c>
      <c r="H388" t="s">
        <v>2961</v>
      </c>
      <c r="I388" t="s">
        <v>2187</v>
      </c>
      <c r="J388" t="s">
        <v>1853</v>
      </c>
      <c r="K388" t="s">
        <v>2846</v>
      </c>
      <c r="L388">
        <v>0</v>
      </c>
      <c r="M388">
        <v>0</v>
      </c>
      <c r="O388">
        <v>0</v>
      </c>
      <c r="P388">
        <v>0</v>
      </c>
      <c r="Q388">
        <v>0</v>
      </c>
      <c r="R388" s="49"/>
      <c r="T388" t="s">
        <v>2468</v>
      </c>
      <c r="U388" t="s">
        <v>127</v>
      </c>
      <c r="V388" t="s">
        <v>140</v>
      </c>
      <c r="W388">
        <v>50</v>
      </c>
      <c r="X388">
        <v>0</v>
      </c>
      <c r="AA388" t="s">
        <v>141</v>
      </c>
      <c r="AB388" t="s">
        <v>142</v>
      </c>
      <c r="AC388">
        <v>11611</v>
      </c>
      <c r="AD388">
        <v>11612</v>
      </c>
      <c r="AF388">
        <v>1</v>
      </c>
    </row>
    <row r="389" spans="1:32">
      <c r="A389">
        <v>1</v>
      </c>
      <c r="E389" t="s">
        <v>3255</v>
      </c>
      <c r="F389">
        <v>36</v>
      </c>
      <c r="G389" t="s">
        <v>2900</v>
      </c>
      <c r="H389" t="s">
        <v>2961</v>
      </c>
      <c r="I389" t="s">
        <v>2187</v>
      </c>
      <c r="J389" t="s">
        <v>1855</v>
      </c>
      <c r="K389" t="s">
        <v>2847</v>
      </c>
      <c r="L389">
        <v>0</v>
      </c>
      <c r="M389">
        <v>0</v>
      </c>
      <c r="O389">
        <v>0</v>
      </c>
      <c r="P389">
        <v>0</v>
      </c>
      <c r="Q389">
        <v>0</v>
      </c>
      <c r="R389" s="49"/>
      <c r="T389" t="s">
        <v>2468</v>
      </c>
      <c r="U389" t="s">
        <v>127</v>
      </c>
      <c r="V389" t="s">
        <v>140</v>
      </c>
      <c r="W389">
        <v>90</v>
      </c>
      <c r="X389">
        <v>0</v>
      </c>
      <c r="AA389" t="s">
        <v>141</v>
      </c>
      <c r="AB389" t="s">
        <v>142</v>
      </c>
      <c r="AC389">
        <v>11611</v>
      </c>
      <c r="AD389">
        <v>11612</v>
      </c>
      <c r="AF389">
        <v>1</v>
      </c>
    </row>
    <row r="390" spans="1:32">
      <c r="A390">
        <v>1</v>
      </c>
      <c r="E390" t="s">
        <v>3256</v>
      </c>
      <c r="F390">
        <v>36</v>
      </c>
      <c r="G390" t="s">
        <v>2900</v>
      </c>
      <c r="H390" t="s">
        <v>2961</v>
      </c>
      <c r="I390" t="s">
        <v>2187</v>
      </c>
      <c r="J390" t="s">
        <v>1857</v>
      </c>
      <c r="K390" t="s">
        <v>2847</v>
      </c>
      <c r="L390">
        <v>0</v>
      </c>
      <c r="M390">
        <v>0</v>
      </c>
      <c r="O390">
        <v>0</v>
      </c>
      <c r="P390">
        <v>0</v>
      </c>
      <c r="Q390">
        <v>0</v>
      </c>
      <c r="R390" s="49"/>
      <c r="T390" t="s">
        <v>2468</v>
      </c>
      <c r="U390" t="s">
        <v>127</v>
      </c>
      <c r="V390" t="s">
        <v>140</v>
      </c>
      <c r="W390">
        <v>200</v>
      </c>
      <c r="X390">
        <v>0</v>
      </c>
      <c r="AA390" t="s">
        <v>141</v>
      </c>
      <c r="AB390" t="s">
        <v>142</v>
      </c>
      <c r="AC390">
        <v>11611</v>
      </c>
      <c r="AD390">
        <v>11612</v>
      </c>
      <c r="AF390">
        <v>1</v>
      </c>
    </row>
    <row r="391" spans="1:32">
      <c r="A391">
        <v>1</v>
      </c>
      <c r="E391" t="s">
        <v>3257</v>
      </c>
      <c r="F391">
        <v>72</v>
      </c>
      <c r="G391" t="s">
        <v>2900</v>
      </c>
      <c r="H391" t="s">
        <v>2961</v>
      </c>
      <c r="I391" t="s">
        <v>2189</v>
      </c>
      <c r="J391" t="s">
        <v>1859</v>
      </c>
      <c r="K391" t="s">
        <v>2846</v>
      </c>
      <c r="L391">
        <v>0</v>
      </c>
      <c r="M391">
        <v>0</v>
      </c>
      <c r="O391">
        <v>0</v>
      </c>
      <c r="P391">
        <v>0</v>
      </c>
      <c r="Q391">
        <v>0</v>
      </c>
      <c r="R391" s="49"/>
      <c r="T391" t="s">
        <v>2468</v>
      </c>
      <c r="U391" t="s">
        <v>127</v>
      </c>
      <c r="V391" t="s">
        <v>140</v>
      </c>
      <c r="W391">
        <v>60</v>
      </c>
      <c r="X391">
        <v>0</v>
      </c>
      <c r="AA391" t="s">
        <v>141</v>
      </c>
      <c r="AB391" t="s">
        <v>142</v>
      </c>
      <c r="AC391">
        <v>11611</v>
      </c>
      <c r="AD391">
        <v>11612</v>
      </c>
      <c r="AF391">
        <v>1</v>
      </c>
    </row>
    <row r="392" spans="1:32">
      <c r="A392">
        <v>1</v>
      </c>
      <c r="E392" t="s">
        <v>3258</v>
      </c>
      <c r="F392">
        <v>36</v>
      </c>
      <c r="G392" t="s">
        <v>2900</v>
      </c>
      <c r="H392" t="s">
        <v>2961</v>
      </c>
      <c r="I392" t="s">
        <v>2189</v>
      </c>
      <c r="J392" t="s">
        <v>1861</v>
      </c>
      <c r="K392" t="s">
        <v>2847</v>
      </c>
      <c r="L392">
        <v>0</v>
      </c>
      <c r="M392">
        <v>0</v>
      </c>
      <c r="O392">
        <v>0</v>
      </c>
      <c r="P392">
        <v>0</v>
      </c>
      <c r="Q392">
        <v>0</v>
      </c>
      <c r="R392" s="49"/>
      <c r="T392" t="s">
        <v>2468</v>
      </c>
      <c r="U392" t="s">
        <v>127</v>
      </c>
      <c r="V392" t="s">
        <v>140</v>
      </c>
      <c r="W392">
        <v>90</v>
      </c>
      <c r="X392">
        <v>0</v>
      </c>
      <c r="AA392" t="s">
        <v>141</v>
      </c>
      <c r="AB392" t="s">
        <v>142</v>
      </c>
      <c r="AC392">
        <v>11611</v>
      </c>
      <c r="AD392">
        <v>11612</v>
      </c>
      <c r="AF392">
        <v>1</v>
      </c>
    </row>
    <row r="393" spans="1:32">
      <c r="A393">
        <v>1</v>
      </c>
      <c r="E393" t="s">
        <v>3259</v>
      </c>
      <c r="F393">
        <v>36</v>
      </c>
      <c r="G393" t="s">
        <v>2900</v>
      </c>
      <c r="H393" t="s">
        <v>2961</v>
      </c>
      <c r="I393" t="s">
        <v>2189</v>
      </c>
      <c r="J393" t="s">
        <v>1863</v>
      </c>
      <c r="K393" t="s">
        <v>2847</v>
      </c>
      <c r="L393">
        <v>0</v>
      </c>
      <c r="M393">
        <v>0</v>
      </c>
      <c r="O393">
        <v>0</v>
      </c>
      <c r="P393">
        <v>0</v>
      </c>
      <c r="Q393">
        <v>0</v>
      </c>
      <c r="R393" s="49"/>
      <c r="T393" t="s">
        <v>2468</v>
      </c>
      <c r="U393" t="s">
        <v>127</v>
      </c>
      <c r="V393" t="s">
        <v>140</v>
      </c>
      <c r="W393">
        <v>200</v>
      </c>
      <c r="X393">
        <v>0</v>
      </c>
      <c r="AA393" t="s">
        <v>141</v>
      </c>
      <c r="AB393" t="s">
        <v>142</v>
      </c>
      <c r="AC393">
        <v>11611</v>
      </c>
      <c r="AD393">
        <v>11612</v>
      </c>
      <c r="AF393">
        <v>1</v>
      </c>
    </row>
    <row r="394" spans="1:32">
      <c r="A394">
        <v>1</v>
      </c>
      <c r="E394" t="s">
        <v>3260</v>
      </c>
      <c r="F394">
        <v>36</v>
      </c>
      <c r="G394" t="s">
        <v>2900</v>
      </c>
      <c r="H394" t="s">
        <v>2961</v>
      </c>
      <c r="I394" t="s">
        <v>2189</v>
      </c>
      <c r="J394" t="s">
        <v>1865</v>
      </c>
      <c r="K394" t="s">
        <v>2847</v>
      </c>
      <c r="L394">
        <v>0</v>
      </c>
      <c r="M394">
        <v>0</v>
      </c>
      <c r="O394">
        <v>0</v>
      </c>
      <c r="P394">
        <v>0</v>
      </c>
      <c r="Q394">
        <v>0</v>
      </c>
      <c r="R394" s="49"/>
      <c r="T394" t="s">
        <v>2468</v>
      </c>
      <c r="U394" t="s">
        <v>127</v>
      </c>
      <c r="V394" t="s">
        <v>140</v>
      </c>
      <c r="W394">
        <v>90</v>
      </c>
      <c r="X394">
        <v>0</v>
      </c>
      <c r="AA394" t="s">
        <v>141</v>
      </c>
      <c r="AB394" t="s">
        <v>142</v>
      </c>
      <c r="AC394">
        <v>11611</v>
      </c>
      <c r="AD394">
        <v>11612</v>
      </c>
      <c r="AF394">
        <v>1</v>
      </c>
    </row>
    <row r="395" spans="1:32">
      <c r="A395">
        <v>1</v>
      </c>
      <c r="E395" t="s">
        <v>3261</v>
      </c>
      <c r="F395">
        <v>36</v>
      </c>
      <c r="G395" t="s">
        <v>2900</v>
      </c>
      <c r="H395" t="s">
        <v>2961</v>
      </c>
      <c r="I395" t="s">
        <v>2189</v>
      </c>
      <c r="J395" t="s">
        <v>1867</v>
      </c>
      <c r="K395" t="s">
        <v>2847</v>
      </c>
      <c r="L395">
        <v>0</v>
      </c>
      <c r="M395">
        <v>0</v>
      </c>
      <c r="O395">
        <v>0</v>
      </c>
      <c r="P395">
        <v>0</v>
      </c>
      <c r="Q395">
        <v>0</v>
      </c>
      <c r="R395" s="49"/>
      <c r="T395" t="s">
        <v>2468</v>
      </c>
      <c r="U395" t="s">
        <v>127</v>
      </c>
      <c r="V395" t="s">
        <v>140</v>
      </c>
      <c r="W395">
        <v>200</v>
      </c>
      <c r="X395">
        <v>0</v>
      </c>
      <c r="AA395" t="s">
        <v>141</v>
      </c>
      <c r="AB395" t="s">
        <v>142</v>
      </c>
      <c r="AC395">
        <v>11611</v>
      </c>
      <c r="AD395">
        <v>11612</v>
      </c>
      <c r="AF395">
        <v>1</v>
      </c>
    </row>
    <row r="396" spans="1:32">
      <c r="A396">
        <v>1</v>
      </c>
      <c r="E396" t="s">
        <v>3262</v>
      </c>
      <c r="F396">
        <v>72</v>
      </c>
      <c r="G396" t="s">
        <v>2900</v>
      </c>
      <c r="H396" t="s">
        <v>2961</v>
      </c>
      <c r="I396" t="s">
        <v>2189</v>
      </c>
      <c r="J396" t="s">
        <v>1869</v>
      </c>
      <c r="K396" t="s">
        <v>2846</v>
      </c>
      <c r="L396">
        <v>0</v>
      </c>
      <c r="M396">
        <v>0</v>
      </c>
      <c r="O396">
        <v>0</v>
      </c>
      <c r="P396">
        <v>0</v>
      </c>
      <c r="Q396">
        <v>0</v>
      </c>
      <c r="R396" s="49"/>
      <c r="T396" t="s">
        <v>2468</v>
      </c>
      <c r="U396" t="s">
        <v>127</v>
      </c>
      <c r="V396" t="s">
        <v>140</v>
      </c>
      <c r="W396">
        <v>60</v>
      </c>
      <c r="X396">
        <v>0</v>
      </c>
      <c r="AA396" t="s">
        <v>141</v>
      </c>
      <c r="AB396" t="s">
        <v>142</v>
      </c>
      <c r="AC396">
        <v>11611</v>
      </c>
      <c r="AD396">
        <v>11612</v>
      </c>
      <c r="AF396">
        <v>1</v>
      </c>
    </row>
    <row r="397" spans="1:32">
      <c r="A397">
        <v>1</v>
      </c>
      <c r="E397" t="s">
        <v>3263</v>
      </c>
      <c r="F397">
        <v>36</v>
      </c>
      <c r="G397" t="s">
        <v>2900</v>
      </c>
      <c r="H397" t="s">
        <v>2961</v>
      </c>
      <c r="I397" t="s">
        <v>2189</v>
      </c>
      <c r="J397" t="s">
        <v>1871</v>
      </c>
      <c r="K397" t="s">
        <v>2847</v>
      </c>
      <c r="L397">
        <v>0</v>
      </c>
      <c r="M397">
        <v>0</v>
      </c>
      <c r="O397">
        <v>0</v>
      </c>
      <c r="P397">
        <v>0</v>
      </c>
      <c r="Q397">
        <v>0</v>
      </c>
      <c r="R397" s="49"/>
      <c r="T397" t="s">
        <v>2468</v>
      </c>
      <c r="U397" t="s">
        <v>127</v>
      </c>
      <c r="V397" t="s">
        <v>140</v>
      </c>
      <c r="W397">
        <v>90</v>
      </c>
      <c r="X397">
        <v>0</v>
      </c>
      <c r="AA397" t="s">
        <v>141</v>
      </c>
      <c r="AB397" t="s">
        <v>142</v>
      </c>
      <c r="AC397">
        <v>11611</v>
      </c>
      <c r="AD397">
        <v>11612</v>
      </c>
      <c r="AF397">
        <v>1</v>
      </c>
    </row>
    <row r="398" spans="1:32">
      <c r="A398">
        <v>1</v>
      </c>
      <c r="E398" t="s">
        <v>3264</v>
      </c>
      <c r="F398">
        <v>36</v>
      </c>
      <c r="G398" t="s">
        <v>2900</v>
      </c>
      <c r="H398" t="s">
        <v>2961</v>
      </c>
      <c r="I398" t="s">
        <v>2189</v>
      </c>
      <c r="J398" t="s">
        <v>1873</v>
      </c>
      <c r="K398" t="s">
        <v>2847</v>
      </c>
      <c r="L398">
        <v>0</v>
      </c>
      <c r="M398">
        <v>0</v>
      </c>
      <c r="O398">
        <v>0</v>
      </c>
      <c r="P398">
        <v>0</v>
      </c>
      <c r="Q398">
        <v>0</v>
      </c>
      <c r="R398" s="49"/>
      <c r="T398" t="s">
        <v>2468</v>
      </c>
      <c r="U398" t="s">
        <v>127</v>
      </c>
      <c r="V398" t="s">
        <v>140</v>
      </c>
      <c r="W398">
        <v>200</v>
      </c>
      <c r="X398">
        <v>0</v>
      </c>
      <c r="AA398" t="s">
        <v>141</v>
      </c>
      <c r="AB398" t="s">
        <v>142</v>
      </c>
      <c r="AC398">
        <v>11611</v>
      </c>
      <c r="AD398">
        <v>11612</v>
      </c>
      <c r="AF398">
        <v>1</v>
      </c>
    </row>
    <row r="399" spans="1:32">
      <c r="A399">
        <v>1</v>
      </c>
      <c r="E399" t="s">
        <v>3265</v>
      </c>
      <c r="F399">
        <v>36</v>
      </c>
      <c r="G399" t="s">
        <v>2900</v>
      </c>
      <c r="H399" t="s">
        <v>2961</v>
      </c>
      <c r="I399" t="s">
        <v>2189</v>
      </c>
      <c r="J399" t="s">
        <v>1875</v>
      </c>
      <c r="K399" t="s">
        <v>2847</v>
      </c>
      <c r="L399">
        <v>0</v>
      </c>
      <c r="M399">
        <v>0</v>
      </c>
      <c r="O399">
        <v>0</v>
      </c>
      <c r="P399">
        <v>0</v>
      </c>
      <c r="Q399">
        <v>0</v>
      </c>
      <c r="R399" s="49"/>
      <c r="T399" t="s">
        <v>2468</v>
      </c>
      <c r="U399" t="s">
        <v>127</v>
      </c>
      <c r="V399" t="s">
        <v>140</v>
      </c>
      <c r="W399">
        <v>90</v>
      </c>
      <c r="X399">
        <v>0</v>
      </c>
      <c r="AA399" t="s">
        <v>141</v>
      </c>
      <c r="AB399" t="s">
        <v>142</v>
      </c>
      <c r="AC399">
        <v>11611</v>
      </c>
      <c r="AD399">
        <v>11612</v>
      </c>
      <c r="AF399">
        <v>1</v>
      </c>
    </row>
    <row r="400" spans="1:32">
      <c r="A400">
        <v>1</v>
      </c>
      <c r="E400" t="s">
        <v>3266</v>
      </c>
      <c r="F400">
        <v>36</v>
      </c>
      <c r="G400" t="s">
        <v>2900</v>
      </c>
      <c r="H400" t="s">
        <v>2961</v>
      </c>
      <c r="I400" t="s">
        <v>2189</v>
      </c>
      <c r="J400" t="s">
        <v>1877</v>
      </c>
      <c r="K400" t="s">
        <v>2847</v>
      </c>
      <c r="L400">
        <v>0</v>
      </c>
      <c r="M400">
        <v>0</v>
      </c>
      <c r="O400">
        <v>0</v>
      </c>
      <c r="P400">
        <v>0</v>
      </c>
      <c r="Q400">
        <v>0</v>
      </c>
      <c r="R400" s="49"/>
      <c r="T400" t="s">
        <v>2468</v>
      </c>
      <c r="U400" t="s">
        <v>127</v>
      </c>
      <c r="V400" t="s">
        <v>140</v>
      </c>
      <c r="W400">
        <v>200</v>
      </c>
      <c r="X400">
        <v>0</v>
      </c>
      <c r="AA400" t="s">
        <v>141</v>
      </c>
      <c r="AB400" t="s">
        <v>142</v>
      </c>
      <c r="AC400">
        <v>11611</v>
      </c>
      <c r="AD400">
        <v>11612</v>
      </c>
      <c r="AF400">
        <v>1</v>
      </c>
    </row>
    <row r="401" spans="1:32">
      <c r="A401">
        <v>1</v>
      </c>
      <c r="E401" t="s">
        <v>3267</v>
      </c>
      <c r="F401">
        <v>72</v>
      </c>
      <c r="G401" t="s">
        <v>2900</v>
      </c>
      <c r="H401" t="s">
        <v>2961</v>
      </c>
      <c r="I401" t="s">
        <v>2253</v>
      </c>
      <c r="J401" t="s">
        <v>1879</v>
      </c>
      <c r="K401" t="s">
        <v>2846</v>
      </c>
      <c r="L401">
        <v>0</v>
      </c>
      <c r="M401">
        <v>0</v>
      </c>
      <c r="O401">
        <v>0</v>
      </c>
      <c r="P401">
        <v>0</v>
      </c>
      <c r="Q401">
        <v>0</v>
      </c>
      <c r="R401" s="49"/>
      <c r="T401" t="s">
        <v>2468</v>
      </c>
      <c r="U401" t="s">
        <v>127</v>
      </c>
      <c r="V401" t="s">
        <v>140</v>
      </c>
      <c r="W401">
        <v>60</v>
      </c>
      <c r="X401">
        <v>0</v>
      </c>
      <c r="AA401" t="s">
        <v>141</v>
      </c>
      <c r="AB401" t="s">
        <v>142</v>
      </c>
      <c r="AC401">
        <v>11611</v>
      </c>
      <c r="AD401">
        <v>11612</v>
      </c>
      <c r="AF401">
        <v>1</v>
      </c>
    </row>
    <row r="402" spans="1:32">
      <c r="A402">
        <v>1</v>
      </c>
      <c r="E402" t="s">
        <v>3268</v>
      </c>
      <c r="F402">
        <v>36</v>
      </c>
      <c r="G402" t="s">
        <v>2900</v>
      </c>
      <c r="H402" t="s">
        <v>2961</v>
      </c>
      <c r="I402" t="s">
        <v>2253</v>
      </c>
      <c r="J402" t="s">
        <v>1881</v>
      </c>
      <c r="K402" t="s">
        <v>2847</v>
      </c>
      <c r="L402">
        <v>0</v>
      </c>
      <c r="M402">
        <v>0</v>
      </c>
      <c r="O402">
        <v>0</v>
      </c>
      <c r="P402">
        <v>0</v>
      </c>
      <c r="Q402">
        <v>0</v>
      </c>
      <c r="R402" s="49"/>
      <c r="T402" t="s">
        <v>2468</v>
      </c>
      <c r="U402" t="s">
        <v>127</v>
      </c>
      <c r="V402" t="s">
        <v>140</v>
      </c>
      <c r="W402">
        <v>90</v>
      </c>
      <c r="X402">
        <v>0</v>
      </c>
      <c r="AA402" t="s">
        <v>141</v>
      </c>
      <c r="AB402" t="s">
        <v>142</v>
      </c>
      <c r="AC402">
        <v>11611</v>
      </c>
      <c r="AD402">
        <v>11612</v>
      </c>
      <c r="AF402">
        <v>1</v>
      </c>
    </row>
    <row r="403" spans="1:32">
      <c r="A403">
        <v>1</v>
      </c>
      <c r="E403" t="s">
        <v>3269</v>
      </c>
      <c r="F403">
        <v>36</v>
      </c>
      <c r="G403" t="s">
        <v>2900</v>
      </c>
      <c r="H403" t="s">
        <v>2961</v>
      </c>
      <c r="I403" t="s">
        <v>2253</v>
      </c>
      <c r="J403" t="s">
        <v>1883</v>
      </c>
      <c r="K403" t="s">
        <v>2847</v>
      </c>
      <c r="L403">
        <v>0</v>
      </c>
      <c r="M403">
        <v>0</v>
      </c>
      <c r="O403">
        <v>0</v>
      </c>
      <c r="P403">
        <v>0</v>
      </c>
      <c r="Q403">
        <v>0</v>
      </c>
      <c r="R403" s="49"/>
      <c r="T403" t="s">
        <v>2468</v>
      </c>
      <c r="U403" t="s">
        <v>127</v>
      </c>
      <c r="V403" t="s">
        <v>140</v>
      </c>
      <c r="W403">
        <v>200</v>
      </c>
      <c r="X403">
        <v>0</v>
      </c>
      <c r="AA403" t="s">
        <v>141</v>
      </c>
      <c r="AB403" t="s">
        <v>142</v>
      </c>
      <c r="AC403">
        <v>11611</v>
      </c>
      <c r="AD403">
        <v>11612</v>
      </c>
      <c r="AF403">
        <v>1</v>
      </c>
    </row>
    <row r="404" spans="1:32">
      <c r="A404">
        <v>1</v>
      </c>
      <c r="E404" t="s">
        <v>3270</v>
      </c>
      <c r="F404">
        <v>72</v>
      </c>
      <c r="G404" t="s">
        <v>2900</v>
      </c>
      <c r="H404" t="s">
        <v>2961</v>
      </c>
      <c r="I404" t="s">
        <v>2253</v>
      </c>
      <c r="J404" t="s">
        <v>1885</v>
      </c>
      <c r="K404" t="s">
        <v>2846</v>
      </c>
      <c r="L404">
        <v>0</v>
      </c>
      <c r="M404">
        <v>0</v>
      </c>
      <c r="O404">
        <v>0</v>
      </c>
      <c r="P404">
        <v>0</v>
      </c>
      <c r="Q404">
        <v>0</v>
      </c>
      <c r="R404" s="49"/>
      <c r="T404" t="s">
        <v>2468</v>
      </c>
      <c r="U404" t="s">
        <v>127</v>
      </c>
      <c r="V404" t="s">
        <v>140</v>
      </c>
      <c r="W404">
        <v>60</v>
      </c>
      <c r="X404">
        <v>0</v>
      </c>
      <c r="AA404" t="s">
        <v>141</v>
      </c>
      <c r="AB404" t="s">
        <v>142</v>
      </c>
      <c r="AC404">
        <v>11611</v>
      </c>
      <c r="AD404">
        <v>11612</v>
      </c>
      <c r="AF404">
        <v>1</v>
      </c>
    </row>
    <row r="405" spans="1:32">
      <c r="A405">
        <v>1</v>
      </c>
      <c r="E405" t="s">
        <v>3271</v>
      </c>
      <c r="F405">
        <v>36</v>
      </c>
      <c r="G405" t="s">
        <v>2900</v>
      </c>
      <c r="H405" t="s">
        <v>2961</v>
      </c>
      <c r="I405" t="s">
        <v>2253</v>
      </c>
      <c r="J405" t="s">
        <v>1887</v>
      </c>
      <c r="K405" t="s">
        <v>2847</v>
      </c>
      <c r="L405">
        <v>0</v>
      </c>
      <c r="M405">
        <v>0</v>
      </c>
      <c r="O405">
        <v>0</v>
      </c>
      <c r="P405">
        <v>0</v>
      </c>
      <c r="Q405">
        <v>0</v>
      </c>
      <c r="R405" s="49"/>
      <c r="T405" t="s">
        <v>2468</v>
      </c>
      <c r="U405" t="s">
        <v>127</v>
      </c>
      <c r="V405" t="s">
        <v>140</v>
      </c>
      <c r="W405">
        <v>90</v>
      </c>
      <c r="X405">
        <v>0</v>
      </c>
      <c r="AA405" t="s">
        <v>141</v>
      </c>
      <c r="AB405" t="s">
        <v>142</v>
      </c>
      <c r="AC405">
        <v>11611</v>
      </c>
      <c r="AD405">
        <v>11612</v>
      </c>
      <c r="AF405">
        <v>1</v>
      </c>
    </row>
    <row r="406" spans="1:32">
      <c r="A406">
        <v>1</v>
      </c>
      <c r="E406" t="s">
        <v>3272</v>
      </c>
      <c r="F406">
        <v>36</v>
      </c>
      <c r="G406" t="s">
        <v>2900</v>
      </c>
      <c r="H406" t="s">
        <v>2961</v>
      </c>
      <c r="I406" t="s">
        <v>2253</v>
      </c>
      <c r="J406" t="s">
        <v>1889</v>
      </c>
      <c r="K406" t="s">
        <v>2847</v>
      </c>
      <c r="L406">
        <v>0</v>
      </c>
      <c r="M406">
        <v>0</v>
      </c>
      <c r="O406">
        <v>0</v>
      </c>
      <c r="P406">
        <v>0</v>
      </c>
      <c r="Q406">
        <v>0</v>
      </c>
      <c r="R406" s="49"/>
      <c r="T406" t="s">
        <v>2468</v>
      </c>
      <c r="U406" t="s">
        <v>127</v>
      </c>
      <c r="V406" t="s">
        <v>140</v>
      </c>
      <c r="W406">
        <v>200</v>
      </c>
      <c r="X406">
        <v>0</v>
      </c>
      <c r="AA406" t="s">
        <v>141</v>
      </c>
      <c r="AB406" t="s">
        <v>142</v>
      </c>
      <c r="AC406">
        <v>11611</v>
      </c>
      <c r="AD406">
        <v>11612</v>
      </c>
      <c r="AF406">
        <v>1</v>
      </c>
    </row>
    <row r="407" spans="1:32">
      <c r="A407">
        <v>1</v>
      </c>
      <c r="E407" t="s">
        <v>3273</v>
      </c>
      <c r="F407">
        <v>72</v>
      </c>
      <c r="G407" t="s">
        <v>2900</v>
      </c>
      <c r="H407" t="s">
        <v>2961</v>
      </c>
      <c r="I407" t="s">
        <v>2255</v>
      </c>
      <c r="J407" t="s">
        <v>1891</v>
      </c>
      <c r="K407" t="s">
        <v>2846</v>
      </c>
      <c r="L407">
        <v>0</v>
      </c>
      <c r="M407">
        <v>0</v>
      </c>
      <c r="O407">
        <v>0</v>
      </c>
      <c r="P407">
        <v>0</v>
      </c>
      <c r="Q407">
        <v>0</v>
      </c>
      <c r="R407" s="49"/>
      <c r="T407" t="s">
        <v>2468</v>
      </c>
      <c r="U407" t="s">
        <v>127</v>
      </c>
      <c r="V407" t="s">
        <v>140</v>
      </c>
      <c r="W407">
        <v>50</v>
      </c>
      <c r="X407">
        <v>0</v>
      </c>
      <c r="AA407" t="s">
        <v>141</v>
      </c>
      <c r="AB407" t="s">
        <v>142</v>
      </c>
      <c r="AC407">
        <v>11611</v>
      </c>
      <c r="AD407">
        <v>11612</v>
      </c>
      <c r="AF407">
        <v>1</v>
      </c>
    </row>
    <row r="408" spans="1:32">
      <c r="A408">
        <v>1</v>
      </c>
      <c r="E408" t="s">
        <v>3274</v>
      </c>
      <c r="F408">
        <v>36</v>
      </c>
      <c r="G408" t="s">
        <v>2900</v>
      </c>
      <c r="H408" t="s">
        <v>2961</v>
      </c>
      <c r="I408" t="s">
        <v>2255</v>
      </c>
      <c r="J408" t="s">
        <v>1893</v>
      </c>
      <c r="K408" t="s">
        <v>2847</v>
      </c>
      <c r="L408">
        <v>0</v>
      </c>
      <c r="M408">
        <v>0</v>
      </c>
      <c r="O408">
        <v>0</v>
      </c>
      <c r="P408">
        <v>0</v>
      </c>
      <c r="Q408">
        <v>0</v>
      </c>
      <c r="R408" s="49"/>
      <c r="T408" t="s">
        <v>2468</v>
      </c>
      <c r="U408" t="s">
        <v>127</v>
      </c>
      <c r="V408" t="s">
        <v>140</v>
      </c>
      <c r="W408">
        <v>90</v>
      </c>
      <c r="X408">
        <v>0</v>
      </c>
      <c r="AA408" t="s">
        <v>141</v>
      </c>
      <c r="AB408" t="s">
        <v>142</v>
      </c>
      <c r="AC408">
        <v>11611</v>
      </c>
      <c r="AD408">
        <v>11612</v>
      </c>
      <c r="AF408">
        <v>1</v>
      </c>
    </row>
    <row r="409" spans="1:32">
      <c r="A409">
        <v>1</v>
      </c>
      <c r="E409" t="s">
        <v>3275</v>
      </c>
      <c r="F409">
        <v>36</v>
      </c>
      <c r="G409" t="s">
        <v>2900</v>
      </c>
      <c r="H409" t="s">
        <v>2961</v>
      </c>
      <c r="I409" t="s">
        <v>2255</v>
      </c>
      <c r="J409" t="s">
        <v>1895</v>
      </c>
      <c r="K409" t="s">
        <v>2847</v>
      </c>
      <c r="L409">
        <v>0</v>
      </c>
      <c r="M409">
        <v>0</v>
      </c>
      <c r="O409">
        <v>0</v>
      </c>
      <c r="P409">
        <v>0</v>
      </c>
      <c r="Q409">
        <v>0</v>
      </c>
      <c r="R409" s="49"/>
      <c r="T409" t="s">
        <v>2468</v>
      </c>
      <c r="U409" t="s">
        <v>127</v>
      </c>
      <c r="V409" t="s">
        <v>140</v>
      </c>
      <c r="W409">
        <v>200</v>
      </c>
      <c r="X409">
        <v>0</v>
      </c>
      <c r="AA409" t="s">
        <v>141</v>
      </c>
      <c r="AB409" t="s">
        <v>142</v>
      </c>
      <c r="AC409">
        <v>11611</v>
      </c>
      <c r="AD409">
        <v>11612</v>
      </c>
      <c r="AF409">
        <v>1</v>
      </c>
    </row>
    <row r="410" spans="1:32">
      <c r="A410">
        <v>1</v>
      </c>
      <c r="E410" t="s">
        <v>3276</v>
      </c>
      <c r="F410">
        <v>72</v>
      </c>
      <c r="G410" t="s">
        <v>2900</v>
      </c>
      <c r="H410" t="s">
        <v>2961</v>
      </c>
      <c r="I410" t="s">
        <v>2247</v>
      </c>
      <c r="J410" t="s">
        <v>1897</v>
      </c>
      <c r="K410" t="s">
        <v>2846</v>
      </c>
      <c r="L410">
        <v>0</v>
      </c>
      <c r="M410">
        <v>0</v>
      </c>
      <c r="O410">
        <v>0</v>
      </c>
      <c r="P410">
        <v>0</v>
      </c>
      <c r="Q410">
        <v>0</v>
      </c>
      <c r="R410" s="49"/>
      <c r="T410" t="s">
        <v>2468</v>
      </c>
      <c r="U410" t="s">
        <v>127</v>
      </c>
      <c r="V410" t="s">
        <v>140</v>
      </c>
      <c r="W410">
        <v>50</v>
      </c>
      <c r="X410">
        <v>0</v>
      </c>
      <c r="AA410" t="s">
        <v>141</v>
      </c>
      <c r="AB410" t="s">
        <v>142</v>
      </c>
      <c r="AC410">
        <v>11611</v>
      </c>
      <c r="AD410">
        <v>11612</v>
      </c>
      <c r="AF410">
        <v>1</v>
      </c>
    </row>
    <row r="411" spans="1:32">
      <c r="A411">
        <v>1</v>
      </c>
      <c r="E411" t="s">
        <v>3277</v>
      </c>
      <c r="F411">
        <v>36</v>
      </c>
      <c r="G411" t="s">
        <v>2900</v>
      </c>
      <c r="H411" t="s">
        <v>2961</v>
      </c>
      <c r="I411" t="s">
        <v>2247</v>
      </c>
      <c r="J411" t="s">
        <v>1899</v>
      </c>
      <c r="K411" t="s">
        <v>2847</v>
      </c>
      <c r="L411">
        <v>0</v>
      </c>
      <c r="M411">
        <v>0</v>
      </c>
      <c r="O411">
        <v>0</v>
      </c>
      <c r="P411">
        <v>0</v>
      </c>
      <c r="Q411">
        <v>0</v>
      </c>
      <c r="R411" s="49"/>
      <c r="T411" t="s">
        <v>2468</v>
      </c>
      <c r="U411" t="s">
        <v>127</v>
      </c>
      <c r="V411" t="s">
        <v>140</v>
      </c>
      <c r="W411">
        <v>125</v>
      </c>
      <c r="X411">
        <v>0</v>
      </c>
      <c r="AA411" t="s">
        <v>141</v>
      </c>
      <c r="AB411" t="s">
        <v>142</v>
      </c>
      <c r="AC411">
        <v>11611</v>
      </c>
      <c r="AD411">
        <v>11612</v>
      </c>
      <c r="AF411">
        <v>1</v>
      </c>
    </row>
    <row r="412" spans="1:32">
      <c r="A412">
        <v>1</v>
      </c>
      <c r="E412" t="s">
        <v>3278</v>
      </c>
      <c r="F412">
        <v>36</v>
      </c>
      <c r="G412" t="s">
        <v>2900</v>
      </c>
      <c r="H412" t="s">
        <v>2961</v>
      </c>
      <c r="I412" t="s">
        <v>2247</v>
      </c>
      <c r="J412" t="s">
        <v>1901</v>
      </c>
      <c r="K412" t="s">
        <v>2847</v>
      </c>
      <c r="L412">
        <v>0</v>
      </c>
      <c r="M412">
        <v>0</v>
      </c>
      <c r="O412">
        <v>0</v>
      </c>
      <c r="P412">
        <v>0</v>
      </c>
      <c r="Q412">
        <v>0</v>
      </c>
      <c r="R412" s="49"/>
      <c r="T412" t="s">
        <v>2468</v>
      </c>
      <c r="U412" t="s">
        <v>127</v>
      </c>
      <c r="V412" t="s">
        <v>140</v>
      </c>
      <c r="W412">
        <v>125</v>
      </c>
      <c r="X412">
        <v>0</v>
      </c>
      <c r="AA412" t="s">
        <v>141</v>
      </c>
      <c r="AB412" t="s">
        <v>142</v>
      </c>
      <c r="AC412">
        <v>11611</v>
      </c>
      <c r="AD412">
        <v>11612</v>
      </c>
      <c r="AF412">
        <v>1</v>
      </c>
    </row>
    <row r="413" spans="1:32">
      <c r="A413">
        <v>1</v>
      </c>
      <c r="E413" t="s">
        <v>3279</v>
      </c>
      <c r="F413">
        <v>72</v>
      </c>
      <c r="G413" t="s">
        <v>2900</v>
      </c>
      <c r="H413" t="s">
        <v>2961</v>
      </c>
      <c r="I413" t="s">
        <v>2247</v>
      </c>
      <c r="J413" t="s">
        <v>1903</v>
      </c>
      <c r="K413" t="s">
        <v>2846</v>
      </c>
      <c r="L413">
        <v>0</v>
      </c>
      <c r="M413">
        <v>0</v>
      </c>
      <c r="O413">
        <v>0</v>
      </c>
      <c r="P413">
        <v>0</v>
      </c>
      <c r="Q413">
        <v>0</v>
      </c>
      <c r="R413" s="49"/>
      <c r="T413" t="s">
        <v>2468</v>
      </c>
      <c r="U413" t="s">
        <v>127</v>
      </c>
      <c r="V413" t="s">
        <v>140</v>
      </c>
      <c r="W413">
        <v>50</v>
      </c>
      <c r="X413">
        <v>0</v>
      </c>
      <c r="AA413" t="s">
        <v>141</v>
      </c>
      <c r="AB413" t="s">
        <v>142</v>
      </c>
      <c r="AC413">
        <v>11611</v>
      </c>
      <c r="AD413">
        <v>11612</v>
      </c>
      <c r="AF413">
        <v>1</v>
      </c>
    </row>
    <row r="414" spans="1:32">
      <c r="A414">
        <v>1</v>
      </c>
      <c r="E414" t="s">
        <v>3280</v>
      </c>
      <c r="F414">
        <v>36</v>
      </c>
      <c r="G414" t="s">
        <v>2900</v>
      </c>
      <c r="H414" t="s">
        <v>2961</v>
      </c>
      <c r="I414" t="s">
        <v>2247</v>
      </c>
      <c r="J414" t="s">
        <v>1905</v>
      </c>
      <c r="K414" t="s">
        <v>2847</v>
      </c>
      <c r="L414">
        <v>0</v>
      </c>
      <c r="M414">
        <v>0</v>
      </c>
      <c r="O414">
        <v>0</v>
      </c>
      <c r="P414">
        <v>0</v>
      </c>
      <c r="Q414">
        <v>0</v>
      </c>
      <c r="R414" s="49"/>
      <c r="T414" t="s">
        <v>2468</v>
      </c>
      <c r="U414" t="s">
        <v>127</v>
      </c>
      <c r="V414" t="s">
        <v>140</v>
      </c>
      <c r="W414">
        <v>125</v>
      </c>
      <c r="X414">
        <v>0</v>
      </c>
      <c r="AA414" t="s">
        <v>141</v>
      </c>
      <c r="AB414" t="s">
        <v>142</v>
      </c>
      <c r="AC414">
        <v>11611</v>
      </c>
      <c r="AD414">
        <v>11612</v>
      </c>
      <c r="AF414">
        <v>1</v>
      </c>
    </row>
    <row r="415" spans="1:32">
      <c r="A415">
        <v>1</v>
      </c>
      <c r="E415" t="s">
        <v>3281</v>
      </c>
      <c r="F415">
        <v>72</v>
      </c>
      <c r="G415" t="s">
        <v>2900</v>
      </c>
      <c r="H415" t="s">
        <v>2961</v>
      </c>
      <c r="I415" t="s">
        <v>2247</v>
      </c>
      <c r="J415" t="s">
        <v>1907</v>
      </c>
      <c r="K415" t="s">
        <v>2846</v>
      </c>
      <c r="L415">
        <v>0</v>
      </c>
      <c r="M415">
        <v>0</v>
      </c>
      <c r="O415">
        <v>0</v>
      </c>
      <c r="P415">
        <v>0</v>
      </c>
      <c r="Q415">
        <v>0</v>
      </c>
      <c r="R415" s="49"/>
      <c r="T415" t="s">
        <v>2468</v>
      </c>
      <c r="U415" t="s">
        <v>127</v>
      </c>
      <c r="V415" t="s">
        <v>140</v>
      </c>
      <c r="W415">
        <v>50</v>
      </c>
      <c r="X415">
        <v>0</v>
      </c>
      <c r="AA415" t="s">
        <v>141</v>
      </c>
      <c r="AB415" t="s">
        <v>142</v>
      </c>
      <c r="AC415">
        <v>11611</v>
      </c>
      <c r="AD415">
        <v>11612</v>
      </c>
      <c r="AF415">
        <v>1</v>
      </c>
    </row>
    <row r="416" spans="1:32">
      <c r="A416">
        <v>1</v>
      </c>
      <c r="E416" t="s">
        <v>3282</v>
      </c>
      <c r="F416">
        <v>36</v>
      </c>
      <c r="G416" t="s">
        <v>2900</v>
      </c>
      <c r="H416" t="s">
        <v>2961</v>
      </c>
      <c r="I416" t="s">
        <v>2247</v>
      </c>
      <c r="J416" t="s">
        <v>1909</v>
      </c>
      <c r="K416" t="s">
        <v>2847</v>
      </c>
      <c r="L416">
        <v>0</v>
      </c>
      <c r="M416">
        <v>0</v>
      </c>
      <c r="O416">
        <v>0</v>
      </c>
      <c r="P416">
        <v>0</v>
      </c>
      <c r="Q416">
        <v>0</v>
      </c>
      <c r="R416" s="49"/>
      <c r="T416" t="s">
        <v>2468</v>
      </c>
      <c r="U416" t="s">
        <v>127</v>
      </c>
      <c r="V416" t="s">
        <v>140</v>
      </c>
      <c r="W416">
        <v>125</v>
      </c>
      <c r="X416">
        <v>0</v>
      </c>
      <c r="AA416" t="s">
        <v>141</v>
      </c>
      <c r="AB416" t="s">
        <v>142</v>
      </c>
      <c r="AC416">
        <v>11611</v>
      </c>
      <c r="AD416">
        <v>11612</v>
      </c>
      <c r="AF416">
        <v>1</v>
      </c>
    </row>
    <row r="417" spans="1:32">
      <c r="A417">
        <v>1</v>
      </c>
      <c r="E417" t="s">
        <v>3283</v>
      </c>
      <c r="F417">
        <v>36</v>
      </c>
      <c r="G417" t="s">
        <v>2900</v>
      </c>
      <c r="H417" t="s">
        <v>2961</v>
      </c>
      <c r="I417" t="s">
        <v>2247</v>
      </c>
      <c r="J417" t="s">
        <v>1911</v>
      </c>
      <c r="K417" t="s">
        <v>2847</v>
      </c>
      <c r="L417">
        <v>0</v>
      </c>
      <c r="M417">
        <v>0</v>
      </c>
      <c r="O417">
        <v>0</v>
      </c>
      <c r="P417">
        <v>0</v>
      </c>
      <c r="Q417">
        <v>0</v>
      </c>
      <c r="R417" s="49"/>
      <c r="T417" t="s">
        <v>2468</v>
      </c>
      <c r="U417" t="s">
        <v>127</v>
      </c>
      <c r="V417" t="s">
        <v>140</v>
      </c>
      <c r="W417">
        <v>125</v>
      </c>
      <c r="X417">
        <v>0</v>
      </c>
      <c r="AA417" t="s">
        <v>141</v>
      </c>
      <c r="AB417" t="s">
        <v>142</v>
      </c>
      <c r="AC417">
        <v>11611</v>
      </c>
      <c r="AD417">
        <v>11612</v>
      </c>
      <c r="AF417">
        <v>1</v>
      </c>
    </row>
    <row r="418" spans="1:32">
      <c r="A418">
        <v>1</v>
      </c>
      <c r="E418" t="s">
        <v>3284</v>
      </c>
      <c r="F418">
        <v>72</v>
      </c>
      <c r="G418" t="s">
        <v>2900</v>
      </c>
      <c r="H418" t="s">
        <v>2961</v>
      </c>
      <c r="I418" t="s">
        <v>2247</v>
      </c>
      <c r="J418" t="s">
        <v>1913</v>
      </c>
      <c r="K418" t="s">
        <v>2846</v>
      </c>
      <c r="L418">
        <v>0</v>
      </c>
      <c r="M418">
        <v>0</v>
      </c>
      <c r="O418">
        <v>0</v>
      </c>
      <c r="P418">
        <v>0</v>
      </c>
      <c r="Q418">
        <v>0</v>
      </c>
      <c r="R418" s="49"/>
      <c r="T418" t="s">
        <v>2468</v>
      </c>
      <c r="U418" t="s">
        <v>127</v>
      </c>
      <c r="V418" t="s">
        <v>140</v>
      </c>
      <c r="W418">
        <v>50</v>
      </c>
      <c r="X418">
        <v>0</v>
      </c>
      <c r="AA418" t="s">
        <v>141</v>
      </c>
      <c r="AB418" t="s">
        <v>142</v>
      </c>
      <c r="AC418">
        <v>11611</v>
      </c>
      <c r="AD418">
        <v>11612</v>
      </c>
      <c r="AF418">
        <v>1</v>
      </c>
    </row>
    <row r="419" spans="1:32">
      <c r="A419">
        <v>1</v>
      </c>
      <c r="E419" t="s">
        <v>3285</v>
      </c>
      <c r="F419">
        <v>36</v>
      </c>
      <c r="G419" t="s">
        <v>2900</v>
      </c>
      <c r="H419" t="s">
        <v>2961</v>
      </c>
      <c r="I419" t="s">
        <v>2247</v>
      </c>
      <c r="J419" t="s">
        <v>1915</v>
      </c>
      <c r="K419" t="s">
        <v>2847</v>
      </c>
      <c r="L419">
        <v>0</v>
      </c>
      <c r="M419">
        <v>0</v>
      </c>
      <c r="O419">
        <v>0</v>
      </c>
      <c r="P419">
        <v>0</v>
      </c>
      <c r="Q419">
        <v>0</v>
      </c>
      <c r="R419" s="49"/>
      <c r="T419" t="s">
        <v>2468</v>
      </c>
      <c r="U419" t="s">
        <v>127</v>
      </c>
      <c r="V419" t="s">
        <v>140</v>
      </c>
      <c r="W419">
        <v>125</v>
      </c>
      <c r="X419">
        <v>0</v>
      </c>
      <c r="AA419" t="s">
        <v>141</v>
      </c>
      <c r="AB419" t="s">
        <v>142</v>
      </c>
      <c r="AC419">
        <v>11611</v>
      </c>
      <c r="AD419">
        <v>11612</v>
      </c>
      <c r="AF419">
        <v>1</v>
      </c>
    </row>
    <row r="420" spans="1:32">
      <c r="A420">
        <v>1</v>
      </c>
      <c r="E420" t="s">
        <v>3286</v>
      </c>
      <c r="F420">
        <v>72</v>
      </c>
      <c r="G420" t="s">
        <v>2900</v>
      </c>
      <c r="H420" t="s">
        <v>2961</v>
      </c>
      <c r="I420" t="s">
        <v>2249</v>
      </c>
      <c r="J420" t="s">
        <v>1917</v>
      </c>
      <c r="K420" t="s">
        <v>2846</v>
      </c>
      <c r="L420">
        <v>0</v>
      </c>
      <c r="M420">
        <v>0</v>
      </c>
      <c r="O420">
        <v>0</v>
      </c>
      <c r="P420">
        <v>0</v>
      </c>
      <c r="Q420">
        <v>0</v>
      </c>
      <c r="R420" s="49"/>
      <c r="T420" t="s">
        <v>2468</v>
      </c>
      <c r="U420" t="s">
        <v>127</v>
      </c>
      <c r="V420" t="s">
        <v>140</v>
      </c>
      <c r="W420">
        <v>30</v>
      </c>
      <c r="X420">
        <v>0</v>
      </c>
      <c r="AA420" t="s">
        <v>141</v>
      </c>
      <c r="AB420" t="s">
        <v>142</v>
      </c>
      <c r="AC420">
        <v>11611</v>
      </c>
      <c r="AD420">
        <v>11612</v>
      </c>
      <c r="AF420">
        <v>1</v>
      </c>
    </row>
    <row r="421" spans="1:32">
      <c r="A421">
        <v>1</v>
      </c>
      <c r="E421" t="s">
        <v>3287</v>
      </c>
      <c r="F421">
        <v>72</v>
      </c>
      <c r="G421" t="s">
        <v>2900</v>
      </c>
      <c r="H421" t="s">
        <v>2961</v>
      </c>
      <c r="I421" t="s">
        <v>2249</v>
      </c>
      <c r="J421" t="s">
        <v>1919</v>
      </c>
      <c r="K421" t="s">
        <v>2846</v>
      </c>
      <c r="L421">
        <v>0</v>
      </c>
      <c r="M421">
        <v>0</v>
      </c>
      <c r="O421">
        <v>0</v>
      </c>
      <c r="P421">
        <v>0</v>
      </c>
      <c r="Q421">
        <v>0</v>
      </c>
      <c r="R421" s="49"/>
      <c r="T421" t="s">
        <v>2468</v>
      </c>
      <c r="U421" t="s">
        <v>127</v>
      </c>
      <c r="V421" t="s">
        <v>140</v>
      </c>
      <c r="W421">
        <v>30</v>
      </c>
      <c r="X421">
        <v>0</v>
      </c>
      <c r="AA421" t="s">
        <v>141</v>
      </c>
      <c r="AB421" t="s">
        <v>142</v>
      </c>
      <c r="AC421">
        <v>11611</v>
      </c>
      <c r="AD421">
        <v>11612</v>
      </c>
      <c r="AF421">
        <v>1</v>
      </c>
    </row>
    <row r="422" spans="1:32">
      <c r="A422">
        <v>1</v>
      </c>
      <c r="E422" t="s">
        <v>3288</v>
      </c>
      <c r="F422">
        <v>72</v>
      </c>
      <c r="G422" t="s">
        <v>2900</v>
      </c>
      <c r="H422" t="s">
        <v>2961</v>
      </c>
      <c r="I422" t="s">
        <v>2249</v>
      </c>
      <c r="J422" t="s">
        <v>1921</v>
      </c>
      <c r="K422" t="s">
        <v>2846</v>
      </c>
      <c r="L422">
        <v>0</v>
      </c>
      <c r="M422">
        <v>0</v>
      </c>
      <c r="O422">
        <v>0</v>
      </c>
      <c r="P422">
        <v>0</v>
      </c>
      <c r="Q422">
        <v>0</v>
      </c>
      <c r="R422" s="49"/>
      <c r="T422" t="s">
        <v>2468</v>
      </c>
      <c r="U422" t="s">
        <v>127</v>
      </c>
      <c r="V422" t="s">
        <v>140</v>
      </c>
      <c r="W422">
        <v>30</v>
      </c>
      <c r="X422">
        <v>0</v>
      </c>
      <c r="AA422" t="s">
        <v>141</v>
      </c>
      <c r="AB422" t="s">
        <v>142</v>
      </c>
      <c r="AC422">
        <v>11611</v>
      </c>
      <c r="AD422">
        <v>11612</v>
      </c>
      <c r="AF422">
        <v>1</v>
      </c>
    </row>
    <row r="423" spans="1:32">
      <c r="A423">
        <v>1</v>
      </c>
      <c r="E423" t="s">
        <v>3289</v>
      </c>
      <c r="F423">
        <v>72</v>
      </c>
      <c r="G423" t="s">
        <v>2900</v>
      </c>
      <c r="H423" t="s">
        <v>2961</v>
      </c>
      <c r="I423" t="s">
        <v>2249</v>
      </c>
      <c r="J423" t="s">
        <v>1923</v>
      </c>
      <c r="K423" t="s">
        <v>2846</v>
      </c>
      <c r="L423">
        <v>0</v>
      </c>
      <c r="M423">
        <v>0</v>
      </c>
      <c r="O423">
        <v>0</v>
      </c>
      <c r="P423">
        <v>0</v>
      </c>
      <c r="Q423">
        <v>0</v>
      </c>
      <c r="R423" s="49"/>
      <c r="T423" t="s">
        <v>2468</v>
      </c>
      <c r="U423" t="s">
        <v>127</v>
      </c>
      <c r="V423" t="s">
        <v>140</v>
      </c>
      <c r="W423">
        <v>30</v>
      </c>
      <c r="X423">
        <v>0</v>
      </c>
      <c r="AA423" t="s">
        <v>141</v>
      </c>
      <c r="AB423" t="s">
        <v>142</v>
      </c>
      <c r="AC423">
        <v>11611</v>
      </c>
      <c r="AD423">
        <v>11612</v>
      </c>
      <c r="AF423">
        <v>1</v>
      </c>
    </row>
    <row r="424" spans="1:32">
      <c r="A424">
        <v>1</v>
      </c>
      <c r="E424" t="s">
        <v>3290</v>
      </c>
      <c r="F424">
        <v>72</v>
      </c>
      <c r="G424" t="s">
        <v>2900</v>
      </c>
      <c r="H424" t="s">
        <v>2961</v>
      </c>
      <c r="I424" t="s">
        <v>2251</v>
      </c>
      <c r="J424" t="s">
        <v>1925</v>
      </c>
      <c r="K424" t="s">
        <v>2846</v>
      </c>
      <c r="L424">
        <v>0</v>
      </c>
      <c r="M424">
        <v>0</v>
      </c>
      <c r="O424">
        <v>0</v>
      </c>
      <c r="P424">
        <v>0</v>
      </c>
      <c r="Q424">
        <v>0</v>
      </c>
      <c r="R424" s="49"/>
      <c r="T424" t="s">
        <v>2468</v>
      </c>
      <c r="U424" t="s">
        <v>127</v>
      </c>
      <c r="V424" t="s">
        <v>140</v>
      </c>
      <c r="W424">
        <v>10</v>
      </c>
      <c r="X424">
        <v>0</v>
      </c>
      <c r="AA424" t="s">
        <v>141</v>
      </c>
      <c r="AB424" t="s">
        <v>142</v>
      </c>
      <c r="AC424">
        <v>11611</v>
      </c>
      <c r="AD424">
        <v>11612</v>
      </c>
      <c r="AF424">
        <v>1</v>
      </c>
    </row>
    <row r="425" spans="1:32">
      <c r="A425">
        <v>1</v>
      </c>
      <c r="E425" t="s">
        <v>3291</v>
      </c>
      <c r="F425">
        <v>72</v>
      </c>
      <c r="G425" t="s">
        <v>2900</v>
      </c>
      <c r="H425" t="s">
        <v>2961</v>
      </c>
      <c r="I425" t="s">
        <v>2251</v>
      </c>
      <c r="J425" t="s">
        <v>1927</v>
      </c>
      <c r="K425" t="s">
        <v>2846</v>
      </c>
      <c r="L425">
        <v>0</v>
      </c>
      <c r="M425">
        <v>0</v>
      </c>
      <c r="O425">
        <v>0</v>
      </c>
      <c r="P425">
        <v>0</v>
      </c>
      <c r="Q425">
        <v>0</v>
      </c>
      <c r="R425" s="49"/>
      <c r="T425" t="s">
        <v>2468</v>
      </c>
      <c r="U425" t="s">
        <v>127</v>
      </c>
      <c r="V425" t="s">
        <v>140</v>
      </c>
      <c r="W425">
        <v>25</v>
      </c>
      <c r="X425">
        <v>0</v>
      </c>
      <c r="AA425" t="s">
        <v>141</v>
      </c>
      <c r="AB425" t="s">
        <v>142</v>
      </c>
      <c r="AC425">
        <v>11611</v>
      </c>
      <c r="AD425">
        <v>11612</v>
      </c>
      <c r="AF425">
        <v>1</v>
      </c>
    </row>
    <row r="426" spans="1:32">
      <c r="A426">
        <v>1</v>
      </c>
      <c r="E426" t="s">
        <v>3292</v>
      </c>
      <c r="F426">
        <v>72</v>
      </c>
      <c r="G426" t="s">
        <v>2900</v>
      </c>
      <c r="H426" t="s">
        <v>2961</v>
      </c>
      <c r="I426" t="s">
        <v>2251</v>
      </c>
      <c r="J426" t="s">
        <v>1929</v>
      </c>
      <c r="K426" t="s">
        <v>2846</v>
      </c>
      <c r="L426">
        <v>0</v>
      </c>
      <c r="M426">
        <v>0</v>
      </c>
      <c r="O426">
        <v>0</v>
      </c>
      <c r="P426">
        <v>0</v>
      </c>
      <c r="Q426">
        <v>0</v>
      </c>
      <c r="R426" s="49"/>
      <c r="T426" t="s">
        <v>2468</v>
      </c>
      <c r="U426" t="s">
        <v>127</v>
      </c>
      <c r="V426" t="s">
        <v>140</v>
      </c>
      <c r="W426">
        <v>25</v>
      </c>
      <c r="X426">
        <v>0</v>
      </c>
      <c r="AA426" t="s">
        <v>141</v>
      </c>
      <c r="AB426" t="s">
        <v>142</v>
      </c>
      <c r="AC426">
        <v>11611</v>
      </c>
      <c r="AD426">
        <v>11612</v>
      </c>
      <c r="AF426">
        <v>1</v>
      </c>
    </row>
    <row r="427" spans="1:32">
      <c r="A427">
        <v>1</v>
      </c>
      <c r="E427" t="s">
        <v>3293</v>
      </c>
      <c r="F427">
        <v>72</v>
      </c>
      <c r="G427" t="s">
        <v>2900</v>
      </c>
      <c r="H427" t="s">
        <v>2961</v>
      </c>
      <c r="I427" t="s">
        <v>2251</v>
      </c>
      <c r="J427" t="s">
        <v>1931</v>
      </c>
      <c r="K427" t="s">
        <v>2846</v>
      </c>
      <c r="L427">
        <v>0</v>
      </c>
      <c r="M427">
        <v>0</v>
      </c>
      <c r="O427">
        <v>0</v>
      </c>
      <c r="P427">
        <v>0</v>
      </c>
      <c r="Q427">
        <v>0</v>
      </c>
      <c r="R427" s="49"/>
      <c r="T427" t="s">
        <v>2468</v>
      </c>
      <c r="U427" t="s">
        <v>127</v>
      </c>
      <c r="V427" t="s">
        <v>140</v>
      </c>
      <c r="W427">
        <v>25</v>
      </c>
      <c r="X427">
        <v>0</v>
      </c>
      <c r="AA427" t="s">
        <v>141</v>
      </c>
      <c r="AB427" t="s">
        <v>142</v>
      </c>
      <c r="AC427">
        <v>11611</v>
      </c>
      <c r="AD427">
        <v>11612</v>
      </c>
      <c r="AF427">
        <v>1</v>
      </c>
    </row>
    <row r="428" spans="1:32">
      <c r="A428">
        <v>1</v>
      </c>
      <c r="E428" t="s">
        <v>3294</v>
      </c>
      <c r="F428">
        <v>72</v>
      </c>
      <c r="G428" t="s">
        <v>2900</v>
      </c>
      <c r="H428" t="s">
        <v>2961</v>
      </c>
      <c r="I428" t="s">
        <v>2251</v>
      </c>
      <c r="J428" t="s">
        <v>1933</v>
      </c>
      <c r="K428" t="s">
        <v>2846</v>
      </c>
      <c r="L428">
        <v>0</v>
      </c>
      <c r="M428">
        <v>0</v>
      </c>
      <c r="O428">
        <v>0</v>
      </c>
      <c r="P428">
        <v>0</v>
      </c>
      <c r="Q428">
        <v>0</v>
      </c>
      <c r="R428" s="49"/>
      <c r="T428" t="s">
        <v>2468</v>
      </c>
      <c r="U428" t="s">
        <v>127</v>
      </c>
      <c r="V428" t="s">
        <v>140</v>
      </c>
      <c r="W428">
        <v>25</v>
      </c>
      <c r="X428">
        <v>0</v>
      </c>
      <c r="AA428" t="s">
        <v>141</v>
      </c>
      <c r="AB428" t="s">
        <v>142</v>
      </c>
      <c r="AC428">
        <v>11611</v>
      </c>
      <c r="AD428">
        <v>11612</v>
      </c>
      <c r="AF428">
        <v>1</v>
      </c>
    </row>
    <row r="429" spans="1:32">
      <c r="A429">
        <v>1</v>
      </c>
      <c r="E429" t="s">
        <v>3295</v>
      </c>
      <c r="F429">
        <v>72</v>
      </c>
      <c r="G429" t="s">
        <v>2900</v>
      </c>
      <c r="H429" t="s">
        <v>2961</v>
      </c>
      <c r="I429" t="s">
        <v>2251</v>
      </c>
      <c r="J429" t="s">
        <v>1935</v>
      </c>
      <c r="K429" t="s">
        <v>2846</v>
      </c>
      <c r="L429">
        <v>0</v>
      </c>
      <c r="M429">
        <v>0</v>
      </c>
      <c r="O429">
        <v>0</v>
      </c>
      <c r="P429">
        <v>0</v>
      </c>
      <c r="Q429">
        <v>0</v>
      </c>
      <c r="R429" s="49"/>
      <c r="T429" t="s">
        <v>2468</v>
      </c>
      <c r="U429" t="s">
        <v>127</v>
      </c>
      <c r="V429" t="s">
        <v>140</v>
      </c>
      <c r="W429">
        <v>25</v>
      </c>
      <c r="X429">
        <v>0</v>
      </c>
      <c r="AA429" t="s">
        <v>141</v>
      </c>
      <c r="AB429" t="s">
        <v>142</v>
      </c>
      <c r="AC429">
        <v>11611</v>
      </c>
      <c r="AD429">
        <v>11612</v>
      </c>
      <c r="AF429">
        <v>1</v>
      </c>
    </row>
    <row r="430" spans="1:32">
      <c r="A430">
        <v>1</v>
      </c>
      <c r="E430" t="s">
        <v>3296</v>
      </c>
      <c r="F430">
        <v>72</v>
      </c>
      <c r="G430" t="s">
        <v>2900</v>
      </c>
      <c r="H430" t="s">
        <v>2961</v>
      </c>
      <c r="I430" t="s">
        <v>2251</v>
      </c>
      <c r="J430" t="s">
        <v>1937</v>
      </c>
      <c r="K430" t="s">
        <v>2846</v>
      </c>
      <c r="L430">
        <v>0</v>
      </c>
      <c r="M430">
        <v>0</v>
      </c>
      <c r="O430">
        <v>0</v>
      </c>
      <c r="P430">
        <v>0</v>
      </c>
      <c r="Q430">
        <v>0</v>
      </c>
      <c r="R430" s="49"/>
      <c r="T430" t="s">
        <v>2468</v>
      </c>
      <c r="U430" t="s">
        <v>127</v>
      </c>
      <c r="V430" t="s">
        <v>140</v>
      </c>
      <c r="W430">
        <v>25</v>
      </c>
      <c r="X430">
        <v>0</v>
      </c>
      <c r="AA430" t="s">
        <v>141</v>
      </c>
      <c r="AB430" t="s">
        <v>142</v>
      </c>
      <c r="AC430">
        <v>11611</v>
      </c>
      <c r="AD430">
        <v>11612</v>
      </c>
      <c r="AF430">
        <v>1</v>
      </c>
    </row>
    <row r="431" spans="1:32">
      <c r="A431">
        <v>1</v>
      </c>
      <c r="E431" t="s">
        <v>3297</v>
      </c>
      <c r="F431">
        <v>72</v>
      </c>
      <c r="G431" t="s">
        <v>2900</v>
      </c>
      <c r="H431" t="s">
        <v>2961</v>
      </c>
      <c r="I431" t="s">
        <v>2251</v>
      </c>
      <c r="J431" t="s">
        <v>1939</v>
      </c>
      <c r="K431" t="s">
        <v>2846</v>
      </c>
      <c r="L431">
        <v>0</v>
      </c>
      <c r="M431">
        <v>0</v>
      </c>
      <c r="O431">
        <v>0</v>
      </c>
      <c r="P431">
        <v>0</v>
      </c>
      <c r="Q431">
        <v>0</v>
      </c>
      <c r="R431" s="49"/>
      <c r="T431" t="s">
        <v>2468</v>
      </c>
      <c r="U431" t="s">
        <v>127</v>
      </c>
      <c r="V431" t="s">
        <v>140</v>
      </c>
      <c r="W431">
        <v>25</v>
      </c>
      <c r="X431">
        <v>0</v>
      </c>
      <c r="AA431" t="s">
        <v>141</v>
      </c>
      <c r="AB431" t="s">
        <v>142</v>
      </c>
      <c r="AC431">
        <v>11611</v>
      </c>
      <c r="AD431">
        <v>11612</v>
      </c>
      <c r="AF431">
        <v>1</v>
      </c>
    </row>
    <row r="432" spans="1:32">
      <c r="A432">
        <v>1</v>
      </c>
      <c r="E432" t="s">
        <v>3298</v>
      </c>
      <c r="F432">
        <v>72</v>
      </c>
      <c r="G432" t="s">
        <v>2900</v>
      </c>
      <c r="H432" t="s">
        <v>2961</v>
      </c>
      <c r="I432" t="s">
        <v>2251</v>
      </c>
      <c r="J432" t="s">
        <v>1941</v>
      </c>
      <c r="K432" t="s">
        <v>2846</v>
      </c>
      <c r="L432">
        <v>0</v>
      </c>
      <c r="M432">
        <v>0</v>
      </c>
      <c r="O432">
        <v>0</v>
      </c>
      <c r="P432">
        <v>0</v>
      </c>
      <c r="Q432">
        <v>0</v>
      </c>
      <c r="R432" s="49"/>
      <c r="T432" t="s">
        <v>2468</v>
      </c>
      <c r="U432" t="s">
        <v>127</v>
      </c>
      <c r="V432" t="s">
        <v>140</v>
      </c>
      <c r="W432">
        <v>25</v>
      </c>
      <c r="X432">
        <v>0</v>
      </c>
      <c r="AA432" t="s">
        <v>141</v>
      </c>
      <c r="AB432" t="s">
        <v>142</v>
      </c>
      <c r="AC432">
        <v>11611</v>
      </c>
      <c r="AD432">
        <v>11612</v>
      </c>
      <c r="AF432">
        <v>1</v>
      </c>
    </row>
    <row r="433" spans="1:32">
      <c r="A433">
        <v>1</v>
      </c>
      <c r="E433" t="s">
        <v>3299</v>
      </c>
      <c r="F433">
        <v>72</v>
      </c>
      <c r="G433" t="s">
        <v>2900</v>
      </c>
      <c r="H433" t="s">
        <v>2961</v>
      </c>
      <c r="I433" t="s">
        <v>2251</v>
      </c>
      <c r="J433" t="s">
        <v>1943</v>
      </c>
      <c r="K433" t="s">
        <v>2846</v>
      </c>
      <c r="L433">
        <v>0</v>
      </c>
      <c r="M433">
        <v>0</v>
      </c>
      <c r="O433">
        <v>0</v>
      </c>
      <c r="P433">
        <v>0</v>
      </c>
      <c r="Q433">
        <v>0</v>
      </c>
      <c r="R433" s="49"/>
      <c r="T433" t="s">
        <v>2468</v>
      </c>
      <c r="U433" t="s">
        <v>127</v>
      </c>
      <c r="V433" t="s">
        <v>140</v>
      </c>
      <c r="W433">
        <v>25</v>
      </c>
      <c r="X433">
        <v>0</v>
      </c>
      <c r="AA433" t="s">
        <v>141</v>
      </c>
      <c r="AB433" t="s">
        <v>142</v>
      </c>
      <c r="AC433">
        <v>11611</v>
      </c>
      <c r="AD433">
        <v>11612</v>
      </c>
      <c r="AF433">
        <v>1</v>
      </c>
    </row>
    <row r="434" spans="1:32">
      <c r="A434">
        <v>1</v>
      </c>
      <c r="E434" t="s">
        <v>3300</v>
      </c>
      <c r="F434">
        <v>72</v>
      </c>
      <c r="G434" t="s">
        <v>2900</v>
      </c>
      <c r="H434" t="s">
        <v>2961</v>
      </c>
      <c r="I434" t="s">
        <v>2251</v>
      </c>
      <c r="J434" t="s">
        <v>1945</v>
      </c>
      <c r="K434" t="s">
        <v>2846</v>
      </c>
      <c r="L434">
        <v>0</v>
      </c>
      <c r="M434">
        <v>0</v>
      </c>
      <c r="O434">
        <v>0</v>
      </c>
      <c r="P434">
        <v>0</v>
      </c>
      <c r="Q434">
        <v>0</v>
      </c>
      <c r="R434" s="49"/>
      <c r="T434" t="s">
        <v>2468</v>
      </c>
      <c r="U434" t="s">
        <v>127</v>
      </c>
      <c r="V434" t="s">
        <v>140</v>
      </c>
      <c r="W434">
        <v>25</v>
      </c>
      <c r="X434">
        <v>0</v>
      </c>
      <c r="AA434" t="s">
        <v>141</v>
      </c>
      <c r="AB434" t="s">
        <v>142</v>
      </c>
      <c r="AC434">
        <v>11611</v>
      </c>
      <c r="AD434">
        <v>11612</v>
      </c>
      <c r="AF434">
        <v>1</v>
      </c>
    </row>
    <row r="435" spans="1:32">
      <c r="A435">
        <v>1</v>
      </c>
      <c r="E435" t="s">
        <v>3301</v>
      </c>
      <c r="F435">
        <v>72</v>
      </c>
      <c r="G435" t="s">
        <v>2900</v>
      </c>
      <c r="H435" t="s">
        <v>2961</v>
      </c>
      <c r="I435" t="s">
        <v>2251</v>
      </c>
      <c r="J435" t="s">
        <v>1947</v>
      </c>
      <c r="K435" t="s">
        <v>2846</v>
      </c>
      <c r="L435">
        <v>0</v>
      </c>
      <c r="M435">
        <v>0</v>
      </c>
      <c r="O435">
        <v>0</v>
      </c>
      <c r="P435">
        <v>0</v>
      </c>
      <c r="Q435">
        <v>0</v>
      </c>
      <c r="R435" s="49"/>
      <c r="T435" t="s">
        <v>2468</v>
      </c>
      <c r="U435" t="s">
        <v>127</v>
      </c>
      <c r="V435" t="s">
        <v>140</v>
      </c>
      <c r="W435">
        <v>25</v>
      </c>
      <c r="X435">
        <v>0</v>
      </c>
      <c r="AA435" t="s">
        <v>141</v>
      </c>
      <c r="AB435" t="s">
        <v>142</v>
      </c>
      <c r="AC435">
        <v>11611</v>
      </c>
      <c r="AD435">
        <v>11612</v>
      </c>
      <c r="AF435">
        <v>1</v>
      </c>
    </row>
    <row r="436" spans="1:32">
      <c r="A436">
        <v>1</v>
      </c>
      <c r="E436" t="s">
        <v>3302</v>
      </c>
      <c r="F436">
        <v>72</v>
      </c>
      <c r="G436" t="s">
        <v>2900</v>
      </c>
      <c r="H436" t="s">
        <v>2961</v>
      </c>
      <c r="I436" t="s">
        <v>2251</v>
      </c>
      <c r="J436" t="s">
        <v>1949</v>
      </c>
      <c r="K436" t="s">
        <v>2846</v>
      </c>
      <c r="L436">
        <v>0</v>
      </c>
      <c r="M436">
        <v>0</v>
      </c>
      <c r="O436">
        <v>0</v>
      </c>
      <c r="P436">
        <v>0</v>
      </c>
      <c r="Q436">
        <v>0</v>
      </c>
      <c r="R436" s="49"/>
      <c r="T436" t="s">
        <v>2468</v>
      </c>
      <c r="U436" t="s">
        <v>127</v>
      </c>
      <c r="V436" t="s">
        <v>140</v>
      </c>
      <c r="W436">
        <v>25</v>
      </c>
      <c r="X436">
        <v>0</v>
      </c>
      <c r="AA436" t="s">
        <v>141</v>
      </c>
      <c r="AB436" t="s">
        <v>142</v>
      </c>
      <c r="AC436">
        <v>11611</v>
      </c>
      <c r="AD436">
        <v>11612</v>
      </c>
      <c r="AF436">
        <v>1</v>
      </c>
    </row>
    <row r="437" spans="1:32">
      <c r="A437">
        <v>1</v>
      </c>
      <c r="E437" t="s">
        <v>3303</v>
      </c>
      <c r="F437">
        <v>72</v>
      </c>
      <c r="G437" t="s">
        <v>2900</v>
      </c>
      <c r="H437" t="s">
        <v>2961</v>
      </c>
      <c r="I437" t="s">
        <v>2251</v>
      </c>
      <c r="J437" t="s">
        <v>1951</v>
      </c>
      <c r="K437" t="s">
        <v>2846</v>
      </c>
      <c r="L437">
        <v>0</v>
      </c>
      <c r="M437">
        <v>0</v>
      </c>
      <c r="O437">
        <v>0</v>
      </c>
      <c r="P437">
        <v>0</v>
      </c>
      <c r="Q437">
        <v>0</v>
      </c>
      <c r="R437" s="49"/>
      <c r="T437" t="s">
        <v>2468</v>
      </c>
      <c r="U437" t="s">
        <v>127</v>
      </c>
      <c r="V437" t="s">
        <v>140</v>
      </c>
      <c r="W437">
        <v>25</v>
      </c>
      <c r="X437">
        <v>0</v>
      </c>
      <c r="AA437" t="s">
        <v>141</v>
      </c>
      <c r="AB437" t="s">
        <v>142</v>
      </c>
      <c r="AC437">
        <v>11611</v>
      </c>
      <c r="AD437">
        <v>11612</v>
      </c>
      <c r="AF437">
        <v>1</v>
      </c>
    </row>
    <row r="438" spans="1:32">
      <c r="A438">
        <v>1</v>
      </c>
      <c r="E438" t="s">
        <v>3304</v>
      </c>
      <c r="F438">
        <v>72</v>
      </c>
      <c r="G438" t="s">
        <v>2900</v>
      </c>
      <c r="H438" t="s">
        <v>2961</v>
      </c>
      <c r="I438" t="s">
        <v>2251</v>
      </c>
      <c r="J438" t="s">
        <v>1953</v>
      </c>
      <c r="K438" t="s">
        <v>2846</v>
      </c>
      <c r="L438">
        <v>0</v>
      </c>
      <c r="M438">
        <v>0</v>
      </c>
      <c r="O438">
        <v>0</v>
      </c>
      <c r="P438">
        <v>0</v>
      </c>
      <c r="Q438">
        <v>0</v>
      </c>
      <c r="R438" s="49"/>
      <c r="T438" t="s">
        <v>2468</v>
      </c>
      <c r="U438" t="s">
        <v>127</v>
      </c>
      <c r="V438" t="s">
        <v>140</v>
      </c>
      <c r="W438">
        <v>25</v>
      </c>
      <c r="X438">
        <v>0</v>
      </c>
      <c r="AA438" t="s">
        <v>141</v>
      </c>
      <c r="AB438" t="s">
        <v>142</v>
      </c>
      <c r="AC438">
        <v>11611</v>
      </c>
      <c r="AD438">
        <v>11612</v>
      </c>
      <c r="AF438">
        <v>1</v>
      </c>
    </row>
    <row r="439" spans="1:32">
      <c r="A439">
        <v>1</v>
      </c>
      <c r="E439" t="s">
        <v>3305</v>
      </c>
      <c r="F439">
        <v>72</v>
      </c>
      <c r="G439" t="s">
        <v>2900</v>
      </c>
      <c r="H439" t="s">
        <v>2961</v>
      </c>
      <c r="I439" t="s">
        <v>2251</v>
      </c>
      <c r="J439" t="s">
        <v>1955</v>
      </c>
      <c r="K439" t="s">
        <v>2846</v>
      </c>
      <c r="L439">
        <v>0</v>
      </c>
      <c r="M439">
        <v>0</v>
      </c>
      <c r="O439">
        <v>0</v>
      </c>
      <c r="P439">
        <v>0</v>
      </c>
      <c r="Q439">
        <v>0</v>
      </c>
      <c r="R439" s="49"/>
      <c r="T439" t="s">
        <v>2468</v>
      </c>
      <c r="U439" t="s">
        <v>127</v>
      </c>
      <c r="V439" t="s">
        <v>140</v>
      </c>
      <c r="W439">
        <v>25</v>
      </c>
      <c r="X439">
        <v>0</v>
      </c>
      <c r="AA439" t="s">
        <v>141</v>
      </c>
      <c r="AB439" t="s">
        <v>142</v>
      </c>
      <c r="AC439">
        <v>11611</v>
      </c>
      <c r="AD439">
        <v>11612</v>
      </c>
      <c r="AF439">
        <v>1</v>
      </c>
    </row>
    <row r="440" spans="1:32">
      <c r="A440">
        <v>1</v>
      </c>
      <c r="E440" t="s">
        <v>3306</v>
      </c>
      <c r="F440">
        <v>72</v>
      </c>
      <c r="G440" t="s">
        <v>2900</v>
      </c>
      <c r="H440" t="s">
        <v>2961</v>
      </c>
      <c r="I440" t="s">
        <v>2251</v>
      </c>
      <c r="J440" t="s">
        <v>1957</v>
      </c>
      <c r="K440" t="s">
        <v>2846</v>
      </c>
      <c r="L440">
        <v>0</v>
      </c>
      <c r="M440">
        <v>0</v>
      </c>
      <c r="O440">
        <v>0</v>
      </c>
      <c r="P440">
        <v>0</v>
      </c>
      <c r="Q440">
        <v>0</v>
      </c>
      <c r="R440" s="49"/>
      <c r="T440" t="s">
        <v>2468</v>
      </c>
      <c r="U440" t="s">
        <v>127</v>
      </c>
      <c r="V440" t="s">
        <v>140</v>
      </c>
      <c r="W440">
        <v>25</v>
      </c>
      <c r="X440">
        <v>0</v>
      </c>
      <c r="AA440" t="s">
        <v>141</v>
      </c>
      <c r="AB440" t="s">
        <v>142</v>
      </c>
      <c r="AC440">
        <v>11611</v>
      </c>
      <c r="AD440">
        <v>11612</v>
      </c>
      <c r="AF440">
        <v>1</v>
      </c>
    </row>
    <row r="441" spans="1:32">
      <c r="A441">
        <v>1</v>
      </c>
      <c r="E441" t="s">
        <v>3307</v>
      </c>
      <c r="F441">
        <v>24</v>
      </c>
      <c r="G441" t="s">
        <v>2900</v>
      </c>
      <c r="H441" t="s">
        <v>2961</v>
      </c>
      <c r="I441" t="s">
        <v>2267</v>
      </c>
      <c r="J441" t="s">
        <v>1959</v>
      </c>
      <c r="K441" t="s">
        <v>2852</v>
      </c>
      <c r="L441">
        <v>0</v>
      </c>
      <c r="M441">
        <v>0</v>
      </c>
      <c r="O441">
        <v>0</v>
      </c>
      <c r="P441">
        <v>0</v>
      </c>
      <c r="Q441">
        <v>0</v>
      </c>
      <c r="R441" s="49"/>
      <c r="T441" t="s">
        <v>2468</v>
      </c>
      <c r="U441" t="s">
        <v>127</v>
      </c>
      <c r="V441" t="s">
        <v>140</v>
      </c>
      <c r="W441">
        <v>100</v>
      </c>
      <c r="X441">
        <v>0</v>
      </c>
      <c r="AA441" t="s">
        <v>141</v>
      </c>
      <c r="AB441" t="s">
        <v>142</v>
      </c>
      <c r="AC441">
        <v>11611</v>
      </c>
      <c r="AD441">
        <v>11612</v>
      </c>
      <c r="AF441">
        <v>1</v>
      </c>
    </row>
    <row r="442" spans="1:32">
      <c r="A442">
        <v>1</v>
      </c>
      <c r="E442" t="s">
        <v>3308</v>
      </c>
      <c r="F442">
        <v>24</v>
      </c>
      <c r="G442" t="s">
        <v>2900</v>
      </c>
      <c r="H442" t="s">
        <v>2961</v>
      </c>
      <c r="I442" t="s">
        <v>2267</v>
      </c>
      <c r="J442" t="s">
        <v>1961</v>
      </c>
      <c r="K442" t="s">
        <v>2852</v>
      </c>
      <c r="L442">
        <v>0</v>
      </c>
      <c r="M442">
        <v>0</v>
      </c>
      <c r="O442">
        <v>0</v>
      </c>
      <c r="P442">
        <v>0</v>
      </c>
      <c r="Q442">
        <v>0</v>
      </c>
      <c r="R442" s="49"/>
      <c r="T442" t="s">
        <v>2468</v>
      </c>
      <c r="U442" t="s">
        <v>127</v>
      </c>
      <c r="V442" t="s">
        <v>140</v>
      </c>
      <c r="W442">
        <v>100</v>
      </c>
      <c r="X442">
        <v>0</v>
      </c>
      <c r="AA442" t="s">
        <v>141</v>
      </c>
      <c r="AB442" t="s">
        <v>142</v>
      </c>
      <c r="AC442">
        <v>11611</v>
      </c>
      <c r="AD442">
        <v>11612</v>
      </c>
      <c r="AF442">
        <v>1</v>
      </c>
    </row>
    <row r="443" spans="1:32">
      <c r="A443">
        <v>1</v>
      </c>
      <c r="E443" t="s">
        <v>3309</v>
      </c>
      <c r="F443">
        <v>24</v>
      </c>
      <c r="G443" t="s">
        <v>2900</v>
      </c>
      <c r="H443" t="s">
        <v>2961</v>
      </c>
      <c r="I443" t="s">
        <v>2267</v>
      </c>
      <c r="J443" t="s">
        <v>1963</v>
      </c>
      <c r="K443" t="s">
        <v>2852</v>
      </c>
      <c r="L443">
        <v>0</v>
      </c>
      <c r="M443">
        <v>0</v>
      </c>
      <c r="O443">
        <v>0</v>
      </c>
      <c r="P443">
        <v>0</v>
      </c>
      <c r="Q443">
        <v>0</v>
      </c>
      <c r="R443" s="49"/>
      <c r="T443" t="s">
        <v>2468</v>
      </c>
      <c r="U443" t="s">
        <v>127</v>
      </c>
      <c r="V443" t="s">
        <v>140</v>
      </c>
      <c r="W443">
        <v>100</v>
      </c>
      <c r="X443">
        <v>0</v>
      </c>
      <c r="AA443" t="s">
        <v>141</v>
      </c>
      <c r="AB443" t="s">
        <v>142</v>
      </c>
      <c r="AC443">
        <v>11611</v>
      </c>
      <c r="AD443">
        <v>11612</v>
      </c>
      <c r="AF443">
        <v>1</v>
      </c>
    </row>
    <row r="444" spans="1:32">
      <c r="A444">
        <v>1</v>
      </c>
      <c r="E444" t="s">
        <v>3310</v>
      </c>
      <c r="F444">
        <v>36</v>
      </c>
      <c r="G444" t="s">
        <v>2900</v>
      </c>
      <c r="H444" t="s">
        <v>2961</v>
      </c>
      <c r="I444" t="s">
        <v>2269</v>
      </c>
      <c r="J444" t="s">
        <v>2730</v>
      </c>
      <c r="K444" t="s">
        <v>2847</v>
      </c>
      <c r="L444">
        <v>0</v>
      </c>
      <c r="M444">
        <v>0</v>
      </c>
      <c r="O444">
        <v>0</v>
      </c>
      <c r="P444">
        <v>0</v>
      </c>
      <c r="Q444">
        <v>0</v>
      </c>
      <c r="R444" s="49"/>
      <c r="T444" t="s">
        <v>2468</v>
      </c>
      <c r="U444" t="s">
        <v>127</v>
      </c>
      <c r="V444" t="s">
        <v>140</v>
      </c>
      <c r="W444">
        <v>100</v>
      </c>
      <c r="X444">
        <v>0</v>
      </c>
      <c r="AA444" t="s">
        <v>141</v>
      </c>
      <c r="AB444" t="s">
        <v>142</v>
      </c>
      <c r="AC444">
        <v>11611</v>
      </c>
      <c r="AD444">
        <v>11612</v>
      </c>
      <c r="AF444">
        <v>1</v>
      </c>
    </row>
    <row r="445" spans="1:32">
      <c r="A445">
        <v>1</v>
      </c>
      <c r="E445" t="s">
        <v>3311</v>
      </c>
      <c r="F445">
        <v>36</v>
      </c>
      <c r="G445" t="s">
        <v>2900</v>
      </c>
      <c r="H445" t="s">
        <v>2961</v>
      </c>
      <c r="I445" t="s">
        <v>2269</v>
      </c>
      <c r="J445" t="s">
        <v>2731</v>
      </c>
      <c r="K445" t="s">
        <v>2847</v>
      </c>
      <c r="L445">
        <v>0</v>
      </c>
      <c r="M445">
        <v>0</v>
      </c>
      <c r="O445">
        <v>0</v>
      </c>
      <c r="P445">
        <v>0</v>
      </c>
      <c r="Q445">
        <v>0</v>
      </c>
      <c r="R445" s="49"/>
      <c r="T445" t="s">
        <v>2468</v>
      </c>
      <c r="U445" t="s">
        <v>127</v>
      </c>
      <c r="V445" t="s">
        <v>140</v>
      </c>
      <c r="W445">
        <v>100</v>
      </c>
      <c r="X445">
        <v>0</v>
      </c>
      <c r="AA445" t="s">
        <v>141</v>
      </c>
      <c r="AB445" t="s">
        <v>142</v>
      </c>
      <c r="AC445">
        <v>11611</v>
      </c>
      <c r="AD445">
        <v>11612</v>
      </c>
      <c r="AF445">
        <v>1</v>
      </c>
    </row>
    <row r="446" spans="1:32">
      <c r="A446">
        <v>1</v>
      </c>
      <c r="E446" t="s">
        <v>3312</v>
      </c>
      <c r="F446">
        <v>36</v>
      </c>
      <c r="G446" t="s">
        <v>2900</v>
      </c>
      <c r="H446" t="s">
        <v>2961</v>
      </c>
      <c r="I446" t="s">
        <v>2271</v>
      </c>
      <c r="J446" t="s">
        <v>1969</v>
      </c>
      <c r="K446" t="s">
        <v>2847</v>
      </c>
      <c r="L446">
        <v>0</v>
      </c>
      <c r="M446">
        <v>0</v>
      </c>
      <c r="O446">
        <v>0</v>
      </c>
      <c r="P446">
        <v>0</v>
      </c>
      <c r="Q446">
        <v>0</v>
      </c>
      <c r="R446" s="49"/>
      <c r="T446" t="s">
        <v>2468</v>
      </c>
      <c r="U446" t="s">
        <v>127</v>
      </c>
      <c r="V446" t="s">
        <v>140</v>
      </c>
      <c r="W446">
        <v>150</v>
      </c>
      <c r="X446">
        <v>0</v>
      </c>
      <c r="AA446" t="s">
        <v>141</v>
      </c>
      <c r="AB446" t="s">
        <v>142</v>
      </c>
      <c r="AC446">
        <v>11611</v>
      </c>
      <c r="AD446">
        <v>11612</v>
      </c>
      <c r="AF446">
        <v>1</v>
      </c>
    </row>
    <row r="447" spans="1:32">
      <c r="A447">
        <v>1</v>
      </c>
      <c r="E447" t="s">
        <v>3313</v>
      </c>
      <c r="F447">
        <v>36</v>
      </c>
      <c r="G447" t="s">
        <v>2900</v>
      </c>
      <c r="H447" t="s">
        <v>2961</v>
      </c>
      <c r="I447" t="s">
        <v>2271</v>
      </c>
      <c r="J447" t="s">
        <v>1971</v>
      </c>
      <c r="K447" t="s">
        <v>2847</v>
      </c>
      <c r="L447">
        <v>0</v>
      </c>
      <c r="M447">
        <v>0</v>
      </c>
      <c r="O447">
        <v>0</v>
      </c>
      <c r="P447">
        <v>0</v>
      </c>
      <c r="Q447">
        <v>0</v>
      </c>
      <c r="R447" s="49"/>
      <c r="T447" t="s">
        <v>2468</v>
      </c>
      <c r="U447" t="s">
        <v>127</v>
      </c>
      <c r="V447" t="s">
        <v>140</v>
      </c>
      <c r="W447">
        <v>150</v>
      </c>
      <c r="X447">
        <v>0</v>
      </c>
      <c r="AA447" t="s">
        <v>141</v>
      </c>
      <c r="AB447" t="s">
        <v>142</v>
      </c>
      <c r="AC447">
        <v>11611</v>
      </c>
      <c r="AD447">
        <v>11612</v>
      </c>
      <c r="AF447">
        <v>1</v>
      </c>
    </row>
    <row r="448" spans="1:32">
      <c r="A448">
        <v>1</v>
      </c>
      <c r="E448" t="s">
        <v>3314</v>
      </c>
      <c r="F448">
        <v>36</v>
      </c>
      <c r="G448" t="s">
        <v>2900</v>
      </c>
      <c r="H448" t="s">
        <v>2961</v>
      </c>
      <c r="I448" t="s">
        <v>2265</v>
      </c>
      <c r="J448" t="s">
        <v>1973</v>
      </c>
      <c r="K448" t="s">
        <v>2847</v>
      </c>
      <c r="L448">
        <v>0</v>
      </c>
      <c r="M448">
        <v>0</v>
      </c>
      <c r="O448">
        <v>0</v>
      </c>
      <c r="P448">
        <v>0</v>
      </c>
      <c r="Q448">
        <v>0</v>
      </c>
      <c r="R448" s="49"/>
      <c r="T448" t="s">
        <v>2468</v>
      </c>
      <c r="U448" t="s">
        <v>127</v>
      </c>
      <c r="V448" t="s">
        <v>140</v>
      </c>
      <c r="W448">
        <v>65</v>
      </c>
      <c r="X448">
        <v>0</v>
      </c>
      <c r="AA448" t="s">
        <v>141</v>
      </c>
      <c r="AB448" t="s">
        <v>142</v>
      </c>
      <c r="AC448">
        <v>11611</v>
      </c>
      <c r="AD448">
        <v>11612</v>
      </c>
      <c r="AF448">
        <v>1</v>
      </c>
    </row>
    <row r="449" spans="1:32">
      <c r="A449">
        <v>1</v>
      </c>
      <c r="E449" t="s">
        <v>3315</v>
      </c>
      <c r="F449">
        <v>36</v>
      </c>
      <c r="G449" t="s">
        <v>2900</v>
      </c>
      <c r="H449" t="s">
        <v>2961</v>
      </c>
      <c r="I449" t="s">
        <v>2265</v>
      </c>
      <c r="J449" t="s">
        <v>1976</v>
      </c>
      <c r="K449" t="s">
        <v>2847</v>
      </c>
      <c r="L449">
        <v>0</v>
      </c>
      <c r="M449">
        <v>0</v>
      </c>
      <c r="O449">
        <v>0</v>
      </c>
      <c r="P449">
        <v>0</v>
      </c>
      <c r="Q449">
        <v>0</v>
      </c>
      <c r="R449" s="49"/>
      <c r="T449" t="s">
        <v>2468</v>
      </c>
      <c r="U449" t="s">
        <v>127</v>
      </c>
      <c r="V449" t="s">
        <v>140</v>
      </c>
      <c r="W449">
        <v>65</v>
      </c>
      <c r="X449">
        <v>0</v>
      </c>
      <c r="AA449" t="s">
        <v>141</v>
      </c>
      <c r="AB449" t="s">
        <v>142</v>
      </c>
      <c r="AC449">
        <v>11611</v>
      </c>
      <c r="AD449">
        <v>11612</v>
      </c>
      <c r="AF449">
        <v>1</v>
      </c>
    </row>
    <row r="450" spans="1:32">
      <c r="A450">
        <v>1</v>
      </c>
      <c r="E450" t="s">
        <v>3316</v>
      </c>
      <c r="F450">
        <v>36</v>
      </c>
      <c r="G450" t="s">
        <v>2900</v>
      </c>
      <c r="H450" t="s">
        <v>2961</v>
      </c>
      <c r="I450" t="s">
        <v>2257</v>
      </c>
      <c r="J450" t="s">
        <v>1980</v>
      </c>
      <c r="K450" t="s">
        <v>2847</v>
      </c>
      <c r="L450">
        <v>0</v>
      </c>
      <c r="M450">
        <v>0</v>
      </c>
      <c r="O450">
        <v>0</v>
      </c>
      <c r="P450">
        <v>0</v>
      </c>
      <c r="Q450">
        <v>0</v>
      </c>
      <c r="R450" s="49"/>
      <c r="T450" t="s">
        <v>2468</v>
      </c>
      <c r="U450" t="s">
        <v>127</v>
      </c>
      <c r="V450" t="s">
        <v>140</v>
      </c>
      <c r="W450">
        <v>125</v>
      </c>
      <c r="X450">
        <v>0</v>
      </c>
      <c r="AA450" t="s">
        <v>141</v>
      </c>
      <c r="AB450" t="s">
        <v>142</v>
      </c>
      <c r="AC450">
        <v>11611</v>
      </c>
      <c r="AD450">
        <v>11612</v>
      </c>
      <c r="AF450">
        <v>1</v>
      </c>
    </row>
    <row r="451" spans="1:32">
      <c r="A451">
        <v>1</v>
      </c>
      <c r="E451" t="s">
        <v>3317</v>
      </c>
      <c r="F451">
        <v>36</v>
      </c>
      <c r="G451" t="s">
        <v>2900</v>
      </c>
      <c r="H451" t="s">
        <v>2961</v>
      </c>
      <c r="I451" t="s">
        <v>2257</v>
      </c>
      <c r="J451" t="s">
        <v>1982</v>
      </c>
      <c r="K451" t="s">
        <v>2847</v>
      </c>
      <c r="L451">
        <v>0</v>
      </c>
      <c r="M451">
        <v>0</v>
      </c>
      <c r="O451">
        <v>0</v>
      </c>
      <c r="P451">
        <v>0</v>
      </c>
      <c r="Q451">
        <v>0</v>
      </c>
      <c r="R451" s="49"/>
      <c r="T451" t="s">
        <v>2468</v>
      </c>
      <c r="U451" t="s">
        <v>127</v>
      </c>
      <c r="V451" t="s">
        <v>140</v>
      </c>
      <c r="W451">
        <v>125</v>
      </c>
      <c r="X451">
        <v>0</v>
      </c>
      <c r="AA451" t="s">
        <v>141</v>
      </c>
      <c r="AB451" t="s">
        <v>142</v>
      </c>
      <c r="AC451">
        <v>11611</v>
      </c>
      <c r="AD451">
        <v>11612</v>
      </c>
      <c r="AF451">
        <v>1</v>
      </c>
    </row>
    <row r="452" spans="1:32">
      <c r="A452">
        <v>1</v>
      </c>
      <c r="E452" t="s">
        <v>3318</v>
      </c>
      <c r="F452">
        <v>36</v>
      </c>
      <c r="G452" t="s">
        <v>2900</v>
      </c>
      <c r="H452" t="s">
        <v>2961</v>
      </c>
      <c r="I452" t="s">
        <v>2257</v>
      </c>
      <c r="J452" t="s">
        <v>1984</v>
      </c>
      <c r="K452" t="s">
        <v>2847</v>
      </c>
      <c r="L452">
        <v>0</v>
      </c>
      <c r="M452">
        <v>0</v>
      </c>
      <c r="O452">
        <v>0</v>
      </c>
      <c r="P452">
        <v>0</v>
      </c>
      <c r="Q452">
        <v>0</v>
      </c>
      <c r="R452" s="49"/>
      <c r="T452" t="s">
        <v>2468</v>
      </c>
      <c r="U452" t="s">
        <v>127</v>
      </c>
      <c r="V452" t="s">
        <v>140</v>
      </c>
      <c r="W452">
        <v>125</v>
      </c>
      <c r="X452">
        <v>0</v>
      </c>
      <c r="AA452" t="s">
        <v>141</v>
      </c>
      <c r="AB452" t="s">
        <v>142</v>
      </c>
      <c r="AC452">
        <v>11611</v>
      </c>
      <c r="AD452">
        <v>11612</v>
      </c>
      <c r="AF452">
        <v>1</v>
      </c>
    </row>
    <row r="453" spans="1:32">
      <c r="A453">
        <v>1</v>
      </c>
      <c r="E453" t="s">
        <v>3319</v>
      </c>
      <c r="F453">
        <v>36</v>
      </c>
      <c r="G453" t="s">
        <v>2900</v>
      </c>
      <c r="H453" t="s">
        <v>2961</v>
      </c>
      <c r="I453" t="s">
        <v>2259</v>
      </c>
      <c r="J453" t="s">
        <v>2732</v>
      </c>
      <c r="K453" t="s">
        <v>2847</v>
      </c>
      <c r="L453">
        <v>0</v>
      </c>
      <c r="M453">
        <v>0</v>
      </c>
      <c r="O453">
        <v>0</v>
      </c>
      <c r="P453">
        <v>0</v>
      </c>
      <c r="Q453">
        <v>0</v>
      </c>
      <c r="R453" s="49"/>
      <c r="T453" t="s">
        <v>2468</v>
      </c>
      <c r="U453" t="s">
        <v>127</v>
      </c>
      <c r="V453" t="s">
        <v>140</v>
      </c>
      <c r="W453">
        <v>105</v>
      </c>
      <c r="X453">
        <v>0</v>
      </c>
      <c r="AA453" t="s">
        <v>141</v>
      </c>
      <c r="AB453" t="s">
        <v>142</v>
      </c>
      <c r="AC453">
        <v>11611</v>
      </c>
      <c r="AD453">
        <v>11612</v>
      </c>
      <c r="AF453">
        <v>1</v>
      </c>
    </row>
    <row r="454" spans="1:32">
      <c r="A454">
        <v>1</v>
      </c>
      <c r="E454" t="s">
        <v>3320</v>
      </c>
      <c r="F454">
        <v>36</v>
      </c>
      <c r="G454" t="s">
        <v>2900</v>
      </c>
      <c r="H454" t="s">
        <v>2961</v>
      </c>
      <c r="I454" t="s">
        <v>2259</v>
      </c>
      <c r="J454" t="s">
        <v>2733</v>
      </c>
      <c r="K454" t="s">
        <v>2847</v>
      </c>
      <c r="L454">
        <v>0</v>
      </c>
      <c r="M454">
        <v>0</v>
      </c>
      <c r="O454">
        <v>0</v>
      </c>
      <c r="P454">
        <v>0</v>
      </c>
      <c r="Q454">
        <v>0</v>
      </c>
      <c r="R454" s="49"/>
      <c r="T454" t="s">
        <v>2468</v>
      </c>
      <c r="U454" t="s">
        <v>127</v>
      </c>
      <c r="V454" t="s">
        <v>140</v>
      </c>
      <c r="W454">
        <v>105</v>
      </c>
      <c r="X454">
        <v>0</v>
      </c>
      <c r="AA454" t="s">
        <v>141</v>
      </c>
      <c r="AB454" t="s">
        <v>142</v>
      </c>
      <c r="AC454">
        <v>11611</v>
      </c>
      <c r="AD454">
        <v>11612</v>
      </c>
      <c r="AF454">
        <v>1</v>
      </c>
    </row>
    <row r="455" spans="1:32">
      <c r="A455">
        <v>1</v>
      </c>
      <c r="E455" t="s">
        <v>3321</v>
      </c>
      <c r="F455">
        <v>36</v>
      </c>
      <c r="G455" t="s">
        <v>2900</v>
      </c>
      <c r="H455" t="s">
        <v>2961</v>
      </c>
      <c r="I455" t="s">
        <v>2259</v>
      </c>
      <c r="J455" t="s">
        <v>1990</v>
      </c>
      <c r="K455" t="s">
        <v>2847</v>
      </c>
      <c r="L455">
        <v>0</v>
      </c>
      <c r="M455">
        <v>0</v>
      </c>
      <c r="O455">
        <v>0</v>
      </c>
      <c r="P455">
        <v>0</v>
      </c>
      <c r="Q455">
        <v>0</v>
      </c>
      <c r="R455" s="49"/>
      <c r="T455" t="s">
        <v>2468</v>
      </c>
      <c r="U455" t="s">
        <v>127</v>
      </c>
      <c r="V455" t="s">
        <v>140</v>
      </c>
      <c r="W455">
        <v>105</v>
      </c>
      <c r="X455">
        <v>0</v>
      </c>
      <c r="AA455" t="s">
        <v>141</v>
      </c>
      <c r="AB455" t="s">
        <v>142</v>
      </c>
      <c r="AC455">
        <v>11611</v>
      </c>
      <c r="AD455">
        <v>11612</v>
      </c>
      <c r="AF455">
        <v>1</v>
      </c>
    </row>
    <row r="456" spans="1:32">
      <c r="A456">
        <v>1</v>
      </c>
      <c r="E456" t="s">
        <v>3322</v>
      </c>
      <c r="F456">
        <v>36</v>
      </c>
      <c r="G456" t="s">
        <v>2900</v>
      </c>
      <c r="H456" t="s">
        <v>2961</v>
      </c>
      <c r="I456" t="s">
        <v>2259</v>
      </c>
      <c r="J456" t="s">
        <v>1992</v>
      </c>
      <c r="K456" t="s">
        <v>2847</v>
      </c>
      <c r="L456">
        <v>0</v>
      </c>
      <c r="M456">
        <v>0</v>
      </c>
      <c r="O456">
        <v>0</v>
      </c>
      <c r="P456">
        <v>0</v>
      </c>
      <c r="Q456">
        <v>0</v>
      </c>
      <c r="R456" s="49"/>
      <c r="T456" t="s">
        <v>2468</v>
      </c>
      <c r="U456" t="s">
        <v>127</v>
      </c>
      <c r="V456" t="s">
        <v>140</v>
      </c>
      <c r="W456">
        <v>105</v>
      </c>
      <c r="X456">
        <v>0</v>
      </c>
      <c r="AA456" t="s">
        <v>141</v>
      </c>
      <c r="AB456" t="s">
        <v>142</v>
      </c>
      <c r="AC456">
        <v>11611</v>
      </c>
      <c r="AD456">
        <v>11612</v>
      </c>
      <c r="AF456">
        <v>1</v>
      </c>
    </row>
    <row r="457" spans="1:32">
      <c r="A457">
        <v>1</v>
      </c>
      <c r="E457" t="s">
        <v>3323</v>
      </c>
      <c r="F457">
        <v>36</v>
      </c>
      <c r="G457" t="s">
        <v>2900</v>
      </c>
      <c r="H457" t="s">
        <v>2961</v>
      </c>
      <c r="I457" t="s">
        <v>2261</v>
      </c>
      <c r="J457" t="s">
        <v>1994</v>
      </c>
      <c r="K457" t="s">
        <v>2847</v>
      </c>
      <c r="L457">
        <v>0</v>
      </c>
      <c r="M457">
        <v>0</v>
      </c>
      <c r="O457">
        <v>0</v>
      </c>
      <c r="P457">
        <v>0</v>
      </c>
      <c r="Q457">
        <v>0</v>
      </c>
      <c r="R457" s="49"/>
      <c r="T457" t="s">
        <v>2468</v>
      </c>
      <c r="U457" t="s">
        <v>127</v>
      </c>
      <c r="V457" t="s">
        <v>140</v>
      </c>
      <c r="W457">
        <v>180</v>
      </c>
      <c r="X457">
        <v>0</v>
      </c>
      <c r="AA457" t="s">
        <v>141</v>
      </c>
      <c r="AB457" t="s">
        <v>142</v>
      </c>
      <c r="AC457">
        <v>11611</v>
      </c>
      <c r="AD457">
        <v>11612</v>
      </c>
      <c r="AF457">
        <v>1</v>
      </c>
    </row>
    <row r="458" spans="1:32">
      <c r="A458">
        <v>1</v>
      </c>
      <c r="E458" t="s">
        <v>3324</v>
      </c>
      <c r="F458">
        <v>36</v>
      </c>
      <c r="G458" t="s">
        <v>2900</v>
      </c>
      <c r="H458" t="s">
        <v>2961</v>
      </c>
      <c r="I458" t="s">
        <v>2261</v>
      </c>
      <c r="J458" t="s">
        <v>1996</v>
      </c>
      <c r="K458" t="s">
        <v>2847</v>
      </c>
      <c r="L458">
        <v>0</v>
      </c>
      <c r="M458">
        <v>0</v>
      </c>
      <c r="O458">
        <v>0</v>
      </c>
      <c r="P458">
        <v>0</v>
      </c>
      <c r="Q458">
        <v>0</v>
      </c>
      <c r="R458" s="49"/>
      <c r="T458" t="s">
        <v>2468</v>
      </c>
      <c r="U458" t="s">
        <v>127</v>
      </c>
      <c r="V458" t="s">
        <v>140</v>
      </c>
      <c r="W458">
        <v>180</v>
      </c>
      <c r="X458">
        <v>0</v>
      </c>
      <c r="AA458" t="s">
        <v>141</v>
      </c>
      <c r="AB458" t="s">
        <v>142</v>
      </c>
      <c r="AC458">
        <v>11611</v>
      </c>
      <c r="AD458">
        <v>11612</v>
      </c>
      <c r="AF458">
        <v>1</v>
      </c>
    </row>
    <row r="459" spans="1:32">
      <c r="A459">
        <v>1</v>
      </c>
      <c r="E459" t="s">
        <v>2900</v>
      </c>
      <c r="F459">
        <v>0</v>
      </c>
      <c r="G459" t="s">
        <v>2900</v>
      </c>
      <c r="H459" t="s">
        <v>2961</v>
      </c>
      <c r="I459" t="s">
        <v>2263</v>
      </c>
      <c r="J459" t="s">
        <v>1998</v>
      </c>
      <c r="K459" t="s">
        <v>2858</v>
      </c>
      <c r="L459">
        <v>0</v>
      </c>
      <c r="M459">
        <v>0</v>
      </c>
      <c r="O459">
        <v>0</v>
      </c>
      <c r="P459">
        <v>0</v>
      </c>
      <c r="Q459">
        <v>0</v>
      </c>
      <c r="R459" s="49"/>
      <c r="T459" t="s">
        <v>2468</v>
      </c>
      <c r="U459" t="s">
        <v>127</v>
      </c>
      <c r="V459" t="s">
        <v>140</v>
      </c>
      <c r="W459">
        <v>30</v>
      </c>
      <c r="X459">
        <v>0</v>
      </c>
      <c r="AA459" t="s">
        <v>141</v>
      </c>
      <c r="AB459" t="s">
        <v>142</v>
      </c>
      <c r="AC459">
        <v>11611</v>
      </c>
      <c r="AD459">
        <v>11612</v>
      </c>
      <c r="AF459">
        <v>1</v>
      </c>
    </row>
    <row r="460" spans="1:32">
      <c r="A460">
        <v>1</v>
      </c>
      <c r="E460" t="s">
        <v>2900</v>
      </c>
      <c r="F460">
        <v>0</v>
      </c>
      <c r="G460" t="s">
        <v>2900</v>
      </c>
      <c r="H460" t="s">
        <v>2961</v>
      </c>
      <c r="I460" t="s">
        <v>2263</v>
      </c>
      <c r="J460" t="s">
        <v>2000</v>
      </c>
      <c r="K460" t="s">
        <v>2858</v>
      </c>
      <c r="L460">
        <v>0</v>
      </c>
      <c r="M460">
        <v>0</v>
      </c>
      <c r="O460">
        <v>0</v>
      </c>
      <c r="P460">
        <v>0</v>
      </c>
      <c r="Q460">
        <v>0</v>
      </c>
      <c r="R460" s="49"/>
      <c r="T460" t="s">
        <v>2468</v>
      </c>
      <c r="U460" t="s">
        <v>127</v>
      </c>
      <c r="V460" t="s">
        <v>140</v>
      </c>
      <c r="W460">
        <v>30</v>
      </c>
      <c r="X460">
        <v>0</v>
      </c>
      <c r="AA460" t="s">
        <v>141</v>
      </c>
      <c r="AB460" t="s">
        <v>142</v>
      </c>
      <c r="AC460">
        <v>11611</v>
      </c>
      <c r="AD460">
        <v>11612</v>
      </c>
      <c r="AF460">
        <v>1</v>
      </c>
    </row>
    <row r="461" spans="1:32">
      <c r="A461">
        <v>1</v>
      </c>
      <c r="E461" t="s">
        <v>2900</v>
      </c>
      <c r="F461">
        <v>0</v>
      </c>
      <c r="G461" t="s">
        <v>2900</v>
      </c>
      <c r="H461" t="s">
        <v>2961</v>
      </c>
      <c r="I461" t="s">
        <v>2227</v>
      </c>
      <c r="J461" t="s">
        <v>2002</v>
      </c>
      <c r="K461" t="s">
        <v>2858</v>
      </c>
      <c r="L461">
        <v>0</v>
      </c>
      <c r="M461">
        <v>0</v>
      </c>
      <c r="O461">
        <v>0</v>
      </c>
      <c r="P461">
        <v>0</v>
      </c>
      <c r="Q461">
        <v>0</v>
      </c>
      <c r="R461" s="49"/>
      <c r="T461" t="s">
        <v>2468</v>
      </c>
      <c r="U461" t="s">
        <v>127</v>
      </c>
      <c r="V461" t="s">
        <v>140</v>
      </c>
      <c r="W461">
        <v>25</v>
      </c>
      <c r="X461">
        <v>0</v>
      </c>
      <c r="AA461" t="s">
        <v>141</v>
      </c>
      <c r="AB461" t="s">
        <v>142</v>
      </c>
      <c r="AC461">
        <v>11611</v>
      </c>
      <c r="AD461">
        <v>11612</v>
      </c>
      <c r="AF461">
        <v>1</v>
      </c>
    </row>
    <row r="462" spans="1:32">
      <c r="A462">
        <v>1</v>
      </c>
      <c r="E462" t="s">
        <v>2900</v>
      </c>
      <c r="F462">
        <v>0</v>
      </c>
      <c r="G462" t="s">
        <v>2900</v>
      </c>
      <c r="H462" t="s">
        <v>2961</v>
      </c>
      <c r="I462" t="s">
        <v>2227</v>
      </c>
      <c r="J462" t="s">
        <v>2004</v>
      </c>
      <c r="K462" t="s">
        <v>2858</v>
      </c>
      <c r="L462">
        <v>0</v>
      </c>
      <c r="M462">
        <v>0</v>
      </c>
      <c r="O462">
        <v>0</v>
      </c>
      <c r="P462">
        <v>0</v>
      </c>
      <c r="Q462">
        <v>0</v>
      </c>
      <c r="R462" s="49"/>
      <c r="T462" t="s">
        <v>2468</v>
      </c>
      <c r="U462" t="s">
        <v>127</v>
      </c>
      <c r="V462" t="s">
        <v>140</v>
      </c>
      <c r="W462">
        <v>10</v>
      </c>
      <c r="X462">
        <v>0</v>
      </c>
      <c r="AA462" t="s">
        <v>141</v>
      </c>
      <c r="AB462" t="s">
        <v>142</v>
      </c>
      <c r="AC462">
        <v>11611</v>
      </c>
      <c r="AD462">
        <v>11612</v>
      </c>
      <c r="AF462">
        <v>1</v>
      </c>
    </row>
    <row r="463" spans="1:32">
      <c r="A463">
        <v>1</v>
      </c>
      <c r="E463" t="s">
        <v>2900</v>
      </c>
      <c r="F463">
        <v>0</v>
      </c>
      <c r="G463" t="s">
        <v>2900</v>
      </c>
      <c r="H463" t="s">
        <v>2961</v>
      </c>
      <c r="I463" t="s">
        <v>2227</v>
      </c>
      <c r="J463" t="s">
        <v>2006</v>
      </c>
      <c r="K463" t="s">
        <v>2858</v>
      </c>
      <c r="L463">
        <v>0</v>
      </c>
      <c r="M463">
        <v>0</v>
      </c>
      <c r="O463">
        <v>0</v>
      </c>
      <c r="P463">
        <v>0</v>
      </c>
      <c r="Q463">
        <v>0</v>
      </c>
      <c r="R463" s="49"/>
      <c r="T463" t="s">
        <v>2468</v>
      </c>
      <c r="U463" t="s">
        <v>127</v>
      </c>
      <c r="V463" t="s">
        <v>140</v>
      </c>
      <c r="W463">
        <v>25</v>
      </c>
      <c r="X463">
        <v>0</v>
      </c>
      <c r="AA463" t="s">
        <v>141</v>
      </c>
      <c r="AB463" t="s">
        <v>142</v>
      </c>
      <c r="AC463">
        <v>11611</v>
      </c>
      <c r="AD463">
        <v>11612</v>
      </c>
      <c r="AF463">
        <v>1</v>
      </c>
    </row>
    <row r="464" spans="1:32">
      <c r="A464">
        <v>1</v>
      </c>
      <c r="E464" t="s">
        <v>2900</v>
      </c>
      <c r="F464">
        <v>0</v>
      </c>
      <c r="G464" t="s">
        <v>2900</v>
      </c>
      <c r="H464" t="s">
        <v>2961</v>
      </c>
      <c r="I464" t="s">
        <v>2227</v>
      </c>
      <c r="J464" t="s">
        <v>2008</v>
      </c>
      <c r="K464" t="s">
        <v>2858</v>
      </c>
      <c r="L464">
        <v>0</v>
      </c>
      <c r="M464">
        <v>0</v>
      </c>
      <c r="O464">
        <v>0</v>
      </c>
      <c r="P464">
        <v>0</v>
      </c>
      <c r="Q464">
        <v>0</v>
      </c>
      <c r="R464" s="49"/>
      <c r="T464" t="s">
        <v>2468</v>
      </c>
      <c r="U464" t="s">
        <v>127</v>
      </c>
      <c r="V464" t="s">
        <v>140</v>
      </c>
      <c r="W464">
        <v>25</v>
      </c>
      <c r="X464">
        <v>0</v>
      </c>
      <c r="AA464" t="s">
        <v>141</v>
      </c>
      <c r="AB464" t="s">
        <v>142</v>
      </c>
      <c r="AC464">
        <v>11611</v>
      </c>
      <c r="AD464">
        <v>11612</v>
      </c>
      <c r="AF464">
        <v>1</v>
      </c>
    </row>
    <row r="465" spans="1:32">
      <c r="A465">
        <v>1</v>
      </c>
      <c r="E465" t="s">
        <v>2900</v>
      </c>
      <c r="F465">
        <v>0</v>
      </c>
      <c r="G465" t="s">
        <v>2900</v>
      </c>
      <c r="H465" t="s">
        <v>2961</v>
      </c>
      <c r="I465" t="s">
        <v>2227</v>
      </c>
      <c r="J465" t="s">
        <v>2010</v>
      </c>
      <c r="K465" t="s">
        <v>2858</v>
      </c>
      <c r="L465">
        <v>0</v>
      </c>
      <c r="M465">
        <v>0</v>
      </c>
      <c r="O465">
        <v>0</v>
      </c>
      <c r="P465">
        <v>0</v>
      </c>
      <c r="Q465">
        <v>0</v>
      </c>
      <c r="R465" s="49"/>
      <c r="T465" t="s">
        <v>2468</v>
      </c>
      <c r="U465" t="s">
        <v>127</v>
      </c>
      <c r="V465" t="s">
        <v>140</v>
      </c>
      <c r="W465">
        <v>25</v>
      </c>
      <c r="X465">
        <v>0</v>
      </c>
      <c r="AA465" t="s">
        <v>141</v>
      </c>
      <c r="AB465" t="s">
        <v>142</v>
      </c>
      <c r="AC465">
        <v>11611</v>
      </c>
      <c r="AD465">
        <v>11612</v>
      </c>
      <c r="AF465">
        <v>1</v>
      </c>
    </row>
    <row r="466" spans="1:32">
      <c r="A466">
        <v>1</v>
      </c>
      <c r="E466" t="s">
        <v>2900</v>
      </c>
      <c r="F466">
        <v>0</v>
      </c>
      <c r="G466" t="s">
        <v>2900</v>
      </c>
      <c r="H466" t="s">
        <v>2961</v>
      </c>
      <c r="I466" t="s">
        <v>2227</v>
      </c>
      <c r="J466" t="s">
        <v>2012</v>
      </c>
      <c r="K466" t="s">
        <v>2858</v>
      </c>
      <c r="L466">
        <v>0</v>
      </c>
      <c r="M466">
        <v>0</v>
      </c>
      <c r="O466">
        <v>0</v>
      </c>
      <c r="P466">
        <v>0</v>
      </c>
      <c r="Q466">
        <v>0</v>
      </c>
      <c r="R466" s="49"/>
      <c r="T466" t="s">
        <v>2468</v>
      </c>
      <c r="U466" t="s">
        <v>127</v>
      </c>
      <c r="V466" t="s">
        <v>140</v>
      </c>
      <c r="W466">
        <v>25</v>
      </c>
      <c r="X466">
        <v>0</v>
      </c>
      <c r="AA466" t="s">
        <v>141</v>
      </c>
      <c r="AB466" t="s">
        <v>142</v>
      </c>
      <c r="AC466">
        <v>11611</v>
      </c>
      <c r="AD466">
        <v>11612</v>
      </c>
      <c r="AF466">
        <v>1</v>
      </c>
    </row>
    <row r="467" spans="1:32">
      <c r="A467">
        <v>1</v>
      </c>
      <c r="E467" t="s">
        <v>2900</v>
      </c>
      <c r="F467">
        <v>0</v>
      </c>
      <c r="G467" t="s">
        <v>2900</v>
      </c>
      <c r="H467" t="s">
        <v>2961</v>
      </c>
      <c r="I467" t="s">
        <v>2227</v>
      </c>
      <c r="J467" t="s">
        <v>2014</v>
      </c>
      <c r="K467" t="s">
        <v>2858</v>
      </c>
      <c r="L467">
        <v>0</v>
      </c>
      <c r="M467">
        <v>0</v>
      </c>
      <c r="O467">
        <v>0</v>
      </c>
      <c r="P467">
        <v>0</v>
      </c>
      <c r="Q467">
        <v>0</v>
      </c>
      <c r="R467" s="49"/>
      <c r="T467" t="s">
        <v>2468</v>
      </c>
      <c r="U467" t="s">
        <v>127</v>
      </c>
      <c r="V467" t="s">
        <v>140</v>
      </c>
      <c r="W467">
        <v>25</v>
      </c>
      <c r="X467">
        <v>0</v>
      </c>
      <c r="AA467" t="s">
        <v>141</v>
      </c>
      <c r="AB467" t="s">
        <v>142</v>
      </c>
      <c r="AC467">
        <v>11611</v>
      </c>
      <c r="AD467">
        <v>11612</v>
      </c>
      <c r="AF467">
        <v>1</v>
      </c>
    </row>
    <row r="468" spans="1:32">
      <c r="A468">
        <v>1</v>
      </c>
      <c r="E468" t="s">
        <v>2900</v>
      </c>
      <c r="F468">
        <v>0</v>
      </c>
      <c r="G468" t="s">
        <v>2900</v>
      </c>
      <c r="H468" t="s">
        <v>2961</v>
      </c>
      <c r="I468" t="s">
        <v>2227</v>
      </c>
      <c r="J468" t="s">
        <v>2016</v>
      </c>
      <c r="K468" t="s">
        <v>2858</v>
      </c>
      <c r="L468">
        <v>0</v>
      </c>
      <c r="M468">
        <v>0</v>
      </c>
      <c r="O468">
        <v>0</v>
      </c>
      <c r="P468">
        <v>0</v>
      </c>
      <c r="Q468">
        <v>0</v>
      </c>
      <c r="R468" s="49"/>
      <c r="T468" t="s">
        <v>2468</v>
      </c>
      <c r="U468" t="s">
        <v>127</v>
      </c>
      <c r="V468" t="s">
        <v>140</v>
      </c>
      <c r="W468">
        <v>25</v>
      </c>
      <c r="X468">
        <v>0</v>
      </c>
      <c r="AA468" t="s">
        <v>141</v>
      </c>
      <c r="AB468" t="s">
        <v>142</v>
      </c>
      <c r="AC468">
        <v>11611</v>
      </c>
      <c r="AD468">
        <v>11612</v>
      </c>
      <c r="AF468">
        <v>1</v>
      </c>
    </row>
    <row r="469" spans="1:32">
      <c r="A469">
        <v>1</v>
      </c>
      <c r="E469" t="s">
        <v>2900</v>
      </c>
      <c r="F469">
        <v>0</v>
      </c>
      <c r="G469" t="s">
        <v>2900</v>
      </c>
      <c r="H469" t="s">
        <v>2961</v>
      </c>
      <c r="I469" t="s">
        <v>2227</v>
      </c>
      <c r="J469" t="s">
        <v>2018</v>
      </c>
      <c r="K469" t="s">
        <v>2858</v>
      </c>
      <c r="L469">
        <v>0</v>
      </c>
      <c r="M469">
        <v>0</v>
      </c>
      <c r="O469">
        <v>0</v>
      </c>
      <c r="P469">
        <v>0</v>
      </c>
      <c r="Q469">
        <v>0</v>
      </c>
      <c r="R469" s="49"/>
      <c r="T469" t="s">
        <v>2468</v>
      </c>
      <c r="U469" t="s">
        <v>127</v>
      </c>
      <c r="V469" t="s">
        <v>140</v>
      </c>
      <c r="W469">
        <v>25</v>
      </c>
      <c r="X469">
        <v>0</v>
      </c>
      <c r="AA469" t="s">
        <v>141</v>
      </c>
      <c r="AB469" t="s">
        <v>142</v>
      </c>
      <c r="AC469">
        <v>11611</v>
      </c>
      <c r="AD469">
        <v>11612</v>
      </c>
      <c r="AF469">
        <v>1</v>
      </c>
    </row>
    <row r="470" spans="1:32">
      <c r="A470">
        <v>1</v>
      </c>
      <c r="E470" t="s">
        <v>2900</v>
      </c>
      <c r="F470">
        <v>0</v>
      </c>
      <c r="G470" t="s">
        <v>2900</v>
      </c>
      <c r="H470" t="s">
        <v>2961</v>
      </c>
      <c r="I470" t="s">
        <v>2227</v>
      </c>
      <c r="J470" t="s">
        <v>2020</v>
      </c>
      <c r="K470" t="s">
        <v>2858</v>
      </c>
      <c r="L470">
        <v>0</v>
      </c>
      <c r="M470">
        <v>0</v>
      </c>
      <c r="O470">
        <v>0</v>
      </c>
      <c r="P470">
        <v>0</v>
      </c>
      <c r="Q470">
        <v>0</v>
      </c>
      <c r="R470" s="49"/>
      <c r="T470" t="s">
        <v>2468</v>
      </c>
      <c r="U470" t="s">
        <v>127</v>
      </c>
      <c r="V470" t="s">
        <v>140</v>
      </c>
      <c r="W470">
        <v>25</v>
      </c>
      <c r="X470">
        <v>0</v>
      </c>
      <c r="AA470" t="s">
        <v>141</v>
      </c>
      <c r="AB470" t="s">
        <v>142</v>
      </c>
      <c r="AC470">
        <v>11611</v>
      </c>
      <c r="AD470">
        <v>11612</v>
      </c>
      <c r="AF470">
        <v>1</v>
      </c>
    </row>
    <row r="471" spans="1:32">
      <c r="A471">
        <v>1</v>
      </c>
      <c r="E471" t="s">
        <v>2900</v>
      </c>
      <c r="F471">
        <v>0</v>
      </c>
      <c r="G471" t="s">
        <v>2900</v>
      </c>
      <c r="H471" t="s">
        <v>2961</v>
      </c>
      <c r="I471" t="s">
        <v>2227</v>
      </c>
      <c r="J471" t="s">
        <v>2022</v>
      </c>
      <c r="K471" t="s">
        <v>2858</v>
      </c>
      <c r="L471">
        <v>0</v>
      </c>
      <c r="M471">
        <v>0</v>
      </c>
      <c r="O471">
        <v>0</v>
      </c>
      <c r="P471">
        <v>0</v>
      </c>
      <c r="Q471">
        <v>0</v>
      </c>
      <c r="R471" s="49"/>
      <c r="T471" t="s">
        <v>2468</v>
      </c>
      <c r="U471" t="s">
        <v>127</v>
      </c>
      <c r="V471" t="s">
        <v>140</v>
      </c>
      <c r="W471">
        <v>25</v>
      </c>
      <c r="X471">
        <v>0</v>
      </c>
      <c r="AA471" t="s">
        <v>141</v>
      </c>
      <c r="AB471" t="s">
        <v>142</v>
      </c>
      <c r="AC471">
        <v>11611</v>
      </c>
      <c r="AD471">
        <v>11612</v>
      </c>
      <c r="AF471">
        <v>1</v>
      </c>
    </row>
    <row r="472" spans="1:32">
      <c r="A472">
        <v>1</v>
      </c>
      <c r="E472" t="s">
        <v>2900</v>
      </c>
      <c r="F472">
        <v>0</v>
      </c>
      <c r="G472" t="s">
        <v>2900</v>
      </c>
      <c r="H472" t="s">
        <v>2961</v>
      </c>
      <c r="I472" t="s">
        <v>2227</v>
      </c>
      <c r="J472" t="s">
        <v>2024</v>
      </c>
      <c r="K472" t="s">
        <v>2858</v>
      </c>
      <c r="L472">
        <v>0</v>
      </c>
      <c r="M472">
        <v>0</v>
      </c>
      <c r="O472">
        <v>0</v>
      </c>
      <c r="P472">
        <v>0</v>
      </c>
      <c r="Q472">
        <v>0</v>
      </c>
      <c r="R472" s="49"/>
      <c r="T472" t="s">
        <v>2468</v>
      </c>
      <c r="U472" t="s">
        <v>127</v>
      </c>
      <c r="V472" t="s">
        <v>140</v>
      </c>
      <c r="W472">
        <v>25</v>
      </c>
      <c r="X472">
        <v>0</v>
      </c>
      <c r="AA472" t="s">
        <v>141</v>
      </c>
      <c r="AB472" t="s">
        <v>142</v>
      </c>
      <c r="AC472">
        <v>11611</v>
      </c>
      <c r="AD472">
        <v>11612</v>
      </c>
      <c r="AF472">
        <v>1</v>
      </c>
    </row>
    <row r="473" spans="1:32">
      <c r="A473">
        <v>1</v>
      </c>
      <c r="E473" t="s">
        <v>3325</v>
      </c>
      <c r="F473">
        <v>72</v>
      </c>
      <c r="G473" t="s">
        <v>2900</v>
      </c>
      <c r="H473" t="s">
        <v>2961</v>
      </c>
      <c r="I473" t="s">
        <v>2229</v>
      </c>
      <c r="J473" t="s">
        <v>2026</v>
      </c>
      <c r="K473" t="s">
        <v>2846</v>
      </c>
      <c r="L473">
        <v>0</v>
      </c>
      <c r="M473">
        <v>0</v>
      </c>
      <c r="O473">
        <v>0</v>
      </c>
      <c r="P473">
        <v>0</v>
      </c>
      <c r="Q473">
        <v>0</v>
      </c>
      <c r="R473" s="49"/>
      <c r="T473" t="s">
        <v>2468</v>
      </c>
      <c r="U473" t="s">
        <v>127</v>
      </c>
      <c r="V473" t="s">
        <v>140</v>
      </c>
      <c r="W473">
        <v>1</v>
      </c>
      <c r="X473">
        <v>0</v>
      </c>
      <c r="AA473" t="s">
        <v>141</v>
      </c>
      <c r="AB473" t="s">
        <v>142</v>
      </c>
      <c r="AC473">
        <v>11611</v>
      </c>
      <c r="AD473">
        <v>11612</v>
      </c>
      <c r="AF473">
        <v>1</v>
      </c>
    </row>
    <row r="474" spans="1:32">
      <c r="A474">
        <v>1</v>
      </c>
      <c r="E474" t="s">
        <v>2900</v>
      </c>
      <c r="F474">
        <v>0</v>
      </c>
      <c r="G474" t="s">
        <v>2900</v>
      </c>
      <c r="H474" t="s">
        <v>2961</v>
      </c>
      <c r="I474" t="s">
        <v>2229</v>
      </c>
      <c r="J474" t="s">
        <v>2029</v>
      </c>
      <c r="K474" t="s">
        <v>2858</v>
      </c>
      <c r="L474">
        <v>0</v>
      </c>
      <c r="M474">
        <v>0</v>
      </c>
      <c r="O474">
        <v>0</v>
      </c>
      <c r="P474">
        <v>0</v>
      </c>
      <c r="Q474">
        <v>0</v>
      </c>
      <c r="R474" s="49"/>
      <c r="T474" t="s">
        <v>2468</v>
      </c>
      <c r="U474" t="s">
        <v>127</v>
      </c>
      <c r="V474" t="s">
        <v>140</v>
      </c>
      <c r="W474">
        <v>1</v>
      </c>
      <c r="X474">
        <v>0</v>
      </c>
      <c r="AA474" t="s">
        <v>141</v>
      </c>
      <c r="AB474" t="s">
        <v>142</v>
      </c>
      <c r="AC474">
        <v>11611</v>
      </c>
      <c r="AD474">
        <v>11612</v>
      </c>
      <c r="AF474">
        <v>1</v>
      </c>
    </row>
    <row r="475" spans="1:32">
      <c r="A475">
        <v>1</v>
      </c>
      <c r="E475" t="s">
        <v>3326</v>
      </c>
      <c r="F475">
        <v>72</v>
      </c>
      <c r="G475" t="s">
        <v>2900</v>
      </c>
      <c r="H475" t="s">
        <v>2961</v>
      </c>
      <c r="I475" t="s">
        <v>2229</v>
      </c>
      <c r="J475" t="s">
        <v>2031</v>
      </c>
      <c r="K475" t="s">
        <v>2846</v>
      </c>
      <c r="L475">
        <v>0</v>
      </c>
      <c r="M475">
        <v>0</v>
      </c>
      <c r="O475">
        <v>0</v>
      </c>
      <c r="P475">
        <v>0</v>
      </c>
      <c r="Q475">
        <v>0</v>
      </c>
      <c r="R475" s="49"/>
      <c r="T475" t="s">
        <v>2468</v>
      </c>
      <c r="U475" t="s">
        <v>127</v>
      </c>
      <c r="V475" t="s">
        <v>140</v>
      </c>
      <c r="W475">
        <v>1</v>
      </c>
      <c r="X475">
        <v>0</v>
      </c>
      <c r="AA475" t="s">
        <v>141</v>
      </c>
      <c r="AB475" t="s">
        <v>142</v>
      </c>
      <c r="AC475">
        <v>11611</v>
      </c>
      <c r="AD475">
        <v>11612</v>
      </c>
      <c r="AF475">
        <v>1</v>
      </c>
    </row>
    <row r="476" spans="1:32">
      <c r="A476">
        <v>1</v>
      </c>
      <c r="E476" t="s">
        <v>3327</v>
      </c>
      <c r="F476">
        <v>72</v>
      </c>
      <c r="G476" t="s">
        <v>2900</v>
      </c>
      <c r="H476" t="s">
        <v>2961</v>
      </c>
      <c r="I476" t="s">
        <v>2229</v>
      </c>
      <c r="J476" t="s">
        <v>2036</v>
      </c>
      <c r="K476" t="s">
        <v>2846</v>
      </c>
      <c r="L476">
        <v>0</v>
      </c>
      <c r="M476">
        <v>0</v>
      </c>
      <c r="O476">
        <v>0</v>
      </c>
      <c r="P476">
        <v>0</v>
      </c>
      <c r="Q476">
        <v>0</v>
      </c>
      <c r="R476" s="49"/>
      <c r="T476" t="s">
        <v>2468</v>
      </c>
      <c r="U476" t="s">
        <v>127</v>
      </c>
      <c r="V476" t="s">
        <v>140</v>
      </c>
      <c r="W476">
        <v>1</v>
      </c>
      <c r="X476">
        <v>0</v>
      </c>
      <c r="AA476" t="s">
        <v>141</v>
      </c>
      <c r="AB476" t="s">
        <v>142</v>
      </c>
      <c r="AC476">
        <v>11611</v>
      </c>
      <c r="AD476">
        <v>11612</v>
      </c>
      <c r="AF476">
        <v>1</v>
      </c>
    </row>
    <row r="477" spans="1:32">
      <c r="A477">
        <v>1</v>
      </c>
      <c r="E477" t="s">
        <v>3328</v>
      </c>
      <c r="F477">
        <v>48</v>
      </c>
      <c r="G477" t="s">
        <v>2900</v>
      </c>
      <c r="H477" t="s">
        <v>2961</v>
      </c>
      <c r="I477" t="s">
        <v>2223</v>
      </c>
      <c r="J477" t="s">
        <v>2040</v>
      </c>
      <c r="K477" t="s">
        <v>2851</v>
      </c>
      <c r="L477">
        <v>0</v>
      </c>
      <c r="M477">
        <v>0</v>
      </c>
      <c r="O477">
        <v>0</v>
      </c>
      <c r="P477">
        <v>0</v>
      </c>
      <c r="Q477">
        <v>0</v>
      </c>
      <c r="R477" s="49"/>
      <c r="T477" t="s">
        <v>2468</v>
      </c>
      <c r="U477" t="s">
        <v>127</v>
      </c>
      <c r="V477" t="s">
        <v>140</v>
      </c>
      <c r="W477">
        <v>65</v>
      </c>
      <c r="X477">
        <v>0</v>
      </c>
      <c r="AA477" t="s">
        <v>141</v>
      </c>
      <c r="AB477" t="s">
        <v>142</v>
      </c>
      <c r="AC477">
        <v>11611</v>
      </c>
      <c r="AD477">
        <v>11612</v>
      </c>
      <c r="AF477">
        <v>1</v>
      </c>
    </row>
    <row r="478" spans="1:32">
      <c r="A478">
        <v>1</v>
      </c>
      <c r="E478" t="s">
        <v>3329</v>
      </c>
      <c r="F478">
        <v>48</v>
      </c>
      <c r="G478" t="s">
        <v>2900</v>
      </c>
      <c r="H478" t="s">
        <v>2961</v>
      </c>
      <c r="I478" t="s">
        <v>2223</v>
      </c>
      <c r="J478" t="s">
        <v>2042</v>
      </c>
      <c r="K478" t="s">
        <v>2851</v>
      </c>
      <c r="L478">
        <v>0</v>
      </c>
      <c r="M478">
        <v>0</v>
      </c>
      <c r="O478">
        <v>0</v>
      </c>
      <c r="P478">
        <v>0</v>
      </c>
      <c r="Q478">
        <v>0</v>
      </c>
      <c r="R478" s="49"/>
      <c r="T478" t="s">
        <v>2468</v>
      </c>
      <c r="U478" t="s">
        <v>127</v>
      </c>
      <c r="V478" t="s">
        <v>140</v>
      </c>
      <c r="W478">
        <v>65</v>
      </c>
      <c r="X478">
        <v>0</v>
      </c>
      <c r="AA478" t="s">
        <v>141</v>
      </c>
      <c r="AB478" t="s">
        <v>142</v>
      </c>
      <c r="AC478">
        <v>11611</v>
      </c>
      <c r="AD478">
        <v>11612</v>
      </c>
      <c r="AF478">
        <v>1</v>
      </c>
    </row>
    <row r="479" spans="1:32">
      <c r="A479">
        <v>1</v>
      </c>
      <c r="E479" t="s">
        <v>3330</v>
      </c>
      <c r="F479">
        <v>36</v>
      </c>
      <c r="G479" t="s">
        <v>2900</v>
      </c>
      <c r="H479" t="s">
        <v>2961</v>
      </c>
      <c r="I479" t="s">
        <v>2223</v>
      </c>
      <c r="J479" t="s">
        <v>2734</v>
      </c>
      <c r="K479" t="s">
        <v>2847</v>
      </c>
      <c r="L479">
        <v>0</v>
      </c>
      <c r="M479">
        <v>0</v>
      </c>
      <c r="O479">
        <v>0</v>
      </c>
      <c r="P479">
        <v>0</v>
      </c>
      <c r="Q479">
        <v>0</v>
      </c>
      <c r="R479" s="49"/>
      <c r="T479" t="s">
        <v>2468</v>
      </c>
      <c r="U479" t="s">
        <v>127</v>
      </c>
      <c r="V479" t="s">
        <v>140</v>
      </c>
      <c r="W479">
        <v>150</v>
      </c>
      <c r="X479">
        <v>0</v>
      </c>
      <c r="AA479" t="s">
        <v>141</v>
      </c>
      <c r="AB479" t="s">
        <v>142</v>
      </c>
      <c r="AC479">
        <v>11611</v>
      </c>
      <c r="AD479">
        <v>11612</v>
      </c>
      <c r="AF479">
        <v>1</v>
      </c>
    </row>
    <row r="480" spans="1:32">
      <c r="A480">
        <v>2</v>
      </c>
      <c r="E480" t="s">
        <v>3331</v>
      </c>
      <c r="F480">
        <v>36</v>
      </c>
      <c r="G480" t="s">
        <v>2900</v>
      </c>
      <c r="H480" t="s">
        <v>2961</v>
      </c>
      <c r="I480" t="s">
        <v>2223</v>
      </c>
      <c r="J480" t="s">
        <v>2044</v>
      </c>
      <c r="K480" t="s">
        <v>2847</v>
      </c>
      <c r="L480">
        <v>0</v>
      </c>
      <c r="M480">
        <v>0</v>
      </c>
      <c r="O480">
        <v>0</v>
      </c>
      <c r="P480">
        <v>0</v>
      </c>
      <c r="Q480">
        <v>0</v>
      </c>
      <c r="R480" s="49"/>
      <c r="T480" t="s">
        <v>2468</v>
      </c>
      <c r="U480" t="s">
        <v>127</v>
      </c>
      <c r="V480" t="s">
        <v>140</v>
      </c>
      <c r="W480">
        <v>150</v>
      </c>
      <c r="X480">
        <v>0</v>
      </c>
      <c r="AA480" t="s">
        <v>141</v>
      </c>
      <c r="AB480" t="s">
        <v>142</v>
      </c>
      <c r="AC480">
        <v>11611</v>
      </c>
      <c r="AD480">
        <v>11612</v>
      </c>
      <c r="AF480">
        <v>1</v>
      </c>
    </row>
    <row r="481" spans="1:32">
      <c r="A481">
        <v>1</v>
      </c>
      <c r="E481" t="s">
        <v>3332</v>
      </c>
      <c r="F481">
        <v>36</v>
      </c>
      <c r="G481" t="s">
        <v>2900</v>
      </c>
      <c r="H481" t="s">
        <v>2961</v>
      </c>
      <c r="I481" t="s">
        <v>2223</v>
      </c>
      <c r="J481" t="s">
        <v>2735</v>
      </c>
      <c r="K481" t="s">
        <v>2847</v>
      </c>
      <c r="L481">
        <v>0</v>
      </c>
      <c r="M481">
        <v>0</v>
      </c>
      <c r="O481">
        <v>0</v>
      </c>
      <c r="P481">
        <v>0</v>
      </c>
      <c r="Q481">
        <v>0</v>
      </c>
      <c r="R481" s="49"/>
      <c r="T481" t="s">
        <v>2468</v>
      </c>
      <c r="U481" t="s">
        <v>127</v>
      </c>
      <c r="V481" t="s">
        <v>140</v>
      </c>
      <c r="W481">
        <v>150</v>
      </c>
      <c r="X481">
        <v>0</v>
      </c>
      <c r="AA481" t="s">
        <v>141</v>
      </c>
      <c r="AB481" t="s">
        <v>142</v>
      </c>
      <c r="AC481">
        <v>11611</v>
      </c>
      <c r="AD481">
        <v>11612</v>
      </c>
      <c r="AF481">
        <v>1</v>
      </c>
    </row>
    <row r="482" spans="1:32">
      <c r="A482">
        <v>2</v>
      </c>
      <c r="E482" t="s">
        <v>3333</v>
      </c>
      <c r="F482">
        <v>36</v>
      </c>
      <c r="G482" t="s">
        <v>2900</v>
      </c>
      <c r="H482" t="s">
        <v>2961</v>
      </c>
      <c r="I482" t="s">
        <v>2223</v>
      </c>
      <c r="J482" t="s">
        <v>2046</v>
      </c>
      <c r="K482" t="s">
        <v>2847</v>
      </c>
      <c r="L482">
        <v>0</v>
      </c>
      <c r="M482">
        <v>0</v>
      </c>
      <c r="O482">
        <v>0</v>
      </c>
      <c r="P482">
        <v>0</v>
      </c>
      <c r="Q482">
        <v>0</v>
      </c>
      <c r="R482" s="49"/>
      <c r="T482" t="s">
        <v>2468</v>
      </c>
      <c r="U482" t="s">
        <v>127</v>
      </c>
      <c r="V482" t="s">
        <v>140</v>
      </c>
      <c r="W482">
        <v>150</v>
      </c>
      <c r="X482">
        <v>0</v>
      </c>
      <c r="AA482" t="s">
        <v>141</v>
      </c>
      <c r="AB482" t="s">
        <v>142</v>
      </c>
      <c r="AC482">
        <v>11611</v>
      </c>
      <c r="AD482">
        <v>11612</v>
      </c>
      <c r="AF482">
        <v>1</v>
      </c>
    </row>
    <row r="483" spans="1:32">
      <c r="A483">
        <v>1</v>
      </c>
      <c r="E483" t="s">
        <v>3334</v>
      </c>
      <c r="F483">
        <v>48</v>
      </c>
      <c r="G483" t="s">
        <v>2900</v>
      </c>
      <c r="H483" t="s">
        <v>2961</v>
      </c>
      <c r="I483" t="s">
        <v>2223</v>
      </c>
      <c r="J483" t="s">
        <v>2736</v>
      </c>
      <c r="K483" t="s">
        <v>2851</v>
      </c>
      <c r="L483">
        <v>0</v>
      </c>
      <c r="M483">
        <v>0</v>
      </c>
      <c r="O483">
        <v>0</v>
      </c>
      <c r="P483">
        <v>0</v>
      </c>
      <c r="Q483">
        <v>0</v>
      </c>
      <c r="R483" s="49"/>
      <c r="T483" t="s">
        <v>2468</v>
      </c>
      <c r="U483" t="s">
        <v>127</v>
      </c>
      <c r="V483" t="s">
        <v>140</v>
      </c>
      <c r="W483">
        <v>65</v>
      </c>
      <c r="X483">
        <v>0</v>
      </c>
      <c r="AA483" t="s">
        <v>141</v>
      </c>
      <c r="AB483" t="s">
        <v>142</v>
      </c>
      <c r="AC483">
        <v>11611</v>
      </c>
      <c r="AD483">
        <v>11612</v>
      </c>
      <c r="AF483">
        <v>1</v>
      </c>
    </row>
    <row r="484" spans="1:32">
      <c r="A484">
        <v>1</v>
      </c>
      <c r="E484" t="s">
        <v>3335</v>
      </c>
      <c r="F484">
        <v>48</v>
      </c>
      <c r="G484" t="s">
        <v>2900</v>
      </c>
      <c r="H484" t="s">
        <v>2961</v>
      </c>
      <c r="I484" t="s">
        <v>2223</v>
      </c>
      <c r="J484" t="s">
        <v>2737</v>
      </c>
      <c r="K484" t="s">
        <v>2851</v>
      </c>
      <c r="L484">
        <v>0</v>
      </c>
      <c r="M484">
        <v>0</v>
      </c>
      <c r="O484">
        <v>0</v>
      </c>
      <c r="P484">
        <v>0</v>
      </c>
      <c r="Q484">
        <v>0</v>
      </c>
      <c r="R484" s="49"/>
      <c r="T484" t="s">
        <v>2468</v>
      </c>
      <c r="U484" t="s">
        <v>127</v>
      </c>
      <c r="V484" t="s">
        <v>140</v>
      </c>
      <c r="W484">
        <v>65</v>
      </c>
      <c r="X484">
        <v>0</v>
      </c>
      <c r="AA484" t="s">
        <v>141</v>
      </c>
      <c r="AB484" t="s">
        <v>142</v>
      </c>
      <c r="AC484">
        <v>11611</v>
      </c>
      <c r="AD484">
        <v>11612</v>
      </c>
      <c r="AF484">
        <v>1</v>
      </c>
    </row>
    <row r="485" spans="1:32">
      <c r="A485">
        <v>1</v>
      </c>
      <c r="E485" t="s">
        <v>3336</v>
      </c>
      <c r="F485">
        <v>36</v>
      </c>
      <c r="G485" t="s">
        <v>2900</v>
      </c>
      <c r="H485" t="s">
        <v>2961</v>
      </c>
      <c r="I485" t="s">
        <v>2223</v>
      </c>
      <c r="J485" t="s">
        <v>2738</v>
      </c>
      <c r="K485" t="s">
        <v>2847</v>
      </c>
      <c r="L485">
        <v>0</v>
      </c>
      <c r="M485">
        <v>0</v>
      </c>
      <c r="O485">
        <v>0</v>
      </c>
      <c r="P485">
        <v>0</v>
      </c>
      <c r="Q485">
        <v>0</v>
      </c>
      <c r="R485" s="49"/>
      <c r="T485" t="s">
        <v>2468</v>
      </c>
      <c r="U485" t="s">
        <v>127</v>
      </c>
      <c r="V485" t="s">
        <v>140</v>
      </c>
      <c r="W485">
        <v>150</v>
      </c>
      <c r="X485">
        <v>0</v>
      </c>
      <c r="AA485" t="s">
        <v>141</v>
      </c>
      <c r="AB485" t="s">
        <v>142</v>
      </c>
      <c r="AC485">
        <v>11611</v>
      </c>
      <c r="AD485">
        <v>11612</v>
      </c>
      <c r="AF485">
        <v>1</v>
      </c>
    </row>
    <row r="486" spans="1:32">
      <c r="A486">
        <v>1</v>
      </c>
      <c r="E486" t="s">
        <v>3337</v>
      </c>
      <c r="F486">
        <v>36</v>
      </c>
      <c r="G486" t="s">
        <v>2900</v>
      </c>
      <c r="H486" t="s">
        <v>2961</v>
      </c>
      <c r="I486" t="s">
        <v>2223</v>
      </c>
      <c r="J486" t="s">
        <v>2054</v>
      </c>
      <c r="K486" t="s">
        <v>2847</v>
      </c>
      <c r="L486">
        <v>0</v>
      </c>
      <c r="M486">
        <v>0</v>
      </c>
      <c r="O486">
        <v>0</v>
      </c>
      <c r="P486">
        <v>0</v>
      </c>
      <c r="Q486">
        <v>0</v>
      </c>
      <c r="R486" s="49"/>
      <c r="T486" t="s">
        <v>2468</v>
      </c>
      <c r="U486" t="s">
        <v>127</v>
      </c>
      <c r="V486" t="s">
        <v>140</v>
      </c>
      <c r="W486">
        <v>150</v>
      </c>
      <c r="X486">
        <v>0</v>
      </c>
      <c r="AA486" t="s">
        <v>141</v>
      </c>
      <c r="AB486" t="s">
        <v>142</v>
      </c>
      <c r="AC486">
        <v>11611</v>
      </c>
      <c r="AD486">
        <v>11612</v>
      </c>
      <c r="AF486">
        <v>1</v>
      </c>
    </row>
    <row r="487" spans="1:32">
      <c r="A487">
        <v>1</v>
      </c>
      <c r="E487" t="s">
        <v>3338</v>
      </c>
      <c r="F487">
        <v>48</v>
      </c>
      <c r="G487" t="s">
        <v>2900</v>
      </c>
      <c r="H487" t="s">
        <v>2961</v>
      </c>
      <c r="I487" t="s">
        <v>2223</v>
      </c>
      <c r="J487" t="s">
        <v>2739</v>
      </c>
      <c r="K487" t="s">
        <v>2851</v>
      </c>
      <c r="L487">
        <v>0</v>
      </c>
      <c r="M487">
        <v>0</v>
      </c>
      <c r="O487">
        <v>0</v>
      </c>
      <c r="P487">
        <v>0</v>
      </c>
      <c r="Q487">
        <v>0</v>
      </c>
      <c r="R487" s="49"/>
      <c r="T487" t="s">
        <v>2468</v>
      </c>
      <c r="U487" t="s">
        <v>127</v>
      </c>
      <c r="V487" t="s">
        <v>140</v>
      </c>
      <c r="W487">
        <v>65</v>
      </c>
      <c r="X487">
        <v>0</v>
      </c>
      <c r="AA487" t="s">
        <v>141</v>
      </c>
      <c r="AB487" t="s">
        <v>142</v>
      </c>
      <c r="AC487">
        <v>11611</v>
      </c>
      <c r="AD487">
        <v>11612</v>
      </c>
      <c r="AF487">
        <v>1</v>
      </c>
    </row>
    <row r="488" spans="1:32">
      <c r="A488">
        <v>1</v>
      </c>
      <c r="E488" t="s">
        <v>3339</v>
      </c>
      <c r="F488">
        <v>48</v>
      </c>
      <c r="G488" t="s">
        <v>2900</v>
      </c>
      <c r="H488" t="s">
        <v>2961</v>
      </c>
      <c r="I488" t="s">
        <v>2223</v>
      </c>
      <c r="J488" t="s">
        <v>2740</v>
      </c>
      <c r="K488" t="s">
        <v>2851</v>
      </c>
      <c r="L488">
        <v>0</v>
      </c>
      <c r="M488">
        <v>0</v>
      </c>
      <c r="O488">
        <v>0</v>
      </c>
      <c r="P488">
        <v>0</v>
      </c>
      <c r="Q488">
        <v>0</v>
      </c>
      <c r="R488" s="49"/>
      <c r="T488" t="s">
        <v>2468</v>
      </c>
      <c r="U488" t="s">
        <v>127</v>
      </c>
      <c r="V488" t="s">
        <v>140</v>
      </c>
      <c r="W488">
        <v>65</v>
      </c>
      <c r="X488">
        <v>0</v>
      </c>
      <c r="AA488" t="s">
        <v>141</v>
      </c>
      <c r="AB488" t="s">
        <v>142</v>
      </c>
      <c r="AC488">
        <v>11611</v>
      </c>
      <c r="AD488">
        <v>11612</v>
      </c>
      <c r="AF488">
        <v>1</v>
      </c>
    </row>
    <row r="489" spans="1:32">
      <c r="A489">
        <v>2</v>
      </c>
      <c r="E489" t="s">
        <v>3340</v>
      </c>
      <c r="F489">
        <v>48</v>
      </c>
      <c r="G489" t="s">
        <v>2900</v>
      </c>
      <c r="H489" t="s">
        <v>2961</v>
      </c>
      <c r="I489" t="s">
        <v>2223</v>
      </c>
      <c r="J489" t="s">
        <v>2058</v>
      </c>
      <c r="K489" t="s">
        <v>2851</v>
      </c>
      <c r="L489">
        <v>0</v>
      </c>
      <c r="M489">
        <v>0</v>
      </c>
      <c r="O489">
        <v>0</v>
      </c>
      <c r="P489">
        <v>0</v>
      </c>
      <c r="Q489">
        <v>0</v>
      </c>
      <c r="R489" s="49"/>
      <c r="T489" t="s">
        <v>2468</v>
      </c>
      <c r="U489" t="s">
        <v>127</v>
      </c>
      <c r="V489" t="s">
        <v>140</v>
      </c>
      <c r="W489">
        <v>65</v>
      </c>
      <c r="X489">
        <v>0</v>
      </c>
      <c r="AA489" t="s">
        <v>141</v>
      </c>
      <c r="AB489" t="s">
        <v>142</v>
      </c>
      <c r="AC489">
        <v>11611</v>
      </c>
      <c r="AD489">
        <v>11612</v>
      </c>
      <c r="AF489">
        <v>1</v>
      </c>
    </row>
    <row r="490" spans="1:32">
      <c r="A490">
        <v>1</v>
      </c>
      <c r="E490" t="s">
        <v>3341</v>
      </c>
      <c r="F490">
        <v>36</v>
      </c>
      <c r="G490" t="s">
        <v>2900</v>
      </c>
      <c r="H490" t="s">
        <v>2961</v>
      </c>
      <c r="I490" t="s">
        <v>2223</v>
      </c>
      <c r="J490" t="s">
        <v>2060</v>
      </c>
      <c r="K490" t="s">
        <v>2847</v>
      </c>
      <c r="L490">
        <v>0</v>
      </c>
      <c r="M490">
        <v>0</v>
      </c>
      <c r="O490">
        <v>0</v>
      </c>
      <c r="P490">
        <v>0</v>
      </c>
      <c r="Q490">
        <v>0</v>
      </c>
      <c r="R490" s="49"/>
      <c r="T490" t="s">
        <v>2468</v>
      </c>
      <c r="U490" t="s">
        <v>127</v>
      </c>
      <c r="V490" t="s">
        <v>140</v>
      </c>
      <c r="W490">
        <v>150</v>
      </c>
      <c r="X490">
        <v>0</v>
      </c>
      <c r="AA490" t="s">
        <v>141</v>
      </c>
      <c r="AB490" t="s">
        <v>142</v>
      </c>
      <c r="AC490">
        <v>11611</v>
      </c>
      <c r="AD490">
        <v>11612</v>
      </c>
      <c r="AF490">
        <v>1</v>
      </c>
    </row>
    <row r="491" spans="1:32">
      <c r="A491">
        <v>1</v>
      </c>
      <c r="E491" t="s">
        <v>3342</v>
      </c>
      <c r="F491">
        <v>36</v>
      </c>
      <c r="G491" t="s">
        <v>2900</v>
      </c>
      <c r="H491" t="s">
        <v>2961</v>
      </c>
      <c r="I491" t="s">
        <v>2223</v>
      </c>
      <c r="J491" t="s">
        <v>2062</v>
      </c>
      <c r="K491" t="s">
        <v>2847</v>
      </c>
      <c r="L491">
        <v>0</v>
      </c>
      <c r="M491">
        <v>0</v>
      </c>
      <c r="O491">
        <v>0</v>
      </c>
      <c r="P491">
        <v>0</v>
      </c>
      <c r="Q491">
        <v>0</v>
      </c>
      <c r="R491" s="49"/>
      <c r="T491" t="s">
        <v>2468</v>
      </c>
      <c r="U491" t="s">
        <v>127</v>
      </c>
      <c r="V491" t="s">
        <v>140</v>
      </c>
      <c r="W491">
        <v>150</v>
      </c>
      <c r="X491">
        <v>0</v>
      </c>
      <c r="AA491" t="s">
        <v>141</v>
      </c>
      <c r="AB491" t="s">
        <v>142</v>
      </c>
      <c r="AC491">
        <v>11611</v>
      </c>
      <c r="AD491">
        <v>11612</v>
      </c>
      <c r="AF491">
        <v>1</v>
      </c>
    </row>
    <row r="492" spans="1:32">
      <c r="A492">
        <v>1</v>
      </c>
      <c r="E492" t="s">
        <v>3343</v>
      </c>
      <c r="F492">
        <v>12</v>
      </c>
      <c r="G492" t="s">
        <v>2900</v>
      </c>
      <c r="H492" t="s">
        <v>2961</v>
      </c>
      <c r="I492" t="s">
        <v>2225</v>
      </c>
      <c r="J492" t="s">
        <v>2741</v>
      </c>
      <c r="K492" t="s">
        <v>2850</v>
      </c>
      <c r="L492">
        <v>0</v>
      </c>
      <c r="M492">
        <v>0</v>
      </c>
      <c r="O492">
        <v>0</v>
      </c>
      <c r="P492">
        <v>0</v>
      </c>
      <c r="Q492">
        <v>0</v>
      </c>
      <c r="R492" s="49"/>
      <c r="T492" t="s">
        <v>2468</v>
      </c>
      <c r="U492" t="s">
        <v>127</v>
      </c>
      <c r="V492" t="s">
        <v>140</v>
      </c>
      <c r="W492">
        <v>400</v>
      </c>
      <c r="X492">
        <v>0</v>
      </c>
      <c r="AA492" t="s">
        <v>141</v>
      </c>
      <c r="AB492" t="s">
        <v>142</v>
      </c>
      <c r="AC492">
        <v>11611</v>
      </c>
      <c r="AD492">
        <v>11612</v>
      </c>
      <c r="AF492">
        <v>1</v>
      </c>
    </row>
    <row r="493" spans="1:32">
      <c r="A493">
        <v>1</v>
      </c>
      <c r="E493" t="s">
        <v>3344</v>
      </c>
      <c r="F493">
        <v>12</v>
      </c>
      <c r="G493" t="s">
        <v>2900</v>
      </c>
      <c r="H493" t="s">
        <v>2961</v>
      </c>
      <c r="I493" t="s">
        <v>2225</v>
      </c>
      <c r="J493" t="s">
        <v>2066</v>
      </c>
      <c r="K493" t="s">
        <v>2850</v>
      </c>
      <c r="L493">
        <v>0</v>
      </c>
      <c r="M493">
        <v>0</v>
      </c>
      <c r="O493">
        <v>0</v>
      </c>
      <c r="P493">
        <v>0</v>
      </c>
      <c r="Q493">
        <v>0</v>
      </c>
      <c r="R493" s="49"/>
      <c r="T493" t="s">
        <v>2468</v>
      </c>
      <c r="U493" t="s">
        <v>127</v>
      </c>
      <c r="V493" t="s">
        <v>140</v>
      </c>
      <c r="W493">
        <v>500</v>
      </c>
      <c r="X493">
        <v>0</v>
      </c>
      <c r="AA493" t="s">
        <v>141</v>
      </c>
      <c r="AB493" t="s">
        <v>142</v>
      </c>
      <c r="AC493">
        <v>11611</v>
      </c>
      <c r="AD493">
        <v>11612</v>
      </c>
      <c r="AF493">
        <v>1</v>
      </c>
    </row>
    <row r="494" spans="1:32">
      <c r="A494">
        <v>1</v>
      </c>
      <c r="E494" t="s">
        <v>3345</v>
      </c>
      <c r="F494">
        <v>4</v>
      </c>
      <c r="G494" t="s">
        <v>2900</v>
      </c>
      <c r="H494" t="s">
        <v>2961</v>
      </c>
      <c r="I494" t="s">
        <v>2225</v>
      </c>
      <c r="J494" t="s">
        <v>2742</v>
      </c>
      <c r="K494" t="s">
        <v>2855</v>
      </c>
      <c r="L494">
        <v>0</v>
      </c>
      <c r="M494">
        <v>0</v>
      </c>
      <c r="O494">
        <v>0</v>
      </c>
      <c r="P494">
        <v>0</v>
      </c>
      <c r="Q494">
        <v>0</v>
      </c>
      <c r="R494" s="49"/>
      <c r="T494" t="s">
        <v>2468</v>
      </c>
      <c r="U494" t="s">
        <v>127</v>
      </c>
      <c r="V494" t="s">
        <v>140</v>
      </c>
      <c r="W494">
        <v>1004</v>
      </c>
      <c r="X494">
        <v>0</v>
      </c>
      <c r="AA494" t="s">
        <v>141</v>
      </c>
      <c r="AB494" t="s">
        <v>142</v>
      </c>
      <c r="AC494">
        <v>11611</v>
      </c>
      <c r="AD494">
        <v>11612</v>
      </c>
      <c r="AF494">
        <v>1</v>
      </c>
    </row>
    <row r="495" spans="1:32">
      <c r="A495">
        <v>1</v>
      </c>
      <c r="E495" t="s">
        <v>3346</v>
      </c>
      <c r="F495">
        <v>12</v>
      </c>
      <c r="G495" t="s">
        <v>2900</v>
      </c>
      <c r="H495" t="s">
        <v>2961</v>
      </c>
      <c r="I495" t="s">
        <v>2225</v>
      </c>
      <c r="J495" t="s">
        <v>2743</v>
      </c>
      <c r="K495" t="s">
        <v>2850</v>
      </c>
      <c r="L495">
        <v>0</v>
      </c>
      <c r="M495">
        <v>0</v>
      </c>
      <c r="O495">
        <v>0</v>
      </c>
      <c r="P495">
        <v>0</v>
      </c>
      <c r="Q495">
        <v>0</v>
      </c>
      <c r="R495" s="49"/>
      <c r="T495" t="s">
        <v>2468</v>
      </c>
      <c r="U495" t="s">
        <v>127</v>
      </c>
      <c r="V495" t="s">
        <v>140</v>
      </c>
      <c r="W495">
        <v>400</v>
      </c>
      <c r="X495">
        <v>0</v>
      </c>
      <c r="AA495" t="s">
        <v>141</v>
      </c>
      <c r="AB495" t="s">
        <v>142</v>
      </c>
      <c r="AC495">
        <v>11611</v>
      </c>
      <c r="AD495">
        <v>11612</v>
      </c>
      <c r="AF495">
        <v>1</v>
      </c>
    </row>
    <row r="496" spans="1:32">
      <c r="A496">
        <v>1</v>
      </c>
      <c r="E496" t="s">
        <v>3347</v>
      </c>
      <c r="F496">
        <v>12</v>
      </c>
      <c r="G496" t="s">
        <v>2900</v>
      </c>
      <c r="H496" t="s">
        <v>2961</v>
      </c>
      <c r="I496" t="s">
        <v>2225</v>
      </c>
      <c r="J496" t="s">
        <v>2072</v>
      </c>
      <c r="K496" t="s">
        <v>2850</v>
      </c>
      <c r="L496">
        <v>0</v>
      </c>
      <c r="M496">
        <v>0</v>
      </c>
      <c r="O496">
        <v>0</v>
      </c>
      <c r="P496">
        <v>0</v>
      </c>
      <c r="Q496">
        <v>0</v>
      </c>
      <c r="R496" s="49"/>
      <c r="T496" t="s">
        <v>2468</v>
      </c>
      <c r="U496" t="s">
        <v>127</v>
      </c>
      <c r="V496" t="s">
        <v>140</v>
      </c>
      <c r="W496">
        <v>500</v>
      </c>
      <c r="X496">
        <v>0</v>
      </c>
      <c r="AA496" t="s">
        <v>141</v>
      </c>
      <c r="AB496" t="s">
        <v>142</v>
      </c>
      <c r="AC496">
        <v>11611</v>
      </c>
      <c r="AD496">
        <v>11612</v>
      </c>
      <c r="AF496">
        <v>1</v>
      </c>
    </row>
    <row r="497" spans="1:32">
      <c r="A497">
        <v>1</v>
      </c>
      <c r="E497" t="s">
        <v>3348</v>
      </c>
      <c r="F497">
        <v>4</v>
      </c>
      <c r="G497" t="s">
        <v>2900</v>
      </c>
      <c r="H497" t="s">
        <v>2961</v>
      </c>
      <c r="I497" t="s">
        <v>2225</v>
      </c>
      <c r="J497" t="s">
        <v>2744</v>
      </c>
      <c r="K497" t="s">
        <v>2855</v>
      </c>
      <c r="L497">
        <v>0</v>
      </c>
      <c r="M497">
        <v>0</v>
      </c>
      <c r="O497">
        <v>0</v>
      </c>
      <c r="P497">
        <v>0</v>
      </c>
      <c r="Q497">
        <v>0</v>
      </c>
      <c r="R497" s="49"/>
      <c r="T497" t="s">
        <v>2468</v>
      </c>
      <c r="U497" t="s">
        <v>127</v>
      </c>
      <c r="V497" t="s">
        <v>140</v>
      </c>
      <c r="W497">
        <v>1004</v>
      </c>
      <c r="X497">
        <v>0</v>
      </c>
      <c r="AA497" t="s">
        <v>141</v>
      </c>
      <c r="AB497" t="s">
        <v>142</v>
      </c>
      <c r="AC497">
        <v>11611</v>
      </c>
      <c r="AD497">
        <v>11612</v>
      </c>
      <c r="AF497">
        <v>1</v>
      </c>
    </row>
    <row r="498" spans="1:32">
      <c r="A498">
        <v>1</v>
      </c>
      <c r="E498" t="s">
        <v>3349</v>
      </c>
      <c r="F498">
        <v>12</v>
      </c>
      <c r="G498" t="s">
        <v>2900</v>
      </c>
      <c r="H498" t="s">
        <v>2961</v>
      </c>
      <c r="I498" t="s">
        <v>2225</v>
      </c>
      <c r="J498" t="s">
        <v>2745</v>
      </c>
      <c r="K498" t="s">
        <v>2850</v>
      </c>
      <c r="L498">
        <v>0</v>
      </c>
      <c r="M498">
        <v>0</v>
      </c>
      <c r="O498">
        <v>0</v>
      </c>
      <c r="P498">
        <v>0</v>
      </c>
      <c r="Q498">
        <v>0</v>
      </c>
      <c r="R498" s="49"/>
      <c r="T498" t="s">
        <v>2468</v>
      </c>
      <c r="U498" t="s">
        <v>127</v>
      </c>
      <c r="V498" t="s">
        <v>140</v>
      </c>
      <c r="W498">
        <v>400</v>
      </c>
      <c r="X498">
        <v>0</v>
      </c>
      <c r="AA498" t="s">
        <v>141</v>
      </c>
      <c r="AB498" t="s">
        <v>142</v>
      </c>
      <c r="AC498">
        <v>11611</v>
      </c>
      <c r="AD498">
        <v>11612</v>
      </c>
      <c r="AF498">
        <v>1</v>
      </c>
    </row>
    <row r="499" spans="1:32">
      <c r="A499">
        <v>1</v>
      </c>
      <c r="E499" t="s">
        <v>3350</v>
      </c>
      <c r="F499">
        <v>12</v>
      </c>
      <c r="G499" t="s">
        <v>2900</v>
      </c>
      <c r="H499" t="s">
        <v>2961</v>
      </c>
      <c r="I499" t="s">
        <v>2225</v>
      </c>
      <c r="J499" t="s">
        <v>2078</v>
      </c>
      <c r="K499" t="s">
        <v>2850</v>
      </c>
      <c r="L499">
        <v>0</v>
      </c>
      <c r="M499">
        <v>0</v>
      </c>
      <c r="O499">
        <v>0</v>
      </c>
      <c r="P499">
        <v>0</v>
      </c>
      <c r="Q499">
        <v>0</v>
      </c>
      <c r="R499" s="49"/>
      <c r="T499" t="s">
        <v>2468</v>
      </c>
      <c r="U499" t="s">
        <v>127</v>
      </c>
      <c r="V499" t="s">
        <v>140</v>
      </c>
      <c r="W499">
        <v>500</v>
      </c>
      <c r="X499">
        <v>0</v>
      </c>
      <c r="AA499" t="s">
        <v>141</v>
      </c>
      <c r="AB499" t="s">
        <v>142</v>
      </c>
      <c r="AC499">
        <v>11611</v>
      </c>
      <c r="AD499">
        <v>11612</v>
      </c>
      <c r="AF499">
        <v>1</v>
      </c>
    </row>
    <row r="500" spans="1:32">
      <c r="A500">
        <v>1</v>
      </c>
      <c r="E500" t="s">
        <v>3351</v>
      </c>
      <c r="F500">
        <v>4</v>
      </c>
      <c r="G500" t="s">
        <v>2900</v>
      </c>
      <c r="H500" t="s">
        <v>2961</v>
      </c>
      <c r="I500" t="s">
        <v>2225</v>
      </c>
      <c r="J500" t="s">
        <v>2080</v>
      </c>
      <c r="K500" t="s">
        <v>2855</v>
      </c>
      <c r="L500">
        <v>0</v>
      </c>
      <c r="M500">
        <v>0</v>
      </c>
      <c r="O500">
        <v>0</v>
      </c>
      <c r="P500">
        <v>0</v>
      </c>
      <c r="Q500">
        <v>0</v>
      </c>
      <c r="R500" s="49"/>
      <c r="T500" t="s">
        <v>2468</v>
      </c>
      <c r="U500" t="s">
        <v>127</v>
      </c>
      <c r="V500" t="s">
        <v>140</v>
      </c>
      <c r="W500">
        <v>1004</v>
      </c>
      <c r="X500">
        <v>0</v>
      </c>
      <c r="AA500" t="s">
        <v>141</v>
      </c>
      <c r="AB500" t="s">
        <v>142</v>
      </c>
      <c r="AC500">
        <v>11611</v>
      </c>
      <c r="AD500">
        <v>11612</v>
      </c>
      <c r="AF500">
        <v>1</v>
      </c>
    </row>
    <row r="501" spans="1:32">
      <c r="A501">
        <v>1</v>
      </c>
      <c r="E501" t="s">
        <v>3352</v>
      </c>
      <c r="F501">
        <v>24</v>
      </c>
      <c r="G501" t="s">
        <v>2900</v>
      </c>
      <c r="H501" t="s">
        <v>2961</v>
      </c>
      <c r="I501" t="s">
        <v>2231</v>
      </c>
      <c r="J501" t="s">
        <v>2082</v>
      </c>
      <c r="K501" t="s">
        <v>2852</v>
      </c>
      <c r="L501">
        <v>0</v>
      </c>
      <c r="M501">
        <v>0</v>
      </c>
      <c r="O501">
        <v>0</v>
      </c>
      <c r="P501">
        <v>0</v>
      </c>
      <c r="Q501">
        <v>0</v>
      </c>
      <c r="R501" s="49"/>
      <c r="T501" t="s">
        <v>2468</v>
      </c>
      <c r="U501" t="s">
        <v>127</v>
      </c>
      <c r="V501" t="s">
        <v>140</v>
      </c>
      <c r="W501">
        <v>250</v>
      </c>
      <c r="X501">
        <v>0</v>
      </c>
      <c r="AA501" t="s">
        <v>141</v>
      </c>
      <c r="AB501" t="s">
        <v>142</v>
      </c>
      <c r="AC501">
        <v>11611</v>
      </c>
      <c r="AD501">
        <v>11612</v>
      </c>
      <c r="AF501">
        <v>1</v>
      </c>
    </row>
    <row r="502" spans="1:32">
      <c r="A502">
        <v>1</v>
      </c>
      <c r="E502" t="s">
        <v>3353</v>
      </c>
      <c r="F502">
        <v>24</v>
      </c>
      <c r="G502" t="s">
        <v>2900</v>
      </c>
      <c r="H502" t="s">
        <v>2961</v>
      </c>
      <c r="I502" t="s">
        <v>2231</v>
      </c>
      <c r="J502" t="s">
        <v>2084</v>
      </c>
      <c r="K502" t="s">
        <v>2852</v>
      </c>
      <c r="L502">
        <v>0</v>
      </c>
      <c r="M502">
        <v>0</v>
      </c>
      <c r="O502">
        <v>0</v>
      </c>
      <c r="P502">
        <v>0</v>
      </c>
      <c r="Q502">
        <v>0</v>
      </c>
      <c r="R502" s="49"/>
      <c r="T502" t="s">
        <v>2468</v>
      </c>
      <c r="U502" t="s">
        <v>127</v>
      </c>
      <c r="V502" t="s">
        <v>140</v>
      </c>
      <c r="W502">
        <v>250</v>
      </c>
      <c r="X502">
        <v>0</v>
      </c>
      <c r="AA502" t="s">
        <v>141</v>
      </c>
      <c r="AB502" t="s">
        <v>142</v>
      </c>
      <c r="AC502">
        <v>11611</v>
      </c>
      <c r="AD502">
        <v>11612</v>
      </c>
      <c r="AF502">
        <v>1</v>
      </c>
    </row>
    <row r="503" spans="1:32">
      <c r="A503">
        <v>1</v>
      </c>
      <c r="E503" t="s">
        <v>3354</v>
      </c>
      <c r="F503">
        <v>24</v>
      </c>
      <c r="G503" t="s">
        <v>2900</v>
      </c>
      <c r="H503" t="s">
        <v>2961</v>
      </c>
      <c r="I503" t="s">
        <v>2231</v>
      </c>
      <c r="J503" t="s">
        <v>2086</v>
      </c>
      <c r="K503" t="s">
        <v>2852</v>
      </c>
      <c r="L503">
        <v>0</v>
      </c>
      <c r="M503">
        <v>0</v>
      </c>
      <c r="O503">
        <v>0</v>
      </c>
      <c r="P503">
        <v>0</v>
      </c>
      <c r="Q503">
        <v>0</v>
      </c>
      <c r="R503" s="49"/>
      <c r="T503" t="s">
        <v>2468</v>
      </c>
      <c r="U503" t="s">
        <v>127</v>
      </c>
      <c r="V503" t="s">
        <v>140</v>
      </c>
      <c r="W503">
        <v>250</v>
      </c>
      <c r="X503">
        <v>0</v>
      </c>
      <c r="AA503" t="s">
        <v>141</v>
      </c>
      <c r="AB503" t="s">
        <v>142</v>
      </c>
      <c r="AC503">
        <v>11611</v>
      </c>
      <c r="AD503">
        <v>11612</v>
      </c>
      <c r="AF503">
        <v>1</v>
      </c>
    </row>
    <row r="504" spans="1:32">
      <c r="A504">
        <v>1</v>
      </c>
      <c r="E504" t="s">
        <v>3355</v>
      </c>
      <c r="F504">
        <v>12</v>
      </c>
      <c r="G504" t="s">
        <v>2900</v>
      </c>
      <c r="H504" t="s">
        <v>2961</v>
      </c>
      <c r="I504" t="s">
        <v>2231</v>
      </c>
      <c r="J504" t="s">
        <v>2746</v>
      </c>
      <c r="K504" t="s">
        <v>2850</v>
      </c>
      <c r="L504">
        <v>0</v>
      </c>
      <c r="M504">
        <v>0</v>
      </c>
      <c r="O504">
        <v>0</v>
      </c>
      <c r="P504">
        <v>0</v>
      </c>
      <c r="Q504">
        <v>0</v>
      </c>
      <c r="R504" s="49"/>
      <c r="T504" t="s">
        <v>2468</v>
      </c>
      <c r="U504" t="s">
        <v>127</v>
      </c>
      <c r="V504" t="s">
        <v>140</v>
      </c>
      <c r="W504">
        <v>320</v>
      </c>
      <c r="X504">
        <v>0</v>
      </c>
      <c r="AA504" t="s">
        <v>141</v>
      </c>
      <c r="AB504" t="s">
        <v>142</v>
      </c>
      <c r="AC504">
        <v>11611</v>
      </c>
      <c r="AD504">
        <v>11612</v>
      </c>
      <c r="AF504">
        <v>1</v>
      </c>
    </row>
    <row r="505" spans="1:32">
      <c r="A505">
        <v>1</v>
      </c>
      <c r="E505" t="s">
        <v>3356</v>
      </c>
      <c r="F505">
        <v>24</v>
      </c>
      <c r="G505" t="s">
        <v>2900</v>
      </c>
      <c r="H505" t="s">
        <v>2961</v>
      </c>
      <c r="I505" t="s">
        <v>2231</v>
      </c>
      <c r="J505" t="s">
        <v>2094</v>
      </c>
      <c r="K505" t="s">
        <v>2852</v>
      </c>
      <c r="L505">
        <v>0</v>
      </c>
      <c r="M505">
        <v>0</v>
      </c>
      <c r="O505">
        <v>0</v>
      </c>
      <c r="P505">
        <v>0</v>
      </c>
      <c r="Q505">
        <v>0</v>
      </c>
      <c r="R505" s="49"/>
      <c r="T505" t="s">
        <v>2468</v>
      </c>
      <c r="U505" t="s">
        <v>127</v>
      </c>
      <c r="V505" t="s">
        <v>140</v>
      </c>
      <c r="W505">
        <v>250</v>
      </c>
      <c r="X505">
        <v>0</v>
      </c>
      <c r="AA505" t="s">
        <v>141</v>
      </c>
      <c r="AB505" t="s">
        <v>142</v>
      </c>
      <c r="AC505">
        <v>11611</v>
      </c>
      <c r="AD505">
        <v>11612</v>
      </c>
      <c r="AF505">
        <v>1</v>
      </c>
    </row>
    <row r="506" spans="1:32">
      <c r="A506">
        <v>1</v>
      </c>
      <c r="E506" t="s">
        <v>3357</v>
      </c>
      <c r="F506">
        <v>24</v>
      </c>
      <c r="G506" t="s">
        <v>2900</v>
      </c>
      <c r="H506" t="s">
        <v>2961</v>
      </c>
      <c r="I506" t="s">
        <v>2231</v>
      </c>
      <c r="J506" t="s">
        <v>2092</v>
      </c>
      <c r="K506" t="s">
        <v>2852</v>
      </c>
      <c r="L506">
        <v>0</v>
      </c>
      <c r="M506">
        <v>0</v>
      </c>
      <c r="O506">
        <v>0</v>
      </c>
      <c r="P506">
        <v>0</v>
      </c>
      <c r="Q506">
        <v>0</v>
      </c>
      <c r="R506" s="49"/>
      <c r="T506" t="s">
        <v>2468</v>
      </c>
      <c r="U506" t="s">
        <v>127</v>
      </c>
      <c r="V506" t="s">
        <v>140</v>
      </c>
      <c r="W506">
        <v>250</v>
      </c>
      <c r="X506">
        <v>0</v>
      </c>
      <c r="AA506" t="s">
        <v>141</v>
      </c>
      <c r="AB506" t="s">
        <v>142</v>
      </c>
      <c r="AC506">
        <v>11611</v>
      </c>
      <c r="AD506">
        <v>11612</v>
      </c>
      <c r="AF506">
        <v>1</v>
      </c>
    </row>
    <row r="507" spans="1:32">
      <c r="A507">
        <v>1</v>
      </c>
      <c r="E507" t="s">
        <v>3358</v>
      </c>
      <c r="F507">
        <v>24</v>
      </c>
      <c r="G507" t="s">
        <v>2900</v>
      </c>
      <c r="H507" t="s">
        <v>2961</v>
      </c>
      <c r="I507" t="s">
        <v>2231</v>
      </c>
      <c r="J507" t="s">
        <v>2100</v>
      </c>
      <c r="K507" t="s">
        <v>2852</v>
      </c>
      <c r="L507">
        <v>0</v>
      </c>
      <c r="M507">
        <v>0</v>
      </c>
      <c r="O507">
        <v>0</v>
      </c>
      <c r="P507">
        <v>0</v>
      </c>
      <c r="Q507">
        <v>0</v>
      </c>
      <c r="R507" s="49"/>
      <c r="T507" t="s">
        <v>2468</v>
      </c>
      <c r="U507" t="s">
        <v>127</v>
      </c>
      <c r="V507" t="s">
        <v>140</v>
      </c>
      <c r="W507">
        <v>250</v>
      </c>
      <c r="X507">
        <v>0</v>
      </c>
      <c r="AA507" t="s">
        <v>141</v>
      </c>
      <c r="AB507" t="s">
        <v>142</v>
      </c>
      <c r="AC507">
        <v>11611</v>
      </c>
      <c r="AD507">
        <v>11612</v>
      </c>
      <c r="AF507">
        <v>1</v>
      </c>
    </row>
    <row r="508" spans="1:32">
      <c r="A508">
        <v>1</v>
      </c>
      <c r="E508" t="s">
        <v>3359</v>
      </c>
      <c r="F508">
        <v>24</v>
      </c>
      <c r="G508" t="s">
        <v>2900</v>
      </c>
      <c r="H508" t="s">
        <v>2961</v>
      </c>
      <c r="I508" t="s">
        <v>2231</v>
      </c>
      <c r="J508" t="s">
        <v>2098</v>
      </c>
      <c r="K508" t="s">
        <v>2852</v>
      </c>
      <c r="L508">
        <v>0</v>
      </c>
      <c r="M508">
        <v>0</v>
      </c>
      <c r="O508">
        <v>0</v>
      </c>
      <c r="P508">
        <v>0</v>
      </c>
      <c r="Q508">
        <v>0</v>
      </c>
      <c r="R508" s="49"/>
      <c r="T508" t="s">
        <v>2468</v>
      </c>
      <c r="U508" t="s">
        <v>127</v>
      </c>
      <c r="V508" t="s">
        <v>140</v>
      </c>
      <c r="W508">
        <v>250</v>
      </c>
      <c r="X508">
        <v>0</v>
      </c>
      <c r="AA508" t="s">
        <v>141</v>
      </c>
      <c r="AB508" t="s">
        <v>142</v>
      </c>
      <c r="AC508">
        <v>11611</v>
      </c>
      <c r="AD508">
        <v>11612</v>
      </c>
      <c r="AF508">
        <v>1</v>
      </c>
    </row>
    <row r="509" spans="1:32">
      <c r="A509">
        <v>1</v>
      </c>
      <c r="E509" t="s">
        <v>3360</v>
      </c>
      <c r="F509">
        <v>24</v>
      </c>
      <c r="G509" t="s">
        <v>2900</v>
      </c>
      <c r="H509" t="s">
        <v>2961</v>
      </c>
      <c r="I509" t="s">
        <v>2231</v>
      </c>
      <c r="J509" t="s">
        <v>2096</v>
      </c>
      <c r="K509" t="s">
        <v>2852</v>
      </c>
      <c r="L509">
        <v>0</v>
      </c>
      <c r="M509">
        <v>0</v>
      </c>
      <c r="O509">
        <v>0</v>
      </c>
      <c r="P509">
        <v>0</v>
      </c>
      <c r="Q509">
        <v>0</v>
      </c>
      <c r="R509" s="49"/>
      <c r="T509" t="s">
        <v>2468</v>
      </c>
      <c r="U509" t="s">
        <v>127</v>
      </c>
      <c r="V509" t="s">
        <v>140</v>
      </c>
      <c r="W509">
        <v>250</v>
      </c>
      <c r="X509">
        <v>0</v>
      </c>
      <c r="AA509" t="s">
        <v>141</v>
      </c>
      <c r="AB509" t="s">
        <v>142</v>
      </c>
      <c r="AC509">
        <v>11611</v>
      </c>
      <c r="AD509">
        <v>11612</v>
      </c>
      <c r="AF509">
        <v>1</v>
      </c>
    </row>
    <row r="510" spans="1:32">
      <c r="A510">
        <v>1</v>
      </c>
      <c r="E510" t="s">
        <v>3361</v>
      </c>
      <c r="F510">
        <v>24</v>
      </c>
      <c r="G510" t="s">
        <v>2900</v>
      </c>
      <c r="H510" t="s">
        <v>2961</v>
      </c>
      <c r="I510" t="s">
        <v>2231</v>
      </c>
      <c r="J510" t="s">
        <v>2106</v>
      </c>
      <c r="K510" t="s">
        <v>2852</v>
      </c>
      <c r="L510">
        <v>0</v>
      </c>
      <c r="M510">
        <v>0</v>
      </c>
      <c r="O510">
        <v>0</v>
      </c>
      <c r="P510">
        <v>0</v>
      </c>
      <c r="Q510">
        <v>0</v>
      </c>
      <c r="R510" s="49"/>
      <c r="T510" t="s">
        <v>2468</v>
      </c>
      <c r="U510" t="s">
        <v>127</v>
      </c>
      <c r="V510" t="s">
        <v>140</v>
      </c>
      <c r="W510">
        <v>250</v>
      </c>
      <c r="X510">
        <v>0</v>
      </c>
      <c r="AA510" t="s">
        <v>141</v>
      </c>
      <c r="AB510" t="s">
        <v>142</v>
      </c>
      <c r="AC510">
        <v>11611</v>
      </c>
      <c r="AD510">
        <v>11612</v>
      </c>
      <c r="AF510">
        <v>1</v>
      </c>
    </row>
    <row r="511" spans="1:32">
      <c r="A511">
        <v>1</v>
      </c>
      <c r="E511" t="s">
        <v>3362</v>
      </c>
      <c r="F511">
        <v>24</v>
      </c>
      <c r="G511" t="s">
        <v>2900</v>
      </c>
      <c r="H511" t="s">
        <v>2961</v>
      </c>
      <c r="I511" t="s">
        <v>2231</v>
      </c>
      <c r="J511" t="s">
        <v>2104</v>
      </c>
      <c r="K511" t="s">
        <v>2852</v>
      </c>
      <c r="L511">
        <v>0</v>
      </c>
      <c r="M511">
        <v>0</v>
      </c>
      <c r="O511">
        <v>0</v>
      </c>
      <c r="P511">
        <v>0</v>
      </c>
      <c r="Q511">
        <v>0</v>
      </c>
      <c r="R511" s="49"/>
      <c r="T511" t="s">
        <v>2468</v>
      </c>
      <c r="U511" t="s">
        <v>127</v>
      </c>
      <c r="V511" t="s">
        <v>140</v>
      </c>
      <c r="W511">
        <v>250</v>
      </c>
      <c r="X511">
        <v>0</v>
      </c>
      <c r="AA511" t="s">
        <v>141</v>
      </c>
      <c r="AB511" t="s">
        <v>142</v>
      </c>
      <c r="AC511">
        <v>11611</v>
      </c>
      <c r="AD511">
        <v>11612</v>
      </c>
      <c r="AF511">
        <v>1</v>
      </c>
    </row>
    <row r="512" spans="1:32">
      <c r="A512">
        <v>1</v>
      </c>
      <c r="E512" t="s">
        <v>3363</v>
      </c>
      <c r="F512">
        <v>24</v>
      </c>
      <c r="G512" t="s">
        <v>2900</v>
      </c>
      <c r="H512" t="s">
        <v>2961</v>
      </c>
      <c r="I512" t="s">
        <v>2231</v>
      </c>
      <c r="J512" t="s">
        <v>2102</v>
      </c>
      <c r="K512" t="s">
        <v>2852</v>
      </c>
      <c r="L512">
        <v>0</v>
      </c>
      <c r="M512">
        <v>0</v>
      </c>
      <c r="O512">
        <v>0</v>
      </c>
      <c r="P512">
        <v>0</v>
      </c>
      <c r="Q512">
        <v>0</v>
      </c>
      <c r="R512" s="49"/>
      <c r="T512" t="s">
        <v>2468</v>
      </c>
      <c r="U512" t="s">
        <v>127</v>
      </c>
      <c r="V512" t="s">
        <v>140</v>
      </c>
      <c r="W512">
        <v>250</v>
      </c>
      <c r="X512">
        <v>0</v>
      </c>
      <c r="AA512" t="s">
        <v>141</v>
      </c>
      <c r="AB512" t="s">
        <v>142</v>
      </c>
      <c r="AC512">
        <v>11611</v>
      </c>
      <c r="AD512">
        <v>11612</v>
      </c>
      <c r="AF512">
        <v>1</v>
      </c>
    </row>
    <row r="513" spans="1:32">
      <c r="A513">
        <v>1</v>
      </c>
      <c r="E513" t="s">
        <v>3364</v>
      </c>
      <c r="F513">
        <v>6</v>
      </c>
      <c r="G513" t="s">
        <v>2900</v>
      </c>
      <c r="H513" t="s">
        <v>2961</v>
      </c>
      <c r="I513" t="s">
        <v>2243</v>
      </c>
      <c r="J513" t="s">
        <v>2108</v>
      </c>
      <c r="K513" t="s">
        <v>2859</v>
      </c>
      <c r="L513">
        <v>0</v>
      </c>
      <c r="M513">
        <v>0</v>
      </c>
      <c r="O513">
        <v>0</v>
      </c>
      <c r="P513">
        <v>0</v>
      </c>
      <c r="Q513">
        <v>0</v>
      </c>
      <c r="R513" s="49"/>
      <c r="T513" t="s">
        <v>2468</v>
      </c>
      <c r="U513" t="s">
        <v>127</v>
      </c>
      <c r="V513" t="s">
        <v>140</v>
      </c>
      <c r="W513">
        <v>0</v>
      </c>
      <c r="X513">
        <v>0</v>
      </c>
      <c r="AA513" t="s">
        <v>141</v>
      </c>
      <c r="AB513" t="s">
        <v>142</v>
      </c>
      <c r="AC513">
        <v>11611</v>
      </c>
      <c r="AD513">
        <v>11612</v>
      </c>
      <c r="AF513">
        <v>1</v>
      </c>
    </row>
    <row r="514" spans="1:32">
      <c r="A514">
        <v>1</v>
      </c>
      <c r="E514" t="s">
        <v>3365</v>
      </c>
      <c r="F514">
        <v>96</v>
      </c>
      <c r="G514" t="s">
        <v>2900</v>
      </c>
      <c r="H514" t="s">
        <v>2961</v>
      </c>
      <c r="I514" t="s">
        <v>2245</v>
      </c>
      <c r="J514" t="s">
        <v>2747</v>
      </c>
      <c r="K514" t="s">
        <v>2860</v>
      </c>
      <c r="L514">
        <v>0</v>
      </c>
      <c r="M514">
        <v>0</v>
      </c>
      <c r="O514">
        <v>0</v>
      </c>
      <c r="P514">
        <v>0</v>
      </c>
      <c r="Q514">
        <v>0</v>
      </c>
      <c r="R514" s="49"/>
      <c r="T514" t="s">
        <v>2468</v>
      </c>
      <c r="U514" t="s">
        <v>127</v>
      </c>
      <c r="V514" t="s">
        <v>140</v>
      </c>
      <c r="W514">
        <v>30</v>
      </c>
      <c r="X514">
        <v>0</v>
      </c>
      <c r="AA514" t="s">
        <v>141</v>
      </c>
      <c r="AB514" t="s">
        <v>142</v>
      </c>
      <c r="AC514">
        <v>11611</v>
      </c>
      <c r="AD514">
        <v>11612</v>
      </c>
      <c r="AF514">
        <v>1</v>
      </c>
    </row>
    <row r="515" spans="1:32">
      <c r="A515">
        <v>1</v>
      </c>
      <c r="E515" t="s">
        <v>3366</v>
      </c>
      <c r="F515">
        <v>48</v>
      </c>
      <c r="G515" t="s">
        <v>2900</v>
      </c>
      <c r="H515" t="s">
        <v>2961</v>
      </c>
      <c r="I515" t="s">
        <v>2245</v>
      </c>
      <c r="J515" t="s">
        <v>2748</v>
      </c>
      <c r="K515" t="s">
        <v>2851</v>
      </c>
      <c r="L515">
        <v>0</v>
      </c>
      <c r="M515">
        <v>0</v>
      </c>
      <c r="O515">
        <v>0</v>
      </c>
      <c r="P515">
        <v>0</v>
      </c>
      <c r="Q515">
        <v>0</v>
      </c>
      <c r="R515" s="49"/>
      <c r="T515" t="s">
        <v>2468</v>
      </c>
      <c r="U515" t="s">
        <v>127</v>
      </c>
      <c r="V515" t="s">
        <v>140</v>
      </c>
      <c r="W515">
        <v>70</v>
      </c>
      <c r="X515">
        <v>0</v>
      </c>
      <c r="AA515" t="s">
        <v>141</v>
      </c>
      <c r="AB515" t="s">
        <v>142</v>
      </c>
      <c r="AC515">
        <v>11611</v>
      </c>
      <c r="AD515">
        <v>11612</v>
      </c>
      <c r="AF515">
        <v>1</v>
      </c>
    </row>
    <row r="516" spans="1:32">
      <c r="A516">
        <v>1</v>
      </c>
      <c r="E516" t="s">
        <v>3367</v>
      </c>
      <c r="F516">
        <v>36</v>
      </c>
      <c r="G516" t="s">
        <v>2900</v>
      </c>
      <c r="H516" t="s">
        <v>2961</v>
      </c>
      <c r="I516" t="s">
        <v>2233</v>
      </c>
      <c r="J516" t="s">
        <v>2749</v>
      </c>
      <c r="K516" t="s">
        <v>2847</v>
      </c>
      <c r="L516">
        <v>0</v>
      </c>
      <c r="M516">
        <v>0</v>
      </c>
      <c r="O516">
        <v>0</v>
      </c>
      <c r="P516">
        <v>0</v>
      </c>
      <c r="Q516">
        <v>0</v>
      </c>
      <c r="R516" s="49"/>
      <c r="T516" t="s">
        <v>2468</v>
      </c>
      <c r="U516" t="s">
        <v>127</v>
      </c>
      <c r="V516" t="s">
        <v>140</v>
      </c>
      <c r="W516">
        <v>70</v>
      </c>
      <c r="X516">
        <v>0</v>
      </c>
      <c r="AA516" t="s">
        <v>141</v>
      </c>
      <c r="AB516" t="s">
        <v>142</v>
      </c>
      <c r="AC516">
        <v>11611</v>
      </c>
      <c r="AD516">
        <v>11612</v>
      </c>
      <c r="AF516">
        <v>1</v>
      </c>
    </row>
    <row r="517" spans="1:32">
      <c r="A517">
        <v>2</v>
      </c>
      <c r="E517" t="s">
        <v>3368</v>
      </c>
      <c r="F517">
        <v>36</v>
      </c>
      <c r="G517" t="s">
        <v>2900</v>
      </c>
      <c r="H517" t="s">
        <v>2961</v>
      </c>
      <c r="I517" t="s">
        <v>2233</v>
      </c>
      <c r="J517" t="s">
        <v>2750</v>
      </c>
      <c r="K517" t="s">
        <v>2847</v>
      </c>
      <c r="L517">
        <v>0</v>
      </c>
      <c r="M517">
        <v>0</v>
      </c>
      <c r="O517">
        <v>0</v>
      </c>
      <c r="P517">
        <v>0</v>
      </c>
      <c r="Q517">
        <v>0</v>
      </c>
      <c r="R517" s="49"/>
      <c r="T517" t="s">
        <v>2468</v>
      </c>
      <c r="U517" t="s">
        <v>127</v>
      </c>
      <c r="V517" t="s">
        <v>140</v>
      </c>
      <c r="W517">
        <v>70</v>
      </c>
      <c r="X517">
        <v>0</v>
      </c>
      <c r="AA517" t="s">
        <v>141</v>
      </c>
      <c r="AB517" t="s">
        <v>142</v>
      </c>
      <c r="AC517">
        <v>11611</v>
      </c>
      <c r="AD517">
        <v>11612</v>
      </c>
      <c r="AF517">
        <v>1</v>
      </c>
    </row>
    <row r="518" spans="1:32">
      <c r="A518">
        <v>1</v>
      </c>
      <c r="E518" t="s">
        <v>3369</v>
      </c>
      <c r="F518">
        <v>36</v>
      </c>
      <c r="G518" t="s">
        <v>2900</v>
      </c>
      <c r="H518" t="s">
        <v>2961</v>
      </c>
      <c r="I518" t="s">
        <v>2233</v>
      </c>
      <c r="J518" t="s">
        <v>2751</v>
      </c>
      <c r="K518" t="s">
        <v>2847</v>
      </c>
      <c r="L518">
        <v>0</v>
      </c>
      <c r="M518">
        <v>0</v>
      </c>
      <c r="O518">
        <v>0</v>
      </c>
      <c r="P518">
        <v>0</v>
      </c>
      <c r="Q518">
        <v>0</v>
      </c>
      <c r="R518" s="49"/>
      <c r="T518" t="s">
        <v>2468</v>
      </c>
      <c r="U518" t="s">
        <v>127</v>
      </c>
      <c r="V518" t="s">
        <v>140</v>
      </c>
      <c r="W518">
        <v>150</v>
      </c>
      <c r="X518">
        <v>0</v>
      </c>
      <c r="AA518" t="s">
        <v>141</v>
      </c>
      <c r="AB518" t="s">
        <v>142</v>
      </c>
      <c r="AC518">
        <v>11611</v>
      </c>
      <c r="AD518">
        <v>11612</v>
      </c>
      <c r="AF518">
        <v>1</v>
      </c>
    </row>
    <row r="519" spans="1:32">
      <c r="A519">
        <v>2</v>
      </c>
      <c r="E519" t="s">
        <v>2900</v>
      </c>
      <c r="F519">
        <v>0</v>
      </c>
      <c r="G519" t="s">
        <v>2900</v>
      </c>
      <c r="H519" t="s">
        <v>2961</v>
      </c>
      <c r="I519" t="s">
        <v>2233</v>
      </c>
      <c r="J519" t="s">
        <v>2752</v>
      </c>
      <c r="K519" t="s">
        <v>2858</v>
      </c>
      <c r="L519">
        <v>0</v>
      </c>
      <c r="M519">
        <v>0</v>
      </c>
      <c r="O519">
        <v>0</v>
      </c>
      <c r="P519">
        <v>0</v>
      </c>
      <c r="Q519">
        <v>0</v>
      </c>
      <c r="R519" s="49"/>
      <c r="T519" t="s">
        <v>2468</v>
      </c>
      <c r="U519" t="s">
        <v>127</v>
      </c>
      <c r="V519" t="s">
        <v>140</v>
      </c>
      <c r="W519">
        <v>150</v>
      </c>
      <c r="X519">
        <v>0</v>
      </c>
      <c r="AA519" t="s">
        <v>141</v>
      </c>
      <c r="AB519" t="s">
        <v>142</v>
      </c>
      <c r="AC519">
        <v>11611</v>
      </c>
      <c r="AD519">
        <v>11612</v>
      </c>
      <c r="AF519">
        <v>1</v>
      </c>
    </row>
    <row r="520" spans="1:32">
      <c r="A520">
        <v>1</v>
      </c>
      <c r="E520" t="s">
        <v>3370</v>
      </c>
      <c r="F520">
        <v>36</v>
      </c>
      <c r="G520" t="s">
        <v>2900</v>
      </c>
      <c r="H520" t="s">
        <v>2961</v>
      </c>
      <c r="I520" t="s">
        <v>2233</v>
      </c>
      <c r="J520" t="s">
        <v>2118</v>
      </c>
      <c r="K520" t="s">
        <v>2847</v>
      </c>
      <c r="L520">
        <v>0</v>
      </c>
      <c r="M520">
        <v>0</v>
      </c>
      <c r="O520">
        <v>0</v>
      </c>
      <c r="P520">
        <v>0</v>
      </c>
      <c r="Q520">
        <v>0</v>
      </c>
      <c r="R520" s="49"/>
      <c r="T520" t="s">
        <v>2468</v>
      </c>
      <c r="U520" t="s">
        <v>127</v>
      </c>
      <c r="V520" t="s">
        <v>140</v>
      </c>
      <c r="W520">
        <v>150</v>
      </c>
      <c r="X520">
        <v>0</v>
      </c>
      <c r="AA520" t="s">
        <v>141</v>
      </c>
      <c r="AB520" t="s">
        <v>142</v>
      </c>
      <c r="AC520">
        <v>11611</v>
      </c>
      <c r="AD520">
        <v>11612</v>
      </c>
      <c r="AF520">
        <v>1</v>
      </c>
    </row>
    <row r="521" spans="1:32">
      <c r="A521">
        <v>1</v>
      </c>
      <c r="E521" t="s">
        <v>3371</v>
      </c>
      <c r="F521">
        <v>12</v>
      </c>
      <c r="G521" t="s">
        <v>2900</v>
      </c>
      <c r="H521" t="s">
        <v>2961</v>
      </c>
      <c r="I521" t="s">
        <v>2233</v>
      </c>
      <c r="J521" t="s">
        <v>2753</v>
      </c>
      <c r="K521" t="s">
        <v>2850</v>
      </c>
      <c r="L521">
        <v>0</v>
      </c>
      <c r="M521">
        <v>0</v>
      </c>
      <c r="O521">
        <v>0</v>
      </c>
      <c r="P521">
        <v>0</v>
      </c>
      <c r="Q521">
        <v>0</v>
      </c>
      <c r="R521" s="49"/>
      <c r="T521" t="s">
        <v>2468</v>
      </c>
      <c r="U521" t="s">
        <v>127</v>
      </c>
      <c r="V521" t="s">
        <v>140</v>
      </c>
      <c r="W521">
        <v>450</v>
      </c>
      <c r="X521">
        <v>0</v>
      </c>
      <c r="AA521" t="s">
        <v>141</v>
      </c>
      <c r="AB521" t="s">
        <v>142</v>
      </c>
      <c r="AC521">
        <v>11611</v>
      </c>
      <c r="AD521">
        <v>11612</v>
      </c>
      <c r="AF521">
        <v>1</v>
      </c>
    </row>
    <row r="522" spans="1:32">
      <c r="A522">
        <v>1</v>
      </c>
      <c r="E522" t="s">
        <v>3372</v>
      </c>
      <c r="F522">
        <v>12</v>
      </c>
      <c r="G522" t="s">
        <v>2900</v>
      </c>
      <c r="H522" t="s">
        <v>2961</v>
      </c>
      <c r="I522" t="s">
        <v>2233</v>
      </c>
      <c r="J522" t="s">
        <v>2754</v>
      </c>
      <c r="K522" t="s">
        <v>2850</v>
      </c>
      <c r="L522">
        <v>0</v>
      </c>
      <c r="M522">
        <v>0</v>
      </c>
      <c r="O522">
        <v>0</v>
      </c>
      <c r="P522">
        <v>0</v>
      </c>
      <c r="Q522">
        <v>0</v>
      </c>
      <c r="R522" s="49"/>
      <c r="T522" t="s">
        <v>2468</v>
      </c>
      <c r="U522" t="s">
        <v>127</v>
      </c>
      <c r="V522" t="s">
        <v>140</v>
      </c>
      <c r="W522">
        <v>450</v>
      </c>
      <c r="X522">
        <v>0</v>
      </c>
      <c r="AA522" t="s">
        <v>141</v>
      </c>
      <c r="AB522" t="s">
        <v>142</v>
      </c>
      <c r="AC522">
        <v>11611</v>
      </c>
      <c r="AD522">
        <v>11612</v>
      </c>
      <c r="AF522">
        <v>1</v>
      </c>
    </row>
    <row r="523" spans="1:32">
      <c r="A523">
        <v>1</v>
      </c>
      <c r="E523" t="s">
        <v>3373</v>
      </c>
      <c r="F523">
        <v>12</v>
      </c>
      <c r="G523" t="s">
        <v>2900</v>
      </c>
      <c r="H523" t="s">
        <v>2961</v>
      </c>
      <c r="I523" t="s">
        <v>2233</v>
      </c>
      <c r="J523" t="s">
        <v>2124</v>
      </c>
      <c r="K523" t="s">
        <v>2850</v>
      </c>
      <c r="L523">
        <v>0</v>
      </c>
      <c r="M523">
        <v>0</v>
      </c>
      <c r="O523">
        <v>0</v>
      </c>
      <c r="P523">
        <v>0</v>
      </c>
      <c r="Q523">
        <v>0</v>
      </c>
      <c r="R523" s="49"/>
      <c r="T523" t="s">
        <v>2468</v>
      </c>
      <c r="U523" t="s">
        <v>127</v>
      </c>
      <c r="V523" t="s">
        <v>140</v>
      </c>
      <c r="W523">
        <v>450</v>
      </c>
      <c r="X523">
        <v>0</v>
      </c>
      <c r="AA523" t="s">
        <v>141</v>
      </c>
      <c r="AB523" t="s">
        <v>142</v>
      </c>
      <c r="AC523">
        <v>11611</v>
      </c>
      <c r="AD523">
        <v>11612</v>
      </c>
      <c r="AF523">
        <v>1</v>
      </c>
    </row>
    <row r="524" spans="1:32">
      <c r="A524">
        <v>1</v>
      </c>
      <c r="E524" t="s">
        <v>3374</v>
      </c>
      <c r="F524">
        <v>12</v>
      </c>
      <c r="G524" t="s">
        <v>2900</v>
      </c>
      <c r="H524" t="s">
        <v>2961</v>
      </c>
      <c r="I524" t="s">
        <v>2233</v>
      </c>
      <c r="J524" t="s">
        <v>2126</v>
      </c>
      <c r="K524" t="s">
        <v>2850</v>
      </c>
      <c r="L524">
        <v>0</v>
      </c>
      <c r="M524">
        <v>0</v>
      </c>
      <c r="O524">
        <v>0</v>
      </c>
      <c r="P524">
        <v>0</v>
      </c>
      <c r="Q524">
        <v>0</v>
      </c>
      <c r="R524" s="49"/>
      <c r="T524" t="s">
        <v>2468</v>
      </c>
      <c r="U524" t="s">
        <v>127</v>
      </c>
      <c r="V524" t="s">
        <v>140</v>
      </c>
      <c r="W524">
        <v>500</v>
      </c>
      <c r="X524">
        <v>0</v>
      </c>
      <c r="AA524" t="s">
        <v>141</v>
      </c>
      <c r="AB524" t="s">
        <v>142</v>
      </c>
      <c r="AC524">
        <v>11611</v>
      </c>
      <c r="AD524">
        <v>11612</v>
      </c>
      <c r="AF524">
        <v>1</v>
      </c>
    </row>
    <row r="525" spans="1:32">
      <c r="A525">
        <v>1</v>
      </c>
      <c r="E525" t="s">
        <v>3375</v>
      </c>
      <c r="F525">
        <v>12</v>
      </c>
      <c r="G525" t="s">
        <v>2900</v>
      </c>
      <c r="H525" t="s">
        <v>2961</v>
      </c>
      <c r="I525" t="s">
        <v>2233</v>
      </c>
      <c r="J525" t="s">
        <v>2755</v>
      </c>
      <c r="K525" t="s">
        <v>2850</v>
      </c>
      <c r="L525">
        <v>0</v>
      </c>
      <c r="M525">
        <v>0</v>
      </c>
      <c r="O525">
        <v>0</v>
      </c>
      <c r="P525">
        <v>0</v>
      </c>
      <c r="Q525">
        <v>0</v>
      </c>
      <c r="R525" s="49"/>
      <c r="T525" t="s">
        <v>2468</v>
      </c>
      <c r="U525" t="s">
        <v>127</v>
      </c>
      <c r="V525" t="s">
        <v>140</v>
      </c>
      <c r="W525">
        <v>900</v>
      </c>
      <c r="X525">
        <v>0</v>
      </c>
      <c r="AA525" t="s">
        <v>141</v>
      </c>
      <c r="AB525" t="s">
        <v>142</v>
      </c>
      <c r="AC525">
        <v>11611</v>
      </c>
      <c r="AD525">
        <v>11612</v>
      </c>
      <c r="AF525">
        <v>1</v>
      </c>
    </row>
    <row r="526" spans="1:32">
      <c r="A526">
        <v>1</v>
      </c>
      <c r="E526" t="s">
        <v>3376</v>
      </c>
      <c r="F526">
        <v>12</v>
      </c>
      <c r="G526" t="s">
        <v>2900</v>
      </c>
      <c r="H526" t="s">
        <v>2961</v>
      </c>
      <c r="I526" t="s">
        <v>2233</v>
      </c>
      <c r="J526" t="s">
        <v>2756</v>
      </c>
      <c r="K526" t="s">
        <v>2850</v>
      </c>
      <c r="L526">
        <v>0</v>
      </c>
      <c r="M526">
        <v>0</v>
      </c>
      <c r="O526">
        <v>0</v>
      </c>
      <c r="P526">
        <v>0</v>
      </c>
      <c r="Q526">
        <v>0</v>
      </c>
      <c r="R526" s="49"/>
      <c r="T526" t="s">
        <v>2468</v>
      </c>
      <c r="U526" t="s">
        <v>127</v>
      </c>
      <c r="V526" t="s">
        <v>140</v>
      </c>
      <c r="W526">
        <v>900</v>
      </c>
      <c r="X526">
        <v>0</v>
      </c>
      <c r="AA526" t="s">
        <v>141</v>
      </c>
      <c r="AB526" t="s">
        <v>142</v>
      </c>
      <c r="AC526">
        <v>11611</v>
      </c>
      <c r="AD526">
        <v>11612</v>
      </c>
      <c r="AF526">
        <v>1</v>
      </c>
    </row>
    <row r="527" spans="1:32">
      <c r="A527">
        <v>1</v>
      </c>
      <c r="E527" t="s">
        <v>3377</v>
      </c>
      <c r="F527">
        <v>36</v>
      </c>
      <c r="G527" t="s">
        <v>2900</v>
      </c>
      <c r="H527" t="s">
        <v>2961</v>
      </c>
      <c r="I527" t="s">
        <v>2235</v>
      </c>
      <c r="J527" t="s">
        <v>2757</v>
      </c>
      <c r="K527" t="s">
        <v>2847</v>
      </c>
      <c r="L527">
        <v>0</v>
      </c>
      <c r="M527">
        <v>0</v>
      </c>
      <c r="O527">
        <v>0</v>
      </c>
      <c r="P527">
        <v>0</v>
      </c>
      <c r="Q527">
        <v>0</v>
      </c>
      <c r="R527" s="49"/>
      <c r="T527" t="s">
        <v>2468</v>
      </c>
      <c r="U527" t="s">
        <v>127</v>
      </c>
      <c r="V527" t="s">
        <v>140</v>
      </c>
      <c r="W527">
        <v>80</v>
      </c>
      <c r="X527">
        <v>0</v>
      </c>
      <c r="AA527" t="s">
        <v>141</v>
      </c>
      <c r="AB527" t="s">
        <v>142</v>
      </c>
      <c r="AC527">
        <v>11611</v>
      </c>
      <c r="AD527">
        <v>11612</v>
      </c>
      <c r="AF527">
        <v>1</v>
      </c>
    </row>
    <row r="528" spans="1:32">
      <c r="A528">
        <v>1</v>
      </c>
      <c r="E528" t="s">
        <v>3378</v>
      </c>
      <c r="F528">
        <v>6</v>
      </c>
      <c r="G528" t="s">
        <v>2900</v>
      </c>
      <c r="H528" t="s">
        <v>2961</v>
      </c>
      <c r="I528" t="s">
        <v>2237</v>
      </c>
      <c r="J528" t="s">
        <v>2134</v>
      </c>
      <c r="K528" t="s">
        <v>2859</v>
      </c>
      <c r="L528">
        <v>0</v>
      </c>
      <c r="M528">
        <v>0</v>
      </c>
      <c r="O528">
        <v>0</v>
      </c>
      <c r="P528">
        <v>0</v>
      </c>
      <c r="Q528">
        <v>0</v>
      </c>
      <c r="R528" s="49"/>
      <c r="T528" t="s">
        <v>2468</v>
      </c>
      <c r="U528" t="s">
        <v>127</v>
      </c>
      <c r="V528" t="s">
        <v>140</v>
      </c>
      <c r="W528">
        <v>0</v>
      </c>
      <c r="X528">
        <v>0</v>
      </c>
      <c r="AA528" t="s">
        <v>141</v>
      </c>
      <c r="AB528" t="s">
        <v>142</v>
      </c>
      <c r="AC528">
        <v>11611</v>
      </c>
      <c r="AD528">
        <v>11612</v>
      </c>
      <c r="AF528">
        <v>1</v>
      </c>
    </row>
    <row r="529" spans="1:32">
      <c r="A529">
        <v>1</v>
      </c>
      <c r="E529" t="s">
        <v>3379</v>
      </c>
      <c r="F529">
        <v>24</v>
      </c>
      <c r="G529" t="s">
        <v>2900</v>
      </c>
      <c r="H529" t="s">
        <v>2961</v>
      </c>
      <c r="I529" t="s">
        <v>2239</v>
      </c>
      <c r="J529" t="s">
        <v>2758</v>
      </c>
      <c r="K529" t="s">
        <v>2852</v>
      </c>
      <c r="L529">
        <v>0</v>
      </c>
      <c r="M529">
        <v>0</v>
      </c>
      <c r="O529">
        <v>0</v>
      </c>
      <c r="P529">
        <v>0</v>
      </c>
      <c r="Q529">
        <v>0</v>
      </c>
      <c r="R529" s="49"/>
      <c r="T529" t="s">
        <v>2468</v>
      </c>
      <c r="U529" t="s">
        <v>127</v>
      </c>
      <c r="V529" t="s">
        <v>140</v>
      </c>
      <c r="W529">
        <v>250</v>
      </c>
      <c r="X529">
        <v>0</v>
      </c>
      <c r="AA529" t="s">
        <v>141</v>
      </c>
      <c r="AB529" t="s">
        <v>142</v>
      </c>
      <c r="AC529">
        <v>11611</v>
      </c>
      <c r="AD529">
        <v>11612</v>
      </c>
      <c r="AF529">
        <v>1</v>
      </c>
    </row>
    <row r="530" spans="1:32">
      <c r="A530">
        <v>1</v>
      </c>
      <c r="E530" t="s">
        <v>3380</v>
      </c>
      <c r="F530">
        <v>24</v>
      </c>
      <c r="G530" t="s">
        <v>2900</v>
      </c>
      <c r="H530" t="s">
        <v>2961</v>
      </c>
      <c r="I530" t="s">
        <v>2239</v>
      </c>
      <c r="J530" t="s">
        <v>2759</v>
      </c>
      <c r="K530" t="s">
        <v>2852</v>
      </c>
      <c r="L530">
        <v>0</v>
      </c>
      <c r="M530">
        <v>0</v>
      </c>
      <c r="O530">
        <v>0</v>
      </c>
      <c r="P530">
        <v>0</v>
      </c>
      <c r="Q530">
        <v>0</v>
      </c>
      <c r="R530" s="49"/>
      <c r="T530" t="s">
        <v>2468</v>
      </c>
      <c r="U530" t="s">
        <v>127</v>
      </c>
      <c r="V530" t="s">
        <v>140</v>
      </c>
      <c r="W530">
        <v>300</v>
      </c>
      <c r="X530">
        <v>0</v>
      </c>
      <c r="AA530" t="s">
        <v>141</v>
      </c>
      <c r="AB530" t="s">
        <v>142</v>
      </c>
      <c r="AC530">
        <v>11611</v>
      </c>
      <c r="AD530">
        <v>11612</v>
      </c>
      <c r="AF530">
        <v>1</v>
      </c>
    </row>
    <row r="531" spans="1:32">
      <c r="A531">
        <v>1</v>
      </c>
      <c r="E531" t="s">
        <v>3381</v>
      </c>
      <c r="F531">
        <v>36</v>
      </c>
      <c r="G531" t="s">
        <v>2900</v>
      </c>
      <c r="H531" t="s">
        <v>2961</v>
      </c>
      <c r="I531" t="s">
        <v>2239</v>
      </c>
      <c r="J531" t="s">
        <v>2140</v>
      </c>
      <c r="K531" t="s">
        <v>2847</v>
      </c>
      <c r="L531">
        <v>0</v>
      </c>
      <c r="M531">
        <v>0</v>
      </c>
      <c r="O531">
        <v>0</v>
      </c>
      <c r="P531">
        <v>0</v>
      </c>
      <c r="Q531">
        <v>0</v>
      </c>
      <c r="R531" s="49"/>
      <c r="T531" t="s">
        <v>2468</v>
      </c>
      <c r="U531" t="s">
        <v>127</v>
      </c>
      <c r="V531" t="s">
        <v>140</v>
      </c>
      <c r="W531">
        <v>120</v>
      </c>
      <c r="X531">
        <v>0</v>
      </c>
      <c r="AA531" t="s">
        <v>141</v>
      </c>
      <c r="AB531" t="s">
        <v>142</v>
      </c>
      <c r="AC531">
        <v>11611</v>
      </c>
      <c r="AD531">
        <v>11612</v>
      </c>
      <c r="AF531">
        <v>1</v>
      </c>
    </row>
    <row r="532" spans="1:32">
      <c r="A532">
        <v>1</v>
      </c>
      <c r="E532" t="s">
        <v>3382</v>
      </c>
      <c r="F532">
        <v>36</v>
      </c>
      <c r="G532" t="s">
        <v>2900</v>
      </c>
      <c r="H532" t="s">
        <v>2961</v>
      </c>
      <c r="I532" t="s">
        <v>2239</v>
      </c>
      <c r="J532" t="s">
        <v>2142</v>
      </c>
      <c r="K532" t="s">
        <v>2847</v>
      </c>
      <c r="L532">
        <v>0</v>
      </c>
      <c r="M532">
        <v>0</v>
      </c>
      <c r="O532">
        <v>0</v>
      </c>
      <c r="P532">
        <v>0</v>
      </c>
      <c r="Q532">
        <v>0</v>
      </c>
      <c r="R532" s="49"/>
      <c r="T532" t="s">
        <v>2468</v>
      </c>
      <c r="U532" t="s">
        <v>127</v>
      </c>
      <c r="V532" t="s">
        <v>140</v>
      </c>
      <c r="W532">
        <v>250</v>
      </c>
      <c r="X532">
        <v>0</v>
      </c>
      <c r="AA532" t="s">
        <v>141</v>
      </c>
      <c r="AB532" t="s">
        <v>142</v>
      </c>
      <c r="AC532">
        <v>11611</v>
      </c>
      <c r="AD532">
        <v>11612</v>
      </c>
      <c r="AF532">
        <v>1</v>
      </c>
    </row>
    <row r="533" spans="1:32">
      <c r="A533">
        <v>1</v>
      </c>
      <c r="E533" t="s">
        <v>3383</v>
      </c>
      <c r="F533">
        <v>120</v>
      </c>
      <c r="G533" t="s">
        <v>2900</v>
      </c>
      <c r="H533" t="s">
        <v>2961</v>
      </c>
      <c r="I533" t="s">
        <v>2241</v>
      </c>
      <c r="J533" t="s">
        <v>2760</v>
      </c>
      <c r="K533" t="s">
        <v>2854</v>
      </c>
      <c r="L533">
        <v>0</v>
      </c>
      <c r="M533">
        <v>0</v>
      </c>
      <c r="O533">
        <v>0</v>
      </c>
      <c r="P533">
        <v>0</v>
      </c>
      <c r="Q533">
        <v>0</v>
      </c>
      <c r="R533" s="49"/>
      <c r="T533" t="s">
        <v>2468</v>
      </c>
      <c r="U533" t="s">
        <v>127</v>
      </c>
      <c r="V533" t="s">
        <v>140</v>
      </c>
      <c r="W533">
        <v>20</v>
      </c>
      <c r="X533">
        <v>0</v>
      </c>
      <c r="AA533" t="s">
        <v>141</v>
      </c>
      <c r="AB533" t="s">
        <v>142</v>
      </c>
      <c r="AC533">
        <v>11611</v>
      </c>
      <c r="AD533">
        <v>11612</v>
      </c>
      <c r="AF533">
        <v>1</v>
      </c>
    </row>
    <row r="534" spans="1:32">
      <c r="A534">
        <v>1</v>
      </c>
      <c r="E534" t="s">
        <v>3384</v>
      </c>
      <c r="F534">
        <v>12</v>
      </c>
      <c r="G534" t="s">
        <v>2900</v>
      </c>
      <c r="H534" t="s">
        <v>2961</v>
      </c>
      <c r="I534" t="s">
        <v>2241</v>
      </c>
      <c r="J534" t="s">
        <v>2146</v>
      </c>
      <c r="K534" t="s">
        <v>2850</v>
      </c>
      <c r="L534">
        <v>0</v>
      </c>
      <c r="M534">
        <v>0</v>
      </c>
      <c r="O534">
        <v>0</v>
      </c>
      <c r="P534">
        <v>0</v>
      </c>
      <c r="Q534">
        <v>0</v>
      </c>
      <c r="R534" s="49"/>
      <c r="T534" t="s">
        <v>2468</v>
      </c>
      <c r="U534" t="s">
        <v>127</v>
      </c>
      <c r="V534" t="s">
        <v>140</v>
      </c>
      <c r="W534">
        <v>450</v>
      </c>
      <c r="X534">
        <v>0</v>
      </c>
      <c r="AA534" t="s">
        <v>141</v>
      </c>
      <c r="AB534" t="s">
        <v>142</v>
      </c>
      <c r="AC534">
        <v>11611</v>
      </c>
      <c r="AD534">
        <v>11612</v>
      </c>
      <c r="AF534">
        <v>1</v>
      </c>
    </row>
    <row r="535" spans="1:32">
      <c r="A535">
        <v>1</v>
      </c>
      <c r="E535" t="s">
        <v>3385</v>
      </c>
      <c r="F535">
        <v>12</v>
      </c>
      <c r="G535" t="s">
        <v>2900</v>
      </c>
      <c r="H535" t="s">
        <v>2961</v>
      </c>
      <c r="I535" t="s">
        <v>2241</v>
      </c>
      <c r="J535" t="s">
        <v>2761</v>
      </c>
      <c r="K535" t="s">
        <v>2850</v>
      </c>
      <c r="L535">
        <v>0</v>
      </c>
      <c r="M535">
        <v>0</v>
      </c>
      <c r="O535">
        <v>0</v>
      </c>
      <c r="P535">
        <v>0</v>
      </c>
      <c r="Q535">
        <v>0</v>
      </c>
      <c r="R535" s="49"/>
      <c r="T535" t="s">
        <v>2468</v>
      </c>
      <c r="U535" t="s">
        <v>127</v>
      </c>
      <c r="V535" t="s">
        <v>140</v>
      </c>
      <c r="W535">
        <v>450</v>
      </c>
      <c r="X535">
        <v>0</v>
      </c>
      <c r="AA535" t="s">
        <v>141</v>
      </c>
      <c r="AB535" t="s">
        <v>142</v>
      </c>
      <c r="AC535">
        <v>11611</v>
      </c>
      <c r="AD535">
        <v>11612</v>
      </c>
      <c r="AF535">
        <v>1</v>
      </c>
    </row>
    <row r="536" spans="1:32">
      <c r="A536">
        <v>1</v>
      </c>
      <c r="E536" t="s">
        <v>3386</v>
      </c>
      <c r="F536">
        <v>12</v>
      </c>
      <c r="G536" t="s">
        <v>2900</v>
      </c>
      <c r="H536" t="s">
        <v>2961</v>
      </c>
      <c r="I536" t="s">
        <v>2241</v>
      </c>
      <c r="J536" t="s">
        <v>2762</v>
      </c>
      <c r="K536" t="s">
        <v>2850</v>
      </c>
      <c r="L536">
        <v>0</v>
      </c>
      <c r="M536">
        <v>0</v>
      </c>
      <c r="O536">
        <v>0</v>
      </c>
      <c r="P536">
        <v>0</v>
      </c>
      <c r="Q536">
        <v>0</v>
      </c>
      <c r="R536" s="49"/>
      <c r="T536" t="s">
        <v>2468</v>
      </c>
      <c r="U536" t="s">
        <v>127</v>
      </c>
      <c r="V536" t="s">
        <v>140</v>
      </c>
      <c r="W536">
        <v>500</v>
      </c>
      <c r="X536">
        <v>0</v>
      </c>
      <c r="AA536" t="s">
        <v>141</v>
      </c>
      <c r="AB536" t="s">
        <v>142</v>
      </c>
      <c r="AC536">
        <v>11611</v>
      </c>
      <c r="AD536">
        <v>11612</v>
      </c>
      <c r="AF536">
        <v>1</v>
      </c>
    </row>
    <row r="537" spans="1:32">
      <c r="A537">
        <v>1</v>
      </c>
      <c r="E537" t="s">
        <v>3387</v>
      </c>
      <c r="F537">
        <v>12</v>
      </c>
      <c r="G537" t="s">
        <v>2900</v>
      </c>
      <c r="H537" t="s">
        <v>2961</v>
      </c>
      <c r="I537" t="s">
        <v>2241</v>
      </c>
      <c r="J537" t="s">
        <v>2152</v>
      </c>
      <c r="K537" t="s">
        <v>2850</v>
      </c>
      <c r="L537">
        <v>0</v>
      </c>
      <c r="M537">
        <v>0</v>
      </c>
      <c r="O537">
        <v>0</v>
      </c>
      <c r="P537">
        <v>0</v>
      </c>
      <c r="Q537">
        <v>0</v>
      </c>
      <c r="R537" s="49"/>
      <c r="T537" t="s">
        <v>2468</v>
      </c>
      <c r="U537" t="s">
        <v>127</v>
      </c>
      <c r="V537" t="s">
        <v>140</v>
      </c>
      <c r="W537">
        <v>900</v>
      </c>
      <c r="X537">
        <v>0</v>
      </c>
      <c r="AA537" t="s">
        <v>141</v>
      </c>
      <c r="AB537" t="s">
        <v>142</v>
      </c>
      <c r="AC537">
        <v>11611</v>
      </c>
      <c r="AD537">
        <v>11612</v>
      </c>
      <c r="AF537">
        <v>1</v>
      </c>
    </row>
    <row r="538" spans="1:32">
      <c r="A538">
        <v>1</v>
      </c>
      <c r="E538" t="s">
        <v>3388</v>
      </c>
      <c r="F538">
        <v>4</v>
      </c>
      <c r="G538" t="s">
        <v>2900</v>
      </c>
      <c r="H538" t="s">
        <v>2961</v>
      </c>
      <c r="I538" t="s">
        <v>2241</v>
      </c>
      <c r="J538" t="s">
        <v>2763</v>
      </c>
      <c r="K538" t="s">
        <v>2855</v>
      </c>
      <c r="L538">
        <v>0</v>
      </c>
      <c r="M538">
        <v>0</v>
      </c>
      <c r="O538">
        <v>0</v>
      </c>
      <c r="P538">
        <v>0</v>
      </c>
      <c r="Q538">
        <v>0</v>
      </c>
      <c r="R538" s="49"/>
      <c r="T538" t="s">
        <v>2468</v>
      </c>
      <c r="U538" t="s">
        <v>127</v>
      </c>
      <c r="V538" t="s">
        <v>140</v>
      </c>
      <c r="W538">
        <v>1004</v>
      </c>
      <c r="X538">
        <v>0</v>
      </c>
      <c r="AA538" t="s">
        <v>141</v>
      </c>
      <c r="AB538" t="s">
        <v>142</v>
      </c>
      <c r="AC538">
        <v>11611</v>
      </c>
      <c r="AD538">
        <v>11612</v>
      </c>
      <c r="AF538">
        <v>1</v>
      </c>
    </row>
    <row r="539" spans="1:32">
      <c r="A539">
        <v>1</v>
      </c>
      <c r="E539" t="s">
        <v>3389</v>
      </c>
      <c r="F539">
        <v>6</v>
      </c>
      <c r="G539" t="s">
        <v>2900</v>
      </c>
      <c r="H539" t="s">
        <v>2961</v>
      </c>
      <c r="I539" t="s">
        <v>2241</v>
      </c>
      <c r="J539" t="s">
        <v>2764</v>
      </c>
      <c r="K539" t="s">
        <v>2859</v>
      </c>
      <c r="L539">
        <v>0</v>
      </c>
      <c r="M539">
        <v>0</v>
      </c>
      <c r="O539">
        <v>0</v>
      </c>
      <c r="P539">
        <v>0</v>
      </c>
      <c r="Q539">
        <v>0</v>
      </c>
      <c r="R539" s="49"/>
      <c r="T539" t="s">
        <v>2468</v>
      </c>
      <c r="U539" t="s">
        <v>127</v>
      </c>
      <c r="V539" t="s">
        <v>140</v>
      </c>
      <c r="W539">
        <v>1200</v>
      </c>
      <c r="X539">
        <v>0</v>
      </c>
      <c r="AA539" t="s">
        <v>141</v>
      </c>
      <c r="AB539" t="s">
        <v>142</v>
      </c>
      <c r="AC539">
        <v>11611</v>
      </c>
      <c r="AD539">
        <v>11612</v>
      </c>
      <c r="AF539">
        <v>1</v>
      </c>
    </row>
    <row r="540" spans="1:32">
      <c r="A540">
        <v>1</v>
      </c>
      <c r="E540" t="s">
        <v>3390</v>
      </c>
      <c r="F540">
        <v>24</v>
      </c>
      <c r="G540" t="s">
        <v>2900</v>
      </c>
      <c r="H540" t="s">
        <v>2961</v>
      </c>
      <c r="I540" t="s">
        <v>2306</v>
      </c>
      <c r="J540" t="s">
        <v>2765</v>
      </c>
      <c r="K540" t="s">
        <v>2852</v>
      </c>
      <c r="L540">
        <v>0</v>
      </c>
      <c r="M540">
        <v>0</v>
      </c>
      <c r="O540">
        <v>0</v>
      </c>
      <c r="P540">
        <v>0</v>
      </c>
      <c r="Q540">
        <v>0</v>
      </c>
      <c r="R540" s="49"/>
      <c r="T540" t="s">
        <v>2468</v>
      </c>
      <c r="U540" t="s">
        <v>127</v>
      </c>
      <c r="V540" t="s">
        <v>140</v>
      </c>
      <c r="W540">
        <v>200</v>
      </c>
      <c r="X540">
        <v>0</v>
      </c>
      <c r="AA540" t="s">
        <v>141</v>
      </c>
      <c r="AB540" t="s">
        <v>142</v>
      </c>
      <c r="AC540">
        <v>11611</v>
      </c>
      <c r="AD540">
        <v>11612</v>
      </c>
      <c r="AF540">
        <v>1</v>
      </c>
    </row>
    <row r="541" spans="1:32">
      <c r="A541">
        <v>1</v>
      </c>
      <c r="E541" t="s">
        <v>3391</v>
      </c>
      <c r="F541">
        <v>24</v>
      </c>
      <c r="G541" t="s">
        <v>2900</v>
      </c>
      <c r="H541" t="s">
        <v>2961</v>
      </c>
      <c r="I541" t="s">
        <v>2314</v>
      </c>
      <c r="J541" t="s">
        <v>2658</v>
      </c>
      <c r="K541" t="s">
        <v>2852</v>
      </c>
      <c r="L541">
        <v>0</v>
      </c>
      <c r="M541">
        <v>0</v>
      </c>
      <c r="O541">
        <v>0</v>
      </c>
      <c r="P541">
        <v>0</v>
      </c>
      <c r="Q541">
        <v>0</v>
      </c>
      <c r="R541" s="49"/>
      <c r="T541" t="s">
        <v>2468</v>
      </c>
      <c r="U541" t="s">
        <v>127</v>
      </c>
      <c r="V541" t="s">
        <v>140</v>
      </c>
      <c r="W541">
        <v>250</v>
      </c>
      <c r="X541">
        <v>0</v>
      </c>
      <c r="AA541" t="s">
        <v>141</v>
      </c>
      <c r="AB541" t="s">
        <v>142</v>
      </c>
      <c r="AC541">
        <v>11611</v>
      </c>
      <c r="AD541">
        <v>11612</v>
      </c>
      <c r="AF541">
        <v>1</v>
      </c>
    </row>
    <row r="542" spans="1:32">
      <c r="A542">
        <v>1</v>
      </c>
      <c r="E542" t="s">
        <v>3392</v>
      </c>
      <c r="F542">
        <v>36</v>
      </c>
      <c r="G542" t="s">
        <v>2900</v>
      </c>
      <c r="H542" t="s">
        <v>2961</v>
      </c>
      <c r="I542" t="s">
        <v>2308</v>
      </c>
      <c r="J542" t="s">
        <v>2358</v>
      </c>
      <c r="K542" t="s">
        <v>2847</v>
      </c>
      <c r="L542">
        <v>0</v>
      </c>
      <c r="M542">
        <v>0</v>
      </c>
      <c r="O542">
        <v>0</v>
      </c>
      <c r="P542">
        <v>0</v>
      </c>
      <c r="Q542">
        <v>0</v>
      </c>
      <c r="R542" s="49"/>
      <c r="T542" t="s">
        <v>2468</v>
      </c>
      <c r="U542" t="s">
        <v>127</v>
      </c>
      <c r="V542" t="s">
        <v>140</v>
      </c>
      <c r="W542">
        <v>100</v>
      </c>
      <c r="X542">
        <v>0</v>
      </c>
      <c r="AA542" t="s">
        <v>141</v>
      </c>
      <c r="AB542" t="s">
        <v>142</v>
      </c>
      <c r="AC542">
        <v>11611</v>
      </c>
      <c r="AD542">
        <v>11612</v>
      </c>
      <c r="AF542">
        <v>1</v>
      </c>
    </row>
    <row r="543" spans="1:32">
      <c r="A543">
        <v>1</v>
      </c>
      <c r="E543" t="s">
        <v>3393</v>
      </c>
      <c r="F543">
        <v>36</v>
      </c>
      <c r="G543" t="s">
        <v>2900</v>
      </c>
      <c r="H543" t="s">
        <v>2961</v>
      </c>
      <c r="I543" t="s">
        <v>2308</v>
      </c>
      <c r="J543" t="s">
        <v>2659</v>
      </c>
      <c r="K543" t="s">
        <v>2847</v>
      </c>
      <c r="L543">
        <v>0</v>
      </c>
      <c r="M543">
        <v>0</v>
      </c>
      <c r="O543">
        <v>0</v>
      </c>
      <c r="P543">
        <v>0</v>
      </c>
      <c r="Q543">
        <v>0</v>
      </c>
      <c r="R543" s="49"/>
      <c r="T543" t="s">
        <v>2468</v>
      </c>
      <c r="U543" t="s">
        <v>127</v>
      </c>
      <c r="V543" t="s">
        <v>140</v>
      </c>
      <c r="W543">
        <v>200</v>
      </c>
      <c r="X543">
        <v>0</v>
      </c>
      <c r="AA543" t="s">
        <v>141</v>
      </c>
      <c r="AB543" t="s">
        <v>142</v>
      </c>
      <c r="AC543">
        <v>11611</v>
      </c>
      <c r="AD543">
        <v>11612</v>
      </c>
      <c r="AF543">
        <v>1</v>
      </c>
    </row>
    <row r="544" spans="1:32">
      <c r="A544">
        <v>1</v>
      </c>
      <c r="E544" t="s">
        <v>3394</v>
      </c>
      <c r="F544">
        <v>36</v>
      </c>
      <c r="G544" t="s">
        <v>2900</v>
      </c>
      <c r="H544" t="s">
        <v>2961</v>
      </c>
      <c r="I544" t="s">
        <v>2308</v>
      </c>
      <c r="J544" t="s">
        <v>2766</v>
      </c>
      <c r="K544" t="s">
        <v>2847</v>
      </c>
      <c r="L544">
        <v>0</v>
      </c>
      <c r="M544">
        <v>0</v>
      </c>
      <c r="O544">
        <v>0</v>
      </c>
      <c r="P544">
        <v>0</v>
      </c>
      <c r="Q544">
        <v>0</v>
      </c>
      <c r="R544" s="49"/>
      <c r="T544" t="s">
        <v>2468</v>
      </c>
      <c r="U544" t="s">
        <v>127</v>
      </c>
      <c r="V544" t="s">
        <v>140</v>
      </c>
      <c r="W544">
        <v>100</v>
      </c>
      <c r="X544">
        <v>0</v>
      </c>
      <c r="AA544" t="s">
        <v>141</v>
      </c>
      <c r="AB544" t="s">
        <v>142</v>
      </c>
      <c r="AC544">
        <v>11611</v>
      </c>
      <c r="AD544">
        <v>11612</v>
      </c>
      <c r="AF544">
        <v>1</v>
      </c>
    </row>
    <row r="545" spans="1:32">
      <c r="A545">
        <v>1</v>
      </c>
      <c r="E545" t="s">
        <v>3395</v>
      </c>
      <c r="F545">
        <v>36</v>
      </c>
      <c r="G545" t="s">
        <v>2900</v>
      </c>
      <c r="H545" t="s">
        <v>2961</v>
      </c>
      <c r="I545" t="s">
        <v>2308</v>
      </c>
      <c r="J545" t="s">
        <v>2767</v>
      </c>
      <c r="K545" t="s">
        <v>2847</v>
      </c>
      <c r="L545">
        <v>0</v>
      </c>
      <c r="M545">
        <v>0</v>
      </c>
      <c r="O545">
        <v>0</v>
      </c>
      <c r="P545">
        <v>0</v>
      </c>
      <c r="Q545">
        <v>0</v>
      </c>
      <c r="R545" s="49"/>
      <c r="T545" t="s">
        <v>2468</v>
      </c>
      <c r="U545" t="s">
        <v>127</v>
      </c>
      <c r="V545" t="s">
        <v>140</v>
      </c>
      <c r="W545">
        <v>200</v>
      </c>
      <c r="X545">
        <v>0</v>
      </c>
      <c r="AA545" t="s">
        <v>141</v>
      </c>
      <c r="AB545" t="s">
        <v>142</v>
      </c>
      <c r="AC545">
        <v>11611</v>
      </c>
      <c r="AD545">
        <v>11612</v>
      </c>
      <c r="AF545">
        <v>1</v>
      </c>
    </row>
    <row r="546" spans="1:32">
      <c r="A546">
        <v>1</v>
      </c>
      <c r="E546" t="s">
        <v>3396</v>
      </c>
      <c r="F546">
        <v>36</v>
      </c>
      <c r="G546" t="s">
        <v>2900</v>
      </c>
      <c r="H546" t="s">
        <v>2961</v>
      </c>
      <c r="I546" t="s">
        <v>2308</v>
      </c>
      <c r="J546" t="s">
        <v>2768</v>
      </c>
      <c r="K546" t="s">
        <v>2847</v>
      </c>
      <c r="L546">
        <v>0</v>
      </c>
      <c r="M546">
        <v>0</v>
      </c>
      <c r="O546">
        <v>0</v>
      </c>
      <c r="P546">
        <v>0</v>
      </c>
      <c r="Q546">
        <v>0</v>
      </c>
      <c r="R546" s="49"/>
      <c r="T546" t="s">
        <v>2468</v>
      </c>
      <c r="U546" t="s">
        <v>127</v>
      </c>
      <c r="V546" t="s">
        <v>140</v>
      </c>
      <c r="W546">
        <v>100</v>
      </c>
      <c r="X546">
        <v>0</v>
      </c>
      <c r="AA546" t="s">
        <v>141</v>
      </c>
      <c r="AB546" t="s">
        <v>142</v>
      </c>
      <c r="AC546">
        <v>11611</v>
      </c>
      <c r="AD546">
        <v>11612</v>
      </c>
      <c r="AF546">
        <v>1</v>
      </c>
    </row>
    <row r="547" spans="1:32">
      <c r="A547">
        <v>1</v>
      </c>
      <c r="E547" t="s">
        <v>3397</v>
      </c>
      <c r="F547">
        <v>36</v>
      </c>
      <c r="G547" t="s">
        <v>2900</v>
      </c>
      <c r="H547" t="s">
        <v>2961</v>
      </c>
      <c r="I547" t="s">
        <v>2308</v>
      </c>
      <c r="J547" t="s">
        <v>2769</v>
      </c>
      <c r="K547" t="s">
        <v>2847</v>
      </c>
      <c r="L547">
        <v>0</v>
      </c>
      <c r="M547">
        <v>0</v>
      </c>
      <c r="O547">
        <v>0</v>
      </c>
      <c r="P547">
        <v>0</v>
      </c>
      <c r="Q547">
        <v>0</v>
      </c>
      <c r="R547" s="49"/>
      <c r="T547" t="s">
        <v>2468</v>
      </c>
      <c r="U547" t="s">
        <v>127</v>
      </c>
      <c r="V547" t="s">
        <v>140</v>
      </c>
      <c r="W547">
        <v>200</v>
      </c>
      <c r="X547">
        <v>0</v>
      </c>
      <c r="AA547" t="s">
        <v>141</v>
      </c>
      <c r="AB547" t="s">
        <v>142</v>
      </c>
      <c r="AC547">
        <v>11611</v>
      </c>
      <c r="AD547">
        <v>11612</v>
      </c>
      <c r="AF547">
        <v>1</v>
      </c>
    </row>
    <row r="548" spans="1:32">
      <c r="A548">
        <v>1</v>
      </c>
      <c r="E548" t="s">
        <v>3398</v>
      </c>
      <c r="F548">
        <v>36</v>
      </c>
      <c r="G548" t="s">
        <v>2900</v>
      </c>
      <c r="H548" t="s">
        <v>2961</v>
      </c>
      <c r="I548" t="s">
        <v>2308</v>
      </c>
      <c r="J548" t="s">
        <v>2770</v>
      </c>
      <c r="K548" t="s">
        <v>2847</v>
      </c>
      <c r="L548">
        <v>0</v>
      </c>
      <c r="M548">
        <v>0</v>
      </c>
      <c r="O548">
        <v>0</v>
      </c>
      <c r="P548">
        <v>0</v>
      </c>
      <c r="Q548">
        <v>0</v>
      </c>
      <c r="R548" s="49"/>
      <c r="T548" t="s">
        <v>2468</v>
      </c>
      <c r="U548" t="s">
        <v>127</v>
      </c>
      <c r="V548" t="s">
        <v>140</v>
      </c>
      <c r="W548">
        <v>200</v>
      </c>
      <c r="X548">
        <v>0</v>
      </c>
      <c r="AA548" t="s">
        <v>141</v>
      </c>
      <c r="AB548" t="s">
        <v>142</v>
      </c>
      <c r="AC548">
        <v>11611</v>
      </c>
      <c r="AD548">
        <v>11612</v>
      </c>
      <c r="AF548">
        <v>1</v>
      </c>
    </row>
    <row r="549" spans="1:32">
      <c r="A549">
        <v>1</v>
      </c>
      <c r="E549" t="s">
        <v>3399</v>
      </c>
      <c r="F549">
        <v>36</v>
      </c>
      <c r="G549" t="s">
        <v>2900</v>
      </c>
      <c r="H549" t="s">
        <v>2961</v>
      </c>
      <c r="I549" t="s">
        <v>2308</v>
      </c>
      <c r="J549" t="s">
        <v>2771</v>
      </c>
      <c r="K549" t="s">
        <v>2847</v>
      </c>
      <c r="L549">
        <v>0</v>
      </c>
      <c r="M549">
        <v>0</v>
      </c>
      <c r="O549">
        <v>0</v>
      </c>
      <c r="P549">
        <v>0</v>
      </c>
      <c r="Q549">
        <v>0</v>
      </c>
      <c r="R549" s="49"/>
      <c r="T549" t="s">
        <v>2468</v>
      </c>
      <c r="U549" t="s">
        <v>127</v>
      </c>
      <c r="V549" t="s">
        <v>140</v>
      </c>
      <c r="W549">
        <v>200</v>
      </c>
      <c r="X549">
        <v>0</v>
      </c>
      <c r="AA549" t="s">
        <v>141</v>
      </c>
      <c r="AB549" t="s">
        <v>142</v>
      </c>
      <c r="AC549">
        <v>11611</v>
      </c>
      <c r="AD549">
        <v>11612</v>
      </c>
      <c r="AF549">
        <v>1</v>
      </c>
    </row>
    <row r="550" spans="1:32">
      <c r="A550">
        <v>1</v>
      </c>
      <c r="E550" t="s">
        <v>3400</v>
      </c>
      <c r="F550">
        <v>36</v>
      </c>
      <c r="G550" t="s">
        <v>2900</v>
      </c>
      <c r="H550" t="s">
        <v>2961</v>
      </c>
      <c r="I550" t="s">
        <v>2308</v>
      </c>
      <c r="J550" t="s">
        <v>2772</v>
      </c>
      <c r="K550" t="s">
        <v>2847</v>
      </c>
      <c r="L550">
        <v>0</v>
      </c>
      <c r="M550">
        <v>0</v>
      </c>
      <c r="O550">
        <v>0</v>
      </c>
      <c r="P550">
        <v>0</v>
      </c>
      <c r="Q550">
        <v>0</v>
      </c>
      <c r="R550" s="49"/>
      <c r="T550" t="s">
        <v>2468</v>
      </c>
      <c r="U550" t="s">
        <v>127</v>
      </c>
      <c r="V550" t="s">
        <v>140</v>
      </c>
      <c r="W550">
        <v>200</v>
      </c>
      <c r="X550">
        <v>0</v>
      </c>
      <c r="AA550" t="s">
        <v>141</v>
      </c>
      <c r="AB550" t="s">
        <v>142</v>
      </c>
      <c r="AC550">
        <v>11611</v>
      </c>
      <c r="AD550">
        <v>11612</v>
      </c>
      <c r="AF550">
        <v>1</v>
      </c>
    </row>
    <row r="551" spans="1:32">
      <c r="A551">
        <v>1</v>
      </c>
      <c r="E551" t="s">
        <v>3401</v>
      </c>
      <c r="F551">
        <v>36</v>
      </c>
      <c r="G551" t="s">
        <v>2900</v>
      </c>
      <c r="H551" t="s">
        <v>2961</v>
      </c>
      <c r="I551" t="s">
        <v>2308</v>
      </c>
      <c r="J551" t="s">
        <v>2773</v>
      </c>
      <c r="K551" t="s">
        <v>2847</v>
      </c>
      <c r="L551">
        <v>0</v>
      </c>
      <c r="M551">
        <v>0</v>
      </c>
      <c r="O551">
        <v>0</v>
      </c>
      <c r="P551">
        <v>0</v>
      </c>
      <c r="Q551">
        <v>0</v>
      </c>
      <c r="R551" s="49"/>
      <c r="T551" t="s">
        <v>2468</v>
      </c>
      <c r="U551" t="s">
        <v>127</v>
      </c>
      <c r="V551" t="s">
        <v>140</v>
      </c>
      <c r="W551">
        <v>200</v>
      </c>
      <c r="X551">
        <v>0</v>
      </c>
      <c r="AA551" t="s">
        <v>141</v>
      </c>
      <c r="AB551" t="s">
        <v>142</v>
      </c>
      <c r="AC551">
        <v>11611</v>
      </c>
      <c r="AD551">
        <v>11612</v>
      </c>
      <c r="AF551">
        <v>1</v>
      </c>
    </row>
    <row r="552" spans="1:32">
      <c r="A552">
        <v>1</v>
      </c>
      <c r="E552" t="s">
        <v>3402</v>
      </c>
      <c r="F552">
        <v>48</v>
      </c>
      <c r="G552" t="s">
        <v>2900</v>
      </c>
      <c r="H552" t="s">
        <v>2961</v>
      </c>
      <c r="I552" t="s">
        <v>2284</v>
      </c>
      <c r="J552" t="s">
        <v>2774</v>
      </c>
      <c r="K552" t="s">
        <v>2851</v>
      </c>
      <c r="L552">
        <v>0</v>
      </c>
      <c r="M552">
        <v>0</v>
      </c>
      <c r="O552">
        <v>0</v>
      </c>
      <c r="P552">
        <v>0</v>
      </c>
      <c r="Q552">
        <v>0</v>
      </c>
      <c r="R552" s="49"/>
      <c r="T552" t="s">
        <v>2468</v>
      </c>
      <c r="U552" t="s">
        <v>127</v>
      </c>
      <c r="V552" t="s">
        <v>140</v>
      </c>
      <c r="W552">
        <v>50</v>
      </c>
      <c r="X552">
        <v>0</v>
      </c>
      <c r="AA552" t="s">
        <v>141</v>
      </c>
      <c r="AB552" t="s">
        <v>142</v>
      </c>
      <c r="AC552">
        <v>11611</v>
      </c>
      <c r="AD552">
        <v>11612</v>
      </c>
      <c r="AF552">
        <v>1</v>
      </c>
    </row>
    <row r="553" spans="1:32">
      <c r="A553">
        <v>1</v>
      </c>
      <c r="E553" t="s">
        <v>3403</v>
      </c>
      <c r="F553">
        <v>48</v>
      </c>
      <c r="G553" t="s">
        <v>2900</v>
      </c>
      <c r="H553" t="s">
        <v>2961</v>
      </c>
      <c r="I553" t="s">
        <v>2284</v>
      </c>
      <c r="J553" t="s">
        <v>2775</v>
      </c>
      <c r="K553" t="s">
        <v>2851</v>
      </c>
      <c r="L553">
        <v>0</v>
      </c>
      <c r="M553">
        <v>0</v>
      </c>
      <c r="O553">
        <v>0</v>
      </c>
      <c r="P553">
        <v>0</v>
      </c>
      <c r="Q553">
        <v>0</v>
      </c>
      <c r="R553" s="49"/>
      <c r="T553" t="s">
        <v>2468</v>
      </c>
      <c r="U553" t="s">
        <v>127</v>
      </c>
      <c r="V553" t="s">
        <v>140</v>
      </c>
      <c r="W553">
        <v>50</v>
      </c>
      <c r="X553">
        <v>0</v>
      </c>
      <c r="AA553" t="s">
        <v>141</v>
      </c>
      <c r="AB553" t="s">
        <v>142</v>
      </c>
      <c r="AC553">
        <v>11611</v>
      </c>
      <c r="AD553">
        <v>11612</v>
      </c>
      <c r="AF553">
        <v>1</v>
      </c>
    </row>
    <row r="554" spans="1:32">
      <c r="A554">
        <v>1</v>
      </c>
      <c r="E554" t="s">
        <v>3404</v>
      </c>
      <c r="F554">
        <v>48</v>
      </c>
      <c r="G554" t="s">
        <v>2900</v>
      </c>
      <c r="H554" t="s">
        <v>2961</v>
      </c>
      <c r="I554" t="s">
        <v>2284</v>
      </c>
      <c r="J554" t="s">
        <v>2776</v>
      </c>
      <c r="K554" t="s">
        <v>2851</v>
      </c>
      <c r="L554">
        <v>0</v>
      </c>
      <c r="M554">
        <v>0</v>
      </c>
      <c r="O554">
        <v>0</v>
      </c>
      <c r="P554">
        <v>0</v>
      </c>
      <c r="Q554">
        <v>0</v>
      </c>
      <c r="R554" s="49"/>
      <c r="T554" t="s">
        <v>2468</v>
      </c>
      <c r="U554" t="s">
        <v>127</v>
      </c>
      <c r="V554" t="s">
        <v>140</v>
      </c>
      <c r="W554">
        <v>50</v>
      </c>
      <c r="X554">
        <v>0</v>
      </c>
      <c r="AA554" t="s">
        <v>141</v>
      </c>
      <c r="AB554" t="s">
        <v>142</v>
      </c>
      <c r="AC554">
        <v>11611</v>
      </c>
      <c r="AD554">
        <v>11612</v>
      </c>
      <c r="AF554">
        <v>1</v>
      </c>
    </row>
    <row r="555" spans="1:32">
      <c r="A555">
        <v>1</v>
      </c>
      <c r="E555" t="s">
        <v>3405</v>
      </c>
      <c r="F555">
        <v>48</v>
      </c>
      <c r="G555" t="s">
        <v>2900</v>
      </c>
      <c r="H555" t="s">
        <v>2961</v>
      </c>
      <c r="I555" t="s">
        <v>2284</v>
      </c>
      <c r="J555" t="s">
        <v>2777</v>
      </c>
      <c r="K555" t="s">
        <v>2851</v>
      </c>
      <c r="L555">
        <v>0</v>
      </c>
      <c r="M555">
        <v>0</v>
      </c>
      <c r="O555">
        <v>0</v>
      </c>
      <c r="P555">
        <v>0</v>
      </c>
      <c r="Q555">
        <v>0</v>
      </c>
      <c r="R555" s="49"/>
      <c r="T555" t="s">
        <v>2468</v>
      </c>
      <c r="U555" t="s">
        <v>127</v>
      </c>
      <c r="V555" t="s">
        <v>140</v>
      </c>
      <c r="W555">
        <v>50</v>
      </c>
      <c r="X555">
        <v>0</v>
      </c>
      <c r="AA555" t="s">
        <v>141</v>
      </c>
      <c r="AB555" t="s">
        <v>142</v>
      </c>
      <c r="AC555">
        <v>11611</v>
      </c>
      <c r="AD555">
        <v>11612</v>
      </c>
      <c r="AF555">
        <v>1</v>
      </c>
    </row>
    <row r="556" spans="1:32">
      <c r="A556">
        <v>1</v>
      </c>
      <c r="E556" t="s">
        <v>3406</v>
      </c>
      <c r="F556">
        <v>48</v>
      </c>
      <c r="G556" t="s">
        <v>2900</v>
      </c>
      <c r="H556" t="s">
        <v>2961</v>
      </c>
      <c r="I556" t="s">
        <v>2284</v>
      </c>
      <c r="J556" t="s">
        <v>2778</v>
      </c>
      <c r="K556" t="s">
        <v>2851</v>
      </c>
      <c r="L556">
        <v>0</v>
      </c>
      <c r="M556">
        <v>0</v>
      </c>
      <c r="O556">
        <v>0</v>
      </c>
      <c r="P556">
        <v>0</v>
      </c>
      <c r="Q556">
        <v>0</v>
      </c>
      <c r="R556" s="49"/>
      <c r="T556" t="s">
        <v>2468</v>
      </c>
      <c r="U556" t="s">
        <v>127</v>
      </c>
      <c r="V556" t="s">
        <v>140</v>
      </c>
      <c r="W556">
        <v>50</v>
      </c>
      <c r="X556">
        <v>0</v>
      </c>
      <c r="AA556" t="s">
        <v>141</v>
      </c>
      <c r="AB556" t="s">
        <v>142</v>
      </c>
      <c r="AC556">
        <v>11611</v>
      </c>
      <c r="AD556">
        <v>11612</v>
      </c>
      <c r="AF556">
        <v>1</v>
      </c>
    </row>
    <row r="557" spans="1:32">
      <c r="A557">
        <v>1</v>
      </c>
      <c r="E557" t="s">
        <v>3407</v>
      </c>
      <c r="F557">
        <v>48</v>
      </c>
      <c r="G557" t="s">
        <v>2900</v>
      </c>
      <c r="H557" t="s">
        <v>2961</v>
      </c>
      <c r="I557" t="s">
        <v>2284</v>
      </c>
      <c r="J557" t="s">
        <v>2779</v>
      </c>
      <c r="K557" t="s">
        <v>2851</v>
      </c>
      <c r="L557">
        <v>0</v>
      </c>
      <c r="M557">
        <v>0</v>
      </c>
      <c r="O557">
        <v>0</v>
      </c>
      <c r="P557">
        <v>0</v>
      </c>
      <c r="Q557">
        <v>0</v>
      </c>
      <c r="R557" s="49"/>
      <c r="T557" t="s">
        <v>2468</v>
      </c>
      <c r="U557" t="s">
        <v>127</v>
      </c>
      <c r="V557" t="s">
        <v>140</v>
      </c>
      <c r="W557">
        <v>50</v>
      </c>
      <c r="X557">
        <v>0</v>
      </c>
      <c r="AA557" t="s">
        <v>141</v>
      </c>
      <c r="AB557" t="s">
        <v>142</v>
      </c>
      <c r="AC557">
        <v>11611</v>
      </c>
      <c r="AD557">
        <v>11612</v>
      </c>
      <c r="AF557">
        <v>1</v>
      </c>
    </row>
    <row r="558" spans="1:32">
      <c r="A558">
        <v>1</v>
      </c>
      <c r="E558" t="s">
        <v>3408</v>
      </c>
      <c r="F558">
        <v>36</v>
      </c>
      <c r="G558" t="s">
        <v>2900</v>
      </c>
      <c r="H558" t="s">
        <v>2961</v>
      </c>
      <c r="I558" t="s">
        <v>2318</v>
      </c>
      <c r="J558" t="s">
        <v>2780</v>
      </c>
      <c r="K558" t="s">
        <v>2847</v>
      </c>
      <c r="L558">
        <v>0</v>
      </c>
      <c r="M558">
        <v>0</v>
      </c>
      <c r="O558">
        <v>0</v>
      </c>
      <c r="P558">
        <v>0</v>
      </c>
      <c r="Q558">
        <v>0</v>
      </c>
      <c r="R558" s="49"/>
      <c r="T558" t="s">
        <v>2468</v>
      </c>
      <c r="U558" t="s">
        <v>127</v>
      </c>
      <c r="V558" t="s">
        <v>140</v>
      </c>
      <c r="W558">
        <v>200</v>
      </c>
      <c r="X558">
        <v>0</v>
      </c>
      <c r="AA558" t="s">
        <v>141</v>
      </c>
      <c r="AB558" t="s">
        <v>142</v>
      </c>
      <c r="AC558">
        <v>11611</v>
      </c>
      <c r="AD558">
        <v>11612</v>
      </c>
      <c r="AF558">
        <v>1</v>
      </c>
    </row>
    <row r="559" spans="1:32">
      <c r="A559">
        <v>1</v>
      </c>
      <c r="E559" t="s">
        <v>2900</v>
      </c>
      <c r="F559">
        <v>0</v>
      </c>
      <c r="G559" t="s">
        <v>2900</v>
      </c>
      <c r="H559" t="s">
        <v>2961</v>
      </c>
      <c r="I559" t="s">
        <v>2318</v>
      </c>
      <c r="J559" t="s">
        <v>2781</v>
      </c>
      <c r="K559" t="s">
        <v>2861</v>
      </c>
      <c r="L559">
        <v>0</v>
      </c>
      <c r="M559">
        <v>0</v>
      </c>
      <c r="O559">
        <v>0</v>
      </c>
      <c r="P559">
        <v>0</v>
      </c>
      <c r="Q559">
        <v>0</v>
      </c>
      <c r="R559" s="49"/>
      <c r="T559" t="s">
        <v>2468</v>
      </c>
      <c r="U559" t="s">
        <v>127</v>
      </c>
      <c r="V559" t="s">
        <v>140</v>
      </c>
      <c r="W559">
        <v>100</v>
      </c>
      <c r="X559">
        <v>0</v>
      </c>
      <c r="AA559" t="s">
        <v>141</v>
      </c>
      <c r="AB559" t="s">
        <v>142</v>
      </c>
      <c r="AC559">
        <v>11611</v>
      </c>
      <c r="AD559">
        <v>11612</v>
      </c>
      <c r="AF559">
        <v>1</v>
      </c>
    </row>
    <row r="560" spans="1:32">
      <c r="A560">
        <v>1</v>
      </c>
      <c r="E560" t="s">
        <v>3409</v>
      </c>
      <c r="F560">
        <v>12</v>
      </c>
      <c r="G560" t="s">
        <v>2900</v>
      </c>
      <c r="H560" t="s">
        <v>2961</v>
      </c>
      <c r="I560" t="s">
        <v>2318</v>
      </c>
      <c r="J560" t="s">
        <v>2782</v>
      </c>
      <c r="K560" t="s">
        <v>2850</v>
      </c>
      <c r="L560">
        <v>0</v>
      </c>
      <c r="M560">
        <v>0</v>
      </c>
      <c r="O560">
        <v>0</v>
      </c>
      <c r="P560">
        <v>0</v>
      </c>
      <c r="Q560">
        <v>0</v>
      </c>
      <c r="R560" s="49"/>
      <c r="T560" t="s">
        <v>2468</v>
      </c>
      <c r="U560" t="s">
        <v>127</v>
      </c>
      <c r="V560" t="s">
        <v>140</v>
      </c>
      <c r="W560">
        <v>500</v>
      </c>
      <c r="X560">
        <v>0</v>
      </c>
      <c r="AA560" t="s">
        <v>141</v>
      </c>
      <c r="AB560" t="s">
        <v>142</v>
      </c>
      <c r="AC560">
        <v>11611</v>
      </c>
      <c r="AD560">
        <v>11612</v>
      </c>
      <c r="AF560">
        <v>1</v>
      </c>
    </row>
    <row r="561" spans="1:32">
      <c r="A561">
        <v>1</v>
      </c>
      <c r="E561" t="s">
        <v>3410</v>
      </c>
      <c r="F561">
        <v>36</v>
      </c>
      <c r="G561" t="s">
        <v>2900</v>
      </c>
      <c r="H561" t="s">
        <v>2961</v>
      </c>
      <c r="I561" t="s">
        <v>2318</v>
      </c>
      <c r="J561" t="s">
        <v>2783</v>
      </c>
      <c r="K561" t="s">
        <v>2847</v>
      </c>
      <c r="L561">
        <v>0</v>
      </c>
      <c r="M561">
        <v>0</v>
      </c>
      <c r="O561">
        <v>0</v>
      </c>
      <c r="P561">
        <v>0</v>
      </c>
      <c r="Q561">
        <v>0</v>
      </c>
      <c r="R561" s="49"/>
      <c r="T561" t="s">
        <v>2468</v>
      </c>
      <c r="U561" t="s">
        <v>127</v>
      </c>
      <c r="V561" t="s">
        <v>140</v>
      </c>
      <c r="W561">
        <v>100</v>
      </c>
      <c r="X561">
        <v>0</v>
      </c>
      <c r="AA561" t="s">
        <v>141</v>
      </c>
      <c r="AB561" t="s">
        <v>142</v>
      </c>
      <c r="AC561">
        <v>11611</v>
      </c>
      <c r="AD561">
        <v>11612</v>
      </c>
      <c r="AF561">
        <v>1</v>
      </c>
    </row>
    <row r="562" spans="1:32">
      <c r="A562">
        <v>1</v>
      </c>
      <c r="E562" t="s">
        <v>3411</v>
      </c>
      <c r="F562">
        <v>36</v>
      </c>
      <c r="G562" t="s">
        <v>2900</v>
      </c>
      <c r="H562" t="s">
        <v>2961</v>
      </c>
      <c r="I562" t="s">
        <v>2318</v>
      </c>
      <c r="J562" t="s">
        <v>2784</v>
      </c>
      <c r="K562" t="s">
        <v>2847</v>
      </c>
      <c r="L562">
        <v>0</v>
      </c>
      <c r="M562">
        <v>0</v>
      </c>
      <c r="O562">
        <v>0</v>
      </c>
      <c r="P562">
        <v>0</v>
      </c>
      <c r="Q562">
        <v>0</v>
      </c>
      <c r="R562" s="49"/>
      <c r="T562" t="s">
        <v>2468</v>
      </c>
      <c r="U562" t="s">
        <v>127</v>
      </c>
      <c r="V562" t="s">
        <v>140</v>
      </c>
      <c r="W562">
        <v>200</v>
      </c>
      <c r="X562">
        <v>0</v>
      </c>
      <c r="AA562" t="s">
        <v>141</v>
      </c>
      <c r="AB562" t="s">
        <v>142</v>
      </c>
      <c r="AC562">
        <v>11611</v>
      </c>
      <c r="AD562">
        <v>11612</v>
      </c>
      <c r="AF562">
        <v>1</v>
      </c>
    </row>
    <row r="563" spans="1:32">
      <c r="A563">
        <v>1</v>
      </c>
      <c r="E563" t="s">
        <v>3412</v>
      </c>
      <c r="F563">
        <v>12</v>
      </c>
      <c r="G563" t="s">
        <v>2900</v>
      </c>
      <c r="H563" t="s">
        <v>2961</v>
      </c>
      <c r="I563" t="s">
        <v>2318</v>
      </c>
      <c r="J563" t="s">
        <v>2785</v>
      </c>
      <c r="K563" t="s">
        <v>2850</v>
      </c>
      <c r="L563">
        <v>0</v>
      </c>
      <c r="M563">
        <v>0</v>
      </c>
      <c r="O563">
        <v>0</v>
      </c>
      <c r="P563">
        <v>0</v>
      </c>
      <c r="Q563">
        <v>0</v>
      </c>
      <c r="R563" s="49"/>
      <c r="T563" t="s">
        <v>2468</v>
      </c>
      <c r="U563" t="s">
        <v>127</v>
      </c>
      <c r="V563" t="s">
        <v>140</v>
      </c>
      <c r="W563">
        <v>500</v>
      </c>
      <c r="X563">
        <v>0</v>
      </c>
      <c r="AA563" t="s">
        <v>141</v>
      </c>
      <c r="AB563" t="s">
        <v>142</v>
      </c>
      <c r="AC563">
        <v>11611</v>
      </c>
      <c r="AD563">
        <v>11612</v>
      </c>
      <c r="AF563">
        <v>1</v>
      </c>
    </row>
    <row r="564" spans="1:32">
      <c r="A564">
        <v>1</v>
      </c>
      <c r="E564" t="s">
        <v>3413</v>
      </c>
      <c r="F564">
        <v>36</v>
      </c>
      <c r="G564" t="s">
        <v>2900</v>
      </c>
      <c r="H564" t="s">
        <v>2961</v>
      </c>
      <c r="I564" t="s">
        <v>2318</v>
      </c>
      <c r="J564" t="s">
        <v>2786</v>
      </c>
      <c r="K564" t="s">
        <v>2847</v>
      </c>
      <c r="L564">
        <v>0</v>
      </c>
      <c r="M564">
        <v>0</v>
      </c>
      <c r="O564">
        <v>0</v>
      </c>
      <c r="P564">
        <v>0</v>
      </c>
      <c r="Q564">
        <v>0</v>
      </c>
      <c r="R564" s="49"/>
      <c r="T564" t="s">
        <v>2468</v>
      </c>
      <c r="U564" t="s">
        <v>127</v>
      </c>
      <c r="V564" t="s">
        <v>140</v>
      </c>
      <c r="W564">
        <v>100</v>
      </c>
      <c r="X564">
        <v>0</v>
      </c>
      <c r="AA564" t="s">
        <v>141</v>
      </c>
      <c r="AB564" t="s">
        <v>142</v>
      </c>
      <c r="AC564">
        <v>11611</v>
      </c>
      <c r="AD564">
        <v>11612</v>
      </c>
      <c r="AF564">
        <v>1</v>
      </c>
    </row>
    <row r="565" spans="1:32">
      <c r="A565">
        <v>1</v>
      </c>
      <c r="E565" t="s">
        <v>3414</v>
      </c>
      <c r="F565">
        <v>36</v>
      </c>
      <c r="G565" t="s">
        <v>2900</v>
      </c>
      <c r="H565" t="s">
        <v>2961</v>
      </c>
      <c r="I565" t="s">
        <v>2318</v>
      </c>
      <c r="J565" t="s">
        <v>2787</v>
      </c>
      <c r="K565" t="s">
        <v>2847</v>
      </c>
      <c r="L565">
        <v>0</v>
      </c>
      <c r="M565">
        <v>0</v>
      </c>
      <c r="O565">
        <v>0</v>
      </c>
      <c r="P565">
        <v>0</v>
      </c>
      <c r="Q565">
        <v>0</v>
      </c>
      <c r="R565" s="49"/>
      <c r="T565" t="s">
        <v>2468</v>
      </c>
      <c r="U565" t="s">
        <v>127</v>
      </c>
      <c r="V565" t="s">
        <v>140</v>
      </c>
      <c r="W565">
        <v>200</v>
      </c>
      <c r="X565">
        <v>0</v>
      </c>
      <c r="AA565" t="s">
        <v>141</v>
      </c>
      <c r="AB565" t="s">
        <v>142</v>
      </c>
      <c r="AC565">
        <v>11611</v>
      </c>
      <c r="AD565">
        <v>11612</v>
      </c>
      <c r="AF565">
        <v>1</v>
      </c>
    </row>
    <row r="566" spans="1:32">
      <c r="A566">
        <v>1</v>
      </c>
      <c r="E566" t="s">
        <v>3415</v>
      </c>
      <c r="F566">
        <v>12</v>
      </c>
      <c r="G566" t="s">
        <v>2900</v>
      </c>
      <c r="H566" t="s">
        <v>2961</v>
      </c>
      <c r="I566" t="s">
        <v>2318</v>
      </c>
      <c r="J566" t="s">
        <v>2788</v>
      </c>
      <c r="K566" t="s">
        <v>2850</v>
      </c>
      <c r="L566">
        <v>0</v>
      </c>
      <c r="M566">
        <v>0</v>
      </c>
      <c r="O566">
        <v>0</v>
      </c>
      <c r="P566">
        <v>0</v>
      </c>
      <c r="Q566">
        <v>0</v>
      </c>
      <c r="R566" s="49"/>
      <c r="T566" t="s">
        <v>2468</v>
      </c>
      <c r="U566" t="s">
        <v>127</v>
      </c>
      <c r="V566" t="s">
        <v>140</v>
      </c>
      <c r="W566">
        <v>500</v>
      </c>
      <c r="X566">
        <v>0</v>
      </c>
      <c r="AA566" t="s">
        <v>141</v>
      </c>
      <c r="AB566" t="s">
        <v>142</v>
      </c>
      <c r="AC566">
        <v>11611</v>
      </c>
      <c r="AD566">
        <v>11612</v>
      </c>
      <c r="AF566">
        <v>1</v>
      </c>
    </row>
    <row r="567" spans="1:32">
      <c r="A567">
        <v>1</v>
      </c>
      <c r="E567" t="s">
        <v>3416</v>
      </c>
      <c r="F567">
        <v>72</v>
      </c>
      <c r="G567" t="s">
        <v>2900</v>
      </c>
      <c r="H567" t="s">
        <v>2961</v>
      </c>
      <c r="I567" t="s">
        <v>2318</v>
      </c>
      <c r="J567" t="s">
        <v>2789</v>
      </c>
      <c r="K567" t="s">
        <v>2846</v>
      </c>
      <c r="L567">
        <v>0</v>
      </c>
      <c r="M567">
        <v>0</v>
      </c>
      <c r="O567">
        <v>0</v>
      </c>
      <c r="P567">
        <v>0</v>
      </c>
      <c r="Q567">
        <v>0</v>
      </c>
      <c r="R567" s="49"/>
      <c r="T567" t="s">
        <v>2468</v>
      </c>
      <c r="U567" t="s">
        <v>127</v>
      </c>
      <c r="V567" t="s">
        <v>140</v>
      </c>
      <c r="W567">
        <v>45</v>
      </c>
      <c r="X567">
        <v>0</v>
      </c>
      <c r="AA567" t="s">
        <v>141</v>
      </c>
      <c r="AB567" t="s">
        <v>142</v>
      </c>
      <c r="AC567">
        <v>11611</v>
      </c>
      <c r="AD567">
        <v>11612</v>
      </c>
      <c r="AF567">
        <v>1</v>
      </c>
    </row>
    <row r="568" spans="1:32">
      <c r="A568">
        <v>1</v>
      </c>
      <c r="E568" t="s">
        <v>3417</v>
      </c>
      <c r="F568">
        <v>36</v>
      </c>
      <c r="G568" t="s">
        <v>2900</v>
      </c>
      <c r="H568" t="s">
        <v>2961</v>
      </c>
      <c r="I568" t="s">
        <v>2318</v>
      </c>
      <c r="J568" t="s">
        <v>2790</v>
      </c>
      <c r="K568" t="s">
        <v>2847</v>
      </c>
      <c r="L568">
        <v>0</v>
      </c>
      <c r="M568">
        <v>0</v>
      </c>
      <c r="O568">
        <v>0</v>
      </c>
      <c r="P568">
        <v>0</v>
      </c>
      <c r="Q568">
        <v>0</v>
      </c>
      <c r="R568" s="49"/>
      <c r="T568" t="s">
        <v>2468</v>
      </c>
      <c r="U568" t="s">
        <v>127</v>
      </c>
      <c r="V568" t="s">
        <v>140</v>
      </c>
      <c r="W568">
        <v>100</v>
      </c>
      <c r="X568">
        <v>0</v>
      </c>
      <c r="AA568" t="s">
        <v>141</v>
      </c>
      <c r="AB568" t="s">
        <v>142</v>
      </c>
      <c r="AC568">
        <v>11611</v>
      </c>
      <c r="AD568">
        <v>11612</v>
      </c>
      <c r="AF568">
        <v>1</v>
      </c>
    </row>
    <row r="569" spans="1:32">
      <c r="A569">
        <v>1</v>
      </c>
      <c r="E569" t="s">
        <v>3418</v>
      </c>
      <c r="F569">
        <v>36</v>
      </c>
      <c r="G569" t="s">
        <v>2900</v>
      </c>
      <c r="H569" t="s">
        <v>2961</v>
      </c>
      <c r="I569" t="s">
        <v>2318</v>
      </c>
      <c r="J569" t="s">
        <v>2791</v>
      </c>
      <c r="K569" t="s">
        <v>2847</v>
      </c>
      <c r="L569">
        <v>0</v>
      </c>
      <c r="M569">
        <v>0</v>
      </c>
      <c r="O569">
        <v>0</v>
      </c>
      <c r="P569">
        <v>0</v>
      </c>
      <c r="Q569">
        <v>0</v>
      </c>
      <c r="R569" s="49"/>
      <c r="T569" t="s">
        <v>2468</v>
      </c>
      <c r="U569" t="s">
        <v>127</v>
      </c>
      <c r="V569" t="s">
        <v>140</v>
      </c>
      <c r="W569">
        <v>200</v>
      </c>
      <c r="X569">
        <v>0</v>
      </c>
      <c r="AA569" t="s">
        <v>141</v>
      </c>
      <c r="AB569" t="s">
        <v>142</v>
      </c>
      <c r="AC569">
        <v>11611</v>
      </c>
      <c r="AD569">
        <v>11612</v>
      </c>
      <c r="AF569">
        <v>1</v>
      </c>
    </row>
    <row r="570" spans="1:32">
      <c r="A570">
        <v>1</v>
      </c>
      <c r="E570" t="s">
        <v>3419</v>
      </c>
      <c r="F570">
        <v>36</v>
      </c>
      <c r="G570" t="s">
        <v>2900</v>
      </c>
      <c r="H570" t="s">
        <v>2961</v>
      </c>
      <c r="I570" t="s">
        <v>2318</v>
      </c>
      <c r="J570" t="s">
        <v>2792</v>
      </c>
      <c r="K570" t="s">
        <v>2847</v>
      </c>
      <c r="L570">
        <v>0</v>
      </c>
      <c r="M570">
        <v>0</v>
      </c>
      <c r="O570">
        <v>0</v>
      </c>
      <c r="P570">
        <v>0</v>
      </c>
      <c r="Q570">
        <v>0</v>
      </c>
      <c r="R570" s="49"/>
      <c r="T570" t="s">
        <v>2468</v>
      </c>
      <c r="U570" t="s">
        <v>127</v>
      </c>
      <c r="V570" t="s">
        <v>140</v>
      </c>
      <c r="W570">
        <v>200</v>
      </c>
      <c r="X570">
        <v>0</v>
      </c>
      <c r="AA570" t="s">
        <v>141</v>
      </c>
      <c r="AB570" t="s">
        <v>142</v>
      </c>
      <c r="AC570">
        <v>11611</v>
      </c>
      <c r="AD570">
        <v>11612</v>
      </c>
      <c r="AF570">
        <v>1</v>
      </c>
    </row>
    <row r="571" spans="1:32">
      <c r="A571">
        <v>1</v>
      </c>
      <c r="E571" t="s">
        <v>3420</v>
      </c>
      <c r="F571">
        <v>120</v>
      </c>
      <c r="G571" t="s">
        <v>2900</v>
      </c>
      <c r="H571" t="s">
        <v>2961</v>
      </c>
      <c r="I571" t="s">
        <v>2318</v>
      </c>
      <c r="J571" t="s">
        <v>2793</v>
      </c>
      <c r="K571" t="s">
        <v>2854</v>
      </c>
      <c r="L571">
        <v>0</v>
      </c>
      <c r="M571">
        <v>0</v>
      </c>
      <c r="O571">
        <v>0</v>
      </c>
      <c r="P571">
        <v>0</v>
      </c>
      <c r="Q571">
        <v>0</v>
      </c>
      <c r="R571" s="49"/>
      <c r="T571" t="s">
        <v>2468</v>
      </c>
      <c r="U571" t="s">
        <v>127</v>
      </c>
      <c r="V571" t="s">
        <v>140</v>
      </c>
      <c r="W571">
        <v>10</v>
      </c>
      <c r="X571">
        <v>0</v>
      </c>
      <c r="AA571" t="s">
        <v>141</v>
      </c>
      <c r="AB571" t="s">
        <v>142</v>
      </c>
      <c r="AC571">
        <v>11611</v>
      </c>
      <c r="AD571">
        <v>11612</v>
      </c>
      <c r="AF571">
        <v>1</v>
      </c>
    </row>
    <row r="572" spans="1:32">
      <c r="A572">
        <v>1</v>
      </c>
      <c r="E572" t="s">
        <v>3421</v>
      </c>
      <c r="F572">
        <v>120</v>
      </c>
      <c r="G572" t="s">
        <v>2900</v>
      </c>
      <c r="H572" t="s">
        <v>2961</v>
      </c>
      <c r="I572" t="s">
        <v>2318</v>
      </c>
      <c r="J572" t="s">
        <v>2794</v>
      </c>
      <c r="K572" t="s">
        <v>2854</v>
      </c>
      <c r="L572">
        <v>0</v>
      </c>
      <c r="M572">
        <v>0</v>
      </c>
      <c r="O572">
        <v>0</v>
      </c>
      <c r="P572">
        <v>0</v>
      </c>
      <c r="Q572">
        <v>0</v>
      </c>
      <c r="R572" s="49"/>
      <c r="T572" t="s">
        <v>2468</v>
      </c>
      <c r="U572" t="s">
        <v>127</v>
      </c>
      <c r="V572" t="s">
        <v>140</v>
      </c>
      <c r="W572">
        <v>10</v>
      </c>
      <c r="X572">
        <v>0</v>
      </c>
      <c r="AA572" t="s">
        <v>141</v>
      </c>
      <c r="AB572" t="s">
        <v>142</v>
      </c>
      <c r="AC572">
        <v>11611</v>
      </c>
      <c r="AD572">
        <v>11612</v>
      </c>
      <c r="AF572">
        <v>1</v>
      </c>
    </row>
    <row r="573" spans="1:32">
      <c r="A573">
        <v>1</v>
      </c>
      <c r="E573" t="s">
        <v>3422</v>
      </c>
      <c r="F573">
        <v>72</v>
      </c>
      <c r="G573" t="s">
        <v>2900</v>
      </c>
      <c r="H573" t="s">
        <v>2961</v>
      </c>
      <c r="I573" t="s">
        <v>2318</v>
      </c>
      <c r="J573" t="s">
        <v>2795</v>
      </c>
      <c r="K573" t="s">
        <v>2846</v>
      </c>
      <c r="L573">
        <v>0</v>
      </c>
      <c r="M573">
        <v>0</v>
      </c>
      <c r="O573">
        <v>0</v>
      </c>
      <c r="P573">
        <v>0</v>
      </c>
      <c r="Q573">
        <v>0</v>
      </c>
      <c r="R573" s="49"/>
      <c r="T573" t="s">
        <v>2468</v>
      </c>
      <c r="U573" t="s">
        <v>127</v>
      </c>
      <c r="V573" t="s">
        <v>140</v>
      </c>
      <c r="W573">
        <v>45</v>
      </c>
      <c r="X573">
        <v>0</v>
      </c>
      <c r="AA573" t="s">
        <v>141</v>
      </c>
      <c r="AB573" t="s">
        <v>142</v>
      </c>
      <c r="AC573">
        <v>11611</v>
      </c>
      <c r="AD573">
        <v>11612</v>
      </c>
      <c r="AF573">
        <v>1</v>
      </c>
    </row>
    <row r="574" spans="1:32">
      <c r="A574">
        <v>1</v>
      </c>
      <c r="E574" t="s">
        <v>3423</v>
      </c>
      <c r="F574">
        <v>36</v>
      </c>
      <c r="G574" t="s">
        <v>2900</v>
      </c>
      <c r="H574" t="s">
        <v>2961</v>
      </c>
      <c r="I574" t="s">
        <v>2318</v>
      </c>
      <c r="J574" t="s">
        <v>2796</v>
      </c>
      <c r="K574" t="s">
        <v>2847</v>
      </c>
      <c r="L574">
        <v>0</v>
      </c>
      <c r="M574">
        <v>0</v>
      </c>
      <c r="O574">
        <v>0</v>
      </c>
      <c r="P574">
        <v>0</v>
      </c>
      <c r="Q574">
        <v>0</v>
      </c>
      <c r="R574" s="49"/>
      <c r="T574" t="s">
        <v>2468</v>
      </c>
      <c r="U574" t="s">
        <v>127</v>
      </c>
      <c r="V574" t="s">
        <v>140</v>
      </c>
      <c r="W574">
        <v>100</v>
      </c>
      <c r="X574">
        <v>0</v>
      </c>
      <c r="AA574" t="s">
        <v>141</v>
      </c>
      <c r="AB574" t="s">
        <v>142</v>
      </c>
      <c r="AC574">
        <v>11611</v>
      </c>
      <c r="AD574">
        <v>11612</v>
      </c>
      <c r="AF574">
        <v>1</v>
      </c>
    </row>
    <row r="575" spans="1:32">
      <c r="A575">
        <v>1</v>
      </c>
      <c r="E575" t="s">
        <v>3424</v>
      </c>
      <c r="F575">
        <v>36</v>
      </c>
      <c r="G575" t="s">
        <v>2900</v>
      </c>
      <c r="H575" t="s">
        <v>2961</v>
      </c>
      <c r="I575" t="s">
        <v>2318</v>
      </c>
      <c r="J575" t="s">
        <v>2797</v>
      </c>
      <c r="K575" t="s">
        <v>2847</v>
      </c>
      <c r="L575">
        <v>0</v>
      </c>
      <c r="M575">
        <v>0</v>
      </c>
      <c r="O575">
        <v>0</v>
      </c>
      <c r="P575">
        <v>0</v>
      </c>
      <c r="Q575">
        <v>0</v>
      </c>
      <c r="R575" s="49"/>
      <c r="T575" t="s">
        <v>2468</v>
      </c>
      <c r="U575" t="s">
        <v>127</v>
      </c>
      <c r="V575" t="s">
        <v>140</v>
      </c>
      <c r="W575">
        <v>200</v>
      </c>
      <c r="X575">
        <v>0</v>
      </c>
      <c r="AA575" t="s">
        <v>141</v>
      </c>
      <c r="AB575" t="s">
        <v>142</v>
      </c>
      <c r="AC575">
        <v>11611</v>
      </c>
      <c r="AD575">
        <v>11612</v>
      </c>
      <c r="AF575">
        <v>1</v>
      </c>
    </row>
    <row r="576" spans="1:32">
      <c r="A576">
        <v>1</v>
      </c>
      <c r="E576" t="s">
        <v>3425</v>
      </c>
      <c r="F576">
        <v>12</v>
      </c>
      <c r="G576" t="s">
        <v>2900</v>
      </c>
      <c r="H576" t="s">
        <v>2961</v>
      </c>
      <c r="I576" t="s">
        <v>2318</v>
      </c>
      <c r="J576" t="s">
        <v>2798</v>
      </c>
      <c r="K576" t="s">
        <v>2850</v>
      </c>
      <c r="L576">
        <v>0</v>
      </c>
      <c r="M576">
        <v>0</v>
      </c>
      <c r="O576">
        <v>0</v>
      </c>
      <c r="P576">
        <v>0</v>
      </c>
      <c r="Q576">
        <v>0</v>
      </c>
      <c r="R576" s="49"/>
      <c r="T576" t="s">
        <v>2468</v>
      </c>
      <c r="U576" t="s">
        <v>127</v>
      </c>
      <c r="V576" t="s">
        <v>140</v>
      </c>
      <c r="W576">
        <v>500</v>
      </c>
      <c r="X576">
        <v>0</v>
      </c>
      <c r="AA576" t="s">
        <v>141</v>
      </c>
      <c r="AB576" t="s">
        <v>142</v>
      </c>
      <c r="AC576">
        <v>11611</v>
      </c>
      <c r="AD576">
        <v>11612</v>
      </c>
      <c r="AF576">
        <v>1</v>
      </c>
    </row>
    <row r="577" spans="1:32">
      <c r="A577">
        <v>1</v>
      </c>
      <c r="E577" t="s">
        <v>3426</v>
      </c>
      <c r="F577">
        <v>120</v>
      </c>
      <c r="G577" t="s">
        <v>2900</v>
      </c>
      <c r="H577" t="s">
        <v>2961</v>
      </c>
      <c r="I577" t="s">
        <v>2318</v>
      </c>
      <c r="J577" t="s">
        <v>2799</v>
      </c>
      <c r="K577" t="s">
        <v>2854</v>
      </c>
      <c r="L577">
        <v>0</v>
      </c>
      <c r="M577">
        <v>0</v>
      </c>
      <c r="O577">
        <v>0</v>
      </c>
      <c r="P577">
        <v>0</v>
      </c>
      <c r="Q577">
        <v>0</v>
      </c>
      <c r="R577" s="49"/>
      <c r="T577" t="s">
        <v>2468</v>
      </c>
      <c r="U577" t="s">
        <v>127</v>
      </c>
      <c r="V577" t="s">
        <v>140</v>
      </c>
      <c r="W577">
        <v>10</v>
      </c>
      <c r="X577">
        <v>0</v>
      </c>
      <c r="AA577" t="s">
        <v>141</v>
      </c>
      <c r="AB577" t="s">
        <v>142</v>
      </c>
      <c r="AC577">
        <v>11611</v>
      </c>
      <c r="AD577">
        <v>11612</v>
      </c>
      <c r="AF577">
        <v>1</v>
      </c>
    </row>
    <row r="578" spans="1:32">
      <c r="A578">
        <v>1</v>
      </c>
      <c r="E578" t="s">
        <v>3427</v>
      </c>
      <c r="F578">
        <v>72</v>
      </c>
      <c r="G578" t="s">
        <v>2900</v>
      </c>
      <c r="H578" t="s">
        <v>2961</v>
      </c>
      <c r="I578" t="s">
        <v>2318</v>
      </c>
      <c r="J578" t="s">
        <v>2800</v>
      </c>
      <c r="K578" t="s">
        <v>2846</v>
      </c>
      <c r="L578">
        <v>0</v>
      </c>
      <c r="M578">
        <v>0</v>
      </c>
      <c r="O578">
        <v>0</v>
      </c>
      <c r="P578">
        <v>0</v>
      </c>
      <c r="Q578">
        <v>0</v>
      </c>
      <c r="R578" s="49"/>
      <c r="T578" t="s">
        <v>2468</v>
      </c>
      <c r="U578" t="s">
        <v>127</v>
      </c>
      <c r="V578" t="s">
        <v>140</v>
      </c>
      <c r="W578">
        <v>45</v>
      </c>
      <c r="X578">
        <v>0</v>
      </c>
      <c r="AA578" t="s">
        <v>141</v>
      </c>
      <c r="AB578" t="s">
        <v>142</v>
      </c>
      <c r="AC578">
        <v>11611</v>
      </c>
      <c r="AD578">
        <v>11612</v>
      </c>
      <c r="AF578">
        <v>1</v>
      </c>
    </row>
    <row r="579" spans="1:32">
      <c r="A579">
        <v>1</v>
      </c>
      <c r="E579" t="s">
        <v>3428</v>
      </c>
      <c r="F579">
        <v>36</v>
      </c>
      <c r="G579" t="s">
        <v>2900</v>
      </c>
      <c r="H579" t="s">
        <v>2961</v>
      </c>
      <c r="I579" t="s">
        <v>2318</v>
      </c>
      <c r="J579" t="s">
        <v>2801</v>
      </c>
      <c r="K579" t="s">
        <v>2847</v>
      </c>
      <c r="L579">
        <v>0</v>
      </c>
      <c r="M579">
        <v>0</v>
      </c>
      <c r="O579">
        <v>0</v>
      </c>
      <c r="P579">
        <v>0</v>
      </c>
      <c r="Q579">
        <v>0</v>
      </c>
      <c r="R579" s="49"/>
      <c r="T579" t="s">
        <v>2468</v>
      </c>
      <c r="U579" t="s">
        <v>127</v>
      </c>
      <c r="V579" t="s">
        <v>140</v>
      </c>
      <c r="W579">
        <v>100</v>
      </c>
      <c r="X579">
        <v>0</v>
      </c>
      <c r="AA579" t="s">
        <v>141</v>
      </c>
      <c r="AB579" t="s">
        <v>142</v>
      </c>
      <c r="AC579">
        <v>11611</v>
      </c>
      <c r="AD579">
        <v>11612</v>
      </c>
      <c r="AF579">
        <v>1</v>
      </c>
    </row>
    <row r="580" spans="1:32">
      <c r="A580">
        <v>1</v>
      </c>
      <c r="E580" t="s">
        <v>3429</v>
      </c>
      <c r="F580">
        <v>36</v>
      </c>
      <c r="G580" t="s">
        <v>2900</v>
      </c>
      <c r="H580" t="s">
        <v>2961</v>
      </c>
      <c r="I580" t="s">
        <v>2318</v>
      </c>
      <c r="J580" t="s">
        <v>2802</v>
      </c>
      <c r="K580" t="s">
        <v>2847</v>
      </c>
      <c r="L580">
        <v>0</v>
      </c>
      <c r="M580">
        <v>0</v>
      </c>
      <c r="O580">
        <v>0</v>
      </c>
      <c r="P580">
        <v>0</v>
      </c>
      <c r="Q580">
        <v>0</v>
      </c>
      <c r="R580" s="49"/>
      <c r="T580" t="s">
        <v>2468</v>
      </c>
      <c r="U580" t="s">
        <v>127</v>
      </c>
      <c r="V580" t="s">
        <v>140</v>
      </c>
      <c r="W580">
        <v>200</v>
      </c>
      <c r="X580">
        <v>0</v>
      </c>
      <c r="AA580" t="s">
        <v>141</v>
      </c>
      <c r="AB580" t="s">
        <v>142</v>
      </c>
      <c r="AC580">
        <v>11611</v>
      </c>
      <c r="AD580">
        <v>11612</v>
      </c>
      <c r="AF580">
        <v>1</v>
      </c>
    </row>
    <row r="581" spans="1:32">
      <c r="A581">
        <v>1</v>
      </c>
      <c r="E581" t="s">
        <v>3430</v>
      </c>
      <c r="F581">
        <v>12</v>
      </c>
      <c r="G581" t="s">
        <v>2900</v>
      </c>
      <c r="H581" t="s">
        <v>2961</v>
      </c>
      <c r="I581" t="s">
        <v>2318</v>
      </c>
      <c r="J581" t="s">
        <v>2803</v>
      </c>
      <c r="K581" t="s">
        <v>2850</v>
      </c>
      <c r="L581">
        <v>0</v>
      </c>
      <c r="M581">
        <v>0</v>
      </c>
      <c r="O581">
        <v>0</v>
      </c>
      <c r="P581">
        <v>0</v>
      </c>
      <c r="Q581">
        <v>0</v>
      </c>
      <c r="R581" s="49"/>
      <c r="T581" t="s">
        <v>2468</v>
      </c>
      <c r="U581" t="s">
        <v>127</v>
      </c>
      <c r="V581" t="s">
        <v>140</v>
      </c>
      <c r="W581">
        <v>500</v>
      </c>
      <c r="X581">
        <v>0</v>
      </c>
      <c r="AA581" t="s">
        <v>141</v>
      </c>
      <c r="AB581" t="s">
        <v>142</v>
      </c>
      <c r="AC581">
        <v>11611</v>
      </c>
      <c r="AD581">
        <v>11612</v>
      </c>
      <c r="AF581">
        <v>1</v>
      </c>
    </row>
    <row r="582" spans="1:32">
      <c r="A582">
        <v>1</v>
      </c>
      <c r="E582" t="s">
        <v>3431</v>
      </c>
      <c r="F582">
        <v>36</v>
      </c>
      <c r="G582" t="s">
        <v>2900</v>
      </c>
      <c r="H582" t="s">
        <v>2961</v>
      </c>
      <c r="I582" t="s">
        <v>2318</v>
      </c>
      <c r="J582" t="s">
        <v>2804</v>
      </c>
      <c r="K582" t="s">
        <v>2847</v>
      </c>
      <c r="L582">
        <v>0</v>
      </c>
      <c r="M582">
        <v>0</v>
      </c>
      <c r="O582">
        <v>0</v>
      </c>
      <c r="P582">
        <v>0</v>
      </c>
      <c r="Q582">
        <v>0</v>
      </c>
      <c r="R582" s="49"/>
      <c r="T582" t="s">
        <v>2468</v>
      </c>
      <c r="U582" t="s">
        <v>127</v>
      </c>
      <c r="V582" t="s">
        <v>140</v>
      </c>
      <c r="W582">
        <v>200</v>
      </c>
      <c r="X582">
        <v>0</v>
      </c>
      <c r="AA582" t="s">
        <v>141</v>
      </c>
      <c r="AB582" t="s">
        <v>142</v>
      </c>
      <c r="AC582">
        <v>11611</v>
      </c>
      <c r="AD582">
        <v>11612</v>
      </c>
      <c r="AF582">
        <v>1</v>
      </c>
    </row>
    <row r="583" spans="1:32">
      <c r="A583">
        <v>1</v>
      </c>
      <c r="E583" t="s">
        <v>3432</v>
      </c>
      <c r="F583">
        <v>36</v>
      </c>
      <c r="G583" t="s">
        <v>2900</v>
      </c>
      <c r="H583" t="s">
        <v>2961</v>
      </c>
      <c r="I583" t="s">
        <v>2318</v>
      </c>
      <c r="J583" t="s">
        <v>2805</v>
      </c>
      <c r="K583" t="s">
        <v>2847</v>
      </c>
      <c r="L583">
        <v>0</v>
      </c>
      <c r="M583">
        <v>0</v>
      </c>
      <c r="O583">
        <v>0</v>
      </c>
      <c r="P583">
        <v>0</v>
      </c>
      <c r="Q583">
        <v>0</v>
      </c>
      <c r="R583" s="49"/>
      <c r="T583" t="s">
        <v>2468</v>
      </c>
      <c r="U583" t="s">
        <v>127</v>
      </c>
      <c r="V583" t="s">
        <v>140</v>
      </c>
      <c r="W583">
        <v>100</v>
      </c>
      <c r="X583">
        <v>0</v>
      </c>
      <c r="AA583" t="s">
        <v>141</v>
      </c>
      <c r="AB583" t="s">
        <v>142</v>
      </c>
      <c r="AC583">
        <v>11611</v>
      </c>
      <c r="AD583">
        <v>11612</v>
      </c>
      <c r="AF583">
        <v>1</v>
      </c>
    </row>
    <row r="584" spans="1:32">
      <c r="A584">
        <v>1</v>
      </c>
      <c r="E584" t="s">
        <v>3433</v>
      </c>
      <c r="F584">
        <v>36</v>
      </c>
      <c r="G584" t="s">
        <v>2900</v>
      </c>
      <c r="H584" t="s">
        <v>2961</v>
      </c>
      <c r="I584" t="s">
        <v>2318</v>
      </c>
      <c r="J584" t="s">
        <v>2806</v>
      </c>
      <c r="K584" t="s">
        <v>2847</v>
      </c>
      <c r="L584">
        <v>0</v>
      </c>
      <c r="M584">
        <v>0</v>
      </c>
      <c r="O584">
        <v>0</v>
      </c>
      <c r="P584">
        <v>0</v>
      </c>
      <c r="Q584">
        <v>0</v>
      </c>
      <c r="R584" s="49"/>
      <c r="T584" t="s">
        <v>2468</v>
      </c>
      <c r="U584" t="s">
        <v>127</v>
      </c>
      <c r="V584" t="s">
        <v>140</v>
      </c>
      <c r="W584">
        <v>200</v>
      </c>
      <c r="X584">
        <v>0</v>
      </c>
      <c r="AA584" t="s">
        <v>141</v>
      </c>
      <c r="AB584" t="s">
        <v>142</v>
      </c>
      <c r="AC584">
        <v>11611</v>
      </c>
      <c r="AD584">
        <v>11612</v>
      </c>
      <c r="AF584">
        <v>1</v>
      </c>
    </row>
    <row r="585" spans="1:32">
      <c r="A585">
        <v>1</v>
      </c>
      <c r="E585" t="s">
        <v>3434</v>
      </c>
      <c r="F585">
        <v>36</v>
      </c>
      <c r="G585" t="s">
        <v>2900</v>
      </c>
      <c r="H585" t="s">
        <v>2961</v>
      </c>
      <c r="I585" t="s">
        <v>2318</v>
      </c>
      <c r="J585" t="s">
        <v>2807</v>
      </c>
      <c r="K585" t="s">
        <v>2847</v>
      </c>
      <c r="L585">
        <v>0</v>
      </c>
      <c r="M585">
        <v>0</v>
      </c>
      <c r="O585">
        <v>0</v>
      </c>
      <c r="P585">
        <v>0</v>
      </c>
      <c r="Q585">
        <v>0</v>
      </c>
      <c r="R585" s="49"/>
      <c r="T585" t="s">
        <v>2468</v>
      </c>
      <c r="U585" t="s">
        <v>127</v>
      </c>
      <c r="V585" t="s">
        <v>140</v>
      </c>
      <c r="W585">
        <v>200</v>
      </c>
      <c r="X585">
        <v>0</v>
      </c>
      <c r="AA585" t="s">
        <v>141</v>
      </c>
      <c r="AB585" t="s">
        <v>142</v>
      </c>
      <c r="AC585">
        <v>11611</v>
      </c>
      <c r="AD585">
        <v>11612</v>
      </c>
      <c r="AF585">
        <v>1</v>
      </c>
    </row>
    <row r="586" spans="1:32">
      <c r="A586">
        <v>1</v>
      </c>
      <c r="E586" t="s">
        <v>3435</v>
      </c>
      <c r="F586">
        <v>36</v>
      </c>
      <c r="G586" t="s">
        <v>2900</v>
      </c>
      <c r="H586" t="s">
        <v>2961</v>
      </c>
      <c r="I586" t="s">
        <v>2318</v>
      </c>
      <c r="J586" t="s">
        <v>2808</v>
      </c>
      <c r="K586" t="s">
        <v>2847</v>
      </c>
      <c r="L586">
        <v>0</v>
      </c>
      <c r="M586">
        <v>0</v>
      </c>
      <c r="O586">
        <v>0</v>
      </c>
      <c r="P586">
        <v>0</v>
      </c>
      <c r="Q586">
        <v>0</v>
      </c>
      <c r="R586" s="49"/>
      <c r="T586" t="s">
        <v>2468</v>
      </c>
      <c r="U586" t="s">
        <v>127</v>
      </c>
      <c r="V586" t="s">
        <v>140</v>
      </c>
      <c r="W586">
        <v>100</v>
      </c>
      <c r="X586">
        <v>0</v>
      </c>
      <c r="AA586" t="s">
        <v>141</v>
      </c>
      <c r="AB586" t="s">
        <v>142</v>
      </c>
      <c r="AC586">
        <v>11611</v>
      </c>
      <c r="AD586">
        <v>11612</v>
      </c>
      <c r="AF586">
        <v>1</v>
      </c>
    </row>
    <row r="587" spans="1:32">
      <c r="A587">
        <v>1</v>
      </c>
      <c r="E587" t="s">
        <v>3436</v>
      </c>
      <c r="F587">
        <v>36</v>
      </c>
      <c r="G587" t="s">
        <v>2900</v>
      </c>
      <c r="H587" t="s">
        <v>2961</v>
      </c>
      <c r="I587" t="s">
        <v>2318</v>
      </c>
      <c r="J587" t="s">
        <v>2809</v>
      </c>
      <c r="K587" t="s">
        <v>2847</v>
      </c>
      <c r="L587">
        <v>0</v>
      </c>
      <c r="M587">
        <v>0</v>
      </c>
      <c r="O587">
        <v>0</v>
      </c>
      <c r="P587">
        <v>0</v>
      </c>
      <c r="Q587">
        <v>0</v>
      </c>
      <c r="R587" s="49"/>
      <c r="T587" t="s">
        <v>2468</v>
      </c>
      <c r="U587" t="s">
        <v>127</v>
      </c>
      <c r="V587" t="s">
        <v>140</v>
      </c>
      <c r="W587">
        <v>200</v>
      </c>
      <c r="X587">
        <v>0</v>
      </c>
      <c r="AA587" t="s">
        <v>141</v>
      </c>
      <c r="AB587" t="s">
        <v>142</v>
      </c>
      <c r="AC587">
        <v>11611</v>
      </c>
      <c r="AD587">
        <v>11612</v>
      </c>
      <c r="AF587">
        <v>1</v>
      </c>
    </row>
    <row r="588" spans="1:32">
      <c r="A588">
        <v>1</v>
      </c>
      <c r="E588" t="s">
        <v>3437</v>
      </c>
      <c r="F588">
        <v>160</v>
      </c>
      <c r="G588" t="s">
        <v>2900</v>
      </c>
      <c r="H588" t="s">
        <v>2961</v>
      </c>
      <c r="I588" t="s">
        <v>2326</v>
      </c>
      <c r="J588" t="s">
        <v>2810</v>
      </c>
      <c r="K588" t="s">
        <v>2862</v>
      </c>
      <c r="L588">
        <v>0</v>
      </c>
      <c r="M588">
        <v>0</v>
      </c>
      <c r="O588">
        <v>0</v>
      </c>
      <c r="P588">
        <v>0</v>
      </c>
      <c r="Q588">
        <v>0</v>
      </c>
      <c r="R588" s="49"/>
      <c r="T588" t="s">
        <v>2468</v>
      </c>
      <c r="U588" t="s">
        <v>127</v>
      </c>
      <c r="V588" t="s">
        <v>140</v>
      </c>
      <c r="W588">
        <v>1</v>
      </c>
      <c r="X588">
        <v>0</v>
      </c>
      <c r="AA588" t="s">
        <v>141</v>
      </c>
      <c r="AB588" t="s">
        <v>142</v>
      </c>
      <c r="AC588">
        <v>11611</v>
      </c>
      <c r="AD588">
        <v>11612</v>
      </c>
      <c r="AF588">
        <v>1</v>
      </c>
    </row>
    <row r="589" spans="1:32">
      <c r="A589">
        <v>1</v>
      </c>
      <c r="E589" t="s">
        <v>3438</v>
      </c>
      <c r="F589">
        <v>24</v>
      </c>
      <c r="G589" t="s">
        <v>2900</v>
      </c>
      <c r="H589" t="s">
        <v>2961</v>
      </c>
      <c r="I589" t="s">
        <v>2326</v>
      </c>
      <c r="J589" t="s">
        <v>2811</v>
      </c>
      <c r="K589" t="s">
        <v>2852</v>
      </c>
      <c r="L589">
        <v>0</v>
      </c>
      <c r="M589">
        <v>0</v>
      </c>
      <c r="O589">
        <v>0</v>
      </c>
      <c r="P589">
        <v>0</v>
      </c>
      <c r="Q589">
        <v>0</v>
      </c>
      <c r="R589" s="49"/>
      <c r="T589" t="s">
        <v>2468</v>
      </c>
      <c r="U589" t="s">
        <v>127</v>
      </c>
      <c r="V589" t="s">
        <v>140</v>
      </c>
      <c r="W589">
        <v>200</v>
      </c>
      <c r="X589">
        <v>0</v>
      </c>
      <c r="AA589" t="s">
        <v>141</v>
      </c>
      <c r="AB589" t="s">
        <v>142</v>
      </c>
      <c r="AC589">
        <v>11611</v>
      </c>
      <c r="AD589">
        <v>11612</v>
      </c>
      <c r="AF589">
        <v>1</v>
      </c>
    </row>
    <row r="590" spans="1:32">
      <c r="A590">
        <v>1</v>
      </c>
      <c r="E590" t="s">
        <v>3439</v>
      </c>
      <c r="F590">
        <v>24</v>
      </c>
      <c r="G590" t="s">
        <v>2900</v>
      </c>
      <c r="H590" t="s">
        <v>2961</v>
      </c>
      <c r="I590" t="s">
        <v>2326</v>
      </c>
      <c r="J590" t="s">
        <v>2812</v>
      </c>
      <c r="K590" t="s">
        <v>2852</v>
      </c>
      <c r="L590">
        <v>0</v>
      </c>
      <c r="M590">
        <v>0</v>
      </c>
      <c r="O590">
        <v>0</v>
      </c>
      <c r="P590">
        <v>0</v>
      </c>
      <c r="Q590">
        <v>0</v>
      </c>
      <c r="R590" s="49"/>
      <c r="T590" t="s">
        <v>2468</v>
      </c>
      <c r="U590" t="s">
        <v>127</v>
      </c>
      <c r="V590" t="s">
        <v>140</v>
      </c>
      <c r="W590">
        <v>250</v>
      </c>
      <c r="X590">
        <v>0</v>
      </c>
      <c r="AA590" t="s">
        <v>141</v>
      </c>
      <c r="AB590" t="s">
        <v>142</v>
      </c>
      <c r="AC590">
        <v>11611</v>
      </c>
      <c r="AD590">
        <v>11612</v>
      </c>
      <c r="AF590">
        <v>1</v>
      </c>
    </row>
    <row r="591" spans="1:32">
      <c r="A591">
        <v>1</v>
      </c>
      <c r="E591" t="s">
        <v>3440</v>
      </c>
      <c r="F591">
        <v>24</v>
      </c>
      <c r="G591" t="s">
        <v>2900</v>
      </c>
      <c r="H591" t="s">
        <v>2961</v>
      </c>
      <c r="I591" t="s">
        <v>2328</v>
      </c>
      <c r="J591" t="s">
        <v>2813</v>
      </c>
      <c r="K591" t="s">
        <v>2852</v>
      </c>
      <c r="L591">
        <v>0</v>
      </c>
      <c r="M591">
        <v>0</v>
      </c>
      <c r="O591">
        <v>0</v>
      </c>
      <c r="P591">
        <v>0</v>
      </c>
      <c r="Q591">
        <v>0</v>
      </c>
      <c r="R591" s="49"/>
      <c r="T591" t="s">
        <v>2468</v>
      </c>
      <c r="U591" t="s">
        <v>127</v>
      </c>
      <c r="V591" t="s">
        <v>140</v>
      </c>
      <c r="W591">
        <v>100</v>
      </c>
      <c r="X591">
        <v>0</v>
      </c>
      <c r="AA591" t="s">
        <v>141</v>
      </c>
      <c r="AB591" t="s">
        <v>142</v>
      </c>
      <c r="AC591">
        <v>11611</v>
      </c>
      <c r="AD591">
        <v>11612</v>
      </c>
      <c r="AF591">
        <v>1</v>
      </c>
    </row>
    <row r="592" spans="1:32">
      <c r="A592">
        <v>1</v>
      </c>
      <c r="E592" t="s">
        <v>2654</v>
      </c>
      <c r="F592">
        <v>24</v>
      </c>
      <c r="G592" t="s">
        <v>2900</v>
      </c>
      <c r="H592" t="s">
        <v>2961</v>
      </c>
      <c r="I592" t="s">
        <v>2328</v>
      </c>
      <c r="J592" t="s">
        <v>2657</v>
      </c>
      <c r="K592" t="s">
        <v>2852</v>
      </c>
      <c r="L592">
        <v>0</v>
      </c>
      <c r="M592">
        <v>0</v>
      </c>
      <c r="O592">
        <v>0</v>
      </c>
      <c r="P592">
        <v>0</v>
      </c>
      <c r="Q592">
        <v>0</v>
      </c>
      <c r="R592" s="49"/>
      <c r="T592" t="s">
        <v>2468</v>
      </c>
      <c r="U592" t="s">
        <v>127</v>
      </c>
      <c r="V592" t="s">
        <v>140</v>
      </c>
      <c r="W592">
        <v>100</v>
      </c>
      <c r="X592">
        <v>0</v>
      </c>
      <c r="AA592" t="s">
        <v>141</v>
      </c>
      <c r="AB592" t="s">
        <v>142</v>
      </c>
      <c r="AC592">
        <v>11611</v>
      </c>
      <c r="AD592">
        <v>11612</v>
      </c>
      <c r="AF592">
        <v>1</v>
      </c>
    </row>
    <row r="593" spans="1:32">
      <c r="A593">
        <v>1</v>
      </c>
      <c r="E593" t="s">
        <v>3441</v>
      </c>
      <c r="F593">
        <v>24</v>
      </c>
      <c r="G593" t="s">
        <v>2900</v>
      </c>
      <c r="H593" t="s">
        <v>2961</v>
      </c>
      <c r="I593" t="s">
        <v>2173</v>
      </c>
      <c r="J593" t="s">
        <v>2814</v>
      </c>
      <c r="K593" t="s">
        <v>2852</v>
      </c>
      <c r="L593">
        <v>0</v>
      </c>
      <c r="M593">
        <v>0</v>
      </c>
      <c r="O593">
        <v>0</v>
      </c>
      <c r="P593">
        <v>0</v>
      </c>
      <c r="Q593">
        <v>0</v>
      </c>
      <c r="R593" s="49"/>
      <c r="T593" t="s">
        <v>2468</v>
      </c>
      <c r="U593" t="s">
        <v>127</v>
      </c>
      <c r="V593" t="s">
        <v>140</v>
      </c>
      <c r="W593">
        <v>50</v>
      </c>
      <c r="X593">
        <v>0</v>
      </c>
      <c r="AA593" t="s">
        <v>141</v>
      </c>
      <c r="AB593" t="s">
        <v>142</v>
      </c>
      <c r="AC593">
        <v>11611</v>
      </c>
      <c r="AD593">
        <v>11612</v>
      </c>
      <c r="AF593">
        <v>1</v>
      </c>
    </row>
    <row r="594" spans="1:32">
      <c r="A594">
        <v>1</v>
      </c>
      <c r="E594" t="s">
        <v>3442</v>
      </c>
      <c r="F594">
        <v>24</v>
      </c>
      <c r="G594" t="s">
        <v>2900</v>
      </c>
      <c r="H594" t="s">
        <v>2961</v>
      </c>
      <c r="I594" t="s">
        <v>2165</v>
      </c>
      <c r="J594" t="s">
        <v>2815</v>
      </c>
      <c r="K594" t="s">
        <v>2852</v>
      </c>
      <c r="L594">
        <v>0</v>
      </c>
      <c r="M594">
        <v>0</v>
      </c>
      <c r="O594">
        <v>0</v>
      </c>
      <c r="P594">
        <v>0</v>
      </c>
      <c r="Q594">
        <v>0</v>
      </c>
      <c r="R594" s="49"/>
      <c r="T594" t="s">
        <v>2468</v>
      </c>
      <c r="U594" t="s">
        <v>127</v>
      </c>
      <c r="V594" t="s">
        <v>140</v>
      </c>
      <c r="W594">
        <v>75</v>
      </c>
      <c r="X594">
        <v>0</v>
      </c>
      <c r="AA594" t="s">
        <v>141</v>
      </c>
      <c r="AB594" t="s">
        <v>142</v>
      </c>
      <c r="AC594">
        <v>11611</v>
      </c>
      <c r="AD594">
        <v>11612</v>
      </c>
      <c r="AF594">
        <v>1</v>
      </c>
    </row>
    <row r="595" spans="1:32">
      <c r="A595">
        <v>1</v>
      </c>
      <c r="E595" t="s">
        <v>3443</v>
      </c>
      <c r="F595">
        <v>24</v>
      </c>
      <c r="G595" t="s">
        <v>2900</v>
      </c>
      <c r="H595" t="s">
        <v>2961</v>
      </c>
      <c r="I595" t="s">
        <v>2165</v>
      </c>
      <c r="J595" t="s">
        <v>2816</v>
      </c>
      <c r="K595" t="s">
        <v>2852</v>
      </c>
      <c r="L595">
        <v>0</v>
      </c>
      <c r="M595">
        <v>0</v>
      </c>
      <c r="O595">
        <v>0</v>
      </c>
      <c r="P595">
        <v>0</v>
      </c>
      <c r="Q595">
        <v>0</v>
      </c>
      <c r="R595" s="49"/>
      <c r="T595" t="s">
        <v>2468</v>
      </c>
      <c r="U595" t="s">
        <v>127</v>
      </c>
      <c r="V595" t="s">
        <v>140</v>
      </c>
      <c r="W595">
        <v>75</v>
      </c>
      <c r="X595">
        <v>0</v>
      </c>
      <c r="AA595" t="s">
        <v>141</v>
      </c>
      <c r="AB595" t="s">
        <v>142</v>
      </c>
      <c r="AC595">
        <v>11611</v>
      </c>
      <c r="AD595">
        <v>11612</v>
      </c>
      <c r="AF595">
        <v>1</v>
      </c>
    </row>
    <row r="596" spans="1:32">
      <c r="A596">
        <v>1</v>
      </c>
      <c r="E596" t="s">
        <v>3444</v>
      </c>
      <c r="F596">
        <v>36</v>
      </c>
      <c r="G596" t="s">
        <v>2900</v>
      </c>
      <c r="H596" t="s">
        <v>2961</v>
      </c>
      <c r="I596" t="s">
        <v>2428</v>
      </c>
      <c r="J596" t="s">
        <v>2817</v>
      </c>
      <c r="K596" t="s">
        <v>2847</v>
      </c>
      <c r="L596">
        <v>0</v>
      </c>
      <c r="M596">
        <v>0</v>
      </c>
      <c r="O596">
        <v>0</v>
      </c>
      <c r="P596">
        <v>0</v>
      </c>
      <c r="Q596">
        <v>0</v>
      </c>
      <c r="R596" s="49"/>
      <c r="T596" t="s">
        <v>2468</v>
      </c>
      <c r="U596" t="s">
        <v>127</v>
      </c>
      <c r="V596" t="s">
        <v>140</v>
      </c>
      <c r="W596">
        <v>100</v>
      </c>
      <c r="X596">
        <v>0</v>
      </c>
      <c r="AA596" t="s">
        <v>141</v>
      </c>
      <c r="AB596" t="s">
        <v>142</v>
      </c>
      <c r="AC596">
        <v>11611</v>
      </c>
      <c r="AD596">
        <v>11612</v>
      </c>
      <c r="AF596">
        <v>1</v>
      </c>
    </row>
    <row r="597" spans="1:32">
      <c r="A597">
        <v>1</v>
      </c>
      <c r="E597" t="s">
        <v>3445</v>
      </c>
      <c r="F597">
        <v>12</v>
      </c>
      <c r="G597" t="s">
        <v>2900</v>
      </c>
      <c r="H597" t="s">
        <v>2961</v>
      </c>
      <c r="I597" t="s">
        <v>2278</v>
      </c>
      <c r="J597" t="s">
        <v>2818</v>
      </c>
      <c r="K597" t="s">
        <v>2850</v>
      </c>
      <c r="L597">
        <v>0</v>
      </c>
      <c r="M597">
        <v>0</v>
      </c>
      <c r="O597">
        <v>0</v>
      </c>
      <c r="P597">
        <v>0</v>
      </c>
      <c r="Q597">
        <v>0</v>
      </c>
      <c r="R597" s="49"/>
      <c r="T597" t="s">
        <v>2468</v>
      </c>
      <c r="U597" t="s">
        <v>127</v>
      </c>
      <c r="V597" t="s">
        <v>140</v>
      </c>
      <c r="W597">
        <v>200</v>
      </c>
      <c r="X597">
        <v>0</v>
      </c>
      <c r="AA597" t="s">
        <v>141</v>
      </c>
      <c r="AB597" t="s">
        <v>142</v>
      </c>
      <c r="AC597">
        <v>11611</v>
      </c>
      <c r="AD597">
        <v>11612</v>
      </c>
      <c r="AF597">
        <v>1</v>
      </c>
    </row>
    <row r="598" spans="1:32">
      <c r="A598">
        <v>1</v>
      </c>
      <c r="E598" t="s">
        <v>3446</v>
      </c>
      <c r="F598">
        <v>36</v>
      </c>
      <c r="G598" t="s">
        <v>2900</v>
      </c>
      <c r="H598" t="s">
        <v>2961</v>
      </c>
      <c r="I598" t="s">
        <v>2320</v>
      </c>
      <c r="J598" t="s">
        <v>2819</v>
      </c>
      <c r="K598" t="s">
        <v>2847</v>
      </c>
      <c r="L598">
        <v>0</v>
      </c>
      <c r="M598">
        <v>0</v>
      </c>
      <c r="O598">
        <v>0</v>
      </c>
      <c r="P598">
        <v>0</v>
      </c>
      <c r="Q598">
        <v>0</v>
      </c>
      <c r="R598" s="49"/>
      <c r="T598" t="s">
        <v>2468</v>
      </c>
      <c r="U598" t="s">
        <v>127</v>
      </c>
      <c r="V598" t="s">
        <v>140</v>
      </c>
      <c r="W598">
        <v>250</v>
      </c>
      <c r="X598">
        <v>0</v>
      </c>
      <c r="AA598" t="s">
        <v>141</v>
      </c>
      <c r="AB598" t="s">
        <v>142</v>
      </c>
      <c r="AC598">
        <v>11611</v>
      </c>
      <c r="AD598">
        <v>11612</v>
      </c>
      <c r="AF598">
        <v>1</v>
      </c>
    </row>
    <row r="599" spans="1:32">
      <c r="A599">
        <v>2</v>
      </c>
      <c r="E599" t="s">
        <v>3447</v>
      </c>
      <c r="F599">
        <v>36</v>
      </c>
      <c r="G599" t="s">
        <v>2900</v>
      </c>
      <c r="H599" t="s">
        <v>2961</v>
      </c>
      <c r="I599" t="s">
        <v>2320</v>
      </c>
      <c r="J599" t="s">
        <v>2820</v>
      </c>
      <c r="K599" t="s">
        <v>2847</v>
      </c>
      <c r="L599">
        <v>0</v>
      </c>
      <c r="M599">
        <v>0</v>
      </c>
      <c r="O599">
        <v>0</v>
      </c>
      <c r="P599">
        <v>0</v>
      </c>
      <c r="Q599">
        <v>0</v>
      </c>
      <c r="R599" s="49"/>
      <c r="T599" t="s">
        <v>2468</v>
      </c>
      <c r="U599" t="s">
        <v>127</v>
      </c>
      <c r="V599" t="s">
        <v>140</v>
      </c>
      <c r="W599">
        <v>250</v>
      </c>
      <c r="X599">
        <v>0</v>
      </c>
      <c r="AA599" t="s">
        <v>141</v>
      </c>
      <c r="AB599" t="s">
        <v>142</v>
      </c>
      <c r="AC599">
        <v>11611</v>
      </c>
      <c r="AD599">
        <v>11612</v>
      </c>
      <c r="AF599">
        <v>1</v>
      </c>
    </row>
    <row r="600" spans="1:32">
      <c r="A600">
        <v>1</v>
      </c>
      <c r="E600" t="s">
        <v>3448</v>
      </c>
      <c r="F600">
        <v>36</v>
      </c>
      <c r="G600" t="s">
        <v>2900</v>
      </c>
      <c r="H600" t="s">
        <v>2961</v>
      </c>
      <c r="I600" t="s">
        <v>2320</v>
      </c>
      <c r="J600" t="s">
        <v>2821</v>
      </c>
      <c r="K600" t="s">
        <v>2847</v>
      </c>
      <c r="L600">
        <v>0</v>
      </c>
      <c r="M600">
        <v>0</v>
      </c>
      <c r="O600">
        <v>0</v>
      </c>
      <c r="P600">
        <v>0</v>
      </c>
      <c r="Q600">
        <v>0</v>
      </c>
      <c r="R600" s="49"/>
      <c r="T600" t="s">
        <v>2468</v>
      </c>
      <c r="U600" t="s">
        <v>127</v>
      </c>
      <c r="V600" t="s">
        <v>140</v>
      </c>
      <c r="W600">
        <v>250</v>
      </c>
      <c r="X600">
        <v>0</v>
      </c>
      <c r="AA600" t="s">
        <v>141</v>
      </c>
      <c r="AB600" t="s">
        <v>142</v>
      </c>
      <c r="AC600">
        <v>11611</v>
      </c>
      <c r="AD600">
        <v>11612</v>
      </c>
      <c r="AF600">
        <v>1</v>
      </c>
    </row>
    <row r="601" spans="1:32">
      <c r="A601">
        <v>1</v>
      </c>
      <c r="E601" t="s">
        <v>3449</v>
      </c>
      <c r="F601">
        <v>12</v>
      </c>
      <c r="G601" t="s">
        <v>2900</v>
      </c>
      <c r="H601" t="s">
        <v>2961</v>
      </c>
      <c r="I601" t="s">
        <v>2278</v>
      </c>
      <c r="J601" t="s">
        <v>2822</v>
      </c>
      <c r="K601" t="s">
        <v>2850</v>
      </c>
      <c r="L601">
        <v>0</v>
      </c>
      <c r="M601">
        <v>0</v>
      </c>
      <c r="O601">
        <v>0</v>
      </c>
      <c r="P601">
        <v>0</v>
      </c>
      <c r="Q601">
        <v>0</v>
      </c>
      <c r="R601" s="49"/>
      <c r="T601" t="s">
        <v>2468</v>
      </c>
      <c r="U601" t="s">
        <v>127</v>
      </c>
      <c r="V601" t="s">
        <v>140</v>
      </c>
      <c r="W601">
        <v>200</v>
      </c>
      <c r="X601">
        <v>0</v>
      </c>
      <c r="AA601" t="s">
        <v>141</v>
      </c>
      <c r="AB601" t="s">
        <v>142</v>
      </c>
      <c r="AC601">
        <v>11611</v>
      </c>
      <c r="AD601">
        <v>11612</v>
      </c>
      <c r="AF601">
        <v>1</v>
      </c>
    </row>
    <row r="602" spans="1:32">
      <c r="A602">
        <v>1</v>
      </c>
      <c r="E602" t="s">
        <v>3450</v>
      </c>
      <c r="F602">
        <v>12</v>
      </c>
      <c r="G602" t="s">
        <v>2900</v>
      </c>
      <c r="H602" t="s">
        <v>2961</v>
      </c>
      <c r="I602" t="s">
        <v>2229</v>
      </c>
      <c r="J602" t="s">
        <v>2823</v>
      </c>
      <c r="K602" t="s">
        <v>2850</v>
      </c>
      <c r="L602">
        <v>0</v>
      </c>
      <c r="M602">
        <v>0</v>
      </c>
      <c r="O602">
        <v>0</v>
      </c>
      <c r="P602">
        <v>0</v>
      </c>
      <c r="Q602">
        <v>0</v>
      </c>
      <c r="R602" s="49"/>
      <c r="T602" t="s">
        <v>2468</v>
      </c>
      <c r="U602" t="s">
        <v>127</v>
      </c>
      <c r="V602" t="s">
        <v>140</v>
      </c>
      <c r="W602">
        <v>1</v>
      </c>
      <c r="X602">
        <v>0</v>
      </c>
      <c r="AA602" t="s">
        <v>141</v>
      </c>
      <c r="AB602" t="s">
        <v>142</v>
      </c>
      <c r="AC602">
        <v>11611</v>
      </c>
      <c r="AD602">
        <v>11612</v>
      </c>
      <c r="AF602">
        <v>1</v>
      </c>
    </row>
    <row r="603" spans="1:32">
      <c r="A603">
        <v>1</v>
      </c>
      <c r="E603" t="s">
        <v>2900</v>
      </c>
      <c r="F603">
        <v>0</v>
      </c>
      <c r="G603" t="s">
        <v>2900</v>
      </c>
      <c r="H603" t="s">
        <v>2961</v>
      </c>
      <c r="I603" t="s">
        <v>2173</v>
      </c>
      <c r="J603" t="s">
        <v>2824</v>
      </c>
      <c r="K603" t="s">
        <v>2858</v>
      </c>
      <c r="L603">
        <v>0</v>
      </c>
      <c r="M603">
        <v>0</v>
      </c>
      <c r="O603">
        <v>0</v>
      </c>
      <c r="P603">
        <v>0</v>
      </c>
      <c r="Q603">
        <v>0</v>
      </c>
      <c r="R603" s="49"/>
      <c r="T603" t="s">
        <v>2468</v>
      </c>
      <c r="U603" t="s">
        <v>127</v>
      </c>
      <c r="V603" t="s">
        <v>140</v>
      </c>
      <c r="W603">
        <v>75</v>
      </c>
      <c r="X603">
        <v>0</v>
      </c>
      <c r="AA603" t="s">
        <v>141</v>
      </c>
      <c r="AB603" t="s">
        <v>142</v>
      </c>
      <c r="AC603">
        <v>11611</v>
      </c>
      <c r="AD603">
        <v>11612</v>
      </c>
      <c r="AF603">
        <v>1</v>
      </c>
    </row>
    <row r="604" spans="1:32">
      <c r="A604">
        <v>1</v>
      </c>
      <c r="E604" t="s">
        <v>2900</v>
      </c>
      <c r="F604">
        <v>0</v>
      </c>
      <c r="G604" t="s">
        <v>2900</v>
      </c>
      <c r="H604" t="s">
        <v>2961</v>
      </c>
      <c r="I604" t="s">
        <v>2229</v>
      </c>
      <c r="J604" t="s">
        <v>2825</v>
      </c>
      <c r="K604" t="s">
        <v>2858</v>
      </c>
      <c r="L604">
        <v>0</v>
      </c>
      <c r="M604">
        <v>0</v>
      </c>
      <c r="O604">
        <v>0</v>
      </c>
      <c r="P604">
        <v>0</v>
      </c>
      <c r="Q604">
        <v>0</v>
      </c>
      <c r="R604" s="49"/>
      <c r="T604" t="s">
        <v>2468</v>
      </c>
      <c r="U604" t="s">
        <v>127</v>
      </c>
      <c r="V604" t="s">
        <v>140</v>
      </c>
      <c r="W604">
        <v>1</v>
      </c>
      <c r="X604">
        <v>0</v>
      </c>
      <c r="AA604" t="s">
        <v>141</v>
      </c>
      <c r="AB604" t="s">
        <v>142</v>
      </c>
      <c r="AC604">
        <v>11611</v>
      </c>
      <c r="AD604">
        <v>11612</v>
      </c>
      <c r="AF604">
        <v>1</v>
      </c>
    </row>
    <row r="605" spans="1:32">
      <c r="A605">
        <v>1</v>
      </c>
      <c r="E605" t="s">
        <v>3451</v>
      </c>
      <c r="F605">
        <v>36</v>
      </c>
      <c r="G605" t="s">
        <v>2900</v>
      </c>
      <c r="H605" t="s">
        <v>2961</v>
      </c>
      <c r="I605" t="s">
        <v>2318</v>
      </c>
      <c r="J605" t="s">
        <v>2826</v>
      </c>
      <c r="K605" t="s">
        <v>2847</v>
      </c>
      <c r="L605">
        <v>0</v>
      </c>
      <c r="M605">
        <v>0</v>
      </c>
      <c r="O605">
        <v>0</v>
      </c>
      <c r="P605">
        <v>0</v>
      </c>
      <c r="Q605">
        <v>0</v>
      </c>
      <c r="R605" s="49"/>
      <c r="T605" t="s">
        <v>2468</v>
      </c>
      <c r="U605" t="s">
        <v>127</v>
      </c>
      <c r="V605" t="s">
        <v>140</v>
      </c>
      <c r="W605">
        <v>200</v>
      </c>
      <c r="X605">
        <v>0</v>
      </c>
      <c r="AA605" t="s">
        <v>141</v>
      </c>
      <c r="AB605" t="s">
        <v>142</v>
      </c>
      <c r="AC605">
        <v>11611</v>
      </c>
      <c r="AD605">
        <v>11612</v>
      </c>
      <c r="AF605">
        <v>1</v>
      </c>
    </row>
    <row r="606" spans="1:32">
      <c r="A606">
        <v>1</v>
      </c>
      <c r="E606" t="s">
        <v>3452</v>
      </c>
      <c r="F606">
        <v>12</v>
      </c>
      <c r="G606" t="s">
        <v>2900</v>
      </c>
      <c r="H606" t="s">
        <v>2961</v>
      </c>
      <c r="I606" t="s">
        <v>2457</v>
      </c>
      <c r="J606" t="s">
        <v>2827</v>
      </c>
      <c r="K606" t="s">
        <v>2850</v>
      </c>
      <c r="L606">
        <v>0</v>
      </c>
      <c r="M606">
        <v>0</v>
      </c>
      <c r="O606">
        <v>0</v>
      </c>
      <c r="P606">
        <v>0</v>
      </c>
      <c r="Q606">
        <v>0</v>
      </c>
      <c r="R606" s="49"/>
      <c r="T606" t="s">
        <v>2468</v>
      </c>
      <c r="U606" t="s">
        <v>127</v>
      </c>
      <c r="V606" t="s">
        <v>140</v>
      </c>
      <c r="W606">
        <v>500</v>
      </c>
      <c r="X606">
        <v>0</v>
      </c>
      <c r="AA606" t="s">
        <v>141</v>
      </c>
      <c r="AB606" t="s">
        <v>142</v>
      </c>
      <c r="AC606">
        <v>11611</v>
      </c>
      <c r="AD606">
        <v>11612</v>
      </c>
      <c r="AF606">
        <v>1</v>
      </c>
    </row>
    <row r="607" spans="1:32">
      <c r="A607">
        <v>1</v>
      </c>
      <c r="E607" t="s">
        <v>3453</v>
      </c>
      <c r="F607">
        <v>12</v>
      </c>
      <c r="G607" t="s">
        <v>2900</v>
      </c>
      <c r="H607" t="s">
        <v>2961</v>
      </c>
      <c r="I607" t="s">
        <v>2457</v>
      </c>
      <c r="J607" t="s">
        <v>2828</v>
      </c>
      <c r="K607" t="s">
        <v>2850</v>
      </c>
      <c r="L607">
        <v>0</v>
      </c>
      <c r="M607">
        <v>0</v>
      </c>
      <c r="O607">
        <v>0</v>
      </c>
      <c r="P607">
        <v>0</v>
      </c>
      <c r="Q607">
        <v>0</v>
      </c>
      <c r="R607" s="49"/>
      <c r="T607" t="s">
        <v>2468</v>
      </c>
      <c r="U607" t="s">
        <v>127</v>
      </c>
      <c r="V607" t="s">
        <v>140</v>
      </c>
      <c r="W607">
        <v>500</v>
      </c>
      <c r="X607">
        <v>0</v>
      </c>
      <c r="AA607" t="s">
        <v>141</v>
      </c>
      <c r="AB607" t="s">
        <v>142</v>
      </c>
      <c r="AC607">
        <v>11611</v>
      </c>
      <c r="AD607">
        <v>11612</v>
      </c>
      <c r="AF607">
        <v>1</v>
      </c>
    </row>
    <row r="608" spans="1:32">
      <c r="A608">
        <v>1</v>
      </c>
      <c r="E608" t="s">
        <v>3454</v>
      </c>
      <c r="F608">
        <v>12</v>
      </c>
      <c r="G608" t="s">
        <v>2900</v>
      </c>
      <c r="H608" t="s">
        <v>2961</v>
      </c>
      <c r="I608" t="s">
        <v>2457</v>
      </c>
      <c r="J608" t="s">
        <v>2829</v>
      </c>
      <c r="K608" t="s">
        <v>2850</v>
      </c>
      <c r="L608">
        <v>0</v>
      </c>
      <c r="M608">
        <v>0</v>
      </c>
      <c r="O608">
        <v>0</v>
      </c>
      <c r="P608">
        <v>0</v>
      </c>
      <c r="Q608">
        <v>0</v>
      </c>
      <c r="R608" s="49"/>
      <c r="T608" t="s">
        <v>2468</v>
      </c>
      <c r="U608" t="s">
        <v>127</v>
      </c>
      <c r="V608" t="s">
        <v>140</v>
      </c>
      <c r="W608">
        <v>500</v>
      </c>
      <c r="X608">
        <v>0</v>
      </c>
      <c r="AA608" t="s">
        <v>141</v>
      </c>
      <c r="AB608" t="s">
        <v>142</v>
      </c>
      <c r="AC608">
        <v>11611</v>
      </c>
      <c r="AD608">
        <v>11612</v>
      </c>
      <c r="AF608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B5F0-3EDC-46A5-ACFA-BB4E3F818A0B}">
  <sheetPr codeName="Sheet11"/>
  <dimension ref="A1:F24"/>
  <sheetViews>
    <sheetView workbookViewId="0">
      <selection activeCell="D11" sqref="D10:D11"/>
    </sheetView>
  </sheetViews>
  <sheetFormatPr defaultRowHeight="15"/>
  <cols>
    <col min="1" max="1" width="6.5703125" style="20" bestFit="1" customWidth="1"/>
    <col min="2" max="2" width="14.5703125" style="20" bestFit="1" customWidth="1"/>
    <col min="3" max="3" width="16.28515625" style="20" bestFit="1" customWidth="1"/>
    <col min="4" max="4" width="40.140625" style="20" bestFit="1" customWidth="1"/>
    <col min="5" max="5" width="11.28515625" style="20" customWidth="1"/>
    <col min="6" max="6" width="11.5703125" customWidth="1"/>
  </cols>
  <sheetData>
    <row r="1" spans="1:6" ht="32.25" customHeight="1">
      <c r="A1" s="5" t="s">
        <v>117</v>
      </c>
      <c r="B1" s="5" t="s">
        <v>46</v>
      </c>
      <c r="C1" s="5" t="s">
        <v>47</v>
      </c>
      <c r="D1" s="5" t="s">
        <v>48</v>
      </c>
      <c r="E1" s="5" t="s">
        <v>14</v>
      </c>
      <c r="F1" s="8" t="s">
        <v>15</v>
      </c>
    </row>
    <row r="2" spans="1:6">
      <c r="A2" s="20">
        <v>1</v>
      </c>
      <c r="B2" s="20" t="s">
        <v>49</v>
      </c>
      <c r="C2" s="20" t="s">
        <v>50</v>
      </c>
      <c r="D2" t="s">
        <v>51</v>
      </c>
      <c r="E2" s="20" t="s">
        <v>36</v>
      </c>
      <c r="F2" s="21" t="s">
        <v>35</v>
      </c>
    </row>
    <row r="3" spans="1:6">
      <c r="A3" s="20">
        <v>2</v>
      </c>
      <c r="B3" s="20" t="s">
        <v>49</v>
      </c>
      <c r="C3" s="20" t="s">
        <v>50</v>
      </c>
      <c r="D3" t="s">
        <v>52</v>
      </c>
      <c r="E3" s="20" t="s">
        <v>79</v>
      </c>
      <c r="F3" s="21" t="s">
        <v>78</v>
      </c>
    </row>
    <row r="4" spans="1:6">
      <c r="A4" s="20">
        <v>3</v>
      </c>
      <c r="B4" s="20" t="s">
        <v>49</v>
      </c>
      <c r="C4" s="20" t="s">
        <v>50</v>
      </c>
      <c r="D4" t="s">
        <v>53</v>
      </c>
      <c r="E4" s="20" t="s">
        <v>80</v>
      </c>
      <c r="F4" s="21" t="s">
        <v>81</v>
      </c>
    </row>
    <row r="5" spans="1:6">
      <c r="A5" s="20">
        <v>4</v>
      </c>
      <c r="B5" s="20" t="s">
        <v>49</v>
      </c>
      <c r="C5" s="20" t="s">
        <v>54</v>
      </c>
      <c r="D5" t="s">
        <v>55</v>
      </c>
      <c r="E5" s="20" t="s">
        <v>82</v>
      </c>
      <c r="F5" s="21" t="s">
        <v>107</v>
      </c>
    </row>
    <row r="6" spans="1:6">
      <c r="A6" s="20">
        <v>5</v>
      </c>
      <c r="B6" s="20" t="s">
        <v>49</v>
      </c>
      <c r="C6" s="20" t="s">
        <v>56</v>
      </c>
      <c r="D6" t="s">
        <v>57</v>
      </c>
      <c r="E6" s="20" t="s">
        <v>84</v>
      </c>
      <c r="F6" s="21" t="s">
        <v>85</v>
      </c>
    </row>
    <row r="7" spans="1:6">
      <c r="A7" s="20">
        <v>6</v>
      </c>
      <c r="B7" s="20" t="s">
        <v>49</v>
      </c>
      <c r="C7" s="20" t="s">
        <v>56</v>
      </c>
      <c r="D7" t="s">
        <v>58</v>
      </c>
      <c r="E7" s="20" t="s">
        <v>86</v>
      </c>
      <c r="F7" s="21" t="s">
        <v>87</v>
      </c>
    </row>
    <row r="8" spans="1:6">
      <c r="A8" s="20">
        <v>7</v>
      </c>
      <c r="B8" s="20" t="s">
        <v>49</v>
      </c>
      <c r="C8" s="20" t="s">
        <v>56</v>
      </c>
      <c r="D8" t="s">
        <v>59</v>
      </c>
      <c r="E8" s="20" t="s">
        <v>88</v>
      </c>
      <c r="F8" s="21" t="s">
        <v>89</v>
      </c>
    </row>
    <row r="9" spans="1:6">
      <c r="A9" s="20">
        <v>8</v>
      </c>
      <c r="B9" s="20" t="s">
        <v>49</v>
      </c>
      <c r="C9" s="20" t="s">
        <v>56</v>
      </c>
      <c r="D9" t="s">
        <v>60</v>
      </c>
      <c r="E9" s="20" t="s">
        <v>90</v>
      </c>
      <c r="F9" s="21" t="s">
        <v>91</v>
      </c>
    </row>
    <row r="10" spans="1:6">
      <c r="A10" s="20">
        <v>9</v>
      </c>
      <c r="B10" s="20" t="s">
        <v>49</v>
      </c>
      <c r="C10" s="20" t="s">
        <v>61</v>
      </c>
      <c r="D10" t="s">
        <v>62</v>
      </c>
      <c r="E10" s="20" t="s">
        <v>92</v>
      </c>
      <c r="F10" s="21" t="s">
        <v>93</v>
      </c>
    </row>
    <row r="11" spans="1:6">
      <c r="A11" s="20">
        <v>10</v>
      </c>
      <c r="B11" s="20" t="s">
        <v>49</v>
      </c>
      <c r="C11" s="20" t="s">
        <v>61</v>
      </c>
      <c r="D11" t="s">
        <v>63</v>
      </c>
      <c r="E11" s="20" t="s">
        <v>94</v>
      </c>
      <c r="F11" s="21" t="s">
        <v>95</v>
      </c>
    </row>
    <row r="12" spans="1:6">
      <c r="A12" s="20">
        <v>11</v>
      </c>
      <c r="B12" s="20" t="s">
        <v>64</v>
      </c>
      <c r="C12" s="20" t="s">
        <v>49</v>
      </c>
      <c r="D12" t="s">
        <v>65</v>
      </c>
      <c r="E12" s="20" t="s">
        <v>56</v>
      </c>
      <c r="F12" s="21" t="s">
        <v>96</v>
      </c>
    </row>
    <row r="13" spans="1:6">
      <c r="A13" s="20">
        <v>12</v>
      </c>
      <c r="B13" s="20" t="s">
        <v>64</v>
      </c>
      <c r="C13" s="20" t="s">
        <v>66</v>
      </c>
      <c r="D13" t="s">
        <v>67</v>
      </c>
      <c r="E13" s="20" t="s">
        <v>97</v>
      </c>
      <c r="F13" s="21" t="s">
        <v>98</v>
      </c>
    </row>
    <row r="14" spans="1:6">
      <c r="A14" s="20">
        <v>13</v>
      </c>
      <c r="B14" s="20" t="s">
        <v>64</v>
      </c>
      <c r="C14" s="20" t="s">
        <v>66</v>
      </c>
      <c r="D14" t="s">
        <v>68</v>
      </c>
      <c r="E14" s="20" t="s">
        <v>99</v>
      </c>
      <c r="F14" s="21" t="s">
        <v>100</v>
      </c>
    </row>
    <row r="15" spans="1:6">
      <c r="A15" s="20">
        <v>14</v>
      </c>
      <c r="B15" s="20" t="s">
        <v>64</v>
      </c>
      <c r="C15" s="20" t="s">
        <v>69</v>
      </c>
      <c r="D15" t="s">
        <v>70</v>
      </c>
      <c r="E15" s="20" t="s">
        <v>101</v>
      </c>
      <c r="F15" s="21" t="s">
        <v>102</v>
      </c>
    </row>
    <row r="16" spans="1:6">
      <c r="A16" s="20">
        <v>15</v>
      </c>
      <c r="B16" s="20" t="s">
        <v>64</v>
      </c>
      <c r="C16" s="20" t="s">
        <v>69</v>
      </c>
      <c r="D16" t="s">
        <v>71</v>
      </c>
      <c r="E16" s="20" t="s">
        <v>103</v>
      </c>
      <c r="F16" s="21" t="s">
        <v>104</v>
      </c>
    </row>
    <row r="17" spans="1:6">
      <c r="A17" s="20">
        <v>16</v>
      </c>
      <c r="B17" s="20" t="s">
        <v>64</v>
      </c>
      <c r="C17" s="20" t="s">
        <v>69</v>
      </c>
      <c r="D17" t="s">
        <v>72</v>
      </c>
      <c r="E17" s="20" t="s">
        <v>105</v>
      </c>
      <c r="F17" s="21" t="s">
        <v>106</v>
      </c>
    </row>
    <row r="18" spans="1:6">
      <c r="A18" s="20">
        <v>17</v>
      </c>
      <c r="B18" s="20" t="s">
        <v>64</v>
      </c>
      <c r="C18" s="20" t="s">
        <v>69</v>
      </c>
      <c r="D18" t="s">
        <v>73</v>
      </c>
      <c r="E18" s="20" t="s">
        <v>108</v>
      </c>
      <c r="F18" s="21" t="s">
        <v>113</v>
      </c>
    </row>
    <row r="19" spans="1:6">
      <c r="A19" s="20">
        <v>18</v>
      </c>
      <c r="B19" s="20" t="s">
        <v>64</v>
      </c>
      <c r="C19" s="20" t="s">
        <v>69</v>
      </c>
      <c r="D19" t="s">
        <v>74</v>
      </c>
      <c r="E19" s="20" t="s">
        <v>109</v>
      </c>
      <c r="F19" s="21" t="s">
        <v>110</v>
      </c>
    </row>
    <row r="20" spans="1:6">
      <c r="A20" s="20">
        <v>19</v>
      </c>
      <c r="B20" s="20" t="s">
        <v>64</v>
      </c>
      <c r="C20" s="20" t="s">
        <v>69</v>
      </c>
      <c r="D20" t="s">
        <v>75</v>
      </c>
      <c r="E20" s="20" t="s">
        <v>111</v>
      </c>
      <c r="F20" s="21" t="s">
        <v>112</v>
      </c>
    </row>
    <row r="21" spans="1:6">
      <c r="A21" s="20">
        <v>20</v>
      </c>
      <c r="B21" s="20" t="s">
        <v>64</v>
      </c>
      <c r="C21" s="20" t="s">
        <v>76</v>
      </c>
      <c r="D21" t="s">
        <v>77</v>
      </c>
      <c r="E21" s="20" t="s">
        <v>27</v>
      </c>
      <c r="F21" s="21" t="s">
        <v>83</v>
      </c>
    </row>
    <row r="22" spans="1:6">
      <c r="A22" s="20">
        <v>21</v>
      </c>
      <c r="B22" s="20" t="s">
        <v>64</v>
      </c>
      <c r="C22" s="20" t="s">
        <v>69</v>
      </c>
      <c r="D22" t="s">
        <v>114</v>
      </c>
      <c r="E22" s="20" t="s">
        <v>115</v>
      </c>
      <c r="F22" s="21" t="s">
        <v>116</v>
      </c>
    </row>
    <row r="23" spans="1:6">
      <c r="A23" s="20">
        <v>22</v>
      </c>
      <c r="B23" s="20" t="s">
        <v>64</v>
      </c>
      <c r="C23" s="20" t="s">
        <v>56</v>
      </c>
      <c r="D23" s="33" t="s">
        <v>315</v>
      </c>
      <c r="E23" s="20" t="s">
        <v>314</v>
      </c>
      <c r="F23" s="21" t="s">
        <v>316</v>
      </c>
    </row>
    <row r="24" spans="1:6">
      <c r="A24" s="20">
        <v>23</v>
      </c>
      <c r="B24" s="20" t="s">
        <v>64</v>
      </c>
      <c r="C24" s="20" t="s">
        <v>355</v>
      </c>
      <c r="D24" s="33" t="s">
        <v>320</v>
      </c>
      <c r="E24" s="20" t="s">
        <v>321</v>
      </c>
      <c r="F24" s="21" t="s">
        <v>322</v>
      </c>
    </row>
  </sheetData>
  <conditionalFormatting sqref="E23:E1048576 F1:F24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00a3ca-a341-42d9-b2fb-ab12249157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0700F3F38B44D94439CA43E171009" ma:contentTypeVersion="6" ma:contentTypeDescription="Create a new document." ma:contentTypeScope="" ma:versionID="4c1a5321ca5bc25b67cef7c5ca47af24">
  <xsd:schema xmlns:xsd="http://www.w3.org/2001/XMLSchema" xmlns:xs="http://www.w3.org/2001/XMLSchema" xmlns:p="http://schemas.microsoft.com/office/2006/metadata/properties" xmlns:ns3="4b00a3ca-a341-42d9-b2fb-ab1224915750" targetNamespace="http://schemas.microsoft.com/office/2006/metadata/properties" ma:root="true" ma:fieldsID="18868ce31007d0d43f572c0d95d9417b" ns3:_="">
    <xsd:import namespace="4b00a3ca-a341-42d9-b2fb-ab12249157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0a3ca-a341-42d9-b2fb-ab12249157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5FAAF-2EF5-45A2-9D67-A360A795C84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AE2C0DA-074E-4A16-9F4B-1029207D331B}">
  <ds:schemaRefs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4b00a3ca-a341-42d9-b2fb-ab1224915750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8219C6C-B254-4A31-8EE6-D4DCB992E8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B007B0-F2FB-424F-AA4F-29F45BE79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0a3ca-a341-42d9-b2fb-ab1224915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PRICE LIST Motasa</vt:lpstr>
      <vt:lpstr>FORM DASAR KLP</vt:lpstr>
      <vt:lpstr>Cara Buat</vt:lpstr>
      <vt:lpstr>PIVOT MAPPING (2)</vt:lpstr>
      <vt:lpstr>Pvt Map 1</vt:lpstr>
      <vt:lpstr>Table Pvt 1</vt:lpstr>
      <vt:lpstr>Form Fix</vt:lpstr>
      <vt:lpstr>Query Map.BrgDoubleDms</vt:lpstr>
      <vt:lpstr>Fix Mapping</vt:lpstr>
      <vt:lpstr>Form To Win</vt:lpstr>
      <vt:lpstr>Table43 (2)</vt:lpstr>
      <vt:lpstr>LIST PCPL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FDR</dc:creator>
  <cp:lastModifiedBy>Administrator</cp:lastModifiedBy>
  <cp:lastPrinted>2026-05-05T06:26:55Z</cp:lastPrinted>
  <dcterms:created xsi:type="dcterms:W3CDTF">2024-07-13T06:32:43Z</dcterms:created>
  <dcterms:modified xsi:type="dcterms:W3CDTF">2026-07-23T10:00:39Z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0x0101003FF0700F3F38B44D94439CA43E171009</vt:lpwstr>
  </property>
</Properties>
</file>